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Andrew Chung\Desktop\Work\Starlink Note\"/>
    </mc:Choice>
  </mc:AlternateContent>
  <xr:revisionPtr revIDLastSave="0" documentId="13_ncr:1_{00AEE691-FD64-446F-B1F1-1C73797C6AD8}" xr6:coauthVersionLast="47" xr6:coauthVersionMax="47" xr10:uidLastSave="{00000000-0000-0000-0000-000000000000}"/>
  <bookViews>
    <workbookView xWindow="-120" yWindow="-120" windowWidth="29040" windowHeight="15720" firstSheet="5" activeTab="8" xr2:uid="{00000000-000D-0000-FFFF-FFFF00000000}"/>
  </bookViews>
  <sheets>
    <sheet name="Population and Broadband subs" sheetId="4" r:id="rId1"/>
    <sheet name="Pop and BB subs by market" sheetId="5" r:id="rId2"/>
    <sheet name="penetration and ARPU" sheetId="1" r:id="rId3"/>
    <sheet name="Penetration and ARPU by market" sheetId="2" r:id="rId4"/>
    <sheet name="starlink countries list" sheetId="7" r:id="rId5"/>
    <sheet name="Starlink countries with data" sheetId="6" r:id="rId6"/>
    <sheet name="Population vs Penetration" sheetId="8" r:id="rId7"/>
    <sheet name="Technology Market Share" sheetId="9" r:id="rId8"/>
    <sheet name="Sheet1" sheetId="10" r:id="rId9"/>
  </sheets>
  <definedNames>
    <definedName name="\p">#N/A</definedName>
    <definedName name="\s">#N/A</definedName>
    <definedName name="__123Graph_A" hidden="1">#REF!</definedName>
    <definedName name="__123Graph_ACANALI" hidden="1">#REF!</definedName>
    <definedName name="__123Graph_ACRESC.ALL" hidden="1">#REF!</definedName>
    <definedName name="__123Graph_ACRESCITA" hidden="1">#REF!</definedName>
    <definedName name="__123Graph_ASEGMENTI" hidden="1">#REF!</definedName>
    <definedName name="__123Graph_B" hidden="1">#REF!</definedName>
    <definedName name="__123Graph_BHISTSALES" hidden="1">#REF!</definedName>
    <definedName name="__123Graph_BSAIST" hidden="1">#REF!</definedName>
    <definedName name="__123Graph_LBL_ASEGMENTI" hidden="1">#REF!</definedName>
    <definedName name="__123Graph_LBL_BHISTSALES" hidden="1">#REF!</definedName>
    <definedName name="__123Graph_X" hidden="1">#REF!</definedName>
    <definedName name="__123Graph_XCANALI" hidden="1">#REF!</definedName>
    <definedName name="__123Graph_XChart4" hidden="1">#REF!</definedName>
    <definedName name="__123Graph_XCRESC.ALL" hidden="1">#REF!</definedName>
    <definedName name="__123Graph_XCRESCITA" hidden="1">#REF!</definedName>
    <definedName name="__123Graph_XHISTSALES" hidden="1">#REF!</definedName>
    <definedName name="__123Graph_XSEGMENTI" hidden="1">#REF!</definedName>
    <definedName name="__APW_RESTORE_DATA1__" hidden="1">#REF!</definedName>
    <definedName name="__APW_RESTORE_DATA126__" hidden="1">#REF!,#REF!,#REF!,#REF!,#REF!,#REF!,#REF!,#REF!,#REF!,#REF!,#REF!,#REF!,#REF!,#REF!,#REF!,#REF!</definedName>
    <definedName name="__APW_RESTORE_DATA127__" hidden="1">#REF!,#REF!,#REF!,#REF!,#REF!,#REF!,#REF!,#REF!,#REF!,#REF!,#REF!,#REF!,#REF!,#REF!,#REF!,#REF!</definedName>
    <definedName name="__APW_RESTORE_DATA128__" hidden="1">#REF!,#REF!,#REF!,#REF!,#REF!,#REF!,#REF!,#REF!,#REF!,#REF!,#REF!,#REF!,#REF!,#REF!,#REF!,#REF!</definedName>
    <definedName name="__APW_RESTORE_DATA129__" hidden="1">#REF!,#REF!,#REF!,#REF!,#REF!,#REF!,#REF!,#REF!,#REF!,#REF!,#REF!,#REF!,#REF!,#REF!,#REF!,#REF!</definedName>
    <definedName name="__APW_RESTORE_DATA130__" hidden="1">#REF!,#REF!,#REF!,#REF!,#REF!,#REF!,#REF!,#REF!,#REF!,#REF!,#REF!,#REF!,#REF!,#REF!,#REF!,#REF!</definedName>
    <definedName name="__APW_RESTORE_DATA131__" hidden="1">#REF!,#REF!,#REF!,#REF!,#REF!,#REF!,#REF!,#REF!,#REF!,#REF!,#REF!,#REF!,#REF!,#REF!,#REF!,#REF!</definedName>
    <definedName name="__APW_RESTORE_DATA132__" hidden="1">#REF!,#REF!,#REF!,#REF!,#REF!,#REF!,#REF!,#REF!,#REF!,#REF!,#REF!,#REF!,#REF!,#REF!,#REF!</definedName>
    <definedName name="__APW_RESTORE_DATA133__" hidden="1">#REF!,#REF!,#REF!,#REF!,#REF!,#REF!,#REF!,#REF!,#REF!,#REF!,#REF!,#REF!,#REF!,#REF!,#REF!</definedName>
    <definedName name="__APW_RESTORE_DATA134__" hidden="1">#REF!,#REF!,#REF!,#REF!,#REF!,#REF!,#REF!,#REF!,#REF!,#REF!,#REF!,#REF!,#REF!,#REF!,#REF!</definedName>
    <definedName name="__APW_RESTORE_DATA135__" hidden="1">#REF!</definedName>
    <definedName name="__APW_RESTORE_DATA136__" hidden="1">#REF!,#REF!,#REF!,#REF!,#REF!,#REF!,#REF!,#REF!,#REF!,#REF!,#REF!,#REF!,#REF!,#REF!,#REF!,#REF!</definedName>
    <definedName name="__APW_RESTORE_DATA137__" hidden="1">#REF!,#REF!,#REF!,#REF!,#REF!,#REF!,#REF!,#REF!,#REF!,#REF!,#REF!,#REF!,#REF!,#REF!,#REF!,#REF!</definedName>
    <definedName name="__APW_RESTORE_DATA138__" hidden="1">#REF!,#REF!,#REF!,#REF!,#REF!,#REF!,#REF!,#REF!,#REF!,#REF!,#REF!,#REF!,#REF!,#REF!,#REF!,#REF!</definedName>
    <definedName name="__APW_RESTORE_DATA139__" hidden="1">#REF!,#REF!,#REF!,#REF!,#REF!,#REF!,#REF!,#REF!,#REF!,#REF!,#REF!,#REF!,#REF!,#REF!,#REF!,#REF!</definedName>
    <definedName name="__APW_RESTORE_DATA140__" hidden="1">#REF!,#REF!,#REF!,#REF!,#REF!,#REF!,#REF!,#REF!,#REF!,#REF!,#REF!,#REF!,#REF!,#REF!,#REF!,#REF!</definedName>
    <definedName name="__APW_RESTORE_DATA141__" hidden="1">#REF!,#REF!,#REF!,#REF!,#REF!,#REF!,#REF!,#REF!,#REF!,#REF!,#REF!,#REF!,#REF!,#REF!,#REF!,#REF!</definedName>
    <definedName name="__APW_RESTORE_DATA142__" hidden="1">#REF!,#REF!,#REF!,#REF!,#REF!,#REF!,#REF!,#REF!,#REF!,#REF!,#REF!,#REF!,#REF!,#REF!,#REF!</definedName>
    <definedName name="__APW_RESTORE_DATA143__" hidden="1">#REF!,#REF!,#REF!,#REF!,#REF!,#REF!,#REF!,#REF!,#REF!,#REF!,#REF!,#REF!,#REF!,#REF!,#REF!</definedName>
    <definedName name="__APW_RESTORE_DATA144__" hidden="1">#REF!,#REF!,#REF!,#REF!,#REF!,#REF!,#REF!,#REF!,#REF!,#REF!,#REF!,#REF!,#REF!,#REF!,#REF!</definedName>
    <definedName name="__APW_RESTORE_DATA145__" hidden="1">#REF!</definedName>
    <definedName name="__APW_RESTORE_DATA2__" hidden="1">#REF!</definedName>
    <definedName name="__FDS_HYPERLINK_TOGGLE_STATE__" hidden="1">"ON"</definedName>
    <definedName name="__FDS_UNIQUE_RANGE_ID_GENERATOR_COUNTER" hidden="1">51</definedName>
    <definedName name="__FYE2">#REF!</definedName>
    <definedName name="_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12.555361&amp;VAR:V0=13.466083&amp;VAR:V1=11.747687&amp;VAR:Y0=2011&amp;VAR:Y1=2012&amp;VAR:P=1320.639049&amp;VAR:DATE=20110630&amp;VAR:THRESH=-|-|","-|-|-|-|-"}</definedName>
    <definedName name="_1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12.116263&amp;VAR:V0=12.803025&amp;VAR:V1=10.410037&amp;VAR:Y0=2009&amp;VAR:Y1=2010&amp;VAR:P=797.866805&amp;VAR:DATE=20090331&amp;VAR:THRESH=-|-|-","|-|-|-|-"}</definedName>
    <definedName name="_10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26.121198&amp;VAR:V0=28.240629&amp;VAR:V1=24.269600&amp;VAR:Y0=1999&amp;VAR:Y1=2000&amp;VAR:P=1372.710000&amp;VAR:DATE=19990630&amp;VAR:THRESH=-|-|","-|-|-|-|-"}</definedName>
    <definedName name="_100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790"}</definedName>
    <definedName name="_100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789"}</definedName>
    <definedName name="_100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788"}</definedName>
    <definedName name="_100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787"}</definedName>
    <definedName name="_100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786"}</definedName>
    <definedName name="_100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785"}</definedName>
    <definedName name="_100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784"}</definedName>
    <definedName name="_100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783"}</definedName>
    <definedName name="_100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782"}</definedName>
    <definedName name="_100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781"}</definedName>
    <definedName name="_10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25.147938&amp;VAR:V0=26.504513&amp;VAR:V1=21.746899&amp;VAR:Y0=1999&amp;VAR:Y1=2000&amp;VAR:P=1286.370000&amp;VAR:DATE=19990331&amp;VAR:THRESH=-|-|","-|-|-|-|-"}</definedName>
    <definedName name="_101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780"}</definedName>
    <definedName name="_101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779"}</definedName>
    <definedName name="_101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778"}</definedName>
    <definedName name="_101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777"}</definedName>
    <definedName name="_101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776"}</definedName>
    <definedName name="_101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775"}</definedName>
    <definedName name="_101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774"}</definedName>
    <definedName name="_101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773"}</definedName>
    <definedName name="_101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772"}</definedName>
    <definedName name="_101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771"}</definedName>
    <definedName name="_102__FDSAUDITLINK__" hidden="1">{"fdsup://directions/FAT Viewer?action=UPDATE&amp;creator=factset&amp;DYN_ARGS=TRUE&amp;DOC_NAME=FAT:FQL_AUDITING_CLIENT_TEMPLATE.FAT&amp;display_string=Audit&amp;VAR:KEY=IPWBMTAXSF&amp;VAR:QUERY=RkZfRVBTKExUTVMsLTEwQVksMCxGUSk=&amp;WINDOW=FIRST_POPUP&amp;HEIGHT=450&amp;WIDTH=450&amp;START_MAXIMI","ZED=FALSE&amp;VAR:CALENDAR=US&amp;VAR:SYMBOL=GOOG&amp;VAR:INDEX=20"}</definedName>
    <definedName name="_102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770"}</definedName>
    <definedName name="_102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769"}</definedName>
    <definedName name="_102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768"}</definedName>
    <definedName name="_102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767"}</definedName>
    <definedName name="_102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766"}</definedName>
    <definedName name="_102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765"}</definedName>
    <definedName name="_102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764"}</definedName>
    <definedName name="_102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763"}</definedName>
    <definedName name="_102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762"}</definedName>
    <definedName name="_102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761"}</definedName>
    <definedName name="_103__FDSAUDITLINK__" hidden="1">{"fdsup://directions/FAT Viewer?action=UPDATE&amp;creator=factset&amp;DYN_ARGS=TRUE&amp;DOC_NAME=FAT:FQL_AUDITING_CLIENT_TEMPLATE.FAT&amp;display_string=Audit&amp;VAR:KEY=IPWBMTAXSF&amp;VAR:QUERY=RkZfRVBTKExUTVMsLTEwQVksMCxGUSk=&amp;WINDOW=FIRST_POPUP&amp;HEIGHT=450&amp;WIDTH=450&amp;START_MAXIMI","ZED=FALSE&amp;VAR:CALENDAR=US&amp;VAR:SYMBOL=GOOG&amp;VAR:INDEX=19"}</definedName>
    <definedName name="_103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760"}</definedName>
    <definedName name="_103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759"}</definedName>
    <definedName name="_103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758"}</definedName>
    <definedName name="_103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757"}</definedName>
    <definedName name="_103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756"}</definedName>
    <definedName name="_103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755"}</definedName>
    <definedName name="_103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754"}</definedName>
    <definedName name="_103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753"}</definedName>
    <definedName name="_103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752"}</definedName>
    <definedName name="_103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751"}</definedName>
    <definedName name="_104__FDSAUDITLINK__" hidden="1">{"fdsup://directions/FAT Viewer?action=UPDATE&amp;creator=factset&amp;DYN_ARGS=TRUE&amp;DOC_NAME=FAT:FQL_AUDITING_CLIENT_TEMPLATE.FAT&amp;display_string=Audit&amp;VAR:KEY=IPWBMTAXSF&amp;VAR:QUERY=RkZfRVBTKExUTVMsLTEwQVksMCxGUSk=&amp;WINDOW=FIRST_POPUP&amp;HEIGHT=450&amp;WIDTH=450&amp;START_MAXIMI","ZED=FALSE&amp;VAR:CALENDAR=US&amp;VAR:SYMBOL=GOOG&amp;VAR:INDEX=18"}</definedName>
    <definedName name="_104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750"}</definedName>
    <definedName name="_104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749"}</definedName>
    <definedName name="_104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748"}</definedName>
    <definedName name="_104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747"}</definedName>
    <definedName name="_104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746"}</definedName>
    <definedName name="_104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745"}</definedName>
    <definedName name="_104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744"}</definedName>
    <definedName name="_104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743"}</definedName>
    <definedName name="_104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742"}</definedName>
    <definedName name="_104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741"}</definedName>
    <definedName name="_105__FDSAUDITLINK__" hidden="1">{"fdsup://directions/FAT Viewer?action=UPDATE&amp;creator=factset&amp;DYN_ARGS=TRUE&amp;DOC_NAME=FAT:FQL_AUDITING_CLIENT_TEMPLATE.FAT&amp;display_string=Audit&amp;VAR:KEY=IPWBMTAXSF&amp;VAR:QUERY=RkZfRVBTKExUTVMsLTEwQVksMCxGUSk=&amp;WINDOW=FIRST_POPUP&amp;HEIGHT=450&amp;WIDTH=450&amp;START_MAXIMI","ZED=FALSE&amp;VAR:CALENDAR=US&amp;VAR:SYMBOL=GOOG&amp;VAR:INDEX=17"}</definedName>
    <definedName name="_105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740"}</definedName>
    <definedName name="_105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739"}</definedName>
    <definedName name="_105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738"}</definedName>
    <definedName name="_105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737"}</definedName>
    <definedName name="_105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736"}</definedName>
    <definedName name="_105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735"}</definedName>
    <definedName name="_105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734"}</definedName>
    <definedName name="_105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733"}</definedName>
    <definedName name="_105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732"}</definedName>
    <definedName name="_105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731"}</definedName>
    <definedName name="_106__FDSAUDITLINK__" hidden="1">{"fdsup://directions/FAT Viewer?action=UPDATE&amp;creator=factset&amp;DYN_ARGS=TRUE&amp;DOC_NAME=FAT:FQL_AUDITING_CLIENT_TEMPLATE.FAT&amp;display_string=Audit&amp;VAR:KEY=IPWBMTAXSF&amp;VAR:QUERY=RkZfRVBTKExUTVMsLTEwQVksMCxGUSk=&amp;WINDOW=FIRST_POPUP&amp;HEIGHT=450&amp;WIDTH=450&amp;START_MAXIMI","ZED=FALSE&amp;VAR:CALENDAR=US&amp;VAR:SYMBOL=GOOG&amp;VAR:INDEX=16"}</definedName>
    <definedName name="_106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730"}</definedName>
    <definedName name="_106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729"}</definedName>
    <definedName name="_106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728"}</definedName>
    <definedName name="_106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727"}</definedName>
    <definedName name="_106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726"}</definedName>
    <definedName name="_106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725"}</definedName>
    <definedName name="_106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724"}</definedName>
    <definedName name="_106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723"}</definedName>
    <definedName name="_106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722"}</definedName>
    <definedName name="_106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721"}</definedName>
    <definedName name="_107__FDSAUDITLINK__" hidden="1">{"fdsup://directions/FAT Viewer?action=UPDATE&amp;creator=factset&amp;DYN_ARGS=TRUE&amp;DOC_NAME=FAT:FQL_AUDITING_CLIENT_TEMPLATE.FAT&amp;display_string=Audit&amp;VAR:KEY=IPWBMTAXSF&amp;VAR:QUERY=RkZfRVBTKExUTVMsLTEwQVksMCxGUSk=&amp;WINDOW=FIRST_POPUP&amp;HEIGHT=450&amp;WIDTH=450&amp;START_MAXIMI","ZED=FALSE&amp;VAR:CALENDAR=US&amp;VAR:SYMBOL=GOOG&amp;VAR:INDEX=15"}</definedName>
    <definedName name="_107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720"}</definedName>
    <definedName name="_107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719"}</definedName>
    <definedName name="_107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718"}</definedName>
    <definedName name="_107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717"}</definedName>
    <definedName name="_107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716"}</definedName>
    <definedName name="_107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715"}</definedName>
    <definedName name="_107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714"}</definedName>
    <definedName name="_107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713"}</definedName>
    <definedName name="_107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712"}</definedName>
    <definedName name="_107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711"}</definedName>
    <definedName name="_108__FDSAUDITLINK__" hidden="1">{"fdsup://directions/FAT Viewer?action=UPDATE&amp;creator=factset&amp;DYN_ARGS=TRUE&amp;DOC_NAME=FAT:FQL_AUDITING_CLIENT_TEMPLATE.FAT&amp;display_string=Audit&amp;VAR:KEY=IPWBMTAXSF&amp;VAR:QUERY=RkZfRVBTKExUTVMsLTEwQVksMCxGUSk=&amp;WINDOW=FIRST_POPUP&amp;HEIGHT=450&amp;WIDTH=450&amp;START_MAXIMI","ZED=FALSE&amp;VAR:CALENDAR=US&amp;VAR:SYMBOL=GOOG&amp;VAR:INDEX=12"}</definedName>
    <definedName name="_108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710"}</definedName>
    <definedName name="_108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709"}</definedName>
    <definedName name="_108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708"}</definedName>
    <definedName name="_108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707"}</definedName>
    <definedName name="_108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706"}</definedName>
    <definedName name="_108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705"}</definedName>
    <definedName name="_108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704"}</definedName>
    <definedName name="_108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703"}</definedName>
    <definedName name="_108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702"}</definedName>
    <definedName name="_108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701"}</definedName>
    <definedName name="_109__FDSAUDITLINK__" hidden="1">{"fdsup://directions/FAT Viewer?action=UPDATE&amp;creator=factset&amp;DYN_ARGS=TRUE&amp;DOC_NAME=FAT:FQL_AUDITING_CLIENT_TEMPLATE.FAT&amp;display_string=Audit&amp;VAR:KEY=IPWBMTAXSF&amp;VAR:QUERY=RkZfRVBTKExUTVMsLTEwQVksMCxGUSk=&amp;WINDOW=FIRST_POPUP&amp;HEIGHT=450&amp;WIDTH=450&amp;START_MAXIMI","ZED=FALSE&amp;VAR:CALENDAR=US&amp;VAR:SYMBOL=GOOG&amp;VAR:INDEX=11"}</definedName>
    <definedName name="_109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700"}</definedName>
    <definedName name="_109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699"}</definedName>
    <definedName name="_109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698"}</definedName>
    <definedName name="_109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697"}</definedName>
    <definedName name="_109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696"}</definedName>
    <definedName name="_109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695"}</definedName>
    <definedName name="_109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694"}</definedName>
    <definedName name="_109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693"}</definedName>
    <definedName name="_109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692"}</definedName>
    <definedName name="_109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691"}</definedName>
    <definedName name="_1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11.599613&amp;VAR:V0=11.660970&amp;VAR:V1=11.599613&amp;VAR:Y0=2008&amp;VAR:Y1=2009&amp;VAR:P=903.254921&amp;VAR:DATE=20081231&amp;VAR:THRESH=-|-|-","|-|-|-|-"}</definedName>
    <definedName name="_110__FDSAUDITLINK__" hidden="1">{"fdsup://directions/FAT Viewer?action=UPDATE&amp;creator=factset&amp;DYN_ARGS=TRUE&amp;DOC_NAME=FAT:FQL_AUDITING_CLIENT_TEMPLATE.FAT&amp;display_string=Audit&amp;VAR:KEY=IPWBMTAXSF&amp;VAR:QUERY=RkZfRVBTKExUTVMsLTEwQVksMCxGUSk=&amp;WINDOW=FIRST_POPUP&amp;HEIGHT=450&amp;WIDTH=450&amp;START_MAXIMI","ZED=FALSE&amp;VAR:CALENDAR=US&amp;VAR:SYMBOL=GOOG&amp;VAR:INDEX=8"}</definedName>
    <definedName name="_110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690"}</definedName>
    <definedName name="_110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689"}</definedName>
    <definedName name="_110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688"}</definedName>
    <definedName name="_110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687"}</definedName>
    <definedName name="_110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686"}</definedName>
    <definedName name="_110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685"}</definedName>
    <definedName name="_110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684"}</definedName>
    <definedName name="_110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683"}</definedName>
    <definedName name="_110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682"}</definedName>
    <definedName name="_110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681"}</definedName>
    <definedName name="_111__FDSAUDITLINK__" hidden="1">{"fdsup://directions/FAT Viewer?action=UPDATE&amp;creator=factset&amp;DYN_ARGS=TRUE&amp;DOC_NAME=FAT:FQL_AUDITING_CLIENT_TEMPLATE.FAT&amp;display_string=Audit&amp;VAR:KEY=IPWBMTAXSF&amp;VAR:QUERY=RkZfRVBTKExUTVMsLTEwQVksMCxGUSk=&amp;WINDOW=FIRST_POPUP&amp;HEIGHT=450&amp;WIDTH=450&amp;START_MAXIMI","ZED=FALSE&amp;VAR:CALENDAR=US&amp;VAR:SYMBOL=GOOG&amp;VAR:INDEX=7"}</definedName>
    <definedName name="_111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680"}</definedName>
    <definedName name="_111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679"}</definedName>
    <definedName name="_111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678"}</definedName>
    <definedName name="_111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677"}</definedName>
    <definedName name="_111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676"}</definedName>
    <definedName name="_111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675"}</definedName>
    <definedName name="_111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674"}</definedName>
    <definedName name="_111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673"}</definedName>
    <definedName name="_111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672"}</definedName>
    <definedName name="_111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671"}</definedName>
    <definedName name="_112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40"}</definedName>
    <definedName name="_112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670"}</definedName>
    <definedName name="_112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669"}</definedName>
    <definedName name="_112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668"}</definedName>
    <definedName name="_112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667"}</definedName>
    <definedName name="_112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666"}</definedName>
    <definedName name="_112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665"}</definedName>
    <definedName name="_112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664"}</definedName>
    <definedName name="_112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663"}</definedName>
    <definedName name="_112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662"}</definedName>
    <definedName name="_112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661"}</definedName>
    <definedName name="_113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39"}</definedName>
    <definedName name="_113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660"}</definedName>
    <definedName name="_113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659"}</definedName>
    <definedName name="_113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658"}</definedName>
    <definedName name="_113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657"}</definedName>
    <definedName name="_113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656"}</definedName>
    <definedName name="_113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655"}</definedName>
    <definedName name="_113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654"}</definedName>
    <definedName name="_113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653"}</definedName>
    <definedName name="_113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652"}</definedName>
    <definedName name="_113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651"}</definedName>
    <definedName name="_114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38"}</definedName>
    <definedName name="_114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650"}</definedName>
    <definedName name="_114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649"}</definedName>
    <definedName name="_114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648"}</definedName>
    <definedName name="_114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647"}</definedName>
    <definedName name="_114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646"}</definedName>
    <definedName name="_114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645"}</definedName>
    <definedName name="_114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644"}</definedName>
    <definedName name="_114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643"}</definedName>
    <definedName name="_114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642"}</definedName>
    <definedName name="_114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641"}</definedName>
    <definedName name="_115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37"}</definedName>
    <definedName name="_115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640"}</definedName>
    <definedName name="_115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639"}</definedName>
    <definedName name="_115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638"}</definedName>
    <definedName name="_115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637"}</definedName>
    <definedName name="_115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636"}</definedName>
    <definedName name="_115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635"}</definedName>
    <definedName name="_115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634"}</definedName>
    <definedName name="_115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633"}</definedName>
    <definedName name="_115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632"}</definedName>
    <definedName name="_115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631"}</definedName>
    <definedName name="_116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36"}</definedName>
    <definedName name="_116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630"}</definedName>
    <definedName name="_116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629"}</definedName>
    <definedName name="_116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628"}</definedName>
    <definedName name="_116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627"}</definedName>
    <definedName name="_116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626"}</definedName>
    <definedName name="_116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625"}</definedName>
    <definedName name="_116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624"}</definedName>
    <definedName name="_116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623"}</definedName>
    <definedName name="_116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622"}</definedName>
    <definedName name="_116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621"}</definedName>
    <definedName name="_117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35"}</definedName>
    <definedName name="_117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620"}</definedName>
    <definedName name="_117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619"}</definedName>
    <definedName name="_117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618"}</definedName>
    <definedName name="_117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617"}</definedName>
    <definedName name="_117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616"}</definedName>
    <definedName name="_117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615"}</definedName>
    <definedName name="_117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614"}</definedName>
    <definedName name="_117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613"}</definedName>
    <definedName name="_117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612"}</definedName>
    <definedName name="_117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611"}</definedName>
    <definedName name="_118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34"}</definedName>
    <definedName name="_118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610"}</definedName>
    <definedName name="_118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609"}</definedName>
    <definedName name="_118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608"}</definedName>
    <definedName name="_118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607"}</definedName>
    <definedName name="_118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606"}</definedName>
    <definedName name="_118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605"}</definedName>
    <definedName name="_118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604"}</definedName>
    <definedName name="_118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603"}</definedName>
    <definedName name="_118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602"}</definedName>
    <definedName name="_118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601"}</definedName>
    <definedName name="_119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33"}</definedName>
    <definedName name="_119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600"}</definedName>
    <definedName name="_119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599"}</definedName>
    <definedName name="_119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598"}</definedName>
    <definedName name="_119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597"}</definedName>
    <definedName name="_119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596"}</definedName>
    <definedName name="_119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595"}</definedName>
    <definedName name="_119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594"}</definedName>
    <definedName name="_119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593"}</definedName>
    <definedName name="_119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592"}</definedName>
    <definedName name="_119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591"}</definedName>
    <definedName name="_1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0.748634&amp;VAR:V=11.881411&amp;VAR:V0=13.374917&amp;VAR:V1=11.452037&amp;VAR:Y0=2008&amp;VAR:Y1=2009&amp;VAR:P=1166.361500&amp;VAR:DATE=20080930&amp;VAR:THRESH=-|-|","-|-|-|-|-"}</definedName>
    <definedName name="_120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32"}</definedName>
    <definedName name="_120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590"}</definedName>
    <definedName name="_120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589"}</definedName>
    <definedName name="_120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588"}</definedName>
    <definedName name="_120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587"}</definedName>
    <definedName name="_120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586"}</definedName>
    <definedName name="_120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585"}</definedName>
    <definedName name="_120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584"}</definedName>
    <definedName name="_120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583"}</definedName>
    <definedName name="_120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582"}</definedName>
    <definedName name="_120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581"}</definedName>
    <definedName name="_121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31"}</definedName>
    <definedName name="_121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580"}</definedName>
    <definedName name="_121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579"}</definedName>
    <definedName name="_121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578"}</definedName>
    <definedName name="_121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577"}</definedName>
    <definedName name="_121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576"}</definedName>
    <definedName name="_121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575"}</definedName>
    <definedName name="_121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574"}</definedName>
    <definedName name="_121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573"}</definedName>
    <definedName name="_121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572"}</definedName>
    <definedName name="_121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571"}</definedName>
    <definedName name="_122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30"}</definedName>
    <definedName name="_122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570"}</definedName>
    <definedName name="_122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569"}</definedName>
    <definedName name="_122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568"}</definedName>
    <definedName name="_122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567"}</definedName>
    <definedName name="_122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566"}</definedName>
    <definedName name="_122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565"}</definedName>
    <definedName name="_122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564"}</definedName>
    <definedName name="_122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563"}</definedName>
    <definedName name="_122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562"}</definedName>
    <definedName name="_122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561"}</definedName>
    <definedName name="_123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29"}</definedName>
    <definedName name="_123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560"}</definedName>
    <definedName name="_123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559"}</definedName>
    <definedName name="_123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558"}</definedName>
    <definedName name="_123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557"}</definedName>
    <definedName name="_123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556"}</definedName>
    <definedName name="_123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555"}</definedName>
    <definedName name="_123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554"}</definedName>
    <definedName name="_123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553"}</definedName>
    <definedName name="_123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552"}</definedName>
    <definedName name="_123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551"}</definedName>
    <definedName name="_124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28"}</definedName>
    <definedName name="_124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550"}</definedName>
    <definedName name="_124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549"}</definedName>
    <definedName name="_124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548"}</definedName>
    <definedName name="_124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547"}</definedName>
    <definedName name="_124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546"}</definedName>
    <definedName name="_124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545"}</definedName>
    <definedName name="_124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544"}</definedName>
    <definedName name="_124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543"}</definedName>
    <definedName name="_124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542"}</definedName>
    <definedName name="_124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541"}</definedName>
    <definedName name="_125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27"}</definedName>
    <definedName name="_125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540"}</definedName>
    <definedName name="_125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539"}</definedName>
    <definedName name="_125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538"}</definedName>
    <definedName name="_125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537"}</definedName>
    <definedName name="_125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536"}</definedName>
    <definedName name="_125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535"}</definedName>
    <definedName name="_125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534"}</definedName>
    <definedName name="_125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533"}</definedName>
    <definedName name="_125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532"}</definedName>
    <definedName name="_125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531"}</definedName>
    <definedName name="_126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26"}</definedName>
    <definedName name="_126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530"}</definedName>
    <definedName name="_126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529"}</definedName>
    <definedName name="_126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528"}</definedName>
    <definedName name="_126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527"}</definedName>
    <definedName name="_126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526"}</definedName>
    <definedName name="_126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525"}</definedName>
    <definedName name="_126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524"}</definedName>
    <definedName name="_126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523"}</definedName>
    <definedName name="_126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522"}</definedName>
    <definedName name="_126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521"}</definedName>
    <definedName name="_127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25"}</definedName>
    <definedName name="_127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520"}</definedName>
    <definedName name="_127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519"}</definedName>
    <definedName name="_127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518"}</definedName>
    <definedName name="_127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517"}</definedName>
    <definedName name="_127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516"}</definedName>
    <definedName name="_127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515"}</definedName>
    <definedName name="_127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514"}</definedName>
    <definedName name="_127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513"}</definedName>
    <definedName name="_127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512"}</definedName>
    <definedName name="_127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511"}</definedName>
    <definedName name="_128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24"}</definedName>
    <definedName name="_128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510"}</definedName>
    <definedName name="_128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509"}</definedName>
    <definedName name="_128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508"}</definedName>
    <definedName name="_128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507"}</definedName>
    <definedName name="_128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506"}</definedName>
    <definedName name="_128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505"}</definedName>
    <definedName name="_128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504"}</definedName>
    <definedName name="_128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503"}</definedName>
    <definedName name="_128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502"}</definedName>
    <definedName name="_128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501"}</definedName>
    <definedName name="_129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23"}</definedName>
    <definedName name="_129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500"}</definedName>
    <definedName name="_129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499"}</definedName>
    <definedName name="_129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498"}</definedName>
    <definedName name="_129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497"}</definedName>
    <definedName name="_129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496"}</definedName>
    <definedName name="_129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495"}</definedName>
    <definedName name="_129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494"}</definedName>
    <definedName name="_129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493"}</definedName>
    <definedName name="_129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492"}</definedName>
    <definedName name="_129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491"}</definedName>
    <definedName name="_1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0.497268&amp;VAR:V=12.790369&amp;VAR:V0=13.820305&amp;VAR:V1=11.894231&amp;VAR:Y0=2008&amp;VAR:Y1=2009&amp;VAR:P=1280.001200&amp;VAR:DATE=20080630&amp;VAR:THRESH=-|-|","-|-|-|-|-"}</definedName>
    <definedName name="_130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22"}</definedName>
    <definedName name="_130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490"}</definedName>
    <definedName name="_130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489"}</definedName>
    <definedName name="_130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488"}</definedName>
    <definedName name="_130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487"}</definedName>
    <definedName name="_130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486"}</definedName>
    <definedName name="_130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485"}</definedName>
    <definedName name="_130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484"}</definedName>
    <definedName name="_130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483"}</definedName>
    <definedName name="_130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482"}</definedName>
    <definedName name="_130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481"}</definedName>
    <definedName name="_131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21"}</definedName>
    <definedName name="_131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480"}</definedName>
    <definedName name="_131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479"}</definedName>
    <definedName name="_131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478"}</definedName>
    <definedName name="_131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477"}</definedName>
    <definedName name="_131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476"}</definedName>
    <definedName name="_131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475"}</definedName>
    <definedName name="_131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474"}</definedName>
    <definedName name="_131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473"}</definedName>
    <definedName name="_131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472"}</definedName>
    <definedName name="_131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471"}</definedName>
    <definedName name="_132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20"}</definedName>
    <definedName name="_132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470"}</definedName>
    <definedName name="_132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469"}</definedName>
    <definedName name="_132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468"}</definedName>
    <definedName name="_132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467"}</definedName>
    <definedName name="_132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466"}</definedName>
    <definedName name="_132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465"}</definedName>
    <definedName name="_132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464"}</definedName>
    <definedName name="_132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463"}</definedName>
    <definedName name="_132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462"}</definedName>
    <definedName name="_132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461"}</definedName>
    <definedName name="_133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19"}</definedName>
    <definedName name="_133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460"}</definedName>
    <definedName name="_133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459"}</definedName>
    <definedName name="_133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458"}</definedName>
    <definedName name="_133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457"}</definedName>
    <definedName name="_133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456"}</definedName>
    <definedName name="_133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455"}</definedName>
    <definedName name="_133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454"}</definedName>
    <definedName name="_133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453"}</definedName>
    <definedName name="_133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452"}</definedName>
    <definedName name="_133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451"}</definedName>
    <definedName name="_134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18"}</definedName>
    <definedName name="_134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450"}</definedName>
    <definedName name="_134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449"}</definedName>
    <definedName name="_134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448"}</definedName>
    <definedName name="_134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447"}</definedName>
    <definedName name="_134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446"}</definedName>
    <definedName name="_134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445"}</definedName>
    <definedName name="_134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444"}</definedName>
    <definedName name="_134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443"}</definedName>
    <definedName name="_134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442"}</definedName>
    <definedName name="_134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441"}</definedName>
    <definedName name="_135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17"}</definedName>
    <definedName name="_135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440"}</definedName>
    <definedName name="_135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439"}</definedName>
    <definedName name="_135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438"}</definedName>
    <definedName name="_135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437"}</definedName>
    <definedName name="_135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436"}</definedName>
    <definedName name="_135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435"}</definedName>
    <definedName name="_135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434"}</definedName>
    <definedName name="_135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433"}</definedName>
    <definedName name="_135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432"}</definedName>
    <definedName name="_135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431"}</definedName>
    <definedName name="_136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16"}</definedName>
    <definedName name="_136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430"}</definedName>
    <definedName name="_136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429"}</definedName>
    <definedName name="_136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428"}</definedName>
    <definedName name="_136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427"}</definedName>
    <definedName name="_136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426"}</definedName>
    <definedName name="_136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425"}</definedName>
    <definedName name="_136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424"}</definedName>
    <definedName name="_136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423"}</definedName>
    <definedName name="_136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422"}</definedName>
    <definedName name="_136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421"}</definedName>
    <definedName name="_137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15"}</definedName>
    <definedName name="_137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420"}</definedName>
    <definedName name="_137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419"}</definedName>
    <definedName name="_137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418"}</definedName>
    <definedName name="_137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417"}</definedName>
    <definedName name="_137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416"}</definedName>
    <definedName name="_137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415"}</definedName>
    <definedName name="_137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414"}</definedName>
    <definedName name="_137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413"}</definedName>
    <definedName name="_137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412"}</definedName>
    <definedName name="_137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411"}</definedName>
    <definedName name="_138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12"}</definedName>
    <definedName name="_138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410"}</definedName>
    <definedName name="_138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409"}</definedName>
    <definedName name="_138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408"}</definedName>
    <definedName name="_138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407"}</definedName>
    <definedName name="_138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406"}</definedName>
    <definedName name="_138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405"}</definedName>
    <definedName name="_138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404"}</definedName>
    <definedName name="_138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403"}</definedName>
    <definedName name="_138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402"}</definedName>
    <definedName name="_138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401"}</definedName>
    <definedName name="_139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11"}</definedName>
    <definedName name="_139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400"}</definedName>
    <definedName name="_139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399"}</definedName>
    <definedName name="_139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398"}</definedName>
    <definedName name="_139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397"}</definedName>
    <definedName name="_139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396"}</definedName>
    <definedName name="_139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395"}</definedName>
    <definedName name="_139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394"}</definedName>
    <definedName name="_139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393"}</definedName>
    <definedName name="_139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392"}</definedName>
    <definedName name="_139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391"}</definedName>
    <definedName name="_1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0.248634&amp;VAR:V=13.548524&amp;VAR:V0=14.008266&amp;VAR:V1=12.326036&amp;VAR:Y0=2008&amp;VAR:Y1=2009&amp;VAR:P=1322.703500&amp;VAR:DATE=20080331&amp;VAR:THRESH=-|-|","-|-|-|-|-"}</definedName>
    <definedName name="_140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8"}</definedName>
    <definedName name="_140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390"}</definedName>
    <definedName name="_140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389"}</definedName>
    <definedName name="_140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388"}</definedName>
    <definedName name="_140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387"}</definedName>
    <definedName name="_140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386"}</definedName>
    <definedName name="_140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385"}</definedName>
    <definedName name="_140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384"}</definedName>
    <definedName name="_140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383"}</definedName>
    <definedName name="_140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382"}</definedName>
    <definedName name="_140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381"}</definedName>
    <definedName name="_141__FDSAUDITLINK__" hidden="1">{"fdsup://directions/FAT Viewer?action=UPDATE&amp;creator=factset&amp;DYN_ARGS=TRUE&amp;DOC_NAME=FAT:FQL_AUDITING_CLIENT_TEMPLATE.FAT&amp;display_string=Audit&amp;VAR:KEY=YJSPWJEDAL&amp;VAR:QUERY=RkZfRVBTKExUTVMsLTEwQVksMCxGUSk=&amp;WINDOW=FIRST_POPUP&amp;HEIGHT=450&amp;WIDTH=450&amp;START_MAXIMI","ZED=FALSE&amp;VAR:CALENDAR=US&amp;VAR:SYMBOL=GOOG&amp;VAR:INDEX=7"}</definedName>
    <definedName name="_141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380"}</definedName>
    <definedName name="_141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379"}</definedName>
    <definedName name="_141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378"}</definedName>
    <definedName name="_141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377"}</definedName>
    <definedName name="_141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376"}</definedName>
    <definedName name="_141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375"}</definedName>
    <definedName name="_141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374"}</definedName>
    <definedName name="_141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373"}</definedName>
    <definedName name="_141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372"}</definedName>
    <definedName name="_141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371"}</definedName>
    <definedName name="_14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10.568144&amp;VAR:V0=11.605908&amp;VAR:V1=10.259008&amp;VAR:Y0=2011&amp;VAR:Y1=2012&amp;VAR:P=1131.420360&amp;VAR:DATE=20110930&amp;VAR:THRESH=-|-|","-|-|-|-|-"}</definedName>
    <definedName name="_142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370"}</definedName>
    <definedName name="_142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369"}</definedName>
    <definedName name="_142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368"}</definedName>
    <definedName name="_142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367"}</definedName>
    <definedName name="_142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366"}</definedName>
    <definedName name="_142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365"}</definedName>
    <definedName name="_142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364"}</definedName>
    <definedName name="_142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363"}</definedName>
    <definedName name="_142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362"}</definedName>
    <definedName name="_142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361"}</definedName>
    <definedName name="_14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12.551493&amp;VAR:V0=13.466262&amp;VAR:V1=11.740721&amp;VAR:Y0=2011&amp;VAR:Y1=2012&amp;VAR:P=1320.639049&amp;VAR:DATE=20110630&amp;VAR:THRESH=-|-|","-|-|-|-|-"}</definedName>
    <definedName name="_143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360"}</definedName>
    <definedName name="_143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359"}</definedName>
    <definedName name="_143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358"}</definedName>
    <definedName name="_143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357"}</definedName>
    <definedName name="_143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356"}</definedName>
    <definedName name="_143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355"}</definedName>
    <definedName name="_143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354"}</definedName>
    <definedName name="_143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353"}</definedName>
    <definedName name="_143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352"}</definedName>
    <definedName name="_143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351"}</definedName>
    <definedName name="_14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13.208584&amp;VAR:V0=13.650631&amp;VAR:V1=12.019300&amp;VAR:Y0=2011&amp;VAR:Y1=2012&amp;VAR:P=1325.826718&amp;VAR:DATE=20110331&amp;VAR:THRESH=-|-|","-|-|-|-|-"}</definedName>
    <definedName name="_144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350"}</definedName>
    <definedName name="_144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349"}</definedName>
    <definedName name="_144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348"}</definedName>
    <definedName name="_144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347"}</definedName>
    <definedName name="_144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346"}</definedName>
    <definedName name="_144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345"}</definedName>
    <definedName name="_144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344"}</definedName>
    <definedName name="_144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343"}</definedName>
    <definedName name="_144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342"}</definedName>
    <definedName name="_144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341"}</definedName>
    <definedName name="_14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13.188755&amp;VAR:V0=14.984786&amp;VAR:V1=13.188755&amp;VAR:Y0=2010&amp;VAR:Y1=2011&amp;VAR:P=1257.635988&amp;VAR:DATE=20101231&amp;VAR:THRESH=-|-|","-|-|-|-|-"}</definedName>
    <definedName name="_145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340"}</definedName>
    <definedName name="_145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339"}</definedName>
    <definedName name="_145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338"}</definedName>
    <definedName name="_145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337"}</definedName>
    <definedName name="_145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336"}</definedName>
    <definedName name="_145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335"}</definedName>
    <definedName name="_145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334"}</definedName>
    <definedName name="_145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333"}</definedName>
    <definedName name="_145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332"}</definedName>
    <definedName name="_145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331"}</definedName>
    <definedName name="_14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12.366638&amp;VAR:V0=13.736043&amp;VAR:V1=11.964666&amp;VAR:Y0=2010&amp;VAR:Y1=2011&amp;VAR:P=1141.201157&amp;VAR:DATE=20100930&amp;VAR:THRESH=-|-|","-|-|-|-|-"}</definedName>
    <definedName name="_146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330"}</definedName>
    <definedName name="_146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329"}</definedName>
    <definedName name="_146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328"}</definedName>
    <definedName name="_146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327"}</definedName>
    <definedName name="_146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326"}</definedName>
    <definedName name="_146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325"}</definedName>
    <definedName name="_146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324"}</definedName>
    <definedName name="_146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323"}</definedName>
    <definedName name="_146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322"}</definedName>
    <definedName name="_146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321"}</definedName>
    <definedName name="_14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11.528002&amp;VAR:V0=12.542488&amp;VAR:V1=10.652135&amp;VAR:Y0=2010&amp;VAR:Y1=2011&amp;VAR:P=1030.710083&amp;VAR:DATE=20100630&amp;VAR:THRESH=-|-|","-|-|-|-|-"}</definedName>
    <definedName name="_147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320"}</definedName>
    <definedName name="_147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319"}</definedName>
    <definedName name="_147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318"}</definedName>
    <definedName name="_147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317"}</definedName>
    <definedName name="_147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316"}</definedName>
    <definedName name="_147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315"}</definedName>
    <definedName name="_147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314"}</definedName>
    <definedName name="_147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313"}</definedName>
    <definedName name="_147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312"}</definedName>
    <definedName name="_147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311"}</definedName>
    <definedName name="_14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14.127944&amp;VAR:V0=14.822412&amp;VAR:V1=12.358671&amp;VAR:Y0=2010&amp;VAR:Y1=2011&amp;VAR:P=1169.431193&amp;VAR:DATE=20100331&amp;VAR:THRESH=-|-|","-|-|-|-|-"}</definedName>
    <definedName name="_148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310"}</definedName>
    <definedName name="_148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309"}</definedName>
    <definedName name="_148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308"}</definedName>
    <definedName name="_148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307"}</definedName>
    <definedName name="_148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306"}</definedName>
    <definedName name="_148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305"}</definedName>
    <definedName name="_148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304"}</definedName>
    <definedName name="_148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303"}</definedName>
    <definedName name="_148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302"}</definedName>
    <definedName name="_148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301"}</definedName>
    <definedName name="_14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14.322867&amp;VAR:V0=18.259919&amp;VAR:V1=14.322867&amp;VAR:Y0=2009&amp;VAR:Y1=2010&amp;VAR:P=1115.102681&amp;VAR:DATE=20091231&amp;VAR:THRESH=-|-|","-|-|-|-|-"}</definedName>
    <definedName name="_149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300"}</definedName>
    <definedName name="_149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299"}</definedName>
    <definedName name="_149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298"}</definedName>
    <definedName name="_149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297"}</definedName>
    <definedName name="_149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296"}</definedName>
    <definedName name="_149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295"}</definedName>
    <definedName name="_149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294"}</definedName>
    <definedName name="_149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293"}</definedName>
    <definedName name="_149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292"}</definedName>
    <definedName name="_149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291"}</definedName>
    <definedName name="_1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14.722544&amp;VAR:V0=16.786228&amp;VAR:V1=14.722544&amp;VAR:Y0=2007&amp;VAR:Y1=2008&amp;VAR:P=1468.355200&amp;VAR:DATE=20071231&amp;VAR:THRESH=-|-|","-|-|-|-|-"}</definedName>
    <definedName name="_15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14.831741&amp;VAR:V0=17.624895&amp;VAR:V1=14.079790&amp;VAR:Y0=2009&amp;VAR:Y1=2010&amp;VAR:P=1057.078558&amp;VAR:DATE=20090930&amp;VAR:THRESH=-|-|","-|-|-|-|-"}</definedName>
    <definedName name="_150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290"}</definedName>
    <definedName name="_150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289"}</definedName>
    <definedName name="_150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288"}</definedName>
    <definedName name="_150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287"}</definedName>
    <definedName name="_150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286"}</definedName>
    <definedName name="_150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285"}</definedName>
    <definedName name="_150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284"}</definedName>
    <definedName name="_150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283"}</definedName>
    <definedName name="_150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282"}</definedName>
    <definedName name="_150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281"}</definedName>
    <definedName name="_15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13.771984&amp;VAR:V0=15.493878&amp;VAR:V1=12.374019&amp;VAR:Y0=2009&amp;VAR:Y1=2010&amp;VAR:P=919.323942&amp;VAR:DATE=20090630&amp;VAR:THRESH=-|-|-","|-|-|-|-"}</definedName>
    <definedName name="_151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280"}</definedName>
    <definedName name="_151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279"}</definedName>
    <definedName name="_151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278"}</definedName>
    <definedName name="_151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277"}</definedName>
    <definedName name="_151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276"}</definedName>
    <definedName name="_151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275"}</definedName>
    <definedName name="_151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274"}</definedName>
    <definedName name="_151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273"}</definedName>
    <definedName name="_151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272"}</definedName>
    <definedName name="_151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271"}</definedName>
    <definedName name="_15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12.116971&amp;VAR:V0=12.804566&amp;VAR:V1=10.409046&amp;VAR:Y0=2009&amp;VAR:Y1=2010&amp;VAR:P=797.866805&amp;VAR:DATE=20090331&amp;VAR:THRESH=-|-|-","|-|-|-|-"}</definedName>
    <definedName name="_152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270"}</definedName>
    <definedName name="_152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269"}</definedName>
    <definedName name="_152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268"}</definedName>
    <definedName name="_152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267"}</definedName>
    <definedName name="_152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266"}</definedName>
    <definedName name="_152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265"}</definedName>
    <definedName name="_152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264"}</definedName>
    <definedName name="_152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263"}</definedName>
    <definedName name="_152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262"}</definedName>
    <definedName name="_152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261"}</definedName>
    <definedName name="_15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11.594580&amp;VAR:V0=11.648858&amp;VAR:V1=11.594580&amp;VAR:Y0=2008&amp;VAR:Y1=2009&amp;VAR:P=903.254921&amp;VAR:DATE=20081231&amp;VAR:THRESH=-|-|-","|-|-|-|-"}</definedName>
    <definedName name="_153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260"}</definedName>
    <definedName name="_153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259"}</definedName>
    <definedName name="_153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258"}</definedName>
    <definedName name="_153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257"}</definedName>
    <definedName name="_153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256"}</definedName>
    <definedName name="_153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255"}</definedName>
    <definedName name="_153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254"}</definedName>
    <definedName name="_153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253"}</definedName>
    <definedName name="_153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252"}</definedName>
    <definedName name="_153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251"}</definedName>
    <definedName name="_15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0.748634&amp;VAR:V=11.874289&amp;VAR:V0=13.365776&amp;VAR:V1=11.445449&amp;VAR:Y0=2008&amp;VAR:Y1=2009&amp;VAR:P=1166.361500&amp;VAR:DATE=20080930&amp;VAR:THRESH=-|-|","-|-|-|-|-"}</definedName>
    <definedName name="_154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250"}</definedName>
    <definedName name="_154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249"}</definedName>
    <definedName name="_154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248"}</definedName>
    <definedName name="_154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247"}</definedName>
    <definedName name="_154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246"}</definedName>
    <definedName name="_154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245"}</definedName>
    <definedName name="_154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244"}</definedName>
    <definedName name="_154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243"}</definedName>
    <definedName name="_154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242"}</definedName>
    <definedName name="_154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241"}</definedName>
    <definedName name="_15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0.497268&amp;VAR:V=12.787071&amp;VAR:V0=13.816194&amp;VAR:V1=11.891574&amp;VAR:Y0=2008&amp;VAR:Y1=2009&amp;VAR:P=1280.001200&amp;VAR:DATE=20080630&amp;VAR:THRESH=-|-|","-|-|-|-|-"}</definedName>
    <definedName name="_155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240"}</definedName>
    <definedName name="_155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239"}</definedName>
    <definedName name="_155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238"}</definedName>
    <definedName name="_155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237"}</definedName>
    <definedName name="_155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236"}</definedName>
    <definedName name="_155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235"}</definedName>
    <definedName name="_155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234"}</definedName>
    <definedName name="_155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233"}</definedName>
    <definedName name="_155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232"}</definedName>
    <definedName name="_155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231"}</definedName>
    <definedName name="_15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0.248634&amp;VAR:V=13.544612&amp;VAR:V0=14.003887&amp;VAR:V1=12.323259&amp;VAR:Y0=2008&amp;VAR:Y1=2009&amp;VAR:P=1322.703500&amp;VAR:DATE=20080331&amp;VAR:THRESH=-|-|","-|-|-|-|-"}</definedName>
    <definedName name="_156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230"}</definedName>
    <definedName name="_156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229"}</definedName>
    <definedName name="_156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228"}</definedName>
    <definedName name="_156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227"}</definedName>
    <definedName name="_156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226"}</definedName>
    <definedName name="_156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225"}</definedName>
    <definedName name="_156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224"}</definedName>
    <definedName name="_156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223"}</definedName>
    <definedName name="_156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222"}</definedName>
    <definedName name="_156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221"}</definedName>
    <definedName name="_15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14.719061&amp;VAR:V0=16.781939&amp;VAR:V1=14.719061&amp;VAR:Y0=2007&amp;VAR:Y1=2008&amp;VAR:P=1468.355200&amp;VAR:DATE=20071231&amp;VAR:THRESH=-|-|","-|-|-|-|-"}</definedName>
    <definedName name="_157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220"}</definedName>
    <definedName name="_157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219"}</definedName>
    <definedName name="_157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218"}</definedName>
    <definedName name="_157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217"}</definedName>
    <definedName name="_157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216"}</definedName>
    <definedName name="_157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215"}</definedName>
    <definedName name="_157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214"}</definedName>
    <definedName name="_157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213"}</definedName>
    <definedName name="_157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212"}</definedName>
    <definedName name="_157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211"}</definedName>
    <definedName name="_15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0.742466&amp;VAR:V=15.245538&amp;VAR:V0=16.538893&amp;VAR:V1=14.842924&amp;VAR:Y0=2007&amp;VAR:Y1=2008&amp;VAR:P=1526.746700&amp;VAR:DATE=20070928&amp;VAR:THRESH=-|-|","-|-|-|-|-"}</definedName>
    <definedName name="_158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210"}</definedName>
    <definedName name="_158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209"}</definedName>
    <definedName name="_158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208"}</definedName>
    <definedName name="_158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207"}</definedName>
    <definedName name="_158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206"}</definedName>
    <definedName name="_158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205"}</definedName>
    <definedName name="_158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204"}</definedName>
    <definedName name="_158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203"}</definedName>
    <definedName name="_158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202"}</definedName>
    <definedName name="_158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201"}</definedName>
    <definedName name="_15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0.493151&amp;VAR:V=15.363365&amp;VAR:V0=16.228417&amp;VAR:V1=14.565393&amp;VAR:Y0=2007&amp;VAR:Y1=2008&amp;VAR:P=1503.348600&amp;VAR:DATE=20070629&amp;VAR:THRESH=-|-|","-|-|-|-|-"}</definedName>
    <definedName name="_159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200"}</definedName>
    <definedName name="_159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199"}</definedName>
    <definedName name="_159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198"}</definedName>
    <definedName name="_159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197"}</definedName>
    <definedName name="_159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196"}</definedName>
    <definedName name="_159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195"}</definedName>
    <definedName name="_159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194"}</definedName>
    <definedName name="_159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193"}</definedName>
    <definedName name="_159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192"}</definedName>
    <definedName name="_159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191"}</definedName>
    <definedName name="_1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0.742466&amp;VAR:V=15.249678&amp;VAR:V0=16.543302&amp;VAR:V1=14.846977&amp;VAR:Y0=2007&amp;VAR:Y1=2008&amp;VAR:P=1526.746700&amp;VAR:DATE=20070928&amp;VAR:THRESH=-|-|","-|-|-|-|-"}</definedName>
    <definedName name="_16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0.243836&amp;VAR:V=15.148962&amp;VAR:V0=15.573066&amp;VAR:V1=13.969214&amp;VAR:Y0=2007&amp;VAR:Y1=2008&amp;VAR:P=1420.863800&amp;VAR:DATE=20070330&amp;VAR:THRESH=-|-|","-|-|-|-|-"}</definedName>
    <definedName name="_160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190"}</definedName>
    <definedName name="_160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189"}</definedName>
    <definedName name="_160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188"}</definedName>
    <definedName name="_160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187"}</definedName>
    <definedName name="_160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186"}</definedName>
    <definedName name="_160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185"}</definedName>
    <definedName name="_160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184"}</definedName>
    <definedName name="_160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183"}</definedName>
    <definedName name="_160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182"}</definedName>
    <definedName name="_160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181"}</definedName>
    <definedName name="_16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0.994521&amp;VAR:V=15.199205&amp;VAR:V0=16.539742&amp;VAR:V1=15.192421&amp;VAR:Y0=2006&amp;VAR:Y1=2007&amp;VAR:P=1418.300500&amp;VAR:DATE=20061229&amp;VAR:THRESH=-|-|","-|-|-|-|-"}</definedName>
    <definedName name="_161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180"}</definedName>
    <definedName name="_161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179"}</definedName>
    <definedName name="_161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178"}</definedName>
    <definedName name="_161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177"}</definedName>
    <definedName name="_161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176"}</definedName>
    <definedName name="_161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175"}</definedName>
    <definedName name="_161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174"}</definedName>
    <definedName name="_161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173"}</definedName>
    <definedName name="_161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172"}</definedName>
    <definedName name="_161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171"}</definedName>
    <definedName name="_16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0.745205&amp;VAR:V=14.572319&amp;VAR:V0=15.698977&amp;VAR:V1=14.223311&amp;VAR:Y0=2006&amp;VAR:Y1=2007&amp;VAR:P=1335.847000&amp;VAR:DATE=20060929&amp;VAR:THRESH=-|-|","-|-|-|-|-"}</definedName>
    <definedName name="_162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170"}</definedName>
    <definedName name="_162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169"}</definedName>
    <definedName name="_162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168"}</definedName>
    <definedName name="_162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167"}</definedName>
    <definedName name="_162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166"}</definedName>
    <definedName name="_162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165"}</definedName>
    <definedName name="_162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164"}</definedName>
    <definedName name="_162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163"}</definedName>
    <definedName name="_162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162"}</definedName>
    <definedName name="_162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161"}</definedName>
    <definedName name="_16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14.240161&amp;VAR:V0=14.996195&amp;VAR:V1=13.545923&amp;VAR:Y0=2006&amp;VAR:Y1=2007&amp;VAR:P=1270.204300&amp;VAR:DATE=20060630&amp;VAR:THRESH=-|-|","-|-|-|-|-"}</definedName>
    <definedName name="_163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160"}</definedName>
    <definedName name="_163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159"}</definedName>
    <definedName name="_163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158"}</definedName>
    <definedName name="_163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157"}</definedName>
    <definedName name="_163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156"}</definedName>
    <definedName name="_163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155"}</definedName>
    <definedName name="_163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154"}</definedName>
    <definedName name="_163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153"}</definedName>
    <definedName name="_163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152"}</definedName>
    <definedName name="_163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151"}</definedName>
    <definedName name="_16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15.131952&amp;VAR:V0=15.519063&amp;VAR:V1=14.060299&amp;VAR:Y0=2006&amp;VAR:Y1=2007&amp;VAR:P=1294.827900&amp;VAR:DATE=20060331&amp;VAR:THRESH=-|-|","-|-|-|-|-"}</definedName>
    <definedName name="_164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150"}</definedName>
    <definedName name="_164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149"}</definedName>
    <definedName name="_164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148"}</definedName>
    <definedName name="_164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147"}</definedName>
    <definedName name="_164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146"}</definedName>
    <definedName name="_164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145"}</definedName>
    <definedName name="_164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144"}</definedName>
    <definedName name="_164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143"}</definedName>
    <definedName name="_164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142"}</definedName>
    <definedName name="_164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141"}</definedName>
    <definedName name="_16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0.997260&amp;VAR:V=15.009019&amp;VAR:V0=16.896282&amp;VAR:V1=15.004415&amp;VAR:Y0=2005&amp;VAR:Y1=2006&amp;VAR:P=1248.293000&amp;VAR:DATE=20051230&amp;VAR:THRESH=-|-|","-|-|-|-|-"}</definedName>
    <definedName name="_165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140"}</definedName>
    <definedName name="_165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139"}</definedName>
    <definedName name="_165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138"}</definedName>
    <definedName name="_165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137"}</definedName>
    <definedName name="_165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136"}</definedName>
    <definedName name="_165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135"}</definedName>
    <definedName name="_165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134"}</definedName>
    <definedName name="_165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133"}</definedName>
    <definedName name="_165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132"}</definedName>
    <definedName name="_165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131"}</definedName>
    <definedName name="_16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15.099681&amp;VAR:V0=16.330328&amp;VAR:V1=14.725708&amp;VAR:Y0=2005&amp;VAR:Y1=2006&amp;VAR:P=1228.811400&amp;VAR:DATE=20050930&amp;VAR:THRESH=-|-|","-|-|-|-|-"}</definedName>
    <definedName name="_166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130"}</definedName>
    <definedName name="_166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129"}</definedName>
    <definedName name="_166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128"}</definedName>
    <definedName name="_166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127"}</definedName>
    <definedName name="_166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126"}</definedName>
    <definedName name="_166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125"}</definedName>
    <definedName name="_166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124"}</definedName>
    <definedName name="_166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123"}</definedName>
    <definedName name="_166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122"}</definedName>
    <definedName name="_166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121"}</definedName>
    <definedName name="_16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15.417518&amp;VAR:V0=16.155154&amp;VAR:V1=14.733637&amp;VAR:Y0=2005&amp;VAR:Y1=2006&amp;VAR:P=1191.327600&amp;VAR:DATE=20050630&amp;VAR:THRESH=-|-|","-|-|-|-|-"}</definedName>
    <definedName name="_167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120"}</definedName>
    <definedName name="_167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119"}</definedName>
    <definedName name="_167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118"}</definedName>
    <definedName name="_167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117"}</definedName>
    <definedName name="_167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116"}</definedName>
    <definedName name="_167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115"}</definedName>
    <definedName name="_167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114"}</definedName>
    <definedName name="_167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113"}</definedName>
    <definedName name="_167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112"}</definedName>
    <definedName name="_167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111"}</definedName>
    <definedName name="_16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15.731499&amp;VAR:V0=16.114874&amp;VAR:V1=14.665437&amp;VAR:Y0=2005&amp;VAR:Y1=2006&amp;VAR:P=1180.591000&amp;VAR:DATE=20050331&amp;VAR:THRESH=-|-|","-|-|-|-|-"}</definedName>
    <definedName name="_168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110"}</definedName>
    <definedName name="_168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109"}</definedName>
    <definedName name="_168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108"}</definedName>
    <definedName name="_168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107"}</definedName>
    <definedName name="_168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106"}</definedName>
    <definedName name="_168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105"}</definedName>
    <definedName name="_168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104"}</definedName>
    <definedName name="_168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103"}</definedName>
    <definedName name="_168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102"}</definedName>
    <definedName name="_168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101"}</definedName>
    <definedName name="_16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16.742739&amp;VAR:V0=18.598545&amp;VAR:V1=16.742739&amp;VAR:Y0=2004&amp;VAR:Y1=2005&amp;VAR:P=1211.916300&amp;VAR:DATE=20041231&amp;VAR:THRESH=-|-|","-|-|-|-|-"}</definedName>
    <definedName name="_169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100"}</definedName>
    <definedName name="_169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99"}</definedName>
    <definedName name="_169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98"}</definedName>
    <definedName name="_169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97"}</definedName>
    <definedName name="_169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96"}</definedName>
    <definedName name="_169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95"}</definedName>
    <definedName name="_169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94"}</definedName>
    <definedName name="_169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93"}</definedName>
    <definedName name="_169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92"}</definedName>
    <definedName name="_169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91"}</definedName>
    <definedName name="_1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0.493151&amp;VAR:V=15.367080&amp;VAR:V0=16.229910&amp;VAR:V1=14.570928&amp;VAR:Y0=2007&amp;VAR:Y1=2008&amp;VAR:P=1503.348600&amp;VAR:DATE=20070629&amp;VAR:THRESH=-|-|","-|-|-|-|-"}</definedName>
    <definedName name="_17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0.748634&amp;VAR:V=15.870983&amp;VAR:V0=17.055348&amp;VAR:V1=15.509360&amp;VAR:Y0=2004&amp;VAR:Y1=2005&amp;VAR:P=1114.583100&amp;VAR:DATE=20040930&amp;VAR:THRESH=-|-|","-|-|-|-|-"}</definedName>
    <definedName name="_170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90"}</definedName>
    <definedName name="_170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89"}</definedName>
    <definedName name="_170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88"}</definedName>
    <definedName name="_170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87"}</definedName>
    <definedName name="_170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86"}</definedName>
    <definedName name="_170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85"}</definedName>
    <definedName name="_170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84"}</definedName>
    <definedName name="_170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83"}</definedName>
    <definedName name="_170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82"}</definedName>
    <definedName name="_170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81"}</definedName>
    <definedName name="_17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0.497268&amp;VAR:V=16.831227&amp;VAR:V0=17.679897&amp;VAR:V1=16.052221&amp;VAR:Y0=2004&amp;VAR:Y1=2005&amp;VAR:P=1140.835600&amp;VAR:DATE=20040630&amp;VAR:THRESH=-|-|","-|-|-|-|-"}</definedName>
    <definedName name="_171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80"}</definedName>
    <definedName name="_171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79"}</definedName>
    <definedName name="_171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78"}</definedName>
    <definedName name="_171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77"}</definedName>
    <definedName name="_171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76"}</definedName>
    <definedName name="_171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75"}</definedName>
    <definedName name="_171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74"}</definedName>
    <definedName name="_171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73"}</definedName>
    <definedName name="_171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72"}</definedName>
    <definedName name="_171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71"}</definedName>
    <definedName name="_17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0.248634&amp;VAR:V=17.884332&amp;VAR:V0=18.442551&amp;VAR:V1=16.385558&amp;VAR:Y0=2004&amp;VAR:Y1=2005&amp;VAR:P=1126.211500&amp;VAR:DATE=20040331&amp;VAR:THRESH=-|-|","-|-|-|-|-"}</definedName>
    <definedName name="_172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70"}</definedName>
    <definedName name="_172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69"}</definedName>
    <definedName name="_172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68"}</definedName>
    <definedName name="_172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67"}</definedName>
    <definedName name="_172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66"}</definedName>
    <definedName name="_172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65"}</definedName>
    <definedName name="_172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64"}</definedName>
    <definedName name="_172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63"}</definedName>
    <definedName name="_172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62"}</definedName>
    <definedName name="_172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61"}</definedName>
    <definedName name="_17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18.629989&amp;VAR:V0=21.095953&amp;VAR:V1=18.629989&amp;VAR:Y0=2003&amp;VAR:Y1=2004&amp;VAR:P=1111.915800&amp;VAR:DATE=20031231&amp;VAR:THRESH=-|-|","-|-|-|-|-"}</definedName>
    <definedName name="_173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60"}</definedName>
    <definedName name="_173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59"}</definedName>
    <definedName name="_173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58"}</definedName>
    <definedName name="_173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57"}</definedName>
    <definedName name="_173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56"}</definedName>
    <definedName name="_173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55"}</definedName>
    <definedName name="_173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54"}</definedName>
    <definedName name="_173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53"}</definedName>
    <definedName name="_173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52"}</definedName>
    <definedName name="_173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51"}</definedName>
    <definedName name="_17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17.467063&amp;VAR:V0=19.047895&amp;VAR:V1=16.991833&amp;VAR:Y0=2003&amp;VAR:Y1=2004&amp;VAR:P=995.965330&amp;VAR:DATE=20030930&amp;VAR:THRESH=-|-|-","|-|-|-|-"}</definedName>
    <definedName name="_174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50"}</definedName>
    <definedName name="_174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49"}</definedName>
    <definedName name="_174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48"}</definedName>
    <definedName name="_174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47"}</definedName>
    <definedName name="_174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46"}</definedName>
    <definedName name="_174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45"}</definedName>
    <definedName name="_174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44"}</definedName>
    <definedName name="_174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43"}</definedName>
    <definedName name="_174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42"}</definedName>
    <definedName name="_174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41"}</definedName>
    <definedName name="_17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17.710551&amp;VAR:V0=18.835338&amp;VAR:V1=16.696936&amp;VAR:Y0=2003&amp;VAR:Y1=2004&amp;VAR:P=974.500900&amp;VAR:DATE=20030630&amp;VAR:THRESH=-|-|-","|-|-|-|-"}</definedName>
    <definedName name="_175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40"}</definedName>
    <definedName name="_175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39"}</definedName>
    <definedName name="_175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38"}</definedName>
    <definedName name="_175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37"}</definedName>
    <definedName name="_175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36"}</definedName>
    <definedName name="_175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35"}</definedName>
    <definedName name="_175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34"}</definedName>
    <definedName name="_175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33"}</definedName>
    <definedName name="_175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32"}</definedName>
    <definedName name="_175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31"}</definedName>
    <definedName name="_17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15.879847&amp;VAR:V0=16.445462&amp;VAR:V1=14.369720&amp;VAR:Y0=2003&amp;VAR:Y1=2004&amp;VAR:P=848.179300&amp;VAR:DATE=20030331&amp;VAR:THRESH=-|-|-","|-|-|-|-"}</definedName>
    <definedName name="_176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30"}</definedName>
    <definedName name="_176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29"}</definedName>
    <definedName name="_176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28"}</definedName>
    <definedName name="_176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27"}</definedName>
    <definedName name="_176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26"}</definedName>
    <definedName name="_176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25"}</definedName>
    <definedName name="_176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24"}</definedName>
    <definedName name="_176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23"}</definedName>
    <definedName name="_176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22"}</definedName>
    <definedName name="_176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21"}</definedName>
    <definedName name="_17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16.452287&amp;VAR:V0=18.564979&amp;VAR:V1=16.452287&amp;VAR:Y0=2002&amp;VAR:Y1=2003&amp;VAR:P=879.819100&amp;VAR:DATE=20021231&amp;VAR:THRESH=-|-|-","|-|-|-|-"}</definedName>
    <definedName name="_177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20"}</definedName>
    <definedName name="_177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19"}</definedName>
    <definedName name="_177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18"}</definedName>
    <definedName name="_177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17"}</definedName>
    <definedName name="_177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16"}</definedName>
    <definedName name="_177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15"}</definedName>
    <definedName name="_177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14"}</definedName>
    <definedName name="_177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13"}</definedName>
    <definedName name="_177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definedName>
    <definedName name="_177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definedName>
    <definedName name="_17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15.034948&amp;VAR:V0=16.808285&amp;VAR:V1=14.518743&amp;VAR:Y0=2002&amp;VAR:Y1=2003&amp;VAR:P=815.284670&amp;VAR:DATE=20020930&amp;VAR:THRESH=-|-|-","|-|-|-|-"}</definedName>
    <definedName name="_178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definedName>
    <definedName name="_178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definedName>
    <definedName name="_178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definedName>
    <definedName name="_178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definedName>
    <definedName name="_178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6"}</definedName>
    <definedName name="_178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5"}</definedName>
    <definedName name="_178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4"}</definedName>
    <definedName name="_178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3"}</definedName>
    <definedName name="_178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2"}</definedName>
    <definedName name="_178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definedName>
    <definedName name="_17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0.490411&amp;VAR:V=18.134204&amp;VAR:V0=19.732588&amp;VAR:V1=16.726348&amp;VAR:Y0=2002&amp;VAR:Y1=2003&amp;VAR:P=989.814330&amp;VAR:DATE=20020628&amp;VAR:THRESH=-|-|-","|-|-|-|-"}</definedName>
    <definedName name="_179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0"}</definedName>
    <definedName name="_1791__FDSAUDITLINK__">{"fdsup://directions/FAT Viewer?action=UPDATE&amp;creator=factset&amp;DYN_ARGS=TRUE&amp;DOC_NAME=FAT:FQL_AUDITING_CLIENT_TEMPLATE.FAT&amp;display_string=Audit&amp;VAR:KEY=QHIZEPIDEN&amp;VAR:QUERY=KFBfUFJJQ0UoMzk2MDgpLShGRl9DQVNIX1NUKFFUUiwzOTYwOCkvUF9DT01fU0hTX09VVCgzOTYwOCkpKS9GR","V9FU1RJTUFURSgnRVBTJywnTUVBTicsJ0FOTlVBTF9ST0xMJywnKzEnLDM5NjA4LCwsJycp&amp;WINDOW=FIRST_POPUP&amp;HEIGHT=450&amp;WIDTH=450&amp;START_MAXIMIZED=FALSE&amp;VAR:CALENDAR=US&amp;VAR:SYMBOL=38259P50&amp;VAR:INDEX=0"}</definedName>
    <definedName name="_1792__FDSAUDITLINK__">{"fdsup://directions/FAT Viewer?action=UPDATE&amp;creator=factset&amp;DYN_ARGS=TRUE&amp;DOC_NAME=FAT:FQL_AUDITING_CLIENT_TEMPLATE.FAT&amp;display_string=Audit&amp;VAR:KEY=QHIZEPIDEN&amp;VAR:QUERY=KFBfUFJJQ0UoMzk2MDgpLShGRl9DQVNIX1NUKFFUUiwzOTYwOCkvUF9DT01fU0hTX09VVCgzOTYwOCkpKS9GR","V9FU1RJTUFURSgnRVBTJywnTUVBTicsJ0FOTlVBTF9ST0xMJywnKzEnLDM5NjA4LCwsJycp&amp;WINDOW=FIRST_POPUP&amp;HEIGHT=450&amp;WIDTH=450&amp;START_MAXIMIZED=FALSE&amp;VAR:CALENDAR=US&amp;VAR:SYMBOL=38259P50&amp;VAR:INDEX=0"}</definedName>
    <definedName name="_1793__FDSAUDITLINK__">{"fdsup://directions/FAT Viewer?action=UPDATE&amp;creator=factset&amp;DYN_ARGS=TRUE&amp;DOC_NAME=FAT:FQL_AUDITING_CLIENT_TEMPLATE.FAT&amp;display_string=Audit&amp;VAR:KEY=UDMBCVMPON&amp;VAR:QUERY=KFBfUFJJQ0UoNDA3MDMpLShGRl9DQVNIX1NUKFFUUiw0MDcwMykvUF9DT01fU0hTX09VVCg0MDcwMykpKS9GR","V9FU1RJTUFURSgnRVBTJywnTUVBTicsJ0FOTlVBTF9ST0xMJywnKzEnLDQwNzAzLCwsJycp&amp;WINDOW=FIRST_POPUP&amp;HEIGHT=450&amp;WIDTH=450&amp;START_MAXIMIZED=FALSE&amp;VAR:CALENDAR=US&amp;VAR:SYMBOL=38259P50&amp;VAR:INDEX=0"}</definedName>
    <definedName name="_1794__FDSAUDITLINK__">{"fdsup://directions/FAT Viewer?action=UPDATE&amp;creator=factset&amp;DYN_ARGS=TRUE&amp;DOC_NAME=FAT:FQL_AUDITING_CLIENT_TEMPLATE.FAT&amp;display_string=Audit&amp;VAR:KEY=UDMBCVMPON&amp;VAR:QUERY=KFBfUFJJQ0UoNDA3MDMpLShGRl9DQVNIX1NUKFFUUiw0MDcwMykvUF9DT01fU0hTX09VVCg0MDcwMykpKS9GR","V9FU1RJTUFURSgnRVBTJywnTUVBTicsJ0FOTlVBTF9ST0xMJywnKzEnLDQwNzAzLCwsJycp&amp;WINDOW=FIRST_POPUP&amp;HEIGHT=450&amp;WIDTH=450&amp;START_MAXIMIZED=FALSE&amp;VAR:CALENDAR=US&amp;VAR:SYMBOL=38259P50&amp;VAR:INDEX=0"}</definedName>
    <definedName name="_1795__FDSAUDITLINK__">{"fdsup://directions/FAT Viewer?action=UPDATE&amp;creator=factset&amp;DYN_ARGS=TRUE&amp;DOC_NAME=FAT:FQL_AUDITING_CLIENT_TEMPLATE.FAT&amp;display_string=Audit&amp;VAR:KEY=MXINYFYJAL&amp;VAR:QUERY=KFBfUFJJQ0UoNDA3MDIpLShGRl9DQVNIX1NUKFFUUiw0MDcwMikvUF9DT01fU0hTX09VVCg0MDcwMikpKS9GR","V9FU1RJTUFURSgnRVBTJywnTUVBTicsJ0FOTlVBTF9ST0xMJywnKzEnLDQwNzAyLCwsJycp&amp;WINDOW=FIRST_POPUP&amp;HEIGHT=450&amp;WIDTH=450&amp;START_MAXIMIZED=FALSE&amp;VAR:CALENDAR=US&amp;VAR:SYMBOL=38259P50&amp;VAR:INDEX=0"}</definedName>
    <definedName name="_1796__FDSAUDITLINK__">{"fdsup://directions/FAT Viewer?action=UPDATE&amp;creator=factset&amp;DYN_ARGS=TRUE&amp;DOC_NAME=FAT:FQL_AUDITING_CLIENT_TEMPLATE.FAT&amp;display_string=Audit&amp;VAR:KEY=MXINYFYJAL&amp;VAR:QUERY=KFBfUFJJQ0UoNDA3MDIpLShGRl9DQVNIX1NUKFFUUiw0MDcwMikvUF9DT01fU0hTX09VVCg0MDcwMikpKS9GR","V9FU1RJTUFURSgnRVBTJywnTUVBTicsJ0FOTlVBTF9ST0xMJywnKzEnLDQwNzAyLCwsJycp&amp;WINDOW=FIRST_POPUP&amp;HEIGHT=450&amp;WIDTH=450&amp;START_MAXIMIZED=FALSE&amp;VAR:CALENDAR=US&amp;VAR:SYMBOL=38259P50&amp;VAR:INDEX=0"}</definedName>
    <definedName name="_1797__FDSAUDITLINK__">{"fdsup://directions/FAT Viewer?action=UPDATE&amp;creator=factset&amp;DYN_ARGS=TRUE&amp;DOC_NAME=FAT:FQL_AUDITING_CLIENT_TEMPLATE.FAT&amp;display_string=Audit&amp;VAR:KEY=UTOPUPQPAD&amp;VAR:QUERY=KFBfUFJJQ0UoNDA3MDEpLShGRl9DQVNIX1NUKFFUUiw0MDcwMSkvUF9DT01fU0hTX09VVCg0MDcwMSkpKS9GR","V9FU1RJTUFURSgnRVBTJywnTUVBTicsJ0FOTlVBTF9ST0xMJywnKzEnLDQwNzAxLCwsJycp&amp;WINDOW=FIRST_POPUP&amp;HEIGHT=450&amp;WIDTH=450&amp;START_MAXIMIZED=FALSE&amp;VAR:CALENDAR=US&amp;VAR:SYMBOL=38259P50&amp;VAR:INDEX=0"}</definedName>
    <definedName name="_1798__FDSAUDITLINK__">{"fdsup://directions/FAT Viewer?action=UPDATE&amp;creator=factset&amp;DYN_ARGS=TRUE&amp;DOC_NAME=FAT:FQL_AUDITING_CLIENT_TEMPLATE.FAT&amp;display_string=Audit&amp;VAR:KEY=UTOPUPQPAD&amp;VAR:QUERY=KFBfUFJJQ0UoNDA3MDEpLShGRl9DQVNIX1NUKFFUUiw0MDcwMSkvUF9DT01fU0hTX09VVCg0MDcwMSkpKS9GR","V9FU1RJTUFURSgnRVBTJywnTUVBTicsJ0FOTlVBTF9ST0xMJywnKzEnLDQwNzAxLCwsJycp&amp;WINDOW=FIRST_POPUP&amp;HEIGHT=450&amp;WIDTH=450&amp;START_MAXIMIZED=FALSE&amp;VAR:CALENDAR=US&amp;VAR:SYMBOL=38259P50&amp;VAR:INDEX=0"}</definedName>
    <definedName name="_1799__FDSAUDITLINK__">{"fdsup://directions/FAT Viewer?action=UPDATE&amp;creator=factset&amp;DYN_ARGS=TRUE&amp;DOC_NAME=FAT:FQL_AUDITING_CLIENT_TEMPLATE.FAT&amp;display_string=Audit&amp;VAR:KEY=AZMFITYFYD&amp;VAR:QUERY=KFBfUFJJQ0UoNDA3MDApLShGRl9DQVNIX1NUKFFUUiw0MDcwMCkvUF9DT01fU0hTX09VVCg0MDcwMCkpKS9GR","V9FU1RJTUFURSgnRVBTJywnTUVBTicsJ0FOTlVBTF9ST0xMJywnKzEnLDQwNzAwLCwsJycp&amp;WINDOW=FIRST_POPUP&amp;HEIGHT=450&amp;WIDTH=450&amp;START_MAXIMIZED=FALSE&amp;VAR:CALENDAR=US&amp;VAR:SYMBOL=38259P50&amp;VAR:INDEX=0"}</definedName>
    <definedName name="_1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0.243836&amp;VAR:V=15.153602&amp;VAR:V0=15.577984&amp;VAR:V1=13.973123&amp;VAR:Y0=2007&amp;VAR:Y1=2008&amp;VAR:P=1420.863800&amp;VAR:DATE=20070330&amp;VAR:THRESH=-|-|","-|-|-|-|-"}</definedName>
    <definedName name="_18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0.238356&amp;VAR:V=21.262725&amp;VAR:V0=22.161047&amp;VAR:V1=18.824417&amp;VAR:Y0=2002&amp;VAR:Y1=2003&amp;VAR:P=1147.386500&amp;VAR:DATE=20020328&amp;VAR:THRESH=-|-|","-|-|-|-|-"}</definedName>
    <definedName name="_1800__FDSAUDITLINK__">{"fdsup://directions/FAT Viewer?action=UPDATE&amp;creator=factset&amp;DYN_ARGS=TRUE&amp;DOC_NAME=FAT:FQL_AUDITING_CLIENT_TEMPLATE.FAT&amp;display_string=Audit&amp;VAR:KEY=AZMFITYFYD&amp;VAR:QUERY=KFBfUFJJQ0UoNDA3MDApLShGRl9DQVNIX1NUKFFUUiw0MDcwMCkvUF9DT01fU0hTX09VVCg0MDcwMCkpKS9GR","V9FU1RJTUFURSgnRVBTJywnTUVBTicsJ0FOTlVBTF9ST0xMJywnKzEnLDQwNzAwLCwsJycp&amp;WINDOW=FIRST_POPUP&amp;HEIGHT=450&amp;WIDTH=450&amp;START_MAXIMIZED=FALSE&amp;VAR:CALENDAR=US&amp;VAR:SYMBOL=38259P50&amp;VAR:INDEX=0"}</definedName>
    <definedName name="_1801__FDSAUDITLINK__">{"fdsup://directions/FAT Viewer?action=UPDATE&amp;creator=factset&amp;DYN_ARGS=TRUE&amp;DOC_NAME=FAT:FQL_AUDITING_CLIENT_TEMPLATE.FAT&amp;display_string=Audit&amp;VAR:KEY=WDMVKZUDIJ&amp;VAR:QUERY=KFBfUFJJQ0UoNDA2OTkpLShGRl9DQVNIX1NUKFFUUiw0MDY5OSkvUF9DT01fU0hTX09VVCg0MDY5OSkpKS9GR","V9FU1RJTUFURSgnRVBTJywnTUVBTicsJ0FOTlVBTF9ST0xMJywnKzEnLDQwNjk5LCwsJycp&amp;WINDOW=FIRST_POPUP&amp;HEIGHT=450&amp;WIDTH=450&amp;START_MAXIMIZED=FALSE&amp;VAR:CALENDAR=US&amp;VAR:SYMBOL=38259P50&amp;VAR:INDEX=0"}</definedName>
    <definedName name="_1802__FDSAUDITLINK__">{"fdsup://directions/FAT Viewer?action=UPDATE&amp;creator=factset&amp;DYN_ARGS=TRUE&amp;DOC_NAME=FAT:FQL_AUDITING_CLIENT_TEMPLATE.FAT&amp;display_string=Audit&amp;VAR:KEY=WDMVKZUDIJ&amp;VAR:QUERY=KFBfUFJJQ0UoNDA2OTkpLShGRl9DQVNIX1NUKFFUUiw0MDY5OSkvUF9DT01fU0hTX09VVCg0MDY5OSkpKS9GR","V9FU1RJTUFURSgnRVBTJywnTUVBTicsJ0FOTlVBTF9ST0xMJywnKzEnLDQwNjk5LCwsJycp&amp;WINDOW=FIRST_POPUP&amp;HEIGHT=450&amp;WIDTH=450&amp;START_MAXIMIZED=FALSE&amp;VAR:CALENDAR=US&amp;VAR:SYMBOL=38259P50&amp;VAR:INDEX=0"}</definedName>
    <definedName name="_1803__FDSAUDITLINK__">{"fdsup://directions/FAT Viewer?action=UPDATE&amp;creator=factset&amp;DYN_ARGS=TRUE&amp;DOC_NAME=FAT:FQL_AUDITING_CLIENT_TEMPLATE.FAT&amp;display_string=Audit&amp;VAR:KEY=UPGFGRUBOX&amp;VAR:QUERY=KFBfUFJJQ0UoNDA2OTgpLShGRl9DQVNIX1NUKFFUUiw0MDY5OCkvUF9DT01fU0hTX09VVCg0MDY5OCkpKS9GR","V9FU1RJTUFURSgnRVBTJywnTUVBTicsJ0FOTlVBTF9ST0xMJywnKzEnLDQwNjk4LCwsJycp&amp;WINDOW=FIRST_POPUP&amp;HEIGHT=450&amp;WIDTH=450&amp;START_MAXIMIZED=FALSE&amp;VAR:CALENDAR=US&amp;VAR:SYMBOL=38259P50&amp;VAR:INDEX=0"}</definedName>
    <definedName name="_1804__FDSAUDITLINK__">{"fdsup://directions/FAT Viewer?action=UPDATE&amp;creator=factset&amp;DYN_ARGS=TRUE&amp;DOC_NAME=FAT:FQL_AUDITING_CLIENT_TEMPLATE.FAT&amp;display_string=Audit&amp;VAR:KEY=UPGFGRUBOX&amp;VAR:QUERY=KFBfUFJJQ0UoNDA2OTgpLShGRl9DQVNIX1NUKFFUUiw0MDY5OCkvUF9DT01fU0hTX09VVCg0MDY5OCkpKS9GR","V9FU1RJTUFURSgnRVBTJywnTUVBTicsJ0FOTlVBTF9ST0xMJywnKzEnLDQwNjk4LCwsJycp&amp;WINDOW=FIRST_POPUP&amp;HEIGHT=450&amp;WIDTH=450&amp;START_MAXIMIZED=FALSE&amp;VAR:CALENDAR=US&amp;VAR:SYMBOL=38259P50&amp;VAR:INDEX=0"}</definedName>
    <definedName name="_1805__FDSAUDITLINK__">{"fdsup://directions/FAT Viewer?action=UPDATE&amp;creator=factset&amp;DYN_ARGS=TRUE&amp;DOC_NAME=FAT:FQL_AUDITING_CLIENT_TEMPLATE.FAT&amp;display_string=Audit&amp;VAR:KEY=EDKJUJALGH&amp;VAR:QUERY=KFBfUFJJQ0UoNDA2OTcpLShGRl9DQVNIX1NUKFFUUiw0MDY5NykvUF9DT01fU0hTX09VVCg0MDY5NykpKS9GR","V9FU1RJTUFURSgnRVBTJywnTUVBTicsJ0FOTlVBTF9ST0xMJywnKzEnLDQwNjk3LCwsJycp&amp;WINDOW=FIRST_POPUP&amp;HEIGHT=450&amp;WIDTH=450&amp;START_MAXIMIZED=FALSE&amp;VAR:CALENDAR=US&amp;VAR:SYMBOL=38259P50&amp;VAR:INDEX=0"}</definedName>
    <definedName name="_1806__FDSAUDITLINK__">{"fdsup://directions/FAT Viewer?action=UPDATE&amp;creator=factset&amp;DYN_ARGS=TRUE&amp;DOC_NAME=FAT:FQL_AUDITING_CLIENT_TEMPLATE.FAT&amp;display_string=Audit&amp;VAR:KEY=EDKJUJALGH&amp;VAR:QUERY=KFBfUFJJQ0UoNDA2OTcpLShGRl9DQVNIX1NUKFFUUiw0MDY5NykvUF9DT01fU0hTX09VVCg0MDY5NykpKS9GR","V9FU1RJTUFURSgnRVBTJywnTUVBTicsJ0FOTlVBTF9ST0xMJywnKzEnLDQwNjk3LCwsJycp&amp;WINDOW=FIRST_POPUP&amp;HEIGHT=450&amp;WIDTH=450&amp;START_MAXIMIZED=FALSE&amp;VAR:CALENDAR=US&amp;VAR:SYMBOL=38259P50&amp;VAR:INDEX=0"}</definedName>
    <definedName name="_1807__FDSAUDITLINK__">{"fdsup://directions/FAT Viewer?action=UPDATE&amp;creator=factset&amp;DYN_ARGS=TRUE&amp;DOC_NAME=FAT:FQL_AUDITING_CLIENT_TEMPLATE.FAT&amp;display_string=Audit&amp;VAR:KEY=YBGBYHIDID&amp;VAR:QUERY=KFBfUFJJQ0UoNDA2OTYpLShGRl9DQVNIX1NUKFFUUiw0MDY5NikvUF9DT01fU0hTX09VVCg0MDY5NikpKS9GR","V9FU1RJTUFURSgnRVBTJywnTUVBTicsJ0FOTlVBTF9ST0xMJywnKzEnLDQwNjk2LCwsJycp&amp;WINDOW=FIRST_POPUP&amp;HEIGHT=450&amp;WIDTH=450&amp;START_MAXIMIZED=FALSE&amp;VAR:CALENDAR=US&amp;VAR:SYMBOL=38259P50&amp;VAR:INDEX=0"}</definedName>
    <definedName name="_1808__FDSAUDITLINK__">{"fdsup://directions/FAT Viewer?action=UPDATE&amp;creator=factset&amp;DYN_ARGS=TRUE&amp;DOC_NAME=FAT:FQL_AUDITING_CLIENT_TEMPLATE.FAT&amp;display_string=Audit&amp;VAR:KEY=YBGBYHIDID&amp;VAR:QUERY=KFBfUFJJQ0UoNDA2OTYpLShGRl9DQVNIX1NUKFFUUiw0MDY5NikvUF9DT01fU0hTX09VVCg0MDY5NikpKS9GR","V9FU1RJTUFURSgnRVBTJywnTUVBTicsJ0FOTlVBTF9ST0xMJywnKzEnLDQwNjk2LCwsJycp&amp;WINDOW=FIRST_POPUP&amp;HEIGHT=450&amp;WIDTH=450&amp;START_MAXIMIZED=FALSE&amp;VAR:CALENDAR=US&amp;VAR:SYMBOL=38259P50&amp;VAR:INDEX=0"}</definedName>
    <definedName name="_1809__FDSAUDITLINK__">{"fdsup://directions/FAT Viewer?action=UPDATE&amp;creator=factset&amp;DYN_ARGS=TRUE&amp;DOC_NAME=FAT:FQL_AUDITING_CLIENT_TEMPLATE.FAT&amp;display_string=Audit&amp;VAR:KEY=EZYPYDGLSP&amp;VAR:QUERY=KFBfUFJJQ0UoNDA2OTUpLShGRl9DQVNIX1NUKFFUUiw0MDY5NSkvUF9DT01fU0hTX09VVCg0MDY5NSkpKS9GR","V9FU1RJTUFURSgnRVBTJywnTUVBTicsJ0FOTlVBTF9ST0xMJywnKzEnLDQwNjk1LCwsJycp&amp;WINDOW=FIRST_POPUP&amp;HEIGHT=450&amp;WIDTH=450&amp;START_MAXIMIZED=FALSE&amp;VAR:CALENDAR=US&amp;VAR:SYMBOL=38259P50&amp;VAR:INDEX=0"}</definedName>
    <definedName name="_18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21.796135&amp;VAR:V0=24.451031&amp;VAR:V1=21.796135&amp;VAR:Y0=2001&amp;VAR:Y1=2002&amp;VAR:P=1148.080000&amp;VAR:DATE=20011231&amp;VAR:THRESH=-|-|","-|-|-|-|-"}</definedName>
    <definedName name="_1810__FDSAUDITLINK__">{"fdsup://directions/FAT Viewer?action=UPDATE&amp;creator=factset&amp;DYN_ARGS=TRUE&amp;DOC_NAME=FAT:FQL_AUDITING_CLIENT_TEMPLATE.FAT&amp;display_string=Audit&amp;VAR:KEY=EZYPYDGLSP&amp;VAR:QUERY=KFBfUFJJQ0UoNDA2OTUpLShGRl9DQVNIX1NUKFFUUiw0MDY5NSkvUF9DT01fU0hTX09VVCg0MDY5NSkpKS9GR","V9FU1RJTUFURSgnRVBTJywnTUVBTicsJ0FOTlVBTF9ST0xMJywnKzEnLDQwNjk1LCwsJycp&amp;WINDOW=FIRST_POPUP&amp;HEIGHT=450&amp;WIDTH=450&amp;START_MAXIMIZED=FALSE&amp;VAR:CALENDAR=US&amp;VAR:SYMBOL=38259P50&amp;VAR:INDEX=0"}</definedName>
    <definedName name="_1811__FDSAUDITLINK__">{"fdsup://directions/FAT Viewer?action=UPDATE&amp;creator=factset&amp;DYN_ARGS=TRUE&amp;DOC_NAME=FAT:FQL_AUDITING_CLIENT_TEMPLATE.FAT&amp;display_string=Audit&amp;VAR:KEY=ULOLSXEXSH&amp;VAR:QUERY=KFBfUFJJQ0UoNDA2OTQpLShGRl9DQVNIX1NUKFFUUiw0MDY5NCkvUF9DT01fU0hTX09VVCg0MDY5NCkpKS9GR","V9FU1RJTUFURSgnRVBTJywnTUVBTicsJ0FOTlVBTF9ST0xMJywnKzEnLDQwNjk0LCwsJycp&amp;WINDOW=FIRST_POPUP&amp;HEIGHT=450&amp;WIDTH=450&amp;START_MAXIMIZED=FALSE&amp;VAR:CALENDAR=US&amp;VAR:SYMBOL=38259P50&amp;VAR:INDEX=0"}</definedName>
    <definedName name="_1812__FDSAUDITLINK__">{"fdsup://directions/FAT Viewer?action=UPDATE&amp;creator=factset&amp;DYN_ARGS=TRUE&amp;DOC_NAME=FAT:FQL_AUDITING_CLIENT_TEMPLATE.FAT&amp;display_string=Audit&amp;VAR:KEY=ULOLSXEXSH&amp;VAR:QUERY=KFBfUFJJQ0UoNDA2OTQpLShGRl9DQVNIX1NUKFFUUiw0MDY5NCkvUF9DT01fU0hTX09VVCg0MDY5NCkpKS9GR","V9FU1RJTUFURSgnRVBTJywnTUVBTicsJ0FOTlVBTF9ST0xMJywnKzEnLDQwNjk0LCwsJycp&amp;WINDOW=FIRST_POPUP&amp;HEIGHT=450&amp;WIDTH=450&amp;START_MAXIMIZED=FALSE&amp;VAR:CALENDAR=US&amp;VAR:SYMBOL=38259P50&amp;VAR:INDEX=0"}</definedName>
    <definedName name="_1813__FDSAUDITLINK__">{"fdsup://directions/FAT Viewer?action=UPDATE&amp;creator=factset&amp;DYN_ARGS=TRUE&amp;DOC_NAME=FAT:FQL_AUDITING_CLIENT_TEMPLATE.FAT&amp;display_string=Audit&amp;VAR:KEY=IRYBEDMTET&amp;VAR:QUERY=KFBfUFJJQ0UoNDA2OTMpLShGRl9DQVNIX1NUKFFUUiw0MDY5MykvUF9DT01fU0hTX09VVCg0MDY5MykpKS9GR","V9FU1RJTUFURSgnRVBTJywnTUVBTicsJ0FOTlVBTF9ST0xMJywnKzEnLDQwNjkzLCwsJycp&amp;WINDOW=FIRST_POPUP&amp;HEIGHT=450&amp;WIDTH=450&amp;START_MAXIMIZED=FALSE&amp;VAR:CALENDAR=US&amp;VAR:SYMBOL=38259P50&amp;VAR:INDEX=0"}</definedName>
    <definedName name="_1814__FDSAUDITLINK__">{"fdsup://directions/FAT Viewer?action=UPDATE&amp;creator=factset&amp;DYN_ARGS=TRUE&amp;DOC_NAME=FAT:FQL_AUDITING_CLIENT_TEMPLATE.FAT&amp;display_string=Audit&amp;VAR:KEY=IRYBEDMTET&amp;VAR:QUERY=KFBfUFJJQ0UoNDA2OTMpLShGRl9DQVNIX1NUKFFUUiw0MDY5MykvUF9DT01fU0hTX09VVCg0MDY5MykpKS9GR","V9FU1RJTUFURSgnRVBTJywnTUVBTicsJ0FOTlVBTF9ST0xMJywnKzEnLDQwNjkzLCwsJycp&amp;WINDOW=FIRST_POPUP&amp;HEIGHT=450&amp;WIDTH=450&amp;START_MAXIMIZED=FALSE&amp;VAR:CALENDAR=US&amp;VAR:SYMBOL=38259P50&amp;VAR:INDEX=0"}</definedName>
    <definedName name="_1815__FDSAUDITLINK__">{"fdsup://directions/FAT Viewer?action=UPDATE&amp;creator=factset&amp;DYN_ARGS=TRUE&amp;DOC_NAME=FAT:FQL_AUDITING_CLIENT_TEMPLATE.FAT&amp;display_string=Audit&amp;VAR:KEY=ARAZCDUFGD&amp;VAR:QUERY=KFBfUFJJQ0UoNDA2OTIpLShGRl9DQVNIX1NUKFFUUiw0MDY5MikvUF9DT01fU0hTX09VVCg0MDY5MikpKS9GR","V9FU1RJTUFURSgnRVBTJywnTUVBTicsJ0FOTlVBTF9ST0xMJywnKzEnLDQwNjkyLCwsJycp&amp;WINDOW=FIRST_POPUP&amp;HEIGHT=450&amp;WIDTH=450&amp;START_MAXIMIZED=FALSE&amp;VAR:CALENDAR=US&amp;VAR:SYMBOL=38259P50&amp;VAR:INDEX=0"}</definedName>
    <definedName name="_1816__FDSAUDITLINK__">{"fdsup://directions/FAT Viewer?action=UPDATE&amp;creator=factset&amp;DYN_ARGS=TRUE&amp;DOC_NAME=FAT:FQL_AUDITING_CLIENT_TEMPLATE.FAT&amp;display_string=Audit&amp;VAR:KEY=ARAZCDUFGD&amp;VAR:QUERY=KFBfUFJJQ0UoNDA2OTIpLShGRl9DQVNIX1NUKFFUUiw0MDY5MikvUF9DT01fU0hTX09VVCg0MDY5MikpKS9GR","V9FU1RJTUFURSgnRVBTJywnTUVBTicsJ0FOTlVBTF9ST0xMJywnKzEnLDQwNjkyLCwsJycp&amp;WINDOW=FIRST_POPUP&amp;HEIGHT=450&amp;WIDTH=450&amp;START_MAXIMIZED=FALSE&amp;VAR:CALENDAR=US&amp;VAR:SYMBOL=38259P50&amp;VAR:INDEX=0"}</definedName>
    <definedName name="_1817__FDSAUDITLINK__">{"fdsup://directions/FAT Viewer?action=UPDATE&amp;creator=factset&amp;DYN_ARGS=TRUE&amp;DOC_NAME=FAT:FQL_AUDITING_CLIENT_TEMPLATE.FAT&amp;display_string=Audit&amp;VAR:KEY=QHSZGJYBIN&amp;VAR:QUERY=KFBfUFJJQ0UoNDA2OTEpLShGRl9DQVNIX1NUKFFUUiw0MDY5MSkvUF9DT01fU0hTX09VVCg0MDY5MSkpKS9GR","V9FU1RJTUFURSgnRVBTJywnTUVBTicsJ0FOTlVBTF9ST0xMJywnKzEnLDQwNjkxLCwsJycp&amp;WINDOW=FIRST_POPUP&amp;HEIGHT=450&amp;WIDTH=450&amp;START_MAXIMIZED=FALSE&amp;VAR:CALENDAR=US&amp;VAR:SYMBOL=38259P50&amp;VAR:INDEX=0"}</definedName>
    <definedName name="_1818__FDSAUDITLINK__">{"fdsup://directions/FAT Viewer?action=UPDATE&amp;creator=factset&amp;DYN_ARGS=TRUE&amp;DOC_NAME=FAT:FQL_AUDITING_CLIENT_TEMPLATE.FAT&amp;display_string=Audit&amp;VAR:KEY=QHSZGJYBIN&amp;VAR:QUERY=KFBfUFJJQ0UoNDA2OTEpLShGRl9DQVNIX1NUKFFUUiw0MDY5MSkvUF9DT01fU0hTX09VVCg0MDY5MSkpKS9GR","V9FU1RJTUFURSgnRVBTJywnTUVBTicsJ0FOTlVBTF9ST0xMJywnKzEnLDQwNjkxLCwsJycp&amp;WINDOW=FIRST_POPUP&amp;HEIGHT=450&amp;WIDTH=450&amp;START_MAXIMIZED=FALSE&amp;VAR:CALENDAR=US&amp;VAR:SYMBOL=38259P50&amp;VAR:INDEX=0"}</definedName>
    <definedName name="_1819__FDSAUDITLINK__">{"fdsup://directions/FAT Viewer?action=UPDATE&amp;creator=factset&amp;DYN_ARGS=TRUE&amp;DOC_NAME=FAT:FQL_AUDITING_CLIENT_TEMPLATE.FAT&amp;display_string=Audit&amp;VAR:KEY=OBUXGVYJSL&amp;VAR:QUERY=KFBfUFJJQ0UoNDA2OTApLShGRl9DQVNIX1NUKFFUUiw0MDY5MCkvUF9DT01fU0hTX09VVCg0MDY5MCkpKS9GR","V9FU1RJTUFURSgnRVBTJywnTUVBTicsJ0FOTlVBTF9ST0xMJywnKzEnLDQwNjkwLCwsJycp&amp;WINDOW=FIRST_POPUP&amp;HEIGHT=450&amp;WIDTH=450&amp;START_MAXIMIZED=FALSE&amp;VAR:CALENDAR=US&amp;VAR:SYMBOL=38259P50&amp;VAR:INDEX=0"}</definedName>
    <definedName name="_18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0.742466&amp;VAR:V=18.714763&amp;VAR:V0=20.678416&amp;VAR:V1=18.117981&amp;VAR:Y0=2001&amp;VAR:Y1=2002&amp;VAR:P=1040.940000&amp;VAR:DATE=20010928&amp;VAR:THRESH=-|-|","-|-|-|-|-"}</definedName>
    <definedName name="_1820__FDSAUDITLINK__">{"fdsup://directions/FAT Viewer?action=UPDATE&amp;creator=factset&amp;DYN_ARGS=TRUE&amp;DOC_NAME=FAT:FQL_AUDITING_CLIENT_TEMPLATE.FAT&amp;display_string=Audit&amp;VAR:KEY=OBUXGVYJSL&amp;VAR:QUERY=KFBfUFJJQ0UoNDA2OTApLShGRl9DQVNIX1NUKFFUUiw0MDY5MCkvUF9DT01fU0hTX09VVCg0MDY5MCkpKS9GR","V9FU1RJTUFURSgnRVBTJywnTUVBTicsJ0FOTlVBTF9ST0xMJywnKzEnLDQwNjkwLCwsJycp&amp;WINDOW=FIRST_POPUP&amp;HEIGHT=450&amp;WIDTH=450&amp;START_MAXIMIZED=FALSE&amp;VAR:CALENDAR=US&amp;VAR:SYMBOL=38259P50&amp;VAR:INDEX=0"}</definedName>
    <definedName name="_1821__FDSAUDITLINK__">{"fdsup://directions/FAT Viewer?action=UPDATE&amp;creator=factset&amp;DYN_ARGS=TRUE&amp;DOC_NAME=FAT:FQL_AUDITING_CLIENT_TEMPLATE.FAT&amp;display_string=Audit&amp;VAR:KEY=IZAFGZAZMF&amp;VAR:QUERY=KFBfUFJJQ0UoNDA2ODkpLShGRl9DQVNIX1NUKFFUUiw0MDY4OSkvUF9DT01fU0hTX09VVCg0MDY4OSkpKS9GR","V9FU1RJTUFURSgnRVBTJywnTUVBTicsJ0FOTlVBTF9ST0xMJywnKzEnLDQwNjg5LCwsJycp&amp;WINDOW=FIRST_POPUP&amp;HEIGHT=450&amp;WIDTH=450&amp;START_MAXIMIZED=FALSE&amp;VAR:CALENDAR=US&amp;VAR:SYMBOL=38259P50&amp;VAR:INDEX=0"}</definedName>
    <definedName name="_1822__FDSAUDITLINK__">{"fdsup://directions/FAT Viewer?action=UPDATE&amp;creator=factset&amp;DYN_ARGS=TRUE&amp;DOC_NAME=FAT:FQL_AUDITING_CLIENT_TEMPLATE.FAT&amp;display_string=Audit&amp;VAR:KEY=IZAFGZAZMF&amp;VAR:QUERY=KFBfUFJJQ0UoNDA2ODkpLShGRl9DQVNIX1NUKFFUUiw0MDY4OSkvUF9DT01fU0hTX09VVCg0MDY4OSkpKS9GR","V9FU1RJTUFURSgnRVBTJywnTUVBTicsJ0FOTlVBTF9ST0xMJywnKzEnLDQwNjg5LCwsJycp&amp;WINDOW=FIRST_POPUP&amp;HEIGHT=450&amp;WIDTH=450&amp;START_MAXIMIZED=FALSE&amp;VAR:CALENDAR=US&amp;VAR:SYMBOL=38259P50&amp;VAR:INDEX=0"}</definedName>
    <definedName name="_1823__FDSAUDITLINK__">{"fdsup://directions/FAT Viewer?action=UPDATE&amp;creator=factset&amp;DYN_ARGS=TRUE&amp;DOC_NAME=FAT:FQL_AUDITING_CLIENT_TEMPLATE.FAT&amp;display_string=Audit&amp;VAR:KEY=WFKHOLGNKT&amp;VAR:QUERY=KFBfUFJJQ0UoNDA2ODgpLShGRl9DQVNIX1NUKFFUUiw0MDY4OCkvUF9DT01fU0hTX09VVCg0MDY4OCkpKS9GR","V9FU1RJTUFURSgnRVBTJywnTUVBTicsJ0FOTlVBTF9ST0xMJywnKzEnLDQwNjg4LCwsJycp&amp;WINDOW=FIRST_POPUP&amp;HEIGHT=450&amp;WIDTH=450&amp;START_MAXIMIZED=FALSE&amp;VAR:CALENDAR=US&amp;VAR:SYMBOL=38259P50&amp;VAR:INDEX=0"}</definedName>
    <definedName name="_1824__FDSAUDITLINK__">{"fdsup://directions/FAT Viewer?action=UPDATE&amp;creator=factset&amp;DYN_ARGS=TRUE&amp;DOC_NAME=FAT:FQL_AUDITING_CLIENT_TEMPLATE.FAT&amp;display_string=Audit&amp;VAR:KEY=WFKHOLGNKT&amp;VAR:QUERY=KFBfUFJJQ0UoNDA2ODgpLShGRl9DQVNIX1NUKFFUUiw0MDY4OCkvUF9DT01fU0hTX09VVCg0MDY4OCkpKS9GR","V9FU1RJTUFURSgnRVBTJywnTUVBTicsJ0FOTlVBTF9ST0xMJywnKzEnLDQwNjg4LCwsJycp&amp;WINDOW=FIRST_POPUP&amp;HEIGHT=450&amp;WIDTH=450&amp;START_MAXIMIZED=FALSE&amp;VAR:CALENDAR=US&amp;VAR:SYMBOL=38259P50&amp;VAR:INDEX=0"}</definedName>
    <definedName name="_1825__FDSAUDITLINK__">{"fdsup://directions/FAT Viewer?action=UPDATE&amp;creator=factset&amp;DYN_ARGS=TRUE&amp;DOC_NAME=FAT:FQL_AUDITING_CLIENT_TEMPLATE.FAT&amp;display_string=Audit&amp;VAR:KEY=ELIHATIDMJ&amp;VAR:QUERY=KFBfUFJJQ0UoNDA2ODcpLShGRl9DQVNIX1NUKFFUUiw0MDY4NykvUF9DT01fU0hTX09VVCg0MDY4NykpKS9GR","V9FU1RJTUFURSgnRVBTJywnTUVBTicsJ0FOTlVBTF9ST0xMJywnKzEnLDQwNjg3LCwsJycp&amp;WINDOW=FIRST_POPUP&amp;HEIGHT=450&amp;WIDTH=450&amp;START_MAXIMIZED=FALSE&amp;VAR:CALENDAR=US&amp;VAR:SYMBOL=38259P50&amp;VAR:INDEX=0"}</definedName>
    <definedName name="_1826__FDSAUDITLINK__">{"fdsup://directions/FAT Viewer?action=UPDATE&amp;creator=factset&amp;DYN_ARGS=TRUE&amp;DOC_NAME=FAT:FQL_AUDITING_CLIENT_TEMPLATE.FAT&amp;display_string=Audit&amp;VAR:KEY=ELIHATIDMJ&amp;VAR:QUERY=KFBfUFJJQ0UoNDA2ODcpLShGRl9DQVNIX1NUKFFUUiw0MDY4NykvUF9DT01fU0hTX09VVCg0MDY4NykpKS9GR","V9FU1RJTUFURSgnRVBTJywnTUVBTicsJ0FOTlVBTF9ST0xMJywnKzEnLDQwNjg3LCwsJycp&amp;WINDOW=FIRST_POPUP&amp;HEIGHT=450&amp;WIDTH=450&amp;START_MAXIMIZED=FALSE&amp;VAR:CALENDAR=US&amp;VAR:SYMBOL=38259P50&amp;VAR:INDEX=0"}</definedName>
    <definedName name="_1827__FDSAUDITLINK__">{"fdsup://directions/FAT Viewer?action=UPDATE&amp;creator=factset&amp;DYN_ARGS=TRUE&amp;DOC_NAME=FAT:FQL_AUDITING_CLIENT_TEMPLATE.FAT&amp;display_string=Audit&amp;VAR:KEY=EXULCPAZEP&amp;VAR:QUERY=KFBfUFJJQ0UoNDA2ODYpLShGRl9DQVNIX1NUKFFUUiw0MDY4NikvUF9DT01fU0hTX09VVCg0MDY4NikpKS9GR","V9FU1RJTUFURSgnRVBTJywnTUVBTicsJ0FOTlVBTF9ST0xMJywnKzEnLDQwNjg2LCwsJycp&amp;WINDOW=FIRST_POPUP&amp;HEIGHT=450&amp;WIDTH=450&amp;START_MAXIMIZED=FALSE&amp;VAR:CALENDAR=US&amp;VAR:SYMBOL=38259P50&amp;VAR:INDEX=0"}</definedName>
    <definedName name="_1828__FDSAUDITLINK__">{"fdsup://directions/FAT Viewer?action=UPDATE&amp;creator=factset&amp;DYN_ARGS=TRUE&amp;DOC_NAME=FAT:FQL_AUDITING_CLIENT_TEMPLATE.FAT&amp;display_string=Audit&amp;VAR:KEY=EXULCPAZEP&amp;VAR:QUERY=KFBfUFJJQ0UoNDA2ODYpLShGRl9DQVNIX1NUKFFUUiw0MDY4NikvUF9DT01fU0hTX09VVCg0MDY4NikpKS9GR","V9FU1RJTUFURSgnRVBTJywnTUVBTicsJ0FOTlVBTF9ST0xMJywnKzEnLDQwNjg2LCwsJycp&amp;WINDOW=FIRST_POPUP&amp;HEIGHT=450&amp;WIDTH=450&amp;START_MAXIMIZED=FALSE&amp;VAR:CALENDAR=US&amp;VAR:SYMBOL=38259P50&amp;VAR:INDEX=0"}</definedName>
    <definedName name="_1829__FDSAUDITLINK__">{"fdsup://directions/FAT Viewer?action=UPDATE&amp;creator=factset&amp;DYN_ARGS=TRUE&amp;DOC_NAME=FAT:FQL_AUDITING_CLIENT_TEMPLATE.FAT&amp;display_string=Audit&amp;VAR:KEY=OPKDYRCRIP&amp;VAR:QUERY=KFBfUFJJQ0UoNDA2ODUpLShGRl9DQVNIX1NUKFFUUiw0MDY4NSkvUF9DT01fU0hTX09VVCg0MDY4NSkpKS9GR","V9FU1RJTUFURSgnRVBTJywnTUVBTicsJ0FOTlVBTF9ST0xMJywnKzEnLDQwNjg1LCwsJycp&amp;WINDOW=FIRST_POPUP&amp;HEIGHT=450&amp;WIDTH=450&amp;START_MAXIMIZED=FALSE&amp;VAR:CALENDAR=US&amp;VAR:SYMBOL=38259P50&amp;VAR:INDEX=0"}</definedName>
    <definedName name="_18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0.493151&amp;VAR:V=21.467032&amp;VAR:V0=22.927110&amp;VAR:V1=20.148277&amp;VAR:Y0=2001&amp;VAR:Y1=2002&amp;VAR:P=1224.420000&amp;VAR:DATE=20010629&amp;VAR:THRESH=-|-|","-|-|-|-|-"}</definedName>
    <definedName name="_1830__FDSAUDITLINK__">{"fdsup://directions/FAT Viewer?action=UPDATE&amp;creator=factset&amp;DYN_ARGS=TRUE&amp;DOC_NAME=FAT:FQL_AUDITING_CLIENT_TEMPLATE.FAT&amp;display_string=Audit&amp;VAR:KEY=OPKDYRCRIP&amp;VAR:QUERY=KFBfUFJJQ0UoNDA2ODUpLShGRl9DQVNIX1NUKFFUUiw0MDY4NSkvUF9DT01fU0hTX09VVCg0MDY4NSkpKS9GR","V9FU1RJTUFURSgnRVBTJywnTUVBTicsJ0FOTlVBTF9ST0xMJywnKzEnLDQwNjg1LCwsJycp&amp;WINDOW=FIRST_POPUP&amp;HEIGHT=450&amp;WIDTH=450&amp;START_MAXIMIZED=FALSE&amp;VAR:CALENDAR=US&amp;VAR:SYMBOL=38259P50&amp;VAR:INDEX=0"}</definedName>
    <definedName name="_1831__FDSAUDITLINK__">{"fdsup://directions/FAT Viewer?action=UPDATE&amp;creator=factset&amp;DYN_ARGS=TRUE&amp;DOC_NAME=FAT:FQL_AUDITING_CLIENT_TEMPLATE.FAT&amp;display_string=Audit&amp;VAR:KEY=UFQVQLYJWV&amp;VAR:QUERY=KFBfUFJJQ0UoNDA2ODQpLShGRl9DQVNIX1NUKFFUUiw0MDY4NCkvUF9DT01fU0hTX09VVCg0MDY4NCkpKS9GR","V9FU1RJTUFURSgnRVBTJywnTUVBTicsJ0FOTlVBTF9ST0xMJywnKzEnLDQwNjg0LCwsJycp&amp;WINDOW=FIRST_POPUP&amp;HEIGHT=450&amp;WIDTH=450&amp;START_MAXIMIZED=FALSE&amp;VAR:CALENDAR=US&amp;VAR:SYMBOL=38259P50&amp;VAR:INDEX=0"}</definedName>
    <definedName name="_1832__FDSAUDITLINK__">{"fdsup://directions/FAT Viewer?action=UPDATE&amp;creator=factset&amp;DYN_ARGS=TRUE&amp;DOC_NAME=FAT:FQL_AUDITING_CLIENT_TEMPLATE.FAT&amp;display_string=Audit&amp;VAR:KEY=UFQVQLYJWV&amp;VAR:QUERY=KFBfUFJJQ0UoNDA2ODQpLShGRl9DQVNIX1NUKFFUUiw0MDY4NCkvUF9DT01fU0hTX09VVCg0MDY4NCkpKS9GR","V9FU1RJTUFURSgnRVBTJywnTUVBTicsJ0FOTlVBTF9ST0xMJywnKzEnLDQwNjg0LCwsJycp&amp;WINDOW=FIRST_POPUP&amp;HEIGHT=450&amp;WIDTH=450&amp;START_MAXIMIZED=FALSE&amp;VAR:CALENDAR=US&amp;VAR:SYMBOL=38259P50&amp;VAR:INDEX=0"}</definedName>
    <definedName name="_1833__FDSAUDITLINK__">{"fdsup://directions/FAT Viewer?action=UPDATE&amp;creator=factset&amp;DYN_ARGS=TRUE&amp;DOC_NAME=FAT:FQL_AUDITING_CLIENT_TEMPLATE.FAT&amp;display_string=Audit&amp;VAR:KEY=YVSJQPGHKJ&amp;VAR:QUERY=KFBfUFJJQ0UoNDA2ODMpLShGRl9DQVNIX1NUKFFUUiw0MDY4MykvUF9DT01fU0hTX09VVCg0MDY4MykpKS9GR","V9FU1RJTUFURSgnRVBTJywnTUVBTicsJ0FOTlVBTF9ST0xMJywnKzEnLDQwNjgzLCwsJycp&amp;WINDOW=FIRST_POPUP&amp;HEIGHT=450&amp;WIDTH=450&amp;START_MAXIMIZED=FALSE&amp;VAR:CALENDAR=US&amp;VAR:SYMBOL=38259P50&amp;VAR:INDEX=0"}</definedName>
    <definedName name="_1834__FDSAUDITLINK__">{"fdsup://directions/FAT Viewer?action=UPDATE&amp;creator=factset&amp;DYN_ARGS=TRUE&amp;DOC_NAME=FAT:FQL_AUDITING_CLIENT_TEMPLATE.FAT&amp;display_string=Audit&amp;VAR:KEY=YVSJQPGHKJ&amp;VAR:QUERY=KFBfUFJJQ0UoNDA2ODMpLShGRl9DQVNIX1NUKFFUUiw0MDY4MykvUF9DT01fU0hTX09VVCg0MDY4MykpKS9GR","V9FU1RJTUFURSgnRVBTJywnTUVBTicsJ0FOTlVBTF9ST0xMJywnKzEnLDQwNjgzLCwsJycp&amp;WINDOW=FIRST_POPUP&amp;HEIGHT=450&amp;WIDTH=450&amp;START_MAXIMIZED=FALSE&amp;VAR:CALENDAR=US&amp;VAR:SYMBOL=38259P50&amp;VAR:INDEX=0"}</definedName>
    <definedName name="_1835__FDSAUDITLINK__">{"fdsup://directions/FAT Viewer?action=UPDATE&amp;creator=factset&amp;DYN_ARGS=TRUE&amp;DOC_NAME=FAT:FQL_AUDITING_CLIENT_TEMPLATE.FAT&amp;display_string=Audit&amp;VAR:KEY=GXUBCLYXAT&amp;VAR:QUERY=KFBfUFJJQ0UoNDA2ODIpLShGRl9DQVNIX1NUKFFUUiw0MDY4MikvUF9DT01fU0hTX09VVCg0MDY4MikpKS9GR","V9FU1RJTUFURSgnRVBTJywnTUVBTicsJ0FOTlVBTF9ST0xMJywnKzEnLDQwNjgyLCwsJycp&amp;WINDOW=FIRST_POPUP&amp;HEIGHT=450&amp;WIDTH=450&amp;START_MAXIMIZED=FALSE&amp;VAR:CALENDAR=US&amp;VAR:SYMBOL=38259P50&amp;VAR:INDEX=0"}</definedName>
    <definedName name="_1836__FDSAUDITLINK__">{"fdsup://directions/FAT Viewer?action=UPDATE&amp;creator=factset&amp;DYN_ARGS=TRUE&amp;DOC_NAME=FAT:FQL_AUDITING_CLIENT_TEMPLATE.FAT&amp;display_string=Audit&amp;VAR:KEY=GXUBCLYXAT&amp;VAR:QUERY=KFBfUFJJQ0UoNDA2ODIpLShGRl9DQVNIX1NUKFFUUiw0MDY4MikvUF9DT01fU0hTX09VVCg0MDY4MikpKS9GR","V9FU1RJTUFURSgnRVBTJywnTUVBTicsJ0FOTlVBTF9ST0xMJywnKzEnLDQwNjgyLCwsJycp&amp;WINDOW=FIRST_POPUP&amp;HEIGHT=450&amp;WIDTH=450&amp;START_MAXIMIZED=FALSE&amp;VAR:CALENDAR=US&amp;VAR:SYMBOL=38259P50&amp;VAR:INDEX=0"}</definedName>
    <definedName name="_1837__FDSAUDITLINK__">{"fdsup://directions/FAT Viewer?action=UPDATE&amp;creator=factset&amp;DYN_ARGS=TRUE&amp;DOC_NAME=FAT:FQL_AUDITING_CLIENT_TEMPLATE.FAT&amp;display_string=Audit&amp;VAR:KEY=OVABQRWLYT&amp;VAR:QUERY=KFBfUFJJQ0UoNDA2ODEpLShGRl9DQVNIX1NUKFFUUiw0MDY4MSkvUF9DT01fU0hTX09VVCg0MDY4MSkpKS9GR","V9FU1RJTUFURSgnRVBTJywnTUVBTicsJ0FOTlVBTF9ST0xMJywnKzEnLDQwNjgxLCwsJycp&amp;WINDOW=FIRST_POPUP&amp;HEIGHT=450&amp;WIDTH=450&amp;START_MAXIMIZED=FALSE&amp;VAR:CALENDAR=US&amp;VAR:SYMBOL=38259P50&amp;VAR:INDEX=0"}</definedName>
    <definedName name="_1838__FDSAUDITLINK__">{"fdsup://directions/FAT Viewer?action=UPDATE&amp;creator=factset&amp;DYN_ARGS=TRUE&amp;DOC_NAME=FAT:FQL_AUDITING_CLIENT_TEMPLATE.FAT&amp;display_string=Audit&amp;VAR:KEY=OVABQRWLYT&amp;VAR:QUERY=KFBfUFJJQ0UoNDA2ODEpLShGRl9DQVNIX1NUKFFUUiw0MDY4MSkvUF9DT01fU0hTX09VVCg0MDY4MSkpKS9GR","V9FU1RJTUFURSgnRVBTJywnTUVBTicsJ0FOTlVBTF9ST0xMJywnKzEnLDQwNjgxLCwsJycp&amp;WINDOW=FIRST_POPUP&amp;HEIGHT=450&amp;WIDTH=450&amp;START_MAXIMIZED=FALSE&amp;VAR:CALENDAR=US&amp;VAR:SYMBOL=38259P50&amp;VAR:INDEX=0"}</definedName>
    <definedName name="_1839__FDSAUDITLINK__">{"fdsup://directions/FAT Viewer?action=UPDATE&amp;creator=factset&amp;DYN_ARGS=TRUE&amp;DOC_NAME=FAT:FQL_AUDITING_CLIENT_TEMPLATE.FAT&amp;display_string=Audit&amp;VAR:KEY=QDKVULCBCP&amp;VAR:QUERY=KFBfUFJJQ0UoNDA2ODApLShGRl9DQVNIX1NUKFFUUiw0MDY4MCkvUF9DT01fU0hTX09VVCg0MDY4MCkpKS9GR","V9FU1RJTUFURSgnRVBTJywnTUVBTicsJ0FOTlVBTF9ST0xMJywnKzEnLDQwNjgwLCwsJycp&amp;WINDOW=FIRST_POPUP&amp;HEIGHT=450&amp;WIDTH=450&amp;START_MAXIMIZED=FALSE&amp;VAR:CALENDAR=US&amp;VAR:SYMBOL=38259P50&amp;VAR:INDEX=0"}</definedName>
    <definedName name="_18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0.243836&amp;VAR:V=19.804424&amp;VAR:V0=20.395707&amp;VAR:V1=18.170808&amp;VAR:Y0=2001&amp;VAR:Y1=2002&amp;VAR:P=1160.330000&amp;VAR:DATE=20010330&amp;VAR:THRESH=-|-|","-|-|-|-|-"}</definedName>
    <definedName name="_1840__FDSAUDITLINK__">{"fdsup://directions/FAT Viewer?action=UPDATE&amp;creator=factset&amp;DYN_ARGS=TRUE&amp;DOC_NAME=FAT:FQL_AUDITING_CLIENT_TEMPLATE.FAT&amp;display_string=Audit&amp;VAR:KEY=QDKVULCBCP&amp;VAR:QUERY=KFBfUFJJQ0UoNDA2ODApLShGRl9DQVNIX1NUKFFUUiw0MDY4MCkvUF9DT01fU0hTX09VVCg0MDY4MCkpKS9GR","V9FU1RJTUFURSgnRVBTJywnTUVBTicsJ0FOTlVBTF9ST0xMJywnKzEnLDQwNjgwLCwsJycp&amp;WINDOW=FIRST_POPUP&amp;HEIGHT=450&amp;WIDTH=450&amp;START_MAXIMIZED=FALSE&amp;VAR:CALENDAR=US&amp;VAR:SYMBOL=38259P50&amp;VAR:INDEX=0"}</definedName>
    <definedName name="_1841__FDSAUDITLINK__">{"fdsup://directions/FAT Viewer?action=UPDATE&amp;creator=factset&amp;DYN_ARGS=TRUE&amp;DOC_NAME=FAT:FQL_AUDITING_CLIENT_TEMPLATE.FAT&amp;display_string=Audit&amp;VAR:KEY=KPSLAPGXGD&amp;VAR:QUERY=KFBfUFJJQ0UoNDA2NzkpLShGRl9DQVNIX1NUKFFUUiw0MDY3OSkvUF9DT01fU0hTX09VVCg0MDY3OSkpKS9GR","V9FU1RJTUFURSgnRVBTJywnTUVBTicsJ0FOTlVBTF9ST0xMJywnKzEnLDQwNjc5LCwsJycp&amp;WINDOW=FIRST_POPUP&amp;HEIGHT=450&amp;WIDTH=450&amp;START_MAXIMIZED=FALSE&amp;VAR:CALENDAR=US&amp;VAR:SYMBOL=38259P50&amp;VAR:INDEX=0"}</definedName>
    <definedName name="_1842__FDSAUDITLINK__">{"fdsup://directions/FAT Viewer?action=UPDATE&amp;creator=factset&amp;DYN_ARGS=TRUE&amp;DOC_NAME=FAT:FQL_AUDITING_CLIENT_TEMPLATE.FAT&amp;display_string=Audit&amp;VAR:KEY=KPSLAPGXGD&amp;VAR:QUERY=KFBfUFJJQ0UoNDA2NzkpLShGRl9DQVNIX1NUKFFUUiw0MDY3OSkvUF9DT01fU0hTX09VVCg0MDY3OSkpKS9GR","V9FU1RJTUFURSgnRVBTJywnTUVBTicsJ0FOTlVBTF9ST0xMJywnKzEnLDQwNjc5LCwsJycp&amp;WINDOW=FIRST_POPUP&amp;HEIGHT=450&amp;WIDTH=450&amp;START_MAXIMIZED=FALSE&amp;VAR:CALENDAR=US&amp;VAR:SYMBOL=38259P50&amp;VAR:INDEX=0"}</definedName>
    <definedName name="_1843__FDSAUDITLINK__">{"fdsup://directions/FAT Viewer?action=UPDATE&amp;creator=factset&amp;DYN_ARGS=TRUE&amp;DOC_NAME=FAT:FQL_AUDITING_CLIENT_TEMPLATE.FAT&amp;display_string=Audit&amp;VAR:KEY=SFOLKDQVIZ&amp;VAR:QUERY=KFBfUFJJQ0UoNDA2NzgpLShGRl9DQVNIX1NUKFFUUiw0MDY3OCkvUF9DT01fU0hTX09VVCg0MDY3OCkpKS9GR","V9FU1RJTUFURSgnRVBTJywnTUVBTicsJ0FOTlVBTF9ST0xMJywnKzEnLDQwNjc4LCwsJycp&amp;WINDOW=FIRST_POPUP&amp;HEIGHT=450&amp;WIDTH=450&amp;START_MAXIMIZED=FALSE&amp;VAR:CALENDAR=US&amp;VAR:SYMBOL=38259P50&amp;VAR:INDEX=0"}</definedName>
    <definedName name="_1844__FDSAUDITLINK__">{"fdsup://directions/FAT Viewer?action=UPDATE&amp;creator=factset&amp;DYN_ARGS=TRUE&amp;DOC_NAME=FAT:FQL_AUDITING_CLIENT_TEMPLATE.FAT&amp;display_string=Audit&amp;VAR:KEY=SFOLKDQVIZ&amp;VAR:QUERY=KFBfUFJJQ0UoNDA2NzgpLShGRl9DQVNIX1NUKFFUUiw0MDY3OCkvUF9DT01fU0hTX09VVCg0MDY3OCkpKS9GR","V9FU1RJTUFURSgnRVBTJywnTUVBTicsJ0FOTlVBTF9ST0xMJywnKzEnLDQwNjc4LCwsJycp&amp;WINDOW=FIRST_POPUP&amp;HEIGHT=450&amp;WIDTH=450&amp;START_MAXIMIZED=FALSE&amp;VAR:CALENDAR=US&amp;VAR:SYMBOL=38259P50&amp;VAR:INDEX=0"}</definedName>
    <definedName name="_1845__FDSAUDITLINK__">{"fdsup://directions/FAT Viewer?action=UPDATE&amp;creator=factset&amp;DYN_ARGS=TRUE&amp;DOC_NAME=FAT:FQL_AUDITING_CLIENT_TEMPLATE.FAT&amp;display_string=Audit&amp;VAR:KEY=MZODQRAPIV&amp;VAR:QUERY=KFBfUFJJQ0UoNDA2NzcpLShGRl9DQVNIX1NUKFFUUiw0MDY3NykvUF9DT01fU0hTX09VVCg0MDY3NykpKS9GR","V9FU1RJTUFURSgnRVBTJywnTUVBTicsJ0FOTlVBTF9ST0xMJywnKzEnLDQwNjc3LCwsJycp&amp;WINDOW=FIRST_POPUP&amp;HEIGHT=450&amp;WIDTH=450&amp;START_MAXIMIZED=FALSE&amp;VAR:CALENDAR=US&amp;VAR:SYMBOL=38259P50&amp;VAR:INDEX=0"}</definedName>
    <definedName name="_1846__FDSAUDITLINK__">{"fdsup://directions/FAT Viewer?action=UPDATE&amp;creator=factset&amp;DYN_ARGS=TRUE&amp;DOC_NAME=FAT:FQL_AUDITING_CLIENT_TEMPLATE.FAT&amp;display_string=Audit&amp;VAR:KEY=MZODQRAPIV&amp;VAR:QUERY=KFBfUFJJQ0UoNDA2NzcpLShGRl9DQVNIX1NUKFFUUiw0MDY3NykvUF9DT01fU0hTX09VVCg0MDY3NykpKS9GR","V9FU1RJTUFURSgnRVBTJywnTUVBTicsJ0FOTlVBTF9ST0xMJywnKzEnLDQwNjc3LCwsJycp&amp;WINDOW=FIRST_POPUP&amp;HEIGHT=450&amp;WIDTH=450&amp;START_MAXIMIZED=FALSE&amp;VAR:CALENDAR=US&amp;VAR:SYMBOL=38259P50&amp;VAR:INDEX=0"}</definedName>
    <definedName name="_1847__FDSAUDITLINK__">{"fdsup://directions/FAT Viewer?action=UPDATE&amp;creator=factset&amp;DYN_ARGS=TRUE&amp;DOC_NAME=FAT:FQL_AUDITING_CLIENT_TEMPLATE.FAT&amp;display_string=Audit&amp;VAR:KEY=SVQTYDKHOP&amp;VAR:QUERY=KFBfUFJJQ0UoNDA2NzYpLShGRl9DQVNIX1NUKFFUUiw0MDY3NikvUF9DT01fU0hTX09VVCg0MDY3NikpKS9GR","V9FU1RJTUFURSgnRVBTJywnTUVBTicsJ0FOTlVBTF9ST0xMJywnKzEnLDQwNjc2LCwsJycp&amp;WINDOW=FIRST_POPUP&amp;HEIGHT=450&amp;WIDTH=450&amp;START_MAXIMIZED=FALSE&amp;VAR:CALENDAR=US&amp;VAR:SYMBOL=38259P50&amp;VAR:INDEX=0"}</definedName>
    <definedName name="_1848__FDSAUDITLINK__">{"fdsup://directions/FAT Viewer?action=UPDATE&amp;creator=factset&amp;DYN_ARGS=TRUE&amp;DOC_NAME=FAT:FQL_AUDITING_CLIENT_TEMPLATE.FAT&amp;display_string=Audit&amp;VAR:KEY=SVQTYDKHOP&amp;VAR:QUERY=KFBfUFJJQ0UoNDA2NzYpLShGRl9DQVNIX1NUKFFUUiw0MDY3NikvUF9DT01fU0hTX09VVCg0MDY3NikpKS9GR","V9FU1RJTUFURSgnRVBTJywnTUVBTicsJ0FOTlVBTF9ST0xMJywnKzEnLDQwNjc2LCwsJycp&amp;WINDOW=FIRST_POPUP&amp;HEIGHT=450&amp;WIDTH=450&amp;START_MAXIMIZED=FALSE&amp;VAR:CALENDAR=US&amp;VAR:SYMBOL=38259P50&amp;VAR:INDEX=0"}</definedName>
    <definedName name="_1849__FDSAUDITLINK__">{"fdsup://directions/FAT Viewer?action=UPDATE&amp;creator=factset&amp;DYN_ARGS=TRUE&amp;DOC_NAME=FAT:FQL_AUDITING_CLIENT_TEMPLATE.FAT&amp;display_string=Audit&amp;VAR:KEY=QFIXYNUJUD&amp;VAR:QUERY=KFBfUFJJQ0UoNDA2NzUpLShGRl9DQVNIX1NUKFFUUiw0MDY3NSkvUF9DT01fU0hTX09VVCg0MDY3NSkpKS9GR","V9FU1RJTUFURSgnRVBTJywnTUVBTicsJ0FOTlVBTF9ST0xMJywnKzEnLDQwNjc1LCwsJycp&amp;WINDOW=FIRST_POPUP&amp;HEIGHT=450&amp;WIDTH=450&amp;START_MAXIMIZED=FALSE&amp;VAR:CALENDAR=US&amp;VAR:SYMBOL=38259P50&amp;VAR:INDEX=0"}</definedName>
    <definedName name="_18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0.994536&amp;VAR:V=21.855977&amp;VAR:V0=24.588790&amp;VAR:V1=21.842638&amp;VAR:Y0=2000&amp;VAR:Y1=2001&amp;VAR:P=1320.280000&amp;VAR:DATE=20001229&amp;VAR:THRESH=-|-|","-|-|-|-|-"}</definedName>
    <definedName name="_1850__FDSAUDITLINK__">{"fdsup://directions/FAT Viewer?action=UPDATE&amp;creator=factset&amp;DYN_ARGS=TRUE&amp;DOC_NAME=FAT:FQL_AUDITING_CLIENT_TEMPLATE.FAT&amp;display_string=Audit&amp;VAR:KEY=QFIXYNUJUD&amp;VAR:QUERY=KFBfUFJJQ0UoNDA2NzUpLShGRl9DQVNIX1NUKFFUUiw0MDY3NSkvUF9DT01fU0hTX09VVCg0MDY3NSkpKS9GR","V9FU1RJTUFURSgnRVBTJywnTUVBTicsJ0FOTlVBTF9ST0xMJywnKzEnLDQwNjc1LCwsJycp&amp;WINDOW=FIRST_POPUP&amp;HEIGHT=450&amp;WIDTH=450&amp;START_MAXIMIZED=FALSE&amp;VAR:CALENDAR=US&amp;VAR:SYMBOL=38259P50&amp;VAR:INDEX=0"}</definedName>
    <definedName name="_1851__FDSAUDITLINK__">{"fdsup://directions/FAT Viewer?action=UPDATE&amp;creator=factset&amp;DYN_ARGS=TRUE&amp;DOC_NAME=FAT:FQL_AUDITING_CLIENT_TEMPLATE.FAT&amp;display_string=Audit&amp;VAR:KEY=WDMDOJSLEL&amp;VAR:QUERY=KFBfUFJJQ0UoNDA2NzQpLShGRl9DQVNIX1NUKFFUUiw0MDY3NCkvUF9DT01fU0hTX09VVCg0MDY3NCkpKS9GR","V9FU1RJTUFURSgnRVBTJywnTUVBTicsJ0FOTlVBTF9ST0xMJywnKzEnLDQwNjc0LCwsJycp&amp;WINDOW=FIRST_POPUP&amp;HEIGHT=450&amp;WIDTH=450&amp;START_MAXIMIZED=FALSE&amp;VAR:CALENDAR=US&amp;VAR:SYMBOL=38259P50&amp;VAR:INDEX=0"}</definedName>
    <definedName name="_1852__FDSAUDITLINK__">{"fdsup://directions/FAT Viewer?action=UPDATE&amp;creator=factset&amp;DYN_ARGS=TRUE&amp;DOC_NAME=FAT:FQL_AUDITING_CLIENT_TEMPLATE.FAT&amp;display_string=Audit&amp;VAR:KEY=WDMDOJSLEL&amp;VAR:QUERY=KFBfUFJJQ0UoNDA2NzQpLShGRl9DQVNIX1NUKFFUUiw0MDY3NCkvUF9DT01fU0hTX09VVCg0MDY3NCkpKS9GR","V9FU1RJTUFURSgnRVBTJywnTUVBTicsJ0FOTlVBTF9ST0xMJywnKzEnLDQwNjc0LCwsJycp&amp;WINDOW=FIRST_POPUP&amp;HEIGHT=450&amp;WIDTH=450&amp;START_MAXIMIZED=FALSE&amp;VAR:CALENDAR=US&amp;VAR:SYMBOL=38259P50&amp;VAR:INDEX=0"}</definedName>
    <definedName name="_1853__FDSAUDITLINK__">{"fdsup://directions/FAT Viewer?action=UPDATE&amp;creator=factset&amp;DYN_ARGS=TRUE&amp;DOC_NAME=FAT:FQL_AUDITING_CLIENT_TEMPLATE.FAT&amp;display_string=Audit&amp;VAR:KEY=SFSLOFKRGN&amp;VAR:QUERY=KFBfUFJJQ0UoNDA2NzMpLShGRl9DQVNIX1NUKFFUUiw0MDY3MykvUF9DT01fU0hTX09VVCg0MDY3MykpKS9GR","V9FU1RJTUFURSgnRVBTJywnTUVBTicsJ0FOTlVBTF9ST0xMJywnKzEnLDQwNjczLCwsJycp&amp;WINDOW=FIRST_POPUP&amp;HEIGHT=450&amp;WIDTH=450&amp;START_MAXIMIZED=FALSE&amp;VAR:CALENDAR=US&amp;VAR:SYMBOL=38259P50&amp;VAR:INDEX=0"}</definedName>
    <definedName name="_1854__FDSAUDITLINK__">{"fdsup://directions/FAT Viewer?action=UPDATE&amp;creator=factset&amp;DYN_ARGS=TRUE&amp;DOC_NAME=FAT:FQL_AUDITING_CLIENT_TEMPLATE.FAT&amp;display_string=Audit&amp;VAR:KEY=SFSLOFKRGN&amp;VAR:QUERY=KFBfUFJJQ0UoNDA2NzMpLShGRl9DQVNIX1NUKFFUUiw0MDY3MykvUF9DT01fU0hTX09VVCg0MDY3MykpKS9GR","V9FU1RJTUFURSgnRVBTJywnTUVBTicsJ0FOTlVBTF9ST0xMJywnKzEnLDQwNjczLCwsJycp&amp;WINDOW=FIRST_POPUP&amp;HEIGHT=450&amp;WIDTH=450&amp;START_MAXIMIZED=FALSE&amp;VAR:CALENDAR=US&amp;VAR:SYMBOL=38259P50&amp;VAR:INDEX=0"}</definedName>
    <definedName name="_1855__FDSAUDITLINK__">{"fdsup://directions/FAT Viewer?action=UPDATE&amp;creator=factset&amp;DYN_ARGS=TRUE&amp;DOC_NAME=FAT:FQL_AUDITING_CLIENT_TEMPLATE.FAT&amp;display_string=Audit&amp;VAR:KEY=OVSTQTKLCH&amp;VAR:QUERY=KFBfUFJJQ0UoNDA2NzIpLShGRl9DQVNIX1NUKFFUUiw0MDY3MikvUF9DT01fU0hTX09VVCg0MDY3MikpKS9GR","V9FU1RJTUFURSgnRVBTJywnTUVBTicsJ0FOTlVBTF9ST0xMJywnKzEnLDQwNjcyLCwsJycp&amp;WINDOW=FIRST_POPUP&amp;HEIGHT=450&amp;WIDTH=450&amp;START_MAXIMIZED=FALSE&amp;VAR:CALENDAR=US&amp;VAR:SYMBOL=38259P50&amp;VAR:INDEX=0"}</definedName>
    <definedName name="_1856__FDSAUDITLINK__">{"fdsup://directions/FAT Viewer?action=UPDATE&amp;creator=factset&amp;DYN_ARGS=TRUE&amp;DOC_NAME=FAT:FQL_AUDITING_CLIENT_TEMPLATE.FAT&amp;display_string=Audit&amp;VAR:KEY=OVSTQTKLCH&amp;VAR:QUERY=KFBfUFJJQ0UoNDA2NzIpLShGRl9DQVNIX1NUKFFUUiw0MDY3MikvUF9DT01fU0hTX09VVCg0MDY3MikpKS9GR","V9FU1RJTUFURSgnRVBTJywnTUVBTicsJ0FOTlVBTF9ST0xMJywnKzEnLDQwNjcyLCwsJycp&amp;WINDOW=FIRST_POPUP&amp;HEIGHT=450&amp;WIDTH=450&amp;START_MAXIMIZED=FALSE&amp;VAR:CALENDAR=US&amp;VAR:SYMBOL=38259P50&amp;VAR:INDEX=0"}</definedName>
    <definedName name="_1857__FDSAUDITLINK__">{"fdsup://directions/FAT Viewer?action=UPDATE&amp;creator=factset&amp;DYN_ARGS=TRUE&amp;DOC_NAME=FAT:FQL_AUDITING_CLIENT_TEMPLATE.FAT&amp;display_string=Audit&amp;VAR:KEY=WLATGFKTMV&amp;VAR:QUERY=KFBfUFJJQ0UoNDA2NzEpLShGRl9DQVNIX1NUKFFUUiw0MDY3MSkvUF9DT01fU0hTX09VVCg0MDY3MSkpKS9GR","V9FU1RJTUFURSgnRVBTJywnTUVBTicsJ0FOTlVBTF9ST0xMJywnKzEnLDQwNjcxLCwsJycp&amp;WINDOW=FIRST_POPUP&amp;HEIGHT=450&amp;WIDTH=450&amp;START_MAXIMIZED=FALSE&amp;VAR:CALENDAR=US&amp;VAR:SYMBOL=38259P50&amp;VAR:INDEX=0"}</definedName>
    <definedName name="_1858__FDSAUDITLINK__">{"fdsup://directions/FAT Viewer?action=UPDATE&amp;creator=factset&amp;DYN_ARGS=TRUE&amp;DOC_NAME=FAT:FQL_AUDITING_CLIENT_TEMPLATE.FAT&amp;display_string=Audit&amp;VAR:KEY=WLATGFKTMV&amp;VAR:QUERY=KFBfUFJJQ0UoNDA2NzEpLShGRl9DQVNIX1NUKFFUUiw0MDY3MSkvUF9DT01fU0hTX09VVCg0MDY3MSkpKS9GR","V9FU1RJTUFURSgnRVBTJywnTUVBTicsJ0FOTlVBTF9ST0xMJywnKzEnLDQwNjcxLCwsJycp&amp;WINDOW=FIRST_POPUP&amp;HEIGHT=450&amp;WIDTH=450&amp;START_MAXIMIZED=FALSE&amp;VAR:CALENDAR=US&amp;VAR:SYMBOL=38259P50&amp;VAR:INDEX=0"}</definedName>
    <definedName name="_1859__FDSAUDITLINK__">{"fdsup://directions/FAT Viewer?action=UPDATE&amp;creator=factset&amp;DYN_ARGS=TRUE&amp;DOC_NAME=FAT:FQL_AUDITING_CLIENT_TEMPLATE.FAT&amp;display_string=Audit&amp;VAR:KEY=WPGDAVQFIF&amp;VAR:QUERY=KFBfUFJJQ0UoNDA2NzApLShGRl9DQVNIX1NUKFFUUiw0MDY3MCkvUF9DT01fU0hTX09VVCg0MDY3MCkpKS9GR","V9FU1RJTUFURSgnRVBTJywnTUVBTicsJ0FOTlVBTF9ST0xMJywnKzEnLDQwNjcwLCwsJycp&amp;WINDOW=FIRST_POPUP&amp;HEIGHT=450&amp;WIDTH=450&amp;START_MAXIMIZED=FALSE&amp;VAR:CALENDAR=US&amp;VAR:SYMBOL=38259P50&amp;VAR:INDEX=0"}</definedName>
    <definedName name="_18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0.745902&amp;VAR:V=23.627023&amp;VAR:V0=26.068801&amp;VAR:V1=22.896434&amp;VAR:Y0=2000&amp;VAR:Y1=2001&amp;VAR:P=1436.510000&amp;VAR:DATE=20000929&amp;VAR:THRESH=-|-|","-|-|-|-|-"}</definedName>
    <definedName name="_1860__FDSAUDITLINK__">{"fdsup://directions/FAT Viewer?action=UPDATE&amp;creator=factset&amp;DYN_ARGS=TRUE&amp;DOC_NAME=FAT:FQL_AUDITING_CLIENT_TEMPLATE.FAT&amp;display_string=Audit&amp;VAR:KEY=WPGDAVQFIF&amp;VAR:QUERY=KFBfUFJJQ0UoNDA2NzApLShGRl9DQVNIX1NUKFFUUiw0MDY3MCkvUF9DT01fU0hTX09VVCg0MDY3MCkpKS9GR","V9FU1RJTUFURSgnRVBTJywnTUVBTicsJ0FOTlVBTF9ST0xMJywnKzEnLDQwNjcwLCwsJycp&amp;WINDOW=FIRST_POPUP&amp;HEIGHT=450&amp;WIDTH=450&amp;START_MAXIMIZED=FALSE&amp;VAR:CALENDAR=US&amp;VAR:SYMBOL=38259P50&amp;VAR:INDEX=0"}</definedName>
    <definedName name="_1861__FDSAUDITLINK__">{"fdsup://directions/FAT Viewer?action=UPDATE&amp;creator=factset&amp;DYN_ARGS=TRUE&amp;DOC_NAME=FAT:FQL_AUDITING_CLIENT_TEMPLATE.FAT&amp;display_string=Audit&amp;VAR:KEY=YHIRMJOBQF&amp;VAR:QUERY=KFBfUFJJQ0UoNDA2NjkpLShGRl9DQVNIX1NUKFFUUiw0MDY2OSkvUF9DT01fU0hTX09VVCg0MDY2OSkpKS9GR","V9FU1RJTUFURSgnRVBTJywnTUVBTicsJ0FOTlVBTF9ST0xMJywnKzEnLDQwNjY5LCwsJycp&amp;WINDOW=FIRST_POPUP&amp;HEIGHT=450&amp;WIDTH=450&amp;START_MAXIMIZED=FALSE&amp;VAR:CALENDAR=US&amp;VAR:SYMBOL=38259P50&amp;VAR:INDEX=0"}</definedName>
    <definedName name="_1862__FDSAUDITLINK__">{"fdsup://directions/FAT Viewer?action=UPDATE&amp;creator=factset&amp;DYN_ARGS=TRUE&amp;DOC_NAME=FAT:FQL_AUDITING_CLIENT_TEMPLATE.FAT&amp;display_string=Audit&amp;VAR:KEY=YHIRMJOBQF&amp;VAR:QUERY=KFBfUFJJQ0UoNDA2NjkpLShGRl9DQVNIX1NUKFFUUiw0MDY2OSkvUF9DT01fU0hTX09VVCg0MDY2OSkpKS9GR","V9FU1RJTUFURSgnRVBTJywnTUVBTicsJ0FOTlVBTF9ST0xMJywnKzEnLDQwNjY5LCwsJycp&amp;WINDOW=FIRST_POPUP&amp;HEIGHT=450&amp;WIDTH=450&amp;START_MAXIMIZED=FALSE&amp;VAR:CALENDAR=US&amp;VAR:SYMBOL=38259P50&amp;VAR:INDEX=0"}</definedName>
    <definedName name="_1863__FDSAUDITLINK__">{"fdsup://directions/FAT Viewer?action=UPDATE&amp;creator=factset&amp;DYN_ARGS=TRUE&amp;DOC_NAME=FAT:FQL_AUDITING_CLIENT_TEMPLATE.FAT&amp;display_string=Audit&amp;VAR:KEY=QZMFMZSROT&amp;VAR:QUERY=KFBfUFJJQ0UoNDA2NjgpLShGRl9DQVNIX1NUKFFUUiw0MDY2OCkvUF9DT01fU0hTX09VVCg0MDY2OCkpKS9GR","V9FU1RJTUFURSgnRVBTJywnTUVBTicsJ0FOTlVBTF9ST0xMJywnKzEnLDQwNjY4LCwsJycp&amp;WINDOW=FIRST_POPUP&amp;HEIGHT=450&amp;WIDTH=450&amp;START_MAXIMIZED=FALSE&amp;VAR:CALENDAR=US&amp;VAR:SYMBOL=38259P50&amp;VAR:INDEX=0"}</definedName>
    <definedName name="_1864__FDSAUDITLINK__">{"fdsup://directions/FAT Viewer?action=UPDATE&amp;creator=factset&amp;DYN_ARGS=TRUE&amp;DOC_NAME=FAT:FQL_AUDITING_CLIENT_TEMPLATE.FAT&amp;display_string=Audit&amp;VAR:KEY=QZMFMZSROT&amp;VAR:QUERY=KFBfUFJJQ0UoNDA2NjgpLShGRl9DQVNIX1NUKFFUUiw0MDY2OCkvUF9DT01fU0hTX09VVCg0MDY2OCkpKS9GR","V9FU1RJTUFURSgnRVBTJywnTUVBTicsJ0FOTlVBTF9ST0xMJywnKzEnLDQwNjY4LCwsJycp&amp;WINDOW=FIRST_POPUP&amp;HEIGHT=450&amp;WIDTH=450&amp;START_MAXIMIZED=FALSE&amp;VAR:CALENDAR=US&amp;VAR:SYMBOL=38259P50&amp;VAR:INDEX=0"}</definedName>
    <definedName name="_1865__FDSAUDITLINK__">{"fdsup://directions/FAT Viewer?action=UPDATE&amp;creator=factset&amp;DYN_ARGS=TRUE&amp;DOC_NAME=FAT:FQL_AUDITING_CLIENT_TEMPLATE.FAT&amp;display_string=Audit&amp;VAR:KEY=ONEFIBEPUL&amp;VAR:QUERY=KFBfUFJJQ0UoNDA2NjcpLShGRl9DQVNIX1NUKFFUUiw0MDY2NykvUF9DT01fU0hTX09VVCg0MDY2NykpKS9GR","V9FU1RJTUFURSgnRVBTJywnTUVBTicsJ0FOTlVBTF9ST0xMJywnKzEnLDQwNjY3LCwsJycp&amp;WINDOW=FIRST_POPUP&amp;HEIGHT=450&amp;WIDTH=450&amp;START_MAXIMIZED=FALSE&amp;VAR:CALENDAR=US&amp;VAR:SYMBOL=38259P50&amp;VAR:INDEX=0"}</definedName>
    <definedName name="_1866__FDSAUDITLINK__">{"fdsup://directions/FAT Viewer?action=UPDATE&amp;creator=factset&amp;DYN_ARGS=TRUE&amp;DOC_NAME=FAT:FQL_AUDITING_CLIENT_TEMPLATE.FAT&amp;display_string=Audit&amp;VAR:KEY=ONEFIBEPUL&amp;VAR:QUERY=KFBfUFJJQ0UoNDA2NjcpLShGRl9DQVNIX1NUKFFUUiw0MDY2NykvUF9DT01fU0hTX09VVCg0MDY2NykpKS9GR","V9FU1RJTUFURSgnRVBTJywnTUVBTicsJ0FOTlVBTF9ST0xMJywnKzEnLDQwNjY3LCwsJycp&amp;WINDOW=FIRST_POPUP&amp;HEIGHT=450&amp;WIDTH=450&amp;START_MAXIMIZED=FALSE&amp;VAR:CALENDAR=US&amp;VAR:SYMBOL=38259P50&amp;VAR:INDEX=0"}</definedName>
    <definedName name="_1867__FDSAUDITLINK__">{"fdsup://directions/FAT Viewer?action=UPDATE&amp;creator=factset&amp;DYN_ARGS=TRUE&amp;DOC_NAME=FAT:FQL_AUDITING_CLIENT_TEMPLATE.FAT&amp;display_string=Audit&amp;VAR:KEY=SRKXQPYFEF&amp;VAR:QUERY=KFBfUFJJQ0UoNDA2NjYpLShGRl9DQVNIX1NUKFFUUiw0MDY2NikvUF9DT01fU0hTX09VVCg0MDY2NikpKS9GR","V9FU1RJTUFURSgnRVBTJywnTUVBTicsJ0FOTlVBTF9ST0xMJywnKzEnLDQwNjY2LCwsJycp&amp;WINDOW=FIRST_POPUP&amp;HEIGHT=450&amp;WIDTH=450&amp;START_MAXIMIZED=FALSE&amp;VAR:CALENDAR=US&amp;VAR:SYMBOL=38259P50&amp;VAR:INDEX=0"}</definedName>
    <definedName name="_1868__FDSAUDITLINK__">{"fdsup://directions/FAT Viewer?action=UPDATE&amp;creator=factset&amp;DYN_ARGS=TRUE&amp;DOC_NAME=FAT:FQL_AUDITING_CLIENT_TEMPLATE.FAT&amp;display_string=Audit&amp;VAR:KEY=SRKXQPYFEF&amp;VAR:QUERY=KFBfUFJJQ0UoNDA2NjYpLShGRl9DQVNIX1NUKFFUUiw0MDY2NikvUF9DT01fU0hTX09VVCg0MDY2NikpKS9GR","V9FU1RJTUFURSgnRVBTJywnTUVBTicsJ0FOTlVBTF9ST0xMJywnKzEnLDQwNjY2LCwsJycp&amp;WINDOW=FIRST_POPUP&amp;HEIGHT=450&amp;WIDTH=450&amp;START_MAXIMIZED=FALSE&amp;VAR:CALENDAR=US&amp;VAR:SYMBOL=38259P50&amp;VAR:INDEX=0"}</definedName>
    <definedName name="_1869__FDSAUDITLINK__">{"fdsup://directions/FAT Viewer?action=UPDATE&amp;creator=factset&amp;DYN_ARGS=TRUE&amp;DOC_NAME=FAT:FQL_AUDITING_CLIENT_TEMPLATE.FAT&amp;display_string=Audit&amp;VAR:KEY=SHMRKZOXQD&amp;VAR:QUERY=KFBfUFJJQ0UoNDA2NjUpLShGRl9DQVNIX1NUKFFUUiw0MDY2NSkvUF9DT01fU0hTX09VVCg0MDY2NSkpKS9GR","V9FU1RJTUFURSgnRVBTJywnTUVBTicsJ0FOTlVBTF9ST0xMJywnKzEnLDQwNjY1LCwsJycp&amp;WINDOW=FIRST_POPUP&amp;HEIGHT=450&amp;WIDTH=450&amp;START_MAXIMIZED=FALSE&amp;VAR:CALENDAR=US&amp;VAR:SYMBOL=38259P50&amp;VAR:INDEX=0"}</definedName>
    <definedName name="_18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0.497268&amp;VAR:V=25.296435&amp;VAR:V0=27.133862&amp;VAR:V1=23.675576&amp;VAR:Y0=2000&amp;VAR:Y1=2001&amp;VAR:P=1454.600000&amp;VAR:DATE=20000630&amp;VAR:THRESH=-|-|","-|-|-|-|-"}</definedName>
    <definedName name="_1870__FDSAUDITLINK__">{"fdsup://directions/FAT Viewer?action=UPDATE&amp;creator=factset&amp;DYN_ARGS=TRUE&amp;DOC_NAME=FAT:FQL_AUDITING_CLIENT_TEMPLATE.FAT&amp;display_string=Audit&amp;VAR:KEY=SHMRKZOXQD&amp;VAR:QUERY=KFBfUFJJQ0UoNDA2NjUpLShGRl9DQVNIX1NUKFFUUiw0MDY2NSkvUF9DT01fU0hTX09VVCg0MDY2NSkpKS9GR","V9FU1RJTUFURSgnRVBTJywnTUVBTicsJ0FOTlVBTF9ST0xMJywnKzEnLDQwNjY1LCwsJycp&amp;WINDOW=FIRST_POPUP&amp;HEIGHT=450&amp;WIDTH=450&amp;START_MAXIMIZED=FALSE&amp;VAR:CALENDAR=US&amp;VAR:SYMBOL=38259P50&amp;VAR:INDEX=0"}</definedName>
    <definedName name="_1871__FDSAUDITLINK__">{"fdsup://directions/FAT Viewer?action=UPDATE&amp;creator=factset&amp;DYN_ARGS=TRUE&amp;DOC_NAME=FAT:FQL_AUDITING_CLIENT_TEMPLATE.FAT&amp;display_string=Audit&amp;VAR:KEY=ADYFWPYBWJ&amp;VAR:QUERY=KFBfUFJJQ0UoNDA2NjQpLShGRl9DQVNIX1NUKFFUUiw0MDY2NCkvUF9DT01fU0hTX09VVCg0MDY2NCkpKS9GR","V9FU1RJTUFURSgnRVBTJywnTUVBTicsJ0FOTlVBTF9ST0xMJywnKzEnLDQwNjY0LCwsJycp&amp;WINDOW=FIRST_POPUP&amp;HEIGHT=450&amp;WIDTH=450&amp;START_MAXIMIZED=FALSE&amp;VAR:CALENDAR=US&amp;VAR:SYMBOL=38259P50&amp;VAR:INDEX=0"}</definedName>
    <definedName name="_1872__FDSAUDITLINK__">{"fdsup://directions/FAT Viewer?action=UPDATE&amp;creator=factset&amp;DYN_ARGS=TRUE&amp;DOC_NAME=FAT:FQL_AUDITING_CLIENT_TEMPLATE.FAT&amp;display_string=Audit&amp;VAR:KEY=ADYFWPYBWJ&amp;VAR:QUERY=KFBfUFJJQ0UoNDA2NjQpLShGRl9DQVNIX1NUKFFUUiw0MDY2NCkvUF9DT01fU0hTX09VVCg0MDY2NCkpKS9GR","V9FU1RJTUFURSgnRVBTJywnTUVBTicsJ0FOTlVBTF9ST0xMJywnKzEnLDQwNjY0LCwsJycp&amp;WINDOW=FIRST_POPUP&amp;HEIGHT=450&amp;WIDTH=450&amp;START_MAXIMIZED=FALSE&amp;VAR:CALENDAR=US&amp;VAR:SYMBOL=38259P50&amp;VAR:INDEX=0"}</definedName>
    <definedName name="_1873__FDSAUDITLINK__">{"fdsup://directions/FAT Viewer?action=UPDATE&amp;creator=factset&amp;DYN_ARGS=TRUE&amp;DOC_NAME=FAT:FQL_AUDITING_CLIENT_TEMPLATE.FAT&amp;display_string=Audit&amp;VAR:KEY=YLGVCVYBEB&amp;VAR:QUERY=KFBfUFJJQ0UoNDA2NjMpLShGRl9DQVNIX1NUKFFUUiw0MDY2MykvUF9DT01fU0hTX09VVCg0MDY2MykpKS9GR","V9FU1RJTUFURSgnRVBTJywnTUVBTicsJ0FOTlVBTF9ST0xMJywnKzEnLDQwNjYzLCwsJycp&amp;WINDOW=FIRST_POPUP&amp;HEIGHT=450&amp;WIDTH=450&amp;START_MAXIMIZED=FALSE&amp;VAR:CALENDAR=US&amp;VAR:SYMBOL=38259P50&amp;VAR:INDEX=0"}</definedName>
    <definedName name="_1874__FDSAUDITLINK__">{"fdsup://directions/FAT Viewer?action=UPDATE&amp;creator=factset&amp;DYN_ARGS=TRUE&amp;DOC_NAME=FAT:FQL_AUDITING_CLIENT_TEMPLATE.FAT&amp;display_string=Audit&amp;VAR:KEY=YLGVCVYBEB&amp;VAR:QUERY=KFBfUFJJQ0UoNDA2NjMpLShGRl9DQVNIX1NUKFFUUiw0MDY2MykvUF9DT01fU0hTX09VVCg0MDY2MykpKS9GR","V9FU1RJTUFURSgnRVBTJywnTUVBTicsJ0FOTlVBTF9ST0xMJywnKzEnLDQwNjYzLCwsJycp&amp;WINDOW=FIRST_POPUP&amp;HEIGHT=450&amp;WIDTH=450&amp;START_MAXIMIZED=FALSE&amp;VAR:CALENDAR=US&amp;VAR:SYMBOL=38259P50&amp;VAR:INDEX=0"}</definedName>
    <definedName name="_1875__FDSAUDITLINK__">{"fdsup://directions/FAT Viewer?action=UPDATE&amp;creator=factset&amp;DYN_ARGS=TRUE&amp;DOC_NAME=FAT:FQL_AUDITING_CLIENT_TEMPLATE.FAT&amp;display_string=Audit&amp;VAR:KEY=EVMLGBKFEB&amp;VAR:QUERY=KFBfUFJJQ0UoNDA2NjIpLShGRl9DQVNIX1NUKFFUUiw0MDY2MikvUF9DT01fU0hTX09VVCg0MDY2MikpKS9GR","V9FU1RJTUFURSgnRVBTJywnTUVBTicsJ0FOTlVBTF9ST0xMJywnKzEnLDQwNjYyLCwsJycp&amp;WINDOW=FIRST_POPUP&amp;HEIGHT=450&amp;WIDTH=450&amp;START_MAXIMIZED=FALSE&amp;VAR:CALENDAR=US&amp;VAR:SYMBOL=38259P50&amp;VAR:INDEX=0"}</definedName>
    <definedName name="_1876__FDSAUDITLINK__">{"fdsup://directions/FAT Viewer?action=UPDATE&amp;creator=factset&amp;DYN_ARGS=TRUE&amp;DOC_NAME=FAT:FQL_AUDITING_CLIENT_TEMPLATE.FAT&amp;display_string=Audit&amp;VAR:KEY=EVMLGBKFEB&amp;VAR:QUERY=KFBfUFJJQ0UoNDA2NjIpLShGRl9DQVNIX1NUKFFUUiw0MDY2MikvUF9DT01fU0hTX09VVCg0MDY2MikpKS9GR","V9FU1RJTUFURSgnRVBTJywnTUVBTicsJ0FOTlVBTF9ST0xMJywnKzEnLDQwNjYyLCwsJycp&amp;WINDOW=FIRST_POPUP&amp;HEIGHT=450&amp;WIDTH=450&amp;START_MAXIMIZED=FALSE&amp;VAR:CALENDAR=US&amp;VAR:SYMBOL=38259P50&amp;VAR:INDEX=0"}</definedName>
    <definedName name="_1877__FDSAUDITLINK__">{"fdsup://directions/FAT Viewer?action=UPDATE&amp;creator=factset&amp;DYN_ARGS=TRUE&amp;DOC_NAME=FAT:FQL_AUDITING_CLIENT_TEMPLATE.FAT&amp;display_string=Audit&amp;VAR:KEY=MHODWVCXSL&amp;VAR:QUERY=KFBfUFJJQ0UoNDA2NjEpLShGRl9DQVNIX1NUKFFUUiw0MDY2MSkvUF9DT01fU0hTX09VVCg0MDY2MSkpKS9GR","V9FU1RJTUFURSgnRVBTJywnTUVBTicsJ0FOTlVBTF9ST0xMJywnKzEnLDQwNjYxLCwsJycp&amp;WINDOW=FIRST_POPUP&amp;HEIGHT=450&amp;WIDTH=450&amp;START_MAXIMIZED=FALSE&amp;VAR:CALENDAR=US&amp;VAR:SYMBOL=38259P50&amp;VAR:INDEX=0"}</definedName>
    <definedName name="_1878__FDSAUDITLINK__">{"fdsup://directions/FAT Viewer?action=UPDATE&amp;creator=factset&amp;DYN_ARGS=TRUE&amp;DOC_NAME=FAT:FQL_AUDITING_CLIENT_TEMPLATE.FAT&amp;display_string=Audit&amp;VAR:KEY=MHODWVCXSL&amp;VAR:QUERY=KFBfUFJJQ0UoNDA2NjEpLShGRl9DQVNIX1NUKFFUUiw0MDY2MSkvUF9DT01fU0hTX09VVCg0MDY2MSkpKS9GR","V9FU1RJTUFURSgnRVBTJywnTUVBTicsJ0FOTlVBTF9ST0xMJywnKzEnLDQwNjYxLCwsJycp&amp;WINDOW=FIRST_POPUP&amp;HEIGHT=450&amp;WIDTH=450&amp;START_MAXIMIZED=FALSE&amp;VAR:CALENDAR=US&amp;VAR:SYMBOL=38259P50&amp;VAR:INDEX=0"}</definedName>
    <definedName name="_1879__FDSAUDITLINK__">{"fdsup://directions/FAT Viewer?action=UPDATE&amp;creator=factset&amp;DYN_ARGS=TRUE&amp;DOC_NAME=FAT:FQL_AUDITING_CLIENT_TEMPLATE.FAT&amp;display_string=Audit&amp;VAR:KEY=QJWLSPUJER&amp;VAR:QUERY=KFBfUFJJQ0UoNDA2NjApLShGRl9DQVNIX1NUKFFUUiw0MDY2MCkvUF9DT01fU0hTX09VVCg0MDY2MCkpKS9GR","V9FU1RJTUFURSgnRVBTJywnTUVBTicsJ0FOTlVBTF9ST0xMJywnKzEnLDQwNjYwLCwsJycp&amp;WINDOW=FIRST_POPUP&amp;HEIGHT=450&amp;WIDTH=450&amp;START_MAXIMIZED=FALSE&amp;VAR:CALENDAR=US&amp;VAR:SYMBOL=38259P50&amp;VAR:INDEX=0"}</definedName>
    <definedName name="_18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0.248634&amp;VAR:V=27.255586&amp;VAR:V0=28.303076&amp;VAR:V1=24.513888&amp;VAR:Y0=2000&amp;VAR:Y1=2001&amp;VAR:P=1498.580000&amp;VAR:DATE=20000331&amp;VAR:THRESH=-|-|","-|-|-|-|-"}</definedName>
    <definedName name="_1880__FDSAUDITLINK__">{"fdsup://directions/FAT Viewer?action=UPDATE&amp;creator=factset&amp;DYN_ARGS=TRUE&amp;DOC_NAME=FAT:FQL_AUDITING_CLIENT_TEMPLATE.FAT&amp;display_string=Audit&amp;VAR:KEY=QJWLSPUJER&amp;VAR:QUERY=KFBfUFJJQ0UoNDA2NjApLShGRl9DQVNIX1NUKFFUUiw0MDY2MCkvUF9DT01fU0hTX09VVCg0MDY2MCkpKS9GR","V9FU1RJTUFURSgnRVBTJywnTUVBTicsJ0FOTlVBTF9ST0xMJywnKzEnLDQwNjYwLCwsJycp&amp;WINDOW=FIRST_POPUP&amp;HEIGHT=450&amp;WIDTH=450&amp;START_MAXIMIZED=FALSE&amp;VAR:CALENDAR=US&amp;VAR:SYMBOL=38259P50&amp;VAR:INDEX=0"}</definedName>
    <definedName name="_1881__FDSAUDITLINK__">{"fdsup://directions/FAT Viewer?action=UPDATE&amp;creator=factset&amp;DYN_ARGS=TRUE&amp;DOC_NAME=FAT:FQL_AUDITING_CLIENT_TEMPLATE.FAT&amp;display_string=Audit&amp;VAR:KEY=MRUZWTUVAP&amp;VAR:QUERY=KFBfUFJJQ0UoNDA2NTkpLShGRl9DQVNIX1NUKFFUUiw0MDY1OSkvUF9DT01fU0hTX09VVCg0MDY1OSkpKS9GR","V9FU1RJTUFURSgnRVBTJywnTUVBTicsJ0FOTlVBTF9ST0xMJywnKzEnLDQwNjU5LCwsJycp&amp;WINDOW=FIRST_POPUP&amp;HEIGHT=450&amp;WIDTH=450&amp;START_MAXIMIZED=FALSE&amp;VAR:CALENDAR=US&amp;VAR:SYMBOL=38259P50&amp;VAR:INDEX=0"}</definedName>
    <definedName name="_1882__FDSAUDITLINK__">{"fdsup://directions/FAT Viewer?action=UPDATE&amp;creator=factset&amp;DYN_ARGS=TRUE&amp;DOC_NAME=FAT:FQL_AUDITING_CLIENT_TEMPLATE.FAT&amp;display_string=Audit&amp;VAR:KEY=MRUZWTUVAP&amp;VAR:QUERY=KFBfUFJJQ0UoNDA2NTkpLShGRl9DQVNIX1NUKFFUUiw0MDY1OSkvUF9DT01fU0hTX09VVCg0MDY1OSkpKS9GR","V9FU1RJTUFURSgnRVBTJywnTUVBTicsJ0FOTlVBTF9ST0xMJywnKzEnLDQwNjU5LCwsJycp&amp;WINDOW=FIRST_POPUP&amp;HEIGHT=450&amp;WIDTH=450&amp;START_MAXIMIZED=FALSE&amp;VAR:CALENDAR=US&amp;VAR:SYMBOL=38259P50&amp;VAR:INDEX=0"}</definedName>
    <definedName name="_1883__FDSAUDITLINK__">{"fdsup://directions/FAT Viewer?action=UPDATE&amp;creator=factset&amp;DYN_ARGS=TRUE&amp;DOC_NAME=FAT:FQL_AUDITING_CLIENT_TEMPLATE.FAT&amp;display_string=Audit&amp;VAR:KEY=AZWBWVSNYJ&amp;VAR:QUERY=KFBfUFJJQ0UoNDA2NTgpLShGRl9DQVNIX1NUKFFUUiw0MDY1OCkvUF9DT01fU0hTX09VVCg0MDY1OCkpKS9GR","V9FU1RJTUFURSgnRVBTJywnTUVBTicsJ0FOTlVBTF9ST0xMJywnKzEnLDQwNjU4LCwsJycp&amp;WINDOW=FIRST_POPUP&amp;HEIGHT=450&amp;WIDTH=450&amp;START_MAXIMIZED=FALSE&amp;VAR:CALENDAR=US&amp;VAR:SYMBOL=38259P50&amp;VAR:INDEX=0"}</definedName>
    <definedName name="_1884__FDSAUDITLINK__">{"fdsup://directions/FAT Viewer?action=UPDATE&amp;creator=factset&amp;DYN_ARGS=TRUE&amp;DOC_NAME=FAT:FQL_AUDITING_CLIENT_TEMPLATE.FAT&amp;display_string=Audit&amp;VAR:KEY=AZWBWVSNYJ&amp;VAR:QUERY=KFBfUFJJQ0UoNDA2NTgpLShGRl9DQVNIX1NUKFFUUiw0MDY1OCkvUF9DT01fU0hTX09VVCg0MDY1OCkpKS9GR","V9FU1RJTUFURSgnRVBTJywnTUVBTicsJ0FOTlVBTF9ST0xMJywnKzEnLDQwNjU4LCwsJycp&amp;WINDOW=FIRST_POPUP&amp;HEIGHT=450&amp;WIDTH=450&amp;START_MAXIMIZED=FALSE&amp;VAR:CALENDAR=US&amp;VAR:SYMBOL=38259P50&amp;VAR:INDEX=0"}</definedName>
    <definedName name="_1885__FDSAUDITLINK__">{"fdsup://directions/FAT Viewer?action=UPDATE&amp;creator=factset&amp;DYN_ARGS=TRUE&amp;DOC_NAME=FAT:FQL_AUDITING_CLIENT_TEMPLATE.FAT&amp;display_string=Audit&amp;VAR:KEY=CJWTGRUZIJ&amp;VAR:QUERY=KFBfUFJJQ0UoNDA2NTcpLShGRl9DQVNIX1NUKFFUUiw0MDY1NykvUF9DT01fU0hTX09VVCg0MDY1NykpKS9GR","V9FU1RJTUFURSgnRVBTJywnTUVBTicsJ0FOTlVBTF9ST0xMJywnKzEnLDQwNjU3LCwsJycp&amp;WINDOW=FIRST_POPUP&amp;HEIGHT=450&amp;WIDTH=450&amp;START_MAXIMIZED=FALSE&amp;VAR:CALENDAR=US&amp;VAR:SYMBOL=38259P50&amp;VAR:INDEX=0"}</definedName>
    <definedName name="_1886__FDSAUDITLINK__">{"fdsup://directions/FAT Viewer?action=UPDATE&amp;creator=factset&amp;DYN_ARGS=TRUE&amp;DOC_NAME=FAT:FQL_AUDITING_CLIENT_TEMPLATE.FAT&amp;display_string=Audit&amp;VAR:KEY=CJWTGRUZIJ&amp;VAR:QUERY=KFBfUFJJQ0UoNDA2NTcpLShGRl9DQVNIX1NUKFFUUiw0MDY1NykvUF9DT01fU0hTX09VVCg0MDY1NykpKS9GR","V9FU1RJTUFURSgnRVBTJywnTUVBTicsJ0FOTlVBTF9ST0xMJywnKzEnLDQwNjU3LCwsJycp&amp;WINDOW=FIRST_POPUP&amp;HEIGHT=450&amp;WIDTH=450&amp;START_MAXIMIZED=FALSE&amp;VAR:CALENDAR=US&amp;VAR:SYMBOL=38259P50&amp;VAR:INDEX=0"}</definedName>
    <definedName name="_1887__FDSAUDITLINK__">{"fdsup://directions/FAT Viewer?action=UPDATE&amp;creator=factset&amp;DYN_ARGS=TRUE&amp;DOC_NAME=FAT:FQL_AUDITING_CLIENT_TEMPLATE.FAT&amp;display_string=Audit&amp;VAR:KEY=WZWTQDEBYN&amp;VAR:QUERY=KFBfUFJJQ0UoNDA2NTYpLShGRl9DQVNIX1NUKFFUUiw0MDY1NikvUF9DT01fU0hTX09VVCg0MDY1NikpKS9GR","V9FU1RJTUFURSgnRVBTJywnTUVBTicsJ0FOTlVBTF9ST0xMJywnKzEnLDQwNjU2LCwsJycp&amp;WINDOW=FIRST_POPUP&amp;HEIGHT=450&amp;WIDTH=450&amp;START_MAXIMIZED=FALSE&amp;VAR:CALENDAR=US&amp;VAR:SYMBOL=38259P50&amp;VAR:INDEX=0"}</definedName>
    <definedName name="_1888__FDSAUDITLINK__">{"fdsup://directions/FAT Viewer?action=UPDATE&amp;creator=factset&amp;DYN_ARGS=TRUE&amp;DOC_NAME=FAT:FQL_AUDITING_CLIENT_TEMPLATE.FAT&amp;display_string=Audit&amp;VAR:KEY=WZWTQDEBYN&amp;VAR:QUERY=KFBfUFJJQ0UoNDA2NTYpLShGRl9DQVNIX1NUKFFUUiw0MDY1NikvUF9DT01fU0hTX09VVCg0MDY1NikpKS9GR","V9FU1RJTUFURSgnRVBTJywnTUVBTicsJ0FOTlVBTF9ST0xMJywnKzEnLDQwNjU2LCwsJycp&amp;WINDOW=FIRST_POPUP&amp;HEIGHT=450&amp;WIDTH=450&amp;START_MAXIMIZED=FALSE&amp;VAR:CALENDAR=US&amp;VAR:SYMBOL=38259P50&amp;VAR:INDEX=0"}</definedName>
    <definedName name="_1889__FDSAUDITLINK__">{"fdsup://directions/FAT Viewer?action=UPDATE&amp;creator=factset&amp;DYN_ARGS=TRUE&amp;DOC_NAME=FAT:FQL_AUDITING_CLIENT_TEMPLATE.FAT&amp;display_string=Audit&amp;VAR:KEY=INYNGBGREZ&amp;VAR:QUERY=KFBfUFJJQ0UoNDA2NTUpLShGRl9DQVNIX1NUKFFUUiw0MDY1NSkvUF9DT01fU0hTX09VVCg0MDY1NSkpKS9GR","V9FU1RJTUFURSgnRVBTJywnTUVBTicsJ0FOTlVBTF9ST0xMJywnKzEnLDQwNjU1LCwsJycp&amp;WINDOW=FIRST_POPUP&amp;HEIGHT=450&amp;WIDTH=450&amp;START_MAXIMIZED=FALSE&amp;VAR:CALENDAR=US&amp;VAR:SYMBOL=38259P50&amp;VAR:INDEX=0"}</definedName>
    <definedName name="_18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27.339865&amp;VAR:V0=32.162697&amp;VAR:V1=27.339865&amp;VAR:Y0=1999&amp;VAR:Y1=2000&amp;VAR:P=1469.250000&amp;VAR:DATE=19991231&amp;VAR:THRESH=-|-|","-|-|-|-|-"}</definedName>
    <definedName name="_1890__FDSAUDITLINK__">{"fdsup://directions/FAT Viewer?action=UPDATE&amp;creator=factset&amp;DYN_ARGS=TRUE&amp;DOC_NAME=FAT:FQL_AUDITING_CLIENT_TEMPLATE.FAT&amp;display_string=Audit&amp;VAR:KEY=INYNGBGREZ&amp;VAR:QUERY=KFBfUFJJQ0UoNDA2NTUpLShGRl9DQVNIX1NUKFFUUiw0MDY1NSkvUF9DT01fU0hTX09VVCg0MDY1NSkpKS9GR","V9FU1RJTUFURSgnRVBTJywnTUVBTicsJ0FOTlVBTF9ST0xMJywnKzEnLDQwNjU1LCwsJycp&amp;WINDOW=FIRST_POPUP&amp;HEIGHT=450&amp;WIDTH=450&amp;START_MAXIMIZED=FALSE&amp;VAR:CALENDAR=US&amp;VAR:SYMBOL=38259P50&amp;VAR:INDEX=0"}</definedName>
    <definedName name="_1891__FDSAUDITLINK__">{"fdsup://directions/FAT Viewer?action=UPDATE&amp;creator=factset&amp;DYN_ARGS=TRUE&amp;DOC_NAME=FAT:FQL_AUDITING_CLIENT_TEMPLATE.FAT&amp;display_string=Audit&amp;VAR:KEY=GVQNAHMLCH&amp;VAR:QUERY=KFBfUFJJQ0UoNDA2NTQpLShGRl9DQVNIX1NUKFFUUiw0MDY1NCkvUF9DT01fU0hTX09VVCg0MDY1NCkpKS9GR","V9FU1RJTUFURSgnRVBTJywnTUVBTicsJ0FOTlVBTF9ST0xMJywnKzEnLDQwNjU0LCwsJycp&amp;WINDOW=FIRST_POPUP&amp;HEIGHT=450&amp;WIDTH=450&amp;START_MAXIMIZED=FALSE&amp;VAR:CALENDAR=US&amp;VAR:SYMBOL=38259P50&amp;VAR:INDEX=0"}</definedName>
    <definedName name="_1892__FDSAUDITLINK__">{"fdsup://directions/FAT Viewer?action=UPDATE&amp;creator=factset&amp;DYN_ARGS=TRUE&amp;DOC_NAME=FAT:FQL_AUDITING_CLIENT_TEMPLATE.FAT&amp;display_string=Audit&amp;VAR:KEY=GVQNAHMLCH&amp;VAR:QUERY=KFBfUFJJQ0UoNDA2NTQpLShGRl9DQVNIX1NUKFFUUiw0MDY1NCkvUF9DT01fU0hTX09VVCg0MDY1NCkpKS9GR","V9FU1RJTUFURSgnRVBTJywnTUVBTicsJ0FOTlVBTF9ST0xMJywnKzEnLDQwNjU0LCwsJycp&amp;WINDOW=FIRST_POPUP&amp;HEIGHT=450&amp;WIDTH=450&amp;START_MAXIMIZED=FALSE&amp;VAR:CALENDAR=US&amp;VAR:SYMBOL=38259P50&amp;VAR:INDEX=0"}</definedName>
    <definedName name="_1893__FDSAUDITLINK__">{"fdsup://directions/FAT Viewer?action=UPDATE&amp;creator=factset&amp;DYN_ARGS=TRUE&amp;DOC_NAME=FAT:FQL_AUDITING_CLIENT_TEMPLATE.FAT&amp;display_string=Audit&amp;VAR:KEY=KNIVGPIHMT&amp;VAR:QUERY=KFBfUFJJQ0UoNDA2NTMpLShGRl9DQVNIX1NUKFFUUiw0MDY1MykvUF9DT01fU0hTX09VVCg0MDY1MykpKS9GR","V9FU1RJTUFURSgnRVBTJywnTUVBTicsJ0FOTlVBTF9ST0xMJywnKzEnLDQwNjUzLCwsJycp&amp;WINDOW=FIRST_POPUP&amp;HEIGHT=450&amp;WIDTH=450&amp;START_MAXIMIZED=FALSE&amp;VAR:CALENDAR=US&amp;VAR:SYMBOL=38259P50&amp;VAR:INDEX=0"}</definedName>
    <definedName name="_1894__FDSAUDITLINK__">{"fdsup://directions/FAT Viewer?action=UPDATE&amp;creator=factset&amp;DYN_ARGS=TRUE&amp;DOC_NAME=FAT:FQL_AUDITING_CLIENT_TEMPLATE.FAT&amp;display_string=Audit&amp;VAR:KEY=KNIVGPIHMT&amp;VAR:QUERY=KFBfUFJJQ0UoNDA2NTMpLShGRl9DQVNIX1NUKFFUUiw0MDY1MykvUF9DT01fU0hTX09VVCg0MDY1MykpKS9GR","V9FU1RJTUFURSgnRVBTJywnTUVBTicsJ0FOTlVBTF9ST0xMJywnKzEnLDQwNjUzLCwsJycp&amp;WINDOW=FIRST_POPUP&amp;HEIGHT=450&amp;WIDTH=450&amp;START_MAXIMIZED=FALSE&amp;VAR:CALENDAR=US&amp;VAR:SYMBOL=38259P50&amp;VAR:INDEX=0"}</definedName>
    <definedName name="_1895__FDSAUDITLINK__">{"fdsup://directions/FAT Viewer?action=UPDATE&amp;creator=factset&amp;DYN_ARGS=TRUE&amp;DOC_NAME=FAT:FQL_AUDITING_CLIENT_TEMPLATE.FAT&amp;display_string=Audit&amp;VAR:KEY=GZYRGREXAH&amp;VAR:QUERY=KFBfUFJJQ0UoNDA2NTIpLShGRl9DQVNIX1NUKFFUUiw0MDY1MikvUF9DT01fU0hTX09VVCg0MDY1MikpKS9GR","V9FU1RJTUFURSgnRVBTJywnTUVBTicsJ0FOTlVBTF9ST0xMJywnKzEnLDQwNjUyLCwsJycp&amp;WINDOW=FIRST_POPUP&amp;HEIGHT=450&amp;WIDTH=450&amp;START_MAXIMIZED=FALSE&amp;VAR:CALENDAR=US&amp;VAR:SYMBOL=38259P50&amp;VAR:INDEX=0"}</definedName>
    <definedName name="_1896__FDSAUDITLINK__">{"fdsup://directions/FAT Viewer?action=UPDATE&amp;creator=factset&amp;DYN_ARGS=TRUE&amp;DOC_NAME=FAT:FQL_AUDITING_CLIENT_TEMPLATE.FAT&amp;display_string=Audit&amp;VAR:KEY=GZYRGREXAH&amp;VAR:QUERY=KFBfUFJJQ0UoNDA2NTIpLShGRl9DQVNIX1NUKFFUUiw0MDY1MikvUF9DT01fU0hTX09VVCg0MDY1MikpKS9GR","V9FU1RJTUFURSgnRVBTJywnTUVBTicsJ0FOTlVBTF9ST0xMJywnKzEnLDQwNjUyLCwsJycp&amp;WINDOW=FIRST_POPUP&amp;HEIGHT=450&amp;WIDTH=450&amp;START_MAXIMIZED=FALSE&amp;VAR:CALENDAR=US&amp;VAR:SYMBOL=38259P50&amp;VAR:INDEX=0"}</definedName>
    <definedName name="_1897__FDSAUDITLINK__">{"fdsup://directions/FAT Viewer?action=UPDATE&amp;creator=factset&amp;DYN_ARGS=TRUE&amp;DOC_NAME=FAT:FQL_AUDITING_CLIENT_TEMPLATE.FAT&amp;display_string=Audit&amp;VAR:KEY=QXKHAXINEV&amp;VAR:QUERY=KFBfUFJJQ0UoNDA2NTEpLShGRl9DQVNIX1NUKFFUUiw0MDY1MSkvUF9DT01fU0hTX09VVCg0MDY1MSkpKS9GR","V9FU1RJTUFURSgnRVBTJywnTUVBTicsJ0FOTlVBTF9ST0xMJywnKzEnLDQwNjUxLCwsJycp&amp;WINDOW=FIRST_POPUP&amp;HEIGHT=450&amp;WIDTH=450&amp;START_MAXIMIZED=FALSE&amp;VAR:CALENDAR=US&amp;VAR:SYMBOL=38259P50&amp;VAR:INDEX=0"}</definedName>
    <definedName name="_1898__FDSAUDITLINK__">{"fdsup://directions/FAT Viewer?action=UPDATE&amp;creator=factset&amp;DYN_ARGS=TRUE&amp;DOC_NAME=FAT:FQL_AUDITING_CLIENT_TEMPLATE.FAT&amp;display_string=Audit&amp;VAR:KEY=QXKHAXINEV&amp;VAR:QUERY=KFBfUFJJQ0UoNDA2NTEpLShGRl9DQVNIX1NUKFFUUiw0MDY1MSkvUF9DT01fU0hTX09VVCg0MDY1MSkpKS9GR","V9FU1RJTUFURSgnRVBTJywnTUVBTicsJ0FOTlVBTF9ST0xMJywnKzEnLDQwNjUxLCwsJycp&amp;WINDOW=FIRST_POPUP&amp;HEIGHT=450&amp;WIDTH=450&amp;START_MAXIMIZED=FALSE&amp;VAR:CALENDAR=US&amp;VAR:SYMBOL=38259P50&amp;VAR:INDEX=0"}</definedName>
    <definedName name="_1899__FDSAUDITLINK__">{"fdsup://directions/FAT Viewer?action=UPDATE&amp;creator=factset&amp;DYN_ARGS=TRUE&amp;DOC_NAME=FAT:FQL_AUDITING_CLIENT_TEMPLATE.FAT&amp;display_string=Audit&amp;VAR:KEY=CVGJOTOTCX&amp;VAR:QUERY=KFBfUFJJQ0UoNDA2NTApLShGRl9DQVNIX1NUKFFUUiw0MDY1MCkvUF9DT01fU0hTX09VVCg0MDY1MCkpKS9GR","V9FU1RJTUFURSgnRVBTJywnTUVBTicsJ0FOTlVBTF9ST0xMJywnKzEnLDQwNjUwLCwsJycp&amp;WINDOW=FIRST_POPUP&amp;HEIGHT=450&amp;WIDTH=450&amp;START_MAXIMIZED=FALSE&amp;VAR:CALENDAR=US&amp;VAR:SYMBOL=38259P50&amp;VAR:INDEX=0"}</definedName>
    <definedName name="_1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0.994521&amp;VAR:V=15.204145&amp;VAR:V0=16.543889&amp;VAR:V1=15.197365&amp;VAR:Y0=2006&amp;VAR:Y1=2007&amp;VAR:P=1418.300500&amp;VAR:DATE=20061229&amp;VAR:THRESH=-|-|","-|-|-|-|-"}</definedName>
    <definedName name="_19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23.791249&amp;VAR:V0=26.763909&amp;VAR:V1=22.932870&amp;VAR:Y0=1999&amp;VAR:Y1=2000&amp;VAR:P=1282.710000&amp;VAR:DATE=19990930&amp;VAR:THRESH=-|-|","-|-|-|-|-"}</definedName>
    <definedName name="_1900__FDSAUDITLINK__">{"fdsup://directions/FAT Viewer?action=UPDATE&amp;creator=factset&amp;DYN_ARGS=TRUE&amp;DOC_NAME=FAT:FQL_AUDITING_CLIENT_TEMPLATE.FAT&amp;display_string=Audit&amp;VAR:KEY=CVGJOTOTCX&amp;VAR:QUERY=KFBfUFJJQ0UoNDA2NTApLShGRl9DQVNIX1NUKFFUUiw0MDY1MCkvUF9DT01fU0hTX09VVCg0MDY1MCkpKS9GR","V9FU1RJTUFURSgnRVBTJywnTUVBTicsJ0FOTlVBTF9ST0xMJywnKzEnLDQwNjUwLCwsJycp&amp;WINDOW=FIRST_POPUP&amp;HEIGHT=450&amp;WIDTH=450&amp;START_MAXIMIZED=FALSE&amp;VAR:CALENDAR=US&amp;VAR:SYMBOL=38259P50&amp;VAR:INDEX=0"}</definedName>
    <definedName name="_1901__FDSAUDITLINK__">{"fdsup://directions/FAT Viewer?action=UPDATE&amp;creator=factset&amp;DYN_ARGS=TRUE&amp;DOC_NAME=FAT:FQL_AUDITING_CLIENT_TEMPLATE.FAT&amp;display_string=Audit&amp;VAR:KEY=GBCBUJKBST&amp;VAR:QUERY=KFBfUFJJQ0UoNDA2NDkpLShGRl9DQVNIX1NUKFFUUiw0MDY0OSkvUF9DT01fU0hTX09VVCg0MDY0OSkpKS9GR","V9FU1RJTUFURSgnRVBTJywnTUVBTicsJ0FOTlVBTF9ST0xMJywnKzEnLDQwNjQ5LCwsJycp&amp;WINDOW=FIRST_POPUP&amp;HEIGHT=450&amp;WIDTH=450&amp;START_MAXIMIZED=FALSE&amp;VAR:CALENDAR=US&amp;VAR:SYMBOL=38259P50&amp;VAR:INDEX=0"}</definedName>
    <definedName name="_1902__FDSAUDITLINK__">{"fdsup://directions/FAT Viewer?action=UPDATE&amp;creator=factset&amp;DYN_ARGS=TRUE&amp;DOC_NAME=FAT:FQL_AUDITING_CLIENT_TEMPLATE.FAT&amp;display_string=Audit&amp;VAR:KEY=GBCBUJKBST&amp;VAR:QUERY=KFBfUFJJQ0UoNDA2NDkpLShGRl9DQVNIX1NUKFFUUiw0MDY0OSkvUF9DT01fU0hTX09VVCg0MDY0OSkpKS9GR","V9FU1RJTUFURSgnRVBTJywnTUVBTicsJ0FOTlVBTF9ST0xMJywnKzEnLDQwNjQ5LCwsJycp&amp;WINDOW=FIRST_POPUP&amp;HEIGHT=450&amp;WIDTH=450&amp;START_MAXIMIZED=FALSE&amp;VAR:CALENDAR=US&amp;VAR:SYMBOL=38259P50&amp;VAR:INDEX=0"}</definedName>
    <definedName name="_1903__FDSAUDITLINK__">{"fdsup://directions/FAT Viewer?action=UPDATE&amp;creator=factset&amp;DYN_ARGS=TRUE&amp;DOC_NAME=FAT:FQL_AUDITING_CLIENT_TEMPLATE.FAT&amp;display_string=Audit&amp;VAR:KEY=AXSRSVQHUN&amp;VAR:QUERY=KFBfUFJJQ0UoNDA2NDgpLShGRl9DQVNIX1NUKFFUUiw0MDY0OCkvUF9DT01fU0hTX09VVCg0MDY0OCkpKS9GR","V9FU1RJTUFURSgnRVBTJywnTUVBTicsJ0FOTlVBTF9ST0xMJywnKzEnLDQwNjQ4LCwsJycp&amp;WINDOW=FIRST_POPUP&amp;HEIGHT=450&amp;WIDTH=450&amp;START_MAXIMIZED=FALSE&amp;VAR:CALENDAR=US&amp;VAR:SYMBOL=38259P50&amp;VAR:INDEX=0"}</definedName>
    <definedName name="_1904__FDSAUDITLINK__">{"fdsup://directions/FAT Viewer?action=UPDATE&amp;creator=factset&amp;DYN_ARGS=TRUE&amp;DOC_NAME=FAT:FQL_AUDITING_CLIENT_TEMPLATE.FAT&amp;display_string=Audit&amp;VAR:KEY=AXSRSVQHUN&amp;VAR:QUERY=KFBfUFJJQ0UoNDA2NDgpLShGRl9DQVNIX1NUKFFUUiw0MDY0OCkvUF9DT01fU0hTX09VVCg0MDY0OCkpKS9GR","V9FU1RJTUFURSgnRVBTJywnTUVBTicsJ0FOTlVBTF9ST0xMJywnKzEnLDQwNjQ4LCwsJycp&amp;WINDOW=FIRST_POPUP&amp;HEIGHT=450&amp;WIDTH=450&amp;START_MAXIMIZED=FALSE&amp;VAR:CALENDAR=US&amp;VAR:SYMBOL=38259P50&amp;VAR:INDEX=0"}</definedName>
    <definedName name="_1905__FDSAUDITLINK__">{"fdsup://directions/FAT Viewer?action=UPDATE&amp;creator=factset&amp;DYN_ARGS=TRUE&amp;DOC_NAME=FAT:FQL_AUDITING_CLIENT_TEMPLATE.FAT&amp;display_string=Audit&amp;VAR:KEY=SPMJMXGLWJ&amp;VAR:QUERY=KFBfUFJJQ0UoNDA2NDcpLShGRl9DQVNIX1NUKFFUUiw0MDY0NykvUF9DT01fU0hTX09VVCg0MDY0NykpKS9GR","V9FU1RJTUFURSgnRVBTJywnTUVBTicsJ0FOTlVBTF9ST0xMJywnKzEnLDQwNjQ3LCwsJycp&amp;WINDOW=FIRST_POPUP&amp;HEIGHT=450&amp;WIDTH=450&amp;START_MAXIMIZED=FALSE&amp;VAR:CALENDAR=US&amp;VAR:SYMBOL=38259P50&amp;VAR:INDEX=0"}</definedName>
    <definedName name="_1906__FDSAUDITLINK__">{"fdsup://directions/FAT Viewer?action=UPDATE&amp;creator=factset&amp;DYN_ARGS=TRUE&amp;DOC_NAME=FAT:FQL_AUDITING_CLIENT_TEMPLATE.FAT&amp;display_string=Audit&amp;VAR:KEY=SPMJMXGLWJ&amp;VAR:QUERY=KFBfUFJJQ0UoNDA2NDcpLShGRl9DQVNIX1NUKFFUUiw0MDY0NykvUF9DT01fU0hTX09VVCg0MDY0NykpKS9GR","V9FU1RJTUFURSgnRVBTJywnTUVBTicsJ0FOTlVBTF9ST0xMJywnKzEnLDQwNjQ3LCwsJycp&amp;WINDOW=FIRST_POPUP&amp;HEIGHT=450&amp;WIDTH=450&amp;START_MAXIMIZED=FALSE&amp;VAR:CALENDAR=US&amp;VAR:SYMBOL=38259P50&amp;VAR:INDEX=0"}</definedName>
    <definedName name="_1907__FDSAUDITLINK__">{"fdsup://directions/FAT Viewer?action=UPDATE&amp;creator=factset&amp;DYN_ARGS=TRUE&amp;DOC_NAME=FAT:FQL_AUDITING_CLIENT_TEMPLATE.FAT&amp;display_string=Audit&amp;VAR:KEY=KPEPWDYNCN&amp;VAR:QUERY=KFBfUFJJQ0UoNDA2NDYpLShGRl9DQVNIX1NUKFFUUiw0MDY0NikvUF9DT01fU0hTX09VVCg0MDY0NikpKS9GR","V9FU1RJTUFURSgnRVBTJywnTUVBTicsJ0FOTlVBTF9ST0xMJywnKzEnLDQwNjQ2LCwsJycp&amp;WINDOW=FIRST_POPUP&amp;HEIGHT=450&amp;WIDTH=450&amp;START_MAXIMIZED=FALSE&amp;VAR:CALENDAR=US&amp;VAR:SYMBOL=38259P50&amp;VAR:INDEX=0"}</definedName>
    <definedName name="_1908__FDSAUDITLINK__">{"fdsup://directions/FAT Viewer?action=UPDATE&amp;creator=factset&amp;DYN_ARGS=TRUE&amp;DOC_NAME=FAT:FQL_AUDITING_CLIENT_TEMPLATE.FAT&amp;display_string=Audit&amp;VAR:KEY=KPEPWDYNCN&amp;VAR:QUERY=KFBfUFJJQ0UoNDA2NDYpLShGRl9DQVNIX1NUKFFUUiw0MDY0NikvUF9DT01fU0hTX09VVCg0MDY0NikpKS9GR","V9FU1RJTUFURSgnRVBTJywnTUVBTicsJ0FOTlVBTF9ST0xMJywnKzEnLDQwNjQ2LCwsJycp&amp;WINDOW=FIRST_POPUP&amp;HEIGHT=450&amp;WIDTH=450&amp;START_MAXIMIZED=FALSE&amp;VAR:CALENDAR=US&amp;VAR:SYMBOL=38259P50&amp;VAR:INDEX=0"}</definedName>
    <definedName name="_1909__FDSAUDITLINK__">{"fdsup://directions/FAT Viewer?action=UPDATE&amp;creator=factset&amp;DYN_ARGS=TRUE&amp;DOC_NAME=FAT:FQL_AUDITING_CLIENT_TEMPLATE.FAT&amp;display_string=Audit&amp;VAR:KEY=ONIRGRWJKB&amp;VAR:QUERY=KFBfUFJJQ0UoNDA2NDUpLShGRl9DQVNIX1NUKFFUUiw0MDY0NSkvUF9DT01fU0hTX09VVCg0MDY0NSkpKS9GR","V9FU1RJTUFURSgnRVBTJywnTUVBTicsJ0FOTlVBTF9ST0xMJywnKzEnLDQwNjQ1LCwsJycp&amp;WINDOW=FIRST_POPUP&amp;HEIGHT=450&amp;WIDTH=450&amp;START_MAXIMIZED=FALSE&amp;VAR:CALENDAR=US&amp;VAR:SYMBOL=38259P50&amp;VAR:INDEX=0"}</definedName>
    <definedName name="_19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26.121198&amp;VAR:V0=28.240629&amp;VAR:V1=24.269600&amp;VAR:Y0=1999&amp;VAR:Y1=2000&amp;VAR:P=1372.710000&amp;VAR:DATE=19990630&amp;VAR:THRESH=-|-|","-|-|-|-|-"}</definedName>
    <definedName name="_1910__FDSAUDITLINK__">{"fdsup://directions/FAT Viewer?action=UPDATE&amp;creator=factset&amp;DYN_ARGS=TRUE&amp;DOC_NAME=FAT:FQL_AUDITING_CLIENT_TEMPLATE.FAT&amp;display_string=Audit&amp;VAR:KEY=ONIRGRWJKB&amp;VAR:QUERY=KFBfUFJJQ0UoNDA2NDUpLShGRl9DQVNIX1NUKFFUUiw0MDY0NSkvUF9DT01fU0hTX09VVCg0MDY0NSkpKS9GR","V9FU1RJTUFURSgnRVBTJywnTUVBTicsJ0FOTlVBTF9ST0xMJywnKzEnLDQwNjQ1LCwsJycp&amp;WINDOW=FIRST_POPUP&amp;HEIGHT=450&amp;WIDTH=450&amp;START_MAXIMIZED=FALSE&amp;VAR:CALENDAR=US&amp;VAR:SYMBOL=38259P50&amp;VAR:INDEX=0"}</definedName>
    <definedName name="_1911__FDSAUDITLINK__">{"fdsup://directions/FAT Viewer?action=UPDATE&amp;creator=factset&amp;DYN_ARGS=TRUE&amp;DOC_NAME=FAT:FQL_AUDITING_CLIENT_TEMPLATE.FAT&amp;display_string=Audit&amp;VAR:KEY=YHGPERMXSJ&amp;VAR:QUERY=KFBfUFJJQ0UoNDA2NDQpLShGRl9DQVNIX1NUKFFUUiw0MDY0NCkvUF9DT01fU0hTX09VVCg0MDY0NCkpKS9GR","V9FU1RJTUFURSgnRVBTJywnTUVBTicsJ0FOTlVBTF9ST0xMJywnKzEnLDQwNjQ0LCwsJycp&amp;WINDOW=FIRST_POPUP&amp;HEIGHT=450&amp;WIDTH=450&amp;START_MAXIMIZED=FALSE&amp;VAR:CALENDAR=US&amp;VAR:SYMBOL=38259P50&amp;VAR:INDEX=0"}</definedName>
    <definedName name="_1912__FDSAUDITLINK__">{"fdsup://directions/FAT Viewer?action=UPDATE&amp;creator=factset&amp;DYN_ARGS=TRUE&amp;DOC_NAME=FAT:FQL_AUDITING_CLIENT_TEMPLATE.FAT&amp;display_string=Audit&amp;VAR:KEY=YHGPERMXSJ&amp;VAR:QUERY=KFBfUFJJQ0UoNDA2NDQpLShGRl9DQVNIX1NUKFFUUiw0MDY0NCkvUF9DT01fU0hTX09VVCg0MDY0NCkpKS9GR","V9FU1RJTUFURSgnRVBTJywnTUVBTicsJ0FOTlVBTF9ST0xMJywnKzEnLDQwNjQ0LCwsJycp&amp;WINDOW=FIRST_POPUP&amp;HEIGHT=450&amp;WIDTH=450&amp;START_MAXIMIZED=FALSE&amp;VAR:CALENDAR=US&amp;VAR:SYMBOL=38259P50&amp;VAR:INDEX=0"}</definedName>
    <definedName name="_1913__FDSAUDITLINK__">{"fdsup://directions/FAT Viewer?action=UPDATE&amp;creator=factset&amp;DYN_ARGS=TRUE&amp;DOC_NAME=FAT:FQL_AUDITING_CLIENT_TEMPLATE.FAT&amp;display_string=Audit&amp;VAR:KEY=YHUDAJSJWV&amp;VAR:QUERY=KFBfUFJJQ0UoNDA2NDMpLShGRl9DQVNIX1NUKFFUUiw0MDY0MykvUF9DT01fU0hTX09VVCg0MDY0MykpKS9GR","V9FU1RJTUFURSgnRVBTJywnTUVBTicsJ0FOTlVBTF9ST0xMJywnKzEnLDQwNjQzLCwsJycp&amp;WINDOW=FIRST_POPUP&amp;HEIGHT=450&amp;WIDTH=450&amp;START_MAXIMIZED=FALSE&amp;VAR:CALENDAR=US&amp;VAR:SYMBOL=38259P50&amp;VAR:INDEX=0"}</definedName>
    <definedName name="_1914__FDSAUDITLINK__">{"fdsup://directions/FAT Viewer?action=UPDATE&amp;creator=factset&amp;DYN_ARGS=TRUE&amp;DOC_NAME=FAT:FQL_AUDITING_CLIENT_TEMPLATE.FAT&amp;display_string=Audit&amp;VAR:KEY=YHUDAJSJWV&amp;VAR:QUERY=KFBfUFJJQ0UoNDA2NDMpLShGRl9DQVNIX1NUKFFUUiw0MDY0MykvUF9DT01fU0hTX09VVCg0MDY0MykpKS9GR","V9FU1RJTUFURSgnRVBTJywnTUVBTicsJ0FOTlVBTF9ST0xMJywnKzEnLDQwNjQzLCwsJycp&amp;WINDOW=FIRST_POPUP&amp;HEIGHT=450&amp;WIDTH=450&amp;START_MAXIMIZED=FALSE&amp;VAR:CALENDAR=US&amp;VAR:SYMBOL=38259P50&amp;VAR:INDEX=0"}</definedName>
    <definedName name="_1915__FDSAUDITLINK__">{"fdsup://directions/FAT Viewer?action=UPDATE&amp;creator=factset&amp;DYN_ARGS=TRUE&amp;DOC_NAME=FAT:FQL_AUDITING_CLIENT_TEMPLATE.FAT&amp;display_string=Audit&amp;VAR:KEY=AFMBOJAZMH&amp;VAR:QUERY=KFBfUFJJQ0UoNDA2NDIpLShGRl9DQVNIX1NUKFFUUiw0MDY0MikvUF9DT01fU0hTX09VVCg0MDY0MikpKS9GR","V9FU1RJTUFURSgnRVBTJywnTUVBTicsJ0FOTlVBTF9ST0xMJywnKzEnLDQwNjQyLCwsJycp&amp;WINDOW=FIRST_POPUP&amp;HEIGHT=450&amp;WIDTH=450&amp;START_MAXIMIZED=FALSE&amp;VAR:CALENDAR=US&amp;VAR:SYMBOL=38259P50&amp;VAR:INDEX=0"}</definedName>
    <definedName name="_1916__FDSAUDITLINK__">{"fdsup://directions/FAT Viewer?action=UPDATE&amp;creator=factset&amp;DYN_ARGS=TRUE&amp;DOC_NAME=FAT:FQL_AUDITING_CLIENT_TEMPLATE.FAT&amp;display_string=Audit&amp;VAR:KEY=AFMBOJAZMH&amp;VAR:QUERY=KFBfUFJJQ0UoNDA2NDIpLShGRl9DQVNIX1NUKFFUUiw0MDY0MikvUF9DT01fU0hTX09VVCg0MDY0MikpKS9GR","V9FU1RJTUFURSgnRVBTJywnTUVBTicsJ0FOTlVBTF9ST0xMJywnKzEnLDQwNjQyLCwsJycp&amp;WINDOW=FIRST_POPUP&amp;HEIGHT=450&amp;WIDTH=450&amp;START_MAXIMIZED=FALSE&amp;VAR:CALENDAR=US&amp;VAR:SYMBOL=38259P50&amp;VAR:INDEX=0"}</definedName>
    <definedName name="_1917__FDSAUDITLINK__">{"fdsup://directions/FAT Viewer?action=UPDATE&amp;creator=factset&amp;DYN_ARGS=TRUE&amp;DOC_NAME=FAT:FQL_AUDITING_CLIENT_TEMPLATE.FAT&amp;display_string=Audit&amp;VAR:KEY=QTONEDAPAN&amp;VAR:QUERY=KFBfUFJJQ0UoNDA2NDEpLShGRl9DQVNIX1NUKFFUUiw0MDY0MSkvUF9DT01fU0hTX09VVCg0MDY0MSkpKS9GR","V9FU1RJTUFURSgnRVBTJywnTUVBTicsJ0FOTlVBTF9ST0xMJywnKzEnLDQwNjQxLCwsJycp&amp;WINDOW=FIRST_POPUP&amp;HEIGHT=450&amp;WIDTH=450&amp;START_MAXIMIZED=FALSE&amp;VAR:CALENDAR=US&amp;VAR:SYMBOL=38259P50&amp;VAR:INDEX=0"}</definedName>
    <definedName name="_1918__FDSAUDITLINK__">{"fdsup://directions/FAT Viewer?action=UPDATE&amp;creator=factset&amp;DYN_ARGS=TRUE&amp;DOC_NAME=FAT:FQL_AUDITING_CLIENT_TEMPLATE.FAT&amp;display_string=Audit&amp;VAR:KEY=QTONEDAPAN&amp;VAR:QUERY=KFBfUFJJQ0UoNDA2NDEpLShGRl9DQVNIX1NUKFFUUiw0MDY0MSkvUF9DT01fU0hTX09VVCg0MDY0MSkpKS9GR","V9FU1RJTUFURSgnRVBTJywnTUVBTicsJ0FOTlVBTF9ST0xMJywnKzEnLDQwNjQxLCwsJycp&amp;WINDOW=FIRST_POPUP&amp;HEIGHT=450&amp;WIDTH=450&amp;START_MAXIMIZED=FALSE&amp;VAR:CALENDAR=US&amp;VAR:SYMBOL=38259P50&amp;VAR:INDEX=0"}</definedName>
    <definedName name="_1919__FDSAUDITLINK__">{"fdsup://directions/FAT Viewer?action=UPDATE&amp;creator=factset&amp;DYN_ARGS=TRUE&amp;DOC_NAME=FAT:FQL_AUDITING_CLIENT_TEMPLATE.FAT&amp;display_string=Audit&amp;VAR:KEY=SFWJWZIZGV&amp;VAR:QUERY=KFBfUFJJQ0UoNDA2NDApLShGRl9DQVNIX1NUKFFUUiw0MDY0MCkvUF9DT01fU0hTX09VVCg0MDY0MCkpKS9GR","V9FU1RJTUFURSgnRVBTJywnTUVBTicsJ0FOTlVBTF9ST0xMJywnKzEnLDQwNjQwLCwsJycp&amp;WINDOW=FIRST_POPUP&amp;HEIGHT=450&amp;WIDTH=450&amp;START_MAXIMIZED=FALSE&amp;VAR:CALENDAR=US&amp;VAR:SYMBOL=38259P50&amp;VAR:INDEX=0"}</definedName>
    <definedName name="_19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25.147938&amp;VAR:V0=26.504513&amp;VAR:V1=21.746899&amp;VAR:Y0=1999&amp;VAR:Y1=2000&amp;VAR:P=1286.370000&amp;VAR:DATE=19990331&amp;VAR:THRESH=-|-|","-|-|-|-|-"}</definedName>
    <definedName name="_1920__FDSAUDITLINK__">{"fdsup://directions/FAT Viewer?action=UPDATE&amp;creator=factset&amp;DYN_ARGS=TRUE&amp;DOC_NAME=FAT:FQL_AUDITING_CLIENT_TEMPLATE.FAT&amp;display_string=Audit&amp;VAR:KEY=SFWJWZIZGV&amp;VAR:QUERY=KFBfUFJJQ0UoNDA2NDApLShGRl9DQVNIX1NUKFFUUiw0MDY0MCkvUF9DT01fU0hTX09VVCg0MDY0MCkpKS9GR","V9FU1RJTUFURSgnRVBTJywnTUVBTicsJ0FOTlVBTF9ST0xMJywnKzEnLDQwNjQwLCwsJycp&amp;WINDOW=FIRST_POPUP&amp;HEIGHT=450&amp;WIDTH=450&amp;START_MAXIMIZED=FALSE&amp;VAR:CALENDAR=US&amp;VAR:SYMBOL=38259P50&amp;VAR:INDEX=0"}</definedName>
    <definedName name="_1921__FDSAUDITLINK__">{"fdsup://directions/FAT Viewer?action=UPDATE&amp;creator=factset&amp;DYN_ARGS=TRUE&amp;DOC_NAME=FAT:FQL_AUDITING_CLIENT_TEMPLATE.FAT&amp;display_string=Audit&amp;VAR:KEY=SBOTKRALWB&amp;VAR:QUERY=KFBfUFJJQ0UoNDA2MzkpLShGRl9DQVNIX1NUKFFUUiw0MDYzOSkvUF9DT01fU0hTX09VVCg0MDYzOSkpKS9GR","V9FU1RJTUFURSgnRVBTJywnTUVBTicsJ0FOTlVBTF9ST0xMJywnKzEnLDQwNjM5LCwsJycp&amp;WINDOW=FIRST_POPUP&amp;HEIGHT=450&amp;WIDTH=450&amp;START_MAXIMIZED=FALSE&amp;VAR:CALENDAR=US&amp;VAR:SYMBOL=38259P50&amp;VAR:INDEX=0"}</definedName>
    <definedName name="_1922__FDSAUDITLINK__">{"fdsup://directions/FAT Viewer?action=UPDATE&amp;creator=factset&amp;DYN_ARGS=TRUE&amp;DOC_NAME=FAT:FQL_AUDITING_CLIENT_TEMPLATE.FAT&amp;display_string=Audit&amp;VAR:KEY=SBOTKRALWB&amp;VAR:QUERY=KFBfUFJJQ0UoNDA2MzkpLShGRl9DQVNIX1NUKFFUUiw0MDYzOSkvUF9DT01fU0hTX09VVCg0MDYzOSkpKS9GR","V9FU1RJTUFURSgnRVBTJywnTUVBTicsJ0FOTlVBTF9ST0xMJywnKzEnLDQwNjM5LCwsJycp&amp;WINDOW=FIRST_POPUP&amp;HEIGHT=450&amp;WIDTH=450&amp;START_MAXIMIZED=FALSE&amp;VAR:CALENDAR=US&amp;VAR:SYMBOL=38259P50&amp;VAR:INDEX=0"}</definedName>
    <definedName name="_1923__FDSAUDITLINK__">{"fdsup://directions/FAT Viewer?action=UPDATE&amp;creator=factset&amp;DYN_ARGS=TRUE&amp;DOC_NAME=FAT:FQL_AUDITING_CLIENT_TEMPLATE.FAT&amp;display_string=Audit&amp;VAR:KEY=YHWXYVSJUV&amp;VAR:QUERY=KFBfUFJJQ0UoNDA2MzgpLShGRl9DQVNIX1NUKFFUUiw0MDYzOCkvUF9DT01fU0hTX09VVCg0MDYzOCkpKS9GR","V9FU1RJTUFURSgnRVBTJywnTUVBTicsJ0FOTlVBTF9ST0xMJywnKzEnLDQwNjM4LCwsJycp&amp;WINDOW=FIRST_POPUP&amp;HEIGHT=450&amp;WIDTH=450&amp;START_MAXIMIZED=FALSE&amp;VAR:CALENDAR=US&amp;VAR:SYMBOL=38259P50&amp;VAR:INDEX=0"}</definedName>
    <definedName name="_1924__FDSAUDITLINK__">{"fdsup://directions/FAT Viewer?action=UPDATE&amp;creator=factset&amp;DYN_ARGS=TRUE&amp;DOC_NAME=FAT:FQL_AUDITING_CLIENT_TEMPLATE.FAT&amp;display_string=Audit&amp;VAR:KEY=YHWXYVSJUV&amp;VAR:QUERY=KFBfUFJJQ0UoNDA2MzgpLShGRl9DQVNIX1NUKFFUUiw0MDYzOCkvUF9DT01fU0hTX09VVCg0MDYzOCkpKS9GR","V9FU1RJTUFURSgnRVBTJywnTUVBTicsJ0FOTlVBTF9ST0xMJywnKzEnLDQwNjM4LCwsJycp&amp;WINDOW=FIRST_POPUP&amp;HEIGHT=450&amp;WIDTH=450&amp;START_MAXIMIZED=FALSE&amp;VAR:CALENDAR=US&amp;VAR:SYMBOL=38259P50&amp;VAR:INDEX=0"}</definedName>
    <definedName name="_1925__FDSAUDITLINK__">{"fdsup://directions/FAT Viewer?action=UPDATE&amp;creator=factset&amp;DYN_ARGS=TRUE&amp;DOC_NAME=FAT:FQL_AUDITING_CLIENT_TEMPLATE.FAT&amp;display_string=Audit&amp;VAR:KEY=KLCJIJOBGR&amp;VAR:QUERY=KFBfUFJJQ0UoNDA2MzcpLShGRl9DQVNIX1NUKFFUUiw0MDYzNykvUF9DT01fU0hTX09VVCg0MDYzNykpKS9GR","V9FU1RJTUFURSgnRVBTJywnTUVBTicsJ0FOTlVBTF9ST0xMJywnKzEnLDQwNjM3LCwsJycp&amp;WINDOW=FIRST_POPUP&amp;HEIGHT=450&amp;WIDTH=450&amp;START_MAXIMIZED=FALSE&amp;VAR:CALENDAR=US&amp;VAR:SYMBOL=38259P50&amp;VAR:INDEX=0"}</definedName>
    <definedName name="_1926__FDSAUDITLINK__">{"fdsup://directions/FAT Viewer?action=UPDATE&amp;creator=factset&amp;DYN_ARGS=TRUE&amp;DOC_NAME=FAT:FQL_AUDITING_CLIENT_TEMPLATE.FAT&amp;display_string=Audit&amp;VAR:KEY=KLCJIJOBGR&amp;VAR:QUERY=KFBfUFJJQ0UoNDA2MzcpLShGRl9DQVNIX1NUKFFUUiw0MDYzNykvUF9DT01fU0hTX09VVCg0MDYzNykpKS9GR","V9FU1RJTUFURSgnRVBTJywnTUVBTicsJ0FOTlVBTF9ST0xMJywnKzEnLDQwNjM3LCwsJycp&amp;WINDOW=FIRST_POPUP&amp;HEIGHT=450&amp;WIDTH=450&amp;START_MAXIMIZED=FALSE&amp;VAR:CALENDAR=US&amp;VAR:SYMBOL=38259P50&amp;VAR:INDEX=0"}</definedName>
    <definedName name="_1927__FDSAUDITLINK__">{"fdsup://directions/FAT Viewer?action=UPDATE&amp;creator=factset&amp;DYN_ARGS=TRUE&amp;DOC_NAME=FAT:FQL_AUDITING_CLIENT_TEMPLATE.FAT&amp;display_string=Audit&amp;VAR:KEY=EFGPOVMHYZ&amp;VAR:QUERY=KFBfUFJJQ0UoNDA2MzYpLShGRl9DQVNIX1NUKFFUUiw0MDYzNikvUF9DT01fU0hTX09VVCg0MDYzNikpKS9GR","V9FU1RJTUFURSgnRVBTJywnTUVBTicsJ0FOTlVBTF9ST0xMJywnKzEnLDQwNjM2LCwsJycp&amp;WINDOW=FIRST_POPUP&amp;HEIGHT=450&amp;WIDTH=450&amp;START_MAXIMIZED=FALSE&amp;VAR:CALENDAR=US&amp;VAR:SYMBOL=38259P50&amp;VAR:INDEX=0"}</definedName>
    <definedName name="_1928__FDSAUDITLINK__">{"fdsup://directions/FAT Viewer?action=UPDATE&amp;creator=factset&amp;DYN_ARGS=TRUE&amp;DOC_NAME=FAT:FQL_AUDITING_CLIENT_TEMPLATE.FAT&amp;display_string=Audit&amp;VAR:KEY=EFGPOVMHYZ&amp;VAR:QUERY=KFBfUFJJQ0UoNDA2MzYpLShGRl9DQVNIX1NUKFFUUiw0MDYzNikvUF9DT01fU0hTX09VVCg0MDYzNikpKS9GR","V9FU1RJTUFURSgnRVBTJywnTUVBTicsJ0FOTlVBTF9ST0xMJywnKzEnLDQwNjM2LCwsJycp&amp;WINDOW=FIRST_POPUP&amp;HEIGHT=450&amp;WIDTH=450&amp;START_MAXIMIZED=FALSE&amp;VAR:CALENDAR=US&amp;VAR:SYMBOL=38259P50&amp;VAR:INDEX=0"}</definedName>
    <definedName name="_1929__FDSAUDITLINK__">{"fdsup://directions/FAT Viewer?action=UPDATE&amp;creator=factset&amp;DYN_ARGS=TRUE&amp;DOC_NAME=FAT:FQL_AUDITING_CLIENT_TEMPLATE.FAT&amp;display_string=Audit&amp;VAR:KEY=MVIPELCTQX&amp;VAR:QUERY=KFBfUFJJQ0UoNDA2MzUpLShGRl9DQVNIX1NUKFFUUiw0MDYzNSkvUF9DT01fU0hTX09VVCg0MDYzNSkpKS9GR","V9FU1RJTUFURSgnRVBTJywnTUVBTicsJ0FOTlVBTF9ST0xMJywnKzEnLDQwNjM1LCwsJycp&amp;WINDOW=FIRST_POPUP&amp;HEIGHT=450&amp;WIDTH=450&amp;START_MAXIMIZED=FALSE&amp;VAR:CALENDAR=US&amp;VAR:SYMBOL=38259P50&amp;VAR:INDEX=0"}</definedName>
    <definedName name="_19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10.568144&amp;VAR:V0=11.605908&amp;VAR:V1=10.259008&amp;VAR:Y0=2011&amp;VAR:Y1=2012&amp;VAR:P=1131.420360&amp;VAR:DATE=20110930&amp;VAR:THRESH=-|-|","-|-|-|-|-"}</definedName>
    <definedName name="_1930__FDSAUDITLINK__">{"fdsup://directions/FAT Viewer?action=UPDATE&amp;creator=factset&amp;DYN_ARGS=TRUE&amp;DOC_NAME=FAT:FQL_AUDITING_CLIENT_TEMPLATE.FAT&amp;display_string=Audit&amp;VAR:KEY=MVIPELCTQX&amp;VAR:QUERY=KFBfUFJJQ0UoNDA2MzUpLShGRl9DQVNIX1NUKFFUUiw0MDYzNSkvUF9DT01fU0hTX09VVCg0MDYzNSkpKS9GR","V9FU1RJTUFURSgnRVBTJywnTUVBTicsJ0FOTlVBTF9ST0xMJywnKzEnLDQwNjM1LCwsJycp&amp;WINDOW=FIRST_POPUP&amp;HEIGHT=450&amp;WIDTH=450&amp;START_MAXIMIZED=FALSE&amp;VAR:CALENDAR=US&amp;VAR:SYMBOL=38259P50&amp;VAR:INDEX=0"}</definedName>
    <definedName name="_1931__FDSAUDITLINK__">{"fdsup://directions/FAT Viewer?action=UPDATE&amp;creator=factset&amp;DYN_ARGS=TRUE&amp;DOC_NAME=FAT:FQL_AUDITING_CLIENT_TEMPLATE.FAT&amp;display_string=Audit&amp;VAR:KEY=QRILATWFAJ&amp;VAR:QUERY=KFBfUFJJQ0UoNDA2MzQpLShGRl9DQVNIX1NUKFFUUiw0MDYzNCkvUF9DT01fU0hTX09VVCg0MDYzNCkpKS9GR","V9FU1RJTUFURSgnRVBTJywnTUVBTicsJ0FOTlVBTF9ST0xMJywnKzEnLDQwNjM0LCwsJycp&amp;WINDOW=FIRST_POPUP&amp;HEIGHT=450&amp;WIDTH=450&amp;START_MAXIMIZED=FALSE&amp;VAR:CALENDAR=US&amp;VAR:SYMBOL=38259P50&amp;VAR:INDEX=0"}</definedName>
    <definedName name="_1932__FDSAUDITLINK__">{"fdsup://directions/FAT Viewer?action=UPDATE&amp;creator=factset&amp;DYN_ARGS=TRUE&amp;DOC_NAME=FAT:FQL_AUDITING_CLIENT_TEMPLATE.FAT&amp;display_string=Audit&amp;VAR:KEY=QRILATWFAJ&amp;VAR:QUERY=KFBfUFJJQ0UoNDA2MzQpLShGRl9DQVNIX1NUKFFUUiw0MDYzNCkvUF9DT01fU0hTX09VVCg0MDYzNCkpKS9GR","V9FU1RJTUFURSgnRVBTJywnTUVBTicsJ0FOTlVBTF9ST0xMJywnKzEnLDQwNjM0LCwsJycp&amp;WINDOW=FIRST_POPUP&amp;HEIGHT=450&amp;WIDTH=450&amp;START_MAXIMIZED=FALSE&amp;VAR:CALENDAR=US&amp;VAR:SYMBOL=38259P50&amp;VAR:INDEX=0"}</definedName>
    <definedName name="_1933__FDSAUDITLINK__">{"fdsup://directions/FAT Viewer?action=UPDATE&amp;creator=factset&amp;DYN_ARGS=TRUE&amp;DOC_NAME=FAT:FQL_AUDITING_CLIENT_TEMPLATE.FAT&amp;display_string=Audit&amp;VAR:KEY=QDYDABYBMP&amp;VAR:QUERY=KFBfUFJJQ0UoNDA2MzMpLShGRl9DQVNIX1NUKFFUUiw0MDYzMykvUF9DT01fU0hTX09VVCg0MDYzMykpKS9GR","V9FU1RJTUFURSgnRVBTJywnTUVBTicsJ0FOTlVBTF9ST0xMJywnKzEnLDQwNjMzLCwsJycp&amp;WINDOW=FIRST_POPUP&amp;HEIGHT=450&amp;WIDTH=450&amp;START_MAXIMIZED=FALSE&amp;VAR:CALENDAR=US&amp;VAR:SYMBOL=38259P50&amp;VAR:INDEX=0"}</definedName>
    <definedName name="_1934__FDSAUDITLINK__">{"fdsup://directions/FAT Viewer?action=UPDATE&amp;creator=factset&amp;DYN_ARGS=TRUE&amp;DOC_NAME=FAT:FQL_AUDITING_CLIENT_TEMPLATE.FAT&amp;display_string=Audit&amp;VAR:KEY=QDYDABYBMP&amp;VAR:QUERY=KFBfUFJJQ0UoNDA2MzMpLShGRl9DQVNIX1NUKFFUUiw0MDYzMykvUF9DT01fU0hTX09VVCg0MDYzMykpKS9GR","V9FU1RJTUFURSgnRVBTJywnTUVBTicsJ0FOTlVBTF9ST0xMJywnKzEnLDQwNjMzLCwsJycp&amp;WINDOW=FIRST_POPUP&amp;HEIGHT=450&amp;WIDTH=450&amp;START_MAXIMIZED=FALSE&amp;VAR:CALENDAR=US&amp;VAR:SYMBOL=38259P50&amp;VAR:INDEX=0"}</definedName>
    <definedName name="_1935__FDSAUDITLINK__">{"fdsup://directions/FAT Viewer?action=UPDATE&amp;creator=factset&amp;DYN_ARGS=TRUE&amp;DOC_NAME=FAT:FQL_AUDITING_CLIENT_TEMPLATE.FAT&amp;display_string=Audit&amp;VAR:KEY=QPYVEXAPOR&amp;VAR:QUERY=KFBfUFJJQ0UoNDA2MzIpLShGRl9DQVNIX1NUKFFUUiw0MDYzMikvUF9DT01fU0hTX09VVCg0MDYzMikpKS9GR","V9FU1RJTUFURSgnRVBTJywnTUVBTicsJ0FOTlVBTF9ST0xMJywnKzEnLDQwNjMyLCwsJycp&amp;WINDOW=FIRST_POPUP&amp;HEIGHT=450&amp;WIDTH=450&amp;START_MAXIMIZED=FALSE&amp;VAR:CALENDAR=US&amp;VAR:SYMBOL=38259P50&amp;VAR:INDEX=0"}</definedName>
    <definedName name="_1936__FDSAUDITLINK__">{"fdsup://directions/FAT Viewer?action=UPDATE&amp;creator=factset&amp;DYN_ARGS=TRUE&amp;DOC_NAME=FAT:FQL_AUDITING_CLIENT_TEMPLATE.FAT&amp;display_string=Audit&amp;VAR:KEY=QPYVEXAPOR&amp;VAR:QUERY=KFBfUFJJQ0UoNDA2MzIpLShGRl9DQVNIX1NUKFFUUiw0MDYzMikvUF9DT01fU0hTX09VVCg0MDYzMikpKS9GR","V9FU1RJTUFURSgnRVBTJywnTUVBTicsJ0FOTlVBTF9ST0xMJywnKzEnLDQwNjMyLCwsJycp&amp;WINDOW=FIRST_POPUP&amp;HEIGHT=450&amp;WIDTH=450&amp;START_MAXIMIZED=FALSE&amp;VAR:CALENDAR=US&amp;VAR:SYMBOL=38259P50&amp;VAR:INDEX=0"}</definedName>
    <definedName name="_1937__FDSAUDITLINK__">{"fdsup://directions/FAT Viewer?action=UPDATE&amp;creator=factset&amp;DYN_ARGS=TRUE&amp;DOC_NAME=FAT:FQL_AUDITING_CLIENT_TEMPLATE.FAT&amp;display_string=Audit&amp;VAR:KEY=YXKNORQRGJ&amp;VAR:QUERY=KFBfUFJJQ0UoNDA2MzEpLShGRl9DQVNIX1NUKFFUUiw0MDYzMSkvUF9DT01fU0hTX09VVCg0MDYzMSkpKS9GR","V9FU1RJTUFURSgnRVBTJywnTUVBTicsJ0FOTlVBTF9ST0xMJywnKzEnLDQwNjMxLCwsJycp&amp;WINDOW=FIRST_POPUP&amp;HEIGHT=450&amp;WIDTH=450&amp;START_MAXIMIZED=FALSE&amp;VAR:CALENDAR=US&amp;VAR:SYMBOL=38259P50&amp;VAR:INDEX=0"}</definedName>
    <definedName name="_1938__FDSAUDITLINK__">{"fdsup://directions/FAT Viewer?action=UPDATE&amp;creator=factset&amp;DYN_ARGS=TRUE&amp;DOC_NAME=FAT:FQL_AUDITING_CLIENT_TEMPLATE.FAT&amp;display_string=Audit&amp;VAR:KEY=YXKNORQRGJ&amp;VAR:QUERY=KFBfUFJJQ0UoNDA2MzEpLShGRl9DQVNIX1NUKFFUUiw0MDYzMSkvUF9DT01fU0hTX09VVCg0MDYzMSkpKS9GR","V9FU1RJTUFURSgnRVBTJywnTUVBTicsJ0FOTlVBTF9ST0xMJywnKzEnLDQwNjMxLCwsJycp&amp;WINDOW=FIRST_POPUP&amp;HEIGHT=450&amp;WIDTH=450&amp;START_MAXIMIZED=FALSE&amp;VAR:CALENDAR=US&amp;VAR:SYMBOL=38259P50&amp;VAR:INDEX=0"}</definedName>
    <definedName name="_1939__FDSAUDITLINK__">{"fdsup://directions/FAT Viewer?action=UPDATE&amp;creator=factset&amp;DYN_ARGS=TRUE&amp;DOC_NAME=FAT:FQL_AUDITING_CLIENT_TEMPLATE.FAT&amp;display_string=Audit&amp;VAR:KEY=STONOJENID&amp;VAR:QUERY=KFBfUFJJQ0UoNDA2MzApLShGRl9DQVNIX1NUKFFUUiw0MDYzMCkvUF9DT01fU0hTX09VVCg0MDYzMCkpKS9GR","V9FU1RJTUFURSgnRVBTJywnTUVBTicsJ0FOTlVBTF9ST0xMJywnKzEnLDQwNjMwLCwsJycp&amp;WINDOW=FIRST_POPUP&amp;HEIGHT=450&amp;WIDTH=450&amp;START_MAXIMIZED=FALSE&amp;VAR:CALENDAR=US&amp;VAR:SYMBOL=38259P50&amp;VAR:INDEX=0"}</definedName>
    <definedName name="_19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12.551493&amp;VAR:V0=13.466262&amp;VAR:V1=11.740721&amp;VAR:Y0=2011&amp;VAR:Y1=2012&amp;VAR:P=1320.639049&amp;VAR:DATE=20110630&amp;VAR:THRESH=-|-|","-|-|-|-|-"}</definedName>
    <definedName name="_1940__FDSAUDITLINK__">{"fdsup://directions/FAT Viewer?action=UPDATE&amp;creator=factset&amp;DYN_ARGS=TRUE&amp;DOC_NAME=FAT:FQL_AUDITING_CLIENT_TEMPLATE.FAT&amp;display_string=Audit&amp;VAR:KEY=STONOJENID&amp;VAR:QUERY=KFBfUFJJQ0UoNDA2MzApLShGRl9DQVNIX1NUKFFUUiw0MDYzMCkvUF9DT01fU0hTX09VVCg0MDYzMCkpKS9GR","V9FU1RJTUFURSgnRVBTJywnTUVBTicsJ0FOTlVBTF9ST0xMJywnKzEnLDQwNjMwLCwsJycp&amp;WINDOW=FIRST_POPUP&amp;HEIGHT=450&amp;WIDTH=450&amp;START_MAXIMIZED=FALSE&amp;VAR:CALENDAR=US&amp;VAR:SYMBOL=38259P50&amp;VAR:INDEX=0"}</definedName>
    <definedName name="_1941__FDSAUDITLINK__">{"fdsup://directions/FAT Viewer?action=UPDATE&amp;creator=factset&amp;DYN_ARGS=TRUE&amp;DOC_NAME=FAT:FQL_AUDITING_CLIENT_TEMPLATE.FAT&amp;display_string=Audit&amp;VAR:KEY=KHUXUDWJIB&amp;VAR:QUERY=KFBfUFJJQ0UoNDA2MjkpLShGRl9DQVNIX1NUKFFUUiw0MDYyOSkvUF9DT01fU0hTX09VVCg0MDYyOSkpKS9GR","V9FU1RJTUFURSgnRVBTJywnTUVBTicsJ0FOTlVBTF9ST0xMJywnKzEnLDQwNjI5LCwsJycp&amp;WINDOW=FIRST_POPUP&amp;HEIGHT=450&amp;WIDTH=450&amp;START_MAXIMIZED=FALSE&amp;VAR:CALENDAR=US&amp;VAR:SYMBOL=38259P50&amp;VAR:INDEX=0"}</definedName>
    <definedName name="_1942__FDSAUDITLINK__">{"fdsup://directions/FAT Viewer?action=UPDATE&amp;creator=factset&amp;DYN_ARGS=TRUE&amp;DOC_NAME=FAT:FQL_AUDITING_CLIENT_TEMPLATE.FAT&amp;display_string=Audit&amp;VAR:KEY=KHUXUDWJIB&amp;VAR:QUERY=KFBfUFJJQ0UoNDA2MjkpLShGRl9DQVNIX1NUKFFUUiw0MDYyOSkvUF9DT01fU0hTX09VVCg0MDYyOSkpKS9GR","V9FU1RJTUFURSgnRVBTJywnTUVBTicsJ0FOTlVBTF9ST0xMJywnKzEnLDQwNjI5LCwsJycp&amp;WINDOW=FIRST_POPUP&amp;HEIGHT=450&amp;WIDTH=450&amp;START_MAXIMIZED=FALSE&amp;VAR:CALENDAR=US&amp;VAR:SYMBOL=38259P50&amp;VAR:INDEX=0"}</definedName>
    <definedName name="_1943__FDSAUDITLINK__">{"fdsup://directions/FAT Viewer?action=UPDATE&amp;creator=factset&amp;DYN_ARGS=TRUE&amp;DOC_NAME=FAT:FQL_AUDITING_CLIENT_TEMPLATE.FAT&amp;display_string=Audit&amp;VAR:KEY=KTSNWRYZWX&amp;VAR:QUERY=KFBfUFJJQ0UoNDA2MjgpLShGRl9DQVNIX1NUKFFUUiw0MDYyOCkvUF9DT01fU0hTX09VVCg0MDYyOCkpKS9GR","V9FU1RJTUFURSgnRVBTJywnTUVBTicsJ0FOTlVBTF9ST0xMJywnKzEnLDQwNjI4LCwsJycp&amp;WINDOW=FIRST_POPUP&amp;HEIGHT=450&amp;WIDTH=450&amp;START_MAXIMIZED=FALSE&amp;VAR:CALENDAR=US&amp;VAR:SYMBOL=38259P50&amp;VAR:INDEX=0"}</definedName>
    <definedName name="_1944__FDSAUDITLINK__">{"fdsup://directions/FAT Viewer?action=UPDATE&amp;creator=factset&amp;DYN_ARGS=TRUE&amp;DOC_NAME=FAT:FQL_AUDITING_CLIENT_TEMPLATE.FAT&amp;display_string=Audit&amp;VAR:KEY=KTSNWRYZWX&amp;VAR:QUERY=KFBfUFJJQ0UoNDA2MjgpLShGRl9DQVNIX1NUKFFUUiw0MDYyOCkvUF9DT01fU0hTX09VVCg0MDYyOCkpKS9GR","V9FU1RJTUFURSgnRVBTJywnTUVBTicsJ0FOTlVBTF9ST0xMJywnKzEnLDQwNjI4LCwsJycp&amp;WINDOW=FIRST_POPUP&amp;HEIGHT=450&amp;WIDTH=450&amp;START_MAXIMIZED=FALSE&amp;VAR:CALENDAR=US&amp;VAR:SYMBOL=38259P50&amp;VAR:INDEX=0"}</definedName>
    <definedName name="_1945__FDSAUDITLINK__">{"fdsup://directions/FAT Viewer?action=UPDATE&amp;creator=factset&amp;DYN_ARGS=TRUE&amp;DOC_NAME=FAT:FQL_AUDITING_CLIENT_TEMPLATE.FAT&amp;display_string=Audit&amp;VAR:KEY=WBMHKPSPSR&amp;VAR:QUERY=KFBfUFJJQ0UoNDA2MjcpLShGRl9DQVNIX1NUKFFUUiw0MDYyNykvUF9DT01fU0hTX09VVCg0MDYyNykpKS9GR","V9FU1RJTUFURSgnRVBTJywnTUVBTicsJ0FOTlVBTF9ST0xMJywnKzEnLDQwNjI3LCwsJycp&amp;WINDOW=FIRST_POPUP&amp;HEIGHT=450&amp;WIDTH=450&amp;START_MAXIMIZED=FALSE&amp;VAR:CALENDAR=US&amp;VAR:SYMBOL=38259P50&amp;VAR:INDEX=0"}</definedName>
    <definedName name="_1946__FDSAUDITLINK__">{"fdsup://directions/FAT Viewer?action=UPDATE&amp;creator=factset&amp;DYN_ARGS=TRUE&amp;DOC_NAME=FAT:FQL_AUDITING_CLIENT_TEMPLATE.FAT&amp;display_string=Audit&amp;VAR:KEY=WBMHKPSPSR&amp;VAR:QUERY=KFBfUFJJQ0UoNDA2MjcpLShGRl9DQVNIX1NUKFFUUiw0MDYyNykvUF9DT01fU0hTX09VVCg0MDYyNykpKS9GR","V9FU1RJTUFURSgnRVBTJywnTUVBTicsJ0FOTlVBTF9ST0xMJywnKzEnLDQwNjI3LCwsJycp&amp;WINDOW=FIRST_POPUP&amp;HEIGHT=450&amp;WIDTH=450&amp;START_MAXIMIZED=FALSE&amp;VAR:CALENDAR=US&amp;VAR:SYMBOL=38259P50&amp;VAR:INDEX=0"}</definedName>
    <definedName name="_1947__FDSAUDITLINK__">{"fdsup://directions/FAT Viewer?action=UPDATE&amp;creator=factset&amp;DYN_ARGS=TRUE&amp;DOC_NAME=FAT:FQL_AUDITING_CLIENT_TEMPLATE.FAT&amp;display_string=Audit&amp;VAR:KEY=GJUBQRYXQD&amp;VAR:QUERY=KFBfUFJJQ0UoNDA2MjYpLShGRl9DQVNIX1NUKFFUUiw0MDYyNikvUF9DT01fU0hTX09VVCg0MDYyNikpKS9GR","V9FU1RJTUFURSgnRVBTJywnTUVBTicsJ0FOTlVBTF9ST0xMJywnKzEnLDQwNjI2LCwsJycp&amp;WINDOW=FIRST_POPUP&amp;HEIGHT=450&amp;WIDTH=450&amp;START_MAXIMIZED=FALSE&amp;VAR:CALENDAR=US&amp;VAR:SYMBOL=38259P50&amp;VAR:INDEX=0"}</definedName>
    <definedName name="_1948__FDSAUDITLINK__">{"fdsup://directions/FAT Viewer?action=UPDATE&amp;creator=factset&amp;DYN_ARGS=TRUE&amp;DOC_NAME=FAT:FQL_AUDITING_CLIENT_TEMPLATE.FAT&amp;display_string=Audit&amp;VAR:KEY=GJUBQRYXQD&amp;VAR:QUERY=KFBfUFJJQ0UoNDA2MjYpLShGRl9DQVNIX1NUKFFUUiw0MDYyNikvUF9DT01fU0hTX09VVCg0MDYyNikpKS9GR","V9FU1RJTUFURSgnRVBTJywnTUVBTicsJ0FOTlVBTF9ST0xMJywnKzEnLDQwNjI2LCwsJycp&amp;WINDOW=FIRST_POPUP&amp;HEIGHT=450&amp;WIDTH=450&amp;START_MAXIMIZED=FALSE&amp;VAR:CALENDAR=US&amp;VAR:SYMBOL=38259P50&amp;VAR:INDEX=0"}</definedName>
    <definedName name="_1949__FDSAUDITLINK__">{"fdsup://directions/FAT Viewer?action=UPDATE&amp;creator=factset&amp;DYN_ARGS=TRUE&amp;DOC_NAME=FAT:FQL_AUDITING_CLIENT_TEMPLATE.FAT&amp;display_string=Audit&amp;VAR:KEY=KHSLYDIDQD&amp;VAR:QUERY=KFBfUFJJQ0UoNDA2MjUpLShGRl9DQVNIX1NUKFFUUiw0MDYyNSkvUF9DT01fU0hTX09VVCg0MDYyNSkpKS9GR","V9FU1RJTUFURSgnRVBTJywnTUVBTicsJ0FOTlVBTF9ST0xMJywnKzEnLDQwNjI1LCwsJycp&amp;WINDOW=FIRST_POPUP&amp;HEIGHT=450&amp;WIDTH=450&amp;START_MAXIMIZED=FALSE&amp;VAR:CALENDAR=US&amp;VAR:SYMBOL=38259P50&amp;VAR:INDEX=0"}</definedName>
    <definedName name="_19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13.208584&amp;VAR:V0=13.650631&amp;VAR:V1=12.019300&amp;VAR:Y0=2011&amp;VAR:Y1=2012&amp;VAR:P=1325.826718&amp;VAR:DATE=20110331&amp;VAR:THRESH=-|-|","-|-|-|-|-"}</definedName>
    <definedName name="_1950__FDSAUDITLINK__">{"fdsup://directions/FAT Viewer?action=UPDATE&amp;creator=factset&amp;DYN_ARGS=TRUE&amp;DOC_NAME=FAT:FQL_AUDITING_CLIENT_TEMPLATE.FAT&amp;display_string=Audit&amp;VAR:KEY=KHSLYDIDQD&amp;VAR:QUERY=KFBfUFJJQ0UoNDA2MjUpLShGRl9DQVNIX1NUKFFUUiw0MDYyNSkvUF9DT01fU0hTX09VVCg0MDYyNSkpKS9GR","V9FU1RJTUFURSgnRVBTJywnTUVBTicsJ0FOTlVBTF9ST0xMJywnKzEnLDQwNjI1LCwsJycp&amp;WINDOW=FIRST_POPUP&amp;HEIGHT=450&amp;WIDTH=450&amp;START_MAXIMIZED=FALSE&amp;VAR:CALENDAR=US&amp;VAR:SYMBOL=38259P50&amp;VAR:INDEX=0"}</definedName>
    <definedName name="_1951__FDSAUDITLINK__">{"fdsup://directions/FAT Viewer?action=UPDATE&amp;creator=factset&amp;DYN_ARGS=TRUE&amp;DOC_NAME=FAT:FQL_AUDITING_CLIENT_TEMPLATE.FAT&amp;display_string=Audit&amp;VAR:KEY=ULETQLSFCZ&amp;VAR:QUERY=KFBfUFJJQ0UoNDA2MjQpLShGRl9DQVNIX1NUKFFUUiw0MDYyNCkvUF9DT01fU0hTX09VVCg0MDYyNCkpKS9GR","V9FU1RJTUFURSgnRVBTJywnTUVBTicsJ0FOTlVBTF9ST0xMJywnKzEnLDQwNjI0LCwsJycp&amp;WINDOW=FIRST_POPUP&amp;HEIGHT=450&amp;WIDTH=450&amp;START_MAXIMIZED=FALSE&amp;VAR:CALENDAR=US&amp;VAR:SYMBOL=38259P50&amp;VAR:INDEX=0"}</definedName>
    <definedName name="_1952__FDSAUDITLINK__">{"fdsup://directions/FAT Viewer?action=UPDATE&amp;creator=factset&amp;DYN_ARGS=TRUE&amp;DOC_NAME=FAT:FQL_AUDITING_CLIENT_TEMPLATE.FAT&amp;display_string=Audit&amp;VAR:KEY=ULETQLSFCZ&amp;VAR:QUERY=KFBfUFJJQ0UoNDA2MjQpLShGRl9DQVNIX1NUKFFUUiw0MDYyNCkvUF9DT01fU0hTX09VVCg0MDYyNCkpKS9GR","V9FU1RJTUFURSgnRVBTJywnTUVBTicsJ0FOTlVBTF9ST0xMJywnKzEnLDQwNjI0LCwsJycp&amp;WINDOW=FIRST_POPUP&amp;HEIGHT=450&amp;WIDTH=450&amp;START_MAXIMIZED=FALSE&amp;VAR:CALENDAR=US&amp;VAR:SYMBOL=38259P50&amp;VAR:INDEX=0"}</definedName>
    <definedName name="_1953__FDSAUDITLINK__">{"fdsup://directions/FAT Viewer?action=UPDATE&amp;creator=factset&amp;DYN_ARGS=TRUE&amp;DOC_NAME=FAT:FQL_AUDITING_CLIENT_TEMPLATE.FAT&amp;display_string=Audit&amp;VAR:KEY=ONOHCFMZEJ&amp;VAR:QUERY=KFBfUFJJQ0UoNDA2MjMpLShGRl9DQVNIX1NUKFFUUiw0MDYyMykvUF9DT01fU0hTX09VVCg0MDYyMykpKS9GR","V9FU1RJTUFURSgnRVBTJywnTUVBTicsJ0FOTlVBTF9ST0xMJywnKzEnLDQwNjIzLCwsJycp&amp;WINDOW=FIRST_POPUP&amp;HEIGHT=450&amp;WIDTH=450&amp;START_MAXIMIZED=FALSE&amp;VAR:CALENDAR=US&amp;VAR:SYMBOL=38259P50&amp;VAR:INDEX=0"}</definedName>
    <definedName name="_1954__FDSAUDITLINK__">{"fdsup://directions/FAT Viewer?action=UPDATE&amp;creator=factset&amp;DYN_ARGS=TRUE&amp;DOC_NAME=FAT:FQL_AUDITING_CLIENT_TEMPLATE.FAT&amp;display_string=Audit&amp;VAR:KEY=ONOHCFMZEJ&amp;VAR:QUERY=KFBfUFJJQ0UoNDA2MjMpLShGRl9DQVNIX1NUKFFUUiw0MDYyMykvUF9DT01fU0hTX09VVCg0MDYyMykpKS9GR","V9FU1RJTUFURSgnRVBTJywnTUVBTicsJ0FOTlVBTF9ST0xMJywnKzEnLDQwNjIzLCwsJycp&amp;WINDOW=FIRST_POPUP&amp;HEIGHT=450&amp;WIDTH=450&amp;START_MAXIMIZED=FALSE&amp;VAR:CALENDAR=US&amp;VAR:SYMBOL=38259P50&amp;VAR:INDEX=0"}</definedName>
    <definedName name="_1955__FDSAUDITLINK__">{"fdsup://directions/FAT Viewer?action=UPDATE&amp;creator=factset&amp;DYN_ARGS=TRUE&amp;DOC_NAME=FAT:FQL_AUDITING_CLIENT_TEMPLATE.FAT&amp;display_string=Audit&amp;VAR:KEY=CPYHMHCRMN&amp;VAR:QUERY=KFBfUFJJQ0UoNDA2MjIpLShGRl9DQVNIX1NUKFFUUiw0MDYyMikvUF9DT01fU0hTX09VVCg0MDYyMikpKS9GR","V9FU1RJTUFURSgnRVBTJywnTUVBTicsJ0FOTlVBTF9ST0xMJywnKzEnLDQwNjIyLCwsJycp&amp;WINDOW=FIRST_POPUP&amp;HEIGHT=450&amp;WIDTH=450&amp;START_MAXIMIZED=FALSE&amp;VAR:CALENDAR=US&amp;VAR:SYMBOL=38259P50&amp;VAR:INDEX=0"}</definedName>
    <definedName name="_1956__FDSAUDITLINK__">{"fdsup://directions/FAT Viewer?action=UPDATE&amp;creator=factset&amp;DYN_ARGS=TRUE&amp;DOC_NAME=FAT:FQL_AUDITING_CLIENT_TEMPLATE.FAT&amp;display_string=Audit&amp;VAR:KEY=CPYHMHCRMN&amp;VAR:QUERY=KFBfUFJJQ0UoNDA2MjIpLShGRl9DQVNIX1NUKFFUUiw0MDYyMikvUF9DT01fU0hTX09VVCg0MDYyMikpKS9GR","V9FU1RJTUFURSgnRVBTJywnTUVBTicsJ0FOTlVBTF9ST0xMJywnKzEnLDQwNjIyLCwsJycp&amp;WINDOW=FIRST_POPUP&amp;HEIGHT=450&amp;WIDTH=450&amp;START_MAXIMIZED=FALSE&amp;VAR:CALENDAR=US&amp;VAR:SYMBOL=38259P50&amp;VAR:INDEX=0"}</definedName>
    <definedName name="_1957__FDSAUDITLINK__">{"fdsup://directions/FAT Viewer?action=UPDATE&amp;creator=factset&amp;DYN_ARGS=TRUE&amp;DOC_NAME=FAT:FQL_AUDITING_CLIENT_TEMPLATE.FAT&amp;display_string=Audit&amp;VAR:KEY=IDAPOTATMZ&amp;VAR:QUERY=KFBfUFJJQ0UoNDA2MjEpLShGRl9DQVNIX1NUKFFUUiw0MDYyMSkvUF9DT01fU0hTX09VVCg0MDYyMSkpKS9GR","V9FU1RJTUFURSgnRVBTJywnTUVBTicsJ0FOTlVBTF9ST0xMJywnKzEnLDQwNjIxLCwsJycp&amp;WINDOW=FIRST_POPUP&amp;HEIGHT=450&amp;WIDTH=450&amp;START_MAXIMIZED=FALSE&amp;VAR:CALENDAR=US&amp;VAR:SYMBOL=38259P50&amp;VAR:INDEX=0"}</definedName>
    <definedName name="_1958__FDSAUDITLINK__">{"fdsup://directions/FAT Viewer?action=UPDATE&amp;creator=factset&amp;DYN_ARGS=TRUE&amp;DOC_NAME=FAT:FQL_AUDITING_CLIENT_TEMPLATE.FAT&amp;display_string=Audit&amp;VAR:KEY=IDAPOTATMZ&amp;VAR:QUERY=KFBfUFJJQ0UoNDA2MjEpLShGRl9DQVNIX1NUKFFUUiw0MDYyMSkvUF9DT01fU0hTX09VVCg0MDYyMSkpKS9GR","V9FU1RJTUFURSgnRVBTJywnTUVBTicsJ0FOTlVBTF9ST0xMJywnKzEnLDQwNjIxLCwsJycp&amp;WINDOW=FIRST_POPUP&amp;HEIGHT=450&amp;WIDTH=450&amp;START_MAXIMIZED=FALSE&amp;VAR:CALENDAR=US&amp;VAR:SYMBOL=38259P50&amp;VAR:INDEX=0"}</definedName>
    <definedName name="_1959__FDSAUDITLINK__">{"fdsup://directions/FAT Viewer?action=UPDATE&amp;creator=factset&amp;DYN_ARGS=TRUE&amp;DOC_NAME=FAT:FQL_AUDITING_CLIENT_TEMPLATE.FAT&amp;display_string=Audit&amp;VAR:KEY=SZCPGNMXST&amp;VAR:QUERY=KFBfUFJJQ0UoNDA2MjApLShGRl9DQVNIX1NUKFFUUiw0MDYyMCkvUF9DT01fU0hTX09VVCg0MDYyMCkpKS9GR","V9FU1RJTUFURSgnRVBTJywnTUVBTicsJ0FOTlVBTF9ST0xMJywnKzEnLDQwNjIwLCwsJycp&amp;WINDOW=FIRST_POPUP&amp;HEIGHT=450&amp;WIDTH=450&amp;START_MAXIMIZED=FALSE&amp;VAR:CALENDAR=US&amp;VAR:SYMBOL=38259P50&amp;VAR:INDEX=0"}</definedName>
    <definedName name="_19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13.188755&amp;VAR:V0=14.984786&amp;VAR:V1=13.188755&amp;VAR:Y0=2010&amp;VAR:Y1=2011&amp;VAR:P=1257.635988&amp;VAR:DATE=20101231&amp;VAR:THRESH=-|-|","-|-|-|-|-"}</definedName>
    <definedName name="_1960__FDSAUDITLINK__">{"fdsup://directions/FAT Viewer?action=UPDATE&amp;creator=factset&amp;DYN_ARGS=TRUE&amp;DOC_NAME=FAT:FQL_AUDITING_CLIENT_TEMPLATE.FAT&amp;display_string=Audit&amp;VAR:KEY=SZCPGNMXST&amp;VAR:QUERY=KFBfUFJJQ0UoNDA2MjApLShGRl9DQVNIX1NUKFFUUiw0MDYyMCkvUF9DT01fU0hTX09VVCg0MDYyMCkpKS9GR","V9FU1RJTUFURSgnRVBTJywnTUVBTicsJ0FOTlVBTF9ST0xMJywnKzEnLDQwNjIwLCwsJycp&amp;WINDOW=FIRST_POPUP&amp;HEIGHT=450&amp;WIDTH=450&amp;START_MAXIMIZED=FALSE&amp;VAR:CALENDAR=US&amp;VAR:SYMBOL=38259P50&amp;VAR:INDEX=0"}</definedName>
    <definedName name="_1961__FDSAUDITLINK__">{"fdsup://directions/FAT Viewer?action=UPDATE&amp;creator=factset&amp;DYN_ARGS=TRUE&amp;DOC_NAME=FAT:FQL_AUDITING_CLIENT_TEMPLATE.FAT&amp;display_string=Audit&amp;VAR:KEY=UFCVINSLYB&amp;VAR:QUERY=KFBfUFJJQ0UoNDA2MTkpLShGRl9DQVNIX1NUKFFUUiw0MDYxOSkvUF9DT01fU0hTX09VVCg0MDYxOSkpKS9GR","V9FU1RJTUFURSgnRVBTJywnTUVBTicsJ0FOTlVBTF9ST0xMJywnKzEnLDQwNjE5LCwsJycp&amp;WINDOW=FIRST_POPUP&amp;HEIGHT=450&amp;WIDTH=450&amp;START_MAXIMIZED=FALSE&amp;VAR:CALENDAR=US&amp;VAR:SYMBOL=38259P50&amp;VAR:INDEX=0"}</definedName>
    <definedName name="_1962__FDSAUDITLINK__">{"fdsup://directions/FAT Viewer?action=UPDATE&amp;creator=factset&amp;DYN_ARGS=TRUE&amp;DOC_NAME=FAT:FQL_AUDITING_CLIENT_TEMPLATE.FAT&amp;display_string=Audit&amp;VAR:KEY=UFCVINSLYB&amp;VAR:QUERY=KFBfUFJJQ0UoNDA2MTkpLShGRl9DQVNIX1NUKFFUUiw0MDYxOSkvUF9DT01fU0hTX09VVCg0MDYxOSkpKS9GR","V9FU1RJTUFURSgnRVBTJywnTUVBTicsJ0FOTlVBTF9ST0xMJywnKzEnLDQwNjE5LCwsJycp&amp;WINDOW=FIRST_POPUP&amp;HEIGHT=450&amp;WIDTH=450&amp;START_MAXIMIZED=FALSE&amp;VAR:CALENDAR=US&amp;VAR:SYMBOL=38259P50&amp;VAR:INDEX=0"}</definedName>
    <definedName name="_1963__FDSAUDITLINK__">{"fdsup://directions/FAT Viewer?action=UPDATE&amp;creator=factset&amp;DYN_ARGS=TRUE&amp;DOC_NAME=FAT:FQL_AUDITING_CLIENT_TEMPLATE.FAT&amp;display_string=Audit&amp;VAR:KEY=STOZAXQJKZ&amp;VAR:QUERY=KFBfUFJJQ0UoNDA2MTgpLShGRl9DQVNIX1NUKFFUUiw0MDYxOCkvUF9DT01fU0hTX09VVCg0MDYxOCkpKS9GR","V9FU1RJTUFURSgnRVBTJywnTUVBTicsJ0FOTlVBTF9ST0xMJywnKzEnLDQwNjE4LCwsJycp&amp;WINDOW=FIRST_POPUP&amp;HEIGHT=450&amp;WIDTH=450&amp;START_MAXIMIZED=FALSE&amp;VAR:CALENDAR=US&amp;VAR:SYMBOL=38259P50&amp;VAR:INDEX=0"}</definedName>
    <definedName name="_1964__FDSAUDITLINK__">{"fdsup://directions/FAT Viewer?action=UPDATE&amp;creator=factset&amp;DYN_ARGS=TRUE&amp;DOC_NAME=FAT:FQL_AUDITING_CLIENT_TEMPLATE.FAT&amp;display_string=Audit&amp;VAR:KEY=STOZAXQJKZ&amp;VAR:QUERY=KFBfUFJJQ0UoNDA2MTgpLShGRl9DQVNIX1NUKFFUUiw0MDYxOCkvUF9DT01fU0hTX09VVCg0MDYxOCkpKS9GR","V9FU1RJTUFURSgnRVBTJywnTUVBTicsJ0FOTlVBTF9ST0xMJywnKzEnLDQwNjE4LCwsJycp&amp;WINDOW=FIRST_POPUP&amp;HEIGHT=450&amp;WIDTH=450&amp;START_MAXIMIZED=FALSE&amp;VAR:CALENDAR=US&amp;VAR:SYMBOL=38259P50&amp;VAR:INDEX=0"}</definedName>
    <definedName name="_1965__FDSAUDITLINK__">{"fdsup://directions/FAT Viewer?action=UPDATE&amp;creator=factset&amp;DYN_ARGS=TRUE&amp;DOC_NAME=FAT:FQL_AUDITING_CLIENT_TEMPLATE.FAT&amp;display_string=Audit&amp;VAR:KEY=MFSLUFYZEB&amp;VAR:QUERY=KFBfUFJJQ0UoNDA2MTcpLShGRl9DQVNIX1NUKFFUUiw0MDYxNykvUF9DT01fU0hTX09VVCg0MDYxNykpKS9GR","V9FU1RJTUFURSgnRVBTJywnTUVBTicsJ0FOTlVBTF9ST0xMJywnKzEnLDQwNjE3LCwsJycp&amp;WINDOW=FIRST_POPUP&amp;HEIGHT=450&amp;WIDTH=450&amp;START_MAXIMIZED=FALSE&amp;VAR:CALENDAR=US&amp;VAR:SYMBOL=38259P50&amp;VAR:INDEX=0"}</definedName>
    <definedName name="_1966__FDSAUDITLINK__">{"fdsup://directions/FAT Viewer?action=UPDATE&amp;creator=factset&amp;DYN_ARGS=TRUE&amp;DOC_NAME=FAT:FQL_AUDITING_CLIENT_TEMPLATE.FAT&amp;display_string=Audit&amp;VAR:KEY=MFSLUFYZEB&amp;VAR:QUERY=KFBfUFJJQ0UoNDA2MTcpLShGRl9DQVNIX1NUKFFUUiw0MDYxNykvUF9DT01fU0hTX09VVCg0MDYxNykpKS9GR","V9FU1RJTUFURSgnRVBTJywnTUVBTicsJ0FOTlVBTF9ST0xMJywnKzEnLDQwNjE3LCwsJycp&amp;WINDOW=FIRST_POPUP&amp;HEIGHT=450&amp;WIDTH=450&amp;START_MAXIMIZED=FALSE&amp;VAR:CALENDAR=US&amp;VAR:SYMBOL=38259P50&amp;VAR:INDEX=0"}</definedName>
    <definedName name="_1967__FDSAUDITLINK__">{"fdsup://directions/FAT Viewer?action=UPDATE&amp;creator=factset&amp;DYN_ARGS=TRUE&amp;DOC_NAME=FAT:FQL_AUDITING_CLIENT_TEMPLATE.FAT&amp;display_string=Audit&amp;VAR:KEY=KXGHGJYNQV&amp;VAR:QUERY=KFBfUFJJQ0UoNDA2MTYpLShGRl9DQVNIX1NUKFFUUiw0MDYxNikvUF9DT01fU0hTX09VVCg0MDYxNikpKS9GR","V9FU1RJTUFURSgnRVBTJywnTUVBTicsJ0FOTlVBTF9ST0xMJywnKzEnLDQwNjE2LCwsJycp&amp;WINDOW=FIRST_POPUP&amp;HEIGHT=450&amp;WIDTH=450&amp;START_MAXIMIZED=FALSE&amp;VAR:CALENDAR=US&amp;VAR:SYMBOL=38259P50&amp;VAR:INDEX=0"}</definedName>
    <definedName name="_1968__FDSAUDITLINK__">{"fdsup://directions/FAT Viewer?action=UPDATE&amp;creator=factset&amp;DYN_ARGS=TRUE&amp;DOC_NAME=FAT:FQL_AUDITING_CLIENT_TEMPLATE.FAT&amp;display_string=Audit&amp;VAR:KEY=KXGHGJYNQV&amp;VAR:QUERY=KFBfUFJJQ0UoNDA2MTYpLShGRl9DQVNIX1NUKFFUUiw0MDYxNikvUF9DT01fU0hTX09VVCg0MDYxNikpKS9GR","V9FU1RJTUFURSgnRVBTJywnTUVBTicsJ0FOTlVBTF9ST0xMJywnKzEnLDQwNjE2LCwsJycp&amp;WINDOW=FIRST_POPUP&amp;HEIGHT=450&amp;WIDTH=450&amp;START_MAXIMIZED=FALSE&amp;VAR:CALENDAR=US&amp;VAR:SYMBOL=38259P50&amp;VAR:INDEX=0"}</definedName>
    <definedName name="_1969__FDSAUDITLINK__">{"fdsup://directions/FAT Viewer?action=UPDATE&amp;creator=factset&amp;DYN_ARGS=TRUE&amp;DOC_NAME=FAT:FQL_AUDITING_CLIENT_TEMPLATE.FAT&amp;display_string=Audit&amp;VAR:KEY=ILKRSLKVSJ&amp;VAR:QUERY=KFBfUFJJQ0UoNDA2MTUpLShGRl9DQVNIX1NUKFFUUiw0MDYxNSkvUF9DT01fU0hTX09VVCg0MDYxNSkpKS9GR","V9FU1RJTUFURSgnRVBTJywnTUVBTicsJ0FOTlVBTF9ST0xMJywnKzEnLDQwNjE1LCwsJycp&amp;WINDOW=FIRST_POPUP&amp;HEIGHT=450&amp;WIDTH=450&amp;START_MAXIMIZED=FALSE&amp;VAR:CALENDAR=US&amp;VAR:SYMBOL=38259P50&amp;VAR:INDEX=0"}</definedName>
    <definedName name="_19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12.366638&amp;VAR:V0=13.736043&amp;VAR:V1=11.964666&amp;VAR:Y0=2010&amp;VAR:Y1=2011&amp;VAR:P=1141.201157&amp;VAR:DATE=20100930&amp;VAR:THRESH=-|-|","-|-|-|-|-"}</definedName>
    <definedName name="_1970__FDSAUDITLINK__">{"fdsup://directions/FAT Viewer?action=UPDATE&amp;creator=factset&amp;DYN_ARGS=TRUE&amp;DOC_NAME=FAT:FQL_AUDITING_CLIENT_TEMPLATE.FAT&amp;display_string=Audit&amp;VAR:KEY=ILKRSLKVSJ&amp;VAR:QUERY=KFBfUFJJQ0UoNDA2MTUpLShGRl9DQVNIX1NUKFFUUiw0MDYxNSkvUF9DT01fU0hTX09VVCg0MDYxNSkpKS9GR","V9FU1RJTUFURSgnRVBTJywnTUVBTicsJ0FOTlVBTF9ST0xMJywnKzEnLDQwNjE1LCwsJycp&amp;WINDOW=FIRST_POPUP&amp;HEIGHT=450&amp;WIDTH=450&amp;START_MAXIMIZED=FALSE&amp;VAR:CALENDAR=US&amp;VAR:SYMBOL=38259P50&amp;VAR:INDEX=0"}</definedName>
    <definedName name="_1971__FDSAUDITLINK__">{"fdsup://directions/FAT Viewer?action=UPDATE&amp;creator=factset&amp;DYN_ARGS=TRUE&amp;DOC_NAME=FAT:FQL_AUDITING_CLIENT_TEMPLATE.FAT&amp;display_string=Audit&amp;VAR:KEY=SBMLKVMXGP&amp;VAR:QUERY=KFBfUFJJQ0UoNDA2MTQpLShGRl9DQVNIX1NUKFFUUiw0MDYxNCkvUF9DT01fU0hTX09VVCg0MDYxNCkpKS9GR","V9FU1RJTUFURSgnRVBTJywnTUVBTicsJ0FOTlVBTF9ST0xMJywnKzEnLDQwNjE0LCwsJycp&amp;WINDOW=FIRST_POPUP&amp;HEIGHT=450&amp;WIDTH=450&amp;START_MAXIMIZED=FALSE&amp;VAR:CALENDAR=US&amp;VAR:SYMBOL=38259P50&amp;VAR:INDEX=0"}</definedName>
    <definedName name="_1972__FDSAUDITLINK__">{"fdsup://directions/FAT Viewer?action=UPDATE&amp;creator=factset&amp;DYN_ARGS=TRUE&amp;DOC_NAME=FAT:FQL_AUDITING_CLIENT_TEMPLATE.FAT&amp;display_string=Audit&amp;VAR:KEY=SBMLKVMXGP&amp;VAR:QUERY=KFBfUFJJQ0UoNDA2MTQpLShGRl9DQVNIX1NUKFFUUiw0MDYxNCkvUF9DT01fU0hTX09VVCg0MDYxNCkpKS9GR","V9FU1RJTUFURSgnRVBTJywnTUVBTicsJ0FOTlVBTF9ST0xMJywnKzEnLDQwNjE0LCwsJycp&amp;WINDOW=FIRST_POPUP&amp;HEIGHT=450&amp;WIDTH=450&amp;START_MAXIMIZED=FALSE&amp;VAR:CALENDAR=US&amp;VAR:SYMBOL=38259P50&amp;VAR:INDEX=0"}</definedName>
    <definedName name="_1973__FDSAUDITLINK__">{"fdsup://directions/FAT Viewer?action=UPDATE&amp;creator=factset&amp;DYN_ARGS=TRUE&amp;DOC_NAME=FAT:FQL_AUDITING_CLIENT_TEMPLATE.FAT&amp;display_string=Audit&amp;VAR:KEY=ETWBANSJGF&amp;VAR:QUERY=KFBfUFJJQ0UoNDA2MTMpLShGRl9DQVNIX1NUKFFUUiw0MDYxMykvUF9DT01fU0hTX09VVCg0MDYxMykpKS9GR","V9FU1RJTUFURSgnRVBTJywnTUVBTicsJ0FOTlVBTF9ST0xMJywnKzEnLDQwNjEzLCwsJycp&amp;WINDOW=FIRST_POPUP&amp;HEIGHT=450&amp;WIDTH=450&amp;START_MAXIMIZED=FALSE&amp;VAR:CALENDAR=US&amp;VAR:SYMBOL=38259P50&amp;VAR:INDEX=0"}</definedName>
    <definedName name="_1974__FDSAUDITLINK__">{"fdsup://directions/FAT Viewer?action=UPDATE&amp;creator=factset&amp;DYN_ARGS=TRUE&amp;DOC_NAME=FAT:FQL_AUDITING_CLIENT_TEMPLATE.FAT&amp;display_string=Audit&amp;VAR:KEY=ETWBANSJGF&amp;VAR:QUERY=KFBfUFJJQ0UoNDA2MTMpLShGRl9DQVNIX1NUKFFUUiw0MDYxMykvUF9DT01fU0hTX09VVCg0MDYxMykpKS9GR","V9FU1RJTUFURSgnRVBTJywnTUVBTicsJ0FOTlVBTF9ST0xMJywnKzEnLDQwNjEzLCwsJycp&amp;WINDOW=FIRST_POPUP&amp;HEIGHT=450&amp;WIDTH=450&amp;START_MAXIMIZED=FALSE&amp;VAR:CALENDAR=US&amp;VAR:SYMBOL=38259P50&amp;VAR:INDEX=0"}</definedName>
    <definedName name="_1975__FDSAUDITLINK__">{"fdsup://directions/FAT Viewer?action=UPDATE&amp;creator=factset&amp;DYN_ARGS=TRUE&amp;DOC_NAME=FAT:FQL_AUDITING_CLIENT_TEMPLATE.FAT&amp;display_string=Audit&amp;VAR:KEY=SFUXUNMNWV&amp;VAR:QUERY=KFBfUFJJQ0UoNDA2MTIpLShGRl9DQVNIX1NUKFFUUiw0MDYxMikvUF9DT01fU0hTX09VVCg0MDYxMikpKS9GR","V9FU1RJTUFURSgnRVBTJywnTUVBTicsJ0FOTlVBTF9ST0xMJywnKzEnLDQwNjEyLCwsJycp&amp;WINDOW=FIRST_POPUP&amp;HEIGHT=450&amp;WIDTH=450&amp;START_MAXIMIZED=FALSE&amp;VAR:CALENDAR=US&amp;VAR:SYMBOL=38259P50&amp;VAR:INDEX=0"}</definedName>
    <definedName name="_1976__FDSAUDITLINK__">{"fdsup://directions/FAT Viewer?action=UPDATE&amp;creator=factset&amp;DYN_ARGS=TRUE&amp;DOC_NAME=FAT:FQL_AUDITING_CLIENT_TEMPLATE.FAT&amp;display_string=Audit&amp;VAR:KEY=SFUXUNMNWV&amp;VAR:QUERY=KFBfUFJJQ0UoNDA2MTIpLShGRl9DQVNIX1NUKFFUUiw0MDYxMikvUF9DT01fU0hTX09VVCg0MDYxMikpKS9GR","V9FU1RJTUFURSgnRVBTJywnTUVBTicsJ0FOTlVBTF9ST0xMJywnKzEnLDQwNjEyLCwsJycp&amp;WINDOW=FIRST_POPUP&amp;HEIGHT=450&amp;WIDTH=450&amp;START_MAXIMIZED=FALSE&amp;VAR:CALENDAR=US&amp;VAR:SYMBOL=38259P50&amp;VAR:INDEX=0"}</definedName>
    <definedName name="_1977__FDSAUDITLINK__">{"fdsup://directions/FAT Viewer?action=UPDATE&amp;creator=factset&amp;DYN_ARGS=TRUE&amp;DOC_NAME=FAT:FQL_AUDITING_CLIENT_TEMPLATE.FAT&amp;display_string=Audit&amp;VAR:KEY=WVABYXYFMB&amp;VAR:QUERY=KFBfUFJJQ0UoNDA2MTEpLShGRl9DQVNIX1NUKFFUUiw0MDYxMSkvUF9DT01fU0hTX09VVCg0MDYxMSkpKS9GR","V9FU1RJTUFURSgnRVBTJywnTUVBTicsJ0FOTlVBTF9ST0xMJywnKzEnLDQwNjExLCwsJycp&amp;WINDOW=FIRST_POPUP&amp;HEIGHT=450&amp;WIDTH=450&amp;START_MAXIMIZED=FALSE&amp;VAR:CALENDAR=US&amp;VAR:SYMBOL=38259P50&amp;VAR:INDEX=0"}</definedName>
    <definedName name="_1978__FDSAUDITLINK__">{"fdsup://directions/FAT Viewer?action=UPDATE&amp;creator=factset&amp;DYN_ARGS=TRUE&amp;DOC_NAME=FAT:FQL_AUDITING_CLIENT_TEMPLATE.FAT&amp;display_string=Audit&amp;VAR:KEY=WVABYXYFMB&amp;VAR:QUERY=KFBfUFJJQ0UoNDA2MTEpLShGRl9DQVNIX1NUKFFUUiw0MDYxMSkvUF9DT01fU0hTX09VVCg0MDYxMSkpKS9GR","V9FU1RJTUFURSgnRVBTJywnTUVBTicsJ0FOTlVBTF9ST0xMJywnKzEnLDQwNjExLCwsJycp&amp;WINDOW=FIRST_POPUP&amp;HEIGHT=450&amp;WIDTH=450&amp;START_MAXIMIZED=FALSE&amp;VAR:CALENDAR=US&amp;VAR:SYMBOL=38259P50&amp;VAR:INDEX=0"}</definedName>
    <definedName name="_1979__FDSAUDITLINK__">{"fdsup://directions/FAT Viewer?action=UPDATE&amp;creator=factset&amp;DYN_ARGS=TRUE&amp;DOC_NAME=FAT:FQL_AUDITING_CLIENT_TEMPLATE.FAT&amp;display_string=Audit&amp;VAR:KEY=ETINARKVQT&amp;VAR:QUERY=KFBfUFJJQ0UoNDA2MTApLShGRl9DQVNIX1NUKFFUUiw0MDYxMCkvUF9DT01fU0hTX09VVCg0MDYxMCkpKS9GR","V9FU1RJTUFURSgnRVBTJywnTUVBTicsJ0FOTlVBTF9ST0xMJywnKzEnLDQwNjEwLCwsJycp&amp;WINDOW=FIRST_POPUP&amp;HEIGHT=450&amp;WIDTH=450&amp;START_MAXIMIZED=FALSE&amp;VAR:CALENDAR=US&amp;VAR:SYMBOL=38259P50&amp;VAR:INDEX=0"}</definedName>
    <definedName name="_19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11.528002&amp;VAR:V0=12.542488&amp;VAR:V1=10.652135&amp;VAR:Y0=2010&amp;VAR:Y1=2011&amp;VAR:P=1030.710083&amp;VAR:DATE=20100630&amp;VAR:THRESH=-|-|","-|-|-|-|-"}</definedName>
    <definedName name="_1980__FDSAUDITLINK__">{"fdsup://directions/FAT Viewer?action=UPDATE&amp;creator=factset&amp;DYN_ARGS=TRUE&amp;DOC_NAME=FAT:FQL_AUDITING_CLIENT_TEMPLATE.FAT&amp;display_string=Audit&amp;VAR:KEY=ETINARKVQT&amp;VAR:QUERY=KFBfUFJJQ0UoNDA2MTApLShGRl9DQVNIX1NUKFFUUiw0MDYxMCkvUF9DT01fU0hTX09VVCg0MDYxMCkpKS9GR","V9FU1RJTUFURSgnRVBTJywnTUVBTicsJ0FOTlVBTF9ST0xMJywnKzEnLDQwNjEwLCwsJycp&amp;WINDOW=FIRST_POPUP&amp;HEIGHT=450&amp;WIDTH=450&amp;START_MAXIMIZED=FALSE&amp;VAR:CALENDAR=US&amp;VAR:SYMBOL=38259P50&amp;VAR:INDEX=0"}</definedName>
    <definedName name="_1981__FDSAUDITLINK__">{"fdsup://directions/FAT Viewer?action=UPDATE&amp;creator=factset&amp;DYN_ARGS=TRUE&amp;DOC_NAME=FAT:FQL_AUDITING_CLIENT_TEMPLATE.FAT&amp;display_string=Audit&amp;VAR:KEY=IHAPKNAXOD&amp;VAR:QUERY=KFBfUFJJQ0UoNDA2MDkpLShGRl9DQVNIX1NUKFFUUiw0MDYwOSkvUF9DT01fU0hTX09VVCg0MDYwOSkpKS9GR","V9FU1RJTUFURSgnRVBTJywnTUVBTicsJ0FOTlVBTF9ST0xMJywnKzEnLDQwNjA5LCwsJycp&amp;WINDOW=FIRST_POPUP&amp;HEIGHT=450&amp;WIDTH=450&amp;START_MAXIMIZED=FALSE&amp;VAR:CALENDAR=US&amp;VAR:SYMBOL=38259P50&amp;VAR:INDEX=0"}</definedName>
    <definedName name="_1982__FDSAUDITLINK__">{"fdsup://directions/FAT Viewer?action=UPDATE&amp;creator=factset&amp;DYN_ARGS=TRUE&amp;DOC_NAME=FAT:FQL_AUDITING_CLIENT_TEMPLATE.FAT&amp;display_string=Audit&amp;VAR:KEY=IHAPKNAXOD&amp;VAR:QUERY=KFBfUFJJQ0UoNDA2MDkpLShGRl9DQVNIX1NUKFFUUiw0MDYwOSkvUF9DT01fU0hTX09VVCg0MDYwOSkpKS9GR","V9FU1RJTUFURSgnRVBTJywnTUVBTicsJ0FOTlVBTF9ST0xMJywnKzEnLDQwNjA5LCwsJycp&amp;WINDOW=FIRST_POPUP&amp;HEIGHT=450&amp;WIDTH=450&amp;START_MAXIMIZED=FALSE&amp;VAR:CALENDAR=US&amp;VAR:SYMBOL=38259P50&amp;VAR:INDEX=0"}</definedName>
    <definedName name="_1983__FDSAUDITLINK__">{"fdsup://directions/FAT Viewer?action=UPDATE&amp;creator=factset&amp;DYN_ARGS=TRUE&amp;DOC_NAME=FAT:FQL_AUDITING_CLIENT_TEMPLATE.FAT&amp;display_string=Audit&amp;VAR:KEY=MXWBQREPKZ&amp;VAR:QUERY=KFBfUFJJQ0UoNDA2MDgpLShGRl9DQVNIX1NUKFFUUiw0MDYwOCkvUF9DT01fU0hTX09VVCg0MDYwOCkpKS9GR","V9FU1RJTUFURSgnRVBTJywnTUVBTicsJ0FOTlVBTF9ST0xMJywnKzEnLDQwNjA4LCwsJycp&amp;WINDOW=FIRST_POPUP&amp;HEIGHT=450&amp;WIDTH=450&amp;START_MAXIMIZED=FALSE&amp;VAR:CALENDAR=US&amp;VAR:SYMBOL=38259P50&amp;VAR:INDEX=0"}</definedName>
    <definedName name="_1984__FDSAUDITLINK__">{"fdsup://directions/FAT Viewer?action=UPDATE&amp;creator=factset&amp;DYN_ARGS=TRUE&amp;DOC_NAME=FAT:FQL_AUDITING_CLIENT_TEMPLATE.FAT&amp;display_string=Audit&amp;VAR:KEY=MXWBQREPKZ&amp;VAR:QUERY=KFBfUFJJQ0UoNDA2MDgpLShGRl9DQVNIX1NUKFFUUiw0MDYwOCkvUF9DT01fU0hTX09VVCg0MDYwOCkpKS9GR","V9FU1RJTUFURSgnRVBTJywnTUVBTicsJ0FOTlVBTF9ST0xMJywnKzEnLDQwNjA4LCwsJycp&amp;WINDOW=FIRST_POPUP&amp;HEIGHT=450&amp;WIDTH=450&amp;START_MAXIMIZED=FALSE&amp;VAR:CALENDAR=US&amp;VAR:SYMBOL=38259P50&amp;VAR:INDEX=0"}</definedName>
    <definedName name="_1985__FDSAUDITLINK__">{"fdsup://directions/FAT Viewer?action=UPDATE&amp;creator=factset&amp;DYN_ARGS=TRUE&amp;DOC_NAME=FAT:FQL_AUDITING_CLIENT_TEMPLATE.FAT&amp;display_string=Audit&amp;VAR:KEY=SNUVQHGNCF&amp;VAR:QUERY=KFBfUFJJQ0UoNDA2MDcpLShGRl9DQVNIX1NUKFFUUiw0MDYwNykvUF9DT01fU0hTX09VVCg0MDYwNykpKS9GR","V9FU1RJTUFURSgnRVBTJywnTUVBTicsJ0FOTlVBTF9ST0xMJywnKzEnLDQwNjA3LCwsJycp&amp;WINDOW=FIRST_POPUP&amp;HEIGHT=450&amp;WIDTH=450&amp;START_MAXIMIZED=FALSE&amp;VAR:CALENDAR=US&amp;VAR:SYMBOL=38259P50&amp;VAR:INDEX=0"}</definedName>
    <definedName name="_1986__FDSAUDITLINK__">{"fdsup://directions/FAT Viewer?action=UPDATE&amp;creator=factset&amp;DYN_ARGS=TRUE&amp;DOC_NAME=FAT:FQL_AUDITING_CLIENT_TEMPLATE.FAT&amp;display_string=Audit&amp;VAR:KEY=SNUVQHGNCF&amp;VAR:QUERY=KFBfUFJJQ0UoNDA2MDcpLShGRl9DQVNIX1NUKFFUUiw0MDYwNykvUF9DT01fU0hTX09VVCg0MDYwNykpKS9GR","V9FU1RJTUFURSgnRVBTJywnTUVBTicsJ0FOTlVBTF9ST0xMJywnKzEnLDQwNjA3LCwsJycp&amp;WINDOW=FIRST_POPUP&amp;HEIGHT=450&amp;WIDTH=450&amp;START_MAXIMIZED=FALSE&amp;VAR:CALENDAR=US&amp;VAR:SYMBOL=38259P50&amp;VAR:INDEX=0"}</definedName>
    <definedName name="_1987__FDSAUDITLINK__">{"fdsup://directions/FAT Viewer?action=UPDATE&amp;creator=factset&amp;DYN_ARGS=TRUE&amp;DOC_NAME=FAT:FQL_AUDITING_CLIENT_TEMPLATE.FAT&amp;display_string=Audit&amp;VAR:KEY=SZODCFQDWZ&amp;VAR:QUERY=KFBfUFJJQ0UoNDA2MDYpLShGRl9DQVNIX1NUKFFUUiw0MDYwNikvUF9DT01fU0hTX09VVCg0MDYwNikpKS9GR","V9FU1RJTUFURSgnRVBTJywnTUVBTicsJ0FOTlVBTF9ST0xMJywnKzEnLDQwNjA2LCwsJycp&amp;WINDOW=FIRST_POPUP&amp;HEIGHT=450&amp;WIDTH=450&amp;START_MAXIMIZED=FALSE&amp;VAR:CALENDAR=US&amp;VAR:SYMBOL=38259P50&amp;VAR:INDEX=0"}</definedName>
    <definedName name="_1988__FDSAUDITLINK__">{"fdsup://directions/FAT Viewer?action=UPDATE&amp;creator=factset&amp;DYN_ARGS=TRUE&amp;DOC_NAME=FAT:FQL_AUDITING_CLIENT_TEMPLATE.FAT&amp;display_string=Audit&amp;VAR:KEY=SZODCFQDWZ&amp;VAR:QUERY=KFBfUFJJQ0UoNDA2MDYpLShGRl9DQVNIX1NUKFFUUiw0MDYwNikvUF9DT01fU0hTX09VVCg0MDYwNikpKS9GR","V9FU1RJTUFURSgnRVBTJywnTUVBTicsJ0FOTlVBTF9ST0xMJywnKzEnLDQwNjA2LCwsJycp&amp;WINDOW=FIRST_POPUP&amp;HEIGHT=450&amp;WIDTH=450&amp;START_MAXIMIZED=FALSE&amp;VAR:CALENDAR=US&amp;VAR:SYMBOL=38259P50&amp;VAR:INDEX=0"}</definedName>
    <definedName name="_1989__FDSAUDITLINK__">{"fdsup://directions/FAT Viewer?action=UPDATE&amp;creator=factset&amp;DYN_ARGS=TRUE&amp;DOC_NAME=FAT:FQL_AUDITING_CLIENT_TEMPLATE.FAT&amp;display_string=Audit&amp;VAR:KEY=SVKBAZIPMH&amp;VAR:QUERY=KFBfUFJJQ0UoNDA2MDUpLShGRl9DQVNIX1NUKFFUUiw0MDYwNSkvUF9DT01fU0hTX09VVCg0MDYwNSkpKS9GR","V9FU1RJTUFURSgnRVBTJywnTUVBTicsJ0FOTlVBTF9ST0xMJywnKzEnLDQwNjA1LCwsJycp&amp;WINDOW=FIRST_POPUP&amp;HEIGHT=450&amp;WIDTH=450&amp;START_MAXIMIZED=FALSE&amp;VAR:CALENDAR=US&amp;VAR:SYMBOL=38259P50&amp;VAR:INDEX=0"}</definedName>
    <definedName name="_19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14.127944&amp;VAR:V0=14.822412&amp;VAR:V1=12.358671&amp;VAR:Y0=2010&amp;VAR:Y1=2011&amp;VAR:P=1169.431193&amp;VAR:DATE=20100331&amp;VAR:THRESH=-|-|","-|-|-|-|-"}</definedName>
    <definedName name="_1990__FDSAUDITLINK__">{"fdsup://directions/FAT Viewer?action=UPDATE&amp;creator=factset&amp;DYN_ARGS=TRUE&amp;DOC_NAME=FAT:FQL_AUDITING_CLIENT_TEMPLATE.FAT&amp;display_string=Audit&amp;VAR:KEY=SVKBAZIPMH&amp;VAR:QUERY=KFBfUFJJQ0UoNDA2MDUpLShGRl9DQVNIX1NUKFFUUiw0MDYwNSkvUF9DT01fU0hTX09VVCg0MDYwNSkpKS9GR","V9FU1RJTUFURSgnRVBTJywnTUVBTicsJ0FOTlVBTF9ST0xMJywnKzEnLDQwNjA1LCwsJycp&amp;WINDOW=FIRST_POPUP&amp;HEIGHT=450&amp;WIDTH=450&amp;START_MAXIMIZED=FALSE&amp;VAR:CALENDAR=US&amp;VAR:SYMBOL=38259P50&amp;VAR:INDEX=0"}</definedName>
    <definedName name="_1991__FDSAUDITLINK__">{"fdsup://directions/FAT Viewer?action=UPDATE&amp;creator=factset&amp;DYN_ARGS=TRUE&amp;DOC_NAME=FAT:FQL_AUDITING_CLIENT_TEMPLATE.FAT&amp;display_string=Audit&amp;VAR:KEY=QDSBINCDKZ&amp;VAR:QUERY=KFBfUFJJQ0UoNDA2MDQpLShGRl9DQVNIX1NUKFFUUiw0MDYwNCkvUF9DT01fU0hTX09VVCg0MDYwNCkpKS9GR","V9FU1RJTUFURSgnRVBTJywnTUVBTicsJ0FOTlVBTF9ST0xMJywnKzEnLDQwNjA0LCwsJycp&amp;WINDOW=FIRST_POPUP&amp;HEIGHT=450&amp;WIDTH=450&amp;START_MAXIMIZED=FALSE&amp;VAR:CALENDAR=US&amp;VAR:SYMBOL=38259P50&amp;VAR:INDEX=0"}</definedName>
    <definedName name="_1992__FDSAUDITLINK__">{"fdsup://directions/FAT Viewer?action=UPDATE&amp;creator=factset&amp;DYN_ARGS=TRUE&amp;DOC_NAME=FAT:FQL_AUDITING_CLIENT_TEMPLATE.FAT&amp;display_string=Audit&amp;VAR:KEY=QDSBINCDKZ&amp;VAR:QUERY=KFBfUFJJQ0UoNDA2MDQpLShGRl9DQVNIX1NUKFFUUiw0MDYwNCkvUF9DT01fU0hTX09VVCg0MDYwNCkpKS9GR","V9FU1RJTUFURSgnRVBTJywnTUVBTicsJ0FOTlVBTF9ST0xMJywnKzEnLDQwNjA0LCwsJycp&amp;WINDOW=FIRST_POPUP&amp;HEIGHT=450&amp;WIDTH=450&amp;START_MAXIMIZED=FALSE&amp;VAR:CALENDAR=US&amp;VAR:SYMBOL=38259P50&amp;VAR:INDEX=0"}</definedName>
    <definedName name="_1993__FDSAUDITLINK__">{"fdsup://directions/FAT Viewer?action=UPDATE&amp;creator=factset&amp;DYN_ARGS=TRUE&amp;DOC_NAME=FAT:FQL_AUDITING_CLIENT_TEMPLATE.FAT&amp;display_string=Audit&amp;VAR:KEY=UBCNYLABAX&amp;VAR:QUERY=KFBfUFJJQ0UoNDA2MDMpLShGRl9DQVNIX1NUKFFUUiw0MDYwMykvUF9DT01fU0hTX09VVCg0MDYwMykpKS9GR","V9FU1RJTUFURSgnRVBTJywnTUVBTicsJ0FOTlVBTF9ST0xMJywnKzEnLDQwNjAzLCwsJycp&amp;WINDOW=FIRST_POPUP&amp;HEIGHT=450&amp;WIDTH=450&amp;START_MAXIMIZED=FALSE&amp;VAR:CALENDAR=US&amp;VAR:SYMBOL=38259P50&amp;VAR:INDEX=0"}</definedName>
    <definedName name="_1994__FDSAUDITLINK__">{"fdsup://directions/FAT Viewer?action=UPDATE&amp;creator=factset&amp;DYN_ARGS=TRUE&amp;DOC_NAME=FAT:FQL_AUDITING_CLIENT_TEMPLATE.FAT&amp;display_string=Audit&amp;VAR:KEY=UBCNYLABAX&amp;VAR:QUERY=KFBfUFJJQ0UoNDA2MDMpLShGRl9DQVNIX1NUKFFUUiw0MDYwMykvUF9DT01fU0hTX09VVCg0MDYwMykpKS9GR","V9FU1RJTUFURSgnRVBTJywnTUVBTicsJ0FOTlVBTF9ST0xMJywnKzEnLDQwNjAzLCwsJycp&amp;WINDOW=FIRST_POPUP&amp;HEIGHT=450&amp;WIDTH=450&amp;START_MAXIMIZED=FALSE&amp;VAR:CALENDAR=US&amp;VAR:SYMBOL=38259P50&amp;VAR:INDEX=0"}</definedName>
    <definedName name="_1995__FDSAUDITLINK__">{"fdsup://directions/FAT Viewer?action=UPDATE&amp;creator=factset&amp;DYN_ARGS=TRUE&amp;DOC_NAME=FAT:FQL_AUDITING_CLIENT_TEMPLATE.FAT&amp;display_string=Audit&amp;VAR:KEY=YFAHGVAFYT&amp;VAR:QUERY=KFBfUFJJQ0UoNDA2MDIpLShGRl9DQVNIX1NUKFFUUiw0MDYwMikvUF9DT01fU0hTX09VVCg0MDYwMikpKS9GR","V9FU1RJTUFURSgnRVBTJywnTUVBTicsJ0FOTlVBTF9ST0xMJywnKzEnLDQwNjAyLCwsJycp&amp;WINDOW=FIRST_POPUP&amp;HEIGHT=450&amp;WIDTH=450&amp;START_MAXIMIZED=FALSE&amp;VAR:CALENDAR=US&amp;VAR:SYMBOL=38259P50&amp;VAR:INDEX=0"}</definedName>
    <definedName name="_1996__FDSAUDITLINK__">{"fdsup://directions/FAT Viewer?action=UPDATE&amp;creator=factset&amp;DYN_ARGS=TRUE&amp;DOC_NAME=FAT:FQL_AUDITING_CLIENT_TEMPLATE.FAT&amp;display_string=Audit&amp;VAR:KEY=YFAHGVAFYT&amp;VAR:QUERY=KFBfUFJJQ0UoNDA2MDIpLShGRl9DQVNIX1NUKFFUUiw0MDYwMikvUF9DT01fU0hTX09VVCg0MDYwMikpKS9GR","V9FU1RJTUFURSgnRVBTJywnTUVBTicsJ0FOTlVBTF9ST0xMJywnKzEnLDQwNjAyLCwsJycp&amp;WINDOW=FIRST_POPUP&amp;HEIGHT=450&amp;WIDTH=450&amp;START_MAXIMIZED=FALSE&amp;VAR:CALENDAR=US&amp;VAR:SYMBOL=38259P50&amp;VAR:INDEX=0"}</definedName>
    <definedName name="_1997__FDSAUDITLINK__">{"fdsup://directions/FAT Viewer?action=UPDATE&amp;creator=factset&amp;DYN_ARGS=TRUE&amp;DOC_NAME=FAT:FQL_AUDITING_CLIENT_TEMPLATE.FAT&amp;display_string=Audit&amp;VAR:KEY=ILYTIDIPCL&amp;VAR:QUERY=KFBfUFJJQ0UoNDA2MDEpLShGRl9DQVNIX1NUKFFUUiw0MDYwMSkvUF9DT01fU0hTX09VVCg0MDYwMSkpKS9GR","V9FU1RJTUFURSgnRVBTJywnTUVBTicsJ0FOTlVBTF9ST0xMJywnKzEnLDQwNjAxLCwsJycp&amp;WINDOW=FIRST_POPUP&amp;HEIGHT=450&amp;WIDTH=450&amp;START_MAXIMIZED=FALSE&amp;VAR:CALENDAR=US&amp;VAR:SYMBOL=38259P50&amp;VAR:INDEX=0"}</definedName>
    <definedName name="_1998__FDSAUDITLINK__">{"fdsup://directions/FAT Viewer?action=UPDATE&amp;creator=factset&amp;DYN_ARGS=TRUE&amp;DOC_NAME=FAT:FQL_AUDITING_CLIENT_TEMPLATE.FAT&amp;display_string=Audit&amp;VAR:KEY=ILYTIDIPCL&amp;VAR:QUERY=KFBfUFJJQ0UoNDA2MDEpLShGRl9DQVNIX1NUKFFUUiw0MDYwMSkvUF9DT01fU0hTX09VVCg0MDYwMSkpKS9GR","V9FU1RJTUFURSgnRVBTJywnTUVBTicsJ0FOTlVBTF9ST0xMJywnKzEnLDQwNjAxLCwsJycp&amp;WINDOW=FIRST_POPUP&amp;HEIGHT=450&amp;WIDTH=450&amp;START_MAXIMIZED=FALSE&amp;VAR:CALENDAR=US&amp;VAR:SYMBOL=38259P50&amp;VAR:INDEX=0"}</definedName>
    <definedName name="_1999__FDSAUDITLINK__">{"fdsup://directions/FAT Viewer?action=UPDATE&amp;creator=factset&amp;DYN_ARGS=TRUE&amp;DOC_NAME=FAT:FQL_AUDITING_CLIENT_TEMPLATE.FAT&amp;display_string=Audit&amp;VAR:KEY=KTYVGXEBCD&amp;VAR:QUERY=KFBfUFJJQ0UoNDA2MDApLShGRl9DQVNIX1NUKFFUUiw0MDYwMCkvUF9DT01fU0hTX09VVCg0MDYwMCkpKS9GR","V9FU1RJTUFURSgnRVBTJywnTUVBTicsJ0FOTlVBTF9ST0xMJywnKzEnLDQwNjAwLCwsJycp&amp;WINDOW=FIRST_POPUP&amp;HEIGHT=450&amp;WIDTH=450&amp;START_MAXIMIZED=FALSE&amp;VAR:CALENDAR=US&amp;VAR:SYMBOL=38259P50&amp;VAR:INDEX=0"}</definedName>
    <definedName name="_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13.213528&amp;VAR:V0=13.655478&amp;VAR:V1=12.024422&amp;VAR:Y0=2011&amp;VAR:Y1=2012&amp;VAR:P=1325.826718&amp;VAR:DATE=20110331&amp;VAR:THRESH=-|-|","-|-|-|-|-"}</definedName>
    <definedName name="_2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0.745205&amp;VAR:V=14.576431&amp;VAR:V0=15.703111&amp;VAR:V1=14.227407&amp;VAR:Y0=2006&amp;VAR:Y1=2007&amp;VAR:P=1335.847000&amp;VAR:DATE=20060929&amp;VAR:THRESH=-|-|","-|-|-|-|-"}</definedName>
    <definedName name="_20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14.322867&amp;VAR:V0=18.259919&amp;VAR:V1=14.322867&amp;VAR:Y0=2009&amp;VAR:Y1=2010&amp;VAR:P=1115.102681&amp;VAR:DATE=20091231&amp;VAR:THRESH=-|-|","-|-|-|-|-"}</definedName>
    <definedName name="_2000__FDSAUDITLINK__">{"fdsup://directions/FAT Viewer?action=UPDATE&amp;creator=factset&amp;DYN_ARGS=TRUE&amp;DOC_NAME=FAT:FQL_AUDITING_CLIENT_TEMPLATE.FAT&amp;display_string=Audit&amp;VAR:KEY=KTYVGXEBCD&amp;VAR:QUERY=KFBfUFJJQ0UoNDA2MDApLShGRl9DQVNIX1NUKFFUUiw0MDYwMCkvUF9DT01fU0hTX09VVCg0MDYwMCkpKS9GR","V9FU1RJTUFURSgnRVBTJywnTUVBTicsJ0FOTlVBTF9ST0xMJywnKzEnLDQwNjAwLCwsJycp&amp;WINDOW=FIRST_POPUP&amp;HEIGHT=450&amp;WIDTH=450&amp;START_MAXIMIZED=FALSE&amp;VAR:CALENDAR=US&amp;VAR:SYMBOL=38259P50&amp;VAR:INDEX=0"}</definedName>
    <definedName name="_2001__FDSAUDITLINK__">{"fdsup://directions/FAT Viewer?action=UPDATE&amp;creator=factset&amp;DYN_ARGS=TRUE&amp;DOC_NAME=FAT:FQL_AUDITING_CLIENT_TEMPLATE.FAT&amp;display_string=Audit&amp;VAR:KEY=GLAXGFKJCV&amp;VAR:QUERY=KFBfUFJJQ0UoNDA1OTkpLShGRl9DQVNIX1NUKFFUUiw0MDU5OSkvUF9DT01fU0hTX09VVCg0MDU5OSkpKS9GR","V9FU1RJTUFURSgnRVBTJywnTUVBTicsJ0FOTlVBTF9ST0xMJywnKzEnLDQwNTk5LCwsJycp&amp;WINDOW=FIRST_POPUP&amp;HEIGHT=450&amp;WIDTH=450&amp;START_MAXIMIZED=FALSE&amp;VAR:CALENDAR=US&amp;VAR:SYMBOL=38259P50&amp;VAR:INDEX=0"}</definedName>
    <definedName name="_2002__FDSAUDITLINK__">{"fdsup://directions/FAT Viewer?action=UPDATE&amp;creator=factset&amp;DYN_ARGS=TRUE&amp;DOC_NAME=FAT:FQL_AUDITING_CLIENT_TEMPLATE.FAT&amp;display_string=Audit&amp;VAR:KEY=GLAXGFKJCV&amp;VAR:QUERY=KFBfUFJJQ0UoNDA1OTkpLShGRl9DQVNIX1NUKFFUUiw0MDU5OSkvUF9DT01fU0hTX09VVCg0MDU5OSkpKS9GR","V9FU1RJTUFURSgnRVBTJywnTUVBTicsJ0FOTlVBTF9ST0xMJywnKzEnLDQwNTk5LCwsJycp&amp;WINDOW=FIRST_POPUP&amp;HEIGHT=450&amp;WIDTH=450&amp;START_MAXIMIZED=FALSE&amp;VAR:CALENDAR=US&amp;VAR:SYMBOL=38259P50&amp;VAR:INDEX=0"}</definedName>
    <definedName name="_2003__FDSAUDITLINK__">{"fdsup://directions/FAT Viewer?action=UPDATE&amp;creator=factset&amp;DYN_ARGS=TRUE&amp;DOC_NAME=FAT:FQL_AUDITING_CLIENT_TEMPLATE.FAT&amp;display_string=Audit&amp;VAR:KEY=ELWJCFUNMN&amp;VAR:QUERY=KFBfUFJJQ0UoNDA1OTgpLShGRl9DQVNIX1NUKFFUUiw0MDU5OCkvUF9DT01fU0hTX09VVCg0MDU5OCkpKS9GR","V9FU1RJTUFURSgnRVBTJywnTUVBTicsJ0FOTlVBTF9ST0xMJywnKzEnLDQwNTk4LCwsJycp&amp;WINDOW=FIRST_POPUP&amp;HEIGHT=450&amp;WIDTH=450&amp;START_MAXIMIZED=FALSE&amp;VAR:CALENDAR=US&amp;VAR:SYMBOL=38259P50&amp;VAR:INDEX=0"}</definedName>
    <definedName name="_2004__FDSAUDITLINK__">{"fdsup://directions/FAT Viewer?action=UPDATE&amp;creator=factset&amp;DYN_ARGS=TRUE&amp;DOC_NAME=FAT:FQL_AUDITING_CLIENT_TEMPLATE.FAT&amp;display_string=Audit&amp;VAR:KEY=ELWJCFUNMN&amp;VAR:QUERY=KFBfUFJJQ0UoNDA1OTgpLShGRl9DQVNIX1NUKFFUUiw0MDU5OCkvUF9DT01fU0hTX09VVCg0MDU5OCkpKS9GR","V9FU1RJTUFURSgnRVBTJywnTUVBTicsJ0FOTlVBTF9ST0xMJywnKzEnLDQwNTk4LCwsJycp&amp;WINDOW=FIRST_POPUP&amp;HEIGHT=450&amp;WIDTH=450&amp;START_MAXIMIZED=FALSE&amp;VAR:CALENDAR=US&amp;VAR:SYMBOL=38259P50&amp;VAR:INDEX=0"}</definedName>
    <definedName name="_2005__FDSAUDITLINK__">{"fdsup://directions/FAT Viewer?action=UPDATE&amp;creator=factset&amp;DYN_ARGS=TRUE&amp;DOC_NAME=FAT:FQL_AUDITING_CLIENT_TEMPLATE.FAT&amp;display_string=Audit&amp;VAR:KEY=KPAZSZILEV&amp;VAR:QUERY=KFBfUFJJQ0UoNDA1OTcpLShGRl9DQVNIX1NUKFFUUiw0MDU5NykvUF9DT01fU0hTX09VVCg0MDU5NykpKS9GR","V9FU1RJTUFURSgnRVBTJywnTUVBTicsJ0FOTlVBTF9ST0xMJywnKzEnLDQwNTk3LCwsJycp&amp;WINDOW=FIRST_POPUP&amp;HEIGHT=450&amp;WIDTH=450&amp;START_MAXIMIZED=FALSE&amp;VAR:CALENDAR=US&amp;VAR:SYMBOL=38259P50&amp;VAR:INDEX=0"}</definedName>
    <definedName name="_2006__FDSAUDITLINK__">{"fdsup://directions/FAT Viewer?action=UPDATE&amp;creator=factset&amp;DYN_ARGS=TRUE&amp;DOC_NAME=FAT:FQL_AUDITING_CLIENT_TEMPLATE.FAT&amp;display_string=Audit&amp;VAR:KEY=KPAZSZILEV&amp;VAR:QUERY=KFBfUFJJQ0UoNDA1OTcpLShGRl9DQVNIX1NUKFFUUiw0MDU5NykvUF9DT01fU0hTX09VVCg0MDU5NykpKS9GR","V9FU1RJTUFURSgnRVBTJywnTUVBTicsJ0FOTlVBTF9ST0xMJywnKzEnLDQwNTk3LCwsJycp&amp;WINDOW=FIRST_POPUP&amp;HEIGHT=450&amp;WIDTH=450&amp;START_MAXIMIZED=FALSE&amp;VAR:CALENDAR=US&amp;VAR:SYMBOL=38259P50&amp;VAR:INDEX=0"}</definedName>
    <definedName name="_2007__FDSAUDITLINK__">{"fdsup://directions/FAT Viewer?action=UPDATE&amp;creator=factset&amp;DYN_ARGS=TRUE&amp;DOC_NAME=FAT:FQL_AUDITING_CLIENT_TEMPLATE.FAT&amp;display_string=Audit&amp;VAR:KEY=APKJGZQPQH&amp;VAR:QUERY=KFBfUFJJQ0UoNDA1OTYpLShGRl9DQVNIX1NUKFFUUiw0MDU5NikvUF9DT01fU0hTX09VVCg0MDU5NikpKS9GR","V9FU1RJTUFURSgnRVBTJywnTUVBTicsJ0FOTlVBTF9ST0xMJywnKzEnLDQwNTk2LCwsJycp&amp;WINDOW=FIRST_POPUP&amp;HEIGHT=450&amp;WIDTH=450&amp;START_MAXIMIZED=FALSE&amp;VAR:CALENDAR=US&amp;VAR:SYMBOL=38259P50&amp;VAR:INDEX=0"}</definedName>
    <definedName name="_2008__FDSAUDITLINK__">{"fdsup://directions/FAT Viewer?action=UPDATE&amp;creator=factset&amp;DYN_ARGS=TRUE&amp;DOC_NAME=FAT:FQL_AUDITING_CLIENT_TEMPLATE.FAT&amp;display_string=Audit&amp;VAR:KEY=APKJGZQPQH&amp;VAR:QUERY=KFBfUFJJQ0UoNDA1OTYpLShGRl9DQVNIX1NUKFFUUiw0MDU5NikvUF9DT01fU0hTX09VVCg0MDU5NikpKS9GR","V9FU1RJTUFURSgnRVBTJywnTUVBTicsJ0FOTlVBTF9ST0xMJywnKzEnLDQwNTk2LCwsJycp&amp;WINDOW=FIRST_POPUP&amp;HEIGHT=450&amp;WIDTH=450&amp;START_MAXIMIZED=FALSE&amp;VAR:CALENDAR=US&amp;VAR:SYMBOL=38259P50&amp;VAR:INDEX=0"}</definedName>
    <definedName name="_2009__FDSAUDITLINK__">{"fdsup://directions/FAT Viewer?action=UPDATE&amp;creator=factset&amp;DYN_ARGS=TRUE&amp;DOC_NAME=FAT:FQL_AUDITING_CLIENT_TEMPLATE.FAT&amp;display_string=Audit&amp;VAR:KEY=WTYVSNCJKF&amp;VAR:QUERY=KFBfUFJJQ0UoNDA1OTUpLShGRl9DQVNIX1NUKFFUUiw0MDU5NSkvUF9DT01fU0hTX09VVCg0MDU5NSkpKS9GR","V9FU1RJTUFURSgnRVBTJywnTUVBTicsJ0FOTlVBTF9ST0xMJywnKzEnLDQwNTk1LCwsJycp&amp;WINDOW=FIRST_POPUP&amp;HEIGHT=450&amp;WIDTH=450&amp;START_MAXIMIZED=FALSE&amp;VAR:CALENDAR=US&amp;VAR:SYMBOL=38259P50&amp;VAR:INDEX=0"}</definedName>
    <definedName name="_20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14.831741&amp;VAR:V0=17.624895&amp;VAR:V1=14.079790&amp;VAR:Y0=2009&amp;VAR:Y1=2010&amp;VAR:P=1057.078558&amp;VAR:DATE=20090930&amp;VAR:THRESH=-|-|","-|-|-|-|-"}</definedName>
    <definedName name="_2010__FDSAUDITLINK__">{"fdsup://directions/FAT Viewer?action=UPDATE&amp;creator=factset&amp;DYN_ARGS=TRUE&amp;DOC_NAME=FAT:FQL_AUDITING_CLIENT_TEMPLATE.FAT&amp;display_string=Audit&amp;VAR:KEY=WTYVSNCJKF&amp;VAR:QUERY=KFBfUFJJQ0UoNDA1OTUpLShGRl9DQVNIX1NUKFFUUiw0MDU5NSkvUF9DT01fU0hTX09VVCg0MDU5NSkpKS9GR","V9FU1RJTUFURSgnRVBTJywnTUVBTicsJ0FOTlVBTF9ST0xMJywnKzEnLDQwNTk1LCwsJycp&amp;WINDOW=FIRST_POPUP&amp;HEIGHT=450&amp;WIDTH=450&amp;START_MAXIMIZED=FALSE&amp;VAR:CALENDAR=US&amp;VAR:SYMBOL=38259P50&amp;VAR:INDEX=0"}</definedName>
    <definedName name="_2011__FDSAUDITLINK__">{"fdsup://directions/FAT Viewer?action=UPDATE&amp;creator=factset&amp;DYN_ARGS=TRUE&amp;DOC_NAME=FAT:FQL_AUDITING_CLIENT_TEMPLATE.FAT&amp;display_string=Audit&amp;VAR:KEY=MJORGPUFSR&amp;VAR:QUERY=KFBfUFJJQ0UoNDA1OTQpLShGRl9DQVNIX1NUKFFUUiw0MDU5NCkvUF9DT01fU0hTX09VVCg0MDU5NCkpKS9GR","V9FU1RJTUFURSgnRVBTJywnTUVBTicsJ0FOTlVBTF9ST0xMJywnKzEnLDQwNTk0LCwsJycp&amp;WINDOW=FIRST_POPUP&amp;HEIGHT=450&amp;WIDTH=450&amp;START_MAXIMIZED=FALSE&amp;VAR:CALENDAR=US&amp;VAR:SYMBOL=38259P50&amp;VAR:INDEX=0"}</definedName>
    <definedName name="_2012__FDSAUDITLINK__">{"fdsup://directions/FAT Viewer?action=UPDATE&amp;creator=factset&amp;DYN_ARGS=TRUE&amp;DOC_NAME=FAT:FQL_AUDITING_CLIENT_TEMPLATE.FAT&amp;display_string=Audit&amp;VAR:KEY=MJORGPUFSR&amp;VAR:QUERY=KFBfUFJJQ0UoNDA1OTQpLShGRl9DQVNIX1NUKFFUUiw0MDU5NCkvUF9DT01fU0hTX09VVCg0MDU5NCkpKS9GR","V9FU1RJTUFURSgnRVBTJywnTUVBTicsJ0FOTlVBTF9ST0xMJywnKzEnLDQwNTk0LCwsJycp&amp;WINDOW=FIRST_POPUP&amp;HEIGHT=450&amp;WIDTH=450&amp;START_MAXIMIZED=FALSE&amp;VAR:CALENDAR=US&amp;VAR:SYMBOL=38259P50&amp;VAR:INDEX=0"}</definedName>
    <definedName name="_2013__FDSAUDITLINK__">{"fdsup://directions/FAT Viewer?action=UPDATE&amp;creator=factset&amp;DYN_ARGS=TRUE&amp;DOC_NAME=FAT:FQL_AUDITING_CLIENT_TEMPLATE.FAT&amp;display_string=Audit&amp;VAR:KEY=KTSNYFQHWV&amp;VAR:QUERY=KFBfUFJJQ0UoNDA1OTMpLShGRl9DQVNIX1NUKFFUUiw0MDU5MykvUF9DT01fU0hTX09VVCg0MDU5MykpKS9GR","V9FU1RJTUFURSgnRVBTJywnTUVBTicsJ0FOTlVBTF9ST0xMJywnKzEnLDQwNTkzLCwsJycp&amp;WINDOW=FIRST_POPUP&amp;HEIGHT=450&amp;WIDTH=450&amp;START_MAXIMIZED=FALSE&amp;VAR:CALENDAR=US&amp;VAR:SYMBOL=38259P50&amp;VAR:INDEX=0"}</definedName>
    <definedName name="_2014__FDSAUDITLINK__">{"fdsup://directions/FAT Viewer?action=UPDATE&amp;creator=factset&amp;DYN_ARGS=TRUE&amp;DOC_NAME=FAT:FQL_AUDITING_CLIENT_TEMPLATE.FAT&amp;display_string=Audit&amp;VAR:KEY=KTSNYFQHWV&amp;VAR:QUERY=KFBfUFJJQ0UoNDA1OTMpLShGRl9DQVNIX1NUKFFUUiw0MDU5MykvUF9DT01fU0hTX09VVCg0MDU5MykpKS9GR","V9FU1RJTUFURSgnRVBTJywnTUVBTicsJ0FOTlVBTF9ST0xMJywnKzEnLDQwNTkzLCwsJycp&amp;WINDOW=FIRST_POPUP&amp;HEIGHT=450&amp;WIDTH=450&amp;START_MAXIMIZED=FALSE&amp;VAR:CALENDAR=US&amp;VAR:SYMBOL=38259P50&amp;VAR:INDEX=0"}</definedName>
    <definedName name="_2015__FDSAUDITLINK__">{"fdsup://directions/FAT Viewer?action=UPDATE&amp;creator=factset&amp;DYN_ARGS=TRUE&amp;DOC_NAME=FAT:FQL_AUDITING_CLIENT_TEMPLATE.FAT&amp;display_string=Audit&amp;VAR:KEY=WDGPSPKNQJ&amp;VAR:QUERY=KFBfUFJJQ0UoNDA1OTIpLShGRl9DQVNIX1NUKFFUUiw0MDU5MikvUF9DT01fU0hTX09VVCg0MDU5MikpKS9GR","V9FU1RJTUFURSgnRVBTJywnTUVBTicsJ0FOTlVBTF9ST0xMJywnKzEnLDQwNTkyLCwsJycp&amp;WINDOW=FIRST_POPUP&amp;HEIGHT=450&amp;WIDTH=450&amp;START_MAXIMIZED=FALSE&amp;VAR:CALENDAR=US&amp;VAR:SYMBOL=38259P50&amp;VAR:INDEX=0"}</definedName>
    <definedName name="_2016__FDSAUDITLINK__">{"fdsup://directions/FAT Viewer?action=UPDATE&amp;creator=factset&amp;DYN_ARGS=TRUE&amp;DOC_NAME=FAT:FQL_AUDITING_CLIENT_TEMPLATE.FAT&amp;display_string=Audit&amp;VAR:KEY=WDGPSPKNQJ&amp;VAR:QUERY=KFBfUFJJQ0UoNDA1OTIpLShGRl9DQVNIX1NUKFFUUiw0MDU5MikvUF9DT01fU0hTX09VVCg0MDU5MikpKS9GR","V9FU1RJTUFURSgnRVBTJywnTUVBTicsJ0FOTlVBTF9ST0xMJywnKzEnLDQwNTkyLCwsJycp&amp;WINDOW=FIRST_POPUP&amp;HEIGHT=450&amp;WIDTH=450&amp;START_MAXIMIZED=FALSE&amp;VAR:CALENDAR=US&amp;VAR:SYMBOL=38259P50&amp;VAR:INDEX=0"}</definedName>
    <definedName name="_2017__FDSAUDITLINK__">{"fdsup://directions/FAT Viewer?action=UPDATE&amp;creator=factset&amp;DYN_ARGS=TRUE&amp;DOC_NAME=FAT:FQL_AUDITING_CLIENT_TEMPLATE.FAT&amp;display_string=Audit&amp;VAR:KEY=SVKBGDUPGD&amp;VAR:QUERY=KFBfUFJJQ0UoNDA1OTEpLShGRl9DQVNIX1NUKFFUUiw0MDU5MSkvUF9DT01fU0hTX09VVCg0MDU5MSkpKS9GR","V9FU1RJTUFURSgnRVBTJywnTUVBTicsJ0FOTlVBTF9ST0xMJywnKzEnLDQwNTkxLCwsJycp&amp;WINDOW=FIRST_POPUP&amp;HEIGHT=450&amp;WIDTH=450&amp;START_MAXIMIZED=FALSE&amp;VAR:CALENDAR=US&amp;VAR:SYMBOL=38259P50&amp;VAR:INDEX=0"}</definedName>
    <definedName name="_2018__FDSAUDITLINK__">{"fdsup://directions/FAT Viewer?action=UPDATE&amp;creator=factset&amp;DYN_ARGS=TRUE&amp;DOC_NAME=FAT:FQL_AUDITING_CLIENT_TEMPLATE.FAT&amp;display_string=Audit&amp;VAR:KEY=SVKBGDUPGD&amp;VAR:QUERY=KFBfUFJJQ0UoNDA1OTEpLShGRl9DQVNIX1NUKFFUUiw0MDU5MSkvUF9DT01fU0hTX09VVCg0MDU5MSkpKS9GR","V9FU1RJTUFURSgnRVBTJywnTUVBTicsJ0FOTlVBTF9ST0xMJywnKzEnLDQwNTkxLCwsJycp&amp;WINDOW=FIRST_POPUP&amp;HEIGHT=450&amp;WIDTH=450&amp;START_MAXIMIZED=FALSE&amp;VAR:CALENDAR=US&amp;VAR:SYMBOL=38259P50&amp;VAR:INDEX=0"}</definedName>
    <definedName name="_2019__FDSAUDITLINK__">{"fdsup://directions/FAT Viewer?action=UPDATE&amp;creator=factset&amp;DYN_ARGS=TRUE&amp;DOC_NAME=FAT:FQL_AUDITING_CLIENT_TEMPLATE.FAT&amp;display_string=Audit&amp;VAR:KEY=IVQTSHCRMR&amp;VAR:QUERY=KFBfUFJJQ0UoNDA1OTApLShGRl9DQVNIX1NUKFFUUiw0MDU5MCkvUF9DT01fU0hTX09VVCg0MDU5MCkpKS9GR","V9FU1RJTUFURSgnRVBTJywnTUVBTicsJ0FOTlVBTF9ST0xMJywnKzEnLDQwNTkwLCwsJycp&amp;WINDOW=FIRST_POPUP&amp;HEIGHT=450&amp;WIDTH=450&amp;START_MAXIMIZED=FALSE&amp;VAR:CALENDAR=US&amp;VAR:SYMBOL=38259P50&amp;VAR:INDEX=0"}</definedName>
    <definedName name="_20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13.771984&amp;VAR:V0=15.493878&amp;VAR:V1=12.374019&amp;VAR:Y0=2009&amp;VAR:Y1=2010&amp;VAR:P=919.323942&amp;VAR:DATE=20090630&amp;VAR:THRESH=-|-|-","|-|-|-|-"}</definedName>
    <definedName name="_2020__FDSAUDITLINK__">{"fdsup://directions/FAT Viewer?action=UPDATE&amp;creator=factset&amp;DYN_ARGS=TRUE&amp;DOC_NAME=FAT:FQL_AUDITING_CLIENT_TEMPLATE.FAT&amp;display_string=Audit&amp;VAR:KEY=IVQTSHCRMR&amp;VAR:QUERY=KFBfUFJJQ0UoNDA1OTApLShGRl9DQVNIX1NUKFFUUiw0MDU5MCkvUF9DT01fU0hTX09VVCg0MDU5MCkpKS9GR","V9FU1RJTUFURSgnRVBTJywnTUVBTicsJ0FOTlVBTF9ST0xMJywnKzEnLDQwNTkwLCwsJycp&amp;WINDOW=FIRST_POPUP&amp;HEIGHT=450&amp;WIDTH=450&amp;START_MAXIMIZED=FALSE&amp;VAR:CALENDAR=US&amp;VAR:SYMBOL=38259P50&amp;VAR:INDEX=0"}</definedName>
    <definedName name="_2021__FDSAUDITLINK__">{"fdsup://directions/FAT Viewer?action=UPDATE&amp;creator=factset&amp;DYN_ARGS=TRUE&amp;DOC_NAME=FAT:FQL_AUDITING_CLIENT_TEMPLATE.FAT&amp;display_string=Audit&amp;VAR:KEY=STANIHOTOV&amp;VAR:QUERY=KFBfUFJJQ0UoNDA1ODkpLShGRl9DQVNIX1NUKFFUUiw0MDU4OSkvUF9DT01fU0hTX09VVCg0MDU4OSkpKS9GR","V9FU1RJTUFURSgnRVBTJywnTUVBTicsJ0FOTlVBTF9ST0xMJywnKzEnLDQwNTg5LCwsJycp&amp;WINDOW=FIRST_POPUP&amp;HEIGHT=450&amp;WIDTH=450&amp;START_MAXIMIZED=FALSE&amp;VAR:CALENDAR=US&amp;VAR:SYMBOL=38259P50&amp;VAR:INDEX=0"}</definedName>
    <definedName name="_2022__FDSAUDITLINK__">{"fdsup://directions/FAT Viewer?action=UPDATE&amp;creator=factset&amp;DYN_ARGS=TRUE&amp;DOC_NAME=FAT:FQL_AUDITING_CLIENT_TEMPLATE.FAT&amp;display_string=Audit&amp;VAR:KEY=STANIHOTOV&amp;VAR:QUERY=KFBfUFJJQ0UoNDA1ODkpLShGRl9DQVNIX1NUKFFUUiw0MDU4OSkvUF9DT01fU0hTX09VVCg0MDU4OSkpKS9GR","V9FU1RJTUFURSgnRVBTJywnTUVBTicsJ0FOTlVBTF9ST0xMJywnKzEnLDQwNTg5LCwsJycp&amp;WINDOW=FIRST_POPUP&amp;HEIGHT=450&amp;WIDTH=450&amp;START_MAXIMIZED=FALSE&amp;VAR:CALENDAR=US&amp;VAR:SYMBOL=38259P50&amp;VAR:INDEX=0"}</definedName>
    <definedName name="_2023__FDSAUDITLINK__">{"fdsup://directions/FAT Viewer?action=UPDATE&amp;creator=factset&amp;DYN_ARGS=TRUE&amp;DOC_NAME=FAT:FQL_AUDITING_CLIENT_TEMPLATE.FAT&amp;display_string=Audit&amp;VAR:KEY=SRSXEREFYH&amp;VAR:QUERY=KFBfUFJJQ0UoNDA1ODgpLShGRl9DQVNIX1NUKFFUUiw0MDU4OCkvUF9DT01fU0hTX09VVCg0MDU4OCkpKS9GR","V9FU1RJTUFURSgnRVBTJywnTUVBTicsJ0FOTlVBTF9ST0xMJywnKzEnLDQwNTg4LCwsJycp&amp;WINDOW=FIRST_POPUP&amp;HEIGHT=450&amp;WIDTH=450&amp;START_MAXIMIZED=FALSE&amp;VAR:CALENDAR=US&amp;VAR:SYMBOL=38259P50&amp;VAR:INDEX=0"}</definedName>
    <definedName name="_2024__FDSAUDITLINK__">{"fdsup://directions/FAT Viewer?action=UPDATE&amp;creator=factset&amp;DYN_ARGS=TRUE&amp;DOC_NAME=FAT:FQL_AUDITING_CLIENT_TEMPLATE.FAT&amp;display_string=Audit&amp;VAR:KEY=SRSXEREFYH&amp;VAR:QUERY=KFBfUFJJQ0UoNDA1ODgpLShGRl9DQVNIX1NUKFFUUiw0MDU4OCkvUF9DT01fU0hTX09VVCg0MDU4OCkpKS9GR","V9FU1RJTUFURSgnRVBTJywnTUVBTicsJ0FOTlVBTF9ST0xMJywnKzEnLDQwNTg4LCwsJycp&amp;WINDOW=FIRST_POPUP&amp;HEIGHT=450&amp;WIDTH=450&amp;START_MAXIMIZED=FALSE&amp;VAR:CALENDAR=US&amp;VAR:SYMBOL=38259P50&amp;VAR:INDEX=0"}</definedName>
    <definedName name="_2025__FDSAUDITLINK__">{"fdsup://directions/FAT Viewer?action=UPDATE&amp;creator=factset&amp;DYN_ARGS=TRUE&amp;DOC_NAME=FAT:FQL_AUDITING_CLIENT_TEMPLATE.FAT&amp;display_string=Audit&amp;VAR:KEY=EJWBIJSLOZ&amp;VAR:QUERY=KFBfUFJJQ0UoNDA1ODcpLShGRl9DQVNIX1NUKFFUUiw0MDU4NykvUF9DT01fU0hTX09VVCg0MDU4NykpKS9GR","V9FU1RJTUFURSgnRVBTJywnTUVBTicsJ0FOTlVBTF9ST0xMJywnKzEnLDQwNTg3LCwsJycp&amp;WINDOW=FIRST_POPUP&amp;HEIGHT=450&amp;WIDTH=450&amp;START_MAXIMIZED=FALSE&amp;VAR:CALENDAR=US&amp;VAR:SYMBOL=38259P50&amp;VAR:INDEX=0"}</definedName>
    <definedName name="_2026__FDSAUDITLINK__">{"fdsup://directions/FAT Viewer?action=UPDATE&amp;creator=factset&amp;DYN_ARGS=TRUE&amp;DOC_NAME=FAT:FQL_AUDITING_CLIENT_TEMPLATE.FAT&amp;display_string=Audit&amp;VAR:KEY=EJWBIJSLOZ&amp;VAR:QUERY=KFBfUFJJQ0UoNDA1ODcpLShGRl9DQVNIX1NUKFFUUiw0MDU4NykvUF9DT01fU0hTX09VVCg0MDU4NykpKS9GR","V9FU1RJTUFURSgnRVBTJywnTUVBTicsJ0FOTlVBTF9ST0xMJywnKzEnLDQwNTg3LCwsJycp&amp;WINDOW=FIRST_POPUP&amp;HEIGHT=450&amp;WIDTH=450&amp;START_MAXIMIZED=FALSE&amp;VAR:CALENDAR=US&amp;VAR:SYMBOL=38259P50&amp;VAR:INDEX=0"}</definedName>
    <definedName name="_2027__FDSAUDITLINK__">{"fdsup://directions/FAT Viewer?action=UPDATE&amp;creator=factset&amp;DYN_ARGS=TRUE&amp;DOC_NAME=FAT:FQL_AUDITING_CLIENT_TEMPLATE.FAT&amp;display_string=Audit&amp;VAR:KEY=EDQHCLMVKX&amp;VAR:QUERY=KFBfUFJJQ0UoNDA1ODYpLShGRl9DQVNIX1NUKFFUUiw0MDU4NikvUF9DT01fU0hTX09VVCg0MDU4NikpKS9GR","V9FU1RJTUFURSgnRVBTJywnTUVBTicsJ0FOTlVBTF9ST0xMJywnKzEnLDQwNTg2LCwsJycp&amp;WINDOW=FIRST_POPUP&amp;HEIGHT=450&amp;WIDTH=450&amp;START_MAXIMIZED=FALSE&amp;VAR:CALENDAR=US&amp;VAR:SYMBOL=38259P50&amp;VAR:INDEX=0"}</definedName>
    <definedName name="_2028__FDSAUDITLINK__">{"fdsup://directions/FAT Viewer?action=UPDATE&amp;creator=factset&amp;DYN_ARGS=TRUE&amp;DOC_NAME=FAT:FQL_AUDITING_CLIENT_TEMPLATE.FAT&amp;display_string=Audit&amp;VAR:KEY=EDQHCLMVKX&amp;VAR:QUERY=KFBfUFJJQ0UoNDA1ODYpLShGRl9DQVNIX1NUKFFUUiw0MDU4NikvUF9DT01fU0hTX09VVCg0MDU4NikpKS9GR","V9FU1RJTUFURSgnRVBTJywnTUVBTicsJ0FOTlVBTF9ST0xMJywnKzEnLDQwNTg2LCwsJycp&amp;WINDOW=FIRST_POPUP&amp;HEIGHT=450&amp;WIDTH=450&amp;START_MAXIMIZED=FALSE&amp;VAR:CALENDAR=US&amp;VAR:SYMBOL=38259P50&amp;VAR:INDEX=0"}</definedName>
    <definedName name="_2029__FDSAUDITLINK__">{"fdsup://directions/FAT Viewer?action=UPDATE&amp;creator=factset&amp;DYN_ARGS=TRUE&amp;DOC_NAME=FAT:FQL_AUDITING_CLIENT_TEMPLATE.FAT&amp;display_string=Audit&amp;VAR:KEY=OTSBEJGNKJ&amp;VAR:QUERY=KFBfUFJJQ0UoNDA1ODUpLShGRl9DQVNIX1NUKFFUUiw0MDU4NSkvUF9DT01fU0hTX09VVCg0MDU4NSkpKS9GR","V9FU1RJTUFURSgnRVBTJywnTUVBTicsJ0FOTlVBTF9ST0xMJywnKzEnLDQwNTg1LCwsJycp&amp;WINDOW=FIRST_POPUP&amp;HEIGHT=450&amp;WIDTH=450&amp;START_MAXIMIZED=FALSE&amp;VAR:CALENDAR=US&amp;VAR:SYMBOL=38259P50&amp;VAR:INDEX=0"}</definedName>
    <definedName name="_20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12.116971&amp;VAR:V0=12.804566&amp;VAR:V1=10.409046&amp;VAR:Y0=2009&amp;VAR:Y1=2010&amp;VAR:P=797.866805&amp;VAR:DATE=20090331&amp;VAR:THRESH=-|-|-","|-|-|-|-"}</definedName>
    <definedName name="_2030__FDSAUDITLINK__">{"fdsup://directions/FAT Viewer?action=UPDATE&amp;creator=factset&amp;DYN_ARGS=TRUE&amp;DOC_NAME=FAT:FQL_AUDITING_CLIENT_TEMPLATE.FAT&amp;display_string=Audit&amp;VAR:KEY=OTSBEJGNKJ&amp;VAR:QUERY=KFBfUFJJQ0UoNDA1ODUpLShGRl9DQVNIX1NUKFFUUiw0MDU4NSkvUF9DT01fU0hTX09VVCg0MDU4NSkpKS9GR","V9FU1RJTUFURSgnRVBTJywnTUVBTicsJ0FOTlVBTF9ST0xMJywnKzEnLDQwNTg1LCwsJycp&amp;WINDOW=FIRST_POPUP&amp;HEIGHT=450&amp;WIDTH=450&amp;START_MAXIMIZED=FALSE&amp;VAR:CALENDAR=US&amp;VAR:SYMBOL=38259P50&amp;VAR:INDEX=0"}</definedName>
    <definedName name="_2031__FDSAUDITLINK__">{"fdsup://directions/FAT Viewer?action=UPDATE&amp;creator=factset&amp;DYN_ARGS=TRUE&amp;DOC_NAME=FAT:FQL_AUDITING_CLIENT_TEMPLATE.FAT&amp;display_string=Audit&amp;VAR:KEY=SHOFMTKVAH&amp;VAR:QUERY=KFBfUFJJQ0UoNDA1ODQpLShGRl9DQVNIX1NUKFFUUiw0MDU4NCkvUF9DT01fU0hTX09VVCg0MDU4NCkpKS9GR","V9FU1RJTUFURSgnRVBTJywnTUVBTicsJ0FOTlVBTF9ST0xMJywnKzEnLDQwNTg0LCwsJycp&amp;WINDOW=FIRST_POPUP&amp;HEIGHT=450&amp;WIDTH=450&amp;START_MAXIMIZED=FALSE&amp;VAR:CALENDAR=US&amp;VAR:SYMBOL=38259P50&amp;VAR:INDEX=0"}</definedName>
    <definedName name="_2032__FDSAUDITLINK__">{"fdsup://directions/FAT Viewer?action=UPDATE&amp;creator=factset&amp;DYN_ARGS=TRUE&amp;DOC_NAME=FAT:FQL_AUDITING_CLIENT_TEMPLATE.FAT&amp;display_string=Audit&amp;VAR:KEY=SHOFMTKVAH&amp;VAR:QUERY=KFBfUFJJQ0UoNDA1ODQpLShGRl9DQVNIX1NUKFFUUiw0MDU4NCkvUF9DT01fU0hTX09VVCg0MDU4NCkpKS9GR","V9FU1RJTUFURSgnRVBTJywnTUVBTicsJ0FOTlVBTF9ST0xMJywnKzEnLDQwNTg0LCwsJycp&amp;WINDOW=FIRST_POPUP&amp;HEIGHT=450&amp;WIDTH=450&amp;START_MAXIMIZED=FALSE&amp;VAR:CALENDAR=US&amp;VAR:SYMBOL=38259P50&amp;VAR:INDEX=0"}</definedName>
    <definedName name="_2033__FDSAUDITLINK__">{"fdsup://directions/FAT Viewer?action=UPDATE&amp;creator=factset&amp;DYN_ARGS=TRUE&amp;DOC_NAME=FAT:FQL_AUDITING_CLIENT_TEMPLATE.FAT&amp;display_string=Audit&amp;VAR:KEY=EBWFKLKBQF&amp;VAR:QUERY=KFBfUFJJQ0UoNDA1ODMpLShGRl9DQVNIX1NUKFFUUiw0MDU4MykvUF9DT01fU0hTX09VVCg0MDU4MykpKS9GR","V9FU1RJTUFURSgnRVBTJywnTUVBTicsJ0FOTlVBTF9ST0xMJywnKzEnLDQwNTgzLCwsJycp&amp;WINDOW=FIRST_POPUP&amp;HEIGHT=450&amp;WIDTH=450&amp;START_MAXIMIZED=FALSE&amp;VAR:CALENDAR=US&amp;VAR:SYMBOL=38259P50&amp;VAR:INDEX=0"}</definedName>
    <definedName name="_2034__FDSAUDITLINK__">{"fdsup://directions/FAT Viewer?action=UPDATE&amp;creator=factset&amp;DYN_ARGS=TRUE&amp;DOC_NAME=FAT:FQL_AUDITING_CLIENT_TEMPLATE.FAT&amp;display_string=Audit&amp;VAR:KEY=EBWFKLKBQF&amp;VAR:QUERY=KFBfUFJJQ0UoNDA1ODMpLShGRl9DQVNIX1NUKFFUUiw0MDU4MykvUF9DT01fU0hTX09VVCg0MDU4MykpKS9GR","V9FU1RJTUFURSgnRVBTJywnTUVBTicsJ0FOTlVBTF9ST0xMJywnKzEnLDQwNTgzLCwsJycp&amp;WINDOW=FIRST_POPUP&amp;HEIGHT=450&amp;WIDTH=450&amp;START_MAXIMIZED=FALSE&amp;VAR:CALENDAR=US&amp;VAR:SYMBOL=38259P50&amp;VAR:INDEX=0"}</definedName>
    <definedName name="_2035__FDSAUDITLINK__">{"fdsup://directions/FAT Viewer?action=UPDATE&amp;creator=factset&amp;DYN_ARGS=TRUE&amp;DOC_NAME=FAT:FQL_AUDITING_CLIENT_TEMPLATE.FAT&amp;display_string=Audit&amp;VAR:KEY=ENKPAJKHWD&amp;VAR:QUERY=KFBfUFJJQ0UoNDA1ODIpLShGRl9DQVNIX1NUKFFUUiw0MDU4MikvUF9DT01fU0hTX09VVCg0MDU4MikpKS9GR","V9FU1RJTUFURSgnRVBTJywnTUVBTicsJ0FOTlVBTF9ST0xMJywnKzEnLDQwNTgyLCwsJycp&amp;WINDOW=FIRST_POPUP&amp;HEIGHT=450&amp;WIDTH=450&amp;START_MAXIMIZED=FALSE&amp;VAR:CALENDAR=US&amp;VAR:SYMBOL=38259P50&amp;VAR:INDEX=0"}</definedName>
    <definedName name="_2036__FDSAUDITLINK__">{"fdsup://directions/FAT Viewer?action=UPDATE&amp;creator=factset&amp;DYN_ARGS=TRUE&amp;DOC_NAME=FAT:FQL_AUDITING_CLIENT_TEMPLATE.FAT&amp;display_string=Audit&amp;VAR:KEY=ENKPAJKHWD&amp;VAR:QUERY=KFBfUFJJQ0UoNDA1ODIpLShGRl9DQVNIX1NUKFFUUiw0MDU4MikvUF9DT01fU0hTX09VVCg0MDU4MikpKS9GR","V9FU1RJTUFURSgnRVBTJywnTUVBTicsJ0FOTlVBTF9ST0xMJywnKzEnLDQwNTgyLCwsJycp&amp;WINDOW=FIRST_POPUP&amp;HEIGHT=450&amp;WIDTH=450&amp;START_MAXIMIZED=FALSE&amp;VAR:CALENDAR=US&amp;VAR:SYMBOL=38259P50&amp;VAR:INDEX=0"}</definedName>
    <definedName name="_2037__FDSAUDITLINK__">{"fdsup://directions/FAT Viewer?action=UPDATE&amp;creator=factset&amp;DYN_ARGS=TRUE&amp;DOC_NAME=FAT:FQL_AUDITING_CLIENT_TEMPLATE.FAT&amp;display_string=Audit&amp;VAR:KEY=KHOTGXURUB&amp;VAR:QUERY=KFBfUFJJQ0UoNDA1ODEpLShGRl9DQVNIX1NUKFFUUiw0MDU4MSkvUF9DT01fU0hTX09VVCg0MDU4MSkpKS9GR","V9FU1RJTUFURSgnRVBTJywnTUVBTicsJ0FOTlVBTF9ST0xMJywnKzEnLDQwNTgxLCwsJycp&amp;WINDOW=FIRST_POPUP&amp;HEIGHT=450&amp;WIDTH=450&amp;START_MAXIMIZED=FALSE&amp;VAR:CALENDAR=US&amp;VAR:SYMBOL=38259P50&amp;VAR:INDEX=0"}</definedName>
    <definedName name="_2038__FDSAUDITLINK__">{"fdsup://directions/FAT Viewer?action=UPDATE&amp;creator=factset&amp;DYN_ARGS=TRUE&amp;DOC_NAME=FAT:FQL_AUDITING_CLIENT_TEMPLATE.FAT&amp;display_string=Audit&amp;VAR:KEY=KHOTGXURUB&amp;VAR:QUERY=KFBfUFJJQ0UoNDA1ODEpLShGRl9DQVNIX1NUKFFUUiw0MDU4MSkvUF9DT01fU0hTX09VVCg0MDU4MSkpKS9GR","V9FU1RJTUFURSgnRVBTJywnTUVBTicsJ0FOTlVBTF9ST0xMJywnKzEnLDQwNTgxLCwsJycp&amp;WINDOW=FIRST_POPUP&amp;HEIGHT=450&amp;WIDTH=450&amp;START_MAXIMIZED=FALSE&amp;VAR:CALENDAR=US&amp;VAR:SYMBOL=38259P50&amp;VAR:INDEX=0"}</definedName>
    <definedName name="_2039__FDSAUDITLINK__">{"fdsup://directions/FAT Viewer?action=UPDATE&amp;creator=factset&amp;DYN_ARGS=TRUE&amp;DOC_NAME=FAT:FQL_AUDITING_CLIENT_TEMPLATE.FAT&amp;display_string=Audit&amp;VAR:KEY=MDWPKVSHYL&amp;VAR:QUERY=KFBfUFJJQ0UoNDA1ODApLShGRl9DQVNIX1NUKFFUUiw0MDU4MCkvUF9DT01fU0hTX09VVCg0MDU4MCkpKS9GR","V9FU1RJTUFURSgnRVBTJywnTUVBTicsJ0FOTlVBTF9ST0xMJywnKzEnLDQwNTgwLCwsJycp&amp;WINDOW=FIRST_POPUP&amp;HEIGHT=450&amp;WIDTH=450&amp;START_MAXIMIZED=FALSE&amp;VAR:CALENDAR=US&amp;VAR:SYMBOL=38259P50&amp;VAR:INDEX=0"}</definedName>
    <definedName name="_20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11.594580&amp;VAR:V0=11.648858&amp;VAR:V1=11.594580&amp;VAR:Y0=2008&amp;VAR:Y1=2009&amp;VAR:P=903.254921&amp;VAR:DATE=20081231&amp;VAR:THRESH=-|-|-","|-|-|-|-"}</definedName>
    <definedName name="_2040__FDSAUDITLINK__">{"fdsup://directions/FAT Viewer?action=UPDATE&amp;creator=factset&amp;DYN_ARGS=TRUE&amp;DOC_NAME=FAT:FQL_AUDITING_CLIENT_TEMPLATE.FAT&amp;display_string=Audit&amp;VAR:KEY=MDWPKVSHYL&amp;VAR:QUERY=KFBfUFJJQ0UoNDA1ODApLShGRl9DQVNIX1NUKFFUUiw0MDU4MCkvUF9DT01fU0hTX09VVCg0MDU4MCkpKS9GR","V9FU1RJTUFURSgnRVBTJywnTUVBTicsJ0FOTlVBTF9ST0xMJywnKzEnLDQwNTgwLCwsJycp&amp;WINDOW=FIRST_POPUP&amp;HEIGHT=450&amp;WIDTH=450&amp;START_MAXIMIZED=FALSE&amp;VAR:CALENDAR=US&amp;VAR:SYMBOL=38259P50&amp;VAR:INDEX=0"}</definedName>
    <definedName name="_2041__FDSAUDITLINK__">{"fdsup://directions/FAT Viewer?action=UPDATE&amp;creator=factset&amp;DYN_ARGS=TRUE&amp;DOC_NAME=FAT:FQL_AUDITING_CLIENT_TEMPLATE.FAT&amp;display_string=Audit&amp;VAR:KEY=IXWBMJSNKF&amp;VAR:QUERY=KFBfUFJJQ0UoNDA1NzkpLShGRl9DQVNIX1NUKFFUUiw0MDU3OSkvUF9DT01fU0hTX09VVCg0MDU3OSkpKS9GR","V9FU1RJTUFURSgnRVBTJywnTUVBTicsJ0FOTlVBTF9ST0xMJywnKzEnLDQwNTc5LCwsJycp&amp;WINDOW=FIRST_POPUP&amp;HEIGHT=450&amp;WIDTH=450&amp;START_MAXIMIZED=FALSE&amp;VAR:CALENDAR=US&amp;VAR:SYMBOL=38259P50&amp;VAR:INDEX=0"}</definedName>
    <definedName name="_2042__FDSAUDITLINK__">{"fdsup://directions/FAT Viewer?action=UPDATE&amp;creator=factset&amp;DYN_ARGS=TRUE&amp;DOC_NAME=FAT:FQL_AUDITING_CLIENT_TEMPLATE.FAT&amp;display_string=Audit&amp;VAR:KEY=IXWBMJSNKF&amp;VAR:QUERY=KFBfUFJJQ0UoNDA1NzkpLShGRl9DQVNIX1NUKFFUUiw0MDU3OSkvUF9DT01fU0hTX09VVCg0MDU3OSkpKS9GR","V9FU1RJTUFURSgnRVBTJywnTUVBTicsJ0FOTlVBTF9ST0xMJywnKzEnLDQwNTc5LCwsJycp&amp;WINDOW=FIRST_POPUP&amp;HEIGHT=450&amp;WIDTH=450&amp;START_MAXIMIZED=FALSE&amp;VAR:CALENDAR=US&amp;VAR:SYMBOL=38259P50&amp;VAR:INDEX=0"}</definedName>
    <definedName name="_2043__FDSAUDITLINK__">{"fdsup://directions/FAT Viewer?action=UPDATE&amp;creator=factset&amp;DYN_ARGS=TRUE&amp;DOC_NAME=FAT:FQL_AUDITING_CLIENT_TEMPLATE.FAT&amp;display_string=Audit&amp;VAR:KEY=GJWFODYPGH&amp;VAR:QUERY=KFBfUFJJQ0UoNDA1NzgpLShGRl9DQVNIX1NUKFFUUiw0MDU3OCkvUF9DT01fU0hTX09VVCg0MDU3OCkpKS9GR","V9FU1RJTUFURSgnRVBTJywnTUVBTicsJ0FOTlVBTF9ST0xMJywnKzEnLDQwNTc4LCwsJycp&amp;WINDOW=FIRST_POPUP&amp;HEIGHT=450&amp;WIDTH=450&amp;START_MAXIMIZED=FALSE&amp;VAR:CALENDAR=US&amp;VAR:SYMBOL=38259P50&amp;VAR:INDEX=0"}</definedName>
    <definedName name="_2044__FDSAUDITLINK__">{"fdsup://directions/FAT Viewer?action=UPDATE&amp;creator=factset&amp;DYN_ARGS=TRUE&amp;DOC_NAME=FAT:FQL_AUDITING_CLIENT_TEMPLATE.FAT&amp;display_string=Audit&amp;VAR:KEY=GJWFODYPGH&amp;VAR:QUERY=KFBfUFJJQ0UoNDA1NzgpLShGRl9DQVNIX1NUKFFUUiw0MDU3OCkvUF9DT01fU0hTX09VVCg0MDU3OCkpKS9GR","V9FU1RJTUFURSgnRVBTJywnTUVBTicsJ0FOTlVBTF9ST0xMJywnKzEnLDQwNTc4LCwsJycp&amp;WINDOW=FIRST_POPUP&amp;HEIGHT=450&amp;WIDTH=450&amp;START_MAXIMIZED=FALSE&amp;VAR:CALENDAR=US&amp;VAR:SYMBOL=38259P50&amp;VAR:INDEX=0"}</definedName>
    <definedName name="_2045__FDSAUDITLINK__">{"fdsup://directions/FAT Viewer?action=UPDATE&amp;creator=factset&amp;DYN_ARGS=TRUE&amp;DOC_NAME=FAT:FQL_AUDITING_CLIENT_TEMPLATE.FAT&amp;display_string=Audit&amp;VAR:KEY=QNWXKFAJUJ&amp;VAR:QUERY=KFBfUFJJQ0UoNDA1NzcpLShGRl9DQVNIX1NUKFFUUiw0MDU3NykvUF9DT01fU0hTX09VVCg0MDU3NykpKS9GR","V9FU1RJTUFURSgnRVBTJywnTUVBTicsJ0FOTlVBTF9ST0xMJywnKzEnLDQwNTc3LCwsJycp&amp;WINDOW=FIRST_POPUP&amp;HEIGHT=450&amp;WIDTH=450&amp;START_MAXIMIZED=FALSE&amp;VAR:CALENDAR=US&amp;VAR:SYMBOL=38259P50&amp;VAR:INDEX=0"}</definedName>
    <definedName name="_2046__FDSAUDITLINK__">{"fdsup://directions/FAT Viewer?action=UPDATE&amp;creator=factset&amp;DYN_ARGS=TRUE&amp;DOC_NAME=FAT:FQL_AUDITING_CLIENT_TEMPLATE.FAT&amp;display_string=Audit&amp;VAR:KEY=QNWXKFAJUJ&amp;VAR:QUERY=KFBfUFJJQ0UoNDA1NzcpLShGRl9DQVNIX1NUKFFUUiw0MDU3NykvUF9DT01fU0hTX09VVCg0MDU3NykpKS9GR","V9FU1RJTUFURSgnRVBTJywnTUVBTicsJ0FOTlVBTF9ST0xMJywnKzEnLDQwNTc3LCwsJycp&amp;WINDOW=FIRST_POPUP&amp;HEIGHT=450&amp;WIDTH=450&amp;START_MAXIMIZED=FALSE&amp;VAR:CALENDAR=US&amp;VAR:SYMBOL=38259P50&amp;VAR:INDEX=0"}</definedName>
    <definedName name="_2047__FDSAUDITLINK__">{"fdsup://directions/FAT Viewer?action=UPDATE&amp;creator=factset&amp;DYN_ARGS=TRUE&amp;DOC_NAME=FAT:FQL_AUDITING_CLIENT_TEMPLATE.FAT&amp;display_string=Audit&amp;VAR:KEY=UDGTYZETCT&amp;VAR:QUERY=KFBfUFJJQ0UoNDA1NzYpLShGRl9DQVNIX1NUKFFUUiw0MDU3NikvUF9DT01fU0hTX09VVCg0MDU3NikpKS9GR","V9FU1RJTUFURSgnRVBTJywnTUVBTicsJ0FOTlVBTF9ST0xMJywnKzEnLDQwNTc2LCwsJycp&amp;WINDOW=FIRST_POPUP&amp;HEIGHT=450&amp;WIDTH=450&amp;START_MAXIMIZED=FALSE&amp;VAR:CALENDAR=US&amp;VAR:SYMBOL=38259P50&amp;VAR:INDEX=0"}</definedName>
    <definedName name="_2048__FDSAUDITLINK__">{"fdsup://directions/FAT Viewer?action=UPDATE&amp;creator=factset&amp;DYN_ARGS=TRUE&amp;DOC_NAME=FAT:FQL_AUDITING_CLIENT_TEMPLATE.FAT&amp;display_string=Audit&amp;VAR:KEY=UDGTYZETCT&amp;VAR:QUERY=KFBfUFJJQ0UoNDA1NzYpLShGRl9DQVNIX1NUKFFUUiw0MDU3NikvUF9DT01fU0hTX09VVCg0MDU3NikpKS9GR","V9FU1RJTUFURSgnRVBTJywnTUVBTicsJ0FOTlVBTF9ST0xMJywnKzEnLDQwNTc2LCwsJycp&amp;WINDOW=FIRST_POPUP&amp;HEIGHT=450&amp;WIDTH=450&amp;START_MAXIMIZED=FALSE&amp;VAR:CALENDAR=US&amp;VAR:SYMBOL=38259P50&amp;VAR:INDEX=0"}</definedName>
    <definedName name="_2049__FDSAUDITLINK__">{"fdsup://directions/FAT Viewer?action=UPDATE&amp;creator=factset&amp;DYN_ARGS=TRUE&amp;DOC_NAME=FAT:FQL_AUDITING_CLIENT_TEMPLATE.FAT&amp;display_string=Audit&amp;VAR:KEY=ODUFIPYDST&amp;VAR:QUERY=KFBfUFJJQ0UoNDA1NzUpLShGRl9DQVNIX1NUKFFUUiw0MDU3NSkvUF9DT01fU0hTX09VVCg0MDU3NSkpKS9GR","V9FU1RJTUFURSgnRVBTJywnTUVBTicsJ0FOTlVBTF9ST0xMJywnKzEnLDQwNTc1LCwsJycp&amp;WINDOW=FIRST_POPUP&amp;HEIGHT=450&amp;WIDTH=450&amp;START_MAXIMIZED=FALSE&amp;VAR:CALENDAR=US&amp;VAR:SYMBOL=38259P50&amp;VAR:INDEX=0"}</definedName>
    <definedName name="_20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0.748634&amp;VAR:V=11.874289&amp;VAR:V0=13.365776&amp;VAR:V1=11.445449&amp;VAR:Y0=2008&amp;VAR:Y1=2009&amp;VAR:P=1166.361500&amp;VAR:DATE=20080930&amp;VAR:THRESH=-|-|","-|-|-|-|-"}</definedName>
    <definedName name="_2050__FDSAUDITLINK__">{"fdsup://directions/FAT Viewer?action=UPDATE&amp;creator=factset&amp;DYN_ARGS=TRUE&amp;DOC_NAME=FAT:FQL_AUDITING_CLIENT_TEMPLATE.FAT&amp;display_string=Audit&amp;VAR:KEY=ODUFIPYDST&amp;VAR:QUERY=KFBfUFJJQ0UoNDA1NzUpLShGRl9DQVNIX1NUKFFUUiw0MDU3NSkvUF9DT01fU0hTX09VVCg0MDU3NSkpKS9GR","V9FU1RJTUFURSgnRVBTJywnTUVBTicsJ0FOTlVBTF9ST0xMJywnKzEnLDQwNTc1LCwsJycp&amp;WINDOW=FIRST_POPUP&amp;HEIGHT=450&amp;WIDTH=450&amp;START_MAXIMIZED=FALSE&amp;VAR:CALENDAR=US&amp;VAR:SYMBOL=38259P50&amp;VAR:INDEX=0"}</definedName>
    <definedName name="_2051__FDSAUDITLINK__">{"fdsup://directions/FAT Viewer?action=UPDATE&amp;creator=factset&amp;DYN_ARGS=TRUE&amp;DOC_NAME=FAT:FQL_AUDITING_CLIENT_TEMPLATE.FAT&amp;display_string=Audit&amp;VAR:KEY=ODYTIRKFKX&amp;VAR:QUERY=KFBfUFJJQ0UoNDA1NzQpLShGRl9DQVNIX1NUKFFUUiw0MDU3NCkvUF9DT01fU0hTX09VVCg0MDU3NCkpKS9GR","V9FU1RJTUFURSgnRVBTJywnTUVBTicsJ0FOTlVBTF9ST0xMJywnKzEnLDQwNTc0LCwsJycp&amp;WINDOW=FIRST_POPUP&amp;HEIGHT=450&amp;WIDTH=450&amp;START_MAXIMIZED=FALSE&amp;VAR:CALENDAR=US&amp;VAR:SYMBOL=38259P50&amp;VAR:INDEX=0"}</definedName>
    <definedName name="_2052__FDSAUDITLINK__">{"fdsup://directions/FAT Viewer?action=UPDATE&amp;creator=factset&amp;DYN_ARGS=TRUE&amp;DOC_NAME=FAT:FQL_AUDITING_CLIENT_TEMPLATE.FAT&amp;display_string=Audit&amp;VAR:KEY=ODYTIRKFKX&amp;VAR:QUERY=KFBfUFJJQ0UoNDA1NzQpLShGRl9DQVNIX1NUKFFUUiw0MDU3NCkvUF9DT01fU0hTX09VVCg0MDU3NCkpKS9GR","V9FU1RJTUFURSgnRVBTJywnTUVBTicsJ0FOTlVBTF9ST0xMJywnKzEnLDQwNTc0LCwsJycp&amp;WINDOW=FIRST_POPUP&amp;HEIGHT=450&amp;WIDTH=450&amp;START_MAXIMIZED=FALSE&amp;VAR:CALENDAR=US&amp;VAR:SYMBOL=38259P50&amp;VAR:INDEX=0"}</definedName>
    <definedName name="_2053__FDSAUDITLINK__">{"fdsup://directions/FAT Viewer?action=UPDATE&amp;creator=factset&amp;DYN_ARGS=TRUE&amp;DOC_NAME=FAT:FQL_AUDITING_CLIENT_TEMPLATE.FAT&amp;display_string=Audit&amp;VAR:KEY=UNMJSDWBCJ&amp;VAR:QUERY=KFBfUFJJQ0UoNDA1NzMpLShGRl9DQVNIX1NUKFFUUiw0MDU3MykvUF9DT01fU0hTX09VVCg0MDU3MykpKS9GR","V9FU1RJTUFURSgnRVBTJywnTUVBTicsJ0FOTlVBTF9ST0xMJywnKzEnLDQwNTczLCwsJycp&amp;WINDOW=FIRST_POPUP&amp;HEIGHT=450&amp;WIDTH=450&amp;START_MAXIMIZED=FALSE&amp;VAR:CALENDAR=US&amp;VAR:SYMBOL=38259P50&amp;VAR:INDEX=0"}</definedName>
    <definedName name="_2054__FDSAUDITLINK__">{"fdsup://directions/FAT Viewer?action=UPDATE&amp;creator=factset&amp;DYN_ARGS=TRUE&amp;DOC_NAME=FAT:FQL_AUDITING_CLIENT_TEMPLATE.FAT&amp;display_string=Audit&amp;VAR:KEY=UNMJSDWBCJ&amp;VAR:QUERY=KFBfUFJJQ0UoNDA1NzMpLShGRl9DQVNIX1NUKFFUUiw0MDU3MykvUF9DT01fU0hTX09VVCg0MDU3MykpKS9GR","V9FU1RJTUFURSgnRVBTJywnTUVBTicsJ0FOTlVBTF9ST0xMJywnKzEnLDQwNTczLCwsJycp&amp;WINDOW=FIRST_POPUP&amp;HEIGHT=450&amp;WIDTH=450&amp;START_MAXIMIZED=FALSE&amp;VAR:CALENDAR=US&amp;VAR:SYMBOL=38259P50&amp;VAR:INDEX=0"}</definedName>
    <definedName name="_2055__FDSAUDITLINK__">{"fdsup://directions/FAT Viewer?action=UPDATE&amp;creator=factset&amp;DYN_ARGS=TRUE&amp;DOC_NAME=FAT:FQL_AUDITING_CLIENT_TEMPLATE.FAT&amp;display_string=Audit&amp;VAR:KEY=IZGVGROTYP&amp;VAR:QUERY=KFBfUFJJQ0UoNDA1NzIpLShGRl9DQVNIX1NUKFFUUiw0MDU3MikvUF9DT01fU0hTX09VVCg0MDU3MikpKS9GR","V9FU1RJTUFURSgnRVBTJywnTUVBTicsJ0FOTlVBTF9ST0xMJywnKzEnLDQwNTcyLCwsJycp&amp;WINDOW=FIRST_POPUP&amp;HEIGHT=450&amp;WIDTH=450&amp;START_MAXIMIZED=FALSE&amp;VAR:CALENDAR=US&amp;VAR:SYMBOL=38259P50&amp;VAR:INDEX=0"}</definedName>
    <definedName name="_2056__FDSAUDITLINK__">{"fdsup://directions/FAT Viewer?action=UPDATE&amp;creator=factset&amp;DYN_ARGS=TRUE&amp;DOC_NAME=FAT:FQL_AUDITING_CLIENT_TEMPLATE.FAT&amp;display_string=Audit&amp;VAR:KEY=IZGVGROTYP&amp;VAR:QUERY=KFBfUFJJQ0UoNDA1NzIpLShGRl9DQVNIX1NUKFFUUiw0MDU3MikvUF9DT01fU0hTX09VVCg0MDU3MikpKS9GR","V9FU1RJTUFURSgnRVBTJywnTUVBTicsJ0FOTlVBTF9ST0xMJywnKzEnLDQwNTcyLCwsJycp&amp;WINDOW=FIRST_POPUP&amp;HEIGHT=450&amp;WIDTH=450&amp;START_MAXIMIZED=FALSE&amp;VAR:CALENDAR=US&amp;VAR:SYMBOL=38259P50&amp;VAR:INDEX=0"}</definedName>
    <definedName name="_2057__FDSAUDITLINK__">{"fdsup://directions/FAT Viewer?action=UPDATE&amp;creator=factset&amp;DYN_ARGS=TRUE&amp;DOC_NAME=FAT:FQL_AUDITING_CLIENT_TEMPLATE.FAT&amp;display_string=Audit&amp;VAR:KEY=ENEVYVCPQZ&amp;VAR:QUERY=KFBfUFJJQ0UoNDA1NzEpLShGRl9DQVNIX1NUKFFUUiw0MDU3MSkvUF9DT01fU0hTX09VVCg0MDU3MSkpKS9GR","V9FU1RJTUFURSgnRVBTJywnTUVBTicsJ0FOTlVBTF9ST0xMJywnKzEnLDQwNTcxLCwsJycp&amp;WINDOW=FIRST_POPUP&amp;HEIGHT=450&amp;WIDTH=450&amp;START_MAXIMIZED=FALSE&amp;VAR:CALENDAR=US&amp;VAR:SYMBOL=38259P50&amp;VAR:INDEX=0"}</definedName>
    <definedName name="_2058__FDSAUDITLINK__">{"fdsup://directions/FAT Viewer?action=UPDATE&amp;creator=factset&amp;DYN_ARGS=TRUE&amp;DOC_NAME=FAT:FQL_AUDITING_CLIENT_TEMPLATE.FAT&amp;display_string=Audit&amp;VAR:KEY=ENEVYVCPQZ&amp;VAR:QUERY=KFBfUFJJQ0UoNDA1NzEpLShGRl9DQVNIX1NUKFFUUiw0MDU3MSkvUF9DT01fU0hTX09VVCg0MDU3MSkpKS9GR","V9FU1RJTUFURSgnRVBTJywnTUVBTicsJ0FOTlVBTF9ST0xMJywnKzEnLDQwNTcxLCwsJycp&amp;WINDOW=FIRST_POPUP&amp;HEIGHT=450&amp;WIDTH=450&amp;START_MAXIMIZED=FALSE&amp;VAR:CALENDAR=US&amp;VAR:SYMBOL=38259P50&amp;VAR:INDEX=0"}</definedName>
    <definedName name="_2059__FDSAUDITLINK__">{"fdsup://directions/FAT Viewer?action=UPDATE&amp;creator=factset&amp;DYN_ARGS=TRUE&amp;DOC_NAME=FAT:FQL_AUDITING_CLIENT_TEMPLATE.FAT&amp;display_string=Audit&amp;VAR:KEY=OLINQDEFCF&amp;VAR:QUERY=KFBfUFJJQ0UoNDA1NzApLShGRl9DQVNIX1NUKFFUUiw0MDU3MCkvUF9DT01fU0hTX09VVCg0MDU3MCkpKS9GR","V9FU1RJTUFURSgnRVBTJywnTUVBTicsJ0FOTlVBTF9ST0xMJywnKzEnLDQwNTcwLCwsJycp&amp;WINDOW=FIRST_POPUP&amp;HEIGHT=450&amp;WIDTH=450&amp;START_MAXIMIZED=FALSE&amp;VAR:CALENDAR=US&amp;VAR:SYMBOL=38259P50&amp;VAR:INDEX=0"}</definedName>
    <definedName name="_20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0.497268&amp;VAR:V=12.787071&amp;VAR:V0=13.816194&amp;VAR:V1=11.891574&amp;VAR:Y0=2008&amp;VAR:Y1=2009&amp;VAR:P=1280.001200&amp;VAR:DATE=20080630&amp;VAR:THRESH=-|-|","-|-|-|-|-"}</definedName>
    <definedName name="_2060__FDSAUDITLINK__">{"fdsup://directions/FAT Viewer?action=UPDATE&amp;creator=factset&amp;DYN_ARGS=TRUE&amp;DOC_NAME=FAT:FQL_AUDITING_CLIENT_TEMPLATE.FAT&amp;display_string=Audit&amp;VAR:KEY=OLINQDEFCF&amp;VAR:QUERY=KFBfUFJJQ0UoNDA1NzApLShGRl9DQVNIX1NUKFFUUiw0MDU3MCkvUF9DT01fU0hTX09VVCg0MDU3MCkpKS9GR","V9FU1RJTUFURSgnRVBTJywnTUVBTicsJ0FOTlVBTF9ST0xMJywnKzEnLDQwNTcwLCwsJycp&amp;WINDOW=FIRST_POPUP&amp;HEIGHT=450&amp;WIDTH=450&amp;START_MAXIMIZED=FALSE&amp;VAR:CALENDAR=US&amp;VAR:SYMBOL=38259P50&amp;VAR:INDEX=0"}</definedName>
    <definedName name="_2061__FDSAUDITLINK__">{"fdsup://directions/FAT Viewer?action=UPDATE&amp;creator=factset&amp;DYN_ARGS=TRUE&amp;DOC_NAME=FAT:FQL_AUDITING_CLIENT_TEMPLATE.FAT&amp;display_string=Audit&amp;VAR:KEY=QLYXKLCLIF&amp;VAR:QUERY=KFBfUFJJQ0UoNDA1NjkpLShGRl9DQVNIX1NUKFFUUiw0MDU2OSkvUF9DT01fU0hTX09VVCg0MDU2OSkpKS9GR","V9FU1RJTUFURSgnRVBTJywnTUVBTicsJ0FOTlVBTF9ST0xMJywnKzEnLDQwNTY5LCwsJycp&amp;WINDOW=FIRST_POPUP&amp;HEIGHT=450&amp;WIDTH=450&amp;START_MAXIMIZED=FALSE&amp;VAR:CALENDAR=US&amp;VAR:SYMBOL=38259P50&amp;VAR:INDEX=0"}</definedName>
    <definedName name="_2062__FDSAUDITLINK__">{"fdsup://directions/FAT Viewer?action=UPDATE&amp;creator=factset&amp;DYN_ARGS=TRUE&amp;DOC_NAME=FAT:FQL_AUDITING_CLIENT_TEMPLATE.FAT&amp;display_string=Audit&amp;VAR:KEY=QLYXKLCLIF&amp;VAR:QUERY=KFBfUFJJQ0UoNDA1NjkpLShGRl9DQVNIX1NUKFFUUiw0MDU2OSkvUF9DT01fU0hTX09VVCg0MDU2OSkpKS9GR","V9FU1RJTUFURSgnRVBTJywnTUVBTicsJ0FOTlVBTF9ST0xMJywnKzEnLDQwNTY5LCwsJycp&amp;WINDOW=FIRST_POPUP&amp;HEIGHT=450&amp;WIDTH=450&amp;START_MAXIMIZED=FALSE&amp;VAR:CALENDAR=US&amp;VAR:SYMBOL=38259P50&amp;VAR:INDEX=0"}</definedName>
    <definedName name="_2063__FDSAUDITLINK__">{"fdsup://directions/FAT Viewer?action=UPDATE&amp;creator=factset&amp;DYN_ARGS=TRUE&amp;DOC_NAME=FAT:FQL_AUDITING_CLIENT_TEMPLATE.FAT&amp;display_string=Audit&amp;VAR:KEY=YFINUBKBUD&amp;VAR:QUERY=KFBfUFJJQ0UoNDA1NjgpLShGRl9DQVNIX1NUKFFUUiw0MDU2OCkvUF9DT01fU0hTX09VVCg0MDU2OCkpKS9GR","V9FU1RJTUFURSgnRVBTJywnTUVBTicsJ0FOTlVBTF9ST0xMJywnKzEnLDQwNTY4LCwsJycp&amp;WINDOW=FIRST_POPUP&amp;HEIGHT=450&amp;WIDTH=450&amp;START_MAXIMIZED=FALSE&amp;VAR:CALENDAR=US&amp;VAR:SYMBOL=38259P50&amp;VAR:INDEX=0"}</definedName>
    <definedName name="_2064__FDSAUDITLINK__">{"fdsup://directions/FAT Viewer?action=UPDATE&amp;creator=factset&amp;DYN_ARGS=TRUE&amp;DOC_NAME=FAT:FQL_AUDITING_CLIENT_TEMPLATE.FAT&amp;display_string=Audit&amp;VAR:KEY=YFINUBKBUD&amp;VAR:QUERY=KFBfUFJJQ0UoNDA1NjgpLShGRl9DQVNIX1NUKFFUUiw0MDU2OCkvUF9DT01fU0hTX09VVCg0MDU2OCkpKS9GR","V9FU1RJTUFURSgnRVBTJywnTUVBTicsJ0FOTlVBTF9ST0xMJywnKzEnLDQwNTY4LCwsJycp&amp;WINDOW=FIRST_POPUP&amp;HEIGHT=450&amp;WIDTH=450&amp;START_MAXIMIZED=FALSE&amp;VAR:CALENDAR=US&amp;VAR:SYMBOL=38259P50&amp;VAR:INDEX=0"}</definedName>
    <definedName name="_2065__FDSAUDITLINK__">{"fdsup://directions/FAT Viewer?action=UPDATE&amp;creator=factset&amp;DYN_ARGS=TRUE&amp;DOC_NAME=FAT:FQL_AUDITING_CLIENT_TEMPLATE.FAT&amp;display_string=Audit&amp;VAR:KEY=MRALMJUZED&amp;VAR:QUERY=KFBfUFJJQ0UoNDA1NjcpLShGRl9DQVNIX1NUKFFUUiw0MDU2NykvUF9DT01fU0hTX09VVCg0MDU2NykpKS9GR","V9FU1RJTUFURSgnRVBTJywnTUVBTicsJ0FOTlVBTF9ST0xMJywnKzEnLDQwNTY3LCwsJycp&amp;WINDOW=FIRST_POPUP&amp;HEIGHT=450&amp;WIDTH=450&amp;START_MAXIMIZED=FALSE&amp;VAR:CALENDAR=US&amp;VAR:SYMBOL=38259P50&amp;VAR:INDEX=0"}</definedName>
    <definedName name="_2066__FDSAUDITLINK__">{"fdsup://directions/FAT Viewer?action=UPDATE&amp;creator=factset&amp;DYN_ARGS=TRUE&amp;DOC_NAME=FAT:FQL_AUDITING_CLIENT_TEMPLATE.FAT&amp;display_string=Audit&amp;VAR:KEY=MRALMJUZED&amp;VAR:QUERY=KFBfUFJJQ0UoNDA1NjcpLShGRl9DQVNIX1NUKFFUUiw0MDU2NykvUF9DT01fU0hTX09VVCg0MDU2NykpKS9GR","V9FU1RJTUFURSgnRVBTJywnTUVBTicsJ0FOTlVBTF9ST0xMJywnKzEnLDQwNTY3LCwsJycp&amp;WINDOW=FIRST_POPUP&amp;HEIGHT=450&amp;WIDTH=450&amp;START_MAXIMIZED=FALSE&amp;VAR:CALENDAR=US&amp;VAR:SYMBOL=38259P50&amp;VAR:INDEX=0"}</definedName>
    <definedName name="_2067__FDSAUDITLINK__">{"fdsup://directions/FAT Viewer?action=UPDATE&amp;creator=factset&amp;DYN_ARGS=TRUE&amp;DOC_NAME=FAT:FQL_AUDITING_CLIENT_TEMPLATE.FAT&amp;display_string=Audit&amp;VAR:KEY=YVAHKNCFKT&amp;VAR:QUERY=KFBfUFJJQ0UoNDA1NjYpLShGRl9DQVNIX1NUKFFUUiw0MDU2NikvUF9DT01fU0hTX09VVCg0MDU2NikpKS9GR","V9FU1RJTUFURSgnRVBTJywnTUVBTicsJ0FOTlVBTF9ST0xMJywnKzEnLDQwNTY2LCwsJycp&amp;WINDOW=FIRST_POPUP&amp;HEIGHT=450&amp;WIDTH=450&amp;START_MAXIMIZED=FALSE&amp;VAR:CALENDAR=US&amp;VAR:SYMBOL=38259P50&amp;VAR:INDEX=0"}</definedName>
    <definedName name="_2068__FDSAUDITLINK__">{"fdsup://directions/FAT Viewer?action=UPDATE&amp;creator=factset&amp;DYN_ARGS=TRUE&amp;DOC_NAME=FAT:FQL_AUDITING_CLIENT_TEMPLATE.FAT&amp;display_string=Audit&amp;VAR:KEY=YVAHKNCFKT&amp;VAR:QUERY=KFBfUFJJQ0UoNDA1NjYpLShGRl9DQVNIX1NUKFFUUiw0MDU2NikvUF9DT01fU0hTX09VVCg0MDU2NikpKS9GR","V9FU1RJTUFURSgnRVBTJywnTUVBTicsJ0FOTlVBTF9ST0xMJywnKzEnLDQwNTY2LCwsJycp&amp;WINDOW=FIRST_POPUP&amp;HEIGHT=450&amp;WIDTH=450&amp;START_MAXIMIZED=FALSE&amp;VAR:CALENDAR=US&amp;VAR:SYMBOL=38259P50&amp;VAR:INDEX=0"}</definedName>
    <definedName name="_2069__FDSAUDITLINK__">{"fdsup://directions/FAT Viewer?action=UPDATE&amp;creator=factset&amp;DYN_ARGS=TRUE&amp;DOC_NAME=FAT:FQL_AUDITING_CLIENT_TEMPLATE.FAT&amp;display_string=Audit&amp;VAR:KEY=MTIROPMVCJ&amp;VAR:QUERY=KFBfUFJJQ0UoNDA1NjUpLShGRl9DQVNIX1NUKFFUUiw0MDU2NSkvUF9DT01fU0hTX09VVCg0MDU2NSkpKS9GR","V9FU1RJTUFURSgnRVBTJywnTUVBTicsJ0FOTlVBTF9ST0xMJywnKzEnLDQwNTY1LCwsJycp&amp;WINDOW=FIRST_POPUP&amp;HEIGHT=450&amp;WIDTH=450&amp;START_MAXIMIZED=FALSE&amp;VAR:CALENDAR=US&amp;VAR:SYMBOL=38259P50&amp;VAR:INDEX=0"}</definedName>
    <definedName name="_20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0.248634&amp;VAR:V=13.544612&amp;VAR:V0=14.003887&amp;VAR:V1=12.323259&amp;VAR:Y0=2008&amp;VAR:Y1=2009&amp;VAR:P=1322.703500&amp;VAR:DATE=20080331&amp;VAR:THRESH=-|-|","-|-|-|-|-"}</definedName>
    <definedName name="_2070__FDSAUDITLINK__">{"fdsup://directions/FAT Viewer?action=UPDATE&amp;creator=factset&amp;DYN_ARGS=TRUE&amp;DOC_NAME=FAT:FQL_AUDITING_CLIENT_TEMPLATE.FAT&amp;display_string=Audit&amp;VAR:KEY=MTIROPMVCJ&amp;VAR:QUERY=KFBfUFJJQ0UoNDA1NjUpLShGRl9DQVNIX1NUKFFUUiw0MDU2NSkvUF9DT01fU0hTX09VVCg0MDU2NSkpKS9GR","V9FU1RJTUFURSgnRVBTJywnTUVBTicsJ0FOTlVBTF9ST0xMJywnKzEnLDQwNTY1LCwsJycp&amp;WINDOW=FIRST_POPUP&amp;HEIGHT=450&amp;WIDTH=450&amp;START_MAXIMIZED=FALSE&amp;VAR:CALENDAR=US&amp;VAR:SYMBOL=38259P50&amp;VAR:INDEX=0"}</definedName>
    <definedName name="_2071__FDSAUDITLINK__">{"fdsup://directions/FAT Viewer?action=UPDATE&amp;creator=factset&amp;DYN_ARGS=TRUE&amp;DOC_NAME=FAT:FQL_AUDITING_CLIENT_TEMPLATE.FAT&amp;display_string=Audit&amp;VAR:KEY=ULELCPABEB&amp;VAR:QUERY=KFBfUFJJQ0UoNDA1NjQpLShGRl9DQVNIX1NUKFFUUiw0MDU2NCkvUF9DT01fU0hTX09VVCg0MDU2NCkpKS9GR","V9FU1RJTUFURSgnRVBTJywnTUVBTicsJ0FOTlVBTF9ST0xMJywnKzEnLDQwNTY0LCwsJycp&amp;WINDOW=FIRST_POPUP&amp;HEIGHT=450&amp;WIDTH=450&amp;START_MAXIMIZED=FALSE&amp;VAR:CALENDAR=US&amp;VAR:SYMBOL=38259P50&amp;VAR:INDEX=0"}</definedName>
    <definedName name="_2072__FDSAUDITLINK__">{"fdsup://directions/FAT Viewer?action=UPDATE&amp;creator=factset&amp;DYN_ARGS=TRUE&amp;DOC_NAME=FAT:FQL_AUDITING_CLIENT_TEMPLATE.FAT&amp;display_string=Audit&amp;VAR:KEY=ULELCPABEB&amp;VAR:QUERY=KFBfUFJJQ0UoNDA1NjQpLShGRl9DQVNIX1NUKFFUUiw0MDU2NCkvUF9DT01fU0hTX09VVCg0MDU2NCkpKS9GR","V9FU1RJTUFURSgnRVBTJywnTUVBTicsJ0FOTlVBTF9ST0xMJywnKzEnLDQwNTY0LCwsJycp&amp;WINDOW=FIRST_POPUP&amp;HEIGHT=450&amp;WIDTH=450&amp;START_MAXIMIZED=FALSE&amp;VAR:CALENDAR=US&amp;VAR:SYMBOL=38259P50&amp;VAR:INDEX=0"}</definedName>
    <definedName name="_2073__FDSAUDITLINK__">{"fdsup://directions/FAT Viewer?action=UPDATE&amp;creator=factset&amp;DYN_ARGS=TRUE&amp;DOC_NAME=FAT:FQL_AUDITING_CLIENT_TEMPLATE.FAT&amp;display_string=Audit&amp;VAR:KEY=CPQVCVYLQH&amp;VAR:QUERY=KFBfUFJJQ0UoNDA1NjMpLShGRl9DQVNIX1NUKFFUUiw0MDU2MykvUF9DT01fU0hTX09VVCg0MDU2MykpKS9GR","V9FU1RJTUFURSgnRVBTJywnTUVBTicsJ0FOTlVBTF9ST0xMJywnKzEnLDQwNTYzLCwsJycp&amp;WINDOW=FIRST_POPUP&amp;HEIGHT=450&amp;WIDTH=450&amp;START_MAXIMIZED=FALSE&amp;VAR:CALENDAR=US&amp;VAR:SYMBOL=38259P50&amp;VAR:INDEX=0"}</definedName>
    <definedName name="_2074__FDSAUDITLINK__">{"fdsup://directions/FAT Viewer?action=UPDATE&amp;creator=factset&amp;DYN_ARGS=TRUE&amp;DOC_NAME=FAT:FQL_AUDITING_CLIENT_TEMPLATE.FAT&amp;display_string=Audit&amp;VAR:KEY=CPQVCVYLQH&amp;VAR:QUERY=KFBfUFJJQ0UoNDA1NjMpLShGRl9DQVNIX1NUKFFUUiw0MDU2MykvUF9DT01fU0hTX09VVCg0MDU2MykpKS9GR","V9FU1RJTUFURSgnRVBTJywnTUVBTicsJ0FOTlVBTF9ST0xMJywnKzEnLDQwNTYzLCwsJycp&amp;WINDOW=FIRST_POPUP&amp;HEIGHT=450&amp;WIDTH=450&amp;START_MAXIMIZED=FALSE&amp;VAR:CALENDAR=US&amp;VAR:SYMBOL=38259P50&amp;VAR:INDEX=0"}</definedName>
    <definedName name="_2075__FDSAUDITLINK__">{"fdsup://directions/FAT Viewer?action=UPDATE&amp;creator=factset&amp;DYN_ARGS=TRUE&amp;DOC_NAME=FAT:FQL_AUDITING_CLIENT_TEMPLATE.FAT&amp;display_string=Audit&amp;VAR:KEY=ONSLWDCREB&amp;VAR:QUERY=KFBfUFJJQ0UoNDA1NjIpLShGRl9DQVNIX1NUKFFUUiw0MDU2MikvUF9DT01fU0hTX09VVCg0MDU2MikpKS9GR","V9FU1RJTUFURSgnRVBTJywnTUVBTicsJ0FOTlVBTF9ST0xMJywnKzEnLDQwNTYyLCwsJycp&amp;WINDOW=FIRST_POPUP&amp;HEIGHT=450&amp;WIDTH=450&amp;START_MAXIMIZED=FALSE&amp;VAR:CALENDAR=US&amp;VAR:SYMBOL=38259P50&amp;VAR:INDEX=0"}</definedName>
    <definedName name="_2076__FDSAUDITLINK__">{"fdsup://directions/FAT Viewer?action=UPDATE&amp;creator=factset&amp;DYN_ARGS=TRUE&amp;DOC_NAME=FAT:FQL_AUDITING_CLIENT_TEMPLATE.FAT&amp;display_string=Audit&amp;VAR:KEY=ONSLWDCREB&amp;VAR:QUERY=KFBfUFJJQ0UoNDA1NjIpLShGRl9DQVNIX1NUKFFUUiw0MDU2MikvUF9DT01fU0hTX09VVCg0MDU2MikpKS9GR","V9FU1RJTUFURSgnRVBTJywnTUVBTicsJ0FOTlVBTF9ST0xMJywnKzEnLDQwNTYyLCwsJycp&amp;WINDOW=FIRST_POPUP&amp;HEIGHT=450&amp;WIDTH=450&amp;START_MAXIMIZED=FALSE&amp;VAR:CALENDAR=US&amp;VAR:SYMBOL=38259P50&amp;VAR:INDEX=0"}</definedName>
    <definedName name="_2077__FDSAUDITLINK__">{"fdsup://directions/FAT Viewer?action=UPDATE&amp;creator=factset&amp;DYN_ARGS=TRUE&amp;DOC_NAME=FAT:FQL_AUDITING_CLIENT_TEMPLATE.FAT&amp;display_string=Audit&amp;VAR:KEY=APGZENEZOH&amp;VAR:QUERY=KFBfUFJJQ0UoNDA1NjEpLShGRl9DQVNIX1NUKFFUUiw0MDU2MSkvUF9DT01fU0hTX09VVCg0MDU2MSkpKS9GR","V9FU1RJTUFURSgnRVBTJywnTUVBTicsJ0FOTlVBTF9ST0xMJywnKzEnLDQwNTYxLCwsJycp&amp;WINDOW=FIRST_POPUP&amp;HEIGHT=450&amp;WIDTH=450&amp;START_MAXIMIZED=FALSE&amp;VAR:CALENDAR=US&amp;VAR:SYMBOL=38259P50&amp;VAR:INDEX=0"}</definedName>
    <definedName name="_2078__FDSAUDITLINK__">{"fdsup://directions/FAT Viewer?action=UPDATE&amp;creator=factset&amp;DYN_ARGS=TRUE&amp;DOC_NAME=FAT:FQL_AUDITING_CLIENT_TEMPLATE.FAT&amp;display_string=Audit&amp;VAR:KEY=APGZENEZOH&amp;VAR:QUERY=KFBfUFJJQ0UoNDA1NjEpLShGRl9DQVNIX1NUKFFUUiw0MDU2MSkvUF9DT01fU0hTX09VVCg0MDU2MSkpKS9GR","V9FU1RJTUFURSgnRVBTJywnTUVBTicsJ0FOTlVBTF9ST0xMJywnKzEnLDQwNTYxLCwsJycp&amp;WINDOW=FIRST_POPUP&amp;HEIGHT=450&amp;WIDTH=450&amp;START_MAXIMIZED=FALSE&amp;VAR:CALENDAR=US&amp;VAR:SYMBOL=38259P50&amp;VAR:INDEX=0"}</definedName>
    <definedName name="_2079__FDSAUDITLINK__">{"fdsup://directions/FAT Viewer?action=UPDATE&amp;creator=factset&amp;DYN_ARGS=TRUE&amp;DOC_NAME=FAT:FQL_AUDITING_CLIENT_TEMPLATE.FAT&amp;display_string=Audit&amp;VAR:KEY=UHIZQHGZSL&amp;VAR:QUERY=KFBfUFJJQ0UoNDA1NjApLShGRl9DQVNIX1NUKFFUUiw0MDU2MCkvUF9DT01fU0hTX09VVCg0MDU2MCkpKS9GR","V9FU1RJTUFURSgnRVBTJywnTUVBTicsJ0FOTlVBTF9ST0xMJywnKzEnLDQwNTYwLCwsJycp&amp;WINDOW=FIRST_POPUP&amp;HEIGHT=450&amp;WIDTH=450&amp;START_MAXIMIZED=FALSE&amp;VAR:CALENDAR=US&amp;VAR:SYMBOL=38259P50&amp;VAR:INDEX=0"}</definedName>
    <definedName name="_20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14.719061&amp;VAR:V0=16.781939&amp;VAR:V1=14.719061&amp;VAR:Y0=2007&amp;VAR:Y1=2008&amp;VAR:P=1468.355200&amp;VAR:DATE=20071231&amp;VAR:THRESH=-|-|","-|-|-|-|-"}</definedName>
    <definedName name="_2080__FDSAUDITLINK__">{"fdsup://directions/FAT Viewer?action=UPDATE&amp;creator=factset&amp;DYN_ARGS=TRUE&amp;DOC_NAME=FAT:FQL_AUDITING_CLIENT_TEMPLATE.FAT&amp;display_string=Audit&amp;VAR:KEY=UHIZQHGZSL&amp;VAR:QUERY=KFBfUFJJQ0UoNDA1NjApLShGRl9DQVNIX1NUKFFUUiw0MDU2MCkvUF9DT01fU0hTX09VVCg0MDU2MCkpKS9GR","V9FU1RJTUFURSgnRVBTJywnTUVBTicsJ0FOTlVBTF9ST0xMJywnKzEnLDQwNTYwLCwsJycp&amp;WINDOW=FIRST_POPUP&amp;HEIGHT=450&amp;WIDTH=450&amp;START_MAXIMIZED=FALSE&amp;VAR:CALENDAR=US&amp;VAR:SYMBOL=38259P50&amp;VAR:INDEX=0"}</definedName>
    <definedName name="_2081__FDSAUDITLINK__">{"fdsup://directions/FAT Viewer?action=UPDATE&amp;creator=factset&amp;DYN_ARGS=TRUE&amp;DOC_NAME=FAT:FQL_AUDITING_CLIENT_TEMPLATE.FAT&amp;display_string=Audit&amp;VAR:KEY=MLOTADONYP&amp;VAR:QUERY=KFBfUFJJQ0UoNDA1NTkpLShGRl9DQVNIX1NUKFFUUiw0MDU1OSkvUF9DT01fU0hTX09VVCg0MDU1OSkpKS9GR","V9FU1RJTUFURSgnRVBTJywnTUVBTicsJ0FOTlVBTF9ST0xMJywnKzEnLDQwNTU5LCwsJycp&amp;WINDOW=FIRST_POPUP&amp;HEIGHT=450&amp;WIDTH=450&amp;START_MAXIMIZED=FALSE&amp;VAR:CALENDAR=US&amp;VAR:SYMBOL=38259P50&amp;VAR:INDEX=0"}</definedName>
    <definedName name="_2082__FDSAUDITLINK__">{"fdsup://directions/FAT Viewer?action=UPDATE&amp;creator=factset&amp;DYN_ARGS=TRUE&amp;DOC_NAME=FAT:FQL_AUDITING_CLIENT_TEMPLATE.FAT&amp;display_string=Audit&amp;VAR:KEY=MLOTADONYP&amp;VAR:QUERY=KFBfUFJJQ0UoNDA1NTkpLShGRl9DQVNIX1NUKFFUUiw0MDU1OSkvUF9DT01fU0hTX09VVCg0MDU1OSkpKS9GR","V9FU1RJTUFURSgnRVBTJywnTUVBTicsJ0FOTlVBTF9ST0xMJywnKzEnLDQwNTU5LCwsJycp&amp;WINDOW=FIRST_POPUP&amp;HEIGHT=450&amp;WIDTH=450&amp;START_MAXIMIZED=FALSE&amp;VAR:CALENDAR=US&amp;VAR:SYMBOL=38259P50&amp;VAR:INDEX=0"}</definedName>
    <definedName name="_2083__FDSAUDITLINK__">{"fdsup://directions/FAT Viewer?action=UPDATE&amp;creator=factset&amp;DYN_ARGS=TRUE&amp;DOC_NAME=FAT:FQL_AUDITING_CLIENT_TEMPLATE.FAT&amp;display_string=Audit&amp;VAR:KEY=GVGNIRCVQR&amp;VAR:QUERY=KFBfUFJJQ0UoNDA1NTgpLShGRl9DQVNIX1NUKFFUUiw0MDU1OCkvUF9DT01fU0hTX09VVCg0MDU1OCkpKS9GR","V9FU1RJTUFURSgnRVBTJywnTUVBTicsJ0FOTlVBTF9ST0xMJywnKzEnLDQwNTU4LCwsJycp&amp;WINDOW=FIRST_POPUP&amp;HEIGHT=450&amp;WIDTH=450&amp;START_MAXIMIZED=FALSE&amp;VAR:CALENDAR=US&amp;VAR:SYMBOL=38259P50&amp;VAR:INDEX=0"}</definedName>
    <definedName name="_2084__FDSAUDITLINK__">{"fdsup://directions/FAT Viewer?action=UPDATE&amp;creator=factset&amp;DYN_ARGS=TRUE&amp;DOC_NAME=FAT:FQL_AUDITING_CLIENT_TEMPLATE.FAT&amp;display_string=Audit&amp;VAR:KEY=GVGNIRCVQR&amp;VAR:QUERY=KFBfUFJJQ0UoNDA1NTgpLShGRl9DQVNIX1NUKFFUUiw0MDU1OCkvUF9DT01fU0hTX09VVCg0MDU1OCkpKS9GR","V9FU1RJTUFURSgnRVBTJywnTUVBTicsJ0FOTlVBTF9ST0xMJywnKzEnLDQwNTU4LCwsJycp&amp;WINDOW=FIRST_POPUP&amp;HEIGHT=450&amp;WIDTH=450&amp;START_MAXIMIZED=FALSE&amp;VAR:CALENDAR=US&amp;VAR:SYMBOL=38259P50&amp;VAR:INDEX=0"}</definedName>
    <definedName name="_2085__FDSAUDITLINK__">{"fdsup://directions/FAT Viewer?action=UPDATE&amp;creator=factset&amp;DYN_ARGS=TRUE&amp;DOC_NAME=FAT:FQL_AUDITING_CLIENT_TEMPLATE.FAT&amp;display_string=Audit&amp;VAR:KEY=EJCFOZUJIJ&amp;VAR:QUERY=KFBfUFJJQ0UoNDA1NTcpLShGRl9DQVNIX1NUKFFUUiw0MDU1NykvUF9DT01fU0hTX09VVCg0MDU1NykpKS9GR","V9FU1RJTUFURSgnRVBTJywnTUVBTicsJ0FOTlVBTF9ST0xMJywnKzEnLDQwNTU3LCwsJycp&amp;WINDOW=FIRST_POPUP&amp;HEIGHT=450&amp;WIDTH=450&amp;START_MAXIMIZED=FALSE&amp;VAR:CALENDAR=US&amp;VAR:SYMBOL=38259P50&amp;VAR:INDEX=0"}</definedName>
    <definedName name="_2086__FDSAUDITLINK__">{"fdsup://directions/FAT Viewer?action=UPDATE&amp;creator=factset&amp;DYN_ARGS=TRUE&amp;DOC_NAME=FAT:FQL_AUDITING_CLIENT_TEMPLATE.FAT&amp;display_string=Audit&amp;VAR:KEY=EJCFOZUJIJ&amp;VAR:QUERY=KFBfUFJJQ0UoNDA1NTcpLShGRl9DQVNIX1NUKFFUUiw0MDU1NykvUF9DT01fU0hTX09VVCg0MDU1NykpKS9GR","V9FU1RJTUFURSgnRVBTJywnTUVBTicsJ0FOTlVBTF9ST0xMJywnKzEnLDQwNTU3LCwsJycp&amp;WINDOW=FIRST_POPUP&amp;HEIGHT=450&amp;WIDTH=450&amp;START_MAXIMIZED=FALSE&amp;VAR:CALENDAR=US&amp;VAR:SYMBOL=38259P50&amp;VAR:INDEX=0"}</definedName>
    <definedName name="_2087__FDSAUDITLINK__">{"fdsup://directions/FAT Viewer?action=UPDATE&amp;creator=factset&amp;DYN_ARGS=TRUE&amp;DOC_NAME=FAT:FQL_AUDITING_CLIENT_TEMPLATE.FAT&amp;display_string=Audit&amp;VAR:KEY=MTYRGVEBMF&amp;VAR:QUERY=KFBfUFJJQ0UoNDA1NTYpLShGRl9DQVNIX1NUKFFUUiw0MDU1NikvUF9DT01fU0hTX09VVCg0MDU1NikpKS9GR","V9FU1RJTUFURSgnRVBTJywnTUVBTicsJ0FOTlVBTF9ST0xMJywnKzEnLDQwNTU2LCwsJycp&amp;WINDOW=FIRST_POPUP&amp;HEIGHT=450&amp;WIDTH=450&amp;START_MAXIMIZED=FALSE&amp;VAR:CALENDAR=US&amp;VAR:SYMBOL=38259P50&amp;VAR:INDEX=0"}</definedName>
    <definedName name="_2088__FDSAUDITLINK__">{"fdsup://directions/FAT Viewer?action=UPDATE&amp;creator=factset&amp;DYN_ARGS=TRUE&amp;DOC_NAME=FAT:FQL_AUDITING_CLIENT_TEMPLATE.FAT&amp;display_string=Audit&amp;VAR:KEY=MTYRGVEBMF&amp;VAR:QUERY=KFBfUFJJQ0UoNDA1NTYpLShGRl9DQVNIX1NUKFFUUiw0MDU1NikvUF9DT01fU0hTX09VVCg0MDU1NikpKS9GR","V9FU1RJTUFURSgnRVBTJywnTUVBTicsJ0FOTlVBTF9ST0xMJywnKzEnLDQwNTU2LCwsJycp&amp;WINDOW=FIRST_POPUP&amp;HEIGHT=450&amp;WIDTH=450&amp;START_MAXIMIZED=FALSE&amp;VAR:CALENDAR=US&amp;VAR:SYMBOL=38259P50&amp;VAR:INDEX=0"}</definedName>
    <definedName name="_2089__FDSAUDITLINK__">{"fdsup://directions/FAT Viewer?action=UPDATE&amp;creator=factset&amp;DYN_ARGS=TRUE&amp;DOC_NAME=FAT:FQL_AUDITING_CLIENT_TEMPLATE.FAT&amp;display_string=Audit&amp;VAR:KEY=KRATEZEDOV&amp;VAR:QUERY=KFBfUFJJQ0UoNDA1NTUpLShGRl9DQVNIX1NUKFFUUiw0MDU1NSkvUF9DT01fU0hTX09VVCg0MDU1NSkpKS9GR","V9FU1RJTUFURSgnRVBTJywnTUVBTicsJ0FOTlVBTF9ST0xMJywnKzEnLDQwNTU1LCwsJycp&amp;WINDOW=FIRST_POPUP&amp;HEIGHT=450&amp;WIDTH=450&amp;START_MAXIMIZED=FALSE&amp;VAR:CALENDAR=US&amp;VAR:SYMBOL=38259P50&amp;VAR:INDEX=0"}</definedName>
    <definedName name="_20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0.742466&amp;VAR:V=15.245538&amp;VAR:V0=16.538893&amp;VAR:V1=14.842924&amp;VAR:Y0=2007&amp;VAR:Y1=2008&amp;VAR:P=1526.746700&amp;VAR:DATE=20070928&amp;VAR:THRESH=-|-|","-|-|-|-|-"}</definedName>
    <definedName name="_2090__FDSAUDITLINK__">{"fdsup://directions/FAT Viewer?action=UPDATE&amp;creator=factset&amp;DYN_ARGS=TRUE&amp;DOC_NAME=FAT:FQL_AUDITING_CLIENT_TEMPLATE.FAT&amp;display_string=Audit&amp;VAR:KEY=KRATEZEDOV&amp;VAR:QUERY=KFBfUFJJQ0UoNDA1NTUpLShGRl9DQVNIX1NUKFFUUiw0MDU1NSkvUF9DT01fU0hTX09VVCg0MDU1NSkpKS9GR","V9FU1RJTUFURSgnRVBTJywnTUVBTicsJ0FOTlVBTF9ST0xMJywnKzEnLDQwNTU1LCwsJycp&amp;WINDOW=FIRST_POPUP&amp;HEIGHT=450&amp;WIDTH=450&amp;START_MAXIMIZED=FALSE&amp;VAR:CALENDAR=US&amp;VAR:SYMBOL=38259P50&amp;VAR:INDEX=0"}</definedName>
    <definedName name="_2091__FDSAUDITLINK__">{"fdsup://directions/FAT Viewer?action=UPDATE&amp;creator=factset&amp;DYN_ARGS=TRUE&amp;DOC_NAME=FAT:FQL_AUDITING_CLIENT_TEMPLATE.FAT&amp;display_string=Audit&amp;VAR:KEY=GXYBULQREL&amp;VAR:QUERY=KFBfUFJJQ0UoNDA1NTQpLShGRl9DQVNIX1NUKFFUUiw0MDU1NCkvUF9DT01fU0hTX09VVCg0MDU1NCkpKS9GR","V9FU1RJTUFURSgnRVBTJywnTUVBTicsJ0FOTlVBTF9ST0xMJywnKzEnLDQwNTU0LCwsJycp&amp;WINDOW=FIRST_POPUP&amp;HEIGHT=450&amp;WIDTH=450&amp;START_MAXIMIZED=FALSE&amp;VAR:CALENDAR=US&amp;VAR:SYMBOL=38259P50&amp;VAR:INDEX=0"}</definedName>
    <definedName name="_2092__FDSAUDITLINK__">{"fdsup://directions/FAT Viewer?action=UPDATE&amp;creator=factset&amp;DYN_ARGS=TRUE&amp;DOC_NAME=FAT:FQL_AUDITING_CLIENT_TEMPLATE.FAT&amp;display_string=Audit&amp;VAR:KEY=GXYBULQREL&amp;VAR:QUERY=KFBfUFJJQ0UoNDA1NTQpLShGRl9DQVNIX1NUKFFUUiw0MDU1NCkvUF9DT01fU0hTX09VVCg0MDU1NCkpKS9GR","V9FU1RJTUFURSgnRVBTJywnTUVBTicsJ0FOTlVBTF9ST0xMJywnKzEnLDQwNTU0LCwsJycp&amp;WINDOW=FIRST_POPUP&amp;HEIGHT=450&amp;WIDTH=450&amp;START_MAXIMIZED=FALSE&amp;VAR:CALENDAR=US&amp;VAR:SYMBOL=38259P50&amp;VAR:INDEX=0"}</definedName>
    <definedName name="_2093__FDSAUDITLINK__">{"fdsup://directions/FAT Viewer?action=UPDATE&amp;creator=factset&amp;DYN_ARGS=TRUE&amp;DOC_NAME=FAT:FQL_AUDITING_CLIENT_TEMPLATE.FAT&amp;display_string=Audit&amp;VAR:KEY=ARIBSVORAV&amp;VAR:QUERY=KFBfUFJJQ0UoNDA1NTMpLShGRl9DQVNIX1NUKFFUUiw0MDU1MykvUF9DT01fU0hTX09VVCg0MDU1MykpKS9GR","V9FU1RJTUFURSgnRVBTJywnTUVBTicsJ0FOTlVBTF9ST0xMJywnKzEnLDQwNTUzLCwsJycp&amp;WINDOW=FIRST_POPUP&amp;HEIGHT=450&amp;WIDTH=450&amp;START_MAXIMIZED=FALSE&amp;VAR:CALENDAR=US&amp;VAR:SYMBOL=38259P50&amp;VAR:INDEX=0"}</definedName>
    <definedName name="_2094__FDSAUDITLINK__">{"fdsup://directions/FAT Viewer?action=UPDATE&amp;creator=factset&amp;DYN_ARGS=TRUE&amp;DOC_NAME=FAT:FQL_AUDITING_CLIENT_TEMPLATE.FAT&amp;display_string=Audit&amp;VAR:KEY=ARIBSVORAV&amp;VAR:QUERY=KFBfUFJJQ0UoNDA1NTMpLShGRl9DQVNIX1NUKFFUUiw0MDU1MykvUF9DT01fU0hTX09VVCg0MDU1MykpKS9GR","V9FU1RJTUFURSgnRVBTJywnTUVBTicsJ0FOTlVBTF9ST0xMJywnKzEnLDQwNTUzLCwsJycp&amp;WINDOW=FIRST_POPUP&amp;HEIGHT=450&amp;WIDTH=450&amp;START_MAXIMIZED=FALSE&amp;VAR:CALENDAR=US&amp;VAR:SYMBOL=38259P50&amp;VAR:INDEX=0"}</definedName>
    <definedName name="_2095__FDSAUDITLINK__">{"fdsup://directions/FAT Viewer?action=UPDATE&amp;creator=factset&amp;DYN_ARGS=TRUE&amp;DOC_NAME=FAT:FQL_AUDITING_CLIENT_TEMPLATE.FAT&amp;display_string=Audit&amp;VAR:KEY=QLWTYXYRYB&amp;VAR:QUERY=KFBfUFJJQ0UoNDA1NTIpLShGRl9DQVNIX1NUKFFUUiw0MDU1MikvUF9DT01fU0hTX09VVCg0MDU1MikpKS9GR","V9FU1RJTUFURSgnRVBTJywnTUVBTicsJ0FOTlVBTF9ST0xMJywnKzEnLDQwNTUyLCwsJycp&amp;WINDOW=FIRST_POPUP&amp;HEIGHT=450&amp;WIDTH=450&amp;START_MAXIMIZED=FALSE&amp;VAR:CALENDAR=US&amp;VAR:SYMBOL=38259P50&amp;VAR:INDEX=0"}</definedName>
    <definedName name="_2096__FDSAUDITLINK__">{"fdsup://directions/FAT Viewer?action=UPDATE&amp;creator=factset&amp;DYN_ARGS=TRUE&amp;DOC_NAME=FAT:FQL_AUDITING_CLIENT_TEMPLATE.FAT&amp;display_string=Audit&amp;VAR:KEY=QLWTYXYRYB&amp;VAR:QUERY=KFBfUFJJQ0UoNDA1NTIpLShGRl9DQVNIX1NUKFFUUiw0MDU1MikvUF9DT01fU0hTX09VVCg0MDU1MikpKS9GR","V9FU1RJTUFURSgnRVBTJywnTUVBTicsJ0FOTlVBTF9ST0xMJywnKzEnLDQwNTUyLCwsJycp&amp;WINDOW=FIRST_POPUP&amp;HEIGHT=450&amp;WIDTH=450&amp;START_MAXIMIZED=FALSE&amp;VAR:CALENDAR=US&amp;VAR:SYMBOL=38259P50&amp;VAR:INDEX=0"}</definedName>
    <definedName name="_2097__FDSAUDITLINK__">{"fdsup://directions/FAT Viewer?action=UPDATE&amp;creator=factset&amp;DYN_ARGS=TRUE&amp;DOC_NAME=FAT:FQL_AUDITING_CLIENT_TEMPLATE.FAT&amp;display_string=Audit&amp;VAR:KEY=QTQHQPQNYL&amp;VAR:QUERY=KFBfUFJJQ0UoNDA1NTEpLShGRl9DQVNIX1NUKFFUUiw0MDU1MSkvUF9DT01fU0hTX09VVCg0MDU1MSkpKS9GR","V9FU1RJTUFURSgnRVBTJywnTUVBTicsJ0FOTlVBTF9ST0xMJywnKzEnLDQwNTUxLCwsJycp&amp;WINDOW=FIRST_POPUP&amp;HEIGHT=450&amp;WIDTH=450&amp;START_MAXIMIZED=FALSE&amp;VAR:CALENDAR=US&amp;VAR:SYMBOL=38259P50&amp;VAR:INDEX=0"}</definedName>
    <definedName name="_2098__FDSAUDITLINK__">{"fdsup://directions/FAT Viewer?action=UPDATE&amp;creator=factset&amp;DYN_ARGS=TRUE&amp;DOC_NAME=FAT:FQL_AUDITING_CLIENT_TEMPLATE.FAT&amp;display_string=Audit&amp;VAR:KEY=QTQHQPQNYL&amp;VAR:QUERY=KFBfUFJJQ0UoNDA1NTEpLShGRl9DQVNIX1NUKFFUUiw0MDU1MSkvUF9DT01fU0hTX09VVCg0MDU1MSkpKS9GR","V9FU1RJTUFURSgnRVBTJywnTUVBTicsJ0FOTlVBTF9ST0xMJywnKzEnLDQwNTUxLCwsJycp&amp;WINDOW=FIRST_POPUP&amp;HEIGHT=450&amp;WIDTH=450&amp;START_MAXIMIZED=FALSE&amp;VAR:CALENDAR=US&amp;VAR:SYMBOL=38259P50&amp;VAR:INDEX=0"}</definedName>
    <definedName name="_2099__FDSAUDITLINK__">{"fdsup://directions/FAT Viewer?action=UPDATE&amp;creator=factset&amp;DYN_ARGS=TRUE&amp;DOC_NAME=FAT:FQL_AUDITING_CLIENT_TEMPLATE.FAT&amp;display_string=Audit&amp;VAR:KEY=WRIZGJGJIJ&amp;VAR:QUERY=KFBfUFJJQ0UoNDA1NTApLShGRl9DQVNIX1NUKFFUUiw0MDU1MCkvUF9DT01fU0hTX09VVCg0MDU1MCkpKS9GR","V9FU1RJTUFURSgnRVBTJywnTUVBTicsJ0FOTlVBTF9ST0xMJywnKzEnLDQwNTUwLCwsJycp&amp;WINDOW=FIRST_POPUP&amp;HEIGHT=450&amp;WIDTH=450&amp;START_MAXIMIZED=FALSE&amp;VAR:CALENDAR=US&amp;VAR:SYMBOL=38259P50&amp;VAR:INDEX=0"}</definedName>
    <definedName name="_2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14.244271&amp;VAR:V0=15.000518&amp;VAR:V1=13.549837&amp;VAR:Y0=2006&amp;VAR:Y1=2007&amp;VAR:P=1270.204300&amp;VAR:DATE=20060630&amp;VAR:THRESH=-|-|","-|-|-|-|-"}</definedName>
    <definedName name="_21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0.493151&amp;VAR:V=15.363365&amp;VAR:V0=16.228417&amp;VAR:V1=14.565393&amp;VAR:Y0=2007&amp;VAR:Y1=2008&amp;VAR:P=1503.348600&amp;VAR:DATE=20070629&amp;VAR:THRESH=-|-|","-|-|-|-|-"}</definedName>
    <definedName name="_2100__FDSAUDITLINK__">{"fdsup://directions/FAT Viewer?action=UPDATE&amp;creator=factset&amp;DYN_ARGS=TRUE&amp;DOC_NAME=FAT:FQL_AUDITING_CLIENT_TEMPLATE.FAT&amp;display_string=Audit&amp;VAR:KEY=WRIZGJGJIJ&amp;VAR:QUERY=KFBfUFJJQ0UoNDA1NTApLShGRl9DQVNIX1NUKFFUUiw0MDU1MCkvUF9DT01fU0hTX09VVCg0MDU1MCkpKS9GR","V9FU1RJTUFURSgnRVBTJywnTUVBTicsJ0FOTlVBTF9ST0xMJywnKzEnLDQwNTUwLCwsJycp&amp;WINDOW=FIRST_POPUP&amp;HEIGHT=450&amp;WIDTH=450&amp;START_MAXIMIZED=FALSE&amp;VAR:CALENDAR=US&amp;VAR:SYMBOL=38259P50&amp;VAR:INDEX=0"}</definedName>
    <definedName name="_2101__FDSAUDITLINK__">{"fdsup://directions/FAT Viewer?action=UPDATE&amp;creator=factset&amp;DYN_ARGS=TRUE&amp;DOC_NAME=FAT:FQL_AUDITING_CLIENT_TEMPLATE.FAT&amp;display_string=Audit&amp;VAR:KEY=WNCPWTWTSZ&amp;VAR:QUERY=KFBfUFJJQ0UoNDA1NDkpLShGRl9DQVNIX1NUKFFUUiw0MDU0OSkvUF9DT01fU0hTX09VVCg0MDU0OSkpKS9GR","V9FU1RJTUFURSgnRVBTJywnTUVBTicsJ0FOTlVBTF9ST0xMJywnKzEnLDQwNTQ5LCwsJycp&amp;WINDOW=FIRST_POPUP&amp;HEIGHT=450&amp;WIDTH=450&amp;START_MAXIMIZED=FALSE&amp;VAR:CALENDAR=US&amp;VAR:SYMBOL=38259P50&amp;VAR:INDEX=0"}</definedName>
    <definedName name="_2102__FDSAUDITLINK__">{"fdsup://directions/FAT Viewer?action=UPDATE&amp;creator=factset&amp;DYN_ARGS=TRUE&amp;DOC_NAME=FAT:FQL_AUDITING_CLIENT_TEMPLATE.FAT&amp;display_string=Audit&amp;VAR:KEY=WNCPWTWTSZ&amp;VAR:QUERY=KFBfUFJJQ0UoNDA1NDkpLShGRl9DQVNIX1NUKFFUUiw0MDU0OSkvUF9DT01fU0hTX09VVCg0MDU0OSkpKS9GR","V9FU1RJTUFURSgnRVBTJywnTUVBTicsJ0FOTlVBTF9ST0xMJywnKzEnLDQwNTQ5LCwsJycp&amp;WINDOW=FIRST_POPUP&amp;HEIGHT=450&amp;WIDTH=450&amp;START_MAXIMIZED=FALSE&amp;VAR:CALENDAR=US&amp;VAR:SYMBOL=38259P50&amp;VAR:INDEX=0"}</definedName>
    <definedName name="_2103__FDSAUDITLINK__">{"fdsup://directions/FAT Viewer?action=UPDATE&amp;creator=factset&amp;DYN_ARGS=TRUE&amp;DOC_NAME=FAT:FQL_AUDITING_CLIENT_TEMPLATE.FAT&amp;display_string=Audit&amp;VAR:KEY=KJQVANWZKB&amp;VAR:QUERY=KFBfUFJJQ0UoNDA1NDgpLShGRl9DQVNIX1NUKFFUUiw0MDU0OCkvUF9DT01fU0hTX09VVCg0MDU0OCkpKS9GR","V9FU1RJTUFURSgnRVBTJywnTUVBTicsJ0FOTlVBTF9ST0xMJywnKzEnLDQwNTQ4LCwsJycp&amp;WINDOW=FIRST_POPUP&amp;HEIGHT=450&amp;WIDTH=450&amp;START_MAXIMIZED=FALSE&amp;VAR:CALENDAR=US&amp;VAR:SYMBOL=38259P50&amp;VAR:INDEX=0"}</definedName>
    <definedName name="_2104__FDSAUDITLINK__">{"fdsup://directions/FAT Viewer?action=UPDATE&amp;creator=factset&amp;DYN_ARGS=TRUE&amp;DOC_NAME=FAT:FQL_AUDITING_CLIENT_TEMPLATE.FAT&amp;display_string=Audit&amp;VAR:KEY=KJQVANWZKB&amp;VAR:QUERY=KFBfUFJJQ0UoNDA1NDgpLShGRl9DQVNIX1NUKFFUUiw0MDU0OCkvUF9DT01fU0hTX09VVCg0MDU0OCkpKS9GR","V9FU1RJTUFURSgnRVBTJywnTUVBTicsJ0FOTlVBTF9ST0xMJywnKzEnLDQwNTQ4LCwsJycp&amp;WINDOW=FIRST_POPUP&amp;HEIGHT=450&amp;WIDTH=450&amp;START_MAXIMIZED=FALSE&amp;VAR:CALENDAR=US&amp;VAR:SYMBOL=38259P50&amp;VAR:INDEX=0"}</definedName>
    <definedName name="_2105__FDSAUDITLINK__">{"fdsup://directions/FAT Viewer?action=UPDATE&amp;creator=factset&amp;DYN_ARGS=TRUE&amp;DOC_NAME=FAT:FQL_AUDITING_CLIENT_TEMPLATE.FAT&amp;display_string=Audit&amp;VAR:KEY=ODKHMTSJWX&amp;VAR:QUERY=KFBfUFJJQ0UoNDA1NDcpLShGRl9DQVNIX1NUKFFUUiw0MDU0NykvUF9DT01fU0hTX09VVCg0MDU0NykpKS9GR","V9FU1RJTUFURSgnRVBTJywnTUVBTicsJ0FOTlVBTF9ST0xMJywnKzEnLDQwNTQ3LCwsJycp&amp;WINDOW=FIRST_POPUP&amp;HEIGHT=450&amp;WIDTH=450&amp;START_MAXIMIZED=FALSE&amp;VAR:CALENDAR=US&amp;VAR:SYMBOL=38259P50&amp;VAR:INDEX=0"}</definedName>
    <definedName name="_2106__FDSAUDITLINK__">{"fdsup://directions/FAT Viewer?action=UPDATE&amp;creator=factset&amp;DYN_ARGS=TRUE&amp;DOC_NAME=FAT:FQL_AUDITING_CLIENT_TEMPLATE.FAT&amp;display_string=Audit&amp;VAR:KEY=ODKHMTSJWX&amp;VAR:QUERY=KFBfUFJJQ0UoNDA1NDcpLShGRl9DQVNIX1NUKFFUUiw0MDU0NykvUF9DT01fU0hTX09VVCg0MDU0NykpKS9GR","V9FU1RJTUFURSgnRVBTJywnTUVBTicsJ0FOTlVBTF9ST0xMJywnKzEnLDQwNTQ3LCwsJycp&amp;WINDOW=FIRST_POPUP&amp;HEIGHT=450&amp;WIDTH=450&amp;START_MAXIMIZED=FALSE&amp;VAR:CALENDAR=US&amp;VAR:SYMBOL=38259P50&amp;VAR:INDEX=0"}</definedName>
    <definedName name="_2107__FDSAUDITLINK__">{"fdsup://directions/FAT Viewer?action=UPDATE&amp;creator=factset&amp;DYN_ARGS=TRUE&amp;DOC_NAME=FAT:FQL_AUDITING_CLIENT_TEMPLATE.FAT&amp;display_string=Audit&amp;VAR:KEY=ULIHABEDGX&amp;VAR:QUERY=KFBfUFJJQ0UoNDA1NDYpLShGRl9DQVNIX1NUKFFUUiw0MDU0NikvUF9DT01fU0hTX09VVCg0MDU0NikpKS9GR","V9FU1RJTUFURSgnRVBTJywnTUVBTicsJ0FOTlVBTF9ST0xMJywnKzEnLDQwNTQ2LCwsJycp&amp;WINDOW=FIRST_POPUP&amp;HEIGHT=450&amp;WIDTH=450&amp;START_MAXIMIZED=FALSE&amp;VAR:CALENDAR=US&amp;VAR:SYMBOL=38259P50&amp;VAR:INDEX=0"}</definedName>
    <definedName name="_2108__FDSAUDITLINK__">{"fdsup://directions/FAT Viewer?action=UPDATE&amp;creator=factset&amp;DYN_ARGS=TRUE&amp;DOC_NAME=FAT:FQL_AUDITING_CLIENT_TEMPLATE.FAT&amp;display_string=Audit&amp;VAR:KEY=ULIHABEDGX&amp;VAR:QUERY=KFBfUFJJQ0UoNDA1NDYpLShGRl9DQVNIX1NUKFFUUiw0MDU0NikvUF9DT01fU0hTX09VVCg0MDU0NikpKS9GR","V9FU1RJTUFURSgnRVBTJywnTUVBTicsJ0FOTlVBTF9ST0xMJywnKzEnLDQwNTQ2LCwsJycp&amp;WINDOW=FIRST_POPUP&amp;HEIGHT=450&amp;WIDTH=450&amp;START_MAXIMIZED=FALSE&amp;VAR:CALENDAR=US&amp;VAR:SYMBOL=38259P50&amp;VAR:INDEX=0"}</definedName>
    <definedName name="_2109__FDSAUDITLINK__">{"fdsup://directions/FAT Viewer?action=UPDATE&amp;creator=factset&amp;DYN_ARGS=TRUE&amp;DOC_NAME=FAT:FQL_AUDITING_CLIENT_TEMPLATE.FAT&amp;display_string=Audit&amp;VAR:KEY=IXGDAHGBGX&amp;VAR:QUERY=KFBfUFJJQ0UoNDA1NDUpLShGRl9DQVNIX1NUKFFUUiw0MDU0NSkvUF9DT01fU0hTX09VVCg0MDU0NSkpKS9GR","V9FU1RJTUFURSgnRVBTJywnTUVBTicsJ0FOTlVBTF9ST0xMJywnKzEnLDQwNTQ1LCwsJycp&amp;WINDOW=FIRST_POPUP&amp;HEIGHT=450&amp;WIDTH=450&amp;START_MAXIMIZED=FALSE&amp;VAR:CALENDAR=US&amp;VAR:SYMBOL=38259P50&amp;VAR:INDEX=0"}</definedName>
    <definedName name="_21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0.243836&amp;VAR:V=15.148962&amp;VAR:V0=15.573066&amp;VAR:V1=13.969214&amp;VAR:Y0=2007&amp;VAR:Y1=2008&amp;VAR:P=1420.863800&amp;VAR:DATE=20070330&amp;VAR:THRESH=-|-|","-|-|-|-|-"}</definedName>
    <definedName name="_2110__FDSAUDITLINK__">{"fdsup://directions/FAT Viewer?action=UPDATE&amp;creator=factset&amp;DYN_ARGS=TRUE&amp;DOC_NAME=FAT:FQL_AUDITING_CLIENT_TEMPLATE.FAT&amp;display_string=Audit&amp;VAR:KEY=IXGDAHGBGX&amp;VAR:QUERY=KFBfUFJJQ0UoNDA1NDUpLShGRl9DQVNIX1NUKFFUUiw0MDU0NSkvUF9DT01fU0hTX09VVCg0MDU0NSkpKS9GR","V9FU1RJTUFURSgnRVBTJywnTUVBTicsJ0FOTlVBTF9ST0xMJywnKzEnLDQwNTQ1LCwsJycp&amp;WINDOW=FIRST_POPUP&amp;HEIGHT=450&amp;WIDTH=450&amp;START_MAXIMIZED=FALSE&amp;VAR:CALENDAR=US&amp;VAR:SYMBOL=38259P50&amp;VAR:INDEX=0"}</definedName>
    <definedName name="_2111__FDSAUDITLINK__">{"fdsup://directions/FAT Viewer?action=UPDATE&amp;creator=factset&amp;DYN_ARGS=TRUE&amp;DOC_NAME=FAT:FQL_AUDITING_CLIENT_TEMPLATE.FAT&amp;display_string=Audit&amp;VAR:KEY=EBCXEFEHEV&amp;VAR:QUERY=KFBfUFJJQ0UoNDA1NDQpLShGRl9DQVNIX1NUKFFUUiw0MDU0NCkvUF9DT01fU0hTX09VVCg0MDU0NCkpKS9GR","V9FU1RJTUFURSgnRVBTJywnTUVBTicsJ0FOTlVBTF9ST0xMJywnKzEnLDQwNTQ0LCwsJycp&amp;WINDOW=FIRST_POPUP&amp;HEIGHT=450&amp;WIDTH=450&amp;START_MAXIMIZED=FALSE&amp;VAR:CALENDAR=US&amp;VAR:SYMBOL=38259P50&amp;VAR:INDEX=0"}</definedName>
    <definedName name="_2112__FDSAUDITLINK__">{"fdsup://directions/FAT Viewer?action=UPDATE&amp;creator=factset&amp;DYN_ARGS=TRUE&amp;DOC_NAME=FAT:FQL_AUDITING_CLIENT_TEMPLATE.FAT&amp;display_string=Audit&amp;VAR:KEY=EBCXEFEHEV&amp;VAR:QUERY=KFBfUFJJQ0UoNDA1NDQpLShGRl9DQVNIX1NUKFFUUiw0MDU0NCkvUF9DT01fU0hTX09VVCg0MDU0NCkpKS9GR","V9FU1RJTUFURSgnRVBTJywnTUVBTicsJ0FOTlVBTF9ST0xMJywnKzEnLDQwNTQ0LCwsJycp&amp;WINDOW=FIRST_POPUP&amp;HEIGHT=450&amp;WIDTH=450&amp;START_MAXIMIZED=FALSE&amp;VAR:CALENDAR=US&amp;VAR:SYMBOL=38259P50&amp;VAR:INDEX=0"}</definedName>
    <definedName name="_2113__FDSAUDITLINK__">{"fdsup://directions/FAT Viewer?action=UPDATE&amp;creator=factset&amp;DYN_ARGS=TRUE&amp;DOC_NAME=FAT:FQL_AUDITING_CLIENT_TEMPLATE.FAT&amp;display_string=Audit&amp;VAR:KEY=MRKROTCHYN&amp;VAR:QUERY=KFBfUFJJQ0UoNDA1NDMpLShGRl9DQVNIX1NUKFFUUiw0MDU0MykvUF9DT01fU0hTX09VVCg0MDU0MykpKS9GR","V9FU1RJTUFURSgnRVBTJywnTUVBTicsJ0FOTlVBTF9ST0xMJywnKzEnLDQwNTQzLCwsJycp&amp;WINDOW=FIRST_POPUP&amp;HEIGHT=450&amp;WIDTH=450&amp;START_MAXIMIZED=FALSE&amp;VAR:CALENDAR=US&amp;VAR:SYMBOL=38259P50&amp;VAR:INDEX=0"}</definedName>
    <definedName name="_2114__FDSAUDITLINK__">{"fdsup://directions/FAT Viewer?action=UPDATE&amp;creator=factset&amp;DYN_ARGS=TRUE&amp;DOC_NAME=FAT:FQL_AUDITING_CLIENT_TEMPLATE.FAT&amp;display_string=Audit&amp;VAR:KEY=MRKROTCHYN&amp;VAR:QUERY=KFBfUFJJQ0UoNDA1NDMpLShGRl9DQVNIX1NUKFFUUiw0MDU0MykvUF9DT01fU0hTX09VVCg0MDU0MykpKS9GR","V9FU1RJTUFURSgnRVBTJywnTUVBTicsJ0FOTlVBTF9ST0xMJywnKzEnLDQwNTQzLCwsJycp&amp;WINDOW=FIRST_POPUP&amp;HEIGHT=450&amp;WIDTH=450&amp;START_MAXIMIZED=FALSE&amp;VAR:CALENDAR=US&amp;VAR:SYMBOL=38259P50&amp;VAR:INDEX=0"}</definedName>
    <definedName name="_2115__FDSAUDITLINK__">{"fdsup://directions/FAT Viewer?action=UPDATE&amp;creator=factset&amp;DYN_ARGS=TRUE&amp;DOC_NAME=FAT:FQL_AUDITING_CLIENT_TEMPLATE.FAT&amp;display_string=Audit&amp;VAR:KEY=KRIZCDIRSD&amp;VAR:QUERY=KFBfUFJJQ0UoNDA1NDIpLShGRl9DQVNIX1NUKFFUUiw0MDU0MikvUF9DT01fU0hTX09VVCg0MDU0MikpKS9GR","V9FU1RJTUFURSgnRVBTJywnTUVBTicsJ0FOTlVBTF9ST0xMJywnKzEnLDQwNTQyLCwsJycp&amp;WINDOW=FIRST_POPUP&amp;HEIGHT=450&amp;WIDTH=450&amp;START_MAXIMIZED=FALSE&amp;VAR:CALENDAR=US&amp;VAR:SYMBOL=38259P50&amp;VAR:INDEX=0"}</definedName>
    <definedName name="_2116__FDSAUDITLINK__">{"fdsup://directions/FAT Viewer?action=UPDATE&amp;creator=factset&amp;DYN_ARGS=TRUE&amp;DOC_NAME=FAT:FQL_AUDITING_CLIENT_TEMPLATE.FAT&amp;display_string=Audit&amp;VAR:KEY=KRIZCDIRSD&amp;VAR:QUERY=KFBfUFJJQ0UoNDA1NDIpLShGRl9DQVNIX1NUKFFUUiw0MDU0MikvUF9DT01fU0hTX09VVCg0MDU0MikpKS9GR","V9FU1RJTUFURSgnRVBTJywnTUVBTicsJ0FOTlVBTF9ST0xMJywnKzEnLDQwNTQyLCwsJycp&amp;WINDOW=FIRST_POPUP&amp;HEIGHT=450&amp;WIDTH=450&amp;START_MAXIMIZED=FALSE&amp;VAR:CALENDAR=US&amp;VAR:SYMBOL=38259P50&amp;VAR:INDEX=0"}</definedName>
    <definedName name="_2117__FDSAUDITLINK__">{"fdsup://directions/FAT Viewer?action=UPDATE&amp;creator=factset&amp;DYN_ARGS=TRUE&amp;DOC_NAME=FAT:FQL_AUDITING_CLIENT_TEMPLATE.FAT&amp;display_string=Audit&amp;VAR:KEY=GDYVCJYHOR&amp;VAR:QUERY=KFBfUFJJQ0UoNDA1NDEpLShGRl9DQVNIX1NUKFFUUiw0MDU0MSkvUF9DT01fU0hTX09VVCg0MDU0MSkpKS9GR","V9FU1RJTUFURSgnRVBTJywnTUVBTicsJ0FOTlVBTF9ST0xMJywnKzEnLDQwNTQxLCwsJycp&amp;WINDOW=FIRST_POPUP&amp;HEIGHT=450&amp;WIDTH=450&amp;START_MAXIMIZED=FALSE&amp;VAR:CALENDAR=US&amp;VAR:SYMBOL=38259P50&amp;VAR:INDEX=0"}</definedName>
    <definedName name="_2118__FDSAUDITLINK__">{"fdsup://directions/FAT Viewer?action=UPDATE&amp;creator=factset&amp;DYN_ARGS=TRUE&amp;DOC_NAME=FAT:FQL_AUDITING_CLIENT_TEMPLATE.FAT&amp;display_string=Audit&amp;VAR:KEY=GDYVCJYHOR&amp;VAR:QUERY=KFBfUFJJQ0UoNDA1NDEpLShGRl9DQVNIX1NUKFFUUiw0MDU0MSkvUF9DT01fU0hTX09VVCg0MDU0MSkpKS9GR","V9FU1RJTUFURSgnRVBTJywnTUVBTicsJ0FOTlVBTF9ST0xMJywnKzEnLDQwNTQxLCwsJycp&amp;WINDOW=FIRST_POPUP&amp;HEIGHT=450&amp;WIDTH=450&amp;START_MAXIMIZED=FALSE&amp;VAR:CALENDAR=US&amp;VAR:SYMBOL=38259P50&amp;VAR:INDEX=0"}</definedName>
    <definedName name="_2119__FDSAUDITLINK__">{"fdsup://directions/FAT Viewer?action=UPDATE&amp;creator=factset&amp;DYN_ARGS=TRUE&amp;DOC_NAME=FAT:FQL_AUDITING_CLIENT_TEMPLATE.FAT&amp;display_string=Audit&amp;VAR:KEY=CFWLELQBSZ&amp;VAR:QUERY=KFBfUFJJQ0UoNDA1NDApLShGRl9DQVNIX1NUKFFUUiw0MDU0MCkvUF9DT01fU0hTX09VVCg0MDU0MCkpKS9GR","V9FU1RJTUFURSgnRVBTJywnTUVBTicsJ0FOTlVBTF9ST0xMJywnKzEnLDQwNTQwLCwsJycp&amp;WINDOW=FIRST_POPUP&amp;HEIGHT=450&amp;WIDTH=450&amp;START_MAXIMIZED=FALSE&amp;VAR:CALENDAR=US&amp;VAR:SYMBOL=38259P50&amp;VAR:INDEX=0"}</definedName>
    <definedName name="_21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0.994521&amp;VAR:V=15.199205&amp;VAR:V0=16.539742&amp;VAR:V1=15.192421&amp;VAR:Y0=2006&amp;VAR:Y1=2007&amp;VAR:P=1418.300500&amp;VAR:DATE=20061229&amp;VAR:THRESH=-|-|","-|-|-|-|-"}</definedName>
    <definedName name="_2120__FDSAUDITLINK__">{"fdsup://directions/FAT Viewer?action=UPDATE&amp;creator=factset&amp;DYN_ARGS=TRUE&amp;DOC_NAME=FAT:FQL_AUDITING_CLIENT_TEMPLATE.FAT&amp;display_string=Audit&amp;VAR:KEY=CFWLELQBSZ&amp;VAR:QUERY=KFBfUFJJQ0UoNDA1NDApLShGRl9DQVNIX1NUKFFUUiw0MDU0MCkvUF9DT01fU0hTX09VVCg0MDU0MCkpKS9GR","V9FU1RJTUFURSgnRVBTJywnTUVBTicsJ0FOTlVBTF9ST0xMJywnKzEnLDQwNTQwLCwsJycp&amp;WINDOW=FIRST_POPUP&amp;HEIGHT=450&amp;WIDTH=450&amp;START_MAXIMIZED=FALSE&amp;VAR:CALENDAR=US&amp;VAR:SYMBOL=38259P50&amp;VAR:INDEX=0"}</definedName>
    <definedName name="_2121__FDSAUDITLINK__">{"fdsup://directions/FAT Viewer?action=UPDATE&amp;creator=factset&amp;DYN_ARGS=TRUE&amp;DOC_NAME=FAT:FQL_AUDITING_CLIENT_TEMPLATE.FAT&amp;display_string=Audit&amp;VAR:KEY=WFQXGTWVMH&amp;VAR:QUERY=KFBfUFJJQ0UoNDA1MzkpLShGRl9DQVNIX1NUKFFUUiw0MDUzOSkvUF9DT01fU0hTX09VVCg0MDUzOSkpKS9GR","V9FU1RJTUFURSgnRVBTJywnTUVBTicsJ0FOTlVBTF9ST0xMJywnKzEnLDQwNTM5LCwsJycp&amp;WINDOW=FIRST_POPUP&amp;HEIGHT=450&amp;WIDTH=450&amp;START_MAXIMIZED=FALSE&amp;VAR:CALENDAR=US&amp;VAR:SYMBOL=38259P50&amp;VAR:INDEX=0"}</definedName>
    <definedName name="_2122__FDSAUDITLINK__">{"fdsup://directions/FAT Viewer?action=UPDATE&amp;creator=factset&amp;DYN_ARGS=TRUE&amp;DOC_NAME=FAT:FQL_AUDITING_CLIENT_TEMPLATE.FAT&amp;display_string=Audit&amp;VAR:KEY=WFQXGTWVMH&amp;VAR:QUERY=KFBfUFJJQ0UoNDA1MzkpLShGRl9DQVNIX1NUKFFUUiw0MDUzOSkvUF9DT01fU0hTX09VVCg0MDUzOSkpKS9GR","V9FU1RJTUFURSgnRVBTJywnTUVBTicsJ0FOTlVBTF9ST0xMJywnKzEnLDQwNTM5LCwsJycp&amp;WINDOW=FIRST_POPUP&amp;HEIGHT=450&amp;WIDTH=450&amp;START_MAXIMIZED=FALSE&amp;VAR:CALENDAR=US&amp;VAR:SYMBOL=38259P50&amp;VAR:INDEX=0"}</definedName>
    <definedName name="_2123__FDSAUDITLINK__">{"fdsup://directions/FAT Viewer?action=UPDATE&amp;creator=factset&amp;DYN_ARGS=TRUE&amp;DOC_NAME=FAT:FQL_AUDITING_CLIENT_TEMPLATE.FAT&amp;display_string=Audit&amp;VAR:KEY=UBIPCJUNIB&amp;VAR:QUERY=KFBfUFJJQ0UoNDA1MzgpLShGRl9DQVNIX1NUKFFUUiw0MDUzOCkvUF9DT01fU0hTX09VVCg0MDUzOCkpKS9GR","V9FU1RJTUFURSgnRVBTJywnTUVBTicsJ0FOTlVBTF9ST0xMJywnKzEnLDQwNTM4LCwsJycp&amp;WINDOW=FIRST_POPUP&amp;HEIGHT=450&amp;WIDTH=450&amp;START_MAXIMIZED=FALSE&amp;VAR:CALENDAR=US&amp;VAR:SYMBOL=38259P50&amp;VAR:INDEX=0"}</definedName>
    <definedName name="_2124__FDSAUDITLINK__">{"fdsup://directions/FAT Viewer?action=UPDATE&amp;creator=factset&amp;DYN_ARGS=TRUE&amp;DOC_NAME=FAT:FQL_AUDITING_CLIENT_TEMPLATE.FAT&amp;display_string=Audit&amp;VAR:KEY=UBIPCJUNIB&amp;VAR:QUERY=KFBfUFJJQ0UoNDA1MzgpLShGRl9DQVNIX1NUKFFUUiw0MDUzOCkvUF9DT01fU0hTX09VVCg0MDUzOCkpKS9GR","V9FU1RJTUFURSgnRVBTJywnTUVBTicsJ0FOTlVBTF9ST0xMJywnKzEnLDQwNTM4LCwsJycp&amp;WINDOW=FIRST_POPUP&amp;HEIGHT=450&amp;WIDTH=450&amp;START_MAXIMIZED=FALSE&amp;VAR:CALENDAR=US&amp;VAR:SYMBOL=38259P50&amp;VAR:INDEX=0"}</definedName>
    <definedName name="_2125__FDSAUDITLINK__">{"fdsup://directions/FAT Viewer?action=UPDATE&amp;creator=factset&amp;DYN_ARGS=TRUE&amp;DOC_NAME=FAT:FQL_AUDITING_CLIENT_TEMPLATE.FAT&amp;display_string=Audit&amp;VAR:KEY=AZERALKJOV&amp;VAR:QUERY=KFBfUFJJQ0UoNDA1MzcpLShGRl9DQVNIX1NUKFFUUiw0MDUzNykvUF9DT01fU0hTX09VVCg0MDUzNykpKS9GR","V9FU1RJTUFURSgnRVBTJywnTUVBTicsJ0FOTlVBTF9ST0xMJywnKzEnLDQwNTM3LCwsJycp&amp;WINDOW=FIRST_POPUP&amp;HEIGHT=450&amp;WIDTH=450&amp;START_MAXIMIZED=FALSE&amp;VAR:CALENDAR=US&amp;VAR:SYMBOL=38259P50&amp;VAR:INDEX=0"}</definedName>
    <definedName name="_2126__FDSAUDITLINK__">{"fdsup://directions/FAT Viewer?action=UPDATE&amp;creator=factset&amp;DYN_ARGS=TRUE&amp;DOC_NAME=FAT:FQL_AUDITING_CLIENT_TEMPLATE.FAT&amp;display_string=Audit&amp;VAR:KEY=AZERALKJOV&amp;VAR:QUERY=KFBfUFJJQ0UoNDA1MzcpLShGRl9DQVNIX1NUKFFUUiw0MDUzNykvUF9DT01fU0hTX09VVCg0MDUzNykpKS9GR","V9FU1RJTUFURSgnRVBTJywnTUVBTicsJ0FOTlVBTF9ST0xMJywnKzEnLDQwNTM3LCwsJycp&amp;WINDOW=FIRST_POPUP&amp;HEIGHT=450&amp;WIDTH=450&amp;START_MAXIMIZED=FALSE&amp;VAR:CALENDAR=US&amp;VAR:SYMBOL=38259P50&amp;VAR:INDEX=0"}</definedName>
    <definedName name="_2127__FDSAUDITLINK__">{"fdsup://directions/FAT Viewer?action=UPDATE&amp;creator=factset&amp;DYN_ARGS=TRUE&amp;DOC_NAME=FAT:FQL_AUDITING_CLIENT_TEMPLATE.FAT&amp;display_string=Audit&amp;VAR:KEY=SHEXEDMXMR&amp;VAR:QUERY=KFBfUFJJQ0UoNDA1MzYpLShGRl9DQVNIX1NUKFFUUiw0MDUzNikvUF9DT01fU0hTX09VVCg0MDUzNikpKS9GR","V9FU1RJTUFURSgnRVBTJywnTUVBTicsJ0FOTlVBTF9ST0xMJywnKzEnLDQwNTM2LCwsJycp&amp;WINDOW=FIRST_POPUP&amp;HEIGHT=450&amp;WIDTH=450&amp;START_MAXIMIZED=FALSE&amp;VAR:CALENDAR=US&amp;VAR:SYMBOL=38259P50&amp;VAR:INDEX=0"}</definedName>
    <definedName name="_2128__FDSAUDITLINK__">{"fdsup://directions/FAT Viewer?action=UPDATE&amp;creator=factset&amp;DYN_ARGS=TRUE&amp;DOC_NAME=FAT:FQL_AUDITING_CLIENT_TEMPLATE.FAT&amp;display_string=Audit&amp;VAR:KEY=SHEXEDMXMR&amp;VAR:QUERY=KFBfUFJJQ0UoNDA1MzYpLShGRl9DQVNIX1NUKFFUUiw0MDUzNikvUF9DT01fU0hTX09VVCg0MDUzNikpKS9GR","V9FU1RJTUFURSgnRVBTJywnTUVBTicsJ0FOTlVBTF9ST0xMJywnKzEnLDQwNTM2LCwsJycp&amp;WINDOW=FIRST_POPUP&amp;HEIGHT=450&amp;WIDTH=450&amp;START_MAXIMIZED=FALSE&amp;VAR:CALENDAR=US&amp;VAR:SYMBOL=38259P50&amp;VAR:INDEX=0"}</definedName>
    <definedName name="_2129__FDSAUDITLINK__">{"fdsup://directions/FAT Viewer?action=UPDATE&amp;creator=factset&amp;DYN_ARGS=TRUE&amp;DOC_NAME=FAT:FQL_AUDITING_CLIENT_TEMPLATE.FAT&amp;display_string=Audit&amp;VAR:KEY=UTAHENUPQT&amp;VAR:QUERY=KFBfUFJJQ0UoNDA1MzUpLShGRl9DQVNIX1NUKFFUUiw0MDUzNSkvUF9DT01fU0hTX09VVCg0MDUzNSkpKS9GR","V9FU1RJTUFURSgnRVBTJywnTUVBTicsJ0FOTlVBTF9ST0xMJywnKzEnLDQwNTM1LCwsJycp&amp;WINDOW=FIRST_POPUP&amp;HEIGHT=450&amp;WIDTH=450&amp;START_MAXIMIZED=FALSE&amp;VAR:CALENDAR=US&amp;VAR:SYMBOL=38259P50&amp;VAR:INDEX=0"}</definedName>
    <definedName name="_21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0.745205&amp;VAR:V=14.572319&amp;VAR:V0=15.698977&amp;VAR:V1=14.223311&amp;VAR:Y0=2006&amp;VAR:Y1=2007&amp;VAR:P=1335.847000&amp;VAR:DATE=20060929&amp;VAR:THRESH=-|-|","-|-|-|-|-"}</definedName>
    <definedName name="_2130__FDSAUDITLINK__">{"fdsup://directions/FAT Viewer?action=UPDATE&amp;creator=factset&amp;DYN_ARGS=TRUE&amp;DOC_NAME=FAT:FQL_AUDITING_CLIENT_TEMPLATE.FAT&amp;display_string=Audit&amp;VAR:KEY=UTAHENUPQT&amp;VAR:QUERY=KFBfUFJJQ0UoNDA1MzUpLShGRl9DQVNIX1NUKFFUUiw0MDUzNSkvUF9DT01fU0hTX09VVCg0MDUzNSkpKS9GR","V9FU1RJTUFURSgnRVBTJywnTUVBTicsJ0FOTlVBTF9ST0xMJywnKzEnLDQwNTM1LCwsJycp&amp;WINDOW=FIRST_POPUP&amp;HEIGHT=450&amp;WIDTH=450&amp;START_MAXIMIZED=FALSE&amp;VAR:CALENDAR=US&amp;VAR:SYMBOL=38259P50&amp;VAR:INDEX=0"}</definedName>
    <definedName name="_2131__FDSAUDITLINK__">{"fdsup://directions/FAT Viewer?action=UPDATE&amp;creator=factset&amp;DYN_ARGS=TRUE&amp;DOC_NAME=FAT:FQL_AUDITING_CLIENT_TEMPLATE.FAT&amp;display_string=Audit&amp;VAR:KEY=SFCXAVMBEX&amp;VAR:QUERY=KFBfUFJJQ0UoNDA1MzQpLShGRl9DQVNIX1NUKFFUUiw0MDUzNCkvUF9DT01fU0hTX09VVCg0MDUzNCkpKS9GR","V9FU1RJTUFURSgnRVBTJywnTUVBTicsJ0FOTlVBTF9ST0xMJywnKzEnLDQwNTM0LCwsJycp&amp;WINDOW=FIRST_POPUP&amp;HEIGHT=450&amp;WIDTH=450&amp;START_MAXIMIZED=FALSE&amp;VAR:CALENDAR=US&amp;VAR:SYMBOL=38259P50&amp;VAR:INDEX=0"}</definedName>
    <definedName name="_2132__FDSAUDITLINK__">{"fdsup://directions/FAT Viewer?action=UPDATE&amp;creator=factset&amp;DYN_ARGS=TRUE&amp;DOC_NAME=FAT:FQL_AUDITING_CLIENT_TEMPLATE.FAT&amp;display_string=Audit&amp;VAR:KEY=SFCXAVMBEX&amp;VAR:QUERY=KFBfUFJJQ0UoNDA1MzQpLShGRl9DQVNIX1NUKFFUUiw0MDUzNCkvUF9DT01fU0hTX09VVCg0MDUzNCkpKS9GR","V9FU1RJTUFURSgnRVBTJywnTUVBTicsJ0FOTlVBTF9ST0xMJywnKzEnLDQwNTM0LCwsJycp&amp;WINDOW=FIRST_POPUP&amp;HEIGHT=450&amp;WIDTH=450&amp;START_MAXIMIZED=FALSE&amp;VAR:CALENDAR=US&amp;VAR:SYMBOL=38259P50&amp;VAR:INDEX=0"}</definedName>
    <definedName name="_2133__FDSAUDITLINK__">{"fdsup://directions/FAT Viewer?action=UPDATE&amp;creator=factset&amp;DYN_ARGS=TRUE&amp;DOC_NAME=FAT:FQL_AUDITING_CLIENT_TEMPLATE.FAT&amp;display_string=Audit&amp;VAR:KEY=WRGPAVUXKV&amp;VAR:QUERY=KFBfUFJJQ0UoNDA1MzMpLShGRl9DQVNIX1NUKFFUUiw0MDUzMykvUF9DT01fU0hTX09VVCg0MDUzMykpKS9GR","V9FU1RJTUFURSgnRVBTJywnTUVBTicsJ0FOTlVBTF9ST0xMJywnKzEnLDQwNTMzLCwsJycp&amp;WINDOW=FIRST_POPUP&amp;HEIGHT=450&amp;WIDTH=450&amp;START_MAXIMIZED=FALSE&amp;VAR:CALENDAR=US&amp;VAR:SYMBOL=38259P50&amp;VAR:INDEX=0"}</definedName>
    <definedName name="_2134__FDSAUDITLINK__">{"fdsup://directions/FAT Viewer?action=UPDATE&amp;creator=factset&amp;DYN_ARGS=TRUE&amp;DOC_NAME=FAT:FQL_AUDITING_CLIENT_TEMPLATE.FAT&amp;display_string=Audit&amp;VAR:KEY=WRGPAVUXKV&amp;VAR:QUERY=KFBfUFJJQ0UoNDA1MzMpLShGRl9DQVNIX1NUKFFUUiw0MDUzMykvUF9DT01fU0hTX09VVCg0MDUzMykpKS9GR","V9FU1RJTUFURSgnRVBTJywnTUVBTicsJ0FOTlVBTF9ST0xMJywnKzEnLDQwNTMzLCwsJycp&amp;WINDOW=FIRST_POPUP&amp;HEIGHT=450&amp;WIDTH=450&amp;START_MAXIMIZED=FALSE&amp;VAR:CALENDAR=US&amp;VAR:SYMBOL=38259P50&amp;VAR:INDEX=0"}</definedName>
    <definedName name="_2135__FDSAUDITLINK__">{"fdsup://directions/FAT Viewer?action=UPDATE&amp;creator=factset&amp;DYN_ARGS=TRUE&amp;DOC_NAME=FAT:FQL_AUDITING_CLIENT_TEMPLATE.FAT&amp;display_string=Audit&amp;VAR:KEY=MFAVEXOTQV&amp;VAR:QUERY=KFBfUFJJQ0UoNDA1MzIpLShGRl9DQVNIX1NUKFFUUiw0MDUzMikvUF9DT01fU0hTX09VVCg0MDUzMikpKS9GR","V9FU1RJTUFURSgnRVBTJywnTUVBTicsJ0FOTlVBTF9ST0xMJywnKzEnLDQwNTMyLCwsJycp&amp;WINDOW=FIRST_POPUP&amp;HEIGHT=450&amp;WIDTH=450&amp;START_MAXIMIZED=FALSE&amp;VAR:CALENDAR=US&amp;VAR:SYMBOL=38259P50&amp;VAR:INDEX=0"}</definedName>
    <definedName name="_2136__FDSAUDITLINK__">{"fdsup://directions/FAT Viewer?action=UPDATE&amp;creator=factset&amp;DYN_ARGS=TRUE&amp;DOC_NAME=FAT:FQL_AUDITING_CLIENT_TEMPLATE.FAT&amp;display_string=Audit&amp;VAR:KEY=MFAVEXOTQV&amp;VAR:QUERY=KFBfUFJJQ0UoNDA1MzIpLShGRl9DQVNIX1NUKFFUUiw0MDUzMikvUF9DT01fU0hTX09VVCg0MDUzMikpKS9GR","V9FU1RJTUFURSgnRVBTJywnTUVBTicsJ0FOTlVBTF9ST0xMJywnKzEnLDQwNTMyLCwsJycp&amp;WINDOW=FIRST_POPUP&amp;HEIGHT=450&amp;WIDTH=450&amp;START_MAXIMIZED=FALSE&amp;VAR:CALENDAR=US&amp;VAR:SYMBOL=38259P50&amp;VAR:INDEX=0"}</definedName>
    <definedName name="_2137__FDSAUDITLINK__">{"fdsup://directions/FAT Viewer?action=UPDATE&amp;creator=factset&amp;DYN_ARGS=TRUE&amp;DOC_NAME=FAT:FQL_AUDITING_CLIENT_TEMPLATE.FAT&amp;display_string=Audit&amp;VAR:KEY=OXMDIZSTKL&amp;VAR:QUERY=KFBfUFJJQ0UoNDA1MzEpLShGRl9DQVNIX1NUKFFUUiw0MDUzMSkvUF9DT01fU0hTX09VVCg0MDUzMSkpKS9GR","V9FU1RJTUFURSgnRVBTJywnTUVBTicsJ0FOTlVBTF9ST0xMJywnKzEnLDQwNTMxLCwsJycp&amp;WINDOW=FIRST_POPUP&amp;HEIGHT=450&amp;WIDTH=450&amp;START_MAXIMIZED=FALSE&amp;VAR:CALENDAR=US&amp;VAR:SYMBOL=38259P50&amp;VAR:INDEX=0"}</definedName>
    <definedName name="_2138__FDSAUDITLINK__">{"fdsup://directions/FAT Viewer?action=UPDATE&amp;creator=factset&amp;DYN_ARGS=TRUE&amp;DOC_NAME=FAT:FQL_AUDITING_CLIENT_TEMPLATE.FAT&amp;display_string=Audit&amp;VAR:KEY=OXMDIZSTKL&amp;VAR:QUERY=KFBfUFJJQ0UoNDA1MzEpLShGRl9DQVNIX1NUKFFUUiw0MDUzMSkvUF9DT01fU0hTX09VVCg0MDUzMSkpKS9GR","V9FU1RJTUFURSgnRVBTJywnTUVBTicsJ0FOTlVBTF9ST0xMJywnKzEnLDQwNTMxLCwsJycp&amp;WINDOW=FIRST_POPUP&amp;HEIGHT=450&amp;WIDTH=450&amp;START_MAXIMIZED=FALSE&amp;VAR:CALENDAR=US&amp;VAR:SYMBOL=38259P50&amp;VAR:INDEX=0"}</definedName>
    <definedName name="_2139__FDSAUDITLINK__">{"fdsup://directions/FAT Viewer?action=UPDATE&amp;creator=factset&amp;DYN_ARGS=TRUE&amp;DOC_NAME=FAT:FQL_AUDITING_CLIENT_TEMPLATE.FAT&amp;display_string=Audit&amp;VAR:KEY=QTGFILEZSZ&amp;VAR:QUERY=KFBfUFJJQ0UoNDA1MzApLShGRl9DQVNIX1NUKFFUUiw0MDUzMCkvUF9DT01fU0hTX09VVCg0MDUzMCkpKS9GR","V9FU1RJTUFURSgnRVBTJywnTUVBTicsJ0FOTlVBTF9ST0xMJywnKzEnLDQwNTMwLCwsJycp&amp;WINDOW=FIRST_POPUP&amp;HEIGHT=450&amp;WIDTH=450&amp;START_MAXIMIZED=FALSE&amp;VAR:CALENDAR=US&amp;VAR:SYMBOL=38259P50&amp;VAR:INDEX=0"}</definedName>
    <definedName name="_21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14.240161&amp;VAR:V0=14.996195&amp;VAR:V1=13.545923&amp;VAR:Y0=2006&amp;VAR:Y1=2007&amp;VAR:P=1270.204300&amp;VAR:DATE=20060630&amp;VAR:THRESH=-|-|","-|-|-|-|-"}</definedName>
    <definedName name="_2140__FDSAUDITLINK__">{"fdsup://directions/FAT Viewer?action=UPDATE&amp;creator=factset&amp;DYN_ARGS=TRUE&amp;DOC_NAME=FAT:FQL_AUDITING_CLIENT_TEMPLATE.FAT&amp;display_string=Audit&amp;VAR:KEY=QTGFILEZSZ&amp;VAR:QUERY=KFBfUFJJQ0UoNDA1MzApLShGRl9DQVNIX1NUKFFUUiw0MDUzMCkvUF9DT01fU0hTX09VVCg0MDUzMCkpKS9GR","V9FU1RJTUFURSgnRVBTJywnTUVBTicsJ0FOTlVBTF9ST0xMJywnKzEnLDQwNTMwLCwsJycp&amp;WINDOW=FIRST_POPUP&amp;HEIGHT=450&amp;WIDTH=450&amp;START_MAXIMIZED=FALSE&amp;VAR:CALENDAR=US&amp;VAR:SYMBOL=38259P50&amp;VAR:INDEX=0"}</definedName>
    <definedName name="_2141__FDSAUDITLINK__">{"fdsup://directions/FAT Viewer?action=UPDATE&amp;creator=factset&amp;DYN_ARGS=TRUE&amp;DOC_NAME=FAT:FQL_AUDITING_CLIENT_TEMPLATE.FAT&amp;display_string=Audit&amp;VAR:KEY=MVGDGXSFAX&amp;VAR:QUERY=KFBfUFJJQ0UoNDA1MjkpLShGRl9DQVNIX1NUKFFUUiw0MDUyOSkvUF9DT01fU0hTX09VVCg0MDUyOSkpKS9GR","V9FU1RJTUFURSgnRVBTJywnTUVBTicsJ0FOTlVBTF9ST0xMJywnKzEnLDQwNTI5LCwsJycp&amp;WINDOW=FIRST_POPUP&amp;HEIGHT=450&amp;WIDTH=450&amp;START_MAXIMIZED=FALSE&amp;VAR:CALENDAR=US&amp;VAR:SYMBOL=38259P50&amp;VAR:INDEX=0"}</definedName>
    <definedName name="_2142__FDSAUDITLINK__">{"fdsup://directions/FAT Viewer?action=UPDATE&amp;creator=factset&amp;DYN_ARGS=TRUE&amp;DOC_NAME=FAT:FQL_AUDITING_CLIENT_TEMPLATE.FAT&amp;display_string=Audit&amp;VAR:KEY=MVGDGXSFAX&amp;VAR:QUERY=KFBfUFJJQ0UoNDA1MjkpLShGRl9DQVNIX1NUKFFUUiw0MDUyOSkvUF9DT01fU0hTX09VVCg0MDUyOSkpKS9GR","V9FU1RJTUFURSgnRVBTJywnTUVBTicsJ0FOTlVBTF9ST0xMJywnKzEnLDQwNTI5LCwsJycp&amp;WINDOW=FIRST_POPUP&amp;HEIGHT=450&amp;WIDTH=450&amp;START_MAXIMIZED=FALSE&amp;VAR:CALENDAR=US&amp;VAR:SYMBOL=38259P50&amp;VAR:INDEX=0"}</definedName>
    <definedName name="_2143__FDSAUDITLINK__">{"fdsup://directions/FAT Viewer?action=UPDATE&amp;creator=factset&amp;DYN_ARGS=TRUE&amp;DOC_NAME=FAT:FQL_AUDITING_CLIENT_TEMPLATE.FAT&amp;display_string=Audit&amp;VAR:KEY=WLCFKVQJYR&amp;VAR:QUERY=KFBfUFJJQ0UoNDA1MjgpLShGRl9DQVNIX1NUKFFUUiw0MDUyOCkvUF9DT01fU0hTX09VVCg0MDUyOCkpKS9GR","V9FU1RJTUFURSgnRVBTJywnTUVBTicsJ0FOTlVBTF9ST0xMJywnKzEnLDQwNTI4LCwsJycp&amp;WINDOW=FIRST_POPUP&amp;HEIGHT=450&amp;WIDTH=450&amp;START_MAXIMIZED=FALSE&amp;VAR:CALENDAR=US&amp;VAR:SYMBOL=38259P50&amp;VAR:INDEX=0"}</definedName>
    <definedName name="_2144__FDSAUDITLINK__">{"fdsup://directions/FAT Viewer?action=UPDATE&amp;creator=factset&amp;DYN_ARGS=TRUE&amp;DOC_NAME=FAT:FQL_AUDITING_CLIENT_TEMPLATE.FAT&amp;display_string=Audit&amp;VAR:KEY=WLCFKVQJYR&amp;VAR:QUERY=KFBfUFJJQ0UoNDA1MjgpLShGRl9DQVNIX1NUKFFUUiw0MDUyOCkvUF9DT01fU0hTX09VVCg0MDUyOCkpKS9GR","V9FU1RJTUFURSgnRVBTJywnTUVBTicsJ0FOTlVBTF9ST0xMJywnKzEnLDQwNTI4LCwsJycp&amp;WINDOW=FIRST_POPUP&amp;HEIGHT=450&amp;WIDTH=450&amp;START_MAXIMIZED=FALSE&amp;VAR:CALENDAR=US&amp;VAR:SYMBOL=38259P50&amp;VAR:INDEX=0"}</definedName>
    <definedName name="_2145__FDSAUDITLINK__">{"fdsup://directions/FAT Viewer?action=UPDATE&amp;creator=factset&amp;DYN_ARGS=TRUE&amp;DOC_NAME=FAT:FQL_AUDITING_CLIENT_TEMPLATE.FAT&amp;display_string=Audit&amp;VAR:KEY=UXKXCBULEH&amp;VAR:QUERY=KFBfUFJJQ0UoNDA1MjcpLShGRl9DQVNIX1NUKFFUUiw0MDUyNykvUF9DT01fU0hTX09VVCg0MDUyNykpKS9GR","V9FU1RJTUFURSgnRVBTJywnTUVBTicsJ0FOTlVBTF9ST0xMJywnKzEnLDQwNTI3LCwsJycp&amp;WINDOW=FIRST_POPUP&amp;HEIGHT=450&amp;WIDTH=450&amp;START_MAXIMIZED=FALSE&amp;VAR:CALENDAR=US&amp;VAR:SYMBOL=38259P50&amp;VAR:INDEX=0"}</definedName>
    <definedName name="_2146__FDSAUDITLINK__">{"fdsup://directions/FAT Viewer?action=UPDATE&amp;creator=factset&amp;DYN_ARGS=TRUE&amp;DOC_NAME=FAT:FQL_AUDITING_CLIENT_TEMPLATE.FAT&amp;display_string=Audit&amp;VAR:KEY=UXKXCBULEH&amp;VAR:QUERY=KFBfUFJJQ0UoNDA1MjcpLShGRl9DQVNIX1NUKFFUUiw0MDUyNykvUF9DT01fU0hTX09VVCg0MDUyNykpKS9GR","V9FU1RJTUFURSgnRVBTJywnTUVBTicsJ0FOTlVBTF9ST0xMJywnKzEnLDQwNTI3LCwsJycp&amp;WINDOW=FIRST_POPUP&amp;HEIGHT=450&amp;WIDTH=450&amp;START_MAXIMIZED=FALSE&amp;VAR:CALENDAR=US&amp;VAR:SYMBOL=38259P50&amp;VAR:INDEX=0"}</definedName>
    <definedName name="_2147__FDSAUDITLINK__">{"fdsup://directions/FAT Viewer?action=UPDATE&amp;creator=factset&amp;DYN_ARGS=TRUE&amp;DOC_NAME=FAT:FQL_AUDITING_CLIENT_TEMPLATE.FAT&amp;display_string=Audit&amp;VAR:KEY=MHUROFMBEZ&amp;VAR:QUERY=KFBfUFJJQ0UoNDA1MjYpLShGRl9DQVNIX1NUKFFUUiw0MDUyNikvUF9DT01fU0hTX09VVCg0MDUyNikpKS9GR","V9FU1RJTUFURSgnRVBTJywnTUVBTicsJ0FOTlVBTF9ST0xMJywnKzEnLDQwNTI2LCwsJycp&amp;WINDOW=FIRST_POPUP&amp;HEIGHT=450&amp;WIDTH=450&amp;START_MAXIMIZED=FALSE&amp;VAR:CALENDAR=US&amp;VAR:SYMBOL=38259P50&amp;VAR:INDEX=0"}</definedName>
    <definedName name="_2148__FDSAUDITLINK__">{"fdsup://directions/FAT Viewer?action=UPDATE&amp;creator=factset&amp;DYN_ARGS=TRUE&amp;DOC_NAME=FAT:FQL_AUDITING_CLIENT_TEMPLATE.FAT&amp;display_string=Audit&amp;VAR:KEY=MHUROFMBEZ&amp;VAR:QUERY=KFBfUFJJQ0UoNDA1MjYpLShGRl9DQVNIX1NUKFFUUiw0MDUyNikvUF9DT01fU0hTX09VVCg0MDUyNikpKS9GR","V9FU1RJTUFURSgnRVBTJywnTUVBTicsJ0FOTlVBTF9ST0xMJywnKzEnLDQwNTI2LCwsJycp&amp;WINDOW=FIRST_POPUP&amp;HEIGHT=450&amp;WIDTH=450&amp;START_MAXIMIZED=FALSE&amp;VAR:CALENDAR=US&amp;VAR:SYMBOL=38259P50&amp;VAR:INDEX=0"}</definedName>
    <definedName name="_2149__FDSAUDITLINK__">{"fdsup://directions/FAT Viewer?action=UPDATE&amp;creator=factset&amp;DYN_ARGS=TRUE&amp;DOC_NAME=FAT:FQL_AUDITING_CLIENT_TEMPLATE.FAT&amp;display_string=Audit&amp;VAR:KEY=AFUPSXEJYB&amp;VAR:QUERY=KFBfUFJJQ0UoNDA1MjUpLShGRl9DQVNIX1NUKFFUUiw0MDUyNSkvUF9DT01fU0hTX09VVCg0MDUyNSkpKS9GR","V9FU1RJTUFURSgnRVBTJywnTUVBTicsJ0FOTlVBTF9ST0xMJywnKzEnLDQwNTI1LCwsJycp&amp;WINDOW=FIRST_POPUP&amp;HEIGHT=450&amp;WIDTH=450&amp;START_MAXIMIZED=FALSE&amp;VAR:CALENDAR=US&amp;VAR:SYMBOL=38259P50&amp;VAR:INDEX=0"}</definedName>
    <definedName name="_21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15.131952&amp;VAR:V0=15.519063&amp;VAR:V1=14.060299&amp;VAR:Y0=2006&amp;VAR:Y1=2007&amp;VAR:P=1294.827900&amp;VAR:DATE=20060331&amp;VAR:THRESH=-|-|","-|-|-|-|-"}</definedName>
    <definedName name="_2150__FDSAUDITLINK__">{"fdsup://directions/FAT Viewer?action=UPDATE&amp;creator=factset&amp;DYN_ARGS=TRUE&amp;DOC_NAME=FAT:FQL_AUDITING_CLIENT_TEMPLATE.FAT&amp;display_string=Audit&amp;VAR:KEY=AFUPSXEJYB&amp;VAR:QUERY=KFBfUFJJQ0UoNDA1MjUpLShGRl9DQVNIX1NUKFFUUiw0MDUyNSkvUF9DT01fU0hTX09VVCg0MDUyNSkpKS9GR","V9FU1RJTUFURSgnRVBTJywnTUVBTicsJ0FOTlVBTF9ST0xMJywnKzEnLDQwNTI1LCwsJycp&amp;WINDOW=FIRST_POPUP&amp;HEIGHT=450&amp;WIDTH=450&amp;START_MAXIMIZED=FALSE&amp;VAR:CALENDAR=US&amp;VAR:SYMBOL=38259P50&amp;VAR:INDEX=0"}</definedName>
    <definedName name="_2151__FDSAUDITLINK__">{"fdsup://directions/FAT Viewer?action=UPDATE&amp;creator=factset&amp;DYN_ARGS=TRUE&amp;DOC_NAME=FAT:FQL_AUDITING_CLIENT_TEMPLATE.FAT&amp;display_string=Audit&amp;VAR:KEY=SPOFCRWFIT&amp;VAR:QUERY=KFBfUFJJQ0UoNDA1MjQpLShGRl9DQVNIX1NUKFFUUiw0MDUyNCkvUF9DT01fU0hTX09VVCg0MDUyNCkpKS9GR","V9FU1RJTUFURSgnRVBTJywnTUVBTicsJ0FOTlVBTF9ST0xMJywnKzEnLDQwNTI0LCwsJycp&amp;WINDOW=FIRST_POPUP&amp;HEIGHT=450&amp;WIDTH=450&amp;START_MAXIMIZED=FALSE&amp;VAR:CALENDAR=US&amp;VAR:SYMBOL=38259P50&amp;VAR:INDEX=0"}</definedName>
    <definedName name="_2152__FDSAUDITLINK__">{"fdsup://directions/FAT Viewer?action=UPDATE&amp;creator=factset&amp;DYN_ARGS=TRUE&amp;DOC_NAME=FAT:FQL_AUDITING_CLIENT_TEMPLATE.FAT&amp;display_string=Audit&amp;VAR:KEY=SPOFCRWFIT&amp;VAR:QUERY=KFBfUFJJQ0UoNDA1MjQpLShGRl9DQVNIX1NUKFFUUiw0MDUyNCkvUF9DT01fU0hTX09VVCg0MDUyNCkpKS9GR","V9FU1RJTUFURSgnRVBTJywnTUVBTicsJ0FOTlVBTF9ST0xMJywnKzEnLDQwNTI0LCwsJycp&amp;WINDOW=FIRST_POPUP&amp;HEIGHT=450&amp;WIDTH=450&amp;START_MAXIMIZED=FALSE&amp;VAR:CALENDAR=US&amp;VAR:SYMBOL=38259P50&amp;VAR:INDEX=0"}</definedName>
    <definedName name="_2153__FDSAUDITLINK__">{"fdsup://directions/FAT Viewer?action=UPDATE&amp;creator=factset&amp;DYN_ARGS=TRUE&amp;DOC_NAME=FAT:FQL_AUDITING_CLIENT_TEMPLATE.FAT&amp;display_string=Audit&amp;VAR:KEY=GRKZMLOXUN&amp;VAR:QUERY=KFBfUFJJQ0UoNDA1MjMpLShGRl9DQVNIX1NUKFFUUiw0MDUyMykvUF9DT01fU0hTX09VVCg0MDUyMykpKS9GR","V9FU1RJTUFURSgnRVBTJywnTUVBTicsJ0FOTlVBTF9ST0xMJywnKzEnLDQwNTIzLCwsJycp&amp;WINDOW=FIRST_POPUP&amp;HEIGHT=450&amp;WIDTH=450&amp;START_MAXIMIZED=FALSE&amp;VAR:CALENDAR=US&amp;VAR:SYMBOL=38259P50&amp;VAR:INDEX=0"}</definedName>
    <definedName name="_2154__FDSAUDITLINK__">{"fdsup://directions/FAT Viewer?action=UPDATE&amp;creator=factset&amp;DYN_ARGS=TRUE&amp;DOC_NAME=FAT:FQL_AUDITING_CLIENT_TEMPLATE.FAT&amp;display_string=Audit&amp;VAR:KEY=GRKZMLOXUN&amp;VAR:QUERY=KFBfUFJJQ0UoNDA1MjMpLShGRl9DQVNIX1NUKFFUUiw0MDUyMykvUF9DT01fU0hTX09VVCg0MDUyMykpKS9GR","V9FU1RJTUFURSgnRVBTJywnTUVBTicsJ0FOTlVBTF9ST0xMJywnKzEnLDQwNTIzLCwsJycp&amp;WINDOW=FIRST_POPUP&amp;HEIGHT=450&amp;WIDTH=450&amp;START_MAXIMIZED=FALSE&amp;VAR:CALENDAR=US&amp;VAR:SYMBOL=38259P50&amp;VAR:INDEX=0"}</definedName>
    <definedName name="_2155__FDSAUDITLINK__">{"fdsup://directions/FAT Viewer?action=UPDATE&amp;creator=factset&amp;DYN_ARGS=TRUE&amp;DOC_NAME=FAT:FQL_AUDITING_CLIENT_TEMPLATE.FAT&amp;display_string=Audit&amp;VAR:KEY=YJINUHEDIP&amp;VAR:QUERY=KFBfUFJJQ0UoNDA1MjIpLShGRl9DQVNIX1NUKFFUUiw0MDUyMikvUF9DT01fU0hTX09VVCg0MDUyMikpKS9GR","V9FU1RJTUFURSgnRVBTJywnTUVBTicsJ0FOTlVBTF9ST0xMJywnKzEnLDQwNTIyLCwsJycp&amp;WINDOW=FIRST_POPUP&amp;HEIGHT=450&amp;WIDTH=450&amp;START_MAXIMIZED=FALSE&amp;VAR:CALENDAR=US&amp;VAR:SYMBOL=38259P50&amp;VAR:INDEX=0"}</definedName>
    <definedName name="_2156__FDSAUDITLINK__">{"fdsup://directions/FAT Viewer?action=UPDATE&amp;creator=factset&amp;DYN_ARGS=TRUE&amp;DOC_NAME=FAT:FQL_AUDITING_CLIENT_TEMPLATE.FAT&amp;display_string=Audit&amp;VAR:KEY=YJINUHEDIP&amp;VAR:QUERY=KFBfUFJJQ0UoNDA1MjIpLShGRl9DQVNIX1NUKFFUUiw0MDUyMikvUF9DT01fU0hTX09VVCg0MDUyMikpKS9GR","V9FU1RJTUFURSgnRVBTJywnTUVBTicsJ0FOTlVBTF9ST0xMJywnKzEnLDQwNTIyLCwsJycp&amp;WINDOW=FIRST_POPUP&amp;HEIGHT=450&amp;WIDTH=450&amp;START_MAXIMIZED=FALSE&amp;VAR:CALENDAR=US&amp;VAR:SYMBOL=38259P50&amp;VAR:INDEX=0"}</definedName>
    <definedName name="_2157__FDSAUDITLINK__">{"fdsup://directions/FAT Viewer?action=UPDATE&amp;creator=factset&amp;DYN_ARGS=TRUE&amp;DOC_NAME=FAT:FQL_AUDITING_CLIENT_TEMPLATE.FAT&amp;display_string=Audit&amp;VAR:KEY=APOFWZUPCH&amp;VAR:QUERY=KFBfUFJJQ0UoNDA1MjEpLShGRl9DQVNIX1NUKFFUUiw0MDUyMSkvUF9DT01fU0hTX09VVCg0MDUyMSkpKS9GR","V9FU1RJTUFURSgnRVBTJywnTUVBTicsJ0FOTlVBTF9ST0xMJywnKzEnLDQwNTIxLCwsJycp&amp;WINDOW=FIRST_POPUP&amp;HEIGHT=450&amp;WIDTH=450&amp;START_MAXIMIZED=FALSE&amp;VAR:CALENDAR=US&amp;VAR:SYMBOL=38259P50&amp;VAR:INDEX=0"}</definedName>
    <definedName name="_2158__FDSAUDITLINK__">{"fdsup://directions/FAT Viewer?action=UPDATE&amp;creator=factset&amp;DYN_ARGS=TRUE&amp;DOC_NAME=FAT:FQL_AUDITING_CLIENT_TEMPLATE.FAT&amp;display_string=Audit&amp;VAR:KEY=APOFWZUPCH&amp;VAR:QUERY=KFBfUFJJQ0UoNDA1MjEpLShGRl9DQVNIX1NUKFFUUiw0MDUyMSkvUF9DT01fU0hTX09VVCg0MDUyMSkpKS9GR","V9FU1RJTUFURSgnRVBTJywnTUVBTicsJ0FOTlVBTF9ST0xMJywnKzEnLDQwNTIxLCwsJycp&amp;WINDOW=FIRST_POPUP&amp;HEIGHT=450&amp;WIDTH=450&amp;START_MAXIMIZED=FALSE&amp;VAR:CALENDAR=US&amp;VAR:SYMBOL=38259P50&amp;VAR:INDEX=0"}</definedName>
    <definedName name="_2159__FDSAUDITLINK__">{"fdsup://directions/FAT Viewer?action=UPDATE&amp;creator=factset&amp;DYN_ARGS=TRUE&amp;DOC_NAME=FAT:FQL_AUDITING_CLIENT_TEMPLATE.FAT&amp;display_string=Audit&amp;VAR:KEY=EJUHUNUXCX&amp;VAR:QUERY=KFBfUFJJQ0UoNDA1MjApLShGRl9DQVNIX1NUKFFUUiw0MDUyMCkvUF9DT01fU0hTX09VVCg0MDUyMCkpKS9GR","V9FU1RJTUFURSgnRVBTJywnTUVBTicsJ0FOTlVBTF9ST0xMJywnKzEnLDQwNTIwLCwsJycp&amp;WINDOW=FIRST_POPUP&amp;HEIGHT=450&amp;WIDTH=450&amp;START_MAXIMIZED=FALSE&amp;VAR:CALENDAR=US&amp;VAR:SYMBOL=38259P50&amp;VAR:INDEX=0"}</definedName>
    <definedName name="_21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0.997260&amp;VAR:V=15.009019&amp;VAR:V0=16.896282&amp;VAR:V1=15.004415&amp;VAR:Y0=2005&amp;VAR:Y1=2006&amp;VAR:P=1248.293000&amp;VAR:DATE=20051230&amp;VAR:THRESH=-|-|","-|-|-|-|-"}</definedName>
    <definedName name="_2160__FDSAUDITLINK__">{"fdsup://directions/FAT Viewer?action=UPDATE&amp;creator=factset&amp;DYN_ARGS=TRUE&amp;DOC_NAME=FAT:FQL_AUDITING_CLIENT_TEMPLATE.FAT&amp;display_string=Audit&amp;VAR:KEY=EJUHUNUXCX&amp;VAR:QUERY=KFBfUFJJQ0UoNDA1MjApLShGRl9DQVNIX1NUKFFUUiw0MDUyMCkvUF9DT01fU0hTX09VVCg0MDUyMCkpKS9GR","V9FU1RJTUFURSgnRVBTJywnTUVBTicsJ0FOTlVBTF9ST0xMJywnKzEnLDQwNTIwLCwsJycp&amp;WINDOW=FIRST_POPUP&amp;HEIGHT=450&amp;WIDTH=450&amp;START_MAXIMIZED=FALSE&amp;VAR:CALENDAR=US&amp;VAR:SYMBOL=38259P50&amp;VAR:INDEX=0"}</definedName>
    <definedName name="_2161__FDSAUDITLINK__">{"fdsup://directions/FAT Viewer?action=UPDATE&amp;creator=factset&amp;DYN_ARGS=TRUE&amp;DOC_NAME=FAT:FQL_AUDITING_CLIENT_TEMPLATE.FAT&amp;display_string=Audit&amp;VAR:KEY=OHYVCDUFKB&amp;VAR:QUERY=KFBfUFJJQ0UoNDA1MTkpLShGRl9DQVNIX1NUKFFUUiw0MDUxOSkvUF9DT01fU0hTX09VVCg0MDUxOSkpKS9GR","V9FU1RJTUFURSgnRVBTJywnTUVBTicsJ0FOTlVBTF9ST0xMJywnKzEnLDQwNTE5LCwsJycp&amp;WINDOW=FIRST_POPUP&amp;HEIGHT=450&amp;WIDTH=450&amp;START_MAXIMIZED=FALSE&amp;VAR:CALENDAR=US&amp;VAR:SYMBOL=38259P50&amp;VAR:INDEX=0"}</definedName>
    <definedName name="_2162__FDSAUDITLINK__">{"fdsup://directions/FAT Viewer?action=UPDATE&amp;creator=factset&amp;DYN_ARGS=TRUE&amp;DOC_NAME=FAT:FQL_AUDITING_CLIENT_TEMPLATE.FAT&amp;display_string=Audit&amp;VAR:KEY=OHYVCDUFKB&amp;VAR:QUERY=KFBfUFJJQ0UoNDA1MTkpLShGRl9DQVNIX1NUKFFUUiw0MDUxOSkvUF9DT01fU0hTX09VVCg0MDUxOSkpKS9GR","V9FU1RJTUFURSgnRVBTJywnTUVBTicsJ0FOTlVBTF9ST0xMJywnKzEnLDQwNTE5LCwsJycp&amp;WINDOW=FIRST_POPUP&amp;HEIGHT=450&amp;WIDTH=450&amp;START_MAXIMIZED=FALSE&amp;VAR:CALENDAR=US&amp;VAR:SYMBOL=38259P50&amp;VAR:INDEX=0"}</definedName>
    <definedName name="_2163__FDSAUDITLINK__">{"fdsup://directions/FAT Viewer?action=UPDATE&amp;creator=factset&amp;DYN_ARGS=TRUE&amp;DOC_NAME=FAT:FQL_AUDITING_CLIENT_TEMPLATE.FAT&amp;display_string=Audit&amp;VAR:KEY=INAZCFANSB&amp;VAR:QUERY=KFBfUFJJQ0UoNDA1MTgpLShGRl9DQVNIX1NUKFFUUiw0MDUxOCkvUF9DT01fU0hTX09VVCg0MDUxOCkpKS9GR","V9FU1RJTUFURSgnRVBTJywnTUVBTicsJ0FOTlVBTF9ST0xMJywnKzEnLDQwNTE4LCwsJycp&amp;WINDOW=FIRST_POPUP&amp;HEIGHT=450&amp;WIDTH=450&amp;START_MAXIMIZED=FALSE&amp;VAR:CALENDAR=US&amp;VAR:SYMBOL=38259P50&amp;VAR:INDEX=0"}</definedName>
    <definedName name="_2164__FDSAUDITLINK__">{"fdsup://directions/FAT Viewer?action=UPDATE&amp;creator=factset&amp;DYN_ARGS=TRUE&amp;DOC_NAME=FAT:FQL_AUDITING_CLIENT_TEMPLATE.FAT&amp;display_string=Audit&amp;VAR:KEY=INAZCFANSB&amp;VAR:QUERY=KFBfUFJJQ0UoNDA1MTgpLShGRl9DQVNIX1NUKFFUUiw0MDUxOCkvUF9DT01fU0hTX09VVCg0MDUxOCkpKS9GR","V9FU1RJTUFURSgnRVBTJywnTUVBTicsJ0FOTlVBTF9ST0xMJywnKzEnLDQwNTE4LCwsJycp&amp;WINDOW=FIRST_POPUP&amp;HEIGHT=450&amp;WIDTH=450&amp;START_MAXIMIZED=FALSE&amp;VAR:CALENDAR=US&amp;VAR:SYMBOL=38259P50&amp;VAR:INDEX=0"}</definedName>
    <definedName name="_2165__FDSAUDITLINK__">{"fdsup://directions/FAT Viewer?action=UPDATE&amp;creator=factset&amp;DYN_ARGS=TRUE&amp;DOC_NAME=FAT:FQL_AUDITING_CLIENT_TEMPLATE.FAT&amp;display_string=Audit&amp;VAR:KEY=QZYDEPERWB&amp;VAR:QUERY=KFBfUFJJQ0UoNDA1MTcpLShGRl9DQVNIX1NUKFFUUiw0MDUxNykvUF9DT01fU0hTX09VVCg0MDUxNykpKS9GR","V9FU1RJTUFURSgnRVBTJywnTUVBTicsJ0FOTlVBTF9ST0xMJywnKzEnLDQwNTE3LCwsJycp&amp;WINDOW=FIRST_POPUP&amp;HEIGHT=450&amp;WIDTH=450&amp;START_MAXIMIZED=FALSE&amp;VAR:CALENDAR=US&amp;VAR:SYMBOL=38259P50&amp;VAR:INDEX=0"}</definedName>
    <definedName name="_2166__FDSAUDITLINK__">{"fdsup://directions/FAT Viewer?action=UPDATE&amp;creator=factset&amp;DYN_ARGS=TRUE&amp;DOC_NAME=FAT:FQL_AUDITING_CLIENT_TEMPLATE.FAT&amp;display_string=Audit&amp;VAR:KEY=QZYDEPERWB&amp;VAR:QUERY=KFBfUFJJQ0UoNDA1MTcpLShGRl9DQVNIX1NUKFFUUiw0MDUxNykvUF9DT01fU0hTX09VVCg0MDUxNykpKS9GR","V9FU1RJTUFURSgnRVBTJywnTUVBTicsJ0FOTlVBTF9ST0xMJywnKzEnLDQwNTE3LCwsJycp&amp;WINDOW=FIRST_POPUP&amp;HEIGHT=450&amp;WIDTH=450&amp;START_MAXIMIZED=FALSE&amp;VAR:CALENDAR=US&amp;VAR:SYMBOL=38259P50&amp;VAR:INDEX=0"}</definedName>
    <definedName name="_2167__FDSAUDITLINK__">{"fdsup://directions/FAT Viewer?action=UPDATE&amp;creator=factset&amp;DYN_ARGS=TRUE&amp;DOC_NAME=FAT:FQL_AUDITING_CLIENT_TEMPLATE.FAT&amp;display_string=Audit&amp;VAR:KEY=YNONATGPGZ&amp;VAR:QUERY=KFBfUFJJQ0UoNDA1MTYpLShGRl9DQVNIX1NUKFFUUiw0MDUxNikvUF9DT01fU0hTX09VVCg0MDUxNikpKS9GR","V9FU1RJTUFURSgnRVBTJywnTUVBTicsJ0FOTlVBTF9ST0xMJywnKzEnLDQwNTE2LCwsJycp&amp;WINDOW=FIRST_POPUP&amp;HEIGHT=450&amp;WIDTH=450&amp;START_MAXIMIZED=FALSE&amp;VAR:CALENDAR=US&amp;VAR:SYMBOL=38259P50&amp;VAR:INDEX=0"}</definedName>
    <definedName name="_2168__FDSAUDITLINK__">{"fdsup://directions/FAT Viewer?action=UPDATE&amp;creator=factset&amp;DYN_ARGS=TRUE&amp;DOC_NAME=FAT:FQL_AUDITING_CLIENT_TEMPLATE.FAT&amp;display_string=Audit&amp;VAR:KEY=YNONATGPGZ&amp;VAR:QUERY=KFBfUFJJQ0UoNDA1MTYpLShGRl9DQVNIX1NUKFFUUiw0MDUxNikvUF9DT01fU0hTX09VVCg0MDUxNikpKS9GR","V9FU1RJTUFURSgnRVBTJywnTUVBTicsJ0FOTlVBTF9ST0xMJywnKzEnLDQwNTE2LCwsJycp&amp;WINDOW=FIRST_POPUP&amp;HEIGHT=450&amp;WIDTH=450&amp;START_MAXIMIZED=FALSE&amp;VAR:CALENDAR=US&amp;VAR:SYMBOL=38259P50&amp;VAR:INDEX=0"}</definedName>
    <definedName name="_2169__FDSAUDITLINK__">{"fdsup://directions/FAT Viewer?action=UPDATE&amp;creator=factset&amp;DYN_ARGS=TRUE&amp;DOC_NAME=FAT:FQL_AUDITING_CLIENT_TEMPLATE.FAT&amp;display_string=Audit&amp;VAR:KEY=KLKFONELSJ&amp;VAR:QUERY=KFBfUFJJQ0UoNDA1MTUpLShGRl9DQVNIX1NUKFFUUiw0MDUxNSkvUF9DT01fU0hTX09VVCg0MDUxNSkpKS9GR","V9FU1RJTUFURSgnRVBTJywnTUVBTicsJ0FOTlVBTF9ST0xMJywnKzEnLDQwNTE1LCwsJycp&amp;WINDOW=FIRST_POPUP&amp;HEIGHT=450&amp;WIDTH=450&amp;START_MAXIMIZED=FALSE&amp;VAR:CALENDAR=US&amp;VAR:SYMBOL=38259P50&amp;VAR:INDEX=0"}</definedName>
    <definedName name="_21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15.099681&amp;VAR:V0=16.330328&amp;VAR:V1=14.725708&amp;VAR:Y0=2005&amp;VAR:Y1=2006&amp;VAR:P=1228.811400&amp;VAR:DATE=20050930&amp;VAR:THRESH=-|-|","-|-|-|-|-"}</definedName>
    <definedName name="_2170__FDSAUDITLINK__">{"fdsup://directions/FAT Viewer?action=UPDATE&amp;creator=factset&amp;DYN_ARGS=TRUE&amp;DOC_NAME=FAT:FQL_AUDITING_CLIENT_TEMPLATE.FAT&amp;display_string=Audit&amp;VAR:KEY=KLKFONELSJ&amp;VAR:QUERY=KFBfUFJJQ0UoNDA1MTUpLShGRl9DQVNIX1NUKFFUUiw0MDUxNSkvUF9DT01fU0hTX09VVCg0MDUxNSkpKS9GR","V9FU1RJTUFURSgnRVBTJywnTUVBTicsJ0FOTlVBTF9ST0xMJywnKzEnLDQwNTE1LCwsJycp&amp;WINDOW=FIRST_POPUP&amp;HEIGHT=450&amp;WIDTH=450&amp;START_MAXIMIZED=FALSE&amp;VAR:CALENDAR=US&amp;VAR:SYMBOL=38259P50&amp;VAR:INDEX=0"}</definedName>
    <definedName name="_2171__FDSAUDITLINK__">{"fdsup://directions/FAT Viewer?action=UPDATE&amp;creator=factset&amp;DYN_ARGS=TRUE&amp;DOC_NAME=FAT:FQL_AUDITING_CLIENT_TEMPLATE.FAT&amp;display_string=Audit&amp;VAR:KEY=WTOJYJABYB&amp;VAR:QUERY=KFBfUFJJQ0UoNDA1MTQpLShGRl9DQVNIX1NUKFFUUiw0MDUxNCkvUF9DT01fU0hTX09VVCg0MDUxNCkpKS9GR","V9FU1RJTUFURSgnRVBTJywnTUVBTicsJ0FOTlVBTF9ST0xMJywnKzEnLDQwNTE0LCwsJycp&amp;WINDOW=FIRST_POPUP&amp;HEIGHT=450&amp;WIDTH=450&amp;START_MAXIMIZED=FALSE&amp;VAR:CALENDAR=US&amp;VAR:SYMBOL=38259P50&amp;VAR:INDEX=0"}</definedName>
    <definedName name="_2172__FDSAUDITLINK__">{"fdsup://directions/FAT Viewer?action=UPDATE&amp;creator=factset&amp;DYN_ARGS=TRUE&amp;DOC_NAME=FAT:FQL_AUDITING_CLIENT_TEMPLATE.FAT&amp;display_string=Audit&amp;VAR:KEY=WTOJYJABYB&amp;VAR:QUERY=KFBfUFJJQ0UoNDA1MTQpLShGRl9DQVNIX1NUKFFUUiw0MDUxNCkvUF9DT01fU0hTX09VVCg0MDUxNCkpKS9GR","V9FU1RJTUFURSgnRVBTJywnTUVBTicsJ0FOTlVBTF9ST0xMJywnKzEnLDQwNTE0LCwsJycp&amp;WINDOW=FIRST_POPUP&amp;HEIGHT=450&amp;WIDTH=450&amp;START_MAXIMIZED=FALSE&amp;VAR:CALENDAR=US&amp;VAR:SYMBOL=38259P50&amp;VAR:INDEX=0"}</definedName>
    <definedName name="_2173__FDSAUDITLINK__">{"fdsup://directions/FAT Viewer?action=UPDATE&amp;creator=factset&amp;DYN_ARGS=TRUE&amp;DOC_NAME=FAT:FQL_AUDITING_CLIENT_TEMPLATE.FAT&amp;display_string=Audit&amp;VAR:KEY=GJAFMRIXWR&amp;VAR:QUERY=KFBfUFJJQ0UoNDA1MTMpLShGRl9DQVNIX1NUKFFUUiw0MDUxMykvUF9DT01fU0hTX09VVCg0MDUxMykpKS9GR","V9FU1RJTUFURSgnRVBTJywnTUVBTicsJ0FOTlVBTF9ST0xMJywnKzEnLDQwNTEzLCwsJycp&amp;WINDOW=FIRST_POPUP&amp;HEIGHT=450&amp;WIDTH=450&amp;START_MAXIMIZED=FALSE&amp;VAR:CALENDAR=US&amp;VAR:SYMBOL=38259P50&amp;VAR:INDEX=0"}</definedName>
    <definedName name="_2174__FDSAUDITLINK__">{"fdsup://directions/FAT Viewer?action=UPDATE&amp;creator=factset&amp;DYN_ARGS=TRUE&amp;DOC_NAME=FAT:FQL_AUDITING_CLIENT_TEMPLATE.FAT&amp;display_string=Audit&amp;VAR:KEY=GJAFMRIXWR&amp;VAR:QUERY=KFBfUFJJQ0UoNDA1MTMpLShGRl9DQVNIX1NUKFFUUiw0MDUxMykvUF9DT01fU0hTX09VVCg0MDUxMykpKS9GR","V9FU1RJTUFURSgnRVBTJywnTUVBTicsJ0FOTlVBTF9ST0xMJywnKzEnLDQwNTEzLCwsJycp&amp;WINDOW=FIRST_POPUP&amp;HEIGHT=450&amp;WIDTH=450&amp;START_MAXIMIZED=FALSE&amp;VAR:CALENDAR=US&amp;VAR:SYMBOL=38259P50&amp;VAR:INDEX=0"}</definedName>
    <definedName name="_2175__FDSAUDITLINK__">{"fdsup://directions/FAT Viewer?action=UPDATE&amp;creator=factset&amp;DYN_ARGS=TRUE&amp;DOC_NAME=FAT:FQL_AUDITING_CLIENT_TEMPLATE.FAT&amp;display_string=Audit&amp;VAR:KEY=OVWPGJGNCF&amp;VAR:QUERY=KFBfUFJJQ0UoNDA1MTIpLShGRl9DQVNIX1NUKFFUUiw0MDUxMikvUF9DT01fU0hTX09VVCg0MDUxMikpKS9GR","V9FU1RJTUFURSgnRVBTJywnTUVBTicsJ0FOTlVBTF9ST0xMJywnKzEnLDQwNTEyLCwsJycp&amp;WINDOW=FIRST_POPUP&amp;HEIGHT=450&amp;WIDTH=450&amp;START_MAXIMIZED=FALSE&amp;VAR:CALENDAR=US&amp;VAR:SYMBOL=38259P50&amp;VAR:INDEX=0"}</definedName>
    <definedName name="_2176__FDSAUDITLINK__">{"fdsup://directions/FAT Viewer?action=UPDATE&amp;creator=factset&amp;DYN_ARGS=TRUE&amp;DOC_NAME=FAT:FQL_AUDITING_CLIENT_TEMPLATE.FAT&amp;display_string=Audit&amp;VAR:KEY=OVWPGJGNCF&amp;VAR:QUERY=KFBfUFJJQ0UoNDA1MTIpLShGRl9DQVNIX1NUKFFUUiw0MDUxMikvUF9DT01fU0hTX09VVCg0MDUxMikpKS9GR","V9FU1RJTUFURSgnRVBTJywnTUVBTicsJ0FOTlVBTF9ST0xMJywnKzEnLDQwNTEyLCwsJycp&amp;WINDOW=FIRST_POPUP&amp;HEIGHT=450&amp;WIDTH=450&amp;START_MAXIMIZED=FALSE&amp;VAR:CALENDAR=US&amp;VAR:SYMBOL=38259P50&amp;VAR:INDEX=0"}</definedName>
    <definedName name="_2177__FDSAUDITLINK__">{"fdsup://directions/FAT Viewer?action=UPDATE&amp;creator=factset&amp;DYN_ARGS=TRUE&amp;DOC_NAME=FAT:FQL_AUDITING_CLIENT_TEMPLATE.FAT&amp;display_string=Audit&amp;VAR:KEY=GJSHUHMHOZ&amp;VAR:QUERY=KFBfUFJJQ0UoNDA1MTEpLShGRl9DQVNIX1NUKFFUUiw0MDUxMSkvUF9DT01fU0hTX09VVCg0MDUxMSkpKS9GR","V9FU1RJTUFURSgnRVBTJywnTUVBTicsJ0FOTlVBTF9ST0xMJywnKzEnLDQwNTExLCwsJycp&amp;WINDOW=FIRST_POPUP&amp;HEIGHT=450&amp;WIDTH=450&amp;START_MAXIMIZED=FALSE&amp;VAR:CALENDAR=US&amp;VAR:SYMBOL=38259P50&amp;VAR:INDEX=0"}</definedName>
    <definedName name="_2178__FDSAUDITLINK__">{"fdsup://directions/FAT Viewer?action=UPDATE&amp;creator=factset&amp;DYN_ARGS=TRUE&amp;DOC_NAME=FAT:FQL_AUDITING_CLIENT_TEMPLATE.FAT&amp;display_string=Audit&amp;VAR:KEY=GJSHUHMHOZ&amp;VAR:QUERY=KFBfUFJJQ0UoNDA1MTEpLShGRl9DQVNIX1NUKFFUUiw0MDUxMSkvUF9DT01fU0hTX09VVCg0MDUxMSkpKS9GR","V9FU1RJTUFURSgnRVBTJywnTUVBTicsJ0FOTlVBTF9ST0xMJywnKzEnLDQwNTExLCwsJycp&amp;WINDOW=FIRST_POPUP&amp;HEIGHT=450&amp;WIDTH=450&amp;START_MAXIMIZED=FALSE&amp;VAR:CALENDAR=US&amp;VAR:SYMBOL=38259P50&amp;VAR:INDEX=0"}</definedName>
    <definedName name="_2179__FDSAUDITLINK__">{"fdsup://directions/FAT Viewer?action=UPDATE&amp;creator=factset&amp;DYN_ARGS=TRUE&amp;DOC_NAME=FAT:FQL_AUDITING_CLIENT_TEMPLATE.FAT&amp;display_string=Audit&amp;VAR:KEY=UBIRIHMHUZ&amp;VAR:QUERY=KFBfUFJJQ0UoNDA1MTApLShGRl9DQVNIX1NUKFFUUiw0MDUxMCkvUF9DT01fU0hTX09VVCg0MDUxMCkpKS9GR","V9FU1RJTUFURSgnRVBTJywnTUVBTicsJ0FOTlVBTF9ST0xMJywnKzEnLDQwNTEwLCwsJycp&amp;WINDOW=FIRST_POPUP&amp;HEIGHT=450&amp;WIDTH=450&amp;START_MAXIMIZED=FALSE&amp;VAR:CALENDAR=US&amp;VAR:SYMBOL=38259P50&amp;VAR:INDEX=0"}</definedName>
    <definedName name="_21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15.417518&amp;VAR:V0=16.155154&amp;VAR:V1=14.733637&amp;VAR:Y0=2005&amp;VAR:Y1=2006&amp;VAR:P=1191.327600&amp;VAR:DATE=20050630&amp;VAR:THRESH=-|-|","-|-|-|-|-"}</definedName>
    <definedName name="_2180__FDSAUDITLINK__">{"fdsup://directions/FAT Viewer?action=UPDATE&amp;creator=factset&amp;DYN_ARGS=TRUE&amp;DOC_NAME=FAT:FQL_AUDITING_CLIENT_TEMPLATE.FAT&amp;display_string=Audit&amp;VAR:KEY=UBIRIHMHUZ&amp;VAR:QUERY=KFBfUFJJQ0UoNDA1MTApLShGRl9DQVNIX1NUKFFUUiw0MDUxMCkvUF9DT01fU0hTX09VVCg0MDUxMCkpKS9GR","V9FU1RJTUFURSgnRVBTJywnTUVBTicsJ0FOTlVBTF9ST0xMJywnKzEnLDQwNTEwLCwsJycp&amp;WINDOW=FIRST_POPUP&amp;HEIGHT=450&amp;WIDTH=450&amp;START_MAXIMIZED=FALSE&amp;VAR:CALENDAR=US&amp;VAR:SYMBOL=38259P50&amp;VAR:INDEX=0"}</definedName>
    <definedName name="_2181__FDSAUDITLINK__">{"fdsup://directions/FAT Viewer?action=UPDATE&amp;creator=factset&amp;DYN_ARGS=TRUE&amp;DOC_NAME=FAT:FQL_AUDITING_CLIENT_TEMPLATE.FAT&amp;display_string=Audit&amp;VAR:KEY=YRADKLOTUN&amp;VAR:QUERY=KFBfUFJJQ0UoNDA1MDkpLShGRl9DQVNIX1NUKFFUUiw0MDUwOSkvUF9DT01fU0hTX09VVCg0MDUwOSkpKS9GR","V9FU1RJTUFURSgnRVBTJywnTUVBTicsJ0FOTlVBTF9ST0xMJywnKzEnLDQwNTA5LCwsJycp&amp;WINDOW=FIRST_POPUP&amp;HEIGHT=450&amp;WIDTH=450&amp;START_MAXIMIZED=FALSE&amp;VAR:CALENDAR=US&amp;VAR:SYMBOL=38259P50&amp;VAR:INDEX=0"}</definedName>
    <definedName name="_2182__FDSAUDITLINK__">{"fdsup://directions/FAT Viewer?action=UPDATE&amp;creator=factset&amp;DYN_ARGS=TRUE&amp;DOC_NAME=FAT:FQL_AUDITING_CLIENT_TEMPLATE.FAT&amp;display_string=Audit&amp;VAR:KEY=YRADKLOTUN&amp;VAR:QUERY=KFBfUFJJQ0UoNDA1MDkpLShGRl9DQVNIX1NUKFFUUiw0MDUwOSkvUF9DT01fU0hTX09VVCg0MDUwOSkpKS9GR","V9FU1RJTUFURSgnRVBTJywnTUVBTicsJ0FOTlVBTF9ST0xMJywnKzEnLDQwNTA5LCwsJycp&amp;WINDOW=FIRST_POPUP&amp;HEIGHT=450&amp;WIDTH=450&amp;START_MAXIMIZED=FALSE&amp;VAR:CALENDAR=US&amp;VAR:SYMBOL=38259P50&amp;VAR:INDEX=0"}</definedName>
    <definedName name="_2183__FDSAUDITLINK__">{"fdsup://directions/FAT Viewer?action=UPDATE&amp;creator=factset&amp;DYN_ARGS=TRUE&amp;DOC_NAME=FAT:FQL_AUDITING_CLIENT_TEMPLATE.FAT&amp;display_string=Audit&amp;VAR:KEY=MXAFKLMPSZ&amp;VAR:QUERY=KFBfUFJJQ0UoNDA1MDgpLShGRl9DQVNIX1NUKFFUUiw0MDUwOCkvUF9DT01fU0hTX09VVCg0MDUwOCkpKS9GR","V9FU1RJTUFURSgnRVBTJywnTUVBTicsJ0FOTlVBTF9ST0xMJywnKzEnLDQwNTA4LCwsJycp&amp;WINDOW=FIRST_POPUP&amp;HEIGHT=450&amp;WIDTH=450&amp;START_MAXIMIZED=FALSE&amp;VAR:CALENDAR=US&amp;VAR:SYMBOL=38259P50&amp;VAR:INDEX=0"}</definedName>
    <definedName name="_2184__FDSAUDITLINK__">{"fdsup://directions/FAT Viewer?action=UPDATE&amp;creator=factset&amp;DYN_ARGS=TRUE&amp;DOC_NAME=FAT:FQL_AUDITING_CLIENT_TEMPLATE.FAT&amp;display_string=Audit&amp;VAR:KEY=MXAFKLMPSZ&amp;VAR:QUERY=KFBfUFJJQ0UoNDA1MDgpLShGRl9DQVNIX1NUKFFUUiw0MDUwOCkvUF9DT01fU0hTX09VVCg0MDUwOCkpKS9GR","V9FU1RJTUFURSgnRVBTJywnTUVBTicsJ0FOTlVBTF9ST0xMJywnKzEnLDQwNTA4LCwsJycp&amp;WINDOW=FIRST_POPUP&amp;HEIGHT=450&amp;WIDTH=450&amp;START_MAXIMIZED=FALSE&amp;VAR:CALENDAR=US&amp;VAR:SYMBOL=38259P50&amp;VAR:INDEX=0"}</definedName>
    <definedName name="_2185__FDSAUDITLINK__">{"fdsup://directions/FAT Viewer?action=UPDATE&amp;creator=factset&amp;DYN_ARGS=TRUE&amp;DOC_NAME=FAT:FQL_AUDITING_CLIENT_TEMPLATE.FAT&amp;display_string=Audit&amp;VAR:KEY=ONATCBMVIN&amp;VAR:QUERY=KFBfUFJJQ0UoNDA1MDcpLShGRl9DQVNIX1NUKFFUUiw0MDUwNykvUF9DT01fU0hTX09VVCg0MDUwNykpKS9GR","V9FU1RJTUFURSgnRVBTJywnTUVBTicsJ0FOTlVBTF9ST0xMJywnKzEnLDQwNTA3LCwsJycp&amp;WINDOW=FIRST_POPUP&amp;HEIGHT=450&amp;WIDTH=450&amp;START_MAXIMIZED=FALSE&amp;VAR:CALENDAR=US&amp;VAR:SYMBOL=38259P50&amp;VAR:INDEX=0"}</definedName>
    <definedName name="_2186__FDSAUDITLINK__">{"fdsup://directions/FAT Viewer?action=UPDATE&amp;creator=factset&amp;DYN_ARGS=TRUE&amp;DOC_NAME=FAT:FQL_AUDITING_CLIENT_TEMPLATE.FAT&amp;display_string=Audit&amp;VAR:KEY=ONATCBMVIN&amp;VAR:QUERY=KFBfUFJJQ0UoNDA1MDcpLShGRl9DQVNIX1NUKFFUUiw0MDUwNykvUF9DT01fU0hTX09VVCg0MDUwNykpKS9GR","V9FU1RJTUFURSgnRVBTJywnTUVBTicsJ0FOTlVBTF9ST0xMJywnKzEnLDQwNTA3LCwsJycp&amp;WINDOW=FIRST_POPUP&amp;HEIGHT=450&amp;WIDTH=450&amp;START_MAXIMIZED=FALSE&amp;VAR:CALENDAR=US&amp;VAR:SYMBOL=38259P50&amp;VAR:INDEX=0"}</definedName>
    <definedName name="_2187__FDSAUDITLINK__">{"fdsup://directions/FAT Viewer?action=UPDATE&amp;creator=factset&amp;DYN_ARGS=TRUE&amp;DOC_NAME=FAT:FQL_AUDITING_CLIENT_TEMPLATE.FAT&amp;display_string=Audit&amp;VAR:KEY=ODSPWVUZCF&amp;VAR:QUERY=KFBfUFJJQ0UoNDA1MDYpLShGRl9DQVNIX1NUKFFUUiw0MDUwNikvUF9DT01fU0hTX09VVCg0MDUwNikpKS9GR","V9FU1RJTUFURSgnRVBTJywnTUVBTicsJ0FOTlVBTF9ST0xMJywnKzEnLDQwNTA2LCwsJycp&amp;WINDOW=FIRST_POPUP&amp;HEIGHT=450&amp;WIDTH=450&amp;START_MAXIMIZED=FALSE&amp;VAR:CALENDAR=US&amp;VAR:SYMBOL=38259P50&amp;VAR:INDEX=0"}</definedName>
    <definedName name="_2188__FDSAUDITLINK__">{"fdsup://directions/FAT Viewer?action=UPDATE&amp;creator=factset&amp;DYN_ARGS=TRUE&amp;DOC_NAME=FAT:FQL_AUDITING_CLIENT_TEMPLATE.FAT&amp;display_string=Audit&amp;VAR:KEY=ODSPWVUZCF&amp;VAR:QUERY=KFBfUFJJQ0UoNDA1MDYpLShGRl9DQVNIX1NUKFFUUiw0MDUwNikvUF9DT01fU0hTX09VVCg0MDUwNikpKS9GR","V9FU1RJTUFURSgnRVBTJywnTUVBTicsJ0FOTlVBTF9ST0xMJywnKzEnLDQwNTA2LCwsJycp&amp;WINDOW=FIRST_POPUP&amp;HEIGHT=450&amp;WIDTH=450&amp;START_MAXIMIZED=FALSE&amp;VAR:CALENDAR=US&amp;VAR:SYMBOL=38259P50&amp;VAR:INDEX=0"}</definedName>
    <definedName name="_2189__FDSAUDITLINK__">{"fdsup://directions/FAT Viewer?action=UPDATE&amp;creator=factset&amp;DYN_ARGS=TRUE&amp;DOC_NAME=FAT:FQL_AUDITING_CLIENT_TEMPLATE.FAT&amp;display_string=Audit&amp;VAR:KEY=KHENEJWJQV&amp;VAR:QUERY=KFBfUFJJQ0UoNDA1MDUpLShGRl9DQVNIX1NUKFFUUiw0MDUwNSkvUF9DT01fU0hTX09VVCg0MDUwNSkpKS9GR","V9FU1RJTUFURSgnRVBTJywnTUVBTicsJ0FOTlVBTF9ST0xMJywnKzEnLDQwNTA1LCwsJycp&amp;WINDOW=FIRST_POPUP&amp;HEIGHT=450&amp;WIDTH=450&amp;START_MAXIMIZED=FALSE&amp;VAR:CALENDAR=US&amp;VAR:SYMBOL=38259P50&amp;VAR:INDEX=0"}</definedName>
    <definedName name="_21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15.731499&amp;VAR:V0=16.114874&amp;VAR:V1=14.665437&amp;VAR:Y0=2005&amp;VAR:Y1=2006&amp;VAR:P=1180.591000&amp;VAR:DATE=20050331&amp;VAR:THRESH=-|-|","-|-|-|-|-"}</definedName>
    <definedName name="_2190__FDSAUDITLINK__">{"fdsup://directions/FAT Viewer?action=UPDATE&amp;creator=factset&amp;DYN_ARGS=TRUE&amp;DOC_NAME=FAT:FQL_AUDITING_CLIENT_TEMPLATE.FAT&amp;display_string=Audit&amp;VAR:KEY=KHENEJWJQV&amp;VAR:QUERY=KFBfUFJJQ0UoNDA1MDUpLShGRl9DQVNIX1NUKFFUUiw0MDUwNSkvUF9DT01fU0hTX09VVCg0MDUwNSkpKS9GR","V9FU1RJTUFURSgnRVBTJywnTUVBTicsJ0FOTlVBTF9ST0xMJywnKzEnLDQwNTA1LCwsJycp&amp;WINDOW=FIRST_POPUP&amp;HEIGHT=450&amp;WIDTH=450&amp;START_MAXIMIZED=FALSE&amp;VAR:CALENDAR=US&amp;VAR:SYMBOL=38259P50&amp;VAR:INDEX=0"}</definedName>
    <definedName name="_2191__FDSAUDITLINK__">{"fdsup://directions/FAT Viewer?action=UPDATE&amp;creator=factset&amp;DYN_ARGS=TRUE&amp;DOC_NAME=FAT:FQL_AUDITING_CLIENT_TEMPLATE.FAT&amp;display_string=Audit&amp;VAR:KEY=OTSFGPMFGB&amp;VAR:QUERY=KFBfUFJJQ0UoNDA1MDQpLShGRl9DQVNIX1NUKFFUUiw0MDUwNCkvUF9DT01fU0hTX09VVCg0MDUwNCkpKS9GR","V9FU1RJTUFURSgnRVBTJywnTUVBTicsJ0FOTlVBTF9ST0xMJywnKzEnLDQwNTA0LCwsJycp&amp;WINDOW=FIRST_POPUP&amp;HEIGHT=450&amp;WIDTH=450&amp;START_MAXIMIZED=FALSE&amp;VAR:CALENDAR=US&amp;VAR:SYMBOL=38259P50&amp;VAR:INDEX=0"}</definedName>
    <definedName name="_2192__FDSAUDITLINK__">{"fdsup://directions/FAT Viewer?action=UPDATE&amp;creator=factset&amp;DYN_ARGS=TRUE&amp;DOC_NAME=FAT:FQL_AUDITING_CLIENT_TEMPLATE.FAT&amp;display_string=Audit&amp;VAR:KEY=OTSFGPMFGB&amp;VAR:QUERY=KFBfUFJJQ0UoNDA1MDQpLShGRl9DQVNIX1NUKFFUUiw0MDUwNCkvUF9DT01fU0hTX09VVCg0MDUwNCkpKS9GR","V9FU1RJTUFURSgnRVBTJywnTUVBTicsJ0FOTlVBTF9ST0xMJywnKzEnLDQwNTA0LCwsJycp&amp;WINDOW=FIRST_POPUP&amp;HEIGHT=450&amp;WIDTH=450&amp;START_MAXIMIZED=FALSE&amp;VAR:CALENDAR=US&amp;VAR:SYMBOL=38259P50&amp;VAR:INDEX=0"}</definedName>
    <definedName name="_2193__FDSAUDITLINK__">{"fdsup://directions/FAT Viewer?action=UPDATE&amp;creator=factset&amp;DYN_ARGS=TRUE&amp;DOC_NAME=FAT:FQL_AUDITING_CLIENT_TEMPLATE.FAT&amp;display_string=Audit&amp;VAR:KEY=YFEBOTWXAJ&amp;VAR:QUERY=KFBfUFJJQ0UoNDA1MDMpLShGRl9DQVNIX1NUKFFUUiw0MDUwMykvUF9DT01fU0hTX09VVCg0MDUwMykpKS9GR","V9FU1RJTUFURSgnRVBTJywnTUVBTicsJ0FOTlVBTF9ST0xMJywnKzEnLDQwNTAzLCwsJycp&amp;WINDOW=FIRST_POPUP&amp;HEIGHT=450&amp;WIDTH=450&amp;START_MAXIMIZED=FALSE&amp;VAR:CALENDAR=US&amp;VAR:SYMBOL=38259P50&amp;VAR:INDEX=0"}</definedName>
    <definedName name="_2194__FDSAUDITLINK__">{"fdsup://directions/FAT Viewer?action=UPDATE&amp;creator=factset&amp;DYN_ARGS=TRUE&amp;DOC_NAME=FAT:FQL_AUDITING_CLIENT_TEMPLATE.FAT&amp;display_string=Audit&amp;VAR:KEY=YFEBOTWXAJ&amp;VAR:QUERY=KFBfUFJJQ0UoNDA1MDMpLShGRl9DQVNIX1NUKFFUUiw0MDUwMykvUF9DT01fU0hTX09VVCg0MDUwMykpKS9GR","V9FU1RJTUFURSgnRVBTJywnTUVBTicsJ0FOTlVBTF9ST0xMJywnKzEnLDQwNTAzLCwsJycp&amp;WINDOW=FIRST_POPUP&amp;HEIGHT=450&amp;WIDTH=450&amp;START_MAXIMIZED=FALSE&amp;VAR:CALENDAR=US&amp;VAR:SYMBOL=38259P50&amp;VAR:INDEX=0"}</definedName>
    <definedName name="_2195__FDSAUDITLINK__">{"fdsup://directions/FAT Viewer?action=UPDATE&amp;creator=factset&amp;DYN_ARGS=TRUE&amp;DOC_NAME=FAT:FQL_AUDITING_CLIENT_TEMPLATE.FAT&amp;display_string=Audit&amp;VAR:KEY=WNSNMBQFUL&amp;VAR:QUERY=KFBfUFJJQ0UoNDA1MDIpLShGRl9DQVNIX1NUKFFUUiw0MDUwMikvUF9DT01fU0hTX09VVCg0MDUwMikpKS9GR","V9FU1RJTUFURSgnRVBTJywnTUVBTicsJ0FOTlVBTF9ST0xMJywnKzEnLDQwNTAyLCwsJycp&amp;WINDOW=FIRST_POPUP&amp;HEIGHT=450&amp;WIDTH=450&amp;START_MAXIMIZED=FALSE&amp;VAR:CALENDAR=US&amp;VAR:SYMBOL=38259P50&amp;VAR:INDEX=0"}</definedName>
    <definedName name="_2196__FDSAUDITLINK__">{"fdsup://directions/FAT Viewer?action=UPDATE&amp;creator=factset&amp;DYN_ARGS=TRUE&amp;DOC_NAME=FAT:FQL_AUDITING_CLIENT_TEMPLATE.FAT&amp;display_string=Audit&amp;VAR:KEY=WNSNMBQFUL&amp;VAR:QUERY=KFBfUFJJQ0UoNDA1MDIpLShGRl9DQVNIX1NUKFFUUiw0MDUwMikvUF9DT01fU0hTX09VVCg0MDUwMikpKS9GR","V9FU1RJTUFURSgnRVBTJywnTUVBTicsJ0FOTlVBTF9ST0xMJywnKzEnLDQwNTAyLCwsJycp&amp;WINDOW=FIRST_POPUP&amp;HEIGHT=450&amp;WIDTH=450&amp;START_MAXIMIZED=FALSE&amp;VAR:CALENDAR=US&amp;VAR:SYMBOL=38259P50&amp;VAR:INDEX=0"}</definedName>
    <definedName name="_2197__FDSAUDITLINK__">{"fdsup://directions/FAT Viewer?action=UPDATE&amp;creator=factset&amp;DYN_ARGS=TRUE&amp;DOC_NAME=FAT:FQL_AUDITING_CLIENT_TEMPLATE.FAT&amp;display_string=Audit&amp;VAR:KEY=KVWXCXGJWT&amp;VAR:QUERY=KFBfUFJJQ0UoNDA1MDEpLShGRl9DQVNIX1NUKFFUUiw0MDUwMSkvUF9DT01fU0hTX09VVCg0MDUwMSkpKS9GR","V9FU1RJTUFURSgnRVBTJywnTUVBTicsJ0FOTlVBTF9ST0xMJywnKzEnLDQwNTAxLCwsJycp&amp;WINDOW=FIRST_POPUP&amp;HEIGHT=450&amp;WIDTH=450&amp;START_MAXIMIZED=FALSE&amp;VAR:CALENDAR=US&amp;VAR:SYMBOL=38259P50&amp;VAR:INDEX=0"}</definedName>
    <definedName name="_2198__FDSAUDITLINK__">{"fdsup://directions/FAT Viewer?action=UPDATE&amp;creator=factset&amp;DYN_ARGS=TRUE&amp;DOC_NAME=FAT:FQL_AUDITING_CLIENT_TEMPLATE.FAT&amp;display_string=Audit&amp;VAR:KEY=KVWXCXGJWT&amp;VAR:QUERY=KFBfUFJJQ0UoNDA1MDEpLShGRl9DQVNIX1NUKFFUUiw0MDUwMSkvUF9DT01fU0hTX09VVCg0MDUwMSkpKS9GR","V9FU1RJTUFURSgnRVBTJywnTUVBTicsJ0FOTlVBTF9ST0xMJywnKzEnLDQwNTAxLCwsJycp&amp;WINDOW=FIRST_POPUP&amp;HEIGHT=450&amp;WIDTH=450&amp;START_MAXIMIZED=FALSE&amp;VAR:CALENDAR=US&amp;VAR:SYMBOL=38259P50&amp;VAR:INDEX=0"}</definedName>
    <definedName name="_2199__FDSAUDITLINK__">{"fdsup://directions/FAT Viewer?action=UPDATE&amp;creator=factset&amp;DYN_ARGS=TRUE&amp;DOC_NAME=FAT:FQL_AUDITING_CLIENT_TEMPLATE.FAT&amp;display_string=Audit&amp;VAR:KEY=KHCDUBINSR&amp;VAR:QUERY=KFBfUFJJQ0UoNDA1MDApLShGRl9DQVNIX1NUKFFUUiw0MDUwMCkvUF9DT01fU0hTX09VVCg0MDUwMCkpKS9GR","V9FU1RJTUFURSgnRVBTJywnTUVBTicsJ0FOTlVBTF9ST0xMJywnKzEnLDQwNTAwLCwsJycp&amp;WINDOW=FIRST_POPUP&amp;HEIGHT=450&amp;WIDTH=450&amp;START_MAXIMIZED=FALSE&amp;VAR:CALENDAR=US&amp;VAR:SYMBOL=38259P50&amp;VAR:INDEX=0"}</definedName>
    <definedName name="_2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15.137532&amp;VAR:V0=15.524913&amp;VAR:V1=14.065163&amp;VAR:Y0=2006&amp;VAR:Y1=2007&amp;VAR:P=1294.827900&amp;VAR:DATE=20060331&amp;VAR:THRESH=-|-|","-|-|-|-|-"}</definedName>
    <definedName name="_22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16.742739&amp;VAR:V0=18.598545&amp;VAR:V1=16.742739&amp;VAR:Y0=2004&amp;VAR:Y1=2005&amp;VAR:P=1211.916300&amp;VAR:DATE=20041231&amp;VAR:THRESH=-|-|","-|-|-|-|-"}</definedName>
    <definedName name="_2200__FDSAUDITLINK__">{"fdsup://directions/FAT Viewer?action=UPDATE&amp;creator=factset&amp;DYN_ARGS=TRUE&amp;DOC_NAME=FAT:FQL_AUDITING_CLIENT_TEMPLATE.FAT&amp;display_string=Audit&amp;VAR:KEY=KHCDUBINSR&amp;VAR:QUERY=KFBfUFJJQ0UoNDA1MDApLShGRl9DQVNIX1NUKFFUUiw0MDUwMCkvUF9DT01fU0hTX09VVCg0MDUwMCkpKS9GR","V9FU1RJTUFURSgnRVBTJywnTUVBTicsJ0FOTlVBTF9ST0xMJywnKzEnLDQwNTAwLCwsJycp&amp;WINDOW=FIRST_POPUP&amp;HEIGHT=450&amp;WIDTH=450&amp;START_MAXIMIZED=FALSE&amp;VAR:CALENDAR=US&amp;VAR:SYMBOL=38259P50&amp;VAR:INDEX=0"}</definedName>
    <definedName name="_2201__FDSAUDITLINK__">{"fdsup://directions/FAT Viewer?action=UPDATE&amp;creator=factset&amp;DYN_ARGS=TRUE&amp;DOC_NAME=FAT:FQL_AUDITING_CLIENT_TEMPLATE.FAT&amp;display_string=Audit&amp;VAR:KEY=WLAZUFIPEN&amp;VAR:QUERY=KFBfUFJJQ0UoNDA0OTkpLShGRl9DQVNIX1NUKFFUUiw0MDQ5OSkvUF9DT01fU0hTX09VVCg0MDQ5OSkpKS9GR","V9FU1RJTUFURSgnRVBTJywnTUVBTicsJ0FOTlVBTF9ST0xMJywnKzEnLDQwNDk5LCwsJycp&amp;WINDOW=FIRST_POPUP&amp;HEIGHT=450&amp;WIDTH=450&amp;START_MAXIMIZED=FALSE&amp;VAR:CALENDAR=US&amp;VAR:SYMBOL=38259P50&amp;VAR:INDEX=0"}</definedName>
    <definedName name="_2202__FDSAUDITLINK__">{"fdsup://directions/FAT Viewer?action=UPDATE&amp;creator=factset&amp;DYN_ARGS=TRUE&amp;DOC_NAME=FAT:FQL_AUDITING_CLIENT_TEMPLATE.FAT&amp;display_string=Audit&amp;VAR:KEY=WLAZUFIPEN&amp;VAR:QUERY=KFBfUFJJQ0UoNDA0OTkpLShGRl9DQVNIX1NUKFFUUiw0MDQ5OSkvUF9DT01fU0hTX09VVCg0MDQ5OSkpKS9GR","V9FU1RJTUFURSgnRVBTJywnTUVBTicsJ0FOTlVBTF9ST0xMJywnKzEnLDQwNDk5LCwsJycp&amp;WINDOW=FIRST_POPUP&amp;HEIGHT=450&amp;WIDTH=450&amp;START_MAXIMIZED=FALSE&amp;VAR:CALENDAR=US&amp;VAR:SYMBOL=38259P50&amp;VAR:INDEX=0"}</definedName>
    <definedName name="_2203__FDSAUDITLINK__">{"fdsup://directions/FAT Viewer?action=UPDATE&amp;creator=factset&amp;DYN_ARGS=TRUE&amp;DOC_NAME=FAT:FQL_AUDITING_CLIENT_TEMPLATE.FAT&amp;display_string=Audit&amp;VAR:KEY=MRSJSDSLOV&amp;VAR:QUERY=KFBfUFJJQ0UoNDA0OTgpLShGRl9DQVNIX1NUKFFUUiw0MDQ5OCkvUF9DT01fU0hTX09VVCg0MDQ5OCkpKS9GR","V9FU1RJTUFURSgnRVBTJywnTUVBTicsJ0FOTlVBTF9ST0xMJywnKzEnLDQwNDk4LCwsJycp&amp;WINDOW=FIRST_POPUP&amp;HEIGHT=450&amp;WIDTH=450&amp;START_MAXIMIZED=FALSE&amp;VAR:CALENDAR=US&amp;VAR:SYMBOL=38259P50&amp;VAR:INDEX=0"}</definedName>
    <definedName name="_2204__FDSAUDITLINK__">{"fdsup://directions/FAT Viewer?action=UPDATE&amp;creator=factset&amp;DYN_ARGS=TRUE&amp;DOC_NAME=FAT:FQL_AUDITING_CLIENT_TEMPLATE.FAT&amp;display_string=Audit&amp;VAR:KEY=MRSJSDSLOV&amp;VAR:QUERY=KFBfUFJJQ0UoNDA0OTgpLShGRl9DQVNIX1NUKFFUUiw0MDQ5OCkvUF9DT01fU0hTX09VVCg0MDQ5OCkpKS9GR","V9FU1RJTUFURSgnRVBTJywnTUVBTicsJ0FOTlVBTF9ST0xMJywnKzEnLDQwNDk4LCwsJycp&amp;WINDOW=FIRST_POPUP&amp;HEIGHT=450&amp;WIDTH=450&amp;START_MAXIMIZED=FALSE&amp;VAR:CALENDAR=US&amp;VAR:SYMBOL=38259P50&amp;VAR:INDEX=0"}</definedName>
    <definedName name="_2205__FDSAUDITLINK__">{"fdsup://directions/FAT Viewer?action=UPDATE&amp;creator=factset&amp;DYN_ARGS=TRUE&amp;DOC_NAME=FAT:FQL_AUDITING_CLIENT_TEMPLATE.FAT&amp;display_string=Audit&amp;VAR:KEY=ODEXCBWLYJ&amp;VAR:QUERY=KFBfUFJJQ0UoNDA0OTcpLShGRl9DQVNIX1NUKFFUUiw0MDQ5NykvUF9DT01fU0hTX09VVCg0MDQ5NykpKS9GR","V9FU1RJTUFURSgnRVBTJywnTUVBTicsJ0FOTlVBTF9ST0xMJywnKzEnLDQwNDk3LCwsJycp&amp;WINDOW=FIRST_POPUP&amp;HEIGHT=450&amp;WIDTH=450&amp;START_MAXIMIZED=FALSE&amp;VAR:CALENDAR=US&amp;VAR:SYMBOL=38259P50&amp;VAR:INDEX=0"}</definedName>
    <definedName name="_2206__FDSAUDITLINK__">{"fdsup://directions/FAT Viewer?action=UPDATE&amp;creator=factset&amp;DYN_ARGS=TRUE&amp;DOC_NAME=FAT:FQL_AUDITING_CLIENT_TEMPLATE.FAT&amp;display_string=Audit&amp;VAR:KEY=ODEXCBWLYJ&amp;VAR:QUERY=KFBfUFJJQ0UoNDA0OTcpLShGRl9DQVNIX1NUKFFUUiw0MDQ5NykvUF9DT01fU0hTX09VVCg0MDQ5NykpKS9GR","V9FU1RJTUFURSgnRVBTJywnTUVBTicsJ0FOTlVBTF9ST0xMJywnKzEnLDQwNDk3LCwsJycp&amp;WINDOW=FIRST_POPUP&amp;HEIGHT=450&amp;WIDTH=450&amp;START_MAXIMIZED=FALSE&amp;VAR:CALENDAR=US&amp;VAR:SYMBOL=38259P50&amp;VAR:INDEX=0"}</definedName>
    <definedName name="_2207__FDSAUDITLINK__">{"fdsup://directions/FAT Viewer?action=UPDATE&amp;creator=factset&amp;DYN_ARGS=TRUE&amp;DOC_NAME=FAT:FQL_AUDITING_CLIENT_TEMPLATE.FAT&amp;display_string=Audit&amp;VAR:KEY=STWZYVOPMV&amp;VAR:QUERY=KFBfUFJJQ0UoNDA0OTYpLShGRl9DQVNIX1NUKFFUUiw0MDQ5NikvUF9DT01fU0hTX09VVCg0MDQ5NikpKS9GR","V9FU1RJTUFURSgnRVBTJywnTUVBTicsJ0FOTlVBTF9ST0xMJywnKzEnLDQwNDk2LCwsJycp&amp;WINDOW=FIRST_POPUP&amp;HEIGHT=450&amp;WIDTH=450&amp;START_MAXIMIZED=FALSE&amp;VAR:CALENDAR=US&amp;VAR:SYMBOL=38259P50&amp;VAR:INDEX=0"}</definedName>
    <definedName name="_2208__FDSAUDITLINK__">{"fdsup://directions/FAT Viewer?action=UPDATE&amp;creator=factset&amp;DYN_ARGS=TRUE&amp;DOC_NAME=FAT:FQL_AUDITING_CLIENT_TEMPLATE.FAT&amp;display_string=Audit&amp;VAR:KEY=STWZYVOPMV&amp;VAR:QUERY=KFBfUFJJQ0UoNDA0OTYpLShGRl9DQVNIX1NUKFFUUiw0MDQ5NikvUF9DT01fU0hTX09VVCg0MDQ5NikpKS9GR","V9FU1RJTUFURSgnRVBTJywnTUVBTicsJ0FOTlVBTF9ST0xMJywnKzEnLDQwNDk2LCwsJycp&amp;WINDOW=FIRST_POPUP&amp;HEIGHT=450&amp;WIDTH=450&amp;START_MAXIMIZED=FALSE&amp;VAR:CALENDAR=US&amp;VAR:SYMBOL=38259P50&amp;VAR:INDEX=0"}</definedName>
    <definedName name="_2209__FDSAUDITLINK__">{"fdsup://directions/FAT Viewer?action=UPDATE&amp;creator=factset&amp;DYN_ARGS=TRUE&amp;DOC_NAME=FAT:FQL_AUDITING_CLIENT_TEMPLATE.FAT&amp;display_string=Audit&amp;VAR:KEY=EFWLSHWJKN&amp;VAR:QUERY=KFBfUFJJQ0UoNDA0OTUpLShGRl9DQVNIX1NUKFFUUiw0MDQ5NSkvUF9DT01fU0hTX09VVCg0MDQ5NSkpKS9GR","V9FU1RJTUFURSgnRVBTJywnTUVBTicsJ0FOTlVBTF9ST0xMJywnKzEnLDQwNDk1LCwsJycp&amp;WINDOW=FIRST_POPUP&amp;HEIGHT=450&amp;WIDTH=450&amp;START_MAXIMIZED=FALSE&amp;VAR:CALENDAR=US&amp;VAR:SYMBOL=38259P50&amp;VAR:INDEX=0"}</definedName>
    <definedName name="_22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0.748634&amp;VAR:V=15.870983&amp;VAR:V0=17.055348&amp;VAR:V1=15.509360&amp;VAR:Y0=2004&amp;VAR:Y1=2005&amp;VAR:P=1114.583100&amp;VAR:DATE=20040930&amp;VAR:THRESH=-|-|","-|-|-|-|-"}</definedName>
    <definedName name="_2210__FDSAUDITLINK__">{"fdsup://directions/FAT Viewer?action=UPDATE&amp;creator=factset&amp;DYN_ARGS=TRUE&amp;DOC_NAME=FAT:FQL_AUDITING_CLIENT_TEMPLATE.FAT&amp;display_string=Audit&amp;VAR:KEY=EFWLSHWJKN&amp;VAR:QUERY=KFBfUFJJQ0UoNDA0OTUpLShGRl9DQVNIX1NUKFFUUiw0MDQ5NSkvUF9DT01fU0hTX09VVCg0MDQ5NSkpKS9GR","V9FU1RJTUFURSgnRVBTJywnTUVBTicsJ0FOTlVBTF9ST0xMJywnKzEnLDQwNDk1LCwsJycp&amp;WINDOW=FIRST_POPUP&amp;HEIGHT=450&amp;WIDTH=450&amp;START_MAXIMIZED=FALSE&amp;VAR:CALENDAR=US&amp;VAR:SYMBOL=38259P50&amp;VAR:INDEX=0"}</definedName>
    <definedName name="_2211__FDSAUDITLINK__">{"fdsup://directions/FAT Viewer?action=UPDATE&amp;creator=factset&amp;DYN_ARGS=TRUE&amp;DOC_NAME=FAT:FQL_AUDITING_CLIENT_TEMPLATE.FAT&amp;display_string=Audit&amp;VAR:KEY=ELSVYFUVQN&amp;VAR:QUERY=KFBfUFJJQ0UoNDA0OTQpLShGRl9DQVNIX1NUKFFUUiw0MDQ5NCkvUF9DT01fU0hTX09VVCg0MDQ5NCkpKS9GR","V9FU1RJTUFURSgnRVBTJywnTUVBTicsJ0FOTlVBTF9ST0xMJywnKzEnLDQwNDk0LCwsJycp&amp;WINDOW=FIRST_POPUP&amp;HEIGHT=450&amp;WIDTH=450&amp;START_MAXIMIZED=FALSE&amp;VAR:CALENDAR=US&amp;VAR:SYMBOL=38259P50&amp;VAR:INDEX=0"}</definedName>
    <definedName name="_2212__FDSAUDITLINK__">{"fdsup://directions/FAT Viewer?action=UPDATE&amp;creator=factset&amp;DYN_ARGS=TRUE&amp;DOC_NAME=FAT:FQL_AUDITING_CLIENT_TEMPLATE.FAT&amp;display_string=Audit&amp;VAR:KEY=ELSVYFUVQN&amp;VAR:QUERY=KFBfUFJJQ0UoNDA0OTQpLShGRl9DQVNIX1NUKFFUUiw0MDQ5NCkvUF9DT01fU0hTX09VVCg0MDQ5NCkpKS9GR","V9FU1RJTUFURSgnRVBTJywnTUVBTicsJ0FOTlVBTF9ST0xMJywnKzEnLDQwNDk0LCwsJycp&amp;WINDOW=FIRST_POPUP&amp;HEIGHT=450&amp;WIDTH=450&amp;START_MAXIMIZED=FALSE&amp;VAR:CALENDAR=US&amp;VAR:SYMBOL=38259P50&amp;VAR:INDEX=0"}</definedName>
    <definedName name="_2213__FDSAUDITLINK__">{"fdsup://directions/FAT Viewer?action=UPDATE&amp;creator=factset&amp;DYN_ARGS=TRUE&amp;DOC_NAME=FAT:FQL_AUDITING_CLIENT_TEMPLATE.FAT&amp;display_string=Audit&amp;VAR:KEY=YDWJQTMVEZ&amp;VAR:QUERY=KFBfUFJJQ0UoNDA0OTMpLShGRl9DQVNIX1NUKFFUUiw0MDQ5MykvUF9DT01fU0hTX09VVCg0MDQ5MykpKS9GR","V9FU1RJTUFURSgnRVBTJywnTUVBTicsJ0FOTlVBTF9ST0xMJywnKzEnLDQwNDkzLCwsJycp&amp;WINDOW=FIRST_POPUP&amp;HEIGHT=450&amp;WIDTH=450&amp;START_MAXIMIZED=FALSE&amp;VAR:CALENDAR=US&amp;VAR:SYMBOL=38259P50&amp;VAR:INDEX=0"}</definedName>
    <definedName name="_2214__FDSAUDITLINK__">{"fdsup://directions/FAT Viewer?action=UPDATE&amp;creator=factset&amp;DYN_ARGS=TRUE&amp;DOC_NAME=FAT:FQL_AUDITING_CLIENT_TEMPLATE.FAT&amp;display_string=Audit&amp;VAR:KEY=YDWJQTMVEZ&amp;VAR:QUERY=KFBfUFJJQ0UoNDA0OTMpLShGRl9DQVNIX1NUKFFUUiw0MDQ5MykvUF9DT01fU0hTX09VVCg0MDQ5MykpKS9GR","V9FU1RJTUFURSgnRVBTJywnTUVBTicsJ0FOTlVBTF9ST0xMJywnKzEnLDQwNDkzLCwsJycp&amp;WINDOW=FIRST_POPUP&amp;HEIGHT=450&amp;WIDTH=450&amp;START_MAXIMIZED=FALSE&amp;VAR:CALENDAR=US&amp;VAR:SYMBOL=38259P50&amp;VAR:INDEX=0"}</definedName>
    <definedName name="_2215__FDSAUDITLINK__">{"fdsup://directions/FAT Viewer?action=UPDATE&amp;creator=factset&amp;DYN_ARGS=TRUE&amp;DOC_NAME=FAT:FQL_AUDITING_CLIENT_TEMPLATE.FAT&amp;display_string=Audit&amp;VAR:KEY=MBSPSRGXCH&amp;VAR:QUERY=KFBfUFJJQ0UoNDA0OTIpLShGRl9DQVNIX1NUKFFUUiw0MDQ5MikvUF9DT01fU0hTX09VVCg0MDQ5MikpKS9GR","V9FU1RJTUFURSgnRVBTJywnTUVBTicsJ0FOTlVBTF9ST0xMJywnKzEnLDQwNDkyLCwsJycp&amp;WINDOW=FIRST_POPUP&amp;HEIGHT=450&amp;WIDTH=450&amp;START_MAXIMIZED=FALSE&amp;VAR:CALENDAR=US&amp;VAR:SYMBOL=38259P50&amp;VAR:INDEX=0"}</definedName>
    <definedName name="_2216__FDSAUDITLINK__">{"fdsup://directions/FAT Viewer?action=UPDATE&amp;creator=factset&amp;DYN_ARGS=TRUE&amp;DOC_NAME=FAT:FQL_AUDITING_CLIENT_TEMPLATE.FAT&amp;display_string=Audit&amp;VAR:KEY=MBSPSRGXCH&amp;VAR:QUERY=KFBfUFJJQ0UoNDA0OTIpLShGRl9DQVNIX1NUKFFUUiw0MDQ5MikvUF9DT01fU0hTX09VVCg0MDQ5MikpKS9GR","V9FU1RJTUFURSgnRVBTJywnTUVBTicsJ0FOTlVBTF9ST0xMJywnKzEnLDQwNDkyLCwsJycp&amp;WINDOW=FIRST_POPUP&amp;HEIGHT=450&amp;WIDTH=450&amp;START_MAXIMIZED=FALSE&amp;VAR:CALENDAR=US&amp;VAR:SYMBOL=38259P50&amp;VAR:INDEX=0"}</definedName>
    <definedName name="_2217__FDSAUDITLINK__">{"fdsup://directions/FAT Viewer?action=UPDATE&amp;creator=factset&amp;DYN_ARGS=TRUE&amp;DOC_NAME=FAT:FQL_AUDITING_CLIENT_TEMPLATE.FAT&amp;display_string=Audit&amp;VAR:KEY=IPKNKFQLOL&amp;VAR:QUERY=KFBfUFJJQ0UoNDA0OTEpLShGRl9DQVNIX1NUKFFUUiw0MDQ5MSkvUF9DT01fU0hTX09VVCg0MDQ5MSkpKS9GR","V9FU1RJTUFURSgnRVBTJywnTUVBTicsJ0FOTlVBTF9ST0xMJywnKzEnLDQwNDkxLCwsJycp&amp;WINDOW=FIRST_POPUP&amp;HEIGHT=450&amp;WIDTH=450&amp;START_MAXIMIZED=FALSE&amp;VAR:CALENDAR=US&amp;VAR:SYMBOL=38259P50&amp;VAR:INDEX=0"}</definedName>
    <definedName name="_2218__FDSAUDITLINK__">{"fdsup://directions/FAT Viewer?action=UPDATE&amp;creator=factset&amp;DYN_ARGS=TRUE&amp;DOC_NAME=FAT:FQL_AUDITING_CLIENT_TEMPLATE.FAT&amp;display_string=Audit&amp;VAR:KEY=IPKNKFQLOL&amp;VAR:QUERY=KFBfUFJJQ0UoNDA0OTEpLShGRl9DQVNIX1NUKFFUUiw0MDQ5MSkvUF9DT01fU0hTX09VVCg0MDQ5MSkpKS9GR","V9FU1RJTUFURSgnRVBTJywnTUVBTicsJ0FOTlVBTF9ST0xMJywnKzEnLDQwNDkxLCwsJycp&amp;WINDOW=FIRST_POPUP&amp;HEIGHT=450&amp;WIDTH=450&amp;START_MAXIMIZED=FALSE&amp;VAR:CALENDAR=US&amp;VAR:SYMBOL=38259P50&amp;VAR:INDEX=0"}</definedName>
    <definedName name="_2219__FDSAUDITLINK__">{"fdsup://directions/FAT Viewer?action=UPDATE&amp;creator=factset&amp;DYN_ARGS=TRUE&amp;DOC_NAME=FAT:FQL_AUDITING_CLIENT_TEMPLATE.FAT&amp;display_string=Audit&amp;VAR:KEY=WNGJABWTUZ&amp;VAR:QUERY=KFBfUFJJQ0UoNDA0OTApLShGRl9DQVNIX1NUKFFUUiw0MDQ5MCkvUF9DT01fU0hTX09VVCg0MDQ5MCkpKS9GR","V9FU1RJTUFURSgnRVBTJywnTUVBTicsJ0FOTlVBTF9ST0xMJywnKzEnLDQwNDkwLCwsJycp&amp;WINDOW=FIRST_POPUP&amp;HEIGHT=450&amp;WIDTH=450&amp;START_MAXIMIZED=FALSE&amp;VAR:CALENDAR=US&amp;VAR:SYMBOL=38259P50&amp;VAR:INDEX=0"}</definedName>
    <definedName name="_22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0.497268&amp;VAR:V=16.831227&amp;VAR:V0=17.679897&amp;VAR:V1=16.052221&amp;VAR:Y0=2004&amp;VAR:Y1=2005&amp;VAR:P=1140.835600&amp;VAR:DATE=20040630&amp;VAR:THRESH=-|-|","-|-|-|-|-"}</definedName>
    <definedName name="_2220__FDSAUDITLINK__">{"fdsup://directions/FAT Viewer?action=UPDATE&amp;creator=factset&amp;DYN_ARGS=TRUE&amp;DOC_NAME=FAT:FQL_AUDITING_CLIENT_TEMPLATE.FAT&amp;display_string=Audit&amp;VAR:KEY=WNGJABWTUZ&amp;VAR:QUERY=KFBfUFJJQ0UoNDA0OTApLShGRl9DQVNIX1NUKFFUUiw0MDQ5MCkvUF9DT01fU0hTX09VVCg0MDQ5MCkpKS9GR","V9FU1RJTUFURSgnRVBTJywnTUVBTicsJ0FOTlVBTF9ST0xMJywnKzEnLDQwNDkwLCwsJycp&amp;WINDOW=FIRST_POPUP&amp;HEIGHT=450&amp;WIDTH=450&amp;START_MAXIMIZED=FALSE&amp;VAR:CALENDAR=US&amp;VAR:SYMBOL=38259P50&amp;VAR:INDEX=0"}</definedName>
    <definedName name="_2221__FDSAUDITLINK__">{"fdsup://directions/FAT Viewer?action=UPDATE&amp;creator=factset&amp;DYN_ARGS=TRUE&amp;DOC_NAME=FAT:FQL_AUDITING_CLIENT_TEMPLATE.FAT&amp;display_string=Audit&amp;VAR:KEY=KNOVMPGHGT&amp;VAR:QUERY=KFBfUFJJQ0UoNDA0ODkpLShGRl9DQVNIX1NUKFFUUiw0MDQ4OSkvUF9DT01fU0hTX09VVCg0MDQ4OSkpKS9GR","V9FU1RJTUFURSgnRVBTJywnTUVBTicsJ0FOTlVBTF9ST0xMJywnKzEnLDQwNDg5LCwsJycp&amp;WINDOW=FIRST_POPUP&amp;HEIGHT=450&amp;WIDTH=450&amp;START_MAXIMIZED=FALSE&amp;VAR:CALENDAR=US&amp;VAR:SYMBOL=38259P50&amp;VAR:INDEX=0"}</definedName>
    <definedName name="_2222__FDSAUDITLINK__">{"fdsup://directions/FAT Viewer?action=UPDATE&amp;creator=factset&amp;DYN_ARGS=TRUE&amp;DOC_NAME=FAT:FQL_AUDITING_CLIENT_TEMPLATE.FAT&amp;display_string=Audit&amp;VAR:KEY=KNOVMPGHGT&amp;VAR:QUERY=KFBfUFJJQ0UoNDA0ODkpLShGRl9DQVNIX1NUKFFUUiw0MDQ4OSkvUF9DT01fU0hTX09VVCg0MDQ4OSkpKS9GR","V9FU1RJTUFURSgnRVBTJywnTUVBTicsJ0FOTlVBTF9ST0xMJywnKzEnLDQwNDg5LCwsJycp&amp;WINDOW=FIRST_POPUP&amp;HEIGHT=450&amp;WIDTH=450&amp;START_MAXIMIZED=FALSE&amp;VAR:CALENDAR=US&amp;VAR:SYMBOL=38259P50&amp;VAR:INDEX=0"}</definedName>
    <definedName name="_2223__FDSAUDITLINK__">{"fdsup://directions/FAT Viewer?action=UPDATE&amp;creator=factset&amp;DYN_ARGS=TRUE&amp;DOC_NAME=FAT:FQL_AUDITING_CLIENT_TEMPLATE.FAT&amp;display_string=Audit&amp;VAR:KEY=CRKBKTYBIX&amp;VAR:QUERY=KFBfUFJJQ0UoNDA0ODgpLShGRl9DQVNIX1NUKFFUUiw0MDQ4OCkvUF9DT01fU0hTX09VVCg0MDQ4OCkpKS9GR","V9FU1RJTUFURSgnRVBTJywnTUVBTicsJ0FOTlVBTF9ST0xMJywnKzEnLDQwNDg4LCwsJycp&amp;WINDOW=FIRST_POPUP&amp;HEIGHT=450&amp;WIDTH=450&amp;START_MAXIMIZED=FALSE&amp;VAR:CALENDAR=US&amp;VAR:SYMBOL=38259P50&amp;VAR:INDEX=0"}</definedName>
    <definedName name="_2224__FDSAUDITLINK__">{"fdsup://directions/FAT Viewer?action=UPDATE&amp;creator=factset&amp;DYN_ARGS=TRUE&amp;DOC_NAME=FAT:FQL_AUDITING_CLIENT_TEMPLATE.FAT&amp;display_string=Audit&amp;VAR:KEY=CRKBKTYBIX&amp;VAR:QUERY=KFBfUFJJQ0UoNDA0ODgpLShGRl9DQVNIX1NUKFFUUiw0MDQ4OCkvUF9DT01fU0hTX09VVCg0MDQ4OCkpKS9GR","V9FU1RJTUFURSgnRVBTJywnTUVBTicsJ0FOTlVBTF9ST0xMJywnKzEnLDQwNDg4LCwsJycp&amp;WINDOW=FIRST_POPUP&amp;HEIGHT=450&amp;WIDTH=450&amp;START_MAXIMIZED=FALSE&amp;VAR:CALENDAR=US&amp;VAR:SYMBOL=38259P50&amp;VAR:INDEX=0"}</definedName>
    <definedName name="_2225__FDSAUDITLINK__">{"fdsup://directions/FAT Viewer?action=UPDATE&amp;creator=factset&amp;DYN_ARGS=TRUE&amp;DOC_NAME=FAT:FQL_AUDITING_CLIENT_TEMPLATE.FAT&amp;display_string=Audit&amp;VAR:KEY=IFSBURCNMT&amp;VAR:QUERY=KFBfUFJJQ0UoNDA0ODcpLShGRl9DQVNIX1NUKFFUUiw0MDQ4NykvUF9DT01fU0hTX09VVCg0MDQ4NykpKS9GR","V9FU1RJTUFURSgnRVBTJywnTUVBTicsJ0FOTlVBTF9ST0xMJywnKzEnLDQwNDg3LCwsJycp&amp;WINDOW=FIRST_POPUP&amp;HEIGHT=450&amp;WIDTH=450&amp;START_MAXIMIZED=FALSE&amp;VAR:CALENDAR=US&amp;VAR:SYMBOL=38259P50&amp;VAR:INDEX=0"}</definedName>
    <definedName name="_2226__FDSAUDITLINK__">{"fdsup://directions/FAT Viewer?action=UPDATE&amp;creator=factset&amp;DYN_ARGS=TRUE&amp;DOC_NAME=FAT:FQL_AUDITING_CLIENT_TEMPLATE.FAT&amp;display_string=Audit&amp;VAR:KEY=IFSBURCNMT&amp;VAR:QUERY=KFBfUFJJQ0UoNDA0ODcpLShGRl9DQVNIX1NUKFFUUiw0MDQ4NykvUF9DT01fU0hTX09VVCg0MDQ4NykpKS9GR","V9FU1RJTUFURSgnRVBTJywnTUVBTicsJ0FOTlVBTF9ST0xMJywnKzEnLDQwNDg3LCwsJycp&amp;WINDOW=FIRST_POPUP&amp;HEIGHT=450&amp;WIDTH=450&amp;START_MAXIMIZED=FALSE&amp;VAR:CALENDAR=US&amp;VAR:SYMBOL=38259P50&amp;VAR:INDEX=0"}</definedName>
    <definedName name="_2227__FDSAUDITLINK__">{"fdsup://directions/FAT Viewer?action=UPDATE&amp;creator=factset&amp;DYN_ARGS=TRUE&amp;DOC_NAME=FAT:FQL_AUDITING_CLIENT_TEMPLATE.FAT&amp;display_string=Audit&amp;VAR:KEY=QVWNCLMNMN&amp;VAR:QUERY=KFBfUFJJQ0UoNDA0ODYpLShGRl9DQVNIX1NUKFFUUiw0MDQ4NikvUF9DT01fU0hTX09VVCg0MDQ4NikpKS9GR","V9FU1RJTUFURSgnRVBTJywnTUVBTicsJ0FOTlVBTF9ST0xMJywnKzEnLDQwNDg2LCwsJycp&amp;WINDOW=FIRST_POPUP&amp;HEIGHT=450&amp;WIDTH=450&amp;START_MAXIMIZED=FALSE&amp;VAR:CALENDAR=US&amp;VAR:SYMBOL=38259P50&amp;VAR:INDEX=0"}</definedName>
    <definedName name="_2228__FDSAUDITLINK__">{"fdsup://directions/FAT Viewer?action=UPDATE&amp;creator=factset&amp;DYN_ARGS=TRUE&amp;DOC_NAME=FAT:FQL_AUDITING_CLIENT_TEMPLATE.FAT&amp;display_string=Audit&amp;VAR:KEY=QVWNCLMNMN&amp;VAR:QUERY=KFBfUFJJQ0UoNDA0ODYpLShGRl9DQVNIX1NUKFFUUiw0MDQ4NikvUF9DT01fU0hTX09VVCg0MDQ4NikpKS9GR","V9FU1RJTUFURSgnRVBTJywnTUVBTicsJ0FOTlVBTF9ST0xMJywnKzEnLDQwNDg2LCwsJycp&amp;WINDOW=FIRST_POPUP&amp;HEIGHT=450&amp;WIDTH=450&amp;START_MAXIMIZED=FALSE&amp;VAR:CALENDAR=US&amp;VAR:SYMBOL=38259P50&amp;VAR:INDEX=0"}</definedName>
    <definedName name="_2229__FDSAUDITLINK__">{"fdsup://directions/FAT Viewer?action=UPDATE&amp;creator=factset&amp;DYN_ARGS=TRUE&amp;DOC_NAME=FAT:FQL_AUDITING_CLIENT_TEMPLATE.FAT&amp;display_string=Audit&amp;VAR:KEY=KZSFYPKBAN&amp;VAR:QUERY=KFBfUFJJQ0UoNDA0ODUpLShGRl9DQVNIX1NUKFFUUiw0MDQ4NSkvUF9DT01fU0hTX09VVCg0MDQ4NSkpKS9GR","V9FU1RJTUFURSgnRVBTJywnTUVBTicsJ0FOTlVBTF9ST0xMJywnKzEnLDQwNDg1LCwsJycp&amp;WINDOW=FIRST_POPUP&amp;HEIGHT=450&amp;WIDTH=450&amp;START_MAXIMIZED=FALSE&amp;VAR:CALENDAR=US&amp;VAR:SYMBOL=38259P50&amp;VAR:INDEX=0"}</definedName>
    <definedName name="_22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0.248634&amp;VAR:V=17.884332&amp;VAR:V0=18.442551&amp;VAR:V1=16.385558&amp;VAR:Y0=2004&amp;VAR:Y1=2005&amp;VAR:P=1126.211500&amp;VAR:DATE=20040331&amp;VAR:THRESH=-|-|","-|-|-|-|-"}</definedName>
    <definedName name="_2230__FDSAUDITLINK__">{"fdsup://directions/FAT Viewer?action=UPDATE&amp;creator=factset&amp;DYN_ARGS=TRUE&amp;DOC_NAME=FAT:FQL_AUDITING_CLIENT_TEMPLATE.FAT&amp;display_string=Audit&amp;VAR:KEY=KZSFYPKBAN&amp;VAR:QUERY=KFBfUFJJQ0UoNDA0ODUpLShGRl9DQVNIX1NUKFFUUiw0MDQ4NSkvUF9DT01fU0hTX09VVCg0MDQ4NSkpKS9GR","V9FU1RJTUFURSgnRVBTJywnTUVBTicsJ0FOTlVBTF9ST0xMJywnKzEnLDQwNDg1LCwsJycp&amp;WINDOW=FIRST_POPUP&amp;HEIGHT=450&amp;WIDTH=450&amp;START_MAXIMIZED=FALSE&amp;VAR:CALENDAR=US&amp;VAR:SYMBOL=38259P50&amp;VAR:INDEX=0"}</definedName>
    <definedName name="_2231__FDSAUDITLINK__">{"fdsup://directions/FAT Viewer?action=UPDATE&amp;creator=factset&amp;DYN_ARGS=TRUE&amp;DOC_NAME=FAT:FQL_AUDITING_CLIENT_TEMPLATE.FAT&amp;display_string=Audit&amp;VAR:KEY=EVUXKLUXAF&amp;VAR:QUERY=KFBfUFJJQ0UoNDA0ODQpLShGRl9DQVNIX1NUKFFUUiw0MDQ4NCkvUF9DT01fU0hTX09VVCg0MDQ4NCkpKS9GR","V9FU1RJTUFURSgnRVBTJywnTUVBTicsJ0FOTlVBTF9ST0xMJywnKzEnLDQwNDg0LCwsJycp&amp;WINDOW=FIRST_POPUP&amp;HEIGHT=450&amp;WIDTH=450&amp;START_MAXIMIZED=FALSE&amp;VAR:CALENDAR=US&amp;VAR:SYMBOL=38259P50&amp;VAR:INDEX=0"}</definedName>
    <definedName name="_2232__FDSAUDITLINK__">{"fdsup://directions/FAT Viewer?action=UPDATE&amp;creator=factset&amp;DYN_ARGS=TRUE&amp;DOC_NAME=FAT:FQL_AUDITING_CLIENT_TEMPLATE.FAT&amp;display_string=Audit&amp;VAR:KEY=EVUXKLUXAF&amp;VAR:QUERY=KFBfUFJJQ0UoNDA0ODQpLShGRl9DQVNIX1NUKFFUUiw0MDQ4NCkvUF9DT01fU0hTX09VVCg0MDQ4NCkpKS9GR","V9FU1RJTUFURSgnRVBTJywnTUVBTicsJ0FOTlVBTF9ST0xMJywnKzEnLDQwNDg0LCwsJycp&amp;WINDOW=FIRST_POPUP&amp;HEIGHT=450&amp;WIDTH=450&amp;START_MAXIMIZED=FALSE&amp;VAR:CALENDAR=US&amp;VAR:SYMBOL=38259P50&amp;VAR:INDEX=0"}</definedName>
    <definedName name="_2233__FDSAUDITLINK__">{"fdsup://directions/FAT Viewer?action=UPDATE&amp;creator=factset&amp;DYN_ARGS=TRUE&amp;DOC_NAME=FAT:FQL_AUDITING_CLIENT_TEMPLATE.FAT&amp;display_string=Audit&amp;VAR:KEY=ENGXULWTEL&amp;VAR:QUERY=KFBfUFJJQ0UoNDA0ODMpLShGRl9DQVNIX1NUKFFUUiw0MDQ4MykvUF9DT01fU0hTX09VVCg0MDQ4MykpKS9GR","V9FU1RJTUFURSgnRVBTJywnTUVBTicsJ0FOTlVBTF9ST0xMJywnKzEnLDQwNDgzLCwsJycp&amp;WINDOW=FIRST_POPUP&amp;HEIGHT=450&amp;WIDTH=450&amp;START_MAXIMIZED=FALSE&amp;VAR:CALENDAR=US&amp;VAR:SYMBOL=38259P50&amp;VAR:INDEX=0"}</definedName>
    <definedName name="_2234__FDSAUDITLINK__">{"fdsup://directions/FAT Viewer?action=UPDATE&amp;creator=factset&amp;DYN_ARGS=TRUE&amp;DOC_NAME=FAT:FQL_AUDITING_CLIENT_TEMPLATE.FAT&amp;display_string=Audit&amp;VAR:KEY=ENGXULWTEL&amp;VAR:QUERY=KFBfUFJJQ0UoNDA0ODMpLShGRl9DQVNIX1NUKFFUUiw0MDQ4MykvUF9DT01fU0hTX09VVCg0MDQ4MykpKS9GR","V9FU1RJTUFURSgnRVBTJywnTUVBTicsJ0FOTlVBTF9ST0xMJywnKzEnLDQwNDgzLCwsJycp&amp;WINDOW=FIRST_POPUP&amp;HEIGHT=450&amp;WIDTH=450&amp;START_MAXIMIZED=FALSE&amp;VAR:CALENDAR=US&amp;VAR:SYMBOL=38259P50&amp;VAR:INDEX=0"}</definedName>
    <definedName name="_2235__FDSAUDITLINK__">{"fdsup://directions/FAT Viewer?action=UPDATE&amp;creator=factset&amp;DYN_ARGS=TRUE&amp;DOC_NAME=FAT:FQL_AUDITING_CLIENT_TEMPLATE.FAT&amp;display_string=Audit&amp;VAR:KEY=WPWNGLAHKT&amp;VAR:QUERY=KFBfUFJJQ0UoNDA0ODIpLShGRl9DQVNIX1NUKFFUUiw0MDQ4MikvUF9DT01fU0hTX09VVCg0MDQ4MikpKS9GR","V9FU1RJTUFURSgnRVBTJywnTUVBTicsJ0FOTlVBTF9ST0xMJywnKzEnLDQwNDgyLCwsJycp&amp;WINDOW=FIRST_POPUP&amp;HEIGHT=450&amp;WIDTH=450&amp;START_MAXIMIZED=FALSE&amp;VAR:CALENDAR=US&amp;VAR:SYMBOL=38259P50&amp;VAR:INDEX=0"}</definedName>
    <definedName name="_2236__FDSAUDITLINK__">{"fdsup://directions/FAT Viewer?action=UPDATE&amp;creator=factset&amp;DYN_ARGS=TRUE&amp;DOC_NAME=FAT:FQL_AUDITING_CLIENT_TEMPLATE.FAT&amp;display_string=Audit&amp;VAR:KEY=WPWNGLAHKT&amp;VAR:QUERY=KFBfUFJJQ0UoNDA0ODIpLShGRl9DQVNIX1NUKFFUUiw0MDQ4MikvUF9DT01fU0hTX09VVCg0MDQ4MikpKS9GR","V9FU1RJTUFURSgnRVBTJywnTUVBTicsJ0FOTlVBTF9ST0xMJywnKzEnLDQwNDgyLCwsJycp&amp;WINDOW=FIRST_POPUP&amp;HEIGHT=450&amp;WIDTH=450&amp;START_MAXIMIZED=FALSE&amp;VAR:CALENDAR=US&amp;VAR:SYMBOL=38259P50&amp;VAR:INDEX=0"}</definedName>
    <definedName name="_2237__FDSAUDITLINK__">{"fdsup://directions/FAT Viewer?action=UPDATE&amp;creator=factset&amp;DYN_ARGS=TRUE&amp;DOC_NAME=FAT:FQL_AUDITING_CLIENT_TEMPLATE.FAT&amp;display_string=Audit&amp;VAR:KEY=CHEZQNMZEL&amp;VAR:QUERY=KFBfUFJJQ0UoNDA0ODEpLShGRl9DQVNIX1NUKFFUUiw0MDQ4MSkvUF9DT01fU0hTX09VVCg0MDQ4MSkpKS9GR","V9FU1RJTUFURSgnRVBTJywnTUVBTicsJ0FOTlVBTF9ST0xMJywnKzEnLDQwNDgxLCwsJycp&amp;WINDOW=FIRST_POPUP&amp;HEIGHT=450&amp;WIDTH=450&amp;START_MAXIMIZED=FALSE&amp;VAR:CALENDAR=US&amp;VAR:SYMBOL=38259P50&amp;VAR:INDEX=0"}</definedName>
    <definedName name="_2238__FDSAUDITLINK__">{"fdsup://directions/FAT Viewer?action=UPDATE&amp;creator=factset&amp;DYN_ARGS=TRUE&amp;DOC_NAME=FAT:FQL_AUDITING_CLIENT_TEMPLATE.FAT&amp;display_string=Audit&amp;VAR:KEY=CHEZQNMZEL&amp;VAR:QUERY=KFBfUFJJQ0UoNDA0ODEpLShGRl9DQVNIX1NUKFFUUiw0MDQ4MSkvUF9DT01fU0hTX09VVCg0MDQ4MSkpKS9GR","V9FU1RJTUFURSgnRVBTJywnTUVBTicsJ0FOTlVBTF9ST0xMJywnKzEnLDQwNDgxLCwsJycp&amp;WINDOW=FIRST_POPUP&amp;HEIGHT=450&amp;WIDTH=450&amp;START_MAXIMIZED=FALSE&amp;VAR:CALENDAR=US&amp;VAR:SYMBOL=38259P50&amp;VAR:INDEX=0"}</definedName>
    <definedName name="_2239__FDSAUDITLINK__">{"fdsup://directions/FAT Viewer?action=UPDATE&amp;creator=factset&amp;DYN_ARGS=TRUE&amp;DOC_NAME=FAT:FQL_AUDITING_CLIENT_TEMPLATE.FAT&amp;display_string=Audit&amp;VAR:KEY=KJQHSBEFSL&amp;VAR:QUERY=KFBfUFJJQ0UoNDA0ODApLShGRl9DQVNIX1NUKFFUUiw0MDQ4MCkvUF9DT01fU0hTX09VVCg0MDQ4MCkpKS9GR","V9FU1RJTUFURSgnRVBTJywnTUVBTicsJ0FOTlVBTF9ST0xMJywnKzEnLDQwNDgwLCwsJycp&amp;WINDOW=FIRST_POPUP&amp;HEIGHT=450&amp;WIDTH=450&amp;START_MAXIMIZED=FALSE&amp;VAR:CALENDAR=US&amp;VAR:SYMBOL=38259P50&amp;VAR:INDEX=0"}</definedName>
    <definedName name="_22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18.629989&amp;VAR:V0=21.095953&amp;VAR:V1=18.629989&amp;VAR:Y0=2003&amp;VAR:Y1=2004&amp;VAR:P=1111.915800&amp;VAR:DATE=20031231&amp;VAR:THRESH=-|-|","-|-|-|-|-"}</definedName>
    <definedName name="_2240__FDSAUDITLINK__">{"fdsup://directions/FAT Viewer?action=UPDATE&amp;creator=factset&amp;DYN_ARGS=TRUE&amp;DOC_NAME=FAT:FQL_AUDITING_CLIENT_TEMPLATE.FAT&amp;display_string=Audit&amp;VAR:KEY=KJQHSBEFSL&amp;VAR:QUERY=KFBfUFJJQ0UoNDA0ODApLShGRl9DQVNIX1NUKFFUUiw0MDQ4MCkvUF9DT01fU0hTX09VVCg0MDQ4MCkpKS9GR","V9FU1RJTUFURSgnRVBTJywnTUVBTicsJ0FOTlVBTF9ST0xMJywnKzEnLDQwNDgwLCwsJycp&amp;WINDOW=FIRST_POPUP&amp;HEIGHT=450&amp;WIDTH=450&amp;START_MAXIMIZED=FALSE&amp;VAR:CALENDAR=US&amp;VAR:SYMBOL=38259P50&amp;VAR:INDEX=0"}</definedName>
    <definedName name="_2241__FDSAUDITLINK__">{"fdsup://directions/FAT Viewer?action=UPDATE&amp;creator=factset&amp;DYN_ARGS=TRUE&amp;DOC_NAME=FAT:FQL_AUDITING_CLIENT_TEMPLATE.FAT&amp;display_string=Audit&amp;VAR:KEY=GXMXYJEVQB&amp;VAR:QUERY=KFBfUFJJQ0UoNDA0NzkpLShGRl9DQVNIX1NUKFFUUiw0MDQ3OSkvUF9DT01fU0hTX09VVCg0MDQ3OSkpKS9GR","V9FU1RJTUFURSgnRVBTJywnTUVBTicsJ0FOTlVBTF9ST0xMJywnKzEnLDQwNDc5LCwsJycp&amp;WINDOW=FIRST_POPUP&amp;HEIGHT=450&amp;WIDTH=450&amp;START_MAXIMIZED=FALSE&amp;VAR:CALENDAR=US&amp;VAR:SYMBOL=38259P50&amp;VAR:INDEX=0"}</definedName>
    <definedName name="_2242__FDSAUDITLINK__">{"fdsup://directions/FAT Viewer?action=UPDATE&amp;creator=factset&amp;DYN_ARGS=TRUE&amp;DOC_NAME=FAT:FQL_AUDITING_CLIENT_TEMPLATE.FAT&amp;display_string=Audit&amp;VAR:KEY=GXMXYJEVQB&amp;VAR:QUERY=KFBfUFJJQ0UoNDA0NzkpLShGRl9DQVNIX1NUKFFUUiw0MDQ3OSkvUF9DT01fU0hTX09VVCg0MDQ3OSkpKS9GR","V9FU1RJTUFURSgnRVBTJywnTUVBTicsJ0FOTlVBTF9ST0xMJywnKzEnLDQwNDc5LCwsJycp&amp;WINDOW=FIRST_POPUP&amp;HEIGHT=450&amp;WIDTH=450&amp;START_MAXIMIZED=FALSE&amp;VAR:CALENDAR=US&amp;VAR:SYMBOL=38259P50&amp;VAR:INDEX=0"}</definedName>
    <definedName name="_2243__FDSAUDITLINK__">{"fdsup://directions/FAT Viewer?action=UPDATE&amp;creator=factset&amp;DYN_ARGS=TRUE&amp;DOC_NAME=FAT:FQL_AUDITING_CLIENT_TEMPLATE.FAT&amp;display_string=Audit&amp;VAR:KEY=MJIHKDIFWZ&amp;VAR:QUERY=KFBfUFJJQ0UoNDA0NzgpLShGRl9DQVNIX1NUKFFUUiw0MDQ3OCkvUF9DT01fU0hTX09VVCg0MDQ3OCkpKS9GR","V9FU1RJTUFURSgnRVBTJywnTUVBTicsJ0FOTlVBTF9ST0xMJywnKzEnLDQwNDc4LCwsJycp&amp;WINDOW=FIRST_POPUP&amp;HEIGHT=450&amp;WIDTH=450&amp;START_MAXIMIZED=FALSE&amp;VAR:CALENDAR=US&amp;VAR:SYMBOL=38259P50&amp;VAR:INDEX=0"}</definedName>
    <definedName name="_2244__FDSAUDITLINK__">{"fdsup://directions/FAT Viewer?action=UPDATE&amp;creator=factset&amp;DYN_ARGS=TRUE&amp;DOC_NAME=FAT:FQL_AUDITING_CLIENT_TEMPLATE.FAT&amp;display_string=Audit&amp;VAR:KEY=MJIHKDIFWZ&amp;VAR:QUERY=KFBfUFJJQ0UoNDA0NzgpLShGRl9DQVNIX1NUKFFUUiw0MDQ3OCkvUF9DT01fU0hTX09VVCg0MDQ3OCkpKS9GR","V9FU1RJTUFURSgnRVBTJywnTUVBTicsJ0FOTlVBTF9ST0xMJywnKzEnLDQwNDc4LCwsJycp&amp;WINDOW=FIRST_POPUP&amp;HEIGHT=450&amp;WIDTH=450&amp;START_MAXIMIZED=FALSE&amp;VAR:CALENDAR=US&amp;VAR:SYMBOL=38259P50&amp;VAR:INDEX=0"}</definedName>
    <definedName name="_2245__FDSAUDITLINK__">{"fdsup://directions/FAT Viewer?action=UPDATE&amp;creator=factset&amp;DYN_ARGS=TRUE&amp;DOC_NAME=FAT:FQL_AUDITING_CLIENT_TEMPLATE.FAT&amp;display_string=Audit&amp;VAR:KEY=KTGPKXKJER&amp;VAR:QUERY=KFBfUFJJQ0UoNDA0NzcpLShGRl9DQVNIX1NUKFFUUiw0MDQ3NykvUF9DT01fU0hTX09VVCg0MDQ3NykpKS9GR","V9FU1RJTUFURSgnRVBTJywnTUVBTicsJ0FOTlVBTF9ST0xMJywnKzEnLDQwNDc3LCwsJycp&amp;WINDOW=FIRST_POPUP&amp;HEIGHT=450&amp;WIDTH=450&amp;START_MAXIMIZED=FALSE&amp;VAR:CALENDAR=US&amp;VAR:SYMBOL=38259P50&amp;VAR:INDEX=0"}</definedName>
    <definedName name="_2246__FDSAUDITLINK__">{"fdsup://directions/FAT Viewer?action=UPDATE&amp;creator=factset&amp;DYN_ARGS=TRUE&amp;DOC_NAME=FAT:FQL_AUDITING_CLIENT_TEMPLATE.FAT&amp;display_string=Audit&amp;VAR:KEY=KTGPKXKJER&amp;VAR:QUERY=KFBfUFJJQ0UoNDA0NzcpLShGRl9DQVNIX1NUKFFUUiw0MDQ3NykvUF9DT01fU0hTX09VVCg0MDQ3NykpKS9GR","V9FU1RJTUFURSgnRVBTJywnTUVBTicsJ0FOTlVBTF9ST0xMJywnKzEnLDQwNDc3LCwsJycp&amp;WINDOW=FIRST_POPUP&amp;HEIGHT=450&amp;WIDTH=450&amp;START_MAXIMIZED=FALSE&amp;VAR:CALENDAR=US&amp;VAR:SYMBOL=38259P50&amp;VAR:INDEX=0"}</definedName>
    <definedName name="_2247__FDSAUDITLINK__">{"fdsup://directions/FAT Viewer?action=UPDATE&amp;creator=factset&amp;DYN_ARGS=TRUE&amp;DOC_NAME=FAT:FQL_AUDITING_CLIENT_TEMPLATE.FAT&amp;display_string=Audit&amp;VAR:KEY=KRQTWZULGT&amp;VAR:QUERY=KFBfUFJJQ0UoNDA0NzYpLShGRl9DQVNIX1NUKFFUUiw0MDQ3NikvUF9DT01fU0hTX09VVCg0MDQ3NikpKS9GR","V9FU1RJTUFURSgnRVBTJywnTUVBTicsJ0FOTlVBTF9ST0xMJywnKzEnLDQwNDc2LCwsJycp&amp;WINDOW=FIRST_POPUP&amp;HEIGHT=450&amp;WIDTH=450&amp;START_MAXIMIZED=FALSE&amp;VAR:CALENDAR=US&amp;VAR:SYMBOL=38259P50&amp;VAR:INDEX=0"}</definedName>
    <definedName name="_2248__FDSAUDITLINK__">{"fdsup://directions/FAT Viewer?action=UPDATE&amp;creator=factset&amp;DYN_ARGS=TRUE&amp;DOC_NAME=FAT:FQL_AUDITING_CLIENT_TEMPLATE.FAT&amp;display_string=Audit&amp;VAR:KEY=KRQTWZULGT&amp;VAR:QUERY=KFBfUFJJQ0UoNDA0NzYpLShGRl9DQVNIX1NUKFFUUiw0MDQ3NikvUF9DT01fU0hTX09VVCg0MDQ3NikpKS9GR","V9FU1RJTUFURSgnRVBTJywnTUVBTicsJ0FOTlVBTF9ST0xMJywnKzEnLDQwNDc2LCwsJycp&amp;WINDOW=FIRST_POPUP&amp;HEIGHT=450&amp;WIDTH=450&amp;START_MAXIMIZED=FALSE&amp;VAR:CALENDAR=US&amp;VAR:SYMBOL=38259P50&amp;VAR:INDEX=0"}</definedName>
    <definedName name="_2249__FDSAUDITLINK__">{"fdsup://directions/FAT Viewer?action=UPDATE&amp;creator=factset&amp;DYN_ARGS=TRUE&amp;DOC_NAME=FAT:FQL_AUDITING_CLIENT_TEMPLATE.FAT&amp;display_string=Audit&amp;VAR:KEY=MLOROBOZGR&amp;VAR:QUERY=KFBfUFJJQ0UoNDA0NzUpLShGRl9DQVNIX1NUKFFUUiw0MDQ3NSkvUF9DT01fU0hTX09VVCg0MDQ3NSkpKS9GR","V9FU1RJTUFURSgnRVBTJywnTUVBTicsJ0FOTlVBTF9ST0xMJywnKzEnLDQwNDc1LCwsJycp&amp;WINDOW=FIRST_POPUP&amp;HEIGHT=450&amp;WIDTH=450&amp;START_MAXIMIZED=FALSE&amp;VAR:CALENDAR=US&amp;VAR:SYMBOL=38259P50&amp;VAR:INDEX=0"}</definedName>
    <definedName name="_22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17.467063&amp;VAR:V0=19.047895&amp;VAR:V1=16.991833&amp;VAR:Y0=2003&amp;VAR:Y1=2004&amp;VAR:P=995.965330&amp;VAR:DATE=20030930&amp;VAR:THRESH=-|-|-","|-|-|-|-"}</definedName>
    <definedName name="_2250__FDSAUDITLINK__">{"fdsup://directions/FAT Viewer?action=UPDATE&amp;creator=factset&amp;DYN_ARGS=TRUE&amp;DOC_NAME=FAT:FQL_AUDITING_CLIENT_TEMPLATE.FAT&amp;display_string=Audit&amp;VAR:KEY=MLOROBOZGR&amp;VAR:QUERY=KFBfUFJJQ0UoNDA0NzUpLShGRl9DQVNIX1NUKFFUUiw0MDQ3NSkvUF9DT01fU0hTX09VVCg0MDQ3NSkpKS9GR","V9FU1RJTUFURSgnRVBTJywnTUVBTicsJ0FOTlVBTF9ST0xMJywnKzEnLDQwNDc1LCwsJycp&amp;WINDOW=FIRST_POPUP&amp;HEIGHT=450&amp;WIDTH=450&amp;START_MAXIMIZED=FALSE&amp;VAR:CALENDAR=US&amp;VAR:SYMBOL=38259P50&amp;VAR:INDEX=0"}</definedName>
    <definedName name="_2251__FDSAUDITLINK__">{"fdsup://directions/FAT Viewer?action=UPDATE&amp;creator=factset&amp;DYN_ARGS=TRUE&amp;DOC_NAME=FAT:FQL_AUDITING_CLIENT_TEMPLATE.FAT&amp;display_string=Audit&amp;VAR:KEY=ELQZUJMBAX&amp;VAR:QUERY=KFBfUFJJQ0UoNDA0NzQpLShGRl9DQVNIX1NUKFFUUiw0MDQ3NCkvUF9DT01fU0hTX09VVCg0MDQ3NCkpKS9GR","V9FU1RJTUFURSgnRVBTJywnTUVBTicsJ0FOTlVBTF9ST0xMJywnKzEnLDQwNDc0LCwsJycp&amp;WINDOW=FIRST_POPUP&amp;HEIGHT=450&amp;WIDTH=450&amp;START_MAXIMIZED=FALSE&amp;VAR:CALENDAR=US&amp;VAR:SYMBOL=38259P50&amp;VAR:INDEX=0"}</definedName>
    <definedName name="_2252__FDSAUDITLINK__">{"fdsup://directions/FAT Viewer?action=UPDATE&amp;creator=factset&amp;DYN_ARGS=TRUE&amp;DOC_NAME=FAT:FQL_AUDITING_CLIENT_TEMPLATE.FAT&amp;display_string=Audit&amp;VAR:KEY=ELQZUJMBAX&amp;VAR:QUERY=KFBfUFJJQ0UoNDA0NzQpLShGRl9DQVNIX1NUKFFUUiw0MDQ3NCkvUF9DT01fU0hTX09VVCg0MDQ3NCkpKS9GR","V9FU1RJTUFURSgnRVBTJywnTUVBTicsJ0FOTlVBTF9ST0xMJywnKzEnLDQwNDc0LCwsJycp&amp;WINDOW=FIRST_POPUP&amp;HEIGHT=450&amp;WIDTH=450&amp;START_MAXIMIZED=FALSE&amp;VAR:CALENDAR=US&amp;VAR:SYMBOL=38259P50&amp;VAR:INDEX=0"}</definedName>
    <definedName name="_2253__FDSAUDITLINK__">{"fdsup://directions/FAT Viewer?action=UPDATE&amp;creator=factset&amp;DYN_ARGS=TRUE&amp;DOC_NAME=FAT:FQL_AUDITING_CLIENT_TEMPLATE.FAT&amp;display_string=Audit&amp;VAR:KEY=EDAPOVMBYB&amp;VAR:QUERY=KFBfUFJJQ0UoNDA0NzMpLShGRl9DQVNIX1NUKFFUUiw0MDQ3MykvUF9DT01fU0hTX09VVCg0MDQ3MykpKS9GR","V9FU1RJTUFURSgnRVBTJywnTUVBTicsJ0FOTlVBTF9ST0xMJywnKzEnLDQwNDczLCwsJycp&amp;WINDOW=FIRST_POPUP&amp;HEIGHT=450&amp;WIDTH=450&amp;START_MAXIMIZED=FALSE&amp;VAR:CALENDAR=US&amp;VAR:SYMBOL=38259P50&amp;VAR:INDEX=0"}</definedName>
    <definedName name="_2254__FDSAUDITLINK__">{"fdsup://directions/FAT Viewer?action=UPDATE&amp;creator=factset&amp;DYN_ARGS=TRUE&amp;DOC_NAME=FAT:FQL_AUDITING_CLIENT_TEMPLATE.FAT&amp;display_string=Audit&amp;VAR:KEY=EDAPOVMBYB&amp;VAR:QUERY=KFBfUFJJQ0UoNDA0NzMpLShGRl9DQVNIX1NUKFFUUiw0MDQ3MykvUF9DT01fU0hTX09VVCg0MDQ3MykpKS9GR","V9FU1RJTUFURSgnRVBTJywnTUVBTicsJ0FOTlVBTF9ST0xMJywnKzEnLDQwNDczLCwsJycp&amp;WINDOW=FIRST_POPUP&amp;HEIGHT=450&amp;WIDTH=450&amp;START_MAXIMIZED=FALSE&amp;VAR:CALENDAR=US&amp;VAR:SYMBOL=38259P50&amp;VAR:INDEX=0"}</definedName>
    <definedName name="_2255__FDSAUDITLINK__">{"fdsup://directions/FAT Viewer?action=UPDATE&amp;creator=factset&amp;DYN_ARGS=TRUE&amp;DOC_NAME=FAT:FQL_AUDITING_CLIENT_TEMPLATE.FAT&amp;display_string=Audit&amp;VAR:KEY=UVWJGFWFCJ&amp;VAR:QUERY=KFBfUFJJQ0UoNDA0NzIpLShGRl9DQVNIX1NUKFFUUiw0MDQ3MikvUF9DT01fU0hTX09VVCg0MDQ3MikpKS9GR","V9FU1RJTUFURSgnRVBTJywnTUVBTicsJ0FOTlVBTF9ST0xMJywnKzEnLDQwNDcyLCwsJycp&amp;WINDOW=FIRST_POPUP&amp;HEIGHT=450&amp;WIDTH=450&amp;START_MAXIMIZED=FALSE&amp;VAR:CALENDAR=US&amp;VAR:SYMBOL=38259P50&amp;VAR:INDEX=0"}</definedName>
    <definedName name="_2256__FDSAUDITLINK__">{"fdsup://directions/FAT Viewer?action=UPDATE&amp;creator=factset&amp;DYN_ARGS=TRUE&amp;DOC_NAME=FAT:FQL_AUDITING_CLIENT_TEMPLATE.FAT&amp;display_string=Audit&amp;VAR:KEY=UVWJGFWFCJ&amp;VAR:QUERY=KFBfUFJJQ0UoNDA0NzIpLShGRl9DQVNIX1NUKFFUUiw0MDQ3MikvUF9DT01fU0hTX09VVCg0MDQ3MikpKS9GR","V9FU1RJTUFURSgnRVBTJywnTUVBTicsJ0FOTlVBTF9ST0xMJywnKzEnLDQwNDcyLCwsJycp&amp;WINDOW=FIRST_POPUP&amp;HEIGHT=450&amp;WIDTH=450&amp;START_MAXIMIZED=FALSE&amp;VAR:CALENDAR=US&amp;VAR:SYMBOL=38259P50&amp;VAR:INDEX=0"}</definedName>
    <definedName name="_2257__FDSAUDITLINK__">{"fdsup://directions/FAT Viewer?action=UPDATE&amp;creator=factset&amp;DYN_ARGS=TRUE&amp;DOC_NAME=FAT:FQL_AUDITING_CLIENT_TEMPLATE.FAT&amp;display_string=Audit&amp;VAR:KEY=WFWVQNEDKJ&amp;VAR:QUERY=KFBfUFJJQ0UoNDA0NzEpLShGRl9DQVNIX1NUKFFUUiw0MDQ3MSkvUF9DT01fU0hTX09VVCg0MDQ3MSkpKS9GR","V9FU1RJTUFURSgnRVBTJywnTUVBTicsJ0FOTlVBTF9ST0xMJywnKzEnLDQwNDcxLCwsJycp&amp;WINDOW=FIRST_POPUP&amp;HEIGHT=450&amp;WIDTH=450&amp;START_MAXIMIZED=FALSE&amp;VAR:CALENDAR=US&amp;VAR:SYMBOL=38259P50&amp;VAR:INDEX=0"}</definedName>
    <definedName name="_2258__FDSAUDITLINK__">{"fdsup://directions/FAT Viewer?action=UPDATE&amp;creator=factset&amp;DYN_ARGS=TRUE&amp;DOC_NAME=FAT:FQL_AUDITING_CLIENT_TEMPLATE.FAT&amp;display_string=Audit&amp;VAR:KEY=WFWVQNEDKJ&amp;VAR:QUERY=KFBfUFJJQ0UoNDA0NzEpLShGRl9DQVNIX1NUKFFUUiw0MDQ3MSkvUF9DT01fU0hTX09VVCg0MDQ3MSkpKS9GR","V9FU1RJTUFURSgnRVBTJywnTUVBTicsJ0FOTlVBTF9ST0xMJywnKzEnLDQwNDcxLCwsJycp&amp;WINDOW=FIRST_POPUP&amp;HEIGHT=450&amp;WIDTH=450&amp;START_MAXIMIZED=FALSE&amp;VAR:CALENDAR=US&amp;VAR:SYMBOL=38259P50&amp;VAR:INDEX=0"}</definedName>
    <definedName name="_2259__FDSAUDITLINK__">{"fdsup://directions/FAT Viewer?action=UPDATE&amp;creator=factset&amp;DYN_ARGS=TRUE&amp;DOC_NAME=FAT:FQL_AUDITING_CLIENT_TEMPLATE.FAT&amp;display_string=Audit&amp;VAR:KEY=EBARGPADGN&amp;VAR:QUERY=KFBfUFJJQ0UoNDA0NzApLShGRl9DQVNIX1NUKFFUUiw0MDQ3MCkvUF9DT01fU0hTX09VVCg0MDQ3MCkpKS9GR","V9FU1RJTUFURSgnRVBTJywnTUVBTicsJ0FOTlVBTF9ST0xMJywnKzEnLDQwNDcwLCwsJycp&amp;WINDOW=FIRST_POPUP&amp;HEIGHT=450&amp;WIDTH=450&amp;START_MAXIMIZED=FALSE&amp;VAR:CALENDAR=US&amp;VAR:SYMBOL=38259P50&amp;VAR:INDEX=0"}</definedName>
    <definedName name="_22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17.710551&amp;VAR:V0=18.835338&amp;VAR:V1=16.696936&amp;VAR:Y0=2003&amp;VAR:Y1=2004&amp;VAR:P=974.500900&amp;VAR:DATE=20030630&amp;VAR:THRESH=-|-|-","|-|-|-|-"}</definedName>
    <definedName name="_2260__FDSAUDITLINK__">{"fdsup://directions/FAT Viewer?action=UPDATE&amp;creator=factset&amp;DYN_ARGS=TRUE&amp;DOC_NAME=FAT:FQL_AUDITING_CLIENT_TEMPLATE.FAT&amp;display_string=Audit&amp;VAR:KEY=EBARGPADGN&amp;VAR:QUERY=KFBfUFJJQ0UoNDA0NzApLShGRl9DQVNIX1NUKFFUUiw0MDQ3MCkvUF9DT01fU0hTX09VVCg0MDQ3MCkpKS9GR","V9FU1RJTUFURSgnRVBTJywnTUVBTicsJ0FOTlVBTF9ST0xMJywnKzEnLDQwNDcwLCwsJycp&amp;WINDOW=FIRST_POPUP&amp;HEIGHT=450&amp;WIDTH=450&amp;START_MAXIMIZED=FALSE&amp;VAR:CALENDAR=US&amp;VAR:SYMBOL=38259P50&amp;VAR:INDEX=0"}</definedName>
    <definedName name="_2261__FDSAUDITLINK__">{"fdsup://directions/FAT Viewer?action=UPDATE&amp;creator=factset&amp;DYN_ARGS=TRUE&amp;DOC_NAME=FAT:FQL_AUDITING_CLIENT_TEMPLATE.FAT&amp;display_string=Audit&amp;VAR:KEY=ODQLKRIPWL&amp;VAR:QUERY=KFBfUFJJQ0UoNDA0NjkpLShGRl9DQVNIX1NUKFFUUiw0MDQ2OSkvUF9DT01fU0hTX09VVCg0MDQ2OSkpKS9GR","V9FU1RJTUFURSgnRVBTJywnTUVBTicsJ0FOTlVBTF9ST0xMJywnKzEnLDQwNDY5LCwsJycp&amp;WINDOW=FIRST_POPUP&amp;HEIGHT=450&amp;WIDTH=450&amp;START_MAXIMIZED=FALSE&amp;VAR:CALENDAR=US&amp;VAR:SYMBOL=38259P50&amp;VAR:INDEX=0"}</definedName>
    <definedName name="_2262__FDSAUDITLINK__">{"fdsup://directions/FAT Viewer?action=UPDATE&amp;creator=factset&amp;DYN_ARGS=TRUE&amp;DOC_NAME=FAT:FQL_AUDITING_CLIENT_TEMPLATE.FAT&amp;display_string=Audit&amp;VAR:KEY=ODQLKRIPWL&amp;VAR:QUERY=KFBfUFJJQ0UoNDA0NjkpLShGRl9DQVNIX1NUKFFUUiw0MDQ2OSkvUF9DT01fU0hTX09VVCg0MDQ2OSkpKS9GR","V9FU1RJTUFURSgnRVBTJywnTUVBTicsJ0FOTlVBTF9ST0xMJywnKzEnLDQwNDY5LCwsJycp&amp;WINDOW=FIRST_POPUP&amp;HEIGHT=450&amp;WIDTH=450&amp;START_MAXIMIZED=FALSE&amp;VAR:CALENDAR=US&amp;VAR:SYMBOL=38259P50&amp;VAR:INDEX=0"}</definedName>
    <definedName name="_2263__FDSAUDITLINK__">{"fdsup://directions/FAT Viewer?action=UPDATE&amp;creator=factset&amp;DYN_ARGS=TRUE&amp;DOC_NAME=FAT:FQL_AUDITING_CLIENT_TEMPLATE.FAT&amp;display_string=Audit&amp;VAR:KEY=IRIHSNWVUH&amp;VAR:QUERY=KFBfUFJJQ0UoNDA0NjgpLShGRl9DQVNIX1NUKFFUUiw0MDQ2OCkvUF9DT01fU0hTX09VVCg0MDQ2OCkpKS9GR","V9FU1RJTUFURSgnRVBTJywnTUVBTicsJ0FOTlVBTF9ST0xMJywnKzEnLDQwNDY4LCwsJycp&amp;WINDOW=FIRST_POPUP&amp;HEIGHT=450&amp;WIDTH=450&amp;START_MAXIMIZED=FALSE&amp;VAR:CALENDAR=US&amp;VAR:SYMBOL=38259P50&amp;VAR:INDEX=0"}</definedName>
    <definedName name="_2264__FDSAUDITLINK__">{"fdsup://directions/FAT Viewer?action=UPDATE&amp;creator=factset&amp;DYN_ARGS=TRUE&amp;DOC_NAME=FAT:FQL_AUDITING_CLIENT_TEMPLATE.FAT&amp;display_string=Audit&amp;VAR:KEY=IRIHSNWVUH&amp;VAR:QUERY=KFBfUFJJQ0UoNDA0NjgpLShGRl9DQVNIX1NUKFFUUiw0MDQ2OCkvUF9DT01fU0hTX09VVCg0MDQ2OCkpKS9GR","V9FU1RJTUFURSgnRVBTJywnTUVBTicsJ0FOTlVBTF9ST0xMJywnKzEnLDQwNDY4LCwsJycp&amp;WINDOW=FIRST_POPUP&amp;HEIGHT=450&amp;WIDTH=450&amp;START_MAXIMIZED=FALSE&amp;VAR:CALENDAR=US&amp;VAR:SYMBOL=38259P50&amp;VAR:INDEX=0"}</definedName>
    <definedName name="_2265__FDSAUDITLINK__">{"fdsup://directions/FAT Viewer?action=UPDATE&amp;creator=factset&amp;DYN_ARGS=TRUE&amp;DOC_NAME=FAT:FQL_AUDITING_CLIENT_TEMPLATE.FAT&amp;display_string=Audit&amp;VAR:KEY=CNGFEDKXYB&amp;VAR:QUERY=KFBfUFJJQ0UoNDA0NjcpLShGRl9DQVNIX1NUKFFUUiw0MDQ2NykvUF9DT01fU0hTX09VVCg0MDQ2NykpKS9GR","V9FU1RJTUFURSgnRVBTJywnTUVBTicsJ0FOTlVBTF9ST0xMJywnKzEnLDQwNDY3LCwsJycp&amp;WINDOW=FIRST_POPUP&amp;HEIGHT=450&amp;WIDTH=450&amp;START_MAXIMIZED=FALSE&amp;VAR:CALENDAR=US&amp;VAR:SYMBOL=38259P50&amp;VAR:INDEX=0"}</definedName>
    <definedName name="_2266__FDSAUDITLINK__">{"fdsup://directions/FAT Viewer?action=UPDATE&amp;creator=factset&amp;DYN_ARGS=TRUE&amp;DOC_NAME=FAT:FQL_AUDITING_CLIENT_TEMPLATE.FAT&amp;display_string=Audit&amp;VAR:KEY=CNGFEDKXYB&amp;VAR:QUERY=KFBfUFJJQ0UoNDA0NjcpLShGRl9DQVNIX1NUKFFUUiw0MDQ2NykvUF9DT01fU0hTX09VVCg0MDQ2NykpKS9GR","V9FU1RJTUFURSgnRVBTJywnTUVBTicsJ0FOTlVBTF9ST0xMJywnKzEnLDQwNDY3LCwsJycp&amp;WINDOW=FIRST_POPUP&amp;HEIGHT=450&amp;WIDTH=450&amp;START_MAXIMIZED=FALSE&amp;VAR:CALENDAR=US&amp;VAR:SYMBOL=38259P50&amp;VAR:INDEX=0"}</definedName>
    <definedName name="_2267__FDSAUDITLINK__">{"fdsup://directions/FAT Viewer?action=UPDATE&amp;creator=factset&amp;DYN_ARGS=TRUE&amp;DOC_NAME=FAT:FQL_AUDITING_CLIENT_TEMPLATE.FAT&amp;display_string=Audit&amp;VAR:KEY=KHGTWJAVKD&amp;VAR:QUERY=KFBfUFJJQ0UoNDA0NjYpLShGRl9DQVNIX1NUKFFUUiw0MDQ2NikvUF9DT01fU0hTX09VVCg0MDQ2NikpKS9GR","V9FU1RJTUFURSgnRVBTJywnTUVBTicsJ0FOTlVBTF9ST0xMJywnKzEnLDQwNDY2LCwsJycp&amp;WINDOW=FIRST_POPUP&amp;HEIGHT=450&amp;WIDTH=450&amp;START_MAXIMIZED=FALSE&amp;VAR:CALENDAR=US&amp;VAR:SYMBOL=38259P50&amp;VAR:INDEX=0"}</definedName>
    <definedName name="_2268__FDSAUDITLINK__">{"fdsup://directions/FAT Viewer?action=UPDATE&amp;creator=factset&amp;DYN_ARGS=TRUE&amp;DOC_NAME=FAT:FQL_AUDITING_CLIENT_TEMPLATE.FAT&amp;display_string=Audit&amp;VAR:KEY=KHGTWJAVKD&amp;VAR:QUERY=KFBfUFJJQ0UoNDA0NjYpLShGRl9DQVNIX1NUKFFUUiw0MDQ2NikvUF9DT01fU0hTX09VVCg0MDQ2NikpKS9GR","V9FU1RJTUFURSgnRVBTJywnTUVBTicsJ0FOTlVBTF9ST0xMJywnKzEnLDQwNDY2LCwsJycp&amp;WINDOW=FIRST_POPUP&amp;HEIGHT=450&amp;WIDTH=450&amp;START_MAXIMIZED=FALSE&amp;VAR:CALENDAR=US&amp;VAR:SYMBOL=38259P50&amp;VAR:INDEX=0"}</definedName>
    <definedName name="_2269__FDSAUDITLINK__">{"fdsup://directions/FAT Viewer?action=UPDATE&amp;creator=factset&amp;DYN_ARGS=TRUE&amp;DOC_NAME=FAT:FQL_AUDITING_CLIENT_TEMPLATE.FAT&amp;display_string=Audit&amp;VAR:KEY=ORCRGVMPOD&amp;VAR:QUERY=KFBfUFJJQ0UoNDA0NjUpLShGRl9DQVNIX1NUKFFUUiw0MDQ2NSkvUF9DT01fU0hTX09VVCg0MDQ2NSkpKS9GR","V9FU1RJTUFURSgnRVBTJywnTUVBTicsJ0FOTlVBTF9ST0xMJywnKzEnLDQwNDY1LCwsJycp&amp;WINDOW=FIRST_POPUP&amp;HEIGHT=450&amp;WIDTH=450&amp;START_MAXIMIZED=FALSE&amp;VAR:CALENDAR=US&amp;VAR:SYMBOL=38259P50&amp;VAR:INDEX=0"}</definedName>
    <definedName name="_22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15.879847&amp;VAR:V0=16.445462&amp;VAR:V1=14.369720&amp;VAR:Y0=2003&amp;VAR:Y1=2004&amp;VAR:P=848.179300&amp;VAR:DATE=20030331&amp;VAR:THRESH=-|-|-","|-|-|-|-"}</definedName>
    <definedName name="_2270__FDSAUDITLINK__">{"fdsup://directions/FAT Viewer?action=UPDATE&amp;creator=factset&amp;DYN_ARGS=TRUE&amp;DOC_NAME=FAT:FQL_AUDITING_CLIENT_TEMPLATE.FAT&amp;display_string=Audit&amp;VAR:KEY=ORCRGVMPOD&amp;VAR:QUERY=KFBfUFJJQ0UoNDA0NjUpLShGRl9DQVNIX1NUKFFUUiw0MDQ2NSkvUF9DT01fU0hTX09VVCg0MDQ2NSkpKS9GR","V9FU1RJTUFURSgnRVBTJywnTUVBTicsJ0FOTlVBTF9ST0xMJywnKzEnLDQwNDY1LCwsJycp&amp;WINDOW=FIRST_POPUP&amp;HEIGHT=450&amp;WIDTH=450&amp;START_MAXIMIZED=FALSE&amp;VAR:CALENDAR=US&amp;VAR:SYMBOL=38259P50&amp;VAR:INDEX=0"}</definedName>
    <definedName name="_2271__FDSAUDITLINK__">{"fdsup://directions/FAT Viewer?action=UPDATE&amp;creator=factset&amp;DYN_ARGS=TRUE&amp;DOC_NAME=FAT:FQL_AUDITING_CLIENT_TEMPLATE.FAT&amp;display_string=Audit&amp;VAR:KEY=OXKPGPQHAD&amp;VAR:QUERY=KFBfUFJJQ0UoNDA0NjQpLShGRl9DQVNIX1NUKFFUUiw0MDQ2NCkvUF9DT01fU0hTX09VVCg0MDQ2NCkpKS9GR","V9FU1RJTUFURSgnRVBTJywnTUVBTicsJ0FOTlVBTF9ST0xMJywnKzEnLDQwNDY0LCwsJycp&amp;WINDOW=FIRST_POPUP&amp;HEIGHT=450&amp;WIDTH=450&amp;START_MAXIMIZED=FALSE&amp;VAR:CALENDAR=US&amp;VAR:SYMBOL=38259P50&amp;VAR:INDEX=0"}</definedName>
    <definedName name="_2272__FDSAUDITLINK__">{"fdsup://directions/FAT Viewer?action=UPDATE&amp;creator=factset&amp;DYN_ARGS=TRUE&amp;DOC_NAME=FAT:FQL_AUDITING_CLIENT_TEMPLATE.FAT&amp;display_string=Audit&amp;VAR:KEY=OXKPGPQHAD&amp;VAR:QUERY=KFBfUFJJQ0UoNDA0NjQpLShGRl9DQVNIX1NUKFFUUiw0MDQ2NCkvUF9DT01fU0hTX09VVCg0MDQ2NCkpKS9GR","V9FU1RJTUFURSgnRVBTJywnTUVBTicsJ0FOTlVBTF9ST0xMJywnKzEnLDQwNDY0LCwsJycp&amp;WINDOW=FIRST_POPUP&amp;HEIGHT=450&amp;WIDTH=450&amp;START_MAXIMIZED=FALSE&amp;VAR:CALENDAR=US&amp;VAR:SYMBOL=38259P50&amp;VAR:INDEX=0"}</definedName>
    <definedName name="_2273__FDSAUDITLINK__">{"fdsup://directions/FAT Viewer?action=UPDATE&amp;creator=factset&amp;DYN_ARGS=TRUE&amp;DOC_NAME=FAT:FQL_AUDITING_CLIENT_TEMPLATE.FAT&amp;display_string=Audit&amp;VAR:KEY=QVKXONQXQV&amp;VAR:QUERY=KFBfUFJJQ0UoNDA0NjMpLShGRl9DQVNIX1NUKFFUUiw0MDQ2MykvUF9DT01fU0hTX09VVCg0MDQ2MykpKS9GR","V9FU1RJTUFURSgnRVBTJywnTUVBTicsJ0FOTlVBTF9ST0xMJywnKzEnLDQwNDYzLCwsJycp&amp;WINDOW=FIRST_POPUP&amp;HEIGHT=450&amp;WIDTH=450&amp;START_MAXIMIZED=FALSE&amp;VAR:CALENDAR=US&amp;VAR:SYMBOL=38259P50&amp;VAR:INDEX=0"}</definedName>
    <definedName name="_2274__FDSAUDITLINK__">{"fdsup://directions/FAT Viewer?action=UPDATE&amp;creator=factset&amp;DYN_ARGS=TRUE&amp;DOC_NAME=FAT:FQL_AUDITING_CLIENT_TEMPLATE.FAT&amp;display_string=Audit&amp;VAR:KEY=QVKXONQXQV&amp;VAR:QUERY=KFBfUFJJQ0UoNDA0NjMpLShGRl9DQVNIX1NUKFFUUiw0MDQ2MykvUF9DT01fU0hTX09VVCg0MDQ2MykpKS9GR","V9FU1RJTUFURSgnRVBTJywnTUVBTicsJ0FOTlVBTF9ST0xMJywnKzEnLDQwNDYzLCwsJycp&amp;WINDOW=FIRST_POPUP&amp;HEIGHT=450&amp;WIDTH=450&amp;START_MAXIMIZED=FALSE&amp;VAR:CALENDAR=US&amp;VAR:SYMBOL=38259P50&amp;VAR:INDEX=0"}</definedName>
    <definedName name="_2275__FDSAUDITLINK__">{"fdsup://directions/FAT Viewer?action=UPDATE&amp;creator=factset&amp;DYN_ARGS=TRUE&amp;DOC_NAME=FAT:FQL_AUDITING_CLIENT_TEMPLATE.FAT&amp;display_string=Audit&amp;VAR:KEY=AZYZQPIBCP&amp;VAR:QUERY=KFBfUFJJQ0UoNDA0NjIpLShGRl9DQVNIX1NUKFFUUiw0MDQ2MikvUF9DT01fU0hTX09VVCg0MDQ2MikpKS9GR","V9FU1RJTUFURSgnRVBTJywnTUVBTicsJ0FOTlVBTF9ST0xMJywnKzEnLDQwNDYyLCwsJycp&amp;WINDOW=FIRST_POPUP&amp;HEIGHT=450&amp;WIDTH=450&amp;START_MAXIMIZED=FALSE&amp;VAR:CALENDAR=US&amp;VAR:SYMBOL=38259P50&amp;VAR:INDEX=0"}</definedName>
    <definedName name="_2276__FDSAUDITLINK__">{"fdsup://directions/FAT Viewer?action=UPDATE&amp;creator=factset&amp;DYN_ARGS=TRUE&amp;DOC_NAME=FAT:FQL_AUDITING_CLIENT_TEMPLATE.FAT&amp;display_string=Audit&amp;VAR:KEY=AZYZQPIBCP&amp;VAR:QUERY=KFBfUFJJQ0UoNDA0NjIpLShGRl9DQVNIX1NUKFFUUiw0MDQ2MikvUF9DT01fU0hTX09VVCg0MDQ2MikpKS9GR","V9FU1RJTUFURSgnRVBTJywnTUVBTicsJ0FOTlVBTF9ST0xMJywnKzEnLDQwNDYyLCwsJycp&amp;WINDOW=FIRST_POPUP&amp;HEIGHT=450&amp;WIDTH=450&amp;START_MAXIMIZED=FALSE&amp;VAR:CALENDAR=US&amp;VAR:SYMBOL=38259P50&amp;VAR:INDEX=0"}</definedName>
    <definedName name="_2277__FDSAUDITLINK__">{"fdsup://directions/FAT Viewer?action=UPDATE&amp;creator=factset&amp;DYN_ARGS=TRUE&amp;DOC_NAME=FAT:FQL_AUDITING_CLIENT_TEMPLATE.FAT&amp;display_string=Audit&amp;VAR:KEY=GLWNYTELAP&amp;VAR:QUERY=KFBfUFJJQ0UoNDA0NjEpLShGRl9DQVNIX1NUKFFUUiw0MDQ2MSkvUF9DT01fU0hTX09VVCg0MDQ2MSkpKS9GR","V9FU1RJTUFURSgnRVBTJywnTUVBTicsJ0FOTlVBTF9ST0xMJywnKzEnLDQwNDYxLCwsJycp&amp;WINDOW=FIRST_POPUP&amp;HEIGHT=450&amp;WIDTH=450&amp;START_MAXIMIZED=FALSE&amp;VAR:CALENDAR=US&amp;VAR:SYMBOL=38259P50&amp;VAR:INDEX=0"}</definedName>
    <definedName name="_2278__FDSAUDITLINK__">{"fdsup://directions/FAT Viewer?action=UPDATE&amp;creator=factset&amp;DYN_ARGS=TRUE&amp;DOC_NAME=FAT:FQL_AUDITING_CLIENT_TEMPLATE.FAT&amp;display_string=Audit&amp;VAR:KEY=GLWNYTELAP&amp;VAR:QUERY=KFBfUFJJQ0UoNDA0NjEpLShGRl9DQVNIX1NUKFFUUiw0MDQ2MSkvUF9DT01fU0hTX09VVCg0MDQ2MSkpKS9GR","V9FU1RJTUFURSgnRVBTJywnTUVBTicsJ0FOTlVBTF9ST0xMJywnKzEnLDQwNDYxLCwsJycp&amp;WINDOW=FIRST_POPUP&amp;HEIGHT=450&amp;WIDTH=450&amp;START_MAXIMIZED=FALSE&amp;VAR:CALENDAR=US&amp;VAR:SYMBOL=38259P50&amp;VAR:INDEX=0"}</definedName>
    <definedName name="_2279__FDSAUDITLINK__">{"fdsup://directions/FAT Viewer?action=UPDATE&amp;creator=factset&amp;DYN_ARGS=TRUE&amp;DOC_NAME=FAT:FQL_AUDITING_CLIENT_TEMPLATE.FAT&amp;display_string=Audit&amp;VAR:KEY=OLEBWVUZUV&amp;VAR:QUERY=KFBfUFJJQ0UoNDA0NjApLShGRl9DQVNIX1NUKFFUUiw0MDQ2MCkvUF9DT01fU0hTX09VVCg0MDQ2MCkpKS9GR","V9FU1RJTUFURSgnRVBTJywnTUVBTicsJ0FOTlVBTF9ST0xMJywnKzEnLDQwNDYwLCwsJycp&amp;WINDOW=FIRST_POPUP&amp;HEIGHT=450&amp;WIDTH=450&amp;START_MAXIMIZED=FALSE&amp;VAR:CALENDAR=US&amp;VAR:SYMBOL=38259P50&amp;VAR:INDEX=0"}</definedName>
    <definedName name="_22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16.452287&amp;VAR:V0=18.564979&amp;VAR:V1=16.452287&amp;VAR:Y0=2002&amp;VAR:Y1=2003&amp;VAR:P=879.819100&amp;VAR:DATE=20021231&amp;VAR:THRESH=-|-|-","|-|-|-|-"}</definedName>
    <definedName name="_2280__FDSAUDITLINK__">{"fdsup://directions/FAT Viewer?action=UPDATE&amp;creator=factset&amp;DYN_ARGS=TRUE&amp;DOC_NAME=FAT:FQL_AUDITING_CLIENT_TEMPLATE.FAT&amp;display_string=Audit&amp;VAR:KEY=OLEBWVUZUV&amp;VAR:QUERY=KFBfUFJJQ0UoNDA0NjApLShGRl9DQVNIX1NUKFFUUiw0MDQ2MCkvUF9DT01fU0hTX09VVCg0MDQ2MCkpKS9GR","V9FU1RJTUFURSgnRVBTJywnTUVBTicsJ0FOTlVBTF9ST0xMJywnKzEnLDQwNDYwLCwsJycp&amp;WINDOW=FIRST_POPUP&amp;HEIGHT=450&amp;WIDTH=450&amp;START_MAXIMIZED=FALSE&amp;VAR:CALENDAR=US&amp;VAR:SYMBOL=38259P50&amp;VAR:INDEX=0"}</definedName>
    <definedName name="_2281__FDSAUDITLINK__">{"fdsup://directions/FAT Viewer?action=UPDATE&amp;creator=factset&amp;DYN_ARGS=TRUE&amp;DOC_NAME=FAT:FQL_AUDITING_CLIENT_TEMPLATE.FAT&amp;display_string=Audit&amp;VAR:KEY=MDYJSJQBUN&amp;VAR:QUERY=KFBfUFJJQ0UoNDA0NTkpLShGRl9DQVNIX1NUKFFUUiw0MDQ1OSkvUF9DT01fU0hTX09VVCg0MDQ1OSkpKS9GR","V9FU1RJTUFURSgnRVBTJywnTUVBTicsJ0FOTlVBTF9ST0xMJywnKzEnLDQwNDU5LCwsJycp&amp;WINDOW=FIRST_POPUP&amp;HEIGHT=450&amp;WIDTH=450&amp;START_MAXIMIZED=FALSE&amp;VAR:CALENDAR=US&amp;VAR:SYMBOL=38259P50&amp;VAR:INDEX=0"}</definedName>
    <definedName name="_2282__FDSAUDITLINK__">{"fdsup://directions/FAT Viewer?action=UPDATE&amp;creator=factset&amp;DYN_ARGS=TRUE&amp;DOC_NAME=FAT:FQL_AUDITING_CLIENT_TEMPLATE.FAT&amp;display_string=Audit&amp;VAR:KEY=MDYJSJQBUN&amp;VAR:QUERY=KFBfUFJJQ0UoNDA0NTkpLShGRl9DQVNIX1NUKFFUUiw0MDQ1OSkvUF9DT01fU0hTX09VVCg0MDQ1OSkpKS9GR","V9FU1RJTUFURSgnRVBTJywnTUVBTicsJ0FOTlVBTF9ST0xMJywnKzEnLDQwNDU5LCwsJycp&amp;WINDOW=FIRST_POPUP&amp;HEIGHT=450&amp;WIDTH=450&amp;START_MAXIMIZED=FALSE&amp;VAR:CALENDAR=US&amp;VAR:SYMBOL=38259P50&amp;VAR:INDEX=0"}</definedName>
    <definedName name="_2283__FDSAUDITLINK__">{"fdsup://directions/FAT Viewer?action=UPDATE&amp;creator=factset&amp;DYN_ARGS=TRUE&amp;DOC_NAME=FAT:FQL_AUDITING_CLIENT_TEMPLATE.FAT&amp;display_string=Audit&amp;VAR:KEY=EVOBGHURIT&amp;VAR:QUERY=KFBfUFJJQ0UoNDA0NTgpLShGRl9DQVNIX1NUKFFUUiw0MDQ1OCkvUF9DT01fU0hTX09VVCg0MDQ1OCkpKS9GR","V9FU1RJTUFURSgnRVBTJywnTUVBTicsJ0FOTlVBTF9ST0xMJywnKzEnLDQwNDU4LCwsJycp&amp;WINDOW=FIRST_POPUP&amp;HEIGHT=450&amp;WIDTH=450&amp;START_MAXIMIZED=FALSE&amp;VAR:CALENDAR=US&amp;VAR:SYMBOL=38259P50&amp;VAR:INDEX=0"}</definedName>
    <definedName name="_2284__FDSAUDITLINK__">{"fdsup://directions/FAT Viewer?action=UPDATE&amp;creator=factset&amp;DYN_ARGS=TRUE&amp;DOC_NAME=FAT:FQL_AUDITING_CLIENT_TEMPLATE.FAT&amp;display_string=Audit&amp;VAR:KEY=EVOBGHURIT&amp;VAR:QUERY=KFBfUFJJQ0UoNDA0NTgpLShGRl9DQVNIX1NUKFFUUiw0MDQ1OCkvUF9DT01fU0hTX09VVCg0MDQ1OCkpKS9GR","V9FU1RJTUFURSgnRVBTJywnTUVBTicsJ0FOTlVBTF9ST0xMJywnKzEnLDQwNDU4LCwsJycp&amp;WINDOW=FIRST_POPUP&amp;HEIGHT=450&amp;WIDTH=450&amp;START_MAXIMIZED=FALSE&amp;VAR:CALENDAR=US&amp;VAR:SYMBOL=38259P50&amp;VAR:INDEX=0"}</definedName>
    <definedName name="_2285__FDSAUDITLINK__">{"fdsup://directions/FAT Viewer?action=UPDATE&amp;creator=factset&amp;DYN_ARGS=TRUE&amp;DOC_NAME=FAT:FQL_AUDITING_CLIENT_TEMPLATE.FAT&amp;display_string=Audit&amp;VAR:KEY=EVIPYDQBQD&amp;VAR:QUERY=KFBfUFJJQ0UoNDA0NTcpLShGRl9DQVNIX1NUKFFUUiw0MDQ1NykvUF9DT01fU0hTX09VVCg0MDQ1NykpKS9GR","V9FU1RJTUFURSgnRVBTJywnTUVBTicsJ0FOTlVBTF9ST0xMJywnKzEnLDQwNDU3LCwsJycp&amp;WINDOW=FIRST_POPUP&amp;HEIGHT=450&amp;WIDTH=450&amp;START_MAXIMIZED=FALSE&amp;VAR:CALENDAR=US&amp;VAR:SYMBOL=38259P50&amp;VAR:INDEX=0"}</definedName>
    <definedName name="_2286__FDSAUDITLINK__">{"fdsup://directions/FAT Viewer?action=UPDATE&amp;creator=factset&amp;DYN_ARGS=TRUE&amp;DOC_NAME=FAT:FQL_AUDITING_CLIENT_TEMPLATE.FAT&amp;display_string=Audit&amp;VAR:KEY=EVIPYDQBQD&amp;VAR:QUERY=KFBfUFJJQ0UoNDA0NTcpLShGRl9DQVNIX1NUKFFUUiw0MDQ1NykvUF9DT01fU0hTX09VVCg0MDQ1NykpKS9GR","V9FU1RJTUFURSgnRVBTJywnTUVBTicsJ0FOTlVBTF9ST0xMJywnKzEnLDQwNDU3LCwsJycp&amp;WINDOW=FIRST_POPUP&amp;HEIGHT=450&amp;WIDTH=450&amp;START_MAXIMIZED=FALSE&amp;VAR:CALENDAR=US&amp;VAR:SYMBOL=38259P50&amp;VAR:INDEX=0"}</definedName>
    <definedName name="_2287__FDSAUDITLINK__">{"fdsup://directions/FAT Viewer?action=UPDATE&amp;creator=factset&amp;DYN_ARGS=TRUE&amp;DOC_NAME=FAT:FQL_AUDITING_CLIENT_TEMPLATE.FAT&amp;display_string=Audit&amp;VAR:KEY=IFKTABSBGV&amp;VAR:QUERY=KFBfUFJJQ0UoNDA0NTYpLShGRl9DQVNIX1NUKFFUUiw0MDQ1NikvUF9DT01fU0hTX09VVCg0MDQ1NikpKS9GR","V9FU1RJTUFURSgnRVBTJywnTUVBTicsJ0FOTlVBTF9ST0xMJywnKzEnLDQwNDU2LCwsJycp&amp;WINDOW=FIRST_POPUP&amp;HEIGHT=450&amp;WIDTH=450&amp;START_MAXIMIZED=FALSE&amp;VAR:CALENDAR=US&amp;VAR:SYMBOL=38259P50&amp;VAR:INDEX=0"}</definedName>
    <definedName name="_2288__FDSAUDITLINK__">{"fdsup://directions/FAT Viewer?action=UPDATE&amp;creator=factset&amp;DYN_ARGS=TRUE&amp;DOC_NAME=FAT:FQL_AUDITING_CLIENT_TEMPLATE.FAT&amp;display_string=Audit&amp;VAR:KEY=IFKTABSBGV&amp;VAR:QUERY=KFBfUFJJQ0UoNDA0NTYpLShGRl9DQVNIX1NUKFFUUiw0MDQ1NikvUF9DT01fU0hTX09VVCg0MDQ1NikpKS9GR","V9FU1RJTUFURSgnRVBTJywnTUVBTicsJ0FOTlVBTF9ST0xMJywnKzEnLDQwNDU2LCwsJycp&amp;WINDOW=FIRST_POPUP&amp;HEIGHT=450&amp;WIDTH=450&amp;START_MAXIMIZED=FALSE&amp;VAR:CALENDAR=US&amp;VAR:SYMBOL=38259P50&amp;VAR:INDEX=0"}</definedName>
    <definedName name="_2289__FDSAUDITLINK__">{"fdsup://directions/FAT Viewer?action=UPDATE&amp;creator=factset&amp;DYN_ARGS=TRUE&amp;DOC_NAME=FAT:FQL_AUDITING_CLIENT_TEMPLATE.FAT&amp;display_string=Audit&amp;VAR:KEY=YHEZINMJWL&amp;VAR:QUERY=KFBfUFJJQ0UoNDA0NTUpLShGRl9DQVNIX1NUKFFUUiw0MDQ1NSkvUF9DT01fU0hTX09VVCg0MDQ1NSkpKS9GR","V9FU1RJTUFURSgnRVBTJywnTUVBTicsJ0FOTlVBTF9ST0xMJywnKzEnLDQwNDU1LCwsJycp&amp;WINDOW=FIRST_POPUP&amp;HEIGHT=450&amp;WIDTH=450&amp;START_MAXIMIZED=FALSE&amp;VAR:CALENDAR=US&amp;VAR:SYMBOL=38259P50&amp;VAR:INDEX=0"}</definedName>
    <definedName name="_22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15.034948&amp;VAR:V0=16.808285&amp;VAR:V1=14.518743&amp;VAR:Y0=2002&amp;VAR:Y1=2003&amp;VAR:P=815.284670&amp;VAR:DATE=20020930&amp;VAR:THRESH=-|-|-","|-|-|-|-"}</definedName>
    <definedName name="_2290__FDSAUDITLINK__">{"fdsup://directions/FAT Viewer?action=UPDATE&amp;creator=factset&amp;DYN_ARGS=TRUE&amp;DOC_NAME=FAT:FQL_AUDITING_CLIENT_TEMPLATE.FAT&amp;display_string=Audit&amp;VAR:KEY=YHEZINMJWL&amp;VAR:QUERY=KFBfUFJJQ0UoNDA0NTUpLShGRl9DQVNIX1NUKFFUUiw0MDQ1NSkvUF9DT01fU0hTX09VVCg0MDQ1NSkpKS9GR","V9FU1RJTUFURSgnRVBTJywnTUVBTicsJ0FOTlVBTF9ST0xMJywnKzEnLDQwNDU1LCwsJycp&amp;WINDOW=FIRST_POPUP&amp;HEIGHT=450&amp;WIDTH=450&amp;START_MAXIMIZED=FALSE&amp;VAR:CALENDAR=US&amp;VAR:SYMBOL=38259P50&amp;VAR:INDEX=0"}</definedName>
    <definedName name="_2291__FDSAUDITLINK__">{"fdsup://directions/FAT Viewer?action=UPDATE&amp;creator=factset&amp;DYN_ARGS=TRUE&amp;DOC_NAME=FAT:FQL_AUDITING_CLIENT_TEMPLATE.FAT&amp;display_string=Audit&amp;VAR:KEY=INSFGHOTSP&amp;VAR:QUERY=KFBfUFJJQ0UoNDA0NTQpLShGRl9DQVNIX1NUKFFUUiw0MDQ1NCkvUF9DT01fU0hTX09VVCg0MDQ1NCkpKS9GR","V9FU1RJTUFURSgnRVBTJywnTUVBTicsJ0FOTlVBTF9ST0xMJywnKzEnLDQwNDU0LCwsJycp&amp;WINDOW=FIRST_POPUP&amp;HEIGHT=450&amp;WIDTH=450&amp;START_MAXIMIZED=FALSE&amp;VAR:CALENDAR=US&amp;VAR:SYMBOL=38259P50&amp;VAR:INDEX=0"}</definedName>
    <definedName name="_2292__FDSAUDITLINK__">{"fdsup://directions/FAT Viewer?action=UPDATE&amp;creator=factset&amp;DYN_ARGS=TRUE&amp;DOC_NAME=FAT:FQL_AUDITING_CLIENT_TEMPLATE.FAT&amp;display_string=Audit&amp;VAR:KEY=INSFGHOTSP&amp;VAR:QUERY=KFBfUFJJQ0UoNDA0NTQpLShGRl9DQVNIX1NUKFFUUiw0MDQ1NCkvUF9DT01fU0hTX09VVCg0MDQ1NCkpKS9GR","V9FU1RJTUFURSgnRVBTJywnTUVBTicsJ0FOTlVBTF9ST0xMJywnKzEnLDQwNDU0LCwsJycp&amp;WINDOW=FIRST_POPUP&amp;HEIGHT=450&amp;WIDTH=450&amp;START_MAXIMIZED=FALSE&amp;VAR:CALENDAR=US&amp;VAR:SYMBOL=38259P50&amp;VAR:INDEX=0"}</definedName>
    <definedName name="_2293__FDSAUDITLINK__">{"fdsup://directions/FAT Viewer?action=UPDATE&amp;creator=factset&amp;DYN_ARGS=TRUE&amp;DOC_NAME=FAT:FQL_AUDITING_CLIENT_TEMPLATE.FAT&amp;display_string=Audit&amp;VAR:KEY=EHSJOFYVAJ&amp;VAR:QUERY=KFBfUFJJQ0UoNDA0NTMpLShGRl9DQVNIX1NUKFFUUiw0MDQ1MykvUF9DT01fU0hTX09VVCg0MDQ1MykpKS9GR","V9FU1RJTUFURSgnRVBTJywnTUVBTicsJ0FOTlVBTF9ST0xMJywnKzEnLDQwNDUzLCwsJycp&amp;WINDOW=FIRST_POPUP&amp;HEIGHT=450&amp;WIDTH=450&amp;START_MAXIMIZED=FALSE&amp;VAR:CALENDAR=US&amp;VAR:SYMBOL=38259P50&amp;VAR:INDEX=0"}</definedName>
    <definedName name="_2294__FDSAUDITLINK__">{"fdsup://directions/FAT Viewer?action=UPDATE&amp;creator=factset&amp;DYN_ARGS=TRUE&amp;DOC_NAME=FAT:FQL_AUDITING_CLIENT_TEMPLATE.FAT&amp;display_string=Audit&amp;VAR:KEY=EHSJOFYVAJ&amp;VAR:QUERY=KFBfUFJJQ0UoNDA0NTMpLShGRl9DQVNIX1NUKFFUUiw0MDQ1MykvUF9DT01fU0hTX09VVCg0MDQ1MykpKS9GR","V9FU1RJTUFURSgnRVBTJywnTUVBTicsJ0FOTlVBTF9ST0xMJywnKzEnLDQwNDUzLCwsJycp&amp;WINDOW=FIRST_POPUP&amp;HEIGHT=450&amp;WIDTH=450&amp;START_MAXIMIZED=FALSE&amp;VAR:CALENDAR=US&amp;VAR:SYMBOL=38259P50&amp;VAR:INDEX=0"}</definedName>
    <definedName name="_2295__FDSAUDITLINK__">{"fdsup://directions/FAT Viewer?action=UPDATE&amp;creator=factset&amp;DYN_ARGS=TRUE&amp;DOC_NAME=FAT:FQL_AUDITING_CLIENT_TEMPLATE.FAT&amp;display_string=Audit&amp;VAR:KEY=QXWVUTQZMB&amp;VAR:QUERY=KFBfUFJJQ0UoNDA0NTIpLShGRl9DQVNIX1NUKFFUUiw0MDQ1MikvUF9DT01fU0hTX09VVCg0MDQ1MikpKS9GR","V9FU1RJTUFURSgnRVBTJywnTUVBTicsJ0FOTlVBTF9ST0xMJywnKzEnLDQwNDUyLCwsJycp&amp;WINDOW=FIRST_POPUP&amp;HEIGHT=450&amp;WIDTH=450&amp;START_MAXIMIZED=FALSE&amp;VAR:CALENDAR=US&amp;VAR:SYMBOL=38259P50&amp;VAR:INDEX=0"}</definedName>
    <definedName name="_2296__FDSAUDITLINK__">{"fdsup://directions/FAT Viewer?action=UPDATE&amp;creator=factset&amp;DYN_ARGS=TRUE&amp;DOC_NAME=FAT:FQL_AUDITING_CLIENT_TEMPLATE.FAT&amp;display_string=Audit&amp;VAR:KEY=QXWVUTQZMB&amp;VAR:QUERY=KFBfUFJJQ0UoNDA0NTIpLShGRl9DQVNIX1NUKFFUUiw0MDQ1MikvUF9DT01fU0hTX09VVCg0MDQ1MikpKS9GR","V9FU1RJTUFURSgnRVBTJywnTUVBTicsJ0FOTlVBTF9ST0xMJywnKzEnLDQwNDUyLCwsJycp&amp;WINDOW=FIRST_POPUP&amp;HEIGHT=450&amp;WIDTH=450&amp;START_MAXIMIZED=FALSE&amp;VAR:CALENDAR=US&amp;VAR:SYMBOL=38259P50&amp;VAR:INDEX=0"}</definedName>
    <definedName name="_2297__FDSAUDITLINK__">{"fdsup://directions/FAT Viewer?action=UPDATE&amp;creator=factset&amp;DYN_ARGS=TRUE&amp;DOC_NAME=FAT:FQL_AUDITING_CLIENT_TEMPLATE.FAT&amp;display_string=Audit&amp;VAR:KEY=SJOXQXADAH&amp;VAR:QUERY=KFBfUFJJQ0UoNDA0NTEpLShGRl9DQVNIX1NUKFFUUiw0MDQ1MSkvUF9DT01fU0hTX09VVCg0MDQ1MSkpKS9GR","V9FU1RJTUFURSgnRVBTJywnTUVBTicsJ0FOTlVBTF9ST0xMJywnKzEnLDQwNDUxLCwsJycp&amp;WINDOW=FIRST_POPUP&amp;HEIGHT=450&amp;WIDTH=450&amp;START_MAXIMIZED=FALSE&amp;VAR:CALENDAR=US&amp;VAR:SYMBOL=38259P50&amp;VAR:INDEX=0"}</definedName>
    <definedName name="_2298__FDSAUDITLINK__">{"fdsup://directions/FAT Viewer?action=UPDATE&amp;creator=factset&amp;DYN_ARGS=TRUE&amp;DOC_NAME=FAT:FQL_AUDITING_CLIENT_TEMPLATE.FAT&amp;display_string=Audit&amp;VAR:KEY=SJOXQXADAH&amp;VAR:QUERY=KFBfUFJJQ0UoNDA0NTEpLShGRl9DQVNIX1NUKFFUUiw0MDQ1MSkvUF9DT01fU0hTX09VVCg0MDQ1MSkpKS9GR","V9FU1RJTUFURSgnRVBTJywnTUVBTicsJ0FOTlVBTF9ST0xMJywnKzEnLDQwNDUxLCwsJycp&amp;WINDOW=FIRST_POPUP&amp;HEIGHT=450&amp;WIDTH=450&amp;START_MAXIMIZED=FALSE&amp;VAR:CALENDAR=US&amp;VAR:SYMBOL=38259P50&amp;VAR:INDEX=0"}</definedName>
    <definedName name="_2299__FDSAUDITLINK__">{"fdsup://directions/FAT Viewer?action=UPDATE&amp;creator=factset&amp;DYN_ARGS=TRUE&amp;DOC_NAME=FAT:FQL_AUDITING_CLIENT_TEMPLATE.FAT&amp;display_string=Audit&amp;VAR:KEY=WRANMFGJYJ&amp;VAR:QUERY=KFBfUFJJQ0UoNDA0NTApLShGRl9DQVNIX1NUKFFUUiw0MDQ1MCkvUF9DT01fU0hTX09VVCg0MDQ1MCkpKS9GR","V9FU1RJTUFURSgnRVBTJywnTUVBTicsJ0FOTlVBTF9ST0xMJywnKzEnLDQwNDUwLCwsJycp&amp;WINDOW=FIRST_POPUP&amp;HEIGHT=450&amp;WIDTH=450&amp;START_MAXIMIZED=FALSE&amp;VAR:CALENDAR=US&amp;VAR:SYMBOL=38259P50&amp;VAR:INDEX=0"}</definedName>
    <definedName name="_2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0.997260&amp;VAR:V=15.014510&amp;VAR:V0=16.902216&amp;VAR:V1=15.009905&amp;VAR:Y0=2005&amp;VAR:Y1=2006&amp;VAR:P=1248.293000&amp;VAR:DATE=20051230&amp;VAR:THRESH=-|-|","-|-|-|-|-"}</definedName>
    <definedName name="_23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0.490411&amp;VAR:V=18.134204&amp;VAR:V0=19.732588&amp;VAR:V1=16.726348&amp;VAR:Y0=2002&amp;VAR:Y1=2003&amp;VAR:P=989.814330&amp;VAR:DATE=20020628&amp;VAR:THRESH=-|-|-","|-|-|-|-"}</definedName>
    <definedName name="_2300__FDSAUDITLINK__">{"fdsup://directions/FAT Viewer?action=UPDATE&amp;creator=factset&amp;DYN_ARGS=TRUE&amp;DOC_NAME=FAT:FQL_AUDITING_CLIENT_TEMPLATE.FAT&amp;display_string=Audit&amp;VAR:KEY=WRANMFGJYJ&amp;VAR:QUERY=KFBfUFJJQ0UoNDA0NTApLShGRl9DQVNIX1NUKFFUUiw0MDQ1MCkvUF9DT01fU0hTX09VVCg0MDQ1MCkpKS9GR","V9FU1RJTUFURSgnRVBTJywnTUVBTicsJ0FOTlVBTF9ST0xMJywnKzEnLDQwNDUwLCwsJycp&amp;WINDOW=FIRST_POPUP&amp;HEIGHT=450&amp;WIDTH=450&amp;START_MAXIMIZED=FALSE&amp;VAR:CALENDAR=US&amp;VAR:SYMBOL=38259P50&amp;VAR:INDEX=0"}</definedName>
    <definedName name="_2301__FDSAUDITLINK__">{"fdsup://directions/FAT Viewer?action=UPDATE&amp;creator=factset&amp;DYN_ARGS=TRUE&amp;DOC_NAME=FAT:FQL_AUDITING_CLIENT_TEMPLATE.FAT&amp;display_string=Audit&amp;VAR:KEY=UPQLOPKDCD&amp;VAR:QUERY=KFBfUFJJQ0UoNDA0NDkpLShGRl9DQVNIX1NUKFFUUiw0MDQ0OSkvUF9DT01fU0hTX09VVCg0MDQ0OSkpKS9GR","V9FU1RJTUFURSgnRVBTJywnTUVBTicsJ0FOTlVBTF9ST0xMJywnKzEnLDQwNDQ5LCwsJycp&amp;WINDOW=FIRST_POPUP&amp;HEIGHT=450&amp;WIDTH=450&amp;START_MAXIMIZED=FALSE&amp;VAR:CALENDAR=US&amp;VAR:SYMBOL=38259P50&amp;VAR:INDEX=0"}</definedName>
    <definedName name="_2302__FDSAUDITLINK__">{"fdsup://directions/FAT Viewer?action=UPDATE&amp;creator=factset&amp;DYN_ARGS=TRUE&amp;DOC_NAME=FAT:FQL_AUDITING_CLIENT_TEMPLATE.FAT&amp;display_string=Audit&amp;VAR:KEY=UPQLOPKDCD&amp;VAR:QUERY=KFBfUFJJQ0UoNDA0NDkpLShGRl9DQVNIX1NUKFFUUiw0MDQ0OSkvUF9DT01fU0hTX09VVCg0MDQ0OSkpKS9GR","V9FU1RJTUFURSgnRVBTJywnTUVBTicsJ0FOTlVBTF9ST0xMJywnKzEnLDQwNDQ5LCwsJycp&amp;WINDOW=FIRST_POPUP&amp;HEIGHT=450&amp;WIDTH=450&amp;START_MAXIMIZED=FALSE&amp;VAR:CALENDAR=US&amp;VAR:SYMBOL=38259P50&amp;VAR:INDEX=0"}</definedName>
    <definedName name="_2303__FDSAUDITLINK__">{"fdsup://directions/FAT Viewer?action=UPDATE&amp;creator=factset&amp;DYN_ARGS=TRUE&amp;DOC_NAME=FAT:FQL_AUDITING_CLIENT_TEMPLATE.FAT&amp;display_string=Audit&amp;VAR:KEY=SDUXIDGRMP&amp;VAR:QUERY=KFBfUFJJQ0UoNDA0NDgpLShGRl9DQVNIX1NUKFFUUiw0MDQ0OCkvUF9DT01fU0hTX09VVCg0MDQ0OCkpKS9GR","V9FU1RJTUFURSgnRVBTJywnTUVBTicsJ0FOTlVBTF9ST0xMJywnKzEnLDQwNDQ4LCwsJycp&amp;WINDOW=FIRST_POPUP&amp;HEIGHT=450&amp;WIDTH=450&amp;START_MAXIMIZED=FALSE&amp;VAR:CALENDAR=US&amp;VAR:SYMBOL=38259P50&amp;VAR:INDEX=0"}</definedName>
    <definedName name="_2304__FDSAUDITLINK__">{"fdsup://directions/FAT Viewer?action=UPDATE&amp;creator=factset&amp;DYN_ARGS=TRUE&amp;DOC_NAME=FAT:FQL_AUDITING_CLIENT_TEMPLATE.FAT&amp;display_string=Audit&amp;VAR:KEY=SDUXIDGRMP&amp;VAR:QUERY=KFBfUFJJQ0UoNDA0NDgpLShGRl9DQVNIX1NUKFFUUiw0MDQ0OCkvUF9DT01fU0hTX09VVCg0MDQ0OCkpKS9GR","V9FU1RJTUFURSgnRVBTJywnTUVBTicsJ0FOTlVBTF9ST0xMJywnKzEnLDQwNDQ4LCwsJycp&amp;WINDOW=FIRST_POPUP&amp;HEIGHT=450&amp;WIDTH=450&amp;START_MAXIMIZED=FALSE&amp;VAR:CALENDAR=US&amp;VAR:SYMBOL=38259P50&amp;VAR:INDEX=0"}</definedName>
    <definedName name="_2305__FDSAUDITLINK__">{"fdsup://directions/FAT Viewer?action=UPDATE&amp;creator=factset&amp;DYN_ARGS=TRUE&amp;DOC_NAME=FAT:FQL_AUDITING_CLIENT_TEMPLATE.FAT&amp;display_string=Audit&amp;VAR:KEY=CPWROLWHAF&amp;VAR:QUERY=KFBfUFJJQ0UoNDA0NDcpLShGRl9DQVNIX1NUKFFUUiw0MDQ0NykvUF9DT01fU0hTX09VVCg0MDQ0NykpKS9GR","V9FU1RJTUFURSgnRVBTJywnTUVBTicsJ0FOTlVBTF9ST0xMJywnKzEnLDQwNDQ3LCwsJycp&amp;WINDOW=FIRST_POPUP&amp;HEIGHT=450&amp;WIDTH=450&amp;START_MAXIMIZED=FALSE&amp;VAR:CALENDAR=US&amp;VAR:SYMBOL=38259P50&amp;VAR:INDEX=0"}</definedName>
    <definedName name="_2306__FDSAUDITLINK__">{"fdsup://directions/FAT Viewer?action=UPDATE&amp;creator=factset&amp;DYN_ARGS=TRUE&amp;DOC_NAME=FAT:FQL_AUDITING_CLIENT_TEMPLATE.FAT&amp;display_string=Audit&amp;VAR:KEY=CPWROLWHAF&amp;VAR:QUERY=KFBfUFJJQ0UoNDA0NDcpLShGRl9DQVNIX1NUKFFUUiw0MDQ0NykvUF9DT01fU0hTX09VVCg0MDQ0NykpKS9GR","V9FU1RJTUFURSgnRVBTJywnTUVBTicsJ0FOTlVBTF9ST0xMJywnKzEnLDQwNDQ3LCwsJycp&amp;WINDOW=FIRST_POPUP&amp;HEIGHT=450&amp;WIDTH=450&amp;START_MAXIMIZED=FALSE&amp;VAR:CALENDAR=US&amp;VAR:SYMBOL=38259P50&amp;VAR:INDEX=0"}</definedName>
    <definedName name="_2307__FDSAUDITLINK__">{"fdsup://directions/FAT Viewer?action=UPDATE&amp;creator=factset&amp;DYN_ARGS=TRUE&amp;DOC_NAME=FAT:FQL_AUDITING_CLIENT_TEMPLATE.FAT&amp;display_string=Audit&amp;VAR:KEY=CBANGHSDYJ&amp;VAR:QUERY=KFBfUFJJQ0UoNDA0NDYpLShGRl9DQVNIX1NUKFFUUiw0MDQ0NikvUF9DT01fU0hTX09VVCg0MDQ0NikpKS9GR","V9FU1RJTUFURSgnRVBTJywnTUVBTicsJ0FOTlVBTF9ST0xMJywnKzEnLDQwNDQ2LCwsJycp&amp;WINDOW=FIRST_POPUP&amp;HEIGHT=450&amp;WIDTH=450&amp;START_MAXIMIZED=FALSE&amp;VAR:CALENDAR=US&amp;VAR:SYMBOL=38259P50&amp;VAR:INDEX=0"}</definedName>
    <definedName name="_2308__FDSAUDITLINK__">{"fdsup://directions/FAT Viewer?action=UPDATE&amp;creator=factset&amp;DYN_ARGS=TRUE&amp;DOC_NAME=FAT:FQL_AUDITING_CLIENT_TEMPLATE.FAT&amp;display_string=Audit&amp;VAR:KEY=CBANGHSDYJ&amp;VAR:QUERY=KFBfUFJJQ0UoNDA0NDYpLShGRl9DQVNIX1NUKFFUUiw0MDQ0NikvUF9DT01fU0hTX09VVCg0MDQ0NikpKS9GR","V9FU1RJTUFURSgnRVBTJywnTUVBTicsJ0FOTlVBTF9ST0xMJywnKzEnLDQwNDQ2LCwsJycp&amp;WINDOW=FIRST_POPUP&amp;HEIGHT=450&amp;WIDTH=450&amp;START_MAXIMIZED=FALSE&amp;VAR:CALENDAR=US&amp;VAR:SYMBOL=38259P50&amp;VAR:INDEX=0"}</definedName>
    <definedName name="_2309__FDSAUDITLINK__">{"fdsup://directions/FAT Viewer?action=UPDATE&amp;creator=factset&amp;DYN_ARGS=TRUE&amp;DOC_NAME=FAT:FQL_AUDITING_CLIENT_TEMPLATE.FAT&amp;display_string=Audit&amp;VAR:KEY=QNYDEPQPSH&amp;VAR:QUERY=KFBfUFJJQ0UoNDA0NDUpLShGRl9DQVNIX1NUKFFUUiw0MDQ0NSkvUF9DT01fU0hTX09VVCg0MDQ0NSkpKS9GR","V9FU1RJTUFURSgnRVBTJywnTUVBTicsJ0FOTlVBTF9ST0xMJywnKzEnLDQwNDQ1LCwsJycp&amp;WINDOW=FIRST_POPUP&amp;HEIGHT=450&amp;WIDTH=450&amp;START_MAXIMIZED=FALSE&amp;VAR:CALENDAR=US&amp;VAR:SYMBOL=38259P50&amp;VAR:INDEX=0"}</definedName>
    <definedName name="_23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0.238356&amp;VAR:V=21.262725&amp;VAR:V0=22.161047&amp;VAR:V1=18.824417&amp;VAR:Y0=2002&amp;VAR:Y1=2003&amp;VAR:P=1147.386500&amp;VAR:DATE=20020328&amp;VAR:THRESH=-|-|","-|-|-|-|-"}</definedName>
    <definedName name="_2310__FDSAUDITLINK__">{"fdsup://directions/FAT Viewer?action=UPDATE&amp;creator=factset&amp;DYN_ARGS=TRUE&amp;DOC_NAME=FAT:FQL_AUDITING_CLIENT_TEMPLATE.FAT&amp;display_string=Audit&amp;VAR:KEY=QNYDEPQPSH&amp;VAR:QUERY=KFBfUFJJQ0UoNDA0NDUpLShGRl9DQVNIX1NUKFFUUiw0MDQ0NSkvUF9DT01fU0hTX09VVCg0MDQ0NSkpKS9GR","V9FU1RJTUFURSgnRVBTJywnTUVBTicsJ0FOTlVBTF9ST0xMJywnKzEnLDQwNDQ1LCwsJycp&amp;WINDOW=FIRST_POPUP&amp;HEIGHT=450&amp;WIDTH=450&amp;START_MAXIMIZED=FALSE&amp;VAR:CALENDAR=US&amp;VAR:SYMBOL=38259P50&amp;VAR:INDEX=0"}</definedName>
    <definedName name="_2311__FDSAUDITLINK__">{"fdsup://directions/FAT Viewer?action=UPDATE&amp;creator=factset&amp;DYN_ARGS=TRUE&amp;DOC_NAME=FAT:FQL_AUDITING_CLIENT_TEMPLATE.FAT&amp;display_string=Audit&amp;VAR:KEY=CNEFYNSBCD&amp;VAR:QUERY=KFBfUFJJQ0UoNDA0NDQpLShGRl9DQVNIX1NUKFFUUiw0MDQ0NCkvUF9DT01fU0hTX09VVCg0MDQ0NCkpKS9GR","V9FU1RJTUFURSgnRVBTJywnTUVBTicsJ0FOTlVBTF9ST0xMJywnKzEnLDQwNDQ0LCwsJycp&amp;WINDOW=FIRST_POPUP&amp;HEIGHT=450&amp;WIDTH=450&amp;START_MAXIMIZED=FALSE&amp;VAR:CALENDAR=US&amp;VAR:SYMBOL=38259P50&amp;VAR:INDEX=0"}</definedName>
    <definedName name="_2312__FDSAUDITLINK__">{"fdsup://directions/FAT Viewer?action=UPDATE&amp;creator=factset&amp;DYN_ARGS=TRUE&amp;DOC_NAME=FAT:FQL_AUDITING_CLIENT_TEMPLATE.FAT&amp;display_string=Audit&amp;VAR:KEY=CNEFYNSBCD&amp;VAR:QUERY=KFBfUFJJQ0UoNDA0NDQpLShGRl9DQVNIX1NUKFFUUiw0MDQ0NCkvUF9DT01fU0hTX09VVCg0MDQ0NCkpKS9GR","V9FU1RJTUFURSgnRVBTJywnTUVBTicsJ0FOTlVBTF9ST0xMJywnKzEnLDQwNDQ0LCwsJycp&amp;WINDOW=FIRST_POPUP&amp;HEIGHT=450&amp;WIDTH=450&amp;START_MAXIMIZED=FALSE&amp;VAR:CALENDAR=US&amp;VAR:SYMBOL=38259P50&amp;VAR:INDEX=0"}</definedName>
    <definedName name="_2313__FDSAUDITLINK__">{"fdsup://directions/FAT Viewer?action=UPDATE&amp;creator=factset&amp;DYN_ARGS=TRUE&amp;DOC_NAME=FAT:FQL_AUDITING_CLIENT_TEMPLATE.FAT&amp;display_string=Audit&amp;VAR:KEY=GJWRYNCLYL&amp;VAR:QUERY=KFBfUFJJQ0UoNDA0NDMpLShGRl9DQVNIX1NUKFFUUiw0MDQ0MykvUF9DT01fU0hTX09VVCg0MDQ0MykpKS9GR","V9FU1RJTUFURSgnRVBTJywnTUVBTicsJ0FOTlVBTF9ST0xMJywnKzEnLDQwNDQzLCwsJycp&amp;WINDOW=FIRST_POPUP&amp;HEIGHT=450&amp;WIDTH=450&amp;START_MAXIMIZED=FALSE&amp;VAR:CALENDAR=US&amp;VAR:SYMBOL=38259P50&amp;VAR:INDEX=0"}</definedName>
    <definedName name="_2314__FDSAUDITLINK__">{"fdsup://directions/FAT Viewer?action=UPDATE&amp;creator=factset&amp;DYN_ARGS=TRUE&amp;DOC_NAME=FAT:FQL_AUDITING_CLIENT_TEMPLATE.FAT&amp;display_string=Audit&amp;VAR:KEY=GJWRYNCLYL&amp;VAR:QUERY=KFBfUFJJQ0UoNDA0NDMpLShGRl9DQVNIX1NUKFFUUiw0MDQ0MykvUF9DT01fU0hTX09VVCg0MDQ0MykpKS9GR","V9FU1RJTUFURSgnRVBTJywnTUVBTicsJ0FOTlVBTF9ST0xMJywnKzEnLDQwNDQzLCwsJycp&amp;WINDOW=FIRST_POPUP&amp;HEIGHT=450&amp;WIDTH=450&amp;START_MAXIMIZED=FALSE&amp;VAR:CALENDAR=US&amp;VAR:SYMBOL=38259P50&amp;VAR:INDEX=0"}</definedName>
    <definedName name="_2315__FDSAUDITLINK__">{"fdsup://directions/FAT Viewer?action=UPDATE&amp;creator=factset&amp;DYN_ARGS=TRUE&amp;DOC_NAME=FAT:FQL_AUDITING_CLIENT_TEMPLATE.FAT&amp;display_string=Audit&amp;VAR:KEY=ODSVIBUNMD&amp;VAR:QUERY=KFBfUFJJQ0UoNDA0NDIpLShGRl9DQVNIX1NUKFFUUiw0MDQ0MikvUF9DT01fU0hTX09VVCg0MDQ0MikpKS9GR","V9FU1RJTUFURSgnRVBTJywnTUVBTicsJ0FOTlVBTF9ST0xMJywnKzEnLDQwNDQyLCwsJycp&amp;WINDOW=FIRST_POPUP&amp;HEIGHT=450&amp;WIDTH=450&amp;START_MAXIMIZED=FALSE&amp;VAR:CALENDAR=US&amp;VAR:SYMBOL=38259P50&amp;VAR:INDEX=0"}</definedName>
    <definedName name="_2316__FDSAUDITLINK__">{"fdsup://directions/FAT Viewer?action=UPDATE&amp;creator=factset&amp;DYN_ARGS=TRUE&amp;DOC_NAME=FAT:FQL_AUDITING_CLIENT_TEMPLATE.FAT&amp;display_string=Audit&amp;VAR:KEY=ODSVIBUNMD&amp;VAR:QUERY=KFBfUFJJQ0UoNDA0NDIpLShGRl9DQVNIX1NUKFFUUiw0MDQ0MikvUF9DT01fU0hTX09VVCg0MDQ0MikpKS9GR","V9FU1RJTUFURSgnRVBTJywnTUVBTicsJ0FOTlVBTF9ST0xMJywnKzEnLDQwNDQyLCwsJycp&amp;WINDOW=FIRST_POPUP&amp;HEIGHT=450&amp;WIDTH=450&amp;START_MAXIMIZED=FALSE&amp;VAR:CALENDAR=US&amp;VAR:SYMBOL=38259P50&amp;VAR:INDEX=0"}</definedName>
    <definedName name="_2317__FDSAUDITLINK__">{"fdsup://directions/FAT Viewer?action=UPDATE&amp;creator=factset&amp;DYN_ARGS=TRUE&amp;DOC_NAME=FAT:FQL_AUDITING_CLIENT_TEMPLATE.FAT&amp;display_string=Audit&amp;VAR:KEY=IVGFKXWNIB&amp;VAR:QUERY=KFBfUFJJQ0UoNDA0NDEpLShGRl9DQVNIX1NUKFFUUiw0MDQ0MSkvUF9DT01fU0hTX09VVCg0MDQ0MSkpKS9GR","V9FU1RJTUFURSgnRVBTJywnTUVBTicsJ0FOTlVBTF9ST0xMJywnKzEnLDQwNDQxLCwsJycp&amp;WINDOW=FIRST_POPUP&amp;HEIGHT=450&amp;WIDTH=450&amp;START_MAXIMIZED=FALSE&amp;VAR:CALENDAR=US&amp;VAR:SYMBOL=38259P50&amp;VAR:INDEX=0"}</definedName>
    <definedName name="_2318__FDSAUDITLINK__">{"fdsup://directions/FAT Viewer?action=UPDATE&amp;creator=factset&amp;DYN_ARGS=TRUE&amp;DOC_NAME=FAT:FQL_AUDITING_CLIENT_TEMPLATE.FAT&amp;display_string=Audit&amp;VAR:KEY=IVGFKXWNIB&amp;VAR:QUERY=KFBfUFJJQ0UoNDA0NDEpLShGRl9DQVNIX1NUKFFUUiw0MDQ0MSkvUF9DT01fU0hTX09VVCg0MDQ0MSkpKS9GR","V9FU1RJTUFURSgnRVBTJywnTUVBTicsJ0FOTlVBTF9ST0xMJywnKzEnLDQwNDQxLCwsJycp&amp;WINDOW=FIRST_POPUP&amp;HEIGHT=450&amp;WIDTH=450&amp;START_MAXIMIZED=FALSE&amp;VAR:CALENDAR=US&amp;VAR:SYMBOL=38259P50&amp;VAR:INDEX=0"}</definedName>
    <definedName name="_2319__FDSAUDITLINK__">{"fdsup://directions/FAT Viewer?action=UPDATE&amp;creator=factset&amp;DYN_ARGS=TRUE&amp;DOC_NAME=FAT:FQL_AUDITING_CLIENT_TEMPLATE.FAT&amp;display_string=Audit&amp;VAR:KEY=GHATCHYPEZ&amp;VAR:QUERY=KFBfUFJJQ0UoNDA0NDApLShGRl9DQVNIX1NUKFFUUiw0MDQ0MCkvUF9DT01fU0hTX09VVCg0MDQ0MCkpKS9GR","V9FU1RJTUFURSgnRVBTJywnTUVBTicsJ0FOTlVBTF9ST0xMJywnKzEnLDQwNDQwLCwsJycp&amp;WINDOW=FIRST_POPUP&amp;HEIGHT=450&amp;WIDTH=450&amp;START_MAXIMIZED=FALSE&amp;VAR:CALENDAR=US&amp;VAR:SYMBOL=38259P50&amp;VAR:INDEX=0"}</definedName>
    <definedName name="_23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21.796135&amp;VAR:V0=24.451031&amp;VAR:V1=21.796135&amp;VAR:Y0=2001&amp;VAR:Y1=2002&amp;VAR:P=1148.080000&amp;VAR:DATE=20011231&amp;VAR:THRESH=-|-|","-|-|-|-|-"}</definedName>
    <definedName name="_2320__FDSAUDITLINK__">{"fdsup://directions/FAT Viewer?action=UPDATE&amp;creator=factset&amp;DYN_ARGS=TRUE&amp;DOC_NAME=FAT:FQL_AUDITING_CLIENT_TEMPLATE.FAT&amp;display_string=Audit&amp;VAR:KEY=GHATCHYPEZ&amp;VAR:QUERY=KFBfUFJJQ0UoNDA0NDApLShGRl9DQVNIX1NUKFFUUiw0MDQ0MCkvUF9DT01fU0hTX09VVCg0MDQ0MCkpKS9GR","V9FU1RJTUFURSgnRVBTJywnTUVBTicsJ0FOTlVBTF9ST0xMJywnKzEnLDQwNDQwLCwsJycp&amp;WINDOW=FIRST_POPUP&amp;HEIGHT=450&amp;WIDTH=450&amp;START_MAXIMIZED=FALSE&amp;VAR:CALENDAR=US&amp;VAR:SYMBOL=38259P50&amp;VAR:INDEX=0"}</definedName>
    <definedName name="_2321__FDSAUDITLINK__">{"fdsup://directions/FAT Viewer?action=UPDATE&amp;creator=factset&amp;DYN_ARGS=TRUE&amp;DOC_NAME=FAT:FQL_AUDITING_CLIENT_TEMPLATE.FAT&amp;display_string=Audit&amp;VAR:KEY=KLIFSREZKL&amp;VAR:QUERY=KFBfUFJJQ0UoNDA0MzkpLShGRl9DQVNIX1NUKFFUUiw0MDQzOSkvUF9DT01fU0hTX09VVCg0MDQzOSkpKS9GR","V9FU1RJTUFURSgnRVBTJywnTUVBTicsJ0FOTlVBTF9ST0xMJywnKzEnLDQwNDM5LCwsJycp&amp;WINDOW=FIRST_POPUP&amp;HEIGHT=450&amp;WIDTH=450&amp;START_MAXIMIZED=FALSE&amp;VAR:CALENDAR=US&amp;VAR:SYMBOL=38259P50&amp;VAR:INDEX=0"}</definedName>
    <definedName name="_2322__FDSAUDITLINK__">{"fdsup://directions/FAT Viewer?action=UPDATE&amp;creator=factset&amp;DYN_ARGS=TRUE&amp;DOC_NAME=FAT:FQL_AUDITING_CLIENT_TEMPLATE.FAT&amp;display_string=Audit&amp;VAR:KEY=KLIFSREZKL&amp;VAR:QUERY=KFBfUFJJQ0UoNDA0MzkpLShGRl9DQVNIX1NUKFFUUiw0MDQzOSkvUF9DT01fU0hTX09VVCg0MDQzOSkpKS9GR","V9FU1RJTUFURSgnRVBTJywnTUVBTicsJ0FOTlVBTF9ST0xMJywnKzEnLDQwNDM5LCwsJycp&amp;WINDOW=FIRST_POPUP&amp;HEIGHT=450&amp;WIDTH=450&amp;START_MAXIMIZED=FALSE&amp;VAR:CALENDAR=US&amp;VAR:SYMBOL=38259P50&amp;VAR:INDEX=0"}</definedName>
    <definedName name="_2323__FDSAUDITLINK__">{"fdsup://directions/FAT Viewer?action=UPDATE&amp;creator=factset&amp;DYN_ARGS=TRUE&amp;DOC_NAME=FAT:FQL_AUDITING_CLIENT_TEMPLATE.FAT&amp;display_string=Audit&amp;VAR:KEY=APOTALMZMP&amp;VAR:QUERY=KFBfUFJJQ0UoNDA0MzgpLShGRl9DQVNIX1NUKFFUUiw0MDQzOCkvUF9DT01fU0hTX09VVCg0MDQzOCkpKS9GR","V9FU1RJTUFURSgnRVBTJywnTUVBTicsJ0FOTlVBTF9ST0xMJywnKzEnLDQwNDM4LCwsJycp&amp;WINDOW=FIRST_POPUP&amp;HEIGHT=450&amp;WIDTH=450&amp;START_MAXIMIZED=FALSE&amp;VAR:CALENDAR=US&amp;VAR:SYMBOL=38259P50&amp;VAR:INDEX=0"}</definedName>
    <definedName name="_2324__FDSAUDITLINK__">{"fdsup://directions/FAT Viewer?action=UPDATE&amp;creator=factset&amp;DYN_ARGS=TRUE&amp;DOC_NAME=FAT:FQL_AUDITING_CLIENT_TEMPLATE.FAT&amp;display_string=Audit&amp;VAR:KEY=APOTALMZMP&amp;VAR:QUERY=KFBfUFJJQ0UoNDA0MzgpLShGRl9DQVNIX1NUKFFUUiw0MDQzOCkvUF9DT01fU0hTX09VVCg0MDQzOCkpKS9GR","V9FU1RJTUFURSgnRVBTJywnTUVBTicsJ0FOTlVBTF9ST0xMJywnKzEnLDQwNDM4LCwsJycp&amp;WINDOW=FIRST_POPUP&amp;HEIGHT=450&amp;WIDTH=450&amp;START_MAXIMIZED=FALSE&amp;VAR:CALENDAR=US&amp;VAR:SYMBOL=38259P50&amp;VAR:INDEX=0"}</definedName>
    <definedName name="_2325__FDSAUDITLINK__">{"fdsup://directions/FAT Viewer?action=UPDATE&amp;creator=factset&amp;DYN_ARGS=TRUE&amp;DOC_NAME=FAT:FQL_AUDITING_CLIENT_TEMPLATE.FAT&amp;display_string=Audit&amp;VAR:KEY=EBQFALEJAN&amp;VAR:QUERY=KFBfUFJJQ0UoNDA0MzcpLShGRl9DQVNIX1NUKFFUUiw0MDQzNykvUF9DT01fU0hTX09VVCg0MDQzNykpKS9GR","V9FU1RJTUFURSgnRVBTJywnTUVBTicsJ0FOTlVBTF9ST0xMJywnKzEnLDQwNDM3LCwsJycp&amp;WINDOW=FIRST_POPUP&amp;HEIGHT=450&amp;WIDTH=450&amp;START_MAXIMIZED=FALSE&amp;VAR:CALENDAR=US&amp;VAR:SYMBOL=38259P50&amp;VAR:INDEX=0"}</definedName>
    <definedName name="_2326__FDSAUDITLINK__">{"fdsup://directions/FAT Viewer?action=UPDATE&amp;creator=factset&amp;DYN_ARGS=TRUE&amp;DOC_NAME=FAT:FQL_AUDITING_CLIENT_TEMPLATE.FAT&amp;display_string=Audit&amp;VAR:KEY=EBQFALEJAN&amp;VAR:QUERY=KFBfUFJJQ0UoNDA0MzcpLShGRl9DQVNIX1NUKFFUUiw0MDQzNykvUF9DT01fU0hTX09VVCg0MDQzNykpKS9GR","V9FU1RJTUFURSgnRVBTJywnTUVBTicsJ0FOTlVBTF9ST0xMJywnKzEnLDQwNDM3LCwsJycp&amp;WINDOW=FIRST_POPUP&amp;HEIGHT=450&amp;WIDTH=450&amp;START_MAXIMIZED=FALSE&amp;VAR:CALENDAR=US&amp;VAR:SYMBOL=38259P50&amp;VAR:INDEX=0"}</definedName>
    <definedName name="_2327__FDSAUDITLINK__">{"fdsup://directions/FAT Viewer?action=UPDATE&amp;creator=factset&amp;DYN_ARGS=TRUE&amp;DOC_NAME=FAT:FQL_AUDITING_CLIENT_TEMPLATE.FAT&amp;display_string=Audit&amp;VAR:KEY=MVAZALGNKV&amp;VAR:QUERY=KFBfUFJJQ0UoNDA0MzYpLShGRl9DQVNIX1NUKFFUUiw0MDQzNikvUF9DT01fU0hTX09VVCg0MDQzNikpKS9GR","V9FU1RJTUFURSgnRVBTJywnTUVBTicsJ0FOTlVBTF9ST0xMJywnKzEnLDQwNDM2LCwsJycp&amp;WINDOW=FIRST_POPUP&amp;HEIGHT=450&amp;WIDTH=450&amp;START_MAXIMIZED=FALSE&amp;VAR:CALENDAR=US&amp;VAR:SYMBOL=38259P50&amp;VAR:INDEX=0"}</definedName>
    <definedName name="_2328__FDSAUDITLINK__">{"fdsup://directions/FAT Viewer?action=UPDATE&amp;creator=factset&amp;DYN_ARGS=TRUE&amp;DOC_NAME=FAT:FQL_AUDITING_CLIENT_TEMPLATE.FAT&amp;display_string=Audit&amp;VAR:KEY=MVAZALGNKV&amp;VAR:QUERY=KFBfUFJJQ0UoNDA0MzYpLShGRl9DQVNIX1NUKFFUUiw0MDQzNikvUF9DT01fU0hTX09VVCg0MDQzNikpKS9GR","V9FU1RJTUFURSgnRVBTJywnTUVBTicsJ0FOTlVBTF9ST0xMJywnKzEnLDQwNDM2LCwsJycp&amp;WINDOW=FIRST_POPUP&amp;HEIGHT=450&amp;WIDTH=450&amp;START_MAXIMIZED=FALSE&amp;VAR:CALENDAR=US&amp;VAR:SYMBOL=38259P50&amp;VAR:INDEX=0"}</definedName>
    <definedName name="_2329__FDSAUDITLINK__">{"fdsup://directions/FAT Viewer?action=UPDATE&amp;creator=factset&amp;DYN_ARGS=TRUE&amp;DOC_NAME=FAT:FQL_AUDITING_CLIENT_TEMPLATE.FAT&amp;display_string=Audit&amp;VAR:KEY=UZSBUXSBIB&amp;VAR:QUERY=KFBfUFJJQ0UoNDA0MzUpLShGRl9DQVNIX1NUKFFUUiw0MDQzNSkvUF9DT01fU0hTX09VVCg0MDQzNSkpKS9GR","V9FU1RJTUFURSgnRVBTJywnTUVBTicsJ0FOTlVBTF9ST0xMJywnKzEnLDQwNDM1LCwsJycp&amp;WINDOW=FIRST_POPUP&amp;HEIGHT=450&amp;WIDTH=450&amp;START_MAXIMIZED=FALSE&amp;VAR:CALENDAR=US&amp;VAR:SYMBOL=38259P50&amp;VAR:INDEX=0"}</definedName>
    <definedName name="_23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0.742466&amp;VAR:V=18.714763&amp;VAR:V0=20.678416&amp;VAR:V1=18.117981&amp;VAR:Y0=2001&amp;VAR:Y1=2002&amp;VAR:P=1040.940000&amp;VAR:DATE=20010928&amp;VAR:THRESH=-|-|","-|-|-|-|-"}</definedName>
    <definedName name="_2330__FDSAUDITLINK__">{"fdsup://directions/FAT Viewer?action=UPDATE&amp;creator=factset&amp;DYN_ARGS=TRUE&amp;DOC_NAME=FAT:FQL_AUDITING_CLIENT_TEMPLATE.FAT&amp;display_string=Audit&amp;VAR:KEY=UZSBUXSBIB&amp;VAR:QUERY=KFBfUFJJQ0UoNDA0MzUpLShGRl9DQVNIX1NUKFFUUiw0MDQzNSkvUF9DT01fU0hTX09VVCg0MDQzNSkpKS9GR","V9FU1RJTUFURSgnRVBTJywnTUVBTicsJ0FOTlVBTF9ST0xMJywnKzEnLDQwNDM1LCwsJycp&amp;WINDOW=FIRST_POPUP&amp;HEIGHT=450&amp;WIDTH=450&amp;START_MAXIMIZED=FALSE&amp;VAR:CALENDAR=US&amp;VAR:SYMBOL=38259P50&amp;VAR:INDEX=0"}</definedName>
    <definedName name="_2331__FDSAUDITLINK__">{"fdsup://directions/FAT Viewer?action=UPDATE&amp;creator=factset&amp;DYN_ARGS=TRUE&amp;DOC_NAME=FAT:FQL_AUDITING_CLIENT_TEMPLATE.FAT&amp;display_string=Audit&amp;VAR:KEY=CFIVWTUHMH&amp;VAR:QUERY=KFBfUFJJQ0UoNDA0MzQpLShGRl9DQVNIX1NUKFFUUiw0MDQzNCkvUF9DT01fU0hTX09VVCg0MDQzNCkpKS9GR","V9FU1RJTUFURSgnRVBTJywnTUVBTicsJ0FOTlVBTF9ST0xMJywnKzEnLDQwNDM0LCwsJycp&amp;WINDOW=FIRST_POPUP&amp;HEIGHT=450&amp;WIDTH=450&amp;START_MAXIMIZED=FALSE&amp;VAR:CALENDAR=US&amp;VAR:SYMBOL=38259P50&amp;VAR:INDEX=0"}</definedName>
    <definedName name="_2332__FDSAUDITLINK__">{"fdsup://directions/FAT Viewer?action=UPDATE&amp;creator=factset&amp;DYN_ARGS=TRUE&amp;DOC_NAME=FAT:FQL_AUDITING_CLIENT_TEMPLATE.FAT&amp;display_string=Audit&amp;VAR:KEY=CFIVWTUHMH&amp;VAR:QUERY=KFBfUFJJQ0UoNDA0MzQpLShGRl9DQVNIX1NUKFFUUiw0MDQzNCkvUF9DT01fU0hTX09VVCg0MDQzNCkpKS9GR","V9FU1RJTUFURSgnRVBTJywnTUVBTicsJ0FOTlVBTF9ST0xMJywnKzEnLDQwNDM0LCwsJycp&amp;WINDOW=FIRST_POPUP&amp;HEIGHT=450&amp;WIDTH=450&amp;START_MAXIMIZED=FALSE&amp;VAR:CALENDAR=US&amp;VAR:SYMBOL=38259P50&amp;VAR:INDEX=0"}</definedName>
    <definedName name="_2333__FDSAUDITLINK__">{"fdsup://directions/FAT Viewer?action=UPDATE&amp;creator=factset&amp;DYN_ARGS=TRUE&amp;DOC_NAME=FAT:FQL_AUDITING_CLIENT_TEMPLATE.FAT&amp;display_string=Audit&amp;VAR:KEY=IBIHSRYFSZ&amp;VAR:QUERY=KFBfUFJJQ0UoNDA0MzMpLShGRl9DQVNIX1NUKFFUUiw0MDQzMykvUF9DT01fU0hTX09VVCg0MDQzMykpKS9GR","V9FU1RJTUFURSgnRVBTJywnTUVBTicsJ0FOTlVBTF9ST0xMJywnKzEnLDQwNDMzLCwsJycp&amp;WINDOW=FIRST_POPUP&amp;HEIGHT=450&amp;WIDTH=450&amp;START_MAXIMIZED=FALSE&amp;VAR:CALENDAR=US&amp;VAR:SYMBOL=38259P50&amp;VAR:INDEX=0"}</definedName>
    <definedName name="_2334__FDSAUDITLINK__">{"fdsup://directions/FAT Viewer?action=UPDATE&amp;creator=factset&amp;DYN_ARGS=TRUE&amp;DOC_NAME=FAT:FQL_AUDITING_CLIENT_TEMPLATE.FAT&amp;display_string=Audit&amp;VAR:KEY=IBIHSRYFSZ&amp;VAR:QUERY=KFBfUFJJQ0UoNDA0MzMpLShGRl9DQVNIX1NUKFFUUiw0MDQzMykvUF9DT01fU0hTX09VVCg0MDQzMykpKS9GR","V9FU1RJTUFURSgnRVBTJywnTUVBTicsJ0FOTlVBTF9ST0xMJywnKzEnLDQwNDMzLCwsJycp&amp;WINDOW=FIRST_POPUP&amp;HEIGHT=450&amp;WIDTH=450&amp;START_MAXIMIZED=FALSE&amp;VAR:CALENDAR=US&amp;VAR:SYMBOL=38259P50&amp;VAR:INDEX=0"}</definedName>
    <definedName name="_2335__FDSAUDITLINK__">{"fdsup://directions/FAT Viewer?action=UPDATE&amp;creator=factset&amp;DYN_ARGS=TRUE&amp;DOC_NAME=FAT:FQL_AUDITING_CLIENT_TEMPLATE.FAT&amp;display_string=Audit&amp;VAR:KEY=EBYRAVSPSN&amp;VAR:QUERY=KFBfUFJJQ0UoNDA0MzIpLShGRl9DQVNIX1NUKFFUUiw0MDQzMikvUF9DT01fU0hTX09VVCg0MDQzMikpKS9GR","V9FU1RJTUFURSgnRVBTJywnTUVBTicsJ0FOTlVBTF9ST0xMJywnKzEnLDQwNDMyLCwsJycp&amp;WINDOW=FIRST_POPUP&amp;HEIGHT=450&amp;WIDTH=450&amp;START_MAXIMIZED=FALSE&amp;VAR:CALENDAR=US&amp;VAR:SYMBOL=38259P50&amp;VAR:INDEX=0"}</definedName>
    <definedName name="_2336__FDSAUDITLINK__">{"fdsup://directions/FAT Viewer?action=UPDATE&amp;creator=factset&amp;DYN_ARGS=TRUE&amp;DOC_NAME=FAT:FQL_AUDITING_CLIENT_TEMPLATE.FAT&amp;display_string=Audit&amp;VAR:KEY=EBYRAVSPSN&amp;VAR:QUERY=KFBfUFJJQ0UoNDA0MzIpLShGRl9DQVNIX1NUKFFUUiw0MDQzMikvUF9DT01fU0hTX09VVCg0MDQzMikpKS9GR","V9FU1RJTUFURSgnRVBTJywnTUVBTicsJ0FOTlVBTF9ST0xMJywnKzEnLDQwNDMyLCwsJycp&amp;WINDOW=FIRST_POPUP&amp;HEIGHT=450&amp;WIDTH=450&amp;START_MAXIMIZED=FALSE&amp;VAR:CALENDAR=US&amp;VAR:SYMBOL=38259P50&amp;VAR:INDEX=0"}</definedName>
    <definedName name="_2337__FDSAUDITLINK__">{"fdsup://directions/FAT Viewer?action=UPDATE&amp;creator=factset&amp;DYN_ARGS=TRUE&amp;DOC_NAME=FAT:FQL_AUDITING_CLIENT_TEMPLATE.FAT&amp;display_string=Audit&amp;VAR:KEY=STAHYFOBGN&amp;VAR:QUERY=KFBfUFJJQ0UoNDA0MzEpLShGRl9DQVNIX1NUKFFUUiw0MDQzMSkvUF9DT01fU0hTX09VVCg0MDQzMSkpKS9GR","V9FU1RJTUFURSgnRVBTJywnTUVBTicsJ0FOTlVBTF9ST0xMJywnKzEnLDQwNDMxLCwsJycp&amp;WINDOW=FIRST_POPUP&amp;HEIGHT=450&amp;WIDTH=450&amp;START_MAXIMIZED=FALSE&amp;VAR:CALENDAR=US&amp;VAR:SYMBOL=38259P50&amp;VAR:INDEX=0"}</definedName>
    <definedName name="_2338__FDSAUDITLINK__">{"fdsup://directions/FAT Viewer?action=UPDATE&amp;creator=factset&amp;DYN_ARGS=TRUE&amp;DOC_NAME=FAT:FQL_AUDITING_CLIENT_TEMPLATE.FAT&amp;display_string=Audit&amp;VAR:KEY=STAHYFOBGN&amp;VAR:QUERY=KFBfUFJJQ0UoNDA0MzEpLShGRl9DQVNIX1NUKFFUUiw0MDQzMSkvUF9DT01fU0hTX09VVCg0MDQzMSkpKS9GR","V9FU1RJTUFURSgnRVBTJywnTUVBTicsJ0FOTlVBTF9ST0xMJywnKzEnLDQwNDMxLCwsJycp&amp;WINDOW=FIRST_POPUP&amp;HEIGHT=450&amp;WIDTH=450&amp;START_MAXIMIZED=FALSE&amp;VAR:CALENDAR=US&amp;VAR:SYMBOL=38259P50&amp;VAR:INDEX=0"}</definedName>
    <definedName name="_2339__FDSAUDITLINK__">{"fdsup://directions/FAT Viewer?action=UPDATE&amp;creator=factset&amp;DYN_ARGS=TRUE&amp;DOC_NAME=FAT:FQL_AUDITING_CLIENT_TEMPLATE.FAT&amp;display_string=Audit&amp;VAR:KEY=GFAVKNSDID&amp;VAR:QUERY=KFBfUFJJQ0UoNDA0MzApLShGRl9DQVNIX1NUKFFUUiw0MDQzMCkvUF9DT01fU0hTX09VVCg0MDQzMCkpKS9GR","V9FU1RJTUFURSgnRVBTJywnTUVBTicsJ0FOTlVBTF9ST0xMJywnKzEnLDQwNDMwLCwsJycp&amp;WINDOW=FIRST_POPUP&amp;HEIGHT=450&amp;WIDTH=450&amp;START_MAXIMIZED=FALSE&amp;VAR:CALENDAR=US&amp;VAR:SYMBOL=38259P50&amp;VAR:INDEX=0"}</definedName>
    <definedName name="_23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0.493151&amp;VAR:V=21.467032&amp;VAR:V0=22.927110&amp;VAR:V1=20.148277&amp;VAR:Y0=2001&amp;VAR:Y1=2002&amp;VAR:P=1224.420000&amp;VAR:DATE=20010629&amp;VAR:THRESH=-|-|","-|-|-|-|-"}</definedName>
    <definedName name="_2340__FDSAUDITLINK__">{"fdsup://directions/FAT Viewer?action=UPDATE&amp;creator=factset&amp;DYN_ARGS=TRUE&amp;DOC_NAME=FAT:FQL_AUDITING_CLIENT_TEMPLATE.FAT&amp;display_string=Audit&amp;VAR:KEY=GFAVKNSDID&amp;VAR:QUERY=KFBfUFJJQ0UoNDA0MzApLShGRl9DQVNIX1NUKFFUUiw0MDQzMCkvUF9DT01fU0hTX09VVCg0MDQzMCkpKS9GR","V9FU1RJTUFURSgnRVBTJywnTUVBTicsJ0FOTlVBTF9ST0xMJywnKzEnLDQwNDMwLCwsJycp&amp;WINDOW=FIRST_POPUP&amp;HEIGHT=450&amp;WIDTH=450&amp;START_MAXIMIZED=FALSE&amp;VAR:CALENDAR=US&amp;VAR:SYMBOL=38259P50&amp;VAR:INDEX=0"}</definedName>
    <definedName name="_2341__FDSAUDITLINK__">{"fdsup://directions/FAT Viewer?action=UPDATE&amp;creator=factset&amp;DYN_ARGS=TRUE&amp;DOC_NAME=FAT:FQL_AUDITING_CLIENT_TEMPLATE.FAT&amp;display_string=Audit&amp;VAR:KEY=OZOTKPAJIZ&amp;VAR:QUERY=KFBfUFJJQ0UoNDA0MjkpLShGRl9DQVNIX1NUKFFUUiw0MDQyOSkvUF9DT01fU0hTX09VVCg0MDQyOSkpKS9GR","V9FU1RJTUFURSgnRVBTJywnTUVBTicsJ0FOTlVBTF9ST0xMJywnKzEnLDQwNDI5LCwsJycp&amp;WINDOW=FIRST_POPUP&amp;HEIGHT=450&amp;WIDTH=450&amp;START_MAXIMIZED=FALSE&amp;VAR:CALENDAR=US&amp;VAR:SYMBOL=38259P50&amp;VAR:INDEX=0"}</definedName>
    <definedName name="_2342__FDSAUDITLINK__">{"fdsup://directions/FAT Viewer?action=UPDATE&amp;creator=factset&amp;DYN_ARGS=TRUE&amp;DOC_NAME=FAT:FQL_AUDITING_CLIENT_TEMPLATE.FAT&amp;display_string=Audit&amp;VAR:KEY=OZOTKPAJIZ&amp;VAR:QUERY=KFBfUFJJQ0UoNDA0MjkpLShGRl9DQVNIX1NUKFFUUiw0MDQyOSkvUF9DT01fU0hTX09VVCg0MDQyOSkpKS9GR","V9FU1RJTUFURSgnRVBTJywnTUVBTicsJ0FOTlVBTF9ST0xMJywnKzEnLDQwNDI5LCwsJycp&amp;WINDOW=FIRST_POPUP&amp;HEIGHT=450&amp;WIDTH=450&amp;START_MAXIMIZED=FALSE&amp;VAR:CALENDAR=US&amp;VAR:SYMBOL=38259P50&amp;VAR:INDEX=0"}</definedName>
    <definedName name="_2343__FDSAUDITLINK__">{"fdsup://directions/FAT Viewer?action=UPDATE&amp;creator=factset&amp;DYN_ARGS=TRUE&amp;DOC_NAME=FAT:FQL_AUDITING_CLIENT_TEMPLATE.FAT&amp;display_string=Audit&amp;VAR:KEY=YLCRQLGRCX&amp;VAR:QUERY=KFBfUFJJQ0UoNDA0MjgpLShGRl9DQVNIX1NUKFFUUiw0MDQyOCkvUF9DT01fU0hTX09VVCg0MDQyOCkpKS9GR","V9FU1RJTUFURSgnRVBTJywnTUVBTicsJ0FOTlVBTF9ST0xMJywnKzEnLDQwNDI4LCwsJycp&amp;WINDOW=FIRST_POPUP&amp;HEIGHT=450&amp;WIDTH=450&amp;START_MAXIMIZED=FALSE&amp;VAR:CALENDAR=US&amp;VAR:SYMBOL=38259P50&amp;VAR:INDEX=0"}</definedName>
    <definedName name="_2344__FDSAUDITLINK__">{"fdsup://directions/FAT Viewer?action=UPDATE&amp;creator=factset&amp;DYN_ARGS=TRUE&amp;DOC_NAME=FAT:FQL_AUDITING_CLIENT_TEMPLATE.FAT&amp;display_string=Audit&amp;VAR:KEY=YLCRQLGRCX&amp;VAR:QUERY=KFBfUFJJQ0UoNDA0MjgpLShGRl9DQVNIX1NUKFFUUiw0MDQyOCkvUF9DT01fU0hTX09VVCg0MDQyOCkpKS9GR","V9FU1RJTUFURSgnRVBTJywnTUVBTicsJ0FOTlVBTF9ST0xMJywnKzEnLDQwNDI4LCwsJycp&amp;WINDOW=FIRST_POPUP&amp;HEIGHT=450&amp;WIDTH=450&amp;START_MAXIMIZED=FALSE&amp;VAR:CALENDAR=US&amp;VAR:SYMBOL=38259P50&amp;VAR:INDEX=0"}</definedName>
    <definedName name="_2345__FDSAUDITLINK__">{"fdsup://directions/FAT Viewer?action=UPDATE&amp;creator=factset&amp;DYN_ARGS=TRUE&amp;DOC_NAME=FAT:FQL_AUDITING_CLIENT_TEMPLATE.FAT&amp;display_string=Audit&amp;VAR:KEY=GLGJMLOJWZ&amp;VAR:QUERY=KFBfUFJJQ0UoNDA0MjcpLShGRl9DQVNIX1NUKFFUUiw0MDQyNykvUF9DT01fU0hTX09VVCg0MDQyNykpKS9GR","V9FU1RJTUFURSgnRVBTJywnTUVBTicsJ0FOTlVBTF9ST0xMJywnKzEnLDQwNDI3LCwsJycp&amp;WINDOW=FIRST_POPUP&amp;HEIGHT=450&amp;WIDTH=450&amp;START_MAXIMIZED=FALSE&amp;VAR:CALENDAR=US&amp;VAR:SYMBOL=38259P50&amp;VAR:INDEX=0"}</definedName>
    <definedName name="_2346__FDSAUDITLINK__">{"fdsup://directions/FAT Viewer?action=UPDATE&amp;creator=factset&amp;DYN_ARGS=TRUE&amp;DOC_NAME=FAT:FQL_AUDITING_CLIENT_TEMPLATE.FAT&amp;display_string=Audit&amp;VAR:KEY=GLGJMLOJWZ&amp;VAR:QUERY=KFBfUFJJQ0UoNDA0MjcpLShGRl9DQVNIX1NUKFFUUiw0MDQyNykvUF9DT01fU0hTX09VVCg0MDQyNykpKS9GR","V9FU1RJTUFURSgnRVBTJywnTUVBTicsJ0FOTlVBTF9ST0xMJywnKzEnLDQwNDI3LCwsJycp&amp;WINDOW=FIRST_POPUP&amp;HEIGHT=450&amp;WIDTH=450&amp;START_MAXIMIZED=FALSE&amp;VAR:CALENDAR=US&amp;VAR:SYMBOL=38259P50&amp;VAR:INDEX=0"}</definedName>
    <definedName name="_2347__FDSAUDITLINK__">{"fdsup://directions/FAT Viewer?action=UPDATE&amp;creator=factset&amp;DYN_ARGS=TRUE&amp;DOC_NAME=FAT:FQL_AUDITING_CLIENT_TEMPLATE.FAT&amp;display_string=Audit&amp;VAR:KEY=MBUFOZQNUL&amp;VAR:QUERY=KFBfUFJJQ0UoNDA0MjYpLShGRl9DQVNIX1NUKFFUUiw0MDQyNikvUF9DT01fU0hTX09VVCg0MDQyNikpKS9GR","V9FU1RJTUFURSgnRVBTJywnTUVBTicsJ0FOTlVBTF9ST0xMJywnKzEnLDQwNDI2LCwsJycp&amp;WINDOW=FIRST_POPUP&amp;HEIGHT=450&amp;WIDTH=450&amp;START_MAXIMIZED=FALSE&amp;VAR:CALENDAR=US&amp;VAR:SYMBOL=38259P50&amp;VAR:INDEX=0"}</definedName>
    <definedName name="_2348__FDSAUDITLINK__">{"fdsup://directions/FAT Viewer?action=UPDATE&amp;creator=factset&amp;DYN_ARGS=TRUE&amp;DOC_NAME=FAT:FQL_AUDITING_CLIENT_TEMPLATE.FAT&amp;display_string=Audit&amp;VAR:KEY=MBUFOZQNUL&amp;VAR:QUERY=KFBfUFJJQ0UoNDA0MjYpLShGRl9DQVNIX1NUKFFUUiw0MDQyNikvUF9DT01fU0hTX09VVCg0MDQyNikpKS9GR","V9FU1RJTUFURSgnRVBTJywnTUVBTicsJ0FOTlVBTF9ST0xMJywnKzEnLDQwNDI2LCwsJycp&amp;WINDOW=FIRST_POPUP&amp;HEIGHT=450&amp;WIDTH=450&amp;START_MAXIMIZED=FALSE&amp;VAR:CALENDAR=US&amp;VAR:SYMBOL=38259P50&amp;VAR:INDEX=0"}</definedName>
    <definedName name="_2349__FDSAUDITLINK__">{"fdsup://directions/FAT Viewer?action=UPDATE&amp;creator=factset&amp;DYN_ARGS=TRUE&amp;DOC_NAME=FAT:FQL_AUDITING_CLIENT_TEMPLATE.FAT&amp;display_string=Audit&amp;VAR:KEY=ATEVELKRWN&amp;VAR:QUERY=KFBfUFJJQ0UoNDA0MjUpLShGRl9DQVNIX1NUKFFUUiw0MDQyNSkvUF9DT01fU0hTX09VVCg0MDQyNSkpKS9GR","V9FU1RJTUFURSgnRVBTJywnTUVBTicsJ0FOTlVBTF9ST0xMJywnKzEnLDQwNDI1LCwsJycp&amp;WINDOW=FIRST_POPUP&amp;HEIGHT=450&amp;WIDTH=450&amp;START_MAXIMIZED=FALSE&amp;VAR:CALENDAR=US&amp;VAR:SYMBOL=38259P50&amp;VAR:INDEX=0"}</definedName>
    <definedName name="_23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0.243836&amp;VAR:V=19.804424&amp;VAR:V0=20.395707&amp;VAR:V1=18.170808&amp;VAR:Y0=2001&amp;VAR:Y1=2002&amp;VAR:P=1160.330000&amp;VAR:DATE=20010330&amp;VAR:THRESH=-|-|","-|-|-|-|-"}</definedName>
    <definedName name="_2350__FDSAUDITLINK__">{"fdsup://directions/FAT Viewer?action=UPDATE&amp;creator=factset&amp;DYN_ARGS=TRUE&amp;DOC_NAME=FAT:FQL_AUDITING_CLIENT_TEMPLATE.FAT&amp;display_string=Audit&amp;VAR:KEY=ATEVELKRWN&amp;VAR:QUERY=KFBfUFJJQ0UoNDA0MjUpLShGRl9DQVNIX1NUKFFUUiw0MDQyNSkvUF9DT01fU0hTX09VVCg0MDQyNSkpKS9GR","V9FU1RJTUFURSgnRVBTJywnTUVBTicsJ0FOTlVBTF9ST0xMJywnKzEnLDQwNDI1LCwsJycp&amp;WINDOW=FIRST_POPUP&amp;HEIGHT=450&amp;WIDTH=450&amp;START_MAXIMIZED=FALSE&amp;VAR:CALENDAR=US&amp;VAR:SYMBOL=38259P50&amp;VAR:INDEX=0"}</definedName>
    <definedName name="_2351__FDSAUDITLINK__">{"fdsup://directions/FAT Viewer?action=UPDATE&amp;creator=factset&amp;DYN_ARGS=TRUE&amp;DOC_NAME=FAT:FQL_AUDITING_CLIENT_TEMPLATE.FAT&amp;display_string=Audit&amp;VAR:KEY=ORYHCRYLYX&amp;VAR:QUERY=KFBfUFJJQ0UoNDA0MjQpLShGRl9DQVNIX1NUKFFUUiw0MDQyNCkvUF9DT01fU0hTX09VVCg0MDQyNCkpKS9GR","V9FU1RJTUFURSgnRVBTJywnTUVBTicsJ0FOTlVBTF9ST0xMJywnKzEnLDQwNDI0LCwsJycp&amp;WINDOW=FIRST_POPUP&amp;HEIGHT=450&amp;WIDTH=450&amp;START_MAXIMIZED=FALSE&amp;VAR:CALENDAR=US&amp;VAR:SYMBOL=38259P50&amp;VAR:INDEX=0"}</definedName>
    <definedName name="_2352__FDSAUDITLINK__">{"fdsup://directions/FAT Viewer?action=UPDATE&amp;creator=factset&amp;DYN_ARGS=TRUE&amp;DOC_NAME=FAT:FQL_AUDITING_CLIENT_TEMPLATE.FAT&amp;display_string=Audit&amp;VAR:KEY=ORYHCRYLYX&amp;VAR:QUERY=KFBfUFJJQ0UoNDA0MjQpLShGRl9DQVNIX1NUKFFUUiw0MDQyNCkvUF9DT01fU0hTX09VVCg0MDQyNCkpKS9GR","V9FU1RJTUFURSgnRVBTJywnTUVBTicsJ0FOTlVBTF9ST0xMJywnKzEnLDQwNDI0LCwsJycp&amp;WINDOW=FIRST_POPUP&amp;HEIGHT=450&amp;WIDTH=450&amp;START_MAXIMIZED=FALSE&amp;VAR:CALENDAR=US&amp;VAR:SYMBOL=38259P50&amp;VAR:INDEX=0"}</definedName>
    <definedName name="_2353__FDSAUDITLINK__">{"fdsup://directions/FAT Viewer?action=UPDATE&amp;creator=factset&amp;DYN_ARGS=TRUE&amp;DOC_NAME=FAT:FQL_AUDITING_CLIENT_TEMPLATE.FAT&amp;display_string=Audit&amp;VAR:KEY=QXGVWJCHYT&amp;VAR:QUERY=KFBfUFJJQ0UoNDA0MjMpLShGRl9DQVNIX1NUKFFUUiw0MDQyMykvUF9DT01fU0hTX09VVCg0MDQyMykpKS9GR","V9FU1RJTUFURSgnRVBTJywnTUVBTicsJ0FOTlVBTF9ST0xMJywnKzEnLDQwNDIzLCwsJycp&amp;WINDOW=FIRST_POPUP&amp;HEIGHT=450&amp;WIDTH=450&amp;START_MAXIMIZED=FALSE&amp;VAR:CALENDAR=US&amp;VAR:SYMBOL=38259P50&amp;VAR:INDEX=0"}</definedName>
    <definedName name="_2354__FDSAUDITLINK__">{"fdsup://directions/FAT Viewer?action=UPDATE&amp;creator=factset&amp;DYN_ARGS=TRUE&amp;DOC_NAME=FAT:FQL_AUDITING_CLIENT_TEMPLATE.FAT&amp;display_string=Audit&amp;VAR:KEY=QXGVWJCHYT&amp;VAR:QUERY=KFBfUFJJQ0UoNDA0MjMpLShGRl9DQVNIX1NUKFFUUiw0MDQyMykvUF9DT01fU0hTX09VVCg0MDQyMykpKS9GR","V9FU1RJTUFURSgnRVBTJywnTUVBTicsJ0FOTlVBTF9ST0xMJywnKzEnLDQwNDIzLCwsJycp&amp;WINDOW=FIRST_POPUP&amp;HEIGHT=450&amp;WIDTH=450&amp;START_MAXIMIZED=FALSE&amp;VAR:CALENDAR=US&amp;VAR:SYMBOL=38259P50&amp;VAR:INDEX=0"}</definedName>
    <definedName name="_2355__FDSAUDITLINK__">{"fdsup://directions/FAT Viewer?action=UPDATE&amp;creator=factset&amp;DYN_ARGS=TRUE&amp;DOC_NAME=FAT:FQL_AUDITING_CLIENT_TEMPLATE.FAT&amp;display_string=Audit&amp;VAR:KEY=MHYXELUVUL&amp;VAR:QUERY=KFBfUFJJQ0UoNDA0MjIpLShGRl9DQVNIX1NUKFFUUiw0MDQyMikvUF9DT01fU0hTX09VVCg0MDQyMikpKS9GR","V9FU1RJTUFURSgnRVBTJywnTUVBTicsJ0FOTlVBTF9ST0xMJywnKzEnLDQwNDIyLCwsJycp&amp;WINDOW=FIRST_POPUP&amp;HEIGHT=450&amp;WIDTH=450&amp;START_MAXIMIZED=FALSE&amp;VAR:CALENDAR=US&amp;VAR:SYMBOL=38259P50&amp;VAR:INDEX=0"}</definedName>
    <definedName name="_2356__FDSAUDITLINK__">{"fdsup://directions/FAT Viewer?action=UPDATE&amp;creator=factset&amp;DYN_ARGS=TRUE&amp;DOC_NAME=FAT:FQL_AUDITING_CLIENT_TEMPLATE.FAT&amp;display_string=Audit&amp;VAR:KEY=MHYXELUVUL&amp;VAR:QUERY=KFBfUFJJQ0UoNDA0MjIpLShGRl9DQVNIX1NUKFFUUiw0MDQyMikvUF9DT01fU0hTX09VVCg0MDQyMikpKS9GR","V9FU1RJTUFURSgnRVBTJywnTUVBTicsJ0FOTlVBTF9ST0xMJywnKzEnLDQwNDIyLCwsJycp&amp;WINDOW=FIRST_POPUP&amp;HEIGHT=450&amp;WIDTH=450&amp;START_MAXIMIZED=FALSE&amp;VAR:CALENDAR=US&amp;VAR:SYMBOL=38259P50&amp;VAR:INDEX=0"}</definedName>
    <definedName name="_2357__FDSAUDITLINK__">{"fdsup://directions/FAT Viewer?action=UPDATE&amp;creator=factset&amp;DYN_ARGS=TRUE&amp;DOC_NAME=FAT:FQL_AUDITING_CLIENT_TEMPLATE.FAT&amp;display_string=Audit&amp;VAR:KEY=OXUNWPKPMX&amp;VAR:QUERY=KFBfUFJJQ0UoNDA0MjEpLShGRl9DQVNIX1NUKFFUUiw0MDQyMSkvUF9DT01fU0hTX09VVCg0MDQyMSkpKS9GR","V9FU1RJTUFURSgnRVBTJywnTUVBTicsJ0FOTlVBTF9ST0xMJywnKzEnLDQwNDIxLCwsJycp&amp;WINDOW=FIRST_POPUP&amp;HEIGHT=450&amp;WIDTH=450&amp;START_MAXIMIZED=FALSE&amp;VAR:CALENDAR=US&amp;VAR:SYMBOL=38259P50&amp;VAR:INDEX=0"}</definedName>
    <definedName name="_2358__FDSAUDITLINK__">{"fdsup://directions/FAT Viewer?action=UPDATE&amp;creator=factset&amp;DYN_ARGS=TRUE&amp;DOC_NAME=FAT:FQL_AUDITING_CLIENT_TEMPLATE.FAT&amp;display_string=Audit&amp;VAR:KEY=OXUNWPKPMX&amp;VAR:QUERY=KFBfUFJJQ0UoNDA0MjEpLShGRl9DQVNIX1NUKFFUUiw0MDQyMSkvUF9DT01fU0hTX09VVCg0MDQyMSkpKS9GR","V9FU1RJTUFURSgnRVBTJywnTUVBTicsJ0FOTlVBTF9ST0xMJywnKzEnLDQwNDIxLCwsJycp&amp;WINDOW=FIRST_POPUP&amp;HEIGHT=450&amp;WIDTH=450&amp;START_MAXIMIZED=FALSE&amp;VAR:CALENDAR=US&amp;VAR:SYMBOL=38259P50&amp;VAR:INDEX=0"}</definedName>
    <definedName name="_2359__FDSAUDITLINK__">{"fdsup://directions/FAT Viewer?action=UPDATE&amp;creator=factset&amp;DYN_ARGS=TRUE&amp;DOC_NAME=FAT:FQL_AUDITING_CLIENT_TEMPLATE.FAT&amp;display_string=Audit&amp;VAR:KEY=GDWNCPQLIL&amp;VAR:QUERY=KFBfUFJJQ0UoNDA0MjApLShGRl9DQVNIX1NUKFFUUiw0MDQyMCkvUF9DT01fU0hTX09VVCg0MDQyMCkpKS9GR","V9FU1RJTUFURSgnRVBTJywnTUVBTicsJ0FOTlVBTF9ST0xMJywnKzEnLDQwNDIwLCwsJycp&amp;WINDOW=FIRST_POPUP&amp;HEIGHT=450&amp;WIDTH=450&amp;START_MAXIMIZED=FALSE&amp;VAR:CALENDAR=US&amp;VAR:SYMBOL=38259P50&amp;VAR:INDEX=0"}</definedName>
    <definedName name="_23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0.994536&amp;VAR:V=21.855977&amp;VAR:V0=24.588790&amp;VAR:V1=21.842638&amp;VAR:Y0=2000&amp;VAR:Y1=2001&amp;VAR:P=1320.280000&amp;VAR:DATE=20001229&amp;VAR:THRESH=-|-|","-|-|-|-|-"}</definedName>
    <definedName name="_2360__FDSAUDITLINK__">{"fdsup://directions/FAT Viewer?action=UPDATE&amp;creator=factset&amp;DYN_ARGS=TRUE&amp;DOC_NAME=FAT:FQL_AUDITING_CLIENT_TEMPLATE.FAT&amp;display_string=Audit&amp;VAR:KEY=GDWNCPQLIL&amp;VAR:QUERY=KFBfUFJJQ0UoNDA0MjApLShGRl9DQVNIX1NUKFFUUiw0MDQyMCkvUF9DT01fU0hTX09VVCg0MDQyMCkpKS9GR","V9FU1RJTUFURSgnRVBTJywnTUVBTicsJ0FOTlVBTF9ST0xMJywnKzEnLDQwNDIwLCwsJycp&amp;WINDOW=FIRST_POPUP&amp;HEIGHT=450&amp;WIDTH=450&amp;START_MAXIMIZED=FALSE&amp;VAR:CALENDAR=US&amp;VAR:SYMBOL=38259P50&amp;VAR:INDEX=0"}</definedName>
    <definedName name="_2361__FDSAUDITLINK__">{"fdsup://directions/FAT Viewer?action=UPDATE&amp;creator=factset&amp;DYN_ARGS=TRUE&amp;DOC_NAME=FAT:FQL_AUDITING_CLIENT_TEMPLATE.FAT&amp;display_string=Audit&amp;VAR:KEY=KLQHGXGNMP&amp;VAR:QUERY=KFBfUFJJQ0UoNDA0MTkpLShGRl9DQVNIX1NUKFFUUiw0MDQxOSkvUF9DT01fU0hTX09VVCg0MDQxOSkpKS9GR","V9FU1RJTUFURSgnRVBTJywnTUVBTicsJ0FOTlVBTF9ST0xMJywnKzEnLDQwNDE5LCwsJycp&amp;WINDOW=FIRST_POPUP&amp;HEIGHT=450&amp;WIDTH=450&amp;START_MAXIMIZED=FALSE&amp;VAR:CALENDAR=US&amp;VAR:SYMBOL=38259P50&amp;VAR:INDEX=0"}</definedName>
    <definedName name="_2362__FDSAUDITLINK__">{"fdsup://directions/FAT Viewer?action=UPDATE&amp;creator=factset&amp;DYN_ARGS=TRUE&amp;DOC_NAME=FAT:FQL_AUDITING_CLIENT_TEMPLATE.FAT&amp;display_string=Audit&amp;VAR:KEY=KLQHGXGNMP&amp;VAR:QUERY=KFBfUFJJQ0UoNDA0MTkpLShGRl9DQVNIX1NUKFFUUiw0MDQxOSkvUF9DT01fU0hTX09VVCg0MDQxOSkpKS9GR","V9FU1RJTUFURSgnRVBTJywnTUVBTicsJ0FOTlVBTF9ST0xMJywnKzEnLDQwNDE5LCwsJycp&amp;WINDOW=FIRST_POPUP&amp;HEIGHT=450&amp;WIDTH=450&amp;START_MAXIMIZED=FALSE&amp;VAR:CALENDAR=US&amp;VAR:SYMBOL=38259P50&amp;VAR:INDEX=0"}</definedName>
    <definedName name="_2363__FDSAUDITLINK__">{"fdsup://directions/FAT Viewer?action=UPDATE&amp;creator=factset&amp;DYN_ARGS=TRUE&amp;DOC_NAME=FAT:FQL_AUDITING_CLIENT_TEMPLATE.FAT&amp;display_string=Audit&amp;VAR:KEY=GJILOBEFQX&amp;VAR:QUERY=KFBfUFJJQ0UoNDA0MTgpLShGRl9DQVNIX1NUKFFUUiw0MDQxOCkvUF9DT01fU0hTX09VVCg0MDQxOCkpKS9GR","V9FU1RJTUFURSgnRVBTJywnTUVBTicsJ0FOTlVBTF9ST0xMJywnKzEnLDQwNDE4LCwsJycp&amp;WINDOW=FIRST_POPUP&amp;HEIGHT=450&amp;WIDTH=450&amp;START_MAXIMIZED=FALSE&amp;VAR:CALENDAR=US&amp;VAR:SYMBOL=38259P50&amp;VAR:INDEX=0"}</definedName>
    <definedName name="_2364__FDSAUDITLINK__">{"fdsup://directions/FAT Viewer?action=UPDATE&amp;creator=factset&amp;DYN_ARGS=TRUE&amp;DOC_NAME=FAT:FQL_AUDITING_CLIENT_TEMPLATE.FAT&amp;display_string=Audit&amp;VAR:KEY=GJILOBEFQX&amp;VAR:QUERY=KFBfUFJJQ0UoNDA0MTgpLShGRl9DQVNIX1NUKFFUUiw0MDQxOCkvUF9DT01fU0hTX09VVCg0MDQxOCkpKS9GR","V9FU1RJTUFURSgnRVBTJywnTUVBTicsJ0FOTlVBTF9ST0xMJywnKzEnLDQwNDE4LCwsJycp&amp;WINDOW=FIRST_POPUP&amp;HEIGHT=450&amp;WIDTH=450&amp;START_MAXIMIZED=FALSE&amp;VAR:CALENDAR=US&amp;VAR:SYMBOL=38259P50&amp;VAR:INDEX=0"}</definedName>
    <definedName name="_2365__FDSAUDITLINK__">{"fdsup://directions/FAT Viewer?action=UPDATE&amp;creator=factset&amp;DYN_ARGS=TRUE&amp;DOC_NAME=FAT:FQL_AUDITING_CLIENT_TEMPLATE.FAT&amp;display_string=Audit&amp;VAR:KEY=YPMHGBGLGL&amp;VAR:QUERY=KFBfUFJJQ0UoNDA0MTcpLShGRl9DQVNIX1NUKFFUUiw0MDQxNykvUF9DT01fU0hTX09VVCg0MDQxNykpKS9GR","V9FU1RJTUFURSgnRVBTJywnTUVBTicsJ0FOTlVBTF9ST0xMJywnKzEnLDQwNDE3LCwsJycp&amp;WINDOW=FIRST_POPUP&amp;HEIGHT=450&amp;WIDTH=450&amp;START_MAXIMIZED=FALSE&amp;VAR:CALENDAR=US&amp;VAR:SYMBOL=38259P50&amp;VAR:INDEX=0"}</definedName>
    <definedName name="_2366__FDSAUDITLINK__">{"fdsup://directions/FAT Viewer?action=UPDATE&amp;creator=factset&amp;DYN_ARGS=TRUE&amp;DOC_NAME=FAT:FQL_AUDITING_CLIENT_TEMPLATE.FAT&amp;display_string=Audit&amp;VAR:KEY=YPMHGBGLGL&amp;VAR:QUERY=KFBfUFJJQ0UoNDA0MTcpLShGRl9DQVNIX1NUKFFUUiw0MDQxNykvUF9DT01fU0hTX09VVCg0MDQxNykpKS9GR","V9FU1RJTUFURSgnRVBTJywnTUVBTicsJ0FOTlVBTF9ST0xMJywnKzEnLDQwNDE3LCwsJycp&amp;WINDOW=FIRST_POPUP&amp;HEIGHT=450&amp;WIDTH=450&amp;START_MAXIMIZED=FALSE&amp;VAR:CALENDAR=US&amp;VAR:SYMBOL=38259P50&amp;VAR:INDEX=0"}</definedName>
    <definedName name="_2367__FDSAUDITLINK__">{"fdsup://directions/FAT Viewer?action=UPDATE&amp;creator=factset&amp;DYN_ARGS=TRUE&amp;DOC_NAME=FAT:FQL_AUDITING_CLIENT_TEMPLATE.FAT&amp;display_string=Audit&amp;VAR:KEY=YZMBQBEXGH&amp;VAR:QUERY=KFBfUFJJQ0UoNDA0MTYpLShGRl9DQVNIX1NUKFFUUiw0MDQxNikvUF9DT01fU0hTX09VVCg0MDQxNikpKS9GR","V9FU1RJTUFURSgnRVBTJywnTUVBTicsJ0FOTlVBTF9ST0xMJywnKzEnLDQwNDE2LCwsJycp&amp;WINDOW=FIRST_POPUP&amp;HEIGHT=450&amp;WIDTH=450&amp;START_MAXIMIZED=FALSE&amp;VAR:CALENDAR=US&amp;VAR:SYMBOL=38259P50&amp;VAR:INDEX=0"}</definedName>
    <definedName name="_2368__FDSAUDITLINK__">{"fdsup://directions/FAT Viewer?action=UPDATE&amp;creator=factset&amp;DYN_ARGS=TRUE&amp;DOC_NAME=FAT:FQL_AUDITING_CLIENT_TEMPLATE.FAT&amp;display_string=Audit&amp;VAR:KEY=YZMBQBEXGH&amp;VAR:QUERY=KFBfUFJJQ0UoNDA0MTYpLShGRl9DQVNIX1NUKFFUUiw0MDQxNikvUF9DT01fU0hTX09VVCg0MDQxNikpKS9GR","V9FU1RJTUFURSgnRVBTJywnTUVBTicsJ0FOTlVBTF9ST0xMJywnKzEnLDQwNDE2LCwsJycp&amp;WINDOW=FIRST_POPUP&amp;HEIGHT=450&amp;WIDTH=450&amp;START_MAXIMIZED=FALSE&amp;VAR:CALENDAR=US&amp;VAR:SYMBOL=38259P50&amp;VAR:INDEX=0"}</definedName>
    <definedName name="_2369__FDSAUDITLINK__">{"fdsup://directions/FAT Viewer?action=UPDATE&amp;creator=factset&amp;DYN_ARGS=TRUE&amp;DOC_NAME=FAT:FQL_AUDITING_CLIENT_TEMPLATE.FAT&amp;display_string=Audit&amp;VAR:KEY=CDMLQRSNWH&amp;VAR:QUERY=KFBfUFJJQ0UoNDA0MTUpLShGRl9DQVNIX1NUKFFUUiw0MDQxNSkvUF9DT01fU0hTX09VVCg0MDQxNSkpKS9GR","V9FU1RJTUFURSgnRVBTJywnTUVBTicsJ0FOTlVBTF9ST0xMJywnKzEnLDQwNDE1LCwsJycp&amp;WINDOW=FIRST_POPUP&amp;HEIGHT=450&amp;WIDTH=450&amp;START_MAXIMIZED=FALSE&amp;VAR:CALENDAR=US&amp;VAR:SYMBOL=38259P50&amp;VAR:INDEX=0"}</definedName>
    <definedName name="_23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0.745902&amp;VAR:V=23.627023&amp;VAR:V0=26.068801&amp;VAR:V1=22.896434&amp;VAR:Y0=2000&amp;VAR:Y1=2001&amp;VAR:P=1436.510000&amp;VAR:DATE=20000929&amp;VAR:THRESH=-|-|","-|-|-|-|-"}</definedName>
    <definedName name="_2370__FDSAUDITLINK__">{"fdsup://directions/FAT Viewer?action=UPDATE&amp;creator=factset&amp;DYN_ARGS=TRUE&amp;DOC_NAME=FAT:FQL_AUDITING_CLIENT_TEMPLATE.FAT&amp;display_string=Audit&amp;VAR:KEY=CDMLQRSNWH&amp;VAR:QUERY=KFBfUFJJQ0UoNDA0MTUpLShGRl9DQVNIX1NUKFFUUiw0MDQxNSkvUF9DT01fU0hTX09VVCg0MDQxNSkpKS9GR","V9FU1RJTUFURSgnRVBTJywnTUVBTicsJ0FOTlVBTF9ST0xMJywnKzEnLDQwNDE1LCwsJycp&amp;WINDOW=FIRST_POPUP&amp;HEIGHT=450&amp;WIDTH=450&amp;START_MAXIMIZED=FALSE&amp;VAR:CALENDAR=US&amp;VAR:SYMBOL=38259P50&amp;VAR:INDEX=0"}</definedName>
    <definedName name="_2371__FDSAUDITLINK__">{"fdsup://directions/FAT Viewer?action=UPDATE&amp;creator=factset&amp;DYN_ARGS=TRUE&amp;DOC_NAME=FAT:FQL_AUDITING_CLIENT_TEMPLATE.FAT&amp;display_string=Audit&amp;VAR:KEY=KBOTEVEDIT&amp;VAR:QUERY=KFBfUFJJQ0UoNDA0MTQpLShGRl9DQVNIX1NUKFFUUiw0MDQxNCkvUF9DT01fU0hTX09VVCg0MDQxNCkpKS9GR","V9FU1RJTUFURSgnRVBTJywnTUVBTicsJ0FOTlVBTF9ST0xMJywnKzEnLDQwNDE0LCwsJycp&amp;WINDOW=FIRST_POPUP&amp;HEIGHT=450&amp;WIDTH=450&amp;START_MAXIMIZED=FALSE&amp;VAR:CALENDAR=US&amp;VAR:SYMBOL=38259P50&amp;VAR:INDEX=0"}</definedName>
    <definedName name="_2372__FDSAUDITLINK__">{"fdsup://directions/FAT Viewer?action=UPDATE&amp;creator=factset&amp;DYN_ARGS=TRUE&amp;DOC_NAME=FAT:FQL_AUDITING_CLIENT_TEMPLATE.FAT&amp;display_string=Audit&amp;VAR:KEY=KBOTEVEDIT&amp;VAR:QUERY=KFBfUFJJQ0UoNDA0MTQpLShGRl9DQVNIX1NUKFFUUiw0MDQxNCkvUF9DT01fU0hTX09VVCg0MDQxNCkpKS9GR","V9FU1RJTUFURSgnRVBTJywnTUVBTicsJ0FOTlVBTF9ST0xMJywnKzEnLDQwNDE0LCwsJycp&amp;WINDOW=FIRST_POPUP&amp;HEIGHT=450&amp;WIDTH=450&amp;START_MAXIMIZED=FALSE&amp;VAR:CALENDAR=US&amp;VAR:SYMBOL=38259P50&amp;VAR:INDEX=0"}</definedName>
    <definedName name="_2373__FDSAUDITLINK__">{"fdsup://directions/FAT Viewer?action=UPDATE&amp;creator=factset&amp;DYN_ARGS=TRUE&amp;DOC_NAME=FAT:FQL_AUDITING_CLIENT_TEMPLATE.FAT&amp;display_string=Audit&amp;VAR:KEY=ANOZKBUFUH&amp;VAR:QUERY=KFBfUFJJQ0UoNDA0MTMpLShGRl9DQVNIX1NUKFFUUiw0MDQxMykvUF9DT01fU0hTX09VVCg0MDQxMykpKS9GR","V9FU1RJTUFURSgnRVBTJywnTUVBTicsJ0FOTlVBTF9ST0xMJywnKzEnLDQwNDEzLCwsJycp&amp;WINDOW=FIRST_POPUP&amp;HEIGHT=450&amp;WIDTH=450&amp;START_MAXIMIZED=FALSE&amp;VAR:CALENDAR=US&amp;VAR:SYMBOL=38259P50&amp;VAR:INDEX=0"}</definedName>
    <definedName name="_2374__FDSAUDITLINK__">{"fdsup://directions/FAT Viewer?action=UPDATE&amp;creator=factset&amp;DYN_ARGS=TRUE&amp;DOC_NAME=FAT:FQL_AUDITING_CLIENT_TEMPLATE.FAT&amp;display_string=Audit&amp;VAR:KEY=ANOZKBUFUH&amp;VAR:QUERY=KFBfUFJJQ0UoNDA0MTMpLShGRl9DQVNIX1NUKFFUUiw0MDQxMykvUF9DT01fU0hTX09VVCg0MDQxMykpKS9GR","V9FU1RJTUFURSgnRVBTJywnTUVBTicsJ0FOTlVBTF9ST0xMJywnKzEnLDQwNDEzLCwsJycp&amp;WINDOW=FIRST_POPUP&amp;HEIGHT=450&amp;WIDTH=450&amp;START_MAXIMIZED=FALSE&amp;VAR:CALENDAR=US&amp;VAR:SYMBOL=38259P50&amp;VAR:INDEX=0"}</definedName>
    <definedName name="_2375__FDSAUDITLINK__">{"fdsup://directions/FAT Viewer?action=UPDATE&amp;creator=factset&amp;DYN_ARGS=TRUE&amp;DOC_NAME=FAT:FQL_AUDITING_CLIENT_TEMPLATE.FAT&amp;display_string=Audit&amp;VAR:KEY=QBQHMLWNQJ&amp;VAR:QUERY=KFBfUFJJQ0UoNDA0MTIpLShGRl9DQVNIX1NUKFFUUiw0MDQxMikvUF9DT01fU0hTX09VVCg0MDQxMikpKS9GR","V9FU1RJTUFURSgnRVBTJywnTUVBTicsJ0FOTlVBTF9ST0xMJywnKzEnLDQwNDEyLCwsJycp&amp;WINDOW=FIRST_POPUP&amp;HEIGHT=450&amp;WIDTH=450&amp;START_MAXIMIZED=FALSE&amp;VAR:CALENDAR=US&amp;VAR:SYMBOL=38259P50&amp;VAR:INDEX=0"}</definedName>
    <definedName name="_2376__FDSAUDITLINK__">{"fdsup://directions/FAT Viewer?action=UPDATE&amp;creator=factset&amp;DYN_ARGS=TRUE&amp;DOC_NAME=FAT:FQL_AUDITING_CLIENT_TEMPLATE.FAT&amp;display_string=Audit&amp;VAR:KEY=QBQHMLWNQJ&amp;VAR:QUERY=KFBfUFJJQ0UoNDA0MTIpLShGRl9DQVNIX1NUKFFUUiw0MDQxMikvUF9DT01fU0hTX09VVCg0MDQxMikpKS9GR","V9FU1RJTUFURSgnRVBTJywnTUVBTicsJ0FOTlVBTF9ST0xMJywnKzEnLDQwNDEyLCwsJycp&amp;WINDOW=FIRST_POPUP&amp;HEIGHT=450&amp;WIDTH=450&amp;START_MAXIMIZED=FALSE&amp;VAR:CALENDAR=US&amp;VAR:SYMBOL=38259P50&amp;VAR:INDEX=0"}</definedName>
    <definedName name="_2377__FDSAUDITLINK__">{"fdsup://directions/FAT Viewer?action=UPDATE&amp;creator=factset&amp;DYN_ARGS=TRUE&amp;DOC_NAME=FAT:FQL_AUDITING_CLIENT_TEMPLATE.FAT&amp;display_string=Audit&amp;VAR:KEY=EHADGRSNMV&amp;VAR:QUERY=KFBfUFJJQ0UoNDA0MTEpLShGRl9DQVNIX1NUKFFUUiw0MDQxMSkvUF9DT01fU0hTX09VVCg0MDQxMSkpKS9GR","V9FU1RJTUFURSgnRVBTJywnTUVBTicsJ0FOTlVBTF9ST0xMJywnKzEnLDQwNDExLCwsJycp&amp;WINDOW=FIRST_POPUP&amp;HEIGHT=450&amp;WIDTH=450&amp;START_MAXIMIZED=FALSE&amp;VAR:CALENDAR=US&amp;VAR:SYMBOL=38259P50&amp;VAR:INDEX=0"}</definedName>
    <definedName name="_2378__FDSAUDITLINK__">{"fdsup://directions/FAT Viewer?action=UPDATE&amp;creator=factset&amp;DYN_ARGS=TRUE&amp;DOC_NAME=FAT:FQL_AUDITING_CLIENT_TEMPLATE.FAT&amp;display_string=Audit&amp;VAR:KEY=EHADGRSNMV&amp;VAR:QUERY=KFBfUFJJQ0UoNDA0MTEpLShGRl9DQVNIX1NUKFFUUiw0MDQxMSkvUF9DT01fU0hTX09VVCg0MDQxMSkpKS9GR","V9FU1RJTUFURSgnRVBTJywnTUVBTicsJ0FOTlVBTF9ST0xMJywnKzEnLDQwNDExLCwsJycp&amp;WINDOW=FIRST_POPUP&amp;HEIGHT=450&amp;WIDTH=450&amp;START_MAXIMIZED=FALSE&amp;VAR:CALENDAR=US&amp;VAR:SYMBOL=38259P50&amp;VAR:INDEX=0"}</definedName>
    <definedName name="_2379__FDSAUDITLINK__">{"fdsup://directions/FAT Viewer?action=UPDATE&amp;creator=factset&amp;DYN_ARGS=TRUE&amp;DOC_NAME=FAT:FQL_AUDITING_CLIENT_TEMPLATE.FAT&amp;display_string=Audit&amp;VAR:KEY=CVGPETCTKD&amp;VAR:QUERY=KFBfUFJJQ0UoNDA0MTApLShGRl9DQVNIX1NUKFFUUiw0MDQxMCkvUF9DT01fU0hTX09VVCg0MDQxMCkpKS9GR","V9FU1RJTUFURSgnRVBTJywnTUVBTicsJ0FOTlVBTF9ST0xMJywnKzEnLDQwNDEwLCwsJycp&amp;WINDOW=FIRST_POPUP&amp;HEIGHT=450&amp;WIDTH=450&amp;START_MAXIMIZED=FALSE&amp;VAR:CALENDAR=US&amp;VAR:SYMBOL=38259P50&amp;VAR:INDEX=0"}</definedName>
    <definedName name="_23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0.497268&amp;VAR:V=25.296435&amp;VAR:V0=27.133862&amp;VAR:V1=23.675576&amp;VAR:Y0=2000&amp;VAR:Y1=2001&amp;VAR:P=1454.600000&amp;VAR:DATE=20000630&amp;VAR:THRESH=-|-|","-|-|-|-|-"}</definedName>
    <definedName name="_2380__FDSAUDITLINK__">{"fdsup://directions/FAT Viewer?action=UPDATE&amp;creator=factset&amp;DYN_ARGS=TRUE&amp;DOC_NAME=FAT:FQL_AUDITING_CLIENT_TEMPLATE.FAT&amp;display_string=Audit&amp;VAR:KEY=CVGPETCTKD&amp;VAR:QUERY=KFBfUFJJQ0UoNDA0MTApLShGRl9DQVNIX1NUKFFUUiw0MDQxMCkvUF9DT01fU0hTX09VVCg0MDQxMCkpKS9GR","V9FU1RJTUFURSgnRVBTJywnTUVBTicsJ0FOTlVBTF9ST0xMJywnKzEnLDQwNDEwLCwsJycp&amp;WINDOW=FIRST_POPUP&amp;HEIGHT=450&amp;WIDTH=450&amp;START_MAXIMIZED=FALSE&amp;VAR:CALENDAR=US&amp;VAR:SYMBOL=38259P50&amp;VAR:INDEX=0"}</definedName>
    <definedName name="_2381__FDSAUDITLINK__">{"fdsup://directions/FAT Viewer?action=UPDATE&amp;creator=factset&amp;DYN_ARGS=TRUE&amp;DOC_NAME=FAT:FQL_AUDITING_CLIENT_TEMPLATE.FAT&amp;display_string=Audit&amp;VAR:KEY=GBCLEFYLCT&amp;VAR:QUERY=KFBfUFJJQ0UoNDA0MDkpLShGRl9DQVNIX1NUKFFUUiw0MDQwOSkvUF9DT01fU0hTX09VVCg0MDQwOSkpKS9GR","V9FU1RJTUFURSgnRVBTJywnTUVBTicsJ0FOTlVBTF9ST0xMJywnKzEnLDQwNDA5LCwsJycp&amp;WINDOW=FIRST_POPUP&amp;HEIGHT=450&amp;WIDTH=450&amp;START_MAXIMIZED=FALSE&amp;VAR:CALENDAR=US&amp;VAR:SYMBOL=38259P50&amp;VAR:INDEX=0"}</definedName>
    <definedName name="_2382__FDSAUDITLINK__">{"fdsup://directions/FAT Viewer?action=UPDATE&amp;creator=factset&amp;DYN_ARGS=TRUE&amp;DOC_NAME=FAT:FQL_AUDITING_CLIENT_TEMPLATE.FAT&amp;display_string=Audit&amp;VAR:KEY=GBCLEFYLCT&amp;VAR:QUERY=KFBfUFJJQ0UoNDA0MDkpLShGRl9DQVNIX1NUKFFUUiw0MDQwOSkvUF9DT01fU0hTX09VVCg0MDQwOSkpKS9GR","V9FU1RJTUFURSgnRVBTJywnTUVBTicsJ0FOTlVBTF9ST0xMJywnKzEnLDQwNDA5LCwsJycp&amp;WINDOW=FIRST_POPUP&amp;HEIGHT=450&amp;WIDTH=450&amp;START_MAXIMIZED=FALSE&amp;VAR:CALENDAR=US&amp;VAR:SYMBOL=38259P50&amp;VAR:INDEX=0"}</definedName>
    <definedName name="_2383__FDSAUDITLINK__">{"fdsup://directions/FAT Viewer?action=UPDATE&amp;creator=factset&amp;DYN_ARGS=TRUE&amp;DOC_NAME=FAT:FQL_AUDITING_CLIENT_TEMPLATE.FAT&amp;display_string=Audit&amp;VAR:KEY=GLCFYVERIX&amp;VAR:QUERY=KFBfUFJJQ0UoNDA0MDgpLShGRl9DQVNIX1NUKFFUUiw0MDQwOCkvUF9DT01fU0hTX09VVCg0MDQwOCkpKS9GR","V9FU1RJTUFURSgnRVBTJywnTUVBTicsJ0FOTlVBTF9ST0xMJywnKzEnLDQwNDA4LCwsJycp&amp;WINDOW=FIRST_POPUP&amp;HEIGHT=450&amp;WIDTH=450&amp;START_MAXIMIZED=FALSE&amp;VAR:CALENDAR=US&amp;VAR:SYMBOL=38259P50&amp;VAR:INDEX=0"}</definedName>
    <definedName name="_2384__FDSAUDITLINK__">{"fdsup://directions/FAT Viewer?action=UPDATE&amp;creator=factset&amp;DYN_ARGS=TRUE&amp;DOC_NAME=FAT:FQL_AUDITING_CLIENT_TEMPLATE.FAT&amp;display_string=Audit&amp;VAR:KEY=GLCFYVERIX&amp;VAR:QUERY=KFBfUFJJQ0UoNDA0MDgpLShGRl9DQVNIX1NUKFFUUiw0MDQwOCkvUF9DT01fU0hTX09VVCg0MDQwOCkpKS9GR","V9FU1RJTUFURSgnRVBTJywnTUVBTicsJ0FOTlVBTF9ST0xMJywnKzEnLDQwNDA4LCwsJycp&amp;WINDOW=FIRST_POPUP&amp;HEIGHT=450&amp;WIDTH=450&amp;START_MAXIMIZED=FALSE&amp;VAR:CALENDAR=US&amp;VAR:SYMBOL=38259P50&amp;VAR:INDEX=0"}</definedName>
    <definedName name="_2385__FDSAUDITLINK__">{"fdsup://directions/FAT Viewer?action=UPDATE&amp;creator=factset&amp;DYN_ARGS=TRUE&amp;DOC_NAME=FAT:FQL_AUDITING_CLIENT_TEMPLATE.FAT&amp;display_string=Audit&amp;VAR:KEY=MXAHQTWRAZ&amp;VAR:QUERY=KFBfUFJJQ0UoNDA0MDcpLShGRl9DQVNIX1NUKFFUUiw0MDQwNykvUF9DT01fU0hTX09VVCg0MDQwNykpKS9GR","V9FU1RJTUFURSgnRVBTJywnTUVBTicsJ0FOTlVBTF9ST0xMJywnKzEnLDQwNDA3LCwsJycp&amp;WINDOW=FIRST_POPUP&amp;HEIGHT=450&amp;WIDTH=450&amp;START_MAXIMIZED=FALSE&amp;VAR:CALENDAR=US&amp;VAR:SYMBOL=38259P50&amp;VAR:INDEX=0"}</definedName>
    <definedName name="_2386__FDSAUDITLINK__">{"fdsup://directions/FAT Viewer?action=UPDATE&amp;creator=factset&amp;DYN_ARGS=TRUE&amp;DOC_NAME=FAT:FQL_AUDITING_CLIENT_TEMPLATE.FAT&amp;display_string=Audit&amp;VAR:KEY=MXAHQTWRAZ&amp;VAR:QUERY=KFBfUFJJQ0UoNDA0MDcpLShGRl9DQVNIX1NUKFFUUiw0MDQwNykvUF9DT01fU0hTX09VVCg0MDQwNykpKS9GR","V9FU1RJTUFURSgnRVBTJywnTUVBTicsJ0FOTlVBTF9ST0xMJywnKzEnLDQwNDA3LCwsJycp&amp;WINDOW=FIRST_POPUP&amp;HEIGHT=450&amp;WIDTH=450&amp;START_MAXIMIZED=FALSE&amp;VAR:CALENDAR=US&amp;VAR:SYMBOL=38259P50&amp;VAR:INDEX=0"}</definedName>
    <definedName name="_2387__FDSAUDITLINK__">{"fdsup://directions/FAT Viewer?action=UPDATE&amp;creator=factset&amp;DYN_ARGS=TRUE&amp;DOC_NAME=FAT:FQL_AUDITING_CLIENT_TEMPLATE.FAT&amp;display_string=Audit&amp;VAR:KEY=EPMLCZEHST&amp;VAR:QUERY=KFBfUFJJQ0UoNDA0MDYpLShGRl9DQVNIX1NUKFFUUiw0MDQwNikvUF9DT01fU0hTX09VVCg0MDQwNikpKS9GR","V9FU1RJTUFURSgnRVBTJywnTUVBTicsJ0FOTlVBTF9ST0xMJywnKzEnLDQwNDA2LCwsJycp&amp;WINDOW=FIRST_POPUP&amp;HEIGHT=450&amp;WIDTH=450&amp;START_MAXIMIZED=FALSE&amp;VAR:CALENDAR=US&amp;VAR:SYMBOL=38259P50&amp;VAR:INDEX=0"}</definedName>
    <definedName name="_2388__FDSAUDITLINK__">{"fdsup://directions/FAT Viewer?action=UPDATE&amp;creator=factset&amp;DYN_ARGS=TRUE&amp;DOC_NAME=FAT:FQL_AUDITING_CLIENT_TEMPLATE.FAT&amp;display_string=Audit&amp;VAR:KEY=EPMLCZEHST&amp;VAR:QUERY=KFBfUFJJQ0UoNDA0MDYpLShGRl9DQVNIX1NUKFFUUiw0MDQwNikvUF9DT01fU0hTX09VVCg0MDQwNikpKS9GR","V9FU1RJTUFURSgnRVBTJywnTUVBTicsJ0FOTlVBTF9ST0xMJywnKzEnLDQwNDA2LCwsJycp&amp;WINDOW=FIRST_POPUP&amp;HEIGHT=450&amp;WIDTH=450&amp;START_MAXIMIZED=FALSE&amp;VAR:CALENDAR=US&amp;VAR:SYMBOL=38259P50&amp;VAR:INDEX=0"}</definedName>
    <definedName name="_2389__FDSAUDITLINK__">{"fdsup://directions/FAT Viewer?action=UPDATE&amp;creator=factset&amp;DYN_ARGS=TRUE&amp;DOC_NAME=FAT:FQL_AUDITING_CLIENT_TEMPLATE.FAT&amp;display_string=Audit&amp;VAR:KEY=MRIBMZCXWB&amp;VAR:QUERY=KFBfUFJJQ0UoNDA0MDUpLShGRl9DQVNIX1NUKFFUUiw0MDQwNSkvUF9DT01fU0hTX09VVCg0MDQwNSkpKS9GR","V9FU1RJTUFURSgnRVBTJywnTUVBTicsJ0FOTlVBTF9ST0xMJywnKzEnLDQwNDA1LCwsJycp&amp;WINDOW=FIRST_POPUP&amp;HEIGHT=450&amp;WIDTH=450&amp;START_MAXIMIZED=FALSE&amp;VAR:CALENDAR=US&amp;VAR:SYMBOL=38259P50&amp;VAR:INDEX=0"}</definedName>
    <definedName name="_23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0.248634&amp;VAR:V=27.255586&amp;VAR:V0=28.303076&amp;VAR:V1=24.513888&amp;VAR:Y0=2000&amp;VAR:Y1=2001&amp;VAR:P=1498.580000&amp;VAR:DATE=20000331&amp;VAR:THRESH=-|-|","-|-|-|-|-"}</definedName>
    <definedName name="_2390__FDSAUDITLINK__">{"fdsup://directions/FAT Viewer?action=UPDATE&amp;creator=factset&amp;DYN_ARGS=TRUE&amp;DOC_NAME=FAT:FQL_AUDITING_CLIENT_TEMPLATE.FAT&amp;display_string=Audit&amp;VAR:KEY=MRIBMZCXWB&amp;VAR:QUERY=KFBfUFJJQ0UoNDA0MDUpLShGRl9DQVNIX1NUKFFUUiw0MDQwNSkvUF9DT01fU0hTX09VVCg0MDQwNSkpKS9GR","V9FU1RJTUFURSgnRVBTJywnTUVBTicsJ0FOTlVBTF9ST0xMJywnKzEnLDQwNDA1LCwsJycp&amp;WINDOW=FIRST_POPUP&amp;HEIGHT=450&amp;WIDTH=450&amp;START_MAXIMIZED=FALSE&amp;VAR:CALENDAR=US&amp;VAR:SYMBOL=38259P50&amp;VAR:INDEX=0"}</definedName>
    <definedName name="_2391__FDSAUDITLINK__">{"fdsup://directions/FAT Viewer?action=UPDATE&amp;creator=factset&amp;DYN_ARGS=TRUE&amp;DOC_NAME=FAT:FQL_AUDITING_CLIENT_TEMPLATE.FAT&amp;display_string=Audit&amp;VAR:KEY=SRAFQFYBWX&amp;VAR:QUERY=KFBfUFJJQ0UoNDA0MDQpLShGRl9DQVNIX1NUKFFUUiw0MDQwNCkvUF9DT01fU0hTX09VVCg0MDQwNCkpKS9GR","V9FU1RJTUFURSgnRVBTJywnTUVBTicsJ0FOTlVBTF9ST0xMJywnKzEnLDQwNDA0LCwsJycp&amp;WINDOW=FIRST_POPUP&amp;HEIGHT=450&amp;WIDTH=450&amp;START_MAXIMIZED=FALSE&amp;VAR:CALENDAR=US&amp;VAR:SYMBOL=38259P50&amp;VAR:INDEX=0"}</definedName>
    <definedName name="_2392__FDSAUDITLINK__">{"fdsup://directions/FAT Viewer?action=UPDATE&amp;creator=factset&amp;DYN_ARGS=TRUE&amp;DOC_NAME=FAT:FQL_AUDITING_CLIENT_TEMPLATE.FAT&amp;display_string=Audit&amp;VAR:KEY=SRAFQFYBWX&amp;VAR:QUERY=KFBfUFJJQ0UoNDA0MDQpLShGRl9DQVNIX1NUKFFUUiw0MDQwNCkvUF9DT01fU0hTX09VVCg0MDQwNCkpKS9GR","V9FU1RJTUFURSgnRVBTJywnTUVBTicsJ0FOTlVBTF9ST0xMJywnKzEnLDQwNDA0LCwsJycp&amp;WINDOW=FIRST_POPUP&amp;HEIGHT=450&amp;WIDTH=450&amp;START_MAXIMIZED=FALSE&amp;VAR:CALENDAR=US&amp;VAR:SYMBOL=38259P50&amp;VAR:INDEX=0"}</definedName>
    <definedName name="_2393__FDSAUDITLINK__">{"fdsup://directions/FAT Viewer?action=UPDATE&amp;creator=factset&amp;DYN_ARGS=TRUE&amp;DOC_NAME=FAT:FQL_AUDITING_CLIENT_TEMPLATE.FAT&amp;display_string=Audit&amp;VAR:KEY=CBKHMFWXIB&amp;VAR:QUERY=KFBfUFJJQ0UoNDA0MDMpLShGRl9DQVNIX1NUKFFUUiw0MDQwMykvUF9DT01fU0hTX09VVCg0MDQwMykpKS9GR","V9FU1RJTUFURSgnRVBTJywnTUVBTicsJ0FOTlVBTF9ST0xMJywnKzEnLDQwNDAzLCwsJycp&amp;WINDOW=FIRST_POPUP&amp;HEIGHT=450&amp;WIDTH=450&amp;START_MAXIMIZED=FALSE&amp;VAR:CALENDAR=US&amp;VAR:SYMBOL=38259P50&amp;VAR:INDEX=0"}</definedName>
    <definedName name="_2394__FDSAUDITLINK__">{"fdsup://directions/FAT Viewer?action=UPDATE&amp;creator=factset&amp;DYN_ARGS=TRUE&amp;DOC_NAME=FAT:FQL_AUDITING_CLIENT_TEMPLATE.FAT&amp;display_string=Audit&amp;VAR:KEY=CBKHMFWXIB&amp;VAR:QUERY=KFBfUFJJQ0UoNDA0MDMpLShGRl9DQVNIX1NUKFFUUiw0MDQwMykvUF9DT01fU0hTX09VVCg0MDQwMykpKS9GR","V9FU1RJTUFURSgnRVBTJywnTUVBTicsJ0FOTlVBTF9ST0xMJywnKzEnLDQwNDAzLCwsJycp&amp;WINDOW=FIRST_POPUP&amp;HEIGHT=450&amp;WIDTH=450&amp;START_MAXIMIZED=FALSE&amp;VAR:CALENDAR=US&amp;VAR:SYMBOL=38259P50&amp;VAR:INDEX=0"}</definedName>
    <definedName name="_2395__FDSAUDITLINK__">{"fdsup://directions/FAT Viewer?action=UPDATE&amp;creator=factset&amp;DYN_ARGS=TRUE&amp;DOC_NAME=FAT:FQL_AUDITING_CLIENT_TEMPLATE.FAT&amp;display_string=Audit&amp;VAR:KEY=ULANOLKPKZ&amp;VAR:QUERY=KFBfUFJJQ0UoNDA0MDIpLShGRl9DQVNIX1NUKFFUUiw0MDQwMikvUF9DT01fU0hTX09VVCg0MDQwMikpKS9GR","V9FU1RJTUFURSgnRVBTJywnTUVBTicsJ0FOTlVBTF9ST0xMJywnKzEnLDQwNDAyLCwsJycp&amp;WINDOW=FIRST_POPUP&amp;HEIGHT=450&amp;WIDTH=450&amp;START_MAXIMIZED=FALSE&amp;VAR:CALENDAR=US&amp;VAR:SYMBOL=38259P50&amp;VAR:INDEX=0"}</definedName>
    <definedName name="_2396__FDSAUDITLINK__">{"fdsup://directions/FAT Viewer?action=UPDATE&amp;creator=factset&amp;DYN_ARGS=TRUE&amp;DOC_NAME=FAT:FQL_AUDITING_CLIENT_TEMPLATE.FAT&amp;display_string=Audit&amp;VAR:KEY=ULANOLKPKZ&amp;VAR:QUERY=KFBfUFJJQ0UoNDA0MDIpLShGRl9DQVNIX1NUKFFUUiw0MDQwMikvUF9DT01fU0hTX09VVCg0MDQwMikpKS9GR","V9FU1RJTUFURSgnRVBTJywnTUVBTicsJ0FOTlVBTF9ST0xMJywnKzEnLDQwNDAyLCwsJycp&amp;WINDOW=FIRST_POPUP&amp;HEIGHT=450&amp;WIDTH=450&amp;START_MAXIMIZED=FALSE&amp;VAR:CALENDAR=US&amp;VAR:SYMBOL=38259P50&amp;VAR:INDEX=0"}</definedName>
    <definedName name="_2397__FDSAUDITLINK__">{"fdsup://directions/FAT Viewer?action=UPDATE&amp;creator=factset&amp;DYN_ARGS=TRUE&amp;DOC_NAME=FAT:FQL_AUDITING_CLIENT_TEMPLATE.FAT&amp;display_string=Audit&amp;VAR:KEY=ELYDCRIFMF&amp;VAR:QUERY=KFBfUFJJQ0UoNDA0MDEpLShGRl9DQVNIX1NUKFFUUiw0MDQwMSkvUF9DT01fU0hTX09VVCg0MDQwMSkpKS9GR","V9FU1RJTUFURSgnRVBTJywnTUVBTicsJ0FOTlVBTF9ST0xMJywnKzEnLDQwNDAxLCwsJycp&amp;WINDOW=FIRST_POPUP&amp;HEIGHT=450&amp;WIDTH=450&amp;START_MAXIMIZED=FALSE&amp;VAR:CALENDAR=US&amp;VAR:SYMBOL=38259P50&amp;VAR:INDEX=0"}</definedName>
    <definedName name="_2398__FDSAUDITLINK__">{"fdsup://directions/FAT Viewer?action=UPDATE&amp;creator=factset&amp;DYN_ARGS=TRUE&amp;DOC_NAME=FAT:FQL_AUDITING_CLIENT_TEMPLATE.FAT&amp;display_string=Audit&amp;VAR:KEY=ELYDCRIFMF&amp;VAR:QUERY=KFBfUFJJQ0UoNDA0MDEpLShGRl9DQVNIX1NUKFFUUiw0MDQwMSkvUF9DT01fU0hTX09VVCg0MDQwMSkpKS9GR","V9FU1RJTUFURSgnRVBTJywnTUVBTicsJ0FOTlVBTF9ST0xMJywnKzEnLDQwNDAxLCwsJycp&amp;WINDOW=FIRST_POPUP&amp;HEIGHT=450&amp;WIDTH=450&amp;START_MAXIMIZED=FALSE&amp;VAR:CALENDAR=US&amp;VAR:SYMBOL=38259P50&amp;VAR:INDEX=0"}</definedName>
    <definedName name="_2399__FDSAUDITLINK__">{"fdsup://directions/FAT Viewer?action=UPDATE&amp;creator=factset&amp;DYN_ARGS=TRUE&amp;DOC_NAME=FAT:FQL_AUDITING_CLIENT_TEMPLATE.FAT&amp;display_string=Audit&amp;VAR:KEY=SRINQTGBEH&amp;VAR:QUERY=KFBfUFJJQ0UoNDA0MDApLShGRl9DQVNIX1NUKFFUUiw0MDQwMCkvUF9DT01fU0hTX09VVCg0MDQwMCkpKS9GR","V9FU1RJTUFURSgnRVBTJywnTUVBTicsJ0FOTlVBTF9ST0xMJywnKzEnLDQwNDAwLCwsJycp&amp;WINDOW=FIRST_POPUP&amp;HEIGHT=450&amp;WIDTH=450&amp;START_MAXIMIZED=FALSE&amp;VAR:CALENDAR=US&amp;VAR:SYMBOL=38259P50&amp;VAR:INDEX=0"}</definedName>
    <definedName name="_2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15.103705&amp;VAR:V0=16.334824&amp;VAR:V1=14.729593&amp;VAR:Y0=2005&amp;VAR:Y1=2006&amp;VAR:P=1228.811400&amp;VAR:DATE=20050930&amp;VAR:THRESH=-|-|","-|-|-|-|-"}</definedName>
    <definedName name="_24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27.339865&amp;VAR:V0=32.162697&amp;VAR:V1=27.339865&amp;VAR:Y0=1999&amp;VAR:Y1=2000&amp;VAR:P=1469.250000&amp;VAR:DATE=19991231&amp;VAR:THRESH=-|-|","-|-|-|-|-"}</definedName>
    <definedName name="_2400__FDSAUDITLINK__">{"fdsup://directions/FAT Viewer?action=UPDATE&amp;creator=factset&amp;DYN_ARGS=TRUE&amp;DOC_NAME=FAT:FQL_AUDITING_CLIENT_TEMPLATE.FAT&amp;display_string=Audit&amp;VAR:KEY=SRINQTGBEH&amp;VAR:QUERY=KFBfUFJJQ0UoNDA0MDApLShGRl9DQVNIX1NUKFFUUiw0MDQwMCkvUF9DT01fU0hTX09VVCg0MDQwMCkpKS9GR","V9FU1RJTUFURSgnRVBTJywnTUVBTicsJ0FOTlVBTF9ST0xMJywnKzEnLDQwNDAwLCwsJycp&amp;WINDOW=FIRST_POPUP&amp;HEIGHT=450&amp;WIDTH=450&amp;START_MAXIMIZED=FALSE&amp;VAR:CALENDAR=US&amp;VAR:SYMBOL=38259P50&amp;VAR:INDEX=0"}</definedName>
    <definedName name="_2401__FDSAUDITLINK__">{"fdsup://directions/FAT Viewer?action=UPDATE&amp;creator=factset&amp;DYN_ARGS=TRUE&amp;DOC_NAME=FAT:FQL_AUDITING_CLIENT_TEMPLATE.FAT&amp;display_string=Audit&amp;VAR:KEY=KLAXOFMJED&amp;VAR:QUERY=KFBfUFJJQ0UoNDAzOTkpLShGRl9DQVNIX1NUKFFUUiw0MDM5OSkvUF9DT01fU0hTX09VVCg0MDM5OSkpKS9GR","V9FU1RJTUFURSgnRVBTJywnTUVBTicsJ0FOTlVBTF9ST0xMJywnKzEnLDQwMzk5LCwsJycp&amp;WINDOW=FIRST_POPUP&amp;HEIGHT=450&amp;WIDTH=450&amp;START_MAXIMIZED=FALSE&amp;VAR:CALENDAR=US&amp;VAR:SYMBOL=38259P50&amp;VAR:INDEX=0"}</definedName>
    <definedName name="_2402__FDSAUDITLINK__">{"fdsup://directions/FAT Viewer?action=UPDATE&amp;creator=factset&amp;DYN_ARGS=TRUE&amp;DOC_NAME=FAT:FQL_AUDITING_CLIENT_TEMPLATE.FAT&amp;display_string=Audit&amp;VAR:KEY=KLAXOFMJED&amp;VAR:QUERY=KFBfUFJJQ0UoNDAzOTkpLShGRl9DQVNIX1NUKFFUUiw0MDM5OSkvUF9DT01fU0hTX09VVCg0MDM5OSkpKS9GR","V9FU1RJTUFURSgnRVBTJywnTUVBTicsJ0FOTlVBTF9ST0xMJywnKzEnLDQwMzk5LCwsJycp&amp;WINDOW=FIRST_POPUP&amp;HEIGHT=450&amp;WIDTH=450&amp;START_MAXIMIZED=FALSE&amp;VAR:CALENDAR=US&amp;VAR:SYMBOL=38259P50&amp;VAR:INDEX=0"}</definedName>
    <definedName name="_2403__FDSAUDITLINK__">{"fdsup://directions/FAT Viewer?action=UPDATE&amp;creator=factset&amp;DYN_ARGS=TRUE&amp;DOC_NAME=FAT:FQL_AUDITING_CLIENT_TEMPLATE.FAT&amp;display_string=Audit&amp;VAR:KEY=OVYLIZEBIR&amp;VAR:QUERY=KFBfUFJJQ0UoNDAzOTgpLShGRl9DQVNIX1NUKFFUUiw0MDM5OCkvUF9DT01fU0hTX09VVCg0MDM5OCkpKS9GR","V9FU1RJTUFURSgnRVBTJywnTUVBTicsJ0FOTlVBTF9ST0xMJywnKzEnLDQwMzk4LCwsJycp&amp;WINDOW=FIRST_POPUP&amp;HEIGHT=450&amp;WIDTH=450&amp;START_MAXIMIZED=FALSE&amp;VAR:CALENDAR=US&amp;VAR:SYMBOL=38259P50&amp;VAR:INDEX=0"}</definedName>
    <definedName name="_2404__FDSAUDITLINK__">{"fdsup://directions/FAT Viewer?action=UPDATE&amp;creator=factset&amp;DYN_ARGS=TRUE&amp;DOC_NAME=FAT:FQL_AUDITING_CLIENT_TEMPLATE.FAT&amp;display_string=Audit&amp;VAR:KEY=OVYLIZEBIR&amp;VAR:QUERY=KFBfUFJJQ0UoNDAzOTgpLShGRl9DQVNIX1NUKFFUUiw0MDM5OCkvUF9DT01fU0hTX09VVCg0MDM5OCkpKS9GR","V9FU1RJTUFURSgnRVBTJywnTUVBTicsJ0FOTlVBTF9ST0xMJywnKzEnLDQwMzk4LCwsJycp&amp;WINDOW=FIRST_POPUP&amp;HEIGHT=450&amp;WIDTH=450&amp;START_MAXIMIZED=FALSE&amp;VAR:CALENDAR=US&amp;VAR:SYMBOL=38259P50&amp;VAR:INDEX=0"}</definedName>
    <definedName name="_2405__FDSAUDITLINK__">{"fdsup://directions/FAT Viewer?action=UPDATE&amp;creator=factset&amp;DYN_ARGS=TRUE&amp;DOC_NAME=FAT:FQL_AUDITING_CLIENT_TEMPLATE.FAT&amp;display_string=Audit&amp;VAR:KEY=CDKZOJMHEP&amp;VAR:QUERY=KFBfUFJJQ0UoNDAzOTcpLShGRl9DQVNIX1NUKFFUUiw0MDM5NykvUF9DT01fU0hTX09VVCg0MDM5NykpKS9GR","V9FU1RJTUFURSgnRVBTJywnTUVBTicsJ0FOTlVBTF9ST0xMJywnKzEnLDQwMzk3LCwsJycp&amp;WINDOW=FIRST_POPUP&amp;HEIGHT=450&amp;WIDTH=450&amp;START_MAXIMIZED=FALSE&amp;VAR:CALENDAR=US&amp;VAR:SYMBOL=38259P50&amp;VAR:INDEX=0"}</definedName>
    <definedName name="_2406__FDSAUDITLINK__">{"fdsup://directions/FAT Viewer?action=UPDATE&amp;creator=factset&amp;DYN_ARGS=TRUE&amp;DOC_NAME=FAT:FQL_AUDITING_CLIENT_TEMPLATE.FAT&amp;display_string=Audit&amp;VAR:KEY=CDKZOJMHEP&amp;VAR:QUERY=KFBfUFJJQ0UoNDAzOTcpLShGRl9DQVNIX1NUKFFUUiw0MDM5NykvUF9DT01fU0hTX09VVCg0MDM5NykpKS9GR","V9FU1RJTUFURSgnRVBTJywnTUVBTicsJ0FOTlVBTF9ST0xMJywnKzEnLDQwMzk3LCwsJycp&amp;WINDOW=FIRST_POPUP&amp;HEIGHT=450&amp;WIDTH=450&amp;START_MAXIMIZED=FALSE&amp;VAR:CALENDAR=US&amp;VAR:SYMBOL=38259P50&amp;VAR:INDEX=0"}</definedName>
    <definedName name="_2407__FDSAUDITLINK__">{"fdsup://directions/FAT Viewer?action=UPDATE&amp;creator=factset&amp;DYN_ARGS=TRUE&amp;DOC_NAME=FAT:FQL_AUDITING_CLIENT_TEMPLATE.FAT&amp;display_string=Audit&amp;VAR:KEY=KPEVOLEVCN&amp;VAR:QUERY=KFBfUFJJQ0UoNDAzOTYpLShGRl9DQVNIX1NUKFFUUiw0MDM5NikvUF9DT01fU0hTX09VVCg0MDM5NikpKS9GR","V9FU1RJTUFURSgnRVBTJywnTUVBTicsJ0FOTlVBTF9ST0xMJywnKzEnLDQwMzk2LCwsJycp&amp;WINDOW=FIRST_POPUP&amp;HEIGHT=450&amp;WIDTH=450&amp;START_MAXIMIZED=FALSE&amp;VAR:CALENDAR=US&amp;VAR:SYMBOL=38259P50&amp;VAR:INDEX=0"}</definedName>
    <definedName name="_2408__FDSAUDITLINK__">{"fdsup://directions/FAT Viewer?action=UPDATE&amp;creator=factset&amp;DYN_ARGS=TRUE&amp;DOC_NAME=FAT:FQL_AUDITING_CLIENT_TEMPLATE.FAT&amp;display_string=Audit&amp;VAR:KEY=KPEVOLEVCN&amp;VAR:QUERY=KFBfUFJJQ0UoNDAzOTYpLShGRl9DQVNIX1NUKFFUUiw0MDM5NikvUF9DT01fU0hTX09VVCg0MDM5NikpKS9GR","V9FU1RJTUFURSgnRVBTJywnTUVBTicsJ0FOTlVBTF9ST0xMJywnKzEnLDQwMzk2LCwsJycp&amp;WINDOW=FIRST_POPUP&amp;HEIGHT=450&amp;WIDTH=450&amp;START_MAXIMIZED=FALSE&amp;VAR:CALENDAR=US&amp;VAR:SYMBOL=38259P50&amp;VAR:INDEX=0"}</definedName>
    <definedName name="_2409__FDSAUDITLINK__">{"fdsup://directions/FAT Viewer?action=UPDATE&amp;creator=factset&amp;DYN_ARGS=TRUE&amp;DOC_NAME=FAT:FQL_AUDITING_CLIENT_TEMPLATE.FAT&amp;display_string=Audit&amp;VAR:KEY=MFKNKJSVUT&amp;VAR:QUERY=KFBfUFJJQ0UoNDAzOTUpLShGRl9DQVNIX1NUKFFUUiw0MDM5NSkvUF9DT01fU0hTX09VVCg0MDM5NSkpKS9GR","V9FU1RJTUFURSgnRVBTJywnTUVBTicsJ0FOTlVBTF9ST0xMJywnKzEnLDQwMzk1LCwsJycp&amp;WINDOW=FIRST_POPUP&amp;HEIGHT=450&amp;WIDTH=450&amp;START_MAXIMIZED=FALSE&amp;VAR:CALENDAR=US&amp;VAR:SYMBOL=38259P50&amp;VAR:INDEX=0"}</definedName>
    <definedName name="_24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23.791249&amp;VAR:V0=26.763909&amp;VAR:V1=22.932870&amp;VAR:Y0=1999&amp;VAR:Y1=2000&amp;VAR:P=1282.710000&amp;VAR:DATE=19990930&amp;VAR:THRESH=-|-|","-|-|-|-|-"}</definedName>
    <definedName name="_2410__FDSAUDITLINK__">{"fdsup://directions/FAT Viewer?action=UPDATE&amp;creator=factset&amp;DYN_ARGS=TRUE&amp;DOC_NAME=FAT:FQL_AUDITING_CLIENT_TEMPLATE.FAT&amp;display_string=Audit&amp;VAR:KEY=MFKNKJSVUT&amp;VAR:QUERY=KFBfUFJJQ0UoNDAzOTUpLShGRl9DQVNIX1NUKFFUUiw0MDM5NSkvUF9DT01fU0hTX09VVCg0MDM5NSkpKS9GR","V9FU1RJTUFURSgnRVBTJywnTUVBTicsJ0FOTlVBTF9ST0xMJywnKzEnLDQwMzk1LCwsJycp&amp;WINDOW=FIRST_POPUP&amp;HEIGHT=450&amp;WIDTH=450&amp;START_MAXIMIZED=FALSE&amp;VAR:CALENDAR=US&amp;VAR:SYMBOL=38259P50&amp;VAR:INDEX=0"}</definedName>
    <definedName name="_2411__FDSAUDITLINK__">{"fdsup://directions/FAT Viewer?action=UPDATE&amp;creator=factset&amp;DYN_ARGS=TRUE&amp;DOC_NAME=FAT:FQL_AUDITING_CLIENT_TEMPLATE.FAT&amp;display_string=Audit&amp;VAR:KEY=YRUDKNKJWF&amp;VAR:QUERY=KFBfUFJJQ0UoNDAzOTQpLShGRl9DQVNIX1NUKFFUUiw0MDM5NCkvUF9DT01fU0hTX09VVCg0MDM5NCkpKS9GR","V9FU1RJTUFURSgnRVBTJywnTUVBTicsJ0FOTlVBTF9ST0xMJywnKzEnLDQwMzk0LCwsJycp&amp;WINDOW=FIRST_POPUP&amp;HEIGHT=450&amp;WIDTH=450&amp;START_MAXIMIZED=FALSE&amp;VAR:CALENDAR=US&amp;VAR:SYMBOL=38259P50&amp;VAR:INDEX=0"}</definedName>
    <definedName name="_2412__FDSAUDITLINK__">{"fdsup://directions/FAT Viewer?action=UPDATE&amp;creator=factset&amp;DYN_ARGS=TRUE&amp;DOC_NAME=FAT:FQL_AUDITING_CLIENT_TEMPLATE.FAT&amp;display_string=Audit&amp;VAR:KEY=YRUDKNKJWF&amp;VAR:QUERY=KFBfUFJJQ0UoNDAzOTQpLShGRl9DQVNIX1NUKFFUUiw0MDM5NCkvUF9DT01fU0hTX09VVCg0MDM5NCkpKS9GR","V9FU1RJTUFURSgnRVBTJywnTUVBTicsJ0FOTlVBTF9ST0xMJywnKzEnLDQwMzk0LCwsJycp&amp;WINDOW=FIRST_POPUP&amp;HEIGHT=450&amp;WIDTH=450&amp;START_MAXIMIZED=FALSE&amp;VAR:CALENDAR=US&amp;VAR:SYMBOL=38259P50&amp;VAR:INDEX=0"}</definedName>
    <definedName name="_2413__FDSAUDITLINK__">{"fdsup://directions/FAT Viewer?action=UPDATE&amp;creator=factset&amp;DYN_ARGS=TRUE&amp;DOC_NAME=FAT:FQL_AUDITING_CLIENT_TEMPLATE.FAT&amp;display_string=Audit&amp;VAR:KEY=ERWHOVGPYR&amp;VAR:QUERY=KFBfUFJJQ0UoNDAzOTMpLShGRl9DQVNIX1NUKFFUUiw0MDM5MykvUF9DT01fU0hTX09VVCg0MDM5MykpKS9GR","V9FU1RJTUFURSgnRVBTJywnTUVBTicsJ0FOTlVBTF9ST0xMJywnKzEnLDQwMzkzLCwsJycp&amp;WINDOW=FIRST_POPUP&amp;HEIGHT=450&amp;WIDTH=450&amp;START_MAXIMIZED=FALSE&amp;VAR:CALENDAR=US&amp;VAR:SYMBOL=38259P50&amp;VAR:INDEX=0"}</definedName>
    <definedName name="_2414__FDSAUDITLINK__">{"fdsup://directions/FAT Viewer?action=UPDATE&amp;creator=factset&amp;DYN_ARGS=TRUE&amp;DOC_NAME=FAT:FQL_AUDITING_CLIENT_TEMPLATE.FAT&amp;display_string=Audit&amp;VAR:KEY=ERWHOVGPYR&amp;VAR:QUERY=KFBfUFJJQ0UoNDAzOTMpLShGRl9DQVNIX1NUKFFUUiw0MDM5MykvUF9DT01fU0hTX09VVCg0MDM5MykpKS9GR","V9FU1RJTUFURSgnRVBTJywnTUVBTicsJ0FOTlVBTF9ST0xMJywnKzEnLDQwMzkzLCwsJycp&amp;WINDOW=FIRST_POPUP&amp;HEIGHT=450&amp;WIDTH=450&amp;START_MAXIMIZED=FALSE&amp;VAR:CALENDAR=US&amp;VAR:SYMBOL=38259P50&amp;VAR:INDEX=0"}</definedName>
    <definedName name="_2415__FDSAUDITLINK__">{"fdsup://directions/FAT Viewer?action=UPDATE&amp;creator=factset&amp;DYN_ARGS=TRUE&amp;DOC_NAME=FAT:FQL_AUDITING_CLIENT_TEMPLATE.FAT&amp;display_string=Audit&amp;VAR:KEY=WXQLSDYBWT&amp;VAR:QUERY=KFBfUFJJQ0UoNDAzOTIpLShGRl9DQVNIX1NUKFFUUiw0MDM5MikvUF9DT01fU0hTX09VVCg0MDM5MikpKS9GR","V9FU1RJTUFURSgnRVBTJywnTUVBTicsJ0FOTlVBTF9ST0xMJywnKzEnLDQwMzkyLCwsJycp&amp;WINDOW=FIRST_POPUP&amp;HEIGHT=450&amp;WIDTH=450&amp;START_MAXIMIZED=FALSE&amp;VAR:CALENDAR=US&amp;VAR:SYMBOL=38259P50&amp;VAR:INDEX=0"}</definedName>
    <definedName name="_2416__FDSAUDITLINK__">{"fdsup://directions/FAT Viewer?action=UPDATE&amp;creator=factset&amp;DYN_ARGS=TRUE&amp;DOC_NAME=FAT:FQL_AUDITING_CLIENT_TEMPLATE.FAT&amp;display_string=Audit&amp;VAR:KEY=WXQLSDYBWT&amp;VAR:QUERY=KFBfUFJJQ0UoNDAzOTIpLShGRl9DQVNIX1NUKFFUUiw0MDM5MikvUF9DT01fU0hTX09VVCg0MDM5MikpKS9GR","V9FU1RJTUFURSgnRVBTJywnTUVBTicsJ0FOTlVBTF9ST0xMJywnKzEnLDQwMzkyLCwsJycp&amp;WINDOW=FIRST_POPUP&amp;HEIGHT=450&amp;WIDTH=450&amp;START_MAXIMIZED=FALSE&amp;VAR:CALENDAR=US&amp;VAR:SYMBOL=38259P50&amp;VAR:INDEX=0"}</definedName>
    <definedName name="_2417__FDSAUDITLINK__">{"fdsup://directions/FAT Viewer?action=UPDATE&amp;creator=factset&amp;DYN_ARGS=TRUE&amp;DOC_NAME=FAT:FQL_AUDITING_CLIENT_TEMPLATE.FAT&amp;display_string=Audit&amp;VAR:KEY=IXCNALUDOT&amp;VAR:QUERY=KFBfUFJJQ0UoNDAzOTEpLShGRl9DQVNIX1NUKFFUUiw0MDM5MSkvUF9DT01fU0hTX09VVCg0MDM5MSkpKS9GR","V9FU1RJTUFURSgnRVBTJywnTUVBTicsJ0FOTlVBTF9ST0xMJywnKzEnLDQwMzkxLCwsJycp&amp;WINDOW=FIRST_POPUP&amp;HEIGHT=450&amp;WIDTH=450&amp;START_MAXIMIZED=FALSE&amp;VAR:CALENDAR=US&amp;VAR:SYMBOL=38259P50&amp;VAR:INDEX=0"}</definedName>
    <definedName name="_2418__FDSAUDITLINK__">{"fdsup://directions/FAT Viewer?action=UPDATE&amp;creator=factset&amp;DYN_ARGS=TRUE&amp;DOC_NAME=FAT:FQL_AUDITING_CLIENT_TEMPLATE.FAT&amp;display_string=Audit&amp;VAR:KEY=IXCNALUDOT&amp;VAR:QUERY=KFBfUFJJQ0UoNDAzOTEpLShGRl9DQVNIX1NUKFFUUiw0MDM5MSkvUF9DT01fU0hTX09VVCg0MDM5MSkpKS9GR","V9FU1RJTUFURSgnRVBTJywnTUVBTicsJ0FOTlVBTF9ST0xMJywnKzEnLDQwMzkxLCwsJycp&amp;WINDOW=FIRST_POPUP&amp;HEIGHT=450&amp;WIDTH=450&amp;START_MAXIMIZED=FALSE&amp;VAR:CALENDAR=US&amp;VAR:SYMBOL=38259P50&amp;VAR:INDEX=0"}</definedName>
    <definedName name="_2419__FDSAUDITLINK__">{"fdsup://directions/FAT Viewer?action=UPDATE&amp;creator=factset&amp;DYN_ARGS=TRUE&amp;DOC_NAME=FAT:FQL_AUDITING_CLIENT_TEMPLATE.FAT&amp;display_string=Audit&amp;VAR:KEY=QHMBWDKHSZ&amp;VAR:QUERY=KFBfUFJJQ0UoNDAzOTApLShGRl9DQVNIX1NUKFFUUiw0MDM5MCkvUF9DT01fU0hTX09VVCg0MDM5MCkpKS9GR","V9FU1RJTUFURSgnRVBTJywnTUVBTicsJ0FOTlVBTF9ST0xMJywnKzEnLDQwMzkwLCwsJycp&amp;WINDOW=FIRST_POPUP&amp;HEIGHT=450&amp;WIDTH=450&amp;START_MAXIMIZED=FALSE&amp;VAR:CALENDAR=US&amp;VAR:SYMBOL=38259P50&amp;VAR:INDEX=0"}</definedName>
    <definedName name="_24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26.121198&amp;VAR:V0=28.240629&amp;VAR:V1=24.269600&amp;VAR:Y0=1999&amp;VAR:Y1=2000&amp;VAR:P=1372.710000&amp;VAR:DATE=19990630&amp;VAR:THRESH=-|-|","-|-|-|-|-"}</definedName>
    <definedName name="_2420__FDSAUDITLINK__">{"fdsup://directions/FAT Viewer?action=UPDATE&amp;creator=factset&amp;DYN_ARGS=TRUE&amp;DOC_NAME=FAT:FQL_AUDITING_CLIENT_TEMPLATE.FAT&amp;display_string=Audit&amp;VAR:KEY=QHMBWDKHSZ&amp;VAR:QUERY=KFBfUFJJQ0UoNDAzOTApLShGRl9DQVNIX1NUKFFUUiw0MDM5MCkvUF9DT01fU0hTX09VVCg0MDM5MCkpKS9GR","V9FU1RJTUFURSgnRVBTJywnTUVBTicsJ0FOTlVBTF9ST0xMJywnKzEnLDQwMzkwLCwsJycp&amp;WINDOW=FIRST_POPUP&amp;HEIGHT=450&amp;WIDTH=450&amp;START_MAXIMIZED=FALSE&amp;VAR:CALENDAR=US&amp;VAR:SYMBOL=38259P50&amp;VAR:INDEX=0"}</definedName>
    <definedName name="_2421__FDSAUDITLINK__">{"fdsup://directions/FAT Viewer?action=UPDATE&amp;creator=factset&amp;DYN_ARGS=TRUE&amp;DOC_NAME=FAT:FQL_AUDITING_CLIENT_TEMPLATE.FAT&amp;display_string=Audit&amp;VAR:KEY=UTEDAFCJOB&amp;VAR:QUERY=KFBfUFJJQ0UoNDAzODkpLShGRl9DQVNIX1NUKFFUUiw0MDM4OSkvUF9DT01fU0hTX09VVCg0MDM4OSkpKS9GR","V9FU1RJTUFURSgnRVBTJywnTUVBTicsJ0FOTlVBTF9ST0xMJywnKzEnLDQwMzg5LCwsJycp&amp;WINDOW=FIRST_POPUP&amp;HEIGHT=450&amp;WIDTH=450&amp;START_MAXIMIZED=FALSE&amp;VAR:CALENDAR=US&amp;VAR:SYMBOL=38259P50&amp;VAR:INDEX=0"}</definedName>
    <definedName name="_2422__FDSAUDITLINK__">{"fdsup://directions/FAT Viewer?action=UPDATE&amp;creator=factset&amp;DYN_ARGS=TRUE&amp;DOC_NAME=FAT:FQL_AUDITING_CLIENT_TEMPLATE.FAT&amp;display_string=Audit&amp;VAR:KEY=UTEDAFCJOB&amp;VAR:QUERY=KFBfUFJJQ0UoNDAzODkpLShGRl9DQVNIX1NUKFFUUiw0MDM4OSkvUF9DT01fU0hTX09VVCg0MDM4OSkpKS9GR","V9FU1RJTUFURSgnRVBTJywnTUVBTicsJ0FOTlVBTF9ST0xMJywnKzEnLDQwMzg5LCwsJycp&amp;WINDOW=FIRST_POPUP&amp;HEIGHT=450&amp;WIDTH=450&amp;START_MAXIMIZED=FALSE&amp;VAR:CALENDAR=US&amp;VAR:SYMBOL=38259P50&amp;VAR:INDEX=0"}</definedName>
    <definedName name="_2423__FDSAUDITLINK__">{"fdsup://directions/FAT Viewer?action=UPDATE&amp;creator=factset&amp;DYN_ARGS=TRUE&amp;DOC_NAME=FAT:FQL_AUDITING_CLIENT_TEMPLATE.FAT&amp;display_string=Audit&amp;VAR:KEY=QZKXUDCNIR&amp;VAR:QUERY=KFBfUFJJQ0UoNDAzODgpLShGRl9DQVNIX1NUKFFUUiw0MDM4OCkvUF9DT01fU0hTX09VVCg0MDM4OCkpKS9GR","V9FU1RJTUFURSgnRVBTJywnTUVBTicsJ0FOTlVBTF9ST0xMJywnKzEnLDQwMzg4LCwsJycp&amp;WINDOW=FIRST_POPUP&amp;HEIGHT=450&amp;WIDTH=450&amp;START_MAXIMIZED=FALSE&amp;VAR:CALENDAR=US&amp;VAR:SYMBOL=38259P50&amp;VAR:INDEX=0"}</definedName>
    <definedName name="_2424__FDSAUDITLINK__">{"fdsup://directions/FAT Viewer?action=UPDATE&amp;creator=factset&amp;DYN_ARGS=TRUE&amp;DOC_NAME=FAT:FQL_AUDITING_CLIENT_TEMPLATE.FAT&amp;display_string=Audit&amp;VAR:KEY=QZKXUDCNIR&amp;VAR:QUERY=KFBfUFJJQ0UoNDAzODgpLShGRl9DQVNIX1NUKFFUUiw0MDM4OCkvUF9DT01fU0hTX09VVCg0MDM4OCkpKS9GR","V9FU1RJTUFURSgnRVBTJywnTUVBTicsJ0FOTlVBTF9ST0xMJywnKzEnLDQwMzg4LCwsJycp&amp;WINDOW=FIRST_POPUP&amp;HEIGHT=450&amp;WIDTH=450&amp;START_MAXIMIZED=FALSE&amp;VAR:CALENDAR=US&amp;VAR:SYMBOL=38259P50&amp;VAR:INDEX=0"}</definedName>
    <definedName name="_2425__FDSAUDITLINK__">{"fdsup://directions/FAT Viewer?action=UPDATE&amp;creator=factset&amp;DYN_ARGS=TRUE&amp;DOC_NAME=FAT:FQL_AUDITING_CLIENT_TEMPLATE.FAT&amp;display_string=Audit&amp;VAR:KEY=AXGNCVURIT&amp;VAR:QUERY=KFBfUFJJQ0UoNDAzODcpLShGRl9DQVNIX1NUKFFUUiw0MDM4NykvUF9DT01fU0hTX09VVCg0MDM4NykpKS9GR","V9FU1RJTUFURSgnRVBTJywnTUVBTicsJ0FOTlVBTF9ST0xMJywnKzEnLDQwMzg3LCwsJycp&amp;WINDOW=FIRST_POPUP&amp;HEIGHT=450&amp;WIDTH=450&amp;START_MAXIMIZED=FALSE&amp;VAR:CALENDAR=US&amp;VAR:SYMBOL=38259P50&amp;VAR:INDEX=0"}</definedName>
    <definedName name="_2426__FDSAUDITLINK__">{"fdsup://directions/FAT Viewer?action=UPDATE&amp;creator=factset&amp;DYN_ARGS=TRUE&amp;DOC_NAME=FAT:FQL_AUDITING_CLIENT_TEMPLATE.FAT&amp;display_string=Audit&amp;VAR:KEY=AXGNCVURIT&amp;VAR:QUERY=KFBfUFJJQ0UoNDAzODcpLShGRl9DQVNIX1NUKFFUUiw0MDM4NykvUF9DT01fU0hTX09VVCg0MDM4NykpKS9GR","V9FU1RJTUFURSgnRVBTJywnTUVBTicsJ0FOTlVBTF9ST0xMJywnKzEnLDQwMzg3LCwsJycp&amp;WINDOW=FIRST_POPUP&amp;HEIGHT=450&amp;WIDTH=450&amp;START_MAXIMIZED=FALSE&amp;VAR:CALENDAR=US&amp;VAR:SYMBOL=38259P50&amp;VAR:INDEX=0"}</definedName>
    <definedName name="_2427__FDSAUDITLINK__">{"fdsup://directions/FAT Viewer?action=UPDATE&amp;creator=factset&amp;DYN_ARGS=TRUE&amp;DOC_NAME=FAT:FQL_AUDITING_CLIENT_TEMPLATE.FAT&amp;display_string=Audit&amp;VAR:KEY=ELOZWVUHUZ&amp;VAR:QUERY=KFBfUFJJQ0UoNDAzODYpLShGRl9DQVNIX1NUKFFUUiw0MDM4NikvUF9DT01fU0hTX09VVCg0MDM4NikpKS9GR","V9FU1RJTUFURSgnRVBTJywnTUVBTicsJ0FOTlVBTF9ST0xMJywnKzEnLDQwMzg2LCwsJycp&amp;WINDOW=FIRST_POPUP&amp;HEIGHT=450&amp;WIDTH=450&amp;START_MAXIMIZED=FALSE&amp;VAR:CALENDAR=US&amp;VAR:SYMBOL=38259P50&amp;VAR:INDEX=0"}</definedName>
    <definedName name="_2428__FDSAUDITLINK__">{"fdsup://directions/FAT Viewer?action=UPDATE&amp;creator=factset&amp;DYN_ARGS=TRUE&amp;DOC_NAME=FAT:FQL_AUDITING_CLIENT_TEMPLATE.FAT&amp;display_string=Audit&amp;VAR:KEY=ELOZWVUHUZ&amp;VAR:QUERY=KFBfUFJJQ0UoNDAzODYpLShGRl9DQVNIX1NUKFFUUiw0MDM4NikvUF9DT01fU0hTX09VVCg0MDM4NikpKS9GR","V9FU1RJTUFURSgnRVBTJywnTUVBTicsJ0FOTlVBTF9ST0xMJywnKzEnLDQwMzg2LCwsJycp&amp;WINDOW=FIRST_POPUP&amp;HEIGHT=450&amp;WIDTH=450&amp;START_MAXIMIZED=FALSE&amp;VAR:CALENDAR=US&amp;VAR:SYMBOL=38259P50&amp;VAR:INDEX=0"}</definedName>
    <definedName name="_2429__FDSAUDITLINK__">{"fdsup://directions/FAT Viewer?action=UPDATE&amp;creator=factset&amp;DYN_ARGS=TRUE&amp;DOC_NAME=FAT:FQL_AUDITING_CLIENT_TEMPLATE.FAT&amp;display_string=Audit&amp;VAR:KEY=QHMRURSTKL&amp;VAR:QUERY=KFBfUFJJQ0UoNDAzODUpLShGRl9DQVNIX1NUKFFUUiw0MDM4NSkvUF9DT01fU0hTX09VVCg0MDM4NSkpKS9GR","V9FU1RJTUFURSgnRVBTJywnTUVBTicsJ0FOTlVBTF9ST0xMJywnKzEnLDQwMzg1LCwsJycp&amp;WINDOW=FIRST_POPUP&amp;HEIGHT=450&amp;WIDTH=450&amp;START_MAXIMIZED=FALSE&amp;VAR:CALENDAR=US&amp;VAR:SYMBOL=38259P50&amp;VAR:INDEX=0"}</definedName>
    <definedName name="_24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25.147938&amp;VAR:V0=26.504513&amp;VAR:V1=21.746899&amp;VAR:Y0=1999&amp;VAR:Y1=2000&amp;VAR:P=1286.370000&amp;VAR:DATE=19990331&amp;VAR:THRESH=-|-|","-|-|-|-|-"}</definedName>
    <definedName name="_2430__FDSAUDITLINK__">{"fdsup://directions/FAT Viewer?action=UPDATE&amp;creator=factset&amp;DYN_ARGS=TRUE&amp;DOC_NAME=FAT:FQL_AUDITING_CLIENT_TEMPLATE.FAT&amp;display_string=Audit&amp;VAR:KEY=QHMRURSTKL&amp;VAR:QUERY=KFBfUFJJQ0UoNDAzODUpLShGRl9DQVNIX1NUKFFUUiw0MDM4NSkvUF9DT01fU0hTX09VVCg0MDM4NSkpKS9GR","V9FU1RJTUFURSgnRVBTJywnTUVBTicsJ0FOTlVBTF9ST0xMJywnKzEnLDQwMzg1LCwsJycp&amp;WINDOW=FIRST_POPUP&amp;HEIGHT=450&amp;WIDTH=450&amp;START_MAXIMIZED=FALSE&amp;VAR:CALENDAR=US&amp;VAR:SYMBOL=38259P50&amp;VAR:INDEX=0"}</definedName>
    <definedName name="_2431__FDSAUDITLINK__">{"fdsup://directions/FAT Viewer?action=UPDATE&amp;creator=factset&amp;DYN_ARGS=TRUE&amp;DOC_NAME=FAT:FQL_AUDITING_CLIENT_TEMPLATE.FAT&amp;display_string=Audit&amp;VAR:KEY=AFCPOXGDKN&amp;VAR:QUERY=KFBfUFJJQ0UoNDAzODQpLShGRl9DQVNIX1NUKFFUUiw0MDM4NCkvUF9DT01fU0hTX09VVCg0MDM4NCkpKS9GR","V9FU1RJTUFURSgnRVBTJywnTUVBTicsJ0FOTlVBTF9ST0xMJywnKzEnLDQwMzg0LCwsJycp&amp;WINDOW=FIRST_POPUP&amp;HEIGHT=450&amp;WIDTH=450&amp;START_MAXIMIZED=FALSE&amp;VAR:CALENDAR=US&amp;VAR:SYMBOL=38259P50&amp;VAR:INDEX=0"}</definedName>
    <definedName name="_2432__FDSAUDITLINK__">{"fdsup://directions/FAT Viewer?action=UPDATE&amp;creator=factset&amp;DYN_ARGS=TRUE&amp;DOC_NAME=FAT:FQL_AUDITING_CLIENT_TEMPLATE.FAT&amp;display_string=Audit&amp;VAR:KEY=AFCPOXGDKN&amp;VAR:QUERY=KFBfUFJJQ0UoNDAzODQpLShGRl9DQVNIX1NUKFFUUiw0MDM4NCkvUF9DT01fU0hTX09VVCg0MDM4NCkpKS9GR","V9FU1RJTUFURSgnRVBTJywnTUVBTicsJ0FOTlVBTF9ST0xMJywnKzEnLDQwMzg0LCwsJycp&amp;WINDOW=FIRST_POPUP&amp;HEIGHT=450&amp;WIDTH=450&amp;START_MAXIMIZED=FALSE&amp;VAR:CALENDAR=US&amp;VAR:SYMBOL=38259P50&amp;VAR:INDEX=0"}</definedName>
    <definedName name="_2433__FDSAUDITLINK__">{"fdsup://directions/FAT Viewer?action=UPDATE&amp;creator=factset&amp;DYN_ARGS=TRUE&amp;DOC_NAME=FAT:FQL_AUDITING_CLIENT_TEMPLATE.FAT&amp;display_string=Audit&amp;VAR:KEY=CTOHORKTWV&amp;VAR:QUERY=KFBfUFJJQ0UoNDAzODMpLShGRl9DQVNIX1NUKFFUUiw0MDM4MykvUF9DT01fU0hTX09VVCg0MDM4MykpKS9GR","V9FU1RJTUFURSgnRVBTJywnTUVBTicsJ0FOTlVBTF9ST0xMJywnKzEnLDQwMzgzLCwsJycp&amp;WINDOW=FIRST_POPUP&amp;HEIGHT=450&amp;WIDTH=450&amp;START_MAXIMIZED=FALSE&amp;VAR:CALENDAR=US&amp;VAR:SYMBOL=38259P50&amp;VAR:INDEX=0"}</definedName>
    <definedName name="_2434__FDSAUDITLINK__">{"fdsup://directions/FAT Viewer?action=UPDATE&amp;creator=factset&amp;DYN_ARGS=TRUE&amp;DOC_NAME=FAT:FQL_AUDITING_CLIENT_TEMPLATE.FAT&amp;display_string=Audit&amp;VAR:KEY=CTOHORKTWV&amp;VAR:QUERY=KFBfUFJJQ0UoNDAzODMpLShGRl9DQVNIX1NUKFFUUiw0MDM4MykvUF9DT01fU0hTX09VVCg0MDM4MykpKS9GR","V9FU1RJTUFURSgnRVBTJywnTUVBTicsJ0FOTlVBTF9ST0xMJywnKzEnLDQwMzgzLCwsJycp&amp;WINDOW=FIRST_POPUP&amp;HEIGHT=450&amp;WIDTH=450&amp;START_MAXIMIZED=FALSE&amp;VAR:CALENDAR=US&amp;VAR:SYMBOL=38259P50&amp;VAR:INDEX=0"}</definedName>
    <definedName name="_2435__FDSAUDITLINK__">{"fdsup://directions/FAT Viewer?action=UPDATE&amp;creator=factset&amp;DYN_ARGS=TRUE&amp;DOC_NAME=FAT:FQL_AUDITING_CLIENT_TEMPLATE.FAT&amp;display_string=Audit&amp;VAR:KEY=AVSVEFQZYJ&amp;VAR:QUERY=KFBfUFJJQ0UoNDAzODIpLShGRl9DQVNIX1NUKFFUUiw0MDM4MikvUF9DT01fU0hTX09VVCg0MDM4MikpKS9GR","V9FU1RJTUFURSgnRVBTJywnTUVBTicsJ0FOTlVBTF9ST0xMJywnKzEnLDQwMzgyLCwsJycp&amp;WINDOW=FIRST_POPUP&amp;HEIGHT=450&amp;WIDTH=450&amp;START_MAXIMIZED=FALSE&amp;VAR:CALENDAR=US&amp;VAR:SYMBOL=38259P50&amp;VAR:INDEX=0"}</definedName>
    <definedName name="_2436__FDSAUDITLINK__">{"fdsup://directions/FAT Viewer?action=UPDATE&amp;creator=factset&amp;DYN_ARGS=TRUE&amp;DOC_NAME=FAT:FQL_AUDITING_CLIENT_TEMPLATE.FAT&amp;display_string=Audit&amp;VAR:KEY=AVSVEFQZYJ&amp;VAR:QUERY=KFBfUFJJQ0UoNDAzODIpLShGRl9DQVNIX1NUKFFUUiw0MDM4MikvUF9DT01fU0hTX09VVCg0MDM4MikpKS9GR","V9FU1RJTUFURSgnRVBTJywnTUVBTicsJ0FOTlVBTF9ST0xMJywnKzEnLDQwMzgyLCwsJycp&amp;WINDOW=FIRST_POPUP&amp;HEIGHT=450&amp;WIDTH=450&amp;START_MAXIMIZED=FALSE&amp;VAR:CALENDAR=US&amp;VAR:SYMBOL=38259P50&amp;VAR:INDEX=0"}</definedName>
    <definedName name="_2437__FDSAUDITLINK__">{"fdsup://directions/FAT Viewer?action=UPDATE&amp;creator=factset&amp;DYN_ARGS=TRUE&amp;DOC_NAME=FAT:FQL_AUDITING_CLIENT_TEMPLATE.FAT&amp;display_string=Audit&amp;VAR:KEY=STKZMDARIV&amp;VAR:QUERY=KFBfUFJJQ0UoNDAzODEpLShGRl9DQVNIX1NUKFFUUiw0MDM4MSkvUF9DT01fU0hTX09VVCg0MDM4MSkpKS9GR","V9FU1RJTUFURSgnRVBTJywnTUVBTicsJ0FOTlVBTF9ST0xMJywnKzEnLDQwMzgxLCwsJycp&amp;WINDOW=FIRST_POPUP&amp;HEIGHT=450&amp;WIDTH=450&amp;START_MAXIMIZED=FALSE&amp;VAR:CALENDAR=US&amp;VAR:SYMBOL=38259P50&amp;VAR:INDEX=0"}</definedName>
    <definedName name="_2438__FDSAUDITLINK__">{"fdsup://directions/FAT Viewer?action=UPDATE&amp;creator=factset&amp;DYN_ARGS=TRUE&amp;DOC_NAME=FAT:FQL_AUDITING_CLIENT_TEMPLATE.FAT&amp;display_string=Audit&amp;VAR:KEY=STKZMDARIV&amp;VAR:QUERY=KFBfUFJJQ0UoNDAzODEpLShGRl9DQVNIX1NUKFFUUiw0MDM4MSkvUF9DT01fU0hTX09VVCg0MDM4MSkpKS9GR","V9FU1RJTUFURSgnRVBTJywnTUVBTicsJ0FOTlVBTF9ST0xMJywnKzEnLDQwMzgxLCwsJycp&amp;WINDOW=FIRST_POPUP&amp;HEIGHT=450&amp;WIDTH=450&amp;START_MAXIMIZED=FALSE&amp;VAR:CALENDAR=US&amp;VAR:SYMBOL=38259P50&amp;VAR:INDEX=0"}</definedName>
    <definedName name="_2439__FDSAUDITLINK__">{"fdsup://directions/FAT Viewer?action=UPDATE&amp;creator=factset&amp;DYN_ARGS=TRUE&amp;DOC_NAME=FAT:FQL_AUDITING_CLIENT_TEMPLATE.FAT&amp;display_string=Audit&amp;VAR:KEY=ILKFYFOJSF&amp;VAR:QUERY=KFBfUFJJQ0UoNDAzODApLShGRl9DQVNIX1NUKFFUUiw0MDM4MCkvUF9DT01fU0hTX09VVCg0MDM4MCkpKS9GR","V9FU1RJTUFURSgnRVBTJywnTUVBTicsJ0FOTlVBTF9ST0xMJywnKzEnLDQwMzgwLCwsJycp&amp;WINDOW=FIRST_POPUP&amp;HEIGHT=450&amp;WIDTH=450&amp;START_MAXIMIZED=FALSE&amp;VAR:CALENDAR=US&amp;VAR:SYMBOL=38259P50&amp;VAR:INDEX=0"}</definedName>
    <definedName name="_244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17"}</definedName>
    <definedName name="_2440__FDSAUDITLINK__">{"fdsup://directions/FAT Viewer?action=UPDATE&amp;creator=factset&amp;DYN_ARGS=TRUE&amp;DOC_NAME=FAT:FQL_AUDITING_CLIENT_TEMPLATE.FAT&amp;display_string=Audit&amp;VAR:KEY=ILKFYFOJSF&amp;VAR:QUERY=KFBfUFJJQ0UoNDAzODApLShGRl9DQVNIX1NUKFFUUiw0MDM4MCkvUF9DT01fU0hTX09VVCg0MDM4MCkpKS9GR","V9FU1RJTUFURSgnRVBTJywnTUVBTicsJ0FOTlVBTF9ST0xMJywnKzEnLDQwMzgwLCwsJycp&amp;WINDOW=FIRST_POPUP&amp;HEIGHT=450&amp;WIDTH=450&amp;START_MAXIMIZED=FALSE&amp;VAR:CALENDAR=US&amp;VAR:SYMBOL=38259P50&amp;VAR:INDEX=0"}</definedName>
    <definedName name="_2441__FDSAUDITLINK__">{"fdsup://directions/FAT Viewer?action=UPDATE&amp;creator=factset&amp;DYN_ARGS=TRUE&amp;DOC_NAME=FAT:FQL_AUDITING_CLIENT_TEMPLATE.FAT&amp;display_string=Audit&amp;VAR:KEY=WNSZWFOLMP&amp;VAR:QUERY=KFBfUFJJQ0UoNDAzNzkpLShGRl9DQVNIX1NUKFFUUiw0MDM3OSkvUF9DT01fU0hTX09VVCg0MDM3OSkpKS9GR","V9FU1RJTUFURSgnRVBTJywnTUVBTicsJ0FOTlVBTF9ST0xMJywnKzEnLDQwMzc5LCwsJycp&amp;WINDOW=FIRST_POPUP&amp;HEIGHT=450&amp;WIDTH=450&amp;START_MAXIMIZED=FALSE&amp;VAR:CALENDAR=US&amp;VAR:SYMBOL=38259P50&amp;VAR:INDEX=0"}</definedName>
    <definedName name="_2442__FDSAUDITLINK__">{"fdsup://directions/FAT Viewer?action=UPDATE&amp;creator=factset&amp;DYN_ARGS=TRUE&amp;DOC_NAME=FAT:FQL_AUDITING_CLIENT_TEMPLATE.FAT&amp;display_string=Audit&amp;VAR:KEY=WNSZWFOLMP&amp;VAR:QUERY=KFBfUFJJQ0UoNDAzNzkpLShGRl9DQVNIX1NUKFFUUiw0MDM3OSkvUF9DT01fU0hTX09VVCg0MDM3OSkpKS9GR","V9FU1RJTUFURSgnRVBTJywnTUVBTicsJ0FOTlVBTF9ST0xMJywnKzEnLDQwMzc5LCwsJycp&amp;WINDOW=FIRST_POPUP&amp;HEIGHT=450&amp;WIDTH=450&amp;START_MAXIMIZED=FALSE&amp;VAR:CALENDAR=US&amp;VAR:SYMBOL=38259P50&amp;VAR:INDEX=0"}</definedName>
    <definedName name="_2443__FDSAUDITLINK__">{"fdsup://directions/FAT Viewer?action=UPDATE&amp;creator=factset&amp;DYN_ARGS=TRUE&amp;DOC_NAME=FAT:FQL_AUDITING_CLIENT_TEMPLATE.FAT&amp;display_string=Audit&amp;VAR:KEY=SRWJUTIRYT&amp;VAR:QUERY=KFBfUFJJQ0UoNDAzNzgpLShGRl9DQVNIX1NUKFFUUiw0MDM3OCkvUF9DT01fU0hTX09VVCg0MDM3OCkpKS9GR","V9FU1RJTUFURSgnRVBTJywnTUVBTicsJ0FOTlVBTF9ST0xMJywnKzEnLDQwMzc4LCwsJycp&amp;WINDOW=FIRST_POPUP&amp;HEIGHT=450&amp;WIDTH=450&amp;START_MAXIMIZED=FALSE&amp;VAR:CALENDAR=US&amp;VAR:SYMBOL=38259P50&amp;VAR:INDEX=0"}</definedName>
    <definedName name="_2444__FDSAUDITLINK__">{"fdsup://directions/FAT Viewer?action=UPDATE&amp;creator=factset&amp;DYN_ARGS=TRUE&amp;DOC_NAME=FAT:FQL_AUDITING_CLIENT_TEMPLATE.FAT&amp;display_string=Audit&amp;VAR:KEY=SRWJUTIRYT&amp;VAR:QUERY=KFBfUFJJQ0UoNDAzNzgpLShGRl9DQVNIX1NUKFFUUiw0MDM3OCkvUF9DT01fU0hTX09VVCg0MDM3OCkpKS9GR","V9FU1RJTUFURSgnRVBTJywnTUVBTicsJ0FOTlVBTF9ST0xMJywnKzEnLDQwMzc4LCwsJycp&amp;WINDOW=FIRST_POPUP&amp;HEIGHT=450&amp;WIDTH=450&amp;START_MAXIMIZED=FALSE&amp;VAR:CALENDAR=US&amp;VAR:SYMBOL=38259P50&amp;VAR:INDEX=0"}</definedName>
    <definedName name="_2445__FDSAUDITLINK__">{"fdsup://directions/FAT Viewer?action=UPDATE&amp;creator=factset&amp;DYN_ARGS=TRUE&amp;DOC_NAME=FAT:FQL_AUDITING_CLIENT_TEMPLATE.FAT&amp;display_string=Audit&amp;VAR:KEY=UFCXEVKVER&amp;VAR:QUERY=KFBfUFJJQ0UoNDAzNzcpLShGRl9DQVNIX1NUKFFUUiw0MDM3NykvUF9DT01fU0hTX09VVCg0MDM3NykpKS9GR","V9FU1RJTUFURSgnRVBTJywnTUVBTicsJ0FOTlVBTF9ST0xMJywnKzEnLDQwMzc3LCwsJycp&amp;WINDOW=FIRST_POPUP&amp;HEIGHT=450&amp;WIDTH=450&amp;START_MAXIMIZED=FALSE&amp;VAR:CALENDAR=US&amp;VAR:SYMBOL=38259P50&amp;VAR:INDEX=0"}</definedName>
    <definedName name="_2446__FDSAUDITLINK__">{"fdsup://directions/FAT Viewer?action=UPDATE&amp;creator=factset&amp;DYN_ARGS=TRUE&amp;DOC_NAME=FAT:FQL_AUDITING_CLIENT_TEMPLATE.FAT&amp;display_string=Audit&amp;VAR:KEY=UFCXEVKVER&amp;VAR:QUERY=KFBfUFJJQ0UoNDAzNzcpLShGRl9DQVNIX1NUKFFUUiw0MDM3NykvUF9DT01fU0hTX09VVCg0MDM3NykpKS9GR","V9FU1RJTUFURSgnRVBTJywnTUVBTicsJ0FOTlVBTF9ST0xMJywnKzEnLDQwMzc3LCwsJycp&amp;WINDOW=FIRST_POPUP&amp;HEIGHT=450&amp;WIDTH=450&amp;START_MAXIMIZED=FALSE&amp;VAR:CALENDAR=US&amp;VAR:SYMBOL=38259P50&amp;VAR:INDEX=0"}</definedName>
    <definedName name="_2447__FDSAUDITLINK__">{"fdsup://directions/FAT Viewer?action=UPDATE&amp;creator=factset&amp;DYN_ARGS=TRUE&amp;DOC_NAME=FAT:FQL_AUDITING_CLIENT_TEMPLATE.FAT&amp;display_string=Audit&amp;VAR:KEY=QZKDSZSZUL&amp;VAR:QUERY=KFBfUFJJQ0UoNDAzNzYpLShGRl9DQVNIX1NUKFFUUiw0MDM3NikvUF9DT01fU0hTX09VVCg0MDM3NikpKS9GR","V9FU1RJTUFURSgnRVBTJywnTUVBTicsJ0FOTlVBTF9ST0xMJywnKzEnLDQwMzc2LCwsJycp&amp;WINDOW=FIRST_POPUP&amp;HEIGHT=450&amp;WIDTH=450&amp;START_MAXIMIZED=FALSE&amp;VAR:CALENDAR=US&amp;VAR:SYMBOL=38259P50&amp;VAR:INDEX=0"}</definedName>
    <definedName name="_2448__FDSAUDITLINK__">{"fdsup://directions/FAT Viewer?action=UPDATE&amp;creator=factset&amp;DYN_ARGS=TRUE&amp;DOC_NAME=FAT:FQL_AUDITING_CLIENT_TEMPLATE.FAT&amp;display_string=Audit&amp;VAR:KEY=QZKDSZSZUL&amp;VAR:QUERY=KFBfUFJJQ0UoNDAzNzYpLShGRl9DQVNIX1NUKFFUUiw0MDM3NikvUF9DT01fU0hTX09VVCg0MDM3NikpKS9GR","V9FU1RJTUFURSgnRVBTJywnTUVBTicsJ0FOTlVBTF9ST0xMJywnKzEnLDQwMzc2LCwsJycp&amp;WINDOW=FIRST_POPUP&amp;HEIGHT=450&amp;WIDTH=450&amp;START_MAXIMIZED=FALSE&amp;VAR:CALENDAR=US&amp;VAR:SYMBOL=38259P50&amp;VAR:INDEX=0"}</definedName>
    <definedName name="_2449__FDSAUDITLINK__">{"fdsup://directions/FAT Viewer?action=UPDATE&amp;creator=factset&amp;DYN_ARGS=TRUE&amp;DOC_NAME=FAT:FQL_AUDITING_CLIENT_TEMPLATE.FAT&amp;display_string=Audit&amp;VAR:KEY=YHARURWVYV&amp;VAR:QUERY=KFBfUFJJQ0UoNDAzNzUpLShGRl9DQVNIX1NUKFFUUiw0MDM3NSkvUF9DT01fU0hTX09VVCg0MDM3NSkpKS9GR","V9FU1RJTUFURSgnRVBTJywnTUVBTicsJ0FOTlVBTF9ST0xMJywnKzEnLDQwMzc1LCwsJycp&amp;WINDOW=FIRST_POPUP&amp;HEIGHT=450&amp;WIDTH=450&amp;START_MAXIMIZED=FALSE&amp;VAR:CALENDAR=US&amp;VAR:SYMBOL=38259P50&amp;VAR:INDEX=0"}</definedName>
    <definedName name="_245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16"}</definedName>
    <definedName name="_2450__FDSAUDITLINK__">{"fdsup://directions/FAT Viewer?action=UPDATE&amp;creator=factset&amp;DYN_ARGS=TRUE&amp;DOC_NAME=FAT:FQL_AUDITING_CLIENT_TEMPLATE.FAT&amp;display_string=Audit&amp;VAR:KEY=YHARURWVYV&amp;VAR:QUERY=KFBfUFJJQ0UoNDAzNzUpLShGRl9DQVNIX1NUKFFUUiw0MDM3NSkvUF9DT01fU0hTX09VVCg0MDM3NSkpKS9GR","V9FU1RJTUFURSgnRVBTJywnTUVBTicsJ0FOTlVBTF9ST0xMJywnKzEnLDQwMzc1LCwsJycp&amp;WINDOW=FIRST_POPUP&amp;HEIGHT=450&amp;WIDTH=450&amp;START_MAXIMIZED=FALSE&amp;VAR:CALENDAR=US&amp;VAR:SYMBOL=38259P50&amp;VAR:INDEX=0"}</definedName>
    <definedName name="_2451__FDSAUDITLINK__">{"fdsup://directions/FAT Viewer?action=UPDATE&amp;creator=factset&amp;DYN_ARGS=TRUE&amp;DOC_NAME=FAT:FQL_AUDITING_CLIENT_TEMPLATE.FAT&amp;display_string=Audit&amp;VAR:KEY=WXKVGFABOL&amp;VAR:QUERY=KFBfUFJJQ0UoNDAzNzQpLShGRl9DQVNIX1NUKFFUUiw0MDM3NCkvUF9DT01fU0hTX09VVCg0MDM3NCkpKS9GR","V9FU1RJTUFURSgnRVBTJywnTUVBTicsJ0FOTlVBTF9ST0xMJywnKzEnLDQwMzc0LCwsJycp&amp;WINDOW=FIRST_POPUP&amp;HEIGHT=450&amp;WIDTH=450&amp;START_MAXIMIZED=FALSE&amp;VAR:CALENDAR=US&amp;VAR:SYMBOL=38259P50&amp;VAR:INDEX=0"}</definedName>
    <definedName name="_2452__FDSAUDITLINK__">{"fdsup://directions/FAT Viewer?action=UPDATE&amp;creator=factset&amp;DYN_ARGS=TRUE&amp;DOC_NAME=FAT:FQL_AUDITING_CLIENT_TEMPLATE.FAT&amp;display_string=Audit&amp;VAR:KEY=WXKVGFABOL&amp;VAR:QUERY=KFBfUFJJQ0UoNDAzNzQpLShGRl9DQVNIX1NUKFFUUiw0MDM3NCkvUF9DT01fU0hTX09VVCg0MDM3NCkpKS9GR","V9FU1RJTUFURSgnRVBTJywnTUVBTicsJ0FOTlVBTF9ST0xMJywnKzEnLDQwMzc0LCwsJycp&amp;WINDOW=FIRST_POPUP&amp;HEIGHT=450&amp;WIDTH=450&amp;START_MAXIMIZED=FALSE&amp;VAR:CALENDAR=US&amp;VAR:SYMBOL=38259P50&amp;VAR:INDEX=0"}</definedName>
    <definedName name="_2453__FDSAUDITLINK__">{"fdsup://directions/FAT Viewer?action=UPDATE&amp;creator=factset&amp;DYN_ARGS=TRUE&amp;DOC_NAME=FAT:FQL_AUDITING_CLIENT_TEMPLATE.FAT&amp;display_string=Audit&amp;VAR:KEY=KHUDYRGZYT&amp;VAR:QUERY=KFBfUFJJQ0UoNDAzNzMpLShGRl9DQVNIX1NUKFFUUiw0MDM3MykvUF9DT01fU0hTX09VVCg0MDM3MykpKS9GR","V9FU1RJTUFURSgnRVBTJywnTUVBTicsJ0FOTlVBTF9ST0xMJywnKzEnLDQwMzczLCwsJycp&amp;WINDOW=FIRST_POPUP&amp;HEIGHT=450&amp;WIDTH=450&amp;START_MAXIMIZED=FALSE&amp;VAR:CALENDAR=US&amp;VAR:SYMBOL=38259P50&amp;VAR:INDEX=0"}</definedName>
    <definedName name="_2454__FDSAUDITLINK__">{"fdsup://directions/FAT Viewer?action=UPDATE&amp;creator=factset&amp;DYN_ARGS=TRUE&amp;DOC_NAME=FAT:FQL_AUDITING_CLIENT_TEMPLATE.FAT&amp;display_string=Audit&amp;VAR:KEY=KHUDYRGZYT&amp;VAR:QUERY=KFBfUFJJQ0UoNDAzNzMpLShGRl9DQVNIX1NUKFFUUiw0MDM3MykvUF9DT01fU0hTX09VVCg0MDM3MykpKS9GR","V9FU1RJTUFURSgnRVBTJywnTUVBTicsJ0FOTlVBTF9ST0xMJywnKzEnLDQwMzczLCwsJycp&amp;WINDOW=FIRST_POPUP&amp;HEIGHT=450&amp;WIDTH=450&amp;START_MAXIMIZED=FALSE&amp;VAR:CALENDAR=US&amp;VAR:SYMBOL=38259P50&amp;VAR:INDEX=0"}</definedName>
    <definedName name="_2455__FDSAUDITLINK__">{"fdsup://directions/FAT Viewer?action=UPDATE&amp;creator=factset&amp;DYN_ARGS=TRUE&amp;DOC_NAME=FAT:FQL_AUDITING_CLIENT_TEMPLATE.FAT&amp;display_string=Audit&amp;VAR:KEY=GRQNSZCHWP&amp;VAR:QUERY=KFBfUFJJQ0UoNDAzNzIpLShGRl9DQVNIX1NUKFFUUiw0MDM3MikvUF9DT01fU0hTX09VVCg0MDM3MikpKS9GR","V9FU1RJTUFURSgnRVBTJywnTUVBTicsJ0FOTlVBTF9ST0xMJywnKzEnLDQwMzcyLCwsJycp&amp;WINDOW=FIRST_POPUP&amp;HEIGHT=450&amp;WIDTH=450&amp;START_MAXIMIZED=FALSE&amp;VAR:CALENDAR=US&amp;VAR:SYMBOL=38259P50&amp;VAR:INDEX=0"}</definedName>
    <definedName name="_2456__FDSAUDITLINK__">{"fdsup://directions/FAT Viewer?action=UPDATE&amp;creator=factset&amp;DYN_ARGS=TRUE&amp;DOC_NAME=FAT:FQL_AUDITING_CLIENT_TEMPLATE.FAT&amp;display_string=Audit&amp;VAR:KEY=GRQNSZCHWP&amp;VAR:QUERY=KFBfUFJJQ0UoNDAzNzIpLShGRl9DQVNIX1NUKFFUUiw0MDM3MikvUF9DT01fU0hTX09VVCg0MDM3MikpKS9GR","V9FU1RJTUFURSgnRVBTJywnTUVBTicsJ0FOTlVBTF9ST0xMJywnKzEnLDQwMzcyLCwsJycp&amp;WINDOW=FIRST_POPUP&amp;HEIGHT=450&amp;WIDTH=450&amp;START_MAXIMIZED=FALSE&amp;VAR:CALENDAR=US&amp;VAR:SYMBOL=38259P50&amp;VAR:INDEX=0"}</definedName>
    <definedName name="_2457__FDSAUDITLINK__">{"fdsup://directions/FAT Viewer?action=UPDATE&amp;creator=factset&amp;DYN_ARGS=TRUE&amp;DOC_NAME=FAT:FQL_AUDITING_CLIENT_TEMPLATE.FAT&amp;display_string=Audit&amp;VAR:KEY=ONUFMFUVKB&amp;VAR:QUERY=KFBfUFJJQ0UoNDAzNzEpLShGRl9DQVNIX1NUKFFUUiw0MDM3MSkvUF9DT01fU0hTX09VVCg0MDM3MSkpKS9GR","V9FU1RJTUFURSgnRVBTJywnTUVBTicsJ0FOTlVBTF9ST0xMJywnKzEnLDQwMzcxLCwsJycp&amp;WINDOW=FIRST_POPUP&amp;HEIGHT=450&amp;WIDTH=450&amp;START_MAXIMIZED=FALSE&amp;VAR:CALENDAR=US&amp;VAR:SYMBOL=38259P50&amp;VAR:INDEX=0"}</definedName>
    <definedName name="_2458__FDSAUDITLINK__">{"fdsup://directions/FAT Viewer?action=UPDATE&amp;creator=factset&amp;DYN_ARGS=TRUE&amp;DOC_NAME=FAT:FQL_AUDITING_CLIENT_TEMPLATE.FAT&amp;display_string=Audit&amp;VAR:KEY=ONUFMFUVKB&amp;VAR:QUERY=KFBfUFJJQ0UoNDAzNzEpLShGRl9DQVNIX1NUKFFUUiw0MDM3MSkvUF9DT01fU0hTX09VVCg0MDM3MSkpKS9GR","V9FU1RJTUFURSgnRVBTJywnTUVBTicsJ0FOTlVBTF9ST0xMJywnKzEnLDQwMzcxLCwsJycp&amp;WINDOW=FIRST_POPUP&amp;HEIGHT=450&amp;WIDTH=450&amp;START_MAXIMIZED=FALSE&amp;VAR:CALENDAR=US&amp;VAR:SYMBOL=38259P50&amp;VAR:INDEX=0"}</definedName>
    <definedName name="_2459__FDSAUDITLINK__">{"fdsup://directions/FAT Viewer?action=UPDATE&amp;creator=factset&amp;DYN_ARGS=TRUE&amp;DOC_NAME=FAT:FQL_AUDITING_CLIENT_TEMPLATE.FAT&amp;display_string=Audit&amp;VAR:KEY=GLWDCDMBIJ&amp;VAR:QUERY=KFBfUFJJQ0UoNDAzNzApLShGRl9DQVNIX1NUKFFUUiw0MDM3MCkvUF9DT01fU0hTX09VVCg0MDM3MCkpKS9GR","V9FU1RJTUFURSgnRVBTJywnTUVBTicsJ0FOTlVBTF9ST0xMJywnKzEnLDQwMzcwLCwsJycp&amp;WINDOW=FIRST_POPUP&amp;HEIGHT=450&amp;WIDTH=450&amp;START_MAXIMIZED=FALSE&amp;VAR:CALENDAR=US&amp;VAR:SYMBOL=38259P50&amp;VAR:INDEX=0"}</definedName>
    <definedName name="_246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15"}</definedName>
    <definedName name="_2460__FDSAUDITLINK__">{"fdsup://directions/FAT Viewer?action=UPDATE&amp;creator=factset&amp;DYN_ARGS=TRUE&amp;DOC_NAME=FAT:FQL_AUDITING_CLIENT_TEMPLATE.FAT&amp;display_string=Audit&amp;VAR:KEY=GLWDCDMBIJ&amp;VAR:QUERY=KFBfUFJJQ0UoNDAzNzApLShGRl9DQVNIX1NUKFFUUiw0MDM3MCkvUF9DT01fU0hTX09VVCg0MDM3MCkpKS9GR","V9FU1RJTUFURSgnRVBTJywnTUVBTicsJ0FOTlVBTF9ST0xMJywnKzEnLDQwMzcwLCwsJycp&amp;WINDOW=FIRST_POPUP&amp;HEIGHT=450&amp;WIDTH=450&amp;START_MAXIMIZED=FALSE&amp;VAR:CALENDAR=US&amp;VAR:SYMBOL=38259P50&amp;VAR:INDEX=0"}</definedName>
    <definedName name="_2461__FDSAUDITLINK__">{"fdsup://directions/FAT Viewer?action=UPDATE&amp;creator=factset&amp;DYN_ARGS=TRUE&amp;DOC_NAME=FAT:FQL_AUDITING_CLIENT_TEMPLATE.FAT&amp;display_string=Audit&amp;VAR:KEY=UNKDIHADSV&amp;VAR:QUERY=KFBfUFJJQ0UoNDAzNjkpLShGRl9DQVNIX1NUKFFUUiw0MDM2OSkvUF9DT01fU0hTX09VVCg0MDM2OSkpKS9GR","V9FU1RJTUFURSgnRVBTJywnTUVBTicsJ0FOTlVBTF9ST0xMJywnKzEnLDQwMzY5LCwsJycp&amp;WINDOW=FIRST_POPUP&amp;HEIGHT=450&amp;WIDTH=450&amp;START_MAXIMIZED=FALSE&amp;VAR:CALENDAR=US&amp;VAR:SYMBOL=38259P50&amp;VAR:INDEX=0"}</definedName>
    <definedName name="_2462__FDSAUDITLINK__">{"fdsup://directions/FAT Viewer?action=UPDATE&amp;creator=factset&amp;DYN_ARGS=TRUE&amp;DOC_NAME=FAT:FQL_AUDITING_CLIENT_TEMPLATE.FAT&amp;display_string=Audit&amp;VAR:KEY=UNKDIHADSV&amp;VAR:QUERY=KFBfUFJJQ0UoNDAzNjkpLShGRl9DQVNIX1NUKFFUUiw0MDM2OSkvUF9DT01fU0hTX09VVCg0MDM2OSkpKS9GR","V9FU1RJTUFURSgnRVBTJywnTUVBTicsJ0FOTlVBTF9ST0xMJywnKzEnLDQwMzY5LCwsJycp&amp;WINDOW=FIRST_POPUP&amp;HEIGHT=450&amp;WIDTH=450&amp;START_MAXIMIZED=FALSE&amp;VAR:CALENDAR=US&amp;VAR:SYMBOL=38259P50&amp;VAR:INDEX=0"}</definedName>
    <definedName name="_2463__FDSAUDITLINK__">{"fdsup://directions/FAT Viewer?action=UPDATE&amp;creator=factset&amp;DYN_ARGS=TRUE&amp;DOC_NAME=FAT:FQL_AUDITING_CLIENT_TEMPLATE.FAT&amp;display_string=Audit&amp;VAR:KEY=YBSXODKTOF&amp;VAR:QUERY=KFBfUFJJQ0UoNDAzNjgpLShGRl9DQVNIX1NUKFFUUiw0MDM2OCkvUF9DT01fU0hTX09VVCg0MDM2OCkpKS9GR","V9FU1RJTUFURSgnRVBTJywnTUVBTicsJ0FOTlVBTF9ST0xMJywnKzEnLDQwMzY4LCwsJycp&amp;WINDOW=FIRST_POPUP&amp;HEIGHT=450&amp;WIDTH=450&amp;START_MAXIMIZED=FALSE&amp;VAR:CALENDAR=US&amp;VAR:SYMBOL=38259P50&amp;VAR:INDEX=0"}</definedName>
    <definedName name="_2464__FDSAUDITLINK__">{"fdsup://directions/FAT Viewer?action=UPDATE&amp;creator=factset&amp;DYN_ARGS=TRUE&amp;DOC_NAME=FAT:FQL_AUDITING_CLIENT_TEMPLATE.FAT&amp;display_string=Audit&amp;VAR:KEY=YBSXODKTOF&amp;VAR:QUERY=KFBfUFJJQ0UoNDAzNjgpLShGRl9DQVNIX1NUKFFUUiw0MDM2OCkvUF9DT01fU0hTX09VVCg0MDM2OCkpKS9GR","V9FU1RJTUFURSgnRVBTJywnTUVBTicsJ0FOTlVBTF9ST0xMJywnKzEnLDQwMzY4LCwsJycp&amp;WINDOW=FIRST_POPUP&amp;HEIGHT=450&amp;WIDTH=450&amp;START_MAXIMIZED=FALSE&amp;VAR:CALENDAR=US&amp;VAR:SYMBOL=38259P50&amp;VAR:INDEX=0"}</definedName>
    <definedName name="_2465__FDSAUDITLINK__">{"fdsup://directions/FAT Viewer?action=UPDATE&amp;creator=factset&amp;DYN_ARGS=TRUE&amp;DOC_NAME=FAT:FQL_AUDITING_CLIENT_TEMPLATE.FAT&amp;display_string=Audit&amp;VAR:KEY=EZKXQTWBYZ&amp;VAR:QUERY=KFBfUFJJQ0UoNDAzNjcpLShGRl9DQVNIX1NUKFFUUiw0MDM2NykvUF9DT01fU0hTX09VVCg0MDM2NykpKS9GR","V9FU1RJTUFURSgnRVBTJywnTUVBTicsJ0FOTlVBTF9ST0xMJywnKzEnLDQwMzY3LCwsJycp&amp;WINDOW=FIRST_POPUP&amp;HEIGHT=450&amp;WIDTH=450&amp;START_MAXIMIZED=FALSE&amp;VAR:CALENDAR=US&amp;VAR:SYMBOL=38259P50&amp;VAR:INDEX=0"}</definedName>
    <definedName name="_2466__FDSAUDITLINK__">{"fdsup://directions/FAT Viewer?action=UPDATE&amp;creator=factset&amp;DYN_ARGS=TRUE&amp;DOC_NAME=FAT:FQL_AUDITING_CLIENT_TEMPLATE.FAT&amp;display_string=Audit&amp;VAR:KEY=EZKXQTWBYZ&amp;VAR:QUERY=KFBfUFJJQ0UoNDAzNjcpLShGRl9DQVNIX1NUKFFUUiw0MDM2NykvUF9DT01fU0hTX09VVCg0MDM2NykpKS9GR","V9FU1RJTUFURSgnRVBTJywnTUVBTicsJ0FOTlVBTF9ST0xMJywnKzEnLDQwMzY3LCwsJycp&amp;WINDOW=FIRST_POPUP&amp;HEIGHT=450&amp;WIDTH=450&amp;START_MAXIMIZED=FALSE&amp;VAR:CALENDAR=US&amp;VAR:SYMBOL=38259P50&amp;VAR:INDEX=0"}</definedName>
    <definedName name="_2467__FDSAUDITLINK__">{"fdsup://directions/FAT Viewer?action=UPDATE&amp;creator=factset&amp;DYN_ARGS=TRUE&amp;DOC_NAME=FAT:FQL_AUDITING_CLIENT_TEMPLATE.FAT&amp;display_string=Audit&amp;VAR:KEY=EZEHADMFWB&amp;VAR:QUERY=KFBfUFJJQ0UoNDAzNjYpLShGRl9DQVNIX1NUKFFUUiw0MDM2NikvUF9DT01fU0hTX09VVCg0MDM2NikpKS9GR","V9FU1RJTUFURSgnRVBTJywnTUVBTicsJ0FOTlVBTF9ST0xMJywnKzEnLDQwMzY2LCwsJycp&amp;WINDOW=FIRST_POPUP&amp;HEIGHT=450&amp;WIDTH=450&amp;START_MAXIMIZED=FALSE&amp;VAR:CALENDAR=US&amp;VAR:SYMBOL=38259P50&amp;VAR:INDEX=0"}</definedName>
    <definedName name="_2468__FDSAUDITLINK__">{"fdsup://directions/FAT Viewer?action=UPDATE&amp;creator=factset&amp;DYN_ARGS=TRUE&amp;DOC_NAME=FAT:FQL_AUDITING_CLIENT_TEMPLATE.FAT&amp;display_string=Audit&amp;VAR:KEY=EZEHADMFWB&amp;VAR:QUERY=KFBfUFJJQ0UoNDAzNjYpLShGRl9DQVNIX1NUKFFUUiw0MDM2NikvUF9DT01fU0hTX09VVCg0MDM2NikpKS9GR","V9FU1RJTUFURSgnRVBTJywnTUVBTicsJ0FOTlVBTF9ST0xMJywnKzEnLDQwMzY2LCwsJycp&amp;WINDOW=FIRST_POPUP&amp;HEIGHT=450&amp;WIDTH=450&amp;START_MAXIMIZED=FALSE&amp;VAR:CALENDAR=US&amp;VAR:SYMBOL=38259P50&amp;VAR:INDEX=0"}</definedName>
    <definedName name="_2469__FDSAUDITLINK__">{"fdsup://directions/FAT Viewer?action=UPDATE&amp;creator=factset&amp;DYN_ARGS=TRUE&amp;DOC_NAME=FAT:FQL_AUDITING_CLIENT_TEMPLATE.FAT&amp;display_string=Audit&amp;VAR:KEY=SRKTIVKJGN&amp;VAR:QUERY=KFBfUFJJQ0UoNDAzNjUpLShGRl9DQVNIX1NUKFFUUiw0MDM2NSkvUF9DT01fU0hTX09VVCg0MDM2NSkpKS9GR","V9FU1RJTUFURSgnRVBTJywnTUVBTicsJ0FOTlVBTF9ST0xMJywnKzEnLDQwMzY1LCwsJycp&amp;WINDOW=FIRST_POPUP&amp;HEIGHT=450&amp;WIDTH=450&amp;START_MAXIMIZED=FALSE&amp;VAR:CALENDAR=US&amp;VAR:SYMBOL=38259P50&amp;VAR:INDEX=0"}</definedName>
    <definedName name="_247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14"}</definedName>
    <definedName name="_2470__FDSAUDITLINK__">{"fdsup://directions/FAT Viewer?action=UPDATE&amp;creator=factset&amp;DYN_ARGS=TRUE&amp;DOC_NAME=FAT:FQL_AUDITING_CLIENT_TEMPLATE.FAT&amp;display_string=Audit&amp;VAR:KEY=SRKTIVKJGN&amp;VAR:QUERY=KFBfUFJJQ0UoNDAzNjUpLShGRl9DQVNIX1NUKFFUUiw0MDM2NSkvUF9DT01fU0hTX09VVCg0MDM2NSkpKS9GR","V9FU1RJTUFURSgnRVBTJywnTUVBTicsJ0FOTlVBTF9ST0xMJywnKzEnLDQwMzY1LCwsJycp&amp;WINDOW=FIRST_POPUP&amp;HEIGHT=450&amp;WIDTH=450&amp;START_MAXIMIZED=FALSE&amp;VAR:CALENDAR=US&amp;VAR:SYMBOL=38259P50&amp;VAR:INDEX=0"}</definedName>
    <definedName name="_2471__FDSAUDITLINK__">{"fdsup://directions/FAT Viewer?action=UPDATE&amp;creator=factset&amp;DYN_ARGS=TRUE&amp;DOC_NAME=FAT:FQL_AUDITING_CLIENT_TEMPLATE.FAT&amp;display_string=Audit&amp;VAR:KEY=ANOLWHKPID&amp;VAR:QUERY=KFBfUFJJQ0UoNDAzNjQpLShGRl9DQVNIX1NUKFFUUiw0MDM2NCkvUF9DT01fU0hTX09VVCg0MDM2NCkpKS9GR","V9FU1RJTUFURSgnRVBTJywnTUVBTicsJ0FOTlVBTF9ST0xMJywnKzEnLDQwMzY0LCwsJycp&amp;WINDOW=FIRST_POPUP&amp;HEIGHT=450&amp;WIDTH=450&amp;START_MAXIMIZED=FALSE&amp;VAR:CALENDAR=US&amp;VAR:SYMBOL=38259P50&amp;VAR:INDEX=0"}</definedName>
    <definedName name="_2472__FDSAUDITLINK__">{"fdsup://directions/FAT Viewer?action=UPDATE&amp;creator=factset&amp;DYN_ARGS=TRUE&amp;DOC_NAME=FAT:FQL_AUDITING_CLIENT_TEMPLATE.FAT&amp;display_string=Audit&amp;VAR:KEY=ANOLWHKPID&amp;VAR:QUERY=KFBfUFJJQ0UoNDAzNjQpLShGRl9DQVNIX1NUKFFUUiw0MDM2NCkvUF9DT01fU0hTX09VVCg0MDM2NCkpKS9GR","V9FU1RJTUFURSgnRVBTJywnTUVBTicsJ0FOTlVBTF9ST0xMJywnKzEnLDQwMzY0LCwsJycp&amp;WINDOW=FIRST_POPUP&amp;HEIGHT=450&amp;WIDTH=450&amp;START_MAXIMIZED=FALSE&amp;VAR:CALENDAR=US&amp;VAR:SYMBOL=38259P50&amp;VAR:INDEX=0"}</definedName>
    <definedName name="_2473__FDSAUDITLINK__">{"fdsup://directions/FAT Viewer?action=UPDATE&amp;creator=factset&amp;DYN_ARGS=TRUE&amp;DOC_NAME=FAT:FQL_AUDITING_CLIENT_TEMPLATE.FAT&amp;display_string=Audit&amp;VAR:KEY=SPQPSRYBUH&amp;VAR:QUERY=KFBfUFJJQ0UoNDAzNjMpLShGRl9DQVNIX1NUKFFUUiw0MDM2MykvUF9DT01fU0hTX09VVCg0MDM2MykpKS9GR","V9FU1RJTUFURSgnRVBTJywnTUVBTicsJ0FOTlVBTF9ST0xMJywnKzEnLDQwMzYzLCwsJycp&amp;WINDOW=FIRST_POPUP&amp;HEIGHT=450&amp;WIDTH=450&amp;START_MAXIMIZED=FALSE&amp;VAR:CALENDAR=US&amp;VAR:SYMBOL=38259P50&amp;VAR:INDEX=0"}</definedName>
    <definedName name="_2474__FDSAUDITLINK__">{"fdsup://directions/FAT Viewer?action=UPDATE&amp;creator=factset&amp;DYN_ARGS=TRUE&amp;DOC_NAME=FAT:FQL_AUDITING_CLIENT_TEMPLATE.FAT&amp;display_string=Audit&amp;VAR:KEY=SPQPSRYBUH&amp;VAR:QUERY=KFBfUFJJQ0UoNDAzNjMpLShGRl9DQVNIX1NUKFFUUiw0MDM2MykvUF9DT01fU0hTX09VVCg0MDM2MykpKS9GR","V9FU1RJTUFURSgnRVBTJywnTUVBTicsJ0FOTlVBTF9ST0xMJywnKzEnLDQwMzYzLCwsJycp&amp;WINDOW=FIRST_POPUP&amp;HEIGHT=450&amp;WIDTH=450&amp;START_MAXIMIZED=FALSE&amp;VAR:CALENDAR=US&amp;VAR:SYMBOL=38259P50&amp;VAR:INDEX=0"}</definedName>
    <definedName name="_2475__FDSAUDITLINK__">{"fdsup://directions/FAT Viewer?action=UPDATE&amp;creator=factset&amp;DYN_ARGS=TRUE&amp;DOC_NAME=FAT:FQL_AUDITING_CLIENT_TEMPLATE.FAT&amp;display_string=Audit&amp;VAR:KEY=ERAPYBWXOP&amp;VAR:QUERY=KFBfUFJJQ0UoNDAzNjIpLShGRl9DQVNIX1NUKFFUUiw0MDM2MikvUF9DT01fU0hTX09VVCg0MDM2MikpKS9GR","V9FU1RJTUFURSgnRVBTJywnTUVBTicsJ0FOTlVBTF9ST0xMJywnKzEnLDQwMzYyLCwsJycp&amp;WINDOW=FIRST_POPUP&amp;HEIGHT=450&amp;WIDTH=450&amp;START_MAXIMIZED=FALSE&amp;VAR:CALENDAR=US&amp;VAR:SYMBOL=38259P50&amp;VAR:INDEX=0"}</definedName>
    <definedName name="_2476__FDSAUDITLINK__">{"fdsup://directions/FAT Viewer?action=UPDATE&amp;creator=factset&amp;DYN_ARGS=TRUE&amp;DOC_NAME=FAT:FQL_AUDITING_CLIENT_TEMPLATE.FAT&amp;display_string=Audit&amp;VAR:KEY=ERAPYBWXOP&amp;VAR:QUERY=KFBfUFJJQ0UoNDAzNjIpLShGRl9DQVNIX1NUKFFUUiw0MDM2MikvUF9DT01fU0hTX09VVCg0MDM2MikpKS9GR","V9FU1RJTUFURSgnRVBTJywnTUVBTicsJ0FOTlVBTF9ST0xMJywnKzEnLDQwMzYyLCwsJycp&amp;WINDOW=FIRST_POPUP&amp;HEIGHT=450&amp;WIDTH=450&amp;START_MAXIMIZED=FALSE&amp;VAR:CALENDAR=US&amp;VAR:SYMBOL=38259P50&amp;VAR:INDEX=0"}</definedName>
    <definedName name="_2477__FDSAUDITLINK__">{"fdsup://directions/FAT Viewer?action=UPDATE&amp;creator=factset&amp;DYN_ARGS=TRUE&amp;DOC_NAME=FAT:FQL_AUDITING_CLIENT_TEMPLATE.FAT&amp;display_string=Audit&amp;VAR:KEY=GRWFADQPQV&amp;VAR:QUERY=KFBfUFJJQ0UoNDAzNjEpLShGRl9DQVNIX1NUKFFUUiw0MDM2MSkvUF9DT01fU0hTX09VVCg0MDM2MSkpKS9GR","V9FU1RJTUFURSgnRVBTJywnTUVBTicsJ0FOTlVBTF9ST0xMJywnKzEnLDQwMzYxLCwsJycp&amp;WINDOW=FIRST_POPUP&amp;HEIGHT=450&amp;WIDTH=450&amp;START_MAXIMIZED=FALSE&amp;VAR:CALENDAR=US&amp;VAR:SYMBOL=38259P50&amp;VAR:INDEX=0"}</definedName>
    <definedName name="_2478__FDSAUDITLINK__">{"fdsup://directions/FAT Viewer?action=UPDATE&amp;creator=factset&amp;DYN_ARGS=TRUE&amp;DOC_NAME=FAT:FQL_AUDITING_CLIENT_TEMPLATE.FAT&amp;display_string=Audit&amp;VAR:KEY=GRWFADQPQV&amp;VAR:QUERY=KFBfUFJJQ0UoNDAzNjEpLShGRl9DQVNIX1NUKFFUUiw0MDM2MSkvUF9DT01fU0hTX09VVCg0MDM2MSkpKS9GR","V9FU1RJTUFURSgnRVBTJywnTUVBTicsJ0FOTlVBTF9ST0xMJywnKzEnLDQwMzYxLCwsJycp&amp;WINDOW=FIRST_POPUP&amp;HEIGHT=450&amp;WIDTH=450&amp;START_MAXIMIZED=FALSE&amp;VAR:CALENDAR=US&amp;VAR:SYMBOL=38259P50&amp;VAR:INDEX=0"}</definedName>
    <definedName name="_2479__FDSAUDITLINK__">{"fdsup://directions/FAT Viewer?action=UPDATE&amp;creator=factset&amp;DYN_ARGS=TRUE&amp;DOC_NAME=FAT:FQL_AUDITING_CLIENT_TEMPLATE.FAT&amp;display_string=Audit&amp;VAR:KEY=UNQHKNQLAN&amp;VAR:QUERY=KFBfUFJJQ0UoNDAzNjApLShGRl9DQVNIX1NUKFFUUiw0MDM2MCkvUF9DT01fU0hTX09VVCg0MDM2MCkpKS9GR","V9FU1RJTUFURSgnRVBTJywnTUVBTicsJ0FOTlVBTF9ST0xMJywnKzEnLDQwMzYwLCwsJycp&amp;WINDOW=FIRST_POPUP&amp;HEIGHT=450&amp;WIDTH=450&amp;START_MAXIMIZED=FALSE&amp;VAR:CALENDAR=US&amp;VAR:SYMBOL=38259P50&amp;VAR:INDEX=0"}</definedName>
    <definedName name="_248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13"}</definedName>
    <definedName name="_2480__FDSAUDITLINK__">{"fdsup://directions/FAT Viewer?action=UPDATE&amp;creator=factset&amp;DYN_ARGS=TRUE&amp;DOC_NAME=FAT:FQL_AUDITING_CLIENT_TEMPLATE.FAT&amp;display_string=Audit&amp;VAR:KEY=UNQHKNQLAN&amp;VAR:QUERY=KFBfUFJJQ0UoNDAzNjApLShGRl9DQVNIX1NUKFFUUiw0MDM2MCkvUF9DT01fU0hTX09VVCg0MDM2MCkpKS9GR","V9FU1RJTUFURSgnRVBTJywnTUVBTicsJ0FOTlVBTF9ST0xMJywnKzEnLDQwMzYwLCwsJycp&amp;WINDOW=FIRST_POPUP&amp;HEIGHT=450&amp;WIDTH=450&amp;START_MAXIMIZED=FALSE&amp;VAR:CALENDAR=US&amp;VAR:SYMBOL=38259P50&amp;VAR:INDEX=0"}</definedName>
    <definedName name="_2481__FDSAUDITLINK__">{"fdsup://directions/FAT Viewer?action=UPDATE&amp;creator=factset&amp;DYN_ARGS=TRUE&amp;DOC_NAME=FAT:FQL_AUDITING_CLIENT_TEMPLATE.FAT&amp;display_string=Audit&amp;VAR:KEY=ORQLUJWLAZ&amp;VAR:QUERY=KFBfUFJJQ0UoNDAzNTkpLShGRl9DQVNIX1NUKFFUUiw0MDM1OSkvUF9DT01fU0hTX09VVCg0MDM1OSkpKS9GR","V9FU1RJTUFURSgnRVBTJywnTUVBTicsJ0FOTlVBTF9ST0xMJywnKzEnLDQwMzU5LCwsJycp&amp;WINDOW=FIRST_POPUP&amp;HEIGHT=450&amp;WIDTH=450&amp;START_MAXIMIZED=FALSE&amp;VAR:CALENDAR=US&amp;VAR:SYMBOL=38259P50&amp;VAR:INDEX=0"}</definedName>
    <definedName name="_2482__FDSAUDITLINK__">{"fdsup://directions/FAT Viewer?action=UPDATE&amp;creator=factset&amp;DYN_ARGS=TRUE&amp;DOC_NAME=FAT:FQL_AUDITING_CLIENT_TEMPLATE.FAT&amp;display_string=Audit&amp;VAR:KEY=ORQLUJWLAZ&amp;VAR:QUERY=KFBfUFJJQ0UoNDAzNTkpLShGRl9DQVNIX1NUKFFUUiw0MDM1OSkvUF9DT01fU0hTX09VVCg0MDM1OSkpKS9GR","V9FU1RJTUFURSgnRVBTJywnTUVBTicsJ0FOTlVBTF9ST0xMJywnKzEnLDQwMzU5LCwsJycp&amp;WINDOW=FIRST_POPUP&amp;HEIGHT=450&amp;WIDTH=450&amp;START_MAXIMIZED=FALSE&amp;VAR:CALENDAR=US&amp;VAR:SYMBOL=38259P50&amp;VAR:INDEX=0"}</definedName>
    <definedName name="_2483__FDSAUDITLINK__">{"fdsup://directions/FAT Viewer?action=UPDATE&amp;creator=factset&amp;DYN_ARGS=TRUE&amp;DOC_NAME=FAT:FQL_AUDITING_CLIENT_TEMPLATE.FAT&amp;display_string=Audit&amp;VAR:KEY=YZOPUZYTCJ&amp;VAR:QUERY=KFBfUFJJQ0UoNDAzNTgpLShGRl9DQVNIX1NUKFFUUiw0MDM1OCkvUF9DT01fU0hTX09VVCg0MDM1OCkpKS9GR","V9FU1RJTUFURSgnRVBTJywnTUVBTicsJ0FOTlVBTF9ST0xMJywnKzEnLDQwMzU4LCwsJycp&amp;WINDOW=FIRST_POPUP&amp;HEIGHT=450&amp;WIDTH=450&amp;START_MAXIMIZED=FALSE&amp;VAR:CALENDAR=US&amp;VAR:SYMBOL=38259P50&amp;VAR:INDEX=0"}</definedName>
    <definedName name="_2484__FDSAUDITLINK__">{"fdsup://directions/FAT Viewer?action=UPDATE&amp;creator=factset&amp;DYN_ARGS=TRUE&amp;DOC_NAME=FAT:FQL_AUDITING_CLIENT_TEMPLATE.FAT&amp;display_string=Audit&amp;VAR:KEY=YZOPUZYTCJ&amp;VAR:QUERY=KFBfUFJJQ0UoNDAzNTgpLShGRl9DQVNIX1NUKFFUUiw0MDM1OCkvUF9DT01fU0hTX09VVCg0MDM1OCkpKS9GR","V9FU1RJTUFURSgnRVBTJywnTUVBTicsJ0FOTlVBTF9ST0xMJywnKzEnLDQwMzU4LCwsJycp&amp;WINDOW=FIRST_POPUP&amp;HEIGHT=450&amp;WIDTH=450&amp;START_MAXIMIZED=FALSE&amp;VAR:CALENDAR=US&amp;VAR:SYMBOL=38259P50&amp;VAR:INDEX=0"}</definedName>
    <definedName name="_2485__FDSAUDITLINK__">{"fdsup://directions/FAT Viewer?action=UPDATE&amp;creator=factset&amp;DYN_ARGS=TRUE&amp;DOC_NAME=FAT:FQL_AUDITING_CLIENT_TEMPLATE.FAT&amp;display_string=Audit&amp;VAR:KEY=IXQBCDURQH&amp;VAR:QUERY=KFBfUFJJQ0UoNDAzNTcpLShGRl9DQVNIX1NUKFFUUiw0MDM1NykvUF9DT01fU0hTX09VVCg0MDM1NykpKS9GR","V9FU1RJTUFURSgnRVBTJywnTUVBTicsJ0FOTlVBTF9ST0xMJywnKzEnLDQwMzU3LCwsJycp&amp;WINDOW=FIRST_POPUP&amp;HEIGHT=450&amp;WIDTH=450&amp;START_MAXIMIZED=FALSE&amp;VAR:CALENDAR=US&amp;VAR:SYMBOL=38259P50&amp;VAR:INDEX=0"}</definedName>
    <definedName name="_2486__FDSAUDITLINK__">{"fdsup://directions/FAT Viewer?action=UPDATE&amp;creator=factset&amp;DYN_ARGS=TRUE&amp;DOC_NAME=FAT:FQL_AUDITING_CLIENT_TEMPLATE.FAT&amp;display_string=Audit&amp;VAR:KEY=IXQBCDURQH&amp;VAR:QUERY=KFBfUFJJQ0UoNDAzNTcpLShGRl9DQVNIX1NUKFFUUiw0MDM1NykvUF9DT01fU0hTX09VVCg0MDM1NykpKS9GR","V9FU1RJTUFURSgnRVBTJywnTUVBTicsJ0FOTlVBTF9ST0xMJywnKzEnLDQwMzU3LCwsJycp&amp;WINDOW=FIRST_POPUP&amp;HEIGHT=450&amp;WIDTH=450&amp;START_MAXIMIZED=FALSE&amp;VAR:CALENDAR=US&amp;VAR:SYMBOL=38259P50&amp;VAR:INDEX=0"}</definedName>
    <definedName name="_2487__FDSAUDITLINK__">{"fdsup://directions/FAT Viewer?action=UPDATE&amp;creator=factset&amp;DYN_ARGS=TRUE&amp;DOC_NAME=FAT:FQL_AUDITING_CLIENT_TEMPLATE.FAT&amp;display_string=Audit&amp;VAR:KEY=UVOFYFWTCT&amp;VAR:QUERY=KFBfUFJJQ0UoNDAzNTYpLShGRl9DQVNIX1NUKFFUUiw0MDM1NikvUF9DT01fU0hTX09VVCg0MDM1NikpKS9GR","V9FU1RJTUFURSgnRVBTJywnTUVBTicsJ0FOTlVBTF9ST0xMJywnKzEnLDQwMzU2LCwsJycp&amp;WINDOW=FIRST_POPUP&amp;HEIGHT=450&amp;WIDTH=450&amp;START_MAXIMIZED=FALSE&amp;VAR:CALENDAR=US&amp;VAR:SYMBOL=38259P50&amp;VAR:INDEX=0"}</definedName>
    <definedName name="_2488__FDSAUDITLINK__">{"fdsup://directions/FAT Viewer?action=UPDATE&amp;creator=factset&amp;DYN_ARGS=TRUE&amp;DOC_NAME=FAT:FQL_AUDITING_CLIENT_TEMPLATE.FAT&amp;display_string=Audit&amp;VAR:KEY=UVOFYFWTCT&amp;VAR:QUERY=KFBfUFJJQ0UoNDAzNTYpLShGRl9DQVNIX1NUKFFUUiw0MDM1NikvUF9DT01fU0hTX09VVCg0MDM1NikpKS9GR","V9FU1RJTUFURSgnRVBTJywnTUVBTicsJ0FOTlVBTF9ST0xMJywnKzEnLDQwMzU2LCwsJycp&amp;WINDOW=FIRST_POPUP&amp;HEIGHT=450&amp;WIDTH=450&amp;START_MAXIMIZED=FALSE&amp;VAR:CALENDAR=US&amp;VAR:SYMBOL=38259P50&amp;VAR:INDEX=0"}</definedName>
    <definedName name="_2489__FDSAUDITLINK__">{"fdsup://directions/FAT Viewer?action=UPDATE&amp;creator=factset&amp;DYN_ARGS=TRUE&amp;DOC_NAME=FAT:FQL_AUDITING_CLIENT_TEMPLATE.FAT&amp;display_string=Audit&amp;VAR:KEY=WJQPGNKRWJ&amp;VAR:QUERY=KFBfUFJJQ0UoNDAzNTUpLShGRl9DQVNIX1NUKFFUUiw0MDM1NSkvUF9DT01fU0hTX09VVCg0MDM1NSkpKS9GR","V9FU1RJTUFURSgnRVBTJywnTUVBTicsJ0FOTlVBTF9ST0xMJywnKzEnLDQwMzU1LCwsJycp&amp;WINDOW=FIRST_POPUP&amp;HEIGHT=450&amp;WIDTH=450&amp;START_MAXIMIZED=FALSE&amp;VAR:CALENDAR=US&amp;VAR:SYMBOL=38259P50&amp;VAR:INDEX=0"}</definedName>
    <definedName name="_249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12"}</definedName>
    <definedName name="_2490__FDSAUDITLINK__">{"fdsup://directions/FAT Viewer?action=UPDATE&amp;creator=factset&amp;DYN_ARGS=TRUE&amp;DOC_NAME=FAT:FQL_AUDITING_CLIENT_TEMPLATE.FAT&amp;display_string=Audit&amp;VAR:KEY=WJQPGNKRWJ&amp;VAR:QUERY=KFBfUFJJQ0UoNDAzNTUpLShGRl9DQVNIX1NUKFFUUiw0MDM1NSkvUF9DT01fU0hTX09VVCg0MDM1NSkpKS9GR","V9FU1RJTUFURSgnRVBTJywnTUVBTicsJ0FOTlVBTF9ST0xMJywnKzEnLDQwMzU1LCwsJycp&amp;WINDOW=FIRST_POPUP&amp;HEIGHT=450&amp;WIDTH=450&amp;START_MAXIMIZED=FALSE&amp;VAR:CALENDAR=US&amp;VAR:SYMBOL=38259P50&amp;VAR:INDEX=0"}</definedName>
    <definedName name="_2491__FDSAUDITLINK__">{"fdsup://directions/FAT Viewer?action=UPDATE&amp;creator=factset&amp;DYN_ARGS=TRUE&amp;DOC_NAME=FAT:FQL_AUDITING_CLIENT_TEMPLATE.FAT&amp;display_string=Audit&amp;VAR:KEY=ADAFOVSRMJ&amp;VAR:QUERY=KFBfUFJJQ0UoNDAzNTQpLShGRl9DQVNIX1NUKFFUUiw0MDM1NCkvUF9DT01fU0hTX09VVCg0MDM1NCkpKS9GR","V9FU1RJTUFURSgnRVBTJywnTUVBTicsJ0FOTlVBTF9ST0xMJywnKzEnLDQwMzU0LCwsJycp&amp;WINDOW=FIRST_POPUP&amp;HEIGHT=450&amp;WIDTH=450&amp;START_MAXIMIZED=FALSE&amp;VAR:CALENDAR=US&amp;VAR:SYMBOL=38259P50&amp;VAR:INDEX=0"}</definedName>
    <definedName name="_2492__FDSAUDITLINK__">{"fdsup://directions/FAT Viewer?action=UPDATE&amp;creator=factset&amp;DYN_ARGS=TRUE&amp;DOC_NAME=FAT:FQL_AUDITING_CLIENT_TEMPLATE.FAT&amp;display_string=Audit&amp;VAR:KEY=ADAFOVSRMJ&amp;VAR:QUERY=KFBfUFJJQ0UoNDAzNTQpLShGRl9DQVNIX1NUKFFUUiw0MDM1NCkvUF9DT01fU0hTX09VVCg0MDM1NCkpKS9GR","V9FU1RJTUFURSgnRVBTJywnTUVBTicsJ0FOTlVBTF9ST0xMJywnKzEnLDQwMzU0LCwsJycp&amp;WINDOW=FIRST_POPUP&amp;HEIGHT=450&amp;WIDTH=450&amp;START_MAXIMIZED=FALSE&amp;VAR:CALENDAR=US&amp;VAR:SYMBOL=38259P50&amp;VAR:INDEX=0"}</definedName>
    <definedName name="_2493__FDSAUDITLINK__">{"fdsup://directions/FAT Viewer?action=UPDATE&amp;creator=factset&amp;DYN_ARGS=TRUE&amp;DOC_NAME=FAT:FQL_AUDITING_CLIENT_TEMPLATE.FAT&amp;display_string=Audit&amp;VAR:KEY=IBWDAVAFGR&amp;VAR:QUERY=KFBfUFJJQ0UoNDAzNTMpLShGRl9DQVNIX1NUKFFUUiw0MDM1MykvUF9DT01fU0hTX09VVCg0MDM1MykpKS9GR","V9FU1RJTUFURSgnRVBTJywnTUVBTicsJ0FOTlVBTF9ST0xMJywnKzEnLDQwMzUzLCwsJycp&amp;WINDOW=FIRST_POPUP&amp;HEIGHT=450&amp;WIDTH=450&amp;START_MAXIMIZED=FALSE&amp;VAR:CALENDAR=US&amp;VAR:SYMBOL=38259P50&amp;VAR:INDEX=0"}</definedName>
    <definedName name="_2494__FDSAUDITLINK__">{"fdsup://directions/FAT Viewer?action=UPDATE&amp;creator=factset&amp;DYN_ARGS=TRUE&amp;DOC_NAME=FAT:FQL_AUDITING_CLIENT_TEMPLATE.FAT&amp;display_string=Audit&amp;VAR:KEY=IBWDAVAFGR&amp;VAR:QUERY=KFBfUFJJQ0UoNDAzNTMpLShGRl9DQVNIX1NUKFFUUiw0MDM1MykvUF9DT01fU0hTX09VVCg0MDM1MykpKS9GR","V9FU1RJTUFURSgnRVBTJywnTUVBTicsJ0FOTlVBTF9ST0xMJywnKzEnLDQwMzUzLCwsJycp&amp;WINDOW=FIRST_POPUP&amp;HEIGHT=450&amp;WIDTH=450&amp;START_MAXIMIZED=FALSE&amp;VAR:CALENDAR=US&amp;VAR:SYMBOL=38259P50&amp;VAR:INDEX=0"}</definedName>
    <definedName name="_2495__FDSAUDITLINK__">{"fdsup://directions/FAT Viewer?action=UPDATE&amp;creator=factset&amp;DYN_ARGS=TRUE&amp;DOC_NAME=FAT:FQL_AUDITING_CLIENT_TEMPLATE.FAT&amp;display_string=Audit&amp;VAR:KEY=KVSDOBAFYX&amp;VAR:QUERY=KFBfUFJJQ0UoNDAzNTIpLShGRl9DQVNIX1NUKFFUUiw0MDM1MikvUF9DT01fU0hTX09VVCg0MDM1MikpKS9GR","V9FU1RJTUFURSgnRVBTJywnTUVBTicsJ0FOTlVBTF9ST0xMJywnKzEnLDQwMzUyLCwsJycp&amp;WINDOW=FIRST_POPUP&amp;HEIGHT=450&amp;WIDTH=450&amp;START_MAXIMIZED=FALSE&amp;VAR:CALENDAR=US&amp;VAR:SYMBOL=38259P50&amp;VAR:INDEX=0"}</definedName>
    <definedName name="_2496__FDSAUDITLINK__">{"fdsup://directions/FAT Viewer?action=UPDATE&amp;creator=factset&amp;DYN_ARGS=TRUE&amp;DOC_NAME=FAT:FQL_AUDITING_CLIENT_TEMPLATE.FAT&amp;display_string=Audit&amp;VAR:KEY=KVSDOBAFYX&amp;VAR:QUERY=KFBfUFJJQ0UoNDAzNTIpLShGRl9DQVNIX1NUKFFUUiw0MDM1MikvUF9DT01fU0hTX09VVCg0MDM1MikpKS9GR","V9FU1RJTUFURSgnRVBTJywnTUVBTicsJ0FOTlVBTF9ST0xMJywnKzEnLDQwMzUyLCwsJycp&amp;WINDOW=FIRST_POPUP&amp;HEIGHT=450&amp;WIDTH=450&amp;START_MAXIMIZED=FALSE&amp;VAR:CALENDAR=US&amp;VAR:SYMBOL=38259P50&amp;VAR:INDEX=0"}</definedName>
    <definedName name="_2497__FDSAUDITLINK__">{"fdsup://directions/FAT Viewer?action=UPDATE&amp;creator=factset&amp;DYN_ARGS=TRUE&amp;DOC_NAME=FAT:FQL_AUDITING_CLIENT_TEMPLATE.FAT&amp;display_string=Audit&amp;VAR:KEY=GFWBMNAXER&amp;VAR:QUERY=KFBfUFJJQ0UoNDAzNTEpLShGRl9DQVNIX1NUKFFUUiw0MDM1MSkvUF9DT01fU0hTX09VVCg0MDM1MSkpKS9GR","V9FU1RJTUFURSgnRVBTJywnTUVBTicsJ0FOTlVBTF9ST0xMJywnKzEnLDQwMzUxLCwsJycp&amp;WINDOW=FIRST_POPUP&amp;HEIGHT=450&amp;WIDTH=450&amp;START_MAXIMIZED=FALSE&amp;VAR:CALENDAR=US&amp;VAR:SYMBOL=38259P50&amp;VAR:INDEX=0"}</definedName>
    <definedName name="_2498__FDSAUDITLINK__">{"fdsup://directions/FAT Viewer?action=UPDATE&amp;creator=factset&amp;DYN_ARGS=TRUE&amp;DOC_NAME=FAT:FQL_AUDITING_CLIENT_TEMPLATE.FAT&amp;display_string=Audit&amp;VAR:KEY=GFWBMNAXER&amp;VAR:QUERY=KFBfUFJJQ0UoNDAzNTEpLShGRl9DQVNIX1NUKFFUUiw0MDM1MSkvUF9DT01fU0hTX09VVCg0MDM1MSkpKS9GR","V9FU1RJTUFURSgnRVBTJywnTUVBTicsJ0FOTlVBTF9ST0xMJywnKzEnLDQwMzUxLCwsJycp&amp;WINDOW=FIRST_POPUP&amp;HEIGHT=450&amp;WIDTH=450&amp;START_MAXIMIZED=FALSE&amp;VAR:CALENDAR=US&amp;VAR:SYMBOL=38259P50&amp;VAR:INDEX=0"}</definedName>
    <definedName name="_2499__FDSAUDITLINK__">{"fdsup://directions/FAT Viewer?action=UPDATE&amp;creator=factset&amp;DYN_ARGS=TRUE&amp;DOC_NAME=FAT:FQL_AUDITING_CLIENT_TEMPLATE.FAT&amp;display_string=Audit&amp;VAR:KEY=SJSZQPMXCV&amp;VAR:QUERY=KFBfUFJJQ0UoNDAzNTApLShGRl9DQVNIX1NUKFFUUiw0MDM1MCkvUF9DT01fU0hTX09VVCg0MDM1MCkpKS9GR","V9FU1RJTUFURSgnRVBTJywnTUVBTicsJ0FOTlVBTF9ST0xMJywnKzEnLDQwMzUwLCwsJycp&amp;WINDOW=FIRST_POPUP&amp;HEIGHT=450&amp;WIDTH=450&amp;START_MAXIMIZED=FALSE&amp;VAR:CALENDAR=US&amp;VAR:SYMBOL=38259P50&amp;VAR:INDEX=0"}</definedName>
    <definedName name="_2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15.421288&amp;VAR:V0=16.159109&amp;VAR:V1=14.737236&amp;VAR:Y0=2005&amp;VAR:Y1=2006&amp;VAR:P=1191.327600&amp;VAR:DATE=20050630&amp;VAR:THRESH=-|-|","-|-|-|-|-"}</definedName>
    <definedName name="_250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11"}</definedName>
    <definedName name="_2500__FDSAUDITLINK__">{"fdsup://directions/FAT Viewer?action=UPDATE&amp;creator=factset&amp;DYN_ARGS=TRUE&amp;DOC_NAME=FAT:FQL_AUDITING_CLIENT_TEMPLATE.FAT&amp;display_string=Audit&amp;VAR:KEY=SJSZQPMXCV&amp;VAR:QUERY=KFBfUFJJQ0UoNDAzNTApLShGRl9DQVNIX1NUKFFUUiw0MDM1MCkvUF9DT01fU0hTX09VVCg0MDM1MCkpKS9GR","V9FU1RJTUFURSgnRVBTJywnTUVBTicsJ0FOTlVBTF9ST0xMJywnKzEnLDQwMzUwLCwsJycp&amp;WINDOW=FIRST_POPUP&amp;HEIGHT=450&amp;WIDTH=450&amp;START_MAXIMIZED=FALSE&amp;VAR:CALENDAR=US&amp;VAR:SYMBOL=38259P50&amp;VAR:INDEX=0"}</definedName>
    <definedName name="_2501__FDSAUDITLINK__">{"fdsup://directions/FAT Viewer?action=UPDATE&amp;creator=factset&amp;DYN_ARGS=TRUE&amp;DOC_NAME=FAT:FQL_AUDITING_CLIENT_TEMPLATE.FAT&amp;display_string=Audit&amp;VAR:KEY=CXCLWFYZUT&amp;VAR:QUERY=KFBfUFJJQ0UoNDAzNDkpLShGRl9DQVNIX1NUKFFUUiw0MDM0OSkvUF9DT01fU0hTX09VVCg0MDM0OSkpKS9GR","V9FU1RJTUFURSgnRVBTJywnTUVBTicsJ0FOTlVBTF9ST0xMJywnKzEnLDQwMzQ5LCwsJycp&amp;WINDOW=FIRST_POPUP&amp;HEIGHT=450&amp;WIDTH=450&amp;START_MAXIMIZED=FALSE&amp;VAR:CALENDAR=US&amp;VAR:SYMBOL=38259P50&amp;VAR:INDEX=0"}</definedName>
    <definedName name="_2502__FDSAUDITLINK__">{"fdsup://directions/FAT Viewer?action=UPDATE&amp;creator=factset&amp;DYN_ARGS=TRUE&amp;DOC_NAME=FAT:FQL_AUDITING_CLIENT_TEMPLATE.FAT&amp;display_string=Audit&amp;VAR:KEY=CXCLWFYZUT&amp;VAR:QUERY=KFBfUFJJQ0UoNDAzNDkpLShGRl9DQVNIX1NUKFFUUiw0MDM0OSkvUF9DT01fU0hTX09VVCg0MDM0OSkpKS9GR","V9FU1RJTUFURSgnRVBTJywnTUVBTicsJ0FOTlVBTF9ST0xMJywnKzEnLDQwMzQ5LCwsJycp&amp;WINDOW=FIRST_POPUP&amp;HEIGHT=450&amp;WIDTH=450&amp;START_MAXIMIZED=FALSE&amp;VAR:CALENDAR=US&amp;VAR:SYMBOL=38259P50&amp;VAR:INDEX=0"}</definedName>
    <definedName name="_2503__FDSAUDITLINK__">{"fdsup://directions/FAT Viewer?action=UPDATE&amp;creator=factset&amp;DYN_ARGS=TRUE&amp;DOC_NAME=FAT:FQL_AUDITING_CLIENT_TEMPLATE.FAT&amp;display_string=Audit&amp;VAR:KEY=CBKPCDGNQZ&amp;VAR:QUERY=KFBfUFJJQ0UoNDAzNDgpLShGRl9DQVNIX1NUKFFUUiw0MDM0OCkvUF9DT01fU0hTX09VVCg0MDM0OCkpKS9GR","V9FU1RJTUFURSgnRVBTJywnTUVBTicsJ0FOTlVBTF9ST0xMJywnKzEnLDQwMzQ4LCwsJycp&amp;WINDOW=FIRST_POPUP&amp;HEIGHT=450&amp;WIDTH=450&amp;START_MAXIMIZED=FALSE&amp;VAR:CALENDAR=US&amp;VAR:SYMBOL=38259P50&amp;VAR:INDEX=0"}</definedName>
    <definedName name="_2504__FDSAUDITLINK__">{"fdsup://directions/FAT Viewer?action=UPDATE&amp;creator=factset&amp;DYN_ARGS=TRUE&amp;DOC_NAME=FAT:FQL_AUDITING_CLIENT_TEMPLATE.FAT&amp;display_string=Audit&amp;VAR:KEY=CBKPCDGNQZ&amp;VAR:QUERY=KFBfUFJJQ0UoNDAzNDgpLShGRl9DQVNIX1NUKFFUUiw0MDM0OCkvUF9DT01fU0hTX09VVCg0MDM0OCkpKS9GR","V9FU1RJTUFURSgnRVBTJywnTUVBTicsJ0FOTlVBTF9ST0xMJywnKzEnLDQwMzQ4LCwsJycp&amp;WINDOW=FIRST_POPUP&amp;HEIGHT=450&amp;WIDTH=450&amp;START_MAXIMIZED=FALSE&amp;VAR:CALENDAR=US&amp;VAR:SYMBOL=38259P50&amp;VAR:INDEX=0"}</definedName>
    <definedName name="_2505__FDSAUDITLINK__">{"fdsup://directions/FAT Viewer?action=UPDATE&amp;creator=factset&amp;DYN_ARGS=TRUE&amp;DOC_NAME=FAT:FQL_AUDITING_CLIENT_TEMPLATE.FAT&amp;display_string=Audit&amp;VAR:KEY=QZANSPEPET&amp;VAR:QUERY=KFBfUFJJQ0UoNDAzNDcpLShGRl9DQVNIX1NUKFFUUiw0MDM0NykvUF9DT01fU0hTX09VVCg0MDM0NykpKS9GR","V9FU1RJTUFURSgnRVBTJywnTUVBTicsJ0FOTlVBTF9ST0xMJywnKzEnLDQwMzQ3LCwsJycp&amp;WINDOW=FIRST_POPUP&amp;HEIGHT=450&amp;WIDTH=450&amp;START_MAXIMIZED=FALSE&amp;VAR:CALENDAR=US&amp;VAR:SYMBOL=38259P50&amp;VAR:INDEX=0"}</definedName>
    <definedName name="_2506__FDSAUDITLINK__">{"fdsup://directions/FAT Viewer?action=UPDATE&amp;creator=factset&amp;DYN_ARGS=TRUE&amp;DOC_NAME=FAT:FQL_AUDITING_CLIENT_TEMPLATE.FAT&amp;display_string=Audit&amp;VAR:KEY=QZANSPEPET&amp;VAR:QUERY=KFBfUFJJQ0UoNDAzNDcpLShGRl9DQVNIX1NUKFFUUiw0MDM0NykvUF9DT01fU0hTX09VVCg0MDM0NykpKS9GR","V9FU1RJTUFURSgnRVBTJywnTUVBTicsJ0FOTlVBTF9ST0xMJywnKzEnLDQwMzQ3LCwsJycp&amp;WINDOW=FIRST_POPUP&amp;HEIGHT=450&amp;WIDTH=450&amp;START_MAXIMIZED=FALSE&amp;VAR:CALENDAR=US&amp;VAR:SYMBOL=38259P50&amp;VAR:INDEX=0"}</definedName>
    <definedName name="_2507__FDSAUDITLINK__">{"fdsup://directions/FAT Viewer?action=UPDATE&amp;creator=factset&amp;DYN_ARGS=TRUE&amp;DOC_NAME=FAT:FQL_AUDITING_CLIENT_TEMPLATE.FAT&amp;display_string=Audit&amp;VAR:KEY=QLQRATUNYL&amp;VAR:QUERY=KFBfUFJJQ0UoNDAzNDYpLShGRl9DQVNIX1NUKFFUUiw0MDM0NikvUF9DT01fU0hTX09VVCg0MDM0NikpKS9GR","V9FU1RJTUFURSgnRVBTJywnTUVBTicsJ0FOTlVBTF9ST0xMJywnKzEnLDQwMzQ2LCwsJycp&amp;WINDOW=FIRST_POPUP&amp;HEIGHT=450&amp;WIDTH=450&amp;START_MAXIMIZED=FALSE&amp;VAR:CALENDAR=US&amp;VAR:SYMBOL=38259P50&amp;VAR:INDEX=0"}</definedName>
    <definedName name="_2508__FDSAUDITLINK__">{"fdsup://directions/FAT Viewer?action=UPDATE&amp;creator=factset&amp;DYN_ARGS=TRUE&amp;DOC_NAME=FAT:FQL_AUDITING_CLIENT_TEMPLATE.FAT&amp;display_string=Audit&amp;VAR:KEY=QLQRATUNYL&amp;VAR:QUERY=KFBfUFJJQ0UoNDAzNDYpLShGRl9DQVNIX1NUKFFUUiw0MDM0NikvUF9DT01fU0hTX09VVCg0MDM0NikpKS9GR","V9FU1RJTUFURSgnRVBTJywnTUVBTicsJ0FOTlVBTF9ST0xMJywnKzEnLDQwMzQ2LCwsJycp&amp;WINDOW=FIRST_POPUP&amp;HEIGHT=450&amp;WIDTH=450&amp;START_MAXIMIZED=FALSE&amp;VAR:CALENDAR=US&amp;VAR:SYMBOL=38259P50&amp;VAR:INDEX=0"}</definedName>
    <definedName name="_2509__FDSAUDITLINK__">{"fdsup://directions/FAT Viewer?action=UPDATE&amp;creator=factset&amp;DYN_ARGS=TRUE&amp;DOC_NAME=FAT:FQL_AUDITING_CLIENT_TEMPLATE.FAT&amp;display_string=Audit&amp;VAR:KEY=MXGLWNIHYR&amp;VAR:QUERY=KFBfUFJJQ0UoNDAzNDUpLShGRl9DQVNIX1NUKFFUUiw0MDM0NSkvUF9DT01fU0hTX09VVCg0MDM0NSkpKS9GR","V9FU1RJTUFURSgnRVBTJywnTUVBTicsJ0FOTlVBTF9ST0xMJywnKzEnLDQwMzQ1LCwsJycp&amp;WINDOW=FIRST_POPUP&amp;HEIGHT=450&amp;WIDTH=450&amp;START_MAXIMIZED=FALSE&amp;VAR:CALENDAR=US&amp;VAR:SYMBOL=38259P50&amp;VAR:INDEX=0"}</definedName>
    <definedName name="_251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10"}</definedName>
    <definedName name="_2510__FDSAUDITLINK__">{"fdsup://directions/FAT Viewer?action=UPDATE&amp;creator=factset&amp;DYN_ARGS=TRUE&amp;DOC_NAME=FAT:FQL_AUDITING_CLIENT_TEMPLATE.FAT&amp;display_string=Audit&amp;VAR:KEY=MXGLWNIHYR&amp;VAR:QUERY=KFBfUFJJQ0UoNDAzNDUpLShGRl9DQVNIX1NUKFFUUiw0MDM0NSkvUF9DT01fU0hTX09VVCg0MDM0NSkpKS9GR","V9FU1RJTUFURSgnRVBTJywnTUVBTicsJ0FOTlVBTF9ST0xMJywnKzEnLDQwMzQ1LCwsJycp&amp;WINDOW=FIRST_POPUP&amp;HEIGHT=450&amp;WIDTH=450&amp;START_MAXIMIZED=FALSE&amp;VAR:CALENDAR=US&amp;VAR:SYMBOL=38259P50&amp;VAR:INDEX=0"}</definedName>
    <definedName name="_2511__FDSAUDITLINK__">{"fdsup://directions/FAT Viewer?action=UPDATE&amp;creator=factset&amp;DYN_ARGS=TRUE&amp;DOC_NAME=FAT:FQL_AUDITING_CLIENT_TEMPLATE.FAT&amp;display_string=Audit&amp;VAR:KEY=WDYHQTCXIT&amp;VAR:QUERY=KFBfUFJJQ0UoNDAzNDQpLShGRl9DQVNIX1NUKFFUUiw0MDM0NCkvUF9DT01fU0hTX09VVCg0MDM0NCkpKS9GR","V9FU1RJTUFURSgnRVBTJywnTUVBTicsJ0FOTlVBTF9ST0xMJywnKzEnLDQwMzQ0LCwsJycp&amp;WINDOW=FIRST_POPUP&amp;HEIGHT=450&amp;WIDTH=450&amp;START_MAXIMIZED=FALSE&amp;VAR:CALENDAR=US&amp;VAR:SYMBOL=38259P50&amp;VAR:INDEX=0"}</definedName>
    <definedName name="_2512__FDSAUDITLINK__">{"fdsup://directions/FAT Viewer?action=UPDATE&amp;creator=factset&amp;DYN_ARGS=TRUE&amp;DOC_NAME=FAT:FQL_AUDITING_CLIENT_TEMPLATE.FAT&amp;display_string=Audit&amp;VAR:KEY=WDYHQTCXIT&amp;VAR:QUERY=KFBfUFJJQ0UoNDAzNDQpLShGRl9DQVNIX1NUKFFUUiw0MDM0NCkvUF9DT01fU0hTX09VVCg0MDM0NCkpKS9GR","V9FU1RJTUFURSgnRVBTJywnTUVBTicsJ0FOTlVBTF9ST0xMJywnKzEnLDQwMzQ0LCwsJycp&amp;WINDOW=FIRST_POPUP&amp;HEIGHT=450&amp;WIDTH=450&amp;START_MAXIMIZED=FALSE&amp;VAR:CALENDAR=US&amp;VAR:SYMBOL=38259P50&amp;VAR:INDEX=0"}</definedName>
    <definedName name="_2513__FDSAUDITLINK__">{"fdsup://directions/FAT Viewer?action=UPDATE&amp;creator=factset&amp;DYN_ARGS=TRUE&amp;DOC_NAME=FAT:FQL_AUDITING_CLIENT_TEMPLATE.FAT&amp;display_string=Audit&amp;VAR:KEY=WRYLYXETED&amp;VAR:QUERY=KFBfUFJJQ0UoNDAzNDMpLShGRl9DQVNIX1NUKFFUUiw0MDM0MykvUF9DT01fU0hTX09VVCg0MDM0MykpKS9GR","V9FU1RJTUFURSgnRVBTJywnTUVBTicsJ0FOTlVBTF9ST0xMJywnKzEnLDQwMzQzLCwsJycp&amp;WINDOW=FIRST_POPUP&amp;HEIGHT=450&amp;WIDTH=450&amp;START_MAXIMIZED=FALSE&amp;VAR:CALENDAR=US&amp;VAR:SYMBOL=38259P50&amp;VAR:INDEX=0"}</definedName>
    <definedName name="_2514__FDSAUDITLINK__">{"fdsup://directions/FAT Viewer?action=UPDATE&amp;creator=factset&amp;DYN_ARGS=TRUE&amp;DOC_NAME=FAT:FQL_AUDITING_CLIENT_TEMPLATE.FAT&amp;display_string=Audit&amp;VAR:KEY=WRYLYXETED&amp;VAR:QUERY=KFBfUFJJQ0UoNDAzNDMpLShGRl9DQVNIX1NUKFFUUiw0MDM0MykvUF9DT01fU0hTX09VVCg0MDM0MykpKS9GR","V9FU1RJTUFURSgnRVBTJywnTUVBTicsJ0FOTlVBTF9ST0xMJywnKzEnLDQwMzQzLCwsJycp&amp;WINDOW=FIRST_POPUP&amp;HEIGHT=450&amp;WIDTH=450&amp;START_MAXIMIZED=FALSE&amp;VAR:CALENDAR=US&amp;VAR:SYMBOL=38259P50&amp;VAR:INDEX=0"}</definedName>
    <definedName name="_2515__FDSAUDITLINK__">{"fdsup://directions/FAT Viewer?action=UPDATE&amp;creator=factset&amp;DYN_ARGS=TRUE&amp;DOC_NAME=FAT:FQL_AUDITING_CLIENT_TEMPLATE.FAT&amp;display_string=Audit&amp;VAR:KEY=CVKTSNKVKV&amp;VAR:QUERY=KFBfUFJJQ0UoNDAzNDIpLShGRl9DQVNIX1NUKFFUUiw0MDM0MikvUF9DT01fU0hTX09VVCg0MDM0MikpKS9GR","V9FU1RJTUFURSgnRVBTJywnTUVBTicsJ0FOTlVBTF9ST0xMJywnKzEnLDQwMzQyLCwsJycp&amp;WINDOW=FIRST_POPUP&amp;HEIGHT=450&amp;WIDTH=450&amp;START_MAXIMIZED=FALSE&amp;VAR:CALENDAR=US&amp;VAR:SYMBOL=38259P50&amp;VAR:INDEX=0"}</definedName>
    <definedName name="_2516__FDSAUDITLINK__">{"fdsup://directions/FAT Viewer?action=UPDATE&amp;creator=factset&amp;DYN_ARGS=TRUE&amp;DOC_NAME=FAT:FQL_AUDITING_CLIENT_TEMPLATE.FAT&amp;display_string=Audit&amp;VAR:KEY=CVKTSNKVKV&amp;VAR:QUERY=KFBfUFJJQ0UoNDAzNDIpLShGRl9DQVNIX1NUKFFUUiw0MDM0MikvUF9DT01fU0hTX09VVCg0MDM0MikpKS9GR","V9FU1RJTUFURSgnRVBTJywnTUVBTicsJ0FOTlVBTF9ST0xMJywnKzEnLDQwMzQyLCwsJycp&amp;WINDOW=FIRST_POPUP&amp;HEIGHT=450&amp;WIDTH=450&amp;START_MAXIMIZED=FALSE&amp;VAR:CALENDAR=US&amp;VAR:SYMBOL=38259P50&amp;VAR:INDEX=0"}</definedName>
    <definedName name="_2517__FDSAUDITLINK__">{"fdsup://directions/FAT Viewer?action=UPDATE&amp;creator=factset&amp;DYN_ARGS=TRUE&amp;DOC_NAME=FAT:FQL_AUDITING_CLIENT_TEMPLATE.FAT&amp;display_string=Audit&amp;VAR:KEY=KXODWFAZUR&amp;VAR:QUERY=KFBfUFJJQ0UoNDAzNDEpLShGRl9DQVNIX1NUKFFUUiw0MDM0MSkvUF9DT01fU0hTX09VVCg0MDM0MSkpKS9GR","V9FU1RJTUFURSgnRVBTJywnTUVBTicsJ0FOTlVBTF9ST0xMJywnKzEnLDQwMzQxLCwsJycp&amp;WINDOW=FIRST_POPUP&amp;HEIGHT=450&amp;WIDTH=450&amp;START_MAXIMIZED=FALSE&amp;VAR:CALENDAR=US&amp;VAR:SYMBOL=38259P50&amp;VAR:INDEX=0"}</definedName>
    <definedName name="_2518__FDSAUDITLINK__">{"fdsup://directions/FAT Viewer?action=UPDATE&amp;creator=factset&amp;DYN_ARGS=TRUE&amp;DOC_NAME=FAT:FQL_AUDITING_CLIENT_TEMPLATE.FAT&amp;display_string=Audit&amp;VAR:KEY=KXODWFAZUR&amp;VAR:QUERY=KFBfUFJJQ0UoNDAzNDEpLShGRl9DQVNIX1NUKFFUUiw0MDM0MSkvUF9DT01fU0hTX09VVCg0MDM0MSkpKS9GR","V9FU1RJTUFURSgnRVBTJywnTUVBTicsJ0FOTlVBTF9ST0xMJywnKzEnLDQwMzQxLCwsJycp&amp;WINDOW=FIRST_POPUP&amp;HEIGHT=450&amp;WIDTH=450&amp;START_MAXIMIZED=FALSE&amp;VAR:CALENDAR=US&amp;VAR:SYMBOL=38259P50&amp;VAR:INDEX=0"}</definedName>
    <definedName name="_2519__FDSAUDITLINK__">{"fdsup://directions/FAT Viewer?action=UPDATE&amp;creator=factset&amp;DYN_ARGS=TRUE&amp;DOC_NAME=FAT:FQL_AUDITING_CLIENT_TEMPLATE.FAT&amp;display_string=Audit&amp;VAR:KEY=YTQZCFERQP&amp;VAR:QUERY=KFBfUFJJQ0UoNDAzNDApLShGRl9DQVNIX1NUKFFUUiw0MDM0MCkvUF9DT01fU0hTX09VVCg0MDM0MCkpKS9GR","V9FU1RJTUFURSgnRVBTJywnTUVBTicsJ0FOTlVBTF9ST0xMJywnKzEnLDQwMzQwLCwsJycp&amp;WINDOW=FIRST_POPUP&amp;HEIGHT=450&amp;WIDTH=450&amp;START_MAXIMIZED=FALSE&amp;VAR:CALENDAR=US&amp;VAR:SYMBOL=38259P50&amp;VAR:INDEX=0"}</definedName>
    <definedName name="_252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9"}</definedName>
    <definedName name="_2520__FDSAUDITLINK__">{"fdsup://directions/FAT Viewer?action=UPDATE&amp;creator=factset&amp;DYN_ARGS=TRUE&amp;DOC_NAME=FAT:FQL_AUDITING_CLIENT_TEMPLATE.FAT&amp;display_string=Audit&amp;VAR:KEY=YTQZCFERQP&amp;VAR:QUERY=KFBfUFJJQ0UoNDAzNDApLShGRl9DQVNIX1NUKFFUUiw0MDM0MCkvUF9DT01fU0hTX09VVCg0MDM0MCkpKS9GR","V9FU1RJTUFURSgnRVBTJywnTUVBTicsJ0FOTlVBTF9ST0xMJywnKzEnLDQwMzQwLCwsJycp&amp;WINDOW=FIRST_POPUP&amp;HEIGHT=450&amp;WIDTH=450&amp;START_MAXIMIZED=FALSE&amp;VAR:CALENDAR=US&amp;VAR:SYMBOL=38259P50&amp;VAR:INDEX=0"}</definedName>
    <definedName name="_2521__FDSAUDITLINK__">{"fdsup://directions/FAT Viewer?action=UPDATE&amp;creator=factset&amp;DYN_ARGS=TRUE&amp;DOC_NAME=FAT:FQL_AUDITING_CLIENT_TEMPLATE.FAT&amp;display_string=Audit&amp;VAR:KEY=GVURQLYVOL&amp;VAR:QUERY=KFBfUFJJQ0UoNDAzMzkpLShGRl9DQVNIX1NUKFFUUiw0MDMzOSkvUF9DT01fU0hTX09VVCg0MDMzOSkpKS9GR","V9FU1RJTUFURSgnRVBTJywnTUVBTicsJ0FOTlVBTF9ST0xMJywnKzEnLDQwMzM5LCwsJycp&amp;WINDOW=FIRST_POPUP&amp;HEIGHT=450&amp;WIDTH=450&amp;START_MAXIMIZED=FALSE&amp;VAR:CALENDAR=US&amp;VAR:SYMBOL=38259P50&amp;VAR:INDEX=0"}</definedName>
    <definedName name="_2522__FDSAUDITLINK__">{"fdsup://directions/FAT Viewer?action=UPDATE&amp;creator=factset&amp;DYN_ARGS=TRUE&amp;DOC_NAME=FAT:FQL_AUDITING_CLIENT_TEMPLATE.FAT&amp;display_string=Audit&amp;VAR:KEY=GVURQLYVOL&amp;VAR:QUERY=KFBfUFJJQ0UoNDAzMzkpLShGRl9DQVNIX1NUKFFUUiw0MDMzOSkvUF9DT01fU0hTX09VVCg0MDMzOSkpKS9GR","V9FU1RJTUFURSgnRVBTJywnTUVBTicsJ0FOTlVBTF9ST0xMJywnKzEnLDQwMzM5LCwsJycp&amp;WINDOW=FIRST_POPUP&amp;HEIGHT=450&amp;WIDTH=450&amp;START_MAXIMIZED=FALSE&amp;VAR:CALENDAR=US&amp;VAR:SYMBOL=38259P50&amp;VAR:INDEX=0"}</definedName>
    <definedName name="_2523__FDSAUDITLINK__">{"fdsup://directions/FAT Viewer?action=UPDATE&amp;creator=factset&amp;DYN_ARGS=TRUE&amp;DOC_NAME=FAT:FQL_AUDITING_CLIENT_TEMPLATE.FAT&amp;display_string=Audit&amp;VAR:KEY=UHWRGTKHAF&amp;VAR:QUERY=KFBfUFJJQ0UoNDAzMzgpLShGRl9DQVNIX1NUKFFUUiw0MDMzOCkvUF9DT01fU0hTX09VVCg0MDMzOCkpKS9GR","V9FU1RJTUFURSgnRVBTJywnTUVBTicsJ0FOTlVBTF9ST0xMJywnKzEnLDQwMzM4LCwsJycp&amp;WINDOW=FIRST_POPUP&amp;HEIGHT=450&amp;WIDTH=450&amp;START_MAXIMIZED=FALSE&amp;VAR:CALENDAR=US&amp;VAR:SYMBOL=38259P50&amp;VAR:INDEX=0"}</definedName>
    <definedName name="_2524__FDSAUDITLINK__">{"fdsup://directions/FAT Viewer?action=UPDATE&amp;creator=factset&amp;DYN_ARGS=TRUE&amp;DOC_NAME=FAT:FQL_AUDITING_CLIENT_TEMPLATE.FAT&amp;display_string=Audit&amp;VAR:KEY=UHWRGTKHAF&amp;VAR:QUERY=KFBfUFJJQ0UoNDAzMzgpLShGRl9DQVNIX1NUKFFUUiw0MDMzOCkvUF9DT01fU0hTX09VVCg0MDMzOCkpKS9GR","V9FU1RJTUFURSgnRVBTJywnTUVBTicsJ0FOTlVBTF9ST0xMJywnKzEnLDQwMzM4LCwsJycp&amp;WINDOW=FIRST_POPUP&amp;HEIGHT=450&amp;WIDTH=450&amp;START_MAXIMIZED=FALSE&amp;VAR:CALENDAR=US&amp;VAR:SYMBOL=38259P50&amp;VAR:INDEX=0"}</definedName>
    <definedName name="_2525__FDSAUDITLINK__">{"fdsup://directions/FAT Viewer?action=UPDATE&amp;creator=factset&amp;DYN_ARGS=TRUE&amp;DOC_NAME=FAT:FQL_AUDITING_CLIENT_TEMPLATE.FAT&amp;display_string=Audit&amp;VAR:KEY=OLSPWNWXQX&amp;VAR:QUERY=KFBfUFJJQ0UoNDAzMzcpLShGRl9DQVNIX1NUKFFUUiw0MDMzNykvUF9DT01fU0hTX09VVCg0MDMzNykpKS9GR","V9FU1RJTUFURSgnRVBTJywnTUVBTicsJ0FOTlVBTF9ST0xMJywnKzEnLDQwMzM3LCwsJycp&amp;WINDOW=FIRST_POPUP&amp;HEIGHT=450&amp;WIDTH=450&amp;START_MAXIMIZED=FALSE&amp;VAR:CALENDAR=US&amp;VAR:SYMBOL=38259P50&amp;VAR:INDEX=0"}</definedName>
    <definedName name="_2526__FDSAUDITLINK__">{"fdsup://directions/FAT Viewer?action=UPDATE&amp;creator=factset&amp;DYN_ARGS=TRUE&amp;DOC_NAME=FAT:FQL_AUDITING_CLIENT_TEMPLATE.FAT&amp;display_string=Audit&amp;VAR:KEY=OLSPWNWXQX&amp;VAR:QUERY=KFBfUFJJQ0UoNDAzMzcpLShGRl9DQVNIX1NUKFFUUiw0MDMzNykvUF9DT01fU0hTX09VVCg0MDMzNykpKS9GR","V9FU1RJTUFURSgnRVBTJywnTUVBTicsJ0FOTlVBTF9ST0xMJywnKzEnLDQwMzM3LCwsJycp&amp;WINDOW=FIRST_POPUP&amp;HEIGHT=450&amp;WIDTH=450&amp;START_MAXIMIZED=FALSE&amp;VAR:CALENDAR=US&amp;VAR:SYMBOL=38259P50&amp;VAR:INDEX=0"}</definedName>
    <definedName name="_2527__FDSAUDITLINK__">{"fdsup://directions/FAT Viewer?action=UPDATE&amp;creator=factset&amp;DYN_ARGS=TRUE&amp;DOC_NAME=FAT:FQL_AUDITING_CLIENT_TEMPLATE.FAT&amp;display_string=Audit&amp;VAR:KEY=CTYBABMHOP&amp;VAR:QUERY=KFBfUFJJQ0UoNDAzMzYpLShGRl9DQVNIX1NUKFFUUiw0MDMzNikvUF9DT01fU0hTX09VVCg0MDMzNikpKS9GR","V9FU1RJTUFURSgnRVBTJywnTUVBTicsJ0FOTlVBTF9ST0xMJywnKzEnLDQwMzM2LCwsJycp&amp;WINDOW=FIRST_POPUP&amp;HEIGHT=450&amp;WIDTH=450&amp;START_MAXIMIZED=FALSE&amp;VAR:CALENDAR=US&amp;VAR:SYMBOL=38259P50&amp;VAR:INDEX=0"}</definedName>
    <definedName name="_2528__FDSAUDITLINK__">{"fdsup://directions/FAT Viewer?action=UPDATE&amp;creator=factset&amp;DYN_ARGS=TRUE&amp;DOC_NAME=FAT:FQL_AUDITING_CLIENT_TEMPLATE.FAT&amp;display_string=Audit&amp;VAR:KEY=CTYBABMHOP&amp;VAR:QUERY=KFBfUFJJQ0UoNDAzMzYpLShGRl9DQVNIX1NUKFFUUiw0MDMzNikvUF9DT01fU0hTX09VVCg0MDMzNikpKS9GR","V9FU1RJTUFURSgnRVBTJywnTUVBTicsJ0FOTlVBTF9ST0xMJywnKzEnLDQwMzM2LCwsJycp&amp;WINDOW=FIRST_POPUP&amp;HEIGHT=450&amp;WIDTH=450&amp;START_MAXIMIZED=FALSE&amp;VAR:CALENDAR=US&amp;VAR:SYMBOL=38259P50&amp;VAR:INDEX=0"}</definedName>
    <definedName name="_2529__FDSAUDITLINK__">{"fdsup://directions/FAT Viewer?action=UPDATE&amp;creator=factset&amp;DYN_ARGS=TRUE&amp;DOC_NAME=FAT:FQL_AUDITING_CLIENT_TEMPLATE.FAT&amp;display_string=Audit&amp;VAR:KEY=CTORYRQNMT&amp;VAR:QUERY=KFBfUFJJQ0UoNDAzMzUpLShGRl9DQVNIX1NUKFFUUiw0MDMzNSkvUF9DT01fU0hTX09VVCg0MDMzNSkpKS9GR","V9FU1RJTUFURSgnRVBTJywnTUVBTicsJ0FOTlVBTF9ST0xMJywnKzEnLDQwMzM1LCwsJycp&amp;WINDOW=FIRST_POPUP&amp;HEIGHT=450&amp;WIDTH=450&amp;START_MAXIMIZED=FALSE&amp;VAR:CALENDAR=US&amp;VAR:SYMBOL=38259P50&amp;VAR:INDEX=0"}</definedName>
    <definedName name="_253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8"}</definedName>
    <definedName name="_2530__FDSAUDITLINK__">{"fdsup://directions/FAT Viewer?action=UPDATE&amp;creator=factset&amp;DYN_ARGS=TRUE&amp;DOC_NAME=FAT:FQL_AUDITING_CLIENT_TEMPLATE.FAT&amp;display_string=Audit&amp;VAR:KEY=CTORYRQNMT&amp;VAR:QUERY=KFBfUFJJQ0UoNDAzMzUpLShGRl9DQVNIX1NUKFFUUiw0MDMzNSkvUF9DT01fU0hTX09VVCg0MDMzNSkpKS9GR","V9FU1RJTUFURSgnRVBTJywnTUVBTicsJ0FOTlVBTF9ST0xMJywnKzEnLDQwMzM1LCwsJycp&amp;WINDOW=FIRST_POPUP&amp;HEIGHT=450&amp;WIDTH=450&amp;START_MAXIMIZED=FALSE&amp;VAR:CALENDAR=US&amp;VAR:SYMBOL=38259P50&amp;VAR:INDEX=0"}</definedName>
    <definedName name="_2531__FDSAUDITLINK__">{"fdsup://directions/FAT Viewer?action=UPDATE&amp;creator=factset&amp;DYN_ARGS=TRUE&amp;DOC_NAME=FAT:FQL_AUDITING_CLIENT_TEMPLATE.FAT&amp;display_string=Audit&amp;VAR:KEY=QNSPSXSNWP&amp;VAR:QUERY=KFBfUFJJQ0UoNDAzMzQpLShGRl9DQVNIX1NUKFFUUiw0MDMzNCkvUF9DT01fU0hTX09VVCg0MDMzNCkpKS9GR","V9FU1RJTUFURSgnRVBTJywnTUVBTicsJ0FOTlVBTF9ST0xMJywnKzEnLDQwMzM0LCwsJycp&amp;WINDOW=FIRST_POPUP&amp;HEIGHT=450&amp;WIDTH=450&amp;START_MAXIMIZED=FALSE&amp;VAR:CALENDAR=US&amp;VAR:SYMBOL=38259P50&amp;VAR:INDEX=0"}</definedName>
    <definedName name="_2532__FDSAUDITLINK__">{"fdsup://directions/FAT Viewer?action=UPDATE&amp;creator=factset&amp;DYN_ARGS=TRUE&amp;DOC_NAME=FAT:FQL_AUDITING_CLIENT_TEMPLATE.FAT&amp;display_string=Audit&amp;VAR:KEY=QNSPSXSNWP&amp;VAR:QUERY=KFBfUFJJQ0UoNDAzMzQpLShGRl9DQVNIX1NUKFFUUiw0MDMzNCkvUF9DT01fU0hTX09VVCg0MDMzNCkpKS9GR","V9FU1RJTUFURSgnRVBTJywnTUVBTicsJ0FOTlVBTF9ST0xMJywnKzEnLDQwMzM0LCwsJycp&amp;WINDOW=FIRST_POPUP&amp;HEIGHT=450&amp;WIDTH=450&amp;START_MAXIMIZED=FALSE&amp;VAR:CALENDAR=US&amp;VAR:SYMBOL=38259P50&amp;VAR:INDEX=0"}</definedName>
    <definedName name="_2533__FDSAUDITLINK__">{"fdsup://directions/FAT Viewer?action=UPDATE&amp;creator=factset&amp;DYN_ARGS=TRUE&amp;DOC_NAME=FAT:FQL_AUDITING_CLIENT_TEMPLATE.FAT&amp;display_string=Audit&amp;VAR:KEY=OZUHGDEFSH&amp;VAR:QUERY=KFBfUFJJQ0UoNDAzMzMpLShGRl9DQVNIX1NUKFFUUiw0MDMzMykvUF9DT01fU0hTX09VVCg0MDMzMykpKS9GR","V9FU1RJTUFURSgnRVBTJywnTUVBTicsJ0FOTlVBTF9ST0xMJywnKzEnLDQwMzMzLCwsJycp&amp;WINDOW=FIRST_POPUP&amp;HEIGHT=450&amp;WIDTH=450&amp;START_MAXIMIZED=FALSE&amp;VAR:CALENDAR=US&amp;VAR:SYMBOL=38259P50&amp;VAR:INDEX=0"}</definedName>
    <definedName name="_2534__FDSAUDITLINK__">{"fdsup://directions/FAT Viewer?action=UPDATE&amp;creator=factset&amp;DYN_ARGS=TRUE&amp;DOC_NAME=FAT:FQL_AUDITING_CLIENT_TEMPLATE.FAT&amp;display_string=Audit&amp;VAR:KEY=OZUHGDEFSH&amp;VAR:QUERY=KFBfUFJJQ0UoNDAzMzMpLShGRl9DQVNIX1NUKFFUUiw0MDMzMykvUF9DT01fU0hTX09VVCg0MDMzMykpKS9GR","V9FU1RJTUFURSgnRVBTJywnTUVBTicsJ0FOTlVBTF9ST0xMJywnKzEnLDQwMzMzLCwsJycp&amp;WINDOW=FIRST_POPUP&amp;HEIGHT=450&amp;WIDTH=450&amp;START_MAXIMIZED=FALSE&amp;VAR:CALENDAR=US&amp;VAR:SYMBOL=38259P50&amp;VAR:INDEX=0"}</definedName>
    <definedName name="_2535__FDSAUDITLINK__">{"fdsup://directions/FAT Viewer?action=UPDATE&amp;creator=factset&amp;DYN_ARGS=TRUE&amp;DOC_NAME=FAT:FQL_AUDITING_CLIENT_TEMPLATE.FAT&amp;display_string=Audit&amp;VAR:KEY=OPCXEXMTYV&amp;VAR:QUERY=KFBfUFJJQ0UoNDAzMzIpLShGRl9DQVNIX1NUKFFUUiw0MDMzMikvUF9DT01fU0hTX09VVCg0MDMzMikpKS9GR","V9FU1RJTUFURSgnRVBTJywnTUVBTicsJ0FOTlVBTF9ST0xMJywnKzEnLDQwMzMyLCwsJycp&amp;WINDOW=FIRST_POPUP&amp;HEIGHT=450&amp;WIDTH=450&amp;START_MAXIMIZED=FALSE&amp;VAR:CALENDAR=US&amp;VAR:SYMBOL=38259P50&amp;VAR:INDEX=0"}</definedName>
    <definedName name="_2536__FDSAUDITLINK__">{"fdsup://directions/FAT Viewer?action=UPDATE&amp;creator=factset&amp;DYN_ARGS=TRUE&amp;DOC_NAME=FAT:FQL_AUDITING_CLIENT_TEMPLATE.FAT&amp;display_string=Audit&amp;VAR:KEY=OPCXEXMTYV&amp;VAR:QUERY=KFBfUFJJQ0UoNDAzMzIpLShGRl9DQVNIX1NUKFFUUiw0MDMzMikvUF9DT01fU0hTX09VVCg0MDMzMikpKS9GR","V9FU1RJTUFURSgnRVBTJywnTUVBTicsJ0FOTlVBTF9ST0xMJywnKzEnLDQwMzMyLCwsJycp&amp;WINDOW=FIRST_POPUP&amp;HEIGHT=450&amp;WIDTH=450&amp;START_MAXIMIZED=FALSE&amp;VAR:CALENDAR=US&amp;VAR:SYMBOL=38259P50&amp;VAR:INDEX=0"}</definedName>
    <definedName name="_2537__FDSAUDITLINK__">{"fdsup://directions/FAT Viewer?action=UPDATE&amp;creator=factset&amp;DYN_ARGS=TRUE&amp;DOC_NAME=FAT:FQL_AUDITING_CLIENT_TEMPLATE.FAT&amp;display_string=Audit&amp;VAR:KEY=UHWTYNMHUH&amp;VAR:QUERY=KFBfUFJJQ0UoNDAzMzEpLShGRl9DQVNIX1NUKFFUUiw0MDMzMSkvUF9DT01fU0hTX09VVCg0MDMzMSkpKS9GR","V9FU1RJTUFURSgnRVBTJywnTUVBTicsJ0FOTlVBTF9ST0xMJywnKzEnLDQwMzMxLCwsJycp&amp;WINDOW=FIRST_POPUP&amp;HEIGHT=450&amp;WIDTH=450&amp;START_MAXIMIZED=FALSE&amp;VAR:CALENDAR=US&amp;VAR:SYMBOL=38259P50&amp;VAR:INDEX=0"}</definedName>
    <definedName name="_2538__FDSAUDITLINK__">{"fdsup://directions/FAT Viewer?action=UPDATE&amp;creator=factset&amp;DYN_ARGS=TRUE&amp;DOC_NAME=FAT:FQL_AUDITING_CLIENT_TEMPLATE.FAT&amp;display_string=Audit&amp;VAR:KEY=UHWTYNMHUH&amp;VAR:QUERY=KFBfUFJJQ0UoNDAzMzEpLShGRl9DQVNIX1NUKFFUUiw0MDMzMSkvUF9DT01fU0hTX09VVCg0MDMzMSkpKS9GR","V9FU1RJTUFURSgnRVBTJywnTUVBTicsJ0FOTlVBTF9ST0xMJywnKzEnLDQwMzMxLCwsJycp&amp;WINDOW=FIRST_POPUP&amp;HEIGHT=450&amp;WIDTH=450&amp;START_MAXIMIZED=FALSE&amp;VAR:CALENDAR=US&amp;VAR:SYMBOL=38259P50&amp;VAR:INDEX=0"}</definedName>
    <definedName name="_2539__FDSAUDITLINK__">{"fdsup://directions/FAT Viewer?action=UPDATE&amp;creator=factset&amp;DYN_ARGS=TRUE&amp;DOC_NAME=FAT:FQL_AUDITING_CLIENT_TEMPLATE.FAT&amp;display_string=Audit&amp;VAR:KEY=ILIXWBCDMT&amp;VAR:QUERY=KFBfUFJJQ0UoNDAzMzApLShGRl9DQVNIX1NUKFFUUiw0MDMzMCkvUF9DT01fU0hTX09VVCg0MDMzMCkpKS9GR","V9FU1RJTUFURSgnRVBTJywnTUVBTicsJ0FOTlVBTF9ST0xMJywnKzEnLDQwMzMwLCwsJycp&amp;WINDOW=FIRST_POPUP&amp;HEIGHT=450&amp;WIDTH=450&amp;START_MAXIMIZED=FALSE&amp;VAR:CALENDAR=US&amp;VAR:SYMBOL=38259P50&amp;VAR:INDEX=0"}</definedName>
    <definedName name="_254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7"}</definedName>
    <definedName name="_2540__FDSAUDITLINK__">{"fdsup://directions/FAT Viewer?action=UPDATE&amp;creator=factset&amp;DYN_ARGS=TRUE&amp;DOC_NAME=FAT:FQL_AUDITING_CLIENT_TEMPLATE.FAT&amp;display_string=Audit&amp;VAR:KEY=ILIXWBCDMT&amp;VAR:QUERY=KFBfUFJJQ0UoNDAzMzApLShGRl9DQVNIX1NUKFFUUiw0MDMzMCkvUF9DT01fU0hTX09VVCg0MDMzMCkpKS9GR","V9FU1RJTUFURSgnRVBTJywnTUVBTicsJ0FOTlVBTF9ST0xMJywnKzEnLDQwMzMwLCwsJycp&amp;WINDOW=FIRST_POPUP&amp;HEIGHT=450&amp;WIDTH=450&amp;START_MAXIMIZED=FALSE&amp;VAR:CALENDAR=US&amp;VAR:SYMBOL=38259P50&amp;VAR:INDEX=0"}</definedName>
    <definedName name="_2541__FDSAUDITLINK__">{"fdsup://directions/FAT Viewer?action=UPDATE&amp;creator=factset&amp;DYN_ARGS=TRUE&amp;DOC_NAME=FAT:FQL_AUDITING_CLIENT_TEMPLATE.FAT&amp;display_string=Audit&amp;VAR:KEY=MFWHWVEBWP&amp;VAR:QUERY=KFBfUFJJQ0UoNDAzMjkpLShGRl9DQVNIX1NUKFFUUiw0MDMyOSkvUF9DT01fU0hTX09VVCg0MDMyOSkpKS9GR","V9FU1RJTUFURSgnRVBTJywnTUVBTicsJ0FOTlVBTF9ST0xMJywnKzEnLDQwMzI5LCwsJycp&amp;WINDOW=FIRST_POPUP&amp;HEIGHT=450&amp;WIDTH=450&amp;START_MAXIMIZED=FALSE&amp;VAR:CALENDAR=US&amp;VAR:SYMBOL=38259P50&amp;VAR:INDEX=0"}</definedName>
    <definedName name="_2542__FDSAUDITLINK__">{"fdsup://directions/FAT Viewer?action=UPDATE&amp;creator=factset&amp;DYN_ARGS=TRUE&amp;DOC_NAME=FAT:FQL_AUDITING_CLIENT_TEMPLATE.FAT&amp;display_string=Audit&amp;VAR:KEY=MFWHWVEBWP&amp;VAR:QUERY=KFBfUFJJQ0UoNDAzMjkpLShGRl9DQVNIX1NUKFFUUiw0MDMyOSkvUF9DT01fU0hTX09VVCg0MDMyOSkpKS9GR","V9FU1RJTUFURSgnRVBTJywnTUVBTicsJ0FOTlVBTF9ST0xMJywnKzEnLDQwMzI5LCwsJycp&amp;WINDOW=FIRST_POPUP&amp;HEIGHT=450&amp;WIDTH=450&amp;START_MAXIMIZED=FALSE&amp;VAR:CALENDAR=US&amp;VAR:SYMBOL=38259P50&amp;VAR:INDEX=0"}</definedName>
    <definedName name="_2543__FDSAUDITLINK__">{"fdsup://directions/FAT Viewer?action=UPDATE&amp;creator=factset&amp;DYN_ARGS=TRUE&amp;DOC_NAME=FAT:FQL_AUDITING_CLIENT_TEMPLATE.FAT&amp;display_string=Audit&amp;VAR:KEY=KNMLINKNAB&amp;VAR:QUERY=KFBfUFJJQ0UoNDAzMjgpLShGRl9DQVNIX1NUKFFUUiw0MDMyOCkvUF9DT01fU0hTX09VVCg0MDMyOCkpKS9GR","V9FU1RJTUFURSgnRVBTJywnTUVBTicsJ0FOTlVBTF9ST0xMJywnKzEnLDQwMzI4LCwsJycp&amp;WINDOW=FIRST_POPUP&amp;HEIGHT=450&amp;WIDTH=450&amp;START_MAXIMIZED=FALSE&amp;VAR:CALENDAR=US&amp;VAR:SYMBOL=38259P50&amp;VAR:INDEX=0"}</definedName>
    <definedName name="_2544__FDSAUDITLINK__">{"fdsup://directions/FAT Viewer?action=UPDATE&amp;creator=factset&amp;DYN_ARGS=TRUE&amp;DOC_NAME=FAT:FQL_AUDITING_CLIENT_TEMPLATE.FAT&amp;display_string=Audit&amp;VAR:KEY=KNMLINKNAB&amp;VAR:QUERY=KFBfUFJJQ0UoNDAzMjgpLShGRl9DQVNIX1NUKFFUUiw0MDMyOCkvUF9DT01fU0hTX09VVCg0MDMyOCkpKS9GR","V9FU1RJTUFURSgnRVBTJywnTUVBTicsJ0FOTlVBTF9ST0xMJywnKzEnLDQwMzI4LCwsJycp&amp;WINDOW=FIRST_POPUP&amp;HEIGHT=450&amp;WIDTH=450&amp;START_MAXIMIZED=FALSE&amp;VAR:CALENDAR=US&amp;VAR:SYMBOL=38259P50&amp;VAR:INDEX=0"}</definedName>
    <definedName name="_2545__FDSAUDITLINK__">{"fdsup://directions/FAT Viewer?action=UPDATE&amp;creator=factset&amp;DYN_ARGS=TRUE&amp;DOC_NAME=FAT:FQL_AUDITING_CLIENT_TEMPLATE.FAT&amp;display_string=Audit&amp;VAR:KEY=ABCHYLABCJ&amp;VAR:QUERY=KFBfUFJJQ0UoNDAzMjcpLShGRl9DQVNIX1NUKFFUUiw0MDMyNykvUF9DT01fU0hTX09VVCg0MDMyNykpKS9GR","V9FU1RJTUFURSgnRVBTJywnTUVBTicsJ0FOTlVBTF9ST0xMJywnKzEnLDQwMzI3LCwsJycp&amp;WINDOW=FIRST_POPUP&amp;HEIGHT=450&amp;WIDTH=450&amp;START_MAXIMIZED=FALSE&amp;VAR:CALENDAR=US&amp;VAR:SYMBOL=38259P50&amp;VAR:INDEX=0"}</definedName>
    <definedName name="_2546__FDSAUDITLINK__">{"fdsup://directions/FAT Viewer?action=UPDATE&amp;creator=factset&amp;DYN_ARGS=TRUE&amp;DOC_NAME=FAT:FQL_AUDITING_CLIENT_TEMPLATE.FAT&amp;display_string=Audit&amp;VAR:KEY=ABCHYLABCJ&amp;VAR:QUERY=KFBfUFJJQ0UoNDAzMjcpLShGRl9DQVNIX1NUKFFUUiw0MDMyNykvUF9DT01fU0hTX09VVCg0MDMyNykpKS9GR","V9FU1RJTUFURSgnRVBTJywnTUVBTicsJ0FOTlVBTF9ST0xMJywnKzEnLDQwMzI3LCwsJycp&amp;WINDOW=FIRST_POPUP&amp;HEIGHT=450&amp;WIDTH=450&amp;START_MAXIMIZED=FALSE&amp;VAR:CALENDAR=US&amp;VAR:SYMBOL=38259P50&amp;VAR:INDEX=0"}</definedName>
    <definedName name="_2547__FDSAUDITLINK__">{"fdsup://directions/FAT Viewer?action=UPDATE&amp;creator=factset&amp;DYN_ARGS=TRUE&amp;DOC_NAME=FAT:FQL_AUDITING_CLIENT_TEMPLATE.FAT&amp;display_string=Audit&amp;VAR:KEY=WNEDAHIRWN&amp;VAR:QUERY=KFBfUFJJQ0UoNDAzMjYpLShGRl9DQVNIX1NUKFFUUiw0MDMyNikvUF9DT01fU0hTX09VVCg0MDMyNikpKS9GR","V9FU1RJTUFURSgnRVBTJywnTUVBTicsJ0FOTlVBTF9ST0xMJywnKzEnLDQwMzI2LCwsJycp&amp;WINDOW=FIRST_POPUP&amp;HEIGHT=450&amp;WIDTH=450&amp;START_MAXIMIZED=FALSE&amp;VAR:CALENDAR=US&amp;VAR:SYMBOL=38259P50&amp;VAR:INDEX=0"}</definedName>
    <definedName name="_2548__FDSAUDITLINK__">{"fdsup://directions/FAT Viewer?action=UPDATE&amp;creator=factset&amp;DYN_ARGS=TRUE&amp;DOC_NAME=FAT:FQL_AUDITING_CLIENT_TEMPLATE.FAT&amp;display_string=Audit&amp;VAR:KEY=WNEDAHIRWN&amp;VAR:QUERY=KFBfUFJJQ0UoNDAzMjYpLShGRl9DQVNIX1NUKFFUUiw0MDMyNikvUF9DT01fU0hTX09VVCg0MDMyNikpKS9GR","V9FU1RJTUFURSgnRVBTJywnTUVBTicsJ0FOTlVBTF9ST0xMJywnKzEnLDQwMzI2LCwsJycp&amp;WINDOW=FIRST_POPUP&amp;HEIGHT=450&amp;WIDTH=450&amp;START_MAXIMIZED=FALSE&amp;VAR:CALENDAR=US&amp;VAR:SYMBOL=38259P50&amp;VAR:INDEX=0"}</definedName>
    <definedName name="_2549__FDSAUDITLINK__">{"fdsup://directions/FAT Viewer?action=UPDATE&amp;creator=factset&amp;DYN_ARGS=TRUE&amp;DOC_NAME=FAT:FQL_AUDITING_CLIENT_TEMPLATE.FAT&amp;display_string=Audit&amp;VAR:KEY=KDKVGXQNUL&amp;VAR:QUERY=KFBfUFJJQ0UoNDAzMjUpLShGRl9DQVNIX1NUKFFUUiw0MDMyNSkvUF9DT01fU0hTX09VVCg0MDMyNSkpKS9GR","V9FU1RJTUFURSgnRVBTJywnTUVBTicsJ0FOTlVBTF9ST0xMJywnKzEnLDQwMzI1LCwsJycp&amp;WINDOW=FIRST_POPUP&amp;HEIGHT=450&amp;WIDTH=450&amp;START_MAXIMIZED=FALSE&amp;VAR:CALENDAR=US&amp;VAR:SYMBOL=38259P50&amp;VAR:INDEX=0"}</definedName>
    <definedName name="_255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6"}</definedName>
    <definedName name="_2550__FDSAUDITLINK__">{"fdsup://directions/FAT Viewer?action=UPDATE&amp;creator=factset&amp;DYN_ARGS=TRUE&amp;DOC_NAME=FAT:FQL_AUDITING_CLIENT_TEMPLATE.FAT&amp;display_string=Audit&amp;VAR:KEY=KDKVGXQNUL&amp;VAR:QUERY=KFBfUFJJQ0UoNDAzMjUpLShGRl9DQVNIX1NUKFFUUiw0MDMyNSkvUF9DT01fU0hTX09VVCg0MDMyNSkpKS9GR","V9FU1RJTUFURSgnRVBTJywnTUVBTicsJ0FOTlVBTF9ST0xMJywnKzEnLDQwMzI1LCwsJycp&amp;WINDOW=FIRST_POPUP&amp;HEIGHT=450&amp;WIDTH=450&amp;START_MAXIMIZED=FALSE&amp;VAR:CALENDAR=US&amp;VAR:SYMBOL=38259P50&amp;VAR:INDEX=0"}</definedName>
    <definedName name="_2551__FDSAUDITLINK__">{"fdsup://directions/FAT Viewer?action=UPDATE&amp;creator=factset&amp;DYN_ARGS=TRUE&amp;DOC_NAME=FAT:FQL_AUDITING_CLIENT_TEMPLATE.FAT&amp;display_string=Audit&amp;VAR:KEY=GFUFADCLOX&amp;VAR:QUERY=KFBfUFJJQ0UoNDAzMjQpLShGRl9DQVNIX1NUKFFUUiw0MDMyNCkvUF9DT01fU0hTX09VVCg0MDMyNCkpKS9GR","V9FU1RJTUFURSgnRVBTJywnTUVBTicsJ0FOTlVBTF9ST0xMJywnKzEnLDQwMzI0LCwsJycp&amp;WINDOW=FIRST_POPUP&amp;HEIGHT=450&amp;WIDTH=450&amp;START_MAXIMIZED=FALSE&amp;VAR:CALENDAR=US&amp;VAR:SYMBOL=38259P50&amp;VAR:INDEX=0"}</definedName>
    <definedName name="_2552__FDSAUDITLINK__">{"fdsup://directions/FAT Viewer?action=UPDATE&amp;creator=factset&amp;DYN_ARGS=TRUE&amp;DOC_NAME=FAT:FQL_AUDITING_CLIENT_TEMPLATE.FAT&amp;display_string=Audit&amp;VAR:KEY=GFUFADCLOX&amp;VAR:QUERY=KFBfUFJJQ0UoNDAzMjQpLShGRl9DQVNIX1NUKFFUUiw0MDMyNCkvUF9DT01fU0hTX09VVCg0MDMyNCkpKS9GR","V9FU1RJTUFURSgnRVBTJywnTUVBTicsJ0FOTlVBTF9ST0xMJywnKzEnLDQwMzI0LCwsJycp&amp;WINDOW=FIRST_POPUP&amp;HEIGHT=450&amp;WIDTH=450&amp;START_MAXIMIZED=FALSE&amp;VAR:CALENDAR=US&amp;VAR:SYMBOL=38259P50&amp;VAR:INDEX=0"}</definedName>
    <definedName name="_2553__FDSAUDITLINK__">{"fdsup://directions/FAT Viewer?action=UPDATE&amp;creator=factset&amp;DYN_ARGS=TRUE&amp;DOC_NAME=FAT:FQL_AUDITING_CLIENT_TEMPLATE.FAT&amp;display_string=Audit&amp;VAR:KEY=URMFGJGDUT&amp;VAR:QUERY=KFBfUFJJQ0UoNDAzMjMpLShGRl9DQVNIX1NUKFFUUiw0MDMyMykvUF9DT01fU0hTX09VVCg0MDMyMykpKS9GR","V9FU1RJTUFURSgnRVBTJywnTUVBTicsJ0FOTlVBTF9ST0xMJywnKzEnLDQwMzIzLCwsJycp&amp;WINDOW=FIRST_POPUP&amp;HEIGHT=450&amp;WIDTH=450&amp;START_MAXIMIZED=FALSE&amp;VAR:CALENDAR=US&amp;VAR:SYMBOL=38259P50&amp;VAR:INDEX=0"}</definedName>
    <definedName name="_2554__FDSAUDITLINK__">{"fdsup://directions/FAT Viewer?action=UPDATE&amp;creator=factset&amp;DYN_ARGS=TRUE&amp;DOC_NAME=FAT:FQL_AUDITING_CLIENT_TEMPLATE.FAT&amp;display_string=Audit&amp;VAR:KEY=URMFGJGDUT&amp;VAR:QUERY=KFBfUFJJQ0UoNDAzMjMpLShGRl9DQVNIX1NUKFFUUiw0MDMyMykvUF9DT01fU0hTX09VVCg0MDMyMykpKS9GR","V9FU1RJTUFURSgnRVBTJywnTUVBTicsJ0FOTlVBTF9ST0xMJywnKzEnLDQwMzIzLCwsJycp&amp;WINDOW=FIRST_POPUP&amp;HEIGHT=450&amp;WIDTH=450&amp;START_MAXIMIZED=FALSE&amp;VAR:CALENDAR=US&amp;VAR:SYMBOL=38259P50&amp;VAR:INDEX=0"}</definedName>
    <definedName name="_2555__FDSAUDITLINK__">{"fdsup://directions/FAT Viewer?action=UPDATE&amp;creator=factset&amp;DYN_ARGS=TRUE&amp;DOC_NAME=FAT:FQL_AUDITING_CLIENT_TEMPLATE.FAT&amp;display_string=Audit&amp;VAR:KEY=WJMVYBWXYR&amp;VAR:QUERY=KFBfUFJJQ0UoNDAzMjIpLShGRl9DQVNIX1NUKFFUUiw0MDMyMikvUF9DT01fU0hTX09VVCg0MDMyMikpKS9GR","V9FU1RJTUFURSgnRVBTJywnTUVBTicsJ0FOTlVBTF9ST0xMJywnKzEnLDQwMzIyLCwsJycp&amp;WINDOW=FIRST_POPUP&amp;HEIGHT=450&amp;WIDTH=450&amp;START_MAXIMIZED=FALSE&amp;VAR:CALENDAR=US&amp;VAR:SYMBOL=38259P50&amp;VAR:INDEX=0"}</definedName>
    <definedName name="_2556__FDSAUDITLINK__">{"fdsup://directions/FAT Viewer?action=UPDATE&amp;creator=factset&amp;DYN_ARGS=TRUE&amp;DOC_NAME=FAT:FQL_AUDITING_CLIENT_TEMPLATE.FAT&amp;display_string=Audit&amp;VAR:KEY=WJMVYBWXYR&amp;VAR:QUERY=KFBfUFJJQ0UoNDAzMjIpLShGRl9DQVNIX1NUKFFUUiw0MDMyMikvUF9DT01fU0hTX09VVCg0MDMyMikpKS9GR","V9FU1RJTUFURSgnRVBTJywnTUVBTicsJ0FOTlVBTF9ST0xMJywnKzEnLDQwMzIyLCwsJycp&amp;WINDOW=FIRST_POPUP&amp;HEIGHT=450&amp;WIDTH=450&amp;START_MAXIMIZED=FALSE&amp;VAR:CALENDAR=US&amp;VAR:SYMBOL=38259P50&amp;VAR:INDEX=0"}</definedName>
    <definedName name="_2557__FDSAUDITLINK__">{"fdsup://directions/FAT Viewer?action=UPDATE&amp;creator=factset&amp;DYN_ARGS=TRUE&amp;DOC_NAME=FAT:FQL_AUDITING_CLIENT_TEMPLATE.FAT&amp;display_string=Audit&amp;VAR:KEY=CTIVEBUPQF&amp;VAR:QUERY=KFBfUFJJQ0UoNDAzMjEpLShGRl9DQVNIX1NUKFFUUiw0MDMyMSkvUF9DT01fU0hTX09VVCg0MDMyMSkpKS9GR","V9FU1RJTUFURSgnRVBTJywnTUVBTicsJ0FOTlVBTF9ST0xMJywnKzEnLDQwMzIxLCwsJycp&amp;WINDOW=FIRST_POPUP&amp;HEIGHT=450&amp;WIDTH=450&amp;START_MAXIMIZED=FALSE&amp;VAR:CALENDAR=US&amp;VAR:SYMBOL=38259P50&amp;VAR:INDEX=0"}</definedName>
    <definedName name="_2558__FDSAUDITLINK__">{"fdsup://directions/FAT Viewer?action=UPDATE&amp;creator=factset&amp;DYN_ARGS=TRUE&amp;DOC_NAME=FAT:FQL_AUDITING_CLIENT_TEMPLATE.FAT&amp;display_string=Audit&amp;VAR:KEY=CTIVEBUPQF&amp;VAR:QUERY=KFBfUFJJQ0UoNDAzMjEpLShGRl9DQVNIX1NUKFFUUiw0MDMyMSkvUF9DT01fU0hTX09VVCg0MDMyMSkpKS9GR","V9FU1RJTUFURSgnRVBTJywnTUVBTicsJ0FOTlVBTF9ST0xMJywnKzEnLDQwMzIxLCwsJycp&amp;WINDOW=FIRST_POPUP&amp;HEIGHT=450&amp;WIDTH=450&amp;START_MAXIMIZED=FALSE&amp;VAR:CALENDAR=US&amp;VAR:SYMBOL=38259P50&amp;VAR:INDEX=0"}</definedName>
    <definedName name="_2559__FDSAUDITLINK__">{"fdsup://directions/FAT Viewer?action=UPDATE&amp;creator=factset&amp;DYN_ARGS=TRUE&amp;DOC_NAME=FAT:FQL_AUDITING_CLIENT_TEMPLATE.FAT&amp;display_string=Audit&amp;VAR:KEY=EDWPONWLEP&amp;VAR:QUERY=KFBfUFJJQ0UoNDAzMjApLShGRl9DQVNIX1NUKFFUUiw0MDMyMCkvUF9DT01fU0hTX09VVCg0MDMyMCkpKS9GR","V9FU1RJTUFURSgnRVBTJywnTUVBTicsJ0FOTlVBTF9ST0xMJywnKzEnLDQwMzIwLCwsJycp&amp;WINDOW=FIRST_POPUP&amp;HEIGHT=450&amp;WIDTH=450&amp;START_MAXIMIZED=FALSE&amp;VAR:CALENDAR=US&amp;VAR:SYMBOL=38259P50&amp;VAR:INDEX=0"}</definedName>
    <definedName name="_256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5"}</definedName>
    <definedName name="_2560__FDSAUDITLINK__">{"fdsup://directions/FAT Viewer?action=UPDATE&amp;creator=factset&amp;DYN_ARGS=TRUE&amp;DOC_NAME=FAT:FQL_AUDITING_CLIENT_TEMPLATE.FAT&amp;display_string=Audit&amp;VAR:KEY=EDWPONWLEP&amp;VAR:QUERY=KFBfUFJJQ0UoNDAzMjApLShGRl9DQVNIX1NUKFFUUiw0MDMyMCkvUF9DT01fU0hTX09VVCg0MDMyMCkpKS9GR","V9FU1RJTUFURSgnRVBTJywnTUVBTicsJ0FOTlVBTF9ST0xMJywnKzEnLDQwMzIwLCwsJycp&amp;WINDOW=FIRST_POPUP&amp;HEIGHT=450&amp;WIDTH=450&amp;START_MAXIMIZED=FALSE&amp;VAR:CALENDAR=US&amp;VAR:SYMBOL=38259P50&amp;VAR:INDEX=0"}</definedName>
    <definedName name="_2561__FDSAUDITLINK__">{"fdsup://directions/FAT Viewer?action=UPDATE&amp;creator=factset&amp;DYN_ARGS=TRUE&amp;DOC_NAME=FAT:FQL_AUDITING_CLIENT_TEMPLATE.FAT&amp;display_string=Audit&amp;VAR:KEY=ITKVSREHMH&amp;VAR:QUERY=KFBfUFJJQ0UoNDAzMTkpLShGRl9DQVNIX1NUKFFUUiw0MDMxOSkvUF9DT01fU0hTX09VVCg0MDMxOSkpKS9GR","V9FU1RJTUFURSgnRVBTJywnTUVBTicsJ0FOTlVBTF9ST0xMJywnKzEnLDQwMzE5LCwsJycp&amp;WINDOW=FIRST_POPUP&amp;HEIGHT=450&amp;WIDTH=450&amp;START_MAXIMIZED=FALSE&amp;VAR:CALENDAR=US&amp;VAR:SYMBOL=38259P50&amp;VAR:INDEX=0"}</definedName>
    <definedName name="_2562__FDSAUDITLINK__">{"fdsup://directions/FAT Viewer?action=UPDATE&amp;creator=factset&amp;DYN_ARGS=TRUE&amp;DOC_NAME=FAT:FQL_AUDITING_CLIENT_TEMPLATE.FAT&amp;display_string=Audit&amp;VAR:KEY=ITKVSREHMH&amp;VAR:QUERY=KFBfUFJJQ0UoNDAzMTkpLShGRl9DQVNIX1NUKFFUUiw0MDMxOSkvUF9DT01fU0hTX09VVCg0MDMxOSkpKS9GR","V9FU1RJTUFURSgnRVBTJywnTUVBTicsJ0FOTlVBTF9ST0xMJywnKzEnLDQwMzE5LCwsJycp&amp;WINDOW=FIRST_POPUP&amp;HEIGHT=450&amp;WIDTH=450&amp;START_MAXIMIZED=FALSE&amp;VAR:CALENDAR=US&amp;VAR:SYMBOL=38259P50&amp;VAR:INDEX=0"}</definedName>
    <definedName name="_2563__FDSAUDITLINK__">{"fdsup://directions/FAT Viewer?action=UPDATE&amp;creator=factset&amp;DYN_ARGS=TRUE&amp;DOC_NAME=FAT:FQL_AUDITING_CLIENT_TEMPLATE.FAT&amp;display_string=Audit&amp;VAR:KEY=ADKFMPULQH&amp;VAR:QUERY=KFBfUFJJQ0UoNDAzMTgpLShGRl9DQVNIX1NUKFFUUiw0MDMxOCkvUF9DT01fU0hTX09VVCg0MDMxOCkpKS9GR","V9FU1RJTUFURSgnRVBTJywnTUVBTicsJ0FOTlVBTF9ST0xMJywnKzEnLDQwMzE4LCwsJycp&amp;WINDOW=FIRST_POPUP&amp;HEIGHT=450&amp;WIDTH=450&amp;START_MAXIMIZED=FALSE&amp;VAR:CALENDAR=US&amp;VAR:SYMBOL=38259P50&amp;VAR:INDEX=0"}</definedName>
    <definedName name="_2564__FDSAUDITLINK__">{"fdsup://directions/FAT Viewer?action=UPDATE&amp;creator=factset&amp;DYN_ARGS=TRUE&amp;DOC_NAME=FAT:FQL_AUDITING_CLIENT_TEMPLATE.FAT&amp;display_string=Audit&amp;VAR:KEY=ADKFMPULQH&amp;VAR:QUERY=KFBfUFJJQ0UoNDAzMTgpLShGRl9DQVNIX1NUKFFUUiw0MDMxOCkvUF9DT01fU0hTX09VVCg0MDMxOCkpKS9GR","V9FU1RJTUFURSgnRVBTJywnTUVBTicsJ0FOTlVBTF9ST0xMJywnKzEnLDQwMzE4LCwsJycp&amp;WINDOW=FIRST_POPUP&amp;HEIGHT=450&amp;WIDTH=450&amp;START_MAXIMIZED=FALSE&amp;VAR:CALENDAR=US&amp;VAR:SYMBOL=38259P50&amp;VAR:INDEX=0"}</definedName>
    <definedName name="_2565__FDSAUDITLINK__">{"fdsup://directions/FAT Viewer?action=UPDATE&amp;creator=factset&amp;DYN_ARGS=TRUE&amp;DOC_NAME=FAT:FQL_AUDITING_CLIENT_TEMPLATE.FAT&amp;display_string=Audit&amp;VAR:KEY=CBSFYJSLYH&amp;VAR:QUERY=KFBfUFJJQ0UoNDAzMTcpLShGRl9DQVNIX1NUKFFUUiw0MDMxNykvUF9DT01fU0hTX09VVCg0MDMxNykpKS9GR","V9FU1RJTUFURSgnRVBTJywnTUVBTicsJ0FOTlVBTF9ST0xMJywnKzEnLDQwMzE3LCwsJycp&amp;WINDOW=FIRST_POPUP&amp;HEIGHT=450&amp;WIDTH=450&amp;START_MAXIMIZED=FALSE&amp;VAR:CALENDAR=US&amp;VAR:SYMBOL=38259P50&amp;VAR:INDEX=0"}</definedName>
    <definedName name="_2566__FDSAUDITLINK__">{"fdsup://directions/FAT Viewer?action=UPDATE&amp;creator=factset&amp;DYN_ARGS=TRUE&amp;DOC_NAME=FAT:FQL_AUDITING_CLIENT_TEMPLATE.FAT&amp;display_string=Audit&amp;VAR:KEY=CBSFYJSLYH&amp;VAR:QUERY=KFBfUFJJQ0UoNDAzMTcpLShGRl9DQVNIX1NUKFFUUiw0MDMxNykvUF9DT01fU0hTX09VVCg0MDMxNykpKS9GR","V9FU1RJTUFURSgnRVBTJywnTUVBTicsJ0FOTlVBTF9ST0xMJywnKzEnLDQwMzE3LCwsJycp&amp;WINDOW=FIRST_POPUP&amp;HEIGHT=450&amp;WIDTH=450&amp;START_MAXIMIZED=FALSE&amp;VAR:CALENDAR=US&amp;VAR:SYMBOL=38259P50&amp;VAR:INDEX=0"}</definedName>
    <definedName name="_2567__FDSAUDITLINK__">{"fdsup://directions/FAT Viewer?action=UPDATE&amp;creator=factset&amp;DYN_ARGS=TRUE&amp;DOC_NAME=FAT:FQL_AUDITING_CLIENT_TEMPLATE.FAT&amp;display_string=Audit&amp;VAR:KEY=IDERGTIPIH&amp;VAR:QUERY=KFBfUFJJQ0UoNDAzMTYpLShGRl9DQVNIX1NUKFFUUiw0MDMxNikvUF9DT01fU0hTX09VVCg0MDMxNikpKS9GR","V9FU1RJTUFURSgnRVBTJywnTUVBTicsJ0FOTlVBTF9ST0xMJywnKzEnLDQwMzE2LCwsJycp&amp;WINDOW=FIRST_POPUP&amp;HEIGHT=450&amp;WIDTH=450&amp;START_MAXIMIZED=FALSE&amp;VAR:CALENDAR=US&amp;VAR:SYMBOL=38259P50&amp;VAR:INDEX=0"}</definedName>
    <definedName name="_2568__FDSAUDITLINK__">{"fdsup://directions/FAT Viewer?action=UPDATE&amp;creator=factset&amp;DYN_ARGS=TRUE&amp;DOC_NAME=FAT:FQL_AUDITING_CLIENT_TEMPLATE.FAT&amp;display_string=Audit&amp;VAR:KEY=IDERGTIPIH&amp;VAR:QUERY=KFBfUFJJQ0UoNDAzMTYpLShGRl9DQVNIX1NUKFFUUiw0MDMxNikvUF9DT01fU0hTX09VVCg0MDMxNikpKS9GR","V9FU1RJTUFURSgnRVBTJywnTUVBTicsJ0FOTlVBTF9ST0xMJywnKzEnLDQwMzE2LCwsJycp&amp;WINDOW=FIRST_POPUP&amp;HEIGHT=450&amp;WIDTH=450&amp;START_MAXIMIZED=FALSE&amp;VAR:CALENDAR=US&amp;VAR:SYMBOL=38259P50&amp;VAR:INDEX=0"}</definedName>
    <definedName name="_2569__FDSAUDITLINK__">{"fdsup://directions/FAT Viewer?action=UPDATE&amp;creator=factset&amp;DYN_ARGS=TRUE&amp;DOC_NAME=FAT:FQL_AUDITING_CLIENT_TEMPLATE.FAT&amp;display_string=Audit&amp;VAR:KEY=AFMVGLSXEZ&amp;VAR:QUERY=KFBfUFJJQ0UoNDAzMTUpLShGRl9DQVNIX1NUKFFUUiw0MDMxNSkvUF9DT01fU0hTX09VVCg0MDMxNSkpKS9GR","V9FU1RJTUFURSgnRVBTJywnTUVBTicsJ0FOTlVBTF9ST0xMJywnKzEnLDQwMzE1LCwsJycp&amp;WINDOW=FIRST_POPUP&amp;HEIGHT=450&amp;WIDTH=450&amp;START_MAXIMIZED=FALSE&amp;VAR:CALENDAR=US&amp;VAR:SYMBOL=38259P50&amp;VAR:INDEX=0"}</definedName>
    <definedName name="_257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4"}</definedName>
    <definedName name="_2570__FDSAUDITLINK__">{"fdsup://directions/FAT Viewer?action=UPDATE&amp;creator=factset&amp;DYN_ARGS=TRUE&amp;DOC_NAME=FAT:FQL_AUDITING_CLIENT_TEMPLATE.FAT&amp;display_string=Audit&amp;VAR:KEY=AFMVGLSXEZ&amp;VAR:QUERY=KFBfUFJJQ0UoNDAzMTUpLShGRl9DQVNIX1NUKFFUUiw0MDMxNSkvUF9DT01fU0hTX09VVCg0MDMxNSkpKS9GR","V9FU1RJTUFURSgnRVBTJywnTUVBTicsJ0FOTlVBTF9ST0xMJywnKzEnLDQwMzE1LCwsJycp&amp;WINDOW=FIRST_POPUP&amp;HEIGHT=450&amp;WIDTH=450&amp;START_MAXIMIZED=FALSE&amp;VAR:CALENDAR=US&amp;VAR:SYMBOL=38259P50&amp;VAR:INDEX=0"}</definedName>
    <definedName name="_2571__FDSAUDITLINK__">{"fdsup://directions/FAT Viewer?action=UPDATE&amp;creator=factset&amp;DYN_ARGS=TRUE&amp;DOC_NAME=FAT:FQL_AUDITING_CLIENT_TEMPLATE.FAT&amp;display_string=Audit&amp;VAR:KEY=UDKLCZMHUZ&amp;VAR:QUERY=KFBfUFJJQ0UoNDAzMTQpLShGRl9DQVNIX1NUKFFUUiw0MDMxNCkvUF9DT01fU0hTX09VVCg0MDMxNCkpKS9GR","V9FU1RJTUFURSgnRVBTJywnTUVBTicsJ0FOTlVBTF9ST0xMJywnKzEnLDQwMzE0LCwsJycp&amp;WINDOW=FIRST_POPUP&amp;HEIGHT=450&amp;WIDTH=450&amp;START_MAXIMIZED=FALSE&amp;VAR:CALENDAR=US&amp;VAR:SYMBOL=38259P50&amp;VAR:INDEX=0"}</definedName>
    <definedName name="_2572__FDSAUDITLINK__">{"fdsup://directions/FAT Viewer?action=UPDATE&amp;creator=factset&amp;DYN_ARGS=TRUE&amp;DOC_NAME=FAT:FQL_AUDITING_CLIENT_TEMPLATE.FAT&amp;display_string=Audit&amp;VAR:KEY=UDKLCZMHUZ&amp;VAR:QUERY=KFBfUFJJQ0UoNDAzMTQpLShGRl9DQVNIX1NUKFFUUiw0MDMxNCkvUF9DT01fU0hTX09VVCg0MDMxNCkpKS9GR","V9FU1RJTUFURSgnRVBTJywnTUVBTicsJ0FOTlVBTF9ST0xMJywnKzEnLDQwMzE0LCwsJycp&amp;WINDOW=FIRST_POPUP&amp;HEIGHT=450&amp;WIDTH=450&amp;START_MAXIMIZED=FALSE&amp;VAR:CALENDAR=US&amp;VAR:SYMBOL=38259P50&amp;VAR:INDEX=0"}</definedName>
    <definedName name="_2573__FDSAUDITLINK__">{"fdsup://directions/FAT Viewer?action=UPDATE&amp;creator=factset&amp;DYN_ARGS=TRUE&amp;DOC_NAME=FAT:FQL_AUDITING_CLIENT_TEMPLATE.FAT&amp;display_string=Audit&amp;VAR:KEY=EPGROFCZEH&amp;VAR:QUERY=KFBfUFJJQ0UoNDAzMTMpLShGRl9DQVNIX1NUKFFUUiw0MDMxMykvUF9DT01fU0hTX09VVCg0MDMxMykpKS9GR","V9FU1RJTUFURSgnRVBTJywnTUVBTicsJ0FOTlVBTF9ST0xMJywnKzEnLDQwMzEzLCwsJycp&amp;WINDOW=FIRST_POPUP&amp;HEIGHT=450&amp;WIDTH=450&amp;START_MAXIMIZED=FALSE&amp;VAR:CALENDAR=US&amp;VAR:SYMBOL=38259P50&amp;VAR:INDEX=0"}</definedName>
    <definedName name="_2574__FDSAUDITLINK__">{"fdsup://directions/FAT Viewer?action=UPDATE&amp;creator=factset&amp;DYN_ARGS=TRUE&amp;DOC_NAME=FAT:FQL_AUDITING_CLIENT_TEMPLATE.FAT&amp;display_string=Audit&amp;VAR:KEY=EPGROFCZEH&amp;VAR:QUERY=KFBfUFJJQ0UoNDAzMTMpLShGRl9DQVNIX1NUKFFUUiw0MDMxMykvUF9DT01fU0hTX09VVCg0MDMxMykpKS9GR","V9FU1RJTUFURSgnRVBTJywnTUVBTicsJ0FOTlVBTF9ST0xMJywnKzEnLDQwMzEzLCwsJycp&amp;WINDOW=FIRST_POPUP&amp;HEIGHT=450&amp;WIDTH=450&amp;START_MAXIMIZED=FALSE&amp;VAR:CALENDAR=US&amp;VAR:SYMBOL=38259P50&amp;VAR:INDEX=0"}</definedName>
    <definedName name="_2575__FDSAUDITLINK__">{"fdsup://directions/FAT Viewer?action=UPDATE&amp;creator=factset&amp;DYN_ARGS=TRUE&amp;DOC_NAME=FAT:FQL_AUDITING_CLIENT_TEMPLATE.FAT&amp;display_string=Audit&amp;VAR:KEY=QTADQLQBGB&amp;VAR:QUERY=KFBfUFJJQ0UoNDAzMTIpLShGRl9DQVNIX1NUKFFUUiw0MDMxMikvUF9DT01fU0hTX09VVCg0MDMxMikpKS9GR","V9FU1RJTUFURSgnRVBTJywnTUVBTicsJ0FOTlVBTF9ST0xMJywnKzEnLDQwMzEyLCwsJycp&amp;WINDOW=FIRST_POPUP&amp;HEIGHT=450&amp;WIDTH=450&amp;START_MAXIMIZED=FALSE&amp;VAR:CALENDAR=US&amp;VAR:SYMBOL=38259P50&amp;VAR:INDEX=0"}</definedName>
    <definedName name="_2576__FDSAUDITLINK__">{"fdsup://directions/FAT Viewer?action=UPDATE&amp;creator=factset&amp;DYN_ARGS=TRUE&amp;DOC_NAME=FAT:FQL_AUDITING_CLIENT_TEMPLATE.FAT&amp;display_string=Audit&amp;VAR:KEY=QTADQLQBGB&amp;VAR:QUERY=KFBfUFJJQ0UoNDAzMTIpLShGRl9DQVNIX1NUKFFUUiw0MDMxMikvUF9DT01fU0hTX09VVCg0MDMxMikpKS9GR","V9FU1RJTUFURSgnRVBTJywnTUVBTicsJ0FOTlVBTF9ST0xMJywnKzEnLDQwMzEyLCwsJycp&amp;WINDOW=FIRST_POPUP&amp;HEIGHT=450&amp;WIDTH=450&amp;START_MAXIMIZED=FALSE&amp;VAR:CALENDAR=US&amp;VAR:SYMBOL=38259P50&amp;VAR:INDEX=0"}</definedName>
    <definedName name="_2577__FDSAUDITLINK__">{"fdsup://directions/FAT Viewer?action=UPDATE&amp;creator=factset&amp;DYN_ARGS=TRUE&amp;DOC_NAME=FAT:FQL_AUDITING_CLIENT_TEMPLATE.FAT&amp;display_string=Audit&amp;VAR:KEY=URSHOLGZGV&amp;VAR:QUERY=KFBfUFJJQ0UoNDAzMTEpLShGRl9DQVNIX1NUKFFUUiw0MDMxMSkvUF9DT01fU0hTX09VVCg0MDMxMSkpKS9GR","V9FU1RJTUFURSgnRVBTJywnTUVBTicsJ0FOTlVBTF9ST0xMJywnKzEnLDQwMzExLCwsJycp&amp;WINDOW=FIRST_POPUP&amp;HEIGHT=450&amp;WIDTH=450&amp;START_MAXIMIZED=FALSE&amp;VAR:CALENDAR=US&amp;VAR:SYMBOL=38259P50&amp;VAR:INDEX=0"}</definedName>
    <definedName name="_2578__FDSAUDITLINK__">{"fdsup://directions/FAT Viewer?action=UPDATE&amp;creator=factset&amp;DYN_ARGS=TRUE&amp;DOC_NAME=FAT:FQL_AUDITING_CLIENT_TEMPLATE.FAT&amp;display_string=Audit&amp;VAR:KEY=URSHOLGZGV&amp;VAR:QUERY=KFBfUFJJQ0UoNDAzMTEpLShGRl9DQVNIX1NUKFFUUiw0MDMxMSkvUF9DT01fU0hTX09VVCg0MDMxMSkpKS9GR","V9FU1RJTUFURSgnRVBTJywnTUVBTicsJ0FOTlVBTF9ST0xMJywnKzEnLDQwMzExLCwsJycp&amp;WINDOW=FIRST_POPUP&amp;HEIGHT=450&amp;WIDTH=450&amp;START_MAXIMIZED=FALSE&amp;VAR:CALENDAR=US&amp;VAR:SYMBOL=38259P50&amp;VAR:INDEX=0"}</definedName>
    <definedName name="_2579__FDSAUDITLINK__">{"fdsup://directions/FAT Viewer?action=UPDATE&amp;creator=factset&amp;DYN_ARGS=TRUE&amp;DOC_NAME=FAT:FQL_AUDITING_CLIENT_TEMPLATE.FAT&amp;display_string=Audit&amp;VAR:KEY=YDCJIXCTYH&amp;VAR:QUERY=KFBfUFJJQ0UoNDAzMTApLShGRl9DQVNIX1NUKFFUUiw0MDMxMCkvUF9DT01fU0hTX09VVCg0MDMxMCkpKS9GR","V9FU1RJTUFURSgnRVBTJywnTUVBTicsJ0FOTlVBTF9ST0xMJywnKzEnLDQwMzEwLCwsJycp&amp;WINDOW=FIRST_POPUP&amp;HEIGHT=450&amp;WIDTH=450&amp;START_MAXIMIZED=FALSE&amp;VAR:CALENDAR=US&amp;VAR:SYMBOL=38259P50&amp;VAR:INDEX=0"}</definedName>
    <definedName name="_258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3"}</definedName>
    <definedName name="_2580__FDSAUDITLINK__">{"fdsup://directions/FAT Viewer?action=UPDATE&amp;creator=factset&amp;DYN_ARGS=TRUE&amp;DOC_NAME=FAT:FQL_AUDITING_CLIENT_TEMPLATE.FAT&amp;display_string=Audit&amp;VAR:KEY=YDCJIXCTYH&amp;VAR:QUERY=KFBfUFJJQ0UoNDAzMTApLShGRl9DQVNIX1NUKFFUUiw0MDMxMCkvUF9DT01fU0hTX09VVCg0MDMxMCkpKS9GR","V9FU1RJTUFURSgnRVBTJywnTUVBTicsJ0FOTlVBTF9ST0xMJywnKzEnLDQwMzEwLCwsJycp&amp;WINDOW=FIRST_POPUP&amp;HEIGHT=450&amp;WIDTH=450&amp;START_MAXIMIZED=FALSE&amp;VAR:CALENDAR=US&amp;VAR:SYMBOL=38259P50&amp;VAR:INDEX=0"}</definedName>
    <definedName name="_2581__FDSAUDITLINK__">{"fdsup://directions/FAT Viewer?action=UPDATE&amp;creator=factset&amp;DYN_ARGS=TRUE&amp;DOC_NAME=FAT:FQL_AUDITING_CLIENT_TEMPLATE.FAT&amp;display_string=Audit&amp;VAR:KEY=EBQDKZMPAP&amp;VAR:QUERY=KFBfUFJJQ0UoNDAzMDkpLShGRl9DQVNIX1NUKFFUUiw0MDMwOSkvUF9DT01fU0hTX09VVCg0MDMwOSkpKS9GR","V9FU1RJTUFURSgnRVBTJywnTUVBTicsJ0FOTlVBTF9ST0xMJywnKzEnLDQwMzA5LCwsJycp&amp;WINDOW=FIRST_POPUP&amp;HEIGHT=450&amp;WIDTH=450&amp;START_MAXIMIZED=FALSE&amp;VAR:CALENDAR=US&amp;VAR:SYMBOL=38259P50&amp;VAR:INDEX=0"}</definedName>
    <definedName name="_2582__FDSAUDITLINK__">{"fdsup://directions/FAT Viewer?action=UPDATE&amp;creator=factset&amp;DYN_ARGS=TRUE&amp;DOC_NAME=FAT:FQL_AUDITING_CLIENT_TEMPLATE.FAT&amp;display_string=Audit&amp;VAR:KEY=EBQDKZMPAP&amp;VAR:QUERY=KFBfUFJJQ0UoNDAzMDkpLShGRl9DQVNIX1NUKFFUUiw0MDMwOSkvUF9DT01fU0hTX09VVCg0MDMwOSkpKS9GR","V9FU1RJTUFURSgnRVBTJywnTUVBTicsJ0FOTlVBTF9ST0xMJywnKzEnLDQwMzA5LCwsJycp&amp;WINDOW=FIRST_POPUP&amp;HEIGHT=450&amp;WIDTH=450&amp;START_MAXIMIZED=FALSE&amp;VAR:CALENDAR=US&amp;VAR:SYMBOL=38259P50&amp;VAR:INDEX=0"}</definedName>
    <definedName name="_2583__FDSAUDITLINK__">{"fdsup://directions/FAT Viewer?action=UPDATE&amp;creator=factset&amp;DYN_ARGS=TRUE&amp;DOC_NAME=FAT:FQL_AUDITING_CLIENT_TEMPLATE.FAT&amp;display_string=Audit&amp;VAR:KEY=YHMDWZIBWZ&amp;VAR:QUERY=KFBfUFJJQ0UoNDAzMDgpLShGRl9DQVNIX1NUKFFUUiw0MDMwOCkvUF9DT01fU0hTX09VVCg0MDMwOCkpKS9GR","V9FU1RJTUFURSgnRVBTJywnTUVBTicsJ0FOTlVBTF9ST0xMJywnKzEnLDQwMzA4LCwsJycp&amp;WINDOW=FIRST_POPUP&amp;HEIGHT=450&amp;WIDTH=450&amp;START_MAXIMIZED=FALSE&amp;VAR:CALENDAR=US&amp;VAR:SYMBOL=38259P50&amp;VAR:INDEX=0"}</definedName>
    <definedName name="_2584__FDSAUDITLINK__">{"fdsup://directions/FAT Viewer?action=UPDATE&amp;creator=factset&amp;DYN_ARGS=TRUE&amp;DOC_NAME=FAT:FQL_AUDITING_CLIENT_TEMPLATE.FAT&amp;display_string=Audit&amp;VAR:KEY=YHMDWZIBWZ&amp;VAR:QUERY=KFBfUFJJQ0UoNDAzMDgpLShGRl9DQVNIX1NUKFFUUiw0MDMwOCkvUF9DT01fU0hTX09VVCg0MDMwOCkpKS9GR","V9FU1RJTUFURSgnRVBTJywnTUVBTicsJ0FOTlVBTF9ST0xMJywnKzEnLDQwMzA4LCwsJycp&amp;WINDOW=FIRST_POPUP&amp;HEIGHT=450&amp;WIDTH=450&amp;START_MAXIMIZED=FALSE&amp;VAR:CALENDAR=US&amp;VAR:SYMBOL=38259P50&amp;VAR:INDEX=0"}</definedName>
    <definedName name="_2585__FDSAUDITLINK__">{"fdsup://directions/FAT Viewer?action=UPDATE&amp;creator=factset&amp;DYN_ARGS=TRUE&amp;DOC_NAME=FAT:FQL_AUDITING_CLIENT_TEMPLATE.FAT&amp;display_string=Audit&amp;VAR:KEY=URAXGDGDIF&amp;VAR:QUERY=KFBfUFJJQ0UoNDAzMDcpLShGRl9DQVNIX1NUKFFUUiw0MDMwNykvUF9DT01fU0hTX09VVCg0MDMwNykpKS9GR","V9FU1RJTUFURSgnRVBTJywnTUVBTicsJ0FOTlVBTF9ST0xMJywnKzEnLDQwMzA3LCwsJycp&amp;WINDOW=FIRST_POPUP&amp;HEIGHT=450&amp;WIDTH=450&amp;START_MAXIMIZED=FALSE&amp;VAR:CALENDAR=US&amp;VAR:SYMBOL=38259P50&amp;VAR:INDEX=0"}</definedName>
    <definedName name="_2586__FDSAUDITLINK__">{"fdsup://directions/FAT Viewer?action=UPDATE&amp;creator=factset&amp;DYN_ARGS=TRUE&amp;DOC_NAME=FAT:FQL_AUDITING_CLIENT_TEMPLATE.FAT&amp;display_string=Audit&amp;VAR:KEY=URAXGDGDIF&amp;VAR:QUERY=KFBfUFJJQ0UoNDAzMDcpLShGRl9DQVNIX1NUKFFUUiw0MDMwNykvUF9DT01fU0hTX09VVCg0MDMwNykpKS9GR","V9FU1RJTUFURSgnRVBTJywnTUVBTicsJ0FOTlVBTF9ST0xMJywnKzEnLDQwMzA3LCwsJycp&amp;WINDOW=FIRST_POPUP&amp;HEIGHT=450&amp;WIDTH=450&amp;START_MAXIMIZED=FALSE&amp;VAR:CALENDAR=US&amp;VAR:SYMBOL=38259P50&amp;VAR:INDEX=0"}</definedName>
    <definedName name="_2587__FDSAUDITLINK__">{"fdsup://directions/FAT Viewer?action=UPDATE&amp;creator=factset&amp;DYN_ARGS=TRUE&amp;DOC_NAME=FAT:FQL_AUDITING_CLIENT_TEMPLATE.FAT&amp;display_string=Audit&amp;VAR:KEY=APQLCDWPOR&amp;VAR:QUERY=KFBfUFJJQ0UoNDAzMDYpLShGRl9DQVNIX1NUKFFUUiw0MDMwNikvUF9DT01fU0hTX09VVCg0MDMwNikpKS9GR","V9FU1RJTUFURSgnRVBTJywnTUVBTicsJ0FOTlVBTF9ST0xMJywnKzEnLDQwMzA2LCwsJycp&amp;WINDOW=FIRST_POPUP&amp;HEIGHT=450&amp;WIDTH=450&amp;START_MAXIMIZED=FALSE&amp;VAR:CALENDAR=US&amp;VAR:SYMBOL=38259P50&amp;VAR:INDEX=0"}</definedName>
    <definedName name="_2588__FDSAUDITLINK__">{"fdsup://directions/FAT Viewer?action=UPDATE&amp;creator=factset&amp;DYN_ARGS=TRUE&amp;DOC_NAME=FAT:FQL_AUDITING_CLIENT_TEMPLATE.FAT&amp;display_string=Audit&amp;VAR:KEY=APQLCDWPOR&amp;VAR:QUERY=KFBfUFJJQ0UoNDAzMDYpLShGRl9DQVNIX1NUKFFUUiw0MDMwNikvUF9DT01fU0hTX09VVCg0MDMwNikpKS9GR","V9FU1RJTUFURSgnRVBTJywnTUVBTicsJ0FOTlVBTF9ST0xMJywnKzEnLDQwMzA2LCwsJycp&amp;WINDOW=FIRST_POPUP&amp;HEIGHT=450&amp;WIDTH=450&amp;START_MAXIMIZED=FALSE&amp;VAR:CALENDAR=US&amp;VAR:SYMBOL=38259P50&amp;VAR:INDEX=0"}</definedName>
    <definedName name="_2589__FDSAUDITLINK__">{"fdsup://directions/FAT Viewer?action=UPDATE&amp;creator=factset&amp;DYN_ARGS=TRUE&amp;DOC_NAME=FAT:FQL_AUDITING_CLIENT_TEMPLATE.FAT&amp;display_string=Audit&amp;VAR:KEY=GTELWXIZWN&amp;VAR:QUERY=KFBfUFJJQ0UoNDAzMDUpLShGRl9DQVNIX1NUKFFUUiw0MDMwNSkvUF9DT01fU0hTX09VVCg0MDMwNSkpKS9GR","V9FU1RJTUFURSgnRVBTJywnTUVBTicsJ0FOTlVBTF9ST0xMJywnKzEnLDQwMzA1LCwsJycp&amp;WINDOW=FIRST_POPUP&amp;HEIGHT=450&amp;WIDTH=450&amp;START_MAXIMIZED=FALSE&amp;VAR:CALENDAR=US&amp;VAR:SYMBOL=38259P50&amp;VAR:INDEX=0"}</definedName>
    <definedName name="_259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2"}</definedName>
    <definedName name="_2590__FDSAUDITLINK__">{"fdsup://directions/FAT Viewer?action=UPDATE&amp;creator=factset&amp;DYN_ARGS=TRUE&amp;DOC_NAME=FAT:FQL_AUDITING_CLIENT_TEMPLATE.FAT&amp;display_string=Audit&amp;VAR:KEY=GTELWXIZWN&amp;VAR:QUERY=KFBfUFJJQ0UoNDAzMDUpLShGRl9DQVNIX1NUKFFUUiw0MDMwNSkvUF9DT01fU0hTX09VVCg0MDMwNSkpKS9GR","V9FU1RJTUFURSgnRVBTJywnTUVBTicsJ0FOTlVBTF9ST0xMJywnKzEnLDQwMzA1LCwsJycp&amp;WINDOW=FIRST_POPUP&amp;HEIGHT=450&amp;WIDTH=450&amp;START_MAXIMIZED=FALSE&amp;VAR:CALENDAR=US&amp;VAR:SYMBOL=38259P50&amp;VAR:INDEX=0"}</definedName>
    <definedName name="_2591__FDSAUDITLINK__">{"fdsup://directions/FAT Viewer?action=UPDATE&amp;creator=factset&amp;DYN_ARGS=TRUE&amp;DOC_NAME=FAT:FQL_AUDITING_CLIENT_TEMPLATE.FAT&amp;display_string=Audit&amp;VAR:KEY=UXIRUJOTGJ&amp;VAR:QUERY=KFBfUFJJQ0UoNDAzMDQpLShGRl9DQVNIX1NUKFFUUiw0MDMwNCkvUF9DT01fU0hTX09VVCg0MDMwNCkpKS9GR","V9FU1RJTUFURSgnRVBTJywnTUVBTicsJ0FOTlVBTF9ST0xMJywnKzEnLDQwMzA0LCwsJycp&amp;WINDOW=FIRST_POPUP&amp;HEIGHT=450&amp;WIDTH=450&amp;START_MAXIMIZED=FALSE&amp;VAR:CALENDAR=US&amp;VAR:SYMBOL=38259P50&amp;VAR:INDEX=0"}</definedName>
    <definedName name="_2592__FDSAUDITLINK__">{"fdsup://directions/FAT Viewer?action=UPDATE&amp;creator=factset&amp;DYN_ARGS=TRUE&amp;DOC_NAME=FAT:FQL_AUDITING_CLIENT_TEMPLATE.FAT&amp;display_string=Audit&amp;VAR:KEY=UXIRUJOTGJ&amp;VAR:QUERY=KFBfUFJJQ0UoNDAzMDQpLShGRl9DQVNIX1NUKFFUUiw0MDMwNCkvUF9DT01fU0hTX09VVCg0MDMwNCkpKS9GR","V9FU1RJTUFURSgnRVBTJywnTUVBTicsJ0FOTlVBTF9ST0xMJywnKzEnLDQwMzA0LCwsJycp&amp;WINDOW=FIRST_POPUP&amp;HEIGHT=450&amp;WIDTH=450&amp;START_MAXIMIZED=FALSE&amp;VAR:CALENDAR=US&amp;VAR:SYMBOL=38259P50&amp;VAR:INDEX=0"}</definedName>
    <definedName name="_2593__FDSAUDITLINK__">{"fdsup://directions/FAT Viewer?action=UPDATE&amp;creator=factset&amp;DYN_ARGS=TRUE&amp;DOC_NAME=FAT:FQL_AUDITING_CLIENT_TEMPLATE.FAT&amp;display_string=Audit&amp;VAR:KEY=STMFQLCZGL&amp;VAR:QUERY=KFBfUFJJQ0UoNDAzMDMpLShGRl9DQVNIX1NUKFFUUiw0MDMwMykvUF9DT01fU0hTX09VVCg0MDMwMykpKS9GR","V9FU1RJTUFURSgnRVBTJywnTUVBTicsJ0FOTlVBTF9ST0xMJywnKzEnLDQwMzAzLCwsJycp&amp;WINDOW=FIRST_POPUP&amp;HEIGHT=450&amp;WIDTH=450&amp;START_MAXIMIZED=FALSE&amp;VAR:CALENDAR=US&amp;VAR:SYMBOL=38259P50&amp;VAR:INDEX=0"}</definedName>
    <definedName name="_2594__FDSAUDITLINK__">{"fdsup://directions/FAT Viewer?action=UPDATE&amp;creator=factset&amp;DYN_ARGS=TRUE&amp;DOC_NAME=FAT:FQL_AUDITING_CLIENT_TEMPLATE.FAT&amp;display_string=Audit&amp;VAR:KEY=STMFQLCZGL&amp;VAR:QUERY=KFBfUFJJQ0UoNDAzMDMpLShGRl9DQVNIX1NUKFFUUiw0MDMwMykvUF9DT01fU0hTX09VVCg0MDMwMykpKS9GR","V9FU1RJTUFURSgnRVBTJywnTUVBTicsJ0FOTlVBTF9ST0xMJywnKzEnLDQwMzAzLCwsJycp&amp;WINDOW=FIRST_POPUP&amp;HEIGHT=450&amp;WIDTH=450&amp;START_MAXIMIZED=FALSE&amp;VAR:CALENDAR=US&amp;VAR:SYMBOL=38259P50&amp;VAR:INDEX=0"}</definedName>
    <definedName name="_2595__FDSAUDITLINK__">{"fdsup://directions/FAT Viewer?action=UPDATE&amp;creator=factset&amp;DYN_ARGS=TRUE&amp;DOC_NAME=FAT:FQL_AUDITING_CLIENT_TEMPLATE.FAT&amp;display_string=Audit&amp;VAR:KEY=ENAVAPSJCJ&amp;VAR:QUERY=KFBfUFJJQ0UoNDAzMDIpLShGRl9DQVNIX1NUKFFUUiw0MDMwMikvUF9DT01fU0hTX09VVCg0MDMwMikpKS9GR","V9FU1RJTUFURSgnRVBTJywnTUVBTicsJ0FOTlVBTF9ST0xMJywnKzEnLDQwMzAyLCwsJycp&amp;WINDOW=FIRST_POPUP&amp;HEIGHT=450&amp;WIDTH=450&amp;START_MAXIMIZED=FALSE&amp;VAR:CALENDAR=US&amp;VAR:SYMBOL=38259P50&amp;VAR:INDEX=0"}</definedName>
    <definedName name="_2596__FDSAUDITLINK__">{"fdsup://directions/FAT Viewer?action=UPDATE&amp;creator=factset&amp;DYN_ARGS=TRUE&amp;DOC_NAME=FAT:FQL_AUDITING_CLIENT_TEMPLATE.FAT&amp;display_string=Audit&amp;VAR:KEY=ENAVAPSJCJ&amp;VAR:QUERY=KFBfUFJJQ0UoNDAzMDIpLShGRl9DQVNIX1NUKFFUUiw0MDMwMikvUF9DT01fU0hTX09VVCg0MDMwMikpKS9GR","V9FU1RJTUFURSgnRVBTJywnTUVBTicsJ0FOTlVBTF9ST0xMJywnKzEnLDQwMzAyLCwsJycp&amp;WINDOW=FIRST_POPUP&amp;HEIGHT=450&amp;WIDTH=450&amp;START_MAXIMIZED=FALSE&amp;VAR:CALENDAR=US&amp;VAR:SYMBOL=38259P50&amp;VAR:INDEX=0"}</definedName>
    <definedName name="_2597__FDSAUDITLINK__">{"fdsup://directions/FAT Viewer?action=UPDATE&amp;creator=factset&amp;DYN_ARGS=TRUE&amp;DOC_NAME=FAT:FQL_AUDITING_CLIENT_TEMPLATE.FAT&amp;display_string=Audit&amp;VAR:KEY=KVQDEXQBGV&amp;VAR:QUERY=KFBfUFJJQ0UoNDAzMDEpLShGRl9DQVNIX1NUKFFUUiw0MDMwMSkvUF9DT01fU0hTX09VVCg0MDMwMSkpKS9GR","V9FU1RJTUFURSgnRVBTJywnTUVBTicsJ0FOTlVBTF9ST0xMJywnKzEnLDQwMzAxLCwsJycp&amp;WINDOW=FIRST_POPUP&amp;HEIGHT=450&amp;WIDTH=450&amp;START_MAXIMIZED=FALSE&amp;VAR:CALENDAR=US&amp;VAR:SYMBOL=38259P50&amp;VAR:INDEX=0"}</definedName>
    <definedName name="_2598__FDSAUDITLINK__">{"fdsup://directions/FAT Viewer?action=UPDATE&amp;creator=factset&amp;DYN_ARGS=TRUE&amp;DOC_NAME=FAT:FQL_AUDITING_CLIENT_TEMPLATE.FAT&amp;display_string=Audit&amp;VAR:KEY=KVQDEXQBGV&amp;VAR:QUERY=KFBfUFJJQ0UoNDAzMDEpLShGRl9DQVNIX1NUKFFUUiw0MDMwMSkvUF9DT01fU0hTX09VVCg0MDMwMSkpKS9GR","V9FU1RJTUFURSgnRVBTJywnTUVBTicsJ0FOTlVBTF9ST0xMJywnKzEnLDQwMzAxLCwsJycp&amp;WINDOW=FIRST_POPUP&amp;HEIGHT=450&amp;WIDTH=450&amp;START_MAXIMIZED=FALSE&amp;VAR:CALENDAR=US&amp;VAR:SYMBOL=38259P50&amp;VAR:INDEX=0"}</definedName>
    <definedName name="_2599__FDSAUDITLINK__">{"fdsup://directions/FAT Viewer?action=UPDATE&amp;creator=factset&amp;DYN_ARGS=TRUE&amp;DOC_NAME=FAT:FQL_AUDITING_CLIENT_TEMPLATE.FAT&amp;display_string=Audit&amp;VAR:KEY=ATWFORERMB&amp;VAR:QUERY=KFBfUFJJQ0UoNDAzMDApLShGRl9DQVNIX1NUKFFUUiw0MDMwMCkvUF9DT01fU0hTX09VVCg0MDMwMCkpKS9GR","V9FU1RJTUFURSgnRVBTJywnTUVBTicsJ0FOTlVBTF9ST0xMJywnKzEnLDQwMzAwLCwsJycp&amp;WINDOW=FIRST_POPUP&amp;HEIGHT=450&amp;WIDTH=450&amp;START_MAXIMIZED=FALSE&amp;VAR:CALENDAR=US&amp;VAR:SYMBOL=38259P50&amp;VAR:INDEX=0"}</definedName>
    <definedName name="_2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15.735658&amp;VAR:V0=16.119072&amp;VAR:V1=14.669474&amp;VAR:Y0=2005&amp;VAR:Y1=2006&amp;VAR:P=1180.591000&amp;VAR:DATE=20050331&amp;VAR:THRESH=-|-|","-|-|-|-|-"}</definedName>
    <definedName name="_260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1"}</definedName>
    <definedName name="_2600__FDSAUDITLINK__">{"fdsup://directions/FAT Viewer?action=UPDATE&amp;creator=factset&amp;DYN_ARGS=TRUE&amp;DOC_NAME=FAT:FQL_AUDITING_CLIENT_TEMPLATE.FAT&amp;display_string=Audit&amp;VAR:KEY=ATWFORERMB&amp;VAR:QUERY=KFBfUFJJQ0UoNDAzMDApLShGRl9DQVNIX1NUKFFUUiw0MDMwMCkvUF9DT01fU0hTX09VVCg0MDMwMCkpKS9GR","V9FU1RJTUFURSgnRVBTJywnTUVBTicsJ0FOTlVBTF9ST0xMJywnKzEnLDQwMzAwLCwsJycp&amp;WINDOW=FIRST_POPUP&amp;HEIGHT=450&amp;WIDTH=450&amp;START_MAXIMIZED=FALSE&amp;VAR:CALENDAR=US&amp;VAR:SYMBOL=38259P50&amp;VAR:INDEX=0"}</definedName>
    <definedName name="_2601__FDSAUDITLINK__">{"fdsup://directions/FAT Viewer?action=UPDATE&amp;creator=factset&amp;DYN_ARGS=TRUE&amp;DOC_NAME=FAT:FQL_AUDITING_CLIENT_TEMPLATE.FAT&amp;display_string=Audit&amp;VAR:KEY=INKNMHILGF&amp;VAR:QUERY=KFBfUFJJQ0UoNDAyOTkpLShGRl9DQVNIX1NUKFFUUiw0MDI5OSkvUF9DT01fU0hTX09VVCg0MDI5OSkpKS9GR","V9FU1RJTUFURSgnRVBTJywnTUVBTicsJ0FOTlVBTF9ST0xMJywnKzEnLDQwMjk5LCwsJycp&amp;WINDOW=FIRST_POPUP&amp;HEIGHT=450&amp;WIDTH=450&amp;START_MAXIMIZED=FALSE&amp;VAR:CALENDAR=US&amp;VAR:SYMBOL=38259P50&amp;VAR:INDEX=0"}</definedName>
    <definedName name="_2602__FDSAUDITLINK__">{"fdsup://directions/FAT Viewer?action=UPDATE&amp;creator=factset&amp;DYN_ARGS=TRUE&amp;DOC_NAME=FAT:FQL_AUDITING_CLIENT_TEMPLATE.FAT&amp;display_string=Audit&amp;VAR:KEY=INKNMHILGF&amp;VAR:QUERY=KFBfUFJJQ0UoNDAyOTkpLShGRl9DQVNIX1NUKFFUUiw0MDI5OSkvUF9DT01fU0hTX09VVCg0MDI5OSkpKS9GR","V9FU1RJTUFURSgnRVBTJywnTUVBTicsJ0FOTlVBTF9ST0xMJywnKzEnLDQwMjk5LCwsJycp&amp;WINDOW=FIRST_POPUP&amp;HEIGHT=450&amp;WIDTH=450&amp;START_MAXIMIZED=FALSE&amp;VAR:CALENDAR=US&amp;VAR:SYMBOL=38259P50&amp;VAR:INDEX=0"}</definedName>
    <definedName name="_2603__FDSAUDITLINK__">{"fdsup://directions/FAT Viewer?action=UPDATE&amp;creator=factset&amp;DYN_ARGS=TRUE&amp;DOC_NAME=FAT:FQL_AUDITING_CLIENT_TEMPLATE.FAT&amp;display_string=Audit&amp;VAR:KEY=YTEVCNUTQH&amp;VAR:QUERY=KFBfUFJJQ0UoNDAyOTgpLShGRl9DQVNIX1NUKFFUUiw0MDI5OCkvUF9DT01fU0hTX09VVCg0MDI5OCkpKS9GR","V9FU1RJTUFURSgnRVBTJywnTUVBTicsJ0FOTlVBTF9ST0xMJywnKzEnLDQwMjk4LCwsJycp&amp;WINDOW=FIRST_POPUP&amp;HEIGHT=450&amp;WIDTH=450&amp;START_MAXIMIZED=FALSE&amp;VAR:CALENDAR=US&amp;VAR:SYMBOL=38259P50&amp;VAR:INDEX=0"}</definedName>
    <definedName name="_2604__FDSAUDITLINK__">{"fdsup://directions/FAT Viewer?action=UPDATE&amp;creator=factset&amp;DYN_ARGS=TRUE&amp;DOC_NAME=FAT:FQL_AUDITING_CLIENT_TEMPLATE.FAT&amp;display_string=Audit&amp;VAR:KEY=YTEVCNUTQH&amp;VAR:QUERY=KFBfUFJJQ0UoNDAyOTgpLShGRl9DQVNIX1NUKFFUUiw0MDI5OCkvUF9DT01fU0hTX09VVCg0MDI5OCkpKS9GR","V9FU1RJTUFURSgnRVBTJywnTUVBTicsJ0FOTlVBTF9ST0xMJywnKzEnLDQwMjk4LCwsJycp&amp;WINDOW=FIRST_POPUP&amp;HEIGHT=450&amp;WIDTH=450&amp;START_MAXIMIZED=FALSE&amp;VAR:CALENDAR=US&amp;VAR:SYMBOL=38259P50&amp;VAR:INDEX=0"}</definedName>
    <definedName name="_2605__FDSAUDITLINK__">{"fdsup://directions/FAT Viewer?action=UPDATE&amp;creator=factset&amp;DYN_ARGS=TRUE&amp;DOC_NAME=FAT:FQL_AUDITING_CLIENT_TEMPLATE.FAT&amp;display_string=Audit&amp;VAR:KEY=MLIVATIXKF&amp;VAR:QUERY=KFBfUFJJQ0UoNDAyOTcpLShGRl9DQVNIX1NUKFFUUiw0MDI5NykvUF9DT01fU0hTX09VVCg0MDI5NykpKS9GR","V9FU1RJTUFURSgnRVBTJywnTUVBTicsJ0FOTlVBTF9ST0xMJywnKzEnLDQwMjk3LCwsJycp&amp;WINDOW=FIRST_POPUP&amp;HEIGHT=450&amp;WIDTH=450&amp;START_MAXIMIZED=FALSE&amp;VAR:CALENDAR=US&amp;VAR:SYMBOL=38259P50&amp;VAR:INDEX=0"}</definedName>
    <definedName name="_2606__FDSAUDITLINK__">{"fdsup://directions/FAT Viewer?action=UPDATE&amp;creator=factset&amp;DYN_ARGS=TRUE&amp;DOC_NAME=FAT:FQL_AUDITING_CLIENT_TEMPLATE.FAT&amp;display_string=Audit&amp;VAR:KEY=MLIVATIXKF&amp;VAR:QUERY=KFBfUFJJQ0UoNDAyOTcpLShGRl9DQVNIX1NUKFFUUiw0MDI5NykvUF9DT01fU0hTX09VVCg0MDI5NykpKS9GR","V9FU1RJTUFURSgnRVBTJywnTUVBTicsJ0FOTlVBTF9ST0xMJywnKzEnLDQwMjk3LCwsJycp&amp;WINDOW=FIRST_POPUP&amp;HEIGHT=450&amp;WIDTH=450&amp;START_MAXIMIZED=FALSE&amp;VAR:CALENDAR=US&amp;VAR:SYMBOL=38259P50&amp;VAR:INDEX=0"}</definedName>
    <definedName name="_2607__FDSAUDITLINK__">{"fdsup://directions/FAT Viewer?action=UPDATE&amp;creator=factset&amp;DYN_ARGS=TRUE&amp;DOC_NAME=FAT:FQL_AUDITING_CLIENT_TEMPLATE.FAT&amp;display_string=Audit&amp;VAR:KEY=KHMZADATWL&amp;VAR:QUERY=KFBfUFJJQ0UoNDAyOTYpLShGRl9DQVNIX1NUKFFUUiw0MDI5NikvUF9DT01fU0hTX09VVCg0MDI5NikpKS9GR","V9FU1RJTUFURSgnRVBTJywnTUVBTicsJ0FOTlVBTF9ST0xMJywnKzEnLDQwMjk2LCwsJycp&amp;WINDOW=FIRST_POPUP&amp;HEIGHT=450&amp;WIDTH=450&amp;START_MAXIMIZED=FALSE&amp;VAR:CALENDAR=US&amp;VAR:SYMBOL=38259P50&amp;VAR:INDEX=0"}</definedName>
    <definedName name="_2608__FDSAUDITLINK__">{"fdsup://directions/FAT Viewer?action=UPDATE&amp;creator=factset&amp;DYN_ARGS=TRUE&amp;DOC_NAME=FAT:FQL_AUDITING_CLIENT_TEMPLATE.FAT&amp;display_string=Audit&amp;VAR:KEY=KHMZADATWL&amp;VAR:QUERY=KFBfUFJJQ0UoNDAyOTYpLShGRl9DQVNIX1NUKFFUUiw0MDI5NikvUF9DT01fU0hTX09VVCg0MDI5NikpKS9GR","V9FU1RJTUFURSgnRVBTJywnTUVBTicsJ0FOTlVBTF9ST0xMJywnKzEnLDQwMjk2LCwsJycp&amp;WINDOW=FIRST_POPUP&amp;HEIGHT=450&amp;WIDTH=450&amp;START_MAXIMIZED=FALSE&amp;VAR:CALENDAR=US&amp;VAR:SYMBOL=38259P50&amp;VAR:INDEX=0"}</definedName>
    <definedName name="_2609__FDSAUDITLINK__">{"fdsup://directions/FAT Viewer?action=UPDATE&amp;creator=factset&amp;DYN_ARGS=TRUE&amp;DOC_NAME=FAT:FQL_AUDITING_CLIENT_TEMPLATE.FAT&amp;display_string=Audit&amp;VAR:KEY=GLKNMHOLGR&amp;VAR:QUERY=KFBfUFJJQ0UoNDAyOTUpLShGRl9DQVNIX1NUKFFUUiw0MDI5NSkvUF9DT01fU0hTX09VVCg0MDI5NSkpKS9GR","V9FU1RJTUFURSgnRVBTJywnTUVBTicsJ0FOTlVBTF9ST0xMJywnKzEnLDQwMjk1LCwsJycp&amp;WINDOW=FIRST_POPUP&amp;HEIGHT=450&amp;WIDTH=450&amp;START_MAXIMIZED=FALSE&amp;VAR:CALENDAR=US&amp;VAR:SYMBOL=38259P50&amp;VAR:INDEX=0"}</definedName>
    <definedName name="_261__FDSAUDITLINK__">{"fdsup://directions/FAT Viewer?action=UPDATE&amp;creator=factset&amp;DYN_ARGS=TRUE&amp;DOC_NAME=FAT:FQL_AUDITING_CLIENT_TEMPLATE.FAT&amp;display_string=Audit&amp;VAR:KEY=QPUZQPYTMT&amp;VAR:QUERY=RkZfRU5UUlBSX1ZBTF9FQklUREFfT1BFUihBTk4sLTVBWSxOT1csVyk=&amp;WINDOW=FIRST_POPUP&amp;HEIGHT=45","0&amp;WIDTH=450&amp;START_MAXIMIZED=FALSE&amp;VAR:CALENDAR=US&amp;VAR:SYMBOL=GOOG&amp;VAR:INDEX=0"}</definedName>
    <definedName name="_2610__FDSAUDITLINK__">{"fdsup://directions/FAT Viewer?action=UPDATE&amp;creator=factset&amp;DYN_ARGS=TRUE&amp;DOC_NAME=FAT:FQL_AUDITING_CLIENT_TEMPLATE.FAT&amp;display_string=Audit&amp;VAR:KEY=GLKNMHOLGR&amp;VAR:QUERY=KFBfUFJJQ0UoNDAyOTUpLShGRl9DQVNIX1NUKFFUUiw0MDI5NSkvUF9DT01fU0hTX09VVCg0MDI5NSkpKS9GR","V9FU1RJTUFURSgnRVBTJywnTUVBTicsJ0FOTlVBTF9ST0xMJywnKzEnLDQwMjk1LCwsJycp&amp;WINDOW=FIRST_POPUP&amp;HEIGHT=450&amp;WIDTH=450&amp;START_MAXIMIZED=FALSE&amp;VAR:CALENDAR=US&amp;VAR:SYMBOL=38259P50&amp;VAR:INDEX=0"}</definedName>
    <definedName name="_2611__FDSAUDITLINK__">{"fdsup://directions/FAT Viewer?action=UPDATE&amp;creator=factset&amp;DYN_ARGS=TRUE&amp;DOC_NAME=FAT:FQL_AUDITING_CLIENT_TEMPLATE.FAT&amp;display_string=Audit&amp;VAR:KEY=KNMNCPIROR&amp;VAR:QUERY=KFBfUFJJQ0UoNDAyOTQpLShGRl9DQVNIX1NUKFFUUiw0MDI5NCkvUF9DT01fU0hTX09VVCg0MDI5NCkpKS9GR","V9FU1RJTUFURSgnRVBTJywnTUVBTicsJ0FOTlVBTF9ST0xMJywnKzEnLDQwMjk0LCwsJycp&amp;WINDOW=FIRST_POPUP&amp;HEIGHT=450&amp;WIDTH=450&amp;START_MAXIMIZED=FALSE&amp;VAR:CALENDAR=US&amp;VAR:SYMBOL=38259P50&amp;VAR:INDEX=0"}</definedName>
    <definedName name="_2612__FDSAUDITLINK__">{"fdsup://directions/FAT Viewer?action=UPDATE&amp;creator=factset&amp;DYN_ARGS=TRUE&amp;DOC_NAME=FAT:FQL_AUDITING_CLIENT_TEMPLATE.FAT&amp;display_string=Audit&amp;VAR:KEY=KNMNCPIROR&amp;VAR:QUERY=KFBfUFJJQ0UoNDAyOTQpLShGRl9DQVNIX1NUKFFUUiw0MDI5NCkvUF9DT01fU0hTX09VVCg0MDI5NCkpKS9GR","V9FU1RJTUFURSgnRVBTJywnTUVBTicsJ0FOTlVBTF9ST0xMJywnKzEnLDQwMjk0LCwsJycp&amp;WINDOW=FIRST_POPUP&amp;HEIGHT=450&amp;WIDTH=450&amp;START_MAXIMIZED=FALSE&amp;VAR:CALENDAR=US&amp;VAR:SYMBOL=38259P50&amp;VAR:INDEX=0"}</definedName>
    <definedName name="_2613__FDSAUDITLINK__">{"fdsup://directions/FAT Viewer?action=UPDATE&amp;creator=factset&amp;DYN_ARGS=TRUE&amp;DOC_NAME=FAT:FQL_AUDITING_CLIENT_TEMPLATE.FAT&amp;display_string=Audit&amp;VAR:KEY=ORKJIPMNQX&amp;VAR:QUERY=KFBfUFJJQ0UoNDAyOTMpLShGRl9DQVNIX1NUKFFUUiw0MDI5MykvUF9DT01fU0hTX09VVCg0MDI5MykpKS9GR","V9FU1RJTUFURSgnRVBTJywnTUVBTicsJ0FOTlVBTF9ST0xMJywnKzEnLDQwMjkzLCwsJycp&amp;WINDOW=FIRST_POPUP&amp;HEIGHT=450&amp;WIDTH=450&amp;START_MAXIMIZED=FALSE&amp;VAR:CALENDAR=US&amp;VAR:SYMBOL=38259P50&amp;VAR:INDEX=0"}</definedName>
    <definedName name="_2614__FDSAUDITLINK__">{"fdsup://directions/FAT Viewer?action=UPDATE&amp;creator=factset&amp;DYN_ARGS=TRUE&amp;DOC_NAME=FAT:FQL_AUDITING_CLIENT_TEMPLATE.FAT&amp;display_string=Audit&amp;VAR:KEY=ORKJIPMNQX&amp;VAR:QUERY=KFBfUFJJQ0UoNDAyOTMpLShGRl9DQVNIX1NUKFFUUiw0MDI5MykvUF9DT01fU0hTX09VVCg0MDI5MykpKS9GR","V9FU1RJTUFURSgnRVBTJywnTUVBTicsJ0FOTlVBTF9ST0xMJywnKzEnLDQwMjkzLCwsJycp&amp;WINDOW=FIRST_POPUP&amp;HEIGHT=450&amp;WIDTH=450&amp;START_MAXIMIZED=FALSE&amp;VAR:CALENDAR=US&amp;VAR:SYMBOL=38259P50&amp;VAR:INDEX=0"}</definedName>
    <definedName name="_2615__FDSAUDITLINK__">{"fdsup://directions/FAT Viewer?action=UPDATE&amp;creator=factset&amp;DYN_ARGS=TRUE&amp;DOC_NAME=FAT:FQL_AUDITING_CLIENT_TEMPLATE.FAT&amp;display_string=Audit&amp;VAR:KEY=ALIHARQBED&amp;VAR:QUERY=KFBfUFJJQ0UoNDAyOTIpLShGRl9DQVNIX1NUKFFUUiw0MDI5MikvUF9DT01fU0hTX09VVCg0MDI5MikpKS9GR","V9FU1RJTUFURSgnRVBTJywnTUVBTicsJ0FOTlVBTF9ST0xMJywnKzEnLDQwMjkyLCwsJycp&amp;WINDOW=FIRST_POPUP&amp;HEIGHT=450&amp;WIDTH=450&amp;START_MAXIMIZED=FALSE&amp;VAR:CALENDAR=US&amp;VAR:SYMBOL=38259P50&amp;VAR:INDEX=0"}</definedName>
    <definedName name="_2616__FDSAUDITLINK__">{"fdsup://directions/FAT Viewer?action=UPDATE&amp;creator=factset&amp;DYN_ARGS=TRUE&amp;DOC_NAME=FAT:FQL_AUDITING_CLIENT_TEMPLATE.FAT&amp;display_string=Audit&amp;VAR:KEY=ALIHARQBED&amp;VAR:QUERY=KFBfUFJJQ0UoNDAyOTIpLShGRl9DQVNIX1NUKFFUUiw0MDI5MikvUF9DT01fU0hTX09VVCg0MDI5MikpKS9GR","V9FU1RJTUFURSgnRVBTJywnTUVBTicsJ0FOTlVBTF9ST0xMJywnKzEnLDQwMjkyLCwsJycp&amp;WINDOW=FIRST_POPUP&amp;HEIGHT=450&amp;WIDTH=450&amp;START_MAXIMIZED=FALSE&amp;VAR:CALENDAR=US&amp;VAR:SYMBOL=38259P50&amp;VAR:INDEX=0"}</definedName>
    <definedName name="_2617__FDSAUDITLINK__">{"fdsup://directions/FAT Viewer?action=UPDATE&amp;creator=factset&amp;DYN_ARGS=TRUE&amp;DOC_NAME=FAT:FQL_AUDITING_CLIENT_TEMPLATE.FAT&amp;display_string=Audit&amp;VAR:KEY=CPCHCJEHKR&amp;VAR:QUERY=KFBfUFJJQ0UoNDAyOTEpLShGRl9DQVNIX1NUKFFUUiw0MDI5MSkvUF9DT01fU0hTX09VVCg0MDI5MSkpKS9GR","V9FU1RJTUFURSgnRVBTJywnTUVBTicsJ0FOTlVBTF9ST0xMJywnKzEnLDQwMjkxLCwsJycp&amp;WINDOW=FIRST_POPUP&amp;HEIGHT=450&amp;WIDTH=450&amp;START_MAXIMIZED=FALSE&amp;VAR:CALENDAR=US&amp;VAR:SYMBOL=38259P50&amp;VAR:INDEX=0"}</definedName>
    <definedName name="_2618__FDSAUDITLINK__">{"fdsup://directions/FAT Viewer?action=UPDATE&amp;creator=factset&amp;DYN_ARGS=TRUE&amp;DOC_NAME=FAT:FQL_AUDITING_CLIENT_TEMPLATE.FAT&amp;display_string=Audit&amp;VAR:KEY=CPCHCJEHKR&amp;VAR:QUERY=KFBfUFJJQ0UoNDAyOTEpLShGRl9DQVNIX1NUKFFUUiw0MDI5MSkvUF9DT01fU0hTX09VVCg0MDI5MSkpKS9GR","V9FU1RJTUFURSgnRVBTJywnTUVBTicsJ0FOTlVBTF9ST0xMJywnKzEnLDQwMjkxLCwsJycp&amp;WINDOW=FIRST_POPUP&amp;HEIGHT=450&amp;WIDTH=450&amp;START_MAXIMIZED=FALSE&amp;VAR:CALENDAR=US&amp;VAR:SYMBOL=38259P50&amp;VAR:INDEX=0"}</definedName>
    <definedName name="_2619__FDSAUDITLINK__">{"fdsup://directions/FAT Viewer?action=UPDATE&amp;creator=factset&amp;DYN_ARGS=TRUE&amp;DOC_NAME=FAT:FQL_AUDITING_CLIENT_TEMPLATE.FAT&amp;display_string=Audit&amp;VAR:KEY=EFGXAVSVIV&amp;VAR:QUERY=KFBfUFJJQ0UoNDAyOTApLShGRl9DQVNIX1NUKFFUUiw0MDI5MCkvUF9DT01fU0hTX09VVCg0MDI5MCkpKS9GR","V9FU1RJTUFURSgnRVBTJywnTUVBTicsJ0FOTlVBTF9ST0xMJywnKzEnLDQwMjkwLCwsJycp&amp;WINDOW=FIRST_POPUP&amp;HEIGHT=450&amp;WIDTH=450&amp;START_MAXIMIZED=FALSE&amp;VAR:CALENDAR=US&amp;VAR:SYMBOL=38259P50&amp;VAR:INDEX=0"}</definedName>
    <definedName name="_262__FDSAUDITLINK__">{"fdsup://directions/FAT Viewer?action=UPDATE&amp;creator=factset&amp;DYN_ARGS=TRUE&amp;DOC_NAME=FAT:FQL_AUDITING_CLIENT_TEMPLATE.FAT&amp;display_string=Audit&amp;VAR:KEY=ITAJMDMXIB&amp;VAR:QUERY=RkZfRU5UUlBSX1ZBTF9FQklUREFfT1BFUihBTk4sLTVBWSxOT1cp&amp;WINDOW=FIRST_POPUP&amp;HEIGHT=450&amp;WI","DTH=450&amp;START_MAXIMIZED=FALSE&amp;VAR:CALENDAR=US&amp;VAR:SYMBOL=GOOG&amp;VAR:INDEX=5"}</definedName>
    <definedName name="_2620__FDSAUDITLINK__">{"fdsup://directions/FAT Viewer?action=UPDATE&amp;creator=factset&amp;DYN_ARGS=TRUE&amp;DOC_NAME=FAT:FQL_AUDITING_CLIENT_TEMPLATE.FAT&amp;display_string=Audit&amp;VAR:KEY=EFGXAVSVIV&amp;VAR:QUERY=KFBfUFJJQ0UoNDAyOTApLShGRl9DQVNIX1NUKFFUUiw0MDI5MCkvUF9DT01fU0hTX09VVCg0MDI5MCkpKS9GR","V9FU1RJTUFURSgnRVBTJywnTUVBTicsJ0FOTlVBTF9ST0xMJywnKzEnLDQwMjkwLCwsJycp&amp;WINDOW=FIRST_POPUP&amp;HEIGHT=450&amp;WIDTH=450&amp;START_MAXIMIZED=FALSE&amp;VAR:CALENDAR=US&amp;VAR:SYMBOL=38259P50&amp;VAR:INDEX=0"}</definedName>
    <definedName name="_2621__FDSAUDITLINK__">{"fdsup://directions/FAT Viewer?action=UPDATE&amp;creator=factset&amp;DYN_ARGS=TRUE&amp;DOC_NAME=FAT:FQL_AUDITING_CLIENT_TEMPLATE.FAT&amp;display_string=Audit&amp;VAR:KEY=MTELCTGDCR&amp;VAR:QUERY=KFBfUFJJQ0UoNDAyODkpLShGRl9DQVNIX1NUKFFUUiw0MDI4OSkvUF9DT01fU0hTX09VVCg0MDI4OSkpKS9GR","V9FU1RJTUFURSgnRVBTJywnTUVBTicsJ0FOTlVBTF9ST0xMJywnKzEnLDQwMjg5LCwsJycp&amp;WINDOW=FIRST_POPUP&amp;HEIGHT=450&amp;WIDTH=450&amp;START_MAXIMIZED=FALSE&amp;VAR:CALENDAR=US&amp;VAR:SYMBOL=38259P50&amp;VAR:INDEX=0"}</definedName>
    <definedName name="_2622__FDSAUDITLINK__">{"fdsup://directions/FAT Viewer?action=UPDATE&amp;creator=factset&amp;DYN_ARGS=TRUE&amp;DOC_NAME=FAT:FQL_AUDITING_CLIENT_TEMPLATE.FAT&amp;display_string=Audit&amp;VAR:KEY=MTELCTGDCR&amp;VAR:QUERY=KFBfUFJJQ0UoNDAyODkpLShGRl9DQVNIX1NUKFFUUiw0MDI4OSkvUF9DT01fU0hTX09VVCg0MDI4OSkpKS9GR","V9FU1RJTUFURSgnRVBTJywnTUVBTicsJ0FOTlVBTF9ST0xMJywnKzEnLDQwMjg5LCwsJycp&amp;WINDOW=FIRST_POPUP&amp;HEIGHT=450&amp;WIDTH=450&amp;START_MAXIMIZED=FALSE&amp;VAR:CALENDAR=US&amp;VAR:SYMBOL=38259P50&amp;VAR:INDEX=0"}</definedName>
    <definedName name="_2623__FDSAUDITLINK__">{"fdsup://directions/FAT Viewer?action=UPDATE&amp;creator=factset&amp;DYN_ARGS=TRUE&amp;DOC_NAME=FAT:FQL_AUDITING_CLIENT_TEMPLATE.FAT&amp;display_string=Audit&amp;VAR:KEY=SBOLYTORAZ&amp;VAR:QUERY=KFBfUFJJQ0UoNDAyODgpLShGRl9DQVNIX1NUKFFUUiw0MDI4OCkvUF9DT01fU0hTX09VVCg0MDI4OCkpKS9GR","V9FU1RJTUFURSgnRVBTJywnTUVBTicsJ0FOTlVBTF9ST0xMJywnKzEnLDQwMjg4LCwsJycp&amp;WINDOW=FIRST_POPUP&amp;HEIGHT=450&amp;WIDTH=450&amp;START_MAXIMIZED=FALSE&amp;VAR:CALENDAR=US&amp;VAR:SYMBOL=38259P50&amp;VAR:INDEX=0"}</definedName>
    <definedName name="_2624__FDSAUDITLINK__">{"fdsup://directions/FAT Viewer?action=UPDATE&amp;creator=factset&amp;DYN_ARGS=TRUE&amp;DOC_NAME=FAT:FQL_AUDITING_CLIENT_TEMPLATE.FAT&amp;display_string=Audit&amp;VAR:KEY=SBOLYTORAZ&amp;VAR:QUERY=KFBfUFJJQ0UoNDAyODgpLShGRl9DQVNIX1NUKFFUUiw0MDI4OCkvUF9DT01fU0hTX09VVCg0MDI4OCkpKS9GR","V9FU1RJTUFURSgnRVBTJywnTUVBTicsJ0FOTlVBTF9ST0xMJywnKzEnLDQwMjg4LCwsJycp&amp;WINDOW=FIRST_POPUP&amp;HEIGHT=450&amp;WIDTH=450&amp;START_MAXIMIZED=FALSE&amp;VAR:CALENDAR=US&amp;VAR:SYMBOL=38259P50&amp;VAR:INDEX=0"}</definedName>
    <definedName name="_2625__FDSAUDITLINK__">{"fdsup://directions/FAT Viewer?action=UPDATE&amp;creator=factset&amp;DYN_ARGS=TRUE&amp;DOC_NAME=FAT:FQL_AUDITING_CLIENT_TEMPLATE.FAT&amp;display_string=Audit&amp;VAR:KEY=SDCLIJERCN&amp;VAR:QUERY=KFBfUFJJQ0UoNDAyODcpLShGRl9DQVNIX1NUKFFUUiw0MDI4NykvUF9DT01fU0hTX09VVCg0MDI4NykpKS9GR","V9FU1RJTUFURSgnRVBTJywnTUVBTicsJ0FOTlVBTF9ST0xMJywnKzEnLDQwMjg3LCwsJycp&amp;WINDOW=FIRST_POPUP&amp;HEIGHT=450&amp;WIDTH=450&amp;START_MAXIMIZED=FALSE&amp;VAR:CALENDAR=US&amp;VAR:SYMBOL=38259P50&amp;VAR:INDEX=0"}</definedName>
    <definedName name="_2626__FDSAUDITLINK__">{"fdsup://directions/FAT Viewer?action=UPDATE&amp;creator=factset&amp;DYN_ARGS=TRUE&amp;DOC_NAME=FAT:FQL_AUDITING_CLIENT_TEMPLATE.FAT&amp;display_string=Audit&amp;VAR:KEY=SDCLIJERCN&amp;VAR:QUERY=KFBfUFJJQ0UoNDAyODcpLShGRl9DQVNIX1NUKFFUUiw0MDI4NykvUF9DT01fU0hTX09VVCg0MDI4NykpKS9GR","V9FU1RJTUFURSgnRVBTJywnTUVBTicsJ0FOTlVBTF9ST0xMJywnKzEnLDQwMjg3LCwsJycp&amp;WINDOW=FIRST_POPUP&amp;HEIGHT=450&amp;WIDTH=450&amp;START_MAXIMIZED=FALSE&amp;VAR:CALENDAR=US&amp;VAR:SYMBOL=38259P50&amp;VAR:INDEX=0"}</definedName>
    <definedName name="_2627__FDSAUDITLINK__">{"fdsup://directions/FAT Viewer?action=UPDATE&amp;creator=factset&amp;DYN_ARGS=TRUE&amp;DOC_NAME=FAT:FQL_AUDITING_CLIENT_TEMPLATE.FAT&amp;display_string=Audit&amp;VAR:KEY=UDUVCDYXAJ&amp;VAR:QUERY=KFBfUFJJQ0UoNDAyODYpLShGRl9DQVNIX1NUKFFUUiw0MDI4NikvUF9DT01fU0hTX09VVCg0MDI4NikpKS9GR","V9FU1RJTUFURSgnRVBTJywnTUVBTicsJ0FOTlVBTF9ST0xMJywnKzEnLDQwMjg2LCwsJycp&amp;WINDOW=FIRST_POPUP&amp;HEIGHT=450&amp;WIDTH=450&amp;START_MAXIMIZED=FALSE&amp;VAR:CALENDAR=US&amp;VAR:SYMBOL=38259P50&amp;VAR:INDEX=0"}</definedName>
    <definedName name="_2628__FDSAUDITLINK__">{"fdsup://directions/FAT Viewer?action=UPDATE&amp;creator=factset&amp;DYN_ARGS=TRUE&amp;DOC_NAME=FAT:FQL_AUDITING_CLIENT_TEMPLATE.FAT&amp;display_string=Audit&amp;VAR:KEY=UDUVCDYXAJ&amp;VAR:QUERY=KFBfUFJJQ0UoNDAyODYpLShGRl9DQVNIX1NUKFFUUiw0MDI4NikvUF9DT01fU0hTX09VVCg0MDI4NikpKS9GR","V9FU1RJTUFURSgnRVBTJywnTUVBTicsJ0FOTlVBTF9ST0xMJywnKzEnLDQwMjg2LCwsJycp&amp;WINDOW=FIRST_POPUP&amp;HEIGHT=450&amp;WIDTH=450&amp;START_MAXIMIZED=FALSE&amp;VAR:CALENDAR=US&amp;VAR:SYMBOL=38259P50&amp;VAR:INDEX=0"}</definedName>
    <definedName name="_2629__FDSAUDITLINK__">{"fdsup://directions/FAT Viewer?action=UPDATE&amp;creator=factset&amp;DYN_ARGS=TRUE&amp;DOC_NAME=FAT:FQL_AUDITING_CLIENT_TEMPLATE.FAT&amp;display_string=Audit&amp;VAR:KEY=ITANKVYBKH&amp;VAR:QUERY=KFBfUFJJQ0UoNDAyODUpLShGRl9DQVNIX1NUKFFUUiw0MDI4NSkvUF9DT01fU0hTX09VVCg0MDI4NSkpKS9GR","V9FU1RJTUFURSgnRVBTJywnTUVBTicsJ0FOTlVBTF9ST0xMJywnKzEnLDQwMjg1LCwsJycp&amp;WINDOW=FIRST_POPUP&amp;HEIGHT=450&amp;WIDTH=450&amp;START_MAXIMIZED=FALSE&amp;VAR:CALENDAR=US&amp;VAR:SYMBOL=38259P50&amp;VAR:INDEX=0"}</definedName>
    <definedName name="_263__FDSAUDITLINK__">{"fdsup://directions/FAT Viewer?action=UPDATE&amp;creator=factset&amp;DYN_ARGS=TRUE&amp;DOC_NAME=FAT:FQL_AUDITING_CLIENT_TEMPLATE.FAT&amp;display_string=Audit&amp;VAR:KEY=ITAJMDMXIB&amp;VAR:QUERY=RkZfRU5UUlBSX1ZBTF9FQklUREFfT1BFUihBTk4sLTVBWSxOT1cp&amp;WINDOW=FIRST_POPUP&amp;HEIGHT=450&amp;WI","DTH=450&amp;START_MAXIMIZED=FALSE&amp;VAR:CALENDAR=US&amp;VAR:SYMBOL=GOOG&amp;VAR:INDEX=4"}</definedName>
    <definedName name="_2630__FDSAUDITLINK__">{"fdsup://directions/FAT Viewer?action=UPDATE&amp;creator=factset&amp;DYN_ARGS=TRUE&amp;DOC_NAME=FAT:FQL_AUDITING_CLIENT_TEMPLATE.FAT&amp;display_string=Audit&amp;VAR:KEY=ITANKVYBKH&amp;VAR:QUERY=KFBfUFJJQ0UoNDAyODUpLShGRl9DQVNIX1NUKFFUUiw0MDI4NSkvUF9DT01fU0hTX09VVCg0MDI4NSkpKS9GR","V9FU1RJTUFURSgnRVBTJywnTUVBTicsJ0FOTlVBTF9ST0xMJywnKzEnLDQwMjg1LCwsJycp&amp;WINDOW=FIRST_POPUP&amp;HEIGHT=450&amp;WIDTH=450&amp;START_MAXIMIZED=FALSE&amp;VAR:CALENDAR=US&amp;VAR:SYMBOL=38259P50&amp;VAR:INDEX=0"}</definedName>
    <definedName name="_2631__FDSAUDITLINK__">{"fdsup://directions/FAT Viewer?action=UPDATE&amp;creator=factset&amp;DYN_ARGS=TRUE&amp;DOC_NAME=FAT:FQL_AUDITING_CLIENT_TEMPLATE.FAT&amp;display_string=Audit&amp;VAR:KEY=YDQBMJINAL&amp;VAR:QUERY=KFBfUFJJQ0UoNDAyODQpLShGRl9DQVNIX1NUKFFUUiw0MDI4NCkvUF9DT01fU0hTX09VVCg0MDI4NCkpKS9GR","V9FU1RJTUFURSgnRVBTJywnTUVBTicsJ0FOTlVBTF9ST0xMJywnKzEnLDQwMjg0LCwsJycp&amp;WINDOW=FIRST_POPUP&amp;HEIGHT=450&amp;WIDTH=450&amp;START_MAXIMIZED=FALSE&amp;VAR:CALENDAR=US&amp;VAR:SYMBOL=38259P50&amp;VAR:INDEX=0"}</definedName>
    <definedName name="_2632__FDSAUDITLINK__">{"fdsup://directions/FAT Viewer?action=UPDATE&amp;creator=factset&amp;DYN_ARGS=TRUE&amp;DOC_NAME=FAT:FQL_AUDITING_CLIENT_TEMPLATE.FAT&amp;display_string=Audit&amp;VAR:KEY=YDQBMJINAL&amp;VAR:QUERY=KFBfUFJJQ0UoNDAyODQpLShGRl9DQVNIX1NUKFFUUiw0MDI4NCkvUF9DT01fU0hTX09VVCg0MDI4NCkpKS9GR","V9FU1RJTUFURSgnRVBTJywnTUVBTicsJ0FOTlVBTF9ST0xMJywnKzEnLDQwMjg0LCwsJycp&amp;WINDOW=FIRST_POPUP&amp;HEIGHT=450&amp;WIDTH=450&amp;START_MAXIMIZED=FALSE&amp;VAR:CALENDAR=US&amp;VAR:SYMBOL=38259P50&amp;VAR:INDEX=0"}</definedName>
    <definedName name="_2633__FDSAUDITLINK__">{"fdsup://directions/FAT Viewer?action=UPDATE&amp;creator=factset&amp;DYN_ARGS=TRUE&amp;DOC_NAME=FAT:FQL_AUDITING_CLIENT_TEMPLATE.FAT&amp;display_string=Audit&amp;VAR:KEY=IDKFIDQBOJ&amp;VAR:QUERY=KFBfUFJJQ0UoNDAyODMpLShGRl9DQVNIX1NUKFFUUiw0MDI4MykvUF9DT01fU0hTX09VVCg0MDI4MykpKS9GR","V9FU1RJTUFURSgnRVBTJywnTUVBTicsJ0FOTlVBTF9ST0xMJywnKzEnLDQwMjgzLCwsJycp&amp;WINDOW=FIRST_POPUP&amp;HEIGHT=450&amp;WIDTH=450&amp;START_MAXIMIZED=FALSE&amp;VAR:CALENDAR=US&amp;VAR:SYMBOL=38259P50&amp;VAR:INDEX=0"}</definedName>
    <definedName name="_2634__FDSAUDITLINK__">{"fdsup://directions/FAT Viewer?action=UPDATE&amp;creator=factset&amp;DYN_ARGS=TRUE&amp;DOC_NAME=FAT:FQL_AUDITING_CLIENT_TEMPLATE.FAT&amp;display_string=Audit&amp;VAR:KEY=IDKFIDQBOJ&amp;VAR:QUERY=KFBfUFJJQ0UoNDAyODMpLShGRl9DQVNIX1NUKFFUUiw0MDI4MykvUF9DT01fU0hTX09VVCg0MDI4MykpKS9GR","V9FU1RJTUFURSgnRVBTJywnTUVBTicsJ0FOTlVBTF9ST0xMJywnKzEnLDQwMjgzLCwsJycp&amp;WINDOW=FIRST_POPUP&amp;HEIGHT=450&amp;WIDTH=450&amp;START_MAXIMIZED=FALSE&amp;VAR:CALENDAR=US&amp;VAR:SYMBOL=38259P50&amp;VAR:INDEX=0"}</definedName>
    <definedName name="_2635__FDSAUDITLINK__">{"fdsup://directions/FAT Viewer?action=UPDATE&amp;creator=factset&amp;DYN_ARGS=TRUE&amp;DOC_NAME=FAT:FQL_AUDITING_CLIENT_TEMPLATE.FAT&amp;display_string=Audit&amp;VAR:KEY=QNEHYFQHET&amp;VAR:QUERY=KFBfUFJJQ0UoNDAyODIpLShGRl9DQVNIX1NUKFFUUiw0MDI4MikvUF9DT01fU0hTX09VVCg0MDI4MikpKS9GR","V9FU1RJTUFURSgnRVBTJywnTUVBTicsJ0FOTlVBTF9ST0xMJywnKzEnLDQwMjgyLCwsJycp&amp;WINDOW=FIRST_POPUP&amp;HEIGHT=450&amp;WIDTH=450&amp;START_MAXIMIZED=FALSE&amp;VAR:CALENDAR=US&amp;VAR:SYMBOL=38259P50&amp;VAR:INDEX=0"}</definedName>
    <definedName name="_2636__FDSAUDITLINK__">{"fdsup://directions/FAT Viewer?action=UPDATE&amp;creator=factset&amp;DYN_ARGS=TRUE&amp;DOC_NAME=FAT:FQL_AUDITING_CLIENT_TEMPLATE.FAT&amp;display_string=Audit&amp;VAR:KEY=QNEHYFQHET&amp;VAR:QUERY=KFBfUFJJQ0UoNDAyODIpLShGRl9DQVNIX1NUKFFUUiw0MDI4MikvUF9DT01fU0hTX09VVCg0MDI4MikpKS9GR","V9FU1RJTUFURSgnRVBTJywnTUVBTicsJ0FOTlVBTF9ST0xMJywnKzEnLDQwMjgyLCwsJycp&amp;WINDOW=FIRST_POPUP&amp;HEIGHT=450&amp;WIDTH=450&amp;START_MAXIMIZED=FALSE&amp;VAR:CALENDAR=US&amp;VAR:SYMBOL=38259P50&amp;VAR:INDEX=0"}</definedName>
    <definedName name="_2637__FDSAUDITLINK__">{"fdsup://directions/FAT Viewer?action=UPDATE&amp;creator=factset&amp;DYN_ARGS=TRUE&amp;DOC_NAME=FAT:FQL_AUDITING_CLIENT_TEMPLATE.FAT&amp;display_string=Audit&amp;VAR:KEY=GXCNUPANEL&amp;VAR:QUERY=KFBfUFJJQ0UoNDAyODEpLShGRl9DQVNIX1NUKFFUUiw0MDI4MSkvUF9DT01fU0hTX09VVCg0MDI4MSkpKS9GR","V9FU1RJTUFURSgnRVBTJywnTUVBTicsJ0FOTlVBTF9ST0xMJywnKzEnLDQwMjgxLCwsJycp&amp;WINDOW=FIRST_POPUP&amp;HEIGHT=450&amp;WIDTH=450&amp;START_MAXIMIZED=FALSE&amp;VAR:CALENDAR=US&amp;VAR:SYMBOL=38259P50&amp;VAR:INDEX=0"}</definedName>
    <definedName name="_2638__FDSAUDITLINK__">{"fdsup://directions/FAT Viewer?action=UPDATE&amp;creator=factset&amp;DYN_ARGS=TRUE&amp;DOC_NAME=FAT:FQL_AUDITING_CLIENT_TEMPLATE.FAT&amp;display_string=Audit&amp;VAR:KEY=GXCNUPANEL&amp;VAR:QUERY=KFBfUFJJQ0UoNDAyODEpLShGRl9DQVNIX1NUKFFUUiw0MDI4MSkvUF9DT01fU0hTX09VVCg0MDI4MSkpKS9GR","V9FU1RJTUFURSgnRVBTJywnTUVBTicsJ0FOTlVBTF9ST0xMJywnKzEnLDQwMjgxLCwsJycp&amp;WINDOW=FIRST_POPUP&amp;HEIGHT=450&amp;WIDTH=450&amp;START_MAXIMIZED=FALSE&amp;VAR:CALENDAR=US&amp;VAR:SYMBOL=38259P50&amp;VAR:INDEX=0"}</definedName>
    <definedName name="_2639__FDSAUDITLINK__">{"fdsup://directions/FAT Viewer?action=UPDATE&amp;creator=factset&amp;DYN_ARGS=TRUE&amp;DOC_NAME=FAT:FQL_AUDITING_CLIENT_TEMPLATE.FAT&amp;display_string=Audit&amp;VAR:KEY=IZONYXSRIL&amp;VAR:QUERY=KFBfUFJJQ0UoNDAyODApLShGRl9DQVNIX1NUKFFUUiw0MDI4MCkvUF9DT01fU0hTX09VVCg0MDI4MCkpKS9GR","V9FU1RJTUFURSgnRVBTJywnTUVBTicsJ0FOTlVBTF9ST0xMJywnKzEnLDQwMjgwLCwsJycp&amp;WINDOW=FIRST_POPUP&amp;HEIGHT=450&amp;WIDTH=450&amp;START_MAXIMIZED=FALSE&amp;VAR:CALENDAR=US&amp;VAR:SYMBOL=38259P50&amp;VAR:INDEX=0"}</definedName>
    <definedName name="_264__FDSAUDITLINK__">{"fdsup://directions/FAT Viewer?action=UPDATE&amp;creator=factset&amp;DYN_ARGS=TRUE&amp;DOC_NAME=FAT:FQL_AUDITING_CLIENT_TEMPLATE.FAT&amp;display_string=Audit&amp;VAR:KEY=ITAJMDMXIB&amp;VAR:QUERY=RkZfRU5UUlBSX1ZBTF9FQklUREFfT1BFUihBTk4sLTVBWSxOT1cp&amp;WINDOW=FIRST_POPUP&amp;HEIGHT=450&amp;WI","DTH=450&amp;START_MAXIMIZED=FALSE&amp;VAR:CALENDAR=US&amp;VAR:SYMBOL=GOOG&amp;VAR:INDEX=3"}</definedName>
    <definedName name="_2640__FDSAUDITLINK__">{"fdsup://directions/FAT Viewer?action=UPDATE&amp;creator=factset&amp;DYN_ARGS=TRUE&amp;DOC_NAME=FAT:FQL_AUDITING_CLIENT_TEMPLATE.FAT&amp;display_string=Audit&amp;VAR:KEY=IZONYXSRIL&amp;VAR:QUERY=KFBfUFJJQ0UoNDAyODApLShGRl9DQVNIX1NUKFFUUiw0MDI4MCkvUF9DT01fU0hTX09VVCg0MDI4MCkpKS9GR","V9FU1RJTUFURSgnRVBTJywnTUVBTicsJ0FOTlVBTF9ST0xMJywnKzEnLDQwMjgwLCwsJycp&amp;WINDOW=FIRST_POPUP&amp;HEIGHT=450&amp;WIDTH=450&amp;START_MAXIMIZED=FALSE&amp;VAR:CALENDAR=US&amp;VAR:SYMBOL=38259P50&amp;VAR:INDEX=0"}</definedName>
    <definedName name="_2641__FDSAUDITLINK__">{"fdsup://directions/FAT Viewer?action=UPDATE&amp;creator=factset&amp;DYN_ARGS=TRUE&amp;DOC_NAME=FAT:FQL_AUDITING_CLIENT_TEMPLATE.FAT&amp;display_string=Audit&amp;VAR:KEY=YLADMTEVIF&amp;VAR:QUERY=KFBfUFJJQ0UoNDAyNzkpLShGRl9DQVNIX1NUKFFUUiw0MDI3OSkvUF9DT01fU0hTX09VVCg0MDI3OSkpKS9GR","V9FU1RJTUFURSgnRVBTJywnTUVBTicsJ0FOTlVBTF9ST0xMJywnKzEnLDQwMjc5LCwsJycp&amp;WINDOW=FIRST_POPUP&amp;HEIGHT=450&amp;WIDTH=450&amp;START_MAXIMIZED=FALSE&amp;VAR:CALENDAR=US&amp;VAR:SYMBOL=38259P50&amp;VAR:INDEX=0"}</definedName>
    <definedName name="_2642__FDSAUDITLINK__">{"fdsup://directions/FAT Viewer?action=UPDATE&amp;creator=factset&amp;DYN_ARGS=TRUE&amp;DOC_NAME=FAT:FQL_AUDITING_CLIENT_TEMPLATE.FAT&amp;display_string=Audit&amp;VAR:KEY=YLADMTEVIF&amp;VAR:QUERY=KFBfUFJJQ0UoNDAyNzkpLShGRl9DQVNIX1NUKFFUUiw0MDI3OSkvUF9DT01fU0hTX09VVCg0MDI3OSkpKS9GR","V9FU1RJTUFURSgnRVBTJywnTUVBTicsJ0FOTlVBTF9ST0xMJywnKzEnLDQwMjc5LCwsJycp&amp;WINDOW=FIRST_POPUP&amp;HEIGHT=450&amp;WIDTH=450&amp;START_MAXIMIZED=FALSE&amp;VAR:CALENDAR=US&amp;VAR:SYMBOL=38259P50&amp;VAR:INDEX=0"}</definedName>
    <definedName name="_2643__FDSAUDITLINK__">{"fdsup://directions/FAT Viewer?action=UPDATE&amp;creator=factset&amp;DYN_ARGS=TRUE&amp;DOC_NAME=FAT:FQL_AUDITING_CLIENT_TEMPLATE.FAT&amp;display_string=Audit&amp;VAR:KEY=KJQJKVKHMZ&amp;VAR:QUERY=KFBfUFJJQ0UoNDAyNzgpLShGRl9DQVNIX1NUKFFUUiw0MDI3OCkvUF9DT01fU0hTX09VVCg0MDI3OCkpKS9GR","V9FU1RJTUFURSgnRVBTJywnTUVBTicsJ0FOTlVBTF9ST0xMJywnKzEnLDQwMjc4LCwsJycp&amp;WINDOW=FIRST_POPUP&amp;HEIGHT=450&amp;WIDTH=450&amp;START_MAXIMIZED=FALSE&amp;VAR:CALENDAR=US&amp;VAR:SYMBOL=38259P50&amp;VAR:INDEX=0"}</definedName>
    <definedName name="_2644__FDSAUDITLINK__">{"fdsup://directions/FAT Viewer?action=UPDATE&amp;creator=factset&amp;DYN_ARGS=TRUE&amp;DOC_NAME=FAT:FQL_AUDITING_CLIENT_TEMPLATE.FAT&amp;display_string=Audit&amp;VAR:KEY=KJQJKVKHMZ&amp;VAR:QUERY=KFBfUFJJQ0UoNDAyNzgpLShGRl9DQVNIX1NUKFFUUiw0MDI3OCkvUF9DT01fU0hTX09VVCg0MDI3OCkpKS9GR","V9FU1RJTUFURSgnRVBTJywnTUVBTicsJ0FOTlVBTF9ST0xMJywnKzEnLDQwMjc4LCwsJycp&amp;WINDOW=FIRST_POPUP&amp;HEIGHT=450&amp;WIDTH=450&amp;START_MAXIMIZED=FALSE&amp;VAR:CALENDAR=US&amp;VAR:SYMBOL=38259P50&amp;VAR:INDEX=0"}</definedName>
    <definedName name="_2645__FDSAUDITLINK__">{"fdsup://directions/FAT Viewer?action=UPDATE&amp;creator=factset&amp;DYN_ARGS=TRUE&amp;DOC_NAME=FAT:FQL_AUDITING_CLIENT_TEMPLATE.FAT&amp;display_string=Audit&amp;VAR:KEY=EPOBEVCFYP&amp;VAR:QUERY=KFBfUFJJQ0UoNDAyNzcpLShGRl9DQVNIX1NUKFFUUiw0MDI3NykvUF9DT01fU0hTX09VVCg0MDI3NykpKS9GR","V9FU1RJTUFURSgnRVBTJywnTUVBTicsJ0FOTlVBTF9ST0xMJywnKzEnLDQwMjc3LCwsJycp&amp;WINDOW=FIRST_POPUP&amp;HEIGHT=450&amp;WIDTH=450&amp;START_MAXIMIZED=FALSE&amp;VAR:CALENDAR=US&amp;VAR:SYMBOL=38259P50&amp;VAR:INDEX=0"}</definedName>
    <definedName name="_2646__FDSAUDITLINK__">{"fdsup://directions/FAT Viewer?action=UPDATE&amp;creator=factset&amp;DYN_ARGS=TRUE&amp;DOC_NAME=FAT:FQL_AUDITING_CLIENT_TEMPLATE.FAT&amp;display_string=Audit&amp;VAR:KEY=EPOBEVCFYP&amp;VAR:QUERY=KFBfUFJJQ0UoNDAyNzcpLShGRl9DQVNIX1NUKFFUUiw0MDI3NykvUF9DT01fU0hTX09VVCg0MDI3NykpKS9GR","V9FU1RJTUFURSgnRVBTJywnTUVBTicsJ0FOTlVBTF9ST0xMJywnKzEnLDQwMjc3LCwsJycp&amp;WINDOW=FIRST_POPUP&amp;HEIGHT=450&amp;WIDTH=450&amp;START_MAXIMIZED=FALSE&amp;VAR:CALENDAR=US&amp;VAR:SYMBOL=38259P50&amp;VAR:INDEX=0"}</definedName>
    <definedName name="_2647__FDSAUDITLINK__">{"fdsup://directions/FAT Viewer?action=UPDATE&amp;creator=factset&amp;DYN_ARGS=TRUE&amp;DOC_NAME=FAT:FQL_AUDITING_CLIENT_TEMPLATE.FAT&amp;display_string=Audit&amp;VAR:KEY=EJWBYVYTUJ&amp;VAR:QUERY=KFBfUFJJQ0UoNDAyNzYpLShGRl9DQVNIX1NUKFFUUiw0MDI3NikvUF9DT01fU0hTX09VVCg0MDI3NikpKS9GR","V9FU1RJTUFURSgnRVBTJywnTUVBTicsJ0FOTlVBTF9ST0xMJywnKzEnLDQwMjc2LCwsJycp&amp;WINDOW=FIRST_POPUP&amp;HEIGHT=450&amp;WIDTH=450&amp;START_MAXIMIZED=FALSE&amp;VAR:CALENDAR=US&amp;VAR:SYMBOL=38259P50&amp;VAR:INDEX=0"}</definedName>
    <definedName name="_2648__FDSAUDITLINK__">{"fdsup://directions/FAT Viewer?action=UPDATE&amp;creator=factset&amp;DYN_ARGS=TRUE&amp;DOC_NAME=FAT:FQL_AUDITING_CLIENT_TEMPLATE.FAT&amp;display_string=Audit&amp;VAR:KEY=EJWBYVYTUJ&amp;VAR:QUERY=KFBfUFJJQ0UoNDAyNzYpLShGRl9DQVNIX1NUKFFUUiw0MDI3NikvUF9DT01fU0hTX09VVCg0MDI3NikpKS9GR","V9FU1RJTUFURSgnRVBTJywnTUVBTicsJ0FOTlVBTF9ST0xMJywnKzEnLDQwMjc2LCwsJycp&amp;WINDOW=FIRST_POPUP&amp;HEIGHT=450&amp;WIDTH=450&amp;START_MAXIMIZED=FALSE&amp;VAR:CALENDAR=US&amp;VAR:SYMBOL=38259P50&amp;VAR:INDEX=0"}</definedName>
    <definedName name="_2649__FDSAUDITLINK__">{"fdsup://directions/FAT Viewer?action=UPDATE&amp;creator=factset&amp;DYN_ARGS=TRUE&amp;DOC_NAME=FAT:FQL_AUDITING_CLIENT_TEMPLATE.FAT&amp;display_string=Audit&amp;VAR:KEY=EJMRCZGRSZ&amp;VAR:QUERY=KFBfUFJJQ0UoNDAyNzUpLShGRl9DQVNIX1NUKFFUUiw0MDI3NSkvUF9DT01fU0hTX09VVCg0MDI3NSkpKS9GR","V9FU1RJTUFURSgnRVBTJywnTUVBTicsJ0FOTlVBTF9ST0xMJywnKzEnLDQwMjc1LCwsJycp&amp;WINDOW=FIRST_POPUP&amp;HEIGHT=450&amp;WIDTH=450&amp;START_MAXIMIZED=FALSE&amp;VAR:CALENDAR=US&amp;VAR:SYMBOL=38259P50&amp;VAR:INDEX=0"}</definedName>
    <definedName name="_265__FDSAUDITLINK__">{"fdsup://directions/FAT Viewer?action=UPDATE&amp;creator=factset&amp;DYN_ARGS=TRUE&amp;DOC_NAME=FAT:FQL_AUDITING_CLIENT_TEMPLATE.FAT&amp;display_string=Audit&amp;VAR:KEY=ITAJMDMXIB&amp;VAR:QUERY=RkZfRU5UUlBSX1ZBTF9FQklUREFfT1BFUihBTk4sLTVBWSxOT1cp&amp;WINDOW=FIRST_POPUP&amp;HEIGHT=450&amp;WI","DTH=450&amp;START_MAXIMIZED=FALSE&amp;VAR:CALENDAR=US&amp;VAR:SYMBOL=GOOG&amp;VAR:INDEX=2"}</definedName>
    <definedName name="_2650__FDSAUDITLINK__">{"fdsup://directions/FAT Viewer?action=UPDATE&amp;creator=factset&amp;DYN_ARGS=TRUE&amp;DOC_NAME=FAT:FQL_AUDITING_CLIENT_TEMPLATE.FAT&amp;display_string=Audit&amp;VAR:KEY=EJMRCZGRSZ&amp;VAR:QUERY=KFBfUFJJQ0UoNDAyNzUpLShGRl9DQVNIX1NUKFFUUiw0MDI3NSkvUF9DT01fU0hTX09VVCg0MDI3NSkpKS9GR","V9FU1RJTUFURSgnRVBTJywnTUVBTicsJ0FOTlVBTF9ST0xMJywnKzEnLDQwMjc1LCwsJycp&amp;WINDOW=FIRST_POPUP&amp;HEIGHT=450&amp;WIDTH=450&amp;START_MAXIMIZED=FALSE&amp;VAR:CALENDAR=US&amp;VAR:SYMBOL=38259P50&amp;VAR:INDEX=0"}</definedName>
    <definedName name="_2651__FDSAUDITLINK__">{"fdsup://directions/FAT Viewer?action=UPDATE&amp;creator=factset&amp;DYN_ARGS=TRUE&amp;DOC_NAME=FAT:FQL_AUDITING_CLIENT_TEMPLATE.FAT&amp;display_string=Audit&amp;VAR:KEY=IHEJOHETUP&amp;VAR:QUERY=KFBfUFJJQ0UoNDAyNzQpLShGRl9DQVNIX1NUKFFUUiw0MDI3NCkvUF9DT01fU0hTX09VVCg0MDI3NCkpKS9GR","V9FU1RJTUFURSgnRVBTJywnTUVBTicsJ0FOTlVBTF9ST0xMJywnKzEnLDQwMjc0LCwsJycp&amp;WINDOW=FIRST_POPUP&amp;HEIGHT=450&amp;WIDTH=450&amp;START_MAXIMIZED=FALSE&amp;VAR:CALENDAR=US&amp;VAR:SYMBOL=38259P50&amp;VAR:INDEX=0"}</definedName>
    <definedName name="_2652__FDSAUDITLINK__">{"fdsup://directions/FAT Viewer?action=UPDATE&amp;creator=factset&amp;DYN_ARGS=TRUE&amp;DOC_NAME=FAT:FQL_AUDITING_CLIENT_TEMPLATE.FAT&amp;display_string=Audit&amp;VAR:KEY=IHEJOHETUP&amp;VAR:QUERY=KFBfUFJJQ0UoNDAyNzQpLShGRl9DQVNIX1NUKFFUUiw0MDI3NCkvUF9DT01fU0hTX09VVCg0MDI3NCkpKS9GR","V9FU1RJTUFURSgnRVBTJywnTUVBTicsJ0FOTlVBTF9ST0xMJywnKzEnLDQwMjc0LCwsJycp&amp;WINDOW=FIRST_POPUP&amp;HEIGHT=450&amp;WIDTH=450&amp;START_MAXIMIZED=FALSE&amp;VAR:CALENDAR=US&amp;VAR:SYMBOL=38259P50&amp;VAR:INDEX=0"}</definedName>
    <definedName name="_2653__FDSAUDITLINK__">{"fdsup://directions/FAT Viewer?action=UPDATE&amp;creator=factset&amp;DYN_ARGS=TRUE&amp;DOC_NAME=FAT:FQL_AUDITING_CLIENT_TEMPLATE.FAT&amp;display_string=Audit&amp;VAR:KEY=ERYDSHMJUX&amp;VAR:QUERY=KFBfUFJJQ0UoNDAyNzMpLShGRl9DQVNIX1NUKFFUUiw0MDI3MykvUF9DT01fU0hTX09VVCg0MDI3MykpKS9GR","V9FU1RJTUFURSgnRVBTJywnTUVBTicsJ0FOTlVBTF9ST0xMJywnKzEnLDQwMjczLCwsJycp&amp;WINDOW=FIRST_POPUP&amp;HEIGHT=450&amp;WIDTH=450&amp;START_MAXIMIZED=FALSE&amp;VAR:CALENDAR=US&amp;VAR:SYMBOL=38259P50&amp;VAR:INDEX=0"}</definedName>
    <definedName name="_2654__FDSAUDITLINK__">{"fdsup://directions/FAT Viewer?action=UPDATE&amp;creator=factset&amp;DYN_ARGS=TRUE&amp;DOC_NAME=FAT:FQL_AUDITING_CLIENT_TEMPLATE.FAT&amp;display_string=Audit&amp;VAR:KEY=ERYDSHMJUX&amp;VAR:QUERY=KFBfUFJJQ0UoNDAyNzMpLShGRl9DQVNIX1NUKFFUUiw0MDI3MykvUF9DT01fU0hTX09VVCg0MDI3MykpKS9GR","V9FU1RJTUFURSgnRVBTJywnTUVBTicsJ0FOTlVBTF9ST0xMJywnKzEnLDQwMjczLCwsJycp&amp;WINDOW=FIRST_POPUP&amp;HEIGHT=450&amp;WIDTH=450&amp;START_MAXIMIZED=FALSE&amp;VAR:CALENDAR=US&amp;VAR:SYMBOL=38259P50&amp;VAR:INDEX=0"}</definedName>
    <definedName name="_2655__FDSAUDITLINK__">{"fdsup://directions/FAT Viewer?action=UPDATE&amp;creator=factset&amp;DYN_ARGS=TRUE&amp;DOC_NAME=FAT:FQL_AUDITING_CLIENT_TEMPLATE.FAT&amp;display_string=Audit&amp;VAR:KEY=IDMBAHARKT&amp;VAR:QUERY=KFBfUFJJQ0UoNDAyNzIpLShGRl9DQVNIX1NUKFFUUiw0MDI3MikvUF9DT01fU0hTX09VVCg0MDI3MikpKS9GR","V9FU1RJTUFURSgnRVBTJywnTUVBTicsJ0FOTlVBTF9ST0xMJywnKzEnLDQwMjcyLCwsJycp&amp;WINDOW=FIRST_POPUP&amp;HEIGHT=450&amp;WIDTH=450&amp;START_MAXIMIZED=FALSE&amp;VAR:CALENDAR=US&amp;VAR:SYMBOL=38259P50&amp;VAR:INDEX=0"}</definedName>
    <definedName name="_2656__FDSAUDITLINK__">{"fdsup://directions/FAT Viewer?action=UPDATE&amp;creator=factset&amp;DYN_ARGS=TRUE&amp;DOC_NAME=FAT:FQL_AUDITING_CLIENT_TEMPLATE.FAT&amp;display_string=Audit&amp;VAR:KEY=IDMBAHARKT&amp;VAR:QUERY=KFBfUFJJQ0UoNDAyNzIpLShGRl9DQVNIX1NUKFFUUiw0MDI3MikvUF9DT01fU0hTX09VVCg0MDI3MikpKS9GR","V9FU1RJTUFURSgnRVBTJywnTUVBTicsJ0FOTlVBTF9ST0xMJywnKzEnLDQwMjcyLCwsJycp&amp;WINDOW=FIRST_POPUP&amp;HEIGHT=450&amp;WIDTH=450&amp;START_MAXIMIZED=FALSE&amp;VAR:CALENDAR=US&amp;VAR:SYMBOL=38259P50&amp;VAR:INDEX=0"}</definedName>
    <definedName name="_2657__FDSAUDITLINK__">{"fdsup://directions/FAT Viewer?action=UPDATE&amp;creator=factset&amp;DYN_ARGS=TRUE&amp;DOC_NAME=FAT:FQL_AUDITING_CLIENT_TEMPLATE.FAT&amp;display_string=Audit&amp;VAR:KEY=ANQZMTGVCX&amp;VAR:QUERY=KFBfUFJJQ0UoNDAyNzEpLShGRl9DQVNIX1NUKFFUUiw0MDI3MSkvUF9DT01fU0hTX09VVCg0MDI3MSkpKS9GR","V9FU1RJTUFURSgnRVBTJywnTUVBTicsJ0FOTlVBTF9ST0xMJywnKzEnLDQwMjcxLCwsJycp&amp;WINDOW=FIRST_POPUP&amp;HEIGHT=450&amp;WIDTH=450&amp;START_MAXIMIZED=FALSE&amp;VAR:CALENDAR=US&amp;VAR:SYMBOL=38259P50&amp;VAR:INDEX=0"}</definedName>
    <definedName name="_2658__FDSAUDITLINK__">{"fdsup://directions/FAT Viewer?action=UPDATE&amp;creator=factset&amp;DYN_ARGS=TRUE&amp;DOC_NAME=FAT:FQL_AUDITING_CLIENT_TEMPLATE.FAT&amp;display_string=Audit&amp;VAR:KEY=ANQZMTGVCX&amp;VAR:QUERY=KFBfUFJJQ0UoNDAyNzEpLShGRl9DQVNIX1NUKFFUUiw0MDI3MSkvUF9DT01fU0hTX09VVCg0MDI3MSkpKS9GR","V9FU1RJTUFURSgnRVBTJywnTUVBTicsJ0FOTlVBTF9ST0xMJywnKzEnLDQwMjcxLCwsJycp&amp;WINDOW=FIRST_POPUP&amp;HEIGHT=450&amp;WIDTH=450&amp;START_MAXIMIZED=FALSE&amp;VAR:CALENDAR=US&amp;VAR:SYMBOL=38259P50&amp;VAR:INDEX=0"}</definedName>
    <definedName name="_2659__FDSAUDITLINK__">{"fdsup://directions/FAT Viewer?action=UPDATE&amp;creator=factset&amp;DYN_ARGS=TRUE&amp;DOC_NAME=FAT:FQL_AUDITING_CLIENT_TEMPLATE.FAT&amp;display_string=Audit&amp;VAR:KEY=OXADEZMTQR&amp;VAR:QUERY=KFBfUFJJQ0UoNDAyNzApLShGRl9DQVNIX1NUKFFUUiw0MDI3MCkvUF9DT01fU0hTX09VVCg0MDI3MCkpKS9GR","V9FU1RJTUFURSgnRVBTJywnTUVBTicsJ0FOTlVBTF9ST0xMJywnKzEnLDQwMjcwLCwsJycp&amp;WINDOW=FIRST_POPUP&amp;HEIGHT=450&amp;WIDTH=450&amp;START_MAXIMIZED=FALSE&amp;VAR:CALENDAR=US&amp;VAR:SYMBOL=38259P50&amp;VAR:INDEX=0"}</definedName>
    <definedName name="_266__FDSAUDITLINK__">{"fdsup://directions/FAT Viewer?action=UPDATE&amp;creator=factset&amp;DYN_ARGS=TRUE&amp;DOC_NAME=FAT:FQL_AUDITING_CLIENT_TEMPLATE.FAT&amp;display_string=Audit&amp;VAR:KEY=ITAJMDMXIB&amp;VAR:QUERY=RkZfRU5UUlBSX1ZBTF9FQklUREFfT1BFUihBTk4sLTVBWSxOT1cp&amp;WINDOW=FIRST_POPUP&amp;HEIGHT=450&amp;WI","DTH=450&amp;START_MAXIMIZED=FALSE&amp;VAR:CALENDAR=US&amp;VAR:SYMBOL=GOOG&amp;VAR:INDEX=1"}</definedName>
    <definedName name="_2660__FDSAUDITLINK__">{"fdsup://directions/FAT Viewer?action=UPDATE&amp;creator=factset&amp;DYN_ARGS=TRUE&amp;DOC_NAME=FAT:FQL_AUDITING_CLIENT_TEMPLATE.FAT&amp;display_string=Audit&amp;VAR:KEY=OXADEZMTQR&amp;VAR:QUERY=KFBfUFJJQ0UoNDAyNzApLShGRl9DQVNIX1NUKFFUUiw0MDI3MCkvUF9DT01fU0hTX09VVCg0MDI3MCkpKS9GR","V9FU1RJTUFURSgnRVBTJywnTUVBTicsJ0FOTlVBTF9ST0xMJywnKzEnLDQwMjcwLCwsJycp&amp;WINDOW=FIRST_POPUP&amp;HEIGHT=450&amp;WIDTH=450&amp;START_MAXIMIZED=FALSE&amp;VAR:CALENDAR=US&amp;VAR:SYMBOL=38259P50&amp;VAR:INDEX=0"}</definedName>
    <definedName name="_2661__FDSAUDITLINK__">{"fdsup://directions/FAT Viewer?action=UPDATE&amp;creator=factset&amp;DYN_ARGS=TRUE&amp;DOC_NAME=FAT:FQL_AUDITING_CLIENT_TEMPLATE.FAT&amp;display_string=Audit&amp;VAR:KEY=MREFOJENAT&amp;VAR:QUERY=KFBfUFJJQ0UoNDAyNjkpLShGRl9DQVNIX1NUKFFUUiw0MDI2OSkvUF9DT01fU0hTX09VVCg0MDI2OSkpKS9GR","V9FU1RJTUFURSgnRVBTJywnTUVBTicsJ0FOTlVBTF9ST0xMJywnKzEnLDQwMjY5LCwsJycp&amp;WINDOW=FIRST_POPUP&amp;HEIGHT=450&amp;WIDTH=450&amp;START_MAXIMIZED=FALSE&amp;VAR:CALENDAR=US&amp;VAR:SYMBOL=38259P50&amp;VAR:INDEX=0"}</definedName>
    <definedName name="_2662__FDSAUDITLINK__">{"fdsup://directions/FAT Viewer?action=UPDATE&amp;creator=factset&amp;DYN_ARGS=TRUE&amp;DOC_NAME=FAT:FQL_AUDITING_CLIENT_TEMPLATE.FAT&amp;display_string=Audit&amp;VAR:KEY=MREFOJENAT&amp;VAR:QUERY=KFBfUFJJQ0UoNDAyNjkpLShGRl9DQVNIX1NUKFFUUiw0MDI2OSkvUF9DT01fU0hTX09VVCg0MDI2OSkpKS9GR","V9FU1RJTUFURSgnRVBTJywnTUVBTicsJ0FOTlVBTF9ST0xMJywnKzEnLDQwMjY5LCwsJycp&amp;WINDOW=FIRST_POPUP&amp;HEIGHT=450&amp;WIDTH=450&amp;START_MAXIMIZED=FALSE&amp;VAR:CALENDAR=US&amp;VAR:SYMBOL=38259P50&amp;VAR:INDEX=0"}</definedName>
    <definedName name="_2663__FDSAUDITLINK__">{"fdsup://directions/FAT Viewer?action=UPDATE&amp;creator=factset&amp;DYN_ARGS=TRUE&amp;DOC_NAME=FAT:FQL_AUDITING_CLIENT_TEMPLATE.FAT&amp;display_string=Audit&amp;VAR:KEY=EDOTSNYDCX&amp;VAR:QUERY=KFBfUFJJQ0UoNDAyNjgpLShGRl9DQVNIX1NUKFFUUiw0MDI2OCkvUF9DT01fU0hTX09VVCg0MDI2OCkpKS9GR","V9FU1RJTUFURSgnRVBTJywnTUVBTicsJ0FOTlVBTF9ST0xMJywnKzEnLDQwMjY4LCwsJycp&amp;WINDOW=FIRST_POPUP&amp;HEIGHT=450&amp;WIDTH=450&amp;START_MAXIMIZED=FALSE&amp;VAR:CALENDAR=US&amp;VAR:SYMBOL=38259P50&amp;VAR:INDEX=0"}</definedName>
    <definedName name="_2664__FDSAUDITLINK__">{"fdsup://directions/FAT Viewer?action=UPDATE&amp;creator=factset&amp;DYN_ARGS=TRUE&amp;DOC_NAME=FAT:FQL_AUDITING_CLIENT_TEMPLATE.FAT&amp;display_string=Audit&amp;VAR:KEY=EDOTSNYDCX&amp;VAR:QUERY=KFBfUFJJQ0UoNDAyNjgpLShGRl9DQVNIX1NUKFFUUiw0MDI2OCkvUF9DT01fU0hTX09VVCg0MDI2OCkpKS9GR","V9FU1RJTUFURSgnRVBTJywnTUVBTicsJ0FOTlVBTF9ST0xMJywnKzEnLDQwMjY4LCwsJycp&amp;WINDOW=FIRST_POPUP&amp;HEIGHT=450&amp;WIDTH=450&amp;START_MAXIMIZED=FALSE&amp;VAR:CALENDAR=US&amp;VAR:SYMBOL=38259P50&amp;VAR:INDEX=0"}</definedName>
    <definedName name="_2665__FDSAUDITLINK__">{"fdsup://directions/FAT Viewer?action=UPDATE&amp;creator=factset&amp;DYN_ARGS=TRUE&amp;DOC_NAME=FAT:FQL_AUDITING_CLIENT_TEMPLATE.FAT&amp;display_string=Audit&amp;VAR:KEY=EXGFUZSPAZ&amp;VAR:QUERY=KFBfUFJJQ0UoNDAyNjcpLShGRl9DQVNIX1NUKFFUUiw0MDI2NykvUF9DT01fU0hTX09VVCg0MDI2NykpKS9GR","V9FU1RJTUFURSgnRVBTJywnTUVBTicsJ0FOTlVBTF9ST0xMJywnKzEnLDQwMjY3LCwsJycp&amp;WINDOW=FIRST_POPUP&amp;HEIGHT=450&amp;WIDTH=450&amp;START_MAXIMIZED=FALSE&amp;VAR:CALENDAR=US&amp;VAR:SYMBOL=38259P50&amp;VAR:INDEX=0"}</definedName>
    <definedName name="_2666__FDSAUDITLINK__">{"fdsup://directions/FAT Viewer?action=UPDATE&amp;creator=factset&amp;DYN_ARGS=TRUE&amp;DOC_NAME=FAT:FQL_AUDITING_CLIENT_TEMPLATE.FAT&amp;display_string=Audit&amp;VAR:KEY=EXGFUZSPAZ&amp;VAR:QUERY=KFBfUFJJQ0UoNDAyNjcpLShGRl9DQVNIX1NUKFFUUiw0MDI2NykvUF9DT01fU0hTX09VVCg0MDI2NykpKS9GR","V9FU1RJTUFURSgnRVBTJywnTUVBTicsJ0FOTlVBTF9ST0xMJywnKzEnLDQwMjY3LCwsJycp&amp;WINDOW=FIRST_POPUP&amp;HEIGHT=450&amp;WIDTH=450&amp;START_MAXIMIZED=FALSE&amp;VAR:CALENDAR=US&amp;VAR:SYMBOL=38259P50&amp;VAR:INDEX=0"}</definedName>
    <definedName name="_2667__FDSAUDITLINK__">{"fdsup://directions/FAT Viewer?action=UPDATE&amp;creator=factset&amp;DYN_ARGS=TRUE&amp;DOC_NAME=FAT:FQL_AUDITING_CLIENT_TEMPLATE.FAT&amp;display_string=Audit&amp;VAR:KEY=EFOPIXAXQF&amp;VAR:QUERY=KFBfUFJJQ0UoNDAyNjYpLShGRl9DQVNIX1NUKFFUUiw0MDI2NikvUF9DT01fU0hTX09VVCg0MDI2NikpKS9GR","V9FU1RJTUFURSgnRVBTJywnTUVBTicsJ0FOTlVBTF9ST0xMJywnKzEnLDQwMjY2LCwsJycp&amp;WINDOW=FIRST_POPUP&amp;HEIGHT=450&amp;WIDTH=450&amp;START_MAXIMIZED=FALSE&amp;VAR:CALENDAR=US&amp;VAR:SYMBOL=38259P50&amp;VAR:INDEX=0"}</definedName>
    <definedName name="_2668__FDSAUDITLINK__">{"fdsup://directions/FAT Viewer?action=UPDATE&amp;creator=factset&amp;DYN_ARGS=TRUE&amp;DOC_NAME=FAT:FQL_AUDITING_CLIENT_TEMPLATE.FAT&amp;display_string=Audit&amp;VAR:KEY=EFOPIXAXQF&amp;VAR:QUERY=KFBfUFJJQ0UoNDAyNjYpLShGRl9DQVNIX1NUKFFUUiw0MDI2NikvUF9DT01fU0hTX09VVCg0MDI2NikpKS9GR","V9FU1RJTUFURSgnRVBTJywnTUVBTicsJ0FOTlVBTF9ST0xMJywnKzEnLDQwMjY2LCwsJycp&amp;WINDOW=FIRST_POPUP&amp;HEIGHT=450&amp;WIDTH=450&amp;START_MAXIMIZED=FALSE&amp;VAR:CALENDAR=US&amp;VAR:SYMBOL=38259P50&amp;VAR:INDEX=0"}</definedName>
    <definedName name="_2669__FDSAUDITLINK__">{"fdsup://directions/FAT Viewer?action=UPDATE&amp;creator=factset&amp;DYN_ARGS=TRUE&amp;DOC_NAME=FAT:FQL_AUDITING_CLIENT_TEMPLATE.FAT&amp;display_string=Audit&amp;VAR:KEY=KRCPWFUJGL&amp;VAR:QUERY=KFBfUFJJQ0UoNDAyNjUpLShGRl9DQVNIX1NUKFFUUiw0MDI2NSkvUF9DT01fU0hTX09VVCg0MDI2NSkpKS9GR","V9FU1RJTUFURSgnRVBTJywnTUVBTicsJ0FOTlVBTF9ST0xMJywnKzEnLDQwMjY1LCwsJycp&amp;WINDOW=FIRST_POPUP&amp;HEIGHT=450&amp;WIDTH=450&amp;START_MAXIMIZED=FALSE&amp;VAR:CALENDAR=US&amp;VAR:SYMBOL=38259P50&amp;VAR:INDEX=0"}</definedName>
    <definedName name="_267__FDSAUDITLINK__">{"fdsup://directions/FAT Viewer?action=UPDATE&amp;creator=factset&amp;DYN_ARGS=TRUE&amp;DOC_NAME=FAT:FQL_AUDITING_CLIENT_TEMPLATE.FAT&amp;display_string=Audit&amp;VAR:KEY=ITAJMDMXIB&amp;VAR:QUERY=RkZfRU5UUlBSX1ZBTF9FQklUREFfT1BFUihBTk4sLTVBWSxOT1cp&amp;WINDOW=FIRST_POPUP&amp;HEIGHT=450&amp;WI","DTH=450&amp;START_MAXIMIZED=FALSE&amp;VAR:CALENDAR=US&amp;VAR:SYMBOL=GOOG&amp;VAR:INDEX=0"}</definedName>
    <definedName name="_2670__FDSAUDITLINK__">{"fdsup://directions/FAT Viewer?action=UPDATE&amp;creator=factset&amp;DYN_ARGS=TRUE&amp;DOC_NAME=FAT:FQL_AUDITING_CLIENT_TEMPLATE.FAT&amp;display_string=Audit&amp;VAR:KEY=KRCPWFUJGL&amp;VAR:QUERY=KFBfUFJJQ0UoNDAyNjUpLShGRl9DQVNIX1NUKFFUUiw0MDI2NSkvUF9DT01fU0hTX09VVCg0MDI2NSkpKS9GR","V9FU1RJTUFURSgnRVBTJywnTUVBTicsJ0FOTlVBTF9ST0xMJywnKzEnLDQwMjY1LCwsJycp&amp;WINDOW=FIRST_POPUP&amp;HEIGHT=450&amp;WIDTH=450&amp;START_MAXIMIZED=FALSE&amp;VAR:CALENDAR=US&amp;VAR:SYMBOL=38259P50&amp;VAR:INDEX=0"}</definedName>
    <definedName name="_2671__FDSAUDITLINK__">{"fdsup://directions/FAT Viewer?action=UPDATE&amp;creator=factset&amp;DYN_ARGS=TRUE&amp;DOC_NAME=FAT:FQL_AUDITING_CLIENT_TEMPLATE.FAT&amp;display_string=Audit&amp;VAR:KEY=UZENKZWDAL&amp;VAR:QUERY=KFBfUFJJQ0UoNDAyNjQpLShGRl9DQVNIX1NUKFFUUiw0MDI2NCkvUF9DT01fU0hTX09VVCg0MDI2NCkpKS9GR","V9FU1RJTUFURSgnRVBTJywnTUVBTicsJ0FOTlVBTF9ST0xMJywnKzEnLDQwMjY0LCwsJycp&amp;WINDOW=FIRST_POPUP&amp;HEIGHT=450&amp;WIDTH=450&amp;START_MAXIMIZED=FALSE&amp;VAR:CALENDAR=US&amp;VAR:SYMBOL=38259P50&amp;VAR:INDEX=0"}</definedName>
    <definedName name="_2672__FDSAUDITLINK__">{"fdsup://directions/FAT Viewer?action=UPDATE&amp;creator=factset&amp;DYN_ARGS=TRUE&amp;DOC_NAME=FAT:FQL_AUDITING_CLIENT_TEMPLATE.FAT&amp;display_string=Audit&amp;VAR:KEY=UZENKZWDAL&amp;VAR:QUERY=KFBfUFJJQ0UoNDAyNjQpLShGRl9DQVNIX1NUKFFUUiw0MDI2NCkvUF9DT01fU0hTX09VVCg0MDI2NCkpKS9GR","V9FU1RJTUFURSgnRVBTJywnTUVBTicsJ0FOTlVBTF9ST0xMJywnKzEnLDQwMjY0LCwsJycp&amp;WINDOW=FIRST_POPUP&amp;HEIGHT=450&amp;WIDTH=450&amp;START_MAXIMIZED=FALSE&amp;VAR:CALENDAR=US&amp;VAR:SYMBOL=38259P50&amp;VAR:INDEX=0"}</definedName>
    <definedName name="_2673__FDSAUDITLINK__">{"fdsup://directions/FAT Viewer?action=UPDATE&amp;creator=factset&amp;DYN_ARGS=TRUE&amp;DOC_NAME=FAT:FQL_AUDITING_CLIENT_TEMPLATE.FAT&amp;display_string=Audit&amp;VAR:KEY=ARUZCFGRET&amp;VAR:QUERY=KFBfUFJJQ0UoNDAyNjMpLShGRl9DQVNIX1NUKFFUUiw0MDI2MykvUF9DT01fU0hTX09VVCg0MDI2MykpKS9GR","V9FU1RJTUFURSgnRVBTJywnTUVBTicsJ0FOTlVBTF9ST0xMJywnKzEnLDQwMjYzLCwsJycp&amp;WINDOW=FIRST_POPUP&amp;HEIGHT=450&amp;WIDTH=450&amp;START_MAXIMIZED=FALSE&amp;VAR:CALENDAR=US&amp;VAR:SYMBOL=38259P50&amp;VAR:INDEX=0"}</definedName>
    <definedName name="_2674__FDSAUDITLINK__">{"fdsup://directions/FAT Viewer?action=UPDATE&amp;creator=factset&amp;DYN_ARGS=TRUE&amp;DOC_NAME=FAT:FQL_AUDITING_CLIENT_TEMPLATE.FAT&amp;display_string=Audit&amp;VAR:KEY=ARUZCFGRET&amp;VAR:QUERY=KFBfUFJJQ0UoNDAyNjMpLShGRl9DQVNIX1NUKFFUUiw0MDI2MykvUF9DT01fU0hTX09VVCg0MDI2MykpKS9GR","V9FU1RJTUFURSgnRVBTJywnTUVBTicsJ0FOTlVBTF9ST0xMJywnKzEnLDQwMjYzLCwsJycp&amp;WINDOW=FIRST_POPUP&amp;HEIGHT=450&amp;WIDTH=450&amp;START_MAXIMIZED=FALSE&amp;VAR:CALENDAR=US&amp;VAR:SYMBOL=38259P50&amp;VAR:INDEX=0"}</definedName>
    <definedName name="_2675__FDSAUDITLINK__">{"fdsup://directions/FAT Viewer?action=UPDATE&amp;creator=factset&amp;DYN_ARGS=TRUE&amp;DOC_NAME=FAT:FQL_AUDITING_CLIENT_TEMPLATE.FAT&amp;display_string=Audit&amp;VAR:KEY=IDOFAHYFCP&amp;VAR:QUERY=KFBfUFJJQ0UoNDAyNjIpLShGRl9DQVNIX1NUKFFUUiw0MDI2MikvUF9DT01fU0hTX09VVCg0MDI2MikpKS9GR","V9FU1RJTUFURSgnRVBTJywnTUVBTicsJ0FOTlVBTF9ST0xMJywnKzEnLDQwMjYyLCwsJycp&amp;WINDOW=FIRST_POPUP&amp;HEIGHT=450&amp;WIDTH=450&amp;START_MAXIMIZED=FALSE&amp;VAR:CALENDAR=US&amp;VAR:SYMBOL=38259P50&amp;VAR:INDEX=0"}</definedName>
    <definedName name="_2676__FDSAUDITLINK__">{"fdsup://directions/FAT Viewer?action=UPDATE&amp;creator=factset&amp;DYN_ARGS=TRUE&amp;DOC_NAME=FAT:FQL_AUDITING_CLIENT_TEMPLATE.FAT&amp;display_string=Audit&amp;VAR:KEY=IDOFAHYFCP&amp;VAR:QUERY=KFBfUFJJQ0UoNDAyNjIpLShGRl9DQVNIX1NUKFFUUiw0MDI2MikvUF9DT01fU0hTX09VVCg0MDI2MikpKS9GR","V9FU1RJTUFURSgnRVBTJywnTUVBTicsJ0FOTlVBTF9ST0xMJywnKzEnLDQwMjYyLCwsJycp&amp;WINDOW=FIRST_POPUP&amp;HEIGHT=450&amp;WIDTH=450&amp;START_MAXIMIZED=FALSE&amp;VAR:CALENDAR=US&amp;VAR:SYMBOL=38259P50&amp;VAR:INDEX=0"}</definedName>
    <definedName name="_2677__FDSAUDITLINK__">{"fdsup://directions/FAT Viewer?action=UPDATE&amp;creator=factset&amp;DYN_ARGS=TRUE&amp;DOC_NAME=FAT:FQL_AUDITING_CLIENT_TEMPLATE.FAT&amp;display_string=Audit&amp;VAR:KEY=WDUBSTQREP&amp;VAR:QUERY=KFBfUFJJQ0UoNDAyNjEpLShGRl9DQVNIX1NUKFFUUiw0MDI2MSkvUF9DT01fU0hTX09VVCg0MDI2MSkpKS9GR","V9FU1RJTUFURSgnRVBTJywnTUVBTicsJ0FOTlVBTF9ST0xMJywnKzEnLDQwMjYxLCwsJycp&amp;WINDOW=FIRST_POPUP&amp;HEIGHT=450&amp;WIDTH=450&amp;START_MAXIMIZED=FALSE&amp;VAR:CALENDAR=US&amp;VAR:SYMBOL=38259P50&amp;VAR:INDEX=0"}</definedName>
    <definedName name="_2678__FDSAUDITLINK__">{"fdsup://directions/FAT Viewer?action=UPDATE&amp;creator=factset&amp;DYN_ARGS=TRUE&amp;DOC_NAME=FAT:FQL_AUDITING_CLIENT_TEMPLATE.FAT&amp;display_string=Audit&amp;VAR:KEY=WDUBSTQREP&amp;VAR:QUERY=KFBfUFJJQ0UoNDAyNjEpLShGRl9DQVNIX1NUKFFUUiw0MDI2MSkvUF9DT01fU0hTX09VVCg0MDI2MSkpKS9GR","V9FU1RJTUFURSgnRVBTJywnTUVBTicsJ0FOTlVBTF9ST0xMJywnKzEnLDQwMjYxLCwsJycp&amp;WINDOW=FIRST_POPUP&amp;HEIGHT=450&amp;WIDTH=450&amp;START_MAXIMIZED=FALSE&amp;VAR:CALENDAR=US&amp;VAR:SYMBOL=38259P50&amp;VAR:INDEX=0"}</definedName>
    <definedName name="_2679__FDSAUDITLINK__">{"fdsup://directions/FAT Viewer?action=UPDATE&amp;creator=factset&amp;DYN_ARGS=TRUE&amp;DOC_NAME=FAT:FQL_AUDITING_CLIENT_TEMPLATE.FAT&amp;display_string=Audit&amp;VAR:KEY=SDSDKDWXWV&amp;VAR:QUERY=KFBfUFJJQ0UoNDAyNjApLShGRl9DQVNIX1NUKFFUUiw0MDI2MCkvUF9DT01fU0hTX09VVCg0MDI2MCkpKS9GR","V9FU1RJTUFURSgnRVBTJywnTUVBTicsJ0FOTlVBTF9ST0xMJywnKzEnLDQwMjYwLCwsJycp&amp;WINDOW=FIRST_POPUP&amp;HEIGHT=450&amp;WIDTH=450&amp;START_MAXIMIZED=FALSE&amp;VAR:CALENDAR=US&amp;VAR:SYMBOL=38259P50&amp;VAR:INDEX=0"}</definedName>
    <definedName name="_268__FDSAUDITLINK__">{"fdsup://directions/FAT Viewer?action=UPDATE&amp;creator=factset&amp;DYN_ARGS=TRUE&amp;DOC_NAME=FAT:FQL_AUDITING_CLIENT_TEMPLATE.FAT&amp;display_string=Audit&amp;VAR:KEY=KZYLCRAREJ&amp;VAR:QUERY=RkZfRU5UUlBSX1ZBTF9FQklUREFfT1BFUihBTk4sMCk=&amp;WINDOW=FIRST_POPUP&amp;HEIGHT=450&amp;WIDTH=450&amp;","START_MAXIMIZED=FALSE&amp;VAR:CALENDAR=US&amp;VAR:SYMBOL=GOOG&amp;VAR:INDEX=0"}</definedName>
    <definedName name="_2680__FDSAUDITLINK__">{"fdsup://directions/FAT Viewer?action=UPDATE&amp;creator=factset&amp;DYN_ARGS=TRUE&amp;DOC_NAME=FAT:FQL_AUDITING_CLIENT_TEMPLATE.FAT&amp;display_string=Audit&amp;VAR:KEY=SDSDKDWXWV&amp;VAR:QUERY=KFBfUFJJQ0UoNDAyNjApLShGRl9DQVNIX1NUKFFUUiw0MDI2MCkvUF9DT01fU0hTX09VVCg0MDI2MCkpKS9GR","V9FU1RJTUFURSgnRVBTJywnTUVBTicsJ0FOTlVBTF9ST0xMJywnKzEnLDQwMjYwLCwsJycp&amp;WINDOW=FIRST_POPUP&amp;HEIGHT=450&amp;WIDTH=450&amp;START_MAXIMIZED=FALSE&amp;VAR:CALENDAR=US&amp;VAR:SYMBOL=38259P50&amp;VAR:INDEX=0"}</definedName>
    <definedName name="_2681__FDSAUDITLINK__">{"fdsup://directions/FAT Viewer?action=UPDATE&amp;creator=factset&amp;DYN_ARGS=TRUE&amp;DOC_NAME=FAT:FQL_AUDITING_CLIENT_TEMPLATE.FAT&amp;display_string=Audit&amp;VAR:KEY=QBEJKTGPMF&amp;VAR:QUERY=KFBfUFJJQ0UoNDAyNTkpLShGRl9DQVNIX1NUKFFUUiw0MDI1OSkvUF9DT01fU0hTX09VVCg0MDI1OSkpKS9GR","V9FU1RJTUFURSgnRVBTJywnTUVBTicsJ0FOTlVBTF9ST0xMJywnKzEnLDQwMjU5LCwsJycp&amp;WINDOW=FIRST_POPUP&amp;HEIGHT=450&amp;WIDTH=450&amp;START_MAXIMIZED=FALSE&amp;VAR:CALENDAR=US&amp;VAR:SYMBOL=38259P50&amp;VAR:INDEX=0"}</definedName>
    <definedName name="_2682__FDSAUDITLINK__">{"fdsup://directions/FAT Viewer?action=UPDATE&amp;creator=factset&amp;DYN_ARGS=TRUE&amp;DOC_NAME=FAT:FQL_AUDITING_CLIENT_TEMPLATE.FAT&amp;display_string=Audit&amp;VAR:KEY=QBEJKTGPMF&amp;VAR:QUERY=KFBfUFJJQ0UoNDAyNTkpLShGRl9DQVNIX1NUKFFUUiw0MDI1OSkvUF9DT01fU0hTX09VVCg0MDI1OSkpKS9GR","V9FU1RJTUFURSgnRVBTJywnTUVBTicsJ0FOTlVBTF9ST0xMJywnKzEnLDQwMjU5LCwsJycp&amp;WINDOW=FIRST_POPUP&amp;HEIGHT=450&amp;WIDTH=450&amp;START_MAXIMIZED=FALSE&amp;VAR:CALENDAR=US&amp;VAR:SYMBOL=38259P50&amp;VAR:INDEX=0"}</definedName>
    <definedName name="_2683__FDSAUDITLINK__">{"fdsup://directions/FAT Viewer?action=UPDATE&amp;creator=factset&amp;DYN_ARGS=TRUE&amp;DOC_NAME=FAT:FQL_AUDITING_CLIENT_TEMPLATE.FAT&amp;display_string=Audit&amp;VAR:KEY=WREFIBKZYJ&amp;VAR:QUERY=KFBfUFJJQ0UoNDAyNTgpLShGRl9DQVNIX1NUKFFUUiw0MDI1OCkvUF9DT01fU0hTX09VVCg0MDI1OCkpKS9GR","V9FU1RJTUFURSgnRVBTJywnTUVBTicsJ0FOTlVBTF9ST0xMJywnKzEnLDQwMjU4LCwsJycp&amp;WINDOW=FIRST_POPUP&amp;HEIGHT=450&amp;WIDTH=450&amp;START_MAXIMIZED=FALSE&amp;VAR:CALENDAR=US&amp;VAR:SYMBOL=38259P50&amp;VAR:INDEX=0"}</definedName>
    <definedName name="_2684__FDSAUDITLINK__">{"fdsup://directions/FAT Viewer?action=UPDATE&amp;creator=factset&amp;DYN_ARGS=TRUE&amp;DOC_NAME=FAT:FQL_AUDITING_CLIENT_TEMPLATE.FAT&amp;display_string=Audit&amp;VAR:KEY=WREFIBKZYJ&amp;VAR:QUERY=KFBfUFJJQ0UoNDAyNTgpLShGRl9DQVNIX1NUKFFUUiw0MDI1OCkvUF9DT01fU0hTX09VVCg0MDI1OCkpKS9GR","V9FU1RJTUFURSgnRVBTJywnTUVBTicsJ0FOTlVBTF9ST0xMJywnKzEnLDQwMjU4LCwsJycp&amp;WINDOW=FIRST_POPUP&amp;HEIGHT=450&amp;WIDTH=450&amp;START_MAXIMIZED=FALSE&amp;VAR:CALENDAR=US&amp;VAR:SYMBOL=38259P50&amp;VAR:INDEX=0"}</definedName>
    <definedName name="_2685__FDSAUDITLINK__">{"fdsup://directions/FAT Viewer?action=UPDATE&amp;creator=factset&amp;DYN_ARGS=TRUE&amp;DOC_NAME=FAT:FQL_AUDITING_CLIENT_TEMPLATE.FAT&amp;display_string=Audit&amp;VAR:KEY=OBYBYNCNOB&amp;VAR:QUERY=KFBfUFJJQ0UoNDAyNTcpLShGRl9DQVNIX1NUKFFUUiw0MDI1NykvUF9DT01fU0hTX09VVCg0MDI1NykpKS9GR","V9FU1RJTUFURSgnRVBTJywnTUVBTicsJ0FOTlVBTF9ST0xMJywnKzEnLDQwMjU3LCwsJycp&amp;WINDOW=FIRST_POPUP&amp;HEIGHT=450&amp;WIDTH=450&amp;START_MAXIMIZED=FALSE&amp;VAR:CALENDAR=US&amp;VAR:SYMBOL=38259P50&amp;VAR:INDEX=0"}</definedName>
    <definedName name="_2686__FDSAUDITLINK__">{"fdsup://directions/FAT Viewer?action=UPDATE&amp;creator=factset&amp;DYN_ARGS=TRUE&amp;DOC_NAME=FAT:FQL_AUDITING_CLIENT_TEMPLATE.FAT&amp;display_string=Audit&amp;VAR:KEY=OBYBYNCNOB&amp;VAR:QUERY=KFBfUFJJQ0UoNDAyNTcpLShGRl9DQVNIX1NUKFFUUiw0MDI1NykvUF9DT01fU0hTX09VVCg0MDI1NykpKS9GR","V9FU1RJTUFURSgnRVBTJywnTUVBTicsJ0FOTlVBTF9ST0xMJywnKzEnLDQwMjU3LCwsJycp&amp;WINDOW=FIRST_POPUP&amp;HEIGHT=450&amp;WIDTH=450&amp;START_MAXIMIZED=FALSE&amp;VAR:CALENDAR=US&amp;VAR:SYMBOL=38259P50&amp;VAR:INDEX=0"}</definedName>
    <definedName name="_2687__FDSAUDITLINK__">{"fdsup://directions/FAT Viewer?action=UPDATE&amp;creator=factset&amp;DYN_ARGS=TRUE&amp;DOC_NAME=FAT:FQL_AUDITING_CLIENT_TEMPLATE.FAT&amp;display_string=Audit&amp;VAR:KEY=YXGTQTEHAH&amp;VAR:QUERY=KFBfUFJJQ0UoNDAyNTYpLShGRl9DQVNIX1NUKFFUUiw0MDI1NikvUF9DT01fU0hTX09VVCg0MDI1NikpKS9GR","V9FU1RJTUFURSgnRVBTJywnTUVBTicsJ0FOTlVBTF9ST0xMJywnKzEnLDQwMjU2LCwsJycp&amp;WINDOW=FIRST_POPUP&amp;HEIGHT=450&amp;WIDTH=450&amp;START_MAXIMIZED=FALSE&amp;VAR:CALENDAR=US&amp;VAR:SYMBOL=38259P50&amp;VAR:INDEX=0"}</definedName>
    <definedName name="_2688__FDSAUDITLINK__">{"fdsup://directions/FAT Viewer?action=UPDATE&amp;creator=factset&amp;DYN_ARGS=TRUE&amp;DOC_NAME=FAT:FQL_AUDITING_CLIENT_TEMPLATE.FAT&amp;display_string=Audit&amp;VAR:KEY=YXGTQTEHAH&amp;VAR:QUERY=KFBfUFJJQ0UoNDAyNTYpLShGRl9DQVNIX1NUKFFUUiw0MDI1NikvUF9DT01fU0hTX09VVCg0MDI1NikpKS9GR","V9FU1RJTUFURSgnRVBTJywnTUVBTicsJ0FOTlVBTF9ST0xMJywnKzEnLDQwMjU2LCwsJycp&amp;WINDOW=FIRST_POPUP&amp;HEIGHT=450&amp;WIDTH=450&amp;START_MAXIMIZED=FALSE&amp;VAR:CALENDAR=US&amp;VAR:SYMBOL=38259P50&amp;VAR:INDEX=0"}</definedName>
    <definedName name="_2689__FDSAUDITLINK__">{"fdsup://directions/FAT Viewer?action=UPDATE&amp;creator=factset&amp;DYN_ARGS=TRUE&amp;DOC_NAME=FAT:FQL_AUDITING_CLIENT_TEMPLATE.FAT&amp;display_string=Audit&amp;VAR:KEY=APYDUDOJQZ&amp;VAR:QUERY=KFBfUFJJQ0UoNDAyNTUpLShGRl9DQVNIX1NUKFFUUiw0MDI1NSkvUF9DT01fU0hTX09VVCg0MDI1NSkpKS9GR","V9FU1RJTUFURSgnRVBTJywnTUVBTicsJ0FOTlVBTF9ST0xMJywnKzEnLDQwMjU1LCwsJycp&amp;WINDOW=FIRST_POPUP&amp;HEIGHT=450&amp;WIDTH=450&amp;START_MAXIMIZED=FALSE&amp;VAR:CALENDAR=US&amp;VAR:SYMBOL=38259P50&amp;VAR:INDEX=0"}</definedName>
    <definedName name="_26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260"}</definedName>
    <definedName name="_2690__FDSAUDITLINK__">{"fdsup://directions/FAT Viewer?action=UPDATE&amp;creator=factset&amp;DYN_ARGS=TRUE&amp;DOC_NAME=FAT:FQL_AUDITING_CLIENT_TEMPLATE.FAT&amp;display_string=Audit&amp;VAR:KEY=APYDUDOJQZ&amp;VAR:QUERY=KFBfUFJJQ0UoNDAyNTUpLShGRl9DQVNIX1NUKFFUUiw0MDI1NSkvUF9DT01fU0hTX09VVCg0MDI1NSkpKS9GR","V9FU1RJTUFURSgnRVBTJywnTUVBTicsJ0FOTlVBTF9ST0xMJywnKzEnLDQwMjU1LCwsJycp&amp;WINDOW=FIRST_POPUP&amp;HEIGHT=450&amp;WIDTH=450&amp;START_MAXIMIZED=FALSE&amp;VAR:CALENDAR=US&amp;VAR:SYMBOL=38259P50&amp;VAR:INDEX=0"}</definedName>
    <definedName name="_2691__FDSAUDITLINK__">{"fdsup://directions/FAT Viewer?action=UPDATE&amp;creator=factset&amp;DYN_ARGS=TRUE&amp;DOC_NAME=FAT:FQL_AUDITING_CLIENT_TEMPLATE.FAT&amp;display_string=Audit&amp;VAR:KEY=OVUNIZWVCJ&amp;VAR:QUERY=KFBfUFJJQ0UoNDAyNTQpLShGRl9DQVNIX1NUKFFUUiw0MDI1NCkvUF9DT01fU0hTX09VVCg0MDI1NCkpKS9GR","V9FU1RJTUFURSgnRVBTJywnTUVBTicsJ0FOTlVBTF9ST0xMJywnKzEnLDQwMjU0LCwsJycp&amp;WINDOW=FIRST_POPUP&amp;HEIGHT=450&amp;WIDTH=450&amp;START_MAXIMIZED=FALSE&amp;VAR:CALENDAR=US&amp;VAR:SYMBOL=38259P50&amp;VAR:INDEX=0"}</definedName>
    <definedName name="_2692__FDSAUDITLINK__">{"fdsup://directions/FAT Viewer?action=UPDATE&amp;creator=factset&amp;DYN_ARGS=TRUE&amp;DOC_NAME=FAT:FQL_AUDITING_CLIENT_TEMPLATE.FAT&amp;display_string=Audit&amp;VAR:KEY=OVUNIZWVCJ&amp;VAR:QUERY=KFBfUFJJQ0UoNDAyNTQpLShGRl9DQVNIX1NUKFFUUiw0MDI1NCkvUF9DT01fU0hTX09VVCg0MDI1NCkpKS9GR","V9FU1RJTUFURSgnRVBTJywnTUVBTicsJ0FOTlVBTF9ST0xMJywnKzEnLDQwMjU0LCwsJycp&amp;WINDOW=FIRST_POPUP&amp;HEIGHT=450&amp;WIDTH=450&amp;START_MAXIMIZED=FALSE&amp;VAR:CALENDAR=US&amp;VAR:SYMBOL=38259P50&amp;VAR:INDEX=0"}</definedName>
    <definedName name="_2693__FDSAUDITLINK__">{"fdsup://directions/FAT Viewer?action=UPDATE&amp;creator=factset&amp;DYN_ARGS=TRUE&amp;DOC_NAME=FAT:FQL_AUDITING_CLIENT_TEMPLATE.FAT&amp;display_string=Audit&amp;VAR:KEY=QBCHITUFYX&amp;VAR:QUERY=KFBfUFJJQ0UoNDAyNTMpLShGRl9DQVNIX1NUKFFUUiw0MDI1MykvUF9DT01fU0hTX09VVCg0MDI1MykpKS9GR","V9FU1RJTUFURSgnRVBTJywnTUVBTicsJ0FOTlVBTF9ST0xMJywnKzEnLDQwMjUzLCwsJycp&amp;WINDOW=FIRST_POPUP&amp;HEIGHT=450&amp;WIDTH=450&amp;START_MAXIMIZED=FALSE&amp;VAR:CALENDAR=US&amp;VAR:SYMBOL=38259P50&amp;VAR:INDEX=0"}</definedName>
    <definedName name="_2694__FDSAUDITLINK__">{"fdsup://directions/FAT Viewer?action=UPDATE&amp;creator=factset&amp;DYN_ARGS=TRUE&amp;DOC_NAME=FAT:FQL_AUDITING_CLIENT_TEMPLATE.FAT&amp;display_string=Audit&amp;VAR:KEY=QBCHITUFYX&amp;VAR:QUERY=KFBfUFJJQ0UoNDAyNTMpLShGRl9DQVNIX1NUKFFUUiw0MDI1MykvUF9DT01fU0hTX09VVCg0MDI1MykpKS9GR","V9FU1RJTUFURSgnRVBTJywnTUVBTicsJ0FOTlVBTF9ST0xMJywnKzEnLDQwMjUzLCwsJycp&amp;WINDOW=FIRST_POPUP&amp;HEIGHT=450&amp;WIDTH=450&amp;START_MAXIMIZED=FALSE&amp;VAR:CALENDAR=US&amp;VAR:SYMBOL=38259P50&amp;VAR:INDEX=0"}</definedName>
    <definedName name="_2695__FDSAUDITLINK__">{"fdsup://directions/FAT Viewer?action=UPDATE&amp;creator=factset&amp;DYN_ARGS=TRUE&amp;DOC_NAME=FAT:FQL_AUDITING_CLIENT_TEMPLATE.FAT&amp;display_string=Audit&amp;VAR:KEY=KDEZANKZSH&amp;VAR:QUERY=KFBfUFJJQ0UoNDAyNTIpLShGRl9DQVNIX1NUKFFUUiw0MDI1MikvUF9DT01fU0hTX09VVCg0MDI1MikpKS9GR","V9FU1RJTUFURSgnRVBTJywnTUVBTicsJ0FOTlVBTF9ST0xMJywnKzEnLDQwMjUyLCwsJycp&amp;WINDOW=FIRST_POPUP&amp;HEIGHT=450&amp;WIDTH=450&amp;START_MAXIMIZED=FALSE&amp;VAR:CALENDAR=US&amp;VAR:SYMBOL=38259P50&amp;VAR:INDEX=0"}</definedName>
    <definedName name="_2696__FDSAUDITLINK__">{"fdsup://directions/FAT Viewer?action=UPDATE&amp;creator=factset&amp;DYN_ARGS=TRUE&amp;DOC_NAME=FAT:FQL_AUDITING_CLIENT_TEMPLATE.FAT&amp;display_string=Audit&amp;VAR:KEY=KDEZANKZSH&amp;VAR:QUERY=KFBfUFJJQ0UoNDAyNTIpLShGRl9DQVNIX1NUKFFUUiw0MDI1MikvUF9DT01fU0hTX09VVCg0MDI1MikpKS9GR","V9FU1RJTUFURSgnRVBTJywnTUVBTicsJ0FOTlVBTF9ST0xMJywnKzEnLDQwMjUyLCwsJycp&amp;WINDOW=FIRST_POPUP&amp;HEIGHT=450&amp;WIDTH=450&amp;START_MAXIMIZED=FALSE&amp;VAR:CALENDAR=US&amp;VAR:SYMBOL=38259P50&amp;VAR:INDEX=0"}</definedName>
    <definedName name="_2697__FDSAUDITLINK__">{"fdsup://directions/FAT Viewer?action=UPDATE&amp;creator=factset&amp;DYN_ARGS=TRUE&amp;DOC_NAME=FAT:FQL_AUDITING_CLIENT_TEMPLATE.FAT&amp;display_string=Audit&amp;VAR:KEY=IBGRKJEZAN&amp;VAR:QUERY=KFBfUFJJQ0UoNDAyNTEpLShGRl9DQVNIX1NUKFFUUiw0MDI1MSkvUF9DT01fU0hTX09VVCg0MDI1MSkpKS9GR","V9FU1RJTUFURSgnRVBTJywnTUVBTicsJ0FOTlVBTF9ST0xMJywnKzEnLDQwMjUxLCwsJycp&amp;WINDOW=FIRST_POPUP&amp;HEIGHT=450&amp;WIDTH=450&amp;START_MAXIMIZED=FALSE&amp;VAR:CALENDAR=US&amp;VAR:SYMBOL=38259P50&amp;VAR:INDEX=0"}</definedName>
    <definedName name="_2698__FDSAUDITLINK__">{"fdsup://directions/FAT Viewer?action=UPDATE&amp;creator=factset&amp;DYN_ARGS=TRUE&amp;DOC_NAME=FAT:FQL_AUDITING_CLIENT_TEMPLATE.FAT&amp;display_string=Audit&amp;VAR:KEY=IBGRKJEZAN&amp;VAR:QUERY=KFBfUFJJQ0UoNDAyNTEpLShGRl9DQVNIX1NUKFFUUiw0MDI1MSkvUF9DT01fU0hTX09VVCg0MDI1MSkpKS9GR","V9FU1RJTUFURSgnRVBTJywnTUVBTicsJ0FOTlVBTF9ST0xMJywnKzEnLDQwMjUxLCwsJycp&amp;WINDOW=FIRST_POPUP&amp;HEIGHT=450&amp;WIDTH=450&amp;START_MAXIMIZED=FALSE&amp;VAR:CALENDAR=US&amp;VAR:SYMBOL=38259P50&amp;VAR:INDEX=0"}</definedName>
    <definedName name="_2699__FDSAUDITLINK__">{"fdsup://directions/FAT Viewer?action=UPDATE&amp;creator=factset&amp;DYN_ARGS=TRUE&amp;DOC_NAME=FAT:FQL_AUDITING_CLIENT_TEMPLATE.FAT&amp;display_string=Audit&amp;VAR:KEY=YRQFWTILMN&amp;VAR:QUERY=KFBfUFJJQ0UoNDAyNTApLShGRl9DQVNIX1NUKFFUUiw0MDI1MCkvUF9DT01fU0hTX09VVCg0MDI1MCkpKS9GR","V9FU1RJTUFURSgnRVBTJywnTUVBTicsJ0FOTlVBTF9ST0xMJywnKzEnLDQwMjUwLCwsJycp&amp;WINDOW=FIRST_POPUP&amp;HEIGHT=450&amp;WIDTH=450&amp;START_MAXIMIZED=FALSE&amp;VAR:CALENDAR=US&amp;VAR:SYMBOL=38259P50&amp;VAR:INDEX=0"}</definedName>
    <definedName name="_2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16.747043&amp;VAR:V0=18.603895&amp;VAR:V1=16.747043&amp;VAR:Y0=2004&amp;VAR:Y1=2005&amp;VAR:P=1211.916300&amp;VAR:DATE=20041231&amp;VAR:THRESH=-|-|","-|-|-|-|-"}</definedName>
    <definedName name="_27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259"}</definedName>
    <definedName name="_2700__FDSAUDITLINK__">{"fdsup://directions/FAT Viewer?action=UPDATE&amp;creator=factset&amp;DYN_ARGS=TRUE&amp;DOC_NAME=FAT:FQL_AUDITING_CLIENT_TEMPLATE.FAT&amp;display_string=Audit&amp;VAR:KEY=YRQFWTILMN&amp;VAR:QUERY=KFBfUFJJQ0UoNDAyNTApLShGRl9DQVNIX1NUKFFUUiw0MDI1MCkvUF9DT01fU0hTX09VVCg0MDI1MCkpKS9GR","V9FU1RJTUFURSgnRVBTJywnTUVBTicsJ0FOTlVBTF9ST0xMJywnKzEnLDQwMjUwLCwsJycp&amp;WINDOW=FIRST_POPUP&amp;HEIGHT=450&amp;WIDTH=450&amp;START_MAXIMIZED=FALSE&amp;VAR:CALENDAR=US&amp;VAR:SYMBOL=38259P50&amp;VAR:INDEX=0"}</definedName>
    <definedName name="_2701__FDSAUDITLINK__">{"fdsup://directions/FAT Viewer?action=UPDATE&amp;creator=factset&amp;DYN_ARGS=TRUE&amp;DOC_NAME=FAT:FQL_AUDITING_CLIENT_TEMPLATE.FAT&amp;display_string=Audit&amp;VAR:KEY=UDONUVMXAN&amp;VAR:QUERY=KFBfUFJJQ0UoNDAyNDkpLShGRl9DQVNIX1NUKFFUUiw0MDI0OSkvUF9DT01fU0hTX09VVCg0MDI0OSkpKS9GR","V9FU1RJTUFURSgnRVBTJywnTUVBTicsJ0FOTlVBTF9ST0xMJywnKzEnLDQwMjQ5LCwsJycp&amp;WINDOW=FIRST_POPUP&amp;HEIGHT=450&amp;WIDTH=450&amp;START_MAXIMIZED=FALSE&amp;VAR:CALENDAR=US&amp;VAR:SYMBOL=38259P50&amp;VAR:INDEX=0"}</definedName>
    <definedName name="_2702__FDSAUDITLINK__">{"fdsup://directions/FAT Viewer?action=UPDATE&amp;creator=factset&amp;DYN_ARGS=TRUE&amp;DOC_NAME=FAT:FQL_AUDITING_CLIENT_TEMPLATE.FAT&amp;display_string=Audit&amp;VAR:KEY=UDONUVMXAN&amp;VAR:QUERY=KFBfUFJJQ0UoNDAyNDkpLShGRl9DQVNIX1NUKFFUUiw0MDI0OSkvUF9DT01fU0hTX09VVCg0MDI0OSkpKS9GR","V9FU1RJTUFURSgnRVBTJywnTUVBTicsJ0FOTlVBTF9ST0xMJywnKzEnLDQwMjQ5LCwsJycp&amp;WINDOW=FIRST_POPUP&amp;HEIGHT=450&amp;WIDTH=450&amp;START_MAXIMIZED=FALSE&amp;VAR:CALENDAR=US&amp;VAR:SYMBOL=38259P50&amp;VAR:INDEX=0"}</definedName>
    <definedName name="_2703__FDSAUDITLINK__">{"fdsup://directions/FAT Viewer?action=UPDATE&amp;creator=factset&amp;DYN_ARGS=TRUE&amp;DOC_NAME=FAT:FQL_AUDITING_CLIENT_TEMPLATE.FAT&amp;display_string=Audit&amp;VAR:KEY=WRYVKLOJWH&amp;VAR:QUERY=KFBfUFJJQ0UoNDAyNDgpLShGRl9DQVNIX1NUKFFUUiw0MDI0OCkvUF9DT01fU0hTX09VVCg0MDI0OCkpKS9GR","V9FU1RJTUFURSgnRVBTJywnTUVBTicsJ0FOTlVBTF9ST0xMJywnKzEnLDQwMjQ4LCwsJycp&amp;WINDOW=FIRST_POPUP&amp;HEIGHT=450&amp;WIDTH=450&amp;START_MAXIMIZED=FALSE&amp;VAR:CALENDAR=US&amp;VAR:SYMBOL=38259P50&amp;VAR:INDEX=0"}</definedName>
    <definedName name="_2704__FDSAUDITLINK__">{"fdsup://directions/FAT Viewer?action=UPDATE&amp;creator=factset&amp;DYN_ARGS=TRUE&amp;DOC_NAME=FAT:FQL_AUDITING_CLIENT_TEMPLATE.FAT&amp;display_string=Audit&amp;VAR:KEY=WRYVKLOJWH&amp;VAR:QUERY=KFBfUFJJQ0UoNDAyNDgpLShGRl9DQVNIX1NUKFFUUiw0MDI0OCkvUF9DT01fU0hTX09VVCg0MDI0OCkpKS9GR","V9FU1RJTUFURSgnRVBTJywnTUVBTicsJ0FOTlVBTF9ST0xMJywnKzEnLDQwMjQ4LCwsJycp&amp;WINDOW=FIRST_POPUP&amp;HEIGHT=450&amp;WIDTH=450&amp;START_MAXIMIZED=FALSE&amp;VAR:CALENDAR=US&amp;VAR:SYMBOL=38259P50&amp;VAR:INDEX=0"}</definedName>
    <definedName name="_2705__FDSAUDITLINK__">{"fdsup://directions/FAT Viewer?action=UPDATE&amp;creator=factset&amp;DYN_ARGS=TRUE&amp;DOC_NAME=FAT:FQL_AUDITING_CLIENT_TEMPLATE.FAT&amp;display_string=Audit&amp;VAR:KEY=YNYTATOXYZ&amp;VAR:QUERY=KFBfUFJJQ0UoNDAyNDcpLShGRl9DQVNIX1NUKFFUUiw0MDI0NykvUF9DT01fU0hTX09VVCg0MDI0NykpKS9GR","V9FU1RJTUFURSgnRVBTJywnTUVBTicsJ0FOTlVBTF9ST0xMJywnKzEnLDQwMjQ3LCwsJycp&amp;WINDOW=FIRST_POPUP&amp;HEIGHT=450&amp;WIDTH=450&amp;START_MAXIMIZED=FALSE&amp;VAR:CALENDAR=US&amp;VAR:SYMBOL=38259P50&amp;VAR:INDEX=0"}</definedName>
    <definedName name="_2706__FDSAUDITLINK__">{"fdsup://directions/FAT Viewer?action=UPDATE&amp;creator=factset&amp;DYN_ARGS=TRUE&amp;DOC_NAME=FAT:FQL_AUDITING_CLIENT_TEMPLATE.FAT&amp;display_string=Audit&amp;VAR:KEY=YNYTATOXYZ&amp;VAR:QUERY=KFBfUFJJQ0UoNDAyNDcpLShGRl9DQVNIX1NUKFFUUiw0MDI0NykvUF9DT01fU0hTX09VVCg0MDI0NykpKS9GR","V9FU1RJTUFURSgnRVBTJywnTUVBTicsJ0FOTlVBTF9ST0xMJywnKzEnLDQwMjQ3LCwsJycp&amp;WINDOW=FIRST_POPUP&amp;HEIGHT=450&amp;WIDTH=450&amp;START_MAXIMIZED=FALSE&amp;VAR:CALENDAR=US&amp;VAR:SYMBOL=38259P50&amp;VAR:INDEX=0"}</definedName>
    <definedName name="_2707__FDSAUDITLINK__">{"fdsup://directions/FAT Viewer?action=UPDATE&amp;creator=factset&amp;DYN_ARGS=TRUE&amp;DOC_NAME=FAT:FQL_AUDITING_CLIENT_TEMPLATE.FAT&amp;display_string=Audit&amp;VAR:KEY=SFMZQDENSL&amp;VAR:QUERY=KFBfUFJJQ0UoNDAyNDYpLShGRl9DQVNIX1NUKFFUUiw0MDI0NikvUF9DT01fU0hTX09VVCg0MDI0NikpKS9GR","V9FU1RJTUFURSgnRVBTJywnTUVBTicsJ0FOTlVBTF9ST0xMJywnKzEnLDQwMjQ2LCwsJycp&amp;WINDOW=FIRST_POPUP&amp;HEIGHT=450&amp;WIDTH=450&amp;START_MAXIMIZED=FALSE&amp;VAR:CALENDAR=US&amp;VAR:SYMBOL=38259P50&amp;VAR:INDEX=0"}</definedName>
    <definedName name="_2708__FDSAUDITLINK__">{"fdsup://directions/FAT Viewer?action=UPDATE&amp;creator=factset&amp;DYN_ARGS=TRUE&amp;DOC_NAME=FAT:FQL_AUDITING_CLIENT_TEMPLATE.FAT&amp;display_string=Audit&amp;VAR:KEY=SFMZQDENSL&amp;VAR:QUERY=KFBfUFJJQ0UoNDAyNDYpLShGRl9DQVNIX1NUKFFUUiw0MDI0NikvUF9DT01fU0hTX09VVCg0MDI0NikpKS9GR","V9FU1RJTUFURSgnRVBTJywnTUVBTicsJ0FOTlVBTF9ST0xMJywnKzEnLDQwMjQ2LCwsJycp&amp;WINDOW=FIRST_POPUP&amp;HEIGHT=450&amp;WIDTH=450&amp;START_MAXIMIZED=FALSE&amp;VAR:CALENDAR=US&amp;VAR:SYMBOL=38259P50&amp;VAR:INDEX=0"}</definedName>
    <definedName name="_2709__FDSAUDITLINK__">{"fdsup://directions/FAT Viewer?action=UPDATE&amp;creator=factset&amp;DYN_ARGS=TRUE&amp;DOC_NAME=FAT:FQL_AUDITING_CLIENT_TEMPLATE.FAT&amp;display_string=Audit&amp;VAR:KEY=GBKVCXUPMH&amp;VAR:QUERY=KFBfUFJJQ0UoNDAyNDUpLShGRl9DQVNIX1NUKFFUUiw0MDI0NSkvUF9DT01fU0hTX09VVCg0MDI0NSkpKS9GR","V9FU1RJTUFURSgnRVBTJywnTUVBTicsJ0FOTlVBTF9ST0xMJywnKzEnLDQwMjQ1LCwsJycp&amp;WINDOW=FIRST_POPUP&amp;HEIGHT=450&amp;WIDTH=450&amp;START_MAXIMIZED=FALSE&amp;VAR:CALENDAR=US&amp;VAR:SYMBOL=38259P50&amp;VAR:INDEX=0"}</definedName>
    <definedName name="_27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258"}</definedName>
    <definedName name="_2710__FDSAUDITLINK__">{"fdsup://directions/FAT Viewer?action=UPDATE&amp;creator=factset&amp;DYN_ARGS=TRUE&amp;DOC_NAME=FAT:FQL_AUDITING_CLIENT_TEMPLATE.FAT&amp;display_string=Audit&amp;VAR:KEY=GBKVCXUPMH&amp;VAR:QUERY=KFBfUFJJQ0UoNDAyNDUpLShGRl9DQVNIX1NUKFFUUiw0MDI0NSkvUF9DT01fU0hTX09VVCg0MDI0NSkpKS9GR","V9FU1RJTUFURSgnRVBTJywnTUVBTicsJ0FOTlVBTF9ST0xMJywnKzEnLDQwMjQ1LCwsJycp&amp;WINDOW=FIRST_POPUP&amp;HEIGHT=450&amp;WIDTH=450&amp;START_MAXIMIZED=FALSE&amp;VAR:CALENDAR=US&amp;VAR:SYMBOL=38259P50&amp;VAR:INDEX=0"}</definedName>
    <definedName name="_2711__FDSAUDITLINK__">{"fdsup://directions/FAT Viewer?action=UPDATE&amp;creator=factset&amp;DYN_ARGS=TRUE&amp;DOC_NAME=FAT:FQL_AUDITING_CLIENT_TEMPLATE.FAT&amp;display_string=Audit&amp;VAR:KEY=UHEFMVEVCZ&amp;VAR:QUERY=KFBfUFJJQ0UoNDAyNDQpLShGRl9DQVNIX1NUKFFUUiw0MDI0NCkvUF9DT01fU0hTX09VVCg0MDI0NCkpKS9GR","V9FU1RJTUFURSgnRVBTJywnTUVBTicsJ0FOTlVBTF9ST0xMJywnKzEnLDQwMjQ0LCwsJycp&amp;WINDOW=FIRST_POPUP&amp;HEIGHT=450&amp;WIDTH=450&amp;START_MAXIMIZED=FALSE&amp;VAR:CALENDAR=US&amp;VAR:SYMBOL=38259P50&amp;VAR:INDEX=0"}</definedName>
    <definedName name="_2712__FDSAUDITLINK__">{"fdsup://directions/FAT Viewer?action=UPDATE&amp;creator=factset&amp;DYN_ARGS=TRUE&amp;DOC_NAME=FAT:FQL_AUDITING_CLIENT_TEMPLATE.FAT&amp;display_string=Audit&amp;VAR:KEY=UHEFMVEVCZ&amp;VAR:QUERY=KFBfUFJJQ0UoNDAyNDQpLShGRl9DQVNIX1NUKFFUUiw0MDI0NCkvUF9DT01fU0hTX09VVCg0MDI0NCkpKS9GR","V9FU1RJTUFURSgnRVBTJywnTUVBTicsJ0FOTlVBTF9ST0xMJywnKzEnLDQwMjQ0LCwsJycp&amp;WINDOW=FIRST_POPUP&amp;HEIGHT=450&amp;WIDTH=450&amp;START_MAXIMIZED=FALSE&amp;VAR:CALENDAR=US&amp;VAR:SYMBOL=38259P50&amp;VAR:INDEX=0"}</definedName>
    <definedName name="_2713__FDSAUDITLINK__">{"fdsup://directions/FAT Viewer?action=UPDATE&amp;creator=factset&amp;DYN_ARGS=TRUE&amp;DOC_NAME=FAT:FQL_AUDITING_CLIENT_TEMPLATE.FAT&amp;display_string=Audit&amp;VAR:KEY=YTOJKZWVIP&amp;VAR:QUERY=KFBfUFJJQ0UoNDAyNDMpLShGRl9DQVNIX1NUKFFUUiw0MDI0MykvUF9DT01fU0hTX09VVCg0MDI0MykpKS9GR","V9FU1RJTUFURSgnRVBTJywnTUVBTicsJ0FOTlVBTF9ST0xMJywnKzEnLDQwMjQzLCwsJycp&amp;WINDOW=FIRST_POPUP&amp;HEIGHT=450&amp;WIDTH=450&amp;START_MAXIMIZED=FALSE&amp;VAR:CALENDAR=US&amp;VAR:SYMBOL=38259P50&amp;VAR:INDEX=0"}</definedName>
    <definedName name="_2714__FDSAUDITLINK__">{"fdsup://directions/FAT Viewer?action=UPDATE&amp;creator=factset&amp;DYN_ARGS=TRUE&amp;DOC_NAME=FAT:FQL_AUDITING_CLIENT_TEMPLATE.FAT&amp;display_string=Audit&amp;VAR:KEY=YTOJKZWVIP&amp;VAR:QUERY=KFBfUFJJQ0UoNDAyNDMpLShGRl9DQVNIX1NUKFFUUiw0MDI0MykvUF9DT01fU0hTX09VVCg0MDI0MykpKS9GR","V9FU1RJTUFURSgnRVBTJywnTUVBTicsJ0FOTlVBTF9ST0xMJywnKzEnLDQwMjQzLCwsJycp&amp;WINDOW=FIRST_POPUP&amp;HEIGHT=450&amp;WIDTH=450&amp;START_MAXIMIZED=FALSE&amp;VAR:CALENDAR=US&amp;VAR:SYMBOL=38259P50&amp;VAR:INDEX=0"}</definedName>
    <definedName name="_2715__FDSAUDITLINK__">{"fdsup://directions/FAT Viewer?action=UPDATE&amp;creator=factset&amp;DYN_ARGS=TRUE&amp;DOC_NAME=FAT:FQL_AUDITING_CLIENT_TEMPLATE.FAT&amp;display_string=Audit&amp;VAR:KEY=IZAVQXAZUF&amp;VAR:QUERY=KFBfUFJJQ0UoNDAyNDIpLShGRl9DQVNIX1NUKFFUUiw0MDI0MikvUF9DT01fU0hTX09VVCg0MDI0MikpKS9GR","V9FU1RJTUFURSgnRVBTJywnTUVBTicsJ0FOTlVBTF9ST0xMJywnKzEnLDQwMjQyLCwsJycp&amp;WINDOW=FIRST_POPUP&amp;HEIGHT=450&amp;WIDTH=450&amp;START_MAXIMIZED=FALSE&amp;VAR:CALENDAR=US&amp;VAR:SYMBOL=38259P50&amp;VAR:INDEX=0"}</definedName>
    <definedName name="_2716__FDSAUDITLINK__">{"fdsup://directions/FAT Viewer?action=UPDATE&amp;creator=factset&amp;DYN_ARGS=TRUE&amp;DOC_NAME=FAT:FQL_AUDITING_CLIENT_TEMPLATE.FAT&amp;display_string=Audit&amp;VAR:KEY=IZAVQXAZUF&amp;VAR:QUERY=KFBfUFJJQ0UoNDAyNDIpLShGRl9DQVNIX1NUKFFUUiw0MDI0MikvUF9DT01fU0hTX09VVCg0MDI0MikpKS9GR","V9FU1RJTUFURSgnRVBTJywnTUVBTicsJ0FOTlVBTF9ST0xMJywnKzEnLDQwMjQyLCwsJycp&amp;WINDOW=FIRST_POPUP&amp;HEIGHT=450&amp;WIDTH=450&amp;START_MAXIMIZED=FALSE&amp;VAR:CALENDAR=US&amp;VAR:SYMBOL=38259P50&amp;VAR:INDEX=0"}</definedName>
    <definedName name="_2717__FDSAUDITLINK__">{"fdsup://directions/FAT Viewer?action=UPDATE&amp;creator=factset&amp;DYN_ARGS=TRUE&amp;DOC_NAME=FAT:FQL_AUDITING_CLIENT_TEMPLATE.FAT&amp;display_string=Audit&amp;VAR:KEY=AXIJMHONAV&amp;VAR:QUERY=KFBfUFJJQ0UoNDAyNDEpLShGRl9DQVNIX1NUKFFUUiw0MDI0MSkvUF9DT01fU0hTX09VVCg0MDI0MSkpKS9GR","V9FU1RJTUFURSgnRVBTJywnTUVBTicsJ0FOTlVBTF9ST0xMJywnKzEnLDQwMjQxLCwsJycp&amp;WINDOW=FIRST_POPUP&amp;HEIGHT=450&amp;WIDTH=450&amp;START_MAXIMIZED=FALSE&amp;VAR:CALENDAR=US&amp;VAR:SYMBOL=38259P50&amp;VAR:INDEX=0"}</definedName>
    <definedName name="_2718__FDSAUDITLINK__">{"fdsup://directions/FAT Viewer?action=UPDATE&amp;creator=factset&amp;DYN_ARGS=TRUE&amp;DOC_NAME=FAT:FQL_AUDITING_CLIENT_TEMPLATE.FAT&amp;display_string=Audit&amp;VAR:KEY=AXIJMHONAV&amp;VAR:QUERY=KFBfUFJJQ0UoNDAyNDEpLShGRl9DQVNIX1NUKFFUUiw0MDI0MSkvUF9DT01fU0hTX09VVCg0MDI0MSkpKS9GR","V9FU1RJTUFURSgnRVBTJywnTUVBTicsJ0FOTlVBTF9ST0xMJywnKzEnLDQwMjQxLCwsJycp&amp;WINDOW=FIRST_POPUP&amp;HEIGHT=450&amp;WIDTH=450&amp;START_MAXIMIZED=FALSE&amp;VAR:CALENDAR=US&amp;VAR:SYMBOL=38259P50&amp;VAR:INDEX=0"}</definedName>
    <definedName name="_2719__FDSAUDITLINK__">{"fdsup://directions/FAT Viewer?action=UPDATE&amp;creator=factset&amp;DYN_ARGS=TRUE&amp;DOC_NAME=FAT:FQL_AUDITING_CLIENT_TEMPLATE.FAT&amp;display_string=Audit&amp;VAR:KEY=KPSXKNADCN&amp;VAR:QUERY=KFBfUFJJQ0UoNDAyNDApLShGRl9DQVNIX1NUKFFUUiw0MDI0MCkvUF9DT01fU0hTX09VVCg0MDI0MCkpKS9GR","V9FU1RJTUFURSgnRVBTJywnTUVBTicsJ0FOTlVBTF9ST0xMJywnKzEnLDQwMjQwLCwsJycp&amp;WINDOW=FIRST_POPUP&amp;HEIGHT=450&amp;WIDTH=450&amp;START_MAXIMIZED=FALSE&amp;VAR:CALENDAR=US&amp;VAR:SYMBOL=38259P50&amp;VAR:INDEX=0"}</definedName>
    <definedName name="_27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257"}</definedName>
    <definedName name="_2720__FDSAUDITLINK__">{"fdsup://directions/FAT Viewer?action=UPDATE&amp;creator=factset&amp;DYN_ARGS=TRUE&amp;DOC_NAME=FAT:FQL_AUDITING_CLIENT_TEMPLATE.FAT&amp;display_string=Audit&amp;VAR:KEY=KPSXKNADCN&amp;VAR:QUERY=KFBfUFJJQ0UoNDAyNDApLShGRl9DQVNIX1NUKFFUUiw0MDI0MCkvUF9DT01fU0hTX09VVCg0MDI0MCkpKS9GR","V9FU1RJTUFURSgnRVBTJywnTUVBTicsJ0FOTlVBTF9ST0xMJywnKzEnLDQwMjQwLCwsJycp&amp;WINDOW=FIRST_POPUP&amp;HEIGHT=450&amp;WIDTH=450&amp;START_MAXIMIZED=FALSE&amp;VAR:CALENDAR=US&amp;VAR:SYMBOL=38259P50&amp;VAR:INDEX=0"}</definedName>
    <definedName name="_2721__FDSAUDITLINK__">{"fdsup://directions/FAT Viewer?action=UPDATE&amp;creator=factset&amp;DYN_ARGS=TRUE&amp;DOC_NAME=FAT:FQL_AUDITING_CLIENT_TEMPLATE.FAT&amp;display_string=Audit&amp;VAR:KEY=MBWZUZKHQF&amp;VAR:QUERY=KFBfUFJJQ0UoNDAyMzkpLShGRl9DQVNIX1NUKFFUUiw0MDIzOSkvUF9DT01fU0hTX09VVCg0MDIzOSkpKS9GR","V9FU1RJTUFURSgnRVBTJywnTUVBTicsJ0FOTlVBTF9ST0xMJywnKzEnLDQwMjM5LCwsJycp&amp;WINDOW=FIRST_POPUP&amp;HEIGHT=450&amp;WIDTH=450&amp;START_MAXIMIZED=FALSE&amp;VAR:CALENDAR=US&amp;VAR:SYMBOL=38259P50&amp;VAR:INDEX=0"}</definedName>
    <definedName name="_2722__FDSAUDITLINK__">{"fdsup://directions/FAT Viewer?action=UPDATE&amp;creator=factset&amp;DYN_ARGS=TRUE&amp;DOC_NAME=FAT:FQL_AUDITING_CLIENT_TEMPLATE.FAT&amp;display_string=Audit&amp;VAR:KEY=MBWZUZKHQF&amp;VAR:QUERY=KFBfUFJJQ0UoNDAyMzkpLShGRl9DQVNIX1NUKFFUUiw0MDIzOSkvUF9DT01fU0hTX09VVCg0MDIzOSkpKS9GR","V9FU1RJTUFURSgnRVBTJywnTUVBTicsJ0FOTlVBTF9ST0xMJywnKzEnLDQwMjM5LCwsJycp&amp;WINDOW=FIRST_POPUP&amp;HEIGHT=450&amp;WIDTH=450&amp;START_MAXIMIZED=FALSE&amp;VAR:CALENDAR=US&amp;VAR:SYMBOL=38259P50&amp;VAR:INDEX=0"}</definedName>
    <definedName name="_2723__FDSAUDITLINK__">{"fdsup://directions/FAT Viewer?action=UPDATE&amp;creator=factset&amp;DYN_ARGS=TRUE&amp;DOC_NAME=FAT:FQL_AUDITING_CLIENT_TEMPLATE.FAT&amp;display_string=Audit&amp;VAR:KEY=YRIDQJYBCL&amp;VAR:QUERY=KFBfUFJJQ0UoNDAyMzgpLShGRl9DQVNIX1NUKFFUUiw0MDIzOCkvUF9DT01fU0hTX09VVCg0MDIzOCkpKS9GR","V9FU1RJTUFURSgnRVBTJywnTUVBTicsJ0FOTlVBTF9ST0xMJywnKzEnLDQwMjM4LCwsJycp&amp;WINDOW=FIRST_POPUP&amp;HEIGHT=450&amp;WIDTH=450&amp;START_MAXIMIZED=FALSE&amp;VAR:CALENDAR=US&amp;VAR:SYMBOL=38259P50&amp;VAR:INDEX=0"}</definedName>
    <definedName name="_2724__FDSAUDITLINK__">{"fdsup://directions/FAT Viewer?action=UPDATE&amp;creator=factset&amp;DYN_ARGS=TRUE&amp;DOC_NAME=FAT:FQL_AUDITING_CLIENT_TEMPLATE.FAT&amp;display_string=Audit&amp;VAR:KEY=YRIDQJYBCL&amp;VAR:QUERY=KFBfUFJJQ0UoNDAyMzgpLShGRl9DQVNIX1NUKFFUUiw0MDIzOCkvUF9DT01fU0hTX09VVCg0MDIzOCkpKS9GR","V9FU1RJTUFURSgnRVBTJywnTUVBTicsJ0FOTlVBTF9ST0xMJywnKzEnLDQwMjM4LCwsJycp&amp;WINDOW=FIRST_POPUP&amp;HEIGHT=450&amp;WIDTH=450&amp;START_MAXIMIZED=FALSE&amp;VAR:CALENDAR=US&amp;VAR:SYMBOL=38259P50&amp;VAR:INDEX=0"}</definedName>
    <definedName name="_2725__FDSAUDITLINK__">{"fdsup://directions/FAT Viewer?action=UPDATE&amp;creator=factset&amp;DYN_ARGS=TRUE&amp;DOC_NAME=FAT:FQL_AUDITING_CLIENT_TEMPLATE.FAT&amp;display_string=Audit&amp;VAR:KEY=MDMHMFQTSB&amp;VAR:QUERY=KFBfUFJJQ0UoNDAyMzcpLShGRl9DQVNIX1NUKFFUUiw0MDIzNykvUF9DT01fU0hTX09VVCg0MDIzNykpKS9GR","V9FU1RJTUFURSgnRVBTJywnTUVBTicsJ0FOTlVBTF9ST0xMJywnKzEnLDQwMjM3LCwsJycp&amp;WINDOW=FIRST_POPUP&amp;HEIGHT=450&amp;WIDTH=450&amp;START_MAXIMIZED=FALSE&amp;VAR:CALENDAR=US&amp;VAR:SYMBOL=38259P50&amp;VAR:INDEX=0"}</definedName>
    <definedName name="_2726__FDSAUDITLINK__">{"fdsup://directions/FAT Viewer?action=UPDATE&amp;creator=factset&amp;DYN_ARGS=TRUE&amp;DOC_NAME=FAT:FQL_AUDITING_CLIENT_TEMPLATE.FAT&amp;display_string=Audit&amp;VAR:KEY=MDMHMFQTSB&amp;VAR:QUERY=KFBfUFJJQ0UoNDAyMzcpLShGRl9DQVNIX1NUKFFUUiw0MDIzNykvUF9DT01fU0hTX09VVCg0MDIzNykpKS9GR","V9FU1RJTUFURSgnRVBTJywnTUVBTicsJ0FOTlVBTF9ST0xMJywnKzEnLDQwMjM3LCwsJycp&amp;WINDOW=FIRST_POPUP&amp;HEIGHT=450&amp;WIDTH=450&amp;START_MAXIMIZED=FALSE&amp;VAR:CALENDAR=US&amp;VAR:SYMBOL=38259P50&amp;VAR:INDEX=0"}</definedName>
    <definedName name="_2727__FDSAUDITLINK__">{"fdsup://directions/FAT Viewer?action=UPDATE&amp;creator=factset&amp;DYN_ARGS=TRUE&amp;DOC_NAME=FAT:FQL_AUDITING_CLIENT_TEMPLATE.FAT&amp;display_string=Audit&amp;VAR:KEY=ERMLQTUHIT&amp;VAR:QUERY=KFBfUFJJQ0UoNDAyMzYpLShGRl9DQVNIX1NUKFFUUiw0MDIzNikvUF9DT01fU0hTX09VVCg0MDIzNikpKS9GR","V9FU1RJTUFURSgnRVBTJywnTUVBTicsJ0FOTlVBTF9ST0xMJywnKzEnLDQwMjM2LCwsJycp&amp;WINDOW=FIRST_POPUP&amp;HEIGHT=450&amp;WIDTH=450&amp;START_MAXIMIZED=FALSE&amp;VAR:CALENDAR=US&amp;VAR:SYMBOL=38259P50&amp;VAR:INDEX=0"}</definedName>
    <definedName name="_2728__FDSAUDITLINK__">{"fdsup://directions/FAT Viewer?action=UPDATE&amp;creator=factset&amp;DYN_ARGS=TRUE&amp;DOC_NAME=FAT:FQL_AUDITING_CLIENT_TEMPLATE.FAT&amp;display_string=Audit&amp;VAR:KEY=ERMLQTUHIT&amp;VAR:QUERY=KFBfUFJJQ0UoNDAyMzYpLShGRl9DQVNIX1NUKFFUUiw0MDIzNikvUF9DT01fU0hTX09VVCg0MDIzNikpKS9GR","V9FU1RJTUFURSgnRVBTJywnTUVBTicsJ0FOTlVBTF9ST0xMJywnKzEnLDQwMjM2LCwsJycp&amp;WINDOW=FIRST_POPUP&amp;HEIGHT=450&amp;WIDTH=450&amp;START_MAXIMIZED=FALSE&amp;VAR:CALENDAR=US&amp;VAR:SYMBOL=38259P50&amp;VAR:INDEX=0"}</definedName>
    <definedName name="_2729__FDSAUDITLINK__">{"fdsup://directions/FAT Viewer?action=UPDATE&amp;creator=factset&amp;DYN_ARGS=TRUE&amp;DOC_NAME=FAT:FQL_AUDITING_CLIENT_TEMPLATE.FAT&amp;display_string=Audit&amp;VAR:KEY=URSNCHOPMV&amp;VAR:QUERY=KFBfUFJJQ0UoNDAyMzUpLShGRl9DQVNIX1NUKFFUUiw0MDIzNSkvUF9DT01fU0hTX09VVCg0MDIzNSkpKS9GR","V9FU1RJTUFURSgnRVBTJywnTUVBTicsJ0FOTlVBTF9ST0xMJywnKzEnLDQwMjM1LCwsJycp&amp;WINDOW=FIRST_POPUP&amp;HEIGHT=450&amp;WIDTH=450&amp;START_MAXIMIZED=FALSE&amp;VAR:CALENDAR=US&amp;VAR:SYMBOL=38259P50&amp;VAR:INDEX=0"}</definedName>
    <definedName name="_27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256"}</definedName>
    <definedName name="_2730__FDSAUDITLINK__">{"fdsup://directions/FAT Viewer?action=UPDATE&amp;creator=factset&amp;DYN_ARGS=TRUE&amp;DOC_NAME=FAT:FQL_AUDITING_CLIENT_TEMPLATE.FAT&amp;display_string=Audit&amp;VAR:KEY=URSNCHOPMV&amp;VAR:QUERY=KFBfUFJJQ0UoNDAyMzUpLShGRl9DQVNIX1NUKFFUUiw0MDIzNSkvUF9DT01fU0hTX09VVCg0MDIzNSkpKS9GR","V9FU1RJTUFURSgnRVBTJywnTUVBTicsJ0FOTlVBTF9ST0xMJywnKzEnLDQwMjM1LCwsJycp&amp;WINDOW=FIRST_POPUP&amp;HEIGHT=450&amp;WIDTH=450&amp;START_MAXIMIZED=FALSE&amp;VAR:CALENDAR=US&amp;VAR:SYMBOL=38259P50&amp;VAR:INDEX=0"}</definedName>
    <definedName name="_2731__FDSAUDITLINK__">{"fdsup://directions/FAT Viewer?action=UPDATE&amp;creator=factset&amp;DYN_ARGS=TRUE&amp;DOC_NAME=FAT:FQL_AUDITING_CLIENT_TEMPLATE.FAT&amp;display_string=Audit&amp;VAR:KEY=QPUBQHMDMF&amp;VAR:QUERY=KFBfUFJJQ0UoNDAyMzQpLShGRl9DQVNIX1NUKFFUUiw0MDIzNCkvUF9DT01fU0hTX09VVCg0MDIzNCkpKS9GR","V9FU1RJTUFURSgnRVBTJywnTUVBTicsJ0FOTlVBTF9ST0xMJywnKzEnLDQwMjM0LCwsJycp&amp;WINDOW=FIRST_POPUP&amp;HEIGHT=450&amp;WIDTH=450&amp;START_MAXIMIZED=FALSE&amp;VAR:CALENDAR=US&amp;VAR:SYMBOL=38259P50&amp;VAR:INDEX=0"}</definedName>
    <definedName name="_2732__FDSAUDITLINK__">{"fdsup://directions/FAT Viewer?action=UPDATE&amp;creator=factset&amp;DYN_ARGS=TRUE&amp;DOC_NAME=FAT:FQL_AUDITING_CLIENT_TEMPLATE.FAT&amp;display_string=Audit&amp;VAR:KEY=QPUBQHMDMF&amp;VAR:QUERY=KFBfUFJJQ0UoNDAyMzQpLShGRl9DQVNIX1NUKFFUUiw0MDIzNCkvUF9DT01fU0hTX09VVCg0MDIzNCkpKS9GR","V9FU1RJTUFURSgnRVBTJywnTUVBTicsJ0FOTlVBTF9ST0xMJywnKzEnLDQwMjM0LCwsJycp&amp;WINDOW=FIRST_POPUP&amp;HEIGHT=450&amp;WIDTH=450&amp;START_MAXIMIZED=FALSE&amp;VAR:CALENDAR=US&amp;VAR:SYMBOL=38259P50&amp;VAR:INDEX=0"}</definedName>
    <definedName name="_2733__FDSAUDITLINK__">{"fdsup://directions/FAT Viewer?action=UPDATE&amp;creator=factset&amp;DYN_ARGS=TRUE&amp;DOC_NAME=FAT:FQL_AUDITING_CLIENT_TEMPLATE.FAT&amp;display_string=Audit&amp;VAR:KEY=ADKXIBYHAN&amp;VAR:QUERY=KFBfUFJJQ0UoNDAyMzMpLShGRl9DQVNIX1NUKFFUUiw0MDIzMykvUF9DT01fU0hTX09VVCg0MDIzMykpKS9GR","V9FU1RJTUFURSgnRVBTJywnTUVBTicsJ0FOTlVBTF9ST0xMJywnKzEnLDQwMjMzLCwsJycp&amp;WINDOW=FIRST_POPUP&amp;HEIGHT=450&amp;WIDTH=450&amp;START_MAXIMIZED=FALSE&amp;VAR:CALENDAR=US&amp;VAR:SYMBOL=38259P50&amp;VAR:INDEX=0"}</definedName>
    <definedName name="_2734__FDSAUDITLINK__">{"fdsup://directions/FAT Viewer?action=UPDATE&amp;creator=factset&amp;DYN_ARGS=TRUE&amp;DOC_NAME=FAT:FQL_AUDITING_CLIENT_TEMPLATE.FAT&amp;display_string=Audit&amp;VAR:KEY=ADKXIBYHAN&amp;VAR:QUERY=KFBfUFJJQ0UoNDAyMzMpLShGRl9DQVNIX1NUKFFUUiw0MDIzMykvUF9DT01fU0hTX09VVCg0MDIzMykpKS9GR","V9FU1RJTUFURSgnRVBTJywnTUVBTicsJ0FOTlVBTF9ST0xMJywnKzEnLDQwMjMzLCwsJycp&amp;WINDOW=FIRST_POPUP&amp;HEIGHT=450&amp;WIDTH=450&amp;START_MAXIMIZED=FALSE&amp;VAR:CALENDAR=US&amp;VAR:SYMBOL=38259P50&amp;VAR:INDEX=0"}</definedName>
    <definedName name="_2735__FDSAUDITLINK__">{"fdsup://directions/FAT Viewer?action=UPDATE&amp;creator=factset&amp;DYN_ARGS=TRUE&amp;DOC_NAME=FAT:FQL_AUDITING_CLIENT_TEMPLATE.FAT&amp;display_string=Audit&amp;VAR:KEY=GZSFEFUBQF&amp;VAR:QUERY=KFBfUFJJQ0UoNDAyMzIpLShGRl9DQVNIX1NUKFFUUiw0MDIzMikvUF9DT01fU0hTX09VVCg0MDIzMikpKS9GR","V9FU1RJTUFURSgnRVBTJywnTUVBTicsJ0FOTlVBTF9ST0xMJywnKzEnLDQwMjMyLCwsJycp&amp;WINDOW=FIRST_POPUP&amp;HEIGHT=450&amp;WIDTH=450&amp;START_MAXIMIZED=FALSE&amp;VAR:CALENDAR=US&amp;VAR:SYMBOL=38259P50&amp;VAR:INDEX=0"}</definedName>
    <definedName name="_2736__FDSAUDITLINK__">{"fdsup://directions/FAT Viewer?action=UPDATE&amp;creator=factset&amp;DYN_ARGS=TRUE&amp;DOC_NAME=FAT:FQL_AUDITING_CLIENT_TEMPLATE.FAT&amp;display_string=Audit&amp;VAR:KEY=GZSFEFUBQF&amp;VAR:QUERY=KFBfUFJJQ0UoNDAyMzIpLShGRl9DQVNIX1NUKFFUUiw0MDIzMikvUF9DT01fU0hTX09VVCg0MDIzMikpKS9GR","V9FU1RJTUFURSgnRVBTJywnTUVBTicsJ0FOTlVBTF9ST0xMJywnKzEnLDQwMjMyLCwsJycp&amp;WINDOW=FIRST_POPUP&amp;HEIGHT=450&amp;WIDTH=450&amp;START_MAXIMIZED=FALSE&amp;VAR:CALENDAR=US&amp;VAR:SYMBOL=38259P50&amp;VAR:INDEX=0"}</definedName>
    <definedName name="_2737__FDSAUDITLINK__">{"fdsup://directions/FAT Viewer?action=UPDATE&amp;creator=factset&amp;DYN_ARGS=TRUE&amp;DOC_NAME=FAT:FQL_AUDITING_CLIENT_TEMPLATE.FAT&amp;display_string=Audit&amp;VAR:KEY=UFABUXMZGJ&amp;VAR:QUERY=KFBfUFJJQ0UoNDAyMzEpLShGRl9DQVNIX1NUKFFUUiw0MDIzMSkvUF9DT01fU0hTX09VVCg0MDIzMSkpKS9GR","V9FU1RJTUFURSgnRVBTJywnTUVBTicsJ0FOTlVBTF9ST0xMJywnKzEnLDQwMjMxLCwsJycp&amp;WINDOW=FIRST_POPUP&amp;HEIGHT=450&amp;WIDTH=450&amp;START_MAXIMIZED=FALSE&amp;VAR:CALENDAR=US&amp;VAR:SYMBOL=38259P50&amp;VAR:INDEX=0"}</definedName>
    <definedName name="_2738__FDSAUDITLINK__">{"fdsup://directions/FAT Viewer?action=UPDATE&amp;creator=factset&amp;DYN_ARGS=TRUE&amp;DOC_NAME=FAT:FQL_AUDITING_CLIENT_TEMPLATE.FAT&amp;display_string=Audit&amp;VAR:KEY=UFABUXMZGJ&amp;VAR:QUERY=KFBfUFJJQ0UoNDAyMzEpLShGRl9DQVNIX1NUKFFUUiw0MDIzMSkvUF9DT01fU0hTX09VVCg0MDIzMSkpKS9GR","V9FU1RJTUFURSgnRVBTJywnTUVBTicsJ0FOTlVBTF9ST0xMJywnKzEnLDQwMjMxLCwsJycp&amp;WINDOW=FIRST_POPUP&amp;HEIGHT=450&amp;WIDTH=450&amp;START_MAXIMIZED=FALSE&amp;VAR:CALENDAR=US&amp;VAR:SYMBOL=38259P50&amp;VAR:INDEX=0"}</definedName>
    <definedName name="_2739__FDSAUDITLINK__">{"fdsup://directions/FAT Viewer?action=UPDATE&amp;creator=factset&amp;DYN_ARGS=TRUE&amp;DOC_NAME=FAT:FQL_AUDITING_CLIENT_TEMPLATE.FAT&amp;display_string=Audit&amp;VAR:KEY=MVQDKXSBAP&amp;VAR:QUERY=KFBfUFJJQ0UoNDAyMzApLShGRl9DQVNIX1NUKFFUUiw0MDIzMCkvUF9DT01fU0hTX09VVCg0MDIzMCkpKS9GR","V9FU1RJTUFURSgnRVBTJywnTUVBTicsJ0FOTlVBTF9ST0xMJywnKzEnLDQwMjMwLCwsJycp&amp;WINDOW=FIRST_POPUP&amp;HEIGHT=450&amp;WIDTH=450&amp;START_MAXIMIZED=FALSE&amp;VAR:CALENDAR=US&amp;VAR:SYMBOL=38259P50&amp;VAR:INDEX=0"}</definedName>
    <definedName name="_27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255"}</definedName>
    <definedName name="_2740__FDSAUDITLINK__">{"fdsup://directions/FAT Viewer?action=UPDATE&amp;creator=factset&amp;DYN_ARGS=TRUE&amp;DOC_NAME=FAT:FQL_AUDITING_CLIENT_TEMPLATE.FAT&amp;display_string=Audit&amp;VAR:KEY=MVQDKXSBAP&amp;VAR:QUERY=KFBfUFJJQ0UoNDAyMzApLShGRl9DQVNIX1NUKFFUUiw0MDIzMCkvUF9DT01fU0hTX09VVCg0MDIzMCkpKS9GR","V9FU1RJTUFURSgnRVBTJywnTUVBTicsJ0FOTlVBTF9ST0xMJywnKzEnLDQwMjMwLCwsJycp&amp;WINDOW=FIRST_POPUP&amp;HEIGHT=450&amp;WIDTH=450&amp;START_MAXIMIZED=FALSE&amp;VAR:CALENDAR=US&amp;VAR:SYMBOL=38259P50&amp;VAR:INDEX=0"}</definedName>
    <definedName name="_2741__FDSAUDITLINK__">{"fdsup://directions/FAT Viewer?action=UPDATE&amp;creator=factset&amp;DYN_ARGS=TRUE&amp;DOC_NAME=FAT:FQL_AUDITING_CLIENT_TEMPLATE.FAT&amp;display_string=Audit&amp;VAR:KEY=AVKZENQNAV&amp;VAR:QUERY=KFBfUFJJQ0UoNDAyMjkpLShGRl9DQVNIX1NUKFFUUiw0MDIyOSkvUF9DT01fU0hTX09VVCg0MDIyOSkpKS9GR","V9FU1RJTUFURSgnRVBTJywnTUVBTicsJ0FOTlVBTF9ST0xMJywnKzEnLDQwMjI5LCwsJycp&amp;WINDOW=FIRST_POPUP&amp;HEIGHT=450&amp;WIDTH=450&amp;START_MAXIMIZED=FALSE&amp;VAR:CALENDAR=US&amp;VAR:SYMBOL=38259P50&amp;VAR:INDEX=0"}</definedName>
    <definedName name="_2742__FDSAUDITLINK__">{"fdsup://directions/FAT Viewer?action=UPDATE&amp;creator=factset&amp;DYN_ARGS=TRUE&amp;DOC_NAME=FAT:FQL_AUDITING_CLIENT_TEMPLATE.FAT&amp;display_string=Audit&amp;VAR:KEY=AVKZENQNAV&amp;VAR:QUERY=KFBfUFJJQ0UoNDAyMjkpLShGRl9DQVNIX1NUKFFUUiw0MDIyOSkvUF9DT01fU0hTX09VVCg0MDIyOSkpKS9GR","V9FU1RJTUFURSgnRVBTJywnTUVBTicsJ0FOTlVBTF9ST0xMJywnKzEnLDQwMjI5LCwsJycp&amp;WINDOW=FIRST_POPUP&amp;HEIGHT=450&amp;WIDTH=450&amp;START_MAXIMIZED=FALSE&amp;VAR:CALENDAR=US&amp;VAR:SYMBOL=38259P50&amp;VAR:INDEX=0"}</definedName>
    <definedName name="_2743__FDSAUDITLINK__">{"fdsup://directions/FAT Viewer?action=UPDATE&amp;creator=factset&amp;DYN_ARGS=TRUE&amp;DOC_NAME=FAT:FQL_AUDITING_CLIENT_TEMPLATE.FAT&amp;display_string=Audit&amp;VAR:KEY=GPYDGFONCT&amp;VAR:QUERY=KFBfUFJJQ0UoNDAyMjgpLShGRl9DQVNIX1NUKFFUUiw0MDIyOCkvUF9DT01fU0hTX09VVCg0MDIyOCkpKS9GR","V9FU1RJTUFURSgnRVBTJywnTUVBTicsJ0FOTlVBTF9ST0xMJywnKzEnLDQwMjI4LCwsJycp&amp;WINDOW=FIRST_POPUP&amp;HEIGHT=450&amp;WIDTH=450&amp;START_MAXIMIZED=FALSE&amp;VAR:CALENDAR=US&amp;VAR:SYMBOL=38259P50&amp;VAR:INDEX=0"}</definedName>
    <definedName name="_2744__FDSAUDITLINK__">{"fdsup://directions/FAT Viewer?action=UPDATE&amp;creator=factset&amp;DYN_ARGS=TRUE&amp;DOC_NAME=FAT:FQL_AUDITING_CLIENT_TEMPLATE.FAT&amp;display_string=Audit&amp;VAR:KEY=GPYDGFONCT&amp;VAR:QUERY=KFBfUFJJQ0UoNDAyMjgpLShGRl9DQVNIX1NUKFFUUiw0MDIyOCkvUF9DT01fU0hTX09VVCg0MDIyOCkpKS9GR","V9FU1RJTUFURSgnRVBTJywnTUVBTicsJ0FOTlVBTF9ST0xMJywnKzEnLDQwMjI4LCwsJycp&amp;WINDOW=FIRST_POPUP&amp;HEIGHT=450&amp;WIDTH=450&amp;START_MAXIMIZED=FALSE&amp;VAR:CALENDAR=US&amp;VAR:SYMBOL=38259P50&amp;VAR:INDEX=0"}</definedName>
    <definedName name="_2745__FDSAUDITLINK__">{"fdsup://directions/FAT Viewer?action=UPDATE&amp;creator=factset&amp;DYN_ARGS=TRUE&amp;DOC_NAME=FAT:FQL_AUDITING_CLIENT_TEMPLATE.FAT&amp;display_string=Audit&amp;VAR:KEY=URCNGNGHGH&amp;VAR:QUERY=KFBfUFJJQ0UoNDAyMjcpLShGRl9DQVNIX1NUKFFUUiw0MDIyNykvUF9DT01fU0hTX09VVCg0MDIyNykpKS9GR","V9FU1RJTUFURSgnRVBTJywnTUVBTicsJ0FOTlVBTF9ST0xMJywnKzEnLDQwMjI3LCwsJycp&amp;WINDOW=FIRST_POPUP&amp;HEIGHT=450&amp;WIDTH=450&amp;START_MAXIMIZED=FALSE&amp;VAR:CALENDAR=US&amp;VAR:SYMBOL=38259P50&amp;VAR:INDEX=0"}</definedName>
    <definedName name="_2746__FDSAUDITLINK__">{"fdsup://directions/FAT Viewer?action=UPDATE&amp;creator=factset&amp;DYN_ARGS=TRUE&amp;DOC_NAME=FAT:FQL_AUDITING_CLIENT_TEMPLATE.FAT&amp;display_string=Audit&amp;VAR:KEY=URCNGNGHGH&amp;VAR:QUERY=KFBfUFJJQ0UoNDAyMjcpLShGRl9DQVNIX1NUKFFUUiw0MDIyNykvUF9DT01fU0hTX09VVCg0MDIyNykpKS9GR","V9FU1RJTUFURSgnRVBTJywnTUVBTicsJ0FOTlVBTF9ST0xMJywnKzEnLDQwMjI3LCwsJycp&amp;WINDOW=FIRST_POPUP&amp;HEIGHT=450&amp;WIDTH=450&amp;START_MAXIMIZED=FALSE&amp;VAR:CALENDAR=US&amp;VAR:SYMBOL=38259P50&amp;VAR:INDEX=0"}</definedName>
    <definedName name="_2747__FDSAUDITLINK__">{"fdsup://directions/FAT Viewer?action=UPDATE&amp;creator=factset&amp;DYN_ARGS=TRUE&amp;DOC_NAME=FAT:FQL_AUDITING_CLIENT_TEMPLATE.FAT&amp;display_string=Audit&amp;VAR:KEY=OXOVSDILSD&amp;VAR:QUERY=KFBfUFJJQ0UoNDAyMjYpLShGRl9DQVNIX1NUKFFUUiw0MDIyNikvUF9DT01fU0hTX09VVCg0MDIyNikpKS9GR","V9FU1RJTUFURSgnRVBTJywnTUVBTicsJ0FOTlVBTF9ST0xMJywnKzEnLDQwMjI2LCwsJycp&amp;WINDOW=FIRST_POPUP&amp;HEIGHT=450&amp;WIDTH=450&amp;START_MAXIMIZED=FALSE&amp;VAR:CALENDAR=US&amp;VAR:SYMBOL=38259P50&amp;VAR:INDEX=0"}</definedName>
    <definedName name="_2748__FDSAUDITLINK__">{"fdsup://directions/FAT Viewer?action=UPDATE&amp;creator=factset&amp;DYN_ARGS=TRUE&amp;DOC_NAME=FAT:FQL_AUDITING_CLIENT_TEMPLATE.FAT&amp;display_string=Audit&amp;VAR:KEY=OXOVSDILSD&amp;VAR:QUERY=KFBfUFJJQ0UoNDAyMjYpLShGRl9DQVNIX1NUKFFUUiw0MDIyNikvUF9DT01fU0hTX09VVCg0MDIyNikpKS9GR","V9FU1RJTUFURSgnRVBTJywnTUVBTicsJ0FOTlVBTF9ST0xMJywnKzEnLDQwMjI2LCwsJycp&amp;WINDOW=FIRST_POPUP&amp;HEIGHT=450&amp;WIDTH=450&amp;START_MAXIMIZED=FALSE&amp;VAR:CALENDAR=US&amp;VAR:SYMBOL=38259P50&amp;VAR:INDEX=0"}</definedName>
    <definedName name="_2749__FDSAUDITLINK__">{"fdsup://directions/FAT Viewer?action=UPDATE&amp;creator=factset&amp;DYN_ARGS=TRUE&amp;DOC_NAME=FAT:FQL_AUDITING_CLIENT_TEMPLATE.FAT&amp;display_string=Audit&amp;VAR:KEY=WZAJMTMZOD&amp;VAR:QUERY=KFBfUFJJQ0UoNDAyMjUpLShGRl9DQVNIX1NUKFFUUiw0MDIyNSkvUF9DT01fU0hTX09VVCg0MDIyNSkpKS9GR","V9FU1RJTUFURSgnRVBTJywnTUVBTicsJ0FOTlVBTF9ST0xMJywnKzEnLDQwMjI1LCwsJycp&amp;WINDOW=FIRST_POPUP&amp;HEIGHT=450&amp;WIDTH=450&amp;START_MAXIMIZED=FALSE&amp;VAR:CALENDAR=US&amp;VAR:SYMBOL=38259P50&amp;VAR:INDEX=0"}</definedName>
    <definedName name="_27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254"}</definedName>
    <definedName name="_2750__FDSAUDITLINK__">{"fdsup://directions/FAT Viewer?action=UPDATE&amp;creator=factset&amp;DYN_ARGS=TRUE&amp;DOC_NAME=FAT:FQL_AUDITING_CLIENT_TEMPLATE.FAT&amp;display_string=Audit&amp;VAR:KEY=WZAJMTMZOD&amp;VAR:QUERY=KFBfUFJJQ0UoNDAyMjUpLShGRl9DQVNIX1NUKFFUUiw0MDIyNSkvUF9DT01fU0hTX09VVCg0MDIyNSkpKS9GR","V9FU1RJTUFURSgnRVBTJywnTUVBTicsJ0FOTlVBTF9ST0xMJywnKzEnLDQwMjI1LCwsJycp&amp;WINDOW=FIRST_POPUP&amp;HEIGHT=450&amp;WIDTH=450&amp;START_MAXIMIZED=FALSE&amp;VAR:CALENDAR=US&amp;VAR:SYMBOL=38259P50&amp;VAR:INDEX=0"}</definedName>
    <definedName name="_2751__FDSAUDITLINK__">{"fdsup://directions/FAT Viewer?action=UPDATE&amp;creator=factset&amp;DYN_ARGS=TRUE&amp;DOC_NAME=FAT:FQL_AUDITING_CLIENT_TEMPLATE.FAT&amp;display_string=Audit&amp;VAR:KEY=KRAXEZOBWZ&amp;VAR:QUERY=KFBfUFJJQ0UoNDAyMjQpLShGRl9DQVNIX1NUKFFUUiw0MDIyNCkvUF9DT01fU0hTX09VVCg0MDIyNCkpKS9GR","V9FU1RJTUFURSgnRVBTJywnTUVBTicsJ0FOTlVBTF9ST0xMJywnKzEnLDQwMjI0LCwsJycp&amp;WINDOW=FIRST_POPUP&amp;HEIGHT=450&amp;WIDTH=450&amp;START_MAXIMIZED=FALSE&amp;VAR:CALENDAR=US&amp;VAR:SYMBOL=38259P50&amp;VAR:INDEX=0"}</definedName>
    <definedName name="_2752__FDSAUDITLINK__">{"fdsup://directions/FAT Viewer?action=UPDATE&amp;creator=factset&amp;DYN_ARGS=TRUE&amp;DOC_NAME=FAT:FQL_AUDITING_CLIENT_TEMPLATE.FAT&amp;display_string=Audit&amp;VAR:KEY=KRAXEZOBWZ&amp;VAR:QUERY=KFBfUFJJQ0UoNDAyMjQpLShGRl9DQVNIX1NUKFFUUiw0MDIyNCkvUF9DT01fU0hTX09VVCg0MDIyNCkpKS9GR","V9FU1RJTUFURSgnRVBTJywnTUVBTicsJ0FOTlVBTF9ST0xMJywnKzEnLDQwMjI0LCwsJycp&amp;WINDOW=FIRST_POPUP&amp;HEIGHT=450&amp;WIDTH=450&amp;START_MAXIMIZED=FALSE&amp;VAR:CALENDAR=US&amp;VAR:SYMBOL=38259P50&amp;VAR:INDEX=0"}</definedName>
    <definedName name="_2753__FDSAUDITLINK__">{"fdsup://directions/FAT Viewer?action=UPDATE&amp;creator=factset&amp;DYN_ARGS=TRUE&amp;DOC_NAME=FAT:FQL_AUDITING_CLIENT_TEMPLATE.FAT&amp;display_string=Audit&amp;VAR:KEY=OVQPCBOFKJ&amp;VAR:QUERY=KFBfUFJJQ0UoNDAyMjMpLShGRl9DQVNIX1NUKFFUUiw0MDIyMykvUF9DT01fU0hTX09VVCg0MDIyMykpKS9GR","V9FU1RJTUFURSgnRVBTJywnTUVBTicsJ0FOTlVBTF9ST0xMJywnKzEnLDQwMjIzLCwsJycp&amp;WINDOW=FIRST_POPUP&amp;HEIGHT=450&amp;WIDTH=450&amp;START_MAXIMIZED=FALSE&amp;VAR:CALENDAR=US&amp;VAR:SYMBOL=38259P50&amp;VAR:INDEX=0"}</definedName>
    <definedName name="_2754__FDSAUDITLINK__">{"fdsup://directions/FAT Viewer?action=UPDATE&amp;creator=factset&amp;DYN_ARGS=TRUE&amp;DOC_NAME=FAT:FQL_AUDITING_CLIENT_TEMPLATE.FAT&amp;display_string=Audit&amp;VAR:KEY=OVQPCBOFKJ&amp;VAR:QUERY=KFBfUFJJQ0UoNDAyMjMpLShGRl9DQVNIX1NUKFFUUiw0MDIyMykvUF9DT01fU0hTX09VVCg0MDIyMykpKS9GR","V9FU1RJTUFURSgnRVBTJywnTUVBTicsJ0FOTlVBTF9ST0xMJywnKzEnLDQwMjIzLCwsJycp&amp;WINDOW=FIRST_POPUP&amp;HEIGHT=450&amp;WIDTH=450&amp;START_MAXIMIZED=FALSE&amp;VAR:CALENDAR=US&amp;VAR:SYMBOL=38259P50&amp;VAR:INDEX=0"}</definedName>
    <definedName name="_2755__FDSAUDITLINK__">{"fdsup://directions/FAT Viewer?action=UPDATE&amp;creator=factset&amp;DYN_ARGS=TRUE&amp;DOC_NAME=FAT:FQL_AUDITING_CLIENT_TEMPLATE.FAT&amp;display_string=Audit&amp;VAR:KEY=EDQTSZCNGV&amp;VAR:QUERY=KFBfUFJJQ0UoNDAyMjIpLShGRl9DQVNIX1NUKFFUUiw0MDIyMikvUF9DT01fU0hTX09VVCg0MDIyMikpKS9GR","V9FU1RJTUFURSgnRVBTJywnTUVBTicsJ0FOTlVBTF9ST0xMJywnKzEnLDQwMjIyLCwsJycp&amp;WINDOW=FIRST_POPUP&amp;HEIGHT=450&amp;WIDTH=450&amp;START_MAXIMIZED=FALSE&amp;VAR:CALENDAR=US&amp;VAR:SYMBOL=38259P50&amp;VAR:INDEX=0"}</definedName>
    <definedName name="_2756__FDSAUDITLINK__">{"fdsup://directions/FAT Viewer?action=UPDATE&amp;creator=factset&amp;DYN_ARGS=TRUE&amp;DOC_NAME=FAT:FQL_AUDITING_CLIENT_TEMPLATE.FAT&amp;display_string=Audit&amp;VAR:KEY=EDQTSZCNGV&amp;VAR:QUERY=KFBfUFJJQ0UoNDAyMjIpLShGRl9DQVNIX1NUKFFUUiw0MDIyMikvUF9DT01fU0hTX09VVCg0MDIyMikpKS9GR","V9FU1RJTUFURSgnRVBTJywnTUVBTicsJ0FOTlVBTF9ST0xMJywnKzEnLDQwMjIyLCwsJycp&amp;WINDOW=FIRST_POPUP&amp;HEIGHT=450&amp;WIDTH=450&amp;START_MAXIMIZED=FALSE&amp;VAR:CALENDAR=US&amp;VAR:SYMBOL=38259P50&amp;VAR:INDEX=0"}</definedName>
    <definedName name="_2757__FDSAUDITLINK__">{"fdsup://directions/FAT Viewer?action=UPDATE&amp;creator=factset&amp;DYN_ARGS=TRUE&amp;DOC_NAME=FAT:FQL_AUDITING_CLIENT_TEMPLATE.FAT&amp;display_string=Audit&amp;VAR:KEY=OPQVMJUTAZ&amp;VAR:QUERY=KFBfUFJJQ0UoNDAyMjEpLShGRl9DQVNIX1NUKFFUUiw0MDIyMSkvUF9DT01fU0hTX09VVCg0MDIyMSkpKS9GR","V9FU1RJTUFURSgnRVBTJywnTUVBTicsJ0FOTlVBTF9ST0xMJywnKzEnLDQwMjIxLCwsJycp&amp;WINDOW=FIRST_POPUP&amp;HEIGHT=450&amp;WIDTH=450&amp;START_MAXIMIZED=FALSE&amp;VAR:CALENDAR=US&amp;VAR:SYMBOL=38259P50&amp;VAR:INDEX=0"}</definedName>
    <definedName name="_2758__FDSAUDITLINK__">{"fdsup://directions/FAT Viewer?action=UPDATE&amp;creator=factset&amp;DYN_ARGS=TRUE&amp;DOC_NAME=FAT:FQL_AUDITING_CLIENT_TEMPLATE.FAT&amp;display_string=Audit&amp;VAR:KEY=OPQVMJUTAZ&amp;VAR:QUERY=KFBfUFJJQ0UoNDAyMjEpLShGRl9DQVNIX1NUKFFUUiw0MDIyMSkvUF9DT01fU0hTX09VVCg0MDIyMSkpKS9GR","V9FU1RJTUFURSgnRVBTJywnTUVBTicsJ0FOTlVBTF9ST0xMJywnKzEnLDQwMjIxLCwsJycp&amp;WINDOW=FIRST_POPUP&amp;HEIGHT=450&amp;WIDTH=450&amp;START_MAXIMIZED=FALSE&amp;VAR:CALENDAR=US&amp;VAR:SYMBOL=38259P50&amp;VAR:INDEX=0"}</definedName>
    <definedName name="_2759__FDSAUDITLINK__">{"fdsup://directions/FAT Viewer?action=UPDATE&amp;creator=factset&amp;DYN_ARGS=TRUE&amp;DOC_NAME=FAT:FQL_AUDITING_CLIENT_TEMPLATE.FAT&amp;display_string=Audit&amp;VAR:KEY=OTWDULIVOZ&amp;VAR:QUERY=KFBfUFJJQ0UoNDAyMjApLShGRl9DQVNIX1NUKFFUUiw0MDIyMCkvUF9DT01fU0hTX09VVCg0MDIyMCkpKS9GR","V9FU1RJTUFURSgnRVBTJywnTUVBTicsJ0FOTlVBTF9ST0xMJywnKzEnLDQwMjIwLCwsJycp&amp;WINDOW=FIRST_POPUP&amp;HEIGHT=450&amp;WIDTH=450&amp;START_MAXIMIZED=FALSE&amp;VAR:CALENDAR=US&amp;VAR:SYMBOL=38259P50&amp;VAR:INDEX=0"}</definedName>
    <definedName name="_27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253"}</definedName>
    <definedName name="_2760__FDSAUDITLINK__">{"fdsup://directions/FAT Viewer?action=UPDATE&amp;creator=factset&amp;DYN_ARGS=TRUE&amp;DOC_NAME=FAT:FQL_AUDITING_CLIENT_TEMPLATE.FAT&amp;display_string=Audit&amp;VAR:KEY=OTWDULIVOZ&amp;VAR:QUERY=KFBfUFJJQ0UoNDAyMjApLShGRl9DQVNIX1NUKFFUUiw0MDIyMCkvUF9DT01fU0hTX09VVCg0MDIyMCkpKS9GR","V9FU1RJTUFURSgnRVBTJywnTUVBTicsJ0FOTlVBTF9ST0xMJywnKzEnLDQwMjIwLCwsJycp&amp;WINDOW=FIRST_POPUP&amp;HEIGHT=450&amp;WIDTH=450&amp;START_MAXIMIZED=FALSE&amp;VAR:CALENDAR=US&amp;VAR:SYMBOL=38259P50&amp;VAR:INDEX=0"}</definedName>
    <definedName name="_2761__FDSAUDITLINK__">{"fdsup://directions/FAT Viewer?action=UPDATE&amp;creator=factset&amp;DYN_ARGS=TRUE&amp;DOC_NAME=FAT:FQL_AUDITING_CLIENT_TEMPLATE.FAT&amp;display_string=Audit&amp;VAR:KEY=AZENKLWDSP&amp;VAR:QUERY=KFBfUFJJQ0UoNDAyMTkpLShGRl9DQVNIX1NUKFFUUiw0MDIxOSkvUF9DT01fU0hTX09VVCg0MDIxOSkpKS9GR","V9FU1RJTUFURSgnRVBTJywnTUVBTicsJ0FOTlVBTF9ST0xMJywnKzEnLDQwMjE5LCwsJycp&amp;WINDOW=FIRST_POPUP&amp;HEIGHT=450&amp;WIDTH=450&amp;START_MAXIMIZED=FALSE&amp;VAR:CALENDAR=US&amp;VAR:SYMBOL=38259P50&amp;VAR:INDEX=0"}</definedName>
    <definedName name="_2762__FDSAUDITLINK__">{"fdsup://directions/FAT Viewer?action=UPDATE&amp;creator=factset&amp;DYN_ARGS=TRUE&amp;DOC_NAME=FAT:FQL_AUDITING_CLIENT_TEMPLATE.FAT&amp;display_string=Audit&amp;VAR:KEY=AZENKLWDSP&amp;VAR:QUERY=KFBfUFJJQ0UoNDAyMTkpLShGRl9DQVNIX1NUKFFUUiw0MDIxOSkvUF9DT01fU0hTX09VVCg0MDIxOSkpKS9GR","V9FU1RJTUFURSgnRVBTJywnTUVBTicsJ0FOTlVBTF9ST0xMJywnKzEnLDQwMjE5LCwsJycp&amp;WINDOW=FIRST_POPUP&amp;HEIGHT=450&amp;WIDTH=450&amp;START_MAXIMIZED=FALSE&amp;VAR:CALENDAR=US&amp;VAR:SYMBOL=38259P50&amp;VAR:INDEX=0"}</definedName>
    <definedName name="_2763__FDSAUDITLINK__">{"fdsup://directions/FAT Viewer?action=UPDATE&amp;creator=factset&amp;DYN_ARGS=TRUE&amp;DOC_NAME=FAT:FQL_AUDITING_CLIENT_TEMPLATE.FAT&amp;display_string=Audit&amp;VAR:KEY=CJCRSHWBOR&amp;VAR:QUERY=KFBfUFJJQ0UoNDAyMTgpLShGRl9DQVNIX1NUKFFUUiw0MDIxOCkvUF9DT01fU0hTX09VVCg0MDIxOCkpKS9GR","V9FU1RJTUFURSgnRVBTJywnTUVBTicsJ0FOTlVBTF9ST0xMJywnKzEnLDQwMjE4LCwsJycp&amp;WINDOW=FIRST_POPUP&amp;HEIGHT=450&amp;WIDTH=450&amp;START_MAXIMIZED=FALSE&amp;VAR:CALENDAR=US&amp;VAR:SYMBOL=38259P50&amp;VAR:INDEX=0"}</definedName>
    <definedName name="_2764__FDSAUDITLINK__">{"fdsup://directions/FAT Viewer?action=UPDATE&amp;creator=factset&amp;DYN_ARGS=TRUE&amp;DOC_NAME=FAT:FQL_AUDITING_CLIENT_TEMPLATE.FAT&amp;display_string=Audit&amp;VAR:KEY=CJCRSHWBOR&amp;VAR:QUERY=KFBfUFJJQ0UoNDAyMTgpLShGRl9DQVNIX1NUKFFUUiw0MDIxOCkvUF9DT01fU0hTX09VVCg0MDIxOCkpKS9GR","V9FU1RJTUFURSgnRVBTJywnTUVBTicsJ0FOTlVBTF9ST0xMJywnKzEnLDQwMjE4LCwsJycp&amp;WINDOW=FIRST_POPUP&amp;HEIGHT=450&amp;WIDTH=450&amp;START_MAXIMIZED=FALSE&amp;VAR:CALENDAR=US&amp;VAR:SYMBOL=38259P50&amp;VAR:INDEX=0"}</definedName>
    <definedName name="_2765__FDSAUDITLINK__">{"fdsup://directions/FAT Viewer?action=UPDATE&amp;creator=factset&amp;DYN_ARGS=TRUE&amp;DOC_NAME=FAT:FQL_AUDITING_CLIENT_TEMPLATE.FAT&amp;display_string=Audit&amp;VAR:KEY=ADMTANOTWR&amp;VAR:QUERY=KFBfUFJJQ0UoNDAyMTcpLShGRl9DQVNIX1NUKFFUUiw0MDIxNykvUF9DT01fU0hTX09VVCg0MDIxNykpKS9GR","V9FU1RJTUFURSgnRVBTJywnTUVBTicsJ0FOTlVBTF9ST0xMJywnKzEnLDQwMjE3LCwsJycp&amp;WINDOW=FIRST_POPUP&amp;HEIGHT=450&amp;WIDTH=450&amp;START_MAXIMIZED=FALSE&amp;VAR:CALENDAR=US&amp;VAR:SYMBOL=38259P50&amp;VAR:INDEX=0"}</definedName>
    <definedName name="_2766__FDSAUDITLINK__">{"fdsup://directions/FAT Viewer?action=UPDATE&amp;creator=factset&amp;DYN_ARGS=TRUE&amp;DOC_NAME=FAT:FQL_AUDITING_CLIENT_TEMPLATE.FAT&amp;display_string=Audit&amp;VAR:KEY=ADMTANOTWR&amp;VAR:QUERY=KFBfUFJJQ0UoNDAyMTcpLShGRl9DQVNIX1NUKFFUUiw0MDIxNykvUF9DT01fU0hTX09VVCg0MDIxNykpKS9GR","V9FU1RJTUFURSgnRVBTJywnTUVBTicsJ0FOTlVBTF9ST0xMJywnKzEnLDQwMjE3LCwsJycp&amp;WINDOW=FIRST_POPUP&amp;HEIGHT=450&amp;WIDTH=450&amp;START_MAXIMIZED=FALSE&amp;VAR:CALENDAR=US&amp;VAR:SYMBOL=38259P50&amp;VAR:INDEX=0"}</definedName>
    <definedName name="_2767__FDSAUDITLINK__">{"fdsup://directions/FAT Viewer?action=UPDATE&amp;creator=factset&amp;DYN_ARGS=TRUE&amp;DOC_NAME=FAT:FQL_AUDITING_CLIENT_TEMPLATE.FAT&amp;display_string=Audit&amp;VAR:KEY=MBAVIZSNQP&amp;VAR:QUERY=KFBfUFJJQ0UoNDAyMTYpLShGRl9DQVNIX1NUKFFUUiw0MDIxNikvUF9DT01fU0hTX09VVCg0MDIxNikpKS9GR","V9FU1RJTUFURSgnRVBTJywnTUVBTicsJ0FOTlVBTF9ST0xMJywnKzEnLDQwMjE2LCwsJycp&amp;WINDOW=FIRST_POPUP&amp;HEIGHT=450&amp;WIDTH=450&amp;START_MAXIMIZED=FALSE&amp;VAR:CALENDAR=US&amp;VAR:SYMBOL=38259P50&amp;VAR:INDEX=0"}</definedName>
    <definedName name="_2768__FDSAUDITLINK__">{"fdsup://directions/FAT Viewer?action=UPDATE&amp;creator=factset&amp;DYN_ARGS=TRUE&amp;DOC_NAME=FAT:FQL_AUDITING_CLIENT_TEMPLATE.FAT&amp;display_string=Audit&amp;VAR:KEY=MBAVIZSNQP&amp;VAR:QUERY=KFBfUFJJQ0UoNDAyMTYpLShGRl9DQVNIX1NUKFFUUiw0MDIxNikvUF9DT01fU0hTX09VVCg0MDIxNikpKS9GR","V9FU1RJTUFURSgnRVBTJywnTUVBTicsJ0FOTlVBTF9ST0xMJywnKzEnLDQwMjE2LCwsJycp&amp;WINDOW=FIRST_POPUP&amp;HEIGHT=450&amp;WIDTH=450&amp;START_MAXIMIZED=FALSE&amp;VAR:CALENDAR=US&amp;VAR:SYMBOL=38259P50&amp;VAR:INDEX=0"}</definedName>
    <definedName name="_2769__FDSAUDITLINK__">{"fdsup://directions/FAT Viewer?action=UPDATE&amp;creator=factset&amp;DYN_ARGS=TRUE&amp;DOC_NAME=FAT:FQL_AUDITING_CLIENT_TEMPLATE.FAT&amp;display_string=Audit&amp;VAR:KEY=YDYFAVGNGN&amp;VAR:QUERY=KFBfUFJJQ0UoNDAyMTUpLShGRl9DQVNIX1NUKFFUUiw0MDIxNSkvUF9DT01fU0hTX09VVCg0MDIxNSkpKS9GR","V9FU1RJTUFURSgnRVBTJywnTUVBTicsJ0FOTlVBTF9ST0xMJywnKzEnLDQwMjE1LCwsJycp&amp;WINDOW=FIRST_POPUP&amp;HEIGHT=450&amp;WIDTH=450&amp;START_MAXIMIZED=FALSE&amp;VAR:CALENDAR=US&amp;VAR:SYMBOL=38259P50&amp;VAR:INDEX=0"}</definedName>
    <definedName name="_27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252"}</definedName>
    <definedName name="_2770__FDSAUDITLINK__">{"fdsup://directions/FAT Viewer?action=UPDATE&amp;creator=factset&amp;DYN_ARGS=TRUE&amp;DOC_NAME=FAT:FQL_AUDITING_CLIENT_TEMPLATE.FAT&amp;display_string=Audit&amp;VAR:KEY=YDYFAVGNGN&amp;VAR:QUERY=KFBfUFJJQ0UoNDAyMTUpLShGRl9DQVNIX1NUKFFUUiw0MDIxNSkvUF9DT01fU0hTX09VVCg0MDIxNSkpKS9GR","V9FU1RJTUFURSgnRVBTJywnTUVBTicsJ0FOTlVBTF9ST0xMJywnKzEnLDQwMjE1LCwsJycp&amp;WINDOW=FIRST_POPUP&amp;HEIGHT=450&amp;WIDTH=450&amp;START_MAXIMIZED=FALSE&amp;VAR:CALENDAR=US&amp;VAR:SYMBOL=38259P50&amp;VAR:INDEX=0"}</definedName>
    <definedName name="_2771__FDSAUDITLINK__">{"fdsup://directions/FAT Viewer?action=UPDATE&amp;creator=factset&amp;DYN_ARGS=TRUE&amp;DOC_NAME=FAT:FQL_AUDITING_CLIENT_TEMPLATE.FAT&amp;display_string=Audit&amp;VAR:KEY=SDYXIJSZWR&amp;VAR:QUERY=KFBfUFJJQ0UoNDAyMTQpLShGRl9DQVNIX1NUKFFUUiw0MDIxNCkvUF9DT01fU0hTX09VVCg0MDIxNCkpKS9GR","V9FU1RJTUFURSgnRVBTJywnTUVBTicsJ0FOTlVBTF9ST0xMJywnKzEnLDQwMjE0LCwsJycp&amp;WINDOW=FIRST_POPUP&amp;HEIGHT=450&amp;WIDTH=450&amp;START_MAXIMIZED=FALSE&amp;VAR:CALENDAR=US&amp;VAR:SYMBOL=38259P50&amp;VAR:INDEX=0"}</definedName>
    <definedName name="_2772__FDSAUDITLINK__">{"fdsup://directions/FAT Viewer?action=UPDATE&amp;creator=factset&amp;DYN_ARGS=TRUE&amp;DOC_NAME=FAT:FQL_AUDITING_CLIENT_TEMPLATE.FAT&amp;display_string=Audit&amp;VAR:KEY=SDYXIJSZWR&amp;VAR:QUERY=KFBfUFJJQ0UoNDAyMTQpLShGRl9DQVNIX1NUKFFUUiw0MDIxNCkvUF9DT01fU0hTX09VVCg0MDIxNCkpKS9GR","V9FU1RJTUFURSgnRVBTJywnTUVBTicsJ0FOTlVBTF9ST0xMJywnKzEnLDQwMjE0LCwsJycp&amp;WINDOW=FIRST_POPUP&amp;HEIGHT=450&amp;WIDTH=450&amp;START_MAXIMIZED=FALSE&amp;VAR:CALENDAR=US&amp;VAR:SYMBOL=38259P50&amp;VAR:INDEX=0"}</definedName>
    <definedName name="_2773__FDSAUDITLINK__">{"fdsup://directions/FAT Viewer?action=UPDATE&amp;creator=factset&amp;DYN_ARGS=TRUE&amp;DOC_NAME=FAT:FQL_AUDITING_CLIENT_TEMPLATE.FAT&amp;display_string=Audit&amp;VAR:KEY=SLQJYBGXUX&amp;VAR:QUERY=KFBfUFJJQ0UoNDAyMTMpLShGRl9DQVNIX1NUKFFUUiw0MDIxMykvUF9DT01fU0hTX09VVCg0MDIxMykpKS9GR","V9FU1RJTUFURSgnRVBTJywnTUVBTicsJ0FOTlVBTF9ST0xMJywnKzEnLDQwMjEzLCwsJycp&amp;WINDOW=FIRST_POPUP&amp;HEIGHT=450&amp;WIDTH=450&amp;START_MAXIMIZED=FALSE&amp;VAR:CALENDAR=US&amp;VAR:SYMBOL=38259P50&amp;VAR:INDEX=0"}</definedName>
    <definedName name="_2774__FDSAUDITLINK__">{"fdsup://directions/FAT Viewer?action=UPDATE&amp;creator=factset&amp;DYN_ARGS=TRUE&amp;DOC_NAME=FAT:FQL_AUDITING_CLIENT_TEMPLATE.FAT&amp;display_string=Audit&amp;VAR:KEY=SLQJYBGXUX&amp;VAR:QUERY=KFBfUFJJQ0UoNDAyMTMpLShGRl9DQVNIX1NUKFFUUiw0MDIxMykvUF9DT01fU0hTX09VVCg0MDIxMykpKS9GR","V9FU1RJTUFURSgnRVBTJywnTUVBTicsJ0FOTlVBTF9ST0xMJywnKzEnLDQwMjEzLCwsJycp&amp;WINDOW=FIRST_POPUP&amp;HEIGHT=450&amp;WIDTH=450&amp;START_MAXIMIZED=FALSE&amp;VAR:CALENDAR=US&amp;VAR:SYMBOL=38259P50&amp;VAR:INDEX=0"}</definedName>
    <definedName name="_2775__FDSAUDITLINK__">{"fdsup://directions/FAT Viewer?action=UPDATE&amp;creator=factset&amp;DYN_ARGS=TRUE&amp;DOC_NAME=FAT:FQL_AUDITING_CLIENT_TEMPLATE.FAT&amp;display_string=Audit&amp;VAR:KEY=SDEVGLOPCJ&amp;VAR:QUERY=KFBfUFJJQ0UoNDAyMTIpLShGRl9DQVNIX1NUKFFUUiw0MDIxMikvUF9DT01fU0hTX09VVCg0MDIxMikpKS9GR","V9FU1RJTUFURSgnRVBTJywnTUVBTicsJ0FOTlVBTF9ST0xMJywnKzEnLDQwMjEyLCwsJycp&amp;WINDOW=FIRST_POPUP&amp;HEIGHT=450&amp;WIDTH=450&amp;START_MAXIMIZED=FALSE&amp;VAR:CALENDAR=US&amp;VAR:SYMBOL=38259P50&amp;VAR:INDEX=0"}</definedName>
    <definedName name="_2776__FDSAUDITLINK__">{"fdsup://directions/FAT Viewer?action=UPDATE&amp;creator=factset&amp;DYN_ARGS=TRUE&amp;DOC_NAME=FAT:FQL_AUDITING_CLIENT_TEMPLATE.FAT&amp;display_string=Audit&amp;VAR:KEY=SDEVGLOPCJ&amp;VAR:QUERY=KFBfUFJJQ0UoNDAyMTIpLShGRl9DQVNIX1NUKFFUUiw0MDIxMikvUF9DT01fU0hTX09VVCg0MDIxMikpKS9GR","V9FU1RJTUFURSgnRVBTJywnTUVBTicsJ0FOTlVBTF9ST0xMJywnKzEnLDQwMjEyLCwsJycp&amp;WINDOW=FIRST_POPUP&amp;HEIGHT=450&amp;WIDTH=450&amp;START_MAXIMIZED=FALSE&amp;VAR:CALENDAR=US&amp;VAR:SYMBOL=38259P50&amp;VAR:INDEX=0"}</definedName>
    <definedName name="_2777__FDSAUDITLINK__">{"fdsup://directions/FAT Viewer?action=UPDATE&amp;creator=factset&amp;DYN_ARGS=TRUE&amp;DOC_NAME=FAT:FQL_AUDITING_CLIENT_TEMPLATE.FAT&amp;display_string=Audit&amp;VAR:KEY=IBKPCXONAR&amp;VAR:QUERY=KFBfUFJJQ0UoNDAyMTEpLShGRl9DQVNIX1NUKFFUUiw0MDIxMSkvUF9DT01fU0hTX09VVCg0MDIxMSkpKS9GR","V9FU1RJTUFURSgnRVBTJywnTUVBTicsJ0FOTlVBTF9ST0xMJywnKzEnLDQwMjExLCwsJycp&amp;WINDOW=FIRST_POPUP&amp;HEIGHT=450&amp;WIDTH=450&amp;START_MAXIMIZED=FALSE&amp;VAR:CALENDAR=US&amp;VAR:SYMBOL=38259P50&amp;VAR:INDEX=0"}</definedName>
    <definedName name="_2778__FDSAUDITLINK__">{"fdsup://directions/FAT Viewer?action=UPDATE&amp;creator=factset&amp;DYN_ARGS=TRUE&amp;DOC_NAME=FAT:FQL_AUDITING_CLIENT_TEMPLATE.FAT&amp;display_string=Audit&amp;VAR:KEY=IBKPCXONAR&amp;VAR:QUERY=KFBfUFJJQ0UoNDAyMTEpLShGRl9DQVNIX1NUKFFUUiw0MDIxMSkvUF9DT01fU0hTX09VVCg0MDIxMSkpKS9GR","V9FU1RJTUFURSgnRVBTJywnTUVBTicsJ0FOTlVBTF9ST0xMJywnKzEnLDQwMjExLCwsJycp&amp;WINDOW=FIRST_POPUP&amp;HEIGHT=450&amp;WIDTH=450&amp;START_MAXIMIZED=FALSE&amp;VAR:CALENDAR=US&amp;VAR:SYMBOL=38259P50&amp;VAR:INDEX=0"}</definedName>
    <definedName name="_2779__FDSAUDITLINK__">{"fdsup://directions/FAT Viewer?action=UPDATE&amp;creator=factset&amp;DYN_ARGS=TRUE&amp;DOC_NAME=FAT:FQL_AUDITING_CLIENT_TEMPLATE.FAT&amp;display_string=Audit&amp;VAR:KEY=KTITGDUZGB&amp;VAR:QUERY=KFBfUFJJQ0UoNDAyMTApLShGRl9DQVNIX1NUKFFUUiw0MDIxMCkvUF9DT01fU0hTX09VVCg0MDIxMCkpKS9GR","V9FU1RJTUFURSgnRVBTJywnTUVBTicsJ0FOTlVBTF9ST0xMJywnKzEnLDQwMjEwLCwsJycp&amp;WINDOW=FIRST_POPUP&amp;HEIGHT=450&amp;WIDTH=450&amp;START_MAXIMIZED=FALSE&amp;VAR:CALENDAR=US&amp;VAR:SYMBOL=38259P50&amp;VAR:INDEX=0"}</definedName>
    <definedName name="_27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251"}</definedName>
    <definedName name="_2780__FDSAUDITLINK__">{"fdsup://directions/FAT Viewer?action=UPDATE&amp;creator=factset&amp;DYN_ARGS=TRUE&amp;DOC_NAME=FAT:FQL_AUDITING_CLIENT_TEMPLATE.FAT&amp;display_string=Audit&amp;VAR:KEY=KTITGDUZGB&amp;VAR:QUERY=KFBfUFJJQ0UoNDAyMTApLShGRl9DQVNIX1NUKFFUUiw0MDIxMCkvUF9DT01fU0hTX09VVCg0MDIxMCkpKS9GR","V9FU1RJTUFURSgnRVBTJywnTUVBTicsJ0FOTlVBTF9ST0xMJywnKzEnLDQwMjEwLCwsJycp&amp;WINDOW=FIRST_POPUP&amp;HEIGHT=450&amp;WIDTH=450&amp;START_MAXIMIZED=FALSE&amp;VAR:CALENDAR=US&amp;VAR:SYMBOL=38259P50&amp;VAR:INDEX=0"}</definedName>
    <definedName name="_2781__FDSAUDITLINK__">{"fdsup://directions/FAT Viewer?action=UPDATE&amp;creator=factset&amp;DYN_ARGS=TRUE&amp;DOC_NAME=FAT:FQL_AUDITING_CLIENT_TEMPLATE.FAT&amp;display_string=Audit&amp;VAR:KEY=GLMTSXSLUR&amp;VAR:QUERY=KFBfUFJJQ0UoNDAyMDkpLShGRl9DQVNIX1NUKFFUUiw0MDIwOSkvUF9DT01fU0hTX09VVCg0MDIwOSkpKS9GR","V9FU1RJTUFURSgnRVBTJywnTUVBTicsJ0FOTlVBTF9ST0xMJywnKzEnLDQwMjA5LCwsJycp&amp;WINDOW=FIRST_POPUP&amp;HEIGHT=450&amp;WIDTH=450&amp;START_MAXIMIZED=FALSE&amp;VAR:CALENDAR=US&amp;VAR:SYMBOL=38259P50&amp;VAR:INDEX=0"}</definedName>
    <definedName name="_2782__FDSAUDITLINK__">{"fdsup://directions/FAT Viewer?action=UPDATE&amp;creator=factset&amp;DYN_ARGS=TRUE&amp;DOC_NAME=FAT:FQL_AUDITING_CLIENT_TEMPLATE.FAT&amp;display_string=Audit&amp;VAR:KEY=GLMTSXSLUR&amp;VAR:QUERY=KFBfUFJJQ0UoNDAyMDkpLShGRl9DQVNIX1NUKFFUUiw0MDIwOSkvUF9DT01fU0hTX09VVCg0MDIwOSkpKS9GR","V9FU1RJTUFURSgnRVBTJywnTUVBTicsJ0FOTlVBTF9ST0xMJywnKzEnLDQwMjA5LCwsJycp&amp;WINDOW=FIRST_POPUP&amp;HEIGHT=450&amp;WIDTH=450&amp;START_MAXIMIZED=FALSE&amp;VAR:CALENDAR=US&amp;VAR:SYMBOL=38259P50&amp;VAR:INDEX=0"}</definedName>
    <definedName name="_2783__FDSAUDITLINK__">{"fdsup://directions/FAT Viewer?action=UPDATE&amp;creator=factset&amp;DYN_ARGS=TRUE&amp;DOC_NAME=FAT:FQL_AUDITING_CLIENT_TEMPLATE.FAT&amp;display_string=Audit&amp;VAR:KEY=GXWLCHWTAD&amp;VAR:QUERY=KFBfUFJJQ0UoNDAyMDgpLShGRl9DQVNIX1NUKFFUUiw0MDIwOCkvUF9DT01fU0hTX09VVCg0MDIwOCkpKS9GR","V9FU1RJTUFURSgnRVBTJywnTUVBTicsJ0FOTlVBTF9ST0xMJywnKzEnLDQwMjA4LCwsJycp&amp;WINDOW=FIRST_POPUP&amp;HEIGHT=450&amp;WIDTH=450&amp;START_MAXIMIZED=FALSE&amp;VAR:CALENDAR=US&amp;VAR:SYMBOL=38259P50&amp;VAR:INDEX=0"}</definedName>
    <definedName name="_2784__FDSAUDITLINK__">{"fdsup://directions/FAT Viewer?action=UPDATE&amp;creator=factset&amp;DYN_ARGS=TRUE&amp;DOC_NAME=FAT:FQL_AUDITING_CLIENT_TEMPLATE.FAT&amp;display_string=Audit&amp;VAR:KEY=GXWLCHWTAD&amp;VAR:QUERY=KFBfUFJJQ0UoNDAyMDgpLShGRl9DQVNIX1NUKFFUUiw0MDIwOCkvUF9DT01fU0hTX09VVCg0MDIwOCkpKS9GR","V9FU1RJTUFURSgnRVBTJywnTUVBTicsJ0FOTlVBTF9ST0xMJywnKzEnLDQwMjA4LCwsJycp&amp;WINDOW=FIRST_POPUP&amp;HEIGHT=450&amp;WIDTH=450&amp;START_MAXIMIZED=FALSE&amp;VAR:CALENDAR=US&amp;VAR:SYMBOL=38259P50&amp;VAR:INDEX=0"}</definedName>
    <definedName name="_2785__FDSAUDITLINK__">{"fdsup://directions/FAT Viewer?action=UPDATE&amp;creator=factset&amp;DYN_ARGS=TRUE&amp;DOC_NAME=FAT:FQL_AUDITING_CLIENT_TEMPLATE.FAT&amp;display_string=Audit&amp;VAR:KEY=CVSREXOXSD&amp;VAR:QUERY=KFBfUFJJQ0UoNDAyMDcpLShGRl9DQVNIX1NUKFFUUiw0MDIwNykvUF9DT01fU0hTX09VVCg0MDIwNykpKS9GR","V9FU1RJTUFURSgnRVBTJywnTUVBTicsJ0FOTlVBTF9ST0xMJywnKzEnLDQwMjA3LCwsJycp&amp;WINDOW=FIRST_POPUP&amp;HEIGHT=450&amp;WIDTH=450&amp;START_MAXIMIZED=FALSE&amp;VAR:CALENDAR=US&amp;VAR:SYMBOL=38259P50&amp;VAR:INDEX=0"}</definedName>
    <definedName name="_2786__FDSAUDITLINK__">{"fdsup://directions/FAT Viewer?action=UPDATE&amp;creator=factset&amp;DYN_ARGS=TRUE&amp;DOC_NAME=FAT:FQL_AUDITING_CLIENT_TEMPLATE.FAT&amp;display_string=Audit&amp;VAR:KEY=CVSREXOXSD&amp;VAR:QUERY=KFBfUFJJQ0UoNDAyMDcpLShGRl9DQVNIX1NUKFFUUiw0MDIwNykvUF9DT01fU0hTX09VVCg0MDIwNykpKS9GR","V9FU1RJTUFURSgnRVBTJywnTUVBTicsJ0FOTlVBTF9ST0xMJywnKzEnLDQwMjA3LCwsJycp&amp;WINDOW=FIRST_POPUP&amp;HEIGHT=450&amp;WIDTH=450&amp;START_MAXIMIZED=FALSE&amp;VAR:CALENDAR=US&amp;VAR:SYMBOL=38259P50&amp;VAR:INDEX=0"}</definedName>
    <definedName name="_2787__FDSAUDITLINK__">{"fdsup://directions/FAT Viewer?action=UPDATE&amp;creator=factset&amp;DYN_ARGS=TRUE&amp;DOC_NAME=FAT:FQL_AUDITING_CLIENT_TEMPLATE.FAT&amp;display_string=Audit&amp;VAR:KEY=YRUVUREHQD&amp;VAR:QUERY=KFBfUFJJQ0UoNDAyMDYpLShGRl9DQVNIX1NUKFFUUiw0MDIwNikvUF9DT01fU0hTX09VVCg0MDIwNikpKS9GR","V9FU1RJTUFURSgnRVBTJywnTUVBTicsJ0FOTlVBTF9ST0xMJywnKzEnLDQwMjA2LCwsJycp&amp;WINDOW=FIRST_POPUP&amp;HEIGHT=450&amp;WIDTH=450&amp;START_MAXIMIZED=FALSE&amp;VAR:CALENDAR=US&amp;VAR:SYMBOL=38259P50&amp;VAR:INDEX=0"}</definedName>
    <definedName name="_2788__FDSAUDITLINK__">{"fdsup://directions/FAT Viewer?action=UPDATE&amp;creator=factset&amp;DYN_ARGS=TRUE&amp;DOC_NAME=FAT:FQL_AUDITING_CLIENT_TEMPLATE.FAT&amp;display_string=Audit&amp;VAR:KEY=YRUVUREHQD&amp;VAR:QUERY=KFBfUFJJQ0UoNDAyMDYpLShGRl9DQVNIX1NUKFFUUiw0MDIwNikvUF9DT01fU0hTX09VVCg0MDIwNikpKS9GR","V9FU1RJTUFURSgnRVBTJywnTUVBTicsJ0FOTlVBTF9ST0xMJywnKzEnLDQwMjA2LCwsJycp&amp;WINDOW=FIRST_POPUP&amp;HEIGHT=450&amp;WIDTH=450&amp;START_MAXIMIZED=FALSE&amp;VAR:CALENDAR=US&amp;VAR:SYMBOL=38259P50&amp;VAR:INDEX=0"}</definedName>
    <definedName name="_2789__FDSAUDITLINK__">{"fdsup://directions/FAT Viewer?action=UPDATE&amp;creator=factset&amp;DYN_ARGS=TRUE&amp;DOC_NAME=FAT:FQL_AUDITING_CLIENT_TEMPLATE.FAT&amp;display_string=Audit&amp;VAR:KEY=QTWFERKLMF&amp;VAR:QUERY=KFBfUFJJQ0UoNDAyMDUpLShGRl9DQVNIX1NUKFFUUiw0MDIwNSkvUF9DT01fU0hTX09VVCg0MDIwNSkpKS9GR","V9FU1RJTUFURSgnRVBTJywnTUVBTicsJ0FOTlVBTF9ST0xMJywnKzEnLDQwMjA1LCwsJycp&amp;WINDOW=FIRST_POPUP&amp;HEIGHT=450&amp;WIDTH=450&amp;START_MAXIMIZED=FALSE&amp;VAR:CALENDAR=US&amp;VAR:SYMBOL=38259P50&amp;VAR:INDEX=0"}</definedName>
    <definedName name="_27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250"}</definedName>
    <definedName name="_2790__FDSAUDITLINK__">{"fdsup://directions/FAT Viewer?action=UPDATE&amp;creator=factset&amp;DYN_ARGS=TRUE&amp;DOC_NAME=FAT:FQL_AUDITING_CLIENT_TEMPLATE.FAT&amp;display_string=Audit&amp;VAR:KEY=QTWFERKLMF&amp;VAR:QUERY=KFBfUFJJQ0UoNDAyMDUpLShGRl9DQVNIX1NUKFFUUiw0MDIwNSkvUF9DT01fU0hTX09VVCg0MDIwNSkpKS9GR","V9FU1RJTUFURSgnRVBTJywnTUVBTicsJ0FOTlVBTF9ST0xMJywnKzEnLDQwMjA1LCwsJycp&amp;WINDOW=FIRST_POPUP&amp;HEIGHT=450&amp;WIDTH=450&amp;START_MAXIMIZED=FALSE&amp;VAR:CALENDAR=US&amp;VAR:SYMBOL=38259P50&amp;VAR:INDEX=0"}</definedName>
    <definedName name="_2791__FDSAUDITLINK__">{"fdsup://directions/FAT Viewer?action=UPDATE&amp;creator=factset&amp;DYN_ARGS=TRUE&amp;DOC_NAME=FAT:FQL_AUDITING_CLIENT_TEMPLATE.FAT&amp;display_string=Audit&amp;VAR:KEY=ORGVALCZIR&amp;VAR:QUERY=KFBfUFJJQ0UoNDAyMDQpLShGRl9DQVNIX1NUKFFUUiw0MDIwNCkvUF9DT01fU0hTX09VVCg0MDIwNCkpKS9GR","V9FU1RJTUFURSgnRVBTJywnTUVBTicsJ0FOTlVBTF9ST0xMJywnKzEnLDQwMjA0LCwsJycp&amp;WINDOW=FIRST_POPUP&amp;HEIGHT=450&amp;WIDTH=450&amp;START_MAXIMIZED=FALSE&amp;VAR:CALENDAR=US&amp;VAR:SYMBOL=38259P50&amp;VAR:INDEX=0"}</definedName>
    <definedName name="_2792__FDSAUDITLINK__">{"fdsup://directions/FAT Viewer?action=UPDATE&amp;creator=factset&amp;DYN_ARGS=TRUE&amp;DOC_NAME=FAT:FQL_AUDITING_CLIENT_TEMPLATE.FAT&amp;display_string=Audit&amp;VAR:KEY=ORGVALCZIR&amp;VAR:QUERY=KFBfUFJJQ0UoNDAyMDQpLShGRl9DQVNIX1NUKFFUUiw0MDIwNCkvUF9DT01fU0hTX09VVCg0MDIwNCkpKS9GR","V9FU1RJTUFURSgnRVBTJywnTUVBTicsJ0FOTlVBTF9ST0xMJywnKzEnLDQwMjA0LCwsJycp&amp;WINDOW=FIRST_POPUP&amp;HEIGHT=450&amp;WIDTH=450&amp;START_MAXIMIZED=FALSE&amp;VAR:CALENDAR=US&amp;VAR:SYMBOL=38259P50&amp;VAR:INDEX=0"}</definedName>
    <definedName name="_2793__FDSAUDITLINK__">{"fdsup://directions/FAT Viewer?action=UPDATE&amp;creator=factset&amp;DYN_ARGS=TRUE&amp;DOC_NAME=FAT:FQL_AUDITING_CLIENT_TEMPLATE.FAT&amp;display_string=Audit&amp;VAR:KEY=CLOLCBCROR&amp;VAR:QUERY=KFBfUFJJQ0UoNDAyMDMpLShGRl9DQVNIX1NUKFFUUiw0MDIwMykvUF9DT01fU0hTX09VVCg0MDIwMykpKS9GR","V9FU1RJTUFURSgnRVBTJywnTUVBTicsJ0FOTlVBTF9ST0xMJywnKzEnLDQwMjAzLCwsJycp&amp;WINDOW=FIRST_POPUP&amp;HEIGHT=450&amp;WIDTH=450&amp;START_MAXIMIZED=FALSE&amp;VAR:CALENDAR=US&amp;VAR:SYMBOL=38259P50&amp;VAR:INDEX=0"}</definedName>
    <definedName name="_2794__FDSAUDITLINK__">{"fdsup://directions/FAT Viewer?action=UPDATE&amp;creator=factset&amp;DYN_ARGS=TRUE&amp;DOC_NAME=FAT:FQL_AUDITING_CLIENT_TEMPLATE.FAT&amp;display_string=Audit&amp;VAR:KEY=CLOLCBCROR&amp;VAR:QUERY=KFBfUFJJQ0UoNDAyMDMpLShGRl9DQVNIX1NUKFFUUiw0MDIwMykvUF9DT01fU0hTX09VVCg0MDIwMykpKS9GR","V9FU1RJTUFURSgnRVBTJywnTUVBTicsJ0FOTlVBTF9ST0xMJywnKzEnLDQwMjAzLCwsJycp&amp;WINDOW=FIRST_POPUP&amp;HEIGHT=450&amp;WIDTH=450&amp;START_MAXIMIZED=FALSE&amp;VAR:CALENDAR=US&amp;VAR:SYMBOL=38259P50&amp;VAR:INDEX=0"}</definedName>
    <definedName name="_2795__FDSAUDITLINK__">{"fdsup://directions/FAT Viewer?action=UPDATE&amp;creator=factset&amp;DYN_ARGS=TRUE&amp;DOC_NAME=FAT:FQL_AUDITING_CLIENT_TEMPLATE.FAT&amp;display_string=Audit&amp;VAR:KEY=MJUJQBGNWH&amp;VAR:QUERY=KFBfUFJJQ0UoNDAyMDIpLShGRl9DQVNIX1NUKFFUUiw0MDIwMikvUF9DT01fU0hTX09VVCg0MDIwMikpKS9GR","V9FU1RJTUFURSgnRVBTJywnTUVBTicsJ0FOTlVBTF9ST0xMJywnKzEnLDQwMjAyLCwsJycp&amp;WINDOW=FIRST_POPUP&amp;HEIGHT=450&amp;WIDTH=450&amp;START_MAXIMIZED=FALSE&amp;VAR:CALENDAR=US&amp;VAR:SYMBOL=38259P50&amp;VAR:INDEX=0"}</definedName>
    <definedName name="_2796__FDSAUDITLINK__">{"fdsup://directions/FAT Viewer?action=UPDATE&amp;creator=factset&amp;DYN_ARGS=TRUE&amp;DOC_NAME=FAT:FQL_AUDITING_CLIENT_TEMPLATE.FAT&amp;display_string=Audit&amp;VAR:KEY=MJUJQBGNWH&amp;VAR:QUERY=KFBfUFJJQ0UoNDAyMDIpLShGRl9DQVNIX1NUKFFUUiw0MDIwMikvUF9DT01fU0hTX09VVCg0MDIwMikpKS9GR","V9FU1RJTUFURSgnRVBTJywnTUVBTicsJ0FOTlVBTF9ST0xMJywnKzEnLDQwMjAyLCwsJycp&amp;WINDOW=FIRST_POPUP&amp;HEIGHT=450&amp;WIDTH=450&amp;START_MAXIMIZED=FALSE&amp;VAR:CALENDAR=US&amp;VAR:SYMBOL=38259P50&amp;VAR:INDEX=0"}</definedName>
    <definedName name="_2797__FDSAUDITLINK__">{"fdsup://directions/FAT Viewer?action=UPDATE&amp;creator=factset&amp;DYN_ARGS=TRUE&amp;DOC_NAME=FAT:FQL_AUDITING_CLIENT_TEMPLATE.FAT&amp;display_string=Audit&amp;VAR:KEY=KFGJUTQDYB&amp;VAR:QUERY=KFBfUFJJQ0UoNDAyMDEpLShGRl9DQVNIX1NUKFFUUiw0MDIwMSkvUF9DT01fU0hTX09VVCg0MDIwMSkpKS9GR","V9FU1RJTUFURSgnRVBTJywnTUVBTicsJ0FOTlVBTF9ST0xMJywnKzEnLDQwMjAxLCwsJycp&amp;WINDOW=FIRST_POPUP&amp;HEIGHT=450&amp;WIDTH=450&amp;START_MAXIMIZED=FALSE&amp;VAR:CALENDAR=US&amp;VAR:SYMBOL=38259P50&amp;VAR:INDEX=0"}</definedName>
    <definedName name="_2798__FDSAUDITLINK__">{"fdsup://directions/FAT Viewer?action=UPDATE&amp;creator=factset&amp;DYN_ARGS=TRUE&amp;DOC_NAME=FAT:FQL_AUDITING_CLIENT_TEMPLATE.FAT&amp;display_string=Audit&amp;VAR:KEY=KFGJUTQDYB&amp;VAR:QUERY=KFBfUFJJQ0UoNDAyMDEpLShGRl9DQVNIX1NUKFFUUiw0MDIwMSkvUF9DT01fU0hTX09VVCg0MDIwMSkpKS9GR","V9FU1RJTUFURSgnRVBTJywnTUVBTicsJ0FOTlVBTF9ST0xMJywnKzEnLDQwMjAxLCwsJycp&amp;WINDOW=FIRST_POPUP&amp;HEIGHT=450&amp;WIDTH=450&amp;START_MAXIMIZED=FALSE&amp;VAR:CALENDAR=US&amp;VAR:SYMBOL=38259P50&amp;VAR:INDEX=0"}</definedName>
    <definedName name="_2799__FDSAUDITLINK__">{"fdsup://directions/FAT Viewer?action=UPDATE&amp;creator=factset&amp;DYN_ARGS=TRUE&amp;DOC_NAME=FAT:FQL_AUDITING_CLIENT_TEMPLATE.FAT&amp;display_string=Audit&amp;VAR:KEY=ULSTKJGPCJ&amp;VAR:QUERY=KFBfUFJJQ0UoNDAyMDApLShGRl9DQVNIX1NUKFFUUiw0MDIwMCkvUF9DT01fU0hTX09VVCg0MDIwMCkpKS9GR","V9FU1RJTUFURSgnRVBTJywnTUVBTicsJ0FOTlVBTF9ST0xMJywnKzEnLDQwMjAwLCwsJycp&amp;WINDOW=FIRST_POPUP&amp;HEIGHT=450&amp;WIDTH=450&amp;START_MAXIMIZED=FALSE&amp;VAR:CALENDAR=US&amp;VAR:SYMBOL=38259P50&amp;VAR:INDEX=0"}</definedName>
    <definedName name="_2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0.748634&amp;VAR:V=15.875675&amp;VAR:V0=17.061097&amp;VAR:V1=15.513749&amp;VAR:Y0=2004&amp;VAR:Y1=2005&amp;VAR:P=1114.583100&amp;VAR:DATE=20040930&amp;VAR:THRESH=-|-|","-|-|-|-|-"}</definedName>
    <definedName name="_28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249"}</definedName>
    <definedName name="_2800__FDSAUDITLINK__">{"fdsup://directions/FAT Viewer?action=UPDATE&amp;creator=factset&amp;DYN_ARGS=TRUE&amp;DOC_NAME=FAT:FQL_AUDITING_CLIENT_TEMPLATE.FAT&amp;display_string=Audit&amp;VAR:KEY=ULSTKJGPCJ&amp;VAR:QUERY=KFBfUFJJQ0UoNDAyMDApLShGRl9DQVNIX1NUKFFUUiw0MDIwMCkvUF9DT01fU0hTX09VVCg0MDIwMCkpKS9GR","V9FU1RJTUFURSgnRVBTJywnTUVBTicsJ0FOTlVBTF9ST0xMJywnKzEnLDQwMjAwLCwsJycp&amp;WINDOW=FIRST_POPUP&amp;HEIGHT=450&amp;WIDTH=450&amp;START_MAXIMIZED=FALSE&amp;VAR:CALENDAR=US&amp;VAR:SYMBOL=38259P50&amp;VAR:INDEX=0"}</definedName>
    <definedName name="_2801__FDSAUDITLINK__">{"fdsup://directions/FAT Viewer?action=UPDATE&amp;creator=factset&amp;DYN_ARGS=TRUE&amp;DOC_NAME=FAT:FQL_AUDITING_CLIENT_TEMPLATE.FAT&amp;display_string=Audit&amp;VAR:KEY=KTONGLWLIJ&amp;VAR:QUERY=KFBfUFJJQ0UoNDAxOTkpLShGRl9DQVNIX1NUKFFUUiw0MDE5OSkvUF9DT01fU0hTX09VVCg0MDE5OSkpKS9GR","V9FU1RJTUFURSgnRVBTJywnTUVBTicsJ0FOTlVBTF9ST0xMJywnKzEnLDQwMTk5LCwsJycp&amp;WINDOW=FIRST_POPUP&amp;HEIGHT=450&amp;WIDTH=450&amp;START_MAXIMIZED=FALSE&amp;VAR:CALENDAR=US&amp;VAR:SYMBOL=38259P50&amp;VAR:INDEX=0"}</definedName>
    <definedName name="_2802__FDSAUDITLINK__">{"fdsup://directions/FAT Viewer?action=UPDATE&amp;creator=factset&amp;DYN_ARGS=TRUE&amp;DOC_NAME=FAT:FQL_AUDITING_CLIENT_TEMPLATE.FAT&amp;display_string=Audit&amp;VAR:KEY=KTONGLWLIJ&amp;VAR:QUERY=KFBfUFJJQ0UoNDAxOTkpLShGRl9DQVNIX1NUKFFUUiw0MDE5OSkvUF9DT01fU0hTX09VVCg0MDE5OSkpKS9GR","V9FU1RJTUFURSgnRVBTJywnTUVBTicsJ0FOTlVBTF9ST0xMJywnKzEnLDQwMTk5LCwsJycp&amp;WINDOW=FIRST_POPUP&amp;HEIGHT=450&amp;WIDTH=450&amp;START_MAXIMIZED=FALSE&amp;VAR:CALENDAR=US&amp;VAR:SYMBOL=38259P50&amp;VAR:INDEX=0"}</definedName>
    <definedName name="_2803__FDSAUDITLINK__">{"fdsup://directions/FAT Viewer?action=UPDATE&amp;creator=factset&amp;DYN_ARGS=TRUE&amp;DOC_NAME=FAT:FQL_AUDITING_CLIENT_TEMPLATE.FAT&amp;display_string=Audit&amp;VAR:KEY=OVOVETSLIL&amp;VAR:QUERY=KFBfUFJJQ0UoNDAxOTgpLShGRl9DQVNIX1NUKFFUUiw0MDE5OCkvUF9DT01fU0hTX09VVCg0MDE5OCkpKS9GR","V9FU1RJTUFURSgnRVBTJywnTUVBTicsJ0FOTlVBTF9ST0xMJywnKzEnLDQwMTk4LCwsJycp&amp;WINDOW=FIRST_POPUP&amp;HEIGHT=450&amp;WIDTH=450&amp;START_MAXIMIZED=FALSE&amp;VAR:CALENDAR=US&amp;VAR:SYMBOL=38259P50&amp;VAR:INDEX=0"}</definedName>
    <definedName name="_2804__FDSAUDITLINK__">{"fdsup://directions/FAT Viewer?action=UPDATE&amp;creator=factset&amp;DYN_ARGS=TRUE&amp;DOC_NAME=FAT:FQL_AUDITING_CLIENT_TEMPLATE.FAT&amp;display_string=Audit&amp;VAR:KEY=OVOVETSLIL&amp;VAR:QUERY=KFBfUFJJQ0UoNDAxOTgpLShGRl9DQVNIX1NUKFFUUiw0MDE5OCkvUF9DT01fU0hTX09VVCg0MDE5OCkpKS9GR","V9FU1RJTUFURSgnRVBTJywnTUVBTicsJ0FOTlVBTF9ST0xMJywnKzEnLDQwMTk4LCwsJycp&amp;WINDOW=FIRST_POPUP&amp;HEIGHT=450&amp;WIDTH=450&amp;START_MAXIMIZED=FALSE&amp;VAR:CALENDAR=US&amp;VAR:SYMBOL=38259P50&amp;VAR:INDEX=0"}</definedName>
    <definedName name="_2805__FDSAUDITLINK__">{"fdsup://directions/FAT Viewer?action=UPDATE&amp;creator=factset&amp;DYN_ARGS=TRUE&amp;DOC_NAME=FAT:FQL_AUDITING_CLIENT_TEMPLATE.FAT&amp;display_string=Audit&amp;VAR:KEY=ALOLAHWBCR&amp;VAR:QUERY=KFBfUFJJQ0UoNDAxOTcpLShGRl9DQVNIX1NUKFFUUiw0MDE5NykvUF9DT01fU0hTX09VVCg0MDE5NykpKS9GR","V9FU1RJTUFURSgnRVBTJywnTUVBTicsJ0FOTlVBTF9ST0xMJywnKzEnLDQwMTk3LCwsJycp&amp;WINDOW=FIRST_POPUP&amp;HEIGHT=450&amp;WIDTH=450&amp;START_MAXIMIZED=FALSE&amp;VAR:CALENDAR=US&amp;VAR:SYMBOL=38259P50&amp;VAR:INDEX=0"}</definedName>
    <definedName name="_2806__FDSAUDITLINK__">{"fdsup://directions/FAT Viewer?action=UPDATE&amp;creator=factset&amp;DYN_ARGS=TRUE&amp;DOC_NAME=FAT:FQL_AUDITING_CLIENT_TEMPLATE.FAT&amp;display_string=Audit&amp;VAR:KEY=ALOLAHWBCR&amp;VAR:QUERY=KFBfUFJJQ0UoNDAxOTcpLShGRl9DQVNIX1NUKFFUUiw0MDE5NykvUF9DT01fU0hTX09VVCg0MDE5NykpKS9GR","V9FU1RJTUFURSgnRVBTJywnTUVBTicsJ0FOTlVBTF9ST0xMJywnKzEnLDQwMTk3LCwsJycp&amp;WINDOW=FIRST_POPUP&amp;HEIGHT=450&amp;WIDTH=450&amp;START_MAXIMIZED=FALSE&amp;VAR:CALENDAR=US&amp;VAR:SYMBOL=38259P50&amp;VAR:INDEX=0"}</definedName>
    <definedName name="_2807__FDSAUDITLINK__">{"fdsup://directions/FAT Viewer?action=UPDATE&amp;creator=factset&amp;DYN_ARGS=TRUE&amp;DOC_NAME=FAT:FQL_AUDITING_CLIENT_TEMPLATE.FAT&amp;display_string=Audit&amp;VAR:KEY=GJQDAJWDYL&amp;VAR:QUERY=KFBfUFJJQ0UoNDAxOTYpLShGRl9DQVNIX1NUKFFUUiw0MDE5NikvUF9DT01fU0hTX09VVCg0MDE5NikpKS9GR","V9FU1RJTUFURSgnRVBTJywnTUVBTicsJ0FOTlVBTF9ST0xMJywnKzEnLDQwMTk2LCwsJycp&amp;WINDOW=FIRST_POPUP&amp;HEIGHT=450&amp;WIDTH=450&amp;START_MAXIMIZED=FALSE&amp;VAR:CALENDAR=US&amp;VAR:SYMBOL=38259P50&amp;VAR:INDEX=0"}</definedName>
    <definedName name="_2808__FDSAUDITLINK__">{"fdsup://directions/FAT Viewer?action=UPDATE&amp;creator=factset&amp;DYN_ARGS=TRUE&amp;DOC_NAME=FAT:FQL_AUDITING_CLIENT_TEMPLATE.FAT&amp;display_string=Audit&amp;VAR:KEY=GJQDAJWDYL&amp;VAR:QUERY=KFBfUFJJQ0UoNDAxOTYpLShGRl9DQVNIX1NUKFFUUiw0MDE5NikvUF9DT01fU0hTX09VVCg0MDE5NikpKS9GR","V9FU1RJTUFURSgnRVBTJywnTUVBTicsJ0FOTlVBTF9ST0xMJywnKzEnLDQwMTk2LCwsJycp&amp;WINDOW=FIRST_POPUP&amp;HEIGHT=450&amp;WIDTH=450&amp;START_MAXIMIZED=FALSE&amp;VAR:CALENDAR=US&amp;VAR:SYMBOL=38259P50&amp;VAR:INDEX=0"}</definedName>
    <definedName name="_2809__FDSAUDITLINK__">{"fdsup://directions/FAT Viewer?action=UPDATE&amp;creator=factset&amp;DYN_ARGS=TRUE&amp;DOC_NAME=FAT:FQL_AUDITING_CLIENT_TEMPLATE.FAT&amp;display_string=Audit&amp;VAR:KEY=ILKHADMBOB&amp;VAR:QUERY=KFBfUFJJQ0UoNDAxOTUpLShGRl9DQVNIX1NUKFFUUiw0MDE5NSkvUF9DT01fU0hTX09VVCg0MDE5NSkpKS9GR","V9FU1RJTUFURSgnRVBTJywnTUVBTicsJ0FOTlVBTF9ST0xMJywnKzEnLDQwMTk1LCwsJycp&amp;WINDOW=FIRST_POPUP&amp;HEIGHT=450&amp;WIDTH=450&amp;START_MAXIMIZED=FALSE&amp;VAR:CALENDAR=US&amp;VAR:SYMBOL=38259P50&amp;VAR:INDEX=0"}</definedName>
    <definedName name="_28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248"}</definedName>
    <definedName name="_2810__FDSAUDITLINK__">{"fdsup://directions/FAT Viewer?action=UPDATE&amp;creator=factset&amp;DYN_ARGS=TRUE&amp;DOC_NAME=FAT:FQL_AUDITING_CLIENT_TEMPLATE.FAT&amp;display_string=Audit&amp;VAR:KEY=ILKHADMBOB&amp;VAR:QUERY=KFBfUFJJQ0UoNDAxOTUpLShGRl9DQVNIX1NUKFFUUiw0MDE5NSkvUF9DT01fU0hTX09VVCg0MDE5NSkpKS9GR","V9FU1RJTUFURSgnRVBTJywnTUVBTicsJ0FOTlVBTF9ST0xMJywnKzEnLDQwMTk1LCwsJycp&amp;WINDOW=FIRST_POPUP&amp;HEIGHT=450&amp;WIDTH=450&amp;START_MAXIMIZED=FALSE&amp;VAR:CALENDAR=US&amp;VAR:SYMBOL=38259P50&amp;VAR:INDEX=0"}</definedName>
    <definedName name="_2811__FDSAUDITLINK__">{"fdsup://directions/FAT Viewer?action=UPDATE&amp;creator=factset&amp;DYN_ARGS=TRUE&amp;DOC_NAME=FAT:FQL_AUDITING_CLIENT_TEMPLATE.FAT&amp;display_string=Audit&amp;VAR:KEY=ETCLUXOPER&amp;VAR:QUERY=KFBfUFJJQ0UoNDAxOTQpLShGRl9DQVNIX1NUKFFUUiw0MDE5NCkvUF9DT01fU0hTX09VVCg0MDE5NCkpKS9GR","V9FU1RJTUFURSgnRVBTJywnTUVBTicsJ0FOTlVBTF9ST0xMJywnKzEnLDQwMTk0LCwsJycp&amp;WINDOW=FIRST_POPUP&amp;HEIGHT=450&amp;WIDTH=450&amp;START_MAXIMIZED=FALSE&amp;VAR:CALENDAR=US&amp;VAR:SYMBOL=38259P50&amp;VAR:INDEX=0"}</definedName>
    <definedName name="_2812__FDSAUDITLINK__">{"fdsup://directions/FAT Viewer?action=UPDATE&amp;creator=factset&amp;DYN_ARGS=TRUE&amp;DOC_NAME=FAT:FQL_AUDITING_CLIENT_TEMPLATE.FAT&amp;display_string=Audit&amp;VAR:KEY=ETCLUXOPER&amp;VAR:QUERY=KFBfUFJJQ0UoNDAxOTQpLShGRl9DQVNIX1NUKFFUUiw0MDE5NCkvUF9DT01fU0hTX09VVCg0MDE5NCkpKS9GR","V9FU1RJTUFURSgnRVBTJywnTUVBTicsJ0FOTlVBTF9ST0xMJywnKzEnLDQwMTk0LCwsJycp&amp;WINDOW=FIRST_POPUP&amp;HEIGHT=450&amp;WIDTH=450&amp;START_MAXIMIZED=FALSE&amp;VAR:CALENDAR=US&amp;VAR:SYMBOL=38259P50&amp;VAR:INDEX=0"}</definedName>
    <definedName name="_2813__FDSAUDITLINK__">{"fdsup://directions/FAT Viewer?action=UPDATE&amp;creator=factset&amp;DYN_ARGS=TRUE&amp;DOC_NAME=FAT:FQL_AUDITING_CLIENT_TEMPLATE.FAT&amp;display_string=Audit&amp;VAR:KEY=KJALCBEHCV&amp;VAR:QUERY=KFBfUFJJQ0UoNDAxOTMpLShGRl9DQVNIX1NUKFFUUiw0MDE5MykvUF9DT01fU0hTX09VVCg0MDE5MykpKS9GR","V9FU1RJTUFURSgnRVBTJywnTUVBTicsJ0FOTlVBTF9ST0xMJywnKzEnLDQwMTkzLCwsJycp&amp;WINDOW=FIRST_POPUP&amp;HEIGHT=450&amp;WIDTH=450&amp;START_MAXIMIZED=FALSE&amp;VAR:CALENDAR=US&amp;VAR:SYMBOL=38259P50&amp;VAR:INDEX=0"}</definedName>
    <definedName name="_2814__FDSAUDITLINK__">{"fdsup://directions/FAT Viewer?action=UPDATE&amp;creator=factset&amp;DYN_ARGS=TRUE&amp;DOC_NAME=FAT:FQL_AUDITING_CLIENT_TEMPLATE.FAT&amp;display_string=Audit&amp;VAR:KEY=KJALCBEHCV&amp;VAR:QUERY=KFBfUFJJQ0UoNDAxOTMpLShGRl9DQVNIX1NUKFFUUiw0MDE5MykvUF9DT01fU0hTX09VVCg0MDE5MykpKS9GR","V9FU1RJTUFURSgnRVBTJywnTUVBTicsJ0FOTlVBTF9ST0xMJywnKzEnLDQwMTkzLCwsJycp&amp;WINDOW=FIRST_POPUP&amp;HEIGHT=450&amp;WIDTH=450&amp;START_MAXIMIZED=FALSE&amp;VAR:CALENDAR=US&amp;VAR:SYMBOL=38259P50&amp;VAR:INDEX=0"}</definedName>
    <definedName name="_2815__FDSAUDITLINK__">{"fdsup://directions/FAT Viewer?action=UPDATE&amp;creator=factset&amp;DYN_ARGS=TRUE&amp;DOC_NAME=FAT:FQL_AUDITING_CLIENT_TEMPLATE.FAT&amp;display_string=Audit&amp;VAR:KEY=APKZKLWJCD&amp;VAR:QUERY=KFBfUFJJQ0UoNDAxOTIpLShGRl9DQVNIX1NUKFFUUiw0MDE5MikvUF9DT01fU0hTX09VVCg0MDE5MikpKS9GR","V9FU1RJTUFURSgnRVBTJywnTUVBTicsJ0FOTlVBTF9ST0xMJywnKzEnLDQwMTkyLCwsJycp&amp;WINDOW=FIRST_POPUP&amp;HEIGHT=450&amp;WIDTH=450&amp;START_MAXIMIZED=FALSE&amp;VAR:CALENDAR=US&amp;VAR:SYMBOL=38259P50&amp;VAR:INDEX=0"}</definedName>
    <definedName name="_2816__FDSAUDITLINK__">{"fdsup://directions/FAT Viewer?action=UPDATE&amp;creator=factset&amp;DYN_ARGS=TRUE&amp;DOC_NAME=FAT:FQL_AUDITING_CLIENT_TEMPLATE.FAT&amp;display_string=Audit&amp;VAR:KEY=APKZKLWJCD&amp;VAR:QUERY=KFBfUFJJQ0UoNDAxOTIpLShGRl9DQVNIX1NUKFFUUiw0MDE5MikvUF9DT01fU0hTX09VVCg0MDE5MikpKS9GR","V9FU1RJTUFURSgnRVBTJywnTUVBTicsJ0FOTlVBTF9ST0xMJywnKzEnLDQwMTkyLCwsJycp&amp;WINDOW=FIRST_POPUP&amp;HEIGHT=450&amp;WIDTH=450&amp;START_MAXIMIZED=FALSE&amp;VAR:CALENDAR=US&amp;VAR:SYMBOL=38259P50&amp;VAR:INDEX=0"}</definedName>
    <definedName name="_2817__FDSAUDITLINK__">{"fdsup://directions/FAT Viewer?action=UPDATE&amp;creator=factset&amp;DYN_ARGS=TRUE&amp;DOC_NAME=FAT:FQL_AUDITING_CLIENT_TEMPLATE.FAT&amp;display_string=Audit&amp;VAR:KEY=EDMZQRUPYH&amp;VAR:QUERY=KFBfUFJJQ0UoNDAxOTEpLShGRl9DQVNIX1NUKFFUUiw0MDE5MSkvUF9DT01fU0hTX09VVCg0MDE5MSkpKS9GR","V9FU1RJTUFURSgnRVBTJywnTUVBTicsJ0FOTlVBTF9ST0xMJywnKzEnLDQwMTkxLCwsJycp&amp;WINDOW=FIRST_POPUP&amp;HEIGHT=450&amp;WIDTH=450&amp;START_MAXIMIZED=FALSE&amp;VAR:CALENDAR=US&amp;VAR:SYMBOL=38259P50&amp;VAR:INDEX=0"}</definedName>
    <definedName name="_2818__FDSAUDITLINK__">{"fdsup://directions/FAT Viewer?action=UPDATE&amp;creator=factset&amp;DYN_ARGS=TRUE&amp;DOC_NAME=FAT:FQL_AUDITING_CLIENT_TEMPLATE.FAT&amp;display_string=Audit&amp;VAR:KEY=EDMZQRUPYH&amp;VAR:QUERY=KFBfUFJJQ0UoNDAxOTEpLShGRl9DQVNIX1NUKFFUUiw0MDE5MSkvUF9DT01fU0hTX09VVCg0MDE5MSkpKS9GR","V9FU1RJTUFURSgnRVBTJywnTUVBTicsJ0FOTlVBTF9ST0xMJywnKzEnLDQwMTkxLCwsJycp&amp;WINDOW=FIRST_POPUP&amp;HEIGHT=450&amp;WIDTH=450&amp;START_MAXIMIZED=FALSE&amp;VAR:CALENDAR=US&amp;VAR:SYMBOL=38259P50&amp;VAR:INDEX=0"}</definedName>
    <definedName name="_2819__FDSAUDITLINK__">{"fdsup://directions/FAT Viewer?action=UPDATE&amp;creator=factset&amp;DYN_ARGS=TRUE&amp;DOC_NAME=FAT:FQL_AUDITING_CLIENT_TEMPLATE.FAT&amp;display_string=Audit&amp;VAR:KEY=CRYJAVMPIZ&amp;VAR:QUERY=KFBfUFJJQ0UoNDAxOTApLShGRl9DQVNIX1NUKFFUUiw0MDE5MCkvUF9DT01fU0hTX09VVCg0MDE5MCkpKS9GR","V9FU1RJTUFURSgnRVBTJywnTUVBTicsJ0FOTlVBTF9ST0xMJywnKzEnLDQwMTkwLCwsJycp&amp;WINDOW=FIRST_POPUP&amp;HEIGHT=450&amp;WIDTH=450&amp;START_MAXIMIZED=FALSE&amp;VAR:CALENDAR=US&amp;VAR:SYMBOL=38259P50&amp;VAR:INDEX=0"}</definedName>
    <definedName name="_28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247"}</definedName>
    <definedName name="_2820__FDSAUDITLINK__">{"fdsup://directions/FAT Viewer?action=UPDATE&amp;creator=factset&amp;DYN_ARGS=TRUE&amp;DOC_NAME=FAT:FQL_AUDITING_CLIENT_TEMPLATE.FAT&amp;display_string=Audit&amp;VAR:KEY=CRYJAVMPIZ&amp;VAR:QUERY=KFBfUFJJQ0UoNDAxOTApLShGRl9DQVNIX1NUKFFUUiw0MDE5MCkvUF9DT01fU0hTX09VVCg0MDE5MCkpKS9GR","V9FU1RJTUFURSgnRVBTJywnTUVBTicsJ0FOTlVBTF9ST0xMJywnKzEnLDQwMTkwLCwsJycp&amp;WINDOW=FIRST_POPUP&amp;HEIGHT=450&amp;WIDTH=450&amp;START_MAXIMIZED=FALSE&amp;VAR:CALENDAR=US&amp;VAR:SYMBOL=38259P50&amp;VAR:INDEX=0"}</definedName>
    <definedName name="_2821__FDSAUDITLINK__">{"fdsup://directions/FAT Viewer?action=UPDATE&amp;creator=factset&amp;DYN_ARGS=TRUE&amp;DOC_NAME=FAT:FQL_AUDITING_CLIENT_TEMPLATE.FAT&amp;display_string=Audit&amp;VAR:KEY=ENUXARCDQV&amp;VAR:QUERY=KFBfUFJJQ0UoNDAxODkpLShGRl9DQVNIX1NUKFFUUiw0MDE4OSkvUF9DT01fU0hTX09VVCg0MDE4OSkpKS9GR","V9FU1RJTUFURSgnRVBTJywnTUVBTicsJ0FOTlVBTF9ST0xMJywnKzEnLDQwMTg5LCwsJycp&amp;WINDOW=FIRST_POPUP&amp;HEIGHT=450&amp;WIDTH=450&amp;START_MAXIMIZED=FALSE&amp;VAR:CALENDAR=US&amp;VAR:SYMBOL=38259P50&amp;VAR:INDEX=0"}</definedName>
    <definedName name="_2822__FDSAUDITLINK__">{"fdsup://directions/FAT Viewer?action=UPDATE&amp;creator=factset&amp;DYN_ARGS=TRUE&amp;DOC_NAME=FAT:FQL_AUDITING_CLIENT_TEMPLATE.FAT&amp;display_string=Audit&amp;VAR:KEY=ENUXARCDQV&amp;VAR:QUERY=KFBfUFJJQ0UoNDAxODkpLShGRl9DQVNIX1NUKFFUUiw0MDE4OSkvUF9DT01fU0hTX09VVCg0MDE4OSkpKS9GR","V9FU1RJTUFURSgnRVBTJywnTUVBTicsJ0FOTlVBTF9ST0xMJywnKzEnLDQwMTg5LCwsJycp&amp;WINDOW=FIRST_POPUP&amp;HEIGHT=450&amp;WIDTH=450&amp;START_MAXIMIZED=FALSE&amp;VAR:CALENDAR=US&amp;VAR:SYMBOL=38259P50&amp;VAR:INDEX=0"}</definedName>
    <definedName name="_2823__FDSAUDITLINK__">{"fdsup://directions/FAT Viewer?action=UPDATE&amp;creator=factset&amp;DYN_ARGS=TRUE&amp;DOC_NAME=FAT:FQL_AUDITING_CLIENT_TEMPLATE.FAT&amp;display_string=Audit&amp;VAR:KEY=UBAPCTERMH&amp;VAR:QUERY=KFBfUFJJQ0UoNDAxODgpLShGRl9DQVNIX1NUKFFUUiw0MDE4OCkvUF9DT01fU0hTX09VVCg0MDE4OCkpKS9GR","V9FU1RJTUFURSgnRVBTJywnTUVBTicsJ0FOTlVBTF9ST0xMJywnKzEnLDQwMTg4LCwsJycp&amp;WINDOW=FIRST_POPUP&amp;HEIGHT=450&amp;WIDTH=450&amp;START_MAXIMIZED=FALSE&amp;VAR:CALENDAR=US&amp;VAR:SYMBOL=38259P50&amp;VAR:INDEX=0"}</definedName>
    <definedName name="_2824__FDSAUDITLINK__">{"fdsup://directions/FAT Viewer?action=UPDATE&amp;creator=factset&amp;DYN_ARGS=TRUE&amp;DOC_NAME=FAT:FQL_AUDITING_CLIENT_TEMPLATE.FAT&amp;display_string=Audit&amp;VAR:KEY=UBAPCTERMH&amp;VAR:QUERY=KFBfUFJJQ0UoNDAxODgpLShGRl9DQVNIX1NUKFFUUiw0MDE4OCkvUF9DT01fU0hTX09VVCg0MDE4OCkpKS9GR","V9FU1RJTUFURSgnRVBTJywnTUVBTicsJ0FOTlVBTF9ST0xMJywnKzEnLDQwMTg4LCwsJycp&amp;WINDOW=FIRST_POPUP&amp;HEIGHT=450&amp;WIDTH=450&amp;START_MAXIMIZED=FALSE&amp;VAR:CALENDAR=US&amp;VAR:SYMBOL=38259P50&amp;VAR:INDEX=0"}</definedName>
    <definedName name="_2825__FDSAUDITLINK__">{"fdsup://directions/FAT Viewer?action=UPDATE&amp;creator=factset&amp;DYN_ARGS=TRUE&amp;DOC_NAME=FAT:FQL_AUDITING_CLIENT_TEMPLATE.FAT&amp;display_string=Audit&amp;VAR:KEY=IJWRUBUPGD&amp;VAR:QUERY=KFBfUFJJQ0UoNDAxODcpLShGRl9DQVNIX1NUKFFUUiw0MDE4NykvUF9DT01fU0hTX09VVCg0MDE4NykpKS9GR","V9FU1RJTUFURSgnRVBTJywnTUVBTicsJ0FOTlVBTF9ST0xMJywnKzEnLDQwMTg3LCwsJycp&amp;WINDOW=FIRST_POPUP&amp;HEIGHT=450&amp;WIDTH=450&amp;START_MAXIMIZED=FALSE&amp;VAR:CALENDAR=US&amp;VAR:SYMBOL=38259P50&amp;VAR:INDEX=0"}</definedName>
    <definedName name="_2826__FDSAUDITLINK__">{"fdsup://directions/FAT Viewer?action=UPDATE&amp;creator=factset&amp;DYN_ARGS=TRUE&amp;DOC_NAME=FAT:FQL_AUDITING_CLIENT_TEMPLATE.FAT&amp;display_string=Audit&amp;VAR:KEY=IJWRUBUPGD&amp;VAR:QUERY=KFBfUFJJQ0UoNDAxODcpLShGRl9DQVNIX1NUKFFUUiw0MDE4NykvUF9DT01fU0hTX09VVCg0MDE4NykpKS9GR","V9FU1RJTUFURSgnRVBTJywnTUVBTicsJ0FOTlVBTF9ST0xMJywnKzEnLDQwMTg3LCwsJycp&amp;WINDOW=FIRST_POPUP&amp;HEIGHT=450&amp;WIDTH=450&amp;START_MAXIMIZED=FALSE&amp;VAR:CALENDAR=US&amp;VAR:SYMBOL=38259P50&amp;VAR:INDEX=0"}</definedName>
    <definedName name="_2827__FDSAUDITLINK__">{"fdsup://directions/FAT Viewer?action=UPDATE&amp;creator=factset&amp;DYN_ARGS=TRUE&amp;DOC_NAME=FAT:FQL_AUDITING_CLIENT_TEMPLATE.FAT&amp;display_string=Audit&amp;VAR:KEY=ARCTWDCZQD&amp;VAR:QUERY=KFBfUFJJQ0UoNDAxODYpLShGRl9DQVNIX1NUKFFUUiw0MDE4NikvUF9DT01fU0hTX09VVCg0MDE4NikpKS9GR","V9FU1RJTUFURSgnRVBTJywnTUVBTicsJ0FOTlVBTF9ST0xMJywnKzEnLDQwMTg2LCwsJycp&amp;WINDOW=FIRST_POPUP&amp;HEIGHT=450&amp;WIDTH=450&amp;START_MAXIMIZED=FALSE&amp;VAR:CALENDAR=US&amp;VAR:SYMBOL=38259P50&amp;VAR:INDEX=0"}</definedName>
    <definedName name="_2828__FDSAUDITLINK__">{"fdsup://directions/FAT Viewer?action=UPDATE&amp;creator=factset&amp;DYN_ARGS=TRUE&amp;DOC_NAME=FAT:FQL_AUDITING_CLIENT_TEMPLATE.FAT&amp;display_string=Audit&amp;VAR:KEY=ARCTWDCZQD&amp;VAR:QUERY=KFBfUFJJQ0UoNDAxODYpLShGRl9DQVNIX1NUKFFUUiw0MDE4NikvUF9DT01fU0hTX09VVCg0MDE4NikpKS9GR","V9FU1RJTUFURSgnRVBTJywnTUVBTicsJ0FOTlVBTF9ST0xMJywnKzEnLDQwMTg2LCwsJycp&amp;WINDOW=FIRST_POPUP&amp;HEIGHT=450&amp;WIDTH=450&amp;START_MAXIMIZED=FALSE&amp;VAR:CALENDAR=US&amp;VAR:SYMBOL=38259P50&amp;VAR:INDEX=0"}</definedName>
    <definedName name="_2829__FDSAUDITLINK__">{"fdsup://directions/FAT Viewer?action=UPDATE&amp;creator=factset&amp;DYN_ARGS=TRUE&amp;DOC_NAME=FAT:FQL_AUDITING_CLIENT_TEMPLATE.FAT&amp;display_string=Audit&amp;VAR:KEY=YBSPWRWFQF&amp;VAR:QUERY=KFBfUFJJQ0UoNDAxODUpLShGRl9DQVNIX1NUKFFUUiw0MDE4NSkvUF9DT01fU0hTX09VVCg0MDE4NSkpKS9GR","V9FU1RJTUFURSgnRVBTJywnTUVBTicsJ0FOTlVBTF9ST0xMJywnKzEnLDQwMTg1LCwsJycp&amp;WINDOW=FIRST_POPUP&amp;HEIGHT=450&amp;WIDTH=450&amp;START_MAXIMIZED=FALSE&amp;VAR:CALENDAR=US&amp;VAR:SYMBOL=38259P50&amp;VAR:INDEX=0"}</definedName>
    <definedName name="_28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246"}</definedName>
    <definedName name="_2830__FDSAUDITLINK__">{"fdsup://directions/FAT Viewer?action=UPDATE&amp;creator=factset&amp;DYN_ARGS=TRUE&amp;DOC_NAME=FAT:FQL_AUDITING_CLIENT_TEMPLATE.FAT&amp;display_string=Audit&amp;VAR:KEY=YBSPWRWFQF&amp;VAR:QUERY=KFBfUFJJQ0UoNDAxODUpLShGRl9DQVNIX1NUKFFUUiw0MDE4NSkvUF9DT01fU0hTX09VVCg0MDE4NSkpKS9GR","V9FU1RJTUFURSgnRVBTJywnTUVBTicsJ0FOTlVBTF9ST0xMJywnKzEnLDQwMTg1LCwsJycp&amp;WINDOW=FIRST_POPUP&amp;HEIGHT=450&amp;WIDTH=450&amp;START_MAXIMIZED=FALSE&amp;VAR:CALENDAR=US&amp;VAR:SYMBOL=38259P50&amp;VAR:INDEX=0"}</definedName>
    <definedName name="_2831__FDSAUDITLINK__">{"fdsup://directions/FAT Viewer?action=UPDATE&amp;creator=factset&amp;DYN_ARGS=TRUE&amp;DOC_NAME=FAT:FQL_AUDITING_CLIENT_TEMPLATE.FAT&amp;display_string=Audit&amp;VAR:KEY=CXGBMVITWT&amp;VAR:QUERY=KFBfUFJJQ0UoNDAxODQpLShGRl9DQVNIX1NUKFFUUiw0MDE4NCkvUF9DT01fU0hTX09VVCg0MDE4NCkpKS9GR","V9FU1RJTUFURSgnRVBTJywnTUVBTicsJ0FOTlVBTF9ST0xMJywnKzEnLDQwMTg0LCwsJycp&amp;WINDOW=FIRST_POPUP&amp;HEIGHT=450&amp;WIDTH=450&amp;START_MAXIMIZED=FALSE&amp;VAR:CALENDAR=US&amp;VAR:SYMBOL=38259P50&amp;VAR:INDEX=0"}</definedName>
    <definedName name="_2832__FDSAUDITLINK__">{"fdsup://directions/FAT Viewer?action=UPDATE&amp;creator=factset&amp;DYN_ARGS=TRUE&amp;DOC_NAME=FAT:FQL_AUDITING_CLIENT_TEMPLATE.FAT&amp;display_string=Audit&amp;VAR:KEY=CXGBMVITWT&amp;VAR:QUERY=KFBfUFJJQ0UoNDAxODQpLShGRl9DQVNIX1NUKFFUUiw0MDE4NCkvUF9DT01fU0hTX09VVCg0MDE4NCkpKS9GR","V9FU1RJTUFURSgnRVBTJywnTUVBTicsJ0FOTlVBTF9ST0xMJywnKzEnLDQwMTg0LCwsJycp&amp;WINDOW=FIRST_POPUP&amp;HEIGHT=450&amp;WIDTH=450&amp;START_MAXIMIZED=FALSE&amp;VAR:CALENDAR=US&amp;VAR:SYMBOL=38259P50&amp;VAR:INDEX=0"}</definedName>
    <definedName name="_2833__FDSAUDITLINK__">{"fdsup://directions/FAT Viewer?action=UPDATE&amp;creator=factset&amp;DYN_ARGS=TRUE&amp;DOC_NAME=FAT:FQL_AUDITING_CLIENT_TEMPLATE.FAT&amp;display_string=Audit&amp;VAR:KEY=OTCZWDYFQR&amp;VAR:QUERY=KFBfUFJJQ0UoNDAxODMpLShGRl9DQVNIX1NUKFFUUiw0MDE4MykvUF9DT01fU0hTX09VVCg0MDE4MykpKS9GR","V9FU1RJTUFURSgnRVBTJywnTUVBTicsJ0FOTlVBTF9ST0xMJywnKzEnLDQwMTgzLCwsJycp&amp;WINDOW=FIRST_POPUP&amp;HEIGHT=450&amp;WIDTH=450&amp;START_MAXIMIZED=FALSE&amp;VAR:CALENDAR=US&amp;VAR:SYMBOL=38259P50&amp;VAR:INDEX=0"}</definedName>
    <definedName name="_2834__FDSAUDITLINK__">{"fdsup://directions/FAT Viewer?action=UPDATE&amp;creator=factset&amp;DYN_ARGS=TRUE&amp;DOC_NAME=FAT:FQL_AUDITING_CLIENT_TEMPLATE.FAT&amp;display_string=Audit&amp;VAR:KEY=OTCZWDYFQR&amp;VAR:QUERY=KFBfUFJJQ0UoNDAxODMpLShGRl9DQVNIX1NUKFFUUiw0MDE4MykvUF9DT01fU0hTX09VVCg0MDE4MykpKS9GR","V9FU1RJTUFURSgnRVBTJywnTUVBTicsJ0FOTlVBTF9ST0xMJywnKzEnLDQwMTgzLCwsJycp&amp;WINDOW=FIRST_POPUP&amp;HEIGHT=450&amp;WIDTH=450&amp;START_MAXIMIZED=FALSE&amp;VAR:CALENDAR=US&amp;VAR:SYMBOL=38259P50&amp;VAR:INDEX=0"}</definedName>
    <definedName name="_2835__FDSAUDITLINK__">{"fdsup://directions/FAT Viewer?action=UPDATE&amp;creator=factset&amp;DYN_ARGS=TRUE&amp;DOC_NAME=FAT:FQL_AUDITING_CLIENT_TEMPLATE.FAT&amp;display_string=Audit&amp;VAR:KEY=QVMJILWTSF&amp;VAR:QUERY=KFBfUFJJQ0UoNDAxODIpLShGRl9DQVNIX1NUKFFUUiw0MDE4MikvUF9DT01fU0hTX09VVCg0MDE4MikpKS9GR","V9FU1RJTUFURSgnRVBTJywnTUVBTicsJ0FOTlVBTF9ST0xMJywnKzEnLDQwMTgyLCwsJycp&amp;WINDOW=FIRST_POPUP&amp;HEIGHT=450&amp;WIDTH=450&amp;START_MAXIMIZED=FALSE&amp;VAR:CALENDAR=US&amp;VAR:SYMBOL=38259P50&amp;VAR:INDEX=0"}</definedName>
    <definedName name="_2836__FDSAUDITLINK__">{"fdsup://directions/FAT Viewer?action=UPDATE&amp;creator=factset&amp;DYN_ARGS=TRUE&amp;DOC_NAME=FAT:FQL_AUDITING_CLIENT_TEMPLATE.FAT&amp;display_string=Audit&amp;VAR:KEY=QVMJILWTSF&amp;VAR:QUERY=KFBfUFJJQ0UoNDAxODIpLShGRl9DQVNIX1NUKFFUUiw0MDE4MikvUF9DT01fU0hTX09VVCg0MDE4MikpKS9GR","V9FU1RJTUFURSgnRVBTJywnTUVBTicsJ0FOTlVBTF9ST0xMJywnKzEnLDQwMTgyLCwsJycp&amp;WINDOW=FIRST_POPUP&amp;HEIGHT=450&amp;WIDTH=450&amp;START_MAXIMIZED=FALSE&amp;VAR:CALENDAR=US&amp;VAR:SYMBOL=38259P50&amp;VAR:INDEX=0"}</definedName>
    <definedName name="_2837__FDSAUDITLINK__">{"fdsup://directions/FAT Viewer?action=UPDATE&amp;creator=factset&amp;DYN_ARGS=TRUE&amp;DOC_NAME=FAT:FQL_AUDITING_CLIENT_TEMPLATE.FAT&amp;display_string=Audit&amp;VAR:KEY=MBIVQRGBUZ&amp;VAR:QUERY=KFBfUFJJQ0UoNDAxODEpLShGRl9DQVNIX1NUKFFUUiw0MDE4MSkvUF9DT01fU0hTX09VVCg0MDE4MSkpKS9GR","V9FU1RJTUFURSgnRVBTJywnTUVBTicsJ0FOTlVBTF9ST0xMJywnKzEnLDQwMTgxLCwsJycp&amp;WINDOW=FIRST_POPUP&amp;HEIGHT=450&amp;WIDTH=450&amp;START_MAXIMIZED=FALSE&amp;VAR:CALENDAR=US&amp;VAR:SYMBOL=38259P50&amp;VAR:INDEX=0"}</definedName>
    <definedName name="_2838__FDSAUDITLINK__">{"fdsup://directions/FAT Viewer?action=UPDATE&amp;creator=factset&amp;DYN_ARGS=TRUE&amp;DOC_NAME=FAT:FQL_AUDITING_CLIENT_TEMPLATE.FAT&amp;display_string=Audit&amp;VAR:KEY=MBIVQRGBUZ&amp;VAR:QUERY=KFBfUFJJQ0UoNDAxODEpLShGRl9DQVNIX1NUKFFUUiw0MDE4MSkvUF9DT01fU0hTX09VVCg0MDE4MSkpKS9GR","V9FU1RJTUFURSgnRVBTJywnTUVBTicsJ0FOTlVBTF9ST0xMJywnKzEnLDQwMTgxLCwsJycp&amp;WINDOW=FIRST_POPUP&amp;HEIGHT=450&amp;WIDTH=450&amp;START_MAXIMIZED=FALSE&amp;VAR:CALENDAR=US&amp;VAR:SYMBOL=38259P50&amp;VAR:INDEX=0"}</definedName>
    <definedName name="_2839__FDSAUDITLINK__">{"fdsup://directions/FAT Viewer?action=UPDATE&amp;creator=factset&amp;DYN_ARGS=TRUE&amp;DOC_NAME=FAT:FQL_AUDITING_CLIENT_TEMPLATE.FAT&amp;display_string=Audit&amp;VAR:KEY=AFIFMTCXKT&amp;VAR:QUERY=KFBfUFJJQ0UoNDAxODApLShGRl9DQVNIX1NUKFFUUiw0MDE4MCkvUF9DT01fU0hTX09VVCg0MDE4MCkpKS9GR","V9FU1RJTUFURSgnRVBTJywnTUVBTicsJ0FOTlVBTF9ST0xMJywnKzEnLDQwMTgwLCwsJycp&amp;WINDOW=FIRST_POPUP&amp;HEIGHT=450&amp;WIDTH=450&amp;START_MAXIMIZED=FALSE&amp;VAR:CALENDAR=US&amp;VAR:SYMBOL=38259P50&amp;VAR:INDEX=0"}</definedName>
    <definedName name="_28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245"}</definedName>
    <definedName name="_2840__FDSAUDITLINK__">{"fdsup://directions/FAT Viewer?action=UPDATE&amp;creator=factset&amp;DYN_ARGS=TRUE&amp;DOC_NAME=FAT:FQL_AUDITING_CLIENT_TEMPLATE.FAT&amp;display_string=Audit&amp;VAR:KEY=AFIFMTCXKT&amp;VAR:QUERY=KFBfUFJJQ0UoNDAxODApLShGRl9DQVNIX1NUKFFUUiw0MDE4MCkvUF9DT01fU0hTX09VVCg0MDE4MCkpKS9GR","V9FU1RJTUFURSgnRVBTJywnTUVBTicsJ0FOTlVBTF9ST0xMJywnKzEnLDQwMTgwLCwsJycp&amp;WINDOW=FIRST_POPUP&amp;HEIGHT=450&amp;WIDTH=450&amp;START_MAXIMIZED=FALSE&amp;VAR:CALENDAR=US&amp;VAR:SYMBOL=38259P50&amp;VAR:INDEX=0"}</definedName>
    <definedName name="_2841__FDSAUDITLINK__">{"fdsup://directions/FAT Viewer?action=UPDATE&amp;creator=factset&amp;DYN_ARGS=TRUE&amp;DOC_NAME=FAT:FQL_AUDITING_CLIENT_TEMPLATE.FAT&amp;display_string=Audit&amp;VAR:KEY=UDIVIVIBKD&amp;VAR:QUERY=KFBfUFJJQ0UoNDAxNzkpLShGRl9DQVNIX1NUKFFUUiw0MDE3OSkvUF9DT01fU0hTX09VVCg0MDE3OSkpKS9GR","V9FU1RJTUFURSgnRVBTJywnTUVBTicsJ0FOTlVBTF9ST0xMJywnKzEnLDQwMTc5LCwsJycp&amp;WINDOW=FIRST_POPUP&amp;HEIGHT=450&amp;WIDTH=450&amp;START_MAXIMIZED=FALSE&amp;VAR:CALENDAR=US&amp;VAR:SYMBOL=38259P50&amp;VAR:INDEX=0"}</definedName>
    <definedName name="_2842__FDSAUDITLINK__">{"fdsup://directions/FAT Viewer?action=UPDATE&amp;creator=factset&amp;DYN_ARGS=TRUE&amp;DOC_NAME=FAT:FQL_AUDITING_CLIENT_TEMPLATE.FAT&amp;display_string=Audit&amp;VAR:KEY=UDIVIVIBKD&amp;VAR:QUERY=KFBfUFJJQ0UoNDAxNzkpLShGRl9DQVNIX1NUKFFUUiw0MDE3OSkvUF9DT01fU0hTX09VVCg0MDE3OSkpKS9GR","V9FU1RJTUFURSgnRVBTJywnTUVBTicsJ0FOTlVBTF9ST0xMJywnKzEnLDQwMTc5LCwsJycp&amp;WINDOW=FIRST_POPUP&amp;HEIGHT=450&amp;WIDTH=450&amp;START_MAXIMIZED=FALSE&amp;VAR:CALENDAR=US&amp;VAR:SYMBOL=38259P50&amp;VAR:INDEX=0"}</definedName>
    <definedName name="_2843__FDSAUDITLINK__">{"fdsup://directions/FAT Viewer?action=UPDATE&amp;creator=factset&amp;DYN_ARGS=TRUE&amp;DOC_NAME=FAT:FQL_AUDITING_CLIENT_TEMPLATE.FAT&amp;display_string=Audit&amp;VAR:KEY=GZMNMPEBKP&amp;VAR:QUERY=KFBfUFJJQ0UoNDAxNzgpLShGRl9DQVNIX1NUKFFUUiw0MDE3OCkvUF9DT01fU0hTX09VVCg0MDE3OCkpKS9GR","V9FU1RJTUFURSgnRVBTJywnTUVBTicsJ0FOTlVBTF9ST0xMJywnKzEnLDQwMTc4LCwsJycp&amp;WINDOW=FIRST_POPUP&amp;HEIGHT=450&amp;WIDTH=450&amp;START_MAXIMIZED=FALSE&amp;VAR:CALENDAR=US&amp;VAR:SYMBOL=38259P50&amp;VAR:INDEX=0"}</definedName>
    <definedName name="_2844__FDSAUDITLINK__">{"fdsup://directions/FAT Viewer?action=UPDATE&amp;creator=factset&amp;DYN_ARGS=TRUE&amp;DOC_NAME=FAT:FQL_AUDITING_CLIENT_TEMPLATE.FAT&amp;display_string=Audit&amp;VAR:KEY=GZMNMPEBKP&amp;VAR:QUERY=KFBfUFJJQ0UoNDAxNzgpLShGRl9DQVNIX1NUKFFUUiw0MDE3OCkvUF9DT01fU0hTX09VVCg0MDE3OCkpKS9GR","V9FU1RJTUFURSgnRVBTJywnTUVBTicsJ0FOTlVBTF9ST0xMJywnKzEnLDQwMTc4LCwsJycp&amp;WINDOW=FIRST_POPUP&amp;HEIGHT=450&amp;WIDTH=450&amp;START_MAXIMIZED=FALSE&amp;VAR:CALENDAR=US&amp;VAR:SYMBOL=38259P50&amp;VAR:INDEX=0"}</definedName>
    <definedName name="_2845__FDSAUDITLINK__">{"fdsup://directions/FAT Viewer?action=UPDATE&amp;creator=factset&amp;DYN_ARGS=TRUE&amp;DOC_NAME=FAT:FQL_AUDITING_CLIENT_TEMPLATE.FAT&amp;display_string=Audit&amp;VAR:KEY=ODQZINERYJ&amp;VAR:QUERY=KFBfUFJJQ0UoNDAxNzcpLShGRl9DQVNIX1NUKFFUUiw0MDE3NykvUF9DT01fU0hTX09VVCg0MDE3NykpKS9GR","V9FU1RJTUFURSgnRVBTJywnTUVBTicsJ0FOTlVBTF9ST0xMJywnKzEnLDQwMTc3LCwsJycp&amp;WINDOW=FIRST_POPUP&amp;HEIGHT=450&amp;WIDTH=450&amp;START_MAXIMIZED=FALSE&amp;VAR:CALENDAR=US&amp;VAR:SYMBOL=38259P50&amp;VAR:INDEX=0"}</definedName>
    <definedName name="_2846__FDSAUDITLINK__">{"fdsup://directions/FAT Viewer?action=UPDATE&amp;creator=factset&amp;DYN_ARGS=TRUE&amp;DOC_NAME=FAT:FQL_AUDITING_CLIENT_TEMPLATE.FAT&amp;display_string=Audit&amp;VAR:KEY=ODQZINERYJ&amp;VAR:QUERY=KFBfUFJJQ0UoNDAxNzcpLShGRl9DQVNIX1NUKFFUUiw0MDE3NykvUF9DT01fU0hTX09VVCg0MDE3NykpKS9GR","V9FU1RJTUFURSgnRVBTJywnTUVBTicsJ0FOTlVBTF9ST0xMJywnKzEnLDQwMTc3LCwsJycp&amp;WINDOW=FIRST_POPUP&amp;HEIGHT=450&amp;WIDTH=450&amp;START_MAXIMIZED=FALSE&amp;VAR:CALENDAR=US&amp;VAR:SYMBOL=38259P50&amp;VAR:INDEX=0"}</definedName>
    <definedName name="_2847__FDSAUDITLINK__">{"fdsup://directions/FAT Viewer?action=UPDATE&amp;creator=factset&amp;DYN_ARGS=TRUE&amp;DOC_NAME=FAT:FQL_AUDITING_CLIENT_TEMPLATE.FAT&amp;display_string=Audit&amp;VAR:KEY=OFELUHQRIH&amp;VAR:QUERY=KFBfUFJJQ0UoNDAxNzYpLShGRl9DQVNIX1NUKFFUUiw0MDE3NikvUF9DT01fU0hTX09VVCg0MDE3NikpKS9GR","V9FU1RJTUFURSgnRVBTJywnTUVBTicsJ0FOTlVBTF9ST0xMJywnKzEnLDQwMTc2LCwsJycp&amp;WINDOW=FIRST_POPUP&amp;HEIGHT=450&amp;WIDTH=450&amp;START_MAXIMIZED=FALSE&amp;VAR:CALENDAR=US&amp;VAR:SYMBOL=38259P50&amp;VAR:INDEX=0"}</definedName>
    <definedName name="_2848__FDSAUDITLINK__">{"fdsup://directions/FAT Viewer?action=UPDATE&amp;creator=factset&amp;DYN_ARGS=TRUE&amp;DOC_NAME=FAT:FQL_AUDITING_CLIENT_TEMPLATE.FAT&amp;display_string=Audit&amp;VAR:KEY=OFELUHQRIH&amp;VAR:QUERY=KFBfUFJJQ0UoNDAxNzYpLShGRl9DQVNIX1NUKFFUUiw0MDE3NikvUF9DT01fU0hTX09VVCg0MDE3NikpKS9GR","V9FU1RJTUFURSgnRVBTJywnTUVBTicsJ0FOTlVBTF9ST0xMJywnKzEnLDQwMTc2LCwsJycp&amp;WINDOW=FIRST_POPUP&amp;HEIGHT=450&amp;WIDTH=450&amp;START_MAXIMIZED=FALSE&amp;VAR:CALENDAR=US&amp;VAR:SYMBOL=38259P50&amp;VAR:INDEX=0"}</definedName>
    <definedName name="_2849__FDSAUDITLINK__">{"fdsup://directions/FAT Viewer?action=UPDATE&amp;creator=factset&amp;DYN_ARGS=TRUE&amp;DOC_NAME=FAT:FQL_AUDITING_CLIENT_TEMPLATE.FAT&amp;display_string=Audit&amp;VAR:KEY=MVYBYZCRUV&amp;VAR:QUERY=KFBfUFJJQ0UoNDAxNzUpLShGRl9DQVNIX1NUKFFUUiw0MDE3NSkvUF9DT01fU0hTX09VVCg0MDE3NSkpKS9GR","V9FU1RJTUFURSgnRVBTJywnTUVBTicsJ0FOTlVBTF9ST0xMJywnKzEnLDQwMTc1LCwsJycp&amp;WINDOW=FIRST_POPUP&amp;HEIGHT=450&amp;WIDTH=450&amp;START_MAXIMIZED=FALSE&amp;VAR:CALENDAR=US&amp;VAR:SYMBOL=38259P50&amp;VAR:INDEX=0"}</definedName>
    <definedName name="_28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244"}</definedName>
    <definedName name="_2850__FDSAUDITLINK__">{"fdsup://directions/FAT Viewer?action=UPDATE&amp;creator=factset&amp;DYN_ARGS=TRUE&amp;DOC_NAME=FAT:FQL_AUDITING_CLIENT_TEMPLATE.FAT&amp;display_string=Audit&amp;VAR:KEY=MVYBYZCRUV&amp;VAR:QUERY=KFBfUFJJQ0UoNDAxNzUpLShGRl9DQVNIX1NUKFFUUiw0MDE3NSkvUF9DT01fU0hTX09VVCg0MDE3NSkpKS9GR","V9FU1RJTUFURSgnRVBTJywnTUVBTicsJ0FOTlVBTF9ST0xMJywnKzEnLDQwMTc1LCwsJycp&amp;WINDOW=FIRST_POPUP&amp;HEIGHT=450&amp;WIDTH=450&amp;START_MAXIMIZED=FALSE&amp;VAR:CALENDAR=US&amp;VAR:SYMBOL=38259P50&amp;VAR:INDEX=0"}</definedName>
    <definedName name="_2851__FDSAUDITLINK__">{"fdsup://directions/FAT Viewer?action=UPDATE&amp;creator=factset&amp;DYN_ARGS=TRUE&amp;DOC_NAME=FAT:FQL_AUDITING_CLIENT_TEMPLATE.FAT&amp;display_string=Audit&amp;VAR:KEY=UDAVEDWVUR&amp;VAR:QUERY=KFBfUFJJQ0UoNDAxNzQpLShGRl9DQVNIX1NUKFFUUiw0MDE3NCkvUF9DT01fU0hTX09VVCg0MDE3NCkpKS9GR","V9FU1RJTUFURSgnRVBTJywnTUVBTicsJ0FOTlVBTF9ST0xMJywnKzEnLDQwMTc0LCwsJycp&amp;WINDOW=FIRST_POPUP&amp;HEIGHT=450&amp;WIDTH=450&amp;START_MAXIMIZED=FALSE&amp;VAR:CALENDAR=US&amp;VAR:SYMBOL=38259P50&amp;VAR:INDEX=0"}</definedName>
    <definedName name="_2852__FDSAUDITLINK__">{"fdsup://directions/FAT Viewer?action=UPDATE&amp;creator=factset&amp;DYN_ARGS=TRUE&amp;DOC_NAME=FAT:FQL_AUDITING_CLIENT_TEMPLATE.FAT&amp;display_string=Audit&amp;VAR:KEY=UDAVEDWVUR&amp;VAR:QUERY=KFBfUFJJQ0UoNDAxNzQpLShGRl9DQVNIX1NUKFFUUiw0MDE3NCkvUF9DT01fU0hTX09VVCg0MDE3NCkpKS9GR","V9FU1RJTUFURSgnRVBTJywnTUVBTicsJ0FOTlVBTF9ST0xMJywnKzEnLDQwMTc0LCwsJycp&amp;WINDOW=FIRST_POPUP&amp;HEIGHT=450&amp;WIDTH=450&amp;START_MAXIMIZED=FALSE&amp;VAR:CALENDAR=US&amp;VAR:SYMBOL=38259P50&amp;VAR:INDEX=0"}</definedName>
    <definedName name="_2853__FDSAUDITLINK__">{"fdsup://directions/FAT Viewer?action=UPDATE&amp;creator=factset&amp;DYN_ARGS=TRUE&amp;DOC_NAME=FAT:FQL_AUDITING_CLIENT_TEMPLATE.FAT&amp;display_string=Audit&amp;VAR:KEY=SHETUHKTYJ&amp;VAR:QUERY=KFBfUFJJQ0UoNDAxNzMpLShGRl9DQVNIX1NUKFFUUiw0MDE3MykvUF9DT01fU0hTX09VVCg0MDE3MykpKS9GR","V9FU1RJTUFURSgnRVBTJywnTUVBTicsJ0FOTlVBTF9ST0xMJywnKzEnLDQwMTczLCwsJycp&amp;WINDOW=FIRST_POPUP&amp;HEIGHT=450&amp;WIDTH=450&amp;START_MAXIMIZED=FALSE&amp;VAR:CALENDAR=US&amp;VAR:SYMBOL=38259P50&amp;VAR:INDEX=0"}</definedName>
    <definedName name="_2854__FDSAUDITLINK__">{"fdsup://directions/FAT Viewer?action=UPDATE&amp;creator=factset&amp;DYN_ARGS=TRUE&amp;DOC_NAME=FAT:FQL_AUDITING_CLIENT_TEMPLATE.FAT&amp;display_string=Audit&amp;VAR:KEY=SHETUHKTYJ&amp;VAR:QUERY=KFBfUFJJQ0UoNDAxNzMpLShGRl9DQVNIX1NUKFFUUiw0MDE3MykvUF9DT01fU0hTX09VVCg0MDE3MykpKS9GR","V9FU1RJTUFURSgnRVBTJywnTUVBTicsJ0FOTlVBTF9ST0xMJywnKzEnLDQwMTczLCwsJycp&amp;WINDOW=FIRST_POPUP&amp;HEIGHT=450&amp;WIDTH=450&amp;START_MAXIMIZED=FALSE&amp;VAR:CALENDAR=US&amp;VAR:SYMBOL=38259P50&amp;VAR:INDEX=0"}</definedName>
    <definedName name="_2855__FDSAUDITLINK__">{"fdsup://directions/FAT Viewer?action=UPDATE&amp;creator=factset&amp;DYN_ARGS=TRUE&amp;DOC_NAME=FAT:FQL_AUDITING_CLIENT_TEMPLATE.FAT&amp;display_string=Audit&amp;VAR:KEY=QXCRAZSLQF&amp;VAR:QUERY=KFBfUFJJQ0UoNDAxNzIpLShGRl9DQVNIX1NUKFFUUiw0MDE3MikvUF9DT01fU0hTX09VVCg0MDE3MikpKS9GR","V9FU1RJTUFURSgnRVBTJywnTUVBTicsJ0FOTlVBTF9ST0xMJywnKzEnLDQwMTcyLCwsJycp&amp;WINDOW=FIRST_POPUP&amp;HEIGHT=450&amp;WIDTH=450&amp;START_MAXIMIZED=FALSE&amp;VAR:CALENDAR=US&amp;VAR:SYMBOL=38259P50&amp;VAR:INDEX=0"}</definedName>
    <definedName name="_2856__FDSAUDITLINK__">{"fdsup://directions/FAT Viewer?action=UPDATE&amp;creator=factset&amp;DYN_ARGS=TRUE&amp;DOC_NAME=FAT:FQL_AUDITING_CLIENT_TEMPLATE.FAT&amp;display_string=Audit&amp;VAR:KEY=QXCRAZSLQF&amp;VAR:QUERY=KFBfUFJJQ0UoNDAxNzIpLShGRl9DQVNIX1NUKFFUUiw0MDE3MikvUF9DT01fU0hTX09VVCg0MDE3MikpKS9GR","V9FU1RJTUFURSgnRVBTJywnTUVBTicsJ0FOTlVBTF9ST0xMJywnKzEnLDQwMTcyLCwsJycp&amp;WINDOW=FIRST_POPUP&amp;HEIGHT=450&amp;WIDTH=450&amp;START_MAXIMIZED=FALSE&amp;VAR:CALENDAR=US&amp;VAR:SYMBOL=38259P50&amp;VAR:INDEX=0"}</definedName>
    <definedName name="_2857__FDSAUDITLINK__">{"fdsup://directions/FAT Viewer?action=UPDATE&amp;creator=factset&amp;DYN_ARGS=TRUE&amp;DOC_NAME=FAT:FQL_AUDITING_CLIENT_TEMPLATE.FAT&amp;display_string=Audit&amp;VAR:KEY=OJIRAXGPOX&amp;VAR:QUERY=KFBfUFJJQ0UoNDAxNzEpLShGRl9DQVNIX1NUKFFUUiw0MDE3MSkvUF9DT01fU0hTX09VVCg0MDE3MSkpKS9GR","V9FU1RJTUFURSgnRVBTJywnTUVBTicsJ0FOTlVBTF9ST0xMJywnKzEnLDQwMTcxLCwsJycp&amp;WINDOW=FIRST_POPUP&amp;HEIGHT=450&amp;WIDTH=450&amp;START_MAXIMIZED=FALSE&amp;VAR:CALENDAR=US&amp;VAR:SYMBOL=38259P50&amp;VAR:INDEX=0"}</definedName>
    <definedName name="_2858__FDSAUDITLINK__">{"fdsup://directions/FAT Viewer?action=UPDATE&amp;creator=factset&amp;DYN_ARGS=TRUE&amp;DOC_NAME=FAT:FQL_AUDITING_CLIENT_TEMPLATE.FAT&amp;display_string=Audit&amp;VAR:KEY=OJIRAXGPOX&amp;VAR:QUERY=KFBfUFJJQ0UoNDAxNzEpLShGRl9DQVNIX1NUKFFUUiw0MDE3MSkvUF9DT01fU0hTX09VVCg0MDE3MSkpKS9GR","V9FU1RJTUFURSgnRVBTJywnTUVBTicsJ0FOTlVBTF9ST0xMJywnKzEnLDQwMTcxLCwsJycp&amp;WINDOW=FIRST_POPUP&amp;HEIGHT=450&amp;WIDTH=450&amp;START_MAXIMIZED=FALSE&amp;VAR:CALENDAR=US&amp;VAR:SYMBOL=38259P50&amp;VAR:INDEX=0"}</definedName>
    <definedName name="_2859__FDSAUDITLINK__">{"fdsup://directions/FAT Viewer?action=UPDATE&amp;creator=factset&amp;DYN_ARGS=TRUE&amp;DOC_NAME=FAT:FQL_AUDITING_CLIENT_TEMPLATE.FAT&amp;display_string=Audit&amp;VAR:KEY=ILCJKJAVQF&amp;VAR:QUERY=KFBfUFJJQ0UoNDAxNzApLShGRl9DQVNIX1NUKFFUUiw0MDE3MCkvUF9DT01fU0hTX09VVCg0MDE3MCkpKS9GR","V9FU1RJTUFURSgnRVBTJywnTUVBTicsJ0FOTlVBTF9ST0xMJywnKzEnLDQwMTcwLCwsJycp&amp;WINDOW=FIRST_POPUP&amp;HEIGHT=450&amp;WIDTH=450&amp;START_MAXIMIZED=FALSE&amp;VAR:CALENDAR=US&amp;VAR:SYMBOL=38259P50&amp;VAR:INDEX=0"}</definedName>
    <definedName name="_28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243"}</definedName>
    <definedName name="_2860__FDSAUDITLINK__">{"fdsup://directions/FAT Viewer?action=UPDATE&amp;creator=factset&amp;DYN_ARGS=TRUE&amp;DOC_NAME=FAT:FQL_AUDITING_CLIENT_TEMPLATE.FAT&amp;display_string=Audit&amp;VAR:KEY=ILCJKJAVQF&amp;VAR:QUERY=KFBfUFJJQ0UoNDAxNzApLShGRl9DQVNIX1NUKFFUUiw0MDE3MCkvUF9DT01fU0hTX09VVCg0MDE3MCkpKS9GR","V9FU1RJTUFURSgnRVBTJywnTUVBTicsJ0FOTlVBTF9ST0xMJywnKzEnLDQwMTcwLCwsJycp&amp;WINDOW=FIRST_POPUP&amp;HEIGHT=450&amp;WIDTH=450&amp;START_MAXIMIZED=FALSE&amp;VAR:CALENDAR=US&amp;VAR:SYMBOL=38259P50&amp;VAR:INDEX=0"}</definedName>
    <definedName name="_2861__FDSAUDITLINK__">{"fdsup://directions/FAT Viewer?action=UPDATE&amp;creator=factset&amp;DYN_ARGS=TRUE&amp;DOC_NAME=FAT:FQL_AUDITING_CLIENT_TEMPLATE.FAT&amp;display_string=Audit&amp;VAR:KEY=GZUJCDCRMH&amp;VAR:QUERY=KFBfUFJJQ0UoNDAxNjkpLShGRl9DQVNIX1NUKFFUUiw0MDE2OSkvUF9DT01fU0hTX09VVCg0MDE2OSkpKS9GR","V9FU1RJTUFURSgnRVBTJywnTUVBTicsJ0FOTlVBTF9ST0xMJywnKzEnLDQwMTY5LCwsJycp&amp;WINDOW=FIRST_POPUP&amp;HEIGHT=450&amp;WIDTH=450&amp;START_MAXIMIZED=FALSE&amp;VAR:CALENDAR=US&amp;VAR:SYMBOL=38259P50&amp;VAR:INDEX=0"}</definedName>
    <definedName name="_2862__FDSAUDITLINK__">{"fdsup://directions/FAT Viewer?action=UPDATE&amp;creator=factset&amp;DYN_ARGS=TRUE&amp;DOC_NAME=FAT:FQL_AUDITING_CLIENT_TEMPLATE.FAT&amp;display_string=Audit&amp;VAR:KEY=GZUJCDCRMH&amp;VAR:QUERY=KFBfUFJJQ0UoNDAxNjkpLShGRl9DQVNIX1NUKFFUUiw0MDE2OSkvUF9DT01fU0hTX09VVCg0MDE2OSkpKS9GR","V9FU1RJTUFURSgnRVBTJywnTUVBTicsJ0FOTlVBTF9ST0xMJywnKzEnLDQwMTY5LCwsJycp&amp;WINDOW=FIRST_POPUP&amp;HEIGHT=450&amp;WIDTH=450&amp;START_MAXIMIZED=FALSE&amp;VAR:CALENDAR=US&amp;VAR:SYMBOL=38259P50&amp;VAR:INDEX=0"}</definedName>
    <definedName name="_2863__FDSAUDITLINK__">{"fdsup://directions/FAT Viewer?action=UPDATE&amp;creator=factset&amp;DYN_ARGS=TRUE&amp;DOC_NAME=FAT:FQL_AUDITING_CLIENT_TEMPLATE.FAT&amp;display_string=Audit&amp;VAR:KEY=ARKBOPABOF&amp;VAR:QUERY=KFBfUFJJQ0UoNDAxNjgpLShGRl9DQVNIX1NUKFFUUiw0MDE2OCkvUF9DT01fU0hTX09VVCg0MDE2OCkpKS9GR","V9FU1RJTUFURSgnRVBTJywnTUVBTicsJ0FOTlVBTF9ST0xMJywnKzEnLDQwMTY4LCwsJycp&amp;WINDOW=FIRST_POPUP&amp;HEIGHT=450&amp;WIDTH=450&amp;START_MAXIMIZED=FALSE&amp;VAR:CALENDAR=US&amp;VAR:SYMBOL=38259P50&amp;VAR:INDEX=0"}</definedName>
    <definedName name="_2864__FDSAUDITLINK__">{"fdsup://directions/FAT Viewer?action=UPDATE&amp;creator=factset&amp;DYN_ARGS=TRUE&amp;DOC_NAME=FAT:FQL_AUDITING_CLIENT_TEMPLATE.FAT&amp;display_string=Audit&amp;VAR:KEY=ARKBOPABOF&amp;VAR:QUERY=KFBfUFJJQ0UoNDAxNjgpLShGRl9DQVNIX1NUKFFUUiw0MDE2OCkvUF9DT01fU0hTX09VVCg0MDE2OCkpKS9GR","V9FU1RJTUFURSgnRVBTJywnTUVBTicsJ0FOTlVBTF9ST0xMJywnKzEnLDQwMTY4LCwsJycp&amp;WINDOW=FIRST_POPUP&amp;HEIGHT=450&amp;WIDTH=450&amp;START_MAXIMIZED=FALSE&amp;VAR:CALENDAR=US&amp;VAR:SYMBOL=38259P50&amp;VAR:INDEX=0"}</definedName>
    <definedName name="_2865__FDSAUDITLINK__">{"fdsup://directions/FAT Viewer?action=UPDATE&amp;creator=factset&amp;DYN_ARGS=TRUE&amp;DOC_NAME=FAT:FQL_AUDITING_CLIENT_TEMPLATE.FAT&amp;display_string=Audit&amp;VAR:KEY=ITARMTUNSL&amp;VAR:QUERY=KFBfUFJJQ0UoNDAxNjcpLShGRl9DQVNIX1NUKFFUUiw0MDE2NykvUF9DT01fU0hTX09VVCg0MDE2NykpKS9GR","V9FU1RJTUFURSgnRVBTJywnTUVBTicsJ0FOTlVBTF9ST0xMJywnKzEnLDQwMTY3LCwsJycp&amp;WINDOW=FIRST_POPUP&amp;HEIGHT=450&amp;WIDTH=450&amp;START_MAXIMIZED=FALSE&amp;VAR:CALENDAR=US&amp;VAR:SYMBOL=38259P50&amp;VAR:INDEX=0"}</definedName>
    <definedName name="_2866__FDSAUDITLINK__">{"fdsup://directions/FAT Viewer?action=UPDATE&amp;creator=factset&amp;DYN_ARGS=TRUE&amp;DOC_NAME=FAT:FQL_AUDITING_CLIENT_TEMPLATE.FAT&amp;display_string=Audit&amp;VAR:KEY=ITARMTUNSL&amp;VAR:QUERY=KFBfUFJJQ0UoNDAxNjcpLShGRl9DQVNIX1NUKFFUUiw0MDE2NykvUF9DT01fU0hTX09VVCg0MDE2NykpKS9GR","V9FU1RJTUFURSgnRVBTJywnTUVBTicsJ0FOTlVBTF9ST0xMJywnKzEnLDQwMTY3LCwsJycp&amp;WINDOW=FIRST_POPUP&amp;HEIGHT=450&amp;WIDTH=450&amp;START_MAXIMIZED=FALSE&amp;VAR:CALENDAR=US&amp;VAR:SYMBOL=38259P50&amp;VAR:INDEX=0"}</definedName>
    <definedName name="_2867__FDSAUDITLINK__">{"fdsup://directions/FAT Viewer?action=UPDATE&amp;creator=factset&amp;DYN_ARGS=TRUE&amp;DOC_NAME=FAT:FQL_AUDITING_CLIENT_TEMPLATE.FAT&amp;display_string=Audit&amp;VAR:KEY=ORUFWJQFML&amp;VAR:QUERY=KFBfUFJJQ0UoNDAxNjYpLShGRl9DQVNIX1NUKFFUUiw0MDE2NikvUF9DT01fU0hTX09VVCg0MDE2NikpKS9GR","V9FU1RJTUFURSgnRVBTJywnTUVBTicsJ0FOTlVBTF9ST0xMJywnKzEnLDQwMTY2LCwsJycp&amp;WINDOW=FIRST_POPUP&amp;HEIGHT=450&amp;WIDTH=450&amp;START_MAXIMIZED=FALSE&amp;VAR:CALENDAR=US&amp;VAR:SYMBOL=38259P50&amp;VAR:INDEX=0"}</definedName>
    <definedName name="_2868__FDSAUDITLINK__">{"fdsup://directions/FAT Viewer?action=UPDATE&amp;creator=factset&amp;DYN_ARGS=TRUE&amp;DOC_NAME=FAT:FQL_AUDITING_CLIENT_TEMPLATE.FAT&amp;display_string=Audit&amp;VAR:KEY=ORUFWJQFML&amp;VAR:QUERY=KFBfUFJJQ0UoNDAxNjYpLShGRl9DQVNIX1NUKFFUUiw0MDE2NikvUF9DT01fU0hTX09VVCg0MDE2NikpKS9GR","V9FU1RJTUFURSgnRVBTJywnTUVBTicsJ0FOTlVBTF9ST0xMJywnKzEnLDQwMTY2LCwsJycp&amp;WINDOW=FIRST_POPUP&amp;HEIGHT=450&amp;WIDTH=450&amp;START_MAXIMIZED=FALSE&amp;VAR:CALENDAR=US&amp;VAR:SYMBOL=38259P50&amp;VAR:INDEX=0"}</definedName>
    <definedName name="_2869__FDSAUDITLINK__">{"fdsup://directions/FAT Viewer?action=UPDATE&amp;creator=factset&amp;DYN_ARGS=TRUE&amp;DOC_NAME=FAT:FQL_AUDITING_CLIENT_TEMPLATE.FAT&amp;display_string=Audit&amp;VAR:KEY=QDYLEDCXAJ&amp;VAR:QUERY=KFBfUFJJQ0UoNDAxNjUpLShGRl9DQVNIX1NUKFFUUiw0MDE2NSkvUF9DT01fU0hTX09VVCg0MDE2NSkpKS9GR","V9FU1RJTUFURSgnRVBTJywnTUVBTicsJ0FOTlVBTF9ST0xMJywnKzEnLDQwMTY1LCwsJycp&amp;WINDOW=FIRST_POPUP&amp;HEIGHT=450&amp;WIDTH=450&amp;START_MAXIMIZED=FALSE&amp;VAR:CALENDAR=US&amp;VAR:SYMBOL=38259P50&amp;VAR:INDEX=0"}</definedName>
    <definedName name="_28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242"}</definedName>
    <definedName name="_2870__FDSAUDITLINK__">{"fdsup://directions/FAT Viewer?action=UPDATE&amp;creator=factset&amp;DYN_ARGS=TRUE&amp;DOC_NAME=FAT:FQL_AUDITING_CLIENT_TEMPLATE.FAT&amp;display_string=Audit&amp;VAR:KEY=QDYLEDCXAJ&amp;VAR:QUERY=KFBfUFJJQ0UoNDAxNjUpLShGRl9DQVNIX1NUKFFUUiw0MDE2NSkvUF9DT01fU0hTX09VVCg0MDE2NSkpKS9GR","V9FU1RJTUFURSgnRVBTJywnTUVBTicsJ0FOTlVBTF9ST0xMJywnKzEnLDQwMTY1LCwsJycp&amp;WINDOW=FIRST_POPUP&amp;HEIGHT=450&amp;WIDTH=450&amp;START_MAXIMIZED=FALSE&amp;VAR:CALENDAR=US&amp;VAR:SYMBOL=38259P50&amp;VAR:INDEX=0"}</definedName>
    <definedName name="_2871__FDSAUDITLINK__">{"fdsup://directions/FAT Viewer?action=UPDATE&amp;creator=factset&amp;DYN_ARGS=TRUE&amp;DOC_NAME=FAT:FQL_AUDITING_CLIENT_TEMPLATE.FAT&amp;display_string=Audit&amp;VAR:KEY=STWJSFUHUP&amp;VAR:QUERY=KFBfUFJJQ0UoNDAxNjQpLShGRl9DQVNIX1NUKFFUUiw0MDE2NCkvUF9DT01fU0hTX09VVCg0MDE2NCkpKS9GR","V9FU1RJTUFURSgnRVBTJywnTUVBTicsJ0FOTlVBTF9ST0xMJywnKzEnLDQwMTY0LCwsJycp&amp;WINDOW=FIRST_POPUP&amp;HEIGHT=450&amp;WIDTH=450&amp;START_MAXIMIZED=FALSE&amp;VAR:CALENDAR=US&amp;VAR:SYMBOL=38259P50&amp;VAR:INDEX=0"}</definedName>
    <definedName name="_2872__FDSAUDITLINK__">{"fdsup://directions/FAT Viewer?action=UPDATE&amp;creator=factset&amp;DYN_ARGS=TRUE&amp;DOC_NAME=FAT:FQL_AUDITING_CLIENT_TEMPLATE.FAT&amp;display_string=Audit&amp;VAR:KEY=STWJSFUHUP&amp;VAR:QUERY=KFBfUFJJQ0UoNDAxNjQpLShGRl9DQVNIX1NUKFFUUiw0MDE2NCkvUF9DT01fU0hTX09VVCg0MDE2NCkpKS9GR","V9FU1RJTUFURSgnRVBTJywnTUVBTicsJ0FOTlVBTF9ST0xMJywnKzEnLDQwMTY0LCwsJycp&amp;WINDOW=FIRST_POPUP&amp;HEIGHT=450&amp;WIDTH=450&amp;START_MAXIMIZED=FALSE&amp;VAR:CALENDAR=US&amp;VAR:SYMBOL=38259P50&amp;VAR:INDEX=0"}</definedName>
    <definedName name="_2873__FDSAUDITLINK__">{"fdsup://directions/FAT Viewer?action=UPDATE&amp;creator=factset&amp;DYN_ARGS=TRUE&amp;DOC_NAME=FAT:FQL_AUDITING_CLIENT_TEMPLATE.FAT&amp;display_string=Audit&amp;VAR:KEY=MXORYJMXOH&amp;VAR:QUERY=KFBfUFJJQ0UoNDAxNjMpLShGRl9DQVNIX1NUKFFUUiw0MDE2MykvUF9DT01fU0hTX09VVCg0MDE2MykpKS9GR","V9FU1RJTUFURSgnRVBTJywnTUVBTicsJ0FOTlVBTF9ST0xMJywnKzEnLDQwMTYzLCwsJycp&amp;WINDOW=FIRST_POPUP&amp;HEIGHT=450&amp;WIDTH=450&amp;START_MAXIMIZED=FALSE&amp;VAR:CALENDAR=US&amp;VAR:SYMBOL=38259P50&amp;VAR:INDEX=0"}</definedName>
    <definedName name="_2874__FDSAUDITLINK__">{"fdsup://directions/FAT Viewer?action=UPDATE&amp;creator=factset&amp;DYN_ARGS=TRUE&amp;DOC_NAME=FAT:FQL_AUDITING_CLIENT_TEMPLATE.FAT&amp;display_string=Audit&amp;VAR:KEY=MXORYJMXOH&amp;VAR:QUERY=KFBfUFJJQ0UoNDAxNjMpLShGRl9DQVNIX1NUKFFUUiw0MDE2MykvUF9DT01fU0hTX09VVCg0MDE2MykpKS9GR","V9FU1RJTUFURSgnRVBTJywnTUVBTicsJ0FOTlVBTF9ST0xMJywnKzEnLDQwMTYzLCwsJycp&amp;WINDOW=FIRST_POPUP&amp;HEIGHT=450&amp;WIDTH=450&amp;START_MAXIMIZED=FALSE&amp;VAR:CALENDAR=US&amp;VAR:SYMBOL=38259P50&amp;VAR:INDEX=0"}</definedName>
    <definedName name="_2875__FDSAUDITLINK__">{"fdsup://directions/FAT Viewer?action=UPDATE&amp;creator=factset&amp;DYN_ARGS=TRUE&amp;DOC_NAME=FAT:FQL_AUDITING_CLIENT_TEMPLATE.FAT&amp;display_string=Audit&amp;VAR:KEY=GLCDITQLCB&amp;VAR:QUERY=KFBfUFJJQ0UoNDAxNjIpLShGRl9DQVNIX1NUKFFUUiw0MDE2MikvUF9DT01fU0hTX09VVCg0MDE2MikpKS9GR","V9FU1RJTUFURSgnRVBTJywnTUVBTicsJ0FOTlVBTF9ST0xMJywnKzEnLDQwMTYyLCwsJycp&amp;WINDOW=FIRST_POPUP&amp;HEIGHT=450&amp;WIDTH=450&amp;START_MAXIMIZED=FALSE&amp;VAR:CALENDAR=US&amp;VAR:SYMBOL=38259P50&amp;VAR:INDEX=0"}</definedName>
    <definedName name="_2876__FDSAUDITLINK__">{"fdsup://directions/FAT Viewer?action=UPDATE&amp;creator=factset&amp;DYN_ARGS=TRUE&amp;DOC_NAME=FAT:FQL_AUDITING_CLIENT_TEMPLATE.FAT&amp;display_string=Audit&amp;VAR:KEY=GLCDITQLCB&amp;VAR:QUERY=KFBfUFJJQ0UoNDAxNjIpLShGRl9DQVNIX1NUKFFUUiw0MDE2MikvUF9DT01fU0hTX09VVCg0MDE2MikpKS9GR","V9FU1RJTUFURSgnRVBTJywnTUVBTicsJ0FOTlVBTF9ST0xMJywnKzEnLDQwMTYyLCwsJycp&amp;WINDOW=FIRST_POPUP&amp;HEIGHT=450&amp;WIDTH=450&amp;START_MAXIMIZED=FALSE&amp;VAR:CALENDAR=US&amp;VAR:SYMBOL=38259P50&amp;VAR:INDEX=0"}</definedName>
    <definedName name="_2877__FDSAUDITLINK__">{"fdsup://directions/FAT Viewer?action=UPDATE&amp;creator=factset&amp;DYN_ARGS=TRUE&amp;DOC_NAME=FAT:FQL_AUDITING_CLIENT_TEMPLATE.FAT&amp;display_string=Audit&amp;VAR:KEY=UTEXKTEPQT&amp;VAR:QUERY=KFBfUFJJQ0UoNDAxNjEpLShGRl9DQVNIX1NUKFFUUiw0MDE2MSkvUF9DT01fU0hTX09VVCg0MDE2MSkpKS9GR","V9FU1RJTUFURSgnRVBTJywnTUVBTicsJ0FOTlVBTF9ST0xMJywnKzEnLDQwMTYxLCwsJycp&amp;WINDOW=FIRST_POPUP&amp;HEIGHT=450&amp;WIDTH=450&amp;START_MAXIMIZED=FALSE&amp;VAR:CALENDAR=US&amp;VAR:SYMBOL=38259P50&amp;VAR:INDEX=0"}</definedName>
    <definedName name="_2878__FDSAUDITLINK__">{"fdsup://directions/FAT Viewer?action=UPDATE&amp;creator=factset&amp;DYN_ARGS=TRUE&amp;DOC_NAME=FAT:FQL_AUDITING_CLIENT_TEMPLATE.FAT&amp;display_string=Audit&amp;VAR:KEY=UTEXKTEPQT&amp;VAR:QUERY=KFBfUFJJQ0UoNDAxNjEpLShGRl9DQVNIX1NUKFFUUiw0MDE2MSkvUF9DT01fU0hTX09VVCg0MDE2MSkpKS9GR","V9FU1RJTUFURSgnRVBTJywnTUVBTicsJ0FOTlVBTF9ST0xMJywnKzEnLDQwMTYxLCwsJycp&amp;WINDOW=FIRST_POPUP&amp;HEIGHT=450&amp;WIDTH=450&amp;START_MAXIMIZED=FALSE&amp;VAR:CALENDAR=US&amp;VAR:SYMBOL=38259P50&amp;VAR:INDEX=0"}</definedName>
    <definedName name="_2879__FDSAUDITLINK__">{"fdsup://directions/FAT Viewer?action=UPDATE&amp;creator=factset&amp;DYN_ARGS=TRUE&amp;DOC_NAME=FAT:FQL_AUDITING_CLIENT_TEMPLATE.FAT&amp;display_string=Audit&amp;VAR:KEY=IRINWPYBOJ&amp;VAR:QUERY=KFBfUFJJQ0UoNDAxNjApLShGRl9DQVNIX1NUKFFUUiw0MDE2MCkvUF9DT01fU0hTX09VVCg0MDE2MCkpKS9GR","V9FU1RJTUFURSgnRVBTJywnTUVBTicsJ0FOTlVBTF9ST0xMJywnKzEnLDQwMTYwLCwsJycp&amp;WINDOW=FIRST_POPUP&amp;HEIGHT=450&amp;WIDTH=450&amp;START_MAXIMIZED=FALSE&amp;VAR:CALENDAR=US&amp;VAR:SYMBOL=38259P50&amp;VAR:INDEX=0"}</definedName>
    <definedName name="_28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241"}</definedName>
    <definedName name="_2880__FDSAUDITLINK__">{"fdsup://directions/FAT Viewer?action=UPDATE&amp;creator=factset&amp;DYN_ARGS=TRUE&amp;DOC_NAME=FAT:FQL_AUDITING_CLIENT_TEMPLATE.FAT&amp;display_string=Audit&amp;VAR:KEY=IRINWPYBOJ&amp;VAR:QUERY=KFBfUFJJQ0UoNDAxNjApLShGRl9DQVNIX1NUKFFUUiw0MDE2MCkvUF9DT01fU0hTX09VVCg0MDE2MCkpKS9GR","V9FU1RJTUFURSgnRVBTJywnTUVBTicsJ0FOTlVBTF9ST0xMJywnKzEnLDQwMTYwLCwsJycp&amp;WINDOW=FIRST_POPUP&amp;HEIGHT=450&amp;WIDTH=450&amp;START_MAXIMIZED=FALSE&amp;VAR:CALENDAR=US&amp;VAR:SYMBOL=38259P50&amp;VAR:INDEX=0"}</definedName>
    <definedName name="_2881__FDSAUDITLINK__">{"fdsup://directions/FAT Viewer?action=UPDATE&amp;creator=factset&amp;DYN_ARGS=TRUE&amp;DOC_NAME=FAT:FQL_AUDITING_CLIENT_TEMPLATE.FAT&amp;display_string=Audit&amp;VAR:KEY=ADCDODIFOR&amp;VAR:QUERY=KFBfUFJJQ0UoNDAxNTkpLShGRl9DQVNIX1NUKFFUUiw0MDE1OSkvUF9DT01fU0hTX09VVCg0MDE1OSkpKS9GR","V9FU1RJTUFURSgnRVBTJywnTUVBTicsJ0FOTlVBTF9ST0xMJywnKzEnLDQwMTU5LCwsJycp&amp;WINDOW=FIRST_POPUP&amp;HEIGHT=450&amp;WIDTH=450&amp;START_MAXIMIZED=FALSE&amp;VAR:CALENDAR=US&amp;VAR:SYMBOL=38259P50&amp;VAR:INDEX=0"}</definedName>
    <definedName name="_2882__FDSAUDITLINK__">{"fdsup://directions/FAT Viewer?action=UPDATE&amp;creator=factset&amp;DYN_ARGS=TRUE&amp;DOC_NAME=FAT:FQL_AUDITING_CLIENT_TEMPLATE.FAT&amp;display_string=Audit&amp;VAR:KEY=ADCDODIFOR&amp;VAR:QUERY=KFBfUFJJQ0UoNDAxNTkpLShGRl9DQVNIX1NUKFFUUiw0MDE1OSkvUF9DT01fU0hTX09VVCg0MDE1OSkpKS9GR","V9FU1RJTUFURSgnRVBTJywnTUVBTicsJ0FOTlVBTF9ST0xMJywnKzEnLDQwMTU5LCwsJycp&amp;WINDOW=FIRST_POPUP&amp;HEIGHT=450&amp;WIDTH=450&amp;START_MAXIMIZED=FALSE&amp;VAR:CALENDAR=US&amp;VAR:SYMBOL=38259P50&amp;VAR:INDEX=0"}</definedName>
    <definedName name="_2883__FDSAUDITLINK__">{"fdsup://directions/FAT Viewer?action=UPDATE&amp;creator=factset&amp;DYN_ARGS=TRUE&amp;DOC_NAME=FAT:FQL_AUDITING_CLIENT_TEMPLATE.FAT&amp;display_string=Audit&amp;VAR:KEY=IHYPSPOHSL&amp;VAR:QUERY=KFBfUFJJQ0UoNDAxNTgpLShGRl9DQVNIX1NUKFFUUiw0MDE1OCkvUF9DT01fU0hTX09VVCg0MDE1OCkpKS9GR","V9FU1RJTUFURSgnRVBTJywnTUVBTicsJ0FOTlVBTF9ST0xMJywnKzEnLDQwMTU4LCwsJycp&amp;WINDOW=FIRST_POPUP&amp;HEIGHT=450&amp;WIDTH=450&amp;START_MAXIMIZED=FALSE&amp;VAR:CALENDAR=US&amp;VAR:SYMBOL=38259P50&amp;VAR:INDEX=0"}</definedName>
    <definedName name="_2884__FDSAUDITLINK__">{"fdsup://directions/FAT Viewer?action=UPDATE&amp;creator=factset&amp;DYN_ARGS=TRUE&amp;DOC_NAME=FAT:FQL_AUDITING_CLIENT_TEMPLATE.FAT&amp;display_string=Audit&amp;VAR:KEY=IHYPSPOHSL&amp;VAR:QUERY=KFBfUFJJQ0UoNDAxNTgpLShGRl9DQVNIX1NUKFFUUiw0MDE1OCkvUF9DT01fU0hTX09VVCg0MDE1OCkpKS9GR","V9FU1RJTUFURSgnRVBTJywnTUVBTicsJ0FOTlVBTF9ST0xMJywnKzEnLDQwMTU4LCwsJycp&amp;WINDOW=FIRST_POPUP&amp;HEIGHT=450&amp;WIDTH=450&amp;START_MAXIMIZED=FALSE&amp;VAR:CALENDAR=US&amp;VAR:SYMBOL=38259P50&amp;VAR:INDEX=0"}</definedName>
    <definedName name="_2885__FDSAUDITLINK__">{"fdsup://directions/FAT Viewer?action=UPDATE&amp;creator=factset&amp;DYN_ARGS=TRUE&amp;DOC_NAME=FAT:FQL_AUDITING_CLIENT_TEMPLATE.FAT&amp;display_string=Audit&amp;VAR:KEY=WHGXUDIHCD&amp;VAR:QUERY=KFBfUFJJQ0UoNDAxNTcpLShGRl9DQVNIX1NUKFFUUiw0MDE1NykvUF9DT01fU0hTX09VVCg0MDE1NykpKS9GR","V9FU1RJTUFURSgnRVBTJywnTUVBTicsJ0FOTlVBTF9ST0xMJywnKzEnLDQwMTU3LCwsJycp&amp;WINDOW=FIRST_POPUP&amp;HEIGHT=450&amp;WIDTH=450&amp;START_MAXIMIZED=FALSE&amp;VAR:CALENDAR=US&amp;VAR:SYMBOL=38259P50&amp;VAR:INDEX=0"}</definedName>
    <definedName name="_2886__FDSAUDITLINK__">{"fdsup://directions/FAT Viewer?action=UPDATE&amp;creator=factset&amp;DYN_ARGS=TRUE&amp;DOC_NAME=FAT:FQL_AUDITING_CLIENT_TEMPLATE.FAT&amp;display_string=Audit&amp;VAR:KEY=WHGXUDIHCD&amp;VAR:QUERY=KFBfUFJJQ0UoNDAxNTcpLShGRl9DQVNIX1NUKFFUUiw0MDE1NykvUF9DT01fU0hTX09VVCg0MDE1NykpKS9GR","V9FU1RJTUFURSgnRVBTJywnTUVBTicsJ0FOTlVBTF9ST0xMJywnKzEnLDQwMTU3LCwsJycp&amp;WINDOW=FIRST_POPUP&amp;HEIGHT=450&amp;WIDTH=450&amp;START_MAXIMIZED=FALSE&amp;VAR:CALENDAR=US&amp;VAR:SYMBOL=38259P50&amp;VAR:INDEX=0"}</definedName>
    <definedName name="_2887__FDSAUDITLINK__">{"fdsup://directions/FAT Viewer?action=UPDATE&amp;creator=factset&amp;DYN_ARGS=TRUE&amp;DOC_NAME=FAT:FQL_AUDITING_CLIENT_TEMPLATE.FAT&amp;display_string=Audit&amp;VAR:KEY=CPSDYPSLYN&amp;VAR:QUERY=KFBfUFJJQ0UoNDAxNTYpLShGRl9DQVNIX1NUKFFUUiw0MDE1NikvUF9DT01fU0hTX09VVCg0MDE1NikpKS9GR","V9FU1RJTUFURSgnRVBTJywnTUVBTicsJ0FOTlVBTF9ST0xMJywnKzEnLDQwMTU2LCwsJycp&amp;WINDOW=FIRST_POPUP&amp;HEIGHT=450&amp;WIDTH=450&amp;START_MAXIMIZED=FALSE&amp;VAR:CALENDAR=US&amp;VAR:SYMBOL=38259P50&amp;VAR:INDEX=0"}</definedName>
    <definedName name="_2888__FDSAUDITLINK__">{"fdsup://directions/FAT Viewer?action=UPDATE&amp;creator=factset&amp;DYN_ARGS=TRUE&amp;DOC_NAME=FAT:FQL_AUDITING_CLIENT_TEMPLATE.FAT&amp;display_string=Audit&amp;VAR:KEY=CPSDYPSLYN&amp;VAR:QUERY=KFBfUFJJQ0UoNDAxNTYpLShGRl9DQVNIX1NUKFFUUiw0MDE1NikvUF9DT01fU0hTX09VVCg0MDE1NikpKS9GR","V9FU1RJTUFURSgnRVBTJywnTUVBTicsJ0FOTlVBTF9ST0xMJywnKzEnLDQwMTU2LCwsJycp&amp;WINDOW=FIRST_POPUP&amp;HEIGHT=450&amp;WIDTH=450&amp;START_MAXIMIZED=FALSE&amp;VAR:CALENDAR=US&amp;VAR:SYMBOL=38259P50&amp;VAR:INDEX=0"}</definedName>
    <definedName name="_2889__FDSAUDITLINK__">{"fdsup://directions/FAT Viewer?action=UPDATE&amp;creator=factset&amp;DYN_ARGS=TRUE&amp;DOC_NAME=FAT:FQL_AUDITING_CLIENT_TEMPLATE.FAT&amp;display_string=Audit&amp;VAR:KEY=IDMRIPOTSH&amp;VAR:QUERY=KFBfUFJJQ0UoNDAxNTUpLShGRl9DQVNIX1NUKFFUUiw0MDE1NSkvUF9DT01fU0hTX09VVCg0MDE1NSkpKS9GR","V9FU1RJTUFURSgnRVBTJywnTUVBTicsJ0FOTlVBTF9ST0xMJywnKzEnLDQwMTU1LCwsJycp&amp;WINDOW=FIRST_POPUP&amp;HEIGHT=450&amp;WIDTH=450&amp;START_MAXIMIZED=FALSE&amp;VAR:CALENDAR=US&amp;VAR:SYMBOL=38259P50&amp;VAR:INDEX=0"}</definedName>
    <definedName name="_28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240"}</definedName>
    <definedName name="_2890__FDSAUDITLINK__">{"fdsup://directions/FAT Viewer?action=UPDATE&amp;creator=factset&amp;DYN_ARGS=TRUE&amp;DOC_NAME=FAT:FQL_AUDITING_CLIENT_TEMPLATE.FAT&amp;display_string=Audit&amp;VAR:KEY=IDMRIPOTSH&amp;VAR:QUERY=KFBfUFJJQ0UoNDAxNTUpLShGRl9DQVNIX1NUKFFUUiw0MDE1NSkvUF9DT01fU0hTX09VVCg0MDE1NSkpKS9GR","V9FU1RJTUFURSgnRVBTJywnTUVBTicsJ0FOTlVBTF9ST0xMJywnKzEnLDQwMTU1LCwsJycp&amp;WINDOW=FIRST_POPUP&amp;HEIGHT=450&amp;WIDTH=450&amp;START_MAXIMIZED=FALSE&amp;VAR:CALENDAR=US&amp;VAR:SYMBOL=38259P50&amp;VAR:INDEX=0"}</definedName>
    <definedName name="_2891__FDSAUDITLINK__">{"fdsup://directions/FAT Viewer?action=UPDATE&amp;creator=factset&amp;DYN_ARGS=TRUE&amp;DOC_NAME=FAT:FQL_AUDITING_CLIENT_TEMPLATE.FAT&amp;display_string=Audit&amp;VAR:KEY=CJWZCBKPQF&amp;VAR:QUERY=KFBfUFJJQ0UoNDAxNTQpLShGRl9DQVNIX1NUKFFUUiw0MDE1NCkvUF9DT01fU0hTX09VVCg0MDE1NCkpKS9GR","V9FU1RJTUFURSgnRVBTJywnTUVBTicsJ0FOTlVBTF9ST0xMJywnKzEnLDQwMTU0LCwsJycp&amp;WINDOW=FIRST_POPUP&amp;HEIGHT=450&amp;WIDTH=450&amp;START_MAXIMIZED=FALSE&amp;VAR:CALENDAR=US&amp;VAR:SYMBOL=38259P50&amp;VAR:INDEX=0"}</definedName>
    <definedName name="_2892__FDSAUDITLINK__">{"fdsup://directions/FAT Viewer?action=UPDATE&amp;creator=factset&amp;DYN_ARGS=TRUE&amp;DOC_NAME=FAT:FQL_AUDITING_CLIENT_TEMPLATE.FAT&amp;display_string=Audit&amp;VAR:KEY=CJWZCBKPQF&amp;VAR:QUERY=KFBfUFJJQ0UoNDAxNTQpLShGRl9DQVNIX1NUKFFUUiw0MDE1NCkvUF9DT01fU0hTX09VVCg0MDE1NCkpKS9GR","V9FU1RJTUFURSgnRVBTJywnTUVBTicsJ0FOTlVBTF9ST0xMJywnKzEnLDQwMTU0LCwsJycp&amp;WINDOW=FIRST_POPUP&amp;HEIGHT=450&amp;WIDTH=450&amp;START_MAXIMIZED=FALSE&amp;VAR:CALENDAR=US&amp;VAR:SYMBOL=38259P50&amp;VAR:INDEX=0"}</definedName>
    <definedName name="_2893__FDSAUDITLINK__">{"fdsup://directions/FAT Viewer?action=UPDATE&amp;creator=factset&amp;DYN_ARGS=TRUE&amp;DOC_NAME=FAT:FQL_AUDITING_CLIENT_TEMPLATE.FAT&amp;display_string=Audit&amp;VAR:KEY=AVCDSBKXSB&amp;VAR:QUERY=KFBfUFJJQ0UoNDAxNTMpLShGRl9DQVNIX1NUKFFUUiw0MDE1MykvUF9DT01fU0hTX09VVCg0MDE1MykpKS9GR","V9FU1RJTUFURSgnRVBTJywnTUVBTicsJ0FOTlVBTF9ST0xMJywnKzEnLDQwMTUzLCwsJycp&amp;WINDOW=FIRST_POPUP&amp;HEIGHT=450&amp;WIDTH=450&amp;START_MAXIMIZED=FALSE&amp;VAR:CALENDAR=US&amp;VAR:SYMBOL=38259P50&amp;VAR:INDEX=0"}</definedName>
    <definedName name="_2894__FDSAUDITLINK__">{"fdsup://directions/FAT Viewer?action=UPDATE&amp;creator=factset&amp;DYN_ARGS=TRUE&amp;DOC_NAME=FAT:FQL_AUDITING_CLIENT_TEMPLATE.FAT&amp;display_string=Audit&amp;VAR:KEY=AVCDSBKXSB&amp;VAR:QUERY=KFBfUFJJQ0UoNDAxNTMpLShGRl9DQVNIX1NUKFFUUiw0MDE1MykvUF9DT01fU0hTX09VVCg0MDE1MykpKS9GR","V9FU1RJTUFURSgnRVBTJywnTUVBTicsJ0FOTlVBTF9ST0xMJywnKzEnLDQwMTUzLCwsJycp&amp;WINDOW=FIRST_POPUP&amp;HEIGHT=450&amp;WIDTH=450&amp;START_MAXIMIZED=FALSE&amp;VAR:CALENDAR=US&amp;VAR:SYMBOL=38259P50&amp;VAR:INDEX=0"}</definedName>
    <definedName name="_2895__FDSAUDITLINK__">{"fdsup://directions/FAT Viewer?action=UPDATE&amp;creator=factset&amp;DYN_ARGS=TRUE&amp;DOC_NAME=FAT:FQL_AUDITING_CLIENT_TEMPLATE.FAT&amp;display_string=Audit&amp;VAR:KEY=YJMFEVCFKR&amp;VAR:QUERY=KFBfUFJJQ0UoNDAxNTIpLShGRl9DQVNIX1NUKFFUUiw0MDE1MikvUF9DT01fU0hTX09VVCg0MDE1MikpKS9GR","V9FU1RJTUFURSgnRVBTJywnTUVBTicsJ0FOTlVBTF9ST0xMJywnKzEnLDQwMTUyLCwsJycp&amp;WINDOW=FIRST_POPUP&amp;HEIGHT=450&amp;WIDTH=450&amp;START_MAXIMIZED=FALSE&amp;VAR:CALENDAR=US&amp;VAR:SYMBOL=38259P50&amp;VAR:INDEX=0"}</definedName>
    <definedName name="_2896__FDSAUDITLINK__">{"fdsup://directions/FAT Viewer?action=UPDATE&amp;creator=factset&amp;DYN_ARGS=TRUE&amp;DOC_NAME=FAT:FQL_AUDITING_CLIENT_TEMPLATE.FAT&amp;display_string=Audit&amp;VAR:KEY=YJMFEVCFKR&amp;VAR:QUERY=KFBfUFJJQ0UoNDAxNTIpLShGRl9DQVNIX1NUKFFUUiw0MDE1MikvUF9DT01fU0hTX09VVCg0MDE1MikpKS9GR","V9FU1RJTUFURSgnRVBTJywnTUVBTicsJ0FOTlVBTF9ST0xMJywnKzEnLDQwMTUyLCwsJycp&amp;WINDOW=FIRST_POPUP&amp;HEIGHT=450&amp;WIDTH=450&amp;START_MAXIMIZED=FALSE&amp;VAR:CALENDAR=US&amp;VAR:SYMBOL=38259P50&amp;VAR:INDEX=0"}</definedName>
    <definedName name="_2897__FDSAUDITLINK__">{"fdsup://directions/FAT Viewer?action=UPDATE&amp;creator=factset&amp;DYN_ARGS=TRUE&amp;DOC_NAME=FAT:FQL_AUDITING_CLIENT_TEMPLATE.FAT&amp;display_string=Audit&amp;VAR:KEY=YPAJMZOJKR&amp;VAR:QUERY=KFBfUFJJQ0UoNDAxNTEpLShGRl9DQVNIX1NUKFFUUiw0MDE1MSkvUF9DT01fU0hTX09VVCg0MDE1MSkpKS9GR","V9FU1RJTUFURSgnRVBTJywnTUVBTicsJ0FOTlVBTF9ST0xMJywnKzEnLDQwMTUxLCwsJycp&amp;WINDOW=FIRST_POPUP&amp;HEIGHT=450&amp;WIDTH=450&amp;START_MAXIMIZED=FALSE&amp;VAR:CALENDAR=US&amp;VAR:SYMBOL=38259P50&amp;VAR:INDEX=0"}</definedName>
    <definedName name="_2898__FDSAUDITLINK__">{"fdsup://directions/FAT Viewer?action=UPDATE&amp;creator=factset&amp;DYN_ARGS=TRUE&amp;DOC_NAME=FAT:FQL_AUDITING_CLIENT_TEMPLATE.FAT&amp;display_string=Audit&amp;VAR:KEY=YPAJMZOJKR&amp;VAR:QUERY=KFBfUFJJQ0UoNDAxNTEpLShGRl9DQVNIX1NUKFFUUiw0MDE1MSkvUF9DT01fU0hTX09VVCg0MDE1MSkpKS9GR","V9FU1RJTUFURSgnRVBTJywnTUVBTicsJ0FOTlVBTF9ST0xMJywnKzEnLDQwMTUxLCwsJycp&amp;WINDOW=FIRST_POPUP&amp;HEIGHT=450&amp;WIDTH=450&amp;START_MAXIMIZED=FALSE&amp;VAR:CALENDAR=US&amp;VAR:SYMBOL=38259P50&amp;VAR:INDEX=0"}</definedName>
    <definedName name="_2899__FDSAUDITLINK__">{"fdsup://directions/FAT Viewer?action=UPDATE&amp;creator=factset&amp;DYN_ARGS=TRUE&amp;DOC_NAME=FAT:FQL_AUDITING_CLIENT_TEMPLATE.FAT&amp;display_string=Audit&amp;VAR:KEY=KVIBUTAJMD&amp;VAR:QUERY=KFBfUFJJQ0UoNDAxNTApLShGRl9DQVNIX1NUKFFUUiw0MDE1MCkvUF9DT01fU0hTX09VVCg0MDE1MCkpKS9GR","V9FU1RJTUFURSgnRVBTJywnTUVBTicsJ0FOTlVBTF9ST0xMJywnKzEnLDQwMTUwLCwsJycp&amp;WINDOW=FIRST_POPUP&amp;HEIGHT=450&amp;WIDTH=450&amp;START_MAXIMIZED=FALSE&amp;VAR:CALENDAR=US&amp;VAR:SYMBOL=38259P50&amp;VAR:INDEX=0"}</definedName>
    <definedName name="_2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0.497268&amp;VAR:V=16.837201&amp;VAR:V0=17.686539&amp;VAR:V1=16.057612&amp;VAR:Y0=2004&amp;VAR:Y1=2005&amp;VAR:P=1140.835600&amp;VAR:DATE=20040630&amp;VAR:THRESH=-|-|","-|-|-|-|-"}</definedName>
    <definedName name="_29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239"}</definedName>
    <definedName name="_2900__FDSAUDITLINK__">{"fdsup://directions/FAT Viewer?action=UPDATE&amp;creator=factset&amp;DYN_ARGS=TRUE&amp;DOC_NAME=FAT:FQL_AUDITING_CLIENT_TEMPLATE.FAT&amp;display_string=Audit&amp;VAR:KEY=KVIBUTAJMD&amp;VAR:QUERY=KFBfUFJJQ0UoNDAxNTApLShGRl9DQVNIX1NUKFFUUiw0MDE1MCkvUF9DT01fU0hTX09VVCg0MDE1MCkpKS9GR","V9FU1RJTUFURSgnRVBTJywnTUVBTicsJ0FOTlVBTF9ST0xMJywnKzEnLDQwMTUwLCwsJycp&amp;WINDOW=FIRST_POPUP&amp;HEIGHT=450&amp;WIDTH=450&amp;START_MAXIMIZED=FALSE&amp;VAR:CALENDAR=US&amp;VAR:SYMBOL=38259P50&amp;VAR:INDEX=0"}</definedName>
    <definedName name="_2901__FDSAUDITLINK__">{"fdsup://directions/FAT Viewer?action=UPDATE&amp;creator=factset&amp;DYN_ARGS=TRUE&amp;DOC_NAME=FAT:FQL_AUDITING_CLIENT_TEMPLATE.FAT&amp;display_string=Audit&amp;VAR:KEY=WZYTUNMJST&amp;VAR:QUERY=KFBfUFJJQ0UoNDAxNDkpLShGRl9DQVNIX1NUKFFUUiw0MDE0OSkvUF9DT01fU0hTX09VVCg0MDE0OSkpKS9GR","V9FU1RJTUFURSgnRVBTJywnTUVBTicsJ0FOTlVBTF9ST0xMJywnKzEnLDQwMTQ5LCwsJycp&amp;WINDOW=FIRST_POPUP&amp;HEIGHT=450&amp;WIDTH=450&amp;START_MAXIMIZED=FALSE&amp;VAR:CALENDAR=US&amp;VAR:SYMBOL=38259P50&amp;VAR:INDEX=0"}</definedName>
    <definedName name="_2902__FDSAUDITLINK__">{"fdsup://directions/FAT Viewer?action=UPDATE&amp;creator=factset&amp;DYN_ARGS=TRUE&amp;DOC_NAME=FAT:FQL_AUDITING_CLIENT_TEMPLATE.FAT&amp;display_string=Audit&amp;VAR:KEY=WZYTUNMJST&amp;VAR:QUERY=KFBfUFJJQ0UoNDAxNDkpLShGRl9DQVNIX1NUKFFUUiw0MDE0OSkvUF9DT01fU0hTX09VVCg0MDE0OSkpKS9GR","V9FU1RJTUFURSgnRVBTJywnTUVBTicsJ0FOTlVBTF9ST0xMJywnKzEnLDQwMTQ5LCwsJycp&amp;WINDOW=FIRST_POPUP&amp;HEIGHT=450&amp;WIDTH=450&amp;START_MAXIMIZED=FALSE&amp;VAR:CALENDAR=US&amp;VAR:SYMBOL=38259P50&amp;VAR:INDEX=0"}</definedName>
    <definedName name="_2903__FDSAUDITLINK__">{"fdsup://directions/FAT Viewer?action=UPDATE&amp;creator=factset&amp;DYN_ARGS=TRUE&amp;DOC_NAME=FAT:FQL_AUDITING_CLIENT_TEMPLATE.FAT&amp;display_string=Audit&amp;VAR:KEY=SNIRYFKFGP&amp;VAR:QUERY=KFBfUFJJQ0UoNDAxNDgpLShGRl9DQVNIX1NUKFFUUiw0MDE0OCkvUF9DT01fU0hTX09VVCg0MDE0OCkpKS9GR","V9FU1RJTUFURSgnRVBTJywnTUVBTicsJ0FOTlVBTF9ST0xMJywnKzEnLDQwMTQ4LCwsJycp&amp;WINDOW=FIRST_POPUP&amp;HEIGHT=450&amp;WIDTH=450&amp;START_MAXIMIZED=FALSE&amp;VAR:CALENDAR=US&amp;VAR:SYMBOL=38259P50&amp;VAR:INDEX=0"}</definedName>
    <definedName name="_2904__FDSAUDITLINK__">{"fdsup://directions/FAT Viewer?action=UPDATE&amp;creator=factset&amp;DYN_ARGS=TRUE&amp;DOC_NAME=FAT:FQL_AUDITING_CLIENT_TEMPLATE.FAT&amp;display_string=Audit&amp;VAR:KEY=SNIRYFKFGP&amp;VAR:QUERY=KFBfUFJJQ0UoNDAxNDgpLShGRl9DQVNIX1NUKFFUUiw0MDE0OCkvUF9DT01fU0hTX09VVCg0MDE0OCkpKS9GR","V9FU1RJTUFURSgnRVBTJywnTUVBTicsJ0FOTlVBTF9ST0xMJywnKzEnLDQwMTQ4LCwsJycp&amp;WINDOW=FIRST_POPUP&amp;HEIGHT=450&amp;WIDTH=450&amp;START_MAXIMIZED=FALSE&amp;VAR:CALENDAR=US&amp;VAR:SYMBOL=38259P50&amp;VAR:INDEX=0"}</definedName>
    <definedName name="_2905__FDSAUDITLINK__">{"fdsup://directions/FAT Viewer?action=UPDATE&amp;creator=factset&amp;DYN_ARGS=TRUE&amp;DOC_NAME=FAT:FQL_AUDITING_CLIENT_TEMPLATE.FAT&amp;display_string=Audit&amp;VAR:KEY=MJMTANQJML&amp;VAR:QUERY=KFBfUFJJQ0UoNDAxNDcpLShGRl9DQVNIX1NUKFFUUiw0MDE0NykvUF9DT01fU0hTX09VVCg0MDE0NykpKS9GR","V9FU1RJTUFURSgnRVBTJywnTUVBTicsJ0FOTlVBTF9ST0xMJywnKzEnLDQwMTQ3LCwsJycp&amp;WINDOW=FIRST_POPUP&amp;HEIGHT=450&amp;WIDTH=450&amp;START_MAXIMIZED=FALSE&amp;VAR:CALENDAR=US&amp;VAR:SYMBOL=38259P50&amp;VAR:INDEX=0"}</definedName>
    <definedName name="_2906__FDSAUDITLINK__">{"fdsup://directions/FAT Viewer?action=UPDATE&amp;creator=factset&amp;DYN_ARGS=TRUE&amp;DOC_NAME=FAT:FQL_AUDITING_CLIENT_TEMPLATE.FAT&amp;display_string=Audit&amp;VAR:KEY=MJMTANQJML&amp;VAR:QUERY=KFBfUFJJQ0UoNDAxNDcpLShGRl9DQVNIX1NUKFFUUiw0MDE0NykvUF9DT01fU0hTX09VVCg0MDE0NykpKS9GR","V9FU1RJTUFURSgnRVBTJywnTUVBTicsJ0FOTlVBTF9ST0xMJywnKzEnLDQwMTQ3LCwsJycp&amp;WINDOW=FIRST_POPUP&amp;HEIGHT=450&amp;WIDTH=450&amp;START_MAXIMIZED=FALSE&amp;VAR:CALENDAR=US&amp;VAR:SYMBOL=38259P50&amp;VAR:INDEX=0"}</definedName>
    <definedName name="_2907__FDSAUDITLINK__">{"fdsup://directions/FAT Viewer?action=UPDATE&amp;creator=factset&amp;DYN_ARGS=TRUE&amp;DOC_NAME=FAT:FQL_AUDITING_CLIENT_TEMPLATE.FAT&amp;display_string=Audit&amp;VAR:KEY=CVOBCHKVWJ&amp;VAR:QUERY=KFBfUFJJQ0UoNDAxNDYpLShGRl9DQVNIX1NUKFFUUiw0MDE0NikvUF9DT01fU0hTX09VVCg0MDE0NikpKS9GR","V9FU1RJTUFURSgnRVBTJywnTUVBTicsJ0FOTlVBTF9ST0xMJywnKzEnLDQwMTQ2LCwsJycp&amp;WINDOW=FIRST_POPUP&amp;HEIGHT=450&amp;WIDTH=450&amp;START_MAXIMIZED=FALSE&amp;VAR:CALENDAR=US&amp;VAR:SYMBOL=38259P50&amp;VAR:INDEX=0"}</definedName>
    <definedName name="_2908__FDSAUDITLINK__">{"fdsup://directions/FAT Viewer?action=UPDATE&amp;creator=factset&amp;DYN_ARGS=TRUE&amp;DOC_NAME=FAT:FQL_AUDITING_CLIENT_TEMPLATE.FAT&amp;display_string=Audit&amp;VAR:KEY=CVOBCHKVWJ&amp;VAR:QUERY=KFBfUFJJQ0UoNDAxNDYpLShGRl9DQVNIX1NUKFFUUiw0MDE0NikvUF9DT01fU0hTX09VVCg0MDE0NikpKS9GR","V9FU1RJTUFURSgnRVBTJywnTUVBTicsJ0FOTlVBTF9ST0xMJywnKzEnLDQwMTQ2LCwsJycp&amp;WINDOW=FIRST_POPUP&amp;HEIGHT=450&amp;WIDTH=450&amp;START_MAXIMIZED=FALSE&amp;VAR:CALENDAR=US&amp;VAR:SYMBOL=38259P50&amp;VAR:INDEX=0"}</definedName>
    <definedName name="_2909__FDSAUDITLINK__">{"fdsup://directions/FAT Viewer?action=UPDATE&amp;creator=factset&amp;DYN_ARGS=TRUE&amp;DOC_NAME=FAT:FQL_AUDITING_CLIENT_TEMPLATE.FAT&amp;display_string=Audit&amp;VAR:KEY=GXALYFYZQD&amp;VAR:QUERY=KFBfUFJJQ0UoNDAxNDUpLShGRl9DQVNIX1NUKFFUUiw0MDE0NSkvUF9DT01fU0hTX09VVCg0MDE0NSkpKS9GR","V9FU1RJTUFURSgnRVBTJywnTUVBTicsJ0FOTlVBTF9ST0xMJywnKzEnLDQwMTQ1LCwsJycp&amp;WINDOW=FIRST_POPUP&amp;HEIGHT=450&amp;WIDTH=450&amp;START_MAXIMIZED=FALSE&amp;VAR:CALENDAR=US&amp;VAR:SYMBOL=38259P50&amp;VAR:INDEX=0"}</definedName>
    <definedName name="_29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238"}</definedName>
    <definedName name="_2910__FDSAUDITLINK__">{"fdsup://directions/FAT Viewer?action=UPDATE&amp;creator=factset&amp;DYN_ARGS=TRUE&amp;DOC_NAME=FAT:FQL_AUDITING_CLIENT_TEMPLATE.FAT&amp;display_string=Audit&amp;VAR:KEY=GXALYFYZQD&amp;VAR:QUERY=KFBfUFJJQ0UoNDAxNDUpLShGRl9DQVNIX1NUKFFUUiw0MDE0NSkvUF9DT01fU0hTX09VVCg0MDE0NSkpKS9GR","V9FU1RJTUFURSgnRVBTJywnTUVBTicsJ0FOTlVBTF9ST0xMJywnKzEnLDQwMTQ1LCwsJycp&amp;WINDOW=FIRST_POPUP&amp;HEIGHT=450&amp;WIDTH=450&amp;START_MAXIMIZED=FALSE&amp;VAR:CALENDAR=US&amp;VAR:SYMBOL=38259P50&amp;VAR:INDEX=0"}</definedName>
    <definedName name="_2911__FDSAUDITLINK__">{"fdsup://directions/FAT Viewer?action=UPDATE&amp;creator=factset&amp;DYN_ARGS=TRUE&amp;DOC_NAME=FAT:FQL_AUDITING_CLIENT_TEMPLATE.FAT&amp;display_string=Audit&amp;VAR:KEY=ODIDQVULOJ&amp;VAR:QUERY=KFBfUFJJQ0UoNDAxNDQpLShGRl9DQVNIX1NUKFFUUiw0MDE0NCkvUF9DT01fU0hTX09VVCg0MDE0NCkpKS9GR","V9FU1RJTUFURSgnRVBTJywnTUVBTicsJ0FOTlVBTF9ST0xMJywnKzEnLDQwMTQ0LCwsJycp&amp;WINDOW=FIRST_POPUP&amp;HEIGHT=450&amp;WIDTH=450&amp;START_MAXIMIZED=FALSE&amp;VAR:CALENDAR=US&amp;VAR:SYMBOL=38259P50&amp;VAR:INDEX=0"}</definedName>
    <definedName name="_2912__FDSAUDITLINK__">{"fdsup://directions/FAT Viewer?action=UPDATE&amp;creator=factset&amp;DYN_ARGS=TRUE&amp;DOC_NAME=FAT:FQL_AUDITING_CLIENT_TEMPLATE.FAT&amp;display_string=Audit&amp;VAR:KEY=ODIDQVULOJ&amp;VAR:QUERY=KFBfUFJJQ0UoNDAxNDQpLShGRl9DQVNIX1NUKFFUUiw0MDE0NCkvUF9DT01fU0hTX09VVCg0MDE0NCkpKS9GR","V9FU1RJTUFURSgnRVBTJywnTUVBTicsJ0FOTlVBTF9ST0xMJywnKzEnLDQwMTQ0LCwsJycp&amp;WINDOW=FIRST_POPUP&amp;HEIGHT=450&amp;WIDTH=450&amp;START_MAXIMIZED=FALSE&amp;VAR:CALENDAR=US&amp;VAR:SYMBOL=38259P50&amp;VAR:INDEX=0"}</definedName>
    <definedName name="_2913__FDSAUDITLINK__">{"fdsup://directions/FAT Viewer?action=UPDATE&amp;creator=factset&amp;DYN_ARGS=TRUE&amp;DOC_NAME=FAT:FQL_AUDITING_CLIENT_TEMPLATE.FAT&amp;display_string=Audit&amp;VAR:KEY=ONENUZWFWX&amp;VAR:QUERY=KFBfUFJJQ0UoNDAxNDMpLShGRl9DQVNIX1NUKFFUUiw0MDE0MykvUF9DT01fU0hTX09VVCg0MDE0MykpKS9GR","V9FU1RJTUFURSgnRVBTJywnTUVBTicsJ0FOTlVBTF9ST0xMJywnKzEnLDQwMTQzLCwsJycp&amp;WINDOW=FIRST_POPUP&amp;HEIGHT=450&amp;WIDTH=450&amp;START_MAXIMIZED=FALSE&amp;VAR:CALENDAR=US&amp;VAR:SYMBOL=38259P50&amp;VAR:INDEX=0"}</definedName>
    <definedName name="_2914__FDSAUDITLINK__">{"fdsup://directions/FAT Viewer?action=UPDATE&amp;creator=factset&amp;DYN_ARGS=TRUE&amp;DOC_NAME=FAT:FQL_AUDITING_CLIENT_TEMPLATE.FAT&amp;display_string=Audit&amp;VAR:KEY=ONENUZWFWX&amp;VAR:QUERY=KFBfUFJJQ0UoNDAxNDMpLShGRl9DQVNIX1NUKFFUUiw0MDE0MykvUF9DT01fU0hTX09VVCg0MDE0MykpKS9GR","V9FU1RJTUFURSgnRVBTJywnTUVBTicsJ0FOTlVBTF9ST0xMJywnKzEnLDQwMTQzLCwsJycp&amp;WINDOW=FIRST_POPUP&amp;HEIGHT=450&amp;WIDTH=450&amp;START_MAXIMIZED=FALSE&amp;VAR:CALENDAR=US&amp;VAR:SYMBOL=38259P50&amp;VAR:INDEX=0"}</definedName>
    <definedName name="_2915__FDSAUDITLINK__">{"fdsup://directions/FAT Viewer?action=UPDATE&amp;creator=factset&amp;DYN_ARGS=TRUE&amp;DOC_NAME=FAT:FQL_AUDITING_CLIENT_TEMPLATE.FAT&amp;display_string=Audit&amp;VAR:KEY=EVWHYPGNUJ&amp;VAR:QUERY=KFBfUFJJQ0UoNDAxNDIpLShGRl9DQVNIX1NUKFFUUiw0MDE0MikvUF9DT01fU0hTX09VVCg0MDE0MikpKS9GR","V9FU1RJTUFURSgnRVBTJywnTUVBTicsJ0FOTlVBTF9ST0xMJywnKzEnLDQwMTQyLCwsJycp&amp;WINDOW=FIRST_POPUP&amp;HEIGHT=450&amp;WIDTH=450&amp;START_MAXIMIZED=FALSE&amp;VAR:CALENDAR=US&amp;VAR:SYMBOL=38259P50&amp;VAR:INDEX=0"}</definedName>
    <definedName name="_2916__FDSAUDITLINK__">{"fdsup://directions/FAT Viewer?action=UPDATE&amp;creator=factset&amp;DYN_ARGS=TRUE&amp;DOC_NAME=FAT:FQL_AUDITING_CLIENT_TEMPLATE.FAT&amp;display_string=Audit&amp;VAR:KEY=EVWHYPGNUJ&amp;VAR:QUERY=KFBfUFJJQ0UoNDAxNDIpLShGRl9DQVNIX1NUKFFUUiw0MDE0MikvUF9DT01fU0hTX09VVCg0MDE0MikpKS9GR","V9FU1RJTUFURSgnRVBTJywnTUVBTicsJ0FOTlVBTF9ST0xMJywnKzEnLDQwMTQyLCwsJycp&amp;WINDOW=FIRST_POPUP&amp;HEIGHT=450&amp;WIDTH=450&amp;START_MAXIMIZED=FALSE&amp;VAR:CALENDAR=US&amp;VAR:SYMBOL=38259P50&amp;VAR:INDEX=0"}</definedName>
    <definedName name="_2917__FDSAUDITLINK__">{"fdsup://directions/FAT Viewer?action=UPDATE&amp;creator=factset&amp;DYN_ARGS=TRUE&amp;DOC_NAME=FAT:FQL_AUDITING_CLIENT_TEMPLATE.FAT&amp;display_string=Audit&amp;VAR:KEY=YBYVSHAJKX&amp;VAR:QUERY=KFBfUFJJQ0UoNDAxNDEpLShGRl9DQVNIX1NUKFFUUiw0MDE0MSkvUF9DT01fU0hTX09VVCg0MDE0MSkpKS9GR","V9FU1RJTUFURSgnRVBTJywnTUVBTicsJ0FOTlVBTF9ST0xMJywnKzEnLDQwMTQxLCwsJycp&amp;WINDOW=FIRST_POPUP&amp;HEIGHT=450&amp;WIDTH=450&amp;START_MAXIMIZED=FALSE&amp;VAR:CALENDAR=US&amp;VAR:SYMBOL=38259P50&amp;VAR:INDEX=0"}</definedName>
    <definedName name="_2918__FDSAUDITLINK__">{"fdsup://directions/FAT Viewer?action=UPDATE&amp;creator=factset&amp;DYN_ARGS=TRUE&amp;DOC_NAME=FAT:FQL_AUDITING_CLIENT_TEMPLATE.FAT&amp;display_string=Audit&amp;VAR:KEY=YBYVSHAJKX&amp;VAR:QUERY=KFBfUFJJQ0UoNDAxNDEpLShGRl9DQVNIX1NUKFFUUiw0MDE0MSkvUF9DT01fU0hTX09VVCg0MDE0MSkpKS9GR","V9FU1RJTUFURSgnRVBTJywnTUVBTicsJ0FOTlVBTF9ST0xMJywnKzEnLDQwMTQxLCwsJycp&amp;WINDOW=FIRST_POPUP&amp;HEIGHT=450&amp;WIDTH=450&amp;START_MAXIMIZED=FALSE&amp;VAR:CALENDAR=US&amp;VAR:SYMBOL=38259P50&amp;VAR:INDEX=0"}</definedName>
    <definedName name="_2919__FDSAUDITLINK__">{"fdsup://directions/FAT Viewer?action=UPDATE&amp;creator=factset&amp;DYN_ARGS=TRUE&amp;DOC_NAME=FAT:FQL_AUDITING_CLIENT_TEMPLATE.FAT&amp;display_string=Audit&amp;VAR:KEY=YTSLGDELIH&amp;VAR:QUERY=KFBfUFJJQ0UoNDAxNDApLShGRl9DQVNIX1NUKFFUUiw0MDE0MCkvUF9DT01fU0hTX09VVCg0MDE0MCkpKS9GR","V9FU1RJTUFURSgnRVBTJywnTUVBTicsJ0FOTlVBTF9ST0xMJywnKzEnLDQwMTQwLCwsJycp&amp;WINDOW=FIRST_POPUP&amp;HEIGHT=450&amp;WIDTH=450&amp;START_MAXIMIZED=FALSE&amp;VAR:CALENDAR=US&amp;VAR:SYMBOL=38259P50&amp;VAR:INDEX=0"}</definedName>
    <definedName name="_29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237"}</definedName>
    <definedName name="_2920__FDSAUDITLINK__">{"fdsup://directions/FAT Viewer?action=UPDATE&amp;creator=factset&amp;DYN_ARGS=TRUE&amp;DOC_NAME=FAT:FQL_AUDITING_CLIENT_TEMPLATE.FAT&amp;display_string=Audit&amp;VAR:KEY=YTSLGDELIH&amp;VAR:QUERY=KFBfUFJJQ0UoNDAxNDApLShGRl9DQVNIX1NUKFFUUiw0MDE0MCkvUF9DT01fU0hTX09VVCg0MDE0MCkpKS9GR","V9FU1RJTUFURSgnRVBTJywnTUVBTicsJ0FOTlVBTF9ST0xMJywnKzEnLDQwMTQwLCwsJycp&amp;WINDOW=FIRST_POPUP&amp;HEIGHT=450&amp;WIDTH=450&amp;START_MAXIMIZED=FALSE&amp;VAR:CALENDAR=US&amp;VAR:SYMBOL=38259P50&amp;VAR:INDEX=0"}</definedName>
    <definedName name="_2921__FDSAUDITLINK__">{"fdsup://directions/FAT Viewer?action=UPDATE&amp;creator=factset&amp;DYN_ARGS=TRUE&amp;DOC_NAME=FAT:FQL_AUDITING_CLIENT_TEMPLATE.FAT&amp;display_string=Audit&amp;VAR:KEY=GFWNKVKPKL&amp;VAR:QUERY=KFBfUFJJQ0UoNDAxMzkpLShGRl9DQVNIX1NUKFFUUiw0MDEzOSkvUF9DT01fU0hTX09VVCg0MDEzOSkpKS9GR","V9FU1RJTUFURSgnRVBTJywnTUVBTicsJ0FOTlVBTF9ST0xMJywnKzEnLDQwMTM5LCwsJycp&amp;WINDOW=FIRST_POPUP&amp;HEIGHT=450&amp;WIDTH=450&amp;START_MAXIMIZED=FALSE&amp;VAR:CALENDAR=US&amp;VAR:SYMBOL=38259P50&amp;VAR:INDEX=0"}</definedName>
    <definedName name="_2922__FDSAUDITLINK__">{"fdsup://directions/FAT Viewer?action=UPDATE&amp;creator=factset&amp;DYN_ARGS=TRUE&amp;DOC_NAME=FAT:FQL_AUDITING_CLIENT_TEMPLATE.FAT&amp;display_string=Audit&amp;VAR:KEY=GFWNKVKPKL&amp;VAR:QUERY=KFBfUFJJQ0UoNDAxMzkpLShGRl9DQVNIX1NUKFFUUiw0MDEzOSkvUF9DT01fU0hTX09VVCg0MDEzOSkpKS9GR","V9FU1RJTUFURSgnRVBTJywnTUVBTicsJ0FOTlVBTF9ST0xMJywnKzEnLDQwMTM5LCwsJycp&amp;WINDOW=FIRST_POPUP&amp;HEIGHT=450&amp;WIDTH=450&amp;START_MAXIMIZED=FALSE&amp;VAR:CALENDAR=US&amp;VAR:SYMBOL=38259P50&amp;VAR:INDEX=0"}</definedName>
    <definedName name="_2923__FDSAUDITLINK__">{"fdsup://directions/FAT Viewer?action=UPDATE&amp;creator=factset&amp;DYN_ARGS=TRUE&amp;DOC_NAME=FAT:FQL_AUDITING_CLIENT_TEMPLATE.FAT&amp;display_string=Audit&amp;VAR:KEY=IFMHMRYBOX&amp;VAR:QUERY=KFBfUFJJQ0UoNDAxMzgpLShGRl9DQVNIX1NUKFFUUiw0MDEzOCkvUF9DT01fU0hTX09VVCg0MDEzOCkpKS9GR","V9FU1RJTUFURSgnRVBTJywnTUVBTicsJ0FOTlVBTF9ST0xMJywnKzEnLDQwMTM4LCwsJycp&amp;WINDOW=FIRST_POPUP&amp;HEIGHT=450&amp;WIDTH=450&amp;START_MAXIMIZED=FALSE&amp;VAR:CALENDAR=US&amp;VAR:SYMBOL=38259P50&amp;VAR:INDEX=0"}</definedName>
    <definedName name="_2924__FDSAUDITLINK__">{"fdsup://directions/FAT Viewer?action=UPDATE&amp;creator=factset&amp;DYN_ARGS=TRUE&amp;DOC_NAME=FAT:FQL_AUDITING_CLIENT_TEMPLATE.FAT&amp;display_string=Audit&amp;VAR:KEY=IFMHMRYBOX&amp;VAR:QUERY=KFBfUFJJQ0UoNDAxMzgpLShGRl9DQVNIX1NUKFFUUiw0MDEzOCkvUF9DT01fU0hTX09VVCg0MDEzOCkpKS9GR","V9FU1RJTUFURSgnRVBTJywnTUVBTicsJ0FOTlVBTF9ST0xMJywnKzEnLDQwMTM4LCwsJycp&amp;WINDOW=FIRST_POPUP&amp;HEIGHT=450&amp;WIDTH=450&amp;START_MAXIMIZED=FALSE&amp;VAR:CALENDAR=US&amp;VAR:SYMBOL=38259P50&amp;VAR:INDEX=0"}</definedName>
    <definedName name="_2925__FDSAUDITLINK__">{"fdsup://directions/FAT Viewer?action=UPDATE&amp;creator=factset&amp;DYN_ARGS=TRUE&amp;DOC_NAME=FAT:FQL_AUDITING_CLIENT_TEMPLATE.FAT&amp;display_string=Audit&amp;VAR:KEY=UZAPQNEHUX&amp;VAR:QUERY=KFBfUFJJQ0UoNDAxMzcpLShGRl9DQVNIX1NUKFFUUiw0MDEzNykvUF9DT01fU0hTX09VVCg0MDEzNykpKS9GR","V9FU1RJTUFURSgnRVBTJywnTUVBTicsJ0FOTlVBTF9ST0xMJywnKzEnLDQwMTM3LCwsJycp&amp;WINDOW=FIRST_POPUP&amp;HEIGHT=450&amp;WIDTH=450&amp;START_MAXIMIZED=FALSE&amp;VAR:CALENDAR=US&amp;VAR:SYMBOL=38259P50&amp;VAR:INDEX=0"}</definedName>
    <definedName name="_2926__FDSAUDITLINK__">{"fdsup://directions/FAT Viewer?action=UPDATE&amp;creator=factset&amp;DYN_ARGS=TRUE&amp;DOC_NAME=FAT:FQL_AUDITING_CLIENT_TEMPLATE.FAT&amp;display_string=Audit&amp;VAR:KEY=UZAPQNEHUX&amp;VAR:QUERY=KFBfUFJJQ0UoNDAxMzcpLShGRl9DQVNIX1NUKFFUUiw0MDEzNykvUF9DT01fU0hTX09VVCg0MDEzNykpKS9GR","V9FU1RJTUFURSgnRVBTJywnTUVBTicsJ0FOTlVBTF9ST0xMJywnKzEnLDQwMTM3LCwsJycp&amp;WINDOW=FIRST_POPUP&amp;HEIGHT=450&amp;WIDTH=450&amp;START_MAXIMIZED=FALSE&amp;VAR:CALENDAR=US&amp;VAR:SYMBOL=38259P50&amp;VAR:INDEX=0"}</definedName>
    <definedName name="_2927__FDSAUDITLINK__">{"fdsup://directions/FAT Viewer?action=UPDATE&amp;creator=factset&amp;DYN_ARGS=TRUE&amp;DOC_NAME=FAT:FQL_AUDITING_CLIENT_TEMPLATE.FAT&amp;display_string=Audit&amp;VAR:KEY=AXIXULKNMJ&amp;VAR:QUERY=KFBfUFJJQ0UoNDAxMzYpLShGRl9DQVNIX1NUKFFUUiw0MDEzNikvUF9DT01fU0hTX09VVCg0MDEzNikpKS9GR","V9FU1RJTUFURSgnRVBTJywnTUVBTicsJ0FOTlVBTF9ST0xMJywnKzEnLDQwMTM2LCwsJycp&amp;WINDOW=FIRST_POPUP&amp;HEIGHT=450&amp;WIDTH=450&amp;START_MAXIMIZED=FALSE&amp;VAR:CALENDAR=US&amp;VAR:SYMBOL=38259P50&amp;VAR:INDEX=0"}</definedName>
    <definedName name="_2928__FDSAUDITLINK__">{"fdsup://directions/FAT Viewer?action=UPDATE&amp;creator=factset&amp;DYN_ARGS=TRUE&amp;DOC_NAME=FAT:FQL_AUDITING_CLIENT_TEMPLATE.FAT&amp;display_string=Audit&amp;VAR:KEY=AXIXULKNMJ&amp;VAR:QUERY=KFBfUFJJQ0UoNDAxMzYpLShGRl9DQVNIX1NUKFFUUiw0MDEzNikvUF9DT01fU0hTX09VVCg0MDEzNikpKS9GR","V9FU1RJTUFURSgnRVBTJywnTUVBTicsJ0FOTlVBTF9ST0xMJywnKzEnLDQwMTM2LCwsJycp&amp;WINDOW=FIRST_POPUP&amp;HEIGHT=450&amp;WIDTH=450&amp;START_MAXIMIZED=FALSE&amp;VAR:CALENDAR=US&amp;VAR:SYMBOL=38259P50&amp;VAR:INDEX=0"}</definedName>
    <definedName name="_2929__FDSAUDITLINK__">{"fdsup://directions/FAT Viewer?action=UPDATE&amp;creator=factset&amp;DYN_ARGS=TRUE&amp;DOC_NAME=FAT:FQL_AUDITING_CLIENT_TEMPLATE.FAT&amp;display_string=Audit&amp;VAR:KEY=IDWNGXABEN&amp;VAR:QUERY=KFBfUFJJQ0UoNDAxMzUpLShGRl9DQVNIX1NUKFFUUiw0MDEzNSkvUF9DT01fU0hTX09VVCg0MDEzNSkpKS9GR","V9FU1RJTUFURSgnRVBTJywnTUVBTicsJ0FOTlVBTF9ST0xMJywnKzEnLDQwMTM1LCwsJycp&amp;WINDOW=FIRST_POPUP&amp;HEIGHT=450&amp;WIDTH=450&amp;START_MAXIMIZED=FALSE&amp;VAR:CALENDAR=US&amp;VAR:SYMBOL=38259P50&amp;VAR:INDEX=0"}</definedName>
    <definedName name="_29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236"}</definedName>
    <definedName name="_2930__FDSAUDITLINK__">{"fdsup://directions/FAT Viewer?action=UPDATE&amp;creator=factset&amp;DYN_ARGS=TRUE&amp;DOC_NAME=FAT:FQL_AUDITING_CLIENT_TEMPLATE.FAT&amp;display_string=Audit&amp;VAR:KEY=IDWNGXABEN&amp;VAR:QUERY=KFBfUFJJQ0UoNDAxMzUpLShGRl9DQVNIX1NUKFFUUiw0MDEzNSkvUF9DT01fU0hTX09VVCg0MDEzNSkpKS9GR","V9FU1RJTUFURSgnRVBTJywnTUVBTicsJ0FOTlVBTF9ST0xMJywnKzEnLDQwMTM1LCwsJycp&amp;WINDOW=FIRST_POPUP&amp;HEIGHT=450&amp;WIDTH=450&amp;START_MAXIMIZED=FALSE&amp;VAR:CALENDAR=US&amp;VAR:SYMBOL=38259P50&amp;VAR:INDEX=0"}</definedName>
    <definedName name="_2931__FDSAUDITLINK__">{"fdsup://directions/FAT Viewer?action=UPDATE&amp;creator=factset&amp;DYN_ARGS=TRUE&amp;DOC_NAME=FAT:FQL_AUDITING_CLIENT_TEMPLATE.FAT&amp;display_string=Audit&amp;VAR:KEY=CNAVODKROH&amp;VAR:QUERY=KFBfUFJJQ0UoNDAxMzQpLShGRl9DQVNIX1NUKFFUUiw0MDEzNCkvUF9DT01fU0hTX09VVCg0MDEzNCkpKS9GR","V9FU1RJTUFURSgnRVBTJywnTUVBTicsJ0FOTlVBTF9ST0xMJywnKzEnLDQwMTM0LCwsJycp&amp;WINDOW=FIRST_POPUP&amp;HEIGHT=450&amp;WIDTH=450&amp;START_MAXIMIZED=FALSE&amp;VAR:CALENDAR=US&amp;VAR:SYMBOL=38259P50&amp;VAR:INDEX=0"}</definedName>
    <definedName name="_2932__FDSAUDITLINK__">{"fdsup://directions/FAT Viewer?action=UPDATE&amp;creator=factset&amp;DYN_ARGS=TRUE&amp;DOC_NAME=FAT:FQL_AUDITING_CLIENT_TEMPLATE.FAT&amp;display_string=Audit&amp;VAR:KEY=CNAVODKROH&amp;VAR:QUERY=KFBfUFJJQ0UoNDAxMzQpLShGRl9DQVNIX1NUKFFUUiw0MDEzNCkvUF9DT01fU0hTX09VVCg0MDEzNCkpKS9GR","V9FU1RJTUFURSgnRVBTJywnTUVBTicsJ0FOTlVBTF9ST0xMJywnKzEnLDQwMTM0LCwsJycp&amp;WINDOW=FIRST_POPUP&amp;HEIGHT=450&amp;WIDTH=450&amp;START_MAXIMIZED=FALSE&amp;VAR:CALENDAR=US&amp;VAR:SYMBOL=38259P50&amp;VAR:INDEX=0"}</definedName>
    <definedName name="_2933__FDSAUDITLINK__">{"fdsup://directions/FAT Viewer?action=UPDATE&amp;creator=factset&amp;DYN_ARGS=TRUE&amp;DOC_NAME=FAT:FQL_AUDITING_CLIENT_TEMPLATE.FAT&amp;display_string=Audit&amp;VAR:KEY=UPULYTOBUV&amp;VAR:QUERY=KFBfUFJJQ0UoNDAxMzMpLShGRl9DQVNIX1NUKFFUUiw0MDEzMykvUF9DT01fU0hTX09VVCg0MDEzMykpKS9GR","V9FU1RJTUFURSgnRVBTJywnTUVBTicsJ0FOTlVBTF9ST0xMJywnKzEnLDQwMTMzLCwsJycp&amp;WINDOW=FIRST_POPUP&amp;HEIGHT=450&amp;WIDTH=450&amp;START_MAXIMIZED=FALSE&amp;VAR:CALENDAR=US&amp;VAR:SYMBOL=38259P50&amp;VAR:INDEX=0"}</definedName>
    <definedName name="_2934__FDSAUDITLINK__">{"fdsup://directions/FAT Viewer?action=UPDATE&amp;creator=factset&amp;DYN_ARGS=TRUE&amp;DOC_NAME=FAT:FQL_AUDITING_CLIENT_TEMPLATE.FAT&amp;display_string=Audit&amp;VAR:KEY=UPULYTOBUV&amp;VAR:QUERY=KFBfUFJJQ0UoNDAxMzMpLShGRl9DQVNIX1NUKFFUUiw0MDEzMykvUF9DT01fU0hTX09VVCg0MDEzMykpKS9GR","V9FU1RJTUFURSgnRVBTJywnTUVBTicsJ0FOTlVBTF9ST0xMJywnKzEnLDQwMTMzLCwsJycp&amp;WINDOW=FIRST_POPUP&amp;HEIGHT=450&amp;WIDTH=450&amp;START_MAXIMIZED=FALSE&amp;VAR:CALENDAR=US&amp;VAR:SYMBOL=38259P50&amp;VAR:INDEX=0"}</definedName>
    <definedName name="_2935__FDSAUDITLINK__">{"fdsup://directions/FAT Viewer?action=UPDATE&amp;creator=factset&amp;DYN_ARGS=TRUE&amp;DOC_NAME=FAT:FQL_AUDITING_CLIENT_TEMPLATE.FAT&amp;display_string=Audit&amp;VAR:KEY=EJGPUDMFQT&amp;VAR:QUERY=KFBfUFJJQ0UoNDAxMzIpLShGRl9DQVNIX1NUKFFUUiw0MDEzMikvUF9DT01fU0hTX09VVCg0MDEzMikpKS9GR","V9FU1RJTUFURSgnRVBTJywnTUVBTicsJ0FOTlVBTF9ST0xMJywnKzEnLDQwMTMyLCwsJycp&amp;WINDOW=FIRST_POPUP&amp;HEIGHT=450&amp;WIDTH=450&amp;START_MAXIMIZED=FALSE&amp;VAR:CALENDAR=US&amp;VAR:SYMBOL=38259P50&amp;VAR:INDEX=0"}</definedName>
    <definedName name="_2936__FDSAUDITLINK__">{"fdsup://directions/FAT Viewer?action=UPDATE&amp;creator=factset&amp;DYN_ARGS=TRUE&amp;DOC_NAME=FAT:FQL_AUDITING_CLIENT_TEMPLATE.FAT&amp;display_string=Audit&amp;VAR:KEY=EJGPUDMFQT&amp;VAR:QUERY=KFBfUFJJQ0UoNDAxMzIpLShGRl9DQVNIX1NUKFFUUiw0MDEzMikvUF9DT01fU0hTX09VVCg0MDEzMikpKS9GR","V9FU1RJTUFURSgnRVBTJywnTUVBTicsJ0FOTlVBTF9ST0xMJywnKzEnLDQwMTMyLCwsJycp&amp;WINDOW=FIRST_POPUP&amp;HEIGHT=450&amp;WIDTH=450&amp;START_MAXIMIZED=FALSE&amp;VAR:CALENDAR=US&amp;VAR:SYMBOL=38259P50&amp;VAR:INDEX=0"}</definedName>
    <definedName name="_2937__FDSAUDITLINK__">{"fdsup://directions/FAT Viewer?action=UPDATE&amp;creator=factset&amp;DYN_ARGS=TRUE&amp;DOC_NAME=FAT:FQL_AUDITING_CLIENT_TEMPLATE.FAT&amp;display_string=Audit&amp;VAR:KEY=GFCFMRONCF&amp;VAR:QUERY=KFBfUFJJQ0UoNDAxMzEpLShGRl9DQVNIX1NUKFFUUiw0MDEzMSkvUF9DT01fU0hTX09VVCg0MDEzMSkpKS9GR","V9FU1RJTUFURSgnRVBTJywnTUVBTicsJ0FOTlVBTF9ST0xMJywnKzEnLDQwMTMxLCwsJycp&amp;WINDOW=FIRST_POPUP&amp;HEIGHT=450&amp;WIDTH=450&amp;START_MAXIMIZED=FALSE&amp;VAR:CALENDAR=US&amp;VAR:SYMBOL=38259P50&amp;VAR:INDEX=0"}</definedName>
    <definedName name="_2938__FDSAUDITLINK__">{"fdsup://directions/FAT Viewer?action=UPDATE&amp;creator=factset&amp;DYN_ARGS=TRUE&amp;DOC_NAME=FAT:FQL_AUDITING_CLIENT_TEMPLATE.FAT&amp;display_string=Audit&amp;VAR:KEY=GFCFMRONCF&amp;VAR:QUERY=KFBfUFJJQ0UoNDAxMzEpLShGRl9DQVNIX1NUKFFUUiw0MDEzMSkvUF9DT01fU0hTX09VVCg0MDEzMSkpKS9GR","V9FU1RJTUFURSgnRVBTJywnTUVBTicsJ0FOTlVBTF9ST0xMJywnKzEnLDQwMTMxLCwsJycp&amp;WINDOW=FIRST_POPUP&amp;HEIGHT=450&amp;WIDTH=450&amp;START_MAXIMIZED=FALSE&amp;VAR:CALENDAR=US&amp;VAR:SYMBOL=38259P50&amp;VAR:INDEX=0"}</definedName>
    <definedName name="_2939__FDSAUDITLINK__">{"fdsup://directions/FAT Viewer?action=UPDATE&amp;creator=factset&amp;DYN_ARGS=TRUE&amp;DOC_NAME=FAT:FQL_AUDITING_CLIENT_TEMPLATE.FAT&amp;display_string=Audit&amp;VAR:KEY=UVKPAPMNCP&amp;VAR:QUERY=KFBfUFJJQ0UoNDAxMzApLShGRl9DQVNIX1NUKFFUUiw0MDEzMCkvUF9DT01fU0hTX09VVCg0MDEzMCkpKS9GR","V9FU1RJTUFURSgnRVBTJywnTUVBTicsJ0FOTlVBTF9ST0xMJywnKzEnLDQwMTMwLCwsJycp&amp;WINDOW=FIRST_POPUP&amp;HEIGHT=450&amp;WIDTH=450&amp;START_MAXIMIZED=FALSE&amp;VAR:CALENDAR=US&amp;VAR:SYMBOL=38259P50&amp;VAR:INDEX=0"}</definedName>
    <definedName name="_29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235"}</definedName>
    <definedName name="_2940__FDSAUDITLINK__">{"fdsup://directions/FAT Viewer?action=UPDATE&amp;creator=factset&amp;DYN_ARGS=TRUE&amp;DOC_NAME=FAT:FQL_AUDITING_CLIENT_TEMPLATE.FAT&amp;display_string=Audit&amp;VAR:KEY=UVKPAPMNCP&amp;VAR:QUERY=KFBfUFJJQ0UoNDAxMzApLShGRl9DQVNIX1NUKFFUUiw0MDEzMCkvUF9DT01fU0hTX09VVCg0MDEzMCkpKS9GR","V9FU1RJTUFURSgnRVBTJywnTUVBTicsJ0FOTlVBTF9ST0xMJywnKzEnLDQwMTMwLCwsJycp&amp;WINDOW=FIRST_POPUP&amp;HEIGHT=450&amp;WIDTH=450&amp;START_MAXIMIZED=FALSE&amp;VAR:CALENDAR=US&amp;VAR:SYMBOL=38259P50&amp;VAR:INDEX=0"}</definedName>
    <definedName name="_2941__FDSAUDITLINK__">{"fdsup://directions/FAT Viewer?action=UPDATE&amp;creator=factset&amp;DYN_ARGS=TRUE&amp;DOC_NAME=FAT:FQL_AUDITING_CLIENT_TEMPLATE.FAT&amp;display_string=Audit&amp;VAR:KEY=AXGZUNKREB&amp;VAR:QUERY=KFBfUFJJQ0UoNDAxMjkpLShGRl9DQVNIX1NUKFFUUiw0MDEyOSkvUF9DT01fU0hTX09VVCg0MDEyOSkpKS9GR","V9FU1RJTUFURSgnRVBTJywnTUVBTicsJ0FOTlVBTF9ST0xMJywnKzEnLDQwMTI5LCwsJycp&amp;WINDOW=FIRST_POPUP&amp;HEIGHT=450&amp;WIDTH=450&amp;START_MAXIMIZED=FALSE&amp;VAR:CALENDAR=US&amp;VAR:SYMBOL=38259P50&amp;VAR:INDEX=0"}</definedName>
    <definedName name="_2942__FDSAUDITLINK__">{"fdsup://directions/FAT Viewer?action=UPDATE&amp;creator=factset&amp;DYN_ARGS=TRUE&amp;DOC_NAME=FAT:FQL_AUDITING_CLIENT_TEMPLATE.FAT&amp;display_string=Audit&amp;VAR:KEY=AXGZUNKREB&amp;VAR:QUERY=KFBfUFJJQ0UoNDAxMjkpLShGRl9DQVNIX1NUKFFUUiw0MDEyOSkvUF9DT01fU0hTX09VVCg0MDEyOSkpKS9GR","V9FU1RJTUFURSgnRVBTJywnTUVBTicsJ0FOTlVBTF9ST0xMJywnKzEnLDQwMTI5LCwsJycp&amp;WINDOW=FIRST_POPUP&amp;HEIGHT=450&amp;WIDTH=450&amp;START_MAXIMIZED=FALSE&amp;VAR:CALENDAR=US&amp;VAR:SYMBOL=38259P50&amp;VAR:INDEX=0"}</definedName>
    <definedName name="_2943__FDSAUDITLINK__">{"fdsup://directions/FAT Viewer?action=UPDATE&amp;creator=factset&amp;DYN_ARGS=TRUE&amp;DOC_NAME=FAT:FQL_AUDITING_CLIENT_TEMPLATE.FAT&amp;display_string=Audit&amp;VAR:KEY=GHIJIJYJST&amp;VAR:QUERY=KFBfUFJJQ0UoNDAxMjgpLShGRl9DQVNIX1NUKFFUUiw0MDEyOCkvUF9DT01fU0hTX09VVCg0MDEyOCkpKS9GR","V9FU1RJTUFURSgnRVBTJywnTUVBTicsJ0FOTlVBTF9ST0xMJywnKzEnLDQwMTI4LCwsJycp&amp;WINDOW=FIRST_POPUP&amp;HEIGHT=450&amp;WIDTH=450&amp;START_MAXIMIZED=FALSE&amp;VAR:CALENDAR=US&amp;VAR:SYMBOL=38259P50&amp;VAR:INDEX=0"}</definedName>
    <definedName name="_2944__FDSAUDITLINK__">{"fdsup://directions/FAT Viewer?action=UPDATE&amp;creator=factset&amp;DYN_ARGS=TRUE&amp;DOC_NAME=FAT:FQL_AUDITING_CLIENT_TEMPLATE.FAT&amp;display_string=Audit&amp;VAR:KEY=GHIJIJYJST&amp;VAR:QUERY=KFBfUFJJQ0UoNDAxMjgpLShGRl9DQVNIX1NUKFFUUiw0MDEyOCkvUF9DT01fU0hTX09VVCg0MDEyOCkpKS9GR","V9FU1RJTUFURSgnRVBTJywnTUVBTicsJ0FOTlVBTF9ST0xMJywnKzEnLDQwMTI4LCwsJycp&amp;WINDOW=FIRST_POPUP&amp;HEIGHT=450&amp;WIDTH=450&amp;START_MAXIMIZED=FALSE&amp;VAR:CALENDAR=US&amp;VAR:SYMBOL=38259P50&amp;VAR:INDEX=0"}</definedName>
    <definedName name="_2945__FDSAUDITLINK__">{"fdsup://directions/FAT Viewer?action=UPDATE&amp;creator=factset&amp;DYN_ARGS=TRUE&amp;DOC_NAME=FAT:FQL_AUDITING_CLIENT_TEMPLATE.FAT&amp;display_string=Audit&amp;VAR:KEY=YFSFEBYLYT&amp;VAR:QUERY=KFBfUFJJQ0UoNDAxMjcpLShGRl9DQVNIX1NUKFFUUiw0MDEyNykvUF9DT01fU0hTX09VVCg0MDEyNykpKS9GR","V9FU1RJTUFURSgnRVBTJywnTUVBTicsJ0FOTlVBTF9ST0xMJywnKzEnLDQwMTI3LCwsJycp&amp;WINDOW=FIRST_POPUP&amp;HEIGHT=450&amp;WIDTH=450&amp;START_MAXIMIZED=FALSE&amp;VAR:CALENDAR=US&amp;VAR:SYMBOL=38259P50&amp;VAR:INDEX=0"}</definedName>
    <definedName name="_2946__FDSAUDITLINK__">{"fdsup://directions/FAT Viewer?action=UPDATE&amp;creator=factset&amp;DYN_ARGS=TRUE&amp;DOC_NAME=FAT:FQL_AUDITING_CLIENT_TEMPLATE.FAT&amp;display_string=Audit&amp;VAR:KEY=YFSFEBYLYT&amp;VAR:QUERY=KFBfUFJJQ0UoNDAxMjcpLShGRl9DQVNIX1NUKFFUUiw0MDEyNykvUF9DT01fU0hTX09VVCg0MDEyNykpKS9GR","V9FU1RJTUFURSgnRVBTJywnTUVBTicsJ0FOTlVBTF9ST0xMJywnKzEnLDQwMTI3LCwsJycp&amp;WINDOW=FIRST_POPUP&amp;HEIGHT=450&amp;WIDTH=450&amp;START_MAXIMIZED=FALSE&amp;VAR:CALENDAR=US&amp;VAR:SYMBOL=38259P50&amp;VAR:INDEX=0"}</definedName>
    <definedName name="_2947__FDSAUDITLINK__">{"fdsup://directions/FAT Viewer?action=UPDATE&amp;creator=factset&amp;DYN_ARGS=TRUE&amp;DOC_NAME=FAT:FQL_AUDITING_CLIENT_TEMPLATE.FAT&amp;display_string=Audit&amp;VAR:KEY=GLOHSVEFGJ&amp;VAR:QUERY=KFBfUFJJQ0UoNDAxMjYpLShGRl9DQVNIX1NUKFFUUiw0MDEyNikvUF9DT01fU0hTX09VVCg0MDEyNikpKS9GR","V9FU1RJTUFURSgnRVBTJywnTUVBTicsJ0FOTlVBTF9ST0xMJywnKzEnLDQwMTI2LCwsJycp&amp;WINDOW=FIRST_POPUP&amp;HEIGHT=450&amp;WIDTH=450&amp;START_MAXIMIZED=FALSE&amp;VAR:CALENDAR=US&amp;VAR:SYMBOL=38259P50&amp;VAR:INDEX=0"}</definedName>
    <definedName name="_2948__FDSAUDITLINK__">{"fdsup://directions/FAT Viewer?action=UPDATE&amp;creator=factset&amp;DYN_ARGS=TRUE&amp;DOC_NAME=FAT:FQL_AUDITING_CLIENT_TEMPLATE.FAT&amp;display_string=Audit&amp;VAR:KEY=GLOHSVEFGJ&amp;VAR:QUERY=KFBfUFJJQ0UoNDAxMjYpLShGRl9DQVNIX1NUKFFUUiw0MDEyNikvUF9DT01fU0hTX09VVCg0MDEyNikpKS9GR","V9FU1RJTUFURSgnRVBTJywnTUVBTicsJ0FOTlVBTF9ST0xMJywnKzEnLDQwMTI2LCwsJycp&amp;WINDOW=FIRST_POPUP&amp;HEIGHT=450&amp;WIDTH=450&amp;START_MAXIMIZED=FALSE&amp;VAR:CALENDAR=US&amp;VAR:SYMBOL=38259P50&amp;VAR:INDEX=0"}</definedName>
    <definedName name="_2949__FDSAUDITLINK__">{"fdsup://directions/FAT Viewer?action=UPDATE&amp;creator=factset&amp;DYN_ARGS=TRUE&amp;DOC_NAME=FAT:FQL_AUDITING_CLIENT_TEMPLATE.FAT&amp;display_string=Audit&amp;VAR:KEY=OZANWRSPID&amp;VAR:QUERY=KFBfUFJJQ0UoNDAxMjUpLShGRl9DQVNIX1NUKFFUUiw0MDEyNSkvUF9DT01fU0hTX09VVCg0MDEyNSkpKS9GR","V9FU1RJTUFURSgnRVBTJywnTUVBTicsJ0FOTlVBTF9ST0xMJywnKzEnLDQwMTI1LCwsJycp&amp;WINDOW=FIRST_POPUP&amp;HEIGHT=450&amp;WIDTH=450&amp;START_MAXIMIZED=FALSE&amp;VAR:CALENDAR=US&amp;VAR:SYMBOL=38259P50&amp;VAR:INDEX=0"}</definedName>
    <definedName name="_29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234"}</definedName>
    <definedName name="_2950__FDSAUDITLINK__">{"fdsup://directions/FAT Viewer?action=UPDATE&amp;creator=factset&amp;DYN_ARGS=TRUE&amp;DOC_NAME=FAT:FQL_AUDITING_CLIENT_TEMPLATE.FAT&amp;display_string=Audit&amp;VAR:KEY=OZANWRSPID&amp;VAR:QUERY=KFBfUFJJQ0UoNDAxMjUpLShGRl9DQVNIX1NUKFFUUiw0MDEyNSkvUF9DT01fU0hTX09VVCg0MDEyNSkpKS9GR","V9FU1RJTUFURSgnRVBTJywnTUVBTicsJ0FOTlVBTF9ST0xMJywnKzEnLDQwMTI1LCwsJycp&amp;WINDOW=FIRST_POPUP&amp;HEIGHT=450&amp;WIDTH=450&amp;START_MAXIMIZED=FALSE&amp;VAR:CALENDAR=US&amp;VAR:SYMBOL=38259P50&amp;VAR:INDEX=0"}</definedName>
    <definedName name="_2951__FDSAUDITLINK__">{"fdsup://directions/FAT Viewer?action=UPDATE&amp;creator=factset&amp;DYN_ARGS=TRUE&amp;DOC_NAME=FAT:FQL_AUDITING_CLIENT_TEMPLATE.FAT&amp;display_string=Audit&amp;VAR:KEY=SLIXOTAVOJ&amp;VAR:QUERY=KFBfUFJJQ0UoNDAxMjQpLShGRl9DQVNIX1NUKFFUUiw0MDEyNCkvUF9DT01fU0hTX09VVCg0MDEyNCkpKS9GR","V9FU1RJTUFURSgnRVBTJywnTUVBTicsJ0FOTlVBTF9ST0xMJywnKzEnLDQwMTI0LCwsJycp&amp;WINDOW=FIRST_POPUP&amp;HEIGHT=450&amp;WIDTH=450&amp;START_MAXIMIZED=FALSE&amp;VAR:CALENDAR=US&amp;VAR:SYMBOL=38259P50&amp;VAR:INDEX=0"}</definedName>
    <definedName name="_2952__FDSAUDITLINK__">{"fdsup://directions/FAT Viewer?action=UPDATE&amp;creator=factset&amp;DYN_ARGS=TRUE&amp;DOC_NAME=FAT:FQL_AUDITING_CLIENT_TEMPLATE.FAT&amp;display_string=Audit&amp;VAR:KEY=SLIXOTAVOJ&amp;VAR:QUERY=KFBfUFJJQ0UoNDAxMjQpLShGRl9DQVNIX1NUKFFUUiw0MDEyNCkvUF9DT01fU0hTX09VVCg0MDEyNCkpKS9GR","V9FU1RJTUFURSgnRVBTJywnTUVBTicsJ0FOTlVBTF9ST0xMJywnKzEnLDQwMTI0LCwsJycp&amp;WINDOW=FIRST_POPUP&amp;HEIGHT=450&amp;WIDTH=450&amp;START_MAXIMIZED=FALSE&amp;VAR:CALENDAR=US&amp;VAR:SYMBOL=38259P50&amp;VAR:INDEX=0"}</definedName>
    <definedName name="_2953__FDSAUDITLINK__">{"fdsup://directions/FAT Viewer?action=UPDATE&amp;creator=factset&amp;DYN_ARGS=TRUE&amp;DOC_NAME=FAT:FQL_AUDITING_CLIENT_TEMPLATE.FAT&amp;display_string=Audit&amp;VAR:KEY=SPMFQTGTWR&amp;VAR:QUERY=KFBfUFJJQ0UoNDAxMjMpLShGRl9DQVNIX1NUKFFUUiw0MDEyMykvUF9DT01fU0hTX09VVCg0MDEyMykpKS9GR","V9FU1RJTUFURSgnRVBTJywnTUVBTicsJ0FOTlVBTF9ST0xMJywnKzEnLDQwMTIzLCwsJycp&amp;WINDOW=FIRST_POPUP&amp;HEIGHT=450&amp;WIDTH=450&amp;START_MAXIMIZED=FALSE&amp;VAR:CALENDAR=US&amp;VAR:SYMBOL=38259P50&amp;VAR:INDEX=0"}</definedName>
    <definedName name="_2954__FDSAUDITLINK__">{"fdsup://directions/FAT Viewer?action=UPDATE&amp;creator=factset&amp;DYN_ARGS=TRUE&amp;DOC_NAME=FAT:FQL_AUDITING_CLIENT_TEMPLATE.FAT&amp;display_string=Audit&amp;VAR:KEY=SPMFQTGTWR&amp;VAR:QUERY=KFBfUFJJQ0UoNDAxMjMpLShGRl9DQVNIX1NUKFFUUiw0MDEyMykvUF9DT01fU0hTX09VVCg0MDEyMykpKS9GR","V9FU1RJTUFURSgnRVBTJywnTUVBTicsJ0FOTlVBTF9ST0xMJywnKzEnLDQwMTIzLCwsJycp&amp;WINDOW=FIRST_POPUP&amp;HEIGHT=450&amp;WIDTH=450&amp;START_MAXIMIZED=FALSE&amp;VAR:CALENDAR=US&amp;VAR:SYMBOL=38259P50&amp;VAR:INDEX=0"}</definedName>
    <definedName name="_2955__FDSAUDITLINK__">{"fdsup://directions/FAT Viewer?action=UPDATE&amp;creator=factset&amp;DYN_ARGS=TRUE&amp;DOC_NAME=FAT:FQL_AUDITING_CLIENT_TEMPLATE.FAT&amp;display_string=Audit&amp;VAR:KEY=ELAJUFUVST&amp;VAR:QUERY=KFBfUFJJQ0UoNDAxMjIpLShGRl9DQVNIX1NUKFFUUiw0MDEyMikvUF9DT01fU0hTX09VVCg0MDEyMikpKS9GR","V9FU1RJTUFURSgnRVBTJywnTUVBTicsJ0FOTlVBTF9ST0xMJywnKzEnLDQwMTIyLCwsJycp&amp;WINDOW=FIRST_POPUP&amp;HEIGHT=450&amp;WIDTH=450&amp;START_MAXIMIZED=FALSE&amp;VAR:CALENDAR=US&amp;VAR:SYMBOL=38259P50&amp;VAR:INDEX=0"}</definedName>
    <definedName name="_2956__FDSAUDITLINK__">{"fdsup://directions/FAT Viewer?action=UPDATE&amp;creator=factset&amp;DYN_ARGS=TRUE&amp;DOC_NAME=FAT:FQL_AUDITING_CLIENT_TEMPLATE.FAT&amp;display_string=Audit&amp;VAR:KEY=ELAJUFUVST&amp;VAR:QUERY=KFBfUFJJQ0UoNDAxMjIpLShGRl9DQVNIX1NUKFFUUiw0MDEyMikvUF9DT01fU0hTX09VVCg0MDEyMikpKS9GR","V9FU1RJTUFURSgnRVBTJywnTUVBTicsJ0FOTlVBTF9ST0xMJywnKzEnLDQwMTIyLCwsJycp&amp;WINDOW=FIRST_POPUP&amp;HEIGHT=450&amp;WIDTH=450&amp;START_MAXIMIZED=FALSE&amp;VAR:CALENDAR=US&amp;VAR:SYMBOL=38259P50&amp;VAR:INDEX=0"}</definedName>
    <definedName name="_2957__FDSAUDITLINK__">{"fdsup://directions/FAT Viewer?action=UPDATE&amp;creator=factset&amp;DYN_ARGS=TRUE&amp;DOC_NAME=FAT:FQL_AUDITING_CLIENT_TEMPLATE.FAT&amp;display_string=Audit&amp;VAR:KEY=CPMXWRWXYV&amp;VAR:QUERY=KFBfUFJJQ0UoNDAxMjEpLShGRl9DQVNIX1NUKFFUUiw0MDEyMSkvUF9DT01fU0hTX09VVCg0MDEyMSkpKS9GR","V9FU1RJTUFURSgnRVBTJywnTUVBTicsJ0FOTlVBTF9ST0xMJywnKzEnLDQwMTIxLCwsJycp&amp;WINDOW=FIRST_POPUP&amp;HEIGHT=450&amp;WIDTH=450&amp;START_MAXIMIZED=FALSE&amp;VAR:CALENDAR=US&amp;VAR:SYMBOL=38259P50&amp;VAR:INDEX=0"}</definedName>
    <definedName name="_2958__FDSAUDITLINK__">{"fdsup://directions/FAT Viewer?action=UPDATE&amp;creator=factset&amp;DYN_ARGS=TRUE&amp;DOC_NAME=FAT:FQL_AUDITING_CLIENT_TEMPLATE.FAT&amp;display_string=Audit&amp;VAR:KEY=CPMXWRWXYV&amp;VAR:QUERY=KFBfUFJJQ0UoNDAxMjEpLShGRl9DQVNIX1NUKFFUUiw0MDEyMSkvUF9DT01fU0hTX09VVCg0MDEyMSkpKS9GR","V9FU1RJTUFURSgnRVBTJywnTUVBTicsJ0FOTlVBTF9ST0xMJywnKzEnLDQwMTIxLCwsJycp&amp;WINDOW=FIRST_POPUP&amp;HEIGHT=450&amp;WIDTH=450&amp;START_MAXIMIZED=FALSE&amp;VAR:CALENDAR=US&amp;VAR:SYMBOL=38259P50&amp;VAR:INDEX=0"}</definedName>
    <definedName name="_2959__FDSAUDITLINK__">{"fdsup://directions/FAT Viewer?action=UPDATE&amp;creator=factset&amp;DYN_ARGS=TRUE&amp;DOC_NAME=FAT:FQL_AUDITING_CLIENT_TEMPLATE.FAT&amp;display_string=Audit&amp;VAR:KEY=AJCTGHYTOX&amp;VAR:QUERY=KFBfUFJJQ0UoNDAxMjApLShGRl9DQVNIX1NUKFFUUiw0MDEyMCkvUF9DT01fU0hTX09VVCg0MDEyMCkpKS9GR","V9FU1RJTUFURSgnRVBTJywnTUVBTicsJ0FOTlVBTF9ST0xMJywnKzEnLDQwMTIwLCwsJycp&amp;WINDOW=FIRST_POPUP&amp;HEIGHT=450&amp;WIDTH=450&amp;START_MAXIMIZED=FALSE&amp;VAR:CALENDAR=US&amp;VAR:SYMBOL=38259P50&amp;VAR:INDEX=0"}</definedName>
    <definedName name="_29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233"}</definedName>
    <definedName name="_2960__FDSAUDITLINK__">{"fdsup://directions/FAT Viewer?action=UPDATE&amp;creator=factset&amp;DYN_ARGS=TRUE&amp;DOC_NAME=FAT:FQL_AUDITING_CLIENT_TEMPLATE.FAT&amp;display_string=Audit&amp;VAR:KEY=AJCTGHYTOX&amp;VAR:QUERY=KFBfUFJJQ0UoNDAxMjApLShGRl9DQVNIX1NUKFFUUiw0MDEyMCkvUF9DT01fU0hTX09VVCg0MDEyMCkpKS9GR","V9FU1RJTUFURSgnRVBTJywnTUVBTicsJ0FOTlVBTF9ST0xMJywnKzEnLDQwMTIwLCwsJycp&amp;WINDOW=FIRST_POPUP&amp;HEIGHT=450&amp;WIDTH=450&amp;START_MAXIMIZED=FALSE&amp;VAR:CALENDAR=US&amp;VAR:SYMBOL=38259P50&amp;VAR:INDEX=0"}</definedName>
    <definedName name="_2961__FDSAUDITLINK__">{"fdsup://directions/FAT Viewer?action=UPDATE&amp;creator=factset&amp;DYN_ARGS=TRUE&amp;DOC_NAME=FAT:FQL_AUDITING_CLIENT_TEMPLATE.FAT&amp;display_string=Audit&amp;VAR:KEY=SHSTCHSNYH&amp;VAR:QUERY=KFBfUFJJQ0UoNDAxMTkpLShGRl9DQVNIX1NUKFFUUiw0MDExOSkvUF9DT01fU0hTX09VVCg0MDExOSkpKS9GR","V9FU1RJTUFURSgnRVBTJywnTUVBTicsJ0FOTlVBTF9ST0xMJywnKzEnLDQwMTE5LCwsJycp&amp;WINDOW=FIRST_POPUP&amp;HEIGHT=450&amp;WIDTH=450&amp;START_MAXIMIZED=FALSE&amp;VAR:CALENDAR=US&amp;VAR:SYMBOL=38259P50&amp;VAR:INDEX=0"}</definedName>
    <definedName name="_2962__FDSAUDITLINK__">{"fdsup://directions/FAT Viewer?action=UPDATE&amp;creator=factset&amp;DYN_ARGS=TRUE&amp;DOC_NAME=FAT:FQL_AUDITING_CLIENT_TEMPLATE.FAT&amp;display_string=Audit&amp;VAR:KEY=SHSTCHSNYH&amp;VAR:QUERY=KFBfUFJJQ0UoNDAxMTkpLShGRl9DQVNIX1NUKFFUUiw0MDExOSkvUF9DT01fU0hTX09VVCg0MDExOSkpKS9GR","V9FU1RJTUFURSgnRVBTJywnTUVBTicsJ0FOTlVBTF9ST0xMJywnKzEnLDQwMTE5LCwsJycp&amp;WINDOW=FIRST_POPUP&amp;HEIGHT=450&amp;WIDTH=450&amp;START_MAXIMIZED=FALSE&amp;VAR:CALENDAR=US&amp;VAR:SYMBOL=38259P50&amp;VAR:INDEX=0"}</definedName>
    <definedName name="_2963__FDSAUDITLINK__">{"fdsup://directions/FAT Viewer?action=UPDATE&amp;creator=factset&amp;DYN_ARGS=TRUE&amp;DOC_NAME=FAT:FQL_AUDITING_CLIENT_TEMPLATE.FAT&amp;display_string=Audit&amp;VAR:KEY=EXYFOHWXYX&amp;VAR:QUERY=KFBfUFJJQ0UoNDAxMTgpLShGRl9DQVNIX1NUKFFUUiw0MDExOCkvUF9DT01fU0hTX09VVCg0MDExOCkpKS9GR","V9FU1RJTUFURSgnRVBTJywnTUVBTicsJ0FOTlVBTF9ST0xMJywnKzEnLDQwMTE4LCwsJycp&amp;WINDOW=FIRST_POPUP&amp;HEIGHT=450&amp;WIDTH=450&amp;START_MAXIMIZED=FALSE&amp;VAR:CALENDAR=US&amp;VAR:SYMBOL=38259P50&amp;VAR:INDEX=0"}</definedName>
    <definedName name="_2964__FDSAUDITLINK__">{"fdsup://directions/FAT Viewer?action=UPDATE&amp;creator=factset&amp;DYN_ARGS=TRUE&amp;DOC_NAME=FAT:FQL_AUDITING_CLIENT_TEMPLATE.FAT&amp;display_string=Audit&amp;VAR:KEY=EXYFOHWXYX&amp;VAR:QUERY=KFBfUFJJQ0UoNDAxMTgpLShGRl9DQVNIX1NUKFFUUiw0MDExOCkvUF9DT01fU0hTX09VVCg0MDExOCkpKS9GR","V9FU1RJTUFURSgnRVBTJywnTUVBTicsJ0FOTlVBTF9ST0xMJywnKzEnLDQwMTE4LCwsJycp&amp;WINDOW=FIRST_POPUP&amp;HEIGHT=450&amp;WIDTH=450&amp;START_MAXIMIZED=FALSE&amp;VAR:CALENDAR=US&amp;VAR:SYMBOL=38259P50&amp;VAR:INDEX=0"}</definedName>
    <definedName name="_2965__FDSAUDITLINK__">{"fdsup://directions/FAT Viewer?action=UPDATE&amp;creator=factset&amp;DYN_ARGS=TRUE&amp;DOC_NAME=FAT:FQL_AUDITING_CLIENT_TEMPLATE.FAT&amp;display_string=Audit&amp;VAR:KEY=UPONOXUNGV&amp;VAR:QUERY=KFBfUFJJQ0UoNDAxMTcpLShGRl9DQVNIX1NUKFFUUiw0MDExNykvUF9DT01fU0hTX09VVCg0MDExNykpKS9GR","V9FU1RJTUFURSgnRVBTJywnTUVBTicsJ0FOTlVBTF9ST0xMJywnKzEnLDQwMTE3LCwsJycp&amp;WINDOW=FIRST_POPUP&amp;HEIGHT=450&amp;WIDTH=450&amp;START_MAXIMIZED=FALSE&amp;VAR:CALENDAR=US&amp;VAR:SYMBOL=38259P50&amp;VAR:INDEX=0"}</definedName>
    <definedName name="_2966__FDSAUDITLINK__">{"fdsup://directions/FAT Viewer?action=UPDATE&amp;creator=factset&amp;DYN_ARGS=TRUE&amp;DOC_NAME=FAT:FQL_AUDITING_CLIENT_TEMPLATE.FAT&amp;display_string=Audit&amp;VAR:KEY=UPONOXUNGV&amp;VAR:QUERY=KFBfUFJJQ0UoNDAxMTcpLShGRl9DQVNIX1NUKFFUUiw0MDExNykvUF9DT01fU0hTX09VVCg0MDExNykpKS9GR","V9FU1RJTUFURSgnRVBTJywnTUVBTicsJ0FOTlVBTF9ST0xMJywnKzEnLDQwMTE3LCwsJycp&amp;WINDOW=FIRST_POPUP&amp;HEIGHT=450&amp;WIDTH=450&amp;START_MAXIMIZED=FALSE&amp;VAR:CALENDAR=US&amp;VAR:SYMBOL=38259P50&amp;VAR:INDEX=0"}</definedName>
    <definedName name="_2967__FDSAUDITLINK__">{"fdsup://directions/FAT Viewer?action=UPDATE&amp;creator=factset&amp;DYN_ARGS=TRUE&amp;DOC_NAME=FAT:FQL_AUDITING_CLIENT_TEMPLATE.FAT&amp;display_string=Audit&amp;VAR:KEY=YNOPWZMLKF&amp;VAR:QUERY=KFBfUFJJQ0UoNDAxMTYpLShGRl9DQVNIX1NUKFFUUiw0MDExNikvUF9DT01fU0hTX09VVCg0MDExNikpKS9GR","V9FU1RJTUFURSgnRVBTJywnTUVBTicsJ0FOTlVBTF9ST0xMJywnKzEnLDQwMTE2LCwsJycp&amp;WINDOW=FIRST_POPUP&amp;HEIGHT=450&amp;WIDTH=450&amp;START_MAXIMIZED=FALSE&amp;VAR:CALENDAR=US&amp;VAR:SYMBOL=38259P50&amp;VAR:INDEX=0"}</definedName>
    <definedName name="_2968__FDSAUDITLINK__">{"fdsup://directions/FAT Viewer?action=UPDATE&amp;creator=factset&amp;DYN_ARGS=TRUE&amp;DOC_NAME=FAT:FQL_AUDITING_CLIENT_TEMPLATE.FAT&amp;display_string=Audit&amp;VAR:KEY=YNOPWZMLKF&amp;VAR:QUERY=KFBfUFJJQ0UoNDAxMTYpLShGRl9DQVNIX1NUKFFUUiw0MDExNikvUF9DT01fU0hTX09VVCg0MDExNikpKS9GR","V9FU1RJTUFURSgnRVBTJywnTUVBTicsJ0FOTlVBTF9ST0xMJywnKzEnLDQwMTE2LCwsJycp&amp;WINDOW=FIRST_POPUP&amp;HEIGHT=450&amp;WIDTH=450&amp;START_MAXIMIZED=FALSE&amp;VAR:CALENDAR=US&amp;VAR:SYMBOL=38259P50&amp;VAR:INDEX=0"}</definedName>
    <definedName name="_2969__FDSAUDITLINK__">{"fdsup://directions/FAT Viewer?action=UPDATE&amp;creator=factset&amp;DYN_ARGS=TRUE&amp;DOC_NAME=FAT:FQL_AUDITING_CLIENT_TEMPLATE.FAT&amp;display_string=Audit&amp;VAR:KEY=WJIRKXMVUR&amp;VAR:QUERY=KFBfUFJJQ0UoNDAxMTUpLShGRl9DQVNIX1NUKFFUUiw0MDExNSkvUF9DT01fU0hTX09VVCg0MDExNSkpKS9GR","V9FU1RJTUFURSgnRVBTJywnTUVBTicsJ0FOTlVBTF9ST0xMJywnKzEnLDQwMTE1LCwsJycp&amp;WINDOW=FIRST_POPUP&amp;HEIGHT=450&amp;WIDTH=450&amp;START_MAXIMIZED=FALSE&amp;VAR:CALENDAR=US&amp;VAR:SYMBOL=38259P50&amp;VAR:INDEX=0"}</definedName>
    <definedName name="_29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232"}</definedName>
    <definedName name="_2970__FDSAUDITLINK__">{"fdsup://directions/FAT Viewer?action=UPDATE&amp;creator=factset&amp;DYN_ARGS=TRUE&amp;DOC_NAME=FAT:FQL_AUDITING_CLIENT_TEMPLATE.FAT&amp;display_string=Audit&amp;VAR:KEY=WJIRKXMVUR&amp;VAR:QUERY=KFBfUFJJQ0UoNDAxMTUpLShGRl9DQVNIX1NUKFFUUiw0MDExNSkvUF9DT01fU0hTX09VVCg0MDExNSkpKS9GR","V9FU1RJTUFURSgnRVBTJywnTUVBTicsJ0FOTlVBTF9ST0xMJywnKzEnLDQwMTE1LCwsJycp&amp;WINDOW=FIRST_POPUP&amp;HEIGHT=450&amp;WIDTH=450&amp;START_MAXIMIZED=FALSE&amp;VAR:CALENDAR=US&amp;VAR:SYMBOL=38259P50&amp;VAR:INDEX=0"}</definedName>
    <definedName name="_2971__FDSAUDITLINK__">{"fdsup://directions/FAT Viewer?action=UPDATE&amp;creator=factset&amp;DYN_ARGS=TRUE&amp;DOC_NAME=FAT:FQL_AUDITING_CLIENT_TEMPLATE.FAT&amp;display_string=Audit&amp;VAR:KEY=SVERGBIRWR&amp;VAR:QUERY=KFBfUFJJQ0UoNDAxMTQpLShGRl9DQVNIX1NUKFFUUiw0MDExNCkvUF9DT01fU0hTX09VVCg0MDExNCkpKS9GR","V9FU1RJTUFURSgnRVBTJywnTUVBTicsJ0FOTlVBTF9ST0xMJywnKzEnLDQwMTE0LCwsJycp&amp;WINDOW=FIRST_POPUP&amp;HEIGHT=450&amp;WIDTH=450&amp;START_MAXIMIZED=FALSE&amp;VAR:CALENDAR=US&amp;VAR:SYMBOL=38259P50&amp;VAR:INDEX=0"}</definedName>
    <definedName name="_2972__FDSAUDITLINK__">{"fdsup://directions/FAT Viewer?action=UPDATE&amp;creator=factset&amp;DYN_ARGS=TRUE&amp;DOC_NAME=FAT:FQL_AUDITING_CLIENT_TEMPLATE.FAT&amp;display_string=Audit&amp;VAR:KEY=SVERGBIRWR&amp;VAR:QUERY=KFBfUFJJQ0UoNDAxMTQpLShGRl9DQVNIX1NUKFFUUiw0MDExNCkvUF9DT01fU0hTX09VVCg0MDExNCkpKS9GR","V9FU1RJTUFURSgnRVBTJywnTUVBTicsJ0FOTlVBTF9ST0xMJywnKzEnLDQwMTE0LCwsJycp&amp;WINDOW=FIRST_POPUP&amp;HEIGHT=450&amp;WIDTH=450&amp;START_MAXIMIZED=FALSE&amp;VAR:CALENDAR=US&amp;VAR:SYMBOL=38259P50&amp;VAR:INDEX=0"}</definedName>
    <definedName name="_2973__FDSAUDITLINK__">{"fdsup://directions/FAT Viewer?action=UPDATE&amp;creator=factset&amp;DYN_ARGS=TRUE&amp;DOC_NAME=FAT:FQL_AUDITING_CLIENT_TEMPLATE.FAT&amp;display_string=Audit&amp;VAR:KEY=CNWDMJOBOV&amp;VAR:QUERY=KFBfUFJJQ0UoNDAxMTMpLShGRl9DQVNIX1NUKFFUUiw0MDExMykvUF9DT01fU0hTX09VVCg0MDExMykpKS9GR","V9FU1RJTUFURSgnRVBTJywnTUVBTicsJ0FOTlVBTF9ST0xMJywnKzEnLDQwMTEzLCwsJycp&amp;WINDOW=FIRST_POPUP&amp;HEIGHT=450&amp;WIDTH=450&amp;START_MAXIMIZED=FALSE&amp;VAR:CALENDAR=US&amp;VAR:SYMBOL=38259P50&amp;VAR:INDEX=0"}</definedName>
    <definedName name="_2974__FDSAUDITLINK__">{"fdsup://directions/FAT Viewer?action=UPDATE&amp;creator=factset&amp;DYN_ARGS=TRUE&amp;DOC_NAME=FAT:FQL_AUDITING_CLIENT_TEMPLATE.FAT&amp;display_string=Audit&amp;VAR:KEY=CNWDMJOBOV&amp;VAR:QUERY=KFBfUFJJQ0UoNDAxMTMpLShGRl9DQVNIX1NUKFFUUiw0MDExMykvUF9DT01fU0hTX09VVCg0MDExMykpKS9GR","V9FU1RJTUFURSgnRVBTJywnTUVBTicsJ0FOTlVBTF9ST0xMJywnKzEnLDQwMTEzLCwsJycp&amp;WINDOW=FIRST_POPUP&amp;HEIGHT=450&amp;WIDTH=450&amp;START_MAXIMIZED=FALSE&amp;VAR:CALENDAR=US&amp;VAR:SYMBOL=38259P50&amp;VAR:INDEX=0"}</definedName>
    <definedName name="_2975__FDSAUDITLINK__">{"fdsup://directions/FAT Viewer?action=UPDATE&amp;creator=factset&amp;DYN_ARGS=TRUE&amp;DOC_NAME=FAT:FQL_AUDITING_CLIENT_TEMPLATE.FAT&amp;display_string=Audit&amp;VAR:KEY=YVSFKNIBAF&amp;VAR:QUERY=KFBfUFJJQ0UoNDAxMTIpLShGRl9DQVNIX1NUKFFUUiw0MDExMikvUF9DT01fU0hTX09VVCg0MDExMikpKS9GR","V9FU1RJTUFURSgnRVBTJywnTUVBTicsJ0FOTlVBTF9ST0xMJywnKzEnLDQwMTEyLCwsJycp&amp;WINDOW=FIRST_POPUP&amp;HEIGHT=450&amp;WIDTH=450&amp;START_MAXIMIZED=FALSE&amp;VAR:CALENDAR=US&amp;VAR:SYMBOL=38259P50&amp;VAR:INDEX=0"}</definedName>
    <definedName name="_2976__FDSAUDITLINK__">{"fdsup://directions/FAT Viewer?action=UPDATE&amp;creator=factset&amp;DYN_ARGS=TRUE&amp;DOC_NAME=FAT:FQL_AUDITING_CLIENT_TEMPLATE.FAT&amp;display_string=Audit&amp;VAR:KEY=YVSFKNIBAF&amp;VAR:QUERY=KFBfUFJJQ0UoNDAxMTIpLShGRl9DQVNIX1NUKFFUUiw0MDExMikvUF9DT01fU0hTX09VVCg0MDExMikpKS9GR","V9FU1RJTUFURSgnRVBTJywnTUVBTicsJ0FOTlVBTF9ST0xMJywnKzEnLDQwMTEyLCwsJycp&amp;WINDOW=FIRST_POPUP&amp;HEIGHT=450&amp;WIDTH=450&amp;START_MAXIMIZED=FALSE&amp;VAR:CALENDAR=US&amp;VAR:SYMBOL=38259P50&amp;VAR:INDEX=0"}</definedName>
    <definedName name="_2977__FDSAUDITLINK__">{"fdsup://directions/FAT Viewer?action=UPDATE&amp;creator=factset&amp;DYN_ARGS=TRUE&amp;DOC_NAME=FAT:FQL_AUDITING_CLIENT_TEMPLATE.FAT&amp;display_string=Audit&amp;VAR:KEY=WXGDAHKPIP&amp;VAR:QUERY=KFBfUFJJQ0UoNDAxMTEpLShGRl9DQVNIX1NUKFFUUiw0MDExMSkvUF9DT01fU0hTX09VVCg0MDExMSkpKS9GR","V9FU1RJTUFURSgnRVBTJywnTUVBTicsJ0FOTlVBTF9ST0xMJywnKzEnLDQwMTExLCwsJycp&amp;WINDOW=FIRST_POPUP&amp;HEIGHT=450&amp;WIDTH=450&amp;START_MAXIMIZED=FALSE&amp;VAR:CALENDAR=US&amp;VAR:SYMBOL=38259P50&amp;VAR:INDEX=0"}</definedName>
    <definedName name="_2978__FDSAUDITLINK__">{"fdsup://directions/FAT Viewer?action=UPDATE&amp;creator=factset&amp;DYN_ARGS=TRUE&amp;DOC_NAME=FAT:FQL_AUDITING_CLIENT_TEMPLATE.FAT&amp;display_string=Audit&amp;VAR:KEY=WXGDAHKPIP&amp;VAR:QUERY=KFBfUFJJQ0UoNDAxMTEpLShGRl9DQVNIX1NUKFFUUiw0MDExMSkvUF9DT01fU0hTX09VVCg0MDExMSkpKS9GR","V9FU1RJTUFURSgnRVBTJywnTUVBTicsJ0FOTlVBTF9ST0xMJywnKzEnLDQwMTExLCwsJycp&amp;WINDOW=FIRST_POPUP&amp;HEIGHT=450&amp;WIDTH=450&amp;START_MAXIMIZED=FALSE&amp;VAR:CALENDAR=US&amp;VAR:SYMBOL=38259P50&amp;VAR:INDEX=0"}</definedName>
    <definedName name="_2979__FDSAUDITLINK__">{"fdsup://directions/FAT Viewer?action=UPDATE&amp;creator=factset&amp;DYN_ARGS=TRUE&amp;DOC_NAME=FAT:FQL_AUDITING_CLIENT_TEMPLATE.FAT&amp;display_string=Audit&amp;VAR:KEY=IVWRSJAXGF&amp;VAR:QUERY=KFBfUFJJQ0UoNDAxMTApLShGRl9DQVNIX1NUKFFUUiw0MDExMCkvUF9DT01fU0hTX09VVCg0MDExMCkpKS9GR","V9FU1RJTUFURSgnRVBTJywnTUVBTicsJ0FOTlVBTF9ST0xMJywnKzEnLDQwMTEwLCwsJycp&amp;WINDOW=FIRST_POPUP&amp;HEIGHT=450&amp;WIDTH=450&amp;START_MAXIMIZED=FALSE&amp;VAR:CALENDAR=US&amp;VAR:SYMBOL=38259P50&amp;VAR:INDEX=0"}</definedName>
    <definedName name="_29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231"}</definedName>
    <definedName name="_2980__FDSAUDITLINK__">{"fdsup://directions/FAT Viewer?action=UPDATE&amp;creator=factset&amp;DYN_ARGS=TRUE&amp;DOC_NAME=FAT:FQL_AUDITING_CLIENT_TEMPLATE.FAT&amp;display_string=Audit&amp;VAR:KEY=IVWRSJAXGF&amp;VAR:QUERY=KFBfUFJJQ0UoNDAxMTApLShGRl9DQVNIX1NUKFFUUiw0MDExMCkvUF9DT01fU0hTX09VVCg0MDExMCkpKS9GR","V9FU1RJTUFURSgnRVBTJywnTUVBTicsJ0FOTlVBTF9ST0xMJywnKzEnLDQwMTEwLCwsJycp&amp;WINDOW=FIRST_POPUP&amp;HEIGHT=450&amp;WIDTH=450&amp;START_MAXIMIZED=FALSE&amp;VAR:CALENDAR=US&amp;VAR:SYMBOL=38259P50&amp;VAR:INDEX=0"}</definedName>
    <definedName name="_2981__FDSAUDITLINK__">{"fdsup://directions/FAT Viewer?action=UPDATE&amp;creator=factset&amp;DYN_ARGS=TRUE&amp;DOC_NAME=FAT:FQL_AUDITING_CLIENT_TEMPLATE.FAT&amp;display_string=Audit&amp;VAR:KEY=CXADWLALKX&amp;VAR:QUERY=KFBfUFJJQ0UoNDAxMDkpLShGRl9DQVNIX1NUKFFUUiw0MDEwOSkvUF9DT01fU0hTX09VVCg0MDEwOSkpKS9GR","V9FU1RJTUFURSgnRVBTJywnTUVBTicsJ0FOTlVBTF9ST0xMJywnKzEnLDQwMTA5LCwsJycp&amp;WINDOW=FIRST_POPUP&amp;HEIGHT=450&amp;WIDTH=450&amp;START_MAXIMIZED=FALSE&amp;VAR:CALENDAR=US&amp;VAR:SYMBOL=38259P50&amp;VAR:INDEX=0"}</definedName>
    <definedName name="_2982__FDSAUDITLINK__">{"fdsup://directions/FAT Viewer?action=UPDATE&amp;creator=factset&amp;DYN_ARGS=TRUE&amp;DOC_NAME=FAT:FQL_AUDITING_CLIENT_TEMPLATE.FAT&amp;display_string=Audit&amp;VAR:KEY=CXADWLALKX&amp;VAR:QUERY=KFBfUFJJQ0UoNDAxMDkpLShGRl9DQVNIX1NUKFFUUiw0MDEwOSkvUF9DT01fU0hTX09VVCg0MDEwOSkpKS9GR","V9FU1RJTUFURSgnRVBTJywnTUVBTicsJ0FOTlVBTF9ST0xMJywnKzEnLDQwMTA5LCwsJycp&amp;WINDOW=FIRST_POPUP&amp;HEIGHT=450&amp;WIDTH=450&amp;START_MAXIMIZED=FALSE&amp;VAR:CALENDAR=US&amp;VAR:SYMBOL=38259P50&amp;VAR:INDEX=0"}</definedName>
    <definedName name="_2983__FDSAUDITLINK__">{"fdsup://directions/FAT Viewer?action=UPDATE&amp;creator=factset&amp;DYN_ARGS=TRUE&amp;DOC_NAME=FAT:FQL_AUDITING_CLIENT_TEMPLATE.FAT&amp;display_string=Audit&amp;VAR:KEY=SZIDULGJAN&amp;VAR:QUERY=KFBfUFJJQ0UoNDAxMDgpLShGRl9DQVNIX1NUKFFUUiw0MDEwOCkvUF9DT01fU0hTX09VVCg0MDEwOCkpKS9GR","V9FU1RJTUFURSgnRVBTJywnTUVBTicsJ0FOTlVBTF9ST0xMJywnKzEnLDQwMTA4LCwsJycp&amp;WINDOW=FIRST_POPUP&amp;HEIGHT=450&amp;WIDTH=450&amp;START_MAXIMIZED=FALSE&amp;VAR:CALENDAR=US&amp;VAR:SYMBOL=38259P50&amp;VAR:INDEX=0"}</definedName>
    <definedName name="_2984__FDSAUDITLINK__">{"fdsup://directions/FAT Viewer?action=UPDATE&amp;creator=factset&amp;DYN_ARGS=TRUE&amp;DOC_NAME=FAT:FQL_AUDITING_CLIENT_TEMPLATE.FAT&amp;display_string=Audit&amp;VAR:KEY=SZIDULGJAN&amp;VAR:QUERY=KFBfUFJJQ0UoNDAxMDgpLShGRl9DQVNIX1NUKFFUUiw0MDEwOCkvUF9DT01fU0hTX09VVCg0MDEwOCkpKS9GR","V9FU1RJTUFURSgnRVBTJywnTUVBTicsJ0FOTlVBTF9ST0xMJywnKzEnLDQwMTA4LCwsJycp&amp;WINDOW=FIRST_POPUP&amp;HEIGHT=450&amp;WIDTH=450&amp;START_MAXIMIZED=FALSE&amp;VAR:CALENDAR=US&amp;VAR:SYMBOL=38259P50&amp;VAR:INDEX=0"}</definedName>
    <definedName name="_2985__FDSAUDITLINK__">{"fdsup://directions/FAT Viewer?action=UPDATE&amp;creator=factset&amp;DYN_ARGS=TRUE&amp;DOC_NAME=FAT:FQL_AUDITING_CLIENT_TEMPLATE.FAT&amp;display_string=Audit&amp;VAR:KEY=KDKNMHGLON&amp;VAR:QUERY=KFBfUFJJQ0UoNDAxMDcpLShGRl9DQVNIX1NUKFFUUiw0MDEwNykvUF9DT01fU0hTX09VVCg0MDEwNykpKS9GR","V9FU1RJTUFURSgnRVBTJywnTUVBTicsJ0FOTlVBTF9ST0xMJywnKzEnLDQwMTA3LCwsJycp&amp;WINDOW=FIRST_POPUP&amp;HEIGHT=450&amp;WIDTH=450&amp;START_MAXIMIZED=FALSE&amp;VAR:CALENDAR=US&amp;VAR:SYMBOL=38259P50&amp;VAR:INDEX=0"}</definedName>
    <definedName name="_2986__FDSAUDITLINK__">{"fdsup://directions/FAT Viewer?action=UPDATE&amp;creator=factset&amp;DYN_ARGS=TRUE&amp;DOC_NAME=FAT:FQL_AUDITING_CLIENT_TEMPLATE.FAT&amp;display_string=Audit&amp;VAR:KEY=KDKNMHGLON&amp;VAR:QUERY=KFBfUFJJQ0UoNDAxMDcpLShGRl9DQVNIX1NUKFFUUiw0MDEwNykvUF9DT01fU0hTX09VVCg0MDEwNykpKS9GR","V9FU1RJTUFURSgnRVBTJywnTUVBTicsJ0FOTlVBTF9ST0xMJywnKzEnLDQwMTA3LCwsJycp&amp;WINDOW=FIRST_POPUP&amp;HEIGHT=450&amp;WIDTH=450&amp;START_MAXIMIZED=FALSE&amp;VAR:CALENDAR=US&amp;VAR:SYMBOL=38259P50&amp;VAR:INDEX=0"}</definedName>
    <definedName name="_2987__FDSAUDITLINK__">{"fdsup://directions/FAT Viewer?action=UPDATE&amp;creator=factset&amp;DYN_ARGS=TRUE&amp;DOC_NAME=FAT:FQL_AUDITING_CLIENT_TEMPLATE.FAT&amp;display_string=Audit&amp;VAR:KEY=APMZAZOVOB&amp;VAR:QUERY=KFBfUFJJQ0UoNDAxMDYpLShGRl9DQVNIX1NUKFFUUiw0MDEwNikvUF9DT01fU0hTX09VVCg0MDEwNikpKS9GR","V9FU1RJTUFURSgnRVBTJywnTUVBTicsJ0FOTlVBTF9ST0xMJywnKzEnLDQwMTA2LCwsJycp&amp;WINDOW=FIRST_POPUP&amp;HEIGHT=450&amp;WIDTH=450&amp;START_MAXIMIZED=FALSE&amp;VAR:CALENDAR=US&amp;VAR:SYMBOL=38259P50&amp;VAR:INDEX=0"}</definedName>
    <definedName name="_2988__FDSAUDITLINK__">{"fdsup://directions/FAT Viewer?action=UPDATE&amp;creator=factset&amp;DYN_ARGS=TRUE&amp;DOC_NAME=FAT:FQL_AUDITING_CLIENT_TEMPLATE.FAT&amp;display_string=Audit&amp;VAR:KEY=APMZAZOVOB&amp;VAR:QUERY=KFBfUFJJQ0UoNDAxMDYpLShGRl9DQVNIX1NUKFFUUiw0MDEwNikvUF9DT01fU0hTX09VVCg0MDEwNikpKS9GR","V9FU1RJTUFURSgnRVBTJywnTUVBTicsJ0FOTlVBTF9ST0xMJywnKzEnLDQwMTA2LCwsJycp&amp;WINDOW=FIRST_POPUP&amp;HEIGHT=450&amp;WIDTH=450&amp;START_MAXIMIZED=FALSE&amp;VAR:CALENDAR=US&amp;VAR:SYMBOL=38259P50&amp;VAR:INDEX=0"}</definedName>
    <definedName name="_2989__FDSAUDITLINK__">{"fdsup://directions/FAT Viewer?action=UPDATE&amp;creator=factset&amp;DYN_ARGS=TRUE&amp;DOC_NAME=FAT:FQL_AUDITING_CLIENT_TEMPLATE.FAT&amp;display_string=Audit&amp;VAR:KEY=OFEJIVEVMF&amp;VAR:QUERY=KFBfUFJJQ0UoNDAxMDUpLShGRl9DQVNIX1NUKFFUUiw0MDEwNSkvUF9DT01fU0hTX09VVCg0MDEwNSkpKS9GR","V9FU1RJTUFURSgnRVBTJywnTUVBTicsJ0FOTlVBTF9ST0xMJywnKzEnLDQwMTA1LCwsJycp&amp;WINDOW=FIRST_POPUP&amp;HEIGHT=450&amp;WIDTH=450&amp;START_MAXIMIZED=FALSE&amp;VAR:CALENDAR=US&amp;VAR:SYMBOL=38259P50&amp;VAR:INDEX=0"}</definedName>
    <definedName name="_29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230"}</definedName>
    <definedName name="_2990__FDSAUDITLINK__">{"fdsup://directions/FAT Viewer?action=UPDATE&amp;creator=factset&amp;DYN_ARGS=TRUE&amp;DOC_NAME=FAT:FQL_AUDITING_CLIENT_TEMPLATE.FAT&amp;display_string=Audit&amp;VAR:KEY=OFEJIVEVMF&amp;VAR:QUERY=KFBfUFJJQ0UoNDAxMDUpLShGRl9DQVNIX1NUKFFUUiw0MDEwNSkvUF9DT01fU0hTX09VVCg0MDEwNSkpKS9GR","V9FU1RJTUFURSgnRVBTJywnTUVBTicsJ0FOTlVBTF9ST0xMJywnKzEnLDQwMTA1LCwsJycp&amp;WINDOW=FIRST_POPUP&amp;HEIGHT=450&amp;WIDTH=450&amp;START_MAXIMIZED=FALSE&amp;VAR:CALENDAR=US&amp;VAR:SYMBOL=38259P50&amp;VAR:INDEX=0"}</definedName>
    <definedName name="_2991__FDSAUDITLINK__">{"fdsup://directions/FAT Viewer?action=UPDATE&amp;creator=factset&amp;DYN_ARGS=TRUE&amp;DOC_NAME=FAT:FQL_AUDITING_CLIENT_TEMPLATE.FAT&amp;display_string=Audit&amp;VAR:KEY=KLQJOBKJYD&amp;VAR:QUERY=KFBfUFJJQ0UoNDAxMDQpLShGRl9DQVNIX1NUKFFUUiw0MDEwNCkvUF9DT01fU0hTX09VVCg0MDEwNCkpKS9GR","V9FU1RJTUFURSgnRVBTJywnTUVBTicsJ0FOTlVBTF9ST0xMJywnKzEnLDQwMTA0LCwsJycp&amp;WINDOW=FIRST_POPUP&amp;HEIGHT=450&amp;WIDTH=450&amp;START_MAXIMIZED=FALSE&amp;VAR:CALENDAR=US&amp;VAR:SYMBOL=38259P50&amp;VAR:INDEX=0"}</definedName>
    <definedName name="_2992__FDSAUDITLINK__">{"fdsup://directions/FAT Viewer?action=UPDATE&amp;creator=factset&amp;DYN_ARGS=TRUE&amp;DOC_NAME=FAT:FQL_AUDITING_CLIENT_TEMPLATE.FAT&amp;display_string=Audit&amp;VAR:KEY=KLQJOBKJYD&amp;VAR:QUERY=KFBfUFJJQ0UoNDAxMDQpLShGRl9DQVNIX1NUKFFUUiw0MDEwNCkvUF9DT01fU0hTX09VVCg0MDEwNCkpKS9GR","V9FU1RJTUFURSgnRVBTJywnTUVBTicsJ0FOTlVBTF9ST0xMJywnKzEnLDQwMTA0LCwsJycp&amp;WINDOW=FIRST_POPUP&amp;HEIGHT=450&amp;WIDTH=450&amp;START_MAXIMIZED=FALSE&amp;VAR:CALENDAR=US&amp;VAR:SYMBOL=38259P50&amp;VAR:INDEX=0"}</definedName>
    <definedName name="_2993__FDSAUDITLINK__">{"fdsup://directions/FAT Viewer?action=UPDATE&amp;creator=factset&amp;DYN_ARGS=TRUE&amp;DOC_NAME=FAT:FQL_AUDITING_CLIENT_TEMPLATE.FAT&amp;display_string=Audit&amp;VAR:KEY=YFWJMPWPCH&amp;VAR:QUERY=KFBfUFJJQ0UoNDAxMDMpLShGRl9DQVNIX1NUKFFUUiw0MDEwMykvUF9DT01fU0hTX09VVCg0MDEwMykpKS9GR","V9FU1RJTUFURSgnRVBTJywnTUVBTicsJ0FOTlVBTF9ST0xMJywnKzEnLDQwMTAzLCwsJycp&amp;WINDOW=FIRST_POPUP&amp;HEIGHT=450&amp;WIDTH=450&amp;START_MAXIMIZED=FALSE&amp;VAR:CALENDAR=US&amp;VAR:SYMBOL=38259P50&amp;VAR:INDEX=0"}</definedName>
    <definedName name="_2994__FDSAUDITLINK__">{"fdsup://directions/FAT Viewer?action=UPDATE&amp;creator=factset&amp;DYN_ARGS=TRUE&amp;DOC_NAME=FAT:FQL_AUDITING_CLIENT_TEMPLATE.FAT&amp;display_string=Audit&amp;VAR:KEY=YFWJMPWPCH&amp;VAR:QUERY=KFBfUFJJQ0UoNDAxMDMpLShGRl9DQVNIX1NUKFFUUiw0MDEwMykvUF9DT01fU0hTX09VVCg0MDEwMykpKS9GR","V9FU1RJTUFURSgnRVBTJywnTUVBTicsJ0FOTlVBTF9ST0xMJywnKzEnLDQwMTAzLCwsJycp&amp;WINDOW=FIRST_POPUP&amp;HEIGHT=450&amp;WIDTH=450&amp;START_MAXIMIZED=FALSE&amp;VAR:CALENDAR=US&amp;VAR:SYMBOL=38259P50&amp;VAR:INDEX=0"}</definedName>
    <definedName name="_2995__FDSAUDITLINK__">{"fdsup://directions/FAT Viewer?action=UPDATE&amp;creator=factset&amp;DYN_ARGS=TRUE&amp;DOC_NAME=FAT:FQL_AUDITING_CLIENT_TEMPLATE.FAT&amp;display_string=Audit&amp;VAR:KEY=GXULUPSRAL&amp;VAR:QUERY=KFBfUFJJQ0UoNDAxMDIpLShGRl9DQVNIX1NUKFFUUiw0MDEwMikvUF9DT01fU0hTX09VVCg0MDEwMikpKS9GR","V9FU1RJTUFURSgnRVBTJywnTUVBTicsJ0FOTlVBTF9ST0xMJywnKzEnLDQwMTAyLCwsJycp&amp;WINDOW=FIRST_POPUP&amp;HEIGHT=450&amp;WIDTH=450&amp;START_MAXIMIZED=FALSE&amp;VAR:CALENDAR=US&amp;VAR:SYMBOL=38259P50&amp;VAR:INDEX=0"}</definedName>
    <definedName name="_2996__FDSAUDITLINK__">{"fdsup://directions/FAT Viewer?action=UPDATE&amp;creator=factset&amp;DYN_ARGS=TRUE&amp;DOC_NAME=FAT:FQL_AUDITING_CLIENT_TEMPLATE.FAT&amp;display_string=Audit&amp;VAR:KEY=GXULUPSRAL&amp;VAR:QUERY=KFBfUFJJQ0UoNDAxMDIpLShGRl9DQVNIX1NUKFFUUiw0MDEwMikvUF9DT01fU0hTX09VVCg0MDEwMikpKS9GR","V9FU1RJTUFURSgnRVBTJywnTUVBTicsJ0FOTlVBTF9ST0xMJywnKzEnLDQwMTAyLCwsJycp&amp;WINDOW=FIRST_POPUP&amp;HEIGHT=450&amp;WIDTH=450&amp;START_MAXIMIZED=FALSE&amp;VAR:CALENDAR=US&amp;VAR:SYMBOL=38259P50&amp;VAR:INDEX=0"}</definedName>
    <definedName name="_2997__FDSAUDITLINK__">{"fdsup://directions/FAT Viewer?action=UPDATE&amp;creator=factset&amp;DYN_ARGS=TRUE&amp;DOC_NAME=FAT:FQL_AUDITING_CLIENT_TEMPLATE.FAT&amp;display_string=Audit&amp;VAR:KEY=EDCHCBYZAP&amp;VAR:QUERY=KFBfUFJJQ0UoNDAxMDEpLShGRl9DQVNIX1NUKFFUUiw0MDEwMSkvUF9DT01fU0hTX09VVCg0MDEwMSkpKS9GR","V9FU1RJTUFURSgnRVBTJywnTUVBTicsJ0FOTlVBTF9ST0xMJywnKzEnLDQwMTAxLCwsJycp&amp;WINDOW=FIRST_POPUP&amp;HEIGHT=450&amp;WIDTH=450&amp;START_MAXIMIZED=FALSE&amp;VAR:CALENDAR=US&amp;VAR:SYMBOL=38259P50&amp;VAR:INDEX=0"}</definedName>
    <definedName name="_2998__FDSAUDITLINK__">{"fdsup://directions/FAT Viewer?action=UPDATE&amp;creator=factset&amp;DYN_ARGS=TRUE&amp;DOC_NAME=FAT:FQL_AUDITING_CLIENT_TEMPLATE.FAT&amp;display_string=Audit&amp;VAR:KEY=EDCHCBYZAP&amp;VAR:QUERY=KFBfUFJJQ0UoNDAxMDEpLShGRl9DQVNIX1NUKFFUUiw0MDEwMSkvUF9DT01fU0hTX09VVCg0MDEwMSkpKS9GR","V9FU1RJTUFURSgnRVBTJywnTUVBTicsJ0FOTlVBTF9ST0xMJywnKzEnLDQwMTAxLCwsJycp&amp;WINDOW=FIRST_POPUP&amp;HEIGHT=450&amp;WIDTH=450&amp;START_MAXIMIZED=FALSE&amp;VAR:CALENDAR=US&amp;VAR:SYMBOL=38259P50&amp;VAR:INDEX=0"}</definedName>
    <definedName name="_2999__FDSAUDITLINK__">{"fdsup://directions/FAT Viewer?action=UPDATE&amp;creator=factset&amp;DYN_ARGS=TRUE&amp;DOC_NAME=FAT:FQL_AUDITING_CLIENT_TEMPLATE.FAT&amp;display_string=Audit&amp;VAR:KEY=QNUFGVUNWT&amp;VAR:QUERY=KFBfUFJJQ0UoNDAxMDApLShGRl9DQVNIX1NUKFFUUiw0MDEwMCkvUF9DT01fU0hTX09VVCg0MDEwMCkpKS9GR","V9FU1RJTUFURSgnRVBTJywnTUVBTicsJ0FOTlVBTF9ST0xMJywnKzEnLDQwMTAwLCwsJycp&amp;WINDOW=FIRST_POPUP&amp;HEIGHT=450&amp;WIDTH=450&amp;START_MAXIMIZED=FALSE&amp;VAR:CALENDAR=US&amp;VAR:SYMBOL=38259P50&amp;VAR:INDEX=0"}</definedName>
    <definedName name="_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13.190235&amp;VAR:V0=14.984655&amp;VAR:V1=13.190235&amp;VAR:Y0=2010&amp;VAR:Y1=2011&amp;VAR:P=1257.635988&amp;VAR:DATE=20101231&amp;VAR:THRESH=-|-|","-|-|-|-|-"}</definedName>
    <definedName name="_3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0.248634&amp;VAR:V=17.891399&amp;VAR:V0=18.449969&amp;VAR:V1=16.391722&amp;VAR:Y0=2004&amp;VAR:Y1=2005&amp;VAR:P=1126.211500&amp;VAR:DATE=20040331&amp;VAR:THRESH=-|-|","-|-|-|-|-"}</definedName>
    <definedName name="_30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229"}</definedName>
    <definedName name="_3000__FDSAUDITLINK__">{"fdsup://directions/FAT Viewer?action=UPDATE&amp;creator=factset&amp;DYN_ARGS=TRUE&amp;DOC_NAME=FAT:FQL_AUDITING_CLIENT_TEMPLATE.FAT&amp;display_string=Audit&amp;VAR:KEY=QNUFGVUNWT&amp;VAR:QUERY=KFBfUFJJQ0UoNDAxMDApLShGRl9DQVNIX1NUKFFUUiw0MDEwMCkvUF9DT01fU0hTX09VVCg0MDEwMCkpKS9GR","V9FU1RJTUFURSgnRVBTJywnTUVBTicsJ0FOTlVBTF9ST0xMJywnKzEnLDQwMTAwLCwsJycp&amp;WINDOW=FIRST_POPUP&amp;HEIGHT=450&amp;WIDTH=450&amp;START_MAXIMIZED=FALSE&amp;VAR:CALENDAR=US&amp;VAR:SYMBOL=38259P50&amp;VAR:INDEX=0"}</definedName>
    <definedName name="_3001__FDSAUDITLINK__">{"fdsup://directions/FAT Viewer?action=UPDATE&amp;creator=factset&amp;DYN_ARGS=TRUE&amp;DOC_NAME=FAT:FQL_AUDITING_CLIENT_TEMPLATE.FAT&amp;display_string=Audit&amp;VAR:KEY=WVMZQXKBKP&amp;VAR:QUERY=KFBfUFJJQ0UoNDAwOTkpLShGRl9DQVNIX1NUKFFUUiw0MDA5OSkvUF9DT01fU0hTX09VVCg0MDA5OSkpKS9GR","V9FU1RJTUFURSgnRVBTJywnTUVBTicsJ0FOTlVBTF9ST0xMJywnKzEnLDQwMDk5LCwsJycp&amp;WINDOW=FIRST_POPUP&amp;HEIGHT=450&amp;WIDTH=450&amp;START_MAXIMIZED=FALSE&amp;VAR:CALENDAR=US&amp;VAR:SYMBOL=38259P50&amp;VAR:INDEX=0"}</definedName>
    <definedName name="_3002__FDSAUDITLINK__">{"fdsup://directions/FAT Viewer?action=UPDATE&amp;creator=factset&amp;DYN_ARGS=TRUE&amp;DOC_NAME=FAT:FQL_AUDITING_CLIENT_TEMPLATE.FAT&amp;display_string=Audit&amp;VAR:KEY=WVMZQXKBKP&amp;VAR:QUERY=KFBfUFJJQ0UoNDAwOTkpLShGRl9DQVNIX1NUKFFUUiw0MDA5OSkvUF9DT01fU0hTX09VVCg0MDA5OSkpKS9GR","V9FU1RJTUFURSgnRVBTJywnTUVBTicsJ0FOTlVBTF9ST0xMJywnKzEnLDQwMDk5LCwsJycp&amp;WINDOW=FIRST_POPUP&amp;HEIGHT=450&amp;WIDTH=450&amp;START_MAXIMIZED=FALSE&amp;VAR:CALENDAR=US&amp;VAR:SYMBOL=38259P50&amp;VAR:INDEX=0"}</definedName>
    <definedName name="_3003__FDSAUDITLINK__">{"fdsup://directions/FAT Viewer?action=UPDATE&amp;creator=factset&amp;DYN_ARGS=TRUE&amp;DOC_NAME=FAT:FQL_AUDITING_CLIENT_TEMPLATE.FAT&amp;display_string=Audit&amp;VAR:KEY=GDKXSTSVAJ&amp;VAR:QUERY=KFBfUFJJQ0UoNDAwOTgpLShGRl9DQVNIX1NUKFFUUiw0MDA5OCkvUF9DT01fU0hTX09VVCg0MDA5OCkpKS9GR","V9FU1RJTUFURSgnRVBTJywnTUVBTicsJ0FOTlVBTF9ST0xMJywnKzEnLDQwMDk4LCwsJycp&amp;WINDOW=FIRST_POPUP&amp;HEIGHT=450&amp;WIDTH=450&amp;START_MAXIMIZED=FALSE&amp;VAR:CALENDAR=US&amp;VAR:SYMBOL=38259P50&amp;VAR:INDEX=0"}</definedName>
    <definedName name="_3004__FDSAUDITLINK__">{"fdsup://directions/FAT Viewer?action=UPDATE&amp;creator=factset&amp;DYN_ARGS=TRUE&amp;DOC_NAME=FAT:FQL_AUDITING_CLIENT_TEMPLATE.FAT&amp;display_string=Audit&amp;VAR:KEY=GDKXSTSVAJ&amp;VAR:QUERY=KFBfUFJJQ0UoNDAwOTgpLShGRl9DQVNIX1NUKFFUUiw0MDA5OCkvUF9DT01fU0hTX09VVCg0MDA5OCkpKS9GR","V9FU1RJTUFURSgnRVBTJywnTUVBTicsJ0FOTlVBTF9ST0xMJywnKzEnLDQwMDk4LCwsJycp&amp;WINDOW=FIRST_POPUP&amp;HEIGHT=450&amp;WIDTH=450&amp;START_MAXIMIZED=FALSE&amp;VAR:CALENDAR=US&amp;VAR:SYMBOL=38259P50&amp;VAR:INDEX=0"}</definedName>
    <definedName name="_3005__FDSAUDITLINK__">{"fdsup://directions/FAT Viewer?action=UPDATE&amp;creator=factset&amp;DYN_ARGS=TRUE&amp;DOC_NAME=FAT:FQL_AUDITING_CLIENT_TEMPLATE.FAT&amp;display_string=Audit&amp;VAR:KEY=QHKDYRWRCH&amp;VAR:QUERY=KFBfUFJJQ0UoNDAwOTcpLShGRl9DQVNIX1NUKFFUUiw0MDA5NykvUF9DT01fU0hTX09VVCg0MDA5NykpKS9GR","V9FU1RJTUFURSgnRVBTJywnTUVBTicsJ0FOTlVBTF9ST0xMJywnKzEnLDQwMDk3LCwsJycp&amp;WINDOW=FIRST_POPUP&amp;HEIGHT=450&amp;WIDTH=450&amp;START_MAXIMIZED=FALSE&amp;VAR:CALENDAR=US&amp;VAR:SYMBOL=38259P50&amp;VAR:INDEX=0"}</definedName>
    <definedName name="_3006__FDSAUDITLINK__">{"fdsup://directions/FAT Viewer?action=UPDATE&amp;creator=factset&amp;DYN_ARGS=TRUE&amp;DOC_NAME=FAT:FQL_AUDITING_CLIENT_TEMPLATE.FAT&amp;display_string=Audit&amp;VAR:KEY=QHKDYRWRCH&amp;VAR:QUERY=KFBfUFJJQ0UoNDAwOTcpLShGRl9DQVNIX1NUKFFUUiw0MDA5NykvUF9DT01fU0hTX09VVCg0MDA5NykpKS9GR","V9FU1RJTUFURSgnRVBTJywnTUVBTicsJ0FOTlVBTF9ST0xMJywnKzEnLDQwMDk3LCwsJycp&amp;WINDOW=FIRST_POPUP&amp;HEIGHT=450&amp;WIDTH=450&amp;START_MAXIMIZED=FALSE&amp;VAR:CALENDAR=US&amp;VAR:SYMBOL=38259P50&amp;VAR:INDEX=0"}</definedName>
    <definedName name="_3007__FDSAUDITLINK__">{"fdsup://directions/FAT Viewer?action=UPDATE&amp;creator=factset&amp;DYN_ARGS=TRUE&amp;DOC_NAME=FAT:FQL_AUDITING_CLIENT_TEMPLATE.FAT&amp;display_string=Audit&amp;VAR:KEY=EFMBKHQFKV&amp;VAR:QUERY=KFBfUFJJQ0UoNDAwOTYpLShGRl9DQVNIX1NUKFFUUiw0MDA5NikvUF9DT01fU0hTX09VVCg0MDA5NikpKS9GR","V9FU1RJTUFURSgnRVBTJywnTUVBTicsJ0FOTlVBTF9ST0xMJywnKzEnLDQwMDk2LCwsJycp&amp;WINDOW=FIRST_POPUP&amp;HEIGHT=450&amp;WIDTH=450&amp;START_MAXIMIZED=FALSE&amp;VAR:CALENDAR=US&amp;VAR:SYMBOL=38259P50&amp;VAR:INDEX=0"}</definedName>
    <definedName name="_3008__FDSAUDITLINK__">{"fdsup://directions/FAT Viewer?action=UPDATE&amp;creator=factset&amp;DYN_ARGS=TRUE&amp;DOC_NAME=FAT:FQL_AUDITING_CLIENT_TEMPLATE.FAT&amp;display_string=Audit&amp;VAR:KEY=EFMBKHQFKV&amp;VAR:QUERY=KFBfUFJJQ0UoNDAwOTYpLShGRl9DQVNIX1NUKFFUUiw0MDA5NikvUF9DT01fU0hTX09VVCg0MDA5NikpKS9GR","V9FU1RJTUFURSgnRVBTJywnTUVBTicsJ0FOTlVBTF9ST0xMJywnKzEnLDQwMDk2LCwsJycp&amp;WINDOW=FIRST_POPUP&amp;HEIGHT=450&amp;WIDTH=450&amp;START_MAXIMIZED=FALSE&amp;VAR:CALENDAR=US&amp;VAR:SYMBOL=38259P50&amp;VAR:INDEX=0"}</definedName>
    <definedName name="_3009__FDSAUDITLINK__">{"fdsup://directions/FAT Viewer?action=UPDATE&amp;creator=factset&amp;DYN_ARGS=TRUE&amp;DOC_NAME=FAT:FQL_AUDITING_CLIENT_TEMPLATE.FAT&amp;display_string=Audit&amp;VAR:KEY=EBWZQJUBGR&amp;VAR:QUERY=KFBfUFJJQ0UoNDAwOTUpLShGRl9DQVNIX1NUKFFUUiw0MDA5NSkvUF9DT01fU0hTX09VVCg0MDA5NSkpKS9GR","V9FU1RJTUFURSgnRVBTJywnTUVBTicsJ0FOTlVBTF9ST0xMJywnKzEnLDQwMDk1LCwsJycp&amp;WINDOW=FIRST_POPUP&amp;HEIGHT=450&amp;WIDTH=450&amp;START_MAXIMIZED=FALSE&amp;VAR:CALENDAR=US&amp;VAR:SYMBOL=38259P50&amp;VAR:INDEX=0"}</definedName>
    <definedName name="_30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228"}</definedName>
    <definedName name="_3010__FDSAUDITLINK__">{"fdsup://directions/FAT Viewer?action=UPDATE&amp;creator=factset&amp;DYN_ARGS=TRUE&amp;DOC_NAME=FAT:FQL_AUDITING_CLIENT_TEMPLATE.FAT&amp;display_string=Audit&amp;VAR:KEY=EBWZQJUBGR&amp;VAR:QUERY=KFBfUFJJQ0UoNDAwOTUpLShGRl9DQVNIX1NUKFFUUiw0MDA5NSkvUF9DT01fU0hTX09VVCg0MDA5NSkpKS9GR","V9FU1RJTUFURSgnRVBTJywnTUVBTicsJ0FOTlVBTF9ST0xMJywnKzEnLDQwMDk1LCwsJycp&amp;WINDOW=FIRST_POPUP&amp;HEIGHT=450&amp;WIDTH=450&amp;START_MAXIMIZED=FALSE&amp;VAR:CALENDAR=US&amp;VAR:SYMBOL=38259P50&amp;VAR:INDEX=0"}</definedName>
    <definedName name="_3011__FDSAUDITLINK__">{"fdsup://directions/FAT Viewer?action=UPDATE&amp;creator=factset&amp;DYN_ARGS=TRUE&amp;DOC_NAME=FAT:FQL_AUDITING_CLIENT_TEMPLATE.FAT&amp;display_string=Audit&amp;VAR:KEY=SFUXKPYNIN&amp;VAR:QUERY=KFBfUFJJQ0UoNDAwOTQpLShGRl9DQVNIX1NUKFFUUiw0MDA5NCkvUF9DT01fU0hTX09VVCg0MDA5NCkpKS9GR","V9FU1RJTUFURSgnRVBTJywnTUVBTicsJ0FOTlVBTF9ST0xMJywnKzEnLDQwMDk0LCwsJycp&amp;WINDOW=FIRST_POPUP&amp;HEIGHT=450&amp;WIDTH=450&amp;START_MAXIMIZED=FALSE&amp;VAR:CALENDAR=US&amp;VAR:SYMBOL=38259P50&amp;VAR:INDEX=0"}</definedName>
    <definedName name="_3012__FDSAUDITLINK__">{"fdsup://directions/FAT Viewer?action=UPDATE&amp;creator=factset&amp;DYN_ARGS=TRUE&amp;DOC_NAME=FAT:FQL_AUDITING_CLIENT_TEMPLATE.FAT&amp;display_string=Audit&amp;VAR:KEY=SFUXKPYNIN&amp;VAR:QUERY=KFBfUFJJQ0UoNDAwOTQpLShGRl9DQVNIX1NUKFFUUiw0MDA5NCkvUF9DT01fU0hTX09VVCg0MDA5NCkpKS9GR","V9FU1RJTUFURSgnRVBTJywnTUVBTicsJ0FOTlVBTF9ST0xMJywnKzEnLDQwMDk0LCwsJycp&amp;WINDOW=FIRST_POPUP&amp;HEIGHT=450&amp;WIDTH=450&amp;START_MAXIMIZED=FALSE&amp;VAR:CALENDAR=US&amp;VAR:SYMBOL=38259P50&amp;VAR:INDEX=0"}</definedName>
    <definedName name="_3013__FDSAUDITLINK__">{"fdsup://directions/FAT Viewer?action=UPDATE&amp;creator=factset&amp;DYN_ARGS=TRUE&amp;DOC_NAME=FAT:FQL_AUDITING_CLIENT_TEMPLATE.FAT&amp;display_string=Audit&amp;VAR:KEY=WHYFYRSBWT&amp;VAR:QUERY=KFBfUFJJQ0UoNDAwOTMpLShGRl9DQVNIX1NUKFFUUiw0MDA5MykvUF9DT01fU0hTX09VVCg0MDA5MykpKS9GR","V9FU1RJTUFURSgnRVBTJywnTUVBTicsJ0FOTlVBTF9ST0xMJywnKzEnLDQwMDkzLCwsJycp&amp;WINDOW=FIRST_POPUP&amp;HEIGHT=450&amp;WIDTH=450&amp;START_MAXIMIZED=FALSE&amp;VAR:CALENDAR=US&amp;VAR:SYMBOL=38259P50&amp;VAR:INDEX=0"}</definedName>
    <definedName name="_3014__FDSAUDITLINK__">{"fdsup://directions/FAT Viewer?action=UPDATE&amp;creator=factset&amp;DYN_ARGS=TRUE&amp;DOC_NAME=FAT:FQL_AUDITING_CLIENT_TEMPLATE.FAT&amp;display_string=Audit&amp;VAR:KEY=WHYFYRSBWT&amp;VAR:QUERY=KFBfUFJJQ0UoNDAwOTMpLShGRl9DQVNIX1NUKFFUUiw0MDA5MykvUF9DT01fU0hTX09VVCg0MDA5MykpKS9GR","V9FU1RJTUFURSgnRVBTJywnTUVBTicsJ0FOTlVBTF9ST0xMJywnKzEnLDQwMDkzLCwsJycp&amp;WINDOW=FIRST_POPUP&amp;HEIGHT=450&amp;WIDTH=450&amp;START_MAXIMIZED=FALSE&amp;VAR:CALENDAR=US&amp;VAR:SYMBOL=38259P50&amp;VAR:INDEX=0"}</definedName>
    <definedName name="_3015__FDSAUDITLINK__">{"fdsup://directions/FAT Viewer?action=UPDATE&amp;creator=factset&amp;DYN_ARGS=TRUE&amp;DOC_NAME=FAT:FQL_AUDITING_CLIENT_TEMPLATE.FAT&amp;display_string=Audit&amp;VAR:KEY=SDWPYFURWD&amp;VAR:QUERY=KFBfUFJJQ0UoNDAwOTIpLShGRl9DQVNIX1NUKFFUUiw0MDA5MikvUF9DT01fU0hTX09VVCg0MDA5MikpKS9GR","V9FU1RJTUFURSgnRVBTJywnTUVBTicsJ0FOTlVBTF9ST0xMJywnKzEnLDQwMDkyLCwsJycp&amp;WINDOW=FIRST_POPUP&amp;HEIGHT=450&amp;WIDTH=450&amp;START_MAXIMIZED=FALSE&amp;VAR:CALENDAR=US&amp;VAR:SYMBOL=38259P50&amp;VAR:INDEX=0"}</definedName>
    <definedName name="_3016__FDSAUDITLINK__">{"fdsup://directions/FAT Viewer?action=UPDATE&amp;creator=factset&amp;DYN_ARGS=TRUE&amp;DOC_NAME=FAT:FQL_AUDITING_CLIENT_TEMPLATE.FAT&amp;display_string=Audit&amp;VAR:KEY=SDWPYFURWD&amp;VAR:QUERY=KFBfUFJJQ0UoNDAwOTIpLShGRl9DQVNIX1NUKFFUUiw0MDA5MikvUF9DT01fU0hTX09VVCg0MDA5MikpKS9GR","V9FU1RJTUFURSgnRVBTJywnTUVBTicsJ0FOTlVBTF9ST0xMJywnKzEnLDQwMDkyLCwsJycp&amp;WINDOW=FIRST_POPUP&amp;HEIGHT=450&amp;WIDTH=450&amp;START_MAXIMIZED=FALSE&amp;VAR:CALENDAR=US&amp;VAR:SYMBOL=38259P50&amp;VAR:INDEX=0"}</definedName>
    <definedName name="_3017__FDSAUDITLINK__">{"fdsup://directions/FAT Viewer?action=UPDATE&amp;creator=factset&amp;DYN_ARGS=TRUE&amp;DOC_NAME=FAT:FQL_AUDITING_CLIENT_TEMPLATE.FAT&amp;display_string=Audit&amp;VAR:KEY=SVCXMXKBSL&amp;VAR:QUERY=KFBfUFJJQ0UoNDAwOTEpLShGRl9DQVNIX1NUKFFUUiw0MDA5MSkvUF9DT01fU0hTX09VVCg0MDA5MSkpKS9GR","V9FU1RJTUFURSgnRVBTJywnTUVBTicsJ0FOTlVBTF9ST0xMJywnKzEnLDQwMDkxLCwsJycp&amp;WINDOW=FIRST_POPUP&amp;HEIGHT=450&amp;WIDTH=450&amp;START_MAXIMIZED=FALSE&amp;VAR:CALENDAR=US&amp;VAR:SYMBOL=38259P50&amp;VAR:INDEX=0"}</definedName>
    <definedName name="_3018__FDSAUDITLINK__">{"fdsup://directions/FAT Viewer?action=UPDATE&amp;creator=factset&amp;DYN_ARGS=TRUE&amp;DOC_NAME=FAT:FQL_AUDITING_CLIENT_TEMPLATE.FAT&amp;display_string=Audit&amp;VAR:KEY=SVCXMXKBSL&amp;VAR:QUERY=KFBfUFJJQ0UoNDAwOTEpLShGRl9DQVNIX1NUKFFUUiw0MDA5MSkvUF9DT01fU0hTX09VVCg0MDA5MSkpKS9GR","V9FU1RJTUFURSgnRVBTJywnTUVBTicsJ0FOTlVBTF9ST0xMJywnKzEnLDQwMDkxLCwsJycp&amp;WINDOW=FIRST_POPUP&amp;HEIGHT=450&amp;WIDTH=450&amp;START_MAXIMIZED=FALSE&amp;VAR:CALENDAR=US&amp;VAR:SYMBOL=38259P50&amp;VAR:INDEX=0"}</definedName>
    <definedName name="_3019__FDSAUDITLINK__">{"fdsup://directions/FAT Viewer?action=UPDATE&amp;creator=factset&amp;DYN_ARGS=TRUE&amp;DOC_NAME=FAT:FQL_AUDITING_CLIENT_TEMPLATE.FAT&amp;display_string=Audit&amp;VAR:KEY=OTULULMXUB&amp;VAR:QUERY=KFBfUFJJQ0UoNDAwOTApLShGRl9DQVNIX1NUKFFUUiw0MDA5MCkvUF9DT01fU0hTX09VVCg0MDA5MCkpKS9GR","V9FU1RJTUFURSgnRVBTJywnTUVBTicsJ0FOTlVBTF9ST0xMJywnKzEnLDQwMDkwLCwsJycp&amp;WINDOW=FIRST_POPUP&amp;HEIGHT=450&amp;WIDTH=450&amp;START_MAXIMIZED=FALSE&amp;VAR:CALENDAR=US&amp;VAR:SYMBOL=38259P50&amp;VAR:INDEX=0"}</definedName>
    <definedName name="_30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227"}</definedName>
    <definedName name="_3020__FDSAUDITLINK__">{"fdsup://directions/FAT Viewer?action=UPDATE&amp;creator=factset&amp;DYN_ARGS=TRUE&amp;DOC_NAME=FAT:FQL_AUDITING_CLIENT_TEMPLATE.FAT&amp;display_string=Audit&amp;VAR:KEY=OTULULMXUB&amp;VAR:QUERY=KFBfUFJJQ0UoNDAwOTApLShGRl9DQVNIX1NUKFFUUiw0MDA5MCkvUF9DT01fU0hTX09VVCg0MDA5MCkpKS9GR","V9FU1RJTUFURSgnRVBTJywnTUVBTicsJ0FOTlVBTF9ST0xMJywnKzEnLDQwMDkwLCwsJycp&amp;WINDOW=FIRST_POPUP&amp;HEIGHT=450&amp;WIDTH=450&amp;START_MAXIMIZED=FALSE&amp;VAR:CALENDAR=US&amp;VAR:SYMBOL=38259P50&amp;VAR:INDEX=0"}</definedName>
    <definedName name="_3021__FDSAUDITLINK__">{"fdsup://directions/FAT Viewer?action=UPDATE&amp;creator=factset&amp;DYN_ARGS=TRUE&amp;DOC_NAME=FAT:FQL_AUDITING_CLIENT_TEMPLATE.FAT&amp;display_string=Audit&amp;VAR:KEY=QDSVYFCTQJ&amp;VAR:QUERY=KFBfUFJJQ0UoNDAwODkpLShGRl9DQVNIX1NUKFFUUiw0MDA4OSkvUF9DT01fU0hTX09VVCg0MDA4OSkpKS9GR","V9FU1RJTUFURSgnRVBTJywnTUVBTicsJ0FOTlVBTF9ST0xMJywnKzEnLDQwMDg5LCwsJycp&amp;WINDOW=FIRST_POPUP&amp;HEIGHT=450&amp;WIDTH=450&amp;START_MAXIMIZED=FALSE&amp;VAR:CALENDAR=US&amp;VAR:SYMBOL=38259P50&amp;VAR:INDEX=0"}</definedName>
    <definedName name="_3022__FDSAUDITLINK__">{"fdsup://directions/FAT Viewer?action=UPDATE&amp;creator=factset&amp;DYN_ARGS=TRUE&amp;DOC_NAME=FAT:FQL_AUDITING_CLIENT_TEMPLATE.FAT&amp;display_string=Audit&amp;VAR:KEY=QDSVYFCTQJ&amp;VAR:QUERY=KFBfUFJJQ0UoNDAwODkpLShGRl9DQVNIX1NUKFFUUiw0MDA4OSkvUF9DT01fU0hTX09VVCg0MDA4OSkpKS9GR","V9FU1RJTUFURSgnRVBTJywnTUVBTicsJ0FOTlVBTF9ST0xMJywnKzEnLDQwMDg5LCwsJycp&amp;WINDOW=FIRST_POPUP&amp;HEIGHT=450&amp;WIDTH=450&amp;START_MAXIMIZED=FALSE&amp;VAR:CALENDAR=US&amp;VAR:SYMBOL=38259P50&amp;VAR:INDEX=0"}</definedName>
    <definedName name="_3023__FDSAUDITLINK__">{"fdsup://directions/FAT Viewer?action=UPDATE&amp;creator=factset&amp;DYN_ARGS=TRUE&amp;DOC_NAME=FAT:FQL_AUDITING_CLIENT_TEMPLATE.FAT&amp;display_string=Audit&amp;VAR:KEY=OZALAFOLYH&amp;VAR:QUERY=KFBfUFJJQ0UoNDAwODgpLShGRl9DQVNIX1NUKFFUUiw0MDA4OCkvUF9DT01fU0hTX09VVCg0MDA4OCkpKS9GR","V9FU1RJTUFURSgnRVBTJywnTUVBTicsJ0FOTlVBTF9ST0xMJywnKzEnLDQwMDg4LCwsJycp&amp;WINDOW=FIRST_POPUP&amp;HEIGHT=450&amp;WIDTH=450&amp;START_MAXIMIZED=FALSE&amp;VAR:CALENDAR=US&amp;VAR:SYMBOL=38259P50&amp;VAR:INDEX=0"}</definedName>
    <definedName name="_3024__FDSAUDITLINK__">{"fdsup://directions/FAT Viewer?action=UPDATE&amp;creator=factset&amp;DYN_ARGS=TRUE&amp;DOC_NAME=FAT:FQL_AUDITING_CLIENT_TEMPLATE.FAT&amp;display_string=Audit&amp;VAR:KEY=OZALAFOLYH&amp;VAR:QUERY=KFBfUFJJQ0UoNDAwODgpLShGRl9DQVNIX1NUKFFUUiw0MDA4OCkvUF9DT01fU0hTX09VVCg0MDA4OCkpKS9GR","V9FU1RJTUFURSgnRVBTJywnTUVBTicsJ0FOTlVBTF9ST0xMJywnKzEnLDQwMDg4LCwsJycp&amp;WINDOW=FIRST_POPUP&amp;HEIGHT=450&amp;WIDTH=450&amp;START_MAXIMIZED=FALSE&amp;VAR:CALENDAR=US&amp;VAR:SYMBOL=38259P50&amp;VAR:INDEX=0"}</definedName>
    <definedName name="_3025__FDSAUDITLINK__">{"fdsup://directions/FAT Viewer?action=UPDATE&amp;creator=factset&amp;DYN_ARGS=TRUE&amp;DOC_NAME=FAT:FQL_AUDITING_CLIENT_TEMPLATE.FAT&amp;display_string=Audit&amp;VAR:KEY=CXUJSRKXMX&amp;VAR:QUERY=KFBfUFJJQ0UoNDAwODcpLShGRl9DQVNIX1NUKFFUUiw0MDA4NykvUF9DT01fU0hTX09VVCg0MDA4NykpKS9GR","V9FU1RJTUFURSgnRVBTJywnTUVBTicsJ0FOTlVBTF9ST0xMJywnKzEnLDQwMDg3LCwsJycp&amp;WINDOW=FIRST_POPUP&amp;HEIGHT=450&amp;WIDTH=450&amp;START_MAXIMIZED=FALSE&amp;VAR:CALENDAR=US&amp;VAR:SYMBOL=38259P50&amp;VAR:INDEX=0"}</definedName>
    <definedName name="_3026__FDSAUDITLINK__">{"fdsup://directions/FAT Viewer?action=UPDATE&amp;creator=factset&amp;DYN_ARGS=TRUE&amp;DOC_NAME=FAT:FQL_AUDITING_CLIENT_TEMPLATE.FAT&amp;display_string=Audit&amp;VAR:KEY=CXUJSRKXMX&amp;VAR:QUERY=KFBfUFJJQ0UoNDAwODcpLShGRl9DQVNIX1NUKFFUUiw0MDA4NykvUF9DT01fU0hTX09VVCg0MDA4NykpKS9GR","V9FU1RJTUFURSgnRVBTJywnTUVBTicsJ0FOTlVBTF9ST0xMJywnKzEnLDQwMDg3LCwsJycp&amp;WINDOW=FIRST_POPUP&amp;HEIGHT=450&amp;WIDTH=450&amp;START_MAXIMIZED=FALSE&amp;VAR:CALENDAR=US&amp;VAR:SYMBOL=38259P50&amp;VAR:INDEX=0"}</definedName>
    <definedName name="_3027__FDSAUDITLINK__">{"fdsup://directions/FAT Viewer?action=UPDATE&amp;creator=factset&amp;DYN_ARGS=TRUE&amp;DOC_NAME=FAT:FQL_AUDITING_CLIENT_TEMPLATE.FAT&amp;display_string=Audit&amp;VAR:KEY=YJMLYNWXKP&amp;VAR:QUERY=KFBfUFJJQ0UoNDAwODYpLShGRl9DQVNIX1NUKFFUUiw0MDA4NikvUF9DT01fU0hTX09VVCg0MDA4NikpKS9GR","V9FU1RJTUFURSgnRVBTJywnTUVBTicsJ0FOTlVBTF9ST0xMJywnKzEnLDQwMDg2LCwsJycp&amp;WINDOW=FIRST_POPUP&amp;HEIGHT=450&amp;WIDTH=450&amp;START_MAXIMIZED=FALSE&amp;VAR:CALENDAR=US&amp;VAR:SYMBOL=38259P50&amp;VAR:INDEX=0"}</definedName>
    <definedName name="_3028__FDSAUDITLINK__">{"fdsup://directions/FAT Viewer?action=UPDATE&amp;creator=factset&amp;DYN_ARGS=TRUE&amp;DOC_NAME=FAT:FQL_AUDITING_CLIENT_TEMPLATE.FAT&amp;display_string=Audit&amp;VAR:KEY=YJMLYNWXKP&amp;VAR:QUERY=KFBfUFJJQ0UoNDAwODYpLShGRl9DQVNIX1NUKFFUUiw0MDA4NikvUF9DT01fU0hTX09VVCg0MDA4NikpKS9GR","V9FU1RJTUFURSgnRVBTJywnTUVBTicsJ0FOTlVBTF9ST0xMJywnKzEnLDQwMDg2LCwsJycp&amp;WINDOW=FIRST_POPUP&amp;HEIGHT=450&amp;WIDTH=450&amp;START_MAXIMIZED=FALSE&amp;VAR:CALENDAR=US&amp;VAR:SYMBOL=38259P50&amp;VAR:INDEX=0"}</definedName>
    <definedName name="_3029__FDSAUDITLINK__">{"fdsup://directions/FAT Viewer?action=UPDATE&amp;creator=factset&amp;DYN_ARGS=TRUE&amp;DOC_NAME=FAT:FQL_AUDITING_CLIENT_TEMPLATE.FAT&amp;display_string=Audit&amp;VAR:KEY=MXURKPUVWJ&amp;VAR:QUERY=KFBfUFJJQ0UoNDAwODUpLShGRl9DQVNIX1NUKFFUUiw0MDA4NSkvUF9DT01fU0hTX09VVCg0MDA4NSkpKS9GR","V9FU1RJTUFURSgnRVBTJywnTUVBTicsJ0FOTlVBTF9ST0xMJywnKzEnLDQwMDg1LCwsJycp&amp;WINDOW=FIRST_POPUP&amp;HEIGHT=450&amp;WIDTH=450&amp;START_MAXIMIZED=FALSE&amp;VAR:CALENDAR=US&amp;VAR:SYMBOL=38259P50&amp;VAR:INDEX=0"}</definedName>
    <definedName name="_30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226"}</definedName>
    <definedName name="_3030__FDSAUDITLINK__">{"fdsup://directions/FAT Viewer?action=UPDATE&amp;creator=factset&amp;DYN_ARGS=TRUE&amp;DOC_NAME=FAT:FQL_AUDITING_CLIENT_TEMPLATE.FAT&amp;display_string=Audit&amp;VAR:KEY=MXURKPUVWJ&amp;VAR:QUERY=KFBfUFJJQ0UoNDAwODUpLShGRl9DQVNIX1NUKFFUUiw0MDA4NSkvUF9DT01fU0hTX09VVCg0MDA4NSkpKS9GR","V9FU1RJTUFURSgnRVBTJywnTUVBTicsJ0FOTlVBTF9ST0xMJywnKzEnLDQwMDg1LCwsJycp&amp;WINDOW=FIRST_POPUP&amp;HEIGHT=450&amp;WIDTH=450&amp;START_MAXIMIZED=FALSE&amp;VAR:CALENDAR=US&amp;VAR:SYMBOL=38259P50&amp;VAR:INDEX=0"}</definedName>
    <definedName name="_3031__FDSAUDITLINK__">{"fdsup://directions/FAT Viewer?action=UPDATE&amp;creator=factset&amp;DYN_ARGS=TRUE&amp;DOC_NAME=FAT:FQL_AUDITING_CLIENT_TEMPLATE.FAT&amp;display_string=Audit&amp;VAR:KEY=MDWBANUXAD&amp;VAR:QUERY=KFBfUFJJQ0UoNDAwODQpLShGRl9DQVNIX1NUKFFUUiw0MDA4NCkvUF9DT01fU0hTX09VVCg0MDA4NCkpKS9GR","V9FU1RJTUFURSgnRVBTJywnTUVBTicsJ0FOTlVBTF9ST0xMJywnKzEnLDQwMDg0LCwsJycp&amp;WINDOW=FIRST_POPUP&amp;HEIGHT=450&amp;WIDTH=450&amp;START_MAXIMIZED=FALSE&amp;VAR:CALENDAR=US&amp;VAR:SYMBOL=38259P50&amp;VAR:INDEX=0"}</definedName>
    <definedName name="_3032__FDSAUDITLINK__">{"fdsup://directions/FAT Viewer?action=UPDATE&amp;creator=factset&amp;DYN_ARGS=TRUE&amp;DOC_NAME=FAT:FQL_AUDITING_CLIENT_TEMPLATE.FAT&amp;display_string=Audit&amp;VAR:KEY=MDWBANUXAD&amp;VAR:QUERY=KFBfUFJJQ0UoNDAwODQpLShGRl9DQVNIX1NUKFFUUiw0MDA4NCkvUF9DT01fU0hTX09VVCg0MDA4NCkpKS9GR","V9FU1RJTUFURSgnRVBTJywnTUVBTicsJ0FOTlVBTF9ST0xMJywnKzEnLDQwMDg0LCwsJycp&amp;WINDOW=FIRST_POPUP&amp;HEIGHT=450&amp;WIDTH=450&amp;START_MAXIMIZED=FALSE&amp;VAR:CALENDAR=US&amp;VAR:SYMBOL=38259P50&amp;VAR:INDEX=0"}</definedName>
    <definedName name="_3033__FDSAUDITLINK__">{"fdsup://directions/FAT Viewer?action=UPDATE&amp;creator=factset&amp;DYN_ARGS=TRUE&amp;DOC_NAME=FAT:FQL_AUDITING_CLIENT_TEMPLATE.FAT&amp;display_string=Audit&amp;VAR:KEY=EPWLGVGJGF&amp;VAR:QUERY=KFBfUFJJQ0UoNDAwODMpLShGRl9DQVNIX1NUKFFUUiw0MDA4MykvUF9DT01fU0hTX09VVCg0MDA4MykpKS9GR","V9FU1RJTUFURSgnRVBTJywnTUVBTicsJ0FOTlVBTF9ST0xMJywnKzEnLDQwMDgzLCwsJycp&amp;WINDOW=FIRST_POPUP&amp;HEIGHT=450&amp;WIDTH=450&amp;START_MAXIMIZED=FALSE&amp;VAR:CALENDAR=US&amp;VAR:SYMBOL=38259P50&amp;VAR:INDEX=0"}</definedName>
    <definedName name="_3034__FDSAUDITLINK__">{"fdsup://directions/FAT Viewer?action=UPDATE&amp;creator=factset&amp;DYN_ARGS=TRUE&amp;DOC_NAME=FAT:FQL_AUDITING_CLIENT_TEMPLATE.FAT&amp;display_string=Audit&amp;VAR:KEY=EPWLGVGJGF&amp;VAR:QUERY=KFBfUFJJQ0UoNDAwODMpLShGRl9DQVNIX1NUKFFUUiw0MDA4MykvUF9DT01fU0hTX09VVCg0MDA4MykpKS9GR","V9FU1RJTUFURSgnRVBTJywnTUVBTicsJ0FOTlVBTF9ST0xMJywnKzEnLDQwMDgzLCwsJycp&amp;WINDOW=FIRST_POPUP&amp;HEIGHT=450&amp;WIDTH=450&amp;START_MAXIMIZED=FALSE&amp;VAR:CALENDAR=US&amp;VAR:SYMBOL=38259P50&amp;VAR:INDEX=0"}</definedName>
    <definedName name="_3035__FDSAUDITLINK__">{"fdsup://directions/FAT Viewer?action=UPDATE&amp;creator=factset&amp;DYN_ARGS=TRUE&amp;DOC_NAME=FAT:FQL_AUDITING_CLIENT_TEMPLATE.FAT&amp;display_string=Audit&amp;VAR:KEY=GXKJUXCHAF&amp;VAR:QUERY=KFBfUFJJQ0UoNDAwODIpLShGRl9DQVNIX1NUKFFUUiw0MDA4MikvUF9DT01fU0hTX09VVCg0MDA4MikpKS9GR","V9FU1RJTUFURSgnRVBTJywnTUVBTicsJ0FOTlVBTF9ST0xMJywnKzEnLDQwMDgyLCwsJycp&amp;WINDOW=FIRST_POPUP&amp;HEIGHT=450&amp;WIDTH=450&amp;START_MAXIMIZED=FALSE&amp;VAR:CALENDAR=US&amp;VAR:SYMBOL=38259P50&amp;VAR:INDEX=0"}</definedName>
    <definedName name="_3036__FDSAUDITLINK__">{"fdsup://directions/FAT Viewer?action=UPDATE&amp;creator=factset&amp;DYN_ARGS=TRUE&amp;DOC_NAME=FAT:FQL_AUDITING_CLIENT_TEMPLATE.FAT&amp;display_string=Audit&amp;VAR:KEY=GXKJUXCHAF&amp;VAR:QUERY=KFBfUFJJQ0UoNDAwODIpLShGRl9DQVNIX1NUKFFUUiw0MDA4MikvUF9DT01fU0hTX09VVCg0MDA4MikpKS9GR","V9FU1RJTUFURSgnRVBTJywnTUVBTicsJ0FOTlVBTF9ST0xMJywnKzEnLDQwMDgyLCwsJycp&amp;WINDOW=FIRST_POPUP&amp;HEIGHT=450&amp;WIDTH=450&amp;START_MAXIMIZED=FALSE&amp;VAR:CALENDAR=US&amp;VAR:SYMBOL=38259P50&amp;VAR:INDEX=0"}</definedName>
    <definedName name="_3037__FDSAUDITLINK__">{"fdsup://directions/FAT Viewer?action=UPDATE&amp;creator=factset&amp;DYN_ARGS=TRUE&amp;DOC_NAME=FAT:FQL_AUDITING_CLIENT_TEMPLATE.FAT&amp;display_string=Audit&amp;VAR:KEY=MDGLODWTAT&amp;VAR:QUERY=KFBfUFJJQ0UoNDAwODEpLShGRl9DQVNIX1NUKFFUUiw0MDA4MSkvUF9DT01fU0hTX09VVCg0MDA4MSkpKS9GR","V9FU1RJTUFURSgnRVBTJywnTUVBTicsJ0FOTlVBTF9ST0xMJywnKzEnLDQwMDgxLCwsJycp&amp;WINDOW=FIRST_POPUP&amp;HEIGHT=450&amp;WIDTH=450&amp;START_MAXIMIZED=FALSE&amp;VAR:CALENDAR=US&amp;VAR:SYMBOL=38259P50&amp;VAR:INDEX=0"}</definedName>
    <definedName name="_3038__FDSAUDITLINK__">{"fdsup://directions/FAT Viewer?action=UPDATE&amp;creator=factset&amp;DYN_ARGS=TRUE&amp;DOC_NAME=FAT:FQL_AUDITING_CLIENT_TEMPLATE.FAT&amp;display_string=Audit&amp;VAR:KEY=MDGLODWTAT&amp;VAR:QUERY=KFBfUFJJQ0UoNDAwODEpLShGRl9DQVNIX1NUKFFUUiw0MDA4MSkvUF9DT01fU0hTX09VVCg0MDA4MSkpKS9GR","V9FU1RJTUFURSgnRVBTJywnTUVBTicsJ0FOTlVBTF9ST0xMJywnKzEnLDQwMDgxLCwsJycp&amp;WINDOW=FIRST_POPUP&amp;HEIGHT=450&amp;WIDTH=450&amp;START_MAXIMIZED=FALSE&amp;VAR:CALENDAR=US&amp;VAR:SYMBOL=38259P50&amp;VAR:INDEX=0"}</definedName>
    <definedName name="_3039__FDSAUDITLINK__">{"fdsup://directions/FAT Viewer?action=UPDATE&amp;creator=factset&amp;DYN_ARGS=TRUE&amp;DOC_NAME=FAT:FQL_AUDITING_CLIENT_TEMPLATE.FAT&amp;display_string=Audit&amp;VAR:KEY=AXABERQDIB&amp;VAR:QUERY=KFBfUFJJQ0UoNDAwODApLShGRl9DQVNIX1NUKFFUUiw0MDA4MCkvUF9DT01fU0hTX09VVCg0MDA4MCkpKS9GR","V9FU1RJTUFURSgnRVBTJywnTUVBTicsJ0FOTlVBTF9ST0xMJywnKzEnLDQwMDgwLCwsJycp&amp;WINDOW=FIRST_POPUP&amp;HEIGHT=450&amp;WIDTH=450&amp;START_MAXIMIZED=FALSE&amp;VAR:CALENDAR=US&amp;VAR:SYMBOL=38259P50&amp;VAR:INDEX=0"}</definedName>
    <definedName name="_30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225"}</definedName>
    <definedName name="_3040__FDSAUDITLINK__">{"fdsup://directions/FAT Viewer?action=UPDATE&amp;creator=factset&amp;DYN_ARGS=TRUE&amp;DOC_NAME=FAT:FQL_AUDITING_CLIENT_TEMPLATE.FAT&amp;display_string=Audit&amp;VAR:KEY=AXABERQDIB&amp;VAR:QUERY=KFBfUFJJQ0UoNDAwODApLShGRl9DQVNIX1NUKFFUUiw0MDA4MCkvUF9DT01fU0hTX09VVCg0MDA4MCkpKS9GR","V9FU1RJTUFURSgnRVBTJywnTUVBTicsJ0FOTlVBTF9ST0xMJywnKzEnLDQwMDgwLCwsJycp&amp;WINDOW=FIRST_POPUP&amp;HEIGHT=450&amp;WIDTH=450&amp;START_MAXIMIZED=FALSE&amp;VAR:CALENDAR=US&amp;VAR:SYMBOL=38259P50&amp;VAR:INDEX=0"}</definedName>
    <definedName name="_3041__FDSAUDITLINK__">{"fdsup://directions/FAT Viewer?action=UPDATE&amp;creator=factset&amp;DYN_ARGS=TRUE&amp;DOC_NAME=FAT:FQL_AUDITING_CLIENT_TEMPLATE.FAT&amp;display_string=Audit&amp;VAR:KEY=KNQHGRKJEN&amp;VAR:QUERY=KFBfUFJJQ0UoNDAwNzkpLShGRl9DQVNIX1NUKFFUUiw0MDA3OSkvUF9DT01fU0hTX09VVCg0MDA3OSkpKS9GR","V9FU1RJTUFURSgnRVBTJywnTUVBTicsJ0FOTlVBTF9ST0xMJywnKzEnLDQwMDc5LCwsJycp&amp;WINDOW=FIRST_POPUP&amp;HEIGHT=450&amp;WIDTH=450&amp;START_MAXIMIZED=FALSE&amp;VAR:CALENDAR=US&amp;VAR:SYMBOL=38259P50&amp;VAR:INDEX=0"}</definedName>
    <definedName name="_3042__FDSAUDITLINK__">{"fdsup://directions/FAT Viewer?action=UPDATE&amp;creator=factset&amp;DYN_ARGS=TRUE&amp;DOC_NAME=FAT:FQL_AUDITING_CLIENT_TEMPLATE.FAT&amp;display_string=Audit&amp;VAR:KEY=KNQHGRKJEN&amp;VAR:QUERY=KFBfUFJJQ0UoNDAwNzkpLShGRl9DQVNIX1NUKFFUUiw0MDA3OSkvUF9DT01fU0hTX09VVCg0MDA3OSkpKS9GR","V9FU1RJTUFURSgnRVBTJywnTUVBTicsJ0FOTlVBTF9ST0xMJywnKzEnLDQwMDc5LCwsJycp&amp;WINDOW=FIRST_POPUP&amp;HEIGHT=450&amp;WIDTH=450&amp;START_MAXIMIZED=FALSE&amp;VAR:CALENDAR=US&amp;VAR:SYMBOL=38259P50&amp;VAR:INDEX=0"}</definedName>
    <definedName name="_3043__FDSAUDITLINK__">{"fdsup://directions/FAT Viewer?action=UPDATE&amp;creator=factset&amp;DYN_ARGS=TRUE&amp;DOC_NAME=FAT:FQL_AUDITING_CLIENT_TEMPLATE.FAT&amp;display_string=Audit&amp;VAR:KEY=WZCDUHKXGP&amp;VAR:QUERY=KFBfUFJJQ0UoNDAwNzgpLShGRl9DQVNIX1NUKFFUUiw0MDA3OCkvUF9DT01fU0hTX09VVCg0MDA3OCkpKS9GR","V9FU1RJTUFURSgnRVBTJywnTUVBTicsJ0FOTlVBTF9ST0xMJywnKzEnLDQwMDc4LCwsJycp&amp;WINDOW=FIRST_POPUP&amp;HEIGHT=450&amp;WIDTH=450&amp;START_MAXIMIZED=FALSE&amp;VAR:CALENDAR=US&amp;VAR:SYMBOL=38259P50&amp;VAR:INDEX=0"}</definedName>
    <definedName name="_3044__FDSAUDITLINK__">{"fdsup://directions/FAT Viewer?action=UPDATE&amp;creator=factset&amp;DYN_ARGS=TRUE&amp;DOC_NAME=FAT:FQL_AUDITING_CLIENT_TEMPLATE.FAT&amp;display_string=Audit&amp;VAR:KEY=WZCDUHKXGP&amp;VAR:QUERY=KFBfUFJJQ0UoNDAwNzgpLShGRl9DQVNIX1NUKFFUUiw0MDA3OCkvUF9DT01fU0hTX09VVCg0MDA3OCkpKS9GR","V9FU1RJTUFURSgnRVBTJywnTUVBTicsJ0FOTlVBTF9ST0xMJywnKzEnLDQwMDc4LCwsJycp&amp;WINDOW=FIRST_POPUP&amp;HEIGHT=450&amp;WIDTH=450&amp;START_MAXIMIZED=FALSE&amp;VAR:CALENDAR=US&amp;VAR:SYMBOL=38259P50&amp;VAR:INDEX=0"}</definedName>
    <definedName name="_3045__FDSAUDITLINK__">{"fdsup://directions/FAT Viewer?action=UPDATE&amp;creator=factset&amp;DYN_ARGS=TRUE&amp;DOC_NAME=FAT:FQL_AUDITING_CLIENT_TEMPLATE.FAT&amp;display_string=Audit&amp;VAR:KEY=GFSRSVWNEX&amp;VAR:QUERY=KFBfUFJJQ0UoNDAwNzcpLShGRl9DQVNIX1NUKFFUUiw0MDA3NykvUF9DT01fU0hTX09VVCg0MDA3NykpKS9GR","V9FU1RJTUFURSgnRVBTJywnTUVBTicsJ0FOTlVBTF9ST0xMJywnKzEnLDQwMDc3LCwsJycp&amp;WINDOW=FIRST_POPUP&amp;HEIGHT=450&amp;WIDTH=450&amp;START_MAXIMIZED=FALSE&amp;VAR:CALENDAR=US&amp;VAR:SYMBOL=38259P50&amp;VAR:INDEX=0"}</definedName>
    <definedName name="_3046__FDSAUDITLINK__">{"fdsup://directions/FAT Viewer?action=UPDATE&amp;creator=factset&amp;DYN_ARGS=TRUE&amp;DOC_NAME=FAT:FQL_AUDITING_CLIENT_TEMPLATE.FAT&amp;display_string=Audit&amp;VAR:KEY=GFSRSVWNEX&amp;VAR:QUERY=KFBfUFJJQ0UoNDAwNzcpLShGRl9DQVNIX1NUKFFUUiw0MDA3NykvUF9DT01fU0hTX09VVCg0MDA3NykpKS9GR","V9FU1RJTUFURSgnRVBTJywnTUVBTicsJ0FOTlVBTF9ST0xMJywnKzEnLDQwMDc3LCwsJycp&amp;WINDOW=FIRST_POPUP&amp;HEIGHT=450&amp;WIDTH=450&amp;START_MAXIMIZED=FALSE&amp;VAR:CALENDAR=US&amp;VAR:SYMBOL=38259P50&amp;VAR:INDEX=0"}</definedName>
    <definedName name="_3047__FDSAUDITLINK__">{"fdsup://directions/FAT Viewer?action=UPDATE&amp;creator=factset&amp;DYN_ARGS=TRUE&amp;DOC_NAME=FAT:FQL_AUDITING_CLIENT_TEMPLATE.FAT&amp;display_string=Audit&amp;VAR:KEY=OZQDGVOXUV&amp;VAR:QUERY=KFBfUFJJQ0UoNDAwNzYpLShGRl9DQVNIX1NUKFFUUiw0MDA3NikvUF9DT01fU0hTX09VVCg0MDA3NikpKS9GR","V9FU1RJTUFURSgnRVBTJywnTUVBTicsJ0FOTlVBTF9ST0xMJywnKzEnLDQwMDc2LCwsJycp&amp;WINDOW=FIRST_POPUP&amp;HEIGHT=450&amp;WIDTH=450&amp;START_MAXIMIZED=FALSE&amp;VAR:CALENDAR=US&amp;VAR:SYMBOL=38259P50&amp;VAR:INDEX=0"}</definedName>
    <definedName name="_3048__FDSAUDITLINK__">{"fdsup://directions/FAT Viewer?action=UPDATE&amp;creator=factset&amp;DYN_ARGS=TRUE&amp;DOC_NAME=FAT:FQL_AUDITING_CLIENT_TEMPLATE.FAT&amp;display_string=Audit&amp;VAR:KEY=OZQDGVOXUV&amp;VAR:QUERY=KFBfUFJJQ0UoNDAwNzYpLShGRl9DQVNIX1NUKFFUUiw0MDA3NikvUF9DT01fU0hTX09VVCg0MDA3NikpKS9GR","V9FU1RJTUFURSgnRVBTJywnTUVBTicsJ0FOTlVBTF9ST0xMJywnKzEnLDQwMDc2LCwsJycp&amp;WINDOW=FIRST_POPUP&amp;HEIGHT=450&amp;WIDTH=450&amp;START_MAXIMIZED=FALSE&amp;VAR:CALENDAR=US&amp;VAR:SYMBOL=38259P50&amp;VAR:INDEX=0"}</definedName>
    <definedName name="_3049__FDSAUDITLINK__">{"fdsup://directions/FAT Viewer?action=UPDATE&amp;creator=factset&amp;DYN_ARGS=TRUE&amp;DOC_NAME=FAT:FQL_AUDITING_CLIENT_TEMPLATE.FAT&amp;display_string=Audit&amp;VAR:KEY=EVAVYLILWB&amp;VAR:QUERY=KFBfUFJJQ0UoNDAwNzUpLShGRl9DQVNIX1NUKFFUUiw0MDA3NSkvUF9DT01fU0hTX09VVCg0MDA3NSkpKS9GR","V9FU1RJTUFURSgnRVBTJywnTUVBTicsJ0FOTlVBTF9ST0xMJywnKzEnLDQwMDc1LCwsJycp&amp;WINDOW=FIRST_POPUP&amp;HEIGHT=450&amp;WIDTH=450&amp;START_MAXIMIZED=FALSE&amp;VAR:CALENDAR=US&amp;VAR:SYMBOL=38259P50&amp;VAR:INDEX=0"}</definedName>
    <definedName name="_30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224"}</definedName>
    <definedName name="_3050__FDSAUDITLINK__">{"fdsup://directions/FAT Viewer?action=UPDATE&amp;creator=factset&amp;DYN_ARGS=TRUE&amp;DOC_NAME=FAT:FQL_AUDITING_CLIENT_TEMPLATE.FAT&amp;display_string=Audit&amp;VAR:KEY=EVAVYLILWB&amp;VAR:QUERY=KFBfUFJJQ0UoNDAwNzUpLShGRl9DQVNIX1NUKFFUUiw0MDA3NSkvUF9DT01fU0hTX09VVCg0MDA3NSkpKS9GR","V9FU1RJTUFURSgnRVBTJywnTUVBTicsJ0FOTlVBTF9ST0xMJywnKzEnLDQwMDc1LCwsJycp&amp;WINDOW=FIRST_POPUP&amp;HEIGHT=450&amp;WIDTH=450&amp;START_MAXIMIZED=FALSE&amp;VAR:CALENDAR=US&amp;VAR:SYMBOL=38259P50&amp;VAR:INDEX=0"}</definedName>
    <definedName name="_3051__FDSAUDITLINK__">{"fdsup://directions/FAT Viewer?action=UPDATE&amp;creator=factset&amp;DYN_ARGS=TRUE&amp;DOC_NAME=FAT:FQL_AUDITING_CLIENT_TEMPLATE.FAT&amp;display_string=Audit&amp;VAR:KEY=QZWROTEHGT&amp;VAR:QUERY=KFBfUFJJQ0UoNDAwNzQpLShGRl9DQVNIX1NUKFFUUiw0MDA3NCkvUF9DT01fU0hTX09VVCg0MDA3NCkpKS9GR","V9FU1RJTUFURSgnRVBTJywnTUVBTicsJ0FOTlVBTF9ST0xMJywnKzEnLDQwMDc0LCwsJycp&amp;WINDOW=FIRST_POPUP&amp;HEIGHT=450&amp;WIDTH=450&amp;START_MAXIMIZED=FALSE&amp;VAR:CALENDAR=US&amp;VAR:SYMBOL=38259P50&amp;VAR:INDEX=0"}</definedName>
    <definedName name="_3052__FDSAUDITLINK__">{"fdsup://directions/FAT Viewer?action=UPDATE&amp;creator=factset&amp;DYN_ARGS=TRUE&amp;DOC_NAME=FAT:FQL_AUDITING_CLIENT_TEMPLATE.FAT&amp;display_string=Audit&amp;VAR:KEY=QZWROTEHGT&amp;VAR:QUERY=KFBfUFJJQ0UoNDAwNzQpLShGRl9DQVNIX1NUKFFUUiw0MDA3NCkvUF9DT01fU0hTX09VVCg0MDA3NCkpKS9GR","V9FU1RJTUFURSgnRVBTJywnTUVBTicsJ0FOTlVBTF9ST0xMJywnKzEnLDQwMDc0LCwsJycp&amp;WINDOW=FIRST_POPUP&amp;HEIGHT=450&amp;WIDTH=450&amp;START_MAXIMIZED=FALSE&amp;VAR:CALENDAR=US&amp;VAR:SYMBOL=38259P50&amp;VAR:INDEX=0"}</definedName>
    <definedName name="_3053__FDSAUDITLINK__">{"fdsup://directions/FAT Viewer?action=UPDATE&amp;creator=factset&amp;DYN_ARGS=TRUE&amp;DOC_NAME=FAT:FQL_AUDITING_CLIENT_TEMPLATE.FAT&amp;display_string=Audit&amp;VAR:KEY=WFEJOJWPQX&amp;VAR:QUERY=KFBfUFJJQ0UoNDAwNzMpLShGRl9DQVNIX1NUKFFUUiw0MDA3MykvUF9DT01fU0hTX09VVCg0MDA3MykpKS9GR","V9FU1RJTUFURSgnRVBTJywnTUVBTicsJ0FOTlVBTF9ST0xMJywnKzEnLDQwMDczLCwsJycp&amp;WINDOW=FIRST_POPUP&amp;HEIGHT=450&amp;WIDTH=450&amp;START_MAXIMIZED=FALSE&amp;VAR:CALENDAR=US&amp;VAR:SYMBOL=38259P50&amp;VAR:INDEX=0"}</definedName>
    <definedName name="_3054__FDSAUDITLINK__">{"fdsup://directions/FAT Viewer?action=UPDATE&amp;creator=factset&amp;DYN_ARGS=TRUE&amp;DOC_NAME=FAT:FQL_AUDITING_CLIENT_TEMPLATE.FAT&amp;display_string=Audit&amp;VAR:KEY=WFEJOJWPQX&amp;VAR:QUERY=KFBfUFJJQ0UoNDAwNzMpLShGRl9DQVNIX1NUKFFUUiw0MDA3MykvUF9DT01fU0hTX09VVCg0MDA3MykpKS9GR","V9FU1RJTUFURSgnRVBTJywnTUVBTicsJ0FOTlVBTF9ST0xMJywnKzEnLDQwMDczLCwsJycp&amp;WINDOW=FIRST_POPUP&amp;HEIGHT=450&amp;WIDTH=450&amp;START_MAXIMIZED=FALSE&amp;VAR:CALENDAR=US&amp;VAR:SYMBOL=38259P50&amp;VAR:INDEX=0"}</definedName>
    <definedName name="_3055__FDSAUDITLINK__">{"fdsup://directions/FAT Viewer?action=UPDATE&amp;creator=factset&amp;DYN_ARGS=TRUE&amp;DOC_NAME=FAT:FQL_AUDITING_CLIENT_TEMPLATE.FAT&amp;display_string=Audit&amp;VAR:KEY=IJYZABGPMB&amp;VAR:QUERY=KFBfUFJJQ0UoNDAwNzIpLShGRl9DQVNIX1NUKFFUUiw0MDA3MikvUF9DT01fU0hTX09VVCg0MDA3MikpKS9GR","V9FU1RJTUFURSgnRVBTJywnTUVBTicsJ0FOTlVBTF9ST0xMJywnKzEnLDQwMDcyLCwsJycp&amp;WINDOW=FIRST_POPUP&amp;HEIGHT=450&amp;WIDTH=450&amp;START_MAXIMIZED=FALSE&amp;VAR:CALENDAR=US&amp;VAR:SYMBOL=38259P50&amp;VAR:INDEX=0"}</definedName>
    <definedName name="_3056__FDSAUDITLINK__">{"fdsup://directions/FAT Viewer?action=UPDATE&amp;creator=factset&amp;DYN_ARGS=TRUE&amp;DOC_NAME=FAT:FQL_AUDITING_CLIENT_TEMPLATE.FAT&amp;display_string=Audit&amp;VAR:KEY=IJYZABGPMB&amp;VAR:QUERY=KFBfUFJJQ0UoNDAwNzIpLShGRl9DQVNIX1NUKFFUUiw0MDA3MikvUF9DT01fU0hTX09VVCg0MDA3MikpKS9GR","V9FU1RJTUFURSgnRVBTJywnTUVBTicsJ0FOTlVBTF9ST0xMJywnKzEnLDQwMDcyLCwsJycp&amp;WINDOW=FIRST_POPUP&amp;HEIGHT=450&amp;WIDTH=450&amp;START_MAXIMIZED=FALSE&amp;VAR:CALENDAR=US&amp;VAR:SYMBOL=38259P50&amp;VAR:INDEX=0"}</definedName>
    <definedName name="_3057__FDSAUDITLINK__">{"fdsup://directions/FAT Viewer?action=UPDATE&amp;creator=factset&amp;DYN_ARGS=TRUE&amp;DOC_NAME=FAT:FQL_AUDITING_CLIENT_TEMPLATE.FAT&amp;display_string=Audit&amp;VAR:KEY=YTGZYDABIT&amp;VAR:QUERY=KFBfUFJJQ0UoNDAwNzEpLShGRl9DQVNIX1NUKFFUUiw0MDA3MSkvUF9DT01fU0hTX09VVCg0MDA3MSkpKS9GR","V9FU1RJTUFURSgnRVBTJywnTUVBTicsJ0FOTlVBTF9ST0xMJywnKzEnLDQwMDcxLCwsJycp&amp;WINDOW=FIRST_POPUP&amp;HEIGHT=450&amp;WIDTH=450&amp;START_MAXIMIZED=FALSE&amp;VAR:CALENDAR=US&amp;VAR:SYMBOL=38259P50&amp;VAR:INDEX=0"}</definedName>
    <definedName name="_3058__FDSAUDITLINK__">{"fdsup://directions/FAT Viewer?action=UPDATE&amp;creator=factset&amp;DYN_ARGS=TRUE&amp;DOC_NAME=FAT:FQL_AUDITING_CLIENT_TEMPLATE.FAT&amp;display_string=Audit&amp;VAR:KEY=YTGZYDABIT&amp;VAR:QUERY=KFBfUFJJQ0UoNDAwNzEpLShGRl9DQVNIX1NUKFFUUiw0MDA3MSkvUF9DT01fU0hTX09VVCg0MDA3MSkpKS9GR","V9FU1RJTUFURSgnRVBTJywnTUVBTicsJ0FOTlVBTF9ST0xMJywnKzEnLDQwMDcxLCwsJycp&amp;WINDOW=FIRST_POPUP&amp;HEIGHT=450&amp;WIDTH=450&amp;START_MAXIMIZED=FALSE&amp;VAR:CALENDAR=US&amp;VAR:SYMBOL=38259P50&amp;VAR:INDEX=0"}</definedName>
    <definedName name="_3059__FDSAUDITLINK__">{"fdsup://directions/FAT Viewer?action=UPDATE&amp;creator=factset&amp;DYN_ARGS=TRUE&amp;DOC_NAME=FAT:FQL_AUDITING_CLIENT_TEMPLATE.FAT&amp;display_string=Audit&amp;VAR:KEY=KXWROZOLWP&amp;VAR:QUERY=KFBfUFJJQ0UoNDAwNzApLShGRl9DQVNIX1NUKFFUUiw0MDA3MCkvUF9DT01fU0hTX09VVCg0MDA3MCkpKS9GR","V9FU1RJTUFURSgnRVBTJywnTUVBTicsJ0FOTlVBTF9ST0xMJywnKzEnLDQwMDcwLCwsJycp&amp;WINDOW=FIRST_POPUP&amp;HEIGHT=450&amp;WIDTH=450&amp;START_MAXIMIZED=FALSE&amp;VAR:CALENDAR=US&amp;VAR:SYMBOL=38259P50&amp;VAR:INDEX=0"}</definedName>
    <definedName name="_30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223"}</definedName>
    <definedName name="_3060__FDSAUDITLINK__">{"fdsup://directions/FAT Viewer?action=UPDATE&amp;creator=factset&amp;DYN_ARGS=TRUE&amp;DOC_NAME=FAT:FQL_AUDITING_CLIENT_TEMPLATE.FAT&amp;display_string=Audit&amp;VAR:KEY=KXWROZOLWP&amp;VAR:QUERY=KFBfUFJJQ0UoNDAwNzApLShGRl9DQVNIX1NUKFFUUiw0MDA3MCkvUF9DT01fU0hTX09VVCg0MDA3MCkpKS9GR","V9FU1RJTUFURSgnRVBTJywnTUVBTicsJ0FOTlVBTF9ST0xMJywnKzEnLDQwMDcwLCwsJycp&amp;WINDOW=FIRST_POPUP&amp;HEIGHT=450&amp;WIDTH=450&amp;START_MAXIMIZED=FALSE&amp;VAR:CALENDAR=US&amp;VAR:SYMBOL=38259P50&amp;VAR:INDEX=0"}</definedName>
    <definedName name="_3061__FDSAUDITLINK__">{"fdsup://directions/FAT Viewer?action=UPDATE&amp;creator=factset&amp;DYN_ARGS=TRUE&amp;DOC_NAME=FAT:FQL_AUDITING_CLIENT_TEMPLATE.FAT&amp;display_string=Audit&amp;VAR:KEY=YJYPYROVSJ&amp;VAR:QUERY=KFBfUFJJQ0UoNDAwNjkpLShGRl9DQVNIX1NUKFFUUiw0MDA2OSkvUF9DT01fU0hTX09VVCg0MDA2OSkpKS9GR","V9FU1RJTUFURSgnRVBTJywnTUVBTicsJ0FOTlVBTF9ST0xMJywnKzEnLDQwMDY5LCwsJycp&amp;WINDOW=FIRST_POPUP&amp;HEIGHT=450&amp;WIDTH=450&amp;START_MAXIMIZED=FALSE&amp;VAR:CALENDAR=US&amp;VAR:SYMBOL=38259P50&amp;VAR:INDEX=0"}</definedName>
    <definedName name="_3062__FDSAUDITLINK__">{"fdsup://directions/FAT Viewer?action=UPDATE&amp;creator=factset&amp;DYN_ARGS=TRUE&amp;DOC_NAME=FAT:FQL_AUDITING_CLIENT_TEMPLATE.FAT&amp;display_string=Audit&amp;VAR:KEY=YJYPYROVSJ&amp;VAR:QUERY=KFBfUFJJQ0UoNDAwNjkpLShGRl9DQVNIX1NUKFFUUiw0MDA2OSkvUF9DT01fU0hTX09VVCg0MDA2OSkpKS9GR","V9FU1RJTUFURSgnRVBTJywnTUVBTicsJ0FOTlVBTF9ST0xMJywnKzEnLDQwMDY5LCwsJycp&amp;WINDOW=FIRST_POPUP&amp;HEIGHT=450&amp;WIDTH=450&amp;START_MAXIMIZED=FALSE&amp;VAR:CALENDAR=US&amp;VAR:SYMBOL=38259P50&amp;VAR:INDEX=0"}</definedName>
    <definedName name="_3063__FDSAUDITLINK__">{"fdsup://directions/FAT Viewer?action=UPDATE&amp;creator=factset&amp;DYN_ARGS=TRUE&amp;DOC_NAME=FAT:FQL_AUDITING_CLIENT_TEMPLATE.FAT&amp;display_string=Audit&amp;VAR:KEY=QTEXQTYJOX&amp;VAR:QUERY=KFBfUFJJQ0UoNDAwNjgpLShGRl9DQVNIX1NUKFFUUiw0MDA2OCkvUF9DT01fU0hTX09VVCg0MDA2OCkpKS9GR","V9FU1RJTUFURSgnRVBTJywnTUVBTicsJ0FOTlVBTF9ST0xMJywnKzEnLDQwMDY4LCwsJycp&amp;WINDOW=FIRST_POPUP&amp;HEIGHT=450&amp;WIDTH=450&amp;START_MAXIMIZED=FALSE&amp;VAR:CALENDAR=US&amp;VAR:SYMBOL=38259P50&amp;VAR:INDEX=0"}</definedName>
    <definedName name="_3064__FDSAUDITLINK__">{"fdsup://directions/FAT Viewer?action=UPDATE&amp;creator=factset&amp;DYN_ARGS=TRUE&amp;DOC_NAME=FAT:FQL_AUDITING_CLIENT_TEMPLATE.FAT&amp;display_string=Audit&amp;VAR:KEY=QTEXQTYJOX&amp;VAR:QUERY=KFBfUFJJQ0UoNDAwNjgpLShGRl9DQVNIX1NUKFFUUiw0MDA2OCkvUF9DT01fU0hTX09VVCg0MDA2OCkpKS9GR","V9FU1RJTUFURSgnRVBTJywnTUVBTicsJ0FOTlVBTF9ST0xMJywnKzEnLDQwMDY4LCwsJycp&amp;WINDOW=FIRST_POPUP&amp;HEIGHT=450&amp;WIDTH=450&amp;START_MAXIMIZED=FALSE&amp;VAR:CALENDAR=US&amp;VAR:SYMBOL=38259P50&amp;VAR:INDEX=0"}</definedName>
    <definedName name="_3065__FDSAUDITLINK__">{"fdsup://directions/FAT Viewer?action=UPDATE&amp;creator=factset&amp;DYN_ARGS=TRUE&amp;DOC_NAME=FAT:FQL_AUDITING_CLIENT_TEMPLATE.FAT&amp;display_string=Audit&amp;VAR:KEY=EVGLANIDEP&amp;VAR:QUERY=KFBfUFJJQ0UoNDAwNjcpLShGRl9DQVNIX1NUKFFUUiw0MDA2NykvUF9DT01fU0hTX09VVCg0MDA2NykpKS9GR","V9FU1RJTUFURSgnRVBTJywnTUVBTicsJ0FOTlVBTF9ST0xMJywnKzEnLDQwMDY3LCwsJycp&amp;WINDOW=FIRST_POPUP&amp;HEIGHT=450&amp;WIDTH=450&amp;START_MAXIMIZED=FALSE&amp;VAR:CALENDAR=US&amp;VAR:SYMBOL=38259P50&amp;VAR:INDEX=0"}</definedName>
    <definedName name="_3066__FDSAUDITLINK__">{"fdsup://directions/FAT Viewer?action=UPDATE&amp;creator=factset&amp;DYN_ARGS=TRUE&amp;DOC_NAME=FAT:FQL_AUDITING_CLIENT_TEMPLATE.FAT&amp;display_string=Audit&amp;VAR:KEY=EVGLANIDEP&amp;VAR:QUERY=KFBfUFJJQ0UoNDAwNjcpLShGRl9DQVNIX1NUKFFUUiw0MDA2NykvUF9DT01fU0hTX09VVCg0MDA2NykpKS9GR","V9FU1RJTUFURSgnRVBTJywnTUVBTicsJ0FOTlVBTF9ST0xMJywnKzEnLDQwMDY3LCwsJycp&amp;WINDOW=FIRST_POPUP&amp;HEIGHT=450&amp;WIDTH=450&amp;START_MAXIMIZED=FALSE&amp;VAR:CALENDAR=US&amp;VAR:SYMBOL=38259P50&amp;VAR:INDEX=0"}</definedName>
    <definedName name="_3067__FDSAUDITLINK__">{"fdsup://directions/FAT Viewer?action=UPDATE&amp;creator=factset&amp;DYN_ARGS=TRUE&amp;DOC_NAME=FAT:FQL_AUDITING_CLIENT_TEMPLATE.FAT&amp;display_string=Audit&amp;VAR:KEY=QFSVUDITIT&amp;VAR:QUERY=KFBfUFJJQ0UoNDAwNjYpLShGRl9DQVNIX1NUKFFUUiw0MDA2NikvUF9DT01fU0hTX09VVCg0MDA2NikpKS9GR","V9FU1RJTUFURSgnRVBTJywnTUVBTicsJ0FOTlVBTF9ST0xMJywnKzEnLDQwMDY2LCwsJycp&amp;WINDOW=FIRST_POPUP&amp;HEIGHT=450&amp;WIDTH=450&amp;START_MAXIMIZED=FALSE&amp;VAR:CALENDAR=US&amp;VAR:SYMBOL=38259P50&amp;VAR:INDEX=0"}</definedName>
    <definedName name="_3068__FDSAUDITLINK__">{"fdsup://directions/FAT Viewer?action=UPDATE&amp;creator=factset&amp;DYN_ARGS=TRUE&amp;DOC_NAME=FAT:FQL_AUDITING_CLIENT_TEMPLATE.FAT&amp;display_string=Audit&amp;VAR:KEY=QFSVUDITIT&amp;VAR:QUERY=KFBfUFJJQ0UoNDAwNjYpLShGRl9DQVNIX1NUKFFUUiw0MDA2NikvUF9DT01fU0hTX09VVCg0MDA2NikpKS9GR","V9FU1RJTUFURSgnRVBTJywnTUVBTicsJ0FOTlVBTF9ST0xMJywnKzEnLDQwMDY2LCwsJycp&amp;WINDOW=FIRST_POPUP&amp;HEIGHT=450&amp;WIDTH=450&amp;START_MAXIMIZED=FALSE&amp;VAR:CALENDAR=US&amp;VAR:SYMBOL=38259P50&amp;VAR:INDEX=0"}</definedName>
    <definedName name="_3069__FDSAUDITLINK__">{"fdsup://directions/FAT Viewer?action=UPDATE&amp;creator=factset&amp;DYN_ARGS=TRUE&amp;DOC_NAME=FAT:FQL_AUDITING_CLIENT_TEMPLATE.FAT&amp;display_string=Audit&amp;VAR:KEY=QVKREVILML&amp;VAR:QUERY=KFBfUFJJQ0UoNDAwNjUpLShGRl9DQVNIX1NUKFFUUiw0MDA2NSkvUF9DT01fU0hTX09VVCg0MDA2NSkpKS9GR","V9FU1RJTUFURSgnRVBTJywnTUVBTicsJ0FOTlVBTF9ST0xMJywnKzEnLDQwMDY1LCwsJycp&amp;WINDOW=FIRST_POPUP&amp;HEIGHT=450&amp;WIDTH=450&amp;START_MAXIMIZED=FALSE&amp;VAR:CALENDAR=US&amp;VAR:SYMBOL=38259P50&amp;VAR:INDEX=0"}</definedName>
    <definedName name="_30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222"}</definedName>
    <definedName name="_3070__FDSAUDITLINK__">{"fdsup://directions/FAT Viewer?action=UPDATE&amp;creator=factset&amp;DYN_ARGS=TRUE&amp;DOC_NAME=FAT:FQL_AUDITING_CLIENT_TEMPLATE.FAT&amp;display_string=Audit&amp;VAR:KEY=QVKREVILML&amp;VAR:QUERY=KFBfUFJJQ0UoNDAwNjUpLShGRl9DQVNIX1NUKFFUUiw0MDA2NSkvUF9DT01fU0hTX09VVCg0MDA2NSkpKS9GR","V9FU1RJTUFURSgnRVBTJywnTUVBTicsJ0FOTlVBTF9ST0xMJywnKzEnLDQwMDY1LCwsJycp&amp;WINDOW=FIRST_POPUP&amp;HEIGHT=450&amp;WIDTH=450&amp;START_MAXIMIZED=FALSE&amp;VAR:CALENDAR=US&amp;VAR:SYMBOL=38259P50&amp;VAR:INDEX=0"}</definedName>
    <definedName name="_3071__FDSAUDITLINK__">{"fdsup://directions/FAT Viewer?action=UPDATE&amp;creator=factset&amp;DYN_ARGS=TRUE&amp;DOC_NAME=FAT:FQL_AUDITING_CLIENT_TEMPLATE.FAT&amp;display_string=Audit&amp;VAR:KEY=EXGPYJEXCR&amp;VAR:QUERY=KFBfUFJJQ0UoNDAwNjQpLShGRl9DQVNIX1NUKFFUUiw0MDA2NCkvUF9DT01fU0hTX09VVCg0MDA2NCkpKS9GR","V9FU1RJTUFURSgnRVBTJywnTUVBTicsJ0FOTlVBTF9ST0xMJywnKzEnLDQwMDY0LCwsJycp&amp;WINDOW=FIRST_POPUP&amp;HEIGHT=450&amp;WIDTH=450&amp;START_MAXIMIZED=FALSE&amp;VAR:CALENDAR=US&amp;VAR:SYMBOL=38259P50&amp;VAR:INDEX=0"}</definedName>
    <definedName name="_3072__FDSAUDITLINK__">{"fdsup://directions/FAT Viewer?action=UPDATE&amp;creator=factset&amp;DYN_ARGS=TRUE&amp;DOC_NAME=FAT:FQL_AUDITING_CLIENT_TEMPLATE.FAT&amp;display_string=Audit&amp;VAR:KEY=EXGPYJEXCR&amp;VAR:QUERY=KFBfUFJJQ0UoNDAwNjQpLShGRl9DQVNIX1NUKFFUUiw0MDA2NCkvUF9DT01fU0hTX09VVCg0MDA2NCkpKS9GR","V9FU1RJTUFURSgnRVBTJywnTUVBTicsJ0FOTlVBTF9ST0xMJywnKzEnLDQwMDY0LCwsJycp&amp;WINDOW=FIRST_POPUP&amp;HEIGHT=450&amp;WIDTH=450&amp;START_MAXIMIZED=FALSE&amp;VAR:CALENDAR=US&amp;VAR:SYMBOL=38259P50&amp;VAR:INDEX=0"}</definedName>
    <definedName name="_3073__FDSAUDITLINK__">{"fdsup://directions/FAT Viewer?action=UPDATE&amp;creator=factset&amp;DYN_ARGS=TRUE&amp;DOC_NAME=FAT:FQL_AUDITING_CLIENT_TEMPLATE.FAT&amp;display_string=Audit&amp;VAR:KEY=MZYPGVKNGT&amp;VAR:QUERY=KFBfUFJJQ0UoNDAwNjMpLShGRl9DQVNIX1NUKFFUUiw0MDA2MykvUF9DT01fU0hTX09VVCg0MDA2MykpKS9GR","V9FU1RJTUFURSgnRVBTJywnTUVBTicsJ0FOTlVBTF9ST0xMJywnKzEnLDQwMDYzLCwsJycp&amp;WINDOW=FIRST_POPUP&amp;HEIGHT=450&amp;WIDTH=450&amp;START_MAXIMIZED=FALSE&amp;VAR:CALENDAR=US&amp;VAR:SYMBOL=38259P50&amp;VAR:INDEX=0"}</definedName>
    <definedName name="_3074__FDSAUDITLINK__">{"fdsup://directions/FAT Viewer?action=UPDATE&amp;creator=factset&amp;DYN_ARGS=TRUE&amp;DOC_NAME=FAT:FQL_AUDITING_CLIENT_TEMPLATE.FAT&amp;display_string=Audit&amp;VAR:KEY=MZYPGVKNGT&amp;VAR:QUERY=KFBfUFJJQ0UoNDAwNjMpLShGRl9DQVNIX1NUKFFUUiw0MDA2MykvUF9DT01fU0hTX09VVCg0MDA2MykpKS9GR","V9FU1RJTUFURSgnRVBTJywnTUVBTicsJ0FOTlVBTF9ST0xMJywnKzEnLDQwMDYzLCwsJycp&amp;WINDOW=FIRST_POPUP&amp;HEIGHT=450&amp;WIDTH=450&amp;START_MAXIMIZED=FALSE&amp;VAR:CALENDAR=US&amp;VAR:SYMBOL=38259P50&amp;VAR:INDEX=0"}</definedName>
    <definedName name="_3075__FDSAUDITLINK__">{"fdsup://directions/FAT Viewer?action=UPDATE&amp;creator=factset&amp;DYN_ARGS=TRUE&amp;DOC_NAME=FAT:FQL_AUDITING_CLIENT_TEMPLATE.FAT&amp;display_string=Audit&amp;VAR:KEY=IBMDQLQZWX&amp;VAR:QUERY=KFBfUFJJQ0UoNDAwNjIpLShGRl9DQVNIX1NUKFFUUiw0MDA2MikvUF9DT01fU0hTX09VVCg0MDA2MikpKS9GR","V9FU1RJTUFURSgnRVBTJywnTUVBTicsJ0FOTlVBTF9ST0xMJywnKzEnLDQwMDYyLCwsJycp&amp;WINDOW=FIRST_POPUP&amp;HEIGHT=450&amp;WIDTH=450&amp;START_MAXIMIZED=FALSE&amp;VAR:CALENDAR=US&amp;VAR:SYMBOL=38259P50&amp;VAR:INDEX=0"}</definedName>
    <definedName name="_3076__FDSAUDITLINK__">{"fdsup://directions/FAT Viewer?action=UPDATE&amp;creator=factset&amp;DYN_ARGS=TRUE&amp;DOC_NAME=FAT:FQL_AUDITING_CLIENT_TEMPLATE.FAT&amp;display_string=Audit&amp;VAR:KEY=IBMDQLQZWX&amp;VAR:QUERY=KFBfUFJJQ0UoNDAwNjIpLShGRl9DQVNIX1NUKFFUUiw0MDA2MikvUF9DT01fU0hTX09VVCg0MDA2MikpKS9GR","V9FU1RJTUFURSgnRVBTJywnTUVBTicsJ0FOTlVBTF9ST0xMJywnKzEnLDQwMDYyLCwsJycp&amp;WINDOW=FIRST_POPUP&amp;HEIGHT=450&amp;WIDTH=450&amp;START_MAXIMIZED=FALSE&amp;VAR:CALENDAR=US&amp;VAR:SYMBOL=38259P50&amp;VAR:INDEX=0"}</definedName>
    <definedName name="_3077__FDSAUDITLINK__">{"fdsup://directions/FAT Viewer?action=UPDATE&amp;creator=factset&amp;DYN_ARGS=TRUE&amp;DOC_NAME=FAT:FQL_AUDITING_CLIENT_TEMPLATE.FAT&amp;display_string=Audit&amp;VAR:KEY=SHATGDOXOD&amp;VAR:QUERY=KFBfUFJJQ0UoNDAwNjEpLShGRl9DQVNIX1NUKFFUUiw0MDA2MSkvUF9DT01fU0hTX09VVCg0MDA2MSkpKS9GR","V9FU1RJTUFURSgnRVBTJywnTUVBTicsJ0FOTlVBTF9ST0xMJywnKzEnLDQwMDYxLCwsJycp&amp;WINDOW=FIRST_POPUP&amp;HEIGHT=450&amp;WIDTH=450&amp;START_MAXIMIZED=FALSE&amp;VAR:CALENDAR=US&amp;VAR:SYMBOL=38259P50&amp;VAR:INDEX=0"}</definedName>
    <definedName name="_3078__FDSAUDITLINK__">{"fdsup://directions/FAT Viewer?action=UPDATE&amp;creator=factset&amp;DYN_ARGS=TRUE&amp;DOC_NAME=FAT:FQL_AUDITING_CLIENT_TEMPLATE.FAT&amp;display_string=Audit&amp;VAR:KEY=SHATGDOXOD&amp;VAR:QUERY=KFBfUFJJQ0UoNDAwNjEpLShGRl9DQVNIX1NUKFFUUiw0MDA2MSkvUF9DT01fU0hTX09VVCg0MDA2MSkpKS9GR","V9FU1RJTUFURSgnRVBTJywnTUVBTicsJ0FOTlVBTF9ST0xMJywnKzEnLDQwMDYxLCwsJycp&amp;WINDOW=FIRST_POPUP&amp;HEIGHT=450&amp;WIDTH=450&amp;START_MAXIMIZED=FALSE&amp;VAR:CALENDAR=US&amp;VAR:SYMBOL=38259P50&amp;VAR:INDEX=0"}</definedName>
    <definedName name="_3079__FDSAUDITLINK__">{"fdsup://directions/FAT Viewer?action=UPDATE&amp;creator=factset&amp;DYN_ARGS=TRUE&amp;DOC_NAME=FAT:FQL_AUDITING_CLIENT_TEMPLATE.FAT&amp;display_string=Audit&amp;VAR:KEY=MVSLIVGPON&amp;VAR:QUERY=KFBfUFJJQ0UoNDAwNjApLShGRl9DQVNIX1NUKFFUUiw0MDA2MCkvUF9DT01fU0hTX09VVCg0MDA2MCkpKS9GR","V9FU1RJTUFURSgnRVBTJywnTUVBTicsJ0FOTlVBTF9ST0xMJywnKzEnLDQwMDYwLCwsJycp&amp;WINDOW=FIRST_POPUP&amp;HEIGHT=450&amp;WIDTH=450&amp;START_MAXIMIZED=FALSE&amp;VAR:CALENDAR=US&amp;VAR:SYMBOL=38259P50&amp;VAR:INDEX=0"}</definedName>
    <definedName name="_30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221"}</definedName>
    <definedName name="_3080__FDSAUDITLINK__">{"fdsup://directions/FAT Viewer?action=UPDATE&amp;creator=factset&amp;DYN_ARGS=TRUE&amp;DOC_NAME=FAT:FQL_AUDITING_CLIENT_TEMPLATE.FAT&amp;display_string=Audit&amp;VAR:KEY=MVSLIVGPON&amp;VAR:QUERY=KFBfUFJJQ0UoNDAwNjApLShGRl9DQVNIX1NUKFFUUiw0MDA2MCkvUF9DT01fU0hTX09VVCg0MDA2MCkpKS9GR","V9FU1RJTUFURSgnRVBTJywnTUVBTicsJ0FOTlVBTF9ST0xMJywnKzEnLDQwMDYwLCwsJycp&amp;WINDOW=FIRST_POPUP&amp;HEIGHT=450&amp;WIDTH=450&amp;START_MAXIMIZED=FALSE&amp;VAR:CALENDAR=US&amp;VAR:SYMBOL=38259P50&amp;VAR:INDEX=0"}</definedName>
    <definedName name="_3081__FDSAUDITLINK__">{"fdsup://directions/FAT Viewer?action=UPDATE&amp;creator=factset&amp;DYN_ARGS=TRUE&amp;DOC_NAME=FAT:FQL_AUDITING_CLIENT_TEMPLATE.FAT&amp;display_string=Audit&amp;VAR:KEY=AFYPIRGRAD&amp;VAR:QUERY=KFBfUFJJQ0UoNDAwNTkpLShGRl9DQVNIX1NUKFFUUiw0MDA1OSkvUF9DT01fU0hTX09VVCg0MDA1OSkpKS9GR","V9FU1RJTUFURSgnRVBTJywnTUVBTicsJ0FOTlVBTF9ST0xMJywnKzEnLDQwMDU5LCwsJycp&amp;WINDOW=FIRST_POPUP&amp;HEIGHT=450&amp;WIDTH=450&amp;START_MAXIMIZED=FALSE&amp;VAR:CALENDAR=US&amp;VAR:SYMBOL=38259P50&amp;VAR:INDEX=0"}</definedName>
    <definedName name="_3082__FDSAUDITLINK__">{"fdsup://directions/FAT Viewer?action=UPDATE&amp;creator=factset&amp;DYN_ARGS=TRUE&amp;DOC_NAME=FAT:FQL_AUDITING_CLIENT_TEMPLATE.FAT&amp;display_string=Audit&amp;VAR:KEY=AFYPIRGRAD&amp;VAR:QUERY=KFBfUFJJQ0UoNDAwNTkpLShGRl9DQVNIX1NUKFFUUiw0MDA1OSkvUF9DT01fU0hTX09VVCg0MDA1OSkpKS9GR","V9FU1RJTUFURSgnRVBTJywnTUVBTicsJ0FOTlVBTF9ST0xMJywnKzEnLDQwMDU5LCwsJycp&amp;WINDOW=FIRST_POPUP&amp;HEIGHT=450&amp;WIDTH=450&amp;START_MAXIMIZED=FALSE&amp;VAR:CALENDAR=US&amp;VAR:SYMBOL=38259P50&amp;VAR:INDEX=0"}</definedName>
    <definedName name="_3083__FDSAUDITLINK__">{"fdsup://directions/FAT Viewer?action=UPDATE&amp;creator=factset&amp;DYN_ARGS=TRUE&amp;DOC_NAME=FAT:FQL_AUDITING_CLIENT_TEMPLATE.FAT&amp;display_string=Audit&amp;VAR:KEY=GHUFMZOXCB&amp;VAR:QUERY=KFBfUFJJQ0UoNDAwNTgpLShGRl9DQVNIX1NUKFFUUiw0MDA1OCkvUF9DT01fU0hTX09VVCg0MDA1OCkpKS9GR","V9FU1RJTUFURSgnRVBTJywnTUVBTicsJ0FOTlVBTF9ST0xMJywnKzEnLDQwMDU4LCwsJycp&amp;WINDOW=FIRST_POPUP&amp;HEIGHT=450&amp;WIDTH=450&amp;START_MAXIMIZED=FALSE&amp;VAR:CALENDAR=US&amp;VAR:SYMBOL=38259P50&amp;VAR:INDEX=0"}</definedName>
    <definedName name="_3084__FDSAUDITLINK__">{"fdsup://directions/FAT Viewer?action=UPDATE&amp;creator=factset&amp;DYN_ARGS=TRUE&amp;DOC_NAME=FAT:FQL_AUDITING_CLIENT_TEMPLATE.FAT&amp;display_string=Audit&amp;VAR:KEY=GHUFMZOXCB&amp;VAR:QUERY=KFBfUFJJQ0UoNDAwNTgpLShGRl9DQVNIX1NUKFFUUiw0MDA1OCkvUF9DT01fU0hTX09VVCg0MDA1OCkpKS9GR","V9FU1RJTUFURSgnRVBTJywnTUVBTicsJ0FOTlVBTF9ST0xMJywnKzEnLDQwMDU4LCwsJycp&amp;WINDOW=FIRST_POPUP&amp;HEIGHT=450&amp;WIDTH=450&amp;START_MAXIMIZED=FALSE&amp;VAR:CALENDAR=US&amp;VAR:SYMBOL=38259P50&amp;VAR:INDEX=0"}</definedName>
    <definedName name="_3085__FDSAUDITLINK__">{"fdsup://directions/FAT Viewer?action=UPDATE&amp;creator=factset&amp;DYN_ARGS=TRUE&amp;DOC_NAME=FAT:FQL_AUDITING_CLIENT_TEMPLATE.FAT&amp;display_string=Audit&amp;VAR:KEY=OTOLCTWRSD&amp;VAR:QUERY=KFBfUFJJQ0UoNDAwNTcpLShGRl9DQVNIX1NUKFFUUiw0MDA1NykvUF9DT01fU0hTX09VVCg0MDA1NykpKS9GR","V9FU1RJTUFURSgnRVBTJywnTUVBTicsJ0FOTlVBTF9ST0xMJywnKzEnLDQwMDU3LCwsJycp&amp;WINDOW=FIRST_POPUP&amp;HEIGHT=450&amp;WIDTH=450&amp;START_MAXIMIZED=FALSE&amp;VAR:CALENDAR=US&amp;VAR:SYMBOL=38259P50&amp;VAR:INDEX=0"}</definedName>
    <definedName name="_3086__FDSAUDITLINK__">{"fdsup://directions/FAT Viewer?action=UPDATE&amp;creator=factset&amp;DYN_ARGS=TRUE&amp;DOC_NAME=FAT:FQL_AUDITING_CLIENT_TEMPLATE.FAT&amp;display_string=Audit&amp;VAR:KEY=OTOLCTWRSD&amp;VAR:QUERY=KFBfUFJJQ0UoNDAwNTcpLShGRl9DQVNIX1NUKFFUUiw0MDA1NykvUF9DT01fU0hTX09VVCg0MDA1NykpKS9GR","V9FU1RJTUFURSgnRVBTJywnTUVBTicsJ0FOTlVBTF9ST0xMJywnKzEnLDQwMDU3LCwsJycp&amp;WINDOW=FIRST_POPUP&amp;HEIGHT=450&amp;WIDTH=450&amp;START_MAXIMIZED=FALSE&amp;VAR:CALENDAR=US&amp;VAR:SYMBOL=38259P50&amp;VAR:INDEX=0"}</definedName>
    <definedName name="_3087__FDSAUDITLINK__">{"fdsup://directions/FAT Viewer?action=UPDATE&amp;creator=factset&amp;DYN_ARGS=TRUE&amp;DOC_NAME=FAT:FQL_AUDITING_CLIENT_TEMPLATE.FAT&amp;display_string=Audit&amp;VAR:KEY=KDQVITCDAJ&amp;VAR:QUERY=KFBfUFJJQ0UoNDAwNTYpLShGRl9DQVNIX1NUKFFUUiw0MDA1NikvUF9DT01fU0hTX09VVCg0MDA1NikpKS9GR","V9FU1RJTUFURSgnRVBTJywnTUVBTicsJ0FOTlVBTF9ST0xMJywnKzEnLDQwMDU2LCwsJycp&amp;WINDOW=FIRST_POPUP&amp;HEIGHT=450&amp;WIDTH=450&amp;START_MAXIMIZED=FALSE&amp;VAR:CALENDAR=US&amp;VAR:SYMBOL=38259P50&amp;VAR:INDEX=0"}</definedName>
    <definedName name="_3088__FDSAUDITLINK__">{"fdsup://directions/FAT Viewer?action=UPDATE&amp;creator=factset&amp;DYN_ARGS=TRUE&amp;DOC_NAME=FAT:FQL_AUDITING_CLIENT_TEMPLATE.FAT&amp;display_string=Audit&amp;VAR:KEY=KDQVITCDAJ&amp;VAR:QUERY=KFBfUFJJQ0UoNDAwNTYpLShGRl9DQVNIX1NUKFFUUiw0MDA1NikvUF9DT01fU0hTX09VVCg0MDA1NikpKS9GR","V9FU1RJTUFURSgnRVBTJywnTUVBTicsJ0FOTlVBTF9ST0xMJywnKzEnLDQwMDU2LCwsJycp&amp;WINDOW=FIRST_POPUP&amp;HEIGHT=450&amp;WIDTH=450&amp;START_MAXIMIZED=FALSE&amp;VAR:CALENDAR=US&amp;VAR:SYMBOL=38259P50&amp;VAR:INDEX=0"}</definedName>
    <definedName name="_3089__FDSAUDITLINK__">{"fdsup://directions/FAT Viewer?action=UPDATE&amp;creator=factset&amp;DYN_ARGS=TRUE&amp;DOC_NAME=FAT:FQL_AUDITING_CLIENT_TEMPLATE.FAT&amp;display_string=Audit&amp;VAR:KEY=QBGVOZCFMH&amp;VAR:QUERY=KFBfUFJJQ0UoNDAwNTUpLShGRl9DQVNIX1NUKFFUUiw0MDA1NSkvUF9DT01fU0hTX09VVCg0MDA1NSkpKS9GR","V9FU1RJTUFURSgnRVBTJywnTUVBTicsJ0FOTlVBTF9ST0xMJywnKzEnLDQwMDU1LCwsJycp&amp;WINDOW=FIRST_POPUP&amp;HEIGHT=450&amp;WIDTH=450&amp;START_MAXIMIZED=FALSE&amp;VAR:CALENDAR=US&amp;VAR:SYMBOL=38259P50&amp;VAR:INDEX=0"}</definedName>
    <definedName name="_30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220"}</definedName>
    <definedName name="_3090__FDSAUDITLINK__">{"fdsup://directions/FAT Viewer?action=UPDATE&amp;creator=factset&amp;DYN_ARGS=TRUE&amp;DOC_NAME=FAT:FQL_AUDITING_CLIENT_TEMPLATE.FAT&amp;display_string=Audit&amp;VAR:KEY=QBGVOZCFMH&amp;VAR:QUERY=KFBfUFJJQ0UoNDAwNTUpLShGRl9DQVNIX1NUKFFUUiw0MDA1NSkvUF9DT01fU0hTX09VVCg0MDA1NSkpKS9GR","V9FU1RJTUFURSgnRVBTJywnTUVBTicsJ0FOTlVBTF9ST0xMJywnKzEnLDQwMDU1LCwsJycp&amp;WINDOW=FIRST_POPUP&amp;HEIGHT=450&amp;WIDTH=450&amp;START_MAXIMIZED=FALSE&amp;VAR:CALENDAR=US&amp;VAR:SYMBOL=38259P50&amp;VAR:INDEX=0"}</definedName>
    <definedName name="_3091__FDSAUDITLINK__">{"fdsup://directions/FAT Viewer?action=UPDATE&amp;creator=factset&amp;DYN_ARGS=TRUE&amp;DOC_NAME=FAT:FQL_AUDITING_CLIENT_TEMPLATE.FAT&amp;display_string=Audit&amp;VAR:KEY=YBQDSHSLMT&amp;VAR:QUERY=KFBfUFJJQ0UoNDAwNTQpLShGRl9DQVNIX1NUKFFUUiw0MDA1NCkvUF9DT01fU0hTX09VVCg0MDA1NCkpKS9GR","V9FU1RJTUFURSgnRVBTJywnTUVBTicsJ0FOTlVBTF9ST0xMJywnKzEnLDQwMDU0LCwsJycp&amp;WINDOW=FIRST_POPUP&amp;HEIGHT=450&amp;WIDTH=450&amp;START_MAXIMIZED=FALSE&amp;VAR:CALENDAR=US&amp;VAR:SYMBOL=38259P50&amp;VAR:INDEX=0"}</definedName>
    <definedName name="_3092__FDSAUDITLINK__">{"fdsup://directions/FAT Viewer?action=UPDATE&amp;creator=factset&amp;DYN_ARGS=TRUE&amp;DOC_NAME=FAT:FQL_AUDITING_CLIENT_TEMPLATE.FAT&amp;display_string=Audit&amp;VAR:KEY=YBQDSHSLMT&amp;VAR:QUERY=KFBfUFJJQ0UoNDAwNTQpLShGRl9DQVNIX1NUKFFUUiw0MDA1NCkvUF9DT01fU0hTX09VVCg0MDA1NCkpKS9GR","V9FU1RJTUFURSgnRVBTJywnTUVBTicsJ0FOTlVBTF9ST0xMJywnKzEnLDQwMDU0LCwsJycp&amp;WINDOW=FIRST_POPUP&amp;HEIGHT=450&amp;WIDTH=450&amp;START_MAXIMIZED=FALSE&amp;VAR:CALENDAR=US&amp;VAR:SYMBOL=38259P50&amp;VAR:INDEX=0"}</definedName>
    <definedName name="_3093__FDSAUDITLINK__">{"fdsup://directions/FAT Viewer?action=UPDATE&amp;creator=factset&amp;DYN_ARGS=TRUE&amp;DOC_NAME=FAT:FQL_AUDITING_CLIENT_TEMPLATE.FAT&amp;display_string=Audit&amp;VAR:KEY=YLMNMXKBIB&amp;VAR:QUERY=KFBfUFJJQ0UoNDAwNTMpLShGRl9DQVNIX1NUKFFUUiw0MDA1MykvUF9DT01fU0hTX09VVCg0MDA1MykpKS9GR","V9FU1RJTUFURSgnRVBTJywnTUVBTicsJ0FOTlVBTF9ST0xMJywnKzEnLDQwMDUzLCwsJycp&amp;WINDOW=FIRST_POPUP&amp;HEIGHT=450&amp;WIDTH=450&amp;START_MAXIMIZED=FALSE&amp;VAR:CALENDAR=US&amp;VAR:SYMBOL=38259P50&amp;VAR:INDEX=0"}</definedName>
    <definedName name="_3094__FDSAUDITLINK__">{"fdsup://directions/FAT Viewer?action=UPDATE&amp;creator=factset&amp;DYN_ARGS=TRUE&amp;DOC_NAME=FAT:FQL_AUDITING_CLIENT_TEMPLATE.FAT&amp;display_string=Audit&amp;VAR:KEY=YLMNMXKBIB&amp;VAR:QUERY=KFBfUFJJQ0UoNDAwNTMpLShGRl9DQVNIX1NUKFFUUiw0MDA1MykvUF9DT01fU0hTX09VVCg0MDA1MykpKS9GR","V9FU1RJTUFURSgnRVBTJywnTUVBTicsJ0FOTlVBTF9ST0xMJywnKzEnLDQwMDUzLCwsJycp&amp;WINDOW=FIRST_POPUP&amp;HEIGHT=450&amp;WIDTH=450&amp;START_MAXIMIZED=FALSE&amp;VAR:CALENDAR=US&amp;VAR:SYMBOL=38259P50&amp;VAR:INDEX=0"}</definedName>
    <definedName name="_3095__FDSAUDITLINK__">{"fdsup://directions/FAT Viewer?action=UPDATE&amp;creator=factset&amp;DYN_ARGS=TRUE&amp;DOC_NAME=FAT:FQL_AUDITING_CLIENT_TEMPLATE.FAT&amp;display_string=Audit&amp;VAR:KEY=SVMRSXONWN&amp;VAR:QUERY=KFBfUFJJQ0UoNDAwNTIpLShGRl9DQVNIX1NUKFFUUiw0MDA1MikvUF9DT01fU0hTX09VVCg0MDA1MikpKS9GR","V9FU1RJTUFURSgnRVBTJywnTUVBTicsJ0FOTlVBTF9ST0xMJywnKzEnLDQwMDUyLCwsJycp&amp;WINDOW=FIRST_POPUP&amp;HEIGHT=450&amp;WIDTH=450&amp;START_MAXIMIZED=FALSE&amp;VAR:CALENDAR=US&amp;VAR:SYMBOL=38259P50&amp;VAR:INDEX=0"}</definedName>
    <definedName name="_3096__FDSAUDITLINK__">{"fdsup://directions/FAT Viewer?action=UPDATE&amp;creator=factset&amp;DYN_ARGS=TRUE&amp;DOC_NAME=FAT:FQL_AUDITING_CLIENT_TEMPLATE.FAT&amp;display_string=Audit&amp;VAR:KEY=SVMRSXONWN&amp;VAR:QUERY=KFBfUFJJQ0UoNDAwNTIpLShGRl9DQVNIX1NUKFFUUiw0MDA1MikvUF9DT01fU0hTX09VVCg0MDA1MikpKS9GR","V9FU1RJTUFURSgnRVBTJywnTUVBTicsJ0FOTlVBTF9ST0xMJywnKzEnLDQwMDUyLCwsJycp&amp;WINDOW=FIRST_POPUP&amp;HEIGHT=450&amp;WIDTH=450&amp;START_MAXIMIZED=FALSE&amp;VAR:CALENDAR=US&amp;VAR:SYMBOL=38259P50&amp;VAR:INDEX=0"}</definedName>
    <definedName name="_3097__FDSAUDITLINK__">{"fdsup://directions/FAT Viewer?action=UPDATE&amp;creator=factset&amp;DYN_ARGS=TRUE&amp;DOC_NAME=FAT:FQL_AUDITING_CLIENT_TEMPLATE.FAT&amp;display_string=Audit&amp;VAR:KEY=WVOFWJYFMD&amp;VAR:QUERY=KFBfUFJJQ0UoNDAwNTEpLShGRl9DQVNIX1NUKFFUUiw0MDA1MSkvUF9DT01fU0hTX09VVCg0MDA1MSkpKS9GR","V9FU1RJTUFURSgnRVBTJywnTUVBTicsJ0FOTlVBTF9ST0xMJywnKzEnLDQwMDUxLCwsJycp&amp;WINDOW=FIRST_POPUP&amp;HEIGHT=450&amp;WIDTH=450&amp;START_MAXIMIZED=FALSE&amp;VAR:CALENDAR=US&amp;VAR:SYMBOL=38259P50&amp;VAR:INDEX=0"}</definedName>
    <definedName name="_3098__FDSAUDITLINK__">{"fdsup://directions/FAT Viewer?action=UPDATE&amp;creator=factset&amp;DYN_ARGS=TRUE&amp;DOC_NAME=FAT:FQL_AUDITING_CLIENT_TEMPLATE.FAT&amp;display_string=Audit&amp;VAR:KEY=WVOFWJYFMD&amp;VAR:QUERY=KFBfUFJJQ0UoNDAwNTEpLShGRl9DQVNIX1NUKFFUUiw0MDA1MSkvUF9DT01fU0hTX09VVCg0MDA1MSkpKS9GR","V9FU1RJTUFURSgnRVBTJywnTUVBTicsJ0FOTlVBTF9ST0xMJywnKzEnLDQwMDUxLCwsJycp&amp;WINDOW=FIRST_POPUP&amp;HEIGHT=450&amp;WIDTH=450&amp;START_MAXIMIZED=FALSE&amp;VAR:CALENDAR=US&amp;VAR:SYMBOL=38259P50&amp;VAR:INDEX=0"}</definedName>
    <definedName name="_3099__FDSAUDITLINK__">{"fdsup://directions/FAT Viewer?action=UPDATE&amp;creator=factset&amp;DYN_ARGS=TRUE&amp;DOC_NAME=FAT:FQL_AUDITING_CLIENT_TEMPLATE.FAT&amp;display_string=Audit&amp;VAR:KEY=QTQNULQXSH&amp;VAR:QUERY=KFBfUFJJQ0UoNDAwNTApLShGRl9DQVNIX1NUKFFUUiw0MDA1MCkvUF9DT01fU0hTX09VVCg0MDA1MCkpKS9GR","V9FU1RJTUFURSgnRVBTJywnTUVBTicsJ0FOTlVBTF9ST0xMJywnKzEnLDQwMDUwLCwsJycp&amp;WINDOW=FIRST_POPUP&amp;HEIGHT=450&amp;WIDTH=450&amp;START_MAXIMIZED=FALSE&amp;VAR:CALENDAR=US&amp;VAR:SYMBOL=38259P50&amp;VAR:INDEX=0"}</definedName>
    <definedName name="_3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18.636073&amp;VAR:V0=21.103629&amp;VAR:V1=18.636073&amp;VAR:Y0=2003&amp;VAR:Y1=2004&amp;VAR:P=1111.915800&amp;VAR:DATE=20031231&amp;VAR:THRESH=-|-|","-|-|-|-|-"}</definedName>
    <definedName name="_31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219"}</definedName>
    <definedName name="_3100__FDSAUDITLINK__">{"fdsup://directions/FAT Viewer?action=UPDATE&amp;creator=factset&amp;DYN_ARGS=TRUE&amp;DOC_NAME=FAT:FQL_AUDITING_CLIENT_TEMPLATE.FAT&amp;display_string=Audit&amp;VAR:KEY=QTQNULQXSH&amp;VAR:QUERY=KFBfUFJJQ0UoNDAwNTApLShGRl9DQVNIX1NUKFFUUiw0MDA1MCkvUF9DT01fU0hTX09VVCg0MDA1MCkpKS9GR","V9FU1RJTUFURSgnRVBTJywnTUVBTicsJ0FOTlVBTF9ST0xMJywnKzEnLDQwMDUwLCwsJycp&amp;WINDOW=FIRST_POPUP&amp;HEIGHT=450&amp;WIDTH=450&amp;START_MAXIMIZED=FALSE&amp;VAR:CALENDAR=US&amp;VAR:SYMBOL=38259P50&amp;VAR:INDEX=0"}</definedName>
    <definedName name="_3101__FDSAUDITLINK__">{"fdsup://directions/FAT Viewer?action=UPDATE&amp;creator=factset&amp;DYN_ARGS=TRUE&amp;DOC_NAME=FAT:FQL_AUDITING_CLIENT_TEMPLATE.FAT&amp;display_string=Audit&amp;VAR:KEY=CLQBCXGPSV&amp;VAR:QUERY=KFBfUFJJQ0UoNDAwNDkpLShGRl9DQVNIX1NUKFFUUiw0MDA0OSkvUF9DT01fU0hTX09VVCg0MDA0OSkpKS9GR","V9FU1RJTUFURSgnRVBTJywnTUVBTicsJ0FOTlVBTF9ST0xMJywnKzEnLDQwMDQ5LCwsJycp&amp;WINDOW=FIRST_POPUP&amp;HEIGHT=450&amp;WIDTH=450&amp;START_MAXIMIZED=FALSE&amp;VAR:CALENDAR=US&amp;VAR:SYMBOL=38259P50&amp;VAR:INDEX=0"}</definedName>
    <definedName name="_3102__FDSAUDITLINK__">{"fdsup://directions/FAT Viewer?action=UPDATE&amp;creator=factset&amp;DYN_ARGS=TRUE&amp;DOC_NAME=FAT:FQL_AUDITING_CLIENT_TEMPLATE.FAT&amp;display_string=Audit&amp;VAR:KEY=CLQBCXGPSV&amp;VAR:QUERY=KFBfUFJJQ0UoNDAwNDkpLShGRl9DQVNIX1NUKFFUUiw0MDA0OSkvUF9DT01fU0hTX09VVCg0MDA0OSkpKS9GR","V9FU1RJTUFURSgnRVBTJywnTUVBTicsJ0FOTlVBTF9ST0xMJywnKzEnLDQwMDQ5LCwsJycp&amp;WINDOW=FIRST_POPUP&amp;HEIGHT=450&amp;WIDTH=450&amp;START_MAXIMIZED=FALSE&amp;VAR:CALENDAR=US&amp;VAR:SYMBOL=38259P50&amp;VAR:INDEX=0"}</definedName>
    <definedName name="_3103__FDSAUDITLINK__">{"fdsup://directions/FAT Viewer?action=UPDATE&amp;creator=factset&amp;DYN_ARGS=TRUE&amp;DOC_NAME=FAT:FQL_AUDITING_CLIENT_TEMPLATE.FAT&amp;display_string=Audit&amp;VAR:KEY=ILMHUZWXQT&amp;VAR:QUERY=KFBfUFJJQ0UoNDAwNDgpLShGRl9DQVNIX1NUKFFUUiw0MDA0OCkvUF9DT01fU0hTX09VVCg0MDA0OCkpKS9GR","V9FU1RJTUFURSgnRVBTJywnTUVBTicsJ0FOTlVBTF9ST0xMJywnKzEnLDQwMDQ4LCwsJycp&amp;WINDOW=FIRST_POPUP&amp;HEIGHT=450&amp;WIDTH=450&amp;START_MAXIMIZED=FALSE&amp;VAR:CALENDAR=US&amp;VAR:SYMBOL=38259P50&amp;VAR:INDEX=0"}</definedName>
    <definedName name="_3104__FDSAUDITLINK__">{"fdsup://directions/FAT Viewer?action=UPDATE&amp;creator=factset&amp;DYN_ARGS=TRUE&amp;DOC_NAME=FAT:FQL_AUDITING_CLIENT_TEMPLATE.FAT&amp;display_string=Audit&amp;VAR:KEY=ILMHUZWXQT&amp;VAR:QUERY=KFBfUFJJQ0UoNDAwNDgpLShGRl9DQVNIX1NUKFFUUiw0MDA0OCkvUF9DT01fU0hTX09VVCg0MDA0OCkpKS9GR","V9FU1RJTUFURSgnRVBTJywnTUVBTicsJ0FOTlVBTF9ST0xMJywnKzEnLDQwMDQ4LCwsJycp&amp;WINDOW=FIRST_POPUP&amp;HEIGHT=450&amp;WIDTH=450&amp;START_MAXIMIZED=FALSE&amp;VAR:CALENDAR=US&amp;VAR:SYMBOL=38259P50&amp;VAR:INDEX=0"}</definedName>
    <definedName name="_3105__FDSAUDITLINK__">{"fdsup://directions/FAT Viewer?action=UPDATE&amp;creator=factset&amp;DYN_ARGS=TRUE&amp;DOC_NAME=FAT:FQL_AUDITING_CLIENT_TEMPLATE.FAT&amp;display_string=Audit&amp;VAR:KEY=SHGBULMRWZ&amp;VAR:QUERY=KFBfUFJJQ0UoNDAwNDcpLShGRl9DQVNIX1NUKFFUUiw0MDA0NykvUF9DT01fU0hTX09VVCg0MDA0NykpKS9GR","V9FU1RJTUFURSgnRVBTJywnTUVBTicsJ0FOTlVBTF9ST0xMJywnKzEnLDQwMDQ3LCwsJycp&amp;WINDOW=FIRST_POPUP&amp;HEIGHT=450&amp;WIDTH=450&amp;START_MAXIMIZED=FALSE&amp;VAR:CALENDAR=US&amp;VAR:SYMBOL=38259P50&amp;VAR:INDEX=0"}</definedName>
    <definedName name="_3106__FDSAUDITLINK__">{"fdsup://directions/FAT Viewer?action=UPDATE&amp;creator=factset&amp;DYN_ARGS=TRUE&amp;DOC_NAME=FAT:FQL_AUDITING_CLIENT_TEMPLATE.FAT&amp;display_string=Audit&amp;VAR:KEY=SHGBULMRWZ&amp;VAR:QUERY=KFBfUFJJQ0UoNDAwNDcpLShGRl9DQVNIX1NUKFFUUiw0MDA0NykvUF9DT01fU0hTX09VVCg0MDA0NykpKS9GR","V9FU1RJTUFURSgnRVBTJywnTUVBTicsJ0FOTlVBTF9ST0xMJywnKzEnLDQwMDQ3LCwsJycp&amp;WINDOW=FIRST_POPUP&amp;HEIGHT=450&amp;WIDTH=450&amp;START_MAXIMIZED=FALSE&amp;VAR:CALENDAR=US&amp;VAR:SYMBOL=38259P50&amp;VAR:INDEX=0"}</definedName>
    <definedName name="_3107__FDSAUDITLINK__">{"fdsup://directions/FAT Viewer?action=UPDATE&amp;creator=factset&amp;DYN_ARGS=TRUE&amp;DOC_NAME=FAT:FQL_AUDITING_CLIENT_TEMPLATE.FAT&amp;display_string=Audit&amp;VAR:KEY=ALWHQPCVKL&amp;VAR:QUERY=KFBfUFJJQ0UoNDAwNDYpLShGRl9DQVNIX1NUKFFUUiw0MDA0NikvUF9DT01fU0hTX09VVCg0MDA0NikpKS9GR","V9FU1RJTUFURSgnRVBTJywnTUVBTicsJ0FOTlVBTF9ST0xMJywnKzEnLDQwMDQ2LCwsJycp&amp;WINDOW=FIRST_POPUP&amp;HEIGHT=450&amp;WIDTH=450&amp;START_MAXIMIZED=FALSE&amp;VAR:CALENDAR=US&amp;VAR:SYMBOL=38259P50&amp;VAR:INDEX=0"}</definedName>
    <definedName name="_3108__FDSAUDITLINK__">{"fdsup://directions/FAT Viewer?action=UPDATE&amp;creator=factset&amp;DYN_ARGS=TRUE&amp;DOC_NAME=FAT:FQL_AUDITING_CLIENT_TEMPLATE.FAT&amp;display_string=Audit&amp;VAR:KEY=ALWHQPCVKL&amp;VAR:QUERY=KFBfUFJJQ0UoNDAwNDYpLShGRl9DQVNIX1NUKFFUUiw0MDA0NikvUF9DT01fU0hTX09VVCg0MDA0NikpKS9GR","V9FU1RJTUFURSgnRVBTJywnTUVBTicsJ0FOTlVBTF9ST0xMJywnKzEnLDQwMDQ2LCwsJycp&amp;WINDOW=FIRST_POPUP&amp;HEIGHT=450&amp;WIDTH=450&amp;START_MAXIMIZED=FALSE&amp;VAR:CALENDAR=US&amp;VAR:SYMBOL=38259P50&amp;VAR:INDEX=0"}</definedName>
    <definedName name="_3109__FDSAUDITLINK__">{"fdsup://directions/FAT Viewer?action=UPDATE&amp;creator=factset&amp;DYN_ARGS=TRUE&amp;DOC_NAME=FAT:FQL_AUDITING_CLIENT_TEMPLATE.FAT&amp;display_string=Audit&amp;VAR:KEY=ITCZEDIZIX&amp;VAR:QUERY=KFBfUFJJQ0UoNDAwNDUpLShGRl9DQVNIX1NUKFFUUiw0MDA0NSkvUF9DT01fU0hTX09VVCg0MDA0NSkpKS9GR","V9FU1RJTUFURSgnRVBTJywnTUVBTicsJ0FOTlVBTF9ST0xMJywnKzEnLDQwMDQ1LCwsJycp&amp;WINDOW=FIRST_POPUP&amp;HEIGHT=450&amp;WIDTH=450&amp;START_MAXIMIZED=FALSE&amp;VAR:CALENDAR=US&amp;VAR:SYMBOL=38259P50&amp;VAR:INDEX=0"}</definedName>
    <definedName name="_31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218"}</definedName>
    <definedName name="_3110__FDSAUDITLINK__">{"fdsup://directions/FAT Viewer?action=UPDATE&amp;creator=factset&amp;DYN_ARGS=TRUE&amp;DOC_NAME=FAT:FQL_AUDITING_CLIENT_TEMPLATE.FAT&amp;display_string=Audit&amp;VAR:KEY=ITCZEDIZIX&amp;VAR:QUERY=KFBfUFJJQ0UoNDAwNDUpLShGRl9DQVNIX1NUKFFUUiw0MDA0NSkvUF9DT01fU0hTX09VVCg0MDA0NSkpKS9GR","V9FU1RJTUFURSgnRVBTJywnTUVBTicsJ0FOTlVBTF9ST0xMJywnKzEnLDQwMDQ1LCwsJycp&amp;WINDOW=FIRST_POPUP&amp;HEIGHT=450&amp;WIDTH=450&amp;START_MAXIMIZED=FALSE&amp;VAR:CALENDAR=US&amp;VAR:SYMBOL=38259P50&amp;VAR:INDEX=0"}</definedName>
    <definedName name="_3111__FDSAUDITLINK__">{"fdsup://directions/FAT Viewer?action=UPDATE&amp;creator=factset&amp;DYN_ARGS=TRUE&amp;DOC_NAME=FAT:FQL_AUDITING_CLIENT_TEMPLATE.FAT&amp;display_string=Audit&amp;VAR:KEY=QLSJWPUFIR&amp;VAR:QUERY=KFBfUFJJQ0UoNDAwNDQpLShGRl9DQVNIX1NUKFFUUiw0MDA0NCkvUF9DT01fU0hTX09VVCg0MDA0NCkpKS9GR","V9FU1RJTUFURSgnRVBTJywnTUVBTicsJ0FOTlVBTF9ST0xMJywnKzEnLDQwMDQ0LCwsJycp&amp;WINDOW=FIRST_POPUP&amp;HEIGHT=450&amp;WIDTH=450&amp;START_MAXIMIZED=FALSE&amp;VAR:CALENDAR=US&amp;VAR:SYMBOL=38259P50&amp;VAR:INDEX=0"}</definedName>
    <definedName name="_3112__FDSAUDITLINK__">{"fdsup://directions/FAT Viewer?action=UPDATE&amp;creator=factset&amp;DYN_ARGS=TRUE&amp;DOC_NAME=FAT:FQL_AUDITING_CLIENT_TEMPLATE.FAT&amp;display_string=Audit&amp;VAR:KEY=QLSJWPUFIR&amp;VAR:QUERY=KFBfUFJJQ0UoNDAwNDQpLShGRl9DQVNIX1NUKFFUUiw0MDA0NCkvUF9DT01fU0hTX09VVCg0MDA0NCkpKS9GR","V9FU1RJTUFURSgnRVBTJywnTUVBTicsJ0FOTlVBTF9ST0xMJywnKzEnLDQwMDQ0LCwsJycp&amp;WINDOW=FIRST_POPUP&amp;HEIGHT=450&amp;WIDTH=450&amp;START_MAXIMIZED=FALSE&amp;VAR:CALENDAR=US&amp;VAR:SYMBOL=38259P50&amp;VAR:INDEX=0"}</definedName>
    <definedName name="_3113__FDSAUDITLINK__">{"fdsup://directions/FAT Viewer?action=UPDATE&amp;creator=factset&amp;DYN_ARGS=TRUE&amp;DOC_NAME=FAT:FQL_AUDITING_CLIENT_TEMPLATE.FAT&amp;display_string=Audit&amp;VAR:KEY=WJYFYRIHQL&amp;VAR:QUERY=KFBfUFJJQ0UoNDAwNDMpLShGRl9DQVNIX1NUKFFUUiw0MDA0MykvUF9DT01fU0hTX09VVCg0MDA0MykpKS9GR","V9FU1RJTUFURSgnRVBTJywnTUVBTicsJ0FOTlVBTF9ST0xMJywnKzEnLDQwMDQzLCwsJycp&amp;WINDOW=FIRST_POPUP&amp;HEIGHT=450&amp;WIDTH=450&amp;START_MAXIMIZED=FALSE&amp;VAR:CALENDAR=US&amp;VAR:SYMBOL=38259P50&amp;VAR:INDEX=0"}</definedName>
    <definedName name="_3114__FDSAUDITLINK__">{"fdsup://directions/FAT Viewer?action=UPDATE&amp;creator=factset&amp;DYN_ARGS=TRUE&amp;DOC_NAME=FAT:FQL_AUDITING_CLIENT_TEMPLATE.FAT&amp;display_string=Audit&amp;VAR:KEY=WJYFYRIHQL&amp;VAR:QUERY=KFBfUFJJQ0UoNDAwNDMpLShGRl9DQVNIX1NUKFFUUiw0MDA0MykvUF9DT01fU0hTX09VVCg0MDA0MykpKS9GR","V9FU1RJTUFURSgnRVBTJywnTUVBTicsJ0FOTlVBTF9ST0xMJywnKzEnLDQwMDQzLCwsJycp&amp;WINDOW=FIRST_POPUP&amp;HEIGHT=450&amp;WIDTH=450&amp;START_MAXIMIZED=FALSE&amp;VAR:CALENDAR=US&amp;VAR:SYMBOL=38259P50&amp;VAR:INDEX=0"}</definedName>
    <definedName name="_3115__FDSAUDITLINK__">{"fdsup://directions/FAT Viewer?action=UPDATE&amp;creator=factset&amp;DYN_ARGS=TRUE&amp;DOC_NAME=FAT:FQL_AUDITING_CLIENT_TEMPLATE.FAT&amp;display_string=Audit&amp;VAR:KEY=SJGDGZGZSP&amp;VAR:QUERY=KFBfUFJJQ0UoNDAwNDIpLShGRl9DQVNIX1NUKFFUUiw0MDA0MikvUF9DT01fU0hTX09VVCg0MDA0MikpKS9GR","V9FU1RJTUFURSgnRVBTJywnTUVBTicsJ0FOTlVBTF9ST0xMJywnKzEnLDQwMDQyLCwsJycp&amp;WINDOW=FIRST_POPUP&amp;HEIGHT=450&amp;WIDTH=450&amp;START_MAXIMIZED=FALSE&amp;VAR:CALENDAR=US&amp;VAR:SYMBOL=38259P50&amp;VAR:INDEX=0"}</definedName>
    <definedName name="_3116__FDSAUDITLINK__">{"fdsup://directions/FAT Viewer?action=UPDATE&amp;creator=factset&amp;DYN_ARGS=TRUE&amp;DOC_NAME=FAT:FQL_AUDITING_CLIENT_TEMPLATE.FAT&amp;display_string=Audit&amp;VAR:KEY=SJGDGZGZSP&amp;VAR:QUERY=KFBfUFJJQ0UoNDAwNDIpLShGRl9DQVNIX1NUKFFUUiw0MDA0MikvUF9DT01fU0hTX09VVCg0MDA0MikpKS9GR","V9FU1RJTUFURSgnRVBTJywnTUVBTicsJ0FOTlVBTF9ST0xMJywnKzEnLDQwMDQyLCwsJycp&amp;WINDOW=FIRST_POPUP&amp;HEIGHT=450&amp;WIDTH=450&amp;START_MAXIMIZED=FALSE&amp;VAR:CALENDAR=US&amp;VAR:SYMBOL=38259P50&amp;VAR:INDEX=0"}</definedName>
    <definedName name="_3117__FDSAUDITLINK__">{"fdsup://directions/FAT Viewer?action=UPDATE&amp;creator=factset&amp;DYN_ARGS=TRUE&amp;DOC_NAME=FAT:FQL_AUDITING_CLIENT_TEMPLATE.FAT&amp;display_string=Audit&amp;VAR:KEY=GXIVEBSLYB&amp;VAR:QUERY=KFBfUFJJQ0UoNDAwNDEpLShGRl9DQVNIX1NUKFFUUiw0MDA0MSkvUF9DT01fU0hTX09VVCg0MDA0MSkpKS9GR","V9FU1RJTUFURSgnRVBTJywnTUVBTicsJ0FOTlVBTF9ST0xMJywnKzEnLDQwMDQxLCwsJycp&amp;WINDOW=FIRST_POPUP&amp;HEIGHT=450&amp;WIDTH=450&amp;START_MAXIMIZED=FALSE&amp;VAR:CALENDAR=US&amp;VAR:SYMBOL=38259P50&amp;VAR:INDEX=0"}</definedName>
    <definedName name="_3118__FDSAUDITLINK__">{"fdsup://directions/FAT Viewer?action=UPDATE&amp;creator=factset&amp;DYN_ARGS=TRUE&amp;DOC_NAME=FAT:FQL_AUDITING_CLIENT_TEMPLATE.FAT&amp;display_string=Audit&amp;VAR:KEY=GXIVEBSLYB&amp;VAR:QUERY=KFBfUFJJQ0UoNDAwNDEpLShGRl9DQVNIX1NUKFFUUiw0MDA0MSkvUF9DT01fU0hTX09VVCg0MDA0MSkpKS9GR","V9FU1RJTUFURSgnRVBTJywnTUVBTicsJ0FOTlVBTF9ST0xMJywnKzEnLDQwMDQxLCwsJycp&amp;WINDOW=FIRST_POPUP&amp;HEIGHT=450&amp;WIDTH=450&amp;START_MAXIMIZED=FALSE&amp;VAR:CALENDAR=US&amp;VAR:SYMBOL=38259P50&amp;VAR:INDEX=0"}</definedName>
    <definedName name="_3119__FDSAUDITLINK__">{"fdsup://directions/FAT Viewer?action=UPDATE&amp;creator=factset&amp;DYN_ARGS=TRUE&amp;DOC_NAME=FAT:FQL_AUDITING_CLIENT_TEMPLATE.FAT&amp;display_string=Audit&amp;VAR:KEY=GFMZSLURAL&amp;VAR:QUERY=KFBfUFJJQ0UoNDAwNDApLShGRl9DQVNIX1NUKFFUUiw0MDA0MCkvUF9DT01fU0hTX09VVCg0MDA0MCkpKS9GR","V9FU1RJTUFURSgnRVBTJywnTUVBTicsJ0FOTlVBTF9ST0xMJywnKzEnLDQwMDQwLCwsJycp&amp;WINDOW=FIRST_POPUP&amp;HEIGHT=450&amp;WIDTH=450&amp;START_MAXIMIZED=FALSE&amp;VAR:CALENDAR=US&amp;VAR:SYMBOL=38259P50&amp;VAR:INDEX=0"}</definedName>
    <definedName name="_31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217"}</definedName>
    <definedName name="_3120__FDSAUDITLINK__">{"fdsup://directions/FAT Viewer?action=UPDATE&amp;creator=factset&amp;DYN_ARGS=TRUE&amp;DOC_NAME=FAT:FQL_AUDITING_CLIENT_TEMPLATE.FAT&amp;display_string=Audit&amp;VAR:KEY=GFMZSLURAL&amp;VAR:QUERY=KFBfUFJJQ0UoNDAwNDApLShGRl9DQVNIX1NUKFFUUiw0MDA0MCkvUF9DT01fU0hTX09VVCg0MDA0MCkpKS9GR","V9FU1RJTUFURSgnRVBTJywnTUVBTicsJ0FOTlVBTF9ST0xMJywnKzEnLDQwMDQwLCwsJycp&amp;WINDOW=FIRST_POPUP&amp;HEIGHT=450&amp;WIDTH=450&amp;START_MAXIMIZED=FALSE&amp;VAR:CALENDAR=US&amp;VAR:SYMBOL=38259P50&amp;VAR:INDEX=0"}</definedName>
    <definedName name="_3121__FDSAUDITLINK__">{"fdsup://directions/FAT Viewer?action=UPDATE&amp;creator=factset&amp;DYN_ARGS=TRUE&amp;DOC_NAME=FAT:FQL_AUDITING_CLIENT_TEMPLATE.FAT&amp;display_string=Audit&amp;VAR:KEY=SHYTSDUVEL&amp;VAR:QUERY=KFBfUFJJQ0UoNDAwMzkpLShGRl9DQVNIX1NUKFFUUiw0MDAzOSkvUF9DT01fU0hTX09VVCg0MDAzOSkpKS9GR","V9FU1RJTUFURSgnRVBTJywnTUVBTicsJ0FOTlVBTF9ST0xMJywnKzEnLDQwMDM5LCwsJycp&amp;WINDOW=FIRST_POPUP&amp;HEIGHT=450&amp;WIDTH=450&amp;START_MAXIMIZED=FALSE&amp;VAR:CALENDAR=US&amp;VAR:SYMBOL=38259P50&amp;VAR:INDEX=0"}</definedName>
    <definedName name="_3122__FDSAUDITLINK__">{"fdsup://directions/FAT Viewer?action=UPDATE&amp;creator=factset&amp;DYN_ARGS=TRUE&amp;DOC_NAME=FAT:FQL_AUDITING_CLIENT_TEMPLATE.FAT&amp;display_string=Audit&amp;VAR:KEY=SHYTSDUVEL&amp;VAR:QUERY=KFBfUFJJQ0UoNDAwMzkpLShGRl9DQVNIX1NUKFFUUiw0MDAzOSkvUF9DT01fU0hTX09VVCg0MDAzOSkpKS9GR","V9FU1RJTUFURSgnRVBTJywnTUVBTicsJ0FOTlVBTF9ST0xMJywnKzEnLDQwMDM5LCwsJycp&amp;WINDOW=FIRST_POPUP&amp;HEIGHT=450&amp;WIDTH=450&amp;START_MAXIMIZED=FALSE&amp;VAR:CALENDAR=US&amp;VAR:SYMBOL=38259P50&amp;VAR:INDEX=0"}</definedName>
    <definedName name="_3123__FDSAUDITLINK__">{"fdsup://directions/FAT Viewer?action=UPDATE&amp;creator=factset&amp;DYN_ARGS=TRUE&amp;DOC_NAME=FAT:FQL_AUDITING_CLIENT_TEMPLATE.FAT&amp;display_string=Audit&amp;VAR:KEY=WDQLKBOVOB&amp;VAR:QUERY=KFBfUFJJQ0UoNDAwMzgpLShGRl9DQVNIX1NUKFFUUiw0MDAzOCkvUF9DT01fU0hTX09VVCg0MDAzOCkpKS9GR","V9FU1RJTUFURSgnRVBTJywnTUVBTicsJ0FOTlVBTF9ST0xMJywnKzEnLDQwMDM4LCwsJycp&amp;WINDOW=FIRST_POPUP&amp;HEIGHT=450&amp;WIDTH=450&amp;START_MAXIMIZED=FALSE&amp;VAR:CALENDAR=US&amp;VAR:SYMBOL=38259P50&amp;VAR:INDEX=0"}</definedName>
    <definedName name="_3124__FDSAUDITLINK__">{"fdsup://directions/FAT Viewer?action=UPDATE&amp;creator=factset&amp;DYN_ARGS=TRUE&amp;DOC_NAME=FAT:FQL_AUDITING_CLIENT_TEMPLATE.FAT&amp;display_string=Audit&amp;VAR:KEY=WDQLKBOVOB&amp;VAR:QUERY=KFBfUFJJQ0UoNDAwMzgpLShGRl9DQVNIX1NUKFFUUiw0MDAzOCkvUF9DT01fU0hTX09VVCg0MDAzOCkpKS9GR","V9FU1RJTUFURSgnRVBTJywnTUVBTicsJ0FOTlVBTF9ST0xMJywnKzEnLDQwMDM4LCwsJycp&amp;WINDOW=FIRST_POPUP&amp;HEIGHT=450&amp;WIDTH=450&amp;START_MAXIMIZED=FALSE&amp;VAR:CALENDAR=US&amp;VAR:SYMBOL=38259P50&amp;VAR:INDEX=0"}</definedName>
    <definedName name="_3125__FDSAUDITLINK__">{"fdsup://directions/FAT Viewer?action=UPDATE&amp;creator=factset&amp;DYN_ARGS=TRUE&amp;DOC_NAME=FAT:FQL_AUDITING_CLIENT_TEMPLATE.FAT&amp;display_string=Audit&amp;VAR:KEY=QPEDKPCDKR&amp;VAR:QUERY=KFBfUFJJQ0UoNDAwMzcpLShGRl9DQVNIX1NUKFFUUiw0MDAzNykvUF9DT01fU0hTX09VVCg0MDAzNykpKS9GR","V9FU1RJTUFURSgnRVBTJywnTUVBTicsJ0FOTlVBTF9ST0xMJywnKzEnLDQwMDM3LCwsJycp&amp;WINDOW=FIRST_POPUP&amp;HEIGHT=450&amp;WIDTH=450&amp;START_MAXIMIZED=FALSE&amp;VAR:CALENDAR=US&amp;VAR:SYMBOL=38259P50&amp;VAR:INDEX=0"}</definedName>
    <definedName name="_3126__FDSAUDITLINK__">{"fdsup://directions/FAT Viewer?action=UPDATE&amp;creator=factset&amp;DYN_ARGS=TRUE&amp;DOC_NAME=FAT:FQL_AUDITING_CLIENT_TEMPLATE.FAT&amp;display_string=Audit&amp;VAR:KEY=QPEDKPCDKR&amp;VAR:QUERY=KFBfUFJJQ0UoNDAwMzcpLShGRl9DQVNIX1NUKFFUUiw0MDAzNykvUF9DT01fU0hTX09VVCg0MDAzNykpKS9GR","V9FU1RJTUFURSgnRVBTJywnTUVBTicsJ0FOTlVBTF9ST0xMJywnKzEnLDQwMDM3LCwsJycp&amp;WINDOW=FIRST_POPUP&amp;HEIGHT=450&amp;WIDTH=450&amp;START_MAXIMIZED=FALSE&amp;VAR:CALENDAR=US&amp;VAR:SYMBOL=38259P50&amp;VAR:INDEX=0"}</definedName>
    <definedName name="_3127__FDSAUDITLINK__">{"fdsup://directions/FAT Viewer?action=UPDATE&amp;creator=factset&amp;DYN_ARGS=TRUE&amp;DOC_NAME=FAT:FQL_AUDITING_CLIENT_TEMPLATE.FAT&amp;display_string=Audit&amp;VAR:KEY=EJIDYNWLCD&amp;VAR:QUERY=KFBfUFJJQ0UoNDAwMzYpLShGRl9DQVNIX1NUKFFUUiw0MDAzNikvUF9DT01fU0hTX09VVCg0MDAzNikpKS9GR","V9FU1RJTUFURSgnRVBTJywnTUVBTicsJ0FOTlVBTF9ST0xMJywnKzEnLDQwMDM2LCwsJycp&amp;WINDOW=FIRST_POPUP&amp;HEIGHT=450&amp;WIDTH=450&amp;START_MAXIMIZED=FALSE&amp;VAR:CALENDAR=US&amp;VAR:SYMBOL=38259P50&amp;VAR:INDEX=0"}</definedName>
    <definedName name="_3128__FDSAUDITLINK__">{"fdsup://directions/FAT Viewer?action=UPDATE&amp;creator=factset&amp;DYN_ARGS=TRUE&amp;DOC_NAME=FAT:FQL_AUDITING_CLIENT_TEMPLATE.FAT&amp;display_string=Audit&amp;VAR:KEY=EJIDYNWLCD&amp;VAR:QUERY=KFBfUFJJQ0UoNDAwMzYpLShGRl9DQVNIX1NUKFFUUiw0MDAzNikvUF9DT01fU0hTX09VVCg0MDAzNikpKS9GR","V9FU1RJTUFURSgnRVBTJywnTUVBTicsJ0FOTlVBTF9ST0xMJywnKzEnLDQwMDM2LCwsJycp&amp;WINDOW=FIRST_POPUP&amp;HEIGHT=450&amp;WIDTH=450&amp;START_MAXIMIZED=FALSE&amp;VAR:CALENDAR=US&amp;VAR:SYMBOL=38259P50&amp;VAR:INDEX=0"}</definedName>
    <definedName name="_3129__FDSAUDITLINK__">{"fdsup://directions/FAT Viewer?action=UPDATE&amp;creator=factset&amp;DYN_ARGS=TRUE&amp;DOC_NAME=FAT:FQL_AUDITING_CLIENT_TEMPLATE.FAT&amp;display_string=Audit&amp;VAR:KEY=MVWTQLYVWB&amp;VAR:QUERY=KFBfUFJJQ0UoNDAwMzUpLShGRl9DQVNIX1NUKFFUUiw0MDAzNSkvUF9DT01fU0hTX09VVCg0MDAzNSkpKS9GR","V9FU1RJTUFURSgnRVBTJywnTUVBTicsJ0FOTlVBTF9ST0xMJywnKzEnLDQwMDM1LCwsJycp&amp;WINDOW=FIRST_POPUP&amp;HEIGHT=450&amp;WIDTH=450&amp;START_MAXIMIZED=FALSE&amp;VAR:CALENDAR=US&amp;VAR:SYMBOL=38259P50&amp;VAR:INDEX=0"}</definedName>
    <definedName name="_31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216"}</definedName>
    <definedName name="_3130__FDSAUDITLINK__">{"fdsup://directions/FAT Viewer?action=UPDATE&amp;creator=factset&amp;DYN_ARGS=TRUE&amp;DOC_NAME=FAT:FQL_AUDITING_CLIENT_TEMPLATE.FAT&amp;display_string=Audit&amp;VAR:KEY=MVWTQLYVWB&amp;VAR:QUERY=KFBfUFJJQ0UoNDAwMzUpLShGRl9DQVNIX1NUKFFUUiw0MDAzNSkvUF9DT01fU0hTX09VVCg0MDAzNSkpKS9GR","V9FU1RJTUFURSgnRVBTJywnTUVBTicsJ0FOTlVBTF9ST0xMJywnKzEnLDQwMDM1LCwsJycp&amp;WINDOW=FIRST_POPUP&amp;HEIGHT=450&amp;WIDTH=450&amp;START_MAXIMIZED=FALSE&amp;VAR:CALENDAR=US&amp;VAR:SYMBOL=38259P50&amp;VAR:INDEX=0"}</definedName>
    <definedName name="_3131__FDSAUDITLINK__">{"fdsup://directions/FAT Viewer?action=UPDATE&amp;creator=factset&amp;DYN_ARGS=TRUE&amp;DOC_NAME=FAT:FQL_AUDITING_CLIENT_TEMPLATE.FAT&amp;display_string=Audit&amp;VAR:KEY=OHSLKDULYX&amp;VAR:QUERY=KFBfUFJJQ0UoNDAwMzQpLShGRl9DQVNIX1NUKFFUUiw0MDAzNCkvUF9DT01fU0hTX09VVCg0MDAzNCkpKS9GR","V9FU1RJTUFURSgnRVBTJywnTUVBTicsJ0FOTlVBTF9ST0xMJywnKzEnLDQwMDM0LCwsJycp&amp;WINDOW=FIRST_POPUP&amp;HEIGHT=450&amp;WIDTH=450&amp;START_MAXIMIZED=FALSE&amp;VAR:CALENDAR=US&amp;VAR:SYMBOL=38259P50&amp;VAR:INDEX=0"}</definedName>
    <definedName name="_3132__FDSAUDITLINK__">{"fdsup://directions/FAT Viewer?action=UPDATE&amp;creator=factset&amp;DYN_ARGS=TRUE&amp;DOC_NAME=FAT:FQL_AUDITING_CLIENT_TEMPLATE.FAT&amp;display_string=Audit&amp;VAR:KEY=OHSLKDULYX&amp;VAR:QUERY=KFBfUFJJQ0UoNDAwMzQpLShGRl9DQVNIX1NUKFFUUiw0MDAzNCkvUF9DT01fU0hTX09VVCg0MDAzNCkpKS9GR","V9FU1RJTUFURSgnRVBTJywnTUVBTicsJ0FOTlVBTF9ST0xMJywnKzEnLDQwMDM0LCwsJycp&amp;WINDOW=FIRST_POPUP&amp;HEIGHT=450&amp;WIDTH=450&amp;START_MAXIMIZED=FALSE&amp;VAR:CALENDAR=US&amp;VAR:SYMBOL=38259P50&amp;VAR:INDEX=0"}</definedName>
    <definedName name="_3133__FDSAUDITLINK__">{"fdsup://directions/FAT Viewer?action=UPDATE&amp;creator=factset&amp;DYN_ARGS=TRUE&amp;DOC_NAME=FAT:FQL_AUDITING_CLIENT_TEMPLATE.FAT&amp;display_string=Audit&amp;VAR:KEY=SVMDELYDUF&amp;VAR:QUERY=KFBfUFJJQ0UoNDAwMzMpLShGRl9DQVNIX1NUKFFUUiw0MDAzMykvUF9DT01fU0hTX09VVCg0MDAzMykpKS9GR","V9FU1RJTUFURSgnRVBTJywnTUVBTicsJ0FOTlVBTF9ST0xMJywnKzEnLDQwMDMzLCwsJycp&amp;WINDOW=FIRST_POPUP&amp;HEIGHT=450&amp;WIDTH=450&amp;START_MAXIMIZED=FALSE&amp;VAR:CALENDAR=US&amp;VAR:SYMBOL=38259P50&amp;VAR:INDEX=0"}</definedName>
    <definedName name="_3134__FDSAUDITLINK__">{"fdsup://directions/FAT Viewer?action=UPDATE&amp;creator=factset&amp;DYN_ARGS=TRUE&amp;DOC_NAME=FAT:FQL_AUDITING_CLIENT_TEMPLATE.FAT&amp;display_string=Audit&amp;VAR:KEY=SVMDELYDUF&amp;VAR:QUERY=KFBfUFJJQ0UoNDAwMzMpLShGRl9DQVNIX1NUKFFUUiw0MDAzMykvUF9DT01fU0hTX09VVCg0MDAzMykpKS9GR","V9FU1RJTUFURSgnRVBTJywnTUVBTicsJ0FOTlVBTF9ST0xMJywnKzEnLDQwMDMzLCwsJycp&amp;WINDOW=FIRST_POPUP&amp;HEIGHT=450&amp;WIDTH=450&amp;START_MAXIMIZED=FALSE&amp;VAR:CALENDAR=US&amp;VAR:SYMBOL=38259P50&amp;VAR:INDEX=0"}</definedName>
    <definedName name="_3135__FDSAUDITLINK__">{"fdsup://directions/FAT Viewer?action=UPDATE&amp;creator=factset&amp;DYN_ARGS=TRUE&amp;DOC_NAME=FAT:FQL_AUDITING_CLIENT_TEMPLATE.FAT&amp;display_string=Audit&amp;VAR:KEY=SFQNIZKHQV&amp;VAR:QUERY=KFBfUFJJQ0UoNDAwMzIpLShGRl9DQVNIX1NUKFFUUiw0MDAzMikvUF9DT01fU0hTX09VVCg0MDAzMikpKS9GR","V9FU1RJTUFURSgnRVBTJywnTUVBTicsJ0FOTlVBTF9ST0xMJywnKzEnLDQwMDMyLCwsJycp&amp;WINDOW=FIRST_POPUP&amp;HEIGHT=450&amp;WIDTH=450&amp;START_MAXIMIZED=FALSE&amp;VAR:CALENDAR=US&amp;VAR:SYMBOL=38259P50&amp;VAR:INDEX=0"}</definedName>
    <definedName name="_3136__FDSAUDITLINK__">{"fdsup://directions/FAT Viewer?action=UPDATE&amp;creator=factset&amp;DYN_ARGS=TRUE&amp;DOC_NAME=FAT:FQL_AUDITING_CLIENT_TEMPLATE.FAT&amp;display_string=Audit&amp;VAR:KEY=SFQNIZKHQV&amp;VAR:QUERY=KFBfUFJJQ0UoNDAwMzIpLShGRl9DQVNIX1NUKFFUUiw0MDAzMikvUF9DT01fU0hTX09VVCg0MDAzMikpKS9GR","V9FU1RJTUFURSgnRVBTJywnTUVBTicsJ0FOTlVBTF9ST0xMJywnKzEnLDQwMDMyLCwsJycp&amp;WINDOW=FIRST_POPUP&amp;HEIGHT=450&amp;WIDTH=450&amp;START_MAXIMIZED=FALSE&amp;VAR:CALENDAR=US&amp;VAR:SYMBOL=38259P50&amp;VAR:INDEX=0"}</definedName>
    <definedName name="_3137__FDSAUDITLINK__">{"fdsup://directions/FAT Viewer?action=UPDATE&amp;creator=factset&amp;DYN_ARGS=TRUE&amp;DOC_NAME=FAT:FQL_AUDITING_CLIENT_TEMPLATE.FAT&amp;display_string=Audit&amp;VAR:KEY=CNMVELCLCZ&amp;VAR:QUERY=KFBfUFJJQ0UoNDAwMzEpLShGRl9DQVNIX1NUKFFUUiw0MDAzMSkvUF9DT01fU0hTX09VVCg0MDAzMSkpKS9GR","V9FU1RJTUFURSgnRVBTJywnTUVBTicsJ0FOTlVBTF9ST0xMJywnKzEnLDQwMDMxLCwsJycp&amp;WINDOW=FIRST_POPUP&amp;HEIGHT=450&amp;WIDTH=450&amp;START_MAXIMIZED=FALSE&amp;VAR:CALENDAR=US&amp;VAR:SYMBOL=38259P50&amp;VAR:INDEX=0"}</definedName>
    <definedName name="_3138__FDSAUDITLINK__">{"fdsup://directions/FAT Viewer?action=UPDATE&amp;creator=factset&amp;DYN_ARGS=TRUE&amp;DOC_NAME=FAT:FQL_AUDITING_CLIENT_TEMPLATE.FAT&amp;display_string=Audit&amp;VAR:KEY=CNMVELCLCZ&amp;VAR:QUERY=KFBfUFJJQ0UoNDAwMzEpLShGRl9DQVNIX1NUKFFUUiw0MDAzMSkvUF9DT01fU0hTX09VVCg0MDAzMSkpKS9GR","V9FU1RJTUFURSgnRVBTJywnTUVBTicsJ0FOTlVBTF9ST0xMJywnKzEnLDQwMDMxLCwsJycp&amp;WINDOW=FIRST_POPUP&amp;HEIGHT=450&amp;WIDTH=450&amp;START_MAXIMIZED=FALSE&amp;VAR:CALENDAR=US&amp;VAR:SYMBOL=38259P50&amp;VAR:INDEX=0"}</definedName>
    <definedName name="_3139__FDSAUDITLINK__">{"fdsup://directions/FAT Viewer?action=UPDATE&amp;creator=factset&amp;DYN_ARGS=TRUE&amp;DOC_NAME=FAT:FQL_AUDITING_CLIENT_TEMPLATE.FAT&amp;display_string=Audit&amp;VAR:KEY=YXYLYNWREH&amp;VAR:QUERY=KFBfUFJJQ0UoNDAwMzApLShGRl9DQVNIX1NUKFFUUiw0MDAzMCkvUF9DT01fU0hTX09VVCg0MDAzMCkpKS9GR","V9FU1RJTUFURSgnRVBTJywnTUVBTicsJ0FOTlVBTF9ST0xMJywnKzEnLDQwMDMwLCwsJycp&amp;WINDOW=FIRST_POPUP&amp;HEIGHT=450&amp;WIDTH=450&amp;START_MAXIMIZED=FALSE&amp;VAR:CALENDAR=US&amp;VAR:SYMBOL=38259P50&amp;VAR:INDEX=0"}</definedName>
    <definedName name="_31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215"}</definedName>
    <definedName name="_3140__FDSAUDITLINK__">{"fdsup://directions/FAT Viewer?action=UPDATE&amp;creator=factset&amp;DYN_ARGS=TRUE&amp;DOC_NAME=FAT:FQL_AUDITING_CLIENT_TEMPLATE.FAT&amp;display_string=Audit&amp;VAR:KEY=YXYLYNWREH&amp;VAR:QUERY=KFBfUFJJQ0UoNDAwMzApLShGRl9DQVNIX1NUKFFUUiw0MDAzMCkvUF9DT01fU0hTX09VVCg0MDAzMCkpKS9GR","V9FU1RJTUFURSgnRVBTJywnTUVBTicsJ0FOTlVBTF9ST0xMJywnKzEnLDQwMDMwLCwsJycp&amp;WINDOW=FIRST_POPUP&amp;HEIGHT=450&amp;WIDTH=450&amp;START_MAXIMIZED=FALSE&amp;VAR:CALENDAR=US&amp;VAR:SYMBOL=38259P50&amp;VAR:INDEX=0"}</definedName>
    <definedName name="_3141__FDSAUDITLINK__">{"fdsup://directions/FAT Viewer?action=UPDATE&amp;creator=factset&amp;DYN_ARGS=TRUE&amp;DOC_NAME=FAT:FQL_AUDITING_CLIENT_TEMPLATE.FAT&amp;display_string=Audit&amp;VAR:KEY=OLAJOJWHUD&amp;VAR:QUERY=KFBfUFJJQ0UoNDAwMjkpLShGRl9DQVNIX1NUKFFUUiw0MDAyOSkvUF9DT01fU0hTX09VVCg0MDAyOSkpKS9GR","V9FU1RJTUFURSgnRVBTJywnTUVBTicsJ0FOTlVBTF9ST0xMJywnKzEnLDQwMDI5LCwsJycp&amp;WINDOW=FIRST_POPUP&amp;HEIGHT=450&amp;WIDTH=450&amp;START_MAXIMIZED=FALSE&amp;VAR:CALENDAR=US&amp;VAR:SYMBOL=38259P50&amp;VAR:INDEX=0"}</definedName>
    <definedName name="_3142__FDSAUDITLINK__">{"fdsup://directions/FAT Viewer?action=UPDATE&amp;creator=factset&amp;DYN_ARGS=TRUE&amp;DOC_NAME=FAT:FQL_AUDITING_CLIENT_TEMPLATE.FAT&amp;display_string=Audit&amp;VAR:KEY=OLAJOJWHUD&amp;VAR:QUERY=KFBfUFJJQ0UoNDAwMjkpLShGRl9DQVNIX1NUKFFUUiw0MDAyOSkvUF9DT01fU0hTX09VVCg0MDAyOSkpKS9GR","V9FU1RJTUFURSgnRVBTJywnTUVBTicsJ0FOTlVBTF9ST0xMJywnKzEnLDQwMDI5LCwsJycp&amp;WINDOW=FIRST_POPUP&amp;HEIGHT=450&amp;WIDTH=450&amp;START_MAXIMIZED=FALSE&amp;VAR:CALENDAR=US&amp;VAR:SYMBOL=38259P50&amp;VAR:INDEX=0"}</definedName>
    <definedName name="_3143__FDSAUDITLINK__">{"fdsup://directions/FAT Viewer?action=UPDATE&amp;creator=factset&amp;DYN_ARGS=TRUE&amp;DOC_NAME=FAT:FQL_AUDITING_CLIENT_TEMPLATE.FAT&amp;display_string=Audit&amp;VAR:KEY=UZWZSPARCX&amp;VAR:QUERY=KFBfUFJJQ0UoNDAwMjgpLShGRl9DQVNIX1NUKFFUUiw0MDAyOCkvUF9DT01fU0hTX09VVCg0MDAyOCkpKS9GR","V9FU1RJTUFURSgnRVBTJywnTUVBTicsJ0FOTlVBTF9ST0xMJywnKzEnLDQwMDI4LCwsJycp&amp;WINDOW=FIRST_POPUP&amp;HEIGHT=450&amp;WIDTH=450&amp;START_MAXIMIZED=FALSE&amp;VAR:CALENDAR=US&amp;VAR:SYMBOL=38259P50&amp;VAR:INDEX=0"}</definedName>
    <definedName name="_3144__FDSAUDITLINK__">{"fdsup://directions/FAT Viewer?action=UPDATE&amp;creator=factset&amp;DYN_ARGS=TRUE&amp;DOC_NAME=FAT:FQL_AUDITING_CLIENT_TEMPLATE.FAT&amp;display_string=Audit&amp;VAR:KEY=UZWZSPARCX&amp;VAR:QUERY=KFBfUFJJQ0UoNDAwMjgpLShGRl9DQVNIX1NUKFFUUiw0MDAyOCkvUF9DT01fU0hTX09VVCg0MDAyOCkpKS9GR","V9FU1RJTUFURSgnRVBTJywnTUVBTicsJ0FOTlVBTF9ST0xMJywnKzEnLDQwMDI4LCwsJycp&amp;WINDOW=FIRST_POPUP&amp;HEIGHT=450&amp;WIDTH=450&amp;START_MAXIMIZED=FALSE&amp;VAR:CALENDAR=US&amp;VAR:SYMBOL=38259P50&amp;VAR:INDEX=0"}</definedName>
    <definedName name="_3145__FDSAUDITLINK__">{"fdsup://directions/FAT Viewer?action=UPDATE&amp;creator=factset&amp;DYN_ARGS=TRUE&amp;DOC_NAME=FAT:FQL_AUDITING_CLIENT_TEMPLATE.FAT&amp;display_string=Audit&amp;VAR:KEY=WPCRCLGBUZ&amp;VAR:QUERY=KFBfUFJJQ0UoNDAwMjcpLShGRl9DQVNIX1NUKFFUUiw0MDAyNykvUF9DT01fU0hTX09VVCg0MDAyNykpKS9GR","V9FU1RJTUFURSgnRVBTJywnTUVBTicsJ0FOTlVBTF9ST0xMJywnKzEnLDQwMDI3LCwsJycp&amp;WINDOW=FIRST_POPUP&amp;HEIGHT=450&amp;WIDTH=450&amp;START_MAXIMIZED=FALSE&amp;VAR:CALENDAR=US&amp;VAR:SYMBOL=38259P50&amp;VAR:INDEX=0"}</definedName>
    <definedName name="_3146__FDSAUDITLINK__">{"fdsup://directions/FAT Viewer?action=UPDATE&amp;creator=factset&amp;DYN_ARGS=TRUE&amp;DOC_NAME=FAT:FQL_AUDITING_CLIENT_TEMPLATE.FAT&amp;display_string=Audit&amp;VAR:KEY=WPCRCLGBUZ&amp;VAR:QUERY=KFBfUFJJQ0UoNDAwMjcpLShGRl9DQVNIX1NUKFFUUiw0MDAyNykvUF9DT01fU0hTX09VVCg0MDAyNykpKS9GR","V9FU1RJTUFURSgnRVBTJywnTUVBTicsJ0FOTlVBTF9ST0xMJywnKzEnLDQwMDI3LCwsJycp&amp;WINDOW=FIRST_POPUP&amp;HEIGHT=450&amp;WIDTH=450&amp;START_MAXIMIZED=FALSE&amp;VAR:CALENDAR=US&amp;VAR:SYMBOL=38259P50&amp;VAR:INDEX=0"}</definedName>
    <definedName name="_3147__FDSAUDITLINK__">{"fdsup://directions/FAT Viewer?action=UPDATE&amp;creator=factset&amp;DYN_ARGS=TRUE&amp;DOC_NAME=FAT:FQL_AUDITING_CLIENT_TEMPLATE.FAT&amp;display_string=Audit&amp;VAR:KEY=MVEDQRGZOB&amp;VAR:QUERY=KFBfUFJJQ0UoNDAwMjYpLShGRl9DQVNIX1NUKFFUUiw0MDAyNikvUF9DT01fU0hTX09VVCg0MDAyNikpKS9GR","V9FU1RJTUFURSgnRVBTJywnTUVBTicsJ0FOTlVBTF9ST0xMJywnKzEnLDQwMDI2LCwsJycp&amp;WINDOW=FIRST_POPUP&amp;HEIGHT=450&amp;WIDTH=450&amp;START_MAXIMIZED=FALSE&amp;VAR:CALENDAR=US&amp;VAR:SYMBOL=38259P50&amp;VAR:INDEX=0"}</definedName>
    <definedName name="_3148__FDSAUDITLINK__">{"fdsup://directions/FAT Viewer?action=UPDATE&amp;creator=factset&amp;DYN_ARGS=TRUE&amp;DOC_NAME=FAT:FQL_AUDITING_CLIENT_TEMPLATE.FAT&amp;display_string=Audit&amp;VAR:KEY=MVEDQRGZOB&amp;VAR:QUERY=KFBfUFJJQ0UoNDAwMjYpLShGRl9DQVNIX1NUKFFUUiw0MDAyNikvUF9DT01fU0hTX09VVCg0MDAyNikpKS9GR","V9FU1RJTUFURSgnRVBTJywnTUVBTicsJ0FOTlVBTF9ST0xMJywnKzEnLDQwMDI2LCwsJycp&amp;WINDOW=FIRST_POPUP&amp;HEIGHT=450&amp;WIDTH=450&amp;START_MAXIMIZED=FALSE&amp;VAR:CALENDAR=US&amp;VAR:SYMBOL=38259P50&amp;VAR:INDEX=0"}</definedName>
    <definedName name="_3149__FDSAUDITLINK__">{"fdsup://directions/FAT Viewer?action=UPDATE&amp;creator=factset&amp;DYN_ARGS=TRUE&amp;DOC_NAME=FAT:FQL_AUDITING_CLIENT_TEMPLATE.FAT&amp;display_string=Audit&amp;VAR:KEY=IHATWXEDMD&amp;VAR:QUERY=KFBfUFJJQ0UoNDAwMjUpLShGRl9DQVNIX1NUKFFUUiw0MDAyNSkvUF9DT01fU0hTX09VVCg0MDAyNSkpKS9GR","V9FU1RJTUFURSgnRVBTJywnTUVBTicsJ0FOTlVBTF9ST0xMJywnKzEnLDQwMDI1LCwsJycp&amp;WINDOW=FIRST_POPUP&amp;HEIGHT=450&amp;WIDTH=450&amp;START_MAXIMIZED=FALSE&amp;VAR:CALENDAR=US&amp;VAR:SYMBOL=38259P50&amp;VAR:INDEX=0"}</definedName>
    <definedName name="_31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214"}</definedName>
    <definedName name="_3150__FDSAUDITLINK__">{"fdsup://directions/FAT Viewer?action=UPDATE&amp;creator=factset&amp;DYN_ARGS=TRUE&amp;DOC_NAME=FAT:FQL_AUDITING_CLIENT_TEMPLATE.FAT&amp;display_string=Audit&amp;VAR:KEY=IHATWXEDMD&amp;VAR:QUERY=KFBfUFJJQ0UoNDAwMjUpLShGRl9DQVNIX1NUKFFUUiw0MDAyNSkvUF9DT01fU0hTX09VVCg0MDAyNSkpKS9GR","V9FU1RJTUFURSgnRVBTJywnTUVBTicsJ0FOTlVBTF9ST0xMJywnKzEnLDQwMDI1LCwsJycp&amp;WINDOW=FIRST_POPUP&amp;HEIGHT=450&amp;WIDTH=450&amp;START_MAXIMIZED=FALSE&amp;VAR:CALENDAR=US&amp;VAR:SYMBOL=38259P50&amp;VAR:INDEX=0"}</definedName>
    <definedName name="_3151__FDSAUDITLINK__">{"fdsup://directions/FAT Viewer?action=UPDATE&amp;creator=factset&amp;DYN_ARGS=TRUE&amp;DOC_NAME=FAT:FQL_AUDITING_CLIENT_TEMPLATE.FAT&amp;display_string=Audit&amp;VAR:KEY=YZSPKXCVMZ&amp;VAR:QUERY=KFBfUFJJQ0UoNDAwMjQpLShGRl9DQVNIX1NUKFFUUiw0MDAyNCkvUF9DT01fU0hTX09VVCg0MDAyNCkpKS9GR","V9FU1RJTUFURSgnRVBTJywnTUVBTicsJ0FOTlVBTF9ST0xMJywnKzEnLDQwMDI0LCwsJycp&amp;WINDOW=FIRST_POPUP&amp;HEIGHT=450&amp;WIDTH=450&amp;START_MAXIMIZED=FALSE&amp;VAR:CALENDAR=US&amp;VAR:SYMBOL=38259P50&amp;VAR:INDEX=0"}</definedName>
    <definedName name="_3152__FDSAUDITLINK__">{"fdsup://directions/FAT Viewer?action=UPDATE&amp;creator=factset&amp;DYN_ARGS=TRUE&amp;DOC_NAME=FAT:FQL_AUDITING_CLIENT_TEMPLATE.FAT&amp;display_string=Audit&amp;VAR:KEY=YZSPKXCVMZ&amp;VAR:QUERY=KFBfUFJJQ0UoNDAwMjQpLShGRl9DQVNIX1NUKFFUUiw0MDAyNCkvUF9DT01fU0hTX09VVCg0MDAyNCkpKS9GR","V9FU1RJTUFURSgnRVBTJywnTUVBTicsJ0FOTlVBTF9ST0xMJywnKzEnLDQwMDI0LCwsJycp&amp;WINDOW=FIRST_POPUP&amp;HEIGHT=450&amp;WIDTH=450&amp;START_MAXIMIZED=FALSE&amp;VAR:CALENDAR=US&amp;VAR:SYMBOL=38259P50&amp;VAR:INDEX=0"}</definedName>
    <definedName name="_3153__FDSAUDITLINK__">{"fdsup://directions/FAT Viewer?action=UPDATE&amp;creator=factset&amp;DYN_ARGS=TRUE&amp;DOC_NAME=FAT:FQL_AUDITING_CLIENT_TEMPLATE.FAT&amp;display_string=Audit&amp;VAR:KEY=KXUDOTWRCV&amp;VAR:QUERY=KFBfUFJJQ0UoNDAwMjMpLShGRl9DQVNIX1NUKFFUUiw0MDAyMykvUF9DT01fU0hTX09VVCg0MDAyMykpKS9GR","V9FU1RJTUFURSgnRVBTJywnTUVBTicsJ0FOTlVBTF9ST0xMJywnKzEnLDQwMDIzLCwsJycp&amp;WINDOW=FIRST_POPUP&amp;HEIGHT=450&amp;WIDTH=450&amp;START_MAXIMIZED=FALSE&amp;VAR:CALENDAR=US&amp;VAR:SYMBOL=38259P50&amp;VAR:INDEX=0"}</definedName>
    <definedName name="_3154__FDSAUDITLINK__">{"fdsup://directions/FAT Viewer?action=UPDATE&amp;creator=factset&amp;DYN_ARGS=TRUE&amp;DOC_NAME=FAT:FQL_AUDITING_CLIENT_TEMPLATE.FAT&amp;display_string=Audit&amp;VAR:KEY=KXUDOTWRCV&amp;VAR:QUERY=KFBfUFJJQ0UoNDAwMjMpLShGRl9DQVNIX1NUKFFUUiw0MDAyMykvUF9DT01fU0hTX09VVCg0MDAyMykpKS9GR","V9FU1RJTUFURSgnRVBTJywnTUVBTicsJ0FOTlVBTF9ST0xMJywnKzEnLDQwMDIzLCwsJycp&amp;WINDOW=FIRST_POPUP&amp;HEIGHT=450&amp;WIDTH=450&amp;START_MAXIMIZED=FALSE&amp;VAR:CALENDAR=US&amp;VAR:SYMBOL=38259P50&amp;VAR:INDEX=0"}</definedName>
    <definedName name="_3155__FDSAUDITLINK__">{"fdsup://directions/FAT Viewer?action=UPDATE&amp;creator=factset&amp;DYN_ARGS=TRUE&amp;DOC_NAME=FAT:FQL_AUDITING_CLIENT_TEMPLATE.FAT&amp;display_string=Audit&amp;VAR:KEY=WLMXCDWZMJ&amp;VAR:QUERY=KFBfUFJJQ0UoNDAwMjIpLShGRl9DQVNIX1NUKFFUUiw0MDAyMikvUF9DT01fU0hTX09VVCg0MDAyMikpKS9GR","V9FU1RJTUFURSgnRVBTJywnTUVBTicsJ0FOTlVBTF9ST0xMJywnKzEnLDQwMDIyLCwsJycp&amp;WINDOW=FIRST_POPUP&amp;HEIGHT=450&amp;WIDTH=450&amp;START_MAXIMIZED=FALSE&amp;VAR:CALENDAR=US&amp;VAR:SYMBOL=38259P50&amp;VAR:INDEX=0"}</definedName>
    <definedName name="_3156__FDSAUDITLINK__">{"fdsup://directions/FAT Viewer?action=UPDATE&amp;creator=factset&amp;DYN_ARGS=TRUE&amp;DOC_NAME=FAT:FQL_AUDITING_CLIENT_TEMPLATE.FAT&amp;display_string=Audit&amp;VAR:KEY=WLMXCDWZMJ&amp;VAR:QUERY=KFBfUFJJQ0UoNDAwMjIpLShGRl9DQVNIX1NUKFFUUiw0MDAyMikvUF9DT01fU0hTX09VVCg0MDAyMikpKS9GR","V9FU1RJTUFURSgnRVBTJywnTUVBTicsJ0FOTlVBTF9ST0xMJywnKzEnLDQwMDIyLCwsJycp&amp;WINDOW=FIRST_POPUP&amp;HEIGHT=450&amp;WIDTH=450&amp;START_MAXIMIZED=FALSE&amp;VAR:CALENDAR=US&amp;VAR:SYMBOL=38259P50&amp;VAR:INDEX=0"}</definedName>
    <definedName name="_3157__FDSAUDITLINK__">{"fdsup://directions/FAT Viewer?action=UPDATE&amp;creator=factset&amp;DYN_ARGS=TRUE&amp;DOC_NAME=FAT:FQL_AUDITING_CLIENT_TEMPLATE.FAT&amp;display_string=Audit&amp;VAR:KEY=KBIRKPEPUZ&amp;VAR:QUERY=KFBfUFJJQ0UoNDAwMjEpLShGRl9DQVNIX1NUKFFUUiw0MDAyMSkvUF9DT01fU0hTX09VVCg0MDAyMSkpKS9GR","V9FU1RJTUFURSgnRVBTJywnTUVBTicsJ0FOTlVBTF9ST0xMJywnKzEnLDQwMDIxLCwsJycp&amp;WINDOW=FIRST_POPUP&amp;HEIGHT=450&amp;WIDTH=450&amp;START_MAXIMIZED=FALSE&amp;VAR:CALENDAR=US&amp;VAR:SYMBOL=38259P50&amp;VAR:INDEX=0"}</definedName>
    <definedName name="_3158__FDSAUDITLINK__">{"fdsup://directions/FAT Viewer?action=UPDATE&amp;creator=factset&amp;DYN_ARGS=TRUE&amp;DOC_NAME=FAT:FQL_AUDITING_CLIENT_TEMPLATE.FAT&amp;display_string=Audit&amp;VAR:KEY=KBIRKPEPUZ&amp;VAR:QUERY=KFBfUFJJQ0UoNDAwMjEpLShGRl9DQVNIX1NUKFFUUiw0MDAyMSkvUF9DT01fU0hTX09VVCg0MDAyMSkpKS9GR","V9FU1RJTUFURSgnRVBTJywnTUVBTicsJ0FOTlVBTF9ST0xMJywnKzEnLDQwMDIxLCwsJycp&amp;WINDOW=FIRST_POPUP&amp;HEIGHT=450&amp;WIDTH=450&amp;START_MAXIMIZED=FALSE&amp;VAR:CALENDAR=US&amp;VAR:SYMBOL=38259P50&amp;VAR:INDEX=0"}</definedName>
    <definedName name="_3159__FDSAUDITLINK__">{"fdsup://directions/FAT Viewer?action=UPDATE&amp;creator=factset&amp;DYN_ARGS=TRUE&amp;DOC_NAME=FAT:FQL_AUDITING_CLIENT_TEMPLATE.FAT&amp;display_string=Audit&amp;VAR:KEY=GNKLORETEB&amp;VAR:QUERY=KFBfUFJJQ0UoNDAwMjApLShGRl9DQVNIX1NUKFFUUiw0MDAyMCkvUF9DT01fU0hTX09VVCg0MDAyMCkpKS9GR","V9FU1RJTUFURSgnRVBTJywnTUVBTicsJ0FOTlVBTF9ST0xMJywnKzEnLDQwMDIwLCwsJycp&amp;WINDOW=FIRST_POPUP&amp;HEIGHT=450&amp;WIDTH=450&amp;START_MAXIMIZED=FALSE&amp;VAR:CALENDAR=US&amp;VAR:SYMBOL=38259P50&amp;VAR:INDEX=0"}</definedName>
    <definedName name="_31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213"}</definedName>
    <definedName name="_3160__FDSAUDITLINK__">{"fdsup://directions/FAT Viewer?action=UPDATE&amp;creator=factset&amp;DYN_ARGS=TRUE&amp;DOC_NAME=FAT:FQL_AUDITING_CLIENT_TEMPLATE.FAT&amp;display_string=Audit&amp;VAR:KEY=GNKLORETEB&amp;VAR:QUERY=KFBfUFJJQ0UoNDAwMjApLShGRl9DQVNIX1NUKFFUUiw0MDAyMCkvUF9DT01fU0hTX09VVCg0MDAyMCkpKS9GR","V9FU1RJTUFURSgnRVBTJywnTUVBTicsJ0FOTlVBTF9ST0xMJywnKzEnLDQwMDIwLCwsJycp&amp;WINDOW=FIRST_POPUP&amp;HEIGHT=450&amp;WIDTH=450&amp;START_MAXIMIZED=FALSE&amp;VAR:CALENDAR=US&amp;VAR:SYMBOL=38259P50&amp;VAR:INDEX=0"}</definedName>
    <definedName name="_3161__FDSAUDITLINK__">{"fdsup://directions/FAT Viewer?action=UPDATE&amp;creator=factset&amp;DYN_ARGS=TRUE&amp;DOC_NAME=FAT:FQL_AUDITING_CLIENT_TEMPLATE.FAT&amp;display_string=Audit&amp;VAR:KEY=AHKXEFALMX&amp;VAR:QUERY=KFBfUFJJQ0UoNDAwMTkpLShGRl9DQVNIX1NUKFFUUiw0MDAxOSkvUF9DT01fU0hTX09VVCg0MDAxOSkpKS9GR","V9FU1RJTUFURSgnRVBTJywnTUVBTicsJ0FOTlVBTF9ST0xMJywnKzEnLDQwMDE5LCwsJycp&amp;WINDOW=FIRST_POPUP&amp;HEIGHT=450&amp;WIDTH=450&amp;START_MAXIMIZED=FALSE&amp;VAR:CALENDAR=US&amp;VAR:SYMBOL=38259P50&amp;VAR:INDEX=0"}</definedName>
    <definedName name="_3162__FDSAUDITLINK__">{"fdsup://directions/FAT Viewer?action=UPDATE&amp;creator=factset&amp;DYN_ARGS=TRUE&amp;DOC_NAME=FAT:FQL_AUDITING_CLIENT_TEMPLATE.FAT&amp;display_string=Audit&amp;VAR:KEY=AHKXEFALMX&amp;VAR:QUERY=KFBfUFJJQ0UoNDAwMTkpLShGRl9DQVNIX1NUKFFUUiw0MDAxOSkvUF9DT01fU0hTX09VVCg0MDAxOSkpKS9GR","V9FU1RJTUFURSgnRVBTJywnTUVBTicsJ0FOTlVBTF9ST0xMJywnKzEnLDQwMDE5LCwsJycp&amp;WINDOW=FIRST_POPUP&amp;HEIGHT=450&amp;WIDTH=450&amp;START_MAXIMIZED=FALSE&amp;VAR:CALENDAR=US&amp;VAR:SYMBOL=38259P50&amp;VAR:INDEX=0"}</definedName>
    <definedName name="_3163__FDSAUDITLINK__">{"fdsup://directions/FAT Viewer?action=UPDATE&amp;creator=factset&amp;DYN_ARGS=TRUE&amp;DOC_NAME=FAT:FQL_AUDITING_CLIENT_TEMPLATE.FAT&amp;display_string=Audit&amp;VAR:KEY=AJCZCXAFKN&amp;VAR:QUERY=KFBfUFJJQ0UoNDAwMTgpLShGRl9DQVNIX1NUKFFUUiw0MDAxOCkvUF9DT01fU0hTX09VVCg0MDAxOCkpKS9GR","V9FU1RJTUFURSgnRVBTJywnTUVBTicsJ0FOTlVBTF9ST0xMJywnKzEnLDQwMDE4LCwsJycp&amp;WINDOW=FIRST_POPUP&amp;HEIGHT=450&amp;WIDTH=450&amp;START_MAXIMIZED=FALSE&amp;VAR:CALENDAR=US&amp;VAR:SYMBOL=38259P50&amp;VAR:INDEX=0"}</definedName>
    <definedName name="_3164__FDSAUDITLINK__">{"fdsup://directions/FAT Viewer?action=UPDATE&amp;creator=factset&amp;DYN_ARGS=TRUE&amp;DOC_NAME=FAT:FQL_AUDITING_CLIENT_TEMPLATE.FAT&amp;display_string=Audit&amp;VAR:KEY=AJCZCXAFKN&amp;VAR:QUERY=KFBfUFJJQ0UoNDAwMTgpLShGRl9DQVNIX1NUKFFUUiw0MDAxOCkvUF9DT01fU0hTX09VVCg0MDAxOCkpKS9GR","V9FU1RJTUFURSgnRVBTJywnTUVBTicsJ0FOTlVBTF9ST0xMJywnKzEnLDQwMDE4LCwsJycp&amp;WINDOW=FIRST_POPUP&amp;HEIGHT=450&amp;WIDTH=450&amp;START_MAXIMIZED=FALSE&amp;VAR:CALENDAR=US&amp;VAR:SYMBOL=38259P50&amp;VAR:INDEX=0"}</definedName>
    <definedName name="_3165__FDSAUDITLINK__">{"fdsup://directions/FAT Viewer?action=UPDATE&amp;creator=factset&amp;DYN_ARGS=TRUE&amp;DOC_NAME=FAT:FQL_AUDITING_CLIENT_TEMPLATE.FAT&amp;display_string=Audit&amp;VAR:KEY=ILAPQRSPWJ&amp;VAR:QUERY=KFBfUFJJQ0UoNDAwMTcpLShGRl9DQVNIX1NUKFFUUiw0MDAxNykvUF9DT01fU0hTX09VVCg0MDAxNykpKS9GR","V9FU1RJTUFURSgnRVBTJywnTUVBTicsJ0FOTlVBTF9ST0xMJywnKzEnLDQwMDE3LCwsJycp&amp;WINDOW=FIRST_POPUP&amp;HEIGHT=450&amp;WIDTH=450&amp;START_MAXIMIZED=FALSE&amp;VAR:CALENDAR=US&amp;VAR:SYMBOL=38259P50&amp;VAR:INDEX=0"}</definedName>
    <definedName name="_3166__FDSAUDITLINK__">{"fdsup://directions/FAT Viewer?action=UPDATE&amp;creator=factset&amp;DYN_ARGS=TRUE&amp;DOC_NAME=FAT:FQL_AUDITING_CLIENT_TEMPLATE.FAT&amp;display_string=Audit&amp;VAR:KEY=ILAPQRSPWJ&amp;VAR:QUERY=KFBfUFJJQ0UoNDAwMTcpLShGRl9DQVNIX1NUKFFUUiw0MDAxNykvUF9DT01fU0hTX09VVCg0MDAxNykpKS9GR","V9FU1RJTUFURSgnRVBTJywnTUVBTicsJ0FOTlVBTF9ST0xMJywnKzEnLDQwMDE3LCwsJycp&amp;WINDOW=FIRST_POPUP&amp;HEIGHT=450&amp;WIDTH=450&amp;START_MAXIMIZED=FALSE&amp;VAR:CALENDAR=US&amp;VAR:SYMBOL=38259P50&amp;VAR:INDEX=0"}</definedName>
    <definedName name="_3167__FDSAUDITLINK__">{"fdsup://directions/FAT Viewer?action=UPDATE&amp;creator=factset&amp;DYN_ARGS=TRUE&amp;DOC_NAME=FAT:FQL_AUDITING_CLIENT_TEMPLATE.FAT&amp;display_string=Audit&amp;VAR:KEY=GDWDGRKTOP&amp;VAR:QUERY=KFBfUFJJQ0UoNDAwMTYpLShGRl9DQVNIX1NUKFFUUiw0MDAxNikvUF9DT01fU0hTX09VVCg0MDAxNikpKS9GR","V9FU1RJTUFURSgnRVBTJywnTUVBTicsJ0FOTlVBTF9ST0xMJywnKzEnLDQwMDE2LCwsJycp&amp;WINDOW=FIRST_POPUP&amp;HEIGHT=450&amp;WIDTH=450&amp;START_MAXIMIZED=FALSE&amp;VAR:CALENDAR=US&amp;VAR:SYMBOL=38259P50&amp;VAR:INDEX=0"}</definedName>
    <definedName name="_3168__FDSAUDITLINK__">{"fdsup://directions/FAT Viewer?action=UPDATE&amp;creator=factset&amp;DYN_ARGS=TRUE&amp;DOC_NAME=FAT:FQL_AUDITING_CLIENT_TEMPLATE.FAT&amp;display_string=Audit&amp;VAR:KEY=GDWDGRKTOP&amp;VAR:QUERY=KFBfUFJJQ0UoNDAwMTYpLShGRl9DQVNIX1NUKFFUUiw0MDAxNikvUF9DT01fU0hTX09VVCg0MDAxNikpKS9GR","V9FU1RJTUFURSgnRVBTJywnTUVBTicsJ0FOTlVBTF9ST0xMJywnKzEnLDQwMDE2LCwsJycp&amp;WINDOW=FIRST_POPUP&amp;HEIGHT=450&amp;WIDTH=450&amp;START_MAXIMIZED=FALSE&amp;VAR:CALENDAR=US&amp;VAR:SYMBOL=38259P50&amp;VAR:INDEX=0"}</definedName>
    <definedName name="_3169__FDSAUDITLINK__">{"fdsup://directions/FAT Viewer?action=UPDATE&amp;creator=factset&amp;DYN_ARGS=TRUE&amp;DOC_NAME=FAT:FQL_AUDITING_CLIENT_TEMPLATE.FAT&amp;display_string=Audit&amp;VAR:KEY=UTOVKLKXIN&amp;VAR:QUERY=KFBfUFJJQ0UoNDAwMTUpLShGRl9DQVNIX1NUKFFUUiw0MDAxNSkvUF9DT01fU0hTX09VVCg0MDAxNSkpKS9GR","V9FU1RJTUFURSgnRVBTJywnTUVBTicsJ0FOTlVBTF9ST0xMJywnKzEnLDQwMDE1LCwsJycp&amp;WINDOW=FIRST_POPUP&amp;HEIGHT=450&amp;WIDTH=450&amp;START_MAXIMIZED=FALSE&amp;VAR:CALENDAR=US&amp;VAR:SYMBOL=38259P50&amp;VAR:INDEX=0"}</definedName>
    <definedName name="_31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212"}</definedName>
    <definedName name="_3170__FDSAUDITLINK__">{"fdsup://directions/FAT Viewer?action=UPDATE&amp;creator=factset&amp;DYN_ARGS=TRUE&amp;DOC_NAME=FAT:FQL_AUDITING_CLIENT_TEMPLATE.FAT&amp;display_string=Audit&amp;VAR:KEY=UTOVKLKXIN&amp;VAR:QUERY=KFBfUFJJQ0UoNDAwMTUpLShGRl9DQVNIX1NUKFFUUiw0MDAxNSkvUF9DT01fU0hTX09VVCg0MDAxNSkpKS9GR","V9FU1RJTUFURSgnRVBTJywnTUVBTicsJ0FOTlVBTF9ST0xMJywnKzEnLDQwMDE1LCwsJycp&amp;WINDOW=FIRST_POPUP&amp;HEIGHT=450&amp;WIDTH=450&amp;START_MAXIMIZED=FALSE&amp;VAR:CALENDAR=US&amp;VAR:SYMBOL=38259P50&amp;VAR:INDEX=0"}</definedName>
    <definedName name="_3171__FDSAUDITLINK__">{"fdsup://directions/FAT Viewer?action=UPDATE&amp;creator=factset&amp;DYN_ARGS=TRUE&amp;DOC_NAME=FAT:FQL_AUDITING_CLIENT_TEMPLATE.FAT&amp;display_string=Audit&amp;VAR:KEY=KZIDOFITUD&amp;VAR:QUERY=KFBfUFJJQ0UoNDAwMTQpLShGRl9DQVNIX1NUKFFUUiw0MDAxNCkvUF9DT01fU0hTX09VVCg0MDAxNCkpKS9GR","V9FU1RJTUFURSgnRVBTJywnTUVBTicsJ0FOTlVBTF9ST0xMJywnKzEnLDQwMDE0LCwsJycp&amp;WINDOW=FIRST_POPUP&amp;HEIGHT=450&amp;WIDTH=450&amp;START_MAXIMIZED=FALSE&amp;VAR:CALENDAR=US&amp;VAR:SYMBOL=38259P50&amp;VAR:INDEX=0"}</definedName>
    <definedName name="_3172__FDSAUDITLINK__">{"fdsup://directions/FAT Viewer?action=UPDATE&amp;creator=factset&amp;DYN_ARGS=TRUE&amp;DOC_NAME=FAT:FQL_AUDITING_CLIENT_TEMPLATE.FAT&amp;display_string=Audit&amp;VAR:KEY=KZIDOFITUD&amp;VAR:QUERY=KFBfUFJJQ0UoNDAwMTQpLShGRl9DQVNIX1NUKFFUUiw0MDAxNCkvUF9DT01fU0hTX09VVCg0MDAxNCkpKS9GR","V9FU1RJTUFURSgnRVBTJywnTUVBTicsJ0FOTlVBTF9ST0xMJywnKzEnLDQwMDE0LCwsJycp&amp;WINDOW=FIRST_POPUP&amp;HEIGHT=450&amp;WIDTH=450&amp;START_MAXIMIZED=FALSE&amp;VAR:CALENDAR=US&amp;VAR:SYMBOL=38259P50&amp;VAR:INDEX=0"}</definedName>
    <definedName name="_3173__FDSAUDITLINK__">{"fdsup://directions/FAT Viewer?action=UPDATE&amp;creator=factset&amp;DYN_ARGS=TRUE&amp;DOC_NAME=FAT:FQL_AUDITING_CLIENT_TEMPLATE.FAT&amp;display_string=Audit&amp;VAR:KEY=MVMDUNYHCJ&amp;VAR:QUERY=KFBfUFJJQ0UoNDAwMTMpLShGRl9DQVNIX1NUKFFUUiw0MDAxMykvUF9DT01fU0hTX09VVCg0MDAxMykpKS9GR","V9FU1RJTUFURSgnRVBTJywnTUVBTicsJ0FOTlVBTF9ST0xMJywnKzEnLDQwMDEzLCwsJycp&amp;WINDOW=FIRST_POPUP&amp;HEIGHT=450&amp;WIDTH=450&amp;START_MAXIMIZED=FALSE&amp;VAR:CALENDAR=US&amp;VAR:SYMBOL=38259P50&amp;VAR:INDEX=0"}</definedName>
    <definedName name="_3174__FDSAUDITLINK__">{"fdsup://directions/FAT Viewer?action=UPDATE&amp;creator=factset&amp;DYN_ARGS=TRUE&amp;DOC_NAME=FAT:FQL_AUDITING_CLIENT_TEMPLATE.FAT&amp;display_string=Audit&amp;VAR:KEY=MVMDUNYHCJ&amp;VAR:QUERY=KFBfUFJJQ0UoNDAwMTMpLShGRl9DQVNIX1NUKFFUUiw0MDAxMykvUF9DT01fU0hTX09VVCg0MDAxMykpKS9GR","V9FU1RJTUFURSgnRVBTJywnTUVBTicsJ0FOTlVBTF9ST0xMJywnKzEnLDQwMDEzLCwsJycp&amp;WINDOW=FIRST_POPUP&amp;HEIGHT=450&amp;WIDTH=450&amp;START_MAXIMIZED=FALSE&amp;VAR:CALENDAR=US&amp;VAR:SYMBOL=38259P50&amp;VAR:INDEX=0"}</definedName>
    <definedName name="_3175__FDSAUDITLINK__">{"fdsup://directions/FAT Viewer?action=UPDATE&amp;creator=factset&amp;DYN_ARGS=TRUE&amp;DOC_NAME=FAT:FQL_AUDITING_CLIENT_TEMPLATE.FAT&amp;display_string=Audit&amp;VAR:KEY=OVMHETOHOF&amp;VAR:QUERY=KFBfUFJJQ0UoNDAwMTIpLShGRl9DQVNIX1NUKFFUUiw0MDAxMikvUF9DT01fU0hTX09VVCg0MDAxMikpKS9GR","V9FU1RJTUFURSgnRVBTJywnTUVBTicsJ0FOTlVBTF9ST0xMJywnKzEnLDQwMDEyLCwsJycp&amp;WINDOW=FIRST_POPUP&amp;HEIGHT=450&amp;WIDTH=450&amp;START_MAXIMIZED=FALSE&amp;VAR:CALENDAR=US&amp;VAR:SYMBOL=38259P50&amp;VAR:INDEX=0"}</definedName>
    <definedName name="_3176__FDSAUDITLINK__">{"fdsup://directions/FAT Viewer?action=UPDATE&amp;creator=factset&amp;DYN_ARGS=TRUE&amp;DOC_NAME=FAT:FQL_AUDITING_CLIENT_TEMPLATE.FAT&amp;display_string=Audit&amp;VAR:KEY=OVMHETOHOF&amp;VAR:QUERY=KFBfUFJJQ0UoNDAwMTIpLShGRl9DQVNIX1NUKFFUUiw0MDAxMikvUF9DT01fU0hTX09VVCg0MDAxMikpKS9GR","V9FU1RJTUFURSgnRVBTJywnTUVBTicsJ0FOTlVBTF9ST0xMJywnKzEnLDQwMDEyLCwsJycp&amp;WINDOW=FIRST_POPUP&amp;HEIGHT=450&amp;WIDTH=450&amp;START_MAXIMIZED=FALSE&amp;VAR:CALENDAR=US&amp;VAR:SYMBOL=38259P50&amp;VAR:INDEX=0"}</definedName>
    <definedName name="_3177__FDSAUDITLINK__">{"fdsup://directions/FAT Viewer?action=UPDATE&amp;creator=factset&amp;DYN_ARGS=TRUE&amp;DOC_NAME=FAT:FQL_AUDITING_CLIENT_TEMPLATE.FAT&amp;display_string=Audit&amp;VAR:KEY=ONATEDOFWP&amp;VAR:QUERY=KFBfUFJJQ0UoNDAwMTEpLShGRl9DQVNIX1NUKFFUUiw0MDAxMSkvUF9DT01fU0hTX09VVCg0MDAxMSkpKS9GR","V9FU1RJTUFURSgnRVBTJywnTUVBTicsJ0FOTlVBTF9ST0xMJywnKzEnLDQwMDExLCwsJycp&amp;WINDOW=FIRST_POPUP&amp;HEIGHT=450&amp;WIDTH=450&amp;START_MAXIMIZED=FALSE&amp;VAR:CALENDAR=US&amp;VAR:SYMBOL=38259P50&amp;VAR:INDEX=0"}</definedName>
    <definedName name="_3178__FDSAUDITLINK__">{"fdsup://directions/FAT Viewer?action=UPDATE&amp;creator=factset&amp;DYN_ARGS=TRUE&amp;DOC_NAME=FAT:FQL_AUDITING_CLIENT_TEMPLATE.FAT&amp;display_string=Audit&amp;VAR:KEY=ONATEDOFWP&amp;VAR:QUERY=KFBfUFJJQ0UoNDAwMTEpLShGRl9DQVNIX1NUKFFUUiw0MDAxMSkvUF9DT01fU0hTX09VVCg0MDAxMSkpKS9GR","V9FU1RJTUFURSgnRVBTJywnTUVBTicsJ0FOTlVBTF9ST0xMJywnKzEnLDQwMDExLCwsJycp&amp;WINDOW=FIRST_POPUP&amp;HEIGHT=450&amp;WIDTH=450&amp;START_MAXIMIZED=FALSE&amp;VAR:CALENDAR=US&amp;VAR:SYMBOL=38259P50&amp;VAR:INDEX=0"}</definedName>
    <definedName name="_3179__FDSAUDITLINK__">{"fdsup://directions/FAT Viewer?action=UPDATE&amp;creator=factset&amp;DYN_ARGS=TRUE&amp;DOC_NAME=FAT:FQL_AUDITING_CLIENT_TEMPLATE.FAT&amp;display_string=Audit&amp;VAR:KEY=IBKPSHADKR&amp;VAR:QUERY=KFBfUFJJQ0UoNDAwMTApLShGRl9DQVNIX1NUKFFUUiw0MDAxMCkvUF9DT01fU0hTX09VVCg0MDAxMCkpKS9GR","V9FU1RJTUFURSgnRVBTJywnTUVBTicsJ0FOTlVBTF9ST0xMJywnKzEnLDQwMDEwLCwsJycp&amp;WINDOW=FIRST_POPUP&amp;HEIGHT=450&amp;WIDTH=450&amp;START_MAXIMIZED=FALSE&amp;VAR:CALENDAR=US&amp;VAR:SYMBOL=38259P50&amp;VAR:INDEX=0"}</definedName>
    <definedName name="_31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211"}</definedName>
    <definedName name="_3180__FDSAUDITLINK__">{"fdsup://directions/FAT Viewer?action=UPDATE&amp;creator=factset&amp;DYN_ARGS=TRUE&amp;DOC_NAME=FAT:FQL_AUDITING_CLIENT_TEMPLATE.FAT&amp;display_string=Audit&amp;VAR:KEY=IBKPSHADKR&amp;VAR:QUERY=KFBfUFJJQ0UoNDAwMTApLShGRl9DQVNIX1NUKFFUUiw0MDAxMCkvUF9DT01fU0hTX09VVCg0MDAxMCkpKS9GR","V9FU1RJTUFURSgnRVBTJywnTUVBTicsJ0FOTlVBTF9ST0xMJywnKzEnLDQwMDEwLCwsJycp&amp;WINDOW=FIRST_POPUP&amp;HEIGHT=450&amp;WIDTH=450&amp;START_MAXIMIZED=FALSE&amp;VAR:CALENDAR=US&amp;VAR:SYMBOL=38259P50&amp;VAR:INDEX=0"}</definedName>
    <definedName name="_3181__FDSAUDITLINK__">{"fdsup://directions/FAT Viewer?action=UPDATE&amp;creator=factset&amp;DYN_ARGS=TRUE&amp;DOC_NAME=FAT:FQL_AUDITING_CLIENT_TEMPLATE.FAT&amp;display_string=Audit&amp;VAR:KEY=AZMRQFITMN&amp;VAR:QUERY=KFBfUFJJQ0UoNDAwMDkpLShGRl9DQVNIX1NUKFFUUiw0MDAwOSkvUF9DT01fU0hTX09VVCg0MDAwOSkpKS9GR","V9FU1RJTUFURSgnRVBTJywnTUVBTicsJ0FOTlVBTF9ST0xMJywnKzEnLDQwMDA5LCwsJycp&amp;WINDOW=FIRST_POPUP&amp;HEIGHT=450&amp;WIDTH=450&amp;START_MAXIMIZED=FALSE&amp;VAR:CALENDAR=US&amp;VAR:SYMBOL=38259P50&amp;VAR:INDEX=0"}</definedName>
    <definedName name="_3182__FDSAUDITLINK__">{"fdsup://directions/FAT Viewer?action=UPDATE&amp;creator=factset&amp;DYN_ARGS=TRUE&amp;DOC_NAME=FAT:FQL_AUDITING_CLIENT_TEMPLATE.FAT&amp;display_string=Audit&amp;VAR:KEY=AZMRQFITMN&amp;VAR:QUERY=KFBfUFJJQ0UoNDAwMDkpLShGRl9DQVNIX1NUKFFUUiw0MDAwOSkvUF9DT01fU0hTX09VVCg0MDAwOSkpKS9GR","V9FU1RJTUFURSgnRVBTJywnTUVBTicsJ0FOTlVBTF9ST0xMJywnKzEnLDQwMDA5LCwsJycp&amp;WINDOW=FIRST_POPUP&amp;HEIGHT=450&amp;WIDTH=450&amp;START_MAXIMIZED=FALSE&amp;VAR:CALENDAR=US&amp;VAR:SYMBOL=38259P50&amp;VAR:INDEX=0"}</definedName>
    <definedName name="_3183__FDSAUDITLINK__">{"fdsup://directions/FAT Viewer?action=UPDATE&amp;creator=factset&amp;DYN_ARGS=TRUE&amp;DOC_NAME=FAT:FQL_AUDITING_CLIENT_TEMPLATE.FAT&amp;display_string=Audit&amp;VAR:KEY=IZWXQXMPEZ&amp;VAR:QUERY=KFBfUFJJQ0UoNDAwMDgpLShGRl9DQVNIX1NUKFFUUiw0MDAwOCkvUF9DT01fU0hTX09VVCg0MDAwOCkpKS9GR","V9FU1RJTUFURSgnRVBTJywnTUVBTicsJ0FOTlVBTF9ST0xMJywnKzEnLDQwMDA4LCwsJycp&amp;WINDOW=FIRST_POPUP&amp;HEIGHT=450&amp;WIDTH=450&amp;START_MAXIMIZED=FALSE&amp;VAR:CALENDAR=US&amp;VAR:SYMBOL=38259P50&amp;VAR:INDEX=0"}</definedName>
    <definedName name="_3184__FDSAUDITLINK__">{"fdsup://directions/FAT Viewer?action=UPDATE&amp;creator=factset&amp;DYN_ARGS=TRUE&amp;DOC_NAME=FAT:FQL_AUDITING_CLIENT_TEMPLATE.FAT&amp;display_string=Audit&amp;VAR:KEY=IZWXQXMPEZ&amp;VAR:QUERY=KFBfUFJJQ0UoNDAwMDgpLShGRl9DQVNIX1NUKFFUUiw0MDAwOCkvUF9DT01fU0hTX09VVCg0MDAwOCkpKS9GR","V9FU1RJTUFURSgnRVBTJywnTUVBTicsJ0FOTlVBTF9ST0xMJywnKzEnLDQwMDA4LCwsJycp&amp;WINDOW=FIRST_POPUP&amp;HEIGHT=450&amp;WIDTH=450&amp;START_MAXIMIZED=FALSE&amp;VAR:CALENDAR=US&amp;VAR:SYMBOL=38259P50&amp;VAR:INDEX=0"}</definedName>
    <definedName name="_3185__FDSAUDITLINK__">{"fdsup://directions/FAT Viewer?action=UPDATE&amp;creator=factset&amp;DYN_ARGS=TRUE&amp;DOC_NAME=FAT:FQL_AUDITING_CLIENT_TEMPLATE.FAT&amp;display_string=Audit&amp;VAR:KEY=GPGNGVAVKJ&amp;VAR:QUERY=KFBfUFJJQ0UoNDAwMDcpLShGRl9DQVNIX1NUKFFUUiw0MDAwNykvUF9DT01fU0hTX09VVCg0MDAwNykpKS9GR","V9FU1RJTUFURSgnRVBTJywnTUVBTicsJ0FOTlVBTF9ST0xMJywnKzEnLDQwMDA3LCwsJycp&amp;WINDOW=FIRST_POPUP&amp;HEIGHT=450&amp;WIDTH=450&amp;START_MAXIMIZED=FALSE&amp;VAR:CALENDAR=US&amp;VAR:SYMBOL=38259P50&amp;VAR:INDEX=0"}</definedName>
    <definedName name="_3186__FDSAUDITLINK__">{"fdsup://directions/FAT Viewer?action=UPDATE&amp;creator=factset&amp;DYN_ARGS=TRUE&amp;DOC_NAME=FAT:FQL_AUDITING_CLIENT_TEMPLATE.FAT&amp;display_string=Audit&amp;VAR:KEY=GPGNGVAVKJ&amp;VAR:QUERY=KFBfUFJJQ0UoNDAwMDcpLShGRl9DQVNIX1NUKFFUUiw0MDAwNykvUF9DT01fU0hTX09VVCg0MDAwNykpKS9GR","V9FU1RJTUFURSgnRVBTJywnTUVBTicsJ0FOTlVBTF9ST0xMJywnKzEnLDQwMDA3LCwsJycp&amp;WINDOW=FIRST_POPUP&amp;HEIGHT=450&amp;WIDTH=450&amp;START_MAXIMIZED=FALSE&amp;VAR:CALENDAR=US&amp;VAR:SYMBOL=38259P50&amp;VAR:INDEX=0"}</definedName>
    <definedName name="_3187__FDSAUDITLINK__">{"fdsup://directions/FAT Viewer?action=UPDATE&amp;creator=factset&amp;DYN_ARGS=TRUE&amp;DOC_NAME=FAT:FQL_AUDITING_CLIENT_TEMPLATE.FAT&amp;display_string=Audit&amp;VAR:KEY=AVWFIZUDCN&amp;VAR:QUERY=KFBfUFJJQ0UoNDAwMDYpLShGRl9DQVNIX1NUKFFUUiw0MDAwNikvUF9DT01fU0hTX09VVCg0MDAwNikpKS9GR","V9FU1RJTUFURSgnRVBTJywnTUVBTicsJ0FOTlVBTF9ST0xMJywnKzEnLDQwMDA2LCwsJycp&amp;WINDOW=FIRST_POPUP&amp;HEIGHT=450&amp;WIDTH=450&amp;START_MAXIMIZED=FALSE&amp;VAR:CALENDAR=US&amp;VAR:SYMBOL=38259P50&amp;VAR:INDEX=0"}</definedName>
    <definedName name="_3188__FDSAUDITLINK__">{"fdsup://directions/FAT Viewer?action=UPDATE&amp;creator=factset&amp;DYN_ARGS=TRUE&amp;DOC_NAME=FAT:FQL_AUDITING_CLIENT_TEMPLATE.FAT&amp;display_string=Audit&amp;VAR:KEY=AVWFIZUDCN&amp;VAR:QUERY=KFBfUFJJQ0UoNDAwMDYpLShGRl9DQVNIX1NUKFFUUiw0MDAwNikvUF9DT01fU0hTX09VVCg0MDAwNikpKS9GR","V9FU1RJTUFURSgnRVBTJywnTUVBTicsJ0FOTlVBTF9ST0xMJywnKzEnLDQwMDA2LCwsJycp&amp;WINDOW=FIRST_POPUP&amp;HEIGHT=450&amp;WIDTH=450&amp;START_MAXIMIZED=FALSE&amp;VAR:CALENDAR=US&amp;VAR:SYMBOL=38259P50&amp;VAR:INDEX=0"}</definedName>
    <definedName name="_3189__FDSAUDITLINK__">{"fdsup://directions/FAT Viewer?action=UPDATE&amp;creator=factset&amp;DYN_ARGS=TRUE&amp;DOC_NAME=FAT:FQL_AUDITING_CLIENT_TEMPLATE.FAT&amp;display_string=Audit&amp;VAR:KEY=KLALSLUVEJ&amp;VAR:QUERY=KFBfUFJJQ0UoNDAwMDUpLShGRl9DQVNIX1NUKFFUUiw0MDAwNSkvUF9DT01fU0hTX09VVCg0MDAwNSkpKS9GR","V9FU1RJTUFURSgnRVBTJywnTUVBTicsJ0FOTlVBTF9ST0xMJywnKzEnLDQwMDA1LCwsJycp&amp;WINDOW=FIRST_POPUP&amp;HEIGHT=450&amp;WIDTH=450&amp;START_MAXIMIZED=FALSE&amp;VAR:CALENDAR=US&amp;VAR:SYMBOL=38259P50&amp;VAR:INDEX=0"}</definedName>
    <definedName name="_31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210"}</definedName>
    <definedName name="_3190__FDSAUDITLINK__">{"fdsup://directions/FAT Viewer?action=UPDATE&amp;creator=factset&amp;DYN_ARGS=TRUE&amp;DOC_NAME=FAT:FQL_AUDITING_CLIENT_TEMPLATE.FAT&amp;display_string=Audit&amp;VAR:KEY=KLALSLUVEJ&amp;VAR:QUERY=KFBfUFJJQ0UoNDAwMDUpLShGRl9DQVNIX1NUKFFUUiw0MDAwNSkvUF9DT01fU0hTX09VVCg0MDAwNSkpKS9GR","V9FU1RJTUFURSgnRVBTJywnTUVBTicsJ0FOTlVBTF9ST0xMJywnKzEnLDQwMDA1LCwsJycp&amp;WINDOW=FIRST_POPUP&amp;HEIGHT=450&amp;WIDTH=450&amp;START_MAXIMIZED=FALSE&amp;VAR:CALENDAR=US&amp;VAR:SYMBOL=38259P50&amp;VAR:INDEX=0"}</definedName>
    <definedName name="_3191__FDSAUDITLINK__">{"fdsup://directions/FAT Viewer?action=UPDATE&amp;creator=factset&amp;DYN_ARGS=TRUE&amp;DOC_NAME=FAT:FQL_AUDITING_CLIENT_TEMPLATE.FAT&amp;display_string=Audit&amp;VAR:KEY=WBYPSLSVOX&amp;VAR:QUERY=KFBfUFJJQ0UoNDAwMDQpLShGRl9DQVNIX1NUKFFUUiw0MDAwNCkvUF9DT01fU0hTX09VVCg0MDAwNCkpKS9GR","V9FU1RJTUFURSgnRVBTJywnTUVBTicsJ0FOTlVBTF9ST0xMJywnKzEnLDQwMDA0LCwsJycp&amp;WINDOW=FIRST_POPUP&amp;HEIGHT=450&amp;WIDTH=450&amp;START_MAXIMIZED=FALSE&amp;VAR:CALENDAR=US&amp;VAR:SYMBOL=38259P50&amp;VAR:INDEX=0"}</definedName>
    <definedName name="_3192__FDSAUDITLINK__">{"fdsup://directions/FAT Viewer?action=UPDATE&amp;creator=factset&amp;DYN_ARGS=TRUE&amp;DOC_NAME=FAT:FQL_AUDITING_CLIENT_TEMPLATE.FAT&amp;display_string=Audit&amp;VAR:KEY=WBYPSLSVOX&amp;VAR:QUERY=KFBfUFJJQ0UoNDAwMDQpLShGRl9DQVNIX1NUKFFUUiw0MDAwNCkvUF9DT01fU0hTX09VVCg0MDAwNCkpKS9GR","V9FU1RJTUFURSgnRVBTJywnTUVBTicsJ0FOTlVBTF9ST0xMJywnKzEnLDQwMDA0LCwsJycp&amp;WINDOW=FIRST_POPUP&amp;HEIGHT=450&amp;WIDTH=450&amp;START_MAXIMIZED=FALSE&amp;VAR:CALENDAR=US&amp;VAR:SYMBOL=38259P50&amp;VAR:INDEX=0"}</definedName>
    <definedName name="_3193__FDSAUDITLINK__">{"fdsup://directions/FAT Viewer?action=UPDATE&amp;creator=factset&amp;DYN_ARGS=TRUE&amp;DOC_NAME=FAT:FQL_AUDITING_CLIENT_TEMPLATE.FAT&amp;display_string=Audit&amp;VAR:KEY=QTWJCXMVAD&amp;VAR:QUERY=KFBfUFJJQ0UoNDAwMDMpLShGRl9DQVNIX1NUKFFUUiw0MDAwMykvUF9DT01fU0hTX09VVCg0MDAwMykpKS9GR","V9FU1RJTUFURSgnRVBTJywnTUVBTicsJ0FOTlVBTF9ST0xMJywnKzEnLDQwMDAzLCwsJycp&amp;WINDOW=FIRST_POPUP&amp;HEIGHT=450&amp;WIDTH=450&amp;START_MAXIMIZED=FALSE&amp;VAR:CALENDAR=US&amp;VAR:SYMBOL=38259P50&amp;VAR:INDEX=0"}</definedName>
    <definedName name="_3194__FDSAUDITLINK__">{"fdsup://directions/FAT Viewer?action=UPDATE&amp;creator=factset&amp;DYN_ARGS=TRUE&amp;DOC_NAME=FAT:FQL_AUDITING_CLIENT_TEMPLATE.FAT&amp;display_string=Audit&amp;VAR:KEY=QTWJCXMVAD&amp;VAR:QUERY=KFBfUFJJQ0UoNDAwMDMpLShGRl9DQVNIX1NUKFFUUiw0MDAwMykvUF9DT01fU0hTX09VVCg0MDAwMykpKS9GR","V9FU1RJTUFURSgnRVBTJywnTUVBTicsJ0FOTlVBTF9ST0xMJywnKzEnLDQwMDAzLCwsJycp&amp;WINDOW=FIRST_POPUP&amp;HEIGHT=450&amp;WIDTH=450&amp;START_MAXIMIZED=FALSE&amp;VAR:CALENDAR=US&amp;VAR:SYMBOL=38259P50&amp;VAR:INDEX=0"}</definedName>
    <definedName name="_3195__FDSAUDITLINK__">{"fdsup://directions/FAT Viewer?action=UPDATE&amp;creator=factset&amp;DYN_ARGS=TRUE&amp;DOC_NAME=FAT:FQL_AUDITING_CLIENT_TEMPLATE.FAT&amp;display_string=Audit&amp;VAR:KEY=UFEJYRCHIB&amp;VAR:QUERY=KFBfUFJJQ0UoNDAwMDIpLShGRl9DQVNIX1NUKFFUUiw0MDAwMikvUF9DT01fU0hTX09VVCg0MDAwMikpKS9GR","V9FU1RJTUFURSgnRVBTJywnTUVBTicsJ0FOTlVBTF9ST0xMJywnKzEnLDQwMDAyLCwsJycp&amp;WINDOW=FIRST_POPUP&amp;HEIGHT=450&amp;WIDTH=450&amp;START_MAXIMIZED=FALSE&amp;VAR:CALENDAR=US&amp;VAR:SYMBOL=38259P50&amp;VAR:INDEX=0"}</definedName>
    <definedName name="_3196__FDSAUDITLINK__">{"fdsup://directions/FAT Viewer?action=UPDATE&amp;creator=factset&amp;DYN_ARGS=TRUE&amp;DOC_NAME=FAT:FQL_AUDITING_CLIENT_TEMPLATE.FAT&amp;display_string=Audit&amp;VAR:KEY=UFEJYRCHIB&amp;VAR:QUERY=KFBfUFJJQ0UoNDAwMDIpLShGRl9DQVNIX1NUKFFUUiw0MDAwMikvUF9DT01fU0hTX09VVCg0MDAwMikpKS9GR","V9FU1RJTUFURSgnRVBTJywnTUVBTicsJ0FOTlVBTF9ST0xMJywnKzEnLDQwMDAyLCwsJycp&amp;WINDOW=FIRST_POPUP&amp;HEIGHT=450&amp;WIDTH=450&amp;START_MAXIMIZED=FALSE&amp;VAR:CALENDAR=US&amp;VAR:SYMBOL=38259P50&amp;VAR:INDEX=0"}</definedName>
    <definedName name="_3197__FDSAUDITLINK__">{"fdsup://directions/FAT Viewer?action=UPDATE&amp;creator=factset&amp;DYN_ARGS=TRUE&amp;DOC_NAME=FAT:FQL_AUDITING_CLIENT_TEMPLATE.FAT&amp;display_string=Audit&amp;VAR:KEY=UHGPGBKLAR&amp;VAR:QUERY=KFBfUFJJQ0UoNDAwMDEpLShGRl9DQVNIX1NUKFFUUiw0MDAwMSkvUF9DT01fU0hTX09VVCg0MDAwMSkpKS9GR","V9FU1RJTUFURSgnRVBTJywnTUVBTicsJ0FOTlVBTF9ST0xMJywnKzEnLDQwMDAxLCwsJycp&amp;WINDOW=FIRST_POPUP&amp;HEIGHT=450&amp;WIDTH=450&amp;START_MAXIMIZED=FALSE&amp;VAR:CALENDAR=US&amp;VAR:SYMBOL=38259P50&amp;VAR:INDEX=0"}</definedName>
    <definedName name="_3198__FDSAUDITLINK__">{"fdsup://directions/FAT Viewer?action=UPDATE&amp;creator=factset&amp;DYN_ARGS=TRUE&amp;DOC_NAME=FAT:FQL_AUDITING_CLIENT_TEMPLATE.FAT&amp;display_string=Audit&amp;VAR:KEY=UHGPGBKLAR&amp;VAR:QUERY=KFBfUFJJQ0UoNDAwMDEpLShGRl9DQVNIX1NUKFFUUiw0MDAwMSkvUF9DT01fU0hTX09VVCg0MDAwMSkpKS9GR","V9FU1RJTUFURSgnRVBTJywnTUVBTicsJ0FOTlVBTF9ST0xMJywnKzEnLDQwMDAxLCwsJycp&amp;WINDOW=FIRST_POPUP&amp;HEIGHT=450&amp;WIDTH=450&amp;START_MAXIMIZED=FALSE&amp;VAR:CALENDAR=US&amp;VAR:SYMBOL=38259P50&amp;VAR:INDEX=0"}</definedName>
    <definedName name="_3199__FDSAUDITLINK__">{"fdsup://directions/FAT Viewer?action=UPDATE&amp;creator=factset&amp;DYN_ARGS=TRUE&amp;DOC_NAME=FAT:FQL_AUDITING_CLIENT_TEMPLATE.FAT&amp;display_string=Audit&amp;VAR:KEY=SPEVODMRMJ&amp;VAR:QUERY=KFBfUFJJQ0UoNDAwMDApLShGRl9DQVNIX1NUKFFUUiw0MDAwMCkvUF9DT01fU0hTX09VVCg0MDAwMCkpKS9GR","V9FU1RJTUFURSgnRVBTJywnTUVBTicsJ0FOTlVBTF9ST0xMJywnKzEnLDQwMDAwLCwsJycp&amp;WINDOW=FIRST_POPUP&amp;HEIGHT=450&amp;WIDTH=450&amp;START_MAXIMIZED=FALSE&amp;VAR:CALENDAR=US&amp;VAR:SYMBOL=38259P50&amp;VAR:INDEX=0"}</definedName>
    <definedName name="_3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17.472524&amp;VAR:V0=19.054580&amp;VAR:V1=16.996950&amp;VAR:Y0=2003&amp;VAR:Y1=2004&amp;VAR:P=995.965330&amp;VAR:DATE=20030930&amp;VAR:THRESH=-|-|-","|-|-|-|-"}</definedName>
    <definedName name="_32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209"}</definedName>
    <definedName name="_3200__FDSAUDITLINK__">{"fdsup://directions/FAT Viewer?action=UPDATE&amp;creator=factset&amp;DYN_ARGS=TRUE&amp;DOC_NAME=FAT:FQL_AUDITING_CLIENT_TEMPLATE.FAT&amp;display_string=Audit&amp;VAR:KEY=SPEVODMRMJ&amp;VAR:QUERY=KFBfUFJJQ0UoNDAwMDApLShGRl9DQVNIX1NUKFFUUiw0MDAwMCkvUF9DT01fU0hTX09VVCg0MDAwMCkpKS9GR","V9FU1RJTUFURSgnRVBTJywnTUVBTicsJ0FOTlVBTF9ST0xMJywnKzEnLDQwMDAwLCwsJycp&amp;WINDOW=FIRST_POPUP&amp;HEIGHT=450&amp;WIDTH=450&amp;START_MAXIMIZED=FALSE&amp;VAR:CALENDAR=US&amp;VAR:SYMBOL=38259P50&amp;VAR:INDEX=0"}</definedName>
    <definedName name="_3201__FDSAUDITLINK__">{"fdsup://directions/FAT Viewer?action=UPDATE&amp;creator=factset&amp;DYN_ARGS=TRUE&amp;DOC_NAME=FAT:FQL_AUDITING_CLIENT_TEMPLATE.FAT&amp;display_string=Audit&amp;VAR:KEY=UDSXSTKHMR&amp;VAR:QUERY=KFBfUFJJQ0UoMzk5OTkpLShGRl9DQVNIX1NUKFFUUiwzOTk5OSkvUF9DT01fU0hTX09VVCgzOTk5OSkpKS9GR","V9FU1RJTUFURSgnRVBTJywnTUVBTicsJ0FOTlVBTF9ST0xMJywnKzEnLDM5OTk5LCwsJycp&amp;WINDOW=FIRST_POPUP&amp;HEIGHT=450&amp;WIDTH=450&amp;START_MAXIMIZED=FALSE&amp;VAR:CALENDAR=US&amp;VAR:SYMBOL=38259P50&amp;VAR:INDEX=0"}</definedName>
    <definedName name="_3202__FDSAUDITLINK__">{"fdsup://directions/FAT Viewer?action=UPDATE&amp;creator=factset&amp;DYN_ARGS=TRUE&amp;DOC_NAME=FAT:FQL_AUDITING_CLIENT_TEMPLATE.FAT&amp;display_string=Audit&amp;VAR:KEY=UDSXSTKHMR&amp;VAR:QUERY=KFBfUFJJQ0UoMzk5OTkpLShGRl9DQVNIX1NUKFFUUiwzOTk5OSkvUF9DT01fU0hTX09VVCgzOTk5OSkpKS9GR","V9FU1RJTUFURSgnRVBTJywnTUVBTicsJ0FOTlVBTF9ST0xMJywnKzEnLDM5OTk5LCwsJycp&amp;WINDOW=FIRST_POPUP&amp;HEIGHT=450&amp;WIDTH=450&amp;START_MAXIMIZED=FALSE&amp;VAR:CALENDAR=US&amp;VAR:SYMBOL=38259P50&amp;VAR:INDEX=0"}</definedName>
    <definedName name="_3203__FDSAUDITLINK__">{"fdsup://directions/FAT Viewer?action=UPDATE&amp;creator=factset&amp;DYN_ARGS=TRUE&amp;DOC_NAME=FAT:FQL_AUDITING_CLIENT_TEMPLATE.FAT&amp;display_string=Audit&amp;VAR:KEY=YFSNCHMJEV&amp;VAR:QUERY=KFBfUFJJQ0UoMzk5OTgpLShGRl9DQVNIX1NUKFFUUiwzOTk5OCkvUF9DT01fU0hTX09VVCgzOTk5OCkpKS9GR","V9FU1RJTUFURSgnRVBTJywnTUVBTicsJ0FOTlVBTF9ST0xMJywnKzEnLDM5OTk4LCwsJycp&amp;WINDOW=FIRST_POPUP&amp;HEIGHT=450&amp;WIDTH=450&amp;START_MAXIMIZED=FALSE&amp;VAR:CALENDAR=US&amp;VAR:SYMBOL=38259P50&amp;VAR:INDEX=0"}</definedName>
    <definedName name="_3204__FDSAUDITLINK__">{"fdsup://directions/FAT Viewer?action=UPDATE&amp;creator=factset&amp;DYN_ARGS=TRUE&amp;DOC_NAME=FAT:FQL_AUDITING_CLIENT_TEMPLATE.FAT&amp;display_string=Audit&amp;VAR:KEY=YFSNCHMJEV&amp;VAR:QUERY=KFBfUFJJQ0UoMzk5OTgpLShGRl9DQVNIX1NUKFFUUiwzOTk5OCkvUF9DT01fU0hTX09VVCgzOTk5OCkpKS9GR","V9FU1RJTUFURSgnRVBTJywnTUVBTicsJ0FOTlVBTF9ST0xMJywnKzEnLDM5OTk4LCwsJycp&amp;WINDOW=FIRST_POPUP&amp;HEIGHT=450&amp;WIDTH=450&amp;START_MAXIMIZED=FALSE&amp;VAR:CALENDAR=US&amp;VAR:SYMBOL=38259P50&amp;VAR:INDEX=0"}</definedName>
    <definedName name="_3205__FDSAUDITLINK__">{"fdsup://directions/FAT Viewer?action=UPDATE&amp;creator=factset&amp;DYN_ARGS=TRUE&amp;DOC_NAME=FAT:FQL_AUDITING_CLIENT_TEMPLATE.FAT&amp;display_string=Audit&amp;VAR:KEY=KXAZYJSJMX&amp;VAR:QUERY=KFBfUFJJQ0UoMzk5OTcpLShGRl9DQVNIX1NUKFFUUiwzOTk5NykvUF9DT01fU0hTX09VVCgzOTk5NykpKS9GR","V9FU1RJTUFURSgnRVBTJywnTUVBTicsJ0FOTlVBTF9ST0xMJywnKzEnLDM5OTk3LCwsJycp&amp;WINDOW=FIRST_POPUP&amp;HEIGHT=450&amp;WIDTH=450&amp;START_MAXIMIZED=FALSE&amp;VAR:CALENDAR=US&amp;VAR:SYMBOL=38259P50&amp;VAR:INDEX=0"}</definedName>
    <definedName name="_3206__FDSAUDITLINK__">{"fdsup://directions/FAT Viewer?action=UPDATE&amp;creator=factset&amp;DYN_ARGS=TRUE&amp;DOC_NAME=FAT:FQL_AUDITING_CLIENT_TEMPLATE.FAT&amp;display_string=Audit&amp;VAR:KEY=KXAZYJSJMX&amp;VAR:QUERY=KFBfUFJJQ0UoMzk5OTcpLShGRl9DQVNIX1NUKFFUUiwzOTk5NykvUF9DT01fU0hTX09VVCgzOTk5NykpKS9GR","V9FU1RJTUFURSgnRVBTJywnTUVBTicsJ0FOTlVBTF9ST0xMJywnKzEnLDM5OTk3LCwsJycp&amp;WINDOW=FIRST_POPUP&amp;HEIGHT=450&amp;WIDTH=450&amp;START_MAXIMIZED=FALSE&amp;VAR:CALENDAR=US&amp;VAR:SYMBOL=38259P50&amp;VAR:INDEX=0"}</definedName>
    <definedName name="_3207__FDSAUDITLINK__">{"fdsup://directions/FAT Viewer?action=UPDATE&amp;creator=factset&amp;DYN_ARGS=TRUE&amp;DOC_NAME=FAT:FQL_AUDITING_CLIENT_TEMPLATE.FAT&amp;display_string=Audit&amp;VAR:KEY=ERSLMFGHGX&amp;VAR:QUERY=KFBfUFJJQ0UoMzk5OTYpLShGRl9DQVNIX1NUKFFUUiwzOTk5NikvUF9DT01fU0hTX09VVCgzOTk5NikpKS9GR","V9FU1RJTUFURSgnRVBTJywnTUVBTicsJ0FOTlVBTF9ST0xMJywnKzEnLDM5OTk2LCwsJycp&amp;WINDOW=FIRST_POPUP&amp;HEIGHT=450&amp;WIDTH=450&amp;START_MAXIMIZED=FALSE&amp;VAR:CALENDAR=US&amp;VAR:SYMBOL=38259P50&amp;VAR:INDEX=0"}</definedName>
    <definedName name="_3208__FDSAUDITLINK__">{"fdsup://directions/FAT Viewer?action=UPDATE&amp;creator=factset&amp;DYN_ARGS=TRUE&amp;DOC_NAME=FAT:FQL_AUDITING_CLIENT_TEMPLATE.FAT&amp;display_string=Audit&amp;VAR:KEY=ERSLMFGHGX&amp;VAR:QUERY=KFBfUFJJQ0UoMzk5OTYpLShGRl9DQVNIX1NUKFFUUiwzOTk5NikvUF9DT01fU0hTX09VVCgzOTk5NikpKS9GR","V9FU1RJTUFURSgnRVBTJywnTUVBTicsJ0FOTlVBTF9ST0xMJywnKzEnLDM5OTk2LCwsJycp&amp;WINDOW=FIRST_POPUP&amp;HEIGHT=450&amp;WIDTH=450&amp;START_MAXIMIZED=FALSE&amp;VAR:CALENDAR=US&amp;VAR:SYMBOL=38259P50&amp;VAR:INDEX=0"}</definedName>
    <definedName name="_3209__FDSAUDITLINK__">{"fdsup://directions/FAT Viewer?action=UPDATE&amp;creator=factset&amp;DYN_ARGS=TRUE&amp;DOC_NAME=FAT:FQL_AUDITING_CLIENT_TEMPLATE.FAT&amp;display_string=Audit&amp;VAR:KEY=YNIBGXOHUL&amp;VAR:QUERY=KFBfUFJJQ0UoMzk5OTUpLShGRl9DQVNIX1NUKFFUUiwzOTk5NSkvUF9DT01fU0hTX09VVCgzOTk5NSkpKS9GR","V9FU1RJTUFURSgnRVBTJywnTUVBTicsJ0FOTlVBTF9ST0xMJywnKzEnLDM5OTk1LCwsJycp&amp;WINDOW=FIRST_POPUP&amp;HEIGHT=450&amp;WIDTH=450&amp;START_MAXIMIZED=FALSE&amp;VAR:CALENDAR=US&amp;VAR:SYMBOL=38259P50&amp;VAR:INDEX=0"}</definedName>
    <definedName name="_32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208"}</definedName>
    <definedName name="_3210__FDSAUDITLINK__">{"fdsup://directions/FAT Viewer?action=UPDATE&amp;creator=factset&amp;DYN_ARGS=TRUE&amp;DOC_NAME=FAT:FQL_AUDITING_CLIENT_TEMPLATE.FAT&amp;display_string=Audit&amp;VAR:KEY=YNIBGXOHUL&amp;VAR:QUERY=KFBfUFJJQ0UoMzk5OTUpLShGRl9DQVNIX1NUKFFUUiwzOTk5NSkvUF9DT01fU0hTX09VVCgzOTk5NSkpKS9GR","V9FU1RJTUFURSgnRVBTJywnTUVBTicsJ0FOTlVBTF9ST0xMJywnKzEnLDM5OTk1LCwsJycp&amp;WINDOW=FIRST_POPUP&amp;HEIGHT=450&amp;WIDTH=450&amp;START_MAXIMIZED=FALSE&amp;VAR:CALENDAR=US&amp;VAR:SYMBOL=38259P50&amp;VAR:INDEX=0"}</definedName>
    <definedName name="_3211__FDSAUDITLINK__">{"fdsup://directions/FAT Viewer?action=UPDATE&amp;creator=factset&amp;DYN_ARGS=TRUE&amp;DOC_NAME=FAT:FQL_AUDITING_CLIENT_TEMPLATE.FAT&amp;display_string=Audit&amp;VAR:KEY=GLSJOPMBIV&amp;VAR:QUERY=KFBfUFJJQ0UoMzk5OTQpLShGRl9DQVNIX1NUKFFUUiwzOTk5NCkvUF9DT01fU0hTX09VVCgzOTk5NCkpKS9GR","V9FU1RJTUFURSgnRVBTJywnTUVBTicsJ0FOTlVBTF9ST0xMJywnKzEnLDM5OTk0LCwsJycp&amp;WINDOW=FIRST_POPUP&amp;HEIGHT=450&amp;WIDTH=450&amp;START_MAXIMIZED=FALSE&amp;VAR:CALENDAR=US&amp;VAR:SYMBOL=38259P50&amp;VAR:INDEX=0"}</definedName>
    <definedName name="_3212__FDSAUDITLINK__">{"fdsup://directions/FAT Viewer?action=UPDATE&amp;creator=factset&amp;DYN_ARGS=TRUE&amp;DOC_NAME=FAT:FQL_AUDITING_CLIENT_TEMPLATE.FAT&amp;display_string=Audit&amp;VAR:KEY=GLSJOPMBIV&amp;VAR:QUERY=KFBfUFJJQ0UoMzk5OTQpLShGRl9DQVNIX1NUKFFUUiwzOTk5NCkvUF9DT01fU0hTX09VVCgzOTk5NCkpKS9GR","V9FU1RJTUFURSgnRVBTJywnTUVBTicsJ0FOTlVBTF9ST0xMJywnKzEnLDM5OTk0LCwsJycp&amp;WINDOW=FIRST_POPUP&amp;HEIGHT=450&amp;WIDTH=450&amp;START_MAXIMIZED=FALSE&amp;VAR:CALENDAR=US&amp;VAR:SYMBOL=38259P50&amp;VAR:INDEX=0"}</definedName>
    <definedName name="_3213__FDSAUDITLINK__">{"fdsup://directions/FAT Viewer?action=UPDATE&amp;creator=factset&amp;DYN_ARGS=TRUE&amp;DOC_NAME=FAT:FQL_AUDITING_CLIENT_TEMPLATE.FAT&amp;display_string=Audit&amp;VAR:KEY=UVSHMVMHWV&amp;VAR:QUERY=KFBfUFJJQ0UoMzk5OTMpLShGRl9DQVNIX1NUKFFUUiwzOTk5MykvUF9DT01fU0hTX09VVCgzOTk5MykpKS9GR","V9FU1RJTUFURSgnRVBTJywnTUVBTicsJ0FOTlVBTF9ST0xMJywnKzEnLDM5OTkzLCwsJycp&amp;WINDOW=FIRST_POPUP&amp;HEIGHT=450&amp;WIDTH=450&amp;START_MAXIMIZED=FALSE&amp;VAR:CALENDAR=US&amp;VAR:SYMBOL=38259P50&amp;VAR:INDEX=0"}</definedName>
    <definedName name="_3214__FDSAUDITLINK__">{"fdsup://directions/FAT Viewer?action=UPDATE&amp;creator=factset&amp;DYN_ARGS=TRUE&amp;DOC_NAME=FAT:FQL_AUDITING_CLIENT_TEMPLATE.FAT&amp;display_string=Audit&amp;VAR:KEY=UVSHMVMHWV&amp;VAR:QUERY=KFBfUFJJQ0UoMzk5OTMpLShGRl9DQVNIX1NUKFFUUiwzOTk5MykvUF9DT01fU0hTX09VVCgzOTk5MykpKS9GR","V9FU1RJTUFURSgnRVBTJywnTUVBTicsJ0FOTlVBTF9ST0xMJywnKzEnLDM5OTkzLCwsJycp&amp;WINDOW=FIRST_POPUP&amp;HEIGHT=450&amp;WIDTH=450&amp;START_MAXIMIZED=FALSE&amp;VAR:CALENDAR=US&amp;VAR:SYMBOL=38259P50&amp;VAR:INDEX=0"}</definedName>
    <definedName name="_3215__FDSAUDITLINK__">{"fdsup://directions/FAT Viewer?action=UPDATE&amp;creator=factset&amp;DYN_ARGS=TRUE&amp;DOC_NAME=FAT:FQL_AUDITING_CLIENT_TEMPLATE.FAT&amp;display_string=Audit&amp;VAR:KEY=AHWFCZSLOR&amp;VAR:QUERY=KFBfUFJJQ0UoMzk5OTIpLShGRl9DQVNIX1NUKFFUUiwzOTk5MikvUF9DT01fU0hTX09VVCgzOTk5MikpKS9GR","V9FU1RJTUFURSgnRVBTJywnTUVBTicsJ0FOTlVBTF9ST0xMJywnKzEnLDM5OTkyLCwsJycp&amp;WINDOW=FIRST_POPUP&amp;HEIGHT=450&amp;WIDTH=450&amp;START_MAXIMIZED=FALSE&amp;VAR:CALENDAR=US&amp;VAR:SYMBOL=38259P50&amp;VAR:INDEX=0"}</definedName>
    <definedName name="_3216__FDSAUDITLINK__">{"fdsup://directions/FAT Viewer?action=UPDATE&amp;creator=factset&amp;DYN_ARGS=TRUE&amp;DOC_NAME=FAT:FQL_AUDITING_CLIENT_TEMPLATE.FAT&amp;display_string=Audit&amp;VAR:KEY=AHWFCZSLOR&amp;VAR:QUERY=KFBfUFJJQ0UoMzk5OTIpLShGRl9DQVNIX1NUKFFUUiwzOTk5MikvUF9DT01fU0hTX09VVCgzOTk5MikpKS9GR","V9FU1RJTUFURSgnRVBTJywnTUVBTicsJ0FOTlVBTF9ST0xMJywnKzEnLDM5OTkyLCwsJycp&amp;WINDOW=FIRST_POPUP&amp;HEIGHT=450&amp;WIDTH=450&amp;START_MAXIMIZED=FALSE&amp;VAR:CALENDAR=US&amp;VAR:SYMBOL=38259P50&amp;VAR:INDEX=0"}</definedName>
    <definedName name="_3217__FDSAUDITLINK__">{"fdsup://directions/FAT Viewer?action=UPDATE&amp;creator=factset&amp;DYN_ARGS=TRUE&amp;DOC_NAME=FAT:FQL_AUDITING_CLIENT_TEMPLATE.FAT&amp;display_string=Audit&amp;VAR:KEY=GZGZAVIXUD&amp;VAR:QUERY=KFBfUFJJQ0UoMzk5OTEpLShGRl9DQVNIX1NUKFFUUiwzOTk5MSkvUF9DT01fU0hTX09VVCgzOTk5MSkpKS9GR","V9FU1RJTUFURSgnRVBTJywnTUVBTicsJ0FOTlVBTF9ST0xMJywnKzEnLDM5OTkxLCwsJycp&amp;WINDOW=FIRST_POPUP&amp;HEIGHT=450&amp;WIDTH=450&amp;START_MAXIMIZED=FALSE&amp;VAR:CALENDAR=US&amp;VAR:SYMBOL=38259P50&amp;VAR:INDEX=0"}</definedName>
    <definedName name="_3218__FDSAUDITLINK__">{"fdsup://directions/FAT Viewer?action=UPDATE&amp;creator=factset&amp;DYN_ARGS=TRUE&amp;DOC_NAME=FAT:FQL_AUDITING_CLIENT_TEMPLATE.FAT&amp;display_string=Audit&amp;VAR:KEY=GZGZAVIXUD&amp;VAR:QUERY=KFBfUFJJQ0UoMzk5OTEpLShGRl9DQVNIX1NUKFFUUiwzOTk5MSkvUF9DT01fU0hTX09VVCgzOTk5MSkpKS9GR","V9FU1RJTUFURSgnRVBTJywnTUVBTicsJ0FOTlVBTF9ST0xMJywnKzEnLDM5OTkxLCwsJycp&amp;WINDOW=FIRST_POPUP&amp;HEIGHT=450&amp;WIDTH=450&amp;START_MAXIMIZED=FALSE&amp;VAR:CALENDAR=US&amp;VAR:SYMBOL=38259P50&amp;VAR:INDEX=0"}</definedName>
    <definedName name="_3219__FDSAUDITLINK__">{"fdsup://directions/FAT Viewer?action=UPDATE&amp;creator=factset&amp;DYN_ARGS=TRUE&amp;DOC_NAME=FAT:FQL_AUDITING_CLIENT_TEMPLATE.FAT&amp;display_string=Audit&amp;VAR:KEY=GFOXYZARGB&amp;VAR:QUERY=KFBfUFJJQ0UoMzk5OTApLShGRl9DQVNIX1NUKFFUUiwzOTk5MCkvUF9DT01fU0hTX09VVCgzOTk5MCkpKS9GR","V9FU1RJTUFURSgnRVBTJywnTUVBTicsJ0FOTlVBTF9ST0xMJywnKzEnLDM5OTkwLCwsJycp&amp;WINDOW=FIRST_POPUP&amp;HEIGHT=450&amp;WIDTH=450&amp;START_MAXIMIZED=FALSE&amp;VAR:CALENDAR=US&amp;VAR:SYMBOL=38259P50&amp;VAR:INDEX=0"}</definedName>
    <definedName name="_32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207"}</definedName>
    <definedName name="_3220__FDSAUDITLINK__">{"fdsup://directions/FAT Viewer?action=UPDATE&amp;creator=factset&amp;DYN_ARGS=TRUE&amp;DOC_NAME=FAT:FQL_AUDITING_CLIENT_TEMPLATE.FAT&amp;display_string=Audit&amp;VAR:KEY=GFOXYZARGB&amp;VAR:QUERY=KFBfUFJJQ0UoMzk5OTApLShGRl9DQVNIX1NUKFFUUiwzOTk5MCkvUF9DT01fU0hTX09VVCgzOTk5MCkpKS9GR","V9FU1RJTUFURSgnRVBTJywnTUVBTicsJ0FOTlVBTF9ST0xMJywnKzEnLDM5OTkwLCwsJycp&amp;WINDOW=FIRST_POPUP&amp;HEIGHT=450&amp;WIDTH=450&amp;START_MAXIMIZED=FALSE&amp;VAR:CALENDAR=US&amp;VAR:SYMBOL=38259P50&amp;VAR:INDEX=0"}</definedName>
    <definedName name="_3221__FDSAUDITLINK__">{"fdsup://directions/FAT Viewer?action=UPDATE&amp;creator=factset&amp;DYN_ARGS=TRUE&amp;DOC_NAME=FAT:FQL_AUDITING_CLIENT_TEMPLATE.FAT&amp;display_string=Audit&amp;VAR:KEY=WFGJCBCDGT&amp;VAR:QUERY=KFBfUFJJQ0UoMzk5ODkpLShGRl9DQVNIX1NUKFFUUiwzOTk4OSkvUF9DT01fU0hTX09VVCgzOTk4OSkpKS9GR","V9FU1RJTUFURSgnRVBTJywnTUVBTicsJ0FOTlVBTF9ST0xMJywnKzEnLDM5OTg5LCwsJycp&amp;WINDOW=FIRST_POPUP&amp;HEIGHT=450&amp;WIDTH=450&amp;START_MAXIMIZED=FALSE&amp;VAR:CALENDAR=US&amp;VAR:SYMBOL=38259P50&amp;VAR:INDEX=0"}</definedName>
    <definedName name="_3222__FDSAUDITLINK__">{"fdsup://directions/FAT Viewer?action=UPDATE&amp;creator=factset&amp;DYN_ARGS=TRUE&amp;DOC_NAME=FAT:FQL_AUDITING_CLIENT_TEMPLATE.FAT&amp;display_string=Audit&amp;VAR:KEY=WFGJCBCDGT&amp;VAR:QUERY=KFBfUFJJQ0UoMzk5ODkpLShGRl9DQVNIX1NUKFFUUiwzOTk4OSkvUF9DT01fU0hTX09VVCgzOTk4OSkpKS9GR","V9FU1RJTUFURSgnRVBTJywnTUVBTicsJ0FOTlVBTF9ST0xMJywnKzEnLDM5OTg5LCwsJycp&amp;WINDOW=FIRST_POPUP&amp;HEIGHT=450&amp;WIDTH=450&amp;START_MAXIMIZED=FALSE&amp;VAR:CALENDAR=US&amp;VAR:SYMBOL=38259P50&amp;VAR:INDEX=0"}</definedName>
    <definedName name="_3223__FDSAUDITLINK__">{"fdsup://directions/FAT Viewer?action=UPDATE&amp;creator=factset&amp;DYN_ARGS=TRUE&amp;DOC_NAME=FAT:FQL_AUDITING_CLIENT_TEMPLATE.FAT&amp;display_string=Audit&amp;VAR:KEY=MTUXWVULOT&amp;VAR:QUERY=KFBfUFJJQ0UoMzk5ODgpLShGRl9DQVNIX1NUKFFUUiwzOTk4OCkvUF9DT01fU0hTX09VVCgzOTk4OCkpKS9GR","V9FU1RJTUFURSgnRVBTJywnTUVBTicsJ0FOTlVBTF9ST0xMJywnKzEnLDM5OTg4LCwsJycp&amp;WINDOW=FIRST_POPUP&amp;HEIGHT=450&amp;WIDTH=450&amp;START_MAXIMIZED=FALSE&amp;VAR:CALENDAR=US&amp;VAR:SYMBOL=38259P50&amp;VAR:INDEX=0"}</definedName>
    <definedName name="_3224__FDSAUDITLINK__">{"fdsup://directions/FAT Viewer?action=UPDATE&amp;creator=factset&amp;DYN_ARGS=TRUE&amp;DOC_NAME=FAT:FQL_AUDITING_CLIENT_TEMPLATE.FAT&amp;display_string=Audit&amp;VAR:KEY=MTUXWVULOT&amp;VAR:QUERY=KFBfUFJJQ0UoMzk5ODgpLShGRl9DQVNIX1NUKFFUUiwzOTk4OCkvUF9DT01fU0hTX09VVCgzOTk4OCkpKS9GR","V9FU1RJTUFURSgnRVBTJywnTUVBTicsJ0FOTlVBTF9ST0xMJywnKzEnLDM5OTg4LCwsJycp&amp;WINDOW=FIRST_POPUP&amp;HEIGHT=450&amp;WIDTH=450&amp;START_MAXIMIZED=FALSE&amp;VAR:CALENDAR=US&amp;VAR:SYMBOL=38259P50&amp;VAR:INDEX=0"}</definedName>
    <definedName name="_3225__FDSAUDITLINK__">{"fdsup://directions/FAT Viewer?action=UPDATE&amp;creator=factset&amp;DYN_ARGS=TRUE&amp;DOC_NAME=FAT:FQL_AUDITING_CLIENT_TEMPLATE.FAT&amp;display_string=Audit&amp;VAR:KEY=GVYRGJMHSL&amp;VAR:QUERY=KFBfUFJJQ0UoMzk5ODcpLShGRl9DQVNIX1NUKFFUUiwzOTk4NykvUF9DT01fU0hTX09VVCgzOTk4NykpKS9GR","V9FU1RJTUFURSgnRVBTJywnTUVBTicsJ0FOTlVBTF9ST0xMJywnKzEnLDM5OTg3LCwsJycp&amp;WINDOW=FIRST_POPUP&amp;HEIGHT=450&amp;WIDTH=450&amp;START_MAXIMIZED=FALSE&amp;VAR:CALENDAR=US&amp;VAR:SYMBOL=38259P50&amp;VAR:INDEX=0"}</definedName>
    <definedName name="_3226__FDSAUDITLINK__">{"fdsup://directions/FAT Viewer?action=UPDATE&amp;creator=factset&amp;DYN_ARGS=TRUE&amp;DOC_NAME=FAT:FQL_AUDITING_CLIENT_TEMPLATE.FAT&amp;display_string=Audit&amp;VAR:KEY=GVYRGJMHSL&amp;VAR:QUERY=KFBfUFJJQ0UoMzk5ODcpLShGRl9DQVNIX1NUKFFUUiwzOTk4NykvUF9DT01fU0hTX09VVCgzOTk4NykpKS9GR","V9FU1RJTUFURSgnRVBTJywnTUVBTicsJ0FOTlVBTF9ST0xMJywnKzEnLDM5OTg3LCwsJycp&amp;WINDOW=FIRST_POPUP&amp;HEIGHT=450&amp;WIDTH=450&amp;START_MAXIMIZED=FALSE&amp;VAR:CALENDAR=US&amp;VAR:SYMBOL=38259P50&amp;VAR:INDEX=0"}</definedName>
    <definedName name="_3227__FDSAUDITLINK__">{"fdsup://directions/FAT Viewer?action=UPDATE&amp;creator=factset&amp;DYN_ARGS=TRUE&amp;DOC_NAME=FAT:FQL_AUDITING_CLIENT_TEMPLATE.FAT&amp;display_string=Audit&amp;VAR:KEY=CFEDUVEPIF&amp;VAR:QUERY=KFBfUFJJQ0UoMzk5ODYpLShGRl9DQVNIX1NUKFFUUiwzOTk4NikvUF9DT01fU0hTX09VVCgzOTk4NikpKS9GR","V9FU1RJTUFURSgnRVBTJywnTUVBTicsJ0FOTlVBTF9ST0xMJywnKzEnLDM5OTg2LCwsJycp&amp;WINDOW=FIRST_POPUP&amp;HEIGHT=450&amp;WIDTH=450&amp;START_MAXIMIZED=FALSE&amp;VAR:CALENDAR=US&amp;VAR:SYMBOL=38259P50&amp;VAR:INDEX=0"}</definedName>
    <definedName name="_3228__FDSAUDITLINK__">{"fdsup://directions/FAT Viewer?action=UPDATE&amp;creator=factset&amp;DYN_ARGS=TRUE&amp;DOC_NAME=FAT:FQL_AUDITING_CLIENT_TEMPLATE.FAT&amp;display_string=Audit&amp;VAR:KEY=CFEDUVEPIF&amp;VAR:QUERY=KFBfUFJJQ0UoMzk5ODYpLShGRl9DQVNIX1NUKFFUUiwzOTk4NikvUF9DT01fU0hTX09VVCgzOTk4NikpKS9GR","V9FU1RJTUFURSgnRVBTJywnTUVBTicsJ0FOTlVBTF9ST0xMJywnKzEnLDM5OTg2LCwsJycp&amp;WINDOW=FIRST_POPUP&amp;HEIGHT=450&amp;WIDTH=450&amp;START_MAXIMIZED=FALSE&amp;VAR:CALENDAR=US&amp;VAR:SYMBOL=38259P50&amp;VAR:INDEX=0"}</definedName>
    <definedName name="_3229__FDSAUDITLINK__">{"fdsup://directions/FAT Viewer?action=UPDATE&amp;creator=factset&amp;DYN_ARGS=TRUE&amp;DOC_NAME=FAT:FQL_AUDITING_CLIENT_TEMPLATE.FAT&amp;display_string=Audit&amp;VAR:KEY=WXUTGZSDGD&amp;VAR:QUERY=KFBfUFJJQ0UoMzk5ODUpLShGRl9DQVNIX1NUKFFUUiwzOTk4NSkvUF9DT01fU0hTX09VVCgzOTk4NSkpKS9GR","V9FU1RJTUFURSgnRVBTJywnTUVBTicsJ0FOTlVBTF9ST0xMJywnKzEnLDM5OTg1LCwsJycp&amp;WINDOW=FIRST_POPUP&amp;HEIGHT=450&amp;WIDTH=450&amp;START_MAXIMIZED=FALSE&amp;VAR:CALENDAR=US&amp;VAR:SYMBOL=38259P50&amp;VAR:INDEX=0"}</definedName>
    <definedName name="_32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206"}</definedName>
    <definedName name="_3230__FDSAUDITLINK__">{"fdsup://directions/FAT Viewer?action=UPDATE&amp;creator=factset&amp;DYN_ARGS=TRUE&amp;DOC_NAME=FAT:FQL_AUDITING_CLIENT_TEMPLATE.FAT&amp;display_string=Audit&amp;VAR:KEY=WXUTGZSDGD&amp;VAR:QUERY=KFBfUFJJQ0UoMzk5ODUpLShGRl9DQVNIX1NUKFFUUiwzOTk4NSkvUF9DT01fU0hTX09VVCgzOTk4NSkpKS9GR","V9FU1RJTUFURSgnRVBTJywnTUVBTicsJ0FOTlVBTF9ST0xMJywnKzEnLDM5OTg1LCwsJycp&amp;WINDOW=FIRST_POPUP&amp;HEIGHT=450&amp;WIDTH=450&amp;START_MAXIMIZED=FALSE&amp;VAR:CALENDAR=US&amp;VAR:SYMBOL=38259P50&amp;VAR:INDEX=0"}</definedName>
    <definedName name="_3231__FDSAUDITLINK__">{"fdsup://directions/FAT Viewer?action=UPDATE&amp;creator=factset&amp;DYN_ARGS=TRUE&amp;DOC_NAME=FAT:FQL_AUDITING_CLIENT_TEMPLATE.FAT&amp;display_string=Audit&amp;VAR:KEY=MDOLKLEXGN&amp;VAR:QUERY=KFBfUFJJQ0UoMzk5ODQpLShGRl9DQVNIX1NUKFFUUiwzOTk4NCkvUF9DT01fU0hTX09VVCgzOTk4NCkpKS9GR","V9FU1RJTUFURSgnRVBTJywnTUVBTicsJ0FOTlVBTF9ST0xMJywnKzEnLDM5OTg0LCwsJycp&amp;WINDOW=FIRST_POPUP&amp;HEIGHT=450&amp;WIDTH=450&amp;START_MAXIMIZED=FALSE&amp;VAR:CALENDAR=US&amp;VAR:SYMBOL=38259P50&amp;VAR:INDEX=0"}</definedName>
    <definedName name="_3232__FDSAUDITLINK__">{"fdsup://directions/FAT Viewer?action=UPDATE&amp;creator=factset&amp;DYN_ARGS=TRUE&amp;DOC_NAME=FAT:FQL_AUDITING_CLIENT_TEMPLATE.FAT&amp;display_string=Audit&amp;VAR:KEY=MDOLKLEXGN&amp;VAR:QUERY=KFBfUFJJQ0UoMzk5ODQpLShGRl9DQVNIX1NUKFFUUiwzOTk4NCkvUF9DT01fU0hTX09VVCgzOTk4NCkpKS9GR","V9FU1RJTUFURSgnRVBTJywnTUVBTicsJ0FOTlVBTF9ST0xMJywnKzEnLDM5OTg0LCwsJycp&amp;WINDOW=FIRST_POPUP&amp;HEIGHT=450&amp;WIDTH=450&amp;START_MAXIMIZED=FALSE&amp;VAR:CALENDAR=US&amp;VAR:SYMBOL=38259P50&amp;VAR:INDEX=0"}</definedName>
    <definedName name="_3233__FDSAUDITLINK__">{"fdsup://directions/FAT Viewer?action=UPDATE&amp;creator=factset&amp;DYN_ARGS=TRUE&amp;DOC_NAME=FAT:FQL_AUDITING_CLIENT_TEMPLATE.FAT&amp;display_string=Audit&amp;VAR:KEY=EXKRGDQHYJ&amp;VAR:QUERY=KFBfUFJJQ0UoMzk5ODMpLShGRl9DQVNIX1NUKFFUUiwzOTk4MykvUF9DT01fU0hTX09VVCgzOTk4MykpKS9GR","V9FU1RJTUFURSgnRVBTJywnTUVBTicsJ0FOTlVBTF9ST0xMJywnKzEnLDM5OTgzLCwsJycp&amp;WINDOW=FIRST_POPUP&amp;HEIGHT=450&amp;WIDTH=450&amp;START_MAXIMIZED=FALSE&amp;VAR:CALENDAR=US&amp;VAR:SYMBOL=38259P50&amp;VAR:INDEX=0"}</definedName>
    <definedName name="_3234__FDSAUDITLINK__">{"fdsup://directions/FAT Viewer?action=UPDATE&amp;creator=factset&amp;DYN_ARGS=TRUE&amp;DOC_NAME=FAT:FQL_AUDITING_CLIENT_TEMPLATE.FAT&amp;display_string=Audit&amp;VAR:KEY=EXKRGDQHYJ&amp;VAR:QUERY=KFBfUFJJQ0UoMzk5ODMpLShGRl9DQVNIX1NUKFFUUiwzOTk4MykvUF9DT01fU0hTX09VVCgzOTk4MykpKS9GR","V9FU1RJTUFURSgnRVBTJywnTUVBTicsJ0FOTlVBTF9ST0xMJywnKzEnLDM5OTgzLCwsJycp&amp;WINDOW=FIRST_POPUP&amp;HEIGHT=450&amp;WIDTH=450&amp;START_MAXIMIZED=FALSE&amp;VAR:CALENDAR=US&amp;VAR:SYMBOL=38259P50&amp;VAR:INDEX=0"}</definedName>
    <definedName name="_3235__FDSAUDITLINK__">{"fdsup://directions/FAT Viewer?action=UPDATE&amp;creator=factset&amp;DYN_ARGS=TRUE&amp;DOC_NAME=FAT:FQL_AUDITING_CLIENT_TEMPLATE.FAT&amp;display_string=Audit&amp;VAR:KEY=GVWHCLSBER&amp;VAR:QUERY=KFBfUFJJQ0UoMzk5ODIpLShGRl9DQVNIX1NUKFFUUiwzOTk4MikvUF9DT01fU0hTX09VVCgzOTk4MikpKS9GR","V9FU1RJTUFURSgnRVBTJywnTUVBTicsJ0FOTlVBTF9ST0xMJywnKzEnLDM5OTgyLCwsJycp&amp;WINDOW=FIRST_POPUP&amp;HEIGHT=450&amp;WIDTH=450&amp;START_MAXIMIZED=FALSE&amp;VAR:CALENDAR=US&amp;VAR:SYMBOL=38259P50&amp;VAR:INDEX=0"}</definedName>
    <definedName name="_3236__FDSAUDITLINK__">{"fdsup://directions/FAT Viewer?action=UPDATE&amp;creator=factset&amp;DYN_ARGS=TRUE&amp;DOC_NAME=FAT:FQL_AUDITING_CLIENT_TEMPLATE.FAT&amp;display_string=Audit&amp;VAR:KEY=GVWHCLSBER&amp;VAR:QUERY=KFBfUFJJQ0UoMzk5ODIpLShGRl9DQVNIX1NUKFFUUiwzOTk4MikvUF9DT01fU0hTX09VVCgzOTk4MikpKS9GR","V9FU1RJTUFURSgnRVBTJywnTUVBTicsJ0FOTlVBTF9ST0xMJywnKzEnLDM5OTgyLCwsJycp&amp;WINDOW=FIRST_POPUP&amp;HEIGHT=450&amp;WIDTH=450&amp;START_MAXIMIZED=FALSE&amp;VAR:CALENDAR=US&amp;VAR:SYMBOL=38259P50&amp;VAR:INDEX=0"}</definedName>
    <definedName name="_3237__FDSAUDITLINK__">{"fdsup://directions/FAT Viewer?action=UPDATE&amp;creator=factset&amp;DYN_ARGS=TRUE&amp;DOC_NAME=FAT:FQL_AUDITING_CLIENT_TEMPLATE.FAT&amp;display_string=Audit&amp;VAR:KEY=KJUVMTKRCL&amp;VAR:QUERY=KFBfUFJJQ0UoMzk5ODEpLShGRl9DQVNIX1NUKFFUUiwzOTk4MSkvUF9DT01fU0hTX09VVCgzOTk4MSkpKS9GR","V9FU1RJTUFURSgnRVBTJywnTUVBTicsJ0FOTlVBTF9ST0xMJywnKzEnLDM5OTgxLCwsJycp&amp;WINDOW=FIRST_POPUP&amp;HEIGHT=450&amp;WIDTH=450&amp;START_MAXIMIZED=FALSE&amp;VAR:CALENDAR=US&amp;VAR:SYMBOL=38259P50&amp;VAR:INDEX=0"}</definedName>
    <definedName name="_3238__FDSAUDITLINK__">{"fdsup://directions/FAT Viewer?action=UPDATE&amp;creator=factset&amp;DYN_ARGS=TRUE&amp;DOC_NAME=FAT:FQL_AUDITING_CLIENT_TEMPLATE.FAT&amp;display_string=Audit&amp;VAR:KEY=KJUVMTKRCL&amp;VAR:QUERY=KFBfUFJJQ0UoMzk5ODEpLShGRl9DQVNIX1NUKFFUUiwzOTk4MSkvUF9DT01fU0hTX09VVCgzOTk4MSkpKS9GR","V9FU1RJTUFURSgnRVBTJywnTUVBTicsJ0FOTlVBTF9ST0xMJywnKzEnLDM5OTgxLCwsJycp&amp;WINDOW=FIRST_POPUP&amp;HEIGHT=450&amp;WIDTH=450&amp;START_MAXIMIZED=FALSE&amp;VAR:CALENDAR=US&amp;VAR:SYMBOL=38259P50&amp;VAR:INDEX=0"}</definedName>
    <definedName name="_3239__FDSAUDITLINK__">{"fdsup://directions/FAT Viewer?action=UPDATE&amp;creator=factset&amp;DYN_ARGS=TRUE&amp;DOC_NAME=FAT:FQL_AUDITING_CLIENT_TEMPLATE.FAT&amp;display_string=Audit&amp;VAR:KEY=OVATGTSFET&amp;VAR:QUERY=KFBfUFJJQ0UoMzk5ODApLShGRl9DQVNIX1NUKFFUUiwzOTk4MCkvUF9DT01fU0hTX09VVCgzOTk4MCkpKS9GR","V9FU1RJTUFURSgnRVBTJywnTUVBTicsJ0FOTlVBTF9ST0xMJywnKzEnLDM5OTgwLCwsJycp&amp;WINDOW=FIRST_POPUP&amp;HEIGHT=450&amp;WIDTH=450&amp;START_MAXIMIZED=FALSE&amp;VAR:CALENDAR=US&amp;VAR:SYMBOL=38259P50&amp;VAR:INDEX=0"}</definedName>
    <definedName name="_32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205"}</definedName>
    <definedName name="_3240__FDSAUDITLINK__">{"fdsup://directions/FAT Viewer?action=UPDATE&amp;creator=factset&amp;DYN_ARGS=TRUE&amp;DOC_NAME=FAT:FQL_AUDITING_CLIENT_TEMPLATE.FAT&amp;display_string=Audit&amp;VAR:KEY=OVATGTSFET&amp;VAR:QUERY=KFBfUFJJQ0UoMzk5ODApLShGRl9DQVNIX1NUKFFUUiwzOTk4MCkvUF9DT01fU0hTX09VVCgzOTk4MCkpKS9GR","V9FU1RJTUFURSgnRVBTJywnTUVBTicsJ0FOTlVBTF9ST0xMJywnKzEnLDM5OTgwLCwsJycp&amp;WINDOW=FIRST_POPUP&amp;HEIGHT=450&amp;WIDTH=450&amp;START_MAXIMIZED=FALSE&amp;VAR:CALENDAR=US&amp;VAR:SYMBOL=38259P50&amp;VAR:INDEX=0"}</definedName>
    <definedName name="_3241__FDSAUDITLINK__">{"fdsup://directions/FAT Viewer?action=UPDATE&amp;creator=factset&amp;DYN_ARGS=TRUE&amp;DOC_NAME=FAT:FQL_AUDITING_CLIENT_TEMPLATE.FAT&amp;display_string=Audit&amp;VAR:KEY=OLUBSFABWT&amp;VAR:QUERY=KFBfUFJJQ0UoMzk5NzkpLShGRl9DQVNIX1NUKFFUUiwzOTk3OSkvUF9DT01fU0hTX09VVCgzOTk3OSkpKS9GR","V9FU1RJTUFURSgnRVBTJywnTUVBTicsJ0FOTlVBTF9ST0xMJywnKzEnLDM5OTc5LCwsJycp&amp;WINDOW=FIRST_POPUP&amp;HEIGHT=450&amp;WIDTH=450&amp;START_MAXIMIZED=FALSE&amp;VAR:CALENDAR=US&amp;VAR:SYMBOL=38259P50&amp;VAR:INDEX=0"}</definedName>
    <definedName name="_3242__FDSAUDITLINK__">{"fdsup://directions/FAT Viewer?action=UPDATE&amp;creator=factset&amp;DYN_ARGS=TRUE&amp;DOC_NAME=FAT:FQL_AUDITING_CLIENT_TEMPLATE.FAT&amp;display_string=Audit&amp;VAR:KEY=OLUBSFABWT&amp;VAR:QUERY=KFBfUFJJQ0UoMzk5NzkpLShGRl9DQVNIX1NUKFFUUiwzOTk3OSkvUF9DT01fU0hTX09VVCgzOTk3OSkpKS9GR","V9FU1RJTUFURSgnRVBTJywnTUVBTicsJ0FOTlVBTF9ST0xMJywnKzEnLDM5OTc5LCwsJycp&amp;WINDOW=FIRST_POPUP&amp;HEIGHT=450&amp;WIDTH=450&amp;START_MAXIMIZED=FALSE&amp;VAR:CALENDAR=US&amp;VAR:SYMBOL=38259P50&amp;VAR:INDEX=0"}</definedName>
    <definedName name="_3243__FDSAUDITLINK__">{"fdsup://directions/FAT Viewer?action=UPDATE&amp;creator=factset&amp;DYN_ARGS=TRUE&amp;DOC_NAME=FAT:FQL_AUDITING_CLIENT_TEMPLATE.FAT&amp;display_string=Audit&amp;VAR:KEY=GBWXYPCJOP&amp;VAR:QUERY=KFBfUFJJQ0UoMzk5NzgpLShGRl9DQVNIX1NUKFFUUiwzOTk3OCkvUF9DT01fU0hTX09VVCgzOTk3OCkpKS9GR","V9FU1RJTUFURSgnRVBTJywnTUVBTicsJ0FOTlVBTF9ST0xMJywnKzEnLDM5OTc4LCwsJycp&amp;WINDOW=FIRST_POPUP&amp;HEIGHT=450&amp;WIDTH=450&amp;START_MAXIMIZED=FALSE&amp;VAR:CALENDAR=US&amp;VAR:SYMBOL=38259P50&amp;VAR:INDEX=0"}</definedName>
    <definedName name="_3244__FDSAUDITLINK__">{"fdsup://directions/FAT Viewer?action=UPDATE&amp;creator=factset&amp;DYN_ARGS=TRUE&amp;DOC_NAME=FAT:FQL_AUDITING_CLIENT_TEMPLATE.FAT&amp;display_string=Audit&amp;VAR:KEY=GBWXYPCJOP&amp;VAR:QUERY=KFBfUFJJQ0UoMzk5NzgpLShGRl9DQVNIX1NUKFFUUiwzOTk3OCkvUF9DT01fU0hTX09VVCgzOTk3OCkpKS9GR","V9FU1RJTUFURSgnRVBTJywnTUVBTicsJ0FOTlVBTF9ST0xMJywnKzEnLDM5OTc4LCwsJycp&amp;WINDOW=FIRST_POPUP&amp;HEIGHT=450&amp;WIDTH=450&amp;START_MAXIMIZED=FALSE&amp;VAR:CALENDAR=US&amp;VAR:SYMBOL=38259P50&amp;VAR:INDEX=0"}</definedName>
    <definedName name="_3245__FDSAUDITLINK__">{"fdsup://directions/FAT Viewer?action=UPDATE&amp;creator=factset&amp;DYN_ARGS=TRUE&amp;DOC_NAME=FAT:FQL_AUDITING_CLIENT_TEMPLATE.FAT&amp;display_string=Audit&amp;VAR:KEY=UHAXUTCLUL&amp;VAR:QUERY=KFBfUFJJQ0UoMzk5NzcpLShGRl9DQVNIX1NUKFFUUiwzOTk3NykvUF9DT01fU0hTX09VVCgzOTk3NykpKS9GR","V9FU1RJTUFURSgnRVBTJywnTUVBTicsJ0FOTlVBTF9ST0xMJywnKzEnLDM5OTc3LCwsJycp&amp;WINDOW=FIRST_POPUP&amp;HEIGHT=450&amp;WIDTH=450&amp;START_MAXIMIZED=FALSE&amp;VAR:CALENDAR=US&amp;VAR:SYMBOL=38259P50&amp;VAR:INDEX=0"}</definedName>
    <definedName name="_3246__FDSAUDITLINK__">{"fdsup://directions/FAT Viewer?action=UPDATE&amp;creator=factset&amp;DYN_ARGS=TRUE&amp;DOC_NAME=FAT:FQL_AUDITING_CLIENT_TEMPLATE.FAT&amp;display_string=Audit&amp;VAR:KEY=UHAXUTCLUL&amp;VAR:QUERY=KFBfUFJJQ0UoMzk5NzcpLShGRl9DQVNIX1NUKFFUUiwzOTk3NykvUF9DT01fU0hTX09VVCgzOTk3NykpKS9GR","V9FU1RJTUFURSgnRVBTJywnTUVBTicsJ0FOTlVBTF9ST0xMJywnKzEnLDM5OTc3LCwsJycp&amp;WINDOW=FIRST_POPUP&amp;HEIGHT=450&amp;WIDTH=450&amp;START_MAXIMIZED=FALSE&amp;VAR:CALENDAR=US&amp;VAR:SYMBOL=38259P50&amp;VAR:INDEX=0"}</definedName>
    <definedName name="_3247__FDSAUDITLINK__">{"fdsup://directions/FAT Viewer?action=UPDATE&amp;creator=factset&amp;DYN_ARGS=TRUE&amp;DOC_NAME=FAT:FQL_AUDITING_CLIENT_TEMPLATE.FAT&amp;display_string=Audit&amp;VAR:KEY=EDEXMNERYT&amp;VAR:QUERY=KFBfUFJJQ0UoMzk5NzYpLShGRl9DQVNIX1NUKFFUUiwzOTk3NikvUF9DT01fU0hTX09VVCgzOTk3NikpKS9GR","V9FU1RJTUFURSgnRVBTJywnTUVBTicsJ0FOTlVBTF9ST0xMJywnKzEnLDM5OTc2LCwsJycp&amp;WINDOW=FIRST_POPUP&amp;HEIGHT=450&amp;WIDTH=450&amp;START_MAXIMIZED=FALSE&amp;VAR:CALENDAR=US&amp;VAR:SYMBOL=38259P50&amp;VAR:INDEX=0"}</definedName>
    <definedName name="_3248__FDSAUDITLINK__">{"fdsup://directions/FAT Viewer?action=UPDATE&amp;creator=factset&amp;DYN_ARGS=TRUE&amp;DOC_NAME=FAT:FQL_AUDITING_CLIENT_TEMPLATE.FAT&amp;display_string=Audit&amp;VAR:KEY=EDEXMNERYT&amp;VAR:QUERY=KFBfUFJJQ0UoMzk5NzYpLShGRl9DQVNIX1NUKFFUUiwzOTk3NikvUF9DT01fU0hTX09VVCgzOTk3NikpKS9GR","V9FU1RJTUFURSgnRVBTJywnTUVBTicsJ0FOTlVBTF9ST0xMJywnKzEnLDM5OTc2LCwsJycp&amp;WINDOW=FIRST_POPUP&amp;HEIGHT=450&amp;WIDTH=450&amp;START_MAXIMIZED=FALSE&amp;VAR:CALENDAR=US&amp;VAR:SYMBOL=38259P50&amp;VAR:INDEX=0"}</definedName>
    <definedName name="_3249__FDSAUDITLINK__">{"fdsup://directions/FAT Viewer?action=UPDATE&amp;creator=factset&amp;DYN_ARGS=TRUE&amp;DOC_NAME=FAT:FQL_AUDITING_CLIENT_TEMPLATE.FAT&amp;display_string=Audit&amp;VAR:KEY=WZWRWXWRKF&amp;VAR:QUERY=KFBfUFJJQ0UoMzk5NzUpLShGRl9DQVNIX1NUKFFUUiwzOTk3NSkvUF9DT01fU0hTX09VVCgzOTk3NSkpKS9GR","V9FU1RJTUFURSgnRVBTJywnTUVBTicsJ0FOTlVBTF9ST0xMJywnKzEnLDM5OTc1LCwsJycp&amp;WINDOW=FIRST_POPUP&amp;HEIGHT=450&amp;WIDTH=450&amp;START_MAXIMIZED=FALSE&amp;VAR:CALENDAR=US&amp;VAR:SYMBOL=38259P50&amp;VAR:INDEX=0"}</definedName>
    <definedName name="_32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204"}</definedName>
    <definedName name="_3250__FDSAUDITLINK__">{"fdsup://directions/FAT Viewer?action=UPDATE&amp;creator=factset&amp;DYN_ARGS=TRUE&amp;DOC_NAME=FAT:FQL_AUDITING_CLIENT_TEMPLATE.FAT&amp;display_string=Audit&amp;VAR:KEY=WZWRWXWRKF&amp;VAR:QUERY=KFBfUFJJQ0UoMzk5NzUpLShGRl9DQVNIX1NUKFFUUiwzOTk3NSkvUF9DT01fU0hTX09VVCgzOTk3NSkpKS9GR","V9FU1RJTUFURSgnRVBTJywnTUVBTicsJ0FOTlVBTF9ST0xMJywnKzEnLDM5OTc1LCwsJycp&amp;WINDOW=FIRST_POPUP&amp;HEIGHT=450&amp;WIDTH=450&amp;START_MAXIMIZED=FALSE&amp;VAR:CALENDAR=US&amp;VAR:SYMBOL=38259P50&amp;VAR:INDEX=0"}</definedName>
    <definedName name="_3251__FDSAUDITLINK__">{"fdsup://directions/FAT Viewer?action=UPDATE&amp;creator=factset&amp;DYN_ARGS=TRUE&amp;DOC_NAME=FAT:FQL_AUDITING_CLIENT_TEMPLATE.FAT&amp;display_string=Audit&amp;VAR:KEY=YJAXWJUDAL&amp;VAR:QUERY=KFBfUFJJQ0UoMzk5NzQpLShGRl9DQVNIX1NUKFFUUiwzOTk3NCkvUF9DT01fU0hTX09VVCgzOTk3NCkpKS9GR","V9FU1RJTUFURSgnRVBTJywnTUVBTicsJ0FOTlVBTF9ST0xMJywnKzEnLDM5OTc0LCwsJycp&amp;WINDOW=FIRST_POPUP&amp;HEIGHT=450&amp;WIDTH=450&amp;START_MAXIMIZED=FALSE&amp;VAR:CALENDAR=US&amp;VAR:SYMBOL=38259P50&amp;VAR:INDEX=0"}</definedName>
    <definedName name="_3252__FDSAUDITLINK__">{"fdsup://directions/FAT Viewer?action=UPDATE&amp;creator=factset&amp;DYN_ARGS=TRUE&amp;DOC_NAME=FAT:FQL_AUDITING_CLIENT_TEMPLATE.FAT&amp;display_string=Audit&amp;VAR:KEY=YJAXWJUDAL&amp;VAR:QUERY=KFBfUFJJQ0UoMzk5NzQpLShGRl9DQVNIX1NUKFFUUiwzOTk3NCkvUF9DT01fU0hTX09VVCgzOTk3NCkpKS9GR","V9FU1RJTUFURSgnRVBTJywnTUVBTicsJ0FOTlVBTF9ST0xMJywnKzEnLDM5OTc0LCwsJycp&amp;WINDOW=FIRST_POPUP&amp;HEIGHT=450&amp;WIDTH=450&amp;START_MAXIMIZED=FALSE&amp;VAR:CALENDAR=US&amp;VAR:SYMBOL=38259P50&amp;VAR:INDEX=0"}</definedName>
    <definedName name="_3253__FDSAUDITLINK__">{"fdsup://directions/FAT Viewer?action=UPDATE&amp;creator=factset&amp;DYN_ARGS=TRUE&amp;DOC_NAME=FAT:FQL_AUDITING_CLIENT_TEMPLATE.FAT&amp;display_string=Audit&amp;VAR:KEY=WDKNUHMNOV&amp;VAR:QUERY=KFBfUFJJQ0UoMzk5NzMpLShGRl9DQVNIX1NUKFFUUiwzOTk3MykvUF9DT01fU0hTX09VVCgzOTk3MykpKS9GR","V9FU1RJTUFURSgnRVBTJywnTUVBTicsJ0FOTlVBTF9ST0xMJywnKzEnLDM5OTczLCwsJycp&amp;WINDOW=FIRST_POPUP&amp;HEIGHT=450&amp;WIDTH=450&amp;START_MAXIMIZED=FALSE&amp;VAR:CALENDAR=US&amp;VAR:SYMBOL=38259P50&amp;VAR:INDEX=0"}</definedName>
    <definedName name="_3254__FDSAUDITLINK__">{"fdsup://directions/FAT Viewer?action=UPDATE&amp;creator=factset&amp;DYN_ARGS=TRUE&amp;DOC_NAME=FAT:FQL_AUDITING_CLIENT_TEMPLATE.FAT&amp;display_string=Audit&amp;VAR:KEY=WDKNUHMNOV&amp;VAR:QUERY=KFBfUFJJQ0UoMzk5NzMpLShGRl9DQVNIX1NUKFFUUiwzOTk3MykvUF9DT01fU0hTX09VVCgzOTk3MykpKS9GR","V9FU1RJTUFURSgnRVBTJywnTUVBTicsJ0FOTlVBTF9ST0xMJywnKzEnLDM5OTczLCwsJycp&amp;WINDOW=FIRST_POPUP&amp;HEIGHT=450&amp;WIDTH=450&amp;START_MAXIMIZED=FALSE&amp;VAR:CALENDAR=US&amp;VAR:SYMBOL=38259P50&amp;VAR:INDEX=0"}</definedName>
    <definedName name="_3255__FDSAUDITLINK__">{"fdsup://directions/FAT Viewer?action=UPDATE&amp;creator=factset&amp;DYN_ARGS=TRUE&amp;DOC_NAME=FAT:FQL_AUDITING_CLIENT_TEMPLATE.FAT&amp;display_string=Audit&amp;VAR:KEY=QXAPULKDGZ&amp;VAR:QUERY=KFBfUFJJQ0UoMzk5NzIpLShGRl9DQVNIX1NUKFFUUiwzOTk3MikvUF9DT01fU0hTX09VVCgzOTk3MikpKS9GR","V9FU1RJTUFURSgnRVBTJywnTUVBTicsJ0FOTlVBTF9ST0xMJywnKzEnLDM5OTcyLCwsJycp&amp;WINDOW=FIRST_POPUP&amp;HEIGHT=450&amp;WIDTH=450&amp;START_MAXIMIZED=FALSE&amp;VAR:CALENDAR=US&amp;VAR:SYMBOL=38259P50&amp;VAR:INDEX=0"}</definedName>
    <definedName name="_3256__FDSAUDITLINK__">{"fdsup://directions/FAT Viewer?action=UPDATE&amp;creator=factset&amp;DYN_ARGS=TRUE&amp;DOC_NAME=FAT:FQL_AUDITING_CLIENT_TEMPLATE.FAT&amp;display_string=Audit&amp;VAR:KEY=QXAPULKDGZ&amp;VAR:QUERY=KFBfUFJJQ0UoMzk5NzIpLShGRl9DQVNIX1NUKFFUUiwzOTk3MikvUF9DT01fU0hTX09VVCgzOTk3MikpKS9GR","V9FU1RJTUFURSgnRVBTJywnTUVBTicsJ0FOTlVBTF9ST0xMJywnKzEnLDM5OTcyLCwsJycp&amp;WINDOW=FIRST_POPUP&amp;HEIGHT=450&amp;WIDTH=450&amp;START_MAXIMIZED=FALSE&amp;VAR:CALENDAR=US&amp;VAR:SYMBOL=38259P50&amp;VAR:INDEX=0"}</definedName>
    <definedName name="_3257__FDSAUDITLINK__">{"fdsup://directions/FAT Viewer?action=UPDATE&amp;creator=factset&amp;DYN_ARGS=TRUE&amp;DOC_NAME=FAT:FQL_AUDITING_CLIENT_TEMPLATE.FAT&amp;display_string=Audit&amp;VAR:KEY=YHQHKZSHAP&amp;VAR:QUERY=KFBfUFJJQ0UoMzk5NzEpLShGRl9DQVNIX1NUKFFUUiwzOTk3MSkvUF9DT01fU0hTX09VVCgzOTk3MSkpKS9GR","V9FU1RJTUFURSgnRVBTJywnTUVBTicsJ0FOTlVBTF9ST0xMJywnKzEnLDM5OTcxLCwsJycp&amp;WINDOW=FIRST_POPUP&amp;HEIGHT=450&amp;WIDTH=450&amp;START_MAXIMIZED=FALSE&amp;VAR:CALENDAR=US&amp;VAR:SYMBOL=38259P50&amp;VAR:INDEX=0"}</definedName>
    <definedName name="_3258__FDSAUDITLINK__">{"fdsup://directions/FAT Viewer?action=UPDATE&amp;creator=factset&amp;DYN_ARGS=TRUE&amp;DOC_NAME=FAT:FQL_AUDITING_CLIENT_TEMPLATE.FAT&amp;display_string=Audit&amp;VAR:KEY=YHQHKZSHAP&amp;VAR:QUERY=KFBfUFJJQ0UoMzk5NzEpLShGRl9DQVNIX1NUKFFUUiwzOTk3MSkvUF9DT01fU0hTX09VVCgzOTk3MSkpKS9GR","V9FU1RJTUFURSgnRVBTJywnTUVBTicsJ0FOTlVBTF9ST0xMJywnKzEnLDM5OTcxLCwsJycp&amp;WINDOW=FIRST_POPUP&amp;HEIGHT=450&amp;WIDTH=450&amp;START_MAXIMIZED=FALSE&amp;VAR:CALENDAR=US&amp;VAR:SYMBOL=38259P50&amp;VAR:INDEX=0"}</definedName>
    <definedName name="_3259__FDSAUDITLINK__">{"fdsup://directions/FAT Viewer?action=UPDATE&amp;creator=factset&amp;DYN_ARGS=TRUE&amp;DOC_NAME=FAT:FQL_AUDITING_CLIENT_TEMPLATE.FAT&amp;display_string=Audit&amp;VAR:KEY=AHKTIBWHIJ&amp;VAR:QUERY=KFBfUFJJQ0UoMzk5NzApLShGRl9DQVNIX1NUKFFUUiwzOTk3MCkvUF9DT01fU0hTX09VVCgzOTk3MCkpKS9GR","V9FU1RJTUFURSgnRVBTJywnTUVBTicsJ0FOTlVBTF9ST0xMJywnKzEnLDM5OTcwLCwsJycp&amp;WINDOW=FIRST_POPUP&amp;HEIGHT=450&amp;WIDTH=450&amp;START_MAXIMIZED=FALSE&amp;VAR:CALENDAR=US&amp;VAR:SYMBOL=38259P50&amp;VAR:INDEX=0"}</definedName>
    <definedName name="_32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203"}</definedName>
    <definedName name="_3260__FDSAUDITLINK__">{"fdsup://directions/FAT Viewer?action=UPDATE&amp;creator=factset&amp;DYN_ARGS=TRUE&amp;DOC_NAME=FAT:FQL_AUDITING_CLIENT_TEMPLATE.FAT&amp;display_string=Audit&amp;VAR:KEY=AHKTIBWHIJ&amp;VAR:QUERY=KFBfUFJJQ0UoMzk5NzApLShGRl9DQVNIX1NUKFFUUiwzOTk3MCkvUF9DT01fU0hTX09VVCgzOTk3MCkpKS9GR","V9FU1RJTUFURSgnRVBTJywnTUVBTicsJ0FOTlVBTF9ST0xMJywnKzEnLDM5OTcwLCwsJycp&amp;WINDOW=FIRST_POPUP&amp;HEIGHT=450&amp;WIDTH=450&amp;START_MAXIMIZED=FALSE&amp;VAR:CALENDAR=US&amp;VAR:SYMBOL=38259P50&amp;VAR:INDEX=0"}</definedName>
    <definedName name="_3261__FDSAUDITLINK__">{"fdsup://directions/FAT Viewer?action=UPDATE&amp;creator=factset&amp;DYN_ARGS=TRUE&amp;DOC_NAME=FAT:FQL_AUDITING_CLIENT_TEMPLATE.FAT&amp;display_string=Audit&amp;VAR:KEY=KNAVGZYRQJ&amp;VAR:QUERY=KFBfUFJJQ0UoMzk5NjkpLShGRl9DQVNIX1NUKFFUUiwzOTk2OSkvUF9DT01fU0hTX09VVCgzOTk2OSkpKS9GR","V9FU1RJTUFURSgnRVBTJywnTUVBTicsJ0FOTlVBTF9ST0xMJywnKzEnLDM5OTY5LCwsJycp&amp;WINDOW=FIRST_POPUP&amp;HEIGHT=450&amp;WIDTH=450&amp;START_MAXIMIZED=FALSE&amp;VAR:CALENDAR=US&amp;VAR:SYMBOL=38259P50&amp;VAR:INDEX=0"}</definedName>
    <definedName name="_3262__FDSAUDITLINK__">{"fdsup://directions/FAT Viewer?action=UPDATE&amp;creator=factset&amp;DYN_ARGS=TRUE&amp;DOC_NAME=FAT:FQL_AUDITING_CLIENT_TEMPLATE.FAT&amp;display_string=Audit&amp;VAR:KEY=KNAVGZYRQJ&amp;VAR:QUERY=KFBfUFJJQ0UoMzk5NjkpLShGRl9DQVNIX1NUKFFUUiwzOTk2OSkvUF9DT01fU0hTX09VVCgzOTk2OSkpKS9GR","V9FU1RJTUFURSgnRVBTJywnTUVBTicsJ0FOTlVBTF9ST0xMJywnKzEnLDM5OTY5LCwsJycp&amp;WINDOW=FIRST_POPUP&amp;HEIGHT=450&amp;WIDTH=450&amp;START_MAXIMIZED=FALSE&amp;VAR:CALENDAR=US&amp;VAR:SYMBOL=38259P50&amp;VAR:INDEX=0"}</definedName>
    <definedName name="_3263__FDSAUDITLINK__">{"fdsup://directions/FAT Viewer?action=UPDATE&amp;creator=factset&amp;DYN_ARGS=TRUE&amp;DOC_NAME=FAT:FQL_AUDITING_CLIENT_TEMPLATE.FAT&amp;display_string=Audit&amp;VAR:KEY=QVWXCJCXMX&amp;VAR:QUERY=KFBfUFJJQ0UoMzk5NjgpLShGRl9DQVNIX1NUKFFUUiwzOTk2OCkvUF9DT01fU0hTX09VVCgzOTk2OCkpKS9GR","V9FU1RJTUFURSgnRVBTJywnTUVBTicsJ0FOTlVBTF9ST0xMJywnKzEnLDM5OTY4LCwsJycp&amp;WINDOW=FIRST_POPUP&amp;HEIGHT=450&amp;WIDTH=450&amp;START_MAXIMIZED=FALSE&amp;VAR:CALENDAR=US&amp;VAR:SYMBOL=38259P50&amp;VAR:INDEX=0"}</definedName>
    <definedName name="_3264__FDSAUDITLINK__">{"fdsup://directions/FAT Viewer?action=UPDATE&amp;creator=factset&amp;DYN_ARGS=TRUE&amp;DOC_NAME=FAT:FQL_AUDITING_CLIENT_TEMPLATE.FAT&amp;display_string=Audit&amp;VAR:KEY=QVWXCJCXMX&amp;VAR:QUERY=KFBfUFJJQ0UoMzk5NjgpLShGRl9DQVNIX1NUKFFUUiwzOTk2OCkvUF9DT01fU0hTX09VVCgzOTk2OCkpKS9GR","V9FU1RJTUFURSgnRVBTJywnTUVBTicsJ0FOTlVBTF9ST0xMJywnKzEnLDM5OTY4LCwsJycp&amp;WINDOW=FIRST_POPUP&amp;HEIGHT=450&amp;WIDTH=450&amp;START_MAXIMIZED=FALSE&amp;VAR:CALENDAR=US&amp;VAR:SYMBOL=38259P50&amp;VAR:INDEX=0"}</definedName>
    <definedName name="_3265__FDSAUDITLINK__">{"fdsup://directions/FAT Viewer?action=UPDATE&amp;creator=factset&amp;DYN_ARGS=TRUE&amp;DOC_NAME=FAT:FQL_AUDITING_CLIENT_TEMPLATE.FAT&amp;display_string=Audit&amp;VAR:KEY=WLINAXMXQV&amp;VAR:QUERY=KFBfUFJJQ0UoMzk5NjcpLShGRl9DQVNIX1NUKFFUUiwzOTk2NykvUF9DT01fU0hTX09VVCgzOTk2NykpKS9GR","V9FU1RJTUFURSgnRVBTJywnTUVBTicsJ0FOTlVBTF9ST0xMJywnKzEnLDM5OTY3LCwsJycp&amp;WINDOW=FIRST_POPUP&amp;HEIGHT=450&amp;WIDTH=450&amp;START_MAXIMIZED=FALSE&amp;VAR:CALENDAR=US&amp;VAR:SYMBOL=38259P50&amp;VAR:INDEX=0"}</definedName>
    <definedName name="_3266__FDSAUDITLINK__">{"fdsup://directions/FAT Viewer?action=UPDATE&amp;creator=factset&amp;DYN_ARGS=TRUE&amp;DOC_NAME=FAT:FQL_AUDITING_CLIENT_TEMPLATE.FAT&amp;display_string=Audit&amp;VAR:KEY=WLINAXMXQV&amp;VAR:QUERY=KFBfUFJJQ0UoMzk5NjcpLShGRl9DQVNIX1NUKFFUUiwzOTk2NykvUF9DT01fU0hTX09VVCgzOTk2NykpKS9GR","V9FU1RJTUFURSgnRVBTJywnTUVBTicsJ0FOTlVBTF9ST0xMJywnKzEnLDM5OTY3LCwsJycp&amp;WINDOW=FIRST_POPUP&amp;HEIGHT=450&amp;WIDTH=450&amp;START_MAXIMIZED=FALSE&amp;VAR:CALENDAR=US&amp;VAR:SYMBOL=38259P50&amp;VAR:INDEX=0"}</definedName>
    <definedName name="_3267__FDSAUDITLINK__">{"fdsup://directions/FAT Viewer?action=UPDATE&amp;creator=factset&amp;DYN_ARGS=TRUE&amp;DOC_NAME=FAT:FQL_AUDITING_CLIENT_TEMPLATE.FAT&amp;display_string=Audit&amp;VAR:KEY=IZETQVYFED&amp;VAR:QUERY=KFBfUFJJQ0UoMzk5NjYpLShGRl9DQVNIX1NUKFFUUiwzOTk2NikvUF9DT01fU0hTX09VVCgzOTk2NikpKS9GR","V9FU1RJTUFURSgnRVBTJywnTUVBTicsJ0FOTlVBTF9ST0xMJywnKzEnLDM5OTY2LCwsJycp&amp;WINDOW=FIRST_POPUP&amp;HEIGHT=450&amp;WIDTH=450&amp;START_MAXIMIZED=FALSE&amp;VAR:CALENDAR=US&amp;VAR:SYMBOL=38259P50&amp;VAR:INDEX=0"}</definedName>
    <definedName name="_3268__FDSAUDITLINK__">{"fdsup://directions/FAT Viewer?action=UPDATE&amp;creator=factset&amp;DYN_ARGS=TRUE&amp;DOC_NAME=FAT:FQL_AUDITING_CLIENT_TEMPLATE.FAT&amp;display_string=Audit&amp;VAR:KEY=IZETQVYFED&amp;VAR:QUERY=KFBfUFJJQ0UoMzk5NjYpLShGRl9DQVNIX1NUKFFUUiwzOTk2NikvUF9DT01fU0hTX09VVCgzOTk2NikpKS9GR","V9FU1RJTUFURSgnRVBTJywnTUVBTicsJ0FOTlVBTF9ST0xMJywnKzEnLDM5OTY2LCwsJycp&amp;WINDOW=FIRST_POPUP&amp;HEIGHT=450&amp;WIDTH=450&amp;START_MAXIMIZED=FALSE&amp;VAR:CALENDAR=US&amp;VAR:SYMBOL=38259P50&amp;VAR:INDEX=0"}</definedName>
    <definedName name="_3269__FDSAUDITLINK__">{"fdsup://directions/FAT Viewer?action=UPDATE&amp;creator=factset&amp;DYN_ARGS=TRUE&amp;DOC_NAME=FAT:FQL_AUDITING_CLIENT_TEMPLATE.FAT&amp;display_string=Audit&amp;VAR:KEY=SHSXEPSHEJ&amp;VAR:QUERY=KFBfUFJJQ0UoMzk5NjUpLShGRl9DQVNIX1NUKFFUUiwzOTk2NSkvUF9DT01fU0hTX09VVCgzOTk2NSkpKS9GR","V9FU1RJTUFURSgnRVBTJywnTUVBTicsJ0FOTlVBTF9ST0xMJywnKzEnLDM5OTY1LCwsJycp&amp;WINDOW=FIRST_POPUP&amp;HEIGHT=450&amp;WIDTH=450&amp;START_MAXIMIZED=FALSE&amp;VAR:CALENDAR=US&amp;VAR:SYMBOL=38259P50&amp;VAR:INDEX=0"}</definedName>
    <definedName name="_32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202"}</definedName>
    <definedName name="_3270__FDSAUDITLINK__">{"fdsup://directions/FAT Viewer?action=UPDATE&amp;creator=factset&amp;DYN_ARGS=TRUE&amp;DOC_NAME=FAT:FQL_AUDITING_CLIENT_TEMPLATE.FAT&amp;display_string=Audit&amp;VAR:KEY=SHSXEPSHEJ&amp;VAR:QUERY=KFBfUFJJQ0UoMzk5NjUpLShGRl9DQVNIX1NUKFFUUiwzOTk2NSkvUF9DT01fU0hTX09VVCgzOTk2NSkpKS9GR","V9FU1RJTUFURSgnRVBTJywnTUVBTicsJ0FOTlVBTF9ST0xMJywnKzEnLDM5OTY1LCwsJycp&amp;WINDOW=FIRST_POPUP&amp;HEIGHT=450&amp;WIDTH=450&amp;START_MAXIMIZED=FALSE&amp;VAR:CALENDAR=US&amp;VAR:SYMBOL=38259P50&amp;VAR:INDEX=0"}</definedName>
    <definedName name="_3271__FDSAUDITLINK__">{"fdsup://directions/FAT Viewer?action=UPDATE&amp;creator=factset&amp;DYN_ARGS=TRUE&amp;DOC_NAME=FAT:FQL_AUDITING_CLIENT_TEMPLATE.FAT&amp;display_string=Audit&amp;VAR:KEY=MPGNIXQNIV&amp;VAR:QUERY=KFBfUFJJQ0UoMzk5NjQpLShGRl9DQVNIX1NUKFFUUiwzOTk2NCkvUF9DT01fU0hTX09VVCgzOTk2NCkpKS9GR","V9FU1RJTUFURSgnRVBTJywnTUVBTicsJ0FOTlVBTF9ST0xMJywnKzEnLDM5OTY0LCwsJycp&amp;WINDOW=FIRST_POPUP&amp;HEIGHT=450&amp;WIDTH=450&amp;START_MAXIMIZED=FALSE&amp;VAR:CALENDAR=US&amp;VAR:SYMBOL=38259P50&amp;VAR:INDEX=0"}</definedName>
    <definedName name="_3272__FDSAUDITLINK__">{"fdsup://directions/FAT Viewer?action=UPDATE&amp;creator=factset&amp;DYN_ARGS=TRUE&amp;DOC_NAME=FAT:FQL_AUDITING_CLIENT_TEMPLATE.FAT&amp;display_string=Audit&amp;VAR:KEY=MPGNIXQNIV&amp;VAR:QUERY=KFBfUFJJQ0UoMzk5NjQpLShGRl9DQVNIX1NUKFFUUiwzOTk2NCkvUF9DT01fU0hTX09VVCgzOTk2NCkpKS9GR","V9FU1RJTUFURSgnRVBTJywnTUVBTicsJ0FOTlVBTF9ST0xMJywnKzEnLDM5OTY0LCwsJycp&amp;WINDOW=FIRST_POPUP&amp;HEIGHT=450&amp;WIDTH=450&amp;START_MAXIMIZED=FALSE&amp;VAR:CALENDAR=US&amp;VAR:SYMBOL=38259P50&amp;VAR:INDEX=0"}</definedName>
    <definedName name="_3273__FDSAUDITLINK__">{"fdsup://directions/FAT Viewer?action=UPDATE&amp;creator=factset&amp;DYN_ARGS=TRUE&amp;DOC_NAME=FAT:FQL_AUDITING_CLIENT_TEMPLATE.FAT&amp;display_string=Audit&amp;VAR:KEY=KXODSJSVCT&amp;VAR:QUERY=KFBfUFJJQ0UoMzk5NjMpLShGRl9DQVNIX1NUKFFUUiwzOTk2MykvUF9DT01fU0hTX09VVCgzOTk2MykpKS9GR","V9FU1RJTUFURSgnRVBTJywnTUVBTicsJ0FOTlVBTF9ST0xMJywnKzEnLDM5OTYzLCwsJycp&amp;WINDOW=FIRST_POPUP&amp;HEIGHT=450&amp;WIDTH=450&amp;START_MAXIMIZED=FALSE&amp;VAR:CALENDAR=US&amp;VAR:SYMBOL=38259P50&amp;VAR:INDEX=0"}</definedName>
    <definedName name="_3274__FDSAUDITLINK__">{"fdsup://directions/FAT Viewer?action=UPDATE&amp;creator=factset&amp;DYN_ARGS=TRUE&amp;DOC_NAME=FAT:FQL_AUDITING_CLIENT_TEMPLATE.FAT&amp;display_string=Audit&amp;VAR:KEY=KXODSJSVCT&amp;VAR:QUERY=KFBfUFJJQ0UoMzk5NjMpLShGRl9DQVNIX1NUKFFUUiwzOTk2MykvUF9DT01fU0hTX09VVCgzOTk2MykpKS9GR","V9FU1RJTUFURSgnRVBTJywnTUVBTicsJ0FOTlVBTF9ST0xMJywnKzEnLDM5OTYzLCwsJycp&amp;WINDOW=FIRST_POPUP&amp;HEIGHT=450&amp;WIDTH=450&amp;START_MAXIMIZED=FALSE&amp;VAR:CALENDAR=US&amp;VAR:SYMBOL=38259P50&amp;VAR:INDEX=0"}</definedName>
    <definedName name="_3275__FDSAUDITLINK__">{"fdsup://directions/FAT Viewer?action=UPDATE&amp;creator=factset&amp;DYN_ARGS=TRUE&amp;DOC_NAME=FAT:FQL_AUDITING_CLIENT_TEMPLATE.FAT&amp;display_string=Audit&amp;VAR:KEY=WXOHEPSPKX&amp;VAR:QUERY=KFBfUFJJQ0UoMzk5NjIpLShGRl9DQVNIX1NUKFFUUiwzOTk2MikvUF9DT01fU0hTX09VVCgzOTk2MikpKS9GR","V9FU1RJTUFURSgnRVBTJywnTUVBTicsJ0FOTlVBTF9ST0xMJywnKzEnLDM5OTYyLCwsJycp&amp;WINDOW=FIRST_POPUP&amp;HEIGHT=450&amp;WIDTH=450&amp;START_MAXIMIZED=FALSE&amp;VAR:CALENDAR=US&amp;VAR:SYMBOL=38259P50&amp;VAR:INDEX=0"}</definedName>
    <definedName name="_3276__FDSAUDITLINK__">{"fdsup://directions/FAT Viewer?action=UPDATE&amp;creator=factset&amp;DYN_ARGS=TRUE&amp;DOC_NAME=FAT:FQL_AUDITING_CLIENT_TEMPLATE.FAT&amp;display_string=Audit&amp;VAR:KEY=WXOHEPSPKX&amp;VAR:QUERY=KFBfUFJJQ0UoMzk5NjIpLShGRl9DQVNIX1NUKFFUUiwzOTk2MikvUF9DT01fU0hTX09VVCgzOTk2MikpKS9GR","V9FU1RJTUFURSgnRVBTJywnTUVBTicsJ0FOTlVBTF9ST0xMJywnKzEnLDM5OTYyLCwsJycp&amp;WINDOW=FIRST_POPUP&amp;HEIGHT=450&amp;WIDTH=450&amp;START_MAXIMIZED=FALSE&amp;VAR:CALENDAR=US&amp;VAR:SYMBOL=38259P50&amp;VAR:INDEX=0"}</definedName>
    <definedName name="_3277__FDSAUDITLINK__">{"fdsup://directions/FAT Viewer?action=UPDATE&amp;creator=factset&amp;DYN_ARGS=TRUE&amp;DOC_NAME=FAT:FQL_AUDITING_CLIENT_TEMPLATE.FAT&amp;display_string=Audit&amp;VAR:KEY=IJSBMBYTED&amp;VAR:QUERY=KFBfUFJJQ0UoMzk5NjEpLShGRl9DQVNIX1NUKFFUUiwzOTk2MSkvUF9DT01fU0hTX09VVCgzOTk2MSkpKS9GR","V9FU1RJTUFURSgnRVBTJywnTUVBTicsJ0FOTlVBTF9ST0xMJywnKzEnLDM5OTYxLCwsJycp&amp;WINDOW=FIRST_POPUP&amp;HEIGHT=450&amp;WIDTH=450&amp;START_MAXIMIZED=FALSE&amp;VAR:CALENDAR=US&amp;VAR:SYMBOL=38259P50&amp;VAR:INDEX=0"}</definedName>
    <definedName name="_3278__FDSAUDITLINK__">{"fdsup://directions/FAT Viewer?action=UPDATE&amp;creator=factset&amp;DYN_ARGS=TRUE&amp;DOC_NAME=FAT:FQL_AUDITING_CLIENT_TEMPLATE.FAT&amp;display_string=Audit&amp;VAR:KEY=IJSBMBYTED&amp;VAR:QUERY=KFBfUFJJQ0UoMzk5NjEpLShGRl9DQVNIX1NUKFFUUiwzOTk2MSkvUF9DT01fU0hTX09VVCgzOTk2MSkpKS9GR","V9FU1RJTUFURSgnRVBTJywnTUVBTicsJ0FOTlVBTF9ST0xMJywnKzEnLDM5OTYxLCwsJycp&amp;WINDOW=FIRST_POPUP&amp;HEIGHT=450&amp;WIDTH=450&amp;START_MAXIMIZED=FALSE&amp;VAR:CALENDAR=US&amp;VAR:SYMBOL=38259P50&amp;VAR:INDEX=0"}</definedName>
    <definedName name="_3279__FDSAUDITLINK__">{"fdsup://directions/FAT Viewer?action=UPDATE&amp;creator=factset&amp;DYN_ARGS=TRUE&amp;DOC_NAME=FAT:FQL_AUDITING_CLIENT_TEMPLATE.FAT&amp;display_string=Audit&amp;VAR:KEY=WHUNSVMBEH&amp;VAR:QUERY=KFBfUFJJQ0UoMzk5NjApLShGRl9DQVNIX1NUKFFUUiwzOTk2MCkvUF9DT01fU0hTX09VVCgzOTk2MCkpKS9GR","V9FU1RJTUFURSgnRVBTJywnTUVBTicsJ0FOTlVBTF9ST0xMJywnKzEnLDM5OTYwLCwsJycp&amp;WINDOW=FIRST_POPUP&amp;HEIGHT=450&amp;WIDTH=450&amp;START_MAXIMIZED=FALSE&amp;VAR:CALENDAR=US&amp;VAR:SYMBOL=38259P50&amp;VAR:INDEX=0"}</definedName>
    <definedName name="_32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201"}</definedName>
    <definedName name="_3280__FDSAUDITLINK__">{"fdsup://directions/FAT Viewer?action=UPDATE&amp;creator=factset&amp;DYN_ARGS=TRUE&amp;DOC_NAME=FAT:FQL_AUDITING_CLIENT_TEMPLATE.FAT&amp;display_string=Audit&amp;VAR:KEY=WHUNSVMBEH&amp;VAR:QUERY=KFBfUFJJQ0UoMzk5NjApLShGRl9DQVNIX1NUKFFUUiwzOTk2MCkvUF9DT01fU0hTX09VVCgzOTk2MCkpKS9GR","V9FU1RJTUFURSgnRVBTJywnTUVBTicsJ0FOTlVBTF9ST0xMJywnKzEnLDM5OTYwLCwsJycp&amp;WINDOW=FIRST_POPUP&amp;HEIGHT=450&amp;WIDTH=450&amp;START_MAXIMIZED=FALSE&amp;VAR:CALENDAR=US&amp;VAR:SYMBOL=38259P50&amp;VAR:INDEX=0"}</definedName>
    <definedName name="_3281__FDSAUDITLINK__">{"fdsup://directions/FAT Viewer?action=UPDATE&amp;creator=factset&amp;DYN_ARGS=TRUE&amp;DOC_NAME=FAT:FQL_AUDITING_CLIENT_TEMPLATE.FAT&amp;display_string=Audit&amp;VAR:KEY=CNKLWTKFUR&amp;VAR:QUERY=KFBfUFJJQ0UoMzk5NTkpLShGRl9DQVNIX1NUKFFUUiwzOTk1OSkvUF9DT01fU0hTX09VVCgzOTk1OSkpKS9GR","V9FU1RJTUFURSgnRVBTJywnTUVBTicsJ0FOTlVBTF9ST0xMJywnKzEnLDM5OTU5LCwsJycp&amp;WINDOW=FIRST_POPUP&amp;HEIGHT=450&amp;WIDTH=450&amp;START_MAXIMIZED=FALSE&amp;VAR:CALENDAR=US&amp;VAR:SYMBOL=38259P50&amp;VAR:INDEX=0"}</definedName>
    <definedName name="_3282__FDSAUDITLINK__">{"fdsup://directions/FAT Viewer?action=UPDATE&amp;creator=factset&amp;DYN_ARGS=TRUE&amp;DOC_NAME=FAT:FQL_AUDITING_CLIENT_TEMPLATE.FAT&amp;display_string=Audit&amp;VAR:KEY=CNKLWTKFUR&amp;VAR:QUERY=KFBfUFJJQ0UoMzk5NTkpLShGRl9DQVNIX1NUKFFUUiwzOTk1OSkvUF9DT01fU0hTX09VVCgzOTk1OSkpKS9GR","V9FU1RJTUFURSgnRVBTJywnTUVBTicsJ0FOTlVBTF9ST0xMJywnKzEnLDM5OTU5LCwsJycp&amp;WINDOW=FIRST_POPUP&amp;HEIGHT=450&amp;WIDTH=450&amp;START_MAXIMIZED=FALSE&amp;VAR:CALENDAR=US&amp;VAR:SYMBOL=38259P50&amp;VAR:INDEX=0"}</definedName>
    <definedName name="_3283__FDSAUDITLINK__">{"fdsup://directions/FAT Viewer?action=UPDATE&amp;creator=factset&amp;DYN_ARGS=TRUE&amp;DOC_NAME=FAT:FQL_AUDITING_CLIENT_TEMPLATE.FAT&amp;display_string=Audit&amp;VAR:KEY=SVYXMHQBWV&amp;VAR:QUERY=KFBfUFJJQ0UoMzk5NTgpLShGRl9DQVNIX1NUKFFUUiwzOTk1OCkvUF9DT01fU0hTX09VVCgzOTk1OCkpKS9GR","V9FU1RJTUFURSgnRVBTJywnTUVBTicsJ0FOTlVBTF9ST0xMJywnKzEnLDM5OTU4LCwsJycp&amp;WINDOW=FIRST_POPUP&amp;HEIGHT=450&amp;WIDTH=450&amp;START_MAXIMIZED=FALSE&amp;VAR:CALENDAR=US&amp;VAR:SYMBOL=38259P50&amp;VAR:INDEX=0"}</definedName>
    <definedName name="_3284__FDSAUDITLINK__">{"fdsup://directions/FAT Viewer?action=UPDATE&amp;creator=factset&amp;DYN_ARGS=TRUE&amp;DOC_NAME=FAT:FQL_AUDITING_CLIENT_TEMPLATE.FAT&amp;display_string=Audit&amp;VAR:KEY=SVYXMHQBWV&amp;VAR:QUERY=KFBfUFJJQ0UoMzk5NTgpLShGRl9DQVNIX1NUKFFUUiwzOTk1OCkvUF9DT01fU0hTX09VVCgzOTk1OCkpKS9GR","V9FU1RJTUFURSgnRVBTJywnTUVBTicsJ0FOTlVBTF9ST0xMJywnKzEnLDM5OTU4LCwsJycp&amp;WINDOW=FIRST_POPUP&amp;HEIGHT=450&amp;WIDTH=450&amp;START_MAXIMIZED=FALSE&amp;VAR:CALENDAR=US&amp;VAR:SYMBOL=38259P50&amp;VAR:INDEX=0"}</definedName>
    <definedName name="_3285__FDSAUDITLINK__">{"fdsup://directions/FAT Viewer?action=UPDATE&amp;creator=factset&amp;DYN_ARGS=TRUE&amp;DOC_NAME=FAT:FQL_AUDITING_CLIENT_TEMPLATE.FAT&amp;display_string=Audit&amp;VAR:KEY=OXUHGBQZUR&amp;VAR:QUERY=KFBfUFJJQ0UoMzk5NTcpLShGRl9DQVNIX1NUKFFUUiwzOTk1NykvUF9DT01fU0hTX09VVCgzOTk1NykpKS9GR","V9FU1RJTUFURSgnRVBTJywnTUVBTicsJ0FOTlVBTF9ST0xMJywnKzEnLDM5OTU3LCwsJycp&amp;WINDOW=FIRST_POPUP&amp;HEIGHT=450&amp;WIDTH=450&amp;START_MAXIMIZED=FALSE&amp;VAR:CALENDAR=US&amp;VAR:SYMBOL=38259P50&amp;VAR:INDEX=0"}</definedName>
    <definedName name="_3286__FDSAUDITLINK__">{"fdsup://directions/FAT Viewer?action=UPDATE&amp;creator=factset&amp;DYN_ARGS=TRUE&amp;DOC_NAME=FAT:FQL_AUDITING_CLIENT_TEMPLATE.FAT&amp;display_string=Audit&amp;VAR:KEY=OXUHGBQZUR&amp;VAR:QUERY=KFBfUFJJQ0UoMzk5NTcpLShGRl9DQVNIX1NUKFFUUiwzOTk1NykvUF9DT01fU0hTX09VVCgzOTk1NykpKS9GR","V9FU1RJTUFURSgnRVBTJywnTUVBTicsJ0FOTlVBTF9ST0xMJywnKzEnLDM5OTU3LCwsJycp&amp;WINDOW=FIRST_POPUP&amp;HEIGHT=450&amp;WIDTH=450&amp;START_MAXIMIZED=FALSE&amp;VAR:CALENDAR=US&amp;VAR:SYMBOL=38259P50&amp;VAR:INDEX=0"}</definedName>
    <definedName name="_3287__FDSAUDITLINK__">{"fdsup://directions/FAT Viewer?action=UPDATE&amp;creator=factset&amp;DYN_ARGS=TRUE&amp;DOC_NAME=FAT:FQL_AUDITING_CLIENT_TEMPLATE.FAT&amp;display_string=Audit&amp;VAR:KEY=GHMDKXWZIH&amp;VAR:QUERY=KFBfUFJJQ0UoMzk5NTYpLShGRl9DQVNIX1NUKFFUUiwzOTk1NikvUF9DT01fU0hTX09VVCgzOTk1NikpKS9GR","V9FU1RJTUFURSgnRVBTJywnTUVBTicsJ0FOTlVBTF9ST0xMJywnKzEnLDM5OTU2LCwsJycp&amp;WINDOW=FIRST_POPUP&amp;HEIGHT=450&amp;WIDTH=450&amp;START_MAXIMIZED=FALSE&amp;VAR:CALENDAR=US&amp;VAR:SYMBOL=38259P50&amp;VAR:INDEX=0"}</definedName>
    <definedName name="_3288__FDSAUDITLINK__">{"fdsup://directions/FAT Viewer?action=UPDATE&amp;creator=factset&amp;DYN_ARGS=TRUE&amp;DOC_NAME=FAT:FQL_AUDITING_CLIENT_TEMPLATE.FAT&amp;display_string=Audit&amp;VAR:KEY=GHMDKXWZIH&amp;VAR:QUERY=KFBfUFJJQ0UoMzk5NTYpLShGRl9DQVNIX1NUKFFUUiwzOTk1NikvUF9DT01fU0hTX09VVCgzOTk1NikpKS9GR","V9FU1RJTUFURSgnRVBTJywnTUVBTicsJ0FOTlVBTF9ST0xMJywnKzEnLDM5OTU2LCwsJycp&amp;WINDOW=FIRST_POPUP&amp;HEIGHT=450&amp;WIDTH=450&amp;START_MAXIMIZED=FALSE&amp;VAR:CALENDAR=US&amp;VAR:SYMBOL=38259P50&amp;VAR:INDEX=0"}</definedName>
    <definedName name="_3289__FDSAUDITLINK__">{"fdsup://directions/FAT Viewer?action=UPDATE&amp;creator=factset&amp;DYN_ARGS=TRUE&amp;DOC_NAME=FAT:FQL_AUDITING_CLIENT_TEMPLATE.FAT&amp;display_string=Audit&amp;VAR:KEY=QVELCRUTEJ&amp;VAR:QUERY=KFBfUFJJQ0UoMzk5NTUpLShGRl9DQVNIX1NUKFFUUiwzOTk1NSkvUF9DT01fU0hTX09VVCgzOTk1NSkpKS9GR","V9FU1RJTUFURSgnRVBTJywnTUVBTicsJ0FOTlVBTF9ST0xMJywnKzEnLDM5OTU1LCwsJycp&amp;WINDOW=FIRST_POPUP&amp;HEIGHT=450&amp;WIDTH=450&amp;START_MAXIMIZED=FALSE&amp;VAR:CALENDAR=US&amp;VAR:SYMBOL=38259P50&amp;VAR:INDEX=0"}</definedName>
    <definedName name="_32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200"}</definedName>
    <definedName name="_3290__FDSAUDITLINK__">{"fdsup://directions/FAT Viewer?action=UPDATE&amp;creator=factset&amp;DYN_ARGS=TRUE&amp;DOC_NAME=FAT:FQL_AUDITING_CLIENT_TEMPLATE.FAT&amp;display_string=Audit&amp;VAR:KEY=QVELCRUTEJ&amp;VAR:QUERY=KFBfUFJJQ0UoMzk5NTUpLShGRl9DQVNIX1NUKFFUUiwzOTk1NSkvUF9DT01fU0hTX09VVCgzOTk1NSkpKS9GR","V9FU1RJTUFURSgnRVBTJywnTUVBTicsJ0FOTlVBTF9ST0xMJywnKzEnLDM5OTU1LCwsJycp&amp;WINDOW=FIRST_POPUP&amp;HEIGHT=450&amp;WIDTH=450&amp;START_MAXIMIZED=FALSE&amp;VAR:CALENDAR=US&amp;VAR:SYMBOL=38259P50&amp;VAR:INDEX=0"}</definedName>
    <definedName name="_3291__FDSAUDITLINK__">{"fdsup://directions/FAT Viewer?action=UPDATE&amp;creator=factset&amp;DYN_ARGS=TRUE&amp;DOC_NAME=FAT:FQL_AUDITING_CLIENT_TEMPLATE.FAT&amp;display_string=Audit&amp;VAR:KEY=EJAZSJGPIZ&amp;VAR:QUERY=KFBfUFJJQ0UoMzk5NTQpLShGRl9DQVNIX1NUKFFUUiwzOTk1NCkvUF9DT01fU0hTX09VVCgzOTk1NCkpKS9GR","V9FU1RJTUFURSgnRVBTJywnTUVBTicsJ0FOTlVBTF9ST0xMJywnKzEnLDM5OTU0LCwsJycp&amp;WINDOW=FIRST_POPUP&amp;HEIGHT=450&amp;WIDTH=450&amp;START_MAXIMIZED=FALSE&amp;VAR:CALENDAR=US&amp;VAR:SYMBOL=38259P50&amp;VAR:INDEX=0"}</definedName>
    <definedName name="_3292__FDSAUDITLINK__">{"fdsup://directions/FAT Viewer?action=UPDATE&amp;creator=factset&amp;DYN_ARGS=TRUE&amp;DOC_NAME=FAT:FQL_AUDITING_CLIENT_TEMPLATE.FAT&amp;display_string=Audit&amp;VAR:KEY=EJAZSJGPIZ&amp;VAR:QUERY=KFBfUFJJQ0UoMzk5NTQpLShGRl9DQVNIX1NUKFFUUiwzOTk1NCkvUF9DT01fU0hTX09VVCgzOTk1NCkpKS9GR","V9FU1RJTUFURSgnRVBTJywnTUVBTicsJ0FOTlVBTF9ST0xMJywnKzEnLDM5OTU0LCwsJycp&amp;WINDOW=FIRST_POPUP&amp;HEIGHT=450&amp;WIDTH=450&amp;START_MAXIMIZED=FALSE&amp;VAR:CALENDAR=US&amp;VAR:SYMBOL=38259P50&amp;VAR:INDEX=0"}</definedName>
    <definedName name="_3293__FDSAUDITLINK__">{"fdsup://directions/FAT Viewer?action=UPDATE&amp;creator=factset&amp;DYN_ARGS=TRUE&amp;DOC_NAME=FAT:FQL_AUDITING_CLIENT_TEMPLATE.FAT&amp;display_string=Audit&amp;VAR:KEY=EXYBIREFCP&amp;VAR:QUERY=KFBfUFJJQ0UoMzk5NTMpLShGRl9DQVNIX1NUKFFUUiwzOTk1MykvUF9DT01fU0hTX09VVCgzOTk1MykpKS9GR","V9FU1RJTUFURSgnRVBTJywnTUVBTicsJ0FOTlVBTF9ST0xMJywnKzEnLDM5OTUzLCwsJycp&amp;WINDOW=FIRST_POPUP&amp;HEIGHT=450&amp;WIDTH=450&amp;START_MAXIMIZED=FALSE&amp;VAR:CALENDAR=US&amp;VAR:SYMBOL=38259P50&amp;VAR:INDEX=0"}</definedName>
    <definedName name="_3294__FDSAUDITLINK__">{"fdsup://directions/FAT Viewer?action=UPDATE&amp;creator=factset&amp;DYN_ARGS=TRUE&amp;DOC_NAME=FAT:FQL_AUDITING_CLIENT_TEMPLATE.FAT&amp;display_string=Audit&amp;VAR:KEY=EXYBIREFCP&amp;VAR:QUERY=KFBfUFJJQ0UoMzk5NTMpLShGRl9DQVNIX1NUKFFUUiwzOTk1MykvUF9DT01fU0hTX09VVCgzOTk1MykpKS9GR","V9FU1RJTUFURSgnRVBTJywnTUVBTicsJ0FOTlVBTF9ST0xMJywnKzEnLDM5OTUzLCwsJycp&amp;WINDOW=FIRST_POPUP&amp;HEIGHT=450&amp;WIDTH=450&amp;START_MAXIMIZED=FALSE&amp;VAR:CALENDAR=US&amp;VAR:SYMBOL=38259P50&amp;VAR:INDEX=0"}</definedName>
    <definedName name="_3295__FDSAUDITLINK__">{"fdsup://directions/FAT Viewer?action=UPDATE&amp;creator=factset&amp;DYN_ARGS=TRUE&amp;DOC_NAME=FAT:FQL_AUDITING_CLIENT_TEMPLATE.FAT&amp;display_string=Audit&amp;VAR:KEY=EZEJIPUVKT&amp;VAR:QUERY=KFBfUFJJQ0UoMzk5NTIpLShGRl9DQVNIX1NUKFFUUiwzOTk1MikvUF9DT01fU0hTX09VVCgzOTk1MikpKS9GR","V9FU1RJTUFURSgnRVBTJywnTUVBTicsJ0FOTlVBTF9ST0xMJywnKzEnLDM5OTUyLCwsJycp&amp;WINDOW=FIRST_POPUP&amp;HEIGHT=450&amp;WIDTH=450&amp;START_MAXIMIZED=FALSE&amp;VAR:CALENDAR=US&amp;VAR:SYMBOL=38259P50&amp;VAR:INDEX=0"}</definedName>
    <definedName name="_3296__FDSAUDITLINK__">{"fdsup://directions/FAT Viewer?action=UPDATE&amp;creator=factset&amp;DYN_ARGS=TRUE&amp;DOC_NAME=FAT:FQL_AUDITING_CLIENT_TEMPLATE.FAT&amp;display_string=Audit&amp;VAR:KEY=EZEJIPUVKT&amp;VAR:QUERY=KFBfUFJJQ0UoMzk5NTIpLShGRl9DQVNIX1NUKFFUUiwzOTk1MikvUF9DT01fU0hTX09VVCgzOTk1MikpKS9GR","V9FU1RJTUFURSgnRVBTJywnTUVBTicsJ0FOTlVBTF9ST0xMJywnKzEnLDM5OTUyLCwsJycp&amp;WINDOW=FIRST_POPUP&amp;HEIGHT=450&amp;WIDTH=450&amp;START_MAXIMIZED=FALSE&amp;VAR:CALENDAR=US&amp;VAR:SYMBOL=38259P50&amp;VAR:INDEX=0"}</definedName>
    <definedName name="_3297__FDSAUDITLINK__">{"fdsup://directions/FAT Viewer?action=UPDATE&amp;creator=factset&amp;DYN_ARGS=TRUE&amp;DOC_NAME=FAT:FQL_AUDITING_CLIENT_TEMPLATE.FAT&amp;display_string=Audit&amp;VAR:KEY=YDKXAFAJUH&amp;VAR:QUERY=KFBfUFJJQ0UoMzk5NTEpLShGRl9DQVNIX1NUKFFUUiwzOTk1MSkvUF9DT01fU0hTX09VVCgzOTk1MSkpKS9GR","V9FU1RJTUFURSgnRVBTJywnTUVBTicsJ0FOTlVBTF9ST0xMJywnKzEnLDM5OTUxLCwsJycp&amp;WINDOW=FIRST_POPUP&amp;HEIGHT=450&amp;WIDTH=450&amp;START_MAXIMIZED=FALSE&amp;VAR:CALENDAR=US&amp;VAR:SYMBOL=38259P50&amp;VAR:INDEX=0"}</definedName>
    <definedName name="_3298__FDSAUDITLINK__">{"fdsup://directions/FAT Viewer?action=UPDATE&amp;creator=factset&amp;DYN_ARGS=TRUE&amp;DOC_NAME=FAT:FQL_AUDITING_CLIENT_TEMPLATE.FAT&amp;display_string=Audit&amp;VAR:KEY=YDKXAFAJUH&amp;VAR:QUERY=KFBfUFJJQ0UoMzk5NTEpLShGRl9DQVNIX1NUKFFUUiwzOTk1MSkvUF9DT01fU0hTX09VVCgzOTk1MSkpKS9GR","V9FU1RJTUFURSgnRVBTJywnTUVBTicsJ0FOTlVBTF9ST0xMJywnKzEnLDM5OTUxLCwsJycp&amp;WINDOW=FIRST_POPUP&amp;HEIGHT=450&amp;WIDTH=450&amp;START_MAXIMIZED=FALSE&amp;VAR:CALENDAR=US&amp;VAR:SYMBOL=38259P50&amp;VAR:INDEX=0"}</definedName>
    <definedName name="_3299__FDSAUDITLINK__">{"fdsup://directions/FAT Viewer?action=UPDATE&amp;creator=factset&amp;DYN_ARGS=TRUE&amp;DOC_NAME=FAT:FQL_AUDITING_CLIENT_TEMPLATE.FAT&amp;display_string=Audit&amp;VAR:KEY=IRKXMBMPOJ&amp;VAR:QUERY=KFBfUFJJQ0UoMzk5NTApLShGRl9DQVNIX1NUKFFUUiwzOTk1MCkvUF9DT01fU0hTX09VVCgzOTk1MCkpKS9GR","V9FU1RJTUFURSgnRVBTJywnTUVBTicsJ0FOTlVBTF9ST0xMJywnKzEnLDM5OTUwLCwsJycp&amp;WINDOW=FIRST_POPUP&amp;HEIGHT=450&amp;WIDTH=450&amp;START_MAXIMIZED=FALSE&amp;VAR:CALENDAR=US&amp;VAR:SYMBOL=38259P50&amp;VAR:INDEX=0"}</definedName>
    <definedName name="_3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17.715662&amp;VAR:V0=18.841189&amp;VAR:V1=16.701423&amp;VAR:Y0=2003&amp;VAR:Y1=2004&amp;VAR:P=974.500900&amp;VAR:DATE=20030630&amp;VAR:THRESH=-|-|-","|-|-|-|-"}</definedName>
    <definedName name="_33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199"}</definedName>
    <definedName name="_3300__FDSAUDITLINK__">{"fdsup://directions/FAT Viewer?action=UPDATE&amp;creator=factset&amp;DYN_ARGS=TRUE&amp;DOC_NAME=FAT:FQL_AUDITING_CLIENT_TEMPLATE.FAT&amp;display_string=Audit&amp;VAR:KEY=IRKXMBMPOJ&amp;VAR:QUERY=KFBfUFJJQ0UoMzk5NTApLShGRl9DQVNIX1NUKFFUUiwzOTk1MCkvUF9DT01fU0hTX09VVCgzOTk1MCkpKS9GR","V9FU1RJTUFURSgnRVBTJywnTUVBTicsJ0FOTlVBTF9ST0xMJywnKzEnLDM5OTUwLCwsJycp&amp;WINDOW=FIRST_POPUP&amp;HEIGHT=450&amp;WIDTH=450&amp;START_MAXIMIZED=FALSE&amp;VAR:CALENDAR=US&amp;VAR:SYMBOL=38259P50&amp;VAR:INDEX=0"}</definedName>
    <definedName name="_3301__FDSAUDITLINK__">{"fdsup://directions/FAT Viewer?action=UPDATE&amp;creator=factset&amp;DYN_ARGS=TRUE&amp;DOC_NAME=FAT:FQL_AUDITING_CLIENT_TEMPLATE.FAT&amp;display_string=Audit&amp;VAR:KEY=KPKZQXGXQP&amp;VAR:QUERY=KFBfUFJJQ0UoMzk5NDkpLShGRl9DQVNIX1NUKFFUUiwzOTk0OSkvUF9DT01fU0hTX09VVCgzOTk0OSkpKS9GR","V9FU1RJTUFURSgnRVBTJywnTUVBTicsJ0FOTlVBTF9ST0xMJywnKzEnLDM5OTQ5LCwsJycp&amp;WINDOW=FIRST_POPUP&amp;HEIGHT=450&amp;WIDTH=450&amp;START_MAXIMIZED=FALSE&amp;VAR:CALENDAR=US&amp;VAR:SYMBOL=38259P50&amp;VAR:INDEX=0"}</definedName>
    <definedName name="_3302__FDSAUDITLINK__">{"fdsup://directions/FAT Viewer?action=UPDATE&amp;creator=factset&amp;DYN_ARGS=TRUE&amp;DOC_NAME=FAT:FQL_AUDITING_CLIENT_TEMPLATE.FAT&amp;display_string=Audit&amp;VAR:KEY=KPKZQXGXQP&amp;VAR:QUERY=KFBfUFJJQ0UoMzk5NDkpLShGRl9DQVNIX1NUKFFUUiwzOTk0OSkvUF9DT01fU0hTX09VVCgzOTk0OSkpKS9GR","V9FU1RJTUFURSgnRVBTJywnTUVBTicsJ0FOTlVBTF9ST0xMJywnKzEnLDM5OTQ5LCwsJycp&amp;WINDOW=FIRST_POPUP&amp;HEIGHT=450&amp;WIDTH=450&amp;START_MAXIMIZED=FALSE&amp;VAR:CALENDAR=US&amp;VAR:SYMBOL=38259P50&amp;VAR:INDEX=0"}</definedName>
    <definedName name="_3303__FDSAUDITLINK__">{"fdsup://directions/FAT Viewer?action=UPDATE&amp;creator=factset&amp;DYN_ARGS=TRUE&amp;DOC_NAME=FAT:FQL_AUDITING_CLIENT_TEMPLATE.FAT&amp;display_string=Audit&amp;VAR:KEY=GVYHUJQXIN&amp;VAR:QUERY=KFBfUFJJQ0UoMzk5NDgpLShGRl9DQVNIX1NUKFFUUiwzOTk0OCkvUF9DT01fU0hTX09VVCgzOTk0OCkpKS9GR","V9FU1RJTUFURSgnRVBTJywnTUVBTicsJ0FOTlVBTF9ST0xMJywnKzEnLDM5OTQ4LCwsJycp&amp;WINDOW=FIRST_POPUP&amp;HEIGHT=450&amp;WIDTH=450&amp;START_MAXIMIZED=FALSE&amp;VAR:CALENDAR=US&amp;VAR:SYMBOL=38259P50&amp;VAR:INDEX=0"}</definedName>
    <definedName name="_3304__FDSAUDITLINK__">{"fdsup://directions/FAT Viewer?action=UPDATE&amp;creator=factset&amp;DYN_ARGS=TRUE&amp;DOC_NAME=FAT:FQL_AUDITING_CLIENT_TEMPLATE.FAT&amp;display_string=Audit&amp;VAR:KEY=GVYHUJQXIN&amp;VAR:QUERY=KFBfUFJJQ0UoMzk5NDgpLShGRl9DQVNIX1NUKFFUUiwzOTk0OCkvUF9DT01fU0hTX09VVCgzOTk0OCkpKS9GR","V9FU1RJTUFURSgnRVBTJywnTUVBTicsJ0FOTlVBTF9ST0xMJywnKzEnLDM5OTQ4LCwsJycp&amp;WINDOW=FIRST_POPUP&amp;HEIGHT=450&amp;WIDTH=450&amp;START_MAXIMIZED=FALSE&amp;VAR:CALENDAR=US&amp;VAR:SYMBOL=38259P50&amp;VAR:INDEX=0"}</definedName>
    <definedName name="_3305__FDSAUDITLINK__">{"fdsup://directions/FAT Viewer?action=UPDATE&amp;creator=factset&amp;DYN_ARGS=TRUE&amp;DOC_NAME=FAT:FQL_AUDITING_CLIENT_TEMPLATE.FAT&amp;display_string=Audit&amp;VAR:KEY=YVYLKBAZQV&amp;VAR:QUERY=KFBfUFJJQ0UoMzk5NDcpLShGRl9DQVNIX1NUKFFUUiwzOTk0NykvUF9DT01fU0hTX09VVCgzOTk0NykpKS9GR","V9FU1RJTUFURSgnRVBTJywnTUVBTicsJ0FOTlVBTF9ST0xMJywnKzEnLDM5OTQ3LCwsJycp&amp;WINDOW=FIRST_POPUP&amp;HEIGHT=450&amp;WIDTH=450&amp;START_MAXIMIZED=FALSE&amp;VAR:CALENDAR=US&amp;VAR:SYMBOL=38259P50&amp;VAR:INDEX=0"}</definedName>
    <definedName name="_3306__FDSAUDITLINK__">{"fdsup://directions/FAT Viewer?action=UPDATE&amp;creator=factset&amp;DYN_ARGS=TRUE&amp;DOC_NAME=FAT:FQL_AUDITING_CLIENT_TEMPLATE.FAT&amp;display_string=Audit&amp;VAR:KEY=YVYLKBAZQV&amp;VAR:QUERY=KFBfUFJJQ0UoMzk5NDcpLShGRl9DQVNIX1NUKFFUUiwzOTk0NykvUF9DT01fU0hTX09VVCgzOTk0NykpKS9GR","V9FU1RJTUFURSgnRVBTJywnTUVBTicsJ0FOTlVBTF9ST0xMJywnKzEnLDM5OTQ3LCwsJycp&amp;WINDOW=FIRST_POPUP&amp;HEIGHT=450&amp;WIDTH=450&amp;START_MAXIMIZED=FALSE&amp;VAR:CALENDAR=US&amp;VAR:SYMBOL=38259P50&amp;VAR:INDEX=0"}</definedName>
    <definedName name="_3307__FDSAUDITLINK__">{"fdsup://directions/FAT Viewer?action=UPDATE&amp;creator=factset&amp;DYN_ARGS=TRUE&amp;DOC_NAME=FAT:FQL_AUDITING_CLIENT_TEMPLATE.FAT&amp;display_string=Audit&amp;VAR:KEY=OTMHOJQRON&amp;VAR:QUERY=KFBfUFJJQ0UoMzk5NDYpLShGRl9DQVNIX1NUKFFUUiwzOTk0NikvUF9DT01fU0hTX09VVCgzOTk0NikpKS9GR","V9FU1RJTUFURSgnRVBTJywnTUVBTicsJ0FOTlVBTF9ST0xMJywnKzEnLDM5OTQ2LCwsJycp&amp;WINDOW=FIRST_POPUP&amp;HEIGHT=450&amp;WIDTH=450&amp;START_MAXIMIZED=FALSE&amp;VAR:CALENDAR=US&amp;VAR:SYMBOL=38259P50&amp;VAR:INDEX=0"}</definedName>
    <definedName name="_3308__FDSAUDITLINK__">{"fdsup://directions/FAT Viewer?action=UPDATE&amp;creator=factset&amp;DYN_ARGS=TRUE&amp;DOC_NAME=FAT:FQL_AUDITING_CLIENT_TEMPLATE.FAT&amp;display_string=Audit&amp;VAR:KEY=OTMHOJQRON&amp;VAR:QUERY=KFBfUFJJQ0UoMzk5NDYpLShGRl9DQVNIX1NUKFFUUiwzOTk0NikvUF9DT01fU0hTX09VVCgzOTk0NikpKS9GR","V9FU1RJTUFURSgnRVBTJywnTUVBTicsJ0FOTlVBTF9ST0xMJywnKzEnLDM5OTQ2LCwsJycp&amp;WINDOW=FIRST_POPUP&amp;HEIGHT=450&amp;WIDTH=450&amp;START_MAXIMIZED=FALSE&amp;VAR:CALENDAR=US&amp;VAR:SYMBOL=38259P50&amp;VAR:INDEX=0"}</definedName>
    <definedName name="_3309__FDSAUDITLINK__">{"fdsup://directions/FAT Viewer?action=UPDATE&amp;creator=factset&amp;DYN_ARGS=TRUE&amp;DOC_NAME=FAT:FQL_AUDITING_CLIENT_TEMPLATE.FAT&amp;display_string=Audit&amp;VAR:KEY=QNSNAZWRAN&amp;VAR:QUERY=KFBfUFJJQ0UoMzk5NDUpLShGRl9DQVNIX1NUKFFUUiwzOTk0NSkvUF9DT01fU0hTX09VVCgzOTk0NSkpKS9GR","V9FU1RJTUFURSgnRVBTJywnTUVBTicsJ0FOTlVBTF9ST0xMJywnKzEnLDM5OTQ1LCwsJycp&amp;WINDOW=FIRST_POPUP&amp;HEIGHT=450&amp;WIDTH=450&amp;START_MAXIMIZED=FALSE&amp;VAR:CALENDAR=US&amp;VAR:SYMBOL=38259P50&amp;VAR:INDEX=0"}</definedName>
    <definedName name="_33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198"}</definedName>
    <definedName name="_3310__FDSAUDITLINK__">{"fdsup://directions/FAT Viewer?action=UPDATE&amp;creator=factset&amp;DYN_ARGS=TRUE&amp;DOC_NAME=FAT:FQL_AUDITING_CLIENT_TEMPLATE.FAT&amp;display_string=Audit&amp;VAR:KEY=QNSNAZWRAN&amp;VAR:QUERY=KFBfUFJJQ0UoMzk5NDUpLShGRl9DQVNIX1NUKFFUUiwzOTk0NSkvUF9DT01fU0hTX09VVCgzOTk0NSkpKS9GR","V9FU1RJTUFURSgnRVBTJywnTUVBTicsJ0FOTlVBTF9ST0xMJywnKzEnLDM5OTQ1LCwsJycp&amp;WINDOW=FIRST_POPUP&amp;HEIGHT=450&amp;WIDTH=450&amp;START_MAXIMIZED=FALSE&amp;VAR:CALENDAR=US&amp;VAR:SYMBOL=38259P50&amp;VAR:INDEX=0"}</definedName>
    <definedName name="_3311__FDSAUDITLINK__">{"fdsup://directions/FAT Viewer?action=UPDATE&amp;creator=factset&amp;DYN_ARGS=TRUE&amp;DOC_NAME=FAT:FQL_AUDITING_CLIENT_TEMPLATE.FAT&amp;display_string=Audit&amp;VAR:KEY=WTCPEXEBWP&amp;VAR:QUERY=KFBfUFJJQ0UoMzk5NDQpLShGRl9DQVNIX1NUKFFUUiwzOTk0NCkvUF9DT01fU0hTX09VVCgzOTk0NCkpKS9GR","V9FU1RJTUFURSgnRVBTJywnTUVBTicsJ0FOTlVBTF9ST0xMJywnKzEnLDM5OTQ0LCwsJycp&amp;WINDOW=FIRST_POPUP&amp;HEIGHT=450&amp;WIDTH=450&amp;START_MAXIMIZED=FALSE&amp;VAR:CALENDAR=US&amp;VAR:SYMBOL=38259P50&amp;VAR:INDEX=0"}</definedName>
    <definedName name="_3312__FDSAUDITLINK__">{"fdsup://directions/FAT Viewer?action=UPDATE&amp;creator=factset&amp;DYN_ARGS=TRUE&amp;DOC_NAME=FAT:FQL_AUDITING_CLIENT_TEMPLATE.FAT&amp;display_string=Audit&amp;VAR:KEY=WTCPEXEBWP&amp;VAR:QUERY=KFBfUFJJQ0UoMzk5NDQpLShGRl9DQVNIX1NUKFFUUiwzOTk0NCkvUF9DT01fU0hTX09VVCgzOTk0NCkpKS9GR","V9FU1RJTUFURSgnRVBTJywnTUVBTicsJ0FOTlVBTF9ST0xMJywnKzEnLDM5OTQ0LCwsJycp&amp;WINDOW=FIRST_POPUP&amp;HEIGHT=450&amp;WIDTH=450&amp;START_MAXIMIZED=FALSE&amp;VAR:CALENDAR=US&amp;VAR:SYMBOL=38259P50&amp;VAR:INDEX=0"}</definedName>
    <definedName name="_3313__FDSAUDITLINK__">{"fdsup://directions/FAT Viewer?action=UPDATE&amp;creator=factset&amp;DYN_ARGS=TRUE&amp;DOC_NAME=FAT:FQL_AUDITING_CLIENT_TEMPLATE.FAT&amp;display_string=Audit&amp;VAR:KEY=MLGBARGDAX&amp;VAR:QUERY=KFBfUFJJQ0UoMzk5NDMpLShGRl9DQVNIX1NUKFFUUiwzOTk0MykvUF9DT01fU0hTX09VVCgzOTk0MykpKS9GR","V9FU1RJTUFURSgnRVBTJywnTUVBTicsJ0FOTlVBTF9ST0xMJywnKzEnLDM5OTQzLCwsJycp&amp;WINDOW=FIRST_POPUP&amp;HEIGHT=450&amp;WIDTH=450&amp;START_MAXIMIZED=FALSE&amp;VAR:CALENDAR=US&amp;VAR:SYMBOL=38259P50&amp;VAR:INDEX=0"}</definedName>
    <definedName name="_3314__FDSAUDITLINK__">{"fdsup://directions/FAT Viewer?action=UPDATE&amp;creator=factset&amp;DYN_ARGS=TRUE&amp;DOC_NAME=FAT:FQL_AUDITING_CLIENT_TEMPLATE.FAT&amp;display_string=Audit&amp;VAR:KEY=MLGBARGDAX&amp;VAR:QUERY=KFBfUFJJQ0UoMzk5NDMpLShGRl9DQVNIX1NUKFFUUiwzOTk0MykvUF9DT01fU0hTX09VVCgzOTk0MykpKS9GR","V9FU1RJTUFURSgnRVBTJywnTUVBTicsJ0FOTlVBTF9ST0xMJywnKzEnLDM5OTQzLCwsJycp&amp;WINDOW=FIRST_POPUP&amp;HEIGHT=450&amp;WIDTH=450&amp;START_MAXIMIZED=FALSE&amp;VAR:CALENDAR=US&amp;VAR:SYMBOL=38259P50&amp;VAR:INDEX=0"}</definedName>
    <definedName name="_3315__FDSAUDITLINK__">{"fdsup://directions/FAT Viewer?action=UPDATE&amp;creator=factset&amp;DYN_ARGS=TRUE&amp;DOC_NAME=FAT:FQL_AUDITING_CLIENT_TEMPLATE.FAT&amp;display_string=Audit&amp;VAR:KEY=GBYBCNSDIL&amp;VAR:QUERY=KFBfUFJJQ0UoMzk5NDIpLShGRl9DQVNIX1NUKFFUUiwzOTk0MikvUF9DT01fU0hTX09VVCgzOTk0MikpKS9GR","V9FU1RJTUFURSgnRVBTJywnTUVBTicsJ0FOTlVBTF9ST0xMJywnKzEnLDM5OTQyLCwsJycp&amp;WINDOW=FIRST_POPUP&amp;HEIGHT=450&amp;WIDTH=450&amp;START_MAXIMIZED=FALSE&amp;VAR:CALENDAR=US&amp;VAR:SYMBOL=38259P50&amp;VAR:INDEX=0"}</definedName>
    <definedName name="_3316__FDSAUDITLINK__">{"fdsup://directions/FAT Viewer?action=UPDATE&amp;creator=factset&amp;DYN_ARGS=TRUE&amp;DOC_NAME=FAT:FQL_AUDITING_CLIENT_TEMPLATE.FAT&amp;display_string=Audit&amp;VAR:KEY=GBYBCNSDIL&amp;VAR:QUERY=KFBfUFJJQ0UoMzk5NDIpLShGRl9DQVNIX1NUKFFUUiwzOTk0MikvUF9DT01fU0hTX09VVCgzOTk0MikpKS9GR","V9FU1RJTUFURSgnRVBTJywnTUVBTicsJ0FOTlVBTF9ST0xMJywnKzEnLDM5OTQyLCwsJycp&amp;WINDOW=FIRST_POPUP&amp;HEIGHT=450&amp;WIDTH=450&amp;START_MAXIMIZED=FALSE&amp;VAR:CALENDAR=US&amp;VAR:SYMBOL=38259P50&amp;VAR:INDEX=0"}</definedName>
    <definedName name="_3317__FDSAUDITLINK__">{"fdsup://directions/FAT Viewer?action=UPDATE&amp;creator=factset&amp;DYN_ARGS=TRUE&amp;DOC_NAME=FAT:FQL_AUDITING_CLIENT_TEMPLATE.FAT&amp;display_string=Audit&amp;VAR:KEY=ALKRUNKHOZ&amp;VAR:QUERY=KFBfUFJJQ0UoMzk5NDEpLShGRl9DQVNIX1NUKFFUUiwzOTk0MSkvUF9DT01fU0hTX09VVCgzOTk0MSkpKS9GR","V9FU1RJTUFURSgnRVBTJywnTUVBTicsJ0FOTlVBTF9ST0xMJywnKzEnLDM5OTQxLCwsJycp&amp;WINDOW=FIRST_POPUP&amp;HEIGHT=450&amp;WIDTH=450&amp;START_MAXIMIZED=FALSE&amp;VAR:CALENDAR=US&amp;VAR:SYMBOL=38259P50&amp;VAR:INDEX=0"}</definedName>
    <definedName name="_3318__FDSAUDITLINK__">{"fdsup://directions/FAT Viewer?action=UPDATE&amp;creator=factset&amp;DYN_ARGS=TRUE&amp;DOC_NAME=FAT:FQL_AUDITING_CLIENT_TEMPLATE.FAT&amp;display_string=Audit&amp;VAR:KEY=ALKRUNKHOZ&amp;VAR:QUERY=KFBfUFJJQ0UoMzk5NDEpLShGRl9DQVNIX1NUKFFUUiwzOTk0MSkvUF9DT01fU0hTX09VVCgzOTk0MSkpKS9GR","V9FU1RJTUFURSgnRVBTJywnTUVBTicsJ0FOTlVBTF9ST0xMJywnKzEnLDM5OTQxLCwsJycp&amp;WINDOW=FIRST_POPUP&amp;HEIGHT=450&amp;WIDTH=450&amp;START_MAXIMIZED=FALSE&amp;VAR:CALENDAR=US&amp;VAR:SYMBOL=38259P50&amp;VAR:INDEX=0"}</definedName>
    <definedName name="_3319__FDSAUDITLINK__">{"fdsup://directions/FAT Viewer?action=UPDATE&amp;creator=factset&amp;DYN_ARGS=TRUE&amp;DOC_NAME=FAT:FQL_AUDITING_CLIENT_TEMPLATE.FAT&amp;display_string=Audit&amp;VAR:KEY=CTGZUREPGT&amp;VAR:QUERY=KFBfUFJJQ0UoMzk5NDApLShGRl9DQVNIX1NUKFFUUiwzOTk0MCkvUF9DT01fU0hTX09VVCgzOTk0MCkpKS9GR","V9FU1RJTUFURSgnRVBTJywnTUVBTicsJ0FOTlVBTF9ST0xMJywnKzEnLDM5OTQwLCwsJycp&amp;WINDOW=FIRST_POPUP&amp;HEIGHT=450&amp;WIDTH=450&amp;START_MAXIMIZED=FALSE&amp;VAR:CALENDAR=US&amp;VAR:SYMBOL=38259P50&amp;VAR:INDEX=0"}</definedName>
    <definedName name="_33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197"}</definedName>
    <definedName name="_3320__FDSAUDITLINK__">{"fdsup://directions/FAT Viewer?action=UPDATE&amp;creator=factset&amp;DYN_ARGS=TRUE&amp;DOC_NAME=FAT:FQL_AUDITING_CLIENT_TEMPLATE.FAT&amp;display_string=Audit&amp;VAR:KEY=CTGZUREPGT&amp;VAR:QUERY=KFBfUFJJQ0UoMzk5NDApLShGRl9DQVNIX1NUKFFUUiwzOTk0MCkvUF9DT01fU0hTX09VVCgzOTk0MCkpKS9GR","V9FU1RJTUFURSgnRVBTJywnTUVBTicsJ0FOTlVBTF9ST0xMJywnKzEnLDM5OTQwLCwsJycp&amp;WINDOW=FIRST_POPUP&amp;HEIGHT=450&amp;WIDTH=450&amp;START_MAXIMIZED=FALSE&amp;VAR:CALENDAR=US&amp;VAR:SYMBOL=38259P50&amp;VAR:INDEX=0"}</definedName>
    <definedName name="_3321__FDSAUDITLINK__">{"fdsup://directions/FAT Viewer?action=UPDATE&amp;creator=factset&amp;DYN_ARGS=TRUE&amp;DOC_NAME=FAT:FQL_AUDITING_CLIENT_TEMPLATE.FAT&amp;display_string=Audit&amp;VAR:KEY=IJYFAZWTQT&amp;VAR:QUERY=KFBfUFJJQ0UoMzk5MzkpLShGRl9DQVNIX1NUKFFUUiwzOTkzOSkvUF9DT01fU0hTX09VVCgzOTkzOSkpKS9GR","V9FU1RJTUFURSgnRVBTJywnTUVBTicsJ0FOTlVBTF9ST0xMJywnKzEnLDM5OTM5LCwsJycp&amp;WINDOW=FIRST_POPUP&amp;HEIGHT=450&amp;WIDTH=450&amp;START_MAXIMIZED=FALSE&amp;VAR:CALENDAR=US&amp;VAR:SYMBOL=38259P50&amp;VAR:INDEX=0"}</definedName>
    <definedName name="_3322__FDSAUDITLINK__">{"fdsup://directions/FAT Viewer?action=UPDATE&amp;creator=factset&amp;DYN_ARGS=TRUE&amp;DOC_NAME=FAT:FQL_AUDITING_CLIENT_TEMPLATE.FAT&amp;display_string=Audit&amp;VAR:KEY=IJYFAZWTQT&amp;VAR:QUERY=KFBfUFJJQ0UoMzk5MzkpLShGRl9DQVNIX1NUKFFUUiwzOTkzOSkvUF9DT01fU0hTX09VVCgzOTkzOSkpKS9GR","V9FU1RJTUFURSgnRVBTJywnTUVBTicsJ0FOTlVBTF9ST0xMJywnKzEnLDM5OTM5LCwsJycp&amp;WINDOW=FIRST_POPUP&amp;HEIGHT=450&amp;WIDTH=450&amp;START_MAXIMIZED=FALSE&amp;VAR:CALENDAR=US&amp;VAR:SYMBOL=38259P50&amp;VAR:INDEX=0"}</definedName>
    <definedName name="_3323__FDSAUDITLINK__">{"fdsup://directions/FAT Viewer?action=UPDATE&amp;creator=factset&amp;DYN_ARGS=TRUE&amp;DOC_NAME=FAT:FQL_AUDITING_CLIENT_TEMPLATE.FAT&amp;display_string=Audit&amp;VAR:KEY=GFGHADAXMH&amp;VAR:QUERY=KFBfUFJJQ0UoMzk5MzgpLShGRl9DQVNIX1NUKFFUUiwzOTkzOCkvUF9DT01fU0hTX09VVCgzOTkzOCkpKS9GR","V9FU1RJTUFURSgnRVBTJywnTUVBTicsJ0FOTlVBTF9ST0xMJywnKzEnLDM5OTM4LCwsJycp&amp;WINDOW=FIRST_POPUP&amp;HEIGHT=450&amp;WIDTH=450&amp;START_MAXIMIZED=FALSE&amp;VAR:CALENDAR=US&amp;VAR:SYMBOL=38259P50&amp;VAR:INDEX=0"}</definedName>
    <definedName name="_3324__FDSAUDITLINK__">{"fdsup://directions/FAT Viewer?action=UPDATE&amp;creator=factset&amp;DYN_ARGS=TRUE&amp;DOC_NAME=FAT:FQL_AUDITING_CLIENT_TEMPLATE.FAT&amp;display_string=Audit&amp;VAR:KEY=GFGHADAXMH&amp;VAR:QUERY=KFBfUFJJQ0UoMzk5MzgpLShGRl9DQVNIX1NUKFFUUiwzOTkzOCkvUF9DT01fU0hTX09VVCgzOTkzOCkpKS9GR","V9FU1RJTUFURSgnRVBTJywnTUVBTicsJ0FOTlVBTF9ST0xMJywnKzEnLDM5OTM4LCwsJycp&amp;WINDOW=FIRST_POPUP&amp;HEIGHT=450&amp;WIDTH=450&amp;START_MAXIMIZED=FALSE&amp;VAR:CALENDAR=US&amp;VAR:SYMBOL=38259P50&amp;VAR:INDEX=0"}</definedName>
    <definedName name="_3325__FDSAUDITLINK__">{"fdsup://directions/FAT Viewer?action=UPDATE&amp;creator=factset&amp;DYN_ARGS=TRUE&amp;DOC_NAME=FAT:FQL_AUDITING_CLIENT_TEMPLATE.FAT&amp;display_string=Audit&amp;VAR:KEY=SLMXGXENQL&amp;VAR:QUERY=KFBfUFJJQ0UoMzk5MzcpLShGRl9DQVNIX1NUKFFUUiwzOTkzNykvUF9DT01fU0hTX09VVCgzOTkzNykpKS9GR","V9FU1RJTUFURSgnRVBTJywnTUVBTicsJ0FOTlVBTF9ST0xMJywnKzEnLDM5OTM3LCwsJycp&amp;WINDOW=FIRST_POPUP&amp;HEIGHT=450&amp;WIDTH=450&amp;START_MAXIMIZED=FALSE&amp;VAR:CALENDAR=US&amp;VAR:SYMBOL=38259P50&amp;VAR:INDEX=0"}</definedName>
    <definedName name="_3326__FDSAUDITLINK__">{"fdsup://directions/FAT Viewer?action=UPDATE&amp;creator=factset&amp;DYN_ARGS=TRUE&amp;DOC_NAME=FAT:FQL_AUDITING_CLIENT_TEMPLATE.FAT&amp;display_string=Audit&amp;VAR:KEY=SLMXGXENQL&amp;VAR:QUERY=KFBfUFJJQ0UoMzk5MzcpLShGRl9DQVNIX1NUKFFUUiwzOTkzNykvUF9DT01fU0hTX09VVCgzOTkzNykpKS9GR","V9FU1RJTUFURSgnRVBTJywnTUVBTicsJ0FOTlVBTF9ST0xMJywnKzEnLDM5OTM3LCwsJycp&amp;WINDOW=FIRST_POPUP&amp;HEIGHT=450&amp;WIDTH=450&amp;START_MAXIMIZED=FALSE&amp;VAR:CALENDAR=US&amp;VAR:SYMBOL=38259P50&amp;VAR:INDEX=0"}</definedName>
    <definedName name="_3327__FDSAUDITLINK__">{"fdsup://directions/FAT Viewer?action=UPDATE&amp;creator=factset&amp;DYN_ARGS=TRUE&amp;DOC_NAME=FAT:FQL_AUDITING_CLIENT_TEMPLATE.FAT&amp;display_string=Audit&amp;VAR:KEY=MJGVWPQJCL&amp;VAR:QUERY=KFBfUFJJQ0UoMzk5MzYpLShGRl9DQVNIX1NUKFFUUiwzOTkzNikvUF9DT01fU0hTX09VVCgzOTkzNikpKS9GR","V9FU1RJTUFURSgnRVBTJywnTUVBTicsJ0FOTlVBTF9ST0xMJywnKzEnLDM5OTM2LCwsJycp&amp;WINDOW=FIRST_POPUP&amp;HEIGHT=450&amp;WIDTH=450&amp;START_MAXIMIZED=FALSE&amp;VAR:CALENDAR=US&amp;VAR:SYMBOL=38259P50&amp;VAR:INDEX=0"}</definedName>
    <definedName name="_3328__FDSAUDITLINK__">{"fdsup://directions/FAT Viewer?action=UPDATE&amp;creator=factset&amp;DYN_ARGS=TRUE&amp;DOC_NAME=FAT:FQL_AUDITING_CLIENT_TEMPLATE.FAT&amp;display_string=Audit&amp;VAR:KEY=MJGVWPQJCL&amp;VAR:QUERY=KFBfUFJJQ0UoMzk5MzYpLShGRl9DQVNIX1NUKFFUUiwzOTkzNikvUF9DT01fU0hTX09VVCgzOTkzNikpKS9GR","V9FU1RJTUFURSgnRVBTJywnTUVBTicsJ0FOTlVBTF9ST0xMJywnKzEnLDM5OTM2LCwsJycp&amp;WINDOW=FIRST_POPUP&amp;HEIGHT=450&amp;WIDTH=450&amp;START_MAXIMIZED=FALSE&amp;VAR:CALENDAR=US&amp;VAR:SYMBOL=38259P50&amp;VAR:INDEX=0"}</definedName>
    <definedName name="_3329__FDSAUDITLINK__">{"fdsup://directions/FAT Viewer?action=UPDATE&amp;creator=factset&amp;DYN_ARGS=TRUE&amp;DOC_NAME=FAT:FQL_AUDITING_CLIENT_TEMPLATE.FAT&amp;display_string=Audit&amp;VAR:KEY=AROZKNALGX&amp;VAR:QUERY=KFBfUFJJQ0UoMzk5MzUpLShGRl9DQVNIX1NUKFFUUiwzOTkzNSkvUF9DT01fU0hTX09VVCgzOTkzNSkpKS9GR","V9FU1RJTUFURSgnRVBTJywnTUVBTicsJ0FOTlVBTF9ST0xMJywnKzEnLDM5OTM1LCwsJycp&amp;WINDOW=FIRST_POPUP&amp;HEIGHT=450&amp;WIDTH=450&amp;START_MAXIMIZED=FALSE&amp;VAR:CALENDAR=US&amp;VAR:SYMBOL=38259P50&amp;VAR:INDEX=0"}</definedName>
    <definedName name="_33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196"}</definedName>
    <definedName name="_3330__FDSAUDITLINK__">{"fdsup://directions/FAT Viewer?action=UPDATE&amp;creator=factset&amp;DYN_ARGS=TRUE&amp;DOC_NAME=FAT:FQL_AUDITING_CLIENT_TEMPLATE.FAT&amp;display_string=Audit&amp;VAR:KEY=AROZKNALGX&amp;VAR:QUERY=KFBfUFJJQ0UoMzk5MzUpLShGRl9DQVNIX1NUKFFUUiwzOTkzNSkvUF9DT01fU0hTX09VVCgzOTkzNSkpKS9GR","V9FU1RJTUFURSgnRVBTJywnTUVBTicsJ0FOTlVBTF9ST0xMJywnKzEnLDM5OTM1LCwsJycp&amp;WINDOW=FIRST_POPUP&amp;HEIGHT=450&amp;WIDTH=450&amp;START_MAXIMIZED=FALSE&amp;VAR:CALENDAR=US&amp;VAR:SYMBOL=38259P50&amp;VAR:INDEX=0"}</definedName>
    <definedName name="_3331__FDSAUDITLINK__">{"fdsup://directions/FAT Viewer?action=UPDATE&amp;creator=factset&amp;DYN_ARGS=TRUE&amp;DOC_NAME=FAT:FQL_AUDITING_CLIENT_TEMPLATE.FAT&amp;display_string=Audit&amp;VAR:KEY=ORABIVEXCJ&amp;VAR:QUERY=KFBfUFJJQ0UoMzk5MzQpLShGRl9DQVNIX1NUKFFUUiwzOTkzNCkvUF9DT01fU0hTX09VVCgzOTkzNCkpKS9GR","V9FU1RJTUFURSgnRVBTJywnTUVBTicsJ0FOTlVBTF9ST0xMJywnKzEnLDM5OTM0LCwsJycp&amp;WINDOW=FIRST_POPUP&amp;HEIGHT=450&amp;WIDTH=450&amp;START_MAXIMIZED=FALSE&amp;VAR:CALENDAR=US&amp;VAR:SYMBOL=38259P50&amp;VAR:INDEX=0"}</definedName>
    <definedName name="_3332__FDSAUDITLINK__">{"fdsup://directions/FAT Viewer?action=UPDATE&amp;creator=factset&amp;DYN_ARGS=TRUE&amp;DOC_NAME=FAT:FQL_AUDITING_CLIENT_TEMPLATE.FAT&amp;display_string=Audit&amp;VAR:KEY=ORABIVEXCJ&amp;VAR:QUERY=KFBfUFJJQ0UoMzk5MzQpLShGRl9DQVNIX1NUKFFUUiwzOTkzNCkvUF9DT01fU0hTX09VVCgzOTkzNCkpKS9GR","V9FU1RJTUFURSgnRVBTJywnTUVBTicsJ0FOTlVBTF9ST0xMJywnKzEnLDM5OTM0LCwsJycp&amp;WINDOW=FIRST_POPUP&amp;HEIGHT=450&amp;WIDTH=450&amp;START_MAXIMIZED=FALSE&amp;VAR:CALENDAR=US&amp;VAR:SYMBOL=38259P50&amp;VAR:INDEX=0"}</definedName>
    <definedName name="_3333__FDSAUDITLINK__">{"fdsup://directions/FAT Viewer?action=UPDATE&amp;creator=factset&amp;DYN_ARGS=TRUE&amp;DOC_NAME=FAT:FQL_AUDITING_CLIENT_TEMPLATE.FAT&amp;display_string=Audit&amp;VAR:KEY=ORGXMXAHQR&amp;VAR:QUERY=KFBfUFJJQ0UoMzk5MzMpLShGRl9DQVNIX1NUKFFUUiwzOTkzMykvUF9DT01fU0hTX09VVCgzOTkzMykpKS9GR","V9FU1RJTUFURSgnRVBTJywnTUVBTicsJ0FOTlVBTF9ST0xMJywnKzEnLDM5OTMzLCwsJycp&amp;WINDOW=FIRST_POPUP&amp;HEIGHT=450&amp;WIDTH=450&amp;START_MAXIMIZED=FALSE&amp;VAR:CALENDAR=US&amp;VAR:SYMBOL=38259P50&amp;VAR:INDEX=0"}</definedName>
    <definedName name="_3334__FDSAUDITLINK__">{"fdsup://directions/FAT Viewer?action=UPDATE&amp;creator=factset&amp;DYN_ARGS=TRUE&amp;DOC_NAME=FAT:FQL_AUDITING_CLIENT_TEMPLATE.FAT&amp;display_string=Audit&amp;VAR:KEY=ORGXMXAHQR&amp;VAR:QUERY=KFBfUFJJQ0UoMzk5MzMpLShGRl9DQVNIX1NUKFFUUiwzOTkzMykvUF9DT01fU0hTX09VVCgzOTkzMykpKS9GR","V9FU1RJTUFURSgnRVBTJywnTUVBTicsJ0FOTlVBTF9ST0xMJywnKzEnLDM5OTMzLCwsJycp&amp;WINDOW=FIRST_POPUP&amp;HEIGHT=450&amp;WIDTH=450&amp;START_MAXIMIZED=FALSE&amp;VAR:CALENDAR=US&amp;VAR:SYMBOL=38259P50&amp;VAR:INDEX=0"}</definedName>
    <definedName name="_3335__FDSAUDITLINK__">{"fdsup://directions/FAT Viewer?action=UPDATE&amp;creator=factset&amp;DYN_ARGS=TRUE&amp;DOC_NAME=FAT:FQL_AUDITING_CLIENT_TEMPLATE.FAT&amp;display_string=Audit&amp;VAR:KEY=CRALWHKXIL&amp;VAR:QUERY=KFBfUFJJQ0UoMzk5MzIpLShGRl9DQVNIX1NUKFFUUiwzOTkzMikvUF9DT01fU0hTX09VVCgzOTkzMikpKS9GR","V9FU1RJTUFURSgnRVBTJywnTUVBTicsJ0FOTlVBTF9ST0xMJywnKzEnLDM5OTMyLCwsJycp&amp;WINDOW=FIRST_POPUP&amp;HEIGHT=450&amp;WIDTH=450&amp;START_MAXIMIZED=FALSE&amp;VAR:CALENDAR=US&amp;VAR:SYMBOL=38259P50&amp;VAR:INDEX=0"}</definedName>
    <definedName name="_3336__FDSAUDITLINK__">{"fdsup://directions/FAT Viewer?action=UPDATE&amp;creator=factset&amp;DYN_ARGS=TRUE&amp;DOC_NAME=FAT:FQL_AUDITING_CLIENT_TEMPLATE.FAT&amp;display_string=Audit&amp;VAR:KEY=CRALWHKXIL&amp;VAR:QUERY=KFBfUFJJQ0UoMzk5MzIpLShGRl9DQVNIX1NUKFFUUiwzOTkzMikvUF9DT01fU0hTX09VVCgzOTkzMikpKS9GR","V9FU1RJTUFURSgnRVBTJywnTUVBTicsJ0FOTlVBTF9ST0xMJywnKzEnLDM5OTMyLCwsJycp&amp;WINDOW=FIRST_POPUP&amp;HEIGHT=450&amp;WIDTH=450&amp;START_MAXIMIZED=FALSE&amp;VAR:CALENDAR=US&amp;VAR:SYMBOL=38259P50&amp;VAR:INDEX=0"}</definedName>
    <definedName name="_3337__FDSAUDITLINK__">{"fdsup://directions/FAT Viewer?action=UPDATE&amp;creator=factset&amp;DYN_ARGS=TRUE&amp;DOC_NAME=FAT:FQL_AUDITING_CLIENT_TEMPLATE.FAT&amp;display_string=Audit&amp;VAR:KEY=ABMXWPYPIL&amp;VAR:QUERY=KFBfUFJJQ0UoMzk5MzEpLShGRl9DQVNIX1NUKFFUUiwzOTkzMSkvUF9DT01fU0hTX09VVCgzOTkzMSkpKS9GR","V9FU1RJTUFURSgnRVBTJywnTUVBTicsJ0FOTlVBTF9ST0xMJywnKzEnLDM5OTMxLCwsJycp&amp;WINDOW=FIRST_POPUP&amp;HEIGHT=450&amp;WIDTH=450&amp;START_MAXIMIZED=FALSE&amp;VAR:CALENDAR=US&amp;VAR:SYMBOL=38259P50&amp;VAR:INDEX=0"}</definedName>
    <definedName name="_3338__FDSAUDITLINK__">{"fdsup://directions/FAT Viewer?action=UPDATE&amp;creator=factset&amp;DYN_ARGS=TRUE&amp;DOC_NAME=FAT:FQL_AUDITING_CLIENT_TEMPLATE.FAT&amp;display_string=Audit&amp;VAR:KEY=ABMXWPYPIL&amp;VAR:QUERY=KFBfUFJJQ0UoMzk5MzEpLShGRl9DQVNIX1NUKFFUUiwzOTkzMSkvUF9DT01fU0hTX09VVCgzOTkzMSkpKS9GR","V9FU1RJTUFURSgnRVBTJywnTUVBTicsJ0FOTlVBTF9ST0xMJywnKzEnLDM5OTMxLCwsJycp&amp;WINDOW=FIRST_POPUP&amp;HEIGHT=450&amp;WIDTH=450&amp;START_MAXIMIZED=FALSE&amp;VAR:CALENDAR=US&amp;VAR:SYMBOL=38259P50&amp;VAR:INDEX=0"}</definedName>
    <definedName name="_3339__FDSAUDITLINK__">{"fdsup://directions/FAT Viewer?action=UPDATE&amp;creator=factset&amp;DYN_ARGS=TRUE&amp;DOC_NAME=FAT:FQL_AUDITING_CLIENT_TEMPLATE.FAT&amp;display_string=Audit&amp;VAR:KEY=EHGBWZSJYZ&amp;VAR:QUERY=KFBfUFJJQ0UoMzk5MzApLShGRl9DQVNIX1NUKFFUUiwzOTkzMCkvUF9DT01fU0hTX09VVCgzOTkzMCkpKS9GR","V9FU1RJTUFURSgnRVBTJywnTUVBTicsJ0FOTlVBTF9ST0xMJywnKzEnLDM5OTMwLCwsJycp&amp;WINDOW=FIRST_POPUP&amp;HEIGHT=450&amp;WIDTH=450&amp;START_MAXIMIZED=FALSE&amp;VAR:CALENDAR=US&amp;VAR:SYMBOL=38259P50&amp;VAR:INDEX=0"}</definedName>
    <definedName name="_33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195"}</definedName>
    <definedName name="_3340__FDSAUDITLINK__">{"fdsup://directions/FAT Viewer?action=UPDATE&amp;creator=factset&amp;DYN_ARGS=TRUE&amp;DOC_NAME=FAT:FQL_AUDITING_CLIENT_TEMPLATE.FAT&amp;display_string=Audit&amp;VAR:KEY=EHGBWZSJYZ&amp;VAR:QUERY=KFBfUFJJQ0UoMzk5MzApLShGRl9DQVNIX1NUKFFUUiwzOTkzMCkvUF9DT01fU0hTX09VVCgzOTkzMCkpKS9GR","V9FU1RJTUFURSgnRVBTJywnTUVBTicsJ0FOTlVBTF9ST0xMJywnKzEnLDM5OTMwLCwsJycp&amp;WINDOW=FIRST_POPUP&amp;HEIGHT=450&amp;WIDTH=450&amp;START_MAXIMIZED=FALSE&amp;VAR:CALENDAR=US&amp;VAR:SYMBOL=38259P50&amp;VAR:INDEX=0"}</definedName>
    <definedName name="_3341__FDSAUDITLINK__">{"fdsup://directions/FAT Viewer?action=UPDATE&amp;creator=factset&amp;DYN_ARGS=TRUE&amp;DOC_NAME=FAT:FQL_AUDITING_CLIENT_TEMPLATE.FAT&amp;display_string=Audit&amp;VAR:KEY=YZQNETCPGP&amp;VAR:QUERY=KFBfUFJJQ0UoMzk5MjkpLShGRl9DQVNIX1NUKFFUUiwzOTkyOSkvUF9DT01fU0hTX09VVCgzOTkyOSkpKS9GR","V9FU1RJTUFURSgnRVBTJywnTUVBTicsJ0FOTlVBTF9ST0xMJywnKzEnLDM5OTI5LCwsJycp&amp;WINDOW=FIRST_POPUP&amp;HEIGHT=450&amp;WIDTH=450&amp;START_MAXIMIZED=FALSE&amp;VAR:CALENDAR=US&amp;VAR:SYMBOL=38259P50&amp;VAR:INDEX=0"}</definedName>
    <definedName name="_3342__FDSAUDITLINK__">{"fdsup://directions/FAT Viewer?action=UPDATE&amp;creator=factset&amp;DYN_ARGS=TRUE&amp;DOC_NAME=FAT:FQL_AUDITING_CLIENT_TEMPLATE.FAT&amp;display_string=Audit&amp;VAR:KEY=YZQNETCPGP&amp;VAR:QUERY=KFBfUFJJQ0UoMzk5MjkpLShGRl9DQVNIX1NUKFFUUiwzOTkyOSkvUF9DT01fU0hTX09VVCgzOTkyOSkpKS9GR","V9FU1RJTUFURSgnRVBTJywnTUVBTicsJ0FOTlVBTF9ST0xMJywnKzEnLDM5OTI5LCwsJycp&amp;WINDOW=FIRST_POPUP&amp;HEIGHT=450&amp;WIDTH=450&amp;START_MAXIMIZED=FALSE&amp;VAR:CALENDAR=US&amp;VAR:SYMBOL=38259P50&amp;VAR:INDEX=0"}</definedName>
    <definedName name="_3343__FDSAUDITLINK__">{"fdsup://directions/FAT Viewer?action=UPDATE&amp;creator=factset&amp;DYN_ARGS=TRUE&amp;DOC_NAME=FAT:FQL_AUDITING_CLIENT_TEMPLATE.FAT&amp;display_string=Audit&amp;VAR:KEY=MVYXCTQNMJ&amp;VAR:QUERY=KFBfUFJJQ0UoMzk5MjgpLShGRl9DQVNIX1NUKFFUUiwzOTkyOCkvUF9DT01fU0hTX09VVCgzOTkyOCkpKS9GR","V9FU1RJTUFURSgnRVBTJywnTUVBTicsJ0FOTlVBTF9ST0xMJywnKzEnLDM5OTI4LCwsJycp&amp;WINDOW=FIRST_POPUP&amp;HEIGHT=450&amp;WIDTH=450&amp;START_MAXIMIZED=FALSE&amp;VAR:CALENDAR=US&amp;VAR:SYMBOL=38259P50&amp;VAR:INDEX=0"}</definedName>
    <definedName name="_3344__FDSAUDITLINK__">{"fdsup://directions/FAT Viewer?action=UPDATE&amp;creator=factset&amp;DYN_ARGS=TRUE&amp;DOC_NAME=FAT:FQL_AUDITING_CLIENT_TEMPLATE.FAT&amp;display_string=Audit&amp;VAR:KEY=MVYXCTQNMJ&amp;VAR:QUERY=KFBfUFJJQ0UoMzk5MjgpLShGRl9DQVNIX1NUKFFUUiwzOTkyOCkvUF9DT01fU0hTX09VVCgzOTkyOCkpKS9GR","V9FU1RJTUFURSgnRVBTJywnTUVBTicsJ0FOTlVBTF9ST0xMJywnKzEnLDM5OTI4LCwsJycp&amp;WINDOW=FIRST_POPUP&amp;HEIGHT=450&amp;WIDTH=450&amp;START_MAXIMIZED=FALSE&amp;VAR:CALENDAR=US&amp;VAR:SYMBOL=38259P50&amp;VAR:INDEX=0"}</definedName>
    <definedName name="_3345__FDSAUDITLINK__">{"fdsup://directions/FAT Viewer?action=UPDATE&amp;creator=factset&amp;DYN_ARGS=TRUE&amp;DOC_NAME=FAT:FQL_AUDITING_CLIENT_TEMPLATE.FAT&amp;display_string=Audit&amp;VAR:KEY=UZEBKNQFOF&amp;VAR:QUERY=KFBfUFJJQ0UoMzk5MjcpLShGRl9DQVNIX1NUKFFUUiwzOTkyNykvUF9DT01fU0hTX09VVCgzOTkyNykpKS9GR","V9FU1RJTUFURSgnRVBTJywnTUVBTicsJ0FOTlVBTF9ST0xMJywnKzEnLDM5OTI3LCwsJycp&amp;WINDOW=FIRST_POPUP&amp;HEIGHT=450&amp;WIDTH=450&amp;START_MAXIMIZED=FALSE&amp;VAR:CALENDAR=US&amp;VAR:SYMBOL=38259P50&amp;VAR:INDEX=0"}</definedName>
    <definedName name="_3346__FDSAUDITLINK__">{"fdsup://directions/FAT Viewer?action=UPDATE&amp;creator=factset&amp;DYN_ARGS=TRUE&amp;DOC_NAME=FAT:FQL_AUDITING_CLIENT_TEMPLATE.FAT&amp;display_string=Audit&amp;VAR:KEY=UZEBKNQFOF&amp;VAR:QUERY=KFBfUFJJQ0UoMzk5MjcpLShGRl9DQVNIX1NUKFFUUiwzOTkyNykvUF9DT01fU0hTX09VVCgzOTkyNykpKS9GR","V9FU1RJTUFURSgnRVBTJywnTUVBTicsJ0FOTlVBTF9ST0xMJywnKzEnLDM5OTI3LCwsJycp&amp;WINDOW=FIRST_POPUP&amp;HEIGHT=450&amp;WIDTH=450&amp;START_MAXIMIZED=FALSE&amp;VAR:CALENDAR=US&amp;VAR:SYMBOL=38259P50&amp;VAR:INDEX=0"}</definedName>
    <definedName name="_3347__FDSAUDITLINK__">{"fdsup://directions/FAT Viewer?action=UPDATE&amp;creator=factset&amp;DYN_ARGS=TRUE&amp;DOC_NAME=FAT:FQL_AUDITING_CLIENT_TEMPLATE.FAT&amp;display_string=Audit&amp;VAR:KEY=QDKDOZMDGF&amp;VAR:QUERY=KFBfUFJJQ0UoMzk5MjYpLShGRl9DQVNIX1NUKFFUUiwzOTkyNikvUF9DT01fU0hTX09VVCgzOTkyNikpKS9GR","V9FU1RJTUFURSgnRVBTJywnTUVBTicsJ0FOTlVBTF9ST0xMJywnKzEnLDM5OTI2LCwsJycp&amp;WINDOW=FIRST_POPUP&amp;HEIGHT=450&amp;WIDTH=450&amp;START_MAXIMIZED=FALSE&amp;VAR:CALENDAR=US&amp;VAR:SYMBOL=38259P50&amp;VAR:INDEX=0"}</definedName>
    <definedName name="_3348__FDSAUDITLINK__">{"fdsup://directions/FAT Viewer?action=UPDATE&amp;creator=factset&amp;DYN_ARGS=TRUE&amp;DOC_NAME=FAT:FQL_AUDITING_CLIENT_TEMPLATE.FAT&amp;display_string=Audit&amp;VAR:KEY=QDKDOZMDGF&amp;VAR:QUERY=KFBfUFJJQ0UoMzk5MjYpLShGRl9DQVNIX1NUKFFUUiwzOTkyNikvUF9DT01fU0hTX09VVCgzOTkyNikpKS9GR","V9FU1RJTUFURSgnRVBTJywnTUVBTicsJ0FOTlVBTF9ST0xMJywnKzEnLDM5OTI2LCwsJycp&amp;WINDOW=FIRST_POPUP&amp;HEIGHT=450&amp;WIDTH=450&amp;START_MAXIMIZED=FALSE&amp;VAR:CALENDAR=US&amp;VAR:SYMBOL=38259P50&amp;VAR:INDEX=0"}</definedName>
    <definedName name="_3349__FDSAUDITLINK__">{"fdsup://directions/FAT Viewer?action=UPDATE&amp;creator=factset&amp;DYN_ARGS=TRUE&amp;DOC_NAME=FAT:FQL_AUDITING_CLIENT_TEMPLATE.FAT&amp;display_string=Audit&amp;VAR:KEY=IPARYXWZKF&amp;VAR:QUERY=KFBfUFJJQ0UoMzk5MjUpLShGRl9DQVNIX1NUKFFUUiwzOTkyNSkvUF9DT01fU0hTX09VVCgzOTkyNSkpKS9GR","V9FU1RJTUFURSgnRVBTJywnTUVBTicsJ0FOTlVBTF9ST0xMJywnKzEnLDM5OTI1LCwsJycp&amp;WINDOW=FIRST_POPUP&amp;HEIGHT=450&amp;WIDTH=450&amp;START_MAXIMIZED=FALSE&amp;VAR:CALENDAR=US&amp;VAR:SYMBOL=38259P50&amp;VAR:INDEX=0"}</definedName>
    <definedName name="_33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194"}</definedName>
    <definedName name="_3350__FDSAUDITLINK__">{"fdsup://directions/FAT Viewer?action=UPDATE&amp;creator=factset&amp;DYN_ARGS=TRUE&amp;DOC_NAME=FAT:FQL_AUDITING_CLIENT_TEMPLATE.FAT&amp;display_string=Audit&amp;VAR:KEY=IPARYXWZKF&amp;VAR:QUERY=KFBfUFJJQ0UoMzk5MjUpLShGRl9DQVNIX1NUKFFUUiwzOTkyNSkvUF9DT01fU0hTX09VVCgzOTkyNSkpKS9GR","V9FU1RJTUFURSgnRVBTJywnTUVBTicsJ0FOTlVBTF9ST0xMJywnKzEnLDM5OTI1LCwsJycp&amp;WINDOW=FIRST_POPUP&amp;HEIGHT=450&amp;WIDTH=450&amp;START_MAXIMIZED=FALSE&amp;VAR:CALENDAR=US&amp;VAR:SYMBOL=38259P50&amp;VAR:INDEX=0"}</definedName>
    <definedName name="_3351__FDSAUDITLINK__">{"fdsup://directions/FAT Viewer?action=UPDATE&amp;creator=factset&amp;DYN_ARGS=TRUE&amp;DOC_NAME=FAT:FQL_AUDITING_CLIENT_TEMPLATE.FAT&amp;display_string=Audit&amp;VAR:KEY=SRYTKZMHEV&amp;VAR:QUERY=KFBfUFJJQ0UoMzk5MjQpLShGRl9DQVNIX1NUKFFUUiwzOTkyNCkvUF9DT01fU0hTX09VVCgzOTkyNCkpKS9GR","V9FU1RJTUFURSgnRVBTJywnTUVBTicsJ0FOTlVBTF9ST0xMJywnKzEnLDM5OTI0LCwsJycp&amp;WINDOW=FIRST_POPUP&amp;HEIGHT=450&amp;WIDTH=450&amp;START_MAXIMIZED=FALSE&amp;VAR:CALENDAR=US&amp;VAR:SYMBOL=38259P50&amp;VAR:INDEX=0"}</definedName>
    <definedName name="_3352__FDSAUDITLINK__">{"fdsup://directions/FAT Viewer?action=UPDATE&amp;creator=factset&amp;DYN_ARGS=TRUE&amp;DOC_NAME=FAT:FQL_AUDITING_CLIENT_TEMPLATE.FAT&amp;display_string=Audit&amp;VAR:KEY=SRYTKZMHEV&amp;VAR:QUERY=KFBfUFJJQ0UoMzk5MjQpLShGRl9DQVNIX1NUKFFUUiwzOTkyNCkvUF9DT01fU0hTX09VVCgzOTkyNCkpKS9GR","V9FU1RJTUFURSgnRVBTJywnTUVBTicsJ0FOTlVBTF9ST0xMJywnKzEnLDM5OTI0LCwsJycp&amp;WINDOW=FIRST_POPUP&amp;HEIGHT=450&amp;WIDTH=450&amp;START_MAXIMIZED=FALSE&amp;VAR:CALENDAR=US&amp;VAR:SYMBOL=38259P50&amp;VAR:INDEX=0"}</definedName>
    <definedName name="_3353__FDSAUDITLINK__">{"fdsup://directions/FAT Viewer?action=UPDATE&amp;creator=factset&amp;DYN_ARGS=TRUE&amp;DOC_NAME=FAT:FQL_AUDITING_CLIENT_TEMPLATE.FAT&amp;display_string=Audit&amp;VAR:KEY=SZOLWDWBKP&amp;VAR:QUERY=KFBfUFJJQ0UoMzk5MjMpLShGRl9DQVNIX1NUKFFUUiwzOTkyMykvUF9DT01fU0hTX09VVCgzOTkyMykpKS9GR","V9FU1RJTUFURSgnRVBTJywnTUVBTicsJ0FOTlVBTF9ST0xMJywnKzEnLDM5OTIzLCwsJycp&amp;WINDOW=FIRST_POPUP&amp;HEIGHT=450&amp;WIDTH=450&amp;START_MAXIMIZED=FALSE&amp;VAR:CALENDAR=US&amp;VAR:SYMBOL=38259P50&amp;VAR:INDEX=0"}</definedName>
    <definedName name="_3354__FDSAUDITLINK__">{"fdsup://directions/FAT Viewer?action=UPDATE&amp;creator=factset&amp;DYN_ARGS=TRUE&amp;DOC_NAME=FAT:FQL_AUDITING_CLIENT_TEMPLATE.FAT&amp;display_string=Audit&amp;VAR:KEY=SZOLWDWBKP&amp;VAR:QUERY=KFBfUFJJQ0UoMzk5MjMpLShGRl9DQVNIX1NUKFFUUiwzOTkyMykvUF9DT01fU0hTX09VVCgzOTkyMykpKS9GR","V9FU1RJTUFURSgnRVBTJywnTUVBTicsJ0FOTlVBTF9ST0xMJywnKzEnLDM5OTIzLCwsJycp&amp;WINDOW=FIRST_POPUP&amp;HEIGHT=450&amp;WIDTH=450&amp;START_MAXIMIZED=FALSE&amp;VAR:CALENDAR=US&amp;VAR:SYMBOL=38259P50&amp;VAR:INDEX=0"}</definedName>
    <definedName name="_3355__FDSAUDITLINK__">{"fdsup://directions/FAT Viewer?action=UPDATE&amp;creator=factset&amp;DYN_ARGS=TRUE&amp;DOC_NAME=FAT:FQL_AUDITING_CLIENT_TEMPLATE.FAT&amp;display_string=Audit&amp;VAR:KEY=AJCVADCPKF&amp;VAR:QUERY=KFBfUFJJQ0UoMzk5MjIpLShGRl9DQVNIX1NUKFFUUiwzOTkyMikvUF9DT01fU0hTX09VVCgzOTkyMikpKS9GR","V9FU1RJTUFURSgnRVBTJywnTUVBTicsJ0FOTlVBTF9ST0xMJywnKzEnLDM5OTIyLCwsJycp&amp;WINDOW=FIRST_POPUP&amp;HEIGHT=450&amp;WIDTH=450&amp;START_MAXIMIZED=FALSE&amp;VAR:CALENDAR=US&amp;VAR:SYMBOL=38259P50&amp;VAR:INDEX=0"}</definedName>
    <definedName name="_3356__FDSAUDITLINK__">{"fdsup://directions/FAT Viewer?action=UPDATE&amp;creator=factset&amp;DYN_ARGS=TRUE&amp;DOC_NAME=FAT:FQL_AUDITING_CLIENT_TEMPLATE.FAT&amp;display_string=Audit&amp;VAR:KEY=AJCVADCPKF&amp;VAR:QUERY=KFBfUFJJQ0UoMzk5MjIpLShGRl9DQVNIX1NUKFFUUiwzOTkyMikvUF9DT01fU0hTX09VVCgzOTkyMikpKS9GR","V9FU1RJTUFURSgnRVBTJywnTUVBTicsJ0FOTlVBTF9ST0xMJywnKzEnLDM5OTIyLCwsJycp&amp;WINDOW=FIRST_POPUP&amp;HEIGHT=450&amp;WIDTH=450&amp;START_MAXIMIZED=FALSE&amp;VAR:CALENDAR=US&amp;VAR:SYMBOL=38259P50&amp;VAR:INDEX=0"}</definedName>
    <definedName name="_3357__FDSAUDITLINK__">{"fdsup://directions/FAT Viewer?action=UPDATE&amp;creator=factset&amp;DYN_ARGS=TRUE&amp;DOC_NAME=FAT:FQL_AUDITING_CLIENT_TEMPLATE.FAT&amp;display_string=Audit&amp;VAR:KEY=WDAHALOHCJ&amp;VAR:QUERY=KFBfUFJJQ0UoMzk5MjEpLShGRl9DQVNIX1NUKFFUUiwzOTkyMSkvUF9DT01fU0hTX09VVCgzOTkyMSkpKS9GR","V9FU1RJTUFURSgnRVBTJywnTUVBTicsJ0FOTlVBTF9ST0xMJywnKzEnLDM5OTIxLCwsJycp&amp;WINDOW=FIRST_POPUP&amp;HEIGHT=450&amp;WIDTH=450&amp;START_MAXIMIZED=FALSE&amp;VAR:CALENDAR=US&amp;VAR:SYMBOL=38259P50&amp;VAR:INDEX=0"}</definedName>
    <definedName name="_3358__FDSAUDITLINK__">{"fdsup://directions/FAT Viewer?action=UPDATE&amp;creator=factset&amp;DYN_ARGS=TRUE&amp;DOC_NAME=FAT:FQL_AUDITING_CLIENT_TEMPLATE.FAT&amp;display_string=Audit&amp;VAR:KEY=WDAHALOHCJ&amp;VAR:QUERY=KFBfUFJJQ0UoMzk5MjEpLShGRl9DQVNIX1NUKFFUUiwzOTkyMSkvUF9DT01fU0hTX09VVCgzOTkyMSkpKS9GR","V9FU1RJTUFURSgnRVBTJywnTUVBTicsJ0FOTlVBTF9ST0xMJywnKzEnLDM5OTIxLCwsJycp&amp;WINDOW=FIRST_POPUP&amp;HEIGHT=450&amp;WIDTH=450&amp;START_MAXIMIZED=FALSE&amp;VAR:CALENDAR=US&amp;VAR:SYMBOL=38259P50&amp;VAR:INDEX=0"}</definedName>
    <definedName name="_3359__FDSAUDITLINK__">{"fdsup://directions/FAT Viewer?action=UPDATE&amp;creator=factset&amp;DYN_ARGS=TRUE&amp;DOC_NAME=FAT:FQL_AUDITING_CLIENT_TEMPLATE.FAT&amp;display_string=Audit&amp;VAR:KEY=AXCPSTCREB&amp;VAR:QUERY=KFBfUFJJQ0UoMzk5MjApLShGRl9DQVNIX1NUKFFUUiwzOTkyMCkvUF9DT01fU0hTX09VVCgzOTkyMCkpKS9GR","V9FU1RJTUFURSgnRVBTJywnTUVBTicsJ0FOTlVBTF9ST0xMJywnKzEnLDM5OTIwLCwsJycp&amp;WINDOW=FIRST_POPUP&amp;HEIGHT=450&amp;WIDTH=450&amp;START_MAXIMIZED=FALSE&amp;VAR:CALENDAR=US&amp;VAR:SYMBOL=38259P50&amp;VAR:INDEX=0"}</definedName>
    <definedName name="_33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193"}</definedName>
    <definedName name="_3360__FDSAUDITLINK__">{"fdsup://directions/FAT Viewer?action=UPDATE&amp;creator=factset&amp;DYN_ARGS=TRUE&amp;DOC_NAME=FAT:FQL_AUDITING_CLIENT_TEMPLATE.FAT&amp;display_string=Audit&amp;VAR:KEY=AXCPSTCREB&amp;VAR:QUERY=KFBfUFJJQ0UoMzk5MjApLShGRl9DQVNIX1NUKFFUUiwzOTkyMCkvUF9DT01fU0hTX09VVCgzOTkyMCkpKS9GR","V9FU1RJTUFURSgnRVBTJywnTUVBTicsJ0FOTlVBTF9ST0xMJywnKzEnLDM5OTIwLCwsJycp&amp;WINDOW=FIRST_POPUP&amp;HEIGHT=450&amp;WIDTH=450&amp;START_MAXIMIZED=FALSE&amp;VAR:CALENDAR=US&amp;VAR:SYMBOL=38259P50&amp;VAR:INDEX=0"}</definedName>
    <definedName name="_3361__FDSAUDITLINK__">{"fdsup://directions/FAT Viewer?action=UPDATE&amp;creator=factset&amp;DYN_ARGS=TRUE&amp;DOC_NAME=FAT:FQL_AUDITING_CLIENT_TEMPLATE.FAT&amp;display_string=Audit&amp;VAR:KEY=KPGRCBADGH&amp;VAR:QUERY=KFBfUFJJQ0UoMzk5MTkpLShGRl9DQVNIX1NUKFFUUiwzOTkxOSkvUF9DT01fU0hTX09VVCgzOTkxOSkpKS9GR","V9FU1RJTUFURSgnRVBTJywnTUVBTicsJ0FOTlVBTF9ST0xMJywnKzEnLDM5OTE5LCwsJycp&amp;WINDOW=FIRST_POPUP&amp;HEIGHT=450&amp;WIDTH=450&amp;START_MAXIMIZED=FALSE&amp;VAR:CALENDAR=US&amp;VAR:SYMBOL=38259P50&amp;VAR:INDEX=0"}</definedName>
    <definedName name="_3362__FDSAUDITLINK__">{"fdsup://directions/FAT Viewer?action=UPDATE&amp;creator=factset&amp;DYN_ARGS=TRUE&amp;DOC_NAME=FAT:FQL_AUDITING_CLIENT_TEMPLATE.FAT&amp;display_string=Audit&amp;VAR:KEY=KPGRCBADGH&amp;VAR:QUERY=KFBfUFJJQ0UoMzk5MTkpLShGRl9DQVNIX1NUKFFUUiwzOTkxOSkvUF9DT01fU0hTX09VVCgzOTkxOSkpKS9GR","V9FU1RJTUFURSgnRVBTJywnTUVBTicsJ0FOTlVBTF9ST0xMJywnKzEnLDM5OTE5LCwsJycp&amp;WINDOW=FIRST_POPUP&amp;HEIGHT=450&amp;WIDTH=450&amp;START_MAXIMIZED=FALSE&amp;VAR:CALENDAR=US&amp;VAR:SYMBOL=38259P50&amp;VAR:INDEX=0"}</definedName>
    <definedName name="_3363__FDSAUDITLINK__">{"fdsup://directions/FAT Viewer?action=UPDATE&amp;creator=factset&amp;DYN_ARGS=TRUE&amp;DOC_NAME=FAT:FQL_AUDITING_CLIENT_TEMPLATE.FAT&amp;display_string=Audit&amp;VAR:KEY=STOLIJKXQD&amp;VAR:QUERY=KFBfUFJJQ0UoMzk5MTgpLShGRl9DQVNIX1NUKFFUUiwzOTkxOCkvUF9DT01fU0hTX09VVCgzOTkxOCkpKS9GR","V9FU1RJTUFURSgnRVBTJywnTUVBTicsJ0FOTlVBTF9ST0xMJywnKzEnLDM5OTE4LCwsJycp&amp;WINDOW=FIRST_POPUP&amp;HEIGHT=450&amp;WIDTH=450&amp;START_MAXIMIZED=FALSE&amp;VAR:CALENDAR=US&amp;VAR:SYMBOL=38259P50&amp;VAR:INDEX=0"}</definedName>
    <definedName name="_3364__FDSAUDITLINK__">{"fdsup://directions/FAT Viewer?action=UPDATE&amp;creator=factset&amp;DYN_ARGS=TRUE&amp;DOC_NAME=FAT:FQL_AUDITING_CLIENT_TEMPLATE.FAT&amp;display_string=Audit&amp;VAR:KEY=STOLIJKXQD&amp;VAR:QUERY=KFBfUFJJQ0UoMzk5MTgpLShGRl9DQVNIX1NUKFFUUiwzOTkxOCkvUF9DT01fU0hTX09VVCgzOTkxOCkpKS9GR","V9FU1RJTUFURSgnRVBTJywnTUVBTicsJ0FOTlVBTF9ST0xMJywnKzEnLDM5OTE4LCwsJycp&amp;WINDOW=FIRST_POPUP&amp;HEIGHT=450&amp;WIDTH=450&amp;START_MAXIMIZED=FALSE&amp;VAR:CALENDAR=US&amp;VAR:SYMBOL=38259P50&amp;VAR:INDEX=0"}</definedName>
    <definedName name="_3365__FDSAUDITLINK__">{"fdsup://directions/FAT Viewer?action=UPDATE&amp;creator=factset&amp;DYN_ARGS=TRUE&amp;DOC_NAME=FAT:FQL_AUDITING_CLIENT_TEMPLATE.FAT&amp;display_string=Audit&amp;VAR:KEY=ENIFGTGZEV&amp;VAR:QUERY=KFBfUFJJQ0UoMzk5MTcpLShGRl9DQVNIX1NUKFFUUiwzOTkxNykvUF9DT01fU0hTX09VVCgzOTkxNykpKS9GR","V9FU1RJTUFURSgnRVBTJywnTUVBTicsJ0FOTlVBTF9ST0xMJywnKzEnLDM5OTE3LCwsJycp&amp;WINDOW=FIRST_POPUP&amp;HEIGHT=450&amp;WIDTH=450&amp;START_MAXIMIZED=FALSE&amp;VAR:CALENDAR=US&amp;VAR:SYMBOL=38259P50&amp;VAR:INDEX=0"}</definedName>
    <definedName name="_3366__FDSAUDITLINK__">{"fdsup://directions/FAT Viewer?action=UPDATE&amp;creator=factset&amp;DYN_ARGS=TRUE&amp;DOC_NAME=FAT:FQL_AUDITING_CLIENT_TEMPLATE.FAT&amp;display_string=Audit&amp;VAR:KEY=ENIFGTGZEV&amp;VAR:QUERY=KFBfUFJJQ0UoMzk5MTcpLShGRl9DQVNIX1NUKFFUUiwzOTkxNykvUF9DT01fU0hTX09VVCgzOTkxNykpKS9GR","V9FU1RJTUFURSgnRVBTJywnTUVBTicsJ0FOTlVBTF9ST0xMJywnKzEnLDM5OTE3LCwsJycp&amp;WINDOW=FIRST_POPUP&amp;HEIGHT=450&amp;WIDTH=450&amp;START_MAXIMIZED=FALSE&amp;VAR:CALENDAR=US&amp;VAR:SYMBOL=38259P50&amp;VAR:INDEX=0"}</definedName>
    <definedName name="_3367__FDSAUDITLINK__">{"fdsup://directions/FAT Viewer?action=UPDATE&amp;creator=factset&amp;DYN_ARGS=TRUE&amp;DOC_NAME=FAT:FQL_AUDITING_CLIENT_TEMPLATE.FAT&amp;display_string=Audit&amp;VAR:KEY=WRQTYBINKV&amp;VAR:QUERY=KFBfUFJJQ0UoMzk5MTYpLShGRl9DQVNIX1NUKFFUUiwzOTkxNikvUF9DT01fU0hTX09VVCgzOTkxNikpKS9GR","V9FU1RJTUFURSgnRVBTJywnTUVBTicsJ0FOTlVBTF9ST0xMJywnKzEnLDM5OTE2LCwsJycp&amp;WINDOW=FIRST_POPUP&amp;HEIGHT=450&amp;WIDTH=450&amp;START_MAXIMIZED=FALSE&amp;VAR:CALENDAR=US&amp;VAR:SYMBOL=38259P50&amp;VAR:INDEX=0"}</definedName>
    <definedName name="_3368__FDSAUDITLINK__">{"fdsup://directions/FAT Viewer?action=UPDATE&amp;creator=factset&amp;DYN_ARGS=TRUE&amp;DOC_NAME=FAT:FQL_AUDITING_CLIENT_TEMPLATE.FAT&amp;display_string=Audit&amp;VAR:KEY=WRQTYBINKV&amp;VAR:QUERY=KFBfUFJJQ0UoMzk5MTYpLShGRl9DQVNIX1NUKFFUUiwzOTkxNikvUF9DT01fU0hTX09VVCgzOTkxNikpKS9GR","V9FU1RJTUFURSgnRVBTJywnTUVBTicsJ0FOTlVBTF9ST0xMJywnKzEnLDM5OTE2LCwsJycp&amp;WINDOW=FIRST_POPUP&amp;HEIGHT=450&amp;WIDTH=450&amp;START_MAXIMIZED=FALSE&amp;VAR:CALENDAR=US&amp;VAR:SYMBOL=38259P50&amp;VAR:INDEX=0"}</definedName>
    <definedName name="_3369__FDSAUDITLINK__">{"fdsup://directions/FAT Viewer?action=UPDATE&amp;creator=factset&amp;DYN_ARGS=TRUE&amp;DOC_NAME=FAT:FQL_AUDITING_CLIENT_TEMPLATE.FAT&amp;display_string=Audit&amp;VAR:KEY=CVYLGBGVKF&amp;VAR:QUERY=KFBfUFJJQ0UoMzk5MTUpLShGRl9DQVNIX1NUKFFUUiwzOTkxNSkvUF9DT01fU0hTX09VVCgzOTkxNSkpKS9GR","V9FU1RJTUFURSgnRVBTJywnTUVBTicsJ0FOTlVBTF9ST0xMJywnKzEnLDM5OTE1LCwsJycp&amp;WINDOW=FIRST_POPUP&amp;HEIGHT=450&amp;WIDTH=450&amp;START_MAXIMIZED=FALSE&amp;VAR:CALENDAR=US&amp;VAR:SYMBOL=38259P50&amp;VAR:INDEX=0"}</definedName>
    <definedName name="_33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192"}</definedName>
    <definedName name="_3370__FDSAUDITLINK__">{"fdsup://directions/FAT Viewer?action=UPDATE&amp;creator=factset&amp;DYN_ARGS=TRUE&amp;DOC_NAME=FAT:FQL_AUDITING_CLIENT_TEMPLATE.FAT&amp;display_string=Audit&amp;VAR:KEY=CVYLGBGVKF&amp;VAR:QUERY=KFBfUFJJQ0UoMzk5MTUpLShGRl9DQVNIX1NUKFFUUiwzOTkxNSkvUF9DT01fU0hTX09VVCgzOTkxNSkpKS9GR","V9FU1RJTUFURSgnRVBTJywnTUVBTicsJ0FOTlVBTF9ST0xMJywnKzEnLDM5OTE1LCwsJycp&amp;WINDOW=FIRST_POPUP&amp;HEIGHT=450&amp;WIDTH=450&amp;START_MAXIMIZED=FALSE&amp;VAR:CALENDAR=US&amp;VAR:SYMBOL=38259P50&amp;VAR:INDEX=0"}</definedName>
    <definedName name="_3371__FDSAUDITLINK__">{"fdsup://directions/FAT Viewer?action=UPDATE&amp;creator=factset&amp;DYN_ARGS=TRUE&amp;DOC_NAME=FAT:FQL_AUDITING_CLIENT_TEMPLATE.FAT&amp;display_string=Audit&amp;VAR:KEY=UZQNQRGTQX&amp;VAR:QUERY=KFBfUFJJQ0UoMzk5MTQpLShGRl9DQVNIX1NUKFFUUiwzOTkxNCkvUF9DT01fU0hTX09VVCgzOTkxNCkpKS9GR","V9FU1RJTUFURSgnRVBTJywnTUVBTicsJ0FOTlVBTF9ST0xMJywnKzEnLDM5OTE0LCwsJycp&amp;WINDOW=FIRST_POPUP&amp;HEIGHT=450&amp;WIDTH=450&amp;START_MAXIMIZED=FALSE&amp;VAR:CALENDAR=US&amp;VAR:SYMBOL=38259P50&amp;VAR:INDEX=0"}</definedName>
    <definedName name="_3372__FDSAUDITLINK__">{"fdsup://directions/FAT Viewer?action=UPDATE&amp;creator=factset&amp;DYN_ARGS=TRUE&amp;DOC_NAME=FAT:FQL_AUDITING_CLIENT_TEMPLATE.FAT&amp;display_string=Audit&amp;VAR:KEY=UZQNQRGTQX&amp;VAR:QUERY=KFBfUFJJQ0UoMzk5MTQpLShGRl9DQVNIX1NUKFFUUiwzOTkxNCkvUF9DT01fU0hTX09VVCgzOTkxNCkpKS9GR","V9FU1RJTUFURSgnRVBTJywnTUVBTicsJ0FOTlVBTF9ST0xMJywnKzEnLDM5OTE0LCwsJycp&amp;WINDOW=FIRST_POPUP&amp;HEIGHT=450&amp;WIDTH=450&amp;START_MAXIMIZED=FALSE&amp;VAR:CALENDAR=US&amp;VAR:SYMBOL=38259P50&amp;VAR:INDEX=0"}</definedName>
    <definedName name="_3373__FDSAUDITLINK__">{"fdsup://directions/FAT Viewer?action=UPDATE&amp;creator=factset&amp;DYN_ARGS=TRUE&amp;DOC_NAME=FAT:FQL_AUDITING_CLIENT_TEMPLATE.FAT&amp;display_string=Audit&amp;VAR:KEY=KPWRGVYNSZ&amp;VAR:QUERY=KFBfUFJJQ0UoMzk5MTMpLShGRl9DQVNIX1NUKFFUUiwzOTkxMykvUF9DT01fU0hTX09VVCgzOTkxMykpKS9GR","V9FU1RJTUFURSgnRVBTJywnTUVBTicsJ0FOTlVBTF9ST0xMJywnKzEnLDM5OTEzLCwsJycp&amp;WINDOW=FIRST_POPUP&amp;HEIGHT=450&amp;WIDTH=450&amp;START_MAXIMIZED=FALSE&amp;VAR:CALENDAR=US&amp;VAR:SYMBOL=38259P50&amp;VAR:INDEX=0"}</definedName>
    <definedName name="_3374__FDSAUDITLINK__">{"fdsup://directions/FAT Viewer?action=UPDATE&amp;creator=factset&amp;DYN_ARGS=TRUE&amp;DOC_NAME=FAT:FQL_AUDITING_CLIENT_TEMPLATE.FAT&amp;display_string=Audit&amp;VAR:KEY=KPWRGVYNSZ&amp;VAR:QUERY=KFBfUFJJQ0UoMzk5MTMpLShGRl9DQVNIX1NUKFFUUiwzOTkxMykvUF9DT01fU0hTX09VVCgzOTkxMykpKS9GR","V9FU1RJTUFURSgnRVBTJywnTUVBTicsJ0FOTlVBTF9ST0xMJywnKzEnLDM5OTEzLCwsJycp&amp;WINDOW=FIRST_POPUP&amp;HEIGHT=450&amp;WIDTH=450&amp;START_MAXIMIZED=FALSE&amp;VAR:CALENDAR=US&amp;VAR:SYMBOL=38259P50&amp;VAR:INDEX=0"}</definedName>
    <definedName name="_3375__FDSAUDITLINK__">{"fdsup://directions/FAT Viewer?action=UPDATE&amp;creator=factset&amp;DYN_ARGS=TRUE&amp;DOC_NAME=FAT:FQL_AUDITING_CLIENT_TEMPLATE.FAT&amp;display_string=Audit&amp;VAR:KEY=YHSDIDIBAP&amp;VAR:QUERY=KFBfUFJJQ0UoMzk5MTIpLShGRl9DQVNIX1NUKFFUUiwzOTkxMikvUF9DT01fU0hTX09VVCgzOTkxMikpKS9GR","V9FU1RJTUFURSgnRVBTJywnTUVBTicsJ0FOTlVBTF9ST0xMJywnKzEnLDM5OTEyLCwsJycp&amp;WINDOW=FIRST_POPUP&amp;HEIGHT=450&amp;WIDTH=450&amp;START_MAXIMIZED=FALSE&amp;VAR:CALENDAR=US&amp;VAR:SYMBOL=38259P50&amp;VAR:INDEX=0"}</definedName>
    <definedName name="_3376__FDSAUDITLINK__">{"fdsup://directions/FAT Viewer?action=UPDATE&amp;creator=factset&amp;DYN_ARGS=TRUE&amp;DOC_NAME=FAT:FQL_AUDITING_CLIENT_TEMPLATE.FAT&amp;display_string=Audit&amp;VAR:KEY=YHSDIDIBAP&amp;VAR:QUERY=KFBfUFJJQ0UoMzk5MTIpLShGRl9DQVNIX1NUKFFUUiwzOTkxMikvUF9DT01fU0hTX09VVCgzOTkxMikpKS9GR","V9FU1RJTUFURSgnRVBTJywnTUVBTicsJ0FOTlVBTF9ST0xMJywnKzEnLDM5OTEyLCwsJycp&amp;WINDOW=FIRST_POPUP&amp;HEIGHT=450&amp;WIDTH=450&amp;START_MAXIMIZED=FALSE&amp;VAR:CALENDAR=US&amp;VAR:SYMBOL=38259P50&amp;VAR:INDEX=0"}</definedName>
    <definedName name="_3377__FDSAUDITLINK__">{"fdsup://directions/FAT Viewer?action=UPDATE&amp;creator=factset&amp;DYN_ARGS=TRUE&amp;DOC_NAME=FAT:FQL_AUDITING_CLIENT_TEMPLATE.FAT&amp;display_string=Audit&amp;VAR:KEY=KHCZYTIRMB&amp;VAR:QUERY=KFBfUFJJQ0UoMzk5MTEpLShGRl9DQVNIX1NUKFFUUiwzOTkxMSkvUF9DT01fU0hTX09VVCgzOTkxMSkpKS9GR","V9FU1RJTUFURSgnRVBTJywnTUVBTicsJ0FOTlVBTF9ST0xMJywnKzEnLDM5OTExLCwsJycp&amp;WINDOW=FIRST_POPUP&amp;HEIGHT=450&amp;WIDTH=450&amp;START_MAXIMIZED=FALSE&amp;VAR:CALENDAR=US&amp;VAR:SYMBOL=38259P50&amp;VAR:INDEX=0"}</definedName>
    <definedName name="_3378__FDSAUDITLINK__">{"fdsup://directions/FAT Viewer?action=UPDATE&amp;creator=factset&amp;DYN_ARGS=TRUE&amp;DOC_NAME=FAT:FQL_AUDITING_CLIENT_TEMPLATE.FAT&amp;display_string=Audit&amp;VAR:KEY=KHCZYTIRMB&amp;VAR:QUERY=KFBfUFJJQ0UoMzk5MTEpLShGRl9DQVNIX1NUKFFUUiwzOTkxMSkvUF9DT01fU0hTX09VVCgzOTkxMSkpKS9GR","V9FU1RJTUFURSgnRVBTJywnTUVBTicsJ0FOTlVBTF9ST0xMJywnKzEnLDM5OTExLCwsJycp&amp;WINDOW=FIRST_POPUP&amp;HEIGHT=450&amp;WIDTH=450&amp;START_MAXIMIZED=FALSE&amp;VAR:CALENDAR=US&amp;VAR:SYMBOL=38259P50&amp;VAR:INDEX=0"}</definedName>
    <definedName name="_3379__FDSAUDITLINK__">{"fdsup://directions/FAT Viewer?action=UPDATE&amp;creator=factset&amp;DYN_ARGS=TRUE&amp;DOC_NAME=FAT:FQL_AUDITING_CLIENT_TEMPLATE.FAT&amp;display_string=Audit&amp;VAR:KEY=AHYNMBAXOX&amp;VAR:QUERY=KFBfUFJJQ0UoMzk5MTApLShGRl9DQVNIX1NUKFFUUiwzOTkxMCkvUF9DT01fU0hTX09VVCgzOTkxMCkpKS9GR","V9FU1RJTUFURSgnRVBTJywnTUVBTicsJ0FOTlVBTF9ST0xMJywnKzEnLDM5OTEwLCwsJycp&amp;WINDOW=FIRST_POPUP&amp;HEIGHT=450&amp;WIDTH=450&amp;START_MAXIMIZED=FALSE&amp;VAR:CALENDAR=US&amp;VAR:SYMBOL=38259P50&amp;VAR:INDEX=0"}</definedName>
    <definedName name="_33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191"}</definedName>
    <definedName name="_3380__FDSAUDITLINK__">{"fdsup://directions/FAT Viewer?action=UPDATE&amp;creator=factset&amp;DYN_ARGS=TRUE&amp;DOC_NAME=FAT:FQL_AUDITING_CLIENT_TEMPLATE.FAT&amp;display_string=Audit&amp;VAR:KEY=AHYNMBAXOX&amp;VAR:QUERY=KFBfUFJJQ0UoMzk5MTApLShGRl9DQVNIX1NUKFFUUiwzOTkxMCkvUF9DT01fU0hTX09VVCgzOTkxMCkpKS9GR","V9FU1RJTUFURSgnRVBTJywnTUVBTicsJ0FOTlVBTF9ST0xMJywnKzEnLDM5OTEwLCwsJycp&amp;WINDOW=FIRST_POPUP&amp;HEIGHT=450&amp;WIDTH=450&amp;START_MAXIMIZED=FALSE&amp;VAR:CALENDAR=US&amp;VAR:SYMBOL=38259P50&amp;VAR:INDEX=0"}</definedName>
    <definedName name="_3381__FDSAUDITLINK__">{"fdsup://directions/FAT Viewer?action=UPDATE&amp;creator=factset&amp;DYN_ARGS=TRUE&amp;DOC_NAME=FAT:FQL_AUDITING_CLIENT_TEMPLATE.FAT&amp;display_string=Audit&amp;VAR:KEY=ONAXUJGPUF&amp;VAR:QUERY=KFBfUFJJQ0UoMzk5MDkpLShGRl9DQVNIX1NUKFFUUiwzOTkwOSkvUF9DT01fU0hTX09VVCgzOTkwOSkpKS9GR","V9FU1RJTUFURSgnRVBTJywnTUVBTicsJ0FOTlVBTF9ST0xMJywnKzEnLDM5OTA5LCwsJycp&amp;WINDOW=FIRST_POPUP&amp;HEIGHT=450&amp;WIDTH=450&amp;START_MAXIMIZED=FALSE&amp;VAR:CALENDAR=US&amp;VAR:SYMBOL=38259P50&amp;VAR:INDEX=0"}</definedName>
    <definedName name="_3382__FDSAUDITLINK__">{"fdsup://directions/FAT Viewer?action=UPDATE&amp;creator=factset&amp;DYN_ARGS=TRUE&amp;DOC_NAME=FAT:FQL_AUDITING_CLIENT_TEMPLATE.FAT&amp;display_string=Audit&amp;VAR:KEY=ONAXUJGPUF&amp;VAR:QUERY=KFBfUFJJQ0UoMzk5MDkpLShGRl9DQVNIX1NUKFFUUiwzOTkwOSkvUF9DT01fU0hTX09VVCgzOTkwOSkpKS9GR","V9FU1RJTUFURSgnRVBTJywnTUVBTicsJ0FOTlVBTF9ST0xMJywnKzEnLDM5OTA5LCwsJycp&amp;WINDOW=FIRST_POPUP&amp;HEIGHT=450&amp;WIDTH=450&amp;START_MAXIMIZED=FALSE&amp;VAR:CALENDAR=US&amp;VAR:SYMBOL=38259P50&amp;VAR:INDEX=0"}</definedName>
    <definedName name="_3383__FDSAUDITLINK__">{"fdsup://directions/FAT Viewer?action=UPDATE&amp;creator=factset&amp;DYN_ARGS=TRUE&amp;DOC_NAME=FAT:FQL_AUDITING_CLIENT_TEMPLATE.FAT&amp;display_string=Audit&amp;VAR:KEY=GROBSZUXAD&amp;VAR:QUERY=KFBfUFJJQ0UoMzk5MDgpLShGRl9DQVNIX1NUKFFUUiwzOTkwOCkvUF9DT01fU0hTX09VVCgzOTkwOCkpKS9GR","V9FU1RJTUFURSgnRVBTJywnTUVBTicsJ0FOTlVBTF9ST0xMJywnKzEnLDM5OTA4LCwsJycp&amp;WINDOW=FIRST_POPUP&amp;HEIGHT=450&amp;WIDTH=450&amp;START_MAXIMIZED=FALSE&amp;VAR:CALENDAR=US&amp;VAR:SYMBOL=38259P50&amp;VAR:INDEX=0"}</definedName>
    <definedName name="_3384__FDSAUDITLINK__">{"fdsup://directions/FAT Viewer?action=UPDATE&amp;creator=factset&amp;DYN_ARGS=TRUE&amp;DOC_NAME=FAT:FQL_AUDITING_CLIENT_TEMPLATE.FAT&amp;display_string=Audit&amp;VAR:KEY=GROBSZUXAD&amp;VAR:QUERY=KFBfUFJJQ0UoMzk5MDgpLShGRl9DQVNIX1NUKFFUUiwzOTkwOCkvUF9DT01fU0hTX09VVCgzOTkwOCkpKS9GR","V9FU1RJTUFURSgnRVBTJywnTUVBTicsJ0FOTlVBTF9ST0xMJywnKzEnLDM5OTA4LCwsJycp&amp;WINDOW=FIRST_POPUP&amp;HEIGHT=450&amp;WIDTH=450&amp;START_MAXIMIZED=FALSE&amp;VAR:CALENDAR=US&amp;VAR:SYMBOL=38259P50&amp;VAR:INDEX=0"}</definedName>
    <definedName name="_3385__FDSAUDITLINK__">{"fdsup://directions/FAT Viewer?action=UPDATE&amp;creator=factset&amp;DYN_ARGS=TRUE&amp;DOC_NAME=FAT:FQL_AUDITING_CLIENT_TEMPLATE.FAT&amp;display_string=Audit&amp;VAR:KEY=YPWZCVOLCF&amp;VAR:QUERY=KFBfUFJJQ0UoMzk5MDcpLShGRl9DQVNIX1NUKFFUUiwzOTkwNykvUF9DT01fU0hTX09VVCgzOTkwNykpKS9GR","V9FU1RJTUFURSgnRVBTJywnTUVBTicsJ0FOTlVBTF9ST0xMJywnKzEnLDM5OTA3LCwsJycp&amp;WINDOW=FIRST_POPUP&amp;HEIGHT=450&amp;WIDTH=450&amp;START_MAXIMIZED=FALSE&amp;VAR:CALENDAR=US&amp;VAR:SYMBOL=38259P50&amp;VAR:INDEX=0"}</definedName>
    <definedName name="_3386__FDSAUDITLINK__">{"fdsup://directions/FAT Viewer?action=UPDATE&amp;creator=factset&amp;DYN_ARGS=TRUE&amp;DOC_NAME=FAT:FQL_AUDITING_CLIENT_TEMPLATE.FAT&amp;display_string=Audit&amp;VAR:KEY=YPWZCVOLCF&amp;VAR:QUERY=KFBfUFJJQ0UoMzk5MDcpLShGRl9DQVNIX1NUKFFUUiwzOTkwNykvUF9DT01fU0hTX09VVCgzOTkwNykpKS9GR","V9FU1RJTUFURSgnRVBTJywnTUVBTicsJ0FOTlVBTF9ST0xMJywnKzEnLDM5OTA3LCwsJycp&amp;WINDOW=FIRST_POPUP&amp;HEIGHT=450&amp;WIDTH=450&amp;START_MAXIMIZED=FALSE&amp;VAR:CALENDAR=US&amp;VAR:SYMBOL=38259P50&amp;VAR:INDEX=0"}</definedName>
    <definedName name="_3387__FDSAUDITLINK__">{"fdsup://directions/FAT Viewer?action=UPDATE&amp;creator=factset&amp;DYN_ARGS=TRUE&amp;DOC_NAME=FAT:FQL_AUDITING_CLIENT_TEMPLATE.FAT&amp;display_string=Audit&amp;VAR:KEY=UHWDCLAFST&amp;VAR:QUERY=KFBfUFJJQ0UoMzk5MDYpLShGRl9DQVNIX1NUKFFUUiwzOTkwNikvUF9DT01fU0hTX09VVCgzOTkwNikpKS9GR","V9FU1RJTUFURSgnRVBTJywnTUVBTicsJ0FOTlVBTF9ST0xMJywnKzEnLDM5OTA2LCwsJycp&amp;WINDOW=FIRST_POPUP&amp;HEIGHT=450&amp;WIDTH=450&amp;START_MAXIMIZED=FALSE&amp;VAR:CALENDAR=US&amp;VAR:SYMBOL=38259P50&amp;VAR:INDEX=0"}</definedName>
    <definedName name="_3388__FDSAUDITLINK__">{"fdsup://directions/FAT Viewer?action=UPDATE&amp;creator=factset&amp;DYN_ARGS=TRUE&amp;DOC_NAME=FAT:FQL_AUDITING_CLIENT_TEMPLATE.FAT&amp;display_string=Audit&amp;VAR:KEY=UHWDCLAFST&amp;VAR:QUERY=KFBfUFJJQ0UoMzk5MDYpLShGRl9DQVNIX1NUKFFUUiwzOTkwNikvUF9DT01fU0hTX09VVCgzOTkwNikpKS9GR","V9FU1RJTUFURSgnRVBTJywnTUVBTicsJ0FOTlVBTF9ST0xMJywnKzEnLDM5OTA2LCwsJycp&amp;WINDOW=FIRST_POPUP&amp;HEIGHT=450&amp;WIDTH=450&amp;START_MAXIMIZED=FALSE&amp;VAR:CALENDAR=US&amp;VAR:SYMBOL=38259P50&amp;VAR:INDEX=0"}</definedName>
    <definedName name="_3389__FDSAUDITLINK__">{"fdsup://directions/FAT Viewer?action=UPDATE&amp;creator=factset&amp;DYN_ARGS=TRUE&amp;DOC_NAME=FAT:FQL_AUDITING_CLIENT_TEMPLATE.FAT&amp;display_string=Audit&amp;VAR:KEY=ELWJEFIDML&amp;VAR:QUERY=KFBfUFJJQ0UoMzk5MDUpLShGRl9DQVNIX1NUKFFUUiwzOTkwNSkvUF9DT01fU0hTX09VVCgzOTkwNSkpKS9GR","V9FU1RJTUFURSgnRVBTJywnTUVBTicsJ0FOTlVBTF9ST0xMJywnKzEnLDM5OTA1LCwsJycp&amp;WINDOW=FIRST_POPUP&amp;HEIGHT=450&amp;WIDTH=450&amp;START_MAXIMIZED=FALSE&amp;VAR:CALENDAR=US&amp;VAR:SYMBOL=38259P50&amp;VAR:INDEX=0"}</definedName>
    <definedName name="_33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190"}</definedName>
    <definedName name="_3390__FDSAUDITLINK__">{"fdsup://directions/FAT Viewer?action=UPDATE&amp;creator=factset&amp;DYN_ARGS=TRUE&amp;DOC_NAME=FAT:FQL_AUDITING_CLIENT_TEMPLATE.FAT&amp;display_string=Audit&amp;VAR:KEY=ELWJEFIDML&amp;VAR:QUERY=KFBfUFJJQ0UoMzk5MDUpLShGRl9DQVNIX1NUKFFUUiwzOTkwNSkvUF9DT01fU0hTX09VVCgzOTkwNSkpKS9GR","V9FU1RJTUFURSgnRVBTJywnTUVBTicsJ0FOTlVBTF9ST0xMJywnKzEnLDM5OTA1LCwsJycp&amp;WINDOW=FIRST_POPUP&amp;HEIGHT=450&amp;WIDTH=450&amp;START_MAXIMIZED=FALSE&amp;VAR:CALENDAR=US&amp;VAR:SYMBOL=38259P50&amp;VAR:INDEX=0"}</definedName>
    <definedName name="_3391__FDSAUDITLINK__">{"fdsup://directions/FAT Viewer?action=UPDATE&amp;creator=factset&amp;DYN_ARGS=TRUE&amp;DOC_NAME=FAT:FQL_AUDITING_CLIENT_TEMPLATE.FAT&amp;display_string=Audit&amp;VAR:KEY=SBIBGHSTER&amp;VAR:QUERY=KFBfUFJJQ0UoMzk5MDQpLShGRl9DQVNIX1NUKFFUUiwzOTkwNCkvUF9DT01fU0hTX09VVCgzOTkwNCkpKS9GR","V9FU1RJTUFURSgnRVBTJywnTUVBTicsJ0FOTlVBTF9ST0xMJywnKzEnLDM5OTA0LCwsJycp&amp;WINDOW=FIRST_POPUP&amp;HEIGHT=450&amp;WIDTH=450&amp;START_MAXIMIZED=FALSE&amp;VAR:CALENDAR=US&amp;VAR:SYMBOL=38259P50&amp;VAR:INDEX=0"}</definedName>
    <definedName name="_3392__FDSAUDITLINK__">{"fdsup://directions/FAT Viewer?action=UPDATE&amp;creator=factset&amp;DYN_ARGS=TRUE&amp;DOC_NAME=FAT:FQL_AUDITING_CLIENT_TEMPLATE.FAT&amp;display_string=Audit&amp;VAR:KEY=SBIBGHSTER&amp;VAR:QUERY=KFBfUFJJQ0UoMzk5MDQpLShGRl9DQVNIX1NUKFFUUiwzOTkwNCkvUF9DT01fU0hTX09VVCgzOTkwNCkpKS9GR","V9FU1RJTUFURSgnRVBTJywnTUVBTicsJ0FOTlVBTF9ST0xMJywnKzEnLDM5OTA0LCwsJycp&amp;WINDOW=FIRST_POPUP&amp;HEIGHT=450&amp;WIDTH=450&amp;START_MAXIMIZED=FALSE&amp;VAR:CALENDAR=US&amp;VAR:SYMBOL=38259P50&amp;VAR:INDEX=0"}</definedName>
    <definedName name="_3393__FDSAUDITLINK__">{"fdsup://directions/FAT Viewer?action=UPDATE&amp;creator=factset&amp;DYN_ARGS=TRUE&amp;DOC_NAME=FAT:FQL_AUDITING_CLIENT_TEMPLATE.FAT&amp;display_string=Audit&amp;VAR:KEY=QRAXAPGXOV&amp;VAR:QUERY=KFBfUFJJQ0UoMzk5MDMpLShGRl9DQVNIX1NUKFFUUiwzOTkwMykvUF9DT01fU0hTX09VVCgzOTkwMykpKS9GR","V9FU1RJTUFURSgnRVBTJywnTUVBTicsJ0FOTlVBTF9ST0xMJywnKzEnLDM5OTAzLCwsJycp&amp;WINDOW=FIRST_POPUP&amp;HEIGHT=450&amp;WIDTH=450&amp;START_MAXIMIZED=FALSE&amp;VAR:CALENDAR=US&amp;VAR:SYMBOL=38259P50&amp;VAR:INDEX=0"}</definedName>
    <definedName name="_3394__FDSAUDITLINK__">{"fdsup://directions/FAT Viewer?action=UPDATE&amp;creator=factset&amp;DYN_ARGS=TRUE&amp;DOC_NAME=FAT:FQL_AUDITING_CLIENT_TEMPLATE.FAT&amp;display_string=Audit&amp;VAR:KEY=QRAXAPGXOV&amp;VAR:QUERY=KFBfUFJJQ0UoMzk5MDMpLShGRl9DQVNIX1NUKFFUUiwzOTkwMykvUF9DT01fU0hTX09VVCgzOTkwMykpKS9GR","V9FU1RJTUFURSgnRVBTJywnTUVBTicsJ0FOTlVBTF9ST0xMJywnKzEnLDM5OTAzLCwsJycp&amp;WINDOW=FIRST_POPUP&amp;HEIGHT=450&amp;WIDTH=450&amp;START_MAXIMIZED=FALSE&amp;VAR:CALENDAR=US&amp;VAR:SYMBOL=38259P50&amp;VAR:INDEX=0"}</definedName>
    <definedName name="_3395__FDSAUDITLINK__">{"fdsup://directions/FAT Viewer?action=UPDATE&amp;creator=factset&amp;DYN_ARGS=TRUE&amp;DOC_NAME=FAT:FQL_AUDITING_CLIENT_TEMPLATE.FAT&amp;display_string=Audit&amp;VAR:KEY=MJMRQFUNIH&amp;VAR:QUERY=KFBfUFJJQ0UoMzk5MDIpLShGRl9DQVNIX1NUKFFUUiwzOTkwMikvUF9DT01fU0hTX09VVCgzOTkwMikpKS9GR","V9FU1RJTUFURSgnRVBTJywnTUVBTicsJ0FOTlVBTF9ST0xMJywnKzEnLDM5OTAyLCwsJycp&amp;WINDOW=FIRST_POPUP&amp;HEIGHT=450&amp;WIDTH=450&amp;START_MAXIMIZED=FALSE&amp;VAR:CALENDAR=US&amp;VAR:SYMBOL=38259P50&amp;VAR:INDEX=0"}</definedName>
    <definedName name="_3396__FDSAUDITLINK__">{"fdsup://directions/FAT Viewer?action=UPDATE&amp;creator=factset&amp;DYN_ARGS=TRUE&amp;DOC_NAME=FAT:FQL_AUDITING_CLIENT_TEMPLATE.FAT&amp;display_string=Audit&amp;VAR:KEY=MJMRQFUNIH&amp;VAR:QUERY=KFBfUFJJQ0UoMzk5MDIpLShGRl9DQVNIX1NUKFFUUiwzOTkwMikvUF9DT01fU0hTX09VVCgzOTkwMikpKS9GR","V9FU1RJTUFURSgnRVBTJywnTUVBTicsJ0FOTlVBTF9ST0xMJywnKzEnLDM5OTAyLCwsJycp&amp;WINDOW=FIRST_POPUP&amp;HEIGHT=450&amp;WIDTH=450&amp;START_MAXIMIZED=FALSE&amp;VAR:CALENDAR=US&amp;VAR:SYMBOL=38259P50&amp;VAR:INDEX=0"}</definedName>
    <definedName name="_3397__FDSAUDITLINK__">{"fdsup://directions/FAT Viewer?action=UPDATE&amp;creator=factset&amp;DYN_ARGS=TRUE&amp;DOC_NAME=FAT:FQL_AUDITING_CLIENT_TEMPLATE.FAT&amp;display_string=Audit&amp;VAR:KEY=GPIJOTGJIR&amp;VAR:QUERY=KFBfUFJJQ0UoMzk5MDEpLShGRl9DQVNIX1NUKFFUUiwzOTkwMSkvUF9DT01fU0hTX09VVCgzOTkwMSkpKS9GR","V9FU1RJTUFURSgnRVBTJywnTUVBTicsJ0FOTlVBTF9ST0xMJywnKzEnLDM5OTAxLCwsJycp&amp;WINDOW=FIRST_POPUP&amp;HEIGHT=450&amp;WIDTH=450&amp;START_MAXIMIZED=FALSE&amp;VAR:CALENDAR=US&amp;VAR:SYMBOL=38259P50&amp;VAR:INDEX=0"}</definedName>
    <definedName name="_3398__FDSAUDITLINK__">{"fdsup://directions/FAT Viewer?action=UPDATE&amp;creator=factset&amp;DYN_ARGS=TRUE&amp;DOC_NAME=FAT:FQL_AUDITING_CLIENT_TEMPLATE.FAT&amp;display_string=Audit&amp;VAR:KEY=GPIJOTGJIR&amp;VAR:QUERY=KFBfUFJJQ0UoMzk5MDEpLShGRl9DQVNIX1NUKFFUUiwzOTkwMSkvUF9DT01fU0hTX09VVCgzOTkwMSkpKS9GR","V9FU1RJTUFURSgnRVBTJywnTUVBTicsJ0FOTlVBTF9ST0xMJywnKzEnLDM5OTAxLCwsJycp&amp;WINDOW=FIRST_POPUP&amp;HEIGHT=450&amp;WIDTH=450&amp;START_MAXIMIZED=FALSE&amp;VAR:CALENDAR=US&amp;VAR:SYMBOL=38259P50&amp;VAR:INDEX=0"}</definedName>
    <definedName name="_3399__FDSAUDITLINK__">{"fdsup://directions/FAT Viewer?action=UPDATE&amp;creator=factset&amp;DYN_ARGS=TRUE&amp;DOC_NAME=FAT:FQL_AUDITING_CLIENT_TEMPLATE.FAT&amp;display_string=Audit&amp;VAR:KEY=ANUVUPCLKB&amp;VAR:QUERY=KFBfUFJJQ0UoMzk5MDApLShGRl9DQVNIX1NUKFFUUiwzOTkwMCkvUF9DT01fU0hTX09VVCgzOTkwMCkpKS9GR","V9FU1RJTUFURSgnRVBTJywnTUVBTicsJ0FOTlVBTF9ST0xMJywnKzEnLDM5OTAwLCwsJycp&amp;WINDOW=FIRST_POPUP&amp;HEIGHT=450&amp;WIDTH=450&amp;START_MAXIMIZED=FALSE&amp;VAR:CALENDAR=US&amp;VAR:SYMBOL=38259P50&amp;VAR:INDEX=0"}</definedName>
    <definedName name="_3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15.884995&amp;VAR:V0=16.450962&amp;VAR:V1=14.373987&amp;VAR:Y0=2003&amp;VAR:Y1=2004&amp;VAR:P=848.179300&amp;VAR:DATE=20030331&amp;VAR:THRESH=-|-|-","|-|-|-|-"}</definedName>
    <definedName name="_34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189"}</definedName>
    <definedName name="_3400__FDSAUDITLINK__">{"fdsup://directions/FAT Viewer?action=UPDATE&amp;creator=factset&amp;DYN_ARGS=TRUE&amp;DOC_NAME=FAT:FQL_AUDITING_CLIENT_TEMPLATE.FAT&amp;display_string=Audit&amp;VAR:KEY=ANUVUPCLKB&amp;VAR:QUERY=KFBfUFJJQ0UoMzk5MDApLShGRl9DQVNIX1NUKFFUUiwzOTkwMCkvUF9DT01fU0hTX09VVCgzOTkwMCkpKS9GR","V9FU1RJTUFURSgnRVBTJywnTUVBTicsJ0FOTlVBTF9ST0xMJywnKzEnLDM5OTAwLCwsJycp&amp;WINDOW=FIRST_POPUP&amp;HEIGHT=450&amp;WIDTH=450&amp;START_MAXIMIZED=FALSE&amp;VAR:CALENDAR=US&amp;VAR:SYMBOL=38259P50&amp;VAR:INDEX=0"}</definedName>
    <definedName name="_3401__FDSAUDITLINK__">{"fdsup://directions/FAT Viewer?action=UPDATE&amp;creator=factset&amp;DYN_ARGS=TRUE&amp;DOC_NAME=FAT:FQL_AUDITING_CLIENT_TEMPLATE.FAT&amp;display_string=Audit&amp;VAR:KEY=YBITOXQHQT&amp;VAR:QUERY=KFBfUFJJQ0UoMzk4OTkpLShGRl9DQVNIX1NUKFFUUiwzOTg5OSkvUF9DT01fU0hTX09VVCgzOTg5OSkpKS9GR","V9FU1RJTUFURSgnRVBTJywnTUVBTicsJ0FOTlVBTF9ST0xMJywnKzEnLDM5ODk5LCwsJycp&amp;WINDOW=FIRST_POPUP&amp;HEIGHT=450&amp;WIDTH=450&amp;START_MAXIMIZED=FALSE&amp;VAR:CALENDAR=US&amp;VAR:SYMBOL=38259P50&amp;VAR:INDEX=0"}</definedName>
    <definedName name="_3402__FDSAUDITLINK__">{"fdsup://directions/FAT Viewer?action=UPDATE&amp;creator=factset&amp;DYN_ARGS=TRUE&amp;DOC_NAME=FAT:FQL_AUDITING_CLIENT_TEMPLATE.FAT&amp;display_string=Audit&amp;VAR:KEY=YBITOXQHQT&amp;VAR:QUERY=KFBfUFJJQ0UoMzk4OTkpLShGRl9DQVNIX1NUKFFUUiwzOTg5OSkvUF9DT01fU0hTX09VVCgzOTg5OSkpKS9GR","V9FU1RJTUFURSgnRVBTJywnTUVBTicsJ0FOTlVBTF9ST0xMJywnKzEnLDM5ODk5LCwsJycp&amp;WINDOW=FIRST_POPUP&amp;HEIGHT=450&amp;WIDTH=450&amp;START_MAXIMIZED=FALSE&amp;VAR:CALENDAR=US&amp;VAR:SYMBOL=38259P50&amp;VAR:INDEX=0"}</definedName>
    <definedName name="_3403__FDSAUDITLINK__">{"fdsup://directions/FAT Viewer?action=UPDATE&amp;creator=factset&amp;DYN_ARGS=TRUE&amp;DOC_NAME=FAT:FQL_AUDITING_CLIENT_TEMPLATE.FAT&amp;display_string=Audit&amp;VAR:KEY=QFCDIJYVWN&amp;VAR:QUERY=KFBfUFJJQ0UoMzk4OTgpLShGRl9DQVNIX1NUKFFUUiwzOTg5OCkvUF9DT01fU0hTX09VVCgzOTg5OCkpKS9GR","V9FU1RJTUFURSgnRVBTJywnTUVBTicsJ0FOTlVBTF9ST0xMJywnKzEnLDM5ODk4LCwsJycp&amp;WINDOW=FIRST_POPUP&amp;HEIGHT=450&amp;WIDTH=450&amp;START_MAXIMIZED=FALSE&amp;VAR:CALENDAR=US&amp;VAR:SYMBOL=38259P50&amp;VAR:INDEX=0"}</definedName>
    <definedName name="_3404__FDSAUDITLINK__">{"fdsup://directions/FAT Viewer?action=UPDATE&amp;creator=factset&amp;DYN_ARGS=TRUE&amp;DOC_NAME=FAT:FQL_AUDITING_CLIENT_TEMPLATE.FAT&amp;display_string=Audit&amp;VAR:KEY=QFCDIJYVWN&amp;VAR:QUERY=KFBfUFJJQ0UoMzk4OTgpLShGRl9DQVNIX1NUKFFUUiwzOTg5OCkvUF9DT01fU0hTX09VVCgzOTg5OCkpKS9GR","V9FU1RJTUFURSgnRVBTJywnTUVBTicsJ0FOTlVBTF9ST0xMJywnKzEnLDM5ODk4LCwsJycp&amp;WINDOW=FIRST_POPUP&amp;HEIGHT=450&amp;WIDTH=450&amp;START_MAXIMIZED=FALSE&amp;VAR:CALENDAR=US&amp;VAR:SYMBOL=38259P50&amp;VAR:INDEX=0"}</definedName>
    <definedName name="_3405__FDSAUDITLINK__">{"fdsup://directions/FAT Viewer?action=UPDATE&amp;creator=factset&amp;DYN_ARGS=TRUE&amp;DOC_NAME=FAT:FQL_AUDITING_CLIENT_TEMPLATE.FAT&amp;display_string=Audit&amp;VAR:KEY=CPOTAPALKB&amp;VAR:QUERY=KFBfUFJJQ0UoMzk4OTcpLShGRl9DQVNIX1NUKFFUUiwzOTg5NykvUF9DT01fU0hTX09VVCgzOTg5NykpKS9GR","V9FU1RJTUFURSgnRVBTJywnTUVBTicsJ0FOTlVBTF9ST0xMJywnKzEnLDM5ODk3LCwsJycp&amp;WINDOW=FIRST_POPUP&amp;HEIGHT=450&amp;WIDTH=450&amp;START_MAXIMIZED=FALSE&amp;VAR:CALENDAR=US&amp;VAR:SYMBOL=38259P50&amp;VAR:INDEX=0"}</definedName>
    <definedName name="_3406__FDSAUDITLINK__">{"fdsup://directions/FAT Viewer?action=UPDATE&amp;creator=factset&amp;DYN_ARGS=TRUE&amp;DOC_NAME=FAT:FQL_AUDITING_CLIENT_TEMPLATE.FAT&amp;display_string=Audit&amp;VAR:KEY=CPOTAPALKB&amp;VAR:QUERY=KFBfUFJJQ0UoMzk4OTcpLShGRl9DQVNIX1NUKFFUUiwzOTg5NykvUF9DT01fU0hTX09VVCgzOTg5NykpKS9GR","V9FU1RJTUFURSgnRVBTJywnTUVBTicsJ0FOTlVBTF9ST0xMJywnKzEnLDM5ODk3LCwsJycp&amp;WINDOW=FIRST_POPUP&amp;HEIGHT=450&amp;WIDTH=450&amp;START_MAXIMIZED=FALSE&amp;VAR:CALENDAR=US&amp;VAR:SYMBOL=38259P50&amp;VAR:INDEX=0"}</definedName>
    <definedName name="_3407__FDSAUDITLINK__">{"fdsup://directions/FAT Viewer?action=UPDATE&amp;creator=factset&amp;DYN_ARGS=TRUE&amp;DOC_NAME=FAT:FQL_AUDITING_CLIENT_TEMPLATE.FAT&amp;display_string=Audit&amp;VAR:KEY=EBGDOPQVGT&amp;VAR:QUERY=KFBfUFJJQ0UoMzk4OTYpLShGRl9DQVNIX1NUKFFUUiwzOTg5NikvUF9DT01fU0hTX09VVCgzOTg5NikpKS9GR","V9FU1RJTUFURSgnRVBTJywnTUVBTicsJ0FOTlVBTF9ST0xMJywnKzEnLDM5ODk2LCwsJycp&amp;WINDOW=FIRST_POPUP&amp;HEIGHT=450&amp;WIDTH=450&amp;START_MAXIMIZED=FALSE&amp;VAR:CALENDAR=US&amp;VAR:SYMBOL=38259P50&amp;VAR:INDEX=0"}</definedName>
    <definedName name="_3408__FDSAUDITLINK__">{"fdsup://directions/FAT Viewer?action=UPDATE&amp;creator=factset&amp;DYN_ARGS=TRUE&amp;DOC_NAME=FAT:FQL_AUDITING_CLIENT_TEMPLATE.FAT&amp;display_string=Audit&amp;VAR:KEY=EBGDOPQVGT&amp;VAR:QUERY=KFBfUFJJQ0UoMzk4OTYpLShGRl9DQVNIX1NUKFFUUiwzOTg5NikvUF9DT01fU0hTX09VVCgzOTg5NikpKS9GR","V9FU1RJTUFURSgnRVBTJywnTUVBTicsJ0FOTlVBTF9ST0xMJywnKzEnLDM5ODk2LCwsJycp&amp;WINDOW=FIRST_POPUP&amp;HEIGHT=450&amp;WIDTH=450&amp;START_MAXIMIZED=FALSE&amp;VAR:CALENDAR=US&amp;VAR:SYMBOL=38259P50&amp;VAR:INDEX=0"}</definedName>
    <definedName name="_3409__FDSAUDITLINK__">{"fdsup://directions/FAT Viewer?action=UPDATE&amp;creator=factset&amp;DYN_ARGS=TRUE&amp;DOC_NAME=FAT:FQL_AUDITING_CLIENT_TEMPLATE.FAT&amp;display_string=Audit&amp;VAR:KEY=GPEBOLABGZ&amp;VAR:QUERY=KFBfUFJJQ0UoMzk4OTUpLShGRl9DQVNIX1NUKFFUUiwzOTg5NSkvUF9DT01fU0hTX09VVCgzOTg5NSkpKS9GR","V9FU1RJTUFURSgnRVBTJywnTUVBTicsJ0FOTlVBTF9ST0xMJywnKzEnLDM5ODk1LCwsJycp&amp;WINDOW=FIRST_POPUP&amp;HEIGHT=450&amp;WIDTH=450&amp;START_MAXIMIZED=FALSE&amp;VAR:CALENDAR=US&amp;VAR:SYMBOL=38259P50&amp;VAR:INDEX=0"}</definedName>
    <definedName name="_34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188"}</definedName>
    <definedName name="_3410__FDSAUDITLINK__">{"fdsup://directions/FAT Viewer?action=UPDATE&amp;creator=factset&amp;DYN_ARGS=TRUE&amp;DOC_NAME=FAT:FQL_AUDITING_CLIENT_TEMPLATE.FAT&amp;display_string=Audit&amp;VAR:KEY=GPEBOLABGZ&amp;VAR:QUERY=KFBfUFJJQ0UoMzk4OTUpLShGRl9DQVNIX1NUKFFUUiwzOTg5NSkvUF9DT01fU0hTX09VVCgzOTg5NSkpKS9GR","V9FU1RJTUFURSgnRVBTJywnTUVBTicsJ0FOTlVBTF9ST0xMJywnKzEnLDM5ODk1LCwsJycp&amp;WINDOW=FIRST_POPUP&amp;HEIGHT=450&amp;WIDTH=450&amp;START_MAXIMIZED=FALSE&amp;VAR:CALENDAR=US&amp;VAR:SYMBOL=38259P50&amp;VAR:INDEX=0"}</definedName>
    <definedName name="_3411__FDSAUDITLINK__">{"fdsup://directions/FAT Viewer?action=UPDATE&amp;creator=factset&amp;DYN_ARGS=TRUE&amp;DOC_NAME=FAT:FQL_AUDITING_CLIENT_TEMPLATE.FAT&amp;display_string=Audit&amp;VAR:KEY=WLYHILWLMF&amp;VAR:QUERY=KFBfUFJJQ0UoMzk4OTQpLShGRl9DQVNIX1NUKFFUUiwzOTg5NCkvUF9DT01fU0hTX09VVCgzOTg5NCkpKS9GR","V9FU1RJTUFURSgnRVBTJywnTUVBTicsJ0FOTlVBTF9ST0xMJywnKzEnLDM5ODk0LCwsJycp&amp;WINDOW=FIRST_POPUP&amp;HEIGHT=450&amp;WIDTH=450&amp;START_MAXIMIZED=FALSE&amp;VAR:CALENDAR=US&amp;VAR:SYMBOL=38259P50&amp;VAR:INDEX=0"}</definedName>
    <definedName name="_3412__FDSAUDITLINK__">{"fdsup://directions/FAT Viewer?action=UPDATE&amp;creator=factset&amp;DYN_ARGS=TRUE&amp;DOC_NAME=FAT:FQL_AUDITING_CLIENT_TEMPLATE.FAT&amp;display_string=Audit&amp;VAR:KEY=WLYHILWLMF&amp;VAR:QUERY=KFBfUFJJQ0UoMzk4OTQpLShGRl9DQVNIX1NUKFFUUiwzOTg5NCkvUF9DT01fU0hTX09VVCgzOTg5NCkpKS9GR","V9FU1RJTUFURSgnRVBTJywnTUVBTicsJ0FOTlVBTF9ST0xMJywnKzEnLDM5ODk0LCwsJycp&amp;WINDOW=FIRST_POPUP&amp;HEIGHT=450&amp;WIDTH=450&amp;START_MAXIMIZED=FALSE&amp;VAR:CALENDAR=US&amp;VAR:SYMBOL=38259P50&amp;VAR:INDEX=0"}</definedName>
    <definedName name="_3413__FDSAUDITLINK__">{"fdsup://directions/FAT Viewer?action=UPDATE&amp;creator=factset&amp;DYN_ARGS=TRUE&amp;DOC_NAME=FAT:FQL_AUDITING_CLIENT_TEMPLATE.FAT&amp;display_string=Audit&amp;VAR:KEY=SFMDSJEJGP&amp;VAR:QUERY=KFBfUFJJQ0UoMzk4OTMpLShGRl9DQVNIX1NUKFFUUiwzOTg5MykvUF9DT01fU0hTX09VVCgzOTg5MykpKS9GR","V9FU1RJTUFURSgnRVBTJywnTUVBTicsJ0FOTlVBTF9ST0xMJywnKzEnLDM5ODkzLCwsJycp&amp;WINDOW=FIRST_POPUP&amp;HEIGHT=450&amp;WIDTH=450&amp;START_MAXIMIZED=FALSE&amp;VAR:CALENDAR=US&amp;VAR:SYMBOL=38259P50&amp;VAR:INDEX=0"}</definedName>
    <definedName name="_3414__FDSAUDITLINK__">{"fdsup://directions/FAT Viewer?action=UPDATE&amp;creator=factset&amp;DYN_ARGS=TRUE&amp;DOC_NAME=FAT:FQL_AUDITING_CLIENT_TEMPLATE.FAT&amp;display_string=Audit&amp;VAR:KEY=SFMDSJEJGP&amp;VAR:QUERY=KFBfUFJJQ0UoMzk4OTMpLShGRl9DQVNIX1NUKFFUUiwzOTg5MykvUF9DT01fU0hTX09VVCgzOTg5MykpKS9GR","V9FU1RJTUFURSgnRVBTJywnTUVBTicsJ0FOTlVBTF9ST0xMJywnKzEnLDM5ODkzLCwsJycp&amp;WINDOW=FIRST_POPUP&amp;HEIGHT=450&amp;WIDTH=450&amp;START_MAXIMIZED=FALSE&amp;VAR:CALENDAR=US&amp;VAR:SYMBOL=38259P50&amp;VAR:INDEX=0"}</definedName>
    <definedName name="_3415__FDSAUDITLINK__">{"fdsup://directions/FAT Viewer?action=UPDATE&amp;creator=factset&amp;DYN_ARGS=TRUE&amp;DOC_NAME=FAT:FQL_AUDITING_CLIENT_TEMPLATE.FAT&amp;display_string=Audit&amp;VAR:KEY=QVWTQPETIX&amp;VAR:QUERY=KFBfUFJJQ0UoMzk4OTIpLShGRl9DQVNIX1NUKFFUUiwzOTg5MikvUF9DT01fU0hTX09VVCgzOTg5MikpKS9GR","V9FU1RJTUFURSgnRVBTJywnTUVBTicsJ0FOTlVBTF9ST0xMJywnKzEnLDM5ODkyLCwsJycp&amp;WINDOW=FIRST_POPUP&amp;HEIGHT=450&amp;WIDTH=450&amp;START_MAXIMIZED=FALSE&amp;VAR:CALENDAR=US&amp;VAR:SYMBOL=38259P50&amp;VAR:INDEX=0"}</definedName>
    <definedName name="_3416__FDSAUDITLINK__">{"fdsup://directions/FAT Viewer?action=UPDATE&amp;creator=factset&amp;DYN_ARGS=TRUE&amp;DOC_NAME=FAT:FQL_AUDITING_CLIENT_TEMPLATE.FAT&amp;display_string=Audit&amp;VAR:KEY=QVWTQPETIX&amp;VAR:QUERY=KFBfUFJJQ0UoMzk4OTIpLShGRl9DQVNIX1NUKFFUUiwzOTg5MikvUF9DT01fU0hTX09VVCgzOTg5MikpKS9GR","V9FU1RJTUFURSgnRVBTJywnTUVBTicsJ0FOTlVBTF9ST0xMJywnKzEnLDM5ODkyLCwsJycp&amp;WINDOW=FIRST_POPUP&amp;HEIGHT=450&amp;WIDTH=450&amp;START_MAXIMIZED=FALSE&amp;VAR:CALENDAR=US&amp;VAR:SYMBOL=38259P50&amp;VAR:INDEX=0"}</definedName>
    <definedName name="_3417__FDSAUDITLINK__">{"fdsup://directions/FAT Viewer?action=UPDATE&amp;creator=factset&amp;DYN_ARGS=TRUE&amp;DOC_NAME=FAT:FQL_AUDITING_CLIENT_TEMPLATE.FAT&amp;display_string=Audit&amp;VAR:KEY=OPCLKLEFMR&amp;VAR:QUERY=KFBfUFJJQ0UoMzk4OTEpLShGRl9DQVNIX1NUKFFUUiwzOTg5MSkvUF9DT01fU0hTX09VVCgzOTg5MSkpKS9GR","V9FU1RJTUFURSgnRVBTJywnTUVBTicsJ0FOTlVBTF9ST0xMJywnKzEnLDM5ODkxLCwsJycp&amp;WINDOW=FIRST_POPUP&amp;HEIGHT=450&amp;WIDTH=450&amp;START_MAXIMIZED=FALSE&amp;VAR:CALENDAR=US&amp;VAR:SYMBOL=38259P50&amp;VAR:INDEX=0"}</definedName>
    <definedName name="_3418__FDSAUDITLINK__">{"fdsup://directions/FAT Viewer?action=UPDATE&amp;creator=factset&amp;DYN_ARGS=TRUE&amp;DOC_NAME=FAT:FQL_AUDITING_CLIENT_TEMPLATE.FAT&amp;display_string=Audit&amp;VAR:KEY=OPCLKLEFMR&amp;VAR:QUERY=KFBfUFJJQ0UoMzk4OTEpLShGRl9DQVNIX1NUKFFUUiwzOTg5MSkvUF9DT01fU0hTX09VVCgzOTg5MSkpKS9GR","V9FU1RJTUFURSgnRVBTJywnTUVBTicsJ0FOTlVBTF9ST0xMJywnKzEnLDM5ODkxLCwsJycp&amp;WINDOW=FIRST_POPUP&amp;HEIGHT=450&amp;WIDTH=450&amp;START_MAXIMIZED=FALSE&amp;VAR:CALENDAR=US&amp;VAR:SYMBOL=38259P50&amp;VAR:INDEX=0"}</definedName>
    <definedName name="_3419__FDSAUDITLINK__">{"fdsup://directions/FAT Viewer?action=UPDATE&amp;creator=factset&amp;DYN_ARGS=TRUE&amp;DOC_NAME=FAT:FQL_AUDITING_CLIENT_TEMPLATE.FAT&amp;display_string=Audit&amp;VAR:KEY=WFOPKJWHIN&amp;VAR:QUERY=KFBfUFJJQ0UoMzk4OTApLShGRl9DQVNIX1NUKFFUUiwzOTg5MCkvUF9DT01fU0hTX09VVCgzOTg5MCkpKS9GR","V9FU1RJTUFURSgnRVBTJywnTUVBTicsJ0FOTlVBTF9ST0xMJywnKzEnLDM5ODkwLCwsJycp&amp;WINDOW=FIRST_POPUP&amp;HEIGHT=450&amp;WIDTH=450&amp;START_MAXIMIZED=FALSE&amp;VAR:CALENDAR=US&amp;VAR:SYMBOL=38259P50&amp;VAR:INDEX=0"}</definedName>
    <definedName name="_34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187"}</definedName>
    <definedName name="_3420__FDSAUDITLINK__">{"fdsup://directions/FAT Viewer?action=UPDATE&amp;creator=factset&amp;DYN_ARGS=TRUE&amp;DOC_NAME=FAT:FQL_AUDITING_CLIENT_TEMPLATE.FAT&amp;display_string=Audit&amp;VAR:KEY=WFOPKJWHIN&amp;VAR:QUERY=KFBfUFJJQ0UoMzk4OTApLShGRl9DQVNIX1NUKFFUUiwzOTg5MCkvUF9DT01fU0hTX09VVCgzOTg5MCkpKS9GR","V9FU1RJTUFURSgnRVBTJywnTUVBTicsJ0FOTlVBTF9ST0xMJywnKzEnLDM5ODkwLCwsJycp&amp;WINDOW=FIRST_POPUP&amp;HEIGHT=450&amp;WIDTH=450&amp;START_MAXIMIZED=FALSE&amp;VAR:CALENDAR=US&amp;VAR:SYMBOL=38259P50&amp;VAR:INDEX=0"}</definedName>
    <definedName name="_3421__FDSAUDITLINK__">{"fdsup://directions/FAT Viewer?action=UPDATE&amp;creator=factset&amp;DYN_ARGS=TRUE&amp;DOC_NAME=FAT:FQL_AUDITING_CLIENT_TEMPLATE.FAT&amp;display_string=Audit&amp;VAR:KEY=GRWVUDQLOZ&amp;VAR:QUERY=KFBfUFJJQ0UoMzk4ODkpLShGRl9DQVNIX1NUKFFUUiwzOTg4OSkvUF9DT01fU0hTX09VVCgzOTg4OSkpKS9GR","V9FU1RJTUFURSgnRVBTJywnTUVBTicsJ0FOTlVBTF9ST0xMJywnKzEnLDM5ODg5LCwsJycp&amp;WINDOW=FIRST_POPUP&amp;HEIGHT=450&amp;WIDTH=450&amp;START_MAXIMIZED=FALSE&amp;VAR:CALENDAR=US&amp;VAR:SYMBOL=38259P50&amp;VAR:INDEX=0"}</definedName>
    <definedName name="_3422__FDSAUDITLINK__">{"fdsup://directions/FAT Viewer?action=UPDATE&amp;creator=factset&amp;DYN_ARGS=TRUE&amp;DOC_NAME=FAT:FQL_AUDITING_CLIENT_TEMPLATE.FAT&amp;display_string=Audit&amp;VAR:KEY=GRWVUDQLOZ&amp;VAR:QUERY=KFBfUFJJQ0UoMzk4ODkpLShGRl9DQVNIX1NUKFFUUiwzOTg4OSkvUF9DT01fU0hTX09VVCgzOTg4OSkpKS9GR","V9FU1RJTUFURSgnRVBTJywnTUVBTicsJ0FOTlVBTF9ST0xMJywnKzEnLDM5ODg5LCwsJycp&amp;WINDOW=FIRST_POPUP&amp;HEIGHT=450&amp;WIDTH=450&amp;START_MAXIMIZED=FALSE&amp;VAR:CALENDAR=US&amp;VAR:SYMBOL=38259P50&amp;VAR:INDEX=0"}</definedName>
    <definedName name="_3423__FDSAUDITLINK__">{"fdsup://directions/FAT Viewer?action=UPDATE&amp;creator=factset&amp;DYN_ARGS=TRUE&amp;DOC_NAME=FAT:FQL_AUDITING_CLIENT_TEMPLATE.FAT&amp;display_string=Audit&amp;VAR:KEY=ILYNUFSBEV&amp;VAR:QUERY=KFBfUFJJQ0UoMzk4ODgpLShGRl9DQVNIX1NUKFFUUiwzOTg4OCkvUF9DT01fU0hTX09VVCgzOTg4OCkpKS9GR","V9FU1RJTUFURSgnRVBTJywnTUVBTicsJ0FOTlVBTF9ST0xMJywnKzEnLDM5ODg4LCwsJycp&amp;WINDOW=FIRST_POPUP&amp;HEIGHT=450&amp;WIDTH=450&amp;START_MAXIMIZED=FALSE&amp;VAR:CALENDAR=US&amp;VAR:SYMBOL=38259P50&amp;VAR:INDEX=0"}</definedName>
    <definedName name="_3424__FDSAUDITLINK__">{"fdsup://directions/FAT Viewer?action=UPDATE&amp;creator=factset&amp;DYN_ARGS=TRUE&amp;DOC_NAME=FAT:FQL_AUDITING_CLIENT_TEMPLATE.FAT&amp;display_string=Audit&amp;VAR:KEY=ILYNUFSBEV&amp;VAR:QUERY=KFBfUFJJQ0UoMzk4ODgpLShGRl9DQVNIX1NUKFFUUiwzOTg4OCkvUF9DT01fU0hTX09VVCgzOTg4OCkpKS9GR","V9FU1RJTUFURSgnRVBTJywnTUVBTicsJ0FOTlVBTF9ST0xMJywnKzEnLDM5ODg4LCwsJycp&amp;WINDOW=FIRST_POPUP&amp;HEIGHT=450&amp;WIDTH=450&amp;START_MAXIMIZED=FALSE&amp;VAR:CALENDAR=US&amp;VAR:SYMBOL=38259P50&amp;VAR:INDEX=0"}</definedName>
    <definedName name="_3425__FDSAUDITLINK__">{"fdsup://directions/FAT Viewer?action=UPDATE&amp;creator=factset&amp;DYN_ARGS=TRUE&amp;DOC_NAME=FAT:FQL_AUDITING_CLIENT_TEMPLATE.FAT&amp;display_string=Audit&amp;VAR:KEY=UROJCLOHGD&amp;VAR:QUERY=KFBfUFJJQ0UoMzk4ODcpLShGRl9DQVNIX1NUKFFUUiwzOTg4NykvUF9DT01fU0hTX09VVCgzOTg4NykpKS9GR","V9FU1RJTUFURSgnRVBTJywnTUVBTicsJ0FOTlVBTF9ST0xMJywnKzEnLDM5ODg3LCwsJycp&amp;WINDOW=FIRST_POPUP&amp;HEIGHT=450&amp;WIDTH=450&amp;START_MAXIMIZED=FALSE&amp;VAR:CALENDAR=US&amp;VAR:SYMBOL=38259P50&amp;VAR:INDEX=0"}</definedName>
    <definedName name="_3426__FDSAUDITLINK__">{"fdsup://directions/FAT Viewer?action=UPDATE&amp;creator=factset&amp;DYN_ARGS=TRUE&amp;DOC_NAME=FAT:FQL_AUDITING_CLIENT_TEMPLATE.FAT&amp;display_string=Audit&amp;VAR:KEY=UROJCLOHGD&amp;VAR:QUERY=KFBfUFJJQ0UoMzk4ODcpLShGRl9DQVNIX1NUKFFUUiwzOTg4NykvUF9DT01fU0hTX09VVCgzOTg4NykpKS9GR","V9FU1RJTUFURSgnRVBTJywnTUVBTicsJ0FOTlVBTF9ST0xMJywnKzEnLDM5ODg3LCwsJycp&amp;WINDOW=FIRST_POPUP&amp;HEIGHT=450&amp;WIDTH=450&amp;START_MAXIMIZED=FALSE&amp;VAR:CALENDAR=US&amp;VAR:SYMBOL=38259P50&amp;VAR:INDEX=0"}</definedName>
    <definedName name="_3427__FDSAUDITLINK__">{"fdsup://directions/FAT Viewer?action=UPDATE&amp;creator=factset&amp;DYN_ARGS=TRUE&amp;DOC_NAME=FAT:FQL_AUDITING_CLIENT_TEMPLATE.FAT&amp;display_string=Audit&amp;VAR:KEY=AVGBWFOVML&amp;VAR:QUERY=KFBfUFJJQ0UoMzk4ODYpLShGRl9DQVNIX1NUKFFUUiwzOTg4NikvUF9DT01fU0hTX09VVCgzOTg4NikpKS9GR","V9FU1RJTUFURSgnRVBTJywnTUVBTicsJ0FOTlVBTF9ST0xMJywnKzEnLDM5ODg2LCwsJycp&amp;WINDOW=FIRST_POPUP&amp;HEIGHT=450&amp;WIDTH=450&amp;START_MAXIMIZED=FALSE&amp;VAR:CALENDAR=US&amp;VAR:SYMBOL=38259P50&amp;VAR:INDEX=0"}</definedName>
    <definedName name="_3428__FDSAUDITLINK__">{"fdsup://directions/FAT Viewer?action=UPDATE&amp;creator=factset&amp;DYN_ARGS=TRUE&amp;DOC_NAME=FAT:FQL_AUDITING_CLIENT_TEMPLATE.FAT&amp;display_string=Audit&amp;VAR:KEY=AVGBWFOVML&amp;VAR:QUERY=KFBfUFJJQ0UoMzk4ODYpLShGRl9DQVNIX1NUKFFUUiwzOTg4NikvUF9DT01fU0hTX09VVCgzOTg4NikpKS9GR","V9FU1RJTUFURSgnRVBTJywnTUVBTicsJ0FOTlVBTF9ST0xMJywnKzEnLDM5ODg2LCwsJycp&amp;WINDOW=FIRST_POPUP&amp;HEIGHT=450&amp;WIDTH=450&amp;START_MAXIMIZED=FALSE&amp;VAR:CALENDAR=US&amp;VAR:SYMBOL=38259P50&amp;VAR:INDEX=0"}</definedName>
    <definedName name="_3429__FDSAUDITLINK__">{"fdsup://directions/FAT Viewer?action=UPDATE&amp;creator=factset&amp;DYN_ARGS=TRUE&amp;DOC_NAME=FAT:FQL_AUDITING_CLIENT_TEMPLATE.FAT&amp;display_string=Audit&amp;VAR:KEY=WHUPSLUPAR&amp;VAR:QUERY=KFBfUFJJQ0UoMzk4ODUpLShGRl9DQVNIX1NUKFFUUiwzOTg4NSkvUF9DT01fU0hTX09VVCgzOTg4NSkpKS9GR","V9FU1RJTUFURSgnRVBTJywnTUVBTicsJ0FOTlVBTF9ST0xMJywnKzEnLDM5ODg1LCwsJycp&amp;WINDOW=FIRST_POPUP&amp;HEIGHT=450&amp;WIDTH=450&amp;START_MAXIMIZED=FALSE&amp;VAR:CALENDAR=US&amp;VAR:SYMBOL=38259P50&amp;VAR:INDEX=0"}</definedName>
    <definedName name="_34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186"}</definedName>
    <definedName name="_3430__FDSAUDITLINK__">{"fdsup://directions/FAT Viewer?action=UPDATE&amp;creator=factset&amp;DYN_ARGS=TRUE&amp;DOC_NAME=FAT:FQL_AUDITING_CLIENT_TEMPLATE.FAT&amp;display_string=Audit&amp;VAR:KEY=WHUPSLUPAR&amp;VAR:QUERY=KFBfUFJJQ0UoMzk4ODUpLShGRl9DQVNIX1NUKFFUUiwzOTg4NSkvUF9DT01fU0hTX09VVCgzOTg4NSkpKS9GR","V9FU1RJTUFURSgnRVBTJywnTUVBTicsJ0FOTlVBTF9ST0xMJywnKzEnLDM5ODg1LCwsJycp&amp;WINDOW=FIRST_POPUP&amp;HEIGHT=450&amp;WIDTH=450&amp;START_MAXIMIZED=FALSE&amp;VAR:CALENDAR=US&amp;VAR:SYMBOL=38259P50&amp;VAR:INDEX=0"}</definedName>
    <definedName name="_3431__FDSAUDITLINK__">{"fdsup://directions/FAT Viewer?action=UPDATE&amp;creator=factset&amp;DYN_ARGS=TRUE&amp;DOC_NAME=FAT:FQL_AUDITING_CLIENT_TEMPLATE.FAT&amp;display_string=Audit&amp;VAR:KEY=YPSNGTEXSV&amp;VAR:QUERY=KFBfUFJJQ0UoMzk4ODQpLShGRl9DQVNIX1NUKFFUUiwzOTg4NCkvUF9DT01fU0hTX09VVCgzOTg4NCkpKS9GR","V9FU1RJTUFURSgnRVBTJywnTUVBTicsJ0FOTlVBTF9ST0xMJywnKzEnLDM5ODg0LCwsJycp&amp;WINDOW=FIRST_POPUP&amp;HEIGHT=450&amp;WIDTH=450&amp;START_MAXIMIZED=FALSE&amp;VAR:CALENDAR=US&amp;VAR:SYMBOL=38259P50&amp;VAR:INDEX=0"}</definedName>
    <definedName name="_3432__FDSAUDITLINK__">{"fdsup://directions/FAT Viewer?action=UPDATE&amp;creator=factset&amp;DYN_ARGS=TRUE&amp;DOC_NAME=FAT:FQL_AUDITING_CLIENT_TEMPLATE.FAT&amp;display_string=Audit&amp;VAR:KEY=YPSNGTEXSV&amp;VAR:QUERY=KFBfUFJJQ0UoMzk4ODQpLShGRl9DQVNIX1NUKFFUUiwzOTg4NCkvUF9DT01fU0hTX09VVCgzOTg4NCkpKS9GR","V9FU1RJTUFURSgnRVBTJywnTUVBTicsJ0FOTlVBTF9ST0xMJywnKzEnLDM5ODg0LCwsJycp&amp;WINDOW=FIRST_POPUP&amp;HEIGHT=450&amp;WIDTH=450&amp;START_MAXIMIZED=FALSE&amp;VAR:CALENDAR=US&amp;VAR:SYMBOL=38259P50&amp;VAR:INDEX=0"}</definedName>
    <definedName name="_3433__FDSAUDITLINK__">{"fdsup://directions/FAT Viewer?action=UPDATE&amp;creator=factset&amp;DYN_ARGS=TRUE&amp;DOC_NAME=FAT:FQL_AUDITING_CLIENT_TEMPLATE.FAT&amp;display_string=Audit&amp;VAR:KEY=YBSHYJGVET&amp;VAR:QUERY=KFBfUFJJQ0UoMzk4ODMpLShGRl9DQVNIX1NUKFFUUiwzOTg4MykvUF9DT01fU0hTX09VVCgzOTg4MykpKS9GR","V9FU1RJTUFURSgnRVBTJywnTUVBTicsJ0FOTlVBTF9ST0xMJywnKzEnLDM5ODgzLCwsJycp&amp;WINDOW=FIRST_POPUP&amp;HEIGHT=450&amp;WIDTH=450&amp;START_MAXIMIZED=FALSE&amp;VAR:CALENDAR=US&amp;VAR:SYMBOL=38259P50&amp;VAR:INDEX=0"}</definedName>
    <definedName name="_3434__FDSAUDITLINK__">{"fdsup://directions/FAT Viewer?action=UPDATE&amp;creator=factset&amp;DYN_ARGS=TRUE&amp;DOC_NAME=FAT:FQL_AUDITING_CLIENT_TEMPLATE.FAT&amp;display_string=Audit&amp;VAR:KEY=YBSHYJGVET&amp;VAR:QUERY=KFBfUFJJQ0UoMzk4ODMpLShGRl9DQVNIX1NUKFFUUiwzOTg4MykvUF9DT01fU0hTX09VVCgzOTg4MykpKS9GR","V9FU1RJTUFURSgnRVBTJywnTUVBTicsJ0FOTlVBTF9ST0xMJywnKzEnLDM5ODgzLCwsJycp&amp;WINDOW=FIRST_POPUP&amp;HEIGHT=450&amp;WIDTH=450&amp;START_MAXIMIZED=FALSE&amp;VAR:CALENDAR=US&amp;VAR:SYMBOL=38259P50&amp;VAR:INDEX=0"}</definedName>
    <definedName name="_3435__FDSAUDITLINK__">{"fdsup://directions/FAT Viewer?action=UPDATE&amp;creator=factset&amp;DYN_ARGS=TRUE&amp;DOC_NAME=FAT:FQL_AUDITING_CLIENT_TEMPLATE.FAT&amp;display_string=Audit&amp;VAR:KEY=EFIXWBCREX&amp;VAR:QUERY=KFBfUFJJQ0UoMzk4ODIpLShGRl9DQVNIX1NUKFFUUiwzOTg4MikvUF9DT01fU0hTX09VVCgzOTg4MikpKS9GR","V9FU1RJTUFURSgnRVBTJywnTUVBTicsJ0FOTlVBTF9ST0xMJywnKzEnLDM5ODgyLCwsJycp&amp;WINDOW=FIRST_POPUP&amp;HEIGHT=450&amp;WIDTH=450&amp;START_MAXIMIZED=FALSE&amp;VAR:CALENDAR=US&amp;VAR:SYMBOL=38259P50&amp;VAR:INDEX=0"}</definedName>
    <definedName name="_3436__FDSAUDITLINK__">{"fdsup://directions/FAT Viewer?action=UPDATE&amp;creator=factset&amp;DYN_ARGS=TRUE&amp;DOC_NAME=FAT:FQL_AUDITING_CLIENT_TEMPLATE.FAT&amp;display_string=Audit&amp;VAR:KEY=EFIXWBCREX&amp;VAR:QUERY=KFBfUFJJQ0UoMzk4ODIpLShGRl9DQVNIX1NUKFFUUiwzOTg4MikvUF9DT01fU0hTX09VVCgzOTg4MikpKS9GR","V9FU1RJTUFURSgnRVBTJywnTUVBTicsJ0FOTlVBTF9ST0xMJywnKzEnLDM5ODgyLCwsJycp&amp;WINDOW=FIRST_POPUP&amp;HEIGHT=450&amp;WIDTH=450&amp;START_MAXIMIZED=FALSE&amp;VAR:CALENDAR=US&amp;VAR:SYMBOL=38259P50&amp;VAR:INDEX=0"}</definedName>
    <definedName name="_3437__FDSAUDITLINK__">{"fdsup://directions/FAT Viewer?action=UPDATE&amp;creator=factset&amp;DYN_ARGS=TRUE&amp;DOC_NAME=FAT:FQL_AUDITING_CLIENT_TEMPLATE.FAT&amp;display_string=Audit&amp;VAR:KEY=CZMBWPCDEP&amp;VAR:QUERY=KFBfUFJJQ0UoMzk4ODEpLShGRl9DQVNIX1NUKFFUUiwzOTg4MSkvUF9DT01fU0hTX09VVCgzOTg4MSkpKS9GR","V9FU1RJTUFURSgnRVBTJywnTUVBTicsJ0FOTlVBTF9ST0xMJywnKzEnLDM5ODgxLCwsJycp&amp;WINDOW=FIRST_POPUP&amp;HEIGHT=450&amp;WIDTH=450&amp;START_MAXIMIZED=FALSE&amp;VAR:CALENDAR=US&amp;VAR:SYMBOL=38259P50&amp;VAR:INDEX=0"}</definedName>
    <definedName name="_3438__FDSAUDITLINK__">{"fdsup://directions/FAT Viewer?action=UPDATE&amp;creator=factset&amp;DYN_ARGS=TRUE&amp;DOC_NAME=FAT:FQL_AUDITING_CLIENT_TEMPLATE.FAT&amp;display_string=Audit&amp;VAR:KEY=CZMBWPCDEP&amp;VAR:QUERY=KFBfUFJJQ0UoMzk4ODEpLShGRl9DQVNIX1NUKFFUUiwzOTg4MSkvUF9DT01fU0hTX09VVCgzOTg4MSkpKS9GR","V9FU1RJTUFURSgnRVBTJywnTUVBTicsJ0FOTlVBTF9ST0xMJywnKzEnLDM5ODgxLCwsJycp&amp;WINDOW=FIRST_POPUP&amp;HEIGHT=450&amp;WIDTH=450&amp;START_MAXIMIZED=FALSE&amp;VAR:CALENDAR=US&amp;VAR:SYMBOL=38259P50&amp;VAR:INDEX=0"}</definedName>
    <definedName name="_3439__FDSAUDITLINK__">{"fdsup://directions/FAT Viewer?action=UPDATE&amp;creator=factset&amp;DYN_ARGS=TRUE&amp;DOC_NAME=FAT:FQL_AUDITING_CLIENT_TEMPLATE.FAT&amp;display_string=Audit&amp;VAR:KEY=QRSZYTARUN&amp;VAR:QUERY=KFBfUFJJQ0UoMzk4ODApLShGRl9DQVNIX1NUKFFUUiwzOTg4MCkvUF9DT01fU0hTX09VVCgzOTg4MCkpKS9GR","V9FU1RJTUFURSgnRVBTJywnTUVBTicsJ0FOTlVBTF9ST0xMJywnKzEnLDM5ODgwLCwsJycp&amp;WINDOW=FIRST_POPUP&amp;HEIGHT=450&amp;WIDTH=450&amp;START_MAXIMIZED=FALSE&amp;VAR:CALENDAR=US&amp;VAR:SYMBOL=38259P50&amp;VAR:INDEX=0"}</definedName>
    <definedName name="_34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185"}</definedName>
    <definedName name="_3440__FDSAUDITLINK__">{"fdsup://directions/FAT Viewer?action=UPDATE&amp;creator=factset&amp;DYN_ARGS=TRUE&amp;DOC_NAME=FAT:FQL_AUDITING_CLIENT_TEMPLATE.FAT&amp;display_string=Audit&amp;VAR:KEY=QRSZYTARUN&amp;VAR:QUERY=KFBfUFJJQ0UoMzk4ODApLShGRl9DQVNIX1NUKFFUUiwzOTg4MCkvUF9DT01fU0hTX09VVCgzOTg4MCkpKS9GR","V9FU1RJTUFURSgnRVBTJywnTUVBTicsJ0FOTlVBTF9ST0xMJywnKzEnLDM5ODgwLCwsJycp&amp;WINDOW=FIRST_POPUP&amp;HEIGHT=450&amp;WIDTH=450&amp;START_MAXIMIZED=FALSE&amp;VAR:CALENDAR=US&amp;VAR:SYMBOL=38259P50&amp;VAR:INDEX=0"}</definedName>
    <definedName name="_3441__FDSAUDITLINK__">{"fdsup://directions/FAT Viewer?action=UPDATE&amp;creator=factset&amp;DYN_ARGS=TRUE&amp;DOC_NAME=FAT:FQL_AUDITING_CLIENT_TEMPLATE.FAT&amp;display_string=Audit&amp;VAR:KEY=QJUJEJAHSR&amp;VAR:QUERY=KFBfUFJJQ0UoMzk4NzkpLShGRl9DQVNIX1NUKFFUUiwzOTg3OSkvUF9DT01fU0hTX09VVCgzOTg3OSkpKS9GR","V9FU1RJTUFURSgnRVBTJywnTUVBTicsJ0FOTlVBTF9ST0xMJywnKzEnLDM5ODc5LCwsJycp&amp;WINDOW=FIRST_POPUP&amp;HEIGHT=450&amp;WIDTH=450&amp;START_MAXIMIZED=FALSE&amp;VAR:CALENDAR=US&amp;VAR:SYMBOL=38259P50&amp;VAR:INDEX=0"}</definedName>
    <definedName name="_3442__FDSAUDITLINK__">{"fdsup://directions/FAT Viewer?action=UPDATE&amp;creator=factset&amp;DYN_ARGS=TRUE&amp;DOC_NAME=FAT:FQL_AUDITING_CLIENT_TEMPLATE.FAT&amp;display_string=Audit&amp;VAR:KEY=QJUJEJAHSR&amp;VAR:QUERY=KFBfUFJJQ0UoMzk4NzkpLShGRl9DQVNIX1NUKFFUUiwzOTg3OSkvUF9DT01fU0hTX09VVCgzOTg3OSkpKS9GR","V9FU1RJTUFURSgnRVBTJywnTUVBTicsJ0FOTlVBTF9ST0xMJywnKzEnLDM5ODc5LCwsJycp&amp;WINDOW=FIRST_POPUP&amp;HEIGHT=450&amp;WIDTH=450&amp;START_MAXIMIZED=FALSE&amp;VAR:CALENDAR=US&amp;VAR:SYMBOL=38259P50&amp;VAR:INDEX=0"}</definedName>
    <definedName name="_3443__FDSAUDITLINK__">{"fdsup://directions/FAT Viewer?action=UPDATE&amp;creator=factset&amp;DYN_ARGS=TRUE&amp;DOC_NAME=FAT:FQL_AUDITING_CLIENT_TEMPLATE.FAT&amp;display_string=Audit&amp;VAR:KEY=UJWVCFYVOP&amp;VAR:QUERY=KFBfUFJJQ0UoMzk4NzgpLShGRl9DQVNIX1NUKFFUUiwzOTg3OCkvUF9DT01fU0hTX09VVCgzOTg3OCkpKS9GR","V9FU1RJTUFURSgnRVBTJywnTUVBTicsJ0FOTlVBTF9ST0xMJywnKzEnLDM5ODc4LCwsJycp&amp;WINDOW=FIRST_POPUP&amp;HEIGHT=450&amp;WIDTH=450&amp;START_MAXIMIZED=FALSE&amp;VAR:CALENDAR=US&amp;VAR:SYMBOL=38259P50&amp;VAR:INDEX=0"}</definedName>
    <definedName name="_3444__FDSAUDITLINK__">{"fdsup://directions/FAT Viewer?action=UPDATE&amp;creator=factset&amp;DYN_ARGS=TRUE&amp;DOC_NAME=FAT:FQL_AUDITING_CLIENT_TEMPLATE.FAT&amp;display_string=Audit&amp;VAR:KEY=UJWVCFYVOP&amp;VAR:QUERY=KFBfUFJJQ0UoMzk4NzgpLShGRl9DQVNIX1NUKFFUUiwzOTg3OCkvUF9DT01fU0hTX09VVCgzOTg3OCkpKS9GR","V9FU1RJTUFURSgnRVBTJywnTUVBTicsJ0FOTlVBTF9ST0xMJywnKzEnLDM5ODc4LCwsJycp&amp;WINDOW=FIRST_POPUP&amp;HEIGHT=450&amp;WIDTH=450&amp;START_MAXIMIZED=FALSE&amp;VAR:CALENDAR=US&amp;VAR:SYMBOL=38259P50&amp;VAR:INDEX=0"}</definedName>
    <definedName name="_3445__FDSAUDITLINK__">{"fdsup://directions/FAT Viewer?action=UPDATE&amp;creator=factset&amp;DYN_ARGS=TRUE&amp;DOC_NAME=FAT:FQL_AUDITING_CLIENT_TEMPLATE.FAT&amp;display_string=Audit&amp;VAR:KEY=QBIPWHGLGL&amp;VAR:QUERY=KFBfUFJJQ0UoMzk4NzcpLShGRl9DQVNIX1NUKFFUUiwzOTg3NykvUF9DT01fU0hTX09VVCgzOTg3NykpKS9GR","V9FU1RJTUFURSgnRVBTJywnTUVBTicsJ0FOTlVBTF9ST0xMJywnKzEnLDM5ODc3LCwsJycp&amp;WINDOW=FIRST_POPUP&amp;HEIGHT=450&amp;WIDTH=450&amp;START_MAXIMIZED=FALSE&amp;VAR:CALENDAR=US&amp;VAR:SYMBOL=38259P50&amp;VAR:INDEX=0"}</definedName>
    <definedName name="_3446__FDSAUDITLINK__">{"fdsup://directions/FAT Viewer?action=UPDATE&amp;creator=factset&amp;DYN_ARGS=TRUE&amp;DOC_NAME=FAT:FQL_AUDITING_CLIENT_TEMPLATE.FAT&amp;display_string=Audit&amp;VAR:KEY=QBIPWHGLGL&amp;VAR:QUERY=KFBfUFJJQ0UoMzk4NzcpLShGRl9DQVNIX1NUKFFUUiwzOTg3NykvUF9DT01fU0hTX09VVCgzOTg3NykpKS9GR","V9FU1RJTUFURSgnRVBTJywnTUVBTicsJ0FOTlVBTF9ST0xMJywnKzEnLDM5ODc3LCwsJycp&amp;WINDOW=FIRST_POPUP&amp;HEIGHT=450&amp;WIDTH=450&amp;START_MAXIMIZED=FALSE&amp;VAR:CALENDAR=US&amp;VAR:SYMBOL=38259P50&amp;VAR:INDEX=0"}</definedName>
    <definedName name="_3447__FDSAUDITLINK__">{"fdsup://directions/FAT Viewer?action=UPDATE&amp;creator=factset&amp;DYN_ARGS=TRUE&amp;DOC_NAME=FAT:FQL_AUDITING_CLIENT_TEMPLATE.FAT&amp;display_string=Audit&amp;VAR:KEY=QLQPAPOBMP&amp;VAR:QUERY=KFBfUFJJQ0UoMzk4NzYpLShGRl9DQVNIX1NUKFFUUiwzOTg3NikvUF9DT01fU0hTX09VVCgzOTg3NikpKS9GR","V9FU1RJTUFURSgnRVBTJywnTUVBTicsJ0FOTlVBTF9ST0xMJywnKzEnLDM5ODc2LCwsJycp&amp;WINDOW=FIRST_POPUP&amp;HEIGHT=450&amp;WIDTH=450&amp;START_MAXIMIZED=FALSE&amp;VAR:CALENDAR=US&amp;VAR:SYMBOL=38259P50&amp;VAR:INDEX=0"}</definedName>
    <definedName name="_3448__FDSAUDITLINK__">{"fdsup://directions/FAT Viewer?action=UPDATE&amp;creator=factset&amp;DYN_ARGS=TRUE&amp;DOC_NAME=FAT:FQL_AUDITING_CLIENT_TEMPLATE.FAT&amp;display_string=Audit&amp;VAR:KEY=QLQPAPOBMP&amp;VAR:QUERY=KFBfUFJJQ0UoMzk4NzYpLShGRl9DQVNIX1NUKFFUUiwzOTg3NikvUF9DT01fU0hTX09VVCgzOTg3NikpKS9GR","V9FU1RJTUFURSgnRVBTJywnTUVBTicsJ0FOTlVBTF9ST0xMJywnKzEnLDM5ODc2LCwsJycp&amp;WINDOW=FIRST_POPUP&amp;HEIGHT=450&amp;WIDTH=450&amp;START_MAXIMIZED=FALSE&amp;VAR:CALENDAR=US&amp;VAR:SYMBOL=38259P50&amp;VAR:INDEX=0"}</definedName>
    <definedName name="_3449__FDSAUDITLINK__">{"fdsup://directions/FAT Viewer?action=UPDATE&amp;creator=factset&amp;DYN_ARGS=TRUE&amp;DOC_NAME=FAT:FQL_AUDITING_CLIENT_TEMPLATE.FAT&amp;display_string=Audit&amp;VAR:KEY=SDIFEXAZEH&amp;VAR:QUERY=KFBfUFJJQ0UoMzk4NzUpLShGRl9DQVNIX1NUKFFUUiwzOTg3NSkvUF9DT01fU0hTX09VVCgzOTg3NSkpKS9GR","V9FU1RJTUFURSgnRVBTJywnTUVBTicsJ0FOTlVBTF9ST0xMJywnKzEnLDM5ODc1LCwsJycp&amp;WINDOW=FIRST_POPUP&amp;HEIGHT=450&amp;WIDTH=450&amp;START_MAXIMIZED=FALSE&amp;VAR:CALENDAR=US&amp;VAR:SYMBOL=38259P50&amp;VAR:INDEX=0"}</definedName>
    <definedName name="_34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184"}</definedName>
    <definedName name="_3450__FDSAUDITLINK__">{"fdsup://directions/FAT Viewer?action=UPDATE&amp;creator=factset&amp;DYN_ARGS=TRUE&amp;DOC_NAME=FAT:FQL_AUDITING_CLIENT_TEMPLATE.FAT&amp;display_string=Audit&amp;VAR:KEY=SDIFEXAZEH&amp;VAR:QUERY=KFBfUFJJQ0UoMzk4NzUpLShGRl9DQVNIX1NUKFFUUiwzOTg3NSkvUF9DT01fU0hTX09VVCgzOTg3NSkpKS9GR","V9FU1RJTUFURSgnRVBTJywnTUVBTicsJ0FOTlVBTF9ST0xMJywnKzEnLDM5ODc1LCwsJycp&amp;WINDOW=FIRST_POPUP&amp;HEIGHT=450&amp;WIDTH=450&amp;START_MAXIMIZED=FALSE&amp;VAR:CALENDAR=US&amp;VAR:SYMBOL=38259P50&amp;VAR:INDEX=0"}</definedName>
    <definedName name="_3451__FDSAUDITLINK__">{"fdsup://directions/FAT Viewer?action=UPDATE&amp;creator=factset&amp;DYN_ARGS=TRUE&amp;DOC_NAME=FAT:FQL_AUDITING_CLIENT_TEMPLATE.FAT&amp;display_string=Audit&amp;VAR:KEY=WJGXWRAPIF&amp;VAR:QUERY=KFBfUFJJQ0UoMzk4NzQpLShGRl9DQVNIX1NUKFFUUiwzOTg3NCkvUF9DT01fU0hTX09VVCgzOTg3NCkpKS9GR","V9FU1RJTUFURSgnRVBTJywnTUVBTicsJ0FOTlVBTF9ST0xMJywnKzEnLDM5ODc0LCwsJycp&amp;WINDOW=FIRST_POPUP&amp;HEIGHT=450&amp;WIDTH=450&amp;START_MAXIMIZED=FALSE&amp;VAR:CALENDAR=US&amp;VAR:SYMBOL=38259P50&amp;VAR:INDEX=0"}</definedName>
    <definedName name="_3452__FDSAUDITLINK__">{"fdsup://directions/FAT Viewer?action=UPDATE&amp;creator=factset&amp;DYN_ARGS=TRUE&amp;DOC_NAME=FAT:FQL_AUDITING_CLIENT_TEMPLATE.FAT&amp;display_string=Audit&amp;VAR:KEY=WJGXWRAPIF&amp;VAR:QUERY=KFBfUFJJQ0UoMzk4NzQpLShGRl9DQVNIX1NUKFFUUiwzOTg3NCkvUF9DT01fU0hTX09VVCgzOTg3NCkpKS9GR","V9FU1RJTUFURSgnRVBTJywnTUVBTicsJ0FOTlVBTF9ST0xMJywnKzEnLDM5ODc0LCwsJycp&amp;WINDOW=FIRST_POPUP&amp;HEIGHT=450&amp;WIDTH=450&amp;START_MAXIMIZED=FALSE&amp;VAR:CALENDAR=US&amp;VAR:SYMBOL=38259P50&amp;VAR:INDEX=0"}</definedName>
    <definedName name="_3453__FDSAUDITLINK__">{"fdsup://directions/FAT Viewer?action=UPDATE&amp;creator=factset&amp;DYN_ARGS=TRUE&amp;DOC_NAME=FAT:FQL_AUDITING_CLIENT_TEMPLATE.FAT&amp;display_string=Audit&amp;VAR:KEY=UNULGLAJEJ&amp;VAR:QUERY=KFBfUFJJQ0UoMzk4NzMpLShGRl9DQVNIX1NUKFFUUiwzOTg3MykvUF9DT01fU0hTX09VVCgzOTg3MykpKS9GR","V9FU1RJTUFURSgnRVBTJywnTUVBTicsJ0FOTlVBTF9ST0xMJywnKzEnLDM5ODczLCwsJycp&amp;WINDOW=FIRST_POPUP&amp;HEIGHT=450&amp;WIDTH=450&amp;START_MAXIMIZED=FALSE&amp;VAR:CALENDAR=US&amp;VAR:SYMBOL=38259P50&amp;VAR:INDEX=0"}</definedName>
    <definedName name="_3454__FDSAUDITLINK__">{"fdsup://directions/FAT Viewer?action=UPDATE&amp;creator=factset&amp;DYN_ARGS=TRUE&amp;DOC_NAME=FAT:FQL_AUDITING_CLIENT_TEMPLATE.FAT&amp;display_string=Audit&amp;VAR:KEY=UNULGLAJEJ&amp;VAR:QUERY=KFBfUFJJQ0UoMzk4NzMpLShGRl9DQVNIX1NUKFFUUiwzOTg3MykvUF9DT01fU0hTX09VVCgzOTg3MykpKS9GR","V9FU1RJTUFURSgnRVBTJywnTUVBTicsJ0FOTlVBTF9ST0xMJywnKzEnLDM5ODczLCwsJycp&amp;WINDOW=FIRST_POPUP&amp;HEIGHT=450&amp;WIDTH=450&amp;START_MAXIMIZED=FALSE&amp;VAR:CALENDAR=US&amp;VAR:SYMBOL=38259P50&amp;VAR:INDEX=0"}</definedName>
    <definedName name="_3455__FDSAUDITLINK__">{"fdsup://directions/FAT Viewer?action=UPDATE&amp;creator=factset&amp;DYN_ARGS=TRUE&amp;DOC_NAME=FAT:FQL_AUDITING_CLIENT_TEMPLATE.FAT&amp;display_string=Audit&amp;VAR:KEY=IHONELOPCN&amp;VAR:QUERY=KFBfUFJJQ0UoMzk4NzIpLShGRl9DQVNIX1NUKFFUUiwzOTg3MikvUF9DT01fU0hTX09VVCgzOTg3MikpKS9GR","V9FU1RJTUFURSgnRVBTJywnTUVBTicsJ0FOTlVBTF9ST0xMJywnKzEnLDM5ODcyLCwsJycp&amp;WINDOW=FIRST_POPUP&amp;HEIGHT=450&amp;WIDTH=450&amp;START_MAXIMIZED=FALSE&amp;VAR:CALENDAR=US&amp;VAR:SYMBOL=38259P50&amp;VAR:INDEX=0"}</definedName>
    <definedName name="_3456__FDSAUDITLINK__">{"fdsup://directions/FAT Viewer?action=UPDATE&amp;creator=factset&amp;DYN_ARGS=TRUE&amp;DOC_NAME=FAT:FQL_AUDITING_CLIENT_TEMPLATE.FAT&amp;display_string=Audit&amp;VAR:KEY=IHONELOPCN&amp;VAR:QUERY=KFBfUFJJQ0UoMzk4NzIpLShGRl9DQVNIX1NUKFFUUiwzOTg3MikvUF9DT01fU0hTX09VVCgzOTg3MikpKS9GR","V9FU1RJTUFURSgnRVBTJywnTUVBTicsJ0FOTlVBTF9ST0xMJywnKzEnLDM5ODcyLCwsJycp&amp;WINDOW=FIRST_POPUP&amp;HEIGHT=450&amp;WIDTH=450&amp;START_MAXIMIZED=FALSE&amp;VAR:CALENDAR=US&amp;VAR:SYMBOL=38259P50&amp;VAR:INDEX=0"}</definedName>
    <definedName name="_3457__FDSAUDITLINK__">{"fdsup://directions/FAT Viewer?action=UPDATE&amp;creator=factset&amp;DYN_ARGS=TRUE&amp;DOC_NAME=FAT:FQL_AUDITING_CLIENT_TEMPLATE.FAT&amp;display_string=Audit&amp;VAR:KEY=KPYNGTSLEZ&amp;VAR:QUERY=KFBfUFJJQ0UoMzk4NzEpLShGRl9DQVNIX1NUKFFUUiwzOTg3MSkvUF9DT01fU0hTX09VVCgzOTg3MSkpKS9GR","V9FU1RJTUFURSgnRVBTJywnTUVBTicsJ0FOTlVBTF9ST0xMJywnKzEnLDM5ODcxLCwsJycp&amp;WINDOW=FIRST_POPUP&amp;HEIGHT=450&amp;WIDTH=450&amp;START_MAXIMIZED=FALSE&amp;VAR:CALENDAR=US&amp;VAR:SYMBOL=38259P50&amp;VAR:INDEX=0"}</definedName>
    <definedName name="_3458__FDSAUDITLINK__">{"fdsup://directions/FAT Viewer?action=UPDATE&amp;creator=factset&amp;DYN_ARGS=TRUE&amp;DOC_NAME=FAT:FQL_AUDITING_CLIENT_TEMPLATE.FAT&amp;display_string=Audit&amp;VAR:KEY=KPYNGTSLEZ&amp;VAR:QUERY=KFBfUFJJQ0UoMzk4NzEpLShGRl9DQVNIX1NUKFFUUiwzOTg3MSkvUF9DT01fU0hTX09VVCgzOTg3MSkpKS9GR","V9FU1RJTUFURSgnRVBTJywnTUVBTicsJ0FOTlVBTF9ST0xMJywnKzEnLDM5ODcxLCwsJycp&amp;WINDOW=FIRST_POPUP&amp;HEIGHT=450&amp;WIDTH=450&amp;START_MAXIMIZED=FALSE&amp;VAR:CALENDAR=US&amp;VAR:SYMBOL=38259P50&amp;VAR:INDEX=0"}</definedName>
    <definedName name="_3459__FDSAUDITLINK__">{"fdsup://directions/FAT Viewer?action=UPDATE&amp;creator=factset&amp;DYN_ARGS=TRUE&amp;DOC_NAME=FAT:FQL_AUDITING_CLIENT_TEMPLATE.FAT&amp;display_string=Audit&amp;VAR:KEY=QJINMPOXSZ&amp;VAR:QUERY=KFBfUFJJQ0UoMzk4NzApLShGRl9DQVNIX1NUKFFUUiwzOTg3MCkvUF9DT01fU0hTX09VVCgzOTg3MCkpKS9GR","V9FU1RJTUFURSgnRVBTJywnTUVBTicsJ0FOTlVBTF9ST0xMJywnKzEnLDM5ODcwLCwsJycp&amp;WINDOW=FIRST_POPUP&amp;HEIGHT=450&amp;WIDTH=450&amp;START_MAXIMIZED=FALSE&amp;VAR:CALENDAR=US&amp;VAR:SYMBOL=38259P50&amp;VAR:INDEX=0"}</definedName>
    <definedName name="_34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183"}</definedName>
    <definedName name="_3460__FDSAUDITLINK__">{"fdsup://directions/FAT Viewer?action=UPDATE&amp;creator=factset&amp;DYN_ARGS=TRUE&amp;DOC_NAME=FAT:FQL_AUDITING_CLIENT_TEMPLATE.FAT&amp;display_string=Audit&amp;VAR:KEY=QJINMPOXSZ&amp;VAR:QUERY=KFBfUFJJQ0UoMzk4NzApLShGRl9DQVNIX1NUKFFUUiwzOTg3MCkvUF9DT01fU0hTX09VVCgzOTg3MCkpKS9GR","V9FU1RJTUFURSgnRVBTJywnTUVBTicsJ0FOTlVBTF9ST0xMJywnKzEnLDM5ODcwLCwsJycp&amp;WINDOW=FIRST_POPUP&amp;HEIGHT=450&amp;WIDTH=450&amp;START_MAXIMIZED=FALSE&amp;VAR:CALENDAR=US&amp;VAR:SYMBOL=38259P50&amp;VAR:INDEX=0"}</definedName>
    <definedName name="_3461__FDSAUDITLINK__">{"fdsup://directions/FAT Viewer?action=UPDATE&amp;creator=factset&amp;DYN_ARGS=TRUE&amp;DOC_NAME=FAT:FQL_AUDITING_CLIENT_TEMPLATE.FAT&amp;display_string=Audit&amp;VAR:KEY=YFABMDOVGP&amp;VAR:QUERY=KFBfUFJJQ0UoMzk4NjkpLShGRl9DQVNIX1NUKFFUUiwzOTg2OSkvUF9DT01fU0hTX09VVCgzOTg2OSkpKS9GR","V9FU1RJTUFURSgnRVBTJywnTUVBTicsJ0FOTlVBTF9ST0xMJywnKzEnLDM5ODY5LCwsJycp&amp;WINDOW=FIRST_POPUP&amp;HEIGHT=450&amp;WIDTH=450&amp;START_MAXIMIZED=FALSE&amp;VAR:CALENDAR=US&amp;VAR:SYMBOL=38259P50&amp;VAR:INDEX=0"}</definedName>
    <definedName name="_3462__FDSAUDITLINK__">{"fdsup://directions/FAT Viewer?action=UPDATE&amp;creator=factset&amp;DYN_ARGS=TRUE&amp;DOC_NAME=FAT:FQL_AUDITING_CLIENT_TEMPLATE.FAT&amp;display_string=Audit&amp;VAR:KEY=YFABMDOVGP&amp;VAR:QUERY=KFBfUFJJQ0UoMzk4NjkpLShGRl9DQVNIX1NUKFFUUiwzOTg2OSkvUF9DT01fU0hTX09VVCgzOTg2OSkpKS9GR","V9FU1RJTUFURSgnRVBTJywnTUVBTicsJ0FOTlVBTF9ST0xMJywnKzEnLDM5ODY5LCwsJycp&amp;WINDOW=FIRST_POPUP&amp;HEIGHT=450&amp;WIDTH=450&amp;START_MAXIMIZED=FALSE&amp;VAR:CALENDAR=US&amp;VAR:SYMBOL=38259P50&amp;VAR:INDEX=0"}</definedName>
    <definedName name="_3463__FDSAUDITLINK__">{"fdsup://directions/FAT Viewer?action=UPDATE&amp;creator=factset&amp;DYN_ARGS=TRUE&amp;DOC_NAME=FAT:FQL_AUDITING_CLIENT_TEMPLATE.FAT&amp;display_string=Audit&amp;VAR:KEY=OHEVOJYROH&amp;VAR:QUERY=KFBfUFJJQ0UoMzk4NjgpLShGRl9DQVNIX1NUKFFUUiwzOTg2OCkvUF9DT01fU0hTX09VVCgzOTg2OCkpKS9GR","V9FU1RJTUFURSgnRVBTJywnTUVBTicsJ0FOTlVBTF9ST0xMJywnKzEnLDM5ODY4LCwsJycp&amp;WINDOW=FIRST_POPUP&amp;HEIGHT=450&amp;WIDTH=450&amp;START_MAXIMIZED=FALSE&amp;VAR:CALENDAR=US&amp;VAR:SYMBOL=38259P50&amp;VAR:INDEX=0"}</definedName>
    <definedName name="_3464__FDSAUDITLINK__">{"fdsup://directions/FAT Viewer?action=UPDATE&amp;creator=factset&amp;DYN_ARGS=TRUE&amp;DOC_NAME=FAT:FQL_AUDITING_CLIENT_TEMPLATE.FAT&amp;display_string=Audit&amp;VAR:KEY=OHEVOJYROH&amp;VAR:QUERY=KFBfUFJJQ0UoMzk4NjgpLShGRl9DQVNIX1NUKFFUUiwzOTg2OCkvUF9DT01fU0hTX09VVCgzOTg2OCkpKS9GR","V9FU1RJTUFURSgnRVBTJywnTUVBTicsJ0FOTlVBTF9ST0xMJywnKzEnLDM5ODY4LCwsJycp&amp;WINDOW=FIRST_POPUP&amp;HEIGHT=450&amp;WIDTH=450&amp;START_MAXIMIZED=FALSE&amp;VAR:CALENDAR=US&amp;VAR:SYMBOL=38259P50&amp;VAR:INDEX=0"}</definedName>
    <definedName name="_3465__FDSAUDITLINK__">{"fdsup://directions/FAT Viewer?action=UPDATE&amp;creator=factset&amp;DYN_ARGS=TRUE&amp;DOC_NAME=FAT:FQL_AUDITING_CLIENT_TEMPLATE.FAT&amp;display_string=Audit&amp;VAR:KEY=WFOLIBAVSF&amp;VAR:QUERY=KFBfUFJJQ0UoMzk4NjcpLShGRl9DQVNIX1NUKFFUUiwzOTg2NykvUF9DT01fU0hTX09VVCgzOTg2NykpKS9GR","V9FU1RJTUFURSgnRVBTJywnTUVBTicsJ0FOTlVBTF9ST0xMJywnKzEnLDM5ODY3LCwsJycp&amp;WINDOW=FIRST_POPUP&amp;HEIGHT=450&amp;WIDTH=450&amp;START_MAXIMIZED=FALSE&amp;VAR:CALENDAR=US&amp;VAR:SYMBOL=38259P50&amp;VAR:INDEX=0"}</definedName>
    <definedName name="_3466__FDSAUDITLINK__">{"fdsup://directions/FAT Viewer?action=UPDATE&amp;creator=factset&amp;DYN_ARGS=TRUE&amp;DOC_NAME=FAT:FQL_AUDITING_CLIENT_TEMPLATE.FAT&amp;display_string=Audit&amp;VAR:KEY=WFOLIBAVSF&amp;VAR:QUERY=KFBfUFJJQ0UoMzk4NjcpLShGRl9DQVNIX1NUKFFUUiwzOTg2NykvUF9DT01fU0hTX09VVCgzOTg2NykpKS9GR","V9FU1RJTUFURSgnRVBTJywnTUVBTicsJ0FOTlVBTF9ST0xMJywnKzEnLDM5ODY3LCwsJycp&amp;WINDOW=FIRST_POPUP&amp;HEIGHT=450&amp;WIDTH=450&amp;START_MAXIMIZED=FALSE&amp;VAR:CALENDAR=US&amp;VAR:SYMBOL=38259P50&amp;VAR:INDEX=0"}</definedName>
    <definedName name="_3467__FDSAUDITLINK__">{"fdsup://directions/FAT Viewer?action=UPDATE&amp;creator=factset&amp;DYN_ARGS=TRUE&amp;DOC_NAME=FAT:FQL_AUDITING_CLIENT_TEMPLATE.FAT&amp;display_string=Audit&amp;VAR:KEY=AZSLADIRKF&amp;VAR:QUERY=KFBfUFJJQ0UoMzk4NjYpLShGRl9DQVNIX1NUKFFUUiwzOTg2NikvUF9DT01fU0hTX09VVCgzOTg2NikpKS9GR","V9FU1RJTUFURSgnRVBTJywnTUVBTicsJ0FOTlVBTF9ST0xMJywnKzEnLDM5ODY2LCwsJycp&amp;WINDOW=FIRST_POPUP&amp;HEIGHT=450&amp;WIDTH=450&amp;START_MAXIMIZED=FALSE&amp;VAR:CALENDAR=US&amp;VAR:SYMBOL=38259P50&amp;VAR:INDEX=0"}</definedName>
    <definedName name="_3468__FDSAUDITLINK__">{"fdsup://directions/FAT Viewer?action=UPDATE&amp;creator=factset&amp;DYN_ARGS=TRUE&amp;DOC_NAME=FAT:FQL_AUDITING_CLIENT_TEMPLATE.FAT&amp;display_string=Audit&amp;VAR:KEY=AZSLADIRKF&amp;VAR:QUERY=KFBfUFJJQ0UoMzk4NjYpLShGRl9DQVNIX1NUKFFUUiwzOTg2NikvUF9DT01fU0hTX09VVCgzOTg2NikpKS9GR","V9FU1RJTUFURSgnRVBTJywnTUVBTicsJ0FOTlVBTF9ST0xMJywnKzEnLDM5ODY2LCwsJycp&amp;WINDOW=FIRST_POPUP&amp;HEIGHT=450&amp;WIDTH=450&amp;START_MAXIMIZED=FALSE&amp;VAR:CALENDAR=US&amp;VAR:SYMBOL=38259P50&amp;VAR:INDEX=0"}</definedName>
    <definedName name="_3469__FDSAUDITLINK__">{"fdsup://directions/FAT Viewer?action=UPDATE&amp;creator=factset&amp;DYN_ARGS=TRUE&amp;DOC_NAME=FAT:FQL_AUDITING_CLIENT_TEMPLATE.FAT&amp;display_string=Audit&amp;VAR:KEY=OJCDIPGJQZ&amp;VAR:QUERY=KFBfUFJJQ0UoMzk4NjUpLShGRl9DQVNIX1NUKFFUUiwzOTg2NSkvUF9DT01fU0hTX09VVCgzOTg2NSkpKS9GR","V9FU1RJTUFURSgnRVBTJywnTUVBTicsJ0FOTlVBTF9ST0xMJywnKzEnLDM5ODY1LCwsJycp&amp;WINDOW=FIRST_POPUP&amp;HEIGHT=450&amp;WIDTH=450&amp;START_MAXIMIZED=FALSE&amp;VAR:CALENDAR=US&amp;VAR:SYMBOL=38259P50&amp;VAR:INDEX=0"}</definedName>
    <definedName name="_34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182"}</definedName>
    <definedName name="_3470__FDSAUDITLINK__">{"fdsup://directions/FAT Viewer?action=UPDATE&amp;creator=factset&amp;DYN_ARGS=TRUE&amp;DOC_NAME=FAT:FQL_AUDITING_CLIENT_TEMPLATE.FAT&amp;display_string=Audit&amp;VAR:KEY=OJCDIPGJQZ&amp;VAR:QUERY=KFBfUFJJQ0UoMzk4NjUpLShGRl9DQVNIX1NUKFFUUiwzOTg2NSkvUF9DT01fU0hTX09VVCgzOTg2NSkpKS9GR","V9FU1RJTUFURSgnRVBTJywnTUVBTicsJ0FOTlVBTF9ST0xMJywnKzEnLDM5ODY1LCwsJycp&amp;WINDOW=FIRST_POPUP&amp;HEIGHT=450&amp;WIDTH=450&amp;START_MAXIMIZED=FALSE&amp;VAR:CALENDAR=US&amp;VAR:SYMBOL=38259P50&amp;VAR:INDEX=0"}</definedName>
    <definedName name="_3471__FDSAUDITLINK__">{"fdsup://directions/FAT Viewer?action=UPDATE&amp;creator=factset&amp;DYN_ARGS=TRUE&amp;DOC_NAME=FAT:FQL_AUDITING_CLIENT_TEMPLATE.FAT&amp;display_string=Audit&amp;VAR:KEY=SVARWVSVWZ&amp;VAR:QUERY=KFBfUFJJQ0UoMzk4NjQpLShGRl9DQVNIX1NUKFFUUiwzOTg2NCkvUF9DT01fU0hTX09VVCgzOTg2NCkpKS9GR","V9FU1RJTUFURSgnRVBTJywnTUVBTicsJ0FOTlVBTF9ST0xMJywnKzEnLDM5ODY0LCwsJycp&amp;WINDOW=FIRST_POPUP&amp;HEIGHT=450&amp;WIDTH=450&amp;START_MAXIMIZED=FALSE&amp;VAR:CALENDAR=US&amp;VAR:SYMBOL=38259P50&amp;VAR:INDEX=0"}</definedName>
    <definedName name="_3472__FDSAUDITLINK__">{"fdsup://directions/FAT Viewer?action=UPDATE&amp;creator=factset&amp;DYN_ARGS=TRUE&amp;DOC_NAME=FAT:FQL_AUDITING_CLIENT_TEMPLATE.FAT&amp;display_string=Audit&amp;VAR:KEY=SVARWVSVWZ&amp;VAR:QUERY=KFBfUFJJQ0UoMzk4NjQpLShGRl9DQVNIX1NUKFFUUiwzOTg2NCkvUF9DT01fU0hTX09VVCgzOTg2NCkpKS9GR","V9FU1RJTUFURSgnRVBTJywnTUVBTicsJ0FOTlVBTF9ST0xMJywnKzEnLDM5ODY0LCwsJycp&amp;WINDOW=FIRST_POPUP&amp;HEIGHT=450&amp;WIDTH=450&amp;START_MAXIMIZED=FALSE&amp;VAR:CALENDAR=US&amp;VAR:SYMBOL=38259P50&amp;VAR:INDEX=0"}</definedName>
    <definedName name="_3473__FDSAUDITLINK__">{"fdsup://directions/FAT Viewer?action=UPDATE&amp;creator=factset&amp;DYN_ARGS=TRUE&amp;DOC_NAME=FAT:FQL_AUDITING_CLIENT_TEMPLATE.FAT&amp;display_string=Audit&amp;VAR:KEY=IZMXQREPKX&amp;VAR:QUERY=KFBfUFJJQ0UoMzk4NjMpLShGRl9DQVNIX1NUKFFUUiwzOTg2MykvUF9DT01fU0hTX09VVCgzOTg2MykpKS9GR","V9FU1RJTUFURSgnRVBTJywnTUVBTicsJ0FOTlVBTF9ST0xMJywnKzEnLDM5ODYzLCwsJycp&amp;WINDOW=FIRST_POPUP&amp;HEIGHT=450&amp;WIDTH=450&amp;START_MAXIMIZED=FALSE&amp;VAR:CALENDAR=US&amp;VAR:SYMBOL=38259P50&amp;VAR:INDEX=0"}</definedName>
    <definedName name="_3474__FDSAUDITLINK__">{"fdsup://directions/FAT Viewer?action=UPDATE&amp;creator=factset&amp;DYN_ARGS=TRUE&amp;DOC_NAME=FAT:FQL_AUDITING_CLIENT_TEMPLATE.FAT&amp;display_string=Audit&amp;VAR:KEY=IZMXQREPKX&amp;VAR:QUERY=KFBfUFJJQ0UoMzk4NjMpLShGRl9DQVNIX1NUKFFUUiwzOTg2MykvUF9DT01fU0hTX09VVCgzOTg2MykpKS9GR","V9FU1RJTUFURSgnRVBTJywnTUVBTicsJ0FOTlVBTF9ST0xMJywnKzEnLDM5ODYzLCwsJycp&amp;WINDOW=FIRST_POPUP&amp;HEIGHT=450&amp;WIDTH=450&amp;START_MAXIMIZED=FALSE&amp;VAR:CALENDAR=US&amp;VAR:SYMBOL=38259P50&amp;VAR:INDEX=0"}</definedName>
    <definedName name="_3475__FDSAUDITLINK__">{"fdsup://directions/FAT Viewer?action=UPDATE&amp;creator=factset&amp;DYN_ARGS=TRUE&amp;DOC_NAME=FAT:FQL_AUDITING_CLIENT_TEMPLATE.FAT&amp;display_string=Audit&amp;VAR:KEY=SRENQRQDML&amp;VAR:QUERY=KFBfUFJJQ0UoMzk4NjIpLShGRl9DQVNIX1NUKFFUUiwzOTg2MikvUF9DT01fU0hTX09VVCgzOTg2MikpKS9GR","V9FU1RJTUFURSgnRVBTJywnTUVBTicsJ0FOTlVBTF9ST0xMJywnKzEnLDM5ODYyLCwsJycp&amp;WINDOW=FIRST_POPUP&amp;HEIGHT=450&amp;WIDTH=450&amp;START_MAXIMIZED=FALSE&amp;VAR:CALENDAR=US&amp;VAR:SYMBOL=38259P50&amp;VAR:INDEX=0"}</definedName>
    <definedName name="_3476__FDSAUDITLINK__">{"fdsup://directions/FAT Viewer?action=UPDATE&amp;creator=factset&amp;DYN_ARGS=TRUE&amp;DOC_NAME=FAT:FQL_AUDITING_CLIENT_TEMPLATE.FAT&amp;display_string=Audit&amp;VAR:KEY=SRENQRQDML&amp;VAR:QUERY=KFBfUFJJQ0UoMzk4NjIpLShGRl9DQVNIX1NUKFFUUiwzOTg2MikvUF9DT01fU0hTX09VVCgzOTg2MikpKS9GR","V9FU1RJTUFURSgnRVBTJywnTUVBTicsJ0FOTlVBTF9ST0xMJywnKzEnLDM5ODYyLCwsJycp&amp;WINDOW=FIRST_POPUP&amp;HEIGHT=450&amp;WIDTH=450&amp;START_MAXIMIZED=FALSE&amp;VAR:CALENDAR=US&amp;VAR:SYMBOL=38259P50&amp;VAR:INDEX=0"}</definedName>
    <definedName name="_3477__FDSAUDITLINK__">{"fdsup://directions/FAT Viewer?action=UPDATE&amp;creator=factset&amp;DYN_ARGS=TRUE&amp;DOC_NAME=FAT:FQL_AUDITING_CLIENT_TEMPLATE.FAT&amp;display_string=Audit&amp;VAR:KEY=IFEXSVOXEL&amp;VAR:QUERY=KFBfUFJJQ0UoMzk4NjEpLShGRl9DQVNIX1NUKFFUUiwzOTg2MSkvUF9DT01fU0hTX09VVCgzOTg2MSkpKS9GR","V9FU1RJTUFURSgnRVBTJywnTUVBTicsJ0FOTlVBTF9ST0xMJywnKzEnLDM5ODYxLCwsJycp&amp;WINDOW=FIRST_POPUP&amp;HEIGHT=450&amp;WIDTH=450&amp;START_MAXIMIZED=FALSE&amp;VAR:CALENDAR=US&amp;VAR:SYMBOL=38259P50&amp;VAR:INDEX=0"}</definedName>
    <definedName name="_3478__FDSAUDITLINK__">{"fdsup://directions/FAT Viewer?action=UPDATE&amp;creator=factset&amp;DYN_ARGS=TRUE&amp;DOC_NAME=FAT:FQL_AUDITING_CLIENT_TEMPLATE.FAT&amp;display_string=Audit&amp;VAR:KEY=IFEXSVOXEL&amp;VAR:QUERY=KFBfUFJJQ0UoMzk4NjEpLShGRl9DQVNIX1NUKFFUUiwzOTg2MSkvUF9DT01fU0hTX09VVCgzOTg2MSkpKS9GR","V9FU1RJTUFURSgnRVBTJywnTUVBTicsJ0FOTlVBTF9ST0xMJywnKzEnLDM5ODYxLCwsJycp&amp;WINDOW=FIRST_POPUP&amp;HEIGHT=450&amp;WIDTH=450&amp;START_MAXIMIZED=FALSE&amp;VAR:CALENDAR=US&amp;VAR:SYMBOL=38259P50&amp;VAR:INDEX=0"}</definedName>
    <definedName name="_3479__FDSAUDITLINK__">{"fdsup://directions/FAT Viewer?action=UPDATE&amp;creator=factset&amp;DYN_ARGS=TRUE&amp;DOC_NAME=FAT:FQL_AUDITING_CLIENT_TEMPLATE.FAT&amp;display_string=Audit&amp;VAR:KEY=KHOPGTYHMV&amp;VAR:QUERY=KFBfUFJJQ0UoMzk4NjApLShGRl9DQVNIX1NUKFFUUiwzOTg2MCkvUF9DT01fU0hTX09VVCgzOTg2MCkpKS9GR","V9FU1RJTUFURSgnRVBTJywnTUVBTicsJ0FOTlVBTF9ST0xMJywnKzEnLDM5ODYwLCwsJycp&amp;WINDOW=FIRST_POPUP&amp;HEIGHT=450&amp;WIDTH=450&amp;START_MAXIMIZED=FALSE&amp;VAR:CALENDAR=US&amp;VAR:SYMBOL=38259P50&amp;VAR:INDEX=0"}</definedName>
    <definedName name="_34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181"}</definedName>
    <definedName name="_3480__FDSAUDITLINK__">{"fdsup://directions/FAT Viewer?action=UPDATE&amp;creator=factset&amp;DYN_ARGS=TRUE&amp;DOC_NAME=FAT:FQL_AUDITING_CLIENT_TEMPLATE.FAT&amp;display_string=Audit&amp;VAR:KEY=KHOPGTYHMV&amp;VAR:QUERY=KFBfUFJJQ0UoMzk4NjApLShGRl9DQVNIX1NUKFFUUiwzOTg2MCkvUF9DT01fU0hTX09VVCgzOTg2MCkpKS9GR","V9FU1RJTUFURSgnRVBTJywnTUVBTicsJ0FOTlVBTF9ST0xMJywnKzEnLDM5ODYwLCwsJycp&amp;WINDOW=FIRST_POPUP&amp;HEIGHT=450&amp;WIDTH=450&amp;START_MAXIMIZED=FALSE&amp;VAR:CALENDAR=US&amp;VAR:SYMBOL=38259P50&amp;VAR:INDEX=0"}</definedName>
    <definedName name="_3481__FDSAUDITLINK__">{"fdsup://directions/FAT Viewer?action=UPDATE&amp;creator=factset&amp;DYN_ARGS=TRUE&amp;DOC_NAME=FAT:FQL_AUDITING_CLIENT_TEMPLATE.FAT&amp;display_string=Audit&amp;VAR:KEY=WNGTYTUPWN&amp;VAR:QUERY=KFBfUFJJQ0UoMzk4NTkpLShGRl9DQVNIX1NUKFFUUiwzOTg1OSkvUF9DT01fU0hTX09VVCgzOTg1OSkpKS9GR","V9FU1RJTUFURSgnRVBTJywnTUVBTicsJ0FOTlVBTF9ST0xMJywnKzEnLDM5ODU5LCwsJycp&amp;WINDOW=FIRST_POPUP&amp;HEIGHT=450&amp;WIDTH=450&amp;START_MAXIMIZED=FALSE&amp;VAR:CALENDAR=US&amp;VAR:SYMBOL=38259P50&amp;VAR:INDEX=0"}</definedName>
    <definedName name="_3482__FDSAUDITLINK__">{"fdsup://directions/FAT Viewer?action=UPDATE&amp;creator=factset&amp;DYN_ARGS=TRUE&amp;DOC_NAME=FAT:FQL_AUDITING_CLIENT_TEMPLATE.FAT&amp;display_string=Audit&amp;VAR:KEY=WNGTYTUPWN&amp;VAR:QUERY=KFBfUFJJQ0UoMzk4NTkpLShGRl9DQVNIX1NUKFFUUiwzOTg1OSkvUF9DT01fU0hTX09VVCgzOTg1OSkpKS9GR","V9FU1RJTUFURSgnRVBTJywnTUVBTicsJ0FOTlVBTF9ST0xMJywnKzEnLDM5ODU5LCwsJycp&amp;WINDOW=FIRST_POPUP&amp;HEIGHT=450&amp;WIDTH=450&amp;START_MAXIMIZED=FALSE&amp;VAR:CALENDAR=US&amp;VAR:SYMBOL=38259P50&amp;VAR:INDEX=0"}</definedName>
    <definedName name="_3483__FDSAUDITLINK__">{"fdsup://directions/FAT Viewer?action=UPDATE&amp;creator=factset&amp;DYN_ARGS=TRUE&amp;DOC_NAME=FAT:FQL_AUDITING_CLIENT_TEMPLATE.FAT&amp;display_string=Audit&amp;VAR:KEY=MNWPCPMXGD&amp;VAR:QUERY=KFBfUFJJQ0UoMzk4NTgpLShGRl9DQVNIX1NUKFFUUiwzOTg1OCkvUF9DT01fU0hTX09VVCgzOTg1OCkpKS9GR","V9FU1RJTUFURSgnRVBTJywnTUVBTicsJ0FOTlVBTF9ST0xMJywnKzEnLDM5ODU4LCwsJycp&amp;WINDOW=FIRST_POPUP&amp;HEIGHT=450&amp;WIDTH=450&amp;START_MAXIMIZED=FALSE&amp;VAR:CALENDAR=US&amp;VAR:SYMBOL=38259P50&amp;VAR:INDEX=0"}</definedName>
    <definedName name="_3484__FDSAUDITLINK__">{"fdsup://directions/FAT Viewer?action=UPDATE&amp;creator=factset&amp;DYN_ARGS=TRUE&amp;DOC_NAME=FAT:FQL_AUDITING_CLIENT_TEMPLATE.FAT&amp;display_string=Audit&amp;VAR:KEY=MNWPCPMXGD&amp;VAR:QUERY=KFBfUFJJQ0UoMzk4NTgpLShGRl9DQVNIX1NUKFFUUiwzOTg1OCkvUF9DT01fU0hTX09VVCgzOTg1OCkpKS9GR","V9FU1RJTUFURSgnRVBTJywnTUVBTicsJ0FOTlVBTF9ST0xMJywnKzEnLDM5ODU4LCwsJycp&amp;WINDOW=FIRST_POPUP&amp;HEIGHT=450&amp;WIDTH=450&amp;START_MAXIMIZED=FALSE&amp;VAR:CALENDAR=US&amp;VAR:SYMBOL=38259P50&amp;VAR:INDEX=0"}</definedName>
    <definedName name="_3485__FDSAUDITLINK__">{"fdsup://directions/FAT Viewer?action=UPDATE&amp;creator=factset&amp;DYN_ARGS=TRUE&amp;DOC_NAME=FAT:FQL_AUDITING_CLIENT_TEMPLATE.FAT&amp;display_string=Audit&amp;VAR:KEY=GHAPOJAZCF&amp;VAR:QUERY=KFBfUFJJQ0UoMzk4NTcpLShGRl9DQVNIX1NUKFFUUiwzOTg1NykvUF9DT01fU0hTX09VVCgzOTg1NykpKS9GR","V9FU1RJTUFURSgnRVBTJywnTUVBTicsJ0FOTlVBTF9ST0xMJywnKzEnLDM5ODU3LCwsJycp&amp;WINDOW=FIRST_POPUP&amp;HEIGHT=450&amp;WIDTH=450&amp;START_MAXIMIZED=FALSE&amp;VAR:CALENDAR=US&amp;VAR:SYMBOL=38259P50&amp;VAR:INDEX=0"}</definedName>
    <definedName name="_3486__FDSAUDITLINK__">{"fdsup://directions/FAT Viewer?action=UPDATE&amp;creator=factset&amp;DYN_ARGS=TRUE&amp;DOC_NAME=FAT:FQL_AUDITING_CLIENT_TEMPLATE.FAT&amp;display_string=Audit&amp;VAR:KEY=GHAPOJAZCF&amp;VAR:QUERY=KFBfUFJJQ0UoMzk4NTcpLShGRl9DQVNIX1NUKFFUUiwzOTg1NykvUF9DT01fU0hTX09VVCgzOTg1NykpKS9GR","V9FU1RJTUFURSgnRVBTJywnTUVBTicsJ0FOTlVBTF9ST0xMJywnKzEnLDM5ODU3LCwsJycp&amp;WINDOW=FIRST_POPUP&amp;HEIGHT=450&amp;WIDTH=450&amp;START_MAXIMIZED=FALSE&amp;VAR:CALENDAR=US&amp;VAR:SYMBOL=38259P50&amp;VAR:INDEX=0"}</definedName>
    <definedName name="_3487__FDSAUDITLINK__">{"fdsup://directions/FAT Viewer?action=UPDATE&amp;creator=factset&amp;DYN_ARGS=TRUE&amp;DOC_NAME=FAT:FQL_AUDITING_CLIENT_TEMPLATE.FAT&amp;display_string=Audit&amp;VAR:KEY=UVCTGTMZQX&amp;VAR:QUERY=KFBfUFJJQ0UoMzk4NTYpLShGRl9DQVNIX1NUKFFUUiwzOTg1NikvUF9DT01fU0hTX09VVCgzOTg1NikpKS9GR","V9FU1RJTUFURSgnRVBTJywnTUVBTicsJ0FOTlVBTF9ST0xMJywnKzEnLDM5ODU2LCwsJycp&amp;WINDOW=FIRST_POPUP&amp;HEIGHT=450&amp;WIDTH=450&amp;START_MAXIMIZED=FALSE&amp;VAR:CALENDAR=US&amp;VAR:SYMBOL=38259P50&amp;VAR:INDEX=0"}</definedName>
    <definedName name="_3488__FDSAUDITLINK__">{"fdsup://directions/FAT Viewer?action=UPDATE&amp;creator=factset&amp;DYN_ARGS=TRUE&amp;DOC_NAME=FAT:FQL_AUDITING_CLIENT_TEMPLATE.FAT&amp;display_string=Audit&amp;VAR:KEY=UVCTGTMZQX&amp;VAR:QUERY=KFBfUFJJQ0UoMzk4NTYpLShGRl9DQVNIX1NUKFFUUiwzOTg1NikvUF9DT01fU0hTX09VVCgzOTg1NikpKS9GR","V9FU1RJTUFURSgnRVBTJywnTUVBTicsJ0FOTlVBTF9ST0xMJywnKzEnLDM5ODU2LCwsJycp&amp;WINDOW=FIRST_POPUP&amp;HEIGHT=450&amp;WIDTH=450&amp;START_MAXIMIZED=FALSE&amp;VAR:CALENDAR=US&amp;VAR:SYMBOL=38259P50&amp;VAR:INDEX=0"}</definedName>
    <definedName name="_3489__FDSAUDITLINK__">{"fdsup://directions/FAT Viewer?action=UPDATE&amp;creator=factset&amp;DYN_ARGS=TRUE&amp;DOC_NAME=FAT:FQL_AUDITING_CLIENT_TEMPLATE.FAT&amp;display_string=Audit&amp;VAR:KEY=MJGXGVATIB&amp;VAR:QUERY=KFBfUFJJQ0UoMzk4NTUpLShGRl9DQVNIX1NUKFFUUiwzOTg1NSkvUF9DT01fU0hTX09VVCgzOTg1NSkpKS9GR","V9FU1RJTUFURSgnRVBTJywnTUVBTicsJ0FOTlVBTF9ST0xMJywnKzEnLDM5ODU1LCwsJycp&amp;WINDOW=FIRST_POPUP&amp;HEIGHT=450&amp;WIDTH=450&amp;START_MAXIMIZED=FALSE&amp;VAR:CALENDAR=US&amp;VAR:SYMBOL=38259P50&amp;VAR:INDEX=0"}</definedName>
    <definedName name="_34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180"}</definedName>
    <definedName name="_3490__FDSAUDITLINK__">{"fdsup://directions/FAT Viewer?action=UPDATE&amp;creator=factset&amp;DYN_ARGS=TRUE&amp;DOC_NAME=FAT:FQL_AUDITING_CLIENT_TEMPLATE.FAT&amp;display_string=Audit&amp;VAR:KEY=MJGXGVATIB&amp;VAR:QUERY=KFBfUFJJQ0UoMzk4NTUpLShGRl9DQVNIX1NUKFFUUiwzOTg1NSkvUF9DT01fU0hTX09VVCgzOTg1NSkpKS9GR","V9FU1RJTUFURSgnRVBTJywnTUVBTicsJ0FOTlVBTF9ST0xMJywnKzEnLDM5ODU1LCwsJycp&amp;WINDOW=FIRST_POPUP&amp;HEIGHT=450&amp;WIDTH=450&amp;START_MAXIMIZED=FALSE&amp;VAR:CALENDAR=US&amp;VAR:SYMBOL=38259P50&amp;VAR:INDEX=0"}</definedName>
    <definedName name="_3491__FDSAUDITLINK__">{"fdsup://directions/FAT Viewer?action=UPDATE&amp;creator=factset&amp;DYN_ARGS=TRUE&amp;DOC_NAME=FAT:FQL_AUDITING_CLIENT_TEMPLATE.FAT&amp;display_string=Audit&amp;VAR:KEY=QBAJQXUVUD&amp;VAR:QUERY=KFBfUFJJQ0UoMzk4NTQpLShGRl9DQVNIX1NUKFFUUiwzOTg1NCkvUF9DT01fU0hTX09VVCgzOTg1NCkpKS9GR","V9FU1RJTUFURSgnRVBTJywnTUVBTicsJ0FOTlVBTF9ST0xMJywnKzEnLDM5ODU0LCwsJycp&amp;WINDOW=FIRST_POPUP&amp;HEIGHT=450&amp;WIDTH=450&amp;START_MAXIMIZED=FALSE&amp;VAR:CALENDAR=US&amp;VAR:SYMBOL=38259P50&amp;VAR:INDEX=0"}</definedName>
    <definedName name="_3492__FDSAUDITLINK__">{"fdsup://directions/FAT Viewer?action=UPDATE&amp;creator=factset&amp;DYN_ARGS=TRUE&amp;DOC_NAME=FAT:FQL_AUDITING_CLIENT_TEMPLATE.FAT&amp;display_string=Audit&amp;VAR:KEY=QBAJQXUVUD&amp;VAR:QUERY=KFBfUFJJQ0UoMzk4NTQpLShGRl9DQVNIX1NUKFFUUiwzOTg1NCkvUF9DT01fU0hTX09VVCgzOTg1NCkpKS9GR","V9FU1RJTUFURSgnRVBTJywnTUVBTicsJ0FOTlVBTF9ST0xMJywnKzEnLDM5ODU0LCwsJycp&amp;WINDOW=FIRST_POPUP&amp;HEIGHT=450&amp;WIDTH=450&amp;START_MAXIMIZED=FALSE&amp;VAR:CALENDAR=US&amp;VAR:SYMBOL=38259P50&amp;VAR:INDEX=0"}</definedName>
    <definedName name="_3493__FDSAUDITLINK__">{"fdsup://directions/FAT Viewer?action=UPDATE&amp;creator=factset&amp;DYN_ARGS=TRUE&amp;DOC_NAME=FAT:FQL_AUDITING_CLIENT_TEMPLATE.FAT&amp;display_string=Audit&amp;VAR:KEY=KVURCPUZWD&amp;VAR:QUERY=KFBfUFJJQ0UoMzk4NTMpLShGRl9DQVNIX1NUKFFUUiwzOTg1MykvUF9DT01fU0hTX09VVCgzOTg1MykpKS9GR","V9FU1RJTUFURSgnRVBTJywnTUVBTicsJ0FOTlVBTF9ST0xMJywnKzEnLDM5ODUzLCwsJycp&amp;WINDOW=FIRST_POPUP&amp;HEIGHT=450&amp;WIDTH=450&amp;START_MAXIMIZED=FALSE&amp;VAR:CALENDAR=US&amp;VAR:SYMBOL=38259P50&amp;VAR:INDEX=0"}</definedName>
    <definedName name="_3494__FDSAUDITLINK__">{"fdsup://directions/FAT Viewer?action=UPDATE&amp;creator=factset&amp;DYN_ARGS=TRUE&amp;DOC_NAME=FAT:FQL_AUDITING_CLIENT_TEMPLATE.FAT&amp;display_string=Audit&amp;VAR:KEY=KVURCPUZWD&amp;VAR:QUERY=KFBfUFJJQ0UoMzk4NTMpLShGRl9DQVNIX1NUKFFUUiwzOTg1MykvUF9DT01fU0hTX09VVCgzOTg1MykpKS9GR","V9FU1RJTUFURSgnRVBTJywnTUVBTicsJ0FOTlVBTF9ST0xMJywnKzEnLDM5ODUzLCwsJycp&amp;WINDOW=FIRST_POPUP&amp;HEIGHT=450&amp;WIDTH=450&amp;START_MAXIMIZED=FALSE&amp;VAR:CALENDAR=US&amp;VAR:SYMBOL=38259P50&amp;VAR:INDEX=0"}</definedName>
    <definedName name="_3495__FDSAUDITLINK__">{"fdsup://directions/FAT Viewer?action=UPDATE&amp;creator=factset&amp;DYN_ARGS=TRUE&amp;DOC_NAME=FAT:FQL_AUDITING_CLIENT_TEMPLATE.FAT&amp;display_string=Audit&amp;VAR:KEY=QNIRWXAHUX&amp;VAR:QUERY=KFBfUFJJQ0UoMzk4NTIpLShGRl9DQVNIX1NUKFFUUiwzOTg1MikvUF9DT01fU0hTX09VVCgzOTg1MikpKS9GR","V9FU1RJTUFURSgnRVBTJywnTUVBTicsJ0FOTlVBTF9ST0xMJywnKzEnLDM5ODUyLCwsJycp&amp;WINDOW=FIRST_POPUP&amp;HEIGHT=450&amp;WIDTH=450&amp;START_MAXIMIZED=FALSE&amp;VAR:CALENDAR=US&amp;VAR:SYMBOL=38259P50&amp;VAR:INDEX=0"}</definedName>
    <definedName name="_3496__FDSAUDITLINK__">{"fdsup://directions/FAT Viewer?action=UPDATE&amp;creator=factset&amp;DYN_ARGS=TRUE&amp;DOC_NAME=FAT:FQL_AUDITING_CLIENT_TEMPLATE.FAT&amp;display_string=Audit&amp;VAR:KEY=QNIRWXAHUX&amp;VAR:QUERY=KFBfUFJJQ0UoMzk4NTIpLShGRl9DQVNIX1NUKFFUUiwzOTg1MikvUF9DT01fU0hTX09VVCgzOTg1MikpKS9GR","V9FU1RJTUFURSgnRVBTJywnTUVBTicsJ0FOTlVBTF9ST0xMJywnKzEnLDM5ODUyLCwsJycp&amp;WINDOW=FIRST_POPUP&amp;HEIGHT=450&amp;WIDTH=450&amp;START_MAXIMIZED=FALSE&amp;VAR:CALENDAR=US&amp;VAR:SYMBOL=38259P50&amp;VAR:INDEX=0"}</definedName>
    <definedName name="_3497__FDSAUDITLINK__">{"fdsup://directions/FAT Viewer?action=UPDATE&amp;creator=factset&amp;DYN_ARGS=TRUE&amp;DOC_NAME=FAT:FQL_AUDITING_CLIENT_TEMPLATE.FAT&amp;display_string=Audit&amp;VAR:KEY=AXOPSJSTIX&amp;VAR:QUERY=KFBfUFJJQ0UoMzk4NTEpLShGRl9DQVNIX1NUKFFUUiwzOTg1MSkvUF9DT01fU0hTX09VVCgzOTg1MSkpKS9GR","V9FU1RJTUFURSgnRVBTJywnTUVBTicsJ0FOTlVBTF9ST0xMJywnKzEnLDM5ODUxLCwsJycp&amp;WINDOW=FIRST_POPUP&amp;HEIGHT=450&amp;WIDTH=450&amp;START_MAXIMIZED=FALSE&amp;VAR:CALENDAR=US&amp;VAR:SYMBOL=38259P50&amp;VAR:INDEX=0"}</definedName>
    <definedName name="_3498__FDSAUDITLINK__">{"fdsup://directions/FAT Viewer?action=UPDATE&amp;creator=factset&amp;DYN_ARGS=TRUE&amp;DOC_NAME=FAT:FQL_AUDITING_CLIENT_TEMPLATE.FAT&amp;display_string=Audit&amp;VAR:KEY=AXOPSJSTIX&amp;VAR:QUERY=KFBfUFJJQ0UoMzk4NTEpLShGRl9DQVNIX1NUKFFUUiwzOTg1MSkvUF9DT01fU0hTX09VVCgzOTg1MSkpKS9GR","V9FU1RJTUFURSgnRVBTJywnTUVBTicsJ0FOTlVBTF9ST0xMJywnKzEnLDM5ODUxLCwsJycp&amp;WINDOW=FIRST_POPUP&amp;HEIGHT=450&amp;WIDTH=450&amp;START_MAXIMIZED=FALSE&amp;VAR:CALENDAR=US&amp;VAR:SYMBOL=38259P50&amp;VAR:INDEX=0"}</definedName>
    <definedName name="_3499__FDSAUDITLINK__">{"fdsup://directions/FAT Viewer?action=UPDATE&amp;creator=factset&amp;DYN_ARGS=TRUE&amp;DOC_NAME=FAT:FQL_AUDITING_CLIENT_TEMPLATE.FAT&amp;display_string=Audit&amp;VAR:KEY=GLYDGLUDKF&amp;VAR:QUERY=KFBfUFJJQ0UoMzk4NTApLShGRl9DQVNIX1NUKFFUUiwzOTg1MCkvUF9DT01fU0hTX09VVCgzOTg1MCkpKS9GR","V9FU1RJTUFURSgnRVBTJywnTUVBTicsJ0FOTlVBTF9ST0xMJywnKzEnLDM5ODUwLCwsJycp&amp;WINDOW=FIRST_POPUP&amp;HEIGHT=450&amp;WIDTH=450&amp;START_MAXIMIZED=FALSE&amp;VAR:CALENDAR=US&amp;VAR:SYMBOL=38259P50&amp;VAR:INDEX=0"}</definedName>
    <definedName name="_3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16.459183&amp;VAR:V0=18.573121&amp;VAR:V1=16.459183&amp;VAR:Y0=2002&amp;VAR:Y1=2003&amp;VAR:P=879.819100&amp;VAR:DATE=20021231&amp;VAR:THRESH=-|-|-","|-|-|-|-"}</definedName>
    <definedName name="_35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179"}</definedName>
    <definedName name="_3500__FDSAUDITLINK__">{"fdsup://directions/FAT Viewer?action=UPDATE&amp;creator=factset&amp;DYN_ARGS=TRUE&amp;DOC_NAME=FAT:FQL_AUDITING_CLIENT_TEMPLATE.FAT&amp;display_string=Audit&amp;VAR:KEY=GLYDGLUDKF&amp;VAR:QUERY=KFBfUFJJQ0UoMzk4NTApLShGRl9DQVNIX1NUKFFUUiwzOTg1MCkvUF9DT01fU0hTX09VVCgzOTg1MCkpKS9GR","V9FU1RJTUFURSgnRVBTJywnTUVBTicsJ0FOTlVBTF9ST0xMJywnKzEnLDM5ODUwLCwsJycp&amp;WINDOW=FIRST_POPUP&amp;HEIGHT=450&amp;WIDTH=450&amp;START_MAXIMIZED=FALSE&amp;VAR:CALENDAR=US&amp;VAR:SYMBOL=38259P50&amp;VAR:INDEX=0"}</definedName>
    <definedName name="_3501__FDSAUDITLINK__">{"fdsup://directions/FAT Viewer?action=UPDATE&amp;creator=factset&amp;DYN_ARGS=TRUE&amp;DOC_NAME=FAT:FQL_AUDITING_CLIENT_TEMPLATE.FAT&amp;display_string=Audit&amp;VAR:KEY=MVSZQFQNUL&amp;VAR:QUERY=KFBfUFJJQ0UoMzk4NDkpLShGRl9DQVNIX1NUKFFUUiwzOTg0OSkvUF9DT01fU0hTX09VVCgzOTg0OSkpKS9GR","V9FU1RJTUFURSgnRVBTJywnTUVBTicsJ0FOTlVBTF9ST0xMJywnKzEnLDM5ODQ5LCwsJycp&amp;WINDOW=FIRST_POPUP&amp;HEIGHT=450&amp;WIDTH=450&amp;START_MAXIMIZED=FALSE&amp;VAR:CALENDAR=US&amp;VAR:SYMBOL=38259P50&amp;VAR:INDEX=0"}</definedName>
    <definedName name="_3502__FDSAUDITLINK__">{"fdsup://directions/FAT Viewer?action=UPDATE&amp;creator=factset&amp;DYN_ARGS=TRUE&amp;DOC_NAME=FAT:FQL_AUDITING_CLIENT_TEMPLATE.FAT&amp;display_string=Audit&amp;VAR:KEY=MVSZQFQNUL&amp;VAR:QUERY=KFBfUFJJQ0UoMzk4NDkpLShGRl9DQVNIX1NUKFFUUiwzOTg0OSkvUF9DT01fU0hTX09VVCgzOTg0OSkpKS9GR","V9FU1RJTUFURSgnRVBTJywnTUVBTicsJ0FOTlVBTF9ST0xMJywnKzEnLDM5ODQ5LCwsJycp&amp;WINDOW=FIRST_POPUP&amp;HEIGHT=450&amp;WIDTH=450&amp;START_MAXIMIZED=FALSE&amp;VAR:CALENDAR=US&amp;VAR:SYMBOL=38259P50&amp;VAR:INDEX=0"}</definedName>
    <definedName name="_3503__FDSAUDITLINK__">{"fdsup://directions/FAT Viewer?action=UPDATE&amp;creator=factset&amp;DYN_ARGS=TRUE&amp;DOC_NAME=FAT:FQL_AUDITING_CLIENT_TEMPLATE.FAT&amp;display_string=Audit&amp;VAR:KEY=KPGLSZCJKN&amp;VAR:QUERY=KFBfUFJJQ0UoMzk4NDgpLShGRl9DQVNIX1NUKFFUUiwzOTg0OCkvUF9DT01fU0hTX09VVCgzOTg0OCkpKS9GR","V9FU1RJTUFURSgnRVBTJywnTUVBTicsJ0FOTlVBTF9ST0xMJywnKzEnLDM5ODQ4LCwsJycp&amp;WINDOW=FIRST_POPUP&amp;HEIGHT=450&amp;WIDTH=450&amp;START_MAXIMIZED=FALSE&amp;VAR:CALENDAR=US&amp;VAR:SYMBOL=38259P50&amp;VAR:INDEX=0"}</definedName>
    <definedName name="_3504__FDSAUDITLINK__">{"fdsup://directions/FAT Viewer?action=UPDATE&amp;creator=factset&amp;DYN_ARGS=TRUE&amp;DOC_NAME=FAT:FQL_AUDITING_CLIENT_TEMPLATE.FAT&amp;display_string=Audit&amp;VAR:KEY=KPGLSZCJKN&amp;VAR:QUERY=KFBfUFJJQ0UoMzk4NDgpLShGRl9DQVNIX1NUKFFUUiwzOTg0OCkvUF9DT01fU0hTX09VVCgzOTg0OCkpKS9GR","V9FU1RJTUFURSgnRVBTJywnTUVBTicsJ0FOTlVBTF9ST0xMJywnKzEnLDM5ODQ4LCwsJycp&amp;WINDOW=FIRST_POPUP&amp;HEIGHT=450&amp;WIDTH=450&amp;START_MAXIMIZED=FALSE&amp;VAR:CALENDAR=US&amp;VAR:SYMBOL=38259P50&amp;VAR:INDEX=0"}</definedName>
    <definedName name="_3505__FDSAUDITLINK__">{"fdsup://directions/FAT Viewer?action=UPDATE&amp;creator=factset&amp;DYN_ARGS=TRUE&amp;DOC_NAME=FAT:FQL_AUDITING_CLIENT_TEMPLATE.FAT&amp;display_string=Audit&amp;VAR:KEY=MBCLUFKLAJ&amp;VAR:QUERY=KFBfUFJJQ0UoMzk4NDcpLShGRl9DQVNIX1NUKFFUUiwzOTg0NykvUF9DT01fU0hTX09VVCgzOTg0NykpKS9GR","V9FU1RJTUFURSgnRVBTJywnTUVBTicsJ0FOTlVBTF9ST0xMJywnKzEnLDM5ODQ3LCwsJycp&amp;WINDOW=FIRST_POPUP&amp;HEIGHT=450&amp;WIDTH=450&amp;START_MAXIMIZED=FALSE&amp;VAR:CALENDAR=US&amp;VAR:SYMBOL=38259P50&amp;VAR:INDEX=0"}</definedName>
    <definedName name="_3506__FDSAUDITLINK__">{"fdsup://directions/FAT Viewer?action=UPDATE&amp;creator=factset&amp;DYN_ARGS=TRUE&amp;DOC_NAME=FAT:FQL_AUDITING_CLIENT_TEMPLATE.FAT&amp;display_string=Audit&amp;VAR:KEY=MBCLUFKLAJ&amp;VAR:QUERY=KFBfUFJJQ0UoMzk4NDcpLShGRl9DQVNIX1NUKFFUUiwzOTg0NykvUF9DT01fU0hTX09VVCgzOTg0NykpKS9GR","V9FU1RJTUFURSgnRVBTJywnTUVBTicsJ0FOTlVBTF9ST0xMJywnKzEnLDM5ODQ3LCwsJycp&amp;WINDOW=FIRST_POPUP&amp;HEIGHT=450&amp;WIDTH=450&amp;START_MAXIMIZED=FALSE&amp;VAR:CALENDAR=US&amp;VAR:SYMBOL=38259P50&amp;VAR:INDEX=0"}</definedName>
    <definedName name="_3507__FDSAUDITLINK__">{"fdsup://directions/FAT Viewer?action=UPDATE&amp;creator=factset&amp;DYN_ARGS=TRUE&amp;DOC_NAME=FAT:FQL_AUDITING_CLIENT_TEMPLATE.FAT&amp;display_string=Audit&amp;VAR:KEY=OTEZMPWRAV&amp;VAR:QUERY=KFBfUFJJQ0UoMzk4NDYpLShGRl9DQVNIX1NUKFFUUiwzOTg0NikvUF9DT01fU0hTX09VVCgzOTg0NikpKS9GR","V9FU1RJTUFURSgnRVBTJywnTUVBTicsJ0FOTlVBTF9ST0xMJywnKzEnLDM5ODQ2LCwsJycp&amp;WINDOW=FIRST_POPUP&amp;HEIGHT=450&amp;WIDTH=450&amp;START_MAXIMIZED=FALSE&amp;VAR:CALENDAR=US&amp;VAR:SYMBOL=38259P50&amp;VAR:INDEX=0"}</definedName>
    <definedName name="_3508__FDSAUDITLINK__">{"fdsup://directions/FAT Viewer?action=UPDATE&amp;creator=factset&amp;DYN_ARGS=TRUE&amp;DOC_NAME=FAT:FQL_AUDITING_CLIENT_TEMPLATE.FAT&amp;display_string=Audit&amp;VAR:KEY=OTEZMPWRAV&amp;VAR:QUERY=KFBfUFJJQ0UoMzk4NDYpLShGRl9DQVNIX1NUKFFUUiwzOTg0NikvUF9DT01fU0hTX09VVCgzOTg0NikpKS9GR","V9FU1RJTUFURSgnRVBTJywnTUVBTicsJ0FOTlVBTF9ST0xMJywnKzEnLDM5ODQ2LCwsJycp&amp;WINDOW=FIRST_POPUP&amp;HEIGHT=450&amp;WIDTH=450&amp;START_MAXIMIZED=FALSE&amp;VAR:CALENDAR=US&amp;VAR:SYMBOL=38259P50&amp;VAR:INDEX=0"}</definedName>
    <definedName name="_3509__FDSAUDITLINK__">{"fdsup://directions/FAT Viewer?action=UPDATE&amp;creator=factset&amp;DYN_ARGS=TRUE&amp;DOC_NAME=FAT:FQL_AUDITING_CLIENT_TEMPLATE.FAT&amp;display_string=Audit&amp;VAR:KEY=UHGVALGLMZ&amp;VAR:QUERY=KFBfUFJJQ0UoMzk4NDUpLShGRl9DQVNIX1NUKFFUUiwzOTg0NSkvUF9DT01fU0hTX09VVCgzOTg0NSkpKS9GR","V9FU1RJTUFURSgnRVBTJywnTUVBTicsJ0FOTlVBTF9ST0xMJywnKzEnLDM5ODQ1LCwsJycp&amp;WINDOW=FIRST_POPUP&amp;HEIGHT=450&amp;WIDTH=450&amp;START_MAXIMIZED=FALSE&amp;VAR:CALENDAR=US&amp;VAR:SYMBOL=38259P50&amp;VAR:INDEX=0"}</definedName>
    <definedName name="_35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178"}</definedName>
    <definedName name="_3510__FDSAUDITLINK__">{"fdsup://directions/FAT Viewer?action=UPDATE&amp;creator=factset&amp;DYN_ARGS=TRUE&amp;DOC_NAME=FAT:FQL_AUDITING_CLIENT_TEMPLATE.FAT&amp;display_string=Audit&amp;VAR:KEY=UHGVALGLMZ&amp;VAR:QUERY=KFBfUFJJQ0UoMzk4NDUpLShGRl9DQVNIX1NUKFFUUiwzOTg0NSkvUF9DT01fU0hTX09VVCgzOTg0NSkpKS9GR","V9FU1RJTUFURSgnRVBTJywnTUVBTicsJ0FOTlVBTF9ST0xMJywnKzEnLDM5ODQ1LCwsJycp&amp;WINDOW=FIRST_POPUP&amp;HEIGHT=450&amp;WIDTH=450&amp;START_MAXIMIZED=FALSE&amp;VAR:CALENDAR=US&amp;VAR:SYMBOL=38259P50&amp;VAR:INDEX=0"}</definedName>
    <definedName name="_3511__FDSAUDITLINK__">{"fdsup://directions/FAT Viewer?action=UPDATE&amp;creator=factset&amp;DYN_ARGS=TRUE&amp;DOC_NAME=FAT:FQL_AUDITING_CLIENT_TEMPLATE.FAT&amp;display_string=Audit&amp;VAR:KEY=GFOXUJITEV&amp;VAR:QUERY=KFBfUFJJQ0UoMzk4NDQpLShGRl9DQVNIX1NUKFFUUiwzOTg0NCkvUF9DT01fU0hTX09VVCgzOTg0NCkpKS9GR","V9FU1RJTUFURSgnRVBTJywnTUVBTicsJ0FOTlVBTF9ST0xMJywnKzEnLDM5ODQ0LCwsJycp&amp;WINDOW=FIRST_POPUP&amp;HEIGHT=450&amp;WIDTH=450&amp;START_MAXIMIZED=FALSE&amp;VAR:CALENDAR=US&amp;VAR:SYMBOL=38259P50&amp;VAR:INDEX=0"}</definedName>
    <definedName name="_3512__FDSAUDITLINK__">{"fdsup://directions/FAT Viewer?action=UPDATE&amp;creator=factset&amp;DYN_ARGS=TRUE&amp;DOC_NAME=FAT:FQL_AUDITING_CLIENT_TEMPLATE.FAT&amp;display_string=Audit&amp;VAR:KEY=GFOXUJITEV&amp;VAR:QUERY=KFBfUFJJQ0UoMzk4NDQpLShGRl9DQVNIX1NUKFFUUiwzOTg0NCkvUF9DT01fU0hTX09VVCgzOTg0NCkpKS9GR","V9FU1RJTUFURSgnRVBTJywnTUVBTicsJ0FOTlVBTF9ST0xMJywnKzEnLDM5ODQ0LCwsJycp&amp;WINDOW=FIRST_POPUP&amp;HEIGHT=450&amp;WIDTH=450&amp;START_MAXIMIZED=FALSE&amp;VAR:CALENDAR=US&amp;VAR:SYMBOL=38259P50&amp;VAR:INDEX=0"}</definedName>
    <definedName name="_3513__FDSAUDITLINK__">{"fdsup://directions/FAT Viewer?action=UPDATE&amp;creator=factset&amp;DYN_ARGS=TRUE&amp;DOC_NAME=FAT:FQL_AUDITING_CLIENT_TEMPLATE.FAT&amp;display_string=Audit&amp;VAR:KEY=YJOZGDAJCT&amp;VAR:QUERY=KFBfUFJJQ0UoMzk4NDMpLShGRl9DQVNIX1NUKFFUUiwzOTg0MykvUF9DT01fU0hTX09VVCgzOTg0MykpKS9GR","V9FU1RJTUFURSgnRVBTJywnTUVBTicsJ0FOTlVBTF9ST0xMJywnKzEnLDM5ODQzLCwsJycp&amp;WINDOW=FIRST_POPUP&amp;HEIGHT=450&amp;WIDTH=450&amp;START_MAXIMIZED=FALSE&amp;VAR:CALENDAR=US&amp;VAR:SYMBOL=38259P50&amp;VAR:INDEX=0"}</definedName>
    <definedName name="_3514__FDSAUDITLINK__">{"fdsup://directions/FAT Viewer?action=UPDATE&amp;creator=factset&amp;DYN_ARGS=TRUE&amp;DOC_NAME=FAT:FQL_AUDITING_CLIENT_TEMPLATE.FAT&amp;display_string=Audit&amp;VAR:KEY=YJOZGDAJCT&amp;VAR:QUERY=KFBfUFJJQ0UoMzk4NDMpLShGRl9DQVNIX1NUKFFUUiwzOTg0MykvUF9DT01fU0hTX09VVCgzOTg0MykpKS9GR","V9FU1RJTUFURSgnRVBTJywnTUVBTicsJ0FOTlVBTF9ST0xMJywnKzEnLDM5ODQzLCwsJycp&amp;WINDOW=FIRST_POPUP&amp;HEIGHT=450&amp;WIDTH=450&amp;START_MAXIMIZED=FALSE&amp;VAR:CALENDAR=US&amp;VAR:SYMBOL=38259P50&amp;VAR:INDEX=0"}</definedName>
    <definedName name="_3515__FDSAUDITLINK__">{"fdsup://directions/FAT Viewer?action=UPDATE&amp;creator=factset&amp;DYN_ARGS=TRUE&amp;DOC_NAME=FAT:FQL_AUDITING_CLIENT_TEMPLATE.FAT&amp;display_string=Audit&amp;VAR:KEY=URMTMJMDMR&amp;VAR:QUERY=KFBfUFJJQ0UoMzk4NDIpLShGRl9DQVNIX1NUKFFUUiwzOTg0MikvUF9DT01fU0hTX09VVCgzOTg0MikpKS9GR","V9FU1RJTUFURSgnRVBTJywnTUVBTicsJ0FOTlVBTF9ST0xMJywnKzEnLDM5ODQyLCwsJycp&amp;WINDOW=FIRST_POPUP&amp;HEIGHT=450&amp;WIDTH=450&amp;START_MAXIMIZED=FALSE&amp;VAR:CALENDAR=US&amp;VAR:SYMBOL=38259P50&amp;VAR:INDEX=0"}</definedName>
    <definedName name="_3516__FDSAUDITLINK__">{"fdsup://directions/FAT Viewer?action=UPDATE&amp;creator=factset&amp;DYN_ARGS=TRUE&amp;DOC_NAME=FAT:FQL_AUDITING_CLIENT_TEMPLATE.FAT&amp;display_string=Audit&amp;VAR:KEY=URMTMJMDMR&amp;VAR:QUERY=KFBfUFJJQ0UoMzk4NDIpLShGRl9DQVNIX1NUKFFUUiwzOTg0MikvUF9DT01fU0hTX09VVCgzOTg0MikpKS9GR","V9FU1RJTUFURSgnRVBTJywnTUVBTicsJ0FOTlVBTF9ST0xMJywnKzEnLDM5ODQyLCwsJycp&amp;WINDOW=FIRST_POPUP&amp;HEIGHT=450&amp;WIDTH=450&amp;START_MAXIMIZED=FALSE&amp;VAR:CALENDAR=US&amp;VAR:SYMBOL=38259P50&amp;VAR:INDEX=0"}</definedName>
    <definedName name="_3517__FDSAUDITLINK__">{"fdsup://directions/FAT Viewer?action=UPDATE&amp;creator=factset&amp;DYN_ARGS=TRUE&amp;DOC_NAME=FAT:FQL_AUDITING_CLIENT_TEMPLATE.FAT&amp;display_string=Audit&amp;VAR:KEY=GXQTEBOHCX&amp;VAR:QUERY=KFBfUFJJQ0UoMzk4NDEpLShGRl9DQVNIX1NUKFFUUiwzOTg0MSkvUF9DT01fU0hTX09VVCgzOTg0MSkpKS9GR","V9FU1RJTUFURSgnRVBTJywnTUVBTicsJ0FOTlVBTF9ST0xMJywnKzEnLDM5ODQxLCwsJycp&amp;WINDOW=FIRST_POPUP&amp;HEIGHT=450&amp;WIDTH=450&amp;START_MAXIMIZED=FALSE&amp;VAR:CALENDAR=US&amp;VAR:SYMBOL=38259P50&amp;VAR:INDEX=0"}</definedName>
    <definedName name="_3518__FDSAUDITLINK__">{"fdsup://directions/FAT Viewer?action=UPDATE&amp;creator=factset&amp;DYN_ARGS=TRUE&amp;DOC_NAME=FAT:FQL_AUDITING_CLIENT_TEMPLATE.FAT&amp;display_string=Audit&amp;VAR:KEY=GXQTEBOHCX&amp;VAR:QUERY=KFBfUFJJQ0UoMzk4NDEpLShGRl9DQVNIX1NUKFFUUiwzOTg0MSkvUF9DT01fU0hTX09VVCgzOTg0MSkpKS9GR","V9FU1RJTUFURSgnRVBTJywnTUVBTicsJ0FOTlVBTF9ST0xMJywnKzEnLDM5ODQxLCwsJycp&amp;WINDOW=FIRST_POPUP&amp;HEIGHT=450&amp;WIDTH=450&amp;START_MAXIMIZED=FALSE&amp;VAR:CALENDAR=US&amp;VAR:SYMBOL=38259P50&amp;VAR:INDEX=0"}</definedName>
    <definedName name="_3519__FDSAUDITLINK__">{"fdsup://directions/FAT Viewer?action=UPDATE&amp;creator=factset&amp;DYN_ARGS=TRUE&amp;DOC_NAME=FAT:FQL_AUDITING_CLIENT_TEMPLATE.FAT&amp;display_string=Audit&amp;VAR:KEY=SXAVEPYPYP&amp;VAR:QUERY=KFBfUFJJQ0UoMzk4NDApLShGRl9DQVNIX1NUKFFUUiwzOTg0MCkvUF9DT01fU0hTX09VVCgzOTg0MCkpKS9GR","V9FU1RJTUFURSgnRVBTJywnTUVBTicsJ0FOTlVBTF9ST0xMJywnKzEnLDM5ODQwLCwsJycp&amp;WINDOW=FIRST_POPUP&amp;HEIGHT=450&amp;WIDTH=450&amp;START_MAXIMIZED=FALSE&amp;VAR:CALENDAR=US&amp;VAR:SYMBOL=38259P50&amp;VAR:INDEX=0"}</definedName>
    <definedName name="_35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177"}</definedName>
    <definedName name="_3520__FDSAUDITLINK__">{"fdsup://directions/FAT Viewer?action=UPDATE&amp;creator=factset&amp;DYN_ARGS=TRUE&amp;DOC_NAME=FAT:FQL_AUDITING_CLIENT_TEMPLATE.FAT&amp;display_string=Audit&amp;VAR:KEY=SXAVEPYPYP&amp;VAR:QUERY=KFBfUFJJQ0UoMzk4NDApLShGRl9DQVNIX1NUKFFUUiwzOTg0MCkvUF9DT01fU0hTX09VVCgzOTg0MCkpKS9GR","V9FU1RJTUFURSgnRVBTJywnTUVBTicsJ0FOTlVBTF9ST0xMJywnKzEnLDM5ODQwLCwsJycp&amp;WINDOW=FIRST_POPUP&amp;HEIGHT=450&amp;WIDTH=450&amp;START_MAXIMIZED=FALSE&amp;VAR:CALENDAR=US&amp;VAR:SYMBOL=38259P50&amp;VAR:INDEX=0"}</definedName>
    <definedName name="_3521__FDSAUDITLINK__">{"fdsup://directions/FAT Viewer?action=UPDATE&amp;creator=factset&amp;DYN_ARGS=TRUE&amp;DOC_NAME=FAT:FQL_AUDITING_CLIENT_TEMPLATE.FAT&amp;display_string=Audit&amp;VAR:KEY=ODYRABOZKH&amp;VAR:QUERY=KFBfUFJJQ0UoMzk4MzkpLShGRl9DQVNIX1NUKFFUUiwzOTgzOSkvUF9DT01fU0hTX09VVCgzOTgzOSkpKS9GR","V9FU1RJTUFURSgnRVBTJywnTUVBTicsJ0FOTlVBTF9ST0xMJywnKzEnLDM5ODM5LCwsJycp&amp;WINDOW=FIRST_POPUP&amp;HEIGHT=450&amp;WIDTH=450&amp;START_MAXIMIZED=FALSE&amp;VAR:CALENDAR=US&amp;VAR:SYMBOL=38259P50&amp;VAR:INDEX=0"}</definedName>
    <definedName name="_3522__FDSAUDITLINK__">{"fdsup://directions/FAT Viewer?action=UPDATE&amp;creator=factset&amp;DYN_ARGS=TRUE&amp;DOC_NAME=FAT:FQL_AUDITING_CLIENT_TEMPLATE.FAT&amp;display_string=Audit&amp;VAR:KEY=ODYRABOZKH&amp;VAR:QUERY=KFBfUFJJQ0UoMzk4MzkpLShGRl9DQVNIX1NUKFFUUiwzOTgzOSkvUF9DT01fU0hTX09VVCgzOTgzOSkpKS9GR","V9FU1RJTUFURSgnRVBTJywnTUVBTicsJ0FOTlVBTF9ST0xMJywnKzEnLDM5ODM5LCwsJycp&amp;WINDOW=FIRST_POPUP&amp;HEIGHT=450&amp;WIDTH=450&amp;START_MAXIMIZED=FALSE&amp;VAR:CALENDAR=US&amp;VAR:SYMBOL=38259P50&amp;VAR:INDEX=0"}</definedName>
    <definedName name="_3523__FDSAUDITLINK__">{"fdsup://directions/FAT Viewer?action=UPDATE&amp;creator=factset&amp;DYN_ARGS=TRUE&amp;DOC_NAME=FAT:FQL_AUDITING_CLIENT_TEMPLATE.FAT&amp;display_string=Audit&amp;VAR:KEY=WTSVGDYBQB&amp;VAR:QUERY=KFBfUFJJQ0UoMzk4MzgpLShGRl9DQVNIX1NUKFFUUiwzOTgzOCkvUF9DT01fU0hTX09VVCgzOTgzOCkpKS9GR","V9FU1RJTUFURSgnRVBTJywnTUVBTicsJ0FOTlVBTF9ST0xMJywnKzEnLDM5ODM4LCwsJycp&amp;WINDOW=FIRST_POPUP&amp;HEIGHT=450&amp;WIDTH=450&amp;START_MAXIMIZED=FALSE&amp;VAR:CALENDAR=US&amp;VAR:SYMBOL=38259P50&amp;VAR:INDEX=0"}</definedName>
    <definedName name="_3524__FDSAUDITLINK__">{"fdsup://directions/FAT Viewer?action=UPDATE&amp;creator=factset&amp;DYN_ARGS=TRUE&amp;DOC_NAME=FAT:FQL_AUDITING_CLIENT_TEMPLATE.FAT&amp;display_string=Audit&amp;VAR:KEY=WTSVGDYBQB&amp;VAR:QUERY=KFBfUFJJQ0UoMzk4MzgpLShGRl9DQVNIX1NUKFFUUiwzOTgzOCkvUF9DT01fU0hTX09VVCgzOTgzOCkpKS9GR","V9FU1RJTUFURSgnRVBTJywnTUVBTicsJ0FOTlVBTF9ST0xMJywnKzEnLDM5ODM4LCwsJycp&amp;WINDOW=FIRST_POPUP&amp;HEIGHT=450&amp;WIDTH=450&amp;START_MAXIMIZED=FALSE&amp;VAR:CALENDAR=US&amp;VAR:SYMBOL=38259P50&amp;VAR:INDEX=0"}</definedName>
    <definedName name="_3525__FDSAUDITLINK__">{"fdsup://directions/FAT Viewer?action=UPDATE&amp;creator=factset&amp;DYN_ARGS=TRUE&amp;DOC_NAME=FAT:FQL_AUDITING_CLIENT_TEMPLATE.FAT&amp;display_string=Audit&amp;VAR:KEY=CBYJEJOTSF&amp;VAR:QUERY=KFBfUFJJQ0UoMzk4MzcpLShGRl9DQVNIX1NUKFFUUiwzOTgzNykvUF9DT01fU0hTX09VVCgzOTgzNykpKS9GR","V9FU1RJTUFURSgnRVBTJywnTUVBTicsJ0FOTlVBTF9ST0xMJywnKzEnLDM5ODM3LCwsJycp&amp;WINDOW=FIRST_POPUP&amp;HEIGHT=450&amp;WIDTH=450&amp;START_MAXIMIZED=FALSE&amp;VAR:CALENDAR=US&amp;VAR:SYMBOL=38259P50&amp;VAR:INDEX=0"}</definedName>
    <definedName name="_3526__FDSAUDITLINK__">{"fdsup://directions/FAT Viewer?action=UPDATE&amp;creator=factset&amp;DYN_ARGS=TRUE&amp;DOC_NAME=FAT:FQL_AUDITING_CLIENT_TEMPLATE.FAT&amp;display_string=Audit&amp;VAR:KEY=CBYJEJOTSF&amp;VAR:QUERY=KFBfUFJJQ0UoMzk4MzcpLShGRl9DQVNIX1NUKFFUUiwzOTgzNykvUF9DT01fU0hTX09VVCgzOTgzNykpKS9GR","V9FU1RJTUFURSgnRVBTJywnTUVBTicsJ0FOTlVBTF9ST0xMJywnKzEnLDM5ODM3LCwsJycp&amp;WINDOW=FIRST_POPUP&amp;HEIGHT=450&amp;WIDTH=450&amp;START_MAXIMIZED=FALSE&amp;VAR:CALENDAR=US&amp;VAR:SYMBOL=38259P50&amp;VAR:INDEX=0"}</definedName>
    <definedName name="_3527__FDSAUDITLINK__">{"fdsup://directions/FAT Viewer?action=UPDATE&amp;creator=factset&amp;DYN_ARGS=TRUE&amp;DOC_NAME=FAT:FQL_AUDITING_CLIENT_TEMPLATE.FAT&amp;display_string=Audit&amp;VAR:KEY=QLAFYVSRAN&amp;VAR:QUERY=KFBfUFJJQ0UoMzk4MzYpLShGRl9DQVNIX1NUKFFUUiwzOTgzNikvUF9DT01fU0hTX09VVCgzOTgzNikpKS9GR","V9FU1RJTUFURSgnRVBTJywnTUVBTicsJ0FOTlVBTF9ST0xMJywnKzEnLDM5ODM2LCwsJycp&amp;WINDOW=FIRST_POPUP&amp;HEIGHT=450&amp;WIDTH=450&amp;START_MAXIMIZED=FALSE&amp;VAR:CALENDAR=US&amp;VAR:SYMBOL=38259P50&amp;VAR:INDEX=0"}</definedName>
    <definedName name="_3528__FDSAUDITLINK__">{"fdsup://directions/FAT Viewer?action=UPDATE&amp;creator=factset&amp;DYN_ARGS=TRUE&amp;DOC_NAME=FAT:FQL_AUDITING_CLIENT_TEMPLATE.FAT&amp;display_string=Audit&amp;VAR:KEY=QLAFYVSRAN&amp;VAR:QUERY=KFBfUFJJQ0UoMzk4MzYpLShGRl9DQVNIX1NUKFFUUiwzOTgzNikvUF9DT01fU0hTX09VVCgzOTgzNikpKS9GR","V9FU1RJTUFURSgnRVBTJywnTUVBTicsJ0FOTlVBTF9ST0xMJywnKzEnLDM5ODM2LCwsJycp&amp;WINDOW=FIRST_POPUP&amp;HEIGHT=450&amp;WIDTH=450&amp;START_MAXIMIZED=FALSE&amp;VAR:CALENDAR=US&amp;VAR:SYMBOL=38259P50&amp;VAR:INDEX=0"}</definedName>
    <definedName name="_3529__FDSAUDITLINK__">{"fdsup://directions/FAT Viewer?action=UPDATE&amp;creator=factset&amp;DYN_ARGS=TRUE&amp;DOC_NAME=FAT:FQL_AUDITING_CLIENT_TEMPLATE.FAT&amp;display_string=Audit&amp;VAR:KEY=CNKPCHSPQX&amp;VAR:QUERY=KFBfUFJJQ0UoMzk4MzUpLShGRl9DQVNIX1NUKFFUUiwzOTgzNSkvUF9DT01fU0hTX09VVCgzOTgzNSkpKS9GR","V9FU1RJTUFURSgnRVBTJywnTUVBTicsJ0FOTlVBTF9ST0xMJywnKzEnLDM5ODM1LCwsJycp&amp;WINDOW=FIRST_POPUP&amp;HEIGHT=450&amp;WIDTH=450&amp;START_MAXIMIZED=FALSE&amp;VAR:CALENDAR=US&amp;VAR:SYMBOL=38259P50&amp;VAR:INDEX=0"}</definedName>
    <definedName name="_35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176"}</definedName>
    <definedName name="_3530__FDSAUDITLINK__">{"fdsup://directions/FAT Viewer?action=UPDATE&amp;creator=factset&amp;DYN_ARGS=TRUE&amp;DOC_NAME=FAT:FQL_AUDITING_CLIENT_TEMPLATE.FAT&amp;display_string=Audit&amp;VAR:KEY=CNKPCHSPQX&amp;VAR:QUERY=KFBfUFJJQ0UoMzk4MzUpLShGRl9DQVNIX1NUKFFUUiwzOTgzNSkvUF9DT01fU0hTX09VVCgzOTgzNSkpKS9GR","V9FU1RJTUFURSgnRVBTJywnTUVBTicsJ0FOTlVBTF9ST0xMJywnKzEnLDM5ODM1LCwsJycp&amp;WINDOW=FIRST_POPUP&amp;HEIGHT=450&amp;WIDTH=450&amp;START_MAXIMIZED=FALSE&amp;VAR:CALENDAR=US&amp;VAR:SYMBOL=38259P50&amp;VAR:INDEX=0"}</definedName>
    <definedName name="_3531__FDSAUDITLINK__">{"fdsup://directions/FAT Viewer?action=UPDATE&amp;creator=factset&amp;DYN_ARGS=TRUE&amp;DOC_NAME=FAT:FQL_AUDITING_CLIENT_TEMPLATE.FAT&amp;display_string=Audit&amp;VAR:KEY=UFIRSBELIP&amp;VAR:QUERY=KFBfUFJJQ0UoMzk4MzQpLShGRl9DQVNIX1NUKFFUUiwzOTgzNCkvUF9DT01fU0hTX09VVCgzOTgzNCkpKS9GR","V9FU1RJTUFURSgnRVBTJywnTUVBTicsJ0FOTlVBTF9ST0xMJywnKzEnLDM5ODM0LCwsJycp&amp;WINDOW=FIRST_POPUP&amp;HEIGHT=450&amp;WIDTH=450&amp;START_MAXIMIZED=FALSE&amp;VAR:CALENDAR=US&amp;VAR:SYMBOL=38259P50&amp;VAR:INDEX=0"}</definedName>
    <definedName name="_3532__FDSAUDITLINK__">{"fdsup://directions/FAT Viewer?action=UPDATE&amp;creator=factset&amp;DYN_ARGS=TRUE&amp;DOC_NAME=FAT:FQL_AUDITING_CLIENT_TEMPLATE.FAT&amp;display_string=Audit&amp;VAR:KEY=UFIRSBELIP&amp;VAR:QUERY=KFBfUFJJQ0UoMzk4MzQpLShGRl9DQVNIX1NUKFFUUiwzOTgzNCkvUF9DT01fU0hTX09VVCgzOTgzNCkpKS9GR","V9FU1RJTUFURSgnRVBTJywnTUVBTicsJ0FOTlVBTF9ST0xMJywnKzEnLDM5ODM0LCwsJycp&amp;WINDOW=FIRST_POPUP&amp;HEIGHT=450&amp;WIDTH=450&amp;START_MAXIMIZED=FALSE&amp;VAR:CALENDAR=US&amp;VAR:SYMBOL=38259P50&amp;VAR:INDEX=0"}</definedName>
    <definedName name="_3533__FDSAUDITLINK__">{"fdsup://directions/FAT Viewer?action=UPDATE&amp;creator=factset&amp;DYN_ARGS=TRUE&amp;DOC_NAME=FAT:FQL_AUDITING_CLIENT_TEMPLATE.FAT&amp;display_string=Audit&amp;VAR:KEY=WDIVOJUZGL&amp;VAR:QUERY=KFBfUFJJQ0UoMzk4MzMpLShGRl9DQVNIX1NUKFFUUiwzOTgzMykvUF9DT01fU0hTX09VVCgzOTgzMykpKS9GR","V9FU1RJTUFURSgnRVBTJywnTUVBTicsJ0FOTlVBTF9ST0xMJywnKzEnLDM5ODMzLCwsJycp&amp;WINDOW=FIRST_POPUP&amp;HEIGHT=450&amp;WIDTH=450&amp;START_MAXIMIZED=FALSE&amp;VAR:CALENDAR=US&amp;VAR:SYMBOL=38259P50&amp;VAR:INDEX=0"}</definedName>
    <definedName name="_3534__FDSAUDITLINK__">{"fdsup://directions/FAT Viewer?action=UPDATE&amp;creator=factset&amp;DYN_ARGS=TRUE&amp;DOC_NAME=FAT:FQL_AUDITING_CLIENT_TEMPLATE.FAT&amp;display_string=Audit&amp;VAR:KEY=WDIVOJUZGL&amp;VAR:QUERY=KFBfUFJJQ0UoMzk4MzMpLShGRl9DQVNIX1NUKFFUUiwzOTgzMykvUF9DT01fU0hTX09VVCgzOTgzMykpKS9GR","V9FU1RJTUFURSgnRVBTJywnTUVBTicsJ0FOTlVBTF9ST0xMJywnKzEnLDM5ODMzLCwsJycp&amp;WINDOW=FIRST_POPUP&amp;HEIGHT=450&amp;WIDTH=450&amp;START_MAXIMIZED=FALSE&amp;VAR:CALENDAR=US&amp;VAR:SYMBOL=38259P50&amp;VAR:INDEX=0"}</definedName>
    <definedName name="_3535__FDSAUDITLINK__">{"fdsup://directions/FAT Viewer?action=UPDATE&amp;creator=factset&amp;DYN_ARGS=TRUE&amp;DOC_NAME=FAT:FQL_AUDITING_CLIENT_TEMPLATE.FAT&amp;display_string=Audit&amp;VAR:KEY=KJEJIFKTCX&amp;VAR:QUERY=KFBfUFJJQ0UoMzk4MzIpLShGRl9DQVNIX1NUKFFUUiwzOTgzMikvUF9DT01fU0hTX09VVCgzOTgzMikpKS9GR","V9FU1RJTUFURSgnRVBTJywnTUVBTicsJ0FOTlVBTF9ST0xMJywnKzEnLDM5ODMyLCwsJycp&amp;WINDOW=FIRST_POPUP&amp;HEIGHT=450&amp;WIDTH=450&amp;START_MAXIMIZED=FALSE&amp;VAR:CALENDAR=US&amp;VAR:SYMBOL=38259P50&amp;VAR:INDEX=0"}</definedName>
    <definedName name="_3536__FDSAUDITLINK__">{"fdsup://directions/FAT Viewer?action=UPDATE&amp;creator=factset&amp;DYN_ARGS=TRUE&amp;DOC_NAME=FAT:FQL_AUDITING_CLIENT_TEMPLATE.FAT&amp;display_string=Audit&amp;VAR:KEY=KJEJIFKTCX&amp;VAR:QUERY=KFBfUFJJQ0UoMzk4MzIpLShGRl9DQVNIX1NUKFFUUiwzOTgzMikvUF9DT01fU0hTX09VVCgzOTgzMikpKS9GR","V9FU1RJTUFURSgnRVBTJywnTUVBTicsJ0FOTlVBTF9ST0xMJywnKzEnLDM5ODMyLCwsJycp&amp;WINDOW=FIRST_POPUP&amp;HEIGHT=450&amp;WIDTH=450&amp;START_MAXIMIZED=FALSE&amp;VAR:CALENDAR=US&amp;VAR:SYMBOL=38259P50&amp;VAR:INDEX=0"}</definedName>
    <definedName name="_3537__FDSAUDITLINK__">{"fdsup://directions/FAT Viewer?action=UPDATE&amp;creator=factset&amp;DYN_ARGS=TRUE&amp;DOC_NAME=FAT:FQL_AUDITING_CLIENT_TEMPLATE.FAT&amp;display_string=Audit&amp;VAR:KEY=YFQTKLCVAD&amp;VAR:QUERY=KFBfUFJJQ0UoMzk4MzEpLShGRl9DQVNIX1NUKFFUUiwzOTgzMSkvUF9DT01fU0hTX09VVCgzOTgzMSkpKS9GR","V9FU1RJTUFURSgnRVBTJywnTUVBTicsJ0FOTlVBTF9ST0xMJywnKzEnLDM5ODMxLCwsJycp&amp;WINDOW=FIRST_POPUP&amp;HEIGHT=450&amp;WIDTH=450&amp;START_MAXIMIZED=FALSE&amp;VAR:CALENDAR=US&amp;VAR:SYMBOL=38259P50&amp;VAR:INDEX=0"}</definedName>
    <definedName name="_3538__FDSAUDITLINK__">{"fdsup://directions/FAT Viewer?action=UPDATE&amp;creator=factset&amp;DYN_ARGS=TRUE&amp;DOC_NAME=FAT:FQL_AUDITING_CLIENT_TEMPLATE.FAT&amp;display_string=Audit&amp;VAR:KEY=YFQTKLCVAD&amp;VAR:QUERY=KFBfUFJJQ0UoMzk4MzEpLShGRl9DQVNIX1NUKFFUUiwzOTgzMSkvUF9DT01fU0hTX09VVCgzOTgzMSkpKS9GR","V9FU1RJTUFURSgnRVBTJywnTUVBTicsJ0FOTlVBTF9ST0xMJywnKzEnLDM5ODMxLCwsJycp&amp;WINDOW=FIRST_POPUP&amp;HEIGHT=450&amp;WIDTH=450&amp;START_MAXIMIZED=FALSE&amp;VAR:CALENDAR=US&amp;VAR:SYMBOL=38259P50&amp;VAR:INDEX=0"}</definedName>
    <definedName name="_3539__FDSAUDITLINK__">{"fdsup://directions/FAT Viewer?action=UPDATE&amp;creator=factset&amp;DYN_ARGS=TRUE&amp;DOC_NAME=FAT:FQL_AUDITING_CLIENT_TEMPLATE.FAT&amp;display_string=Audit&amp;VAR:KEY=WBEPUDCTIV&amp;VAR:QUERY=KFBfUFJJQ0UoMzk4MzApLShGRl9DQVNIX1NUKFFUUiwzOTgzMCkvUF9DT01fU0hTX09VVCgzOTgzMCkpKS9GR","V9FU1RJTUFURSgnRVBTJywnTUVBTicsJ0FOTlVBTF9ST0xMJywnKzEnLDM5ODMwLCwsJycp&amp;WINDOW=FIRST_POPUP&amp;HEIGHT=450&amp;WIDTH=450&amp;START_MAXIMIZED=FALSE&amp;VAR:CALENDAR=US&amp;VAR:SYMBOL=38259P50&amp;VAR:INDEX=0"}</definedName>
    <definedName name="_35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175"}</definedName>
    <definedName name="_3540__FDSAUDITLINK__">{"fdsup://directions/FAT Viewer?action=UPDATE&amp;creator=factset&amp;DYN_ARGS=TRUE&amp;DOC_NAME=FAT:FQL_AUDITING_CLIENT_TEMPLATE.FAT&amp;display_string=Audit&amp;VAR:KEY=WBEPUDCTIV&amp;VAR:QUERY=KFBfUFJJQ0UoMzk4MzApLShGRl9DQVNIX1NUKFFUUiwzOTgzMCkvUF9DT01fU0hTX09VVCgzOTgzMCkpKS9GR","V9FU1RJTUFURSgnRVBTJywnTUVBTicsJ0FOTlVBTF9ST0xMJywnKzEnLDM5ODMwLCwsJycp&amp;WINDOW=FIRST_POPUP&amp;HEIGHT=450&amp;WIDTH=450&amp;START_MAXIMIZED=FALSE&amp;VAR:CALENDAR=US&amp;VAR:SYMBOL=38259P50&amp;VAR:INDEX=0"}</definedName>
    <definedName name="_3541__FDSAUDITLINK__">{"fdsup://directions/FAT Viewer?action=UPDATE&amp;creator=factset&amp;DYN_ARGS=TRUE&amp;DOC_NAME=FAT:FQL_AUDITING_CLIENT_TEMPLATE.FAT&amp;display_string=Audit&amp;VAR:KEY=SPQRIZQXMZ&amp;VAR:QUERY=KFBfUFJJQ0UoMzk4MjkpLShGRl9DQVNIX1NUKFFUUiwzOTgyOSkvUF9DT01fU0hTX09VVCgzOTgyOSkpKS9GR","V9FU1RJTUFURSgnRVBTJywnTUVBTicsJ0FOTlVBTF9ST0xMJywnKzEnLDM5ODI5LCwsJycp&amp;WINDOW=FIRST_POPUP&amp;HEIGHT=450&amp;WIDTH=450&amp;START_MAXIMIZED=FALSE&amp;VAR:CALENDAR=US&amp;VAR:SYMBOL=38259P50&amp;VAR:INDEX=0"}</definedName>
    <definedName name="_3542__FDSAUDITLINK__">{"fdsup://directions/FAT Viewer?action=UPDATE&amp;creator=factset&amp;DYN_ARGS=TRUE&amp;DOC_NAME=FAT:FQL_AUDITING_CLIENT_TEMPLATE.FAT&amp;display_string=Audit&amp;VAR:KEY=SPQRIZQXMZ&amp;VAR:QUERY=KFBfUFJJQ0UoMzk4MjkpLShGRl9DQVNIX1NUKFFUUiwzOTgyOSkvUF9DT01fU0hTX09VVCgzOTgyOSkpKS9GR","V9FU1RJTUFURSgnRVBTJywnTUVBTicsJ0FOTlVBTF9ST0xMJywnKzEnLDM5ODI5LCwsJycp&amp;WINDOW=FIRST_POPUP&amp;HEIGHT=450&amp;WIDTH=450&amp;START_MAXIMIZED=FALSE&amp;VAR:CALENDAR=US&amp;VAR:SYMBOL=38259P50&amp;VAR:INDEX=0"}</definedName>
    <definedName name="_3543__FDSAUDITLINK__">{"fdsup://directions/FAT Viewer?action=UPDATE&amp;creator=factset&amp;DYN_ARGS=TRUE&amp;DOC_NAME=FAT:FQL_AUDITING_CLIENT_TEMPLATE.FAT&amp;display_string=Audit&amp;VAR:KEY=UVANEZMHWB&amp;VAR:QUERY=KFBfUFJJQ0UoMzk4MjgpLShGRl9DQVNIX1NUKFFUUiwzOTgyOCkvUF9DT01fU0hTX09VVCgzOTgyOCkpKS9GR","V9FU1RJTUFURSgnRVBTJywnTUVBTicsJ0FOTlVBTF9ST0xMJywnKzEnLDM5ODI4LCwsJycp&amp;WINDOW=FIRST_POPUP&amp;HEIGHT=450&amp;WIDTH=450&amp;START_MAXIMIZED=FALSE&amp;VAR:CALENDAR=US&amp;VAR:SYMBOL=38259P50&amp;VAR:INDEX=0"}</definedName>
    <definedName name="_3544__FDSAUDITLINK__">{"fdsup://directions/FAT Viewer?action=UPDATE&amp;creator=factset&amp;DYN_ARGS=TRUE&amp;DOC_NAME=FAT:FQL_AUDITING_CLIENT_TEMPLATE.FAT&amp;display_string=Audit&amp;VAR:KEY=UVANEZMHWB&amp;VAR:QUERY=KFBfUFJJQ0UoMzk4MjgpLShGRl9DQVNIX1NUKFFUUiwzOTgyOCkvUF9DT01fU0hTX09VVCgzOTgyOCkpKS9GR","V9FU1RJTUFURSgnRVBTJywnTUVBTicsJ0FOTlVBTF9ST0xMJywnKzEnLDM5ODI4LCwsJycp&amp;WINDOW=FIRST_POPUP&amp;HEIGHT=450&amp;WIDTH=450&amp;START_MAXIMIZED=FALSE&amp;VAR:CALENDAR=US&amp;VAR:SYMBOL=38259P50&amp;VAR:INDEX=0"}</definedName>
    <definedName name="_3545__FDSAUDITLINK__">{"fdsup://directions/FAT Viewer?action=UPDATE&amp;creator=factset&amp;DYN_ARGS=TRUE&amp;DOC_NAME=FAT:FQL_AUDITING_CLIENT_TEMPLATE.FAT&amp;display_string=Audit&amp;VAR:KEY=OBCBKRCZOP&amp;VAR:QUERY=KFBfUFJJQ0UoMzk4MjcpLShGRl9DQVNIX1NUKFFUUiwzOTgyNykvUF9DT01fU0hTX09VVCgzOTgyNykpKS9GR","V9FU1RJTUFURSgnRVBTJywnTUVBTicsJ0FOTlVBTF9ST0xMJywnKzEnLDM5ODI3LCwsJycp&amp;WINDOW=FIRST_POPUP&amp;HEIGHT=450&amp;WIDTH=450&amp;START_MAXIMIZED=FALSE&amp;VAR:CALENDAR=US&amp;VAR:SYMBOL=38259P50&amp;VAR:INDEX=0"}</definedName>
    <definedName name="_3546__FDSAUDITLINK__">{"fdsup://directions/FAT Viewer?action=UPDATE&amp;creator=factset&amp;DYN_ARGS=TRUE&amp;DOC_NAME=FAT:FQL_AUDITING_CLIENT_TEMPLATE.FAT&amp;display_string=Audit&amp;VAR:KEY=OBCBKRCZOP&amp;VAR:QUERY=KFBfUFJJQ0UoMzk4MjcpLShGRl9DQVNIX1NUKFFUUiwzOTgyNykvUF9DT01fU0hTX09VVCgzOTgyNykpKS9GR","V9FU1RJTUFURSgnRVBTJywnTUVBTicsJ0FOTlVBTF9ST0xMJywnKzEnLDM5ODI3LCwsJycp&amp;WINDOW=FIRST_POPUP&amp;HEIGHT=450&amp;WIDTH=450&amp;START_MAXIMIZED=FALSE&amp;VAR:CALENDAR=US&amp;VAR:SYMBOL=38259P50&amp;VAR:INDEX=0"}</definedName>
    <definedName name="_3547__FDSAUDITLINK__">{"fdsup://directions/FAT Viewer?action=UPDATE&amp;creator=factset&amp;DYN_ARGS=TRUE&amp;DOC_NAME=FAT:FQL_AUDITING_CLIENT_TEMPLATE.FAT&amp;display_string=Audit&amp;VAR:KEY=AHCXWXAFWV&amp;VAR:QUERY=KFBfUFJJQ0UoMzk4MjYpLShGRl9DQVNIX1NUKFFUUiwzOTgyNikvUF9DT01fU0hTX09VVCgzOTgyNikpKS9GR","V9FU1RJTUFURSgnRVBTJywnTUVBTicsJ0FOTlVBTF9ST0xMJywnKzEnLDM5ODI2LCwsJycp&amp;WINDOW=FIRST_POPUP&amp;HEIGHT=450&amp;WIDTH=450&amp;START_MAXIMIZED=FALSE&amp;VAR:CALENDAR=US&amp;VAR:SYMBOL=38259P50&amp;VAR:INDEX=0"}</definedName>
    <definedName name="_3548__FDSAUDITLINK__">{"fdsup://directions/FAT Viewer?action=UPDATE&amp;creator=factset&amp;DYN_ARGS=TRUE&amp;DOC_NAME=FAT:FQL_AUDITING_CLIENT_TEMPLATE.FAT&amp;display_string=Audit&amp;VAR:KEY=AHCXWXAFWV&amp;VAR:QUERY=KFBfUFJJQ0UoMzk4MjYpLShGRl9DQVNIX1NUKFFUUiwzOTgyNikvUF9DT01fU0hTX09VVCgzOTgyNikpKS9GR","V9FU1RJTUFURSgnRVBTJywnTUVBTicsJ0FOTlVBTF9ST0xMJywnKzEnLDM5ODI2LCwsJycp&amp;WINDOW=FIRST_POPUP&amp;HEIGHT=450&amp;WIDTH=450&amp;START_MAXIMIZED=FALSE&amp;VAR:CALENDAR=US&amp;VAR:SYMBOL=38259P50&amp;VAR:INDEX=0"}</definedName>
    <definedName name="_3549__FDSAUDITLINK__">{"fdsup://directions/FAT Viewer?action=UPDATE&amp;creator=factset&amp;DYN_ARGS=TRUE&amp;DOC_NAME=FAT:FQL_AUDITING_CLIENT_TEMPLATE.FAT&amp;display_string=Audit&amp;VAR:KEY=CZMZYZQBAL&amp;VAR:QUERY=KFBfUFJJQ0UoMzk4MjUpLShGRl9DQVNIX1NUKFFUUiwzOTgyNSkvUF9DT01fU0hTX09VVCgzOTgyNSkpKS9GR","V9FU1RJTUFURSgnRVBTJywnTUVBTicsJ0FOTlVBTF9ST0xMJywnKzEnLDM5ODI1LCwsJycp&amp;WINDOW=FIRST_POPUP&amp;HEIGHT=450&amp;WIDTH=450&amp;START_MAXIMIZED=FALSE&amp;VAR:CALENDAR=US&amp;VAR:SYMBOL=38259P50&amp;VAR:INDEX=0"}</definedName>
    <definedName name="_35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174"}</definedName>
    <definedName name="_3550__FDSAUDITLINK__">{"fdsup://directions/FAT Viewer?action=UPDATE&amp;creator=factset&amp;DYN_ARGS=TRUE&amp;DOC_NAME=FAT:FQL_AUDITING_CLIENT_TEMPLATE.FAT&amp;display_string=Audit&amp;VAR:KEY=CZMZYZQBAL&amp;VAR:QUERY=KFBfUFJJQ0UoMzk4MjUpLShGRl9DQVNIX1NUKFFUUiwzOTgyNSkvUF9DT01fU0hTX09VVCgzOTgyNSkpKS9GR","V9FU1RJTUFURSgnRVBTJywnTUVBTicsJ0FOTlVBTF9ST0xMJywnKzEnLDM5ODI1LCwsJycp&amp;WINDOW=FIRST_POPUP&amp;HEIGHT=450&amp;WIDTH=450&amp;START_MAXIMIZED=FALSE&amp;VAR:CALENDAR=US&amp;VAR:SYMBOL=38259P50&amp;VAR:INDEX=0"}</definedName>
    <definedName name="_3551__FDSAUDITLINK__">{"fdsup://directions/FAT Viewer?action=UPDATE&amp;creator=factset&amp;DYN_ARGS=TRUE&amp;DOC_NAME=FAT:FQL_AUDITING_CLIENT_TEMPLATE.FAT&amp;display_string=Audit&amp;VAR:KEY=QPIPGLADCN&amp;VAR:QUERY=KFBfUFJJQ0UoMzk4MjQpLShGRl9DQVNIX1NUKFFUUiwzOTgyNCkvUF9DT01fU0hTX09VVCgzOTgyNCkpKS9GR","V9FU1RJTUFURSgnRVBTJywnTUVBTicsJ0FOTlVBTF9ST0xMJywnKzEnLDM5ODI0LCwsJycp&amp;WINDOW=FIRST_POPUP&amp;HEIGHT=450&amp;WIDTH=450&amp;START_MAXIMIZED=FALSE&amp;VAR:CALENDAR=US&amp;VAR:SYMBOL=38259P50&amp;VAR:INDEX=0"}</definedName>
    <definedName name="_3552__FDSAUDITLINK__">{"fdsup://directions/FAT Viewer?action=UPDATE&amp;creator=factset&amp;DYN_ARGS=TRUE&amp;DOC_NAME=FAT:FQL_AUDITING_CLIENT_TEMPLATE.FAT&amp;display_string=Audit&amp;VAR:KEY=QPIPGLADCN&amp;VAR:QUERY=KFBfUFJJQ0UoMzk4MjQpLShGRl9DQVNIX1NUKFFUUiwzOTgyNCkvUF9DT01fU0hTX09VVCgzOTgyNCkpKS9GR","V9FU1RJTUFURSgnRVBTJywnTUVBTicsJ0FOTlVBTF9ST0xMJywnKzEnLDM5ODI0LCwsJycp&amp;WINDOW=FIRST_POPUP&amp;HEIGHT=450&amp;WIDTH=450&amp;START_MAXIMIZED=FALSE&amp;VAR:CALENDAR=US&amp;VAR:SYMBOL=38259P50&amp;VAR:INDEX=0"}</definedName>
    <definedName name="_3553__FDSAUDITLINK__">{"fdsup://directions/FAT Viewer?action=UPDATE&amp;creator=factset&amp;DYN_ARGS=TRUE&amp;DOC_NAME=FAT:FQL_AUDITING_CLIENT_TEMPLATE.FAT&amp;display_string=Audit&amp;VAR:KEY=MDSXKZGFKR&amp;VAR:QUERY=KFBfUFJJQ0UoMzk4MjMpLShGRl9DQVNIX1NUKFFUUiwzOTgyMykvUF9DT01fU0hTX09VVCgzOTgyMykpKS9GR","V9FU1RJTUFURSgnRVBTJywnTUVBTicsJ0FOTlVBTF9ST0xMJywnKzEnLDM5ODIzLCwsJycp&amp;WINDOW=FIRST_POPUP&amp;HEIGHT=450&amp;WIDTH=450&amp;START_MAXIMIZED=FALSE&amp;VAR:CALENDAR=US&amp;VAR:SYMBOL=38259P50&amp;VAR:INDEX=0"}</definedName>
    <definedName name="_3554__FDSAUDITLINK__">{"fdsup://directions/FAT Viewer?action=UPDATE&amp;creator=factset&amp;DYN_ARGS=TRUE&amp;DOC_NAME=FAT:FQL_AUDITING_CLIENT_TEMPLATE.FAT&amp;display_string=Audit&amp;VAR:KEY=MDSXKZGFKR&amp;VAR:QUERY=KFBfUFJJQ0UoMzk4MjMpLShGRl9DQVNIX1NUKFFUUiwzOTgyMykvUF9DT01fU0hTX09VVCgzOTgyMykpKS9GR","V9FU1RJTUFURSgnRVBTJywnTUVBTicsJ0FOTlVBTF9ST0xMJywnKzEnLDM5ODIzLCwsJycp&amp;WINDOW=FIRST_POPUP&amp;HEIGHT=450&amp;WIDTH=450&amp;START_MAXIMIZED=FALSE&amp;VAR:CALENDAR=US&amp;VAR:SYMBOL=38259P50&amp;VAR:INDEX=0"}</definedName>
    <definedName name="_3555__FDSAUDITLINK__">{"fdsup://directions/FAT Viewer?action=UPDATE&amp;creator=factset&amp;DYN_ARGS=TRUE&amp;DOC_NAME=FAT:FQL_AUDITING_CLIENT_TEMPLATE.FAT&amp;display_string=Audit&amp;VAR:KEY=CFSLWJEXOR&amp;VAR:QUERY=KFBfUFJJQ0UoMzk4MjIpLShGRl9DQVNIX1NUKFFUUiwzOTgyMikvUF9DT01fU0hTX09VVCgzOTgyMikpKS9GR","V9FU1RJTUFURSgnRVBTJywnTUVBTicsJ0FOTlVBTF9ST0xMJywnKzEnLDM5ODIyLCwsJycp&amp;WINDOW=FIRST_POPUP&amp;HEIGHT=450&amp;WIDTH=450&amp;START_MAXIMIZED=FALSE&amp;VAR:CALENDAR=US&amp;VAR:SYMBOL=38259P50&amp;VAR:INDEX=0"}</definedName>
    <definedName name="_3556__FDSAUDITLINK__">{"fdsup://directions/FAT Viewer?action=UPDATE&amp;creator=factset&amp;DYN_ARGS=TRUE&amp;DOC_NAME=FAT:FQL_AUDITING_CLIENT_TEMPLATE.FAT&amp;display_string=Audit&amp;VAR:KEY=CFSLWJEXOR&amp;VAR:QUERY=KFBfUFJJQ0UoMzk4MjIpLShGRl9DQVNIX1NUKFFUUiwzOTgyMikvUF9DT01fU0hTX09VVCgzOTgyMikpKS9GR","V9FU1RJTUFURSgnRVBTJywnTUVBTicsJ0FOTlVBTF9ST0xMJywnKzEnLDM5ODIyLCwsJycp&amp;WINDOW=FIRST_POPUP&amp;HEIGHT=450&amp;WIDTH=450&amp;START_MAXIMIZED=FALSE&amp;VAR:CALENDAR=US&amp;VAR:SYMBOL=38259P50&amp;VAR:INDEX=0"}</definedName>
    <definedName name="_3557__FDSAUDITLINK__">{"fdsup://directions/FAT Viewer?action=UPDATE&amp;creator=factset&amp;DYN_ARGS=TRUE&amp;DOC_NAME=FAT:FQL_AUDITING_CLIENT_TEMPLATE.FAT&amp;display_string=Audit&amp;VAR:KEY=WLUNUJOVUR&amp;VAR:QUERY=KFBfUFJJQ0UoMzk4MjEpLShGRl9DQVNIX1NUKFFUUiwzOTgyMSkvUF9DT01fU0hTX09VVCgzOTgyMSkpKS9GR","V9FU1RJTUFURSgnRVBTJywnTUVBTicsJ0FOTlVBTF9ST0xMJywnKzEnLDM5ODIxLCwsJycp&amp;WINDOW=FIRST_POPUP&amp;HEIGHT=450&amp;WIDTH=450&amp;START_MAXIMIZED=FALSE&amp;VAR:CALENDAR=US&amp;VAR:SYMBOL=38259P50&amp;VAR:INDEX=0"}</definedName>
    <definedName name="_3558__FDSAUDITLINK__">{"fdsup://directions/FAT Viewer?action=UPDATE&amp;creator=factset&amp;DYN_ARGS=TRUE&amp;DOC_NAME=FAT:FQL_AUDITING_CLIENT_TEMPLATE.FAT&amp;display_string=Audit&amp;VAR:KEY=WLUNUJOVUR&amp;VAR:QUERY=KFBfUFJJQ0UoMzk4MjEpLShGRl9DQVNIX1NUKFFUUiwzOTgyMSkvUF9DT01fU0hTX09VVCgzOTgyMSkpKS9GR","V9FU1RJTUFURSgnRVBTJywnTUVBTicsJ0FOTlVBTF9ST0xMJywnKzEnLDM5ODIxLCwsJycp&amp;WINDOW=FIRST_POPUP&amp;HEIGHT=450&amp;WIDTH=450&amp;START_MAXIMIZED=FALSE&amp;VAR:CALENDAR=US&amp;VAR:SYMBOL=38259P50&amp;VAR:INDEX=0"}</definedName>
    <definedName name="_3559__FDSAUDITLINK__">{"fdsup://directions/FAT Viewer?action=UPDATE&amp;creator=factset&amp;DYN_ARGS=TRUE&amp;DOC_NAME=FAT:FQL_AUDITING_CLIENT_TEMPLATE.FAT&amp;display_string=Audit&amp;VAR:KEY=SRGPMLKLQF&amp;VAR:QUERY=KFBfUFJJQ0UoMzk4MjApLShGRl9DQVNIX1NUKFFUUiwzOTgyMCkvUF9DT01fU0hTX09VVCgzOTgyMCkpKS9GR","V9FU1RJTUFURSgnRVBTJywnTUVBTicsJ0FOTlVBTF9ST0xMJywnKzEnLDM5ODIwLCwsJycp&amp;WINDOW=FIRST_POPUP&amp;HEIGHT=450&amp;WIDTH=450&amp;START_MAXIMIZED=FALSE&amp;VAR:CALENDAR=US&amp;VAR:SYMBOL=38259P50&amp;VAR:INDEX=0"}</definedName>
    <definedName name="_35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173"}</definedName>
    <definedName name="_3560__FDSAUDITLINK__">{"fdsup://directions/FAT Viewer?action=UPDATE&amp;creator=factset&amp;DYN_ARGS=TRUE&amp;DOC_NAME=FAT:FQL_AUDITING_CLIENT_TEMPLATE.FAT&amp;display_string=Audit&amp;VAR:KEY=SRGPMLKLQF&amp;VAR:QUERY=KFBfUFJJQ0UoMzk4MjApLShGRl9DQVNIX1NUKFFUUiwzOTgyMCkvUF9DT01fU0hTX09VVCgzOTgyMCkpKS9GR","V9FU1RJTUFURSgnRVBTJywnTUVBTicsJ0FOTlVBTF9ST0xMJywnKzEnLDM5ODIwLCwsJycp&amp;WINDOW=FIRST_POPUP&amp;HEIGHT=450&amp;WIDTH=450&amp;START_MAXIMIZED=FALSE&amp;VAR:CALENDAR=US&amp;VAR:SYMBOL=38259P50&amp;VAR:INDEX=0"}</definedName>
    <definedName name="_3561__FDSAUDITLINK__">{"fdsup://directions/FAT Viewer?action=UPDATE&amp;creator=factset&amp;DYN_ARGS=TRUE&amp;DOC_NAME=FAT:FQL_AUDITING_CLIENT_TEMPLATE.FAT&amp;display_string=Audit&amp;VAR:KEY=GVINGFCTSJ&amp;VAR:QUERY=KFBfUFJJQ0UoMzk4MTkpLShGRl9DQVNIX1NUKFFUUiwzOTgxOSkvUF9DT01fU0hTX09VVCgzOTgxOSkpKS9GR","V9FU1RJTUFURSgnRVBTJywnTUVBTicsJ0FOTlVBTF9ST0xMJywnKzEnLDM5ODE5LCwsJycp&amp;WINDOW=FIRST_POPUP&amp;HEIGHT=450&amp;WIDTH=450&amp;START_MAXIMIZED=FALSE&amp;VAR:CALENDAR=US&amp;VAR:SYMBOL=38259P50&amp;VAR:INDEX=0"}</definedName>
    <definedName name="_3562__FDSAUDITLINK__">{"fdsup://directions/FAT Viewer?action=UPDATE&amp;creator=factset&amp;DYN_ARGS=TRUE&amp;DOC_NAME=FAT:FQL_AUDITING_CLIENT_TEMPLATE.FAT&amp;display_string=Audit&amp;VAR:KEY=GVINGFCTSJ&amp;VAR:QUERY=KFBfUFJJQ0UoMzk4MTkpLShGRl9DQVNIX1NUKFFUUiwzOTgxOSkvUF9DT01fU0hTX09VVCgzOTgxOSkpKS9GR","V9FU1RJTUFURSgnRVBTJywnTUVBTicsJ0FOTlVBTF9ST0xMJywnKzEnLDM5ODE5LCwsJycp&amp;WINDOW=FIRST_POPUP&amp;HEIGHT=450&amp;WIDTH=450&amp;START_MAXIMIZED=FALSE&amp;VAR:CALENDAR=US&amp;VAR:SYMBOL=38259P50&amp;VAR:INDEX=0"}</definedName>
    <definedName name="_3563__FDSAUDITLINK__">{"fdsup://directions/FAT Viewer?action=UPDATE&amp;creator=factset&amp;DYN_ARGS=TRUE&amp;DOC_NAME=FAT:FQL_AUDITING_CLIENT_TEMPLATE.FAT&amp;display_string=Audit&amp;VAR:KEY=EXINKLODSV&amp;VAR:QUERY=KFBfUFJJQ0UoMzk4MTgpLShGRl9DQVNIX1NUKFFUUiwzOTgxOCkvUF9DT01fU0hTX09VVCgzOTgxOCkpKS9GR","V9FU1RJTUFURSgnRVBTJywnTUVBTicsJ0FOTlVBTF9ST0xMJywnKzEnLDM5ODE4LCwsJycp&amp;WINDOW=FIRST_POPUP&amp;HEIGHT=450&amp;WIDTH=450&amp;START_MAXIMIZED=FALSE&amp;VAR:CALENDAR=US&amp;VAR:SYMBOL=38259P50&amp;VAR:INDEX=0"}</definedName>
    <definedName name="_3564__FDSAUDITLINK__">{"fdsup://directions/FAT Viewer?action=UPDATE&amp;creator=factset&amp;DYN_ARGS=TRUE&amp;DOC_NAME=FAT:FQL_AUDITING_CLIENT_TEMPLATE.FAT&amp;display_string=Audit&amp;VAR:KEY=EXINKLODSV&amp;VAR:QUERY=KFBfUFJJQ0UoMzk4MTgpLShGRl9DQVNIX1NUKFFUUiwzOTgxOCkvUF9DT01fU0hTX09VVCgzOTgxOCkpKS9GR","V9FU1RJTUFURSgnRVBTJywnTUVBTicsJ0FOTlVBTF9ST0xMJywnKzEnLDM5ODE4LCwsJycp&amp;WINDOW=FIRST_POPUP&amp;HEIGHT=450&amp;WIDTH=450&amp;START_MAXIMIZED=FALSE&amp;VAR:CALENDAR=US&amp;VAR:SYMBOL=38259P50&amp;VAR:INDEX=0"}</definedName>
    <definedName name="_3565__FDSAUDITLINK__">{"fdsup://directions/FAT Viewer?action=UPDATE&amp;creator=factset&amp;DYN_ARGS=TRUE&amp;DOC_NAME=FAT:FQL_AUDITING_CLIENT_TEMPLATE.FAT&amp;display_string=Audit&amp;VAR:KEY=SPOHEZKZUH&amp;VAR:QUERY=KFBfUFJJQ0UoMzk4MTcpLShGRl9DQVNIX1NUKFFUUiwzOTgxNykvUF9DT01fU0hTX09VVCgzOTgxNykpKS9GR","V9FU1RJTUFURSgnRVBTJywnTUVBTicsJ0FOTlVBTF9ST0xMJywnKzEnLDM5ODE3LCwsJycp&amp;WINDOW=FIRST_POPUP&amp;HEIGHT=450&amp;WIDTH=450&amp;START_MAXIMIZED=FALSE&amp;VAR:CALENDAR=US&amp;VAR:SYMBOL=38259P50&amp;VAR:INDEX=0"}</definedName>
    <definedName name="_3566__FDSAUDITLINK__">{"fdsup://directions/FAT Viewer?action=UPDATE&amp;creator=factset&amp;DYN_ARGS=TRUE&amp;DOC_NAME=FAT:FQL_AUDITING_CLIENT_TEMPLATE.FAT&amp;display_string=Audit&amp;VAR:KEY=SPOHEZKZUH&amp;VAR:QUERY=KFBfUFJJQ0UoMzk4MTcpLShGRl9DQVNIX1NUKFFUUiwzOTgxNykvUF9DT01fU0hTX09VVCgzOTgxNykpKS9GR","V9FU1RJTUFURSgnRVBTJywnTUVBTicsJ0FOTlVBTF9ST0xMJywnKzEnLDM5ODE3LCwsJycp&amp;WINDOW=FIRST_POPUP&amp;HEIGHT=450&amp;WIDTH=450&amp;START_MAXIMIZED=FALSE&amp;VAR:CALENDAR=US&amp;VAR:SYMBOL=38259P50&amp;VAR:INDEX=0"}</definedName>
    <definedName name="_3567__FDSAUDITLINK__">{"fdsup://directions/FAT Viewer?action=UPDATE&amp;creator=factset&amp;DYN_ARGS=TRUE&amp;DOC_NAME=FAT:FQL_AUDITING_CLIENT_TEMPLATE.FAT&amp;display_string=Audit&amp;VAR:KEY=IXYZOHYDGH&amp;VAR:QUERY=KFBfUFJJQ0UoMzk4MTYpLShGRl9DQVNIX1NUKFFUUiwzOTgxNikvUF9DT01fU0hTX09VVCgzOTgxNikpKS9GR","V9FU1RJTUFURSgnRVBTJywnTUVBTicsJ0FOTlVBTF9ST0xMJywnKzEnLDM5ODE2LCwsJycp&amp;WINDOW=FIRST_POPUP&amp;HEIGHT=450&amp;WIDTH=450&amp;START_MAXIMIZED=FALSE&amp;VAR:CALENDAR=US&amp;VAR:SYMBOL=38259P50&amp;VAR:INDEX=0"}</definedName>
    <definedName name="_3568__FDSAUDITLINK__">{"fdsup://directions/FAT Viewer?action=UPDATE&amp;creator=factset&amp;DYN_ARGS=TRUE&amp;DOC_NAME=FAT:FQL_AUDITING_CLIENT_TEMPLATE.FAT&amp;display_string=Audit&amp;VAR:KEY=IXYZOHYDGH&amp;VAR:QUERY=KFBfUFJJQ0UoMzk4MTYpLShGRl9DQVNIX1NUKFFUUiwzOTgxNikvUF9DT01fU0hTX09VVCgzOTgxNikpKS9GR","V9FU1RJTUFURSgnRVBTJywnTUVBTicsJ0FOTlVBTF9ST0xMJywnKzEnLDM5ODE2LCwsJycp&amp;WINDOW=FIRST_POPUP&amp;HEIGHT=450&amp;WIDTH=450&amp;START_MAXIMIZED=FALSE&amp;VAR:CALENDAR=US&amp;VAR:SYMBOL=38259P50&amp;VAR:INDEX=0"}</definedName>
    <definedName name="_3569__FDSAUDITLINK__">{"fdsup://directions/FAT Viewer?action=UPDATE&amp;creator=factset&amp;DYN_ARGS=TRUE&amp;DOC_NAME=FAT:FQL_AUDITING_CLIENT_TEMPLATE.FAT&amp;display_string=Audit&amp;VAR:KEY=WFIDKNMBGF&amp;VAR:QUERY=KFBfUFJJQ0UoMzk4MTUpLShGRl9DQVNIX1NUKFFUUiwzOTgxNSkvUF9DT01fU0hTX09VVCgzOTgxNSkpKS9GR","V9FU1RJTUFURSgnRVBTJywnTUVBTicsJ0FOTlVBTF9ST0xMJywnKzEnLDM5ODE1LCwsJycp&amp;WINDOW=FIRST_POPUP&amp;HEIGHT=450&amp;WIDTH=450&amp;START_MAXIMIZED=FALSE&amp;VAR:CALENDAR=US&amp;VAR:SYMBOL=38259P50&amp;VAR:INDEX=0"}</definedName>
    <definedName name="_35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172"}</definedName>
    <definedName name="_3570__FDSAUDITLINK__">{"fdsup://directions/FAT Viewer?action=UPDATE&amp;creator=factset&amp;DYN_ARGS=TRUE&amp;DOC_NAME=FAT:FQL_AUDITING_CLIENT_TEMPLATE.FAT&amp;display_string=Audit&amp;VAR:KEY=WFIDKNMBGF&amp;VAR:QUERY=KFBfUFJJQ0UoMzk4MTUpLShGRl9DQVNIX1NUKFFUUiwzOTgxNSkvUF9DT01fU0hTX09VVCgzOTgxNSkpKS9GR","V9FU1RJTUFURSgnRVBTJywnTUVBTicsJ0FOTlVBTF9ST0xMJywnKzEnLDM5ODE1LCwsJycp&amp;WINDOW=FIRST_POPUP&amp;HEIGHT=450&amp;WIDTH=450&amp;START_MAXIMIZED=FALSE&amp;VAR:CALENDAR=US&amp;VAR:SYMBOL=38259P50&amp;VAR:INDEX=0"}</definedName>
    <definedName name="_3571__FDSAUDITLINK__">{"fdsup://directions/FAT Viewer?action=UPDATE&amp;creator=factset&amp;DYN_ARGS=TRUE&amp;DOC_NAME=FAT:FQL_AUDITING_CLIENT_TEMPLATE.FAT&amp;display_string=Audit&amp;VAR:KEY=APQHQPATUH&amp;VAR:QUERY=KFBfUFJJQ0UoMzk4MTQpLShGRl9DQVNIX1NUKFFUUiwzOTgxNCkvUF9DT01fU0hTX09VVCgzOTgxNCkpKS9GR","V9FU1RJTUFURSgnRVBTJywnTUVBTicsJ0FOTlVBTF9ST0xMJywnKzEnLDM5ODE0LCwsJycp&amp;WINDOW=FIRST_POPUP&amp;HEIGHT=450&amp;WIDTH=450&amp;START_MAXIMIZED=FALSE&amp;VAR:CALENDAR=US&amp;VAR:SYMBOL=38259P50&amp;VAR:INDEX=0"}</definedName>
    <definedName name="_3572__FDSAUDITLINK__">{"fdsup://directions/FAT Viewer?action=UPDATE&amp;creator=factset&amp;DYN_ARGS=TRUE&amp;DOC_NAME=FAT:FQL_AUDITING_CLIENT_TEMPLATE.FAT&amp;display_string=Audit&amp;VAR:KEY=APQHQPATUH&amp;VAR:QUERY=KFBfUFJJQ0UoMzk4MTQpLShGRl9DQVNIX1NUKFFUUiwzOTgxNCkvUF9DT01fU0hTX09VVCgzOTgxNCkpKS9GR","V9FU1RJTUFURSgnRVBTJywnTUVBTicsJ0FOTlVBTF9ST0xMJywnKzEnLDM5ODE0LCwsJycp&amp;WINDOW=FIRST_POPUP&amp;HEIGHT=450&amp;WIDTH=450&amp;START_MAXIMIZED=FALSE&amp;VAR:CALENDAR=US&amp;VAR:SYMBOL=38259P50&amp;VAR:INDEX=0"}</definedName>
    <definedName name="_3573__FDSAUDITLINK__">{"fdsup://directions/FAT Viewer?action=UPDATE&amp;creator=factset&amp;DYN_ARGS=TRUE&amp;DOC_NAME=FAT:FQL_AUDITING_CLIENT_TEMPLATE.FAT&amp;display_string=Audit&amp;VAR:KEY=CZAZMFKROV&amp;VAR:QUERY=KFBfUFJJQ0UoMzk4MTMpLShGRl9DQVNIX1NUKFFUUiwzOTgxMykvUF9DT01fU0hTX09VVCgzOTgxMykpKS9GR","V9FU1RJTUFURSgnRVBTJywnTUVBTicsJ0FOTlVBTF9ST0xMJywnKzEnLDM5ODEzLCwsJycp&amp;WINDOW=FIRST_POPUP&amp;HEIGHT=450&amp;WIDTH=450&amp;START_MAXIMIZED=FALSE&amp;VAR:CALENDAR=US&amp;VAR:SYMBOL=38259P50&amp;VAR:INDEX=0"}</definedName>
    <definedName name="_3574__FDSAUDITLINK__">{"fdsup://directions/FAT Viewer?action=UPDATE&amp;creator=factset&amp;DYN_ARGS=TRUE&amp;DOC_NAME=FAT:FQL_AUDITING_CLIENT_TEMPLATE.FAT&amp;display_string=Audit&amp;VAR:KEY=CZAZMFKROV&amp;VAR:QUERY=KFBfUFJJQ0UoMzk4MTMpLShGRl9DQVNIX1NUKFFUUiwzOTgxMykvUF9DT01fU0hTX09VVCgzOTgxMykpKS9GR","V9FU1RJTUFURSgnRVBTJywnTUVBTicsJ0FOTlVBTF9ST0xMJywnKzEnLDM5ODEzLCwsJycp&amp;WINDOW=FIRST_POPUP&amp;HEIGHT=450&amp;WIDTH=450&amp;START_MAXIMIZED=FALSE&amp;VAR:CALENDAR=US&amp;VAR:SYMBOL=38259P50&amp;VAR:INDEX=0"}</definedName>
    <definedName name="_3575__FDSAUDITLINK__">{"fdsup://directions/FAT Viewer?action=UPDATE&amp;creator=factset&amp;DYN_ARGS=TRUE&amp;DOC_NAME=FAT:FQL_AUDITING_CLIENT_TEMPLATE.FAT&amp;display_string=Audit&amp;VAR:KEY=QTUTKPIFYJ&amp;VAR:QUERY=KFBfUFJJQ0UoMzk4MTIpLShGRl9DQVNIX1NUKFFUUiwzOTgxMikvUF9DT01fU0hTX09VVCgzOTgxMikpKS9GR","V9FU1RJTUFURSgnRVBTJywnTUVBTicsJ0FOTlVBTF9ST0xMJywnKzEnLDM5ODEyLCwsJycp&amp;WINDOW=FIRST_POPUP&amp;HEIGHT=450&amp;WIDTH=450&amp;START_MAXIMIZED=FALSE&amp;VAR:CALENDAR=US&amp;VAR:SYMBOL=38259P50&amp;VAR:INDEX=0"}</definedName>
    <definedName name="_3576__FDSAUDITLINK__">{"fdsup://directions/FAT Viewer?action=UPDATE&amp;creator=factset&amp;DYN_ARGS=TRUE&amp;DOC_NAME=FAT:FQL_AUDITING_CLIENT_TEMPLATE.FAT&amp;display_string=Audit&amp;VAR:KEY=QTUTKPIFYJ&amp;VAR:QUERY=KFBfUFJJQ0UoMzk4MTIpLShGRl9DQVNIX1NUKFFUUiwzOTgxMikvUF9DT01fU0hTX09VVCgzOTgxMikpKS9GR","V9FU1RJTUFURSgnRVBTJywnTUVBTicsJ0FOTlVBTF9ST0xMJywnKzEnLDM5ODEyLCwsJycp&amp;WINDOW=FIRST_POPUP&amp;HEIGHT=450&amp;WIDTH=450&amp;START_MAXIMIZED=FALSE&amp;VAR:CALENDAR=US&amp;VAR:SYMBOL=38259P50&amp;VAR:INDEX=0"}</definedName>
    <definedName name="_3577__FDSAUDITLINK__">{"fdsup://directions/FAT Viewer?action=UPDATE&amp;creator=factset&amp;DYN_ARGS=TRUE&amp;DOC_NAME=FAT:FQL_AUDITING_CLIENT_TEMPLATE.FAT&amp;display_string=Audit&amp;VAR:KEY=MJEVWVUJST&amp;VAR:QUERY=KFBfUFJJQ0UoMzk4MTEpLShGRl9DQVNIX1NUKFFUUiwzOTgxMSkvUF9DT01fU0hTX09VVCgzOTgxMSkpKS9GR","V9FU1RJTUFURSgnRVBTJywnTUVBTicsJ0FOTlVBTF9ST0xMJywnKzEnLDM5ODExLCwsJycp&amp;WINDOW=FIRST_POPUP&amp;HEIGHT=450&amp;WIDTH=450&amp;START_MAXIMIZED=FALSE&amp;VAR:CALENDAR=US&amp;VAR:SYMBOL=38259P50&amp;VAR:INDEX=0"}</definedName>
    <definedName name="_3578__FDSAUDITLINK__">{"fdsup://directions/FAT Viewer?action=UPDATE&amp;creator=factset&amp;DYN_ARGS=TRUE&amp;DOC_NAME=FAT:FQL_AUDITING_CLIENT_TEMPLATE.FAT&amp;display_string=Audit&amp;VAR:KEY=MJEVWVUJST&amp;VAR:QUERY=KFBfUFJJQ0UoMzk4MTEpLShGRl9DQVNIX1NUKFFUUiwzOTgxMSkvUF9DT01fU0hTX09VVCgzOTgxMSkpKS9GR","V9FU1RJTUFURSgnRVBTJywnTUVBTicsJ0FOTlVBTF9ST0xMJywnKzEnLDM5ODExLCwsJycp&amp;WINDOW=FIRST_POPUP&amp;HEIGHT=450&amp;WIDTH=450&amp;START_MAXIMIZED=FALSE&amp;VAR:CALENDAR=US&amp;VAR:SYMBOL=38259P50&amp;VAR:INDEX=0"}</definedName>
    <definedName name="_3579__FDSAUDITLINK__">{"fdsup://directions/FAT Viewer?action=UPDATE&amp;creator=factset&amp;DYN_ARGS=TRUE&amp;DOC_NAME=FAT:FQL_AUDITING_CLIENT_TEMPLATE.FAT&amp;display_string=Audit&amp;VAR:KEY=SZOHGJKHKP&amp;VAR:QUERY=KFBfUFJJQ0UoMzk4MTApLShGRl9DQVNIX1NUKFFUUiwzOTgxMCkvUF9DT01fU0hTX09VVCgzOTgxMCkpKS9GR","V9FU1RJTUFURSgnRVBTJywnTUVBTicsJ0FOTlVBTF9ST0xMJywnKzEnLDM5ODEwLCwsJycp&amp;WINDOW=FIRST_POPUP&amp;HEIGHT=450&amp;WIDTH=450&amp;START_MAXIMIZED=FALSE&amp;VAR:CALENDAR=US&amp;VAR:SYMBOL=38259P50&amp;VAR:INDEX=0"}</definedName>
    <definedName name="_35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171"}</definedName>
    <definedName name="_3580__FDSAUDITLINK__">{"fdsup://directions/FAT Viewer?action=UPDATE&amp;creator=factset&amp;DYN_ARGS=TRUE&amp;DOC_NAME=FAT:FQL_AUDITING_CLIENT_TEMPLATE.FAT&amp;display_string=Audit&amp;VAR:KEY=SZOHGJKHKP&amp;VAR:QUERY=KFBfUFJJQ0UoMzk4MTApLShGRl9DQVNIX1NUKFFUUiwzOTgxMCkvUF9DT01fU0hTX09VVCgzOTgxMCkpKS9GR","V9FU1RJTUFURSgnRVBTJywnTUVBTicsJ0FOTlVBTF9ST0xMJywnKzEnLDM5ODEwLCwsJycp&amp;WINDOW=FIRST_POPUP&amp;HEIGHT=450&amp;WIDTH=450&amp;START_MAXIMIZED=FALSE&amp;VAR:CALENDAR=US&amp;VAR:SYMBOL=38259P50&amp;VAR:INDEX=0"}</definedName>
    <definedName name="_3581__FDSAUDITLINK__">{"fdsup://directions/FAT Viewer?action=UPDATE&amp;creator=factset&amp;DYN_ARGS=TRUE&amp;DOC_NAME=FAT:FQL_AUDITING_CLIENT_TEMPLATE.FAT&amp;display_string=Audit&amp;VAR:KEY=KRALIPOTKD&amp;VAR:QUERY=KFBfUFJJQ0UoMzk4MDkpLShGRl9DQVNIX1NUKFFUUiwzOTgwOSkvUF9DT01fU0hTX09VVCgzOTgwOSkpKS9GR","V9FU1RJTUFURSgnRVBTJywnTUVBTicsJ0FOTlVBTF9ST0xMJywnKzEnLDM5ODA5LCwsJycp&amp;WINDOW=FIRST_POPUP&amp;HEIGHT=450&amp;WIDTH=450&amp;START_MAXIMIZED=FALSE&amp;VAR:CALENDAR=US&amp;VAR:SYMBOL=38259P50&amp;VAR:INDEX=0"}</definedName>
    <definedName name="_3582__FDSAUDITLINK__">{"fdsup://directions/FAT Viewer?action=UPDATE&amp;creator=factset&amp;DYN_ARGS=TRUE&amp;DOC_NAME=FAT:FQL_AUDITING_CLIENT_TEMPLATE.FAT&amp;display_string=Audit&amp;VAR:KEY=KRALIPOTKD&amp;VAR:QUERY=KFBfUFJJQ0UoMzk4MDkpLShGRl9DQVNIX1NUKFFUUiwzOTgwOSkvUF9DT01fU0hTX09VVCgzOTgwOSkpKS9GR","V9FU1RJTUFURSgnRVBTJywnTUVBTicsJ0FOTlVBTF9ST0xMJywnKzEnLDM5ODA5LCwsJycp&amp;WINDOW=FIRST_POPUP&amp;HEIGHT=450&amp;WIDTH=450&amp;START_MAXIMIZED=FALSE&amp;VAR:CALENDAR=US&amp;VAR:SYMBOL=38259P50&amp;VAR:INDEX=0"}</definedName>
    <definedName name="_3583__FDSAUDITLINK__">{"fdsup://directions/FAT Viewer?action=UPDATE&amp;creator=factset&amp;DYN_ARGS=TRUE&amp;DOC_NAME=FAT:FQL_AUDITING_CLIENT_TEMPLATE.FAT&amp;display_string=Audit&amp;VAR:KEY=WJGZCPCBWZ&amp;VAR:QUERY=KFBfUFJJQ0UoMzk4MDgpLShGRl9DQVNIX1NUKFFUUiwzOTgwOCkvUF9DT01fU0hTX09VVCgzOTgwOCkpKS9GR","V9FU1RJTUFURSgnRVBTJywnTUVBTicsJ0FOTlVBTF9ST0xMJywnKzEnLDM5ODA4LCwsJycp&amp;WINDOW=FIRST_POPUP&amp;HEIGHT=450&amp;WIDTH=450&amp;START_MAXIMIZED=FALSE&amp;VAR:CALENDAR=US&amp;VAR:SYMBOL=38259P50&amp;VAR:INDEX=0"}</definedName>
    <definedName name="_3584__FDSAUDITLINK__">{"fdsup://directions/FAT Viewer?action=UPDATE&amp;creator=factset&amp;DYN_ARGS=TRUE&amp;DOC_NAME=FAT:FQL_AUDITING_CLIENT_TEMPLATE.FAT&amp;display_string=Audit&amp;VAR:KEY=WJGZCPCBWZ&amp;VAR:QUERY=KFBfUFJJQ0UoMzk4MDgpLShGRl9DQVNIX1NUKFFUUiwzOTgwOCkvUF9DT01fU0hTX09VVCgzOTgwOCkpKS9GR","V9FU1RJTUFURSgnRVBTJywnTUVBTicsJ0FOTlVBTF9ST0xMJywnKzEnLDM5ODA4LCwsJycp&amp;WINDOW=FIRST_POPUP&amp;HEIGHT=450&amp;WIDTH=450&amp;START_MAXIMIZED=FALSE&amp;VAR:CALENDAR=US&amp;VAR:SYMBOL=38259P50&amp;VAR:INDEX=0"}</definedName>
    <definedName name="_3585__FDSAUDITLINK__">{"fdsup://directions/FAT Viewer?action=UPDATE&amp;creator=factset&amp;DYN_ARGS=TRUE&amp;DOC_NAME=FAT:FQL_AUDITING_CLIENT_TEMPLATE.FAT&amp;display_string=Audit&amp;VAR:KEY=WRINABOVWF&amp;VAR:QUERY=KFBfUFJJQ0UoMzk4MDcpLShGRl9DQVNIX1NUKFFUUiwzOTgwNykvUF9DT01fU0hTX09VVCgzOTgwNykpKS9GR","V9FU1RJTUFURSgnRVBTJywnTUVBTicsJ0FOTlVBTF9ST0xMJywnKzEnLDM5ODA3LCwsJycp&amp;WINDOW=FIRST_POPUP&amp;HEIGHT=450&amp;WIDTH=450&amp;START_MAXIMIZED=FALSE&amp;VAR:CALENDAR=US&amp;VAR:SYMBOL=38259P50&amp;VAR:INDEX=0"}</definedName>
    <definedName name="_3586__FDSAUDITLINK__">{"fdsup://directions/FAT Viewer?action=UPDATE&amp;creator=factset&amp;DYN_ARGS=TRUE&amp;DOC_NAME=FAT:FQL_AUDITING_CLIENT_TEMPLATE.FAT&amp;display_string=Audit&amp;VAR:KEY=WRINABOVWF&amp;VAR:QUERY=KFBfUFJJQ0UoMzk4MDcpLShGRl9DQVNIX1NUKFFUUiwzOTgwNykvUF9DT01fU0hTX09VVCgzOTgwNykpKS9GR","V9FU1RJTUFURSgnRVBTJywnTUVBTicsJ0FOTlVBTF9ST0xMJywnKzEnLDM5ODA3LCwsJycp&amp;WINDOW=FIRST_POPUP&amp;HEIGHT=450&amp;WIDTH=450&amp;START_MAXIMIZED=FALSE&amp;VAR:CALENDAR=US&amp;VAR:SYMBOL=38259P50&amp;VAR:INDEX=0"}</definedName>
    <definedName name="_3587__FDSAUDITLINK__">{"fdsup://directions/FAT Viewer?action=UPDATE&amp;creator=factset&amp;DYN_ARGS=TRUE&amp;DOC_NAME=FAT:FQL_AUDITING_CLIENT_TEMPLATE.FAT&amp;display_string=Audit&amp;VAR:KEY=QZKLUFATYV&amp;VAR:QUERY=KFBfUFJJQ0UoMzk4MDYpLShGRl9DQVNIX1NUKFFUUiwzOTgwNikvUF9DT01fU0hTX09VVCgzOTgwNikpKS9GR","V9FU1RJTUFURSgnRVBTJywnTUVBTicsJ0FOTlVBTF9ST0xMJywnKzEnLDM5ODA2LCwsJycp&amp;WINDOW=FIRST_POPUP&amp;HEIGHT=450&amp;WIDTH=450&amp;START_MAXIMIZED=FALSE&amp;VAR:CALENDAR=US&amp;VAR:SYMBOL=38259P50&amp;VAR:INDEX=0"}</definedName>
    <definedName name="_3588__FDSAUDITLINK__">{"fdsup://directions/FAT Viewer?action=UPDATE&amp;creator=factset&amp;DYN_ARGS=TRUE&amp;DOC_NAME=FAT:FQL_AUDITING_CLIENT_TEMPLATE.FAT&amp;display_string=Audit&amp;VAR:KEY=QZKLUFATYV&amp;VAR:QUERY=KFBfUFJJQ0UoMzk4MDYpLShGRl9DQVNIX1NUKFFUUiwzOTgwNikvUF9DT01fU0hTX09VVCgzOTgwNikpKS9GR","V9FU1RJTUFURSgnRVBTJywnTUVBTicsJ0FOTlVBTF9ST0xMJywnKzEnLDM5ODA2LCwsJycp&amp;WINDOW=FIRST_POPUP&amp;HEIGHT=450&amp;WIDTH=450&amp;START_MAXIMIZED=FALSE&amp;VAR:CALENDAR=US&amp;VAR:SYMBOL=38259P50&amp;VAR:INDEX=0"}</definedName>
    <definedName name="_3589__FDSAUDITLINK__">{"fdsup://directions/FAT Viewer?action=UPDATE&amp;creator=factset&amp;DYN_ARGS=TRUE&amp;DOC_NAME=FAT:FQL_AUDITING_CLIENT_TEMPLATE.FAT&amp;display_string=Audit&amp;VAR:KEY=ODKZQLINSV&amp;VAR:QUERY=KFBfUFJJQ0UoMzk4MDUpLShGRl9DQVNIX1NUKFFUUiwzOTgwNSkvUF9DT01fU0hTX09VVCgzOTgwNSkpKS9GR","V9FU1RJTUFURSgnRVBTJywnTUVBTicsJ0FOTlVBTF9ST0xMJywnKzEnLDM5ODA1LCwsJycp&amp;WINDOW=FIRST_POPUP&amp;HEIGHT=450&amp;WIDTH=450&amp;START_MAXIMIZED=FALSE&amp;VAR:CALENDAR=US&amp;VAR:SYMBOL=38259P50&amp;VAR:INDEX=0"}</definedName>
    <definedName name="_35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170"}</definedName>
    <definedName name="_3590__FDSAUDITLINK__">{"fdsup://directions/FAT Viewer?action=UPDATE&amp;creator=factset&amp;DYN_ARGS=TRUE&amp;DOC_NAME=FAT:FQL_AUDITING_CLIENT_TEMPLATE.FAT&amp;display_string=Audit&amp;VAR:KEY=ODKZQLINSV&amp;VAR:QUERY=KFBfUFJJQ0UoMzk4MDUpLShGRl9DQVNIX1NUKFFUUiwzOTgwNSkvUF9DT01fU0hTX09VVCgzOTgwNSkpKS9GR","V9FU1RJTUFURSgnRVBTJywnTUVBTicsJ0FOTlVBTF9ST0xMJywnKzEnLDM5ODA1LCwsJycp&amp;WINDOW=FIRST_POPUP&amp;HEIGHT=450&amp;WIDTH=450&amp;START_MAXIMIZED=FALSE&amp;VAR:CALENDAR=US&amp;VAR:SYMBOL=38259P50&amp;VAR:INDEX=0"}</definedName>
    <definedName name="_3591__FDSAUDITLINK__">{"fdsup://directions/FAT Viewer?action=UPDATE&amp;creator=factset&amp;DYN_ARGS=TRUE&amp;DOC_NAME=FAT:FQL_AUDITING_CLIENT_TEMPLATE.FAT&amp;display_string=Audit&amp;VAR:KEY=SBUBMRKVQL&amp;VAR:QUERY=KFBfUFJJQ0UoMzk4MDQpLShGRl9DQVNIX1NUKFFUUiwzOTgwNCkvUF9DT01fU0hTX09VVCgzOTgwNCkpKS9GR","V9FU1RJTUFURSgnRVBTJywnTUVBTicsJ0FOTlVBTF9ST0xMJywnKzEnLDM5ODA0LCwsJycp&amp;WINDOW=FIRST_POPUP&amp;HEIGHT=450&amp;WIDTH=450&amp;START_MAXIMIZED=FALSE&amp;VAR:CALENDAR=US&amp;VAR:SYMBOL=38259P50&amp;VAR:INDEX=0"}</definedName>
    <definedName name="_3592__FDSAUDITLINK__">{"fdsup://directions/FAT Viewer?action=UPDATE&amp;creator=factset&amp;DYN_ARGS=TRUE&amp;DOC_NAME=FAT:FQL_AUDITING_CLIENT_TEMPLATE.FAT&amp;display_string=Audit&amp;VAR:KEY=SBUBMRKVQL&amp;VAR:QUERY=KFBfUFJJQ0UoMzk4MDQpLShGRl9DQVNIX1NUKFFUUiwzOTgwNCkvUF9DT01fU0hTX09VVCgzOTgwNCkpKS9GR","V9FU1RJTUFURSgnRVBTJywnTUVBTicsJ0FOTlVBTF9ST0xMJywnKzEnLDM5ODA0LCwsJycp&amp;WINDOW=FIRST_POPUP&amp;HEIGHT=450&amp;WIDTH=450&amp;START_MAXIMIZED=FALSE&amp;VAR:CALENDAR=US&amp;VAR:SYMBOL=38259P50&amp;VAR:INDEX=0"}</definedName>
    <definedName name="_3593__FDSAUDITLINK__">{"fdsup://directions/FAT Viewer?action=UPDATE&amp;creator=factset&amp;DYN_ARGS=TRUE&amp;DOC_NAME=FAT:FQL_AUDITING_CLIENT_TEMPLATE.FAT&amp;display_string=Audit&amp;VAR:KEY=EJMBEJSVCL&amp;VAR:QUERY=KFBfUFJJQ0UoMzk4MDMpLShGRl9DQVNIX1NUKFFUUiwzOTgwMykvUF9DT01fU0hTX09VVCgzOTgwMykpKS9GR","V9FU1RJTUFURSgnRVBTJywnTUVBTicsJ0FOTlVBTF9ST0xMJywnKzEnLDM5ODAzLCwsJycp&amp;WINDOW=FIRST_POPUP&amp;HEIGHT=450&amp;WIDTH=450&amp;START_MAXIMIZED=FALSE&amp;VAR:CALENDAR=US&amp;VAR:SYMBOL=38259P50&amp;VAR:INDEX=0"}</definedName>
    <definedName name="_3594__FDSAUDITLINK__">{"fdsup://directions/FAT Viewer?action=UPDATE&amp;creator=factset&amp;DYN_ARGS=TRUE&amp;DOC_NAME=FAT:FQL_AUDITING_CLIENT_TEMPLATE.FAT&amp;display_string=Audit&amp;VAR:KEY=EJMBEJSVCL&amp;VAR:QUERY=KFBfUFJJQ0UoMzk4MDMpLShGRl9DQVNIX1NUKFFUUiwzOTgwMykvUF9DT01fU0hTX09VVCgzOTgwMykpKS9GR","V9FU1RJTUFURSgnRVBTJywnTUVBTicsJ0FOTlVBTF9ST0xMJywnKzEnLDM5ODAzLCwsJycp&amp;WINDOW=FIRST_POPUP&amp;HEIGHT=450&amp;WIDTH=450&amp;START_MAXIMIZED=FALSE&amp;VAR:CALENDAR=US&amp;VAR:SYMBOL=38259P50&amp;VAR:INDEX=0"}</definedName>
    <definedName name="_3595__FDSAUDITLINK__">{"fdsup://directions/FAT Viewer?action=UPDATE&amp;creator=factset&amp;DYN_ARGS=TRUE&amp;DOC_NAME=FAT:FQL_AUDITING_CLIENT_TEMPLATE.FAT&amp;display_string=Audit&amp;VAR:KEY=UZMTWHMXCJ&amp;VAR:QUERY=KFBfUFJJQ0UoMzk4MDIpLShGRl9DQVNIX1NUKFFUUiwzOTgwMikvUF9DT01fU0hTX09VVCgzOTgwMikpKS9GR","V9FU1RJTUFURSgnRVBTJywnTUVBTicsJ0FOTlVBTF9ST0xMJywnKzEnLDM5ODAyLCwsJycp&amp;WINDOW=FIRST_POPUP&amp;HEIGHT=450&amp;WIDTH=450&amp;START_MAXIMIZED=FALSE&amp;VAR:CALENDAR=US&amp;VAR:SYMBOL=38259P50&amp;VAR:INDEX=0"}</definedName>
    <definedName name="_3596__FDSAUDITLINK__">{"fdsup://directions/FAT Viewer?action=UPDATE&amp;creator=factset&amp;DYN_ARGS=TRUE&amp;DOC_NAME=FAT:FQL_AUDITING_CLIENT_TEMPLATE.FAT&amp;display_string=Audit&amp;VAR:KEY=UZMTWHMXCJ&amp;VAR:QUERY=KFBfUFJJQ0UoMzk4MDIpLShGRl9DQVNIX1NUKFFUUiwzOTgwMikvUF9DT01fU0hTX09VVCgzOTgwMikpKS9GR","V9FU1RJTUFURSgnRVBTJywnTUVBTicsJ0FOTlVBTF9ST0xMJywnKzEnLDM5ODAyLCwsJycp&amp;WINDOW=FIRST_POPUP&amp;HEIGHT=450&amp;WIDTH=450&amp;START_MAXIMIZED=FALSE&amp;VAR:CALENDAR=US&amp;VAR:SYMBOL=38259P50&amp;VAR:INDEX=0"}</definedName>
    <definedName name="_3597__FDSAUDITLINK__">{"fdsup://directions/FAT Viewer?action=UPDATE&amp;creator=factset&amp;DYN_ARGS=TRUE&amp;DOC_NAME=FAT:FQL_AUDITING_CLIENT_TEMPLATE.FAT&amp;display_string=Audit&amp;VAR:KEY=YDWHADILAV&amp;VAR:QUERY=KFBfUFJJQ0UoMzk4MDEpLShGRl9DQVNIX1NUKFFUUiwzOTgwMSkvUF9DT01fU0hTX09VVCgzOTgwMSkpKS9GR","V9FU1RJTUFURSgnRVBTJywnTUVBTicsJ0FOTlVBTF9ST0xMJywnKzEnLDM5ODAxLCwsJycp&amp;WINDOW=FIRST_POPUP&amp;HEIGHT=450&amp;WIDTH=450&amp;START_MAXIMIZED=FALSE&amp;VAR:CALENDAR=US&amp;VAR:SYMBOL=38259P50&amp;VAR:INDEX=0"}</definedName>
    <definedName name="_3598__FDSAUDITLINK__">{"fdsup://directions/FAT Viewer?action=UPDATE&amp;creator=factset&amp;DYN_ARGS=TRUE&amp;DOC_NAME=FAT:FQL_AUDITING_CLIENT_TEMPLATE.FAT&amp;display_string=Audit&amp;VAR:KEY=YDWHADILAV&amp;VAR:QUERY=KFBfUFJJQ0UoMzk4MDEpLShGRl9DQVNIX1NUKFFUUiwzOTgwMSkvUF9DT01fU0hTX09VVCgzOTgwMSkpKS9GR","V9FU1RJTUFURSgnRVBTJywnTUVBTicsJ0FOTlVBTF9ST0xMJywnKzEnLDM5ODAxLCwsJycp&amp;WINDOW=FIRST_POPUP&amp;HEIGHT=450&amp;WIDTH=450&amp;START_MAXIMIZED=FALSE&amp;VAR:CALENDAR=US&amp;VAR:SYMBOL=38259P50&amp;VAR:INDEX=0"}</definedName>
    <definedName name="_3599__FDSAUDITLINK__">{"fdsup://directions/FAT Viewer?action=UPDATE&amp;creator=factset&amp;DYN_ARGS=TRUE&amp;DOC_NAME=FAT:FQL_AUDITING_CLIENT_TEMPLATE.FAT&amp;display_string=Audit&amp;VAR:KEY=GJEPSBWHCB&amp;VAR:QUERY=KFBfUFJJQ0UoMzk4MDApLShGRl9DQVNIX1NUKFFUUiwzOTgwMCkvUF9DT01fU0hTX09VVCgzOTgwMCkpKS9GR","V9FU1RJTUFURSgnRVBTJywnTUVBTicsJ0FOTlVBTF9ST0xMJywnKzEnLDM5ODAwLCwsJycp&amp;WINDOW=FIRST_POPUP&amp;HEIGHT=450&amp;WIDTH=450&amp;START_MAXIMIZED=FALSE&amp;VAR:CALENDAR=US&amp;VAR:SYMBOL=38259P50&amp;VAR:INDEX=0"}</definedName>
    <definedName name="_3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15.041508&amp;VAR:V0=16.815740&amp;VAR:V1=14.525048&amp;VAR:Y0=2002&amp;VAR:Y1=2003&amp;VAR:P=815.284670&amp;VAR:DATE=20020930&amp;VAR:THRESH=-|-|-","|-|-|-|-"}</definedName>
    <definedName name="_36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169"}</definedName>
    <definedName name="_3600__FDSAUDITLINK__">{"fdsup://directions/FAT Viewer?action=UPDATE&amp;creator=factset&amp;DYN_ARGS=TRUE&amp;DOC_NAME=FAT:FQL_AUDITING_CLIENT_TEMPLATE.FAT&amp;display_string=Audit&amp;VAR:KEY=GJEPSBWHCB&amp;VAR:QUERY=KFBfUFJJQ0UoMzk4MDApLShGRl9DQVNIX1NUKFFUUiwzOTgwMCkvUF9DT01fU0hTX09VVCgzOTgwMCkpKS9GR","V9FU1RJTUFURSgnRVBTJywnTUVBTicsJ0FOTlVBTF9ST0xMJywnKzEnLDM5ODAwLCwsJycp&amp;WINDOW=FIRST_POPUP&amp;HEIGHT=450&amp;WIDTH=450&amp;START_MAXIMIZED=FALSE&amp;VAR:CALENDAR=US&amp;VAR:SYMBOL=38259P50&amp;VAR:INDEX=0"}</definedName>
    <definedName name="_3601__FDSAUDITLINK__">{"fdsup://directions/FAT Viewer?action=UPDATE&amp;creator=factset&amp;DYN_ARGS=TRUE&amp;DOC_NAME=FAT:FQL_AUDITING_CLIENT_TEMPLATE.FAT&amp;display_string=Audit&amp;VAR:KEY=YXQDKZIPUR&amp;VAR:QUERY=KFBfUFJJQ0UoMzk3OTkpLShGRl9DQVNIX1NUKFFUUiwzOTc5OSkvUF9DT01fU0hTX09VVCgzOTc5OSkpKS9GR","V9FU1RJTUFURSgnRVBTJywnTUVBTicsJ0FOTlVBTF9ST0xMJywnKzEnLDM5Nzk5LCwsJycp&amp;WINDOW=FIRST_POPUP&amp;HEIGHT=450&amp;WIDTH=450&amp;START_MAXIMIZED=FALSE&amp;VAR:CALENDAR=US&amp;VAR:SYMBOL=38259P50&amp;VAR:INDEX=0"}</definedName>
    <definedName name="_3602__FDSAUDITLINK__">{"fdsup://directions/FAT Viewer?action=UPDATE&amp;creator=factset&amp;DYN_ARGS=TRUE&amp;DOC_NAME=FAT:FQL_AUDITING_CLIENT_TEMPLATE.FAT&amp;display_string=Audit&amp;VAR:KEY=YXQDKZIPUR&amp;VAR:QUERY=KFBfUFJJQ0UoMzk3OTkpLShGRl9DQVNIX1NUKFFUUiwzOTc5OSkvUF9DT01fU0hTX09VVCgzOTc5OSkpKS9GR","V9FU1RJTUFURSgnRVBTJywnTUVBTicsJ0FOTlVBTF9ST0xMJywnKzEnLDM5Nzk5LCwsJycp&amp;WINDOW=FIRST_POPUP&amp;HEIGHT=450&amp;WIDTH=450&amp;START_MAXIMIZED=FALSE&amp;VAR:CALENDAR=US&amp;VAR:SYMBOL=38259P50&amp;VAR:INDEX=0"}</definedName>
    <definedName name="_3603__FDSAUDITLINK__">{"fdsup://directions/FAT Viewer?action=UPDATE&amp;creator=factset&amp;DYN_ARGS=TRUE&amp;DOC_NAME=FAT:FQL_AUDITING_CLIENT_TEMPLATE.FAT&amp;display_string=Audit&amp;VAR:KEY=UNQROTAFWZ&amp;VAR:QUERY=KFBfUFJJQ0UoMzk3OTgpLShGRl9DQVNIX1NUKFFUUiwzOTc5OCkvUF9DT01fU0hTX09VVCgzOTc5OCkpKS9GR","V9FU1RJTUFURSgnRVBTJywnTUVBTicsJ0FOTlVBTF9ST0xMJywnKzEnLDM5Nzk4LCwsJycp&amp;WINDOW=FIRST_POPUP&amp;HEIGHT=450&amp;WIDTH=450&amp;START_MAXIMIZED=FALSE&amp;VAR:CALENDAR=US&amp;VAR:SYMBOL=38259P50&amp;VAR:INDEX=0"}</definedName>
    <definedName name="_3604__FDSAUDITLINK__">{"fdsup://directions/FAT Viewer?action=UPDATE&amp;creator=factset&amp;DYN_ARGS=TRUE&amp;DOC_NAME=FAT:FQL_AUDITING_CLIENT_TEMPLATE.FAT&amp;display_string=Audit&amp;VAR:KEY=UNQROTAFWZ&amp;VAR:QUERY=KFBfUFJJQ0UoMzk3OTgpLShGRl9DQVNIX1NUKFFUUiwzOTc5OCkvUF9DT01fU0hTX09VVCgzOTc5OCkpKS9GR","V9FU1RJTUFURSgnRVBTJywnTUVBTicsJ0FOTlVBTF9ST0xMJywnKzEnLDM5Nzk4LCwsJycp&amp;WINDOW=FIRST_POPUP&amp;HEIGHT=450&amp;WIDTH=450&amp;START_MAXIMIZED=FALSE&amp;VAR:CALENDAR=US&amp;VAR:SYMBOL=38259P50&amp;VAR:INDEX=0"}</definedName>
    <definedName name="_3605__FDSAUDITLINK__">{"fdsup://directions/FAT Viewer?action=UPDATE&amp;creator=factset&amp;DYN_ARGS=TRUE&amp;DOC_NAME=FAT:FQL_AUDITING_CLIENT_TEMPLATE.FAT&amp;display_string=Audit&amp;VAR:KEY=QVWRWDIDYT&amp;VAR:QUERY=KFBfUFJJQ0UoMzk3OTcpLShGRl9DQVNIX1NUKFFUUiwzOTc5NykvUF9DT01fU0hTX09VVCgzOTc5NykpKS9GR","V9FU1RJTUFURSgnRVBTJywnTUVBTicsJ0FOTlVBTF9ST0xMJywnKzEnLDM5Nzk3LCwsJycp&amp;WINDOW=FIRST_POPUP&amp;HEIGHT=450&amp;WIDTH=450&amp;START_MAXIMIZED=FALSE&amp;VAR:CALENDAR=US&amp;VAR:SYMBOL=38259P50&amp;VAR:INDEX=0"}</definedName>
    <definedName name="_3606__FDSAUDITLINK__">{"fdsup://directions/FAT Viewer?action=UPDATE&amp;creator=factset&amp;DYN_ARGS=TRUE&amp;DOC_NAME=FAT:FQL_AUDITING_CLIENT_TEMPLATE.FAT&amp;display_string=Audit&amp;VAR:KEY=QVWRWDIDYT&amp;VAR:QUERY=KFBfUFJJQ0UoMzk3OTcpLShGRl9DQVNIX1NUKFFUUiwzOTc5NykvUF9DT01fU0hTX09VVCgzOTc5NykpKS9GR","V9FU1RJTUFURSgnRVBTJywnTUVBTicsJ0FOTlVBTF9ST0xMJywnKzEnLDM5Nzk3LCwsJycp&amp;WINDOW=FIRST_POPUP&amp;HEIGHT=450&amp;WIDTH=450&amp;START_MAXIMIZED=FALSE&amp;VAR:CALENDAR=US&amp;VAR:SYMBOL=38259P50&amp;VAR:INDEX=0"}</definedName>
    <definedName name="_3607__FDSAUDITLINK__">{"fdsup://directions/FAT Viewer?action=UPDATE&amp;creator=factset&amp;DYN_ARGS=TRUE&amp;DOC_NAME=FAT:FQL_AUDITING_CLIENT_TEMPLATE.FAT&amp;display_string=Audit&amp;VAR:KEY=ABKXMHSPGV&amp;VAR:QUERY=KFBfUFJJQ0UoMzk3OTYpLShGRl9DQVNIX1NUKFFUUiwzOTc5NikvUF9DT01fU0hTX09VVCgzOTc5NikpKS9GR","V9FU1RJTUFURSgnRVBTJywnTUVBTicsJ0FOTlVBTF9ST0xMJywnKzEnLDM5Nzk2LCwsJycp&amp;WINDOW=FIRST_POPUP&amp;HEIGHT=450&amp;WIDTH=450&amp;START_MAXIMIZED=FALSE&amp;VAR:CALENDAR=US&amp;VAR:SYMBOL=38259P50&amp;VAR:INDEX=0"}</definedName>
    <definedName name="_3608__FDSAUDITLINK__">{"fdsup://directions/FAT Viewer?action=UPDATE&amp;creator=factset&amp;DYN_ARGS=TRUE&amp;DOC_NAME=FAT:FQL_AUDITING_CLIENT_TEMPLATE.FAT&amp;display_string=Audit&amp;VAR:KEY=ABKXMHSPGV&amp;VAR:QUERY=KFBfUFJJQ0UoMzk3OTYpLShGRl9DQVNIX1NUKFFUUiwzOTc5NikvUF9DT01fU0hTX09VVCgzOTc5NikpKS9GR","V9FU1RJTUFURSgnRVBTJywnTUVBTicsJ0FOTlVBTF9ST0xMJywnKzEnLDM5Nzk2LCwsJycp&amp;WINDOW=FIRST_POPUP&amp;HEIGHT=450&amp;WIDTH=450&amp;START_MAXIMIZED=FALSE&amp;VAR:CALENDAR=US&amp;VAR:SYMBOL=38259P50&amp;VAR:INDEX=0"}</definedName>
    <definedName name="_3609__FDSAUDITLINK__">{"fdsup://directions/FAT Viewer?action=UPDATE&amp;creator=factset&amp;DYN_ARGS=TRUE&amp;DOC_NAME=FAT:FQL_AUDITING_CLIENT_TEMPLATE.FAT&amp;display_string=Audit&amp;VAR:KEY=GZEVALAXEZ&amp;VAR:QUERY=KFBfUFJJQ0UoMzk3OTUpLShGRl9DQVNIX1NUKFFUUiwzOTc5NSkvUF9DT01fU0hTX09VVCgzOTc5NSkpKS9GR","V9FU1RJTUFURSgnRVBTJywnTUVBTicsJ0FOTlVBTF9ST0xMJywnKzEnLDM5Nzk1LCwsJycp&amp;WINDOW=FIRST_POPUP&amp;HEIGHT=450&amp;WIDTH=450&amp;START_MAXIMIZED=FALSE&amp;VAR:CALENDAR=US&amp;VAR:SYMBOL=38259P50&amp;VAR:INDEX=0"}</definedName>
    <definedName name="_36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168"}</definedName>
    <definedName name="_3610__FDSAUDITLINK__">{"fdsup://directions/FAT Viewer?action=UPDATE&amp;creator=factset&amp;DYN_ARGS=TRUE&amp;DOC_NAME=FAT:FQL_AUDITING_CLIENT_TEMPLATE.FAT&amp;display_string=Audit&amp;VAR:KEY=GZEVALAXEZ&amp;VAR:QUERY=KFBfUFJJQ0UoMzk3OTUpLShGRl9DQVNIX1NUKFFUUiwzOTc5NSkvUF9DT01fU0hTX09VVCgzOTc5NSkpKS9GR","V9FU1RJTUFURSgnRVBTJywnTUVBTicsJ0FOTlVBTF9ST0xMJywnKzEnLDM5Nzk1LCwsJycp&amp;WINDOW=FIRST_POPUP&amp;HEIGHT=450&amp;WIDTH=450&amp;START_MAXIMIZED=FALSE&amp;VAR:CALENDAR=US&amp;VAR:SYMBOL=38259P50&amp;VAR:INDEX=0"}</definedName>
    <definedName name="_3611__FDSAUDITLINK__">{"fdsup://directions/FAT Viewer?action=UPDATE&amp;creator=factset&amp;DYN_ARGS=TRUE&amp;DOC_NAME=FAT:FQL_AUDITING_CLIENT_TEMPLATE.FAT&amp;display_string=Audit&amp;VAR:KEY=IBSTYBKNKT&amp;VAR:QUERY=KFBfUFJJQ0UoMzk3OTQpLShGRl9DQVNIX1NUKFFUUiwzOTc5NCkvUF9DT01fU0hTX09VVCgzOTc5NCkpKS9GR","V9FU1RJTUFURSgnRVBTJywnTUVBTicsJ0FOTlVBTF9ST0xMJywnKzEnLDM5Nzk0LCwsJycp&amp;WINDOW=FIRST_POPUP&amp;HEIGHT=450&amp;WIDTH=450&amp;START_MAXIMIZED=FALSE&amp;VAR:CALENDAR=US&amp;VAR:SYMBOL=38259P50&amp;VAR:INDEX=0"}</definedName>
    <definedName name="_3612__FDSAUDITLINK__">{"fdsup://directions/FAT Viewer?action=UPDATE&amp;creator=factset&amp;DYN_ARGS=TRUE&amp;DOC_NAME=FAT:FQL_AUDITING_CLIENT_TEMPLATE.FAT&amp;display_string=Audit&amp;VAR:KEY=IBSTYBKNKT&amp;VAR:QUERY=KFBfUFJJQ0UoMzk3OTQpLShGRl9DQVNIX1NUKFFUUiwzOTc5NCkvUF9DT01fU0hTX09VVCgzOTc5NCkpKS9GR","V9FU1RJTUFURSgnRVBTJywnTUVBTicsJ0FOTlVBTF9ST0xMJywnKzEnLDM5Nzk0LCwsJycp&amp;WINDOW=FIRST_POPUP&amp;HEIGHT=450&amp;WIDTH=450&amp;START_MAXIMIZED=FALSE&amp;VAR:CALENDAR=US&amp;VAR:SYMBOL=38259P50&amp;VAR:INDEX=0"}</definedName>
    <definedName name="_3613__FDSAUDITLINK__">{"fdsup://directions/FAT Viewer?action=UPDATE&amp;creator=factset&amp;DYN_ARGS=TRUE&amp;DOC_NAME=FAT:FQL_AUDITING_CLIENT_TEMPLATE.FAT&amp;display_string=Audit&amp;VAR:KEY=ONQVANWZAJ&amp;VAR:QUERY=KFBfUFJJQ0UoMzk3OTMpLShGRl9DQVNIX1NUKFFUUiwzOTc5MykvUF9DT01fU0hTX09VVCgzOTc5MykpKS9GR","V9FU1RJTUFURSgnRVBTJywnTUVBTicsJ0FOTlVBTF9ST0xMJywnKzEnLDM5NzkzLCwsJycp&amp;WINDOW=FIRST_POPUP&amp;HEIGHT=450&amp;WIDTH=450&amp;START_MAXIMIZED=FALSE&amp;VAR:CALENDAR=US&amp;VAR:SYMBOL=38259P50&amp;VAR:INDEX=0"}</definedName>
    <definedName name="_3614__FDSAUDITLINK__">{"fdsup://directions/FAT Viewer?action=UPDATE&amp;creator=factset&amp;DYN_ARGS=TRUE&amp;DOC_NAME=FAT:FQL_AUDITING_CLIENT_TEMPLATE.FAT&amp;display_string=Audit&amp;VAR:KEY=ONQVANWZAJ&amp;VAR:QUERY=KFBfUFJJQ0UoMzk3OTMpLShGRl9DQVNIX1NUKFFUUiwzOTc5MykvUF9DT01fU0hTX09VVCgzOTc5MykpKS9GR","V9FU1RJTUFURSgnRVBTJywnTUVBTicsJ0FOTlVBTF9ST0xMJywnKzEnLDM5NzkzLCwsJycp&amp;WINDOW=FIRST_POPUP&amp;HEIGHT=450&amp;WIDTH=450&amp;START_MAXIMIZED=FALSE&amp;VAR:CALENDAR=US&amp;VAR:SYMBOL=38259P50&amp;VAR:INDEX=0"}</definedName>
    <definedName name="_3615__FDSAUDITLINK__">{"fdsup://directions/FAT Viewer?action=UPDATE&amp;creator=factset&amp;DYN_ARGS=TRUE&amp;DOC_NAME=FAT:FQL_AUDITING_CLIENT_TEMPLATE.FAT&amp;display_string=Audit&amp;VAR:KEY=MZUVMBGNUP&amp;VAR:QUERY=KFBfUFJJQ0UoMzk3OTIpLShGRl9DQVNIX1NUKFFUUiwzOTc5MikvUF9DT01fU0hTX09VVCgzOTc5MikpKS9GR","V9FU1RJTUFURSgnRVBTJywnTUVBTicsJ0FOTlVBTF9ST0xMJywnKzEnLDM5NzkyLCwsJycp&amp;WINDOW=FIRST_POPUP&amp;HEIGHT=450&amp;WIDTH=450&amp;START_MAXIMIZED=FALSE&amp;VAR:CALENDAR=US&amp;VAR:SYMBOL=38259P50&amp;VAR:INDEX=0"}</definedName>
    <definedName name="_3616__FDSAUDITLINK__">{"fdsup://directions/FAT Viewer?action=UPDATE&amp;creator=factset&amp;DYN_ARGS=TRUE&amp;DOC_NAME=FAT:FQL_AUDITING_CLIENT_TEMPLATE.FAT&amp;display_string=Audit&amp;VAR:KEY=MZUVMBGNUP&amp;VAR:QUERY=KFBfUFJJQ0UoMzk3OTIpLShGRl9DQVNIX1NUKFFUUiwzOTc5MikvUF9DT01fU0hTX09VVCgzOTc5MikpKS9GR","V9FU1RJTUFURSgnRVBTJywnTUVBTicsJ0FOTlVBTF9ST0xMJywnKzEnLDM5NzkyLCwsJycp&amp;WINDOW=FIRST_POPUP&amp;HEIGHT=450&amp;WIDTH=450&amp;START_MAXIMIZED=FALSE&amp;VAR:CALENDAR=US&amp;VAR:SYMBOL=38259P50&amp;VAR:INDEX=0"}</definedName>
    <definedName name="_3617__FDSAUDITLINK__">{"fdsup://directions/FAT Viewer?action=UPDATE&amp;creator=factset&amp;DYN_ARGS=TRUE&amp;DOC_NAME=FAT:FQL_AUDITING_CLIENT_TEMPLATE.FAT&amp;display_string=Audit&amp;VAR:KEY=KBWFQFSRWD&amp;VAR:QUERY=KFBfUFJJQ0UoMzk3OTEpLShGRl9DQVNIX1NUKFFUUiwzOTc5MSkvUF9DT01fU0hTX09VVCgzOTc5MSkpKS9GR","V9FU1RJTUFURSgnRVBTJywnTUVBTicsJ0FOTlVBTF9ST0xMJywnKzEnLDM5NzkxLCwsJycp&amp;WINDOW=FIRST_POPUP&amp;HEIGHT=450&amp;WIDTH=450&amp;START_MAXIMIZED=FALSE&amp;VAR:CALENDAR=US&amp;VAR:SYMBOL=38259P50&amp;VAR:INDEX=0"}</definedName>
    <definedName name="_3618__FDSAUDITLINK__">{"fdsup://directions/FAT Viewer?action=UPDATE&amp;creator=factset&amp;DYN_ARGS=TRUE&amp;DOC_NAME=FAT:FQL_AUDITING_CLIENT_TEMPLATE.FAT&amp;display_string=Audit&amp;VAR:KEY=KBWFQFSRWD&amp;VAR:QUERY=KFBfUFJJQ0UoMzk3OTEpLShGRl9DQVNIX1NUKFFUUiwzOTc5MSkvUF9DT01fU0hTX09VVCgzOTc5MSkpKS9GR","V9FU1RJTUFURSgnRVBTJywnTUVBTicsJ0FOTlVBTF9ST0xMJywnKzEnLDM5NzkxLCwsJycp&amp;WINDOW=FIRST_POPUP&amp;HEIGHT=450&amp;WIDTH=450&amp;START_MAXIMIZED=FALSE&amp;VAR:CALENDAR=US&amp;VAR:SYMBOL=38259P50&amp;VAR:INDEX=0"}</definedName>
    <definedName name="_3619__FDSAUDITLINK__">{"fdsup://directions/FAT Viewer?action=UPDATE&amp;creator=factset&amp;DYN_ARGS=TRUE&amp;DOC_NAME=FAT:FQL_AUDITING_CLIENT_TEMPLATE.FAT&amp;display_string=Audit&amp;VAR:KEY=SNYTETMJMZ&amp;VAR:QUERY=KFBfUFJJQ0UoMzk3OTApLShGRl9DQVNIX1NUKFFUUiwzOTc5MCkvUF9DT01fU0hTX09VVCgzOTc5MCkpKS9GR","V9FU1RJTUFURSgnRVBTJywnTUVBTicsJ0FOTlVBTF9ST0xMJywnKzEnLDM5NzkwLCwsJycp&amp;WINDOW=FIRST_POPUP&amp;HEIGHT=450&amp;WIDTH=450&amp;START_MAXIMIZED=FALSE&amp;VAR:CALENDAR=US&amp;VAR:SYMBOL=38259P50&amp;VAR:INDEX=0"}</definedName>
    <definedName name="_36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167"}</definedName>
    <definedName name="_3620__FDSAUDITLINK__">{"fdsup://directions/FAT Viewer?action=UPDATE&amp;creator=factset&amp;DYN_ARGS=TRUE&amp;DOC_NAME=FAT:FQL_AUDITING_CLIENT_TEMPLATE.FAT&amp;display_string=Audit&amp;VAR:KEY=SNYTETMJMZ&amp;VAR:QUERY=KFBfUFJJQ0UoMzk3OTApLShGRl9DQVNIX1NUKFFUUiwzOTc5MCkvUF9DT01fU0hTX09VVCgzOTc5MCkpKS9GR","V9FU1RJTUFURSgnRVBTJywnTUVBTicsJ0FOTlVBTF9ST0xMJywnKzEnLDM5NzkwLCwsJycp&amp;WINDOW=FIRST_POPUP&amp;HEIGHT=450&amp;WIDTH=450&amp;START_MAXIMIZED=FALSE&amp;VAR:CALENDAR=US&amp;VAR:SYMBOL=38259P50&amp;VAR:INDEX=0"}</definedName>
    <definedName name="_3621__FDSAUDITLINK__">{"fdsup://directions/FAT Viewer?action=UPDATE&amp;creator=factset&amp;DYN_ARGS=TRUE&amp;DOC_NAME=FAT:FQL_AUDITING_CLIENT_TEMPLATE.FAT&amp;display_string=Audit&amp;VAR:KEY=AZQTSPADMN&amp;VAR:QUERY=KFBfUFJJQ0UoMzk3ODkpLShGRl9DQVNIX1NUKFFUUiwzOTc4OSkvUF9DT01fU0hTX09VVCgzOTc4OSkpKS9GR","V9FU1RJTUFURSgnRVBTJywnTUVBTicsJ0FOTlVBTF9ST0xMJywnKzEnLDM5Nzg5LCwsJycp&amp;WINDOW=FIRST_POPUP&amp;HEIGHT=450&amp;WIDTH=450&amp;START_MAXIMIZED=FALSE&amp;VAR:CALENDAR=US&amp;VAR:SYMBOL=38259P50&amp;VAR:INDEX=0"}</definedName>
    <definedName name="_3622__FDSAUDITLINK__">{"fdsup://directions/FAT Viewer?action=UPDATE&amp;creator=factset&amp;DYN_ARGS=TRUE&amp;DOC_NAME=FAT:FQL_AUDITING_CLIENT_TEMPLATE.FAT&amp;display_string=Audit&amp;VAR:KEY=AZQTSPADMN&amp;VAR:QUERY=KFBfUFJJQ0UoMzk3ODkpLShGRl9DQVNIX1NUKFFUUiwzOTc4OSkvUF9DT01fU0hTX09VVCgzOTc4OSkpKS9GR","V9FU1RJTUFURSgnRVBTJywnTUVBTicsJ0FOTlVBTF9ST0xMJywnKzEnLDM5Nzg5LCwsJycp&amp;WINDOW=FIRST_POPUP&amp;HEIGHT=450&amp;WIDTH=450&amp;START_MAXIMIZED=FALSE&amp;VAR:CALENDAR=US&amp;VAR:SYMBOL=38259P50&amp;VAR:INDEX=0"}</definedName>
    <definedName name="_3623__FDSAUDITLINK__">{"fdsup://directions/FAT Viewer?action=UPDATE&amp;creator=factset&amp;DYN_ARGS=TRUE&amp;DOC_NAME=FAT:FQL_AUDITING_CLIENT_TEMPLATE.FAT&amp;display_string=Audit&amp;VAR:KEY=GXSDCRERWB&amp;VAR:QUERY=KFBfUFJJQ0UoMzk3ODgpLShGRl9DQVNIX1NUKFFUUiwzOTc4OCkvUF9DT01fU0hTX09VVCgzOTc4OCkpKS9GR","V9FU1RJTUFURSgnRVBTJywnTUVBTicsJ0FOTlVBTF9ST0xMJywnKzEnLDM5Nzg4LCwsJycp&amp;WINDOW=FIRST_POPUP&amp;HEIGHT=450&amp;WIDTH=450&amp;START_MAXIMIZED=FALSE&amp;VAR:CALENDAR=US&amp;VAR:SYMBOL=38259P50&amp;VAR:INDEX=0"}</definedName>
    <definedName name="_3624__FDSAUDITLINK__">{"fdsup://directions/FAT Viewer?action=UPDATE&amp;creator=factset&amp;DYN_ARGS=TRUE&amp;DOC_NAME=FAT:FQL_AUDITING_CLIENT_TEMPLATE.FAT&amp;display_string=Audit&amp;VAR:KEY=GXSDCRERWB&amp;VAR:QUERY=KFBfUFJJQ0UoMzk3ODgpLShGRl9DQVNIX1NUKFFUUiwzOTc4OCkvUF9DT01fU0hTX09VVCgzOTc4OCkpKS9GR","V9FU1RJTUFURSgnRVBTJywnTUVBTicsJ0FOTlVBTF9ST0xMJywnKzEnLDM5Nzg4LCwsJycp&amp;WINDOW=FIRST_POPUP&amp;HEIGHT=450&amp;WIDTH=450&amp;START_MAXIMIZED=FALSE&amp;VAR:CALENDAR=US&amp;VAR:SYMBOL=38259P50&amp;VAR:INDEX=0"}</definedName>
    <definedName name="_3625__FDSAUDITLINK__">{"fdsup://directions/FAT Viewer?action=UPDATE&amp;creator=factset&amp;DYN_ARGS=TRUE&amp;DOC_NAME=FAT:FQL_AUDITING_CLIENT_TEMPLATE.FAT&amp;display_string=Audit&amp;VAR:KEY=ABKTQJCTSP&amp;VAR:QUERY=KFBfUFJJQ0UoMzk3ODcpLShGRl9DQVNIX1NUKFFUUiwzOTc4NykvUF9DT01fU0hTX09VVCgzOTc4NykpKS9GR","V9FU1RJTUFURSgnRVBTJywnTUVBTicsJ0FOTlVBTF9ST0xMJywnKzEnLDM5Nzg3LCwsJycp&amp;WINDOW=FIRST_POPUP&amp;HEIGHT=450&amp;WIDTH=450&amp;START_MAXIMIZED=FALSE&amp;VAR:CALENDAR=US&amp;VAR:SYMBOL=38259P50&amp;VAR:INDEX=0"}</definedName>
    <definedName name="_3626__FDSAUDITLINK__">{"fdsup://directions/FAT Viewer?action=UPDATE&amp;creator=factset&amp;DYN_ARGS=TRUE&amp;DOC_NAME=FAT:FQL_AUDITING_CLIENT_TEMPLATE.FAT&amp;display_string=Audit&amp;VAR:KEY=ABKTQJCTSP&amp;VAR:QUERY=KFBfUFJJQ0UoMzk3ODcpLShGRl9DQVNIX1NUKFFUUiwzOTc4NykvUF9DT01fU0hTX09VVCgzOTc4NykpKS9GR","V9FU1RJTUFURSgnRVBTJywnTUVBTicsJ0FOTlVBTF9ST0xMJywnKzEnLDM5Nzg3LCwsJycp&amp;WINDOW=FIRST_POPUP&amp;HEIGHT=450&amp;WIDTH=450&amp;START_MAXIMIZED=FALSE&amp;VAR:CALENDAR=US&amp;VAR:SYMBOL=38259P50&amp;VAR:INDEX=0"}</definedName>
    <definedName name="_3627__FDSAUDITLINK__">{"fdsup://directions/FAT Viewer?action=UPDATE&amp;creator=factset&amp;DYN_ARGS=TRUE&amp;DOC_NAME=FAT:FQL_AUDITING_CLIENT_TEMPLATE.FAT&amp;display_string=Audit&amp;VAR:KEY=ORCXKXYJIL&amp;VAR:QUERY=KFBfUFJJQ0UoMzk3ODYpLShGRl9DQVNIX1NUKFFUUiwzOTc4NikvUF9DT01fU0hTX09VVCgzOTc4NikpKS9GR","V9FU1RJTUFURSgnRVBTJywnTUVBTicsJ0FOTlVBTF9ST0xMJywnKzEnLDM5Nzg2LCwsJycp&amp;WINDOW=FIRST_POPUP&amp;HEIGHT=450&amp;WIDTH=450&amp;START_MAXIMIZED=FALSE&amp;VAR:CALENDAR=US&amp;VAR:SYMBOL=38259P50&amp;VAR:INDEX=0"}</definedName>
    <definedName name="_3628__FDSAUDITLINK__">{"fdsup://directions/FAT Viewer?action=UPDATE&amp;creator=factset&amp;DYN_ARGS=TRUE&amp;DOC_NAME=FAT:FQL_AUDITING_CLIENT_TEMPLATE.FAT&amp;display_string=Audit&amp;VAR:KEY=ORCXKXYJIL&amp;VAR:QUERY=KFBfUFJJQ0UoMzk3ODYpLShGRl9DQVNIX1NUKFFUUiwzOTc4NikvUF9DT01fU0hTX09VVCgzOTc4NikpKS9GR","V9FU1RJTUFURSgnRVBTJywnTUVBTicsJ0FOTlVBTF9ST0xMJywnKzEnLDM5Nzg2LCwsJycp&amp;WINDOW=FIRST_POPUP&amp;HEIGHT=450&amp;WIDTH=450&amp;START_MAXIMIZED=FALSE&amp;VAR:CALENDAR=US&amp;VAR:SYMBOL=38259P50&amp;VAR:INDEX=0"}</definedName>
    <definedName name="_3629__FDSAUDITLINK__">{"fdsup://directions/FAT Viewer?action=UPDATE&amp;creator=factset&amp;DYN_ARGS=TRUE&amp;DOC_NAME=FAT:FQL_AUDITING_CLIENT_TEMPLATE.FAT&amp;display_string=Audit&amp;VAR:KEY=KHIBEVSHSL&amp;VAR:QUERY=KFBfUFJJQ0UoMzk3ODUpLShGRl9DQVNIX1NUKFFUUiwzOTc4NSkvUF9DT01fU0hTX09VVCgzOTc4NSkpKS9GR","V9FU1RJTUFURSgnRVBTJywnTUVBTicsJ0FOTlVBTF9ST0xMJywnKzEnLDM5Nzg1LCwsJycp&amp;WINDOW=FIRST_POPUP&amp;HEIGHT=450&amp;WIDTH=450&amp;START_MAXIMIZED=FALSE&amp;VAR:CALENDAR=US&amp;VAR:SYMBOL=38259P50&amp;VAR:INDEX=0"}</definedName>
    <definedName name="_36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166"}</definedName>
    <definedName name="_3630__FDSAUDITLINK__">{"fdsup://directions/FAT Viewer?action=UPDATE&amp;creator=factset&amp;DYN_ARGS=TRUE&amp;DOC_NAME=FAT:FQL_AUDITING_CLIENT_TEMPLATE.FAT&amp;display_string=Audit&amp;VAR:KEY=KHIBEVSHSL&amp;VAR:QUERY=KFBfUFJJQ0UoMzk3ODUpLShGRl9DQVNIX1NUKFFUUiwzOTc4NSkvUF9DT01fU0hTX09VVCgzOTc4NSkpKS9GR","V9FU1RJTUFURSgnRVBTJywnTUVBTicsJ0FOTlVBTF9ST0xMJywnKzEnLDM5Nzg1LCwsJycp&amp;WINDOW=FIRST_POPUP&amp;HEIGHT=450&amp;WIDTH=450&amp;START_MAXIMIZED=FALSE&amp;VAR:CALENDAR=US&amp;VAR:SYMBOL=38259P50&amp;VAR:INDEX=0"}</definedName>
    <definedName name="_3631__FDSAUDITLINK__">{"fdsup://directions/FAT Viewer?action=UPDATE&amp;creator=factset&amp;DYN_ARGS=TRUE&amp;DOC_NAME=FAT:FQL_AUDITING_CLIENT_TEMPLATE.FAT&amp;display_string=Audit&amp;VAR:KEY=CFYTEXKLKB&amp;VAR:QUERY=KFBfUFJJQ0UoMzk3ODQpLShGRl9DQVNIX1NUKFFUUiwzOTc4NCkvUF9DT01fU0hTX09VVCgzOTc4NCkpKS9GR","V9FU1RJTUFURSgnRVBTJywnTUVBTicsJ0FOTlVBTF9ST0xMJywnKzEnLDM5Nzg0LCwsJycp&amp;WINDOW=FIRST_POPUP&amp;HEIGHT=450&amp;WIDTH=450&amp;START_MAXIMIZED=FALSE&amp;VAR:CALENDAR=US&amp;VAR:SYMBOL=38259P50&amp;VAR:INDEX=0"}</definedName>
    <definedName name="_3632__FDSAUDITLINK__">{"fdsup://directions/FAT Viewer?action=UPDATE&amp;creator=factset&amp;DYN_ARGS=TRUE&amp;DOC_NAME=FAT:FQL_AUDITING_CLIENT_TEMPLATE.FAT&amp;display_string=Audit&amp;VAR:KEY=CFYTEXKLKB&amp;VAR:QUERY=KFBfUFJJQ0UoMzk3ODQpLShGRl9DQVNIX1NUKFFUUiwzOTc4NCkvUF9DT01fU0hTX09VVCgzOTc4NCkpKS9GR","V9FU1RJTUFURSgnRVBTJywnTUVBTicsJ0FOTlVBTF9ST0xMJywnKzEnLDM5Nzg0LCwsJycp&amp;WINDOW=FIRST_POPUP&amp;HEIGHT=450&amp;WIDTH=450&amp;START_MAXIMIZED=FALSE&amp;VAR:CALENDAR=US&amp;VAR:SYMBOL=38259P50&amp;VAR:INDEX=0"}</definedName>
    <definedName name="_3633__FDSAUDITLINK__">{"fdsup://directions/FAT Viewer?action=UPDATE&amp;creator=factset&amp;DYN_ARGS=TRUE&amp;DOC_NAME=FAT:FQL_AUDITING_CLIENT_TEMPLATE.FAT&amp;display_string=Audit&amp;VAR:KEY=GFIVEZKNQR&amp;VAR:QUERY=KFBfUFJJQ0UoMzk3ODMpLShGRl9DQVNIX1NUKFFUUiwzOTc4MykvUF9DT01fU0hTX09VVCgzOTc4MykpKS9GR","V9FU1RJTUFURSgnRVBTJywnTUVBTicsJ0FOTlVBTF9ST0xMJywnKzEnLDM5NzgzLCwsJycp&amp;WINDOW=FIRST_POPUP&amp;HEIGHT=450&amp;WIDTH=450&amp;START_MAXIMIZED=FALSE&amp;VAR:CALENDAR=US&amp;VAR:SYMBOL=38259P50&amp;VAR:INDEX=0"}</definedName>
    <definedName name="_3634__FDSAUDITLINK__">{"fdsup://directions/FAT Viewer?action=UPDATE&amp;creator=factset&amp;DYN_ARGS=TRUE&amp;DOC_NAME=FAT:FQL_AUDITING_CLIENT_TEMPLATE.FAT&amp;display_string=Audit&amp;VAR:KEY=GFIVEZKNQR&amp;VAR:QUERY=KFBfUFJJQ0UoMzk3ODMpLShGRl9DQVNIX1NUKFFUUiwzOTc4MykvUF9DT01fU0hTX09VVCgzOTc4MykpKS9GR","V9FU1RJTUFURSgnRVBTJywnTUVBTicsJ0FOTlVBTF9ST0xMJywnKzEnLDM5NzgzLCwsJycp&amp;WINDOW=FIRST_POPUP&amp;HEIGHT=450&amp;WIDTH=450&amp;START_MAXIMIZED=FALSE&amp;VAR:CALENDAR=US&amp;VAR:SYMBOL=38259P50&amp;VAR:INDEX=0"}</definedName>
    <definedName name="_3635__FDSAUDITLINK__">{"fdsup://directions/FAT Viewer?action=UPDATE&amp;creator=factset&amp;DYN_ARGS=TRUE&amp;DOC_NAME=FAT:FQL_AUDITING_CLIENT_TEMPLATE.FAT&amp;display_string=Audit&amp;VAR:KEY=CNOVARYVKL&amp;VAR:QUERY=KFBfUFJJQ0UoMzk3ODIpLShGRl9DQVNIX1NUKFFUUiwzOTc4MikvUF9DT01fU0hTX09VVCgzOTc4MikpKS9GR","V9FU1RJTUFURSgnRVBTJywnTUVBTicsJ0FOTlVBTF9ST0xMJywnKzEnLDM5NzgyLCwsJycp&amp;WINDOW=FIRST_POPUP&amp;HEIGHT=450&amp;WIDTH=450&amp;START_MAXIMIZED=FALSE&amp;VAR:CALENDAR=US&amp;VAR:SYMBOL=38259P50&amp;VAR:INDEX=0"}</definedName>
    <definedName name="_3636__FDSAUDITLINK__">{"fdsup://directions/FAT Viewer?action=UPDATE&amp;creator=factset&amp;DYN_ARGS=TRUE&amp;DOC_NAME=FAT:FQL_AUDITING_CLIENT_TEMPLATE.FAT&amp;display_string=Audit&amp;VAR:KEY=CNOVARYVKL&amp;VAR:QUERY=KFBfUFJJQ0UoMzk3ODIpLShGRl9DQVNIX1NUKFFUUiwzOTc4MikvUF9DT01fU0hTX09VVCgzOTc4MikpKS9GR","V9FU1RJTUFURSgnRVBTJywnTUVBTicsJ0FOTlVBTF9ST0xMJywnKzEnLDM5NzgyLCwsJycp&amp;WINDOW=FIRST_POPUP&amp;HEIGHT=450&amp;WIDTH=450&amp;START_MAXIMIZED=FALSE&amp;VAR:CALENDAR=US&amp;VAR:SYMBOL=38259P50&amp;VAR:INDEX=0"}</definedName>
    <definedName name="_3637__FDSAUDITLINK__">{"fdsup://directions/FAT Viewer?action=UPDATE&amp;creator=factset&amp;DYN_ARGS=TRUE&amp;DOC_NAME=FAT:FQL_AUDITING_CLIENT_TEMPLATE.FAT&amp;display_string=Audit&amp;VAR:KEY=GFIZEVMPAJ&amp;VAR:QUERY=KFBfUFJJQ0UoMzk3ODEpLShGRl9DQVNIX1NUKFFUUiwzOTc4MSkvUF9DT01fU0hTX09VVCgzOTc4MSkpKS9GR","V9FU1RJTUFURSgnRVBTJywnTUVBTicsJ0FOTlVBTF9ST0xMJywnKzEnLDM5NzgxLCwsJycp&amp;WINDOW=FIRST_POPUP&amp;HEIGHT=450&amp;WIDTH=450&amp;START_MAXIMIZED=FALSE&amp;VAR:CALENDAR=US&amp;VAR:SYMBOL=38259P50&amp;VAR:INDEX=0"}</definedName>
    <definedName name="_3638__FDSAUDITLINK__">{"fdsup://directions/FAT Viewer?action=UPDATE&amp;creator=factset&amp;DYN_ARGS=TRUE&amp;DOC_NAME=FAT:FQL_AUDITING_CLIENT_TEMPLATE.FAT&amp;display_string=Audit&amp;VAR:KEY=GFIZEVMPAJ&amp;VAR:QUERY=KFBfUFJJQ0UoMzk3ODEpLShGRl9DQVNIX1NUKFFUUiwzOTc4MSkvUF9DT01fU0hTX09VVCgzOTc4MSkpKS9GR","V9FU1RJTUFURSgnRVBTJywnTUVBTicsJ0FOTlVBTF9ST0xMJywnKzEnLDM5NzgxLCwsJycp&amp;WINDOW=FIRST_POPUP&amp;HEIGHT=450&amp;WIDTH=450&amp;START_MAXIMIZED=FALSE&amp;VAR:CALENDAR=US&amp;VAR:SYMBOL=38259P50&amp;VAR:INDEX=0"}</definedName>
    <definedName name="_3639__FDSAUDITLINK__">{"fdsup://directions/FAT Viewer?action=UPDATE&amp;creator=factset&amp;DYN_ARGS=TRUE&amp;DOC_NAME=FAT:FQL_AUDITING_CLIENT_TEMPLATE.FAT&amp;display_string=Audit&amp;VAR:KEY=UDOLWZKZIZ&amp;VAR:QUERY=KFBfUFJJQ0UoMzk3ODApLShGRl9DQVNIX1NUKFFUUiwzOTc4MCkvUF9DT01fU0hTX09VVCgzOTc4MCkpKS9GR","V9FU1RJTUFURSgnRVBTJywnTUVBTicsJ0FOTlVBTF9ST0xMJywnKzEnLDM5NzgwLCwsJycp&amp;WINDOW=FIRST_POPUP&amp;HEIGHT=450&amp;WIDTH=450&amp;START_MAXIMIZED=FALSE&amp;VAR:CALENDAR=US&amp;VAR:SYMBOL=38259P50&amp;VAR:INDEX=0"}</definedName>
    <definedName name="_36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165"}</definedName>
    <definedName name="_3640__FDSAUDITLINK__">{"fdsup://directions/FAT Viewer?action=UPDATE&amp;creator=factset&amp;DYN_ARGS=TRUE&amp;DOC_NAME=FAT:FQL_AUDITING_CLIENT_TEMPLATE.FAT&amp;display_string=Audit&amp;VAR:KEY=UDOLWZKZIZ&amp;VAR:QUERY=KFBfUFJJQ0UoMzk3ODApLShGRl9DQVNIX1NUKFFUUiwzOTc4MCkvUF9DT01fU0hTX09VVCgzOTc4MCkpKS9GR","V9FU1RJTUFURSgnRVBTJywnTUVBTicsJ0FOTlVBTF9ST0xMJywnKzEnLDM5NzgwLCwsJycp&amp;WINDOW=FIRST_POPUP&amp;HEIGHT=450&amp;WIDTH=450&amp;START_MAXIMIZED=FALSE&amp;VAR:CALENDAR=US&amp;VAR:SYMBOL=38259P50&amp;VAR:INDEX=0"}</definedName>
    <definedName name="_3641__FDSAUDITLINK__">{"fdsup://directions/FAT Viewer?action=UPDATE&amp;creator=factset&amp;DYN_ARGS=TRUE&amp;DOC_NAME=FAT:FQL_AUDITING_CLIENT_TEMPLATE.FAT&amp;display_string=Audit&amp;VAR:KEY=STOREZADED&amp;VAR:QUERY=KFBfUFJJQ0UoMzk3NzkpLShGRl9DQVNIX1NUKFFUUiwzOTc3OSkvUF9DT01fU0hTX09VVCgzOTc3OSkpKS9GR","V9FU1RJTUFURSgnRVBTJywnTUVBTicsJ0FOTlVBTF9ST0xMJywnKzEnLDM5Nzc5LCwsJycp&amp;WINDOW=FIRST_POPUP&amp;HEIGHT=450&amp;WIDTH=450&amp;START_MAXIMIZED=FALSE&amp;VAR:CALENDAR=US&amp;VAR:SYMBOL=38259P50&amp;VAR:INDEX=0"}</definedName>
    <definedName name="_3642__FDSAUDITLINK__">{"fdsup://directions/FAT Viewer?action=UPDATE&amp;creator=factset&amp;DYN_ARGS=TRUE&amp;DOC_NAME=FAT:FQL_AUDITING_CLIENT_TEMPLATE.FAT&amp;display_string=Audit&amp;VAR:KEY=STOREZADED&amp;VAR:QUERY=KFBfUFJJQ0UoMzk3NzkpLShGRl9DQVNIX1NUKFFUUiwzOTc3OSkvUF9DT01fU0hTX09VVCgzOTc3OSkpKS9GR","V9FU1RJTUFURSgnRVBTJywnTUVBTicsJ0FOTlVBTF9ST0xMJywnKzEnLDM5Nzc5LCwsJycp&amp;WINDOW=FIRST_POPUP&amp;HEIGHT=450&amp;WIDTH=450&amp;START_MAXIMIZED=FALSE&amp;VAR:CALENDAR=US&amp;VAR:SYMBOL=38259P50&amp;VAR:INDEX=0"}</definedName>
    <definedName name="_3643__FDSAUDITLINK__">{"fdsup://directions/FAT Viewer?action=UPDATE&amp;creator=factset&amp;DYN_ARGS=TRUE&amp;DOC_NAME=FAT:FQL_AUDITING_CLIENT_TEMPLATE.FAT&amp;display_string=Audit&amp;VAR:KEY=AROTEZIBEZ&amp;VAR:QUERY=KFBfUFJJQ0UoMzk3NzgpLShGRl9DQVNIX1NUKFFUUiwzOTc3OCkvUF9DT01fU0hTX09VVCgzOTc3OCkpKS9GR","V9FU1RJTUFURSgnRVBTJywnTUVBTicsJ0FOTlVBTF9ST0xMJywnKzEnLDM5Nzc4LCwsJycp&amp;WINDOW=FIRST_POPUP&amp;HEIGHT=450&amp;WIDTH=450&amp;START_MAXIMIZED=FALSE&amp;VAR:CALENDAR=US&amp;VAR:SYMBOL=38259P50&amp;VAR:INDEX=0"}</definedName>
    <definedName name="_3644__FDSAUDITLINK__">{"fdsup://directions/FAT Viewer?action=UPDATE&amp;creator=factset&amp;DYN_ARGS=TRUE&amp;DOC_NAME=FAT:FQL_AUDITING_CLIENT_TEMPLATE.FAT&amp;display_string=Audit&amp;VAR:KEY=AROTEZIBEZ&amp;VAR:QUERY=KFBfUFJJQ0UoMzk3NzgpLShGRl9DQVNIX1NUKFFUUiwzOTc3OCkvUF9DT01fU0hTX09VVCgzOTc3OCkpKS9GR","V9FU1RJTUFURSgnRVBTJywnTUVBTicsJ0FOTlVBTF9ST0xMJywnKzEnLDM5Nzc4LCwsJycp&amp;WINDOW=FIRST_POPUP&amp;HEIGHT=450&amp;WIDTH=450&amp;START_MAXIMIZED=FALSE&amp;VAR:CALENDAR=US&amp;VAR:SYMBOL=38259P50&amp;VAR:INDEX=0"}</definedName>
    <definedName name="_3645__FDSAUDITLINK__">{"fdsup://directions/FAT Viewer?action=UPDATE&amp;creator=factset&amp;DYN_ARGS=TRUE&amp;DOC_NAME=FAT:FQL_AUDITING_CLIENT_TEMPLATE.FAT&amp;display_string=Audit&amp;VAR:KEY=ABEBILEZMR&amp;VAR:QUERY=KFBfUFJJQ0UoMzk3NzcpLShGRl9DQVNIX1NUKFFUUiwzOTc3NykvUF9DT01fU0hTX09VVCgzOTc3NykpKS9GR","V9FU1RJTUFURSgnRVBTJywnTUVBTicsJ0FOTlVBTF9ST0xMJywnKzEnLDM5Nzc3LCwsJycp&amp;WINDOW=FIRST_POPUP&amp;HEIGHT=450&amp;WIDTH=450&amp;START_MAXIMIZED=FALSE&amp;VAR:CALENDAR=US&amp;VAR:SYMBOL=38259P50&amp;VAR:INDEX=0"}</definedName>
    <definedName name="_3646__FDSAUDITLINK__">{"fdsup://directions/FAT Viewer?action=UPDATE&amp;creator=factset&amp;DYN_ARGS=TRUE&amp;DOC_NAME=FAT:FQL_AUDITING_CLIENT_TEMPLATE.FAT&amp;display_string=Audit&amp;VAR:KEY=ABEBILEZMR&amp;VAR:QUERY=KFBfUFJJQ0UoMzk3NzcpLShGRl9DQVNIX1NUKFFUUiwzOTc3NykvUF9DT01fU0hTX09VVCgzOTc3NykpKS9GR","V9FU1RJTUFURSgnRVBTJywnTUVBTicsJ0FOTlVBTF9ST0xMJywnKzEnLDM5Nzc3LCwsJycp&amp;WINDOW=FIRST_POPUP&amp;HEIGHT=450&amp;WIDTH=450&amp;START_MAXIMIZED=FALSE&amp;VAR:CALENDAR=US&amp;VAR:SYMBOL=38259P50&amp;VAR:INDEX=0"}</definedName>
    <definedName name="_3647__FDSAUDITLINK__">{"fdsup://directions/FAT Viewer?action=UPDATE&amp;creator=factset&amp;DYN_ARGS=TRUE&amp;DOC_NAME=FAT:FQL_AUDITING_CLIENT_TEMPLATE.FAT&amp;display_string=Audit&amp;VAR:KEY=GNGHKXSZYH&amp;VAR:QUERY=KFBfUFJJQ0UoMzk3NzYpLShGRl9DQVNIX1NUKFFUUiwzOTc3NikvUF9DT01fU0hTX09VVCgzOTc3NikpKS9GR","V9FU1RJTUFURSgnRVBTJywnTUVBTicsJ0FOTlVBTF9ST0xMJywnKzEnLDM5Nzc2LCwsJycp&amp;WINDOW=FIRST_POPUP&amp;HEIGHT=450&amp;WIDTH=450&amp;START_MAXIMIZED=FALSE&amp;VAR:CALENDAR=US&amp;VAR:SYMBOL=38259P50&amp;VAR:INDEX=0"}</definedName>
    <definedName name="_3648__FDSAUDITLINK__">{"fdsup://directions/FAT Viewer?action=UPDATE&amp;creator=factset&amp;DYN_ARGS=TRUE&amp;DOC_NAME=FAT:FQL_AUDITING_CLIENT_TEMPLATE.FAT&amp;display_string=Audit&amp;VAR:KEY=GNGHKXSZYH&amp;VAR:QUERY=KFBfUFJJQ0UoMzk3NzYpLShGRl9DQVNIX1NUKFFUUiwzOTc3NikvUF9DT01fU0hTX09VVCgzOTc3NikpKS9GR","V9FU1RJTUFURSgnRVBTJywnTUVBTicsJ0FOTlVBTF9ST0xMJywnKzEnLDM5Nzc2LCwsJycp&amp;WINDOW=FIRST_POPUP&amp;HEIGHT=450&amp;WIDTH=450&amp;START_MAXIMIZED=FALSE&amp;VAR:CALENDAR=US&amp;VAR:SYMBOL=38259P50&amp;VAR:INDEX=0"}</definedName>
    <definedName name="_3649__FDSAUDITLINK__">{"fdsup://directions/FAT Viewer?action=UPDATE&amp;creator=factset&amp;DYN_ARGS=TRUE&amp;DOC_NAME=FAT:FQL_AUDITING_CLIENT_TEMPLATE.FAT&amp;display_string=Audit&amp;VAR:KEY=QXQRAZSTUR&amp;VAR:QUERY=KFBfUFJJQ0UoMzk3NzUpLShGRl9DQVNIX1NUKFFUUiwzOTc3NSkvUF9DT01fU0hTX09VVCgzOTc3NSkpKS9GR","V9FU1RJTUFURSgnRVBTJywnTUVBTicsJ0FOTlVBTF9ST0xMJywnKzEnLDM5Nzc1LCwsJycp&amp;WINDOW=FIRST_POPUP&amp;HEIGHT=450&amp;WIDTH=450&amp;START_MAXIMIZED=FALSE&amp;VAR:CALENDAR=US&amp;VAR:SYMBOL=38259P50&amp;VAR:INDEX=0"}</definedName>
    <definedName name="_36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164"}</definedName>
    <definedName name="_3650__FDSAUDITLINK__">{"fdsup://directions/FAT Viewer?action=UPDATE&amp;creator=factset&amp;DYN_ARGS=TRUE&amp;DOC_NAME=FAT:FQL_AUDITING_CLIENT_TEMPLATE.FAT&amp;display_string=Audit&amp;VAR:KEY=QXQRAZSTUR&amp;VAR:QUERY=KFBfUFJJQ0UoMzk3NzUpLShGRl9DQVNIX1NUKFFUUiwzOTc3NSkvUF9DT01fU0hTX09VVCgzOTc3NSkpKS9GR","V9FU1RJTUFURSgnRVBTJywnTUVBTicsJ0FOTlVBTF9ST0xMJywnKzEnLDM5Nzc1LCwsJycp&amp;WINDOW=FIRST_POPUP&amp;HEIGHT=450&amp;WIDTH=450&amp;START_MAXIMIZED=FALSE&amp;VAR:CALENDAR=US&amp;VAR:SYMBOL=38259P50&amp;VAR:INDEX=0"}</definedName>
    <definedName name="_3651__FDSAUDITLINK__">{"fdsup://directions/FAT Viewer?action=UPDATE&amp;creator=factset&amp;DYN_ARGS=TRUE&amp;DOC_NAME=FAT:FQL_AUDITING_CLIENT_TEMPLATE.FAT&amp;display_string=Audit&amp;VAR:KEY=WZQTQDCFCV&amp;VAR:QUERY=KFBfUFJJQ0UoMzk3NzQpLShGRl9DQVNIX1NUKFFUUiwzOTc3NCkvUF9DT01fU0hTX09VVCgzOTc3NCkpKS9GR","V9FU1RJTUFURSgnRVBTJywnTUVBTicsJ0FOTlVBTF9ST0xMJywnKzEnLDM5Nzc0LCwsJycp&amp;WINDOW=FIRST_POPUP&amp;HEIGHT=450&amp;WIDTH=450&amp;START_MAXIMIZED=FALSE&amp;VAR:CALENDAR=US&amp;VAR:SYMBOL=38259P50&amp;VAR:INDEX=0"}</definedName>
    <definedName name="_3652__FDSAUDITLINK__">{"fdsup://directions/FAT Viewer?action=UPDATE&amp;creator=factset&amp;DYN_ARGS=TRUE&amp;DOC_NAME=FAT:FQL_AUDITING_CLIENT_TEMPLATE.FAT&amp;display_string=Audit&amp;VAR:KEY=WZQTQDCFCV&amp;VAR:QUERY=KFBfUFJJQ0UoMzk3NzQpLShGRl9DQVNIX1NUKFFUUiwzOTc3NCkvUF9DT01fU0hTX09VVCgzOTc3NCkpKS9GR","V9FU1RJTUFURSgnRVBTJywnTUVBTicsJ0FOTlVBTF9ST0xMJywnKzEnLDM5Nzc0LCwsJycp&amp;WINDOW=FIRST_POPUP&amp;HEIGHT=450&amp;WIDTH=450&amp;START_MAXIMIZED=FALSE&amp;VAR:CALENDAR=US&amp;VAR:SYMBOL=38259P50&amp;VAR:INDEX=0"}</definedName>
    <definedName name="_3653__FDSAUDITLINK__">{"fdsup://directions/FAT Viewer?action=UPDATE&amp;creator=factset&amp;DYN_ARGS=TRUE&amp;DOC_NAME=FAT:FQL_AUDITING_CLIENT_TEMPLATE.FAT&amp;display_string=Audit&amp;VAR:KEY=YFYHQVOXQF&amp;VAR:QUERY=KFBfUFJJQ0UoMzk3NzMpLShGRl9DQVNIX1NUKFFUUiwzOTc3MykvUF9DT01fU0hTX09VVCgzOTc3MykpKS9GR","V9FU1RJTUFURSgnRVBTJywnTUVBTicsJ0FOTlVBTF9ST0xMJywnKzEnLDM5NzczLCwsJycp&amp;WINDOW=FIRST_POPUP&amp;HEIGHT=450&amp;WIDTH=450&amp;START_MAXIMIZED=FALSE&amp;VAR:CALENDAR=US&amp;VAR:SYMBOL=38259P50&amp;VAR:INDEX=0"}</definedName>
    <definedName name="_3654__FDSAUDITLINK__">{"fdsup://directions/FAT Viewer?action=UPDATE&amp;creator=factset&amp;DYN_ARGS=TRUE&amp;DOC_NAME=FAT:FQL_AUDITING_CLIENT_TEMPLATE.FAT&amp;display_string=Audit&amp;VAR:KEY=YFYHQVOXQF&amp;VAR:QUERY=KFBfUFJJQ0UoMzk3NzMpLShGRl9DQVNIX1NUKFFUUiwzOTc3MykvUF9DT01fU0hTX09VVCgzOTc3MykpKS9GR","V9FU1RJTUFURSgnRVBTJywnTUVBTicsJ0FOTlVBTF9ST0xMJywnKzEnLDM5NzczLCwsJycp&amp;WINDOW=FIRST_POPUP&amp;HEIGHT=450&amp;WIDTH=450&amp;START_MAXIMIZED=FALSE&amp;VAR:CALENDAR=US&amp;VAR:SYMBOL=38259P50&amp;VAR:INDEX=0"}</definedName>
    <definedName name="_3655__FDSAUDITLINK__">{"fdsup://directions/FAT Viewer?action=UPDATE&amp;creator=factset&amp;DYN_ARGS=TRUE&amp;DOC_NAME=FAT:FQL_AUDITING_CLIENT_TEMPLATE.FAT&amp;display_string=Audit&amp;VAR:KEY=QTMDYBUHUH&amp;VAR:QUERY=KFBfUFJJQ0UoMzk3NzIpLShGRl9DQVNIX1NUKFFUUiwzOTc3MikvUF9DT01fU0hTX09VVCgzOTc3MikpKS9GR","V9FU1RJTUFURSgnRVBTJywnTUVBTicsJ0FOTlVBTF9ST0xMJywnKzEnLDM5NzcyLCwsJycp&amp;WINDOW=FIRST_POPUP&amp;HEIGHT=450&amp;WIDTH=450&amp;START_MAXIMIZED=FALSE&amp;VAR:CALENDAR=US&amp;VAR:SYMBOL=38259P50&amp;VAR:INDEX=0"}</definedName>
    <definedName name="_3656__FDSAUDITLINK__">{"fdsup://directions/FAT Viewer?action=UPDATE&amp;creator=factset&amp;DYN_ARGS=TRUE&amp;DOC_NAME=FAT:FQL_AUDITING_CLIENT_TEMPLATE.FAT&amp;display_string=Audit&amp;VAR:KEY=QTMDYBUHUH&amp;VAR:QUERY=KFBfUFJJQ0UoMzk3NzIpLShGRl9DQVNIX1NUKFFUUiwzOTc3MikvUF9DT01fU0hTX09VVCgzOTc3MikpKS9GR","V9FU1RJTUFURSgnRVBTJywnTUVBTicsJ0FOTlVBTF9ST0xMJywnKzEnLDM5NzcyLCwsJycp&amp;WINDOW=FIRST_POPUP&amp;HEIGHT=450&amp;WIDTH=450&amp;START_MAXIMIZED=FALSE&amp;VAR:CALENDAR=US&amp;VAR:SYMBOL=38259P50&amp;VAR:INDEX=0"}</definedName>
    <definedName name="_3657__FDSAUDITLINK__">{"fdsup://directions/FAT Viewer?action=UPDATE&amp;creator=factset&amp;DYN_ARGS=TRUE&amp;DOC_NAME=FAT:FQL_AUDITING_CLIENT_TEMPLATE.FAT&amp;display_string=Audit&amp;VAR:KEY=KTWDONQVEB&amp;VAR:QUERY=KFBfUFJJQ0UoMzk3NzEpLShGRl9DQVNIX1NUKFFUUiwzOTc3MSkvUF9DT01fU0hTX09VVCgzOTc3MSkpKS9GR","V9FU1RJTUFURSgnRVBTJywnTUVBTicsJ0FOTlVBTF9ST0xMJywnKzEnLDM5NzcxLCwsJycp&amp;WINDOW=FIRST_POPUP&amp;HEIGHT=450&amp;WIDTH=450&amp;START_MAXIMIZED=FALSE&amp;VAR:CALENDAR=US&amp;VAR:SYMBOL=38259P50&amp;VAR:INDEX=0"}</definedName>
    <definedName name="_3658__FDSAUDITLINK__">{"fdsup://directions/FAT Viewer?action=UPDATE&amp;creator=factset&amp;DYN_ARGS=TRUE&amp;DOC_NAME=FAT:FQL_AUDITING_CLIENT_TEMPLATE.FAT&amp;display_string=Audit&amp;VAR:KEY=KTWDONQVEB&amp;VAR:QUERY=KFBfUFJJQ0UoMzk3NzEpLShGRl9DQVNIX1NUKFFUUiwzOTc3MSkvUF9DT01fU0hTX09VVCgzOTc3MSkpKS9GR","V9FU1RJTUFURSgnRVBTJywnTUVBTicsJ0FOTlVBTF9ST0xMJywnKzEnLDM5NzcxLCwsJycp&amp;WINDOW=FIRST_POPUP&amp;HEIGHT=450&amp;WIDTH=450&amp;START_MAXIMIZED=FALSE&amp;VAR:CALENDAR=US&amp;VAR:SYMBOL=38259P50&amp;VAR:INDEX=0"}</definedName>
    <definedName name="_3659__FDSAUDITLINK__">{"fdsup://directions/FAT Viewer?action=UPDATE&amp;creator=factset&amp;DYN_ARGS=TRUE&amp;DOC_NAME=FAT:FQL_AUDITING_CLIENT_TEMPLATE.FAT&amp;display_string=Audit&amp;VAR:KEY=KBMFERMLKZ&amp;VAR:QUERY=KFBfUFJJQ0UoMzk3NzApLShGRl9DQVNIX1NUKFFUUiwzOTc3MCkvUF9DT01fU0hTX09VVCgzOTc3MCkpKS9GR","V9FU1RJTUFURSgnRVBTJywnTUVBTicsJ0FOTlVBTF9ST0xMJywnKzEnLDM5NzcwLCwsJycp&amp;WINDOW=FIRST_POPUP&amp;HEIGHT=450&amp;WIDTH=450&amp;START_MAXIMIZED=FALSE&amp;VAR:CALENDAR=US&amp;VAR:SYMBOL=38259P50&amp;VAR:INDEX=0"}</definedName>
    <definedName name="_36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163"}</definedName>
    <definedName name="_3660__FDSAUDITLINK__">{"fdsup://directions/FAT Viewer?action=UPDATE&amp;creator=factset&amp;DYN_ARGS=TRUE&amp;DOC_NAME=FAT:FQL_AUDITING_CLIENT_TEMPLATE.FAT&amp;display_string=Audit&amp;VAR:KEY=KBMFERMLKZ&amp;VAR:QUERY=KFBfUFJJQ0UoMzk3NzApLShGRl9DQVNIX1NUKFFUUiwzOTc3MCkvUF9DT01fU0hTX09VVCgzOTc3MCkpKS9GR","V9FU1RJTUFURSgnRVBTJywnTUVBTicsJ0FOTlVBTF9ST0xMJywnKzEnLDM5NzcwLCwsJycp&amp;WINDOW=FIRST_POPUP&amp;HEIGHT=450&amp;WIDTH=450&amp;START_MAXIMIZED=FALSE&amp;VAR:CALENDAR=US&amp;VAR:SYMBOL=38259P50&amp;VAR:INDEX=0"}</definedName>
    <definedName name="_3661__FDSAUDITLINK__">{"fdsup://directions/FAT Viewer?action=UPDATE&amp;creator=factset&amp;DYN_ARGS=TRUE&amp;DOC_NAME=FAT:FQL_AUDITING_CLIENT_TEMPLATE.FAT&amp;display_string=Audit&amp;VAR:KEY=CDULEJWFKB&amp;VAR:QUERY=KFBfUFJJQ0UoMzk3NjkpLShGRl9DQVNIX1NUKFFUUiwzOTc2OSkvUF9DT01fU0hTX09VVCgzOTc2OSkpKS9GR","V9FU1RJTUFURSgnRVBTJywnTUVBTicsJ0FOTlVBTF9ST0xMJywnKzEnLDM5NzY5LCwsJycp&amp;WINDOW=FIRST_POPUP&amp;HEIGHT=450&amp;WIDTH=450&amp;START_MAXIMIZED=FALSE&amp;VAR:CALENDAR=US&amp;VAR:SYMBOL=38259P50&amp;VAR:INDEX=0"}</definedName>
    <definedName name="_3662__FDSAUDITLINK__">{"fdsup://directions/FAT Viewer?action=UPDATE&amp;creator=factset&amp;DYN_ARGS=TRUE&amp;DOC_NAME=FAT:FQL_AUDITING_CLIENT_TEMPLATE.FAT&amp;display_string=Audit&amp;VAR:KEY=CDULEJWFKB&amp;VAR:QUERY=KFBfUFJJQ0UoMzk3NjkpLShGRl9DQVNIX1NUKFFUUiwzOTc2OSkvUF9DT01fU0hTX09VVCgzOTc2OSkpKS9GR","V9FU1RJTUFURSgnRVBTJywnTUVBTicsJ0FOTlVBTF9ST0xMJywnKzEnLDM5NzY5LCwsJycp&amp;WINDOW=FIRST_POPUP&amp;HEIGHT=450&amp;WIDTH=450&amp;START_MAXIMIZED=FALSE&amp;VAR:CALENDAR=US&amp;VAR:SYMBOL=38259P50&amp;VAR:INDEX=0"}</definedName>
    <definedName name="_3663__FDSAUDITLINK__">{"fdsup://directions/FAT Viewer?action=UPDATE&amp;creator=factset&amp;DYN_ARGS=TRUE&amp;DOC_NAME=FAT:FQL_AUDITING_CLIENT_TEMPLATE.FAT&amp;display_string=Audit&amp;VAR:KEY=MDUDMHQPUJ&amp;VAR:QUERY=KFBfUFJJQ0UoMzk3NjgpLShGRl9DQVNIX1NUKFFUUiwzOTc2OCkvUF9DT01fU0hTX09VVCgzOTc2OCkpKS9GR","V9FU1RJTUFURSgnRVBTJywnTUVBTicsJ0FOTlVBTF9ST0xMJywnKzEnLDM5NzY4LCwsJycp&amp;WINDOW=FIRST_POPUP&amp;HEIGHT=450&amp;WIDTH=450&amp;START_MAXIMIZED=FALSE&amp;VAR:CALENDAR=US&amp;VAR:SYMBOL=38259P50&amp;VAR:INDEX=0"}</definedName>
    <definedName name="_3664__FDSAUDITLINK__">{"fdsup://directions/FAT Viewer?action=UPDATE&amp;creator=factset&amp;DYN_ARGS=TRUE&amp;DOC_NAME=FAT:FQL_AUDITING_CLIENT_TEMPLATE.FAT&amp;display_string=Audit&amp;VAR:KEY=MDUDMHQPUJ&amp;VAR:QUERY=KFBfUFJJQ0UoMzk3NjgpLShGRl9DQVNIX1NUKFFUUiwzOTc2OCkvUF9DT01fU0hTX09VVCgzOTc2OCkpKS9GR","V9FU1RJTUFURSgnRVBTJywnTUVBTicsJ0FOTlVBTF9ST0xMJywnKzEnLDM5NzY4LCwsJycp&amp;WINDOW=FIRST_POPUP&amp;HEIGHT=450&amp;WIDTH=450&amp;START_MAXIMIZED=FALSE&amp;VAR:CALENDAR=US&amp;VAR:SYMBOL=38259P50&amp;VAR:INDEX=0"}</definedName>
    <definedName name="_3665__FDSAUDITLINK__">{"fdsup://directions/FAT Viewer?action=UPDATE&amp;creator=factset&amp;DYN_ARGS=TRUE&amp;DOC_NAME=FAT:FQL_AUDITING_CLIENT_TEMPLATE.FAT&amp;display_string=Audit&amp;VAR:KEY=IDEHKNWBUP&amp;VAR:QUERY=KFBfUFJJQ0UoMzk3NjcpLShGRl9DQVNIX1NUKFFUUiwzOTc2NykvUF9DT01fU0hTX09VVCgzOTc2NykpKS9GR","V9FU1RJTUFURSgnRVBTJywnTUVBTicsJ0FOTlVBTF9ST0xMJywnKzEnLDM5NzY3LCwsJycp&amp;WINDOW=FIRST_POPUP&amp;HEIGHT=450&amp;WIDTH=450&amp;START_MAXIMIZED=FALSE&amp;VAR:CALENDAR=US&amp;VAR:SYMBOL=38259P50&amp;VAR:INDEX=0"}</definedName>
    <definedName name="_3666__FDSAUDITLINK__">{"fdsup://directions/FAT Viewer?action=UPDATE&amp;creator=factset&amp;DYN_ARGS=TRUE&amp;DOC_NAME=FAT:FQL_AUDITING_CLIENT_TEMPLATE.FAT&amp;display_string=Audit&amp;VAR:KEY=IDEHKNWBUP&amp;VAR:QUERY=KFBfUFJJQ0UoMzk3NjcpLShGRl9DQVNIX1NUKFFUUiwzOTc2NykvUF9DT01fU0hTX09VVCgzOTc2NykpKS9GR","V9FU1RJTUFURSgnRVBTJywnTUVBTicsJ0FOTlVBTF9ST0xMJywnKzEnLDM5NzY3LCwsJycp&amp;WINDOW=FIRST_POPUP&amp;HEIGHT=450&amp;WIDTH=450&amp;START_MAXIMIZED=FALSE&amp;VAR:CALENDAR=US&amp;VAR:SYMBOL=38259P50&amp;VAR:INDEX=0"}</definedName>
    <definedName name="_3667__FDSAUDITLINK__">{"fdsup://directions/FAT Viewer?action=UPDATE&amp;creator=factset&amp;DYN_ARGS=TRUE&amp;DOC_NAME=FAT:FQL_AUDITING_CLIENT_TEMPLATE.FAT&amp;display_string=Audit&amp;VAR:KEY=EJQNEXWFIZ&amp;VAR:QUERY=KFBfUFJJQ0UoMzk3NjYpLShGRl9DQVNIX1NUKFFUUiwzOTc2NikvUF9DT01fU0hTX09VVCgzOTc2NikpKS9GR","V9FU1RJTUFURSgnRVBTJywnTUVBTicsJ0FOTlVBTF9ST0xMJywnKzEnLDM5NzY2LCwsJycp&amp;WINDOW=FIRST_POPUP&amp;HEIGHT=450&amp;WIDTH=450&amp;START_MAXIMIZED=FALSE&amp;VAR:CALENDAR=US&amp;VAR:SYMBOL=38259P50&amp;VAR:INDEX=0"}</definedName>
    <definedName name="_3668__FDSAUDITLINK__">{"fdsup://directions/FAT Viewer?action=UPDATE&amp;creator=factset&amp;DYN_ARGS=TRUE&amp;DOC_NAME=FAT:FQL_AUDITING_CLIENT_TEMPLATE.FAT&amp;display_string=Audit&amp;VAR:KEY=EJQNEXWFIZ&amp;VAR:QUERY=KFBfUFJJQ0UoMzk3NjYpLShGRl9DQVNIX1NUKFFUUiwzOTc2NikvUF9DT01fU0hTX09VVCgzOTc2NikpKS9GR","V9FU1RJTUFURSgnRVBTJywnTUVBTicsJ0FOTlVBTF9ST0xMJywnKzEnLDM5NzY2LCwsJycp&amp;WINDOW=FIRST_POPUP&amp;HEIGHT=450&amp;WIDTH=450&amp;START_MAXIMIZED=FALSE&amp;VAR:CALENDAR=US&amp;VAR:SYMBOL=38259P50&amp;VAR:INDEX=0"}</definedName>
    <definedName name="_3669__FDSAUDITLINK__">{"fdsup://directions/FAT Viewer?action=UPDATE&amp;creator=factset&amp;DYN_ARGS=TRUE&amp;DOC_NAME=FAT:FQL_AUDITING_CLIENT_TEMPLATE.FAT&amp;display_string=Audit&amp;VAR:KEY=OVKNSFEZWZ&amp;VAR:QUERY=KFBfUFJJQ0UoMzk3NjUpLShGRl9DQVNIX1NUKFFUUiwzOTc2NSkvUF9DT01fU0hTX09VVCgzOTc2NSkpKS9GR","V9FU1RJTUFURSgnRVBTJywnTUVBTicsJ0FOTlVBTF9ST0xMJywnKzEnLDM5NzY1LCwsJycp&amp;WINDOW=FIRST_POPUP&amp;HEIGHT=450&amp;WIDTH=450&amp;START_MAXIMIZED=FALSE&amp;VAR:CALENDAR=US&amp;VAR:SYMBOL=38259P50&amp;VAR:INDEX=0"}</definedName>
    <definedName name="_36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162"}</definedName>
    <definedName name="_3670__FDSAUDITLINK__">{"fdsup://directions/FAT Viewer?action=UPDATE&amp;creator=factset&amp;DYN_ARGS=TRUE&amp;DOC_NAME=FAT:FQL_AUDITING_CLIENT_TEMPLATE.FAT&amp;display_string=Audit&amp;VAR:KEY=OVKNSFEZWZ&amp;VAR:QUERY=KFBfUFJJQ0UoMzk3NjUpLShGRl9DQVNIX1NUKFFUUiwzOTc2NSkvUF9DT01fU0hTX09VVCgzOTc2NSkpKS9GR","V9FU1RJTUFURSgnRVBTJywnTUVBTicsJ0FOTlVBTF9ST0xMJywnKzEnLDM5NzY1LCwsJycp&amp;WINDOW=FIRST_POPUP&amp;HEIGHT=450&amp;WIDTH=450&amp;START_MAXIMIZED=FALSE&amp;VAR:CALENDAR=US&amp;VAR:SYMBOL=38259P50&amp;VAR:INDEX=0"}</definedName>
    <definedName name="_3671__FDSAUDITLINK__">{"fdsup://directions/FAT Viewer?action=UPDATE&amp;creator=factset&amp;DYN_ARGS=TRUE&amp;DOC_NAME=FAT:FQL_AUDITING_CLIENT_TEMPLATE.FAT&amp;display_string=Audit&amp;VAR:KEY=UTQXAHEPST&amp;VAR:QUERY=KFBfUFJJQ0UoMzk3NjQpLShGRl9DQVNIX1NUKFFUUiwzOTc2NCkvUF9DT01fU0hTX09VVCgzOTc2NCkpKS9GR","V9FU1RJTUFURSgnRVBTJywnTUVBTicsJ0FOTlVBTF9ST0xMJywnKzEnLDM5NzY0LCwsJycp&amp;WINDOW=FIRST_POPUP&amp;HEIGHT=450&amp;WIDTH=450&amp;START_MAXIMIZED=FALSE&amp;VAR:CALENDAR=US&amp;VAR:SYMBOL=38259P50&amp;VAR:INDEX=0"}</definedName>
    <definedName name="_3672__FDSAUDITLINK__">{"fdsup://directions/FAT Viewer?action=UPDATE&amp;creator=factset&amp;DYN_ARGS=TRUE&amp;DOC_NAME=FAT:FQL_AUDITING_CLIENT_TEMPLATE.FAT&amp;display_string=Audit&amp;VAR:KEY=UTQXAHEPST&amp;VAR:QUERY=KFBfUFJJQ0UoMzk3NjQpLShGRl9DQVNIX1NUKFFUUiwzOTc2NCkvUF9DT01fU0hTX09VVCgzOTc2NCkpKS9GR","V9FU1RJTUFURSgnRVBTJywnTUVBTicsJ0FOTlVBTF9ST0xMJywnKzEnLDM5NzY0LCwsJycp&amp;WINDOW=FIRST_POPUP&amp;HEIGHT=450&amp;WIDTH=450&amp;START_MAXIMIZED=FALSE&amp;VAR:CALENDAR=US&amp;VAR:SYMBOL=38259P50&amp;VAR:INDEX=0"}</definedName>
    <definedName name="_3673__FDSAUDITLINK__">{"fdsup://directions/FAT Viewer?action=UPDATE&amp;creator=factset&amp;DYN_ARGS=TRUE&amp;DOC_NAME=FAT:FQL_AUDITING_CLIENT_TEMPLATE.FAT&amp;display_string=Audit&amp;VAR:KEY=CRITOPCBOD&amp;VAR:QUERY=KFBfUFJJQ0UoMzk3NjMpLShGRl9DQVNIX1NUKFFUUiwzOTc2MykvUF9DT01fU0hTX09VVCgzOTc2MykpKS9GR","V9FU1RJTUFURSgnRVBTJywnTUVBTicsJ0FOTlVBTF9ST0xMJywnKzEnLDM5NzYzLCwsJycp&amp;WINDOW=FIRST_POPUP&amp;HEIGHT=450&amp;WIDTH=450&amp;START_MAXIMIZED=FALSE&amp;VAR:CALENDAR=US&amp;VAR:SYMBOL=38259P50&amp;VAR:INDEX=0"}</definedName>
    <definedName name="_3674__FDSAUDITLINK__">{"fdsup://directions/FAT Viewer?action=UPDATE&amp;creator=factset&amp;DYN_ARGS=TRUE&amp;DOC_NAME=FAT:FQL_AUDITING_CLIENT_TEMPLATE.FAT&amp;display_string=Audit&amp;VAR:KEY=CRITOPCBOD&amp;VAR:QUERY=KFBfUFJJQ0UoMzk3NjMpLShGRl9DQVNIX1NUKFFUUiwzOTc2MykvUF9DT01fU0hTX09VVCgzOTc2MykpKS9GR","V9FU1RJTUFURSgnRVBTJywnTUVBTicsJ0FOTlVBTF9ST0xMJywnKzEnLDM5NzYzLCwsJycp&amp;WINDOW=FIRST_POPUP&amp;HEIGHT=450&amp;WIDTH=450&amp;START_MAXIMIZED=FALSE&amp;VAR:CALENDAR=US&amp;VAR:SYMBOL=38259P50&amp;VAR:INDEX=0"}</definedName>
    <definedName name="_3675__FDSAUDITLINK__">{"fdsup://directions/FAT Viewer?action=UPDATE&amp;creator=factset&amp;DYN_ARGS=TRUE&amp;DOC_NAME=FAT:FQL_AUDITING_CLIENT_TEMPLATE.FAT&amp;display_string=Audit&amp;VAR:KEY=QVWDYDWJMR&amp;VAR:QUERY=KFBfUFJJQ0UoMzk3NjIpLShGRl9DQVNIX1NUKFFUUiwzOTc2MikvUF9DT01fU0hTX09VVCgzOTc2MikpKS9GR","V9FU1RJTUFURSgnRVBTJywnTUVBTicsJ0FOTlVBTF9ST0xMJywnKzEnLDM5NzYyLCwsJycp&amp;WINDOW=FIRST_POPUP&amp;HEIGHT=450&amp;WIDTH=450&amp;START_MAXIMIZED=FALSE&amp;VAR:CALENDAR=US&amp;VAR:SYMBOL=38259P50&amp;VAR:INDEX=0"}</definedName>
    <definedName name="_3676__FDSAUDITLINK__">{"fdsup://directions/FAT Viewer?action=UPDATE&amp;creator=factset&amp;DYN_ARGS=TRUE&amp;DOC_NAME=FAT:FQL_AUDITING_CLIENT_TEMPLATE.FAT&amp;display_string=Audit&amp;VAR:KEY=QVWDYDWJMR&amp;VAR:QUERY=KFBfUFJJQ0UoMzk3NjIpLShGRl9DQVNIX1NUKFFUUiwzOTc2MikvUF9DT01fU0hTX09VVCgzOTc2MikpKS9GR","V9FU1RJTUFURSgnRVBTJywnTUVBTicsJ0FOTlVBTF9ST0xMJywnKzEnLDM5NzYyLCwsJycp&amp;WINDOW=FIRST_POPUP&amp;HEIGHT=450&amp;WIDTH=450&amp;START_MAXIMIZED=FALSE&amp;VAR:CALENDAR=US&amp;VAR:SYMBOL=38259P50&amp;VAR:INDEX=0"}</definedName>
    <definedName name="_3677__FDSAUDITLINK__">{"fdsup://directions/FAT Viewer?action=UPDATE&amp;creator=factset&amp;DYN_ARGS=TRUE&amp;DOC_NAME=FAT:FQL_AUDITING_CLIENT_TEMPLATE.FAT&amp;display_string=Audit&amp;VAR:KEY=AZMNCBOXKL&amp;VAR:QUERY=KFBfUFJJQ0UoMzk3NjEpLShGRl9DQVNIX1NUKFFUUiwzOTc2MSkvUF9DT01fU0hTX09VVCgzOTc2MSkpKS9GR","V9FU1RJTUFURSgnRVBTJywnTUVBTicsJ0FOTlVBTF9ST0xMJywnKzEnLDM5NzYxLCwsJycp&amp;WINDOW=FIRST_POPUP&amp;HEIGHT=450&amp;WIDTH=450&amp;START_MAXIMIZED=FALSE&amp;VAR:CALENDAR=US&amp;VAR:SYMBOL=38259P50&amp;VAR:INDEX=0"}</definedName>
    <definedName name="_3678__FDSAUDITLINK__">{"fdsup://directions/FAT Viewer?action=UPDATE&amp;creator=factset&amp;DYN_ARGS=TRUE&amp;DOC_NAME=FAT:FQL_AUDITING_CLIENT_TEMPLATE.FAT&amp;display_string=Audit&amp;VAR:KEY=AZMNCBOXKL&amp;VAR:QUERY=KFBfUFJJQ0UoMzk3NjEpLShGRl9DQVNIX1NUKFFUUiwzOTc2MSkvUF9DT01fU0hTX09VVCgzOTc2MSkpKS9GR","V9FU1RJTUFURSgnRVBTJywnTUVBTicsJ0FOTlVBTF9ST0xMJywnKzEnLDM5NzYxLCwsJycp&amp;WINDOW=FIRST_POPUP&amp;HEIGHT=450&amp;WIDTH=450&amp;START_MAXIMIZED=FALSE&amp;VAR:CALENDAR=US&amp;VAR:SYMBOL=38259P50&amp;VAR:INDEX=0"}</definedName>
    <definedName name="_3679__FDSAUDITLINK__">{"fdsup://directions/FAT Viewer?action=UPDATE&amp;creator=factset&amp;DYN_ARGS=TRUE&amp;DOC_NAME=FAT:FQL_AUDITING_CLIENT_TEMPLATE.FAT&amp;display_string=Audit&amp;VAR:KEY=QNKPCXQRIJ&amp;VAR:QUERY=KFBfUFJJQ0UoMzk3NjApLShGRl9DQVNIX1NUKFFUUiwzOTc2MCkvUF9DT01fU0hTX09VVCgzOTc2MCkpKS9GR","V9FU1RJTUFURSgnRVBTJywnTUVBTicsJ0FOTlVBTF9ST0xMJywnKzEnLDM5NzYwLCwsJycp&amp;WINDOW=FIRST_POPUP&amp;HEIGHT=450&amp;WIDTH=450&amp;START_MAXIMIZED=FALSE&amp;VAR:CALENDAR=US&amp;VAR:SYMBOL=38259P50&amp;VAR:INDEX=0"}</definedName>
    <definedName name="_36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161"}</definedName>
    <definedName name="_3680__FDSAUDITLINK__">{"fdsup://directions/FAT Viewer?action=UPDATE&amp;creator=factset&amp;DYN_ARGS=TRUE&amp;DOC_NAME=FAT:FQL_AUDITING_CLIENT_TEMPLATE.FAT&amp;display_string=Audit&amp;VAR:KEY=QNKPCXQRIJ&amp;VAR:QUERY=KFBfUFJJQ0UoMzk3NjApLShGRl9DQVNIX1NUKFFUUiwzOTc2MCkvUF9DT01fU0hTX09VVCgzOTc2MCkpKS9GR","V9FU1RJTUFURSgnRVBTJywnTUVBTicsJ0FOTlVBTF9ST0xMJywnKzEnLDM5NzYwLCwsJycp&amp;WINDOW=FIRST_POPUP&amp;HEIGHT=450&amp;WIDTH=450&amp;START_MAXIMIZED=FALSE&amp;VAR:CALENDAR=US&amp;VAR:SYMBOL=38259P50&amp;VAR:INDEX=0"}</definedName>
    <definedName name="_3681__FDSAUDITLINK__">{"fdsup://directions/FAT Viewer?action=UPDATE&amp;creator=factset&amp;DYN_ARGS=TRUE&amp;DOC_NAME=FAT:FQL_AUDITING_CLIENT_TEMPLATE.FAT&amp;display_string=Audit&amp;VAR:KEY=GPEJUJIRSF&amp;VAR:QUERY=KFBfUFJJQ0UoMzk3NTkpLShGRl9DQVNIX1NUKFFUUiwzOTc1OSkvUF9DT01fU0hTX09VVCgzOTc1OSkpKS9GR","V9FU1RJTUFURSgnRVBTJywnTUVBTicsJ0FOTlVBTF9ST0xMJywnKzEnLDM5NzU5LCwsJycp&amp;WINDOW=FIRST_POPUP&amp;HEIGHT=450&amp;WIDTH=450&amp;START_MAXIMIZED=FALSE&amp;VAR:CALENDAR=US&amp;VAR:SYMBOL=38259P50&amp;VAR:INDEX=0"}</definedName>
    <definedName name="_3682__FDSAUDITLINK__">{"fdsup://directions/FAT Viewer?action=UPDATE&amp;creator=factset&amp;DYN_ARGS=TRUE&amp;DOC_NAME=FAT:FQL_AUDITING_CLIENT_TEMPLATE.FAT&amp;display_string=Audit&amp;VAR:KEY=GPEJUJIRSF&amp;VAR:QUERY=KFBfUFJJQ0UoMzk3NTkpLShGRl9DQVNIX1NUKFFUUiwzOTc1OSkvUF9DT01fU0hTX09VVCgzOTc1OSkpKS9GR","V9FU1RJTUFURSgnRVBTJywnTUVBTicsJ0FOTlVBTF9ST0xMJywnKzEnLDM5NzU5LCwsJycp&amp;WINDOW=FIRST_POPUP&amp;HEIGHT=450&amp;WIDTH=450&amp;START_MAXIMIZED=FALSE&amp;VAR:CALENDAR=US&amp;VAR:SYMBOL=38259P50&amp;VAR:INDEX=0"}</definedName>
    <definedName name="_3683__FDSAUDITLINK__">{"fdsup://directions/FAT Viewer?action=UPDATE&amp;creator=factset&amp;DYN_ARGS=TRUE&amp;DOC_NAME=FAT:FQL_AUDITING_CLIENT_TEMPLATE.FAT&amp;display_string=Audit&amp;VAR:KEY=ARQNSZWDSL&amp;VAR:QUERY=KFBfUFJJQ0UoMzk3NTgpLShGRl9DQVNIX1NUKFFUUiwzOTc1OCkvUF9DT01fU0hTX09VVCgzOTc1OCkpKS9GR","V9FU1RJTUFURSgnRVBTJywnTUVBTicsJ0FOTlVBTF9ST0xMJywnKzEnLDM5NzU4LCwsJycp&amp;WINDOW=FIRST_POPUP&amp;HEIGHT=450&amp;WIDTH=450&amp;START_MAXIMIZED=FALSE&amp;VAR:CALENDAR=US&amp;VAR:SYMBOL=38259P50&amp;VAR:INDEX=0"}</definedName>
    <definedName name="_3684__FDSAUDITLINK__">{"fdsup://directions/FAT Viewer?action=UPDATE&amp;creator=factset&amp;DYN_ARGS=TRUE&amp;DOC_NAME=FAT:FQL_AUDITING_CLIENT_TEMPLATE.FAT&amp;display_string=Audit&amp;VAR:KEY=ARQNSZWDSL&amp;VAR:QUERY=KFBfUFJJQ0UoMzk3NTgpLShGRl9DQVNIX1NUKFFUUiwzOTc1OCkvUF9DT01fU0hTX09VVCgzOTc1OCkpKS9GR","V9FU1RJTUFURSgnRVBTJywnTUVBTicsJ0FOTlVBTF9ST0xMJywnKzEnLDM5NzU4LCwsJycp&amp;WINDOW=FIRST_POPUP&amp;HEIGHT=450&amp;WIDTH=450&amp;START_MAXIMIZED=FALSE&amp;VAR:CALENDAR=US&amp;VAR:SYMBOL=38259P50&amp;VAR:INDEX=0"}</definedName>
    <definedName name="_3685__FDSAUDITLINK__">{"fdsup://directions/FAT Viewer?action=UPDATE&amp;creator=factset&amp;DYN_ARGS=TRUE&amp;DOC_NAME=FAT:FQL_AUDITING_CLIENT_TEMPLATE.FAT&amp;display_string=Audit&amp;VAR:KEY=CTQJIJMTCZ&amp;VAR:QUERY=KFBfUFJJQ0UoMzk3NTcpLShGRl9DQVNIX1NUKFFUUiwzOTc1NykvUF9DT01fU0hTX09VVCgzOTc1NykpKS9GR","V9FU1RJTUFURSgnRVBTJywnTUVBTicsJ0FOTlVBTF9ST0xMJywnKzEnLDM5NzU3LCwsJycp&amp;WINDOW=FIRST_POPUP&amp;HEIGHT=450&amp;WIDTH=450&amp;START_MAXIMIZED=FALSE&amp;VAR:CALENDAR=US&amp;VAR:SYMBOL=38259P50&amp;VAR:INDEX=0"}</definedName>
    <definedName name="_3686__FDSAUDITLINK__">{"fdsup://directions/FAT Viewer?action=UPDATE&amp;creator=factset&amp;DYN_ARGS=TRUE&amp;DOC_NAME=FAT:FQL_AUDITING_CLIENT_TEMPLATE.FAT&amp;display_string=Audit&amp;VAR:KEY=CTQJIJMTCZ&amp;VAR:QUERY=KFBfUFJJQ0UoMzk3NTcpLShGRl9DQVNIX1NUKFFUUiwzOTc1NykvUF9DT01fU0hTX09VVCgzOTc1NykpKS9GR","V9FU1RJTUFURSgnRVBTJywnTUVBTicsJ0FOTlVBTF9ST0xMJywnKzEnLDM5NzU3LCwsJycp&amp;WINDOW=FIRST_POPUP&amp;HEIGHT=450&amp;WIDTH=450&amp;START_MAXIMIZED=FALSE&amp;VAR:CALENDAR=US&amp;VAR:SYMBOL=38259P50&amp;VAR:INDEX=0"}</definedName>
    <definedName name="_3687__FDSAUDITLINK__">{"fdsup://directions/FAT Viewer?action=UPDATE&amp;creator=factset&amp;DYN_ARGS=TRUE&amp;DOC_NAME=FAT:FQL_AUDITING_CLIENT_TEMPLATE.FAT&amp;display_string=Audit&amp;VAR:KEY=WNITMNSTSP&amp;VAR:QUERY=KFBfUFJJQ0UoMzk3NTYpLShGRl9DQVNIX1NUKFFUUiwzOTc1NikvUF9DT01fU0hTX09VVCgzOTc1NikpKS9GR","V9FU1RJTUFURSgnRVBTJywnTUVBTicsJ0FOTlVBTF9ST0xMJywnKzEnLDM5NzU2LCwsJycp&amp;WINDOW=FIRST_POPUP&amp;HEIGHT=450&amp;WIDTH=450&amp;START_MAXIMIZED=FALSE&amp;VAR:CALENDAR=US&amp;VAR:SYMBOL=38259P50&amp;VAR:INDEX=0"}</definedName>
    <definedName name="_3688__FDSAUDITLINK__">{"fdsup://directions/FAT Viewer?action=UPDATE&amp;creator=factset&amp;DYN_ARGS=TRUE&amp;DOC_NAME=FAT:FQL_AUDITING_CLIENT_TEMPLATE.FAT&amp;display_string=Audit&amp;VAR:KEY=WNITMNSTSP&amp;VAR:QUERY=KFBfUFJJQ0UoMzk3NTYpLShGRl9DQVNIX1NUKFFUUiwzOTc1NikvUF9DT01fU0hTX09VVCgzOTc1NikpKS9GR","V9FU1RJTUFURSgnRVBTJywnTUVBTicsJ0FOTlVBTF9ST0xMJywnKzEnLDM5NzU2LCwsJycp&amp;WINDOW=FIRST_POPUP&amp;HEIGHT=450&amp;WIDTH=450&amp;START_MAXIMIZED=FALSE&amp;VAR:CALENDAR=US&amp;VAR:SYMBOL=38259P50&amp;VAR:INDEX=0"}</definedName>
    <definedName name="_3689__FDSAUDITLINK__">{"fdsup://directions/FAT Viewer?action=UPDATE&amp;creator=factset&amp;DYN_ARGS=TRUE&amp;DOC_NAME=FAT:FQL_AUDITING_CLIENT_TEMPLATE.FAT&amp;display_string=Audit&amp;VAR:KEY=KJSNQVEVGL&amp;VAR:QUERY=KFBfUFJJQ0UoMzk3NTUpLShGRl9DQVNIX1NUKFFUUiwzOTc1NSkvUF9DT01fU0hTX09VVCgzOTc1NSkpKS9GR","V9FU1RJTUFURSgnRVBTJywnTUVBTicsJ0FOTlVBTF9ST0xMJywnKzEnLDM5NzU1LCwsJycp&amp;WINDOW=FIRST_POPUP&amp;HEIGHT=450&amp;WIDTH=450&amp;START_MAXIMIZED=FALSE&amp;VAR:CALENDAR=US&amp;VAR:SYMBOL=38259P50&amp;VAR:INDEX=0"}</definedName>
    <definedName name="_36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160"}</definedName>
    <definedName name="_3690__FDSAUDITLINK__">{"fdsup://directions/FAT Viewer?action=UPDATE&amp;creator=factset&amp;DYN_ARGS=TRUE&amp;DOC_NAME=FAT:FQL_AUDITING_CLIENT_TEMPLATE.FAT&amp;display_string=Audit&amp;VAR:KEY=KJSNQVEVGL&amp;VAR:QUERY=KFBfUFJJQ0UoMzk3NTUpLShGRl9DQVNIX1NUKFFUUiwzOTc1NSkvUF9DT01fU0hTX09VVCgzOTc1NSkpKS9GR","V9FU1RJTUFURSgnRVBTJywnTUVBTicsJ0FOTlVBTF9ST0xMJywnKzEnLDM5NzU1LCwsJycp&amp;WINDOW=FIRST_POPUP&amp;HEIGHT=450&amp;WIDTH=450&amp;START_MAXIMIZED=FALSE&amp;VAR:CALENDAR=US&amp;VAR:SYMBOL=38259P50&amp;VAR:INDEX=0"}</definedName>
    <definedName name="_3691__FDSAUDITLINK__">{"fdsup://directions/FAT Viewer?action=UPDATE&amp;creator=factset&amp;DYN_ARGS=TRUE&amp;DOC_NAME=FAT:FQL_AUDITING_CLIENT_TEMPLATE.FAT&amp;display_string=Audit&amp;VAR:KEY=OBYLWLCZSB&amp;VAR:QUERY=KFBfUFJJQ0UoMzk3NTQpLShGRl9DQVNIX1NUKFFUUiwzOTc1NCkvUF9DT01fU0hTX09VVCgzOTc1NCkpKS9GR","V9FU1RJTUFURSgnRVBTJywnTUVBTicsJ0FOTlVBTF9ST0xMJywnKzEnLDM5NzU0LCwsJycp&amp;WINDOW=FIRST_POPUP&amp;HEIGHT=450&amp;WIDTH=450&amp;START_MAXIMIZED=FALSE&amp;VAR:CALENDAR=US&amp;VAR:SYMBOL=38259P50&amp;VAR:INDEX=0"}</definedName>
    <definedName name="_3692__FDSAUDITLINK__">{"fdsup://directions/FAT Viewer?action=UPDATE&amp;creator=factset&amp;DYN_ARGS=TRUE&amp;DOC_NAME=FAT:FQL_AUDITING_CLIENT_TEMPLATE.FAT&amp;display_string=Audit&amp;VAR:KEY=OBYLWLCZSB&amp;VAR:QUERY=KFBfUFJJQ0UoMzk3NTQpLShGRl9DQVNIX1NUKFFUUiwzOTc1NCkvUF9DT01fU0hTX09VVCgzOTc1NCkpKS9GR","V9FU1RJTUFURSgnRVBTJywnTUVBTicsJ0FOTlVBTF9ST0xMJywnKzEnLDM5NzU0LCwsJycp&amp;WINDOW=FIRST_POPUP&amp;HEIGHT=450&amp;WIDTH=450&amp;START_MAXIMIZED=FALSE&amp;VAR:CALENDAR=US&amp;VAR:SYMBOL=38259P50&amp;VAR:INDEX=0"}</definedName>
    <definedName name="_3693__FDSAUDITLINK__">{"fdsup://directions/FAT Viewer?action=UPDATE&amp;creator=factset&amp;DYN_ARGS=TRUE&amp;DOC_NAME=FAT:FQL_AUDITING_CLIENT_TEMPLATE.FAT&amp;display_string=Audit&amp;VAR:KEY=WLUFCBIVSL&amp;VAR:QUERY=KFBfUFJJQ0UoMzk3NTMpLShGRl9DQVNIX1NUKFFUUiwzOTc1MykvUF9DT01fU0hTX09VVCgzOTc1MykpKS9GR","V9FU1RJTUFURSgnRVBTJywnTUVBTicsJ0FOTlVBTF9ST0xMJywnKzEnLDM5NzUzLCwsJycp&amp;WINDOW=FIRST_POPUP&amp;HEIGHT=450&amp;WIDTH=450&amp;START_MAXIMIZED=FALSE&amp;VAR:CALENDAR=US&amp;VAR:SYMBOL=38259P50&amp;VAR:INDEX=0"}</definedName>
    <definedName name="_3694__FDSAUDITLINK__">{"fdsup://directions/FAT Viewer?action=UPDATE&amp;creator=factset&amp;DYN_ARGS=TRUE&amp;DOC_NAME=FAT:FQL_AUDITING_CLIENT_TEMPLATE.FAT&amp;display_string=Audit&amp;VAR:KEY=WLUFCBIVSL&amp;VAR:QUERY=KFBfUFJJQ0UoMzk3NTMpLShGRl9DQVNIX1NUKFFUUiwzOTc1MykvUF9DT01fU0hTX09VVCgzOTc1MykpKS9GR","V9FU1RJTUFURSgnRVBTJywnTUVBTicsJ0FOTlVBTF9ST0xMJywnKzEnLDM5NzUzLCwsJycp&amp;WINDOW=FIRST_POPUP&amp;HEIGHT=450&amp;WIDTH=450&amp;START_MAXIMIZED=FALSE&amp;VAR:CALENDAR=US&amp;VAR:SYMBOL=38259P50&amp;VAR:INDEX=0"}</definedName>
    <definedName name="_3695__FDSAUDITLINK__">{"fdsup://directions/FAT Viewer?action=UPDATE&amp;creator=factset&amp;DYN_ARGS=TRUE&amp;DOC_NAME=FAT:FQL_AUDITING_CLIENT_TEMPLATE.FAT&amp;display_string=Audit&amp;VAR:KEY=ULULMJUFKL&amp;VAR:QUERY=KFBfUFJJQ0UoMzk3NTIpLShGRl9DQVNIX1NUKFFUUiwzOTc1MikvUF9DT01fU0hTX09VVCgzOTc1MikpKS9GR","V9FU1RJTUFURSgnRVBTJywnTUVBTicsJ0FOTlVBTF9ST0xMJywnKzEnLDM5NzUyLCwsJycp&amp;WINDOW=FIRST_POPUP&amp;HEIGHT=450&amp;WIDTH=450&amp;START_MAXIMIZED=FALSE&amp;VAR:CALENDAR=US&amp;VAR:SYMBOL=38259P50&amp;VAR:INDEX=0"}</definedName>
    <definedName name="_3696__FDSAUDITLINK__">{"fdsup://directions/FAT Viewer?action=UPDATE&amp;creator=factset&amp;DYN_ARGS=TRUE&amp;DOC_NAME=FAT:FQL_AUDITING_CLIENT_TEMPLATE.FAT&amp;display_string=Audit&amp;VAR:KEY=ULULMJUFKL&amp;VAR:QUERY=KFBfUFJJQ0UoMzk3NTIpLShGRl9DQVNIX1NUKFFUUiwzOTc1MikvUF9DT01fU0hTX09VVCgzOTc1MikpKS9GR","V9FU1RJTUFURSgnRVBTJywnTUVBTicsJ0FOTlVBTF9ST0xMJywnKzEnLDM5NzUyLCwsJycp&amp;WINDOW=FIRST_POPUP&amp;HEIGHT=450&amp;WIDTH=450&amp;START_MAXIMIZED=FALSE&amp;VAR:CALENDAR=US&amp;VAR:SYMBOL=38259P50&amp;VAR:INDEX=0"}</definedName>
    <definedName name="_3697__FDSAUDITLINK__">{"fdsup://directions/FAT Viewer?action=UPDATE&amp;creator=factset&amp;DYN_ARGS=TRUE&amp;DOC_NAME=FAT:FQL_AUDITING_CLIENT_TEMPLATE.FAT&amp;display_string=Audit&amp;VAR:KEY=IXKJSXYVAV&amp;VAR:QUERY=KFBfUFJJQ0UoMzk3NTEpLShGRl9DQVNIX1NUKFFUUiwzOTc1MSkvUF9DT01fU0hTX09VVCgzOTc1MSkpKS9GR","V9FU1RJTUFURSgnRVBTJywnTUVBTicsJ0FOTlVBTF9ST0xMJywnKzEnLDM5NzUxLCwsJycp&amp;WINDOW=FIRST_POPUP&amp;HEIGHT=450&amp;WIDTH=450&amp;START_MAXIMIZED=FALSE&amp;VAR:CALENDAR=US&amp;VAR:SYMBOL=38259P50&amp;VAR:INDEX=0"}</definedName>
    <definedName name="_3698__FDSAUDITLINK__">{"fdsup://directions/FAT Viewer?action=UPDATE&amp;creator=factset&amp;DYN_ARGS=TRUE&amp;DOC_NAME=FAT:FQL_AUDITING_CLIENT_TEMPLATE.FAT&amp;display_string=Audit&amp;VAR:KEY=IXKJSXYVAV&amp;VAR:QUERY=KFBfUFJJQ0UoMzk3NTEpLShGRl9DQVNIX1NUKFFUUiwzOTc1MSkvUF9DT01fU0hTX09VVCgzOTc1MSkpKS9GR","V9FU1RJTUFURSgnRVBTJywnTUVBTicsJ0FOTlVBTF9ST0xMJywnKzEnLDM5NzUxLCwsJycp&amp;WINDOW=FIRST_POPUP&amp;HEIGHT=450&amp;WIDTH=450&amp;START_MAXIMIZED=FALSE&amp;VAR:CALENDAR=US&amp;VAR:SYMBOL=38259P50&amp;VAR:INDEX=0"}</definedName>
    <definedName name="_3699__FDSAUDITLINK__">{"fdsup://directions/FAT Viewer?action=UPDATE&amp;creator=factset&amp;DYN_ARGS=TRUE&amp;DOC_NAME=FAT:FQL_AUDITING_CLIENT_TEMPLATE.FAT&amp;display_string=Audit&amp;VAR:KEY=KPYBWFQFWX&amp;VAR:QUERY=KFBfUFJJQ0UoMzk3NTApLShGRl9DQVNIX1NUKFFUUiwzOTc1MCkvUF9DT01fU0hTX09VVCgzOTc1MCkpKS9GR","V9FU1RJTUFURSgnRVBTJywnTUVBTicsJ0FOTlVBTF9ST0xMJywnKzEnLDM5NzUwLCwsJycp&amp;WINDOW=FIRST_POPUP&amp;HEIGHT=450&amp;WIDTH=450&amp;START_MAXIMIZED=FALSE&amp;VAR:CALENDAR=US&amp;VAR:SYMBOL=38259P50&amp;VAR:INDEX=0"}</definedName>
    <definedName name="_3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0.490411&amp;VAR:V=18.141595&amp;VAR:V0=19.740858&amp;VAR:V1=16.732996&amp;VAR:Y0=2002&amp;VAR:Y1=2003&amp;VAR:P=989.814330&amp;VAR:DATE=20020628&amp;VAR:THRESH=-|-|-","|-|-|-|-"}</definedName>
    <definedName name="_37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159"}</definedName>
    <definedName name="_3700__FDSAUDITLINK__">{"fdsup://directions/FAT Viewer?action=UPDATE&amp;creator=factset&amp;DYN_ARGS=TRUE&amp;DOC_NAME=FAT:FQL_AUDITING_CLIENT_TEMPLATE.FAT&amp;display_string=Audit&amp;VAR:KEY=KPYBWFQFWX&amp;VAR:QUERY=KFBfUFJJQ0UoMzk3NTApLShGRl9DQVNIX1NUKFFUUiwzOTc1MCkvUF9DT01fU0hTX09VVCgzOTc1MCkpKS9GR","V9FU1RJTUFURSgnRVBTJywnTUVBTicsJ0FOTlVBTF9ST0xMJywnKzEnLDM5NzUwLCwsJycp&amp;WINDOW=FIRST_POPUP&amp;HEIGHT=450&amp;WIDTH=450&amp;START_MAXIMIZED=FALSE&amp;VAR:CALENDAR=US&amp;VAR:SYMBOL=38259P50&amp;VAR:INDEX=0"}</definedName>
    <definedName name="_3701__FDSAUDITLINK__">{"fdsup://directions/FAT Viewer?action=UPDATE&amp;creator=factset&amp;DYN_ARGS=TRUE&amp;DOC_NAME=FAT:FQL_AUDITING_CLIENT_TEMPLATE.FAT&amp;display_string=Audit&amp;VAR:KEY=GVQFIRUFWL&amp;VAR:QUERY=KFBfUFJJQ0UoMzk3NDkpLShGRl9DQVNIX1NUKFFUUiwzOTc0OSkvUF9DT01fU0hTX09VVCgzOTc0OSkpKS9GR","V9FU1RJTUFURSgnRVBTJywnTUVBTicsJ0FOTlVBTF9ST0xMJywnKzEnLDM5NzQ5LCwsJycp&amp;WINDOW=FIRST_POPUP&amp;HEIGHT=450&amp;WIDTH=450&amp;START_MAXIMIZED=FALSE&amp;VAR:CALENDAR=US&amp;VAR:SYMBOL=38259P50&amp;VAR:INDEX=0"}</definedName>
    <definedName name="_3702__FDSAUDITLINK__">{"fdsup://directions/FAT Viewer?action=UPDATE&amp;creator=factset&amp;DYN_ARGS=TRUE&amp;DOC_NAME=FAT:FQL_AUDITING_CLIENT_TEMPLATE.FAT&amp;display_string=Audit&amp;VAR:KEY=GVQFIRUFWL&amp;VAR:QUERY=KFBfUFJJQ0UoMzk3NDkpLShGRl9DQVNIX1NUKFFUUiwzOTc0OSkvUF9DT01fU0hTX09VVCgzOTc0OSkpKS9GR","V9FU1RJTUFURSgnRVBTJywnTUVBTicsJ0FOTlVBTF9ST0xMJywnKzEnLDM5NzQ5LCwsJycp&amp;WINDOW=FIRST_POPUP&amp;HEIGHT=450&amp;WIDTH=450&amp;START_MAXIMIZED=FALSE&amp;VAR:CALENDAR=US&amp;VAR:SYMBOL=38259P50&amp;VAR:INDEX=0"}</definedName>
    <definedName name="_3703__FDSAUDITLINK__">{"fdsup://directions/FAT Viewer?action=UPDATE&amp;creator=factset&amp;DYN_ARGS=TRUE&amp;DOC_NAME=FAT:FQL_AUDITING_CLIENT_TEMPLATE.FAT&amp;display_string=Audit&amp;VAR:KEY=IBIXUXUHIF&amp;VAR:QUERY=KFBfUFJJQ0UoMzk3NDgpLShGRl9DQVNIX1NUKFFUUiwzOTc0OCkvUF9DT01fU0hTX09VVCgzOTc0OCkpKS9GR","V9FU1RJTUFURSgnRVBTJywnTUVBTicsJ0FOTlVBTF9ST0xMJywnKzEnLDM5NzQ4LCwsJycp&amp;WINDOW=FIRST_POPUP&amp;HEIGHT=450&amp;WIDTH=450&amp;START_MAXIMIZED=FALSE&amp;VAR:CALENDAR=US&amp;VAR:SYMBOL=38259P50&amp;VAR:INDEX=0"}</definedName>
    <definedName name="_3704__FDSAUDITLINK__">{"fdsup://directions/FAT Viewer?action=UPDATE&amp;creator=factset&amp;DYN_ARGS=TRUE&amp;DOC_NAME=FAT:FQL_AUDITING_CLIENT_TEMPLATE.FAT&amp;display_string=Audit&amp;VAR:KEY=IBIXUXUHIF&amp;VAR:QUERY=KFBfUFJJQ0UoMzk3NDgpLShGRl9DQVNIX1NUKFFUUiwzOTc0OCkvUF9DT01fU0hTX09VVCgzOTc0OCkpKS9GR","V9FU1RJTUFURSgnRVBTJywnTUVBTicsJ0FOTlVBTF9ST0xMJywnKzEnLDM5NzQ4LCwsJycp&amp;WINDOW=FIRST_POPUP&amp;HEIGHT=450&amp;WIDTH=450&amp;START_MAXIMIZED=FALSE&amp;VAR:CALENDAR=US&amp;VAR:SYMBOL=38259P50&amp;VAR:INDEX=0"}</definedName>
    <definedName name="_3705__FDSAUDITLINK__">{"fdsup://directions/FAT Viewer?action=UPDATE&amp;creator=factset&amp;DYN_ARGS=TRUE&amp;DOC_NAME=FAT:FQL_AUDITING_CLIENT_TEMPLATE.FAT&amp;display_string=Audit&amp;VAR:KEY=IPKFOZYDID&amp;VAR:QUERY=KFBfUFJJQ0UoMzk3NDcpLShGRl9DQVNIX1NUKFFUUiwzOTc0NykvUF9DT01fU0hTX09VVCgzOTc0NykpKS9GR","V9FU1RJTUFURSgnRVBTJywnTUVBTicsJ0FOTlVBTF9ST0xMJywnKzEnLDM5NzQ3LCwsJycp&amp;WINDOW=FIRST_POPUP&amp;HEIGHT=450&amp;WIDTH=450&amp;START_MAXIMIZED=FALSE&amp;VAR:CALENDAR=US&amp;VAR:SYMBOL=38259P50&amp;VAR:INDEX=0"}</definedName>
    <definedName name="_3706__FDSAUDITLINK__">{"fdsup://directions/FAT Viewer?action=UPDATE&amp;creator=factset&amp;DYN_ARGS=TRUE&amp;DOC_NAME=FAT:FQL_AUDITING_CLIENT_TEMPLATE.FAT&amp;display_string=Audit&amp;VAR:KEY=IPKFOZYDID&amp;VAR:QUERY=KFBfUFJJQ0UoMzk3NDcpLShGRl9DQVNIX1NUKFFUUiwzOTc0NykvUF9DT01fU0hTX09VVCgzOTc0NykpKS9GR","V9FU1RJTUFURSgnRVBTJywnTUVBTicsJ0FOTlVBTF9ST0xMJywnKzEnLDM5NzQ3LCwsJycp&amp;WINDOW=FIRST_POPUP&amp;HEIGHT=450&amp;WIDTH=450&amp;START_MAXIMIZED=FALSE&amp;VAR:CALENDAR=US&amp;VAR:SYMBOL=38259P50&amp;VAR:INDEX=0"}</definedName>
    <definedName name="_3707__FDSAUDITLINK__">{"fdsup://directions/FAT Viewer?action=UPDATE&amp;creator=factset&amp;DYN_ARGS=TRUE&amp;DOC_NAME=FAT:FQL_AUDITING_CLIENT_TEMPLATE.FAT&amp;display_string=Audit&amp;VAR:KEY=SLMRUBGXEH&amp;VAR:QUERY=KFBfUFJJQ0UoMzk3NDYpLShGRl9DQVNIX1NUKFFUUiwzOTc0NikvUF9DT01fU0hTX09VVCgzOTc0NikpKS9GR","V9FU1RJTUFURSgnRVBTJywnTUVBTicsJ0FOTlVBTF9ST0xMJywnKzEnLDM5NzQ2LCwsJycp&amp;WINDOW=FIRST_POPUP&amp;HEIGHT=450&amp;WIDTH=450&amp;START_MAXIMIZED=FALSE&amp;VAR:CALENDAR=US&amp;VAR:SYMBOL=38259P50&amp;VAR:INDEX=0"}</definedName>
    <definedName name="_3708__FDSAUDITLINK__">{"fdsup://directions/FAT Viewer?action=UPDATE&amp;creator=factset&amp;DYN_ARGS=TRUE&amp;DOC_NAME=FAT:FQL_AUDITING_CLIENT_TEMPLATE.FAT&amp;display_string=Audit&amp;VAR:KEY=SLMRUBGXEH&amp;VAR:QUERY=KFBfUFJJQ0UoMzk3NDYpLShGRl9DQVNIX1NUKFFUUiwzOTc0NikvUF9DT01fU0hTX09VVCgzOTc0NikpKS9GR","V9FU1RJTUFURSgnRVBTJywnTUVBTicsJ0FOTlVBTF9ST0xMJywnKzEnLDM5NzQ2LCwsJycp&amp;WINDOW=FIRST_POPUP&amp;HEIGHT=450&amp;WIDTH=450&amp;START_MAXIMIZED=FALSE&amp;VAR:CALENDAR=US&amp;VAR:SYMBOL=38259P50&amp;VAR:INDEX=0"}</definedName>
    <definedName name="_3709__FDSAUDITLINK__">{"fdsup://directions/FAT Viewer?action=UPDATE&amp;creator=factset&amp;DYN_ARGS=TRUE&amp;DOC_NAME=FAT:FQL_AUDITING_CLIENT_TEMPLATE.FAT&amp;display_string=Audit&amp;VAR:KEY=YZWVOFERIN&amp;VAR:QUERY=KFBfUFJJQ0UoMzk3NDUpLShGRl9DQVNIX1NUKFFUUiwzOTc0NSkvUF9DT01fU0hTX09VVCgzOTc0NSkpKS9GR","V9FU1RJTUFURSgnRVBTJywnTUVBTicsJ0FOTlVBTF9ST0xMJywnKzEnLDM5NzQ1LCwsJycp&amp;WINDOW=FIRST_POPUP&amp;HEIGHT=450&amp;WIDTH=450&amp;START_MAXIMIZED=FALSE&amp;VAR:CALENDAR=US&amp;VAR:SYMBOL=38259P50&amp;VAR:INDEX=0"}</definedName>
    <definedName name="_37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158"}</definedName>
    <definedName name="_3710__FDSAUDITLINK__">{"fdsup://directions/FAT Viewer?action=UPDATE&amp;creator=factset&amp;DYN_ARGS=TRUE&amp;DOC_NAME=FAT:FQL_AUDITING_CLIENT_TEMPLATE.FAT&amp;display_string=Audit&amp;VAR:KEY=YZWVOFERIN&amp;VAR:QUERY=KFBfUFJJQ0UoMzk3NDUpLShGRl9DQVNIX1NUKFFUUiwzOTc0NSkvUF9DT01fU0hTX09VVCgzOTc0NSkpKS9GR","V9FU1RJTUFURSgnRVBTJywnTUVBTicsJ0FOTlVBTF9ST0xMJywnKzEnLDM5NzQ1LCwsJycp&amp;WINDOW=FIRST_POPUP&amp;HEIGHT=450&amp;WIDTH=450&amp;START_MAXIMIZED=FALSE&amp;VAR:CALENDAR=US&amp;VAR:SYMBOL=38259P50&amp;VAR:INDEX=0"}</definedName>
    <definedName name="_3711__FDSAUDITLINK__">{"fdsup://directions/FAT Viewer?action=UPDATE&amp;creator=factset&amp;DYN_ARGS=TRUE&amp;DOC_NAME=FAT:FQL_AUDITING_CLIENT_TEMPLATE.FAT&amp;display_string=Audit&amp;VAR:KEY=WRMXARCNON&amp;VAR:QUERY=KFBfUFJJQ0UoMzk3NDQpLShGRl9DQVNIX1NUKFFUUiwzOTc0NCkvUF9DT01fU0hTX09VVCgzOTc0NCkpKS9GR","V9FU1RJTUFURSgnRVBTJywnTUVBTicsJ0FOTlVBTF9ST0xMJywnKzEnLDM5NzQ0LCwsJycp&amp;WINDOW=FIRST_POPUP&amp;HEIGHT=450&amp;WIDTH=450&amp;START_MAXIMIZED=FALSE&amp;VAR:CALENDAR=US&amp;VAR:SYMBOL=38259P50&amp;VAR:INDEX=0"}</definedName>
    <definedName name="_3712__FDSAUDITLINK__">{"fdsup://directions/FAT Viewer?action=UPDATE&amp;creator=factset&amp;DYN_ARGS=TRUE&amp;DOC_NAME=FAT:FQL_AUDITING_CLIENT_TEMPLATE.FAT&amp;display_string=Audit&amp;VAR:KEY=WRMXARCNON&amp;VAR:QUERY=KFBfUFJJQ0UoMzk3NDQpLShGRl9DQVNIX1NUKFFUUiwzOTc0NCkvUF9DT01fU0hTX09VVCgzOTc0NCkpKS9GR","V9FU1RJTUFURSgnRVBTJywnTUVBTicsJ0FOTlVBTF9ST0xMJywnKzEnLDM5NzQ0LCwsJycp&amp;WINDOW=FIRST_POPUP&amp;HEIGHT=450&amp;WIDTH=450&amp;START_MAXIMIZED=FALSE&amp;VAR:CALENDAR=US&amp;VAR:SYMBOL=38259P50&amp;VAR:INDEX=0"}</definedName>
    <definedName name="_3713__FDSAUDITLINK__">{"fdsup://directions/FAT Viewer?action=UPDATE&amp;creator=factset&amp;DYN_ARGS=TRUE&amp;DOC_NAME=FAT:FQL_AUDITING_CLIENT_TEMPLATE.FAT&amp;display_string=Audit&amp;VAR:KEY=QZENOFUDYD&amp;VAR:QUERY=KFBfUFJJQ0UoMzk3NDMpLShGRl9DQVNIX1NUKFFUUiwzOTc0MykvUF9DT01fU0hTX09VVCgzOTc0MykpKS9GR","V9FU1RJTUFURSgnRVBTJywnTUVBTicsJ0FOTlVBTF9ST0xMJywnKzEnLDM5NzQzLCwsJycp&amp;WINDOW=FIRST_POPUP&amp;HEIGHT=450&amp;WIDTH=450&amp;START_MAXIMIZED=FALSE&amp;VAR:CALENDAR=US&amp;VAR:SYMBOL=38259P50&amp;VAR:INDEX=0"}</definedName>
    <definedName name="_3714__FDSAUDITLINK__">{"fdsup://directions/FAT Viewer?action=UPDATE&amp;creator=factset&amp;DYN_ARGS=TRUE&amp;DOC_NAME=FAT:FQL_AUDITING_CLIENT_TEMPLATE.FAT&amp;display_string=Audit&amp;VAR:KEY=QZENOFUDYD&amp;VAR:QUERY=KFBfUFJJQ0UoMzk3NDMpLShGRl9DQVNIX1NUKFFUUiwzOTc0MykvUF9DT01fU0hTX09VVCgzOTc0MykpKS9GR","V9FU1RJTUFURSgnRVBTJywnTUVBTicsJ0FOTlVBTF9ST0xMJywnKzEnLDM5NzQzLCwsJycp&amp;WINDOW=FIRST_POPUP&amp;HEIGHT=450&amp;WIDTH=450&amp;START_MAXIMIZED=FALSE&amp;VAR:CALENDAR=US&amp;VAR:SYMBOL=38259P50&amp;VAR:INDEX=0"}</definedName>
    <definedName name="_3715__FDSAUDITLINK__">{"fdsup://directions/FAT Viewer?action=UPDATE&amp;creator=factset&amp;DYN_ARGS=TRUE&amp;DOC_NAME=FAT:FQL_AUDITING_CLIENT_TEMPLATE.FAT&amp;display_string=Audit&amp;VAR:KEY=CJEPQFGZWF&amp;VAR:QUERY=KFBfUFJJQ0UoMzk3NDIpLShGRl9DQVNIX1NUKFFUUiwzOTc0MikvUF9DT01fU0hTX09VVCgzOTc0MikpKS9GR","V9FU1RJTUFURSgnRVBTJywnTUVBTicsJ0FOTlVBTF9ST0xMJywnKzEnLDM5NzQyLCwsJycp&amp;WINDOW=FIRST_POPUP&amp;HEIGHT=450&amp;WIDTH=450&amp;START_MAXIMIZED=FALSE&amp;VAR:CALENDAR=US&amp;VAR:SYMBOL=38259P50&amp;VAR:INDEX=0"}</definedName>
    <definedName name="_3716__FDSAUDITLINK__">{"fdsup://directions/FAT Viewer?action=UPDATE&amp;creator=factset&amp;DYN_ARGS=TRUE&amp;DOC_NAME=FAT:FQL_AUDITING_CLIENT_TEMPLATE.FAT&amp;display_string=Audit&amp;VAR:KEY=CJEPQFGZWF&amp;VAR:QUERY=KFBfUFJJQ0UoMzk3NDIpLShGRl9DQVNIX1NUKFFUUiwzOTc0MikvUF9DT01fU0hTX09VVCgzOTc0MikpKS9GR","V9FU1RJTUFURSgnRVBTJywnTUVBTicsJ0FOTlVBTF9ST0xMJywnKzEnLDM5NzQyLCwsJycp&amp;WINDOW=FIRST_POPUP&amp;HEIGHT=450&amp;WIDTH=450&amp;START_MAXIMIZED=FALSE&amp;VAR:CALENDAR=US&amp;VAR:SYMBOL=38259P50&amp;VAR:INDEX=0"}</definedName>
    <definedName name="_3717__FDSAUDITLINK__">{"fdsup://directions/FAT Viewer?action=UPDATE&amp;creator=factset&amp;DYN_ARGS=TRUE&amp;DOC_NAME=FAT:FQL_AUDITING_CLIENT_TEMPLATE.FAT&amp;display_string=Audit&amp;VAR:KEY=EFUDKJILMP&amp;VAR:QUERY=KFBfUFJJQ0UoMzk3NDEpLShGRl9DQVNIX1NUKFFUUiwzOTc0MSkvUF9DT01fU0hTX09VVCgzOTc0MSkpKS9GR","V9FU1RJTUFURSgnRVBTJywnTUVBTicsJ0FOTlVBTF9ST0xMJywnKzEnLDM5NzQxLCwsJycp&amp;WINDOW=FIRST_POPUP&amp;HEIGHT=450&amp;WIDTH=450&amp;START_MAXIMIZED=FALSE&amp;VAR:CALENDAR=US&amp;VAR:SYMBOL=38259P50&amp;VAR:INDEX=0"}</definedName>
    <definedName name="_3718__FDSAUDITLINK__">{"fdsup://directions/FAT Viewer?action=UPDATE&amp;creator=factset&amp;DYN_ARGS=TRUE&amp;DOC_NAME=FAT:FQL_AUDITING_CLIENT_TEMPLATE.FAT&amp;display_string=Audit&amp;VAR:KEY=EFUDKJILMP&amp;VAR:QUERY=KFBfUFJJQ0UoMzk3NDEpLShGRl9DQVNIX1NUKFFUUiwzOTc0MSkvUF9DT01fU0hTX09VVCgzOTc0MSkpKS9GR","V9FU1RJTUFURSgnRVBTJywnTUVBTicsJ0FOTlVBTF9ST0xMJywnKzEnLDM5NzQxLCwsJycp&amp;WINDOW=FIRST_POPUP&amp;HEIGHT=450&amp;WIDTH=450&amp;START_MAXIMIZED=FALSE&amp;VAR:CALENDAR=US&amp;VAR:SYMBOL=38259P50&amp;VAR:INDEX=0"}</definedName>
    <definedName name="_3719__FDSAUDITLINK__">{"fdsup://directions/FAT Viewer?action=UPDATE&amp;creator=factset&amp;DYN_ARGS=TRUE&amp;DOC_NAME=FAT:FQL_AUDITING_CLIENT_TEMPLATE.FAT&amp;display_string=Audit&amp;VAR:KEY=UNONQPCNKX&amp;VAR:QUERY=KFBfUFJJQ0UoMzk3NDApLShGRl9DQVNIX1NUKFFUUiwzOTc0MCkvUF9DT01fU0hTX09VVCgzOTc0MCkpKS9GR","V9FU1RJTUFURSgnRVBTJywnTUVBTicsJ0FOTlVBTF9ST0xMJywnKzEnLDM5NzQwLCwsJycp&amp;WINDOW=FIRST_POPUP&amp;HEIGHT=450&amp;WIDTH=450&amp;START_MAXIMIZED=FALSE&amp;VAR:CALENDAR=US&amp;VAR:SYMBOL=38259P50&amp;VAR:INDEX=0"}</definedName>
    <definedName name="_37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157"}</definedName>
    <definedName name="_3720__FDSAUDITLINK__">{"fdsup://directions/FAT Viewer?action=UPDATE&amp;creator=factset&amp;DYN_ARGS=TRUE&amp;DOC_NAME=FAT:FQL_AUDITING_CLIENT_TEMPLATE.FAT&amp;display_string=Audit&amp;VAR:KEY=UNONQPCNKX&amp;VAR:QUERY=KFBfUFJJQ0UoMzk3NDApLShGRl9DQVNIX1NUKFFUUiwzOTc0MCkvUF9DT01fU0hTX09VVCgzOTc0MCkpKS9GR","V9FU1RJTUFURSgnRVBTJywnTUVBTicsJ0FOTlVBTF9ST0xMJywnKzEnLDM5NzQwLCwsJycp&amp;WINDOW=FIRST_POPUP&amp;HEIGHT=450&amp;WIDTH=450&amp;START_MAXIMIZED=FALSE&amp;VAR:CALENDAR=US&amp;VAR:SYMBOL=38259P50&amp;VAR:INDEX=0"}</definedName>
    <definedName name="_3721__FDSAUDITLINK__">{"fdsup://directions/FAT Viewer?action=UPDATE&amp;creator=factset&amp;DYN_ARGS=TRUE&amp;DOC_NAME=FAT:FQL_AUDITING_CLIENT_TEMPLATE.FAT&amp;display_string=Audit&amp;VAR:KEY=MBEXQROTOH&amp;VAR:QUERY=KFBfUFJJQ0UoMzk3MzkpLShGRl9DQVNIX1NUKFFUUiwzOTczOSkvUF9DT01fU0hTX09VVCgzOTczOSkpKS9GR","V9FU1RJTUFURSgnRVBTJywnTUVBTicsJ0FOTlVBTF9ST0xMJywnKzEnLDM5NzM5LCwsJycp&amp;WINDOW=FIRST_POPUP&amp;HEIGHT=450&amp;WIDTH=450&amp;START_MAXIMIZED=FALSE&amp;VAR:CALENDAR=US&amp;VAR:SYMBOL=38259P50&amp;VAR:INDEX=0"}</definedName>
    <definedName name="_3722__FDSAUDITLINK__">{"fdsup://directions/FAT Viewer?action=UPDATE&amp;creator=factset&amp;DYN_ARGS=TRUE&amp;DOC_NAME=FAT:FQL_AUDITING_CLIENT_TEMPLATE.FAT&amp;display_string=Audit&amp;VAR:KEY=MBEXQROTOH&amp;VAR:QUERY=KFBfUFJJQ0UoMzk3MzkpLShGRl9DQVNIX1NUKFFUUiwzOTczOSkvUF9DT01fU0hTX09VVCgzOTczOSkpKS9GR","V9FU1RJTUFURSgnRVBTJywnTUVBTicsJ0FOTlVBTF9ST0xMJywnKzEnLDM5NzM5LCwsJycp&amp;WINDOW=FIRST_POPUP&amp;HEIGHT=450&amp;WIDTH=450&amp;START_MAXIMIZED=FALSE&amp;VAR:CALENDAR=US&amp;VAR:SYMBOL=38259P50&amp;VAR:INDEX=0"}</definedName>
    <definedName name="_3723__FDSAUDITLINK__">{"fdsup://directions/FAT Viewer?action=UPDATE&amp;creator=factset&amp;DYN_ARGS=TRUE&amp;DOC_NAME=FAT:FQL_AUDITING_CLIENT_TEMPLATE.FAT&amp;display_string=Audit&amp;VAR:KEY=MNWBAJEZQH&amp;VAR:QUERY=KFBfUFJJQ0UoMzk3MzgpLShGRl9DQVNIX1NUKFFUUiwzOTczOCkvUF9DT01fU0hTX09VVCgzOTczOCkpKS9GR","V9FU1RJTUFURSgnRVBTJywnTUVBTicsJ0FOTlVBTF9ST0xMJywnKzEnLDM5NzM4LCwsJycp&amp;WINDOW=FIRST_POPUP&amp;HEIGHT=450&amp;WIDTH=450&amp;START_MAXIMIZED=FALSE&amp;VAR:CALENDAR=US&amp;VAR:SYMBOL=38259P50&amp;VAR:INDEX=0"}</definedName>
    <definedName name="_3724__FDSAUDITLINK__">{"fdsup://directions/FAT Viewer?action=UPDATE&amp;creator=factset&amp;DYN_ARGS=TRUE&amp;DOC_NAME=FAT:FQL_AUDITING_CLIENT_TEMPLATE.FAT&amp;display_string=Audit&amp;VAR:KEY=MNWBAJEZQH&amp;VAR:QUERY=KFBfUFJJQ0UoMzk3MzgpLShGRl9DQVNIX1NUKFFUUiwzOTczOCkvUF9DT01fU0hTX09VVCgzOTczOCkpKS9GR","V9FU1RJTUFURSgnRVBTJywnTUVBTicsJ0FOTlVBTF9ST0xMJywnKzEnLDM5NzM4LCwsJycp&amp;WINDOW=FIRST_POPUP&amp;HEIGHT=450&amp;WIDTH=450&amp;START_MAXIMIZED=FALSE&amp;VAR:CALENDAR=US&amp;VAR:SYMBOL=38259P50&amp;VAR:INDEX=0"}</definedName>
    <definedName name="_3725__FDSAUDITLINK__">{"fdsup://directions/FAT Viewer?action=UPDATE&amp;creator=factset&amp;DYN_ARGS=TRUE&amp;DOC_NAME=FAT:FQL_AUDITING_CLIENT_TEMPLATE.FAT&amp;display_string=Audit&amp;VAR:KEY=KLQVIJYNGR&amp;VAR:QUERY=KFBfUFJJQ0UoMzk3MzcpLShGRl9DQVNIX1NUKFFUUiwzOTczNykvUF9DT01fU0hTX09VVCgzOTczNykpKS9GR","V9FU1RJTUFURSgnRVBTJywnTUVBTicsJ0FOTlVBTF9ST0xMJywnKzEnLDM5NzM3LCwsJycp&amp;WINDOW=FIRST_POPUP&amp;HEIGHT=450&amp;WIDTH=450&amp;START_MAXIMIZED=FALSE&amp;VAR:CALENDAR=US&amp;VAR:SYMBOL=38259P50&amp;VAR:INDEX=0"}</definedName>
    <definedName name="_3726__FDSAUDITLINK__">{"fdsup://directions/FAT Viewer?action=UPDATE&amp;creator=factset&amp;DYN_ARGS=TRUE&amp;DOC_NAME=FAT:FQL_AUDITING_CLIENT_TEMPLATE.FAT&amp;display_string=Audit&amp;VAR:KEY=KLQVIJYNGR&amp;VAR:QUERY=KFBfUFJJQ0UoMzk3MzcpLShGRl9DQVNIX1NUKFFUUiwzOTczNykvUF9DT01fU0hTX09VVCgzOTczNykpKS9GR","V9FU1RJTUFURSgnRVBTJywnTUVBTicsJ0FOTlVBTF9ST0xMJywnKzEnLDM5NzM3LCwsJycp&amp;WINDOW=FIRST_POPUP&amp;HEIGHT=450&amp;WIDTH=450&amp;START_MAXIMIZED=FALSE&amp;VAR:CALENDAR=US&amp;VAR:SYMBOL=38259P50&amp;VAR:INDEX=0"}</definedName>
    <definedName name="_3727__FDSAUDITLINK__">{"fdsup://directions/FAT Viewer?action=UPDATE&amp;creator=factset&amp;DYN_ARGS=TRUE&amp;DOC_NAME=FAT:FQL_AUDITING_CLIENT_TEMPLATE.FAT&amp;display_string=Audit&amp;VAR:KEY=YLMNIFYJIF&amp;VAR:QUERY=KFBfUFJJQ0UoMzk3MzYpLShGRl9DQVNIX1NUKFFUUiwzOTczNikvUF9DT01fU0hTX09VVCgzOTczNikpKS9GR","V9FU1RJTUFURSgnRVBTJywnTUVBTicsJ0FOTlVBTF9ST0xMJywnKzEnLDM5NzM2LCwsJycp&amp;WINDOW=FIRST_POPUP&amp;HEIGHT=450&amp;WIDTH=450&amp;START_MAXIMIZED=FALSE&amp;VAR:CALENDAR=US&amp;VAR:SYMBOL=38259P50&amp;VAR:INDEX=0"}</definedName>
    <definedName name="_3728__FDSAUDITLINK__">{"fdsup://directions/FAT Viewer?action=UPDATE&amp;creator=factset&amp;DYN_ARGS=TRUE&amp;DOC_NAME=FAT:FQL_AUDITING_CLIENT_TEMPLATE.FAT&amp;display_string=Audit&amp;VAR:KEY=YLMNIFYJIF&amp;VAR:QUERY=KFBfUFJJQ0UoMzk3MzYpLShGRl9DQVNIX1NUKFFUUiwzOTczNikvUF9DT01fU0hTX09VVCgzOTczNikpKS9GR","V9FU1RJTUFURSgnRVBTJywnTUVBTicsJ0FOTlVBTF9ST0xMJywnKzEnLDM5NzM2LCwsJycp&amp;WINDOW=FIRST_POPUP&amp;HEIGHT=450&amp;WIDTH=450&amp;START_MAXIMIZED=FALSE&amp;VAR:CALENDAR=US&amp;VAR:SYMBOL=38259P50&amp;VAR:INDEX=0"}</definedName>
    <definedName name="_3729__FDSAUDITLINK__">{"fdsup://directions/FAT Viewer?action=UPDATE&amp;creator=factset&amp;DYN_ARGS=TRUE&amp;DOC_NAME=FAT:FQL_AUDITING_CLIENT_TEMPLATE.FAT&amp;display_string=Audit&amp;VAR:KEY=UPGTSDGVOX&amp;VAR:QUERY=KFBfUFJJQ0UoMzk3MzUpLShGRl9DQVNIX1NUKFFUUiwzOTczNSkvUF9DT01fU0hTX09VVCgzOTczNSkpKS9GR","V9FU1RJTUFURSgnRVBTJywnTUVBTicsJ0FOTlVBTF9ST0xMJywnKzEnLDM5NzM1LCwsJycp&amp;WINDOW=FIRST_POPUP&amp;HEIGHT=450&amp;WIDTH=450&amp;START_MAXIMIZED=FALSE&amp;VAR:CALENDAR=US&amp;VAR:SYMBOL=38259P50&amp;VAR:INDEX=0"}</definedName>
    <definedName name="_37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156"}</definedName>
    <definedName name="_3730__FDSAUDITLINK__">{"fdsup://directions/FAT Viewer?action=UPDATE&amp;creator=factset&amp;DYN_ARGS=TRUE&amp;DOC_NAME=FAT:FQL_AUDITING_CLIENT_TEMPLATE.FAT&amp;display_string=Audit&amp;VAR:KEY=UPGTSDGVOX&amp;VAR:QUERY=KFBfUFJJQ0UoMzk3MzUpLShGRl9DQVNIX1NUKFFUUiwzOTczNSkvUF9DT01fU0hTX09VVCgzOTczNSkpKS9GR","V9FU1RJTUFURSgnRVBTJywnTUVBTicsJ0FOTlVBTF9ST0xMJywnKzEnLDM5NzM1LCwsJycp&amp;WINDOW=FIRST_POPUP&amp;HEIGHT=450&amp;WIDTH=450&amp;START_MAXIMIZED=FALSE&amp;VAR:CALENDAR=US&amp;VAR:SYMBOL=38259P50&amp;VAR:INDEX=0"}</definedName>
    <definedName name="_3731__FDSAUDITLINK__">{"fdsup://directions/FAT Viewer?action=UPDATE&amp;creator=factset&amp;DYN_ARGS=TRUE&amp;DOC_NAME=FAT:FQL_AUDITING_CLIENT_TEMPLATE.FAT&amp;display_string=Audit&amp;VAR:KEY=KNSJMRKTKH&amp;VAR:QUERY=KFBfUFJJQ0UoMzk3MzQpLShGRl9DQVNIX1NUKFFUUiwzOTczNCkvUF9DT01fU0hTX09VVCgzOTczNCkpKS9GR","V9FU1RJTUFURSgnRVBTJywnTUVBTicsJ0FOTlVBTF9ST0xMJywnKzEnLDM5NzM0LCwsJycp&amp;WINDOW=FIRST_POPUP&amp;HEIGHT=450&amp;WIDTH=450&amp;START_MAXIMIZED=FALSE&amp;VAR:CALENDAR=US&amp;VAR:SYMBOL=38259P50&amp;VAR:INDEX=0"}</definedName>
    <definedName name="_3732__FDSAUDITLINK__">{"fdsup://directions/FAT Viewer?action=UPDATE&amp;creator=factset&amp;DYN_ARGS=TRUE&amp;DOC_NAME=FAT:FQL_AUDITING_CLIENT_TEMPLATE.FAT&amp;display_string=Audit&amp;VAR:KEY=KNSJMRKTKH&amp;VAR:QUERY=KFBfUFJJQ0UoMzk3MzQpLShGRl9DQVNIX1NUKFFUUiwzOTczNCkvUF9DT01fU0hTX09VVCgzOTczNCkpKS9GR","V9FU1RJTUFURSgnRVBTJywnTUVBTicsJ0FOTlVBTF9ST0xMJywnKzEnLDM5NzM0LCwsJycp&amp;WINDOW=FIRST_POPUP&amp;HEIGHT=450&amp;WIDTH=450&amp;START_MAXIMIZED=FALSE&amp;VAR:CALENDAR=US&amp;VAR:SYMBOL=38259P50&amp;VAR:INDEX=0"}</definedName>
    <definedName name="_3733__FDSAUDITLINK__">{"fdsup://directions/FAT Viewer?action=UPDATE&amp;creator=factset&amp;DYN_ARGS=TRUE&amp;DOC_NAME=FAT:FQL_AUDITING_CLIENT_TEMPLATE.FAT&amp;display_string=Audit&amp;VAR:KEY=EBILCLCDCF&amp;VAR:QUERY=KFBfUFJJQ0UoMzk3MzMpLShGRl9DQVNIX1NUKFFUUiwzOTczMykvUF9DT01fU0hTX09VVCgzOTczMykpKS9GR","V9FU1RJTUFURSgnRVBTJywnTUVBTicsJ0FOTlVBTF9ST0xMJywnKzEnLDM5NzMzLCwsJycp&amp;WINDOW=FIRST_POPUP&amp;HEIGHT=450&amp;WIDTH=450&amp;START_MAXIMIZED=FALSE&amp;VAR:CALENDAR=US&amp;VAR:SYMBOL=38259P50&amp;VAR:INDEX=0"}</definedName>
    <definedName name="_3734__FDSAUDITLINK__">{"fdsup://directions/FAT Viewer?action=UPDATE&amp;creator=factset&amp;DYN_ARGS=TRUE&amp;DOC_NAME=FAT:FQL_AUDITING_CLIENT_TEMPLATE.FAT&amp;display_string=Audit&amp;VAR:KEY=EBILCLCDCF&amp;VAR:QUERY=KFBfUFJJQ0UoMzk3MzMpLShGRl9DQVNIX1NUKFFUUiwzOTczMykvUF9DT01fU0hTX09VVCgzOTczMykpKS9GR","V9FU1RJTUFURSgnRVBTJywnTUVBTicsJ0FOTlVBTF9ST0xMJywnKzEnLDM5NzMzLCwsJycp&amp;WINDOW=FIRST_POPUP&amp;HEIGHT=450&amp;WIDTH=450&amp;START_MAXIMIZED=FALSE&amp;VAR:CALENDAR=US&amp;VAR:SYMBOL=38259P50&amp;VAR:INDEX=0"}</definedName>
    <definedName name="_3735__FDSAUDITLINK__">{"fdsup://directions/FAT Viewer?action=UPDATE&amp;creator=factset&amp;DYN_ARGS=TRUE&amp;DOC_NAME=FAT:FQL_AUDITING_CLIENT_TEMPLATE.FAT&amp;display_string=Audit&amp;VAR:KEY=ONYBABAJCX&amp;VAR:QUERY=KFBfUFJJQ0UoMzk3MzIpLShGRl9DQVNIX1NUKFFUUiwzOTczMikvUF9DT01fU0hTX09VVCgzOTczMikpKS9GR","V9FU1RJTUFURSgnRVBTJywnTUVBTicsJ0FOTlVBTF9ST0xMJywnKzEnLDM5NzMyLCwsJycp&amp;WINDOW=FIRST_POPUP&amp;HEIGHT=450&amp;WIDTH=450&amp;START_MAXIMIZED=FALSE&amp;VAR:CALENDAR=US&amp;VAR:SYMBOL=38259P50&amp;VAR:INDEX=0"}</definedName>
    <definedName name="_3736__FDSAUDITLINK__">{"fdsup://directions/FAT Viewer?action=UPDATE&amp;creator=factset&amp;DYN_ARGS=TRUE&amp;DOC_NAME=FAT:FQL_AUDITING_CLIENT_TEMPLATE.FAT&amp;display_string=Audit&amp;VAR:KEY=ONYBABAJCX&amp;VAR:QUERY=KFBfUFJJQ0UoMzk3MzIpLShGRl9DQVNIX1NUKFFUUiwzOTczMikvUF9DT01fU0hTX09VVCgzOTczMikpKS9GR","V9FU1RJTUFURSgnRVBTJywnTUVBTicsJ0FOTlVBTF9ST0xMJywnKzEnLDM5NzMyLCwsJycp&amp;WINDOW=FIRST_POPUP&amp;HEIGHT=450&amp;WIDTH=450&amp;START_MAXIMIZED=FALSE&amp;VAR:CALENDAR=US&amp;VAR:SYMBOL=38259P50&amp;VAR:INDEX=0"}</definedName>
    <definedName name="_3737__FDSAUDITLINK__">{"fdsup://directions/FAT Viewer?action=UPDATE&amp;creator=factset&amp;DYN_ARGS=TRUE&amp;DOC_NAME=FAT:FQL_AUDITING_CLIENT_TEMPLATE.FAT&amp;display_string=Audit&amp;VAR:KEY=QTEDKJGBGB&amp;VAR:QUERY=KFBfUFJJQ0UoMzk3MzEpLShGRl9DQVNIX1NUKFFUUiwzOTczMSkvUF9DT01fU0hTX09VVCgzOTczMSkpKS9GR","V9FU1RJTUFURSgnRVBTJywnTUVBTicsJ0FOTlVBTF9ST0xMJywnKzEnLDM5NzMxLCwsJycp&amp;WINDOW=FIRST_POPUP&amp;HEIGHT=450&amp;WIDTH=450&amp;START_MAXIMIZED=FALSE&amp;VAR:CALENDAR=US&amp;VAR:SYMBOL=38259P50&amp;VAR:INDEX=0"}</definedName>
    <definedName name="_3738__FDSAUDITLINK__">{"fdsup://directions/FAT Viewer?action=UPDATE&amp;creator=factset&amp;DYN_ARGS=TRUE&amp;DOC_NAME=FAT:FQL_AUDITING_CLIENT_TEMPLATE.FAT&amp;display_string=Audit&amp;VAR:KEY=QTEDKJGBGB&amp;VAR:QUERY=KFBfUFJJQ0UoMzk3MzEpLShGRl9DQVNIX1NUKFFUUiwzOTczMSkvUF9DT01fU0hTX09VVCgzOTczMSkpKS9GR","V9FU1RJTUFURSgnRVBTJywnTUVBTicsJ0FOTlVBTF9ST0xMJywnKzEnLDM5NzMxLCwsJycp&amp;WINDOW=FIRST_POPUP&amp;HEIGHT=450&amp;WIDTH=450&amp;START_MAXIMIZED=FALSE&amp;VAR:CALENDAR=US&amp;VAR:SYMBOL=38259P50&amp;VAR:INDEX=0"}</definedName>
    <definedName name="_3739__FDSAUDITLINK__">{"fdsup://directions/FAT Viewer?action=UPDATE&amp;creator=factset&amp;DYN_ARGS=TRUE&amp;DOC_NAME=FAT:FQL_AUDITING_CLIENT_TEMPLATE.FAT&amp;display_string=Audit&amp;VAR:KEY=SFCLCTCFIV&amp;VAR:QUERY=KFBfUFJJQ0UoMzk3MzApLShGRl9DQVNIX1NUKFFUUiwzOTczMCkvUF9DT01fU0hTX09VVCgzOTczMCkpKS9GR","V9FU1RJTUFURSgnRVBTJywnTUVBTicsJ0FOTlVBTF9ST0xMJywnKzEnLDM5NzMwLCwsJycp&amp;WINDOW=FIRST_POPUP&amp;HEIGHT=450&amp;WIDTH=450&amp;START_MAXIMIZED=FALSE&amp;VAR:CALENDAR=US&amp;VAR:SYMBOL=38259P50&amp;VAR:INDEX=0"}</definedName>
    <definedName name="_37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155"}</definedName>
    <definedName name="_3740__FDSAUDITLINK__">{"fdsup://directions/FAT Viewer?action=UPDATE&amp;creator=factset&amp;DYN_ARGS=TRUE&amp;DOC_NAME=FAT:FQL_AUDITING_CLIENT_TEMPLATE.FAT&amp;display_string=Audit&amp;VAR:KEY=SFCLCTCFIV&amp;VAR:QUERY=KFBfUFJJQ0UoMzk3MzApLShGRl9DQVNIX1NUKFFUUiwzOTczMCkvUF9DT01fU0hTX09VVCgzOTczMCkpKS9GR","V9FU1RJTUFURSgnRVBTJywnTUVBTicsJ0FOTlVBTF9ST0xMJywnKzEnLDM5NzMwLCwsJycp&amp;WINDOW=FIRST_POPUP&amp;HEIGHT=450&amp;WIDTH=450&amp;START_MAXIMIZED=FALSE&amp;VAR:CALENDAR=US&amp;VAR:SYMBOL=38259P50&amp;VAR:INDEX=0"}</definedName>
    <definedName name="_3741__FDSAUDITLINK__">{"fdsup://directions/FAT Viewer?action=UPDATE&amp;creator=factset&amp;DYN_ARGS=TRUE&amp;DOC_NAME=FAT:FQL_AUDITING_CLIENT_TEMPLATE.FAT&amp;display_string=Audit&amp;VAR:KEY=CBMZKZIDUL&amp;VAR:QUERY=KFBfUFJJQ0UoMzk3MjkpLShGRl9DQVNIX1NUKFFUUiwzOTcyOSkvUF9DT01fU0hTX09VVCgzOTcyOSkpKS9GR","V9FU1RJTUFURSgnRVBTJywnTUVBTicsJ0FOTlVBTF9ST0xMJywnKzEnLDM5NzI5LCwsJycp&amp;WINDOW=FIRST_POPUP&amp;HEIGHT=450&amp;WIDTH=450&amp;START_MAXIMIZED=FALSE&amp;VAR:CALENDAR=US&amp;VAR:SYMBOL=38259P50&amp;VAR:INDEX=0"}</definedName>
    <definedName name="_3742__FDSAUDITLINK__">{"fdsup://directions/FAT Viewer?action=UPDATE&amp;creator=factset&amp;DYN_ARGS=TRUE&amp;DOC_NAME=FAT:FQL_AUDITING_CLIENT_TEMPLATE.FAT&amp;display_string=Audit&amp;VAR:KEY=CBMZKZIDUL&amp;VAR:QUERY=KFBfUFJJQ0UoMzk3MjkpLShGRl9DQVNIX1NUKFFUUiwzOTcyOSkvUF9DT01fU0hTX09VVCgzOTcyOSkpKS9GR","V9FU1RJTUFURSgnRVBTJywnTUVBTicsJ0FOTlVBTF9ST0xMJywnKzEnLDM5NzI5LCwsJycp&amp;WINDOW=FIRST_POPUP&amp;HEIGHT=450&amp;WIDTH=450&amp;START_MAXIMIZED=FALSE&amp;VAR:CALENDAR=US&amp;VAR:SYMBOL=38259P50&amp;VAR:INDEX=0"}</definedName>
    <definedName name="_3743__FDSAUDITLINK__">{"fdsup://directions/FAT Viewer?action=UPDATE&amp;creator=factset&amp;DYN_ARGS=TRUE&amp;DOC_NAME=FAT:FQL_AUDITING_CLIENT_TEMPLATE.FAT&amp;display_string=Audit&amp;VAR:KEY=WJGRWREVYT&amp;VAR:QUERY=KFBfUFJJQ0UoMzk3MjgpLShGRl9DQVNIX1NUKFFUUiwzOTcyOCkvUF9DT01fU0hTX09VVCgzOTcyOCkpKS9GR","V9FU1RJTUFURSgnRVBTJywnTUVBTicsJ0FOTlVBTF9ST0xMJywnKzEnLDM5NzI4LCwsJycp&amp;WINDOW=FIRST_POPUP&amp;HEIGHT=450&amp;WIDTH=450&amp;START_MAXIMIZED=FALSE&amp;VAR:CALENDAR=US&amp;VAR:SYMBOL=38259P50&amp;VAR:INDEX=0"}</definedName>
    <definedName name="_3744__FDSAUDITLINK__">{"fdsup://directions/FAT Viewer?action=UPDATE&amp;creator=factset&amp;DYN_ARGS=TRUE&amp;DOC_NAME=FAT:FQL_AUDITING_CLIENT_TEMPLATE.FAT&amp;display_string=Audit&amp;VAR:KEY=WJGRWREVYT&amp;VAR:QUERY=KFBfUFJJQ0UoMzk3MjgpLShGRl9DQVNIX1NUKFFUUiwzOTcyOCkvUF9DT01fU0hTX09VVCgzOTcyOCkpKS9GR","V9FU1RJTUFURSgnRVBTJywnTUVBTicsJ0FOTlVBTF9ST0xMJywnKzEnLDM5NzI4LCwsJycp&amp;WINDOW=FIRST_POPUP&amp;HEIGHT=450&amp;WIDTH=450&amp;START_MAXIMIZED=FALSE&amp;VAR:CALENDAR=US&amp;VAR:SYMBOL=38259P50&amp;VAR:INDEX=0"}</definedName>
    <definedName name="_3745__FDSAUDITLINK__">{"fdsup://directions/FAT Viewer?action=UPDATE&amp;creator=factset&amp;DYN_ARGS=TRUE&amp;DOC_NAME=FAT:FQL_AUDITING_CLIENT_TEMPLATE.FAT&amp;display_string=Audit&amp;VAR:KEY=MROJAVKJIZ&amp;VAR:QUERY=KFBfUFJJQ0UoMzk3MjcpLShGRl9DQVNIX1NUKFFUUiwzOTcyNykvUF9DT01fU0hTX09VVCgzOTcyNykpKS9GR","V9FU1RJTUFURSgnRVBTJywnTUVBTicsJ0FOTlVBTF9ST0xMJywnKzEnLDM5NzI3LCwsJycp&amp;WINDOW=FIRST_POPUP&amp;HEIGHT=450&amp;WIDTH=450&amp;START_MAXIMIZED=FALSE&amp;VAR:CALENDAR=US&amp;VAR:SYMBOL=38259P50&amp;VAR:INDEX=0"}</definedName>
    <definedName name="_3746__FDSAUDITLINK__">{"fdsup://directions/FAT Viewer?action=UPDATE&amp;creator=factset&amp;DYN_ARGS=TRUE&amp;DOC_NAME=FAT:FQL_AUDITING_CLIENT_TEMPLATE.FAT&amp;display_string=Audit&amp;VAR:KEY=MROJAVKJIZ&amp;VAR:QUERY=KFBfUFJJQ0UoMzk3MjcpLShGRl9DQVNIX1NUKFFUUiwzOTcyNykvUF9DT01fU0hTX09VVCgzOTcyNykpKS9GR","V9FU1RJTUFURSgnRVBTJywnTUVBTicsJ0FOTlVBTF9ST0xMJywnKzEnLDM5NzI3LCwsJycp&amp;WINDOW=FIRST_POPUP&amp;HEIGHT=450&amp;WIDTH=450&amp;START_MAXIMIZED=FALSE&amp;VAR:CALENDAR=US&amp;VAR:SYMBOL=38259P50&amp;VAR:INDEX=0"}</definedName>
    <definedName name="_3747__FDSAUDITLINK__">{"fdsup://directions/FAT Viewer?action=UPDATE&amp;creator=factset&amp;DYN_ARGS=TRUE&amp;DOC_NAME=FAT:FQL_AUDITING_CLIENT_TEMPLATE.FAT&amp;display_string=Audit&amp;VAR:KEY=GXGHEHCTWB&amp;VAR:QUERY=KFBfUFJJQ0UoMzk3MjYpLShGRl9DQVNIX1NUKFFUUiwzOTcyNikvUF9DT01fU0hTX09VVCgzOTcyNikpKS9GR","V9FU1RJTUFURSgnRVBTJywnTUVBTicsJ0FOTlVBTF9ST0xMJywnKzEnLDM5NzI2LCwsJycp&amp;WINDOW=FIRST_POPUP&amp;HEIGHT=450&amp;WIDTH=450&amp;START_MAXIMIZED=FALSE&amp;VAR:CALENDAR=US&amp;VAR:SYMBOL=38259P50&amp;VAR:INDEX=0"}</definedName>
    <definedName name="_3748__FDSAUDITLINK__">{"fdsup://directions/FAT Viewer?action=UPDATE&amp;creator=factset&amp;DYN_ARGS=TRUE&amp;DOC_NAME=FAT:FQL_AUDITING_CLIENT_TEMPLATE.FAT&amp;display_string=Audit&amp;VAR:KEY=GXGHEHCTWB&amp;VAR:QUERY=KFBfUFJJQ0UoMzk3MjYpLShGRl9DQVNIX1NUKFFUUiwzOTcyNikvUF9DT01fU0hTX09VVCgzOTcyNikpKS9GR","V9FU1RJTUFURSgnRVBTJywnTUVBTicsJ0FOTlVBTF9ST0xMJywnKzEnLDM5NzI2LCwsJycp&amp;WINDOW=FIRST_POPUP&amp;HEIGHT=450&amp;WIDTH=450&amp;START_MAXIMIZED=FALSE&amp;VAR:CALENDAR=US&amp;VAR:SYMBOL=38259P50&amp;VAR:INDEX=0"}</definedName>
    <definedName name="_3749__FDSAUDITLINK__">{"fdsup://directions/FAT Viewer?action=UPDATE&amp;creator=factset&amp;DYN_ARGS=TRUE&amp;DOC_NAME=FAT:FQL_AUDITING_CLIENT_TEMPLATE.FAT&amp;display_string=Audit&amp;VAR:KEY=WRWBQHWRKF&amp;VAR:QUERY=KFBfUFJJQ0UoMzk3MjUpLShGRl9DQVNIX1NUKFFUUiwzOTcyNSkvUF9DT01fU0hTX09VVCgzOTcyNSkpKS9GR","V9FU1RJTUFURSgnRVBTJywnTUVBTicsJ0FOTlVBTF9ST0xMJywnKzEnLDM5NzI1LCwsJycp&amp;WINDOW=FIRST_POPUP&amp;HEIGHT=450&amp;WIDTH=450&amp;START_MAXIMIZED=FALSE&amp;VAR:CALENDAR=US&amp;VAR:SYMBOL=38259P50&amp;VAR:INDEX=0"}</definedName>
    <definedName name="_37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154"}</definedName>
    <definedName name="_3750__FDSAUDITLINK__">{"fdsup://directions/FAT Viewer?action=UPDATE&amp;creator=factset&amp;DYN_ARGS=TRUE&amp;DOC_NAME=FAT:FQL_AUDITING_CLIENT_TEMPLATE.FAT&amp;display_string=Audit&amp;VAR:KEY=WRWBQHWRKF&amp;VAR:QUERY=KFBfUFJJQ0UoMzk3MjUpLShGRl9DQVNIX1NUKFFUUiwzOTcyNSkvUF9DT01fU0hTX09VVCgzOTcyNSkpKS9GR","V9FU1RJTUFURSgnRVBTJywnTUVBTicsJ0FOTlVBTF9ST0xMJywnKzEnLDM5NzI1LCwsJycp&amp;WINDOW=FIRST_POPUP&amp;HEIGHT=450&amp;WIDTH=450&amp;START_MAXIMIZED=FALSE&amp;VAR:CALENDAR=US&amp;VAR:SYMBOL=38259P50&amp;VAR:INDEX=0"}</definedName>
    <definedName name="_3751__FDSAUDITLINK__">{"fdsup://directions/FAT Viewer?action=UPDATE&amp;creator=factset&amp;DYN_ARGS=TRUE&amp;DOC_NAME=FAT:FQL_AUDITING_CLIENT_TEMPLATE.FAT&amp;display_string=Audit&amp;VAR:KEY=UJGJQLAVOJ&amp;VAR:QUERY=KFBfUFJJQ0UoMzk3MjQpLShGRl9DQVNIX1NUKFFUUiwzOTcyNCkvUF9DT01fU0hTX09VVCgzOTcyNCkpKS9GR","V9FU1RJTUFURSgnRVBTJywnTUVBTicsJ0FOTlVBTF9ST0xMJywnKzEnLDM5NzI0LCwsJycp&amp;WINDOW=FIRST_POPUP&amp;HEIGHT=450&amp;WIDTH=450&amp;START_MAXIMIZED=FALSE&amp;VAR:CALENDAR=US&amp;VAR:SYMBOL=38259P50&amp;VAR:INDEX=0"}</definedName>
    <definedName name="_3752__FDSAUDITLINK__">{"fdsup://directions/FAT Viewer?action=UPDATE&amp;creator=factset&amp;DYN_ARGS=TRUE&amp;DOC_NAME=FAT:FQL_AUDITING_CLIENT_TEMPLATE.FAT&amp;display_string=Audit&amp;VAR:KEY=UJGJQLAVOJ&amp;VAR:QUERY=KFBfUFJJQ0UoMzk3MjQpLShGRl9DQVNIX1NUKFFUUiwzOTcyNCkvUF9DT01fU0hTX09VVCgzOTcyNCkpKS9GR","V9FU1RJTUFURSgnRVBTJywnTUVBTicsJ0FOTlVBTF9ST0xMJywnKzEnLDM5NzI0LCwsJycp&amp;WINDOW=FIRST_POPUP&amp;HEIGHT=450&amp;WIDTH=450&amp;START_MAXIMIZED=FALSE&amp;VAR:CALENDAR=US&amp;VAR:SYMBOL=38259P50&amp;VAR:INDEX=0"}</definedName>
    <definedName name="_3753__FDSAUDITLINK__">{"fdsup://directions/FAT Viewer?action=UPDATE&amp;creator=factset&amp;DYN_ARGS=TRUE&amp;DOC_NAME=FAT:FQL_AUDITING_CLIENT_TEMPLATE.FAT&amp;display_string=Audit&amp;VAR:KEY=SVQJIDEXSH&amp;VAR:QUERY=KFBfUFJJQ0UoMzk3MjMpLShGRl9DQVNIX1NUKFFUUiwzOTcyMykvUF9DT01fU0hTX09VVCgzOTcyMykpKS9GR","V9FU1RJTUFURSgnRVBTJywnTUVBTicsJ0FOTlVBTF9ST0xMJywnKzEnLDM5NzIzLCwsJycp&amp;WINDOW=FIRST_POPUP&amp;HEIGHT=450&amp;WIDTH=450&amp;START_MAXIMIZED=FALSE&amp;VAR:CALENDAR=US&amp;VAR:SYMBOL=38259P50&amp;VAR:INDEX=0"}</definedName>
    <definedName name="_3754__FDSAUDITLINK__">{"fdsup://directions/FAT Viewer?action=UPDATE&amp;creator=factset&amp;DYN_ARGS=TRUE&amp;DOC_NAME=FAT:FQL_AUDITING_CLIENT_TEMPLATE.FAT&amp;display_string=Audit&amp;VAR:KEY=SVQJIDEXSH&amp;VAR:QUERY=KFBfUFJJQ0UoMzk3MjMpLShGRl9DQVNIX1NUKFFUUiwzOTcyMykvUF9DT01fU0hTX09VVCgzOTcyMykpKS9GR","V9FU1RJTUFURSgnRVBTJywnTUVBTicsJ0FOTlVBTF9ST0xMJywnKzEnLDM5NzIzLCwsJycp&amp;WINDOW=FIRST_POPUP&amp;HEIGHT=450&amp;WIDTH=450&amp;START_MAXIMIZED=FALSE&amp;VAR:CALENDAR=US&amp;VAR:SYMBOL=38259P50&amp;VAR:INDEX=0"}</definedName>
    <definedName name="_3755__FDSAUDITLINK__">{"fdsup://directions/FAT Viewer?action=UPDATE&amp;creator=factset&amp;DYN_ARGS=TRUE&amp;DOC_NAME=FAT:FQL_AUDITING_CLIENT_TEMPLATE.FAT&amp;display_string=Audit&amp;VAR:KEY=UZMBWBSNYH&amp;VAR:QUERY=KFBfUFJJQ0UoMzk3MjIpLShGRl9DQVNIX1NUKFFUUiwzOTcyMikvUF9DT01fU0hTX09VVCgzOTcyMikpKS9GR","V9FU1RJTUFURSgnRVBTJywnTUVBTicsJ0FOTlVBTF9ST0xMJywnKzEnLDM5NzIyLCwsJycp&amp;WINDOW=FIRST_POPUP&amp;HEIGHT=450&amp;WIDTH=450&amp;START_MAXIMIZED=FALSE&amp;VAR:CALENDAR=US&amp;VAR:SYMBOL=38259P50&amp;VAR:INDEX=0"}</definedName>
    <definedName name="_3756__FDSAUDITLINK__">{"fdsup://directions/FAT Viewer?action=UPDATE&amp;creator=factset&amp;DYN_ARGS=TRUE&amp;DOC_NAME=FAT:FQL_AUDITING_CLIENT_TEMPLATE.FAT&amp;display_string=Audit&amp;VAR:KEY=UZMBWBSNYH&amp;VAR:QUERY=KFBfUFJJQ0UoMzk3MjIpLShGRl9DQVNIX1NUKFFUUiwzOTcyMikvUF9DT01fU0hTX09VVCgzOTcyMikpKS9GR","V9FU1RJTUFURSgnRVBTJywnTUVBTicsJ0FOTlVBTF9ST0xMJywnKzEnLDM5NzIyLCwsJycp&amp;WINDOW=FIRST_POPUP&amp;HEIGHT=450&amp;WIDTH=450&amp;START_MAXIMIZED=FALSE&amp;VAR:CALENDAR=US&amp;VAR:SYMBOL=38259P50&amp;VAR:INDEX=0"}</definedName>
    <definedName name="_3757__FDSAUDITLINK__">{"fdsup://directions/FAT Viewer?action=UPDATE&amp;creator=factset&amp;DYN_ARGS=TRUE&amp;DOC_NAME=FAT:FQL_AUDITING_CLIENT_TEMPLATE.FAT&amp;display_string=Audit&amp;VAR:KEY=OBIXUPQNKP&amp;VAR:QUERY=KFBfUFJJQ0UoMzk3MjEpLShGRl9DQVNIX1NUKFFUUiwzOTcyMSkvUF9DT01fU0hTX09VVCgzOTcyMSkpKS9GR","V9FU1RJTUFURSgnRVBTJywnTUVBTicsJ0FOTlVBTF9ST0xMJywnKzEnLDM5NzIxLCwsJycp&amp;WINDOW=FIRST_POPUP&amp;HEIGHT=450&amp;WIDTH=450&amp;START_MAXIMIZED=FALSE&amp;VAR:CALENDAR=US&amp;VAR:SYMBOL=38259P50&amp;VAR:INDEX=0"}</definedName>
    <definedName name="_3758__FDSAUDITLINK__">{"fdsup://directions/FAT Viewer?action=UPDATE&amp;creator=factset&amp;DYN_ARGS=TRUE&amp;DOC_NAME=FAT:FQL_AUDITING_CLIENT_TEMPLATE.FAT&amp;display_string=Audit&amp;VAR:KEY=OBIXUPQNKP&amp;VAR:QUERY=KFBfUFJJQ0UoMzk3MjEpLShGRl9DQVNIX1NUKFFUUiwzOTcyMSkvUF9DT01fU0hTX09VVCgzOTcyMSkpKS9GR","V9FU1RJTUFURSgnRVBTJywnTUVBTicsJ0FOTlVBTF9ST0xMJywnKzEnLDM5NzIxLCwsJycp&amp;WINDOW=FIRST_POPUP&amp;HEIGHT=450&amp;WIDTH=450&amp;START_MAXIMIZED=FALSE&amp;VAR:CALENDAR=US&amp;VAR:SYMBOL=38259P50&amp;VAR:INDEX=0"}</definedName>
    <definedName name="_3759__FDSAUDITLINK__">{"fdsup://directions/FAT Viewer?action=UPDATE&amp;creator=factset&amp;DYN_ARGS=TRUE&amp;DOC_NAME=FAT:FQL_AUDITING_CLIENT_TEMPLATE.FAT&amp;display_string=Audit&amp;VAR:KEY=WBUDETAVGR&amp;VAR:QUERY=KFBfUFJJQ0UoMzk3MjApLShGRl9DQVNIX1NUKFFUUiwzOTcyMCkvUF9DT01fU0hTX09VVCgzOTcyMCkpKS9GR","V9FU1RJTUFURSgnRVBTJywnTUVBTicsJ0FOTlVBTF9ST0xMJywnKzEnLDM5NzIwLCwsJycp&amp;WINDOW=FIRST_POPUP&amp;HEIGHT=450&amp;WIDTH=450&amp;START_MAXIMIZED=FALSE&amp;VAR:CALENDAR=US&amp;VAR:SYMBOL=38259P50&amp;VAR:INDEX=0"}</definedName>
    <definedName name="_37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153"}</definedName>
    <definedName name="_3760__FDSAUDITLINK__">{"fdsup://directions/FAT Viewer?action=UPDATE&amp;creator=factset&amp;DYN_ARGS=TRUE&amp;DOC_NAME=FAT:FQL_AUDITING_CLIENT_TEMPLATE.FAT&amp;display_string=Audit&amp;VAR:KEY=WBUDETAVGR&amp;VAR:QUERY=KFBfUFJJQ0UoMzk3MjApLShGRl9DQVNIX1NUKFFUUiwzOTcyMCkvUF9DT01fU0hTX09VVCgzOTcyMCkpKS9GR","V9FU1RJTUFURSgnRVBTJywnTUVBTicsJ0FOTlVBTF9ST0xMJywnKzEnLDM5NzIwLCwsJycp&amp;WINDOW=FIRST_POPUP&amp;HEIGHT=450&amp;WIDTH=450&amp;START_MAXIMIZED=FALSE&amp;VAR:CALENDAR=US&amp;VAR:SYMBOL=38259P50&amp;VAR:INDEX=0"}</definedName>
    <definedName name="_3761__FDSAUDITLINK__">{"fdsup://directions/FAT Viewer?action=UPDATE&amp;creator=factset&amp;DYN_ARGS=TRUE&amp;DOC_NAME=FAT:FQL_AUDITING_CLIENT_TEMPLATE.FAT&amp;display_string=Audit&amp;VAR:KEY=SRGZAVKLWH&amp;VAR:QUERY=KFBfUFJJQ0UoMzk3MTkpLShGRl9DQVNIX1NUKFFUUiwzOTcxOSkvUF9DT01fU0hTX09VVCgzOTcxOSkpKS9GR","V9FU1RJTUFURSgnRVBTJywnTUVBTicsJ0FOTlVBTF9ST0xMJywnKzEnLDM5NzE5LCwsJycp&amp;WINDOW=FIRST_POPUP&amp;HEIGHT=450&amp;WIDTH=450&amp;START_MAXIMIZED=FALSE&amp;VAR:CALENDAR=US&amp;VAR:SYMBOL=38259P50&amp;VAR:INDEX=0"}</definedName>
    <definedName name="_3762__FDSAUDITLINK__">{"fdsup://directions/FAT Viewer?action=UPDATE&amp;creator=factset&amp;DYN_ARGS=TRUE&amp;DOC_NAME=FAT:FQL_AUDITING_CLIENT_TEMPLATE.FAT&amp;display_string=Audit&amp;VAR:KEY=SRGZAVKLWH&amp;VAR:QUERY=KFBfUFJJQ0UoMzk3MTkpLShGRl9DQVNIX1NUKFFUUiwzOTcxOSkvUF9DT01fU0hTX09VVCgzOTcxOSkpKS9GR","V9FU1RJTUFURSgnRVBTJywnTUVBTicsJ0FOTlVBTF9ST0xMJywnKzEnLDM5NzE5LCwsJycp&amp;WINDOW=FIRST_POPUP&amp;HEIGHT=450&amp;WIDTH=450&amp;START_MAXIMIZED=FALSE&amp;VAR:CALENDAR=US&amp;VAR:SYMBOL=38259P50&amp;VAR:INDEX=0"}</definedName>
    <definedName name="_3763__FDSAUDITLINK__">{"fdsup://directions/FAT Viewer?action=UPDATE&amp;creator=factset&amp;DYN_ARGS=TRUE&amp;DOC_NAME=FAT:FQL_AUDITING_CLIENT_TEMPLATE.FAT&amp;display_string=Audit&amp;VAR:KEY=ALCXMTUTSB&amp;VAR:QUERY=KFBfUFJJQ0UoMzk3MTgpLShGRl9DQVNIX1NUKFFUUiwzOTcxOCkvUF9DT01fU0hTX09VVCgzOTcxOCkpKS9GR","V9FU1RJTUFURSgnRVBTJywnTUVBTicsJ0FOTlVBTF9ST0xMJywnKzEnLDM5NzE4LCwsJycp&amp;WINDOW=FIRST_POPUP&amp;HEIGHT=450&amp;WIDTH=450&amp;START_MAXIMIZED=FALSE&amp;VAR:CALENDAR=US&amp;VAR:SYMBOL=38259P50&amp;VAR:INDEX=0"}</definedName>
    <definedName name="_3764__FDSAUDITLINK__">{"fdsup://directions/FAT Viewer?action=UPDATE&amp;creator=factset&amp;DYN_ARGS=TRUE&amp;DOC_NAME=FAT:FQL_AUDITING_CLIENT_TEMPLATE.FAT&amp;display_string=Audit&amp;VAR:KEY=ALCXMTUTSB&amp;VAR:QUERY=KFBfUFJJQ0UoMzk3MTgpLShGRl9DQVNIX1NUKFFUUiwzOTcxOCkvUF9DT01fU0hTX09VVCgzOTcxOCkpKS9GR","V9FU1RJTUFURSgnRVBTJywnTUVBTicsJ0FOTlVBTF9ST0xMJywnKzEnLDM5NzE4LCwsJycp&amp;WINDOW=FIRST_POPUP&amp;HEIGHT=450&amp;WIDTH=450&amp;START_MAXIMIZED=FALSE&amp;VAR:CALENDAR=US&amp;VAR:SYMBOL=38259P50&amp;VAR:INDEX=0"}</definedName>
    <definedName name="_3765__FDSAUDITLINK__">{"fdsup://directions/FAT Viewer?action=UPDATE&amp;creator=factset&amp;DYN_ARGS=TRUE&amp;DOC_NAME=FAT:FQL_AUDITING_CLIENT_TEMPLATE.FAT&amp;display_string=Audit&amp;VAR:KEY=WZOTUXAFQL&amp;VAR:QUERY=KFBfUFJJQ0UoMzk3MTcpLShGRl9DQVNIX1NUKFFUUiwzOTcxNykvUF9DT01fU0hTX09VVCgzOTcxNykpKS9GR","V9FU1RJTUFURSgnRVBTJywnTUVBTicsJ0FOTlVBTF9ST0xMJywnKzEnLDM5NzE3LCwsJycp&amp;WINDOW=FIRST_POPUP&amp;HEIGHT=450&amp;WIDTH=450&amp;START_MAXIMIZED=FALSE&amp;VAR:CALENDAR=US&amp;VAR:SYMBOL=38259P50&amp;VAR:INDEX=0"}</definedName>
    <definedName name="_3766__FDSAUDITLINK__">{"fdsup://directions/FAT Viewer?action=UPDATE&amp;creator=factset&amp;DYN_ARGS=TRUE&amp;DOC_NAME=FAT:FQL_AUDITING_CLIENT_TEMPLATE.FAT&amp;display_string=Audit&amp;VAR:KEY=WZOTUXAFQL&amp;VAR:QUERY=KFBfUFJJQ0UoMzk3MTcpLShGRl9DQVNIX1NUKFFUUiwzOTcxNykvUF9DT01fU0hTX09VVCgzOTcxNykpKS9GR","V9FU1RJTUFURSgnRVBTJywnTUVBTicsJ0FOTlVBTF9ST0xMJywnKzEnLDM5NzE3LCwsJycp&amp;WINDOW=FIRST_POPUP&amp;HEIGHT=450&amp;WIDTH=450&amp;START_MAXIMIZED=FALSE&amp;VAR:CALENDAR=US&amp;VAR:SYMBOL=38259P50&amp;VAR:INDEX=0"}</definedName>
    <definedName name="_3767__FDSAUDITLINK__">{"fdsup://directions/FAT Viewer?action=UPDATE&amp;creator=factset&amp;DYN_ARGS=TRUE&amp;DOC_NAME=FAT:FQL_AUDITING_CLIENT_TEMPLATE.FAT&amp;display_string=Audit&amp;VAR:KEY=GVEHABKTKT&amp;VAR:QUERY=KFBfUFJJQ0UoMzk3MTYpLShGRl9DQVNIX1NUKFFUUiwzOTcxNikvUF9DT01fU0hTX09VVCgzOTcxNikpKS9GR","V9FU1RJTUFURSgnRVBTJywnTUVBTicsJ0FOTlVBTF9ST0xMJywnKzEnLDM5NzE2LCwsJycp&amp;WINDOW=FIRST_POPUP&amp;HEIGHT=450&amp;WIDTH=450&amp;START_MAXIMIZED=FALSE&amp;VAR:CALENDAR=US&amp;VAR:SYMBOL=38259P50&amp;VAR:INDEX=0"}</definedName>
    <definedName name="_3768__FDSAUDITLINK__">{"fdsup://directions/FAT Viewer?action=UPDATE&amp;creator=factset&amp;DYN_ARGS=TRUE&amp;DOC_NAME=FAT:FQL_AUDITING_CLIENT_TEMPLATE.FAT&amp;display_string=Audit&amp;VAR:KEY=GVEHABKTKT&amp;VAR:QUERY=KFBfUFJJQ0UoMzk3MTYpLShGRl9DQVNIX1NUKFFUUiwzOTcxNikvUF9DT01fU0hTX09VVCgzOTcxNikpKS9GR","V9FU1RJTUFURSgnRVBTJywnTUVBTicsJ0FOTlVBTF9ST0xMJywnKzEnLDM5NzE2LCwsJycp&amp;WINDOW=FIRST_POPUP&amp;HEIGHT=450&amp;WIDTH=450&amp;START_MAXIMIZED=FALSE&amp;VAR:CALENDAR=US&amp;VAR:SYMBOL=38259P50&amp;VAR:INDEX=0"}</definedName>
    <definedName name="_3769__FDSAUDITLINK__">{"fdsup://directions/FAT Viewer?action=UPDATE&amp;creator=factset&amp;DYN_ARGS=TRUE&amp;DOC_NAME=FAT:FQL_AUDITING_CLIENT_TEMPLATE.FAT&amp;display_string=Audit&amp;VAR:KEY=SJAJERGRMJ&amp;VAR:QUERY=KFBfUFJJQ0UoMzk3MTUpLShGRl9DQVNIX1NUKFFUUiwzOTcxNSkvUF9DT01fU0hTX09VVCgzOTcxNSkpKS9GR","V9FU1RJTUFURSgnRVBTJywnTUVBTicsJ0FOTlVBTF9ST0xMJywnKzEnLDM5NzE1LCwsJycp&amp;WINDOW=FIRST_POPUP&amp;HEIGHT=450&amp;WIDTH=450&amp;START_MAXIMIZED=FALSE&amp;VAR:CALENDAR=US&amp;VAR:SYMBOL=38259P50&amp;VAR:INDEX=0"}</definedName>
    <definedName name="_37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152"}</definedName>
    <definedName name="_3770__FDSAUDITLINK__">{"fdsup://directions/FAT Viewer?action=UPDATE&amp;creator=factset&amp;DYN_ARGS=TRUE&amp;DOC_NAME=FAT:FQL_AUDITING_CLIENT_TEMPLATE.FAT&amp;display_string=Audit&amp;VAR:KEY=SJAJERGRMJ&amp;VAR:QUERY=KFBfUFJJQ0UoMzk3MTUpLShGRl9DQVNIX1NUKFFUUiwzOTcxNSkvUF9DT01fU0hTX09VVCgzOTcxNSkpKS9GR","V9FU1RJTUFURSgnRVBTJywnTUVBTicsJ0FOTlVBTF9ST0xMJywnKzEnLDM5NzE1LCwsJycp&amp;WINDOW=FIRST_POPUP&amp;HEIGHT=450&amp;WIDTH=450&amp;START_MAXIMIZED=FALSE&amp;VAR:CALENDAR=US&amp;VAR:SYMBOL=38259P50&amp;VAR:INDEX=0"}</definedName>
    <definedName name="_3771__FDSAUDITLINK__">{"fdsup://directions/FAT Viewer?action=UPDATE&amp;creator=factset&amp;DYN_ARGS=TRUE&amp;DOC_NAME=FAT:FQL_AUDITING_CLIENT_TEMPLATE.FAT&amp;display_string=Audit&amp;VAR:KEY=KROHADQVGL&amp;VAR:QUERY=KFBfUFJJQ0UoMzk3MTQpLShGRl9DQVNIX1NUKFFUUiwzOTcxNCkvUF9DT01fU0hTX09VVCgzOTcxNCkpKS9GR","V9FU1RJTUFURSgnRVBTJywnTUVBTicsJ0FOTlVBTF9ST0xMJywnKzEnLDM5NzE0LCwsJycp&amp;WINDOW=FIRST_POPUP&amp;HEIGHT=450&amp;WIDTH=450&amp;START_MAXIMIZED=FALSE&amp;VAR:CALENDAR=US&amp;VAR:SYMBOL=38259P50&amp;VAR:INDEX=0"}</definedName>
    <definedName name="_3772__FDSAUDITLINK__">{"fdsup://directions/FAT Viewer?action=UPDATE&amp;creator=factset&amp;DYN_ARGS=TRUE&amp;DOC_NAME=FAT:FQL_AUDITING_CLIENT_TEMPLATE.FAT&amp;display_string=Audit&amp;VAR:KEY=KROHADQVGL&amp;VAR:QUERY=KFBfUFJJQ0UoMzk3MTQpLShGRl9DQVNIX1NUKFFUUiwzOTcxNCkvUF9DT01fU0hTX09VVCgzOTcxNCkpKS9GR","V9FU1RJTUFURSgnRVBTJywnTUVBTicsJ0FOTlVBTF9ST0xMJywnKzEnLDM5NzE0LCwsJycp&amp;WINDOW=FIRST_POPUP&amp;HEIGHT=450&amp;WIDTH=450&amp;START_MAXIMIZED=FALSE&amp;VAR:CALENDAR=US&amp;VAR:SYMBOL=38259P50&amp;VAR:INDEX=0"}</definedName>
    <definedName name="_3773__FDSAUDITLINK__">{"fdsup://directions/FAT Viewer?action=UPDATE&amp;creator=factset&amp;DYN_ARGS=TRUE&amp;DOC_NAME=FAT:FQL_AUDITING_CLIENT_TEMPLATE.FAT&amp;display_string=Audit&amp;VAR:KEY=UZGJSHSZKF&amp;VAR:QUERY=KFBfUFJJQ0UoMzk3MTMpLShGRl9DQVNIX1NUKFFUUiwzOTcxMykvUF9DT01fU0hTX09VVCgzOTcxMykpKS9GR","V9FU1RJTUFURSgnRVBTJywnTUVBTicsJ0FOTlVBTF9ST0xMJywnKzEnLDM5NzEzLCwsJycp&amp;WINDOW=FIRST_POPUP&amp;HEIGHT=450&amp;WIDTH=450&amp;START_MAXIMIZED=FALSE&amp;VAR:CALENDAR=US&amp;VAR:SYMBOL=38259P50&amp;VAR:INDEX=0"}</definedName>
    <definedName name="_3774__FDSAUDITLINK__">{"fdsup://directions/FAT Viewer?action=UPDATE&amp;creator=factset&amp;DYN_ARGS=TRUE&amp;DOC_NAME=FAT:FQL_AUDITING_CLIENT_TEMPLATE.FAT&amp;display_string=Audit&amp;VAR:KEY=UZGJSHSZKF&amp;VAR:QUERY=KFBfUFJJQ0UoMzk3MTMpLShGRl9DQVNIX1NUKFFUUiwzOTcxMykvUF9DT01fU0hTX09VVCgzOTcxMykpKS9GR","V9FU1RJTUFURSgnRVBTJywnTUVBTicsJ0FOTlVBTF9ST0xMJywnKzEnLDM5NzEzLCwsJycp&amp;WINDOW=FIRST_POPUP&amp;HEIGHT=450&amp;WIDTH=450&amp;START_MAXIMIZED=FALSE&amp;VAR:CALENDAR=US&amp;VAR:SYMBOL=38259P50&amp;VAR:INDEX=0"}</definedName>
    <definedName name="_3775__FDSAUDITLINK__">{"fdsup://directions/FAT Viewer?action=UPDATE&amp;creator=factset&amp;DYN_ARGS=TRUE&amp;DOC_NAME=FAT:FQL_AUDITING_CLIENT_TEMPLATE.FAT&amp;display_string=Audit&amp;VAR:KEY=EVAHMFYPOH&amp;VAR:QUERY=KFBfUFJJQ0UoMzk3MTIpLShGRl9DQVNIX1NUKFFUUiwzOTcxMikvUF9DT01fU0hTX09VVCgzOTcxMikpKS9GR","V9FU1RJTUFURSgnRVBTJywnTUVBTicsJ0FOTlVBTF9ST0xMJywnKzEnLDM5NzEyLCwsJycp&amp;WINDOW=FIRST_POPUP&amp;HEIGHT=450&amp;WIDTH=450&amp;START_MAXIMIZED=FALSE&amp;VAR:CALENDAR=US&amp;VAR:SYMBOL=38259P50&amp;VAR:INDEX=0"}</definedName>
    <definedName name="_3776__FDSAUDITLINK__">{"fdsup://directions/FAT Viewer?action=UPDATE&amp;creator=factset&amp;DYN_ARGS=TRUE&amp;DOC_NAME=FAT:FQL_AUDITING_CLIENT_TEMPLATE.FAT&amp;display_string=Audit&amp;VAR:KEY=EVAHMFYPOH&amp;VAR:QUERY=KFBfUFJJQ0UoMzk3MTIpLShGRl9DQVNIX1NUKFFUUiwzOTcxMikvUF9DT01fU0hTX09VVCgzOTcxMikpKS9GR","V9FU1RJTUFURSgnRVBTJywnTUVBTicsJ0FOTlVBTF9ST0xMJywnKzEnLDM5NzEyLCwsJycp&amp;WINDOW=FIRST_POPUP&amp;HEIGHT=450&amp;WIDTH=450&amp;START_MAXIMIZED=FALSE&amp;VAR:CALENDAR=US&amp;VAR:SYMBOL=38259P50&amp;VAR:INDEX=0"}</definedName>
    <definedName name="_3777__FDSAUDITLINK__">{"fdsup://directions/FAT Viewer?action=UPDATE&amp;creator=factset&amp;DYN_ARGS=TRUE&amp;DOC_NAME=FAT:FQL_AUDITING_CLIENT_TEMPLATE.FAT&amp;display_string=Audit&amp;VAR:KEY=AROTSBYTKL&amp;VAR:QUERY=KFBfUFJJQ0UoMzk3MTEpLShGRl9DQVNIX1NUKFFUUiwzOTcxMSkvUF9DT01fU0hTX09VVCgzOTcxMSkpKS9GR","V9FU1RJTUFURSgnRVBTJywnTUVBTicsJ0FOTlVBTF9ST0xMJywnKzEnLDM5NzExLCwsJycp&amp;WINDOW=FIRST_POPUP&amp;HEIGHT=450&amp;WIDTH=450&amp;START_MAXIMIZED=FALSE&amp;VAR:CALENDAR=US&amp;VAR:SYMBOL=38259P50&amp;VAR:INDEX=0"}</definedName>
    <definedName name="_3778__FDSAUDITLINK__">{"fdsup://directions/FAT Viewer?action=UPDATE&amp;creator=factset&amp;DYN_ARGS=TRUE&amp;DOC_NAME=FAT:FQL_AUDITING_CLIENT_TEMPLATE.FAT&amp;display_string=Audit&amp;VAR:KEY=AROTSBYTKL&amp;VAR:QUERY=KFBfUFJJQ0UoMzk3MTEpLShGRl9DQVNIX1NUKFFUUiwzOTcxMSkvUF9DT01fU0hTX09VVCgzOTcxMSkpKS9GR","V9FU1RJTUFURSgnRVBTJywnTUVBTicsJ0FOTlVBTF9ST0xMJywnKzEnLDM5NzExLCwsJycp&amp;WINDOW=FIRST_POPUP&amp;HEIGHT=450&amp;WIDTH=450&amp;START_MAXIMIZED=FALSE&amp;VAR:CALENDAR=US&amp;VAR:SYMBOL=38259P50&amp;VAR:INDEX=0"}</definedName>
    <definedName name="_3779__FDSAUDITLINK__">{"fdsup://directions/FAT Viewer?action=UPDATE&amp;creator=factset&amp;DYN_ARGS=TRUE&amp;DOC_NAME=FAT:FQL_AUDITING_CLIENT_TEMPLATE.FAT&amp;display_string=Audit&amp;VAR:KEY=CXEHCTWJQT&amp;VAR:QUERY=KFBfUFJJQ0UoMzk3MTApLShGRl9DQVNIX1NUKFFUUiwzOTcxMCkvUF9DT01fU0hTX09VVCgzOTcxMCkpKS9GR","V9FU1RJTUFURSgnRVBTJywnTUVBTicsJ0FOTlVBTF9ST0xMJywnKzEnLDM5NzEwLCwsJycp&amp;WINDOW=FIRST_POPUP&amp;HEIGHT=450&amp;WIDTH=450&amp;START_MAXIMIZED=FALSE&amp;VAR:CALENDAR=US&amp;VAR:SYMBOL=38259P50&amp;VAR:INDEX=0"}</definedName>
    <definedName name="_37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151"}</definedName>
    <definedName name="_3780__FDSAUDITLINK__">{"fdsup://directions/FAT Viewer?action=UPDATE&amp;creator=factset&amp;DYN_ARGS=TRUE&amp;DOC_NAME=FAT:FQL_AUDITING_CLIENT_TEMPLATE.FAT&amp;display_string=Audit&amp;VAR:KEY=CXEHCTWJQT&amp;VAR:QUERY=KFBfUFJJQ0UoMzk3MTApLShGRl9DQVNIX1NUKFFUUiwzOTcxMCkvUF9DT01fU0hTX09VVCgzOTcxMCkpKS9GR","V9FU1RJTUFURSgnRVBTJywnTUVBTicsJ0FOTlVBTF9ST0xMJywnKzEnLDM5NzEwLCwsJycp&amp;WINDOW=FIRST_POPUP&amp;HEIGHT=450&amp;WIDTH=450&amp;START_MAXIMIZED=FALSE&amp;VAR:CALENDAR=US&amp;VAR:SYMBOL=38259P50&amp;VAR:INDEX=0"}</definedName>
    <definedName name="_3781__FDSAUDITLINK__">{"fdsup://directions/FAT Viewer?action=UPDATE&amp;creator=factset&amp;DYN_ARGS=TRUE&amp;DOC_NAME=FAT:FQL_AUDITING_CLIENT_TEMPLATE.FAT&amp;display_string=Audit&amp;VAR:KEY=UVMVQNGZMT&amp;VAR:QUERY=KFBfUFJJQ0UoMzk3MDkpLShGRl9DQVNIX1NUKFFUUiwzOTcwOSkvUF9DT01fU0hTX09VVCgzOTcwOSkpKS9GR","V9FU1RJTUFURSgnRVBTJywnTUVBTicsJ0FOTlVBTF9ST0xMJywnKzEnLDM5NzA5LCwsJycp&amp;WINDOW=FIRST_POPUP&amp;HEIGHT=450&amp;WIDTH=450&amp;START_MAXIMIZED=FALSE&amp;VAR:CALENDAR=US&amp;VAR:SYMBOL=38259P50&amp;VAR:INDEX=0"}</definedName>
    <definedName name="_3782__FDSAUDITLINK__">{"fdsup://directions/FAT Viewer?action=UPDATE&amp;creator=factset&amp;DYN_ARGS=TRUE&amp;DOC_NAME=FAT:FQL_AUDITING_CLIENT_TEMPLATE.FAT&amp;display_string=Audit&amp;VAR:KEY=UVMVQNGZMT&amp;VAR:QUERY=KFBfUFJJQ0UoMzk3MDkpLShGRl9DQVNIX1NUKFFUUiwzOTcwOSkvUF9DT01fU0hTX09VVCgzOTcwOSkpKS9GR","V9FU1RJTUFURSgnRVBTJywnTUVBTicsJ0FOTlVBTF9ST0xMJywnKzEnLDM5NzA5LCwsJycp&amp;WINDOW=FIRST_POPUP&amp;HEIGHT=450&amp;WIDTH=450&amp;START_MAXIMIZED=FALSE&amp;VAR:CALENDAR=US&amp;VAR:SYMBOL=38259P50&amp;VAR:INDEX=0"}</definedName>
    <definedName name="_3783__FDSAUDITLINK__">{"fdsup://directions/FAT Viewer?action=UPDATE&amp;creator=factset&amp;DYN_ARGS=TRUE&amp;DOC_NAME=FAT:FQL_AUDITING_CLIENT_TEMPLATE.FAT&amp;display_string=Audit&amp;VAR:KEY=CBYZQLUNQL&amp;VAR:QUERY=KFBfUFJJQ0UoMzk3MDgpLShGRl9DQVNIX1NUKFFUUiwzOTcwOCkvUF9DT01fU0hTX09VVCgzOTcwOCkpKS9GR","V9FU1RJTUFURSgnRVBTJywnTUVBTicsJ0FOTlVBTF9ST0xMJywnKzEnLDM5NzA4LCwsJycp&amp;WINDOW=FIRST_POPUP&amp;HEIGHT=450&amp;WIDTH=450&amp;START_MAXIMIZED=FALSE&amp;VAR:CALENDAR=US&amp;VAR:SYMBOL=38259P50&amp;VAR:INDEX=0"}</definedName>
    <definedName name="_3784__FDSAUDITLINK__">{"fdsup://directions/FAT Viewer?action=UPDATE&amp;creator=factset&amp;DYN_ARGS=TRUE&amp;DOC_NAME=FAT:FQL_AUDITING_CLIENT_TEMPLATE.FAT&amp;display_string=Audit&amp;VAR:KEY=CBYZQLUNQL&amp;VAR:QUERY=KFBfUFJJQ0UoMzk3MDgpLShGRl9DQVNIX1NUKFFUUiwzOTcwOCkvUF9DT01fU0hTX09VVCgzOTcwOCkpKS9GR","V9FU1RJTUFURSgnRVBTJywnTUVBTicsJ0FOTlVBTF9ST0xMJywnKzEnLDM5NzA4LCwsJycp&amp;WINDOW=FIRST_POPUP&amp;HEIGHT=450&amp;WIDTH=450&amp;START_MAXIMIZED=FALSE&amp;VAR:CALENDAR=US&amp;VAR:SYMBOL=38259P50&amp;VAR:INDEX=0"}</definedName>
    <definedName name="_3785__FDSAUDITLINK__">{"fdsup://directions/FAT Viewer?action=UPDATE&amp;creator=factset&amp;DYN_ARGS=TRUE&amp;DOC_NAME=FAT:FQL_AUDITING_CLIENT_TEMPLATE.FAT&amp;display_string=Audit&amp;VAR:KEY=ODQRKZEZIF&amp;VAR:QUERY=KFBfUFJJQ0UoMzk3MDcpLShGRl9DQVNIX1NUKFFUUiwzOTcwNykvUF9DT01fU0hTX09VVCgzOTcwNykpKS9GR","V9FU1RJTUFURSgnRVBTJywnTUVBTicsJ0FOTlVBTF9ST0xMJywnKzEnLDM5NzA3LCwsJycp&amp;WINDOW=FIRST_POPUP&amp;HEIGHT=450&amp;WIDTH=450&amp;START_MAXIMIZED=FALSE&amp;VAR:CALENDAR=US&amp;VAR:SYMBOL=38259P50&amp;VAR:INDEX=0"}</definedName>
    <definedName name="_3786__FDSAUDITLINK__">{"fdsup://directions/FAT Viewer?action=UPDATE&amp;creator=factset&amp;DYN_ARGS=TRUE&amp;DOC_NAME=FAT:FQL_AUDITING_CLIENT_TEMPLATE.FAT&amp;display_string=Audit&amp;VAR:KEY=ODQRKZEZIF&amp;VAR:QUERY=KFBfUFJJQ0UoMzk3MDcpLShGRl9DQVNIX1NUKFFUUiwzOTcwNykvUF9DT01fU0hTX09VVCgzOTcwNykpKS9GR","V9FU1RJTUFURSgnRVBTJywnTUVBTicsJ0FOTlVBTF9ST0xMJywnKzEnLDM5NzA3LCwsJycp&amp;WINDOW=FIRST_POPUP&amp;HEIGHT=450&amp;WIDTH=450&amp;START_MAXIMIZED=FALSE&amp;VAR:CALENDAR=US&amp;VAR:SYMBOL=38259P50&amp;VAR:INDEX=0"}</definedName>
    <definedName name="_3787__FDSAUDITLINK__">{"fdsup://directions/FAT Viewer?action=UPDATE&amp;creator=factset&amp;DYN_ARGS=TRUE&amp;DOC_NAME=FAT:FQL_AUDITING_CLIENT_TEMPLATE.FAT&amp;display_string=Audit&amp;VAR:KEY=KBYXIFYTMN&amp;VAR:QUERY=KFBfUFJJQ0UoMzk3MDYpLShGRl9DQVNIX1NUKFFUUiwzOTcwNikvUF9DT01fU0hTX09VVCgzOTcwNikpKS9GR","V9FU1RJTUFURSgnRVBTJywnTUVBTicsJ0FOTlVBTF9ST0xMJywnKzEnLDM5NzA2LCwsJycp&amp;WINDOW=FIRST_POPUP&amp;HEIGHT=450&amp;WIDTH=450&amp;START_MAXIMIZED=FALSE&amp;VAR:CALENDAR=US&amp;VAR:SYMBOL=38259P50&amp;VAR:INDEX=0"}</definedName>
    <definedName name="_3788__FDSAUDITLINK__">{"fdsup://directions/FAT Viewer?action=UPDATE&amp;creator=factset&amp;DYN_ARGS=TRUE&amp;DOC_NAME=FAT:FQL_AUDITING_CLIENT_TEMPLATE.FAT&amp;display_string=Audit&amp;VAR:KEY=KBYXIFYTMN&amp;VAR:QUERY=KFBfUFJJQ0UoMzk3MDYpLShGRl9DQVNIX1NUKFFUUiwzOTcwNikvUF9DT01fU0hTX09VVCgzOTcwNikpKS9GR","V9FU1RJTUFURSgnRVBTJywnTUVBTicsJ0FOTlVBTF9ST0xMJywnKzEnLDM5NzA2LCwsJycp&amp;WINDOW=FIRST_POPUP&amp;HEIGHT=450&amp;WIDTH=450&amp;START_MAXIMIZED=FALSE&amp;VAR:CALENDAR=US&amp;VAR:SYMBOL=38259P50&amp;VAR:INDEX=0"}</definedName>
    <definedName name="_3789__FDSAUDITLINK__">{"fdsup://directions/FAT Viewer?action=UPDATE&amp;creator=factset&amp;DYN_ARGS=TRUE&amp;DOC_NAME=FAT:FQL_AUDITING_CLIENT_TEMPLATE.FAT&amp;display_string=Audit&amp;VAR:KEY=EVONANQZUP&amp;VAR:QUERY=KFBfUFJJQ0UoMzk3MDUpLShGRl9DQVNIX1NUKFFUUiwzOTcwNSkvUF9DT01fU0hTX09VVCgzOTcwNSkpKS9GR","V9FU1RJTUFURSgnRVBTJywnTUVBTicsJ0FOTlVBTF9ST0xMJywnKzEnLDM5NzA1LCwsJycp&amp;WINDOW=FIRST_POPUP&amp;HEIGHT=450&amp;WIDTH=450&amp;START_MAXIMIZED=FALSE&amp;VAR:CALENDAR=US&amp;VAR:SYMBOL=38259P50&amp;VAR:INDEX=0"}</definedName>
    <definedName name="_37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150"}</definedName>
    <definedName name="_3790__FDSAUDITLINK__">{"fdsup://directions/FAT Viewer?action=UPDATE&amp;creator=factset&amp;DYN_ARGS=TRUE&amp;DOC_NAME=FAT:FQL_AUDITING_CLIENT_TEMPLATE.FAT&amp;display_string=Audit&amp;VAR:KEY=EVONANQZUP&amp;VAR:QUERY=KFBfUFJJQ0UoMzk3MDUpLShGRl9DQVNIX1NUKFFUUiwzOTcwNSkvUF9DT01fU0hTX09VVCgzOTcwNSkpKS9GR","V9FU1RJTUFURSgnRVBTJywnTUVBTicsJ0FOTlVBTF9ST0xMJywnKzEnLDM5NzA1LCwsJycp&amp;WINDOW=FIRST_POPUP&amp;HEIGHT=450&amp;WIDTH=450&amp;START_MAXIMIZED=FALSE&amp;VAR:CALENDAR=US&amp;VAR:SYMBOL=38259P50&amp;VAR:INDEX=0"}</definedName>
    <definedName name="_3791__FDSAUDITLINK__">{"fdsup://directions/FAT Viewer?action=UPDATE&amp;creator=factset&amp;DYN_ARGS=TRUE&amp;DOC_NAME=FAT:FQL_AUDITING_CLIENT_TEMPLATE.FAT&amp;display_string=Audit&amp;VAR:KEY=ANCLORGXQN&amp;VAR:QUERY=KFBfUFJJQ0UoMzk3MDQpLShGRl9DQVNIX1NUKFFUUiwzOTcwNCkvUF9DT01fU0hTX09VVCgzOTcwNCkpKS9GR","V9FU1RJTUFURSgnRVBTJywnTUVBTicsJ0FOTlVBTF9ST0xMJywnKzEnLDM5NzA0LCwsJycp&amp;WINDOW=FIRST_POPUP&amp;HEIGHT=450&amp;WIDTH=450&amp;START_MAXIMIZED=FALSE&amp;VAR:CALENDAR=US&amp;VAR:SYMBOL=38259P50&amp;VAR:INDEX=0"}</definedName>
    <definedName name="_3792__FDSAUDITLINK__">{"fdsup://directions/FAT Viewer?action=UPDATE&amp;creator=factset&amp;DYN_ARGS=TRUE&amp;DOC_NAME=FAT:FQL_AUDITING_CLIENT_TEMPLATE.FAT&amp;display_string=Audit&amp;VAR:KEY=ANCLORGXQN&amp;VAR:QUERY=KFBfUFJJQ0UoMzk3MDQpLShGRl9DQVNIX1NUKFFUUiwzOTcwNCkvUF9DT01fU0hTX09VVCgzOTcwNCkpKS9GR","V9FU1RJTUFURSgnRVBTJywnTUVBTicsJ0FOTlVBTF9ST0xMJywnKzEnLDM5NzA0LCwsJycp&amp;WINDOW=FIRST_POPUP&amp;HEIGHT=450&amp;WIDTH=450&amp;START_MAXIMIZED=FALSE&amp;VAR:CALENDAR=US&amp;VAR:SYMBOL=38259P50&amp;VAR:INDEX=0"}</definedName>
    <definedName name="_3793__FDSAUDITLINK__">{"fdsup://directions/FAT Viewer?action=UPDATE&amp;creator=factset&amp;DYN_ARGS=TRUE&amp;DOC_NAME=FAT:FQL_AUDITING_CLIENT_TEMPLATE.FAT&amp;display_string=Audit&amp;VAR:KEY=MJIPGFMFCT&amp;VAR:QUERY=KFBfUFJJQ0UoMzk3MDMpLShGRl9DQVNIX1NUKFFUUiwzOTcwMykvUF9DT01fU0hTX09VVCgzOTcwMykpKS9GR","V9FU1RJTUFURSgnRVBTJywnTUVBTicsJ0FOTlVBTF9ST0xMJywnKzEnLDM5NzAzLCwsJycp&amp;WINDOW=FIRST_POPUP&amp;HEIGHT=450&amp;WIDTH=450&amp;START_MAXIMIZED=FALSE&amp;VAR:CALENDAR=US&amp;VAR:SYMBOL=38259P50&amp;VAR:INDEX=0"}</definedName>
    <definedName name="_3794__FDSAUDITLINK__">{"fdsup://directions/FAT Viewer?action=UPDATE&amp;creator=factset&amp;DYN_ARGS=TRUE&amp;DOC_NAME=FAT:FQL_AUDITING_CLIENT_TEMPLATE.FAT&amp;display_string=Audit&amp;VAR:KEY=MJIPGFMFCT&amp;VAR:QUERY=KFBfUFJJQ0UoMzk3MDMpLShGRl9DQVNIX1NUKFFUUiwzOTcwMykvUF9DT01fU0hTX09VVCgzOTcwMykpKS9GR","V9FU1RJTUFURSgnRVBTJywnTUVBTicsJ0FOTlVBTF9ST0xMJywnKzEnLDM5NzAzLCwsJycp&amp;WINDOW=FIRST_POPUP&amp;HEIGHT=450&amp;WIDTH=450&amp;START_MAXIMIZED=FALSE&amp;VAR:CALENDAR=US&amp;VAR:SYMBOL=38259P50&amp;VAR:INDEX=0"}</definedName>
    <definedName name="_3795__FDSAUDITLINK__">{"fdsup://directions/FAT Viewer?action=UPDATE&amp;creator=factset&amp;DYN_ARGS=TRUE&amp;DOC_NAME=FAT:FQL_AUDITING_CLIENT_TEMPLATE.FAT&amp;display_string=Audit&amp;VAR:KEY=GHCVSJYJMZ&amp;VAR:QUERY=KFBfUFJJQ0UoMzk3MDIpLShGRl9DQVNIX1NUKFFUUiwzOTcwMikvUF9DT01fU0hTX09VVCgzOTcwMikpKS9GR","V9FU1RJTUFURSgnRVBTJywnTUVBTicsJ0FOTlVBTF9ST0xMJywnKzEnLDM5NzAyLCwsJycp&amp;WINDOW=FIRST_POPUP&amp;HEIGHT=450&amp;WIDTH=450&amp;START_MAXIMIZED=FALSE&amp;VAR:CALENDAR=US&amp;VAR:SYMBOL=38259P50&amp;VAR:INDEX=0"}</definedName>
    <definedName name="_3796__FDSAUDITLINK__">{"fdsup://directions/FAT Viewer?action=UPDATE&amp;creator=factset&amp;DYN_ARGS=TRUE&amp;DOC_NAME=FAT:FQL_AUDITING_CLIENT_TEMPLATE.FAT&amp;display_string=Audit&amp;VAR:KEY=GHCVSJYJMZ&amp;VAR:QUERY=KFBfUFJJQ0UoMzk3MDIpLShGRl9DQVNIX1NUKFFUUiwzOTcwMikvUF9DT01fU0hTX09VVCgzOTcwMikpKS9GR","V9FU1RJTUFURSgnRVBTJywnTUVBTicsJ0FOTlVBTF9ST0xMJywnKzEnLDM5NzAyLCwsJycp&amp;WINDOW=FIRST_POPUP&amp;HEIGHT=450&amp;WIDTH=450&amp;START_MAXIMIZED=FALSE&amp;VAR:CALENDAR=US&amp;VAR:SYMBOL=38259P50&amp;VAR:INDEX=0"}</definedName>
    <definedName name="_3797__FDSAUDITLINK__">{"fdsup://directions/FAT Viewer?action=UPDATE&amp;creator=factset&amp;DYN_ARGS=TRUE&amp;DOC_NAME=FAT:FQL_AUDITING_CLIENT_TEMPLATE.FAT&amp;display_string=Audit&amp;VAR:KEY=YNCDOPQXUT&amp;VAR:QUERY=KFBfUFJJQ0UoMzk3MDEpLShGRl9DQVNIX1NUKFFUUiwzOTcwMSkvUF9DT01fU0hTX09VVCgzOTcwMSkpKS9GR","V9FU1RJTUFURSgnRVBTJywnTUVBTicsJ0FOTlVBTF9ST0xMJywnKzEnLDM5NzAxLCwsJycp&amp;WINDOW=FIRST_POPUP&amp;HEIGHT=450&amp;WIDTH=450&amp;START_MAXIMIZED=FALSE&amp;VAR:CALENDAR=US&amp;VAR:SYMBOL=38259P50&amp;VAR:INDEX=0"}</definedName>
    <definedName name="_3798__FDSAUDITLINK__">{"fdsup://directions/FAT Viewer?action=UPDATE&amp;creator=factset&amp;DYN_ARGS=TRUE&amp;DOC_NAME=FAT:FQL_AUDITING_CLIENT_TEMPLATE.FAT&amp;display_string=Audit&amp;VAR:KEY=YNCDOPQXUT&amp;VAR:QUERY=KFBfUFJJQ0UoMzk3MDEpLShGRl9DQVNIX1NUKFFUUiwzOTcwMSkvUF9DT01fU0hTX09VVCgzOTcwMSkpKS9GR","V9FU1RJTUFURSgnRVBTJywnTUVBTicsJ0FOTlVBTF9ST0xMJywnKzEnLDM5NzAxLCwsJycp&amp;WINDOW=FIRST_POPUP&amp;HEIGHT=450&amp;WIDTH=450&amp;START_MAXIMIZED=FALSE&amp;VAR:CALENDAR=US&amp;VAR:SYMBOL=38259P50&amp;VAR:INDEX=0"}</definedName>
    <definedName name="_3799__FDSAUDITLINK__">{"fdsup://directions/FAT Viewer?action=UPDATE&amp;creator=factset&amp;DYN_ARGS=TRUE&amp;DOC_NAME=FAT:FQL_AUDITING_CLIENT_TEMPLATE.FAT&amp;display_string=Audit&amp;VAR:KEY=AFGLGZQBOZ&amp;VAR:QUERY=KFBfUFJJQ0UoMzk3MDApLShGRl9DQVNIX1NUKFFUUiwzOTcwMCkvUF9DT01fU0hTX09VVCgzOTcwMCkpKS9GR","V9FU1RJTUFURSgnRVBTJywnTUVBTicsJ0FOTlVBTF9ST0xMJywnKzEnLDM5NzAwLCwsJycp&amp;WINDOW=FIRST_POPUP&amp;HEIGHT=450&amp;WIDTH=450&amp;START_MAXIMIZED=FALSE&amp;VAR:CALENDAR=US&amp;VAR:SYMBOL=38259P50&amp;VAR:INDEX=0"}</definedName>
    <definedName name="_3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0.238356&amp;VAR:V=21.272121&amp;VAR:V0=22.170825&amp;VAR:V1=18.832767&amp;VAR:Y0=2002&amp;VAR:Y1=2003&amp;VAR:P=1147.386500&amp;VAR:DATE=20020328&amp;VAR:THRESH=-|-|","-|-|-|-|-"}</definedName>
    <definedName name="_38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149"}</definedName>
    <definedName name="_3800__FDSAUDITLINK__">{"fdsup://directions/FAT Viewer?action=UPDATE&amp;creator=factset&amp;DYN_ARGS=TRUE&amp;DOC_NAME=FAT:FQL_AUDITING_CLIENT_TEMPLATE.FAT&amp;display_string=Audit&amp;VAR:KEY=AFGLGZQBOZ&amp;VAR:QUERY=KFBfUFJJQ0UoMzk3MDApLShGRl9DQVNIX1NUKFFUUiwzOTcwMCkvUF9DT01fU0hTX09VVCgzOTcwMCkpKS9GR","V9FU1RJTUFURSgnRVBTJywnTUVBTicsJ0FOTlVBTF9ST0xMJywnKzEnLDM5NzAwLCwsJycp&amp;WINDOW=FIRST_POPUP&amp;HEIGHT=450&amp;WIDTH=450&amp;START_MAXIMIZED=FALSE&amp;VAR:CALENDAR=US&amp;VAR:SYMBOL=38259P50&amp;VAR:INDEX=0"}</definedName>
    <definedName name="_3801__FDSAUDITLINK__">{"fdsup://directions/FAT Viewer?action=UPDATE&amp;creator=factset&amp;DYN_ARGS=TRUE&amp;DOC_NAME=FAT:FQL_AUDITING_CLIENT_TEMPLATE.FAT&amp;display_string=Audit&amp;VAR:KEY=WTQREJAPKF&amp;VAR:QUERY=KFBfUFJJQ0UoMzk2OTkpLShGRl9DQVNIX1NUKFFUUiwzOTY5OSkvUF9DT01fU0hTX09VVCgzOTY5OSkpKS9GR","V9FU1RJTUFURSgnRVBTJywnTUVBTicsJ0FOTlVBTF9ST0xMJywnKzEnLDM5Njk5LCwsJycp&amp;WINDOW=FIRST_POPUP&amp;HEIGHT=450&amp;WIDTH=450&amp;START_MAXIMIZED=FALSE&amp;VAR:CALENDAR=US&amp;VAR:SYMBOL=38259P50&amp;VAR:INDEX=0"}</definedName>
    <definedName name="_3802__FDSAUDITLINK__">{"fdsup://directions/FAT Viewer?action=UPDATE&amp;creator=factset&amp;DYN_ARGS=TRUE&amp;DOC_NAME=FAT:FQL_AUDITING_CLIENT_TEMPLATE.FAT&amp;display_string=Audit&amp;VAR:KEY=WTQREJAPKF&amp;VAR:QUERY=KFBfUFJJQ0UoMzk2OTkpLShGRl9DQVNIX1NUKFFUUiwzOTY5OSkvUF9DT01fU0hTX09VVCgzOTY5OSkpKS9GR","V9FU1RJTUFURSgnRVBTJywnTUVBTicsJ0FOTlVBTF9ST0xMJywnKzEnLDM5Njk5LCwsJycp&amp;WINDOW=FIRST_POPUP&amp;HEIGHT=450&amp;WIDTH=450&amp;START_MAXIMIZED=FALSE&amp;VAR:CALENDAR=US&amp;VAR:SYMBOL=38259P50&amp;VAR:INDEX=0"}</definedName>
    <definedName name="_3803__FDSAUDITLINK__">{"fdsup://directions/FAT Viewer?action=UPDATE&amp;creator=factset&amp;DYN_ARGS=TRUE&amp;DOC_NAME=FAT:FQL_AUDITING_CLIENT_TEMPLATE.FAT&amp;display_string=Audit&amp;VAR:KEY=SFKNGZKPQZ&amp;VAR:QUERY=KFBfUFJJQ0UoMzk2OTgpLShGRl9DQVNIX1NUKFFUUiwzOTY5OCkvUF9DT01fU0hTX09VVCgzOTY5OCkpKS9GR","V9FU1RJTUFURSgnRVBTJywnTUVBTicsJ0FOTlVBTF9ST0xMJywnKzEnLDM5Njk4LCwsJycp&amp;WINDOW=FIRST_POPUP&amp;HEIGHT=450&amp;WIDTH=450&amp;START_MAXIMIZED=FALSE&amp;VAR:CALENDAR=US&amp;VAR:SYMBOL=38259P50&amp;VAR:INDEX=0"}</definedName>
    <definedName name="_3804__FDSAUDITLINK__">{"fdsup://directions/FAT Viewer?action=UPDATE&amp;creator=factset&amp;DYN_ARGS=TRUE&amp;DOC_NAME=FAT:FQL_AUDITING_CLIENT_TEMPLATE.FAT&amp;display_string=Audit&amp;VAR:KEY=SFKNGZKPQZ&amp;VAR:QUERY=KFBfUFJJQ0UoMzk2OTgpLShGRl9DQVNIX1NUKFFUUiwzOTY5OCkvUF9DT01fU0hTX09VVCgzOTY5OCkpKS9GR","V9FU1RJTUFURSgnRVBTJywnTUVBTicsJ0FOTlVBTF9ST0xMJywnKzEnLDM5Njk4LCwsJycp&amp;WINDOW=FIRST_POPUP&amp;HEIGHT=450&amp;WIDTH=450&amp;START_MAXIMIZED=FALSE&amp;VAR:CALENDAR=US&amp;VAR:SYMBOL=38259P50&amp;VAR:INDEX=0"}</definedName>
    <definedName name="_3805__FDSAUDITLINK__">{"fdsup://directions/FAT Viewer?action=UPDATE&amp;creator=factset&amp;DYN_ARGS=TRUE&amp;DOC_NAME=FAT:FQL_AUDITING_CLIENT_TEMPLATE.FAT&amp;display_string=Audit&amp;VAR:KEY=GXQPGHATOR&amp;VAR:QUERY=KFBfUFJJQ0UoMzk2OTcpLShGRl9DQVNIX1NUKFFUUiwzOTY5NykvUF9DT01fU0hTX09VVCgzOTY5NykpKS9GR","V9FU1RJTUFURSgnRVBTJywnTUVBTicsJ0FOTlVBTF9ST0xMJywnKzEnLDM5Njk3LCwsJycp&amp;WINDOW=FIRST_POPUP&amp;HEIGHT=450&amp;WIDTH=450&amp;START_MAXIMIZED=FALSE&amp;VAR:CALENDAR=US&amp;VAR:SYMBOL=38259P50&amp;VAR:INDEX=0"}</definedName>
    <definedName name="_3806__FDSAUDITLINK__">{"fdsup://directions/FAT Viewer?action=UPDATE&amp;creator=factset&amp;DYN_ARGS=TRUE&amp;DOC_NAME=FAT:FQL_AUDITING_CLIENT_TEMPLATE.FAT&amp;display_string=Audit&amp;VAR:KEY=GXQPGHATOR&amp;VAR:QUERY=KFBfUFJJQ0UoMzk2OTcpLShGRl9DQVNIX1NUKFFUUiwzOTY5NykvUF9DT01fU0hTX09VVCgzOTY5NykpKS9GR","V9FU1RJTUFURSgnRVBTJywnTUVBTicsJ0FOTlVBTF9ST0xMJywnKzEnLDM5Njk3LCwsJycp&amp;WINDOW=FIRST_POPUP&amp;HEIGHT=450&amp;WIDTH=450&amp;START_MAXIMIZED=FALSE&amp;VAR:CALENDAR=US&amp;VAR:SYMBOL=38259P50&amp;VAR:INDEX=0"}</definedName>
    <definedName name="_3807__FDSAUDITLINK__">{"fdsup://directions/FAT Viewer?action=UPDATE&amp;creator=factset&amp;DYN_ARGS=TRUE&amp;DOC_NAME=FAT:FQL_AUDITING_CLIENT_TEMPLATE.FAT&amp;display_string=Audit&amp;VAR:KEY=GDGHYNILGX&amp;VAR:QUERY=KFBfUFJJQ0UoMzk2OTYpLShGRl9DQVNIX1NUKFFUUiwzOTY5NikvUF9DT01fU0hTX09VVCgzOTY5NikpKS9GR","V9FU1RJTUFURSgnRVBTJywnTUVBTicsJ0FOTlVBTF9ST0xMJywnKzEnLDM5Njk2LCwsJycp&amp;WINDOW=FIRST_POPUP&amp;HEIGHT=450&amp;WIDTH=450&amp;START_MAXIMIZED=FALSE&amp;VAR:CALENDAR=US&amp;VAR:SYMBOL=38259P50&amp;VAR:INDEX=0"}</definedName>
    <definedName name="_3808__FDSAUDITLINK__">{"fdsup://directions/FAT Viewer?action=UPDATE&amp;creator=factset&amp;DYN_ARGS=TRUE&amp;DOC_NAME=FAT:FQL_AUDITING_CLIENT_TEMPLATE.FAT&amp;display_string=Audit&amp;VAR:KEY=GDGHYNILGX&amp;VAR:QUERY=KFBfUFJJQ0UoMzk2OTYpLShGRl9DQVNIX1NUKFFUUiwzOTY5NikvUF9DT01fU0hTX09VVCgzOTY5NikpKS9GR","V9FU1RJTUFURSgnRVBTJywnTUVBTicsJ0FOTlVBTF9ST0xMJywnKzEnLDM5Njk2LCwsJycp&amp;WINDOW=FIRST_POPUP&amp;HEIGHT=450&amp;WIDTH=450&amp;START_MAXIMIZED=FALSE&amp;VAR:CALENDAR=US&amp;VAR:SYMBOL=38259P50&amp;VAR:INDEX=0"}</definedName>
    <definedName name="_3809__FDSAUDITLINK__">{"fdsup://directions/FAT Viewer?action=UPDATE&amp;creator=factset&amp;DYN_ARGS=TRUE&amp;DOC_NAME=FAT:FQL_AUDITING_CLIENT_TEMPLATE.FAT&amp;display_string=Audit&amp;VAR:KEY=CXMPCJYFUD&amp;VAR:QUERY=KFBfUFJJQ0UoMzk2OTUpLShGRl9DQVNIX1NUKFFUUiwzOTY5NSkvUF9DT01fU0hTX09VVCgzOTY5NSkpKS9GR","V9FU1RJTUFURSgnRVBTJywnTUVBTicsJ0FOTlVBTF9ST0xMJywnKzEnLDM5Njk1LCwsJycp&amp;WINDOW=FIRST_POPUP&amp;HEIGHT=450&amp;WIDTH=450&amp;START_MAXIMIZED=FALSE&amp;VAR:CALENDAR=US&amp;VAR:SYMBOL=38259P50&amp;VAR:INDEX=0"}</definedName>
    <definedName name="_38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148"}</definedName>
    <definedName name="_3810__FDSAUDITLINK__">{"fdsup://directions/FAT Viewer?action=UPDATE&amp;creator=factset&amp;DYN_ARGS=TRUE&amp;DOC_NAME=FAT:FQL_AUDITING_CLIENT_TEMPLATE.FAT&amp;display_string=Audit&amp;VAR:KEY=CXMPCJYFUD&amp;VAR:QUERY=KFBfUFJJQ0UoMzk2OTUpLShGRl9DQVNIX1NUKFFUUiwzOTY5NSkvUF9DT01fU0hTX09VVCgzOTY5NSkpKS9GR","V9FU1RJTUFURSgnRVBTJywnTUVBTicsJ0FOTlVBTF9ST0xMJywnKzEnLDM5Njk1LCwsJycp&amp;WINDOW=FIRST_POPUP&amp;HEIGHT=450&amp;WIDTH=450&amp;START_MAXIMIZED=FALSE&amp;VAR:CALENDAR=US&amp;VAR:SYMBOL=38259P50&amp;VAR:INDEX=0"}</definedName>
    <definedName name="_3811__FDSAUDITLINK__">{"fdsup://directions/FAT Viewer?action=UPDATE&amp;creator=factset&amp;DYN_ARGS=TRUE&amp;DOC_NAME=FAT:FQL_AUDITING_CLIENT_TEMPLATE.FAT&amp;display_string=Audit&amp;VAR:KEY=EXWDSPKBAB&amp;VAR:QUERY=KFBfUFJJQ0UoMzk2OTQpLShGRl9DQVNIX1NUKFFUUiwzOTY5NCkvUF9DT01fU0hTX09VVCgzOTY5NCkpKS9GR","V9FU1RJTUFURSgnRVBTJywnTUVBTicsJ0FOTlVBTF9ST0xMJywnKzEnLDM5Njk0LCwsJycp&amp;WINDOW=FIRST_POPUP&amp;HEIGHT=450&amp;WIDTH=450&amp;START_MAXIMIZED=FALSE&amp;VAR:CALENDAR=US&amp;VAR:SYMBOL=38259P50&amp;VAR:INDEX=0"}</definedName>
    <definedName name="_3812__FDSAUDITLINK__">{"fdsup://directions/FAT Viewer?action=UPDATE&amp;creator=factset&amp;DYN_ARGS=TRUE&amp;DOC_NAME=FAT:FQL_AUDITING_CLIENT_TEMPLATE.FAT&amp;display_string=Audit&amp;VAR:KEY=EXWDSPKBAB&amp;VAR:QUERY=KFBfUFJJQ0UoMzk2OTQpLShGRl9DQVNIX1NUKFFUUiwzOTY5NCkvUF9DT01fU0hTX09VVCgzOTY5NCkpKS9GR","V9FU1RJTUFURSgnRVBTJywnTUVBTicsJ0FOTlVBTF9ST0xMJywnKzEnLDM5Njk0LCwsJycp&amp;WINDOW=FIRST_POPUP&amp;HEIGHT=450&amp;WIDTH=450&amp;START_MAXIMIZED=FALSE&amp;VAR:CALENDAR=US&amp;VAR:SYMBOL=38259P50&amp;VAR:INDEX=0"}</definedName>
    <definedName name="_3813__FDSAUDITLINK__">{"fdsup://directions/FAT Viewer?action=UPDATE&amp;creator=factset&amp;DYN_ARGS=TRUE&amp;DOC_NAME=FAT:FQL_AUDITING_CLIENT_TEMPLATE.FAT&amp;display_string=Audit&amp;VAR:KEY=MZQTCPQRMP&amp;VAR:QUERY=KFBfUFJJQ0UoMzk2OTMpLShGRl9DQVNIX1NUKFFUUiwzOTY5MykvUF9DT01fU0hTX09VVCgzOTY5MykpKS9GR","V9FU1RJTUFURSgnRVBTJywnTUVBTicsJ0FOTlVBTF9ST0xMJywnKzEnLDM5NjkzLCwsJycp&amp;WINDOW=FIRST_POPUP&amp;HEIGHT=450&amp;WIDTH=450&amp;START_MAXIMIZED=FALSE&amp;VAR:CALENDAR=US&amp;VAR:SYMBOL=38259P50&amp;VAR:INDEX=0"}</definedName>
    <definedName name="_3814__FDSAUDITLINK__">{"fdsup://directions/FAT Viewer?action=UPDATE&amp;creator=factset&amp;DYN_ARGS=TRUE&amp;DOC_NAME=FAT:FQL_AUDITING_CLIENT_TEMPLATE.FAT&amp;display_string=Audit&amp;VAR:KEY=MZQTCPQRMP&amp;VAR:QUERY=KFBfUFJJQ0UoMzk2OTMpLShGRl9DQVNIX1NUKFFUUiwzOTY5MykvUF9DT01fU0hTX09VVCgzOTY5MykpKS9GR","V9FU1RJTUFURSgnRVBTJywnTUVBTicsJ0FOTlVBTF9ST0xMJywnKzEnLDM5NjkzLCwsJycp&amp;WINDOW=FIRST_POPUP&amp;HEIGHT=450&amp;WIDTH=450&amp;START_MAXIMIZED=FALSE&amp;VAR:CALENDAR=US&amp;VAR:SYMBOL=38259P50&amp;VAR:INDEX=0"}</definedName>
    <definedName name="_3815__FDSAUDITLINK__">{"fdsup://directions/FAT Viewer?action=UPDATE&amp;creator=factset&amp;DYN_ARGS=TRUE&amp;DOC_NAME=FAT:FQL_AUDITING_CLIENT_TEMPLATE.FAT&amp;display_string=Audit&amp;VAR:KEY=QVILELOXQF&amp;VAR:QUERY=KFBfUFJJQ0UoMzk2OTIpLShGRl9DQVNIX1NUKFFUUiwzOTY5MikvUF9DT01fU0hTX09VVCgzOTY5MikpKS9GR","V9FU1RJTUFURSgnRVBTJywnTUVBTicsJ0FOTlVBTF9ST0xMJywnKzEnLDM5NjkyLCwsJycp&amp;WINDOW=FIRST_POPUP&amp;HEIGHT=450&amp;WIDTH=450&amp;START_MAXIMIZED=FALSE&amp;VAR:CALENDAR=US&amp;VAR:SYMBOL=38259P50&amp;VAR:INDEX=0"}</definedName>
    <definedName name="_3816__FDSAUDITLINK__">{"fdsup://directions/FAT Viewer?action=UPDATE&amp;creator=factset&amp;DYN_ARGS=TRUE&amp;DOC_NAME=FAT:FQL_AUDITING_CLIENT_TEMPLATE.FAT&amp;display_string=Audit&amp;VAR:KEY=QVILELOXQF&amp;VAR:QUERY=KFBfUFJJQ0UoMzk2OTIpLShGRl9DQVNIX1NUKFFUUiwzOTY5MikvUF9DT01fU0hTX09VVCgzOTY5MikpKS9GR","V9FU1RJTUFURSgnRVBTJywnTUVBTicsJ0FOTlVBTF9ST0xMJywnKzEnLDM5NjkyLCwsJycp&amp;WINDOW=FIRST_POPUP&amp;HEIGHT=450&amp;WIDTH=450&amp;START_MAXIMIZED=FALSE&amp;VAR:CALENDAR=US&amp;VAR:SYMBOL=38259P50&amp;VAR:INDEX=0"}</definedName>
    <definedName name="_3817__FDSAUDITLINK__">{"fdsup://directions/FAT Viewer?action=UPDATE&amp;creator=factset&amp;DYN_ARGS=TRUE&amp;DOC_NAME=FAT:FQL_AUDITING_CLIENT_TEMPLATE.FAT&amp;display_string=Audit&amp;VAR:KEY=YFYLMJKBAZ&amp;VAR:QUERY=KFBfUFJJQ0UoMzk2OTEpLShGRl9DQVNIX1NUKFFUUiwzOTY5MSkvUF9DT01fU0hTX09VVCgzOTY5MSkpKS9GR","V9FU1RJTUFURSgnRVBTJywnTUVBTicsJ0FOTlVBTF9ST0xMJywnKzEnLDM5NjkxLCwsJycp&amp;WINDOW=FIRST_POPUP&amp;HEIGHT=450&amp;WIDTH=450&amp;START_MAXIMIZED=FALSE&amp;VAR:CALENDAR=US&amp;VAR:SYMBOL=38259P50&amp;VAR:INDEX=0"}</definedName>
    <definedName name="_3818__FDSAUDITLINK__">{"fdsup://directions/FAT Viewer?action=UPDATE&amp;creator=factset&amp;DYN_ARGS=TRUE&amp;DOC_NAME=FAT:FQL_AUDITING_CLIENT_TEMPLATE.FAT&amp;display_string=Audit&amp;VAR:KEY=YFYLMJKBAZ&amp;VAR:QUERY=KFBfUFJJQ0UoMzk2OTEpLShGRl9DQVNIX1NUKFFUUiwzOTY5MSkvUF9DT01fU0hTX09VVCgzOTY5MSkpKS9GR","V9FU1RJTUFURSgnRVBTJywnTUVBTicsJ0FOTlVBTF9ST0xMJywnKzEnLDM5NjkxLCwsJycp&amp;WINDOW=FIRST_POPUP&amp;HEIGHT=450&amp;WIDTH=450&amp;START_MAXIMIZED=FALSE&amp;VAR:CALENDAR=US&amp;VAR:SYMBOL=38259P50&amp;VAR:INDEX=0"}</definedName>
    <definedName name="_3819__FDSAUDITLINK__">{"fdsup://directions/FAT Viewer?action=UPDATE&amp;creator=factset&amp;DYN_ARGS=TRUE&amp;DOC_NAME=FAT:FQL_AUDITING_CLIENT_TEMPLATE.FAT&amp;display_string=Audit&amp;VAR:KEY=IXMVAFWBOH&amp;VAR:QUERY=KFBfUFJJQ0UoMzk2OTApLShGRl9DQVNIX1NUKFFUUiwzOTY5MCkvUF9DT01fU0hTX09VVCgzOTY5MCkpKS9GR","V9FU1RJTUFURSgnRVBTJywnTUVBTicsJ0FOTlVBTF9ST0xMJywnKzEnLDM5NjkwLCwsJycp&amp;WINDOW=FIRST_POPUP&amp;HEIGHT=450&amp;WIDTH=450&amp;START_MAXIMIZED=FALSE&amp;VAR:CALENDAR=US&amp;VAR:SYMBOL=38259P50&amp;VAR:INDEX=0"}</definedName>
    <definedName name="_38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147"}</definedName>
    <definedName name="_3820__FDSAUDITLINK__">{"fdsup://directions/FAT Viewer?action=UPDATE&amp;creator=factset&amp;DYN_ARGS=TRUE&amp;DOC_NAME=FAT:FQL_AUDITING_CLIENT_TEMPLATE.FAT&amp;display_string=Audit&amp;VAR:KEY=IXMVAFWBOH&amp;VAR:QUERY=KFBfUFJJQ0UoMzk2OTApLShGRl9DQVNIX1NUKFFUUiwzOTY5MCkvUF9DT01fU0hTX09VVCgzOTY5MCkpKS9GR","V9FU1RJTUFURSgnRVBTJywnTUVBTicsJ0FOTlVBTF9ST0xMJywnKzEnLDM5NjkwLCwsJycp&amp;WINDOW=FIRST_POPUP&amp;HEIGHT=450&amp;WIDTH=450&amp;START_MAXIMIZED=FALSE&amp;VAR:CALENDAR=US&amp;VAR:SYMBOL=38259P50&amp;VAR:INDEX=0"}</definedName>
    <definedName name="_3821__FDSAUDITLINK__">{"fdsup://directions/FAT Viewer?action=UPDATE&amp;creator=factset&amp;DYN_ARGS=TRUE&amp;DOC_NAME=FAT:FQL_AUDITING_CLIENT_TEMPLATE.FAT&amp;display_string=Audit&amp;VAR:KEY=WTUZSVKRWP&amp;VAR:QUERY=KFBfUFJJQ0UoMzk2ODkpLShGRl9DQVNIX1NUKFFUUiwzOTY4OSkvUF9DT01fU0hTX09VVCgzOTY4OSkpKS9GR","V9FU1RJTUFURSgnRVBTJywnTUVBTicsJ0FOTlVBTF9ST0xMJywnKzEnLDM5Njg5LCwsJycp&amp;WINDOW=FIRST_POPUP&amp;HEIGHT=450&amp;WIDTH=450&amp;START_MAXIMIZED=FALSE&amp;VAR:CALENDAR=US&amp;VAR:SYMBOL=38259P50&amp;VAR:INDEX=0"}</definedName>
    <definedName name="_3822__FDSAUDITLINK__">{"fdsup://directions/FAT Viewer?action=UPDATE&amp;creator=factset&amp;DYN_ARGS=TRUE&amp;DOC_NAME=FAT:FQL_AUDITING_CLIENT_TEMPLATE.FAT&amp;display_string=Audit&amp;VAR:KEY=WTUZSVKRWP&amp;VAR:QUERY=KFBfUFJJQ0UoMzk2ODkpLShGRl9DQVNIX1NUKFFUUiwzOTY4OSkvUF9DT01fU0hTX09VVCgzOTY4OSkpKS9GR","V9FU1RJTUFURSgnRVBTJywnTUVBTicsJ0FOTlVBTF9ST0xMJywnKzEnLDM5Njg5LCwsJycp&amp;WINDOW=FIRST_POPUP&amp;HEIGHT=450&amp;WIDTH=450&amp;START_MAXIMIZED=FALSE&amp;VAR:CALENDAR=US&amp;VAR:SYMBOL=38259P50&amp;VAR:INDEX=0"}</definedName>
    <definedName name="_3823__FDSAUDITLINK__">{"fdsup://directions/FAT Viewer?action=UPDATE&amp;creator=factset&amp;DYN_ARGS=TRUE&amp;DOC_NAME=FAT:FQL_AUDITING_CLIENT_TEMPLATE.FAT&amp;display_string=Audit&amp;VAR:KEY=QFKLGRMJMN&amp;VAR:QUERY=KFBfUFJJQ0UoMzk2ODgpLShGRl9DQVNIX1NUKFFUUiwzOTY4OCkvUF9DT01fU0hTX09VVCgzOTY4OCkpKS9GR","V9FU1RJTUFURSgnRVBTJywnTUVBTicsJ0FOTlVBTF9ST0xMJywnKzEnLDM5Njg4LCwsJycp&amp;WINDOW=FIRST_POPUP&amp;HEIGHT=450&amp;WIDTH=450&amp;START_MAXIMIZED=FALSE&amp;VAR:CALENDAR=US&amp;VAR:SYMBOL=38259P50&amp;VAR:INDEX=0"}</definedName>
    <definedName name="_3824__FDSAUDITLINK__">{"fdsup://directions/FAT Viewer?action=UPDATE&amp;creator=factset&amp;DYN_ARGS=TRUE&amp;DOC_NAME=FAT:FQL_AUDITING_CLIENT_TEMPLATE.FAT&amp;display_string=Audit&amp;VAR:KEY=QFKLGRMJMN&amp;VAR:QUERY=KFBfUFJJQ0UoMzk2ODgpLShGRl9DQVNIX1NUKFFUUiwzOTY4OCkvUF9DT01fU0hTX09VVCgzOTY4OCkpKS9GR","V9FU1RJTUFURSgnRVBTJywnTUVBTicsJ0FOTlVBTF9ST0xMJywnKzEnLDM5Njg4LCwsJycp&amp;WINDOW=FIRST_POPUP&amp;HEIGHT=450&amp;WIDTH=450&amp;START_MAXIMIZED=FALSE&amp;VAR:CALENDAR=US&amp;VAR:SYMBOL=38259P50&amp;VAR:INDEX=0"}</definedName>
    <definedName name="_3825__FDSAUDITLINK__">{"fdsup://directions/FAT Viewer?action=UPDATE&amp;creator=factset&amp;DYN_ARGS=TRUE&amp;DOC_NAME=FAT:FQL_AUDITING_CLIENT_TEMPLATE.FAT&amp;display_string=Audit&amp;VAR:KEY=CJKRWBOFWB&amp;VAR:QUERY=KFBfUFJJQ0UoMzk2ODcpLShGRl9DQVNIX1NUKFFUUiwzOTY4NykvUF9DT01fU0hTX09VVCgzOTY4NykpKS9GR","V9FU1RJTUFURSgnRVBTJywnTUVBTicsJ0FOTlVBTF9ST0xMJywnKzEnLDM5Njg3LCwsJycp&amp;WINDOW=FIRST_POPUP&amp;HEIGHT=450&amp;WIDTH=450&amp;START_MAXIMIZED=FALSE&amp;VAR:CALENDAR=US&amp;VAR:SYMBOL=38259P50&amp;VAR:INDEX=0"}</definedName>
    <definedName name="_3826__FDSAUDITLINK__">{"fdsup://directions/FAT Viewer?action=UPDATE&amp;creator=factset&amp;DYN_ARGS=TRUE&amp;DOC_NAME=FAT:FQL_AUDITING_CLIENT_TEMPLATE.FAT&amp;display_string=Audit&amp;VAR:KEY=CJKRWBOFWB&amp;VAR:QUERY=KFBfUFJJQ0UoMzk2ODcpLShGRl9DQVNIX1NUKFFUUiwzOTY4NykvUF9DT01fU0hTX09VVCgzOTY4NykpKS9GR","V9FU1RJTUFURSgnRVBTJywnTUVBTicsJ0FOTlVBTF9ST0xMJywnKzEnLDM5Njg3LCwsJycp&amp;WINDOW=FIRST_POPUP&amp;HEIGHT=450&amp;WIDTH=450&amp;START_MAXIMIZED=FALSE&amp;VAR:CALENDAR=US&amp;VAR:SYMBOL=38259P50&amp;VAR:INDEX=0"}</definedName>
    <definedName name="_3827__FDSAUDITLINK__">{"fdsup://directions/FAT Viewer?action=UPDATE&amp;creator=factset&amp;DYN_ARGS=TRUE&amp;DOC_NAME=FAT:FQL_AUDITING_CLIENT_TEMPLATE.FAT&amp;display_string=Audit&amp;VAR:KEY=MBUVAPKTWP&amp;VAR:QUERY=KFBfUFJJQ0UoMzk2ODYpLShGRl9DQVNIX1NUKFFUUiwzOTY4NikvUF9DT01fU0hTX09VVCgzOTY4NikpKS9GR","V9FU1RJTUFURSgnRVBTJywnTUVBTicsJ0FOTlVBTF9ST0xMJywnKzEnLDM5Njg2LCwsJycp&amp;WINDOW=FIRST_POPUP&amp;HEIGHT=450&amp;WIDTH=450&amp;START_MAXIMIZED=FALSE&amp;VAR:CALENDAR=US&amp;VAR:SYMBOL=38259P50&amp;VAR:INDEX=0"}</definedName>
    <definedName name="_3828__FDSAUDITLINK__">{"fdsup://directions/FAT Viewer?action=UPDATE&amp;creator=factset&amp;DYN_ARGS=TRUE&amp;DOC_NAME=FAT:FQL_AUDITING_CLIENT_TEMPLATE.FAT&amp;display_string=Audit&amp;VAR:KEY=MBUVAPKTWP&amp;VAR:QUERY=KFBfUFJJQ0UoMzk2ODYpLShGRl9DQVNIX1NUKFFUUiwzOTY4NikvUF9DT01fU0hTX09VVCgzOTY4NikpKS9GR","V9FU1RJTUFURSgnRVBTJywnTUVBTicsJ0FOTlVBTF9ST0xMJywnKzEnLDM5Njg2LCwsJycp&amp;WINDOW=FIRST_POPUP&amp;HEIGHT=450&amp;WIDTH=450&amp;START_MAXIMIZED=FALSE&amp;VAR:CALENDAR=US&amp;VAR:SYMBOL=38259P50&amp;VAR:INDEX=0"}</definedName>
    <definedName name="_3829__FDSAUDITLINK__">{"fdsup://directions/FAT Viewer?action=UPDATE&amp;creator=factset&amp;DYN_ARGS=TRUE&amp;DOC_NAME=FAT:FQL_AUDITING_CLIENT_TEMPLATE.FAT&amp;display_string=Audit&amp;VAR:KEY=AJKZYBKLMJ&amp;VAR:QUERY=KFBfUFJJQ0UoMzk2ODUpLShGRl9DQVNIX1NUKFFUUiwzOTY4NSkvUF9DT01fU0hTX09VVCgzOTY4NSkpKS9GR","V9FU1RJTUFURSgnRVBTJywnTUVBTicsJ0FOTlVBTF9ST0xMJywnKzEnLDM5Njg1LCwsJycp&amp;WINDOW=FIRST_POPUP&amp;HEIGHT=450&amp;WIDTH=450&amp;START_MAXIMIZED=FALSE&amp;VAR:CALENDAR=US&amp;VAR:SYMBOL=38259P50&amp;VAR:INDEX=0"}</definedName>
    <definedName name="_38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146"}</definedName>
    <definedName name="_3830__FDSAUDITLINK__">{"fdsup://directions/FAT Viewer?action=UPDATE&amp;creator=factset&amp;DYN_ARGS=TRUE&amp;DOC_NAME=FAT:FQL_AUDITING_CLIENT_TEMPLATE.FAT&amp;display_string=Audit&amp;VAR:KEY=AJKZYBKLMJ&amp;VAR:QUERY=KFBfUFJJQ0UoMzk2ODUpLShGRl9DQVNIX1NUKFFUUiwzOTY4NSkvUF9DT01fU0hTX09VVCgzOTY4NSkpKS9GR","V9FU1RJTUFURSgnRVBTJywnTUVBTicsJ0FOTlVBTF9ST0xMJywnKzEnLDM5Njg1LCwsJycp&amp;WINDOW=FIRST_POPUP&amp;HEIGHT=450&amp;WIDTH=450&amp;START_MAXIMIZED=FALSE&amp;VAR:CALENDAR=US&amp;VAR:SYMBOL=38259P50&amp;VAR:INDEX=0"}</definedName>
    <definedName name="_3831__FDSAUDITLINK__">{"fdsup://directions/FAT Viewer?action=UPDATE&amp;creator=factset&amp;DYN_ARGS=TRUE&amp;DOC_NAME=FAT:FQL_AUDITING_CLIENT_TEMPLATE.FAT&amp;display_string=Audit&amp;VAR:KEY=CBSLEVKLMB&amp;VAR:QUERY=KFBfUFJJQ0UoMzk2ODQpLShGRl9DQVNIX1NUKFFUUiwzOTY4NCkvUF9DT01fU0hTX09VVCgzOTY4NCkpKS9GR","V9FU1RJTUFURSgnRVBTJywnTUVBTicsJ0FOTlVBTF9ST0xMJywnKzEnLDM5Njg0LCwsJycp&amp;WINDOW=FIRST_POPUP&amp;HEIGHT=450&amp;WIDTH=450&amp;START_MAXIMIZED=FALSE&amp;VAR:CALENDAR=US&amp;VAR:SYMBOL=38259P50&amp;VAR:INDEX=0"}</definedName>
    <definedName name="_3832__FDSAUDITLINK__">{"fdsup://directions/FAT Viewer?action=UPDATE&amp;creator=factset&amp;DYN_ARGS=TRUE&amp;DOC_NAME=FAT:FQL_AUDITING_CLIENT_TEMPLATE.FAT&amp;display_string=Audit&amp;VAR:KEY=CBSLEVKLMB&amp;VAR:QUERY=KFBfUFJJQ0UoMzk2ODQpLShGRl9DQVNIX1NUKFFUUiwzOTY4NCkvUF9DT01fU0hTX09VVCgzOTY4NCkpKS9GR","V9FU1RJTUFURSgnRVBTJywnTUVBTicsJ0FOTlVBTF9ST0xMJywnKzEnLDM5Njg0LCwsJycp&amp;WINDOW=FIRST_POPUP&amp;HEIGHT=450&amp;WIDTH=450&amp;START_MAXIMIZED=FALSE&amp;VAR:CALENDAR=US&amp;VAR:SYMBOL=38259P50&amp;VAR:INDEX=0"}</definedName>
    <definedName name="_3833__FDSAUDITLINK__">{"fdsup://directions/FAT Viewer?action=UPDATE&amp;creator=factset&amp;DYN_ARGS=TRUE&amp;DOC_NAME=FAT:FQL_AUDITING_CLIENT_TEMPLATE.FAT&amp;display_string=Audit&amp;VAR:KEY=SFARONEJGD&amp;VAR:QUERY=KFBfUFJJQ0UoMzk2ODMpLShGRl9DQVNIX1NUKFFUUiwzOTY4MykvUF9DT01fU0hTX09VVCgzOTY4MykpKS9GR","V9FU1RJTUFURSgnRVBTJywnTUVBTicsJ0FOTlVBTF9ST0xMJywnKzEnLDM5NjgzLCwsJycp&amp;WINDOW=FIRST_POPUP&amp;HEIGHT=450&amp;WIDTH=450&amp;START_MAXIMIZED=FALSE&amp;VAR:CALENDAR=US&amp;VAR:SYMBOL=38259P50&amp;VAR:INDEX=0"}</definedName>
    <definedName name="_3834__FDSAUDITLINK__">{"fdsup://directions/FAT Viewer?action=UPDATE&amp;creator=factset&amp;DYN_ARGS=TRUE&amp;DOC_NAME=FAT:FQL_AUDITING_CLIENT_TEMPLATE.FAT&amp;display_string=Audit&amp;VAR:KEY=SFARONEJGD&amp;VAR:QUERY=KFBfUFJJQ0UoMzk2ODMpLShGRl9DQVNIX1NUKFFUUiwzOTY4MykvUF9DT01fU0hTX09VVCgzOTY4MykpKS9GR","V9FU1RJTUFURSgnRVBTJywnTUVBTicsJ0FOTlVBTF9ST0xMJywnKzEnLDM5NjgzLCwsJycp&amp;WINDOW=FIRST_POPUP&amp;HEIGHT=450&amp;WIDTH=450&amp;START_MAXIMIZED=FALSE&amp;VAR:CALENDAR=US&amp;VAR:SYMBOL=38259P50&amp;VAR:INDEX=0"}</definedName>
    <definedName name="_3835__FDSAUDITLINK__">{"fdsup://directions/FAT Viewer?action=UPDATE&amp;creator=factset&amp;DYN_ARGS=TRUE&amp;DOC_NAME=FAT:FQL_AUDITING_CLIENT_TEMPLATE.FAT&amp;display_string=Audit&amp;VAR:KEY=YBMDIBOJAB&amp;VAR:QUERY=KFBfUFJJQ0UoMzk2ODIpLShGRl9DQVNIX1NUKFFUUiwzOTY4MikvUF9DT01fU0hTX09VVCgzOTY4MikpKS9GR","V9FU1RJTUFURSgnRVBTJywnTUVBTicsJ0FOTlVBTF9ST0xMJywnKzEnLDM5NjgyLCwsJycp&amp;WINDOW=FIRST_POPUP&amp;HEIGHT=450&amp;WIDTH=450&amp;START_MAXIMIZED=FALSE&amp;VAR:CALENDAR=US&amp;VAR:SYMBOL=38259P50&amp;VAR:INDEX=0"}</definedName>
    <definedName name="_3836__FDSAUDITLINK__">{"fdsup://directions/FAT Viewer?action=UPDATE&amp;creator=factset&amp;DYN_ARGS=TRUE&amp;DOC_NAME=FAT:FQL_AUDITING_CLIENT_TEMPLATE.FAT&amp;display_string=Audit&amp;VAR:KEY=YBMDIBOJAB&amp;VAR:QUERY=KFBfUFJJQ0UoMzk2ODIpLShGRl9DQVNIX1NUKFFUUiwzOTY4MikvUF9DT01fU0hTX09VVCgzOTY4MikpKS9GR","V9FU1RJTUFURSgnRVBTJywnTUVBTicsJ0FOTlVBTF9ST0xMJywnKzEnLDM5NjgyLCwsJycp&amp;WINDOW=FIRST_POPUP&amp;HEIGHT=450&amp;WIDTH=450&amp;START_MAXIMIZED=FALSE&amp;VAR:CALENDAR=US&amp;VAR:SYMBOL=38259P50&amp;VAR:INDEX=0"}</definedName>
    <definedName name="_3837__FDSAUDITLINK__">{"fdsup://directions/FAT Viewer?action=UPDATE&amp;creator=factset&amp;DYN_ARGS=TRUE&amp;DOC_NAME=FAT:FQL_AUDITING_CLIENT_TEMPLATE.FAT&amp;display_string=Audit&amp;VAR:KEY=STATCHKTSZ&amp;VAR:QUERY=KFBfUFJJQ0UoMzk2ODEpLShGRl9DQVNIX1NUKFFUUiwzOTY4MSkvUF9DT01fU0hTX09VVCgzOTY4MSkpKS9GR","V9FU1RJTUFURSgnRVBTJywnTUVBTicsJ0FOTlVBTF9ST0xMJywnKzEnLDM5NjgxLCwsJycp&amp;WINDOW=FIRST_POPUP&amp;HEIGHT=450&amp;WIDTH=450&amp;START_MAXIMIZED=FALSE&amp;VAR:CALENDAR=US&amp;VAR:SYMBOL=38259P50&amp;VAR:INDEX=0"}</definedName>
    <definedName name="_3838__FDSAUDITLINK__">{"fdsup://directions/FAT Viewer?action=UPDATE&amp;creator=factset&amp;DYN_ARGS=TRUE&amp;DOC_NAME=FAT:FQL_AUDITING_CLIENT_TEMPLATE.FAT&amp;display_string=Audit&amp;VAR:KEY=STATCHKTSZ&amp;VAR:QUERY=KFBfUFJJQ0UoMzk2ODEpLShGRl9DQVNIX1NUKFFUUiwzOTY4MSkvUF9DT01fU0hTX09VVCgzOTY4MSkpKS9GR","V9FU1RJTUFURSgnRVBTJywnTUVBTicsJ0FOTlVBTF9ST0xMJywnKzEnLDM5NjgxLCwsJycp&amp;WINDOW=FIRST_POPUP&amp;HEIGHT=450&amp;WIDTH=450&amp;START_MAXIMIZED=FALSE&amp;VAR:CALENDAR=US&amp;VAR:SYMBOL=38259P50&amp;VAR:INDEX=0"}</definedName>
    <definedName name="_3839__FDSAUDITLINK__">{"fdsup://directions/FAT Viewer?action=UPDATE&amp;creator=factset&amp;DYN_ARGS=TRUE&amp;DOC_NAME=FAT:FQL_AUDITING_CLIENT_TEMPLATE.FAT&amp;display_string=Audit&amp;VAR:KEY=CHGJOPKNKP&amp;VAR:QUERY=KFBfUFJJQ0UoMzk2ODApLShGRl9DQVNIX1NUKFFUUiwzOTY4MCkvUF9DT01fU0hTX09VVCgzOTY4MCkpKS9GR","V9FU1RJTUFURSgnRVBTJywnTUVBTicsJ0FOTlVBTF9ST0xMJywnKzEnLDM5NjgwLCwsJycp&amp;WINDOW=FIRST_POPUP&amp;HEIGHT=450&amp;WIDTH=450&amp;START_MAXIMIZED=FALSE&amp;VAR:CALENDAR=US&amp;VAR:SYMBOL=38259P50&amp;VAR:INDEX=0"}</definedName>
    <definedName name="_38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145"}</definedName>
    <definedName name="_3840__FDSAUDITLINK__">{"fdsup://directions/FAT Viewer?action=UPDATE&amp;creator=factset&amp;DYN_ARGS=TRUE&amp;DOC_NAME=FAT:FQL_AUDITING_CLIENT_TEMPLATE.FAT&amp;display_string=Audit&amp;VAR:KEY=CHGJOPKNKP&amp;VAR:QUERY=KFBfUFJJQ0UoMzk2ODApLShGRl9DQVNIX1NUKFFUUiwzOTY4MCkvUF9DT01fU0hTX09VVCgzOTY4MCkpKS9GR","V9FU1RJTUFURSgnRVBTJywnTUVBTicsJ0FOTlVBTF9ST0xMJywnKzEnLDM5NjgwLCwsJycp&amp;WINDOW=FIRST_POPUP&amp;HEIGHT=450&amp;WIDTH=450&amp;START_MAXIMIZED=FALSE&amp;VAR:CALENDAR=US&amp;VAR:SYMBOL=38259P50&amp;VAR:INDEX=0"}</definedName>
    <definedName name="_3841__FDSAUDITLINK__">{"fdsup://directions/FAT Viewer?action=UPDATE&amp;creator=factset&amp;DYN_ARGS=TRUE&amp;DOC_NAME=FAT:FQL_AUDITING_CLIENT_TEMPLATE.FAT&amp;display_string=Audit&amp;VAR:KEY=SHANWXUZYB&amp;VAR:QUERY=KFBfUFJJQ0UoMzk2NzkpLShGRl9DQVNIX1NUKFFUUiwzOTY3OSkvUF9DT01fU0hTX09VVCgzOTY3OSkpKS9GR","V9FU1RJTUFURSgnRVBTJywnTUVBTicsJ0FOTlVBTF9ST0xMJywnKzEnLDM5Njc5LCwsJycp&amp;WINDOW=FIRST_POPUP&amp;HEIGHT=450&amp;WIDTH=450&amp;START_MAXIMIZED=FALSE&amp;VAR:CALENDAR=US&amp;VAR:SYMBOL=38259P50&amp;VAR:INDEX=0"}</definedName>
    <definedName name="_3842__FDSAUDITLINK__">{"fdsup://directions/FAT Viewer?action=UPDATE&amp;creator=factset&amp;DYN_ARGS=TRUE&amp;DOC_NAME=FAT:FQL_AUDITING_CLIENT_TEMPLATE.FAT&amp;display_string=Audit&amp;VAR:KEY=SHANWXUZYB&amp;VAR:QUERY=KFBfUFJJQ0UoMzk2NzkpLShGRl9DQVNIX1NUKFFUUiwzOTY3OSkvUF9DT01fU0hTX09VVCgzOTY3OSkpKS9GR","V9FU1RJTUFURSgnRVBTJywnTUVBTicsJ0FOTlVBTF9ST0xMJywnKzEnLDM5Njc5LCwsJycp&amp;WINDOW=FIRST_POPUP&amp;HEIGHT=450&amp;WIDTH=450&amp;START_MAXIMIZED=FALSE&amp;VAR:CALENDAR=US&amp;VAR:SYMBOL=38259P50&amp;VAR:INDEX=0"}</definedName>
    <definedName name="_3843__FDSAUDITLINK__">{"fdsup://directions/FAT Viewer?action=UPDATE&amp;creator=factset&amp;DYN_ARGS=TRUE&amp;DOC_NAME=FAT:FQL_AUDITING_CLIENT_TEMPLATE.FAT&amp;display_string=Audit&amp;VAR:KEY=KFKRCDYZIN&amp;VAR:QUERY=KFBfUFJJQ0UoMzk2NzgpLShGRl9DQVNIX1NUKFFUUiwzOTY3OCkvUF9DT01fU0hTX09VVCgzOTY3OCkpKS9GR","V9FU1RJTUFURSgnRVBTJywnTUVBTicsJ0FOTlVBTF9ST0xMJywnKzEnLDM5Njc4LCwsJycp&amp;WINDOW=FIRST_POPUP&amp;HEIGHT=450&amp;WIDTH=450&amp;START_MAXIMIZED=FALSE&amp;VAR:CALENDAR=US&amp;VAR:SYMBOL=38259P50&amp;VAR:INDEX=0"}</definedName>
    <definedName name="_3844__FDSAUDITLINK__">{"fdsup://directions/FAT Viewer?action=UPDATE&amp;creator=factset&amp;DYN_ARGS=TRUE&amp;DOC_NAME=FAT:FQL_AUDITING_CLIENT_TEMPLATE.FAT&amp;display_string=Audit&amp;VAR:KEY=KFKRCDYZIN&amp;VAR:QUERY=KFBfUFJJQ0UoMzk2NzgpLShGRl9DQVNIX1NUKFFUUiwzOTY3OCkvUF9DT01fU0hTX09VVCgzOTY3OCkpKS9GR","V9FU1RJTUFURSgnRVBTJywnTUVBTicsJ0FOTlVBTF9ST0xMJywnKzEnLDM5Njc4LCwsJycp&amp;WINDOW=FIRST_POPUP&amp;HEIGHT=450&amp;WIDTH=450&amp;START_MAXIMIZED=FALSE&amp;VAR:CALENDAR=US&amp;VAR:SYMBOL=38259P50&amp;VAR:INDEX=0"}</definedName>
    <definedName name="_3845__FDSAUDITLINK__">{"fdsup://directions/FAT Viewer?action=UPDATE&amp;creator=factset&amp;DYN_ARGS=TRUE&amp;DOC_NAME=FAT:FQL_AUDITING_CLIENT_TEMPLATE.FAT&amp;display_string=Audit&amp;VAR:KEY=QBGFMFMZUZ&amp;VAR:QUERY=KFBfUFJJQ0UoMzk2NzcpLShGRl9DQVNIX1NUKFFUUiwzOTY3NykvUF9DT01fU0hTX09VVCgzOTY3NykpKS9GR","V9FU1RJTUFURSgnRVBTJywnTUVBTicsJ0FOTlVBTF9ST0xMJywnKzEnLDM5Njc3LCwsJycp&amp;WINDOW=FIRST_POPUP&amp;HEIGHT=450&amp;WIDTH=450&amp;START_MAXIMIZED=FALSE&amp;VAR:CALENDAR=US&amp;VAR:SYMBOL=38259P50&amp;VAR:INDEX=0"}</definedName>
    <definedName name="_3846__FDSAUDITLINK__">{"fdsup://directions/FAT Viewer?action=UPDATE&amp;creator=factset&amp;DYN_ARGS=TRUE&amp;DOC_NAME=FAT:FQL_AUDITING_CLIENT_TEMPLATE.FAT&amp;display_string=Audit&amp;VAR:KEY=QBGFMFMZUZ&amp;VAR:QUERY=KFBfUFJJQ0UoMzk2NzcpLShGRl9DQVNIX1NUKFFUUiwzOTY3NykvUF9DT01fU0hTX09VVCgzOTY3NykpKS9GR","V9FU1RJTUFURSgnRVBTJywnTUVBTicsJ0FOTlVBTF9ST0xMJywnKzEnLDM5Njc3LCwsJycp&amp;WINDOW=FIRST_POPUP&amp;HEIGHT=450&amp;WIDTH=450&amp;START_MAXIMIZED=FALSE&amp;VAR:CALENDAR=US&amp;VAR:SYMBOL=38259P50&amp;VAR:INDEX=0"}</definedName>
    <definedName name="_3847__FDSAUDITLINK__">{"fdsup://directions/FAT Viewer?action=UPDATE&amp;creator=factset&amp;DYN_ARGS=TRUE&amp;DOC_NAME=FAT:FQL_AUDITING_CLIENT_TEMPLATE.FAT&amp;display_string=Audit&amp;VAR:KEY=AHARCHGVMT&amp;VAR:QUERY=KFBfUFJJQ0UoMzk2NzYpLShGRl9DQVNIX1NUKFFUUiwzOTY3NikvUF9DT01fU0hTX09VVCgzOTY3NikpKS9GR","V9FU1RJTUFURSgnRVBTJywnTUVBTicsJ0FOTlVBTF9ST0xMJywnKzEnLDM5Njc2LCwsJycp&amp;WINDOW=FIRST_POPUP&amp;HEIGHT=450&amp;WIDTH=450&amp;START_MAXIMIZED=FALSE&amp;VAR:CALENDAR=US&amp;VAR:SYMBOL=38259P50&amp;VAR:INDEX=0"}</definedName>
    <definedName name="_3848__FDSAUDITLINK__">{"fdsup://directions/FAT Viewer?action=UPDATE&amp;creator=factset&amp;DYN_ARGS=TRUE&amp;DOC_NAME=FAT:FQL_AUDITING_CLIENT_TEMPLATE.FAT&amp;display_string=Audit&amp;VAR:KEY=AHARCHGVMT&amp;VAR:QUERY=KFBfUFJJQ0UoMzk2NzYpLShGRl9DQVNIX1NUKFFUUiwzOTY3NikvUF9DT01fU0hTX09VVCgzOTY3NikpKS9GR","V9FU1RJTUFURSgnRVBTJywnTUVBTicsJ0FOTlVBTF9ST0xMJywnKzEnLDM5Njc2LCwsJycp&amp;WINDOW=FIRST_POPUP&amp;HEIGHT=450&amp;WIDTH=450&amp;START_MAXIMIZED=FALSE&amp;VAR:CALENDAR=US&amp;VAR:SYMBOL=38259P50&amp;VAR:INDEX=0"}</definedName>
    <definedName name="_3849__FDSAUDITLINK__">{"fdsup://directions/FAT Viewer?action=UPDATE&amp;creator=factset&amp;DYN_ARGS=TRUE&amp;DOC_NAME=FAT:FQL_AUDITING_CLIENT_TEMPLATE.FAT&amp;display_string=Audit&amp;VAR:KEY=KNSJEFKPEN&amp;VAR:QUERY=KFBfUFJJQ0UoMzk2NzUpLShGRl9DQVNIX1NUKFFUUiwzOTY3NSkvUF9DT01fU0hTX09VVCgzOTY3NSkpKS9GR","V9FU1RJTUFURSgnRVBTJywnTUVBTicsJ0FOTlVBTF9ST0xMJywnKzEnLDM5Njc1LCwsJycp&amp;WINDOW=FIRST_POPUP&amp;HEIGHT=450&amp;WIDTH=450&amp;START_MAXIMIZED=FALSE&amp;VAR:CALENDAR=US&amp;VAR:SYMBOL=38259P50&amp;VAR:INDEX=0"}</definedName>
    <definedName name="_38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144"}</definedName>
    <definedName name="_3850__FDSAUDITLINK__">{"fdsup://directions/FAT Viewer?action=UPDATE&amp;creator=factset&amp;DYN_ARGS=TRUE&amp;DOC_NAME=FAT:FQL_AUDITING_CLIENT_TEMPLATE.FAT&amp;display_string=Audit&amp;VAR:KEY=KNSJEFKPEN&amp;VAR:QUERY=KFBfUFJJQ0UoMzk2NzUpLShGRl9DQVNIX1NUKFFUUiwzOTY3NSkvUF9DT01fU0hTX09VVCgzOTY3NSkpKS9GR","V9FU1RJTUFURSgnRVBTJywnTUVBTicsJ0FOTlVBTF9ST0xMJywnKzEnLDM5Njc1LCwsJycp&amp;WINDOW=FIRST_POPUP&amp;HEIGHT=450&amp;WIDTH=450&amp;START_MAXIMIZED=FALSE&amp;VAR:CALENDAR=US&amp;VAR:SYMBOL=38259P50&amp;VAR:INDEX=0"}</definedName>
    <definedName name="_3851__FDSAUDITLINK__">{"fdsup://directions/FAT Viewer?action=UPDATE&amp;creator=factset&amp;DYN_ARGS=TRUE&amp;DOC_NAME=FAT:FQL_AUDITING_CLIENT_TEMPLATE.FAT&amp;display_string=Audit&amp;VAR:KEY=AVIRILQTKP&amp;VAR:QUERY=KFBfUFJJQ0UoMzk2NzQpLShGRl9DQVNIX1NUKFFUUiwzOTY3NCkvUF9DT01fU0hTX09VVCgzOTY3NCkpKS9GR","V9FU1RJTUFURSgnRVBTJywnTUVBTicsJ0FOTlVBTF9ST0xMJywnKzEnLDM5Njc0LCwsJycp&amp;WINDOW=FIRST_POPUP&amp;HEIGHT=450&amp;WIDTH=450&amp;START_MAXIMIZED=FALSE&amp;VAR:CALENDAR=US&amp;VAR:SYMBOL=38259P50&amp;VAR:INDEX=0"}</definedName>
    <definedName name="_3852__FDSAUDITLINK__">{"fdsup://directions/FAT Viewer?action=UPDATE&amp;creator=factset&amp;DYN_ARGS=TRUE&amp;DOC_NAME=FAT:FQL_AUDITING_CLIENT_TEMPLATE.FAT&amp;display_string=Audit&amp;VAR:KEY=AVIRILQTKP&amp;VAR:QUERY=KFBfUFJJQ0UoMzk2NzQpLShGRl9DQVNIX1NUKFFUUiwzOTY3NCkvUF9DT01fU0hTX09VVCgzOTY3NCkpKS9GR","V9FU1RJTUFURSgnRVBTJywnTUVBTicsJ0FOTlVBTF9ST0xMJywnKzEnLDM5Njc0LCwsJycp&amp;WINDOW=FIRST_POPUP&amp;HEIGHT=450&amp;WIDTH=450&amp;START_MAXIMIZED=FALSE&amp;VAR:CALENDAR=US&amp;VAR:SYMBOL=38259P50&amp;VAR:INDEX=0"}</definedName>
    <definedName name="_3853__FDSAUDITLINK__">{"fdsup://directions/FAT Viewer?action=UPDATE&amp;creator=factset&amp;DYN_ARGS=TRUE&amp;DOC_NAME=FAT:FQL_AUDITING_CLIENT_TEMPLATE.FAT&amp;display_string=Audit&amp;VAR:KEY=INCZKDONAH&amp;VAR:QUERY=KFBfUFJJQ0UoMzk2NzMpLShGRl9DQVNIX1NUKFFUUiwzOTY3MykvUF9DT01fU0hTX09VVCgzOTY3MykpKS9GR","V9FU1RJTUFURSgnRVBTJywnTUVBTicsJ0FOTlVBTF9ST0xMJywnKzEnLDM5NjczLCwsJycp&amp;WINDOW=FIRST_POPUP&amp;HEIGHT=450&amp;WIDTH=450&amp;START_MAXIMIZED=FALSE&amp;VAR:CALENDAR=US&amp;VAR:SYMBOL=38259P50&amp;VAR:INDEX=0"}</definedName>
    <definedName name="_3854__FDSAUDITLINK__">{"fdsup://directions/FAT Viewer?action=UPDATE&amp;creator=factset&amp;DYN_ARGS=TRUE&amp;DOC_NAME=FAT:FQL_AUDITING_CLIENT_TEMPLATE.FAT&amp;display_string=Audit&amp;VAR:KEY=INCZKDONAH&amp;VAR:QUERY=KFBfUFJJQ0UoMzk2NzMpLShGRl9DQVNIX1NUKFFUUiwzOTY3MykvUF9DT01fU0hTX09VVCgzOTY3MykpKS9GR","V9FU1RJTUFURSgnRVBTJywnTUVBTicsJ0FOTlVBTF9ST0xMJywnKzEnLDM5NjczLCwsJycp&amp;WINDOW=FIRST_POPUP&amp;HEIGHT=450&amp;WIDTH=450&amp;START_MAXIMIZED=FALSE&amp;VAR:CALENDAR=US&amp;VAR:SYMBOL=38259P50&amp;VAR:INDEX=0"}</definedName>
    <definedName name="_3855__FDSAUDITLINK__">{"fdsup://directions/FAT Viewer?action=UPDATE&amp;creator=factset&amp;DYN_ARGS=TRUE&amp;DOC_NAME=FAT:FQL_AUDITING_CLIENT_TEMPLATE.FAT&amp;display_string=Audit&amp;VAR:KEY=ODCHABSVWX&amp;VAR:QUERY=KFBfUFJJQ0UoMzk2NzIpLShGRl9DQVNIX1NUKFFUUiwzOTY3MikvUF9DT01fU0hTX09VVCgzOTY3MikpKS9GR","V9FU1RJTUFURSgnRVBTJywnTUVBTicsJ0FOTlVBTF9ST0xMJywnKzEnLDM5NjcyLCwsJycp&amp;WINDOW=FIRST_POPUP&amp;HEIGHT=450&amp;WIDTH=450&amp;START_MAXIMIZED=FALSE&amp;VAR:CALENDAR=US&amp;VAR:SYMBOL=38259P50&amp;VAR:INDEX=0"}</definedName>
    <definedName name="_3856__FDSAUDITLINK__">{"fdsup://directions/FAT Viewer?action=UPDATE&amp;creator=factset&amp;DYN_ARGS=TRUE&amp;DOC_NAME=FAT:FQL_AUDITING_CLIENT_TEMPLATE.FAT&amp;display_string=Audit&amp;VAR:KEY=ODCHABSVWX&amp;VAR:QUERY=KFBfUFJJQ0UoMzk2NzIpLShGRl9DQVNIX1NUKFFUUiwzOTY3MikvUF9DT01fU0hTX09VVCgzOTY3MikpKS9GR","V9FU1RJTUFURSgnRVBTJywnTUVBTicsJ0FOTlVBTF9ST0xMJywnKzEnLDM5NjcyLCwsJycp&amp;WINDOW=FIRST_POPUP&amp;HEIGHT=450&amp;WIDTH=450&amp;START_MAXIMIZED=FALSE&amp;VAR:CALENDAR=US&amp;VAR:SYMBOL=38259P50&amp;VAR:INDEX=0"}</definedName>
    <definedName name="_3857__FDSAUDITLINK__">{"fdsup://directions/FAT Viewer?action=UPDATE&amp;creator=factset&amp;DYN_ARGS=TRUE&amp;DOC_NAME=FAT:FQL_AUDITING_CLIENT_TEMPLATE.FAT&amp;display_string=Audit&amp;VAR:KEY=ADQJITEVCB&amp;VAR:QUERY=KFBfUFJJQ0UoMzk2NzEpLShGRl9DQVNIX1NUKFFUUiwzOTY3MSkvUF9DT01fU0hTX09VVCgzOTY3MSkpKS9GR","V9FU1RJTUFURSgnRVBTJywnTUVBTicsJ0FOTlVBTF9ST0xMJywnKzEnLDM5NjcxLCwsJycp&amp;WINDOW=FIRST_POPUP&amp;HEIGHT=450&amp;WIDTH=450&amp;START_MAXIMIZED=FALSE&amp;VAR:CALENDAR=US&amp;VAR:SYMBOL=38259P50&amp;VAR:INDEX=0"}</definedName>
    <definedName name="_3858__FDSAUDITLINK__">{"fdsup://directions/FAT Viewer?action=UPDATE&amp;creator=factset&amp;DYN_ARGS=TRUE&amp;DOC_NAME=FAT:FQL_AUDITING_CLIENT_TEMPLATE.FAT&amp;display_string=Audit&amp;VAR:KEY=ADQJITEVCB&amp;VAR:QUERY=KFBfUFJJQ0UoMzk2NzEpLShGRl9DQVNIX1NUKFFUUiwzOTY3MSkvUF9DT01fU0hTX09VVCgzOTY3MSkpKS9GR","V9FU1RJTUFURSgnRVBTJywnTUVBTicsJ0FOTlVBTF9ST0xMJywnKzEnLDM5NjcxLCwsJycp&amp;WINDOW=FIRST_POPUP&amp;HEIGHT=450&amp;WIDTH=450&amp;START_MAXIMIZED=FALSE&amp;VAR:CALENDAR=US&amp;VAR:SYMBOL=38259P50&amp;VAR:INDEX=0"}</definedName>
    <definedName name="_3859__FDSAUDITLINK__">{"fdsup://directions/FAT Viewer?action=UPDATE&amp;creator=factset&amp;DYN_ARGS=TRUE&amp;DOC_NAME=FAT:FQL_AUDITING_CLIENT_TEMPLATE.FAT&amp;display_string=Audit&amp;VAR:KEY=CNGDSZGDEN&amp;VAR:QUERY=KFBfUFJJQ0UoMzk2NzApLShGRl9DQVNIX1NUKFFUUiwzOTY3MCkvUF9DT01fU0hTX09VVCgzOTY3MCkpKS9GR","V9FU1RJTUFURSgnRVBTJywnTUVBTicsJ0FOTlVBTF9ST0xMJywnKzEnLDM5NjcwLCwsJycp&amp;WINDOW=FIRST_POPUP&amp;HEIGHT=450&amp;WIDTH=450&amp;START_MAXIMIZED=FALSE&amp;VAR:CALENDAR=US&amp;VAR:SYMBOL=38259P50&amp;VAR:INDEX=0"}</definedName>
    <definedName name="_38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143"}</definedName>
    <definedName name="_3860__FDSAUDITLINK__">{"fdsup://directions/FAT Viewer?action=UPDATE&amp;creator=factset&amp;DYN_ARGS=TRUE&amp;DOC_NAME=FAT:FQL_AUDITING_CLIENT_TEMPLATE.FAT&amp;display_string=Audit&amp;VAR:KEY=CNGDSZGDEN&amp;VAR:QUERY=KFBfUFJJQ0UoMzk2NzApLShGRl9DQVNIX1NUKFFUUiwzOTY3MCkvUF9DT01fU0hTX09VVCgzOTY3MCkpKS9GR","V9FU1RJTUFURSgnRVBTJywnTUVBTicsJ0FOTlVBTF9ST0xMJywnKzEnLDM5NjcwLCwsJycp&amp;WINDOW=FIRST_POPUP&amp;HEIGHT=450&amp;WIDTH=450&amp;START_MAXIMIZED=FALSE&amp;VAR:CALENDAR=US&amp;VAR:SYMBOL=38259P50&amp;VAR:INDEX=0"}</definedName>
    <definedName name="_3861__FDSAUDITLINK__">{"fdsup://directions/FAT Viewer?action=UPDATE&amp;creator=factset&amp;DYN_ARGS=TRUE&amp;DOC_NAME=FAT:FQL_AUDITING_CLIENT_TEMPLATE.FAT&amp;display_string=Audit&amp;VAR:KEY=SPUVCBWBWD&amp;VAR:QUERY=KFBfUFJJQ0UoMzk2NjkpLShGRl9DQVNIX1NUKFFUUiwzOTY2OSkvUF9DT01fU0hTX09VVCgzOTY2OSkpKS9GR","V9FU1RJTUFURSgnRVBTJywnTUVBTicsJ0FOTlVBTF9ST0xMJywnKzEnLDM5NjY5LCwsJycp&amp;WINDOW=FIRST_POPUP&amp;HEIGHT=450&amp;WIDTH=450&amp;START_MAXIMIZED=FALSE&amp;VAR:CALENDAR=US&amp;VAR:SYMBOL=38259P50&amp;VAR:INDEX=0"}</definedName>
    <definedName name="_3862__FDSAUDITLINK__">{"fdsup://directions/FAT Viewer?action=UPDATE&amp;creator=factset&amp;DYN_ARGS=TRUE&amp;DOC_NAME=FAT:FQL_AUDITING_CLIENT_TEMPLATE.FAT&amp;display_string=Audit&amp;VAR:KEY=SPUVCBWBWD&amp;VAR:QUERY=KFBfUFJJQ0UoMzk2NjkpLShGRl9DQVNIX1NUKFFUUiwzOTY2OSkvUF9DT01fU0hTX09VVCgzOTY2OSkpKS9GR","V9FU1RJTUFURSgnRVBTJywnTUVBTicsJ0FOTlVBTF9ST0xMJywnKzEnLDM5NjY5LCwsJycp&amp;WINDOW=FIRST_POPUP&amp;HEIGHT=450&amp;WIDTH=450&amp;START_MAXIMIZED=FALSE&amp;VAR:CALENDAR=US&amp;VAR:SYMBOL=38259P50&amp;VAR:INDEX=0"}</definedName>
    <definedName name="_3863__FDSAUDITLINK__">{"fdsup://directions/FAT Viewer?action=UPDATE&amp;creator=factset&amp;DYN_ARGS=TRUE&amp;DOC_NAME=FAT:FQL_AUDITING_CLIENT_TEMPLATE.FAT&amp;display_string=Audit&amp;VAR:KEY=KHUNWFETWB&amp;VAR:QUERY=KFBfUFJJQ0UoMzk2NjgpLShGRl9DQVNIX1NUKFFUUiwzOTY2OCkvUF9DT01fU0hTX09VVCgzOTY2OCkpKS9GR","V9FU1RJTUFURSgnRVBTJywnTUVBTicsJ0FOTlVBTF9ST0xMJywnKzEnLDM5NjY4LCwsJycp&amp;WINDOW=FIRST_POPUP&amp;HEIGHT=450&amp;WIDTH=450&amp;START_MAXIMIZED=FALSE&amp;VAR:CALENDAR=US&amp;VAR:SYMBOL=38259P50&amp;VAR:INDEX=0"}</definedName>
    <definedName name="_3864__FDSAUDITLINK__">{"fdsup://directions/FAT Viewer?action=UPDATE&amp;creator=factset&amp;DYN_ARGS=TRUE&amp;DOC_NAME=FAT:FQL_AUDITING_CLIENT_TEMPLATE.FAT&amp;display_string=Audit&amp;VAR:KEY=KHUNWFETWB&amp;VAR:QUERY=KFBfUFJJQ0UoMzk2NjgpLShGRl9DQVNIX1NUKFFUUiwzOTY2OCkvUF9DT01fU0hTX09VVCgzOTY2OCkpKS9GR","V9FU1RJTUFURSgnRVBTJywnTUVBTicsJ0FOTlVBTF9ST0xMJywnKzEnLDM5NjY4LCwsJycp&amp;WINDOW=FIRST_POPUP&amp;HEIGHT=450&amp;WIDTH=450&amp;START_MAXIMIZED=FALSE&amp;VAR:CALENDAR=US&amp;VAR:SYMBOL=38259P50&amp;VAR:INDEX=0"}</definedName>
    <definedName name="_3865__FDSAUDITLINK__">{"fdsup://directions/FAT Viewer?action=UPDATE&amp;creator=factset&amp;DYN_ARGS=TRUE&amp;DOC_NAME=FAT:FQL_AUDITING_CLIENT_TEMPLATE.FAT&amp;display_string=Audit&amp;VAR:KEY=MHGVITGBMR&amp;VAR:QUERY=KFBfUFJJQ0UoMzk2NjcpLShGRl9DQVNIX1NUKFFUUiwzOTY2NykvUF9DT01fU0hTX09VVCgzOTY2NykpKS9GR","V9FU1RJTUFURSgnRVBTJywnTUVBTicsJ0FOTlVBTF9ST0xMJywnKzEnLDM5NjY3LCwsJycp&amp;WINDOW=FIRST_POPUP&amp;HEIGHT=450&amp;WIDTH=450&amp;START_MAXIMIZED=FALSE&amp;VAR:CALENDAR=US&amp;VAR:SYMBOL=38259P50&amp;VAR:INDEX=0"}</definedName>
    <definedName name="_3866__FDSAUDITLINK__">{"fdsup://directions/FAT Viewer?action=UPDATE&amp;creator=factset&amp;DYN_ARGS=TRUE&amp;DOC_NAME=FAT:FQL_AUDITING_CLIENT_TEMPLATE.FAT&amp;display_string=Audit&amp;VAR:KEY=MHGVITGBMR&amp;VAR:QUERY=KFBfUFJJQ0UoMzk2NjcpLShGRl9DQVNIX1NUKFFUUiwzOTY2NykvUF9DT01fU0hTX09VVCgzOTY2NykpKS9GR","V9FU1RJTUFURSgnRVBTJywnTUVBTicsJ0FOTlVBTF9ST0xMJywnKzEnLDM5NjY3LCwsJycp&amp;WINDOW=FIRST_POPUP&amp;HEIGHT=450&amp;WIDTH=450&amp;START_MAXIMIZED=FALSE&amp;VAR:CALENDAR=US&amp;VAR:SYMBOL=38259P50&amp;VAR:INDEX=0"}</definedName>
    <definedName name="_3867__FDSAUDITLINK__">{"fdsup://directions/FAT Viewer?action=UPDATE&amp;creator=factset&amp;DYN_ARGS=TRUE&amp;DOC_NAME=FAT:FQL_AUDITING_CLIENT_TEMPLATE.FAT&amp;display_string=Audit&amp;VAR:KEY=MHITMNOZOH&amp;VAR:QUERY=KFBfUFJJQ0UoMzk2NjYpLShGRl9DQVNIX1NUKFFUUiwzOTY2NikvUF9DT01fU0hTX09VVCgzOTY2NikpKS9GR","V9FU1RJTUFURSgnRVBTJywnTUVBTicsJ0FOTlVBTF9ST0xMJywnKzEnLDM5NjY2LCwsJycp&amp;WINDOW=FIRST_POPUP&amp;HEIGHT=450&amp;WIDTH=450&amp;START_MAXIMIZED=FALSE&amp;VAR:CALENDAR=US&amp;VAR:SYMBOL=38259P50&amp;VAR:INDEX=0"}</definedName>
    <definedName name="_3868__FDSAUDITLINK__">{"fdsup://directions/FAT Viewer?action=UPDATE&amp;creator=factset&amp;DYN_ARGS=TRUE&amp;DOC_NAME=FAT:FQL_AUDITING_CLIENT_TEMPLATE.FAT&amp;display_string=Audit&amp;VAR:KEY=MHITMNOZOH&amp;VAR:QUERY=KFBfUFJJQ0UoMzk2NjYpLShGRl9DQVNIX1NUKFFUUiwzOTY2NikvUF9DT01fU0hTX09VVCgzOTY2NikpKS9GR","V9FU1RJTUFURSgnRVBTJywnTUVBTicsJ0FOTlVBTF9ST0xMJywnKzEnLDM5NjY2LCwsJycp&amp;WINDOW=FIRST_POPUP&amp;HEIGHT=450&amp;WIDTH=450&amp;START_MAXIMIZED=FALSE&amp;VAR:CALENDAR=US&amp;VAR:SYMBOL=38259P50&amp;VAR:INDEX=0"}</definedName>
    <definedName name="_3869__FDSAUDITLINK__">{"fdsup://directions/FAT Viewer?action=UPDATE&amp;creator=factset&amp;DYN_ARGS=TRUE&amp;DOC_NAME=FAT:FQL_AUDITING_CLIENT_TEMPLATE.FAT&amp;display_string=Audit&amp;VAR:KEY=GBIFWNCDGB&amp;VAR:QUERY=KFBfUFJJQ0UoMzk2NjUpLShGRl9DQVNIX1NUKFFUUiwzOTY2NSkvUF9DT01fU0hTX09VVCgzOTY2NSkpKS9GR","V9FU1RJTUFURSgnRVBTJywnTUVBTicsJ0FOTlVBTF9ST0xMJywnKzEnLDM5NjY1LCwsJycp&amp;WINDOW=FIRST_POPUP&amp;HEIGHT=450&amp;WIDTH=450&amp;START_MAXIMIZED=FALSE&amp;VAR:CALENDAR=US&amp;VAR:SYMBOL=38259P50&amp;VAR:INDEX=0"}</definedName>
    <definedName name="_38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142"}</definedName>
    <definedName name="_3870__FDSAUDITLINK__">{"fdsup://directions/FAT Viewer?action=UPDATE&amp;creator=factset&amp;DYN_ARGS=TRUE&amp;DOC_NAME=FAT:FQL_AUDITING_CLIENT_TEMPLATE.FAT&amp;display_string=Audit&amp;VAR:KEY=GBIFWNCDGB&amp;VAR:QUERY=KFBfUFJJQ0UoMzk2NjUpLShGRl9DQVNIX1NUKFFUUiwzOTY2NSkvUF9DT01fU0hTX09VVCgzOTY2NSkpKS9GR","V9FU1RJTUFURSgnRVBTJywnTUVBTicsJ0FOTlVBTF9ST0xMJywnKzEnLDM5NjY1LCwsJycp&amp;WINDOW=FIRST_POPUP&amp;HEIGHT=450&amp;WIDTH=450&amp;START_MAXIMIZED=FALSE&amp;VAR:CALENDAR=US&amp;VAR:SYMBOL=38259P50&amp;VAR:INDEX=0"}</definedName>
    <definedName name="_3871__FDSAUDITLINK__">{"fdsup://directions/FAT Viewer?action=UPDATE&amp;creator=factset&amp;DYN_ARGS=TRUE&amp;DOC_NAME=FAT:FQL_AUDITING_CLIENT_TEMPLATE.FAT&amp;display_string=Audit&amp;VAR:KEY=OZQFYHERIT&amp;VAR:QUERY=KFBfUFJJQ0UoMzk2NjQpLShGRl9DQVNIX1NUKFFUUiwzOTY2NCkvUF9DT01fU0hTX09VVCgzOTY2NCkpKS9GR","V9FU1RJTUFURSgnRVBTJywnTUVBTicsJ0FOTlVBTF9ST0xMJywnKzEnLDM5NjY0LCwsJycp&amp;WINDOW=FIRST_POPUP&amp;HEIGHT=450&amp;WIDTH=450&amp;START_MAXIMIZED=FALSE&amp;VAR:CALENDAR=US&amp;VAR:SYMBOL=38259P50&amp;VAR:INDEX=0"}</definedName>
    <definedName name="_3872__FDSAUDITLINK__">{"fdsup://directions/FAT Viewer?action=UPDATE&amp;creator=factset&amp;DYN_ARGS=TRUE&amp;DOC_NAME=FAT:FQL_AUDITING_CLIENT_TEMPLATE.FAT&amp;display_string=Audit&amp;VAR:KEY=OZQFYHERIT&amp;VAR:QUERY=KFBfUFJJQ0UoMzk2NjQpLShGRl9DQVNIX1NUKFFUUiwzOTY2NCkvUF9DT01fU0hTX09VVCgzOTY2NCkpKS9GR","V9FU1RJTUFURSgnRVBTJywnTUVBTicsJ0FOTlVBTF9ST0xMJywnKzEnLDM5NjY0LCwsJycp&amp;WINDOW=FIRST_POPUP&amp;HEIGHT=450&amp;WIDTH=450&amp;START_MAXIMIZED=FALSE&amp;VAR:CALENDAR=US&amp;VAR:SYMBOL=38259P50&amp;VAR:INDEX=0"}</definedName>
    <definedName name="_3873__FDSAUDITLINK__">{"fdsup://directions/FAT Viewer?action=UPDATE&amp;creator=factset&amp;DYN_ARGS=TRUE&amp;DOC_NAME=FAT:FQL_AUDITING_CLIENT_TEMPLATE.FAT&amp;display_string=Audit&amp;VAR:KEY=QDWDIJILMX&amp;VAR:QUERY=KFBfUFJJQ0UoMzk2NjMpLShGRl9DQVNIX1NUKFFUUiwzOTY2MykvUF9DT01fU0hTX09VVCgzOTY2MykpKS9GR","V9FU1RJTUFURSgnRVBTJywnTUVBTicsJ0FOTlVBTF9ST0xMJywnKzEnLDM5NjYzLCwsJycp&amp;WINDOW=FIRST_POPUP&amp;HEIGHT=450&amp;WIDTH=450&amp;START_MAXIMIZED=FALSE&amp;VAR:CALENDAR=US&amp;VAR:SYMBOL=38259P50&amp;VAR:INDEX=0"}</definedName>
    <definedName name="_3874__FDSAUDITLINK__">{"fdsup://directions/FAT Viewer?action=UPDATE&amp;creator=factset&amp;DYN_ARGS=TRUE&amp;DOC_NAME=FAT:FQL_AUDITING_CLIENT_TEMPLATE.FAT&amp;display_string=Audit&amp;VAR:KEY=QDWDIJILMX&amp;VAR:QUERY=KFBfUFJJQ0UoMzk2NjMpLShGRl9DQVNIX1NUKFFUUiwzOTY2MykvUF9DT01fU0hTX09VVCgzOTY2MykpKS9GR","V9FU1RJTUFURSgnRVBTJywnTUVBTicsJ0FOTlVBTF9ST0xMJywnKzEnLDM5NjYzLCwsJycp&amp;WINDOW=FIRST_POPUP&amp;HEIGHT=450&amp;WIDTH=450&amp;START_MAXIMIZED=FALSE&amp;VAR:CALENDAR=US&amp;VAR:SYMBOL=38259P50&amp;VAR:INDEX=0"}</definedName>
    <definedName name="_3875__FDSAUDITLINK__">{"fdsup://directions/FAT Viewer?action=UPDATE&amp;creator=factset&amp;DYN_ARGS=TRUE&amp;DOC_NAME=FAT:FQL_AUDITING_CLIENT_TEMPLATE.FAT&amp;display_string=Audit&amp;VAR:KEY=YZWPYDINWN&amp;VAR:QUERY=KFBfUFJJQ0UoMzk2NjIpLShGRl9DQVNIX1NUKFFUUiwzOTY2MikvUF9DT01fU0hTX09VVCgzOTY2MikpKS9GR","V9FU1RJTUFURSgnRVBTJywnTUVBTicsJ0FOTlVBTF9ST0xMJywnKzEnLDM5NjYyLCwsJycp&amp;WINDOW=FIRST_POPUP&amp;HEIGHT=450&amp;WIDTH=450&amp;START_MAXIMIZED=FALSE&amp;VAR:CALENDAR=US&amp;VAR:SYMBOL=38259P50&amp;VAR:INDEX=0"}</definedName>
    <definedName name="_3876__FDSAUDITLINK__">{"fdsup://directions/FAT Viewer?action=UPDATE&amp;creator=factset&amp;DYN_ARGS=TRUE&amp;DOC_NAME=FAT:FQL_AUDITING_CLIENT_TEMPLATE.FAT&amp;display_string=Audit&amp;VAR:KEY=YZWPYDINWN&amp;VAR:QUERY=KFBfUFJJQ0UoMzk2NjIpLShGRl9DQVNIX1NUKFFUUiwzOTY2MikvUF9DT01fU0hTX09VVCgzOTY2MikpKS9GR","V9FU1RJTUFURSgnRVBTJywnTUVBTicsJ0FOTlVBTF9ST0xMJywnKzEnLDM5NjYyLCwsJycp&amp;WINDOW=FIRST_POPUP&amp;HEIGHT=450&amp;WIDTH=450&amp;START_MAXIMIZED=FALSE&amp;VAR:CALENDAR=US&amp;VAR:SYMBOL=38259P50&amp;VAR:INDEX=0"}</definedName>
    <definedName name="_3877__FDSAUDITLINK__">{"fdsup://directions/FAT Viewer?action=UPDATE&amp;creator=factset&amp;DYN_ARGS=TRUE&amp;DOC_NAME=FAT:FQL_AUDITING_CLIENT_TEMPLATE.FAT&amp;display_string=Audit&amp;VAR:KEY=UPWBOZMXAJ&amp;VAR:QUERY=KFBfUFJJQ0UoMzk2NjEpLShGRl9DQVNIX1NUKFFUUiwzOTY2MSkvUF9DT01fU0hTX09VVCgzOTY2MSkpKS9GR","V9FU1RJTUFURSgnRVBTJywnTUVBTicsJ0FOTlVBTF9ST0xMJywnKzEnLDM5NjYxLCwsJycp&amp;WINDOW=FIRST_POPUP&amp;HEIGHT=450&amp;WIDTH=450&amp;START_MAXIMIZED=FALSE&amp;VAR:CALENDAR=US&amp;VAR:SYMBOL=38259P50&amp;VAR:INDEX=0"}</definedName>
    <definedName name="_3878__FDSAUDITLINK__">{"fdsup://directions/FAT Viewer?action=UPDATE&amp;creator=factset&amp;DYN_ARGS=TRUE&amp;DOC_NAME=FAT:FQL_AUDITING_CLIENT_TEMPLATE.FAT&amp;display_string=Audit&amp;VAR:KEY=UPWBOZMXAJ&amp;VAR:QUERY=KFBfUFJJQ0UoMzk2NjEpLShGRl9DQVNIX1NUKFFUUiwzOTY2MSkvUF9DT01fU0hTX09VVCgzOTY2MSkpKS9GR","V9FU1RJTUFURSgnRVBTJywnTUVBTicsJ0FOTlVBTF9ST0xMJywnKzEnLDM5NjYxLCwsJycp&amp;WINDOW=FIRST_POPUP&amp;HEIGHT=450&amp;WIDTH=450&amp;START_MAXIMIZED=FALSE&amp;VAR:CALENDAR=US&amp;VAR:SYMBOL=38259P50&amp;VAR:INDEX=0"}</definedName>
    <definedName name="_3879__FDSAUDITLINK__">{"fdsup://directions/FAT Viewer?action=UPDATE&amp;creator=factset&amp;DYN_ARGS=TRUE&amp;DOC_NAME=FAT:FQL_AUDITING_CLIENT_TEMPLATE.FAT&amp;display_string=Audit&amp;VAR:KEY=QPSXITCBOT&amp;VAR:QUERY=KFBfUFJJQ0UoMzk2NjApLShGRl9DQVNIX1NUKFFUUiwzOTY2MCkvUF9DT01fU0hTX09VVCgzOTY2MCkpKS9GR","V9FU1RJTUFURSgnRVBTJywnTUVBTicsJ0FOTlVBTF9ST0xMJywnKzEnLDM5NjYwLCwsJycp&amp;WINDOW=FIRST_POPUP&amp;HEIGHT=450&amp;WIDTH=450&amp;START_MAXIMIZED=FALSE&amp;VAR:CALENDAR=US&amp;VAR:SYMBOL=38259P50&amp;VAR:INDEX=0"}</definedName>
    <definedName name="_38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141"}</definedName>
    <definedName name="_3880__FDSAUDITLINK__">{"fdsup://directions/FAT Viewer?action=UPDATE&amp;creator=factset&amp;DYN_ARGS=TRUE&amp;DOC_NAME=FAT:FQL_AUDITING_CLIENT_TEMPLATE.FAT&amp;display_string=Audit&amp;VAR:KEY=QPSXITCBOT&amp;VAR:QUERY=KFBfUFJJQ0UoMzk2NjApLShGRl9DQVNIX1NUKFFUUiwzOTY2MCkvUF9DT01fU0hTX09VVCgzOTY2MCkpKS9GR","V9FU1RJTUFURSgnRVBTJywnTUVBTicsJ0FOTlVBTF9ST0xMJywnKzEnLDM5NjYwLCwsJycp&amp;WINDOW=FIRST_POPUP&amp;HEIGHT=450&amp;WIDTH=450&amp;START_MAXIMIZED=FALSE&amp;VAR:CALENDAR=US&amp;VAR:SYMBOL=38259P50&amp;VAR:INDEX=0"}</definedName>
    <definedName name="_3881__FDSAUDITLINK__">{"fdsup://directions/FAT Viewer?action=UPDATE&amp;creator=factset&amp;DYN_ARGS=TRUE&amp;DOC_NAME=FAT:FQL_AUDITING_CLIENT_TEMPLATE.FAT&amp;display_string=Audit&amp;VAR:KEY=QPEPEXQFMX&amp;VAR:QUERY=KFBfUFJJQ0UoMzk2NTkpLShGRl9DQVNIX1NUKFFUUiwzOTY1OSkvUF9DT01fU0hTX09VVCgzOTY1OSkpKS9GR","V9FU1RJTUFURSgnRVBTJywnTUVBTicsJ0FOTlVBTF9ST0xMJywnKzEnLDM5NjU5LCwsJycp&amp;WINDOW=FIRST_POPUP&amp;HEIGHT=450&amp;WIDTH=450&amp;START_MAXIMIZED=FALSE&amp;VAR:CALENDAR=US&amp;VAR:SYMBOL=38259P50&amp;VAR:INDEX=0"}</definedName>
    <definedName name="_3882__FDSAUDITLINK__">{"fdsup://directions/FAT Viewer?action=UPDATE&amp;creator=factset&amp;DYN_ARGS=TRUE&amp;DOC_NAME=FAT:FQL_AUDITING_CLIENT_TEMPLATE.FAT&amp;display_string=Audit&amp;VAR:KEY=QPEPEXQFMX&amp;VAR:QUERY=KFBfUFJJQ0UoMzk2NTkpLShGRl9DQVNIX1NUKFFUUiwzOTY1OSkvUF9DT01fU0hTX09VVCgzOTY1OSkpKS9GR","V9FU1RJTUFURSgnRVBTJywnTUVBTicsJ0FOTlVBTF9ST0xMJywnKzEnLDM5NjU5LCwsJycp&amp;WINDOW=FIRST_POPUP&amp;HEIGHT=450&amp;WIDTH=450&amp;START_MAXIMIZED=FALSE&amp;VAR:CALENDAR=US&amp;VAR:SYMBOL=38259P50&amp;VAR:INDEX=0"}</definedName>
    <definedName name="_3883__FDSAUDITLINK__">{"fdsup://directions/FAT Viewer?action=UPDATE&amp;creator=factset&amp;DYN_ARGS=TRUE&amp;DOC_NAME=FAT:FQL_AUDITING_CLIENT_TEMPLATE.FAT&amp;display_string=Audit&amp;VAR:KEY=WTMRIXEJQP&amp;VAR:QUERY=KFBfUFJJQ0UoMzk2NTgpLShGRl9DQVNIX1NUKFFUUiwzOTY1OCkvUF9DT01fU0hTX09VVCgzOTY1OCkpKS9GR","V9FU1RJTUFURSgnRVBTJywnTUVBTicsJ0FOTlVBTF9ST0xMJywnKzEnLDM5NjU4LCwsJycp&amp;WINDOW=FIRST_POPUP&amp;HEIGHT=450&amp;WIDTH=450&amp;START_MAXIMIZED=FALSE&amp;VAR:CALENDAR=US&amp;VAR:SYMBOL=38259P50&amp;VAR:INDEX=0"}</definedName>
    <definedName name="_3884__FDSAUDITLINK__">{"fdsup://directions/FAT Viewer?action=UPDATE&amp;creator=factset&amp;DYN_ARGS=TRUE&amp;DOC_NAME=FAT:FQL_AUDITING_CLIENT_TEMPLATE.FAT&amp;display_string=Audit&amp;VAR:KEY=WTMRIXEJQP&amp;VAR:QUERY=KFBfUFJJQ0UoMzk2NTgpLShGRl9DQVNIX1NUKFFUUiwzOTY1OCkvUF9DT01fU0hTX09VVCgzOTY1OCkpKS9GR","V9FU1RJTUFURSgnRVBTJywnTUVBTicsJ0FOTlVBTF9ST0xMJywnKzEnLDM5NjU4LCwsJycp&amp;WINDOW=FIRST_POPUP&amp;HEIGHT=450&amp;WIDTH=450&amp;START_MAXIMIZED=FALSE&amp;VAR:CALENDAR=US&amp;VAR:SYMBOL=38259P50&amp;VAR:INDEX=0"}</definedName>
    <definedName name="_3885__FDSAUDITLINK__">{"fdsup://directions/FAT Viewer?action=UPDATE&amp;creator=factset&amp;DYN_ARGS=TRUE&amp;DOC_NAME=FAT:FQL_AUDITING_CLIENT_TEMPLATE.FAT&amp;display_string=Audit&amp;VAR:KEY=ILMPULYDSR&amp;VAR:QUERY=KFBfUFJJQ0UoMzk2NTcpLShGRl9DQVNIX1NUKFFUUiwzOTY1NykvUF9DT01fU0hTX09VVCgzOTY1NykpKS9GR","V9FU1RJTUFURSgnRVBTJywnTUVBTicsJ0FOTlVBTF9ST0xMJywnKzEnLDM5NjU3LCwsJycp&amp;WINDOW=FIRST_POPUP&amp;HEIGHT=450&amp;WIDTH=450&amp;START_MAXIMIZED=FALSE&amp;VAR:CALENDAR=US&amp;VAR:SYMBOL=38259P50&amp;VAR:INDEX=0"}</definedName>
    <definedName name="_3886__FDSAUDITLINK__">{"fdsup://directions/FAT Viewer?action=UPDATE&amp;creator=factset&amp;DYN_ARGS=TRUE&amp;DOC_NAME=FAT:FQL_AUDITING_CLIENT_TEMPLATE.FAT&amp;display_string=Audit&amp;VAR:KEY=ILMPULYDSR&amp;VAR:QUERY=KFBfUFJJQ0UoMzk2NTcpLShGRl9DQVNIX1NUKFFUUiwzOTY1NykvUF9DT01fU0hTX09VVCgzOTY1NykpKS9GR","V9FU1RJTUFURSgnRVBTJywnTUVBTicsJ0FOTlVBTF9ST0xMJywnKzEnLDM5NjU3LCwsJycp&amp;WINDOW=FIRST_POPUP&amp;HEIGHT=450&amp;WIDTH=450&amp;START_MAXIMIZED=FALSE&amp;VAR:CALENDAR=US&amp;VAR:SYMBOL=38259P50&amp;VAR:INDEX=0"}</definedName>
    <definedName name="_3887__FDSAUDITLINK__">{"fdsup://directions/FAT Viewer?action=UPDATE&amp;creator=factset&amp;DYN_ARGS=TRUE&amp;DOC_NAME=FAT:FQL_AUDITING_CLIENT_TEMPLATE.FAT&amp;display_string=Audit&amp;VAR:KEY=MJYLGFYHEB&amp;VAR:QUERY=KFBfUFJJQ0UoMzk2NTYpLShGRl9DQVNIX1NUKFFUUiwzOTY1NikvUF9DT01fU0hTX09VVCgzOTY1NikpKS9GR","V9FU1RJTUFURSgnRVBTJywnTUVBTicsJ0FOTlVBTF9ST0xMJywnKzEnLDM5NjU2LCwsJycp&amp;WINDOW=FIRST_POPUP&amp;HEIGHT=450&amp;WIDTH=450&amp;START_MAXIMIZED=FALSE&amp;VAR:CALENDAR=US&amp;VAR:SYMBOL=38259P50&amp;VAR:INDEX=0"}</definedName>
    <definedName name="_3888__FDSAUDITLINK__">{"fdsup://directions/FAT Viewer?action=UPDATE&amp;creator=factset&amp;DYN_ARGS=TRUE&amp;DOC_NAME=FAT:FQL_AUDITING_CLIENT_TEMPLATE.FAT&amp;display_string=Audit&amp;VAR:KEY=MJYLGFYHEB&amp;VAR:QUERY=KFBfUFJJQ0UoMzk2NTYpLShGRl9DQVNIX1NUKFFUUiwzOTY1NikvUF9DT01fU0hTX09VVCgzOTY1NikpKS9GR","V9FU1RJTUFURSgnRVBTJywnTUVBTicsJ0FOTlVBTF9ST0xMJywnKzEnLDM5NjU2LCwsJycp&amp;WINDOW=FIRST_POPUP&amp;HEIGHT=450&amp;WIDTH=450&amp;START_MAXIMIZED=FALSE&amp;VAR:CALENDAR=US&amp;VAR:SYMBOL=38259P50&amp;VAR:INDEX=0"}</definedName>
    <definedName name="_3889__FDSAUDITLINK__">{"fdsup://directions/FAT Viewer?action=UPDATE&amp;creator=factset&amp;DYN_ARGS=TRUE&amp;DOC_NAME=FAT:FQL_AUDITING_CLIENT_TEMPLATE.FAT&amp;display_string=Audit&amp;VAR:KEY=AJMRGHSTKR&amp;VAR:QUERY=KFBfUFJJQ0UoMzk2NTUpLShGRl9DQVNIX1NUKFFUUiwzOTY1NSkvUF9DT01fU0hTX09VVCgzOTY1NSkpKS9GR","V9FU1RJTUFURSgnRVBTJywnTUVBTicsJ0FOTlVBTF9ST0xMJywnKzEnLDM5NjU1LCwsJycp&amp;WINDOW=FIRST_POPUP&amp;HEIGHT=450&amp;WIDTH=450&amp;START_MAXIMIZED=FALSE&amp;VAR:CALENDAR=US&amp;VAR:SYMBOL=38259P50&amp;VAR:INDEX=0"}</definedName>
    <definedName name="_38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140"}</definedName>
    <definedName name="_3890__FDSAUDITLINK__">{"fdsup://directions/FAT Viewer?action=UPDATE&amp;creator=factset&amp;DYN_ARGS=TRUE&amp;DOC_NAME=FAT:FQL_AUDITING_CLIENT_TEMPLATE.FAT&amp;display_string=Audit&amp;VAR:KEY=AJMRGHSTKR&amp;VAR:QUERY=KFBfUFJJQ0UoMzk2NTUpLShGRl9DQVNIX1NUKFFUUiwzOTY1NSkvUF9DT01fU0hTX09VVCgzOTY1NSkpKS9GR","V9FU1RJTUFURSgnRVBTJywnTUVBTicsJ0FOTlVBTF9ST0xMJywnKzEnLDM5NjU1LCwsJycp&amp;WINDOW=FIRST_POPUP&amp;HEIGHT=450&amp;WIDTH=450&amp;START_MAXIMIZED=FALSE&amp;VAR:CALENDAR=US&amp;VAR:SYMBOL=38259P50&amp;VAR:INDEX=0"}</definedName>
    <definedName name="_3891__FDSAUDITLINK__">{"fdsup://directions/FAT Viewer?action=UPDATE&amp;creator=factset&amp;DYN_ARGS=TRUE&amp;DOC_NAME=FAT:FQL_AUDITING_CLIENT_TEMPLATE.FAT&amp;display_string=Audit&amp;VAR:KEY=WFMTYJCXYZ&amp;VAR:QUERY=KFBfUFJJQ0UoMzk2NTQpLShGRl9DQVNIX1NUKFFUUiwzOTY1NCkvUF9DT01fU0hTX09VVCgzOTY1NCkpKS9GR","V9FU1RJTUFURSgnRVBTJywnTUVBTicsJ0FOTlVBTF9ST0xMJywnKzEnLDM5NjU0LCwsJycp&amp;WINDOW=FIRST_POPUP&amp;HEIGHT=450&amp;WIDTH=450&amp;START_MAXIMIZED=FALSE&amp;VAR:CALENDAR=US&amp;VAR:SYMBOL=38259P50&amp;VAR:INDEX=0"}</definedName>
    <definedName name="_3892__FDSAUDITLINK__">{"fdsup://directions/FAT Viewer?action=UPDATE&amp;creator=factset&amp;DYN_ARGS=TRUE&amp;DOC_NAME=FAT:FQL_AUDITING_CLIENT_TEMPLATE.FAT&amp;display_string=Audit&amp;VAR:KEY=WFMTYJCXYZ&amp;VAR:QUERY=KFBfUFJJQ0UoMzk2NTQpLShGRl9DQVNIX1NUKFFUUiwzOTY1NCkvUF9DT01fU0hTX09VVCgzOTY1NCkpKS9GR","V9FU1RJTUFURSgnRVBTJywnTUVBTicsJ0FOTlVBTF9ST0xMJywnKzEnLDM5NjU0LCwsJycp&amp;WINDOW=FIRST_POPUP&amp;HEIGHT=450&amp;WIDTH=450&amp;START_MAXIMIZED=FALSE&amp;VAR:CALENDAR=US&amp;VAR:SYMBOL=38259P50&amp;VAR:INDEX=0"}</definedName>
    <definedName name="_3893__FDSAUDITLINK__">{"fdsup://directions/FAT Viewer?action=UPDATE&amp;creator=factset&amp;DYN_ARGS=TRUE&amp;DOC_NAME=FAT:FQL_AUDITING_CLIENT_TEMPLATE.FAT&amp;display_string=Audit&amp;VAR:KEY=MDAVMFSPWL&amp;VAR:QUERY=KFBfUFJJQ0UoMzk2NTMpLShGRl9DQVNIX1NUKFFUUiwzOTY1MykvUF9DT01fU0hTX09VVCgzOTY1MykpKS9GR","V9FU1RJTUFURSgnRVBTJywnTUVBTicsJ0FOTlVBTF9ST0xMJywnKzEnLDM5NjUzLCwsJycp&amp;WINDOW=FIRST_POPUP&amp;HEIGHT=450&amp;WIDTH=450&amp;START_MAXIMIZED=FALSE&amp;VAR:CALENDAR=US&amp;VAR:SYMBOL=38259P50&amp;VAR:INDEX=0"}</definedName>
    <definedName name="_3894__FDSAUDITLINK__">{"fdsup://directions/FAT Viewer?action=UPDATE&amp;creator=factset&amp;DYN_ARGS=TRUE&amp;DOC_NAME=FAT:FQL_AUDITING_CLIENT_TEMPLATE.FAT&amp;display_string=Audit&amp;VAR:KEY=MDAVMFSPWL&amp;VAR:QUERY=KFBfUFJJQ0UoMzk2NTMpLShGRl9DQVNIX1NUKFFUUiwzOTY1MykvUF9DT01fU0hTX09VVCgzOTY1MykpKS9GR","V9FU1RJTUFURSgnRVBTJywnTUVBTicsJ0FOTlVBTF9ST0xMJywnKzEnLDM5NjUzLCwsJycp&amp;WINDOW=FIRST_POPUP&amp;HEIGHT=450&amp;WIDTH=450&amp;START_MAXIMIZED=FALSE&amp;VAR:CALENDAR=US&amp;VAR:SYMBOL=38259P50&amp;VAR:INDEX=0"}</definedName>
    <definedName name="_3895__FDSAUDITLINK__">{"fdsup://directions/FAT Viewer?action=UPDATE&amp;creator=factset&amp;DYN_ARGS=TRUE&amp;DOC_NAME=FAT:FQL_AUDITING_CLIENT_TEMPLATE.FAT&amp;display_string=Audit&amp;VAR:KEY=UZCTGXQDAB&amp;VAR:QUERY=KFBfUFJJQ0UoMzk2NTIpLShGRl9DQVNIX1NUKFFUUiwzOTY1MikvUF9DT01fU0hTX09VVCgzOTY1MikpKS9GR","V9FU1RJTUFURSgnRVBTJywnTUVBTicsJ0FOTlVBTF9ST0xMJywnKzEnLDM5NjUyLCwsJycp&amp;WINDOW=FIRST_POPUP&amp;HEIGHT=450&amp;WIDTH=450&amp;START_MAXIMIZED=FALSE&amp;VAR:CALENDAR=US&amp;VAR:SYMBOL=38259P50&amp;VAR:INDEX=0"}</definedName>
    <definedName name="_3896__FDSAUDITLINK__">{"fdsup://directions/FAT Viewer?action=UPDATE&amp;creator=factset&amp;DYN_ARGS=TRUE&amp;DOC_NAME=FAT:FQL_AUDITING_CLIENT_TEMPLATE.FAT&amp;display_string=Audit&amp;VAR:KEY=UZCTGXQDAB&amp;VAR:QUERY=KFBfUFJJQ0UoMzk2NTIpLShGRl9DQVNIX1NUKFFUUiwzOTY1MikvUF9DT01fU0hTX09VVCgzOTY1MikpKS9GR","V9FU1RJTUFURSgnRVBTJywnTUVBTicsJ0FOTlVBTF9ST0xMJywnKzEnLDM5NjUyLCwsJycp&amp;WINDOW=FIRST_POPUP&amp;HEIGHT=450&amp;WIDTH=450&amp;START_MAXIMIZED=FALSE&amp;VAR:CALENDAR=US&amp;VAR:SYMBOL=38259P50&amp;VAR:INDEX=0"}</definedName>
    <definedName name="_3897__FDSAUDITLINK__">{"fdsup://directions/FAT Viewer?action=UPDATE&amp;creator=factset&amp;DYN_ARGS=TRUE&amp;DOC_NAME=FAT:FQL_AUDITING_CLIENT_TEMPLATE.FAT&amp;display_string=Audit&amp;VAR:KEY=QPUHSJKFAH&amp;VAR:QUERY=KFBfUFJJQ0UoMzk2NTEpLShGRl9DQVNIX1NUKFFUUiwzOTY1MSkvUF9DT01fU0hTX09VVCgzOTY1MSkpKS9GR","V9FU1RJTUFURSgnRVBTJywnTUVBTicsJ0FOTlVBTF9ST0xMJywnKzEnLDM5NjUxLCwsJycp&amp;WINDOW=FIRST_POPUP&amp;HEIGHT=450&amp;WIDTH=450&amp;START_MAXIMIZED=FALSE&amp;VAR:CALENDAR=US&amp;VAR:SYMBOL=38259P50&amp;VAR:INDEX=0"}</definedName>
    <definedName name="_3898__FDSAUDITLINK__">{"fdsup://directions/FAT Viewer?action=UPDATE&amp;creator=factset&amp;DYN_ARGS=TRUE&amp;DOC_NAME=FAT:FQL_AUDITING_CLIENT_TEMPLATE.FAT&amp;display_string=Audit&amp;VAR:KEY=QPUHSJKFAH&amp;VAR:QUERY=KFBfUFJJQ0UoMzk2NTEpLShGRl9DQVNIX1NUKFFUUiwzOTY1MSkvUF9DT01fU0hTX09VVCgzOTY1MSkpKS9GR","V9FU1RJTUFURSgnRVBTJywnTUVBTicsJ0FOTlVBTF9ST0xMJywnKzEnLDM5NjUxLCwsJycp&amp;WINDOW=FIRST_POPUP&amp;HEIGHT=450&amp;WIDTH=450&amp;START_MAXIMIZED=FALSE&amp;VAR:CALENDAR=US&amp;VAR:SYMBOL=38259P50&amp;VAR:INDEX=0"}</definedName>
    <definedName name="_3899__FDSAUDITLINK__">{"fdsup://directions/FAT Viewer?action=UPDATE&amp;creator=factset&amp;DYN_ARGS=TRUE&amp;DOC_NAME=FAT:FQL_AUDITING_CLIENT_TEMPLATE.FAT&amp;display_string=Audit&amp;VAR:KEY=YXQNQBMLIZ&amp;VAR:QUERY=KFBfUFJJQ0UoMzk2NTApLShGRl9DQVNIX1NUKFFUUiwzOTY1MCkvUF9DT01fU0hTX09VVCgzOTY1MCkpKS9GR","V9FU1RJTUFURSgnRVBTJywnTUVBTicsJ0FOTlVBTF9ST0xMJywnKzEnLDM5NjUwLCwsJycp&amp;WINDOW=FIRST_POPUP&amp;HEIGHT=450&amp;WIDTH=450&amp;START_MAXIMIZED=FALSE&amp;VAR:CALENDAR=US&amp;VAR:SYMBOL=38259P50&amp;VAR:INDEX=0"}</definedName>
    <definedName name="_3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21.806498&amp;VAR:V0=24.465306&amp;VAR:V1=21.806498&amp;VAR:Y0=2001&amp;VAR:Y1=2002&amp;VAR:P=1148.080000&amp;VAR:DATE=20011231&amp;VAR:THRESH=-|-|","-|-|-|-|-"}</definedName>
    <definedName name="_39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139"}</definedName>
    <definedName name="_3900__FDSAUDITLINK__">{"fdsup://directions/FAT Viewer?action=UPDATE&amp;creator=factset&amp;DYN_ARGS=TRUE&amp;DOC_NAME=FAT:FQL_AUDITING_CLIENT_TEMPLATE.FAT&amp;display_string=Audit&amp;VAR:KEY=YXQNQBMLIZ&amp;VAR:QUERY=KFBfUFJJQ0UoMzk2NTApLShGRl9DQVNIX1NUKFFUUiwzOTY1MCkvUF9DT01fU0hTX09VVCgzOTY1MCkpKS9GR","V9FU1RJTUFURSgnRVBTJywnTUVBTicsJ0FOTlVBTF9ST0xMJywnKzEnLDM5NjUwLCwsJycp&amp;WINDOW=FIRST_POPUP&amp;HEIGHT=450&amp;WIDTH=450&amp;START_MAXIMIZED=FALSE&amp;VAR:CALENDAR=US&amp;VAR:SYMBOL=38259P50&amp;VAR:INDEX=0"}</definedName>
    <definedName name="_3901__FDSAUDITLINK__">{"fdsup://directions/FAT Viewer?action=UPDATE&amp;creator=factset&amp;DYN_ARGS=TRUE&amp;DOC_NAME=FAT:FQL_AUDITING_CLIENT_TEMPLATE.FAT&amp;display_string=Audit&amp;VAR:KEY=CXKRMLMBSJ&amp;VAR:QUERY=KFBfUFJJQ0UoMzk2NDkpLShGRl9DQVNIX1NUKFFUUiwzOTY0OSkvUF9DT01fU0hTX09VVCgzOTY0OSkpKS9GR","V9FU1RJTUFURSgnRVBTJywnTUVBTicsJ0FOTlVBTF9ST0xMJywnKzEnLDM5NjQ5LCwsJycp&amp;WINDOW=FIRST_POPUP&amp;HEIGHT=450&amp;WIDTH=450&amp;START_MAXIMIZED=FALSE&amp;VAR:CALENDAR=US&amp;VAR:SYMBOL=38259P50&amp;VAR:INDEX=0"}</definedName>
    <definedName name="_3902__FDSAUDITLINK__">{"fdsup://directions/FAT Viewer?action=UPDATE&amp;creator=factset&amp;DYN_ARGS=TRUE&amp;DOC_NAME=FAT:FQL_AUDITING_CLIENT_TEMPLATE.FAT&amp;display_string=Audit&amp;VAR:KEY=CXKRMLMBSJ&amp;VAR:QUERY=KFBfUFJJQ0UoMzk2NDkpLShGRl9DQVNIX1NUKFFUUiwzOTY0OSkvUF9DT01fU0hTX09VVCgzOTY0OSkpKS9GR","V9FU1RJTUFURSgnRVBTJywnTUVBTicsJ0FOTlVBTF9ST0xMJywnKzEnLDM5NjQ5LCwsJycp&amp;WINDOW=FIRST_POPUP&amp;HEIGHT=450&amp;WIDTH=450&amp;START_MAXIMIZED=FALSE&amp;VAR:CALENDAR=US&amp;VAR:SYMBOL=38259P50&amp;VAR:INDEX=0"}</definedName>
    <definedName name="_3903__FDSAUDITLINK__">{"fdsup://directions/FAT Viewer?action=UPDATE&amp;creator=factset&amp;DYN_ARGS=TRUE&amp;DOC_NAME=FAT:FQL_AUDITING_CLIENT_TEMPLATE.FAT&amp;display_string=Audit&amp;VAR:KEY=EZKRUFKFYD&amp;VAR:QUERY=KFBfUFJJQ0UoMzk2NDgpLShGRl9DQVNIX1NUKFFUUiwzOTY0OCkvUF9DT01fU0hTX09VVCgzOTY0OCkpKS9GR","V9FU1RJTUFURSgnRVBTJywnTUVBTicsJ0FOTlVBTF9ST0xMJywnKzEnLDM5NjQ4LCwsJycp&amp;WINDOW=FIRST_POPUP&amp;HEIGHT=450&amp;WIDTH=450&amp;START_MAXIMIZED=FALSE&amp;VAR:CALENDAR=US&amp;VAR:SYMBOL=38259P50&amp;VAR:INDEX=0"}</definedName>
    <definedName name="_3904__FDSAUDITLINK__">{"fdsup://directions/FAT Viewer?action=UPDATE&amp;creator=factset&amp;DYN_ARGS=TRUE&amp;DOC_NAME=FAT:FQL_AUDITING_CLIENT_TEMPLATE.FAT&amp;display_string=Audit&amp;VAR:KEY=EZKRUFKFYD&amp;VAR:QUERY=KFBfUFJJQ0UoMzk2NDgpLShGRl9DQVNIX1NUKFFUUiwzOTY0OCkvUF9DT01fU0hTX09VVCgzOTY0OCkpKS9GR","V9FU1RJTUFURSgnRVBTJywnTUVBTicsJ0FOTlVBTF9ST0xMJywnKzEnLDM5NjQ4LCwsJycp&amp;WINDOW=FIRST_POPUP&amp;HEIGHT=450&amp;WIDTH=450&amp;START_MAXIMIZED=FALSE&amp;VAR:CALENDAR=US&amp;VAR:SYMBOL=38259P50&amp;VAR:INDEX=0"}</definedName>
    <definedName name="_3905__FDSAUDITLINK__">{"fdsup://directions/FAT Viewer?action=UPDATE&amp;creator=factset&amp;DYN_ARGS=TRUE&amp;DOC_NAME=FAT:FQL_AUDITING_CLIENT_TEMPLATE.FAT&amp;display_string=Audit&amp;VAR:KEY=WPERAXKNUX&amp;VAR:QUERY=KFBfUFJJQ0UoMzk2NDcpLShGRl9DQVNIX1NUKFFUUiwzOTY0NykvUF9DT01fU0hTX09VVCgzOTY0NykpKS9GR","V9FU1RJTUFURSgnRVBTJywnTUVBTicsJ0FOTlVBTF9ST0xMJywnKzEnLDM5NjQ3LCwsJycp&amp;WINDOW=FIRST_POPUP&amp;HEIGHT=450&amp;WIDTH=450&amp;START_MAXIMIZED=FALSE&amp;VAR:CALENDAR=US&amp;VAR:SYMBOL=38259P50&amp;VAR:INDEX=0"}</definedName>
    <definedName name="_3906__FDSAUDITLINK__">{"fdsup://directions/FAT Viewer?action=UPDATE&amp;creator=factset&amp;DYN_ARGS=TRUE&amp;DOC_NAME=FAT:FQL_AUDITING_CLIENT_TEMPLATE.FAT&amp;display_string=Audit&amp;VAR:KEY=WPERAXKNUX&amp;VAR:QUERY=KFBfUFJJQ0UoMzk2NDcpLShGRl9DQVNIX1NUKFFUUiwzOTY0NykvUF9DT01fU0hTX09VVCgzOTY0NykpKS9GR","V9FU1RJTUFURSgnRVBTJywnTUVBTicsJ0FOTlVBTF9ST0xMJywnKzEnLDM5NjQ3LCwsJycp&amp;WINDOW=FIRST_POPUP&amp;HEIGHT=450&amp;WIDTH=450&amp;START_MAXIMIZED=FALSE&amp;VAR:CALENDAR=US&amp;VAR:SYMBOL=38259P50&amp;VAR:INDEX=0"}</definedName>
    <definedName name="_3907__FDSAUDITLINK__">{"fdsup://directions/FAT Viewer?action=UPDATE&amp;creator=factset&amp;DYN_ARGS=TRUE&amp;DOC_NAME=FAT:FQL_AUDITING_CLIENT_TEMPLATE.FAT&amp;display_string=Audit&amp;VAR:KEY=AHEBWPUZGF&amp;VAR:QUERY=KFBfUFJJQ0UoMzk2NDYpLShGRl9DQVNIX1NUKFFUUiwzOTY0NikvUF9DT01fU0hTX09VVCgzOTY0NikpKS9GR","V9FU1RJTUFURSgnRVBTJywnTUVBTicsJ0FOTlVBTF9ST0xMJywnKzEnLDM5NjQ2LCwsJycp&amp;WINDOW=FIRST_POPUP&amp;HEIGHT=450&amp;WIDTH=450&amp;START_MAXIMIZED=FALSE&amp;VAR:CALENDAR=US&amp;VAR:SYMBOL=38259P50&amp;VAR:INDEX=0"}</definedName>
    <definedName name="_3908__FDSAUDITLINK__">{"fdsup://directions/FAT Viewer?action=UPDATE&amp;creator=factset&amp;DYN_ARGS=TRUE&amp;DOC_NAME=FAT:FQL_AUDITING_CLIENT_TEMPLATE.FAT&amp;display_string=Audit&amp;VAR:KEY=AHEBWPUZGF&amp;VAR:QUERY=KFBfUFJJQ0UoMzk2NDYpLShGRl9DQVNIX1NUKFFUUiwzOTY0NikvUF9DT01fU0hTX09VVCgzOTY0NikpKS9GR","V9FU1RJTUFURSgnRVBTJywnTUVBTicsJ0FOTlVBTF9ST0xMJywnKzEnLDM5NjQ2LCwsJycp&amp;WINDOW=FIRST_POPUP&amp;HEIGHT=450&amp;WIDTH=450&amp;START_MAXIMIZED=FALSE&amp;VAR:CALENDAR=US&amp;VAR:SYMBOL=38259P50&amp;VAR:INDEX=0"}</definedName>
    <definedName name="_3909__FDSAUDITLINK__">{"fdsup://directions/FAT Viewer?action=UPDATE&amp;creator=factset&amp;DYN_ARGS=TRUE&amp;DOC_NAME=FAT:FQL_AUDITING_CLIENT_TEMPLATE.FAT&amp;display_string=Audit&amp;VAR:KEY=KPUNSXOHQZ&amp;VAR:QUERY=KFBfUFJJQ0UoMzk2NDUpLShGRl9DQVNIX1NUKFFUUiwzOTY0NSkvUF9DT01fU0hTX09VVCgzOTY0NSkpKS9GR","V9FU1RJTUFURSgnRVBTJywnTUVBTicsJ0FOTlVBTF9ST0xMJywnKzEnLDM5NjQ1LCwsJycp&amp;WINDOW=FIRST_POPUP&amp;HEIGHT=450&amp;WIDTH=450&amp;START_MAXIMIZED=FALSE&amp;VAR:CALENDAR=US&amp;VAR:SYMBOL=38259P50&amp;VAR:INDEX=0"}</definedName>
    <definedName name="_39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138"}</definedName>
    <definedName name="_3910__FDSAUDITLINK__">{"fdsup://directions/FAT Viewer?action=UPDATE&amp;creator=factset&amp;DYN_ARGS=TRUE&amp;DOC_NAME=FAT:FQL_AUDITING_CLIENT_TEMPLATE.FAT&amp;display_string=Audit&amp;VAR:KEY=KPUNSXOHQZ&amp;VAR:QUERY=KFBfUFJJQ0UoMzk2NDUpLShGRl9DQVNIX1NUKFFUUiwzOTY0NSkvUF9DT01fU0hTX09VVCgzOTY0NSkpKS9GR","V9FU1RJTUFURSgnRVBTJywnTUVBTicsJ0FOTlVBTF9ST0xMJywnKzEnLDM5NjQ1LCwsJycp&amp;WINDOW=FIRST_POPUP&amp;HEIGHT=450&amp;WIDTH=450&amp;START_MAXIMIZED=FALSE&amp;VAR:CALENDAR=US&amp;VAR:SYMBOL=38259P50&amp;VAR:INDEX=0"}</definedName>
    <definedName name="_3911__FDSAUDITLINK__">{"fdsup://directions/FAT Viewer?action=UPDATE&amp;creator=factset&amp;DYN_ARGS=TRUE&amp;DOC_NAME=FAT:FQL_AUDITING_CLIENT_TEMPLATE.FAT&amp;display_string=Audit&amp;VAR:KEY=MXWHAHCNEB&amp;VAR:QUERY=KFBfUFJJQ0UoMzk2NDQpLShGRl9DQVNIX1NUKFFUUiwzOTY0NCkvUF9DT01fU0hTX09VVCgzOTY0NCkpKS9GR","V9FU1RJTUFURSgnRVBTJywnTUVBTicsJ0FOTlVBTF9ST0xMJywnKzEnLDM5NjQ0LCwsJycp&amp;WINDOW=FIRST_POPUP&amp;HEIGHT=450&amp;WIDTH=450&amp;START_MAXIMIZED=FALSE&amp;VAR:CALENDAR=US&amp;VAR:SYMBOL=38259P50&amp;VAR:INDEX=0"}</definedName>
    <definedName name="_3912__FDSAUDITLINK__">{"fdsup://directions/FAT Viewer?action=UPDATE&amp;creator=factset&amp;DYN_ARGS=TRUE&amp;DOC_NAME=FAT:FQL_AUDITING_CLIENT_TEMPLATE.FAT&amp;display_string=Audit&amp;VAR:KEY=MXWHAHCNEB&amp;VAR:QUERY=KFBfUFJJQ0UoMzk2NDQpLShGRl9DQVNIX1NUKFFUUiwzOTY0NCkvUF9DT01fU0hTX09VVCgzOTY0NCkpKS9GR","V9FU1RJTUFURSgnRVBTJywnTUVBTicsJ0FOTlVBTF9ST0xMJywnKzEnLDM5NjQ0LCwsJycp&amp;WINDOW=FIRST_POPUP&amp;HEIGHT=450&amp;WIDTH=450&amp;START_MAXIMIZED=FALSE&amp;VAR:CALENDAR=US&amp;VAR:SYMBOL=38259P50&amp;VAR:INDEX=0"}</definedName>
    <definedName name="_3913__FDSAUDITLINK__">{"fdsup://directions/FAT Viewer?action=UPDATE&amp;creator=factset&amp;DYN_ARGS=TRUE&amp;DOC_NAME=FAT:FQL_AUDITING_CLIENT_TEMPLATE.FAT&amp;display_string=Audit&amp;VAR:KEY=CDQJYRABEF&amp;VAR:QUERY=KFBfUFJJQ0UoMzk2NDMpLShGRl9DQVNIX1NUKFFUUiwzOTY0MykvUF9DT01fU0hTX09VVCgzOTY0MykpKS9GR","V9FU1RJTUFURSgnRVBTJywnTUVBTicsJ0FOTlVBTF9ST0xMJywnKzEnLDM5NjQzLCwsJycp&amp;WINDOW=FIRST_POPUP&amp;HEIGHT=450&amp;WIDTH=450&amp;START_MAXIMIZED=FALSE&amp;VAR:CALENDAR=US&amp;VAR:SYMBOL=38259P50&amp;VAR:INDEX=0"}</definedName>
    <definedName name="_3914__FDSAUDITLINK__">{"fdsup://directions/FAT Viewer?action=UPDATE&amp;creator=factset&amp;DYN_ARGS=TRUE&amp;DOC_NAME=FAT:FQL_AUDITING_CLIENT_TEMPLATE.FAT&amp;display_string=Audit&amp;VAR:KEY=CDQJYRABEF&amp;VAR:QUERY=KFBfUFJJQ0UoMzk2NDMpLShGRl9DQVNIX1NUKFFUUiwzOTY0MykvUF9DT01fU0hTX09VVCgzOTY0MykpKS9GR","V9FU1RJTUFURSgnRVBTJywnTUVBTicsJ0FOTlVBTF9ST0xMJywnKzEnLDM5NjQzLCwsJycp&amp;WINDOW=FIRST_POPUP&amp;HEIGHT=450&amp;WIDTH=450&amp;START_MAXIMIZED=FALSE&amp;VAR:CALENDAR=US&amp;VAR:SYMBOL=38259P50&amp;VAR:INDEX=0"}</definedName>
    <definedName name="_3915__FDSAUDITLINK__">{"fdsup://directions/FAT Viewer?action=UPDATE&amp;creator=factset&amp;DYN_ARGS=TRUE&amp;DOC_NAME=FAT:FQL_AUDITING_CLIENT_TEMPLATE.FAT&amp;display_string=Audit&amp;VAR:KEY=SNCXYVSHCX&amp;VAR:QUERY=KFBfUFJJQ0UoMzk2NDIpLShGRl9DQVNIX1NUKFFUUiwzOTY0MikvUF9DT01fU0hTX09VVCgzOTY0MikpKS9GR","V9FU1RJTUFURSgnRVBTJywnTUVBTicsJ0FOTlVBTF9ST0xMJywnKzEnLDM5NjQyLCwsJycp&amp;WINDOW=FIRST_POPUP&amp;HEIGHT=450&amp;WIDTH=450&amp;START_MAXIMIZED=FALSE&amp;VAR:CALENDAR=US&amp;VAR:SYMBOL=38259P50&amp;VAR:INDEX=0"}</definedName>
    <definedName name="_3916__FDSAUDITLINK__">{"fdsup://directions/FAT Viewer?action=UPDATE&amp;creator=factset&amp;DYN_ARGS=TRUE&amp;DOC_NAME=FAT:FQL_AUDITING_CLIENT_TEMPLATE.FAT&amp;display_string=Audit&amp;VAR:KEY=SNCXYVSHCX&amp;VAR:QUERY=KFBfUFJJQ0UoMzk2NDIpLShGRl9DQVNIX1NUKFFUUiwzOTY0MikvUF9DT01fU0hTX09VVCgzOTY0MikpKS9GR","V9FU1RJTUFURSgnRVBTJywnTUVBTicsJ0FOTlVBTF9ST0xMJywnKzEnLDM5NjQyLCwsJycp&amp;WINDOW=FIRST_POPUP&amp;HEIGHT=450&amp;WIDTH=450&amp;START_MAXIMIZED=FALSE&amp;VAR:CALENDAR=US&amp;VAR:SYMBOL=38259P50&amp;VAR:INDEX=0"}</definedName>
    <definedName name="_3917__FDSAUDITLINK__">{"fdsup://directions/FAT Viewer?action=UPDATE&amp;creator=factset&amp;DYN_ARGS=TRUE&amp;DOC_NAME=FAT:FQL_AUDITING_CLIENT_TEMPLATE.FAT&amp;display_string=Audit&amp;VAR:KEY=KJKFCTQXIR&amp;VAR:QUERY=KFBfUFJJQ0UoMzk2NDEpLShGRl9DQVNIX1NUKFFUUiwzOTY0MSkvUF9DT01fU0hTX09VVCgzOTY0MSkpKS9GR","V9FU1RJTUFURSgnRVBTJywnTUVBTicsJ0FOTlVBTF9ST0xMJywnKzEnLDM5NjQxLCwsJycp&amp;WINDOW=FIRST_POPUP&amp;HEIGHT=450&amp;WIDTH=450&amp;START_MAXIMIZED=FALSE&amp;VAR:CALENDAR=US&amp;VAR:SYMBOL=38259P50&amp;VAR:INDEX=0"}</definedName>
    <definedName name="_3918__FDSAUDITLINK__">{"fdsup://directions/FAT Viewer?action=UPDATE&amp;creator=factset&amp;DYN_ARGS=TRUE&amp;DOC_NAME=FAT:FQL_AUDITING_CLIENT_TEMPLATE.FAT&amp;display_string=Audit&amp;VAR:KEY=KJKFCTQXIR&amp;VAR:QUERY=KFBfUFJJQ0UoMzk2NDEpLShGRl9DQVNIX1NUKFFUUiwzOTY0MSkvUF9DT01fU0hTX09VVCgzOTY0MSkpKS9GR","V9FU1RJTUFURSgnRVBTJywnTUVBTicsJ0FOTlVBTF9ST0xMJywnKzEnLDM5NjQxLCwsJycp&amp;WINDOW=FIRST_POPUP&amp;HEIGHT=450&amp;WIDTH=450&amp;START_MAXIMIZED=FALSE&amp;VAR:CALENDAR=US&amp;VAR:SYMBOL=38259P50&amp;VAR:INDEX=0"}</definedName>
    <definedName name="_3919__FDSAUDITLINK__">{"fdsup://directions/FAT Viewer?action=UPDATE&amp;creator=factset&amp;DYN_ARGS=TRUE&amp;DOC_NAME=FAT:FQL_AUDITING_CLIENT_TEMPLATE.FAT&amp;display_string=Audit&amp;VAR:KEY=UNIBCFYLUD&amp;VAR:QUERY=KFBfUFJJQ0UoMzk2NDApLShGRl9DQVNIX1NUKFFUUiwzOTY0MCkvUF9DT01fU0hTX09VVCgzOTY0MCkpKS9GR","V9FU1RJTUFURSgnRVBTJywnTUVBTicsJ0FOTlVBTF9ST0xMJywnKzEnLDM5NjQwLCwsJycp&amp;WINDOW=FIRST_POPUP&amp;HEIGHT=450&amp;WIDTH=450&amp;START_MAXIMIZED=FALSE&amp;VAR:CALENDAR=US&amp;VAR:SYMBOL=38259P50&amp;VAR:INDEX=0"}</definedName>
    <definedName name="_39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137"}</definedName>
    <definedName name="_3920__FDSAUDITLINK__">{"fdsup://directions/FAT Viewer?action=UPDATE&amp;creator=factset&amp;DYN_ARGS=TRUE&amp;DOC_NAME=FAT:FQL_AUDITING_CLIENT_TEMPLATE.FAT&amp;display_string=Audit&amp;VAR:KEY=UNIBCFYLUD&amp;VAR:QUERY=KFBfUFJJQ0UoMzk2NDApLShGRl9DQVNIX1NUKFFUUiwzOTY0MCkvUF9DT01fU0hTX09VVCgzOTY0MCkpKS9GR","V9FU1RJTUFURSgnRVBTJywnTUVBTicsJ0FOTlVBTF9ST0xMJywnKzEnLDM5NjQwLCwsJycp&amp;WINDOW=FIRST_POPUP&amp;HEIGHT=450&amp;WIDTH=450&amp;START_MAXIMIZED=FALSE&amp;VAR:CALENDAR=US&amp;VAR:SYMBOL=38259P50&amp;VAR:INDEX=0"}</definedName>
    <definedName name="_3921__FDSAUDITLINK__">{"fdsup://directions/FAT Viewer?action=UPDATE&amp;creator=factset&amp;DYN_ARGS=TRUE&amp;DOC_NAME=FAT:FQL_AUDITING_CLIENT_TEMPLATE.FAT&amp;display_string=Audit&amp;VAR:KEY=MXQJWHGXQB&amp;VAR:QUERY=KFBfUFJJQ0UoMzk2MzkpLShGRl9DQVNIX1NUKFFUUiwzOTYzOSkvUF9DT01fU0hTX09VVCgzOTYzOSkpKS9GR","V9FU1RJTUFURSgnRVBTJywnTUVBTicsJ0FOTlVBTF9ST0xMJywnKzEnLDM5NjM5LCwsJycp&amp;WINDOW=FIRST_POPUP&amp;HEIGHT=450&amp;WIDTH=450&amp;START_MAXIMIZED=FALSE&amp;VAR:CALENDAR=US&amp;VAR:SYMBOL=38259P50&amp;VAR:INDEX=0"}</definedName>
    <definedName name="_3922__FDSAUDITLINK__">{"fdsup://directions/FAT Viewer?action=UPDATE&amp;creator=factset&amp;DYN_ARGS=TRUE&amp;DOC_NAME=FAT:FQL_AUDITING_CLIENT_TEMPLATE.FAT&amp;display_string=Audit&amp;VAR:KEY=MXQJWHGXQB&amp;VAR:QUERY=KFBfUFJJQ0UoMzk2MzkpLShGRl9DQVNIX1NUKFFUUiwzOTYzOSkvUF9DT01fU0hTX09VVCgzOTYzOSkpKS9GR","V9FU1RJTUFURSgnRVBTJywnTUVBTicsJ0FOTlVBTF9ST0xMJywnKzEnLDM5NjM5LCwsJycp&amp;WINDOW=FIRST_POPUP&amp;HEIGHT=450&amp;WIDTH=450&amp;START_MAXIMIZED=FALSE&amp;VAR:CALENDAR=US&amp;VAR:SYMBOL=38259P50&amp;VAR:INDEX=0"}</definedName>
    <definedName name="_3923__FDSAUDITLINK__">{"fdsup://directions/FAT Viewer?action=UPDATE&amp;creator=factset&amp;DYN_ARGS=TRUE&amp;DOC_NAME=FAT:FQL_AUDITING_CLIENT_TEMPLATE.FAT&amp;display_string=Audit&amp;VAR:KEY=QNKBQZUPUB&amp;VAR:QUERY=KFBfUFJJQ0UoMzk2MzgpLShGRl9DQVNIX1NUKFFUUiwzOTYzOCkvUF9DT01fU0hTX09VVCgzOTYzOCkpKS9GR","V9FU1RJTUFURSgnRVBTJywnTUVBTicsJ0FOTlVBTF9ST0xMJywnKzEnLDM5NjM4LCwsJycp&amp;WINDOW=FIRST_POPUP&amp;HEIGHT=450&amp;WIDTH=450&amp;START_MAXIMIZED=FALSE&amp;VAR:CALENDAR=US&amp;VAR:SYMBOL=38259P50&amp;VAR:INDEX=0"}</definedName>
    <definedName name="_3924__FDSAUDITLINK__">{"fdsup://directions/FAT Viewer?action=UPDATE&amp;creator=factset&amp;DYN_ARGS=TRUE&amp;DOC_NAME=FAT:FQL_AUDITING_CLIENT_TEMPLATE.FAT&amp;display_string=Audit&amp;VAR:KEY=QNKBQZUPUB&amp;VAR:QUERY=KFBfUFJJQ0UoMzk2MzgpLShGRl9DQVNIX1NUKFFUUiwzOTYzOCkvUF9DT01fU0hTX09VVCgzOTYzOCkpKS9GR","V9FU1RJTUFURSgnRVBTJywnTUVBTicsJ0FOTlVBTF9ST0xMJywnKzEnLDM5NjM4LCwsJycp&amp;WINDOW=FIRST_POPUP&amp;HEIGHT=450&amp;WIDTH=450&amp;START_MAXIMIZED=FALSE&amp;VAR:CALENDAR=US&amp;VAR:SYMBOL=38259P50&amp;VAR:INDEX=0"}</definedName>
    <definedName name="_3925__FDSAUDITLINK__">{"fdsup://directions/FAT Viewer?action=UPDATE&amp;creator=factset&amp;DYN_ARGS=TRUE&amp;DOC_NAME=FAT:FQL_AUDITING_CLIENT_TEMPLATE.FAT&amp;display_string=Audit&amp;VAR:KEY=WJWFINEXOL&amp;VAR:QUERY=KFBfUFJJQ0UoMzk2MzcpLShGRl9DQVNIX1NUKFFUUiwzOTYzNykvUF9DT01fU0hTX09VVCgzOTYzNykpKS9GR","V9FU1RJTUFURSgnRVBTJywnTUVBTicsJ0FOTlVBTF9ST0xMJywnKzEnLDM5NjM3LCwsJycp&amp;WINDOW=FIRST_POPUP&amp;HEIGHT=450&amp;WIDTH=450&amp;START_MAXIMIZED=FALSE&amp;VAR:CALENDAR=US&amp;VAR:SYMBOL=38259P50&amp;VAR:INDEX=0"}</definedName>
    <definedName name="_3926__FDSAUDITLINK__">{"fdsup://directions/FAT Viewer?action=UPDATE&amp;creator=factset&amp;DYN_ARGS=TRUE&amp;DOC_NAME=FAT:FQL_AUDITING_CLIENT_TEMPLATE.FAT&amp;display_string=Audit&amp;VAR:KEY=WJWFINEXOL&amp;VAR:QUERY=KFBfUFJJQ0UoMzk2MzcpLShGRl9DQVNIX1NUKFFUUiwzOTYzNykvUF9DT01fU0hTX09VVCgzOTYzNykpKS9GR","V9FU1RJTUFURSgnRVBTJywnTUVBTicsJ0FOTlVBTF9ST0xMJywnKzEnLDM5NjM3LCwsJycp&amp;WINDOW=FIRST_POPUP&amp;HEIGHT=450&amp;WIDTH=450&amp;START_MAXIMIZED=FALSE&amp;VAR:CALENDAR=US&amp;VAR:SYMBOL=38259P50&amp;VAR:INDEX=0"}</definedName>
    <definedName name="_3927__FDSAUDITLINK__">{"fdsup://directions/FAT Viewer?action=UPDATE&amp;creator=factset&amp;DYN_ARGS=TRUE&amp;DOC_NAME=FAT:FQL_AUDITING_CLIENT_TEMPLATE.FAT&amp;display_string=Audit&amp;VAR:KEY=OROLSHETCV&amp;VAR:QUERY=KFBfUFJJQ0UoMzk2MzYpLShGRl9DQVNIX1NUKFFUUiwzOTYzNikvUF9DT01fU0hTX09VVCgzOTYzNikpKS9GR","V9FU1RJTUFURSgnRVBTJywnTUVBTicsJ0FOTlVBTF9ST0xMJywnKzEnLDM5NjM2LCwsJycp&amp;WINDOW=FIRST_POPUP&amp;HEIGHT=450&amp;WIDTH=450&amp;START_MAXIMIZED=FALSE&amp;VAR:CALENDAR=US&amp;VAR:SYMBOL=38259P50&amp;VAR:INDEX=0"}</definedName>
    <definedName name="_3928__FDSAUDITLINK__">{"fdsup://directions/FAT Viewer?action=UPDATE&amp;creator=factset&amp;DYN_ARGS=TRUE&amp;DOC_NAME=FAT:FQL_AUDITING_CLIENT_TEMPLATE.FAT&amp;display_string=Audit&amp;VAR:KEY=OROLSHETCV&amp;VAR:QUERY=KFBfUFJJQ0UoMzk2MzYpLShGRl9DQVNIX1NUKFFUUiwzOTYzNikvUF9DT01fU0hTX09VVCgzOTYzNikpKS9GR","V9FU1RJTUFURSgnRVBTJywnTUVBTicsJ0FOTlVBTF9ST0xMJywnKzEnLDM5NjM2LCwsJycp&amp;WINDOW=FIRST_POPUP&amp;HEIGHT=450&amp;WIDTH=450&amp;START_MAXIMIZED=FALSE&amp;VAR:CALENDAR=US&amp;VAR:SYMBOL=38259P50&amp;VAR:INDEX=0"}</definedName>
    <definedName name="_3929__FDSAUDITLINK__">{"fdsup://directions/FAT Viewer?action=UPDATE&amp;creator=factset&amp;DYN_ARGS=TRUE&amp;DOC_NAME=FAT:FQL_AUDITING_CLIENT_TEMPLATE.FAT&amp;display_string=Audit&amp;VAR:KEY=KVCFQDMLKT&amp;VAR:QUERY=KFBfUFJJQ0UoMzk2MzUpLShGRl9DQVNIX1NUKFFUUiwzOTYzNSkvUF9DT01fU0hTX09VVCgzOTYzNSkpKS9GR","V9FU1RJTUFURSgnRVBTJywnTUVBTicsJ0FOTlVBTF9ST0xMJywnKzEnLDM5NjM1LCwsJycp&amp;WINDOW=FIRST_POPUP&amp;HEIGHT=450&amp;WIDTH=450&amp;START_MAXIMIZED=FALSE&amp;VAR:CALENDAR=US&amp;VAR:SYMBOL=38259P50&amp;VAR:INDEX=0"}</definedName>
    <definedName name="_39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136"}</definedName>
    <definedName name="_3930__FDSAUDITLINK__">{"fdsup://directions/FAT Viewer?action=UPDATE&amp;creator=factset&amp;DYN_ARGS=TRUE&amp;DOC_NAME=FAT:FQL_AUDITING_CLIENT_TEMPLATE.FAT&amp;display_string=Audit&amp;VAR:KEY=KVCFQDMLKT&amp;VAR:QUERY=KFBfUFJJQ0UoMzk2MzUpLShGRl9DQVNIX1NUKFFUUiwzOTYzNSkvUF9DT01fU0hTX09VVCgzOTYzNSkpKS9GR","V9FU1RJTUFURSgnRVBTJywnTUVBTicsJ0FOTlVBTF9ST0xMJywnKzEnLDM5NjM1LCwsJycp&amp;WINDOW=FIRST_POPUP&amp;HEIGHT=450&amp;WIDTH=450&amp;START_MAXIMIZED=FALSE&amp;VAR:CALENDAR=US&amp;VAR:SYMBOL=38259P50&amp;VAR:INDEX=0"}</definedName>
    <definedName name="_3931__FDSAUDITLINK__">{"fdsup://directions/FAT Viewer?action=UPDATE&amp;creator=factset&amp;DYN_ARGS=TRUE&amp;DOC_NAME=FAT:FQL_AUDITING_CLIENT_TEMPLATE.FAT&amp;display_string=Audit&amp;VAR:KEY=EPYDOPUXUL&amp;VAR:QUERY=KFBfUFJJQ0UoMzk2MzQpLShGRl9DQVNIX1NUKFFUUiwzOTYzNCkvUF9DT01fU0hTX09VVCgzOTYzNCkpKS9GR","V9FU1RJTUFURSgnRVBTJywnTUVBTicsJ0FOTlVBTF9ST0xMJywnKzEnLDM5NjM0LCwsJycp&amp;WINDOW=FIRST_POPUP&amp;HEIGHT=450&amp;WIDTH=450&amp;START_MAXIMIZED=FALSE&amp;VAR:CALENDAR=US&amp;VAR:SYMBOL=38259P50&amp;VAR:INDEX=0"}</definedName>
    <definedName name="_3932__FDSAUDITLINK__">{"fdsup://directions/FAT Viewer?action=UPDATE&amp;creator=factset&amp;DYN_ARGS=TRUE&amp;DOC_NAME=FAT:FQL_AUDITING_CLIENT_TEMPLATE.FAT&amp;display_string=Audit&amp;VAR:KEY=EPYDOPUXUL&amp;VAR:QUERY=KFBfUFJJQ0UoMzk2MzQpLShGRl9DQVNIX1NUKFFUUiwzOTYzNCkvUF9DT01fU0hTX09VVCgzOTYzNCkpKS9GR","V9FU1RJTUFURSgnRVBTJywnTUVBTicsJ0FOTlVBTF9ST0xMJywnKzEnLDM5NjM0LCwsJycp&amp;WINDOW=FIRST_POPUP&amp;HEIGHT=450&amp;WIDTH=450&amp;START_MAXIMIZED=FALSE&amp;VAR:CALENDAR=US&amp;VAR:SYMBOL=38259P50&amp;VAR:INDEX=0"}</definedName>
    <definedName name="_3933__FDSAUDITLINK__">{"fdsup://directions/FAT Viewer?action=UPDATE&amp;creator=factset&amp;DYN_ARGS=TRUE&amp;DOC_NAME=FAT:FQL_AUDITING_CLIENT_TEMPLATE.FAT&amp;display_string=Audit&amp;VAR:KEY=IVQDORKJIX&amp;VAR:QUERY=KFBfUFJJQ0UoMzk2MzMpLShGRl9DQVNIX1NUKFFUUiwzOTYzMykvUF9DT01fU0hTX09VVCgzOTYzMykpKS9GR","V9FU1RJTUFURSgnRVBTJywnTUVBTicsJ0FOTlVBTF9ST0xMJywnKzEnLDM5NjMzLCwsJycp&amp;WINDOW=FIRST_POPUP&amp;HEIGHT=450&amp;WIDTH=450&amp;START_MAXIMIZED=FALSE&amp;VAR:CALENDAR=US&amp;VAR:SYMBOL=38259P50&amp;VAR:INDEX=0"}</definedName>
    <definedName name="_3934__FDSAUDITLINK__">{"fdsup://directions/FAT Viewer?action=UPDATE&amp;creator=factset&amp;DYN_ARGS=TRUE&amp;DOC_NAME=FAT:FQL_AUDITING_CLIENT_TEMPLATE.FAT&amp;display_string=Audit&amp;VAR:KEY=IVQDORKJIX&amp;VAR:QUERY=KFBfUFJJQ0UoMzk2MzMpLShGRl9DQVNIX1NUKFFUUiwzOTYzMykvUF9DT01fU0hTX09VVCgzOTYzMykpKS9GR","V9FU1RJTUFURSgnRVBTJywnTUVBTicsJ0FOTlVBTF9ST0xMJywnKzEnLDM5NjMzLCwsJycp&amp;WINDOW=FIRST_POPUP&amp;HEIGHT=450&amp;WIDTH=450&amp;START_MAXIMIZED=FALSE&amp;VAR:CALENDAR=US&amp;VAR:SYMBOL=38259P50&amp;VAR:INDEX=0"}</definedName>
    <definedName name="_3935__FDSAUDITLINK__">{"fdsup://directions/FAT Viewer?action=UPDATE&amp;creator=factset&amp;DYN_ARGS=TRUE&amp;DOC_NAME=FAT:FQL_AUDITING_CLIENT_TEMPLATE.FAT&amp;display_string=Audit&amp;VAR:KEY=CPCTCBABYR&amp;VAR:QUERY=KFBfUFJJQ0UoMzk2MzIpLShGRl9DQVNIX1NUKFFUUiwzOTYzMikvUF9DT01fU0hTX09VVCgzOTYzMikpKS9GR","V9FU1RJTUFURSgnRVBTJywnTUVBTicsJ0FOTlVBTF9ST0xMJywnKzEnLDM5NjMyLCwsJycp&amp;WINDOW=FIRST_POPUP&amp;HEIGHT=450&amp;WIDTH=450&amp;START_MAXIMIZED=FALSE&amp;VAR:CALENDAR=US&amp;VAR:SYMBOL=38259P50&amp;VAR:INDEX=0"}</definedName>
    <definedName name="_3936__FDSAUDITLINK__">{"fdsup://directions/FAT Viewer?action=UPDATE&amp;creator=factset&amp;DYN_ARGS=TRUE&amp;DOC_NAME=FAT:FQL_AUDITING_CLIENT_TEMPLATE.FAT&amp;display_string=Audit&amp;VAR:KEY=CPCTCBABYR&amp;VAR:QUERY=KFBfUFJJQ0UoMzk2MzIpLShGRl9DQVNIX1NUKFFUUiwzOTYzMikvUF9DT01fU0hTX09VVCgzOTYzMikpKS9GR","V9FU1RJTUFURSgnRVBTJywnTUVBTicsJ0FOTlVBTF9ST0xMJywnKzEnLDM5NjMyLCwsJycp&amp;WINDOW=FIRST_POPUP&amp;HEIGHT=450&amp;WIDTH=450&amp;START_MAXIMIZED=FALSE&amp;VAR:CALENDAR=US&amp;VAR:SYMBOL=38259P50&amp;VAR:INDEX=0"}</definedName>
    <definedName name="_3937__FDSAUDITLINK__">{"fdsup://directions/FAT Viewer?action=UPDATE&amp;creator=factset&amp;DYN_ARGS=TRUE&amp;DOC_NAME=FAT:FQL_AUDITING_CLIENT_TEMPLATE.FAT&amp;display_string=Audit&amp;VAR:KEY=CZEJIPMLKZ&amp;VAR:QUERY=KFBfUFJJQ0UoMzk2MzEpLShGRl9DQVNIX1NUKFFUUiwzOTYzMSkvUF9DT01fU0hTX09VVCgzOTYzMSkpKS9GR","V9FU1RJTUFURSgnRVBTJywnTUVBTicsJ0FOTlVBTF9ST0xMJywnKzEnLDM5NjMxLCwsJycp&amp;WINDOW=FIRST_POPUP&amp;HEIGHT=450&amp;WIDTH=450&amp;START_MAXIMIZED=FALSE&amp;VAR:CALENDAR=US&amp;VAR:SYMBOL=38259P50&amp;VAR:INDEX=0"}</definedName>
    <definedName name="_3938__FDSAUDITLINK__">{"fdsup://directions/FAT Viewer?action=UPDATE&amp;creator=factset&amp;DYN_ARGS=TRUE&amp;DOC_NAME=FAT:FQL_AUDITING_CLIENT_TEMPLATE.FAT&amp;display_string=Audit&amp;VAR:KEY=CZEJIPMLKZ&amp;VAR:QUERY=KFBfUFJJQ0UoMzk2MzEpLShGRl9DQVNIX1NUKFFUUiwzOTYzMSkvUF9DT01fU0hTX09VVCgzOTYzMSkpKS9GR","V9FU1RJTUFURSgnRVBTJywnTUVBTicsJ0FOTlVBTF9ST0xMJywnKzEnLDM5NjMxLCwsJycp&amp;WINDOW=FIRST_POPUP&amp;HEIGHT=450&amp;WIDTH=450&amp;START_MAXIMIZED=FALSE&amp;VAR:CALENDAR=US&amp;VAR:SYMBOL=38259P50&amp;VAR:INDEX=0"}</definedName>
    <definedName name="_3939__FDSAUDITLINK__">{"fdsup://directions/FAT Viewer?action=UPDATE&amp;creator=factset&amp;DYN_ARGS=TRUE&amp;DOC_NAME=FAT:FQL_AUDITING_CLIENT_TEMPLATE.FAT&amp;display_string=Audit&amp;VAR:KEY=EVGVCVEZKT&amp;VAR:QUERY=KFBfUFJJQ0UoMzk2MzApLShGRl9DQVNIX1NUKFFUUiwzOTYzMCkvUF9DT01fU0hTX09VVCgzOTYzMCkpKS9GR","V9FU1RJTUFURSgnRVBTJywnTUVBTicsJ0FOTlVBTF9ST0xMJywnKzEnLDM5NjMwLCwsJycp&amp;WINDOW=FIRST_POPUP&amp;HEIGHT=450&amp;WIDTH=450&amp;START_MAXIMIZED=FALSE&amp;VAR:CALENDAR=US&amp;VAR:SYMBOL=38259P50&amp;VAR:INDEX=0"}</definedName>
    <definedName name="_39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135"}</definedName>
    <definedName name="_3940__FDSAUDITLINK__">{"fdsup://directions/FAT Viewer?action=UPDATE&amp;creator=factset&amp;DYN_ARGS=TRUE&amp;DOC_NAME=FAT:FQL_AUDITING_CLIENT_TEMPLATE.FAT&amp;display_string=Audit&amp;VAR:KEY=EVGVCVEZKT&amp;VAR:QUERY=KFBfUFJJQ0UoMzk2MzApLShGRl9DQVNIX1NUKFFUUiwzOTYzMCkvUF9DT01fU0hTX09VVCgzOTYzMCkpKS9GR","V9FU1RJTUFURSgnRVBTJywnTUVBTicsJ0FOTlVBTF9ST0xMJywnKzEnLDM5NjMwLCwsJycp&amp;WINDOW=FIRST_POPUP&amp;HEIGHT=450&amp;WIDTH=450&amp;START_MAXIMIZED=FALSE&amp;VAR:CALENDAR=US&amp;VAR:SYMBOL=38259P50&amp;VAR:INDEX=0"}</definedName>
    <definedName name="_3941__FDSAUDITLINK__">{"fdsup://directions/FAT Viewer?action=UPDATE&amp;creator=factset&amp;DYN_ARGS=TRUE&amp;DOC_NAME=FAT:FQL_AUDITING_CLIENT_TEMPLATE.FAT&amp;display_string=Audit&amp;VAR:KEY=YTABORWZEV&amp;VAR:QUERY=KFBfUFJJQ0UoMzk2MjkpLShGRl9DQVNIX1NUKFFUUiwzOTYyOSkvUF9DT01fU0hTX09VVCgzOTYyOSkpKS9GR","V9FU1RJTUFURSgnRVBTJywnTUVBTicsJ0FOTlVBTF9ST0xMJywnKzEnLDM5NjI5LCwsJycp&amp;WINDOW=FIRST_POPUP&amp;HEIGHT=450&amp;WIDTH=450&amp;START_MAXIMIZED=FALSE&amp;VAR:CALENDAR=US&amp;VAR:SYMBOL=38259P50&amp;VAR:INDEX=0"}</definedName>
    <definedName name="_3942__FDSAUDITLINK__">{"fdsup://directions/FAT Viewer?action=UPDATE&amp;creator=factset&amp;DYN_ARGS=TRUE&amp;DOC_NAME=FAT:FQL_AUDITING_CLIENT_TEMPLATE.FAT&amp;display_string=Audit&amp;VAR:KEY=YTABORWZEV&amp;VAR:QUERY=KFBfUFJJQ0UoMzk2MjkpLShGRl9DQVNIX1NUKFFUUiwzOTYyOSkvUF9DT01fU0hTX09VVCgzOTYyOSkpKS9GR","V9FU1RJTUFURSgnRVBTJywnTUVBTicsJ0FOTlVBTF9ST0xMJywnKzEnLDM5NjI5LCwsJycp&amp;WINDOW=FIRST_POPUP&amp;HEIGHT=450&amp;WIDTH=450&amp;START_MAXIMIZED=FALSE&amp;VAR:CALENDAR=US&amp;VAR:SYMBOL=38259P50&amp;VAR:INDEX=0"}</definedName>
    <definedName name="_3943__FDSAUDITLINK__">{"fdsup://directions/FAT Viewer?action=UPDATE&amp;creator=factset&amp;DYN_ARGS=TRUE&amp;DOC_NAME=FAT:FQL_AUDITING_CLIENT_TEMPLATE.FAT&amp;display_string=Audit&amp;VAR:KEY=IZCDQJEBGZ&amp;VAR:QUERY=KFBfUFJJQ0UoMzk2MjgpLShGRl9DQVNIX1NUKFFUUiwzOTYyOCkvUF9DT01fU0hTX09VVCgzOTYyOCkpKS9GR","V9FU1RJTUFURSgnRVBTJywnTUVBTicsJ0FOTlVBTF9ST0xMJywnKzEnLDM5NjI4LCwsJycp&amp;WINDOW=FIRST_POPUP&amp;HEIGHT=450&amp;WIDTH=450&amp;START_MAXIMIZED=FALSE&amp;VAR:CALENDAR=US&amp;VAR:SYMBOL=38259P50&amp;VAR:INDEX=0"}</definedName>
    <definedName name="_3944__FDSAUDITLINK__">{"fdsup://directions/FAT Viewer?action=UPDATE&amp;creator=factset&amp;DYN_ARGS=TRUE&amp;DOC_NAME=FAT:FQL_AUDITING_CLIENT_TEMPLATE.FAT&amp;display_string=Audit&amp;VAR:KEY=IZCDQJEBGZ&amp;VAR:QUERY=KFBfUFJJQ0UoMzk2MjgpLShGRl9DQVNIX1NUKFFUUiwzOTYyOCkvUF9DT01fU0hTX09VVCgzOTYyOCkpKS9GR","V9FU1RJTUFURSgnRVBTJywnTUVBTicsJ0FOTlVBTF9ST0xMJywnKzEnLDM5NjI4LCwsJycp&amp;WINDOW=FIRST_POPUP&amp;HEIGHT=450&amp;WIDTH=450&amp;START_MAXIMIZED=FALSE&amp;VAR:CALENDAR=US&amp;VAR:SYMBOL=38259P50&amp;VAR:INDEX=0"}</definedName>
    <definedName name="_3945__FDSAUDITLINK__">{"fdsup://directions/FAT Viewer?action=UPDATE&amp;creator=factset&amp;DYN_ARGS=TRUE&amp;DOC_NAME=FAT:FQL_AUDITING_CLIENT_TEMPLATE.FAT&amp;display_string=Audit&amp;VAR:KEY=QTATCZIPAV&amp;VAR:QUERY=KFBfUFJJQ0UoMzk2MjcpLShGRl9DQVNIX1NUKFFUUiwzOTYyNykvUF9DT01fU0hTX09VVCgzOTYyNykpKS9GR","V9FU1RJTUFURSgnRVBTJywnTUVBTicsJ0FOTlVBTF9ST0xMJywnKzEnLDM5NjI3LCwsJycp&amp;WINDOW=FIRST_POPUP&amp;HEIGHT=450&amp;WIDTH=450&amp;START_MAXIMIZED=FALSE&amp;VAR:CALENDAR=US&amp;VAR:SYMBOL=38259P50&amp;VAR:INDEX=0"}</definedName>
    <definedName name="_3946__FDSAUDITLINK__">{"fdsup://directions/FAT Viewer?action=UPDATE&amp;creator=factset&amp;DYN_ARGS=TRUE&amp;DOC_NAME=FAT:FQL_AUDITING_CLIENT_TEMPLATE.FAT&amp;display_string=Audit&amp;VAR:KEY=QTATCZIPAV&amp;VAR:QUERY=KFBfUFJJQ0UoMzk2MjcpLShGRl9DQVNIX1NUKFFUUiwzOTYyNykvUF9DT01fU0hTX09VVCgzOTYyNykpKS9GR","V9FU1RJTUFURSgnRVBTJywnTUVBTicsJ0FOTlVBTF9ST0xMJywnKzEnLDM5NjI3LCwsJycp&amp;WINDOW=FIRST_POPUP&amp;HEIGHT=450&amp;WIDTH=450&amp;START_MAXIMIZED=FALSE&amp;VAR:CALENDAR=US&amp;VAR:SYMBOL=38259P50&amp;VAR:INDEX=0"}</definedName>
    <definedName name="_3947__FDSAUDITLINK__">{"fdsup://directions/FAT Viewer?action=UPDATE&amp;creator=factset&amp;DYN_ARGS=TRUE&amp;DOC_NAME=FAT:FQL_AUDITING_CLIENT_TEMPLATE.FAT&amp;display_string=Audit&amp;VAR:KEY=MVIVOTWJUJ&amp;VAR:QUERY=KFBfUFJJQ0UoMzk2MjYpLShGRl9DQVNIX1NUKFFUUiwzOTYyNikvUF9DT01fU0hTX09VVCgzOTYyNikpKS9GR","V9FU1RJTUFURSgnRVBTJywnTUVBTicsJ0FOTlVBTF9ST0xMJywnKzEnLDM5NjI2LCwsJycp&amp;WINDOW=FIRST_POPUP&amp;HEIGHT=450&amp;WIDTH=450&amp;START_MAXIMIZED=FALSE&amp;VAR:CALENDAR=US&amp;VAR:SYMBOL=38259P50&amp;VAR:INDEX=0"}</definedName>
    <definedName name="_3948__FDSAUDITLINK__">{"fdsup://directions/FAT Viewer?action=UPDATE&amp;creator=factset&amp;DYN_ARGS=TRUE&amp;DOC_NAME=FAT:FQL_AUDITING_CLIENT_TEMPLATE.FAT&amp;display_string=Audit&amp;VAR:KEY=MVIVOTWJUJ&amp;VAR:QUERY=KFBfUFJJQ0UoMzk2MjYpLShGRl9DQVNIX1NUKFFUUiwzOTYyNikvUF9DT01fU0hTX09VVCgzOTYyNikpKS9GR","V9FU1RJTUFURSgnRVBTJywnTUVBTicsJ0FOTlVBTF9ST0xMJywnKzEnLDM5NjI2LCwsJycp&amp;WINDOW=FIRST_POPUP&amp;HEIGHT=450&amp;WIDTH=450&amp;START_MAXIMIZED=FALSE&amp;VAR:CALENDAR=US&amp;VAR:SYMBOL=38259P50&amp;VAR:INDEX=0"}</definedName>
    <definedName name="_3949__FDSAUDITLINK__">{"fdsup://directions/FAT Viewer?action=UPDATE&amp;creator=factset&amp;DYN_ARGS=TRUE&amp;DOC_NAME=FAT:FQL_AUDITING_CLIENT_TEMPLATE.FAT&amp;display_string=Audit&amp;VAR:KEY=ERGPGBAFCN&amp;VAR:QUERY=KFBfUFJJQ0UoMzk2MjUpLShGRl9DQVNIX1NUKFFUUiwzOTYyNSkvUF9DT01fU0hTX09VVCgzOTYyNSkpKS9GR","V9FU1RJTUFURSgnRVBTJywnTUVBTicsJ0FOTlVBTF9ST0xMJywnKzEnLDM5NjI1LCwsJycp&amp;WINDOW=FIRST_POPUP&amp;HEIGHT=450&amp;WIDTH=450&amp;START_MAXIMIZED=FALSE&amp;VAR:CALENDAR=US&amp;VAR:SYMBOL=38259P50&amp;VAR:INDEX=0"}</definedName>
    <definedName name="_39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134"}</definedName>
    <definedName name="_3950__FDSAUDITLINK__">{"fdsup://directions/FAT Viewer?action=UPDATE&amp;creator=factset&amp;DYN_ARGS=TRUE&amp;DOC_NAME=FAT:FQL_AUDITING_CLIENT_TEMPLATE.FAT&amp;display_string=Audit&amp;VAR:KEY=ERGPGBAFCN&amp;VAR:QUERY=KFBfUFJJQ0UoMzk2MjUpLShGRl9DQVNIX1NUKFFUUiwzOTYyNSkvUF9DT01fU0hTX09VVCgzOTYyNSkpKS9GR","V9FU1RJTUFURSgnRVBTJywnTUVBTicsJ0FOTlVBTF9ST0xMJywnKzEnLDM5NjI1LCwsJycp&amp;WINDOW=FIRST_POPUP&amp;HEIGHT=450&amp;WIDTH=450&amp;START_MAXIMIZED=FALSE&amp;VAR:CALENDAR=US&amp;VAR:SYMBOL=38259P50&amp;VAR:INDEX=0"}</definedName>
    <definedName name="_3951__FDSAUDITLINK__">{"fdsup://directions/FAT Viewer?action=UPDATE&amp;creator=factset&amp;DYN_ARGS=TRUE&amp;DOC_NAME=FAT:FQL_AUDITING_CLIENT_TEMPLATE.FAT&amp;display_string=Audit&amp;VAR:KEY=QLYTEBULUD&amp;VAR:QUERY=KFBfUFJJQ0UoMzk2MjQpLShGRl9DQVNIX1NUKFFUUiwzOTYyNCkvUF9DT01fU0hTX09VVCgzOTYyNCkpKS9GR","V9FU1RJTUFURSgnRVBTJywnTUVBTicsJ0FOTlVBTF9ST0xMJywnKzEnLDM5NjI0LCwsJycp&amp;WINDOW=FIRST_POPUP&amp;HEIGHT=450&amp;WIDTH=450&amp;START_MAXIMIZED=FALSE&amp;VAR:CALENDAR=US&amp;VAR:SYMBOL=38259P50&amp;VAR:INDEX=0"}</definedName>
    <definedName name="_3952__FDSAUDITLINK__">{"fdsup://directions/FAT Viewer?action=UPDATE&amp;creator=factset&amp;DYN_ARGS=TRUE&amp;DOC_NAME=FAT:FQL_AUDITING_CLIENT_TEMPLATE.FAT&amp;display_string=Audit&amp;VAR:KEY=QLYTEBULUD&amp;VAR:QUERY=KFBfUFJJQ0UoMzk2MjQpLShGRl9DQVNIX1NUKFFUUiwzOTYyNCkvUF9DT01fU0hTX09VVCgzOTYyNCkpKS9GR","V9FU1RJTUFURSgnRVBTJywnTUVBTicsJ0FOTlVBTF9ST0xMJywnKzEnLDM5NjI0LCwsJycp&amp;WINDOW=FIRST_POPUP&amp;HEIGHT=450&amp;WIDTH=450&amp;START_MAXIMIZED=FALSE&amp;VAR:CALENDAR=US&amp;VAR:SYMBOL=38259P50&amp;VAR:INDEX=0"}</definedName>
    <definedName name="_3953__FDSAUDITLINK__">{"fdsup://directions/FAT Viewer?action=UPDATE&amp;creator=factset&amp;DYN_ARGS=TRUE&amp;DOC_NAME=FAT:FQL_AUDITING_CLIENT_TEMPLATE.FAT&amp;display_string=Audit&amp;VAR:KEY=GNWXUTQVGF&amp;VAR:QUERY=KFBfUFJJQ0UoMzk2MjMpLShGRl9DQVNIX1NUKFFUUiwzOTYyMykvUF9DT01fU0hTX09VVCgzOTYyMykpKS9GR","V9FU1RJTUFURSgnRVBTJywnTUVBTicsJ0FOTlVBTF9ST0xMJywnKzEnLDM5NjIzLCwsJycp&amp;WINDOW=FIRST_POPUP&amp;HEIGHT=450&amp;WIDTH=450&amp;START_MAXIMIZED=FALSE&amp;VAR:CALENDAR=US&amp;VAR:SYMBOL=38259P50&amp;VAR:INDEX=0"}</definedName>
    <definedName name="_3954__FDSAUDITLINK__">{"fdsup://directions/FAT Viewer?action=UPDATE&amp;creator=factset&amp;DYN_ARGS=TRUE&amp;DOC_NAME=FAT:FQL_AUDITING_CLIENT_TEMPLATE.FAT&amp;display_string=Audit&amp;VAR:KEY=GNWXUTQVGF&amp;VAR:QUERY=KFBfUFJJQ0UoMzk2MjMpLShGRl9DQVNIX1NUKFFUUiwzOTYyMykvUF9DT01fU0hTX09VVCgzOTYyMykpKS9GR","V9FU1RJTUFURSgnRVBTJywnTUVBTicsJ0FOTlVBTF9ST0xMJywnKzEnLDM5NjIzLCwsJycp&amp;WINDOW=FIRST_POPUP&amp;HEIGHT=450&amp;WIDTH=450&amp;START_MAXIMIZED=FALSE&amp;VAR:CALENDAR=US&amp;VAR:SYMBOL=38259P50&amp;VAR:INDEX=0"}</definedName>
    <definedName name="_3955__FDSAUDITLINK__">{"fdsup://directions/FAT Viewer?action=UPDATE&amp;creator=factset&amp;DYN_ARGS=TRUE&amp;DOC_NAME=FAT:FQL_AUDITING_CLIENT_TEMPLATE.FAT&amp;display_string=Audit&amp;VAR:KEY=SVYFKJWRUV&amp;VAR:QUERY=KFBfUFJJQ0UoMzk2MjIpLShGRl9DQVNIX1NUKFFUUiwzOTYyMikvUF9DT01fU0hTX09VVCgzOTYyMikpKS9GR","V9FU1RJTUFURSgnRVBTJywnTUVBTicsJ0FOTlVBTF9ST0xMJywnKzEnLDM5NjIyLCwsJycp&amp;WINDOW=FIRST_POPUP&amp;HEIGHT=450&amp;WIDTH=450&amp;START_MAXIMIZED=FALSE&amp;VAR:CALENDAR=US&amp;VAR:SYMBOL=38259P50&amp;VAR:INDEX=0"}</definedName>
    <definedName name="_3956__FDSAUDITLINK__">{"fdsup://directions/FAT Viewer?action=UPDATE&amp;creator=factset&amp;DYN_ARGS=TRUE&amp;DOC_NAME=FAT:FQL_AUDITING_CLIENT_TEMPLATE.FAT&amp;display_string=Audit&amp;VAR:KEY=SVYFKJWRUV&amp;VAR:QUERY=KFBfUFJJQ0UoMzk2MjIpLShGRl9DQVNIX1NUKFFUUiwzOTYyMikvUF9DT01fU0hTX09VVCgzOTYyMikpKS9GR","V9FU1RJTUFURSgnRVBTJywnTUVBTicsJ0FOTlVBTF9ST0xMJywnKzEnLDM5NjIyLCwsJycp&amp;WINDOW=FIRST_POPUP&amp;HEIGHT=450&amp;WIDTH=450&amp;START_MAXIMIZED=FALSE&amp;VAR:CALENDAR=US&amp;VAR:SYMBOL=38259P50&amp;VAR:INDEX=0"}</definedName>
    <definedName name="_3957__FDSAUDITLINK__">{"fdsup://directions/FAT Viewer?action=UPDATE&amp;creator=factset&amp;DYN_ARGS=TRUE&amp;DOC_NAME=FAT:FQL_AUDITING_CLIENT_TEMPLATE.FAT&amp;display_string=Audit&amp;VAR:KEY=GDSTWXGPWT&amp;VAR:QUERY=KFBfUFJJQ0UoMzk2MjEpLShGRl9DQVNIX1NUKFFUUiwzOTYyMSkvUF9DT01fU0hTX09VVCgzOTYyMSkpKS9GR","V9FU1RJTUFURSgnRVBTJywnTUVBTicsJ0FOTlVBTF9ST0xMJywnKzEnLDM5NjIxLCwsJycp&amp;WINDOW=FIRST_POPUP&amp;HEIGHT=450&amp;WIDTH=450&amp;START_MAXIMIZED=FALSE&amp;VAR:CALENDAR=US&amp;VAR:SYMBOL=38259P50&amp;VAR:INDEX=0"}</definedName>
    <definedName name="_3958__FDSAUDITLINK__">{"fdsup://directions/FAT Viewer?action=UPDATE&amp;creator=factset&amp;DYN_ARGS=TRUE&amp;DOC_NAME=FAT:FQL_AUDITING_CLIENT_TEMPLATE.FAT&amp;display_string=Audit&amp;VAR:KEY=GDSTWXGPWT&amp;VAR:QUERY=KFBfUFJJQ0UoMzk2MjEpLShGRl9DQVNIX1NUKFFUUiwzOTYyMSkvUF9DT01fU0hTX09VVCgzOTYyMSkpKS9GR","V9FU1RJTUFURSgnRVBTJywnTUVBTicsJ0FOTlVBTF9ST0xMJywnKzEnLDM5NjIxLCwsJycp&amp;WINDOW=FIRST_POPUP&amp;HEIGHT=450&amp;WIDTH=450&amp;START_MAXIMIZED=FALSE&amp;VAR:CALENDAR=US&amp;VAR:SYMBOL=38259P50&amp;VAR:INDEX=0"}</definedName>
    <definedName name="_3959__FDSAUDITLINK__">{"fdsup://directions/FAT Viewer?action=UPDATE&amp;creator=factset&amp;DYN_ARGS=TRUE&amp;DOC_NAME=FAT:FQL_AUDITING_CLIENT_TEMPLATE.FAT&amp;display_string=Audit&amp;VAR:KEY=YHSXQRKXAD&amp;VAR:QUERY=KFBfUFJJQ0UoMzk2MjApLShGRl9DQVNIX1NUKFFUUiwzOTYyMCkvUF9DT01fU0hTX09VVCgzOTYyMCkpKS9GR","V9FU1RJTUFURSgnRVBTJywnTUVBTicsJ0FOTlVBTF9ST0xMJywnKzEnLDM5NjIwLCwsJycp&amp;WINDOW=FIRST_POPUP&amp;HEIGHT=450&amp;WIDTH=450&amp;START_MAXIMIZED=FALSE&amp;VAR:CALENDAR=US&amp;VAR:SYMBOL=38259P50&amp;VAR:INDEX=0"}</definedName>
    <definedName name="_39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133"}</definedName>
    <definedName name="_3960__FDSAUDITLINK__">{"fdsup://directions/FAT Viewer?action=UPDATE&amp;creator=factset&amp;DYN_ARGS=TRUE&amp;DOC_NAME=FAT:FQL_AUDITING_CLIENT_TEMPLATE.FAT&amp;display_string=Audit&amp;VAR:KEY=YHSXQRKXAD&amp;VAR:QUERY=KFBfUFJJQ0UoMzk2MjApLShGRl9DQVNIX1NUKFFUUiwzOTYyMCkvUF9DT01fU0hTX09VVCgzOTYyMCkpKS9GR","V9FU1RJTUFURSgnRVBTJywnTUVBTicsJ0FOTlVBTF9ST0xMJywnKzEnLDM5NjIwLCwsJycp&amp;WINDOW=FIRST_POPUP&amp;HEIGHT=450&amp;WIDTH=450&amp;START_MAXIMIZED=FALSE&amp;VAR:CALENDAR=US&amp;VAR:SYMBOL=38259P50&amp;VAR:INDEX=0"}</definedName>
    <definedName name="_3961__FDSAUDITLINK__">{"fdsup://directions/FAT Viewer?action=UPDATE&amp;creator=factset&amp;DYN_ARGS=TRUE&amp;DOC_NAME=FAT:FQL_AUDITING_CLIENT_TEMPLATE.FAT&amp;display_string=Audit&amp;VAR:KEY=IRAPEPEXMX&amp;VAR:QUERY=KFBfUFJJQ0UoMzk2MTkpLShGRl9DQVNIX1NUKFFUUiwzOTYxOSkvUF9DT01fU0hTX09VVCgzOTYxOSkpKS9GR","V9FU1RJTUFURSgnRVBTJywnTUVBTicsJ0FOTlVBTF9ST0xMJywnKzEnLDM5NjE5LCwsJycp&amp;WINDOW=FIRST_POPUP&amp;HEIGHT=450&amp;WIDTH=450&amp;START_MAXIMIZED=FALSE&amp;VAR:CALENDAR=US&amp;VAR:SYMBOL=38259P50&amp;VAR:INDEX=0"}</definedName>
    <definedName name="_3962__FDSAUDITLINK__">{"fdsup://directions/FAT Viewer?action=UPDATE&amp;creator=factset&amp;DYN_ARGS=TRUE&amp;DOC_NAME=FAT:FQL_AUDITING_CLIENT_TEMPLATE.FAT&amp;display_string=Audit&amp;VAR:KEY=IRAPEPEXMX&amp;VAR:QUERY=KFBfUFJJQ0UoMzk2MTkpLShGRl9DQVNIX1NUKFFUUiwzOTYxOSkvUF9DT01fU0hTX09VVCgzOTYxOSkpKS9GR","V9FU1RJTUFURSgnRVBTJywnTUVBTicsJ0FOTlVBTF9ST0xMJywnKzEnLDM5NjE5LCwsJycp&amp;WINDOW=FIRST_POPUP&amp;HEIGHT=450&amp;WIDTH=450&amp;START_MAXIMIZED=FALSE&amp;VAR:CALENDAR=US&amp;VAR:SYMBOL=38259P50&amp;VAR:INDEX=0"}</definedName>
    <definedName name="_3963__FDSAUDITLINK__">{"fdsup://directions/FAT Viewer?action=UPDATE&amp;creator=factset&amp;DYN_ARGS=TRUE&amp;DOC_NAME=FAT:FQL_AUDITING_CLIENT_TEMPLATE.FAT&amp;display_string=Audit&amp;VAR:KEY=IBWZMFMPOT&amp;VAR:QUERY=KFBfUFJJQ0UoMzk2MTgpLShGRl9DQVNIX1NUKFFUUiwzOTYxOCkvUF9DT01fU0hTX09VVCgzOTYxOCkpKS9GR","V9FU1RJTUFURSgnRVBTJywnTUVBTicsJ0FOTlVBTF9ST0xMJywnKzEnLDM5NjE4LCwsJycp&amp;WINDOW=FIRST_POPUP&amp;HEIGHT=450&amp;WIDTH=450&amp;START_MAXIMIZED=FALSE&amp;VAR:CALENDAR=US&amp;VAR:SYMBOL=38259P50&amp;VAR:INDEX=0"}</definedName>
    <definedName name="_3964__FDSAUDITLINK__">{"fdsup://directions/FAT Viewer?action=UPDATE&amp;creator=factset&amp;DYN_ARGS=TRUE&amp;DOC_NAME=FAT:FQL_AUDITING_CLIENT_TEMPLATE.FAT&amp;display_string=Audit&amp;VAR:KEY=IBWZMFMPOT&amp;VAR:QUERY=KFBfUFJJQ0UoMzk2MTgpLShGRl9DQVNIX1NUKFFUUiwzOTYxOCkvUF9DT01fU0hTX09VVCgzOTYxOCkpKS9GR","V9FU1RJTUFURSgnRVBTJywnTUVBTicsJ0FOTlVBTF9ST0xMJywnKzEnLDM5NjE4LCwsJycp&amp;WINDOW=FIRST_POPUP&amp;HEIGHT=450&amp;WIDTH=450&amp;START_MAXIMIZED=FALSE&amp;VAR:CALENDAR=US&amp;VAR:SYMBOL=38259P50&amp;VAR:INDEX=0"}</definedName>
    <definedName name="_3965__FDSAUDITLINK__">{"fdsup://directions/FAT Viewer?action=UPDATE&amp;creator=factset&amp;DYN_ARGS=TRUE&amp;DOC_NAME=FAT:FQL_AUDITING_CLIENT_TEMPLATE.FAT&amp;display_string=Audit&amp;VAR:KEY=ADEDCRSTKL&amp;VAR:QUERY=KFBfUFJJQ0UoMzk2MTcpLShGRl9DQVNIX1NUKFFUUiwzOTYxNykvUF9DT01fU0hTX09VVCgzOTYxNykpKS9GR","V9FU1RJTUFURSgnRVBTJywnTUVBTicsJ0FOTlVBTF9ST0xMJywnKzEnLDM5NjE3LCwsJycp&amp;WINDOW=FIRST_POPUP&amp;HEIGHT=450&amp;WIDTH=450&amp;START_MAXIMIZED=FALSE&amp;VAR:CALENDAR=US&amp;VAR:SYMBOL=38259P50&amp;VAR:INDEX=0"}</definedName>
    <definedName name="_3966__FDSAUDITLINK__">{"fdsup://directions/FAT Viewer?action=UPDATE&amp;creator=factset&amp;DYN_ARGS=TRUE&amp;DOC_NAME=FAT:FQL_AUDITING_CLIENT_TEMPLATE.FAT&amp;display_string=Audit&amp;VAR:KEY=ADEDCRSTKL&amp;VAR:QUERY=KFBfUFJJQ0UoMzk2MTcpLShGRl9DQVNIX1NUKFFUUiwzOTYxNykvUF9DT01fU0hTX09VVCgzOTYxNykpKS9GR","V9FU1RJTUFURSgnRVBTJywnTUVBTicsJ0FOTlVBTF9ST0xMJywnKzEnLDM5NjE3LCwsJycp&amp;WINDOW=FIRST_POPUP&amp;HEIGHT=450&amp;WIDTH=450&amp;START_MAXIMIZED=FALSE&amp;VAR:CALENDAR=US&amp;VAR:SYMBOL=38259P50&amp;VAR:INDEX=0"}</definedName>
    <definedName name="_3967__FDSAUDITLINK__">{"fdsup://directions/FAT Viewer?action=UPDATE&amp;creator=factset&amp;DYN_ARGS=TRUE&amp;DOC_NAME=FAT:FQL_AUDITING_CLIENT_TEMPLATE.FAT&amp;display_string=Audit&amp;VAR:KEY=GHUHCDYVQV&amp;VAR:QUERY=KFBfUFJJQ0UoMzk2MTYpLShGRl9DQVNIX1NUKFFUUiwzOTYxNikvUF9DT01fU0hTX09VVCgzOTYxNikpKS9GR","V9FU1RJTUFURSgnRVBTJywnTUVBTicsJ0FOTlVBTF9ST0xMJywnKzEnLDM5NjE2LCwsJycp&amp;WINDOW=FIRST_POPUP&amp;HEIGHT=450&amp;WIDTH=450&amp;START_MAXIMIZED=FALSE&amp;VAR:CALENDAR=US&amp;VAR:SYMBOL=38259P50&amp;VAR:INDEX=0"}</definedName>
    <definedName name="_3968__FDSAUDITLINK__">{"fdsup://directions/FAT Viewer?action=UPDATE&amp;creator=factset&amp;DYN_ARGS=TRUE&amp;DOC_NAME=FAT:FQL_AUDITING_CLIENT_TEMPLATE.FAT&amp;display_string=Audit&amp;VAR:KEY=GHUHCDYVQV&amp;VAR:QUERY=KFBfUFJJQ0UoMzk2MTYpLShGRl9DQVNIX1NUKFFUUiwzOTYxNikvUF9DT01fU0hTX09VVCgzOTYxNikpKS9GR","V9FU1RJTUFURSgnRVBTJywnTUVBTicsJ0FOTlVBTF9ST0xMJywnKzEnLDM5NjE2LCwsJycp&amp;WINDOW=FIRST_POPUP&amp;HEIGHT=450&amp;WIDTH=450&amp;START_MAXIMIZED=FALSE&amp;VAR:CALENDAR=US&amp;VAR:SYMBOL=38259P50&amp;VAR:INDEX=0"}</definedName>
    <definedName name="_3969__FDSAUDITLINK__">{"fdsup://directions/FAT Viewer?action=UPDATE&amp;creator=factset&amp;DYN_ARGS=TRUE&amp;DOC_NAME=FAT:FQL_AUDITING_CLIENT_TEMPLATE.FAT&amp;display_string=Audit&amp;VAR:KEY=IRGHQTQVOL&amp;VAR:QUERY=KFBfUFJJQ0UoMzk2MTUpLShGRl9DQVNIX1NUKFFUUiwzOTYxNSkvUF9DT01fU0hTX09VVCgzOTYxNSkpKS9GR","V9FU1RJTUFURSgnRVBTJywnTUVBTicsJ0FOTlVBTF9ST0xMJywnKzEnLDM5NjE1LCwsJycp&amp;WINDOW=FIRST_POPUP&amp;HEIGHT=450&amp;WIDTH=450&amp;START_MAXIMIZED=FALSE&amp;VAR:CALENDAR=US&amp;VAR:SYMBOL=38259P50&amp;VAR:INDEX=0"}</definedName>
    <definedName name="_39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132"}</definedName>
    <definedName name="_3970__FDSAUDITLINK__">{"fdsup://directions/FAT Viewer?action=UPDATE&amp;creator=factset&amp;DYN_ARGS=TRUE&amp;DOC_NAME=FAT:FQL_AUDITING_CLIENT_TEMPLATE.FAT&amp;display_string=Audit&amp;VAR:KEY=IRGHQTQVOL&amp;VAR:QUERY=KFBfUFJJQ0UoMzk2MTUpLShGRl9DQVNIX1NUKFFUUiwzOTYxNSkvUF9DT01fU0hTX09VVCgzOTYxNSkpKS9GR","V9FU1RJTUFURSgnRVBTJywnTUVBTicsJ0FOTlVBTF9ST0xMJywnKzEnLDM5NjE1LCwsJycp&amp;WINDOW=FIRST_POPUP&amp;HEIGHT=450&amp;WIDTH=450&amp;START_MAXIMIZED=FALSE&amp;VAR:CALENDAR=US&amp;VAR:SYMBOL=38259P50&amp;VAR:INDEX=0"}</definedName>
    <definedName name="_3971__FDSAUDITLINK__">{"fdsup://directions/FAT Viewer?action=UPDATE&amp;creator=factset&amp;DYN_ARGS=TRUE&amp;DOC_NAME=FAT:FQL_AUDITING_CLIENT_TEMPLATE.FAT&amp;display_string=Audit&amp;VAR:KEY=ELCHMNODIZ&amp;VAR:QUERY=KFBfUFJJQ0UoMzk2MTQpLShGRl9DQVNIX1NUKFFUUiwzOTYxNCkvUF9DT01fU0hTX09VVCgzOTYxNCkpKS9GR","V9FU1RJTUFURSgnRVBTJywnTUVBTicsJ0FOTlVBTF9ST0xMJywnKzEnLDM5NjE0LCwsJycp&amp;WINDOW=FIRST_POPUP&amp;HEIGHT=450&amp;WIDTH=450&amp;START_MAXIMIZED=FALSE&amp;VAR:CALENDAR=US&amp;VAR:SYMBOL=38259P50&amp;VAR:INDEX=0"}</definedName>
    <definedName name="_3972__FDSAUDITLINK__">{"fdsup://directions/FAT Viewer?action=UPDATE&amp;creator=factset&amp;DYN_ARGS=TRUE&amp;DOC_NAME=FAT:FQL_AUDITING_CLIENT_TEMPLATE.FAT&amp;display_string=Audit&amp;VAR:KEY=ELCHMNODIZ&amp;VAR:QUERY=KFBfUFJJQ0UoMzk2MTQpLShGRl9DQVNIX1NUKFFUUiwzOTYxNCkvUF9DT01fU0hTX09VVCgzOTYxNCkpKS9GR","V9FU1RJTUFURSgnRVBTJywnTUVBTicsJ0FOTlVBTF9ST0xMJywnKzEnLDM5NjE0LCwsJycp&amp;WINDOW=FIRST_POPUP&amp;HEIGHT=450&amp;WIDTH=450&amp;START_MAXIMIZED=FALSE&amp;VAR:CALENDAR=US&amp;VAR:SYMBOL=38259P50&amp;VAR:INDEX=0"}</definedName>
    <definedName name="_3973__FDSAUDITLINK__">{"fdsup://directions/FAT Viewer?action=UPDATE&amp;creator=factset&amp;DYN_ARGS=TRUE&amp;DOC_NAME=FAT:FQL_AUDITING_CLIENT_TEMPLATE.FAT&amp;display_string=Audit&amp;VAR:KEY=WJGPMLSLAF&amp;VAR:QUERY=KFBfUFJJQ0UoMzk2MTMpLShGRl9DQVNIX1NUKFFUUiwzOTYxMykvUF9DT01fU0hTX09VVCgzOTYxMykpKS9GR","V9FU1RJTUFURSgnRVBTJywnTUVBTicsJ0FOTlVBTF9ST0xMJywnKzEnLDM5NjEzLCwsJycp&amp;WINDOW=FIRST_POPUP&amp;HEIGHT=450&amp;WIDTH=450&amp;START_MAXIMIZED=FALSE&amp;VAR:CALENDAR=US&amp;VAR:SYMBOL=38259P50&amp;VAR:INDEX=0"}</definedName>
    <definedName name="_3974__FDSAUDITLINK__">{"fdsup://directions/FAT Viewer?action=UPDATE&amp;creator=factset&amp;DYN_ARGS=TRUE&amp;DOC_NAME=FAT:FQL_AUDITING_CLIENT_TEMPLATE.FAT&amp;display_string=Audit&amp;VAR:KEY=WJGPMLSLAF&amp;VAR:QUERY=KFBfUFJJQ0UoMzk2MTMpLShGRl9DQVNIX1NUKFFUUiwzOTYxMykvUF9DT01fU0hTX09VVCgzOTYxMykpKS9GR","V9FU1RJTUFURSgnRVBTJywnTUVBTicsJ0FOTlVBTF9ST0xMJywnKzEnLDM5NjEzLCwsJycp&amp;WINDOW=FIRST_POPUP&amp;HEIGHT=450&amp;WIDTH=450&amp;START_MAXIMIZED=FALSE&amp;VAR:CALENDAR=US&amp;VAR:SYMBOL=38259P50&amp;VAR:INDEX=0"}</definedName>
    <definedName name="_3975__FDSAUDITLINK__">{"fdsup://directions/FAT Viewer?action=UPDATE&amp;creator=factset&amp;DYN_ARGS=TRUE&amp;DOC_NAME=FAT:FQL_AUDITING_CLIENT_TEMPLATE.FAT&amp;display_string=Audit&amp;VAR:KEY=SXUXUDKBQB&amp;VAR:QUERY=KFBfUFJJQ0UoMzk2MTIpLShGRl9DQVNIX1NUKFFUUiwzOTYxMikvUF9DT01fU0hTX09VVCgzOTYxMikpKS9GR","V9FU1RJTUFURSgnRVBTJywnTUVBTicsJ0FOTlVBTF9ST0xMJywnKzEnLDM5NjEyLCwsJycp&amp;WINDOW=FIRST_POPUP&amp;HEIGHT=450&amp;WIDTH=450&amp;START_MAXIMIZED=FALSE&amp;VAR:CALENDAR=US&amp;VAR:SYMBOL=38259P50&amp;VAR:INDEX=0"}</definedName>
    <definedName name="_3976__FDSAUDITLINK__">{"fdsup://directions/FAT Viewer?action=UPDATE&amp;creator=factset&amp;DYN_ARGS=TRUE&amp;DOC_NAME=FAT:FQL_AUDITING_CLIENT_TEMPLATE.FAT&amp;display_string=Audit&amp;VAR:KEY=SXUXUDKBQB&amp;VAR:QUERY=KFBfUFJJQ0UoMzk2MTIpLShGRl9DQVNIX1NUKFFUUiwzOTYxMikvUF9DT01fU0hTX09VVCgzOTYxMikpKS9GR","V9FU1RJTUFURSgnRVBTJywnTUVBTicsJ0FOTlVBTF9ST0xMJywnKzEnLDM5NjEyLCwsJycp&amp;WINDOW=FIRST_POPUP&amp;HEIGHT=450&amp;WIDTH=450&amp;START_MAXIMIZED=FALSE&amp;VAR:CALENDAR=US&amp;VAR:SYMBOL=38259P50&amp;VAR:INDEX=0"}</definedName>
    <definedName name="_3977__FDSAUDITLINK__">{"fdsup://directions/FAT Viewer?action=UPDATE&amp;creator=factset&amp;DYN_ARGS=TRUE&amp;DOC_NAME=FAT:FQL_AUDITING_CLIENT_TEMPLATE.FAT&amp;display_string=Audit&amp;VAR:KEY=MHARCBALCB&amp;VAR:QUERY=KFBfUFJJQ0UoMzk2MTEpLShGRl9DQVNIX1NUKFFUUiwzOTYxMSkvUF9DT01fU0hTX09VVCgzOTYxMSkpKS9GR","V9FU1RJTUFURSgnRVBTJywnTUVBTicsJ0FOTlVBTF9ST0xMJywnKzEnLDM5NjExLCwsJycp&amp;WINDOW=FIRST_POPUP&amp;HEIGHT=450&amp;WIDTH=450&amp;START_MAXIMIZED=FALSE&amp;VAR:CALENDAR=US&amp;VAR:SYMBOL=38259P50&amp;VAR:INDEX=0"}</definedName>
    <definedName name="_3978__FDSAUDITLINK__">{"fdsup://directions/FAT Viewer?action=UPDATE&amp;creator=factset&amp;DYN_ARGS=TRUE&amp;DOC_NAME=FAT:FQL_AUDITING_CLIENT_TEMPLATE.FAT&amp;display_string=Audit&amp;VAR:KEY=MHARCBALCB&amp;VAR:QUERY=KFBfUFJJQ0UoMzk2MTEpLShGRl9DQVNIX1NUKFFUUiwzOTYxMSkvUF9DT01fU0hTX09VVCgzOTYxMSkpKS9GR","V9FU1RJTUFURSgnRVBTJywnTUVBTicsJ0FOTlVBTF9ST0xMJywnKzEnLDM5NjExLCwsJycp&amp;WINDOW=FIRST_POPUP&amp;HEIGHT=450&amp;WIDTH=450&amp;START_MAXIMIZED=FALSE&amp;VAR:CALENDAR=US&amp;VAR:SYMBOL=38259P50&amp;VAR:INDEX=0"}</definedName>
    <definedName name="_3979__FDSAUDITLINK__">{"fdsup://directions/FAT Viewer?action=UPDATE&amp;creator=factset&amp;DYN_ARGS=TRUE&amp;DOC_NAME=FAT:FQL_AUDITING_CLIENT_TEMPLATE.FAT&amp;display_string=Audit&amp;VAR:KEY=IHCPMPYHYH&amp;VAR:QUERY=KFBfUFJJQ0UoMzk2MTApLShGRl9DQVNIX1NUKFFUUiwzOTYxMCkvUF9DT01fU0hTX09VVCgzOTYxMCkpKS9GR","V9FU1RJTUFURSgnRVBTJywnTUVBTicsJ0FOTlVBTF9ST0xMJywnKzEnLDM5NjEwLCwsJycp&amp;WINDOW=FIRST_POPUP&amp;HEIGHT=450&amp;WIDTH=450&amp;START_MAXIMIZED=FALSE&amp;VAR:CALENDAR=US&amp;VAR:SYMBOL=38259P50&amp;VAR:INDEX=0"}</definedName>
    <definedName name="_39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131"}</definedName>
    <definedName name="_3980__FDSAUDITLINK__">{"fdsup://directions/FAT Viewer?action=UPDATE&amp;creator=factset&amp;DYN_ARGS=TRUE&amp;DOC_NAME=FAT:FQL_AUDITING_CLIENT_TEMPLATE.FAT&amp;display_string=Audit&amp;VAR:KEY=IHCPMPYHYH&amp;VAR:QUERY=KFBfUFJJQ0UoMzk2MTApLShGRl9DQVNIX1NUKFFUUiwzOTYxMCkvUF9DT01fU0hTX09VVCgzOTYxMCkpKS9GR","V9FU1RJTUFURSgnRVBTJywnTUVBTicsJ0FOTlVBTF9ST0xMJywnKzEnLDM5NjEwLCwsJycp&amp;WINDOW=FIRST_POPUP&amp;HEIGHT=450&amp;WIDTH=450&amp;START_MAXIMIZED=FALSE&amp;VAR:CALENDAR=US&amp;VAR:SYMBOL=38259P50&amp;VAR:INDEX=0"}</definedName>
    <definedName name="_3981__FDSAUDITLINK__">{"fdsup://directions/FAT Viewer?action=UPDATE&amp;creator=factset&amp;DYN_ARGS=TRUE&amp;DOC_NAME=FAT:FQL_AUDITING_CLIENT_TEMPLATE.FAT&amp;display_string=Audit&amp;VAR:KEY=ENCTILOFKH&amp;VAR:QUERY=KFBfUFJJQ0UoMzk2MDkpLShGRl9DQVNIX1NUKFFUUiwzOTYwOSkvUF9DT01fU0hTX09VVCgzOTYwOSkpKS9GR","V9FU1RJTUFURSgnRVBTJywnTUVBTicsJ0FOTlVBTF9ST0xMJywnKzEnLDM5NjA5LCwsJycp&amp;WINDOW=FIRST_POPUP&amp;HEIGHT=450&amp;WIDTH=450&amp;START_MAXIMIZED=FALSE&amp;VAR:CALENDAR=US&amp;VAR:SYMBOL=38259P50&amp;VAR:INDEX=0"}</definedName>
    <definedName name="_3982__FDSAUDITLINK__">{"fdsup://directions/FAT Viewer?action=UPDATE&amp;creator=factset&amp;DYN_ARGS=TRUE&amp;DOC_NAME=FAT:FQL_AUDITING_CLIENT_TEMPLATE.FAT&amp;display_string=Audit&amp;VAR:KEY=ENCTILOFKH&amp;VAR:QUERY=KFBfUFJJQ0UoMzk2MDkpLShGRl9DQVNIX1NUKFFUUiwzOTYwOSkvUF9DT01fU0hTX09VVCgzOTYwOSkpKS9GR","V9FU1RJTUFURSgnRVBTJywnTUVBTicsJ0FOTlVBTF9ST0xMJywnKzEnLDM5NjA5LCwsJycp&amp;WINDOW=FIRST_POPUP&amp;HEIGHT=450&amp;WIDTH=450&amp;START_MAXIMIZED=FALSE&amp;VAR:CALENDAR=US&amp;VAR:SYMBOL=38259P50&amp;VAR:INDEX=0"}</definedName>
    <definedName name="_3983__FDSAUDITLINK__">{"fdsup://directions/FAT Viewer?action=UPDATE&amp;creator=factset&amp;DYN_ARGS=TRUE&amp;DOC_NAME=FAT:FQL_AUDITING_CLIENT_TEMPLATE.FAT&amp;display_string=Audit&amp;VAR:KEY=SLCZKNCJUR&amp;VAR:QUERY=KFBfUFJJQ0UoMzk2MDgpLShGRl9DQVNIX1NUKFFUUiwzOTYwOCkvUF9DT01fU0hTX09VVCgzOTYwOCkpKS9GR","V9FU1RJTUFURSgnRVBTJywnTUVBTicsJ0FOTlVBTF9ST0xMJywnKzEnLDM5NjA4LCwsJycp&amp;WINDOW=FIRST_POPUP&amp;HEIGHT=450&amp;WIDTH=450&amp;START_MAXIMIZED=FALSE&amp;VAR:CALENDAR=US&amp;VAR:SYMBOL=38259P50&amp;VAR:INDEX=0"}</definedName>
    <definedName name="_3984__FDSAUDITLINK__">{"fdsup://directions/FAT Viewer?action=UPDATE&amp;creator=factset&amp;DYN_ARGS=TRUE&amp;DOC_NAME=FAT:FQL_AUDITING_CLIENT_TEMPLATE.FAT&amp;display_string=Audit&amp;VAR:KEY=SLCZKNCJUR&amp;VAR:QUERY=KFBfUFJJQ0UoMzk2MDgpLShGRl9DQVNIX1NUKFFUUiwzOTYwOCkvUF9DT01fU0hTX09VVCgzOTYwOCkpKS9GR","V9FU1RJTUFURSgnRVBTJywnTUVBTicsJ0FOTlVBTF9ST0xMJywnKzEnLDM5NjA4LCwsJycp&amp;WINDOW=FIRST_POPUP&amp;HEIGHT=450&amp;WIDTH=450&amp;START_MAXIMIZED=FALSE&amp;VAR:CALENDAR=US&amp;VAR:SYMBOL=38259P50&amp;VAR:INDEX=0"}</definedName>
    <definedName name="_398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1260"}</definedName>
    <definedName name="_398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1259"}</definedName>
    <definedName name="_398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1258"}</definedName>
    <definedName name="_398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1257"}</definedName>
    <definedName name="_398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1256"}</definedName>
    <definedName name="_39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130"}</definedName>
    <definedName name="_399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1255"}</definedName>
    <definedName name="_399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1254"}</definedName>
    <definedName name="_399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1253"}</definedName>
    <definedName name="_399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1252"}</definedName>
    <definedName name="_399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1251"}</definedName>
    <definedName name="_399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1250"}</definedName>
    <definedName name="_399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1249"}</definedName>
    <definedName name="_399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1248"}</definedName>
    <definedName name="_399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1247"}</definedName>
    <definedName name="_399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1246"}</definedName>
    <definedName name="_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12.369177&amp;VAR:V0=13.738353&amp;VAR:V1=11.967253&amp;VAR:Y0=2010&amp;VAR:Y1=2011&amp;VAR:P=1141.201157&amp;VAR:DATE=20100930&amp;VAR:THRESH=-|-|","-|-|-|-|-"}</definedName>
    <definedName name="_4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0.742466&amp;VAR:V=18.722151&amp;VAR:V0=20.688163&amp;VAR:V1=18.124711&amp;VAR:Y0=2001&amp;VAR:Y1=2002&amp;VAR:P=1040.940000&amp;VAR:DATE=20010928&amp;VAR:THRESH=-|-|","-|-|-|-|-"}</definedName>
    <definedName name="_40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129"}</definedName>
    <definedName name="_400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1245"}</definedName>
    <definedName name="_400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1244"}</definedName>
    <definedName name="_400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1243"}</definedName>
    <definedName name="_400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1242"}</definedName>
    <definedName name="_400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1241"}</definedName>
    <definedName name="_400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1240"}</definedName>
    <definedName name="_400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1239"}</definedName>
    <definedName name="_400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1238"}</definedName>
    <definedName name="_400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1237"}</definedName>
    <definedName name="_400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1236"}</definedName>
    <definedName name="_40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128"}</definedName>
    <definedName name="_401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1235"}</definedName>
    <definedName name="_401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1234"}</definedName>
    <definedName name="_401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1233"}</definedName>
    <definedName name="_401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1232"}</definedName>
    <definedName name="_401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1231"}</definedName>
    <definedName name="_401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1230"}</definedName>
    <definedName name="_401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1229"}</definedName>
    <definedName name="_401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1228"}</definedName>
    <definedName name="_401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1227"}</definedName>
    <definedName name="_401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1226"}</definedName>
    <definedName name="_40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127"}</definedName>
    <definedName name="_402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1225"}</definedName>
    <definedName name="_402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1224"}</definedName>
    <definedName name="_402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1223"}</definedName>
    <definedName name="_402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1222"}</definedName>
    <definedName name="_402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1221"}</definedName>
    <definedName name="_402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1220"}</definedName>
    <definedName name="_402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1219"}</definedName>
    <definedName name="_402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1218"}</definedName>
    <definedName name="_402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1217"}</definedName>
    <definedName name="_402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1216"}</definedName>
    <definedName name="_40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126"}</definedName>
    <definedName name="_403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1215"}</definedName>
    <definedName name="_403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1214"}</definedName>
    <definedName name="_403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1213"}</definedName>
    <definedName name="_403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1212"}</definedName>
    <definedName name="_403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1211"}</definedName>
    <definedName name="_403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1210"}</definedName>
    <definedName name="_403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1209"}</definedName>
    <definedName name="_403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1208"}</definedName>
    <definedName name="_403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1207"}</definedName>
    <definedName name="_403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1206"}</definedName>
    <definedName name="_40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125"}</definedName>
    <definedName name="_404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1205"}</definedName>
    <definedName name="_404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1204"}</definedName>
    <definedName name="_404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1203"}</definedName>
    <definedName name="_404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1202"}</definedName>
    <definedName name="_404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1201"}</definedName>
    <definedName name="_404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1200"}</definedName>
    <definedName name="_404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1199"}</definedName>
    <definedName name="_404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1198"}</definedName>
    <definedName name="_404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1197"}</definedName>
    <definedName name="_404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1196"}</definedName>
    <definedName name="_40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124"}</definedName>
    <definedName name="_405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1195"}</definedName>
    <definedName name="_405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1194"}</definedName>
    <definedName name="_405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1193"}</definedName>
    <definedName name="_405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1192"}</definedName>
    <definedName name="_405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1191"}</definedName>
    <definedName name="_405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1190"}</definedName>
    <definedName name="_405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1189"}</definedName>
    <definedName name="_405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1188"}</definedName>
    <definedName name="_405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1187"}</definedName>
    <definedName name="_405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1186"}</definedName>
    <definedName name="_40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123"}</definedName>
    <definedName name="_406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1185"}</definedName>
    <definedName name="_406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1184"}</definedName>
    <definedName name="_406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1183"}</definedName>
    <definedName name="_406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1182"}</definedName>
    <definedName name="_406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1181"}</definedName>
    <definedName name="_406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1180"}</definedName>
    <definedName name="_406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1179"}</definedName>
    <definedName name="_406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1178"}</definedName>
    <definedName name="_406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1177"}</definedName>
    <definedName name="_406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1176"}</definedName>
    <definedName name="_40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122"}</definedName>
    <definedName name="_407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1175"}</definedName>
    <definedName name="_407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1174"}</definedName>
    <definedName name="_407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1173"}</definedName>
    <definedName name="_407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1172"}</definedName>
    <definedName name="_407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1171"}</definedName>
    <definedName name="_407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1170"}</definedName>
    <definedName name="_407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1169"}</definedName>
    <definedName name="_407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1168"}</definedName>
    <definedName name="_407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1167"}</definedName>
    <definedName name="_407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1166"}</definedName>
    <definedName name="_40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121"}</definedName>
    <definedName name="_408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1165"}</definedName>
    <definedName name="_408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1164"}</definedName>
    <definedName name="_408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1163"}</definedName>
    <definedName name="_408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1162"}</definedName>
    <definedName name="_408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1161"}</definedName>
    <definedName name="_408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1160"}</definedName>
    <definedName name="_408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1159"}</definedName>
    <definedName name="_408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1158"}</definedName>
    <definedName name="_408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1157"}</definedName>
    <definedName name="_408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1156"}</definedName>
    <definedName name="_40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120"}</definedName>
    <definedName name="_409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1155"}</definedName>
    <definedName name="_409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1154"}</definedName>
    <definedName name="_409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1153"}</definedName>
    <definedName name="_409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1152"}</definedName>
    <definedName name="_409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1151"}</definedName>
    <definedName name="_409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1150"}</definedName>
    <definedName name="_409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1149"}</definedName>
    <definedName name="_409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1148"}</definedName>
    <definedName name="_409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1147"}</definedName>
    <definedName name="_409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1146"}</definedName>
    <definedName name="_4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0.493151&amp;VAR:V=21.477766&amp;VAR:V0=22.939600&amp;VAR:V1=20.157538&amp;VAR:Y0=2001&amp;VAR:Y1=2002&amp;VAR:P=1224.420000&amp;VAR:DATE=20010629&amp;VAR:THRESH=-|-|","-|-|-|-|-"}</definedName>
    <definedName name="_41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119"}</definedName>
    <definedName name="_410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1145"}</definedName>
    <definedName name="_410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1144"}</definedName>
    <definedName name="_410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1143"}</definedName>
    <definedName name="_410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1142"}</definedName>
    <definedName name="_410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1141"}</definedName>
    <definedName name="_410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1140"}</definedName>
    <definedName name="_410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1139"}</definedName>
    <definedName name="_410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1138"}</definedName>
    <definedName name="_410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1137"}</definedName>
    <definedName name="_410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1136"}</definedName>
    <definedName name="_41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118"}</definedName>
    <definedName name="_411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1135"}</definedName>
    <definedName name="_411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1134"}</definedName>
    <definedName name="_411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1133"}</definedName>
    <definedName name="_411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1132"}</definedName>
    <definedName name="_411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1131"}</definedName>
    <definedName name="_411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1130"}</definedName>
    <definedName name="_411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1129"}</definedName>
    <definedName name="_411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1128"}</definedName>
    <definedName name="_411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1127"}</definedName>
    <definedName name="_411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1126"}</definedName>
    <definedName name="_41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117"}</definedName>
    <definedName name="_412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1125"}</definedName>
    <definedName name="_412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1124"}</definedName>
    <definedName name="_412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1123"}</definedName>
    <definedName name="_412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1122"}</definedName>
    <definedName name="_412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1121"}</definedName>
    <definedName name="_412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1120"}</definedName>
    <definedName name="_412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1119"}</definedName>
    <definedName name="_412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1118"}</definedName>
    <definedName name="_412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1117"}</definedName>
    <definedName name="_412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1116"}</definedName>
    <definedName name="_41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116"}</definedName>
    <definedName name="_413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1115"}</definedName>
    <definedName name="_413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1114"}</definedName>
    <definedName name="_413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1113"}</definedName>
    <definedName name="_413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1112"}</definedName>
    <definedName name="_413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1111"}</definedName>
    <definedName name="_413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1110"}</definedName>
    <definedName name="_413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1109"}</definedName>
    <definedName name="_413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1108"}</definedName>
    <definedName name="_413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1107"}</definedName>
    <definedName name="_413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1106"}</definedName>
    <definedName name="_41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115"}</definedName>
    <definedName name="_414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1105"}</definedName>
    <definedName name="_414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1104"}</definedName>
    <definedName name="_414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1103"}</definedName>
    <definedName name="_414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1102"}</definedName>
    <definedName name="_414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1101"}</definedName>
    <definedName name="_414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1100"}</definedName>
    <definedName name="_414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1099"}</definedName>
    <definedName name="_414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1098"}</definedName>
    <definedName name="_414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1097"}</definedName>
    <definedName name="_414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1096"}</definedName>
    <definedName name="_41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114"}</definedName>
    <definedName name="_415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1095"}</definedName>
    <definedName name="_415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1094"}</definedName>
    <definedName name="_415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1093"}</definedName>
    <definedName name="_415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1092"}</definedName>
    <definedName name="_415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1091"}</definedName>
    <definedName name="_415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1090"}</definedName>
    <definedName name="_415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1089"}</definedName>
    <definedName name="_415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1088"}</definedName>
    <definedName name="_415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1087"}</definedName>
    <definedName name="_415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1086"}</definedName>
    <definedName name="_41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113"}</definedName>
    <definedName name="_416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1085"}</definedName>
    <definedName name="_416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1084"}</definedName>
    <definedName name="_416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1083"}</definedName>
    <definedName name="_416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1082"}</definedName>
    <definedName name="_416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1081"}</definedName>
    <definedName name="_416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1080"}</definedName>
    <definedName name="_416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1079"}</definedName>
    <definedName name="_416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1078"}</definedName>
    <definedName name="_416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1077"}</definedName>
    <definedName name="_416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1076"}</definedName>
    <definedName name="_41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112"}</definedName>
    <definedName name="_417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1075"}</definedName>
    <definedName name="_417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1074"}</definedName>
    <definedName name="_417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1073"}</definedName>
    <definedName name="_417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1072"}</definedName>
    <definedName name="_417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1071"}</definedName>
    <definedName name="_417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1070"}</definedName>
    <definedName name="_417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1069"}</definedName>
    <definedName name="_417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1068"}</definedName>
    <definedName name="_417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1067"}</definedName>
    <definedName name="_417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1066"}</definedName>
    <definedName name="_41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111"}</definedName>
    <definedName name="_418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1065"}</definedName>
    <definedName name="_418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1064"}</definedName>
    <definedName name="_418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1063"}</definedName>
    <definedName name="_418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1062"}</definedName>
    <definedName name="_418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1061"}</definedName>
    <definedName name="_418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1060"}</definedName>
    <definedName name="_418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1059"}</definedName>
    <definedName name="_418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1058"}</definedName>
    <definedName name="_418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1057"}</definedName>
    <definedName name="_418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1056"}</definedName>
    <definedName name="_41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110"}</definedName>
    <definedName name="_419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1055"}</definedName>
    <definedName name="_419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1054"}</definedName>
    <definedName name="_419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1053"}</definedName>
    <definedName name="_419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1052"}</definedName>
    <definedName name="_419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1051"}</definedName>
    <definedName name="_419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1050"}</definedName>
    <definedName name="_419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1049"}</definedName>
    <definedName name="_419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1048"}</definedName>
    <definedName name="_419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1047"}</definedName>
    <definedName name="_419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1046"}</definedName>
    <definedName name="_4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0.243836&amp;VAR:V=19.811646&amp;VAR:V0=20.403499&amp;VAR:V1=18.176564&amp;VAR:Y0=2001&amp;VAR:Y1=2002&amp;VAR:P=1160.330000&amp;VAR:DATE=20010330&amp;VAR:THRESH=-|-|","-|-|-|-|-"}</definedName>
    <definedName name="_42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109"}</definedName>
    <definedName name="_420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1045"}</definedName>
    <definedName name="_420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1044"}</definedName>
    <definedName name="_420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1043"}</definedName>
    <definedName name="_420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1042"}</definedName>
    <definedName name="_420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1041"}</definedName>
    <definedName name="_420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1040"}</definedName>
    <definedName name="_420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1039"}</definedName>
    <definedName name="_420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1038"}</definedName>
    <definedName name="_420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1037"}</definedName>
    <definedName name="_420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1036"}</definedName>
    <definedName name="_42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108"}</definedName>
    <definedName name="_421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1035"}</definedName>
    <definedName name="_421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1034"}</definedName>
    <definedName name="_421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1033"}</definedName>
    <definedName name="_421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1032"}</definedName>
    <definedName name="_421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1031"}</definedName>
    <definedName name="_421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1030"}</definedName>
    <definedName name="_421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1029"}</definedName>
    <definedName name="_421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1028"}</definedName>
    <definedName name="_421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1027"}</definedName>
    <definedName name="_421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1026"}</definedName>
    <definedName name="_42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107"}</definedName>
    <definedName name="_422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1025"}</definedName>
    <definedName name="_422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1024"}</definedName>
    <definedName name="_422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1023"}</definedName>
    <definedName name="_422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1022"}</definedName>
    <definedName name="_422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1021"}</definedName>
    <definedName name="_422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1020"}</definedName>
    <definedName name="_422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1019"}</definedName>
    <definedName name="_422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1018"}</definedName>
    <definedName name="_422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1017"}</definedName>
    <definedName name="_422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1016"}</definedName>
    <definedName name="_42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106"}</definedName>
    <definedName name="_423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1015"}</definedName>
    <definedName name="_423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1014"}</definedName>
    <definedName name="_423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1013"}</definedName>
    <definedName name="_423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1012"}</definedName>
    <definedName name="_423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1011"}</definedName>
    <definedName name="_423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1010"}</definedName>
    <definedName name="_423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1009"}</definedName>
    <definedName name="_423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1008"}</definedName>
    <definedName name="_423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1007"}</definedName>
    <definedName name="_423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1006"}</definedName>
    <definedName name="_42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105"}</definedName>
    <definedName name="_424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1005"}</definedName>
    <definedName name="_424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1004"}</definedName>
    <definedName name="_424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1003"}</definedName>
    <definedName name="_424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1002"}</definedName>
    <definedName name="_424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1001"}</definedName>
    <definedName name="_424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1000"}</definedName>
    <definedName name="_424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999"}</definedName>
    <definedName name="_424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998"}</definedName>
    <definedName name="_424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997"}</definedName>
    <definedName name="_424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996"}</definedName>
    <definedName name="_42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104"}</definedName>
    <definedName name="_425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995"}</definedName>
    <definedName name="_425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994"}</definedName>
    <definedName name="_425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993"}</definedName>
    <definedName name="_425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992"}</definedName>
    <definedName name="_425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991"}</definedName>
    <definedName name="_425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990"}</definedName>
    <definedName name="_425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989"}</definedName>
    <definedName name="_425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988"}</definedName>
    <definedName name="_425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987"}</definedName>
    <definedName name="_425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986"}</definedName>
    <definedName name="_42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103"}</definedName>
    <definedName name="_426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985"}</definedName>
    <definedName name="_426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984"}</definedName>
    <definedName name="_426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983"}</definedName>
    <definedName name="_426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982"}</definedName>
    <definedName name="_426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981"}</definedName>
    <definedName name="_426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980"}</definedName>
    <definedName name="_426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979"}</definedName>
    <definedName name="_426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978"}</definedName>
    <definedName name="_426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977"}</definedName>
    <definedName name="_426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976"}</definedName>
    <definedName name="_42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102"}</definedName>
    <definedName name="_427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975"}</definedName>
    <definedName name="_427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974"}</definedName>
    <definedName name="_427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973"}</definedName>
    <definedName name="_427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972"}</definedName>
    <definedName name="_427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971"}</definedName>
    <definedName name="_427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970"}</definedName>
    <definedName name="_427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969"}</definedName>
    <definedName name="_427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968"}</definedName>
    <definedName name="_427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967"}</definedName>
    <definedName name="_427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966"}</definedName>
    <definedName name="_42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101"}</definedName>
    <definedName name="_428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965"}</definedName>
    <definedName name="_428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964"}</definedName>
    <definedName name="_428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963"}</definedName>
    <definedName name="_428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962"}</definedName>
    <definedName name="_428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961"}</definedName>
    <definedName name="_428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960"}</definedName>
    <definedName name="_428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959"}</definedName>
    <definedName name="_428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958"}</definedName>
    <definedName name="_428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957"}</definedName>
    <definedName name="_428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956"}</definedName>
    <definedName name="_42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100"}</definedName>
    <definedName name="_429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955"}</definedName>
    <definedName name="_429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954"}</definedName>
    <definedName name="_429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953"}</definedName>
    <definedName name="_429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952"}</definedName>
    <definedName name="_429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951"}</definedName>
    <definedName name="_429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950"}</definedName>
    <definedName name="_429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949"}</definedName>
    <definedName name="_429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948"}</definedName>
    <definedName name="_429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947"}</definedName>
    <definedName name="_429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946"}</definedName>
    <definedName name="_4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0.994536&amp;VAR:V=21.864696&amp;VAR:V0=24.603810&amp;VAR:V1=21.851330&amp;VAR:Y0=2000&amp;VAR:Y1=2001&amp;VAR:P=1320.280000&amp;VAR:DATE=20001229&amp;VAR:THRESH=-|-|","-|-|-|-|-"}</definedName>
    <definedName name="_43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99"}</definedName>
    <definedName name="_430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945"}</definedName>
    <definedName name="_430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944"}</definedName>
    <definedName name="_430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943"}</definedName>
    <definedName name="_430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942"}</definedName>
    <definedName name="_430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941"}</definedName>
    <definedName name="_430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940"}</definedName>
    <definedName name="_430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939"}</definedName>
    <definedName name="_430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938"}</definedName>
    <definedName name="_430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937"}</definedName>
    <definedName name="_430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936"}</definedName>
    <definedName name="_43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98"}</definedName>
    <definedName name="_431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935"}</definedName>
    <definedName name="_431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934"}</definedName>
    <definedName name="_431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933"}</definedName>
    <definedName name="_431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932"}</definedName>
    <definedName name="_431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931"}</definedName>
    <definedName name="_431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930"}</definedName>
    <definedName name="_431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929"}</definedName>
    <definedName name="_431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928"}</definedName>
    <definedName name="_431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927"}</definedName>
    <definedName name="_431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926"}</definedName>
    <definedName name="_43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97"}</definedName>
    <definedName name="_432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925"}</definedName>
    <definedName name="_432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924"}</definedName>
    <definedName name="_432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923"}</definedName>
    <definedName name="_432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922"}</definedName>
    <definedName name="_432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921"}</definedName>
    <definedName name="_432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920"}</definedName>
    <definedName name="_432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919"}</definedName>
    <definedName name="_432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918"}</definedName>
    <definedName name="_432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917"}</definedName>
    <definedName name="_432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916"}</definedName>
    <definedName name="_43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96"}</definedName>
    <definedName name="_433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915"}</definedName>
    <definedName name="_433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914"}</definedName>
    <definedName name="_433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913"}</definedName>
    <definedName name="_433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912"}</definedName>
    <definedName name="_433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911"}</definedName>
    <definedName name="_433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910"}</definedName>
    <definedName name="_433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909"}</definedName>
    <definedName name="_433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908"}</definedName>
    <definedName name="_433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907"}</definedName>
    <definedName name="_433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906"}</definedName>
    <definedName name="_43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95"}</definedName>
    <definedName name="_434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905"}</definedName>
    <definedName name="_434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904"}</definedName>
    <definedName name="_434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903"}</definedName>
    <definedName name="_434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902"}</definedName>
    <definedName name="_434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901"}</definedName>
    <definedName name="_434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900"}</definedName>
    <definedName name="_434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899"}</definedName>
    <definedName name="_434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898"}</definedName>
    <definedName name="_434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897"}</definedName>
    <definedName name="_434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896"}</definedName>
    <definedName name="_43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94"}</definedName>
    <definedName name="_435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895"}</definedName>
    <definedName name="_435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894"}</definedName>
    <definedName name="_435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893"}</definedName>
    <definedName name="_435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892"}</definedName>
    <definedName name="_435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891"}</definedName>
    <definedName name="_435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890"}</definedName>
    <definedName name="_435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889"}</definedName>
    <definedName name="_435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888"}</definedName>
    <definedName name="_435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887"}</definedName>
    <definedName name="_435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886"}</definedName>
    <definedName name="_43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93"}</definedName>
    <definedName name="_436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885"}</definedName>
    <definedName name="_436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884"}</definedName>
    <definedName name="_436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883"}</definedName>
    <definedName name="_436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882"}</definedName>
    <definedName name="_436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881"}</definedName>
    <definedName name="_436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880"}</definedName>
    <definedName name="_436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879"}</definedName>
    <definedName name="_436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878"}</definedName>
    <definedName name="_436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877"}</definedName>
    <definedName name="_436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876"}</definedName>
    <definedName name="_43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92"}</definedName>
    <definedName name="_437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875"}</definedName>
    <definedName name="_437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874"}</definedName>
    <definedName name="_437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873"}</definedName>
    <definedName name="_437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872"}</definedName>
    <definedName name="_437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871"}</definedName>
    <definedName name="_437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870"}</definedName>
    <definedName name="_437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869"}</definedName>
    <definedName name="_437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868"}</definedName>
    <definedName name="_437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867"}</definedName>
    <definedName name="_437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866"}</definedName>
    <definedName name="_43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91"}</definedName>
    <definedName name="_438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865"}</definedName>
    <definedName name="_438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864"}</definedName>
    <definedName name="_438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863"}</definedName>
    <definedName name="_438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862"}</definedName>
    <definedName name="_438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861"}</definedName>
    <definedName name="_438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860"}</definedName>
    <definedName name="_438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859"}</definedName>
    <definedName name="_438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858"}</definedName>
    <definedName name="_438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857"}</definedName>
    <definedName name="_438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856"}</definedName>
    <definedName name="_43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90"}</definedName>
    <definedName name="_439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855"}</definedName>
    <definedName name="_439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854"}</definedName>
    <definedName name="_439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853"}</definedName>
    <definedName name="_439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852"}</definedName>
    <definedName name="_439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851"}</definedName>
    <definedName name="_439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850"}</definedName>
    <definedName name="_439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849"}</definedName>
    <definedName name="_439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848"}</definedName>
    <definedName name="_439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847"}</definedName>
    <definedName name="_439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846"}</definedName>
    <definedName name="_4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0.745902&amp;VAR:V=23.634077&amp;VAR:V0=26.079193&amp;VAR:V1=22.902585&amp;VAR:Y0=2000&amp;VAR:Y1=2001&amp;VAR:P=1436.510000&amp;VAR:DATE=20000929&amp;VAR:THRESH=-|-|","-|-|-|-|-"}</definedName>
    <definedName name="_44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89"}</definedName>
    <definedName name="_440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845"}</definedName>
    <definedName name="_440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844"}</definedName>
    <definedName name="_440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843"}</definedName>
    <definedName name="_440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842"}</definedName>
    <definedName name="_440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841"}</definedName>
    <definedName name="_440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840"}</definedName>
    <definedName name="_440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839"}</definedName>
    <definedName name="_440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838"}</definedName>
    <definedName name="_440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837"}</definedName>
    <definedName name="_440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836"}</definedName>
    <definedName name="_44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88"}</definedName>
    <definedName name="_441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835"}</definedName>
    <definedName name="_441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834"}</definedName>
    <definedName name="_441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833"}</definedName>
    <definedName name="_441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832"}</definedName>
    <definedName name="_441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831"}</definedName>
    <definedName name="_441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830"}</definedName>
    <definedName name="_441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829"}</definedName>
    <definedName name="_441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828"}</definedName>
    <definedName name="_441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827"}</definedName>
    <definedName name="_441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826"}</definedName>
    <definedName name="_44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87"}</definedName>
    <definedName name="_442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825"}</definedName>
    <definedName name="_442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824"}</definedName>
    <definedName name="_442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823"}</definedName>
    <definedName name="_442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822"}</definedName>
    <definedName name="_442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821"}</definedName>
    <definedName name="_442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820"}</definedName>
    <definedName name="_442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819"}</definedName>
    <definedName name="_442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818"}</definedName>
    <definedName name="_442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817"}</definedName>
    <definedName name="_442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816"}</definedName>
    <definedName name="_44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86"}</definedName>
    <definedName name="_443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815"}</definedName>
    <definedName name="_443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814"}</definedName>
    <definedName name="_443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813"}</definedName>
    <definedName name="_443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812"}</definedName>
    <definedName name="_443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811"}</definedName>
    <definedName name="_443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810"}</definedName>
    <definedName name="_443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809"}</definedName>
    <definedName name="_443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808"}</definedName>
    <definedName name="_443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807"}</definedName>
    <definedName name="_443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806"}</definedName>
    <definedName name="_44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85"}</definedName>
    <definedName name="_444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805"}</definedName>
    <definedName name="_444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804"}</definedName>
    <definedName name="_444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803"}</definedName>
    <definedName name="_444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802"}</definedName>
    <definedName name="_444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801"}</definedName>
    <definedName name="_444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800"}</definedName>
    <definedName name="_444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799"}</definedName>
    <definedName name="_444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798"}</definedName>
    <definedName name="_444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797"}</definedName>
    <definedName name="_444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796"}</definedName>
    <definedName name="_44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84"}</definedName>
    <definedName name="_445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795"}</definedName>
    <definedName name="_445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794"}</definedName>
    <definedName name="_445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793"}</definedName>
    <definedName name="_445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792"}</definedName>
    <definedName name="_445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791"}</definedName>
    <definedName name="_445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790"}</definedName>
    <definedName name="_445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789"}</definedName>
    <definedName name="_445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788"}</definedName>
    <definedName name="_445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787"}</definedName>
    <definedName name="_445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786"}</definedName>
    <definedName name="_44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83"}</definedName>
    <definedName name="_446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785"}</definedName>
    <definedName name="_446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784"}</definedName>
    <definedName name="_446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783"}</definedName>
    <definedName name="_446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782"}</definedName>
    <definedName name="_446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781"}</definedName>
    <definedName name="_446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780"}</definedName>
    <definedName name="_446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779"}</definedName>
    <definedName name="_446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778"}</definedName>
    <definedName name="_446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777"}</definedName>
    <definedName name="_446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776"}</definedName>
    <definedName name="_44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82"}</definedName>
    <definedName name="_447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775"}</definedName>
    <definedName name="_447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774"}</definedName>
    <definedName name="_447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773"}</definedName>
    <definedName name="_447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772"}</definedName>
    <definedName name="_447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771"}</definedName>
    <definedName name="_447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770"}</definedName>
    <definedName name="_447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769"}</definedName>
    <definedName name="_447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768"}</definedName>
    <definedName name="_447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767"}</definedName>
    <definedName name="_447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766"}</definedName>
    <definedName name="_44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81"}</definedName>
    <definedName name="_448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765"}</definedName>
    <definedName name="_448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764"}</definedName>
    <definedName name="_448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763"}</definedName>
    <definedName name="_448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762"}</definedName>
    <definedName name="_448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761"}</definedName>
    <definedName name="_448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760"}</definedName>
    <definedName name="_448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759"}</definedName>
    <definedName name="_448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758"}</definedName>
    <definedName name="_448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757"}</definedName>
    <definedName name="_448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756"}</definedName>
    <definedName name="_44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80"}</definedName>
    <definedName name="_449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755"}</definedName>
    <definedName name="_449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754"}</definedName>
    <definedName name="_449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753"}</definedName>
    <definedName name="_449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752"}</definedName>
    <definedName name="_449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751"}</definedName>
    <definedName name="_449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750"}</definedName>
    <definedName name="_449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749"}</definedName>
    <definedName name="_449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748"}</definedName>
    <definedName name="_449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747"}</definedName>
    <definedName name="_449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746"}</definedName>
    <definedName name="_4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0.497268&amp;VAR:V=25.304842&amp;VAR:V0=27.143784&amp;VAR:V1=23.682748&amp;VAR:Y0=2000&amp;VAR:Y1=2001&amp;VAR:P=1454.600000&amp;VAR:DATE=20000630&amp;VAR:THRESH=-|-|","-|-|-|-|-"}</definedName>
    <definedName name="_45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79"}</definedName>
    <definedName name="_450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745"}</definedName>
    <definedName name="_450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744"}</definedName>
    <definedName name="_450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743"}</definedName>
    <definedName name="_450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742"}</definedName>
    <definedName name="_450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741"}</definedName>
    <definedName name="_450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740"}</definedName>
    <definedName name="_450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739"}</definedName>
    <definedName name="_450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738"}</definedName>
    <definedName name="_450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737"}</definedName>
    <definedName name="_450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736"}</definedName>
    <definedName name="_45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78"}</definedName>
    <definedName name="_451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735"}</definedName>
    <definedName name="_451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734"}</definedName>
    <definedName name="_451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733"}</definedName>
    <definedName name="_451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732"}</definedName>
    <definedName name="_451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731"}</definedName>
    <definedName name="_451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730"}</definedName>
    <definedName name="_451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729"}</definedName>
    <definedName name="_451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728"}</definedName>
    <definedName name="_451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727"}</definedName>
    <definedName name="_451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726"}</definedName>
    <definedName name="_45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77"}</definedName>
    <definedName name="_452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725"}</definedName>
    <definedName name="_452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724"}</definedName>
    <definedName name="_452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723"}</definedName>
    <definedName name="_452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722"}</definedName>
    <definedName name="_452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721"}</definedName>
    <definedName name="_452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720"}</definedName>
    <definedName name="_452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719"}</definedName>
    <definedName name="_452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718"}</definedName>
    <definedName name="_452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717"}</definedName>
    <definedName name="_452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716"}</definedName>
    <definedName name="_45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76"}</definedName>
    <definedName name="_453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715"}</definedName>
    <definedName name="_453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714"}</definedName>
    <definedName name="_453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713"}</definedName>
    <definedName name="_453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712"}</definedName>
    <definedName name="_453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711"}</definedName>
    <definedName name="_453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710"}</definedName>
    <definedName name="_453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709"}</definedName>
    <definedName name="_453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708"}</definedName>
    <definedName name="_453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707"}</definedName>
    <definedName name="_453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706"}</definedName>
    <definedName name="_45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75"}</definedName>
    <definedName name="_454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705"}</definedName>
    <definedName name="_454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704"}</definedName>
    <definedName name="_454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703"}</definedName>
    <definedName name="_454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702"}</definedName>
    <definedName name="_454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701"}</definedName>
    <definedName name="_454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700"}</definedName>
    <definedName name="_454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699"}</definedName>
    <definedName name="_454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698"}</definedName>
    <definedName name="_454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697"}</definedName>
    <definedName name="_454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696"}</definedName>
    <definedName name="_45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74"}</definedName>
    <definedName name="_455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695"}</definedName>
    <definedName name="_455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694"}</definedName>
    <definedName name="_455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693"}</definedName>
    <definedName name="_455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692"}</definedName>
    <definedName name="_455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691"}</definedName>
    <definedName name="_455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690"}</definedName>
    <definedName name="_455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689"}</definedName>
    <definedName name="_455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688"}</definedName>
    <definedName name="_455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687"}</definedName>
    <definedName name="_455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686"}</definedName>
    <definedName name="_45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73"}</definedName>
    <definedName name="_456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685"}</definedName>
    <definedName name="_456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684"}</definedName>
    <definedName name="_456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683"}</definedName>
    <definedName name="_456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682"}</definedName>
    <definedName name="_456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681"}</definedName>
    <definedName name="_456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680"}</definedName>
    <definedName name="_456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679"}</definedName>
    <definedName name="_456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678"}</definedName>
    <definedName name="_456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677"}</definedName>
    <definedName name="_456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676"}</definedName>
    <definedName name="_45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72"}</definedName>
    <definedName name="_457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675"}</definedName>
    <definedName name="_457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674"}</definedName>
    <definedName name="_457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673"}</definedName>
    <definedName name="_457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672"}</definedName>
    <definedName name="_457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671"}</definedName>
    <definedName name="_457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670"}</definedName>
    <definedName name="_457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669"}</definedName>
    <definedName name="_457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668"}</definedName>
    <definedName name="_457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667"}</definedName>
    <definedName name="_457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666"}</definedName>
    <definedName name="_45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71"}</definedName>
    <definedName name="_458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665"}</definedName>
    <definedName name="_458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664"}</definedName>
    <definedName name="_458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663"}</definedName>
    <definedName name="_458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662"}</definedName>
    <definedName name="_458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661"}</definedName>
    <definedName name="_458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660"}</definedName>
    <definedName name="_458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659"}</definedName>
    <definedName name="_458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658"}</definedName>
    <definedName name="_458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657"}</definedName>
    <definedName name="_458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656"}</definedName>
    <definedName name="_45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70"}</definedName>
    <definedName name="_459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655"}</definedName>
    <definedName name="_459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654"}</definedName>
    <definedName name="_459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653"}</definedName>
    <definedName name="_459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652"}</definedName>
    <definedName name="_459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651"}</definedName>
    <definedName name="_459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650"}</definedName>
    <definedName name="_459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649"}</definedName>
    <definedName name="_459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648"}</definedName>
    <definedName name="_459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647"}</definedName>
    <definedName name="_459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646"}</definedName>
    <definedName name="_4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0.248634&amp;VAR:V=27.264378&amp;VAR:V0=28.313154&amp;VAR:V1=24.519645&amp;VAR:Y0=2000&amp;VAR:Y1=2001&amp;VAR:P=1498.580000&amp;VAR:DATE=20000331&amp;VAR:THRESH=-|-|","-|-|-|-|-"}</definedName>
    <definedName name="_46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69"}</definedName>
    <definedName name="_460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645"}</definedName>
    <definedName name="_460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644"}</definedName>
    <definedName name="_460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643"}</definedName>
    <definedName name="_460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642"}</definedName>
    <definedName name="_460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641"}</definedName>
    <definedName name="_460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640"}</definedName>
    <definedName name="_460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639"}</definedName>
    <definedName name="_460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638"}</definedName>
    <definedName name="_460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637"}</definedName>
    <definedName name="_460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636"}</definedName>
    <definedName name="_46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68"}</definedName>
    <definedName name="_461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635"}</definedName>
    <definedName name="_461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634"}</definedName>
    <definedName name="_461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633"}</definedName>
    <definedName name="_461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632"}</definedName>
    <definedName name="_461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631"}</definedName>
    <definedName name="_461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630"}</definedName>
    <definedName name="_461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629"}</definedName>
    <definedName name="_461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628"}</definedName>
    <definedName name="_461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627"}</definedName>
    <definedName name="_461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626"}</definedName>
    <definedName name="_46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67"}</definedName>
    <definedName name="_462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625"}</definedName>
    <definedName name="_462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624"}</definedName>
    <definedName name="_462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623"}</definedName>
    <definedName name="_462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622"}</definedName>
    <definedName name="_462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621"}</definedName>
    <definedName name="_462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620"}</definedName>
    <definedName name="_462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619"}</definedName>
    <definedName name="_462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618"}</definedName>
    <definedName name="_462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617"}</definedName>
    <definedName name="_462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616"}</definedName>
    <definedName name="_46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66"}</definedName>
    <definedName name="_463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615"}</definedName>
    <definedName name="_463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614"}</definedName>
    <definedName name="_463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613"}</definedName>
    <definedName name="_463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612"}</definedName>
    <definedName name="_463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611"}</definedName>
    <definedName name="_463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610"}</definedName>
    <definedName name="_463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609"}</definedName>
    <definedName name="_463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608"}</definedName>
    <definedName name="_463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607"}</definedName>
    <definedName name="_463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606"}</definedName>
    <definedName name="_46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65"}</definedName>
    <definedName name="_464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605"}</definedName>
    <definedName name="_464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604"}</definedName>
    <definedName name="_464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603"}</definedName>
    <definedName name="_464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602"}</definedName>
    <definedName name="_464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601"}</definedName>
    <definedName name="_464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600"}</definedName>
    <definedName name="_464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599"}</definedName>
    <definedName name="_464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598"}</definedName>
    <definedName name="_464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597"}</definedName>
    <definedName name="_464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596"}</definedName>
    <definedName name="_46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64"}</definedName>
    <definedName name="_465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595"}</definedName>
    <definedName name="_465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594"}</definedName>
    <definedName name="_465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593"}</definedName>
    <definedName name="_465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592"}</definedName>
    <definedName name="_465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591"}</definedName>
    <definedName name="_465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590"}</definedName>
    <definedName name="_465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589"}</definedName>
    <definedName name="_465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588"}</definedName>
    <definedName name="_465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587"}</definedName>
    <definedName name="_465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586"}</definedName>
    <definedName name="_46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63"}</definedName>
    <definedName name="_466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585"}</definedName>
    <definedName name="_466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584"}</definedName>
    <definedName name="_466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583"}</definedName>
    <definedName name="_466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582"}</definedName>
    <definedName name="_466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581"}</definedName>
    <definedName name="_466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580"}</definedName>
    <definedName name="_466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579"}</definedName>
    <definedName name="_466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578"}</definedName>
    <definedName name="_466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577"}</definedName>
    <definedName name="_466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576"}</definedName>
    <definedName name="_46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62"}</definedName>
    <definedName name="_467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575"}</definedName>
    <definedName name="_467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574"}</definedName>
    <definedName name="_467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573"}</definedName>
    <definedName name="_467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572"}</definedName>
    <definedName name="_467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571"}</definedName>
    <definedName name="_467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570"}</definedName>
    <definedName name="_467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569"}</definedName>
    <definedName name="_467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568"}</definedName>
    <definedName name="_467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567"}</definedName>
    <definedName name="_467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566"}</definedName>
    <definedName name="_46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61"}</definedName>
    <definedName name="_468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565"}</definedName>
    <definedName name="_468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564"}</definedName>
    <definedName name="_468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563"}</definedName>
    <definedName name="_468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562"}</definedName>
    <definedName name="_468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561"}</definedName>
    <definedName name="_468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560"}</definedName>
    <definedName name="_468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559"}</definedName>
    <definedName name="_468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558"}</definedName>
    <definedName name="_468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557"}</definedName>
    <definedName name="_468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556"}</definedName>
    <definedName name="_46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60"}</definedName>
    <definedName name="_469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555"}</definedName>
    <definedName name="_469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554"}</definedName>
    <definedName name="_469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553"}</definedName>
    <definedName name="_469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552"}</definedName>
    <definedName name="_469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551"}</definedName>
    <definedName name="_469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550"}</definedName>
    <definedName name="_469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549"}</definedName>
    <definedName name="_469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548"}</definedName>
    <definedName name="_469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547"}</definedName>
    <definedName name="_469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546"}</definedName>
    <definedName name="_4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27.350296&amp;VAR:V0=32.178074&amp;VAR:V1=27.350296&amp;VAR:Y0=1999&amp;VAR:Y1=2000&amp;VAR:P=1469.250000&amp;VAR:DATE=19991231&amp;VAR:THRESH=-|-|","-|-|-|-|-"}</definedName>
    <definedName name="_47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59"}</definedName>
    <definedName name="_470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545"}</definedName>
    <definedName name="_470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544"}</definedName>
    <definedName name="_470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543"}</definedName>
    <definedName name="_470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542"}</definedName>
    <definedName name="_470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541"}</definedName>
    <definedName name="_470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540"}</definedName>
    <definedName name="_470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539"}</definedName>
    <definedName name="_470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538"}</definedName>
    <definedName name="_470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537"}</definedName>
    <definedName name="_470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536"}</definedName>
    <definedName name="_47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58"}</definedName>
    <definedName name="_471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535"}</definedName>
    <definedName name="_471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534"}</definedName>
    <definedName name="_471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533"}</definedName>
    <definedName name="_471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532"}</definedName>
    <definedName name="_471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531"}</definedName>
    <definedName name="_471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530"}</definedName>
    <definedName name="_471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529"}</definedName>
    <definedName name="_471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528"}</definedName>
    <definedName name="_471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527"}</definedName>
    <definedName name="_471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526"}</definedName>
    <definedName name="_47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57"}</definedName>
    <definedName name="_472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525"}</definedName>
    <definedName name="_472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524"}</definedName>
    <definedName name="_472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523"}</definedName>
    <definedName name="_472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522"}</definedName>
    <definedName name="_472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521"}</definedName>
    <definedName name="_472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520"}</definedName>
    <definedName name="_472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519"}</definedName>
    <definedName name="_472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518"}</definedName>
    <definedName name="_472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517"}</definedName>
    <definedName name="_472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516"}</definedName>
    <definedName name="_47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56"}</definedName>
    <definedName name="_473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515"}</definedName>
    <definedName name="_473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514"}</definedName>
    <definedName name="_473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513"}</definedName>
    <definedName name="_473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512"}</definedName>
    <definedName name="_473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511"}</definedName>
    <definedName name="_473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510"}</definedName>
    <definedName name="_473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509"}</definedName>
    <definedName name="_473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508"}</definedName>
    <definedName name="_473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507"}</definedName>
    <definedName name="_473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506"}</definedName>
    <definedName name="_47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55"}</definedName>
    <definedName name="_474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505"}</definedName>
    <definedName name="_474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504"}</definedName>
    <definedName name="_474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503"}</definedName>
    <definedName name="_474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502"}</definedName>
    <definedName name="_474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501"}</definedName>
    <definedName name="_474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500"}</definedName>
    <definedName name="_474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499"}</definedName>
    <definedName name="_474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498"}</definedName>
    <definedName name="_474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497"}</definedName>
    <definedName name="_474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496"}</definedName>
    <definedName name="_47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54"}</definedName>
    <definedName name="_475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495"}</definedName>
    <definedName name="_475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494"}</definedName>
    <definedName name="_475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493"}</definedName>
    <definedName name="_475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492"}</definedName>
    <definedName name="_475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491"}</definedName>
    <definedName name="_475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490"}</definedName>
    <definedName name="_475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489"}</definedName>
    <definedName name="_475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488"}</definedName>
    <definedName name="_475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487"}</definedName>
    <definedName name="_475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486"}</definedName>
    <definedName name="_47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53"}</definedName>
    <definedName name="_476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485"}</definedName>
    <definedName name="_476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484"}</definedName>
    <definedName name="_476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483"}</definedName>
    <definedName name="_476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482"}</definedName>
    <definedName name="_476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481"}</definedName>
    <definedName name="_476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480"}</definedName>
    <definedName name="_476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479"}</definedName>
    <definedName name="_476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478"}</definedName>
    <definedName name="_476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477"}</definedName>
    <definedName name="_476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476"}</definedName>
    <definedName name="_47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52"}</definedName>
    <definedName name="_477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475"}</definedName>
    <definedName name="_477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474"}</definedName>
    <definedName name="_477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473"}</definedName>
    <definedName name="_477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472"}</definedName>
    <definedName name="_477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471"}</definedName>
    <definedName name="_477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470"}</definedName>
    <definedName name="_477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469"}</definedName>
    <definedName name="_477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468"}</definedName>
    <definedName name="_477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467"}</definedName>
    <definedName name="_477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466"}</definedName>
    <definedName name="_47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51"}</definedName>
    <definedName name="_478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465"}</definedName>
    <definedName name="_478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464"}</definedName>
    <definedName name="_478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463"}</definedName>
    <definedName name="_478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462"}</definedName>
    <definedName name="_478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461"}</definedName>
    <definedName name="_478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460"}</definedName>
    <definedName name="_478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459"}</definedName>
    <definedName name="_478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458"}</definedName>
    <definedName name="_478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457"}</definedName>
    <definedName name="_478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456"}</definedName>
    <definedName name="_47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50"}</definedName>
    <definedName name="_479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455"}</definedName>
    <definedName name="_479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454"}</definedName>
    <definedName name="_479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453"}</definedName>
    <definedName name="_479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452"}</definedName>
    <definedName name="_479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451"}</definedName>
    <definedName name="_479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450"}</definedName>
    <definedName name="_479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449"}</definedName>
    <definedName name="_479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448"}</definedName>
    <definedName name="_479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447"}</definedName>
    <definedName name="_479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446"}</definedName>
    <definedName name="_4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23.799277&amp;VAR:V0=26.775399&amp;VAR:V1=22.940000&amp;VAR:Y0=1999&amp;VAR:Y1=2000&amp;VAR:P=1282.710000&amp;VAR:DATE=19990930&amp;VAR:THRESH=-|-|","-|-|-|-|-"}</definedName>
    <definedName name="_48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49"}</definedName>
    <definedName name="_480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445"}</definedName>
    <definedName name="_480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444"}</definedName>
    <definedName name="_480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443"}</definedName>
    <definedName name="_480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442"}</definedName>
    <definedName name="_480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441"}</definedName>
    <definedName name="_480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440"}</definedName>
    <definedName name="_480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439"}</definedName>
    <definedName name="_480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438"}</definedName>
    <definedName name="_480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437"}</definedName>
    <definedName name="_480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436"}</definedName>
    <definedName name="_48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48"}</definedName>
    <definedName name="_481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435"}</definedName>
    <definedName name="_481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434"}</definedName>
    <definedName name="_481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433"}</definedName>
    <definedName name="_481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432"}</definedName>
    <definedName name="_481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431"}</definedName>
    <definedName name="_481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430"}</definedName>
    <definedName name="_481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429"}</definedName>
    <definedName name="_481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428"}</definedName>
    <definedName name="_481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427"}</definedName>
    <definedName name="_481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426"}</definedName>
    <definedName name="_48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47"}</definedName>
    <definedName name="_482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425"}</definedName>
    <definedName name="_482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424"}</definedName>
    <definedName name="_482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423"}</definedName>
    <definedName name="_482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422"}</definedName>
    <definedName name="_482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421"}</definedName>
    <definedName name="_482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420"}</definedName>
    <definedName name="_482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419"}</definedName>
    <definedName name="_482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418"}</definedName>
    <definedName name="_482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417"}</definedName>
    <definedName name="_482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416"}</definedName>
    <definedName name="_48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46"}</definedName>
    <definedName name="_483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415"}</definedName>
    <definedName name="_483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414"}</definedName>
    <definedName name="_483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413"}</definedName>
    <definedName name="_483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412"}</definedName>
    <definedName name="_483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411"}</definedName>
    <definedName name="_483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410"}</definedName>
    <definedName name="_483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409"}</definedName>
    <definedName name="_483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408"}</definedName>
    <definedName name="_483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407"}</definedName>
    <definedName name="_483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406"}</definedName>
    <definedName name="_48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45"}</definedName>
    <definedName name="_484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405"}</definedName>
    <definedName name="_484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404"}</definedName>
    <definedName name="_484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403"}</definedName>
    <definedName name="_484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402"}</definedName>
    <definedName name="_484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401"}</definedName>
    <definedName name="_484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400"}</definedName>
    <definedName name="_484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399"}</definedName>
    <definedName name="_484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398"}</definedName>
    <definedName name="_484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397"}</definedName>
    <definedName name="_484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396"}</definedName>
    <definedName name="_48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44"}</definedName>
    <definedName name="_485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395"}</definedName>
    <definedName name="_485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394"}</definedName>
    <definedName name="_485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393"}</definedName>
    <definedName name="_485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392"}</definedName>
    <definedName name="_485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391"}</definedName>
    <definedName name="_485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390"}</definedName>
    <definedName name="_485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389"}</definedName>
    <definedName name="_485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388"}</definedName>
    <definedName name="_485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387"}</definedName>
    <definedName name="_485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386"}</definedName>
    <definedName name="_48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43"}</definedName>
    <definedName name="_486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385"}</definedName>
    <definedName name="_486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384"}</definedName>
    <definedName name="_486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383"}</definedName>
    <definedName name="_486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382"}</definedName>
    <definedName name="_486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381"}</definedName>
    <definedName name="_486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380"}</definedName>
    <definedName name="_486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379"}</definedName>
    <definedName name="_486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378"}</definedName>
    <definedName name="_486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377"}</definedName>
    <definedName name="_486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376"}</definedName>
    <definedName name="_48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42"}</definedName>
    <definedName name="_487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375"}</definedName>
    <definedName name="_487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374"}</definedName>
    <definedName name="_487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373"}</definedName>
    <definedName name="_487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372"}</definedName>
    <definedName name="_487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371"}</definedName>
    <definedName name="_487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370"}</definedName>
    <definedName name="_487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369"}</definedName>
    <definedName name="_487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368"}</definedName>
    <definedName name="_487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367"}</definedName>
    <definedName name="_487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366"}</definedName>
    <definedName name="_48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41"}</definedName>
    <definedName name="_488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365"}</definedName>
    <definedName name="_488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364"}</definedName>
    <definedName name="_488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363"}</definedName>
    <definedName name="_488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362"}</definedName>
    <definedName name="_488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361"}</definedName>
    <definedName name="_488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360"}</definedName>
    <definedName name="_488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359"}</definedName>
    <definedName name="_488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358"}</definedName>
    <definedName name="_488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357"}</definedName>
    <definedName name="_488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356"}</definedName>
    <definedName name="_48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40"}</definedName>
    <definedName name="_489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355"}</definedName>
    <definedName name="_489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354"}</definedName>
    <definedName name="_489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353"}</definedName>
    <definedName name="_489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352"}</definedName>
    <definedName name="_489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351"}</definedName>
    <definedName name="_489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350"}</definedName>
    <definedName name="_489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349"}</definedName>
    <definedName name="_489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348"}</definedName>
    <definedName name="_489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347"}</definedName>
    <definedName name="_489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346"}</definedName>
    <definedName name="_4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26.131692&amp;VAR:V0=28.253548&amp;VAR:V1=24.278169&amp;VAR:Y0=1999&amp;VAR:Y1=2000&amp;VAR:P=1372.710000&amp;VAR:DATE=19990630&amp;VAR:THRESH=-|-|","-|-|-|-|-"}</definedName>
    <definedName name="_49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39"}</definedName>
    <definedName name="_490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345"}</definedName>
    <definedName name="_490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344"}</definedName>
    <definedName name="_490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343"}</definedName>
    <definedName name="_490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342"}</definedName>
    <definedName name="_490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341"}</definedName>
    <definedName name="_490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340"}</definedName>
    <definedName name="_490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339"}</definedName>
    <definedName name="_490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338"}</definedName>
    <definedName name="_490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337"}</definedName>
    <definedName name="_490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336"}</definedName>
    <definedName name="_49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38"}</definedName>
    <definedName name="_491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335"}</definedName>
    <definedName name="_491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334"}</definedName>
    <definedName name="_491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333"}</definedName>
    <definedName name="_491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332"}</definedName>
    <definedName name="_491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331"}</definedName>
    <definedName name="_491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330"}</definedName>
    <definedName name="_491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329"}</definedName>
    <definedName name="_491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328"}</definedName>
    <definedName name="_491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327"}</definedName>
    <definedName name="_491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326"}</definedName>
    <definedName name="_49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37"}</definedName>
    <definedName name="_492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325"}</definedName>
    <definedName name="_492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324"}</definedName>
    <definedName name="_492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323"}</definedName>
    <definedName name="_492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322"}</definedName>
    <definedName name="_492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321"}</definedName>
    <definedName name="_492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320"}</definedName>
    <definedName name="_492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319"}</definedName>
    <definedName name="_492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318"}</definedName>
    <definedName name="_492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317"}</definedName>
    <definedName name="_492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316"}</definedName>
    <definedName name="_49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36"}</definedName>
    <definedName name="_493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315"}</definedName>
    <definedName name="_493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314"}</definedName>
    <definedName name="_493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313"}</definedName>
    <definedName name="_493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312"}</definedName>
    <definedName name="_493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311"}</definedName>
    <definedName name="_493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310"}</definedName>
    <definedName name="_493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309"}</definedName>
    <definedName name="_493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308"}</definedName>
    <definedName name="_493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307"}</definedName>
    <definedName name="_493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306"}</definedName>
    <definedName name="_49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35"}</definedName>
    <definedName name="_494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305"}</definedName>
    <definedName name="_494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304"}</definedName>
    <definedName name="_494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303"}</definedName>
    <definedName name="_494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302"}</definedName>
    <definedName name="_494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301"}</definedName>
    <definedName name="_494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300"}</definedName>
    <definedName name="_494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299"}</definedName>
    <definedName name="_494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298"}</definedName>
    <definedName name="_494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297"}</definedName>
    <definedName name="_494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296"}</definedName>
    <definedName name="_49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34"}</definedName>
    <definedName name="_495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295"}</definedName>
    <definedName name="_495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294"}</definedName>
    <definedName name="_495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293"}</definedName>
    <definedName name="_495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292"}</definedName>
    <definedName name="_495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291"}</definedName>
    <definedName name="_495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290"}</definedName>
    <definedName name="_495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289"}</definedName>
    <definedName name="_495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288"}</definedName>
    <definedName name="_495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287"}</definedName>
    <definedName name="_495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286"}</definedName>
    <definedName name="_49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33"}</definedName>
    <definedName name="_496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285"}</definedName>
    <definedName name="_496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284"}</definedName>
    <definedName name="_496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283"}</definedName>
    <definedName name="_496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282"}</definedName>
    <definedName name="_496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281"}</definedName>
    <definedName name="_496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280"}</definedName>
    <definedName name="_496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279"}</definedName>
    <definedName name="_496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278"}</definedName>
    <definedName name="_496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277"}</definedName>
    <definedName name="_496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276"}</definedName>
    <definedName name="_49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32"}</definedName>
    <definedName name="_497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275"}</definedName>
    <definedName name="_497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274"}</definedName>
    <definedName name="_497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273"}</definedName>
    <definedName name="_497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272"}</definedName>
    <definedName name="_497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271"}</definedName>
    <definedName name="_497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270"}</definedName>
    <definedName name="_497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269"}</definedName>
    <definedName name="_497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268"}</definedName>
    <definedName name="_497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267"}</definedName>
    <definedName name="_497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266"}</definedName>
    <definedName name="_49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31"}</definedName>
    <definedName name="_498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265"}</definedName>
    <definedName name="_498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264"}</definedName>
    <definedName name="_498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263"}</definedName>
    <definedName name="_498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262"}</definedName>
    <definedName name="_498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261"}</definedName>
    <definedName name="_498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260"}</definedName>
    <definedName name="_498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259"}</definedName>
    <definedName name="_498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258"}</definedName>
    <definedName name="_498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257"}</definedName>
    <definedName name="_498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256"}</definedName>
    <definedName name="_49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30"}</definedName>
    <definedName name="_499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255"}</definedName>
    <definedName name="_499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254"}</definedName>
    <definedName name="_499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253"}</definedName>
    <definedName name="_499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252"}</definedName>
    <definedName name="_499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251"}</definedName>
    <definedName name="_499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250"}</definedName>
    <definedName name="_499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249"}</definedName>
    <definedName name="_499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248"}</definedName>
    <definedName name="_499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247"}</definedName>
    <definedName name="_499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246"}</definedName>
    <definedName name="_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11.529876&amp;VAR:V0=12.544592&amp;VAR:V1=10.653818&amp;VAR:Y0=2010&amp;VAR:Y1=2011&amp;VAR:P=1030.710083&amp;VAR:DATE=20100630&amp;VAR:THRESH=-|-|","-|-|-|-|-"}</definedName>
    <definedName name="_5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25.158134&amp;VAR:V0=26.515841&amp;VAR:V1=21.754520&amp;VAR:Y0=1999&amp;VAR:Y1=2000&amp;VAR:P=1286.370000&amp;VAR:DATE=19990331&amp;VAR:THRESH=-|-|","-|-|-|-|-"}</definedName>
    <definedName name="_50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29"}</definedName>
    <definedName name="_500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245"}</definedName>
    <definedName name="_500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244"}</definedName>
    <definedName name="_500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243"}</definedName>
    <definedName name="_500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242"}</definedName>
    <definedName name="_500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241"}</definedName>
    <definedName name="_500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240"}</definedName>
    <definedName name="_500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239"}</definedName>
    <definedName name="_500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238"}</definedName>
    <definedName name="_500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237"}</definedName>
    <definedName name="_500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236"}</definedName>
    <definedName name="_50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28"}</definedName>
    <definedName name="_501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235"}</definedName>
    <definedName name="_501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234"}</definedName>
    <definedName name="_501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233"}</definedName>
    <definedName name="_501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232"}</definedName>
    <definedName name="_501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231"}</definedName>
    <definedName name="_501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230"}</definedName>
    <definedName name="_501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229"}</definedName>
    <definedName name="_501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228"}</definedName>
    <definedName name="_501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227"}</definedName>
    <definedName name="_501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226"}</definedName>
    <definedName name="_50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27"}</definedName>
    <definedName name="_502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225"}</definedName>
    <definedName name="_502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224"}</definedName>
    <definedName name="_502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223"}</definedName>
    <definedName name="_502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222"}</definedName>
    <definedName name="_502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221"}</definedName>
    <definedName name="_502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220"}</definedName>
    <definedName name="_502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219"}</definedName>
    <definedName name="_502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218"}</definedName>
    <definedName name="_502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217"}</definedName>
    <definedName name="_502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216"}</definedName>
    <definedName name="_50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26"}</definedName>
    <definedName name="_503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215"}</definedName>
    <definedName name="_503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214"}</definedName>
    <definedName name="_503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213"}</definedName>
    <definedName name="_503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212"}</definedName>
    <definedName name="_503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211"}</definedName>
    <definedName name="_503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210"}</definedName>
    <definedName name="_503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209"}</definedName>
    <definedName name="_503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208"}</definedName>
    <definedName name="_503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207"}</definedName>
    <definedName name="_503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206"}</definedName>
    <definedName name="_50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25"}</definedName>
    <definedName name="_504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205"}</definedName>
    <definedName name="_504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204"}</definedName>
    <definedName name="_504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203"}</definedName>
    <definedName name="_504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202"}</definedName>
    <definedName name="_504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201"}</definedName>
    <definedName name="_504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200"}</definedName>
    <definedName name="_504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199"}</definedName>
    <definedName name="_504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198"}</definedName>
    <definedName name="_504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197"}</definedName>
    <definedName name="_504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196"}</definedName>
    <definedName name="_50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24"}</definedName>
    <definedName name="_505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195"}</definedName>
    <definedName name="_505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194"}</definedName>
    <definedName name="_505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193"}</definedName>
    <definedName name="_505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192"}</definedName>
    <definedName name="_505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191"}</definedName>
    <definedName name="_505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190"}</definedName>
    <definedName name="_505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189"}</definedName>
    <definedName name="_505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188"}</definedName>
    <definedName name="_505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187"}</definedName>
    <definedName name="_505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186"}</definedName>
    <definedName name="_50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23"}</definedName>
    <definedName name="_506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185"}</definedName>
    <definedName name="_506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184"}</definedName>
    <definedName name="_506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183"}</definedName>
    <definedName name="_506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182"}</definedName>
    <definedName name="_506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181"}</definedName>
    <definedName name="_506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180"}</definedName>
    <definedName name="_506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179"}</definedName>
    <definedName name="_506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178"}</definedName>
    <definedName name="_506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177"}</definedName>
    <definedName name="_506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176"}</definedName>
    <definedName name="_50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22"}</definedName>
    <definedName name="_507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175"}</definedName>
    <definedName name="_507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174"}</definedName>
    <definedName name="_507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173"}</definedName>
    <definedName name="_507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172"}</definedName>
    <definedName name="_507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171"}</definedName>
    <definedName name="_507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170"}</definedName>
    <definedName name="_507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169"}</definedName>
    <definedName name="_507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168"}</definedName>
    <definedName name="_507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167"}</definedName>
    <definedName name="_507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166"}</definedName>
    <definedName name="_50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21"}</definedName>
    <definedName name="_508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165"}</definedName>
    <definedName name="_508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164"}</definedName>
    <definedName name="_508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163"}</definedName>
    <definedName name="_508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162"}</definedName>
    <definedName name="_508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161"}</definedName>
    <definedName name="_508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160"}</definedName>
    <definedName name="_508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159"}</definedName>
    <definedName name="_508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158"}</definedName>
    <definedName name="_508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157"}</definedName>
    <definedName name="_508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156"}</definedName>
    <definedName name="_50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20"}</definedName>
    <definedName name="_509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155"}</definedName>
    <definedName name="_509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154"}</definedName>
    <definedName name="_509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153"}</definedName>
    <definedName name="_509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152"}</definedName>
    <definedName name="_509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151"}</definedName>
    <definedName name="_509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150"}</definedName>
    <definedName name="_509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149"}</definedName>
    <definedName name="_509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148"}</definedName>
    <definedName name="_509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147"}</definedName>
    <definedName name="_509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146"}</definedName>
    <definedName name="_5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10.568144&amp;VAR:V0=11.605908&amp;VAR:V1=10.259008&amp;VAR:Y0=2011&amp;VAR:Y1=2012&amp;VAR:P=1131.420360&amp;VAR:DATE=20110930&amp;VAR:THRESH=-|-|","-|-|-|-|-"}</definedName>
    <definedName name="_51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19"}</definedName>
    <definedName name="_510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145"}</definedName>
    <definedName name="_510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144"}</definedName>
    <definedName name="_510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143"}</definedName>
    <definedName name="_510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142"}</definedName>
    <definedName name="_510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141"}</definedName>
    <definedName name="_510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140"}</definedName>
    <definedName name="_510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139"}</definedName>
    <definedName name="_510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138"}</definedName>
    <definedName name="_510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137"}</definedName>
    <definedName name="_510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136"}</definedName>
    <definedName name="_51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18"}</definedName>
    <definedName name="_511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135"}</definedName>
    <definedName name="_511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134"}</definedName>
    <definedName name="_511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133"}</definedName>
    <definedName name="_511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132"}</definedName>
    <definedName name="_511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131"}</definedName>
    <definedName name="_511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130"}</definedName>
    <definedName name="_511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129"}</definedName>
    <definedName name="_511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128"}</definedName>
    <definedName name="_511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127"}</definedName>
    <definedName name="_511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126"}</definedName>
    <definedName name="_51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17"}</definedName>
    <definedName name="_512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125"}</definedName>
    <definedName name="_512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124"}</definedName>
    <definedName name="_512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123"}</definedName>
    <definedName name="_512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122"}</definedName>
    <definedName name="_512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121"}</definedName>
    <definedName name="_512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120"}</definedName>
    <definedName name="_512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119"}</definedName>
    <definedName name="_512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118"}</definedName>
    <definedName name="_512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117"}</definedName>
    <definedName name="_512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116"}</definedName>
    <definedName name="_51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16"}</definedName>
    <definedName name="_513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115"}</definedName>
    <definedName name="_513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114"}</definedName>
    <definedName name="_513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113"}</definedName>
    <definedName name="_513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112"}</definedName>
    <definedName name="_513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111"}</definedName>
    <definedName name="_513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110"}</definedName>
    <definedName name="_513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109"}</definedName>
    <definedName name="_513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108"}</definedName>
    <definedName name="_513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107"}</definedName>
    <definedName name="_513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106"}</definedName>
    <definedName name="_51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15"}</definedName>
    <definedName name="_514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105"}</definedName>
    <definedName name="_514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104"}</definedName>
    <definedName name="_514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103"}</definedName>
    <definedName name="_514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102"}</definedName>
    <definedName name="_514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101"}</definedName>
    <definedName name="_514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100"}</definedName>
    <definedName name="_514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99"}</definedName>
    <definedName name="_514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98"}</definedName>
    <definedName name="_514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97"}</definedName>
    <definedName name="_514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96"}</definedName>
    <definedName name="_51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14"}</definedName>
    <definedName name="_515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95"}</definedName>
    <definedName name="_515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94"}</definedName>
    <definedName name="_515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93"}</definedName>
    <definedName name="_515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92"}</definedName>
    <definedName name="_515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91"}</definedName>
    <definedName name="_515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90"}</definedName>
    <definedName name="_515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89"}</definedName>
    <definedName name="_515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88"}</definedName>
    <definedName name="_515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87"}</definedName>
    <definedName name="_515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86"}</definedName>
    <definedName name="_51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13"}</definedName>
    <definedName name="_516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85"}</definedName>
    <definedName name="_516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84"}</definedName>
    <definedName name="_516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83"}</definedName>
    <definedName name="_516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82"}</definedName>
    <definedName name="_516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81"}</definedName>
    <definedName name="_516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80"}</definedName>
    <definedName name="_516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79"}</definedName>
    <definedName name="_516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78"}</definedName>
    <definedName name="_516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77"}</definedName>
    <definedName name="_516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76"}</definedName>
    <definedName name="_51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12"}</definedName>
    <definedName name="_517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75"}</definedName>
    <definedName name="_517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74"}</definedName>
    <definedName name="_517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73"}</definedName>
    <definedName name="_517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72"}</definedName>
    <definedName name="_517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71"}</definedName>
    <definedName name="_517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70"}</definedName>
    <definedName name="_517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69"}</definedName>
    <definedName name="_517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68"}</definedName>
    <definedName name="_517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67"}</definedName>
    <definedName name="_517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66"}</definedName>
    <definedName name="_51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11"}</definedName>
    <definedName name="_518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65"}</definedName>
    <definedName name="_518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64"}</definedName>
    <definedName name="_518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63"}</definedName>
    <definedName name="_518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62"}</definedName>
    <definedName name="_518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61"}</definedName>
    <definedName name="_518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60"}</definedName>
    <definedName name="_518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59"}</definedName>
    <definedName name="_518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58"}</definedName>
    <definedName name="_518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57"}</definedName>
    <definedName name="_518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56"}</definedName>
    <definedName name="_51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10"}</definedName>
    <definedName name="_519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55"}</definedName>
    <definedName name="_519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54"}</definedName>
    <definedName name="_519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53"}</definedName>
    <definedName name="_519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52"}</definedName>
    <definedName name="_519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51"}</definedName>
    <definedName name="_519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50"}</definedName>
    <definedName name="_519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49"}</definedName>
    <definedName name="_519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48"}</definedName>
    <definedName name="_519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47"}</definedName>
    <definedName name="_519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46"}</definedName>
    <definedName name="_5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12.551493&amp;VAR:V0=13.466262&amp;VAR:V1=11.740721&amp;VAR:Y0=2011&amp;VAR:Y1=2012&amp;VAR:P=1320.639049&amp;VAR:DATE=20110630&amp;VAR:THRESH=-|-|","-|-|-|-|-"}</definedName>
    <definedName name="_520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9"}</definedName>
    <definedName name="_520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45"}</definedName>
    <definedName name="_520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44"}</definedName>
    <definedName name="_520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43"}</definedName>
    <definedName name="_520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42"}</definedName>
    <definedName name="_520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41"}</definedName>
    <definedName name="_520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40"}</definedName>
    <definedName name="_520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39"}</definedName>
    <definedName name="_520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38"}</definedName>
    <definedName name="_520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37"}</definedName>
    <definedName name="_520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36"}</definedName>
    <definedName name="_521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8"}</definedName>
    <definedName name="_521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35"}</definedName>
    <definedName name="_521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34"}</definedName>
    <definedName name="_521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33"}</definedName>
    <definedName name="_521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32"}</definedName>
    <definedName name="_521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31"}</definedName>
    <definedName name="_521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30"}</definedName>
    <definedName name="_521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29"}</definedName>
    <definedName name="_521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28"}</definedName>
    <definedName name="_521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27"}</definedName>
    <definedName name="_521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26"}</definedName>
    <definedName name="_522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7"}</definedName>
    <definedName name="_522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25"}</definedName>
    <definedName name="_522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24"}</definedName>
    <definedName name="_522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23"}</definedName>
    <definedName name="_522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22"}</definedName>
    <definedName name="_522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21"}</definedName>
    <definedName name="_522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20"}</definedName>
    <definedName name="_522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19"}</definedName>
    <definedName name="_522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18"}</definedName>
    <definedName name="_522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17"}</definedName>
    <definedName name="_522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16"}</definedName>
    <definedName name="_523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6"}</definedName>
    <definedName name="_523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15"}</definedName>
    <definedName name="_523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14"}</definedName>
    <definedName name="_523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13"}</definedName>
    <definedName name="_523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12"}</definedName>
    <definedName name="_523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11"}</definedName>
    <definedName name="_523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10"}</definedName>
    <definedName name="_5236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9"}</definedName>
    <definedName name="_5237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8"}</definedName>
    <definedName name="_5238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7"}</definedName>
    <definedName name="_5239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6"}</definedName>
    <definedName name="_524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5"}</definedName>
    <definedName name="_5240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5"}</definedName>
    <definedName name="_5241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4"}</definedName>
    <definedName name="_5242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3"}</definedName>
    <definedName name="_5243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2"}</definedName>
    <definedName name="_5244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1"}</definedName>
    <definedName name="_5245__FDSAUDITLINK__">{"fdsup://directions/FAT Viewer?action=UPDATE&amp;creator=factset&amp;DYN_ARGS=TRUE&amp;DOC_NAME=FAT:FQL_AUDITING_CLIENT_TEMPLATE.FAT&amp;display_string=Audit&amp;VAR:KEY=EBCPGFAFAF&amp;VAR:QUERY=RkZfRU5UUlBSX1ZBTF9FQklUREFfT1BFUihRVFIsLTVBWSxOT1csRCk=&amp;WINDOW=FIRST_POPUP&amp;HEIGHT=45","0&amp;WIDTH=450&amp;START_MAXIMIZED=FALSE&amp;VAR:CALENDAR=US&amp;VAR:SYMBOL=GOOG&amp;VAR:INDEX=0"}</definedName>
    <definedName name="_524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758"}</definedName>
    <definedName name="_524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757"}</definedName>
    <definedName name="_524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756"}</definedName>
    <definedName name="_524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755"}</definedName>
    <definedName name="_525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4"}</definedName>
    <definedName name="_525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754"}</definedName>
    <definedName name="_525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753"}</definedName>
    <definedName name="_525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752"}</definedName>
    <definedName name="_525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751"}</definedName>
    <definedName name="_525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750"}</definedName>
    <definedName name="_525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749"}</definedName>
    <definedName name="_525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748"}</definedName>
    <definedName name="_525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747"}</definedName>
    <definedName name="_525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746"}</definedName>
    <definedName name="_525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745"}</definedName>
    <definedName name="_526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3"}</definedName>
    <definedName name="_526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744"}</definedName>
    <definedName name="_526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743"}</definedName>
    <definedName name="_526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742"}</definedName>
    <definedName name="_526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741"}</definedName>
    <definedName name="_526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740"}</definedName>
    <definedName name="_526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739"}</definedName>
    <definedName name="_526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738"}</definedName>
    <definedName name="_526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737"}</definedName>
    <definedName name="_526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736"}</definedName>
    <definedName name="_526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735"}</definedName>
    <definedName name="_527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2"}</definedName>
    <definedName name="_527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734"}</definedName>
    <definedName name="_527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733"}</definedName>
    <definedName name="_527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732"}</definedName>
    <definedName name="_527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731"}</definedName>
    <definedName name="_527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730"}</definedName>
    <definedName name="_527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729"}</definedName>
    <definedName name="_527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728"}</definedName>
    <definedName name="_527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727"}</definedName>
    <definedName name="_527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726"}</definedName>
    <definedName name="_527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725"}</definedName>
    <definedName name="_528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1"}</definedName>
    <definedName name="_528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724"}</definedName>
    <definedName name="_528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723"}</definedName>
    <definedName name="_528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722"}</definedName>
    <definedName name="_528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721"}</definedName>
    <definedName name="_528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720"}</definedName>
    <definedName name="_528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719"}</definedName>
    <definedName name="_528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718"}</definedName>
    <definedName name="_528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717"}</definedName>
    <definedName name="_528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716"}</definedName>
    <definedName name="_528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715"}</definedName>
    <definedName name="_529__FDSAUDITLINK__">{"fdsup://directions/FAT Viewer?action=UPDATE&amp;creator=factset&amp;DYN_ARGS=TRUE&amp;DOC_NAME=FAT:FQL_AUDITING_CLIENT_TEMPLATE.FAT&amp;display_string=Audit&amp;VAR:KEY=UXQRYFSZEJ&amp;VAR:QUERY=RkZfRU5UUlBSX1ZBTF9FQklUREFfT1BFUihBTk4sLTVBWSxOT1csVyk=&amp;WINDOW=FIRST_POPUP&amp;HEIGHT=45","0&amp;WIDTH=450&amp;START_MAXIMIZED=FALSE&amp;VAR:CALENDAR=US&amp;VAR:SYMBOL=GOOG&amp;VAR:INDEX=0"}</definedName>
    <definedName name="_529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714"}</definedName>
    <definedName name="_529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713"}</definedName>
    <definedName name="_529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712"}</definedName>
    <definedName name="_529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711"}</definedName>
    <definedName name="_529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710"}</definedName>
    <definedName name="_529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709"}</definedName>
    <definedName name="_529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708"}</definedName>
    <definedName name="_529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707"}</definedName>
    <definedName name="_529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706"}</definedName>
    <definedName name="_529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705"}</definedName>
    <definedName name="_5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13.208584&amp;VAR:V0=13.650631&amp;VAR:V1=12.019300&amp;VAR:Y0=2011&amp;VAR:Y1=2012&amp;VAR:P=1325.826718&amp;VAR:DATE=20110331&amp;VAR:THRESH=-|-|","-|-|-|-|-"}</definedName>
    <definedName name="_53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1260"}</definedName>
    <definedName name="_530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704"}</definedName>
    <definedName name="_530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703"}</definedName>
    <definedName name="_530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702"}</definedName>
    <definedName name="_530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701"}</definedName>
    <definedName name="_530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700"}</definedName>
    <definedName name="_530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699"}</definedName>
    <definedName name="_530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698"}</definedName>
    <definedName name="_530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697"}</definedName>
    <definedName name="_530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696"}</definedName>
    <definedName name="_530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695"}</definedName>
    <definedName name="_53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1259"}</definedName>
    <definedName name="_531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694"}</definedName>
    <definedName name="_531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693"}</definedName>
    <definedName name="_531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692"}</definedName>
    <definedName name="_531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691"}</definedName>
    <definedName name="_531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690"}</definedName>
    <definedName name="_531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689"}</definedName>
    <definedName name="_531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688"}</definedName>
    <definedName name="_531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687"}</definedName>
    <definedName name="_531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686"}</definedName>
    <definedName name="_531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685"}</definedName>
    <definedName name="_53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1258"}</definedName>
    <definedName name="_532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684"}</definedName>
    <definedName name="_532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683"}</definedName>
    <definedName name="_532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682"}</definedName>
    <definedName name="_532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681"}</definedName>
    <definedName name="_532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680"}</definedName>
    <definedName name="_532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679"}</definedName>
    <definedName name="_532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678"}</definedName>
    <definedName name="_532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677"}</definedName>
    <definedName name="_532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676"}</definedName>
    <definedName name="_532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675"}</definedName>
    <definedName name="_53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1257"}</definedName>
    <definedName name="_533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674"}</definedName>
    <definedName name="_533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673"}</definedName>
    <definedName name="_533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672"}</definedName>
    <definedName name="_533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671"}</definedName>
    <definedName name="_533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670"}</definedName>
    <definedName name="_533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669"}</definedName>
    <definedName name="_533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668"}</definedName>
    <definedName name="_533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667"}</definedName>
    <definedName name="_533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666"}</definedName>
    <definedName name="_533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665"}</definedName>
    <definedName name="_53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1256"}</definedName>
    <definedName name="_534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664"}</definedName>
    <definedName name="_534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663"}</definedName>
    <definedName name="_534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662"}</definedName>
    <definedName name="_534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661"}</definedName>
    <definedName name="_534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660"}</definedName>
    <definedName name="_534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659"}</definedName>
    <definedName name="_534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658"}</definedName>
    <definedName name="_534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657"}</definedName>
    <definedName name="_534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656"}</definedName>
    <definedName name="_534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655"}</definedName>
    <definedName name="_53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1255"}</definedName>
    <definedName name="_535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654"}</definedName>
    <definedName name="_535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653"}</definedName>
    <definedName name="_535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652"}</definedName>
    <definedName name="_535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651"}</definedName>
    <definedName name="_535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650"}</definedName>
    <definedName name="_535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649"}</definedName>
    <definedName name="_535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648"}</definedName>
    <definedName name="_535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647"}</definedName>
    <definedName name="_535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646"}</definedName>
    <definedName name="_535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645"}</definedName>
    <definedName name="_53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1254"}</definedName>
    <definedName name="_536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644"}</definedName>
    <definedName name="_536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643"}</definedName>
    <definedName name="_536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642"}</definedName>
    <definedName name="_536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641"}</definedName>
    <definedName name="_536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640"}</definedName>
    <definedName name="_536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639"}</definedName>
    <definedName name="_536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638"}</definedName>
    <definedName name="_536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637"}</definedName>
    <definedName name="_536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636"}</definedName>
    <definedName name="_536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635"}</definedName>
    <definedName name="_53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1253"}</definedName>
    <definedName name="_537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634"}</definedName>
    <definedName name="_537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633"}</definedName>
    <definedName name="_537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632"}</definedName>
    <definedName name="_537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631"}</definedName>
    <definedName name="_537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630"}</definedName>
    <definedName name="_537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629"}</definedName>
    <definedName name="_537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628"}</definedName>
    <definedName name="_537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627"}</definedName>
    <definedName name="_537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626"}</definedName>
    <definedName name="_537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625"}</definedName>
    <definedName name="_53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1252"}</definedName>
    <definedName name="_538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624"}</definedName>
    <definedName name="_538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623"}</definedName>
    <definedName name="_538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622"}</definedName>
    <definedName name="_538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621"}</definedName>
    <definedName name="_538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620"}</definedName>
    <definedName name="_538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619"}</definedName>
    <definedName name="_538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618"}</definedName>
    <definedName name="_538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617"}</definedName>
    <definedName name="_538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616"}</definedName>
    <definedName name="_538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615"}</definedName>
    <definedName name="_53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1251"}</definedName>
    <definedName name="_539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614"}</definedName>
    <definedName name="_539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613"}</definedName>
    <definedName name="_539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612"}</definedName>
    <definedName name="_539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611"}</definedName>
    <definedName name="_539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610"}</definedName>
    <definedName name="_539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609"}</definedName>
    <definedName name="_539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608"}</definedName>
    <definedName name="_539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607"}</definedName>
    <definedName name="_539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606"}</definedName>
    <definedName name="_539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605"}</definedName>
    <definedName name="_5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13.188755&amp;VAR:V0=14.984786&amp;VAR:V1=13.188755&amp;VAR:Y0=2010&amp;VAR:Y1=2011&amp;VAR:P=1257.635988&amp;VAR:DATE=20101231&amp;VAR:THRESH=-|-|","-|-|-|-|-"}</definedName>
    <definedName name="_54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1250"}</definedName>
    <definedName name="_540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604"}</definedName>
    <definedName name="_540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603"}</definedName>
    <definedName name="_540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602"}</definedName>
    <definedName name="_540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601"}</definedName>
    <definedName name="_540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600"}</definedName>
    <definedName name="_540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599"}</definedName>
    <definedName name="_540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598"}</definedName>
    <definedName name="_540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597"}</definedName>
    <definedName name="_540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596"}</definedName>
    <definedName name="_540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595"}</definedName>
    <definedName name="_54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1249"}</definedName>
    <definedName name="_541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594"}</definedName>
    <definedName name="_541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593"}</definedName>
    <definedName name="_541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592"}</definedName>
    <definedName name="_541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591"}</definedName>
    <definedName name="_541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590"}</definedName>
    <definedName name="_541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589"}</definedName>
    <definedName name="_541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588"}</definedName>
    <definedName name="_541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587"}</definedName>
    <definedName name="_541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586"}</definedName>
    <definedName name="_541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585"}</definedName>
    <definedName name="_54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1248"}</definedName>
    <definedName name="_542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584"}</definedName>
    <definedName name="_542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583"}</definedName>
    <definedName name="_542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582"}</definedName>
    <definedName name="_542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581"}</definedName>
    <definedName name="_542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580"}</definedName>
    <definedName name="_542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579"}</definedName>
    <definedName name="_542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578"}</definedName>
    <definedName name="_542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577"}</definedName>
    <definedName name="_542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576"}</definedName>
    <definedName name="_542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575"}</definedName>
    <definedName name="_54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1247"}</definedName>
    <definedName name="_543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574"}</definedName>
    <definedName name="_543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573"}</definedName>
    <definedName name="_543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572"}</definedName>
    <definedName name="_543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571"}</definedName>
    <definedName name="_543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570"}</definedName>
    <definedName name="_543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569"}</definedName>
    <definedName name="_543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568"}</definedName>
    <definedName name="_543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567"}</definedName>
    <definedName name="_543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566"}</definedName>
    <definedName name="_543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565"}</definedName>
    <definedName name="_54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1246"}</definedName>
    <definedName name="_544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564"}</definedName>
    <definedName name="_544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563"}</definedName>
    <definedName name="_544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562"}</definedName>
    <definedName name="_544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561"}</definedName>
    <definedName name="_544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560"}</definedName>
    <definedName name="_544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559"}</definedName>
    <definedName name="_544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558"}</definedName>
    <definedName name="_544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557"}</definedName>
    <definedName name="_544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556"}</definedName>
    <definedName name="_544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555"}</definedName>
    <definedName name="_54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1245"}</definedName>
    <definedName name="_545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554"}</definedName>
    <definedName name="_545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553"}</definedName>
    <definedName name="_545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552"}</definedName>
    <definedName name="_545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551"}</definedName>
    <definedName name="_545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550"}</definedName>
    <definedName name="_545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549"}</definedName>
    <definedName name="_545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548"}</definedName>
    <definedName name="_545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547"}</definedName>
    <definedName name="_545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546"}</definedName>
    <definedName name="_545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545"}</definedName>
    <definedName name="_54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1244"}</definedName>
    <definedName name="_546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544"}</definedName>
    <definedName name="_546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543"}</definedName>
    <definedName name="_546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542"}</definedName>
    <definedName name="_546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541"}</definedName>
    <definedName name="_546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540"}</definedName>
    <definedName name="_546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539"}</definedName>
    <definedName name="_546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538"}</definedName>
    <definedName name="_546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537"}</definedName>
    <definedName name="_546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536"}</definedName>
    <definedName name="_546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535"}</definedName>
    <definedName name="_54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1243"}</definedName>
    <definedName name="_547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534"}</definedName>
    <definedName name="_547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533"}</definedName>
    <definedName name="_547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532"}</definedName>
    <definedName name="_547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531"}</definedName>
    <definedName name="_547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530"}</definedName>
    <definedName name="_547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529"}</definedName>
    <definedName name="_547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528"}</definedName>
    <definedName name="_547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527"}</definedName>
    <definedName name="_547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526"}</definedName>
    <definedName name="_547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525"}</definedName>
    <definedName name="_54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1242"}</definedName>
    <definedName name="_548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524"}</definedName>
    <definedName name="_548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523"}</definedName>
    <definedName name="_548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522"}</definedName>
    <definedName name="_548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521"}</definedName>
    <definedName name="_548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520"}</definedName>
    <definedName name="_548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519"}</definedName>
    <definedName name="_548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518"}</definedName>
    <definedName name="_548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517"}</definedName>
    <definedName name="_548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516"}</definedName>
    <definedName name="_548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515"}</definedName>
    <definedName name="_54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1241"}</definedName>
    <definedName name="_549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514"}</definedName>
    <definedName name="_549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513"}</definedName>
    <definedName name="_549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512"}</definedName>
    <definedName name="_549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511"}</definedName>
    <definedName name="_549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510"}</definedName>
    <definedName name="_549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509"}</definedName>
    <definedName name="_549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508"}</definedName>
    <definedName name="_549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507"}</definedName>
    <definedName name="_549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506"}</definedName>
    <definedName name="_549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505"}</definedName>
    <definedName name="_5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12.366638&amp;VAR:V0=13.736043&amp;VAR:V1=11.964666&amp;VAR:Y0=2010&amp;VAR:Y1=2011&amp;VAR:P=1141.201157&amp;VAR:DATE=20100930&amp;VAR:THRESH=-|-|","-|-|-|-|-"}</definedName>
    <definedName name="_55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1240"}</definedName>
    <definedName name="_550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504"}</definedName>
    <definedName name="_550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503"}</definedName>
    <definedName name="_550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502"}</definedName>
    <definedName name="_550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501"}</definedName>
    <definedName name="_550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500"}</definedName>
    <definedName name="_550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499"}</definedName>
    <definedName name="_550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498"}</definedName>
    <definedName name="_550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497"}</definedName>
    <definedName name="_550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496"}</definedName>
    <definedName name="_550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495"}</definedName>
    <definedName name="_55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1239"}</definedName>
    <definedName name="_551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494"}</definedName>
    <definedName name="_551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493"}</definedName>
    <definedName name="_551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492"}</definedName>
    <definedName name="_551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491"}</definedName>
    <definedName name="_551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490"}</definedName>
    <definedName name="_551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489"}</definedName>
    <definedName name="_551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488"}</definedName>
    <definedName name="_551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487"}</definedName>
    <definedName name="_551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486"}</definedName>
    <definedName name="_551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485"}</definedName>
    <definedName name="_55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1238"}</definedName>
    <definedName name="_552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484"}</definedName>
    <definedName name="_552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483"}</definedName>
    <definedName name="_552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482"}</definedName>
    <definedName name="_552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481"}</definedName>
    <definedName name="_552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480"}</definedName>
    <definedName name="_552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479"}</definedName>
    <definedName name="_552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478"}</definedName>
    <definedName name="_552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477"}</definedName>
    <definedName name="_552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476"}</definedName>
    <definedName name="_552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475"}</definedName>
    <definedName name="_55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1237"}</definedName>
    <definedName name="_553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474"}</definedName>
    <definedName name="_553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473"}</definedName>
    <definedName name="_553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472"}</definedName>
    <definedName name="_553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471"}</definedName>
    <definedName name="_553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470"}</definedName>
    <definedName name="_553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469"}</definedName>
    <definedName name="_553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468"}</definedName>
    <definedName name="_553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467"}</definedName>
    <definedName name="_553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466"}</definedName>
    <definedName name="_553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465"}</definedName>
    <definedName name="_55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1236"}</definedName>
    <definedName name="_554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464"}</definedName>
    <definedName name="_554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463"}</definedName>
    <definedName name="_554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462"}</definedName>
    <definedName name="_554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461"}</definedName>
    <definedName name="_554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460"}</definedName>
    <definedName name="_554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459"}</definedName>
    <definedName name="_554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458"}</definedName>
    <definedName name="_554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457"}</definedName>
    <definedName name="_554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456"}</definedName>
    <definedName name="_554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455"}</definedName>
    <definedName name="_55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1235"}</definedName>
    <definedName name="_555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454"}</definedName>
    <definedName name="_555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453"}</definedName>
    <definedName name="_555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452"}</definedName>
    <definedName name="_555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451"}</definedName>
    <definedName name="_555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450"}</definedName>
    <definedName name="_555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449"}</definedName>
    <definedName name="_555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448"}</definedName>
    <definedName name="_555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447"}</definedName>
    <definedName name="_555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446"}</definedName>
    <definedName name="_555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445"}</definedName>
    <definedName name="_55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1234"}</definedName>
    <definedName name="_556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444"}</definedName>
    <definedName name="_556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443"}</definedName>
    <definedName name="_556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442"}</definedName>
    <definedName name="_556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441"}</definedName>
    <definedName name="_556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440"}</definedName>
    <definedName name="_556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439"}</definedName>
    <definedName name="_556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438"}</definedName>
    <definedName name="_556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437"}</definedName>
    <definedName name="_556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436"}</definedName>
    <definedName name="_556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435"}</definedName>
    <definedName name="_55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1233"}</definedName>
    <definedName name="_557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434"}</definedName>
    <definedName name="_557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433"}</definedName>
    <definedName name="_557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432"}</definedName>
    <definedName name="_557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431"}</definedName>
    <definedName name="_557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430"}</definedName>
    <definedName name="_557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429"}</definedName>
    <definedName name="_557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428"}</definedName>
    <definedName name="_557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427"}</definedName>
    <definedName name="_557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426"}</definedName>
    <definedName name="_557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425"}</definedName>
    <definedName name="_55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1232"}</definedName>
    <definedName name="_558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424"}</definedName>
    <definedName name="_558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423"}</definedName>
    <definedName name="_558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422"}</definedName>
    <definedName name="_558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421"}</definedName>
    <definedName name="_558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420"}</definedName>
    <definedName name="_558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419"}</definedName>
    <definedName name="_558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418"}</definedName>
    <definedName name="_558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417"}</definedName>
    <definedName name="_558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416"}</definedName>
    <definedName name="_558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415"}</definedName>
    <definedName name="_55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1231"}</definedName>
    <definedName name="_559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414"}</definedName>
    <definedName name="_559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413"}</definedName>
    <definedName name="_559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412"}</definedName>
    <definedName name="_559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411"}</definedName>
    <definedName name="_559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410"}</definedName>
    <definedName name="_559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409"}</definedName>
    <definedName name="_559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408"}</definedName>
    <definedName name="_559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407"}</definedName>
    <definedName name="_559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406"}</definedName>
    <definedName name="_559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405"}</definedName>
    <definedName name="_5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11.528002&amp;VAR:V0=12.542488&amp;VAR:V1=10.652135&amp;VAR:Y0=2010&amp;VAR:Y1=2011&amp;VAR:P=1030.710083&amp;VAR:DATE=20100630&amp;VAR:THRESH=-|-|","-|-|-|-|-"}</definedName>
    <definedName name="_56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1230"}</definedName>
    <definedName name="_560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404"}</definedName>
    <definedName name="_560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403"}</definedName>
    <definedName name="_560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402"}</definedName>
    <definedName name="_560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401"}</definedName>
    <definedName name="_560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400"}</definedName>
    <definedName name="_560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399"}</definedName>
    <definedName name="_560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398"}</definedName>
    <definedName name="_560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397"}</definedName>
    <definedName name="_560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396"}</definedName>
    <definedName name="_560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395"}</definedName>
    <definedName name="_56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1229"}</definedName>
    <definedName name="_561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394"}</definedName>
    <definedName name="_561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393"}</definedName>
    <definedName name="_561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392"}</definedName>
    <definedName name="_561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391"}</definedName>
    <definedName name="_561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390"}</definedName>
    <definedName name="_561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389"}</definedName>
    <definedName name="_561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388"}</definedName>
    <definedName name="_561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387"}</definedName>
    <definedName name="_561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386"}</definedName>
    <definedName name="_561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385"}</definedName>
    <definedName name="_56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1228"}</definedName>
    <definedName name="_562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384"}</definedName>
    <definedName name="_562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383"}</definedName>
    <definedName name="_562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382"}</definedName>
    <definedName name="_562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381"}</definedName>
    <definedName name="_562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380"}</definedName>
    <definedName name="_562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379"}</definedName>
    <definedName name="_562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378"}</definedName>
    <definedName name="_562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377"}</definedName>
    <definedName name="_562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376"}</definedName>
    <definedName name="_562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375"}</definedName>
    <definedName name="_56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1227"}</definedName>
    <definedName name="_563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374"}</definedName>
    <definedName name="_563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373"}</definedName>
    <definedName name="_563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372"}</definedName>
    <definedName name="_563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371"}</definedName>
    <definedName name="_563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370"}</definedName>
    <definedName name="_563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369"}</definedName>
    <definedName name="_563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368"}</definedName>
    <definedName name="_563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367"}</definedName>
    <definedName name="_563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366"}</definedName>
    <definedName name="_563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365"}</definedName>
    <definedName name="_56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1226"}</definedName>
    <definedName name="_564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364"}</definedName>
    <definedName name="_564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363"}</definedName>
    <definedName name="_564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362"}</definedName>
    <definedName name="_564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361"}</definedName>
    <definedName name="_564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360"}</definedName>
    <definedName name="_564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359"}</definedName>
    <definedName name="_564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358"}</definedName>
    <definedName name="_564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357"}</definedName>
    <definedName name="_564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356"}</definedName>
    <definedName name="_564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355"}</definedName>
    <definedName name="_56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1225"}</definedName>
    <definedName name="_565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354"}</definedName>
    <definedName name="_565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353"}</definedName>
    <definedName name="_565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352"}</definedName>
    <definedName name="_565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351"}</definedName>
    <definedName name="_565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350"}</definedName>
    <definedName name="_565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349"}</definedName>
    <definedName name="_565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348"}</definedName>
    <definedName name="_565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347"}</definedName>
    <definedName name="_565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346"}</definedName>
    <definedName name="_565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345"}</definedName>
    <definedName name="_56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1224"}</definedName>
    <definedName name="_566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344"}</definedName>
    <definedName name="_566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343"}</definedName>
    <definedName name="_566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342"}</definedName>
    <definedName name="_566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341"}</definedName>
    <definedName name="_566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340"}</definedName>
    <definedName name="_566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339"}</definedName>
    <definedName name="_566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338"}</definedName>
    <definedName name="_566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337"}</definedName>
    <definedName name="_566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336"}</definedName>
    <definedName name="_566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335"}</definedName>
    <definedName name="_56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1223"}</definedName>
    <definedName name="_567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334"}</definedName>
    <definedName name="_567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333"}</definedName>
    <definedName name="_567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332"}</definedName>
    <definedName name="_567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331"}</definedName>
    <definedName name="_567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330"}</definedName>
    <definedName name="_567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329"}</definedName>
    <definedName name="_567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328"}</definedName>
    <definedName name="_567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327"}</definedName>
    <definedName name="_567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326"}</definedName>
    <definedName name="_567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325"}</definedName>
    <definedName name="_56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1222"}</definedName>
    <definedName name="_568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324"}</definedName>
    <definedName name="_568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323"}</definedName>
    <definedName name="_568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322"}</definedName>
    <definedName name="_568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321"}</definedName>
    <definedName name="_568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320"}</definedName>
    <definedName name="_568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319"}</definedName>
    <definedName name="_568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318"}</definedName>
    <definedName name="_568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317"}</definedName>
    <definedName name="_568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316"}</definedName>
    <definedName name="_568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315"}</definedName>
    <definedName name="_56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1221"}</definedName>
    <definedName name="_569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314"}</definedName>
    <definedName name="_569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313"}</definedName>
    <definedName name="_569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312"}</definedName>
    <definedName name="_569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311"}</definedName>
    <definedName name="_569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310"}</definedName>
    <definedName name="_569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309"}</definedName>
    <definedName name="_569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308"}</definedName>
    <definedName name="_569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307"}</definedName>
    <definedName name="_569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306"}</definedName>
    <definedName name="_569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305"}</definedName>
    <definedName name="_5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14.127944&amp;VAR:V0=14.822412&amp;VAR:V1=12.358671&amp;VAR:Y0=2010&amp;VAR:Y1=2011&amp;VAR:P=1169.431193&amp;VAR:DATE=20100331&amp;VAR:THRESH=-|-|","-|-|-|-|-"}</definedName>
    <definedName name="_57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1220"}</definedName>
    <definedName name="_570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304"}</definedName>
    <definedName name="_570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303"}</definedName>
    <definedName name="_570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302"}</definedName>
    <definedName name="_570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301"}</definedName>
    <definedName name="_570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300"}</definedName>
    <definedName name="_570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299"}</definedName>
    <definedName name="_570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298"}</definedName>
    <definedName name="_570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297"}</definedName>
    <definedName name="_570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296"}</definedName>
    <definedName name="_570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295"}</definedName>
    <definedName name="_57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1219"}</definedName>
    <definedName name="_571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294"}</definedName>
    <definedName name="_571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293"}</definedName>
    <definedName name="_571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292"}</definedName>
    <definedName name="_571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291"}</definedName>
    <definedName name="_571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290"}</definedName>
    <definedName name="_571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289"}</definedName>
    <definedName name="_571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288"}</definedName>
    <definedName name="_571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287"}</definedName>
    <definedName name="_571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286"}</definedName>
    <definedName name="_571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285"}</definedName>
    <definedName name="_57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1218"}</definedName>
    <definedName name="_572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284"}</definedName>
    <definedName name="_572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283"}</definedName>
    <definedName name="_572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282"}</definedName>
    <definedName name="_572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281"}</definedName>
    <definedName name="_572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280"}</definedName>
    <definedName name="_572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279"}</definedName>
    <definedName name="_572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278"}</definedName>
    <definedName name="_572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277"}</definedName>
    <definedName name="_572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276"}</definedName>
    <definedName name="_572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275"}</definedName>
    <definedName name="_57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1217"}</definedName>
    <definedName name="_573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274"}</definedName>
    <definedName name="_573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273"}</definedName>
    <definedName name="_573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272"}</definedName>
    <definedName name="_573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271"}</definedName>
    <definedName name="_573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270"}</definedName>
    <definedName name="_573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269"}</definedName>
    <definedName name="_573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268"}</definedName>
    <definedName name="_573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267"}</definedName>
    <definedName name="_573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266"}</definedName>
    <definedName name="_573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265"}</definedName>
    <definedName name="_57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1216"}</definedName>
    <definedName name="_574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264"}</definedName>
    <definedName name="_574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263"}</definedName>
    <definedName name="_574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262"}</definedName>
    <definedName name="_574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261"}</definedName>
    <definedName name="_574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260"}</definedName>
    <definedName name="_574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259"}</definedName>
    <definedName name="_574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258"}</definedName>
    <definedName name="_574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257"}</definedName>
    <definedName name="_574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256"}</definedName>
    <definedName name="_574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255"}</definedName>
    <definedName name="_57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1215"}</definedName>
    <definedName name="_575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254"}</definedName>
    <definedName name="_575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253"}</definedName>
    <definedName name="_575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252"}</definedName>
    <definedName name="_575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251"}</definedName>
    <definedName name="_575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250"}</definedName>
    <definedName name="_575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249"}</definedName>
    <definedName name="_575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248"}</definedName>
    <definedName name="_575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247"}</definedName>
    <definedName name="_575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246"}</definedName>
    <definedName name="_575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245"}</definedName>
    <definedName name="_57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1214"}</definedName>
    <definedName name="_576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244"}</definedName>
    <definedName name="_576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243"}</definedName>
    <definedName name="_576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242"}</definedName>
    <definedName name="_576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241"}</definedName>
    <definedName name="_576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240"}</definedName>
    <definedName name="_576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239"}</definedName>
    <definedName name="_576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238"}</definedName>
    <definedName name="_576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237"}</definedName>
    <definedName name="_576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236"}</definedName>
    <definedName name="_576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235"}</definedName>
    <definedName name="_57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1213"}</definedName>
    <definedName name="_577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234"}</definedName>
    <definedName name="_577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233"}</definedName>
    <definedName name="_577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232"}</definedName>
    <definedName name="_577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231"}</definedName>
    <definedName name="_577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230"}</definedName>
    <definedName name="_577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229"}</definedName>
    <definedName name="_577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228"}</definedName>
    <definedName name="_577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227"}</definedName>
    <definedName name="_577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226"}</definedName>
    <definedName name="_577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225"}</definedName>
    <definedName name="_57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1212"}</definedName>
    <definedName name="_578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224"}</definedName>
    <definedName name="_578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223"}</definedName>
    <definedName name="_578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222"}</definedName>
    <definedName name="_578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221"}</definedName>
    <definedName name="_578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220"}</definedName>
    <definedName name="_578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219"}</definedName>
    <definedName name="_578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218"}</definedName>
    <definedName name="_578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217"}</definedName>
    <definedName name="_578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216"}</definedName>
    <definedName name="_578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215"}</definedName>
    <definedName name="_57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1211"}</definedName>
    <definedName name="_579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214"}</definedName>
    <definedName name="_579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213"}</definedName>
    <definedName name="_579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212"}</definedName>
    <definedName name="_579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211"}</definedName>
    <definedName name="_579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210"}</definedName>
    <definedName name="_579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209"}</definedName>
    <definedName name="_579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208"}</definedName>
    <definedName name="_579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207"}</definedName>
    <definedName name="_579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206"}</definedName>
    <definedName name="_579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205"}</definedName>
    <definedName name="_5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14.322867&amp;VAR:V0=18.259919&amp;VAR:V1=14.322867&amp;VAR:Y0=2009&amp;VAR:Y1=2010&amp;VAR:P=1115.102681&amp;VAR:DATE=20091231&amp;VAR:THRESH=-|-|","-|-|-|-|-"}</definedName>
    <definedName name="_58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1210"}</definedName>
    <definedName name="_580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204"}</definedName>
    <definedName name="_580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203"}</definedName>
    <definedName name="_580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202"}</definedName>
    <definedName name="_580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201"}</definedName>
    <definedName name="_580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200"}</definedName>
    <definedName name="_580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199"}</definedName>
    <definedName name="_580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198"}</definedName>
    <definedName name="_580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197"}</definedName>
    <definedName name="_580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196"}</definedName>
    <definedName name="_580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195"}</definedName>
    <definedName name="_58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1209"}</definedName>
    <definedName name="_581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194"}</definedName>
    <definedName name="_581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193"}</definedName>
    <definedName name="_581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192"}</definedName>
    <definedName name="_581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191"}</definedName>
    <definedName name="_581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190"}</definedName>
    <definedName name="_581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189"}</definedName>
    <definedName name="_581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188"}</definedName>
    <definedName name="_581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187"}</definedName>
    <definedName name="_581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186"}</definedName>
    <definedName name="_581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185"}</definedName>
    <definedName name="_58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1208"}</definedName>
    <definedName name="_582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184"}</definedName>
    <definedName name="_582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183"}</definedName>
    <definedName name="_582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182"}</definedName>
    <definedName name="_582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181"}</definedName>
    <definedName name="_582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180"}</definedName>
    <definedName name="_582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179"}</definedName>
    <definedName name="_582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178"}</definedName>
    <definedName name="_582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177"}</definedName>
    <definedName name="_582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176"}</definedName>
    <definedName name="_582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175"}</definedName>
    <definedName name="_58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1207"}</definedName>
    <definedName name="_583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174"}</definedName>
    <definedName name="_583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173"}</definedName>
    <definedName name="_583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172"}</definedName>
    <definedName name="_583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171"}</definedName>
    <definedName name="_583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170"}</definedName>
    <definedName name="_583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169"}</definedName>
    <definedName name="_583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168"}</definedName>
    <definedName name="_583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167"}</definedName>
    <definedName name="_583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166"}</definedName>
    <definedName name="_583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165"}</definedName>
    <definedName name="_58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1206"}</definedName>
    <definedName name="_584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164"}</definedName>
    <definedName name="_584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163"}</definedName>
    <definedName name="_584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162"}</definedName>
    <definedName name="_584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161"}</definedName>
    <definedName name="_584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160"}</definedName>
    <definedName name="_584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159"}</definedName>
    <definedName name="_584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158"}</definedName>
    <definedName name="_584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157"}</definedName>
    <definedName name="_584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156"}</definedName>
    <definedName name="_584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155"}</definedName>
    <definedName name="_58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1205"}</definedName>
    <definedName name="_585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154"}</definedName>
    <definedName name="_585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153"}</definedName>
    <definedName name="_585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152"}</definedName>
    <definedName name="_585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151"}</definedName>
    <definedName name="_585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150"}</definedName>
    <definedName name="_585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149"}</definedName>
    <definedName name="_585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148"}</definedName>
    <definedName name="_585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147"}</definedName>
    <definedName name="_585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146"}</definedName>
    <definedName name="_585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145"}</definedName>
    <definedName name="_58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1204"}</definedName>
    <definedName name="_586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144"}</definedName>
    <definedName name="_586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143"}</definedName>
    <definedName name="_586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142"}</definedName>
    <definedName name="_586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141"}</definedName>
    <definedName name="_586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140"}</definedName>
    <definedName name="_586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139"}</definedName>
    <definedName name="_586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138"}</definedName>
    <definedName name="_586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137"}</definedName>
    <definedName name="_586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136"}</definedName>
    <definedName name="_586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135"}</definedName>
    <definedName name="_58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1203"}</definedName>
    <definedName name="_587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134"}</definedName>
    <definedName name="_587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133"}</definedName>
    <definedName name="_587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132"}</definedName>
    <definedName name="_587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131"}</definedName>
    <definedName name="_587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130"}</definedName>
    <definedName name="_587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129"}</definedName>
    <definedName name="_587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128"}</definedName>
    <definedName name="_587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127"}</definedName>
    <definedName name="_587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126"}</definedName>
    <definedName name="_587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125"}</definedName>
    <definedName name="_58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1202"}</definedName>
    <definedName name="_588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124"}</definedName>
    <definedName name="_588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123"}</definedName>
    <definedName name="_588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122"}</definedName>
    <definedName name="_588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121"}</definedName>
    <definedName name="_588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120"}</definedName>
    <definedName name="_588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119"}</definedName>
    <definedName name="_588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118"}</definedName>
    <definedName name="_588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117"}</definedName>
    <definedName name="_588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116"}</definedName>
    <definedName name="_588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115"}</definedName>
    <definedName name="_58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1201"}</definedName>
    <definedName name="_589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114"}</definedName>
    <definedName name="_589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113"}</definedName>
    <definedName name="_589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112"}</definedName>
    <definedName name="_589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111"}</definedName>
    <definedName name="_589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110"}</definedName>
    <definedName name="_589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109"}</definedName>
    <definedName name="_589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108"}</definedName>
    <definedName name="_589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107"}</definedName>
    <definedName name="_589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106"}</definedName>
    <definedName name="_589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105"}</definedName>
    <definedName name="_5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14.831741&amp;VAR:V0=17.624895&amp;VAR:V1=14.079790&amp;VAR:Y0=2009&amp;VAR:Y1=2010&amp;VAR:P=1057.078558&amp;VAR:DATE=20090930&amp;VAR:THRESH=-|-|","-|-|-|-|-"}</definedName>
    <definedName name="_59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1200"}</definedName>
    <definedName name="_590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104"}</definedName>
    <definedName name="_590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103"}</definedName>
    <definedName name="_590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102"}</definedName>
    <definedName name="_590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101"}</definedName>
    <definedName name="_590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100"}</definedName>
    <definedName name="_590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99"}</definedName>
    <definedName name="_590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98"}</definedName>
    <definedName name="_590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97"}</definedName>
    <definedName name="_590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96"}</definedName>
    <definedName name="_590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95"}</definedName>
    <definedName name="_59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1199"}</definedName>
    <definedName name="_591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94"}</definedName>
    <definedName name="_591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93"}</definedName>
    <definedName name="_591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92"}</definedName>
    <definedName name="_591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91"}</definedName>
    <definedName name="_591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90"}</definedName>
    <definedName name="_591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89"}</definedName>
    <definedName name="_591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88"}</definedName>
    <definedName name="_591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87"}</definedName>
    <definedName name="_591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86"}</definedName>
    <definedName name="_591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85"}</definedName>
    <definedName name="_59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1198"}</definedName>
    <definedName name="_592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84"}</definedName>
    <definedName name="_592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83"}</definedName>
    <definedName name="_592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82"}</definedName>
    <definedName name="_592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81"}</definedName>
    <definedName name="_592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80"}</definedName>
    <definedName name="_592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79"}</definedName>
    <definedName name="_592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78"}</definedName>
    <definedName name="_592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77"}</definedName>
    <definedName name="_592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76"}</definedName>
    <definedName name="_592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75"}</definedName>
    <definedName name="_59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1197"}</definedName>
    <definedName name="_593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74"}</definedName>
    <definedName name="_593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73"}</definedName>
    <definedName name="_593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72"}</definedName>
    <definedName name="_593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71"}</definedName>
    <definedName name="_593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70"}</definedName>
    <definedName name="_593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69"}</definedName>
    <definedName name="_593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68"}</definedName>
    <definedName name="_593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67"}</definedName>
    <definedName name="_593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66"}</definedName>
    <definedName name="_593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65"}</definedName>
    <definedName name="_59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1196"}</definedName>
    <definedName name="_594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64"}</definedName>
    <definedName name="_594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63"}</definedName>
    <definedName name="_594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62"}</definedName>
    <definedName name="_594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61"}</definedName>
    <definedName name="_594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60"}</definedName>
    <definedName name="_594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59"}</definedName>
    <definedName name="_594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58"}</definedName>
    <definedName name="_594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57"}</definedName>
    <definedName name="_594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56"}</definedName>
    <definedName name="_594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55"}</definedName>
    <definedName name="_59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1195"}</definedName>
    <definedName name="_595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54"}</definedName>
    <definedName name="_595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53"}</definedName>
    <definedName name="_595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52"}</definedName>
    <definedName name="_595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51"}</definedName>
    <definedName name="_595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50"}</definedName>
    <definedName name="_595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49"}</definedName>
    <definedName name="_595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48"}</definedName>
    <definedName name="_595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47"}</definedName>
    <definedName name="_595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46"}</definedName>
    <definedName name="_595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45"}</definedName>
    <definedName name="_59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1194"}</definedName>
    <definedName name="_596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44"}</definedName>
    <definedName name="_596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43"}</definedName>
    <definedName name="_596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42"}</definedName>
    <definedName name="_596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41"}</definedName>
    <definedName name="_596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40"}</definedName>
    <definedName name="_596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39"}</definedName>
    <definedName name="_596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38"}</definedName>
    <definedName name="_596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37"}</definedName>
    <definedName name="_596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36"}</definedName>
    <definedName name="_596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35"}</definedName>
    <definedName name="_59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1193"}</definedName>
    <definedName name="_597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34"}</definedName>
    <definedName name="_597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33"}</definedName>
    <definedName name="_597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32"}</definedName>
    <definedName name="_597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31"}</definedName>
    <definedName name="_597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30"}</definedName>
    <definedName name="_597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29"}</definedName>
    <definedName name="_597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28"}</definedName>
    <definedName name="_597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27"}</definedName>
    <definedName name="_597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26"}</definedName>
    <definedName name="_597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25"}</definedName>
    <definedName name="_59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1192"}</definedName>
    <definedName name="_598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24"}</definedName>
    <definedName name="_598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23"}</definedName>
    <definedName name="_598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22"}</definedName>
    <definedName name="_598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21"}</definedName>
    <definedName name="_598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20"}</definedName>
    <definedName name="_598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19"}</definedName>
    <definedName name="_598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18"}</definedName>
    <definedName name="_598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17"}</definedName>
    <definedName name="_598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16"}</definedName>
    <definedName name="_598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15"}</definedName>
    <definedName name="_59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1191"}</definedName>
    <definedName name="_599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14"}</definedName>
    <definedName name="_599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13"}</definedName>
    <definedName name="_599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12"}</definedName>
    <definedName name="_599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11"}</definedName>
    <definedName name="_599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10"}</definedName>
    <definedName name="_5995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9"}</definedName>
    <definedName name="_5996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8"}</definedName>
    <definedName name="_5997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7"}</definedName>
    <definedName name="_5998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6"}</definedName>
    <definedName name="_5999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5"}</definedName>
    <definedName name="_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14.129182&amp;VAR:V0=14.823842&amp;VAR:V1=12.359474&amp;VAR:Y0=2010&amp;VAR:Y1=2011&amp;VAR:P=1169.431193&amp;VAR:DATE=20100331&amp;VAR:THRESH=-|-|","-|-|-|-|-"}</definedName>
    <definedName name="_6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13.771984&amp;VAR:V0=15.493878&amp;VAR:V1=12.374019&amp;VAR:Y0=2009&amp;VAR:Y1=2010&amp;VAR:P=919.323942&amp;VAR:DATE=20090630&amp;VAR:THRESH=-|-|-","|-|-|-|-"}</definedName>
    <definedName name="_60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1190"}</definedName>
    <definedName name="_6000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4"}</definedName>
    <definedName name="_6001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3"}</definedName>
    <definedName name="_6002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2"}</definedName>
    <definedName name="_6003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1"}</definedName>
    <definedName name="_6004__FDSAUDITLINK__">{"fdsup://directions/FAT Viewer?action=UPDATE&amp;creator=factset&amp;DYN_ARGS=TRUE&amp;DOC_NAME=FAT:FQL_AUDITING_CLIENT_TEMPLATE.FAT&amp;display_string=Audit&amp;VAR:KEY=IZYLKLKPIB&amp;VAR:QUERY=RkZfRU5UUlBSX1ZBTF9FQklUREFfT1BFUihRVFIsLTNBWSxOT1csRCk=&amp;WINDOW=FIRST_POPUP&amp;HEIGHT=45","0&amp;WIDTH=450&amp;START_MAXIMIZED=FALSE&amp;VAR:CALENDAR=US&amp;VAR:SYMBOL=GOOG&amp;VAR:INDEX=0"}</definedName>
    <definedName name="_600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758"}</definedName>
    <definedName name="_600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757"}</definedName>
    <definedName name="_600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756"}</definedName>
    <definedName name="_600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755"}</definedName>
    <definedName name="_600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754"}</definedName>
    <definedName name="_60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1189"}</definedName>
    <definedName name="_601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753"}</definedName>
    <definedName name="_601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752"}</definedName>
    <definedName name="_601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751"}</definedName>
    <definedName name="_601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750"}</definedName>
    <definedName name="_601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749"}</definedName>
    <definedName name="_601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748"}</definedName>
    <definedName name="_601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747"}</definedName>
    <definedName name="_601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746"}</definedName>
    <definedName name="_601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745"}</definedName>
    <definedName name="_601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744"}</definedName>
    <definedName name="_60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1188"}</definedName>
    <definedName name="_602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743"}</definedName>
    <definedName name="_602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742"}</definedName>
    <definedName name="_602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741"}</definedName>
    <definedName name="_602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740"}</definedName>
    <definedName name="_602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739"}</definedName>
    <definedName name="_602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738"}</definedName>
    <definedName name="_602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737"}</definedName>
    <definedName name="_602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736"}</definedName>
    <definedName name="_602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735"}</definedName>
    <definedName name="_602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734"}</definedName>
    <definedName name="_60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1187"}</definedName>
    <definedName name="_603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733"}</definedName>
    <definedName name="_603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732"}</definedName>
    <definedName name="_603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731"}</definedName>
    <definedName name="_603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730"}</definedName>
    <definedName name="_603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729"}</definedName>
    <definedName name="_603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728"}</definedName>
    <definedName name="_603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727"}</definedName>
    <definedName name="_603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726"}</definedName>
    <definedName name="_603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725"}</definedName>
    <definedName name="_603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724"}</definedName>
    <definedName name="_60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1186"}</definedName>
    <definedName name="_604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723"}</definedName>
    <definedName name="_604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722"}</definedName>
    <definedName name="_604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721"}</definedName>
    <definedName name="_604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720"}</definedName>
    <definedName name="_604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719"}</definedName>
    <definedName name="_604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718"}</definedName>
    <definedName name="_604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717"}</definedName>
    <definedName name="_604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716"}</definedName>
    <definedName name="_604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715"}</definedName>
    <definedName name="_604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714"}</definedName>
    <definedName name="_60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1185"}</definedName>
    <definedName name="_605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713"}</definedName>
    <definedName name="_605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712"}</definedName>
    <definedName name="_605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711"}</definedName>
    <definedName name="_605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710"}</definedName>
    <definedName name="_605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709"}</definedName>
    <definedName name="_605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708"}</definedName>
    <definedName name="_605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707"}</definedName>
    <definedName name="_605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706"}</definedName>
    <definedName name="_605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705"}</definedName>
    <definedName name="_605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704"}</definedName>
    <definedName name="_60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1184"}</definedName>
    <definedName name="_606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703"}</definedName>
    <definedName name="_606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702"}</definedName>
    <definedName name="_606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701"}</definedName>
    <definedName name="_606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700"}</definedName>
    <definedName name="_606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699"}</definedName>
    <definedName name="_606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698"}</definedName>
    <definedName name="_606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697"}</definedName>
    <definedName name="_606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696"}</definedName>
    <definedName name="_606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695"}</definedName>
    <definedName name="_606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694"}</definedName>
    <definedName name="_60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1183"}</definedName>
    <definedName name="_607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693"}</definedName>
    <definedName name="_607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692"}</definedName>
    <definedName name="_607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691"}</definedName>
    <definedName name="_607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690"}</definedName>
    <definedName name="_607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689"}</definedName>
    <definedName name="_607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688"}</definedName>
    <definedName name="_607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687"}</definedName>
    <definedName name="_607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686"}</definedName>
    <definedName name="_607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685"}</definedName>
    <definedName name="_607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684"}</definedName>
    <definedName name="_60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1182"}</definedName>
    <definedName name="_608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683"}</definedName>
    <definedName name="_608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682"}</definedName>
    <definedName name="_608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681"}</definedName>
    <definedName name="_608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680"}</definedName>
    <definedName name="_608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679"}</definedName>
    <definedName name="_608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678"}</definedName>
    <definedName name="_608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677"}</definedName>
    <definedName name="_608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676"}</definedName>
    <definedName name="_608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675"}</definedName>
    <definedName name="_608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674"}</definedName>
    <definedName name="_60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1181"}</definedName>
    <definedName name="_609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673"}</definedName>
    <definedName name="_609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672"}</definedName>
    <definedName name="_609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671"}</definedName>
    <definedName name="_609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670"}</definedName>
    <definedName name="_609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669"}</definedName>
    <definedName name="_609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668"}</definedName>
    <definedName name="_609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667"}</definedName>
    <definedName name="_609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666"}</definedName>
    <definedName name="_609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665"}</definedName>
    <definedName name="_609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664"}</definedName>
    <definedName name="_6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12.116971&amp;VAR:V0=12.804566&amp;VAR:V1=10.409046&amp;VAR:Y0=2009&amp;VAR:Y1=2010&amp;VAR:P=797.866805&amp;VAR:DATE=20090331&amp;VAR:THRESH=-|-|-","|-|-|-|-"}</definedName>
    <definedName name="_61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1180"}</definedName>
    <definedName name="_610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663"}</definedName>
    <definedName name="_610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662"}</definedName>
    <definedName name="_610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661"}</definedName>
    <definedName name="_610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660"}</definedName>
    <definedName name="_610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659"}</definedName>
    <definedName name="_610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658"}</definedName>
    <definedName name="_610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657"}</definedName>
    <definedName name="_610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656"}</definedName>
    <definedName name="_610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655"}</definedName>
    <definedName name="_610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654"}</definedName>
    <definedName name="_61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1179"}</definedName>
    <definedName name="_611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653"}</definedName>
    <definedName name="_611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652"}</definedName>
    <definedName name="_611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651"}</definedName>
    <definedName name="_611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650"}</definedName>
    <definedName name="_611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649"}</definedName>
    <definedName name="_611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648"}</definedName>
    <definedName name="_611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647"}</definedName>
    <definedName name="_611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646"}</definedName>
    <definedName name="_611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645"}</definedName>
    <definedName name="_611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644"}</definedName>
    <definedName name="_61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1178"}</definedName>
    <definedName name="_612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643"}</definedName>
    <definedName name="_612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642"}</definedName>
    <definedName name="_612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641"}</definedName>
    <definedName name="_612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640"}</definedName>
    <definedName name="_612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639"}</definedName>
    <definedName name="_612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638"}</definedName>
    <definedName name="_612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637"}</definedName>
    <definedName name="_612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636"}</definedName>
    <definedName name="_612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635"}</definedName>
    <definedName name="_612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634"}</definedName>
    <definedName name="_61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1177"}</definedName>
    <definedName name="_613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633"}</definedName>
    <definedName name="_613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632"}</definedName>
    <definedName name="_613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631"}</definedName>
    <definedName name="_613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630"}</definedName>
    <definedName name="_613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629"}</definedName>
    <definedName name="_613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628"}</definedName>
    <definedName name="_613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627"}</definedName>
    <definedName name="_613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626"}</definedName>
    <definedName name="_613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625"}</definedName>
    <definedName name="_613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624"}</definedName>
    <definedName name="_61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1176"}</definedName>
    <definedName name="_614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623"}</definedName>
    <definedName name="_614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622"}</definedName>
    <definedName name="_614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621"}</definedName>
    <definedName name="_614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620"}</definedName>
    <definedName name="_614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619"}</definedName>
    <definedName name="_614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618"}</definedName>
    <definedName name="_614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617"}</definedName>
    <definedName name="_614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616"}</definedName>
    <definedName name="_614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615"}</definedName>
    <definedName name="_614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614"}</definedName>
    <definedName name="_61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1175"}</definedName>
    <definedName name="_615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613"}</definedName>
    <definedName name="_615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612"}</definedName>
    <definedName name="_615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611"}</definedName>
    <definedName name="_615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610"}</definedName>
    <definedName name="_615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609"}</definedName>
    <definedName name="_615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608"}</definedName>
    <definedName name="_615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607"}</definedName>
    <definedName name="_615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606"}</definedName>
    <definedName name="_615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605"}</definedName>
    <definedName name="_615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604"}</definedName>
    <definedName name="_61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1174"}</definedName>
    <definedName name="_616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603"}</definedName>
    <definedName name="_616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602"}</definedName>
    <definedName name="_616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601"}</definedName>
    <definedName name="_616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600"}</definedName>
    <definedName name="_616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599"}</definedName>
    <definedName name="_616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598"}</definedName>
    <definedName name="_616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597"}</definedName>
    <definedName name="_616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596"}</definedName>
    <definedName name="_616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595"}</definedName>
    <definedName name="_616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594"}</definedName>
    <definedName name="_61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1173"}</definedName>
    <definedName name="_617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593"}</definedName>
    <definedName name="_617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592"}</definedName>
    <definedName name="_617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591"}</definedName>
    <definedName name="_617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590"}</definedName>
    <definedName name="_617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589"}</definedName>
    <definedName name="_617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588"}</definedName>
    <definedName name="_617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587"}</definedName>
    <definedName name="_617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586"}</definedName>
    <definedName name="_617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585"}</definedName>
    <definedName name="_617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584"}</definedName>
    <definedName name="_61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1172"}</definedName>
    <definedName name="_618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583"}</definedName>
    <definedName name="_618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582"}</definedName>
    <definedName name="_618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581"}</definedName>
    <definedName name="_618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580"}</definedName>
    <definedName name="_618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579"}</definedName>
    <definedName name="_618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578"}</definedName>
    <definedName name="_618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577"}</definedName>
    <definedName name="_618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576"}</definedName>
    <definedName name="_618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575"}</definedName>
    <definedName name="_618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574"}</definedName>
    <definedName name="_61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1171"}</definedName>
    <definedName name="_619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573"}</definedName>
    <definedName name="_619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572"}</definedName>
    <definedName name="_619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571"}</definedName>
    <definedName name="_619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570"}</definedName>
    <definedName name="_619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569"}</definedName>
    <definedName name="_619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568"}</definedName>
    <definedName name="_619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567"}</definedName>
    <definedName name="_619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566"}</definedName>
    <definedName name="_619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565"}</definedName>
    <definedName name="_619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564"}</definedName>
    <definedName name="_6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11.594580&amp;VAR:V0=11.648858&amp;VAR:V1=11.594580&amp;VAR:Y0=2008&amp;VAR:Y1=2009&amp;VAR:P=903.254921&amp;VAR:DATE=20081231&amp;VAR:THRESH=-|-|-","|-|-|-|-"}</definedName>
    <definedName name="_62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1170"}</definedName>
    <definedName name="_620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563"}</definedName>
    <definedName name="_620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562"}</definedName>
    <definedName name="_620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561"}</definedName>
    <definedName name="_620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560"}</definedName>
    <definedName name="_620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559"}</definedName>
    <definedName name="_620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558"}</definedName>
    <definedName name="_620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557"}</definedName>
    <definedName name="_620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556"}</definedName>
    <definedName name="_620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555"}</definedName>
    <definedName name="_620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554"}</definedName>
    <definedName name="_62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1169"}</definedName>
    <definedName name="_621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553"}</definedName>
    <definedName name="_621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552"}</definedName>
    <definedName name="_621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551"}</definedName>
    <definedName name="_621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550"}</definedName>
    <definedName name="_621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549"}</definedName>
    <definedName name="_621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548"}</definedName>
    <definedName name="_621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547"}</definedName>
    <definedName name="_621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546"}</definedName>
    <definedName name="_621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545"}</definedName>
    <definedName name="_621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544"}</definedName>
    <definedName name="_62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1168"}</definedName>
    <definedName name="_622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543"}</definedName>
    <definedName name="_622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542"}</definedName>
    <definedName name="_622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541"}</definedName>
    <definedName name="_622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540"}</definedName>
    <definedName name="_622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539"}</definedName>
    <definedName name="_622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538"}</definedName>
    <definedName name="_622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537"}</definedName>
    <definedName name="_622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536"}</definedName>
    <definedName name="_622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535"}</definedName>
    <definedName name="_622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534"}</definedName>
    <definedName name="_62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1167"}</definedName>
    <definedName name="_623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533"}</definedName>
    <definedName name="_623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532"}</definedName>
    <definedName name="_623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531"}</definedName>
    <definedName name="_623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530"}</definedName>
    <definedName name="_623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529"}</definedName>
    <definedName name="_623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528"}</definedName>
    <definedName name="_623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527"}</definedName>
    <definedName name="_623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526"}</definedName>
    <definedName name="_623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525"}</definedName>
    <definedName name="_623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524"}</definedName>
    <definedName name="_62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1166"}</definedName>
    <definedName name="_624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523"}</definedName>
    <definedName name="_624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522"}</definedName>
    <definedName name="_624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521"}</definedName>
    <definedName name="_624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520"}</definedName>
    <definedName name="_624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519"}</definedName>
    <definedName name="_624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518"}</definedName>
    <definedName name="_624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517"}</definedName>
    <definedName name="_624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516"}</definedName>
    <definedName name="_624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515"}</definedName>
    <definedName name="_624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514"}</definedName>
    <definedName name="_62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1165"}</definedName>
    <definedName name="_625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513"}</definedName>
    <definedName name="_625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512"}</definedName>
    <definedName name="_625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511"}</definedName>
    <definedName name="_625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510"}</definedName>
    <definedName name="_625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509"}</definedName>
    <definedName name="_625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508"}</definedName>
    <definedName name="_625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507"}</definedName>
    <definedName name="_625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506"}</definedName>
    <definedName name="_625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505"}</definedName>
    <definedName name="_625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504"}</definedName>
    <definedName name="_62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1164"}</definedName>
    <definedName name="_626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503"}</definedName>
    <definedName name="_626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502"}</definedName>
    <definedName name="_626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501"}</definedName>
    <definedName name="_626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500"}</definedName>
    <definedName name="_626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499"}</definedName>
    <definedName name="_626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498"}</definedName>
    <definedName name="_626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497"}</definedName>
    <definedName name="_626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496"}</definedName>
    <definedName name="_626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495"}</definedName>
    <definedName name="_626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494"}</definedName>
    <definedName name="_62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1163"}</definedName>
    <definedName name="_627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493"}</definedName>
    <definedName name="_627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492"}</definedName>
    <definedName name="_627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491"}</definedName>
    <definedName name="_627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490"}</definedName>
    <definedName name="_627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489"}</definedName>
    <definedName name="_627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488"}</definedName>
    <definedName name="_627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487"}</definedName>
    <definedName name="_627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486"}</definedName>
    <definedName name="_627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485"}</definedName>
    <definedName name="_627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484"}</definedName>
    <definedName name="_62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1162"}</definedName>
    <definedName name="_628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483"}</definedName>
    <definedName name="_628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482"}</definedName>
    <definedName name="_628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481"}</definedName>
    <definedName name="_628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480"}</definedName>
    <definedName name="_628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479"}</definedName>
    <definedName name="_628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478"}</definedName>
    <definedName name="_628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477"}</definedName>
    <definedName name="_628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476"}</definedName>
    <definedName name="_628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475"}</definedName>
    <definedName name="_628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474"}</definedName>
    <definedName name="_62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1161"}</definedName>
    <definedName name="_629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473"}</definedName>
    <definedName name="_629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472"}</definedName>
    <definedName name="_629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471"}</definedName>
    <definedName name="_629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470"}</definedName>
    <definedName name="_629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469"}</definedName>
    <definedName name="_629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468"}</definedName>
    <definedName name="_629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467"}</definedName>
    <definedName name="_629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466"}</definedName>
    <definedName name="_629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465"}</definedName>
    <definedName name="_629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464"}</definedName>
    <definedName name="_6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0.748634&amp;VAR:V=11.874289&amp;VAR:V0=13.365776&amp;VAR:V1=11.445449&amp;VAR:Y0=2008&amp;VAR:Y1=2009&amp;VAR:P=1166.361500&amp;VAR:DATE=20080930&amp;VAR:THRESH=-|-|","-|-|-|-|-"}</definedName>
    <definedName name="_63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1160"}</definedName>
    <definedName name="_630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463"}</definedName>
    <definedName name="_630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462"}</definedName>
    <definedName name="_630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461"}</definedName>
    <definedName name="_630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460"}</definedName>
    <definedName name="_630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459"}</definedName>
    <definedName name="_630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458"}</definedName>
    <definedName name="_630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457"}</definedName>
    <definedName name="_630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456"}</definedName>
    <definedName name="_630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455"}</definedName>
    <definedName name="_630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454"}</definedName>
    <definedName name="_63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1159"}</definedName>
    <definedName name="_631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453"}</definedName>
    <definedName name="_631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452"}</definedName>
    <definedName name="_631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451"}</definedName>
    <definedName name="_631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450"}</definedName>
    <definedName name="_631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449"}</definedName>
    <definedName name="_631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448"}</definedName>
    <definedName name="_631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447"}</definedName>
    <definedName name="_631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446"}</definedName>
    <definedName name="_631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445"}</definedName>
    <definedName name="_631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444"}</definedName>
    <definedName name="_63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1158"}</definedName>
    <definedName name="_632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443"}</definedName>
    <definedName name="_632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442"}</definedName>
    <definedName name="_632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441"}</definedName>
    <definedName name="_632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440"}</definedName>
    <definedName name="_632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439"}</definedName>
    <definedName name="_632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438"}</definedName>
    <definedName name="_632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437"}</definedName>
    <definedName name="_632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436"}</definedName>
    <definedName name="_632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435"}</definedName>
    <definedName name="_632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434"}</definedName>
    <definedName name="_63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1157"}</definedName>
    <definedName name="_633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433"}</definedName>
    <definedName name="_633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432"}</definedName>
    <definedName name="_633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431"}</definedName>
    <definedName name="_633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430"}</definedName>
    <definedName name="_633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429"}</definedName>
    <definedName name="_633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428"}</definedName>
    <definedName name="_633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427"}</definedName>
    <definedName name="_633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426"}</definedName>
    <definedName name="_633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425"}</definedName>
    <definedName name="_633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424"}</definedName>
    <definedName name="_63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1156"}</definedName>
    <definedName name="_634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423"}</definedName>
    <definedName name="_634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422"}</definedName>
    <definedName name="_634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421"}</definedName>
    <definedName name="_634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420"}</definedName>
    <definedName name="_634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419"}</definedName>
    <definedName name="_634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418"}</definedName>
    <definedName name="_634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417"}</definedName>
    <definedName name="_634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416"}</definedName>
    <definedName name="_634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415"}</definedName>
    <definedName name="_634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414"}</definedName>
    <definedName name="_63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1155"}</definedName>
    <definedName name="_635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413"}</definedName>
    <definedName name="_635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412"}</definedName>
    <definedName name="_635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411"}</definedName>
    <definedName name="_635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410"}</definedName>
    <definedName name="_635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409"}</definedName>
    <definedName name="_635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408"}</definedName>
    <definedName name="_635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407"}</definedName>
    <definedName name="_635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406"}</definedName>
    <definedName name="_635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405"}</definedName>
    <definedName name="_635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404"}</definedName>
    <definedName name="_63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1154"}</definedName>
    <definedName name="_636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403"}</definedName>
    <definedName name="_636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402"}</definedName>
    <definedName name="_636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401"}</definedName>
    <definedName name="_636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400"}</definedName>
    <definedName name="_636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399"}</definedName>
    <definedName name="_636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398"}</definedName>
    <definedName name="_636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397"}</definedName>
    <definedName name="_636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396"}</definedName>
    <definedName name="_636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395"}</definedName>
    <definedName name="_636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394"}</definedName>
    <definedName name="_63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1153"}</definedName>
    <definedName name="_637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393"}</definedName>
    <definedName name="_637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392"}</definedName>
    <definedName name="_637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391"}</definedName>
    <definedName name="_637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390"}</definedName>
    <definedName name="_637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389"}</definedName>
    <definedName name="_637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388"}</definedName>
    <definedName name="_637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387"}</definedName>
    <definedName name="_637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386"}</definedName>
    <definedName name="_637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385"}</definedName>
    <definedName name="_637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384"}</definedName>
    <definedName name="_63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1152"}</definedName>
    <definedName name="_638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383"}</definedName>
    <definedName name="_638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382"}</definedName>
    <definedName name="_638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381"}</definedName>
    <definedName name="_638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380"}</definedName>
    <definedName name="_638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379"}</definedName>
    <definedName name="_638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378"}</definedName>
    <definedName name="_638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377"}</definedName>
    <definedName name="_638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376"}</definedName>
    <definedName name="_638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375"}</definedName>
    <definedName name="_638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374"}</definedName>
    <definedName name="_63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1151"}</definedName>
    <definedName name="_639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373"}</definedName>
    <definedName name="_639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372"}</definedName>
    <definedName name="_639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371"}</definedName>
    <definedName name="_639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370"}</definedName>
    <definedName name="_639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369"}</definedName>
    <definedName name="_639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368"}</definedName>
    <definedName name="_639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367"}</definedName>
    <definedName name="_639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366"}</definedName>
    <definedName name="_639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365"}</definedName>
    <definedName name="_639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364"}</definedName>
    <definedName name="_6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0.497268&amp;VAR:V=12.787071&amp;VAR:V0=13.816194&amp;VAR:V1=11.891574&amp;VAR:Y0=2008&amp;VAR:Y1=2009&amp;VAR:P=1280.001200&amp;VAR:DATE=20080630&amp;VAR:THRESH=-|-|","-|-|-|-|-"}</definedName>
    <definedName name="_64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1150"}</definedName>
    <definedName name="_640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363"}</definedName>
    <definedName name="_640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362"}</definedName>
    <definedName name="_640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361"}</definedName>
    <definedName name="_640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360"}</definedName>
    <definedName name="_640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359"}</definedName>
    <definedName name="_640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358"}</definedName>
    <definedName name="_640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357"}</definedName>
    <definedName name="_640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356"}</definedName>
    <definedName name="_640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355"}</definedName>
    <definedName name="_640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354"}</definedName>
    <definedName name="_64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1149"}</definedName>
    <definedName name="_641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353"}</definedName>
    <definedName name="_641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352"}</definedName>
    <definedName name="_641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351"}</definedName>
    <definedName name="_641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350"}</definedName>
    <definedName name="_641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349"}</definedName>
    <definedName name="_641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348"}</definedName>
    <definedName name="_641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347"}</definedName>
    <definedName name="_641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346"}</definedName>
    <definedName name="_641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345"}</definedName>
    <definedName name="_641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344"}</definedName>
    <definedName name="_64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1148"}</definedName>
    <definedName name="_642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343"}</definedName>
    <definedName name="_642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342"}</definedName>
    <definedName name="_642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341"}</definedName>
    <definedName name="_642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340"}</definedName>
    <definedName name="_642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339"}</definedName>
    <definedName name="_642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338"}</definedName>
    <definedName name="_642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337"}</definedName>
    <definedName name="_642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336"}</definedName>
    <definedName name="_642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335"}</definedName>
    <definedName name="_642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334"}</definedName>
    <definedName name="_64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1147"}</definedName>
    <definedName name="_643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333"}</definedName>
    <definedName name="_643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332"}</definedName>
    <definedName name="_643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331"}</definedName>
    <definedName name="_643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330"}</definedName>
    <definedName name="_643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329"}</definedName>
    <definedName name="_643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328"}</definedName>
    <definedName name="_643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327"}</definedName>
    <definedName name="_643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326"}</definedName>
    <definedName name="_643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325"}</definedName>
    <definedName name="_643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324"}</definedName>
    <definedName name="_64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1146"}</definedName>
    <definedName name="_644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323"}</definedName>
    <definedName name="_644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322"}</definedName>
    <definedName name="_644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321"}</definedName>
    <definedName name="_644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320"}</definedName>
    <definedName name="_644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319"}</definedName>
    <definedName name="_644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318"}</definedName>
    <definedName name="_644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317"}</definedName>
    <definedName name="_644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316"}</definedName>
    <definedName name="_644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315"}</definedName>
    <definedName name="_644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314"}</definedName>
    <definedName name="_64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1145"}</definedName>
    <definedName name="_645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313"}</definedName>
    <definedName name="_645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312"}</definedName>
    <definedName name="_645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311"}</definedName>
    <definedName name="_645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310"}</definedName>
    <definedName name="_645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309"}</definedName>
    <definedName name="_645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308"}</definedName>
    <definedName name="_645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307"}</definedName>
    <definedName name="_645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306"}</definedName>
    <definedName name="_645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305"}</definedName>
    <definedName name="_645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304"}</definedName>
    <definedName name="_64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1144"}</definedName>
    <definedName name="_646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303"}</definedName>
    <definedName name="_646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302"}</definedName>
    <definedName name="_646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301"}</definedName>
    <definedName name="_646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300"}</definedName>
    <definedName name="_646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299"}</definedName>
    <definedName name="_646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298"}</definedName>
    <definedName name="_646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297"}</definedName>
    <definedName name="_646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296"}</definedName>
    <definedName name="_646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295"}</definedName>
    <definedName name="_646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294"}</definedName>
    <definedName name="_64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1143"}</definedName>
    <definedName name="_647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293"}</definedName>
    <definedName name="_647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292"}</definedName>
    <definedName name="_647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291"}</definedName>
    <definedName name="_647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290"}</definedName>
    <definedName name="_647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289"}</definedName>
    <definedName name="_647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288"}</definedName>
    <definedName name="_647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287"}</definedName>
    <definedName name="_647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286"}</definedName>
    <definedName name="_647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285"}</definedName>
    <definedName name="_647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284"}</definedName>
    <definedName name="_64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1142"}</definedName>
    <definedName name="_648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283"}</definedName>
    <definedName name="_648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282"}</definedName>
    <definedName name="_648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281"}</definedName>
    <definedName name="_648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280"}</definedName>
    <definedName name="_648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279"}</definedName>
    <definedName name="_648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278"}</definedName>
    <definedName name="_648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277"}</definedName>
    <definedName name="_648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276"}</definedName>
    <definedName name="_648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275"}</definedName>
    <definedName name="_648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274"}</definedName>
    <definedName name="_64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1141"}</definedName>
    <definedName name="_649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273"}</definedName>
    <definedName name="_649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272"}</definedName>
    <definedName name="_649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271"}</definedName>
    <definedName name="_649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270"}</definedName>
    <definedName name="_649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269"}</definedName>
    <definedName name="_649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268"}</definedName>
    <definedName name="_649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267"}</definedName>
    <definedName name="_649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266"}</definedName>
    <definedName name="_649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265"}</definedName>
    <definedName name="_649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264"}</definedName>
    <definedName name="_6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0.248634&amp;VAR:V=13.544612&amp;VAR:V0=14.003887&amp;VAR:V1=12.323259&amp;VAR:Y0=2008&amp;VAR:Y1=2009&amp;VAR:P=1322.703500&amp;VAR:DATE=20080331&amp;VAR:THRESH=-|-|","-|-|-|-|-"}</definedName>
    <definedName name="_65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1140"}</definedName>
    <definedName name="_650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263"}</definedName>
    <definedName name="_650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262"}</definedName>
    <definedName name="_650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261"}</definedName>
    <definedName name="_650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260"}</definedName>
    <definedName name="_650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259"}</definedName>
    <definedName name="_650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258"}</definedName>
    <definedName name="_650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257"}</definedName>
    <definedName name="_650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256"}</definedName>
    <definedName name="_650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255"}</definedName>
    <definedName name="_650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254"}</definedName>
    <definedName name="_65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1139"}</definedName>
    <definedName name="_651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253"}</definedName>
    <definedName name="_651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252"}</definedName>
    <definedName name="_651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251"}</definedName>
    <definedName name="_651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250"}</definedName>
    <definedName name="_651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249"}</definedName>
    <definedName name="_651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248"}</definedName>
    <definedName name="_651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247"}</definedName>
    <definedName name="_651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246"}</definedName>
    <definedName name="_651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245"}</definedName>
    <definedName name="_651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244"}</definedName>
    <definedName name="_65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1138"}</definedName>
    <definedName name="_652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243"}</definedName>
    <definedName name="_652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242"}</definedName>
    <definedName name="_652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241"}</definedName>
    <definedName name="_652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240"}</definedName>
    <definedName name="_652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239"}</definedName>
    <definedName name="_652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238"}</definedName>
    <definedName name="_652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237"}</definedName>
    <definedName name="_652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236"}</definedName>
    <definedName name="_652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235"}</definedName>
    <definedName name="_652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234"}</definedName>
    <definedName name="_65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1137"}</definedName>
    <definedName name="_653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233"}</definedName>
    <definedName name="_653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232"}</definedName>
    <definedName name="_653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231"}</definedName>
    <definedName name="_653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230"}</definedName>
    <definedName name="_653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229"}</definedName>
    <definedName name="_653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228"}</definedName>
    <definedName name="_653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227"}</definedName>
    <definedName name="_653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226"}</definedName>
    <definedName name="_653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225"}</definedName>
    <definedName name="_653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224"}</definedName>
    <definedName name="_65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1136"}</definedName>
    <definedName name="_654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223"}</definedName>
    <definedName name="_654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222"}</definedName>
    <definedName name="_654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221"}</definedName>
    <definedName name="_654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220"}</definedName>
    <definedName name="_654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219"}</definedName>
    <definedName name="_654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218"}</definedName>
    <definedName name="_654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217"}</definedName>
    <definedName name="_654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216"}</definedName>
    <definedName name="_654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215"}</definedName>
    <definedName name="_654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214"}</definedName>
    <definedName name="_65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1135"}</definedName>
    <definedName name="_655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213"}</definedName>
    <definedName name="_655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212"}</definedName>
    <definedName name="_655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211"}</definedName>
    <definedName name="_655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210"}</definedName>
    <definedName name="_655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209"}</definedName>
    <definedName name="_655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208"}</definedName>
    <definedName name="_655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207"}</definedName>
    <definedName name="_655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206"}</definedName>
    <definedName name="_655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205"}</definedName>
    <definedName name="_655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204"}</definedName>
    <definedName name="_65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1134"}</definedName>
    <definedName name="_656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203"}</definedName>
    <definedName name="_656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202"}</definedName>
    <definedName name="_656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201"}</definedName>
    <definedName name="_656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200"}</definedName>
    <definedName name="_656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199"}</definedName>
    <definedName name="_656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198"}</definedName>
    <definedName name="_656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197"}</definedName>
    <definedName name="_656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196"}</definedName>
    <definedName name="_656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195"}</definedName>
    <definedName name="_656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194"}</definedName>
    <definedName name="_65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1133"}</definedName>
    <definedName name="_657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193"}</definedName>
    <definedName name="_657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192"}</definedName>
    <definedName name="_657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191"}</definedName>
    <definedName name="_657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190"}</definedName>
    <definedName name="_657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189"}</definedName>
    <definedName name="_657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188"}</definedName>
    <definedName name="_657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187"}</definedName>
    <definedName name="_657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186"}</definedName>
    <definedName name="_657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185"}</definedName>
    <definedName name="_657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184"}</definedName>
    <definedName name="_65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1132"}</definedName>
    <definedName name="_658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183"}</definedName>
    <definedName name="_658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182"}</definedName>
    <definedName name="_658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181"}</definedName>
    <definedName name="_658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180"}</definedName>
    <definedName name="_658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179"}</definedName>
    <definedName name="_658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178"}</definedName>
    <definedName name="_658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177"}</definedName>
    <definedName name="_658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176"}</definedName>
    <definedName name="_658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175"}</definedName>
    <definedName name="_658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174"}</definedName>
    <definedName name="_65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1131"}</definedName>
    <definedName name="_659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173"}</definedName>
    <definedName name="_659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172"}</definedName>
    <definedName name="_659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171"}</definedName>
    <definedName name="_659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170"}</definedName>
    <definedName name="_659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169"}</definedName>
    <definedName name="_659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168"}</definedName>
    <definedName name="_659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167"}</definedName>
    <definedName name="_659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166"}</definedName>
    <definedName name="_659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165"}</definedName>
    <definedName name="_659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164"}</definedName>
    <definedName name="_6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14.719061&amp;VAR:V0=16.781939&amp;VAR:V1=14.719061&amp;VAR:Y0=2007&amp;VAR:Y1=2008&amp;VAR:P=1468.355200&amp;VAR:DATE=20071231&amp;VAR:THRESH=-|-|","-|-|-|-|-"}</definedName>
    <definedName name="_66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1130"}</definedName>
    <definedName name="_660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163"}</definedName>
    <definedName name="_660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162"}</definedName>
    <definedName name="_660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161"}</definedName>
    <definedName name="_660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160"}</definedName>
    <definedName name="_660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159"}</definedName>
    <definedName name="_660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158"}</definedName>
    <definedName name="_660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157"}</definedName>
    <definedName name="_660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156"}</definedName>
    <definedName name="_660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155"}</definedName>
    <definedName name="_660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154"}</definedName>
    <definedName name="_66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1129"}</definedName>
    <definedName name="_661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153"}</definedName>
    <definedName name="_661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152"}</definedName>
    <definedName name="_661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151"}</definedName>
    <definedName name="_661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150"}</definedName>
    <definedName name="_661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149"}</definedName>
    <definedName name="_661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148"}</definedName>
    <definedName name="_661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147"}</definedName>
    <definedName name="_661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146"}</definedName>
    <definedName name="_661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145"}</definedName>
    <definedName name="_661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144"}</definedName>
    <definedName name="_66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1128"}</definedName>
    <definedName name="_662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143"}</definedName>
    <definedName name="_662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142"}</definedName>
    <definedName name="_662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141"}</definedName>
    <definedName name="_662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140"}</definedName>
    <definedName name="_662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139"}</definedName>
    <definedName name="_662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138"}</definedName>
    <definedName name="_662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137"}</definedName>
    <definedName name="_662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136"}</definedName>
    <definedName name="_662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135"}</definedName>
    <definedName name="_662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134"}</definedName>
    <definedName name="_66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1127"}</definedName>
    <definedName name="_663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133"}</definedName>
    <definedName name="_663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132"}</definedName>
    <definedName name="_663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131"}</definedName>
    <definedName name="_663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130"}</definedName>
    <definedName name="_663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129"}</definedName>
    <definedName name="_663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128"}</definedName>
    <definedName name="_663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127"}</definedName>
    <definedName name="_663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126"}</definedName>
    <definedName name="_663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125"}</definedName>
    <definedName name="_663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124"}</definedName>
    <definedName name="_66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1126"}</definedName>
    <definedName name="_664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123"}</definedName>
    <definedName name="_664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122"}</definedName>
    <definedName name="_664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121"}</definedName>
    <definedName name="_664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120"}</definedName>
    <definedName name="_664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119"}</definedName>
    <definedName name="_664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118"}</definedName>
    <definedName name="_664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117"}</definedName>
    <definedName name="_664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116"}</definedName>
    <definedName name="_664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115"}</definedName>
    <definedName name="_664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114"}</definedName>
    <definedName name="_66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1125"}</definedName>
    <definedName name="_665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113"}</definedName>
    <definedName name="_665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112"}</definedName>
    <definedName name="_665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111"}</definedName>
    <definedName name="_665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110"}</definedName>
    <definedName name="_665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109"}</definedName>
    <definedName name="_665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108"}</definedName>
    <definedName name="_665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107"}</definedName>
    <definedName name="_665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106"}</definedName>
    <definedName name="_665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105"}</definedName>
    <definedName name="_665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104"}</definedName>
    <definedName name="_66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1124"}</definedName>
    <definedName name="_666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103"}</definedName>
    <definedName name="_666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102"}</definedName>
    <definedName name="_666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101"}</definedName>
    <definedName name="_666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100"}</definedName>
    <definedName name="_666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99"}</definedName>
    <definedName name="_666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98"}</definedName>
    <definedName name="_666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97"}</definedName>
    <definedName name="_666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96"}</definedName>
    <definedName name="_666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95"}</definedName>
    <definedName name="_666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94"}</definedName>
    <definedName name="_66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1123"}</definedName>
    <definedName name="_667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93"}</definedName>
    <definedName name="_667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92"}</definedName>
    <definedName name="_667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91"}</definedName>
    <definedName name="_667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90"}</definedName>
    <definedName name="_667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89"}</definedName>
    <definedName name="_667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88"}</definedName>
    <definedName name="_667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87"}</definedName>
    <definedName name="_667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86"}</definedName>
    <definedName name="_667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85"}</definedName>
    <definedName name="_667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84"}</definedName>
    <definedName name="_66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1122"}</definedName>
    <definedName name="_668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83"}</definedName>
    <definedName name="_668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82"}</definedName>
    <definedName name="_668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81"}</definedName>
    <definedName name="_668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80"}</definedName>
    <definedName name="_668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79"}</definedName>
    <definedName name="_668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78"}</definedName>
    <definedName name="_668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77"}</definedName>
    <definedName name="_668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76"}</definedName>
    <definedName name="_668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75"}</definedName>
    <definedName name="_668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74"}</definedName>
    <definedName name="_66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1121"}</definedName>
    <definedName name="_669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73"}</definedName>
    <definedName name="_669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72"}</definedName>
    <definedName name="_669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71"}</definedName>
    <definedName name="_669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70"}</definedName>
    <definedName name="_669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69"}</definedName>
    <definedName name="_669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68"}</definedName>
    <definedName name="_669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67"}</definedName>
    <definedName name="_669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66"}</definedName>
    <definedName name="_669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65"}</definedName>
    <definedName name="_669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64"}</definedName>
    <definedName name="_6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0.742466&amp;VAR:V=15.245538&amp;VAR:V0=16.538893&amp;VAR:V1=14.842924&amp;VAR:Y0=2007&amp;VAR:Y1=2008&amp;VAR:P=1526.746700&amp;VAR:DATE=20070928&amp;VAR:THRESH=-|-|","-|-|-|-|-"}</definedName>
    <definedName name="_67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1120"}</definedName>
    <definedName name="_670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63"}</definedName>
    <definedName name="_670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62"}</definedName>
    <definedName name="_670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61"}</definedName>
    <definedName name="_670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60"}</definedName>
    <definedName name="_670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59"}</definedName>
    <definedName name="_670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58"}</definedName>
    <definedName name="_670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57"}</definedName>
    <definedName name="_670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56"}</definedName>
    <definedName name="_670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55"}</definedName>
    <definedName name="_670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54"}</definedName>
    <definedName name="_67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1119"}</definedName>
    <definedName name="_671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53"}</definedName>
    <definedName name="_671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52"}</definedName>
    <definedName name="_671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51"}</definedName>
    <definedName name="_671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50"}</definedName>
    <definedName name="_671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49"}</definedName>
    <definedName name="_671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48"}</definedName>
    <definedName name="_671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47"}</definedName>
    <definedName name="_671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46"}</definedName>
    <definedName name="_671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45"}</definedName>
    <definedName name="_671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44"}</definedName>
    <definedName name="_67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1118"}</definedName>
    <definedName name="_672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43"}</definedName>
    <definedName name="_672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42"}</definedName>
    <definedName name="_672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41"}</definedName>
    <definedName name="_672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40"}</definedName>
    <definedName name="_672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39"}</definedName>
    <definedName name="_672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38"}</definedName>
    <definedName name="_672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37"}</definedName>
    <definedName name="_672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36"}</definedName>
    <definedName name="_672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35"}</definedName>
    <definedName name="_672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34"}</definedName>
    <definedName name="_67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1117"}</definedName>
    <definedName name="_673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33"}</definedName>
    <definedName name="_673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32"}</definedName>
    <definedName name="_673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31"}</definedName>
    <definedName name="_673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30"}</definedName>
    <definedName name="_673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29"}</definedName>
    <definedName name="_673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28"}</definedName>
    <definedName name="_673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27"}</definedName>
    <definedName name="_673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26"}</definedName>
    <definedName name="_673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25"}</definedName>
    <definedName name="_673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24"}</definedName>
    <definedName name="_67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1116"}</definedName>
    <definedName name="_674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23"}</definedName>
    <definedName name="_674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22"}</definedName>
    <definedName name="_674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21"}</definedName>
    <definedName name="_674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20"}</definedName>
    <definedName name="_674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19"}</definedName>
    <definedName name="_674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18"}</definedName>
    <definedName name="_674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17"}</definedName>
    <definedName name="_674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16"}</definedName>
    <definedName name="_674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15"}</definedName>
    <definedName name="_674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14"}</definedName>
    <definedName name="_67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1115"}</definedName>
    <definedName name="_675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13"}</definedName>
    <definedName name="_675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12"}</definedName>
    <definedName name="_675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11"}</definedName>
    <definedName name="_675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10"}</definedName>
    <definedName name="_6754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9"}</definedName>
    <definedName name="_6755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8"}</definedName>
    <definedName name="_6756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7"}</definedName>
    <definedName name="_6757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6"}</definedName>
    <definedName name="_6758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5"}</definedName>
    <definedName name="_6759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4"}</definedName>
    <definedName name="_67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1114"}</definedName>
    <definedName name="_6760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3"}</definedName>
    <definedName name="_6761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2"}</definedName>
    <definedName name="_6762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1"}</definedName>
    <definedName name="_6763__FDSAUDITLINK__">{"fdsup://directions/FAT Viewer?action=UPDATE&amp;creator=factset&amp;DYN_ARGS=TRUE&amp;DOC_NAME=FAT:FQL_AUDITING_CLIENT_TEMPLATE.FAT&amp;display_string=Audit&amp;VAR:KEY=AZGNIVATOF&amp;VAR:QUERY=RkZfUEZDRihRVFIsLTNBWSxOT1csRCk=&amp;WINDOW=FIRST_POPUP&amp;HEIGHT=450&amp;WIDTH=450&amp;START_MAXIMI","ZED=FALSE&amp;VAR:CALENDAR=US&amp;VAR:SYMBOL=GOOG&amp;VAR:INDEX=0"}</definedName>
    <definedName name="_6764__FDSAUDITLINK__">{"fdsup://directions/FAT Viewer?action=UPDATE&amp;creator=factset&amp;DYN_ARGS=TRUE&amp;DOC_NAME=FAT:FQL_AUDITING_CLIENT_TEMPLATE.FAT&amp;display_string=Audit&amp;VAR:KEY=JUJIJULOVQ&amp;VAR:QUERY=KFBfUFJJQ0UoNDA3MDMpLShGRl9DQVNIX1NUKFFUUiw0MDcwMykvUF9DT01fU0hTX09VVCg0MDcwMykpKS9GR","V9FU1RJTUFURSgnRVBTJywnTUVBTicsJ0FOTlVBTF9ST0xMJywnKzEnLDQwNzAzLCwsJycp&amp;WINDOW=FIRST_POPUP&amp;HEIGHT=450&amp;WIDTH=450&amp;START_MAXIMIZED=FALSE&amp;VAR:CALENDAR=US&amp;VAR:SYMBOL=98433210&amp;VAR:INDEX=0"}</definedName>
    <definedName name="_6765__FDSAUDITLINK__">{"fdsup://directions/FAT Viewer?action=UPDATE&amp;creator=factset&amp;DYN_ARGS=TRUE&amp;DOC_NAME=FAT:FQL_AUDITING_CLIENT_TEMPLATE.FAT&amp;display_string=Audit&amp;VAR:KEY=JUJIJULOVQ&amp;VAR:QUERY=KFBfUFJJQ0UoNDA3MDMpLShGRl9DQVNIX1NUKFFUUiw0MDcwMykvUF9DT01fU0hTX09VVCg0MDcwMykpKS9GR","V9FU1RJTUFURSgnRVBTJywnTUVBTicsJ0FOTlVBTF9ST0xMJywnKzEnLDQwNzAzLCwsJycp&amp;WINDOW=FIRST_POPUP&amp;HEIGHT=450&amp;WIDTH=450&amp;START_MAXIMIZED=FALSE&amp;VAR:CALENDAR=US&amp;VAR:SYMBOL=98433210&amp;VAR:INDEX=0"}</definedName>
    <definedName name="_6766__FDSAUDITLINK__">{"fdsup://directions/FAT Viewer?action=UPDATE&amp;creator=factset&amp;DYN_ARGS=TRUE&amp;DOC_NAME=FAT:FQL_AUDITING_CLIENT_TEMPLATE.FAT&amp;display_string=Audit&amp;VAR:KEY=RCTMNITIVS&amp;VAR:QUERY=KFBfUFJJQ0UoNDA3MDIpLShGRl9DQVNIX1NUKFFUUiw0MDcwMikvUF9DT01fU0hTX09VVCg0MDcwMikpKS9GR","V9FU1RJTUFURSgnRVBTJywnTUVBTicsJ0FOTlVBTF9ST0xMJywnKzEnLDQwNzAyLCwsJycp&amp;WINDOW=FIRST_POPUP&amp;HEIGHT=450&amp;WIDTH=450&amp;START_MAXIMIZED=FALSE&amp;VAR:CALENDAR=US&amp;VAR:SYMBOL=98433210&amp;VAR:INDEX=0"}</definedName>
    <definedName name="_6767__FDSAUDITLINK__">{"fdsup://directions/FAT Viewer?action=UPDATE&amp;creator=factset&amp;DYN_ARGS=TRUE&amp;DOC_NAME=FAT:FQL_AUDITING_CLIENT_TEMPLATE.FAT&amp;display_string=Audit&amp;VAR:KEY=RCTMNITIVS&amp;VAR:QUERY=KFBfUFJJQ0UoNDA3MDIpLShGRl9DQVNIX1NUKFFUUiw0MDcwMikvUF9DT01fU0hTX09VVCg0MDcwMikpKS9GR","V9FU1RJTUFURSgnRVBTJywnTUVBTicsJ0FOTlVBTF9ST0xMJywnKzEnLDQwNzAyLCwsJycp&amp;WINDOW=FIRST_POPUP&amp;HEIGHT=450&amp;WIDTH=450&amp;START_MAXIMIZED=FALSE&amp;VAR:CALENDAR=US&amp;VAR:SYMBOL=98433210&amp;VAR:INDEX=0"}</definedName>
    <definedName name="_6768__FDSAUDITLINK__">{"fdsup://directions/FAT Viewer?action=UPDATE&amp;creator=factset&amp;DYN_ARGS=TRUE&amp;DOC_NAME=FAT:FQL_AUDITING_CLIENT_TEMPLATE.FAT&amp;display_string=Audit&amp;VAR:KEY=DGNMVYHONY&amp;VAR:QUERY=KFBfUFJJQ0UoNDA3MDEpLShGRl9DQVNIX1NUKFFUUiw0MDcwMSkvUF9DT01fU0hTX09VVCg0MDcwMSkpKS9GR","V9FU1RJTUFURSgnRVBTJywnTUVBTicsJ0FOTlVBTF9ST0xMJywnKzEnLDQwNzAxLCwsJycp&amp;WINDOW=FIRST_POPUP&amp;HEIGHT=450&amp;WIDTH=450&amp;START_MAXIMIZED=FALSE&amp;VAR:CALENDAR=US&amp;VAR:SYMBOL=98433210&amp;VAR:INDEX=0"}</definedName>
    <definedName name="_6769__FDSAUDITLINK__">{"fdsup://directions/FAT Viewer?action=UPDATE&amp;creator=factset&amp;DYN_ARGS=TRUE&amp;DOC_NAME=FAT:FQL_AUDITING_CLIENT_TEMPLATE.FAT&amp;display_string=Audit&amp;VAR:KEY=DGNMVYHONY&amp;VAR:QUERY=KFBfUFJJQ0UoNDA3MDEpLShGRl9DQVNIX1NUKFFUUiw0MDcwMSkvUF9DT01fU0hTX09VVCg0MDcwMSkpKS9GR","V9FU1RJTUFURSgnRVBTJywnTUVBTicsJ0FOTlVBTF9ST0xMJywnKzEnLDQwNzAxLCwsJycp&amp;WINDOW=FIRST_POPUP&amp;HEIGHT=450&amp;WIDTH=450&amp;START_MAXIMIZED=FALSE&amp;VAR:CALENDAR=US&amp;VAR:SYMBOL=98433210&amp;VAR:INDEX=0"}</definedName>
    <definedName name="_67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1113"}</definedName>
    <definedName name="_6770__FDSAUDITLINK__">{"fdsup://directions/FAT Viewer?action=UPDATE&amp;creator=factset&amp;DYN_ARGS=TRUE&amp;DOC_NAME=FAT:FQL_AUDITING_CLIENT_TEMPLATE.FAT&amp;display_string=Audit&amp;VAR:KEY=BGVILSZCJG&amp;VAR:QUERY=KFBfUFJJQ0UoNDA3MDApLShGRl9DQVNIX1NUKFFUUiw0MDcwMCkvUF9DT01fU0hTX09VVCg0MDcwMCkpKS9GR","V9FU1RJTUFURSgnRVBTJywnTUVBTicsJ0FOTlVBTF9ST0xMJywnKzEnLDQwNzAwLCwsJycp&amp;WINDOW=FIRST_POPUP&amp;HEIGHT=450&amp;WIDTH=450&amp;START_MAXIMIZED=FALSE&amp;VAR:CALENDAR=US&amp;VAR:SYMBOL=98433210&amp;VAR:INDEX=0"}</definedName>
    <definedName name="_6771__FDSAUDITLINK__">{"fdsup://directions/FAT Viewer?action=UPDATE&amp;creator=factset&amp;DYN_ARGS=TRUE&amp;DOC_NAME=FAT:FQL_AUDITING_CLIENT_TEMPLATE.FAT&amp;display_string=Audit&amp;VAR:KEY=BGVILSZCJG&amp;VAR:QUERY=KFBfUFJJQ0UoNDA3MDApLShGRl9DQVNIX1NUKFFUUiw0MDcwMCkvUF9DT01fU0hTX09VVCg0MDcwMCkpKS9GR","V9FU1RJTUFURSgnRVBTJywnTUVBTicsJ0FOTlVBTF9ST0xMJywnKzEnLDQwNzAwLCwsJycp&amp;WINDOW=FIRST_POPUP&amp;HEIGHT=450&amp;WIDTH=450&amp;START_MAXIMIZED=FALSE&amp;VAR:CALENDAR=US&amp;VAR:SYMBOL=98433210&amp;VAR:INDEX=0"}</definedName>
    <definedName name="_6772__FDSAUDITLINK__">{"fdsup://directions/FAT Viewer?action=UPDATE&amp;creator=factset&amp;DYN_ARGS=TRUE&amp;DOC_NAME=FAT:FQL_AUDITING_CLIENT_TEMPLATE.FAT&amp;display_string=Audit&amp;VAR:KEY=DQZYTEPWBC&amp;VAR:QUERY=KFBfUFJJQ0UoNDA2OTkpLShGRl9DQVNIX1NUKFFUUiw0MDY5OSkvUF9DT01fU0hTX09VVCg0MDY5OSkpKS9GR","V9FU1RJTUFURSgnRVBTJywnTUVBTicsJ0FOTlVBTF9ST0xMJywnKzEnLDQwNjk5LCwsJycp&amp;WINDOW=FIRST_POPUP&amp;HEIGHT=450&amp;WIDTH=450&amp;START_MAXIMIZED=FALSE&amp;VAR:CALENDAR=US&amp;VAR:SYMBOL=98433210&amp;VAR:INDEX=0"}</definedName>
    <definedName name="_6773__FDSAUDITLINK__">{"fdsup://directions/FAT Viewer?action=UPDATE&amp;creator=factset&amp;DYN_ARGS=TRUE&amp;DOC_NAME=FAT:FQL_AUDITING_CLIENT_TEMPLATE.FAT&amp;display_string=Audit&amp;VAR:KEY=DQZYTEPWBC&amp;VAR:QUERY=KFBfUFJJQ0UoNDA2OTkpLShGRl9DQVNIX1NUKFFUUiw0MDY5OSkvUF9DT01fU0hTX09VVCg0MDY5OSkpKS9GR","V9FU1RJTUFURSgnRVBTJywnTUVBTicsJ0FOTlVBTF9ST0xMJywnKzEnLDQwNjk5LCwsJycp&amp;WINDOW=FIRST_POPUP&amp;HEIGHT=450&amp;WIDTH=450&amp;START_MAXIMIZED=FALSE&amp;VAR:CALENDAR=US&amp;VAR:SYMBOL=98433210&amp;VAR:INDEX=0"}</definedName>
    <definedName name="_6774__FDSAUDITLINK__">{"fdsup://directions/FAT Viewer?action=UPDATE&amp;creator=factset&amp;DYN_ARGS=TRUE&amp;DOC_NAME=FAT:FQL_AUDITING_CLIENT_TEMPLATE.FAT&amp;display_string=Audit&amp;VAR:KEY=HOTEPORCDW&amp;VAR:QUERY=KFBfUFJJQ0UoNDA2OTgpLShGRl9DQVNIX1NUKFFUUiw0MDY5OCkvUF9DT01fU0hTX09VVCg0MDY5OCkpKS9GR","V9FU1RJTUFURSgnRVBTJywnTUVBTicsJ0FOTlVBTF9ST0xMJywnKzEnLDQwNjk4LCwsJycp&amp;WINDOW=FIRST_POPUP&amp;HEIGHT=450&amp;WIDTH=450&amp;START_MAXIMIZED=FALSE&amp;VAR:CALENDAR=US&amp;VAR:SYMBOL=98433210&amp;VAR:INDEX=0"}</definedName>
    <definedName name="_6775__FDSAUDITLINK__">{"fdsup://directions/FAT Viewer?action=UPDATE&amp;creator=factset&amp;DYN_ARGS=TRUE&amp;DOC_NAME=FAT:FQL_AUDITING_CLIENT_TEMPLATE.FAT&amp;display_string=Audit&amp;VAR:KEY=HOTEPORCDW&amp;VAR:QUERY=KFBfUFJJQ0UoNDA2OTgpLShGRl9DQVNIX1NUKFFUUiw0MDY5OCkvUF9DT01fU0hTX09VVCg0MDY5OCkpKS9GR","V9FU1RJTUFURSgnRVBTJywnTUVBTicsJ0FOTlVBTF9ST0xMJywnKzEnLDQwNjk4LCwsJycp&amp;WINDOW=FIRST_POPUP&amp;HEIGHT=450&amp;WIDTH=450&amp;START_MAXIMIZED=FALSE&amp;VAR:CALENDAR=US&amp;VAR:SYMBOL=98433210&amp;VAR:INDEX=0"}</definedName>
    <definedName name="_6776__FDSAUDITLINK__">{"fdsup://directions/FAT Viewer?action=UPDATE&amp;creator=factset&amp;DYN_ARGS=TRUE&amp;DOC_NAME=FAT:FQL_AUDITING_CLIENT_TEMPLATE.FAT&amp;display_string=Audit&amp;VAR:KEY=FMTUZSLADC&amp;VAR:QUERY=KFBfUFJJQ0UoNDA2OTcpLShGRl9DQVNIX1NUKFFUUiw0MDY5NykvUF9DT01fU0hTX09VVCg0MDY5NykpKS9GR","V9FU1RJTUFURSgnRVBTJywnTUVBTicsJ0FOTlVBTF9ST0xMJywnKzEnLDQwNjk3LCwsJycp&amp;WINDOW=FIRST_POPUP&amp;HEIGHT=450&amp;WIDTH=450&amp;START_MAXIMIZED=FALSE&amp;VAR:CALENDAR=US&amp;VAR:SYMBOL=98433210&amp;VAR:INDEX=0"}</definedName>
    <definedName name="_6777__FDSAUDITLINK__">{"fdsup://directions/FAT Viewer?action=UPDATE&amp;creator=factset&amp;DYN_ARGS=TRUE&amp;DOC_NAME=FAT:FQL_AUDITING_CLIENT_TEMPLATE.FAT&amp;display_string=Audit&amp;VAR:KEY=FMTUZSLADC&amp;VAR:QUERY=KFBfUFJJQ0UoNDA2OTcpLShGRl9DQVNIX1NUKFFUUiw0MDY5NykvUF9DT01fU0hTX09VVCg0MDY5NykpKS9GR","V9FU1RJTUFURSgnRVBTJywnTUVBTicsJ0FOTlVBTF9ST0xMJywnKzEnLDQwNjk3LCwsJycp&amp;WINDOW=FIRST_POPUP&amp;HEIGHT=450&amp;WIDTH=450&amp;START_MAXIMIZED=FALSE&amp;VAR:CALENDAR=US&amp;VAR:SYMBOL=98433210&amp;VAR:INDEX=0"}</definedName>
    <definedName name="_6778__FDSAUDITLINK__">{"fdsup://directions/FAT Viewer?action=UPDATE&amp;creator=factset&amp;DYN_ARGS=TRUE&amp;DOC_NAME=FAT:FQL_AUDITING_CLIENT_TEMPLATE.FAT&amp;display_string=Audit&amp;VAR:KEY=JCZOVELGNU&amp;VAR:QUERY=KFBfUFJJQ0UoNDA2OTYpLShGRl9DQVNIX1NUKFFUUiw0MDY5NikvUF9DT01fU0hTX09VVCg0MDY5NikpKS9GR","V9FU1RJTUFURSgnRVBTJywnTUVBTicsJ0FOTlVBTF9ST0xMJywnKzEnLDQwNjk2LCwsJycp&amp;WINDOW=FIRST_POPUP&amp;HEIGHT=450&amp;WIDTH=450&amp;START_MAXIMIZED=FALSE&amp;VAR:CALENDAR=US&amp;VAR:SYMBOL=98433210&amp;VAR:INDEX=0"}</definedName>
    <definedName name="_6779__FDSAUDITLINK__">{"fdsup://directions/FAT Viewer?action=UPDATE&amp;creator=factset&amp;DYN_ARGS=TRUE&amp;DOC_NAME=FAT:FQL_AUDITING_CLIENT_TEMPLATE.FAT&amp;display_string=Audit&amp;VAR:KEY=JCZOVELGNU&amp;VAR:QUERY=KFBfUFJJQ0UoNDA2OTYpLShGRl9DQVNIX1NUKFFUUiw0MDY5NikvUF9DT01fU0hTX09VVCg0MDY5NikpKS9GR","V9FU1RJTUFURSgnRVBTJywnTUVBTicsJ0FOTlVBTF9ST0xMJywnKzEnLDQwNjk2LCwsJycp&amp;WINDOW=FIRST_POPUP&amp;HEIGHT=450&amp;WIDTH=450&amp;START_MAXIMIZED=FALSE&amp;VAR:CALENDAR=US&amp;VAR:SYMBOL=98433210&amp;VAR:INDEX=0"}</definedName>
    <definedName name="_67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1112"}</definedName>
    <definedName name="_6780__FDSAUDITLINK__">{"fdsup://directions/FAT Viewer?action=UPDATE&amp;creator=factset&amp;DYN_ARGS=TRUE&amp;DOC_NAME=FAT:FQL_AUDITING_CLIENT_TEMPLATE.FAT&amp;display_string=Audit&amp;VAR:KEY=NYLEVITYLG&amp;VAR:QUERY=KFBfUFJJQ0UoNDA2OTUpLShGRl9DQVNIX1NUKFFUUiw0MDY5NSkvUF9DT01fU0hTX09VVCg0MDY5NSkpKS9GR","V9FU1RJTUFURSgnRVBTJywnTUVBTicsJ0FOTlVBTF9ST0xMJywnKzEnLDQwNjk1LCwsJycp&amp;WINDOW=FIRST_POPUP&amp;HEIGHT=450&amp;WIDTH=450&amp;START_MAXIMIZED=FALSE&amp;VAR:CALENDAR=US&amp;VAR:SYMBOL=98433210&amp;VAR:INDEX=0"}</definedName>
    <definedName name="_6781__FDSAUDITLINK__">{"fdsup://directions/FAT Viewer?action=UPDATE&amp;creator=factset&amp;DYN_ARGS=TRUE&amp;DOC_NAME=FAT:FQL_AUDITING_CLIENT_TEMPLATE.FAT&amp;display_string=Audit&amp;VAR:KEY=NYLEVITYLG&amp;VAR:QUERY=KFBfUFJJQ0UoNDA2OTUpLShGRl9DQVNIX1NUKFFUUiw0MDY5NSkvUF9DT01fU0hTX09VVCg0MDY5NSkpKS9GR","V9FU1RJTUFURSgnRVBTJywnTUVBTicsJ0FOTlVBTF9ST0xMJywnKzEnLDQwNjk1LCwsJycp&amp;WINDOW=FIRST_POPUP&amp;HEIGHT=450&amp;WIDTH=450&amp;START_MAXIMIZED=FALSE&amp;VAR:CALENDAR=US&amp;VAR:SYMBOL=98433210&amp;VAR:INDEX=0"}</definedName>
    <definedName name="_6782__FDSAUDITLINK__">{"fdsup://directions/FAT Viewer?action=UPDATE&amp;creator=factset&amp;DYN_ARGS=TRUE&amp;DOC_NAME=FAT:FQL_AUDITING_CLIENT_TEMPLATE.FAT&amp;display_string=Audit&amp;VAR:KEY=ZYDSZSLOPC&amp;VAR:QUERY=KFBfUFJJQ0UoNDA2OTQpLShGRl9DQVNIX1NUKFFUUiw0MDY5NCkvUF9DT01fU0hTX09VVCg0MDY5NCkpKS9GR","V9FU1RJTUFURSgnRVBTJywnTUVBTicsJ0FOTlVBTF9ST0xMJywnKzEnLDQwNjk0LCwsJycp&amp;WINDOW=FIRST_POPUP&amp;HEIGHT=450&amp;WIDTH=450&amp;START_MAXIMIZED=FALSE&amp;VAR:CALENDAR=US&amp;VAR:SYMBOL=98433210&amp;VAR:INDEX=0"}</definedName>
    <definedName name="_6783__FDSAUDITLINK__">{"fdsup://directions/FAT Viewer?action=UPDATE&amp;creator=factset&amp;DYN_ARGS=TRUE&amp;DOC_NAME=FAT:FQL_AUDITING_CLIENT_TEMPLATE.FAT&amp;display_string=Audit&amp;VAR:KEY=ZYDSZSLOPC&amp;VAR:QUERY=KFBfUFJJQ0UoNDA2OTQpLShGRl9DQVNIX1NUKFFUUiw0MDY5NCkvUF9DT01fU0hTX09VVCg0MDY5NCkpKS9GR","V9FU1RJTUFURSgnRVBTJywnTUVBTicsJ0FOTlVBTF9ST0xMJywnKzEnLDQwNjk0LCwsJycp&amp;WINDOW=FIRST_POPUP&amp;HEIGHT=450&amp;WIDTH=450&amp;START_MAXIMIZED=FALSE&amp;VAR:CALENDAR=US&amp;VAR:SYMBOL=98433210&amp;VAR:INDEX=0"}</definedName>
    <definedName name="_6784__FDSAUDITLINK__">{"fdsup://directions/FAT Viewer?action=UPDATE&amp;creator=factset&amp;DYN_ARGS=TRUE&amp;DOC_NAME=FAT:FQL_AUDITING_CLIENT_TEMPLATE.FAT&amp;display_string=Audit&amp;VAR:KEY=NOJYVAPAVK&amp;VAR:QUERY=KFBfUFJJQ0UoNDA2OTMpLShGRl9DQVNIX1NUKFFUUiw0MDY5MykvUF9DT01fU0hTX09VVCg0MDY5MykpKS9GR","V9FU1RJTUFURSgnRVBTJywnTUVBTicsJ0FOTlVBTF9ST0xMJywnKzEnLDQwNjkzLCwsJycp&amp;WINDOW=FIRST_POPUP&amp;HEIGHT=450&amp;WIDTH=450&amp;START_MAXIMIZED=FALSE&amp;VAR:CALENDAR=US&amp;VAR:SYMBOL=98433210&amp;VAR:INDEX=0"}</definedName>
    <definedName name="_6785__FDSAUDITLINK__">{"fdsup://directions/FAT Viewer?action=UPDATE&amp;creator=factset&amp;DYN_ARGS=TRUE&amp;DOC_NAME=FAT:FQL_AUDITING_CLIENT_TEMPLATE.FAT&amp;display_string=Audit&amp;VAR:KEY=NOJYVAPAVK&amp;VAR:QUERY=KFBfUFJJQ0UoNDA2OTMpLShGRl9DQVNIX1NUKFFUUiw0MDY5MykvUF9DT01fU0hTX09VVCg0MDY5MykpKS9GR","V9FU1RJTUFURSgnRVBTJywnTUVBTicsJ0FOTlVBTF9ST0xMJywnKzEnLDQwNjkzLCwsJycp&amp;WINDOW=FIRST_POPUP&amp;HEIGHT=450&amp;WIDTH=450&amp;START_MAXIMIZED=FALSE&amp;VAR:CALENDAR=US&amp;VAR:SYMBOL=98433210&amp;VAR:INDEX=0"}</definedName>
    <definedName name="_6786__FDSAUDITLINK__">{"fdsup://directions/FAT Viewer?action=UPDATE&amp;creator=factset&amp;DYN_ARGS=TRUE&amp;DOC_NAME=FAT:FQL_AUDITING_CLIENT_TEMPLATE.FAT&amp;display_string=Audit&amp;VAR:KEY=HSDWZGFQRW&amp;VAR:QUERY=KFBfUFJJQ0UoNDA2OTIpLShGRl9DQVNIX1NUKFFUUiw0MDY5MikvUF9DT01fU0hTX09VVCg0MDY5MikpKS9GR","V9FU1RJTUFURSgnRVBTJywnTUVBTicsJ0FOTlVBTF9ST0xMJywnKzEnLDQwNjkyLCwsJycp&amp;WINDOW=FIRST_POPUP&amp;HEIGHT=450&amp;WIDTH=450&amp;START_MAXIMIZED=FALSE&amp;VAR:CALENDAR=US&amp;VAR:SYMBOL=98433210&amp;VAR:INDEX=0"}</definedName>
    <definedName name="_6787__FDSAUDITLINK__">{"fdsup://directions/FAT Viewer?action=UPDATE&amp;creator=factset&amp;DYN_ARGS=TRUE&amp;DOC_NAME=FAT:FQL_AUDITING_CLIENT_TEMPLATE.FAT&amp;display_string=Audit&amp;VAR:KEY=HSDWZGFQRW&amp;VAR:QUERY=KFBfUFJJQ0UoNDA2OTIpLShGRl9DQVNIX1NUKFFUUiw0MDY5MikvUF9DT01fU0hTX09VVCg0MDY5MikpKS9GR","V9FU1RJTUFURSgnRVBTJywnTUVBTicsJ0FOTlVBTF9ST0xMJywnKzEnLDQwNjkyLCwsJycp&amp;WINDOW=FIRST_POPUP&amp;HEIGHT=450&amp;WIDTH=450&amp;START_MAXIMIZED=FALSE&amp;VAR:CALENDAR=US&amp;VAR:SYMBOL=98433210&amp;VAR:INDEX=0"}</definedName>
    <definedName name="_6788__FDSAUDITLINK__">{"fdsup://directions/FAT Viewer?action=UPDATE&amp;creator=factset&amp;DYN_ARGS=TRUE&amp;DOC_NAME=FAT:FQL_AUDITING_CLIENT_TEMPLATE.FAT&amp;display_string=Audit&amp;VAR:KEY=NKLMLEXGFQ&amp;VAR:QUERY=KFBfUFJJQ0UoNDA2OTEpLShGRl9DQVNIX1NUKFFUUiw0MDY5MSkvUF9DT01fU0hTX09VVCg0MDY5MSkpKS9GR","V9FU1RJTUFURSgnRVBTJywnTUVBTicsJ0FOTlVBTF9ST0xMJywnKzEnLDQwNjkxLCwsJycp&amp;WINDOW=FIRST_POPUP&amp;HEIGHT=450&amp;WIDTH=450&amp;START_MAXIMIZED=FALSE&amp;VAR:CALENDAR=US&amp;VAR:SYMBOL=98433210&amp;VAR:INDEX=0"}</definedName>
    <definedName name="_6789__FDSAUDITLINK__">{"fdsup://directions/FAT Viewer?action=UPDATE&amp;creator=factset&amp;DYN_ARGS=TRUE&amp;DOC_NAME=FAT:FQL_AUDITING_CLIENT_TEMPLATE.FAT&amp;display_string=Audit&amp;VAR:KEY=NKLMLEXGFQ&amp;VAR:QUERY=KFBfUFJJQ0UoNDA2OTEpLShGRl9DQVNIX1NUKFFUUiw0MDY5MSkvUF9DT01fU0hTX09VVCg0MDY5MSkpKS9GR","V9FU1RJTUFURSgnRVBTJywnTUVBTicsJ0FOTlVBTF9ST0xMJywnKzEnLDQwNjkxLCwsJycp&amp;WINDOW=FIRST_POPUP&amp;HEIGHT=450&amp;WIDTH=450&amp;START_MAXIMIZED=FALSE&amp;VAR:CALENDAR=US&amp;VAR:SYMBOL=98433210&amp;VAR:INDEX=0"}</definedName>
    <definedName name="_67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1111"}</definedName>
    <definedName name="_6790__FDSAUDITLINK__">{"fdsup://directions/FAT Viewer?action=UPDATE&amp;creator=factset&amp;DYN_ARGS=TRUE&amp;DOC_NAME=FAT:FQL_AUDITING_CLIENT_TEMPLATE.FAT&amp;display_string=Audit&amp;VAR:KEY=DYNQPIFWDM&amp;VAR:QUERY=KFBfUFJJQ0UoNDA2OTApLShGRl9DQVNIX1NUKFFUUiw0MDY5MCkvUF9DT01fU0hTX09VVCg0MDY5MCkpKS9GR","V9FU1RJTUFURSgnRVBTJywnTUVBTicsJ0FOTlVBTF9ST0xMJywnKzEnLDQwNjkwLCwsJycp&amp;WINDOW=FIRST_POPUP&amp;HEIGHT=450&amp;WIDTH=450&amp;START_MAXIMIZED=FALSE&amp;VAR:CALENDAR=US&amp;VAR:SYMBOL=98433210&amp;VAR:INDEX=0"}</definedName>
    <definedName name="_6791__FDSAUDITLINK__">{"fdsup://directions/FAT Viewer?action=UPDATE&amp;creator=factset&amp;DYN_ARGS=TRUE&amp;DOC_NAME=FAT:FQL_AUDITING_CLIENT_TEMPLATE.FAT&amp;display_string=Audit&amp;VAR:KEY=DYNQPIFWDM&amp;VAR:QUERY=KFBfUFJJQ0UoNDA2OTApLShGRl9DQVNIX1NUKFFUUiw0MDY5MCkvUF9DT01fU0hTX09VVCg0MDY5MCkpKS9GR","V9FU1RJTUFURSgnRVBTJywnTUVBTicsJ0FOTlVBTF9ST0xMJywnKzEnLDQwNjkwLCwsJycp&amp;WINDOW=FIRST_POPUP&amp;HEIGHT=450&amp;WIDTH=450&amp;START_MAXIMIZED=FALSE&amp;VAR:CALENDAR=US&amp;VAR:SYMBOL=98433210&amp;VAR:INDEX=0"}</definedName>
    <definedName name="_6792__FDSAUDITLINK__">{"fdsup://directions/FAT Viewer?action=UPDATE&amp;creator=factset&amp;DYN_ARGS=TRUE&amp;DOC_NAME=FAT:FQL_AUDITING_CLIENT_TEMPLATE.FAT&amp;display_string=Audit&amp;VAR:KEY=RUHQLYVQHK&amp;VAR:QUERY=KFBfUFJJQ0UoNDA2ODkpLShGRl9DQVNIX1NUKFFUUiw0MDY4OSkvUF9DT01fU0hTX09VVCg0MDY4OSkpKS9GR","V9FU1RJTUFURSgnRVBTJywnTUVBTicsJ0FOTlVBTF9ST0xMJywnKzEnLDQwNjg5LCwsJycp&amp;WINDOW=FIRST_POPUP&amp;HEIGHT=450&amp;WIDTH=450&amp;START_MAXIMIZED=FALSE&amp;VAR:CALENDAR=US&amp;VAR:SYMBOL=98433210&amp;VAR:INDEX=0"}</definedName>
    <definedName name="_6793__FDSAUDITLINK__">{"fdsup://directions/FAT Viewer?action=UPDATE&amp;creator=factset&amp;DYN_ARGS=TRUE&amp;DOC_NAME=FAT:FQL_AUDITING_CLIENT_TEMPLATE.FAT&amp;display_string=Audit&amp;VAR:KEY=RUHQLYVQHK&amp;VAR:QUERY=KFBfUFJJQ0UoNDA2ODkpLShGRl9DQVNIX1NUKFFUUiw0MDY4OSkvUF9DT01fU0hTX09VVCg0MDY4OSkpKS9GR","V9FU1RJTUFURSgnRVBTJywnTUVBTicsJ0FOTlVBTF9ST0xMJywnKzEnLDQwNjg5LCwsJycp&amp;WINDOW=FIRST_POPUP&amp;HEIGHT=450&amp;WIDTH=450&amp;START_MAXIMIZED=FALSE&amp;VAR:CALENDAR=US&amp;VAR:SYMBOL=98433210&amp;VAR:INDEX=0"}</definedName>
    <definedName name="_6794__FDSAUDITLINK__">{"fdsup://directions/FAT Viewer?action=UPDATE&amp;creator=factset&amp;DYN_ARGS=TRUE&amp;DOC_NAME=FAT:FQL_AUDITING_CLIENT_TEMPLATE.FAT&amp;display_string=Audit&amp;VAR:KEY=LUDEPIXKNU&amp;VAR:QUERY=KFBfUFJJQ0UoNDA2ODgpLShGRl9DQVNIX1NUKFFUUiw0MDY4OCkvUF9DT01fU0hTX09VVCg0MDY4OCkpKS9GR","V9FU1RJTUFURSgnRVBTJywnTUVBTicsJ0FOTlVBTF9ST0xMJywnKzEnLDQwNjg4LCwsJycp&amp;WINDOW=FIRST_POPUP&amp;HEIGHT=450&amp;WIDTH=450&amp;START_MAXIMIZED=FALSE&amp;VAR:CALENDAR=US&amp;VAR:SYMBOL=98433210&amp;VAR:INDEX=0"}</definedName>
    <definedName name="_6795__FDSAUDITLINK__">{"fdsup://directions/FAT Viewer?action=UPDATE&amp;creator=factset&amp;DYN_ARGS=TRUE&amp;DOC_NAME=FAT:FQL_AUDITING_CLIENT_TEMPLATE.FAT&amp;display_string=Audit&amp;VAR:KEY=LUDEPIXKNU&amp;VAR:QUERY=KFBfUFJJQ0UoNDA2ODgpLShGRl9DQVNIX1NUKFFUUiw0MDY4OCkvUF9DT01fU0hTX09VVCg0MDY4OCkpKS9GR","V9FU1RJTUFURSgnRVBTJywnTUVBTicsJ0FOTlVBTF9ST0xMJywnKzEnLDQwNjg4LCwsJycp&amp;WINDOW=FIRST_POPUP&amp;HEIGHT=450&amp;WIDTH=450&amp;START_MAXIMIZED=FALSE&amp;VAR:CALENDAR=US&amp;VAR:SYMBOL=98433210&amp;VAR:INDEX=0"}</definedName>
    <definedName name="_6796__FDSAUDITLINK__">{"fdsup://directions/FAT Viewer?action=UPDATE&amp;creator=factset&amp;DYN_ARGS=TRUE&amp;DOC_NAME=FAT:FQL_AUDITING_CLIENT_TEMPLATE.FAT&amp;display_string=Audit&amp;VAR:KEY=LUZWDMVIHU&amp;VAR:QUERY=KFBfUFJJQ0UoNDA2ODcpLShGRl9DQVNIX1NUKFFUUiw0MDY4NykvUF9DT01fU0hTX09VVCg0MDY4NykpKS9GR","V9FU1RJTUFURSgnRVBTJywnTUVBTicsJ0FOTlVBTF9ST0xMJywnKzEnLDQwNjg3LCwsJycp&amp;WINDOW=FIRST_POPUP&amp;HEIGHT=450&amp;WIDTH=450&amp;START_MAXIMIZED=FALSE&amp;VAR:CALENDAR=US&amp;VAR:SYMBOL=98433210&amp;VAR:INDEX=0"}</definedName>
    <definedName name="_6797__FDSAUDITLINK__">{"fdsup://directions/FAT Viewer?action=UPDATE&amp;creator=factset&amp;DYN_ARGS=TRUE&amp;DOC_NAME=FAT:FQL_AUDITING_CLIENT_TEMPLATE.FAT&amp;display_string=Audit&amp;VAR:KEY=LUZWDMVIHU&amp;VAR:QUERY=KFBfUFJJQ0UoNDA2ODcpLShGRl9DQVNIX1NUKFFUUiw0MDY4NykvUF9DT01fU0hTX09VVCg0MDY4NykpKS9GR","V9FU1RJTUFURSgnRVBTJywnTUVBTicsJ0FOTlVBTF9ST0xMJywnKzEnLDQwNjg3LCwsJycp&amp;WINDOW=FIRST_POPUP&amp;HEIGHT=450&amp;WIDTH=450&amp;START_MAXIMIZED=FALSE&amp;VAR:CALENDAR=US&amp;VAR:SYMBOL=98433210&amp;VAR:INDEX=0"}</definedName>
    <definedName name="_6798__FDSAUDITLINK__">{"fdsup://directions/FAT Viewer?action=UPDATE&amp;creator=factset&amp;DYN_ARGS=TRUE&amp;DOC_NAME=FAT:FQL_AUDITING_CLIENT_TEMPLATE.FAT&amp;display_string=Audit&amp;VAR:KEY=BOLGHCDWLA&amp;VAR:QUERY=KFBfUFJJQ0UoNDA2ODYpLShGRl9DQVNIX1NUKFFUUiw0MDY4NikvUF9DT01fU0hTX09VVCg0MDY4NikpKS9GR","V9FU1RJTUFURSgnRVBTJywnTUVBTicsJ0FOTlVBTF9ST0xMJywnKzEnLDQwNjg2LCwsJycp&amp;WINDOW=FIRST_POPUP&amp;HEIGHT=450&amp;WIDTH=450&amp;START_MAXIMIZED=FALSE&amp;VAR:CALENDAR=US&amp;VAR:SYMBOL=98433210&amp;VAR:INDEX=0"}</definedName>
    <definedName name="_6799__FDSAUDITLINK__">{"fdsup://directions/FAT Viewer?action=UPDATE&amp;creator=factset&amp;DYN_ARGS=TRUE&amp;DOC_NAME=FAT:FQL_AUDITING_CLIENT_TEMPLATE.FAT&amp;display_string=Audit&amp;VAR:KEY=BOLGHCDWLA&amp;VAR:QUERY=KFBfUFJJQ0UoNDA2ODYpLShGRl9DQVNIX1NUKFFUUiw0MDY4NikvUF9DT01fU0hTX09VVCg0MDY4NikpKS9GR","V9FU1RJTUFURSgnRVBTJywnTUVBTicsJ0FOTlVBTF9ST0xMJywnKzEnLDQwNjg2LCwsJycp&amp;WINDOW=FIRST_POPUP&amp;HEIGHT=450&amp;WIDTH=450&amp;START_MAXIMIZED=FALSE&amp;VAR:CALENDAR=US&amp;VAR:SYMBOL=98433210&amp;VAR:INDEX=0"}</definedName>
    <definedName name="_6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0.493151&amp;VAR:V=15.363365&amp;VAR:V0=16.228417&amp;VAR:V1=14.565393&amp;VAR:Y0=2007&amp;VAR:Y1=2008&amp;VAR:P=1503.348600&amp;VAR:DATE=20070629&amp;VAR:THRESH=-|-|","-|-|-|-|-"}</definedName>
    <definedName name="_68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1110"}</definedName>
    <definedName name="_6800__FDSAUDITLINK__">{"fdsup://directions/FAT Viewer?action=UPDATE&amp;creator=factset&amp;DYN_ARGS=TRUE&amp;DOC_NAME=FAT:FQL_AUDITING_CLIENT_TEMPLATE.FAT&amp;display_string=Audit&amp;VAR:KEY=LURONERKFI&amp;VAR:QUERY=KFBfUFJJQ0UoNDA2ODUpLShGRl9DQVNIX1NUKFFUUiw0MDY4NSkvUF9DT01fU0hTX09VVCg0MDY4NSkpKS9GR","V9FU1RJTUFURSgnRVBTJywnTUVBTicsJ0FOTlVBTF9ST0xMJywnKzEnLDQwNjg1LCwsJycp&amp;WINDOW=FIRST_POPUP&amp;HEIGHT=450&amp;WIDTH=450&amp;START_MAXIMIZED=FALSE&amp;VAR:CALENDAR=US&amp;VAR:SYMBOL=98433210&amp;VAR:INDEX=0"}</definedName>
    <definedName name="_6801__FDSAUDITLINK__">{"fdsup://directions/FAT Viewer?action=UPDATE&amp;creator=factset&amp;DYN_ARGS=TRUE&amp;DOC_NAME=FAT:FQL_AUDITING_CLIENT_TEMPLATE.FAT&amp;display_string=Audit&amp;VAR:KEY=LURONERKFI&amp;VAR:QUERY=KFBfUFJJQ0UoNDA2ODUpLShGRl9DQVNIX1NUKFFUUiw0MDY4NSkvUF9DT01fU0hTX09VVCg0MDY4NSkpKS9GR","V9FU1RJTUFURSgnRVBTJywnTUVBTicsJ0FOTlVBTF9ST0xMJywnKzEnLDQwNjg1LCwsJycp&amp;WINDOW=FIRST_POPUP&amp;HEIGHT=450&amp;WIDTH=450&amp;START_MAXIMIZED=FALSE&amp;VAR:CALENDAR=US&amp;VAR:SYMBOL=98433210&amp;VAR:INDEX=0"}</definedName>
    <definedName name="_6802__FDSAUDITLINK__">{"fdsup://directions/FAT Viewer?action=UPDATE&amp;creator=factset&amp;DYN_ARGS=TRUE&amp;DOC_NAME=FAT:FQL_AUDITING_CLIENT_TEMPLATE.FAT&amp;display_string=Audit&amp;VAR:KEY=BETETCVSDI&amp;VAR:QUERY=KFBfUFJJQ0UoNDA2ODQpLShGRl9DQVNIX1NUKFFUUiw0MDY4NCkvUF9DT01fU0hTX09VVCg0MDY4NCkpKS9GR","V9FU1RJTUFURSgnRVBTJywnTUVBTicsJ0FOTlVBTF9ST0xMJywnKzEnLDQwNjg0LCwsJycp&amp;WINDOW=FIRST_POPUP&amp;HEIGHT=450&amp;WIDTH=450&amp;START_MAXIMIZED=FALSE&amp;VAR:CALENDAR=US&amp;VAR:SYMBOL=98433210&amp;VAR:INDEX=0"}</definedName>
    <definedName name="_6803__FDSAUDITLINK__">{"fdsup://directions/FAT Viewer?action=UPDATE&amp;creator=factset&amp;DYN_ARGS=TRUE&amp;DOC_NAME=FAT:FQL_AUDITING_CLIENT_TEMPLATE.FAT&amp;display_string=Audit&amp;VAR:KEY=BETETCVSDI&amp;VAR:QUERY=KFBfUFJJQ0UoNDA2ODQpLShGRl9DQVNIX1NUKFFUUiw0MDY4NCkvUF9DT01fU0hTX09VVCg0MDY4NCkpKS9GR","V9FU1RJTUFURSgnRVBTJywnTUVBTicsJ0FOTlVBTF9ST0xMJywnKzEnLDQwNjg0LCwsJycp&amp;WINDOW=FIRST_POPUP&amp;HEIGHT=450&amp;WIDTH=450&amp;START_MAXIMIZED=FALSE&amp;VAR:CALENDAR=US&amp;VAR:SYMBOL=98433210&amp;VAR:INDEX=0"}</definedName>
    <definedName name="_6804__FDSAUDITLINK__">{"fdsup://directions/FAT Viewer?action=UPDATE&amp;creator=factset&amp;DYN_ARGS=TRUE&amp;DOC_NAME=FAT:FQL_AUDITING_CLIENT_TEMPLATE.FAT&amp;display_string=Audit&amp;VAR:KEY=XKNOFOXSRC&amp;VAR:QUERY=KFBfUFJJQ0UoNDA2ODMpLShGRl9DQVNIX1NUKFFUUiw0MDY4MykvUF9DT01fU0hTX09VVCg0MDY4MykpKS9GR","V9FU1RJTUFURSgnRVBTJywnTUVBTicsJ0FOTlVBTF9ST0xMJywnKzEnLDQwNjgzLCwsJycp&amp;WINDOW=FIRST_POPUP&amp;HEIGHT=450&amp;WIDTH=450&amp;START_MAXIMIZED=FALSE&amp;VAR:CALENDAR=US&amp;VAR:SYMBOL=98433210&amp;VAR:INDEX=0"}</definedName>
    <definedName name="_6805__FDSAUDITLINK__">{"fdsup://directions/FAT Viewer?action=UPDATE&amp;creator=factset&amp;DYN_ARGS=TRUE&amp;DOC_NAME=FAT:FQL_AUDITING_CLIENT_TEMPLATE.FAT&amp;display_string=Audit&amp;VAR:KEY=XKNOFOXSRC&amp;VAR:QUERY=KFBfUFJJQ0UoNDA2ODMpLShGRl9DQVNIX1NUKFFUUiw0MDY4MykvUF9DT01fU0hTX09VVCg0MDY4MykpKS9GR","V9FU1RJTUFURSgnRVBTJywnTUVBTicsJ0FOTlVBTF9ST0xMJywnKzEnLDQwNjgzLCwsJycp&amp;WINDOW=FIRST_POPUP&amp;HEIGHT=450&amp;WIDTH=450&amp;START_MAXIMIZED=FALSE&amp;VAR:CALENDAR=US&amp;VAR:SYMBOL=98433210&amp;VAR:INDEX=0"}</definedName>
    <definedName name="_6806__FDSAUDITLINK__">{"fdsup://directions/FAT Viewer?action=UPDATE&amp;creator=factset&amp;DYN_ARGS=TRUE&amp;DOC_NAME=FAT:FQL_AUDITING_CLIENT_TEMPLATE.FAT&amp;display_string=Audit&amp;VAR:KEY=ZCHSBGZMBK&amp;VAR:QUERY=KFBfUFJJQ0UoNDA2ODIpLShGRl9DQVNIX1NUKFFUUiw0MDY4MikvUF9DT01fU0hTX09VVCg0MDY4MikpKS9GR","V9FU1RJTUFURSgnRVBTJywnTUVBTicsJ0FOTlVBTF9ST0xMJywnKzEnLDQwNjgyLCwsJycp&amp;WINDOW=FIRST_POPUP&amp;HEIGHT=450&amp;WIDTH=450&amp;START_MAXIMIZED=FALSE&amp;VAR:CALENDAR=US&amp;VAR:SYMBOL=98433210&amp;VAR:INDEX=0"}</definedName>
    <definedName name="_6807__FDSAUDITLINK__">{"fdsup://directions/FAT Viewer?action=UPDATE&amp;creator=factset&amp;DYN_ARGS=TRUE&amp;DOC_NAME=FAT:FQL_AUDITING_CLIENT_TEMPLATE.FAT&amp;display_string=Audit&amp;VAR:KEY=ZCHSBGZMBK&amp;VAR:QUERY=KFBfUFJJQ0UoNDA2ODIpLShGRl9DQVNIX1NUKFFUUiw0MDY4MikvUF9DT01fU0hTX09VVCg0MDY4MikpKS9GR","V9FU1RJTUFURSgnRVBTJywnTUVBTicsJ0FOTlVBTF9ST0xMJywnKzEnLDQwNjgyLCwsJycp&amp;WINDOW=FIRST_POPUP&amp;HEIGHT=450&amp;WIDTH=450&amp;START_MAXIMIZED=FALSE&amp;VAR:CALENDAR=US&amp;VAR:SYMBOL=98433210&amp;VAR:INDEX=0"}</definedName>
    <definedName name="_6808__FDSAUDITLINK__">{"fdsup://directions/FAT Viewer?action=UPDATE&amp;creator=factset&amp;DYN_ARGS=TRUE&amp;DOC_NAME=FAT:FQL_AUDITING_CLIENT_TEMPLATE.FAT&amp;display_string=Audit&amp;VAR:KEY=NSFKRKRCZO&amp;VAR:QUERY=KFBfUFJJQ0UoNDA2ODEpLShGRl9DQVNIX1NUKFFUUiw0MDY4MSkvUF9DT01fU0hTX09VVCg0MDY4MSkpKS9GR","V9FU1RJTUFURSgnRVBTJywnTUVBTicsJ0FOTlVBTF9ST0xMJywnKzEnLDQwNjgxLCwsJycp&amp;WINDOW=FIRST_POPUP&amp;HEIGHT=450&amp;WIDTH=450&amp;START_MAXIMIZED=FALSE&amp;VAR:CALENDAR=US&amp;VAR:SYMBOL=98433210&amp;VAR:INDEX=0"}</definedName>
    <definedName name="_6809__FDSAUDITLINK__">{"fdsup://directions/FAT Viewer?action=UPDATE&amp;creator=factset&amp;DYN_ARGS=TRUE&amp;DOC_NAME=FAT:FQL_AUDITING_CLIENT_TEMPLATE.FAT&amp;display_string=Audit&amp;VAR:KEY=NSFKRKRCZO&amp;VAR:QUERY=KFBfUFJJQ0UoNDA2ODEpLShGRl9DQVNIX1NUKFFUUiw0MDY4MSkvUF9DT01fU0hTX09VVCg0MDY4MSkpKS9GR","V9FU1RJTUFURSgnRVBTJywnTUVBTicsJ0FOTlVBTF9ST0xMJywnKzEnLDQwNjgxLCwsJycp&amp;WINDOW=FIRST_POPUP&amp;HEIGHT=450&amp;WIDTH=450&amp;START_MAXIMIZED=FALSE&amp;VAR:CALENDAR=US&amp;VAR:SYMBOL=98433210&amp;VAR:INDEX=0"}</definedName>
    <definedName name="_68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1109"}</definedName>
    <definedName name="_6810__FDSAUDITLINK__">{"fdsup://directions/FAT Viewer?action=UPDATE&amp;creator=factset&amp;DYN_ARGS=TRUE&amp;DOC_NAME=FAT:FQL_AUDITING_CLIENT_TEMPLATE.FAT&amp;display_string=Audit&amp;VAR:KEY=HEJYZMPENE&amp;VAR:QUERY=KFBfUFJJQ0UoNDA2ODApLShGRl9DQVNIX1NUKFFUUiw0MDY4MCkvUF9DT01fU0hTX09VVCg0MDY4MCkpKS9GR","V9FU1RJTUFURSgnRVBTJywnTUVBTicsJ0FOTlVBTF9ST0xMJywnKzEnLDQwNjgwLCwsJycp&amp;WINDOW=FIRST_POPUP&amp;HEIGHT=450&amp;WIDTH=450&amp;START_MAXIMIZED=FALSE&amp;VAR:CALENDAR=US&amp;VAR:SYMBOL=98433210&amp;VAR:INDEX=0"}</definedName>
    <definedName name="_6811__FDSAUDITLINK__">{"fdsup://directions/FAT Viewer?action=UPDATE&amp;creator=factset&amp;DYN_ARGS=TRUE&amp;DOC_NAME=FAT:FQL_AUDITING_CLIENT_TEMPLATE.FAT&amp;display_string=Audit&amp;VAR:KEY=HEJYZMPENE&amp;VAR:QUERY=KFBfUFJJQ0UoNDA2ODApLShGRl9DQVNIX1NUKFFUUiw0MDY4MCkvUF9DT01fU0hTX09VVCg0MDY4MCkpKS9GR","V9FU1RJTUFURSgnRVBTJywnTUVBTicsJ0FOTlVBTF9ST0xMJywnKzEnLDQwNjgwLCwsJycp&amp;WINDOW=FIRST_POPUP&amp;HEIGHT=450&amp;WIDTH=450&amp;START_MAXIMIZED=FALSE&amp;VAR:CALENDAR=US&amp;VAR:SYMBOL=98433210&amp;VAR:INDEX=0"}</definedName>
    <definedName name="_6812__FDSAUDITLINK__">{"fdsup://directions/FAT Viewer?action=UPDATE&amp;creator=factset&amp;DYN_ARGS=TRUE&amp;DOC_NAME=FAT:FQL_AUDITING_CLIENT_TEMPLATE.FAT&amp;display_string=Audit&amp;VAR:KEY=LEXOLOTUNI&amp;VAR:QUERY=KFBfUFJJQ0UoNDA2NzkpLShGRl9DQVNIX1NUKFFUUiw0MDY3OSkvUF9DT01fU0hTX09VVCg0MDY3OSkpKS9GR","V9FU1RJTUFURSgnRVBTJywnTUVBTicsJ0FOTlVBTF9ST0xMJywnKzEnLDQwNjc5LCwsJycp&amp;WINDOW=FIRST_POPUP&amp;HEIGHT=450&amp;WIDTH=450&amp;START_MAXIMIZED=FALSE&amp;VAR:CALENDAR=US&amp;VAR:SYMBOL=98433210&amp;VAR:INDEX=0"}</definedName>
    <definedName name="_6813__FDSAUDITLINK__">{"fdsup://directions/FAT Viewer?action=UPDATE&amp;creator=factset&amp;DYN_ARGS=TRUE&amp;DOC_NAME=FAT:FQL_AUDITING_CLIENT_TEMPLATE.FAT&amp;display_string=Audit&amp;VAR:KEY=LEXOLOTUNI&amp;VAR:QUERY=KFBfUFJJQ0UoNDA2NzkpLShGRl9DQVNIX1NUKFFUUiw0MDY3OSkvUF9DT01fU0hTX09VVCg0MDY3OSkpKS9GR","V9FU1RJTUFURSgnRVBTJywnTUVBTicsJ0FOTlVBTF9ST0xMJywnKzEnLDQwNjc5LCwsJycp&amp;WINDOW=FIRST_POPUP&amp;HEIGHT=450&amp;WIDTH=450&amp;START_MAXIMIZED=FALSE&amp;VAR:CALENDAR=US&amp;VAR:SYMBOL=98433210&amp;VAR:INDEX=0"}</definedName>
    <definedName name="_6814__FDSAUDITLINK__">{"fdsup://directions/FAT Viewer?action=UPDATE&amp;creator=factset&amp;DYN_ARGS=TRUE&amp;DOC_NAME=FAT:FQL_AUDITING_CLIENT_TEMPLATE.FAT&amp;display_string=Audit&amp;VAR:KEY=BQLIDSBIXA&amp;VAR:QUERY=KFBfUFJJQ0UoNDA2NzgpLShGRl9DQVNIX1NUKFFUUiw0MDY3OCkvUF9DT01fU0hTX09VVCg0MDY3OCkpKS9GR","V9FU1RJTUFURSgnRVBTJywnTUVBTicsJ0FOTlVBTF9ST0xMJywnKzEnLDQwNjc4LCwsJycp&amp;WINDOW=FIRST_POPUP&amp;HEIGHT=450&amp;WIDTH=450&amp;START_MAXIMIZED=FALSE&amp;VAR:CALENDAR=US&amp;VAR:SYMBOL=98433210&amp;VAR:INDEX=0"}</definedName>
    <definedName name="_6815__FDSAUDITLINK__">{"fdsup://directions/FAT Viewer?action=UPDATE&amp;creator=factset&amp;DYN_ARGS=TRUE&amp;DOC_NAME=FAT:FQL_AUDITING_CLIENT_TEMPLATE.FAT&amp;display_string=Audit&amp;VAR:KEY=BQLIDSBIXA&amp;VAR:QUERY=KFBfUFJJQ0UoNDA2NzgpLShGRl9DQVNIX1NUKFFUUiw0MDY3OCkvUF9DT01fU0hTX09VVCg0MDY3OCkpKS9GR","V9FU1RJTUFURSgnRVBTJywnTUVBTicsJ0FOTlVBTF9ST0xMJywnKzEnLDQwNjc4LCwsJycp&amp;WINDOW=FIRST_POPUP&amp;HEIGHT=450&amp;WIDTH=450&amp;START_MAXIMIZED=FALSE&amp;VAR:CALENDAR=US&amp;VAR:SYMBOL=98433210&amp;VAR:INDEX=0"}</definedName>
    <definedName name="_6816__FDSAUDITLINK__">{"fdsup://directions/FAT Viewer?action=UPDATE&amp;creator=factset&amp;DYN_ARGS=TRUE&amp;DOC_NAME=FAT:FQL_AUDITING_CLIENT_TEMPLATE.FAT&amp;display_string=Audit&amp;VAR:KEY=ZKLATWZOXM&amp;VAR:QUERY=KFBfUFJJQ0UoNDA2NzcpLShGRl9DQVNIX1NUKFFUUiw0MDY3NykvUF9DT01fU0hTX09VVCg0MDY3NykpKS9GR","V9FU1RJTUFURSgnRVBTJywnTUVBTicsJ0FOTlVBTF9ST0xMJywnKzEnLDQwNjc3LCwsJycp&amp;WINDOW=FIRST_POPUP&amp;HEIGHT=450&amp;WIDTH=450&amp;START_MAXIMIZED=FALSE&amp;VAR:CALENDAR=US&amp;VAR:SYMBOL=98433210&amp;VAR:INDEX=0"}</definedName>
    <definedName name="_6817__FDSAUDITLINK__">{"fdsup://directions/FAT Viewer?action=UPDATE&amp;creator=factset&amp;DYN_ARGS=TRUE&amp;DOC_NAME=FAT:FQL_AUDITING_CLIENT_TEMPLATE.FAT&amp;display_string=Audit&amp;VAR:KEY=ZKLATWZOXM&amp;VAR:QUERY=KFBfUFJJQ0UoNDA2NzcpLShGRl9DQVNIX1NUKFFUUiw0MDY3NykvUF9DT01fU0hTX09VVCg0MDY3NykpKS9GR","V9FU1RJTUFURSgnRVBTJywnTUVBTicsJ0FOTlVBTF9ST0xMJywnKzEnLDQwNjc3LCwsJycp&amp;WINDOW=FIRST_POPUP&amp;HEIGHT=450&amp;WIDTH=450&amp;START_MAXIMIZED=FALSE&amp;VAR:CALENDAR=US&amp;VAR:SYMBOL=98433210&amp;VAR:INDEX=0"}</definedName>
    <definedName name="_6818__FDSAUDITLINK__">{"fdsup://directions/FAT Viewer?action=UPDATE&amp;creator=factset&amp;DYN_ARGS=TRUE&amp;DOC_NAME=FAT:FQL_AUDITING_CLIENT_TEMPLATE.FAT&amp;display_string=Audit&amp;VAR:KEY=FYPSXWNGJW&amp;VAR:QUERY=KFBfUFJJQ0UoNDA2NzYpLShGRl9DQVNIX1NUKFFUUiw0MDY3NikvUF9DT01fU0hTX09VVCg0MDY3NikpKS9GR","V9FU1RJTUFURSgnRVBTJywnTUVBTicsJ0FOTlVBTF9ST0xMJywnKzEnLDQwNjc2LCwsJycp&amp;WINDOW=FIRST_POPUP&amp;HEIGHT=450&amp;WIDTH=450&amp;START_MAXIMIZED=FALSE&amp;VAR:CALENDAR=US&amp;VAR:SYMBOL=98433210&amp;VAR:INDEX=0"}</definedName>
    <definedName name="_6819__FDSAUDITLINK__">{"fdsup://directions/FAT Viewer?action=UPDATE&amp;creator=factset&amp;DYN_ARGS=TRUE&amp;DOC_NAME=FAT:FQL_AUDITING_CLIENT_TEMPLATE.FAT&amp;display_string=Audit&amp;VAR:KEY=FYPSXWNGJW&amp;VAR:QUERY=KFBfUFJJQ0UoNDA2NzYpLShGRl9DQVNIX1NUKFFUUiw0MDY3NikvUF9DT01fU0hTX09VVCg0MDY3NikpKS9GR","V9FU1RJTUFURSgnRVBTJywnTUVBTicsJ0FOTlVBTF9ST0xMJywnKzEnLDQwNjc2LCwsJycp&amp;WINDOW=FIRST_POPUP&amp;HEIGHT=450&amp;WIDTH=450&amp;START_MAXIMIZED=FALSE&amp;VAR:CALENDAR=US&amp;VAR:SYMBOL=98433210&amp;VAR:INDEX=0"}</definedName>
    <definedName name="_68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1108"}</definedName>
    <definedName name="_6820__FDSAUDITLINK__">{"fdsup://directions/FAT Viewer?action=UPDATE&amp;creator=factset&amp;DYN_ARGS=TRUE&amp;DOC_NAME=FAT:FQL_AUDITING_CLIENT_TEMPLATE.FAT&amp;display_string=Audit&amp;VAR:KEY=TOJIPOBKLQ&amp;VAR:QUERY=KFBfUFJJQ0UoNDA2NzUpLShGRl9DQVNIX1NUKFFUUiw0MDY3NSkvUF9DT01fU0hTX09VVCg0MDY3NSkpKS9GR","V9FU1RJTUFURSgnRVBTJywnTUVBTicsJ0FOTlVBTF9ST0xMJywnKzEnLDQwNjc1LCwsJycp&amp;WINDOW=FIRST_POPUP&amp;HEIGHT=450&amp;WIDTH=450&amp;START_MAXIMIZED=FALSE&amp;VAR:CALENDAR=US&amp;VAR:SYMBOL=98433210&amp;VAR:INDEX=0"}</definedName>
    <definedName name="_6821__FDSAUDITLINK__">{"fdsup://directions/FAT Viewer?action=UPDATE&amp;creator=factset&amp;DYN_ARGS=TRUE&amp;DOC_NAME=FAT:FQL_AUDITING_CLIENT_TEMPLATE.FAT&amp;display_string=Audit&amp;VAR:KEY=TOJIPOBKLQ&amp;VAR:QUERY=KFBfUFJJQ0UoNDA2NzUpLShGRl9DQVNIX1NUKFFUUiw0MDY3NSkvUF9DT01fU0hTX09VVCg0MDY3NSkpKS9GR","V9FU1RJTUFURSgnRVBTJywnTUVBTicsJ0FOTlVBTF9ST0xMJywnKzEnLDQwNjc1LCwsJycp&amp;WINDOW=FIRST_POPUP&amp;HEIGHT=450&amp;WIDTH=450&amp;START_MAXIMIZED=FALSE&amp;VAR:CALENDAR=US&amp;VAR:SYMBOL=98433210&amp;VAR:INDEX=0"}</definedName>
    <definedName name="_6822__FDSAUDITLINK__">{"fdsup://directions/FAT Viewer?action=UPDATE&amp;creator=factset&amp;DYN_ARGS=TRUE&amp;DOC_NAME=FAT:FQL_AUDITING_CLIENT_TEMPLATE.FAT&amp;display_string=Audit&amp;VAR:KEY=NYDWVSPAPK&amp;VAR:QUERY=KFBfUFJJQ0UoNDA2NzQpLShGRl9DQVNIX1NUKFFUUiw0MDY3NCkvUF9DT01fU0hTX09VVCg0MDY3NCkpKS9GR","V9FU1RJTUFURSgnRVBTJywnTUVBTicsJ0FOTlVBTF9ST0xMJywnKzEnLDQwNjc0LCwsJycp&amp;WINDOW=FIRST_POPUP&amp;HEIGHT=450&amp;WIDTH=450&amp;START_MAXIMIZED=FALSE&amp;VAR:CALENDAR=US&amp;VAR:SYMBOL=98433210&amp;VAR:INDEX=0"}</definedName>
    <definedName name="_6823__FDSAUDITLINK__">{"fdsup://directions/FAT Viewer?action=UPDATE&amp;creator=factset&amp;DYN_ARGS=TRUE&amp;DOC_NAME=FAT:FQL_AUDITING_CLIENT_TEMPLATE.FAT&amp;display_string=Audit&amp;VAR:KEY=NYDWVSPAPK&amp;VAR:QUERY=KFBfUFJJQ0UoNDA2NzQpLShGRl9DQVNIX1NUKFFUUiw0MDY3NCkvUF9DT01fU0hTX09VVCg0MDY3NCkpKS9GR","V9FU1RJTUFURSgnRVBTJywnTUVBTicsJ0FOTlVBTF9ST0xMJywnKzEnLDQwNjc0LCwsJycp&amp;WINDOW=FIRST_POPUP&amp;HEIGHT=450&amp;WIDTH=450&amp;START_MAXIMIZED=FALSE&amp;VAR:CALENDAR=US&amp;VAR:SYMBOL=98433210&amp;VAR:INDEX=0"}</definedName>
    <definedName name="_6824__FDSAUDITLINK__">{"fdsup://directions/FAT Viewer?action=UPDATE&amp;creator=factset&amp;DYN_ARGS=TRUE&amp;DOC_NAME=FAT:FQL_AUDITING_CLIENT_TEMPLATE.FAT&amp;display_string=Audit&amp;VAR:KEY=PENOPUJSPC&amp;VAR:QUERY=KFBfUFJJQ0UoNDA2NzMpLShGRl9DQVNIX1NUKFFUUiw0MDY3MykvUF9DT01fU0hTX09VVCg0MDY3MykpKS9GR","V9FU1RJTUFURSgnRVBTJywnTUVBTicsJ0FOTlVBTF9ST0xMJywnKzEnLDQwNjczLCwsJycp&amp;WINDOW=FIRST_POPUP&amp;HEIGHT=450&amp;WIDTH=450&amp;START_MAXIMIZED=FALSE&amp;VAR:CALENDAR=US&amp;VAR:SYMBOL=98433210&amp;VAR:INDEX=0"}</definedName>
    <definedName name="_6825__FDSAUDITLINK__">{"fdsup://directions/FAT Viewer?action=UPDATE&amp;creator=factset&amp;DYN_ARGS=TRUE&amp;DOC_NAME=FAT:FQL_AUDITING_CLIENT_TEMPLATE.FAT&amp;display_string=Audit&amp;VAR:KEY=PENOPUJSPC&amp;VAR:QUERY=KFBfUFJJQ0UoNDA2NzMpLShGRl9DQVNIX1NUKFFUUiw0MDY3MykvUF9DT01fU0hTX09VVCg0MDY3MykpKS9GR","V9FU1RJTUFURSgnRVBTJywnTUVBTicsJ0FOTlVBTF9ST0xMJywnKzEnLDQwNjczLCwsJycp&amp;WINDOW=FIRST_POPUP&amp;HEIGHT=450&amp;WIDTH=450&amp;START_MAXIMIZED=FALSE&amp;VAR:CALENDAR=US&amp;VAR:SYMBOL=98433210&amp;VAR:INDEX=0"}</definedName>
    <definedName name="_6826__FDSAUDITLINK__">{"fdsup://directions/FAT Viewer?action=UPDATE&amp;creator=factset&amp;DYN_ARGS=TRUE&amp;DOC_NAME=FAT:FQL_AUDITING_CLIENT_TEMPLATE.FAT&amp;display_string=Audit&amp;VAR:KEY=FYFQNEVIJO&amp;VAR:QUERY=KFBfUFJJQ0UoNDA2NzIpLShGRl9DQVNIX1NUKFFUUiw0MDY3MikvUF9DT01fU0hTX09VVCg0MDY3MikpKS9GR","V9FU1RJTUFURSgnRVBTJywnTUVBTicsJ0FOTlVBTF9ST0xMJywnKzEnLDQwNjcyLCwsJycp&amp;WINDOW=FIRST_POPUP&amp;HEIGHT=450&amp;WIDTH=450&amp;START_MAXIMIZED=FALSE&amp;VAR:CALENDAR=US&amp;VAR:SYMBOL=98433210&amp;VAR:INDEX=0"}</definedName>
    <definedName name="_6827__FDSAUDITLINK__">{"fdsup://directions/FAT Viewer?action=UPDATE&amp;creator=factset&amp;DYN_ARGS=TRUE&amp;DOC_NAME=FAT:FQL_AUDITING_CLIENT_TEMPLATE.FAT&amp;display_string=Audit&amp;VAR:KEY=FYFQNEVIJO&amp;VAR:QUERY=KFBfUFJJQ0UoNDA2NzIpLShGRl9DQVNIX1NUKFFUUiw0MDY3MikvUF9DT01fU0hTX09VVCg0MDY3MikpKS9GR","V9FU1RJTUFURSgnRVBTJywnTUVBTicsJ0FOTlVBTF9ST0xMJywnKzEnLDQwNjcyLCwsJycp&amp;WINDOW=FIRST_POPUP&amp;HEIGHT=450&amp;WIDTH=450&amp;START_MAXIMIZED=FALSE&amp;VAR:CALENDAR=US&amp;VAR:SYMBOL=98433210&amp;VAR:INDEX=0"}</definedName>
    <definedName name="_6828__FDSAUDITLINK__">{"fdsup://directions/FAT Viewer?action=UPDATE&amp;creator=factset&amp;DYN_ARGS=TRUE&amp;DOC_NAME=FAT:FQL_AUDITING_CLIENT_TEMPLATE.FAT&amp;display_string=Audit&amp;VAR:KEY=JKNYNUXWBA&amp;VAR:QUERY=KFBfUFJJQ0UoNDA2NzEpLShGRl9DQVNIX1NUKFFUUiw0MDY3MSkvUF9DT01fU0hTX09VVCg0MDY3MSkpKS9GR","V9FU1RJTUFURSgnRVBTJywnTUVBTicsJ0FOTlVBTF9ST0xMJywnKzEnLDQwNjcxLCwsJycp&amp;WINDOW=FIRST_POPUP&amp;HEIGHT=450&amp;WIDTH=450&amp;START_MAXIMIZED=FALSE&amp;VAR:CALENDAR=US&amp;VAR:SYMBOL=98433210&amp;VAR:INDEX=0"}</definedName>
    <definedName name="_6829__FDSAUDITLINK__">{"fdsup://directions/FAT Viewer?action=UPDATE&amp;creator=factset&amp;DYN_ARGS=TRUE&amp;DOC_NAME=FAT:FQL_AUDITING_CLIENT_TEMPLATE.FAT&amp;display_string=Audit&amp;VAR:KEY=JKNYNUXWBA&amp;VAR:QUERY=KFBfUFJJQ0UoNDA2NzEpLShGRl9DQVNIX1NUKFFUUiw0MDY3MSkvUF9DT01fU0hTX09VVCg0MDY3MSkpKS9GR","V9FU1RJTUFURSgnRVBTJywnTUVBTicsJ0FOTlVBTF9ST0xMJywnKzEnLDQwNjcxLCwsJycp&amp;WINDOW=FIRST_POPUP&amp;HEIGHT=450&amp;WIDTH=450&amp;START_MAXIMIZED=FALSE&amp;VAR:CALENDAR=US&amp;VAR:SYMBOL=98433210&amp;VAR:INDEX=0"}</definedName>
    <definedName name="_68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1107"}</definedName>
    <definedName name="_6830__FDSAUDITLINK__">{"fdsup://directions/FAT Viewer?action=UPDATE&amp;creator=factset&amp;DYN_ARGS=TRUE&amp;DOC_NAME=FAT:FQL_AUDITING_CLIENT_TEMPLATE.FAT&amp;display_string=Audit&amp;VAR:KEY=LCBEFSLIRK&amp;VAR:QUERY=KFBfUFJJQ0UoNDA2NzApLShGRl9DQVNIX1NUKFFUUiw0MDY3MCkvUF9DT01fU0hTX09VVCg0MDY3MCkpKS9GR","V9FU1RJTUFURSgnRVBTJywnTUVBTicsJ0FOTlVBTF9ST0xMJywnKzEnLDQwNjcwLCwsJycp&amp;WINDOW=FIRST_POPUP&amp;HEIGHT=450&amp;WIDTH=450&amp;START_MAXIMIZED=FALSE&amp;VAR:CALENDAR=US&amp;VAR:SYMBOL=98433210&amp;VAR:INDEX=0"}</definedName>
    <definedName name="_6831__FDSAUDITLINK__">{"fdsup://directions/FAT Viewer?action=UPDATE&amp;creator=factset&amp;DYN_ARGS=TRUE&amp;DOC_NAME=FAT:FQL_AUDITING_CLIENT_TEMPLATE.FAT&amp;display_string=Audit&amp;VAR:KEY=LCBEFSLIRK&amp;VAR:QUERY=KFBfUFJJQ0UoNDA2NzApLShGRl9DQVNIX1NUKFFUUiw0MDY3MCkvUF9DT01fU0hTX09VVCg0MDY3MCkpKS9GR","V9FU1RJTUFURSgnRVBTJywnTUVBTicsJ0FOTlVBTF9ST0xMJywnKzEnLDQwNjcwLCwsJycp&amp;WINDOW=FIRST_POPUP&amp;HEIGHT=450&amp;WIDTH=450&amp;START_MAXIMIZED=FALSE&amp;VAR:CALENDAR=US&amp;VAR:SYMBOL=98433210&amp;VAR:INDEX=0"}</definedName>
    <definedName name="_6832__FDSAUDITLINK__">{"fdsup://directions/FAT Viewer?action=UPDATE&amp;creator=factset&amp;DYN_ARGS=TRUE&amp;DOC_NAME=FAT:FQL_AUDITING_CLIENT_TEMPLATE.FAT&amp;display_string=Audit&amp;VAR:KEY=LMRULGROXS&amp;VAR:QUERY=KFBfUFJJQ0UoNDA2NjkpLShGRl9DQVNIX1NUKFFUUiw0MDY2OSkvUF9DT01fU0hTX09VVCg0MDY2OSkpKS9GR","V9FU1RJTUFURSgnRVBTJywnTUVBTicsJ0FOTlVBTF9ST0xMJywnKzEnLDQwNjY5LCwsJycp&amp;WINDOW=FIRST_POPUP&amp;HEIGHT=450&amp;WIDTH=450&amp;START_MAXIMIZED=FALSE&amp;VAR:CALENDAR=US&amp;VAR:SYMBOL=98433210&amp;VAR:INDEX=0"}</definedName>
    <definedName name="_6833__FDSAUDITLINK__">{"fdsup://directions/FAT Viewer?action=UPDATE&amp;creator=factset&amp;DYN_ARGS=TRUE&amp;DOC_NAME=FAT:FQL_AUDITING_CLIENT_TEMPLATE.FAT&amp;display_string=Audit&amp;VAR:KEY=LMRULGROXS&amp;VAR:QUERY=KFBfUFJJQ0UoNDA2NjkpLShGRl9DQVNIX1NUKFFUUiw0MDY2OSkvUF9DT01fU0hTX09VVCg0MDY2OSkpKS9GR","V9FU1RJTUFURSgnRVBTJywnTUVBTicsJ0FOTlVBTF9ST0xMJywnKzEnLDQwNjY5LCwsJycp&amp;WINDOW=FIRST_POPUP&amp;HEIGHT=450&amp;WIDTH=450&amp;START_MAXIMIZED=FALSE&amp;VAR:CALENDAR=US&amp;VAR:SYMBOL=98433210&amp;VAR:INDEX=0"}</definedName>
    <definedName name="_6834__FDSAUDITLINK__">{"fdsup://directions/FAT Viewer?action=UPDATE&amp;creator=factset&amp;DYN_ARGS=TRUE&amp;DOC_NAME=FAT:FQL_AUDITING_CLIENT_TEMPLATE.FAT&amp;display_string=Audit&amp;VAR:KEY=TWDSLUVEXG&amp;VAR:QUERY=KFBfUFJJQ0UoNDA2NjgpLShGRl9DQVNIX1NUKFFUUiw0MDY2OCkvUF9DT01fU0hTX09VVCg0MDY2OCkpKS9GR","V9FU1RJTUFURSgnRVBTJywnTUVBTicsJ0FOTlVBTF9ST0xMJywnKzEnLDQwNjY4LCwsJycp&amp;WINDOW=FIRST_POPUP&amp;HEIGHT=450&amp;WIDTH=450&amp;START_MAXIMIZED=FALSE&amp;VAR:CALENDAR=US&amp;VAR:SYMBOL=98433210&amp;VAR:INDEX=0"}</definedName>
    <definedName name="_6835__FDSAUDITLINK__">{"fdsup://directions/FAT Viewer?action=UPDATE&amp;creator=factset&amp;DYN_ARGS=TRUE&amp;DOC_NAME=FAT:FQL_AUDITING_CLIENT_TEMPLATE.FAT&amp;display_string=Audit&amp;VAR:KEY=TWDSLUVEXG&amp;VAR:QUERY=KFBfUFJJQ0UoNDA2NjgpLShGRl9DQVNIX1NUKFFUUiw0MDY2OCkvUF9DT01fU0hTX09VVCg0MDY2OCkpKS9GR","V9FU1RJTUFURSgnRVBTJywnTUVBTicsJ0FOTlVBTF9ST0xMJywnKzEnLDQwNjY4LCwsJycp&amp;WINDOW=FIRST_POPUP&amp;HEIGHT=450&amp;WIDTH=450&amp;START_MAXIMIZED=FALSE&amp;VAR:CALENDAR=US&amp;VAR:SYMBOL=98433210&amp;VAR:INDEX=0"}</definedName>
    <definedName name="_6836__FDSAUDITLINK__">{"fdsup://directions/FAT Viewer?action=UPDATE&amp;creator=factset&amp;DYN_ARGS=TRUE&amp;DOC_NAME=FAT:FQL_AUDITING_CLIENT_TEMPLATE.FAT&amp;display_string=Audit&amp;VAR:KEY=FSNKHYDGJK&amp;VAR:QUERY=KFBfUFJJQ0UoNDA2NjcpLShGRl9DQVNIX1NUKFFUUiw0MDY2NykvUF9DT01fU0hTX09VVCg0MDY2NykpKS9GR","V9FU1RJTUFURSgnRVBTJywnTUVBTicsJ0FOTlVBTF9ST0xMJywnKzEnLDQwNjY3LCwsJycp&amp;WINDOW=FIRST_POPUP&amp;HEIGHT=450&amp;WIDTH=450&amp;START_MAXIMIZED=FALSE&amp;VAR:CALENDAR=US&amp;VAR:SYMBOL=98433210&amp;VAR:INDEX=0"}</definedName>
    <definedName name="_6837__FDSAUDITLINK__">{"fdsup://directions/FAT Viewer?action=UPDATE&amp;creator=factset&amp;DYN_ARGS=TRUE&amp;DOC_NAME=FAT:FQL_AUDITING_CLIENT_TEMPLATE.FAT&amp;display_string=Audit&amp;VAR:KEY=FSNKHYDGJK&amp;VAR:QUERY=KFBfUFJJQ0UoNDA2NjcpLShGRl9DQVNIX1NUKFFUUiw0MDY2NykvUF9DT01fU0hTX09VVCg0MDY2NykpKS9GR","V9FU1RJTUFURSgnRVBTJywnTUVBTicsJ0FOTlVBTF9ST0xMJywnKzEnLDQwNjY3LCwsJycp&amp;WINDOW=FIRST_POPUP&amp;HEIGHT=450&amp;WIDTH=450&amp;START_MAXIMIZED=FALSE&amp;VAR:CALENDAR=US&amp;VAR:SYMBOL=98433210&amp;VAR:INDEX=0"}</definedName>
    <definedName name="_6838__FDSAUDITLINK__">{"fdsup://directions/FAT Viewer?action=UPDATE&amp;creator=factset&amp;DYN_ARGS=TRUE&amp;DOC_NAME=FAT:FQL_AUDITING_CLIENT_TEMPLATE.FAT&amp;display_string=Audit&amp;VAR:KEY=DGHALMXGNM&amp;VAR:QUERY=KFBfUFJJQ0UoNDA2NjYpLShGRl9DQVNIX1NUKFFUUiw0MDY2NikvUF9DT01fU0hTX09VVCg0MDY2NikpKS9GR","V9FU1RJTUFURSgnRVBTJywnTUVBTicsJ0FOTlVBTF9ST0xMJywnKzEnLDQwNjY2LCwsJycp&amp;WINDOW=FIRST_POPUP&amp;HEIGHT=450&amp;WIDTH=450&amp;START_MAXIMIZED=FALSE&amp;VAR:CALENDAR=US&amp;VAR:SYMBOL=98433210&amp;VAR:INDEX=0"}</definedName>
    <definedName name="_6839__FDSAUDITLINK__">{"fdsup://directions/FAT Viewer?action=UPDATE&amp;creator=factset&amp;DYN_ARGS=TRUE&amp;DOC_NAME=FAT:FQL_AUDITING_CLIENT_TEMPLATE.FAT&amp;display_string=Audit&amp;VAR:KEY=DGHALMXGNM&amp;VAR:QUERY=KFBfUFJJQ0UoNDA2NjYpLShGRl9DQVNIX1NUKFFUUiw0MDY2NikvUF9DT01fU0hTX09VVCg0MDY2NikpKS9GR","V9FU1RJTUFURSgnRVBTJywnTUVBTicsJ0FOTlVBTF9ST0xMJywnKzEnLDQwNjY2LCwsJycp&amp;WINDOW=FIRST_POPUP&amp;HEIGHT=450&amp;WIDTH=450&amp;START_MAXIMIZED=FALSE&amp;VAR:CALENDAR=US&amp;VAR:SYMBOL=98433210&amp;VAR:INDEX=0"}</definedName>
    <definedName name="_68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1106"}</definedName>
    <definedName name="_6840__FDSAUDITLINK__">{"fdsup://directions/FAT Viewer?action=UPDATE&amp;creator=factset&amp;DYN_ARGS=TRUE&amp;DOC_NAME=FAT:FQL_AUDITING_CLIENT_TEMPLATE.FAT&amp;display_string=Audit&amp;VAR:KEY=NWVYJORCDQ&amp;VAR:QUERY=KFBfUFJJQ0UoNDA2NjUpLShGRl9DQVNIX1NUKFFUUiw0MDY2NSkvUF9DT01fU0hTX09VVCg0MDY2NSkpKS9GR","V9FU1RJTUFURSgnRVBTJywnTUVBTicsJ0FOTlVBTF9ST0xMJywnKzEnLDQwNjY1LCwsJycp&amp;WINDOW=FIRST_POPUP&amp;HEIGHT=450&amp;WIDTH=450&amp;START_MAXIMIZED=FALSE&amp;VAR:CALENDAR=US&amp;VAR:SYMBOL=98433210&amp;VAR:INDEX=0"}</definedName>
    <definedName name="_6841__FDSAUDITLINK__">{"fdsup://directions/FAT Viewer?action=UPDATE&amp;creator=factset&amp;DYN_ARGS=TRUE&amp;DOC_NAME=FAT:FQL_AUDITING_CLIENT_TEMPLATE.FAT&amp;display_string=Audit&amp;VAR:KEY=NWVYJORCDQ&amp;VAR:QUERY=KFBfUFJJQ0UoNDA2NjUpLShGRl9DQVNIX1NUKFFUUiw0MDY2NSkvUF9DT01fU0hTX09VVCg0MDY2NSkpKS9GR","V9FU1RJTUFURSgnRVBTJywnTUVBTicsJ0FOTlVBTF9ST0xMJywnKzEnLDQwNjY1LCwsJycp&amp;WINDOW=FIRST_POPUP&amp;HEIGHT=450&amp;WIDTH=450&amp;START_MAXIMIZED=FALSE&amp;VAR:CALENDAR=US&amp;VAR:SYMBOL=98433210&amp;VAR:INDEX=0"}</definedName>
    <definedName name="_6842__FDSAUDITLINK__">{"fdsup://directions/FAT Viewer?action=UPDATE&amp;creator=factset&amp;DYN_ARGS=TRUE&amp;DOC_NAME=FAT:FQL_AUDITING_CLIENT_TEMPLATE.FAT&amp;display_string=Audit&amp;VAR:KEY=NQZAPAXWVI&amp;VAR:QUERY=KFBfUFJJQ0UoNDA2NjQpLShGRl9DQVNIX1NUKFFUUiw0MDY2NCkvUF9DT01fU0hTX09VVCg0MDY2NCkpKS9GR","V9FU1RJTUFURSgnRVBTJywnTUVBTicsJ0FOTlVBTF9ST0xMJywnKzEnLDQwNjY0LCwsJycp&amp;WINDOW=FIRST_POPUP&amp;HEIGHT=450&amp;WIDTH=450&amp;START_MAXIMIZED=FALSE&amp;VAR:CALENDAR=US&amp;VAR:SYMBOL=98433210&amp;VAR:INDEX=0"}</definedName>
    <definedName name="_6843__FDSAUDITLINK__">{"fdsup://directions/FAT Viewer?action=UPDATE&amp;creator=factset&amp;DYN_ARGS=TRUE&amp;DOC_NAME=FAT:FQL_AUDITING_CLIENT_TEMPLATE.FAT&amp;display_string=Audit&amp;VAR:KEY=NQZAPAXWVI&amp;VAR:QUERY=KFBfUFJJQ0UoNDA2NjQpLShGRl9DQVNIX1NUKFFUUiw0MDY2NCkvUF9DT01fU0hTX09VVCg0MDY2NCkpKS9GR","V9FU1RJTUFURSgnRVBTJywnTUVBTicsJ0FOTlVBTF9ST0xMJywnKzEnLDQwNjY0LCwsJycp&amp;WINDOW=FIRST_POPUP&amp;HEIGHT=450&amp;WIDTH=450&amp;START_MAXIMIZED=FALSE&amp;VAR:CALENDAR=US&amp;VAR:SYMBOL=98433210&amp;VAR:INDEX=0"}</definedName>
    <definedName name="_6844__FDSAUDITLINK__">{"fdsup://directions/FAT Viewer?action=UPDATE&amp;creator=factset&amp;DYN_ARGS=TRUE&amp;DOC_NAME=FAT:FQL_AUDITING_CLIENT_TEMPLATE.FAT&amp;display_string=Audit&amp;VAR:KEY=XCFUJETKTO&amp;VAR:QUERY=KFBfUFJJQ0UoNDA2NjMpLShGRl9DQVNIX1NUKFFUUiw0MDY2MykvUF9DT01fU0hTX09VVCg0MDY2MykpKS9GR","V9FU1RJTUFURSgnRVBTJywnTUVBTicsJ0FOTlVBTF9ST0xMJywnKzEnLDQwNjYzLCwsJycp&amp;WINDOW=FIRST_POPUP&amp;HEIGHT=450&amp;WIDTH=450&amp;START_MAXIMIZED=FALSE&amp;VAR:CALENDAR=US&amp;VAR:SYMBOL=98433210&amp;VAR:INDEX=0"}</definedName>
    <definedName name="_6845__FDSAUDITLINK__">{"fdsup://directions/FAT Viewer?action=UPDATE&amp;creator=factset&amp;DYN_ARGS=TRUE&amp;DOC_NAME=FAT:FQL_AUDITING_CLIENT_TEMPLATE.FAT&amp;display_string=Audit&amp;VAR:KEY=XCFUJETKTO&amp;VAR:QUERY=KFBfUFJJQ0UoNDA2NjMpLShGRl9DQVNIX1NUKFFUUiw0MDY2MykvUF9DT01fU0hTX09VVCg0MDY2MykpKS9GR","V9FU1RJTUFURSgnRVBTJywnTUVBTicsJ0FOTlVBTF9ST0xMJywnKzEnLDQwNjYzLCwsJycp&amp;WINDOW=FIRST_POPUP&amp;HEIGHT=450&amp;WIDTH=450&amp;START_MAXIMIZED=FALSE&amp;VAR:CALENDAR=US&amp;VAR:SYMBOL=98433210&amp;VAR:INDEX=0"}</definedName>
    <definedName name="_6846__FDSAUDITLINK__">{"fdsup://directions/FAT Viewer?action=UPDATE&amp;creator=factset&amp;DYN_ARGS=TRUE&amp;DOC_NAME=FAT:FQL_AUDITING_CLIENT_TEMPLATE.FAT&amp;display_string=Audit&amp;VAR:KEY=ZSPGDSRALK&amp;VAR:QUERY=KFBfUFJJQ0UoNDA2NjIpLShGRl9DQVNIX1NUKFFUUiw0MDY2MikvUF9DT01fU0hTX09VVCg0MDY2MikpKS9GR","V9FU1RJTUFURSgnRVBTJywnTUVBTicsJ0FOTlVBTF9ST0xMJywnKzEnLDQwNjYyLCwsJycp&amp;WINDOW=FIRST_POPUP&amp;HEIGHT=450&amp;WIDTH=450&amp;START_MAXIMIZED=FALSE&amp;VAR:CALENDAR=US&amp;VAR:SYMBOL=98433210&amp;VAR:INDEX=0"}</definedName>
    <definedName name="_6847__FDSAUDITLINK__">{"fdsup://directions/FAT Viewer?action=UPDATE&amp;creator=factset&amp;DYN_ARGS=TRUE&amp;DOC_NAME=FAT:FQL_AUDITING_CLIENT_TEMPLATE.FAT&amp;display_string=Audit&amp;VAR:KEY=ZSPGDSRALK&amp;VAR:QUERY=KFBfUFJJQ0UoNDA2NjIpLShGRl9DQVNIX1NUKFFUUiw0MDY2MikvUF9DT01fU0hTX09VVCg0MDY2MikpKS9GR","V9FU1RJTUFURSgnRVBTJywnTUVBTicsJ0FOTlVBTF9ST0xMJywnKzEnLDQwNjYyLCwsJycp&amp;WINDOW=FIRST_POPUP&amp;HEIGHT=450&amp;WIDTH=450&amp;START_MAXIMIZED=FALSE&amp;VAR:CALENDAR=US&amp;VAR:SYMBOL=98433210&amp;VAR:INDEX=0"}</definedName>
    <definedName name="_6848__FDSAUDITLINK__">{"fdsup://directions/FAT Viewer?action=UPDATE&amp;creator=factset&amp;DYN_ARGS=TRUE&amp;DOC_NAME=FAT:FQL_AUDITING_CLIENT_TEMPLATE.FAT&amp;display_string=Audit&amp;VAR:KEY=DGBOHIZKXK&amp;VAR:QUERY=KFBfUFJJQ0UoNDA2NjEpLShGRl9DQVNIX1NUKFFUUiw0MDY2MSkvUF9DT01fU0hTX09VVCg0MDY2MSkpKS9GR","V9FU1RJTUFURSgnRVBTJywnTUVBTicsJ0FOTlVBTF9ST0xMJywnKzEnLDQwNjYxLCwsJycp&amp;WINDOW=FIRST_POPUP&amp;HEIGHT=450&amp;WIDTH=450&amp;START_MAXIMIZED=FALSE&amp;VAR:CALENDAR=US&amp;VAR:SYMBOL=98433210&amp;VAR:INDEX=0"}</definedName>
    <definedName name="_6849__FDSAUDITLINK__">{"fdsup://directions/FAT Viewer?action=UPDATE&amp;creator=factset&amp;DYN_ARGS=TRUE&amp;DOC_NAME=FAT:FQL_AUDITING_CLIENT_TEMPLATE.FAT&amp;display_string=Audit&amp;VAR:KEY=DGBOHIZKXK&amp;VAR:QUERY=KFBfUFJJQ0UoNDA2NjEpLShGRl9DQVNIX1NUKFFUUiw0MDY2MSkvUF9DT01fU0hTX09VVCg0MDY2MSkpKS9GR","V9FU1RJTUFURSgnRVBTJywnTUVBTicsJ0FOTlVBTF9ST0xMJywnKzEnLDQwNjYxLCwsJycp&amp;WINDOW=FIRST_POPUP&amp;HEIGHT=450&amp;WIDTH=450&amp;START_MAXIMIZED=FALSE&amp;VAR:CALENDAR=US&amp;VAR:SYMBOL=98433210&amp;VAR:INDEX=0"}</definedName>
    <definedName name="_68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1105"}</definedName>
    <definedName name="_6850__FDSAUDITLINK__">{"fdsup://directions/FAT Viewer?action=UPDATE&amp;creator=factset&amp;DYN_ARGS=TRUE&amp;DOC_NAME=FAT:FQL_AUDITING_CLIENT_TEMPLATE.FAT&amp;display_string=Audit&amp;VAR:KEY=RKLQRGNMVU&amp;VAR:QUERY=KFBfUFJJQ0UoNDA2NjApLShGRl9DQVNIX1NUKFFUUiw0MDY2MCkvUF9DT01fU0hTX09VVCg0MDY2MCkpKS9GR","V9FU1RJTUFURSgnRVBTJywnTUVBTicsJ0FOTlVBTF9ST0xMJywnKzEnLDQwNjYwLCwsJycp&amp;WINDOW=FIRST_POPUP&amp;HEIGHT=450&amp;WIDTH=450&amp;START_MAXIMIZED=FALSE&amp;VAR:CALENDAR=US&amp;VAR:SYMBOL=98433210&amp;VAR:INDEX=0"}</definedName>
    <definedName name="_6851__FDSAUDITLINK__">{"fdsup://directions/FAT Viewer?action=UPDATE&amp;creator=factset&amp;DYN_ARGS=TRUE&amp;DOC_NAME=FAT:FQL_AUDITING_CLIENT_TEMPLATE.FAT&amp;display_string=Audit&amp;VAR:KEY=RKLQRGNMVU&amp;VAR:QUERY=KFBfUFJJQ0UoNDA2NjApLShGRl9DQVNIX1NUKFFUUiw0MDY2MCkvUF9DT01fU0hTX09VVCg0MDY2MCkpKS9GR","V9FU1RJTUFURSgnRVBTJywnTUVBTicsJ0FOTlVBTF9ST0xMJywnKzEnLDQwNjYwLCwsJycp&amp;WINDOW=FIRST_POPUP&amp;HEIGHT=450&amp;WIDTH=450&amp;START_MAXIMIZED=FALSE&amp;VAR:CALENDAR=US&amp;VAR:SYMBOL=98433210&amp;VAR:INDEX=0"}</definedName>
    <definedName name="_6852__FDSAUDITLINK__">{"fdsup://directions/FAT Viewer?action=UPDATE&amp;creator=factset&amp;DYN_ARGS=TRUE&amp;DOC_NAME=FAT:FQL_AUDITING_CLIENT_TEMPLATE.FAT&amp;display_string=Audit&amp;VAR:KEY=PKXAJUPYLA&amp;VAR:QUERY=KFBfUFJJQ0UoNDA2NTkpLShGRl9DQVNIX1NUKFFUUiw0MDY1OSkvUF9DT01fU0hTX09VVCg0MDY1OSkpKS9GR","V9FU1RJTUFURSgnRVBTJywnTUVBTicsJ0FOTlVBTF9ST0xMJywnKzEnLDQwNjU5LCwsJycp&amp;WINDOW=FIRST_POPUP&amp;HEIGHT=450&amp;WIDTH=450&amp;START_MAXIMIZED=FALSE&amp;VAR:CALENDAR=US&amp;VAR:SYMBOL=98433210&amp;VAR:INDEX=0"}</definedName>
    <definedName name="_6853__FDSAUDITLINK__">{"fdsup://directions/FAT Viewer?action=UPDATE&amp;creator=factset&amp;DYN_ARGS=TRUE&amp;DOC_NAME=FAT:FQL_AUDITING_CLIENT_TEMPLATE.FAT&amp;display_string=Audit&amp;VAR:KEY=PKXAJUPYLA&amp;VAR:QUERY=KFBfUFJJQ0UoNDA2NTkpLShGRl9DQVNIX1NUKFFUUiw0MDY1OSkvUF9DT01fU0hTX09VVCg0MDY1OSkpKS9GR","V9FU1RJTUFURSgnRVBTJywnTUVBTicsJ0FOTlVBTF9ST0xMJywnKzEnLDQwNjU5LCwsJycp&amp;WINDOW=FIRST_POPUP&amp;HEIGHT=450&amp;WIDTH=450&amp;START_MAXIMIZED=FALSE&amp;VAR:CALENDAR=US&amp;VAR:SYMBOL=98433210&amp;VAR:INDEX=0"}</definedName>
    <definedName name="_6854__FDSAUDITLINK__">{"fdsup://directions/FAT Viewer?action=UPDATE&amp;creator=factset&amp;DYN_ARGS=TRUE&amp;DOC_NAME=FAT:FQL_AUDITING_CLIENT_TEMPLATE.FAT&amp;display_string=Audit&amp;VAR:KEY=TSVSFEFCBE&amp;VAR:QUERY=KFBfUFJJQ0UoNDA2NTgpLShGRl9DQVNIX1NUKFFUUiw0MDY1OCkvUF9DT01fU0hTX09VVCg0MDY1OCkpKS9GR","V9FU1RJTUFURSgnRVBTJywnTUVBTicsJ0FOTlVBTF9ST0xMJywnKzEnLDQwNjU4LCwsJycp&amp;WINDOW=FIRST_POPUP&amp;HEIGHT=450&amp;WIDTH=450&amp;START_MAXIMIZED=FALSE&amp;VAR:CALENDAR=US&amp;VAR:SYMBOL=98433210&amp;VAR:INDEX=0"}</definedName>
    <definedName name="_6855__FDSAUDITLINK__">{"fdsup://directions/FAT Viewer?action=UPDATE&amp;creator=factset&amp;DYN_ARGS=TRUE&amp;DOC_NAME=FAT:FQL_AUDITING_CLIENT_TEMPLATE.FAT&amp;display_string=Audit&amp;VAR:KEY=TSVSFEFCBE&amp;VAR:QUERY=KFBfUFJJQ0UoNDA2NTgpLShGRl9DQVNIX1NUKFFUUiw0MDY1OCkvUF9DT01fU0hTX09VVCg0MDY1OCkpKS9GR","V9FU1RJTUFURSgnRVBTJywnTUVBTicsJ0FOTlVBTF9ST0xMJywnKzEnLDQwNjU4LCwsJycp&amp;WINDOW=FIRST_POPUP&amp;HEIGHT=450&amp;WIDTH=450&amp;START_MAXIMIZED=FALSE&amp;VAR:CALENDAR=US&amp;VAR:SYMBOL=98433210&amp;VAR:INDEX=0"}</definedName>
    <definedName name="_6856__FDSAUDITLINK__">{"fdsup://directions/FAT Viewer?action=UPDATE&amp;creator=factset&amp;DYN_ARGS=TRUE&amp;DOC_NAME=FAT:FQL_AUDITING_CLIENT_TEMPLATE.FAT&amp;display_string=Audit&amp;VAR:KEY=NIVMDWBUTE&amp;VAR:QUERY=KFBfUFJJQ0UoNDA2NTcpLShGRl9DQVNIX1NUKFFUUiw0MDY1NykvUF9DT01fU0hTX09VVCg0MDY1NykpKS9GR","V9FU1RJTUFURSgnRVBTJywnTUVBTicsJ0FOTlVBTF9ST0xMJywnKzEnLDQwNjU3LCwsJycp&amp;WINDOW=FIRST_POPUP&amp;HEIGHT=450&amp;WIDTH=450&amp;START_MAXIMIZED=FALSE&amp;VAR:CALENDAR=US&amp;VAR:SYMBOL=98433210&amp;VAR:INDEX=0"}</definedName>
    <definedName name="_6857__FDSAUDITLINK__">{"fdsup://directions/FAT Viewer?action=UPDATE&amp;creator=factset&amp;DYN_ARGS=TRUE&amp;DOC_NAME=FAT:FQL_AUDITING_CLIENT_TEMPLATE.FAT&amp;display_string=Audit&amp;VAR:KEY=NIVMDWBUTE&amp;VAR:QUERY=KFBfUFJJQ0UoNDA2NTcpLShGRl9DQVNIX1NUKFFUUiw0MDY1NykvUF9DT01fU0hTX09VVCg0MDY1NykpKS9GR","V9FU1RJTUFURSgnRVBTJywnTUVBTicsJ0FOTlVBTF9ST0xMJywnKzEnLDQwNjU3LCwsJycp&amp;WINDOW=FIRST_POPUP&amp;HEIGHT=450&amp;WIDTH=450&amp;START_MAXIMIZED=FALSE&amp;VAR:CALENDAR=US&amp;VAR:SYMBOL=98433210&amp;VAR:INDEX=0"}</definedName>
    <definedName name="_6858__FDSAUDITLINK__">{"fdsup://directions/FAT Viewer?action=UPDATE&amp;creator=factset&amp;DYN_ARGS=TRUE&amp;DOC_NAME=FAT:FQL_AUDITING_CLIENT_TEMPLATE.FAT&amp;display_string=Audit&amp;VAR:KEY=XEXUJANILG&amp;VAR:QUERY=KFBfUFJJQ0UoNDA2NTYpLShGRl9DQVNIX1NUKFFUUiw0MDY1NikvUF9DT01fU0hTX09VVCg0MDY1NikpKS9GR","V9FU1RJTUFURSgnRVBTJywnTUVBTicsJ0FOTlVBTF9ST0xMJywnKzEnLDQwNjU2LCwsJycp&amp;WINDOW=FIRST_POPUP&amp;HEIGHT=450&amp;WIDTH=450&amp;START_MAXIMIZED=FALSE&amp;VAR:CALENDAR=US&amp;VAR:SYMBOL=98433210&amp;VAR:INDEX=0"}</definedName>
    <definedName name="_6859__FDSAUDITLINK__">{"fdsup://directions/FAT Viewer?action=UPDATE&amp;creator=factset&amp;DYN_ARGS=TRUE&amp;DOC_NAME=FAT:FQL_AUDITING_CLIENT_TEMPLATE.FAT&amp;display_string=Audit&amp;VAR:KEY=XEXUJANILG&amp;VAR:QUERY=KFBfUFJJQ0UoNDA2NTYpLShGRl9DQVNIX1NUKFFUUiw0MDY1NikvUF9DT01fU0hTX09VVCg0MDY1NikpKS9GR","V9FU1RJTUFURSgnRVBTJywnTUVBTicsJ0FOTlVBTF9ST0xMJywnKzEnLDQwNjU2LCwsJycp&amp;WINDOW=FIRST_POPUP&amp;HEIGHT=450&amp;WIDTH=450&amp;START_MAXIMIZED=FALSE&amp;VAR:CALENDAR=US&amp;VAR:SYMBOL=98433210&amp;VAR:INDEX=0"}</definedName>
    <definedName name="_68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1104"}</definedName>
    <definedName name="_6860__FDSAUDITLINK__">{"fdsup://directions/FAT Viewer?action=UPDATE&amp;creator=factset&amp;DYN_ARGS=TRUE&amp;DOC_NAME=FAT:FQL_AUDITING_CLIENT_TEMPLATE.FAT&amp;display_string=Audit&amp;VAR:KEY=VYHWVIZQZO&amp;VAR:QUERY=KFBfUFJJQ0UoNDA2NTUpLShGRl9DQVNIX1NUKFFUUiw0MDY1NSkvUF9DT01fU0hTX09VVCg0MDY1NSkpKS9GR","V9FU1RJTUFURSgnRVBTJywnTUVBTicsJ0FOTlVBTF9ST0xMJywnKzEnLDQwNjU1LCwsJycp&amp;WINDOW=FIRST_POPUP&amp;HEIGHT=450&amp;WIDTH=450&amp;START_MAXIMIZED=FALSE&amp;VAR:CALENDAR=US&amp;VAR:SYMBOL=98433210&amp;VAR:INDEX=0"}</definedName>
    <definedName name="_6861__FDSAUDITLINK__">{"fdsup://directions/FAT Viewer?action=UPDATE&amp;creator=factset&amp;DYN_ARGS=TRUE&amp;DOC_NAME=FAT:FQL_AUDITING_CLIENT_TEMPLATE.FAT&amp;display_string=Audit&amp;VAR:KEY=VYHWVIZQZO&amp;VAR:QUERY=KFBfUFJJQ0UoNDA2NTUpLShGRl9DQVNIX1NUKFFUUiw0MDY1NSkvUF9DT01fU0hTX09VVCg0MDY1NSkpKS9GR","V9FU1RJTUFURSgnRVBTJywnTUVBTicsJ0FOTlVBTF9ST0xMJywnKzEnLDQwNjU1LCwsJycp&amp;WINDOW=FIRST_POPUP&amp;HEIGHT=450&amp;WIDTH=450&amp;START_MAXIMIZED=FALSE&amp;VAR:CALENDAR=US&amp;VAR:SYMBOL=98433210&amp;VAR:INDEX=0"}</definedName>
    <definedName name="_6862__FDSAUDITLINK__">{"fdsup://directions/FAT Viewer?action=UPDATE&amp;creator=factset&amp;DYN_ARGS=TRUE&amp;DOC_NAME=FAT:FQL_AUDITING_CLIENT_TEMPLATE.FAT&amp;display_string=Audit&amp;VAR:KEY=VYJWFYBQVA&amp;VAR:QUERY=KFBfUFJJQ0UoNDA2NTQpLShGRl9DQVNIX1NUKFFUUiw0MDY1NCkvUF9DT01fU0hTX09VVCg0MDY1NCkpKS9GR","V9FU1RJTUFURSgnRVBTJywnTUVBTicsJ0FOTlVBTF9ST0xMJywnKzEnLDQwNjU0LCwsJycp&amp;WINDOW=FIRST_POPUP&amp;HEIGHT=450&amp;WIDTH=450&amp;START_MAXIMIZED=FALSE&amp;VAR:CALENDAR=US&amp;VAR:SYMBOL=98433210&amp;VAR:INDEX=0"}</definedName>
    <definedName name="_6863__FDSAUDITLINK__">{"fdsup://directions/FAT Viewer?action=UPDATE&amp;creator=factset&amp;DYN_ARGS=TRUE&amp;DOC_NAME=FAT:FQL_AUDITING_CLIENT_TEMPLATE.FAT&amp;display_string=Audit&amp;VAR:KEY=VYJWFYBQVA&amp;VAR:QUERY=KFBfUFJJQ0UoNDA2NTQpLShGRl9DQVNIX1NUKFFUUiw0MDY1NCkvUF9DT01fU0hTX09VVCg0MDY1NCkpKS9GR","V9FU1RJTUFURSgnRVBTJywnTUVBTicsJ0FOTlVBTF9ST0xMJywnKzEnLDQwNjU0LCwsJycp&amp;WINDOW=FIRST_POPUP&amp;HEIGHT=450&amp;WIDTH=450&amp;START_MAXIMIZED=FALSE&amp;VAR:CALENDAR=US&amp;VAR:SYMBOL=98433210&amp;VAR:INDEX=0"}</definedName>
    <definedName name="_6864__FDSAUDITLINK__">{"fdsup://directions/FAT Viewer?action=UPDATE&amp;creator=factset&amp;DYN_ARGS=TRUE&amp;DOC_NAME=FAT:FQL_AUDITING_CLIENT_TEMPLATE.FAT&amp;display_string=Audit&amp;VAR:KEY=BCXETMPCZS&amp;VAR:QUERY=KFBfUFJJQ0UoNDA2NTMpLShGRl9DQVNIX1NUKFFUUiw0MDY1MykvUF9DT01fU0hTX09VVCg0MDY1MykpKS9GR","V9FU1RJTUFURSgnRVBTJywnTUVBTicsJ0FOTlVBTF9ST0xMJywnKzEnLDQwNjUzLCwsJycp&amp;WINDOW=FIRST_POPUP&amp;HEIGHT=450&amp;WIDTH=450&amp;START_MAXIMIZED=FALSE&amp;VAR:CALENDAR=US&amp;VAR:SYMBOL=98433210&amp;VAR:INDEX=0"}</definedName>
    <definedName name="_6865__FDSAUDITLINK__">{"fdsup://directions/FAT Viewer?action=UPDATE&amp;creator=factset&amp;DYN_ARGS=TRUE&amp;DOC_NAME=FAT:FQL_AUDITING_CLIENT_TEMPLATE.FAT&amp;display_string=Audit&amp;VAR:KEY=BCXETMPCZS&amp;VAR:QUERY=KFBfUFJJQ0UoNDA2NTMpLShGRl9DQVNIX1NUKFFUUiw0MDY1MykvUF9DT01fU0hTX09VVCg0MDY1MykpKS9GR","V9FU1RJTUFURSgnRVBTJywnTUVBTicsJ0FOTlVBTF9ST0xMJywnKzEnLDQwNjUzLCwsJycp&amp;WINDOW=FIRST_POPUP&amp;HEIGHT=450&amp;WIDTH=450&amp;START_MAXIMIZED=FALSE&amp;VAR:CALENDAR=US&amp;VAR:SYMBOL=98433210&amp;VAR:INDEX=0"}</definedName>
    <definedName name="_6866__FDSAUDITLINK__">{"fdsup://directions/FAT Viewer?action=UPDATE&amp;creator=factset&amp;DYN_ARGS=TRUE&amp;DOC_NAME=FAT:FQL_AUDITING_CLIENT_TEMPLATE.FAT&amp;display_string=Audit&amp;VAR:KEY=VMTSNSRAVG&amp;VAR:QUERY=KFBfUFJJQ0UoNDA2NTIpLShGRl9DQVNIX1NUKFFUUiw0MDY1MikvUF9DT01fU0hTX09VVCg0MDY1MikpKS9GR","V9FU1RJTUFURSgnRVBTJywnTUVBTicsJ0FOTlVBTF9ST0xMJywnKzEnLDQwNjUyLCwsJycp&amp;WINDOW=FIRST_POPUP&amp;HEIGHT=450&amp;WIDTH=450&amp;START_MAXIMIZED=FALSE&amp;VAR:CALENDAR=US&amp;VAR:SYMBOL=98433210&amp;VAR:INDEX=0"}</definedName>
    <definedName name="_6867__FDSAUDITLINK__">{"fdsup://directions/FAT Viewer?action=UPDATE&amp;creator=factset&amp;DYN_ARGS=TRUE&amp;DOC_NAME=FAT:FQL_AUDITING_CLIENT_TEMPLATE.FAT&amp;display_string=Audit&amp;VAR:KEY=VMTSNSRAVG&amp;VAR:QUERY=KFBfUFJJQ0UoNDA2NTIpLShGRl9DQVNIX1NUKFFUUiw0MDY1MikvUF9DT01fU0hTX09VVCg0MDY1MikpKS9GR","V9FU1RJTUFURSgnRVBTJywnTUVBTicsJ0FOTlVBTF9ST0xMJywnKzEnLDQwNjUyLCwsJycp&amp;WINDOW=FIRST_POPUP&amp;HEIGHT=450&amp;WIDTH=450&amp;START_MAXIMIZED=FALSE&amp;VAR:CALENDAR=US&amp;VAR:SYMBOL=98433210&amp;VAR:INDEX=0"}</definedName>
    <definedName name="_6868__FDSAUDITLINK__">{"fdsup://directions/FAT Viewer?action=UPDATE&amp;creator=factset&amp;DYN_ARGS=TRUE&amp;DOC_NAME=FAT:FQL_AUDITING_CLIENT_TEMPLATE.FAT&amp;display_string=Audit&amp;VAR:KEY=NWFYTAXWLC&amp;VAR:QUERY=KFBfUFJJQ0UoNDA2NTEpLShGRl9DQVNIX1NUKFFUUiw0MDY1MSkvUF9DT01fU0hTX09VVCg0MDY1MSkpKS9GR","V9FU1RJTUFURSgnRVBTJywnTUVBTicsJ0FOTlVBTF9ST0xMJywnKzEnLDQwNjUxLCwsJycp&amp;WINDOW=FIRST_POPUP&amp;HEIGHT=450&amp;WIDTH=450&amp;START_MAXIMIZED=FALSE&amp;VAR:CALENDAR=US&amp;VAR:SYMBOL=98433210&amp;VAR:INDEX=0"}</definedName>
    <definedName name="_6869__FDSAUDITLINK__">{"fdsup://directions/FAT Viewer?action=UPDATE&amp;creator=factset&amp;DYN_ARGS=TRUE&amp;DOC_NAME=FAT:FQL_AUDITING_CLIENT_TEMPLATE.FAT&amp;display_string=Audit&amp;VAR:KEY=NWFYTAXWLC&amp;VAR:QUERY=KFBfUFJJQ0UoNDA2NTEpLShGRl9DQVNIX1NUKFFUUiw0MDY1MSkvUF9DT01fU0hTX09VVCg0MDY1MSkpKS9GR","V9FU1RJTUFURSgnRVBTJywnTUVBTicsJ0FOTlVBTF9ST0xMJywnKzEnLDQwNjUxLCwsJycp&amp;WINDOW=FIRST_POPUP&amp;HEIGHT=450&amp;WIDTH=450&amp;START_MAXIMIZED=FALSE&amp;VAR:CALENDAR=US&amp;VAR:SYMBOL=98433210&amp;VAR:INDEX=0"}</definedName>
    <definedName name="_68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1103"}</definedName>
    <definedName name="_6870__FDSAUDITLINK__">{"fdsup://directions/FAT Viewer?action=UPDATE&amp;creator=factset&amp;DYN_ARGS=TRUE&amp;DOC_NAME=FAT:FQL_AUDITING_CLIENT_TEMPLATE.FAT&amp;display_string=Audit&amp;VAR:KEY=PKTSVGNAJO&amp;VAR:QUERY=KFBfUFJJQ0UoNDA2NTApLShGRl9DQVNIX1NUKFFUUiw0MDY1MCkvUF9DT01fU0hTX09VVCg0MDY1MCkpKS9GR","V9FU1RJTUFURSgnRVBTJywnTUVBTicsJ0FOTlVBTF9ST0xMJywnKzEnLDQwNjUwLCwsJycp&amp;WINDOW=FIRST_POPUP&amp;HEIGHT=450&amp;WIDTH=450&amp;START_MAXIMIZED=FALSE&amp;VAR:CALENDAR=US&amp;VAR:SYMBOL=98433210&amp;VAR:INDEX=0"}</definedName>
    <definedName name="_6871__FDSAUDITLINK__">{"fdsup://directions/FAT Viewer?action=UPDATE&amp;creator=factset&amp;DYN_ARGS=TRUE&amp;DOC_NAME=FAT:FQL_AUDITING_CLIENT_TEMPLATE.FAT&amp;display_string=Audit&amp;VAR:KEY=PKTSVGNAJO&amp;VAR:QUERY=KFBfUFJJQ0UoNDA2NTApLShGRl9DQVNIX1NUKFFUUiw0MDY1MCkvUF9DT01fU0hTX09VVCg0MDY1MCkpKS9GR","V9FU1RJTUFURSgnRVBTJywnTUVBTicsJ0FOTlVBTF9ST0xMJywnKzEnLDQwNjUwLCwsJycp&amp;WINDOW=FIRST_POPUP&amp;HEIGHT=450&amp;WIDTH=450&amp;START_MAXIMIZED=FALSE&amp;VAR:CALENDAR=US&amp;VAR:SYMBOL=98433210&amp;VAR:INDEX=0"}</definedName>
    <definedName name="_6872__FDSAUDITLINK__">{"fdsup://directions/FAT Viewer?action=UPDATE&amp;creator=factset&amp;DYN_ARGS=TRUE&amp;DOC_NAME=FAT:FQL_AUDITING_CLIENT_TEMPLATE.FAT&amp;display_string=Audit&amp;VAR:KEY=HQZMXMDGBO&amp;VAR:QUERY=KFBfUFJJQ0UoNDA2NDkpLShGRl9DQVNIX1NUKFFUUiw0MDY0OSkvUF9DT01fU0hTX09VVCg0MDY0OSkpKS9GR","V9FU1RJTUFURSgnRVBTJywnTUVBTicsJ0FOTlVBTF9ST0xMJywnKzEnLDQwNjQ5LCwsJycp&amp;WINDOW=FIRST_POPUP&amp;HEIGHT=450&amp;WIDTH=450&amp;START_MAXIMIZED=FALSE&amp;VAR:CALENDAR=US&amp;VAR:SYMBOL=98433210&amp;VAR:INDEX=0"}</definedName>
    <definedName name="_6873__FDSAUDITLINK__">{"fdsup://directions/FAT Viewer?action=UPDATE&amp;creator=factset&amp;DYN_ARGS=TRUE&amp;DOC_NAME=FAT:FQL_AUDITING_CLIENT_TEMPLATE.FAT&amp;display_string=Audit&amp;VAR:KEY=HQZMXMDGBO&amp;VAR:QUERY=KFBfUFJJQ0UoNDA2NDkpLShGRl9DQVNIX1NUKFFUUiw0MDY0OSkvUF9DT01fU0hTX09VVCg0MDY0OSkpKS9GR","V9FU1RJTUFURSgnRVBTJywnTUVBTicsJ0FOTlVBTF9ST0xMJywnKzEnLDQwNjQ5LCwsJycp&amp;WINDOW=FIRST_POPUP&amp;HEIGHT=450&amp;WIDTH=450&amp;START_MAXIMIZED=FALSE&amp;VAR:CALENDAR=US&amp;VAR:SYMBOL=98433210&amp;VAR:INDEX=0"}</definedName>
    <definedName name="_6874__FDSAUDITLINK__">{"fdsup://directions/FAT Viewer?action=UPDATE&amp;creator=factset&amp;DYN_ARGS=TRUE&amp;DOC_NAME=FAT:FQL_AUDITING_CLIENT_TEMPLATE.FAT&amp;display_string=Audit&amp;VAR:KEY=XYJKJMBMLM&amp;VAR:QUERY=KFBfUFJJQ0UoNDA2NDgpLShGRl9DQVNIX1NUKFFUUiw0MDY0OCkvUF9DT01fU0hTX09VVCg0MDY0OCkpKS9GR","V9FU1RJTUFURSgnRVBTJywnTUVBTicsJ0FOTlVBTF9ST0xMJywnKzEnLDQwNjQ4LCwsJycp&amp;WINDOW=FIRST_POPUP&amp;HEIGHT=450&amp;WIDTH=450&amp;START_MAXIMIZED=FALSE&amp;VAR:CALENDAR=US&amp;VAR:SYMBOL=98433210&amp;VAR:INDEX=0"}</definedName>
    <definedName name="_6875__FDSAUDITLINK__">{"fdsup://directions/FAT Viewer?action=UPDATE&amp;creator=factset&amp;DYN_ARGS=TRUE&amp;DOC_NAME=FAT:FQL_AUDITING_CLIENT_TEMPLATE.FAT&amp;display_string=Audit&amp;VAR:KEY=XYJKJMBMLM&amp;VAR:QUERY=KFBfUFJJQ0UoNDA2NDgpLShGRl9DQVNIX1NUKFFUUiw0MDY0OCkvUF9DT01fU0hTX09VVCg0MDY0OCkpKS9GR","V9FU1RJTUFURSgnRVBTJywnTUVBTicsJ0FOTlVBTF9ST0xMJywnKzEnLDQwNjQ4LCwsJycp&amp;WINDOW=FIRST_POPUP&amp;HEIGHT=450&amp;WIDTH=450&amp;START_MAXIMIZED=FALSE&amp;VAR:CALENDAR=US&amp;VAR:SYMBOL=98433210&amp;VAR:INDEX=0"}</definedName>
    <definedName name="_6876__FDSAUDITLINK__">{"fdsup://directions/FAT Viewer?action=UPDATE&amp;creator=factset&amp;DYN_ARGS=TRUE&amp;DOC_NAME=FAT:FQL_AUDITING_CLIENT_TEMPLATE.FAT&amp;display_string=Audit&amp;VAR:KEY=TYXQLKFMVW&amp;VAR:QUERY=KFBfUFJJQ0UoNDA2NDcpLShGRl9DQVNIX1NUKFFUUiw0MDY0NykvUF9DT01fU0hTX09VVCg0MDY0NykpKS9GR","V9FU1RJTUFURSgnRVBTJywnTUVBTicsJ0FOTlVBTF9ST0xMJywnKzEnLDQwNjQ3LCwsJycp&amp;WINDOW=FIRST_POPUP&amp;HEIGHT=450&amp;WIDTH=450&amp;START_MAXIMIZED=FALSE&amp;VAR:CALENDAR=US&amp;VAR:SYMBOL=98433210&amp;VAR:INDEX=0"}</definedName>
    <definedName name="_6877__FDSAUDITLINK__">{"fdsup://directions/FAT Viewer?action=UPDATE&amp;creator=factset&amp;DYN_ARGS=TRUE&amp;DOC_NAME=FAT:FQL_AUDITING_CLIENT_TEMPLATE.FAT&amp;display_string=Audit&amp;VAR:KEY=TYXQLKFMVW&amp;VAR:QUERY=KFBfUFJJQ0UoNDA2NDcpLShGRl9DQVNIX1NUKFFUUiw0MDY0NykvUF9DT01fU0hTX09VVCg0MDY0NykpKS9GR","V9FU1RJTUFURSgnRVBTJywnTUVBTicsJ0FOTlVBTF9ST0xMJywnKzEnLDQwNjQ3LCwsJycp&amp;WINDOW=FIRST_POPUP&amp;HEIGHT=450&amp;WIDTH=450&amp;START_MAXIMIZED=FALSE&amp;VAR:CALENDAR=US&amp;VAR:SYMBOL=98433210&amp;VAR:INDEX=0"}</definedName>
    <definedName name="_6878__FDSAUDITLINK__">{"fdsup://directions/FAT Viewer?action=UPDATE&amp;creator=factset&amp;DYN_ARGS=TRUE&amp;DOC_NAME=FAT:FQL_AUDITING_CLIENT_TEMPLATE.FAT&amp;display_string=Audit&amp;VAR:KEY=DUPAVQRYFM&amp;VAR:QUERY=KFBfUFJJQ0UoNDA2NDYpLShGRl9DQVNIX1NUKFFUUiw0MDY0NikvUF9DT01fU0hTX09VVCg0MDY0NikpKS9GR","V9FU1RJTUFURSgnRVBTJywnTUVBTicsJ0FOTlVBTF9ST0xMJywnKzEnLDQwNjQ2LCwsJycp&amp;WINDOW=FIRST_POPUP&amp;HEIGHT=450&amp;WIDTH=450&amp;START_MAXIMIZED=FALSE&amp;VAR:CALENDAR=US&amp;VAR:SYMBOL=98433210&amp;VAR:INDEX=0"}</definedName>
    <definedName name="_6879__FDSAUDITLINK__">{"fdsup://directions/FAT Viewer?action=UPDATE&amp;creator=factset&amp;DYN_ARGS=TRUE&amp;DOC_NAME=FAT:FQL_AUDITING_CLIENT_TEMPLATE.FAT&amp;display_string=Audit&amp;VAR:KEY=DUPAVQRYFM&amp;VAR:QUERY=KFBfUFJJQ0UoNDA2NDYpLShGRl9DQVNIX1NUKFFUUiw0MDY0NikvUF9DT01fU0hTX09VVCg0MDY0NikpKS9GR","V9FU1RJTUFURSgnRVBTJywnTUVBTicsJ0FOTlVBTF9ST0xMJywnKzEnLDQwNjQ2LCwsJycp&amp;WINDOW=FIRST_POPUP&amp;HEIGHT=450&amp;WIDTH=450&amp;START_MAXIMIZED=FALSE&amp;VAR:CALENDAR=US&amp;VAR:SYMBOL=98433210&amp;VAR:INDEX=0"}</definedName>
    <definedName name="_68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1102"}</definedName>
    <definedName name="_6880__FDSAUDITLINK__">{"fdsup://directions/FAT Viewer?action=UPDATE&amp;creator=factset&amp;DYN_ARGS=TRUE&amp;DOC_NAME=FAT:FQL_AUDITING_CLIENT_TEMPLATE.FAT&amp;display_string=Audit&amp;VAR:KEY=ZKTQRCTKZA&amp;VAR:QUERY=KFBfUFJJQ0UoNDA2NDUpLShGRl9DQVNIX1NUKFFUUiw0MDY0NSkvUF9DT01fU0hTX09VVCg0MDY0NSkpKS9GR","V9FU1RJTUFURSgnRVBTJywnTUVBTicsJ0FOTlVBTF9ST0xMJywnKzEnLDQwNjQ1LCwsJycp&amp;WINDOW=FIRST_POPUP&amp;HEIGHT=450&amp;WIDTH=450&amp;START_MAXIMIZED=FALSE&amp;VAR:CALENDAR=US&amp;VAR:SYMBOL=98433210&amp;VAR:INDEX=0"}</definedName>
    <definedName name="_6881__FDSAUDITLINK__">{"fdsup://directions/FAT Viewer?action=UPDATE&amp;creator=factset&amp;DYN_ARGS=TRUE&amp;DOC_NAME=FAT:FQL_AUDITING_CLIENT_TEMPLATE.FAT&amp;display_string=Audit&amp;VAR:KEY=ZKTQRCTKZA&amp;VAR:QUERY=KFBfUFJJQ0UoNDA2NDUpLShGRl9DQVNIX1NUKFFUUiw0MDY0NSkvUF9DT01fU0hTX09VVCg0MDY0NSkpKS9GR","V9FU1RJTUFURSgnRVBTJywnTUVBTicsJ0FOTlVBTF9ST0xMJywnKzEnLDQwNjQ1LCwsJycp&amp;WINDOW=FIRST_POPUP&amp;HEIGHT=450&amp;WIDTH=450&amp;START_MAXIMIZED=FALSE&amp;VAR:CALENDAR=US&amp;VAR:SYMBOL=98433210&amp;VAR:INDEX=0"}</definedName>
    <definedName name="_6882__FDSAUDITLINK__">{"fdsup://directions/FAT Viewer?action=UPDATE&amp;creator=factset&amp;DYN_ARGS=TRUE&amp;DOC_NAME=FAT:FQL_AUDITING_CLIENT_TEMPLATE.FAT&amp;display_string=Audit&amp;VAR:KEY=NKDCDYLGVO&amp;VAR:QUERY=KFBfUFJJQ0UoNDA2NDQpLShGRl9DQVNIX1NUKFFUUiw0MDY0NCkvUF9DT01fU0hTX09VVCg0MDY0NCkpKS9GR","V9FU1RJTUFURSgnRVBTJywnTUVBTicsJ0FOTlVBTF9ST0xMJywnKzEnLDQwNjQ0LCwsJycp&amp;WINDOW=FIRST_POPUP&amp;HEIGHT=450&amp;WIDTH=450&amp;START_MAXIMIZED=FALSE&amp;VAR:CALENDAR=US&amp;VAR:SYMBOL=98433210&amp;VAR:INDEX=0"}</definedName>
    <definedName name="_6883__FDSAUDITLINK__">{"fdsup://directions/FAT Viewer?action=UPDATE&amp;creator=factset&amp;DYN_ARGS=TRUE&amp;DOC_NAME=FAT:FQL_AUDITING_CLIENT_TEMPLATE.FAT&amp;display_string=Audit&amp;VAR:KEY=NKDCDYLGVO&amp;VAR:QUERY=KFBfUFJJQ0UoNDA2NDQpLShGRl9DQVNIX1NUKFFUUiw0MDY0NCkvUF9DT01fU0hTX09VVCg0MDY0NCkpKS9GR","V9FU1RJTUFURSgnRVBTJywnTUVBTicsJ0FOTlVBTF9ST0xMJywnKzEnLDQwNjQ0LCwsJycp&amp;WINDOW=FIRST_POPUP&amp;HEIGHT=450&amp;WIDTH=450&amp;START_MAXIMIZED=FALSE&amp;VAR:CALENDAR=US&amp;VAR:SYMBOL=98433210&amp;VAR:INDEX=0"}</definedName>
    <definedName name="_6884__FDSAUDITLINK__">{"fdsup://directions/FAT Viewer?action=UPDATE&amp;creator=factset&amp;DYN_ARGS=TRUE&amp;DOC_NAME=FAT:FQL_AUDITING_CLIENT_TEMPLATE.FAT&amp;display_string=Audit&amp;VAR:KEY=LWRALSVAZA&amp;VAR:QUERY=KFBfUFJJQ0UoNDA2NDMpLShGRl9DQVNIX1NUKFFUUiw0MDY0MykvUF9DT01fU0hTX09VVCg0MDY0MykpKS9GR","V9FU1RJTUFURSgnRVBTJywnTUVBTicsJ0FOTlVBTF9ST0xMJywnKzEnLDQwNjQzLCwsJycp&amp;WINDOW=FIRST_POPUP&amp;HEIGHT=450&amp;WIDTH=450&amp;START_MAXIMIZED=FALSE&amp;VAR:CALENDAR=US&amp;VAR:SYMBOL=98433210&amp;VAR:INDEX=0"}</definedName>
    <definedName name="_6885__FDSAUDITLINK__">{"fdsup://directions/FAT Viewer?action=UPDATE&amp;creator=factset&amp;DYN_ARGS=TRUE&amp;DOC_NAME=FAT:FQL_AUDITING_CLIENT_TEMPLATE.FAT&amp;display_string=Audit&amp;VAR:KEY=LWRALSVAZA&amp;VAR:QUERY=KFBfUFJJQ0UoNDA2NDMpLShGRl9DQVNIX1NUKFFUUiw0MDY0MykvUF9DT01fU0hTX09VVCg0MDY0MykpKS9GR","V9FU1RJTUFURSgnRVBTJywnTUVBTicsJ0FOTlVBTF9ST0xMJywnKzEnLDQwNjQzLCwsJycp&amp;WINDOW=FIRST_POPUP&amp;HEIGHT=450&amp;WIDTH=450&amp;START_MAXIMIZED=FALSE&amp;VAR:CALENDAR=US&amp;VAR:SYMBOL=98433210&amp;VAR:INDEX=0"}</definedName>
    <definedName name="_6886__FDSAUDITLINK__">{"fdsup://directions/FAT Viewer?action=UPDATE&amp;creator=factset&amp;DYN_ARGS=TRUE&amp;DOC_NAME=FAT:FQL_AUDITING_CLIENT_TEMPLATE.FAT&amp;display_string=Audit&amp;VAR:KEY=LKLALEJSTK&amp;VAR:QUERY=KFBfUFJJQ0UoNDA2NDIpLShGRl9DQVNIX1NUKFFUUiw0MDY0MikvUF9DT01fU0hTX09VVCg0MDY0MikpKS9GR","V9FU1RJTUFURSgnRVBTJywnTUVBTicsJ0FOTlVBTF9ST0xMJywnKzEnLDQwNjQyLCwsJycp&amp;WINDOW=FIRST_POPUP&amp;HEIGHT=450&amp;WIDTH=450&amp;START_MAXIMIZED=FALSE&amp;VAR:CALENDAR=US&amp;VAR:SYMBOL=98433210&amp;VAR:INDEX=0"}</definedName>
    <definedName name="_6887__FDSAUDITLINK__">{"fdsup://directions/FAT Viewer?action=UPDATE&amp;creator=factset&amp;DYN_ARGS=TRUE&amp;DOC_NAME=FAT:FQL_AUDITING_CLIENT_TEMPLATE.FAT&amp;display_string=Audit&amp;VAR:KEY=LKLALEJSTK&amp;VAR:QUERY=KFBfUFJJQ0UoNDA2NDIpLShGRl9DQVNIX1NUKFFUUiw0MDY0MikvUF9DT01fU0hTX09VVCg0MDY0MikpKS9GR","V9FU1RJTUFURSgnRVBTJywnTUVBTicsJ0FOTlVBTF9ST0xMJywnKzEnLDQwNjQyLCwsJycp&amp;WINDOW=FIRST_POPUP&amp;HEIGHT=450&amp;WIDTH=450&amp;START_MAXIMIZED=FALSE&amp;VAR:CALENDAR=US&amp;VAR:SYMBOL=98433210&amp;VAR:INDEX=0"}</definedName>
    <definedName name="_6888__FDSAUDITLINK__">{"fdsup://directions/FAT Viewer?action=UPDATE&amp;creator=factset&amp;DYN_ARGS=TRUE&amp;DOC_NAME=FAT:FQL_AUDITING_CLIENT_TEMPLATE.FAT&amp;display_string=Audit&amp;VAR:KEY=DEFCFMZMNS&amp;VAR:QUERY=KFBfUFJJQ0UoNDA2NDEpLShGRl9DQVNIX1NUKFFUUiw0MDY0MSkvUF9DT01fU0hTX09VVCg0MDY0MSkpKS9GR","V9FU1RJTUFURSgnRVBTJywnTUVBTicsJ0FOTlVBTF9ST0xMJywnKzEnLDQwNjQxLCwsJycp&amp;WINDOW=FIRST_POPUP&amp;HEIGHT=450&amp;WIDTH=450&amp;START_MAXIMIZED=FALSE&amp;VAR:CALENDAR=US&amp;VAR:SYMBOL=98433210&amp;VAR:INDEX=0"}</definedName>
    <definedName name="_6889__FDSAUDITLINK__">{"fdsup://directions/FAT Viewer?action=UPDATE&amp;creator=factset&amp;DYN_ARGS=TRUE&amp;DOC_NAME=FAT:FQL_AUDITING_CLIENT_TEMPLATE.FAT&amp;display_string=Audit&amp;VAR:KEY=DEFCFMZMNS&amp;VAR:QUERY=KFBfUFJJQ0UoNDA2NDEpLShGRl9DQVNIX1NUKFFUUiw0MDY0MSkvUF9DT01fU0hTX09VVCg0MDY0MSkpKS9GR","V9FU1RJTUFURSgnRVBTJywnTUVBTicsJ0FOTlVBTF9ST0xMJywnKzEnLDQwNjQxLCwsJycp&amp;WINDOW=FIRST_POPUP&amp;HEIGHT=450&amp;WIDTH=450&amp;START_MAXIMIZED=FALSE&amp;VAR:CALENDAR=US&amp;VAR:SYMBOL=98433210&amp;VAR:INDEX=0"}</definedName>
    <definedName name="_68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1101"}</definedName>
    <definedName name="_6890__FDSAUDITLINK__">{"fdsup://directions/FAT Viewer?action=UPDATE&amp;creator=factset&amp;DYN_ARGS=TRUE&amp;DOC_NAME=FAT:FQL_AUDITING_CLIENT_TEMPLATE.FAT&amp;display_string=Audit&amp;VAR:KEY=BOTGZIXKVK&amp;VAR:QUERY=KFBfUFJJQ0UoNDA2NDApLShGRl9DQVNIX1NUKFFUUiw0MDY0MCkvUF9DT01fU0hTX09VVCg0MDY0MCkpKS9GR","V9FU1RJTUFURSgnRVBTJywnTUVBTicsJ0FOTlVBTF9ST0xMJywnKzEnLDQwNjQwLCwsJycp&amp;WINDOW=FIRST_POPUP&amp;HEIGHT=450&amp;WIDTH=450&amp;START_MAXIMIZED=FALSE&amp;VAR:CALENDAR=US&amp;VAR:SYMBOL=98433210&amp;VAR:INDEX=0"}</definedName>
    <definedName name="_6891__FDSAUDITLINK__">{"fdsup://directions/FAT Viewer?action=UPDATE&amp;creator=factset&amp;DYN_ARGS=TRUE&amp;DOC_NAME=FAT:FQL_AUDITING_CLIENT_TEMPLATE.FAT&amp;display_string=Audit&amp;VAR:KEY=BOTGZIXKVK&amp;VAR:QUERY=KFBfUFJJQ0UoNDA2NDApLShGRl9DQVNIX1NUKFFUUiw0MDY0MCkvUF9DT01fU0hTX09VVCg0MDY0MCkpKS9GR","V9FU1RJTUFURSgnRVBTJywnTUVBTicsJ0FOTlVBTF9ST0xMJywnKzEnLDQwNjQwLCwsJycp&amp;WINDOW=FIRST_POPUP&amp;HEIGHT=450&amp;WIDTH=450&amp;START_MAXIMIZED=FALSE&amp;VAR:CALENDAR=US&amp;VAR:SYMBOL=98433210&amp;VAR:INDEX=0"}</definedName>
    <definedName name="_6892__FDSAUDITLINK__">{"fdsup://directions/FAT Viewer?action=UPDATE&amp;creator=factset&amp;DYN_ARGS=TRUE&amp;DOC_NAME=FAT:FQL_AUDITING_CLIENT_TEMPLATE.FAT&amp;display_string=Audit&amp;VAR:KEY=DUBOFCVERS&amp;VAR:QUERY=KFBfUFJJQ0UoNDA2MzkpLShGRl9DQVNIX1NUKFFUUiw0MDYzOSkvUF9DT01fU0hTX09VVCg0MDYzOSkpKS9GR","V9FU1RJTUFURSgnRVBTJywnTUVBTicsJ0FOTlVBTF9ST0xMJywnKzEnLDQwNjM5LCwsJycp&amp;WINDOW=FIRST_POPUP&amp;HEIGHT=450&amp;WIDTH=450&amp;START_MAXIMIZED=FALSE&amp;VAR:CALENDAR=US&amp;VAR:SYMBOL=98433210&amp;VAR:INDEX=0"}</definedName>
    <definedName name="_6893__FDSAUDITLINK__">{"fdsup://directions/FAT Viewer?action=UPDATE&amp;creator=factset&amp;DYN_ARGS=TRUE&amp;DOC_NAME=FAT:FQL_AUDITING_CLIENT_TEMPLATE.FAT&amp;display_string=Audit&amp;VAR:KEY=DUBOFCVERS&amp;VAR:QUERY=KFBfUFJJQ0UoNDA2MzkpLShGRl9DQVNIX1NUKFFUUiw0MDYzOSkvUF9DT01fU0hTX09VVCg0MDYzOSkpKS9GR","V9FU1RJTUFURSgnRVBTJywnTUVBTicsJ0FOTlVBTF9ST0xMJywnKzEnLDQwNjM5LCwsJycp&amp;WINDOW=FIRST_POPUP&amp;HEIGHT=450&amp;WIDTH=450&amp;START_MAXIMIZED=FALSE&amp;VAR:CALENDAR=US&amp;VAR:SYMBOL=98433210&amp;VAR:INDEX=0"}</definedName>
    <definedName name="_6894__FDSAUDITLINK__">{"fdsup://directions/FAT Viewer?action=UPDATE&amp;creator=factset&amp;DYN_ARGS=TRUE&amp;DOC_NAME=FAT:FQL_AUDITING_CLIENT_TEMPLATE.FAT&amp;display_string=Audit&amp;VAR:KEY=DUJKJQHMTW&amp;VAR:QUERY=KFBfUFJJQ0UoNDA2MzgpLShGRl9DQVNIX1NUKFFUUiw0MDYzOCkvUF9DT01fU0hTX09VVCg0MDYzOCkpKS9GR","V9FU1RJTUFURSgnRVBTJywnTUVBTicsJ0FOTlVBTF9ST0xMJywnKzEnLDQwNjM4LCwsJycp&amp;WINDOW=FIRST_POPUP&amp;HEIGHT=450&amp;WIDTH=450&amp;START_MAXIMIZED=FALSE&amp;VAR:CALENDAR=US&amp;VAR:SYMBOL=98433210&amp;VAR:INDEX=0"}</definedName>
    <definedName name="_6895__FDSAUDITLINK__">{"fdsup://directions/FAT Viewer?action=UPDATE&amp;creator=factset&amp;DYN_ARGS=TRUE&amp;DOC_NAME=FAT:FQL_AUDITING_CLIENT_TEMPLATE.FAT&amp;display_string=Audit&amp;VAR:KEY=DUJKJQHMTW&amp;VAR:QUERY=KFBfUFJJQ0UoNDA2MzgpLShGRl9DQVNIX1NUKFFUUiw0MDYzOCkvUF9DT01fU0hTX09VVCg0MDYzOCkpKS9GR","V9FU1RJTUFURSgnRVBTJywnTUVBTicsJ0FOTlVBTF9ST0xMJywnKzEnLDQwNjM4LCwsJycp&amp;WINDOW=FIRST_POPUP&amp;HEIGHT=450&amp;WIDTH=450&amp;START_MAXIMIZED=FALSE&amp;VAR:CALENDAR=US&amp;VAR:SYMBOL=98433210&amp;VAR:INDEX=0"}</definedName>
    <definedName name="_6896__FDSAUDITLINK__">{"fdsup://directions/FAT Viewer?action=UPDATE&amp;creator=factset&amp;DYN_ARGS=TRUE&amp;DOC_NAME=FAT:FQL_AUDITING_CLIENT_TEMPLATE.FAT&amp;display_string=Audit&amp;VAR:KEY=LORYJGDULG&amp;VAR:QUERY=KFBfUFJJQ0UoNDA2MzcpLShGRl9DQVNIX1NUKFFUUiw0MDYzNykvUF9DT01fU0hTX09VVCg0MDYzNykpKS9GR","V9FU1RJTUFURSgnRVBTJywnTUVBTicsJ0FOTlVBTF9ST0xMJywnKzEnLDQwNjM3LCwsJycp&amp;WINDOW=FIRST_POPUP&amp;HEIGHT=450&amp;WIDTH=450&amp;START_MAXIMIZED=FALSE&amp;VAR:CALENDAR=US&amp;VAR:SYMBOL=98433210&amp;VAR:INDEX=0"}</definedName>
    <definedName name="_6897__FDSAUDITLINK__">{"fdsup://directions/FAT Viewer?action=UPDATE&amp;creator=factset&amp;DYN_ARGS=TRUE&amp;DOC_NAME=FAT:FQL_AUDITING_CLIENT_TEMPLATE.FAT&amp;display_string=Audit&amp;VAR:KEY=LORYJGDULG&amp;VAR:QUERY=KFBfUFJJQ0UoNDA2MzcpLShGRl9DQVNIX1NUKFFUUiw0MDYzNykvUF9DT01fU0hTX09VVCg0MDYzNykpKS9GR","V9FU1RJTUFURSgnRVBTJywnTUVBTicsJ0FOTlVBTF9ST0xMJywnKzEnLDQwNjM3LCwsJycp&amp;WINDOW=FIRST_POPUP&amp;HEIGHT=450&amp;WIDTH=450&amp;START_MAXIMIZED=FALSE&amp;VAR:CALENDAR=US&amp;VAR:SYMBOL=98433210&amp;VAR:INDEX=0"}</definedName>
    <definedName name="_6898__FDSAUDITLINK__">{"fdsup://directions/FAT Viewer?action=UPDATE&amp;creator=factset&amp;DYN_ARGS=TRUE&amp;DOC_NAME=FAT:FQL_AUDITING_CLIENT_TEMPLATE.FAT&amp;display_string=Audit&amp;VAR:KEY=XQHEVKFGHW&amp;VAR:QUERY=KFBfUFJJQ0UoNDA2MzYpLShGRl9DQVNIX1NUKFFUUiw0MDYzNikvUF9DT01fU0hTX09VVCg0MDYzNikpKS9GR","V9FU1RJTUFURSgnRVBTJywnTUVBTicsJ0FOTlVBTF9ST0xMJywnKzEnLDQwNjM2LCwsJycp&amp;WINDOW=FIRST_POPUP&amp;HEIGHT=450&amp;WIDTH=450&amp;START_MAXIMIZED=FALSE&amp;VAR:CALENDAR=US&amp;VAR:SYMBOL=98433210&amp;VAR:INDEX=0"}</definedName>
    <definedName name="_6899__FDSAUDITLINK__">{"fdsup://directions/FAT Viewer?action=UPDATE&amp;creator=factset&amp;DYN_ARGS=TRUE&amp;DOC_NAME=FAT:FQL_AUDITING_CLIENT_TEMPLATE.FAT&amp;display_string=Audit&amp;VAR:KEY=XQHEVKFGHW&amp;VAR:QUERY=KFBfUFJJQ0UoNDA2MzYpLShGRl9DQVNIX1NUKFFUUiw0MDYzNikvUF9DT01fU0hTX09VVCg0MDYzNikpKS9GR","V9FU1RJTUFURSgnRVBTJywnTUVBTicsJ0FOTlVBTF9ST0xMJywnKzEnLDQwNjM2LCwsJycp&amp;WINDOW=FIRST_POPUP&amp;HEIGHT=450&amp;WIDTH=450&amp;START_MAXIMIZED=FALSE&amp;VAR:CALENDAR=US&amp;VAR:SYMBOL=98433210&amp;VAR:INDEX=0"}</definedName>
    <definedName name="_6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0.243836&amp;VAR:V=15.148962&amp;VAR:V0=15.573066&amp;VAR:V1=13.969214&amp;VAR:Y0=2007&amp;VAR:Y1=2008&amp;VAR:P=1420.863800&amp;VAR:DATE=20070330&amp;VAR:THRESH=-|-|","-|-|-|-|-"}</definedName>
    <definedName name="_69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1100"}</definedName>
    <definedName name="_6900__FDSAUDITLINK__">{"fdsup://directions/FAT Viewer?action=UPDATE&amp;creator=factset&amp;DYN_ARGS=TRUE&amp;DOC_NAME=FAT:FQL_AUDITING_CLIENT_TEMPLATE.FAT&amp;display_string=Audit&amp;VAR:KEY=BKBMXSZQDG&amp;VAR:QUERY=KFBfUFJJQ0UoNDA2MzUpLShGRl9DQVNIX1NUKFFUUiw0MDYzNSkvUF9DT01fU0hTX09VVCg0MDYzNSkpKS9GR","V9FU1RJTUFURSgnRVBTJywnTUVBTicsJ0FOTlVBTF9ST0xMJywnKzEnLDQwNjM1LCwsJycp&amp;WINDOW=FIRST_POPUP&amp;HEIGHT=450&amp;WIDTH=450&amp;START_MAXIMIZED=FALSE&amp;VAR:CALENDAR=US&amp;VAR:SYMBOL=98433210&amp;VAR:INDEX=0"}</definedName>
    <definedName name="_6901__FDSAUDITLINK__">{"fdsup://directions/FAT Viewer?action=UPDATE&amp;creator=factset&amp;DYN_ARGS=TRUE&amp;DOC_NAME=FAT:FQL_AUDITING_CLIENT_TEMPLATE.FAT&amp;display_string=Audit&amp;VAR:KEY=BKBMXSZQDG&amp;VAR:QUERY=KFBfUFJJQ0UoNDA2MzUpLShGRl9DQVNIX1NUKFFUUiw0MDYzNSkvUF9DT01fU0hTX09VVCg0MDYzNSkpKS9GR","V9FU1RJTUFURSgnRVBTJywnTUVBTicsJ0FOTlVBTF9ST0xMJywnKzEnLDQwNjM1LCwsJycp&amp;WINDOW=FIRST_POPUP&amp;HEIGHT=450&amp;WIDTH=450&amp;START_MAXIMIZED=FALSE&amp;VAR:CALENDAR=US&amp;VAR:SYMBOL=98433210&amp;VAR:INDEX=0"}</definedName>
    <definedName name="_6902__FDSAUDITLINK__">{"fdsup://directions/FAT Viewer?action=UPDATE&amp;creator=factset&amp;DYN_ARGS=TRUE&amp;DOC_NAME=FAT:FQL_AUDITING_CLIENT_TEMPLATE.FAT&amp;display_string=Audit&amp;VAR:KEY=ZSZUHSRQDQ&amp;VAR:QUERY=KFBfUFJJQ0UoNDA2MzQpLShGRl9DQVNIX1NUKFFUUiw0MDYzNCkvUF9DT01fU0hTX09VVCg0MDYzNCkpKS9GR","V9FU1RJTUFURSgnRVBTJywnTUVBTicsJ0FOTlVBTF9ST0xMJywnKzEnLDQwNjM0LCwsJycp&amp;WINDOW=FIRST_POPUP&amp;HEIGHT=450&amp;WIDTH=450&amp;START_MAXIMIZED=FALSE&amp;VAR:CALENDAR=US&amp;VAR:SYMBOL=98433210&amp;VAR:INDEX=0"}</definedName>
    <definedName name="_6903__FDSAUDITLINK__">{"fdsup://directions/FAT Viewer?action=UPDATE&amp;creator=factset&amp;DYN_ARGS=TRUE&amp;DOC_NAME=FAT:FQL_AUDITING_CLIENT_TEMPLATE.FAT&amp;display_string=Audit&amp;VAR:KEY=ZSZUHSRQDQ&amp;VAR:QUERY=KFBfUFJJQ0UoNDA2MzQpLShGRl9DQVNIX1NUKFFUUiw0MDYzNCkvUF9DT01fU0hTX09VVCg0MDYzNCkpKS9GR","V9FU1RJTUFURSgnRVBTJywnTUVBTicsJ0FOTlVBTF9ST0xMJywnKzEnLDQwNjM0LCwsJycp&amp;WINDOW=FIRST_POPUP&amp;HEIGHT=450&amp;WIDTH=450&amp;START_MAXIMIZED=FALSE&amp;VAR:CALENDAR=US&amp;VAR:SYMBOL=98433210&amp;VAR:INDEX=0"}</definedName>
    <definedName name="_6904__FDSAUDITLINK__">{"fdsup://directions/FAT Viewer?action=UPDATE&amp;creator=factset&amp;DYN_ARGS=TRUE&amp;DOC_NAME=FAT:FQL_AUDITING_CLIENT_TEMPLATE.FAT&amp;display_string=Audit&amp;VAR:KEY=JYDMPILIRC&amp;VAR:QUERY=KFBfUFJJQ0UoNDA2MzMpLShGRl9DQVNIX1NUKFFUUiw0MDYzMykvUF9DT01fU0hTX09VVCg0MDYzMykpKS9GR","V9FU1RJTUFURSgnRVBTJywnTUVBTicsJ0FOTlVBTF9ST0xMJywnKzEnLDQwNjMzLCwsJycp&amp;WINDOW=FIRST_POPUP&amp;HEIGHT=450&amp;WIDTH=450&amp;START_MAXIMIZED=FALSE&amp;VAR:CALENDAR=US&amp;VAR:SYMBOL=98433210&amp;VAR:INDEX=0"}</definedName>
    <definedName name="_6905__FDSAUDITLINK__">{"fdsup://directions/FAT Viewer?action=UPDATE&amp;creator=factset&amp;DYN_ARGS=TRUE&amp;DOC_NAME=FAT:FQL_AUDITING_CLIENT_TEMPLATE.FAT&amp;display_string=Audit&amp;VAR:KEY=JYDMPILIRC&amp;VAR:QUERY=KFBfUFJJQ0UoNDA2MzMpLShGRl9DQVNIX1NUKFFUUiw0MDYzMykvUF9DT01fU0hTX09VVCg0MDYzMykpKS9GR","V9FU1RJTUFURSgnRVBTJywnTUVBTicsJ0FOTlVBTF9ST0xMJywnKzEnLDQwNjMzLCwsJycp&amp;WINDOW=FIRST_POPUP&amp;HEIGHT=450&amp;WIDTH=450&amp;START_MAXIMIZED=FALSE&amp;VAR:CALENDAR=US&amp;VAR:SYMBOL=98433210&amp;VAR:INDEX=0"}</definedName>
    <definedName name="_6906__FDSAUDITLINK__">{"fdsup://directions/FAT Viewer?action=UPDATE&amp;creator=factset&amp;DYN_ARGS=TRUE&amp;DOC_NAME=FAT:FQL_AUDITING_CLIENT_TEMPLATE.FAT&amp;display_string=Audit&amp;VAR:KEY=NSPYNOXYTG&amp;VAR:QUERY=KFBfUFJJQ0UoNDA2MzIpLShGRl9DQVNIX1NUKFFUUiw0MDYzMikvUF9DT01fU0hTX09VVCg0MDYzMikpKS9GR","V9FU1RJTUFURSgnRVBTJywnTUVBTicsJ0FOTlVBTF9ST0xMJywnKzEnLDQwNjMyLCwsJycp&amp;WINDOW=FIRST_POPUP&amp;HEIGHT=450&amp;WIDTH=450&amp;START_MAXIMIZED=FALSE&amp;VAR:CALENDAR=US&amp;VAR:SYMBOL=98433210&amp;VAR:INDEX=0"}</definedName>
    <definedName name="_6907__FDSAUDITLINK__">{"fdsup://directions/FAT Viewer?action=UPDATE&amp;creator=factset&amp;DYN_ARGS=TRUE&amp;DOC_NAME=FAT:FQL_AUDITING_CLIENT_TEMPLATE.FAT&amp;display_string=Audit&amp;VAR:KEY=NSPYNOXYTG&amp;VAR:QUERY=KFBfUFJJQ0UoNDA2MzIpLShGRl9DQVNIX1NUKFFUUiw0MDYzMikvUF9DT01fU0hTX09VVCg0MDYzMikpKS9GR","V9FU1RJTUFURSgnRVBTJywnTUVBTicsJ0FOTlVBTF9ST0xMJywnKzEnLDQwNjMyLCwsJycp&amp;WINDOW=FIRST_POPUP&amp;HEIGHT=450&amp;WIDTH=450&amp;START_MAXIMIZED=FALSE&amp;VAR:CALENDAR=US&amp;VAR:SYMBOL=98433210&amp;VAR:INDEX=0"}</definedName>
    <definedName name="_6908__FDSAUDITLINK__">{"fdsup://directions/FAT Viewer?action=UPDATE&amp;creator=factset&amp;DYN_ARGS=TRUE&amp;DOC_NAME=FAT:FQL_AUDITING_CLIENT_TEMPLATE.FAT&amp;display_string=Audit&amp;VAR:KEY=VADKTCTQHU&amp;VAR:QUERY=KFBfUFJJQ0UoNDA2MzEpLShGRl9DQVNIX1NUKFFUUiw0MDYzMSkvUF9DT01fU0hTX09VVCg0MDYzMSkpKS9GR","V9FU1RJTUFURSgnRVBTJywnTUVBTicsJ0FOTlVBTF9ST0xMJywnKzEnLDQwNjMxLCwsJycp&amp;WINDOW=FIRST_POPUP&amp;HEIGHT=450&amp;WIDTH=450&amp;START_MAXIMIZED=FALSE&amp;VAR:CALENDAR=US&amp;VAR:SYMBOL=98433210&amp;VAR:INDEX=0"}</definedName>
    <definedName name="_6909__FDSAUDITLINK__">{"fdsup://directions/FAT Viewer?action=UPDATE&amp;creator=factset&amp;DYN_ARGS=TRUE&amp;DOC_NAME=FAT:FQL_AUDITING_CLIENT_TEMPLATE.FAT&amp;display_string=Audit&amp;VAR:KEY=VADKTCTQHU&amp;VAR:QUERY=KFBfUFJJQ0UoNDA2MzEpLShGRl9DQVNIX1NUKFFUUiw0MDYzMSkvUF9DT01fU0hTX09VVCg0MDYzMSkpKS9GR","V9FU1RJTUFURSgnRVBTJywnTUVBTicsJ0FOTlVBTF9ST0xMJywnKzEnLDQwNjMxLCwsJycp&amp;WINDOW=FIRST_POPUP&amp;HEIGHT=450&amp;WIDTH=450&amp;START_MAXIMIZED=FALSE&amp;VAR:CALENDAR=US&amp;VAR:SYMBOL=98433210&amp;VAR:INDEX=0"}</definedName>
    <definedName name="_69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1099"}</definedName>
    <definedName name="_6910__FDSAUDITLINK__">{"fdsup://directions/FAT Viewer?action=UPDATE&amp;creator=factset&amp;DYN_ARGS=TRUE&amp;DOC_NAME=FAT:FQL_AUDITING_CLIENT_TEMPLATE.FAT&amp;display_string=Audit&amp;VAR:KEY=PYNIDMFGZE&amp;VAR:QUERY=KFBfUFJJQ0UoNDA2MzApLShGRl9DQVNIX1NUKFFUUiw0MDYzMCkvUF9DT01fU0hTX09VVCg0MDYzMCkpKS9GR","V9FU1RJTUFURSgnRVBTJywnTUVBTicsJ0FOTlVBTF9ST0xMJywnKzEnLDQwNjMwLCwsJycp&amp;WINDOW=FIRST_POPUP&amp;HEIGHT=450&amp;WIDTH=450&amp;START_MAXIMIZED=FALSE&amp;VAR:CALENDAR=US&amp;VAR:SYMBOL=98433210&amp;VAR:INDEX=0"}</definedName>
    <definedName name="_6911__FDSAUDITLINK__">{"fdsup://directions/FAT Viewer?action=UPDATE&amp;creator=factset&amp;DYN_ARGS=TRUE&amp;DOC_NAME=FAT:FQL_AUDITING_CLIENT_TEMPLATE.FAT&amp;display_string=Audit&amp;VAR:KEY=PYNIDMFGZE&amp;VAR:QUERY=KFBfUFJJQ0UoNDA2MzApLShGRl9DQVNIX1NUKFFUUiw0MDYzMCkvUF9DT01fU0hTX09VVCg0MDYzMCkpKS9GR","V9FU1RJTUFURSgnRVBTJywnTUVBTicsJ0FOTlVBTF9ST0xMJywnKzEnLDQwNjMwLCwsJycp&amp;WINDOW=FIRST_POPUP&amp;HEIGHT=450&amp;WIDTH=450&amp;START_MAXIMIZED=FALSE&amp;VAR:CALENDAR=US&amp;VAR:SYMBOL=98433210&amp;VAR:INDEX=0"}</definedName>
    <definedName name="_6912__FDSAUDITLINK__">{"fdsup://directions/FAT Viewer?action=UPDATE&amp;creator=factset&amp;DYN_ARGS=TRUE&amp;DOC_NAME=FAT:FQL_AUDITING_CLIENT_TEMPLATE.FAT&amp;display_string=Audit&amp;VAR:KEY=DSTUNYVEPM&amp;VAR:QUERY=KFBfUFJJQ0UoNDA2MjkpLShGRl9DQVNIX1NUKFFUUiw0MDYyOSkvUF9DT01fU0hTX09VVCg0MDYyOSkpKS9GR","V9FU1RJTUFURSgnRVBTJywnTUVBTicsJ0FOTlVBTF9ST0xMJywnKzEnLDQwNjI5LCwsJycp&amp;WINDOW=FIRST_POPUP&amp;HEIGHT=450&amp;WIDTH=450&amp;START_MAXIMIZED=FALSE&amp;VAR:CALENDAR=US&amp;VAR:SYMBOL=98433210&amp;VAR:INDEX=0"}</definedName>
    <definedName name="_6913__FDSAUDITLINK__">{"fdsup://directions/FAT Viewer?action=UPDATE&amp;creator=factset&amp;DYN_ARGS=TRUE&amp;DOC_NAME=FAT:FQL_AUDITING_CLIENT_TEMPLATE.FAT&amp;display_string=Audit&amp;VAR:KEY=DSTUNYVEPM&amp;VAR:QUERY=KFBfUFJJQ0UoNDA2MjkpLShGRl9DQVNIX1NUKFFUUiw0MDYyOSkvUF9DT01fU0hTX09VVCg0MDYyOSkpKS9GR","V9FU1RJTUFURSgnRVBTJywnTUVBTicsJ0FOTlVBTF9ST0xMJywnKzEnLDQwNjI5LCwsJycp&amp;WINDOW=FIRST_POPUP&amp;HEIGHT=450&amp;WIDTH=450&amp;START_MAXIMIZED=FALSE&amp;VAR:CALENDAR=US&amp;VAR:SYMBOL=98433210&amp;VAR:INDEX=0"}</definedName>
    <definedName name="_6914__FDSAUDITLINK__">{"fdsup://directions/FAT Viewer?action=UPDATE&amp;creator=factset&amp;DYN_ARGS=TRUE&amp;DOC_NAME=FAT:FQL_AUDITING_CLIENT_TEMPLATE.FAT&amp;display_string=Audit&amp;VAR:KEY=LQJIVKZQJI&amp;VAR:QUERY=KFBfUFJJQ0UoNDA2MjgpLShGRl9DQVNIX1NUKFFUUiw0MDYyOCkvUF9DT01fU0hTX09VVCg0MDYyOCkpKS9GR","V9FU1RJTUFURSgnRVBTJywnTUVBTicsJ0FOTlVBTF9ST0xMJywnKzEnLDQwNjI4LCwsJycp&amp;WINDOW=FIRST_POPUP&amp;HEIGHT=450&amp;WIDTH=450&amp;START_MAXIMIZED=FALSE&amp;VAR:CALENDAR=US&amp;VAR:SYMBOL=98433210&amp;VAR:INDEX=0"}</definedName>
    <definedName name="_6915__FDSAUDITLINK__">{"fdsup://directions/FAT Viewer?action=UPDATE&amp;creator=factset&amp;DYN_ARGS=TRUE&amp;DOC_NAME=FAT:FQL_AUDITING_CLIENT_TEMPLATE.FAT&amp;display_string=Audit&amp;VAR:KEY=LQJIVKZQJI&amp;VAR:QUERY=KFBfUFJJQ0UoNDA2MjgpLShGRl9DQVNIX1NUKFFUUiw0MDYyOCkvUF9DT01fU0hTX09VVCg0MDYyOCkpKS9GR","V9FU1RJTUFURSgnRVBTJywnTUVBTicsJ0FOTlVBTF9ST0xMJywnKzEnLDQwNjI4LCwsJycp&amp;WINDOW=FIRST_POPUP&amp;HEIGHT=450&amp;WIDTH=450&amp;START_MAXIMIZED=FALSE&amp;VAR:CALENDAR=US&amp;VAR:SYMBOL=98433210&amp;VAR:INDEX=0"}</definedName>
    <definedName name="_6916__FDSAUDITLINK__">{"fdsup://directions/FAT Viewer?action=UPDATE&amp;creator=factset&amp;DYN_ARGS=TRUE&amp;DOC_NAME=FAT:FQL_AUDITING_CLIENT_TEMPLATE.FAT&amp;display_string=Audit&amp;VAR:KEY=NUFONQZERS&amp;VAR:QUERY=KFBfUFJJQ0UoNDA2MjcpLShGRl9DQVNIX1NUKFFUUiw0MDYyNykvUF9DT01fU0hTX09VVCg0MDYyNykpKS9GR","V9FU1RJTUFURSgnRVBTJywnTUVBTicsJ0FOTlVBTF9ST0xMJywnKzEnLDQwNjI3LCwsJycp&amp;WINDOW=FIRST_POPUP&amp;HEIGHT=450&amp;WIDTH=450&amp;START_MAXIMIZED=FALSE&amp;VAR:CALENDAR=US&amp;VAR:SYMBOL=98433210&amp;VAR:INDEX=0"}</definedName>
    <definedName name="_6917__FDSAUDITLINK__">{"fdsup://directions/FAT Viewer?action=UPDATE&amp;creator=factset&amp;DYN_ARGS=TRUE&amp;DOC_NAME=FAT:FQL_AUDITING_CLIENT_TEMPLATE.FAT&amp;display_string=Audit&amp;VAR:KEY=NUFONQZERS&amp;VAR:QUERY=KFBfUFJJQ0UoNDA2MjcpLShGRl9DQVNIX1NUKFFUUiw0MDYyNykvUF9DT01fU0hTX09VVCg0MDYyNykpKS9GR","V9FU1RJTUFURSgnRVBTJywnTUVBTicsJ0FOTlVBTF9ST0xMJywnKzEnLDQwNjI3LCwsJycp&amp;WINDOW=FIRST_POPUP&amp;HEIGHT=450&amp;WIDTH=450&amp;START_MAXIMIZED=FALSE&amp;VAR:CALENDAR=US&amp;VAR:SYMBOL=98433210&amp;VAR:INDEX=0"}</definedName>
    <definedName name="_6918__FDSAUDITLINK__">{"fdsup://directions/FAT Viewer?action=UPDATE&amp;creator=factset&amp;DYN_ARGS=TRUE&amp;DOC_NAME=FAT:FQL_AUDITING_CLIENT_TEMPLATE.FAT&amp;display_string=Audit&amp;VAR:KEY=BATADKLMJM&amp;VAR:QUERY=KFBfUFJJQ0UoNDA2MjYpLShGRl9DQVNIX1NUKFFUUiw0MDYyNikvUF9DT01fU0hTX09VVCg0MDYyNikpKS9GR","V9FU1RJTUFURSgnRVBTJywnTUVBTicsJ0FOTlVBTF9ST0xMJywnKzEnLDQwNjI2LCwsJycp&amp;WINDOW=FIRST_POPUP&amp;HEIGHT=450&amp;WIDTH=450&amp;START_MAXIMIZED=FALSE&amp;VAR:CALENDAR=US&amp;VAR:SYMBOL=98433210&amp;VAR:INDEX=0"}</definedName>
    <definedName name="_6919__FDSAUDITLINK__">{"fdsup://directions/FAT Viewer?action=UPDATE&amp;creator=factset&amp;DYN_ARGS=TRUE&amp;DOC_NAME=FAT:FQL_AUDITING_CLIENT_TEMPLATE.FAT&amp;display_string=Audit&amp;VAR:KEY=BATADKLMJM&amp;VAR:QUERY=KFBfUFJJQ0UoNDA2MjYpLShGRl9DQVNIX1NUKFFUUiw0MDYyNikvUF9DT01fU0hTX09VVCg0MDYyNikpKS9GR","V9FU1RJTUFURSgnRVBTJywnTUVBTicsJ0FOTlVBTF9ST0xMJywnKzEnLDQwNjI2LCwsJycp&amp;WINDOW=FIRST_POPUP&amp;HEIGHT=450&amp;WIDTH=450&amp;START_MAXIMIZED=FALSE&amp;VAR:CALENDAR=US&amp;VAR:SYMBOL=98433210&amp;VAR:INDEX=0"}</definedName>
    <definedName name="_69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1098"}</definedName>
    <definedName name="_6920__FDSAUDITLINK__">{"fdsup://directions/FAT Viewer?action=UPDATE&amp;creator=factset&amp;DYN_ARGS=TRUE&amp;DOC_NAME=FAT:FQL_AUDITING_CLIENT_TEMPLATE.FAT&amp;display_string=Audit&amp;VAR:KEY=PYTMTQRWTA&amp;VAR:QUERY=KFBfUFJJQ0UoNDA2MjUpLShGRl9DQVNIX1NUKFFUUiw0MDYyNSkvUF9DT01fU0hTX09VVCg0MDYyNSkpKS9GR","V9FU1RJTUFURSgnRVBTJywnTUVBTicsJ0FOTlVBTF9ST0xMJywnKzEnLDQwNjI1LCwsJycp&amp;WINDOW=FIRST_POPUP&amp;HEIGHT=450&amp;WIDTH=450&amp;START_MAXIMIZED=FALSE&amp;VAR:CALENDAR=US&amp;VAR:SYMBOL=98433210&amp;VAR:INDEX=0"}</definedName>
    <definedName name="_6921__FDSAUDITLINK__">{"fdsup://directions/FAT Viewer?action=UPDATE&amp;creator=factset&amp;DYN_ARGS=TRUE&amp;DOC_NAME=FAT:FQL_AUDITING_CLIENT_TEMPLATE.FAT&amp;display_string=Audit&amp;VAR:KEY=PYTMTQRWTA&amp;VAR:QUERY=KFBfUFJJQ0UoNDA2MjUpLShGRl9DQVNIX1NUKFFUUiw0MDYyNSkvUF9DT01fU0hTX09VVCg0MDYyNSkpKS9GR","V9FU1RJTUFURSgnRVBTJywnTUVBTicsJ0FOTlVBTF9ST0xMJywnKzEnLDQwNjI1LCwsJycp&amp;WINDOW=FIRST_POPUP&amp;HEIGHT=450&amp;WIDTH=450&amp;START_MAXIMIZED=FALSE&amp;VAR:CALENDAR=US&amp;VAR:SYMBOL=98433210&amp;VAR:INDEX=0"}</definedName>
    <definedName name="_6922__FDSAUDITLINK__">{"fdsup://directions/FAT Viewer?action=UPDATE&amp;creator=factset&amp;DYN_ARGS=TRUE&amp;DOC_NAME=FAT:FQL_AUDITING_CLIENT_TEMPLATE.FAT&amp;display_string=Audit&amp;VAR:KEY=DIPSZWXAXM&amp;VAR:QUERY=KFBfUFJJQ0UoNDA2MjQpLShGRl9DQVNIX1NUKFFUUiw0MDYyNCkvUF9DT01fU0hTX09VVCg0MDYyNCkpKS9GR","V9FU1RJTUFURSgnRVBTJywnTUVBTicsJ0FOTlVBTF9ST0xMJywnKzEnLDQwNjI0LCwsJycp&amp;WINDOW=FIRST_POPUP&amp;HEIGHT=450&amp;WIDTH=450&amp;START_MAXIMIZED=FALSE&amp;VAR:CALENDAR=US&amp;VAR:SYMBOL=98433210&amp;VAR:INDEX=0"}</definedName>
    <definedName name="_6923__FDSAUDITLINK__">{"fdsup://directions/FAT Viewer?action=UPDATE&amp;creator=factset&amp;DYN_ARGS=TRUE&amp;DOC_NAME=FAT:FQL_AUDITING_CLIENT_TEMPLATE.FAT&amp;display_string=Audit&amp;VAR:KEY=DIPSZWXAXM&amp;VAR:QUERY=KFBfUFJJQ0UoNDA2MjQpLShGRl9DQVNIX1NUKFFUUiw0MDYyNCkvUF9DT01fU0hTX09VVCg0MDYyNCkpKS9GR","V9FU1RJTUFURSgnRVBTJywnTUVBTicsJ0FOTlVBTF9ST0xMJywnKzEnLDQwNjI0LCwsJycp&amp;WINDOW=FIRST_POPUP&amp;HEIGHT=450&amp;WIDTH=450&amp;START_MAXIMIZED=FALSE&amp;VAR:CALENDAR=US&amp;VAR:SYMBOL=98433210&amp;VAR:INDEX=0"}</definedName>
    <definedName name="_6924__FDSAUDITLINK__">{"fdsup://directions/FAT Viewer?action=UPDATE&amp;creator=factset&amp;DYN_ARGS=TRUE&amp;DOC_NAME=FAT:FQL_AUDITING_CLIENT_TEMPLATE.FAT&amp;display_string=Audit&amp;VAR:KEY=PAHWVOXMNS&amp;VAR:QUERY=KFBfUFJJQ0UoNDA2MjMpLShGRl9DQVNIX1NUKFFUUiw0MDYyMykvUF9DT01fU0hTX09VVCg0MDYyMykpKS9GR","V9FU1RJTUFURSgnRVBTJywnTUVBTicsJ0FOTlVBTF9ST0xMJywnKzEnLDQwNjIzLCwsJycp&amp;WINDOW=FIRST_POPUP&amp;HEIGHT=450&amp;WIDTH=450&amp;START_MAXIMIZED=FALSE&amp;VAR:CALENDAR=US&amp;VAR:SYMBOL=98433210&amp;VAR:INDEX=0"}</definedName>
    <definedName name="_6925__FDSAUDITLINK__">{"fdsup://directions/FAT Viewer?action=UPDATE&amp;creator=factset&amp;DYN_ARGS=TRUE&amp;DOC_NAME=FAT:FQL_AUDITING_CLIENT_TEMPLATE.FAT&amp;display_string=Audit&amp;VAR:KEY=PAHWVOXMNS&amp;VAR:QUERY=KFBfUFJJQ0UoNDA2MjMpLShGRl9DQVNIX1NUKFFUUiw0MDYyMykvUF9DT01fU0hTX09VVCg0MDYyMykpKS9GR","V9FU1RJTUFURSgnRVBTJywnTUVBTicsJ0FOTlVBTF9ST0xMJywnKzEnLDQwNjIzLCwsJycp&amp;WINDOW=FIRST_POPUP&amp;HEIGHT=450&amp;WIDTH=450&amp;START_MAXIMIZED=FALSE&amp;VAR:CALENDAR=US&amp;VAR:SYMBOL=98433210&amp;VAR:INDEX=0"}</definedName>
    <definedName name="_6926__FDSAUDITLINK__">{"fdsup://directions/FAT Viewer?action=UPDATE&amp;creator=factset&amp;DYN_ARGS=TRUE&amp;DOC_NAME=FAT:FQL_AUDITING_CLIENT_TEMPLATE.FAT&amp;display_string=Audit&amp;VAR:KEY=PGLIPAFQZS&amp;VAR:QUERY=KFBfUFJJQ0UoNDA2MjIpLShGRl9DQVNIX1NUKFFUUiw0MDYyMikvUF9DT01fU0hTX09VVCg0MDYyMikpKS9GR","V9FU1RJTUFURSgnRVBTJywnTUVBTicsJ0FOTlVBTF9ST0xMJywnKzEnLDQwNjIyLCwsJycp&amp;WINDOW=FIRST_POPUP&amp;HEIGHT=450&amp;WIDTH=450&amp;START_MAXIMIZED=FALSE&amp;VAR:CALENDAR=US&amp;VAR:SYMBOL=98433210&amp;VAR:INDEX=0"}</definedName>
    <definedName name="_6927__FDSAUDITLINK__">{"fdsup://directions/FAT Viewer?action=UPDATE&amp;creator=factset&amp;DYN_ARGS=TRUE&amp;DOC_NAME=FAT:FQL_AUDITING_CLIENT_TEMPLATE.FAT&amp;display_string=Audit&amp;VAR:KEY=PGLIPAFQZS&amp;VAR:QUERY=KFBfUFJJQ0UoNDA2MjIpLShGRl9DQVNIX1NUKFFUUiw0MDYyMikvUF9DT01fU0hTX09VVCg0MDYyMikpKS9GR","V9FU1RJTUFURSgnRVBTJywnTUVBTicsJ0FOTlVBTF9ST0xMJywnKzEnLDQwNjIyLCwsJycp&amp;WINDOW=FIRST_POPUP&amp;HEIGHT=450&amp;WIDTH=450&amp;START_MAXIMIZED=FALSE&amp;VAR:CALENDAR=US&amp;VAR:SYMBOL=98433210&amp;VAR:INDEX=0"}</definedName>
    <definedName name="_6928__FDSAUDITLINK__">{"fdsup://directions/FAT Viewer?action=UPDATE&amp;creator=factset&amp;DYN_ARGS=TRUE&amp;DOC_NAME=FAT:FQL_AUDITING_CLIENT_TEMPLATE.FAT&amp;display_string=Audit&amp;VAR:KEY=HOJODUTCJW&amp;VAR:QUERY=KFBfUFJJQ0UoNDA2MjEpLShGRl9DQVNIX1NUKFFUUiw0MDYyMSkvUF9DT01fU0hTX09VVCg0MDYyMSkpKS9GR","V9FU1RJTUFURSgnRVBTJywnTUVBTicsJ0FOTlVBTF9ST0xMJywnKzEnLDQwNjIxLCwsJycp&amp;WINDOW=FIRST_POPUP&amp;HEIGHT=450&amp;WIDTH=450&amp;START_MAXIMIZED=FALSE&amp;VAR:CALENDAR=US&amp;VAR:SYMBOL=98433210&amp;VAR:INDEX=0"}</definedName>
    <definedName name="_6929__FDSAUDITLINK__">{"fdsup://directions/FAT Viewer?action=UPDATE&amp;creator=factset&amp;DYN_ARGS=TRUE&amp;DOC_NAME=FAT:FQL_AUDITING_CLIENT_TEMPLATE.FAT&amp;display_string=Audit&amp;VAR:KEY=HOJODUTCJW&amp;VAR:QUERY=KFBfUFJJQ0UoNDA2MjEpLShGRl9DQVNIX1NUKFFUUiw0MDYyMSkvUF9DT01fU0hTX09VVCg0MDYyMSkpKS9GR","V9FU1RJTUFURSgnRVBTJywnTUVBTicsJ0FOTlVBTF9ST0xMJywnKzEnLDQwNjIxLCwsJycp&amp;WINDOW=FIRST_POPUP&amp;HEIGHT=450&amp;WIDTH=450&amp;START_MAXIMIZED=FALSE&amp;VAR:CALENDAR=US&amp;VAR:SYMBOL=98433210&amp;VAR:INDEX=0"}</definedName>
    <definedName name="_69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1097"}</definedName>
    <definedName name="_6930__FDSAUDITLINK__">{"fdsup://directions/FAT Viewer?action=UPDATE&amp;creator=factset&amp;DYN_ARGS=TRUE&amp;DOC_NAME=FAT:FQL_AUDITING_CLIENT_TEMPLATE.FAT&amp;display_string=Audit&amp;VAR:KEY=BYBWNCXIPW&amp;VAR:QUERY=KFBfUFJJQ0UoNDA2MjApLShGRl9DQVNIX1NUKFFUUiw0MDYyMCkvUF9DT01fU0hTX09VVCg0MDYyMCkpKS9GR","V9FU1RJTUFURSgnRVBTJywnTUVBTicsJ0FOTlVBTF9ST0xMJywnKzEnLDQwNjIwLCwsJycp&amp;WINDOW=FIRST_POPUP&amp;HEIGHT=450&amp;WIDTH=450&amp;START_MAXIMIZED=FALSE&amp;VAR:CALENDAR=US&amp;VAR:SYMBOL=98433210&amp;VAR:INDEX=0"}</definedName>
    <definedName name="_6931__FDSAUDITLINK__">{"fdsup://directions/FAT Viewer?action=UPDATE&amp;creator=factset&amp;DYN_ARGS=TRUE&amp;DOC_NAME=FAT:FQL_AUDITING_CLIENT_TEMPLATE.FAT&amp;display_string=Audit&amp;VAR:KEY=BYBWNCXIPW&amp;VAR:QUERY=KFBfUFJJQ0UoNDA2MjApLShGRl9DQVNIX1NUKFFUUiw0MDYyMCkvUF9DT01fU0hTX09VVCg0MDYyMCkpKS9GR","V9FU1RJTUFURSgnRVBTJywnTUVBTicsJ0FOTlVBTF9ST0xMJywnKzEnLDQwNjIwLCwsJycp&amp;WINDOW=FIRST_POPUP&amp;HEIGHT=450&amp;WIDTH=450&amp;START_MAXIMIZED=FALSE&amp;VAR:CALENDAR=US&amp;VAR:SYMBOL=98433210&amp;VAR:INDEX=0"}</definedName>
    <definedName name="_6932__FDSAUDITLINK__">{"fdsup://directions/FAT Viewer?action=UPDATE&amp;creator=factset&amp;DYN_ARGS=TRUE&amp;DOC_NAME=FAT:FQL_AUDITING_CLIENT_TEMPLATE.FAT&amp;display_string=Audit&amp;VAR:KEY=ZMJGBODMNA&amp;VAR:QUERY=KFBfUFJJQ0UoNDA2MTkpLShGRl9DQVNIX1NUKFFUUiw0MDYxOSkvUF9DT01fU0hTX09VVCg0MDYxOSkpKS9GR","V9FU1RJTUFURSgnRVBTJywnTUVBTicsJ0FOTlVBTF9ST0xMJywnKzEnLDQwNjE5LCwsJycp&amp;WINDOW=FIRST_POPUP&amp;HEIGHT=450&amp;WIDTH=450&amp;START_MAXIMIZED=FALSE&amp;VAR:CALENDAR=US&amp;VAR:SYMBOL=98433210&amp;VAR:INDEX=0"}</definedName>
    <definedName name="_6933__FDSAUDITLINK__">{"fdsup://directions/FAT Viewer?action=UPDATE&amp;creator=factset&amp;DYN_ARGS=TRUE&amp;DOC_NAME=FAT:FQL_AUDITING_CLIENT_TEMPLATE.FAT&amp;display_string=Audit&amp;VAR:KEY=ZMJGBODMNA&amp;VAR:QUERY=KFBfUFJJQ0UoNDA2MTkpLShGRl9DQVNIX1NUKFFUUiw0MDYxOSkvUF9DT01fU0hTX09VVCg0MDYxOSkpKS9GR","V9FU1RJTUFURSgnRVBTJywnTUVBTicsJ0FOTlVBTF9ST0xMJywnKzEnLDQwNjE5LCwsJycp&amp;WINDOW=FIRST_POPUP&amp;HEIGHT=450&amp;WIDTH=450&amp;START_MAXIMIZED=FALSE&amp;VAR:CALENDAR=US&amp;VAR:SYMBOL=98433210&amp;VAR:INDEX=0"}</definedName>
    <definedName name="_6934__FDSAUDITLINK__">{"fdsup://directions/FAT Viewer?action=UPDATE&amp;creator=factset&amp;DYN_ARGS=TRUE&amp;DOC_NAME=FAT:FQL_AUDITING_CLIENT_TEMPLATE.FAT&amp;display_string=Audit&amp;VAR:KEY=HYPUDCBOTK&amp;VAR:QUERY=KFBfUFJJQ0UoNDA2MTgpLShGRl9DQVNIX1NUKFFUUiw0MDYxOCkvUF9DT01fU0hTX09VVCg0MDYxOCkpKS9GR","V9FU1RJTUFURSgnRVBTJywnTUVBTicsJ0FOTlVBTF9ST0xMJywnKzEnLDQwNjE4LCwsJycp&amp;WINDOW=FIRST_POPUP&amp;HEIGHT=450&amp;WIDTH=450&amp;START_MAXIMIZED=FALSE&amp;VAR:CALENDAR=US&amp;VAR:SYMBOL=98433210&amp;VAR:INDEX=0"}</definedName>
    <definedName name="_6935__FDSAUDITLINK__">{"fdsup://directions/FAT Viewer?action=UPDATE&amp;creator=factset&amp;DYN_ARGS=TRUE&amp;DOC_NAME=FAT:FQL_AUDITING_CLIENT_TEMPLATE.FAT&amp;display_string=Audit&amp;VAR:KEY=HYPUDCBOTK&amp;VAR:QUERY=KFBfUFJJQ0UoNDA2MTgpLShGRl9DQVNIX1NUKFFUUiw0MDYxOCkvUF9DT01fU0hTX09VVCg0MDYxOCkpKS9GR","V9FU1RJTUFURSgnRVBTJywnTUVBTicsJ0FOTlVBTF9ST0xMJywnKzEnLDQwNjE4LCwsJycp&amp;WINDOW=FIRST_POPUP&amp;HEIGHT=450&amp;WIDTH=450&amp;START_MAXIMIZED=FALSE&amp;VAR:CALENDAR=US&amp;VAR:SYMBOL=98433210&amp;VAR:INDEX=0"}</definedName>
    <definedName name="_6936__FDSAUDITLINK__">{"fdsup://directions/FAT Viewer?action=UPDATE&amp;creator=factset&amp;DYN_ARGS=TRUE&amp;DOC_NAME=FAT:FQL_AUDITING_CLIENT_TEMPLATE.FAT&amp;display_string=Audit&amp;VAR:KEY=LMBQZGLWXI&amp;VAR:QUERY=KFBfUFJJQ0UoNDA2MTcpLShGRl9DQVNIX1NUKFFUUiw0MDYxNykvUF9DT01fU0hTX09VVCg0MDYxNykpKS9GR","V9FU1RJTUFURSgnRVBTJywnTUVBTicsJ0FOTlVBTF9ST0xMJywnKzEnLDQwNjE3LCwsJycp&amp;WINDOW=FIRST_POPUP&amp;HEIGHT=450&amp;WIDTH=450&amp;START_MAXIMIZED=FALSE&amp;VAR:CALENDAR=US&amp;VAR:SYMBOL=98433210&amp;VAR:INDEX=0"}</definedName>
    <definedName name="_6937__FDSAUDITLINK__">{"fdsup://directions/FAT Viewer?action=UPDATE&amp;creator=factset&amp;DYN_ARGS=TRUE&amp;DOC_NAME=FAT:FQL_AUDITING_CLIENT_TEMPLATE.FAT&amp;display_string=Audit&amp;VAR:KEY=LMBQZGLWXI&amp;VAR:QUERY=KFBfUFJJQ0UoNDA2MTcpLShGRl9DQVNIX1NUKFFUUiw0MDYxNykvUF9DT01fU0hTX09VVCg0MDYxNykpKS9GR","V9FU1RJTUFURSgnRVBTJywnTUVBTicsJ0FOTlVBTF9ST0xMJywnKzEnLDQwNjE3LCwsJycp&amp;WINDOW=FIRST_POPUP&amp;HEIGHT=450&amp;WIDTH=450&amp;START_MAXIMIZED=FALSE&amp;VAR:CALENDAR=US&amp;VAR:SYMBOL=98433210&amp;VAR:INDEX=0"}</definedName>
    <definedName name="_6938__FDSAUDITLINK__">{"fdsup://directions/FAT Viewer?action=UPDATE&amp;creator=factset&amp;DYN_ARGS=TRUE&amp;DOC_NAME=FAT:FQL_AUDITING_CLIENT_TEMPLATE.FAT&amp;display_string=Audit&amp;VAR:KEY=FYREXOTIZG&amp;VAR:QUERY=KFBfUFJJQ0UoNDA2MTYpLShGRl9DQVNIX1NUKFFUUiw0MDYxNikvUF9DT01fU0hTX09VVCg0MDYxNikpKS9GR","V9FU1RJTUFURSgnRVBTJywnTUVBTicsJ0FOTlVBTF9ST0xMJywnKzEnLDQwNjE2LCwsJycp&amp;WINDOW=FIRST_POPUP&amp;HEIGHT=450&amp;WIDTH=450&amp;START_MAXIMIZED=FALSE&amp;VAR:CALENDAR=US&amp;VAR:SYMBOL=98433210&amp;VAR:INDEX=0"}</definedName>
    <definedName name="_6939__FDSAUDITLINK__">{"fdsup://directions/FAT Viewer?action=UPDATE&amp;creator=factset&amp;DYN_ARGS=TRUE&amp;DOC_NAME=FAT:FQL_AUDITING_CLIENT_TEMPLATE.FAT&amp;display_string=Audit&amp;VAR:KEY=FYREXOTIZG&amp;VAR:QUERY=KFBfUFJJQ0UoNDA2MTYpLShGRl9DQVNIX1NUKFFUUiw0MDYxNikvUF9DT01fU0hTX09VVCg0MDYxNikpKS9GR","V9FU1RJTUFURSgnRVBTJywnTUVBTicsJ0FOTlVBTF9ST0xMJywnKzEnLDQwNjE2LCwsJycp&amp;WINDOW=FIRST_POPUP&amp;HEIGHT=450&amp;WIDTH=450&amp;START_MAXIMIZED=FALSE&amp;VAR:CALENDAR=US&amp;VAR:SYMBOL=98433210&amp;VAR:INDEX=0"}</definedName>
    <definedName name="_69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1096"}</definedName>
    <definedName name="_6940__FDSAUDITLINK__">{"fdsup://directions/FAT Viewer?action=UPDATE&amp;creator=factset&amp;DYN_ARGS=TRUE&amp;DOC_NAME=FAT:FQL_AUDITING_CLIENT_TEMPLATE.FAT&amp;display_string=Audit&amp;VAR:KEY=ZOTKPMFWLE&amp;VAR:QUERY=KFBfUFJJQ0UoNDA2MTUpLShGRl9DQVNIX1NUKFFUUiw0MDYxNSkvUF9DT01fU0hTX09VVCg0MDYxNSkpKS9GR","V9FU1RJTUFURSgnRVBTJywnTUVBTicsJ0FOTlVBTF9ST0xMJywnKzEnLDQwNjE1LCwsJycp&amp;WINDOW=FIRST_POPUP&amp;HEIGHT=450&amp;WIDTH=450&amp;START_MAXIMIZED=FALSE&amp;VAR:CALENDAR=US&amp;VAR:SYMBOL=98433210&amp;VAR:INDEX=0"}</definedName>
    <definedName name="_6941__FDSAUDITLINK__">{"fdsup://directions/FAT Viewer?action=UPDATE&amp;creator=factset&amp;DYN_ARGS=TRUE&amp;DOC_NAME=FAT:FQL_AUDITING_CLIENT_TEMPLATE.FAT&amp;display_string=Audit&amp;VAR:KEY=ZOTKPMFWLE&amp;VAR:QUERY=KFBfUFJJQ0UoNDA2MTUpLShGRl9DQVNIX1NUKFFUUiw0MDYxNSkvUF9DT01fU0hTX09VVCg0MDYxNSkpKS9GR","V9FU1RJTUFURSgnRVBTJywnTUVBTicsJ0FOTlVBTF9ST0xMJywnKzEnLDQwNjE1LCwsJycp&amp;WINDOW=FIRST_POPUP&amp;HEIGHT=450&amp;WIDTH=450&amp;START_MAXIMIZED=FALSE&amp;VAR:CALENDAR=US&amp;VAR:SYMBOL=98433210&amp;VAR:INDEX=0"}</definedName>
    <definedName name="_6942__FDSAUDITLINK__">{"fdsup://directions/FAT Viewer?action=UPDATE&amp;creator=factset&amp;DYN_ARGS=TRUE&amp;DOC_NAME=FAT:FQL_AUDITING_CLIENT_TEMPLATE.FAT&amp;display_string=Audit&amp;VAR:KEY=BADMJMJGZY&amp;VAR:QUERY=KFBfUFJJQ0UoNDA2MTQpLShGRl9DQVNIX1NUKFFUUiw0MDYxNCkvUF9DT01fU0hTX09VVCg0MDYxNCkpKS9GR","V9FU1RJTUFURSgnRVBTJywnTUVBTicsJ0FOTlVBTF9ST0xMJywnKzEnLDQwNjE0LCwsJycp&amp;WINDOW=FIRST_POPUP&amp;HEIGHT=450&amp;WIDTH=450&amp;START_MAXIMIZED=FALSE&amp;VAR:CALENDAR=US&amp;VAR:SYMBOL=98433210&amp;VAR:INDEX=0"}</definedName>
    <definedName name="_6943__FDSAUDITLINK__">{"fdsup://directions/FAT Viewer?action=UPDATE&amp;creator=factset&amp;DYN_ARGS=TRUE&amp;DOC_NAME=FAT:FQL_AUDITING_CLIENT_TEMPLATE.FAT&amp;display_string=Audit&amp;VAR:KEY=BADMJMJGZY&amp;VAR:QUERY=KFBfUFJJQ0UoNDA2MTQpLShGRl9DQVNIX1NUKFFUUiw0MDYxNCkvUF9DT01fU0hTX09VVCg0MDYxNCkpKS9GR","V9FU1RJTUFURSgnRVBTJywnTUVBTicsJ0FOTlVBTF9ST0xMJywnKzEnLDQwNjE0LCwsJycp&amp;WINDOW=FIRST_POPUP&amp;HEIGHT=450&amp;WIDTH=450&amp;START_MAXIMIZED=FALSE&amp;VAR:CALENDAR=US&amp;VAR:SYMBOL=98433210&amp;VAR:INDEX=0"}</definedName>
    <definedName name="_6944__FDSAUDITLINK__">{"fdsup://directions/FAT Viewer?action=UPDATE&amp;creator=factset&amp;DYN_ARGS=TRUE&amp;DOC_NAME=FAT:FQL_AUDITING_CLIENT_TEMPLATE.FAT&amp;display_string=Audit&amp;VAR:KEY=FMRITUJETM&amp;VAR:QUERY=KFBfUFJJQ0UoNDA2MTMpLShGRl9DQVNIX1NUKFFUUiw0MDYxMykvUF9DT01fU0hTX09VVCg0MDYxMykpKS9GR","V9FU1RJTUFURSgnRVBTJywnTUVBTicsJ0FOTlVBTF9ST0xMJywnKzEnLDQwNjEzLCwsJycp&amp;WINDOW=FIRST_POPUP&amp;HEIGHT=450&amp;WIDTH=450&amp;START_MAXIMIZED=FALSE&amp;VAR:CALENDAR=US&amp;VAR:SYMBOL=98433210&amp;VAR:INDEX=0"}</definedName>
    <definedName name="_6945__FDSAUDITLINK__">{"fdsup://directions/FAT Viewer?action=UPDATE&amp;creator=factset&amp;DYN_ARGS=TRUE&amp;DOC_NAME=FAT:FQL_AUDITING_CLIENT_TEMPLATE.FAT&amp;display_string=Audit&amp;VAR:KEY=FMRITUJETM&amp;VAR:QUERY=KFBfUFJJQ0UoNDA2MTMpLShGRl9DQVNIX1NUKFFUUiw0MDYxMykvUF9DT01fU0hTX09VVCg0MDYxMykpKS9GR","V9FU1RJTUFURSgnRVBTJywnTUVBTicsJ0FOTlVBTF9ST0xMJywnKzEnLDQwNjEzLCwsJycp&amp;WINDOW=FIRST_POPUP&amp;HEIGHT=450&amp;WIDTH=450&amp;START_MAXIMIZED=FALSE&amp;VAR:CALENDAR=US&amp;VAR:SYMBOL=98433210&amp;VAR:INDEX=0"}</definedName>
    <definedName name="_6946__FDSAUDITLINK__">{"fdsup://directions/FAT Viewer?action=UPDATE&amp;creator=factset&amp;DYN_ARGS=TRUE&amp;DOC_NAME=FAT:FQL_AUDITING_CLIENT_TEMPLATE.FAT&amp;display_string=Audit&amp;VAR:KEY=NWJSVWFKFM&amp;VAR:QUERY=KFBfUFJJQ0UoNDA2MTIpLShGRl9DQVNIX1NUKFFUUiw0MDYxMikvUF9DT01fU0hTX09VVCg0MDYxMikpKS9GR","V9FU1RJTUFURSgnRVBTJywnTUVBTicsJ0FOTlVBTF9ST0xMJywnKzEnLDQwNjEyLCwsJycp&amp;WINDOW=FIRST_POPUP&amp;HEIGHT=450&amp;WIDTH=450&amp;START_MAXIMIZED=FALSE&amp;VAR:CALENDAR=US&amp;VAR:SYMBOL=98433210&amp;VAR:INDEX=0"}</definedName>
    <definedName name="_6947__FDSAUDITLINK__">{"fdsup://directions/FAT Viewer?action=UPDATE&amp;creator=factset&amp;DYN_ARGS=TRUE&amp;DOC_NAME=FAT:FQL_AUDITING_CLIENT_TEMPLATE.FAT&amp;display_string=Audit&amp;VAR:KEY=NWJSVWFKFM&amp;VAR:QUERY=KFBfUFJJQ0UoNDA2MTIpLShGRl9DQVNIX1NUKFFUUiw0MDYxMikvUF9DT01fU0hTX09VVCg0MDYxMikpKS9GR","V9FU1RJTUFURSgnRVBTJywnTUVBTicsJ0FOTlVBTF9ST0xMJywnKzEnLDQwNjEyLCwsJycp&amp;WINDOW=FIRST_POPUP&amp;HEIGHT=450&amp;WIDTH=450&amp;START_MAXIMIZED=FALSE&amp;VAR:CALENDAR=US&amp;VAR:SYMBOL=98433210&amp;VAR:INDEX=0"}</definedName>
    <definedName name="_6948__FDSAUDITLINK__">{"fdsup://directions/FAT Viewer?action=UPDATE&amp;creator=factset&amp;DYN_ARGS=TRUE&amp;DOC_NAME=FAT:FQL_AUDITING_CLIENT_TEMPLATE.FAT&amp;display_string=Audit&amp;VAR:KEY=VYNMVGJCZC&amp;VAR:QUERY=KFBfUFJJQ0UoNDA2MTEpLShGRl9DQVNIX1NUKFFUUiw0MDYxMSkvUF9DT01fU0hTX09VVCg0MDYxMSkpKS9GR","V9FU1RJTUFURSgnRVBTJywnTUVBTicsJ0FOTlVBTF9ST0xMJywnKzEnLDQwNjExLCwsJycp&amp;WINDOW=FIRST_POPUP&amp;HEIGHT=450&amp;WIDTH=450&amp;START_MAXIMIZED=FALSE&amp;VAR:CALENDAR=US&amp;VAR:SYMBOL=98433210&amp;VAR:INDEX=0"}</definedName>
    <definedName name="_6949__FDSAUDITLINK__">{"fdsup://directions/FAT Viewer?action=UPDATE&amp;creator=factset&amp;DYN_ARGS=TRUE&amp;DOC_NAME=FAT:FQL_AUDITING_CLIENT_TEMPLATE.FAT&amp;display_string=Audit&amp;VAR:KEY=VYNMVGJCZC&amp;VAR:QUERY=KFBfUFJJQ0UoNDA2MTEpLShGRl9DQVNIX1NUKFFUUiw0MDYxMSkvUF9DT01fU0hTX09VVCg0MDYxMSkpKS9GR","V9FU1RJTUFURSgnRVBTJywnTUVBTicsJ0FOTlVBTF9ST0xMJywnKzEnLDQwNjExLCwsJycp&amp;WINDOW=FIRST_POPUP&amp;HEIGHT=450&amp;WIDTH=450&amp;START_MAXIMIZED=FALSE&amp;VAR:CALENDAR=US&amp;VAR:SYMBOL=98433210&amp;VAR:INDEX=0"}</definedName>
    <definedName name="_69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1095"}</definedName>
    <definedName name="_6950__FDSAUDITLINK__">{"fdsup://directions/FAT Viewer?action=UPDATE&amp;creator=factset&amp;DYN_ARGS=TRUE&amp;DOC_NAME=FAT:FQL_AUDITING_CLIENT_TEMPLATE.FAT&amp;display_string=Audit&amp;VAR:KEY=JIDOBYPADQ&amp;VAR:QUERY=KFBfUFJJQ0UoNDA2MTApLShGRl9DQVNIX1NUKFFUUiw0MDYxMCkvUF9DT01fU0hTX09VVCg0MDYxMCkpKS9GR","V9FU1RJTUFURSgnRVBTJywnTUVBTicsJ0FOTlVBTF9ST0xMJywnKzEnLDQwNjEwLCwsJycp&amp;WINDOW=FIRST_POPUP&amp;HEIGHT=450&amp;WIDTH=450&amp;START_MAXIMIZED=FALSE&amp;VAR:CALENDAR=US&amp;VAR:SYMBOL=98433210&amp;VAR:INDEX=0"}</definedName>
    <definedName name="_6951__FDSAUDITLINK__">{"fdsup://directions/FAT Viewer?action=UPDATE&amp;creator=factset&amp;DYN_ARGS=TRUE&amp;DOC_NAME=FAT:FQL_AUDITING_CLIENT_TEMPLATE.FAT&amp;display_string=Audit&amp;VAR:KEY=JIDOBYPADQ&amp;VAR:QUERY=KFBfUFJJQ0UoNDA2MTApLShGRl9DQVNIX1NUKFFUUiw0MDYxMCkvUF9DT01fU0hTX09VVCg0MDYxMCkpKS9GR","V9FU1RJTUFURSgnRVBTJywnTUVBTicsJ0FOTlVBTF9ST0xMJywnKzEnLDQwNjEwLCwsJycp&amp;WINDOW=FIRST_POPUP&amp;HEIGHT=450&amp;WIDTH=450&amp;START_MAXIMIZED=FALSE&amp;VAR:CALENDAR=US&amp;VAR:SYMBOL=98433210&amp;VAR:INDEX=0"}</definedName>
    <definedName name="_6952__FDSAUDITLINK__">{"fdsup://directions/FAT Viewer?action=UPDATE&amp;creator=factset&amp;DYN_ARGS=TRUE&amp;DOC_NAME=FAT:FQL_AUDITING_CLIENT_TEMPLATE.FAT&amp;display_string=Audit&amp;VAR:KEY=LOPWPQLYTE&amp;VAR:QUERY=KFBfUFJJQ0UoNDA2MDkpLShGRl9DQVNIX1NUKFFUUiw0MDYwOSkvUF9DT01fU0hTX09VVCg0MDYwOSkpKS9GR","V9FU1RJTUFURSgnRVBTJywnTUVBTicsJ0FOTlVBTF9ST0xMJywnKzEnLDQwNjA5LCwsJycp&amp;WINDOW=FIRST_POPUP&amp;HEIGHT=450&amp;WIDTH=450&amp;START_MAXIMIZED=FALSE&amp;VAR:CALENDAR=US&amp;VAR:SYMBOL=98433210&amp;VAR:INDEX=0"}</definedName>
    <definedName name="_6953__FDSAUDITLINK__">{"fdsup://directions/FAT Viewer?action=UPDATE&amp;creator=factset&amp;DYN_ARGS=TRUE&amp;DOC_NAME=FAT:FQL_AUDITING_CLIENT_TEMPLATE.FAT&amp;display_string=Audit&amp;VAR:KEY=LOPWPQLYTE&amp;VAR:QUERY=KFBfUFJJQ0UoNDA2MDkpLShGRl9DQVNIX1NUKFFUUiw0MDYwOSkvUF9DT01fU0hTX09VVCg0MDYwOSkpKS9GR","V9FU1RJTUFURSgnRVBTJywnTUVBTicsJ0FOTlVBTF9ST0xMJywnKzEnLDQwNjA5LCwsJycp&amp;WINDOW=FIRST_POPUP&amp;HEIGHT=450&amp;WIDTH=450&amp;START_MAXIMIZED=FALSE&amp;VAR:CALENDAR=US&amp;VAR:SYMBOL=98433210&amp;VAR:INDEX=0"}</definedName>
    <definedName name="_6954__FDSAUDITLINK__">{"fdsup://directions/FAT Viewer?action=UPDATE&amp;creator=factset&amp;DYN_ARGS=TRUE&amp;DOC_NAME=FAT:FQL_AUDITING_CLIENT_TEMPLATE.FAT&amp;display_string=Audit&amp;VAR:KEY=RCTALKBEZK&amp;VAR:QUERY=KFBfUFJJQ0UoNDA2MDgpLShGRl9DQVNIX1NUKFFUUiw0MDYwOCkvUF9DT01fU0hTX09VVCg0MDYwOCkpKS9GR","V9FU1RJTUFURSgnRVBTJywnTUVBTicsJ0FOTlVBTF9ST0xMJywnKzEnLDQwNjA4LCwsJycp&amp;WINDOW=FIRST_POPUP&amp;HEIGHT=450&amp;WIDTH=450&amp;START_MAXIMIZED=FALSE&amp;VAR:CALENDAR=US&amp;VAR:SYMBOL=98433210&amp;VAR:INDEX=0"}</definedName>
    <definedName name="_6955__FDSAUDITLINK__">{"fdsup://directions/FAT Viewer?action=UPDATE&amp;creator=factset&amp;DYN_ARGS=TRUE&amp;DOC_NAME=FAT:FQL_AUDITING_CLIENT_TEMPLATE.FAT&amp;display_string=Audit&amp;VAR:KEY=RCTALKBEZK&amp;VAR:QUERY=KFBfUFJJQ0UoNDA2MDgpLShGRl9DQVNIX1NUKFFUUiw0MDYwOCkvUF9DT01fU0hTX09VVCg0MDYwOCkpKS9GR","V9FU1RJTUFURSgnRVBTJywnTUVBTicsJ0FOTlVBTF9ST0xMJywnKzEnLDQwNjA4LCwsJycp&amp;WINDOW=FIRST_POPUP&amp;HEIGHT=450&amp;WIDTH=450&amp;START_MAXIMIZED=FALSE&amp;VAR:CALENDAR=US&amp;VAR:SYMBOL=98433210&amp;VAR:INDEX=0"}</definedName>
    <definedName name="_6956__FDSAUDITLINK__">{"fdsup://directions/FAT Viewer?action=UPDATE&amp;creator=factset&amp;DYN_ARGS=TRUE&amp;DOC_NAME=FAT:FQL_AUDITING_CLIENT_TEMPLATE.FAT&amp;display_string=Audit&amp;VAR:KEY=HYBGHUDQXS&amp;VAR:QUERY=KFBfUFJJQ0UoNDA2MDcpLShGRl9DQVNIX1NUKFFUUiw0MDYwNykvUF9DT01fU0hTX09VVCg0MDYwNykpKS9GR","V9FU1RJTUFURSgnRVBTJywnTUVBTicsJ0FOTlVBTF9ST0xMJywnKzEnLDQwNjA3LCwsJycp&amp;WINDOW=FIRST_POPUP&amp;HEIGHT=450&amp;WIDTH=450&amp;START_MAXIMIZED=FALSE&amp;VAR:CALENDAR=US&amp;VAR:SYMBOL=98433210&amp;VAR:INDEX=0"}</definedName>
    <definedName name="_6957__FDSAUDITLINK__">{"fdsup://directions/FAT Viewer?action=UPDATE&amp;creator=factset&amp;DYN_ARGS=TRUE&amp;DOC_NAME=FAT:FQL_AUDITING_CLIENT_TEMPLATE.FAT&amp;display_string=Audit&amp;VAR:KEY=HYBGHUDQXS&amp;VAR:QUERY=KFBfUFJJQ0UoNDA2MDcpLShGRl9DQVNIX1NUKFFUUiw0MDYwNykvUF9DT01fU0hTX09VVCg0MDYwNykpKS9GR","V9FU1RJTUFURSgnRVBTJywnTUVBTicsJ0FOTlVBTF9ST0xMJywnKzEnLDQwNjA3LCwsJycp&amp;WINDOW=FIRST_POPUP&amp;HEIGHT=450&amp;WIDTH=450&amp;START_MAXIMIZED=FALSE&amp;VAR:CALENDAR=US&amp;VAR:SYMBOL=98433210&amp;VAR:INDEX=0"}</definedName>
    <definedName name="_6958__FDSAUDITLINK__">{"fdsup://directions/FAT Viewer?action=UPDATE&amp;creator=factset&amp;DYN_ARGS=TRUE&amp;DOC_NAME=FAT:FQL_AUDITING_CLIENT_TEMPLATE.FAT&amp;display_string=Audit&amp;VAR:KEY=DOPSBKXWPA&amp;VAR:QUERY=KFBfUFJJQ0UoNDA2MDYpLShGRl9DQVNIX1NUKFFUUiw0MDYwNikvUF9DT01fU0hTX09VVCg0MDYwNikpKS9GR","V9FU1RJTUFURSgnRVBTJywnTUVBTicsJ0FOTlVBTF9ST0xMJywnKzEnLDQwNjA2LCwsJycp&amp;WINDOW=FIRST_POPUP&amp;HEIGHT=450&amp;WIDTH=450&amp;START_MAXIMIZED=FALSE&amp;VAR:CALENDAR=US&amp;VAR:SYMBOL=98433210&amp;VAR:INDEX=0"}</definedName>
    <definedName name="_6959__FDSAUDITLINK__">{"fdsup://directions/FAT Viewer?action=UPDATE&amp;creator=factset&amp;DYN_ARGS=TRUE&amp;DOC_NAME=FAT:FQL_AUDITING_CLIENT_TEMPLATE.FAT&amp;display_string=Audit&amp;VAR:KEY=DOPSBKXWPA&amp;VAR:QUERY=KFBfUFJJQ0UoNDA2MDYpLShGRl9DQVNIX1NUKFFUUiw0MDYwNikvUF9DT01fU0hTX09VVCg0MDYwNikpKS9GR","V9FU1RJTUFURSgnRVBTJywnTUVBTicsJ0FOTlVBTF9ST0xMJywnKzEnLDQwNjA2LCwsJycp&amp;WINDOW=FIRST_POPUP&amp;HEIGHT=450&amp;WIDTH=450&amp;START_MAXIMIZED=FALSE&amp;VAR:CALENDAR=US&amp;VAR:SYMBOL=98433210&amp;VAR:INDEX=0"}</definedName>
    <definedName name="_69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1094"}</definedName>
    <definedName name="_6960__FDSAUDITLINK__">{"fdsup://directions/FAT Viewer?action=UPDATE&amp;creator=factset&amp;DYN_ARGS=TRUE&amp;DOC_NAME=FAT:FQL_AUDITING_CLIENT_TEMPLATE.FAT&amp;display_string=Audit&amp;VAR:KEY=LETQNKNIHI&amp;VAR:QUERY=KFBfUFJJQ0UoNDA2MDUpLShGRl9DQVNIX1NUKFFUUiw0MDYwNSkvUF9DT01fU0hTX09VVCg0MDYwNSkpKS9GR","V9FU1RJTUFURSgnRVBTJywnTUVBTicsJ0FOTlVBTF9ST0xMJywnKzEnLDQwNjA1LCwsJycp&amp;WINDOW=FIRST_POPUP&amp;HEIGHT=450&amp;WIDTH=450&amp;START_MAXIMIZED=FALSE&amp;VAR:CALENDAR=US&amp;VAR:SYMBOL=98433210&amp;VAR:INDEX=0"}</definedName>
    <definedName name="_6961__FDSAUDITLINK__">{"fdsup://directions/FAT Viewer?action=UPDATE&amp;creator=factset&amp;DYN_ARGS=TRUE&amp;DOC_NAME=FAT:FQL_AUDITING_CLIENT_TEMPLATE.FAT&amp;display_string=Audit&amp;VAR:KEY=LETQNKNIHI&amp;VAR:QUERY=KFBfUFJJQ0UoNDA2MDUpLShGRl9DQVNIX1NUKFFUUiw0MDYwNSkvUF9DT01fU0hTX09VVCg0MDYwNSkpKS9GR","V9FU1RJTUFURSgnRVBTJywnTUVBTicsJ0FOTlVBTF9ST0xMJywnKzEnLDQwNjA1LCwsJycp&amp;WINDOW=FIRST_POPUP&amp;HEIGHT=450&amp;WIDTH=450&amp;START_MAXIMIZED=FALSE&amp;VAR:CALENDAR=US&amp;VAR:SYMBOL=98433210&amp;VAR:INDEX=0"}</definedName>
    <definedName name="_6962__FDSAUDITLINK__">{"fdsup://directions/FAT Viewer?action=UPDATE&amp;creator=factset&amp;DYN_ARGS=TRUE&amp;DOC_NAME=FAT:FQL_AUDITING_CLIENT_TEMPLATE.FAT&amp;display_string=Audit&amp;VAR:KEY=DKNONUHEHK&amp;VAR:QUERY=KFBfUFJJQ0UoNDA2MDQpLShGRl9DQVNIX1NUKFFUUiw0MDYwNCkvUF9DT01fU0hTX09VVCg0MDYwNCkpKS9GR","V9FU1RJTUFURSgnRVBTJywnTUVBTicsJ0FOTlVBTF9ST0xMJywnKzEnLDQwNjA0LCwsJycp&amp;WINDOW=FIRST_POPUP&amp;HEIGHT=450&amp;WIDTH=450&amp;START_MAXIMIZED=FALSE&amp;VAR:CALENDAR=US&amp;VAR:SYMBOL=98433210&amp;VAR:INDEX=0"}</definedName>
    <definedName name="_6963__FDSAUDITLINK__">{"fdsup://directions/FAT Viewer?action=UPDATE&amp;creator=factset&amp;DYN_ARGS=TRUE&amp;DOC_NAME=FAT:FQL_AUDITING_CLIENT_TEMPLATE.FAT&amp;display_string=Audit&amp;VAR:KEY=DKNONUHEHK&amp;VAR:QUERY=KFBfUFJJQ0UoNDA2MDQpLShGRl9DQVNIX1NUKFFUUiw0MDYwNCkvUF9DT01fU0hTX09VVCg0MDYwNCkpKS9GR","V9FU1RJTUFURSgnRVBTJywnTUVBTicsJ0FOTlVBTF9ST0xMJywnKzEnLDQwNjA0LCwsJycp&amp;WINDOW=FIRST_POPUP&amp;HEIGHT=450&amp;WIDTH=450&amp;START_MAXIMIZED=FALSE&amp;VAR:CALENDAR=US&amp;VAR:SYMBOL=98433210&amp;VAR:INDEX=0"}</definedName>
    <definedName name="_6964__FDSAUDITLINK__">{"fdsup://directions/FAT Viewer?action=UPDATE&amp;creator=factset&amp;DYN_ARGS=TRUE&amp;DOC_NAME=FAT:FQL_AUDITING_CLIENT_TEMPLATE.FAT&amp;display_string=Audit&amp;VAR:KEY=DOXYDOFQLK&amp;VAR:QUERY=KFBfUFJJQ0UoNDA2MDMpLShGRl9DQVNIX1NUKFFUUiw0MDYwMykvUF9DT01fU0hTX09VVCg0MDYwMykpKS9GR","V9FU1RJTUFURSgnRVBTJywnTUVBTicsJ0FOTlVBTF9ST0xMJywnKzEnLDQwNjAzLCwsJycp&amp;WINDOW=FIRST_POPUP&amp;HEIGHT=450&amp;WIDTH=450&amp;START_MAXIMIZED=FALSE&amp;VAR:CALENDAR=US&amp;VAR:SYMBOL=98433210&amp;VAR:INDEX=0"}</definedName>
    <definedName name="_6965__FDSAUDITLINK__">{"fdsup://directions/FAT Viewer?action=UPDATE&amp;creator=factset&amp;DYN_ARGS=TRUE&amp;DOC_NAME=FAT:FQL_AUDITING_CLIENT_TEMPLATE.FAT&amp;display_string=Audit&amp;VAR:KEY=DOXYDOFQLK&amp;VAR:QUERY=KFBfUFJJQ0UoNDA2MDMpLShGRl9DQVNIX1NUKFFUUiw0MDYwMykvUF9DT01fU0hTX09VVCg0MDYwMykpKS9GR","V9FU1RJTUFURSgnRVBTJywnTUVBTicsJ0FOTlVBTF9ST0xMJywnKzEnLDQwNjAzLCwsJycp&amp;WINDOW=FIRST_POPUP&amp;HEIGHT=450&amp;WIDTH=450&amp;START_MAXIMIZED=FALSE&amp;VAR:CALENDAR=US&amp;VAR:SYMBOL=98433210&amp;VAR:INDEX=0"}</definedName>
    <definedName name="_6966__FDSAUDITLINK__">{"fdsup://directions/FAT Viewer?action=UPDATE&amp;creator=factset&amp;DYN_ARGS=TRUE&amp;DOC_NAME=FAT:FQL_AUDITING_CLIENT_TEMPLATE.FAT&amp;display_string=Audit&amp;VAR:KEY=JSNSRCFKTK&amp;VAR:QUERY=KFBfUFJJQ0UoNDA2MDIpLShGRl9DQVNIX1NUKFFUUiw0MDYwMikvUF9DT01fU0hTX09VVCg0MDYwMikpKS9GR","V9FU1RJTUFURSgnRVBTJywnTUVBTicsJ0FOTlVBTF9ST0xMJywnKzEnLDQwNjAyLCwsJycp&amp;WINDOW=FIRST_POPUP&amp;HEIGHT=450&amp;WIDTH=450&amp;START_MAXIMIZED=FALSE&amp;VAR:CALENDAR=US&amp;VAR:SYMBOL=98433210&amp;VAR:INDEX=0"}</definedName>
    <definedName name="_6967__FDSAUDITLINK__">{"fdsup://directions/FAT Viewer?action=UPDATE&amp;creator=factset&amp;DYN_ARGS=TRUE&amp;DOC_NAME=FAT:FQL_AUDITING_CLIENT_TEMPLATE.FAT&amp;display_string=Audit&amp;VAR:KEY=JSNSRCFKTK&amp;VAR:QUERY=KFBfUFJJQ0UoNDA2MDIpLShGRl9DQVNIX1NUKFFUUiw0MDYwMikvUF9DT01fU0hTX09VVCg0MDYwMikpKS9GR","V9FU1RJTUFURSgnRVBTJywnTUVBTicsJ0FOTlVBTF9ST0xMJywnKzEnLDQwNjAyLCwsJycp&amp;WINDOW=FIRST_POPUP&amp;HEIGHT=450&amp;WIDTH=450&amp;START_MAXIMIZED=FALSE&amp;VAR:CALENDAR=US&amp;VAR:SYMBOL=98433210&amp;VAR:INDEX=0"}</definedName>
    <definedName name="_6968__FDSAUDITLINK__">{"fdsup://directions/FAT Viewer?action=UPDATE&amp;creator=factset&amp;DYN_ARGS=TRUE&amp;DOC_NAME=FAT:FQL_AUDITING_CLIENT_TEMPLATE.FAT&amp;display_string=Audit&amp;VAR:KEY=RELSHITEJY&amp;VAR:QUERY=KFBfUFJJQ0UoNDA2MDEpLShGRl9DQVNIX1NUKFFUUiw0MDYwMSkvUF9DT01fU0hTX09VVCg0MDYwMSkpKS9GR","V9FU1RJTUFURSgnRVBTJywnTUVBTicsJ0FOTlVBTF9ST0xMJywnKzEnLDQwNjAxLCwsJycp&amp;WINDOW=FIRST_POPUP&amp;HEIGHT=450&amp;WIDTH=450&amp;START_MAXIMIZED=FALSE&amp;VAR:CALENDAR=US&amp;VAR:SYMBOL=98433210&amp;VAR:INDEX=0"}</definedName>
    <definedName name="_6969__FDSAUDITLINK__">{"fdsup://directions/FAT Viewer?action=UPDATE&amp;creator=factset&amp;DYN_ARGS=TRUE&amp;DOC_NAME=FAT:FQL_AUDITING_CLIENT_TEMPLATE.FAT&amp;display_string=Audit&amp;VAR:KEY=RELSHITEJY&amp;VAR:QUERY=KFBfUFJJQ0UoNDA2MDEpLShGRl9DQVNIX1NUKFFUUiw0MDYwMSkvUF9DT01fU0hTX09VVCg0MDYwMSkpKS9GR","V9FU1RJTUFURSgnRVBTJywnTUVBTicsJ0FOTlVBTF9ST0xMJywnKzEnLDQwNjAxLCwsJycp&amp;WINDOW=FIRST_POPUP&amp;HEIGHT=450&amp;WIDTH=450&amp;START_MAXIMIZED=FALSE&amp;VAR:CALENDAR=US&amp;VAR:SYMBOL=98433210&amp;VAR:INDEX=0"}</definedName>
    <definedName name="_69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1093"}</definedName>
    <definedName name="_6970__FDSAUDITLINK__">{"fdsup://directions/FAT Viewer?action=UPDATE&amp;creator=factset&amp;DYN_ARGS=TRUE&amp;DOC_NAME=FAT:FQL_AUDITING_CLIENT_TEMPLATE.FAT&amp;display_string=Audit&amp;VAR:KEY=HSLWXMHKNM&amp;VAR:QUERY=KFBfUFJJQ0UoNDA2MDApLShGRl9DQVNIX1NUKFFUUiw0MDYwMCkvUF9DT01fU0hTX09VVCg0MDYwMCkpKS9GR","V9FU1RJTUFURSgnRVBTJywnTUVBTicsJ0FOTlVBTF9ST0xMJywnKzEnLDQwNjAwLCwsJycp&amp;WINDOW=FIRST_POPUP&amp;HEIGHT=450&amp;WIDTH=450&amp;START_MAXIMIZED=FALSE&amp;VAR:CALENDAR=US&amp;VAR:SYMBOL=98433210&amp;VAR:INDEX=0"}</definedName>
    <definedName name="_6971__FDSAUDITLINK__">{"fdsup://directions/FAT Viewer?action=UPDATE&amp;creator=factset&amp;DYN_ARGS=TRUE&amp;DOC_NAME=FAT:FQL_AUDITING_CLIENT_TEMPLATE.FAT&amp;display_string=Audit&amp;VAR:KEY=HSLWXMHKNM&amp;VAR:QUERY=KFBfUFJJQ0UoNDA2MDApLShGRl9DQVNIX1NUKFFUUiw0MDYwMCkvUF9DT01fU0hTX09VVCg0MDYwMCkpKS9GR","V9FU1RJTUFURSgnRVBTJywnTUVBTicsJ0FOTlVBTF9ST0xMJywnKzEnLDQwNjAwLCwsJycp&amp;WINDOW=FIRST_POPUP&amp;HEIGHT=450&amp;WIDTH=450&amp;START_MAXIMIZED=FALSE&amp;VAR:CALENDAR=US&amp;VAR:SYMBOL=98433210&amp;VAR:INDEX=0"}</definedName>
    <definedName name="_6972__FDSAUDITLINK__">{"fdsup://directions/FAT Viewer?action=UPDATE&amp;creator=factset&amp;DYN_ARGS=TRUE&amp;DOC_NAME=FAT:FQL_AUDITING_CLIENT_TEMPLATE.FAT&amp;display_string=Audit&amp;VAR:KEY=PSXGZEFMRS&amp;VAR:QUERY=KFBfUFJJQ0UoNDA1OTkpLShGRl9DQVNIX1NUKFFUUiw0MDU5OSkvUF9DT01fU0hTX09VVCg0MDU5OSkpKS9GR","V9FU1RJTUFURSgnRVBTJywnTUVBTicsJ0FOTlVBTF9ST0xMJywnKzEnLDQwNTk5LCwsJycp&amp;WINDOW=FIRST_POPUP&amp;HEIGHT=450&amp;WIDTH=450&amp;START_MAXIMIZED=FALSE&amp;VAR:CALENDAR=US&amp;VAR:SYMBOL=98433210&amp;VAR:INDEX=0"}</definedName>
    <definedName name="_6973__FDSAUDITLINK__">{"fdsup://directions/FAT Viewer?action=UPDATE&amp;creator=factset&amp;DYN_ARGS=TRUE&amp;DOC_NAME=FAT:FQL_AUDITING_CLIENT_TEMPLATE.FAT&amp;display_string=Audit&amp;VAR:KEY=PSXGZEFMRS&amp;VAR:QUERY=KFBfUFJJQ0UoNDA1OTkpLShGRl9DQVNIX1NUKFFUUiw0MDU5OSkvUF9DT01fU0hTX09VVCg0MDU5OSkpKS9GR","V9FU1RJTUFURSgnRVBTJywnTUVBTicsJ0FOTlVBTF9ST0xMJywnKzEnLDQwNTk5LCwsJycp&amp;WINDOW=FIRST_POPUP&amp;HEIGHT=450&amp;WIDTH=450&amp;START_MAXIMIZED=FALSE&amp;VAR:CALENDAR=US&amp;VAR:SYMBOL=98433210&amp;VAR:INDEX=0"}</definedName>
    <definedName name="_6974__FDSAUDITLINK__">{"fdsup://directions/FAT Viewer?action=UPDATE&amp;creator=factset&amp;DYN_ARGS=TRUE&amp;DOC_NAME=FAT:FQL_AUDITING_CLIENT_TEMPLATE.FAT&amp;display_string=Audit&amp;VAR:KEY=RUHENGBEDC&amp;VAR:QUERY=KFBfUFJJQ0UoNDA1OTgpLShGRl9DQVNIX1NUKFFUUiw0MDU5OCkvUF9DT01fU0hTX09VVCg0MDU5OCkpKS9GR","V9FU1RJTUFURSgnRVBTJywnTUVBTicsJ0FOTlVBTF9ST0xMJywnKzEnLDQwNTk4LCwsJycp&amp;WINDOW=FIRST_POPUP&amp;HEIGHT=450&amp;WIDTH=450&amp;START_MAXIMIZED=FALSE&amp;VAR:CALENDAR=US&amp;VAR:SYMBOL=98433210&amp;VAR:INDEX=0"}</definedName>
    <definedName name="_6975__FDSAUDITLINK__">{"fdsup://directions/FAT Viewer?action=UPDATE&amp;creator=factset&amp;DYN_ARGS=TRUE&amp;DOC_NAME=FAT:FQL_AUDITING_CLIENT_TEMPLATE.FAT&amp;display_string=Audit&amp;VAR:KEY=RUHENGBEDC&amp;VAR:QUERY=KFBfUFJJQ0UoNDA1OTgpLShGRl9DQVNIX1NUKFFUUiw0MDU5OCkvUF9DT01fU0hTX09VVCg0MDU5OCkpKS9GR","V9FU1RJTUFURSgnRVBTJywnTUVBTicsJ0FOTlVBTF9ST0xMJywnKzEnLDQwNTk4LCwsJycp&amp;WINDOW=FIRST_POPUP&amp;HEIGHT=450&amp;WIDTH=450&amp;START_MAXIMIZED=FALSE&amp;VAR:CALENDAR=US&amp;VAR:SYMBOL=98433210&amp;VAR:INDEX=0"}</definedName>
    <definedName name="_6976__FDSAUDITLINK__">{"fdsup://directions/FAT Viewer?action=UPDATE&amp;creator=factset&amp;DYN_ARGS=TRUE&amp;DOC_NAME=FAT:FQL_AUDITING_CLIENT_TEMPLATE.FAT&amp;display_string=Audit&amp;VAR:KEY=HODGVIFKLC&amp;VAR:QUERY=KFBfUFJJQ0UoNDA1OTcpLShGRl9DQVNIX1NUKFFUUiw0MDU5NykvUF9DT01fU0hTX09VVCg0MDU5NykpKS9GR","V9FU1RJTUFURSgnRVBTJywnTUVBTicsJ0FOTlVBTF9ST0xMJywnKzEnLDQwNTk3LCwsJycp&amp;WINDOW=FIRST_POPUP&amp;HEIGHT=450&amp;WIDTH=450&amp;START_MAXIMIZED=FALSE&amp;VAR:CALENDAR=US&amp;VAR:SYMBOL=98433210&amp;VAR:INDEX=0"}</definedName>
    <definedName name="_6977__FDSAUDITLINK__">{"fdsup://directions/FAT Viewer?action=UPDATE&amp;creator=factset&amp;DYN_ARGS=TRUE&amp;DOC_NAME=FAT:FQL_AUDITING_CLIENT_TEMPLATE.FAT&amp;display_string=Audit&amp;VAR:KEY=HODGVIFKLC&amp;VAR:QUERY=KFBfUFJJQ0UoNDA1OTcpLShGRl9DQVNIX1NUKFFUUiw0MDU5NykvUF9DT01fU0hTX09VVCg0MDU5NykpKS9GR","V9FU1RJTUFURSgnRVBTJywnTUVBTicsJ0FOTlVBTF9ST0xMJywnKzEnLDQwNTk3LCwsJycp&amp;WINDOW=FIRST_POPUP&amp;HEIGHT=450&amp;WIDTH=450&amp;START_MAXIMIZED=FALSE&amp;VAR:CALENDAR=US&amp;VAR:SYMBOL=98433210&amp;VAR:INDEX=0"}</definedName>
    <definedName name="_6978__FDSAUDITLINK__">{"fdsup://directions/FAT Viewer?action=UPDATE&amp;creator=factset&amp;DYN_ARGS=TRUE&amp;DOC_NAME=FAT:FQL_AUDITING_CLIENT_TEMPLATE.FAT&amp;display_string=Audit&amp;VAR:KEY=TCLOVELSNQ&amp;VAR:QUERY=KFBfUFJJQ0UoNDA1OTYpLShGRl9DQVNIX1NUKFFUUiw0MDU5NikvUF9DT01fU0hTX09VVCg0MDU5NikpKS9GR","V9FU1RJTUFURSgnRVBTJywnTUVBTicsJ0FOTlVBTF9ST0xMJywnKzEnLDQwNTk2LCwsJycp&amp;WINDOW=FIRST_POPUP&amp;HEIGHT=450&amp;WIDTH=450&amp;START_MAXIMIZED=FALSE&amp;VAR:CALENDAR=US&amp;VAR:SYMBOL=98433210&amp;VAR:INDEX=0"}</definedName>
    <definedName name="_6979__FDSAUDITLINK__">{"fdsup://directions/FAT Viewer?action=UPDATE&amp;creator=factset&amp;DYN_ARGS=TRUE&amp;DOC_NAME=FAT:FQL_AUDITING_CLIENT_TEMPLATE.FAT&amp;display_string=Audit&amp;VAR:KEY=TCLOVELSNQ&amp;VAR:QUERY=KFBfUFJJQ0UoNDA1OTYpLShGRl9DQVNIX1NUKFFUUiw0MDU5NikvUF9DT01fU0hTX09VVCg0MDU5NikpKS9GR","V9FU1RJTUFURSgnRVBTJywnTUVBTicsJ0FOTlVBTF9ST0xMJywnKzEnLDQwNTk2LCwsJycp&amp;WINDOW=FIRST_POPUP&amp;HEIGHT=450&amp;WIDTH=450&amp;START_MAXIMIZED=FALSE&amp;VAR:CALENDAR=US&amp;VAR:SYMBOL=98433210&amp;VAR:INDEX=0"}</definedName>
    <definedName name="_69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1092"}</definedName>
    <definedName name="_6980__FDSAUDITLINK__">{"fdsup://directions/FAT Viewer?action=UPDATE&amp;creator=factset&amp;DYN_ARGS=TRUE&amp;DOC_NAME=FAT:FQL_AUDITING_CLIENT_TEMPLATE.FAT&amp;display_string=Audit&amp;VAR:KEY=DGFOTUNOJI&amp;VAR:QUERY=KFBfUFJJQ0UoNDA1OTUpLShGRl9DQVNIX1NUKFFUUiw0MDU5NSkvUF9DT01fU0hTX09VVCg0MDU5NSkpKS9GR","V9FU1RJTUFURSgnRVBTJywnTUVBTicsJ0FOTlVBTF9ST0xMJywnKzEnLDQwNTk1LCwsJycp&amp;WINDOW=FIRST_POPUP&amp;HEIGHT=450&amp;WIDTH=450&amp;START_MAXIMIZED=FALSE&amp;VAR:CALENDAR=US&amp;VAR:SYMBOL=98433210&amp;VAR:INDEX=0"}</definedName>
    <definedName name="_6981__FDSAUDITLINK__">{"fdsup://directions/FAT Viewer?action=UPDATE&amp;creator=factset&amp;DYN_ARGS=TRUE&amp;DOC_NAME=FAT:FQL_AUDITING_CLIENT_TEMPLATE.FAT&amp;display_string=Audit&amp;VAR:KEY=DGFOTUNOJI&amp;VAR:QUERY=KFBfUFJJQ0UoNDA1OTUpLShGRl9DQVNIX1NUKFFUUiw0MDU5NSkvUF9DT01fU0hTX09VVCg0MDU5NSkpKS9GR","V9FU1RJTUFURSgnRVBTJywnTUVBTicsJ0FOTlVBTF9ST0xMJywnKzEnLDQwNTk1LCwsJycp&amp;WINDOW=FIRST_POPUP&amp;HEIGHT=450&amp;WIDTH=450&amp;START_MAXIMIZED=FALSE&amp;VAR:CALENDAR=US&amp;VAR:SYMBOL=98433210&amp;VAR:INDEX=0"}</definedName>
    <definedName name="_6982__FDSAUDITLINK__">{"fdsup://directions/FAT Viewer?action=UPDATE&amp;creator=factset&amp;DYN_ARGS=TRUE&amp;DOC_NAME=FAT:FQL_AUDITING_CLIENT_TEMPLATE.FAT&amp;display_string=Audit&amp;VAR:KEY=ZQHWBWTWBQ&amp;VAR:QUERY=KFBfUFJJQ0UoNDA1OTQpLShGRl9DQVNIX1NUKFFUUiw0MDU5NCkvUF9DT01fU0hTX09VVCg0MDU5NCkpKS9GR","V9FU1RJTUFURSgnRVBTJywnTUVBTicsJ0FOTlVBTF9ST0xMJywnKzEnLDQwNTk0LCwsJycp&amp;WINDOW=FIRST_POPUP&amp;HEIGHT=450&amp;WIDTH=450&amp;START_MAXIMIZED=FALSE&amp;VAR:CALENDAR=US&amp;VAR:SYMBOL=98433210&amp;VAR:INDEX=0"}</definedName>
    <definedName name="_6983__FDSAUDITLINK__">{"fdsup://directions/FAT Viewer?action=UPDATE&amp;creator=factset&amp;DYN_ARGS=TRUE&amp;DOC_NAME=FAT:FQL_AUDITING_CLIENT_TEMPLATE.FAT&amp;display_string=Audit&amp;VAR:KEY=ZQHWBWTWBQ&amp;VAR:QUERY=KFBfUFJJQ0UoNDA1OTQpLShGRl9DQVNIX1NUKFFUUiw0MDU5NCkvUF9DT01fU0hTX09VVCg0MDU5NCkpKS9GR","V9FU1RJTUFURSgnRVBTJywnTUVBTicsJ0FOTlVBTF9ST0xMJywnKzEnLDQwNTk0LCwsJycp&amp;WINDOW=FIRST_POPUP&amp;HEIGHT=450&amp;WIDTH=450&amp;START_MAXIMIZED=FALSE&amp;VAR:CALENDAR=US&amp;VAR:SYMBOL=98433210&amp;VAR:INDEX=0"}</definedName>
    <definedName name="_6984__FDSAUDITLINK__">{"fdsup://directions/FAT Viewer?action=UPDATE&amp;creator=factset&amp;DYN_ARGS=TRUE&amp;DOC_NAME=FAT:FQL_AUDITING_CLIENT_TEMPLATE.FAT&amp;display_string=Audit&amp;VAR:KEY=JEZSJMBIFK&amp;VAR:QUERY=KFBfUFJJQ0UoNDA1OTMpLShGRl9DQVNIX1NUKFFUUiw0MDU5MykvUF9DT01fU0hTX09VVCg0MDU5MykpKS9GR","V9FU1RJTUFURSgnRVBTJywnTUVBTicsJ0FOTlVBTF9ST0xMJywnKzEnLDQwNTkzLCwsJycp&amp;WINDOW=FIRST_POPUP&amp;HEIGHT=450&amp;WIDTH=450&amp;START_MAXIMIZED=FALSE&amp;VAR:CALENDAR=US&amp;VAR:SYMBOL=98433210&amp;VAR:INDEX=0"}</definedName>
    <definedName name="_6985__FDSAUDITLINK__">{"fdsup://directions/FAT Viewer?action=UPDATE&amp;creator=factset&amp;DYN_ARGS=TRUE&amp;DOC_NAME=FAT:FQL_AUDITING_CLIENT_TEMPLATE.FAT&amp;display_string=Audit&amp;VAR:KEY=JEZSJMBIFK&amp;VAR:QUERY=KFBfUFJJQ0UoNDA1OTMpLShGRl9DQVNIX1NUKFFUUiw0MDU5MykvUF9DT01fU0hTX09VVCg0MDU5MykpKS9GR","V9FU1RJTUFURSgnRVBTJywnTUVBTicsJ0FOTlVBTF9ST0xMJywnKzEnLDQwNTkzLCwsJycp&amp;WINDOW=FIRST_POPUP&amp;HEIGHT=450&amp;WIDTH=450&amp;START_MAXIMIZED=FALSE&amp;VAR:CALENDAR=US&amp;VAR:SYMBOL=98433210&amp;VAR:INDEX=0"}</definedName>
    <definedName name="_6986__FDSAUDITLINK__">{"fdsup://directions/FAT Viewer?action=UPDATE&amp;creator=factset&amp;DYN_ARGS=TRUE&amp;DOC_NAME=FAT:FQL_AUDITING_CLIENT_TEMPLATE.FAT&amp;display_string=Audit&amp;VAR:KEY=HMNQBIFGLE&amp;VAR:QUERY=KFBfUFJJQ0UoNDA1OTIpLShGRl9DQVNIX1NUKFFUUiw0MDU5MikvUF9DT01fU0hTX09VVCg0MDU5MikpKS9GR","V9FU1RJTUFURSgnRVBTJywnTUVBTicsJ0FOTlVBTF9ST0xMJywnKzEnLDQwNTkyLCwsJycp&amp;WINDOW=FIRST_POPUP&amp;HEIGHT=450&amp;WIDTH=450&amp;START_MAXIMIZED=FALSE&amp;VAR:CALENDAR=US&amp;VAR:SYMBOL=98433210&amp;VAR:INDEX=0"}</definedName>
    <definedName name="_6987__FDSAUDITLINK__">{"fdsup://directions/FAT Viewer?action=UPDATE&amp;creator=factset&amp;DYN_ARGS=TRUE&amp;DOC_NAME=FAT:FQL_AUDITING_CLIENT_TEMPLATE.FAT&amp;display_string=Audit&amp;VAR:KEY=HMNQBIFGLE&amp;VAR:QUERY=KFBfUFJJQ0UoNDA1OTIpLShGRl9DQVNIX1NUKFFUUiw0MDU5MikvUF9DT01fU0hTX09VVCg0MDU5MikpKS9GR","V9FU1RJTUFURSgnRVBTJywnTUVBTicsJ0FOTlVBTF9ST0xMJywnKzEnLDQwNTkyLCwsJycp&amp;WINDOW=FIRST_POPUP&amp;HEIGHT=450&amp;WIDTH=450&amp;START_MAXIMIZED=FALSE&amp;VAR:CALENDAR=US&amp;VAR:SYMBOL=98433210&amp;VAR:INDEX=0"}</definedName>
    <definedName name="_6988__FDSAUDITLINK__">{"fdsup://directions/FAT Viewer?action=UPDATE&amp;creator=factset&amp;DYN_ARGS=TRUE&amp;DOC_NAME=FAT:FQL_AUDITING_CLIENT_TEMPLATE.FAT&amp;display_string=Audit&amp;VAR:KEY=DQXUPEHWBY&amp;VAR:QUERY=KFBfUFJJQ0UoNDA1OTEpLShGRl9DQVNIX1NUKFFUUiw0MDU5MSkvUF9DT01fU0hTX09VVCg0MDU5MSkpKS9GR","V9FU1RJTUFURSgnRVBTJywnTUVBTicsJ0FOTlVBTF9ST0xMJywnKzEnLDQwNTkxLCwsJycp&amp;WINDOW=FIRST_POPUP&amp;HEIGHT=450&amp;WIDTH=450&amp;START_MAXIMIZED=FALSE&amp;VAR:CALENDAR=US&amp;VAR:SYMBOL=98433210&amp;VAR:INDEX=0"}</definedName>
    <definedName name="_6989__FDSAUDITLINK__">{"fdsup://directions/FAT Viewer?action=UPDATE&amp;creator=factset&amp;DYN_ARGS=TRUE&amp;DOC_NAME=FAT:FQL_AUDITING_CLIENT_TEMPLATE.FAT&amp;display_string=Audit&amp;VAR:KEY=DQXUPEHWBY&amp;VAR:QUERY=KFBfUFJJQ0UoNDA1OTEpLShGRl9DQVNIX1NUKFFUUiw0MDU5MSkvUF9DT01fU0hTX09VVCg0MDU5MSkpKS9GR","V9FU1RJTUFURSgnRVBTJywnTUVBTicsJ0FOTlVBTF9ST0xMJywnKzEnLDQwNTkxLCwsJycp&amp;WINDOW=FIRST_POPUP&amp;HEIGHT=450&amp;WIDTH=450&amp;START_MAXIMIZED=FALSE&amp;VAR:CALENDAR=US&amp;VAR:SYMBOL=98433210&amp;VAR:INDEX=0"}</definedName>
    <definedName name="_69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1091"}</definedName>
    <definedName name="_6990__FDSAUDITLINK__">{"fdsup://directions/FAT Viewer?action=UPDATE&amp;creator=factset&amp;DYN_ARGS=TRUE&amp;DOC_NAME=FAT:FQL_AUDITING_CLIENT_TEMPLATE.FAT&amp;display_string=Audit&amp;VAR:KEY=HQRWDKBUFW&amp;VAR:QUERY=KFBfUFJJQ0UoNDA1OTApLShGRl9DQVNIX1NUKFFUUiw0MDU5MCkvUF9DT01fU0hTX09VVCg0MDU5MCkpKS9GR","V9FU1RJTUFURSgnRVBTJywnTUVBTicsJ0FOTlVBTF9ST0xMJywnKzEnLDQwNTkwLCwsJycp&amp;WINDOW=FIRST_POPUP&amp;HEIGHT=450&amp;WIDTH=450&amp;START_MAXIMIZED=FALSE&amp;VAR:CALENDAR=US&amp;VAR:SYMBOL=98433210&amp;VAR:INDEX=0"}</definedName>
    <definedName name="_6991__FDSAUDITLINK__">{"fdsup://directions/FAT Viewer?action=UPDATE&amp;creator=factset&amp;DYN_ARGS=TRUE&amp;DOC_NAME=FAT:FQL_AUDITING_CLIENT_TEMPLATE.FAT&amp;display_string=Audit&amp;VAR:KEY=HQRWDKBUFW&amp;VAR:QUERY=KFBfUFJJQ0UoNDA1OTApLShGRl9DQVNIX1NUKFFUUiw0MDU5MCkvUF9DT01fU0hTX09VVCg0MDU5MCkpKS9GR","V9FU1RJTUFURSgnRVBTJywnTUVBTicsJ0FOTlVBTF9ST0xMJywnKzEnLDQwNTkwLCwsJycp&amp;WINDOW=FIRST_POPUP&amp;HEIGHT=450&amp;WIDTH=450&amp;START_MAXIMIZED=FALSE&amp;VAR:CALENDAR=US&amp;VAR:SYMBOL=98433210&amp;VAR:INDEX=0"}</definedName>
    <definedName name="_6992__FDSAUDITLINK__">{"fdsup://directions/FAT Viewer?action=UPDATE&amp;creator=factset&amp;DYN_ARGS=TRUE&amp;DOC_NAME=FAT:FQL_AUDITING_CLIENT_TEMPLATE.FAT&amp;display_string=Audit&amp;VAR:KEY=FUHCDGVIZA&amp;VAR:QUERY=KFBfUFJJQ0UoNDA1ODkpLShGRl9DQVNIX1NUKFFUUiw0MDU4OSkvUF9DT01fU0hTX09VVCg0MDU4OSkpKS9GR","V9FU1RJTUFURSgnRVBTJywnTUVBTicsJ0FOTlVBTF9ST0xMJywnKzEnLDQwNTg5LCwsJycp&amp;WINDOW=FIRST_POPUP&amp;HEIGHT=450&amp;WIDTH=450&amp;START_MAXIMIZED=FALSE&amp;VAR:CALENDAR=US&amp;VAR:SYMBOL=98433210&amp;VAR:INDEX=0"}</definedName>
    <definedName name="_6993__FDSAUDITLINK__">{"fdsup://directions/FAT Viewer?action=UPDATE&amp;creator=factset&amp;DYN_ARGS=TRUE&amp;DOC_NAME=FAT:FQL_AUDITING_CLIENT_TEMPLATE.FAT&amp;display_string=Audit&amp;VAR:KEY=FUHCDGVIZA&amp;VAR:QUERY=KFBfUFJJQ0UoNDA1ODkpLShGRl9DQVNIX1NUKFFUUiw0MDU4OSkvUF9DT01fU0hTX09VVCg0MDU4OSkpKS9GR","V9FU1RJTUFURSgnRVBTJywnTUVBTicsJ0FOTlVBTF9ST0xMJywnKzEnLDQwNTg5LCwsJycp&amp;WINDOW=FIRST_POPUP&amp;HEIGHT=450&amp;WIDTH=450&amp;START_MAXIMIZED=FALSE&amp;VAR:CALENDAR=US&amp;VAR:SYMBOL=98433210&amp;VAR:INDEX=0"}</definedName>
    <definedName name="_6994__FDSAUDITLINK__">{"fdsup://directions/FAT Viewer?action=UPDATE&amp;creator=factset&amp;DYN_ARGS=TRUE&amp;DOC_NAME=FAT:FQL_AUDITING_CLIENT_TEMPLATE.FAT&amp;display_string=Audit&amp;VAR:KEY=HCPCLINEZM&amp;VAR:QUERY=KFBfUFJJQ0UoNDA1ODgpLShGRl9DQVNIX1NUKFFUUiw0MDU4OCkvUF9DT01fU0hTX09VVCg0MDU4OCkpKS9GR","V9FU1RJTUFURSgnRVBTJywnTUVBTicsJ0FOTlVBTF9ST0xMJywnKzEnLDQwNTg4LCwsJycp&amp;WINDOW=FIRST_POPUP&amp;HEIGHT=450&amp;WIDTH=450&amp;START_MAXIMIZED=FALSE&amp;VAR:CALENDAR=US&amp;VAR:SYMBOL=98433210&amp;VAR:INDEX=0"}</definedName>
    <definedName name="_6995__FDSAUDITLINK__">{"fdsup://directions/FAT Viewer?action=UPDATE&amp;creator=factset&amp;DYN_ARGS=TRUE&amp;DOC_NAME=FAT:FQL_AUDITING_CLIENT_TEMPLATE.FAT&amp;display_string=Audit&amp;VAR:KEY=HCPCLINEZM&amp;VAR:QUERY=KFBfUFJJQ0UoNDA1ODgpLShGRl9DQVNIX1NUKFFUUiw0MDU4OCkvUF9DT01fU0hTX09VVCg0MDU4OCkpKS9GR","V9FU1RJTUFURSgnRVBTJywnTUVBTicsJ0FOTlVBTF9ST0xMJywnKzEnLDQwNTg4LCwsJycp&amp;WINDOW=FIRST_POPUP&amp;HEIGHT=450&amp;WIDTH=450&amp;START_MAXIMIZED=FALSE&amp;VAR:CALENDAR=US&amp;VAR:SYMBOL=98433210&amp;VAR:INDEX=0"}</definedName>
    <definedName name="_6996__FDSAUDITLINK__">{"fdsup://directions/FAT Viewer?action=UPDATE&amp;creator=factset&amp;DYN_ARGS=TRUE&amp;DOC_NAME=FAT:FQL_AUDITING_CLIENT_TEMPLATE.FAT&amp;display_string=Audit&amp;VAR:KEY=LUBYHCHSVM&amp;VAR:QUERY=KFBfUFJJQ0UoNDA1ODcpLShGRl9DQVNIX1NUKFFUUiw0MDU4NykvUF9DT01fU0hTX09VVCg0MDU4NykpKS9GR","V9FU1RJTUFURSgnRVBTJywnTUVBTicsJ0FOTlVBTF9ST0xMJywnKzEnLDQwNTg3LCwsJycp&amp;WINDOW=FIRST_POPUP&amp;HEIGHT=450&amp;WIDTH=450&amp;START_MAXIMIZED=FALSE&amp;VAR:CALENDAR=US&amp;VAR:SYMBOL=98433210&amp;VAR:INDEX=0"}</definedName>
    <definedName name="_6997__FDSAUDITLINK__">{"fdsup://directions/FAT Viewer?action=UPDATE&amp;creator=factset&amp;DYN_ARGS=TRUE&amp;DOC_NAME=FAT:FQL_AUDITING_CLIENT_TEMPLATE.FAT&amp;display_string=Audit&amp;VAR:KEY=LUBYHCHSVM&amp;VAR:QUERY=KFBfUFJJQ0UoNDA1ODcpLShGRl9DQVNIX1NUKFFUUiw0MDU4NykvUF9DT01fU0hTX09VVCg0MDU4NykpKS9GR","V9FU1RJTUFURSgnRVBTJywnTUVBTicsJ0FOTlVBTF9ST0xMJywnKzEnLDQwNTg3LCwsJycp&amp;WINDOW=FIRST_POPUP&amp;HEIGHT=450&amp;WIDTH=450&amp;START_MAXIMIZED=FALSE&amp;VAR:CALENDAR=US&amp;VAR:SYMBOL=98433210&amp;VAR:INDEX=0"}</definedName>
    <definedName name="_6998__FDSAUDITLINK__">{"fdsup://directions/FAT Viewer?action=UPDATE&amp;creator=factset&amp;DYN_ARGS=TRUE&amp;DOC_NAME=FAT:FQL_AUDITING_CLIENT_TEMPLATE.FAT&amp;display_string=Audit&amp;VAR:KEY=JGFCHIPULW&amp;VAR:QUERY=KFBfUFJJQ0UoNDA1ODYpLShGRl9DQVNIX1NUKFFUUiw0MDU4NikvUF9DT01fU0hTX09VVCg0MDU4NikpKS9GR","V9FU1RJTUFURSgnRVBTJywnTUVBTicsJ0FOTlVBTF9ST0xMJywnKzEnLDQwNTg2LCwsJycp&amp;WINDOW=FIRST_POPUP&amp;HEIGHT=450&amp;WIDTH=450&amp;START_MAXIMIZED=FALSE&amp;VAR:CALENDAR=US&amp;VAR:SYMBOL=98433210&amp;VAR:INDEX=0"}</definedName>
    <definedName name="_6999__FDSAUDITLINK__">{"fdsup://directions/FAT Viewer?action=UPDATE&amp;creator=factset&amp;DYN_ARGS=TRUE&amp;DOC_NAME=FAT:FQL_AUDITING_CLIENT_TEMPLATE.FAT&amp;display_string=Audit&amp;VAR:KEY=JGFCHIPULW&amp;VAR:QUERY=KFBfUFJJQ0UoNDA1ODYpLShGRl9DQVNIX1NUKFFUUiw0MDU4NikvUF9DT01fU0hTX09VVCg0MDU4NikpKS9GR","V9FU1RJTUFURSgnRVBTJywnTUVBTicsJ0FOTlVBTF9ST0xMJywnKzEnLDQwNTg2LCwsJycp&amp;WINDOW=FIRST_POPUP&amp;HEIGHT=450&amp;WIDTH=450&amp;START_MAXIMIZED=FALSE&amp;VAR:CALENDAR=US&amp;VAR:SYMBOL=98433210&amp;VAR:INDEX=0"}</definedName>
    <definedName name="_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14.322353&amp;VAR:V0=18.251843&amp;VAR:V1=14.322353&amp;VAR:Y0=2009&amp;VAR:Y1=2010&amp;VAR:P=1115.102681&amp;VAR:DATE=20091231&amp;VAR:THRESH=-|-|","-|-|-|-|-"}</definedName>
    <definedName name="_7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0.994521&amp;VAR:V=15.199205&amp;VAR:V0=16.539742&amp;VAR:V1=15.192421&amp;VAR:Y0=2006&amp;VAR:Y1=2007&amp;VAR:P=1418.300500&amp;VAR:DATE=20061229&amp;VAR:THRESH=-|-|","-|-|-|-|-"}</definedName>
    <definedName name="_70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1090"}</definedName>
    <definedName name="_7000__FDSAUDITLINK__">{"fdsup://directions/FAT Viewer?action=UPDATE&amp;creator=factset&amp;DYN_ARGS=TRUE&amp;DOC_NAME=FAT:FQL_AUDITING_CLIENT_TEMPLATE.FAT&amp;display_string=Audit&amp;VAR:KEY=RSBSLUJEXC&amp;VAR:QUERY=KFBfUFJJQ0UoNDA1ODUpLShGRl9DQVNIX1NUKFFUUiw0MDU4NSkvUF9DT01fU0hTX09VVCg0MDU4NSkpKS9GR","V9FU1RJTUFURSgnRVBTJywnTUVBTicsJ0FOTlVBTF9ST0xMJywnKzEnLDQwNTg1LCwsJycp&amp;WINDOW=FIRST_POPUP&amp;HEIGHT=450&amp;WIDTH=450&amp;START_MAXIMIZED=FALSE&amp;VAR:CALENDAR=US&amp;VAR:SYMBOL=98433210&amp;VAR:INDEX=0"}</definedName>
    <definedName name="_7001__FDSAUDITLINK__">{"fdsup://directions/FAT Viewer?action=UPDATE&amp;creator=factset&amp;DYN_ARGS=TRUE&amp;DOC_NAME=FAT:FQL_AUDITING_CLIENT_TEMPLATE.FAT&amp;display_string=Audit&amp;VAR:KEY=RSBSLUJEXC&amp;VAR:QUERY=KFBfUFJJQ0UoNDA1ODUpLShGRl9DQVNIX1NUKFFUUiw0MDU4NSkvUF9DT01fU0hTX09VVCg0MDU4NSkpKS9GR","V9FU1RJTUFURSgnRVBTJywnTUVBTicsJ0FOTlVBTF9ST0xMJywnKzEnLDQwNTg1LCwsJycp&amp;WINDOW=FIRST_POPUP&amp;HEIGHT=450&amp;WIDTH=450&amp;START_MAXIMIZED=FALSE&amp;VAR:CALENDAR=US&amp;VAR:SYMBOL=98433210&amp;VAR:INDEX=0"}</definedName>
    <definedName name="_7002__FDSAUDITLINK__">{"fdsup://directions/FAT Viewer?action=UPDATE&amp;creator=factset&amp;DYN_ARGS=TRUE&amp;DOC_NAME=FAT:FQL_AUDITING_CLIENT_TEMPLATE.FAT&amp;display_string=Audit&amp;VAR:KEY=VITQPGJGVY&amp;VAR:QUERY=KFBfUFJJQ0UoNDA1ODQpLShGRl9DQVNIX1NUKFFUUiw0MDU4NCkvUF9DT01fU0hTX09VVCg0MDU4NCkpKS9GR","V9FU1RJTUFURSgnRVBTJywnTUVBTicsJ0FOTlVBTF9ST0xMJywnKzEnLDQwNTg0LCwsJycp&amp;WINDOW=FIRST_POPUP&amp;HEIGHT=450&amp;WIDTH=450&amp;START_MAXIMIZED=FALSE&amp;VAR:CALENDAR=US&amp;VAR:SYMBOL=98433210&amp;VAR:INDEX=0"}</definedName>
    <definedName name="_7003__FDSAUDITLINK__">{"fdsup://directions/FAT Viewer?action=UPDATE&amp;creator=factset&amp;DYN_ARGS=TRUE&amp;DOC_NAME=FAT:FQL_AUDITING_CLIENT_TEMPLATE.FAT&amp;display_string=Audit&amp;VAR:KEY=VITQPGJGVY&amp;VAR:QUERY=KFBfUFJJQ0UoNDA1ODQpLShGRl9DQVNIX1NUKFFUUiw0MDU4NCkvUF9DT01fU0hTX09VVCg0MDU4NCkpKS9GR","V9FU1RJTUFURSgnRVBTJywnTUVBTicsJ0FOTlVBTF9ST0xMJywnKzEnLDQwNTg0LCwsJycp&amp;WINDOW=FIRST_POPUP&amp;HEIGHT=450&amp;WIDTH=450&amp;START_MAXIMIZED=FALSE&amp;VAR:CALENDAR=US&amp;VAR:SYMBOL=98433210&amp;VAR:INDEX=0"}</definedName>
    <definedName name="_7004__FDSAUDITLINK__">{"fdsup://directions/FAT Viewer?action=UPDATE&amp;creator=factset&amp;DYN_ARGS=TRUE&amp;DOC_NAME=FAT:FQL_AUDITING_CLIENT_TEMPLATE.FAT&amp;display_string=Audit&amp;VAR:KEY=BQPQXMVUBY&amp;VAR:QUERY=KFBfUFJJQ0UoNDA1ODMpLShGRl9DQVNIX1NUKFFUUiw0MDU4MykvUF9DT01fU0hTX09VVCg0MDU4MykpKS9GR","V9FU1RJTUFURSgnRVBTJywnTUVBTicsJ0FOTlVBTF9ST0xMJywnKzEnLDQwNTgzLCwsJycp&amp;WINDOW=FIRST_POPUP&amp;HEIGHT=450&amp;WIDTH=450&amp;START_MAXIMIZED=FALSE&amp;VAR:CALENDAR=US&amp;VAR:SYMBOL=98433210&amp;VAR:INDEX=0"}</definedName>
    <definedName name="_7005__FDSAUDITLINK__">{"fdsup://directions/FAT Viewer?action=UPDATE&amp;creator=factset&amp;DYN_ARGS=TRUE&amp;DOC_NAME=FAT:FQL_AUDITING_CLIENT_TEMPLATE.FAT&amp;display_string=Audit&amp;VAR:KEY=BQPQXMVUBY&amp;VAR:QUERY=KFBfUFJJQ0UoNDA1ODMpLShGRl9DQVNIX1NUKFFUUiw0MDU4MykvUF9DT01fU0hTX09VVCg0MDU4MykpKS9GR","V9FU1RJTUFURSgnRVBTJywnTUVBTicsJ0FOTlVBTF9ST0xMJywnKzEnLDQwNTgzLCwsJycp&amp;WINDOW=FIRST_POPUP&amp;HEIGHT=450&amp;WIDTH=450&amp;START_MAXIMIZED=FALSE&amp;VAR:CALENDAR=US&amp;VAR:SYMBOL=98433210&amp;VAR:INDEX=0"}</definedName>
    <definedName name="_7006__FDSAUDITLINK__">{"fdsup://directions/FAT Viewer?action=UPDATE&amp;creator=factset&amp;DYN_ARGS=TRUE&amp;DOC_NAME=FAT:FQL_AUDITING_CLIENT_TEMPLATE.FAT&amp;display_string=Audit&amp;VAR:KEY=JMJQBIZEXQ&amp;VAR:QUERY=KFBfUFJJQ0UoNDA1ODIpLShGRl9DQVNIX1NUKFFUUiw0MDU4MikvUF9DT01fU0hTX09VVCg0MDU4MikpKS9GR","V9FU1RJTUFURSgnRVBTJywnTUVBTicsJ0FOTlVBTF9ST0xMJywnKzEnLDQwNTgyLCwsJycp&amp;WINDOW=FIRST_POPUP&amp;HEIGHT=450&amp;WIDTH=450&amp;START_MAXIMIZED=FALSE&amp;VAR:CALENDAR=US&amp;VAR:SYMBOL=98433210&amp;VAR:INDEX=0"}</definedName>
    <definedName name="_7007__FDSAUDITLINK__">{"fdsup://directions/FAT Viewer?action=UPDATE&amp;creator=factset&amp;DYN_ARGS=TRUE&amp;DOC_NAME=FAT:FQL_AUDITING_CLIENT_TEMPLATE.FAT&amp;display_string=Audit&amp;VAR:KEY=JMJQBIZEXQ&amp;VAR:QUERY=KFBfUFJJQ0UoNDA1ODIpLShGRl9DQVNIX1NUKFFUUiw0MDU4MikvUF9DT01fU0hTX09VVCg0MDU4MikpKS9GR","V9FU1RJTUFURSgnRVBTJywnTUVBTicsJ0FOTlVBTF9ST0xMJywnKzEnLDQwNTgyLCwsJycp&amp;WINDOW=FIRST_POPUP&amp;HEIGHT=450&amp;WIDTH=450&amp;START_MAXIMIZED=FALSE&amp;VAR:CALENDAR=US&amp;VAR:SYMBOL=98433210&amp;VAR:INDEX=0"}</definedName>
    <definedName name="_7008__FDSAUDITLINK__">{"fdsup://directions/FAT Viewer?action=UPDATE&amp;creator=factset&amp;DYN_ARGS=TRUE&amp;DOC_NAME=FAT:FQL_AUDITING_CLIENT_TEMPLATE.FAT&amp;display_string=Audit&amp;VAR:KEY=XAVIDERQHY&amp;VAR:QUERY=KFBfUFJJQ0UoNDA1ODEpLShGRl9DQVNIX1NUKFFUUiw0MDU4MSkvUF9DT01fU0hTX09VVCg0MDU4MSkpKS9GR","V9FU1RJTUFURSgnRVBTJywnTUVBTicsJ0FOTlVBTF9ST0xMJywnKzEnLDQwNTgxLCwsJycp&amp;WINDOW=FIRST_POPUP&amp;HEIGHT=450&amp;WIDTH=450&amp;START_MAXIMIZED=FALSE&amp;VAR:CALENDAR=US&amp;VAR:SYMBOL=98433210&amp;VAR:INDEX=0"}</definedName>
    <definedName name="_7009__FDSAUDITLINK__">{"fdsup://directions/FAT Viewer?action=UPDATE&amp;creator=factset&amp;DYN_ARGS=TRUE&amp;DOC_NAME=FAT:FQL_AUDITING_CLIENT_TEMPLATE.FAT&amp;display_string=Audit&amp;VAR:KEY=XAVIDERQHY&amp;VAR:QUERY=KFBfUFJJQ0UoNDA1ODEpLShGRl9DQVNIX1NUKFFUUiw0MDU4MSkvUF9DT01fU0hTX09VVCg0MDU4MSkpKS9GR","V9FU1RJTUFURSgnRVBTJywnTUVBTicsJ0FOTlVBTF9ST0xMJywnKzEnLDQwNTgxLCwsJycp&amp;WINDOW=FIRST_POPUP&amp;HEIGHT=450&amp;WIDTH=450&amp;START_MAXIMIZED=FALSE&amp;VAR:CALENDAR=US&amp;VAR:SYMBOL=98433210&amp;VAR:INDEX=0"}</definedName>
    <definedName name="_70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1089"}</definedName>
    <definedName name="_7010__FDSAUDITLINK__">{"fdsup://directions/FAT Viewer?action=UPDATE&amp;creator=factset&amp;DYN_ARGS=TRUE&amp;DOC_NAME=FAT:FQL_AUDITING_CLIENT_TEMPLATE.FAT&amp;display_string=Audit&amp;VAR:KEY=DSRYDUHGJO&amp;VAR:QUERY=KFBfUFJJQ0UoNDA1ODApLShGRl9DQVNIX1NUKFFUUiw0MDU4MCkvUF9DT01fU0hTX09VVCg0MDU4MCkpKS9GR","V9FU1RJTUFURSgnRVBTJywnTUVBTicsJ0FOTlVBTF9ST0xMJywnKzEnLDQwNTgwLCwsJycp&amp;WINDOW=FIRST_POPUP&amp;HEIGHT=450&amp;WIDTH=450&amp;START_MAXIMIZED=FALSE&amp;VAR:CALENDAR=US&amp;VAR:SYMBOL=98433210&amp;VAR:INDEX=0"}</definedName>
    <definedName name="_7011__FDSAUDITLINK__">{"fdsup://directions/FAT Viewer?action=UPDATE&amp;creator=factset&amp;DYN_ARGS=TRUE&amp;DOC_NAME=FAT:FQL_AUDITING_CLIENT_TEMPLATE.FAT&amp;display_string=Audit&amp;VAR:KEY=DSRYDUHGJO&amp;VAR:QUERY=KFBfUFJJQ0UoNDA1ODApLShGRl9DQVNIX1NUKFFUUiw0MDU4MCkvUF9DT01fU0hTX09VVCg0MDU4MCkpKS9GR","V9FU1RJTUFURSgnRVBTJywnTUVBTicsJ0FOTlVBTF9ST0xMJywnKzEnLDQwNTgwLCwsJycp&amp;WINDOW=FIRST_POPUP&amp;HEIGHT=450&amp;WIDTH=450&amp;START_MAXIMIZED=FALSE&amp;VAR:CALENDAR=US&amp;VAR:SYMBOL=98433210&amp;VAR:INDEX=0"}</definedName>
    <definedName name="_7012__FDSAUDITLINK__">{"fdsup://directions/FAT Viewer?action=UPDATE&amp;creator=factset&amp;DYN_ARGS=TRUE&amp;DOC_NAME=FAT:FQL_AUDITING_CLIENT_TEMPLATE.FAT&amp;display_string=Audit&amp;VAR:KEY=HKJAHWXSVK&amp;VAR:QUERY=KFBfUFJJQ0UoNDA1NzkpLShGRl9DQVNIX1NUKFFUUiw0MDU3OSkvUF9DT01fU0hTX09VVCg0MDU3OSkpKS9GR","V9FU1RJTUFURSgnRVBTJywnTUVBTicsJ0FOTlVBTF9ST0xMJywnKzEnLDQwNTc5LCwsJycp&amp;WINDOW=FIRST_POPUP&amp;HEIGHT=450&amp;WIDTH=450&amp;START_MAXIMIZED=FALSE&amp;VAR:CALENDAR=US&amp;VAR:SYMBOL=98433210&amp;VAR:INDEX=0"}</definedName>
    <definedName name="_7013__FDSAUDITLINK__">{"fdsup://directions/FAT Viewer?action=UPDATE&amp;creator=factset&amp;DYN_ARGS=TRUE&amp;DOC_NAME=FAT:FQL_AUDITING_CLIENT_TEMPLATE.FAT&amp;display_string=Audit&amp;VAR:KEY=HKJAHWXSVK&amp;VAR:QUERY=KFBfUFJJQ0UoNDA1NzkpLShGRl9DQVNIX1NUKFFUUiw0MDU3OSkvUF9DT01fU0hTX09VVCg0MDU3OSkpKS9GR","V9FU1RJTUFURSgnRVBTJywnTUVBTicsJ0FOTlVBTF9ST0xMJywnKzEnLDQwNTc5LCwsJycp&amp;WINDOW=FIRST_POPUP&amp;HEIGHT=450&amp;WIDTH=450&amp;START_MAXIMIZED=FALSE&amp;VAR:CALENDAR=US&amp;VAR:SYMBOL=98433210&amp;VAR:INDEX=0"}</definedName>
    <definedName name="_7014__FDSAUDITLINK__">{"fdsup://directions/FAT Viewer?action=UPDATE&amp;creator=factset&amp;DYN_ARGS=TRUE&amp;DOC_NAME=FAT:FQL_AUDITING_CLIENT_TEMPLATE.FAT&amp;display_string=Audit&amp;VAR:KEY=ZEFQDOTQPC&amp;VAR:QUERY=KFBfUFJJQ0UoNDA1NzgpLShGRl9DQVNIX1NUKFFUUiw0MDU3OCkvUF9DT01fU0hTX09VVCg0MDU3OCkpKS9GR","V9FU1RJTUFURSgnRVBTJywnTUVBTicsJ0FOTlVBTF9ST0xMJywnKzEnLDQwNTc4LCwsJycp&amp;WINDOW=FIRST_POPUP&amp;HEIGHT=450&amp;WIDTH=450&amp;START_MAXIMIZED=FALSE&amp;VAR:CALENDAR=US&amp;VAR:SYMBOL=98433210&amp;VAR:INDEX=0"}</definedName>
    <definedName name="_7015__FDSAUDITLINK__">{"fdsup://directions/FAT Viewer?action=UPDATE&amp;creator=factset&amp;DYN_ARGS=TRUE&amp;DOC_NAME=FAT:FQL_AUDITING_CLIENT_TEMPLATE.FAT&amp;display_string=Audit&amp;VAR:KEY=ZEFQDOTQPC&amp;VAR:QUERY=KFBfUFJJQ0UoNDA1NzgpLShGRl9DQVNIX1NUKFFUUiw0MDU3OCkvUF9DT01fU0hTX09VVCg0MDU3OCkpKS9GR","V9FU1RJTUFURSgnRVBTJywnTUVBTicsJ0FOTlVBTF9ST0xMJywnKzEnLDQwNTc4LCwsJycp&amp;WINDOW=FIRST_POPUP&amp;HEIGHT=450&amp;WIDTH=450&amp;START_MAXIMIZED=FALSE&amp;VAR:CALENDAR=US&amp;VAR:SYMBOL=98433210&amp;VAR:INDEX=0"}</definedName>
    <definedName name="_7016__FDSAUDITLINK__">{"fdsup://directions/FAT Viewer?action=UPDATE&amp;creator=factset&amp;DYN_ARGS=TRUE&amp;DOC_NAME=FAT:FQL_AUDITING_CLIENT_TEMPLATE.FAT&amp;display_string=Audit&amp;VAR:KEY=POHONGZGBQ&amp;VAR:QUERY=KFBfUFJJQ0UoNDA1NzcpLShGRl9DQVNIX1NUKFFUUiw0MDU3NykvUF9DT01fU0hTX09VVCg0MDU3NykpKS9GR","V9FU1RJTUFURSgnRVBTJywnTUVBTicsJ0FOTlVBTF9ST0xMJywnKzEnLDQwNTc3LCwsJycp&amp;WINDOW=FIRST_POPUP&amp;HEIGHT=450&amp;WIDTH=450&amp;START_MAXIMIZED=FALSE&amp;VAR:CALENDAR=US&amp;VAR:SYMBOL=98433210&amp;VAR:INDEX=0"}</definedName>
    <definedName name="_7017__FDSAUDITLINK__">{"fdsup://directions/FAT Viewer?action=UPDATE&amp;creator=factset&amp;DYN_ARGS=TRUE&amp;DOC_NAME=FAT:FQL_AUDITING_CLIENT_TEMPLATE.FAT&amp;display_string=Audit&amp;VAR:KEY=POHONGZGBQ&amp;VAR:QUERY=KFBfUFJJQ0UoNDA1NzcpLShGRl9DQVNIX1NUKFFUUiw0MDU3NykvUF9DT01fU0hTX09VVCg0MDU3NykpKS9GR","V9FU1RJTUFURSgnRVBTJywnTUVBTicsJ0FOTlVBTF9ST0xMJywnKzEnLDQwNTc3LCwsJycp&amp;WINDOW=FIRST_POPUP&amp;HEIGHT=450&amp;WIDTH=450&amp;START_MAXIMIZED=FALSE&amp;VAR:CALENDAR=US&amp;VAR:SYMBOL=98433210&amp;VAR:INDEX=0"}</definedName>
    <definedName name="_7018__FDSAUDITLINK__">{"fdsup://directions/FAT Viewer?action=UPDATE&amp;creator=factset&amp;DYN_ARGS=TRUE&amp;DOC_NAME=FAT:FQL_AUDITING_CLIENT_TEMPLATE.FAT&amp;display_string=Audit&amp;VAR:KEY=VMBEFULCVC&amp;VAR:QUERY=KFBfUFJJQ0UoNDA1NzYpLShGRl9DQVNIX1NUKFFUUiw0MDU3NikvUF9DT01fU0hTX09VVCg0MDU3NikpKS9GR","V9FU1RJTUFURSgnRVBTJywnTUVBTicsJ0FOTlVBTF9ST0xMJywnKzEnLDQwNTc2LCwsJycp&amp;WINDOW=FIRST_POPUP&amp;HEIGHT=450&amp;WIDTH=450&amp;START_MAXIMIZED=FALSE&amp;VAR:CALENDAR=US&amp;VAR:SYMBOL=98433210&amp;VAR:INDEX=0"}</definedName>
    <definedName name="_7019__FDSAUDITLINK__">{"fdsup://directions/FAT Viewer?action=UPDATE&amp;creator=factset&amp;DYN_ARGS=TRUE&amp;DOC_NAME=FAT:FQL_AUDITING_CLIENT_TEMPLATE.FAT&amp;display_string=Audit&amp;VAR:KEY=VMBEFULCVC&amp;VAR:QUERY=KFBfUFJJQ0UoNDA1NzYpLShGRl9DQVNIX1NUKFFUUiw0MDU3NikvUF9DT01fU0hTX09VVCg0MDU3NikpKS9GR","V9FU1RJTUFURSgnRVBTJywnTUVBTicsJ0FOTlVBTF9ST0xMJywnKzEnLDQwNTc2LCwsJycp&amp;WINDOW=FIRST_POPUP&amp;HEIGHT=450&amp;WIDTH=450&amp;START_MAXIMIZED=FALSE&amp;VAR:CALENDAR=US&amp;VAR:SYMBOL=98433210&amp;VAR:INDEX=0"}</definedName>
    <definedName name="_70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1088"}</definedName>
    <definedName name="_7020__FDSAUDITLINK__">{"fdsup://directions/FAT Viewer?action=UPDATE&amp;creator=factset&amp;DYN_ARGS=TRUE&amp;DOC_NAME=FAT:FQL_AUDITING_CLIENT_TEMPLATE.FAT&amp;display_string=Audit&amp;VAR:KEY=BIDOBOHSVM&amp;VAR:QUERY=KFBfUFJJQ0UoNDA1NzUpLShGRl9DQVNIX1NUKFFUUiw0MDU3NSkvUF9DT01fU0hTX09VVCg0MDU3NSkpKS9GR","V9FU1RJTUFURSgnRVBTJywnTUVBTicsJ0FOTlVBTF9ST0xMJywnKzEnLDQwNTc1LCwsJycp&amp;WINDOW=FIRST_POPUP&amp;HEIGHT=450&amp;WIDTH=450&amp;START_MAXIMIZED=FALSE&amp;VAR:CALENDAR=US&amp;VAR:SYMBOL=98433210&amp;VAR:INDEX=0"}</definedName>
    <definedName name="_7021__FDSAUDITLINK__">{"fdsup://directions/FAT Viewer?action=UPDATE&amp;creator=factset&amp;DYN_ARGS=TRUE&amp;DOC_NAME=FAT:FQL_AUDITING_CLIENT_TEMPLATE.FAT&amp;display_string=Audit&amp;VAR:KEY=BIDOBOHSVM&amp;VAR:QUERY=KFBfUFJJQ0UoNDA1NzUpLShGRl9DQVNIX1NUKFFUUiw0MDU3NSkvUF9DT01fU0hTX09VVCg0MDU3NSkpKS9GR","V9FU1RJTUFURSgnRVBTJywnTUVBTicsJ0FOTlVBTF9ST0xMJywnKzEnLDQwNTc1LCwsJycp&amp;WINDOW=FIRST_POPUP&amp;HEIGHT=450&amp;WIDTH=450&amp;START_MAXIMIZED=FALSE&amp;VAR:CALENDAR=US&amp;VAR:SYMBOL=98433210&amp;VAR:INDEX=0"}</definedName>
    <definedName name="_7022__FDSAUDITLINK__">{"fdsup://directions/FAT Viewer?action=UPDATE&amp;creator=factset&amp;DYN_ARGS=TRUE&amp;DOC_NAME=FAT:FQL_AUDITING_CLIENT_TEMPLATE.FAT&amp;display_string=Audit&amp;VAR:KEY=HGJYBWLEFE&amp;VAR:QUERY=KFBfUFJJQ0UoNDA1NzQpLShGRl9DQVNIX1NUKFFUUiw0MDU3NCkvUF9DT01fU0hTX09VVCg0MDU3NCkpKS9GR","V9FU1RJTUFURSgnRVBTJywnTUVBTicsJ0FOTlVBTF9ST0xMJywnKzEnLDQwNTc0LCwsJycp&amp;WINDOW=FIRST_POPUP&amp;HEIGHT=450&amp;WIDTH=450&amp;START_MAXIMIZED=FALSE&amp;VAR:CALENDAR=US&amp;VAR:SYMBOL=98433210&amp;VAR:INDEX=0"}</definedName>
    <definedName name="_7023__FDSAUDITLINK__">{"fdsup://directions/FAT Viewer?action=UPDATE&amp;creator=factset&amp;DYN_ARGS=TRUE&amp;DOC_NAME=FAT:FQL_AUDITING_CLIENT_TEMPLATE.FAT&amp;display_string=Audit&amp;VAR:KEY=HGJYBWLEFE&amp;VAR:QUERY=KFBfUFJJQ0UoNDA1NzQpLShGRl9DQVNIX1NUKFFUUiw0MDU3NCkvUF9DT01fU0hTX09VVCg0MDU3NCkpKS9GR","V9FU1RJTUFURSgnRVBTJywnTUVBTicsJ0FOTlVBTF9ST0xMJywnKzEnLDQwNTc0LCwsJycp&amp;WINDOW=FIRST_POPUP&amp;HEIGHT=450&amp;WIDTH=450&amp;START_MAXIMIZED=FALSE&amp;VAR:CALENDAR=US&amp;VAR:SYMBOL=98433210&amp;VAR:INDEX=0"}</definedName>
    <definedName name="_7024__FDSAUDITLINK__">{"fdsup://directions/FAT Viewer?action=UPDATE&amp;creator=factset&amp;DYN_ARGS=TRUE&amp;DOC_NAME=FAT:FQL_AUDITING_CLIENT_TEMPLATE.FAT&amp;display_string=Audit&amp;VAR:KEY=DKXYHQZUVW&amp;VAR:QUERY=KFBfUFJJQ0UoNDA1NzMpLShGRl9DQVNIX1NUKFFUUiw0MDU3MykvUF9DT01fU0hTX09VVCg0MDU3MykpKS9GR","V9FU1RJTUFURSgnRVBTJywnTUVBTicsJ0FOTlVBTF9ST0xMJywnKzEnLDQwNTczLCwsJycp&amp;WINDOW=FIRST_POPUP&amp;HEIGHT=450&amp;WIDTH=450&amp;START_MAXIMIZED=FALSE&amp;VAR:CALENDAR=US&amp;VAR:SYMBOL=98433210&amp;VAR:INDEX=0"}</definedName>
    <definedName name="_7025__FDSAUDITLINK__">{"fdsup://directions/FAT Viewer?action=UPDATE&amp;creator=factset&amp;DYN_ARGS=TRUE&amp;DOC_NAME=FAT:FQL_AUDITING_CLIENT_TEMPLATE.FAT&amp;display_string=Audit&amp;VAR:KEY=DKXYHQZUVW&amp;VAR:QUERY=KFBfUFJJQ0UoNDA1NzMpLShGRl9DQVNIX1NUKFFUUiw0MDU3MykvUF9DT01fU0hTX09VVCg0MDU3MykpKS9GR","V9FU1RJTUFURSgnRVBTJywnTUVBTicsJ0FOTlVBTF9ST0xMJywnKzEnLDQwNTczLCwsJycp&amp;WINDOW=FIRST_POPUP&amp;HEIGHT=450&amp;WIDTH=450&amp;START_MAXIMIZED=FALSE&amp;VAR:CALENDAR=US&amp;VAR:SYMBOL=98433210&amp;VAR:INDEX=0"}</definedName>
    <definedName name="_7026__FDSAUDITLINK__">{"fdsup://directions/FAT Viewer?action=UPDATE&amp;creator=factset&amp;DYN_ARGS=TRUE&amp;DOC_NAME=FAT:FQL_AUDITING_CLIENT_TEMPLATE.FAT&amp;display_string=Audit&amp;VAR:KEY=POJAFYXGJQ&amp;VAR:QUERY=KFBfUFJJQ0UoNDA1NzIpLShGRl9DQVNIX1NUKFFUUiw0MDU3MikvUF9DT01fU0hTX09VVCg0MDU3MikpKS9GR","V9FU1RJTUFURSgnRVBTJywnTUVBTicsJ0FOTlVBTF9ST0xMJywnKzEnLDQwNTcyLCwsJycp&amp;WINDOW=FIRST_POPUP&amp;HEIGHT=450&amp;WIDTH=450&amp;START_MAXIMIZED=FALSE&amp;VAR:CALENDAR=US&amp;VAR:SYMBOL=98433210&amp;VAR:INDEX=0"}</definedName>
    <definedName name="_7027__FDSAUDITLINK__">{"fdsup://directions/FAT Viewer?action=UPDATE&amp;creator=factset&amp;DYN_ARGS=TRUE&amp;DOC_NAME=FAT:FQL_AUDITING_CLIENT_TEMPLATE.FAT&amp;display_string=Audit&amp;VAR:KEY=POJAFYXGJQ&amp;VAR:QUERY=KFBfUFJJQ0UoNDA1NzIpLShGRl9DQVNIX1NUKFFUUiw0MDU3MikvUF9DT01fU0hTX09VVCg0MDU3MikpKS9GR","V9FU1RJTUFURSgnRVBTJywnTUVBTicsJ0FOTlVBTF9ST0xMJywnKzEnLDQwNTcyLCwsJycp&amp;WINDOW=FIRST_POPUP&amp;HEIGHT=450&amp;WIDTH=450&amp;START_MAXIMIZED=FALSE&amp;VAR:CALENDAR=US&amp;VAR:SYMBOL=98433210&amp;VAR:INDEX=0"}</definedName>
    <definedName name="_7028__FDSAUDITLINK__">{"fdsup://directions/FAT Viewer?action=UPDATE&amp;creator=factset&amp;DYN_ARGS=TRUE&amp;DOC_NAME=FAT:FQL_AUDITING_CLIENT_TEMPLATE.FAT&amp;display_string=Audit&amp;VAR:KEY=JQTQZELIBI&amp;VAR:QUERY=KFBfUFJJQ0UoNDA1NzEpLShGRl9DQVNIX1NUKFFUUiw0MDU3MSkvUF9DT01fU0hTX09VVCg0MDU3MSkpKS9GR","V9FU1RJTUFURSgnRVBTJywnTUVBTicsJ0FOTlVBTF9ST0xMJywnKzEnLDQwNTcxLCwsJycp&amp;WINDOW=FIRST_POPUP&amp;HEIGHT=450&amp;WIDTH=450&amp;START_MAXIMIZED=FALSE&amp;VAR:CALENDAR=US&amp;VAR:SYMBOL=98433210&amp;VAR:INDEX=0"}</definedName>
    <definedName name="_7029__FDSAUDITLINK__">{"fdsup://directions/FAT Viewer?action=UPDATE&amp;creator=factset&amp;DYN_ARGS=TRUE&amp;DOC_NAME=FAT:FQL_AUDITING_CLIENT_TEMPLATE.FAT&amp;display_string=Audit&amp;VAR:KEY=JQTQZELIBI&amp;VAR:QUERY=KFBfUFJJQ0UoNDA1NzEpLShGRl9DQVNIX1NUKFFUUiw0MDU3MSkvUF9DT01fU0hTX09VVCg0MDU3MSkpKS9GR","V9FU1RJTUFURSgnRVBTJywnTUVBTicsJ0FOTlVBTF9ST0xMJywnKzEnLDQwNTcxLCwsJycp&amp;WINDOW=FIRST_POPUP&amp;HEIGHT=450&amp;WIDTH=450&amp;START_MAXIMIZED=FALSE&amp;VAR:CALENDAR=US&amp;VAR:SYMBOL=98433210&amp;VAR:INDEX=0"}</definedName>
    <definedName name="_70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1087"}</definedName>
    <definedName name="_7030__FDSAUDITLINK__">{"fdsup://directions/FAT Viewer?action=UPDATE&amp;creator=factset&amp;DYN_ARGS=TRUE&amp;DOC_NAME=FAT:FQL_AUDITING_CLIENT_TEMPLATE.FAT&amp;display_string=Audit&amp;VAR:KEY=HOFULYLEPS&amp;VAR:QUERY=KFBfUFJJQ0UoNDA1NzApLShGRl9DQVNIX1NUKFFUUiw0MDU3MCkvUF9DT01fU0hTX09VVCg0MDU3MCkpKS9GR","V9FU1RJTUFURSgnRVBTJywnTUVBTicsJ0FOTlVBTF9ST0xMJywnKzEnLDQwNTcwLCwsJycp&amp;WINDOW=FIRST_POPUP&amp;HEIGHT=450&amp;WIDTH=450&amp;START_MAXIMIZED=FALSE&amp;VAR:CALENDAR=US&amp;VAR:SYMBOL=98433210&amp;VAR:INDEX=0"}</definedName>
    <definedName name="_7031__FDSAUDITLINK__">{"fdsup://directions/FAT Viewer?action=UPDATE&amp;creator=factset&amp;DYN_ARGS=TRUE&amp;DOC_NAME=FAT:FQL_AUDITING_CLIENT_TEMPLATE.FAT&amp;display_string=Audit&amp;VAR:KEY=HOFULYLEPS&amp;VAR:QUERY=KFBfUFJJQ0UoNDA1NzApLShGRl9DQVNIX1NUKFFUUiw0MDU3MCkvUF9DT01fU0hTX09VVCg0MDU3MCkpKS9GR","V9FU1RJTUFURSgnRVBTJywnTUVBTicsJ0FOTlVBTF9ST0xMJywnKzEnLDQwNTcwLCwsJycp&amp;WINDOW=FIRST_POPUP&amp;HEIGHT=450&amp;WIDTH=450&amp;START_MAXIMIZED=FALSE&amp;VAR:CALENDAR=US&amp;VAR:SYMBOL=98433210&amp;VAR:INDEX=0"}</definedName>
    <definedName name="_7032__FDSAUDITLINK__">{"fdsup://directions/FAT Viewer?action=UPDATE&amp;creator=factset&amp;DYN_ARGS=TRUE&amp;DOC_NAME=FAT:FQL_AUDITING_CLIENT_TEMPLATE.FAT&amp;display_string=Audit&amp;VAR:KEY=BWTALMBQNK&amp;VAR:QUERY=KFBfUFJJQ0UoNDA1NjkpLShGRl9DQVNIX1NUKFFUUiw0MDU2OSkvUF9DT01fU0hTX09VVCg0MDU2OSkpKS9GR","V9FU1RJTUFURSgnRVBTJywnTUVBTicsJ0FOTlVBTF9ST0xMJywnKzEnLDQwNTY5LCwsJycp&amp;WINDOW=FIRST_POPUP&amp;HEIGHT=450&amp;WIDTH=450&amp;START_MAXIMIZED=FALSE&amp;VAR:CALENDAR=US&amp;VAR:SYMBOL=98433210&amp;VAR:INDEX=0"}</definedName>
    <definedName name="_7033__FDSAUDITLINK__">{"fdsup://directions/FAT Viewer?action=UPDATE&amp;creator=factset&amp;DYN_ARGS=TRUE&amp;DOC_NAME=FAT:FQL_AUDITING_CLIENT_TEMPLATE.FAT&amp;display_string=Audit&amp;VAR:KEY=BWTALMBQNK&amp;VAR:QUERY=KFBfUFJJQ0UoNDA1NjkpLShGRl9DQVNIX1NUKFFUUiw0MDU2OSkvUF9DT01fU0hTX09VVCg0MDU2OSkpKS9GR","V9FU1RJTUFURSgnRVBTJywnTUVBTicsJ0FOTlVBTF9ST0xMJywnKzEnLDQwNTY5LCwsJycp&amp;WINDOW=FIRST_POPUP&amp;HEIGHT=450&amp;WIDTH=450&amp;START_MAXIMIZED=FALSE&amp;VAR:CALENDAR=US&amp;VAR:SYMBOL=98433210&amp;VAR:INDEX=0"}</definedName>
    <definedName name="_7034__FDSAUDITLINK__">{"fdsup://directions/FAT Viewer?action=UPDATE&amp;creator=factset&amp;DYN_ARGS=TRUE&amp;DOC_NAME=FAT:FQL_AUDITING_CLIENT_TEMPLATE.FAT&amp;display_string=Audit&amp;VAR:KEY=DKDANGLOPC&amp;VAR:QUERY=KFBfUFJJQ0UoNDA1NjgpLShGRl9DQVNIX1NUKFFUUiw0MDU2OCkvUF9DT01fU0hTX09VVCg0MDU2OCkpKS9GR","V9FU1RJTUFURSgnRVBTJywnTUVBTicsJ0FOTlVBTF9ST0xMJywnKzEnLDQwNTY4LCwsJycp&amp;WINDOW=FIRST_POPUP&amp;HEIGHT=450&amp;WIDTH=450&amp;START_MAXIMIZED=FALSE&amp;VAR:CALENDAR=US&amp;VAR:SYMBOL=98433210&amp;VAR:INDEX=0"}</definedName>
    <definedName name="_7035__FDSAUDITLINK__">{"fdsup://directions/FAT Viewer?action=UPDATE&amp;creator=factset&amp;DYN_ARGS=TRUE&amp;DOC_NAME=FAT:FQL_AUDITING_CLIENT_TEMPLATE.FAT&amp;display_string=Audit&amp;VAR:KEY=DKDANGLOPC&amp;VAR:QUERY=KFBfUFJJQ0UoNDA1NjgpLShGRl9DQVNIX1NUKFFUUiw0MDU2OCkvUF9DT01fU0hTX09VVCg0MDU2OCkpKS9GR","V9FU1RJTUFURSgnRVBTJywnTUVBTicsJ0FOTlVBTF9ST0xMJywnKzEnLDQwNTY4LCwsJycp&amp;WINDOW=FIRST_POPUP&amp;HEIGHT=450&amp;WIDTH=450&amp;START_MAXIMIZED=FALSE&amp;VAR:CALENDAR=US&amp;VAR:SYMBOL=98433210&amp;VAR:INDEX=0"}</definedName>
    <definedName name="_7036__FDSAUDITLINK__">{"fdsup://directions/FAT Viewer?action=UPDATE&amp;creator=factset&amp;DYN_ARGS=TRUE&amp;DOC_NAME=FAT:FQL_AUDITING_CLIENT_TEMPLATE.FAT&amp;display_string=Audit&amp;VAR:KEY=PKHUXAXMJO&amp;VAR:QUERY=KFBfUFJJQ0UoNDA1NjcpLShGRl9DQVNIX1NUKFFUUiw0MDU2NykvUF9DT01fU0hTX09VVCg0MDU2NykpKS9GR","V9FU1RJTUFURSgnRVBTJywnTUVBTicsJ0FOTlVBTF9ST0xMJywnKzEnLDQwNTY3LCwsJycp&amp;WINDOW=FIRST_POPUP&amp;HEIGHT=450&amp;WIDTH=450&amp;START_MAXIMIZED=FALSE&amp;VAR:CALENDAR=US&amp;VAR:SYMBOL=98433210&amp;VAR:INDEX=0"}</definedName>
    <definedName name="_7037__FDSAUDITLINK__">{"fdsup://directions/FAT Viewer?action=UPDATE&amp;creator=factset&amp;DYN_ARGS=TRUE&amp;DOC_NAME=FAT:FQL_AUDITING_CLIENT_TEMPLATE.FAT&amp;display_string=Audit&amp;VAR:KEY=PKHUXAXMJO&amp;VAR:QUERY=KFBfUFJJQ0UoNDA1NjcpLShGRl9DQVNIX1NUKFFUUiw0MDU2NykvUF9DT01fU0hTX09VVCg0MDU2NykpKS9GR","V9FU1RJTUFURSgnRVBTJywnTUVBTicsJ0FOTlVBTF9ST0xMJywnKzEnLDQwNTY3LCwsJycp&amp;WINDOW=FIRST_POPUP&amp;HEIGHT=450&amp;WIDTH=450&amp;START_MAXIMIZED=FALSE&amp;VAR:CALENDAR=US&amp;VAR:SYMBOL=98433210&amp;VAR:INDEX=0"}</definedName>
    <definedName name="_7038__FDSAUDITLINK__">{"fdsup://directions/FAT Viewer?action=UPDATE&amp;creator=factset&amp;DYN_ARGS=TRUE&amp;DOC_NAME=FAT:FQL_AUDITING_CLIENT_TEMPLATE.FAT&amp;display_string=Audit&amp;VAR:KEY=JEXQJSTIJK&amp;VAR:QUERY=KFBfUFJJQ0UoNDA1NjYpLShGRl9DQVNIX1NUKFFUUiw0MDU2NikvUF9DT01fU0hTX09VVCg0MDU2NikpKS9GR","V9FU1RJTUFURSgnRVBTJywnTUVBTicsJ0FOTlVBTF9ST0xMJywnKzEnLDQwNTY2LCwsJycp&amp;WINDOW=FIRST_POPUP&amp;HEIGHT=450&amp;WIDTH=450&amp;START_MAXIMIZED=FALSE&amp;VAR:CALENDAR=US&amp;VAR:SYMBOL=98433210&amp;VAR:INDEX=0"}</definedName>
    <definedName name="_7039__FDSAUDITLINK__">{"fdsup://directions/FAT Viewer?action=UPDATE&amp;creator=factset&amp;DYN_ARGS=TRUE&amp;DOC_NAME=FAT:FQL_AUDITING_CLIENT_TEMPLATE.FAT&amp;display_string=Audit&amp;VAR:KEY=JEXQJSTIJK&amp;VAR:QUERY=KFBfUFJJQ0UoNDA1NjYpLShGRl9DQVNIX1NUKFFUUiw0MDU2NikvUF9DT01fU0hTX09VVCg0MDU2NikpKS9GR","V9FU1RJTUFURSgnRVBTJywnTUVBTicsJ0FOTlVBTF9ST0xMJywnKzEnLDQwNTY2LCwsJycp&amp;WINDOW=FIRST_POPUP&amp;HEIGHT=450&amp;WIDTH=450&amp;START_MAXIMIZED=FALSE&amp;VAR:CALENDAR=US&amp;VAR:SYMBOL=98433210&amp;VAR:INDEX=0"}</definedName>
    <definedName name="_70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1086"}</definedName>
    <definedName name="_7040__FDSAUDITLINK__">{"fdsup://directions/FAT Viewer?action=UPDATE&amp;creator=factset&amp;DYN_ARGS=TRUE&amp;DOC_NAME=FAT:FQL_AUDITING_CLIENT_TEMPLATE.FAT&amp;display_string=Audit&amp;VAR:KEY=VSPWZCTMFE&amp;VAR:QUERY=KFBfUFJJQ0UoNDA1NjUpLShGRl9DQVNIX1NUKFFUUiw0MDU2NSkvUF9DT01fU0hTX09VVCg0MDU2NSkpKS9GR","V9FU1RJTUFURSgnRVBTJywnTUVBTicsJ0FOTlVBTF9ST0xMJywnKzEnLDQwNTY1LCwsJycp&amp;WINDOW=FIRST_POPUP&amp;HEIGHT=450&amp;WIDTH=450&amp;START_MAXIMIZED=FALSE&amp;VAR:CALENDAR=US&amp;VAR:SYMBOL=98433210&amp;VAR:INDEX=0"}</definedName>
    <definedName name="_7041__FDSAUDITLINK__">{"fdsup://directions/FAT Viewer?action=UPDATE&amp;creator=factset&amp;DYN_ARGS=TRUE&amp;DOC_NAME=FAT:FQL_AUDITING_CLIENT_TEMPLATE.FAT&amp;display_string=Audit&amp;VAR:KEY=VSPWZCTMFE&amp;VAR:QUERY=KFBfUFJJQ0UoNDA1NjUpLShGRl9DQVNIX1NUKFFUUiw0MDU2NSkvUF9DT01fU0hTX09VVCg0MDU2NSkpKS9GR","V9FU1RJTUFURSgnRVBTJywnTUVBTicsJ0FOTlVBTF9ST0xMJywnKzEnLDQwNTY1LCwsJycp&amp;WINDOW=FIRST_POPUP&amp;HEIGHT=450&amp;WIDTH=450&amp;START_MAXIMIZED=FALSE&amp;VAR:CALENDAR=US&amp;VAR:SYMBOL=98433210&amp;VAR:INDEX=0"}</definedName>
    <definedName name="_7042__FDSAUDITLINK__">{"fdsup://directions/FAT Viewer?action=UPDATE&amp;creator=factset&amp;DYN_ARGS=TRUE&amp;DOC_NAME=FAT:FQL_AUDITING_CLIENT_TEMPLATE.FAT&amp;display_string=Audit&amp;VAR:KEY=BEVEPAXAZK&amp;VAR:QUERY=KFBfUFJJQ0UoNDA1NjQpLShGRl9DQVNIX1NUKFFUUiw0MDU2NCkvUF9DT01fU0hTX09VVCg0MDU2NCkpKS9GR","V9FU1RJTUFURSgnRVBTJywnTUVBTicsJ0FOTlVBTF9ST0xMJywnKzEnLDQwNTY0LCwsJycp&amp;WINDOW=FIRST_POPUP&amp;HEIGHT=450&amp;WIDTH=450&amp;START_MAXIMIZED=FALSE&amp;VAR:CALENDAR=US&amp;VAR:SYMBOL=98433210&amp;VAR:INDEX=0"}</definedName>
    <definedName name="_7043__FDSAUDITLINK__">{"fdsup://directions/FAT Viewer?action=UPDATE&amp;creator=factset&amp;DYN_ARGS=TRUE&amp;DOC_NAME=FAT:FQL_AUDITING_CLIENT_TEMPLATE.FAT&amp;display_string=Audit&amp;VAR:KEY=BEVEPAXAZK&amp;VAR:QUERY=KFBfUFJJQ0UoNDA1NjQpLShGRl9DQVNIX1NUKFFUUiw0MDU2NCkvUF9DT01fU0hTX09VVCg0MDU2NCkpKS9GR","V9FU1RJTUFURSgnRVBTJywnTUVBTicsJ0FOTlVBTF9ST0xMJywnKzEnLDQwNTY0LCwsJycp&amp;WINDOW=FIRST_POPUP&amp;HEIGHT=450&amp;WIDTH=450&amp;START_MAXIMIZED=FALSE&amp;VAR:CALENDAR=US&amp;VAR:SYMBOL=98433210&amp;VAR:INDEX=0"}</definedName>
    <definedName name="_7044__FDSAUDITLINK__">{"fdsup://directions/FAT Viewer?action=UPDATE&amp;creator=factset&amp;DYN_ARGS=TRUE&amp;DOC_NAME=FAT:FQL_AUDITING_CLIENT_TEMPLATE.FAT&amp;display_string=Audit&amp;VAR:KEY=TEXYNSFWNG&amp;VAR:QUERY=KFBfUFJJQ0UoNDA1NjMpLShGRl9DQVNIX1NUKFFUUiw0MDU2MykvUF9DT01fU0hTX09VVCg0MDU2MykpKS9GR","V9FU1RJTUFURSgnRVBTJywnTUVBTicsJ0FOTlVBTF9ST0xMJywnKzEnLDQwNTYzLCwsJycp&amp;WINDOW=FIRST_POPUP&amp;HEIGHT=450&amp;WIDTH=450&amp;START_MAXIMIZED=FALSE&amp;VAR:CALENDAR=US&amp;VAR:SYMBOL=98433210&amp;VAR:INDEX=0"}</definedName>
    <definedName name="_7045__FDSAUDITLINK__">{"fdsup://directions/FAT Viewer?action=UPDATE&amp;creator=factset&amp;DYN_ARGS=TRUE&amp;DOC_NAME=FAT:FQL_AUDITING_CLIENT_TEMPLATE.FAT&amp;display_string=Audit&amp;VAR:KEY=TEXYNSFWNG&amp;VAR:QUERY=KFBfUFJJQ0UoNDA1NjMpLShGRl9DQVNIX1NUKFFUUiw0MDU2MykvUF9DT01fU0hTX09VVCg0MDU2MykpKS9GR","V9FU1RJTUFURSgnRVBTJywnTUVBTicsJ0FOTlVBTF9ST0xMJywnKzEnLDQwNTYzLCwsJycp&amp;WINDOW=FIRST_POPUP&amp;HEIGHT=450&amp;WIDTH=450&amp;START_MAXIMIZED=FALSE&amp;VAR:CALENDAR=US&amp;VAR:SYMBOL=98433210&amp;VAR:INDEX=0"}</definedName>
    <definedName name="_7046__FDSAUDITLINK__">{"fdsup://directions/FAT Viewer?action=UPDATE&amp;creator=factset&amp;DYN_ARGS=TRUE&amp;DOC_NAME=FAT:FQL_AUDITING_CLIENT_TEMPLATE.FAT&amp;display_string=Audit&amp;VAR:KEY=ZUFYHQFWTI&amp;VAR:QUERY=KFBfUFJJQ0UoNDA1NjIpLShGRl9DQVNIX1NUKFFUUiw0MDU2MikvUF9DT01fU0hTX09VVCg0MDU2MikpKS9GR","V9FU1RJTUFURSgnRVBTJywnTUVBTicsJ0FOTlVBTF9ST0xMJywnKzEnLDQwNTYyLCwsJycp&amp;WINDOW=FIRST_POPUP&amp;HEIGHT=450&amp;WIDTH=450&amp;START_MAXIMIZED=FALSE&amp;VAR:CALENDAR=US&amp;VAR:SYMBOL=98433210&amp;VAR:INDEX=0"}</definedName>
    <definedName name="_7047__FDSAUDITLINK__">{"fdsup://directions/FAT Viewer?action=UPDATE&amp;creator=factset&amp;DYN_ARGS=TRUE&amp;DOC_NAME=FAT:FQL_AUDITING_CLIENT_TEMPLATE.FAT&amp;display_string=Audit&amp;VAR:KEY=ZUFYHQFWTI&amp;VAR:QUERY=KFBfUFJJQ0UoNDA1NjIpLShGRl9DQVNIX1NUKFFUUiw0MDU2MikvUF9DT01fU0hTX09VVCg0MDU2MikpKS9GR","V9FU1RJTUFURSgnRVBTJywnTUVBTicsJ0FOTlVBTF9ST0xMJywnKzEnLDQwNTYyLCwsJycp&amp;WINDOW=FIRST_POPUP&amp;HEIGHT=450&amp;WIDTH=450&amp;START_MAXIMIZED=FALSE&amp;VAR:CALENDAR=US&amp;VAR:SYMBOL=98433210&amp;VAR:INDEX=0"}</definedName>
    <definedName name="_7048__FDSAUDITLINK__">{"fdsup://directions/FAT Viewer?action=UPDATE&amp;creator=factset&amp;DYN_ARGS=TRUE&amp;DOC_NAME=FAT:FQL_AUDITING_CLIENT_TEMPLATE.FAT&amp;display_string=Audit&amp;VAR:KEY=PYBMHCBYRG&amp;VAR:QUERY=KFBfUFJJQ0UoNDA1NjEpLShGRl9DQVNIX1NUKFFUUiw0MDU2MSkvUF9DT01fU0hTX09VVCg0MDU2MSkpKS9GR","V9FU1RJTUFURSgnRVBTJywnTUVBTicsJ0FOTlVBTF9ST0xMJywnKzEnLDQwNTYxLCwsJycp&amp;WINDOW=FIRST_POPUP&amp;HEIGHT=450&amp;WIDTH=450&amp;START_MAXIMIZED=FALSE&amp;VAR:CALENDAR=US&amp;VAR:SYMBOL=98433210&amp;VAR:INDEX=0"}</definedName>
    <definedName name="_7049__FDSAUDITLINK__">{"fdsup://directions/FAT Viewer?action=UPDATE&amp;creator=factset&amp;DYN_ARGS=TRUE&amp;DOC_NAME=FAT:FQL_AUDITING_CLIENT_TEMPLATE.FAT&amp;display_string=Audit&amp;VAR:KEY=PYBMHCBYRG&amp;VAR:QUERY=KFBfUFJJQ0UoNDA1NjEpLShGRl9DQVNIX1NUKFFUUiw0MDU2MSkvUF9DT01fU0hTX09VVCg0MDU2MSkpKS9GR","V9FU1RJTUFURSgnRVBTJywnTUVBTicsJ0FOTlVBTF9ST0xMJywnKzEnLDQwNTYxLCwsJycp&amp;WINDOW=FIRST_POPUP&amp;HEIGHT=450&amp;WIDTH=450&amp;START_MAXIMIZED=FALSE&amp;VAR:CALENDAR=US&amp;VAR:SYMBOL=98433210&amp;VAR:INDEX=0"}</definedName>
    <definedName name="_70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1085"}</definedName>
    <definedName name="_7050__FDSAUDITLINK__">{"fdsup://directions/FAT Viewer?action=UPDATE&amp;creator=factset&amp;DYN_ARGS=TRUE&amp;DOC_NAME=FAT:FQL_AUDITING_CLIENT_TEMPLATE.FAT&amp;display_string=Audit&amp;VAR:KEY=FIHIRQHCXM&amp;VAR:QUERY=KFBfUFJJQ0UoNDA1NjApLShGRl9DQVNIX1NUKFFUUiw0MDU2MCkvUF9DT01fU0hTX09VVCg0MDU2MCkpKS9GR","V9FU1RJTUFURSgnRVBTJywnTUVBTicsJ0FOTlVBTF9ST0xMJywnKzEnLDQwNTYwLCwsJycp&amp;WINDOW=FIRST_POPUP&amp;HEIGHT=450&amp;WIDTH=450&amp;START_MAXIMIZED=FALSE&amp;VAR:CALENDAR=US&amp;VAR:SYMBOL=98433210&amp;VAR:INDEX=0"}</definedName>
    <definedName name="_7051__FDSAUDITLINK__">{"fdsup://directions/FAT Viewer?action=UPDATE&amp;creator=factset&amp;DYN_ARGS=TRUE&amp;DOC_NAME=FAT:FQL_AUDITING_CLIENT_TEMPLATE.FAT&amp;display_string=Audit&amp;VAR:KEY=FIHIRQHCXM&amp;VAR:QUERY=KFBfUFJJQ0UoNDA1NjApLShGRl9DQVNIX1NUKFFUUiw0MDU2MCkvUF9DT01fU0hTX09VVCg0MDU2MCkpKS9GR","V9FU1RJTUFURSgnRVBTJywnTUVBTicsJ0FOTlVBTF9ST0xMJywnKzEnLDQwNTYwLCwsJycp&amp;WINDOW=FIRST_POPUP&amp;HEIGHT=450&amp;WIDTH=450&amp;START_MAXIMIZED=FALSE&amp;VAR:CALENDAR=US&amp;VAR:SYMBOL=98433210&amp;VAR:INDEX=0"}</definedName>
    <definedName name="_7052__FDSAUDITLINK__">{"fdsup://directions/FAT Viewer?action=UPDATE&amp;creator=factset&amp;DYN_ARGS=TRUE&amp;DOC_NAME=FAT:FQL_AUDITING_CLIENT_TEMPLATE.FAT&amp;display_string=Audit&amp;VAR:KEY=PCLEHMHAFK&amp;VAR:QUERY=KFBfUFJJQ0UoNDA1NTkpLShGRl9DQVNIX1NUKFFUUiw0MDU1OSkvUF9DT01fU0hTX09VVCg0MDU1OSkpKS9GR","V9FU1RJTUFURSgnRVBTJywnTUVBTicsJ0FOTlVBTF9ST0xMJywnKzEnLDQwNTU5LCwsJycp&amp;WINDOW=FIRST_POPUP&amp;HEIGHT=450&amp;WIDTH=450&amp;START_MAXIMIZED=FALSE&amp;VAR:CALENDAR=US&amp;VAR:SYMBOL=98433210&amp;VAR:INDEX=0"}</definedName>
    <definedName name="_7053__FDSAUDITLINK__">{"fdsup://directions/FAT Viewer?action=UPDATE&amp;creator=factset&amp;DYN_ARGS=TRUE&amp;DOC_NAME=FAT:FQL_AUDITING_CLIENT_TEMPLATE.FAT&amp;display_string=Audit&amp;VAR:KEY=PCLEHMHAFK&amp;VAR:QUERY=KFBfUFJJQ0UoNDA1NTkpLShGRl9DQVNIX1NUKFFUUiw0MDU1OSkvUF9DT01fU0hTX09VVCg0MDU1OSkpKS9GR","V9FU1RJTUFURSgnRVBTJywnTUVBTicsJ0FOTlVBTF9ST0xMJywnKzEnLDQwNTU5LCwsJycp&amp;WINDOW=FIRST_POPUP&amp;HEIGHT=450&amp;WIDTH=450&amp;START_MAXIMIZED=FALSE&amp;VAR:CALENDAR=US&amp;VAR:SYMBOL=98433210&amp;VAR:INDEX=0"}</definedName>
    <definedName name="_7054__FDSAUDITLINK__">{"fdsup://directions/FAT Viewer?action=UPDATE&amp;creator=factset&amp;DYN_ARGS=TRUE&amp;DOC_NAME=FAT:FQL_AUDITING_CLIENT_TEMPLATE.FAT&amp;display_string=Audit&amp;VAR:KEY=TUJEJUNOJM&amp;VAR:QUERY=KFBfUFJJQ0UoNDA1NTgpLShGRl9DQVNIX1NUKFFUUiw0MDU1OCkvUF9DT01fU0hTX09VVCg0MDU1OCkpKS9GR","V9FU1RJTUFURSgnRVBTJywnTUVBTicsJ0FOTlVBTF9ST0xMJywnKzEnLDQwNTU4LCwsJycp&amp;WINDOW=FIRST_POPUP&amp;HEIGHT=450&amp;WIDTH=450&amp;START_MAXIMIZED=FALSE&amp;VAR:CALENDAR=US&amp;VAR:SYMBOL=98433210&amp;VAR:INDEX=0"}</definedName>
    <definedName name="_7055__FDSAUDITLINK__">{"fdsup://directions/FAT Viewer?action=UPDATE&amp;creator=factset&amp;DYN_ARGS=TRUE&amp;DOC_NAME=FAT:FQL_AUDITING_CLIENT_TEMPLATE.FAT&amp;display_string=Audit&amp;VAR:KEY=TUJEJUNOJM&amp;VAR:QUERY=KFBfUFJJQ0UoNDA1NTgpLShGRl9DQVNIX1NUKFFUUiw0MDU1OCkvUF9DT01fU0hTX09VVCg0MDU1OCkpKS9GR","V9FU1RJTUFURSgnRVBTJywnTUVBTicsJ0FOTlVBTF9ST0xMJywnKzEnLDQwNTU4LCwsJycp&amp;WINDOW=FIRST_POPUP&amp;HEIGHT=450&amp;WIDTH=450&amp;START_MAXIMIZED=FALSE&amp;VAR:CALENDAR=US&amp;VAR:SYMBOL=98433210&amp;VAR:INDEX=0"}</definedName>
    <definedName name="_7056__FDSAUDITLINK__">{"fdsup://directions/FAT Viewer?action=UPDATE&amp;creator=factset&amp;DYN_ARGS=TRUE&amp;DOC_NAME=FAT:FQL_AUDITING_CLIENT_TEMPLATE.FAT&amp;display_string=Audit&amp;VAR:KEY=JOHODOTAFG&amp;VAR:QUERY=KFBfUFJJQ0UoNDA1NTcpLShGRl9DQVNIX1NUKFFUUiw0MDU1NykvUF9DT01fU0hTX09VVCg0MDU1NykpKS9GR","V9FU1RJTUFURSgnRVBTJywnTUVBTicsJ0FOTlVBTF9ST0xMJywnKzEnLDQwNTU3LCwsJycp&amp;WINDOW=FIRST_POPUP&amp;HEIGHT=450&amp;WIDTH=450&amp;START_MAXIMIZED=FALSE&amp;VAR:CALENDAR=US&amp;VAR:SYMBOL=98433210&amp;VAR:INDEX=0"}</definedName>
    <definedName name="_7057__FDSAUDITLINK__">{"fdsup://directions/FAT Viewer?action=UPDATE&amp;creator=factset&amp;DYN_ARGS=TRUE&amp;DOC_NAME=FAT:FQL_AUDITING_CLIENT_TEMPLATE.FAT&amp;display_string=Audit&amp;VAR:KEY=JOHODOTAFG&amp;VAR:QUERY=KFBfUFJJQ0UoNDA1NTcpLShGRl9DQVNIX1NUKFFUUiw0MDU1NykvUF9DT01fU0hTX09VVCg0MDU1NykpKS9GR","V9FU1RJTUFURSgnRVBTJywnTUVBTicsJ0FOTlVBTF9ST0xMJywnKzEnLDQwNTU3LCwsJycp&amp;WINDOW=FIRST_POPUP&amp;HEIGHT=450&amp;WIDTH=450&amp;START_MAXIMIZED=FALSE&amp;VAR:CALENDAR=US&amp;VAR:SYMBOL=98433210&amp;VAR:INDEX=0"}</definedName>
    <definedName name="_7058__FDSAUDITLINK__">{"fdsup://directions/FAT Viewer?action=UPDATE&amp;creator=factset&amp;DYN_ARGS=TRUE&amp;DOC_NAME=FAT:FQL_AUDITING_CLIENT_TEMPLATE.FAT&amp;display_string=Audit&amp;VAR:KEY=LEREPYBUFO&amp;VAR:QUERY=KFBfUFJJQ0UoNDA1NTYpLShGRl9DQVNIX1NUKFFUUiw0MDU1NikvUF9DT01fU0hTX09VVCg0MDU1NikpKS9GR","V9FU1RJTUFURSgnRVBTJywnTUVBTicsJ0FOTlVBTF9ST0xMJywnKzEnLDQwNTU2LCwsJycp&amp;WINDOW=FIRST_POPUP&amp;HEIGHT=450&amp;WIDTH=450&amp;START_MAXIMIZED=FALSE&amp;VAR:CALENDAR=US&amp;VAR:SYMBOL=98433210&amp;VAR:INDEX=0"}</definedName>
    <definedName name="_7059__FDSAUDITLINK__">{"fdsup://directions/FAT Viewer?action=UPDATE&amp;creator=factset&amp;DYN_ARGS=TRUE&amp;DOC_NAME=FAT:FQL_AUDITING_CLIENT_TEMPLATE.FAT&amp;display_string=Audit&amp;VAR:KEY=LEREPYBUFO&amp;VAR:QUERY=KFBfUFJJQ0UoNDA1NTYpLShGRl9DQVNIX1NUKFFUUiw0MDU1NikvUF9DT01fU0hTX09VVCg0MDU1NikpKS9GR","V9FU1RJTUFURSgnRVBTJywnTUVBTicsJ0FOTlVBTF9ST0xMJywnKzEnLDQwNTU2LCwsJycp&amp;WINDOW=FIRST_POPUP&amp;HEIGHT=450&amp;WIDTH=450&amp;START_MAXIMIZED=FALSE&amp;VAR:CALENDAR=US&amp;VAR:SYMBOL=98433210&amp;VAR:INDEX=0"}</definedName>
    <definedName name="_70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1084"}</definedName>
    <definedName name="_7060__FDSAUDITLINK__">{"fdsup://directions/FAT Viewer?action=UPDATE&amp;creator=factset&amp;DYN_ARGS=TRUE&amp;DOC_NAME=FAT:FQL_AUDITING_CLIENT_TEMPLATE.FAT&amp;display_string=Audit&amp;VAR:KEY=NCRYDAVMRS&amp;VAR:QUERY=KFBfUFJJQ0UoNDA1NTUpLShGRl9DQVNIX1NUKFFUUiw0MDU1NSkvUF9DT01fU0hTX09VVCg0MDU1NSkpKS9GR","V9FU1RJTUFURSgnRVBTJywnTUVBTicsJ0FOTlVBTF9ST0xMJywnKzEnLDQwNTU1LCwsJycp&amp;WINDOW=FIRST_POPUP&amp;HEIGHT=450&amp;WIDTH=450&amp;START_MAXIMIZED=FALSE&amp;VAR:CALENDAR=US&amp;VAR:SYMBOL=98433210&amp;VAR:INDEX=0"}</definedName>
    <definedName name="_7061__FDSAUDITLINK__">{"fdsup://directions/FAT Viewer?action=UPDATE&amp;creator=factset&amp;DYN_ARGS=TRUE&amp;DOC_NAME=FAT:FQL_AUDITING_CLIENT_TEMPLATE.FAT&amp;display_string=Audit&amp;VAR:KEY=NCRYDAVMRS&amp;VAR:QUERY=KFBfUFJJQ0UoNDA1NTUpLShGRl9DQVNIX1NUKFFUUiw0MDU1NSkvUF9DT01fU0hTX09VVCg0MDU1NSkpKS9GR","V9FU1RJTUFURSgnRVBTJywnTUVBTicsJ0FOTlVBTF9ST0xMJywnKzEnLDQwNTU1LCwsJycp&amp;WINDOW=FIRST_POPUP&amp;HEIGHT=450&amp;WIDTH=450&amp;START_MAXIMIZED=FALSE&amp;VAR:CALENDAR=US&amp;VAR:SYMBOL=98433210&amp;VAR:INDEX=0"}</definedName>
    <definedName name="_7062__FDSAUDITLINK__">{"fdsup://directions/FAT Viewer?action=UPDATE&amp;creator=factset&amp;DYN_ARGS=TRUE&amp;DOC_NAME=FAT:FQL_AUDITING_CLIENT_TEMPLATE.FAT&amp;display_string=Audit&amp;VAR:KEY=NKRGRAVCPO&amp;VAR:QUERY=KFBfUFJJQ0UoNDA1NTQpLShGRl9DQVNIX1NUKFFUUiw0MDU1NCkvUF9DT01fU0hTX09VVCg0MDU1NCkpKS9GR","V9FU1RJTUFURSgnRVBTJywnTUVBTicsJ0FOTlVBTF9ST0xMJywnKzEnLDQwNTU0LCwsJycp&amp;WINDOW=FIRST_POPUP&amp;HEIGHT=450&amp;WIDTH=450&amp;START_MAXIMIZED=FALSE&amp;VAR:CALENDAR=US&amp;VAR:SYMBOL=98433210&amp;VAR:INDEX=0"}</definedName>
    <definedName name="_7063__FDSAUDITLINK__">{"fdsup://directions/FAT Viewer?action=UPDATE&amp;creator=factset&amp;DYN_ARGS=TRUE&amp;DOC_NAME=FAT:FQL_AUDITING_CLIENT_TEMPLATE.FAT&amp;display_string=Audit&amp;VAR:KEY=NKRGRAVCPO&amp;VAR:QUERY=KFBfUFJJQ0UoNDA1NTQpLShGRl9DQVNIX1NUKFFUUiw0MDU1NCkvUF9DT01fU0hTX09VVCg0MDU1NCkpKS9GR","V9FU1RJTUFURSgnRVBTJywnTUVBTicsJ0FOTlVBTF9ST0xMJywnKzEnLDQwNTU0LCwsJycp&amp;WINDOW=FIRST_POPUP&amp;HEIGHT=450&amp;WIDTH=450&amp;START_MAXIMIZED=FALSE&amp;VAR:CALENDAR=US&amp;VAR:SYMBOL=98433210&amp;VAR:INDEX=0"}</definedName>
    <definedName name="_7064__FDSAUDITLINK__">{"fdsup://directions/FAT Viewer?action=UPDATE&amp;creator=factset&amp;DYN_ARGS=TRUE&amp;DOC_NAME=FAT:FQL_AUDITING_CLIENT_TEMPLATE.FAT&amp;display_string=Audit&amp;VAR:KEY=FERAZQBAXU&amp;VAR:QUERY=KFBfUFJJQ0UoNDA1NTMpLShGRl9DQVNIX1NUKFFUUiw0MDU1MykvUF9DT01fU0hTX09VVCg0MDU1MykpKS9GR","V9FU1RJTUFURSgnRVBTJywnTUVBTicsJ0FOTlVBTF9ST0xMJywnKzEnLDQwNTUzLCwsJycp&amp;WINDOW=FIRST_POPUP&amp;HEIGHT=450&amp;WIDTH=450&amp;START_MAXIMIZED=FALSE&amp;VAR:CALENDAR=US&amp;VAR:SYMBOL=98433210&amp;VAR:INDEX=0"}</definedName>
    <definedName name="_7065__FDSAUDITLINK__">{"fdsup://directions/FAT Viewer?action=UPDATE&amp;creator=factset&amp;DYN_ARGS=TRUE&amp;DOC_NAME=FAT:FQL_AUDITING_CLIENT_TEMPLATE.FAT&amp;display_string=Audit&amp;VAR:KEY=FERAZQBAXU&amp;VAR:QUERY=KFBfUFJJQ0UoNDA1NTMpLShGRl9DQVNIX1NUKFFUUiw0MDU1MykvUF9DT01fU0hTX09VVCg0MDU1MykpKS9GR","V9FU1RJTUFURSgnRVBTJywnTUVBTicsJ0FOTlVBTF9ST0xMJywnKzEnLDQwNTUzLCwsJycp&amp;WINDOW=FIRST_POPUP&amp;HEIGHT=450&amp;WIDTH=450&amp;START_MAXIMIZED=FALSE&amp;VAR:CALENDAR=US&amp;VAR:SYMBOL=98433210&amp;VAR:INDEX=0"}</definedName>
    <definedName name="_7066__FDSAUDITLINK__">{"fdsup://directions/FAT Viewer?action=UPDATE&amp;creator=factset&amp;DYN_ARGS=TRUE&amp;DOC_NAME=FAT:FQL_AUDITING_CLIENT_TEMPLATE.FAT&amp;display_string=Audit&amp;VAR:KEY=TQXQVSDILM&amp;VAR:QUERY=KFBfUFJJQ0UoNDA1NTIpLShGRl9DQVNIX1NUKFFUUiw0MDU1MikvUF9DT01fU0hTX09VVCg0MDU1MikpKS9GR","V9FU1RJTUFURSgnRVBTJywnTUVBTicsJ0FOTlVBTF9ST0xMJywnKzEnLDQwNTUyLCwsJycp&amp;WINDOW=FIRST_POPUP&amp;HEIGHT=450&amp;WIDTH=450&amp;START_MAXIMIZED=FALSE&amp;VAR:CALENDAR=US&amp;VAR:SYMBOL=98433210&amp;VAR:INDEX=0"}</definedName>
    <definedName name="_7067__FDSAUDITLINK__">{"fdsup://directions/FAT Viewer?action=UPDATE&amp;creator=factset&amp;DYN_ARGS=TRUE&amp;DOC_NAME=FAT:FQL_AUDITING_CLIENT_TEMPLATE.FAT&amp;display_string=Audit&amp;VAR:KEY=TQXQVSDILM&amp;VAR:QUERY=KFBfUFJJQ0UoNDA1NTIpLShGRl9DQVNIX1NUKFFUUiw0MDU1MikvUF9DT01fU0hTX09VVCg0MDU1MikpKS9GR","V9FU1RJTUFURSgnRVBTJywnTUVBTicsJ0FOTlVBTF9ST0xMJywnKzEnLDQwNTUyLCwsJycp&amp;WINDOW=FIRST_POPUP&amp;HEIGHT=450&amp;WIDTH=450&amp;START_MAXIMIZED=FALSE&amp;VAR:CALENDAR=US&amp;VAR:SYMBOL=98433210&amp;VAR:INDEX=0"}</definedName>
    <definedName name="_7068__FDSAUDITLINK__">{"fdsup://directions/FAT Viewer?action=UPDATE&amp;creator=factset&amp;DYN_ARGS=TRUE&amp;DOC_NAME=FAT:FQL_AUDITING_CLIENT_TEMPLATE.FAT&amp;display_string=Audit&amp;VAR:KEY=HGDQTWNKNC&amp;VAR:QUERY=KFBfUFJJQ0UoNDA1NTEpLShGRl9DQVNIX1NUKFFUUiw0MDU1MSkvUF9DT01fU0hTX09VVCg0MDU1MSkpKS9GR","V9FU1RJTUFURSgnRVBTJywnTUVBTicsJ0FOTlVBTF9ST0xMJywnKzEnLDQwNTUxLCwsJycp&amp;WINDOW=FIRST_POPUP&amp;HEIGHT=450&amp;WIDTH=450&amp;START_MAXIMIZED=FALSE&amp;VAR:CALENDAR=US&amp;VAR:SYMBOL=98433210&amp;VAR:INDEX=0"}</definedName>
    <definedName name="_7069__FDSAUDITLINK__">{"fdsup://directions/FAT Viewer?action=UPDATE&amp;creator=factset&amp;DYN_ARGS=TRUE&amp;DOC_NAME=FAT:FQL_AUDITING_CLIENT_TEMPLATE.FAT&amp;display_string=Audit&amp;VAR:KEY=HGDQTWNKNC&amp;VAR:QUERY=KFBfUFJJQ0UoNDA1NTEpLShGRl9DQVNIX1NUKFFUUiw0MDU1MSkvUF9DT01fU0hTX09VVCg0MDU1MSkpKS9GR","V9FU1RJTUFURSgnRVBTJywnTUVBTicsJ0FOTlVBTF9ST0xMJywnKzEnLDQwNTUxLCwsJycp&amp;WINDOW=FIRST_POPUP&amp;HEIGHT=450&amp;WIDTH=450&amp;START_MAXIMIZED=FALSE&amp;VAR:CALENDAR=US&amp;VAR:SYMBOL=98433210&amp;VAR:INDEX=0"}</definedName>
    <definedName name="_70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1083"}</definedName>
    <definedName name="_7070__FDSAUDITLINK__">{"fdsup://directions/FAT Viewer?action=UPDATE&amp;creator=factset&amp;DYN_ARGS=TRUE&amp;DOC_NAME=FAT:FQL_AUDITING_CLIENT_TEMPLATE.FAT&amp;display_string=Audit&amp;VAR:KEY=VQXGXOTYDS&amp;VAR:QUERY=KFBfUFJJQ0UoNDA1NTApLShGRl9DQVNIX1NUKFFUUiw0MDU1MCkvUF9DT01fU0hTX09VVCg0MDU1MCkpKS9GR","V9FU1RJTUFURSgnRVBTJywnTUVBTicsJ0FOTlVBTF9ST0xMJywnKzEnLDQwNTUwLCwsJycp&amp;WINDOW=FIRST_POPUP&amp;HEIGHT=450&amp;WIDTH=450&amp;START_MAXIMIZED=FALSE&amp;VAR:CALENDAR=US&amp;VAR:SYMBOL=98433210&amp;VAR:INDEX=0"}</definedName>
    <definedName name="_7071__FDSAUDITLINK__">{"fdsup://directions/FAT Viewer?action=UPDATE&amp;creator=factset&amp;DYN_ARGS=TRUE&amp;DOC_NAME=FAT:FQL_AUDITING_CLIENT_TEMPLATE.FAT&amp;display_string=Audit&amp;VAR:KEY=VQXGXOTYDS&amp;VAR:QUERY=KFBfUFJJQ0UoNDA1NTApLShGRl9DQVNIX1NUKFFUUiw0MDU1MCkvUF9DT01fU0hTX09VVCg0MDU1MCkpKS9GR","V9FU1RJTUFURSgnRVBTJywnTUVBTicsJ0FOTlVBTF9ST0xMJywnKzEnLDQwNTUwLCwsJycp&amp;WINDOW=FIRST_POPUP&amp;HEIGHT=450&amp;WIDTH=450&amp;START_MAXIMIZED=FALSE&amp;VAR:CALENDAR=US&amp;VAR:SYMBOL=98433210&amp;VAR:INDEX=0"}</definedName>
    <definedName name="_7072__FDSAUDITLINK__">{"fdsup://directions/FAT Viewer?action=UPDATE&amp;creator=factset&amp;DYN_ARGS=TRUE&amp;DOC_NAME=FAT:FQL_AUDITING_CLIENT_TEMPLATE.FAT&amp;display_string=Audit&amp;VAR:KEY=DWFGJSBAJI&amp;VAR:QUERY=KFBfUFJJQ0UoNDA1NDkpLShGRl9DQVNIX1NUKFFUUiw0MDU0OSkvUF9DT01fU0hTX09VVCg0MDU0OSkpKS9GR","V9FU1RJTUFURSgnRVBTJywnTUVBTicsJ0FOTlVBTF9ST0xMJywnKzEnLDQwNTQ5LCwsJycp&amp;WINDOW=FIRST_POPUP&amp;HEIGHT=450&amp;WIDTH=450&amp;START_MAXIMIZED=FALSE&amp;VAR:CALENDAR=US&amp;VAR:SYMBOL=98433210&amp;VAR:INDEX=0"}</definedName>
    <definedName name="_7073__FDSAUDITLINK__">{"fdsup://directions/FAT Viewer?action=UPDATE&amp;creator=factset&amp;DYN_ARGS=TRUE&amp;DOC_NAME=FAT:FQL_AUDITING_CLIENT_TEMPLATE.FAT&amp;display_string=Audit&amp;VAR:KEY=DWFGJSBAJI&amp;VAR:QUERY=KFBfUFJJQ0UoNDA1NDkpLShGRl9DQVNIX1NUKFFUUiw0MDU0OSkvUF9DT01fU0hTX09VVCg0MDU0OSkpKS9GR","V9FU1RJTUFURSgnRVBTJywnTUVBTicsJ0FOTlVBTF9ST0xMJywnKzEnLDQwNTQ5LCwsJycp&amp;WINDOW=FIRST_POPUP&amp;HEIGHT=450&amp;WIDTH=450&amp;START_MAXIMIZED=FALSE&amp;VAR:CALENDAR=US&amp;VAR:SYMBOL=98433210&amp;VAR:INDEX=0"}</definedName>
    <definedName name="_7074__FDSAUDITLINK__">{"fdsup://directions/FAT Viewer?action=UPDATE&amp;creator=factset&amp;DYN_ARGS=TRUE&amp;DOC_NAME=FAT:FQL_AUDITING_CLIENT_TEMPLATE.FAT&amp;display_string=Audit&amp;VAR:KEY=RCRMTAPUVK&amp;VAR:QUERY=KFBfUFJJQ0UoNDA1NDgpLShGRl9DQVNIX1NUKFFUUiw0MDU0OCkvUF9DT01fU0hTX09VVCg0MDU0OCkpKS9GR","V9FU1RJTUFURSgnRVBTJywnTUVBTicsJ0FOTlVBTF9ST0xMJywnKzEnLDQwNTQ4LCwsJycp&amp;WINDOW=FIRST_POPUP&amp;HEIGHT=450&amp;WIDTH=450&amp;START_MAXIMIZED=FALSE&amp;VAR:CALENDAR=US&amp;VAR:SYMBOL=98433210&amp;VAR:INDEX=0"}</definedName>
    <definedName name="_7075__FDSAUDITLINK__">{"fdsup://directions/FAT Viewer?action=UPDATE&amp;creator=factset&amp;DYN_ARGS=TRUE&amp;DOC_NAME=FAT:FQL_AUDITING_CLIENT_TEMPLATE.FAT&amp;display_string=Audit&amp;VAR:KEY=RCRMTAPUVK&amp;VAR:QUERY=KFBfUFJJQ0UoNDA1NDgpLShGRl9DQVNIX1NUKFFUUiw0MDU0OCkvUF9DT01fU0hTX09VVCg0MDU0OCkpKS9GR","V9FU1RJTUFURSgnRVBTJywnTUVBTicsJ0FOTlVBTF9ST0xMJywnKzEnLDQwNTQ4LCwsJycp&amp;WINDOW=FIRST_POPUP&amp;HEIGHT=450&amp;WIDTH=450&amp;START_MAXIMIZED=FALSE&amp;VAR:CALENDAR=US&amp;VAR:SYMBOL=98433210&amp;VAR:INDEX=0"}</definedName>
    <definedName name="_7076__FDSAUDITLINK__">{"fdsup://directions/FAT Viewer?action=UPDATE&amp;creator=factset&amp;DYN_ARGS=TRUE&amp;DOC_NAME=FAT:FQL_AUDITING_CLIENT_TEMPLATE.FAT&amp;display_string=Audit&amp;VAR:KEY=ZGBGZYDOFU&amp;VAR:QUERY=KFBfUFJJQ0UoNDA1NDcpLShGRl9DQVNIX1NUKFFUUiw0MDU0NykvUF9DT01fU0hTX09VVCg0MDU0NykpKS9GR","V9FU1RJTUFURSgnRVBTJywnTUVBTicsJ0FOTlVBTF9ST0xMJywnKzEnLDQwNTQ3LCwsJycp&amp;WINDOW=FIRST_POPUP&amp;HEIGHT=450&amp;WIDTH=450&amp;START_MAXIMIZED=FALSE&amp;VAR:CALENDAR=US&amp;VAR:SYMBOL=98433210&amp;VAR:INDEX=0"}</definedName>
    <definedName name="_7077__FDSAUDITLINK__">{"fdsup://directions/FAT Viewer?action=UPDATE&amp;creator=factset&amp;DYN_ARGS=TRUE&amp;DOC_NAME=FAT:FQL_AUDITING_CLIENT_TEMPLATE.FAT&amp;display_string=Audit&amp;VAR:KEY=ZGBGZYDOFU&amp;VAR:QUERY=KFBfUFJJQ0UoNDA1NDcpLShGRl9DQVNIX1NUKFFUUiw0MDU0NykvUF9DT01fU0hTX09VVCg0MDU0NykpKS9GR","V9FU1RJTUFURSgnRVBTJywnTUVBTicsJ0FOTlVBTF9ST0xMJywnKzEnLDQwNTQ3LCwsJycp&amp;WINDOW=FIRST_POPUP&amp;HEIGHT=450&amp;WIDTH=450&amp;START_MAXIMIZED=FALSE&amp;VAR:CALENDAR=US&amp;VAR:SYMBOL=98433210&amp;VAR:INDEX=0"}</definedName>
    <definedName name="_7078__FDSAUDITLINK__">{"fdsup://directions/FAT Viewer?action=UPDATE&amp;creator=factset&amp;DYN_ARGS=TRUE&amp;DOC_NAME=FAT:FQL_AUDITING_CLIENT_TEMPLATE.FAT&amp;display_string=Audit&amp;VAR:KEY=JAZQRWTYHG&amp;VAR:QUERY=KFBfUFJJQ0UoNDA1NDYpLShGRl9DQVNIX1NUKFFUUiw0MDU0NikvUF9DT01fU0hTX09VVCg0MDU0NikpKS9GR","V9FU1RJTUFURSgnRVBTJywnTUVBTicsJ0FOTlVBTF9ST0xMJywnKzEnLDQwNTQ2LCwsJycp&amp;WINDOW=FIRST_POPUP&amp;HEIGHT=450&amp;WIDTH=450&amp;START_MAXIMIZED=FALSE&amp;VAR:CALENDAR=US&amp;VAR:SYMBOL=98433210&amp;VAR:INDEX=0"}</definedName>
    <definedName name="_7079__FDSAUDITLINK__">{"fdsup://directions/FAT Viewer?action=UPDATE&amp;creator=factset&amp;DYN_ARGS=TRUE&amp;DOC_NAME=FAT:FQL_AUDITING_CLIENT_TEMPLATE.FAT&amp;display_string=Audit&amp;VAR:KEY=JAZQRWTYHG&amp;VAR:QUERY=KFBfUFJJQ0UoNDA1NDYpLShGRl9DQVNIX1NUKFFUUiw0MDU0NikvUF9DT01fU0hTX09VVCg0MDU0NikpKS9GR","V9FU1RJTUFURSgnRVBTJywnTUVBTicsJ0FOTlVBTF9ST0xMJywnKzEnLDQwNTQ2LCwsJycp&amp;WINDOW=FIRST_POPUP&amp;HEIGHT=450&amp;WIDTH=450&amp;START_MAXIMIZED=FALSE&amp;VAR:CALENDAR=US&amp;VAR:SYMBOL=98433210&amp;VAR:INDEX=0"}</definedName>
    <definedName name="_70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1082"}</definedName>
    <definedName name="_7080__FDSAUDITLINK__">{"fdsup://directions/FAT Viewer?action=UPDATE&amp;creator=factset&amp;DYN_ARGS=TRUE&amp;DOC_NAME=FAT:FQL_AUDITING_CLIENT_TEMPLATE.FAT&amp;display_string=Audit&amp;VAR:KEY=FYRKBWZCVY&amp;VAR:QUERY=KFBfUFJJQ0UoNDA1NDUpLShGRl9DQVNIX1NUKFFUUiw0MDU0NSkvUF9DT01fU0hTX09VVCg0MDU0NSkpKS9GR","V9FU1RJTUFURSgnRVBTJywnTUVBTicsJ0FOTlVBTF9ST0xMJywnKzEnLDQwNTQ1LCwsJycp&amp;WINDOW=FIRST_POPUP&amp;HEIGHT=450&amp;WIDTH=450&amp;START_MAXIMIZED=FALSE&amp;VAR:CALENDAR=US&amp;VAR:SYMBOL=98433210&amp;VAR:INDEX=0"}</definedName>
    <definedName name="_7081__FDSAUDITLINK__">{"fdsup://directions/FAT Viewer?action=UPDATE&amp;creator=factset&amp;DYN_ARGS=TRUE&amp;DOC_NAME=FAT:FQL_AUDITING_CLIENT_TEMPLATE.FAT&amp;display_string=Audit&amp;VAR:KEY=FYRKBWZCVY&amp;VAR:QUERY=KFBfUFJJQ0UoNDA1NDUpLShGRl9DQVNIX1NUKFFUUiw0MDU0NSkvUF9DT01fU0hTX09VVCg0MDU0NSkpKS9GR","V9FU1RJTUFURSgnRVBTJywnTUVBTicsJ0FOTlVBTF9ST0xMJywnKzEnLDQwNTQ1LCwsJycp&amp;WINDOW=FIRST_POPUP&amp;HEIGHT=450&amp;WIDTH=450&amp;START_MAXIMIZED=FALSE&amp;VAR:CALENDAR=US&amp;VAR:SYMBOL=98433210&amp;VAR:INDEX=0"}</definedName>
    <definedName name="_7082__FDSAUDITLINK__">{"fdsup://directions/FAT Viewer?action=UPDATE&amp;creator=factset&amp;DYN_ARGS=TRUE&amp;DOC_NAME=FAT:FQL_AUDITING_CLIENT_TEMPLATE.FAT&amp;display_string=Audit&amp;VAR:KEY=FGFODMPCFE&amp;VAR:QUERY=KFBfUFJJQ0UoNDA1NDQpLShGRl9DQVNIX1NUKFFUUiw0MDU0NCkvUF9DT01fU0hTX09VVCg0MDU0NCkpKS9GR","V9FU1RJTUFURSgnRVBTJywnTUVBTicsJ0FOTlVBTF9ST0xMJywnKzEnLDQwNTQ0LCwsJycp&amp;WINDOW=FIRST_POPUP&amp;HEIGHT=450&amp;WIDTH=450&amp;START_MAXIMIZED=FALSE&amp;VAR:CALENDAR=US&amp;VAR:SYMBOL=98433210&amp;VAR:INDEX=0"}</definedName>
    <definedName name="_7083__FDSAUDITLINK__">{"fdsup://directions/FAT Viewer?action=UPDATE&amp;creator=factset&amp;DYN_ARGS=TRUE&amp;DOC_NAME=FAT:FQL_AUDITING_CLIENT_TEMPLATE.FAT&amp;display_string=Audit&amp;VAR:KEY=FGFODMPCFE&amp;VAR:QUERY=KFBfUFJJQ0UoNDA1NDQpLShGRl9DQVNIX1NUKFFUUiw0MDU0NCkvUF9DT01fU0hTX09VVCg0MDU0NCkpKS9GR","V9FU1RJTUFURSgnRVBTJywnTUVBTicsJ0FOTlVBTF9ST0xMJywnKzEnLDQwNTQ0LCwsJycp&amp;WINDOW=FIRST_POPUP&amp;HEIGHT=450&amp;WIDTH=450&amp;START_MAXIMIZED=FALSE&amp;VAR:CALENDAR=US&amp;VAR:SYMBOL=98433210&amp;VAR:INDEX=0"}</definedName>
    <definedName name="_7084__FDSAUDITLINK__">{"fdsup://directions/FAT Viewer?action=UPDATE&amp;creator=factset&amp;DYN_ARGS=TRUE&amp;DOC_NAME=FAT:FQL_AUDITING_CLIENT_TEMPLATE.FAT&amp;display_string=Audit&amp;VAR:KEY=FAJWJSHSVU&amp;VAR:QUERY=KFBfUFJJQ0UoNDA1NDMpLShGRl9DQVNIX1NUKFFUUiw0MDU0MykvUF9DT01fU0hTX09VVCg0MDU0MykpKS9GR","V9FU1RJTUFURSgnRVBTJywnTUVBTicsJ0FOTlVBTF9ST0xMJywnKzEnLDQwNTQzLCwsJycp&amp;WINDOW=FIRST_POPUP&amp;HEIGHT=450&amp;WIDTH=450&amp;START_MAXIMIZED=FALSE&amp;VAR:CALENDAR=US&amp;VAR:SYMBOL=98433210&amp;VAR:INDEX=0"}</definedName>
    <definedName name="_7085__FDSAUDITLINK__">{"fdsup://directions/FAT Viewer?action=UPDATE&amp;creator=factset&amp;DYN_ARGS=TRUE&amp;DOC_NAME=FAT:FQL_AUDITING_CLIENT_TEMPLATE.FAT&amp;display_string=Audit&amp;VAR:KEY=FAJWJSHSVU&amp;VAR:QUERY=KFBfUFJJQ0UoNDA1NDMpLShGRl9DQVNIX1NUKFFUUiw0MDU0MykvUF9DT01fU0hTX09VVCg0MDU0MykpKS9GR","V9FU1RJTUFURSgnRVBTJywnTUVBTicsJ0FOTlVBTF9ST0xMJywnKzEnLDQwNTQzLCwsJycp&amp;WINDOW=FIRST_POPUP&amp;HEIGHT=450&amp;WIDTH=450&amp;START_MAXIMIZED=FALSE&amp;VAR:CALENDAR=US&amp;VAR:SYMBOL=98433210&amp;VAR:INDEX=0"}</definedName>
    <definedName name="_7086__FDSAUDITLINK__">{"fdsup://directions/FAT Viewer?action=UPDATE&amp;creator=factset&amp;DYN_ARGS=TRUE&amp;DOC_NAME=FAT:FQL_AUDITING_CLIENT_TEMPLATE.FAT&amp;display_string=Audit&amp;VAR:KEY=XITQNMPQDE&amp;VAR:QUERY=KFBfUFJJQ0UoNDA1NDIpLShGRl9DQVNIX1NUKFFUUiw0MDU0MikvUF9DT01fU0hTX09VVCg0MDU0MikpKS9GR","V9FU1RJTUFURSgnRVBTJywnTUVBTicsJ0FOTlVBTF9ST0xMJywnKzEnLDQwNTQyLCwsJycp&amp;WINDOW=FIRST_POPUP&amp;HEIGHT=450&amp;WIDTH=450&amp;START_MAXIMIZED=FALSE&amp;VAR:CALENDAR=US&amp;VAR:SYMBOL=98433210&amp;VAR:INDEX=0"}</definedName>
    <definedName name="_7087__FDSAUDITLINK__">{"fdsup://directions/FAT Viewer?action=UPDATE&amp;creator=factset&amp;DYN_ARGS=TRUE&amp;DOC_NAME=FAT:FQL_AUDITING_CLIENT_TEMPLATE.FAT&amp;display_string=Audit&amp;VAR:KEY=XITQNMPQDE&amp;VAR:QUERY=KFBfUFJJQ0UoNDA1NDIpLShGRl9DQVNIX1NUKFFUUiw0MDU0MikvUF9DT01fU0hTX09VVCg0MDU0MikpKS9GR","V9FU1RJTUFURSgnRVBTJywnTUVBTicsJ0FOTlVBTF9ST0xMJywnKzEnLDQwNTQyLCwsJycp&amp;WINDOW=FIRST_POPUP&amp;HEIGHT=450&amp;WIDTH=450&amp;START_MAXIMIZED=FALSE&amp;VAR:CALENDAR=US&amp;VAR:SYMBOL=98433210&amp;VAR:INDEX=0"}</definedName>
    <definedName name="_7088__FDSAUDITLINK__">{"fdsup://directions/FAT Viewer?action=UPDATE&amp;creator=factset&amp;DYN_ARGS=TRUE&amp;DOC_NAME=FAT:FQL_AUDITING_CLIENT_TEMPLATE.FAT&amp;display_string=Audit&amp;VAR:KEY=ZCNMPILGBS&amp;VAR:QUERY=KFBfUFJJQ0UoNDA1NDEpLShGRl9DQVNIX1NUKFFUUiw0MDU0MSkvUF9DT01fU0hTX09VVCg0MDU0MSkpKS9GR","V9FU1RJTUFURSgnRVBTJywnTUVBTicsJ0FOTlVBTF9ST0xMJywnKzEnLDQwNTQxLCwsJycp&amp;WINDOW=FIRST_POPUP&amp;HEIGHT=450&amp;WIDTH=450&amp;START_MAXIMIZED=FALSE&amp;VAR:CALENDAR=US&amp;VAR:SYMBOL=98433210&amp;VAR:INDEX=0"}</definedName>
    <definedName name="_7089__FDSAUDITLINK__">{"fdsup://directions/FAT Viewer?action=UPDATE&amp;creator=factset&amp;DYN_ARGS=TRUE&amp;DOC_NAME=FAT:FQL_AUDITING_CLIENT_TEMPLATE.FAT&amp;display_string=Audit&amp;VAR:KEY=ZCNMPILGBS&amp;VAR:QUERY=KFBfUFJJQ0UoNDA1NDEpLShGRl9DQVNIX1NUKFFUUiw0MDU0MSkvUF9DT01fU0hTX09VVCg0MDU0MSkpKS9GR","V9FU1RJTUFURSgnRVBTJywnTUVBTicsJ0FOTlVBTF9ST0xMJywnKzEnLDQwNTQxLCwsJycp&amp;WINDOW=FIRST_POPUP&amp;HEIGHT=450&amp;WIDTH=450&amp;START_MAXIMIZED=FALSE&amp;VAR:CALENDAR=US&amp;VAR:SYMBOL=98433210&amp;VAR:INDEX=0"}</definedName>
    <definedName name="_70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1081"}</definedName>
    <definedName name="_7090__FDSAUDITLINK__">{"fdsup://directions/FAT Viewer?action=UPDATE&amp;creator=factset&amp;DYN_ARGS=TRUE&amp;DOC_NAME=FAT:FQL_AUDITING_CLIENT_TEMPLATE.FAT&amp;display_string=Audit&amp;VAR:KEY=BYDEVCFMLY&amp;VAR:QUERY=KFBfUFJJQ0UoNDA1NDApLShGRl9DQVNIX1NUKFFUUiw0MDU0MCkvUF9DT01fU0hTX09VVCg0MDU0MCkpKS9GR","V9FU1RJTUFURSgnRVBTJywnTUVBTicsJ0FOTlVBTF9ST0xMJywnKzEnLDQwNTQwLCwsJycp&amp;WINDOW=FIRST_POPUP&amp;HEIGHT=450&amp;WIDTH=450&amp;START_MAXIMIZED=FALSE&amp;VAR:CALENDAR=US&amp;VAR:SYMBOL=98433210&amp;VAR:INDEX=0"}</definedName>
    <definedName name="_7091__FDSAUDITLINK__">{"fdsup://directions/FAT Viewer?action=UPDATE&amp;creator=factset&amp;DYN_ARGS=TRUE&amp;DOC_NAME=FAT:FQL_AUDITING_CLIENT_TEMPLATE.FAT&amp;display_string=Audit&amp;VAR:KEY=BYDEVCFMLY&amp;VAR:QUERY=KFBfUFJJQ0UoNDA1NDApLShGRl9DQVNIX1NUKFFUUiw0MDU0MCkvUF9DT01fU0hTX09VVCg0MDU0MCkpKS9GR","V9FU1RJTUFURSgnRVBTJywnTUVBTicsJ0FOTlVBTF9ST0xMJywnKzEnLDQwNTQwLCwsJycp&amp;WINDOW=FIRST_POPUP&amp;HEIGHT=450&amp;WIDTH=450&amp;START_MAXIMIZED=FALSE&amp;VAR:CALENDAR=US&amp;VAR:SYMBOL=98433210&amp;VAR:INDEX=0"}</definedName>
    <definedName name="_7092__FDSAUDITLINK__">{"fdsup://directions/FAT Viewer?action=UPDATE&amp;creator=factset&amp;DYN_ARGS=TRUE&amp;DOC_NAME=FAT:FQL_AUDITING_CLIENT_TEMPLATE.FAT&amp;display_string=Audit&amp;VAR:KEY=DOZIZQVGXU&amp;VAR:QUERY=KFBfUFJJQ0UoNDA1MzkpLShGRl9DQVNIX1NUKFFUUiw0MDUzOSkvUF9DT01fU0hTX09VVCg0MDUzOSkpKS9GR","V9FU1RJTUFURSgnRVBTJywnTUVBTicsJ0FOTlVBTF9ST0xMJywnKzEnLDQwNTM5LCwsJycp&amp;WINDOW=FIRST_POPUP&amp;HEIGHT=450&amp;WIDTH=450&amp;START_MAXIMIZED=FALSE&amp;VAR:CALENDAR=US&amp;VAR:SYMBOL=98433210&amp;VAR:INDEX=0"}</definedName>
    <definedName name="_7093__FDSAUDITLINK__">{"fdsup://directions/FAT Viewer?action=UPDATE&amp;creator=factset&amp;DYN_ARGS=TRUE&amp;DOC_NAME=FAT:FQL_AUDITING_CLIENT_TEMPLATE.FAT&amp;display_string=Audit&amp;VAR:KEY=DOZIZQVGXU&amp;VAR:QUERY=KFBfUFJJQ0UoNDA1MzkpLShGRl9DQVNIX1NUKFFUUiw0MDUzOSkvUF9DT01fU0hTX09VVCg0MDUzOSkpKS9GR","V9FU1RJTUFURSgnRVBTJywnTUVBTicsJ0FOTlVBTF9ST0xMJywnKzEnLDQwNTM5LCwsJycp&amp;WINDOW=FIRST_POPUP&amp;HEIGHT=450&amp;WIDTH=450&amp;START_MAXIMIZED=FALSE&amp;VAR:CALENDAR=US&amp;VAR:SYMBOL=98433210&amp;VAR:INDEX=0"}</definedName>
    <definedName name="_7094__FDSAUDITLINK__">{"fdsup://directions/FAT Viewer?action=UPDATE&amp;creator=factset&amp;DYN_ARGS=TRUE&amp;DOC_NAME=FAT:FQL_AUDITING_CLIENT_TEMPLATE.FAT&amp;display_string=Audit&amp;VAR:KEY=HEVKVARAJU&amp;VAR:QUERY=KFBfUFJJQ0UoNDA1MzgpLShGRl9DQVNIX1NUKFFUUiw0MDUzOCkvUF9DT01fU0hTX09VVCg0MDUzOCkpKS9GR","V9FU1RJTUFURSgnRVBTJywnTUVBTicsJ0FOTlVBTF9ST0xMJywnKzEnLDQwNTM4LCwsJycp&amp;WINDOW=FIRST_POPUP&amp;HEIGHT=450&amp;WIDTH=450&amp;START_MAXIMIZED=FALSE&amp;VAR:CALENDAR=US&amp;VAR:SYMBOL=98433210&amp;VAR:INDEX=0"}</definedName>
    <definedName name="_7095__FDSAUDITLINK__">{"fdsup://directions/FAT Viewer?action=UPDATE&amp;creator=factset&amp;DYN_ARGS=TRUE&amp;DOC_NAME=FAT:FQL_AUDITING_CLIENT_TEMPLATE.FAT&amp;display_string=Audit&amp;VAR:KEY=HEVKVARAJU&amp;VAR:QUERY=KFBfUFJJQ0UoNDA1MzgpLShGRl9DQVNIX1NUKFFUUiw0MDUzOCkvUF9DT01fU0hTX09VVCg0MDUzOCkpKS9GR","V9FU1RJTUFURSgnRVBTJywnTUVBTicsJ0FOTlVBTF9ST0xMJywnKzEnLDQwNTM4LCwsJycp&amp;WINDOW=FIRST_POPUP&amp;HEIGHT=450&amp;WIDTH=450&amp;START_MAXIMIZED=FALSE&amp;VAR:CALENDAR=US&amp;VAR:SYMBOL=98433210&amp;VAR:INDEX=0"}</definedName>
    <definedName name="_7096__FDSAUDITLINK__">{"fdsup://directions/FAT Viewer?action=UPDATE&amp;creator=factset&amp;DYN_ARGS=TRUE&amp;DOC_NAME=FAT:FQL_AUDITING_CLIENT_TEMPLATE.FAT&amp;display_string=Audit&amp;VAR:KEY=NOTMREHKVW&amp;VAR:QUERY=KFBfUFJJQ0UoNDA1MzcpLShGRl9DQVNIX1NUKFFUUiw0MDUzNykvUF9DT01fU0hTX09VVCg0MDUzNykpKS9GR","V9FU1RJTUFURSgnRVBTJywnTUVBTicsJ0FOTlVBTF9ST0xMJywnKzEnLDQwNTM3LCwsJycp&amp;WINDOW=FIRST_POPUP&amp;HEIGHT=450&amp;WIDTH=450&amp;START_MAXIMIZED=FALSE&amp;VAR:CALENDAR=US&amp;VAR:SYMBOL=98433210&amp;VAR:INDEX=0"}</definedName>
    <definedName name="_7097__FDSAUDITLINK__">{"fdsup://directions/FAT Viewer?action=UPDATE&amp;creator=factset&amp;DYN_ARGS=TRUE&amp;DOC_NAME=FAT:FQL_AUDITING_CLIENT_TEMPLATE.FAT&amp;display_string=Audit&amp;VAR:KEY=NOTMREHKVW&amp;VAR:QUERY=KFBfUFJJQ0UoNDA1MzcpLShGRl9DQVNIX1NUKFFUUiw0MDUzNykvUF9DT01fU0hTX09VVCg0MDUzNykpKS9GR","V9FU1RJTUFURSgnRVBTJywnTUVBTicsJ0FOTlVBTF9ST0xMJywnKzEnLDQwNTM3LCwsJycp&amp;WINDOW=FIRST_POPUP&amp;HEIGHT=450&amp;WIDTH=450&amp;START_MAXIMIZED=FALSE&amp;VAR:CALENDAR=US&amp;VAR:SYMBOL=98433210&amp;VAR:INDEX=0"}</definedName>
    <definedName name="_7098__FDSAUDITLINK__">{"fdsup://directions/FAT Viewer?action=UPDATE&amp;creator=factset&amp;DYN_ARGS=TRUE&amp;DOC_NAME=FAT:FQL_AUDITING_CLIENT_TEMPLATE.FAT&amp;display_string=Audit&amp;VAR:KEY=BAHYJMLEBY&amp;VAR:QUERY=KFBfUFJJQ0UoNDA1MzYpLShGRl9DQVNIX1NUKFFUUiw0MDUzNikvUF9DT01fU0hTX09VVCg0MDUzNikpKS9GR","V9FU1RJTUFURSgnRVBTJywnTUVBTicsJ0FOTlVBTF9ST0xMJywnKzEnLDQwNTM2LCwsJycp&amp;WINDOW=FIRST_POPUP&amp;HEIGHT=450&amp;WIDTH=450&amp;START_MAXIMIZED=FALSE&amp;VAR:CALENDAR=US&amp;VAR:SYMBOL=98433210&amp;VAR:INDEX=0"}</definedName>
    <definedName name="_7099__FDSAUDITLINK__">{"fdsup://directions/FAT Viewer?action=UPDATE&amp;creator=factset&amp;DYN_ARGS=TRUE&amp;DOC_NAME=FAT:FQL_AUDITING_CLIENT_TEMPLATE.FAT&amp;display_string=Audit&amp;VAR:KEY=BAHYJMLEBY&amp;VAR:QUERY=KFBfUFJJQ0UoNDA1MzYpLShGRl9DQVNIX1NUKFFUUiw0MDUzNikvUF9DT01fU0hTX09VVCg0MDUzNikpKS9GR","V9FU1RJTUFURSgnRVBTJywnTUVBTicsJ0FOTlVBTF9ST0xMJywnKzEnLDQwNTM2LCwsJycp&amp;WINDOW=FIRST_POPUP&amp;HEIGHT=450&amp;WIDTH=450&amp;START_MAXIMIZED=FALSE&amp;VAR:CALENDAR=US&amp;VAR:SYMBOL=98433210&amp;VAR:INDEX=0"}</definedName>
    <definedName name="_7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0.745205&amp;VAR:V=14.572319&amp;VAR:V0=15.698977&amp;VAR:V1=14.223311&amp;VAR:Y0=2006&amp;VAR:Y1=2007&amp;VAR:P=1335.847000&amp;VAR:DATE=20060929&amp;VAR:THRESH=-|-|","-|-|-|-|-"}</definedName>
    <definedName name="_71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1080"}</definedName>
    <definedName name="_7100__FDSAUDITLINK__">{"fdsup://directions/FAT Viewer?action=UPDATE&amp;creator=factset&amp;DYN_ARGS=TRUE&amp;DOC_NAME=FAT:FQL_AUDITING_CLIENT_TEMPLATE.FAT&amp;display_string=Audit&amp;VAR:KEY=ZCVYPQZQBE&amp;VAR:QUERY=KFBfUFJJQ0UoNDA1MzUpLShGRl9DQVNIX1NUKFFUUiw0MDUzNSkvUF9DT01fU0hTX09VVCg0MDUzNSkpKS9GR","V9FU1RJTUFURSgnRVBTJywnTUVBTicsJ0FOTlVBTF9ST0xMJywnKzEnLDQwNTM1LCwsJycp&amp;WINDOW=FIRST_POPUP&amp;HEIGHT=450&amp;WIDTH=450&amp;START_MAXIMIZED=FALSE&amp;VAR:CALENDAR=US&amp;VAR:SYMBOL=98433210&amp;VAR:INDEX=0"}</definedName>
    <definedName name="_7101__FDSAUDITLINK__">{"fdsup://directions/FAT Viewer?action=UPDATE&amp;creator=factset&amp;DYN_ARGS=TRUE&amp;DOC_NAME=FAT:FQL_AUDITING_CLIENT_TEMPLATE.FAT&amp;display_string=Audit&amp;VAR:KEY=ZCVYPQZQBE&amp;VAR:QUERY=KFBfUFJJQ0UoNDA1MzUpLShGRl9DQVNIX1NUKFFUUiw0MDUzNSkvUF9DT01fU0hTX09VVCg0MDUzNSkpKS9GR","V9FU1RJTUFURSgnRVBTJywnTUVBTicsJ0FOTlVBTF9ST0xMJywnKzEnLDQwNTM1LCwsJycp&amp;WINDOW=FIRST_POPUP&amp;HEIGHT=450&amp;WIDTH=450&amp;START_MAXIMIZED=FALSE&amp;VAR:CALENDAR=US&amp;VAR:SYMBOL=98433210&amp;VAR:INDEX=0"}</definedName>
    <definedName name="_7102__FDSAUDITLINK__">{"fdsup://directions/FAT Viewer?action=UPDATE&amp;creator=factset&amp;DYN_ARGS=TRUE&amp;DOC_NAME=FAT:FQL_AUDITING_CLIENT_TEMPLATE.FAT&amp;display_string=Audit&amp;VAR:KEY=JIRCDEHWLW&amp;VAR:QUERY=KFBfUFJJQ0UoNDA1MzQpLShGRl9DQVNIX1NUKFFUUiw0MDUzNCkvUF9DT01fU0hTX09VVCg0MDUzNCkpKS9GR","V9FU1RJTUFURSgnRVBTJywnTUVBTicsJ0FOTlVBTF9ST0xMJywnKzEnLDQwNTM0LCwsJycp&amp;WINDOW=FIRST_POPUP&amp;HEIGHT=450&amp;WIDTH=450&amp;START_MAXIMIZED=FALSE&amp;VAR:CALENDAR=US&amp;VAR:SYMBOL=98433210&amp;VAR:INDEX=0"}</definedName>
    <definedName name="_7103__FDSAUDITLINK__">{"fdsup://directions/FAT Viewer?action=UPDATE&amp;creator=factset&amp;DYN_ARGS=TRUE&amp;DOC_NAME=FAT:FQL_AUDITING_CLIENT_TEMPLATE.FAT&amp;display_string=Audit&amp;VAR:KEY=JIRCDEHWLW&amp;VAR:QUERY=KFBfUFJJQ0UoNDA1MzQpLShGRl9DQVNIX1NUKFFUUiw0MDUzNCkvUF9DT01fU0hTX09VVCg0MDUzNCkpKS9GR","V9FU1RJTUFURSgnRVBTJywnTUVBTicsJ0FOTlVBTF9ST0xMJywnKzEnLDQwNTM0LCwsJycp&amp;WINDOW=FIRST_POPUP&amp;HEIGHT=450&amp;WIDTH=450&amp;START_MAXIMIZED=FALSE&amp;VAR:CALENDAR=US&amp;VAR:SYMBOL=98433210&amp;VAR:INDEX=0"}</definedName>
    <definedName name="_7104__FDSAUDITLINK__">{"fdsup://directions/FAT Viewer?action=UPDATE&amp;creator=factset&amp;DYN_ARGS=TRUE&amp;DOC_NAME=FAT:FQL_AUDITING_CLIENT_TEMPLATE.FAT&amp;display_string=Audit&amp;VAR:KEY=JYVEHQTIJK&amp;VAR:QUERY=KFBfUFJJQ0UoNDA1MzMpLShGRl9DQVNIX1NUKFFUUiw0MDUzMykvUF9DT01fU0hTX09VVCg0MDUzMykpKS9GR","V9FU1RJTUFURSgnRVBTJywnTUVBTicsJ0FOTlVBTF9ST0xMJywnKzEnLDQwNTMzLCwsJycp&amp;WINDOW=FIRST_POPUP&amp;HEIGHT=450&amp;WIDTH=450&amp;START_MAXIMIZED=FALSE&amp;VAR:CALENDAR=US&amp;VAR:SYMBOL=98433210&amp;VAR:INDEX=0"}</definedName>
    <definedName name="_7105__FDSAUDITLINK__">{"fdsup://directions/FAT Viewer?action=UPDATE&amp;creator=factset&amp;DYN_ARGS=TRUE&amp;DOC_NAME=FAT:FQL_AUDITING_CLIENT_TEMPLATE.FAT&amp;display_string=Audit&amp;VAR:KEY=JYVEHQTIJK&amp;VAR:QUERY=KFBfUFJJQ0UoNDA1MzMpLShGRl9DQVNIX1NUKFFUUiw0MDUzMykvUF9DT01fU0hTX09VVCg0MDUzMykpKS9GR","V9FU1RJTUFURSgnRVBTJywnTUVBTicsJ0FOTlVBTF9ST0xMJywnKzEnLDQwNTMzLCwsJycp&amp;WINDOW=FIRST_POPUP&amp;HEIGHT=450&amp;WIDTH=450&amp;START_MAXIMIZED=FALSE&amp;VAR:CALENDAR=US&amp;VAR:SYMBOL=98433210&amp;VAR:INDEX=0"}</definedName>
    <definedName name="_7106__FDSAUDITLINK__">{"fdsup://directions/FAT Viewer?action=UPDATE&amp;creator=factset&amp;DYN_ARGS=TRUE&amp;DOC_NAME=FAT:FQL_AUDITING_CLIENT_TEMPLATE.FAT&amp;display_string=Audit&amp;VAR:KEY=LMXYPKBKDY&amp;VAR:QUERY=KFBfUFJJQ0UoNDA1MzIpLShGRl9DQVNIX1NUKFFUUiw0MDUzMikvUF9DT01fU0hTX09VVCg0MDUzMikpKS9GR","V9FU1RJTUFURSgnRVBTJywnTUVBTicsJ0FOTlVBTF9ST0xMJywnKzEnLDQwNTMyLCwsJycp&amp;WINDOW=FIRST_POPUP&amp;HEIGHT=450&amp;WIDTH=450&amp;START_MAXIMIZED=FALSE&amp;VAR:CALENDAR=US&amp;VAR:SYMBOL=98433210&amp;VAR:INDEX=0"}</definedName>
    <definedName name="_7107__FDSAUDITLINK__">{"fdsup://directions/FAT Viewer?action=UPDATE&amp;creator=factset&amp;DYN_ARGS=TRUE&amp;DOC_NAME=FAT:FQL_AUDITING_CLIENT_TEMPLATE.FAT&amp;display_string=Audit&amp;VAR:KEY=LMXYPKBKDY&amp;VAR:QUERY=KFBfUFJJQ0UoNDA1MzIpLShGRl9DQVNIX1NUKFFUUiw0MDUzMikvUF9DT01fU0hTX09VVCg0MDUzMikpKS9GR","V9FU1RJTUFURSgnRVBTJywnTUVBTicsJ0FOTlVBTF9ST0xMJywnKzEnLDQwNTMyLCwsJycp&amp;WINDOW=FIRST_POPUP&amp;HEIGHT=450&amp;WIDTH=450&amp;START_MAXIMIZED=FALSE&amp;VAR:CALENDAR=US&amp;VAR:SYMBOL=98433210&amp;VAR:INDEX=0"}</definedName>
    <definedName name="_7108__FDSAUDITLINK__">{"fdsup://directions/FAT Viewer?action=UPDATE&amp;creator=factset&amp;DYN_ARGS=TRUE&amp;DOC_NAME=FAT:FQL_AUDITING_CLIENT_TEMPLATE.FAT&amp;display_string=Audit&amp;VAR:KEY=DKXGPONORA&amp;VAR:QUERY=KFBfUFJJQ0UoNDA1MzEpLShGRl9DQVNIX1NUKFFUUiw0MDUzMSkvUF9DT01fU0hTX09VVCg0MDUzMSkpKS9GR","V9FU1RJTUFURSgnRVBTJywnTUVBTicsJ0FOTlVBTF9ST0xMJywnKzEnLDQwNTMxLCwsJycp&amp;WINDOW=FIRST_POPUP&amp;HEIGHT=450&amp;WIDTH=450&amp;START_MAXIMIZED=FALSE&amp;VAR:CALENDAR=US&amp;VAR:SYMBOL=98433210&amp;VAR:INDEX=0"}</definedName>
    <definedName name="_7109__FDSAUDITLINK__">{"fdsup://directions/FAT Viewer?action=UPDATE&amp;creator=factset&amp;DYN_ARGS=TRUE&amp;DOC_NAME=FAT:FQL_AUDITING_CLIENT_TEMPLATE.FAT&amp;display_string=Audit&amp;VAR:KEY=DKXGPONORA&amp;VAR:QUERY=KFBfUFJJQ0UoNDA1MzEpLShGRl9DQVNIX1NUKFFUUiw0MDUzMSkvUF9DT01fU0hTX09VVCg0MDUzMSkpKS9GR","V9FU1RJTUFURSgnRVBTJywnTUVBTicsJ0FOTlVBTF9ST0xMJywnKzEnLDQwNTMxLCwsJycp&amp;WINDOW=FIRST_POPUP&amp;HEIGHT=450&amp;WIDTH=450&amp;START_MAXIMIZED=FALSE&amp;VAR:CALENDAR=US&amp;VAR:SYMBOL=98433210&amp;VAR:INDEX=0"}</definedName>
    <definedName name="_71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1079"}</definedName>
    <definedName name="_7110__FDSAUDITLINK__">{"fdsup://directions/FAT Viewer?action=UPDATE&amp;creator=factset&amp;DYN_ARGS=TRUE&amp;DOC_NAME=FAT:FQL_AUDITING_CLIENT_TEMPLATE.FAT&amp;display_string=Audit&amp;VAR:KEY=XENQPKTKNO&amp;VAR:QUERY=KFBfUFJJQ0UoNDA1MzApLShGRl9DQVNIX1NUKFFUUiw0MDUzMCkvUF9DT01fU0hTX09VVCg0MDUzMCkpKS9GR","V9FU1RJTUFURSgnRVBTJywnTUVBTicsJ0FOTlVBTF9ST0xMJywnKzEnLDQwNTMwLCwsJycp&amp;WINDOW=FIRST_POPUP&amp;HEIGHT=450&amp;WIDTH=450&amp;START_MAXIMIZED=FALSE&amp;VAR:CALENDAR=US&amp;VAR:SYMBOL=98433210&amp;VAR:INDEX=0"}</definedName>
    <definedName name="_7111__FDSAUDITLINK__">{"fdsup://directions/FAT Viewer?action=UPDATE&amp;creator=factset&amp;DYN_ARGS=TRUE&amp;DOC_NAME=FAT:FQL_AUDITING_CLIENT_TEMPLATE.FAT&amp;display_string=Audit&amp;VAR:KEY=XENQPKTKNO&amp;VAR:QUERY=KFBfUFJJQ0UoNDA1MzApLShGRl9DQVNIX1NUKFFUUiw0MDUzMCkvUF9DT01fU0hTX09VVCg0MDUzMCkpKS9GR","V9FU1RJTUFURSgnRVBTJywnTUVBTicsJ0FOTlVBTF9ST0xMJywnKzEnLDQwNTMwLCwsJycp&amp;WINDOW=FIRST_POPUP&amp;HEIGHT=450&amp;WIDTH=450&amp;START_MAXIMIZED=FALSE&amp;VAR:CALENDAR=US&amp;VAR:SYMBOL=98433210&amp;VAR:INDEX=0"}</definedName>
    <definedName name="_7112__FDSAUDITLINK__">{"fdsup://directions/FAT Viewer?action=UPDATE&amp;creator=factset&amp;DYN_ARGS=TRUE&amp;DOC_NAME=FAT:FQL_AUDITING_CLIENT_TEMPLATE.FAT&amp;display_string=Audit&amp;VAR:KEY=RUVSRQZEJY&amp;VAR:QUERY=KFBfUFJJQ0UoNDA1MjkpLShGRl9DQVNIX1NUKFFUUiw0MDUyOSkvUF9DT01fU0hTX09VVCg0MDUyOSkpKS9GR","V9FU1RJTUFURSgnRVBTJywnTUVBTicsJ0FOTlVBTF9ST0xMJywnKzEnLDQwNTI5LCwsJycp&amp;WINDOW=FIRST_POPUP&amp;HEIGHT=450&amp;WIDTH=450&amp;START_MAXIMIZED=FALSE&amp;VAR:CALENDAR=US&amp;VAR:SYMBOL=98433210&amp;VAR:INDEX=0"}</definedName>
    <definedName name="_7113__FDSAUDITLINK__">{"fdsup://directions/FAT Viewer?action=UPDATE&amp;creator=factset&amp;DYN_ARGS=TRUE&amp;DOC_NAME=FAT:FQL_AUDITING_CLIENT_TEMPLATE.FAT&amp;display_string=Audit&amp;VAR:KEY=RUVSRQZEJY&amp;VAR:QUERY=KFBfUFJJQ0UoNDA1MjkpLShGRl9DQVNIX1NUKFFUUiw0MDUyOSkvUF9DT01fU0hTX09VVCg0MDUyOSkpKS9GR","V9FU1RJTUFURSgnRVBTJywnTUVBTicsJ0FOTlVBTF9ST0xMJywnKzEnLDQwNTI5LCwsJycp&amp;WINDOW=FIRST_POPUP&amp;HEIGHT=450&amp;WIDTH=450&amp;START_MAXIMIZED=FALSE&amp;VAR:CALENDAR=US&amp;VAR:SYMBOL=98433210&amp;VAR:INDEX=0"}</definedName>
    <definedName name="_7114__FDSAUDITLINK__">{"fdsup://directions/FAT Viewer?action=UPDATE&amp;creator=factset&amp;DYN_ARGS=TRUE&amp;DOC_NAME=FAT:FQL_AUDITING_CLIENT_TEMPLATE.FAT&amp;display_string=Audit&amp;VAR:KEY=ZAHKNMPKRY&amp;VAR:QUERY=KFBfUFJJQ0UoNDA1MjgpLShGRl9DQVNIX1NUKFFUUiw0MDUyOCkvUF9DT01fU0hTX09VVCg0MDUyOCkpKS9GR","V9FU1RJTUFURSgnRVBTJywnTUVBTicsJ0FOTlVBTF9ST0xMJywnKzEnLDQwNTI4LCwsJycp&amp;WINDOW=FIRST_POPUP&amp;HEIGHT=450&amp;WIDTH=450&amp;START_MAXIMIZED=FALSE&amp;VAR:CALENDAR=US&amp;VAR:SYMBOL=98433210&amp;VAR:INDEX=0"}</definedName>
    <definedName name="_7115__FDSAUDITLINK__">{"fdsup://directions/FAT Viewer?action=UPDATE&amp;creator=factset&amp;DYN_ARGS=TRUE&amp;DOC_NAME=FAT:FQL_AUDITING_CLIENT_TEMPLATE.FAT&amp;display_string=Audit&amp;VAR:KEY=ZAHKNMPKRY&amp;VAR:QUERY=KFBfUFJJQ0UoNDA1MjgpLShGRl9DQVNIX1NUKFFUUiw0MDUyOCkvUF9DT01fU0hTX09VVCg0MDUyOCkpKS9GR","V9FU1RJTUFURSgnRVBTJywnTUVBTicsJ0FOTlVBTF9ST0xMJywnKzEnLDQwNTI4LCwsJycp&amp;WINDOW=FIRST_POPUP&amp;HEIGHT=450&amp;WIDTH=450&amp;START_MAXIMIZED=FALSE&amp;VAR:CALENDAR=US&amp;VAR:SYMBOL=98433210&amp;VAR:INDEX=0"}</definedName>
    <definedName name="_7116__FDSAUDITLINK__">{"fdsup://directions/FAT Viewer?action=UPDATE&amp;creator=factset&amp;DYN_ARGS=TRUE&amp;DOC_NAME=FAT:FQL_AUDITING_CLIENT_TEMPLATE.FAT&amp;display_string=Audit&amp;VAR:KEY=HETSNOPWFS&amp;VAR:QUERY=KFBfUFJJQ0UoNDA1MjcpLShGRl9DQVNIX1NUKFFUUiw0MDUyNykvUF9DT01fU0hTX09VVCg0MDUyNykpKS9GR","V9FU1RJTUFURSgnRVBTJywnTUVBTicsJ0FOTlVBTF9ST0xMJywnKzEnLDQwNTI3LCwsJycp&amp;WINDOW=FIRST_POPUP&amp;HEIGHT=450&amp;WIDTH=450&amp;START_MAXIMIZED=FALSE&amp;VAR:CALENDAR=US&amp;VAR:SYMBOL=98433210&amp;VAR:INDEX=0"}</definedName>
    <definedName name="_7117__FDSAUDITLINK__">{"fdsup://directions/FAT Viewer?action=UPDATE&amp;creator=factset&amp;DYN_ARGS=TRUE&amp;DOC_NAME=FAT:FQL_AUDITING_CLIENT_TEMPLATE.FAT&amp;display_string=Audit&amp;VAR:KEY=HETSNOPWFS&amp;VAR:QUERY=KFBfUFJJQ0UoNDA1MjcpLShGRl9DQVNIX1NUKFFUUiw0MDUyNykvUF9DT01fU0hTX09VVCg0MDUyNykpKS9GR","V9FU1RJTUFURSgnRVBTJywnTUVBTicsJ0FOTlVBTF9ST0xMJywnKzEnLDQwNTI3LCwsJycp&amp;WINDOW=FIRST_POPUP&amp;HEIGHT=450&amp;WIDTH=450&amp;START_MAXIMIZED=FALSE&amp;VAR:CALENDAR=US&amp;VAR:SYMBOL=98433210&amp;VAR:INDEX=0"}</definedName>
    <definedName name="_7118__FDSAUDITLINK__">{"fdsup://directions/FAT Viewer?action=UPDATE&amp;creator=factset&amp;DYN_ARGS=TRUE&amp;DOC_NAME=FAT:FQL_AUDITING_CLIENT_TEMPLATE.FAT&amp;display_string=Audit&amp;VAR:KEY=VUFMFIXWNG&amp;VAR:QUERY=KFBfUFJJQ0UoNDA1MjYpLShGRl9DQVNIX1NUKFFUUiw0MDUyNikvUF9DT01fU0hTX09VVCg0MDUyNikpKS9GR","V9FU1RJTUFURSgnRVBTJywnTUVBTicsJ0FOTlVBTF9ST0xMJywnKzEnLDQwNTI2LCwsJycp&amp;WINDOW=FIRST_POPUP&amp;HEIGHT=450&amp;WIDTH=450&amp;START_MAXIMIZED=FALSE&amp;VAR:CALENDAR=US&amp;VAR:SYMBOL=98433210&amp;VAR:INDEX=0"}</definedName>
    <definedName name="_7119__FDSAUDITLINK__">{"fdsup://directions/FAT Viewer?action=UPDATE&amp;creator=factset&amp;DYN_ARGS=TRUE&amp;DOC_NAME=FAT:FQL_AUDITING_CLIENT_TEMPLATE.FAT&amp;display_string=Audit&amp;VAR:KEY=VUFMFIXWNG&amp;VAR:QUERY=KFBfUFJJQ0UoNDA1MjYpLShGRl9DQVNIX1NUKFFUUiw0MDUyNikvUF9DT01fU0hTX09VVCg0MDUyNikpKS9GR","V9FU1RJTUFURSgnRVBTJywnTUVBTicsJ0FOTlVBTF9ST0xMJywnKzEnLDQwNTI2LCwsJycp&amp;WINDOW=FIRST_POPUP&amp;HEIGHT=450&amp;WIDTH=450&amp;START_MAXIMIZED=FALSE&amp;VAR:CALENDAR=US&amp;VAR:SYMBOL=98433210&amp;VAR:INDEX=0"}</definedName>
    <definedName name="_71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1078"}</definedName>
    <definedName name="_7120__FDSAUDITLINK__">{"fdsup://directions/FAT Viewer?action=UPDATE&amp;creator=factset&amp;DYN_ARGS=TRUE&amp;DOC_NAME=FAT:FQL_AUDITING_CLIENT_TEMPLATE.FAT&amp;display_string=Audit&amp;VAR:KEY=VKPMPWBERU&amp;VAR:QUERY=KFBfUFJJQ0UoNDA1MjUpLShGRl9DQVNIX1NUKFFUUiw0MDUyNSkvUF9DT01fU0hTX09VVCg0MDUyNSkpKS9GR","V9FU1RJTUFURSgnRVBTJywnTUVBTicsJ0FOTlVBTF9ST0xMJywnKzEnLDQwNTI1LCwsJycp&amp;WINDOW=FIRST_POPUP&amp;HEIGHT=450&amp;WIDTH=450&amp;START_MAXIMIZED=FALSE&amp;VAR:CALENDAR=US&amp;VAR:SYMBOL=98433210&amp;VAR:INDEX=0"}</definedName>
    <definedName name="_7121__FDSAUDITLINK__">{"fdsup://directions/FAT Viewer?action=UPDATE&amp;creator=factset&amp;DYN_ARGS=TRUE&amp;DOC_NAME=FAT:FQL_AUDITING_CLIENT_TEMPLATE.FAT&amp;display_string=Audit&amp;VAR:KEY=VKPMPWBERU&amp;VAR:QUERY=KFBfUFJJQ0UoNDA1MjUpLShGRl9DQVNIX1NUKFFUUiw0MDUyNSkvUF9DT01fU0hTX09VVCg0MDUyNSkpKS9GR","V9FU1RJTUFURSgnRVBTJywnTUVBTicsJ0FOTlVBTF9ST0xMJywnKzEnLDQwNTI1LCwsJycp&amp;WINDOW=FIRST_POPUP&amp;HEIGHT=450&amp;WIDTH=450&amp;START_MAXIMIZED=FALSE&amp;VAR:CALENDAR=US&amp;VAR:SYMBOL=98433210&amp;VAR:INDEX=0"}</definedName>
    <definedName name="_7122__FDSAUDITLINK__">{"fdsup://directions/FAT Viewer?action=UPDATE&amp;creator=factset&amp;DYN_ARGS=TRUE&amp;DOC_NAME=FAT:FQL_AUDITING_CLIENT_TEMPLATE.FAT&amp;display_string=Audit&amp;VAR:KEY=XUFSTCPSXC&amp;VAR:QUERY=KFBfUFJJQ0UoNDA1MjQpLShGRl9DQVNIX1NUKFFUUiw0MDUyNCkvUF9DT01fU0hTX09VVCg0MDUyNCkpKS9GR","V9FU1RJTUFURSgnRVBTJywnTUVBTicsJ0FOTlVBTF9ST0xMJywnKzEnLDQwNTI0LCwsJycp&amp;WINDOW=FIRST_POPUP&amp;HEIGHT=450&amp;WIDTH=450&amp;START_MAXIMIZED=FALSE&amp;VAR:CALENDAR=US&amp;VAR:SYMBOL=98433210&amp;VAR:INDEX=0"}</definedName>
    <definedName name="_7123__FDSAUDITLINK__">{"fdsup://directions/FAT Viewer?action=UPDATE&amp;creator=factset&amp;DYN_ARGS=TRUE&amp;DOC_NAME=FAT:FQL_AUDITING_CLIENT_TEMPLATE.FAT&amp;display_string=Audit&amp;VAR:KEY=XUFSTCPSXC&amp;VAR:QUERY=KFBfUFJJQ0UoNDA1MjQpLShGRl9DQVNIX1NUKFFUUiw0MDUyNCkvUF9DT01fU0hTX09VVCg0MDUyNCkpKS9GR","V9FU1RJTUFURSgnRVBTJywnTUVBTicsJ0FOTlVBTF9ST0xMJywnKzEnLDQwNTI0LCwsJycp&amp;WINDOW=FIRST_POPUP&amp;HEIGHT=450&amp;WIDTH=450&amp;START_MAXIMIZED=FALSE&amp;VAR:CALENDAR=US&amp;VAR:SYMBOL=98433210&amp;VAR:INDEX=0"}</definedName>
    <definedName name="_7124__FDSAUDITLINK__">{"fdsup://directions/FAT Viewer?action=UPDATE&amp;creator=factset&amp;DYN_ARGS=TRUE&amp;DOC_NAME=FAT:FQL_AUDITING_CLIENT_TEMPLATE.FAT&amp;display_string=Audit&amp;VAR:KEY=JAJKZGRAXG&amp;VAR:QUERY=KFBfUFJJQ0UoNDA1MjMpLShGRl9DQVNIX1NUKFFUUiw0MDUyMykvUF9DT01fU0hTX09VVCg0MDUyMykpKS9GR","V9FU1RJTUFURSgnRVBTJywnTUVBTicsJ0FOTlVBTF9ST0xMJywnKzEnLDQwNTIzLCwsJycp&amp;WINDOW=FIRST_POPUP&amp;HEIGHT=450&amp;WIDTH=450&amp;START_MAXIMIZED=FALSE&amp;VAR:CALENDAR=US&amp;VAR:SYMBOL=98433210&amp;VAR:INDEX=0"}</definedName>
    <definedName name="_7125__FDSAUDITLINK__">{"fdsup://directions/FAT Viewer?action=UPDATE&amp;creator=factset&amp;DYN_ARGS=TRUE&amp;DOC_NAME=FAT:FQL_AUDITING_CLIENT_TEMPLATE.FAT&amp;display_string=Audit&amp;VAR:KEY=JAJKZGRAXG&amp;VAR:QUERY=KFBfUFJJQ0UoNDA1MjMpLShGRl9DQVNIX1NUKFFUUiw0MDUyMykvUF9DT01fU0hTX09VVCg0MDUyMykpKS9GR","V9FU1RJTUFURSgnRVBTJywnTUVBTicsJ0FOTlVBTF9ST0xMJywnKzEnLDQwNTIzLCwsJycp&amp;WINDOW=FIRST_POPUP&amp;HEIGHT=450&amp;WIDTH=450&amp;START_MAXIMIZED=FALSE&amp;VAR:CALENDAR=US&amp;VAR:SYMBOL=98433210&amp;VAR:INDEX=0"}</definedName>
    <definedName name="_7126__FDSAUDITLINK__">{"fdsup://directions/FAT Viewer?action=UPDATE&amp;creator=factset&amp;DYN_ARGS=TRUE&amp;DOC_NAME=FAT:FQL_AUDITING_CLIENT_TEMPLATE.FAT&amp;display_string=Audit&amp;VAR:KEY=DCLMPQVKNM&amp;VAR:QUERY=KFBfUFJJQ0UoNDA1MjIpLShGRl9DQVNIX1NUKFFUUiw0MDUyMikvUF9DT01fU0hTX09VVCg0MDUyMikpKS9GR","V9FU1RJTUFURSgnRVBTJywnTUVBTicsJ0FOTlVBTF9ST0xMJywnKzEnLDQwNTIyLCwsJycp&amp;WINDOW=FIRST_POPUP&amp;HEIGHT=450&amp;WIDTH=450&amp;START_MAXIMIZED=FALSE&amp;VAR:CALENDAR=US&amp;VAR:SYMBOL=98433210&amp;VAR:INDEX=0"}</definedName>
    <definedName name="_7127__FDSAUDITLINK__">{"fdsup://directions/FAT Viewer?action=UPDATE&amp;creator=factset&amp;DYN_ARGS=TRUE&amp;DOC_NAME=FAT:FQL_AUDITING_CLIENT_TEMPLATE.FAT&amp;display_string=Audit&amp;VAR:KEY=DCLMPQVKNM&amp;VAR:QUERY=KFBfUFJJQ0UoNDA1MjIpLShGRl9DQVNIX1NUKFFUUiw0MDUyMikvUF9DT01fU0hTX09VVCg0MDUyMikpKS9GR","V9FU1RJTUFURSgnRVBTJywnTUVBTicsJ0FOTlVBTF9ST0xMJywnKzEnLDQwNTIyLCwsJycp&amp;WINDOW=FIRST_POPUP&amp;HEIGHT=450&amp;WIDTH=450&amp;START_MAXIMIZED=FALSE&amp;VAR:CALENDAR=US&amp;VAR:SYMBOL=98433210&amp;VAR:INDEX=0"}</definedName>
    <definedName name="_7128__FDSAUDITLINK__">{"fdsup://directions/FAT Viewer?action=UPDATE&amp;creator=factset&amp;DYN_ARGS=TRUE&amp;DOC_NAME=FAT:FQL_AUDITING_CLIENT_TEMPLATE.FAT&amp;display_string=Audit&amp;VAR:KEY=VIHKZAFQLQ&amp;VAR:QUERY=KFBfUFJJQ0UoNDA1MjEpLShGRl9DQVNIX1NUKFFUUiw0MDUyMSkvUF9DT01fU0hTX09VVCg0MDUyMSkpKS9GR","V9FU1RJTUFURSgnRVBTJywnTUVBTicsJ0FOTlVBTF9ST0xMJywnKzEnLDQwNTIxLCwsJycp&amp;WINDOW=FIRST_POPUP&amp;HEIGHT=450&amp;WIDTH=450&amp;START_MAXIMIZED=FALSE&amp;VAR:CALENDAR=US&amp;VAR:SYMBOL=98433210&amp;VAR:INDEX=0"}</definedName>
    <definedName name="_7129__FDSAUDITLINK__">{"fdsup://directions/FAT Viewer?action=UPDATE&amp;creator=factset&amp;DYN_ARGS=TRUE&amp;DOC_NAME=FAT:FQL_AUDITING_CLIENT_TEMPLATE.FAT&amp;display_string=Audit&amp;VAR:KEY=VIHKZAFQLQ&amp;VAR:QUERY=KFBfUFJJQ0UoNDA1MjEpLShGRl9DQVNIX1NUKFFUUiw0MDUyMSkvUF9DT01fU0hTX09VVCg0MDUyMSkpKS9GR","V9FU1RJTUFURSgnRVBTJywnTUVBTicsJ0FOTlVBTF9ST0xMJywnKzEnLDQwNTIxLCwsJycp&amp;WINDOW=FIRST_POPUP&amp;HEIGHT=450&amp;WIDTH=450&amp;START_MAXIMIZED=FALSE&amp;VAR:CALENDAR=US&amp;VAR:SYMBOL=98433210&amp;VAR:INDEX=0"}</definedName>
    <definedName name="_71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1077"}</definedName>
    <definedName name="_7130__FDSAUDITLINK__">{"fdsup://directions/FAT Viewer?action=UPDATE&amp;creator=factset&amp;DYN_ARGS=TRUE&amp;DOC_NAME=FAT:FQL_AUDITING_CLIENT_TEMPLATE.FAT&amp;display_string=Audit&amp;VAR:KEY=RWNMPITCLM&amp;VAR:QUERY=KFBfUFJJQ0UoNDA1MjApLShGRl9DQVNIX1NUKFFUUiw0MDUyMCkvUF9DT01fU0hTX09VVCg0MDUyMCkpKS9GR","V9FU1RJTUFURSgnRVBTJywnTUVBTicsJ0FOTlVBTF9ST0xMJywnKzEnLDQwNTIwLCwsJycp&amp;WINDOW=FIRST_POPUP&amp;HEIGHT=450&amp;WIDTH=450&amp;START_MAXIMIZED=FALSE&amp;VAR:CALENDAR=US&amp;VAR:SYMBOL=98433210&amp;VAR:INDEX=0"}</definedName>
    <definedName name="_7131__FDSAUDITLINK__">{"fdsup://directions/FAT Viewer?action=UPDATE&amp;creator=factset&amp;DYN_ARGS=TRUE&amp;DOC_NAME=FAT:FQL_AUDITING_CLIENT_TEMPLATE.FAT&amp;display_string=Audit&amp;VAR:KEY=RWNMPITCLM&amp;VAR:QUERY=KFBfUFJJQ0UoNDA1MjApLShGRl9DQVNIX1NUKFFUUiw0MDUyMCkvUF9DT01fU0hTX09VVCg0MDUyMCkpKS9GR","V9FU1RJTUFURSgnRVBTJywnTUVBTicsJ0FOTlVBTF9ST0xMJywnKzEnLDQwNTIwLCwsJycp&amp;WINDOW=FIRST_POPUP&amp;HEIGHT=450&amp;WIDTH=450&amp;START_MAXIMIZED=FALSE&amp;VAR:CALENDAR=US&amp;VAR:SYMBOL=98433210&amp;VAR:INDEX=0"}</definedName>
    <definedName name="_7132__FDSAUDITLINK__">{"fdsup://directions/FAT Viewer?action=UPDATE&amp;creator=factset&amp;DYN_ARGS=TRUE&amp;DOC_NAME=FAT:FQL_AUDITING_CLIENT_TEMPLATE.FAT&amp;display_string=Audit&amp;VAR:KEY=NAREBINMLG&amp;VAR:QUERY=KFBfUFJJQ0UoNDA1MTkpLShGRl9DQVNIX1NUKFFUUiw0MDUxOSkvUF9DT01fU0hTX09VVCg0MDUxOSkpKS9GR","V9FU1RJTUFURSgnRVBTJywnTUVBTicsJ0FOTlVBTF9ST0xMJywnKzEnLDQwNTE5LCwsJycp&amp;WINDOW=FIRST_POPUP&amp;HEIGHT=450&amp;WIDTH=450&amp;START_MAXIMIZED=FALSE&amp;VAR:CALENDAR=US&amp;VAR:SYMBOL=98433210&amp;VAR:INDEX=0"}</definedName>
    <definedName name="_7133__FDSAUDITLINK__">{"fdsup://directions/FAT Viewer?action=UPDATE&amp;creator=factset&amp;DYN_ARGS=TRUE&amp;DOC_NAME=FAT:FQL_AUDITING_CLIENT_TEMPLATE.FAT&amp;display_string=Audit&amp;VAR:KEY=NAREBINMLG&amp;VAR:QUERY=KFBfUFJJQ0UoNDA1MTkpLShGRl9DQVNIX1NUKFFUUiw0MDUxOSkvUF9DT01fU0hTX09VVCg0MDUxOSkpKS9GR","V9FU1RJTUFURSgnRVBTJywnTUVBTicsJ0FOTlVBTF9ST0xMJywnKzEnLDQwNTE5LCwsJycp&amp;WINDOW=FIRST_POPUP&amp;HEIGHT=450&amp;WIDTH=450&amp;START_MAXIMIZED=FALSE&amp;VAR:CALENDAR=US&amp;VAR:SYMBOL=98433210&amp;VAR:INDEX=0"}</definedName>
    <definedName name="_7134__FDSAUDITLINK__">{"fdsup://directions/FAT Viewer?action=UPDATE&amp;creator=factset&amp;DYN_ARGS=TRUE&amp;DOC_NAME=FAT:FQL_AUDITING_CLIENT_TEMPLATE.FAT&amp;display_string=Audit&amp;VAR:KEY=BMZGZGNIFO&amp;VAR:QUERY=KFBfUFJJQ0UoNDA1MTgpLShGRl9DQVNIX1NUKFFUUiw0MDUxOCkvUF9DT01fU0hTX09VVCg0MDUxOCkpKS9GR","V9FU1RJTUFURSgnRVBTJywnTUVBTicsJ0FOTlVBTF9ST0xMJywnKzEnLDQwNTE4LCwsJycp&amp;WINDOW=FIRST_POPUP&amp;HEIGHT=450&amp;WIDTH=450&amp;START_MAXIMIZED=FALSE&amp;VAR:CALENDAR=US&amp;VAR:SYMBOL=98433210&amp;VAR:INDEX=0"}</definedName>
    <definedName name="_7135__FDSAUDITLINK__">{"fdsup://directions/FAT Viewer?action=UPDATE&amp;creator=factset&amp;DYN_ARGS=TRUE&amp;DOC_NAME=FAT:FQL_AUDITING_CLIENT_TEMPLATE.FAT&amp;display_string=Audit&amp;VAR:KEY=BMZGZGNIFO&amp;VAR:QUERY=KFBfUFJJQ0UoNDA1MTgpLShGRl9DQVNIX1NUKFFUUiw0MDUxOCkvUF9DT01fU0hTX09VVCg0MDUxOCkpKS9GR","V9FU1RJTUFURSgnRVBTJywnTUVBTicsJ0FOTlVBTF9ST0xMJywnKzEnLDQwNTE4LCwsJycp&amp;WINDOW=FIRST_POPUP&amp;HEIGHT=450&amp;WIDTH=450&amp;START_MAXIMIZED=FALSE&amp;VAR:CALENDAR=US&amp;VAR:SYMBOL=98433210&amp;VAR:INDEX=0"}</definedName>
    <definedName name="_7136__FDSAUDITLINK__">{"fdsup://directions/FAT Viewer?action=UPDATE&amp;creator=factset&amp;DYN_ARGS=TRUE&amp;DOC_NAME=FAT:FQL_AUDITING_CLIENT_TEMPLATE.FAT&amp;display_string=Audit&amp;VAR:KEY=JGLMJKLCBW&amp;VAR:QUERY=KFBfUFJJQ0UoNDA1MTcpLShGRl9DQVNIX1NUKFFUUiw0MDUxNykvUF9DT01fU0hTX09VVCg0MDUxNykpKS9GR","V9FU1RJTUFURSgnRVBTJywnTUVBTicsJ0FOTlVBTF9ST0xMJywnKzEnLDQwNTE3LCwsJycp&amp;WINDOW=FIRST_POPUP&amp;HEIGHT=450&amp;WIDTH=450&amp;START_MAXIMIZED=FALSE&amp;VAR:CALENDAR=US&amp;VAR:SYMBOL=98433210&amp;VAR:INDEX=0"}</definedName>
    <definedName name="_7137__FDSAUDITLINK__">{"fdsup://directions/FAT Viewer?action=UPDATE&amp;creator=factset&amp;DYN_ARGS=TRUE&amp;DOC_NAME=FAT:FQL_AUDITING_CLIENT_TEMPLATE.FAT&amp;display_string=Audit&amp;VAR:KEY=JGLMJKLCBW&amp;VAR:QUERY=KFBfUFJJQ0UoNDA1MTcpLShGRl9DQVNIX1NUKFFUUiw0MDUxNykvUF9DT01fU0hTX09VVCg0MDUxNykpKS9GR","V9FU1RJTUFURSgnRVBTJywnTUVBTicsJ0FOTlVBTF9ST0xMJywnKzEnLDQwNTE3LCwsJycp&amp;WINDOW=FIRST_POPUP&amp;HEIGHT=450&amp;WIDTH=450&amp;START_MAXIMIZED=FALSE&amp;VAR:CALENDAR=US&amp;VAR:SYMBOL=98433210&amp;VAR:INDEX=0"}</definedName>
    <definedName name="_7138__FDSAUDITLINK__">{"fdsup://directions/FAT Viewer?action=UPDATE&amp;creator=factset&amp;DYN_ARGS=TRUE&amp;DOC_NAME=FAT:FQL_AUDITING_CLIENT_TEMPLATE.FAT&amp;display_string=Audit&amp;VAR:KEY=VKVQVQJMPS&amp;VAR:QUERY=KFBfUFJJQ0UoNDA1MTYpLShGRl9DQVNIX1NUKFFUUiw0MDUxNikvUF9DT01fU0hTX09VVCg0MDUxNikpKS9GR","V9FU1RJTUFURSgnRVBTJywnTUVBTicsJ0FOTlVBTF9ST0xMJywnKzEnLDQwNTE2LCwsJycp&amp;WINDOW=FIRST_POPUP&amp;HEIGHT=450&amp;WIDTH=450&amp;START_MAXIMIZED=FALSE&amp;VAR:CALENDAR=US&amp;VAR:SYMBOL=98433210&amp;VAR:INDEX=0"}</definedName>
    <definedName name="_7139__FDSAUDITLINK__">{"fdsup://directions/FAT Viewer?action=UPDATE&amp;creator=factset&amp;DYN_ARGS=TRUE&amp;DOC_NAME=FAT:FQL_AUDITING_CLIENT_TEMPLATE.FAT&amp;display_string=Audit&amp;VAR:KEY=VKVQVQJMPS&amp;VAR:QUERY=KFBfUFJJQ0UoNDA1MTYpLShGRl9DQVNIX1NUKFFUUiw0MDUxNikvUF9DT01fU0hTX09VVCg0MDUxNikpKS9GR","V9FU1RJTUFURSgnRVBTJywnTUVBTicsJ0FOTlVBTF9ST0xMJywnKzEnLDQwNTE2LCwsJycp&amp;WINDOW=FIRST_POPUP&amp;HEIGHT=450&amp;WIDTH=450&amp;START_MAXIMIZED=FALSE&amp;VAR:CALENDAR=US&amp;VAR:SYMBOL=98433210&amp;VAR:INDEX=0"}</definedName>
    <definedName name="_71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1076"}</definedName>
    <definedName name="_7140__FDSAUDITLINK__">{"fdsup://directions/FAT Viewer?action=UPDATE&amp;creator=factset&amp;DYN_ARGS=TRUE&amp;DOC_NAME=FAT:FQL_AUDITING_CLIENT_TEMPLATE.FAT&amp;display_string=Audit&amp;VAR:KEY=HCZKNEHWHW&amp;VAR:QUERY=KFBfUFJJQ0UoNDA1MTUpLShGRl9DQVNIX1NUKFFUUiw0MDUxNSkvUF9DT01fU0hTX09VVCg0MDUxNSkpKS9GR","V9FU1RJTUFURSgnRVBTJywnTUVBTicsJ0FOTlVBTF9ST0xMJywnKzEnLDQwNTE1LCwsJycp&amp;WINDOW=FIRST_POPUP&amp;HEIGHT=450&amp;WIDTH=450&amp;START_MAXIMIZED=FALSE&amp;VAR:CALENDAR=US&amp;VAR:SYMBOL=98433210&amp;VAR:INDEX=0"}</definedName>
    <definedName name="_7141__FDSAUDITLINK__">{"fdsup://directions/FAT Viewer?action=UPDATE&amp;creator=factset&amp;DYN_ARGS=TRUE&amp;DOC_NAME=FAT:FQL_AUDITING_CLIENT_TEMPLATE.FAT&amp;display_string=Audit&amp;VAR:KEY=HCZKNEHWHW&amp;VAR:QUERY=KFBfUFJJQ0UoNDA1MTUpLShGRl9DQVNIX1NUKFFUUiw0MDUxNSkvUF9DT01fU0hTX09VVCg0MDUxNSkpKS9GR","V9FU1RJTUFURSgnRVBTJywnTUVBTicsJ0FOTlVBTF9ST0xMJywnKzEnLDQwNTE1LCwsJycp&amp;WINDOW=FIRST_POPUP&amp;HEIGHT=450&amp;WIDTH=450&amp;START_MAXIMIZED=FALSE&amp;VAR:CALENDAR=US&amp;VAR:SYMBOL=98433210&amp;VAR:INDEX=0"}</definedName>
    <definedName name="_7142__FDSAUDITLINK__">{"fdsup://directions/FAT Viewer?action=UPDATE&amp;creator=factset&amp;DYN_ARGS=TRUE&amp;DOC_NAME=FAT:FQL_AUDITING_CLIENT_TEMPLATE.FAT&amp;display_string=Audit&amp;VAR:KEY=FIFOFKFQFU&amp;VAR:QUERY=KFBfUFJJQ0UoNDA1MTQpLShGRl9DQVNIX1NUKFFUUiw0MDUxNCkvUF9DT01fU0hTX09VVCg0MDUxNCkpKS9GR","V9FU1RJTUFURSgnRVBTJywnTUVBTicsJ0FOTlVBTF9ST0xMJywnKzEnLDQwNTE0LCwsJycp&amp;WINDOW=FIRST_POPUP&amp;HEIGHT=450&amp;WIDTH=450&amp;START_MAXIMIZED=FALSE&amp;VAR:CALENDAR=US&amp;VAR:SYMBOL=98433210&amp;VAR:INDEX=0"}</definedName>
    <definedName name="_7143__FDSAUDITLINK__">{"fdsup://directions/FAT Viewer?action=UPDATE&amp;creator=factset&amp;DYN_ARGS=TRUE&amp;DOC_NAME=FAT:FQL_AUDITING_CLIENT_TEMPLATE.FAT&amp;display_string=Audit&amp;VAR:KEY=FIFOFKFQFU&amp;VAR:QUERY=KFBfUFJJQ0UoNDA1MTQpLShGRl9DQVNIX1NUKFFUUiw0MDUxNCkvUF9DT01fU0hTX09VVCg0MDUxNCkpKS9GR","V9FU1RJTUFURSgnRVBTJywnTUVBTicsJ0FOTlVBTF9ST0xMJywnKzEnLDQwNTE0LCwsJycp&amp;WINDOW=FIRST_POPUP&amp;HEIGHT=450&amp;WIDTH=450&amp;START_MAXIMIZED=FALSE&amp;VAR:CALENDAR=US&amp;VAR:SYMBOL=98433210&amp;VAR:INDEX=0"}</definedName>
    <definedName name="_7144__FDSAUDITLINK__">{"fdsup://directions/FAT Viewer?action=UPDATE&amp;creator=factset&amp;DYN_ARGS=TRUE&amp;DOC_NAME=FAT:FQL_AUDITING_CLIENT_TEMPLATE.FAT&amp;display_string=Audit&amp;VAR:KEY=NAJYZKROVC&amp;VAR:QUERY=KFBfUFJJQ0UoNDA1MTMpLShGRl9DQVNIX1NUKFFUUiw0MDUxMykvUF9DT01fU0hTX09VVCg0MDUxMykpKS9GR","V9FU1RJTUFURSgnRVBTJywnTUVBTicsJ0FOTlVBTF9ST0xMJywnKzEnLDQwNTEzLCwsJycp&amp;WINDOW=FIRST_POPUP&amp;HEIGHT=450&amp;WIDTH=450&amp;START_MAXIMIZED=FALSE&amp;VAR:CALENDAR=US&amp;VAR:SYMBOL=98433210&amp;VAR:INDEX=0"}</definedName>
    <definedName name="_7145__FDSAUDITLINK__">{"fdsup://directions/FAT Viewer?action=UPDATE&amp;creator=factset&amp;DYN_ARGS=TRUE&amp;DOC_NAME=FAT:FQL_AUDITING_CLIENT_TEMPLATE.FAT&amp;display_string=Audit&amp;VAR:KEY=NAJYZKROVC&amp;VAR:QUERY=KFBfUFJJQ0UoNDA1MTMpLShGRl9DQVNIX1NUKFFUUiw0MDUxMykvUF9DT01fU0hTX09VVCg0MDUxMykpKS9GR","V9FU1RJTUFURSgnRVBTJywnTUVBTicsJ0FOTlVBTF9ST0xMJywnKzEnLDQwNTEzLCwsJycp&amp;WINDOW=FIRST_POPUP&amp;HEIGHT=450&amp;WIDTH=450&amp;START_MAXIMIZED=FALSE&amp;VAR:CALENDAR=US&amp;VAR:SYMBOL=98433210&amp;VAR:INDEX=0"}</definedName>
    <definedName name="_7146__FDSAUDITLINK__">{"fdsup://directions/FAT Viewer?action=UPDATE&amp;creator=factset&amp;DYN_ARGS=TRUE&amp;DOC_NAME=FAT:FQL_AUDITING_CLIENT_TEMPLATE.FAT&amp;display_string=Audit&amp;VAR:KEY=RIDINURSFA&amp;VAR:QUERY=KFBfUFJJQ0UoNDA1MTIpLShGRl9DQVNIX1NUKFFUUiw0MDUxMikvUF9DT01fU0hTX09VVCg0MDUxMikpKS9GR","V9FU1RJTUFURSgnRVBTJywnTUVBTicsJ0FOTlVBTF9ST0xMJywnKzEnLDQwNTEyLCwsJycp&amp;WINDOW=FIRST_POPUP&amp;HEIGHT=450&amp;WIDTH=450&amp;START_MAXIMIZED=FALSE&amp;VAR:CALENDAR=US&amp;VAR:SYMBOL=98433210&amp;VAR:INDEX=0"}</definedName>
    <definedName name="_7147__FDSAUDITLINK__">{"fdsup://directions/FAT Viewer?action=UPDATE&amp;creator=factset&amp;DYN_ARGS=TRUE&amp;DOC_NAME=FAT:FQL_AUDITING_CLIENT_TEMPLATE.FAT&amp;display_string=Audit&amp;VAR:KEY=RIDINURSFA&amp;VAR:QUERY=KFBfUFJJQ0UoNDA1MTIpLShGRl9DQVNIX1NUKFFUUiw0MDUxMikvUF9DT01fU0hTX09VVCg0MDUxMikpKS9GR","V9FU1RJTUFURSgnRVBTJywnTUVBTicsJ0FOTlVBTF9ST0xMJywnKzEnLDQwNTEyLCwsJycp&amp;WINDOW=FIRST_POPUP&amp;HEIGHT=450&amp;WIDTH=450&amp;START_MAXIMIZED=FALSE&amp;VAR:CALENDAR=US&amp;VAR:SYMBOL=98433210&amp;VAR:INDEX=0"}</definedName>
    <definedName name="_7148__FDSAUDITLINK__">{"fdsup://directions/FAT Viewer?action=UPDATE&amp;creator=factset&amp;DYN_ARGS=TRUE&amp;DOC_NAME=FAT:FQL_AUDITING_CLIENT_TEMPLATE.FAT&amp;display_string=Audit&amp;VAR:KEY=ZMFONWLCTE&amp;VAR:QUERY=KFBfUFJJQ0UoNDA1MTEpLShGRl9DQVNIX1NUKFFUUiw0MDUxMSkvUF9DT01fU0hTX09VVCg0MDUxMSkpKS9GR","V9FU1RJTUFURSgnRVBTJywnTUVBTicsJ0FOTlVBTF9ST0xMJywnKzEnLDQwNTExLCwsJycp&amp;WINDOW=FIRST_POPUP&amp;HEIGHT=450&amp;WIDTH=450&amp;START_MAXIMIZED=FALSE&amp;VAR:CALENDAR=US&amp;VAR:SYMBOL=98433210&amp;VAR:INDEX=0"}</definedName>
    <definedName name="_7149__FDSAUDITLINK__">{"fdsup://directions/FAT Viewer?action=UPDATE&amp;creator=factset&amp;DYN_ARGS=TRUE&amp;DOC_NAME=FAT:FQL_AUDITING_CLIENT_TEMPLATE.FAT&amp;display_string=Audit&amp;VAR:KEY=ZMFONWLCTE&amp;VAR:QUERY=KFBfUFJJQ0UoNDA1MTEpLShGRl9DQVNIX1NUKFFUUiw0MDUxMSkvUF9DT01fU0hTX09VVCg0MDUxMSkpKS9GR","V9FU1RJTUFURSgnRVBTJywnTUVBTicsJ0FOTlVBTF9ST0xMJywnKzEnLDQwNTExLCwsJycp&amp;WINDOW=FIRST_POPUP&amp;HEIGHT=450&amp;WIDTH=450&amp;START_MAXIMIZED=FALSE&amp;VAR:CALENDAR=US&amp;VAR:SYMBOL=98433210&amp;VAR:INDEX=0"}</definedName>
    <definedName name="_71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1075"}</definedName>
    <definedName name="_7150__FDSAUDITLINK__">{"fdsup://directions/FAT Viewer?action=UPDATE&amp;creator=factset&amp;DYN_ARGS=TRUE&amp;DOC_NAME=FAT:FQL_AUDITING_CLIENT_TEMPLATE.FAT&amp;display_string=Audit&amp;VAR:KEY=XSJQDANUJK&amp;VAR:QUERY=KFBfUFJJQ0UoNDA1MTApLShGRl9DQVNIX1NUKFFUUiw0MDUxMCkvUF9DT01fU0hTX09VVCg0MDUxMCkpKS9GR","V9FU1RJTUFURSgnRVBTJywnTUVBTicsJ0FOTlVBTF9ST0xMJywnKzEnLDQwNTEwLCwsJycp&amp;WINDOW=FIRST_POPUP&amp;HEIGHT=450&amp;WIDTH=450&amp;START_MAXIMIZED=FALSE&amp;VAR:CALENDAR=US&amp;VAR:SYMBOL=98433210&amp;VAR:INDEX=0"}</definedName>
    <definedName name="_7151__FDSAUDITLINK__">{"fdsup://directions/FAT Viewer?action=UPDATE&amp;creator=factset&amp;DYN_ARGS=TRUE&amp;DOC_NAME=FAT:FQL_AUDITING_CLIENT_TEMPLATE.FAT&amp;display_string=Audit&amp;VAR:KEY=XSJQDANUJK&amp;VAR:QUERY=KFBfUFJJQ0UoNDA1MTApLShGRl9DQVNIX1NUKFFUUiw0MDUxMCkvUF9DT01fU0hTX09VVCg0MDUxMCkpKS9GR","V9FU1RJTUFURSgnRVBTJywnTUVBTicsJ0FOTlVBTF9ST0xMJywnKzEnLDQwNTEwLCwsJycp&amp;WINDOW=FIRST_POPUP&amp;HEIGHT=450&amp;WIDTH=450&amp;START_MAXIMIZED=FALSE&amp;VAR:CALENDAR=US&amp;VAR:SYMBOL=98433210&amp;VAR:INDEX=0"}</definedName>
    <definedName name="_7152__FDSAUDITLINK__">{"fdsup://directions/FAT Viewer?action=UPDATE&amp;creator=factset&amp;DYN_ARGS=TRUE&amp;DOC_NAME=FAT:FQL_AUDITING_CLIENT_TEMPLATE.FAT&amp;display_string=Audit&amp;VAR:KEY=TIRMXKDINY&amp;VAR:QUERY=KFBfUFJJQ0UoNDA1MDkpLShGRl9DQVNIX1NUKFFUUiw0MDUwOSkvUF9DT01fU0hTX09VVCg0MDUwOSkpKS9GR","V9FU1RJTUFURSgnRVBTJywnTUVBTicsJ0FOTlVBTF9ST0xMJywnKzEnLDQwNTA5LCwsJycp&amp;WINDOW=FIRST_POPUP&amp;HEIGHT=450&amp;WIDTH=450&amp;START_MAXIMIZED=FALSE&amp;VAR:CALENDAR=US&amp;VAR:SYMBOL=98433210&amp;VAR:INDEX=0"}</definedName>
    <definedName name="_7153__FDSAUDITLINK__">{"fdsup://directions/FAT Viewer?action=UPDATE&amp;creator=factset&amp;DYN_ARGS=TRUE&amp;DOC_NAME=FAT:FQL_AUDITING_CLIENT_TEMPLATE.FAT&amp;display_string=Audit&amp;VAR:KEY=TIRMXKDINY&amp;VAR:QUERY=KFBfUFJJQ0UoNDA1MDkpLShGRl9DQVNIX1NUKFFUUiw0MDUwOSkvUF9DT01fU0hTX09VVCg0MDUwOSkpKS9GR","V9FU1RJTUFURSgnRVBTJywnTUVBTicsJ0FOTlVBTF9ST0xMJywnKzEnLDQwNTA5LCwsJycp&amp;WINDOW=FIRST_POPUP&amp;HEIGHT=450&amp;WIDTH=450&amp;START_MAXIMIZED=FALSE&amp;VAR:CALENDAR=US&amp;VAR:SYMBOL=98433210&amp;VAR:INDEX=0"}</definedName>
    <definedName name="_7154__FDSAUDITLINK__">{"fdsup://directions/FAT Viewer?action=UPDATE&amp;creator=factset&amp;DYN_ARGS=TRUE&amp;DOC_NAME=FAT:FQL_AUDITING_CLIENT_TEMPLATE.FAT&amp;display_string=Audit&amp;VAR:KEY=NAJGXEZGRE&amp;VAR:QUERY=KFBfUFJJQ0UoNDA1MDgpLShGRl9DQVNIX1NUKFFUUiw0MDUwOCkvUF9DT01fU0hTX09VVCg0MDUwOCkpKS9GR","V9FU1RJTUFURSgnRVBTJywnTUVBTicsJ0FOTlVBTF9ST0xMJywnKzEnLDQwNTA4LCwsJycp&amp;WINDOW=FIRST_POPUP&amp;HEIGHT=450&amp;WIDTH=450&amp;START_MAXIMIZED=FALSE&amp;VAR:CALENDAR=US&amp;VAR:SYMBOL=98433210&amp;VAR:INDEX=0"}</definedName>
    <definedName name="_7155__FDSAUDITLINK__">{"fdsup://directions/FAT Viewer?action=UPDATE&amp;creator=factset&amp;DYN_ARGS=TRUE&amp;DOC_NAME=FAT:FQL_AUDITING_CLIENT_TEMPLATE.FAT&amp;display_string=Audit&amp;VAR:KEY=NAJGXEZGRE&amp;VAR:QUERY=KFBfUFJJQ0UoNDA1MDgpLShGRl9DQVNIX1NUKFFUUiw0MDUwOCkvUF9DT01fU0hTX09VVCg0MDUwOCkpKS9GR","V9FU1RJTUFURSgnRVBTJywnTUVBTicsJ0FOTlVBTF9ST0xMJywnKzEnLDQwNTA4LCwsJycp&amp;WINDOW=FIRST_POPUP&amp;HEIGHT=450&amp;WIDTH=450&amp;START_MAXIMIZED=FALSE&amp;VAR:CALENDAR=US&amp;VAR:SYMBOL=98433210&amp;VAR:INDEX=0"}</definedName>
    <definedName name="_7156__FDSAUDITLINK__">{"fdsup://directions/FAT Viewer?action=UPDATE&amp;creator=factset&amp;DYN_ARGS=TRUE&amp;DOC_NAME=FAT:FQL_AUDITING_CLIENT_TEMPLATE.FAT&amp;display_string=Audit&amp;VAR:KEY=HSFCBQXKRE&amp;VAR:QUERY=KFBfUFJJQ0UoNDA1MDcpLShGRl9DQVNIX1NUKFFUUiw0MDUwNykvUF9DT01fU0hTX09VVCg0MDUwNykpKS9GR","V9FU1RJTUFURSgnRVBTJywnTUVBTicsJ0FOTlVBTF9ST0xMJywnKzEnLDQwNTA3LCwsJycp&amp;WINDOW=FIRST_POPUP&amp;HEIGHT=450&amp;WIDTH=450&amp;START_MAXIMIZED=FALSE&amp;VAR:CALENDAR=US&amp;VAR:SYMBOL=98433210&amp;VAR:INDEX=0"}</definedName>
    <definedName name="_7157__FDSAUDITLINK__">{"fdsup://directions/FAT Viewer?action=UPDATE&amp;creator=factset&amp;DYN_ARGS=TRUE&amp;DOC_NAME=FAT:FQL_AUDITING_CLIENT_TEMPLATE.FAT&amp;display_string=Audit&amp;VAR:KEY=HSFCBQXKRE&amp;VAR:QUERY=KFBfUFJJQ0UoNDA1MDcpLShGRl9DQVNIX1NUKFFUUiw0MDUwNykvUF9DT01fU0hTX09VVCg0MDUwNykpKS9GR","V9FU1RJTUFURSgnRVBTJywnTUVBTicsJ0FOTlVBTF9ST0xMJywnKzEnLDQwNTA3LCwsJycp&amp;WINDOW=FIRST_POPUP&amp;HEIGHT=450&amp;WIDTH=450&amp;START_MAXIMIZED=FALSE&amp;VAR:CALENDAR=US&amp;VAR:SYMBOL=98433210&amp;VAR:INDEX=0"}</definedName>
    <definedName name="_7158__FDSAUDITLINK__">{"fdsup://directions/FAT Viewer?action=UPDATE&amp;creator=factset&amp;DYN_ARGS=TRUE&amp;DOC_NAME=FAT:FQL_AUDITING_CLIENT_TEMPLATE.FAT&amp;display_string=Audit&amp;VAR:KEY=JWNKVSVQFK&amp;VAR:QUERY=KFBfUFJJQ0UoNDA1MDYpLShGRl9DQVNIX1NUKFFUUiw0MDUwNikvUF9DT01fU0hTX09VVCg0MDUwNikpKS9GR","V9FU1RJTUFURSgnRVBTJywnTUVBTicsJ0FOTlVBTF9ST0xMJywnKzEnLDQwNTA2LCwsJycp&amp;WINDOW=FIRST_POPUP&amp;HEIGHT=450&amp;WIDTH=450&amp;START_MAXIMIZED=FALSE&amp;VAR:CALENDAR=US&amp;VAR:SYMBOL=98433210&amp;VAR:INDEX=0"}</definedName>
    <definedName name="_7159__FDSAUDITLINK__">{"fdsup://directions/FAT Viewer?action=UPDATE&amp;creator=factset&amp;DYN_ARGS=TRUE&amp;DOC_NAME=FAT:FQL_AUDITING_CLIENT_TEMPLATE.FAT&amp;display_string=Audit&amp;VAR:KEY=JWNKVSVQFK&amp;VAR:QUERY=KFBfUFJJQ0UoNDA1MDYpLShGRl9DQVNIX1NUKFFUUiw0MDUwNikvUF9DT01fU0hTX09VVCg0MDUwNikpKS9GR","V9FU1RJTUFURSgnRVBTJywnTUVBTicsJ0FOTlVBTF9ST0xMJywnKzEnLDQwNTA2LCwsJycp&amp;WINDOW=FIRST_POPUP&amp;HEIGHT=450&amp;WIDTH=450&amp;START_MAXIMIZED=FALSE&amp;VAR:CALENDAR=US&amp;VAR:SYMBOL=98433210&amp;VAR:INDEX=0"}</definedName>
    <definedName name="_71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1074"}</definedName>
    <definedName name="_7160__FDSAUDITLINK__">{"fdsup://directions/FAT Viewer?action=UPDATE&amp;creator=factset&amp;DYN_ARGS=TRUE&amp;DOC_NAME=FAT:FQL_AUDITING_CLIENT_TEMPLATE.FAT&amp;display_string=Audit&amp;VAR:KEY=LINUDEXIJM&amp;VAR:QUERY=KFBfUFJJQ0UoNDA1MDUpLShGRl9DQVNIX1NUKFFUUiw0MDUwNSkvUF9DT01fU0hTX09VVCg0MDUwNSkpKS9GR","V9FU1RJTUFURSgnRVBTJywnTUVBTicsJ0FOTlVBTF9ST0xMJywnKzEnLDQwNTA1LCwsJycp&amp;WINDOW=FIRST_POPUP&amp;HEIGHT=450&amp;WIDTH=450&amp;START_MAXIMIZED=FALSE&amp;VAR:CALENDAR=US&amp;VAR:SYMBOL=98433210&amp;VAR:INDEX=0"}</definedName>
    <definedName name="_7161__FDSAUDITLINK__">{"fdsup://directions/FAT Viewer?action=UPDATE&amp;creator=factset&amp;DYN_ARGS=TRUE&amp;DOC_NAME=FAT:FQL_AUDITING_CLIENT_TEMPLATE.FAT&amp;display_string=Audit&amp;VAR:KEY=LINUDEXIJM&amp;VAR:QUERY=KFBfUFJJQ0UoNDA1MDUpLShGRl9DQVNIX1NUKFFUUiw0MDUwNSkvUF9DT01fU0hTX09VVCg0MDUwNSkpKS9GR","V9FU1RJTUFURSgnRVBTJywnTUVBTicsJ0FOTlVBTF9ST0xMJywnKzEnLDQwNTA1LCwsJycp&amp;WINDOW=FIRST_POPUP&amp;HEIGHT=450&amp;WIDTH=450&amp;START_MAXIMIZED=FALSE&amp;VAR:CALENDAR=US&amp;VAR:SYMBOL=98433210&amp;VAR:INDEX=0"}</definedName>
    <definedName name="_7162__FDSAUDITLINK__">{"fdsup://directions/FAT Viewer?action=UPDATE&amp;creator=factset&amp;DYN_ARGS=TRUE&amp;DOC_NAME=FAT:FQL_AUDITING_CLIENT_TEMPLATE.FAT&amp;display_string=Audit&amp;VAR:KEY=HMLSJORQLG&amp;VAR:QUERY=KFBfUFJJQ0UoNDA1MDQpLShGRl9DQVNIX1NUKFFUUiw0MDUwNCkvUF9DT01fU0hTX09VVCg0MDUwNCkpKS9GR","V9FU1RJTUFURSgnRVBTJywnTUVBTicsJ0FOTlVBTF9ST0xMJywnKzEnLDQwNTA0LCwsJycp&amp;WINDOW=FIRST_POPUP&amp;HEIGHT=450&amp;WIDTH=450&amp;START_MAXIMIZED=FALSE&amp;VAR:CALENDAR=US&amp;VAR:SYMBOL=98433210&amp;VAR:INDEX=0"}</definedName>
    <definedName name="_7163__FDSAUDITLINK__">{"fdsup://directions/FAT Viewer?action=UPDATE&amp;creator=factset&amp;DYN_ARGS=TRUE&amp;DOC_NAME=FAT:FQL_AUDITING_CLIENT_TEMPLATE.FAT&amp;display_string=Audit&amp;VAR:KEY=HMLSJORQLG&amp;VAR:QUERY=KFBfUFJJQ0UoNDA1MDQpLShGRl9DQVNIX1NUKFFUUiw0MDUwNCkvUF9DT01fU0hTX09VVCg0MDUwNCkpKS9GR","V9FU1RJTUFURSgnRVBTJywnTUVBTicsJ0FOTlVBTF9ST0xMJywnKzEnLDQwNTA0LCwsJycp&amp;WINDOW=FIRST_POPUP&amp;HEIGHT=450&amp;WIDTH=450&amp;START_MAXIMIZED=FALSE&amp;VAR:CALENDAR=US&amp;VAR:SYMBOL=98433210&amp;VAR:INDEX=0"}</definedName>
    <definedName name="_7164__FDSAUDITLINK__">{"fdsup://directions/FAT Viewer?action=UPDATE&amp;creator=factset&amp;DYN_ARGS=TRUE&amp;DOC_NAME=FAT:FQL_AUDITING_CLIENT_TEMPLATE.FAT&amp;display_string=Audit&amp;VAR:KEY=LANKVOLMZW&amp;VAR:QUERY=KFBfUFJJQ0UoNDA1MDMpLShGRl9DQVNIX1NUKFFUUiw0MDUwMykvUF9DT01fU0hTX09VVCg0MDUwMykpKS9GR","V9FU1RJTUFURSgnRVBTJywnTUVBTicsJ0FOTlVBTF9ST0xMJywnKzEnLDQwNTAzLCwsJycp&amp;WINDOW=FIRST_POPUP&amp;HEIGHT=450&amp;WIDTH=450&amp;START_MAXIMIZED=FALSE&amp;VAR:CALENDAR=US&amp;VAR:SYMBOL=98433210&amp;VAR:INDEX=0"}</definedName>
    <definedName name="_7165__FDSAUDITLINK__">{"fdsup://directions/FAT Viewer?action=UPDATE&amp;creator=factset&amp;DYN_ARGS=TRUE&amp;DOC_NAME=FAT:FQL_AUDITING_CLIENT_TEMPLATE.FAT&amp;display_string=Audit&amp;VAR:KEY=LANKVOLMZW&amp;VAR:QUERY=KFBfUFJJQ0UoNDA1MDMpLShGRl9DQVNIX1NUKFFUUiw0MDUwMykvUF9DT01fU0hTX09VVCg0MDUwMykpKS9GR","V9FU1RJTUFURSgnRVBTJywnTUVBTicsJ0FOTlVBTF9ST0xMJywnKzEnLDQwNTAzLCwsJycp&amp;WINDOW=FIRST_POPUP&amp;HEIGHT=450&amp;WIDTH=450&amp;START_MAXIMIZED=FALSE&amp;VAR:CALENDAR=US&amp;VAR:SYMBOL=98433210&amp;VAR:INDEX=0"}</definedName>
    <definedName name="_7166__FDSAUDITLINK__">{"fdsup://directions/FAT Viewer?action=UPDATE&amp;creator=factset&amp;DYN_ARGS=TRUE&amp;DOC_NAME=FAT:FQL_AUDITING_CLIENT_TEMPLATE.FAT&amp;display_string=Audit&amp;VAR:KEY=VARIZMHGXO&amp;VAR:QUERY=KFBfUFJJQ0UoNDA1MDIpLShGRl9DQVNIX1NUKFFUUiw0MDUwMikvUF9DT01fU0hTX09VVCg0MDUwMikpKS9GR","V9FU1RJTUFURSgnRVBTJywnTUVBTicsJ0FOTlVBTF9ST0xMJywnKzEnLDQwNTAyLCwsJycp&amp;WINDOW=FIRST_POPUP&amp;HEIGHT=450&amp;WIDTH=450&amp;START_MAXIMIZED=FALSE&amp;VAR:CALENDAR=US&amp;VAR:SYMBOL=98433210&amp;VAR:INDEX=0"}</definedName>
    <definedName name="_7167__FDSAUDITLINK__">{"fdsup://directions/FAT Viewer?action=UPDATE&amp;creator=factset&amp;DYN_ARGS=TRUE&amp;DOC_NAME=FAT:FQL_AUDITING_CLIENT_TEMPLATE.FAT&amp;display_string=Audit&amp;VAR:KEY=VARIZMHGXO&amp;VAR:QUERY=KFBfUFJJQ0UoNDA1MDIpLShGRl9DQVNIX1NUKFFUUiw0MDUwMikvUF9DT01fU0hTX09VVCg0MDUwMikpKS9GR","V9FU1RJTUFURSgnRVBTJywnTUVBTicsJ0FOTlVBTF9ST0xMJywnKzEnLDQwNTAyLCwsJycp&amp;WINDOW=FIRST_POPUP&amp;HEIGHT=450&amp;WIDTH=450&amp;START_MAXIMIZED=FALSE&amp;VAR:CALENDAR=US&amp;VAR:SYMBOL=98433210&amp;VAR:INDEX=0"}</definedName>
    <definedName name="_7168__FDSAUDITLINK__">{"fdsup://directions/FAT Viewer?action=UPDATE&amp;creator=factset&amp;DYN_ARGS=TRUE&amp;DOC_NAME=FAT:FQL_AUDITING_CLIENT_TEMPLATE.FAT&amp;display_string=Audit&amp;VAR:KEY=FGHGLSRORQ&amp;VAR:QUERY=KFBfUFJJQ0UoNDA1MDEpLShGRl9DQVNIX1NUKFFUUiw0MDUwMSkvUF9DT01fU0hTX09VVCg0MDUwMSkpKS9GR","V9FU1RJTUFURSgnRVBTJywnTUVBTicsJ0FOTlVBTF9ST0xMJywnKzEnLDQwNTAxLCwsJycp&amp;WINDOW=FIRST_POPUP&amp;HEIGHT=450&amp;WIDTH=450&amp;START_MAXIMIZED=FALSE&amp;VAR:CALENDAR=US&amp;VAR:SYMBOL=98433210&amp;VAR:INDEX=0"}</definedName>
    <definedName name="_7169__FDSAUDITLINK__">{"fdsup://directions/FAT Viewer?action=UPDATE&amp;creator=factset&amp;DYN_ARGS=TRUE&amp;DOC_NAME=FAT:FQL_AUDITING_CLIENT_TEMPLATE.FAT&amp;display_string=Audit&amp;VAR:KEY=FGHGLSRORQ&amp;VAR:QUERY=KFBfUFJJQ0UoNDA1MDEpLShGRl9DQVNIX1NUKFFUUiw0MDUwMSkvUF9DT01fU0hTX09VVCg0MDUwMSkpKS9GR","V9FU1RJTUFURSgnRVBTJywnTUVBTicsJ0FOTlVBTF9ST0xMJywnKzEnLDQwNTAxLCwsJycp&amp;WINDOW=FIRST_POPUP&amp;HEIGHT=450&amp;WIDTH=450&amp;START_MAXIMIZED=FALSE&amp;VAR:CALENDAR=US&amp;VAR:SYMBOL=98433210&amp;VAR:INDEX=0"}</definedName>
    <definedName name="_71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1073"}</definedName>
    <definedName name="_7170__FDSAUDITLINK__">{"fdsup://directions/FAT Viewer?action=UPDATE&amp;creator=factset&amp;DYN_ARGS=TRUE&amp;DOC_NAME=FAT:FQL_AUDITING_CLIENT_TEMPLATE.FAT&amp;display_string=Audit&amp;VAR:KEY=LITURWXARU&amp;VAR:QUERY=KFBfUFJJQ0UoNDA1MDApLShGRl9DQVNIX1NUKFFUUiw0MDUwMCkvUF9DT01fU0hTX09VVCg0MDUwMCkpKS9GR","V9FU1RJTUFURSgnRVBTJywnTUVBTicsJ0FOTlVBTF9ST0xMJywnKzEnLDQwNTAwLCwsJycp&amp;WINDOW=FIRST_POPUP&amp;HEIGHT=450&amp;WIDTH=450&amp;START_MAXIMIZED=FALSE&amp;VAR:CALENDAR=US&amp;VAR:SYMBOL=98433210&amp;VAR:INDEX=0"}</definedName>
    <definedName name="_7171__FDSAUDITLINK__">{"fdsup://directions/FAT Viewer?action=UPDATE&amp;creator=factset&amp;DYN_ARGS=TRUE&amp;DOC_NAME=FAT:FQL_AUDITING_CLIENT_TEMPLATE.FAT&amp;display_string=Audit&amp;VAR:KEY=LITURWXARU&amp;VAR:QUERY=KFBfUFJJQ0UoNDA1MDApLShGRl9DQVNIX1NUKFFUUiw0MDUwMCkvUF9DT01fU0hTX09VVCg0MDUwMCkpKS9GR","V9FU1RJTUFURSgnRVBTJywnTUVBTicsJ0FOTlVBTF9ST0xMJywnKzEnLDQwNTAwLCwsJycp&amp;WINDOW=FIRST_POPUP&amp;HEIGHT=450&amp;WIDTH=450&amp;START_MAXIMIZED=FALSE&amp;VAR:CALENDAR=US&amp;VAR:SYMBOL=98433210&amp;VAR:INDEX=0"}</definedName>
    <definedName name="_7172__FDSAUDITLINK__">{"fdsup://directions/FAT Viewer?action=UPDATE&amp;creator=factset&amp;DYN_ARGS=TRUE&amp;DOC_NAME=FAT:FQL_AUDITING_CLIENT_TEMPLATE.FAT&amp;display_string=Audit&amp;VAR:KEY=LCLMJSLQRC&amp;VAR:QUERY=KFBfUFJJQ0UoNDA0OTkpLShGRl9DQVNIX1NUKFFUUiw0MDQ5OSkvUF9DT01fU0hTX09VVCg0MDQ5OSkpKS9GR","V9FU1RJTUFURSgnRVBTJywnTUVBTicsJ0FOTlVBTF9ST0xMJywnKzEnLDQwNDk5LCwsJycp&amp;WINDOW=FIRST_POPUP&amp;HEIGHT=450&amp;WIDTH=450&amp;START_MAXIMIZED=FALSE&amp;VAR:CALENDAR=US&amp;VAR:SYMBOL=98433210&amp;VAR:INDEX=0"}</definedName>
    <definedName name="_7173__FDSAUDITLINK__">{"fdsup://directions/FAT Viewer?action=UPDATE&amp;creator=factset&amp;DYN_ARGS=TRUE&amp;DOC_NAME=FAT:FQL_AUDITING_CLIENT_TEMPLATE.FAT&amp;display_string=Audit&amp;VAR:KEY=LCLMJSLQRC&amp;VAR:QUERY=KFBfUFJJQ0UoNDA0OTkpLShGRl9DQVNIX1NUKFFUUiw0MDQ5OSkvUF9DT01fU0hTX09VVCg0MDQ5OSkpKS9GR","V9FU1RJTUFURSgnRVBTJywnTUVBTicsJ0FOTlVBTF9ST0xMJywnKzEnLDQwNDk5LCwsJycp&amp;WINDOW=FIRST_POPUP&amp;HEIGHT=450&amp;WIDTH=450&amp;START_MAXIMIZED=FALSE&amp;VAR:CALENDAR=US&amp;VAR:SYMBOL=98433210&amp;VAR:INDEX=0"}</definedName>
    <definedName name="_7174__FDSAUDITLINK__">{"fdsup://directions/FAT Viewer?action=UPDATE&amp;creator=factset&amp;DYN_ARGS=TRUE&amp;DOC_NAME=FAT:FQL_AUDITING_CLIENT_TEMPLATE.FAT&amp;display_string=Audit&amp;VAR:KEY=FAXODKJYXC&amp;VAR:QUERY=KFBfUFJJQ0UoNDA0OTgpLShGRl9DQVNIX1NUKFFUUiw0MDQ5OCkvUF9DT01fU0hTX09VVCg0MDQ5OCkpKS9GR","V9FU1RJTUFURSgnRVBTJywnTUVBTicsJ0FOTlVBTF9ST0xMJywnKzEnLDQwNDk4LCwsJycp&amp;WINDOW=FIRST_POPUP&amp;HEIGHT=450&amp;WIDTH=450&amp;START_MAXIMIZED=FALSE&amp;VAR:CALENDAR=US&amp;VAR:SYMBOL=98433210&amp;VAR:INDEX=0"}</definedName>
    <definedName name="_7175__FDSAUDITLINK__">{"fdsup://directions/FAT Viewer?action=UPDATE&amp;creator=factset&amp;DYN_ARGS=TRUE&amp;DOC_NAME=FAT:FQL_AUDITING_CLIENT_TEMPLATE.FAT&amp;display_string=Audit&amp;VAR:KEY=FAXODKJYXC&amp;VAR:QUERY=KFBfUFJJQ0UoNDA0OTgpLShGRl9DQVNIX1NUKFFUUiw0MDQ5OCkvUF9DT01fU0hTX09VVCg0MDQ5OCkpKS9GR","V9FU1RJTUFURSgnRVBTJywnTUVBTicsJ0FOTlVBTF9ST0xMJywnKzEnLDQwNDk4LCwsJycp&amp;WINDOW=FIRST_POPUP&amp;HEIGHT=450&amp;WIDTH=450&amp;START_MAXIMIZED=FALSE&amp;VAR:CALENDAR=US&amp;VAR:SYMBOL=98433210&amp;VAR:INDEX=0"}</definedName>
    <definedName name="_7176__FDSAUDITLINK__">{"fdsup://directions/FAT Viewer?action=UPDATE&amp;creator=factset&amp;DYN_ARGS=TRUE&amp;DOC_NAME=FAT:FQL_AUDITING_CLIENT_TEMPLATE.FAT&amp;display_string=Audit&amp;VAR:KEY=PUZWVAPATO&amp;VAR:QUERY=KFBfUFJJQ0UoNDA0OTcpLShGRl9DQVNIX1NUKFFUUiw0MDQ5NykvUF9DT01fU0hTX09VVCg0MDQ5NykpKS9GR","V9FU1RJTUFURSgnRVBTJywnTUVBTicsJ0FOTlVBTF9ST0xMJywnKzEnLDQwNDk3LCwsJycp&amp;WINDOW=FIRST_POPUP&amp;HEIGHT=450&amp;WIDTH=450&amp;START_MAXIMIZED=FALSE&amp;VAR:CALENDAR=US&amp;VAR:SYMBOL=98433210&amp;VAR:INDEX=0"}</definedName>
    <definedName name="_7177__FDSAUDITLINK__">{"fdsup://directions/FAT Viewer?action=UPDATE&amp;creator=factset&amp;DYN_ARGS=TRUE&amp;DOC_NAME=FAT:FQL_AUDITING_CLIENT_TEMPLATE.FAT&amp;display_string=Audit&amp;VAR:KEY=PUZWVAPATO&amp;VAR:QUERY=KFBfUFJJQ0UoNDA0OTcpLShGRl9DQVNIX1NUKFFUUiw0MDQ5NykvUF9DT01fU0hTX09VVCg0MDQ5NykpKS9GR","V9FU1RJTUFURSgnRVBTJywnTUVBTicsJ0FOTlVBTF9ST0xMJywnKzEnLDQwNDk3LCwsJycp&amp;WINDOW=FIRST_POPUP&amp;HEIGHT=450&amp;WIDTH=450&amp;START_MAXIMIZED=FALSE&amp;VAR:CALENDAR=US&amp;VAR:SYMBOL=98433210&amp;VAR:INDEX=0"}</definedName>
    <definedName name="_7178__FDSAUDITLINK__">{"fdsup://directions/FAT Viewer?action=UPDATE&amp;creator=factset&amp;DYN_ARGS=TRUE&amp;DOC_NAME=FAT:FQL_AUDITING_CLIENT_TEMPLATE.FAT&amp;display_string=Audit&amp;VAR:KEY=NGDUNATGVS&amp;VAR:QUERY=KFBfUFJJQ0UoNDA0OTYpLShGRl9DQVNIX1NUKFFUUiw0MDQ5NikvUF9DT01fU0hTX09VVCg0MDQ5NikpKS9GR","V9FU1RJTUFURSgnRVBTJywnTUVBTicsJ0FOTlVBTF9ST0xMJywnKzEnLDQwNDk2LCwsJycp&amp;WINDOW=FIRST_POPUP&amp;HEIGHT=450&amp;WIDTH=450&amp;START_MAXIMIZED=FALSE&amp;VAR:CALENDAR=US&amp;VAR:SYMBOL=98433210&amp;VAR:INDEX=0"}</definedName>
    <definedName name="_7179__FDSAUDITLINK__">{"fdsup://directions/FAT Viewer?action=UPDATE&amp;creator=factset&amp;DYN_ARGS=TRUE&amp;DOC_NAME=FAT:FQL_AUDITING_CLIENT_TEMPLATE.FAT&amp;display_string=Audit&amp;VAR:KEY=NGDUNATGVS&amp;VAR:QUERY=KFBfUFJJQ0UoNDA0OTYpLShGRl9DQVNIX1NUKFFUUiw0MDQ5NikvUF9DT01fU0hTX09VVCg0MDQ5NikpKS9GR","V9FU1RJTUFURSgnRVBTJywnTUVBTicsJ0FOTlVBTF9ST0xMJywnKzEnLDQwNDk2LCwsJycp&amp;WINDOW=FIRST_POPUP&amp;HEIGHT=450&amp;WIDTH=450&amp;START_MAXIMIZED=FALSE&amp;VAR:CALENDAR=US&amp;VAR:SYMBOL=98433210&amp;VAR:INDEX=0"}</definedName>
    <definedName name="_71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1072"}</definedName>
    <definedName name="_7180__FDSAUDITLINK__">{"fdsup://directions/FAT Viewer?action=UPDATE&amp;creator=factset&amp;DYN_ARGS=TRUE&amp;DOC_NAME=FAT:FQL_AUDITING_CLIENT_TEMPLATE.FAT&amp;display_string=Audit&amp;VAR:KEY=HYBYHWJWTC&amp;VAR:QUERY=KFBfUFJJQ0UoNDA0OTUpLShGRl9DQVNIX1NUKFFUUiw0MDQ5NSkvUF9DT01fU0hTX09VVCg0MDQ5NSkpKS9GR","V9FU1RJTUFURSgnRVBTJywnTUVBTicsJ0FOTlVBTF9ST0xMJywnKzEnLDQwNDk1LCwsJycp&amp;WINDOW=FIRST_POPUP&amp;HEIGHT=450&amp;WIDTH=450&amp;START_MAXIMIZED=FALSE&amp;VAR:CALENDAR=US&amp;VAR:SYMBOL=98433210&amp;VAR:INDEX=0"}</definedName>
    <definedName name="_7181__FDSAUDITLINK__">{"fdsup://directions/FAT Viewer?action=UPDATE&amp;creator=factset&amp;DYN_ARGS=TRUE&amp;DOC_NAME=FAT:FQL_AUDITING_CLIENT_TEMPLATE.FAT&amp;display_string=Audit&amp;VAR:KEY=HYBYHWJWTC&amp;VAR:QUERY=KFBfUFJJQ0UoNDA0OTUpLShGRl9DQVNIX1NUKFFUUiw0MDQ5NSkvUF9DT01fU0hTX09VVCg0MDQ5NSkpKS9GR","V9FU1RJTUFURSgnRVBTJywnTUVBTicsJ0FOTlVBTF9ST0xMJywnKzEnLDQwNDk1LCwsJycp&amp;WINDOW=FIRST_POPUP&amp;HEIGHT=450&amp;WIDTH=450&amp;START_MAXIMIZED=FALSE&amp;VAR:CALENDAR=US&amp;VAR:SYMBOL=98433210&amp;VAR:INDEX=0"}</definedName>
    <definedName name="_7182__FDSAUDITLINK__">{"fdsup://directions/FAT Viewer?action=UPDATE&amp;creator=factset&amp;DYN_ARGS=TRUE&amp;DOC_NAME=FAT:FQL_AUDITING_CLIENT_TEMPLATE.FAT&amp;display_string=Audit&amp;VAR:KEY=FINKBOHARE&amp;VAR:QUERY=KFBfUFJJQ0UoNDA0OTQpLShGRl9DQVNIX1NUKFFUUiw0MDQ5NCkvUF9DT01fU0hTX09VVCg0MDQ5NCkpKS9GR","V9FU1RJTUFURSgnRVBTJywnTUVBTicsJ0FOTlVBTF9ST0xMJywnKzEnLDQwNDk0LCwsJycp&amp;WINDOW=FIRST_POPUP&amp;HEIGHT=450&amp;WIDTH=450&amp;START_MAXIMIZED=FALSE&amp;VAR:CALENDAR=US&amp;VAR:SYMBOL=98433210&amp;VAR:INDEX=0"}</definedName>
    <definedName name="_7183__FDSAUDITLINK__">{"fdsup://directions/FAT Viewer?action=UPDATE&amp;creator=factset&amp;DYN_ARGS=TRUE&amp;DOC_NAME=FAT:FQL_AUDITING_CLIENT_TEMPLATE.FAT&amp;display_string=Audit&amp;VAR:KEY=FINKBOHARE&amp;VAR:QUERY=KFBfUFJJQ0UoNDA0OTQpLShGRl9DQVNIX1NUKFFUUiw0MDQ5NCkvUF9DT01fU0hTX09VVCg0MDQ5NCkpKS9GR","V9FU1RJTUFURSgnRVBTJywnTUVBTicsJ0FOTlVBTF9ST0xMJywnKzEnLDQwNDk0LCwsJycp&amp;WINDOW=FIRST_POPUP&amp;HEIGHT=450&amp;WIDTH=450&amp;START_MAXIMIZED=FALSE&amp;VAR:CALENDAR=US&amp;VAR:SYMBOL=98433210&amp;VAR:INDEX=0"}</definedName>
    <definedName name="_7184__FDSAUDITLINK__">{"fdsup://directions/FAT Viewer?action=UPDATE&amp;creator=factset&amp;DYN_ARGS=TRUE&amp;DOC_NAME=FAT:FQL_AUDITING_CLIENT_TEMPLATE.FAT&amp;display_string=Audit&amp;VAR:KEY=FGXQXWTYRO&amp;VAR:QUERY=KFBfUFJJQ0UoNDA0OTMpLShGRl9DQVNIX1NUKFFUUiw0MDQ5MykvUF9DT01fU0hTX09VVCg0MDQ5MykpKS9GR","V9FU1RJTUFURSgnRVBTJywnTUVBTicsJ0FOTlVBTF9ST0xMJywnKzEnLDQwNDkzLCwsJycp&amp;WINDOW=FIRST_POPUP&amp;HEIGHT=450&amp;WIDTH=450&amp;START_MAXIMIZED=FALSE&amp;VAR:CALENDAR=US&amp;VAR:SYMBOL=98433210&amp;VAR:INDEX=0"}</definedName>
    <definedName name="_7185__FDSAUDITLINK__">{"fdsup://directions/FAT Viewer?action=UPDATE&amp;creator=factset&amp;DYN_ARGS=TRUE&amp;DOC_NAME=FAT:FQL_AUDITING_CLIENT_TEMPLATE.FAT&amp;display_string=Audit&amp;VAR:KEY=FGXQXWTYRO&amp;VAR:QUERY=KFBfUFJJQ0UoNDA0OTMpLShGRl9DQVNIX1NUKFFUUiw0MDQ5MykvUF9DT01fU0hTX09VVCg0MDQ5MykpKS9GR","V9FU1RJTUFURSgnRVBTJywnTUVBTicsJ0FOTlVBTF9ST0xMJywnKzEnLDQwNDkzLCwsJycp&amp;WINDOW=FIRST_POPUP&amp;HEIGHT=450&amp;WIDTH=450&amp;START_MAXIMIZED=FALSE&amp;VAR:CALENDAR=US&amp;VAR:SYMBOL=98433210&amp;VAR:INDEX=0"}</definedName>
    <definedName name="_7186__FDSAUDITLINK__">{"fdsup://directions/FAT Viewer?action=UPDATE&amp;creator=factset&amp;DYN_ARGS=TRUE&amp;DOC_NAME=FAT:FQL_AUDITING_CLIENT_TEMPLATE.FAT&amp;display_string=Audit&amp;VAR:KEY=PARMFKNGBS&amp;VAR:QUERY=KFBfUFJJQ0UoNDA0OTIpLShGRl9DQVNIX1NUKFFUUiw0MDQ5MikvUF9DT01fU0hTX09VVCg0MDQ5MikpKS9GR","V9FU1RJTUFURSgnRVBTJywnTUVBTicsJ0FOTlVBTF9ST0xMJywnKzEnLDQwNDkyLCwsJycp&amp;WINDOW=FIRST_POPUP&amp;HEIGHT=450&amp;WIDTH=450&amp;START_MAXIMIZED=FALSE&amp;VAR:CALENDAR=US&amp;VAR:SYMBOL=98433210&amp;VAR:INDEX=0"}</definedName>
    <definedName name="_7187__FDSAUDITLINK__">{"fdsup://directions/FAT Viewer?action=UPDATE&amp;creator=factset&amp;DYN_ARGS=TRUE&amp;DOC_NAME=FAT:FQL_AUDITING_CLIENT_TEMPLATE.FAT&amp;display_string=Audit&amp;VAR:KEY=PARMFKNGBS&amp;VAR:QUERY=KFBfUFJJQ0UoNDA0OTIpLShGRl9DQVNIX1NUKFFUUiw0MDQ5MikvUF9DT01fU0hTX09VVCg0MDQ5MikpKS9GR","V9FU1RJTUFURSgnRVBTJywnTUVBTicsJ0FOTlVBTF9ST0xMJywnKzEnLDQwNDkyLCwsJycp&amp;WINDOW=FIRST_POPUP&amp;HEIGHT=450&amp;WIDTH=450&amp;START_MAXIMIZED=FALSE&amp;VAR:CALENDAR=US&amp;VAR:SYMBOL=98433210&amp;VAR:INDEX=0"}</definedName>
    <definedName name="_7188__FDSAUDITLINK__">{"fdsup://directions/FAT Viewer?action=UPDATE&amp;creator=factset&amp;DYN_ARGS=TRUE&amp;DOC_NAME=FAT:FQL_AUDITING_CLIENT_TEMPLATE.FAT&amp;display_string=Audit&amp;VAR:KEY=TSNGNADGZG&amp;VAR:QUERY=KFBfUFJJQ0UoNDA0OTEpLShGRl9DQVNIX1NUKFFUUiw0MDQ5MSkvUF9DT01fU0hTX09VVCg0MDQ5MSkpKS9GR","V9FU1RJTUFURSgnRVBTJywnTUVBTicsJ0FOTlVBTF9ST0xMJywnKzEnLDQwNDkxLCwsJycp&amp;WINDOW=FIRST_POPUP&amp;HEIGHT=450&amp;WIDTH=450&amp;START_MAXIMIZED=FALSE&amp;VAR:CALENDAR=US&amp;VAR:SYMBOL=98433210&amp;VAR:INDEX=0"}</definedName>
    <definedName name="_7189__FDSAUDITLINK__">{"fdsup://directions/FAT Viewer?action=UPDATE&amp;creator=factset&amp;DYN_ARGS=TRUE&amp;DOC_NAME=FAT:FQL_AUDITING_CLIENT_TEMPLATE.FAT&amp;display_string=Audit&amp;VAR:KEY=TSNGNADGZG&amp;VAR:QUERY=KFBfUFJJQ0UoNDA0OTEpLShGRl9DQVNIX1NUKFFUUiw0MDQ5MSkvUF9DT01fU0hTX09VVCg0MDQ5MSkpKS9GR","V9FU1RJTUFURSgnRVBTJywnTUVBTicsJ0FOTlVBTF9ST0xMJywnKzEnLDQwNDkxLCwsJycp&amp;WINDOW=FIRST_POPUP&amp;HEIGHT=450&amp;WIDTH=450&amp;START_MAXIMIZED=FALSE&amp;VAR:CALENDAR=US&amp;VAR:SYMBOL=98433210&amp;VAR:INDEX=0"}</definedName>
    <definedName name="_71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1071"}</definedName>
    <definedName name="_7190__FDSAUDITLINK__">{"fdsup://directions/FAT Viewer?action=UPDATE&amp;creator=factset&amp;DYN_ARGS=TRUE&amp;DOC_NAME=FAT:FQL_AUDITING_CLIENT_TEMPLATE.FAT&amp;display_string=Audit&amp;VAR:KEY=XGNINIDAFC&amp;VAR:QUERY=KFBfUFJJQ0UoNDA0OTApLShGRl9DQVNIX1NUKFFUUiw0MDQ5MCkvUF9DT01fU0hTX09VVCg0MDQ5MCkpKS9GR","V9FU1RJTUFURSgnRVBTJywnTUVBTicsJ0FOTlVBTF9ST0xMJywnKzEnLDQwNDkwLCwsJycp&amp;WINDOW=FIRST_POPUP&amp;HEIGHT=450&amp;WIDTH=450&amp;START_MAXIMIZED=FALSE&amp;VAR:CALENDAR=US&amp;VAR:SYMBOL=98433210&amp;VAR:INDEX=0"}</definedName>
    <definedName name="_7191__FDSAUDITLINK__">{"fdsup://directions/FAT Viewer?action=UPDATE&amp;creator=factset&amp;DYN_ARGS=TRUE&amp;DOC_NAME=FAT:FQL_AUDITING_CLIENT_TEMPLATE.FAT&amp;display_string=Audit&amp;VAR:KEY=XGNINIDAFC&amp;VAR:QUERY=KFBfUFJJQ0UoNDA0OTApLShGRl9DQVNIX1NUKFFUUiw0MDQ5MCkvUF9DT01fU0hTX09VVCg0MDQ5MCkpKS9GR","V9FU1RJTUFURSgnRVBTJywnTUVBTicsJ0FOTlVBTF9ST0xMJywnKzEnLDQwNDkwLCwsJycp&amp;WINDOW=FIRST_POPUP&amp;HEIGHT=450&amp;WIDTH=450&amp;START_MAXIMIZED=FALSE&amp;VAR:CALENDAR=US&amp;VAR:SYMBOL=98433210&amp;VAR:INDEX=0"}</definedName>
    <definedName name="_7192__FDSAUDITLINK__">{"fdsup://directions/FAT Viewer?action=UPDATE&amp;creator=factset&amp;DYN_ARGS=TRUE&amp;DOC_NAME=FAT:FQL_AUDITING_CLIENT_TEMPLATE.FAT&amp;display_string=Audit&amp;VAR:KEY=VAVCHMBUNM&amp;VAR:QUERY=KFBfUFJJQ0UoNDA0ODkpLShGRl9DQVNIX1NUKFFUUiw0MDQ4OSkvUF9DT01fU0hTX09VVCg0MDQ4OSkpKS9GR","V9FU1RJTUFURSgnRVBTJywnTUVBTicsJ0FOTlVBTF9ST0xMJywnKzEnLDQwNDg5LCwsJycp&amp;WINDOW=FIRST_POPUP&amp;HEIGHT=450&amp;WIDTH=450&amp;START_MAXIMIZED=FALSE&amp;VAR:CALENDAR=US&amp;VAR:SYMBOL=98433210&amp;VAR:INDEX=0"}</definedName>
    <definedName name="_7193__FDSAUDITLINK__">{"fdsup://directions/FAT Viewer?action=UPDATE&amp;creator=factset&amp;DYN_ARGS=TRUE&amp;DOC_NAME=FAT:FQL_AUDITING_CLIENT_TEMPLATE.FAT&amp;display_string=Audit&amp;VAR:KEY=VAVCHMBUNM&amp;VAR:QUERY=KFBfUFJJQ0UoNDA0ODkpLShGRl9DQVNIX1NUKFFUUiw0MDQ4OSkvUF9DT01fU0hTX09VVCg0MDQ4OSkpKS9GR","V9FU1RJTUFURSgnRVBTJywnTUVBTicsJ0FOTlVBTF9ST0xMJywnKzEnLDQwNDg5LCwsJycp&amp;WINDOW=FIRST_POPUP&amp;HEIGHT=450&amp;WIDTH=450&amp;START_MAXIMIZED=FALSE&amp;VAR:CALENDAR=US&amp;VAR:SYMBOL=98433210&amp;VAR:INDEX=0"}</definedName>
    <definedName name="_7194__FDSAUDITLINK__">{"fdsup://directions/FAT Viewer?action=UPDATE&amp;creator=factset&amp;DYN_ARGS=TRUE&amp;DOC_NAME=FAT:FQL_AUDITING_CLIENT_TEMPLATE.FAT&amp;display_string=Audit&amp;VAR:KEY=ROVAHGHSFW&amp;VAR:QUERY=KFBfUFJJQ0UoNDA0ODgpLShGRl9DQVNIX1NUKFFUUiw0MDQ4OCkvUF9DT01fU0hTX09VVCg0MDQ4OCkpKS9GR","V9FU1RJTUFURSgnRVBTJywnTUVBTicsJ0FOTlVBTF9ST0xMJywnKzEnLDQwNDg4LCwsJycp&amp;WINDOW=FIRST_POPUP&amp;HEIGHT=450&amp;WIDTH=450&amp;START_MAXIMIZED=FALSE&amp;VAR:CALENDAR=US&amp;VAR:SYMBOL=98433210&amp;VAR:INDEX=0"}</definedName>
    <definedName name="_7195__FDSAUDITLINK__">{"fdsup://directions/FAT Viewer?action=UPDATE&amp;creator=factset&amp;DYN_ARGS=TRUE&amp;DOC_NAME=FAT:FQL_AUDITING_CLIENT_TEMPLATE.FAT&amp;display_string=Audit&amp;VAR:KEY=ROVAHGHSFW&amp;VAR:QUERY=KFBfUFJJQ0UoNDA0ODgpLShGRl9DQVNIX1NUKFFUUiw0MDQ4OCkvUF9DT01fU0hTX09VVCg0MDQ4OCkpKS9GR","V9FU1RJTUFURSgnRVBTJywnTUVBTicsJ0FOTlVBTF9ST0xMJywnKzEnLDQwNDg4LCwsJycp&amp;WINDOW=FIRST_POPUP&amp;HEIGHT=450&amp;WIDTH=450&amp;START_MAXIMIZED=FALSE&amp;VAR:CALENDAR=US&amp;VAR:SYMBOL=98433210&amp;VAR:INDEX=0"}</definedName>
    <definedName name="_7196__FDSAUDITLINK__">{"fdsup://directions/FAT Viewer?action=UPDATE&amp;creator=factset&amp;DYN_ARGS=TRUE&amp;DOC_NAME=FAT:FQL_AUDITING_CLIENT_TEMPLATE.FAT&amp;display_string=Audit&amp;VAR:KEY=DAVMHIFIXK&amp;VAR:QUERY=KFBfUFJJQ0UoNDA0ODcpLShGRl9DQVNIX1NUKFFUUiw0MDQ4NykvUF9DT01fU0hTX09VVCg0MDQ4NykpKS9GR","V9FU1RJTUFURSgnRVBTJywnTUVBTicsJ0FOTlVBTF9ST0xMJywnKzEnLDQwNDg3LCwsJycp&amp;WINDOW=FIRST_POPUP&amp;HEIGHT=450&amp;WIDTH=450&amp;START_MAXIMIZED=FALSE&amp;VAR:CALENDAR=US&amp;VAR:SYMBOL=98433210&amp;VAR:INDEX=0"}</definedName>
    <definedName name="_7197__FDSAUDITLINK__">{"fdsup://directions/FAT Viewer?action=UPDATE&amp;creator=factset&amp;DYN_ARGS=TRUE&amp;DOC_NAME=FAT:FQL_AUDITING_CLIENT_TEMPLATE.FAT&amp;display_string=Audit&amp;VAR:KEY=DAVMHIFIXK&amp;VAR:QUERY=KFBfUFJJQ0UoNDA0ODcpLShGRl9DQVNIX1NUKFFUUiw0MDQ4NykvUF9DT01fU0hTX09VVCg0MDQ4NykpKS9GR","V9FU1RJTUFURSgnRVBTJywnTUVBTicsJ0FOTlVBTF9ST0xMJywnKzEnLDQwNDg3LCwsJycp&amp;WINDOW=FIRST_POPUP&amp;HEIGHT=450&amp;WIDTH=450&amp;START_MAXIMIZED=FALSE&amp;VAR:CALENDAR=US&amp;VAR:SYMBOL=98433210&amp;VAR:INDEX=0"}</definedName>
    <definedName name="_7198__FDSAUDITLINK__">{"fdsup://directions/FAT Viewer?action=UPDATE&amp;creator=factset&amp;DYN_ARGS=TRUE&amp;DOC_NAME=FAT:FQL_AUDITING_CLIENT_TEMPLATE.FAT&amp;display_string=Audit&amp;VAR:KEY=ZOHIFWNSLE&amp;VAR:QUERY=KFBfUFJJQ0UoNDA0ODYpLShGRl9DQVNIX1NUKFFUUiw0MDQ4NikvUF9DT01fU0hTX09VVCg0MDQ4NikpKS9GR","V9FU1RJTUFURSgnRVBTJywnTUVBTicsJ0FOTlVBTF9ST0xMJywnKzEnLDQwNDg2LCwsJycp&amp;WINDOW=FIRST_POPUP&amp;HEIGHT=450&amp;WIDTH=450&amp;START_MAXIMIZED=FALSE&amp;VAR:CALENDAR=US&amp;VAR:SYMBOL=98433210&amp;VAR:INDEX=0"}</definedName>
    <definedName name="_7199__FDSAUDITLINK__">{"fdsup://directions/FAT Viewer?action=UPDATE&amp;creator=factset&amp;DYN_ARGS=TRUE&amp;DOC_NAME=FAT:FQL_AUDITING_CLIENT_TEMPLATE.FAT&amp;display_string=Audit&amp;VAR:KEY=ZOHIFWNSLE&amp;VAR:QUERY=KFBfUFJJQ0UoNDA0ODYpLShGRl9DQVNIX1NUKFFUUiw0MDQ4NikvUF9DT01fU0hTX09VVCg0MDQ4NikpKS9GR","V9FU1RJTUFURSgnRVBTJywnTUVBTicsJ0FOTlVBTF9ST0xMJywnKzEnLDQwNDg2LCwsJycp&amp;WINDOW=FIRST_POPUP&amp;HEIGHT=450&amp;WIDTH=450&amp;START_MAXIMIZED=FALSE&amp;VAR:CALENDAR=US&amp;VAR:SYMBOL=98433210&amp;VAR:INDEX=0"}</definedName>
    <definedName name="_7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14.240161&amp;VAR:V0=14.996195&amp;VAR:V1=13.545923&amp;VAR:Y0=2006&amp;VAR:Y1=2007&amp;VAR:P=1270.204300&amp;VAR:DATE=20060630&amp;VAR:THRESH=-|-|","-|-|-|-|-"}</definedName>
    <definedName name="_72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1070"}</definedName>
    <definedName name="_7200__FDSAUDITLINK__">{"fdsup://directions/FAT Viewer?action=UPDATE&amp;creator=factset&amp;DYN_ARGS=TRUE&amp;DOC_NAME=FAT:FQL_AUDITING_CLIENT_TEMPLATE.FAT&amp;display_string=Audit&amp;VAR:KEY=LCPSVYHYXG&amp;VAR:QUERY=KFBfUFJJQ0UoNDA0ODUpLShGRl9DQVNIX1NUKFFUUiw0MDQ4NSkvUF9DT01fU0hTX09VVCg0MDQ4NSkpKS9GR","V9FU1RJTUFURSgnRVBTJywnTUVBTicsJ0FOTlVBTF9ST0xMJywnKzEnLDQwNDg1LCwsJycp&amp;WINDOW=FIRST_POPUP&amp;HEIGHT=450&amp;WIDTH=450&amp;START_MAXIMIZED=FALSE&amp;VAR:CALENDAR=US&amp;VAR:SYMBOL=98433210&amp;VAR:INDEX=0"}</definedName>
    <definedName name="_7201__FDSAUDITLINK__">{"fdsup://directions/FAT Viewer?action=UPDATE&amp;creator=factset&amp;DYN_ARGS=TRUE&amp;DOC_NAME=FAT:FQL_AUDITING_CLIENT_TEMPLATE.FAT&amp;display_string=Audit&amp;VAR:KEY=LCPSVYHYXG&amp;VAR:QUERY=KFBfUFJJQ0UoNDA0ODUpLShGRl9DQVNIX1NUKFFUUiw0MDQ4NSkvUF9DT01fU0hTX09VVCg0MDQ4NSkpKS9GR","V9FU1RJTUFURSgnRVBTJywnTUVBTicsJ0FOTlVBTF9ST0xMJywnKzEnLDQwNDg1LCwsJycp&amp;WINDOW=FIRST_POPUP&amp;HEIGHT=450&amp;WIDTH=450&amp;START_MAXIMIZED=FALSE&amp;VAR:CALENDAR=US&amp;VAR:SYMBOL=98433210&amp;VAR:INDEX=0"}</definedName>
    <definedName name="_7202__FDSAUDITLINK__">{"fdsup://directions/FAT Viewer?action=UPDATE&amp;creator=factset&amp;DYN_ARGS=TRUE&amp;DOC_NAME=FAT:FQL_AUDITING_CLIENT_TEMPLATE.FAT&amp;display_string=Audit&amp;VAR:KEY=ZSVIZANMDC&amp;VAR:QUERY=KFBfUFJJQ0UoNDA0ODQpLShGRl9DQVNIX1NUKFFUUiw0MDQ4NCkvUF9DT01fU0hTX09VVCg0MDQ4NCkpKS9GR","V9FU1RJTUFURSgnRVBTJywnTUVBTicsJ0FOTlVBTF9ST0xMJywnKzEnLDQwNDg0LCwsJycp&amp;WINDOW=FIRST_POPUP&amp;HEIGHT=450&amp;WIDTH=450&amp;START_MAXIMIZED=FALSE&amp;VAR:CALENDAR=US&amp;VAR:SYMBOL=98433210&amp;VAR:INDEX=0"}</definedName>
    <definedName name="_7203__FDSAUDITLINK__">{"fdsup://directions/FAT Viewer?action=UPDATE&amp;creator=factset&amp;DYN_ARGS=TRUE&amp;DOC_NAME=FAT:FQL_AUDITING_CLIENT_TEMPLATE.FAT&amp;display_string=Audit&amp;VAR:KEY=ZSVIZANMDC&amp;VAR:QUERY=KFBfUFJJQ0UoNDA0ODQpLShGRl9DQVNIX1NUKFFUUiw0MDQ4NCkvUF9DT01fU0hTX09VVCg0MDQ4NCkpKS9GR","V9FU1RJTUFURSgnRVBTJywnTUVBTicsJ0FOTlVBTF9ST0xMJywnKzEnLDQwNDg0LCwsJycp&amp;WINDOW=FIRST_POPUP&amp;HEIGHT=450&amp;WIDTH=450&amp;START_MAXIMIZED=FALSE&amp;VAR:CALENDAR=US&amp;VAR:SYMBOL=98433210&amp;VAR:INDEX=0"}</definedName>
    <definedName name="_7204__FDSAUDITLINK__">{"fdsup://directions/FAT Viewer?action=UPDATE&amp;creator=factset&amp;DYN_ARGS=TRUE&amp;DOC_NAME=FAT:FQL_AUDITING_CLIENT_TEMPLATE.FAT&amp;display_string=Audit&amp;VAR:KEY=JWBEBSDGXO&amp;VAR:QUERY=KFBfUFJJQ0UoNDA0ODMpLShGRl9DQVNIX1NUKFFUUiw0MDQ4MykvUF9DT01fU0hTX09VVCg0MDQ4MykpKS9GR","V9FU1RJTUFURSgnRVBTJywnTUVBTicsJ0FOTlVBTF9ST0xMJywnKzEnLDQwNDgzLCwsJycp&amp;WINDOW=FIRST_POPUP&amp;HEIGHT=450&amp;WIDTH=450&amp;START_MAXIMIZED=FALSE&amp;VAR:CALENDAR=US&amp;VAR:SYMBOL=98433210&amp;VAR:INDEX=0"}</definedName>
    <definedName name="_7205__FDSAUDITLINK__">{"fdsup://directions/FAT Viewer?action=UPDATE&amp;creator=factset&amp;DYN_ARGS=TRUE&amp;DOC_NAME=FAT:FQL_AUDITING_CLIENT_TEMPLATE.FAT&amp;display_string=Audit&amp;VAR:KEY=JWBEBSDGXO&amp;VAR:QUERY=KFBfUFJJQ0UoNDA0ODMpLShGRl9DQVNIX1NUKFFUUiw0MDQ4MykvUF9DT01fU0hTX09VVCg0MDQ4MykpKS9GR","V9FU1RJTUFURSgnRVBTJywnTUVBTicsJ0FOTlVBTF9ST0xMJywnKzEnLDQwNDgzLCwsJycp&amp;WINDOW=FIRST_POPUP&amp;HEIGHT=450&amp;WIDTH=450&amp;START_MAXIMIZED=FALSE&amp;VAR:CALENDAR=US&amp;VAR:SYMBOL=98433210&amp;VAR:INDEX=0"}</definedName>
    <definedName name="_7206__FDSAUDITLINK__">{"fdsup://directions/FAT Viewer?action=UPDATE&amp;creator=factset&amp;DYN_ARGS=TRUE&amp;DOC_NAME=FAT:FQL_AUDITING_CLIENT_TEMPLATE.FAT&amp;display_string=Audit&amp;VAR:KEY=PYNATABURI&amp;VAR:QUERY=KFBfUFJJQ0UoNDA0ODIpLShGRl9DQVNIX1NUKFFUUiw0MDQ4MikvUF9DT01fU0hTX09VVCg0MDQ4MikpKS9GR","V9FU1RJTUFURSgnRVBTJywnTUVBTicsJ0FOTlVBTF9ST0xMJywnKzEnLDQwNDgyLCwsJycp&amp;WINDOW=FIRST_POPUP&amp;HEIGHT=450&amp;WIDTH=450&amp;START_MAXIMIZED=FALSE&amp;VAR:CALENDAR=US&amp;VAR:SYMBOL=98433210&amp;VAR:INDEX=0"}</definedName>
    <definedName name="_7207__FDSAUDITLINK__">{"fdsup://directions/FAT Viewer?action=UPDATE&amp;creator=factset&amp;DYN_ARGS=TRUE&amp;DOC_NAME=FAT:FQL_AUDITING_CLIENT_TEMPLATE.FAT&amp;display_string=Audit&amp;VAR:KEY=PYNATABURI&amp;VAR:QUERY=KFBfUFJJQ0UoNDA0ODIpLShGRl9DQVNIX1NUKFFUUiw0MDQ4MikvUF9DT01fU0hTX09VVCg0MDQ4MikpKS9GR","V9FU1RJTUFURSgnRVBTJywnTUVBTicsJ0FOTlVBTF9ST0xMJywnKzEnLDQwNDgyLCwsJycp&amp;WINDOW=FIRST_POPUP&amp;HEIGHT=450&amp;WIDTH=450&amp;START_MAXIMIZED=FALSE&amp;VAR:CALENDAR=US&amp;VAR:SYMBOL=98433210&amp;VAR:INDEX=0"}</definedName>
    <definedName name="_7208__FDSAUDITLINK__">{"fdsup://directions/FAT Viewer?action=UPDATE&amp;creator=factset&amp;DYN_ARGS=TRUE&amp;DOC_NAME=FAT:FQL_AUDITING_CLIENT_TEMPLATE.FAT&amp;display_string=Audit&amp;VAR:KEY=DORMPIRGJY&amp;VAR:QUERY=KFBfUFJJQ0UoNDA0ODEpLShGRl9DQVNIX1NUKFFUUiw0MDQ4MSkvUF9DT01fU0hTX09VVCg0MDQ4MSkpKS9GR","V9FU1RJTUFURSgnRVBTJywnTUVBTicsJ0FOTlVBTF9ST0xMJywnKzEnLDQwNDgxLCwsJycp&amp;WINDOW=FIRST_POPUP&amp;HEIGHT=450&amp;WIDTH=450&amp;START_MAXIMIZED=FALSE&amp;VAR:CALENDAR=US&amp;VAR:SYMBOL=98433210&amp;VAR:INDEX=0"}</definedName>
    <definedName name="_7209__FDSAUDITLINK__">{"fdsup://directions/FAT Viewer?action=UPDATE&amp;creator=factset&amp;DYN_ARGS=TRUE&amp;DOC_NAME=FAT:FQL_AUDITING_CLIENT_TEMPLATE.FAT&amp;display_string=Audit&amp;VAR:KEY=DORMPIRGJY&amp;VAR:QUERY=KFBfUFJJQ0UoNDA0ODEpLShGRl9DQVNIX1NUKFFUUiw0MDQ4MSkvUF9DT01fU0hTX09VVCg0MDQ4MSkpKS9GR","V9FU1RJTUFURSgnRVBTJywnTUVBTicsJ0FOTlVBTF9ST0xMJywnKzEnLDQwNDgxLCwsJycp&amp;WINDOW=FIRST_POPUP&amp;HEIGHT=450&amp;WIDTH=450&amp;START_MAXIMIZED=FALSE&amp;VAR:CALENDAR=US&amp;VAR:SYMBOL=98433210&amp;VAR:INDEX=0"}</definedName>
    <definedName name="_72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1069"}</definedName>
    <definedName name="_7210__FDSAUDITLINK__">{"fdsup://directions/FAT Viewer?action=UPDATE&amp;creator=factset&amp;DYN_ARGS=TRUE&amp;DOC_NAME=FAT:FQL_AUDITING_CLIENT_TEMPLATE.FAT&amp;display_string=Audit&amp;VAR:KEY=VCLEHQDUPQ&amp;VAR:QUERY=KFBfUFJJQ0UoNDA0ODApLShGRl9DQVNIX1NUKFFUUiw0MDQ4MCkvUF9DT01fU0hTX09VVCg0MDQ4MCkpKS9GR","V9FU1RJTUFURSgnRVBTJywnTUVBTicsJ0FOTlVBTF9ST0xMJywnKzEnLDQwNDgwLCwsJycp&amp;WINDOW=FIRST_POPUP&amp;HEIGHT=450&amp;WIDTH=450&amp;START_MAXIMIZED=FALSE&amp;VAR:CALENDAR=US&amp;VAR:SYMBOL=98433210&amp;VAR:INDEX=0"}</definedName>
    <definedName name="_7211__FDSAUDITLINK__">{"fdsup://directions/FAT Viewer?action=UPDATE&amp;creator=factset&amp;DYN_ARGS=TRUE&amp;DOC_NAME=FAT:FQL_AUDITING_CLIENT_TEMPLATE.FAT&amp;display_string=Audit&amp;VAR:KEY=VCLEHQDUPQ&amp;VAR:QUERY=KFBfUFJJQ0UoNDA0ODApLShGRl9DQVNIX1NUKFFUUiw0MDQ4MCkvUF9DT01fU0hTX09VVCg0MDQ4MCkpKS9GR","V9FU1RJTUFURSgnRVBTJywnTUVBTicsJ0FOTlVBTF9ST0xMJywnKzEnLDQwNDgwLCwsJycp&amp;WINDOW=FIRST_POPUP&amp;HEIGHT=450&amp;WIDTH=450&amp;START_MAXIMIZED=FALSE&amp;VAR:CALENDAR=US&amp;VAR:SYMBOL=98433210&amp;VAR:INDEX=0"}</definedName>
    <definedName name="_7212__FDSAUDITLINK__">{"fdsup://directions/FAT Viewer?action=UPDATE&amp;creator=factset&amp;DYN_ARGS=TRUE&amp;DOC_NAME=FAT:FQL_AUDITING_CLIENT_TEMPLATE.FAT&amp;display_string=Audit&amp;VAR:KEY=BOZAHGTCDM&amp;VAR:QUERY=KFBfUFJJQ0UoNDA0NzkpLShGRl9DQVNIX1NUKFFUUiw0MDQ3OSkvUF9DT01fU0hTX09VVCg0MDQ3OSkpKS9GR","V9FU1RJTUFURSgnRVBTJywnTUVBTicsJ0FOTlVBTF9ST0xMJywnKzEnLDQwNDc5LCwsJycp&amp;WINDOW=FIRST_POPUP&amp;HEIGHT=450&amp;WIDTH=450&amp;START_MAXIMIZED=FALSE&amp;VAR:CALENDAR=US&amp;VAR:SYMBOL=98433210&amp;VAR:INDEX=0"}</definedName>
    <definedName name="_7213__FDSAUDITLINK__">{"fdsup://directions/FAT Viewer?action=UPDATE&amp;creator=factset&amp;DYN_ARGS=TRUE&amp;DOC_NAME=FAT:FQL_AUDITING_CLIENT_TEMPLATE.FAT&amp;display_string=Audit&amp;VAR:KEY=BOZAHGTCDM&amp;VAR:QUERY=KFBfUFJJQ0UoNDA0NzkpLShGRl9DQVNIX1NUKFFUUiw0MDQ3OSkvUF9DT01fU0hTX09VVCg0MDQ3OSkpKS9GR","V9FU1RJTUFURSgnRVBTJywnTUVBTicsJ0FOTlVBTF9ST0xMJywnKzEnLDQwNDc5LCwsJycp&amp;WINDOW=FIRST_POPUP&amp;HEIGHT=450&amp;WIDTH=450&amp;START_MAXIMIZED=FALSE&amp;VAR:CALENDAR=US&amp;VAR:SYMBOL=98433210&amp;VAR:INDEX=0"}</definedName>
    <definedName name="_7214__FDSAUDITLINK__">{"fdsup://directions/FAT Viewer?action=UPDATE&amp;creator=factset&amp;DYN_ARGS=TRUE&amp;DOC_NAME=FAT:FQL_AUDITING_CLIENT_TEMPLATE.FAT&amp;display_string=Audit&amp;VAR:KEY=NSFMZYXYLQ&amp;VAR:QUERY=KFBfUFJJQ0UoNDA0NzgpLShGRl9DQVNIX1NUKFFUUiw0MDQ3OCkvUF9DT01fU0hTX09VVCg0MDQ3OCkpKS9GR","V9FU1RJTUFURSgnRVBTJywnTUVBTicsJ0FOTlVBTF9ST0xMJywnKzEnLDQwNDc4LCwsJycp&amp;WINDOW=FIRST_POPUP&amp;HEIGHT=450&amp;WIDTH=450&amp;START_MAXIMIZED=FALSE&amp;VAR:CALENDAR=US&amp;VAR:SYMBOL=98433210&amp;VAR:INDEX=0"}</definedName>
    <definedName name="_7215__FDSAUDITLINK__">{"fdsup://directions/FAT Viewer?action=UPDATE&amp;creator=factset&amp;DYN_ARGS=TRUE&amp;DOC_NAME=FAT:FQL_AUDITING_CLIENT_TEMPLATE.FAT&amp;display_string=Audit&amp;VAR:KEY=NSFMZYXYLQ&amp;VAR:QUERY=KFBfUFJJQ0UoNDA0NzgpLShGRl9DQVNIX1NUKFFUUiw0MDQ3OCkvUF9DT01fU0hTX09VVCg0MDQ3OCkpKS9GR","V9FU1RJTUFURSgnRVBTJywnTUVBTicsJ0FOTlVBTF9ST0xMJywnKzEnLDQwNDc4LCwsJycp&amp;WINDOW=FIRST_POPUP&amp;HEIGHT=450&amp;WIDTH=450&amp;START_MAXIMIZED=FALSE&amp;VAR:CALENDAR=US&amp;VAR:SYMBOL=98433210&amp;VAR:INDEX=0"}</definedName>
    <definedName name="_7216__FDSAUDITLINK__">{"fdsup://directions/FAT Viewer?action=UPDATE&amp;creator=factset&amp;DYN_ARGS=TRUE&amp;DOC_NAME=FAT:FQL_AUDITING_CLIENT_TEMPLATE.FAT&amp;display_string=Audit&amp;VAR:KEY=TYPIZITAHE&amp;VAR:QUERY=KFBfUFJJQ0UoNDA0NzcpLShGRl9DQVNIX1NUKFFUUiw0MDQ3NykvUF9DT01fU0hTX09VVCg0MDQ3NykpKS9GR","V9FU1RJTUFURSgnRVBTJywnTUVBTicsJ0FOTlVBTF9ST0xMJywnKzEnLDQwNDc3LCwsJycp&amp;WINDOW=FIRST_POPUP&amp;HEIGHT=450&amp;WIDTH=450&amp;START_MAXIMIZED=FALSE&amp;VAR:CALENDAR=US&amp;VAR:SYMBOL=98433210&amp;VAR:INDEX=0"}</definedName>
    <definedName name="_7217__FDSAUDITLINK__">{"fdsup://directions/FAT Viewer?action=UPDATE&amp;creator=factset&amp;DYN_ARGS=TRUE&amp;DOC_NAME=FAT:FQL_AUDITING_CLIENT_TEMPLATE.FAT&amp;display_string=Audit&amp;VAR:KEY=TYPIZITAHE&amp;VAR:QUERY=KFBfUFJJQ0UoNDA0NzcpLShGRl9DQVNIX1NUKFFUUiw0MDQ3NykvUF9DT01fU0hTX09VVCg0MDQ3NykpKS9GR","V9FU1RJTUFURSgnRVBTJywnTUVBTicsJ0FOTlVBTF9ST0xMJywnKzEnLDQwNDc3LCwsJycp&amp;WINDOW=FIRST_POPUP&amp;HEIGHT=450&amp;WIDTH=450&amp;START_MAXIMIZED=FALSE&amp;VAR:CALENDAR=US&amp;VAR:SYMBOL=98433210&amp;VAR:INDEX=0"}</definedName>
    <definedName name="_7218__FDSAUDITLINK__">{"fdsup://directions/FAT Viewer?action=UPDATE&amp;creator=factset&amp;DYN_ARGS=TRUE&amp;DOC_NAME=FAT:FQL_AUDITING_CLIENT_TEMPLATE.FAT&amp;display_string=Audit&amp;VAR:KEY=VOHWLMPKDO&amp;VAR:QUERY=KFBfUFJJQ0UoNDA0NzYpLShGRl9DQVNIX1NUKFFUUiw0MDQ3NikvUF9DT01fU0hTX09VVCg0MDQ3NikpKS9GR","V9FU1RJTUFURSgnRVBTJywnTUVBTicsJ0FOTlVBTF9ST0xMJywnKzEnLDQwNDc2LCwsJycp&amp;WINDOW=FIRST_POPUP&amp;HEIGHT=450&amp;WIDTH=450&amp;START_MAXIMIZED=FALSE&amp;VAR:CALENDAR=US&amp;VAR:SYMBOL=98433210&amp;VAR:INDEX=0"}</definedName>
    <definedName name="_7219__FDSAUDITLINK__">{"fdsup://directions/FAT Viewer?action=UPDATE&amp;creator=factset&amp;DYN_ARGS=TRUE&amp;DOC_NAME=FAT:FQL_AUDITING_CLIENT_TEMPLATE.FAT&amp;display_string=Audit&amp;VAR:KEY=VOHWLMPKDO&amp;VAR:QUERY=KFBfUFJJQ0UoNDA0NzYpLShGRl9DQVNIX1NUKFFUUiw0MDQ3NikvUF9DT01fU0hTX09VVCg0MDQ3NikpKS9GR","V9FU1RJTUFURSgnRVBTJywnTUVBTicsJ0FOTlVBTF9ST0xMJywnKzEnLDQwNDc2LCwsJycp&amp;WINDOW=FIRST_POPUP&amp;HEIGHT=450&amp;WIDTH=450&amp;START_MAXIMIZED=FALSE&amp;VAR:CALENDAR=US&amp;VAR:SYMBOL=98433210&amp;VAR:INDEX=0"}</definedName>
    <definedName name="_72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1068"}</definedName>
    <definedName name="_7220__FDSAUDITLINK__">{"fdsup://directions/FAT Viewer?action=UPDATE&amp;creator=factset&amp;DYN_ARGS=TRUE&amp;DOC_NAME=FAT:FQL_AUDITING_CLIENT_TEMPLATE.FAT&amp;display_string=Audit&amp;VAR:KEY=JAVMVGXMLI&amp;VAR:QUERY=KFBfUFJJQ0UoNDA0NzUpLShGRl9DQVNIX1NUKFFUUiw0MDQ3NSkvUF9DT01fU0hTX09VVCg0MDQ3NSkpKS9GR","V9FU1RJTUFURSgnRVBTJywnTUVBTicsJ0FOTlVBTF9ST0xMJywnKzEnLDQwNDc1LCwsJycp&amp;WINDOW=FIRST_POPUP&amp;HEIGHT=450&amp;WIDTH=450&amp;START_MAXIMIZED=FALSE&amp;VAR:CALENDAR=US&amp;VAR:SYMBOL=98433210&amp;VAR:INDEX=0"}</definedName>
    <definedName name="_7221__FDSAUDITLINK__">{"fdsup://directions/FAT Viewer?action=UPDATE&amp;creator=factset&amp;DYN_ARGS=TRUE&amp;DOC_NAME=FAT:FQL_AUDITING_CLIENT_TEMPLATE.FAT&amp;display_string=Audit&amp;VAR:KEY=JAVMVGXMLI&amp;VAR:QUERY=KFBfUFJJQ0UoNDA0NzUpLShGRl9DQVNIX1NUKFFUUiw0MDQ3NSkvUF9DT01fU0hTX09VVCg0MDQ3NSkpKS9GR","V9FU1RJTUFURSgnRVBTJywnTUVBTicsJ0FOTlVBTF9ST0xMJywnKzEnLDQwNDc1LCwsJycp&amp;WINDOW=FIRST_POPUP&amp;HEIGHT=450&amp;WIDTH=450&amp;START_MAXIMIZED=FALSE&amp;VAR:CALENDAR=US&amp;VAR:SYMBOL=98433210&amp;VAR:INDEX=0"}</definedName>
    <definedName name="_7222__FDSAUDITLINK__">{"fdsup://directions/FAT Viewer?action=UPDATE&amp;creator=factset&amp;DYN_ARGS=TRUE&amp;DOC_NAME=FAT:FQL_AUDITING_CLIENT_TEMPLATE.FAT&amp;display_string=Audit&amp;VAR:KEY=BMDETUDYXU&amp;VAR:QUERY=KFBfUFJJQ0UoNDA0NzQpLShGRl9DQVNIX1NUKFFUUiw0MDQ3NCkvUF9DT01fU0hTX09VVCg0MDQ3NCkpKS9GR","V9FU1RJTUFURSgnRVBTJywnTUVBTicsJ0FOTlVBTF9ST0xMJywnKzEnLDQwNDc0LCwsJycp&amp;WINDOW=FIRST_POPUP&amp;HEIGHT=450&amp;WIDTH=450&amp;START_MAXIMIZED=FALSE&amp;VAR:CALENDAR=US&amp;VAR:SYMBOL=98433210&amp;VAR:INDEX=0"}</definedName>
    <definedName name="_7223__FDSAUDITLINK__">{"fdsup://directions/FAT Viewer?action=UPDATE&amp;creator=factset&amp;DYN_ARGS=TRUE&amp;DOC_NAME=FAT:FQL_AUDITING_CLIENT_TEMPLATE.FAT&amp;display_string=Audit&amp;VAR:KEY=BMDETUDYXU&amp;VAR:QUERY=KFBfUFJJQ0UoNDA0NzQpLShGRl9DQVNIX1NUKFFUUiw0MDQ3NCkvUF9DT01fU0hTX09VVCg0MDQ3NCkpKS9GR","V9FU1RJTUFURSgnRVBTJywnTUVBTicsJ0FOTlVBTF9ST0xMJywnKzEnLDQwNDc0LCwsJycp&amp;WINDOW=FIRST_POPUP&amp;HEIGHT=450&amp;WIDTH=450&amp;START_MAXIMIZED=FALSE&amp;VAR:CALENDAR=US&amp;VAR:SYMBOL=98433210&amp;VAR:INDEX=0"}</definedName>
    <definedName name="_7224__FDSAUDITLINK__">{"fdsup://directions/FAT Viewer?action=UPDATE&amp;creator=factset&amp;DYN_ARGS=TRUE&amp;DOC_NAME=FAT:FQL_AUDITING_CLIENT_TEMPLATE.FAT&amp;display_string=Audit&amp;VAR:KEY=XYTWJWXAZW&amp;VAR:QUERY=KFBfUFJJQ0UoNDA0NzMpLShGRl9DQVNIX1NUKFFUUiw0MDQ3MykvUF9DT01fU0hTX09VVCg0MDQ3MykpKS9GR","V9FU1RJTUFURSgnRVBTJywnTUVBTicsJ0FOTlVBTF9ST0xMJywnKzEnLDQwNDczLCwsJycp&amp;WINDOW=FIRST_POPUP&amp;HEIGHT=450&amp;WIDTH=450&amp;START_MAXIMIZED=FALSE&amp;VAR:CALENDAR=US&amp;VAR:SYMBOL=98433210&amp;VAR:INDEX=0"}</definedName>
    <definedName name="_7225__FDSAUDITLINK__">{"fdsup://directions/FAT Viewer?action=UPDATE&amp;creator=factset&amp;DYN_ARGS=TRUE&amp;DOC_NAME=FAT:FQL_AUDITING_CLIENT_TEMPLATE.FAT&amp;display_string=Audit&amp;VAR:KEY=XYTWJWXAZW&amp;VAR:QUERY=KFBfUFJJQ0UoNDA0NzMpLShGRl9DQVNIX1NUKFFUUiw0MDQ3MykvUF9DT01fU0hTX09VVCg0MDQ3MykpKS9GR","V9FU1RJTUFURSgnRVBTJywnTUVBTicsJ0FOTlVBTF9ST0xMJywnKzEnLDQwNDczLCwsJycp&amp;WINDOW=FIRST_POPUP&amp;HEIGHT=450&amp;WIDTH=450&amp;START_MAXIMIZED=FALSE&amp;VAR:CALENDAR=US&amp;VAR:SYMBOL=98433210&amp;VAR:INDEX=0"}</definedName>
    <definedName name="_7226__FDSAUDITLINK__">{"fdsup://directions/FAT Viewer?action=UPDATE&amp;creator=factset&amp;DYN_ARGS=TRUE&amp;DOC_NAME=FAT:FQL_AUDITING_CLIENT_TEMPLATE.FAT&amp;display_string=Audit&amp;VAR:KEY=TAJYPEBSVU&amp;VAR:QUERY=KFBfUFJJQ0UoNDA0NzIpLShGRl9DQVNIX1NUKFFUUiw0MDQ3MikvUF9DT01fU0hTX09VVCg0MDQ3MikpKS9GR","V9FU1RJTUFURSgnRVBTJywnTUVBTicsJ0FOTlVBTF9ST0xMJywnKzEnLDQwNDcyLCwsJycp&amp;WINDOW=FIRST_POPUP&amp;HEIGHT=450&amp;WIDTH=450&amp;START_MAXIMIZED=FALSE&amp;VAR:CALENDAR=US&amp;VAR:SYMBOL=98433210&amp;VAR:INDEX=0"}</definedName>
    <definedName name="_7227__FDSAUDITLINK__">{"fdsup://directions/FAT Viewer?action=UPDATE&amp;creator=factset&amp;DYN_ARGS=TRUE&amp;DOC_NAME=FAT:FQL_AUDITING_CLIENT_TEMPLATE.FAT&amp;display_string=Audit&amp;VAR:KEY=TAJYPEBSVU&amp;VAR:QUERY=KFBfUFJJQ0UoNDA0NzIpLShGRl9DQVNIX1NUKFFUUiw0MDQ3MikvUF9DT01fU0hTX09VVCg0MDQ3MikpKS9GR","V9FU1RJTUFURSgnRVBTJywnTUVBTicsJ0FOTlVBTF9ST0xMJywnKzEnLDQwNDcyLCwsJycp&amp;WINDOW=FIRST_POPUP&amp;HEIGHT=450&amp;WIDTH=450&amp;START_MAXIMIZED=FALSE&amp;VAR:CALENDAR=US&amp;VAR:SYMBOL=98433210&amp;VAR:INDEX=0"}</definedName>
    <definedName name="_7228__FDSAUDITLINK__">{"fdsup://directions/FAT Viewer?action=UPDATE&amp;creator=factset&amp;DYN_ARGS=TRUE&amp;DOC_NAME=FAT:FQL_AUDITING_CLIENT_TEMPLATE.FAT&amp;display_string=Audit&amp;VAR:KEY=ZCRCVALABK&amp;VAR:QUERY=KFBfUFJJQ0UoNDA0NzEpLShGRl9DQVNIX1NUKFFUUiw0MDQ3MSkvUF9DT01fU0hTX09VVCg0MDQ3MSkpKS9GR","V9FU1RJTUFURSgnRVBTJywnTUVBTicsJ0FOTlVBTF9ST0xMJywnKzEnLDQwNDcxLCwsJycp&amp;WINDOW=FIRST_POPUP&amp;HEIGHT=450&amp;WIDTH=450&amp;START_MAXIMIZED=FALSE&amp;VAR:CALENDAR=US&amp;VAR:SYMBOL=98433210&amp;VAR:INDEX=0"}</definedName>
    <definedName name="_7229__FDSAUDITLINK__">{"fdsup://directions/FAT Viewer?action=UPDATE&amp;creator=factset&amp;DYN_ARGS=TRUE&amp;DOC_NAME=FAT:FQL_AUDITING_CLIENT_TEMPLATE.FAT&amp;display_string=Audit&amp;VAR:KEY=ZCRCVALABK&amp;VAR:QUERY=KFBfUFJJQ0UoNDA0NzEpLShGRl9DQVNIX1NUKFFUUiw0MDQ3MSkvUF9DT01fU0hTX09VVCg0MDQ3MSkpKS9GR","V9FU1RJTUFURSgnRVBTJywnTUVBTicsJ0FOTlVBTF9ST0xMJywnKzEnLDQwNDcxLCwsJycp&amp;WINDOW=FIRST_POPUP&amp;HEIGHT=450&amp;WIDTH=450&amp;START_MAXIMIZED=FALSE&amp;VAR:CALENDAR=US&amp;VAR:SYMBOL=98433210&amp;VAR:INDEX=0"}</definedName>
    <definedName name="_72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1067"}</definedName>
    <definedName name="_7230__FDSAUDITLINK__">{"fdsup://directions/FAT Viewer?action=UPDATE&amp;creator=factset&amp;DYN_ARGS=TRUE&amp;DOC_NAME=FAT:FQL_AUDITING_CLIENT_TEMPLATE.FAT&amp;display_string=Audit&amp;VAR:KEY=NOJQLQTONK&amp;VAR:QUERY=KFBfUFJJQ0UoNDA0NzApLShGRl9DQVNIX1NUKFFUUiw0MDQ3MCkvUF9DT01fU0hTX09VVCg0MDQ3MCkpKS9GR","V9FU1RJTUFURSgnRVBTJywnTUVBTicsJ0FOTlVBTF9ST0xMJywnKzEnLDQwNDcwLCwsJycp&amp;WINDOW=FIRST_POPUP&amp;HEIGHT=450&amp;WIDTH=450&amp;START_MAXIMIZED=FALSE&amp;VAR:CALENDAR=US&amp;VAR:SYMBOL=98433210&amp;VAR:INDEX=0"}</definedName>
    <definedName name="_7231__FDSAUDITLINK__">{"fdsup://directions/FAT Viewer?action=UPDATE&amp;creator=factset&amp;DYN_ARGS=TRUE&amp;DOC_NAME=FAT:FQL_AUDITING_CLIENT_TEMPLATE.FAT&amp;display_string=Audit&amp;VAR:KEY=NOJQLQTONK&amp;VAR:QUERY=KFBfUFJJQ0UoNDA0NzApLShGRl9DQVNIX1NUKFFUUiw0MDQ3MCkvUF9DT01fU0hTX09VVCg0MDQ3MCkpKS9GR","V9FU1RJTUFURSgnRVBTJywnTUVBTicsJ0FOTlVBTF9ST0xMJywnKzEnLDQwNDcwLCwsJycp&amp;WINDOW=FIRST_POPUP&amp;HEIGHT=450&amp;WIDTH=450&amp;START_MAXIMIZED=FALSE&amp;VAR:CALENDAR=US&amp;VAR:SYMBOL=98433210&amp;VAR:INDEX=0"}</definedName>
    <definedName name="_7232__FDSAUDITLINK__">{"fdsup://directions/FAT Viewer?action=UPDATE&amp;creator=factset&amp;DYN_ARGS=TRUE&amp;DOC_NAME=FAT:FQL_AUDITING_CLIENT_TEMPLATE.FAT&amp;display_string=Audit&amp;VAR:KEY=XGRMVQTAPO&amp;VAR:QUERY=KFBfUFJJQ0UoNDA0NjkpLShGRl9DQVNIX1NUKFFUUiw0MDQ2OSkvUF9DT01fU0hTX09VVCg0MDQ2OSkpKS9GR","V9FU1RJTUFURSgnRVBTJywnTUVBTicsJ0FOTlVBTF9ST0xMJywnKzEnLDQwNDY5LCwsJycp&amp;WINDOW=FIRST_POPUP&amp;HEIGHT=450&amp;WIDTH=450&amp;START_MAXIMIZED=FALSE&amp;VAR:CALENDAR=US&amp;VAR:SYMBOL=98433210&amp;VAR:INDEX=0"}</definedName>
    <definedName name="_7233__FDSAUDITLINK__">{"fdsup://directions/FAT Viewer?action=UPDATE&amp;creator=factset&amp;DYN_ARGS=TRUE&amp;DOC_NAME=FAT:FQL_AUDITING_CLIENT_TEMPLATE.FAT&amp;display_string=Audit&amp;VAR:KEY=XGRMVQTAPO&amp;VAR:QUERY=KFBfUFJJQ0UoNDA0NjkpLShGRl9DQVNIX1NUKFFUUiw0MDQ2OSkvUF9DT01fU0hTX09VVCg0MDQ2OSkpKS9GR","V9FU1RJTUFURSgnRVBTJywnTUVBTicsJ0FOTlVBTF9ST0xMJywnKzEnLDQwNDY5LCwsJycp&amp;WINDOW=FIRST_POPUP&amp;HEIGHT=450&amp;WIDTH=450&amp;START_MAXIMIZED=FALSE&amp;VAR:CALENDAR=US&amp;VAR:SYMBOL=98433210&amp;VAR:INDEX=0"}</definedName>
    <definedName name="_7234__FDSAUDITLINK__">{"fdsup://directions/FAT Viewer?action=UPDATE&amp;creator=factset&amp;DYN_ARGS=TRUE&amp;DOC_NAME=FAT:FQL_AUDITING_CLIENT_TEMPLATE.FAT&amp;display_string=Audit&amp;VAR:KEY=FKZGFSHSTE&amp;VAR:QUERY=KFBfUFJJQ0UoNDA0NjgpLShGRl9DQVNIX1NUKFFUUiw0MDQ2OCkvUF9DT01fU0hTX09VVCg0MDQ2OCkpKS9GR","V9FU1RJTUFURSgnRVBTJywnTUVBTicsJ0FOTlVBTF9ST0xMJywnKzEnLDQwNDY4LCwsJycp&amp;WINDOW=FIRST_POPUP&amp;HEIGHT=450&amp;WIDTH=450&amp;START_MAXIMIZED=FALSE&amp;VAR:CALENDAR=US&amp;VAR:SYMBOL=98433210&amp;VAR:INDEX=0"}</definedName>
    <definedName name="_7235__FDSAUDITLINK__">{"fdsup://directions/FAT Viewer?action=UPDATE&amp;creator=factset&amp;DYN_ARGS=TRUE&amp;DOC_NAME=FAT:FQL_AUDITING_CLIENT_TEMPLATE.FAT&amp;display_string=Audit&amp;VAR:KEY=FKZGFSHSTE&amp;VAR:QUERY=KFBfUFJJQ0UoNDA0NjgpLShGRl9DQVNIX1NUKFFUUiw0MDQ2OCkvUF9DT01fU0hTX09VVCg0MDQ2OCkpKS9GR","V9FU1RJTUFURSgnRVBTJywnTUVBTicsJ0FOTlVBTF9ST0xMJywnKzEnLDQwNDY4LCwsJycp&amp;WINDOW=FIRST_POPUP&amp;HEIGHT=450&amp;WIDTH=450&amp;START_MAXIMIZED=FALSE&amp;VAR:CALENDAR=US&amp;VAR:SYMBOL=98433210&amp;VAR:INDEX=0"}</definedName>
    <definedName name="_7236__FDSAUDITLINK__">{"fdsup://directions/FAT Viewer?action=UPDATE&amp;creator=factset&amp;DYN_ARGS=TRUE&amp;DOC_NAME=FAT:FQL_AUDITING_CLIENT_TEMPLATE.FAT&amp;display_string=Audit&amp;VAR:KEY=RCFYVGNMBA&amp;VAR:QUERY=KFBfUFJJQ0UoNDA0NjcpLShGRl9DQVNIX1NUKFFUUiw0MDQ2NykvUF9DT01fU0hTX09VVCg0MDQ2NykpKS9GR","V9FU1RJTUFURSgnRVBTJywnTUVBTicsJ0FOTlVBTF9ST0xMJywnKzEnLDQwNDY3LCwsJycp&amp;WINDOW=FIRST_POPUP&amp;HEIGHT=450&amp;WIDTH=450&amp;START_MAXIMIZED=FALSE&amp;VAR:CALENDAR=US&amp;VAR:SYMBOL=98433210&amp;VAR:INDEX=0"}</definedName>
    <definedName name="_7237__FDSAUDITLINK__">{"fdsup://directions/FAT Viewer?action=UPDATE&amp;creator=factset&amp;DYN_ARGS=TRUE&amp;DOC_NAME=FAT:FQL_AUDITING_CLIENT_TEMPLATE.FAT&amp;display_string=Audit&amp;VAR:KEY=RCFYVGNMBA&amp;VAR:QUERY=KFBfUFJJQ0UoNDA0NjcpLShGRl9DQVNIX1NUKFFUUiw0MDQ2NykvUF9DT01fU0hTX09VVCg0MDQ2NykpKS9GR","V9FU1RJTUFURSgnRVBTJywnTUVBTicsJ0FOTlVBTF9ST0xMJywnKzEnLDQwNDY3LCwsJycp&amp;WINDOW=FIRST_POPUP&amp;HEIGHT=450&amp;WIDTH=450&amp;START_MAXIMIZED=FALSE&amp;VAR:CALENDAR=US&amp;VAR:SYMBOL=98433210&amp;VAR:INDEX=0"}</definedName>
    <definedName name="_7238__FDSAUDITLINK__">{"fdsup://directions/FAT Viewer?action=UPDATE&amp;creator=factset&amp;DYN_ARGS=TRUE&amp;DOC_NAME=FAT:FQL_AUDITING_CLIENT_TEMPLATE.FAT&amp;display_string=Audit&amp;VAR:KEY=RCLARGZOBC&amp;VAR:QUERY=KFBfUFJJQ0UoNDA0NjYpLShGRl9DQVNIX1NUKFFUUiw0MDQ2NikvUF9DT01fU0hTX09VVCg0MDQ2NikpKS9GR","V9FU1RJTUFURSgnRVBTJywnTUVBTicsJ0FOTlVBTF9ST0xMJywnKzEnLDQwNDY2LCwsJycp&amp;WINDOW=FIRST_POPUP&amp;HEIGHT=450&amp;WIDTH=450&amp;START_MAXIMIZED=FALSE&amp;VAR:CALENDAR=US&amp;VAR:SYMBOL=98433210&amp;VAR:INDEX=0"}</definedName>
    <definedName name="_7239__FDSAUDITLINK__">{"fdsup://directions/FAT Viewer?action=UPDATE&amp;creator=factset&amp;DYN_ARGS=TRUE&amp;DOC_NAME=FAT:FQL_AUDITING_CLIENT_TEMPLATE.FAT&amp;display_string=Audit&amp;VAR:KEY=RCLARGZOBC&amp;VAR:QUERY=KFBfUFJJQ0UoNDA0NjYpLShGRl9DQVNIX1NUKFFUUiw0MDQ2NikvUF9DT01fU0hTX09VVCg0MDQ2NikpKS9GR","V9FU1RJTUFURSgnRVBTJywnTUVBTicsJ0FOTlVBTF9ST0xMJywnKzEnLDQwNDY2LCwsJycp&amp;WINDOW=FIRST_POPUP&amp;HEIGHT=450&amp;WIDTH=450&amp;START_MAXIMIZED=FALSE&amp;VAR:CALENDAR=US&amp;VAR:SYMBOL=98433210&amp;VAR:INDEX=0"}</definedName>
    <definedName name="_72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1066"}</definedName>
    <definedName name="_7240__FDSAUDITLINK__">{"fdsup://directions/FAT Viewer?action=UPDATE&amp;creator=factset&amp;DYN_ARGS=TRUE&amp;DOC_NAME=FAT:FQL_AUDITING_CLIENT_TEMPLATE.FAT&amp;display_string=Audit&amp;VAR:KEY=RKLYVGJSZK&amp;VAR:QUERY=KFBfUFJJQ0UoNDA0NjUpLShGRl9DQVNIX1NUKFFUUiw0MDQ2NSkvUF9DT01fU0hTX09VVCg0MDQ2NSkpKS9GR","V9FU1RJTUFURSgnRVBTJywnTUVBTicsJ0FOTlVBTF9ST0xMJywnKzEnLDQwNDY1LCwsJycp&amp;WINDOW=FIRST_POPUP&amp;HEIGHT=450&amp;WIDTH=450&amp;START_MAXIMIZED=FALSE&amp;VAR:CALENDAR=US&amp;VAR:SYMBOL=98433210&amp;VAR:INDEX=0"}</definedName>
    <definedName name="_7241__FDSAUDITLINK__">{"fdsup://directions/FAT Viewer?action=UPDATE&amp;creator=factset&amp;DYN_ARGS=TRUE&amp;DOC_NAME=FAT:FQL_AUDITING_CLIENT_TEMPLATE.FAT&amp;display_string=Audit&amp;VAR:KEY=RKLYVGJSZK&amp;VAR:QUERY=KFBfUFJJQ0UoNDA0NjUpLShGRl9DQVNIX1NUKFFUUiw0MDQ2NSkvUF9DT01fU0hTX09VVCg0MDQ2NSkpKS9GR","V9FU1RJTUFURSgnRVBTJywnTUVBTicsJ0FOTlVBTF9ST0xMJywnKzEnLDQwNDY1LCwsJycp&amp;WINDOW=FIRST_POPUP&amp;HEIGHT=450&amp;WIDTH=450&amp;START_MAXIMIZED=FALSE&amp;VAR:CALENDAR=US&amp;VAR:SYMBOL=98433210&amp;VAR:INDEX=0"}</definedName>
    <definedName name="_7242__FDSAUDITLINK__">{"fdsup://directions/FAT Viewer?action=UPDATE&amp;creator=factset&amp;DYN_ARGS=TRUE&amp;DOC_NAME=FAT:FQL_AUDITING_CLIENT_TEMPLATE.FAT&amp;display_string=Audit&amp;VAR:KEY=ZGBYJWFKRM&amp;VAR:QUERY=KFBfUFJJQ0UoNDA0NjQpLShGRl9DQVNIX1NUKFFUUiw0MDQ2NCkvUF9DT01fU0hTX09VVCg0MDQ2NCkpKS9GR","V9FU1RJTUFURSgnRVBTJywnTUVBTicsJ0FOTlVBTF9ST0xMJywnKzEnLDQwNDY0LCwsJycp&amp;WINDOW=FIRST_POPUP&amp;HEIGHT=450&amp;WIDTH=450&amp;START_MAXIMIZED=FALSE&amp;VAR:CALENDAR=US&amp;VAR:SYMBOL=98433210&amp;VAR:INDEX=0"}</definedName>
    <definedName name="_7243__FDSAUDITLINK__">{"fdsup://directions/FAT Viewer?action=UPDATE&amp;creator=factset&amp;DYN_ARGS=TRUE&amp;DOC_NAME=FAT:FQL_AUDITING_CLIENT_TEMPLATE.FAT&amp;display_string=Audit&amp;VAR:KEY=ZGBYJWFKRM&amp;VAR:QUERY=KFBfUFJJQ0UoNDA0NjQpLShGRl9DQVNIX1NUKFFUUiw0MDQ2NCkvUF9DT01fU0hTX09VVCg0MDQ2NCkpKS9GR","V9FU1RJTUFURSgnRVBTJywnTUVBTicsJ0FOTlVBTF9ST0xMJywnKzEnLDQwNDY0LCwsJycp&amp;WINDOW=FIRST_POPUP&amp;HEIGHT=450&amp;WIDTH=450&amp;START_MAXIMIZED=FALSE&amp;VAR:CALENDAR=US&amp;VAR:SYMBOL=98433210&amp;VAR:INDEX=0"}</definedName>
    <definedName name="_7244__FDSAUDITLINK__">{"fdsup://directions/FAT Viewer?action=UPDATE&amp;creator=factset&amp;DYN_ARGS=TRUE&amp;DOC_NAME=FAT:FQL_AUDITING_CLIENT_TEMPLATE.FAT&amp;display_string=Audit&amp;VAR:KEY=BGHUDIHUVE&amp;VAR:QUERY=KFBfUFJJQ0UoNDA0NjMpLShGRl9DQVNIX1NUKFFUUiw0MDQ2MykvUF9DT01fU0hTX09VVCg0MDQ2MykpKS9GR","V9FU1RJTUFURSgnRVBTJywnTUVBTicsJ0FOTlVBTF9ST0xMJywnKzEnLDQwNDYzLCwsJycp&amp;WINDOW=FIRST_POPUP&amp;HEIGHT=450&amp;WIDTH=450&amp;START_MAXIMIZED=FALSE&amp;VAR:CALENDAR=US&amp;VAR:SYMBOL=98433210&amp;VAR:INDEX=0"}</definedName>
    <definedName name="_7245__FDSAUDITLINK__">{"fdsup://directions/FAT Viewer?action=UPDATE&amp;creator=factset&amp;DYN_ARGS=TRUE&amp;DOC_NAME=FAT:FQL_AUDITING_CLIENT_TEMPLATE.FAT&amp;display_string=Audit&amp;VAR:KEY=BGHUDIHUVE&amp;VAR:QUERY=KFBfUFJJQ0UoNDA0NjMpLShGRl9DQVNIX1NUKFFUUiw0MDQ2MykvUF9DT01fU0hTX09VVCg0MDQ2MykpKS9GR","V9FU1RJTUFURSgnRVBTJywnTUVBTicsJ0FOTlVBTF9ST0xMJywnKzEnLDQwNDYzLCwsJycp&amp;WINDOW=FIRST_POPUP&amp;HEIGHT=450&amp;WIDTH=450&amp;START_MAXIMIZED=FALSE&amp;VAR:CALENDAR=US&amp;VAR:SYMBOL=98433210&amp;VAR:INDEX=0"}</definedName>
    <definedName name="_7246__FDSAUDITLINK__">{"fdsup://directions/FAT Viewer?action=UPDATE&amp;creator=factset&amp;DYN_ARGS=TRUE&amp;DOC_NAME=FAT:FQL_AUDITING_CLIENT_TEMPLATE.FAT&amp;display_string=Audit&amp;VAR:KEY=BOHEXQZCZU&amp;VAR:QUERY=KFBfUFJJQ0UoNDA0NjIpLShGRl9DQVNIX1NUKFFUUiw0MDQ2MikvUF9DT01fU0hTX09VVCg0MDQ2MikpKS9GR","V9FU1RJTUFURSgnRVBTJywnTUVBTicsJ0FOTlVBTF9ST0xMJywnKzEnLDQwNDYyLCwsJycp&amp;WINDOW=FIRST_POPUP&amp;HEIGHT=450&amp;WIDTH=450&amp;START_MAXIMIZED=FALSE&amp;VAR:CALENDAR=US&amp;VAR:SYMBOL=98433210&amp;VAR:INDEX=0"}</definedName>
    <definedName name="_7247__FDSAUDITLINK__">{"fdsup://directions/FAT Viewer?action=UPDATE&amp;creator=factset&amp;DYN_ARGS=TRUE&amp;DOC_NAME=FAT:FQL_AUDITING_CLIENT_TEMPLATE.FAT&amp;display_string=Audit&amp;VAR:KEY=BOHEXQZCZU&amp;VAR:QUERY=KFBfUFJJQ0UoNDA0NjIpLShGRl9DQVNIX1NUKFFUUiw0MDQ2MikvUF9DT01fU0hTX09VVCg0MDQ2MikpKS9GR","V9FU1RJTUFURSgnRVBTJywnTUVBTicsJ0FOTlVBTF9ST0xMJywnKzEnLDQwNDYyLCwsJycp&amp;WINDOW=FIRST_POPUP&amp;HEIGHT=450&amp;WIDTH=450&amp;START_MAXIMIZED=FALSE&amp;VAR:CALENDAR=US&amp;VAR:SYMBOL=98433210&amp;VAR:INDEX=0"}</definedName>
    <definedName name="_7248__FDSAUDITLINK__">{"fdsup://directions/FAT Viewer?action=UPDATE&amp;creator=factset&amp;DYN_ARGS=TRUE&amp;DOC_NAME=FAT:FQL_AUDITING_CLIENT_TEMPLATE.FAT&amp;display_string=Audit&amp;VAR:KEY=NQHINQJIZA&amp;VAR:QUERY=KFBfUFJJQ0UoNDA0NjEpLShGRl9DQVNIX1NUKFFUUiw0MDQ2MSkvUF9DT01fU0hTX09VVCg0MDQ2MSkpKS9GR","V9FU1RJTUFURSgnRVBTJywnTUVBTicsJ0FOTlVBTF9ST0xMJywnKzEnLDQwNDYxLCwsJycp&amp;WINDOW=FIRST_POPUP&amp;HEIGHT=450&amp;WIDTH=450&amp;START_MAXIMIZED=FALSE&amp;VAR:CALENDAR=US&amp;VAR:SYMBOL=98433210&amp;VAR:INDEX=0"}</definedName>
    <definedName name="_7249__FDSAUDITLINK__">{"fdsup://directions/FAT Viewer?action=UPDATE&amp;creator=factset&amp;DYN_ARGS=TRUE&amp;DOC_NAME=FAT:FQL_AUDITING_CLIENT_TEMPLATE.FAT&amp;display_string=Audit&amp;VAR:KEY=NQHINQJIZA&amp;VAR:QUERY=KFBfUFJJQ0UoNDA0NjEpLShGRl9DQVNIX1NUKFFUUiw0MDQ2MSkvUF9DT01fU0hTX09VVCg0MDQ2MSkpKS9GR","V9FU1RJTUFURSgnRVBTJywnTUVBTicsJ0FOTlVBTF9ST0xMJywnKzEnLDQwNDYxLCwsJycp&amp;WINDOW=FIRST_POPUP&amp;HEIGHT=450&amp;WIDTH=450&amp;START_MAXIMIZED=FALSE&amp;VAR:CALENDAR=US&amp;VAR:SYMBOL=98433210&amp;VAR:INDEX=0"}</definedName>
    <definedName name="_72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1065"}</definedName>
    <definedName name="_7250__FDSAUDITLINK__">{"fdsup://directions/FAT Viewer?action=UPDATE&amp;creator=factset&amp;DYN_ARGS=TRUE&amp;DOC_NAME=FAT:FQL_AUDITING_CLIENT_TEMPLATE.FAT&amp;display_string=Audit&amp;VAR:KEY=BMZYTWXWJM&amp;VAR:QUERY=KFBfUFJJQ0UoNDA0NjApLShGRl9DQVNIX1NUKFFUUiw0MDQ2MCkvUF9DT01fU0hTX09VVCg0MDQ2MCkpKS9GR","V9FU1RJTUFURSgnRVBTJywnTUVBTicsJ0FOTlVBTF9ST0xMJywnKzEnLDQwNDYwLCwsJycp&amp;WINDOW=FIRST_POPUP&amp;HEIGHT=450&amp;WIDTH=450&amp;START_MAXIMIZED=FALSE&amp;VAR:CALENDAR=US&amp;VAR:SYMBOL=98433210&amp;VAR:INDEX=0"}</definedName>
    <definedName name="_7251__FDSAUDITLINK__">{"fdsup://directions/FAT Viewer?action=UPDATE&amp;creator=factset&amp;DYN_ARGS=TRUE&amp;DOC_NAME=FAT:FQL_AUDITING_CLIENT_TEMPLATE.FAT&amp;display_string=Audit&amp;VAR:KEY=BMZYTWXWJM&amp;VAR:QUERY=KFBfUFJJQ0UoNDA0NjApLShGRl9DQVNIX1NUKFFUUiw0MDQ2MCkvUF9DT01fU0hTX09VVCg0MDQ2MCkpKS9GR","V9FU1RJTUFURSgnRVBTJywnTUVBTicsJ0FOTlVBTF9ST0xMJywnKzEnLDQwNDYwLCwsJycp&amp;WINDOW=FIRST_POPUP&amp;HEIGHT=450&amp;WIDTH=450&amp;START_MAXIMIZED=FALSE&amp;VAR:CALENDAR=US&amp;VAR:SYMBOL=98433210&amp;VAR:INDEX=0"}</definedName>
    <definedName name="_7252__FDSAUDITLINK__">{"fdsup://directions/FAT Viewer?action=UPDATE&amp;creator=factset&amp;DYN_ARGS=TRUE&amp;DOC_NAME=FAT:FQL_AUDITING_CLIENT_TEMPLATE.FAT&amp;display_string=Audit&amp;VAR:KEY=TUHYZKZKPE&amp;VAR:QUERY=KFBfUFJJQ0UoNDA0NTkpLShGRl9DQVNIX1NUKFFUUiw0MDQ1OSkvUF9DT01fU0hTX09VVCg0MDQ1OSkpKS9GR","V9FU1RJTUFURSgnRVBTJywnTUVBTicsJ0FOTlVBTF9ST0xMJywnKzEnLDQwNDU5LCwsJycp&amp;WINDOW=FIRST_POPUP&amp;HEIGHT=450&amp;WIDTH=450&amp;START_MAXIMIZED=FALSE&amp;VAR:CALENDAR=US&amp;VAR:SYMBOL=98433210&amp;VAR:INDEX=0"}</definedName>
    <definedName name="_7253__FDSAUDITLINK__">{"fdsup://directions/FAT Viewer?action=UPDATE&amp;creator=factset&amp;DYN_ARGS=TRUE&amp;DOC_NAME=FAT:FQL_AUDITING_CLIENT_TEMPLATE.FAT&amp;display_string=Audit&amp;VAR:KEY=TUHYZKZKPE&amp;VAR:QUERY=KFBfUFJJQ0UoNDA0NTkpLShGRl9DQVNIX1NUKFFUUiw0MDQ1OSkvUF9DT01fU0hTX09VVCg0MDQ1OSkpKS9GR","V9FU1RJTUFURSgnRVBTJywnTUVBTicsJ0FOTlVBTF9ST0xMJywnKzEnLDQwNDU5LCwsJycp&amp;WINDOW=FIRST_POPUP&amp;HEIGHT=450&amp;WIDTH=450&amp;START_MAXIMIZED=FALSE&amp;VAR:CALENDAR=US&amp;VAR:SYMBOL=98433210&amp;VAR:INDEX=0"}</definedName>
    <definedName name="_7254__FDSAUDITLINK__">{"fdsup://directions/FAT Viewer?action=UPDATE&amp;creator=factset&amp;DYN_ARGS=TRUE&amp;DOC_NAME=FAT:FQL_AUDITING_CLIENT_TEMPLATE.FAT&amp;display_string=Audit&amp;VAR:KEY=BOLARQXUFM&amp;VAR:QUERY=KFBfUFJJQ0UoNDA0NTgpLShGRl9DQVNIX1NUKFFUUiw0MDQ1OCkvUF9DT01fU0hTX09VVCg0MDQ1OCkpKS9GR","V9FU1RJTUFURSgnRVBTJywnTUVBTicsJ0FOTlVBTF9ST0xMJywnKzEnLDQwNDU4LCwsJycp&amp;WINDOW=FIRST_POPUP&amp;HEIGHT=450&amp;WIDTH=450&amp;START_MAXIMIZED=FALSE&amp;VAR:CALENDAR=US&amp;VAR:SYMBOL=98433210&amp;VAR:INDEX=0"}</definedName>
    <definedName name="_7255__FDSAUDITLINK__">{"fdsup://directions/FAT Viewer?action=UPDATE&amp;creator=factset&amp;DYN_ARGS=TRUE&amp;DOC_NAME=FAT:FQL_AUDITING_CLIENT_TEMPLATE.FAT&amp;display_string=Audit&amp;VAR:KEY=BOLARQXUFM&amp;VAR:QUERY=KFBfUFJJQ0UoNDA0NTgpLShGRl9DQVNIX1NUKFFUUiw0MDQ1OCkvUF9DT01fU0hTX09VVCg0MDQ1OCkpKS9GR","V9FU1RJTUFURSgnRVBTJywnTUVBTicsJ0FOTlVBTF9ST0xMJywnKzEnLDQwNDU4LCwsJycp&amp;WINDOW=FIRST_POPUP&amp;HEIGHT=450&amp;WIDTH=450&amp;START_MAXIMIZED=FALSE&amp;VAR:CALENDAR=US&amp;VAR:SYMBOL=98433210&amp;VAR:INDEX=0"}</definedName>
    <definedName name="_7256__FDSAUDITLINK__">{"fdsup://directions/FAT Viewer?action=UPDATE&amp;creator=factset&amp;DYN_ARGS=TRUE&amp;DOC_NAME=FAT:FQL_AUDITING_CLIENT_TEMPLATE.FAT&amp;display_string=Audit&amp;VAR:KEY=XORYHEJULQ&amp;VAR:QUERY=KFBfUFJJQ0UoNDA0NTcpLShGRl9DQVNIX1NUKFFUUiw0MDQ1NykvUF9DT01fU0hTX09VVCg0MDQ1NykpKS9GR","V9FU1RJTUFURSgnRVBTJywnTUVBTicsJ0FOTlVBTF9ST0xMJywnKzEnLDQwNDU3LCwsJycp&amp;WINDOW=FIRST_POPUP&amp;HEIGHT=450&amp;WIDTH=450&amp;START_MAXIMIZED=FALSE&amp;VAR:CALENDAR=US&amp;VAR:SYMBOL=98433210&amp;VAR:INDEX=0"}</definedName>
    <definedName name="_7257__FDSAUDITLINK__">{"fdsup://directions/FAT Viewer?action=UPDATE&amp;creator=factset&amp;DYN_ARGS=TRUE&amp;DOC_NAME=FAT:FQL_AUDITING_CLIENT_TEMPLATE.FAT&amp;display_string=Audit&amp;VAR:KEY=XORYHEJULQ&amp;VAR:QUERY=KFBfUFJJQ0UoNDA0NTcpLShGRl9DQVNIX1NUKFFUUiw0MDQ1NykvUF9DT01fU0hTX09VVCg0MDQ1NykpKS9GR","V9FU1RJTUFURSgnRVBTJywnTUVBTicsJ0FOTlVBTF9ST0xMJywnKzEnLDQwNDU3LCwsJycp&amp;WINDOW=FIRST_POPUP&amp;HEIGHT=450&amp;WIDTH=450&amp;START_MAXIMIZED=FALSE&amp;VAR:CALENDAR=US&amp;VAR:SYMBOL=98433210&amp;VAR:INDEX=0"}</definedName>
    <definedName name="_7258__FDSAUDITLINK__">{"fdsup://directions/FAT Viewer?action=UPDATE&amp;creator=factset&amp;DYN_ARGS=TRUE&amp;DOC_NAME=FAT:FQL_AUDITING_CLIENT_TEMPLATE.FAT&amp;display_string=Audit&amp;VAR:KEY=LYLSZWPQNC&amp;VAR:QUERY=KFBfUFJJQ0UoNDA0NTYpLShGRl9DQVNIX1NUKFFUUiw0MDQ1NikvUF9DT01fU0hTX09VVCg0MDQ1NikpKS9GR","V9FU1RJTUFURSgnRVBTJywnTUVBTicsJ0FOTlVBTF9ST0xMJywnKzEnLDQwNDU2LCwsJycp&amp;WINDOW=FIRST_POPUP&amp;HEIGHT=450&amp;WIDTH=450&amp;START_MAXIMIZED=FALSE&amp;VAR:CALENDAR=US&amp;VAR:SYMBOL=98433210&amp;VAR:INDEX=0"}</definedName>
    <definedName name="_7259__FDSAUDITLINK__">{"fdsup://directions/FAT Viewer?action=UPDATE&amp;creator=factset&amp;DYN_ARGS=TRUE&amp;DOC_NAME=FAT:FQL_AUDITING_CLIENT_TEMPLATE.FAT&amp;display_string=Audit&amp;VAR:KEY=LYLSZWPQNC&amp;VAR:QUERY=KFBfUFJJQ0UoNDA0NTYpLShGRl9DQVNIX1NUKFFUUiw0MDQ1NikvUF9DT01fU0hTX09VVCg0MDQ1NikpKS9GR","V9FU1RJTUFURSgnRVBTJywnTUVBTicsJ0FOTlVBTF9ST0xMJywnKzEnLDQwNDU2LCwsJycp&amp;WINDOW=FIRST_POPUP&amp;HEIGHT=450&amp;WIDTH=450&amp;START_MAXIMIZED=FALSE&amp;VAR:CALENDAR=US&amp;VAR:SYMBOL=98433210&amp;VAR:INDEX=0"}</definedName>
    <definedName name="_72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1064"}</definedName>
    <definedName name="_7260__FDSAUDITLINK__">{"fdsup://directions/FAT Viewer?action=UPDATE&amp;creator=factset&amp;DYN_ARGS=TRUE&amp;DOC_NAME=FAT:FQL_AUDITING_CLIENT_TEMPLATE.FAT&amp;display_string=Audit&amp;VAR:KEY=BYVMJOTQJE&amp;VAR:QUERY=KFBfUFJJQ0UoNDA0NTUpLShGRl9DQVNIX1NUKFFUUiw0MDQ1NSkvUF9DT01fU0hTX09VVCg0MDQ1NSkpKS9GR","V9FU1RJTUFURSgnRVBTJywnTUVBTicsJ0FOTlVBTF9ST0xMJywnKzEnLDQwNDU1LCwsJycp&amp;WINDOW=FIRST_POPUP&amp;HEIGHT=450&amp;WIDTH=450&amp;START_MAXIMIZED=FALSE&amp;VAR:CALENDAR=US&amp;VAR:SYMBOL=98433210&amp;VAR:INDEX=0"}</definedName>
    <definedName name="_7261__FDSAUDITLINK__">{"fdsup://directions/FAT Viewer?action=UPDATE&amp;creator=factset&amp;DYN_ARGS=TRUE&amp;DOC_NAME=FAT:FQL_AUDITING_CLIENT_TEMPLATE.FAT&amp;display_string=Audit&amp;VAR:KEY=BYVMJOTQJE&amp;VAR:QUERY=KFBfUFJJQ0UoNDA0NTUpLShGRl9DQVNIX1NUKFFUUiw0MDQ1NSkvUF9DT01fU0hTX09VVCg0MDQ1NSkpKS9GR","V9FU1RJTUFURSgnRVBTJywnTUVBTicsJ0FOTlVBTF9ST0xMJywnKzEnLDQwNDU1LCwsJycp&amp;WINDOW=FIRST_POPUP&amp;HEIGHT=450&amp;WIDTH=450&amp;START_MAXIMIZED=FALSE&amp;VAR:CALENDAR=US&amp;VAR:SYMBOL=98433210&amp;VAR:INDEX=0"}</definedName>
    <definedName name="_7262__FDSAUDITLINK__">{"fdsup://directions/FAT Viewer?action=UPDATE&amp;creator=factset&amp;DYN_ARGS=TRUE&amp;DOC_NAME=FAT:FQL_AUDITING_CLIENT_TEMPLATE.FAT&amp;display_string=Audit&amp;VAR:KEY=BYZKVKNUJY&amp;VAR:QUERY=KFBfUFJJQ0UoNDA0NTQpLShGRl9DQVNIX1NUKFFUUiw0MDQ1NCkvUF9DT01fU0hTX09VVCg0MDQ1NCkpKS9GR","V9FU1RJTUFURSgnRVBTJywnTUVBTicsJ0FOTlVBTF9ST0xMJywnKzEnLDQwNDU0LCwsJycp&amp;WINDOW=FIRST_POPUP&amp;HEIGHT=450&amp;WIDTH=450&amp;START_MAXIMIZED=FALSE&amp;VAR:CALENDAR=US&amp;VAR:SYMBOL=98433210&amp;VAR:INDEX=0"}</definedName>
    <definedName name="_7263__FDSAUDITLINK__">{"fdsup://directions/FAT Viewer?action=UPDATE&amp;creator=factset&amp;DYN_ARGS=TRUE&amp;DOC_NAME=FAT:FQL_AUDITING_CLIENT_TEMPLATE.FAT&amp;display_string=Audit&amp;VAR:KEY=BYZKVKNUJY&amp;VAR:QUERY=KFBfUFJJQ0UoNDA0NTQpLShGRl9DQVNIX1NUKFFUUiw0MDQ1NCkvUF9DT01fU0hTX09VVCg0MDQ1NCkpKS9GR","V9FU1RJTUFURSgnRVBTJywnTUVBTicsJ0FOTlVBTF9ST0xMJywnKzEnLDQwNDU0LCwsJycp&amp;WINDOW=FIRST_POPUP&amp;HEIGHT=450&amp;WIDTH=450&amp;START_MAXIMIZED=FALSE&amp;VAR:CALENDAR=US&amp;VAR:SYMBOL=98433210&amp;VAR:INDEX=0"}</definedName>
    <definedName name="_7264__FDSAUDITLINK__">{"fdsup://directions/FAT Viewer?action=UPDATE&amp;creator=factset&amp;DYN_ARGS=TRUE&amp;DOC_NAME=FAT:FQL_AUDITING_CLIENT_TEMPLATE.FAT&amp;display_string=Audit&amp;VAR:KEY=VSBGPGJIDU&amp;VAR:QUERY=KFBfUFJJQ0UoNDA0NTMpLShGRl9DQVNIX1NUKFFUUiw0MDQ1MykvUF9DT01fU0hTX09VVCg0MDQ1MykpKS9GR","V9FU1RJTUFURSgnRVBTJywnTUVBTicsJ0FOTlVBTF9ST0xMJywnKzEnLDQwNDUzLCwsJycp&amp;WINDOW=FIRST_POPUP&amp;HEIGHT=450&amp;WIDTH=450&amp;START_MAXIMIZED=FALSE&amp;VAR:CALENDAR=US&amp;VAR:SYMBOL=98433210&amp;VAR:INDEX=0"}</definedName>
    <definedName name="_7265__FDSAUDITLINK__">{"fdsup://directions/FAT Viewer?action=UPDATE&amp;creator=factset&amp;DYN_ARGS=TRUE&amp;DOC_NAME=FAT:FQL_AUDITING_CLIENT_TEMPLATE.FAT&amp;display_string=Audit&amp;VAR:KEY=VSBGPGJIDU&amp;VAR:QUERY=KFBfUFJJQ0UoNDA0NTMpLShGRl9DQVNIX1NUKFFUUiw0MDQ1MykvUF9DT01fU0hTX09VVCg0MDQ1MykpKS9GR","V9FU1RJTUFURSgnRVBTJywnTUVBTicsJ0FOTlVBTF9ST0xMJywnKzEnLDQwNDUzLCwsJycp&amp;WINDOW=FIRST_POPUP&amp;HEIGHT=450&amp;WIDTH=450&amp;START_MAXIMIZED=FALSE&amp;VAR:CALENDAR=US&amp;VAR:SYMBOL=98433210&amp;VAR:INDEX=0"}</definedName>
    <definedName name="_7266__FDSAUDITLINK__">{"fdsup://directions/FAT Viewer?action=UPDATE&amp;creator=factset&amp;DYN_ARGS=TRUE&amp;DOC_NAME=FAT:FQL_AUDITING_CLIENT_TEMPLATE.FAT&amp;display_string=Audit&amp;VAR:KEY=XMZQJEPELK&amp;VAR:QUERY=KFBfUFJJQ0UoNDA0NTIpLShGRl9DQVNIX1NUKFFUUiw0MDQ1MikvUF9DT01fU0hTX09VVCg0MDQ1MikpKS9GR","V9FU1RJTUFURSgnRVBTJywnTUVBTicsJ0FOTlVBTF9ST0xMJywnKzEnLDQwNDUyLCwsJycp&amp;WINDOW=FIRST_POPUP&amp;HEIGHT=450&amp;WIDTH=450&amp;START_MAXIMIZED=FALSE&amp;VAR:CALENDAR=US&amp;VAR:SYMBOL=98433210&amp;VAR:INDEX=0"}</definedName>
    <definedName name="_7267__FDSAUDITLINK__">{"fdsup://directions/FAT Viewer?action=UPDATE&amp;creator=factset&amp;DYN_ARGS=TRUE&amp;DOC_NAME=FAT:FQL_AUDITING_CLIENT_TEMPLATE.FAT&amp;display_string=Audit&amp;VAR:KEY=XMZQJEPELK&amp;VAR:QUERY=KFBfUFJJQ0UoNDA0NTIpLShGRl9DQVNIX1NUKFFUUiw0MDQ1MikvUF9DT01fU0hTX09VVCg0MDQ1MikpKS9GR","V9FU1RJTUFURSgnRVBTJywnTUVBTicsJ0FOTlVBTF9ST0xMJywnKzEnLDQwNDUyLCwsJycp&amp;WINDOW=FIRST_POPUP&amp;HEIGHT=450&amp;WIDTH=450&amp;START_MAXIMIZED=FALSE&amp;VAR:CALENDAR=US&amp;VAR:SYMBOL=98433210&amp;VAR:INDEX=0"}</definedName>
    <definedName name="_7268__FDSAUDITLINK__">{"fdsup://directions/FAT Viewer?action=UPDATE&amp;creator=factset&amp;DYN_ARGS=TRUE&amp;DOC_NAME=FAT:FQL_AUDITING_CLIENT_TEMPLATE.FAT&amp;display_string=Audit&amp;VAR:KEY=TGTWHOXADI&amp;VAR:QUERY=KFBfUFJJQ0UoNDA0NTEpLShGRl9DQVNIX1NUKFFUUiw0MDQ1MSkvUF9DT01fU0hTX09VVCg0MDQ1MSkpKS9GR","V9FU1RJTUFURSgnRVBTJywnTUVBTicsJ0FOTlVBTF9ST0xMJywnKzEnLDQwNDUxLCwsJycp&amp;WINDOW=FIRST_POPUP&amp;HEIGHT=450&amp;WIDTH=450&amp;START_MAXIMIZED=FALSE&amp;VAR:CALENDAR=US&amp;VAR:SYMBOL=98433210&amp;VAR:INDEX=0"}</definedName>
    <definedName name="_7269__FDSAUDITLINK__">{"fdsup://directions/FAT Viewer?action=UPDATE&amp;creator=factset&amp;DYN_ARGS=TRUE&amp;DOC_NAME=FAT:FQL_AUDITING_CLIENT_TEMPLATE.FAT&amp;display_string=Audit&amp;VAR:KEY=TGTWHOXADI&amp;VAR:QUERY=KFBfUFJJQ0UoNDA0NTEpLShGRl9DQVNIX1NUKFFUUiw0MDQ1MSkvUF9DT01fU0hTX09VVCg0MDQ1MSkpKS9GR","V9FU1RJTUFURSgnRVBTJywnTUVBTicsJ0FOTlVBTF9ST0xMJywnKzEnLDQwNDUxLCwsJycp&amp;WINDOW=FIRST_POPUP&amp;HEIGHT=450&amp;WIDTH=450&amp;START_MAXIMIZED=FALSE&amp;VAR:CALENDAR=US&amp;VAR:SYMBOL=98433210&amp;VAR:INDEX=0"}</definedName>
    <definedName name="_72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1063"}</definedName>
    <definedName name="_7270__FDSAUDITLINK__">{"fdsup://directions/FAT Viewer?action=UPDATE&amp;creator=factset&amp;DYN_ARGS=TRUE&amp;DOC_NAME=FAT:FQL_AUDITING_CLIENT_TEMPLATE.FAT&amp;display_string=Audit&amp;VAR:KEY=HKPYRERILS&amp;VAR:QUERY=KFBfUFJJQ0UoNDA0NTApLShGRl9DQVNIX1NUKFFUUiw0MDQ1MCkvUF9DT01fU0hTX09VVCg0MDQ1MCkpKS9GR","V9FU1RJTUFURSgnRVBTJywnTUVBTicsJ0FOTlVBTF9ST0xMJywnKzEnLDQwNDUwLCwsJycp&amp;WINDOW=FIRST_POPUP&amp;HEIGHT=450&amp;WIDTH=450&amp;START_MAXIMIZED=FALSE&amp;VAR:CALENDAR=US&amp;VAR:SYMBOL=98433210&amp;VAR:INDEX=0"}</definedName>
    <definedName name="_7271__FDSAUDITLINK__">{"fdsup://directions/FAT Viewer?action=UPDATE&amp;creator=factset&amp;DYN_ARGS=TRUE&amp;DOC_NAME=FAT:FQL_AUDITING_CLIENT_TEMPLATE.FAT&amp;display_string=Audit&amp;VAR:KEY=HKPYRERILS&amp;VAR:QUERY=KFBfUFJJQ0UoNDA0NTApLShGRl9DQVNIX1NUKFFUUiw0MDQ1MCkvUF9DT01fU0hTX09VVCg0MDQ1MCkpKS9GR","V9FU1RJTUFURSgnRVBTJywnTUVBTicsJ0FOTlVBTF9ST0xMJywnKzEnLDQwNDUwLCwsJycp&amp;WINDOW=FIRST_POPUP&amp;HEIGHT=450&amp;WIDTH=450&amp;START_MAXIMIZED=FALSE&amp;VAR:CALENDAR=US&amp;VAR:SYMBOL=98433210&amp;VAR:INDEX=0"}</definedName>
    <definedName name="_7272__FDSAUDITLINK__">{"fdsup://directions/FAT Viewer?action=UPDATE&amp;creator=factset&amp;DYN_ARGS=TRUE&amp;DOC_NAME=FAT:FQL_AUDITING_CLIENT_TEMPLATE.FAT&amp;display_string=Audit&amp;VAR:KEY=BUHSPQXMHQ&amp;VAR:QUERY=KFBfUFJJQ0UoNDA0NDkpLShGRl9DQVNIX1NUKFFUUiw0MDQ0OSkvUF9DT01fU0hTX09VVCg0MDQ0OSkpKS9GR","V9FU1RJTUFURSgnRVBTJywnTUVBTicsJ0FOTlVBTF9ST0xMJywnKzEnLDQwNDQ5LCwsJycp&amp;WINDOW=FIRST_POPUP&amp;HEIGHT=450&amp;WIDTH=450&amp;START_MAXIMIZED=FALSE&amp;VAR:CALENDAR=US&amp;VAR:SYMBOL=98433210&amp;VAR:INDEX=0"}</definedName>
    <definedName name="_7273__FDSAUDITLINK__">{"fdsup://directions/FAT Viewer?action=UPDATE&amp;creator=factset&amp;DYN_ARGS=TRUE&amp;DOC_NAME=FAT:FQL_AUDITING_CLIENT_TEMPLATE.FAT&amp;display_string=Audit&amp;VAR:KEY=BUHSPQXMHQ&amp;VAR:QUERY=KFBfUFJJQ0UoNDA0NDkpLShGRl9DQVNIX1NUKFFUUiw0MDQ0OSkvUF9DT01fU0hTX09VVCg0MDQ0OSkpKS9GR","V9FU1RJTUFURSgnRVBTJywnTUVBTicsJ0FOTlVBTF9ST0xMJywnKzEnLDQwNDQ5LCwsJycp&amp;WINDOW=FIRST_POPUP&amp;HEIGHT=450&amp;WIDTH=450&amp;START_MAXIMIZED=FALSE&amp;VAR:CALENDAR=US&amp;VAR:SYMBOL=98433210&amp;VAR:INDEX=0"}</definedName>
    <definedName name="_7274__FDSAUDITLINK__">{"fdsup://directions/FAT Viewer?action=UPDATE&amp;creator=factset&amp;DYN_ARGS=TRUE&amp;DOC_NAME=FAT:FQL_AUDITING_CLIENT_TEMPLATE.FAT&amp;display_string=Audit&amp;VAR:KEY=NMZMTMBULG&amp;VAR:QUERY=KFBfUFJJQ0UoNDA0NDgpLShGRl9DQVNIX1NUKFFUUiw0MDQ0OCkvUF9DT01fU0hTX09VVCg0MDQ0OCkpKS9GR","V9FU1RJTUFURSgnRVBTJywnTUVBTicsJ0FOTlVBTF9ST0xMJywnKzEnLDQwNDQ4LCwsJycp&amp;WINDOW=FIRST_POPUP&amp;HEIGHT=450&amp;WIDTH=450&amp;START_MAXIMIZED=FALSE&amp;VAR:CALENDAR=US&amp;VAR:SYMBOL=98433210&amp;VAR:INDEX=0"}</definedName>
    <definedName name="_7275__FDSAUDITLINK__">{"fdsup://directions/FAT Viewer?action=UPDATE&amp;creator=factset&amp;DYN_ARGS=TRUE&amp;DOC_NAME=FAT:FQL_AUDITING_CLIENT_TEMPLATE.FAT&amp;display_string=Audit&amp;VAR:KEY=NMZMTMBULG&amp;VAR:QUERY=KFBfUFJJQ0UoNDA0NDgpLShGRl9DQVNIX1NUKFFUUiw0MDQ0OCkvUF9DT01fU0hTX09VVCg0MDQ0OCkpKS9GR","V9FU1RJTUFURSgnRVBTJywnTUVBTicsJ0FOTlVBTF9ST0xMJywnKzEnLDQwNDQ4LCwsJycp&amp;WINDOW=FIRST_POPUP&amp;HEIGHT=450&amp;WIDTH=450&amp;START_MAXIMIZED=FALSE&amp;VAR:CALENDAR=US&amp;VAR:SYMBOL=98433210&amp;VAR:INDEX=0"}</definedName>
    <definedName name="_7276__FDSAUDITLINK__">{"fdsup://directions/FAT Viewer?action=UPDATE&amp;creator=factset&amp;DYN_ARGS=TRUE&amp;DOC_NAME=FAT:FQL_AUDITING_CLIENT_TEMPLATE.FAT&amp;display_string=Audit&amp;VAR:KEY=TWBUZOPGRC&amp;VAR:QUERY=KFBfUFJJQ0UoNDA0NDcpLShGRl9DQVNIX1NUKFFUUiw0MDQ0NykvUF9DT01fU0hTX09VVCg0MDQ0NykpKS9GR","V9FU1RJTUFURSgnRVBTJywnTUVBTicsJ0FOTlVBTF9ST0xMJywnKzEnLDQwNDQ3LCwsJycp&amp;WINDOW=FIRST_POPUP&amp;HEIGHT=450&amp;WIDTH=450&amp;START_MAXIMIZED=FALSE&amp;VAR:CALENDAR=US&amp;VAR:SYMBOL=98433210&amp;VAR:INDEX=0"}</definedName>
    <definedName name="_7277__FDSAUDITLINK__">{"fdsup://directions/FAT Viewer?action=UPDATE&amp;creator=factset&amp;DYN_ARGS=TRUE&amp;DOC_NAME=FAT:FQL_AUDITING_CLIENT_TEMPLATE.FAT&amp;display_string=Audit&amp;VAR:KEY=TWBUZOPGRC&amp;VAR:QUERY=KFBfUFJJQ0UoNDA0NDcpLShGRl9DQVNIX1NUKFFUUiw0MDQ0NykvUF9DT01fU0hTX09VVCg0MDQ0NykpKS9GR","V9FU1RJTUFURSgnRVBTJywnTUVBTicsJ0FOTlVBTF9ST0xMJywnKzEnLDQwNDQ3LCwsJycp&amp;WINDOW=FIRST_POPUP&amp;HEIGHT=450&amp;WIDTH=450&amp;START_MAXIMIZED=FALSE&amp;VAR:CALENDAR=US&amp;VAR:SYMBOL=98433210&amp;VAR:INDEX=0"}</definedName>
    <definedName name="_7278__FDSAUDITLINK__">{"fdsup://directions/FAT Viewer?action=UPDATE&amp;creator=factset&amp;DYN_ARGS=TRUE&amp;DOC_NAME=FAT:FQL_AUDITING_CLIENT_TEMPLATE.FAT&amp;display_string=Audit&amp;VAR:KEY=RIXEXCXSJG&amp;VAR:QUERY=KFBfUFJJQ0UoNDA0NDYpLShGRl9DQVNIX1NUKFFUUiw0MDQ0NikvUF9DT01fU0hTX09VVCg0MDQ0NikpKS9GR","V9FU1RJTUFURSgnRVBTJywnTUVBTicsJ0FOTlVBTF9ST0xMJywnKzEnLDQwNDQ2LCwsJycp&amp;WINDOW=FIRST_POPUP&amp;HEIGHT=450&amp;WIDTH=450&amp;START_MAXIMIZED=FALSE&amp;VAR:CALENDAR=US&amp;VAR:SYMBOL=98433210&amp;VAR:INDEX=0"}</definedName>
    <definedName name="_7279__FDSAUDITLINK__">{"fdsup://directions/FAT Viewer?action=UPDATE&amp;creator=factset&amp;DYN_ARGS=TRUE&amp;DOC_NAME=FAT:FQL_AUDITING_CLIENT_TEMPLATE.FAT&amp;display_string=Audit&amp;VAR:KEY=RIXEXCXSJG&amp;VAR:QUERY=KFBfUFJJQ0UoNDA0NDYpLShGRl9DQVNIX1NUKFFUUiw0MDQ0NikvUF9DT01fU0hTX09VVCg0MDQ0NikpKS9GR","V9FU1RJTUFURSgnRVBTJywnTUVBTicsJ0FOTlVBTF9ST0xMJywnKzEnLDQwNDQ2LCwsJycp&amp;WINDOW=FIRST_POPUP&amp;HEIGHT=450&amp;WIDTH=450&amp;START_MAXIMIZED=FALSE&amp;VAR:CALENDAR=US&amp;VAR:SYMBOL=98433210&amp;VAR:INDEX=0"}</definedName>
    <definedName name="_72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1062"}</definedName>
    <definedName name="_7280__FDSAUDITLINK__">{"fdsup://directions/FAT Viewer?action=UPDATE&amp;creator=factset&amp;DYN_ARGS=TRUE&amp;DOC_NAME=FAT:FQL_AUDITING_CLIENT_TEMPLATE.FAT&amp;display_string=Audit&amp;VAR:KEY=VAJKLYPCTO&amp;VAR:QUERY=KFBfUFJJQ0UoNDA0NDUpLShGRl9DQVNIX1NUKFFUUiw0MDQ0NSkvUF9DT01fU0hTX09VVCg0MDQ0NSkpKS9GR","V9FU1RJTUFURSgnRVBTJywnTUVBTicsJ0FOTlVBTF9ST0xMJywnKzEnLDQwNDQ1LCwsJycp&amp;WINDOW=FIRST_POPUP&amp;HEIGHT=450&amp;WIDTH=450&amp;START_MAXIMIZED=FALSE&amp;VAR:CALENDAR=US&amp;VAR:SYMBOL=98433210&amp;VAR:INDEX=0"}</definedName>
    <definedName name="_7281__FDSAUDITLINK__">{"fdsup://directions/FAT Viewer?action=UPDATE&amp;creator=factset&amp;DYN_ARGS=TRUE&amp;DOC_NAME=FAT:FQL_AUDITING_CLIENT_TEMPLATE.FAT&amp;display_string=Audit&amp;VAR:KEY=VAJKLYPCTO&amp;VAR:QUERY=KFBfUFJJQ0UoNDA0NDUpLShGRl9DQVNIX1NUKFFUUiw0MDQ0NSkvUF9DT01fU0hTX09VVCg0MDQ0NSkpKS9GR","V9FU1RJTUFURSgnRVBTJywnTUVBTicsJ0FOTlVBTF9ST0xMJywnKzEnLDQwNDQ1LCwsJycp&amp;WINDOW=FIRST_POPUP&amp;HEIGHT=450&amp;WIDTH=450&amp;START_MAXIMIZED=FALSE&amp;VAR:CALENDAR=US&amp;VAR:SYMBOL=98433210&amp;VAR:INDEX=0"}</definedName>
    <definedName name="_7282__FDSAUDITLINK__">{"fdsup://directions/FAT Viewer?action=UPDATE&amp;creator=factset&amp;DYN_ARGS=TRUE&amp;DOC_NAME=FAT:FQL_AUDITING_CLIENT_TEMPLATE.FAT&amp;display_string=Audit&amp;VAR:KEY=DANEZURIBW&amp;VAR:QUERY=KFBfUFJJQ0UoNDA0NDQpLShGRl9DQVNIX1NUKFFUUiw0MDQ0NCkvUF9DT01fU0hTX09VVCg0MDQ0NCkpKS9GR","V9FU1RJTUFURSgnRVBTJywnTUVBTicsJ0FOTlVBTF9ST0xMJywnKzEnLDQwNDQ0LCwsJycp&amp;WINDOW=FIRST_POPUP&amp;HEIGHT=450&amp;WIDTH=450&amp;START_MAXIMIZED=FALSE&amp;VAR:CALENDAR=US&amp;VAR:SYMBOL=98433210&amp;VAR:INDEX=0"}</definedName>
    <definedName name="_7283__FDSAUDITLINK__">{"fdsup://directions/FAT Viewer?action=UPDATE&amp;creator=factset&amp;DYN_ARGS=TRUE&amp;DOC_NAME=FAT:FQL_AUDITING_CLIENT_TEMPLATE.FAT&amp;display_string=Audit&amp;VAR:KEY=DANEZURIBW&amp;VAR:QUERY=KFBfUFJJQ0UoNDA0NDQpLShGRl9DQVNIX1NUKFFUUiw0MDQ0NCkvUF9DT01fU0hTX09VVCg0MDQ0NCkpKS9GR","V9FU1RJTUFURSgnRVBTJywnTUVBTicsJ0FOTlVBTF9ST0xMJywnKzEnLDQwNDQ0LCwsJycp&amp;WINDOW=FIRST_POPUP&amp;HEIGHT=450&amp;WIDTH=450&amp;START_MAXIMIZED=FALSE&amp;VAR:CALENDAR=US&amp;VAR:SYMBOL=98433210&amp;VAR:INDEX=0"}</definedName>
    <definedName name="_7284__FDSAUDITLINK__">{"fdsup://directions/FAT Viewer?action=UPDATE&amp;creator=factset&amp;DYN_ARGS=TRUE&amp;DOC_NAME=FAT:FQL_AUDITING_CLIENT_TEMPLATE.FAT&amp;display_string=Audit&amp;VAR:KEY=FYPOFEHKVQ&amp;VAR:QUERY=KFBfUFJJQ0UoNDA0NDMpLShGRl9DQVNIX1NUKFFUUiw0MDQ0MykvUF9DT01fU0hTX09VVCg0MDQ0MykpKS9GR","V9FU1RJTUFURSgnRVBTJywnTUVBTicsJ0FOTlVBTF9ST0xMJywnKzEnLDQwNDQzLCwsJycp&amp;WINDOW=FIRST_POPUP&amp;HEIGHT=450&amp;WIDTH=450&amp;START_MAXIMIZED=FALSE&amp;VAR:CALENDAR=US&amp;VAR:SYMBOL=98433210&amp;VAR:INDEX=0"}</definedName>
    <definedName name="_7285__FDSAUDITLINK__">{"fdsup://directions/FAT Viewer?action=UPDATE&amp;creator=factset&amp;DYN_ARGS=TRUE&amp;DOC_NAME=FAT:FQL_AUDITING_CLIENT_TEMPLATE.FAT&amp;display_string=Audit&amp;VAR:KEY=FYPOFEHKVQ&amp;VAR:QUERY=KFBfUFJJQ0UoNDA0NDMpLShGRl9DQVNIX1NUKFFUUiw0MDQ0MykvUF9DT01fU0hTX09VVCg0MDQ0MykpKS9GR","V9FU1RJTUFURSgnRVBTJywnTUVBTicsJ0FOTlVBTF9ST0xMJywnKzEnLDQwNDQzLCwsJycp&amp;WINDOW=FIRST_POPUP&amp;HEIGHT=450&amp;WIDTH=450&amp;START_MAXIMIZED=FALSE&amp;VAR:CALENDAR=US&amp;VAR:SYMBOL=98433210&amp;VAR:INDEX=0"}</definedName>
    <definedName name="_7286__FDSAUDITLINK__">{"fdsup://directions/FAT Viewer?action=UPDATE&amp;creator=factset&amp;DYN_ARGS=TRUE&amp;DOC_NAME=FAT:FQL_AUDITING_CLIENT_TEMPLATE.FAT&amp;display_string=Audit&amp;VAR:KEY=LIXQNQNUPW&amp;VAR:QUERY=KFBfUFJJQ0UoNDA0NDIpLShGRl9DQVNIX1NUKFFUUiw0MDQ0MikvUF9DT01fU0hTX09VVCg0MDQ0MikpKS9GR","V9FU1RJTUFURSgnRVBTJywnTUVBTicsJ0FOTlVBTF9ST0xMJywnKzEnLDQwNDQyLCwsJycp&amp;WINDOW=FIRST_POPUP&amp;HEIGHT=450&amp;WIDTH=450&amp;START_MAXIMIZED=FALSE&amp;VAR:CALENDAR=US&amp;VAR:SYMBOL=98433210&amp;VAR:INDEX=0"}</definedName>
    <definedName name="_7287__FDSAUDITLINK__">{"fdsup://directions/FAT Viewer?action=UPDATE&amp;creator=factset&amp;DYN_ARGS=TRUE&amp;DOC_NAME=FAT:FQL_AUDITING_CLIENT_TEMPLATE.FAT&amp;display_string=Audit&amp;VAR:KEY=LIXQNQNUPW&amp;VAR:QUERY=KFBfUFJJQ0UoNDA0NDIpLShGRl9DQVNIX1NUKFFUUiw0MDQ0MikvUF9DT01fU0hTX09VVCg0MDQ0MikpKS9GR","V9FU1RJTUFURSgnRVBTJywnTUVBTicsJ0FOTlVBTF9ST0xMJywnKzEnLDQwNDQyLCwsJycp&amp;WINDOW=FIRST_POPUP&amp;HEIGHT=450&amp;WIDTH=450&amp;START_MAXIMIZED=FALSE&amp;VAR:CALENDAR=US&amp;VAR:SYMBOL=98433210&amp;VAR:INDEX=0"}</definedName>
    <definedName name="_7288__FDSAUDITLINK__">{"fdsup://directions/FAT Viewer?action=UPDATE&amp;creator=factset&amp;DYN_ARGS=TRUE&amp;DOC_NAME=FAT:FQL_AUDITING_CLIENT_TEMPLATE.FAT&amp;display_string=Audit&amp;VAR:KEY=LOJIPETOTC&amp;VAR:QUERY=KFBfUFJJQ0UoNDA0NDEpLShGRl9DQVNIX1NUKFFUUiw0MDQ0MSkvUF9DT01fU0hTX09VVCg0MDQ0MSkpKS9GR","V9FU1RJTUFURSgnRVBTJywnTUVBTicsJ0FOTlVBTF9ST0xMJywnKzEnLDQwNDQxLCwsJycp&amp;WINDOW=FIRST_POPUP&amp;HEIGHT=450&amp;WIDTH=450&amp;START_MAXIMIZED=FALSE&amp;VAR:CALENDAR=US&amp;VAR:SYMBOL=98433210&amp;VAR:INDEX=0"}</definedName>
    <definedName name="_7289__FDSAUDITLINK__">{"fdsup://directions/FAT Viewer?action=UPDATE&amp;creator=factset&amp;DYN_ARGS=TRUE&amp;DOC_NAME=FAT:FQL_AUDITING_CLIENT_TEMPLATE.FAT&amp;display_string=Audit&amp;VAR:KEY=LOJIPETOTC&amp;VAR:QUERY=KFBfUFJJQ0UoNDA0NDEpLShGRl9DQVNIX1NUKFFUUiw0MDQ0MSkvUF9DT01fU0hTX09VVCg0MDQ0MSkpKS9GR","V9FU1RJTUFURSgnRVBTJywnTUVBTicsJ0FOTlVBTF9ST0xMJywnKzEnLDQwNDQxLCwsJycp&amp;WINDOW=FIRST_POPUP&amp;HEIGHT=450&amp;WIDTH=450&amp;START_MAXIMIZED=FALSE&amp;VAR:CALENDAR=US&amp;VAR:SYMBOL=98433210&amp;VAR:INDEX=0"}</definedName>
    <definedName name="_72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1061"}</definedName>
    <definedName name="_7290__FDSAUDITLINK__">{"fdsup://directions/FAT Viewer?action=UPDATE&amp;creator=factset&amp;DYN_ARGS=TRUE&amp;DOC_NAME=FAT:FQL_AUDITING_CLIENT_TEMPLATE.FAT&amp;display_string=Audit&amp;VAR:KEY=VOJUVQBWTU&amp;VAR:QUERY=KFBfUFJJQ0UoNDA0NDApLShGRl9DQVNIX1NUKFFUUiw0MDQ0MCkvUF9DT01fU0hTX09VVCg0MDQ0MCkpKS9GR","V9FU1RJTUFURSgnRVBTJywnTUVBTicsJ0FOTlVBTF9ST0xMJywnKzEnLDQwNDQwLCwsJycp&amp;WINDOW=FIRST_POPUP&amp;HEIGHT=450&amp;WIDTH=450&amp;START_MAXIMIZED=FALSE&amp;VAR:CALENDAR=US&amp;VAR:SYMBOL=98433210&amp;VAR:INDEX=0"}</definedName>
    <definedName name="_7291__FDSAUDITLINK__">{"fdsup://directions/FAT Viewer?action=UPDATE&amp;creator=factset&amp;DYN_ARGS=TRUE&amp;DOC_NAME=FAT:FQL_AUDITING_CLIENT_TEMPLATE.FAT&amp;display_string=Audit&amp;VAR:KEY=VOJUVQBWTU&amp;VAR:QUERY=KFBfUFJJQ0UoNDA0NDApLShGRl9DQVNIX1NUKFFUUiw0MDQ0MCkvUF9DT01fU0hTX09VVCg0MDQ0MCkpKS9GR","V9FU1RJTUFURSgnRVBTJywnTUVBTicsJ0FOTlVBTF9ST0xMJywnKzEnLDQwNDQwLCwsJycp&amp;WINDOW=FIRST_POPUP&amp;HEIGHT=450&amp;WIDTH=450&amp;START_MAXIMIZED=FALSE&amp;VAR:CALENDAR=US&amp;VAR:SYMBOL=98433210&amp;VAR:INDEX=0"}</definedName>
    <definedName name="_7292__FDSAUDITLINK__">{"fdsup://directions/FAT Viewer?action=UPDATE&amp;creator=factset&amp;DYN_ARGS=TRUE&amp;DOC_NAME=FAT:FQL_AUDITING_CLIENT_TEMPLATE.FAT&amp;display_string=Audit&amp;VAR:KEY=HQLOFKXSNC&amp;VAR:QUERY=KFBfUFJJQ0UoNDA0MzkpLShGRl9DQVNIX1NUKFFUUiw0MDQzOSkvUF9DT01fU0hTX09VVCg0MDQzOSkpKS9GR","V9FU1RJTUFURSgnRVBTJywnTUVBTicsJ0FOTlVBTF9ST0xMJywnKzEnLDQwNDM5LCwsJycp&amp;WINDOW=FIRST_POPUP&amp;HEIGHT=450&amp;WIDTH=450&amp;START_MAXIMIZED=FALSE&amp;VAR:CALENDAR=US&amp;VAR:SYMBOL=98433210&amp;VAR:INDEX=0"}</definedName>
    <definedName name="_7293__FDSAUDITLINK__">{"fdsup://directions/FAT Viewer?action=UPDATE&amp;creator=factset&amp;DYN_ARGS=TRUE&amp;DOC_NAME=FAT:FQL_AUDITING_CLIENT_TEMPLATE.FAT&amp;display_string=Audit&amp;VAR:KEY=HQLOFKXSNC&amp;VAR:QUERY=KFBfUFJJQ0UoNDA0MzkpLShGRl9DQVNIX1NUKFFUUiw0MDQzOSkvUF9DT01fU0hTX09VVCg0MDQzOSkpKS9GR","V9FU1RJTUFURSgnRVBTJywnTUVBTicsJ0FOTlVBTF9ST0xMJywnKzEnLDQwNDM5LCwsJycp&amp;WINDOW=FIRST_POPUP&amp;HEIGHT=450&amp;WIDTH=450&amp;START_MAXIMIZED=FALSE&amp;VAR:CALENDAR=US&amp;VAR:SYMBOL=98433210&amp;VAR:INDEX=0"}</definedName>
    <definedName name="_7294__FDSAUDITLINK__">{"fdsup://directions/FAT Viewer?action=UPDATE&amp;creator=factset&amp;DYN_ARGS=TRUE&amp;DOC_NAME=FAT:FQL_AUDITING_CLIENT_TEMPLATE.FAT&amp;display_string=Audit&amp;VAR:KEY=RSNYNQFITK&amp;VAR:QUERY=KFBfUFJJQ0UoNDA0MzgpLShGRl9DQVNIX1NUKFFUUiw0MDQzOCkvUF9DT01fU0hTX09VVCg0MDQzOCkpKS9GR","V9FU1RJTUFURSgnRVBTJywnTUVBTicsJ0FOTlVBTF9ST0xMJywnKzEnLDQwNDM4LCwsJycp&amp;WINDOW=FIRST_POPUP&amp;HEIGHT=450&amp;WIDTH=450&amp;START_MAXIMIZED=FALSE&amp;VAR:CALENDAR=US&amp;VAR:SYMBOL=98433210&amp;VAR:INDEX=0"}</definedName>
    <definedName name="_7295__FDSAUDITLINK__">{"fdsup://directions/FAT Viewer?action=UPDATE&amp;creator=factset&amp;DYN_ARGS=TRUE&amp;DOC_NAME=FAT:FQL_AUDITING_CLIENT_TEMPLATE.FAT&amp;display_string=Audit&amp;VAR:KEY=RSNYNQFITK&amp;VAR:QUERY=KFBfUFJJQ0UoNDA0MzgpLShGRl9DQVNIX1NUKFFUUiw0MDQzOCkvUF9DT01fU0hTX09VVCg0MDQzOCkpKS9GR","V9FU1RJTUFURSgnRVBTJywnTUVBTicsJ0FOTlVBTF9ST0xMJywnKzEnLDQwNDM4LCwsJycp&amp;WINDOW=FIRST_POPUP&amp;HEIGHT=450&amp;WIDTH=450&amp;START_MAXIMIZED=FALSE&amp;VAR:CALENDAR=US&amp;VAR:SYMBOL=98433210&amp;VAR:INDEX=0"}</definedName>
    <definedName name="_7296__FDSAUDITLINK__">{"fdsup://directions/FAT Viewer?action=UPDATE&amp;creator=factset&amp;DYN_ARGS=TRUE&amp;DOC_NAME=FAT:FQL_AUDITING_CLIENT_TEMPLATE.FAT&amp;display_string=Audit&amp;VAR:KEY=TYHYFEREZA&amp;VAR:QUERY=KFBfUFJJQ0UoNDA0MzcpLShGRl9DQVNIX1NUKFFUUiw0MDQzNykvUF9DT01fU0hTX09VVCg0MDQzNykpKS9GR","V9FU1RJTUFURSgnRVBTJywnTUVBTicsJ0FOTlVBTF9ST0xMJywnKzEnLDQwNDM3LCwsJycp&amp;WINDOW=FIRST_POPUP&amp;HEIGHT=450&amp;WIDTH=450&amp;START_MAXIMIZED=FALSE&amp;VAR:CALENDAR=US&amp;VAR:SYMBOL=98433210&amp;VAR:INDEX=0"}</definedName>
    <definedName name="_7297__FDSAUDITLINK__">{"fdsup://directions/FAT Viewer?action=UPDATE&amp;creator=factset&amp;DYN_ARGS=TRUE&amp;DOC_NAME=FAT:FQL_AUDITING_CLIENT_TEMPLATE.FAT&amp;display_string=Audit&amp;VAR:KEY=TYHYFEREZA&amp;VAR:QUERY=KFBfUFJJQ0UoNDA0MzcpLShGRl9DQVNIX1NUKFFUUiw0MDQzNykvUF9DT01fU0hTX09VVCg0MDQzNykpKS9GR","V9FU1RJTUFURSgnRVBTJywnTUVBTicsJ0FOTlVBTF9ST0xMJywnKzEnLDQwNDM3LCwsJycp&amp;WINDOW=FIRST_POPUP&amp;HEIGHT=450&amp;WIDTH=450&amp;START_MAXIMIZED=FALSE&amp;VAR:CALENDAR=US&amp;VAR:SYMBOL=98433210&amp;VAR:INDEX=0"}</definedName>
    <definedName name="_7298__FDSAUDITLINK__">{"fdsup://directions/FAT Viewer?action=UPDATE&amp;creator=factset&amp;DYN_ARGS=TRUE&amp;DOC_NAME=FAT:FQL_AUDITING_CLIENT_TEMPLATE.FAT&amp;display_string=Audit&amp;VAR:KEY=DANKBOFQFU&amp;VAR:QUERY=KFBfUFJJQ0UoNDA0MzYpLShGRl9DQVNIX1NUKFFUUiw0MDQzNikvUF9DT01fU0hTX09VVCg0MDQzNikpKS9GR","V9FU1RJTUFURSgnRVBTJywnTUVBTicsJ0FOTlVBTF9ST0xMJywnKzEnLDQwNDM2LCwsJycp&amp;WINDOW=FIRST_POPUP&amp;HEIGHT=450&amp;WIDTH=450&amp;START_MAXIMIZED=FALSE&amp;VAR:CALENDAR=US&amp;VAR:SYMBOL=98433210&amp;VAR:INDEX=0"}</definedName>
    <definedName name="_7299__FDSAUDITLINK__">{"fdsup://directions/FAT Viewer?action=UPDATE&amp;creator=factset&amp;DYN_ARGS=TRUE&amp;DOC_NAME=FAT:FQL_AUDITING_CLIENT_TEMPLATE.FAT&amp;display_string=Audit&amp;VAR:KEY=DANKBOFQFU&amp;VAR:QUERY=KFBfUFJJQ0UoNDA0MzYpLShGRl9DQVNIX1NUKFFUUiw0MDQzNikvUF9DT01fU0hTX09VVCg0MDQzNikpKS9GR","V9FU1RJTUFURSgnRVBTJywnTUVBTicsJ0FOTlVBTF9ST0xMJywnKzEnLDQwNDM2LCwsJycp&amp;WINDOW=FIRST_POPUP&amp;HEIGHT=450&amp;WIDTH=450&amp;START_MAXIMIZED=FALSE&amp;VAR:CALENDAR=US&amp;VAR:SYMBOL=98433210&amp;VAR:INDEX=0"}</definedName>
    <definedName name="_7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15.131952&amp;VAR:V0=15.519063&amp;VAR:V1=14.060299&amp;VAR:Y0=2006&amp;VAR:Y1=2007&amp;VAR:P=1294.827900&amp;VAR:DATE=20060331&amp;VAR:THRESH=-|-|","-|-|-|-|-"}</definedName>
    <definedName name="_73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1060"}</definedName>
    <definedName name="_7300__FDSAUDITLINK__">{"fdsup://directions/FAT Viewer?action=UPDATE&amp;creator=factset&amp;DYN_ARGS=TRUE&amp;DOC_NAME=FAT:FQL_AUDITING_CLIENT_TEMPLATE.FAT&amp;display_string=Audit&amp;VAR:KEY=ZUFUHQRAVC&amp;VAR:QUERY=KFBfUFJJQ0UoNDA0MzUpLShGRl9DQVNIX1NUKFFUUiw0MDQzNSkvUF9DT01fU0hTX09VVCg0MDQzNSkpKS9GR","V9FU1RJTUFURSgnRVBTJywnTUVBTicsJ0FOTlVBTF9ST0xMJywnKzEnLDQwNDM1LCwsJycp&amp;WINDOW=FIRST_POPUP&amp;HEIGHT=450&amp;WIDTH=450&amp;START_MAXIMIZED=FALSE&amp;VAR:CALENDAR=US&amp;VAR:SYMBOL=98433210&amp;VAR:INDEX=0"}</definedName>
    <definedName name="_7301__FDSAUDITLINK__">{"fdsup://directions/FAT Viewer?action=UPDATE&amp;creator=factset&amp;DYN_ARGS=TRUE&amp;DOC_NAME=FAT:FQL_AUDITING_CLIENT_TEMPLATE.FAT&amp;display_string=Audit&amp;VAR:KEY=ZUFUHQRAVC&amp;VAR:QUERY=KFBfUFJJQ0UoNDA0MzUpLShGRl9DQVNIX1NUKFFUUiw0MDQzNSkvUF9DT01fU0hTX09VVCg0MDQzNSkpKS9GR","V9FU1RJTUFURSgnRVBTJywnTUVBTicsJ0FOTlVBTF9ST0xMJywnKzEnLDQwNDM1LCwsJycp&amp;WINDOW=FIRST_POPUP&amp;HEIGHT=450&amp;WIDTH=450&amp;START_MAXIMIZED=FALSE&amp;VAR:CALENDAR=US&amp;VAR:SYMBOL=98433210&amp;VAR:INDEX=0"}</definedName>
    <definedName name="_7302__FDSAUDITLINK__">{"fdsup://directions/FAT Viewer?action=UPDATE&amp;creator=factset&amp;DYN_ARGS=TRUE&amp;DOC_NAME=FAT:FQL_AUDITING_CLIENT_TEMPLATE.FAT&amp;display_string=Audit&amp;VAR:KEY=VMXULERONG&amp;VAR:QUERY=KFBfUFJJQ0UoNDA0MzQpLShGRl9DQVNIX1NUKFFUUiw0MDQzNCkvUF9DT01fU0hTX09VVCg0MDQzNCkpKS9GR","V9FU1RJTUFURSgnRVBTJywnTUVBTicsJ0FOTlVBTF9ST0xMJywnKzEnLDQwNDM0LCwsJycp&amp;WINDOW=FIRST_POPUP&amp;HEIGHT=450&amp;WIDTH=450&amp;START_MAXIMIZED=FALSE&amp;VAR:CALENDAR=US&amp;VAR:SYMBOL=98433210&amp;VAR:INDEX=0"}</definedName>
    <definedName name="_7303__FDSAUDITLINK__">{"fdsup://directions/FAT Viewer?action=UPDATE&amp;creator=factset&amp;DYN_ARGS=TRUE&amp;DOC_NAME=FAT:FQL_AUDITING_CLIENT_TEMPLATE.FAT&amp;display_string=Audit&amp;VAR:KEY=VMXULERONG&amp;VAR:QUERY=KFBfUFJJQ0UoNDA0MzQpLShGRl9DQVNIX1NUKFFUUiw0MDQzNCkvUF9DT01fU0hTX09VVCg0MDQzNCkpKS9GR","V9FU1RJTUFURSgnRVBTJywnTUVBTicsJ0FOTlVBTF9ST0xMJywnKzEnLDQwNDM0LCwsJycp&amp;WINDOW=FIRST_POPUP&amp;HEIGHT=450&amp;WIDTH=450&amp;START_MAXIMIZED=FALSE&amp;VAR:CALENDAR=US&amp;VAR:SYMBOL=98433210&amp;VAR:INDEX=0"}</definedName>
    <definedName name="_7304__FDSAUDITLINK__">{"fdsup://directions/FAT Viewer?action=UPDATE&amp;creator=factset&amp;DYN_ARGS=TRUE&amp;DOC_NAME=FAT:FQL_AUDITING_CLIENT_TEMPLATE.FAT&amp;display_string=Audit&amp;VAR:KEY=RQPKDGZINO&amp;VAR:QUERY=KFBfUFJJQ0UoNDA0MzMpLShGRl9DQVNIX1NUKFFUUiw0MDQzMykvUF9DT01fU0hTX09VVCg0MDQzMykpKS9GR","V9FU1RJTUFURSgnRVBTJywnTUVBTicsJ0FOTlVBTF9ST0xMJywnKzEnLDQwNDMzLCwsJycp&amp;WINDOW=FIRST_POPUP&amp;HEIGHT=450&amp;WIDTH=450&amp;START_MAXIMIZED=FALSE&amp;VAR:CALENDAR=US&amp;VAR:SYMBOL=98433210&amp;VAR:INDEX=0"}</definedName>
    <definedName name="_7305__FDSAUDITLINK__">{"fdsup://directions/FAT Viewer?action=UPDATE&amp;creator=factset&amp;DYN_ARGS=TRUE&amp;DOC_NAME=FAT:FQL_AUDITING_CLIENT_TEMPLATE.FAT&amp;display_string=Audit&amp;VAR:KEY=RQPKDGZINO&amp;VAR:QUERY=KFBfUFJJQ0UoNDA0MzMpLShGRl9DQVNIX1NUKFFUUiw0MDQzMykvUF9DT01fU0hTX09VVCg0MDQzMykpKS9GR","V9FU1RJTUFURSgnRVBTJywnTUVBTicsJ0FOTlVBTF9ST0xMJywnKzEnLDQwNDMzLCwsJycp&amp;WINDOW=FIRST_POPUP&amp;HEIGHT=450&amp;WIDTH=450&amp;START_MAXIMIZED=FALSE&amp;VAR:CALENDAR=US&amp;VAR:SYMBOL=98433210&amp;VAR:INDEX=0"}</definedName>
    <definedName name="_7306__FDSAUDITLINK__">{"fdsup://directions/FAT Viewer?action=UPDATE&amp;creator=factset&amp;DYN_ARGS=TRUE&amp;DOC_NAME=FAT:FQL_AUDITING_CLIENT_TEMPLATE.FAT&amp;display_string=Audit&amp;VAR:KEY=BQVYDCTAFG&amp;VAR:QUERY=KFBfUFJJQ0UoNDA0MzIpLShGRl9DQVNIX1NUKFFUUiw0MDQzMikvUF9DT01fU0hTX09VVCg0MDQzMikpKS9GR","V9FU1RJTUFURSgnRVBTJywnTUVBTicsJ0FOTlVBTF9ST0xMJywnKzEnLDQwNDMyLCwsJycp&amp;WINDOW=FIRST_POPUP&amp;HEIGHT=450&amp;WIDTH=450&amp;START_MAXIMIZED=FALSE&amp;VAR:CALENDAR=US&amp;VAR:SYMBOL=98433210&amp;VAR:INDEX=0"}</definedName>
    <definedName name="_7307__FDSAUDITLINK__">{"fdsup://directions/FAT Viewer?action=UPDATE&amp;creator=factset&amp;DYN_ARGS=TRUE&amp;DOC_NAME=FAT:FQL_AUDITING_CLIENT_TEMPLATE.FAT&amp;display_string=Audit&amp;VAR:KEY=BQVYDCTAFG&amp;VAR:QUERY=KFBfUFJJQ0UoNDA0MzIpLShGRl9DQVNIX1NUKFFUUiw0MDQzMikvUF9DT01fU0hTX09VVCg0MDQzMikpKS9GR","V9FU1RJTUFURSgnRVBTJywnTUVBTicsJ0FOTlVBTF9ST0xMJywnKzEnLDQwNDMyLCwsJycp&amp;WINDOW=FIRST_POPUP&amp;HEIGHT=450&amp;WIDTH=450&amp;START_MAXIMIZED=FALSE&amp;VAR:CALENDAR=US&amp;VAR:SYMBOL=98433210&amp;VAR:INDEX=0"}</definedName>
    <definedName name="_7308__FDSAUDITLINK__">{"fdsup://directions/FAT Viewer?action=UPDATE&amp;creator=factset&amp;DYN_ARGS=TRUE&amp;DOC_NAME=FAT:FQL_AUDITING_CLIENT_TEMPLATE.FAT&amp;display_string=Audit&amp;VAR:KEY=NIVOFINAHE&amp;VAR:QUERY=KFBfUFJJQ0UoNDA0MzEpLShGRl9DQVNIX1NUKFFUUiw0MDQzMSkvUF9DT01fU0hTX09VVCg0MDQzMSkpKS9GR","V9FU1RJTUFURSgnRVBTJywnTUVBTicsJ0FOTlVBTF9ST0xMJywnKzEnLDQwNDMxLCwsJycp&amp;WINDOW=FIRST_POPUP&amp;HEIGHT=450&amp;WIDTH=450&amp;START_MAXIMIZED=FALSE&amp;VAR:CALENDAR=US&amp;VAR:SYMBOL=98433210&amp;VAR:INDEX=0"}</definedName>
    <definedName name="_7309__FDSAUDITLINK__">{"fdsup://directions/FAT Viewer?action=UPDATE&amp;creator=factset&amp;DYN_ARGS=TRUE&amp;DOC_NAME=FAT:FQL_AUDITING_CLIENT_TEMPLATE.FAT&amp;display_string=Audit&amp;VAR:KEY=NIVOFINAHE&amp;VAR:QUERY=KFBfUFJJQ0UoNDA0MzEpLShGRl9DQVNIX1NUKFFUUiw0MDQzMSkvUF9DT01fU0hTX09VVCg0MDQzMSkpKS9GR","V9FU1RJTUFURSgnRVBTJywnTUVBTicsJ0FOTlVBTF9ST0xMJywnKzEnLDQwNDMxLCwsJycp&amp;WINDOW=FIRST_POPUP&amp;HEIGHT=450&amp;WIDTH=450&amp;START_MAXIMIZED=FALSE&amp;VAR:CALENDAR=US&amp;VAR:SYMBOL=98433210&amp;VAR:INDEX=0"}</definedName>
    <definedName name="_73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1059"}</definedName>
    <definedName name="_7310__FDSAUDITLINK__">{"fdsup://directions/FAT Viewer?action=UPDATE&amp;creator=factset&amp;DYN_ARGS=TRUE&amp;DOC_NAME=FAT:FQL_AUDITING_CLIENT_TEMPLATE.FAT&amp;display_string=Audit&amp;VAR:KEY=VERODEXIFI&amp;VAR:QUERY=KFBfUFJJQ0UoNDA0MzApLShGRl9DQVNIX1NUKFFUUiw0MDQzMCkvUF9DT01fU0hTX09VVCg0MDQzMCkpKS9GR","V9FU1RJTUFURSgnRVBTJywnTUVBTicsJ0FOTlVBTF9ST0xMJywnKzEnLDQwNDMwLCwsJycp&amp;WINDOW=FIRST_POPUP&amp;HEIGHT=450&amp;WIDTH=450&amp;START_MAXIMIZED=FALSE&amp;VAR:CALENDAR=US&amp;VAR:SYMBOL=98433210&amp;VAR:INDEX=0"}</definedName>
    <definedName name="_7311__FDSAUDITLINK__">{"fdsup://directions/FAT Viewer?action=UPDATE&amp;creator=factset&amp;DYN_ARGS=TRUE&amp;DOC_NAME=FAT:FQL_AUDITING_CLIENT_TEMPLATE.FAT&amp;display_string=Audit&amp;VAR:KEY=VERODEXIFI&amp;VAR:QUERY=KFBfUFJJQ0UoNDA0MzApLShGRl9DQVNIX1NUKFFUUiw0MDQzMCkvUF9DT01fU0hTX09VVCg0MDQzMCkpKS9GR","V9FU1RJTUFURSgnRVBTJywnTUVBTicsJ0FOTlVBTF9ST0xMJywnKzEnLDQwNDMwLCwsJycp&amp;WINDOW=FIRST_POPUP&amp;HEIGHT=450&amp;WIDTH=450&amp;START_MAXIMIZED=FALSE&amp;VAR:CALENDAR=US&amp;VAR:SYMBOL=98433210&amp;VAR:INDEX=0"}</definedName>
    <definedName name="_7312__FDSAUDITLINK__">{"fdsup://directions/FAT Viewer?action=UPDATE&amp;creator=factset&amp;DYN_ARGS=TRUE&amp;DOC_NAME=FAT:FQL_AUDITING_CLIENT_TEMPLATE.FAT&amp;display_string=Audit&amp;VAR:KEY=JKNORAXOVY&amp;VAR:QUERY=KFBfUFJJQ0UoNDA0MjkpLShGRl9DQVNIX1NUKFFUUiw0MDQyOSkvUF9DT01fU0hTX09VVCg0MDQyOSkpKS9GR","V9FU1RJTUFURSgnRVBTJywnTUVBTicsJ0FOTlVBTF9ST0xMJywnKzEnLDQwNDI5LCwsJycp&amp;WINDOW=FIRST_POPUP&amp;HEIGHT=450&amp;WIDTH=450&amp;START_MAXIMIZED=FALSE&amp;VAR:CALENDAR=US&amp;VAR:SYMBOL=98433210&amp;VAR:INDEX=0"}</definedName>
    <definedName name="_7313__FDSAUDITLINK__">{"fdsup://directions/FAT Viewer?action=UPDATE&amp;creator=factset&amp;DYN_ARGS=TRUE&amp;DOC_NAME=FAT:FQL_AUDITING_CLIENT_TEMPLATE.FAT&amp;display_string=Audit&amp;VAR:KEY=JKNORAXOVY&amp;VAR:QUERY=KFBfUFJJQ0UoNDA0MjkpLShGRl9DQVNIX1NUKFFUUiw0MDQyOSkvUF9DT01fU0hTX09VVCg0MDQyOSkpKS9GR","V9FU1RJTUFURSgnRVBTJywnTUVBTicsJ0FOTlVBTF9ST0xMJywnKzEnLDQwNDI5LCwsJycp&amp;WINDOW=FIRST_POPUP&amp;HEIGHT=450&amp;WIDTH=450&amp;START_MAXIMIZED=FALSE&amp;VAR:CALENDAR=US&amp;VAR:SYMBOL=98433210&amp;VAR:INDEX=0"}</definedName>
    <definedName name="_7314__FDSAUDITLINK__">{"fdsup://directions/FAT Viewer?action=UPDATE&amp;creator=factset&amp;DYN_ARGS=TRUE&amp;DOC_NAME=FAT:FQL_AUDITING_CLIENT_TEMPLATE.FAT&amp;display_string=Audit&amp;VAR:KEY=BKNANEFUXA&amp;VAR:QUERY=KFBfUFJJQ0UoNDA0MjgpLShGRl9DQVNIX1NUKFFUUiw0MDQyOCkvUF9DT01fU0hTX09VVCg0MDQyOCkpKS9GR","V9FU1RJTUFURSgnRVBTJywnTUVBTicsJ0FOTlVBTF9ST0xMJywnKzEnLDQwNDI4LCwsJycp&amp;WINDOW=FIRST_POPUP&amp;HEIGHT=450&amp;WIDTH=450&amp;START_MAXIMIZED=FALSE&amp;VAR:CALENDAR=US&amp;VAR:SYMBOL=98433210&amp;VAR:INDEX=0"}</definedName>
    <definedName name="_7315__FDSAUDITLINK__">{"fdsup://directions/FAT Viewer?action=UPDATE&amp;creator=factset&amp;DYN_ARGS=TRUE&amp;DOC_NAME=FAT:FQL_AUDITING_CLIENT_TEMPLATE.FAT&amp;display_string=Audit&amp;VAR:KEY=BKNANEFUXA&amp;VAR:QUERY=KFBfUFJJQ0UoNDA0MjgpLShGRl9DQVNIX1NUKFFUUiw0MDQyOCkvUF9DT01fU0hTX09VVCg0MDQyOCkpKS9GR","V9FU1RJTUFURSgnRVBTJywnTUVBTicsJ0FOTlVBTF9ST0xMJywnKzEnLDQwNDI4LCwsJycp&amp;WINDOW=FIRST_POPUP&amp;HEIGHT=450&amp;WIDTH=450&amp;START_MAXIMIZED=FALSE&amp;VAR:CALENDAR=US&amp;VAR:SYMBOL=98433210&amp;VAR:INDEX=0"}</definedName>
    <definedName name="_7316__FDSAUDITLINK__">{"fdsup://directions/FAT Viewer?action=UPDATE&amp;creator=factset&amp;DYN_ARGS=TRUE&amp;DOC_NAME=FAT:FQL_AUDITING_CLIENT_TEMPLATE.FAT&amp;display_string=Audit&amp;VAR:KEY=ZODCFSTGFI&amp;VAR:QUERY=KFBfUFJJQ0UoNDA0MjcpLShGRl9DQVNIX1NUKFFUUiw0MDQyNykvUF9DT01fU0hTX09VVCg0MDQyNykpKS9GR","V9FU1RJTUFURSgnRVBTJywnTUVBTicsJ0FOTlVBTF9ST0xMJywnKzEnLDQwNDI3LCwsJycp&amp;WINDOW=FIRST_POPUP&amp;HEIGHT=450&amp;WIDTH=450&amp;START_MAXIMIZED=FALSE&amp;VAR:CALENDAR=US&amp;VAR:SYMBOL=98433210&amp;VAR:INDEX=0"}</definedName>
    <definedName name="_7317__FDSAUDITLINK__">{"fdsup://directions/FAT Viewer?action=UPDATE&amp;creator=factset&amp;DYN_ARGS=TRUE&amp;DOC_NAME=FAT:FQL_AUDITING_CLIENT_TEMPLATE.FAT&amp;display_string=Audit&amp;VAR:KEY=ZODCFSTGFI&amp;VAR:QUERY=KFBfUFJJQ0UoNDA0MjcpLShGRl9DQVNIX1NUKFFUUiw0MDQyNykvUF9DT01fU0hTX09VVCg0MDQyNykpKS9GR","V9FU1RJTUFURSgnRVBTJywnTUVBTicsJ0FOTlVBTF9ST0xMJywnKzEnLDQwNDI3LCwsJycp&amp;WINDOW=FIRST_POPUP&amp;HEIGHT=450&amp;WIDTH=450&amp;START_MAXIMIZED=FALSE&amp;VAR:CALENDAR=US&amp;VAR:SYMBOL=98433210&amp;VAR:INDEX=0"}</definedName>
    <definedName name="_7318__FDSAUDITLINK__">{"fdsup://directions/FAT Viewer?action=UPDATE&amp;creator=factset&amp;DYN_ARGS=TRUE&amp;DOC_NAME=FAT:FQL_AUDITING_CLIENT_TEMPLATE.FAT&amp;display_string=Audit&amp;VAR:KEY=LEHCPQTCJG&amp;VAR:QUERY=KFBfUFJJQ0UoNDA0MjYpLShGRl9DQVNIX1NUKFFUUiw0MDQyNikvUF9DT01fU0hTX09VVCg0MDQyNikpKS9GR","V9FU1RJTUFURSgnRVBTJywnTUVBTicsJ0FOTlVBTF9ST0xMJywnKzEnLDQwNDI2LCwsJycp&amp;WINDOW=FIRST_POPUP&amp;HEIGHT=450&amp;WIDTH=450&amp;START_MAXIMIZED=FALSE&amp;VAR:CALENDAR=US&amp;VAR:SYMBOL=98433210&amp;VAR:INDEX=0"}</definedName>
    <definedName name="_7319__FDSAUDITLINK__">{"fdsup://directions/FAT Viewer?action=UPDATE&amp;creator=factset&amp;DYN_ARGS=TRUE&amp;DOC_NAME=FAT:FQL_AUDITING_CLIENT_TEMPLATE.FAT&amp;display_string=Audit&amp;VAR:KEY=LEHCPQTCJG&amp;VAR:QUERY=KFBfUFJJQ0UoNDA0MjYpLShGRl9DQVNIX1NUKFFUUiw0MDQyNikvUF9DT01fU0hTX09VVCg0MDQyNikpKS9GR","V9FU1RJTUFURSgnRVBTJywnTUVBTicsJ0FOTlVBTF9ST0xMJywnKzEnLDQwNDI2LCwsJycp&amp;WINDOW=FIRST_POPUP&amp;HEIGHT=450&amp;WIDTH=450&amp;START_MAXIMIZED=FALSE&amp;VAR:CALENDAR=US&amp;VAR:SYMBOL=98433210&amp;VAR:INDEX=0"}</definedName>
    <definedName name="_73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1058"}</definedName>
    <definedName name="_7320__FDSAUDITLINK__">{"fdsup://directions/FAT Viewer?action=UPDATE&amp;creator=factset&amp;DYN_ARGS=TRUE&amp;DOC_NAME=FAT:FQL_AUDITING_CLIENT_TEMPLATE.FAT&amp;display_string=Audit&amp;VAR:KEY=JAPGTQFMFA&amp;VAR:QUERY=KFBfUFJJQ0UoNDA0MjUpLShGRl9DQVNIX1NUKFFUUiw0MDQyNSkvUF9DT01fU0hTX09VVCg0MDQyNSkpKS9GR","V9FU1RJTUFURSgnRVBTJywnTUVBTicsJ0FOTlVBTF9ST0xMJywnKzEnLDQwNDI1LCwsJycp&amp;WINDOW=FIRST_POPUP&amp;HEIGHT=450&amp;WIDTH=450&amp;START_MAXIMIZED=FALSE&amp;VAR:CALENDAR=US&amp;VAR:SYMBOL=98433210&amp;VAR:INDEX=0"}</definedName>
    <definedName name="_7321__FDSAUDITLINK__">{"fdsup://directions/FAT Viewer?action=UPDATE&amp;creator=factset&amp;DYN_ARGS=TRUE&amp;DOC_NAME=FAT:FQL_AUDITING_CLIENT_TEMPLATE.FAT&amp;display_string=Audit&amp;VAR:KEY=JAPGTQFMFA&amp;VAR:QUERY=KFBfUFJJQ0UoNDA0MjUpLShGRl9DQVNIX1NUKFFUUiw0MDQyNSkvUF9DT01fU0hTX09VVCg0MDQyNSkpKS9GR","V9FU1RJTUFURSgnRVBTJywnTUVBTicsJ0FOTlVBTF9ST0xMJywnKzEnLDQwNDI1LCwsJycp&amp;WINDOW=FIRST_POPUP&amp;HEIGHT=450&amp;WIDTH=450&amp;START_MAXIMIZED=FALSE&amp;VAR:CALENDAR=US&amp;VAR:SYMBOL=98433210&amp;VAR:INDEX=0"}</definedName>
    <definedName name="_7322__FDSAUDITLINK__">{"fdsup://directions/FAT Viewer?action=UPDATE&amp;creator=factset&amp;DYN_ARGS=TRUE&amp;DOC_NAME=FAT:FQL_AUDITING_CLIENT_TEMPLATE.FAT&amp;display_string=Audit&amp;VAR:KEY=BKJKBITCTG&amp;VAR:QUERY=KFBfUFJJQ0UoNDA0MjQpLShGRl9DQVNIX1NUKFFUUiw0MDQyNCkvUF9DT01fU0hTX09VVCg0MDQyNCkpKS9GR","V9FU1RJTUFURSgnRVBTJywnTUVBTicsJ0FOTlVBTF9ST0xMJywnKzEnLDQwNDI0LCwsJycp&amp;WINDOW=FIRST_POPUP&amp;HEIGHT=450&amp;WIDTH=450&amp;START_MAXIMIZED=FALSE&amp;VAR:CALENDAR=US&amp;VAR:SYMBOL=98433210&amp;VAR:INDEX=0"}</definedName>
    <definedName name="_7323__FDSAUDITLINK__">{"fdsup://directions/FAT Viewer?action=UPDATE&amp;creator=factset&amp;DYN_ARGS=TRUE&amp;DOC_NAME=FAT:FQL_AUDITING_CLIENT_TEMPLATE.FAT&amp;display_string=Audit&amp;VAR:KEY=BKJKBITCTG&amp;VAR:QUERY=KFBfUFJJQ0UoNDA0MjQpLShGRl9DQVNIX1NUKFFUUiw0MDQyNCkvUF9DT01fU0hTX09VVCg0MDQyNCkpKS9GR","V9FU1RJTUFURSgnRVBTJywnTUVBTicsJ0FOTlVBTF9ST0xMJywnKzEnLDQwNDI0LCwsJycp&amp;WINDOW=FIRST_POPUP&amp;HEIGHT=450&amp;WIDTH=450&amp;START_MAXIMIZED=FALSE&amp;VAR:CALENDAR=US&amp;VAR:SYMBOL=98433210&amp;VAR:INDEX=0"}</definedName>
    <definedName name="_7324__FDSAUDITLINK__">{"fdsup://directions/FAT Viewer?action=UPDATE&amp;creator=factset&amp;DYN_ARGS=TRUE&amp;DOC_NAME=FAT:FQL_AUDITING_CLIENT_TEMPLATE.FAT&amp;display_string=Audit&amp;VAR:KEY=LWJGVMRSXM&amp;VAR:QUERY=KFBfUFJJQ0UoNDA0MjMpLShGRl9DQVNIX1NUKFFUUiw0MDQyMykvUF9DT01fU0hTX09VVCg0MDQyMykpKS9GR","V9FU1RJTUFURSgnRVBTJywnTUVBTicsJ0FOTlVBTF9ST0xMJywnKzEnLDQwNDIzLCwsJycp&amp;WINDOW=FIRST_POPUP&amp;HEIGHT=450&amp;WIDTH=450&amp;START_MAXIMIZED=FALSE&amp;VAR:CALENDAR=US&amp;VAR:SYMBOL=98433210&amp;VAR:INDEX=0"}</definedName>
    <definedName name="_7325__FDSAUDITLINK__">{"fdsup://directions/FAT Viewer?action=UPDATE&amp;creator=factset&amp;DYN_ARGS=TRUE&amp;DOC_NAME=FAT:FQL_AUDITING_CLIENT_TEMPLATE.FAT&amp;display_string=Audit&amp;VAR:KEY=LWJGVMRSXM&amp;VAR:QUERY=KFBfUFJJQ0UoNDA0MjMpLShGRl9DQVNIX1NUKFFUUiw0MDQyMykvUF9DT01fU0hTX09VVCg0MDQyMykpKS9GR","V9FU1RJTUFURSgnRVBTJywnTUVBTicsJ0FOTlVBTF9ST0xMJywnKzEnLDQwNDIzLCwsJycp&amp;WINDOW=FIRST_POPUP&amp;HEIGHT=450&amp;WIDTH=450&amp;START_MAXIMIZED=FALSE&amp;VAR:CALENDAR=US&amp;VAR:SYMBOL=98433210&amp;VAR:INDEX=0"}</definedName>
    <definedName name="_7326__FDSAUDITLINK__">{"fdsup://directions/FAT Viewer?action=UPDATE&amp;creator=factset&amp;DYN_ARGS=TRUE&amp;DOC_NAME=FAT:FQL_AUDITING_CLIENT_TEMPLATE.FAT&amp;display_string=Audit&amp;VAR:KEY=FEVERIXYDY&amp;VAR:QUERY=KFBfUFJJQ0UoNDA0MjIpLShGRl9DQVNIX1NUKFFUUiw0MDQyMikvUF9DT01fU0hTX09VVCg0MDQyMikpKS9GR","V9FU1RJTUFURSgnRVBTJywnTUVBTicsJ0FOTlVBTF9ST0xMJywnKzEnLDQwNDIyLCwsJycp&amp;WINDOW=FIRST_POPUP&amp;HEIGHT=450&amp;WIDTH=450&amp;START_MAXIMIZED=FALSE&amp;VAR:CALENDAR=US&amp;VAR:SYMBOL=98433210&amp;VAR:INDEX=0"}</definedName>
    <definedName name="_7327__FDSAUDITLINK__">{"fdsup://directions/FAT Viewer?action=UPDATE&amp;creator=factset&amp;DYN_ARGS=TRUE&amp;DOC_NAME=FAT:FQL_AUDITING_CLIENT_TEMPLATE.FAT&amp;display_string=Audit&amp;VAR:KEY=FEVERIXYDY&amp;VAR:QUERY=KFBfUFJJQ0UoNDA0MjIpLShGRl9DQVNIX1NUKFFUUiw0MDQyMikvUF9DT01fU0hTX09VVCg0MDQyMikpKS9GR","V9FU1RJTUFURSgnRVBTJywnTUVBTicsJ0FOTlVBTF9ST0xMJywnKzEnLDQwNDIyLCwsJycp&amp;WINDOW=FIRST_POPUP&amp;HEIGHT=450&amp;WIDTH=450&amp;START_MAXIMIZED=FALSE&amp;VAR:CALENDAR=US&amp;VAR:SYMBOL=98433210&amp;VAR:INDEX=0"}</definedName>
    <definedName name="_7328__FDSAUDITLINK__">{"fdsup://directions/FAT Viewer?action=UPDATE&amp;creator=factset&amp;DYN_ARGS=TRUE&amp;DOC_NAME=FAT:FQL_AUDITING_CLIENT_TEMPLATE.FAT&amp;display_string=Audit&amp;VAR:KEY=NWBSJWBMHI&amp;VAR:QUERY=KFBfUFJJQ0UoNDA0MjEpLShGRl9DQVNIX1NUKFFUUiw0MDQyMSkvUF9DT01fU0hTX09VVCg0MDQyMSkpKS9GR","V9FU1RJTUFURSgnRVBTJywnTUVBTicsJ0FOTlVBTF9ST0xMJywnKzEnLDQwNDIxLCwsJycp&amp;WINDOW=FIRST_POPUP&amp;HEIGHT=450&amp;WIDTH=450&amp;START_MAXIMIZED=FALSE&amp;VAR:CALENDAR=US&amp;VAR:SYMBOL=98433210&amp;VAR:INDEX=0"}</definedName>
    <definedName name="_7329__FDSAUDITLINK__">{"fdsup://directions/FAT Viewer?action=UPDATE&amp;creator=factset&amp;DYN_ARGS=TRUE&amp;DOC_NAME=FAT:FQL_AUDITING_CLIENT_TEMPLATE.FAT&amp;display_string=Audit&amp;VAR:KEY=NWBSJWBMHI&amp;VAR:QUERY=KFBfUFJJQ0UoNDA0MjEpLShGRl9DQVNIX1NUKFFUUiw0MDQyMSkvUF9DT01fU0hTX09VVCg0MDQyMSkpKS9GR","V9FU1RJTUFURSgnRVBTJywnTUVBTicsJ0FOTlVBTF9ST0xMJywnKzEnLDQwNDIxLCwsJycp&amp;WINDOW=FIRST_POPUP&amp;HEIGHT=450&amp;WIDTH=450&amp;START_MAXIMIZED=FALSE&amp;VAR:CALENDAR=US&amp;VAR:SYMBOL=98433210&amp;VAR:INDEX=0"}</definedName>
    <definedName name="_73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1057"}</definedName>
    <definedName name="_7330__FDSAUDITLINK__">{"fdsup://directions/FAT Viewer?action=UPDATE&amp;creator=factset&amp;DYN_ARGS=TRUE&amp;DOC_NAME=FAT:FQL_AUDITING_CLIENT_TEMPLATE.FAT&amp;display_string=Audit&amp;VAR:KEY=XQDOPQHOBE&amp;VAR:QUERY=KFBfUFJJQ0UoNDA0MjApLShGRl9DQVNIX1NUKFFUUiw0MDQyMCkvUF9DT01fU0hTX09VVCg0MDQyMCkpKS9GR","V9FU1RJTUFURSgnRVBTJywnTUVBTicsJ0FOTlVBTF9ST0xMJywnKzEnLDQwNDIwLCwsJycp&amp;WINDOW=FIRST_POPUP&amp;HEIGHT=450&amp;WIDTH=450&amp;START_MAXIMIZED=FALSE&amp;VAR:CALENDAR=US&amp;VAR:SYMBOL=98433210&amp;VAR:INDEX=0"}</definedName>
    <definedName name="_7331__FDSAUDITLINK__">{"fdsup://directions/FAT Viewer?action=UPDATE&amp;creator=factset&amp;DYN_ARGS=TRUE&amp;DOC_NAME=FAT:FQL_AUDITING_CLIENT_TEMPLATE.FAT&amp;display_string=Audit&amp;VAR:KEY=XQDOPQHOBE&amp;VAR:QUERY=KFBfUFJJQ0UoNDA0MjApLShGRl9DQVNIX1NUKFFUUiw0MDQyMCkvUF9DT01fU0hTX09VVCg0MDQyMCkpKS9GR","V9FU1RJTUFURSgnRVBTJywnTUVBTicsJ0FOTlVBTF9ST0xMJywnKzEnLDQwNDIwLCwsJycp&amp;WINDOW=FIRST_POPUP&amp;HEIGHT=450&amp;WIDTH=450&amp;START_MAXIMIZED=FALSE&amp;VAR:CALENDAR=US&amp;VAR:SYMBOL=98433210&amp;VAR:INDEX=0"}</definedName>
    <definedName name="_7332__FDSAUDITLINK__">{"fdsup://directions/FAT Viewer?action=UPDATE&amp;creator=factset&amp;DYN_ARGS=TRUE&amp;DOC_NAME=FAT:FQL_AUDITING_CLIENT_TEMPLATE.FAT&amp;display_string=Audit&amp;VAR:KEY=LEVEFUHSTE&amp;VAR:QUERY=KFBfUFJJQ0UoNDA0MTkpLShGRl9DQVNIX1NUKFFUUiw0MDQxOSkvUF9DT01fU0hTX09VVCg0MDQxOSkpKS9GR","V9FU1RJTUFURSgnRVBTJywnTUVBTicsJ0FOTlVBTF9ST0xMJywnKzEnLDQwNDE5LCwsJycp&amp;WINDOW=FIRST_POPUP&amp;HEIGHT=450&amp;WIDTH=450&amp;START_MAXIMIZED=FALSE&amp;VAR:CALENDAR=US&amp;VAR:SYMBOL=98433210&amp;VAR:INDEX=0"}</definedName>
    <definedName name="_7333__FDSAUDITLINK__">{"fdsup://directions/FAT Viewer?action=UPDATE&amp;creator=factset&amp;DYN_ARGS=TRUE&amp;DOC_NAME=FAT:FQL_AUDITING_CLIENT_TEMPLATE.FAT&amp;display_string=Audit&amp;VAR:KEY=LEVEFUHSTE&amp;VAR:QUERY=KFBfUFJJQ0UoNDA0MTkpLShGRl9DQVNIX1NUKFFUUiw0MDQxOSkvUF9DT01fU0hTX09VVCg0MDQxOSkpKS9GR","V9FU1RJTUFURSgnRVBTJywnTUVBTicsJ0FOTlVBTF9ST0xMJywnKzEnLDQwNDE5LCwsJycp&amp;WINDOW=FIRST_POPUP&amp;HEIGHT=450&amp;WIDTH=450&amp;START_MAXIMIZED=FALSE&amp;VAR:CALENDAR=US&amp;VAR:SYMBOL=98433210&amp;VAR:INDEX=0"}</definedName>
    <definedName name="_7334__FDSAUDITLINK__">{"fdsup://directions/FAT Viewer?action=UPDATE&amp;creator=factset&amp;DYN_ARGS=TRUE&amp;DOC_NAME=FAT:FQL_AUDITING_CLIENT_TEMPLATE.FAT&amp;display_string=Audit&amp;VAR:KEY=JQVYZWDKXI&amp;VAR:QUERY=KFBfUFJJQ0UoNDA0MTgpLShGRl9DQVNIX1NUKFFUUiw0MDQxOCkvUF9DT01fU0hTX09VVCg0MDQxOCkpKS9GR","V9FU1RJTUFURSgnRVBTJywnTUVBTicsJ0FOTlVBTF9ST0xMJywnKzEnLDQwNDE4LCwsJycp&amp;WINDOW=FIRST_POPUP&amp;HEIGHT=450&amp;WIDTH=450&amp;START_MAXIMIZED=FALSE&amp;VAR:CALENDAR=US&amp;VAR:SYMBOL=98433210&amp;VAR:INDEX=0"}</definedName>
    <definedName name="_7335__FDSAUDITLINK__">{"fdsup://directions/FAT Viewer?action=UPDATE&amp;creator=factset&amp;DYN_ARGS=TRUE&amp;DOC_NAME=FAT:FQL_AUDITING_CLIENT_TEMPLATE.FAT&amp;display_string=Audit&amp;VAR:KEY=JQVYZWDKXI&amp;VAR:QUERY=KFBfUFJJQ0UoNDA0MTgpLShGRl9DQVNIX1NUKFFUUiw0MDQxOCkvUF9DT01fU0hTX09VVCg0MDQxOCkpKS9GR","V9FU1RJTUFURSgnRVBTJywnTUVBTicsJ0FOTlVBTF9ST0xMJywnKzEnLDQwNDE4LCwsJycp&amp;WINDOW=FIRST_POPUP&amp;HEIGHT=450&amp;WIDTH=450&amp;START_MAXIMIZED=FALSE&amp;VAR:CALENDAR=US&amp;VAR:SYMBOL=98433210&amp;VAR:INDEX=0"}</definedName>
    <definedName name="_7336__FDSAUDITLINK__">{"fdsup://directions/FAT Viewer?action=UPDATE&amp;creator=factset&amp;DYN_ARGS=TRUE&amp;DOC_NAME=FAT:FQL_AUDITING_CLIENT_TEMPLATE.FAT&amp;display_string=Audit&amp;VAR:KEY=DMNUFWBUZW&amp;VAR:QUERY=KFBfUFJJQ0UoNDA0MTcpLShGRl9DQVNIX1NUKFFUUiw0MDQxNykvUF9DT01fU0hTX09VVCg0MDQxNykpKS9GR","V9FU1RJTUFURSgnRVBTJywnTUVBTicsJ0FOTlVBTF9ST0xMJywnKzEnLDQwNDE3LCwsJycp&amp;WINDOW=FIRST_POPUP&amp;HEIGHT=450&amp;WIDTH=450&amp;START_MAXIMIZED=FALSE&amp;VAR:CALENDAR=US&amp;VAR:SYMBOL=98433210&amp;VAR:INDEX=0"}</definedName>
    <definedName name="_7337__FDSAUDITLINK__">{"fdsup://directions/FAT Viewer?action=UPDATE&amp;creator=factset&amp;DYN_ARGS=TRUE&amp;DOC_NAME=FAT:FQL_AUDITING_CLIENT_TEMPLATE.FAT&amp;display_string=Audit&amp;VAR:KEY=DMNUFWBUZW&amp;VAR:QUERY=KFBfUFJJQ0UoNDA0MTcpLShGRl9DQVNIX1NUKFFUUiw0MDQxNykvUF9DT01fU0hTX09VVCg0MDQxNykpKS9GR","V9FU1RJTUFURSgnRVBTJywnTUVBTicsJ0FOTlVBTF9ST0xMJywnKzEnLDQwNDE3LCwsJycp&amp;WINDOW=FIRST_POPUP&amp;HEIGHT=450&amp;WIDTH=450&amp;START_MAXIMIZED=FALSE&amp;VAR:CALENDAR=US&amp;VAR:SYMBOL=98433210&amp;VAR:INDEX=0"}</definedName>
    <definedName name="_7338__FDSAUDITLINK__">{"fdsup://directions/FAT Viewer?action=UPDATE&amp;creator=factset&amp;DYN_ARGS=TRUE&amp;DOC_NAME=FAT:FQL_AUDITING_CLIENT_TEMPLATE.FAT&amp;display_string=Audit&amp;VAR:KEY=JYHUREBSNW&amp;VAR:QUERY=KFBfUFJJQ0UoNDA0MTYpLShGRl9DQVNIX1NUKFFUUiw0MDQxNikvUF9DT01fU0hTX09VVCg0MDQxNikpKS9GR","V9FU1RJTUFURSgnRVBTJywnTUVBTicsJ0FOTlVBTF9ST0xMJywnKzEnLDQwNDE2LCwsJycp&amp;WINDOW=FIRST_POPUP&amp;HEIGHT=450&amp;WIDTH=450&amp;START_MAXIMIZED=FALSE&amp;VAR:CALENDAR=US&amp;VAR:SYMBOL=98433210&amp;VAR:INDEX=0"}</definedName>
    <definedName name="_7339__FDSAUDITLINK__">{"fdsup://directions/FAT Viewer?action=UPDATE&amp;creator=factset&amp;DYN_ARGS=TRUE&amp;DOC_NAME=FAT:FQL_AUDITING_CLIENT_TEMPLATE.FAT&amp;display_string=Audit&amp;VAR:KEY=JYHUREBSNW&amp;VAR:QUERY=KFBfUFJJQ0UoNDA0MTYpLShGRl9DQVNIX1NUKFFUUiw0MDQxNikvUF9DT01fU0hTX09VVCg0MDQxNikpKS9GR","V9FU1RJTUFURSgnRVBTJywnTUVBTicsJ0FOTlVBTF9ST0xMJywnKzEnLDQwNDE2LCwsJycp&amp;WINDOW=FIRST_POPUP&amp;HEIGHT=450&amp;WIDTH=450&amp;START_MAXIMIZED=FALSE&amp;VAR:CALENDAR=US&amp;VAR:SYMBOL=98433210&amp;VAR:INDEX=0"}</definedName>
    <definedName name="_73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1056"}</definedName>
    <definedName name="_7340__FDSAUDITLINK__">{"fdsup://directions/FAT Viewer?action=UPDATE&amp;creator=factset&amp;DYN_ARGS=TRUE&amp;DOC_NAME=FAT:FQL_AUDITING_CLIENT_TEMPLATE.FAT&amp;display_string=Audit&amp;VAR:KEY=PKRCNAZUZC&amp;VAR:QUERY=KFBfUFJJQ0UoNDA0MTUpLShGRl9DQVNIX1NUKFFUUiw0MDQxNSkvUF9DT01fU0hTX09VVCg0MDQxNSkpKS9GR","V9FU1RJTUFURSgnRVBTJywnTUVBTicsJ0FOTlVBTF9ST0xMJywnKzEnLDQwNDE1LCwsJycp&amp;WINDOW=FIRST_POPUP&amp;HEIGHT=450&amp;WIDTH=450&amp;START_MAXIMIZED=FALSE&amp;VAR:CALENDAR=US&amp;VAR:SYMBOL=98433210&amp;VAR:INDEX=0"}</definedName>
    <definedName name="_7341__FDSAUDITLINK__">{"fdsup://directions/FAT Viewer?action=UPDATE&amp;creator=factset&amp;DYN_ARGS=TRUE&amp;DOC_NAME=FAT:FQL_AUDITING_CLIENT_TEMPLATE.FAT&amp;display_string=Audit&amp;VAR:KEY=PKRCNAZUZC&amp;VAR:QUERY=KFBfUFJJQ0UoNDA0MTUpLShGRl9DQVNIX1NUKFFUUiw0MDQxNSkvUF9DT01fU0hTX09VVCg0MDQxNSkpKS9GR","V9FU1RJTUFURSgnRVBTJywnTUVBTicsJ0FOTlVBTF9ST0xMJywnKzEnLDQwNDE1LCwsJycp&amp;WINDOW=FIRST_POPUP&amp;HEIGHT=450&amp;WIDTH=450&amp;START_MAXIMIZED=FALSE&amp;VAR:CALENDAR=US&amp;VAR:SYMBOL=98433210&amp;VAR:INDEX=0"}</definedName>
    <definedName name="_7342__FDSAUDITLINK__">{"fdsup://directions/FAT Viewer?action=UPDATE&amp;creator=factset&amp;DYN_ARGS=TRUE&amp;DOC_NAME=FAT:FQL_AUDITING_CLIENT_TEMPLATE.FAT&amp;display_string=Audit&amp;VAR:KEY=PYNAXWBGRC&amp;VAR:QUERY=KFBfUFJJQ0UoNDA0MTQpLShGRl9DQVNIX1NUKFFUUiw0MDQxNCkvUF9DT01fU0hTX09VVCg0MDQxNCkpKS9GR","V9FU1RJTUFURSgnRVBTJywnTUVBTicsJ0FOTlVBTF9ST0xMJywnKzEnLDQwNDE0LCwsJycp&amp;WINDOW=FIRST_POPUP&amp;HEIGHT=450&amp;WIDTH=450&amp;START_MAXIMIZED=FALSE&amp;VAR:CALENDAR=US&amp;VAR:SYMBOL=98433210&amp;VAR:INDEX=0"}</definedName>
    <definedName name="_7343__FDSAUDITLINK__">{"fdsup://directions/FAT Viewer?action=UPDATE&amp;creator=factset&amp;DYN_ARGS=TRUE&amp;DOC_NAME=FAT:FQL_AUDITING_CLIENT_TEMPLATE.FAT&amp;display_string=Audit&amp;VAR:KEY=PYNAXWBGRC&amp;VAR:QUERY=KFBfUFJJQ0UoNDA0MTQpLShGRl9DQVNIX1NUKFFUUiw0MDQxNCkvUF9DT01fU0hTX09VVCg0MDQxNCkpKS9GR","V9FU1RJTUFURSgnRVBTJywnTUVBTicsJ0FOTlVBTF9ST0xMJywnKzEnLDQwNDE0LCwsJycp&amp;WINDOW=FIRST_POPUP&amp;HEIGHT=450&amp;WIDTH=450&amp;START_MAXIMIZED=FALSE&amp;VAR:CALENDAR=US&amp;VAR:SYMBOL=98433210&amp;VAR:INDEX=0"}</definedName>
    <definedName name="_7344__FDSAUDITLINK__">{"fdsup://directions/FAT Viewer?action=UPDATE&amp;creator=factset&amp;DYN_ARGS=TRUE&amp;DOC_NAME=FAT:FQL_AUDITING_CLIENT_TEMPLATE.FAT&amp;display_string=Audit&amp;VAR:KEY=HIJEBSNMZS&amp;VAR:QUERY=KFBfUFJJQ0UoNDA0MTMpLShGRl9DQVNIX1NUKFFUUiw0MDQxMykvUF9DT01fU0hTX09VVCg0MDQxMykpKS9GR","V9FU1RJTUFURSgnRVBTJywnTUVBTicsJ0FOTlVBTF9ST0xMJywnKzEnLDQwNDEzLCwsJycp&amp;WINDOW=FIRST_POPUP&amp;HEIGHT=450&amp;WIDTH=450&amp;START_MAXIMIZED=FALSE&amp;VAR:CALENDAR=US&amp;VAR:SYMBOL=98433210&amp;VAR:INDEX=0"}</definedName>
    <definedName name="_7345__FDSAUDITLINK__">{"fdsup://directions/FAT Viewer?action=UPDATE&amp;creator=factset&amp;DYN_ARGS=TRUE&amp;DOC_NAME=FAT:FQL_AUDITING_CLIENT_TEMPLATE.FAT&amp;display_string=Audit&amp;VAR:KEY=HIJEBSNMZS&amp;VAR:QUERY=KFBfUFJJQ0UoNDA0MTMpLShGRl9DQVNIX1NUKFFUUiw0MDQxMykvUF9DT01fU0hTX09VVCg0MDQxMykpKS9GR","V9FU1RJTUFURSgnRVBTJywnTUVBTicsJ0FOTlVBTF9ST0xMJywnKzEnLDQwNDEzLCwsJycp&amp;WINDOW=FIRST_POPUP&amp;HEIGHT=450&amp;WIDTH=450&amp;START_MAXIMIZED=FALSE&amp;VAR:CALENDAR=US&amp;VAR:SYMBOL=98433210&amp;VAR:INDEX=0"}</definedName>
    <definedName name="_7346__FDSAUDITLINK__">{"fdsup://directions/FAT Viewer?action=UPDATE&amp;creator=factset&amp;DYN_ARGS=TRUE&amp;DOC_NAME=FAT:FQL_AUDITING_CLIENT_TEMPLATE.FAT&amp;display_string=Audit&amp;VAR:KEY=BEHYNOLWJM&amp;VAR:QUERY=KFBfUFJJQ0UoNDA0MTIpLShGRl9DQVNIX1NUKFFUUiw0MDQxMikvUF9DT01fU0hTX09VVCg0MDQxMikpKS9GR","V9FU1RJTUFURSgnRVBTJywnTUVBTicsJ0FOTlVBTF9ST0xMJywnKzEnLDQwNDEyLCwsJycp&amp;WINDOW=FIRST_POPUP&amp;HEIGHT=450&amp;WIDTH=450&amp;START_MAXIMIZED=FALSE&amp;VAR:CALENDAR=US&amp;VAR:SYMBOL=98433210&amp;VAR:INDEX=0"}</definedName>
    <definedName name="_7347__FDSAUDITLINK__">{"fdsup://directions/FAT Viewer?action=UPDATE&amp;creator=factset&amp;DYN_ARGS=TRUE&amp;DOC_NAME=FAT:FQL_AUDITING_CLIENT_TEMPLATE.FAT&amp;display_string=Audit&amp;VAR:KEY=BEHYNOLWJM&amp;VAR:QUERY=KFBfUFJJQ0UoNDA0MTIpLShGRl9DQVNIX1NUKFFUUiw0MDQxMikvUF9DT01fU0hTX09VVCg0MDQxMikpKS9GR","V9FU1RJTUFURSgnRVBTJywnTUVBTicsJ0FOTlVBTF9ST0xMJywnKzEnLDQwNDEyLCwsJycp&amp;WINDOW=FIRST_POPUP&amp;HEIGHT=450&amp;WIDTH=450&amp;START_MAXIMIZED=FALSE&amp;VAR:CALENDAR=US&amp;VAR:SYMBOL=98433210&amp;VAR:INDEX=0"}</definedName>
    <definedName name="_7348__FDSAUDITLINK__">{"fdsup://directions/FAT Viewer?action=UPDATE&amp;creator=factset&amp;DYN_ARGS=TRUE&amp;DOC_NAME=FAT:FQL_AUDITING_CLIENT_TEMPLATE.FAT&amp;display_string=Audit&amp;VAR:KEY=FKTYVOHWXY&amp;VAR:QUERY=KFBfUFJJQ0UoNDA0MTEpLShGRl9DQVNIX1NUKFFUUiw0MDQxMSkvUF9DT01fU0hTX09VVCg0MDQxMSkpKS9GR","V9FU1RJTUFURSgnRVBTJywnTUVBTicsJ0FOTlVBTF9ST0xMJywnKzEnLDQwNDExLCwsJycp&amp;WINDOW=FIRST_POPUP&amp;HEIGHT=450&amp;WIDTH=450&amp;START_MAXIMIZED=FALSE&amp;VAR:CALENDAR=US&amp;VAR:SYMBOL=98433210&amp;VAR:INDEX=0"}</definedName>
    <definedName name="_7349__FDSAUDITLINK__">{"fdsup://directions/FAT Viewer?action=UPDATE&amp;creator=factset&amp;DYN_ARGS=TRUE&amp;DOC_NAME=FAT:FQL_AUDITING_CLIENT_TEMPLATE.FAT&amp;display_string=Audit&amp;VAR:KEY=FKTYVOHWXY&amp;VAR:QUERY=KFBfUFJJQ0UoNDA0MTEpLShGRl9DQVNIX1NUKFFUUiw0MDQxMSkvUF9DT01fU0hTX09VVCg0MDQxMSkpKS9GR","V9FU1RJTUFURSgnRVBTJywnTUVBTicsJ0FOTlVBTF9ST0xMJywnKzEnLDQwNDExLCwsJycp&amp;WINDOW=FIRST_POPUP&amp;HEIGHT=450&amp;WIDTH=450&amp;START_MAXIMIZED=FALSE&amp;VAR:CALENDAR=US&amp;VAR:SYMBOL=98433210&amp;VAR:INDEX=0"}</definedName>
    <definedName name="_73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1055"}</definedName>
    <definedName name="_7350__FDSAUDITLINK__">{"fdsup://directions/FAT Viewer?action=UPDATE&amp;creator=factset&amp;DYN_ARGS=TRUE&amp;DOC_NAME=FAT:FQL_AUDITING_CLIENT_TEMPLATE.FAT&amp;display_string=Audit&amp;VAR:KEY=XGPCJYJCBU&amp;VAR:QUERY=KFBfUFJJQ0UoNDA0MTApLShGRl9DQVNIX1NUKFFUUiw0MDQxMCkvUF9DT01fU0hTX09VVCg0MDQxMCkpKS9GR","V9FU1RJTUFURSgnRVBTJywnTUVBTicsJ0FOTlVBTF9ST0xMJywnKzEnLDQwNDEwLCwsJycp&amp;WINDOW=FIRST_POPUP&amp;HEIGHT=450&amp;WIDTH=450&amp;START_MAXIMIZED=FALSE&amp;VAR:CALENDAR=US&amp;VAR:SYMBOL=98433210&amp;VAR:INDEX=0"}</definedName>
    <definedName name="_7351__FDSAUDITLINK__">{"fdsup://directions/FAT Viewer?action=UPDATE&amp;creator=factset&amp;DYN_ARGS=TRUE&amp;DOC_NAME=FAT:FQL_AUDITING_CLIENT_TEMPLATE.FAT&amp;display_string=Audit&amp;VAR:KEY=XGPCJYJCBU&amp;VAR:QUERY=KFBfUFJJQ0UoNDA0MTApLShGRl9DQVNIX1NUKFFUUiw0MDQxMCkvUF9DT01fU0hTX09VVCg0MDQxMCkpKS9GR","V9FU1RJTUFURSgnRVBTJywnTUVBTicsJ0FOTlVBTF9ST0xMJywnKzEnLDQwNDEwLCwsJycp&amp;WINDOW=FIRST_POPUP&amp;HEIGHT=450&amp;WIDTH=450&amp;START_MAXIMIZED=FALSE&amp;VAR:CALENDAR=US&amp;VAR:SYMBOL=98433210&amp;VAR:INDEX=0"}</definedName>
    <definedName name="_7352__FDSAUDITLINK__">{"fdsup://directions/FAT Viewer?action=UPDATE&amp;creator=factset&amp;DYN_ARGS=TRUE&amp;DOC_NAME=FAT:FQL_AUDITING_CLIENT_TEMPLATE.FAT&amp;display_string=Audit&amp;VAR:KEY=ZQFEFIJKLS&amp;VAR:QUERY=KFBfUFJJQ0UoNDA0MDkpLShGRl9DQVNIX1NUKFFUUiw0MDQwOSkvUF9DT01fU0hTX09VVCg0MDQwOSkpKS9GR","V9FU1RJTUFURSgnRVBTJywnTUVBTicsJ0FOTlVBTF9ST0xMJywnKzEnLDQwNDA5LCwsJycp&amp;WINDOW=FIRST_POPUP&amp;HEIGHT=450&amp;WIDTH=450&amp;START_MAXIMIZED=FALSE&amp;VAR:CALENDAR=US&amp;VAR:SYMBOL=98433210&amp;VAR:INDEX=0"}</definedName>
    <definedName name="_7353__FDSAUDITLINK__">{"fdsup://directions/FAT Viewer?action=UPDATE&amp;creator=factset&amp;DYN_ARGS=TRUE&amp;DOC_NAME=FAT:FQL_AUDITING_CLIENT_TEMPLATE.FAT&amp;display_string=Audit&amp;VAR:KEY=ZQFEFIJKLS&amp;VAR:QUERY=KFBfUFJJQ0UoNDA0MDkpLShGRl9DQVNIX1NUKFFUUiw0MDQwOSkvUF9DT01fU0hTX09VVCg0MDQwOSkpKS9GR","V9FU1RJTUFURSgnRVBTJywnTUVBTicsJ0FOTlVBTF9ST0xMJywnKzEnLDQwNDA5LCwsJycp&amp;WINDOW=FIRST_POPUP&amp;HEIGHT=450&amp;WIDTH=450&amp;START_MAXIMIZED=FALSE&amp;VAR:CALENDAR=US&amp;VAR:SYMBOL=98433210&amp;VAR:INDEX=0"}</definedName>
    <definedName name="_7354__FDSAUDITLINK__">{"fdsup://directions/FAT Viewer?action=UPDATE&amp;creator=factset&amp;DYN_ARGS=TRUE&amp;DOC_NAME=FAT:FQL_AUDITING_CLIENT_TEMPLATE.FAT&amp;display_string=Audit&amp;VAR:KEY=JGJWHSPUFY&amp;VAR:QUERY=KFBfUFJJQ0UoNDA0MDgpLShGRl9DQVNIX1NUKFFUUiw0MDQwOCkvUF9DT01fU0hTX09VVCg0MDQwOCkpKS9GR","V9FU1RJTUFURSgnRVBTJywnTUVBTicsJ0FOTlVBTF9ST0xMJywnKzEnLDQwNDA4LCwsJycp&amp;WINDOW=FIRST_POPUP&amp;HEIGHT=450&amp;WIDTH=450&amp;START_MAXIMIZED=FALSE&amp;VAR:CALENDAR=US&amp;VAR:SYMBOL=98433210&amp;VAR:INDEX=0"}</definedName>
    <definedName name="_7355__FDSAUDITLINK__">{"fdsup://directions/FAT Viewer?action=UPDATE&amp;creator=factset&amp;DYN_ARGS=TRUE&amp;DOC_NAME=FAT:FQL_AUDITING_CLIENT_TEMPLATE.FAT&amp;display_string=Audit&amp;VAR:KEY=JGJWHSPUFY&amp;VAR:QUERY=KFBfUFJJQ0UoNDA0MDgpLShGRl9DQVNIX1NUKFFUUiw0MDQwOCkvUF9DT01fU0hTX09VVCg0MDQwOCkpKS9GR","V9FU1RJTUFURSgnRVBTJywnTUVBTicsJ0FOTlVBTF9ST0xMJywnKzEnLDQwNDA4LCwsJycp&amp;WINDOW=FIRST_POPUP&amp;HEIGHT=450&amp;WIDTH=450&amp;START_MAXIMIZED=FALSE&amp;VAR:CALENDAR=US&amp;VAR:SYMBOL=98433210&amp;VAR:INDEX=0"}</definedName>
    <definedName name="_7356__FDSAUDITLINK__">{"fdsup://directions/FAT Viewer?action=UPDATE&amp;creator=factset&amp;DYN_ARGS=TRUE&amp;DOC_NAME=FAT:FQL_AUDITING_CLIENT_TEMPLATE.FAT&amp;display_string=Audit&amp;VAR:KEY=JMDYDYZMBS&amp;VAR:QUERY=KFBfUFJJQ0UoNDA0MDcpLShGRl9DQVNIX1NUKFFUUiw0MDQwNykvUF9DT01fU0hTX09VVCg0MDQwNykpKS9GR","V9FU1RJTUFURSgnRVBTJywnTUVBTicsJ0FOTlVBTF9ST0xMJywnKzEnLDQwNDA3LCwsJycp&amp;WINDOW=FIRST_POPUP&amp;HEIGHT=450&amp;WIDTH=450&amp;START_MAXIMIZED=FALSE&amp;VAR:CALENDAR=US&amp;VAR:SYMBOL=98433210&amp;VAR:INDEX=0"}</definedName>
    <definedName name="_7357__FDSAUDITLINK__">{"fdsup://directions/FAT Viewer?action=UPDATE&amp;creator=factset&amp;DYN_ARGS=TRUE&amp;DOC_NAME=FAT:FQL_AUDITING_CLIENT_TEMPLATE.FAT&amp;display_string=Audit&amp;VAR:KEY=JMDYDYZMBS&amp;VAR:QUERY=KFBfUFJJQ0UoNDA0MDcpLShGRl9DQVNIX1NUKFFUUiw0MDQwNykvUF9DT01fU0hTX09VVCg0MDQwNykpKS9GR","V9FU1RJTUFURSgnRVBTJywnTUVBTicsJ0FOTlVBTF9ST0xMJywnKzEnLDQwNDA3LCwsJycp&amp;WINDOW=FIRST_POPUP&amp;HEIGHT=450&amp;WIDTH=450&amp;START_MAXIMIZED=FALSE&amp;VAR:CALENDAR=US&amp;VAR:SYMBOL=98433210&amp;VAR:INDEX=0"}</definedName>
    <definedName name="_7358__FDSAUDITLINK__">{"fdsup://directions/FAT Viewer?action=UPDATE&amp;creator=factset&amp;DYN_ARGS=TRUE&amp;DOC_NAME=FAT:FQL_AUDITING_CLIENT_TEMPLATE.FAT&amp;display_string=Audit&amp;VAR:KEY=ZSVMTORONM&amp;VAR:QUERY=KFBfUFJJQ0UoNDA0MDYpLShGRl9DQVNIX1NUKFFUUiw0MDQwNikvUF9DT01fU0hTX09VVCg0MDQwNikpKS9GR","V9FU1RJTUFURSgnRVBTJywnTUVBTicsJ0FOTlVBTF9ST0xMJywnKzEnLDQwNDA2LCwsJycp&amp;WINDOW=FIRST_POPUP&amp;HEIGHT=450&amp;WIDTH=450&amp;START_MAXIMIZED=FALSE&amp;VAR:CALENDAR=US&amp;VAR:SYMBOL=98433210&amp;VAR:INDEX=0"}</definedName>
    <definedName name="_7359__FDSAUDITLINK__">{"fdsup://directions/FAT Viewer?action=UPDATE&amp;creator=factset&amp;DYN_ARGS=TRUE&amp;DOC_NAME=FAT:FQL_AUDITING_CLIENT_TEMPLATE.FAT&amp;display_string=Audit&amp;VAR:KEY=ZSVMTORONM&amp;VAR:QUERY=KFBfUFJJQ0UoNDA0MDYpLShGRl9DQVNIX1NUKFFUUiw0MDQwNikvUF9DT01fU0hTX09VVCg0MDQwNikpKS9GR","V9FU1RJTUFURSgnRVBTJywnTUVBTicsJ0FOTlVBTF9ST0xMJywnKzEnLDQwNDA2LCwsJycp&amp;WINDOW=FIRST_POPUP&amp;HEIGHT=450&amp;WIDTH=450&amp;START_MAXIMIZED=FALSE&amp;VAR:CALENDAR=US&amp;VAR:SYMBOL=98433210&amp;VAR:INDEX=0"}</definedName>
    <definedName name="_73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1054"}</definedName>
    <definedName name="_7360__FDSAUDITLINK__">{"fdsup://directions/FAT Viewer?action=UPDATE&amp;creator=factset&amp;DYN_ARGS=TRUE&amp;DOC_NAME=FAT:FQL_AUDITING_CLIENT_TEMPLATE.FAT&amp;display_string=Audit&amp;VAR:KEY=LYBAXQNAHO&amp;VAR:QUERY=KFBfUFJJQ0UoNDA0MDUpLShGRl9DQVNIX1NUKFFUUiw0MDQwNSkvUF9DT01fU0hTX09VVCg0MDQwNSkpKS9GR","V9FU1RJTUFURSgnRVBTJywnTUVBTicsJ0FOTlVBTF9ST0xMJywnKzEnLDQwNDA1LCwsJycp&amp;WINDOW=FIRST_POPUP&amp;HEIGHT=450&amp;WIDTH=450&amp;START_MAXIMIZED=FALSE&amp;VAR:CALENDAR=US&amp;VAR:SYMBOL=98433210&amp;VAR:INDEX=0"}</definedName>
    <definedName name="_7361__FDSAUDITLINK__">{"fdsup://directions/FAT Viewer?action=UPDATE&amp;creator=factset&amp;DYN_ARGS=TRUE&amp;DOC_NAME=FAT:FQL_AUDITING_CLIENT_TEMPLATE.FAT&amp;display_string=Audit&amp;VAR:KEY=LYBAXQNAHO&amp;VAR:QUERY=KFBfUFJJQ0UoNDA0MDUpLShGRl9DQVNIX1NUKFFUUiw0MDQwNSkvUF9DT01fU0hTX09VVCg0MDQwNSkpKS9GR","V9FU1RJTUFURSgnRVBTJywnTUVBTicsJ0FOTlVBTF9ST0xMJywnKzEnLDQwNDA1LCwsJycp&amp;WINDOW=FIRST_POPUP&amp;HEIGHT=450&amp;WIDTH=450&amp;START_MAXIMIZED=FALSE&amp;VAR:CALENDAR=US&amp;VAR:SYMBOL=98433210&amp;VAR:INDEX=0"}</definedName>
    <definedName name="_7362__FDSAUDITLINK__">{"fdsup://directions/FAT Viewer?action=UPDATE&amp;creator=factset&amp;DYN_ARGS=TRUE&amp;DOC_NAME=FAT:FQL_AUDITING_CLIENT_TEMPLATE.FAT&amp;display_string=Audit&amp;VAR:KEY=LYZWTUHSFU&amp;VAR:QUERY=KFBfUFJJQ0UoNDA0MDQpLShGRl9DQVNIX1NUKFFUUiw0MDQwNCkvUF9DT01fU0hTX09VVCg0MDQwNCkpKS9GR","V9FU1RJTUFURSgnRVBTJywnTUVBTicsJ0FOTlVBTF9ST0xMJywnKzEnLDQwNDA0LCwsJycp&amp;WINDOW=FIRST_POPUP&amp;HEIGHT=450&amp;WIDTH=450&amp;START_MAXIMIZED=FALSE&amp;VAR:CALENDAR=US&amp;VAR:SYMBOL=98433210&amp;VAR:INDEX=0"}</definedName>
    <definedName name="_7363__FDSAUDITLINK__">{"fdsup://directions/FAT Viewer?action=UPDATE&amp;creator=factset&amp;DYN_ARGS=TRUE&amp;DOC_NAME=FAT:FQL_AUDITING_CLIENT_TEMPLATE.FAT&amp;display_string=Audit&amp;VAR:KEY=LYZWTUHSFU&amp;VAR:QUERY=KFBfUFJJQ0UoNDA0MDQpLShGRl9DQVNIX1NUKFFUUiw0MDQwNCkvUF9DT01fU0hTX09VVCg0MDQwNCkpKS9GR","V9FU1RJTUFURSgnRVBTJywnTUVBTicsJ0FOTlVBTF9ST0xMJywnKzEnLDQwNDA0LCwsJycp&amp;WINDOW=FIRST_POPUP&amp;HEIGHT=450&amp;WIDTH=450&amp;START_MAXIMIZED=FALSE&amp;VAR:CALENDAR=US&amp;VAR:SYMBOL=98433210&amp;VAR:INDEX=0"}</definedName>
    <definedName name="_7364__FDSAUDITLINK__">{"fdsup://directions/FAT Viewer?action=UPDATE&amp;creator=factset&amp;DYN_ARGS=TRUE&amp;DOC_NAME=FAT:FQL_AUDITING_CLIENT_TEMPLATE.FAT&amp;display_string=Audit&amp;VAR:KEY=FWFIRWJSJC&amp;VAR:QUERY=KFBfUFJJQ0UoNDA0MDMpLShGRl9DQVNIX1NUKFFUUiw0MDQwMykvUF9DT01fU0hTX09VVCg0MDQwMykpKS9GR","V9FU1RJTUFURSgnRVBTJywnTUVBTicsJ0FOTlVBTF9ST0xMJywnKzEnLDQwNDAzLCwsJycp&amp;WINDOW=FIRST_POPUP&amp;HEIGHT=450&amp;WIDTH=450&amp;START_MAXIMIZED=FALSE&amp;VAR:CALENDAR=US&amp;VAR:SYMBOL=98433210&amp;VAR:INDEX=0"}</definedName>
    <definedName name="_7365__FDSAUDITLINK__">{"fdsup://directions/FAT Viewer?action=UPDATE&amp;creator=factset&amp;DYN_ARGS=TRUE&amp;DOC_NAME=FAT:FQL_AUDITING_CLIENT_TEMPLATE.FAT&amp;display_string=Audit&amp;VAR:KEY=FWFIRWJSJC&amp;VAR:QUERY=KFBfUFJJQ0UoNDA0MDMpLShGRl9DQVNIX1NUKFFUUiw0MDQwMykvUF9DT01fU0hTX09VVCg0MDQwMykpKS9GR","V9FU1RJTUFURSgnRVBTJywnTUVBTicsJ0FOTlVBTF9ST0xMJywnKzEnLDQwNDAzLCwsJycp&amp;WINDOW=FIRST_POPUP&amp;HEIGHT=450&amp;WIDTH=450&amp;START_MAXIMIZED=FALSE&amp;VAR:CALENDAR=US&amp;VAR:SYMBOL=98433210&amp;VAR:INDEX=0"}</definedName>
    <definedName name="_7366__FDSAUDITLINK__">{"fdsup://directions/FAT Viewer?action=UPDATE&amp;creator=factset&amp;DYN_ARGS=TRUE&amp;DOC_NAME=FAT:FQL_AUDITING_CLIENT_TEMPLATE.FAT&amp;display_string=Audit&amp;VAR:KEY=LAHEHYHCLO&amp;VAR:QUERY=KFBfUFJJQ0UoNDA0MDIpLShGRl9DQVNIX1NUKFFUUiw0MDQwMikvUF9DT01fU0hTX09VVCg0MDQwMikpKS9GR","V9FU1RJTUFURSgnRVBTJywnTUVBTicsJ0FOTlVBTF9ST0xMJywnKzEnLDQwNDAyLCwsJycp&amp;WINDOW=FIRST_POPUP&amp;HEIGHT=450&amp;WIDTH=450&amp;START_MAXIMIZED=FALSE&amp;VAR:CALENDAR=US&amp;VAR:SYMBOL=98433210&amp;VAR:INDEX=0"}</definedName>
    <definedName name="_7367__FDSAUDITLINK__">{"fdsup://directions/FAT Viewer?action=UPDATE&amp;creator=factset&amp;DYN_ARGS=TRUE&amp;DOC_NAME=FAT:FQL_AUDITING_CLIENT_TEMPLATE.FAT&amp;display_string=Audit&amp;VAR:KEY=LAHEHYHCLO&amp;VAR:QUERY=KFBfUFJJQ0UoNDA0MDIpLShGRl9DQVNIX1NUKFFUUiw0MDQwMikvUF9DT01fU0hTX09VVCg0MDQwMikpKS9GR","V9FU1RJTUFURSgnRVBTJywnTUVBTicsJ0FOTlVBTF9ST0xMJywnKzEnLDQwNDAyLCwsJycp&amp;WINDOW=FIRST_POPUP&amp;HEIGHT=450&amp;WIDTH=450&amp;START_MAXIMIZED=FALSE&amp;VAR:CALENDAR=US&amp;VAR:SYMBOL=98433210&amp;VAR:INDEX=0"}</definedName>
    <definedName name="_7368__FDSAUDITLINK__">{"fdsup://directions/FAT Viewer?action=UPDATE&amp;creator=factset&amp;DYN_ARGS=TRUE&amp;DOC_NAME=FAT:FQL_AUDITING_CLIENT_TEMPLATE.FAT&amp;display_string=Audit&amp;VAR:KEY=FCNAREXELK&amp;VAR:QUERY=KFBfUFJJQ0UoNDA0MDEpLShGRl9DQVNIX1NUKFFUUiw0MDQwMSkvUF9DT01fU0hTX09VVCg0MDQwMSkpKS9GR","V9FU1RJTUFURSgnRVBTJywnTUVBTicsJ0FOTlVBTF9ST0xMJywnKzEnLDQwNDAxLCwsJycp&amp;WINDOW=FIRST_POPUP&amp;HEIGHT=450&amp;WIDTH=450&amp;START_MAXIMIZED=FALSE&amp;VAR:CALENDAR=US&amp;VAR:SYMBOL=98433210&amp;VAR:INDEX=0"}</definedName>
    <definedName name="_7369__FDSAUDITLINK__">{"fdsup://directions/FAT Viewer?action=UPDATE&amp;creator=factset&amp;DYN_ARGS=TRUE&amp;DOC_NAME=FAT:FQL_AUDITING_CLIENT_TEMPLATE.FAT&amp;display_string=Audit&amp;VAR:KEY=FCNAREXELK&amp;VAR:QUERY=KFBfUFJJQ0UoNDA0MDEpLShGRl9DQVNIX1NUKFFUUiw0MDQwMSkvUF9DT01fU0hTX09VVCg0MDQwMSkpKS9GR","V9FU1RJTUFURSgnRVBTJywnTUVBTicsJ0FOTlVBTF9ST0xMJywnKzEnLDQwNDAxLCwsJycp&amp;WINDOW=FIRST_POPUP&amp;HEIGHT=450&amp;WIDTH=450&amp;START_MAXIMIZED=FALSE&amp;VAR:CALENDAR=US&amp;VAR:SYMBOL=98433210&amp;VAR:INDEX=0"}</definedName>
    <definedName name="_73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1053"}</definedName>
    <definedName name="_7370__FDSAUDITLINK__">{"fdsup://directions/FAT Viewer?action=UPDATE&amp;creator=factset&amp;DYN_ARGS=TRUE&amp;DOC_NAME=FAT:FQL_AUDITING_CLIENT_TEMPLATE.FAT&amp;display_string=Audit&amp;VAR:KEY=DSREHOTUVU&amp;VAR:QUERY=KFBfUFJJQ0UoNDA0MDApLShGRl9DQVNIX1NUKFFUUiw0MDQwMCkvUF9DT01fU0hTX09VVCg0MDQwMCkpKS9GR","V9FU1RJTUFURSgnRVBTJywnTUVBTicsJ0FOTlVBTF9ST0xMJywnKzEnLDQwNDAwLCwsJycp&amp;WINDOW=FIRST_POPUP&amp;HEIGHT=450&amp;WIDTH=450&amp;START_MAXIMIZED=FALSE&amp;VAR:CALENDAR=US&amp;VAR:SYMBOL=98433210&amp;VAR:INDEX=0"}</definedName>
    <definedName name="_7371__FDSAUDITLINK__">{"fdsup://directions/FAT Viewer?action=UPDATE&amp;creator=factset&amp;DYN_ARGS=TRUE&amp;DOC_NAME=FAT:FQL_AUDITING_CLIENT_TEMPLATE.FAT&amp;display_string=Audit&amp;VAR:KEY=DSREHOTUVU&amp;VAR:QUERY=KFBfUFJJQ0UoNDA0MDApLShGRl9DQVNIX1NUKFFUUiw0MDQwMCkvUF9DT01fU0hTX09VVCg0MDQwMCkpKS9GR","V9FU1RJTUFURSgnRVBTJywnTUVBTicsJ0FOTlVBTF9ST0xMJywnKzEnLDQwNDAwLCwsJycp&amp;WINDOW=FIRST_POPUP&amp;HEIGHT=450&amp;WIDTH=450&amp;START_MAXIMIZED=FALSE&amp;VAR:CALENDAR=US&amp;VAR:SYMBOL=98433210&amp;VAR:INDEX=0"}</definedName>
    <definedName name="_7372__FDSAUDITLINK__">{"fdsup://directions/FAT Viewer?action=UPDATE&amp;creator=factset&amp;DYN_ARGS=TRUE&amp;DOC_NAME=FAT:FQL_AUDITING_CLIENT_TEMPLATE.FAT&amp;display_string=Audit&amp;VAR:KEY=DWJEBWVMDS&amp;VAR:QUERY=KFBfUFJJQ0UoNDAzOTkpLShGRl9DQVNIX1NUKFFUUiw0MDM5OSkvUF9DT01fU0hTX09VVCg0MDM5OSkpKS9GR","V9FU1RJTUFURSgnRVBTJywnTUVBTicsJ0FOTlVBTF9ST0xMJywnKzEnLDQwMzk5LCwsJycp&amp;WINDOW=FIRST_POPUP&amp;HEIGHT=450&amp;WIDTH=450&amp;START_MAXIMIZED=FALSE&amp;VAR:CALENDAR=US&amp;VAR:SYMBOL=98433210&amp;VAR:INDEX=0"}</definedName>
    <definedName name="_7373__FDSAUDITLINK__">{"fdsup://directions/FAT Viewer?action=UPDATE&amp;creator=factset&amp;DYN_ARGS=TRUE&amp;DOC_NAME=FAT:FQL_AUDITING_CLIENT_TEMPLATE.FAT&amp;display_string=Audit&amp;VAR:KEY=DWJEBWVMDS&amp;VAR:QUERY=KFBfUFJJQ0UoNDAzOTkpLShGRl9DQVNIX1NUKFFUUiw0MDM5OSkvUF9DT01fU0hTX09VVCg0MDM5OSkpKS9GR","V9FU1RJTUFURSgnRVBTJywnTUVBTicsJ0FOTlVBTF9ST0xMJywnKzEnLDQwMzk5LCwsJycp&amp;WINDOW=FIRST_POPUP&amp;HEIGHT=450&amp;WIDTH=450&amp;START_MAXIMIZED=FALSE&amp;VAR:CALENDAR=US&amp;VAR:SYMBOL=98433210&amp;VAR:INDEX=0"}</definedName>
    <definedName name="_7374__FDSAUDITLINK__">{"fdsup://directions/FAT Viewer?action=UPDATE&amp;creator=factset&amp;DYN_ARGS=TRUE&amp;DOC_NAME=FAT:FQL_AUDITING_CLIENT_TEMPLATE.FAT&amp;display_string=Audit&amp;VAR:KEY=PGPSRILWPI&amp;VAR:QUERY=KFBfUFJJQ0UoNDAzOTgpLShGRl9DQVNIX1NUKFFUUiw0MDM5OCkvUF9DT01fU0hTX09VVCg0MDM5OCkpKS9GR","V9FU1RJTUFURSgnRVBTJywnTUVBTicsJ0FOTlVBTF9ST0xMJywnKzEnLDQwMzk4LCwsJycp&amp;WINDOW=FIRST_POPUP&amp;HEIGHT=450&amp;WIDTH=450&amp;START_MAXIMIZED=FALSE&amp;VAR:CALENDAR=US&amp;VAR:SYMBOL=98433210&amp;VAR:INDEX=0"}</definedName>
    <definedName name="_7375__FDSAUDITLINK__">{"fdsup://directions/FAT Viewer?action=UPDATE&amp;creator=factset&amp;DYN_ARGS=TRUE&amp;DOC_NAME=FAT:FQL_AUDITING_CLIENT_TEMPLATE.FAT&amp;display_string=Audit&amp;VAR:KEY=PGPSRILWPI&amp;VAR:QUERY=KFBfUFJJQ0UoNDAzOTgpLShGRl9DQVNIX1NUKFFUUiw0MDM5OCkvUF9DT01fU0hTX09VVCg0MDM5OCkpKS9GR","V9FU1RJTUFURSgnRVBTJywnTUVBTicsJ0FOTlVBTF9ST0xMJywnKzEnLDQwMzk4LCwsJycp&amp;WINDOW=FIRST_POPUP&amp;HEIGHT=450&amp;WIDTH=450&amp;START_MAXIMIZED=FALSE&amp;VAR:CALENDAR=US&amp;VAR:SYMBOL=98433210&amp;VAR:INDEX=0"}</definedName>
    <definedName name="_7376__FDSAUDITLINK__">{"fdsup://directions/FAT Viewer?action=UPDATE&amp;creator=factset&amp;DYN_ARGS=TRUE&amp;DOC_NAME=FAT:FQL_AUDITING_CLIENT_TEMPLATE.FAT&amp;display_string=Audit&amp;VAR:KEY=VARQBYZOBW&amp;VAR:QUERY=KFBfUFJJQ0UoNDAzOTcpLShGRl9DQVNIX1NUKFFUUiw0MDM5NykvUF9DT01fU0hTX09VVCg0MDM5NykpKS9GR","V9FU1RJTUFURSgnRVBTJywnTUVBTicsJ0FOTlVBTF9ST0xMJywnKzEnLDQwMzk3LCwsJycp&amp;WINDOW=FIRST_POPUP&amp;HEIGHT=450&amp;WIDTH=450&amp;START_MAXIMIZED=FALSE&amp;VAR:CALENDAR=US&amp;VAR:SYMBOL=98433210&amp;VAR:INDEX=0"}</definedName>
    <definedName name="_7377__FDSAUDITLINK__">{"fdsup://directions/FAT Viewer?action=UPDATE&amp;creator=factset&amp;DYN_ARGS=TRUE&amp;DOC_NAME=FAT:FQL_AUDITING_CLIENT_TEMPLATE.FAT&amp;display_string=Audit&amp;VAR:KEY=VARQBYZOBW&amp;VAR:QUERY=KFBfUFJJQ0UoNDAzOTcpLShGRl9DQVNIX1NUKFFUUiw0MDM5NykvUF9DT01fU0hTX09VVCg0MDM5NykpKS9GR","V9FU1RJTUFURSgnRVBTJywnTUVBTicsJ0FOTlVBTF9ST0xMJywnKzEnLDQwMzk3LCwsJycp&amp;WINDOW=FIRST_POPUP&amp;HEIGHT=450&amp;WIDTH=450&amp;START_MAXIMIZED=FALSE&amp;VAR:CALENDAR=US&amp;VAR:SYMBOL=98433210&amp;VAR:INDEX=0"}</definedName>
    <definedName name="_7378__FDSAUDITLINK__">{"fdsup://directions/FAT Viewer?action=UPDATE&amp;creator=factset&amp;DYN_ARGS=TRUE&amp;DOC_NAME=FAT:FQL_AUDITING_CLIENT_TEMPLATE.FAT&amp;display_string=Audit&amp;VAR:KEY=DGFELINQHG&amp;VAR:QUERY=KFBfUFJJQ0UoNDAzOTYpLShGRl9DQVNIX1NUKFFUUiw0MDM5NikvUF9DT01fU0hTX09VVCg0MDM5NikpKS9GR","V9FU1RJTUFURSgnRVBTJywnTUVBTicsJ0FOTlVBTF9ST0xMJywnKzEnLDQwMzk2LCwsJycp&amp;WINDOW=FIRST_POPUP&amp;HEIGHT=450&amp;WIDTH=450&amp;START_MAXIMIZED=FALSE&amp;VAR:CALENDAR=US&amp;VAR:SYMBOL=98433210&amp;VAR:INDEX=0"}</definedName>
    <definedName name="_7379__FDSAUDITLINK__">{"fdsup://directions/FAT Viewer?action=UPDATE&amp;creator=factset&amp;DYN_ARGS=TRUE&amp;DOC_NAME=FAT:FQL_AUDITING_CLIENT_TEMPLATE.FAT&amp;display_string=Audit&amp;VAR:KEY=DGFELINQHG&amp;VAR:QUERY=KFBfUFJJQ0UoNDAzOTYpLShGRl9DQVNIX1NUKFFUUiw0MDM5NikvUF9DT01fU0hTX09VVCg0MDM5NikpKS9GR","V9FU1RJTUFURSgnRVBTJywnTUVBTicsJ0FOTlVBTF9ST0xMJywnKzEnLDQwMzk2LCwsJycp&amp;WINDOW=FIRST_POPUP&amp;HEIGHT=450&amp;WIDTH=450&amp;START_MAXIMIZED=FALSE&amp;VAR:CALENDAR=US&amp;VAR:SYMBOL=98433210&amp;VAR:INDEX=0"}</definedName>
    <definedName name="_73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1052"}</definedName>
    <definedName name="_7380__FDSAUDITLINK__">{"fdsup://directions/FAT Viewer?action=UPDATE&amp;creator=factset&amp;DYN_ARGS=TRUE&amp;DOC_NAME=FAT:FQL_AUDITING_CLIENT_TEMPLATE.FAT&amp;display_string=Audit&amp;VAR:KEY=TOBGJUFGRE&amp;VAR:QUERY=KFBfUFJJQ0UoNDAzOTUpLShGRl9DQVNIX1NUKFFUUiw0MDM5NSkvUF9DT01fU0hTX09VVCg0MDM5NSkpKS9GR","V9FU1RJTUFURSgnRVBTJywnTUVBTicsJ0FOTlVBTF9ST0xMJywnKzEnLDQwMzk1LCwsJycp&amp;WINDOW=FIRST_POPUP&amp;HEIGHT=450&amp;WIDTH=450&amp;START_MAXIMIZED=FALSE&amp;VAR:CALENDAR=US&amp;VAR:SYMBOL=98433210&amp;VAR:INDEX=0"}</definedName>
    <definedName name="_7381__FDSAUDITLINK__">{"fdsup://directions/FAT Viewer?action=UPDATE&amp;creator=factset&amp;DYN_ARGS=TRUE&amp;DOC_NAME=FAT:FQL_AUDITING_CLIENT_TEMPLATE.FAT&amp;display_string=Audit&amp;VAR:KEY=TOBGJUFGRE&amp;VAR:QUERY=KFBfUFJJQ0UoNDAzOTUpLShGRl9DQVNIX1NUKFFUUiw0MDM5NSkvUF9DT01fU0hTX09VVCg0MDM5NSkpKS9GR","V9FU1RJTUFURSgnRVBTJywnTUVBTicsJ0FOTlVBTF9ST0xMJywnKzEnLDQwMzk1LCwsJycp&amp;WINDOW=FIRST_POPUP&amp;HEIGHT=450&amp;WIDTH=450&amp;START_MAXIMIZED=FALSE&amp;VAR:CALENDAR=US&amp;VAR:SYMBOL=98433210&amp;VAR:INDEX=0"}</definedName>
    <definedName name="_7382__FDSAUDITLINK__">{"fdsup://directions/FAT Viewer?action=UPDATE&amp;creator=factset&amp;DYN_ARGS=TRUE&amp;DOC_NAME=FAT:FQL_AUDITING_CLIENT_TEMPLATE.FAT&amp;display_string=Audit&amp;VAR:KEY=HOLULWTUDI&amp;VAR:QUERY=KFBfUFJJQ0UoNDAzOTQpLShGRl9DQVNIX1NUKFFUUiw0MDM5NCkvUF9DT01fU0hTX09VVCg0MDM5NCkpKS9GR","V9FU1RJTUFURSgnRVBTJywnTUVBTicsJ0FOTlVBTF9ST0xMJywnKzEnLDQwMzk0LCwsJycp&amp;WINDOW=FIRST_POPUP&amp;HEIGHT=450&amp;WIDTH=450&amp;START_MAXIMIZED=FALSE&amp;VAR:CALENDAR=US&amp;VAR:SYMBOL=98433210&amp;VAR:INDEX=0"}</definedName>
    <definedName name="_7383__FDSAUDITLINK__">{"fdsup://directions/FAT Viewer?action=UPDATE&amp;creator=factset&amp;DYN_ARGS=TRUE&amp;DOC_NAME=FAT:FQL_AUDITING_CLIENT_TEMPLATE.FAT&amp;display_string=Audit&amp;VAR:KEY=HOLULWTUDI&amp;VAR:QUERY=KFBfUFJJQ0UoNDAzOTQpLShGRl9DQVNIX1NUKFFUUiw0MDM5NCkvUF9DT01fU0hTX09VVCg0MDM5NCkpKS9GR","V9FU1RJTUFURSgnRVBTJywnTUVBTicsJ0FOTlVBTF9ST0xMJywnKzEnLDQwMzk0LCwsJycp&amp;WINDOW=FIRST_POPUP&amp;HEIGHT=450&amp;WIDTH=450&amp;START_MAXIMIZED=FALSE&amp;VAR:CALENDAR=US&amp;VAR:SYMBOL=98433210&amp;VAR:INDEX=0"}</definedName>
    <definedName name="_7384__FDSAUDITLINK__">{"fdsup://directions/FAT Viewer?action=UPDATE&amp;creator=factset&amp;DYN_ARGS=TRUE&amp;DOC_NAME=FAT:FQL_AUDITING_CLIENT_TEMPLATE.FAT&amp;display_string=Audit&amp;VAR:KEY=ZQBWDALYHW&amp;VAR:QUERY=KFBfUFJJQ0UoNDAzOTMpLShGRl9DQVNIX1NUKFFUUiw0MDM5MykvUF9DT01fU0hTX09VVCg0MDM5MykpKS9GR","V9FU1RJTUFURSgnRVBTJywnTUVBTicsJ0FOTlVBTF9ST0xMJywnKzEnLDQwMzkzLCwsJycp&amp;WINDOW=FIRST_POPUP&amp;HEIGHT=450&amp;WIDTH=450&amp;START_MAXIMIZED=FALSE&amp;VAR:CALENDAR=US&amp;VAR:SYMBOL=98433210&amp;VAR:INDEX=0"}</definedName>
    <definedName name="_7385__FDSAUDITLINK__">{"fdsup://directions/FAT Viewer?action=UPDATE&amp;creator=factset&amp;DYN_ARGS=TRUE&amp;DOC_NAME=FAT:FQL_AUDITING_CLIENT_TEMPLATE.FAT&amp;display_string=Audit&amp;VAR:KEY=ZQBWDALYHW&amp;VAR:QUERY=KFBfUFJJQ0UoNDAzOTMpLShGRl9DQVNIX1NUKFFUUiw0MDM5MykvUF9DT01fU0hTX09VVCg0MDM5MykpKS9GR","V9FU1RJTUFURSgnRVBTJywnTUVBTicsJ0FOTlVBTF9ST0xMJywnKzEnLDQwMzkzLCwsJycp&amp;WINDOW=FIRST_POPUP&amp;HEIGHT=450&amp;WIDTH=450&amp;START_MAXIMIZED=FALSE&amp;VAR:CALENDAR=US&amp;VAR:SYMBOL=98433210&amp;VAR:INDEX=0"}</definedName>
    <definedName name="_7386__FDSAUDITLINK__">{"fdsup://directions/FAT Viewer?action=UPDATE&amp;creator=factset&amp;DYN_ARGS=TRUE&amp;DOC_NAME=FAT:FQL_AUDITING_CLIENT_TEMPLATE.FAT&amp;display_string=Audit&amp;VAR:KEY=DCHINENORU&amp;VAR:QUERY=KFBfUFJJQ0UoNDAzOTIpLShGRl9DQVNIX1NUKFFUUiw0MDM5MikvUF9DT01fU0hTX09VVCg0MDM5MikpKS9GR","V9FU1RJTUFURSgnRVBTJywnTUVBTicsJ0FOTlVBTF9ST0xMJywnKzEnLDQwMzkyLCwsJycp&amp;WINDOW=FIRST_POPUP&amp;HEIGHT=450&amp;WIDTH=450&amp;START_MAXIMIZED=FALSE&amp;VAR:CALENDAR=US&amp;VAR:SYMBOL=98433210&amp;VAR:INDEX=0"}</definedName>
    <definedName name="_7387__FDSAUDITLINK__">{"fdsup://directions/FAT Viewer?action=UPDATE&amp;creator=factset&amp;DYN_ARGS=TRUE&amp;DOC_NAME=FAT:FQL_AUDITING_CLIENT_TEMPLATE.FAT&amp;display_string=Audit&amp;VAR:KEY=DCHINENORU&amp;VAR:QUERY=KFBfUFJJQ0UoNDAzOTIpLShGRl9DQVNIX1NUKFFUUiw0MDM5MikvUF9DT01fU0hTX09VVCg0MDM5MikpKS9GR","V9FU1RJTUFURSgnRVBTJywnTUVBTicsJ0FOTlVBTF9ST0xMJywnKzEnLDQwMzkyLCwsJycp&amp;WINDOW=FIRST_POPUP&amp;HEIGHT=450&amp;WIDTH=450&amp;START_MAXIMIZED=FALSE&amp;VAR:CALENDAR=US&amp;VAR:SYMBOL=98433210&amp;VAR:INDEX=0"}</definedName>
    <definedName name="_7388__FDSAUDITLINK__">{"fdsup://directions/FAT Viewer?action=UPDATE&amp;creator=factset&amp;DYN_ARGS=TRUE&amp;DOC_NAME=FAT:FQL_AUDITING_CLIENT_TEMPLATE.FAT&amp;display_string=Audit&amp;VAR:KEY=JITSNUZEDA&amp;VAR:QUERY=KFBfUFJJQ0UoNDAzOTEpLShGRl9DQVNIX1NUKFFUUiw0MDM5MSkvUF9DT01fU0hTX09VVCg0MDM5MSkpKS9GR","V9FU1RJTUFURSgnRVBTJywnTUVBTicsJ0FOTlVBTF9ST0xMJywnKzEnLDQwMzkxLCwsJycp&amp;WINDOW=FIRST_POPUP&amp;HEIGHT=450&amp;WIDTH=450&amp;START_MAXIMIZED=FALSE&amp;VAR:CALENDAR=US&amp;VAR:SYMBOL=98433210&amp;VAR:INDEX=0"}</definedName>
    <definedName name="_7389__FDSAUDITLINK__">{"fdsup://directions/FAT Viewer?action=UPDATE&amp;creator=factset&amp;DYN_ARGS=TRUE&amp;DOC_NAME=FAT:FQL_AUDITING_CLIENT_TEMPLATE.FAT&amp;display_string=Audit&amp;VAR:KEY=JITSNUZEDA&amp;VAR:QUERY=KFBfUFJJQ0UoNDAzOTEpLShGRl9DQVNIX1NUKFFUUiw0MDM5MSkvUF9DT01fU0hTX09VVCg0MDM5MSkpKS9GR","V9FU1RJTUFURSgnRVBTJywnTUVBTicsJ0FOTlVBTF9ST0xMJywnKzEnLDQwMzkxLCwsJycp&amp;WINDOW=FIRST_POPUP&amp;HEIGHT=450&amp;WIDTH=450&amp;START_MAXIMIZED=FALSE&amp;VAR:CALENDAR=US&amp;VAR:SYMBOL=98433210&amp;VAR:INDEX=0"}</definedName>
    <definedName name="_73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1051"}</definedName>
    <definedName name="_7390__FDSAUDITLINK__">{"fdsup://directions/FAT Viewer?action=UPDATE&amp;creator=factset&amp;DYN_ARGS=TRUE&amp;DOC_NAME=FAT:FQL_AUDITING_CLIENT_TEMPLATE.FAT&amp;display_string=Audit&amp;VAR:KEY=XEXSDSJYLO&amp;VAR:QUERY=KFBfUFJJQ0UoNDAzOTApLShGRl9DQVNIX1NUKFFUUiw0MDM5MCkvUF9DT01fU0hTX09VVCg0MDM5MCkpKS9GR","V9FU1RJTUFURSgnRVBTJywnTUVBTicsJ0FOTlVBTF9ST0xMJywnKzEnLDQwMzkwLCwsJycp&amp;WINDOW=FIRST_POPUP&amp;HEIGHT=450&amp;WIDTH=450&amp;START_MAXIMIZED=FALSE&amp;VAR:CALENDAR=US&amp;VAR:SYMBOL=98433210&amp;VAR:INDEX=0"}</definedName>
    <definedName name="_7391__FDSAUDITLINK__">{"fdsup://directions/FAT Viewer?action=UPDATE&amp;creator=factset&amp;DYN_ARGS=TRUE&amp;DOC_NAME=FAT:FQL_AUDITING_CLIENT_TEMPLATE.FAT&amp;display_string=Audit&amp;VAR:KEY=XEXSDSJYLO&amp;VAR:QUERY=KFBfUFJJQ0UoNDAzOTApLShGRl9DQVNIX1NUKFFUUiw0MDM5MCkvUF9DT01fU0hTX09VVCg0MDM5MCkpKS9GR","V9FU1RJTUFURSgnRVBTJywnTUVBTicsJ0FOTlVBTF9ST0xMJywnKzEnLDQwMzkwLCwsJycp&amp;WINDOW=FIRST_POPUP&amp;HEIGHT=450&amp;WIDTH=450&amp;START_MAXIMIZED=FALSE&amp;VAR:CALENDAR=US&amp;VAR:SYMBOL=98433210&amp;VAR:INDEX=0"}</definedName>
    <definedName name="_7392__FDSAUDITLINK__">{"fdsup://directions/FAT Viewer?action=UPDATE&amp;creator=factset&amp;DYN_ARGS=TRUE&amp;DOC_NAME=FAT:FQL_AUDITING_CLIENT_TEMPLATE.FAT&amp;display_string=Audit&amp;VAR:KEY=ZYBMDWLEPA&amp;VAR:QUERY=KFBfUFJJQ0UoNDAzODkpLShGRl9DQVNIX1NUKFFUUiw0MDM4OSkvUF9DT01fU0hTX09VVCg0MDM4OSkpKS9GR","V9FU1RJTUFURSgnRVBTJywnTUVBTicsJ0FOTlVBTF9ST0xMJywnKzEnLDQwMzg5LCwsJycp&amp;WINDOW=FIRST_POPUP&amp;HEIGHT=450&amp;WIDTH=450&amp;START_MAXIMIZED=FALSE&amp;VAR:CALENDAR=US&amp;VAR:SYMBOL=98433210&amp;VAR:INDEX=0"}</definedName>
    <definedName name="_7393__FDSAUDITLINK__">{"fdsup://directions/FAT Viewer?action=UPDATE&amp;creator=factset&amp;DYN_ARGS=TRUE&amp;DOC_NAME=FAT:FQL_AUDITING_CLIENT_TEMPLATE.FAT&amp;display_string=Audit&amp;VAR:KEY=ZYBMDWLEPA&amp;VAR:QUERY=KFBfUFJJQ0UoNDAzODkpLShGRl9DQVNIX1NUKFFUUiw0MDM4OSkvUF9DT01fU0hTX09VVCg0MDM4OSkpKS9GR","V9FU1RJTUFURSgnRVBTJywnTUVBTicsJ0FOTlVBTF9ST0xMJywnKzEnLDQwMzg5LCwsJycp&amp;WINDOW=FIRST_POPUP&amp;HEIGHT=450&amp;WIDTH=450&amp;START_MAXIMIZED=FALSE&amp;VAR:CALENDAR=US&amp;VAR:SYMBOL=98433210&amp;VAR:INDEX=0"}</definedName>
    <definedName name="_7394__FDSAUDITLINK__">{"fdsup://directions/FAT Viewer?action=UPDATE&amp;creator=factset&amp;DYN_ARGS=TRUE&amp;DOC_NAME=FAT:FQL_AUDITING_CLIENT_TEMPLATE.FAT&amp;display_string=Audit&amp;VAR:KEY=VULGXGZGXE&amp;VAR:QUERY=KFBfUFJJQ0UoNDAzODgpLShGRl9DQVNIX1NUKFFUUiw0MDM4OCkvUF9DT01fU0hTX09VVCg0MDM4OCkpKS9GR","V9FU1RJTUFURSgnRVBTJywnTUVBTicsJ0FOTlVBTF9ST0xMJywnKzEnLDQwMzg4LCwsJycp&amp;WINDOW=FIRST_POPUP&amp;HEIGHT=450&amp;WIDTH=450&amp;START_MAXIMIZED=FALSE&amp;VAR:CALENDAR=US&amp;VAR:SYMBOL=98433210&amp;VAR:INDEX=0"}</definedName>
    <definedName name="_7395__FDSAUDITLINK__">{"fdsup://directions/FAT Viewer?action=UPDATE&amp;creator=factset&amp;DYN_ARGS=TRUE&amp;DOC_NAME=FAT:FQL_AUDITING_CLIENT_TEMPLATE.FAT&amp;display_string=Audit&amp;VAR:KEY=VULGXGZGXE&amp;VAR:QUERY=KFBfUFJJQ0UoNDAzODgpLShGRl9DQVNIX1NUKFFUUiw0MDM4OCkvUF9DT01fU0hTX09VVCg0MDM4OCkpKS9GR","V9FU1RJTUFURSgnRVBTJywnTUVBTicsJ0FOTlVBTF9ST0xMJywnKzEnLDQwMzg4LCwsJycp&amp;WINDOW=FIRST_POPUP&amp;HEIGHT=450&amp;WIDTH=450&amp;START_MAXIMIZED=FALSE&amp;VAR:CALENDAR=US&amp;VAR:SYMBOL=98433210&amp;VAR:INDEX=0"}</definedName>
    <definedName name="_7396__FDSAUDITLINK__">{"fdsup://directions/FAT Viewer?action=UPDATE&amp;creator=factset&amp;DYN_ARGS=TRUE&amp;DOC_NAME=FAT:FQL_AUDITING_CLIENT_TEMPLATE.FAT&amp;display_string=Audit&amp;VAR:KEY=BGTGPEPQBO&amp;VAR:QUERY=KFBfUFJJQ0UoNDAzODcpLShGRl9DQVNIX1NUKFFUUiw0MDM4NykvUF9DT01fU0hTX09VVCg0MDM4NykpKS9GR","V9FU1RJTUFURSgnRVBTJywnTUVBTicsJ0FOTlVBTF9ST0xMJywnKzEnLDQwMzg3LCwsJycp&amp;WINDOW=FIRST_POPUP&amp;HEIGHT=450&amp;WIDTH=450&amp;START_MAXIMIZED=FALSE&amp;VAR:CALENDAR=US&amp;VAR:SYMBOL=98433210&amp;VAR:INDEX=0"}</definedName>
    <definedName name="_7397__FDSAUDITLINK__">{"fdsup://directions/FAT Viewer?action=UPDATE&amp;creator=factset&amp;DYN_ARGS=TRUE&amp;DOC_NAME=FAT:FQL_AUDITING_CLIENT_TEMPLATE.FAT&amp;display_string=Audit&amp;VAR:KEY=BGTGPEPQBO&amp;VAR:QUERY=KFBfUFJJQ0UoNDAzODcpLShGRl9DQVNIX1NUKFFUUiw0MDM4NykvUF9DT01fU0hTX09VVCg0MDM4NykpKS9GR","V9FU1RJTUFURSgnRVBTJywnTUVBTicsJ0FOTlVBTF9ST0xMJywnKzEnLDQwMzg3LCwsJycp&amp;WINDOW=FIRST_POPUP&amp;HEIGHT=450&amp;WIDTH=450&amp;START_MAXIMIZED=FALSE&amp;VAR:CALENDAR=US&amp;VAR:SYMBOL=98433210&amp;VAR:INDEX=0"}</definedName>
    <definedName name="_7398__FDSAUDITLINK__">{"fdsup://directions/FAT Viewer?action=UPDATE&amp;creator=factset&amp;DYN_ARGS=TRUE&amp;DOC_NAME=FAT:FQL_AUDITING_CLIENT_TEMPLATE.FAT&amp;display_string=Audit&amp;VAR:KEY=LGFWHKXUVC&amp;VAR:QUERY=KFBfUFJJQ0UoNDAzODYpLShGRl9DQVNIX1NUKFFUUiw0MDM4NikvUF9DT01fU0hTX09VVCg0MDM4NikpKS9GR","V9FU1RJTUFURSgnRVBTJywnTUVBTicsJ0FOTlVBTF9ST0xMJywnKzEnLDQwMzg2LCwsJycp&amp;WINDOW=FIRST_POPUP&amp;HEIGHT=450&amp;WIDTH=450&amp;START_MAXIMIZED=FALSE&amp;VAR:CALENDAR=US&amp;VAR:SYMBOL=98433210&amp;VAR:INDEX=0"}</definedName>
    <definedName name="_7399__FDSAUDITLINK__">{"fdsup://directions/FAT Viewer?action=UPDATE&amp;creator=factset&amp;DYN_ARGS=TRUE&amp;DOC_NAME=FAT:FQL_AUDITING_CLIENT_TEMPLATE.FAT&amp;display_string=Audit&amp;VAR:KEY=LGFWHKXUVC&amp;VAR:QUERY=KFBfUFJJQ0UoNDAzODYpLShGRl9DQVNIX1NUKFFUUiw0MDM4NikvUF9DT01fU0hTX09VVCg0MDM4NikpKS9GR","V9FU1RJTUFURSgnRVBTJywnTUVBTicsJ0FOTlVBTF9ST0xMJywnKzEnLDQwMzg2LCwsJycp&amp;WINDOW=FIRST_POPUP&amp;HEIGHT=450&amp;WIDTH=450&amp;START_MAXIMIZED=FALSE&amp;VAR:CALENDAR=US&amp;VAR:SYMBOL=98433210&amp;VAR:INDEX=0"}</definedName>
    <definedName name="_7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0.997260&amp;VAR:V=15.009019&amp;VAR:V0=16.896282&amp;VAR:V1=15.004415&amp;VAR:Y0=2005&amp;VAR:Y1=2006&amp;VAR:P=1248.293000&amp;VAR:DATE=20051230&amp;VAR:THRESH=-|-|","-|-|-|-|-"}</definedName>
    <definedName name="_74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1050"}</definedName>
    <definedName name="_7400__FDSAUDITLINK__">{"fdsup://directions/FAT Viewer?action=UPDATE&amp;creator=factset&amp;DYN_ARGS=TRUE&amp;DOC_NAME=FAT:FQL_AUDITING_CLIENT_TEMPLATE.FAT&amp;display_string=Audit&amp;VAR:KEY=HWDIBYFKDU&amp;VAR:QUERY=KFBfUFJJQ0UoNDAzODUpLShGRl9DQVNIX1NUKFFUUiw0MDM4NSkvUF9DT01fU0hTX09VVCg0MDM4NSkpKS9GR","V9FU1RJTUFURSgnRVBTJywnTUVBTicsJ0FOTlVBTF9ST0xMJywnKzEnLDQwMzg1LCwsJycp&amp;WINDOW=FIRST_POPUP&amp;HEIGHT=450&amp;WIDTH=450&amp;START_MAXIMIZED=FALSE&amp;VAR:CALENDAR=US&amp;VAR:SYMBOL=98433210&amp;VAR:INDEX=0"}</definedName>
    <definedName name="_7401__FDSAUDITLINK__">{"fdsup://directions/FAT Viewer?action=UPDATE&amp;creator=factset&amp;DYN_ARGS=TRUE&amp;DOC_NAME=FAT:FQL_AUDITING_CLIENT_TEMPLATE.FAT&amp;display_string=Audit&amp;VAR:KEY=HWDIBYFKDU&amp;VAR:QUERY=KFBfUFJJQ0UoNDAzODUpLShGRl9DQVNIX1NUKFFUUiw0MDM4NSkvUF9DT01fU0hTX09VVCg0MDM4NSkpKS9GR","V9FU1RJTUFURSgnRVBTJywnTUVBTicsJ0FOTlVBTF9ST0xMJywnKzEnLDQwMzg1LCwsJycp&amp;WINDOW=FIRST_POPUP&amp;HEIGHT=450&amp;WIDTH=450&amp;START_MAXIMIZED=FALSE&amp;VAR:CALENDAR=US&amp;VAR:SYMBOL=98433210&amp;VAR:INDEX=0"}</definedName>
    <definedName name="_7402__FDSAUDITLINK__">{"fdsup://directions/FAT Viewer?action=UPDATE&amp;creator=factset&amp;DYN_ARGS=TRUE&amp;DOC_NAME=FAT:FQL_AUDITING_CLIENT_TEMPLATE.FAT&amp;display_string=Audit&amp;VAR:KEY=HMHKLCDYXU&amp;VAR:QUERY=KFBfUFJJQ0UoNDAzODQpLShGRl9DQVNIX1NUKFFUUiw0MDM4NCkvUF9DT01fU0hTX09VVCg0MDM4NCkpKS9GR","V9FU1RJTUFURSgnRVBTJywnTUVBTicsJ0FOTlVBTF9ST0xMJywnKzEnLDQwMzg0LCwsJycp&amp;WINDOW=FIRST_POPUP&amp;HEIGHT=450&amp;WIDTH=450&amp;START_MAXIMIZED=FALSE&amp;VAR:CALENDAR=US&amp;VAR:SYMBOL=98433210&amp;VAR:INDEX=0"}</definedName>
    <definedName name="_7403__FDSAUDITLINK__">{"fdsup://directions/FAT Viewer?action=UPDATE&amp;creator=factset&amp;DYN_ARGS=TRUE&amp;DOC_NAME=FAT:FQL_AUDITING_CLIENT_TEMPLATE.FAT&amp;display_string=Audit&amp;VAR:KEY=HMHKLCDYXU&amp;VAR:QUERY=KFBfUFJJQ0UoNDAzODQpLShGRl9DQVNIX1NUKFFUUiw0MDM4NCkvUF9DT01fU0hTX09VVCg0MDM4NCkpKS9GR","V9FU1RJTUFURSgnRVBTJywnTUVBTicsJ0FOTlVBTF9ST0xMJywnKzEnLDQwMzg0LCwsJycp&amp;WINDOW=FIRST_POPUP&amp;HEIGHT=450&amp;WIDTH=450&amp;START_MAXIMIZED=FALSE&amp;VAR:CALENDAR=US&amp;VAR:SYMBOL=98433210&amp;VAR:INDEX=0"}</definedName>
    <definedName name="_7404__FDSAUDITLINK__">{"fdsup://directions/FAT Viewer?action=UPDATE&amp;creator=factset&amp;DYN_ARGS=TRUE&amp;DOC_NAME=FAT:FQL_AUDITING_CLIENT_TEMPLATE.FAT&amp;display_string=Audit&amp;VAR:KEY=BOHMFIFIXU&amp;VAR:QUERY=KFBfUFJJQ0UoNDAzODMpLShGRl9DQVNIX1NUKFFUUiw0MDM4MykvUF9DT01fU0hTX09VVCg0MDM4MykpKS9GR","V9FU1RJTUFURSgnRVBTJywnTUVBTicsJ0FOTlVBTF9ST0xMJywnKzEnLDQwMzgzLCwsJycp&amp;WINDOW=FIRST_POPUP&amp;HEIGHT=450&amp;WIDTH=450&amp;START_MAXIMIZED=FALSE&amp;VAR:CALENDAR=US&amp;VAR:SYMBOL=98433210&amp;VAR:INDEX=0"}</definedName>
    <definedName name="_7405__FDSAUDITLINK__">{"fdsup://directions/FAT Viewer?action=UPDATE&amp;creator=factset&amp;DYN_ARGS=TRUE&amp;DOC_NAME=FAT:FQL_AUDITING_CLIENT_TEMPLATE.FAT&amp;display_string=Audit&amp;VAR:KEY=BOHMFIFIXU&amp;VAR:QUERY=KFBfUFJJQ0UoNDAzODMpLShGRl9DQVNIX1NUKFFUUiw0MDM4MykvUF9DT01fU0hTX09VVCg0MDM4MykpKS9GR","V9FU1RJTUFURSgnRVBTJywnTUVBTicsJ0FOTlVBTF9ST0xMJywnKzEnLDQwMzgzLCwsJycp&amp;WINDOW=FIRST_POPUP&amp;HEIGHT=450&amp;WIDTH=450&amp;START_MAXIMIZED=FALSE&amp;VAR:CALENDAR=US&amp;VAR:SYMBOL=98433210&amp;VAR:INDEX=0"}</definedName>
    <definedName name="_7406__FDSAUDITLINK__">{"fdsup://directions/FAT Viewer?action=UPDATE&amp;creator=factset&amp;DYN_ARGS=TRUE&amp;DOC_NAME=FAT:FQL_AUDITING_CLIENT_TEMPLATE.FAT&amp;display_string=Audit&amp;VAR:KEY=FMNCVCTILM&amp;VAR:QUERY=KFBfUFJJQ0UoNDAzODIpLShGRl9DQVNIX1NUKFFUUiw0MDM4MikvUF9DT01fU0hTX09VVCg0MDM4MikpKS9GR","V9FU1RJTUFURSgnRVBTJywnTUVBTicsJ0FOTlVBTF9ST0xMJywnKzEnLDQwMzgyLCwsJycp&amp;WINDOW=FIRST_POPUP&amp;HEIGHT=450&amp;WIDTH=450&amp;START_MAXIMIZED=FALSE&amp;VAR:CALENDAR=US&amp;VAR:SYMBOL=98433210&amp;VAR:INDEX=0"}</definedName>
    <definedName name="_7407__FDSAUDITLINK__">{"fdsup://directions/FAT Viewer?action=UPDATE&amp;creator=factset&amp;DYN_ARGS=TRUE&amp;DOC_NAME=FAT:FQL_AUDITING_CLIENT_TEMPLATE.FAT&amp;display_string=Audit&amp;VAR:KEY=FMNCVCTILM&amp;VAR:QUERY=KFBfUFJJQ0UoNDAzODIpLShGRl9DQVNIX1NUKFFUUiw0MDM4MikvUF9DT01fU0hTX09VVCg0MDM4MikpKS9GR","V9FU1RJTUFURSgnRVBTJywnTUVBTicsJ0FOTlVBTF9ST0xMJywnKzEnLDQwMzgyLCwsJycp&amp;WINDOW=FIRST_POPUP&amp;HEIGHT=450&amp;WIDTH=450&amp;START_MAXIMIZED=FALSE&amp;VAR:CALENDAR=US&amp;VAR:SYMBOL=98433210&amp;VAR:INDEX=0"}</definedName>
    <definedName name="_7408__FDSAUDITLINK__">{"fdsup://directions/FAT Viewer?action=UPDATE&amp;creator=factset&amp;DYN_ARGS=TRUE&amp;DOC_NAME=FAT:FQL_AUDITING_CLIENT_TEMPLATE.FAT&amp;display_string=Audit&amp;VAR:KEY=XALUHORWLU&amp;VAR:QUERY=KFBfUFJJQ0UoNDAzODEpLShGRl9DQVNIX1NUKFFUUiw0MDM4MSkvUF9DT01fU0hTX09VVCg0MDM4MSkpKS9GR","V9FU1RJTUFURSgnRVBTJywnTUVBTicsJ0FOTlVBTF9ST0xMJywnKzEnLDQwMzgxLCwsJycp&amp;WINDOW=FIRST_POPUP&amp;HEIGHT=450&amp;WIDTH=450&amp;START_MAXIMIZED=FALSE&amp;VAR:CALENDAR=US&amp;VAR:SYMBOL=98433210&amp;VAR:INDEX=0"}</definedName>
    <definedName name="_7409__FDSAUDITLINK__">{"fdsup://directions/FAT Viewer?action=UPDATE&amp;creator=factset&amp;DYN_ARGS=TRUE&amp;DOC_NAME=FAT:FQL_AUDITING_CLIENT_TEMPLATE.FAT&amp;display_string=Audit&amp;VAR:KEY=XALUHORWLU&amp;VAR:QUERY=KFBfUFJJQ0UoNDAzODEpLShGRl9DQVNIX1NUKFFUUiw0MDM4MSkvUF9DT01fU0hTX09VVCg0MDM4MSkpKS9GR","V9FU1RJTUFURSgnRVBTJywnTUVBTicsJ0FOTlVBTF9ST0xMJywnKzEnLDQwMzgxLCwsJycp&amp;WINDOW=FIRST_POPUP&amp;HEIGHT=450&amp;WIDTH=450&amp;START_MAXIMIZED=FALSE&amp;VAR:CALENDAR=US&amp;VAR:SYMBOL=98433210&amp;VAR:INDEX=0"}</definedName>
    <definedName name="_74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1049"}</definedName>
    <definedName name="_7410__FDSAUDITLINK__">{"fdsup://directions/FAT Viewer?action=UPDATE&amp;creator=factset&amp;DYN_ARGS=TRUE&amp;DOC_NAME=FAT:FQL_AUDITING_CLIENT_TEMPLATE.FAT&amp;display_string=Audit&amp;VAR:KEY=TOHGPOVOLG&amp;VAR:QUERY=KFBfUFJJQ0UoNDAzODApLShGRl9DQVNIX1NUKFFUUiw0MDM4MCkvUF9DT01fU0hTX09VVCg0MDM4MCkpKS9GR","V9FU1RJTUFURSgnRVBTJywnTUVBTicsJ0FOTlVBTF9ST0xMJywnKzEnLDQwMzgwLCwsJycp&amp;WINDOW=FIRST_POPUP&amp;HEIGHT=450&amp;WIDTH=450&amp;START_MAXIMIZED=FALSE&amp;VAR:CALENDAR=US&amp;VAR:SYMBOL=98433210&amp;VAR:INDEX=0"}</definedName>
    <definedName name="_7411__FDSAUDITLINK__">{"fdsup://directions/FAT Viewer?action=UPDATE&amp;creator=factset&amp;DYN_ARGS=TRUE&amp;DOC_NAME=FAT:FQL_AUDITING_CLIENT_TEMPLATE.FAT&amp;display_string=Audit&amp;VAR:KEY=TOHGPOVOLG&amp;VAR:QUERY=KFBfUFJJQ0UoNDAzODApLShGRl9DQVNIX1NUKFFUUiw0MDM4MCkvUF9DT01fU0hTX09VVCg0MDM4MCkpKS9GR","V9FU1RJTUFURSgnRVBTJywnTUVBTicsJ0FOTlVBTF9ST0xMJywnKzEnLDQwMzgwLCwsJycp&amp;WINDOW=FIRST_POPUP&amp;HEIGHT=450&amp;WIDTH=450&amp;START_MAXIMIZED=FALSE&amp;VAR:CALENDAR=US&amp;VAR:SYMBOL=98433210&amp;VAR:INDEX=0"}</definedName>
    <definedName name="_7412__FDSAUDITLINK__">{"fdsup://directions/FAT Viewer?action=UPDATE&amp;creator=factset&amp;DYN_ARGS=TRUE&amp;DOC_NAME=FAT:FQL_AUDITING_CLIENT_TEMPLATE.FAT&amp;display_string=Audit&amp;VAR:KEY=JWDUNYNUHO&amp;VAR:QUERY=KFBfUFJJQ0UoNDAzNzkpLShGRl9DQVNIX1NUKFFUUiw0MDM3OSkvUF9DT01fU0hTX09VVCg0MDM3OSkpKS9GR","V9FU1RJTUFURSgnRVBTJywnTUVBTicsJ0FOTlVBTF9ST0xMJywnKzEnLDQwMzc5LCwsJycp&amp;WINDOW=FIRST_POPUP&amp;HEIGHT=450&amp;WIDTH=450&amp;START_MAXIMIZED=FALSE&amp;VAR:CALENDAR=US&amp;VAR:SYMBOL=98433210&amp;VAR:INDEX=0"}</definedName>
    <definedName name="_7413__FDSAUDITLINK__">{"fdsup://directions/FAT Viewer?action=UPDATE&amp;creator=factset&amp;DYN_ARGS=TRUE&amp;DOC_NAME=FAT:FQL_AUDITING_CLIENT_TEMPLATE.FAT&amp;display_string=Audit&amp;VAR:KEY=JWDUNYNUHO&amp;VAR:QUERY=KFBfUFJJQ0UoNDAzNzkpLShGRl9DQVNIX1NUKFFUUiw0MDM3OSkvUF9DT01fU0hTX09VVCg0MDM3OSkpKS9GR","V9FU1RJTUFURSgnRVBTJywnTUVBTicsJ0FOTlVBTF9ST0xMJywnKzEnLDQwMzc5LCwsJycp&amp;WINDOW=FIRST_POPUP&amp;HEIGHT=450&amp;WIDTH=450&amp;START_MAXIMIZED=FALSE&amp;VAR:CALENDAR=US&amp;VAR:SYMBOL=98433210&amp;VAR:INDEX=0"}</definedName>
    <definedName name="_7414__FDSAUDITLINK__">{"fdsup://directions/FAT Viewer?action=UPDATE&amp;creator=factset&amp;DYN_ARGS=TRUE&amp;DOC_NAME=FAT:FQL_AUDITING_CLIENT_TEMPLATE.FAT&amp;display_string=Audit&amp;VAR:KEY=PQNOJCLMNI&amp;VAR:QUERY=KFBfUFJJQ0UoNDAzNzgpLShGRl9DQVNIX1NUKFFUUiw0MDM3OCkvUF9DT01fU0hTX09VVCg0MDM3OCkpKS9GR","V9FU1RJTUFURSgnRVBTJywnTUVBTicsJ0FOTlVBTF9ST0xMJywnKzEnLDQwMzc4LCwsJycp&amp;WINDOW=FIRST_POPUP&amp;HEIGHT=450&amp;WIDTH=450&amp;START_MAXIMIZED=FALSE&amp;VAR:CALENDAR=US&amp;VAR:SYMBOL=98433210&amp;VAR:INDEX=0"}</definedName>
    <definedName name="_7415__FDSAUDITLINK__">{"fdsup://directions/FAT Viewer?action=UPDATE&amp;creator=factset&amp;DYN_ARGS=TRUE&amp;DOC_NAME=FAT:FQL_AUDITING_CLIENT_TEMPLATE.FAT&amp;display_string=Audit&amp;VAR:KEY=PQNOJCLMNI&amp;VAR:QUERY=KFBfUFJJQ0UoNDAzNzgpLShGRl9DQVNIX1NUKFFUUiw0MDM3OCkvUF9DT01fU0hTX09VVCg0MDM3OCkpKS9GR","V9FU1RJTUFURSgnRVBTJywnTUVBTicsJ0FOTlVBTF9ST0xMJywnKzEnLDQwMzc4LCwsJycp&amp;WINDOW=FIRST_POPUP&amp;HEIGHT=450&amp;WIDTH=450&amp;START_MAXIMIZED=FALSE&amp;VAR:CALENDAR=US&amp;VAR:SYMBOL=98433210&amp;VAR:INDEX=0"}</definedName>
    <definedName name="_7416__FDSAUDITLINK__">{"fdsup://directions/FAT Viewer?action=UPDATE&amp;creator=factset&amp;DYN_ARGS=TRUE&amp;DOC_NAME=FAT:FQL_AUDITING_CLIENT_TEMPLATE.FAT&amp;display_string=Audit&amp;VAR:KEY=DMHCNIHODU&amp;VAR:QUERY=KFBfUFJJQ0UoNDAzNzcpLShGRl9DQVNIX1NUKFFUUiw0MDM3NykvUF9DT01fU0hTX09VVCg0MDM3NykpKS9GR","V9FU1RJTUFURSgnRVBTJywnTUVBTicsJ0FOTlVBTF9ST0xMJywnKzEnLDQwMzc3LCwsJycp&amp;WINDOW=FIRST_POPUP&amp;HEIGHT=450&amp;WIDTH=450&amp;START_MAXIMIZED=FALSE&amp;VAR:CALENDAR=US&amp;VAR:SYMBOL=98433210&amp;VAR:INDEX=0"}</definedName>
    <definedName name="_7417__FDSAUDITLINK__">{"fdsup://directions/FAT Viewer?action=UPDATE&amp;creator=factset&amp;DYN_ARGS=TRUE&amp;DOC_NAME=FAT:FQL_AUDITING_CLIENT_TEMPLATE.FAT&amp;display_string=Audit&amp;VAR:KEY=DMHCNIHODU&amp;VAR:QUERY=KFBfUFJJQ0UoNDAzNzcpLShGRl9DQVNIX1NUKFFUUiw0MDM3NykvUF9DT01fU0hTX09VVCg0MDM3NykpKS9GR","V9FU1RJTUFURSgnRVBTJywnTUVBTicsJ0FOTlVBTF9ST0xMJywnKzEnLDQwMzc3LCwsJycp&amp;WINDOW=FIRST_POPUP&amp;HEIGHT=450&amp;WIDTH=450&amp;START_MAXIMIZED=FALSE&amp;VAR:CALENDAR=US&amp;VAR:SYMBOL=98433210&amp;VAR:INDEX=0"}</definedName>
    <definedName name="_7418__FDSAUDITLINK__">{"fdsup://directions/FAT Viewer?action=UPDATE&amp;creator=factset&amp;DYN_ARGS=TRUE&amp;DOC_NAME=FAT:FQL_AUDITING_CLIENT_TEMPLATE.FAT&amp;display_string=Audit&amp;VAR:KEY=TAREPUDUXQ&amp;VAR:QUERY=KFBfUFJJQ0UoNDAzNzYpLShGRl9DQVNIX1NUKFFUUiw0MDM3NikvUF9DT01fU0hTX09VVCg0MDM3NikpKS9GR","V9FU1RJTUFURSgnRVBTJywnTUVBTicsJ0FOTlVBTF9ST0xMJywnKzEnLDQwMzc2LCwsJycp&amp;WINDOW=FIRST_POPUP&amp;HEIGHT=450&amp;WIDTH=450&amp;START_MAXIMIZED=FALSE&amp;VAR:CALENDAR=US&amp;VAR:SYMBOL=98433210&amp;VAR:INDEX=0"}</definedName>
    <definedName name="_7419__FDSAUDITLINK__">{"fdsup://directions/FAT Viewer?action=UPDATE&amp;creator=factset&amp;DYN_ARGS=TRUE&amp;DOC_NAME=FAT:FQL_AUDITING_CLIENT_TEMPLATE.FAT&amp;display_string=Audit&amp;VAR:KEY=TAREPUDUXQ&amp;VAR:QUERY=KFBfUFJJQ0UoNDAzNzYpLShGRl9DQVNIX1NUKFFUUiw0MDM3NikvUF9DT01fU0hTX09VVCg0MDM3NikpKS9GR","V9FU1RJTUFURSgnRVBTJywnTUVBTicsJ0FOTlVBTF9ST0xMJywnKzEnLDQwMzc2LCwsJycp&amp;WINDOW=FIRST_POPUP&amp;HEIGHT=450&amp;WIDTH=450&amp;START_MAXIMIZED=FALSE&amp;VAR:CALENDAR=US&amp;VAR:SYMBOL=98433210&amp;VAR:INDEX=0"}</definedName>
    <definedName name="_74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1048"}</definedName>
    <definedName name="_7420__FDSAUDITLINK__">{"fdsup://directions/FAT Viewer?action=UPDATE&amp;creator=factset&amp;DYN_ARGS=TRUE&amp;DOC_NAME=FAT:FQL_AUDITING_CLIENT_TEMPLATE.FAT&amp;display_string=Audit&amp;VAR:KEY=VCTOLERADQ&amp;VAR:QUERY=KFBfUFJJQ0UoNDAzNzUpLShGRl9DQVNIX1NUKFFUUiw0MDM3NSkvUF9DT01fU0hTX09VVCg0MDM3NSkpKS9GR","V9FU1RJTUFURSgnRVBTJywnTUVBTicsJ0FOTlVBTF9ST0xMJywnKzEnLDQwMzc1LCwsJycp&amp;WINDOW=FIRST_POPUP&amp;HEIGHT=450&amp;WIDTH=450&amp;START_MAXIMIZED=FALSE&amp;VAR:CALENDAR=US&amp;VAR:SYMBOL=98433210&amp;VAR:INDEX=0"}</definedName>
    <definedName name="_7421__FDSAUDITLINK__">{"fdsup://directions/FAT Viewer?action=UPDATE&amp;creator=factset&amp;DYN_ARGS=TRUE&amp;DOC_NAME=FAT:FQL_AUDITING_CLIENT_TEMPLATE.FAT&amp;display_string=Audit&amp;VAR:KEY=VCTOLERADQ&amp;VAR:QUERY=KFBfUFJJQ0UoNDAzNzUpLShGRl9DQVNIX1NUKFFUUiw0MDM3NSkvUF9DT01fU0hTX09VVCg0MDM3NSkpKS9GR","V9FU1RJTUFURSgnRVBTJywnTUVBTicsJ0FOTlVBTF9ST0xMJywnKzEnLDQwMzc1LCwsJycp&amp;WINDOW=FIRST_POPUP&amp;HEIGHT=450&amp;WIDTH=450&amp;START_MAXIMIZED=FALSE&amp;VAR:CALENDAR=US&amp;VAR:SYMBOL=98433210&amp;VAR:INDEX=0"}</definedName>
    <definedName name="_7422__FDSAUDITLINK__">{"fdsup://directions/FAT Viewer?action=UPDATE&amp;creator=factset&amp;DYN_ARGS=TRUE&amp;DOC_NAME=FAT:FQL_AUDITING_CLIENT_TEMPLATE.FAT&amp;display_string=Audit&amp;VAR:KEY=PKZCHGRWDQ&amp;VAR:QUERY=KFBfUFJJQ0UoNDAzNzQpLShGRl9DQVNIX1NUKFFUUiw0MDM3NCkvUF9DT01fU0hTX09VVCg0MDM3NCkpKS9GR","V9FU1RJTUFURSgnRVBTJywnTUVBTicsJ0FOTlVBTF9ST0xMJywnKzEnLDQwMzc0LCwsJycp&amp;WINDOW=FIRST_POPUP&amp;HEIGHT=450&amp;WIDTH=450&amp;START_MAXIMIZED=FALSE&amp;VAR:CALENDAR=US&amp;VAR:SYMBOL=98433210&amp;VAR:INDEX=0"}</definedName>
    <definedName name="_7423__FDSAUDITLINK__">{"fdsup://directions/FAT Viewer?action=UPDATE&amp;creator=factset&amp;DYN_ARGS=TRUE&amp;DOC_NAME=FAT:FQL_AUDITING_CLIENT_TEMPLATE.FAT&amp;display_string=Audit&amp;VAR:KEY=PKZCHGRWDQ&amp;VAR:QUERY=KFBfUFJJQ0UoNDAzNzQpLShGRl9DQVNIX1NUKFFUUiw0MDM3NCkvUF9DT01fU0hTX09VVCg0MDM3NCkpKS9GR","V9FU1RJTUFURSgnRVBTJywnTUVBTicsJ0FOTlVBTF9ST0xMJywnKzEnLDQwMzc0LCwsJycp&amp;WINDOW=FIRST_POPUP&amp;HEIGHT=450&amp;WIDTH=450&amp;START_MAXIMIZED=FALSE&amp;VAR:CALENDAR=US&amp;VAR:SYMBOL=98433210&amp;VAR:INDEX=0"}</definedName>
    <definedName name="_7424__FDSAUDITLINK__">{"fdsup://directions/FAT Viewer?action=UPDATE&amp;creator=factset&amp;DYN_ARGS=TRUE&amp;DOC_NAME=FAT:FQL_AUDITING_CLIENT_TEMPLATE.FAT&amp;display_string=Audit&amp;VAR:KEY=BGBWPWZCHI&amp;VAR:QUERY=KFBfUFJJQ0UoNDAzNzMpLShGRl9DQVNIX1NUKFFUUiw0MDM3MykvUF9DT01fU0hTX09VVCg0MDM3MykpKS9GR","V9FU1RJTUFURSgnRVBTJywnTUVBTicsJ0FOTlVBTF9ST0xMJywnKzEnLDQwMzczLCwsJycp&amp;WINDOW=FIRST_POPUP&amp;HEIGHT=450&amp;WIDTH=450&amp;START_MAXIMIZED=FALSE&amp;VAR:CALENDAR=US&amp;VAR:SYMBOL=98433210&amp;VAR:INDEX=0"}</definedName>
    <definedName name="_7425__FDSAUDITLINK__">{"fdsup://directions/FAT Viewer?action=UPDATE&amp;creator=factset&amp;DYN_ARGS=TRUE&amp;DOC_NAME=FAT:FQL_AUDITING_CLIENT_TEMPLATE.FAT&amp;display_string=Audit&amp;VAR:KEY=BGBWPWZCHI&amp;VAR:QUERY=KFBfUFJJQ0UoNDAzNzMpLShGRl9DQVNIX1NUKFFUUiw0MDM3MykvUF9DT01fU0hTX09VVCg0MDM3MykpKS9GR","V9FU1RJTUFURSgnRVBTJywnTUVBTicsJ0FOTlVBTF9ST0xMJywnKzEnLDQwMzczLCwsJycp&amp;WINDOW=FIRST_POPUP&amp;HEIGHT=450&amp;WIDTH=450&amp;START_MAXIMIZED=FALSE&amp;VAR:CALENDAR=US&amp;VAR:SYMBOL=98433210&amp;VAR:INDEX=0"}</definedName>
    <definedName name="_7426__FDSAUDITLINK__">{"fdsup://directions/FAT Viewer?action=UPDATE&amp;creator=factset&amp;DYN_ARGS=TRUE&amp;DOC_NAME=FAT:FQL_AUDITING_CLIENT_TEMPLATE.FAT&amp;display_string=Audit&amp;VAR:KEY=NILOBYRANY&amp;VAR:QUERY=KFBfUFJJQ0UoNDAzNzIpLShGRl9DQVNIX1NUKFFUUiw0MDM3MikvUF9DT01fU0hTX09VVCg0MDM3MikpKS9GR","V9FU1RJTUFURSgnRVBTJywnTUVBTicsJ0FOTlVBTF9ST0xMJywnKzEnLDQwMzcyLCwsJycp&amp;WINDOW=FIRST_POPUP&amp;HEIGHT=450&amp;WIDTH=450&amp;START_MAXIMIZED=FALSE&amp;VAR:CALENDAR=US&amp;VAR:SYMBOL=98433210&amp;VAR:INDEX=0"}</definedName>
    <definedName name="_7427__FDSAUDITLINK__">{"fdsup://directions/FAT Viewer?action=UPDATE&amp;creator=factset&amp;DYN_ARGS=TRUE&amp;DOC_NAME=FAT:FQL_AUDITING_CLIENT_TEMPLATE.FAT&amp;display_string=Audit&amp;VAR:KEY=NILOBYRANY&amp;VAR:QUERY=KFBfUFJJQ0UoNDAzNzIpLShGRl9DQVNIX1NUKFFUUiw0MDM3MikvUF9DT01fU0hTX09VVCg0MDM3MikpKS9GR","V9FU1RJTUFURSgnRVBTJywnTUVBTicsJ0FOTlVBTF9ST0xMJywnKzEnLDQwMzcyLCwsJycp&amp;WINDOW=FIRST_POPUP&amp;HEIGHT=450&amp;WIDTH=450&amp;START_MAXIMIZED=FALSE&amp;VAR:CALENDAR=US&amp;VAR:SYMBOL=98433210&amp;VAR:INDEX=0"}</definedName>
    <definedName name="_7428__FDSAUDITLINK__">{"fdsup://directions/FAT Viewer?action=UPDATE&amp;creator=factset&amp;DYN_ARGS=TRUE&amp;DOC_NAME=FAT:FQL_AUDITING_CLIENT_TEMPLATE.FAT&amp;display_string=Audit&amp;VAR:KEY=PQHOHOTMVE&amp;VAR:QUERY=KFBfUFJJQ0UoNDAzNzEpLShGRl9DQVNIX1NUKFFUUiw0MDM3MSkvUF9DT01fU0hTX09VVCg0MDM3MSkpKS9GR","V9FU1RJTUFURSgnRVBTJywnTUVBTicsJ0FOTlVBTF9ST0xMJywnKzEnLDQwMzcxLCwsJycp&amp;WINDOW=FIRST_POPUP&amp;HEIGHT=450&amp;WIDTH=450&amp;START_MAXIMIZED=FALSE&amp;VAR:CALENDAR=US&amp;VAR:SYMBOL=98433210&amp;VAR:INDEX=0"}</definedName>
    <definedName name="_7429__FDSAUDITLINK__">{"fdsup://directions/FAT Viewer?action=UPDATE&amp;creator=factset&amp;DYN_ARGS=TRUE&amp;DOC_NAME=FAT:FQL_AUDITING_CLIENT_TEMPLATE.FAT&amp;display_string=Audit&amp;VAR:KEY=PQHOHOTMVE&amp;VAR:QUERY=KFBfUFJJQ0UoNDAzNzEpLShGRl9DQVNIX1NUKFFUUiw0MDM3MSkvUF9DT01fU0hTX09VVCg0MDM3MSkpKS9GR","V9FU1RJTUFURSgnRVBTJywnTUVBTicsJ0FOTlVBTF9ST0xMJywnKzEnLDQwMzcxLCwsJycp&amp;WINDOW=FIRST_POPUP&amp;HEIGHT=450&amp;WIDTH=450&amp;START_MAXIMIZED=FALSE&amp;VAR:CALENDAR=US&amp;VAR:SYMBOL=98433210&amp;VAR:INDEX=0"}</definedName>
    <definedName name="_74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1047"}</definedName>
    <definedName name="_7430__FDSAUDITLINK__">{"fdsup://directions/FAT Viewer?action=UPDATE&amp;creator=factset&amp;DYN_ARGS=TRUE&amp;DOC_NAME=FAT:FQL_AUDITING_CLIENT_TEMPLATE.FAT&amp;display_string=Audit&amp;VAR:KEY=BWFWHQXOHU&amp;VAR:QUERY=KFBfUFJJQ0UoNDAzNzApLShGRl9DQVNIX1NUKFFUUiw0MDM3MCkvUF9DT01fU0hTX09VVCg0MDM3MCkpKS9GR","V9FU1RJTUFURSgnRVBTJywnTUVBTicsJ0FOTlVBTF9ST0xMJywnKzEnLDQwMzcwLCwsJycp&amp;WINDOW=FIRST_POPUP&amp;HEIGHT=450&amp;WIDTH=450&amp;START_MAXIMIZED=FALSE&amp;VAR:CALENDAR=US&amp;VAR:SYMBOL=98433210&amp;VAR:INDEX=0"}</definedName>
    <definedName name="_7431__FDSAUDITLINK__">{"fdsup://directions/FAT Viewer?action=UPDATE&amp;creator=factset&amp;DYN_ARGS=TRUE&amp;DOC_NAME=FAT:FQL_AUDITING_CLIENT_TEMPLATE.FAT&amp;display_string=Audit&amp;VAR:KEY=BWFWHQXOHU&amp;VAR:QUERY=KFBfUFJJQ0UoNDAzNzApLShGRl9DQVNIX1NUKFFUUiw0MDM3MCkvUF9DT01fU0hTX09VVCg0MDM3MCkpKS9GR","V9FU1RJTUFURSgnRVBTJywnTUVBTicsJ0FOTlVBTF9ST0xMJywnKzEnLDQwMzcwLCwsJycp&amp;WINDOW=FIRST_POPUP&amp;HEIGHT=450&amp;WIDTH=450&amp;START_MAXIMIZED=FALSE&amp;VAR:CALENDAR=US&amp;VAR:SYMBOL=98433210&amp;VAR:INDEX=0"}</definedName>
    <definedName name="_7432__FDSAUDITLINK__">{"fdsup://directions/FAT Viewer?action=UPDATE&amp;creator=factset&amp;DYN_ARGS=TRUE&amp;DOC_NAME=FAT:FQL_AUDITING_CLIENT_TEMPLATE.FAT&amp;display_string=Audit&amp;VAR:KEY=ZQTIXUZEJY&amp;VAR:QUERY=KFBfUFJJQ0UoNDAzNjkpLShGRl9DQVNIX1NUKFFUUiw0MDM2OSkvUF9DT01fU0hTX09VVCg0MDM2OSkpKS9GR","V9FU1RJTUFURSgnRVBTJywnTUVBTicsJ0FOTlVBTF9ST0xMJywnKzEnLDQwMzY5LCwsJycp&amp;WINDOW=FIRST_POPUP&amp;HEIGHT=450&amp;WIDTH=450&amp;START_MAXIMIZED=FALSE&amp;VAR:CALENDAR=US&amp;VAR:SYMBOL=98433210&amp;VAR:INDEX=0"}</definedName>
    <definedName name="_7433__FDSAUDITLINK__">{"fdsup://directions/FAT Viewer?action=UPDATE&amp;creator=factset&amp;DYN_ARGS=TRUE&amp;DOC_NAME=FAT:FQL_AUDITING_CLIENT_TEMPLATE.FAT&amp;display_string=Audit&amp;VAR:KEY=ZQTIXUZEJY&amp;VAR:QUERY=KFBfUFJJQ0UoNDAzNjkpLShGRl9DQVNIX1NUKFFUUiw0MDM2OSkvUF9DT01fU0hTX09VVCg0MDM2OSkpKS9GR","V9FU1RJTUFURSgnRVBTJywnTUVBTicsJ0FOTlVBTF9ST0xMJywnKzEnLDQwMzY5LCwsJycp&amp;WINDOW=FIRST_POPUP&amp;HEIGHT=450&amp;WIDTH=450&amp;START_MAXIMIZED=FALSE&amp;VAR:CALENDAR=US&amp;VAR:SYMBOL=98433210&amp;VAR:INDEX=0"}</definedName>
    <definedName name="_7434__FDSAUDITLINK__">{"fdsup://directions/FAT Viewer?action=UPDATE&amp;creator=factset&amp;DYN_ARGS=TRUE&amp;DOC_NAME=FAT:FQL_AUDITING_CLIENT_TEMPLATE.FAT&amp;display_string=Audit&amp;VAR:KEY=TAFSBGXALA&amp;VAR:QUERY=KFBfUFJJQ0UoNDAzNjgpLShGRl9DQVNIX1NUKFFUUiw0MDM2OCkvUF9DT01fU0hTX09VVCg0MDM2OCkpKS9GR","V9FU1RJTUFURSgnRVBTJywnTUVBTicsJ0FOTlVBTF9ST0xMJywnKzEnLDQwMzY4LCwsJycp&amp;WINDOW=FIRST_POPUP&amp;HEIGHT=450&amp;WIDTH=450&amp;START_MAXIMIZED=FALSE&amp;VAR:CALENDAR=US&amp;VAR:SYMBOL=98433210&amp;VAR:INDEX=0"}</definedName>
    <definedName name="_7435__FDSAUDITLINK__">{"fdsup://directions/FAT Viewer?action=UPDATE&amp;creator=factset&amp;DYN_ARGS=TRUE&amp;DOC_NAME=FAT:FQL_AUDITING_CLIENT_TEMPLATE.FAT&amp;display_string=Audit&amp;VAR:KEY=TAFSBGXALA&amp;VAR:QUERY=KFBfUFJJQ0UoNDAzNjgpLShGRl9DQVNIX1NUKFFUUiw0MDM2OCkvUF9DT01fU0hTX09VVCg0MDM2OCkpKS9GR","V9FU1RJTUFURSgnRVBTJywnTUVBTicsJ0FOTlVBTF9ST0xMJywnKzEnLDQwMzY4LCwsJycp&amp;WINDOW=FIRST_POPUP&amp;HEIGHT=450&amp;WIDTH=450&amp;START_MAXIMIZED=FALSE&amp;VAR:CALENDAR=US&amp;VAR:SYMBOL=98433210&amp;VAR:INDEX=0"}</definedName>
    <definedName name="_7436__FDSAUDITLINK__">{"fdsup://directions/FAT Viewer?action=UPDATE&amp;creator=factset&amp;DYN_ARGS=TRUE&amp;DOC_NAME=FAT:FQL_AUDITING_CLIENT_TEMPLATE.FAT&amp;display_string=Audit&amp;VAR:KEY=ZCJCRKHOFA&amp;VAR:QUERY=KFBfUFJJQ0UoNDAzNjcpLShGRl9DQVNIX1NUKFFUUiw0MDM2NykvUF9DT01fU0hTX09VVCg0MDM2NykpKS9GR","V9FU1RJTUFURSgnRVBTJywnTUVBTicsJ0FOTlVBTF9ST0xMJywnKzEnLDQwMzY3LCwsJycp&amp;WINDOW=FIRST_POPUP&amp;HEIGHT=450&amp;WIDTH=450&amp;START_MAXIMIZED=FALSE&amp;VAR:CALENDAR=US&amp;VAR:SYMBOL=98433210&amp;VAR:INDEX=0"}</definedName>
    <definedName name="_7437__FDSAUDITLINK__">{"fdsup://directions/FAT Viewer?action=UPDATE&amp;creator=factset&amp;DYN_ARGS=TRUE&amp;DOC_NAME=FAT:FQL_AUDITING_CLIENT_TEMPLATE.FAT&amp;display_string=Audit&amp;VAR:KEY=ZCJCRKHOFA&amp;VAR:QUERY=KFBfUFJJQ0UoNDAzNjcpLShGRl9DQVNIX1NUKFFUUiw0MDM2NykvUF9DT01fU0hTX09VVCg0MDM2NykpKS9GR","V9FU1RJTUFURSgnRVBTJywnTUVBTicsJ0FOTlVBTF9ST0xMJywnKzEnLDQwMzY3LCwsJycp&amp;WINDOW=FIRST_POPUP&amp;HEIGHT=450&amp;WIDTH=450&amp;START_MAXIMIZED=FALSE&amp;VAR:CALENDAR=US&amp;VAR:SYMBOL=98433210&amp;VAR:INDEX=0"}</definedName>
    <definedName name="_7438__FDSAUDITLINK__">{"fdsup://directions/FAT Viewer?action=UPDATE&amp;creator=factset&amp;DYN_ARGS=TRUE&amp;DOC_NAME=FAT:FQL_AUDITING_CLIENT_TEMPLATE.FAT&amp;display_string=Audit&amp;VAR:KEY=BOHIZSPYBW&amp;VAR:QUERY=KFBfUFJJQ0UoNDAzNjYpLShGRl9DQVNIX1NUKFFUUiw0MDM2NikvUF9DT01fU0hTX09VVCg0MDM2NikpKS9GR","V9FU1RJTUFURSgnRVBTJywnTUVBTicsJ0FOTlVBTF9ST0xMJywnKzEnLDQwMzY2LCwsJycp&amp;WINDOW=FIRST_POPUP&amp;HEIGHT=450&amp;WIDTH=450&amp;START_MAXIMIZED=FALSE&amp;VAR:CALENDAR=US&amp;VAR:SYMBOL=98433210&amp;VAR:INDEX=0"}</definedName>
    <definedName name="_7439__FDSAUDITLINK__">{"fdsup://directions/FAT Viewer?action=UPDATE&amp;creator=factset&amp;DYN_ARGS=TRUE&amp;DOC_NAME=FAT:FQL_AUDITING_CLIENT_TEMPLATE.FAT&amp;display_string=Audit&amp;VAR:KEY=BOHIZSPYBW&amp;VAR:QUERY=KFBfUFJJQ0UoNDAzNjYpLShGRl9DQVNIX1NUKFFUUiw0MDM2NikvUF9DT01fU0hTX09VVCg0MDM2NikpKS9GR","V9FU1RJTUFURSgnRVBTJywnTUVBTicsJ0FOTlVBTF9ST0xMJywnKzEnLDQwMzY2LCwsJycp&amp;WINDOW=FIRST_POPUP&amp;HEIGHT=450&amp;WIDTH=450&amp;START_MAXIMIZED=FALSE&amp;VAR:CALENDAR=US&amp;VAR:SYMBOL=98433210&amp;VAR:INDEX=0"}</definedName>
    <definedName name="_74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1046"}</definedName>
    <definedName name="_7440__FDSAUDITLINK__">{"fdsup://directions/FAT Viewer?action=UPDATE&amp;creator=factset&amp;DYN_ARGS=TRUE&amp;DOC_NAME=FAT:FQL_AUDITING_CLIENT_TEMPLATE.FAT&amp;display_string=Audit&amp;VAR:KEY=LMPMVINOVO&amp;VAR:QUERY=KFBfUFJJQ0UoNDAzNjUpLShGRl9DQVNIX1NUKFFUUiw0MDM2NSkvUF9DT01fU0hTX09VVCg0MDM2NSkpKS9GR","V9FU1RJTUFURSgnRVBTJywnTUVBTicsJ0FOTlVBTF9ST0xMJywnKzEnLDQwMzY1LCwsJycp&amp;WINDOW=FIRST_POPUP&amp;HEIGHT=450&amp;WIDTH=450&amp;START_MAXIMIZED=FALSE&amp;VAR:CALENDAR=US&amp;VAR:SYMBOL=98433210&amp;VAR:INDEX=0"}</definedName>
    <definedName name="_7441__FDSAUDITLINK__">{"fdsup://directions/FAT Viewer?action=UPDATE&amp;creator=factset&amp;DYN_ARGS=TRUE&amp;DOC_NAME=FAT:FQL_AUDITING_CLIENT_TEMPLATE.FAT&amp;display_string=Audit&amp;VAR:KEY=LMPMVINOVO&amp;VAR:QUERY=KFBfUFJJQ0UoNDAzNjUpLShGRl9DQVNIX1NUKFFUUiw0MDM2NSkvUF9DT01fU0hTX09VVCg0MDM2NSkpKS9GR","V9FU1RJTUFURSgnRVBTJywnTUVBTicsJ0FOTlVBTF9ST0xMJywnKzEnLDQwMzY1LCwsJycp&amp;WINDOW=FIRST_POPUP&amp;HEIGHT=450&amp;WIDTH=450&amp;START_MAXIMIZED=FALSE&amp;VAR:CALENDAR=US&amp;VAR:SYMBOL=98433210&amp;VAR:INDEX=0"}</definedName>
    <definedName name="_7442__FDSAUDITLINK__">{"fdsup://directions/FAT Viewer?action=UPDATE&amp;creator=factset&amp;DYN_ARGS=TRUE&amp;DOC_NAME=FAT:FQL_AUDITING_CLIENT_TEMPLATE.FAT&amp;display_string=Audit&amp;VAR:KEY=FGLITAFOTU&amp;VAR:QUERY=KFBfUFJJQ0UoNDAzNjQpLShGRl9DQVNIX1NUKFFUUiw0MDM2NCkvUF9DT01fU0hTX09VVCg0MDM2NCkpKS9GR","V9FU1RJTUFURSgnRVBTJywnTUVBTicsJ0FOTlVBTF9ST0xMJywnKzEnLDQwMzY0LCwsJycp&amp;WINDOW=FIRST_POPUP&amp;HEIGHT=450&amp;WIDTH=450&amp;START_MAXIMIZED=FALSE&amp;VAR:CALENDAR=US&amp;VAR:SYMBOL=98433210&amp;VAR:INDEX=0"}</definedName>
    <definedName name="_7443__FDSAUDITLINK__">{"fdsup://directions/FAT Viewer?action=UPDATE&amp;creator=factset&amp;DYN_ARGS=TRUE&amp;DOC_NAME=FAT:FQL_AUDITING_CLIENT_TEMPLATE.FAT&amp;display_string=Audit&amp;VAR:KEY=FGLITAFOTU&amp;VAR:QUERY=KFBfUFJJQ0UoNDAzNjQpLShGRl9DQVNIX1NUKFFUUiw0MDM2NCkvUF9DT01fU0hTX09VVCg0MDM2NCkpKS9GR","V9FU1RJTUFURSgnRVBTJywnTUVBTicsJ0FOTlVBTF9ST0xMJywnKzEnLDQwMzY0LCwsJycp&amp;WINDOW=FIRST_POPUP&amp;HEIGHT=450&amp;WIDTH=450&amp;START_MAXIMIZED=FALSE&amp;VAR:CALENDAR=US&amp;VAR:SYMBOL=98433210&amp;VAR:INDEX=0"}</definedName>
    <definedName name="_7444__FDSAUDITLINK__">{"fdsup://directions/FAT Viewer?action=UPDATE&amp;creator=factset&amp;DYN_ARGS=TRUE&amp;DOC_NAME=FAT:FQL_AUDITING_CLIENT_TEMPLATE.FAT&amp;display_string=Audit&amp;VAR:KEY=PCPEFCRAFW&amp;VAR:QUERY=KFBfUFJJQ0UoNDAzNjMpLShGRl9DQVNIX1NUKFFUUiw0MDM2MykvUF9DT01fU0hTX09VVCg0MDM2MykpKS9GR","V9FU1RJTUFURSgnRVBTJywnTUVBTicsJ0FOTlVBTF9ST0xMJywnKzEnLDQwMzYzLCwsJycp&amp;WINDOW=FIRST_POPUP&amp;HEIGHT=450&amp;WIDTH=450&amp;START_MAXIMIZED=FALSE&amp;VAR:CALENDAR=US&amp;VAR:SYMBOL=98433210&amp;VAR:INDEX=0"}</definedName>
    <definedName name="_7445__FDSAUDITLINK__">{"fdsup://directions/FAT Viewer?action=UPDATE&amp;creator=factset&amp;DYN_ARGS=TRUE&amp;DOC_NAME=FAT:FQL_AUDITING_CLIENT_TEMPLATE.FAT&amp;display_string=Audit&amp;VAR:KEY=PCPEFCRAFW&amp;VAR:QUERY=KFBfUFJJQ0UoNDAzNjMpLShGRl9DQVNIX1NUKFFUUiw0MDM2MykvUF9DT01fU0hTX09VVCg0MDM2MykpKS9GR","V9FU1RJTUFURSgnRVBTJywnTUVBTicsJ0FOTlVBTF9ST0xMJywnKzEnLDQwMzYzLCwsJycp&amp;WINDOW=FIRST_POPUP&amp;HEIGHT=450&amp;WIDTH=450&amp;START_MAXIMIZED=FALSE&amp;VAR:CALENDAR=US&amp;VAR:SYMBOL=98433210&amp;VAR:INDEX=0"}</definedName>
    <definedName name="_7446__FDSAUDITLINK__">{"fdsup://directions/FAT Viewer?action=UPDATE&amp;creator=factset&amp;DYN_ARGS=TRUE&amp;DOC_NAME=FAT:FQL_AUDITING_CLIENT_TEMPLATE.FAT&amp;display_string=Audit&amp;VAR:KEY=LWZQVINGPE&amp;VAR:QUERY=KFBfUFJJQ0UoNDAzNjIpLShGRl9DQVNIX1NUKFFUUiw0MDM2MikvUF9DT01fU0hTX09VVCg0MDM2MikpKS9GR","V9FU1RJTUFURSgnRVBTJywnTUVBTicsJ0FOTlVBTF9ST0xMJywnKzEnLDQwMzYyLCwsJycp&amp;WINDOW=FIRST_POPUP&amp;HEIGHT=450&amp;WIDTH=450&amp;START_MAXIMIZED=FALSE&amp;VAR:CALENDAR=US&amp;VAR:SYMBOL=98433210&amp;VAR:INDEX=0"}</definedName>
    <definedName name="_7447__FDSAUDITLINK__">{"fdsup://directions/FAT Viewer?action=UPDATE&amp;creator=factset&amp;DYN_ARGS=TRUE&amp;DOC_NAME=FAT:FQL_AUDITING_CLIENT_TEMPLATE.FAT&amp;display_string=Audit&amp;VAR:KEY=LWZQVINGPE&amp;VAR:QUERY=KFBfUFJJQ0UoNDAzNjIpLShGRl9DQVNIX1NUKFFUUiw0MDM2MikvUF9DT01fU0hTX09VVCg0MDM2MikpKS9GR","V9FU1RJTUFURSgnRVBTJywnTUVBTicsJ0FOTlVBTF9ST0xMJywnKzEnLDQwMzYyLCwsJycp&amp;WINDOW=FIRST_POPUP&amp;HEIGHT=450&amp;WIDTH=450&amp;START_MAXIMIZED=FALSE&amp;VAR:CALENDAR=US&amp;VAR:SYMBOL=98433210&amp;VAR:INDEX=0"}</definedName>
    <definedName name="_7448__FDSAUDITLINK__">{"fdsup://directions/FAT Viewer?action=UPDATE&amp;creator=factset&amp;DYN_ARGS=TRUE&amp;DOC_NAME=FAT:FQL_AUDITING_CLIENT_TEMPLATE.FAT&amp;display_string=Audit&amp;VAR:KEY=XIXAFYFEPC&amp;VAR:QUERY=KFBfUFJJQ0UoNDAzNjEpLShGRl9DQVNIX1NUKFFUUiw0MDM2MSkvUF9DT01fU0hTX09VVCg0MDM2MSkpKS9GR","V9FU1RJTUFURSgnRVBTJywnTUVBTicsJ0FOTlVBTF9ST0xMJywnKzEnLDQwMzYxLCwsJycp&amp;WINDOW=FIRST_POPUP&amp;HEIGHT=450&amp;WIDTH=450&amp;START_MAXIMIZED=FALSE&amp;VAR:CALENDAR=US&amp;VAR:SYMBOL=98433210&amp;VAR:INDEX=0"}</definedName>
    <definedName name="_7449__FDSAUDITLINK__">{"fdsup://directions/FAT Viewer?action=UPDATE&amp;creator=factset&amp;DYN_ARGS=TRUE&amp;DOC_NAME=FAT:FQL_AUDITING_CLIENT_TEMPLATE.FAT&amp;display_string=Audit&amp;VAR:KEY=XIXAFYFEPC&amp;VAR:QUERY=KFBfUFJJQ0UoNDAzNjEpLShGRl9DQVNIX1NUKFFUUiw0MDM2MSkvUF9DT01fU0hTX09VVCg0MDM2MSkpKS9GR","V9FU1RJTUFURSgnRVBTJywnTUVBTicsJ0FOTlVBTF9ST0xMJywnKzEnLDQwMzYxLCwsJycp&amp;WINDOW=FIRST_POPUP&amp;HEIGHT=450&amp;WIDTH=450&amp;START_MAXIMIZED=FALSE&amp;VAR:CALENDAR=US&amp;VAR:SYMBOL=98433210&amp;VAR:INDEX=0"}</definedName>
    <definedName name="_74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1045"}</definedName>
    <definedName name="_7450__FDSAUDITLINK__">{"fdsup://directions/FAT Viewer?action=UPDATE&amp;creator=factset&amp;DYN_ARGS=TRUE&amp;DOC_NAME=FAT:FQL_AUDITING_CLIENT_TEMPLATE.FAT&amp;display_string=Audit&amp;VAR:KEY=TMFMVIDEPS&amp;VAR:QUERY=KFBfUFJJQ0UoNDAzNjApLShGRl9DQVNIX1NUKFFUUiw0MDM2MCkvUF9DT01fU0hTX09VVCg0MDM2MCkpKS9GR","V9FU1RJTUFURSgnRVBTJywnTUVBTicsJ0FOTlVBTF9ST0xMJywnKzEnLDQwMzYwLCwsJycp&amp;WINDOW=FIRST_POPUP&amp;HEIGHT=450&amp;WIDTH=450&amp;START_MAXIMIZED=FALSE&amp;VAR:CALENDAR=US&amp;VAR:SYMBOL=98433210&amp;VAR:INDEX=0"}</definedName>
    <definedName name="_7451__FDSAUDITLINK__">{"fdsup://directions/FAT Viewer?action=UPDATE&amp;creator=factset&amp;DYN_ARGS=TRUE&amp;DOC_NAME=FAT:FQL_AUDITING_CLIENT_TEMPLATE.FAT&amp;display_string=Audit&amp;VAR:KEY=TMFMVIDEPS&amp;VAR:QUERY=KFBfUFJJQ0UoNDAzNjApLShGRl9DQVNIX1NUKFFUUiw0MDM2MCkvUF9DT01fU0hTX09VVCg0MDM2MCkpKS9GR","V9FU1RJTUFURSgnRVBTJywnTUVBTicsJ0FOTlVBTF9ST0xMJywnKzEnLDQwMzYwLCwsJycp&amp;WINDOW=FIRST_POPUP&amp;HEIGHT=450&amp;WIDTH=450&amp;START_MAXIMIZED=FALSE&amp;VAR:CALENDAR=US&amp;VAR:SYMBOL=98433210&amp;VAR:INDEX=0"}</definedName>
    <definedName name="_7452__FDSAUDITLINK__">{"fdsup://directions/FAT Viewer?action=UPDATE&amp;creator=factset&amp;DYN_ARGS=TRUE&amp;DOC_NAME=FAT:FQL_AUDITING_CLIENT_TEMPLATE.FAT&amp;display_string=Audit&amp;VAR:KEY=ZMNCXYHKZS&amp;VAR:QUERY=KFBfUFJJQ0UoNDAzNTkpLShGRl9DQVNIX1NUKFFUUiw0MDM1OSkvUF9DT01fU0hTX09VVCg0MDM1OSkpKS9GR","V9FU1RJTUFURSgnRVBTJywnTUVBTicsJ0FOTlVBTF9ST0xMJywnKzEnLDQwMzU5LCwsJycp&amp;WINDOW=FIRST_POPUP&amp;HEIGHT=450&amp;WIDTH=450&amp;START_MAXIMIZED=FALSE&amp;VAR:CALENDAR=US&amp;VAR:SYMBOL=98433210&amp;VAR:INDEX=0"}</definedName>
    <definedName name="_7453__FDSAUDITLINK__">{"fdsup://directions/FAT Viewer?action=UPDATE&amp;creator=factset&amp;DYN_ARGS=TRUE&amp;DOC_NAME=FAT:FQL_AUDITING_CLIENT_TEMPLATE.FAT&amp;display_string=Audit&amp;VAR:KEY=ZMNCXYHKZS&amp;VAR:QUERY=KFBfUFJJQ0UoNDAzNTkpLShGRl9DQVNIX1NUKFFUUiw0MDM1OSkvUF9DT01fU0hTX09VVCg0MDM1OSkpKS9GR","V9FU1RJTUFURSgnRVBTJywnTUVBTicsJ0FOTlVBTF9ST0xMJywnKzEnLDQwMzU5LCwsJycp&amp;WINDOW=FIRST_POPUP&amp;HEIGHT=450&amp;WIDTH=450&amp;START_MAXIMIZED=FALSE&amp;VAR:CALENDAR=US&amp;VAR:SYMBOL=98433210&amp;VAR:INDEX=0"}</definedName>
    <definedName name="_7454__FDSAUDITLINK__">{"fdsup://directions/FAT Viewer?action=UPDATE&amp;creator=factset&amp;DYN_ARGS=TRUE&amp;DOC_NAME=FAT:FQL_AUDITING_CLIENT_TEMPLATE.FAT&amp;display_string=Audit&amp;VAR:KEY=DQBOVAFCLU&amp;VAR:QUERY=KFBfUFJJQ0UoNDAzNTgpLShGRl9DQVNIX1NUKFFUUiw0MDM1OCkvUF9DT01fU0hTX09VVCg0MDM1OCkpKS9GR","V9FU1RJTUFURSgnRVBTJywnTUVBTicsJ0FOTlVBTF9ST0xMJywnKzEnLDQwMzU4LCwsJycp&amp;WINDOW=FIRST_POPUP&amp;HEIGHT=450&amp;WIDTH=450&amp;START_MAXIMIZED=FALSE&amp;VAR:CALENDAR=US&amp;VAR:SYMBOL=98433210&amp;VAR:INDEX=0"}</definedName>
    <definedName name="_7455__FDSAUDITLINK__">{"fdsup://directions/FAT Viewer?action=UPDATE&amp;creator=factset&amp;DYN_ARGS=TRUE&amp;DOC_NAME=FAT:FQL_AUDITING_CLIENT_TEMPLATE.FAT&amp;display_string=Audit&amp;VAR:KEY=DQBOVAFCLU&amp;VAR:QUERY=KFBfUFJJQ0UoNDAzNTgpLShGRl9DQVNIX1NUKFFUUiw0MDM1OCkvUF9DT01fU0hTX09VVCg0MDM1OCkpKS9GR","V9FU1RJTUFURSgnRVBTJywnTUVBTicsJ0FOTlVBTF9ST0xMJywnKzEnLDQwMzU4LCwsJycp&amp;WINDOW=FIRST_POPUP&amp;HEIGHT=450&amp;WIDTH=450&amp;START_MAXIMIZED=FALSE&amp;VAR:CALENDAR=US&amp;VAR:SYMBOL=98433210&amp;VAR:INDEX=0"}</definedName>
    <definedName name="_7456__FDSAUDITLINK__">{"fdsup://directions/FAT Viewer?action=UPDATE&amp;creator=factset&amp;DYN_ARGS=TRUE&amp;DOC_NAME=FAT:FQL_AUDITING_CLIENT_TEMPLATE.FAT&amp;display_string=Audit&amp;VAR:KEY=BSDGLWTORQ&amp;VAR:QUERY=KFBfUFJJQ0UoNDAzNTcpLShGRl9DQVNIX1NUKFFUUiw0MDM1NykvUF9DT01fU0hTX09VVCg0MDM1NykpKS9GR","V9FU1RJTUFURSgnRVBTJywnTUVBTicsJ0FOTlVBTF9ST0xMJywnKzEnLDQwMzU3LCwsJycp&amp;WINDOW=FIRST_POPUP&amp;HEIGHT=450&amp;WIDTH=450&amp;START_MAXIMIZED=FALSE&amp;VAR:CALENDAR=US&amp;VAR:SYMBOL=98433210&amp;VAR:INDEX=0"}</definedName>
    <definedName name="_7457__FDSAUDITLINK__">{"fdsup://directions/FAT Viewer?action=UPDATE&amp;creator=factset&amp;DYN_ARGS=TRUE&amp;DOC_NAME=FAT:FQL_AUDITING_CLIENT_TEMPLATE.FAT&amp;display_string=Audit&amp;VAR:KEY=BSDGLWTORQ&amp;VAR:QUERY=KFBfUFJJQ0UoNDAzNTcpLShGRl9DQVNIX1NUKFFUUiw0MDM1NykvUF9DT01fU0hTX09VVCg0MDM1NykpKS9GR","V9FU1RJTUFURSgnRVBTJywnTUVBTicsJ0FOTlVBTF9ST0xMJywnKzEnLDQwMzU3LCwsJycp&amp;WINDOW=FIRST_POPUP&amp;HEIGHT=450&amp;WIDTH=450&amp;START_MAXIMIZED=FALSE&amp;VAR:CALENDAR=US&amp;VAR:SYMBOL=98433210&amp;VAR:INDEX=0"}</definedName>
    <definedName name="_7458__FDSAUDITLINK__">{"fdsup://directions/FAT Viewer?action=UPDATE&amp;creator=factset&amp;DYN_ARGS=TRUE&amp;DOC_NAME=FAT:FQL_AUDITING_CLIENT_TEMPLATE.FAT&amp;display_string=Audit&amp;VAR:KEY=XYVOVORGNA&amp;VAR:QUERY=KFBfUFJJQ0UoNDAzNTYpLShGRl9DQVNIX1NUKFFUUiw0MDM1NikvUF9DT01fU0hTX09VVCg0MDM1NikpKS9GR","V9FU1RJTUFURSgnRVBTJywnTUVBTicsJ0FOTlVBTF9ST0xMJywnKzEnLDQwMzU2LCwsJycp&amp;WINDOW=FIRST_POPUP&amp;HEIGHT=450&amp;WIDTH=450&amp;START_MAXIMIZED=FALSE&amp;VAR:CALENDAR=US&amp;VAR:SYMBOL=98433210&amp;VAR:INDEX=0"}</definedName>
    <definedName name="_7459__FDSAUDITLINK__">{"fdsup://directions/FAT Viewer?action=UPDATE&amp;creator=factset&amp;DYN_ARGS=TRUE&amp;DOC_NAME=FAT:FQL_AUDITING_CLIENT_TEMPLATE.FAT&amp;display_string=Audit&amp;VAR:KEY=XYVOVORGNA&amp;VAR:QUERY=KFBfUFJJQ0UoNDAzNTYpLShGRl9DQVNIX1NUKFFUUiw0MDM1NikvUF9DT01fU0hTX09VVCg0MDM1NikpKS9GR","V9FU1RJTUFURSgnRVBTJywnTUVBTicsJ0FOTlVBTF9ST0xMJywnKzEnLDQwMzU2LCwsJycp&amp;WINDOW=FIRST_POPUP&amp;HEIGHT=450&amp;WIDTH=450&amp;START_MAXIMIZED=FALSE&amp;VAR:CALENDAR=US&amp;VAR:SYMBOL=98433210&amp;VAR:INDEX=0"}</definedName>
    <definedName name="_74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1044"}</definedName>
    <definedName name="_7460__FDSAUDITLINK__">{"fdsup://directions/FAT Viewer?action=UPDATE&amp;creator=factset&amp;DYN_ARGS=TRUE&amp;DOC_NAME=FAT:FQL_AUDITING_CLIENT_TEMPLATE.FAT&amp;display_string=Audit&amp;VAR:KEY=LMJULCPMRM&amp;VAR:QUERY=KFBfUFJJQ0UoNDAzNTUpLShGRl9DQVNIX1NUKFFUUiw0MDM1NSkvUF9DT01fU0hTX09VVCg0MDM1NSkpKS9GR","V9FU1RJTUFURSgnRVBTJywnTUVBTicsJ0FOTlVBTF9ST0xMJywnKzEnLDQwMzU1LCwsJycp&amp;WINDOW=FIRST_POPUP&amp;HEIGHT=450&amp;WIDTH=450&amp;START_MAXIMIZED=FALSE&amp;VAR:CALENDAR=US&amp;VAR:SYMBOL=98433210&amp;VAR:INDEX=0"}</definedName>
    <definedName name="_7461__FDSAUDITLINK__">{"fdsup://directions/FAT Viewer?action=UPDATE&amp;creator=factset&amp;DYN_ARGS=TRUE&amp;DOC_NAME=FAT:FQL_AUDITING_CLIENT_TEMPLATE.FAT&amp;display_string=Audit&amp;VAR:KEY=LMJULCPMRM&amp;VAR:QUERY=KFBfUFJJQ0UoNDAzNTUpLShGRl9DQVNIX1NUKFFUUiw0MDM1NSkvUF9DT01fU0hTX09VVCg0MDM1NSkpKS9GR","V9FU1RJTUFURSgnRVBTJywnTUVBTicsJ0FOTlVBTF9ST0xMJywnKzEnLDQwMzU1LCwsJycp&amp;WINDOW=FIRST_POPUP&amp;HEIGHT=450&amp;WIDTH=450&amp;START_MAXIMIZED=FALSE&amp;VAR:CALENDAR=US&amp;VAR:SYMBOL=98433210&amp;VAR:INDEX=0"}</definedName>
    <definedName name="_7462__FDSAUDITLINK__">{"fdsup://directions/FAT Viewer?action=UPDATE&amp;creator=factset&amp;DYN_ARGS=TRUE&amp;DOC_NAME=FAT:FQL_AUDITING_CLIENT_TEMPLATE.FAT&amp;display_string=Audit&amp;VAR:KEY=RABKNWXQRI&amp;VAR:QUERY=KFBfUFJJQ0UoNDAzNTQpLShGRl9DQVNIX1NUKFFUUiw0MDM1NCkvUF9DT01fU0hTX09VVCg0MDM1NCkpKS9GR","V9FU1RJTUFURSgnRVBTJywnTUVBTicsJ0FOTlVBTF9ST0xMJywnKzEnLDQwMzU0LCwsJycp&amp;WINDOW=FIRST_POPUP&amp;HEIGHT=450&amp;WIDTH=450&amp;START_MAXIMIZED=FALSE&amp;VAR:CALENDAR=US&amp;VAR:SYMBOL=98433210&amp;VAR:INDEX=0"}</definedName>
    <definedName name="_7463__FDSAUDITLINK__">{"fdsup://directions/FAT Viewer?action=UPDATE&amp;creator=factset&amp;DYN_ARGS=TRUE&amp;DOC_NAME=FAT:FQL_AUDITING_CLIENT_TEMPLATE.FAT&amp;display_string=Audit&amp;VAR:KEY=RABKNWXQRI&amp;VAR:QUERY=KFBfUFJJQ0UoNDAzNTQpLShGRl9DQVNIX1NUKFFUUiw0MDM1NCkvUF9DT01fU0hTX09VVCg0MDM1NCkpKS9GR","V9FU1RJTUFURSgnRVBTJywnTUVBTicsJ0FOTlVBTF9ST0xMJywnKzEnLDQwMzU0LCwsJycp&amp;WINDOW=FIRST_POPUP&amp;HEIGHT=450&amp;WIDTH=450&amp;START_MAXIMIZED=FALSE&amp;VAR:CALENDAR=US&amp;VAR:SYMBOL=98433210&amp;VAR:INDEX=0"}</definedName>
    <definedName name="_7464__FDSAUDITLINK__">{"fdsup://directions/FAT Viewer?action=UPDATE&amp;creator=factset&amp;DYN_ARGS=TRUE&amp;DOC_NAME=FAT:FQL_AUDITING_CLIENT_TEMPLATE.FAT&amp;display_string=Audit&amp;VAR:KEY=FSFQNKXWDG&amp;VAR:QUERY=KFBfUFJJQ0UoNDAzNTMpLShGRl9DQVNIX1NUKFFUUiw0MDM1MykvUF9DT01fU0hTX09VVCg0MDM1MykpKS9GR","V9FU1RJTUFURSgnRVBTJywnTUVBTicsJ0FOTlVBTF9ST0xMJywnKzEnLDQwMzUzLCwsJycp&amp;WINDOW=FIRST_POPUP&amp;HEIGHT=450&amp;WIDTH=450&amp;START_MAXIMIZED=FALSE&amp;VAR:CALENDAR=US&amp;VAR:SYMBOL=98433210&amp;VAR:INDEX=0"}</definedName>
    <definedName name="_7465__FDSAUDITLINK__">{"fdsup://directions/FAT Viewer?action=UPDATE&amp;creator=factset&amp;DYN_ARGS=TRUE&amp;DOC_NAME=FAT:FQL_AUDITING_CLIENT_TEMPLATE.FAT&amp;display_string=Audit&amp;VAR:KEY=FSFQNKXWDG&amp;VAR:QUERY=KFBfUFJJQ0UoNDAzNTMpLShGRl9DQVNIX1NUKFFUUiw0MDM1MykvUF9DT01fU0hTX09VVCg0MDM1MykpKS9GR","V9FU1RJTUFURSgnRVBTJywnTUVBTicsJ0FOTlVBTF9ST0xMJywnKzEnLDQwMzUzLCwsJycp&amp;WINDOW=FIRST_POPUP&amp;HEIGHT=450&amp;WIDTH=450&amp;START_MAXIMIZED=FALSE&amp;VAR:CALENDAR=US&amp;VAR:SYMBOL=98433210&amp;VAR:INDEX=0"}</definedName>
    <definedName name="_7466__FDSAUDITLINK__">{"fdsup://directions/FAT Viewer?action=UPDATE&amp;creator=factset&amp;DYN_ARGS=TRUE&amp;DOC_NAME=FAT:FQL_AUDITING_CLIENT_TEMPLATE.FAT&amp;display_string=Audit&amp;VAR:KEY=TKLEXGZMJW&amp;VAR:QUERY=KFBfUFJJQ0UoNDAzNTIpLShGRl9DQVNIX1NUKFFUUiw0MDM1MikvUF9DT01fU0hTX09VVCg0MDM1MikpKS9GR","V9FU1RJTUFURSgnRVBTJywnTUVBTicsJ0FOTlVBTF9ST0xMJywnKzEnLDQwMzUyLCwsJycp&amp;WINDOW=FIRST_POPUP&amp;HEIGHT=450&amp;WIDTH=450&amp;START_MAXIMIZED=FALSE&amp;VAR:CALENDAR=US&amp;VAR:SYMBOL=98433210&amp;VAR:INDEX=0"}</definedName>
    <definedName name="_7467__FDSAUDITLINK__">{"fdsup://directions/FAT Viewer?action=UPDATE&amp;creator=factset&amp;DYN_ARGS=TRUE&amp;DOC_NAME=FAT:FQL_AUDITING_CLIENT_TEMPLATE.FAT&amp;display_string=Audit&amp;VAR:KEY=TKLEXGZMJW&amp;VAR:QUERY=KFBfUFJJQ0UoNDAzNTIpLShGRl9DQVNIX1NUKFFUUiw0MDM1MikvUF9DT01fU0hTX09VVCg0MDM1MikpKS9GR","V9FU1RJTUFURSgnRVBTJywnTUVBTicsJ0FOTlVBTF9ST0xMJywnKzEnLDQwMzUyLCwsJycp&amp;WINDOW=FIRST_POPUP&amp;HEIGHT=450&amp;WIDTH=450&amp;START_MAXIMIZED=FALSE&amp;VAR:CALENDAR=US&amp;VAR:SYMBOL=98433210&amp;VAR:INDEX=0"}</definedName>
    <definedName name="_7468__FDSAUDITLINK__">{"fdsup://directions/FAT Viewer?action=UPDATE&amp;creator=factset&amp;DYN_ARGS=TRUE&amp;DOC_NAME=FAT:FQL_AUDITING_CLIENT_TEMPLATE.FAT&amp;display_string=Audit&amp;VAR:KEY=RIDETQHWVC&amp;VAR:QUERY=KFBfUFJJQ0UoNDAzNTEpLShGRl9DQVNIX1NUKFFUUiw0MDM1MSkvUF9DT01fU0hTX09VVCg0MDM1MSkpKS9GR","V9FU1RJTUFURSgnRVBTJywnTUVBTicsJ0FOTlVBTF9ST0xMJywnKzEnLDQwMzUxLCwsJycp&amp;WINDOW=FIRST_POPUP&amp;HEIGHT=450&amp;WIDTH=450&amp;START_MAXIMIZED=FALSE&amp;VAR:CALENDAR=US&amp;VAR:SYMBOL=98433210&amp;VAR:INDEX=0"}</definedName>
    <definedName name="_7469__FDSAUDITLINK__">{"fdsup://directions/FAT Viewer?action=UPDATE&amp;creator=factset&amp;DYN_ARGS=TRUE&amp;DOC_NAME=FAT:FQL_AUDITING_CLIENT_TEMPLATE.FAT&amp;display_string=Audit&amp;VAR:KEY=RIDETQHWVC&amp;VAR:QUERY=KFBfUFJJQ0UoNDAzNTEpLShGRl9DQVNIX1NUKFFUUiw0MDM1MSkvUF9DT01fU0hTX09VVCg0MDM1MSkpKS9GR","V9FU1RJTUFURSgnRVBTJywnTUVBTicsJ0FOTlVBTF9ST0xMJywnKzEnLDQwMzUxLCwsJycp&amp;WINDOW=FIRST_POPUP&amp;HEIGHT=450&amp;WIDTH=450&amp;START_MAXIMIZED=FALSE&amp;VAR:CALENDAR=US&amp;VAR:SYMBOL=98433210&amp;VAR:INDEX=0"}</definedName>
    <definedName name="_74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1043"}</definedName>
    <definedName name="_7470__FDSAUDITLINK__">{"fdsup://directions/FAT Viewer?action=UPDATE&amp;creator=factset&amp;DYN_ARGS=TRUE&amp;DOC_NAME=FAT:FQL_AUDITING_CLIENT_TEMPLATE.FAT&amp;display_string=Audit&amp;VAR:KEY=TGBUTCLYBI&amp;VAR:QUERY=KFBfUFJJQ0UoNDAzNTApLShGRl9DQVNIX1NUKFFUUiw0MDM1MCkvUF9DT01fU0hTX09VVCg0MDM1MCkpKS9GR","V9FU1RJTUFURSgnRVBTJywnTUVBTicsJ0FOTlVBTF9ST0xMJywnKzEnLDQwMzUwLCwsJycp&amp;WINDOW=FIRST_POPUP&amp;HEIGHT=450&amp;WIDTH=450&amp;START_MAXIMIZED=FALSE&amp;VAR:CALENDAR=US&amp;VAR:SYMBOL=98433210&amp;VAR:INDEX=0"}</definedName>
    <definedName name="_7471__FDSAUDITLINK__">{"fdsup://directions/FAT Viewer?action=UPDATE&amp;creator=factset&amp;DYN_ARGS=TRUE&amp;DOC_NAME=FAT:FQL_AUDITING_CLIENT_TEMPLATE.FAT&amp;display_string=Audit&amp;VAR:KEY=TGBUTCLYBI&amp;VAR:QUERY=KFBfUFJJQ0UoNDAzNTApLShGRl9DQVNIX1NUKFFUUiw0MDM1MCkvUF9DT01fU0hTX09VVCg0MDM1MCkpKS9GR","V9FU1RJTUFURSgnRVBTJywnTUVBTicsJ0FOTlVBTF9ST0xMJywnKzEnLDQwMzUwLCwsJycp&amp;WINDOW=FIRST_POPUP&amp;HEIGHT=450&amp;WIDTH=450&amp;START_MAXIMIZED=FALSE&amp;VAR:CALENDAR=US&amp;VAR:SYMBOL=98433210&amp;VAR:INDEX=0"}</definedName>
    <definedName name="_7472__FDSAUDITLINK__">{"fdsup://directions/FAT Viewer?action=UPDATE&amp;creator=factset&amp;DYN_ARGS=TRUE&amp;DOC_NAME=FAT:FQL_AUDITING_CLIENT_TEMPLATE.FAT&amp;display_string=Audit&amp;VAR:KEY=BUDYZYXIFM&amp;VAR:QUERY=KFBfUFJJQ0UoNDAzNDkpLShGRl9DQVNIX1NUKFFUUiw0MDM0OSkvUF9DT01fU0hTX09VVCg0MDM0OSkpKS9GR","V9FU1RJTUFURSgnRVBTJywnTUVBTicsJ0FOTlVBTF9ST0xMJywnKzEnLDQwMzQ5LCwsJycp&amp;WINDOW=FIRST_POPUP&amp;HEIGHT=450&amp;WIDTH=450&amp;START_MAXIMIZED=FALSE&amp;VAR:CALENDAR=US&amp;VAR:SYMBOL=98433210&amp;VAR:INDEX=0"}</definedName>
    <definedName name="_7473__FDSAUDITLINK__">{"fdsup://directions/FAT Viewer?action=UPDATE&amp;creator=factset&amp;DYN_ARGS=TRUE&amp;DOC_NAME=FAT:FQL_AUDITING_CLIENT_TEMPLATE.FAT&amp;display_string=Audit&amp;VAR:KEY=BUDYZYXIFM&amp;VAR:QUERY=KFBfUFJJQ0UoNDAzNDkpLShGRl9DQVNIX1NUKFFUUiw0MDM0OSkvUF9DT01fU0hTX09VVCg0MDM0OSkpKS9GR","V9FU1RJTUFURSgnRVBTJywnTUVBTicsJ0FOTlVBTF9ST0xMJywnKzEnLDQwMzQ5LCwsJycp&amp;WINDOW=FIRST_POPUP&amp;HEIGHT=450&amp;WIDTH=450&amp;START_MAXIMIZED=FALSE&amp;VAR:CALENDAR=US&amp;VAR:SYMBOL=98433210&amp;VAR:INDEX=0"}</definedName>
    <definedName name="_7474__FDSAUDITLINK__">{"fdsup://directions/FAT Viewer?action=UPDATE&amp;creator=factset&amp;DYN_ARGS=TRUE&amp;DOC_NAME=FAT:FQL_AUDITING_CLIENT_TEMPLATE.FAT&amp;display_string=Audit&amp;VAR:KEY=ZWNUHEZEDK&amp;VAR:QUERY=KFBfUFJJQ0UoNDAzNDgpLShGRl9DQVNIX1NUKFFUUiw0MDM0OCkvUF9DT01fU0hTX09VVCg0MDM0OCkpKS9GR","V9FU1RJTUFURSgnRVBTJywnTUVBTicsJ0FOTlVBTF9ST0xMJywnKzEnLDQwMzQ4LCwsJycp&amp;WINDOW=FIRST_POPUP&amp;HEIGHT=450&amp;WIDTH=450&amp;START_MAXIMIZED=FALSE&amp;VAR:CALENDAR=US&amp;VAR:SYMBOL=98433210&amp;VAR:INDEX=0"}</definedName>
    <definedName name="_7475__FDSAUDITLINK__">{"fdsup://directions/FAT Viewer?action=UPDATE&amp;creator=factset&amp;DYN_ARGS=TRUE&amp;DOC_NAME=FAT:FQL_AUDITING_CLIENT_TEMPLATE.FAT&amp;display_string=Audit&amp;VAR:KEY=ZWNUHEZEDK&amp;VAR:QUERY=KFBfUFJJQ0UoNDAzNDgpLShGRl9DQVNIX1NUKFFUUiw0MDM0OCkvUF9DT01fU0hTX09VVCg0MDM0OCkpKS9GR","V9FU1RJTUFURSgnRVBTJywnTUVBTicsJ0FOTlVBTF9ST0xMJywnKzEnLDQwMzQ4LCwsJycp&amp;WINDOW=FIRST_POPUP&amp;HEIGHT=450&amp;WIDTH=450&amp;START_MAXIMIZED=FALSE&amp;VAR:CALENDAR=US&amp;VAR:SYMBOL=98433210&amp;VAR:INDEX=0"}</definedName>
    <definedName name="_7476__FDSAUDITLINK__">{"fdsup://directions/FAT Viewer?action=UPDATE&amp;creator=factset&amp;DYN_ARGS=TRUE&amp;DOC_NAME=FAT:FQL_AUDITING_CLIENT_TEMPLATE.FAT&amp;display_string=Audit&amp;VAR:KEY=ZCXQXOBUBM&amp;VAR:QUERY=KFBfUFJJQ0UoNDAzNDcpLShGRl9DQVNIX1NUKFFUUiw0MDM0NykvUF9DT01fU0hTX09VVCg0MDM0NykpKS9GR","V9FU1RJTUFURSgnRVBTJywnTUVBTicsJ0FOTlVBTF9ST0xMJywnKzEnLDQwMzQ3LCwsJycp&amp;WINDOW=FIRST_POPUP&amp;HEIGHT=450&amp;WIDTH=450&amp;START_MAXIMIZED=FALSE&amp;VAR:CALENDAR=US&amp;VAR:SYMBOL=98433210&amp;VAR:INDEX=0"}</definedName>
    <definedName name="_7477__FDSAUDITLINK__">{"fdsup://directions/FAT Viewer?action=UPDATE&amp;creator=factset&amp;DYN_ARGS=TRUE&amp;DOC_NAME=FAT:FQL_AUDITING_CLIENT_TEMPLATE.FAT&amp;display_string=Audit&amp;VAR:KEY=ZCXQXOBUBM&amp;VAR:QUERY=KFBfUFJJQ0UoNDAzNDcpLShGRl9DQVNIX1NUKFFUUiw0MDM0NykvUF9DT01fU0hTX09VVCg0MDM0NykpKS9GR","V9FU1RJTUFURSgnRVBTJywnTUVBTicsJ0FOTlVBTF9ST0xMJywnKzEnLDQwMzQ3LCwsJycp&amp;WINDOW=FIRST_POPUP&amp;HEIGHT=450&amp;WIDTH=450&amp;START_MAXIMIZED=FALSE&amp;VAR:CALENDAR=US&amp;VAR:SYMBOL=98433210&amp;VAR:INDEX=0"}</definedName>
    <definedName name="_7478__FDSAUDITLINK__">{"fdsup://directions/FAT Viewer?action=UPDATE&amp;creator=factset&amp;DYN_ARGS=TRUE&amp;DOC_NAME=FAT:FQL_AUDITING_CLIENT_TEMPLATE.FAT&amp;display_string=Audit&amp;VAR:KEY=ZIHKRUBEPW&amp;VAR:QUERY=KFBfUFJJQ0UoNDAzNDYpLShGRl9DQVNIX1NUKFFUUiw0MDM0NikvUF9DT01fU0hTX09VVCg0MDM0NikpKS9GR","V9FU1RJTUFURSgnRVBTJywnTUVBTicsJ0FOTlVBTF9ST0xMJywnKzEnLDQwMzQ2LCwsJycp&amp;WINDOW=FIRST_POPUP&amp;HEIGHT=450&amp;WIDTH=450&amp;START_MAXIMIZED=FALSE&amp;VAR:CALENDAR=US&amp;VAR:SYMBOL=98433210&amp;VAR:INDEX=0"}</definedName>
    <definedName name="_7479__FDSAUDITLINK__">{"fdsup://directions/FAT Viewer?action=UPDATE&amp;creator=factset&amp;DYN_ARGS=TRUE&amp;DOC_NAME=FAT:FQL_AUDITING_CLIENT_TEMPLATE.FAT&amp;display_string=Audit&amp;VAR:KEY=ZIHKRUBEPW&amp;VAR:QUERY=KFBfUFJJQ0UoNDAzNDYpLShGRl9DQVNIX1NUKFFUUiw0MDM0NikvUF9DT01fU0hTX09VVCg0MDM0NikpKS9GR","V9FU1RJTUFURSgnRVBTJywnTUVBTicsJ0FOTlVBTF9ST0xMJywnKzEnLDQwMzQ2LCwsJycp&amp;WINDOW=FIRST_POPUP&amp;HEIGHT=450&amp;WIDTH=450&amp;START_MAXIMIZED=FALSE&amp;VAR:CALENDAR=US&amp;VAR:SYMBOL=98433210&amp;VAR:INDEX=0"}</definedName>
    <definedName name="_74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1042"}</definedName>
    <definedName name="_7480__FDSAUDITLINK__">{"fdsup://directions/FAT Viewer?action=UPDATE&amp;creator=factset&amp;DYN_ARGS=TRUE&amp;DOC_NAME=FAT:FQL_AUDITING_CLIENT_TEMPLATE.FAT&amp;display_string=Audit&amp;VAR:KEY=VSDABMHQRW&amp;VAR:QUERY=KFBfUFJJQ0UoNDAzNDUpLShGRl9DQVNIX1NUKFFUUiw0MDM0NSkvUF9DT01fU0hTX09VVCg0MDM0NSkpKS9GR","V9FU1RJTUFURSgnRVBTJywnTUVBTicsJ0FOTlVBTF9ST0xMJywnKzEnLDQwMzQ1LCwsJycp&amp;WINDOW=FIRST_POPUP&amp;HEIGHT=450&amp;WIDTH=450&amp;START_MAXIMIZED=FALSE&amp;VAR:CALENDAR=US&amp;VAR:SYMBOL=98433210&amp;VAR:INDEX=0"}</definedName>
    <definedName name="_7481__FDSAUDITLINK__">{"fdsup://directions/FAT Viewer?action=UPDATE&amp;creator=factset&amp;DYN_ARGS=TRUE&amp;DOC_NAME=FAT:FQL_AUDITING_CLIENT_TEMPLATE.FAT&amp;display_string=Audit&amp;VAR:KEY=VSDABMHQRW&amp;VAR:QUERY=KFBfUFJJQ0UoNDAzNDUpLShGRl9DQVNIX1NUKFFUUiw0MDM0NSkvUF9DT01fU0hTX09VVCg0MDM0NSkpKS9GR","V9FU1RJTUFURSgnRVBTJywnTUVBTicsJ0FOTlVBTF9ST0xMJywnKzEnLDQwMzQ1LCwsJycp&amp;WINDOW=FIRST_POPUP&amp;HEIGHT=450&amp;WIDTH=450&amp;START_MAXIMIZED=FALSE&amp;VAR:CALENDAR=US&amp;VAR:SYMBOL=98433210&amp;VAR:INDEX=0"}</definedName>
    <definedName name="_7482__FDSAUDITLINK__">{"fdsup://directions/FAT Viewer?action=UPDATE&amp;creator=factset&amp;DYN_ARGS=TRUE&amp;DOC_NAME=FAT:FQL_AUDITING_CLIENT_TEMPLATE.FAT&amp;display_string=Audit&amp;VAR:KEY=VEFKBMPUTM&amp;VAR:QUERY=KFBfUFJJQ0UoNDAzNDQpLShGRl9DQVNIX1NUKFFUUiw0MDM0NCkvUF9DT01fU0hTX09VVCg0MDM0NCkpKS9GR","V9FU1RJTUFURSgnRVBTJywnTUVBTicsJ0FOTlVBTF9ST0xMJywnKzEnLDQwMzQ0LCwsJycp&amp;WINDOW=FIRST_POPUP&amp;HEIGHT=450&amp;WIDTH=450&amp;START_MAXIMIZED=FALSE&amp;VAR:CALENDAR=US&amp;VAR:SYMBOL=98433210&amp;VAR:INDEX=0"}</definedName>
    <definedName name="_7483__FDSAUDITLINK__">{"fdsup://directions/FAT Viewer?action=UPDATE&amp;creator=factset&amp;DYN_ARGS=TRUE&amp;DOC_NAME=FAT:FQL_AUDITING_CLIENT_TEMPLATE.FAT&amp;display_string=Audit&amp;VAR:KEY=VEFKBMPUTM&amp;VAR:QUERY=KFBfUFJJQ0UoNDAzNDQpLShGRl9DQVNIX1NUKFFUUiw0MDM0NCkvUF9DT01fU0hTX09VVCg0MDM0NCkpKS9GR","V9FU1RJTUFURSgnRVBTJywnTUVBTicsJ0FOTlVBTF9ST0xMJywnKzEnLDQwMzQ0LCwsJycp&amp;WINDOW=FIRST_POPUP&amp;HEIGHT=450&amp;WIDTH=450&amp;START_MAXIMIZED=FALSE&amp;VAR:CALENDAR=US&amp;VAR:SYMBOL=98433210&amp;VAR:INDEX=0"}</definedName>
    <definedName name="_7484__FDSAUDITLINK__">{"fdsup://directions/FAT Viewer?action=UPDATE&amp;creator=factset&amp;DYN_ARGS=TRUE&amp;DOC_NAME=FAT:FQL_AUDITING_CLIENT_TEMPLATE.FAT&amp;display_string=Audit&amp;VAR:KEY=VGVQFEDCJM&amp;VAR:QUERY=KFBfUFJJQ0UoNDAzNDMpLShGRl9DQVNIX1NUKFFUUiw0MDM0MykvUF9DT01fU0hTX09VVCg0MDM0MykpKS9GR","V9FU1RJTUFURSgnRVBTJywnTUVBTicsJ0FOTlVBTF9ST0xMJywnKzEnLDQwMzQzLCwsJycp&amp;WINDOW=FIRST_POPUP&amp;HEIGHT=450&amp;WIDTH=450&amp;START_MAXIMIZED=FALSE&amp;VAR:CALENDAR=US&amp;VAR:SYMBOL=98433210&amp;VAR:INDEX=0"}</definedName>
    <definedName name="_7485__FDSAUDITLINK__">{"fdsup://directions/FAT Viewer?action=UPDATE&amp;creator=factset&amp;DYN_ARGS=TRUE&amp;DOC_NAME=FAT:FQL_AUDITING_CLIENT_TEMPLATE.FAT&amp;display_string=Audit&amp;VAR:KEY=VGVQFEDCJM&amp;VAR:QUERY=KFBfUFJJQ0UoNDAzNDMpLShGRl9DQVNIX1NUKFFUUiw0MDM0MykvUF9DT01fU0hTX09VVCg0MDM0MykpKS9GR","V9FU1RJTUFURSgnRVBTJywnTUVBTicsJ0FOTlVBTF9ST0xMJywnKzEnLDQwMzQzLCwsJycp&amp;WINDOW=FIRST_POPUP&amp;HEIGHT=450&amp;WIDTH=450&amp;START_MAXIMIZED=FALSE&amp;VAR:CALENDAR=US&amp;VAR:SYMBOL=98433210&amp;VAR:INDEX=0"}</definedName>
    <definedName name="_7486__FDSAUDITLINK__">{"fdsup://directions/FAT Viewer?action=UPDATE&amp;creator=factset&amp;DYN_ARGS=TRUE&amp;DOC_NAME=FAT:FQL_AUDITING_CLIENT_TEMPLATE.FAT&amp;display_string=Audit&amp;VAR:KEY=HAPEPYJGPU&amp;VAR:QUERY=KFBfUFJJQ0UoNDAzNDIpLShGRl9DQVNIX1NUKFFUUiw0MDM0MikvUF9DT01fU0hTX09VVCg0MDM0MikpKS9GR","V9FU1RJTUFURSgnRVBTJywnTUVBTicsJ0FOTlVBTF9ST0xMJywnKzEnLDQwMzQyLCwsJycp&amp;WINDOW=FIRST_POPUP&amp;HEIGHT=450&amp;WIDTH=450&amp;START_MAXIMIZED=FALSE&amp;VAR:CALENDAR=US&amp;VAR:SYMBOL=98433210&amp;VAR:INDEX=0"}</definedName>
    <definedName name="_7487__FDSAUDITLINK__">{"fdsup://directions/FAT Viewer?action=UPDATE&amp;creator=factset&amp;DYN_ARGS=TRUE&amp;DOC_NAME=FAT:FQL_AUDITING_CLIENT_TEMPLATE.FAT&amp;display_string=Audit&amp;VAR:KEY=HAPEPYJGPU&amp;VAR:QUERY=KFBfUFJJQ0UoNDAzNDIpLShGRl9DQVNIX1NUKFFUUiw0MDM0MikvUF9DT01fU0hTX09VVCg0MDM0MikpKS9GR","V9FU1RJTUFURSgnRVBTJywnTUVBTicsJ0FOTlVBTF9ST0xMJywnKzEnLDQwMzQyLCwsJycp&amp;WINDOW=FIRST_POPUP&amp;HEIGHT=450&amp;WIDTH=450&amp;START_MAXIMIZED=FALSE&amp;VAR:CALENDAR=US&amp;VAR:SYMBOL=98433210&amp;VAR:INDEX=0"}</definedName>
    <definedName name="_7488__FDSAUDITLINK__">{"fdsup://directions/FAT Viewer?action=UPDATE&amp;creator=factset&amp;DYN_ARGS=TRUE&amp;DOC_NAME=FAT:FQL_AUDITING_CLIENT_TEMPLATE.FAT&amp;display_string=Audit&amp;VAR:KEY=LQHWRCDGLQ&amp;VAR:QUERY=KFBfUFJJQ0UoNDAzNDEpLShGRl9DQVNIX1NUKFFUUiw0MDM0MSkvUF9DT01fU0hTX09VVCg0MDM0MSkpKS9GR","V9FU1RJTUFURSgnRVBTJywnTUVBTicsJ0FOTlVBTF9ST0xMJywnKzEnLDQwMzQxLCwsJycp&amp;WINDOW=FIRST_POPUP&amp;HEIGHT=450&amp;WIDTH=450&amp;START_MAXIMIZED=FALSE&amp;VAR:CALENDAR=US&amp;VAR:SYMBOL=98433210&amp;VAR:INDEX=0"}</definedName>
    <definedName name="_7489__FDSAUDITLINK__">{"fdsup://directions/FAT Viewer?action=UPDATE&amp;creator=factset&amp;DYN_ARGS=TRUE&amp;DOC_NAME=FAT:FQL_AUDITING_CLIENT_TEMPLATE.FAT&amp;display_string=Audit&amp;VAR:KEY=LQHWRCDGLQ&amp;VAR:QUERY=KFBfUFJJQ0UoNDAzNDEpLShGRl9DQVNIX1NUKFFUUiw0MDM0MSkvUF9DT01fU0hTX09VVCg0MDM0MSkpKS9GR","V9FU1RJTUFURSgnRVBTJywnTUVBTicsJ0FOTlVBTF9ST0xMJywnKzEnLDQwMzQxLCwsJycp&amp;WINDOW=FIRST_POPUP&amp;HEIGHT=450&amp;WIDTH=450&amp;START_MAXIMIZED=FALSE&amp;VAR:CALENDAR=US&amp;VAR:SYMBOL=98433210&amp;VAR:INDEX=0"}</definedName>
    <definedName name="_74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1041"}</definedName>
    <definedName name="_7490__FDSAUDITLINK__">{"fdsup://directions/FAT Viewer?action=UPDATE&amp;creator=factset&amp;DYN_ARGS=TRUE&amp;DOC_NAME=FAT:FQL_AUDITING_CLIENT_TEMPLATE.FAT&amp;display_string=Audit&amp;VAR:KEY=NAHALKZMJK&amp;VAR:QUERY=KFBfUFJJQ0UoNDAzNDApLShGRl9DQVNIX1NUKFFUUiw0MDM0MCkvUF9DT01fU0hTX09VVCg0MDM0MCkpKS9GR","V9FU1RJTUFURSgnRVBTJywnTUVBTicsJ0FOTlVBTF9ST0xMJywnKzEnLDQwMzQwLCwsJycp&amp;WINDOW=FIRST_POPUP&amp;HEIGHT=450&amp;WIDTH=450&amp;START_MAXIMIZED=FALSE&amp;VAR:CALENDAR=US&amp;VAR:SYMBOL=98433210&amp;VAR:INDEX=0"}</definedName>
    <definedName name="_7491__FDSAUDITLINK__">{"fdsup://directions/FAT Viewer?action=UPDATE&amp;creator=factset&amp;DYN_ARGS=TRUE&amp;DOC_NAME=FAT:FQL_AUDITING_CLIENT_TEMPLATE.FAT&amp;display_string=Audit&amp;VAR:KEY=NAHALKZMJK&amp;VAR:QUERY=KFBfUFJJQ0UoNDAzNDApLShGRl9DQVNIX1NUKFFUUiw0MDM0MCkvUF9DT01fU0hTX09VVCg0MDM0MCkpKS9GR","V9FU1RJTUFURSgnRVBTJywnTUVBTicsJ0FOTlVBTF9ST0xMJywnKzEnLDQwMzQwLCwsJycp&amp;WINDOW=FIRST_POPUP&amp;HEIGHT=450&amp;WIDTH=450&amp;START_MAXIMIZED=FALSE&amp;VAR:CALENDAR=US&amp;VAR:SYMBOL=98433210&amp;VAR:INDEX=0"}</definedName>
    <definedName name="_7492__FDSAUDITLINK__">{"fdsup://directions/FAT Viewer?action=UPDATE&amp;creator=factset&amp;DYN_ARGS=TRUE&amp;DOC_NAME=FAT:FQL_AUDITING_CLIENT_TEMPLATE.FAT&amp;display_string=Audit&amp;VAR:KEY=ZYDABQDWNC&amp;VAR:QUERY=KFBfUFJJQ0UoNDAzMzkpLShGRl9DQVNIX1NUKFFUUiw0MDMzOSkvUF9DT01fU0hTX09VVCg0MDMzOSkpKS9GR","V9FU1RJTUFURSgnRVBTJywnTUVBTicsJ0FOTlVBTF9ST0xMJywnKzEnLDQwMzM5LCwsJycp&amp;WINDOW=FIRST_POPUP&amp;HEIGHT=450&amp;WIDTH=450&amp;START_MAXIMIZED=FALSE&amp;VAR:CALENDAR=US&amp;VAR:SYMBOL=98433210&amp;VAR:INDEX=0"}</definedName>
    <definedName name="_7493__FDSAUDITLINK__">{"fdsup://directions/FAT Viewer?action=UPDATE&amp;creator=factset&amp;DYN_ARGS=TRUE&amp;DOC_NAME=FAT:FQL_AUDITING_CLIENT_TEMPLATE.FAT&amp;display_string=Audit&amp;VAR:KEY=ZYDABQDWNC&amp;VAR:QUERY=KFBfUFJJQ0UoNDAzMzkpLShGRl9DQVNIX1NUKFFUUiw0MDMzOSkvUF9DT01fU0hTX09VVCg0MDMzOSkpKS9GR","V9FU1RJTUFURSgnRVBTJywnTUVBTicsJ0FOTlVBTF9ST0xMJywnKzEnLDQwMzM5LCwsJycp&amp;WINDOW=FIRST_POPUP&amp;HEIGHT=450&amp;WIDTH=450&amp;START_MAXIMIZED=FALSE&amp;VAR:CALENDAR=US&amp;VAR:SYMBOL=98433210&amp;VAR:INDEX=0"}</definedName>
    <definedName name="_7494__FDSAUDITLINK__">{"fdsup://directions/FAT Viewer?action=UPDATE&amp;creator=factset&amp;DYN_ARGS=TRUE&amp;DOC_NAME=FAT:FQL_AUDITING_CLIENT_TEMPLATE.FAT&amp;display_string=Audit&amp;VAR:KEY=JSXGHYJAFC&amp;VAR:QUERY=KFBfUFJJQ0UoNDAzMzgpLShGRl9DQVNIX1NUKFFUUiw0MDMzOCkvUF9DT01fU0hTX09VVCg0MDMzOCkpKS9GR","V9FU1RJTUFURSgnRVBTJywnTUVBTicsJ0FOTlVBTF9ST0xMJywnKzEnLDQwMzM4LCwsJycp&amp;WINDOW=FIRST_POPUP&amp;HEIGHT=450&amp;WIDTH=450&amp;START_MAXIMIZED=FALSE&amp;VAR:CALENDAR=US&amp;VAR:SYMBOL=98433210&amp;VAR:INDEX=0"}</definedName>
    <definedName name="_7495__FDSAUDITLINK__">{"fdsup://directions/FAT Viewer?action=UPDATE&amp;creator=factset&amp;DYN_ARGS=TRUE&amp;DOC_NAME=FAT:FQL_AUDITING_CLIENT_TEMPLATE.FAT&amp;display_string=Audit&amp;VAR:KEY=JSXGHYJAFC&amp;VAR:QUERY=KFBfUFJJQ0UoNDAzMzgpLShGRl9DQVNIX1NUKFFUUiw0MDMzOCkvUF9DT01fU0hTX09VVCg0MDMzOCkpKS9GR","V9FU1RJTUFURSgnRVBTJywnTUVBTicsJ0FOTlVBTF9ST0xMJywnKzEnLDQwMzM4LCwsJycp&amp;WINDOW=FIRST_POPUP&amp;HEIGHT=450&amp;WIDTH=450&amp;START_MAXIMIZED=FALSE&amp;VAR:CALENDAR=US&amp;VAR:SYMBOL=98433210&amp;VAR:INDEX=0"}</definedName>
    <definedName name="_7496__FDSAUDITLINK__">{"fdsup://directions/FAT Viewer?action=UPDATE&amp;creator=factset&amp;DYN_ARGS=TRUE&amp;DOC_NAME=FAT:FQL_AUDITING_CLIENT_TEMPLATE.FAT&amp;display_string=Audit&amp;VAR:KEY=LWFGXGJSJO&amp;VAR:QUERY=KFBfUFJJQ0UoNDAzMzcpLShGRl9DQVNIX1NUKFFUUiw0MDMzNykvUF9DT01fU0hTX09VVCg0MDMzNykpKS9GR","V9FU1RJTUFURSgnRVBTJywnTUVBTicsJ0FOTlVBTF9ST0xMJywnKzEnLDQwMzM3LCwsJycp&amp;WINDOW=FIRST_POPUP&amp;HEIGHT=450&amp;WIDTH=450&amp;START_MAXIMIZED=FALSE&amp;VAR:CALENDAR=US&amp;VAR:SYMBOL=98433210&amp;VAR:INDEX=0"}</definedName>
    <definedName name="_7497__FDSAUDITLINK__">{"fdsup://directions/FAT Viewer?action=UPDATE&amp;creator=factset&amp;DYN_ARGS=TRUE&amp;DOC_NAME=FAT:FQL_AUDITING_CLIENT_TEMPLATE.FAT&amp;display_string=Audit&amp;VAR:KEY=LWFGXGJSJO&amp;VAR:QUERY=KFBfUFJJQ0UoNDAzMzcpLShGRl9DQVNIX1NUKFFUUiw0MDMzNykvUF9DT01fU0hTX09VVCg0MDMzNykpKS9GR","V9FU1RJTUFURSgnRVBTJywnTUVBTicsJ0FOTlVBTF9ST0xMJywnKzEnLDQwMzM3LCwsJycp&amp;WINDOW=FIRST_POPUP&amp;HEIGHT=450&amp;WIDTH=450&amp;START_MAXIMIZED=FALSE&amp;VAR:CALENDAR=US&amp;VAR:SYMBOL=98433210&amp;VAR:INDEX=0"}</definedName>
    <definedName name="_7498__FDSAUDITLINK__">{"fdsup://directions/FAT Viewer?action=UPDATE&amp;creator=factset&amp;DYN_ARGS=TRUE&amp;DOC_NAME=FAT:FQL_AUDITING_CLIENT_TEMPLATE.FAT&amp;display_string=Audit&amp;VAR:KEY=JUTYZWPINU&amp;VAR:QUERY=KFBfUFJJQ0UoNDAzMzYpLShGRl9DQVNIX1NUKFFUUiw0MDMzNikvUF9DT01fU0hTX09VVCg0MDMzNikpKS9GR","V9FU1RJTUFURSgnRVBTJywnTUVBTicsJ0FOTlVBTF9ST0xMJywnKzEnLDQwMzM2LCwsJycp&amp;WINDOW=FIRST_POPUP&amp;HEIGHT=450&amp;WIDTH=450&amp;START_MAXIMIZED=FALSE&amp;VAR:CALENDAR=US&amp;VAR:SYMBOL=98433210&amp;VAR:INDEX=0"}</definedName>
    <definedName name="_7499__FDSAUDITLINK__">{"fdsup://directions/FAT Viewer?action=UPDATE&amp;creator=factset&amp;DYN_ARGS=TRUE&amp;DOC_NAME=FAT:FQL_AUDITING_CLIENT_TEMPLATE.FAT&amp;display_string=Audit&amp;VAR:KEY=JUTYZWPINU&amp;VAR:QUERY=KFBfUFJJQ0UoNDAzMzYpLShGRl9DQVNIX1NUKFFUUiw0MDMzNikvUF9DT01fU0hTX09VVCg0MDMzNikpKS9GR","V9FU1RJTUFURSgnRVBTJywnTUVBTicsJ0FOTlVBTF9ST0xMJywnKzEnLDQwMzM2LCwsJycp&amp;WINDOW=FIRST_POPUP&amp;HEIGHT=450&amp;WIDTH=450&amp;START_MAXIMIZED=FALSE&amp;VAR:CALENDAR=US&amp;VAR:SYMBOL=98433210&amp;VAR:INDEX=0"}</definedName>
    <definedName name="_7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15.099681&amp;VAR:V0=16.330328&amp;VAR:V1=14.725708&amp;VAR:Y0=2005&amp;VAR:Y1=2006&amp;VAR:P=1228.811400&amp;VAR:DATE=20050930&amp;VAR:THRESH=-|-|","-|-|-|-|-"}</definedName>
    <definedName name="_75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1040"}</definedName>
    <definedName name="_7500__FDSAUDITLINK__">{"fdsup://directions/FAT Viewer?action=UPDATE&amp;creator=factset&amp;DYN_ARGS=TRUE&amp;DOC_NAME=FAT:FQL_AUDITING_CLIENT_TEMPLATE.FAT&amp;display_string=Audit&amp;VAR:KEY=LWPGTWPANS&amp;VAR:QUERY=KFBfUFJJQ0UoNDAzMzUpLShGRl9DQVNIX1NUKFFUUiw0MDMzNSkvUF9DT01fU0hTX09VVCg0MDMzNSkpKS9GR","V9FU1RJTUFURSgnRVBTJywnTUVBTicsJ0FOTlVBTF9ST0xMJywnKzEnLDQwMzM1LCwsJycp&amp;WINDOW=FIRST_POPUP&amp;HEIGHT=450&amp;WIDTH=450&amp;START_MAXIMIZED=FALSE&amp;VAR:CALENDAR=US&amp;VAR:SYMBOL=98433210&amp;VAR:INDEX=0"}</definedName>
    <definedName name="_7501__FDSAUDITLINK__">{"fdsup://directions/FAT Viewer?action=UPDATE&amp;creator=factset&amp;DYN_ARGS=TRUE&amp;DOC_NAME=FAT:FQL_AUDITING_CLIENT_TEMPLATE.FAT&amp;display_string=Audit&amp;VAR:KEY=LWPGTWPANS&amp;VAR:QUERY=KFBfUFJJQ0UoNDAzMzUpLShGRl9DQVNIX1NUKFFUUiw0MDMzNSkvUF9DT01fU0hTX09VVCg0MDMzNSkpKS9GR","V9FU1RJTUFURSgnRVBTJywnTUVBTicsJ0FOTlVBTF9ST0xMJywnKzEnLDQwMzM1LCwsJycp&amp;WINDOW=FIRST_POPUP&amp;HEIGHT=450&amp;WIDTH=450&amp;START_MAXIMIZED=FALSE&amp;VAR:CALENDAR=US&amp;VAR:SYMBOL=98433210&amp;VAR:INDEX=0"}</definedName>
    <definedName name="_7502__FDSAUDITLINK__">{"fdsup://directions/FAT Viewer?action=UPDATE&amp;creator=factset&amp;DYN_ARGS=TRUE&amp;DOC_NAME=FAT:FQL_AUDITING_CLIENT_TEMPLATE.FAT&amp;display_string=Audit&amp;VAR:KEY=HCPOXKROTM&amp;VAR:QUERY=KFBfUFJJQ0UoNDAzMzQpLShGRl9DQVNIX1NUKFFUUiw0MDMzNCkvUF9DT01fU0hTX09VVCg0MDMzNCkpKS9GR","V9FU1RJTUFURSgnRVBTJywnTUVBTicsJ0FOTlVBTF9ST0xMJywnKzEnLDQwMzM0LCwsJycp&amp;WINDOW=FIRST_POPUP&amp;HEIGHT=450&amp;WIDTH=450&amp;START_MAXIMIZED=FALSE&amp;VAR:CALENDAR=US&amp;VAR:SYMBOL=98433210&amp;VAR:INDEX=0"}</definedName>
    <definedName name="_7503__FDSAUDITLINK__">{"fdsup://directions/FAT Viewer?action=UPDATE&amp;creator=factset&amp;DYN_ARGS=TRUE&amp;DOC_NAME=FAT:FQL_AUDITING_CLIENT_TEMPLATE.FAT&amp;display_string=Audit&amp;VAR:KEY=HCPOXKROTM&amp;VAR:QUERY=KFBfUFJJQ0UoNDAzMzQpLShGRl9DQVNIX1NUKFFUUiw0MDMzNCkvUF9DT01fU0hTX09VVCg0MDMzNCkpKS9GR","V9FU1RJTUFURSgnRVBTJywnTUVBTicsJ0FOTlVBTF9ST0xMJywnKzEnLDQwMzM0LCwsJycp&amp;WINDOW=FIRST_POPUP&amp;HEIGHT=450&amp;WIDTH=450&amp;START_MAXIMIZED=FALSE&amp;VAR:CALENDAR=US&amp;VAR:SYMBOL=98433210&amp;VAR:INDEX=0"}</definedName>
    <definedName name="_7504__FDSAUDITLINK__">{"fdsup://directions/FAT Viewer?action=UPDATE&amp;creator=factset&amp;DYN_ARGS=TRUE&amp;DOC_NAME=FAT:FQL_AUDITING_CLIENT_TEMPLATE.FAT&amp;display_string=Audit&amp;VAR:KEY=JEHKREZOXK&amp;VAR:QUERY=KFBfUFJJQ0UoNDAzMzMpLShGRl9DQVNIX1NUKFFUUiw0MDMzMykvUF9DT01fU0hTX09VVCg0MDMzMykpKS9GR","V9FU1RJTUFURSgnRVBTJywnTUVBTicsJ0FOTlVBTF9ST0xMJywnKzEnLDQwMzMzLCwsJycp&amp;WINDOW=FIRST_POPUP&amp;HEIGHT=450&amp;WIDTH=450&amp;START_MAXIMIZED=FALSE&amp;VAR:CALENDAR=US&amp;VAR:SYMBOL=98433210&amp;VAR:INDEX=0"}</definedName>
    <definedName name="_7505__FDSAUDITLINK__">{"fdsup://directions/FAT Viewer?action=UPDATE&amp;creator=factset&amp;DYN_ARGS=TRUE&amp;DOC_NAME=FAT:FQL_AUDITING_CLIENT_TEMPLATE.FAT&amp;display_string=Audit&amp;VAR:KEY=JEHKREZOXK&amp;VAR:QUERY=KFBfUFJJQ0UoNDAzMzMpLShGRl9DQVNIX1NUKFFUUiw0MDMzMykvUF9DT01fU0hTX09VVCg0MDMzMykpKS9GR","V9FU1RJTUFURSgnRVBTJywnTUVBTicsJ0FOTlVBTF9ST0xMJywnKzEnLDQwMzMzLCwsJycp&amp;WINDOW=FIRST_POPUP&amp;HEIGHT=450&amp;WIDTH=450&amp;START_MAXIMIZED=FALSE&amp;VAR:CALENDAR=US&amp;VAR:SYMBOL=98433210&amp;VAR:INDEX=0"}</definedName>
    <definedName name="_7506__FDSAUDITLINK__">{"fdsup://directions/FAT Viewer?action=UPDATE&amp;creator=factset&amp;DYN_ARGS=TRUE&amp;DOC_NAME=FAT:FQL_AUDITING_CLIENT_TEMPLATE.FAT&amp;display_string=Audit&amp;VAR:KEY=RADWFGLETU&amp;VAR:QUERY=KFBfUFJJQ0UoNDAzMzIpLShGRl9DQVNIX1NUKFFUUiw0MDMzMikvUF9DT01fU0hTX09VVCg0MDMzMikpKS9GR","V9FU1RJTUFURSgnRVBTJywnTUVBTicsJ0FOTlVBTF9ST0xMJywnKzEnLDQwMzMyLCwsJycp&amp;WINDOW=FIRST_POPUP&amp;HEIGHT=450&amp;WIDTH=450&amp;START_MAXIMIZED=FALSE&amp;VAR:CALENDAR=US&amp;VAR:SYMBOL=98433210&amp;VAR:INDEX=0"}</definedName>
    <definedName name="_7507__FDSAUDITLINK__">{"fdsup://directions/FAT Viewer?action=UPDATE&amp;creator=factset&amp;DYN_ARGS=TRUE&amp;DOC_NAME=FAT:FQL_AUDITING_CLIENT_TEMPLATE.FAT&amp;display_string=Audit&amp;VAR:KEY=RADWFGLETU&amp;VAR:QUERY=KFBfUFJJQ0UoNDAzMzIpLShGRl9DQVNIX1NUKFFUUiw0MDMzMikvUF9DT01fU0hTX09VVCg0MDMzMikpKS9GR","V9FU1RJTUFURSgnRVBTJywnTUVBTicsJ0FOTlVBTF9ST0xMJywnKzEnLDQwMzMyLCwsJycp&amp;WINDOW=FIRST_POPUP&amp;HEIGHT=450&amp;WIDTH=450&amp;START_MAXIMIZED=FALSE&amp;VAR:CALENDAR=US&amp;VAR:SYMBOL=98433210&amp;VAR:INDEX=0"}</definedName>
    <definedName name="_7508__FDSAUDITLINK__">{"fdsup://directions/FAT Viewer?action=UPDATE&amp;creator=factset&amp;DYN_ARGS=TRUE&amp;DOC_NAME=FAT:FQL_AUDITING_CLIENT_TEMPLATE.FAT&amp;display_string=Audit&amp;VAR:KEY=TSVEBMDAVA&amp;VAR:QUERY=KFBfUFJJQ0UoNDAzMzEpLShGRl9DQVNIX1NUKFFUUiw0MDMzMSkvUF9DT01fU0hTX09VVCg0MDMzMSkpKS9GR","V9FU1RJTUFURSgnRVBTJywnTUVBTicsJ0FOTlVBTF9ST0xMJywnKzEnLDQwMzMxLCwsJycp&amp;WINDOW=FIRST_POPUP&amp;HEIGHT=450&amp;WIDTH=450&amp;START_MAXIMIZED=FALSE&amp;VAR:CALENDAR=US&amp;VAR:SYMBOL=98433210&amp;VAR:INDEX=0"}</definedName>
    <definedName name="_7509__FDSAUDITLINK__">{"fdsup://directions/FAT Viewer?action=UPDATE&amp;creator=factset&amp;DYN_ARGS=TRUE&amp;DOC_NAME=FAT:FQL_AUDITING_CLIENT_TEMPLATE.FAT&amp;display_string=Audit&amp;VAR:KEY=TSVEBMDAVA&amp;VAR:QUERY=KFBfUFJJQ0UoNDAzMzEpLShGRl9DQVNIX1NUKFFUUiw0MDMzMSkvUF9DT01fU0hTX09VVCg0MDMzMSkpKS9GR","V9FU1RJTUFURSgnRVBTJywnTUVBTicsJ0FOTlVBTF9ST0xMJywnKzEnLDQwMzMxLCwsJycp&amp;WINDOW=FIRST_POPUP&amp;HEIGHT=450&amp;WIDTH=450&amp;START_MAXIMIZED=FALSE&amp;VAR:CALENDAR=US&amp;VAR:SYMBOL=98433210&amp;VAR:INDEX=0"}</definedName>
    <definedName name="_75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1039"}</definedName>
    <definedName name="_7510__FDSAUDITLINK__">{"fdsup://directions/FAT Viewer?action=UPDATE&amp;creator=factset&amp;DYN_ARGS=TRUE&amp;DOC_NAME=FAT:FQL_AUDITING_CLIENT_TEMPLATE.FAT&amp;display_string=Audit&amp;VAR:KEY=BSJWVSBIDA&amp;VAR:QUERY=KFBfUFJJQ0UoNDAzMzApLShGRl9DQVNIX1NUKFFUUiw0MDMzMCkvUF9DT01fU0hTX09VVCg0MDMzMCkpKS9GR","V9FU1RJTUFURSgnRVBTJywnTUVBTicsJ0FOTlVBTF9ST0xMJywnKzEnLDQwMzMwLCwsJycp&amp;WINDOW=FIRST_POPUP&amp;HEIGHT=450&amp;WIDTH=450&amp;START_MAXIMIZED=FALSE&amp;VAR:CALENDAR=US&amp;VAR:SYMBOL=98433210&amp;VAR:INDEX=0"}</definedName>
    <definedName name="_7511__FDSAUDITLINK__">{"fdsup://directions/FAT Viewer?action=UPDATE&amp;creator=factset&amp;DYN_ARGS=TRUE&amp;DOC_NAME=FAT:FQL_AUDITING_CLIENT_TEMPLATE.FAT&amp;display_string=Audit&amp;VAR:KEY=BSJWVSBIDA&amp;VAR:QUERY=KFBfUFJJQ0UoNDAzMzApLShGRl9DQVNIX1NUKFFUUiw0MDMzMCkvUF9DT01fU0hTX09VVCg0MDMzMCkpKS9GR","V9FU1RJTUFURSgnRVBTJywnTUVBTicsJ0FOTlVBTF9ST0xMJywnKzEnLDQwMzMwLCwsJycp&amp;WINDOW=FIRST_POPUP&amp;HEIGHT=450&amp;WIDTH=450&amp;START_MAXIMIZED=FALSE&amp;VAR:CALENDAR=US&amp;VAR:SYMBOL=98433210&amp;VAR:INDEX=0"}</definedName>
    <definedName name="_7512__FDSAUDITLINK__">{"fdsup://directions/FAT Viewer?action=UPDATE&amp;creator=factset&amp;DYN_ARGS=TRUE&amp;DOC_NAME=FAT:FQL_AUDITING_CLIENT_TEMPLATE.FAT&amp;display_string=Audit&amp;VAR:KEY=ZOJQLMFIRW&amp;VAR:QUERY=KFBfUFJJQ0UoNDAzMjkpLShGRl9DQVNIX1NUKFFUUiw0MDMyOSkvUF9DT01fU0hTX09VVCg0MDMyOSkpKS9GR","V9FU1RJTUFURSgnRVBTJywnTUVBTicsJ0FOTlVBTF9ST0xMJywnKzEnLDQwMzI5LCwsJycp&amp;WINDOW=FIRST_POPUP&amp;HEIGHT=450&amp;WIDTH=450&amp;START_MAXIMIZED=FALSE&amp;VAR:CALENDAR=US&amp;VAR:SYMBOL=98433210&amp;VAR:INDEX=0"}</definedName>
    <definedName name="_7513__FDSAUDITLINK__">{"fdsup://directions/FAT Viewer?action=UPDATE&amp;creator=factset&amp;DYN_ARGS=TRUE&amp;DOC_NAME=FAT:FQL_AUDITING_CLIENT_TEMPLATE.FAT&amp;display_string=Audit&amp;VAR:KEY=ZOJQLMFIRW&amp;VAR:QUERY=KFBfUFJJQ0UoNDAzMjkpLShGRl9DQVNIX1NUKFFUUiw0MDMyOSkvUF9DT01fU0hTX09VVCg0MDMyOSkpKS9GR","V9FU1RJTUFURSgnRVBTJywnTUVBTicsJ0FOTlVBTF9ST0xMJywnKzEnLDQwMzI5LCwsJycp&amp;WINDOW=FIRST_POPUP&amp;HEIGHT=450&amp;WIDTH=450&amp;START_MAXIMIZED=FALSE&amp;VAR:CALENDAR=US&amp;VAR:SYMBOL=98433210&amp;VAR:INDEX=0"}</definedName>
    <definedName name="_7514__FDSAUDITLINK__">{"fdsup://directions/FAT Viewer?action=UPDATE&amp;creator=factset&amp;DYN_ARGS=TRUE&amp;DOC_NAME=FAT:FQL_AUDITING_CLIENT_TEMPLATE.FAT&amp;display_string=Audit&amp;VAR:KEY=PUVCVKDKHM&amp;VAR:QUERY=KFBfUFJJQ0UoNDAzMjgpLShGRl9DQVNIX1NUKFFUUiw0MDMyOCkvUF9DT01fU0hTX09VVCg0MDMyOCkpKS9GR","V9FU1RJTUFURSgnRVBTJywnTUVBTicsJ0FOTlVBTF9ST0xMJywnKzEnLDQwMzI4LCwsJycp&amp;WINDOW=FIRST_POPUP&amp;HEIGHT=450&amp;WIDTH=450&amp;START_MAXIMIZED=FALSE&amp;VAR:CALENDAR=US&amp;VAR:SYMBOL=98433210&amp;VAR:INDEX=0"}</definedName>
    <definedName name="_7515__FDSAUDITLINK__">{"fdsup://directions/FAT Viewer?action=UPDATE&amp;creator=factset&amp;DYN_ARGS=TRUE&amp;DOC_NAME=FAT:FQL_AUDITING_CLIENT_TEMPLATE.FAT&amp;display_string=Audit&amp;VAR:KEY=PUVCVKDKHM&amp;VAR:QUERY=KFBfUFJJQ0UoNDAzMjgpLShGRl9DQVNIX1NUKFFUUiw0MDMyOCkvUF9DT01fU0hTX09VVCg0MDMyOCkpKS9GR","V9FU1RJTUFURSgnRVBTJywnTUVBTicsJ0FOTlVBTF9ST0xMJywnKzEnLDQwMzI4LCwsJycp&amp;WINDOW=FIRST_POPUP&amp;HEIGHT=450&amp;WIDTH=450&amp;START_MAXIMIZED=FALSE&amp;VAR:CALENDAR=US&amp;VAR:SYMBOL=98433210&amp;VAR:INDEX=0"}</definedName>
    <definedName name="_7516__FDSAUDITLINK__">{"fdsup://directions/FAT Viewer?action=UPDATE&amp;creator=factset&amp;DYN_ARGS=TRUE&amp;DOC_NAME=FAT:FQL_AUDITING_CLIENT_TEMPLATE.FAT&amp;display_string=Audit&amp;VAR:KEY=FYBEXQPCZE&amp;VAR:QUERY=KFBfUFJJQ0UoNDAzMjcpLShGRl9DQVNIX1NUKFFUUiw0MDMyNykvUF9DT01fU0hTX09VVCg0MDMyNykpKS9GR","V9FU1RJTUFURSgnRVBTJywnTUVBTicsJ0FOTlVBTF9ST0xMJywnKzEnLDQwMzI3LCwsJycp&amp;WINDOW=FIRST_POPUP&amp;HEIGHT=450&amp;WIDTH=450&amp;START_MAXIMIZED=FALSE&amp;VAR:CALENDAR=US&amp;VAR:SYMBOL=98433210&amp;VAR:INDEX=0"}</definedName>
    <definedName name="_7517__FDSAUDITLINK__">{"fdsup://directions/FAT Viewer?action=UPDATE&amp;creator=factset&amp;DYN_ARGS=TRUE&amp;DOC_NAME=FAT:FQL_AUDITING_CLIENT_TEMPLATE.FAT&amp;display_string=Audit&amp;VAR:KEY=FYBEXQPCZE&amp;VAR:QUERY=KFBfUFJJQ0UoNDAzMjcpLShGRl9DQVNIX1NUKFFUUiw0MDMyNykvUF9DT01fU0hTX09VVCg0MDMyNykpKS9GR","V9FU1RJTUFURSgnRVBTJywnTUVBTicsJ0FOTlVBTF9ST0xMJywnKzEnLDQwMzI3LCwsJycp&amp;WINDOW=FIRST_POPUP&amp;HEIGHT=450&amp;WIDTH=450&amp;START_MAXIMIZED=FALSE&amp;VAR:CALENDAR=US&amp;VAR:SYMBOL=98433210&amp;VAR:INDEX=0"}</definedName>
    <definedName name="_7518__FDSAUDITLINK__">{"fdsup://directions/FAT Viewer?action=UPDATE&amp;creator=factset&amp;DYN_ARGS=TRUE&amp;DOC_NAME=FAT:FQL_AUDITING_CLIENT_TEMPLATE.FAT&amp;display_string=Audit&amp;VAR:KEY=HKJUFGHCRE&amp;VAR:QUERY=KFBfUFJJQ0UoNDAzMjYpLShGRl9DQVNIX1NUKFFUUiw0MDMyNikvUF9DT01fU0hTX09VVCg0MDMyNikpKS9GR","V9FU1RJTUFURSgnRVBTJywnTUVBTicsJ0FOTlVBTF9ST0xMJywnKzEnLDQwMzI2LCwsJycp&amp;WINDOW=FIRST_POPUP&amp;HEIGHT=450&amp;WIDTH=450&amp;START_MAXIMIZED=FALSE&amp;VAR:CALENDAR=US&amp;VAR:SYMBOL=98433210&amp;VAR:INDEX=0"}</definedName>
    <definedName name="_7519__FDSAUDITLINK__">{"fdsup://directions/FAT Viewer?action=UPDATE&amp;creator=factset&amp;DYN_ARGS=TRUE&amp;DOC_NAME=FAT:FQL_AUDITING_CLIENT_TEMPLATE.FAT&amp;display_string=Audit&amp;VAR:KEY=HKJUFGHCRE&amp;VAR:QUERY=KFBfUFJJQ0UoNDAzMjYpLShGRl9DQVNIX1NUKFFUUiw0MDMyNikvUF9DT01fU0hTX09VVCg0MDMyNikpKS9GR","V9FU1RJTUFURSgnRVBTJywnTUVBTicsJ0FOTlVBTF9ST0xMJywnKzEnLDQwMzI2LCwsJycp&amp;WINDOW=FIRST_POPUP&amp;HEIGHT=450&amp;WIDTH=450&amp;START_MAXIMIZED=FALSE&amp;VAR:CALENDAR=US&amp;VAR:SYMBOL=98433210&amp;VAR:INDEX=0"}</definedName>
    <definedName name="_75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1038"}</definedName>
    <definedName name="_7520__FDSAUDITLINK__">{"fdsup://directions/FAT Viewer?action=UPDATE&amp;creator=factset&amp;DYN_ARGS=TRUE&amp;DOC_NAME=FAT:FQL_AUDITING_CLIENT_TEMPLATE.FAT&amp;display_string=Audit&amp;VAR:KEY=FQVGHWZKPM&amp;VAR:QUERY=KFBfUFJJQ0UoNDAzMjUpLShGRl9DQVNIX1NUKFFUUiw0MDMyNSkvUF9DT01fU0hTX09VVCg0MDMyNSkpKS9GR","V9FU1RJTUFURSgnRVBTJywnTUVBTicsJ0FOTlVBTF9ST0xMJywnKzEnLDQwMzI1LCwsJycp&amp;WINDOW=FIRST_POPUP&amp;HEIGHT=450&amp;WIDTH=450&amp;START_MAXIMIZED=FALSE&amp;VAR:CALENDAR=US&amp;VAR:SYMBOL=98433210&amp;VAR:INDEX=0"}</definedName>
    <definedName name="_7521__FDSAUDITLINK__">{"fdsup://directions/FAT Viewer?action=UPDATE&amp;creator=factset&amp;DYN_ARGS=TRUE&amp;DOC_NAME=FAT:FQL_AUDITING_CLIENT_TEMPLATE.FAT&amp;display_string=Audit&amp;VAR:KEY=FQVGHWZKPM&amp;VAR:QUERY=KFBfUFJJQ0UoNDAzMjUpLShGRl9DQVNIX1NUKFFUUiw0MDMyNSkvUF9DT01fU0hTX09VVCg0MDMyNSkpKS9GR","V9FU1RJTUFURSgnRVBTJywnTUVBTicsJ0FOTlVBTF9ST0xMJywnKzEnLDQwMzI1LCwsJycp&amp;WINDOW=FIRST_POPUP&amp;HEIGHT=450&amp;WIDTH=450&amp;START_MAXIMIZED=FALSE&amp;VAR:CALENDAR=US&amp;VAR:SYMBOL=98433210&amp;VAR:INDEX=0"}</definedName>
    <definedName name="_7522__FDSAUDITLINK__">{"fdsup://directions/FAT Viewer?action=UPDATE&amp;creator=factset&amp;DYN_ARGS=TRUE&amp;DOC_NAME=FAT:FQL_AUDITING_CLIENT_TEMPLATE.FAT&amp;display_string=Audit&amp;VAR:KEY=ZMNUPOTYVM&amp;VAR:QUERY=KFBfUFJJQ0UoNDAzMjQpLShGRl9DQVNIX1NUKFFUUiw0MDMyNCkvUF9DT01fU0hTX09VVCg0MDMyNCkpKS9GR","V9FU1RJTUFURSgnRVBTJywnTUVBTicsJ0FOTlVBTF9ST0xMJywnKzEnLDQwMzI0LCwsJycp&amp;WINDOW=FIRST_POPUP&amp;HEIGHT=450&amp;WIDTH=450&amp;START_MAXIMIZED=FALSE&amp;VAR:CALENDAR=US&amp;VAR:SYMBOL=98433210&amp;VAR:INDEX=0"}</definedName>
    <definedName name="_7523__FDSAUDITLINK__">{"fdsup://directions/FAT Viewer?action=UPDATE&amp;creator=factset&amp;DYN_ARGS=TRUE&amp;DOC_NAME=FAT:FQL_AUDITING_CLIENT_TEMPLATE.FAT&amp;display_string=Audit&amp;VAR:KEY=ZMNUPOTYVM&amp;VAR:QUERY=KFBfUFJJQ0UoNDAzMjQpLShGRl9DQVNIX1NUKFFUUiw0MDMyNCkvUF9DT01fU0hTX09VVCg0MDMyNCkpKS9GR","V9FU1RJTUFURSgnRVBTJywnTUVBTicsJ0FOTlVBTF9ST0xMJywnKzEnLDQwMzI0LCwsJycp&amp;WINDOW=FIRST_POPUP&amp;HEIGHT=450&amp;WIDTH=450&amp;START_MAXIMIZED=FALSE&amp;VAR:CALENDAR=US&amp;VAR:SYMBOL=98433210&amp;VAR:INDEX=0"}</definedName>
    <definedName name="_7524__FDSAUDITLINK__">{"fdsup://directions/FAT Viewer?action=UPDATE&amp;creator=factset&amp;DYN_ARGS=TRUE&amp;DOC_NAME=FAT:FQL_AUDITING_CLIENT_TEMPLATE.FAT&amp;display_string=Audit&amp;VAR:KEY=JKDELGLIXM&amp;VAR:QUERY=KFBfUFJJQ0UoNDAzMjMpLShGRl9DQVNIX1NUKFFUUiw0MDMyMykvUF9DT01fU0hTX09VVCg0MDMyMykpKS9GR","V9FU1RJTUFURSgnRVBTJywnTUVBTicsJ0FOTlVBTF9ST0xMJywnKzEnLDQwMzIzLCwsJycp&amp;WINDOW=FIRST_POPUP&amp;HEIGHT=450&amp;WIDTH=450&amp;START_MAXIMIZED=FALSE&amp;VAR:CALENDAR=US&amp;VAR:SYMBOL=98433210&amp;VAR:INDEX=0"}</definedName>
    <definedName name="_7525__FDSAUDITLINK__">{"fdsup://directions/FAT Viewer?action=UPDATE&amp;creator=factset&amp;DYN_ARGS=TRUE&amp;DOC_NAME=FAT:FQL_AUDITING_CLIENT_TEMPLATE.FAT&amp;display_string=Audit&amp;VAR:KEY=JKDELGLIXM&amp;VAR:QUERY=KFBfUFJJQ0UoNDAzMjMpLShGRl9DQVNIX1NUKFFUUiw0MDMyMykvUF9DT01fU0hTX09VVCg0MDMyMykpKS9GR","V9FU1RJTUFURSgnRVBTJywnTUVBTicsJ0FOTlVBTF9ST0xMJywnKzEnLDQwMzIzLCwsJycp&amp;WINDOW=FIRST_POPUP&amp;HEIGHT=450&amp;WIDTH=450&amp;START_MAXIMIZED=FALSE&amp;VAR:CALENDAR=US&amp;VAR:SYMBOL=98433210&amp;VAR:INDEX=0"}</definedName>
    <definedName name="_7526__FDSAUDITLINK__">{"fdsup://directions/FAT Viewer?action=UPDATE&amp;creator=factset&amp;DYN_ARGS=TRUE&amp;DOC_NAME=FAT:FQL_AUDITING_CLIENT_TEMPLATE.FAT&amp;display_string=Audit&amp;VAR:KEY=TOHMDQRSDC&amp;VAR:QUERY=KFBfUFJJQ0UoNDAzMjIpLShGRl9DQVNIX1NUKFFUUiw0MDMyMikvUF9DT01fU0hTX09VVCg0MDMyMikpKS9GR","V9FU1RJTUFURSgnRVBTJywnTUVBTicsJ0FOTlVBTF9ST0xMJywnKzEnLDQwMzIyLCwsJycp&amp;WINDOW=FIRST_POPUP&amp;HEIGHT=450&amp;WIDTH=450&amp;START_MAXIMIZED=FALSE&amp;VAR:CALENDAR=US&amp;VAR:SYMBOL=98433210&amp;VAR:INDEX=0"}</definedName>
    <definedName name="_7527__FDSAUDITLINK__">{"fdsup://directions/FAT Viewer?action=UPDATE&amp;creator=factset&amp;DYN_ARGS=TRUE&amp;DOC_NAME=FAT:FQL_AUDITING_CLIENT_TEMPLATE.FAT&amp;display_string=Audit&amp;VAR:KEY=TOHMDQRSDC&amp;VAR:QUERY=KFBfUFJJQ0UoNDAzMjIpLShGRl9DQVNIX1NUKFFUUiw0MDMyMikvUF9DT01fU0hTX09VVCg0MDMyMikpKS9GR","V9FU1RJTUFURSgnRVBTJywnTUVBTicsJ0FOTlVBTF9ST0xMJywnKzEnLDQwMzIyLCwsJycp&amp;WINDOW=FIRST_POPUP&amp;HEIGHT=450&amp;WIDTH=450&amp;START_MAXIMIZED=FALSE&amp;VAR:CALENDAR=US&amp;VAR:SYMBOL=98433210&amp;VAR:INDEX=0"}</definedName>
    <definedName name="_7528__FDSAUDITLINK__">{"fdsup://directions/FAT Viewer?action=UPDATE&amp;creator=factset&amp;DYN_ARGS=TRUE&amp;DOC_NAME=FAT:FQL_AUDITING_CLIENT_TEMPLATE.FAT&amp;display_string=Audit&amp;VAR:KEY=DIPIFCHMTI&amp;VAR:QUERY=KFBfUFJJQ0UoNDAzMjEpLShGRl9DQVNIX1NUKFFUUiw0MDMyMSkvUF9DT01fU0hTX09VVCg0MDMyMSkpKS9GR","V9FU1RJTUFURSgnRVBTJywnTUVBTicsJ0FOTlVBTF9ST0xMJywnKzEnLDQwMzIxLCwsJycp&amp;WINDOW=FIRST_POPUP&amp;HEIGHT=450&amp;WIDTH=450&amp;START_MAXIMIZED=FALSE&amp;VAR:CALENDAR=US&amp;VAR:SYMBOL=98433210&amp;VAR:INDEX=0"}</definedName>
    <definedName name="_7529__FDSAUDITLINK__">{"fdsup://directions/FAT Viewer?action=UPDATE&amp;creator=factset&amp;DYN_ARGS=TRUE&amp;DOC_NAME=FAT:FQL_AUDITING_CLIENT_TEMPLATE.FAT&amp;display_string=Audit&amp;VAR:KEY=DIPIFCHMTI&amp;VAR:QUERY=KFBfUFJJQ0UoNDAzMjEpLShGRl9DQVNIX1NUKFFUUiw0MDMyMSkvUF9DT01fU0hTX09VVCg0MDMyMSkpKS9GR","V9FU1RJTUFURSgnRVBTJywnTUVBTicsJ0FOTlVBTF9ST0xMJywnKzEnLDQwMzIxLCwsJycp&amp;WINDOW=FIRST_POPUP&amp;HEIGHT=450&amp;WIDTH=450&amp;START_MAXIMIZED=FALSE&amp;VAR:CALENDAR=US&amp;VAR:SYMBOL=98433210&amp;VAR:INDEX=0"}</definedName>
    <definedName name="_75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1037"}</definedName>
    <definedName name="_7530__FDSAUDITLINK__">{"fdsup://directions/FAT Viewer?action=UPDATE&amp;creator=factset&amp;DYN_ARGS=TRUE&amp;DOC_NAME=FAT:FQL_AUDITING_CLIENT_TEMPLATE.FAT&amp;display_string=Audit&amp;VAR:KEY=VSVEHYNUBM&amp;VAR:QUERY=KFBfUFJJQ0UoNDAzMjApLShGRl9DQVNIX1NUKFFUUiw0MDMyMCkvUF9DT01fU0hTX09VVCg0MDMyMCkpKS9GR","V9FU1RJTUFURSgnRVBTJywnTUVBTicsJ0FOTlVBTF9ST0xMJywnKzEnLDQwMzIwLCwsJycp&amp;WINDOW=FIRST_POPUP&amp;HEIGHT=450&amp;WIDTH=450&amp;START_MAXIMIZED=FALSE&amp;VAR:CALENDAR=US&amp;VAR:SYMBOL=98433210&amp;VAR:INDEX=0"}</definedName>
    <definedName name="_7531__FDSAUDITLINK__">{"fdsup://directions/FAT Viewer?action=UPDATE&amp;creator=factset&amp;DYN_ARGS=TRUE&amp;DOC_NAME=FAT:FQL_AUDITING_CLIENT_TEMPLATE.FAT&amp;display_string=Audit&amp;VAR:KEY=VSVEHYNUBM&amp;VAR:QUERY=KFBfUFJJQ0UoNDAzMjApLShGRl9DQVNIX1NUKFFUUiw0MDMyMCkvUF9DT01fU0hTX09VVCg0MDMyMCkpKS9GR","V9FU1RJTUFURSgnRVBTJywnTUVBTicsJ0FOTlVBTF9ST0xMJywnKzEnLDQwMzIwLCwsJycp&amp;WINDOW=FIRST_POPUP&amp;HEIGHT=450&amp;WIDTH=450&amp;START_MAXIMIZED=FALSE&amp;VAR:CALENDAR=US&amp;VAR:SYMBOL=98433210&amp;VAR:INDEX=0"}</definedName>
    <definedName name="_7532__FDSAUDITLINK__">{"fdsup://directions/FAT Viewer?action=UPDATE&amp;creator=factset&amp;DYN_ARGS=TRUE&amp;DOC_NAME=FAT:FQL_AUDITING_CLIENT_TEMPLATE.FAT&amp;display_string=Audit&amp;VAR:KEY=TGPUNQRCRM&amp;VAR:QUERY=KFBfUFJJQ0UoNDAzMTkpLShGRl9DQVNIX1NUKFFUUiw0MDMxOSkvUF9DT01fU0hTX09VVCg0MDMxOSkpKS9GR","V9FU1RJTUFURSgnRVBTJywnTUVBTicsJ0FOTlVBTF9ST0xMJywnKzEnLDQwMzE5LCwsJycp&amp;WINDOW=FIRST_POPUP&amp;HEIGHT=450&amp;WIDTH=450&amp;START_MAXIMIZED=FALSE&amp;VAR:CALENDAR=US&amp;VAR:SYMBOL=98433210&amp;VAR:INDEX=0"}</definedName>
    <definedName name="_7533__FDSAUDITLINK__">{"fdsup://directions/FAT Viewer?action=UPDATE&amp;creator=factset&amp;DYN_ARGS=TRUE&amp;DOC_NAME=FAT:FQL_AUDITING_CLIENT_TEMPLATE.FAT&amp;display_string=Audit&amp;VAR:KEY=TGPUNQRCRM&amp;VAR:QUERY=KFBfUFJJQ0UoNDAzMTkpLShGRl9DQVNIX1NUKFFUUiw0MDMxOSkvUF9DT01fU0hTX09VVCg0MDMxOSkpKS9GR","V9FU1RJTUFURSgnRVBTJywnTUVBTicsJ0FOTlVBTF9ST0xMJywnKzEnLDQwMzE5LCwsJycp&amp;WINDOW=FIRST_POPUP&amp;HEIGHT=450&amp;WIDTH=450&amp;START_MAXIMIZED=FALSE&amp;VAR:CALENDAR=US&amp;VAR:SYMBOL=98433210&amp;VAR:INDEX=0"}</definedName>
    <definedName name="_7534__FDSAUDITLINK__">{"fdsup://directions/FAT Viewer?action=UPDATE&amp;creator=factset&amp;DYN_ARGS=TRUE&amp;DOC_NAME=FAT:FQL_AUDITING_CLIENT_TEMPLATE.FAT&amp;display_string=Audit&amp;VAR:KEY=FGTCJWLWTW&amp;VAR:QUERY=KFBfUFJJQ0UoNDAzMTgpLShGRl9DQVNIX1NUKFFUUiw0MDMxOCkvUF9DT01fU0hTX09VVCg0MDMxOCkpKS9GR","V9FU1RJTUFURSgnRVBTJywnTUVBTicsJ0FOTlVBTF9ST0xMJywnKzEnLDQwMzE4LCwsJycp&amp;WINDOW=FIRST_POPUP&amp;HEIGHT=450&amp;WIDTH=450&amp;START_MAXIMIZED=FALSE&amp;VAR:CALENDAR=US&amp;VAR:SYMBOL=98433210&amp;VAR:INDEX=0"}</definedName>
    <definedName name="_7535__FDSAUDITLINK__">{"fdsup://directions/FAT Viewer?action=UPDATE&amp;creator=factset&amp;DYN_ARGS=TRUE&amp;DOC_NAME=FAT:FQL_AUDITING_CLIENT_TEMPLATE.FAT&amp;display_string=Audit&amp;VAR:KEY=FGTCJWLWTW&amp;VAR:QUERY=KFBfUFJJQ0UoNDAzMTgpLShGRl9DQVNIX1NUKFFUUiw0MDMxOCkvUF9DT01fU0hTX09VVCg0MDMxOCkpKS9GR","V9FU1RJTUFURSgnRVBTJywnTUVBTicsJ0FOTlVBTF9ST0xMJywnKzEnLDQwMzE4LCwsJycp&amp;WINDOW=FIRST_POPUP&amp;HEIGHT=450&amp;WIDTH=450&amp;START_MAXIMIZED=FALSE&amp;VAR:CALENDAR=US&amp;VAR:SYMBOL=98433210&amp;VAR:INDEX=0"}</definedName>
    <definedName name="_7536__FDSAUDITLINK__">{"fdsup://directions/FAT Viewer?action=UPDATE&amp;creator=factset&amp;DYN_ARGS=TRUE&amp;DOC_NAME=FAT:FQL_AUDITING_CLIENT_TEMPLATE.FAT&amp;display_string=Audit&amp;VAR:KEY=NYHQRSLKRU&amp;VAR:QUERY=KFBfUFJJQ0UoNDAzMTcpLShGRl9DQVNIX1NUKFFUUiw0MDMxNykvUF9DT01fU0hTX09VVCg0MDMxNykpKS9GR","V9FU1RJTUFURSgnRVBTJywnTUVBTicsJ0FOTlVBTF9ST0xMJywnKzEnLDQwMzE3LCwsJycp&amp;WINDOW=FIRST_POPUP&amp;HEIGHT=450&amp;WIDTH=450&amp;START_MAXIMIZED=FALSE&amp;VAR:CALENDAR=US&amp;VAR:SYMBOL=98433210&amp;VAR:INDEX=0"}</definedName>
    <definedName name="_7537__FDSAUDITLINK__">{"fdsup://directions/FAT Viewer?action=UPDATE&amp;creator=factset&amp;DYN_ARGS=TRUE&amp;DOC_NAME=FAT:FQL_AUDITING_CLIENT_TEMPLATE.FAT&amp;display_string=Audit&amp;VAR:KEY=NYHQRSLKRU&amp;VAR:QUERY=KFBfUFJJQ0UoNDAzMTcpLShGRl9DQVNIX1NUKFFUUiw0MDMxNykvUF9DT01fU0hTX09VVCg0MDMxNykpKS9GR","V9FU1RJTUFURSgnRVBTJywnTUVBTicsJ0FOTlVBTF9ST0xMJywnKzEnLDQwMzE3LCwsJycp&amp;WINDOW=FIRST_POPUP&amp;HEIGHT=450&amp;WIDTH=450&amp;START_MAXIMIZED=FALSE&amp;VAR:CALENDAR=US&amp;VAR:SYMBOL=98433210&amp;VAR:INDEX=0"}</definedName>
    <definedName name="_7538__FDSAUDITLINK__">{"fdsup://directions/FAT Viewer?action=UPDATE&amp;creator=factset&amp;DYN_ARGS=TRUE&amp;DOC_NAME=FAT:FQL_AUDITING_CLIENT_TEMPLATE.FAT&amp;display_string=Audit&amp;VAR:KEY=XOTSBEPCTU&amp;VAR:QUERY=KFBfUFJJQ0UoNDAzMTYpLShGRl9DQVNIX1NUKFFUUiw0MDMxNikvUF9DT01fU0hTX09VVCg0MDMxNikpKS9GR","V9FU1RJTUFURSgnRVBTJywnTUVBTicsJ0FOTlVBTF9ST0xMJywnKzEnLDQwMzE2LCwsJycp&amp;WINDOW=FIRST_POPUP&amp;HEIGHT=450&amp;WIDTH=450&amp;START_MAXIMIZED=FALSE&amp;VAR:CALENDAR=US&amp;VAR:SYMBOL=98433210&amp;VAR:INDEX=0"}</definedName>
    <definedName name="_7539__FDSAUDITLINK__">{"fdsup://directions/FAT Viewer?action=UPDATE&amp;creator=factset&amp;DYN_ARGS=TRUE&amp;DOC_NAME=FAT:FQL_AUDITING_CLIENT_TEMPLATE.FAT&amp;display_string=Audit&amp;VAR:KEY=XOTSBEPCTU&amp;VAR:QUERY=KFBfUFJJQ0UoNDAzMTYpLShGRl9DQVNIX1NUKFFUUiw0MDMxNikvUF9DT01fU0hTX09VVCg0MDMxNikpKS9GR","V9FU1RJTUFURSgnRVBTJywnTUVBTicsJ0FOTlVBTF9ST0xMJywnKzEnLDQwMzE2LCwsJycp&amp;WINDOW=FIRST_POPUP&amp;HEIGHT=450&amp;WIDTH=450&amp;START_MAXIMIZED=FALSE&amp;VAR:CALENDAR=US&amp;VAR:SYMBOL=98433210&amp;VAR:INDEX=0"}</definedName>
    <definedName name="_75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1036"}</definedName>
    <definedName name="_7540__FDSAUDITLINK__">{"fdsup://directions/FAT Viewer?action=UPDATE&amp;creator=factset&amp;DYN_ARGS=TRUE&amp;DOC_NAME=FAT:FQL_AUDITING_CLIENT_TEMPLATE.FAT&amp;display_string=Audit&amp;VAR:KEY=BQXMXCNYVY&amp;VAR:QUERY=KFBfUFJJQ0UoNDAzMTUpLShGRl9DQVNIX1NUKFFUUiw0MDMxNSkvUF9DT01fU0hTX09VVCg0MDMxNSkpKS9GR","V9FU1RJTUFURSgnRVBTJywnTUVBTicsJ0FOTlVBTF9ST0xMJywnKzEnLDQwMzE1LCwsJycp&amp;WINDOW=FIRST_POPUP&amp;HEIGHT=450&amp;WIDTH=450&amp;START_MAXIMIZED=FALSE&amp;VAR:CALENDAR=US&amp;VAR:SYMBOL=98433210&amp;VAR:INDEX=0"}</definedName>
    <definedName name="_7541__FDSAUDITLINK__">{"fdsup://directions/FAT Viewer?action=UPDATE&amp;creator=factset&amp;DYN_ARGS=TRUE&amp;DOC_NAME=FAT:FQL_AUDITING_CLIENT_TEMPLATE.FAT&amp;display_string=Audit&amp;VAR:KEY=BQXMXCNYVY&amp;VAR:QUERY=KFBfUFJJQ0UoNDAzMTUpLShGRl9DQVNIX1NUKFFUUiw0MDMxNSkvUF9DT01fU0hTX09VVCg0MDMxNSkpKS9GR","V9FU1RJTUFURSgnRVBTJywnTUVBTicsJ0FOTlVBTF9ST0xMJywnKzEnLDQwMzE1LCwsJycp&amp;WINDOW=FIRST_POPUP&amp;HEIGHT=450&amp;WIDTH=450&amp;START_MAXIMIZED=FALSE&amp;VAR:CALENDAR=US&amp;VAR:SYMBOL=98433210&amp;VAR:INDEX=0"}</definedName>
    <definedName name="_7542__FDSAUDITLINK__">{"fdsup://directions/FAT Viewer?action=UPDATE&amp;creator=factset&amp;DYN_ARGS=TRUE&amp;DOC_NAME=FAT:FQL_AUDITING_CLIENT_TEMPLATE.FAT&amp;display_string=Audit&amp;VAR:KEY=BQHKHOFSPC&amp;VAR:QUERY=KFBfUFJJQ0UoNDAzMTQpLShGRl9DQVNIX1NUKFFUUiw0MDMxNCkvUF9DT01fU0hTX09VVCg0MDMxNCkpKS9GR","V9FU1RJTUFURSgnRVBTJywnTUVBTicsJ0FOTlVBTF9ST0xMJywnKzEnLDQwMzE0LCwsJycp&amp;WINDOW=FIRST_POPUP&amp;HEIGHT=450&amp;WIDTH=450&amp;START_MAXIMIZED=FALSE&amp;VAR:CALENDAR=US&amp;VAR:SYMBOL=98433210&amp;VAR:INDEX=0"}</definedName>
    <definedName name="_7543__FDSAUDITLINK__">{"fdsup://directions/FAT Viewer?action=UPDATE&amp;creator=factset&amp;DYN_ARGS=TRUE&amp;DOC_NAME=FAT:FQL_AUDITING_CLIENT_TEMPLATE.FAT&amp;display_string=Audit&amp;VAR:KEY=BQHKHOFSPC&amp;VAR:QUERY=KFBfUFJJQ0UoNDAzMTQpLShGRl9DQVNIX1NUKFFUUiw0MDMxNCkvUF9DT01fU0hTX09VVCg0MDMxNCkpKS9GR","V9FU1RJTUFURSgnRVBTJywnTUVBTicsJ0FOTlVBTF9ST0xMJywnKzEnLDQwMzE0LCwsJycp&amp;WINDOW=FIRST_POPUP&amp;HEIGHT=450&amp;WIDTH=450&amp;START_MAXIMIZED=FALSE&amp;VAR:CALENDAR=US&amp;VAR:SYMBOL=98433210&amp;VAR:INDEX=0"}</definedName>
    <definedName name="_7544__FDSAUDITLINK__">{"fdsup://directions/FAT Viewer?action=UPDATE&amp;creator=factset&amp;DYN_ARGS=TRUE&amp;DOC_NAME=FAT:FQL_AUDITING_CLIENT_TEMPLATE.FAT&amp;display_string=Audit&amp;VAR:KEY=PKBQVOBOFE&amp;VAR:QUERY=KFBfUFJJQ0UoNDAzMTMpLShGRl9DQVNIX1NUKFFUUiw0MDMxMykvUF9DT01fU0hTX09VVCg0MDMxMykpKS9GR","V9FU1RJTUFURSgnRVBTJywnTUVBTicsJ0FOTlVBTF9ST0xMJywnKzEnLDQwMzEzLCwsJycp&amp;WINDOW=FIRST_POPUP&amp;HEIGHT=450&amp;WIDTH=450&amp;START_MAXIMIZED=FALSE&amp;VAR:CALENDAR=US&amp;VAR:SYMBOL=98433210&amp;VAR:INDEX=0"}</definedName>
    <definedName name="_7545__FDSAUDITLINK__">{"fdsup://directions/FAT Viewer?action=UPDATE&amp;creator=factset&amp;DYN_ARGS=TRUE&amp;DOC_NAME=FAT:FQL_AUDITING_CLIENT_TEMPLATE.FAT&amp;display_string=Audit&amp;VAR:KEY=PKBQVOBOFE&amp;VAR:QUERY=KFBfUFJJQ0UoNDAzMTMpLShGRl9DQVNIX1NUKFFUUiw0MDMxMykvUF9DT01fU0hTX09VVCg0MDMxMykpKS9GR","V9FU1RJTUFURSgnRVBTJywnTUVBTicsJ0FOTlVBTF9ST0xMJywnKzEnLDQwMzEzLCwsJycp&amp;WINDOW=FIRST_POPUP&amp;HEIGHT=450&amp;WIDTH=450&amp;START_MAXIMIZED=FALSE&amp;VAR:CALENDAR=US&amp;VAR:SYMBOL=98433210&amp;VAR:INDEX=0"}</definedName>
    <definedName name="_7546__FDSAUDITLINK__">{"fdsup://directions/FAT Viewer?action=UPDATE&amp;creator=factset&amp;DYN_ARGS=TRUE&amp;DOC_NAME=FAT:FQL_AUDITING_CLIENT_TEMPLATE.FAT&amp;display_string=Audit&amp;VAR:KEY=XMFSHENCHS&amp;VAR:QUERY=KFBfUFJJQ0UoNDAzMTIpLShGRl9DQVNIX1NUKFFUUiw0MDMxMikvUF9DT01fU0hTX09VVCg0MDMxMikpKS9GR","V9FU1RJTUFURSgnRVBTJywnTUVBTicsJ0FOTlVBTF9ST0xMJywnKzEnLDQwMzEyLCwsJycp&amp;WINDOW=FIRST_POPUP&amp;HEIGHT=450&amp;WIDTH=450&amp;START_MAXIMIZED=FALSE&amp;VAR:CALENDAR=US&amp;VAR:SYMBOL=98433210&amp;VAR:INDEX=0"}</definedName>
    <definedName name="_7547__FDSAUDITLINK__">{"fdsup://directions/FAT Viewer?action=UPDATE&amp;creator=factset&amp;DYN_ARGS=TRUE&amp;DOC_NAME=FAT:FQL_AUDITING_CLIENT_TEMPLATE.FAT&amp;display_string=Audit&amp;VAR:KEY=XMFSHENCHS&amp;VAR:QUERY=KFBfUFJJQ0UoNDAzMTIpLShGRl9DQVNIX1NUKFFUUiw0MDMxMikvUF9DT01fU0hTX09VVCg0MDMxMikpKS9GR","V9FU1RJTUFURSgnRVBTJywnTUVBTicsJ0FOTlVBTF9ST0xMJywnKzEnLDQwMzEyLCwsJycp&amp;WINDOW=FIRST_POPUP&amp;HEIGHT=450&amp;WIDTH=450&amp;START_MAXIMIZED=FALSE&amp;VAR:CALENDAR=US&amp;VAR:SYMBOL=98433210&amp;VAR:INDEX=0"}</definedName>
    <definedName name="_7548__FDSAUDITLINK__">{"fdsup://directions/FAT Viewer?action=UPDATE&amp;creator=factset&amp;DYN_ARGS=TRUE&amp;DOC_NAME=FAT:FQL_AUDITING_CLIENT_TEMPLATE.FAT&amp;display_string=Audit&amp;VAR:KEY=XIFODMDKFS&amp;VAR:QUERY=KFBfUFJJQ0UoNDAzMTEpLShGRl9DQVNIX1NUKFFUUiw0MDMxMSkvUF9DT01fU0hTX09VVCg0MDMxMSkpKS9GR","V9FU1RJTUFURSgnRVBTJywnTUVBTicsJ0FOTlVBTF9ST0xMJywnKzEnLDQwMzExLCwsJycp&amp;WINDOW=FIRST_POPUP&amp;HEIGHT=450&amp;WIDTH=450&amp;START_MAXIMIZED=FALSE&amp;VAR:CALENDAR=US&amp;VAR:SYMBOL=98433210&amp;VAR:INDEX=0"}</definedName>
    <definedName name="_7549__FDSAUDITLINK__">{"fdsup://directions/FAT Viewer?action=UPDATE&amp;creator=factset&amp;DYN_ARGS=TRUE&amp;DOC_NAME=FAT:FQL_AUDITING_CLIENT_TEMPLATE.FAT&amp;display_string=Audit&amp;VAR:KEY=XIFODMDKFS&amp;VAR:QUERY=KFBfUFJJQ0UoNDAzMTEpLShGRl9DQVNIX1NUKFFUUiw0MDMxMSkvUF9DT01fU0hTX09VVCg0MDMxMSkpKS9GR","V9FU1RJTUFURSgnRVBTJywnTUVBTicsJ0FOTlVBTF9ST0xMJywnKzEnLDQwMzExLCwsJycp&amp;WINDOW=FIRST_POPUP&amp;HEIGHT=450&amp;WIDTH=450&amp;START_MAXIMIZED=FALSE&amp;VAR:CALENDAR=US&amp;VAR:SYMBOL=98433210&amp;VAR:INDEX=0"}</definedName>
    <definedName name="_75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1035"}</definedName>
    <definedName name="_7550__FDSAUDITLINK__">{"fdsup://directions/FAT Viewer?action=UPDATE&amp;creator=factset&amp;DYN_ARGS=TRUE&amp;DOC_NAME=FAT:FQL_AUDITING_CLIENT_TEMPLATE.FAT&amp;display_string=Audit&amp;VAR:KEY=FINMTIDGFA&amp;VAR:QUERY=KFBfUFJJQ0UoNDAzMTApLShGRl9DQVNIX1NUKFFUUiw0MDMxMCkvUF9DT01fU0hTX09VVCg0MDMxMCkpKS9GR","V9FU1RJTUFURSgnRVBTJywnTUVBTicsJ0FOTlVBTF9ST0xMJywnKzEnLDQwMzEwLCwsJycp&amp;WINDOW=FIRST_POPUP&amp;HEIGHT=450&amp;WIDTH=450&amp;START_MAXIMIZED=FALSE&amp;VAR:CALENDAR=US&amp;VAR:SYMBOL=98433210&amp;VAR:INDEX=0"}</definedName>
    <definedName name="_7551__FDSAUDITLINK__">{"fdsup://directions/FAT Viewer?action=UPDATE&amp;creator=factset&amp;DYN_ARGS=TRUE&amp;DOC_NAME=FAT:FQL_AUDITING_CLIENT_TEMPLATE.FAT&amp;display_string=Audit&amp;VAR:KEY=FINMTIDGFA&amp;VAR:QUERY=KFBfUFJJQ0UoNDAzMTApLShGRl9DQVNIX1NUKFFUUiw0MDMxMCkvUF9DT01fU0hTX09VVCg0MDMxMCkpKS9GR","V9FU1RJTUFURSgnRVBTJywnTUVBTicsJ0FOTlVBTF9ST0xMJywnKzEnLDQwMzEwLCwsJycp&amp;WINDOW=FIRST_POPUP&amp;HEIGHT=450&amp;WIDTH=450&amp;START_MAXIMIZED=FALSE&amp;VAR:CALENDAR=US&amp;VAR:SYMBOL=98433210&amp;VAR:INDEX=0"}</definedName>
    <definedName name="_7552__FDSAUDITLINK__">{"fdsup://directions/FAT Viewer?action=UPDATE&amp;creator=factset&amp;DYN_ARGS=TRUE&amp;DOC_NAME=FAT:FQL_AUDITING_CLIENT_TEMPLATE.FAT&amp;display_string=Audit&amp;VAR:KEY=RYZAXERAPS&amp;VAR:QUERY=KFBfUFJJQ0UoNDAzMDkpLShGRl9DQVNIX1NUKFFUUiw0MDMwOSkvUF9DT01fU0hTX09VVCg0MDMwOSkpKS9GR","V9FU1RJTUFURSgnRVBTJywnTUVBTicsJ0FOTlVBTF9ST0xMJywnKzEnLDQwMzA5LCwsJycp&amp;WINDOW=FIRST_POPUP&amp;HEIGHT=450&amp;WIDTH=450&amp;START_MAXIMIZED=FALSE&amp;VAR:CALENDAR=US&amp;VAR:SYMBOL=98433210&amp;VAR:INDEX=0"}</definedName>
    <definedName name="_7553__FDSAUDITLINK__">{"fdsup://directions/FAT Viewer?action=UPDATE&amp;creator=factset&amp;DYN_ARGS=TRUE&amp;DOC_NAME=FAT:FQL_AUDITING_CLIENT_TEMPLATE.FAT&amp;display_string=Audit&amp;VAR:KEY=RYZAXERAPS&amp;VAR:QUERY=KFBfUFJJQ0UoNDAzMDkpLShGRl9DQVNIX1NUKFFUUiw0MDMwOSkvUF9DT01fU0hTX09VVCg0MDMwOSkpKS9GR","V9FU1RJTUFURSgnRVBTJywnTUVBTicsJ0FOTlVBTF9ST0xMJywnKzEnLDQwMzA5LCwsJycp&amp;WINDOW=FIRST_POPUP&amp;HEIGHT=450&amp;WIDTH=450&amp;START_MAXIMIZED=FALSE&amp;VAR:CALENDAR=US&amp;VAR:SYMBOL=98433210&amp;VAR:INDEX=0"}</definedName>
    <definedName name="_7554__FDSAUDITLINK__">{"fdsup://directions/FAT Viewer?action=UPDATE&amp;creator=factset&amp;DYN_ARGS=TRUE&amp;DOC_NAME=FAT:FQL_AUDITING_CLIENT_TEMPLATE.FAT&amp;display_string=Audit&amp;VAR:KEY=ZGTMTULIPU&amp;VAR:QUERY=KFBfUFJJQ0UoNDAzMDgpLShGRl9DQVNIX1NUKFFUUiw0MDMwOCkvUF9DT01fU0hTX09VVCg0MDMwOCkpKS9GR","V9FU1RJTUFURSgnRVBTJywnTUVBTicsJ0FOTlVBTF9ST0xMJywnKzEnLDQwMzA4LCwsJycp&amp;WINDOW=FIRST_POPUP&amp;HEIGHT=450&amp;WIDTH=450&amp;START_MAXIMIZED=FALSE&amp;VAR:CALENDAR=US&amp;VAR:SYMBOL=98433210&amp;VAR:INDEX=0"}</definedName>
    <definedName name="_7555__FDSAUDITLINK__">{"fdsup://directions/FAT Viewer?action=UPDATE&amp;creator=factset&amp;DYN_ARGS=TRUE&amp;DOC_NAME=FAT:FQL_AUDITING_CLIENT_TEMPLATE.FAT&amp;display_string=Audit&amp;VAR:KEY=ZGTMTULIPU&amp;VAR:QUERY=KFBfUFJJQ0UoNDAzMDgpLShGRl9DQVNIX1NUKFFUUiw0MDMwOCkvUF9DT01fU0hTX09VVCg0MDMwOCkpKS9GR","V9FU1RJTUFURSgnRVBTJywnTUVBTicsJ0FOTlVBTF9ST0xMJywnKzEnLDQwMzA4LCwsJycp&amp;WINDOW=FIRST_POPUP&amp;HEIGHT=450&amp;WIDTH=450&amp;START_MAXIMIZED=FALSE&amp;VAR:CALENDAR=US&amp;VAR:SYMBOL=98433210&amp;VAR:INDEX=0"}</definedName>
    <definedName name="_7556__FDSAUDITLINK__">{"fdsup://directions/FAT Viewer?action=UPDATE&amp;creator=factset&amp;DYN_ARGS=TRUE&amp;DOC_NAME=FAT:FQL_AUDITING_CLIENT_TEMPLATE.FAT&amp;display_string=Audit&amp;VAR:KEY=PAVSHQRQLE&amp;VAR:QUERY=KFBfUFJJQ0UoNDAzMDcpLShGRl9DQVNIX1NUKFFUUiw0MDMwNykvUF9DT01fU0hTX09VVCg0MDMwNykpKS9GR","V9FU1RJTUFURSgnRVBTJywnTUVBTicsJ0FOTlVBTF9ST0xMJywnKzEnLDQwMzA3LCwsJycp&amp;WINDOW=FIRST_POPUP&amp;HEIGHT=450&amp;WIDTH=450&amp;START_MAXIMIZED=FALSE&amp;VAR:CALENDAR=US&amp;VAR:SYMBOL=98433210&amp;VAR:INDEX=0"}</definedName>
    <definedName name="_7557__FDSAUDITLINK__">{"fdsup://directions/FAT Viewer?action=UPDATE&amp;creator=factset&amp;DYN_ARGS=TRUE&amp;DOC_NAME=FAT:FQL_AUDITING_CLIENT_TEMPLATE.FAT&amp;display_string=Audit&amp;VAR:KEY=PAVSHQRQLE&amp;VAR:QUERY=KFBfUFJJQ0UoNDAzMDcpLShGRl9DQVNIX1NUKFFUUiw0MDMwNykvUF9DT01fU0hTX09VVCg0MDMwNykpKS9GR","V9FU1RJTUFURSgnRVBTJywnTUVBTicsJ0FOTlVBTF9ST0xMJywnKzEnLDQwMzA3LCwsJycp&amp;WINDOW=FIRST_POPUP&amp;HEIGHT=450&amp;WIDTH=450&amp;START_MAXIMIZED=FALSE&amp;VAR:CALENDAR=US&amp;VAR:SYMBOL=98433210&amp;VAR:INDEX=0"}</definedName>
    <definedName name="_7558__FDSAUDITLINK__">{"fdsup://directions/FAT Viewer?action=UPDATE&amp;creator=factset&amp;DYN_ARGS=TRUE&amp;DOC_NAME=FAT:FQL_AUDITING_CLIENT_TEMPLATE.FAT&amp;display_string=Audit&amp;VAR:KEY=ZWZYNAXUVC&amp;VAR:QUERY=KFBfUFJJQ0UoNDAzMDYpLShGRl9DQVNIX1NUKFFUUiw0MDMwNikvUF9DT01fU0hTX09VVCg0MDMwNikpKS9GR","V9FU1RJTUFURSgnRVBTJywnTUVBTicsJ0FOTlVBTF9ST0xMJywnKzEnLDQwMzA2LCwsJycp&amp;WINDOW=FIRST_POPUP&amp;HEIGHT=450&amp;WIDTH=450&amp;START_MAXIMIZED=FALSE&amp;VAR:CALENDAR=US&amp;VAR:SYMBOL=98433210&amp;VAR:INDEX=0"}</definedName>
    <definedName name="_7559__FDSAUDITLINK__">{"fdsup://directions/FAT Viewer?action=UPDATE&amp;creator=factset&amp;DYN_ARGS=TRUE&amp;DOC_NAME=FAT:FQL_AUDITING_CLIENT_TEMPLATE.FAT&amp;display_string=Audit&amp;VAR:KEY=ZWZYNAXUVC&amp;VAR:QUERY=KFBfUFJJQ0UoNDAzMDYpLShGRl9DQVNIX1NUKFFUUiw0MDMwNikvUF9DT01fU0hTX09VVCg0MDMwNikpKS9GR","V9FU1RJTUFURSgnRVBTJywnTUVBTicsJ0FOTlVBTF9ST0xMJywnKzEnLDQwMzA2LCwsJycp&amp;WINDOW=FIRST_POPUP&amp;HEIGHT=450&amp;WIDTH=450&amp;START_MAXIMIZED=FALSE&amp;VAR:CALENDAR=US&amp;VAR:SYMBOL=98433210&amp;VAR:INDEX=0"}</definedName>
    <definedName name="_75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1034"}</definedName>
    <definedName name="_7560__FDSAUDITLINK__">{"fdsup://directions/FAT Viewer?action=UPDATE&amp;creator=factset&amp;DYN_ARGS=TRUE&amp;DOC_NAME=FAT:FQL_AUDITING_CLIENT_TEMPLATE.FAT&amp;display_string=Audit&amp;VAR:KEY=LWJGDKBSZG&amp;VAR:QUERY=KFBfUFJJQ0UoNDAzMDUpLShGRl9DQVNIX1NUKFFUUiw0MDMwNSkvUF9DT01fU0hTX09VVCg0MDMwNSkpKS9GR","V9FU1RJTUFURSgnRVBTJywnTUVBTicsJ0FOTlVBTF9ST0xMJywnKzEnLDQwMzA1LCwsJycp&amp;WINDOW=FIRST_POPUP&amp;HEIGHT=450&amp;WIDTH=450&amp;START_MAXIMIZED=FALSE&amp;VAR:CALENDAR=US&amp;VAR:SYMBOL=98433210&amp;VAR:INDEX=0"}</definedName>
    <definedName name="_7561__FDSAUDITLINK__">{"fdsup://directions/FAT Viewer?action=UPDATE&amp;creator=factset&amp;DYN_ARGS=TRUE&amp;DOC_NAME=FAT:FQL_AUDITING_CLIENT_TEMPLATE.FAT&amp;display_string=Audit&amp;VAR:KEY=LWJGDKBSZG&amp;VAR:QUERY=KFBfUFJJQ0UoNDAzMDUpLShGRl9DQVNIX1NUKFFUUiw0MDMwNSkvUF9DT01fU0hTX09VVCg0MDMwNSkpKS9GR","V9FU1RJTUFURSgnRVBTJywnTUVBTicsJ0FOTlVBTF9ST0xMJywnKzEnLDQwMzA1LCwsJycp&amp;WINDOW=FIRST_POPUP&amp;HEIGHT=450&amp;WIDTH=450&amp;START_MAXIMIZED=FALSE&amp;VAR:CALENDAR=US&amp;VAR:SYMBOL=98433210&amp;VAR:INDEX=0"}</definedName>
    <definedName name="_7562__FDSAUDITLINK__">{"fdsup://directions/FAT Viewer?action=UPDATE&amp;creator=factset&amp;DYN_ARGS=TRUE&amp;DOC_NAME=FAT:FQL_AUDITING_CLIENT_TEMPLATE.FAT&amp;display_string=Audit&amp;VAR:KEY=NUBWDQRWZC&amp;VAR:QUERY=KFBfUFJJQ0UoNDAzMDQpLShGRl9DQVNIX1NUKFFUUiw0MDMwNCkvUF9DT01fU0hTX09VVCg0MDMwNCkpKS9GR","V9FU1RJTUFURSgnRVBTJywnTUVBTicsJ0FOTlVBTF9ST0xMJywnKzEnLDQwMzA0LCwsJycp&amp;WINDOW=FIRST_POPUP&amp;HEIGHT=450&amp;WIDTH=450&amp;START_MAXIMIZED=FALSE&amp;VAR:CALENDAR=US&amp;VAR:SYMBOL=98433210&amp;VAR:INDEX=0"}</definedName>
    <definedName name="_7563__FDSAUDITLINK__">{"fdsup://directions/FAT Viewer?action=UPDATE&amp;creator=factset&amp;DYN_ARGS=TRUE&amp;DOC_NAME=FAT:FQL_AUDITING_CLIENT_TEMPLATE.FAT&amp;display_string=Audit&amp;VAR:KEY=NUBWDQRWZC&amp;VAR:QUERY=KFBfUFJJQ0UoNDAzMDQpLShGRl9DQVNIX1NUKFFUUiw0MDMwNCkvUF9DT01fU0hTX09VVCg0MDMwNCkpKS9GR","V9FU1RJTUFURSgnRVBTJywnTUVBTicsJ0FOTlVBTF9ST0xMJywnKzEnLDQwMzA0LCwsJycp&amp;WINDOW=FIRST_POPUP&amp;HEIGHT=450&amp;WIDTH=450&amp;START_MAXIMIZED=FALSE&amp;VAR:CALENDAR=US&amp;VAR:SYMBOL=98433210&amp;VAR:INDEX=0"}</definedName>
    <definedName name="_7564__FDSAUDITLINK__">{"fdsup://directions/FAT Viewer?action=UPDATE&amp;creator=factset&amp;DYN_ARGS=TRUE&amp;DOC_NAME=FAT:FQL_AUDITING_CLIENT_TEMPLATE.FAT&amp;display_string=Audit&amp;VAR:KEY=PGLYHUBITA&amp;VAR:QUERY=KFBfUFJJQ0UoNDAzMDMpLShGRl9DQVNIX1NUKFFUUiw0MDMwMykvUF9DT01fU0hTX09VVCg0MDMwMykpKS9GR","V9FU1RJTUFURSgnRVBTJywnTUVBTicsJ0FOTlVBTF9ST0xMJywnKzEnLDQwMzAzLCwsJycp&amp;WINDOW=FIRST_POPUP&amp;HEIGHT=450&amp;WIDTH=450&amp;START_MAXIMIZED=FALSE&amp;VAR:CALENDAR=US&amp;VAR:SYMBOL=98433210&amp;VAR:INDEX=0"}</definedName>
    <definedName name="_7565__FDSAUDITLINK__">{"fdsup://directions/FAT Viewer?action=UPDATE&amp;creator=factset&amp;DYN_ARGS=TRUE&amp;DOC_NAME=FAT:FQL_AUDITING_CLIENT_TEMPLATE.FAT&amp;display_string=Audit&amp;VAR:KEY=PGLYHUBITA&amp;VAR:QUERY=KFBfUFJJQ0UoNDAzMDMpLShGRl9DQVNIX1NUKFFUUiw0MDMwMykvUF9DT01fU0hTX09VVCg0MDMwMykpKS9GR","V9FU1RJTUFURSgnRVBTJywnTUVBTicsJ0FOTlVBTF9ST0xMJywnKzEnLDQwMzAzLCwsJycp&amp;WINDOW=FIRST_POPUP&amp;HEIGHT=450&amp;WIDTH=450&amp;START_MAXIMIZED=FALSE&amp;VAR:CALENDAR=US&amp;VAR:SYMBOL=98433210&amp;VAR:INDEX=0"}</definedName>
    <definedName name="_7566__FDSAUDITLINK__">{"fdsup://directions/FAT Viewer?action=UPDATE&amp;creator=factset&amp;DYN_ARGS=TRUE&amp;DOC_NAME=FAT:FQL_AUDITING_CLIENT_TEMPLATE.FAT&amp;display_string=Audit&amp;VAR:KEY=TQXGZCRCLK&amp;VAR:QUERY=KFBfUFJJQ0UoNDAzMDIpLShGRl9DQVNIX1NUKFFUUiw0MDMwMikvUF9DT01fU0hTX09VVCg0MDMwMikpKS9GR","V9FU1RJTUFURSgnRVBTJywnTUVBTicsJ0FOTlVBTF9ST0xMJywnKzEnLDQwMzAyLCwsJycp&amp;WINDOW=FIRST_POPUP&amp;HEIGHT=450&amp;WIDTH=450&amp;START_MAXIMIZED=FALSE&amp;VAR:CALENDAR=US&amp;VAR:SYMBOL=98433210&amp;VAR:INDEX=0"}</definedName>
    <definedName name="_7567__FDSAUDITLINK__">{"fdsup://directions/FAT Viewer?action=UPDATE&amp;creator=factset&amp;DYN_ARGS=TRUE&amp;DOC_NAME=FAT:FQL_AUDITING_CLIENT_TEMPLATE.FAT&amp;display_string=Audit&amp;VAR:KEY=TQXGZCRCLK&amp;VAR:QUERY=KFBfUFJJQ0UoNDAzMDIpLShGRl9DQVNIX1NUKFFUUiw0MDMwMikvUF9DT01fU0hTX09VVCg0MDMwMikpKS9GR","V9FU1RJTUFURSgnRVBTJywnTUVBTicsJ0FOTlVBTF9ST0xMJywnKzEnLDQwMzAyLCwsJycp&amp;WINDOW=FIRST_POPUP&amp;HEIGHT=450&amp;WIDTH=450&amp;START_MAXIMIZED=FALSE&amp;VAR:CALENDAR=US&amp;VAR:SYMBOL=98433210&amp;VAR:INDEX=0"}</definedName>
    <definedName name="_7568__FDSAUDITLINK__">{"fdsup://directions/FAT Viewer?action=UPDATE&amp;creator=factset&amp;DYN_ARGS=TRUE&amp;DOC_NAME=FAT:FQL_AUDITING_CLIENT_TEMPLATE.FAT&amp;display_string=Audit&amp;VAR:KEY=ZCNIRGPUPK&amp;VAR:QUERY=KFBfUFJJQ0UoNDAzMDEpLShGRl9DQVNIX1NUKFFUUiw0MDMwMSkvUF9DT01fU0hTX09VVCg0MDMwMSkpKS9GR","V9FU1RJTUFURSgnRVBTJywnTUVBTicsJ0FOTlVBTF9ST0xMJywnKzEnLDQwMzAxLCwsJycp&amp;WINDOW=FIRST_POPUP&amp;HEIGHT=450&amp;WIDTH=450&amp;START_MAXIMIZED=FALSE&amp;VAR:CALENDAR=US&amp;VAR:SYMBOL=98433210&amp;VAR:INDEX=0"}</definedName>
    <definedName name="_7569__FDSAUDITLINK__">{"fdsup://directions/FAT Viewer?action=UPDATE&amp;creator=factset&amp;DYN_ARGS=TRUE&amp;DOC_NAME=FAT:FQL_AUDITING_CLIENT_TEMPLATE.FAT&amp;display_string=Audit&amp;VAR:KEY=ZCNIRGPUPK&amp;VAR:QUERY=KFBfUFJJQ0UoNDAzMDEpLShGRl9DQVNIX1NUKFFUUiw0MDMwMSkvUF9DT01fU0hTX09VVCg0MDMwMSkpKS9GR","V9FU1RJTUFURSgnRVBTJywnTUVBTicsJ0FOTlVBTF9ST0xMJywnKzEnLDQwMzAxLCwsJycp&amp;WINDOW=FIRST_POPUP&amp;HEIGHT=450&amp;WIDTH=450&amp;START_MAXIMIZED=FALSE&amp;VAR:CALENDAR=US&amp;VAR:SYMBOL=98433210&amp;VAR:INDEX=0"}</definedName>
    <definedName name="_75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1033"}</definedName>
    <definedName name="_7570__FDSAUDITLINK__">{"fdsup://directions/FAT Viewer?action=UPDATE&amp;creator=factset&amp;DYN_ARGS=TRUE&amp;DOC_NAME=FAT:FQL_AUDITING_CLIENT_TEMPLATE.FAT&amp;display_string=Audit&amp;VAR:KEY=LQTQBQPSNQ&amp;VAR:QUERY=KFBfUFJJQ0UoNDAzMDApLShGRl9DQVNIX1NUKFFUUiw0MDMwMCkvUF9DT01fU0hTX09VVCg0MDMwMCkpKS9GR","V9FU1RJTUFURSgnRVBTJywnTUVBTicsJ0FOTlVBTF9ST0xMJywnKzEnLDQwMzAwLCwsJycp&amp;WINDOW=FIRST_POPUP&amp;HEIGHT=450&amp;WIDTH=450&amp;START_MAXIMIZED=FALSE&amp;VAR:CALENDAR=US&amp;VAR:SYMBOL=98433210&amp;VAR:INDEX=0"}</definedName>
    <definedName name="_7571__FDSAUDITLINK__">{"fdsup://directions/FAT Viewer?action=UPDATE&amp;creator=factset&amp;DYN_ARGS=TRUE&amp;DOC_NAME=FAT:FQL_AUDITING_CLIENT_TEMPLATE.FAT&amp;display_string=Audit&amp;VAR:KEY=LQTQBQPSNQ&amp;VAR:QUERY=KFBfUFJJQ0UoNDAzMDApLShGRl9DQVNIX1NUKFFUUiw0MDMwMCkvUF9DT01fU0hTX09VVCg0MDMwMCkpKS9GR","V9FU1RJTUFURSgnRVBTJywnTUVBTicsJ0FOTlVBTF9ST0xMJywnKzEnLDQwMzAwLCwsJycp&amp;WINDOW=FIRST_POPUP&amp;HEIGHT=450&amp;WIDTH=450&amp;START_MAXIMIZED=FALSE&amp;VAR:CALENDAR=US&amp;VAR:SYMBOL=98433210&amp;VAR:INDEX=0"}</definedName>
    <definedName name="_7572__FDSAUDITLINK__">{"fdsup://directions/FAT Viewer?action=UPDATE&amp;creator=factset&amp;DYN_ARGS=TRUE&amp;DOC_NAME=FAT:FQL_AUDITING_CLIENT_TEMPLATE.FAT&amp;display_string=Audit&amp;VAR:KEY=VOFCRIXAVS&amp;VAR:QUERY=KFBfUFJJQ0UoNDAyOTkpLShGRl9DQVNIX1NUKFFUUiw0MDI5OSkvUF9DT01fU0hTX09VVCg0MDI5OSkpKS9GR","V9FU1RJTUFURSgnRVBTJywnTUVBTicsJ0FOTlVBTF9ST0xMJywnKzEnLDQwMjk5LCwsJycp&amp;WINDOW=FIRST_POPUP&amp;HEIGHT=450&amp;WIDTH=450&amp;START_MAXIMIZED=FALSE&amp;VAR:CALENDAR=US&amp;VAR:SYMBOL=98433210&amp;VAR:INDEX=0"}</definedName>
    <definedName name="_7573__FDSAUDITLINK__">{"fdsup://directions/FAT Viewer?action=UPDATE&amp;creator=factset&amp;DYN_ARGS=TRUE&amp;DOC_NAME=FAT:FQL_AUDITING_CLIENT_TEMPLATE.FAT&amp;display_string=Audit&amp;VAR:KEY=VOFCRIXAVS&amp;VAR:QUERY=KFBfUFJJQ0UoNDAyOTkpLShGRl9DQVNIX1NUKFFUUiw0MDI5OSkvUF9DT01fU0hTX09VVCg0MDI5OSkpKS9GR","V9FU1RJTUFURSgnRVBTJywnTUVBTicsJ0FOTlVBTF9ST0xMJywnKzEnLDQwMjk5LCwsJycp&amp;WINDOW=FIRST_POPUP&amp;HEIGHT=450&amp;WIDTH=450&amp;START_MAXIMIZED=FALSE&amp;VAR:CALENDAR=US&amp;VAR:SYMBOL=98433210&amp;VAR:INDEX=0"}</definedName>
    <definedName name="_7574__FDSAUDITLINK__">{"fdsup://directions/FAT Viewer?action=UPDATE&amp;creator=factset&amp;DYN_ARGS=TRUE&amp;DOC_NAME=FAT:FQL_AUDITING_CLIENT_TEMPLATE.FAT&amp;display_string=Audit&amp;VAR:KEY=BEPCBADITG&amp;VAR:QUERY=KFBfUFJJQ0UoNDAyOTgpLShGRl9DQVNIX1NUKFFUUiw0MDI5OCkvUF9DT01fU0hTX09VVCg0MDI5OCkpKS9GR","V9FU1RJTUFURSgnRVBTJywnTUVBTicsJ0FOTlVBTF9ST0xMJywnKzEnLDQwMjk4LCwsJycp&amp;WINDOW=FIRST_POPUP&amp;HEIGHT=450&amp;WIDTH=450&amp;START_MAXIMIZED=FALSE&amp;VAR:CALENDAR=US&amp;VAR:SYMBOL=98433210&amp;VAR:INDEX=0"}</definedName>
    <definedName name="_7575__FDSAUDITLINK__">{"fdsup://directions/FAT Viewer?action=UPDATE&amp;creator=factset&amp;DYN_ARGS=TRUE&amp;DOC_NAME=FAT:FQL_AUDITING_CLIENT_TEMPLATE.FAT&amp;display_string=Audit&amp;VAR:KEY=BEPCBADITG&amp;VAR:QUERY=KFBfUFJJQ0UoNDAyOTgpLShGRl9DQVNIX1NUKFFUUiw0MDI5OCkvUF9DT01fU0hTX09VVCg0MDI5OCkpKS9GR","V9FU1RJTUFURSgnRVBTJywnTUVBTicsJ0FOTlVBTF9ST0xMJywnKzEnLDQwMjk4LCwsJycp&amp;WINDOW=FIRST_POPUP&amp;HEIGHT=450&amp;WIDTH=450&amp;START_MAXIMIZED=FALSE&amp;VAR:CALENDAR=US&amp;VAR:SYMBOL=98433210&amp;VAR:INDEX=0"}</definedName>
    <definedName name="_7576__FDSAUDITLINK__">{"fdsup://directions/FAT Viewer?action=UPDATE&amp;creator=factset&amp;DYN_ARGS=TRUE&amp;DOC_NAME=FAT:FQL_AUDITING_CLIENT_TEMPLATE.FAT&amp;display_string=Audit&amp;VAR:KEY=LCNYNGPGHE&amp;VAR:QUERY=KFBfUFJJQ0UoNDAyOTcpLShGRl9DQVNIX1NUKFFUUiw0MDI5NykvUF9DT01fU0hTX09VVCg0MDI5NykpKS9GR","V9FU1RJTUFURSgnRVBTJywnTUVBTicsJ0FOTlVBTF9ST0xMJywnKzEnLDQwMjk3LCwsJycp&amp;WINDOW=FIRST_POPUP&amp;HEIGHT=450&amp;WIDTH=450&amp;START_MAXIMIZED=FALSE&amp;VAR:CALENDAR=US&amp;VAR:SYMBOL=98433210&amp;VAR:INDEX=0"}</definedName>
    <definedName name="_7577__FDSAUDITLINK__">{"fdsup://directions/FAT Viewer?action=UPDATE&amp;creator=factset&amp;DYN_ARGS=TRUE&amp;DOC_NAME=FAT:FQL_AUDITING_CLIENT_TEMPLATE.FAT&amp;display_string=Audit&amp;VAR:KEY=LCNYNGPGHE&amp;VAR:QUERY=KFBfUFJJQ0UoNDAyOTcpLShGRl9DQVNIX1NUKFFUUiw0MDI5NykvUF9DT01fU0hTX09VVCg0MDI5NykpKS9GR","V9FU1RJTUFURSgnRVBTJywnTUVBTicsJ0FOTlVBTF9ST0xMJywnKzEnLDQwMjk3LCwsJycp&amp;WINDOW=FIRST_POPUP&amp;HEIGHT=450&amp;WIDTH=450&amp;START_MAXIMIZED=FALSE&amp;VAR:CALENDAR=US&amp;VAR:SYMBOL=98433210&amp;VAR:INDEX=0"}</definedName>
    <definedName name="_7578__FDSAUDITLINK__">{"fdsup://directions/FAT Viewer?action=UPDATE&amp;creator=factset&amp;DYN_ARGS=TRUE&amp;DOC_NAME=FAT:FQL_AUDITING_CLIENT_TEMPLATE.FAT&amp;display_string=Audit&amp;VAR:KEY=RKFEDKVMZE&amp;VAR:QUERY=KFBfUFJJQ0UoNDAyOTYpLShGRl9DQVNIX1NUKFFUUiw0MDI5NikvUF9DT01fU0hTX09VVCg0MDI5NikpKS9GR","V9FU1RJTUFURSgnRVBTJywnTUVBTicsJ0FOTlVBTF9ST0xMJywnKzEnLDQwMjk2LCwsJycp&amp;WINDOW=FIRST_POPUP&amp;HEIGHT=450&amp;WIDTH=450&amp;START_MAXIMIZED=FALSE&amp;VAR:CALENDAR=US&amp;VAR:SYMBOL=98433210&amp;VAR:INDEX=0"}</definedName>
    <definedName name="_7579__FDSAUDITLINK__">{"fdsup://directions/FAT Viewer?action=UPDATE&amp;creator=factset&amp;DYN_ARGS=TRUE&amp;DOC_NAME=FAT:FQL_AUDITING_CLIENT_TEMPLATE.FAT&amp;display_string=Audit&amp;VAR:KEY=RKFEDKVMZE&amp;VAR:QUERY=KFBfUFJJQ0UoNDAyOTYpLShGRl9DQVNIX1NUKFFUUiw0MDI5NikvUF9DT01fU0hTX09VVCg0MDI5NikpKS9GR","V9FU1RJTUFURSgnRVBTJywnTUVBTicsJ0FOTlVBTF9ST0xMJywnKzEnLDQwMjk2LCwsJycp&amp;WINDOW=FIRST_POPUP&amp;HEIGHT=450&amp;WIDTH=450&amp;START_MAXIMIZED=FALSE&amp;VAR:CALENDAR=US&amp;VAR:SYMBOL=98433210&amp;VAR:INDEX=0"}</definedName>
    <definedName name="_75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1032"}</definedName>
    <definedName name="_7580__FDSAUDITLINK__">{"fdsup://directions/FAT Viewer?action=UPDATE&amp;creator=factset&amp;DYN_ARGS=TRUE&amp;DOC_NAME=FAT:FQL_AUDITING_CLIENT_TEMPLATE.FAT&amp;display_string=Audit&amp;VAR:KEY=LWZGBGLMFK&amp;VAR:QUERY=KFBfUFJJQ0UoNDAyOTUpLShGRl9DQVNIX1NUKFFUUiw0MDI5NSkvUF9DT01fU0hTX09VVCg0MDI5NSkpKS9GR","V9FU1RJTUFURSgnRVBTJywnTUVBTicsJ0FOTlVBTF9ST0xMJywnKzEnLDQwMjk1LCwsJycp&amp;WINDOW=FIRST_POPUP&amp;HEIGHT=450&amp;WIDTH=450&amp;START_MAXIMIZED=FALSE&amp;VAR:CALENDAR=US&amp;VAR:SYMBOL=98433210&amp;VAR:INDEX=0"}</definedName>
    <definedName name="_7581__FDSAUDITLINK__">{"fdsup://directions/FAT Viewer?action=UPDATE&amp;creator=factset&amp;DYN_ARGS=TRUE&amp;DOC_NAME=FAT:FQL_AUDITING_CLIENT_TEMPLATE.FAT&amp;display_string=Audit&amp;VAR:KEY=LWZGBGLMFK&amp;VAR:QUERY=KFBfUFJJQ0UoNDAyOTUpLShGRl9DQVNIX1NUKFFUUiw0MDI5NSkvUF9DT01fU0hTX09VVCg0MDI5NSkpKS9GR","V9FU1RJTUFURSgnRVBTJywnTUVBTicsJ0FOTlVBTF9ST0xMJywnKzEnLDQwMjk1LCwsJycp&amp;WINDOW=FIRST_POPUP&amp;HEIGHT=450&amp;WIDTH=450&amp;START_MAXIMIZED=FALSE&amp;VAR:CALENDAR=US&amp;VAR:SYMBOL=98433210&amp;VAR:INDEX=0"}</definedName>
    <definedName name="_7582__FDSAUDITLINK__">{"fdsup://directions/FAT Viewer?action=UPDATE&amp;creator=factset&amp;DYN_ARGS=TRUE&amp;DOC_NAME=FAT:FQL_AUDITING_CLIENT_TEMPLATE.FAT&amp;display_string=Audit&amp;VAR:KEY=LCPYBWVKLM&amp;VAR:QUERY=KFBfUFJJQ0UoNDAyOTQpLShGRl9DQVNIX1NUKFFUUiw0MDI5NCkvUF9DT01fU0hTX09VVCg0MDI5NCkpKS9GR","V9FU1RJTUFURSgnRVBTJywnTUVBTicsJ0FOTlVBTF9ST0xMJywnKzEnLDQwMjk0LCwsJycp&amp;WINDOW=FIRST_POPUP&amp;HEIGHT=450&amp;WIDTH=450&amp;START_MAXIMIZED=FALSE&amp;VAR:CALENDAR=US&amp;VAR:SYMBOL=98433210&amp;VAR:INDEX=0"}</definedName>
    <definedName name="_7583__FDSAUDITLINK__">{"fdsup://directions/FAT Viewer?action=UPDATE&amp;creator=factset&amp;DYN_ARGS=TRUE&amp;DOC_NAME=FAT:FQL_AUDITING_CLIENT_TEMPLATE.FAT&amp;display_string=Audit&amp;VAR:KEY=LCPYBWVKLM&amp;VAR:QUERY=KFBfUFJJQ0UoNDAyOTQpLShGRl9DQVNIX1NUKFFUUiw0MDI5NCkvUF9DT01fU0hTX09VVCg0MDI5NCkpKS9GR","V9FU1RJTUFURSgnRVBTJywnTUVBTicsJ0FOTlVBTF9ST0xMJywnKzEnLDQwMjk0LCwsJycp&amp;WINDOW=FIRST_POPUP&amp;HEIGHT=450&amp;WIDTH=450&amp;START_MAXIMIZED=FALSE&amp;VAR:CALENDAR=US&amp;VAR:SYMBOL=98433210&amp;VAR:INDEX=0"}</definedName>
    <definedName name="_7584__FDSAUDITLINK__">{"fdsup://directions/FAT Viewer?action=UPDATE&amp;creator=factset&amp;DYN_ARGS=TRUE&amp;DOC_NAME=FAT:FQL_AUDITING_CLIENT_TEMPLATE.FAT&amp;display_string=Audit&amp;VAR:KEY=LIFEFILWBI&amp;VAR:QUERY=KFBfUFJJQ0UoNDAyOTMpLShGRl9DQVNIX1NUKFFUUiw0MDI5MykvUF9DT01fU0hTX09VVCg0MDI5MykpKS9GR","V9FU1RJTUFURSgnRVBTJywnTUVBTicsJ0FOTlVBTF9ST0xMJywnKzEnLDQwMjkzLCwsJycp&amp;WINDOW=FIRST_POPUP&amp;HEIGHT=450&amp;WIDTH=450&amp;START_MAXIMIZED=FALSE&amp;VAR:CALENDAR=US&amp;VAR:SYMBOL=98433210&amp;VAR:INDEX=0"}</definedName>
    <definedName name="_7585__FDSAUDITLINK__">{"fdsup://directions/FAT Viewer?action=UPDATE&amp;creator=factset&amp;DYN_ARGS=TRUE&amp;DOC_NAME=FAT:FQL_AUDITING_CLIENT_TEMPLATE.FAT&amp;display_string=Audit&amp;VAR:KEY=LIFEFILWBI&amp;VAR:QUERY=KFBfUFJJQ0UoNDAyOTMpLShGRl9DQVNIX1NUKFFUUiw0MDI5MykvUF9DT01fU0hTX09VVCg0MDI5MykpKS9GR","V9FU1RJTUFURSgnRVBTJywnTUVBTicsJ0FOTlVBTF9ST0xMJywnKzEnLDQwMjkzLCwsJycp&amp;WINDOW=FIRST_POPUP&amp;HEIGHT=450&amp;WIDTH=450&amp;START_MAXIMIZED=FALSE&amp;VAR:CALENDAR=US&amp;VAR:SYMBOL=98433210&amp;VAR:INDEX=0"}</definedName>
    <definedName name="_7586__FDSAUDITLINK__">{"fdsup://directions/FAT Viewer?action=UPDATE&amp;creator=factset&amp;DYN_ARGS=TRUE&amp;DOC_NAME=FAT:FQL_AUDITING_CLIENT_TEMPLATE.FAT&amp;display_string=Audit&amp;VAR:KEY=JMFSVQZOLC&amp;VAR:QUERY=KFBfUFJJQ0UoNDAyOTIpLShGRl9DQVNIX1NUKFFUUiw0MDI5MikvUF9DT01fU0hTX09VVCg0MDI5MikpKS9GR","V9FU1RJTUFURSgnRVBTJywnTUVBTicsJ0FOTlVBTF9ST0xMJywnKzEnLDQwMjkyLCwsJycp&amp;WINDOW=FIRST_POPUP&amp;HEIGHT=450&amp;WIDTH=450&amp;START_MAXIMIZED=FALSE&amp;VAR:CALENDAR=US&amp;VAR:SYMBOL=98433210&amp;VAR:INDEX=0"}</definedName>
    <definedName name="_7587__FDSAUDITLINK__">{"fdsup://directions/FAT Viewer?action=UPDATE&amp;creator=factset&amp;DYN_ARGS=TRUE&amp;DOC_NAME=FAT:FQL_AUDITING_CLIENT_TEMPLATE.FAT&amp;display_string=Audit&amp;VAR:KEY=JMFSVQZOLC&amp;VAR:QUERY=KFBfUFJJQ0UoNDAyOTIpLShGRl9DQVNIX1NUKFFUUiw0MDI5MikvUF9DT01fU0hTX09VVCg0MDI5MikpKS9GR","V9FU1RJTUFURSgnRVBTJywnTUVBTicsJ0FOTlVBTF9ST0xMJywnKzEnLDQwMjkyLCwsJycp&amp;WINDOW=FIRST_POPUP&amp;HEIGHT=450&amp;WIDTH=450&amp;START_MAXIMIZED=FALSE&amp;VAR:CALENDAR=US&amp;VAR:SYMBOL=98433210&amp;VAR:INDEX=0"}</definedName>
    <definedName name="_7588__FDSAUDITLINK__">{"fdsup://directions/FAT Viewer?action=UPDATE&amp;creator=factset&amp;DYN_ARGS=TRUE&amp;DOC_NAME=FAT:FQL_AUDITING_CLIENT_TEMPLATE.FAT&amp;display_string=Audit&amp;VAR:KEY=RCZYTWZWLM&amp;VAR:QUERY=KFBfUFJJQ0UoNDAyOTEpLShGRl9DQVNIX1NUKFFUUiw0MDI5MSkvUF9DT01fU0hTX09VVCg0MDI5MSkpKS9GR","V9FU1RJTUFURSgnRVBTJywnTUVBTicsJ0FOTlVBTF9ST0xMJywnKzEnLDQwMjkxLCwsJycp&amp;WINDOW=FIRST_POPUP&amp;HEIGHT=450&amp;WIDTH=450&amp;START_MAXIMIZED=FALSE&amp;VAR:CALENDAR=US&amp;VAR:SYMBOL=98433210&amp;VAR:INDEX=0"}</definedName>
    <definedName name="_7589__FDSAUDITLINK__">{"fdsup://directions/FAT Viewer?action=UPDATE&amp;creator=factset&amp;DYN_ARGS=TRUE&amp;DOC_NAME=FAT:FQL_AUDITING_CLIENT_TEMPLATE.FAT&amp;display_string=Audit&amp;VAR:KEY=RCZYTWZWLM&amp;VAR:QUERY=KFBfUFJJQ0UoNDAyOTEpLShGRl9DQVNIX1NUKFFUUiw0MDI5MSkvUF9DT01fU0hTX09VVCg0MDI5MSkpKS9GR","V9FU1RJTUFURSgnRVBTJywnTUVBTicsJ0FOTlVBTF9ST0xMJywnKzEnLDQwMjkxLCwsJycp&amp;WINDOW=FIRST_POPUP&amp;HEIGHT=450&amp;WIDTH=450&amp;START_MAXIMIZED=FALSE&amp;VAR:CALENDAR=US&amp;VAR:SYMBOL=98433210&amp;VAR:INDEX=0"}</definedName>
    <definedName name="_75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1031"}</definedName>
    <definedName name="_7590__FDSAUDITLINK__">{"fdsup://directions/FAT Viewer?action=UPDATE&amp;creator=factset&amp;DYN_ARGS=TRUE&amp;DOC_NAME=FAT:FQL_AUDITING_CLIENT_TEMPLATE.FAT&amp;display_string=Audit&amp;VAR:KEY=VSFQDODGPQ&amp;VAR:QUERY=KFBfUFJJQ0UoNDAyOTApLShGRl9DQVNIX1NUKFFUUiw0MDI5MCkvUF9DT01fU0hTX09VVCg0MDI5MCkpKS9GR","V9FU1RJTUFURSgnRVBTJywnTUVBTicsJ0FOTlVBTF9ST0xMJywnKzEnLDQwMjkwLCwsJycp&amp;WINDOW=FIRST_POPUP&amp;HEIGHT=450&amp;WIDTH=450&amp;START_MAXIMIZED=FALSE&amp;VAR:CALENDAR=US&amp;VAR:SYMBOL=98433210&amp;VAR:INDEX=0"}</definedName>
    <definedName name="_7591__FDSAUDITLINK__">{"fdsup://directions/FAT Viewer?action=UPDATE&amp;creator=factset&amp;DYN_ARGS=TRUE&amp;DOC_NAME=FAT:FQL_AUDITING_CLIENT_TEMPLATE.FAT&amp;display_string=Audit&amp;VAR:KEY=VSFQDODGPQ&amp;VAR:QUERY=KFBfUFJJQ0UoNDAyOTApLShGRl9DQVNIX1NUKFFUUiw0MDI5MCkvUF9DT01fU0hTX09VVCg0MDI5MCkpKS9GR","V9FU1RJTUFURSgnRVBTJywnTUVBTicsJ0FOTlVBTF9ST0xMJywnKzEnLDQwMjkwLCwsJycp&amp;WINDOW=FIRST_POPUP&amp;HEIGHT=450&amp;WIDTH=450&amp;START_MAXIMIZED=FALSE&amp;VAR:CALENDAR=US&amp;VAR:SYMBOL=98433210&amp;VAR:INDEX=0"}</definedName>
    <definedName name="_7592__FDSAUDITLINK__">{"fdsup://directions/FAT Viewer?action=UPDATE&amp;creator=factset&amp;DYN_ARGS=TRUE&amp;DOC_NAME=FAT:FQL_AUDITING_CLIENT_TEMPLATE.FAT&amp;display_string=Audit&amp;VAR:KEY=PMPQJQXUJU&amp;VAR:QUERY=KFBfUFJJQ0UoNDAyODkpLShGRl9DQVNIX1NUKFFUUiw0MDI4OSkvUF9DT01fU0hTX09VVCg0MDI4OSkpKS9GR","V9FU1RJTUFURSgnRVBTJywnTUVBTicsJ0FOTlVBTF9ST0xMJywnKzEnLDQwMjg5LCwsJycp&amp;WINDOW=FIRST_POPUP&amp;HEIGHT=450&amp;WIDTH=450&amp;START_MAXIMIZED=FALSE&amp;VAR:CALENDAR=US&amp;VAR:SYMBOL=98433210&amp;VAR:INDEX=0"}</definedName>
    <definedName name="_7593__FDSAUDITLINK__">{"fdsup://directions/FAT Viewer?action=UPDATE&amp;creator=factset&amp;DYN_ARGS=TRUE&amp;DOC_NAME=FAT:FQL_AUDITING_CLIENT_TEMPLATE.FAT&amp;display_string=Audit&amp;VAR:KEY=PMPQJQXUJU&amp;VAR:QUERY=KFBfUFJJQ0UoNDAyODkpLShGRl9DQVNIX1NUKFFUUiw0MDI4OSkvUF9DT01fU0hTX09VVCg0MDI4OSkpKS9GR","V9FU1RJTUFURSgnRVBTJywnTUVBTicsJ0FOTlVBTF9ST0xMJywnKzEnLDQwMjg5LCwsJycp&amp;WINDOW=FIRST_POPUP&amp;HEIGHT=450&amp;WIDTH=450&amp;START_MAXIMIZED=FALSE&amp;VAR:CALENDAR=US&amp;VAR:SYMBOL=98433210&amp;VAR:INDEX=0"}</definedName>
    <definedName name="_7594__FDSAUDITLINK__">{"fdsup://directions/FAT Viewer?action=UPDATE&amp;creator=factset&amp;DYN_ARGS=TRUE&amp;DOC_NAME=FAT:FQL_AUDITING_CLIENT_TEMPLATE.FAT&amp;display_string=Audit&amp;VAR:KEY=ZWVEPCLWPO&amp;VAR:QUERY=KFBfUFJJQ0UoNDAyODgpLShGRl9DQVNIX1NUKFFUUiw0MDI4OCkvUF9DT01fU0hTX09VVCg0MDI4OCkpKS9GR","V9FU1RJTUFURSgnRVBTJywnTUVBTicsJ0FOTlVBTF9ST0xMJywnKzEnLDQwMjg4LCwsJycp&amp;WINDOW=FIRST_POPUP&amp;HEIGHT=450&amp;WIDTH=450&amp;START_MAXIMIZED=FALSE&amp;VAR:CALENDAR=US&amp;VAR:SYMBOL=98433210&amp;VAR:INDEX=0"}</definedName>
    <definedName name="_7595__FDSAUDITLINK__">{"fdsup://directions/FAT Viewer?action=UPDATE&amp;creator=factset&amp;DYN_ARGS=TRUE&amp;DOC_NAME=FAT:FQL_AUDITING_CLIENT_TEMPLATE.FAT&amp;display_string=Audit&amp;VAR:KEY=ZWVEPCLWPO&amp;VAR:QUERY=KFBfUFJJQ0UoNDAyODgpLShGRl9DQVNIX1NUKFFUUiw0MDI4OCkvUF9DT01fU0hTX09VVCg0MDI4OCkpKS9GR","V9FU1RJTUFURSgnRVBTJywnTUVBTicsJ0FOTlVBTF9ST0xMJywnKzEnLDQwMjg4LCwsJycp&amp;WINDOW=FIRST_POPUP&amp;HEIGHT=450&amp;WIDTH=450&amp;START_MAXIMIZED=FALSE&amp;VAR:CALENDAR=US&amp;VAR:SYMBOL=98433210&amp;VAR:INDEX=0"}</definedName>
    <definedName name="_7596__FDSAUDITLINK__">{"fdsup://directions/FAT Viewer?action=UPDATE&amp;creator=factset&amp;DYN_ARGS=TRUE&amp;DOC_NAME=FAT:FQL_AUDITING_CLIENT_TEMPLATE.FAT&amp;display_string=Audit&amp;VAR:KEY=ZIZOLQHEXW&amp;VAR:QUERY=KFBfUFJJQ0UoNDAyODcpLShGRl9DQVNIX1NUKFFUUiw0MDI4NykvUF9DT01fU0hTX09VVCg0MDI4NykpKS9GR","V9FU1RJTUFURSgnRVBTJywnTUVBTicsJ0FOTlVBTF9ST0xMJywnKzEnLDQwMjg3LCwsJycp&amp;WINDOW=FIRST_POPUP&amp;HEIGHT=450&amp;WIDTH=450&amp;START_MAXIMIZED=FALSE&amp;VAR:CALENDAR=US&amp;VAR:SYMBOL=98433210&amp;VAR:INDEX=0"}</definedName>
    <definedName name="_7597__FDSAUDITLINK__">{"fdsup://directions/FAT Viewer?action=UPDATE&amp;creator=factset&amp;DYN_ARGS=TRUE&amp;DOC_NAME=FAT:FQL_AUDITING_CLIENT_TEMPLATE.FAT&amp;display_string=Audit&amp;VAR:KEY=ZIZOLQHEXW&amp;VAR:QUERY=KFBfUFJJQ0UoNDAyODcpLShGRl9DQVNIX1NUKFFUUiw0MDI4NykvUF9DT01fU0hTX09VVCg0MDI4NykpKS9GR","V9FU1RJTUFURSgnRVBTJywnTUVBTicsJ0FOTlVBTF9ST0xMJywnKzEnLDQwMjg3LCwsJycp&amp;WINDOW=FIRST_POPUP&amp;HEIGHT=450&amp;WIDTH=450&amp;START_MAXIMIZED=FALSE&amp;VAR:CALENDAR=US&amp;VAR:SYMBOL=98433210&amp;VAR:INDEX=0"}</definedName>
    <definedName name="_7598__FDSAUDITLINK__">{"fdsup://directions/FAT Viewer?action=UPDATE&amp;creator=factset&amp;DYN_ARGS=TRUE&amp;DOC_NAME=FAT:FQL_AUDITING_CLIENT_TEMPLATE.FAT&amp;display_string=Audit&amp;VAR:KEY=TWPKVSHGVY&amp;VAR:QUERY=KFBfUFJJQ0UoNDAyODYpLShGRl9DQVNIX1NUKFFUUiw0MDI4NikvUF9DT01fU0hTX09VVCg0MDI4NikpKS9GR","V9FU1RJTUFURSgnRVBTJywnTUVBTicsJ0FOTlVBTF9ST0xMJywnKzEnLDQwMjg2LCwsJycp&amp;WINDOW=FIRST_POPUP&amp;HEIGHT=450&amp;WIDTH=450&amp;START_MAXIMIZED=FALSE&amp;VAR:CALENDAR=US&amp;VAR:SYMBOL=98433210&amp;VAR:INDEX=0"}</definedName>
    <definedName name="_7599__FDSAUDITLINK__">{"fdsup://directions/FAT Viewer?action=UPDATE&amp;creator=factset&amp;DYN_ARGS=TRUE&amp;DOC_NAME=FAT:FQL_AUDITING_CLIENT_TEMPLATE.FAT&amp;display_string=Audit&amp;VAR:KEY=TWPKVSHGVY&amp;VAR:QUERY=KFBfUFJJQ0UoNDAyODYpLShGRl9DQVNIX1NUKFFUUiw0MDI4NikvUF9DT01fU0hTX09VVCg0MDI4NikpKS9GR","V9FU1RJTUFURSgnRVBTJywnTUVBTicsJ0FOTlVBTF9ST0xMJywnKzEnLDQwMjg2LCwsJycp&amp;WINDOW=FIRST_POPUP&amp;HEIGHT=450&amp;WIDTH=450&amp;START_MAXIMIZED=FALSE&amp;VAR:CALENDAR=US&amp;VAR:SYMBOL=98433210&amp;VAR:INDEX=0"}</definedName>
    <definedName name="_7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15.417518&amp;VAR:V0=16.155154&amp;VAR:V1=14.733637&amp;VAR:Y0=2005&amp;VAR:Y1=2006&amp;VAR:P=1191.327600&amp;VAR:DATE=20050630&amp;VAR:THRESH=-|-|","-|-|-|-|-"}</definedName>
    <definedName name="_76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1030"}</definedName>
    <definedName name="_7600__FDSAUDITLINK__">{"fdsup://directions/FAT Viewer?action=UPDATE&amp;creator=factset&amp;DYN_ARGS=TRUE&amp;DOC_NAME=FAT:FQL_AUDITING_CLIENT_TEMPLATE.FAT&amp;display_string=Audit&amp;VAR:KEY=PCLQDIDGZM&amp;VAR:QUERY=KFBfUFJJQ0UoNDAyODUpLShGRl9DQVNIX1NUKFFUUiw0MDI4NSkvUF9DT01fU0hTX09VVCg0MDI4NSkpKS9GR","V9FU1RJTUFURSgnRVBTJywnTUVBTicsJ0FOTlVBTF9ST0xMJywnKzEnLDQwMjg1LCwsJycp&amp;WINDOW=FIRST_POPUP&amp;HEIGHT=450&amp;WIDTH=450&amp;START_MAXIMIZED=FALSE&amp;VAR:CALENDAR=US&amp;VAR:SYMBOL=98433210&amp;VAR:INDEX=0"}</definedName>
    <definedName name="_7601__FDSAUDITLINK__">{"fdsup://directions/FAT Viewer?action=UPDATE&amp;creator=factset&amp;DYN_ARGS=TRUE&amp;DOC_NAME=FAT:FQL_AUDITING_CLIENT_TEMPLATE.FAT&amp;display_string=Audit&amp;VAR:KEY=PCLQDIDGZM&amp;VAR:QUERY=KFBfUFJJQ0UoNDAyODUpLShGRl9DQVNIX1NUKFFUUiw0MDI4NSkvUF9DT01fU0hTX09VVCg0MDI4NSkpKS9GR","V9FU1RJTUFURSgnRVBTJywnTUVBTicsJ0FOTlVBTF9ST0xMJywnKzEnLDQwMjg1LCwsJycp&amp;WINDOW=FIRST_POPUP&amp;HEIGHT=450&amp;WIDTH=450&amp;START_MAXIMIZED=FALSE&amp;VAR:CALENDAR=US&amp;VAR:SYMBOL=98433210&amp;VAR:INDEX=0"}</definedName>
    <definedName name="_7602__FDSAUDITLINK__">{"fdsup://directions/FAT Viewer?action=UPDATE&amp;creator=factset&amp;DYN_ARGS=TRUE&amp;DOC_NAME=FAT:FQL_AUDITING_CLIENT_TEMPLATE.FAT&amp;display_string=Audit&amp;VAR:KEY=FMDSXYBGHS&amp;VAR:QUERY=KFBfUFJJQ0UoNDAyODQpLShGRl9DQVNIX1NUKFFUUiw0MDI4NCkvUF9DT01fU0hTX09VVCg0MDI4NCkpKS9GR","V9FU1RJTUFURSgnRVBTJywnTUVBTicsJ0FOTlVBTF9ST0xMJywnKzEnLDQwMjg0LCwsJycp&amp;WINDOW=FIRST_POPUP&amp;HEIGHT=450&amp;WIDTH=450&amp;START_MAXIMIZED=FALSE&amp;VAR:CALENDAR=US&amp;VAR:SYMBOL=98433210&amp;VAR:INDEX=0"}</definedName>
    <definedName name="_7603__FDSAUDITLINK__">{"fdsup://directions/FAT Viewer?action=UPDATE&amp;creator=factset&amp;DYN_ARGS=TRUE&amp;DOC_NAME=FAT:FQL_AUDITING_CLIENT_TEMPLATE.FAT&amp;display_string=Audit&amp;VAR:KEY=FMDSXYBGHS&amp;VAR:QUERY=KFBfUFJJQ0UoNDAyODQpLShGRl9DQVNIX1NUKFFUUiw0MDI4NCkvUF9DT01fU0hTX09VVCg0MDI4NCkpKS9GR","V9FU1RJTUFURSgnRVBTJywnTUVBTicsJ0FOTlVBTF9ST0xMJywnKzEnLDQwMjg0LCwsJycp&amp;WINDOW=FIRST_POPUP&amp;HEIGHT=450&amp;WIDTH=450&amp;START_MAXIMIZED=FALSE&amp;VAR:CALENDAR=US&amp;VAR:SYMBOL=98433210&amp;VAR:INDEX=0"}</definedName>
    <definedName name="_7604__FDSAUDITLINK__">{"fdsup://directions/FAT Viewer?action=UPDATE&amp;creator=factset&amp;DYN_ARGS=TRUE&amp;DOC_NAME=FAT:FQL_AUDITING_CLIENT_TEMPLATE.FAT&amp;display_string=Audit&amp;VAR:KEY=XIJCDOZWRU&amp;VAR:QUERY=KFBfUFJJQ0UoNDAyODMpLShGRl9DQVNIX1NUKFFUUiw0MDI4MykvUF9DT01fU0hTX09VVCg0MDI4MykpKS9GR","V9FU1RJTUFURSgnRVBTJywnTUVBTicsJ0FOTlVBTF9ST0xMJywnKzEnLDQwMjgzLCwsJycp&amp;WINDOW=FIRST_POPUP&amp;HEIGHT=450&amp;WIDTH=450&amp;START_MAXIMIZED=FALSE&amp;VAR:CALENDAR=US&amp;VAR:SYMBOL=98433210&amp;VAR:INDEX=0"}</definedName>
    <definedName name="_7605__FDSAUDITLINK__">{"fdsup://directions/FAT Viewer?action=UPDATE&amp;creator=factset&amp;DYN_ARGS=TRUE&amp;DOC_NAME=FAT:FQL_AUDITING_CLIENT_TEMPLATE.FAT&amp;display_string=Audit&amp;VAR:KEY=XIJCDOZWRU&amp;VAR:QUERY=KFBfUFJJQ0UoNDAyODMpLShGRl9DQVNIX1NUKFFUUiw0MDI4MykvUF9DT01fU0hTX09VVCg0MDI4MykpKS9GR","V9FU1RJTUFURSgnRVBTJywnTUVBTicsJ0FOTlVBTF9ST0xMJywnKzEnLDQwMjgzLCwsJycp&amp;WINDOW=FIRST_POPUP&amp;HEIGHT=450&amp;WIDTH=450&amp;START_MAXIMIZED=FALSE&amp;VAR:CALENDAR=US&amp;VAR:SYMBOL=98433210&amp;VAR:INDEX=0"}</definedName>
    <definedName name="_7606__FDSAUDITLINK__">{"fdsup://directions/FAT Viewer?action=UPDATE&amp;creator=factset&amp;DYN_ARGS=TRUE&amp;DOC_NAME=FAT:FQL_AUDITING_CLIENT_TEMPLATE.FAT&amp;display_string=Audit&amp;VAR:KEY=LKDCNAFEDI&amp;VAR:QUERY=KFBfUFJJQ0UoNDAyODIpLShGRl9DQVNIX1NUKFFUUiw0MDI4MikvUF9DT01fU0hTX09VVCg0MDI4MikpKS9GR","V9FU1RJTUFURSgnRVBTJywnTUVBTicsJ0FOTlVBTF9ST0xMJywnKzEnLDQwMjgyLCwsJycp&amp;WINDOW=FIRST_POPUP&amp;HEIGHT=450&amp;WIDTH=450&amp;START_MAXIMIZED=FALSE&amp;VAR:CALENDAR=US&amp;VAR:SYMBOL=98433210&amp;VAR:INDEX=0"}</definedName>
    <definedName name="_7607__FDSAUDITLINK__">{"fdsup://directions/FAT Viewer?action=UPDATE&amp;creator=factset&amp;DYN_ARGS=TRUE&amp;DOC_NAME=FAT:FQL_AUDITING_CLIENT_TEMPLATE.FAT&amp;display_string=Audit&amp;VAR:KEY=LKDCNAFEDI&amp;VAR:QUERY=KFBfUFJJQ0UoNDAyODIpLShGRl9DQVNIX1NUKFFUUiw0MDI4MikvUF9DT01fU0hTX09VVCg0MDI4MikpKS9GR","V9FU1RJTUFURSgnRVBTJywnTUVBTicsJ0FOTlVBTF9ST0xMJywnKzEnLDQwMjgyLCwsJycp&amp;WINDOW=FIRST_POPUP&amp;HEIGHT=450&amp;WIDTH=450&amp;START_MAXIMIZED=FALSE&amp;VAR:CALENDAR=US&amp;VAR:SYMBOL=98433210&amp;VAR:INDEX=0"}</definedName>
    <definedName name="_7608__FDSAUDITLINK__">{"fdsup://directions/FAT Viewer?action=UPDATE&amp;creator=factset&amp;DYN_ARGS=TRUE&amp;DOC_NAME=FAT:FQL_AUDITING_CLIENT_TEMPLATE.FAT&amp;display_string=Audit&amp;VAR:KEY=LENWNAJAHC&amp;VAR:QUERY=KFBfUFJJQ0UoNDAyODEpLShGRl9DQVNIX1NUKFFUUiw0MDI4MSkvUF9DT01fU0hTX09VVCg0MDI4MSkpKS9GR","V9FU1RJTUFURSgnRVBTJywnTUVBTicsJ0FOTlVBTF9ST0xMJywnKzEnLDQwMjgxLCwsJycp&amp;WINDOW=FIRST_POPUP&amp;HEIGHT=450&amp;WIDTH=450&amp;START_MAXIMIZED=FALSE&amp;VAR:CALENDAR=US&amp;VAR:SYMBOL=98433210&amp;VAR:INDEX=0"}</definedName>
    <definedName name="_7609__FDSAUDITLINK__">{"fdsup://directions/FAT Viewer?action=UPDATE&amp;creator=factset&amp;DYN_ARGS=TRUE&amp;DOC_NAME=FAT:FQL_AUDITING_CLIENT_TEMPLATE.FAT&amp;display_string=Audit&amp;VAR:KEY=LENWNAJAHC&amp;VAR:QUERY=KFBfUFJJQ0UoNDAyODEpLShGRl9DQVNIX1NUKFFUUiw0MDI4MSkvUF9DT01fU0hTX09VVCg0MDI4MSkpKS9GR","V9FU1RJTUFURSgnRVBTJywnTUVBTicsJ0FOTlVBTF9ST0xMJywnKzEnLDQwMjgxLCwsJycp&amp;WINDOW=FIRST_POPUP&amp;HEIGHT=450&amp;WIDTH=450&amp;START_MAXIMIZED=FALSE&amp;VAR:CALENDAR=US&amp;VAR:SYMBOL=98433210&amp;VAR:INDEX=0"}</definedName>
    <definedName name="_76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1029"}</definedName>
    <definedName name="_7610__FDSAUDITLINK__">{"fdsup://directions/FAT Viewer?action=UPDATE&amp;creator=factset&amp;DYN_ARGS=TRUE&amp;DOC_NAME=FAT:FQL_AUDITING_CLIENT_TEMPLATE.FAT&amp;display_string=Audit&amp;VAR:KEY=XGPOPOTORG&amp;VAR:QUERY=KFBfUFJJQ0UoNDAyODApLShGRl9DQVNIX1NUKFFUUiw0MDI4MCkvUF9DT01fU0hTX09VVCg0MDI4MCkpKS9GR","V9FU1RJTUFURSgnRVBTJywnTUVBTicsJ0FOTlVBTF9ST0xMJywnKzEnLDQwMjgwLCwsJycp&amp;WINDOW=FIRST_POPUP&amp;HEIGHT=450&amp;WIDTH=450&amp;START_MAXIMIZED=FALSE&amp;VAR:CALENDAR=US&amp;VAR:SYMBOL=98433210&amp;VAR:INDEX=0"}</definedName>
    <definedName name="_7611__FDSAUDITLINK__">{"fdsup://directions/FAT Viewer?action=UPDATE&amp;creator=factset&amp;DYN_ARGS=TRUE&amp;DOC_NAME=FAT:FQL_AUDITING_CLIENT_TEMPLATE.FAT&amp;display_string=Audit&amp;VAR:KEY=XGPOPOTORG&amp;VAR:QUERY=KFBfUFJJQ0UoNDAyODApLShGRl9DQVNIX1NUKFFUUiw0MDI4MCkvUF9DT01fU0hTX09VVCg0MDI4MCkpKS9GR","V9FU1RJTUFURSgnRVBTJywnTUVBTicsJ0FOTlVBTF9ST0xMJywnKzEnLDQwMjgwLCwsJycp&amp;WINDOW=FIRST_POPUP&amp;HEIGHT=450&amp;WIDTH=450&amp;START_MAXIMIZED=FALSE&amp;VAR:CALENDAR=US&amp;VAR:SYMBOL=98433210&amp;VAR:INDEX=0"}</definedName>
    <definedName name="_7612__FDSAUDITLINK__">{"fdsup://directions/FAT Viewer?action=UPDATE&amp;creator=factset&amp;DYN_ARGS=TRUE&amp;DOC_NAME=FAT:FQL_AUDITING_CLIENT_TEMPLATE.FAT&amp;display_string=Audit&amp;VAR:KEY=FELMLEDWHC&amp;VAR:QUERY=KFBfUFJJQ0UoNDAyNzkpLShGRl9DQVNIX1NUKFFUUiw0MDI3OSkvUF9DT01fU0hTX09VVCg0MDI3OSkpKS9GR","V9FU1RJTUFURSgnRVBTJywnTUVBTicsJ0FOTlVBTF9ST0xMJywnKzEnLDQwMjc5LCwsJycp&amp;WINDOW=FIRST_POPUP&amp;HEIGHT=450&amp;WIDTH=450&amp;START_MAXIMIZED=FALSE&amp;VAR:CALENDAR=US&amp;VAR:SYMBOL=98433210&amp;VAR:INDEX=0"}</definedName>
    <definedName name="_7613__FDSAUDITLINK__">{"fdsup://directions/FAT Viewer?action=UPDATE&amp;creator=factset&amp;DYN_ARGS=TRUE&amp;DOC_NAME=FAT:FQL_AUDITING_CLIENT_TEMPLATE.FAT&amp;display_string=Audit&amp;VAR:KEY=FELMLEDWHC&amp;VAR:QUERY=KFBfUFJJQ0UoNDAyNzkpLShGRl9DQVNIX1NUKFFUUiw0MDI3OSkvUF9DT01fU0hTX09VVCg0MDI3OSkpKS9GR","V9FU1RJTUFURSgnRVBTJywnTUVBTicsJ0FOTlVBTF9ST0xMJywnKzEnLDQwMjc5LCwsJycp&amp;WINDOW=FIRST_POPUP&amp;HEIGHT=450&amp;WIDTH=450&amp;START_MAXIMIZED=FALSE&amp;VAR:CALENDAR=US&amp;VAR:SYMBOL=98433210&amp;VAR:INDEX=0"}</definedName>
    <definedName name="_7614__FDSAUDITLINK__">{"fdsup://directions/FAT Viewer?action=UPDATE&amp;creator=factset&amp;DYN_ARGS=TRUE&amp;DOC_NAME=FAT:FQL_AUDITING_CLIENT_TEMPLATE.FAT&amp;display_string=Audit&amp;VAR:KEY=DSHIHSDYZE&amp;VAR:QUERY=KFBfUFJJQ0UoNDAyNzgpLShGRl9DQVNIX1NUKFFUUiw0MDI3OCkvUF9DT01fU0hTX09VVCg0MDI3OCkpKS9GR","V9FU1RJTUFURSgnRVBTJywnTUVBTicsJ0FOTlVBTF9ST0xMJywnKzEnLDQwMjc4LCwsJycp&amp;WINDOW=FIRST_POPUP&amp;HEIGHT=450&amp;WIDTH=450&amp;START_MAXIMIZED=FALSE&amp;VAR:CALENDAR=US&amp;VAR:SYMBOL=98433210&amp;VAR:INDEX=0"}</definedName>
    <definedName name="_7615__FDSAUDITLINK__">{"fdsup://directions/FAT Viewer?action=UPDATE&amp;creator=factset&amp;DYN_ARGS=TRUE&amp;DOC_NAME=FAT:FQL_AUDITING_CLIENT_TEMPLATE.FAT&amp;display_string=Audit&amp;VAR:KEY=DSHIHSDYZE&amp;VAR:QUERY=KFBfUFJJQ0UoNDAyNzgpLShGRl9DQVNIX1NUKFFUUiw0MDI3OCkvUF9DT01fU0hTX09VVCg0MDI3OCkpKS9GR","V9FU1RJTUFURSgnRVBTJywnTUVBTicsJ0FOTlVBTF9ST0xMJywnKzEnLDQwMjc4LCwsJycp&amp;WINDOW=FIRST_POPUP&amp;HEIGHT=450&amp;WIDTH=450&amp;START_MAXIMIZED=FALSE&amp;VAR:CALENDAR=US&amp;VAR:SYMBOL=98433210&amp;VAR:INDEX=0"}</definedName>
    <definedName name="_7616__FDSAUDITLINK__">{"fdsup://directions/FAT Viewer?action=UPDATE&amp;creator=factset&amp;DYN_ARGS=TRUE&amp;DOC_NAME=FAT:FQL_AUDITING_CLIENT_TEMPLATE.FAT&amp;display_string=Audit&amp;VAR:KEY=NYZWPITIDW&amp;VAR:QUERY=KFBfUFJJQ0UoNDAyNzcpLShGRl9DQVNIX1NUKFFUUiw0MDI3NykvUF9DT01fU0hTX09VVCg0MDI3NykpKS9GR","V9FU1RJTUFURSgnRVBTJywnTUVBTicsJ0FOTlVBTF9ST0xMJywnKzEnLDQwMjc3LCwsJycp&amp;WINDOW=FIRST_POPUP&amp;HEIGHT=450&amp;WIDTH=450&amp;START_MAXIMIZED=FALSE&amp;VAR:CALENDAR=US&amp;VAR:SYMBOL=98433210&amp;VAR:INDEX=0"}</definedName>
    <definedName name="_7617__FDSAUDITLINK__">{"fdsup://directions/FAT Viewer?action=UPDATE&amp;creator=factset&amp;DYN_ARGS=TRUE&amp;DOC_NAME=FAT:FQL_AUDITING_CLIENT_TEMPLATE.FAT&amp;display_string=Audit&amp;VAR:KEY=NYZWPITIDW&amp;VAR:QUERY=KFBfUFJJQ0UoNDAyNzcpLShGRl9DQVNIX1NUKFFUUiw0MDI3NykvUF9DT01fU0hTX09VVCg0MDI3NykpKS9GR","V9FU1RJTUFURSgnRVBTJywnTUVBTicsJ0FOTlVBTF9ST0xMJywnKzEnLDQwMjc3LCwsJycp&amp;WINDOW=FIRST_POPUP&amp;HEIGHT=450&amp;WIDTH=450&amp;START_MAXIMIZED=FALSE&amp;VAR:CALENDAR=US&amp;VAR:SYMBOL=98433210&amp;VAR:INDEX=0"}</definedName>
    <definedName name="_7618__FDSAUDITLINK__">{"fdsup://directions/FAT Viewer?action=UPDATE&amp;creator=factset&amp;DYN_ARGS=TRUE&amp;DOC_NAME=FAT:FQL_AUDITING_CLIENT_TEMPLATE.FAT&amp;display_string=Audit&amp;VAR:KEY=ZSDGLGPGHK&amp;VAR:QUERY=KFBfUFJJQ0UoNDAyNzYpLShGRl9DQVNIX1NUKFFUUiw0MDI3NikvUF9DT01fU0hTX09VVCg0MDI3NikpKS9GR","V9FU1RJTUFURSgnRVBTJywnTUVBTicsJ0FOTlVBTF9ST0xMJywnKzEnLDQwMjc2LCwsJycp&amp;WINDOW=FIRST_POPUP&amp;HEIGHT=450&amp;WIDTH=450&amp;START_MAXIMIZED=FALSE&amp;VAR:CALENDAR=US&amp;VAR:SYMBOL=98433210&amp;VAR:INDEX=0"}</definedName>
    <definedName name="_7619__FDSAUDITLINK__">{"fdsup://directions/FAT Viewer?action=UPDATE&amp;creator=factset&amp;DYN_ARGS=TRUE&amp;DOC_NAME=FAT:FQL_AUDITING_CLIENT_TEMPLATE.FAT&amp;display_string=Audit&amp;VAR:KEY=ZSDGLGPGHK&amp;VAR:QUERY=KFBfUFJJQ0UoNDAyNzYpLShGRl9DQVNIX1NUKFFUUiw0MDI3NikvUF9DT01fU0hTX09VVCg0MDI3NikpKS9GR","V9FU1RJTUFURSgnRVBTJywnTUVBTicsJ0FOTlVBTF9ST0xMJywnKzEnLDQwMjc2LCwsJycp&amp;WINDOW=FIRST_POPUP&amp;HEIGHT=450&amp;WIDTH=450&amp;START_MAXIMIZED=FALSE&amp;VAR:CALENDAR=US&amp;VAR:SYMBOL=98433210&amp;VAR:INDEX=0"}</definedName>
    <definedName name="_76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1028"}</definedName>
    <definedName name="_7620__FDSAUDITLINK__">{"fdsup://directions/FAT Viewer?action=UPDATE&amp;creator=factset&amp;DYN_ARGS=TRUE&amp;DOC_NAME=FAT:FQL_AUDITING_CLIENT_TEMPLATE.FAT&amp;display_string=Audit&amp;VAR:KEY=HSBYZOTIBY&amp;VAR:QUERY=KFBfUFJJQ0UoNDAyNzUpLShGRl9DQVNIX1NUKFFUUiw0MDI3NSkvUF9DT01fU0hTX09VVCg0MDI3NSkpKS9GR","V9FU1RJTUFURSgnRVBTJywnTUVBTicsJ0FOTlVBTF9ST0xMJywnKzEnLDQwMjc1LCwsJycp&amp;WINDOW=FIRST_POPUP&amp;HEIGHT=450&amp;WIDTH=450&amp;START_MAXIMIZED=FALSE&amp;VAR:CALENDAR=US&amp;VAR:SYMBOL=98433210&amp;VAR:INDEX=0"}</definedName>
    <definedName name="_7621__FDSAUDITLINK__">{"fdsup://directions/FAT Viewer?action=UPDATE&amp;creator=factset&amp;DYN_ARGS=TRUE&amp;DOC_NAME=FAT:FQL_AUDITING_CLIENT_TEMPLATE.FAT&amp;display_string=Audit&amp;VAR:KEY=HSBYZOTIBY&amp;VAR:QUERY=KFBfUFJJQ0UoNDAyNzUpLShGRl9DQVNIX1NUKFFUUiw0MDI3NSkvUF9DT01fU0hTX09VVCg0MDI3NSkpKS9GR","V9FU1RJTUFURSgnRVBTJywnTUVBTicsJ0FOTlVBTF9ST0xMJywnKzEnLDQwMjc1LCwsJycp&amp;WINDOW=FIRST_POPUP&amp;HEIGHT=450&amp;WIDTH=450&amp;START_MAXIMIZED=FALSE&amp;VAR:CALENDAR=US&amp;VAR:SYMBOL=98433210&amp;VAR:INDEX=0"}</definedName>
    <definedName name="_7622__FDSAUDITLINK__">{"fdsup://directions/FAT Viewer?action=UPDATE&amp;creator=factset&amp;DYN_ARGS=TRUE&amp;DOC_NAME=FAT:FQL_AUDITING_CLIENT_TEMPLATE.FAT&amp;display_string=Audit&amp;VAR:KEY=RYNGTQFAFY&amp;VAR:QUERY=KFBfUFJJQ0UoNDAyNzQpLShGRl9DQVNIX1NUKFFUUiw0MDI3NCkvUF9DT01fU0hTX09VVCg0MDI3NCkpKS9GR","V9FU1RJTUFURSgnRVBTJywnTUVBTicsJ0FOTlVBTF9ST0xMJywnKzEnLDQwMjc0LCwsJycp&amp;WINDOW=FIRST_POPUP&amp;HEIGHT=450&amp;WIDTH=450&amp;START_MAXIMIZED=FALSE&amp;VAR:CALENDAR=US&amp;VAR:SYMBOL=98433210&amp;VAR:INDEX=0"}</definedName>
    <definedName name="_7623__FDSAUDITLINK__">{"fdsup://directions/FAT Viewer?action=UPDATE&amp;creator=factset&amp;DYN_ARGS=TRUE&amp;DOC_NAME=FAT:FQL_AUDITING_CLIENT_TEMPLATE.FAT&amp;display_string=Audit&amp;VAR:KEY=RYNGTQFAFY&amp;VAR:QUERY=KFBfUFJJQ0UoNDAyNzQpLShGRl9DQVNIX1NUKFFUUiw0MDI3NCkvUF9DT01fU0hTX09VVCg0MDI3NCkpKS9GR","V9FU1RJTUFURSgnRVBTJywnTUVBTicsJ0FOTlVBTF9ST0xMJywnKzEnLDQwMjc0LCwsJycp&amp;WINDOW=FIRST_POPUP&amp;HEIGHT=450&amp;WIDTH=450&amp;START_MAXIMIZED=FALSE&amp;VAR:CALENDAR=US&amp;VAR:SYMBOL=98433210&amp;VAR:INDEX=0"}</definedName>
    <definedName name="_7624__FDSAUDITLINK__">{"fdsup://directions/FAT Viewer?action=UPDATE&amp;creator=factset&amp;DYN_ARGS=TRUE&amp;DOC_NAME=FAT:FQL_AUDITING_CLIENT_TEMPLATE.FAT&amp;display_string=Audit&amp;VAR:KEY=JAHGLKJQJM&amp;VAR:QUERY=KFBfUFJJQ0UoNDAyNzMpLShGRl9DQVNIX1NUKFFUUiw0MDI3MykvUF9DT01fU0hTX09VVCg0MDI3MykpKS9GR","V9FU1RJTUFURSgnRVBTJywnTUVBTicsJ0FOTlVBTF9ST0xMJywnKzEnLDQwMjczLCwsJycp&amp;WINDOW=FIRST_POPUP&amp;HEIGHT=450&amp;WIDTH=450&amp;START_MAXIMIZED=FALSE&amp;VAR:CALENDAR=US&amp;VAR:SYMBOL=98433210&amp;VAR:INDEX=0"}</definedName>
    <definedName name="_7625__FDSAUDITLINK__">{"fdsup://directions/FAT Viewer?action=UPDATE&amp;creator=factset&amp;DYN_ARGS=TRUE&amp;DOC_NAME=FAT:FQL_AUDITING_CLIENT_TEMPLATE.FAT&amp;display_string=Audit&amp;VAR:KEY=JAHGLKJQJM&amp;VAR:QUERY=KFBfUFJJQ0UoNDAyNzMpLShGRl9DQVNIX1NUKFFUUiw0MDI3MykvUF9DT01fU0hTX09VVCg0MDI3MykpKS9GR","V9FU1RJTUFURSgnRVBTJywnTUVBTicsJ0FOTlVBTF9ST0xMJywnKzEnLDQwMjczLCwsJycp&amp;WINDOW=FIRST_POPUP&amp;HEIGHT=450&amp;WIDTH=450&amp;START_MAXIMIZED=FALSE&amp;VAR:CALENDAR=US&amp;VAR:SYMBOL=98433210&amp;VAR:INDEX=0"}</definedName>
    <definedName name="_7626__FDSAUDITLINK__">{"fdsup://directions/FAT Viewer?action=UPDATE&amp;creator=factset&amp;DYN_ARGS=TRUE&amp;DOC_NAME=FAT:FQL_AUDITING_CLIENT_TEMPLATE.FAT&amp;display_string=Audit&amp;VAR:KEY=PCHADCLMFO&amp;VAR:QUERY=KFBfUFJJQ0UoNDAyNzIpLShGRl9DQVNIX1NUKFFUUiw0MDI3MikvUF9DT01fU0hTX09VVCg0MDI3MikpKS9GR","V9FU1RJTUFURSgnRVBTJywnTUVBTicsJ0FOTlVBTF9ST0xMJywnKzEnLDQwMjcyLCwsJycp&amp;WINDOW=FIRST_POPUP&amp;HEIGHT=450&amp;WIDTH=450&amp;START_MAXIMIZED=FALSE&amp;VAR:CALENDAR=US&amp;VAR:SYMBOL=98433210&amp;VAR:INDEX=0"}</definedName>
    <definedName name="_7627__FDSAUDITLINK__">{"fdsup://directions/FAT Viewer?action=UPDATE&amp;creator=factset&amp;DYN_ARGS=TRUE&amp;DOC_NAME=FAT:FQL_AUDITING_CLIENT_TEMPLATE.FAT&amp;display_string=Audit&amp;VAR:KEY=PCHADCLMFO&amp;VAR:QUERY=KFBfUFJJQ0UoNDAyNzIpLShGRl9DQVNIX1NUKFFUUiw0MDI3MikvUF9DT01fU0hTX09VVCg0MDI3MikpKS9GR","V9FU1RJTUFURSgnRVBTJywnTUVBTicsJ0FOTlVBTF9ST0xMJywnKzEnLDQwMjcyLCwsJycp&amp;WINDOW=FIRST_POPUP&amp;HEIGHT=450&amp;WIDTH=450&amp;START_MAXIMIZED=FALSE&amp;VAR:CALENDAR=US&amp;VAR:SYMBOL=98433210&amp;VAR:INDEX=0"}</definedName>
    <definedName name="_7628__FDSAUDITLINK__">{"fdsup://directions/FAT Viewer?action=UPDATE&amp;creator=factset&amp;DYN_ARGS=TRUE&amp;DOC_NAME=FAT:FQL_AUDITING_CLIENT_TEMPLATE.FAT&amp;display_string=Audit&amp;VAR:KEY=TAREVYDKDO&amp;VAR:QUERY=KFBfUFJJQ0UoNDAyNzEpLShGRl9DQVNIX1NUKFFUUiw0MDI3MSkvUF9DT01fU0hTX09VVCg0MDI3MSkpKS9GR","V9FU1RJTUFURSgnRVBTJywnTUVBTicsJ0FOTlVBTF9ST0xMJywnKzEnLDQwMjcxLCwsJycp&amp;WINDOW=FIRST_POPUP&amp;HEIGHT=450&amp;WIDTH=450&amp;START_MAXIMIZED=FALSE&amp;VAR:CALENDAR=US&amp;VAR:SYMBOL=98433210&amp;VAR:INDEX=0"}</definedName>
    <definedName name="_7629__FDSAUDITLINK__">{"fdsup://directions/FAT Viewer?action=UPDATE&amp;creator=factset&amp;DYN_ARGS=TRUE&amp;DOC_NAME=FAT:FQL_AUDITING_CLIENT_TEMPLATE.FAT&amp;display_string=Audit&amp;VAR:KEY=TAREVYDKDO&amp;VAR:QUERY=KFBfUFJJQ0UoNDAyNzEpLShGRl9DQVNIX1NUKFFUUiw0MDI3MSkvUF9DT01fU0hTX09VVCg0MDI3MSkpKS9GR","V9FU1RJTUFURSgnRVBTJywnTUVBTicsJ0FOTlVBTF9ST0xMJywnKzEnLDQwMjcxLCwsJycp&amp;WINDOW=FIRST_POPUP&amp;HEIGHT=450&amp;WIDTH=450&amp;START_MAXIMIZED=FALSE&amp;VAR:CALENDAR=US&amp;VAR:SYMBOL=98433210&amp;VAR:INDEX=0"}</definedName>
    <definedName name="_76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1027"}</definedName>
    <definedName name="_7630__FDSAUDITLINK__">{"fdsup://directions/FAT Viewer?action=UPDATE&amp;creator=factset&amp;DYN_ARGS=TRUE&amp;DOC_NAME=FAT:FQL_AUDITING_CLIENT_TEMPLATE.FAT&amp;display_string=Audit&amp;VAR:KEY=PIXMBWZMLC&amp;VAR:QUERY=KFBfUFJJQ0UoNDAyNzApLShGRl9DQVNIX1NUKFFUUiw0MDI3MCkvUF9DT01fU0hTX09VVCg0MDI3MCkpKS9GR","V9FU1RJTUFURSgnRVBTJywnTUVBTicsJ0FOTlVBTF9ST0xMJywnKzEnLDQwMjcwLCwsJycp&amp;WINDOW=FIRST_POPUP&amp;HEIGHT=450&amp;WIDTH=450&amp;START_MAXIMIZED=FALSE&amp;VAR:CALENDAR=US&amp;VAR:SYMBOL=98433210&amp;VAR:INDEX=0"}</definedName>
    <definedName name="_7631__FDSAUDITLINK__">{"fdsup://directions/FAT Viewer?action=UPDATE&amp;creator=factset&amp;DYN_ARGS=TRUE&amp;DOC_NAME=FAT:FQL_AUDITING_CLIENT_TEMPLATE.FAT&amp;display_string=Audit&amp;VAR:KEY=PIXMBWZMLC&amp;VAR:QUERY=KFBfUFJJQ0UoNDAyNzApLShGRl9DQVNIX1NUKFFUUiw0MDI3MCkvUF9DT01fU0hTX09VVCg0MDI3MCkpKS9GR","V9FU1RJTUFURSgnRVBTJywnTUVBTicsJ0FOTlVBTF9ST0xMJywnKzEnLDQwMjcwLCwsJycp&amp;WINDOW=FIRST_POPUP&amp;HEIGHT=450&amp;WIDTH=450&amp;START_MAXIMIZED=FALSE&amp;VAR:CALENDAR=US&amp;VAR:SYMBOL=98433210&amp;VAR:INDEX=0"}</definedName>
    <definedName name="_7632__FDSAUDITLINK__">{"fdsup://directions/FAT Viewer?action=UPDATE&amp;creator=factset&amp;DYN_ARGS=TRUE&amp;DOC_NAME=FAT:FQL_AUDITING_CLIENT_TEMPLATE.FAT&amp;display_string=Audit&amp;VAR:KEY=NSNQNQREPW&amp;VAR:QUERY=KFBfUFJJQ0UoNDAyNjkpLShGRl9DQVNIX1NUKFFUUiw0MDI2OSkvUF9DT01fU0hTX09VVCg0MDI2OSkpKS9GR","V9FU1RJTUFURSgnRVBTJywnTUVBTicsJ0FOTlVBTF9ST0xMJywnKzEnLDQwMjY5LCwsJycp&amp;WINDOW=FIRST_POPUP&amp;HEIGHT=450&amp;WIDTH=450&amp;START_MAXIMIZED=FALSE&amp;VAR:CALENDAR=US&amp;VAR:SYMBOL=98433210&amp;VAR:INDEX=0"}</definedName>
    <definedName name="_7633__FDSAUDITLINK__">{"fdsup://directions/FAT Viewer?action=UPDATE&amp;creator=factset&amp;DYN_ARGS=TRUE&amp;DOC_NAME=FAT:FQL_AUDITING_CLIENT_TEMPLATE.FAT&amp;display_string=Audit&amp;VAR:KEY=NSNQNQREPW&amp;VAR:QUERY=KFBfUFJJQ0UoNDAyNjkpLShGRl9DQVNIX1NUKFFUUiw0MDI2OSkvUF9DT01fU0hTX09VVCg0MDI2OSkpKS9GR","V9FU1RJTUFURSgnRVBTJywnTUVBTicsJ0FOTlVBTF9ST0xMJywnKzEnLDQwMjY5LCwsJycp&amp;WINDOW=FIRST_POPUP&amp;HEIGHT=450&amp;WIDTH=450&amp;START_MAXIMIZED=FALSE&amp;VAR:CALENDAR=US&amp;VAR:SYMBOL=98433210&amp;VAR:INDEX=0"}</definedName>
    <definedName name="_7634__FDSAUDITLINK__">{"fdsup://directions/FAT Viewer?action=UPDATE&amp;creator=factset&amp;DYN_ARGS=TRUE&amp;DOC_NAME=FAT:FQL_AUDITING_CLIENT_TEMPLATE.FAT&amp;display_string=Audit&amp;VAR:KEY=ZSDEBITQNO&amp;VAR:QUERY=KFBfUFJJQ0UoNDAyNjgpLShGRl9DQVNIX1NUKFFUUiw0MDI2OCkvUF9DT01fU0hTX09VVCg0MDI2OCkpKS9GR","V9FU1RJTUFURSgnRVBTJywnTUVBTicsJ0FOTlVBTF9ST0xMJywnKzEnLDQwMjY4LCwsJycp&amp;WINDOW=FIRST_POPUP&amp;HEIGHT=450&amp;WIDTH=450&amp;START_MAXIMIZED=FALSE&amp;VAR:CALENDAR=US&amp;VAR:SYMBOL=98433210&amp;VAR:INDEX=0"}</definedName>
    <definedName name="_7635__FDSAUDITLINK__">{"fdsup://directions/FAT Viewer?action=UPDATE&amp;creator=factset&amp;DYN_ARGS=TRUE&amp;DOC_NAME=FAT:FQL_AUDITING_CLIENT_TEMPLATE.FAT&amp;display_string=Audit&amp;VAR:KEY=ZSDEBITQNO&amp;VAR:QUERY=KFBfUFJJQ0UoNDAyNjgpLShGRl9DQVNIX1NUKFFUUiw0MDI2OCkvUF9DT01fU0hTX09VVCg0MDI2OCkpKS9GR","V9FU1RJTUFURSgnRVBTJywnTUVBTicsJ0FOTlVBTF9ST0xMJywnKzEnLDQwMjY4LCwsJycp&amp;WINDOW=FIRST_POPUP&amp;HEIGHT=450&amp;WIDTH=450&amp;START_MAXIMIZED=FALSE&amp;VAR:CALENDAR=US&amp;VAR:SYMBOL=98433210&amp;VAR:INDEX=0"}</definedName>
    <definedName name="_7636__FDSAUDITLINK__">{"fdsup://directions/FAT Viewer?action=UPDATE&amp;creator=factset&amp;DYN_ARGS=TRUE&amp;DOC_NAME=FAT:FQL_AUDITING_CLIENT_TEMPLATE.FAT&amp;display_string=Audit&amp;VAR:KEY=ZMTIHOTIZO&amp;VAR:QUERY=KFBfUFJJQ0UoNDAyNjcpLShGRl9DQVNIX1NUKFFUUiw0MDI2NykvUF9DT01fU0hTX09VVCg0MDI2NykpKS9GR","V9FU1RJTUFURSgnRVBTJywnTUVBTicsJ0FOTlVBTF9ST0xMJywnKzEnLDQwMjY3LCwsJycp&amp;WINDOW=FIRST_POPUP&amp;HEIGHT=450&amp;WIDTH=450&amp;START_MAXIMIZED=FALSE&amp;VAR:CALENDAR=US&amp;VAR:SYMBOL=98433210&amp;VAR:INDEX=0"}</definedName>
    <definedName name="_7637__FDSAUDITLINK__">{"fdsup://directions/FAT Viewer?action=UPDATE&amp;creator=factset&amp;DYN_ARGS=TRUE&amp;DOC_NAME=FAT:FQL_AUDITING_CLIENT_TEMPLATE.FAT&amp;display_string=Audit&amp;VAR:KEY=ZMTIHOTIZO&amp;VAR:QUERY=KFBfUFJJQ0UoNDAyNjcpLShGRl9DQVNIX1NUKFFUUiw0MDI2NykvUF9DT01fU0hTX09VVCg0MDI2NykpKS9GR","V9FU1RJTUFURSgnRVBTJywnTUVBTicsJ0FOTlVBTF9ST0xMJywnKzEnLDQwMjY3LCwsJycp&amp;WINDOW=FIRST_POPUP&amp;HEIGHT=450&amp;WIDTH=450&amp;START_MAXIMIZED=FALSE&amp;VAR:CALENDAR=US&amp;VAR:SYMBOL=98433210&amp;VAR:INDEX=0"}</definedName>
    <definedName name="_7638__FDSAUDITLINK__">{"fdsup://directions/FAT Viewer?action=UPDATE&amp;creator=factset&amp;DYN_ARGS=TRUE&amp;DOC_NAME=FAT:FQL_AUDITING_CLIENT_TEMPLATE.FAT&amp;display_string=Audit&amp;VAR:KEY=NWFKTSTEVY&amp;VAR:QUERY=KFBfUFJJQ0UoNDAyNjYpLShGRl9DQVNIX1NUKFFUUiw0MDI2NikvUF9DT01fU0hTX09VVCg0MDI2NikpKS9GR","V9FU1RJTUFURSgnRVBTJywnTUVBTicsJ0FOTlVBTF9ST0xMJywnKzEnLDQwMjY2LCwsJycp&amp;WINDOW=FIRST_POPUP&amp;HEIGHT=450&amp;WIDTH=450&amp;START_MAXIMIZED=FALSE&amp;VAR:CALENDAR=US&amp;VAR:SYMBOL=98433210&amp;VAR:INDEX=0"}</definedName>
    <definedName name="_7639__FDSAUDITLINK__">{"fdsup://directions/FAT Viewer?action=UPDATE&amp;creator=factset&amp;DYN_ARGS=TRUE&amp;DOC_NAME=FAT:FQL_AUDITING_CLIENT_TEMPLATE.FAT&amp;display_string=Audit&amp;VAR:KEY=NWFKTSTEVY&amp;VAR:QUERY=KFBfUFJJQ0UoNDAyNjYpLShGRl9DQVNIX1NUKFFUUiw0MDI2NikvUF9DT01fU0hTX09VVCg0MDI2NikpKS9GR","V9FU1RJTUFURSgnRVBTJywnTUVBTicsJ0FOTlVBTF9ST0xMJywnKzEnLDQwMjY2LCwsJycp&amp;WINDOW=FIRST_POPUP&amp;HEIGHT=450&amp;WIDTH=450&amp;START_MAXIMIZED=FALSE&amp;VAR:CALENDAR=US&amp;VAR:SYMBOL=98433210&amp;VAR:INDEX=0"}</definedName>
    <definedName name="_76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1026"}</definedName>
    <definedName name="_7640__FDSAUDITLINK__">{"fdsup://directions/FAT Viewer?action=UPDATE&amp;creator=factset&amp;DYN_ARGS=TRUE&amp;DOC_NAME=FAT:FQL_AUDITING_CLIENT_TEMPLATE.FAT&amp;display_string=Audit&amp;VAR:KEY=BKPUVKFEZI&amp;VAR:QUERY=KFBfUFJJQ0UoNDAyNjUpLShGRl9DQVNIX1NUKFFUUiw0MDI2NSkvUF9DT01fU0hTX09VVCg0MDI2NSkpKS9GR","V9FU1RJTUFURSgnRVBTJywnTUVBTicsJ0FOTlVBTF9ST0xMJywnKzEnLDQwMjY1LCwsJycp&amp;WINDOW=FIRST_POPUP&amp;HEIGHT=450&amp;WIDTH=450&amp;START_MAXIMIZED=FALSE&amp;VAR:CALENDAR=US&amp;VAR:SYMBOL=98433210&amp;VAR:INDEX=0"}</definedName>
    <definedName name="_7641__FDSAUDITLINK__">{"fdsup://directions/FAT Viewer?action=UPDATE&amp;creator=factset&amp;DYN_ARGS=TRUE&amp;DOC_NAME=FAT:FQL_AUDITING_CLIENT_TEMPLATE.FAT&amp;display_string=Audit&amp;VAR:KEY=BKPUVKFEZI&amp;VAR:QUERY=KFBfUFJJQ0UoNDAyNjUpLShGRl9DQVNIX1NUKFFUUiw0MDI2NSkvUF9DT01fU0hTX09VVCg0MDI2NSkpKS9GR","V9FU1RJTUFURSgnRVBTJywnTUVBTicsJ0FOTlVBTF9ST0xMJywnKzEnLDQwMjY1LCwsJycp&amp;WINDOW=FIRST_POPUP&amp;HEIGHT=450&amp;WIDTH=450&amp;START_MAXIMIZED=FALSE&amp;VAR:CALENDAR=US&amp;VAR:SYMBOL=98433210&amp;VAR:INDEX=0"}</definedName>
    <definedName name="_7642__FDSAUDITLINK__">{"fdsup://directions/FAT Viewer?action=UPDATE&amp;creator=factset&amp;DYN_ARGS=TRUE&amp;DOC_NAME=FAT:FQL_AUDITING_CLIENT_TEMPLATE.FAT&amp;display_string=Audit&amp;VAR:KEY=ROXYPWXWRG&amp;VAR:QUERY=KFBfUFJJQ0UoNDAyNjQpLShGRl9DQVNIX1NUKFFUUiw0MDI2NCkvUF9DT01fU0hTX09VVCg0MDI2NCkpKS9GR","V9FU1RJTUFURSgnRVBTJywnTUVBTicsJ0FOTlVBTF9ST0xMJywnKzEnLDQwMjY0LCwsJycp&amp;WINDOW=FIRST_POPUP&amp;HEIGHT=450&amp;WIDTH=450&amp;START_MAXIMIZED=FALSE&amp;VAR:CALENDAR=US&amp;VAR:SYMBOL=98433210&amp;VAR:INDEX=0"}</definedName>
    <definedName name="_7643__FDSAUDITLINK__">{"fdsup://directions/FAT Viewer?action=UPDATE&amp;creator=factset&amp;DYN_ARGS=TRUE&amp;DOC_NAME=FAT:FQL_AUDITING_CLIENT_TEMPLATE.FAT&amp;display_string=Audit&amp;VAR:KEY=ROXYPWXWRG&amp;VAR:QUERY=KFBfUFJJQ0UoNDAyNjQpLShGRl9DQVNIX1NUKFFUUiw0MDI2NCkvUF9DT01fU0hTX09VVCg0MDI2NCkpKS9GR","V9FU1RJTUFURSgnRVBTJywnTUVBTicsJ0FOTlVBTF9ST0xMJywnKzEnLDQwMjY0LCwsJycp&amp;WINDOW=FIRST_POPUP&amp;HEIGHT=450&amp;WIDTH=450&amp;START_MAXIMIZED=FALSE&amp;VAR:CALENDAR=US&amp;VAR:SYMBOL=98433210&amp;VAR:INDEX=0"}</definedName>
    <definedName name="_7644__FDSAUDITLINK__">{"fdsup://directions/FAT Viewer?action=UPDATE&amp;creator=factset&amp;DYN_ARGS=TRUE&amp;DOC_NAME=FAT:FQL_AUDITING_CLIENT_TEMPLATE.FAT&amp;display_string=Audit&amp;VAR:KEY=NSLCFQZIHY&amp;VAR:QUERY=KFBfUFJJQ0UoNDAyNjMpLShGRl9DQVNIX1NUKFFUUiw0MDI2MykvUF9DT01fU0hTX09VVCg0MDI2MykpKS9GR","V9FU1RJTUFURSgnRVBTJywnTUVBTicsJ0FOTlVBTF9ST0xMJywnKzEnLDQwMjYzLCwsJycp&amp;WINDOW=FIRST_POPUP&amp;HEIGHT=450&amp;WIDTH=450&amp;START_MAXIMIZED=FALSE&amp;VAR:CALENDAR=US&amp;VAR:SYMBOL=98433210&amp;VAR:INDEX=0"}</definedName>
    <definedName name="_7645__FDSAUDITLINK__">{"fdsup://directions/FAT Viewer?action=UPDATE&amp;creator=factset&amp;DYN_ARGS=TRUE&amp;DOC_NAME=FAT:FQL_AUDITING_CLIENT_TEMPLATE.FAT&amp;display_string=Audit&amp;VAR:KEY=NSLCFQZIHY&amp;VAR:QUERY=KFBfUFJJQ0UoNDAyNjMpLShGRl9DQVNIX1NUKFFUUiw0MDI2MykvUF9DT01fU0hTX09VVCg0MDI2MykpKS9GR","V9FU1RJTUFURSgnRVBTJywnTUVBTicsJ0FOTlVBTF9ST0xMJywnKzEnLDQwMjYzLCwsJycp&amp;WINDOW=FIRST_POPUP&amp;HEIGHT=450&amp;WIDTH=450&amp;START_MAXIMIZED=FALSE&amp;VAR:CALENDAR=US&amp;VAR:SYMBOL=98433210&amp;VAR:INDEX=0"}</definedName>
    <definedName name="_7646__FDSAUDITLINK__">{"fdsup://directions/FAT Viewer?action=UPDATE&amp;creator=factset&amp;DYN_ARGS=TRUE&amp;DOC_NAME=FAT:FQL_AUDITING_CLIENT_TEMPLATE.FAT&amp;display_string=Audit&amp;VAR:KEY=ZUVEPYPQFK&amp;VAR:QUERY=KFBfUFJJQ0UoNDAyNjIpLShGRl9DQVNIX1NUKFFUUiw0MDI2MikvUF9DT01fU0hTX09VVCg0MDI2MikpKS9GR","V9FU1RJTUFURSgnRVBTJywnTUVBTicsJ0FOTlVBTF9ST0xMJywnKzEnLDQwMjYyLCwsJycp&amp;WINDOW=FIRST_POPUP&amp;HEIGHT=450&amp;WIDTH=450&amp;START_MAXIMIZED=FALSE&amp;VAR:CALENDAR=US&amp;VAR:SYMBOL=98433210&amp;VAR:INDEX=0"}</definedName>
    <definedName name="_7647__FDSAUDITLINK__">{"fdsup://directions/FAT Viewer?action=UPDATE&amp;creator=factset&amp;DYN_ARGS=TRUE&amp;DOC_NAME=FAT:FQL_AUDITING_CLIENT_TEMPLATE.FAT&amp;display_string=Audit&amp;VAR:KEY=ZUVEPYPQFK&amp;VAR:QUERY=KFBfUFJJQ0UoNDAyNjIpLShGRl9DQVNIX1NUKFFUUiw0MDI2MikvUF9DT01fU0hTX09VVCg0MDI2MikpKS9GR","V9FU1RJTUFURSgnRVBTJywnTUVBTicsJ0FOTlVBTF9ST0xMJywnKzEnLDQwMjYyLCwsJycp&amp;WINDOW=FIRST_POPUP&amp;HEIGHT=450&amp;WIDTH=450&amp;START_MAXIMIZED=FALSE&amp;VAR:CALENDAR=US&amp;VAR:SYMBOL=98433210&amp;VAR:INDEX=0"}</definedName>
    <definedName name="_7648__FDSAUDITLINK__">{"fdsup://directions/FAT Viewer?action=UPDATE&amp;creator=factset&amp;DYN_ARGS=TRUE&amp;DOC_NAME=FAT:FQL_AUDITING_CLIENT_TEMPLATE.FAT&amp;display_string=Audit&amp;VAR:KEY=FIVMHIBQDK&amp;VAR:QUERY=KFBfUFJJQ0UoNDAyNjEpLShGRl9DQVNIX1NUKFFUUiw0MDI2MSkvUF9DT01fU0hTX09VVCg0MDI2MSkpKS9GR","V9FU1RJTUFURSgnRVBTJywnTUVBTicsJ0FOTlVBTF9ST0xMJywnKzEnLDQwMjYxLCwsJycp&amp;WINDOW=FIRST_POPUP&amp;HEIGHT=450&amp;WIDTH=450&amp;START_MAXIMIZED=FALSE&amp;VAR:CALENDAR=US&amp;VAR:SYMBOL=98433210&amp;VAR:INDEX=0"}</definedName>
    <definedName name="_7649__FDSAUDITLINK__">{"fdsup://directions/FAT Viewer?action=UPDATE&amp;creator=factset&amp;DYN_ARGS=TRUE&amp;DOC_NAME=FAT:FQL_AUDITING_CLIENT_TEMPLATE.FAT&amp;display_string=Audit&amp;VAR:KEY=FIVMHIBQDK&amp;VAR:QUERY=KFBfUFJJQ0UoNDAyNjEpLShGRl9DQVNIX1NUKFFUUiw0MDI2MSkvUF9DT01fU0hTX09VVCg0MDI2MSkpKS9GR","V9FU1RJTUFURSgnRVBTJywnTUVBTicsJ0FOTlVBTF9ST0xMJywnKzEnLDQwMjYxLCwsJycp&amp;WINDOW=FIRST_POPUP&amp;HEIGHT=450&amp;WIDTH=450&amp;START_MAXIMIZED=FALSE&amp;VAR:CALENDAR=US&amp;VAR:SYMBOL=98433210&amp;VAR:INDEX=0"}</definedName>
    <definedName name="_76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1025"}</definedName>
    <definedName name="_7650__FDSAUDITLINK__">{"fdsup://directions/FAT Viewer?action=UPDATE&amp;creator=factset&amp;DYN_ARGS=TRUE&amp;DOC_NAME=FAT:FQL_AUDITING_CLIENT_TEMPLATE.FAT&amp;display_string=Audit&amp;VAR:KEY=VMJQRUVKFU&amp;VAR:QUERY=KFBfUFJJQ0UoNDAyNjApLShGRl9DQVNIX1NUKFFUUiw0MDI2MCkvUF9DT01fU0hTX09VVCg0MDI2MCkpKS9GR","V9FU1RJTUFURSgnRVBTJywnTUVBTicsJ0FOTlVBTF9ST0xMJywnKzEnLDQwMjYwLCwsJycp&amp;WINDOW=FIRST_POPUP&amp;HEIGHT=450&amp;WIDTH=450&amp;START_MAXIMIZED=FALSE&amp;VAR:CALENDAR=US&amp;VAR:SYMBOL=98433210&amp;VAR:INDEX=0"}</definedName>
    <definedName name="_7651__FDSAUDITLINK__">{"fdsup://directions/FAT Viewer?action=UPDATE&amp;creator=factset&amp;DYN_ARGS=TRUE&amp;DOC_NAME=FAT:FQL_AUDITING_CLIENT_TEMPLATE.FAT&amp;display_string=Audit&amp;VAR:KEY=VMJQRUVKFU&amp;VAR:QUERY=KFBfUFJJQ0UoNDAyNjApLShGRl9DQVNIX1NUKFFUUiw0MDI2MCkvUF9DT01fU0hTX09VVCg0MDI2MCkpKS9GR","V9FU1RJTUFURSgnRVBTJywnTUVBTicsJ0FOTlVBTF9ST0xMJywnKzEnLDQwMjYwLCwsJycp&amp;WINDOW=FIRST_POPUP&amp;HEIGHT=450&amp;WIDTH=450&amp;START_MAXIMIZED=FALSE&amp;VAR:CALENDAR=US&amp;VAR:SYMBOL=98433210&amp;VAR:INDEX=0"}</definedName>
    <definedName name="_7652__FDSAUDITLINK__">{"fdsup://directions/FAT Viewer?action=UPDATE&amp;creator=factset&amp;DYN_ARGS=TRUE&amp;DOC_NAME=FAT:FQL_AUDITING_CLIENT_TEMPLATE.FAT&amp;display_string=Audit&amp;VAR:KEY=BCFKXUHKLY&amp;VAR:QUERY=KFBfUFJJQ0UoNDAyNTkpLShGRl9DQVNIX1NUKFFUUiw0MDI1OSkvUF9DT01fU0hTX09VVCg0MDI1OSkpKS9GR","V9FU1RJTUFURSgnRVBTJywnTUVBTicsJ0FOTlVBTF9ST0xMJywnKzEnLDQwMjU5LCwsJycp&amp;WINDOW=FIRST_POPUP&amp;HEIGHT=450&amp;WIDTH=450&amp;START_MAXIMIZED=FALSE&amp;VAR:CALENDAR=US&amp;VAR:SYMBOL=98433210&amp;VAR:INDEX=0"}</definedName>
    <definedName name="_7653__FDSAUDITLINK__">{"fdsup://directions/FAT Viewer?action=UPDATE&amp;creator=factset&amp;DYN_ARGS=TRUE&amp;DOC_NAME=FAT:FQL_AUDITING_CLIENT_TEMPLATE.FAT&amp;display_string=Audit&amp;VAR:KEY=BCFKXUHKLY&amp;VAR:QUERY=KFBfUFJJQ0UoNDAyNTkpLShGRl9DQVNIX1NUKFFUUiw0MDI1OSkvUF9DT01fU0hTX09VVCg0MDI1OSkpKS9GR","V9FU1RJTUFURSgnRVBTJywnTUVBTicsJ0FOTlVBTF9ST0xMJywnKzEnLDQwMjU5LCwsJycp&amp;WINDOW=FIRST_POPUP&amp;HEIGHT=450&amp;WIDTH=450&amp;START_MAXIMIZED=FALSE&amp;VAR:CALENDAR=US&amp;VAR:SYMBOL=98433210&amp;VAR:INDEX=0"}</definedName>
    <definedName name="_7654__FDSAUDITLINK__">{"fdsup://directions/FAT Viewer?action=UPDATE&amp;creator=factset&amp;DYN_ARGS=TRUE&amp;DOC_NAME=FAT:FQL_AUDITING_CLIENT_TEMPLATE.FAT&amp;display_string=Audit&amp;VAR:KEY=NATWBETAZA&amp;VAR:QUERY=KFBfUFJJQ0UoNDAyNTgpLShGRl9DQVNIX1NUKFFUUiw0MDI1OCkvUF9DT01fU0hTX09VVCg0MDI1OCkpKS9GR","V9FU1RJTUFURSgnRVBTJywnTUVBTicsJ0FOTlVBTF9ST0xMJywnKzEnLDQwMjU4LCwsJycp&amp;WINDOW=FIRST_POPUP&amp;HEIGHT=450&amp;WIDTH=450&amp;START_MAXIMIZED=FALSE&amp;VAR:CALENDAR=US&amp;VAR:SYMBOL=98433210&amp;VAR:INDEX=0"}</definedName>
    <definedName name="_7655__FDSAUDITLINK__">{"fdsup://directions/FAT Viewer?action=UPDATE&amp;creator=factset&amp;DYN_ARGS=TRUE&amp;DOC_NAME=FAT:FQL_AUDITING_CLIENT_TEMPLATE.FAT&amp;display_string=Audit&amp;VAR:KEY=NATWBETAZA&amp;VAR:QUERY=KFBfUFJJQ0UoNDAyNTgpLShGRl9DQVNIX1NUKFFUUiw0MDI1OCkvUF9DT01fU0hTX09VVCg0MDI1OCkpKS9GR","V9FU1RJTUFURSgnRVBTJywnTUVBTicsJ0FOTlVBTF9ST0xMJywnKzEnLDQwMjU4LCwsJycp&amp;WINDOW=FIRST_POPUP&amp;HEIGHT=450&amp;WIDTH=450&amp;START_MAXIMIZED=FALSE&amp;VAR:CALENDAR=US&amp;VAR:SYMBOL=98433210&amp;VAR:INDEX=0"}</definedName>
    <definedName name="_7656__FDSAUDITLINK__">{"fdsup://directions/FAT Viewer?action=UPDATE&amp;creator=factset&amp;DYN_ARGS=TRUE&amp;DOC_NAME=FAT:FQL_AUDITING_CLIENT_TEMPLATE.FAT&amp;display_string=Audit&amp;VAR:KEY=TKVETAVYTS&amp;VAR:QUERY=KFBfUFJJQ0UoNDAyNTcpLShGRl9DQVNIX1NUKFFUUiw0MDI1NykvUF9DT01fU0hTX09VVCg0MDI1NykpKS9GR","V9FU1RJTUFURSgnRVBTJywnTUVBTicsJ0FOTlVBTF9ST0xMJywnKzEnLDQwMjU3LCwsJycp&amp;WINDOW=FIRST_POPUP&amp;HEIGHT=450&amp;WIDTH=450&amp;START_MAXIMIZED=FALSE&amp;VAR:CALENDAR=US&amp;VAR:SYMBOL=98433210&amp;VAR:INDEX=0"}</definedName>
    <definedName name="_7657__FDSAUDITLINK__">{"fdsup://directions/FAT Viewer?action=UPDATE&amp;creator=factset&amp;DYN_ARGS=TRUE&amp;DOC_NAME=FAT:FQL_AUDITING_CLIENT_TEMPLATE.FAT&amp;display_string=Audit&amp;VAR:KEY=TKVETAVYTS&amp;VAR:QUERY=KFBfUFJJQ0UoNDAyNTcpLShGRl9DQVNIX1NUKFFUUiw0MDI1NykvUF9DT01fU0hTX09VVCg0MDI1NykpKS9GR","V9FU1RJTUFURSgnRVBTJywnTUVBTicsJ0FOTlVBTF9ST0xMJywnKzEnLDQwMjU3LCwsJycp&amp;WINDOW=FIRST_POPUP&amp;HEIGHT=450&amp;WIDTH=450&amp;START_MAXIMIZED=FALSE&amp;VAR:CALENDAR=US&amp;VAR:SYMBOL=98433210&amp;VAR:INDEX=0"}</definedName>
    <definedName name="_7658__FDSAUDITLINK__">{"fdsup://directions/FAT Viewer?action=UPDATE&amp;creator=factset&amp;DYN_ARGS=TRUE&amp;DOC_NAME=FAT:FQL_AUDITING_CLIENT_TEMPLATE.FAT&amp;display_string=Audit&amp;VAR:KEY=DULMBETAHM&amp;VAR:QUERY=KFBfUFJJQ0UoNDAyNTYpLShGRl9DQVNIX1NUKFFUUiw0MDI1NikvUF9DT01fU0hTX09VVCg0MDI1NikpKS9GR","V9FU1RJTUFURSgnRVBTJywnTUVBTicsJ0FOTlVBTF9ST0xMJywnKzEnLDQwMjU2LCwsJycp&amp;WINDOW=FIRST_POPUP&amp;HEIGHT=450&amp;WIDTH=450&amp;START_MAXIMIZED=FALSE&amp;VAR:CALENDAR=US&amp;VAR:SYMBOL=98433210&amp;VAR:INDEX=0"}</definedName>
    <definedName name="_7659__FDSAUDITLINK__">{"fdsup://directions/FAT Viewer?action=UPDATE&amp;creator=factset&amp;DYN_ARGS=TRUE&amp;DOC_NAME=FAT:FQL_AUDITING_CLIENT_TEMPLATE.FAT&amp;display_string=Audit&amp;VAR:KEY=DULMBETAHM&amp;VAR:QUERY=KFBfUFJJQ0UoNDAyNTYpLShGRl9DQVNIX1NUKFFUUiw0MDI1NikvUF9DT01fU0hTX09VVCg0MDI1NikpKS9GR","V9FU1RJTUFURSgnRVBTJywnTUVBTicsJ0FOTlVBTF9ST0xMJywnKzEnLDQwMjU2LCwsJycp&amp;WINDOW=FIRST_POPUP&amp;HEIGHT=450&amp;WIDTH=450&amp;START_MAXIMIZED=FALSE&amp;VAR:CALENDAR=US&amp;VAR:SYMBOL=98433210&amp;VAR:INDEX=0"}</definedName>
    <definedName name="_76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1024"}</definedName>
    <definedName name="_7660__FDSAUDITLINK__">{"fdsup://directions/FAT Viewer?action=UPDATE&amp;creator=factset&amp;DYN_ARGS=TRUE&amp;DOC_NAME=FAT:FQL_AUDITING_CLIENT_TEMPLATE.FAT&amp;display_string=Audit&amp;VAR:KEY=PYRCRELSJO&amp;VAR:QUERY=KFBfUFJJQ0UoNDAyNTUpLShGRl9DQVNIX1NUKFFUUiw0MDI1NSkvUF9DT01fU0hTX09VVCg0MDI1NSkpKS9GR","V9FU1RJTUFURSgnRVBTJywnTUVBTicsJ0FOTlVBTF9ST0xMJywnKzEnLDQwMjU1LCwsJycp&amp;WINDOW=FIRST_POPUP&amp;HEIGHT=450&amp;WIDTH=450&amp;START_MAXIMIZED=FALSE&amp;VAR:CALENDAR=US&amp;VAR:SYMBOL=98433210&amp;VAR:INDEX=0"}</definedName>
    <definedName name="_7661__FDSAUDITLINK__">{"fdsup://directions/FAT Viewer?action=UPDATE&amp;creator=factset&amp;DYN_ARGS=TRUE&amp;DOC_NAME=FAT:FQL_AUDITING_CLIENT_TEMPLATE.FAT&amp;display_string=Audit&amp;VAR:KEY=PYRCRELSJO&amp;VAR:QUERY=KFBfUFJJQ0UoNDAyNTUpLShGRl9DQVNIX1NUKFFUUiw0MDI1NSkvUF9DT01fU0hTX09VVCg0MDI1NSkpKS9GR","V9FU1RJTUFURSgnRVBTJywnTUVBTicsJ0FOTlVBTF9ST0xMJywnKzEnLDQwMjU1LCwsJycp&amp;WINDOW=FIRST_POPUP&amp;HEIGHT=450&amp;WIDTH=450&amp;START_MAXIMIZED=FALSE&amp;VAR:CALENDAR=US&amp;VAR:SYMBOL=98433210&amp;VAR:INDEX=0"}</definedName>
    <definedName name="_7662__FDSAUDITLINK__">{"fdsup://directions/FAT Viewer?action=UPDATE&amp;creator=factset&amp;DYN_ARGS=TRUE&amp;DOC_NAME=FAT:FQL_AUDITING_CLIENT_TEMPLATE.FAT&amp;display_string=Audit&amp;VAR:KEY=HYDSXOHULA&amp;VAR:QUERY=KFBfUFJJQ0UoNDAyNTQpLShGRl9DQVNIX1NUKFFUUiw0MDI1NCkvUF9DT01fU0hTX09VVCg0MDI1NCkpKS9GR","V9FU1RJTUFURSgnRVBTJywnTUVBTicsJ0FOTlVBTF9ST0xMJywnKzEnLDQwMjU0LCwsJycp&amp;WINDOW=FIRST_POPUP&amp;HEIGHT=450&amp;WIDTH=450&amp;START_MAXIMIZED=FALSE&amp;VAR:CALENDAR=US&amp;VAR:SYMBOL=98433210&amp;VAR:INDEX=0"}</definedName>
    <definedName name="_7663__FDSAUDITLINK__">{"fdsup://directions/FAT Viewer?action=UPDATE&amp;creator=factset&amp;DYN_ARGS=TRUE&amp;DOC_NAME=FAT:FQL_AUDITING_CLIENT_TEMPLATE.FAT&amp;display_string=Audit&amp;VAR:KEY=HYDSXOHULA&amp;VAR:QUERY=KFBfUFJJQ0UoNDAyNTQpLShGRl9DQVNIX1NUKFFUUiw0MDI1NCkvUF9DT01fU0hTX09VVCg0MDI1NCkpKS9GR","V9FU1RJTUFURSgnRVBTJywnTUVBTicsJ0FOTlVBTF9ST0xMJywnKzEnLDQwMjU0LCwsJycp&amp;WINDOW=FIRST_POPUP&amp;HEIGHT=450&amp;WIDTH=450&amp;START_MAXIMIZED=FALSE&amp;VAR:CALENDAR=US&amp;VAR:SYMBOL=98433210&amp;VAR:INDEX=0"}</definedName>
    <definedName name="_7664__FDSAUDITLINK__">{"fdsup://directions/FAT Viewer?action=UPDATE&amp;creator=factset&amp;DYN_ARGS=TRUE&amp;DOC_NAME=FAT:FQL_AUDITING_CLIENT_TEMPLATE.FAT&amp;display_string=Audit&amp;VAR:KEY=FKJYXSFKNS&amp;VAR:QUERY=KFBfUFJJQ0UoNDAyNTMpLShGRl9DQVNIX1NUKFFUUiw0MDI1MykvUF9DT01fU0hTX09VVCg0MDI1MykpKS9GR","V9FU1RJTUFURSgnRVBTJywnTUVBTicsJ0FOTlVBTF9ST0xMJywnKzEnLDQwMjUzLCwsJycp&amp;WINDOW=FIRST_POPUP&amp;HEIGHT=450&amp;WIDTH=450&amp;START_MAXIMIZED=FALSE&amp;VAR:CALENDAR=US&amp;VAR:SYMBOL=98433210&amp;VAR:INDEX=0"}</definedName>
    <definedName name="_7665__FDSAUDITLINK__">{"fdsup://directions/FAT Viewer?action=UPDATE&amp;creator=factset&amp;DYN_ARGS=TRUE&amp;DOC_NAME=FAT:FQL_AUDITING_CLIENT_TEMPLATE.FAT&amp;display_string=Audit&amp;VAR:KEY=FKJYXSFKNS&amp;VAR:QUERY=KFBfUFJJQ0UoNDAyNTMpLShGRl9DQVNIX1NUKFFUUiw0MDI1MykvUF9DT01fU0hTX09VVCg0MDI1MykpKS9GR","V9FU1RJTUFURSgnRVBTJywnTUVBTicsJ0FOTlVBTF9ST0xMJywnKzEnLDQwMjUzLCwsJycp&amp;WINDOW=FIRST_POPUP&amp;HEIGHT=450&amp;WIDTH=450&amp;START_MAXIMIZED=FALSE&amp;VAR:CALENDAR=US&amp;VAR:SYMBOL=98433210&amp;VAR:INDEX=0"}</definedName>
    <definedName name="_7666__FDSAUDITLINK__">{"fdsup://directions/FAT Viewer?action=UPDATE&amp;creator=factset&amp;DYN_ARGS=TRUE&amp;DOC_NAME=FAT:FQL_AUDITING_CLIENT_TEMPLATE.FAT&amp;display_string=Audit&amp;VAR:KEY=ZAJALKBAXY&amp;VAR:QUERY=KFBfUFJJQ0UoNDAyNTIpLShGRl9DQVNIX1NUKFFUUiw0MDI1MikvUF9DT01fU0hTX09VVCg0MDI1MikpKS9GR","V9FU1RJTUFURSgnRVBTJywnTUVBTicsJ0FOTlVBTF9ST0xMJywnKzEnLDQwMjUyLCwsJycp&amp;WINDOW=FIRST_POPUP&amp;HEIGHT=450&amp;WIDTH=450&amp;START_MAXIMIZED=FALSE&amp;VAR:CALENDAR=US&amp;VAR:SYMBOL=98433210&amp;VAR:INDEX=0"}</definedName>
    <definedName name="_7667__FDSAUDITLINK__">{"fdsup://directions/FAT Viewer?action=UPDATE&amp;creator=factset&amp;DYN_ARGS=TRUE&amp;DOC_NAME=FAT:FQL_AUDITING_CLIENT_TEMPLATE.FAT&amp;display_string=Audit&amp;VAR:KEY=ZAJALKBAXY&amp;VAR:QUERY=KFBfUFJJQ0UoNDAyNTIpLShGRl9DQVNIX1NUKFFUUiw0MDI1MikvUF9DT01fU0hTX09VVCg0MDI1MikpKS9GR","V9FU1RJTUFURSgnRVBTJywnTUVBTicsJ0FOTlVBTF9ST0xMJywnKzEnLDQwMjUyLCwsJycp&amp;WINDOW=FIRST_POPUP&amp;HEIGHT=450&amp;WIDTH=450&amp;START_MAXIMIZED=FALSE&amp;VAR:CALENDAR=US&amp;VAR:SYMBOL=98433210&amp;VAR:INDEX=0"}</definedName>
    <definedName name="_7668__FDSAUDITLINK__">{"fdsup://directions/FAT Viewer?action=UPDATE&amp;creator=factset&amp;DYN_ARGS=TRUE&amp;DOC_NAME=FAT:FQL_AUDITING_CLIENT_TEMPLATE.FAT&amp;display_string=Audit&amp;VAR:KEY=NQDMNQDMFK&amp;VAR:QUERY=KFBfUFJJQ0UoNDAyNTEpLShGRl9DQVNIX1NUKFFUUiw0MDI1MSkvUF9DT01fU0hTX09VVCg0MDI1MSkpKS9GR","V9FU1RJTUFURSgnRVBTJywnTUVBTicsJ0FOTlVBTF9ST0xMJywnKzEnLDQwMjUxLCwsJycp&amp;WINDOW=FIRST_POPUP&amp;HEIGHT=450&amp;WIDTH=450&amp;START_MAXIMIZED=FALSE&amp;VAR:CALENDAR=US&amp;VAR:SYMBOL=98433210&amp;VAR:INDEX=0"}</definedName>
    <definedName name="_7669__FDSAUDITLINK__">{"fdsup://directions/FAT Viewer?action=UPDATE&amp;creator=factset&amp;DYN_ARGS=TRUE&amp;DOC_NAME=FAT:FQL_AUDITING_CLIENT_TEMPLATE.FAT&amp;display_string=Audit&amp;VAR:KEY=NQDMNQDMFK&amp;VAR:QUERY=KFBfUFJJQ0UoNDAyNTEpLShGRl9DQVNIX1NUKFFUUiw0MDI1MSkvUF9DT01fU0hTX09VVCg0MDI1MSkpKS9GR","V9FU1RJTUFURSgnRVBTJywnTUVBTicsJ0FOTlVBTF9ST0xMJywnKzEnLDQwMjUxLCwsJycp&amp;WINDOW=FIRST_POPUP&amp;HEIGHT=450&amp;WIDTH=450&amp;START_MAXIMIZED=FALSE&amp;VAR:CALENDAR=US&amp;VAR:SYMBOL=98433210&amp;VAR:INDEX=0"}</definedName>
    <definedName name="_76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1023"}</definedName>
    <definedName name="_7670__FDSAUDITLINK__">{"fdsup://directions/FAT Viewer?action=UPDATE&amp;creator=factset&amp;DYN_ARGS=TRUE&amp;DOC_NAME=FAT:FQL_AUDITING_CLIENT_TEMPLATE.FAT&amp;display_string=Audit&amp;VAR:KEY=BYHGFOVGLI&amp;VAR:QUERY=KFBfUFJJQ0UoNDAyNTApLShGRl9DQVNIX1NUKFFUUiw0MDI1MCkvUF9DT01fU0hTX09VVCg0MDI1MCkpKS9GR","V9FU1RJTUFURSgnRVBTJywnTUVBTicsJ0FOTlVBTF9ST0xMJywnKzEnLDQwMjUwLCwsJycp&amp;WINDOW=FIRST_POPUP&amp;HEIGHT=450&amp;WIDTH=450&amp;START_MAXIMIZED=FALSE&amp;VAR:CALENDAR=US&amp;VAR:SYMBOL=98433210&amp;VAR:INDEX=0"}</definedName>
    <definedName name="_7671__FDSAUDITLINK__">{"fdsup://directions/FAT Viewer?action=UPDATE&amp;creator=factset&amp;DYN_ARGS=TRUE&amp;DOC_NAME=FAT:FQL_AUDITING_CLIENT_TEMPLATE.FAT&amp;display_string=Audit&amp;VAR:KEY=BYHGFOVGLI&amp;VAR:QUERY=KFBfUFJJQ0UoNDAyNTApLShGRl9DQVNIX1NUKFFUUiw0MDI1MCkvUF9DT01fU0hTX09VVCg0MDI1MCkpKS9GR","V9FU1RJTUFURSgnRVBTJywnTUVBTicsJ0FOTlVBTF9ST0xMJywnKzEnLDQwMjUwLCwsJycp&amp;WINDOW=FIRST_POPUP&amp;HEIGHT=450&amp;WIDTH=450&amp;START_MAXIMIZED=FALSE&amp;VAR:CALENDAR=US&amp;VAR:SYMBOL=98433210&amp;VAR:INDEX=0"}</definedName>
    <definedName name="_7672__FDSAUDITLINK__">{"fdsup://directions/FAT Viewer?action=UPDATE&amp;creator=factset&amp;DYN_ARGS=TRUE&amp;DOC_NAME=FAT:FQL_AUDITING_CLIENT_TEMPLATE.FAT&amp;display_string=Audit&amp;VAR:KEY=XGRIFSTWJU&amp;VAR:QUERY=KFBfUFJJQ0UoNDAyNDkpLShGRl9DQVNIX1NUKFFUUiw0MDI0OSkvUF9DT01fU0hTX09VVCg0MDI0OSkpKS9GR","V9FU1RJTUFURSgnRVBTJywnTUVBTicsJ0FOTlVBTF9ST0xMJywnKzEnLDQwMjQ5LCwsJycp&amp;WINDOW=FIRST_POPUP&amp;HEIGHT=450&amp;WIDTH=450&amp;START_MAXIMIZED=FALSE&amp;VAR:CALENDAR=US&amp;VAR:SYMBOL=98433210&amp;VAR:INDEX=0"}</definedName>
    <definedName name="_7673__FDSAUDITLINK__">{"fdsup://directions/FAT Viewer?action=UPDATE&amp;creator=factset&amp;DYN_ARGS=TRUE&amp;DOC_NAME=FAT:FQL_AUDITING_CLIENT_TEMPLATE.FAT&amp;display_string=Audit&amp;VAR:KEY=XGRIFSTWJU&amp;VAR:QUERY=KFBfUFJJQ0UoNDAyNDkpLShGRl9DQVNIX1NUKFFUUiw0MDI0OSkvUF9DT01fU0hTX09VVCg0MDI0OSkpKS9GR","V9FU1RJTUFURSgnRVBTJywnTUVBTicsJ0FOTlVBTF9ST0xMJywnKzEnLDQwMjQ5LCwsJycp&amp;WINDOW=FIRST_POPUP&amp;HEIGHT=450&amp;WIDTH=450&amp;START_MAXIMIZED=FALSE&amp;VAR:CALENDAR=US&amp;VAR:SYMBOL=98433210&amp;VAR:INDEX=0"}</definedName>
    <definedName name="_7674__FDSAUDITLINK__">{"fdsup://directions/FAT Viewer?action=UPDATE&amp;creator=factset&amp;DYN_ARGS=TRUE&amp;DOC_NAME=FAT:FQL_AUDITING_CLIENT_TEMPLATE.FAT&amp;display_string=Audit&amp;VAR:KEY=FGRGPCRKLE&amp;VAR:QUERY=KFBfUFJJQ0UoNDAyNDgpLShGRl9DQVNIX1NUKFFUUiw0MDI0OCkvUF9DT01fU0hTX09VVCg0MDI0OCkpKS9GR","V9FU1RJTUFURSgnRVBTJywnTUVBTicsJ0FOTlVBTF9ST0xMJywnKzEnLDQwMjQ4LCwsJycp&amp;WINDOW=FIRST_POPUP&amp;HEIGHT=450&amp;WIDTH=450&amp;START_MAXIMIZED=FALSE&amp;VAR:CALENDAR=US&amp;VAR:SYMBOL=98433210&amp;VAR:INDEX=0"}</definedName>
    <definedName name="_7675__FDSAUDITLINK__">{"fdsup://directions/FAT Viewer?action=UPDATE&amp;creator=factset&amp;DYN_ARGS=TRUE&amp;DOC_NAME=FAT:FQL_AUDITING_CLIENT_TEMPLATE.FAT&amp;display_string=Audit&amp;VAR:KEY=FGRGPCRKLE&amp;VAR:QUERY=KFBfUFJJQ0UoNDAyNDgpLShGRl9DQVNIX1NUKFFUUiw0MDI0OCkvUF9DT01fU0hTX09VVCg0MDI0OCkpKS9GR","V9FU1RJTUFURSgnRVBTJywnTUVBTicsJ0FOTlVBTF9ST0xMJywnKzEnLDQwMjQ4LCwsJycp&amp;WINDOW=FIRST_POPUP&amp;HEIGHT=450&amp;WIDTH=450&amp;START_MAXIMIZED=FALSE&amp;VAR:CALENDAR=US&amp;VAR:SYMBOL=98433210&amp;VAR:INDEX=0"}</definedName>
    <definedName name="_7676__FDSAUDITLINK__">{"fdsup://directions/FAT Viewer?action=UPDATE&amp;creator=factset&amp;DYN_ARGS=TRUE&amp;DOC_NAME=FAT:FQL_AUDITING_CLIENT_TEMPLATE.FAT&amp;display_string=Audit&amp;VAR:KEY=JCLWVWVYZW&amp;VAR:QUERY=KFBfUFJJQ0UoNDAyNDcpLShGRl9DQVNIX1NUKFFUUiw0MDI0NykvUF9DT01fU0hTX09VVCg0MDI0NykpKS9GR","V9FU1RJTUFURSgnRVBTJywnTUVBTicsJ0FOTlVBTF9ST0xMJywnKzEnLDQwMjQ3LCwsJycp&amp;WINDOW=FIRST_POPUP&amp;HEIGHT=450&amp;WIDTH=450&amp;START_MAXIMIZED=FALSE&amp;VAR:CALENDAR=US&amp;VAR:SYMBOL=98433210&amp;VAR:INDEX=0"}</definedName>
    <definedName name="_7677__FDSAUDITLINK__">{"fdsup://directions/FAT Viewer?action=UPDATE&amp;creator=factset&amp;DYN_ARGS=TRUE&amp;DOC_NAME=FAT:FQL_AUDITING_CLIENT_TEMPLATE.FAT&amp;display_string=Audit&amp;VAR:KEY=JCLWVWVYZW&amp;VAR:QUERY=KFBfUFJJQ0UoNDAyNDcpLShGRl9DQVNIX1NUKFFUUiw0MDI0NykvUF9DT01fU0hTX09VVCg0MDI0NykpKS9GR","V9FU1RJTUFURSgnRVBTJywnTUVBTicsJ0FOTlVBTF9ST0xMJywnKzEnLDQwMjQ3LCwsJycp&amp;WINDOW=FIRST_POPUP&amp;HEIGHT=450&amp;WIDTH=450&amp;START_MAXIMIZED=FALSE&amp;VAR:CALENDAR=US&amp;VAR:SYMBOL=98433210&amp;VAR:INDEX=0"}</definedName>
    <definedName name="_7678__FDSAUDITLINK__">{"fdsup://directions/FAT Viewer?action=UPDATE&amp;creator=factset&amp;DYN_ARGS=TRUE&amp;DOC_NAME=FAT:FQL_AUDITING_CLIENT_TEMPLATE.FAT&amp;display_string=Audit&amp;VAR:KEY=HWTOHUVYFI&amp;VAR:QUERY=KFBfUFJJQ0UoNDAyNDYpLShGRl9DQVNIX1NUKFFUUiw0MDI0NikvUF9DT01fU0hTX09VVCg0MDI0NikpKS9GR","V9FU1RJTUFURSgnRVBTJywnTUVBTicsJ0FOTlVBTF9ST0xMJywnKzEnLDQwMjQ2LCwsJycp&amp;WINDOW=FIRST_POPUP&amp;HEIGHT=450&amp;WIDTH=450&amp;START_MAXIMIZED=FALSE&amp;VAR:CALENDAR=US&amp;VAR:SYMBOL=98433210&amp;VAR:INDEX=0"}</definedName>
    <definedName name="_7679__FDSAUDITLINK__">{"fdsup://directions/FAT Viewer?action=UPDATE&amp;creator=factset&amp;DYN_ARGS=TRUE&amp;DOC_NAME=FAT:FQL_AUDITING_CLIENT_TEMPLATE.FAT&amp;display_string=Audit&amp;VAR:KEY=HWTOHUVYFI&amp;VAR:QUERY=KFBfUFJJQ0UoNDAyNDYpLShGRl9DQVNIX1NUKFFUUiw0MDI0NikvUF9DT01fU0hTX09VVCg0MDI0NikpKS9GR","V9FU1RJTUFURSgnRVBTJywnTUVBTicsJ0FOTlVBTF9ST0xMJywnKzEnLDQwMjQ2LCwsJycp&amp;WINDOW=FIRST_POPUP&amp;HEIGHT=450&amp;WIDTH=450&amp;START_MAXIMIZED=FALSE&amp;VAR:CALENDAR=US&amp;VAR:SYMBOL=98433210&amp;VAR:INDEX=0"}</definedName>
    <definedName name="_76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1022"}</definedName>
    <definedName name="_7680__FDSAUDITLINK__">{"fdsup://directions/FAT Viewer?action=UPDATE&amp;creator=factset&amp;DYN_ARGS=TRUE&amp;DOC_NAME=FAT:FQL_AUDITING_CLIENT_TEMPLATE.FAT&amp;display_string=Audit&amp;VAR:KEY=DONKLKBSXG&amp;VAR:QUERY=KFBfUFJJQ0UoNDAyNDUpLShGRl9DQVNIX1NUKFFUUiw0MDI0NSkvUF9DT01fU0hTX09VVCg0MDI0NSkpKS9GR","V9FU1RJTUFURSgnRVBTJywnTUVBTicsJ0FOTlVBTF9ST0xMJywnKzEnLDQwMjQ1LCwsJycp&amp;WINDOW=FIRST_POPUP&amp;HEIGHT=450&amp;WIDTH=450&amp;START_MAXIMIZED=FALSE&amp;VAR:CALENDAR=US&amp;VAR:SYMBOL=98433210&amp;VAR:INDEX=0"}</definedName>
    <definedName name="_7681__FDSAUDITLINK__">{"fdsup://directions/FAT Viewer?action=UPDATE&amp;creator=factset&amp;DYN_ARGS=TRUE&amp;DOC_NAME=FAT:FQL_AUDITING_CLIENT_TEMPLATE.FAT&amp;display_string=Audit&amp;VAR:KEY=DONKLKBSXG&amp;VAR:QUERY=KFBfUFJJQ0UoNDAyNDUpLShGRl9DQVNIX1NUKFFUUiw0MDI0NSkvUF9DT01fU0hTX09VVCg0MDI0NSkpKS9GR","V9FU1RJTUFURSgnRVBTJywnTUVBTicsJ0FOTlVBTF9ST0xMJywnKzEnLDQwMjQ1LCwsJycp&amp;WINDOW=FIRST_POPUP&amp;HEIGHT=450&amp;WIDTH=450&amp;START_MAXIMIZED=FALSE&amp;VAR:CALENDAR=US&amp;VAR:SYMBOL=98433210&amp;VAR:INDEX=0"}</definedName>
    <definedName name="_7682__FDSAUDITLINK__">{"fdsup://directions/FAT Viewer?action=UPDATE&amp;creator=factset&amp;DYN_ARGS=TRUE&amp;DOC_NAME=FAT:FQL_AUDITING_CLIENT_TEMPLATE.FAT&amp;display_string=Audit&amp;VAR:KEY=BQROHSNOHU&amp;VAR:QUERY=KFBfUFJJQ0UoNDAyNDQpLShGRl9DQVNIX1NUKFFUUiw0MDI0NCkvUF9DT01fU0hTX09VVCg0MDI0NCkpKS9GR","V9FU1RJTUFURSgnRVBTJywnTUVBTicsJ0FOTlVBTF9ST0xMJywnKzEnLDQwMjQ0LCwsJycp&amp;WINDOW=FIRST_POPUP&amp;HEIGHT=450&amp;WIDTH=450&amp;START_MAXIMIZED=FALSE&amp;VAR:CALENDAR=US&amp;VAR:SYMBOL=98433210&amp;VAR:INDEX=0"}</definedName>
    <definedName name="_7683__FDSAUDITLINK__">{"fdsup://directions/FAT Viewer?action=UPDATE&amp;creator=factset&amp;DYN_ARGS=TRUE&amp;DOC_NAME=FAT:FQL_AUDITING_CLIENT_TEMPLATE.FAT&amp;display_string=Audit&amp;VAR:KEY=BQROHSNOHU&amp;VAR:QUERY=KFBfUFJJQ0UoNDAyNDQpLShGRl9DQVNIX1NUKFFUUiw0MDI0NCkvUF9DT01fU0hTX09VVCg0MDI0NCkpKS9GR","V9FU1RJTUFURSgnRVBTJywnTUVBTicsJ0FOTlVBTF9ST0xMJywnKzEnLDQwMjQ0LCwsJycp&amp;WINDOW=FIRST_POPUP&amp;HEIGHT=450&amp;WIDTH=450&amp;START_MAXIMIZED=FALSE&amp;VAR:CALENDAR=US&amp;VAR:SYMBOL=98433210&amp;VAR:INDEX=0"}</definedName>
    <definedName name="_7684__FDSAUDITLINK__">{"fdsup://directions/FAT Viewer?action=UPDATE&amp;creator=factset&amp;DYN_ARGS=TRUE&amp;DOC_NAME=FAT:FQL_AUDITING_CLIENT_TEMPLATE.FAT&amp;display_string=Audit&amp;VAR:KEY=HIBUNAHULW&amp;VAR:QUERY=KFBfUFJJQ0UoNDAyNDMpLShGRl9DQVNIX1NUKFFUUiw0MDI0MykvUF9DT01fU0hTX09VVCg0MDI0MykpKS9GR","V9FU1RJTUFURSgnRVBTJywnTUVBTicsJ0FOTlVBTF9ST0xMJywnKzEnLDQwMjQzLCwsJycp&amp;WINDOW=FIRST_POPUP&amp;HEIGHT=450&amp;WIDTH=450&amp;START_MAXIMIZED=FALSE&amp;VAR:CALENDAR=US&amp;VAR:SYMBOL=98433210&amp;VAR:INDEX=0"}</definedName>
    <definedName name="_7685__FDSAUDITLINK__">{"fdsup://directions/FAT Viewer?action=UPDATE&amp;creator=factset&amp;DYN_ARGS=TRUE&amp;DOC_NAME=FAT:FQL_AUDITING_CLIENT_TEMPLATE.FAT&amp;display_string=Audit&amp;VAR:KEY=HIBUNAHULW&amp;VAR:QUERY=KFBfUFJJQ0UoNDAyNDMpLShGRl9DQVNIX1NUKFFUUiw0MDI0MykvUF9DT01fU0hTX09VVCg0MDI0MykpKS9GR","V9FU1RJTUFURSgnRVBTJywnTUVBTicsJ0FOTlVBTF9ST0xMJywnKzEnLDQwMjQzLCwsJycp&amp;WINDOW=FIRST_POPUP&amp;HEIGHT=450&amp;WIDTH=450&amp;START_MAXIMIZED=FALSE&amp;VAR:CALENDAR=US&amp;VAR:SYMBOL=98433210&amp;VAR:INDEX=0"}</definedName>
    <definedName name="_7686__FDSAUDITLINK__">{"fdsup://directions/FAT Viewer?action=UPDATE&amp;creator=factset&amp;DYN_ARGS=TRUE&amp;DOC_NAME=FAT:FQL_AUDITING_CLIENT_TEMPLATE.FAT&amp;display_string=Audit&amp;VAR:KEY=XGDABALEXK&amp;VAR:QUERY=KFBfUFJJQ0UoNDAyNDIpLShGRl9DQVNIX1NUKFFUUiw0MDI0MikvUF9DT01fU0hTX09VVCg0MDI0MikpKS9GR","V9FU1RJTUFURSgnRVBTJywnTUVBTicsJ0FOTlVBTF9ST0xMJywnKzEnLDQwMjQyLCwsJycp&amp;WINDOW=FIRST_POPUP&amp;HEIGHT=450&amp;WIDTH=450&amp;START_MAXIMIZED=FALSE&amp;VAR:CALENDAR=US&amp;VAR:SYMBOL=98433210&amp;VAR:INDEX=0"}</definedName>
    <definedName name="_7687__FDSAUDITLINK__">{"fdsup://directions/FAT Viewer?action=UPDATE&amp;creator=factset&amp;DYN_ARGS=TRUE&amp;DOC_NAME=FAT:FQL_AUDITING_CLIENT_TEMPLATE.FAT&amp;display_string=Audit&amp;VAR:KEY=XGDABALEXK&amp;VAR:QUERY=KFBfUFJJQ0UoNDAyNDIpLShGRl9DQVNIX1NUKFFUUiw0MDI0MikvUF9DT01fU0hTX09VVCg0MDI0MikpKS9GR","V9FU1RJTUFURSgnRVBTJywnTUVBTicsJ0FOTlVBTF9ST0xMJywnKzEnLDQwMjQyLCwsJycp&amp;WINDOW=FIRST_POPUP&amp;HEIGHT=450&amp;WIDTH=450&amp;START_MAXIMIZED=FALSE&amp;VAR:CALENDAR=US&amp;VAR:SYMBOL=98433210&amp;VAR:INDEX=0"}</definedName>
    <definedName name="_7688__FDSAUDITLINK__">{"fdsup://directions/FAT Viewer?action=UPDATE&amp;creator=factset&amp;DYN_ARGS=TRUE&amp;DOC_NAME=FAT:FQL_AUDITING_CLIENT_TEMPLATE.FAT&amp;display_string=Audit&amp;VAR:KEY=DKLSLYBGXE&amp;VAR:QUERY=KFBfUFJJQ0UoNDAyNDEpLShGRl9DQVNIX1NUKFFUUiw0MDI0MSkvUF9DT01fU0hTX09VVCg0MDI0MSkpKS9GR","V9FU1RJTUFURSgnRVBTJywnTUVBTicsJ0FOTlVBTF9ST0xMJywnKzEnLDQwMjQxLCwsJycp&amp;WINDOW=FIRST_POPUP&amp;HEIGHT=450&amp;WIDTH=450&amp;START_MAXIMIZED=FALSE&amp;VAR:CALENDAR=US&amp;VAR:SYMBOL=98433210&amp;VAR:INDEX=0"}</definedName>
    <definedName name="_7689__FDSAUDITLINK__">{"fdsup://directions/FAT Viewer?action=UPDATE&amp;creator=factset&amp;DYN_ARGS=TRUE&amp;DOC_NAME=FAT:FQL_AUDITING_CLIENT_TEMPLATE.FAT&amp;display_string=Audit&amp;VAR:KEY=DKLSLYBGXE&amp;VAR:QUERY=KFBfUFJJQ0UoNDAyNDEpLShGRl9DQVNIX1NUKFFUUiw0MDI0MSkvUF9DT01fU0hTX09VVCg0MDI0MSkpKS9GR","V9FU1RJTUFURSgnRVBTJywnTUVBTicsJ0FOTlVBTF9ST0xMJywnKzEnLDQwMjQxLCwsJycp&amp;WINDOW=FIRST_POPUP&amp;HEIGHT=450&amp;WIDTH=450&amp;START_MAXIMIZED=FALSE&amp;VAR:CALENDAR=US&amp;VAR:SYMBOL=98433210&amp;VAR:INDEX=0"}</definedName>
    <definedName name="_76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1021"}</definedName>
    <definedName name="_7690__FDSAUDITLINK__">{"fdsup://directions/FAT Viewer?action=UPDATE&amp;creator=factset&amp;DYN_ARGS=TRUE&amp;DOC_NAME=FAT:FQL_AUDITING_CLIENT_TEMPLATE.FAT&amp;display_string=Audit&amp;VAR:KEY=HMDKZMRGFG&amp;VAR:QUERY=KFBfUFJJQ0UoNDAyNDApLShGRl9DQVNIX1NUKFFUUiw0MDI0MCkvUF9DT01fU0hTX09VVCg0MDI0MCkpKS9GR","V9FU1RJTUFURSgnRVBTJywnTUVBTicsJ0FOTlVBTF9ST0xMJywnKzEnLDQwMjQwLCwsJycp&amp;WINDOW=FIRST_POPUP&amp;HEIGHT=450&amp;WIDTH=450&amp;START_MAXIMIZED=FALSE&amp;VAR:CALENDAR=US&amp;VAR:SYMBOL=98433210&amp;VAR:INDEX=0"}</definedName>
    <definedName name="_7691__FDSAUDITLINK__">{"fdsup://directions/FAT Viewer?action=UPDATE&amp;creator=factset&amp;DYN_ARGS=TRUE&amp;DOC_NAME=FAT:FQL_AUDITING_CLIENT_TEMPLATE.FAT&amp;display_string=Audit&amp;VAR:KEY=HMDKZMRGFG&amp;VAR:QUERY=KFBfUFJJQ0UoNDAyNDApLShGRl9DQVNIX1NUKFFUUiw0MDI0MCkvUF9DT01fU0hTX09VVCg0MDI0MCkpKS9GR","V9FU1RJTUFURSgnRVBTJywnTUVBTicsJ0FOTlVBTF9ST0xMJywnKzEnLDQwMjQwLCwsJycp&amp;WINDOW=FIRST_POPUP&amp;HEIGHT=450&amp;WIDTH=450&amp;START_MAXIMIZED=FALSE&amp;VAR:CALENDAR=US&amp;VAR:SYMBOL=98433210&amp;VAR:INDEX=0"}</definedName>
    <definedName name="_7692__FDSAUDITLINK__">{"fdsup://directions/FAT Viewer?action=UPDATE&amp;creator=factset&amp;DYN_ARGS=TRUE&amp;DOC_NAME=FAT:FQL_AUDITING_CLIENT_TEMPLATE.FAT&amp;display_string=Audit&amp;VAR:KEY=ZMRGLADMJM&amp;VAR:QUERY=KFBfUFJJQ0UoNDAyMzkpLShGRl9DQVNIX1NUKFFUUiw0MDIzOSkvUF9DT01fU0hTX09VVCg0MDIzOSkpKS9GR","V9FU1RJTUFURSgnRVBTJywnTUVBTicsJ0FOTlVBTF9ST0xMJywnKzEnLDQwMjM5LCwsJycp&amp;WINDOW=FIRST_POPUP&amp;HEIGHT=450&amp;WIDTH=450&amp;START_MAXIMIZED=FALSE&amp;VAR:CALENDAR=US&amp;VAR:SYMBOL=98433210&amp;VAR:INDEX=0"}</definedName>
    <definedName name="_7693__FDSAUDITLINK__">{"fdsup://directions/FAT Viewer?action=UPDATE&amp;creator=factset&amp;DYN_ARGS=TRUE&amp;DOC_NAME=FAT:FQL_AUDITING_CLIENT_TEMPLATE.FAT&amp;display_string=Audit&amp;VAR:KEY=ZMRGLADMJM&amp;VAR:QUERY=KFBfUFJJQ0UoNDAyMzkpLShGRl9DQVNIX1NUKFFUUiw0MDIzOSkvUF9DT01fU0hTX09VVCg0MDIzOSkpKS9GR","V9FU1RJTUFURSgnRVBTJywnTUVBTicsJ0FOTlVBTF9ST0xMJywnKzEnLDQwMjM5LCwsJycp&amp;WINDOW=FIRST_POPUP&amp;HEIGHT=450&amp;WIDTH=450&amp;START_MAXIMIZED=FALSE&amp;VAR:CALENDAR=US&amp;VAR:SYMBOL=98433210&amp;VAR:INDEX=0"}</definedName>
    <definedName name="_7694__FDSAUDITLINK__">{"fdsup://directions/FAT Viewer?action=UPDATE&amp;creator=factset&amp;DYN_ARGS=TRUE&amp;DOC_NAME=FAT:FQL_AUDITING_CLIENT_TEMPLATE.FAT&amp;display_string=Audit&amp;VAR:KEY=LSBYPINENS&amp;VAR:QUERY=KFBfUFJJQ0UoNDAyMzgpLShGRl9DQVNIX1NUKFFUUiw0MDIzOCkvUF9DT01fU0hTX09VVCg0MDIzOCkpKS9GR","V9FU1RJTUFURSgnRVBTJywnTUVBTicsJ0FOTlVBTF9ST0xMJywnKzEnLDQwMjM4LCwsJycp&amp;WINDOW=FIRST_POPUP&amp;HEIGHT=450&amp;WIDTH=450&amp;START_MAXIMIZED=FALSE&amp;VAR:CALENDAR=US&amp;VAR:SYMBOL=98433210&amp;VAR:INDEX=0"}</definedName>
    <definedName name="_7695__FDSAUDITLINK__">{"fdsup://directions/FAT Viewer?action=UPDATE&amp;creator=factset&amp;DYN_ARGS=TRUE&amp;DOC_NAME=FAT:FQL_AUDITING_CLIENT_TEMPLATE.FAT&amp;display_string=Audit&amp;VAR:KEY=LSBYPINENS&amp;VAR:QUERY=KFBfUFJJQ0UoNDAyMzgpLShGRl9DQVNIX1NUKFFUUiw0MDIzOCkvUF9DT01fU0hTX09VVCg0MDIzOCkpKS9GR","V9FU1RJTUFURSgnRVBTJywnTUVBTicsJ0FOTlVBTF9ST0xMJywnKzEnLDQwMjM4LCwsJycp&amp;WINDOW=FIRST_POPUP&amp;HEIGHT=450&amp;WIDTH=450&amp;START_MAXIMIZED=FALSE&amp;VAR:CALENDAR=US&amp;VAR:SYMBOL=98433210&amp;VAR:INDEX=0"}</definedName>
    <definedName name="_7696__FDSAUDITLINK__">{"fdsup://directions/FAT Viewer?action=UPDATE&amp;creator=factset&amp;DYN_ARGS=TRUE&amp;DOC_NAME=FAT:FQL_AUDITING_CLIENT_TEMPLATE.FAT&amp;display_string=Audit&amp;VAR:KEY=LAVCJAJYFS&amp;VAR:QUERY=KFBfUFJJQ0UoNDAyMzcpLShGRl9DQVNIX1NUKFFUUiw0MDIzNykvUF9DT01fU0hTX09VVCg0MDIzNykpKS9GR","V9FU1RJTUFURSgnRVBTJywnTUVBTicsJ0FOTlVBTF9ST0xMJywnKzEnLDQwMjM3LCwsJycp&amp;WINDOW=FIRST_POPUP&amp;HEIGHT=450&amp;WIDTH=450&amp;START_MAXIMIZED=FALSE&amp;VAR:CALENDAR=US&amp;VAR:SYMBOL=98433210&amp;VAR:INDEX=0"}</definedName>
    <definedName name="_7697__FDSAUDITLINK__">{"fdsup://directions/FAT Viewer?action=UPDATE&amp;creator=factset&amp;DYN_ARGS=TRUE&amp;DOC_NAME=FAT:FQL_AUDITING_CLIENT_TEMPLATE.FAT&amp;display_string=Audit&amp;VAR:KEY=LAVCJAJYFS&amp;VAR:QUERY=KFBfUFJJQ0UoNDAyMzcpLShGRl9DQVNIX1NUKFFUUiw0MDIzNykvUF9DT01fU0hTX09VVCg0MDIzNykpKS9GR","V9FU1RJTUFURSgnRVBTJywnTUVBTicsJ0FOTlVBTF9ST0xMJywnKzEnLDQwMjM3LCwsJycp&amp;WINDOW=FIRST_POPUP&amp;HEIGHT=450&amp;WIDTH=450&amp;START_MAXIMIZED=FALSE&amp;VAR:CALENDAR=US&amp;VAR:SYMBOL=98433210&amp;VAR:INDEX=0"}</definedName>
    <definedName name="_7698__FDSAUDITLINK__">{"fdsup://directions/FAT Viewer?action=UPDATE&amp;creator=factset&amp;DYN_ARGS=TRUE&amp;DOC_NAME=FAT:FQL_AUDITING_CLIENT_TEMPLATE.FAT&amp;display_string=Audit&amp;VAR:KEY=FMRINULEBA&amp;VAR:QUERY=KFBfUFJJQ0UoNDAyMzYpLShGRl9DQVNIX1NUKFFUUiw0MDIzNikvUF9DT01fU0hTX09VVCg0MDIzNikpKS9GR","V9FU1RJTUFURSgnRVBTJywnTUVBTicsJ0FOTlVBTF9ST0xMJywnKzEnLDQwMjM2LCwsJycp&amp;WINDOW=FIRST_POPUP&amp;HEIGHT=450&amp;WIDTH=450&amp;START_MAXIMIZED=FALSE&amp;VAR:CALENDAR=US&amp;VAR:SYMBOL=98433210&amp;VAR:INDEX=0"}</definedName>
    <definedName name="_7699__FDSAUDITLINK__">{"fdsup://directions/FAT Viewer?action=UPDATE&amp;creator=factset&amp;DYN_ARGS=TRUE&amp;DOC_NAME=FAT:FQL_AUDITING_CLIENT_TEMPLATE.FAT&amp;display_string=Audit&amp;VAR:KEY=FMRINULEBA&amp;VAR:QUERY=KFBfUFJJQ0UoNDAyMzYpLShGRl9DQVNIX1NUKFFUUiw0MDIzNikvUF9DT01fU0hTX09VVCg0MDIzNikpKS9GR","V9FU1RJTUFURSgnRVBTJywnTUVBTicsJ0FOTlVBTF9ST0xMJywnKzEnLDQwMjM2LCwsJycp&amp;WINDOW=FIRST_POPUP&amp;HEIGHT=450&amp;WIDTH=450&amp;START_MAXIMIZED=FALSE&amp;VAR:CALENDAR=US&amp;VAR:SYMBOL=98433210&amp;VAR:INDEX=0"}</definedName>
    <definedName name="_7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15.731499&amp;VAR:V0=16.114874&amp;VAR:V1=14.665437&amp;VAR:Y0=2005&amp;VAR:Y1=2006&amp;VAR:P=1180.591000&amp;VAR:DATE=20050331&amp;VAR:THRESH=-|-|","-|-|-|-|-"}</definedName>
    <definedName name="_77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1020"}</definedName>
    <definedName name="_7700__FDSAUDITLINK__">{"fdsup://directions/FAT Viewer?action=UPDATE&amp;creator=factset&amp;DYN_ARGS=TRUE&amp;DOC_NAME=FAT:FQL_AUDITING_CLIENT_TEMPLATE.FAT&amp;display_string=Audit&amp;VAR:KEY=XMZSPOFSRS&amp;VAR:QUERY=KFBfUFJJQ0UoNDAyMzUpLShGRl9DQVNIX1NUKFFUUiw0MDIzNSkvUF9DT01fU0hTX09VVCg0MDIzNSkpKS9GR","V9FU1RJTUFURSgnRVBTJywnTUVBTicsJ0FOTlVBTF9ST0xMJywnKzEnLDQwMjM1LCwsJycp&amp;WINDOW=FIRST_POPUP&amp;HEIGHT=450&amp;WIDTH=450&amp;START_MAXIMIZED=FALSE&amp;VAR:CALENDAR=US&amp;VAR:SYMBOL=98433210&amp;VAR:INDEX=0"}</definedName>
    <definedName name="_7701__FDSAUDITLINK__">{"fdsup://directions/FAT Viewer?action=UPDATE&amp;creator=factset&amp;DYN_ARGS=TRUE&amp;DOC_NAME=FAT:FQL_AUDITING_CLIENT_TEMPLATE.FAT&amp;display_string=Audit&amp;VAR:KEY=XMZSPOFSRS&amp;VAR:QUERY=KFBfUFJJQ0UoNDAyMzUpLShGRl9DQVNIX1NUKFFUUiw0MDIzNSkvUF9DT01fU0hTX09VVCg0MDIzNSkpKS9GR","V9FU1RJTUFURSgnRVBTJywnTUVBTicsJ0FOTlVBTF9ST0xMJywnKzEnLDQwMjM1LCwsJycp&amp;WINDOW=FIRST_POPUP&amp;HEIGHT=450&amp;WIDTH=450&amp;START_MAXIMIZED=FALSE&amp;VAR:CALENDAR=US&amp;VAR:SYMBOL=98433210&amp;VAR:INDEX=0"}</definedName>
    <definedName name="_7702__FDSAUDITLINK__">{"fdsup://directions/FAT Viewer?action=UPDATE&amp;creator=factset&amp;DYN_ARGS=TRUE&amp;DOC_NAME=FAT:FQL_AUDITING_CLIENT_TEMPLATE.FAT&amp;display_string=Audit&amp;VAR:KEY=JUFMJALEHQ&amp;VAR:QUERY=KFBfUFJJQ0UoNDAyMzQpLShGRl9DQVNIX1NUKFFUUiw0MDIzNCkvUF9DT01fU0hTX09VVCg0MDIzNCkpKS9GR","V9FU1RJTUFURSgnRVBTJywnTUVBTicsJ0FOTlVBTF9ST0xMJywnKzEnLDQwMjM0LCwsJycp&amp;WINDOW=FIRST_POPUP&amp;HEIGHT=450&amp;WIDTH=450&amp;START_MAXIMIZED=FALSE&amp;VAR:CALENDAR=US&amp;VAR:SYMBOL=98433210&amp;VAR:INDEX=0"}</definedName>
    <definedName name="_7703__FDSAUDITLINK__">{"fdsup://directions/FAT Viewer?action=UPDATE&amp;creator=factset&amp;DYN_ARGS=TRUE&amp;DOC_NAME=FAT:FQL_AUDITING_CLIENT_TEMPLATE.FAT&amp;display_string=Audit&amp;VAR:KEY=JUFMJALEHQ&amp;VAR:QUERY=KFBfUFJJQ0UoNDAyMzQpLShGRl9DQVNIX1NUKFFUUiw0MDIzNCkvUF9DT01fU0hTX09VVCg0MDIzNCkpKS9GR","V9FU1RJTUFURSgnRVBTJywnTUVBTicsJ0FOTlVBTF9ST0xMJywnKzEnLDQwMjM0LCwsJycp&amp;WINDOW=FIRST_POPUP&amp;HEIGHT=450&amp;WIDTH=450&amp;START_MAXIMIZED=FALSE&amp;VAR:CALENDAR=US&amp;VAR:SYMBOL=98433210&amp;VAR:INDEX=0"}</definedName>
    <definedName name="_7704__FDSAUDITLINK__">{"fdsup://directions/FAT Viewer?action=UPDATE&amp;creator=factset&amp;DYN_ARGS=TRUE&amp;DOC_NAME=FAT:FQL_AUDITING_CLIENT_TEMPLATE.FAT&amp;display_string=Audit&amp;VAR:KEY=BKNKHKFWTA&amp;VAR:QUERY=KFBfUFJJQ0UoNDAyMzMpLShGRl9DQVNIX1NUKFFUUiw0MDIzMykvUF9DT01fU0hTX09VVCg0MDIzMykpKS9GR","V9FU1RJTUFURSgnRVBTJywnTUVBTicsJ0FOTlVBTF9ST0xMJywnKzEnLDQwMjMzLCwsJycp&amp;WINDOW=FIRST_POPUP&amp;HEIGHT=450&amp;WIDTH=450&amp;START_MAXIMIZED=FALSE&amp;VAR:CALENDAR=US&amp;VAR:SYMBOL=98433210&amp;VAR:INDEX=0"}</definedName>
    <definedName name="_7705__FDSAUDITLINK__">{"fdsup://directions/FAT Viewer?action=UPDATE&amp;creator=factset&amp;DYN_ARGS=TRUE&amp;DOC_NAME=FAT:FQL_AUDITING_CLIENT_TEMPLATE.FAT&amp;display_string=Audit&amp;VAR:KEY=BKNKHKFWTA&amp;VAR:QUERY=KFBfUFJJQ0UoNDAyMzMpLShGRl9DQVNIX1NUKFFUUiw0MDIzMykvUF9DT01fU0hTX09VVCg0MDIzMykpKS9GR","V9FU1RJTUFURSgnRVBTJywnTUVBTicsJ0FOTlVBTF9ST0xMJywnKzEnLDQwMjMzLCwsJycp&amp;WINDOW=FIRST_POPUP&amp;HEIGHT=450&amp;WIDTH=450&amp;START_MAXIMIZED=FALSE&amp;VAR:CALENDAR=US&amp;VAR:SYMBOL=98433210&amp;VAR:INDEX=0"}</definedName>
    <definedName name="_7706__FDSAUDITLINK__">{"fdsup://directions/FAT Viewer?action=UPDATE&amp;creator=factset&amp;DYN_ARGS=TRUE&amp;DOC_NAME=FAT:FQL_AUDITING_CLIENT_TEMPLATE.FAT&amp;display_string=Audit&amp;VAR:KEY=TQDITUPQNS&amp;VAR:QUERY=KFBfUFJJQ0UoNDAyMzIpLShGRl9DQVNIX1NUKFFUUiw0MDIzMikvUF9DT01fU0hTX09VVCg0MDIzMikpKS9GR","V9FU1RJTUFURSgnRVBTJywnTUVBTicsJ0FOTlVBTF9ST0xMJywnKzEnLDQwMjMyLCwsJycp&amp;WINDOW=FIRST_POPUP&amp;HEIGHT=450&amp;WIDTH=450&amp;START_MAXIMIZED=FALSE&amp;VAR:CALENDAR=US&amp;VAR:SYMBOL=98433210&amp;VAR:INDEX=0"}</definedName>
    <definedName name="_7707__FDSAUDITLINK__">{"fdsup://directions/FAT Viewer?action=UPDATE&amp;creator=factset&amp;DYN_ARGS=TRUE&amp;DOC_NAME=FAT:FQL_AUDITING_CLIENT_TEMPLATE.FAT&amp;display_string=Audit&amp;VAR:KEY=TQDITUPQNS&amp;VAR:QUERY=KFBfUFJJQ0UoNDAyMzIpLShGRl9DQVNIX1NUKFFUUiw0MDIzMikvUF9DT01fU0hTX09VVCg0MDIzMikpKS9GR","V9FU1RJTUFURSgnRVBTJywnTUVBTicsJ0FOTlVBTF9ST0xMJywnKzEnLDQwMjMyLCwsJycp&amp;WINDOW=FIRST_POPUP&amp;HEIGHT=450&amp;WIDTH=450&amp;START_MAXIMIZED=FALSE&amp;VAR:CALENDAR=US&amp;VAR:SYMBOL=98433210&amp;VAR:INDEX=0"}</definedName>
    <definedName name="_7708__FDSAUDITLINK__">{"fdsup://directions/FAT Viewer?action=UPDATE&amp;creator=factset&amp;DYN_ARGS=TRUE&amp;DOC_NAME=FAT:FQL_AUDITING_CLIENT_TEMPLATE.FAT&amp;display_string=Audit&amp;VAR:KEY=TUHAVERWBW&amp;VAR:QUERY=KFBfUFJJQ0UoNDAyMzEpLShGRl9DQVNIX1NUKFFUUiw0MDIzMSkvUF9DT01fU0hTX09VVCg0MDIzMSkpKS9GR","V9FU1RJTUFURSgnRVBTJywnTUVBTicsJ0FOTlVBTF9ST0xMJywnKzEnLDQwMjMxLCwsJycp&amp;WINDOW=FIRST_POPUP&amp;HEIGHT=450&amp;WIDTH=450&amp;START_MAXIMIZED=FALSE&amp;VAR:CALENDAR=US&amp;VAR:SYMBOL=98433210&amp;VAR:INDEX=0"}</definedName>
    <definedName name="_7709__FDSAUDITLINK__">{"fdsup://directions/FAT Viewer?action=UPDATE&amp;creator=factset&amp;DYN_ARGS=TRUE&amp;DOC_NAME=FAT:FQL_AUDITING_CLIENT_TEMPLATE.FAT&amp;display_string=Audit&amp;VAR:KEY=TUHAVERWBW&amp;VAR:QUERY=KFBfUFJJQ0UoNDAyMzEpLShGRl9DQVNIX1NUKFFUUiw0MDIzMSkvUF9DT01fU0hTX09VVCg0MDIzMSkpKS9GR","V9FU1RJTUFURSgnRVBTJywnTUVBTicsJ0FOTlVBTF9ST0xMJywnKzEnLDQwMjMxLCwsJycp&amp;WINDOW=FIRST_POPUP&amp;HEIGHT=450&amp;WIDTH=450&amp;START_MAXIMIZED=FALSE&amp;VAR:CALENDAR=US&amp;VAR:SYMBOL=98433210&amp;VAR:INDEX=0"}</definedName>
    <definedName name="_77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1019"}</definedName>
    <definedName name="_7710__FDSAUDITLINK__">{"fdsup://directions/FAT Viewer?action=UPDATE&amp;creator=factset&amp;DYN_ARGS=TRUE&amp;DOC_NAME=FAT:FQL_AUDITING_CLIENT_TEMPLATE.FAT&amp;display_string=Audit&amp;VAR:KEY=VYXATWZGHS&amp;VAR:QUERY=KFBfUFJJQ0UoNDAyMzApLShGRl9DQVNIX1NUKFFUUiw0MDIzMCkvUF9DT01fU0hTX09VVCg0MDIzMCkpKS9GR","V9FU1RJTUFURSgnRVBTJywnTUVBTicsJ0FOTlVBTF9ST0xMJywnKzEnLDQwMjMwLCwsJycp&amp;WINDOW=FIRST_POPUP&amp;HEIGHT=450&amp;WIDTH=450&amp;START_MAXIMIZED=FALSE&amp;VAR:CALENDAR=US&amp;VAR:SYMBOL=98433210&amp;VAR:INDEX=0"}</definedName>
    <definedName name="_7711__FDSAUDITLINK__">{"fdsup://directions/FAT Viewer?action=UPDATE&amp;creator=factset&amp;DYN_ARGS=TRUE&amp;DOC_NAME=FAT:FQL_AUDITING_CLIENT_TEMPLATE.FAT&amp;display_string=Audit&amp;VAR:KEY=VYXATWZGHS&amp;VAR:QUERY=KFBfUFJJQ0UoNDAyMzApLShGRl9DQVNIX1NUKFFUUiw0MDIzMCkvUF9DT01fU0hTX09VVCg0MDIzMCkpKS9GR","V9FU1RJTUFURSgnRVBTJywnTUVBTicsJ0FOTlVBTF9ST0xMJywnKzEnLDQwMjMwLCwsJycp&amp;WINDOW=FIRST_POPUP&amp;HEIGHT=450&amp;WIDTH=450&amp;START_MAXIMIZED=FALSE&amp;VAR:CALENDAR=US&amp;VAR:SYMBOL=98433210&amp;VAR:INDEX=0"}</definedName>
    <definedName name="_7712__FDSAUDITLINK__">{"fdsup://directions/FAT Viewer?action=UPDATE&amp;creator=factset&amp;DYN_ARGS=TRUE&amp;DOC_NAME=FAT:FQL_AUDITING_CLIENT_TEMPLATE.FAT&amp;display_string=Audit&amp;VAR:KEY=JITQBOFANM&amp;VAR:QUERY=KFBfUFJJQ0UoNDAyMjkpLShGRl9DQVNIX1NUKFFUUiw0MDIyOSkvUF9DT01fU0hTX09VVCg0MDIyOSkpKS9GR","V9FU1RJTUFURSgnRVBTJywnTUVBTicsJ0FOTlVBTF9ST0xMJywnKzEnLDQwMjI5LCwsJycp&amp;WINDOW=FIRST_POPUP&amp;HEIGHT=450&amp;WIDTH=450&amp;START_MAXIMIZED=FALSE&amp;VAR:CALENDAR=US&amp;VAR:SYMBOL=98433210&amp;VAR:INDEX=0"}</definedName>
    <definedName name="_7713__FDSAUDITLINK__">{"fdsup://directions/FAT Viewer?action=UPDATE&amp;creator=factset&amp;DYN_ARGS=TRUE&amp;DOC_NAME=FAT:FQL_AUDITING_CLIENT_TEMPLATE.FAT&amp;display_string=Audit&amp;VAR:KEY=JITQBOFANM&amp;VAR:QUERY=KFBfUFJJQ0UoNDAyMjkpLShGRl9DQVNIX1NUKFFUUiw0MDIyOSkvUF9DT01fU0hTX09VVCg0MDIyOSkpKS9GR","V9FU1RJTUFURSgnRVBTJywnTUVBTicsJ0FOTlVBTF9ST0xMJywnKzEnLDQwMjI5LCwsJycp&amp;WINDOW=FIRST_POPUP&amp;HEIGHT=450&amp;WIDTH=450&amp;START_MAXIMIZED=FALSE&amp;VAR:CALENDAR=US&amp;VAR:SYMBOL=98433210&amp;VAR:INDEX=0"}</definedName>
    <definedName name="_7714__FDSAUDITLINK__">{"fdsup://directions/FAT Viewer?action=UPDATE&amp;creator=factset&amp;DYN_ARGS=TRUE&amp;DOC_NAME=FAT:FQL_AUDITING_CLIENT_TEMPLATE.FAT&amp;display_string=Audit&amp;VAR:KEY=TKRKTMBOTA&amp;VAR:QUERY=KFBfUFJJQ0UoNDAyMjgpLShGRl9DQVNIX1NUKFFUUiw0MDIyOCkvUF9DT01fU0hTX09VVCg0MDIyOCkpKS9GR","V9FU1RJTUFURSgnRVBTJywnTUVBTicsJ0FOTlVBTF9ST0xMJywnKzEnLDQwMjI4LCwsJycp&amp;WINDOW=FIRST_POPUP&amp;HEIGHT=450&amp;WIDTH=450&amp;START_MAXIMIZED=FALSE&amp;VAR:CALENDAR=US&amp;VAR:SYMBOL=98433210&amp;VAR:INDEX=0"}</definedName>
    <definedName name="_7715__FDSAUDITLINK__">{"fdsup://directions/FAT Viewer?action=UPDATE&amp;creator=factset&amp;DYN_ARGS=TRUE&amp;DOC_NAME=FAT:FQL_AUDITING_CLIENT_TEMPLATE.FAT&amp;display_string=Audit&amp;VAR:KEY=TKRKTMBOTA&amp;VAR:QUERY=KFBfUFJJQ0UoNDAyMjgpLShGRl9DQVNIX1NUKFFUUiw0MDIyOCkvUF9DT01fU0hTX09VVCg0MDIyOCkpKS9GR","V9FU1RJTUFURSgnRVBTJywnTUVBTicsJ0FOTlVBTF9ST0xMJywnKzEnLDQwMjI4LCwsJycp&amp;WINDOW=FIRST_POPUP&amp;HEIGHT=450&amp;WIDTH=450&amp;START_MAXIMIZED=FALSE&amp;VAR:CALENDAR=US&amp;VAR:SYMBOL=98433210&amp;VAR:INDEX=0"}</definedName>
    <definedName name="_7716__FDSAUDITLINK__">{"fdsup://directions/FAT Viewer?action=UPDATE&amp;creator=factset&amp;DYN_ARGS=TRUE&amp;DOC_NAME=FAT:FQL_AUDITING_CLIENT_TEMPLATE.FAT&amp;display_string=Audit&amp;VAR:KEY=JMVGFGHMVY&amp;VAR:QUERY=KFBfUFJJQ0UoNDAyMjcpLShGRl9DQVNIX1NUKFFUUiw0MDIyNykvUF9DT01fU0hTX09VVCg0MDIyNykpKS9GR","V9FU1RJTUFURSgnRVBTJywnTUVBTicsJ0FOTlVBTF9ST0xMJywnKzEnLDQwMjI3LCwsJycp&amp;WINDOW=FIRST_POPUP&amp;HEIGHT=450&amp;WIDTH=450&amp;START_MAXIMIZED=FALSE&amp;VAR:CALENDAR=US&amp;VAR:SYMBOL=98433210&amp;VAR:INDEX=0"}</definedName>
    <definedName name="_7717__FDSAUDITLINK__">{"fdsup://directions/FAT Viewer?action=UPDATE&amp;creator=factset&amp;DYN_ARGS=TRUE&amp;DOC_NAME=FAT:FQL_AUDITING_CLIENT_TEMPLATE.FAT&amp;display_string=Audit&amp;VAR:KEY=JMVGFGHMVY&amp;VAR:QUERY=KFBfUFJJQ0UoNDAyMjcpLShGRl9DQVNIX1NUKFFUUiw0MDIyNykvUF9DT01fU0hTX09VVCg0MDIyNykpKS9GR","V9FU1RJTUFURSgnRVBTJywnTUVBTicsJ0FOTlVBTF9ST0xMJywnKzEnLDQwMjI3LCwsJycp&amp;WINDOW=FIRST_POPUP&amp;HEIGHT=450&amp;WIDTH=450&amp;START_MAXIMIZED=FALSE&amp;VAR:CALENDAR=US&amp;VAR:SYMBOL=98433210&amp;VAR:INDEX=0"}</definedName>
    <definedName name="_7718__FDSAUDITLINK__">{"fdsup://directions/FAT Viewer?action=UPDATE&amp;creator=factset&amp;DYN_ARGS=TRUE&amp;DOC_NAME=FAT:FQL_AUDITING_CLIENT_TEMPLATE.FAT&amp;display_string=Audit&amp;VAR:KEY=ZMHSVKPGNM&amp;VAR:QUERY=KFBfUFJJQ0UoNDAyMjYpLShGRl9DQVNIX1NUKFFUUiw0MDIyNikvUF9DT01fU0hTX09VVCg0MDIyNikpKS9GR","V9FU1RJTUFURSgnRVBTJywnTUVBTicsJ0FOTlVBTF9ST0xMJywnKzEnLDQwMjI2LCwsJycp&amp;WINDOW=FIRST_POPUP&amp;HEIGHT=450&amp;WIDTH=450&amp;START_MAXIMIZED=FALSE&amp;VAR:CALENDAR=US&amp;VAR:SYMBOL=98433210&amp;VAR:INDEX=0"}</definedName>
    <definedName name="_7719__FDSAUDITLINK__">{"fdsup://directions/FAT Viewer?action=UPDATE&amp;creator=factset&amp;DYN_ARGS=TRUE&amp;DOC_NAME=FAT:FQL_AUDITING_CLIENT_TEMPLATE.FAT&amp;display_string=Audit&amp;VAR:KEY=ZMHSVKPGNM&amp;VAR:QUERY=KFBfUFJJQ0UoNDAyMjYpLShGRl9DQVNIX1NUKFFUUiw0MDIyNikvUF9DT01fU0hTX09VVCg0MDIyNikpKS9GR","V9FU1RJTUFURSgnRVBTJywnTUVBTicsJ0FOTlVBTF9ST0xMJywnKzEnLDQwMjI2LCwsJycp&amp;WINDOW=FIRST_POPUP&amp;HEIGHT=450&amp;WIDTH=450&amp;START_MAXIMIZED=FALSE&amp;VAR:CALENDAR=US&amp;VAR:SYMBOL=98433210&amp;VAR:INDEX=0"}</definedName>
    <definedName name="_77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1018"}</definedName>
    <definedName name="_7720__FDSAUDITLINK__">{"fdsup://directions/FAT Viewer?action=UPDATE&amp;creator=factset&amp;DYN_ARGS=TRUE&amp;DOC_NAME=FAT:FQL_AUDITING_CLIENT_TEMPLATE.FAT&amp;display_string=Audit&amp;VAR:KEY=FWPEPQPQHY&amp;VAR:QUERY=KFBfUFJJQ0UoNDAyMjUpLShGRl9DQVNIX1NUKFFUUiw0MDIyNSkvUF9DT01fU0hTX09VVCg0MDIyNSkpKS9GR","V9FU1RJTUFURSgnRVBTJywnTUVBTicsJ0FOTlVBTF9ST0xMJywnKzEnLDQwMjI1LCwsJycp&amp;WINDOW=FIRST_POPUP&amp;HEIGHT=450&amp;WIDTH=450&amp;START_MAXIMIZED=FALSE&amp;VAR:CALENDAR=US&amp;VAR:SYMBOL=98433210&amp;VAR:INDEX=0"}</definedName>
    <definedName name="_7721__FDSAUDITLINK__">{"fdsup://directions/FAT Viewer?action=UPDATE&amp;creator=factset&amp;DYN_ARGS=TRUE&amp;DOC_NAME=FAT:FQL_AUDITING_CLIENT_TEMPLATE.FAT&amp;display_string=Audit&amp;VAR:KEY=FWPEPQPQHY&amp;VAR:QUERY=KFBfUFJJQ0UoNDAyMjUpLShGRl9DQVNIX1NUKFFUUiw0MDIyNSkvUF9DT01fU0hTX09VVCg0MDIyNSkpKS9GR","V9FU1RJTUFURSgnRVBTJywnTUVBTicsJ0FOTlVBTF9ST0xMJywnKzEnLDQwMjI1LCwsJycp&amp;WINDOW=FIRST_POPUP&amp;HEIGHT=450&amp;WIDTH=450&amp;START_MAXIMIZED=FALSE&amp;VAR:CALENDAR=US&amp;VAR:SYMBOL=98433210&amp;VAR:INDEX=0"}</definedName>
    <definedName name="_7722__FDSAUDITLINK__">{"fdsup://directions/FAT Viewer?action=UPDATE&amp;creator=factset&amp;DYN_ARGS=TRUE&amp;DOC_NAME=FAT:FQL_AUDITING_CLIENT_TEMPLATE.FAT&amp;display_string=Audit&amp;VAR:KEY=VWDSLAZIRA&amp;VAR:QUERY=KFBfUFJJQ0UoNDAyMjQpLShGRl9DQVNIX1NUKFFUUiw0MDIyNCkvUF9DT01fU0hTX09VVCg0MDIyNCkpKS9GR","V9FU1RJTUFURSgnRVBTJywnTUVBTicsJ0FOTlVBTF9ST0xMJywnKzEnLDQwMjI0LCwsJycp&amp;WINDOW=FIRST_POPUP&amp;HEIGHT=450&amp;WIDTH=450&amp;START_MAXIMIZED=FALSE&amp;VAR:CALENDAR=US&amp;VAR:SYMBOL=98433210&amp;VAR:INDEX=0"}</definedName>
    <definedName name="_7723__FDSAUDITLINK__">{"fdsup://directions/FAT Viewer?action=UPDATE&amp;creator=factset&amp;DYN_ARGS=TRUE&amp;DOC_NAME=FAT:FQL_AUDITING_CLIENT_TEMPLATE.FAT&amp;display_string=Audit&amp;VAR:KEY=VWDSLAZIRA&amp;VAR:QUERY=KFBfUFJJQ0UoNDAyMjQpLShGRl9DQVNIX1NUKFFUUiw0MDIyNCkvUF9DT01fU0hTX09VVCg0MDIyNCkpKS9GR","V9FU1RJTUFURSgnRVBTJywnTUVBTicsJ0FOTlVBTF9ST0xMJywnKzEnLDQwMjI0LCwsJycp&amp;WINDOW=FIRST_POPUP&amp;HEIGHT=450&amp;WIDTH=450&amp;START_MAXIMIZED=FALSE&amp;VAR:CALENDAR=US&amp;VAR:SYMBOL=98433210&amp;VAR:INDEX=0"}</definedName>
    <definedName name="_7724__FDSAUDITLINK__">{"fdsup://directions/FAT Viewer?action=UPDATE&amp;creator=factset&amp;DYN_ARGS=TRUE&amp;DOC_NAME=FAT:FQL_AUDITING_CLIENT_TEMPLATE.FAT&amp;display_string=Audit&amp;VAR:KEY=JCVMBQFWNQ&amp;VAR:QUERY=KFBfUFJJQ0UoNDAyMjMpLShGRl9DQVNIX1NUKFFUUiw0MDIyMykvUF9DT01fU0hTX09VVCg0MDIyMykpKS9GR","V9FU1RJTUFURSgnRVBTJywnTUVBTicsJ0FOTlVBTF9ST0xMJywnKzEnLDQwMjIzLCwsJycp&amp;WINDOW=FIRST_POPUP&amp;HEIGHT=450&amp;WIDTH=450&amp;START_MAXIMIZED=FALSE&amp;VAR:CALENDAR=US&amp;VAR:SYMBOL=98433210&amp;VAR:INDEX=0"}</definedName>
    <definedName name="_7725__FDSAUDITLINK__">{"fdsup://directions/FAT Viewer?action=UPDATE&amp;creator=factset&amp;DYN_ARGS=TRUE&amp;DOC_NAME=FAT:FQL_AUDITING_CLIENT_TEMPLATE.FAT&amp;display_string=Audit&amp;VAR:KEY=JCVMBQFWNQ&amp;VAR:QUERY=KFBfUFJJQ0UoNDAyMjMpLShGRl9DQVNIX1NUKFFUUiw0MDIyMykvUF9DT01fU0hTX09VVCg0MDIyMykpKS9GR","V9FU1RJTUFURSgnRVBTJywnTUVBTicsJ0FOTlVBTF9ST0xMJywnKzEnLDQwMjIzLCwsJycp&amp;WINDOW=FIRST_POPUP&amp;HEIGHT=450&amp;WIDTH=450&amp;START_MAXIMIZED=FALSE&amp;VAR:CALENDAR=US&amp;VAR:SYMBOL=98433210&amp;VAR:INDEX=0"}</definedName>
    <definedName name="_7726__FDSAUDITLINK__">{"fdsup://directions/FAT Viewer?action=UPDATE&amp;creator=factset&amp;DYN_ARGS=TRUE&amp;DOC_NAME=FAT:FQL_AUDITING_CLIENT_TEMPLATE.FAT&amp;display_string=Audit&amp;VAR:KEY=FANKRSXQZW&amp;VAR:QUERY=KFBfUFJJQ0UoNDAyMjIpLShGRl9DQVNIX1NUKFFUUiw0MDIyMikvUF9DT01fU0hTX09VVCg0MDIyMikpKS9GR","V9FU1RJTUFURSgnRVBTJywnTUVBTicsJ0FOTlVBTF9ST0xMJywnKzEnLDQwMjIyLCwsJycp&amp;WINDOW=FIRST_POPUP&amp;HEIGHT=450&amp;WIDTH=450&amp;START_MAXIMIZED=FALSE&amp;VAR:CALENDAR=US&amp;VAR:SYMBOL=98433210&amp;VAR:INDEX=0"}</definedName>
    <definedName name="_7727__FDSAUDITLINK__">{"fdsup://directions/FAT Viewer?action=UPDATE&amp;creator=factset&amp;DYN_ARGS=TRUE&amp;DOC_NAME=FAT:FQL_AUDITING_CLIENT_TEMPLATE.FAT&amp;display_string=Audit&amp;VAR:KEY=FANKRSXQZW&amp;VAR:QUERY=KFBfUFJJQ0UoNDAyMjIpLShGRl9DQVNIX1NUKFFUUiw0MDIyMikvUF9DT01fU0hTX09VVCg0MDIyMikpKS9GR","V9FU1RJTUFURSgnRVBTJywnTUVBTicsJ0FOTlVBTF9ST0xMJywnKzEnLDQwMjIyLCwsJycp&amp;WINDOW=FIRST_POPUP&amp;HEIGHT=450&amp;WIDTH=450&amp;START_MAXIMIZED=FALSE&amp;VAR:CALENDAR=US&amp;VAR:SYMBOL=98433210&amp;VAR:INDEX=0"}</definedName>
    <definedName name="_7728__FDSAUDITLINK__">{"fdsup://directions/FAT Viewer?action=UPDATE&amp;creator=factset&amp;DYN_ARGS=TRUE&amp;DOC_NAME=FAT:FQL_AUDITING_CLIENT_TEMPLATE.FAT&amp;display_string=Audit&amp;VAR:KEY=NSPEVEJAJA&amp;VAR:QUERY=KFBfUFJJQ0UoNDAyMjEpLShGRl9DQVNIX1NUKFFUUiw0MDIyMSkvUF9DT01fU0hTX09VVCg0MDIyMSkpKS9GR","V9FU1RJTUFURSgnRVBTJywnTUVBTicsJ0FOTlVBTF9ST0xMJywnKzEnLDQwMjIxLCwsJycp&amp;WINDOW=FIRST_POPUP&amp;HEIGHT=450&amp;WIDTH=450&amp;START_MAXIMIZED=FALSE&amp;VAR:CALENDAR=US&amp;VAR:SYMBOL=98433210&amp;VAR:INDEX=0"}</definedName>
    <definedName name="_7729__FDSAUDITLINK__">{"fdsup://directions/FAT Viewer?action=UPDATE&amp;creator=factset&amp;DYN_ARGS=TRUE&amp;DOC_NAME=FAT:FQL_AUDITING_CLIENT_TEMPLATE.FAT&amp;display_string=Audit&amp;VAR:KEY=NSPEVEJAJA&amp;VAR:QUERY=KFBfUFJJQ0UoNDAyMjEpLShGRl9DQVNIX1NUKFFUUiw0MDIyMSkvUF9DT01fU0hTX09VVCg0MDIyMSkpKS9GR","V9FU1RJTUFURSgnRVBTJywnTUVBTicsJ0FOTlVBTF9ST0xMJywnKzEnLDQwMjIxLCwsJycp&amp;WINDOW=FIRST_POPUP&amp;HEIGHT=450&amp;WIDTH=450&amp;START_MAXIMIZED=FALSE&amp;VAR:CALENDAR=US&amp;VAR:SYMBOL=98433210&amp;VAR:INDEX=0"}</definedName>
    <definedName name="_77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1017"}</definedName>
    <definedName name="_7730__FDSAUDITLINK__">{"fdsup://directions/FAT Viewer?action=UPDATE&amp;creator=factset&amp;DYN_ARGS=TRUE&amp;DOC_NAME=FAT:FQL_AUDITING_CLIENT_TEMPLATE.FAT&amp;display_string=Audit&amp;VAR:KEY=ZCPENUVIRW&amp;VAR:QUERY=KFBfUFJJQ0UoNDAyMjApLShGRl9DQVNIX1NUKFFUUiw0MDIyMCkvUF9DT01fU0hTX09VVCg0MDIyMCkpKS9GR","V9FU1RJTUFURSgnRVBTJywnTUVBTicsJ0FOTlVBTF9ST0xMJywnKzEnLDQwMjIwLCwsJycp&amp;WINDOW=FIRST_POPUP&amp;HEIGHT=450&amp;WIDTH=450&amp;START_MAXIMIZED=FALSE&amp;VAR:CALENDAR=US&amp;VAR:SYMBOL=98433210&amp;VAR:INDEX=0"}</definedName>
    <definedName name="_7731__FDSAUDITLINK__">{"fdsup://directions/FAT Viewer?action=UPDATE&amp;creator=factset&amp;DYN_ARGS=TRUE&amp;DOC_NAME=FAT:FQL_AUDITING_CLIENT_TEMPLATE.FAT&amp;display_string=Audit&amp;VAR:KEY=ZCPENUVIRW&amp;VAR:QUERY=KFBfUFJJQ0UoNDAyMjApLShGRl9DQVNIX1NUKFFUUiw0MDIyMCkvUF9DT01fU0hTX09VVCg0MDIyMCkpKS9GR","V9FU1RJTUFURSgnRVBTJywnTUVBTicsJ0FOTlVBTF9ST0xMJywnKzEnLDQwMjIwLCwsJycp&amp;WINDOW=FIRST_POPUP&amp;HEIGHT=450&amp;WIDTH=450&amp;START_MAXIMIZED=FALSE&amp;VAR:CALENDAR=US&amp;VAR:SYMBOL=98433210&amp;VAR:INDEX=0"}</definedName>
    <definedName name="_7732__FDSAUDITLINK__">{"fdsup://directions/FAT Viewer?action=UPDATE&amp;creator=factset&amp;DYN_ARGS=TRUE&amp;DOC_NAME=FAT:FQL_AUDITING_CLIENT_TEMPLATE.FAT&amp;display_string=Audit&amp;VAR:KEY=JOLEPMDMPS&amp;VAR:QUERY=KFBfUFJJQ0UoNDAyMTkpLShGRl9DQVNIX1NUKFFUUiw0MDIxOSkvUF9DT01fU0hTX09VVCg0MDIxOSkpKS9GR","V9FU1RJTUFURSgnRVBTJywnTUVBTicsJ0FOTlVBTF9ST0xMJywnKzEnLDQwMjE5LCwsJycp&amp;WINDOW=FIRST_POPUP&amp;HEIGHT=450&amp;WIDTH=450&amp;START_MAXIMIZED=FALSE&amp;VAR:CALENDAR=US&amp;VAR:SYMBOL=98433210&amp;VAR:INDEX=0"}</definedName>
    <definedName name="_7733__FDSAUDITLINK__">{"fdsup://directions/FAT Viewer?action=UPDATE&amp;creator=factset&amp;DYN_ARGS=TRUE&amp;DOC_NAME=FAT:FQL_AUDITING_CLIENT_TEMPLATE.FAT&amp;display_string=Audit&amp;VAR:KEY=JOLEPMDMPS&amp;VAR:QUERY=KFBfUFJJQ0UoNDAyMTkpLShGRl9DQVNIX1NUKFFUUiw0MDIxOSkvUF9DT01fU0hTX09VVCg0MDIxOSkpKS9GR","V9FU1RJTUFURSgnRVBTJywnTUVBTicsJ0FOTlVBTF9ST0xMJywnKzEnLDQwMjE5LCwsJycp&amp;WINDOW=FIRST_POPUP&amp;HEIGHT=450&amp;WIDTH=450&amp;START_MAXIMIZED=FALSE&amp;VAR:CALENDAR=US&amp;VAR:SYMBOL=98433210&amp;VAR:INDEX=0"}</definedName>
    <definedName name="_7734__FDSAUDITLINK__">{"fdsup://directions/FAT Viewer?action=UPDATE&amp;creator=factset&amp;DYN_ARGS=TRUE&amp;DOC_NAME=FAT:FQL_AUDITING_CLIENT_TEMPLATE.FAT&amp;display_string=Audit&amp;VAR:KEY=LEHITYLYHK&amp;VAR:QUERY=KFBfUFJJQ0UoNDAyMTgpLShGRl9DQVNIX1NUKFFUUiw0MDIxOCkvUF9DT01fU0hTX09VVCg0MDIxOCkpKS9GR","V9FU1RJTUFURSgnRVBTJywnTUVBTicsJ0FOTlVBTF9ST0xMJywnKzEnLDQwMjE4LCwsJycp&amp;WINDOW=FIRST_POPUP&amp;HEIGHT=450&amp;WIDTH=450&amp;START_MAXIMIZED=FALSE&amp;VAR:CALENDAR=US&amp;VAR:SYMBOL=98433210&amp;VAR:INDEX=0"}</definedName>
    <definedName name="_7735__FDSAUDITLINK__">{"fdsup://directions/FAT Viewer?action=UPDATE&amp;creator=factset&amp;DYN_ARGS=TRUE&amp;DOC_NAME=FAT:FQL_AUDITING_CLIENT_TEMPLATE.FAT&amp;display_string=Audit&amp;VAR:KEY=LEHITYLYHK&amp;VAR:QUERY=KFBfUFJJQ0UoNDAyMTgpLShGRl9DQVNIX1NUKFFUUiw0MDIxOCkvUF9DT01fU0hTX09VVCg0MDIxOCkpKS9GR","V9FU1RJTUFURSgnRVBTJywnTUVBTicsJ0FOTlVBTF9ST0xMJywnKzEnLDQwMjE4LCwsJycp&amp;WINDOW=FIRST_POPUP&amp;HEIGHT=450&amp;WIDTH=450&amp;START_MAXIMIZED=FALSE&amp;VAR:CALENDAR=US&amp;VAR:SYMBOL=98433210&amp;VAR:INDEX=0"}</definedName>
    <definedName name="_7736__FDSAUDITLINK__">{"fdsup://directions/FAT Viewer?action=UPDATE&amp;creator=factset&amp;DYN_ARGS=TRUE&amp;DOC_NAME=FAT:FQL_AUDITING_CLIENT_TEMPLATE.FAT&amp;display_string=Audit&amp;VAR:KEY=XGDCNYFSXW&amp;VAR:QUERY=KFBfUFJJQ0UoNDAyMTcpLShGRl9DQVNIX1NUKFFUUiw0MDIxNykvUF9DT01fU0hTX09VVCg0MDIxNykpKS9GR","V9FU1RJTUFURSgnRVBTJywnTUVBTicsJ0FOTlVBTF9ST0xMJywnKzEnLDQwMjE3LCwsJycp&amp;WINDOW=FIRST_POPUP&amp;HEIGHT=450&amp;WIDTH=450&amp;START_MAXIMIZED=FALSE&amp;VAR:CALENDAR=US&amp;VAR:SYMBOL=98433210&amp;VAR:INDEX=0"}</definedName>
    <definedName name="_7737__FDSAUDITLINK__">{"fdsup://directions/FAT Viewer?action=UPDATE&amp;creator=factset&amp;DYN_ARGS=TRUE&amp;DOC_NAME=FAT:FQL_AUDITING_CLIENT_TEMPLATE.FAT&amp;display_string=Audit&amp;VAR:KEY=XGDCNYFSXW&amp;VAR:QUERY=KFBfUFJJQ0UoNDAyMTcpLShGRl9DQVNIX1NUKFFUUiw0MDIxNykvUF9DT01fU0hTX09VVCg0MDIxNykpKS9GR","V9FU1RJTUFURSgnRVBTJywnTUVBTicsJ0FOTlVBTF9ST0xMJywnKzEnLDQwMjE3LCwsJycp&amp;WINDOW=FIRST_POPUP&amp;HEIGHT=450&amp;WIDTH=450&amp;START_MAXIMIZED=FALSE&amp;VAR:CALENDAR=US&amp;VAR:SYMBOL=98433210&amp;VAR:INDEX=0"}</definedName>
    <definedName name="_7738__FDSAUDITLINK__">{"fdsup://directions/FAT Viewer?action=UPDATE&amp;creator=factset&amp;DYN_ARGS=TRUE&amp;DOC_NAME=FAT:FQL_AUDITING_CLIENT_TEMPLATE.FAT&amp;display_string=Audit&amp;VAR:KEY=RYJEPILMPG&amp;VAR:QUERY=KFBfUFJJQ0UoNDAyMTYpLShGRl9DQVNIX1NUKFFUUiw0MDIxNikvUF9DT01fU0hTX09VVCg0MDIxNikpKS9GR","V9FU1RJTUFURSgnRVBTJywnTUVBTicsJ0FOTlVBTF9ST0xMJywnKzEnLDQwMjE2LCwsJycp&amp;WINDOW=FIRST_POPUP&amp;HEIGHT=450&amp;WIDTH=450&amp;START_MAXIMIZED=FALSE&amp;VAR:CALENDAR=US&amp;VAR:SYMBOL=98433210&amp;VAR:INDEX=0"}</definedName>
    <definedName name="_7739__FDSAUDITLINK__">{"fdsup://directions/FAT Viewer?action=UPDATE&amp;creator=factset&amp;DYN_ARGS=TRUE&amp;DOC_NAME=FAT:FQL_AUDITING_CLIENT_TEMPLATE.FAT&amp;display_string=Audit&amp;VAR:KEY=RYJEPILMPG&amp;VAR:QUERY=KFBfUFJJQ0UoNDAyMTYpLShGRl9DQVNIX1NUKFFUUiw0MDIxNikvUF9DT01fU0hTX09VVCg0MDIxNikpKS9GR","V9FU1RJTUFURSgnRVBTJywnTUVBTicsJ0FOTlVBTF9ST0xMJywnKzEnLDQwMjE2LCwsJycp&amp;WINDOW=FIRST_POPUP&amp;HEIGHT=450&amp;WIDTH=450&amp;START_MAXIMIZED=FALSE&amp;VAR:CALENDAR=US&amp;VAR:SYMBOL=98433210&amp;VAR:INDEX=0"}</definedName>
    <definedName name="_77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1016"}</definedName>
    <definedName name="_7740__FDSAUDITLINK__">{"fdsup://directions/FAT Viewer?action=UPDATE&amp;creator=factset&amp;DYN_ARGS=TRUE&amp;DOC_NAME=FAT:FQL_AUDITING_CLIENT_TEMPLATE.FAT&amp;display_string=Audit&amp;VAR:KEY=LCRSLONQBW&amp;VAR:QUERY=KFBfUFJJQ0UoNDAyMTUpLShGRl9DQVNIX1NUKFFUUiw0MDIxNSkvUF9DT01fU0hTX09VVCg0MDIxNSkpKS9GR","V9FU1RJTUFURSgnRVBTJywnTUVBTicsJ0FOTlVBTF9ST0xMJywnKzEnLDQwMjE1LCwsJycp&amp;WINDOW=FIRST_POPUP&amp;HEIGHT=450&amp;WIDTH=450&amp;START_MAXIMIZED=FALSE&amp;VAR:CALENDAR=US&amp;VAR:SYMBOL=98433210&amp;VAR:INDEX=0"}</definedName>
    <definedName name="_7741__FDSAUDITLINK__">{"fdsup://directions/FAT Viewer?action=UPDATE&amp;creator=factset&amp;DYN_ARGS=TRUE&amp;DOC_NAME=FAT:FQL_AUDITING_CLIENT_TEMPLATE.FAT&amp;display_string=Audit&amp;VAR:KEY=LCRSLONQBW&amp;VAR:QUERY=KFBfUFJJQ0UoNDAyMTUpLShGRl9DQVNIX1NUKFFUUiw0MDIxNSkvUF9DT01fU0hTX09VVCg0MDIxNSkpKS9GR","V9FU1RJTUFURSgnRVBTJywnTUVBTicsJ0FOTlVBTF9ST0xMJywnKzEnLDQwMjE1LCwsJycp&amp;WINDOW=FIRST_POPUP&amp;HEIGHT=450&amp;WIDTH=450&amp;START_MAXIMIZED=FALSE&amp;VAR:CALENDAR=US&amp;VAR:SYMBOL=98433210&amp;VAR:INDEX=0"}</definedName>
    <definedName name="_7742__FDSAUDITLINK__">{"fdsup://directions/FAT Viewer?action=UPDATE&amp;creator=factset&amp;DYN_ARGS=TRUE&amp;DOC_NAME=FAT:FQL_AUDITING_CLIENT_TEMPLATE.FAT&amp;display_string=Audit&amp;VAR:KEY=HALOJWHCTG&amp;VAR:QUERY=KFBfUFJJQ0UoNDAyMTQpLShGRl9DQVNIX1NUKFFUUiw0MDIxNCkvUF9DT01fU0hTX09VVCg0MDIxNCkpKS9GR","V9FU1RJTUFURSgnRVBTJywnTUVBTicsJ0FOTlVBTF9ST0xMJywnKzEnLDQwMjE0LCwsJycp&amp;WINDOW=FIRST_POPUP&amp;HEIGHT=450&amp;WIDTH=450&amp;START_MAXIMIZED=FALSE&amp;VAR:CALENDAR=US&amp;VAR:SYMBOL=98433210&amp;VAR:INDEX=0"}</definedName>
    <definedName name="_7743__FDSAUDITLINK__">{"fdsup://directions/FAT Viewer?action=UPDATE&amp;creator=factset&amp;DYN_ARGS=TRUE&amp;DOC_NAME=FAT:FQL_AUDITING_CLIENT_TEMPLATE.FAT&amp;display_string=Audit&amp;VAR:KEY=HALOJWHCTG&amp;VAR:QUERY=KFBfUFJJQ0UoNDAyMTQpLShGRl9DQVNIX1NUKFFUUiw0MDIxNCkvUF9DT01fU0hTX09VVCg0MDIxNCkpKS9GR","V9FU1RJTUFURSgnRVBTJywnTUVBTicsJ0FOTlVBTF9ST0xMJywnKzEnLDQwMjE0LCwsJycp&amp;WINDOW=FIRST_POPUP&amp;HEIGHT=450&amp;WIDTH=450&amp;START_MAXIMIZED=FALSE&amp;VAR:CALENDAR=US&amp;VAR:SYMBOL=98433210&amp;VAR:INDEX=0"}</definedName>
    <definedName name="_7744__FDSAUDITLINK__">{"fdsup://directions/FAT Viewer?action=UPDATE&amp;creator=factset&amp;DYN_ARGS=TRUE&amp;DOC_NAME=FAT:FQL_AUDITING_CLIENT_TEMPLATE.FAT&amp;display_string=Audit&amp;VAR:KEY=HMJEVSRAJI&amp;VAR:QUERY=KFBfUFJJQ0UoNDAyMTMpLShGRl9DQVNIX1NUKFFUUiw0MDIxMykvUF9DT01fU0hTX09VVCg0MDIxMykpKS9GR","V9FU1RJTUFURSgnRVBTJywnTUVBTicsJ0FOTlVBTF9ST0xMJywnKzEnLDQwMjEzLCwsJycp&amp;WINDOW=FIRST_POPUP&amp;HEIGHT=450&amp;WIDTH=450&amp;START_MAXIMIZED=FALSE&amp;VAR:CALENDAR=US&amp;VAR:SYMBOL=98433210&amp;VAR:INDEX=0"}</definedName>
    <definedName name="_7745__FDSAUDITLINK__">{"fdsup://directions/FAT Viewer?action=UPDATE&amp;creator=factset&amp;DYN_ARGS=TRUE&amp;DOC_NAME=FAT:FQL_AUDITING_CLIENT_TEMPLATE.FAT&amp;display_string=Audit&amp;VAR:KEY=HMJEVSRAJI&amp;VAR:QUERY=KFBfUFJJQ0UoNDAyMTMpLShGRl9DQVNIX1NUKFFUUiw0MDIxMykvUF9DT01fU0hTX09VVCg0MDIxMykpKS9GR","V9FU1RJTUFURSgnRVBTJywnTUVBTicsJ0FOTlVBTF9ST0xMJywnKzEnLDQwMjEzLCwsJycp&amp;WINDOW=FIRST_POPUP&amp;HEIGHT=450&amp;WIDTH=450&amp;START_MAXIMIZED=FALSE&amp;VAR:CALENDAR=US&amp;VAR:SYMBOL=98433210&amp;VAR:INDEX=0"}</definedName>
    <definedName name="_7746__FDSAUDITLINK__">{"fdsup://directions/FAT Viewer?action=UPDATE&amp;creator=factset&amp;DYN_ARGS=TRUE&amp;DOC_NAME=FAT:FQL_AUDITING_CLIENT_TEMPLATE.FAT&amp;display_string=Audit&amp;VAR:KEY=FWXUXEZAVG&amp;VAR:QUERY=KFBfUFJJQ0UoNDAyMTIpLShGRl9DQVNIX1NUKFFUUiw0MDIxMikvUF9DT01fU0hTX09VVCg0MDIxMikpKS9GR","V9FU1RJTUFURSgnRVBTJywnTUVBTicsJ0FOTlVBTF9ST0xMJywnKzEnLDQwMjEyLCwsJycp&amp;WINDOW=FIRST_POPUP&amp;HEIGHT=450&amp;WIDTH=450&amp;START_MAXIMIZED=FALSE&amp;VAR:CALENDAR=US&amp;VAR:SYMBOL=98433210&amp;VAR:INDEX=0"}</definedName>
    <definedName name="_7747__FDSAUDITLINK__">{"fdsup://directions/FAT Viewer?action=UPDATE&amp;creator=factset&amp;DYN_ARGS=TRUE&amp;DOC_NAME=FAT:FQL_AUDITING_CLIENT_TEMPLATE.FAT&amp;display_string=Audit&amp;VAR:KEY=FWXUXEZAVG&amp;VAR:QUERY=KFBfUFJJQ0UoNDAyMTIpLShGRl9DQVNIX1NUKFFUUiw0MDIxMikvUF9DT01fU0hTX09VVCg0MDIxMikpKS9GR","V9FU1RJTUFURSgnRVBTJywnTUVBTicsJ0FOTlVBTF9ST0xMJywnKzEnLDQwMjEyLCwsJycp&amp;WINDOW=FIRST_POPUP&amp;HEIGHT=450&amp;WIDTH=450&amp;START_MAXIMIZED=FALSE&amp;VAR:CALENDAR=US&amp;VAR:SYMBOL=98433210&amp;VAR:INDEX=0"}</definedName>
    <definedName name="_7748__FDSAUDITLINK__">{"fdsup://directions/FAT Viewer?action=UPDATE&amp;creator=factset&amp;DYN_ARGS=TRUE&amp;DOC_NAME=FAT:FQL_AUDITING_CLIENT_TEMPLATE.FAT&amp;display_string=Audit&amp;VAR:KEY=LQJSRWZOBO&amp;VAR:QUERY=KFBfUFJJQ0UoNDAyMTEpLShGRl9DQVNIX1NUKFFUUiw0MDIxMSkvUF9DT01fU0hTX09VVCg0MDIxMSkpKS9GR","V9FU1RJTUFURSgnRVBTJywnTUVBTicsJ0FOTlVBTF9ST0xMJywnKzEnLDQwMjExLCwsJycp&amp;WINDOW=FIRST_POPUP&amp;HEIGHT=450&amp;WIDTH=450&amp;START_MAXIMIZED=FALSE&amp;VAR:CALENDAR=US&amp;VAR:SYMBOL=98433210&amp;VAR:INDEX=0"}</definedName>
    <definedName name="_7749__FDSAUDITLINK__">{"fdsup://directions/FAT Viewer?action=UPDATE&amp;creator=factset&amp;DYN_ARGS=TRUE&amp;DOC_NAME=FAT:FQL_AUDITING_CLIENT_TEMPLATE.FAT&amp;display_string=Audit&amp;VAR:KEY=LQJSRWZOBO&amp;VAR:QUERY=KFBfUFJJQ0UoNDAyMTEpLShGRl9DQVNIX1NUKFFUUiw0MDIxMSkvUF9DT01fU0hTX09VVCg0MDIxMSkpKS9GR","V9FU1RJTUFURSgnRVBTJywnTUVBTicsJ0FOTlVBTF9ST0xMJywnKzEnLDQwMjExLCwsJycp&amp;WINDOW=FIRST_POPUP&amp;HEIGHT=450&amp;WIDTH=450&amp;START_MAXIMIZED=FALSE&amp;VAR:CALENDAR=US&amp;VAR:SYMBOL=98433210&amp;VAR:INDEX=0"}</definedName>
    <definedName name="_77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1015"}</definedName>
    <definedName name="_7750__FDSAUDITLINK__">{"fdsup://directions/FAT Viewer?action=UPDATE&amp;creator=factset&amp;DYN_ARGS=TRUE&amp;DOC_NAME=FAT:FQL_AUDITING_CLIENT_TEMPLATE.FAT&amp;display_string=Audit&amp;VAR:KEY=LKBKJSJEZM&amp;VAR:QUERY=KFBfUFJJQ0UoNDAyMTApLShGRl9DQVNIX1NUKFFUUiw0MDIxMCkvUF9DT01fU0hTX09VVCg0MDIxMCkpKS9GR","V9FU1RJTUFURSgnRVBTJywnTUVBTicsJ0FOTlVBTF9ST0xMJywnKzEnLDQwMjEwLCwsJycp&amp;WINDOW=FIRST_POPUP&amp;HEIGHT=450&amp;WIDTH=450&amp;START_MAXIMIZED=FALSE&amp;VAR:CALENDAR=US&amp;VAR:SYMBOL=98433210&amp;VAR:INDEX=0"}</definedName>
    <definedName name="_7751__FDSAUDITLINK__">{"fdsup://directions/FAT Viewer?action=UPDATE&amp;creator=factset&amp;DYN_ARGS=TRUE&amp;DOC_NAME=FAT:FQL_AUDITING_CLIENT_TEMPLATE.FAT&amp;display_string=Audit&amp;VAR:KEY=LKBKJSJEZM&amp;VAR:QUERY=KFBfUFJJQ0UoNDAyMTApLShGRl9DQVNIX1NUKFFUUiw0MDIxMCkvUF9DT01fU0hTX09VVCg0MDIxMCkpKS9GR","V9FU1RJTUFURSgnRVBTJywnTUVBTicsJ0FOTlVBTF9ST0xMJywnKzEnLDQwMjEwLCwsJycp&amp;WINDOW=FIRST_POPUP&amp;HEIGHT=450&amp;WIDTH=450&amp;START_MAXIMIZED=FALSE&amp;VAR:CALENDAR=US&amp;VAR:SYMBOL=98433210&amp;VAR:INDEX=0"}</definedName>
    <definedName name="_7752__FDSAUDITLINK__">{"fdsup://directions/FAT Viewer?action=UPDATE&amp;creator=factset&amp;DYN_ARGS=TRUE&amp;DOC_NAME=FAT:FQL_AUDITING_CLIENT_TEMPLATE.FAT&amp;display_string=Audit&amp;VAR:KEY=BMTMBKNCVU&amp;VAR:QUERY=KFBfUFJJQ0UoNDAyMDkpLShGRl9DQVNIX1NUKFFUUiw0MDIwOSkvUF9DT01fU0hTX09VVCg0MDIwOSkpKS9GR","V9FU1RJTUFURSgnRVBTJywnTUVBTicsJ0FOTlVBTF9ST0xMJywnKzEnLDQwMjA5LCwsJycp&amp;WINDOW=FIRST_POPUP&amp;HEIGHT=450&amp;WIDTH=450&amp;START_MAXIMIZED=FALSE&amp;VAR:CALENDAR=US&amp;VAR:SYMBOL=98433210&amp;VAR:INDEX=0"}</definedName>
    <definedName name="_7753__FDSAUDITLINK__">{"fdsup://directions/FAT Viewer?action=UPDATE&amp;creator=factset&amp;DYN_ARGS=TRUE&amp;DOC_NAME=FAT:FQL_AUDITING_CLIENT_TEMPLATE.FAT&amp;display_string=Audit&amp;VAR:KEY=BMTMBKNCVU&amp;VAR:QUERY=KFBfUFJJQ0UoNDAyMDkpLShGRl9DQVNIX1NUKFFUUiw0MDIwOSkvUF9DT01fU0hTX09VVCg0MDIwOSkpKS9GR","V9FU1RJTUFURSgnRVBTJywnTUVBTicsJ0FOTlVBTF9ST0xMJywnKzEnLDQwMjA5LCwsJycp&amp;WINDOW=FIRST_POPUP&amp;HEIGHT=450&amp;WIDTH=450&amp;START_MAXIMIZED=FALSE&amp;VAR:CALENDAR=US&amp;VAR:SYMBOL=98433210&amp;VAR:INDEX=0"}</definedName>
    <definedName name="_7754__FDSAUDITLINK__">{"fdsup://directions/FAT Viewer?action=UPDATE&amp;creator=factset&amp;DYN_ARGS=TRUE&amp;DOC_NAME=FAT:FQL_AUDITING_CLIENT_TEMPLATE.FAT&amp;display_string=Audit&amp;VAR:KEY=VAXKJKTWHY&amp;VAR:QUERY=KFBfUFJJQ0UoNDAyMDgpLShGRl9DQVNIX1NUKFFUUiw0MDIwOCkvUF9DT01fU0hTX09VVCg0MDIwOCkpKS9GR","V9FU1RJTUFURSgnRVBTJywnTUVBTicsJ0FOTlVBTF9ST0xMJywnKzEnLDQwMjA4LCwsJycp&amp;WINDOW=FIRST_POPUP&amp;HEIGHT=450&amp;WIDTH=450&amp;START_MAXIMIZED=FALSE&amp;VAR:CALENDAR=US&amp;VAR:SYMBOL=98433210&amp;VAR:INDEX=0"}</definedName>
    <definedName name="_7755__FDSAUDITLINK__">{"fdsup://directions/FAT Viewer?action=UPDATE&amp;creator=factset&amp;DYN_ARGS=TRUE&amp;DOC_NAME=FAT:FQL_AUDITING_CLIENT_TEMPLATE.FAT&amp;display_string=Audit&amp;VAR:KEY=VAXKJKTWHY&amp;VAR:QUERY=KFBfUFJJQ0UoNDAyMDgpLShGRl9DQVNIX1NUKFFUUiw0MDIwOCkvUF9DT01fU0hTX09VVCg0MDIwOCkpKS9GR","V9FU1RJTUFURSgnRVBTJywnTUVBTicsJ0FOTlVBTF9ST0xMJywnKzEnLDQwMjA4LCwsJycp&amp;WINDOW=FIRST_POPUP&amp;HEIGHT=450&amp;WIDTH=450&amp;START_MAXIMIZED=FALSE&amp;VAR:CALENDAR=US&amp;VAR:SYMBOL=98433210&amp;VAR:INDEX=0"}</definedName>
    <definedName name="_7756__FDSAUDITLINK__">{"fdsup://directions/FAT Viewer?action=UPDATE&amp;creator=factset&amp;DYN_ARGS=TRUE&amp;DOC_NAME=FAT:FQL_AUDITING_CLIENT_TEMPLATE.FAT&amp;display_string=Audit&amp;VAR:KEY=VIFETUTMLM&amp;VAR:QUERY=KFBfUFJJQ0UoNDAyMDcpLShGRl9DQVNIX1NUKFFUUiw0MDIwNykvUF9DT01fU0hTX09VVCg0MDIwNykpKS9GR","V9FU1RJTUFURSgnRVBTJywnTUVBTicsJ0FOTlVBTF9ST0xMJywnKzEnLDQwMjA3LCwsJycp&amp;WINDOW=FIRST_POPUP&amp;HEIGHT=450&amp;WIDTH=450&amp;START_MAXIMIZED=FALSE&amp;VAR:CALENDAR=US&amp;VAR:SYMBOL=98433210&amp;VAR:INDEX=0"}</definedName>
    <definedName name="_7757__FDSAUDITLINK__">{"fdsup://directions/FAT Viewer?action=UPDATE&amp;creator=factset&amp;DYN_ARGS=TRUE&amp;DOC_NAME=FAT:FQL_AUDITING_CLIENT_TEMPLATE.FAT&amp;display_string=Audit&amp;VAR:KEY=VIFETUTMLM&amp;VAR:QUERY=KFBfUFJJQ0UoNDAyMDcpLShGRl9DQVNIX1NUKFFUUiw0MDIwNykvUF9DT01fU0hTX09VVCg0MDIwNykpKS9GR","V9FU1RJTUFURSgnRVBTJywnTUVBTicsJ0FOTlVBTF9ST0xMJywnKzEnLDQwMjA3LCwsJycp&amp;WINDOW=FIRST_POPUP&amp;HEIGHT=450&amp;WIDTH=450&amp;START_MAXIMIZED=FALSE&amp;VAR:CALENDAR=US&amp;VAR:SYMBOL=98433210&amp;VAR:INDEX=0"}</definedName>
    <definedName name="_7758__FDSAUDITLINK__">{"fdsup://directions/FAT Viewer?action=UPDATE&amp;creator=factset&amp;DYN_ARGS=TRUE&amp;DOC_NAME=FAT:FQL_AUDITING_CLIENT_TEMPLATE.FAT&amp;display_string=Audit&amp;VAR:KEY=JCBWNQPCXW&amp;VAR:QUERY=KFBfUFJJQ0UoNDAyMDYpLShGRl9DQVNIX1NUKFFUUiw0MDIwNikvUF9DT01fU0hTX09VVCg0MDIwNikpKS9GR","V9FU1RJTUFURSgnRVBTJywnTUVBTicsJ0FOTlVBTF9ST0xMJywnKzEnLDQwMjA2LCwsJycp&amp;WINDOW=FIRST_POPUP&amp;HEIGHT=450&amp;WIDTH=450&amp;START_MAXIMIZED=FALSE&amp;VAR:CALENDAR=US&amp;VAR:SYMBOL=98433210&amp;VAR:INDEX=0"}</definedName>
    <definedName name="_7759__FDSAUDITLINK__">{"fdsup://directions/FAT Viewer?action=UPDATE&amp;creator=factset&amp;DYN_ARGS=TRUE&amp;DOC_NAME=FAT:FQL_AUDITING_CLIENT_TEMPLATE.FAT&amp;display_string=Audit&amp;VAR:KEY=JCBWNQPCXW&amp;VAR:QUERY=KFBfUFJJQ0UoNDAyMDYpLShGRl9DQVNIX1NUKFFUUiw0MDIwNikvUF9DT01fU0hTX09VVCg0MDIwNikpKS9GR","V9FU1RJTUFURSgnRVBTJywnTUVBTicsJ0FOTlVBTF9ST0xMJywnKzEnLDQwMjA2LCwsJycp&amp;WINDOW=FIRST_POPUP&amp;HEIGHT=450&amp;WIDTH=450&amp;START_MAXIMIZED=FALSE&amp;VAR:CALENDAR=US&amp;VAR:SYMBOL=98433210&amp;VAR:INDEX=0"}</definedName>
    <definedName name="_77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1014"}</definedName>
    <definedName name="_7760__FDSAUDITLINK__">{"fdsup://directions/FAT Viewer?action=UPDATE&amp;creator=factset&amp;DYN_ARGS=TRUE&amp;DOC_NAME=FAT:FQL_AUDITING_CLIENT_TEMPLATE.FAT&amp;display_string=Audit&amp;VAR:KEY=ZITGZQDYDG&amp;VAR:QUERY=KFBfUFJJQ0UoNDAyMDUpLShGRl9DQVNIX1NUKFFUUiw0MDIwNSkvUF9DT01fU0hTX09VVCg0MDIwNSkpKS9GR","V9FU1RJTUFURSgnRVBTJywnTUVBTicsJ0FOTlVBTF9ST0xMJywnKzEnLDQwMjA1LCwsJycp&amp;WINDOW=FIRST_POPUP&amp;HEIGHT=450&amp;WIDTH=450&amp;START_MAXIMIZED=FALSE&amp;VAR:CALENDAR=US&amp;VAR:SYMBOL=98433210&amp;VAR:INDEX=0"}</definedName>
    <definedName name="_7761__FDSAUDITLINK__">{"fdsup://directions/FAT Viewer?action=UPDATE&amp;creator=factset&amp;DYN_ARGS=TRUE&amp;DOC_NAME=FAT:FQL_AUDITING_CLIENT_TEMPLATE.FAT&amp;display_string=Audit&amp;VAR:KEY=ZITGZQDYDG&amp;VAR:QUERY=KFBfUFJJQ0UoNDAyMDUpLShGRl9DQVNIX1NUKFFUUiw0MDIwNSkvUF9DT01fU0hTX09VVCg0MDIwNSkpKS9GR","V9FU1RJTUFURSgnRVBTJywnTUVBTicsJ0FOTlVBTF9ST0xMJywnKzEnLDQwMjA1LCwsJycp&amp;WINDOW=FIRST_POPUP&amp;HEIGHT=450&amp;WIDTH=450&amp;START_MAXIMIZED=FALSE&amp;VAR:CALENDAR=US&amp;VAR:SYMBOL=98433210&amp;VAR:INDEX=0"}</definedName>
    <definedName name="_7762__FDSAUDITLINK__">{"fdsup://directions/FAT Viewer?action=UPDATE&amp;creator=factset&amp;DYN_ARGS=TRUE&amp;DOC_NAME=FAT:FQL_AUDITING_CLIENT_TEMPLATE.FAT&amp;display_string=Audit&amp;VAR:KEY=PKJQFGNARC&amp;VAR:QUERY=KFBfUFJJQ0UoNDAyMDQpLShGRl9DQVNIX1NUKFFUUiw0MDIwNCkvUF9DT01fU0hTX09VVCg0MDIwNCkpKS9GR","V9FU1RJTUFURSgnRVBTJywnTUVBTicsJ0FOTlVBTF9ST0xMJywnKzEnLDQwMjA0LCwsJycp&amp;WINDOW=FIRST_POPUP&amp;HEIGHT=450&amp;WIDTH=450&amp;START_MAXIMIZED=FALSE&amp;VAR:CALENDAR=US&amp;VAR:SYMBOL=98433210&amp;VAR:INDEX=0"}</definedName>
    <definedName name="_7763__FDSAUDITLINK__">{"fdsup://directions/FAT Viewer?action=UPDATE&amp;creator=factset&amp;DYN_ARGS=TRUE&amp;DOC_NAME=FAT:FQL_AUDITING_CLIENT_TEMPLATE.FAT&amp;display_string=Audit&amp;VAR:KEY=PKJQFGNARC&amp;VAR:QUERY=KFBfUFJJQ0UoNDAyMDQpLShGRl9DQVNIX1NUKFFUUiw0MDIwNCkvUF9DT01fU0hTX09VVCg0MDIwNCkpKS9GR","V9FU1RJTUFURSgnRVBTJywnTUVBTicsJ0FOTlVBTF9ST0xMJywnKzEnLDQwMjA0LCwsJycp&amp;WINDOW=FIRST_POPUP&amp;HEIGHT=450&amp;WIDTH=450&amp;START_MAXIMIZED=FALSE&amp;VAR:CALENDAR=US&amp;VAR:SYMBOL=98433210&amp;VAR:INDEX=0"}</definedName>
    <definedName name="_7764__FDSAUDITLINK__">{"fdsup://directions/FAT Viewer?action=UPDATE&amp;creator=factset&amp;DYN_ARGS=TRUE&amp;DOC_NAME=FAT:FQL_AUDITING_CLIENT_TEMPLATE.FAT&amp;display_string=Audit&amp;VAR:KEY=VIZOXEBOVU&amp;VAR:QUERY=KFBfUFJJQ0UoNDAyMDMpLShGRl9DQVNIX1NUKFFUUiw0MDIwMykvUF9DT01fU0hTX09VVCg0MDIwMykpKS9GR","V9FU1RJTUFURSgnRVBTJywnTUVBTicsJ0FOTlVBTF9ST0xMJywnKzEnLDQwMjAzLCwsJycp&amp;WINDOW=FIRST_POPUP&amp;HEIGHT=450&amp;WIDTH=450&amp;START_MAXIMIZED=FALSE&amp;VAR:CALENDAR=US&amp;VAR:SYMBOL=98433210&amp;VAR:INDEX=0"}</definedName>
    <definedName name="_7765__FDSAUDITLINK__">{"fdsup://directions/FAT Viewer?action=UPDATE&amp;creator=factset&amp;DYN_ARGS=TRUE&amp;DOC_NAME=FAT:FQL_AUDITING_CLIENT_TEMPLATE.FAT&amp;display_string=Audit&amp;VAR:KEY=VIZOXEBOVU&amp;VAR:QUERY=KFBfUFJJQ0UoNDAyMDMpLShGRl9DQVNIX1NUKFFUUiw0MDIwMykvUF9DT01fU0hTX09VVCg0MDIwMykpKS9GR","V9FU1RJTUFURSgnRVBTJywnTUVBTicsJ0FOTlVBTF9ST0xMJywnKzEnLDQwMjAzLCwsJycp&amp;WINDOW=FIRST_POPUP&amp;HEIGHT=450&amp;WIDTH=450&amp;START_MAXIMIZED=FALSE&amp;VAR:CALENDAR=US&amp;VAR:SYMBOL=98433210&amp;VAR:INDEX=0"}</definedName>
    <definedName name="_7766__FDSAUDITLINK__">{"fdsup://directions/FAT Viewer?action=UPDATE&amp;creator=factset&amp;DYN_ARGS=TRUE&amp;DOC_NAME=FAT:FQL_AUDITING_CLIENT_TEMPLATE.FAT&amp;display_string=Audit&amp;VAR:KEY=VODMDKLGTG&amp;VAR:QUERY=KFBfUFJJQ0UoNDAyMDIpLShGRl9DQVNIX1NUKFFUUiw0MDIwMikvUF9DT01fU0hTX09VVCg0MDIwMikpKS9GR","V9FU1RJTUFURSgnRVBTJywnTUVBTicsJ0FOTlVBTF9ST0xMJywnKzEnLDQwMjAyLCwsJycp&amp;WINDOW=FIRST_POPUP&amp;HEIGHT=450&amp;WIDTH=450&amp;START_MAXIMIZED=FALSE&amp;VAR:CALENDAR=US&amp;VAR:SYMBOL=98433210&amp;VAR:INDEX=0"}</definedName>
    <definedName name="_7767__FDSAUDITLINK__">{"fdsup://directions/FAT Viewer?action=UPDATE&amp;creator=factset&amp;DYN_ARGS=TRUE&amp;DOC_NAME=FAT:FQL_AUDITING_CLIENT_TEMPLATE.FAT&amp;display_string=Audit&amp;VAR:KEY=VODMDKLGTG&amp;VAR:QUERY=KFBfUFJJQ0UoNDAyMDIpLShGRl9DQVNIX1NUKFFUUiw0MDIwMikvUF9DT01fU0hTX09VVCg0MDIwMikpKS9GR","V9FU1RJTUFURSgnRVBTJywnTUVBTicsJ0FOTlVBTF9ST0xMJywnKzEnLDQwMjAyLCwsJycp&amp;WINDOW=FIRST_POPUP&amp;HEIGHT=450&amp;WIDTH=450&amp;START_MAXIMIZED=FALSE&amp;VAR:CALENDAR=US&amp;VAR:SYMBOL=98433210&amp;VAR:INDEX=0"}</definedName>
    <definedName name="_7768__FDSAUDITLINK__">{"fdsup://directions/FAT Viewer?action=UPDATE&amp;creator=factset&amp;DYN_ARGS=TRUE&amp;DOC_NAME=FAT:FQL_AUDITING_CLIENT_TEMPLATE.FAT&amp;display_string=Audit&amp;VAR:KEY=DKPSFOFQXS&amp;VAR:QUERY=KFBfUFJJQ0UoNDAyMDEpLShGRl9DQVNIX1NUKFFUUiw0MDIwMSkvUF9DT01fU0hTX09VVCg0MDIwMSkpKS9GR","V9FU1RJTUFURSgnRVBTJywnTUVBTicsJ0FOTlVBTF9ST0xMJywnKzEnLDQwMjAxLCwsJycp&amp;WINDOW=FIRST_POPUP&amp;HEIGHT=450&amp;WIDTH=450&amp;START_MAXIMIZED=FALSE&amp;VAR:CALENDAR=US&amp;VAR:SYMBOL=98433210&amp;VAR:INDEX=0"}</definedName>
    <definedName name="_7769__FDSAUDITLINK__">{"fdsup://directions/FAT Viewer?action=UPDATE&amp;creator=factset&amp;DYN_ARGS=TRUE&amp;DOC_NAME=FAT:FQL_AUDITING_CLIENT_TEMPLATE.FAT&amp;display_string=Audit&amp;VAR:KEY=DKPSFOFQXS&amp;VAR:QUERY=KFBfUFJJQ0UoNDAyMDEpLShGRl9DQVNIX1NUKFFUUiw0MDIwMSkvUF9DT01fU0hTX09VVCg0MDIwMSkpKS9GR","V9FU1RJTUFURSgnRVBTJywnTUVBTicsJ0FOTlVBTF9ST0xMJywnKzEnLDQwMjAxLCwsJycp&amp;WINDOW=FIRST_POPUP&amp;HEIGHT=450&amp;WIDTH=450&amp;START_MAXIMIZED=FALSE&amp;VAR:CALENDAR=US&amp;VAR:SYMBOL=98433210&amp;VAR:INDEX=0"}</definedName>
    <definedName name="_77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1013"}</definedName>
    <definedName name="_7770__FDSAUDITLINK__">{"fdsup://directions/FAT Viewer?action=UPDATE&amp;creator=factset&amp;DYN_ARGS=TRUE&amp;DOC_NAME=FAT:FQL_AUDITING_CLIENT_TEMPLATE.FAT&amp;display_string=Audit&amp;VAR:KEY=LUJQLSLKJC&amp;VAR:QUERY=KFBfUFJJQ0UoNDAyMDApLShGRl9DQVNIX1NUKFFUUiw0MDIwMCkvUF9DT01fU0hTX09VVCg0MDIwMCkpKS9GR","V9FU1RJTUFURSgnRVBTJywnTUVBTicsJ0FOTlVBTF9ST0xMJywnKzEnLDQwMjAwLCwsJycp&amp;WINDOW=FIRST_POPUP&amp;HEIGHT=450&amp;WIDTH=450&amp;START_MAXIMIZED=FALSE&amp;VAR:CALENDAR=US&amp;VAR:SYMBOL=98433210&amp;VAR:INDEX=0"}</definedName>
    <definedName name="_7771__FDSAUDITLINK__">{"fdsup://directions/FAT Viewer?action=UPDATE&amp;creator=factset&amp;DYN_ARGS=TRUE&amp;DOC_NAME=FAT:FQL_AUDITING_CLIENT_TEMPLATE.FAT&amp;display_string=Audit&amp;VAR:KEY=LUJQLSLKJC&amp;VAR:QUERY=KFBfUFJJQ0UoNDAyMDApLShGRl9DQVNIX1NUKFFUUiw0MDIwMCkvUF9DT01fU0hTX09VVCg0MDIwMCkpKS9GR","V9FU1RJTUFURSgnRVBTJywnTUVBTicsJ0FOTlVBTF9ST0xMJywnKzEnLDQwMjAwLCwsJycp&amp;WINDOW=FIRST_POPUP&amp;HEIGHT=450&amp;WIDTH=450&amp;START_MAXIMIZED=FALSE&amp;VAR:CALENDAR=US&amp;VAR:SYMBOL=98433210&amp;VAR:INDEX=0"}</definedName>
    <definedName name="_7772__FDSAUDITLINK__">{"fdsup://directions/FAT Viewer?action=UPDATE&amp;creator=factset&amp;DYN_ARGS=TRUE&amp;DOC_NAME=FAT:FQL_AUDITING_CLIENT_TEMPLATE.FAT&amp;display_string=Audit&amp;VAR:KEY=ZMRSXOPYFU&amp;VAR:QUERY=KFBfUFJJQ0UoNDAxOTkpLShGRl9DQVNIX1NUKFFUUiw0MDE5OSkvUF9DT01fU0hTX09VVCg0MDE5OSkpKS9GR","V9FU1RJTUFURSgnRVBTJywnTUVBTicsJ0FOTlVBTF9ST0xMJywnKzEnLDQwMTk5LCwsJycp&amp;WINDOW=FIRST_POPUP&amp;HEIGHT=450&amp;WIDTH=450&amp;START_MAXIMIZED=FALSE&amp;VAR:CALENDAR=US&amp;VAR:SYMBOL=98433210&amp;VAR:INDEX=0"}</definedName>
    <definedName name="_7773__FDSAUDITLINK__">{"fdsup://directions/FAT Viewer?action=UPDATE&amp;creator=factset&amp;DYN_ARGS=TRUE&amp;DOC_NAME=FAT:FQL_AUDITING_CLIENT_TEMPLATE.FAT&amp;display_string=Audit&amp;VAR:KEY=ZMRSXOPYFU&amp;VAR:QUERY=KFBfUFJJQ0UoNDAxOTkpLShGRl9DQVNIX1NUKFFUUiw0MDE5OSkvUF9DT01fU0hTX09VVCg0MDE5OSkpKS9GR","V9FU1RJTUFURSgnRVBTJywnTUVBTicsJ0FOTlVBTF9ST0xMJywnKzEnLDQwMTk5LCwsJycp&amp;WINDOW=FIRST_POPUP&amp;HEIGHT=450&amp;WIDTH=450&amp;START_MAXIMIZED=FALSE&amp;VAR:CALENDAR=US&amp;VAR:SYMBOL=98433210&amp;VAR:INDEX=0"}</definedName>
    <definedName name="_7774__FDSAUDITLINK__">{"fdsup://directions/FAT Viewer?action=UPDATE&amp;creator=factset&amp;DYN_ARGS=TRUE&amp;DOC_NAME=FAT:FQL_AUDITING_CLIENT_TEMPLATE.FAT&amp;display_string=Audit&amp;VAR:KEY=NQXQRURYHA&amp;VAR:QUERY=KFBfUFJJQ0UoNDAxOTgpLShGRl9DQVNIX1NUKFFUUiw0MDE5OCkvUF9DT01fU0hTX09VVCg0MDE5OCkpKS9GR","V9FU1RJTUFURSgnRVBTJywnTUVBTicsJ0FOTlVBTF9ST0xMJywnKzEnLDQwMTk4LCwsJycp&amp;WINDOW=FIRST_POPUP&amp;HEIGHT=450&amp;WIDTH=450&amp;START_MAXIMIZED=FALSE&amp;VAR:CALENDAR=US&amp;VAR:SYMBOL=98433210&amp;VAR:INDEX=0"}</definedName>
    <definedName name="_7775__FDSAUDITLINK__">{"fdsup://directions/FAT Viewer?action=UPDATE&amp;creator=factset&amp;DYN_ARGS=TRUE&amp;DOC_NAME=FAT:FQL_AUDITING_CLIENT_TEMPLATE.FAT&amp;display_string=Audit&amp;VAR:KEY=NQXQRURYHA&amp;VAR:QUERY=KFBfUFJJQ0UoNDAxOTgpLShGRl9DQVNIX1NUKFFUUiw0MDE5OCkvUF9DT01fU0hTX09VVCg0MDE5OCkpKS9GR","V9FU1RJTUFURSgnRVBTJywnTUVBTicsJ0FOTlVBTF9ST0xMJywnKzEnLDQwMTk4LCwsJycp&amp;WINDOW=FIRST_POPUP&amp;HEIGHT=450&amp;WIDTH=450&amp;START_MAXIMIZED=FALSE&amp;VAR:CALENDAR=US&amp;VAR:SYMBOL=98433210&amp;VAR:INDEX=0"}</definedName>
    <definedName name="_7776__FDSAUDITLINK__">{"fdsup://directions/FAT Viewer?action=UPDATE&amp;creator=factset&amp;DYN_ARGS=TRUE&amp;DOC_NAME=FAT:FQL_AUDITING_CLIENT_TEMPLATE.FAT&amp;display_string=Audit&amp;VAR:KEY=LQLELWXSFU&amp;VAR:QUERY=KFBfUFJJQ0UoNDAxOTcpLShGRl9DQVNIX1NUKFFUUiw0MDE5NykvUF9DT01fU0hTX09VVCg0MDE5NykpKS9GR","V9FU1RJTUFURSgnRVBTJywnTUVBTicsJ0FOTlVBTF9ST0xMJywnKzEnLDQwMTk3LCwsJycp&amp;WINDOW=FIRST_POPUP&amp;HEIGHT=450&amp;WIDTH=450&amp;START_MAXIMIZED=FALSE&amp;VAR:CALENDAR=US&amp;VAR:SYMBOL=98433210&amp;VAR:INDEX=0"}</definedName>
    <definedName name="_7777__FDSAUDITLINK__">{"fdsup://directions/FAT Viewer?action=UPDATE&amp;creator=factset&amp;DYN_ARGS=TRUE&amp;DOC_NAME=FAT:FQL_AUDITING_CLIENT_TEMPLATE.FAT&amp;display_string=Audit&amp;VAR:KEY=LQLELWXSFU&amp;VAR:QUERY=KFBfUFJJQ0UoNDAxOTcpLShGRl9DQVNIX1NUKFFUUiw0MDE5NykvUF9DT01fU0hTX09VVCg0MDE5NykpKS9GR","V9FU1RJTUFURSgnRVBTJywnTUVBTicsJ0FOTlVBTF9ST0xMJywnKzEnLDQwMTk3LCwsJycp&amp;WINDOW=FIRST_POPUP&amp;HEIGHT=450&amp;WIDTH=450&amp;START_MAXIMIZED=FALSE&amp;VAR:CALENDAR=US&amp;VAR:SYMBOL=98433210&amp;VAR:INDEX=0"}</definedName>
    <definedName name="_7778__FDSAUDITLINK__">{"fdsup://directions/FAT Viewer?action=UPDATE&amp;creator=factset&amp;DYN_ARGS=TRUE&amp;DOC_NAME=FAT:FQL_AUDITING_CLIENT_TEMPLATE.FAT&amp;display_string=Audit&amp;VAR:KEY=VSNGFQFQXQ&amp;VAR:QUERY=KFBfUFJJQ0UoNDAxOTYpLShGRl9DQVNIX1NUKFFUUiw0MDE5NikvUF9DT01fU0hTX09VVCg0MDE5NikpKS9GR","V9FU1RJTUFURSgnRVBTJywnTUVBTicsJ0FOTlVBTF9ST0xMJywnKzEnLDQwMTk2LCwsJycp&amp;WINDOW=FIRST_POPUP&amp;HEIGHT=450&amp;WIDTH=450&amp;START_MAXIMIZED=FALSE&amp;VAR:CALENDAR=US&amp;VAR:SYMBOL=98433210&amp;VAR:INDEX=0"}</definedName>
    <definedName name="_7779__FDSAUDITLINK__">{"fdsup://directions/FAT Viewer?action=UPDATE&amp;creator=factset&amp;DYN_ARGS=TRUE&amp;DOC_NAME=FAT:FQL_AUDITING_CLIENT_TEMPLATE.FAT&amp;display_string=Audit&amp;VAR:KEY=VSNGFQFQXQ&amp;VAR:QUERY=KFBfUFJJQ0UoNDAxOTYpLShGRl9DQVNIX1NUKFFUUiw0MDE5NikvUF9DT01fU0hTX09VVCg0MDE5NikpKS9GR","V9FU1RJTUFURSgnRVBTJywnTUVBTicsJ0FOTlVBTF9ST0xMJywnKzEnLDQwMTk2LCwsJycp&amp;WINDOW=FIRST_POPUP&amp;HEIGHT=450&amp;WIDTH=450&amp;START_MAXIMIZED=FALSE&amp;VAR:CALENDAR=US&amp;VAR:SYMBOL=98433210&amp;VAR:INDEX=0"}</definedName>
    <definedName name="_77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1012"}</definedName>
    <definedName name="_7780__FDSAUDITLINK__">{"fdsup://directions/FAT Viewer?action=UPDATE&amp;creator=factset&amp;DYN_ARGS=TRUE&amp;DOC_NAME=FAT:FQL_AUDITING_CLIENT_TEMPLATE.FAT&amp;display_string=Audit&amp;VAR:KEY=JUBSDYDKPW&amp;VAR:QUERY=KFBfUFJJQ0UoNDAxOTUpLShGRl9DQVNIX1NUKFFUUiw0MDE5NSkvUF9DT01fU0hTX09VVCg0MDE5NSkpKS9GR","V9FU1RJTUFURSgnRVBTJywnTUVBTicsJ0FOTlVBTF9ST0xMJywnKzEnLDQwMTk1LCwsJycp&amp;WINDOW=FIRST_POPUP&amp;HEIGHT=450&amp;WIDTH=450&amp;START_MAXIMIZED=FALSE&amp;VAR:CALENDAR=US&amp;VAR:SYMBOL=98433210&amp;VAR:INDEX=0"}</definedName>
    <definedName name="_7781__FDSAUDITLINK__">{"fdsup://directions/FAT Viewer?action=UPDATE&amp;creator=factset&amp;DYN_ARGS=TRUE&amp;DOC_NAME=FAT:FQL_AUDITING_CLIENT_TEMPLATE.FAT&amp;display_string=Audit&amp;VAR:KEY=JUBSDYDKPW&amp;VAR:QUERY=KFBfUFJJQ0UoNDAxOTUpLShGRl9DQVNIX1NUKFFUUiw0MDE5NSkvUF9DT01fU0hTX09VVCg0MDE5NSkpKS9GR","V9FU1RJTUFURSgnRVBTJywnTUVBTicsJ0FOTlVBTF9ST0xMJywnKzEnLDQwMTk1LCwsJycp&amp;WINDOW=FIRST_POPUP&amp;HEIGHT=450&amp;WIDTH=450&amp;START_MAXIMIZED=FALSE&amp;VAR:CALENDAR=US&amp;VAR:SYMBOL=98433210&amp;VAR:INDEX=0"}</definedName>
    <definedName name="_7782__FDSAUDITLINK__">{"fdsup://directions/FAT Viewer?action=UPDATE&amp;creator=factset&amp;DYN_ARGS=TRUE&amp;DOC_NAME=FAT:FQL_AUDITING_CLIENT_TEMPLATE.FAT&amp;display_string=Audit&amp;VAR:KEY=VMREZQZQBA&amp;VAR:QUERY=KFBfUFJJQ0UoNDAxOTQpLShGRl9DQVNIX1NUKFFUUiw0MDE5NCkvUF9DT01fU0hTX09VVCg0MDE5NCkpKS9GR","V9FU1RJTUFURSgnRVBTJywnTUVBTicsJ0FOTlVBTF9ST0xMJywnKzEnLDQwMTk0LCwsJycp&amp;WINDOW=FIRST_POPUP&amp;HEIGHT=450&amp;WIDTH=450&amp;START_MAXIMIZED=FALSE&amp;VAR:CALENDAR=US&amp;VAR:SYMBOL=98433210&amp;VAR:INDEX=0"}</definedName>
    <definedName name="_7783__FDSAUDITLINK__">{"fdsup://directions/FAT Viewer?action=UPDATE&amp;creator=factset&amp;DYN_ARGS=TRUE&amp;DOC_NAME=FAT:FQL_AUDITING_CLIENT_TEMPLATE.FAT&amp;display_string=Audit&amp;VAR:KEY=VMREZQZQBA&amp;VAR:QUERY=KFBfUFJJQ0UoNDAxOTQpLShGRl9DQVNIX1NUKFFUUiw0MDE5NCkvUF9DT01fU0hTX09VVCg0MDE5NCkpKS9GR","V9FU1RJTUFURSgnRVBTJywnTUVBTicsJ0FOTlVBTF9ST0xMJywnKzEnLDQwMTk0LCwsJycp&amp;WINDOW=FIRST_POPUP&amp;HEIGHT=450&amp;WIDTH=450&amp;START_MAXIMIZED=FALSE&amp;VAR:CALENDAR=US&amp;VAR:SYMBOL=98433210&amp;VAR:INDEX=0"}</definedName>
    <definedName name="_7784__FDSAUDITLINK__">{"fdsup://directions/FAT Viewer?action=UPDATE&amp;creator=factset&amp;DYN_ARGS=TRUE&amp;DOC_NAME=FAT:FQL_AUDITING_CLIENT_TEMPLATE.FAT&amp;display_string=Audit&amp;VAR:KEY=DEPIPMLCTQ&amp;VAR:QUERY=KFBfUFJJQ0UoNDAxOTMpLShGRl9DQVNIX1NUKFFUUiw0MDE5MykvUF9DT01fU0hTX09VVCg0MDE5MykpKS9GR","V9FU1RJTUFURSgnRVBTJywnTUVBTicsJ0FOTlVBTF9ST0xMJywnKzEnLDQwMTkzLCwsJycp&amp;WINDOW=FIRST_POPUP&amp;HEIGHT=450&amp;WIDTH=450&amp;START_MAXIMIZED=FALSE&amp;VAR:CALENDAR=US&amp;VAR:SYMBOL=98433210&amp;VAR:INDEX=0"}</definedName>
    <definedName name="_7785__FDSAUDITLINK__">{"fdsup://directions/FAT Viewer?action=UPDATE&amp;creator=factset&amp;DYN_ARGS=TRUE&amp;DOC_NAME=FAT:FQL_AUDITING_CLIENT_TEMPLATE.FAT&amp;display_string=Audit&amp;VAR:KEY=DEPIPMLCTQ&amp;VAR:QUERY=KFBfUFJJQ0UoNDAxOTMpLShGRl9DQVNIX1NUKFFUUiw0MDE5MykvUF9DT01fU0hTX09VVCg0MDE5MykpKS9GR","V9FU1RJTUFURSgnRVBTJywnTUVBTicsJ0FOTlVBTF9ST0xMJywnKzEnLDQwMTkzLCwsJycp&amp;WINDOW=FIRST_POPUP&amp;HEIGHT=450&amp;WIDTH=450&amp;START_MAXIMIZED=FALSE&amp;VAR:CALENDAR=US&amp;VAR:SYMBOL=98433210&amp;VAR:INDEX=0"}</definedName>
    <definedName name="_7786__FDSAUDITLINK__">{"fdsup://directions/FAT Viewer?action=UPDATE&amp;creator=factset&amp;DYN_ARGS=TRUE&amp;DOC_NAME=FAT:FQL_AUDITING_CLIENT_TEMPLATE.FAT&amp;display_string=Audit&amp;VAR:KEY=DCXEHAHEZQ&amp;VAR:QUERY=KFBfUFJJQ0UoNDAxOTIpLShGRl9DQVNIX1NUKFFUUiw0MDE5MikvUF9DT01fU0hTX09VVCg0MDE5MikpKS9GR","V9FU1RJTUFURSgnRVBTJywnTUVBTicsJ0FOTlVBTF9ST0xMJywnKzEnLDQwMTkyLCwsJycp&amp;WINDOW=FIRST_POPUP&amp;HEIGHT=450&amp;WIDTH=450&amp;START_MAXIMIZED=FALSE&amp;VAR:CALENDAR=US&amp;VAR:SYMBOL=98433210&amp;VAR:INDEX=0"}</definedName>
    <definedName name="_7787__FDSAUDITLINK__">{"fdsup://directions/FAT Viewer?action=UPDATE&amp;creator=factset&amp;DYN_ARGS=TRUE&amp;DOC_NAME=FAT:FQL_AUDITING_CLIENT_TEMPLATE.FAT&amp;display_string=Audit&amp;VAR:KEY=DCXEHAHEZQ&amp;VAR:QUERY=KFBfUFJJQ0UoNDAxOTIpLShGRl9DQVNIX1NUKFFUUiw0MDE5MikvUF9DT01fU0hTX09VVCg0MDE5MikpKS9GR","V9FU1RJTUFURSgnRVBTJywnTUVBTicsJ0FOTlVBTF9ST0xMJywnKzEnLDQwMTkyLCwsJycp&amp;WINDOW=FIRST_POPUP&amp;HEIGHT=450&amp;WIDTH=450&amp;START_MAXIMIZED=FALSE&amp;VAR:CALENDAR=US&amp;VAR:SYMBOL=98433210&amp;VAR:INDEX=0"}</definedName>
    <definedName name="_7788__FDSAUDITLINK__">{"fdsup://directions/FAT Viewer?action=UPDATE&amp;creator=factset&amp;DYN_ARGS=TRUE&amp;DOC_NAME=FAT:FQL_AUDITING_CLIENT_TEMPLATE.FAT&amp;display_string=Audit&amp;VAR:KEY=LKDMBOZCHK&amp;VAR:QUERY=KFBfUFJJQ0UoNDAxOTEpLShGRl9DQVNIX1NUKFFUUiw0MDE5MSkvUF9DT01fU0hTX09VVCg0MDE5MSkpKS9GR","V9FU1RJTUFURSgnRVBTJywnTUVBTicsJ0FOTlVBTF9ST0xMJywnKzEnLDQwMTkxLCwsJycp&amp;WINDOW=FIRST_POPUP&amp;HEIGHT=450&amp;WIDTH=450&amp;START_MAXIMIZED=FALSE&amp;VAR:CALENDAR=US&amp;VAR:SYMBOL=98433210&amp;VAR:INDEX=0"}</definedName>
    <definedName name="_7789__FDSAUDITLINK__">{"fdsup://directions/FAT Viewer?action=UPDATE&amp;creator=factset&amp;DYN_ARGS=TRUE&amp;DOC_NAME=FAT:FQL_AUDITING_CLIENT_TEMPLATE.FAT&amp;display_string=Audit&amp;VAR:KEY=LKDMBOZCHK&amp;VAR:QUERY=KFBfUFJJQ0UoNDAxOTEpLShGRl9DQVNIX1NUKFFUUiw0MDE5MSkvUF9DT01fU0hTX09VVCg0MDE5MSkpKS9GR","V9FU1RJTUFURSgnRVBTJywnTUVBTicsJ0FOTlVBTF9ST0xMJywnKzEnLDQwMTkxLCwsJycp&amp;WINDOW=FIRST_POPUP&amp;HEIGHT=450&amp;WIDTH=450&amp;START_MAXIMIZED=FALSE&amp;VAR:CALENDAR=US&amp;VAR:SYMBOL=98433210&amp;VAR:INDEX=0"}</definedName>
    <definedName name="_77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1011"}</definedName>
    <definedName name="_7790__FDSAUDITLINK__">{"fdsup://directions/FAT Viewer?action=UPDATE&amp;creator=factset&amp;DYN_ARGS=TRUE&amp;DOC_NAME=FAT:FQL_AUDITING_CLIENT_TEMPLATE.FAT&amp;display_string=Audit&amp;VAR:KEY=FWHOVCNMRU&amp;VAR:QUERY=KFBfUFJJQ0UoNDAxOTApLShGRl9DQVNIX1NUKFFUUiw0MDE5MCkvUF9DT01fU0hTX09VVCg0MDE5MCkpKS9GR","V9FU1RJTUFURSgnRVBTJywnTUVBTicsJ0FOTlVBTF9ST0xMJywnKzEnLDQwMTkwLCwsJycp&amp;WINDOW=FIRST_POPUP&amp;HEIGHT=450&amp;WIDTH=450&amp;START_MAXIMIZED=FALSE&amp;VAR:CALENDAR=US&amp;VAR:SYMBOL=98433210&amp;VAR:INDEX=0"}</definedName>
    <definedName name="_7791__FDSAUDITLINK__">{"fdsup://directions/FAT Viewer?action=UPDATE&amp;creator=factset&amp;DYN_ARGS=TRUE&amp;DOC_NAME=FAT:FQL_AUDITING_CLIENT_TEMPLATE.FAT&amp;display_string=Audit&amp;VAR:KEY=FWHOVCNMRU&amp;VAR:QUERY=KFBfUFJJQ0UoNDAxOTApLShGRl9DQVNIX1NUKFFUUiw0MDE5MCkvUF9DT01fU0hTX09VVCg0MDE5MCkpKS9GR","V9FU1RJTUFURSgnRVBTJywnTUVBTicsJ0FOTlVBTF9ST0xMJywnKzEnLDQwMTkwLCwsJycp&amp;WINDOW=FIRST_POPUP&amp;HEIGHT=450&amp;WIDTH=450&amp;START_MAXIMIZED=FALSE&amp;VAR:CALENDAR=US&amp;VAR:SYMBOL=98433210&amp;VAR:INDEX=0"}</definedName>
    <definedName name="_7792__FDSAUDITLINK__">{"fdsup://directions/FAT Viewer?action=UPDATE&amp;creator=factset&amp;DYN_ARGS=TRUE&amp;DOC_NAME=FAT:FQL_AUDITING_CLIENT_TEMPLATE.FAT&amp;display_string=Audit&amp;VAR:KEY=NCBOHWZQBO&amp;VAR:QUERY=KFBfUFJJQ0UoNDAxODkpLShGRl9DQVNIX1NUKFFUUiw0MDE4OSkvUF9DT01fU0hTX09VVCg0MDE4OSkpKS9GR","V9FU1RJTUFURSgnRVBTJywnTUVBTicsJ0FOTlVBTF9ST0xMJywnKzEnLDQwMTg5LCwsJycp&amp;WINDOW=FIRST_POPUP&amp;HEIGHT=450&amp;WIDTH=450&amp;START_MAXIMIZED=FALSE&amp;VAR:CALENDAR=US&amp;VAR:SYMBOL=98433210&amp;VAR:INDEX=0"}</definedName>
    <definedName name="_7793__FDSAUDITLINK__">{"fdsup://directions/FAT Viewer?action=UPDATE&amp;creator=factset&amp;DYN_ARGS=TRUE&amp;DOC_NAME=FAT:FQL_AUDITING_CLIENT_TEMPLATE.FAT&amp;display_string=Audit&amp;VAR:KEY=NCBOHWZQBO&amp;VAR:QUERY=KFBfUFJJQ0UoNDAxODkpLShGRl9DQVNIX1NUKFFUUiw0MDE4OSkvUF9DT01fU0hTX09VVCg0MDE4OSkpKS9GR","V9FU1RJTUFURSgnRVBTJywnTUVBTicsJ0FOTlVBTF9ST0xMJywnKzEnLDQwMTg5LCwsJycp&amp;WINDOW=FIRST_POPUP&amp;HEIGHT=450&amp;WIDTH=450&amp;START_MAXIMIZED=FALSE&amp;VAR:CALENDAR=US&amp;VAR:SYMBOL=98433210&amp;VAR:INDEX=0"}</definedName>
    <definedName name="_7794__FDSAUDITLINK__">{"fdsup://directions/FAT Viewer?action=UPDATE&amp;creator=factset&amp;DYN_ARGS=TRUE&amp;DOC_NAME=FAT:FQL_AUDITING_CLIENT_TEMPLATE.FAT&amp;display_string=Audit&amp;VAR:KEY=JAJMXYDMXG&amp;VAR:QUERY=KFBfUFJJQ0UoNDAxODgpLShGRl9DQVNIX1NUKFFUUiw0MDE4OCkvUF9DT01fU0hTX09VVCg0MDE4OCkpKS9GR","V9FU1RJTUFURSgnRVBTJywnTUVBTicsJ0FOTlVBTF9ST0xMJywnKzEnLDQwMTg4LCwsJycp&amp;WINDOW=FIRST_POPUP&amp;HEIGHT=450&amp;WIDTH=450&amp;START_MAXIMIZED=FALSE&amp;VAR:CALENDAR=US&amp;VAR:SYMBOL=98433210&amp;VAR:INDEX=0"}</definedName>
    <definedName name="_7795__FDSAUDITLINK__">{"fdsup://directions/FAT Viewer?action=UPDATE&amp;creator=factset&amp;DYN_ARGS=TRUE&amp;DOC_NAME=FAT:FQL_AUDITING_CLIENT_TEMPLATE.FAT&amp;display_string=Audit&amp;VAR:KEY=JAJMXYDMXG&amp;VAR:QUERY=KFBfUFJJQ0UoNDAxODgpLShGRl9DQVNIX1NUKFFUUiw0MDE4OCkvUF9DT01fU0hTX09VVCg0MDE4OCkpKS9GR","V9FU1RJTUFURSgnRVBTJywnTUVBTicsJ0FOTlVBTF9ST0xMJywnKzEnLDQwMTg4LCwsJycp&amp;WINDOW=FIRST_POPUP&amp;HEIGHT=450&amp;WIDTH=450&amp;START_MAXIMIZED=FALSE&amp;VAR:CALENDAR=US&amp;VAR:SYMBOL=98433210&amp;VAR:INDEX=0"}</definedName>
    <definedName name="_7796__FDSAUDITLINK__">{"fdsup://directions/FAT Viewer?action=UPDATE&amp;creator=factset&amp;DYN_ARGS=TRUE&amp;DOC_NAME=FAT:FQL_AUDITING_CLIENT_TEMPLATE.FAT&amp;display_string=Audit&amp;VAR:KEY=FKZKJSLWHA&amp;VAR:QUERY=KFBfUFJJQ0UoNDAxODcpLShGRl9DQVNIX1NUKFFUUiw0MDE4NykvUF9DT01fU0hTX09VVCg0MDE4NykpKS9GR","V9FU1RJTUFURSgnRVBTJywnTUVBTicsJ0FOTlVBTF9ST0xMJywnKzEnLDQwMTg3LCwsJycp&amp;WINDOW=FIRST_POPUP&amp;HEIGHT=450&amp;WIDTH=450&amp;START_MAXIMIZED=FALSE&amp;VAR:CALENDAR=US&amp;VAR:SYMBOL=98433210&amp;VAR:INDEX=0"}</definedName>
    <definedName name="_7797__FDSAUDITLINK__">{"fdsup://directions/FAT Viewer?action=UPDATE&amp;creator=factset&amp;DYN_ARGS=TRUE&amp;DOC_NAME=FAT:FQL_AUDITING_CLIENT_TEMPLATE.FAT&amp;display_string=Audit&amp;VAR:KEY=FKZKJSLWHA&amp;VAR:QUERY=KFBfUFJJQ0UoNDAxODcpLShGRl9DQVNIX1NUKFFUUiw0MDE4NykvUF9DT01fU0hTX09VVCg0MDE4NykpKS9GR","V9FU1RJTUFURSgnRVBTJywnTUVBTicsJ0FOTlVBTF9ST0xMJywnKzEnLDQwMTg3LCwsJycp&amp;WINDOW=FIRST_POPUP&amp;HEIGHT=450&amp;WIDTH=450&amp;START_MAXIMIZED=FALSE&amp;VAR:CALENDAR=US&amp;VAR:SYMBOL=98433210&amp;VAR:INDEX=0"}</definedName>
    <definedName name="_7798__FDSAUDITLINK__">{"fdsup://directions/FAT Viewer?action=UPDATE&amp;creator=factset&amp;DYN_ARGS=TRUE&amp;DOC_NAME=FAT:FQL_AUDITING_CLIENT_TEMPLATE.FAT&amp;display_string=Audit&amp;VAR:KEY=RIPEBOZWVI&amp;VAR:QUERY=KFBfUFJJQ0UoNDAxODYpLShGRl9DQVNIX1NUKFFUUiw0MDE4NikvUF9DT01fU0hTX09VVCg0MDE4NikpKS9GR","V9FU1RJTUFURSgnRVBTJywnTUVBTicsJ0FOTlVBTF9ST0xMJywnKzEnLDQwMTg2LCwsJycp&amp;WINDOW=FIRST_POPUP&amp;HEIGHT=450&amp;WIDTH=450&amp;START_MAXIMIZED=FALSE&amp;VAR:CALENDAR=US&amp;VAR:SYMBOL=98433210&amp;VAR:INDEX=0"}</definedName>
    <definedName name="_7799__FDSAUDITLINK__">{"fdsup://directions/FAT Viewer?action=UPDATE&amp;creator=factset&amp;DYN_ARGS=TRUE&amp;DOC_NAME=FAT:FQL_AUDITING_CLIENT_TEMPLATE.FAT&amp;display_string=Audit&amp;VAR:KEY=RIPEBOZWVI&amp;VAR:QUERY=KFBfUFJJQ0UoNDAxODYpLShGRl9DQVNIX1NUKFFUUiw0MDE4NikvUF9DT01fU0hTX09VVCg0MDE4NikpKS9GR","V9FU1RJTUFURSgnRVBTJywnTUVBTicsJ0FOTlVBTF9ST0xMJywnKzEnLDQwMTg2LCwsJycp&amp;WINDOW=FIRST_POPUP&amp;HEIGHT=450&amp;WIDTH=450&amp;START_MAXIMIZED=FALSE&amp;VAR:CALENDAR=US&amp;VAR:SYMBOL=98433210&amp;VAR:INDEX=0"}</definedName>
    <definedName name="_7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16.742739&amp;VAR:V0=18.598545&amp;VAR:V1=16.742739&amp;VAR:Y0=2004&amp;VAR:Y1=2005&amp;VAR:P=1211.916300&amp;VAR:DATE=20041231&amp;VAR:THRESH=-|-|","-|-|-|-|-"}</definedName>
    <definedName name="_78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1010"}</definedName>
    <definedName name="_7800__FDSAUDITLINK__">{"fdsup://directions/FAT Viewer?action=UPDATE&amp;creator=factset&amp;DYN_ARGS=TRUE&amp;DOC_NAME=FAT:FQL_AUDITING_CLIENT_TEMPLATE.FAT&amp;display_string=Audit&amp;VAR:KEY=ZGBUNQDQFK&amp;VAR:QUERY=KFBfUFJJQ0UoNDAxODUpLShGRl9DQVNIX1NUKFFUUiw0MDE4NSkvUF9DT01fU0hTX09VVCg0MDE4NSkpKS9GR","V9FU1RJTUFURSgnRVBTJywnTUVBTicsJ0FOTlVBTF9ST0xMJywnKzEnLDQwMTg1LCwsJycp&amp;WINDOW=FIRST_POPUP&amp;HEIGHT=450&amp;WIDTH=450&amp;START_MAXIMIZED=FALSE&amp;VAR:CALENDAR=US&amp;VAR:SYMBOL=98433210&amp;VAR:INDEX=0"}</definedName>
    <definedName name="_7801__FDSAUDITLINK__">{"fdsup://directions/FAT Viewer?action=UPDATE&amp;creator=factset&amp;DYN_ARGS=TRUE&amp;DOC_NAME=FAT:FQL_AUDITING_CLIENT_TEMPLATE.FAT&amp;display_string=Audit&amp;VAR:KEY=ZGBUNQDQFK&amp;VAR:QUERY=KFBfUFJJQ0UoNDAxODUpLShGRl9DQVNIX1NUKFFUUiw0MDE4NSkvUF9DT01fU0hTX09VVCg0MDE4NSkpKS9GR","V9FU1RJTUFURSgnRVBTJywnTUVBTicsJ0FOTlVBTF9ST0xMJywnKzEnLDQwMTg1LCwsJycp&amp;WINDOW=FIRST_POPUP&amp;HEIGHT=450&amp;WIDTH=450&amp;START_MAXIMIZED=FALSE&amp;VAR:CALENDAR=US&amp;VAR:SYMBOL=98433210&amp;VAR:INDEX=0"}</definedName>
    <definedName name="_7802__FDSAUDITLINK__">{"fdsup://directions/FAT Viewer?action=UPDATE&amp;creator=factset&amp;DYN_ARGS=TRUE&amp;DOC_NAME=FAT:FQL_AUDITING_CLIENT_TEMPLATE.FAT&amp;display_string=Audit&amp;VAR:KEY=RAXQFSHGRU&amp;VAR:QUERY=KFBfUFJJQ0UoNDAxODQpLShGRl9DQVNIX1NUKFFUUiw0MDE4NCkvUF9DT01fU0hTX09VVCg0MDE4NCkpKS9GR","V9FU1RJTUFURSgnRVBTJywnTUVBTicsJ0FOTlVBTF9ST0xMJywnKzEnLDQwMTg0LCwsJycp&amp;WINDOW=FIRST_POPUP&amp;HEIGHT=450&amp;WIDTH=450&amp;START_MAXIMIZED=FALSE&amp;VAR:CALENDAR=US&amp;VAR:SYMBOL=98433210&amp;VAR:INDEX=0"}</definedName>
    <definedName name="_7803__FDSAUDITLINK__">{"fdsup://directions/FAT Viewer?action=UPDATE&amp;creator=factset&amp;DYN_ARGS=TRUE&amp;DOC_NAME=FAT:FQL_AUDITING_CLIENT_TEMPLATE.FAT&amp;display_string=Audit&amp;VAR:KEY=RAXQFSHGRU&amp;VAR:QUERY=KFBfUFJJQ0UoNDAxODQpLShGRl9DQVNIX1NUKFFUUiw0MDE4NCkvUF9DT01fU0hTX09VVCg0MDE4NCkpKS9GR","V9FU1RJTUFURSgnRVBTJywnTUVBTicsJ0FOTlVBTF9ST0xMJywnKzEnLDQwMTg0LCwsJycp&amp;WINDOW=FIRST_POPUP&amp;HEIGHT=450&amp;WIDTH=450&amp;START_MAXIMIZED=FALSE&amp;VAR:CALENDAR=US&amp;VAR:SYMBOL=98433210&amp;VAR:INDEX=0"}</definedName>
    <definedName name="_7804__FDSAUDITLINK__">{"fdsup://directions/FAT Viewer?action=UPDATE&amp;creator=factset&amp;DYN_ARGS=TRUE&amp;DOC_NAME=FAT:FQL_AUDITING_CLIENT_TEMPLATE.FAT&amp;display_string=Audit&amp;VAR:KEY=ZKBQBYBOVK&amp;VAR:QUERY=KFBfUFJJQ0UoNDAxODMpLShGRl9DQVNIX1NUKFFUUiw0MDE4MykvUF9DT01fU0hTX09VVCg0MDE4MykpKS9GR","V9FU1RJTUFURSgnRVBTJywnTUVBTicsJ0FOTlVBTF9ST0xMJywnKzEnLDQwMTgzLCwsJycp&amp;WINDOW=FIRST_POPUP&amp;HEIGHT=450&amp;WIDTH=450&amp;START_MAXIMIZED=FALSE&amp;VAR:CALENDAR=US&amp;VAR:SYMBOL=98433210&amp;VAR:INDEX=0"}</definedName>
    <definedName name="_7805__FDSAUDITLINK__">{"fdsup://directions/FAT Viewer?action=UPDATE&amp;creator=factset&amp;DYN_ARGS=TRUE&amp;DOC_NAME=FAT:FQL_AUDITING_CLIENT_TEMPLATE.FAT&amp;display_string=Audit&amp;VAR:KEY=ZKBQBYBOVK&amp;VAR:QUERY=KFBfUFJJQ0UoNDAxODMpLShGRl9DQVNIX1NUKFFUUiw0MDE4MykvUF9DT01fU0hTX09VVCg0MDE4MykpKS9GR","V9FU1RJTUFURSgnRVBTJywnTUVBTicsJ0FOTlVBTF9ST0xMJywnKzEnLDQwMTgzLCwsJycp&amp;WINDOW=FIRST_POPUP&amp;HEIGHT=450&amp;WIDTH=450&amp;START_MAXIMIZED=FALSE&amp;VAR:CALENDAR=US&amp;VAR:SYMBOL=98433210&amp;VAR:INDEX=0"}</definedName>
    <definedName name="_7806__FDSAUDITLINK__">{"fdsup://directions/FAT Viewer?action=UPDATE&amp;creator=factset&amp;DYN_ARGS=TRUE&amp;DOC_NAME=FAT:FQL_AUDITING_CLIENT_TEMPLATE.FAT&amp;display_string=Audit&amp;VAR:KEY=JCFCLSZCDE&amp;VAR:QUERY=KFBfUFJJQ0UoNDAxODIpLShGRl9DQVNIX1NUKFFUUiw0MDE4MikvUF9DT01fU0hTX09VVCg0MDE4MikpKS9GR","V9FU1RJTUFURSgnRVBTJywnTUVBTicsJ0FOTlVBTF9ST0xMJywnKzEnLDQwMTgyLCwsJycp&amp;WINDOW=FIRST_POPUP&amp;HEIGHT=450&amp;WIDTH=450&amp;START_MAXIMIZED=FALSE&amp;VAR:CALENDAR=US&amp;VAR:SYMBOL=98433210&amp;VAR:INDEX=0"}</definedName>
    <definedName name="_7807__FDSAUDITLINK__">{"fdsup://directions/FAT Viewer?action=UPDATE&amp;creator=factset&amp;DYN_ARGS=TRUE&amp;DOC_NAME=FAT:FQL_AUDITING_CLIENT_TEMPLATE.FAT&amp;display_string=Audit&amp;VAR:KEY=JCFCLSZCDE&amp;VAR:QUERY=KFBfUFJJQ0UoNDAxODIpLShGRl9DQVNIX1NUKFFUUiw0MDE4MikvUF9DT01fU0hTX09VVCg0MDE4MikpKS9GR","V9FU1RJTUFURSgnRVBTJywnTUVBTicsJ0FOTlVBTF9ST0xMJywnKzEnLDQwMTgyLCwsJycp&amp;WINDOW=FIRST_POPUP&amp;HEIGHT=450&amp;WIDTH=450&amp;START_MAXIMIZED=FALSE&amp;VAR:CALENDAR=US&amp;VAR:SYMBOL=98433210&amp;VAR:INDEX=0"}</definedName>
    <definedName name="_7808__FDSAUDITLINK__">{"fdsup://directions/FAT Viewer?action=UPDATE&amp;creator=factset&amp;DYN_ARGS=TRUE&amp;DOC_NAME=FAT:FQL_AUDITING_CLIENT_TEMPLATE.FAT&amp;display_string=Audit&amp;VAR:KEY=BUZCLYFWHE&amp;VAR:QUERY=KFBfUFJJQ0UoNDAxODEpLShGRl9DQVNIX1NUKFFUUiw0MDE4MSkvUF9DT01fU0hTX09VVCg0MDE4MSkpKS9GR","V9FU1RJTUFURSgnRVBTJywnTUVBTicsJ0FOTlVBTF9ST0xMJywnKzEnLDQwMTgxLCwsJycp&amp;WINDOW=FIRST_POPUP&amp;HEIGHT=450&amp;WIDTH=450&amp;START_MAXIMIZED=FALSE&amp;VAR:CALENDAR=US&amp;VAR:SYMBOL=98433210&amp;VAR:INDEX=0"}</definedName>
    <definedName name="_7809__FDSAUDITLINK__">{"fdsup://directions/FAT Viewer?action=UPDATE&amp;creator=factset&amp;DYN_ARGS=TRUE&amp;DOC_NAME=FAT:FQL_AUDITING_CLIENT_TEMPLATE.FAT&amp;display_string=Audit&amp;VAR:KEY=BUZCLYFWHE&amp;VAR:QUERY=KFBfUFJJQ0UoNDAxODEpLShGRl9DQVNIX1NUKFFUUiw0MDE4MSkvUF9DT01fU0hTX09VVCg0MDE4MSkpKS9GR","V9FU1RJTUFURSgnRVBTJywnTUVBTicsJ0FOTlVBTF9ST0xMJywnKzEnLDQwMTgxLCwsJycp&amp;WINDOW=FIRST_POPUP&amp;HEIGHT=450&amp;WIDTH=450&amp;START_MAXIMIZED=FALSE&amp;VAR:CALENDAR=US&amp;VAR:SYMBOL=98433210&amp;VAR:INDEX=0"}</definedName>
    <definedName name="_78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1009"}</definedName>
    <definedName name="_7810__FDSAUDITLINK__">{"fdsup://directions/FAT Viewer?action=UPDATE&amp;creator=factset&amp;DYN_ARGS=TRUE&amp;DOC_NAME=FAT:FQL_AUDITING_CLIENT_TEMPLATE.FAT&amp;display_string=Audit&amp;VAR:KEY=ZQREZMBWPK&amp;VAR:QUERY=KFBfUFJJQ0UoNDAxODApLShGRl9DQVNIX1NUKFFUUiw0MDE4MCkvUF9DT01fU0hTX09VVCg0MDE4MCkpKS9GR","V9FU1RJTUFURSgnRVBTJywnTUVBTicsJ0FOTlVBTF9ST0xMJywnKzEnLDQwMTgwLCwsJycp&amp;WINDOW=FIRST_POPUP&amp;HEIGHT=450&amp;WIDTH=450&amp;START_MAXIMIZED=FALSE&amp;VAR:CALENDAR=US&amp;VAR:SYMBOL=98433210&amp;VAR:INDEX=0"}</definedName>
    <definedName name="_7811__FDSAUDITLINK__">{"fdsup://directions/FAT Viewer?action=UPDATE&amp;creator=factset&amp;DYN_ARGS=TRUE&amp;DOC_NAME=FAT:FQL_AUDITING_CLIENT_TEMPLATE.FAT&amp;display_string=Audit&amp;VAR:KEY=ZQREZMBWPK&amp;VAR:QUERY=KFBfUFJJQ0UoNDAxODApLShGRl9DQVNIX1NUKFFUUiw0MDE4MCkvUF9DT01fU0hTX09VVCg0MDE4MCkpKS9GR","V9FU1RJTUFURSgnRVBTJywnTUVBTicsJ0FOTlVBTF9ST0xMJywnKzEnLDQwMTgwLCwsJycp&amp;WINDOW=FIRST_POPUP&amp;HEIGHT=450&amp;WIDTH=450&amp;START_MAXIMIZED=FALSE&amp;VAR:CALENDAR=US&amp;VAR:SYMBOL=98433210&amp;VAR:INDEX=0"}</definedName>
    <definedName name="_7812__FDSAUDITLINK__">{"fdsup://directions/FAT Viewer?action=UPDATE&amp;creator=factset&amp;DYN_ARGS=TRUE&amp;DOC_NAME=FAT:FQL_AUDITING_CLIENT_TEMPLATE.FAT&amp;display_string=Audit&amp;VAR:KEY=ZWBQXSPOTE&amp;VAR:QUERY=KFBfUFJJQ0UoNDAxNzkpLShGRl9DQVNIX1NUKFFUUiw0MDE3OSkvUF9DT01fU0hTX09VVCg0MDE3OSkpKS9GR","V9FU1RJTUFURSgnRVBTJywnTUVBTicsJ0FOTlVBTF9ST0xMJywnKzEnLDQwMTc5LCwsJycp&amp;WINDOW=FIRST_POPUP&amp;HEIGHT=450&amp;WIDTH=450&amp;START_MAXIMIZED=FALSE&amp;VAR:CALENDAR=US&amp;VAR:SYMBOL=98433210&amp;VAR:INDEX=0"}</definedName>
    <definedName name="_7813__FDSAUDITLINK__">{"fdsup://directions/FAT Viewer?action=UPDATE&amp;creator=factset&amp;DYN_ARGS=TRUE&amp;DOC_NAME=FAT:FQL_AUDITING_CLIENT_TEMPLATE.FAT&amp;display_string=Audit&amp;VAR:KEY=ZWBQXSPOTE&amp;VAR:QUERY=KFBfUFJJQ0UoNDAxNzkpLShGRl9DQVNIX1NUKFFUUiw0MDE3OSkvUF9DT01fU0hTX09VVCg0MDE3OSkpKS9GR","V9FU1RJTUFURSgnRVBTJywnTUVBTicsJ0FOTlVBTF9ST0xMJywnKzEnLDQwMTc5LCwsJycp&amp;WINDOW=FIRST_POPUP&amp;HEIGHT=450&amp;WIDTH=450&amp;START_MAXIMIZED=FALSE&amp;VAR:CALENDAR=US&amp;VAR:SYMBOL=98433210&amp;VAR:INDEX=0"}</definedName>
    <definedName name="_7814__FDSAUDITLINK__">{"fdsup://directions/FAT Viewer?action=UPDATE&amp;creator=factset&amp;DYN_ARGS=TRUE&amp;DOC_NAME=FAT:FQL_AUDITING_CLIENT_TEMPLATE.FAT&amp;display_string=Audit&amp;VAR:KEY=XSVGXYHMBW&amp;VAR:QUERY=KFBfUFJJQ0UoNDAxNzgpLShGRl9DQVNIX1NUKFFUUiw0MDE3OCkvUF9DT01fU0hTX09VVCg0MDE3OCkpKS9GR","V9FU1RJTUFURSgnRVBTJywnTUVBTicsJ0FOTlVBTF9ST0xMJywnKzEnLDQwMTc4LCwsJycp&amp;WINDOW=FIRST_POPUP&amp;HEIGHT=450&amp;WIDTH=450&amp;START_MAXIMIZED=FALSE&amp;VAR:CALENDAR=US&amp;VAR:SYMBOL=98433210&amp;VAR:INDEX=0"}</definedName>
    <definedName name="_7815__FDSAUDITLINK__">{"fdsup://directions/FAT Viewer?action=UPDATE&amp;creator=factset&amp;DYN_ARGS=TRUE&amp;DOC_NAME=FAT:FQL_AUDITING_CLIENT_TEMPLATE.FAT&amp;display_string=Audit&amp;VAR:KEY=XSVGXYHMBW&amp;VAR:QUERY=KFBfUFJJQ0UoNDAxNzgpLShGRl9DQVNIX1NUKFFUUiw0MDE3OCkvUF9DT01fU0hTX09VVCg0MDE3OCkpKS9GR","V9FU1RJTUFURSgnRVBTJywnTUVBTicsJ0FOTlVBTF9ST0xMJywnKzEnLDQwMTc4LCwsJycp&amp;WINDOW=FIRST_POPUP&amp;HEIGHT=450&amp;WIDTH=450&amp;START_MAXIMIZED=FALSE&amp;VAR:CALENDAR=US&amp;VAR:SYMBOL=98433210&amp;VAR:INDEX=0"}</definedName>
    <definedName name="_7816__FDSAUDITLINK__">{"fdsup://directions/FAT Viewer?action=UPDATE&amp;creator=factset&amp;DYN_ARGS=TRUE&amp;DOC_NAME=FAT:FQL_AUDITING_CLIENT_TEMPLATE.FAT&amp;display_string=Audit&amp;VAR:KEY=DITATIPAPG&amp;VAR:QUERY=KFBfUFJJQ0UoNDAxNzcpLShGRl9DQVNIX1NUKFFUUiw0MDE3NykvUF9DT01fU0hTX09VVCg0MDE3NykpKS9GR","V9FU1RJTUFURSgnRVBTJywnTUVBTicsJ0FOTlVBTF9ST0xMJywnKzEnLDQwMTc3LCwsJycp&amp;WINDOW=FIRST_POPUP&amp;HEIGHT=450&amp;WIDTH=450&amp;START_MAXIMIZED=FALSE&amp;VAR:CALENDAR=US&amp;VAR:SYMBOL=98433210&amp;VAR:INDEX=0"}</definedName>
    <definedName name="_7817__FDSAUDITLINK__">{"fdsup://directions/FAT Viewer?action=UPDATE&amp;creator=factset&amp;DYN_ARGS=TRUE&amp;DOC_NAME=FAT:FQL_AUDITING_CLIENT_TEMPLATE.FAT&amp;display_string=Audit&amp;VAR:KEY=DITATIPAPG&amp;VAR:QUERY=KFBfUFJJQ0UoNDAxNzcpLShGRl9DQVNIX1NUKFFUUiw0MDE3NykvUF9DT01fU0hTX09VVCg0MDE3NykpKS9GR","V9FU1RJTUFURSgnRVBTJywnTUVBTicsJ0FOTlVBTF9ST0xMJywnKzEnLDQwMTc3LCwsJycp&amp;WINDOW=FIRST_POPUP&amp;HEIGHT=450&amp;WIDTH=450&amp;START_MAXIMIZED=FALSE&amp;VAR:CALENDAR=US&amp;VAR:SYMBOL=98433210&amp;VAR:INDEX=0"}</definedName>
    <definedName name="_7818__FDSAUDITLINK__">{"fdsup://directions/FAT Viewer?action=UPDATE&amp;creator=factset&amp;DYN_ARGS=TRUE&amp;DOC_NAME=FAT:FQL_AUDITING_CLIENT_TEMPLATE.FAT&amp;display_string=Audit&amp;VAR:KEY=XMHAHAJQNS&amp;VAR:QUERY=KFBfUFJJQ0UoNDAxNzYpLShGRl9DQVNIX1NUKFFUUiw0MDE3NikvUF9DT01fU0hTX09VVCg0MDE3NikpKS9GR","V9FU1RJTUFURSgnRVBTJywnTUVBTicsJ0FOTlVBTF9ST0xMJywnKzEnLDQwMTc2LCwsJycp&amp;WINDOW=FIRST_POPUP&amp;HEIGHT=450&amp;WIDTH=450&amp;START_MAXIMIZED=FALSE&amp;VAR:CALENDAR=US&amp;VAR:SYMBOL=98433210&amp;VAR:INDEX=0"}</definedName>
    <definedName name="_7819__FDSAUDITLINK__">{"fdsup://directions/FAT Viewer?action=UPDATE&amp;creator=factset&amp;DYN_ARGS=TRUE&amp;DOC_NAME=FAT:FQL_AUDITING_CLIENT_TEMPLATE.FAT&amp;display_string=Audit&amp;VAR:KEY=XMHAHAJQNS&amp;VAR:QUERY=KFBfUFJJQ0UoNDAxNzYpLShGRl9DQVNIX1NUKFFUUiw0MDE3NikvUF9DT01fU0hTX09VVCg0MDE3NikpKS9GR","V9FU1RJTUFURSgnRVBTJywnTUVBTicsJ0FOTlVBTF9ST0xMJywnKzEnLDQwMTc2LCwsJycp&amp;WINDOW=FIRST_POPUP&amp;HEIGHT=450&amp;WIDTH=450&amp;START_MAXIMIZED=FALSE&amp;VAR:CALENDAR=US&amp;VAR:SYMBOL=98433210&amp;VAR:INDEX=0"}</definedName>
    <definedName name="_78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1008"}</definedName>
    <definedName name="_7820__FDSAUDITLINK__">{"fdsup://directions/FAT Viewer?action=UPDATE&amp;creator=factset&amp;DYN_ARGS=TRUE&amp;DOC_NAME=FAT:FQL_AUDITING_CLIENT_TEMPLATE.FAT&amp;display_string=Audit&amp;VAR:KEY=DSRIVSDUDU&amp;VAR:QUERY=KFBfUFJJQ0UoNDAxNzUpLShGRl9DQVNIX1NUKFFUUiw0MDE3NSkvUF9DT01fU0hTX09VVCg0MDE3NSkpKS9GR","V9FU1RJTUFURSgnRVBTJywnTUVBTicsJ0FOTlVBTF9ST0xMJywnKzEnLDQwMTc1LCwsJycp&amp;WINDOW=FIRST_POPUP&amp;HEIGHT=450&amp;WIDTH=450&amp;START_MAXIMIZED=FALSE&amp;VAR:CALENDAR=US&amp;VAR:SYMBOL=98433210&amp;VAR:INDEX=0"}</definedName>
    <definedName name="_7821__FDSAUDITLINK__">{"fdsup://directions/FAT Viewer?action=UPDATE&amp;creator=factset&amp;DYN_ARGS=TRUE&amp;DOC_NAME=FAT:FQL_AUDITING_CLIENT_TEMPLATE.FAT&amp;display_string=Audit&amp;VAR:KEY=DSRIVSDUDU&amp;VAR:QUERY=KFBfUFJJQ0UoNDAxNzUpLShGRl9DQVNIX1NUKFFUUiw0MDE3NSkvUF9DT01fU0hTX09VVCg0MDE3NSkpKS9GR","V9FU1RJTUFURSgnRVBTJywnTUVBTicsJ0FOTlVBTF9ST0xMJywnKzEnLDQwMTc1LCwsJycp&amp;WINDOW=FIRST_POPUP&amp;HEIGHT=450&amp;WIDTH=450&amp;START_MAXIMIZED=FALSE&amp;VAR:CALENDAR=US&amp;VAR:SYMBOL=98433210&amp;VAR:INDEX=0"}</definedName>
    <definedName name="_7822__FDSAUDITLINK__">{"fdsup://directions/FAT Viewer?action=UPDATE&amp;creator=factset&amp;DYN_ARGS=TRUE&amp;DOC_NAME=FAT:FQL_AUDITING_CLIENT_TEMPLATE.FAT&amp;display_string=Audit&amp;VAR:KEY=XAHAFIHQLO&amp;VAR:QUERY=KFBfUFJJQ0UoNDAxNzQpLShGRl9DQVNIX1NUKFFUUiw0MDE3NCkvUF9DT01fU0hTX09VVCg0MDE3NCkpKS9GR","V9FU1RJTUFURSgnRVBTJywnTUVBTicsJ0FOTlVBTF9ST0xMJywnKzEnLDQwMTc0LCwsJycp&amp;WINDOW=FIRST_POPUP&amp;HEIGHT=450&amp;WIDTH=450&amp;START_MAXIMIZED=FALSE&amp;VAR:CALENDAR=US&amp;VAR:SYMBOL=98433210&amp;VAR:INDEX=0"}</definedName>
    <definedName name="_7823__FDSAUDITLINK__">{"fdsup://directions/FAT Viewer?action=UPDATE&amp;creator=factset&amp;DYN_ARGS=TRUE&amp;DOC_NAME=FAT:FQL_AUDITING_CLIENT_TEMPLATE.FAT&amp;display_string=Audit&amp;VAR:KEY=XAHAFIHQLO&amp;VAR:QUERY=KFBfUFJJQ0UoNDAxNzQpLShGRl9DQVNIX1NUKFFUUiw0MDE3NCkvUF9DT01fU0hTX09VVCg0MDE3NCkpKS9GR","V9FU1RJTUFURSgnRVBTJywnTUVBTicsJ0FOTlVBTF9ST0xMJywnKzEnLDQwMTc0LCwsJycp&amp;WINDOW=FIRST_POPUP&amp;HEIGHT=450&amp;WIDTH=450&amp;START_MAXIMIZED=FALSE&amp;VAR:CALENDAR=US&amp;VAR:SYMBOL=98433210&amp;VAR:INDEX=0"}</definedName>
    <definedName name="_7824__FDSAUDITLINK__">{"fdsup://directions/FAT Viewer?action=UPDATE&amp;creator=factset&amp;DYN_ARGS=TRUE&amp;DOC_NAME=FAT:FQL_AUDITING_CLIENT_TEMPLATE.FAT&amp;display_string=Audit&amp;VAR:KEY=NQVUJEBQTM&amp;VAR:QUERY=KFBfUFJJQ0UoNDAxNzMpLShGRl9DQVNIX1NUKFFUUiw0MDE3MykvUF9DT01fU0hTX09VVCg0MDE3MykpKS9GR","V9FU1RJTUFURSgnRVBTJywnTUVBTicsJ0FOTlVBTF9ST0xMJywnKzEnLDQwMTczLCwsJycp&amp;WINDOW=FIRST_POPUP&amp;HEIGHT=450&amp;WIDTH=450&amp;START_MAXIMIZED=FALSE&amp;VAR:CALENDAR=US&amp;VAR:SYMBOL=98433210&amp;VAR:INDEX=0"}</definedName>
    <definedName name="_7825__FDSAUDITLINK__">{"fdsup://directions/FAT Viewer?action=UPDATE&amp;creator=factset&amp;DYN_ARGS=TRUE&amp;DOC_NAME=FAT:FQL_AUDITING_CLIENT_TEMPLATE.FAT&amp;display_string=Audit&amp;VAR:KEY=NQVUJEBQTM&amp;VAR:QUERY=KFBfUFJJQ0UoNDAxNzMpLShGRl9DQVNIX1NUKFFUUiw0MDE3MykvUF9DT01fU0hTX09VVCg0MDE3MykpKS9GR","V9FU1RJTUFURSgnRVBTJywnTUVBTicsJ0FOTlVBTF9ST0xMJywnKzEnLDQwMTczLCwsJycp&amp;WINDOW=FIRST_POPUP&amp;HEIGHT=450&amp;WIDTH=450&amp;START_MAXIMIZED=FALSE&amp;VAR:CALENDAR=US&amp;VAR:SYMBOL=98433210&amp;VAR:INDEX=0"}</definedName>
    <definedName name="_7826__FDSAUDITLINK__">{"fdsup://directions/FAT Viewer?action=UPDATE&amp;creator=factset&amp;DYN_ARGS=TRUE&amp;DOC_NAME=FAT:FQL_AUDITING_CLIENT_TEMPLATE.FAT&amp;display_string=Audit&amp;VAR:KEY=XUPULGRGJI&amp;VAR:QUERY=KFBfUFJJQ0UoNDAxNzIpLShGRl9DQVNIX1NUKFFUUiw0MDE3MikvUF9DT01fU0hTX09VVCg0MDE3MikpKS9GR","V9FU1RJTUFURSgnRVBTJywnTUVBTicsJ0FOTlVBTF9ST0xMJywnKzEnLDQwMTcyLCwsJycp&amp;WINDOW=FIRST_POPUP&amp;HEIGHT=450&amp;WIDTH=450&amp;START_MAXIMIZED=FALSE&amp;VAR:CALENDAR=US&amp;VAR:SYMBOL=98433210&amp;VAR:INDEX=0"}</definedName>
    <definedName name="_7827__FDSAUDITLINK__">{"fdsup://directions/FAT Viewer?action=UPDATE&amp;creator=factset&amp;DYN_ARGS=TRUE&amp;DOC_NAME=FAT:FQL_AUDITING_CLIENT_TEMPLATE.FAT&amp;display_string=Audit&amp;VAR:KEY=XUPULGRGJI&amp;VAR:QUERY=KFBfUFJJQ0UoNDAxNzIpLShGRl9DQVNIX1NUKFFUUiw0MDE3MikvUF9DT01fU0hTX09VVCg0MDE3MikpKS9GR","V9FU1RJTUFURSgnRVBTJywnTUVBTicsJ0FOTlVBTF9ST0xMJywnKzEnLDQwMTcyLCwsJycp&amp;WINDOW=FIRST_POPUP&amp;HEIGHT=450&amp;WIDTH=450&amp;START_MAXIMIZED=FALSE&amp;VAR:CALENDAR=US&amp;VAR:SYMBOL=98433210&amp;VAR:INDEX=0"}</definedName>
    <definedName name="_7828__FDSAUDITLINK__">{"fdsup://directions/FAT Viewer?action=UPDATE&amp;creator=factset&amp;DYN_ARGS=TRUE&amp;DOC_NAME=FAT:FQL_AUDITING_CLIENT_TEMPLATE.FAT&amp;display_string=Audit&amp;VAR:KEY=HCFSBUROTU&amp;VAR:QUERY=KFBfUFJJQ0UoNDAxNzEpLShGRl9DQVNIX1NUKFFUUiw0MDE3MSkvUF9DT01fU0hTX09VVCg0MDE3MSkpKS9GR","V9FU1RJTUFURSgnRVBTJywnTUVBTicsJ0FOTlVBTF9ST0xMJywnKzEnLDQwMTcxLCwsJycp&amp;WINDOW=FIRST_POPUP&amp;HEIGHT=450&amp;WIDTH=450&amp;START_MAXIMIZED=FALSE&amp;VAR:CALENDAR=US&amp;VAR:SYMBOL=98433210&amp;VAR:INDEX=0"}</definedName>
    <definedName name="_7829__FDSAUDITLINK__">{"fdsup://directions/FAT Viewer?action=UPDATE&amp;creator=factset&amp;DYN_ARGS=TRUE&amp;DOC_NAME=FAT:FQL_AUDITING_CLIENT_TEMPLATE.FAT&amp;display_string=Audit&amp;VAR:KEY=HCFSBUROTU&amp;VAR:QUERY=KFBfUFJJQ0UoNDAxNzEpLShGRl9DQVNIX1NUKFFUUiw0MDE3MSkvUF9DT01fU0hTX09VVCg0MDE3MSkpKS9GR","V9FU1RJTUFURSgnRVBTJywnTUVBTicsJ0FOTlVBTF9ST0xMJywnKzEnLDQwMTcxLCwsJycp&amp;WINDOW=FIRST_POPUP&amp;HEIGHT=450&amp;WIDTH=450&amp;START_MAXIMIZED=FALSE&amp;VAR:CALENDAR=US&amp;VAR:SYMBOL=98433210&amp;VAR:INDEX=0"}</definedName>
    <definedName name="_78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1007"}</definedName>
    <definedName name="_7830__FDSAUDITLINK__">{"fdsup://directions/FAT Viewer?action=UPDATE&amp;creator=factset&amp;DYN_ARGS=TRUE&amp;DOC_NAME=FAT:FQL_AUDITING_CLIENT_TEMPLATE.FAT&amp;display_string=Audit&amp;VAR:KEY=RKXANYHQBM&amp;VAR:QUERY=KFBfUFJJQ0UoNDAxNzApLShGRl9DQVNIX1NUKFFUUiw0MDE3MCkvUF9DT01fU0hTX09VVCg0MDE3MCkpKS9GR","V9FU1RJTUFURSgnRVBTJywnTUVBTicsJ0FOTlVBTF9ST0xMJywnKzEnLDQwMTcwLCwsJycp&amp;WINDOW=FIRST_POPUP&amp;HEIGHT=450&amp;WIDTH=450&amp;START_MAXIMIZED=FALSE&amp;VAR:CALENDAR=US&amp;VAR:SYMBOL=98433210&amp;VAR:INDEX=0"}</definedName>
    <definedName name="_7831__FDSAUDITLINK__">{"fdsup://directions/FAT Viewer?action=UPDATE&amp;creator=factset&amp;DYN_ARGS=TRUE&amp;DOC_NAME=FAT:FQL_AUDITING_CLIENT_TEMPLATE.FAT&amp;display_string=Audit&amp;VAR:KEY=RKXANYHQBM&amp;VAR:QUERY=KFBfUFJJQ0UoNDAxNzApLShGRl9DQVNIX1NUKFFUUiw0MDE3MCkvUF9DT01fU0hTX09VVCg0MDE3MCkpKS9GR","V9FU1RJTUFURSgnRVBTJywnTUVBTicsJ0FOTlVBTF9ST0xMJywnKzEnLDQwMTcwLCwsJycp&amp;WINDOW=FIRST_POPUP&amp;HEIGHT=450&amp;WIDTH=450&amp;START_MAXIMIZED=FALSE&amp;VAR:CALENDAR=US&amp;VAR:SYMBOL=98433210&amp;VAR:INDEX=0"}</definedName>
    <definedName name="_7832__FDSAUDITLINK__">{"fdsup://directions/FAT Viewer?action=UPDATE&amp;creator=factset&amp;DYN_ARGS=TRUE&amp;DOC_NAME=FAT:FQL_AUDITING_CLIENT_TEMPLATE.FAT&amp;display_string=Audit&amp;VAR:KEY=TITYLIPGLE&amp;VAR:QUERY=KFBfUFJJQ0UoNDAxNjkpLShGRl9DQVNIX1NUKFFUUiw0MDE2OSkvUF9DT01fU0hTX09VVCg0MDE2OSkpKS9GR","V9FU1RJTUFURSgnRVBTJywnTUVBTicsJ0FOTlVBTF9ST0xMJywnKzEnLDQwMTY5LCwsJycp&amp;WINDOW=FIRST_POPUP&amp;HEIGHT=450&amp;WIDTH=450&amp;START_MAXIMIZED=FALSE&amp;VAR:CALENDAR=US&amp;VAR:SYMBOL=98433210&amp;VAR:INDEX=0"}</definedName>
    <definedName name="_7833__FDSAUDITLINK__">{"fdsup://directions/FAT Viewer?action=UPDATE&amp;creator=factset&amp;DYN_ARGS=TRUE&amp;DOC_NAME=FAT:FQL_AUDITING_CLIENT_TEMPLATE.FAT&amp;display_string=Audit&amp;VAR:KEY=TITYLIPGLE&amp;VAR:QUERY=KFBfUFJJQ0UoNDAxNjkpLShGRl9DQVNIX1NUKFFUUiw0MDE2OSkvUF9DT01fU0hTX09VVCg0MDE2OSkpKS9GR","V9FU1RJTUFURSgnRVBTJywnTUVBTicsJ0FOTlVBTF9ST0xMJywnKzEnLDQwMTY5LCwsJycp&amp;WINDOW=FIRST_POPUP&amp;HEIGHT=450&amp;WIDTH=450&amp;START_MAXIMIZED=FALSE&amp;VAR:CALENDAR=US&amp;VAR:SYMBOL=98433210&amp;VAR:INDEX=0"}</definedName>
    <definedName name="_7834__FDSAUDITLINK__">{"fdsup://directions/FAT Viewer?action=UPDATE&amp;creator=factset&amp;DYN_ARGS=TRUE&amp;DOC_NAME=FAT:FQL_AUDITING_CLIENT_TEMPLATE.FAT&amp;display_string=Audit&amp;VAR:KEY=XOTUHSTGNG&amp;VAR:QUERY=KFBfUFJJQ0UoNDAxNjgpLShGRl9DQVNIX1NUKFFUUiw0MDE2OCkvUF9DT01fU0hTX09VVCg0MDE2OCkpKS9GR","V9FU1RJTUFURSgnRVBTJywnTUVBTicsJ0FOTlVBTF9ST0xMJywnKzEnLDQwMTY4LCwsJycp&amp;WINDOW=FIRST_POPUP&amp;HEIGHT=450&amp;WIDTH=450&amp;START_MAXIMIZED=FALSE&amp;VAR:CALENDAR=US&amp;VAR:SYMBOL=98433210&amp;VAR:INDEX=0"}</definedName>
    <definedName name="_7835__FDSAUDITLINK__">{"fdsup://directions/FAT Viewer?action=UPDATE&amp;creator=factset&amp;DYN_ARGS=TRUE&amp;DOC_NAME=FAT:FQL_AUDITING_CLIENT_TEMPLATE.FAT&amp;display_string=Audit&amp;VAR:KEY=XOTUHSTGNG&amp;VAR:QUERY=KFBfUFJJQ0UoNDAxNjgpLShGRl9DQVNIX1NUKFFUUiw0MDE2OCkvUF9DT01fU0hTX09VVCg0MDE2OCkpKS9GR","V9FU1RJTUFURSgnRVBTJywnTUVBTicsJ0FOTlVBTF9ST0xMJywnKzEnLDQwMTY4LCwsJycp&amp;WINDOW=FIRST_POPUP&amp;HEIGHT=450&amp;WIDTH=450&amp;START_MAXIMIZED=FALSE&amp;VAR:CALENDAR=US&amp;VAR:SYMBOL=98433210&amp;VAR:INDEX=0"}</definedName>
    <definedName name="_7836__FDSAUDITLINK__">{"fdsup://directions/FAT Viewer?action=UPDATE&amp;creator=factset&amp;DYN_ARGS=TRUE&amp;DOC_NAME=FAT:FQL_AUDITING_CLIENT_TEMPLATE.FAT&amp;display_string=Audit&amp;VAR:KEY=PCFOVEJQVQ&amp;VAR:QUERY=KFBfUFJJQ0UoNDAxNjcpLShGRl9DQVNIX1NUKFFUUiw0MDE2NykvUF9DT01fU0hTX09VVCg0MDE2NykpKS9GR","V9FU1RJTUFURSgnRVBTJywnTUVBTicsJ0FOTlVBTF9ST0xMJywnKzEnLDQwMTY3LCwsJycp&amp;WINDOW=FIRST_POPUP&amp;HEIGHT=450&amp;WIDTH=450&amp;START_MAXIMIZED=FALSE&amp;VAR:CALENDAR=US&amp;VAR:SYMBOL=98433210&amp;VAR:INDEX=0"}</definedName>
    <definedName name="_7837__FDSAUDITLINK__">{"fdsup://directions/FAT Viewer?action=UPDATE&amp;creator=factset&amp;DYN_ARGS=TRUE&amp;DOC_NAME=FAT:FQL_AUDITING_CLIENT_TEMPLATE.FAT&amp;display_string=Audit&amp;VAR:KEY=PCFOVEJQVQ&amp;VAR:QUERY=KFBfUFJJQ0UoNDAxNjcpLShGRl9DQVNIX1NUKFFUUiw0MDE2NykvUF9DT01fU0hTX09VVCg0MDE2NykpKS9GR","V9FU1RJTUFURSgnRVBTJywnTUVBTicsJ0FOTlVBTF9ST0xMJywnKzEnLDQwMTY3LCwsJycp&amp;WINDOW=FIRST_POPUP&amp;HEIGHT=450&amp;WIDTH=450&amp;START_MAXIMIZED=FALSE&amp;VAR:CALENDAR=US&amp;VAR:SYMBOL=98433210&amp;VAR:INDEX=0"}</definedName>
    <definedName name="_7838__FDSAUDITLINK__">{"fdsup://directions/FAT Viewer?action=UPDATE&amp;creator=factset&amp;DYN_ARGS=TRUE&amp;DOC_NAME=FAT:FQL_AUDITING_CLIENT_TEMPLATE.FAT&amp;display_string=Audit&amp;VAR:KEY=ZKPMHAZAHG&amp;VAR:QUERY=KFBfUFJJQ0UoNDAxNjYpLShGRl9DQVNIX1NUKFFUUiw0MDE2NikvUF9DT01fU0hTX09VVCg0MDE2NikpKS9GR","V9FU1RJTUFURSgnRVBTJywnTUVBTicsJ0FOTlVBTF9ST0xMJywnKzEnLDQwMTY2LCwsJycp&amp;WINDOW=FIRST_POPUP&amp;HEIGHT=450&amp;WIDTH=450&amp;START_MAXIMIZED=FALSE&amp;VAR:CALENDAR=US&amp;VAR:SYMBOL=98433210&amp;VAR:INDEX=0"}</definedName>
    <definedName name="_7839__FDSAUDITLINK__">{"fdsup://directions/FAT Viewer?action=UPDATE&amp;creator=factset&amp;DYN_ARGS=TRUE&amp;DOC_NAME=FAT:FQL_AUDITING_CLIENT_TEMPLATE.FAT&amp;display_string=Audit&amp;VAR:KEY=ZKPMHAZAHG&amp;VAR:QUERY=KFBfUFJJQ0UoNDAxNjYpLShGRl9DQVNIX1NUKFFUUiw0MDE2NikvUF9DT01fU0hTX09VVCg0MDE2NikpKS9GR","V9FU1RJTUFURSgnRVBTJywnTUVBTicsJ0FOTlVBTF9ST0xMJywnKzEnLDQwMTY2LCwsJycp&amp;WINDOW=FIRST_POPUP&amp;HEIGHT=450&amp;WIDTH=450&amp;START_MAXIMIZED=FALSE&amp;VAR:CALENDAR=US&amp;VAR:SYMBOL=98433210&amp;VAR:INDEX=0"}</definedName>
    <definedName name="_78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1006"}</definedName>
    <definedName name="_7840__FDSAUDITLINK__">{"fdsup://directions/FAT Viewer?action=UPDATE&amp;creator=factset&amp;DYN_ARGS=TRUE&amp;DOC_NAME=FAT:FQL_AUDITING_CLIENT_TEMPLATE.FAT&amp;display_string=Audit&amp;VAR:KEY=JGBQDWJWBE&amp;VAR:QUERY=KFBfUFJJQ0UoNDAxNjUpLShGRl9DQVNIX1NUKFFUUiw0MDE2NSkvUF9DT01fU0hTX09VVCg0MDE2NSkpKS9GR","V9FU1RJTUFURSgnRVBTJywnTUVBTicsJ0FOTlVBTF9ST0xMJywnKzEnLDQwMTY1LCwsJycp&amp;WINDOW=FIRST_POPUP&amp;HEIGHT=450&amp;WIDTH=450&amp;START_MAXIMIZED=FALSE&amp;VAR:CALENDAR=US&amp;VAR:SYMBOL=98433210&amp;VAR:INDEX=0"}</definedName>
    <definedName name="_7841__FDSAUDITLINK__">{"fdsup://directions/FAT Viewer?action=UPDATE&amp;creator=factset&amp;DYN_ARGS=TRUE&amp;DOC_NAME=FAT:FQL_AUDITING_CLIENT_TEMPLATE.FAT&amp;display_string=Audit&amp;VAR:KEY=JGBQDWJWBE&amp;VAR:QUERY=KFBfUFJJQ0UoNDAxNjUpLShGRl9DQVNIX1NUKFFUUiw0MDE2NSkvUF9DT01fU0hTX09VVCg0MDE2NSkpKS9GR","V9FU1RJTUFURSgnRVBTJywnTUVBTicsJ0FOTlVBTF9ST0xMJywnKzEnLDQwMTY1LCwsJycp&amp;WINDOW=FIRST_POPUP&amp;HEIGHT=450&amp;WIDTH=450&amp;START_MAXIMIZED=FALSE&amp;VAR:CALENDAR=US&amp;VAR:SYMBOL=98433210&amp;VAR:INDEX=0"}</definedName>
    <definedName name="_7842__FDSAUDITLINK__">{"fdsup://directions/FAT Viewer?action=UPDATE&amp;creator=factset&amp;DYN_ARGS=TRUE&amp;DOC_NAME=FAT:FQL_AUDITING_CLIENT_TEMPLATE.FAT&amp;display_string=Audit&amp;VAR:KEY=JONYTWBOJC&amp;VAR:QUERY=KFBfUFJJQ0UoNDAxNjQpLShGRl9DQVNIX1NUKFFUUiw0MDE2NCkvUF9DT01fU0hTX09VVCg0MDE2NCkpKS9GR","V9FU1RJTUFURSgnRVBTJywnTUVBTicsJ0FOTlVBTF9ST0xMJywnKzEnLDQwMTY0LCwsJycp&amp;WINDOW=FIRST_POPUP&amp;HEIGHT=450&amp;WIDTH=450&amp;START_MAXIMIZED=FALSE&amp;VAR:CALENDAR=US&amp;VAR:SYMBOL=98433210&amp;VAR:INDEX=0"}</definedName>
    <definedName name="_7843__FDSAUDITLINK__">{"fdsup://directions/FAT Viewer?action=UPDATE&amp;creator=factset&amp;DYN_ARGS=TRUE&amp;DOC_NAME=FAT:FQL_AUDITING_CLIENT_TEMPLATE.FAT&amp;display_string=Audit&amp;VAR:KEY=JONYTWBOJC&amp;VAR:QUERY=KFBfUFJJQ0UoNDAxNjQpLShGRl9DQVNIX1NUKFFUUiw0MDE2NCkvUF9DT01fU0hTX09VVCg0MDE2NCkpKS9GR","V9FU1RJTUFURSgnRVBTJywnTUVBTicsJ0FOTlVBTF9ST0xMJywnKzEnLDQwMTY0LCwsJycp&amp;WINDOW=FIRST_POPUP&amp;HEIGHT=450&amp;WIDTH=450&amp;START_MAXIMIZED=FALSE&amp;VAR:CALENDAR=US&amp;VAR:SYMBOL=98433210&amp;VAR:INDEX=0"}</definedName>
    <definedName name="_7844__FDSAUDITLINK__">{"fdsup://directions/FAT Viewer?action=UPDATE&amp;creator=factset&amp;DYN_ARGS=TRUE&amp;DOC_NAME=FAT:FQL_AUDITING_CLIENT_TEMPLATE.FAT&amp;display_string=Audit&amp;VAR:KEY=XYZOVENUPS&amp;VAR:QUERY=KFBfUFJJQ0UoNDAxNjMpLShGRl9DQVNIX1NUKFFUUiw0MDE2MykvUF9DT01fU0hTX09VVCg0MDE2MykpKS9GR","V9FU1RJTUFURSgnRVBTJywnTUVBTicsJ0FOTlVBTF9ST0xMJywnKzEnLDQwMTYzLCwsJycp&amp;WINDOW=FIRST_POPUP&amp;HEIGHT=450&amp;WIDTH=450&amp;START_MAXIMIZED=FALSE&amp;VAR:CALENDAR=US&amp;VAR:SYMBOL=98433210&amp;VAR:INDEX=0"}</definedName>
    <definedName name="_7845__FDSAUDITLINK__">{"fdsup://directions/FAT Viewer?action=UPDATE&amp;creator=factset&amp;DYN_ARGS=TRUE&amp;DOC_NAME=FAT:FQL_AUDITING_CLIENT_TEMPLATE.FAT&amp;display_string=Audit&amp;VAR:KEY=XYZOVENUPS&amp;VAR:QUERY=KFBfUFJJQ0UoNDAxNjMpLShGRl9DQVNIX1NUKFFUUiw0MDE2MykvUF9DT01fU0hTX09VVCg0MDE2MykpKS9GR","V9FU1RJTUFURSgnRVBTJywnTUVBTicsJ0FOTlVBTF9ST0xMJywnKzEnLDQwMTYzLCwsJycp&amp;WINDOW=FIRST_POPUP&amp;HEIGHT=450&amp;WIDTH=450&amp;START_MAXIMIZED=FALSE&amp;VAR:CALENDAR=US&amp;VAR:SYMBOL=98433210&amp;VAR:INDEX=0"}</definedName>
    <definedName name="_7846__FDSAUDITLINK__">{"fdsup://directions/FAT Viewer?action=UPDATE&amp;creator=factset&amp;DYN_ARGS=TRUE&amp;DOC_NAME=FAT:FQL_AUDITING_CLIENT_TEMPLATE.FAT&amp;display_string=Audit&amp;VAR:KEY=FAJSLUBKZC&amp;VAR:QUERY=KFBfUFJJQ0UoNDAxNjIpLShGRl9DQVNIX1NUKFFUUiw0MDE2MikvUF9DT01fU0hTX09VVCg0MDE2MikpKS9GR","V9FU1RJTUFURSgnRVBTJywnTUVBTicsJ0FOTlVBTF9ST0xMJywnKzEnLDQwMTYyLCwsJycp&amp;WINDOW=FIRST_POPUP&amp;HEIGHT=450&amp;WIDTH=450&amp;START_MAXIMIZED=FALSE&amp;VAR:CALENDAR=US&amp;VAR:SYMBOL=98433210&amp;VAR:INDEX=0"}</definedName>
    <definedName name="_7847__FDSAUDITLINK__">{"fdsup://directions/FAT Viewer?action=UPDATE&amp;creator=factset&amp;DYN_ARGS=TRUE&amp;DOC_NAME=FAT:FQL_AUDITING_CLIENT_TEMPLATE.FAT&amp;display_string=Audit&amp;VAR:KEY=FAJSLUBKZC&amp;VAR:QUERY=KFBfUFJJQ0UoNDAxNjIpLShGRl9DQVNIX1NUKFFUUiw0MDE2MikvUF9DT01fU0hTX09VVCg0MDE2MikpKS9GR","V9FU1RJTUFURSgnRVBTJywnTUVBTicsJ0FOTlVBTF9ST0xMJywnKzEnLDQwMTYyLCwsJycp&amp;WINDOW=FIRST_POPUP&amp;HEIGHT=450&amp;WIDTH=450&amp;START_MAXIMIZED=FALSE&amp;VAR:CALENDAR=US&amp;VAR:SYMBOL=98433210&amp;VAR:INDEX=0"}</definedName>
    <definedName name="_7848__FDSAUDITLINK__">{"fdsup://directions/FAT Viewer?action=UPDATE&amp;creator=factset&amp;DYN_ARGS=TRUE&amp;DOC_NAME=FAT:FQL_AUDITING_CLIENT_TEMPLATE.FAT&amp;display_string=Audit&amp;VAR:KEY=DADWZCVWLO&amp;VAR:QUERY=KFBfUFJJQ0UoNDAxNjEpLShGRl9DQVNIX1NUKFFUUiw0MDE2MSkvUF9DT01fU0hTX09VVCg0MDE2MSkpKS9GR","V9FU1RJTUFURSgnRVBTJywnTUVBTicsJ0FOTlVBTF9ST0xMJywnKzEnLDQwMTYxLCwsJycp&amp;WINDOW=FIRST_POPUP&amp;HEIGHT=450&amp;WIDTH=450&amp;START_MAXIMIZED=FALSE&amp;VAR:CALENDAR=US&amp;VAR:SYMBOL=98433210&amp;VAR:INDEX=0"}</definedName>
    <definedName name="_7849__FDSAUDITLINK__">{"fdsup://directions/FAT Viewer?action=UPDATE&amp;creator=factset&amp;DYN_ARGS=TRUE&amp;DOC_NAME=FAT:FQL_AUDITING_CLIENT_TEMPLATE.FAT&amp;display_string=Audit&amp;VAR:KEY=DADWZCVWLO&amp;VAR:QUERY=KFBfUFJJQ0UoNDAxNjEpLShGRl9DQVNIX1NUKFFUUiw0MDE2MSkvUF9DT01fU0hTX09VVCg0MDE2MSkpKS9GR","V9FU1RJTUFURSgnRVBTJywnTUVBTicsJ0FOTlVBTF9ST0xMJywnKzEnLDQwMTYxLCwsJycp&amp;WINDOW=FIRST_POPUP&amp;HEIGHT=450&amp;WIDTH=450&amp;START_MAXIMIZED=FALSE&amp;VAR:CALENDAR=US&amp;VAR:SYMBOL=98433210&amp;VAR:INDEX=0"}</definedName>
    <definedName name="_78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1005"}</definedName>
    <definedName name="_7850__FDSAUDITLINK__">{"fdsup://directions/FAT Viewer?action=UPDATE&amp;creator=factset&amp;DYN_ARGS=TRUE&amp;DOC_NAME=FAT:FQL_AUDITING_CLIENT_TEMPLATE.FAT&amp;display_string=Audit&amp;VAR:KEY=JWFQFEDMXE&amp;VAR:QUERY=KFBfUFJJQ0UoNDAxNjApLShGRl9DQVNIX1NUKFFUUiw0MDE2MCkvUF9DT01fU0hTX09VVCg0MDE2MCkpKS9GR","V9FU1RJTUFURSgnRVBTJywnTUVBTicsJ0FOTlVBTF9ST0xMJywnKzEnLDQwMTYwLCwsJycp&amp;WINDOW=FIRST_POPUP&amp;HEIGHT=450&amp;WIDTH=450&amp;START_MAXIMIZED=FALSE&amp;VAR:CALENDAR=US&amp;VAR:SYMBOL=98433210&amp;VAR:INDEX=0"}</definedName>
    <definedName name="_7851__FDSAUDITLINK__">{"fdsup://directions/FAT Viewer?action=UPDATE&amp;creator=factset&amp;DYN_ARGS=TRUE&amp;DOC_NAME=FAT:FQL_AUDITING_CLIENT_TEMPLATE.FAT&amp;display_string=Audit&amp;VAR:KEY=JWFQFEDMXE&amp;VAR:QUERY=KFBfUFJJQ0UoNDAxNjApLShGRl9DQVNIX1NUKFFUUiw0MDE2MCkvUF9DT01fU0hTX09VVCg0MDE2MCkpKS9GR","V9FU1RJTUFURSgnRVBTJywnTUVBTicsJ0FOTlVBTF9ST0xMJywnKzEnLDQwMTYwLCwsJycp&amp;WINDOW=FIRST_POPUP&amp;HEIGHT=450&amp;WIDTH=450&amp;START_MAXIMIZED=FALSE&amp;VAR:CALENDAR=US&amp;VAR:SYMBOL=98433210&amp;VAR:INDEX=0"}</definedName>
    <definedName name="_7852__FDSAUDITLINK__">{"fdsup://directions/FAT Viewer?action=UPDATE&amp;creator=factset&amp;DYN_ARGS=TRUE&amp;DOC_NAME=FAT:FQL_AUDITING_CLIENT_TEMPLATE.FAT&amp;display_string=Audit&amp;VAR:KEY=PSNEJIPSZW&amp;VAR:QUERY=KFBfUFJJQ0UoNDAxNTkpLShGRl9DQVNIX1NUKFFUUiw0MDE1OSkvUF9DT01fU0hTX09VVCg0MDE1OSkpKS9GR","V9FU1RJTUFURSgnRVBTJywnTUVBTicsJ0FOTlVBTF9ST0xMJywnKzEnLDQwMTU5LCwsJycp&amp;WINDOW=FIRST_POPUP&amp;HEIGHT=450&amp;WIDTH=450&amp;START_MAXIMIZED=FALSE&amp;VAR:CALENDAR=US&amp;VAR:SYMBOL=98433210&amp;VAR:INDEX=0"}</definedName>
    <definedName name="_7853__FDSAUDITLINK__">{"fdsup://directions/FAT Viewer?action=UPDATE&amp;creator=factset&amp;DYN_ARGS=TRUE&amp;DOC_NAME=FAT:FQL_AUDITING_CLIENT_TEMPLATE.FAT&amp;display_string=Audit&amp;VAR:KEY=PSNEJIPSZW&amp;VAR:QUERY=KFBfUFJJQ0UoNDAxNTkpLShGRl9DQVNIX1NUKFFUUiw0MDE1OSkvUF9DT01fU0hTX09VVCg0MDE1OSkpKS9GR","V9FU1RJTUFURSgnRVBTJywnTUVBTicsJ0FOTlVBTF9ST0xMJywnKzEnLDQwMTU5LCwsJycp&amp;WINDOW=FIRST_POPUP&amp;HEIGHT=450&amp;WIDTH=450&amp;START_MAXIMIZED=FALSE&amp;VAR:CALENDAR=US&amp;VAR:SYMBOL=98433210&amp;VAR:INDEX=0"}</definedName>
    <definedName name="_7854__FDSAUDITLINK__">{"fdsup://directions/FAT Viewer?action=UPDATE&amp;creator=factset&amp;DYN_ARGS=TRUE&amp;DOC_NAME=FAT:FQL_AUDITING_CLIENT_TEMPLATE.FAT&amp;display_string=Audit&amp;VAR:KEY=TYLMPAPMXQ&amp;VAR:QUERY=KFBfUFJJQ0UoNDAxNTgpLShGRl9DQVNIX1NUKFFUUiw0MDE1OCkvUF9DT01fU0hTX09VVCg0MDE1OCkpKS9GR","V9FU1RJTUFURSgnRVBTJywnTUVBTicsJ0FOTlVBTF9ST0xMJywnKzEnLDQwMTU4LCwsJycp&amp;WINDOW=FIRST_POPUP&amp;HEIGHT=450&amp;WIDTH=450&amp;START_MAXIMIZED=FALSE&amp;VAR:CALENDAR=US&amp;VAR:SYMBOL=98433210&amp;VAR:INDEX=0"}</definedName>
    <definedName name="_7855__FDSAUDITLINK__">{"fdsup://directions/FAT Viewer?action=UPDATE&amp;creator=factset&amp;DYN_ARGS=TRUE&amp;DOC_NAME=FAT:FQL_AUDITING_CLIENT_TEMPLATE.FAT&amp;display_string=Audit&amp;VAR:KEY=TYLMPAPMXQ&amp;VAR:QUERY=KFBfUFJJQ0UoNDAxNTgpLShGRl9DQVNIX1NUKFFUUiw0MDE1OCkvUF9DT01fU0hTX09VVCg0MDE1OCkpKS9GR","V9FU1RJTUFURSgnRVBTJywnTUVBTicsJ0FOTlVBTF9ST0xMJywnKzEnLDQwMTU4LCwsJycp&amp;WINDOW=FIRST_POPUP&amp;HEIGHT=450&amp;WIDTH=450&amp;START_MAXIMIZED=FALSE&amp;VAR:CALENDAR=US&amp;VAR:SYMBOL=98433210&amp;VAR:INDEX=0"}</definedName>
    <definedName name="_7856__FDSAUDITLINK__">{"fdsup://directions/FAT Viewer?action=UPDATE&amp;creator=factset&amp;DYN_ARGS=TRUE&amp;DOC_NAME=FAT:FQL_AUDITING_CLIENT_TEMPLATE.FAT&amp;display_string=Audit&amp;VAR:KEY=LGFSHAVKLA&amp;VAR:QUERY=KFBfUFJJQ0UoNDAxNTcpLShGRl9DQVNIX1NUKFFUUiw0MDE1NykvUF9DT01fU0hTX09VVCg0MDE1NykpKS9GR","V9FU1RJTUFURSgnRVBTJywnTUVBTicsJ0FOTlVBTF9ST0xMJywnKzEnLDQwMTU3LCwsJycp&amp;WINDOW=FIRST_POPUP&amp;HEIGHT=450&amp;WIDTH=450&amp;START_MAXIMIZED=FALSE&amp;VAR:CALENDAR=US&amp;VAR:SYMBOL=98433210&amp;VAR:INDEX=0"}</definedName>
    <definedName name="_7857__FDSAUDITLINK__">{"fdsup://directions/FAT Viewer?action=UPDATE&amp;creator=factset&amp;DYN_ARGS=TRUE&amp;DOC_NAME=FAT:FQL_AUDITING_CLIENT_TEMPLATE.FAT&amp;display_string=Audit&amp;VAR:KEY=LGFSHAVKLA&amp;VAR:QUERY=KFBfUFJJQ0UoNDAxNTcpLShGRl9DQVNIX1NUKFFUUiw0MDE1NykvUF9DT01fU0hTX09VVCg0MDE1NykpKS9GR","V9FU1RJTUFURSgnRVBTJywnTUVBTicsJ0FOTlVBTF9ST0xMJywnKzEnLDQwMTU3LCwsJycp&amp;WINDOW=FIRST_POPUP&amp;HEIGHT=450&amp;WIDTH=450&amp;START_MAXIMIZED=FALSE&amp;VAR:CALENDAR=US&amp;VAR:SYMBOL=98433210&amp;VAR:INDEX=0"}</definedName>
    <definedName name="_7858__FDSAUDITLINK__">{"fdsup://directions/FAT Viewer?action=UPDATE&amp;creator=factset&amp;DYN_ARGS=TRUE&amp;DOC_NAME=FAT:FQL_AUDITING_CLIENT_TEMPLATE.FAT&amp;display_string=Audit&amp;VAR:KEY=VSZOJGHMJK&amp;VAR:QUERY=KFBfUFJJQ0UoNDAxNTYpLShGRl9DQVNIX1NUKFFUUiw0MDE1NikvUF9DT01fU0hTX09VVCg0MDE1NikpKS9GR","V9FU1RJTUFURSgnRVBTJywnTUVBTicsJ0FOTlVBTF9ST0xMJywnKzEnLDQwMTU2LCwsJycp&amp;WINDOW=FIRST_POPUP&amp;HEIGHT=450&amp;WIDTH=450&amp;START_MAXIMIZED=FALSE&amp;VAR:CALENDAR=US&amp;VAR:SYMBOL=98433210&amp;VAR:INDEX=0"}</definedName>
    <definedName name="_7859__FDSAUDITLINK__">{"fdsup://directions/FAT Viewer?action=UPDATE&amp;creator=factset&amp;DYN_ARGS=TRUE&amp;DOC_NAME=FAT:FQL_AUDITING_CLIENT_TEMPLATE.FAT&amp;display_string=Audit&amp;VAR:KEY=VSZOJGHMJK&amp;VAR:QUERY=KFBfUFJJQ0UoNDAxNTYpLShGRl9DQVNIX1NUKFFUUiw0MDE1NikvUF9DT01fU0hTX09VVCg0MDE1NikpKS9GR","V9FU1RJTUFURSgnRVBTJywnTUVBTicsJ0FOTlVBTF9ST0xMJywnKzEnLDQwMTU2LCwsJycp&amp;WINDOW=FIRST_POPUP&amp;HEIGHT=450&amp;WIDTH=450&amp;START_MAXIMIZED=FALSE&amp;VAR:CALENDAR=US&amp;VAR:SYMBOL=98433210&amp;VAR:INDEX=0"}</definedName>
    <definedName name="_78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1004"}</definedName>
    <definedName name="_7860__FDSAUDITLINK__">{"fdsup://directions/FAT Viewer?action=UPDATE&amp;creator=factset&amp;DYN_ARGS=TRUE&amp;DOC_NAME=FAT:FQL_AUDITING_CLIENT_TEMPLATE.FAT&amp;display_string=Audit&amp;VAR:KEY=NCDQJMHEPE&amp;VAR:QUERY=KFBfUFJJQ0UoNDAxNTUpLShGRl9DQVNIX1NUKFFUUiw0MDE1NSkvUF9DT01fU0hTX09VVCg0MDE1NSkpKS9GR","V9FU1RJTUFURSgnRVBTJywnTUVBTicsJ0FOTlVBTF9ST0xMJywnKzEnLDQwMTU1LCwsJycp&amp;WINDOW=FIRST_POPUP&amp;HEIGHT=450&amp;WIDTH=450&amp;START_MAXIMIZED=FALSE&amp;VAR:CALENDAR=US&amp;VAR:SYMBOL=98433210&amp;VAR:INDEX=0"}</definedName>
    <definedName name="_7861__FDSAUDITLINK__">{"fdsup://directions/FAT Viewer?action=UPDATE&amp;creator=factset&amp;DYN_ARGS=TRUE&amp;DOC_NAME=FAT:FQL_AUDITING_CLIENT_TEMPLATE.FAT&amp;display_string=Audit&amp;VAR:KEY=NCDQJMHEPE&amp;VAR:QUERY=KFBfUFJJQ0UoNDAxNTUpLShGRl9DQVNIX1NUKFFUUiw0MDE1NSkvUF9DT01fU0hTX09VVCg0MDE1NSkpKS9GR","V9FU1RJTUFURSgnRVBTJywnTUVBTicsJ0FOTlVBTF9ST0xMJywnKzEnLDQwMTU1LCwsJycp&amp;WINDOW=FIRST_POPUP&amp;HEIGHT=450&amp;WIDTH=450&amp;START_MAXIMIZED=FALSE&amp;VAR:CALENDAR=US&amp;VAR:SYMBOL=98433210&amp;VAR:INDEX=0"}</definedName>
    <definedName name="_7862__FDSAUDITLINK__">{"fdsup://directions/FAT Viewer?action=UPDATE&amp;creator=factset&amp;DYN_ARGS=TRUE&amp;DOC_NAME=FAT:FQL_AUDITING_CLIENT_TEMPLATE.FAT&amp;display_string=Audit&amp;VAR:KEY=FKVELERGTI&amp;VAR:QUERY=KFBfUFJJQ0UoNDAxNTQpLShGRl9DQVNIX1NUKFFUUiw0MDE1NCkvUF9DT01fU0hTX09VVCg0MDE1NCkpKS9GR","V9FU1RJTUFURSgnRVBTJywnTUVBTicsJ0FOTlVBTF9ST0xMJywnKzEnLDQwMTU0LCwsJycp&amp;WINDOW=FIRST_POPUP&amp;HEIGHT=450&amp;WIDTH=450&amp;START_MAXIMIZED=FALSE&amp;VAR:CALENDAR=US&amp;VAR:SYMBOL=98433210&amp;VAR:INDEX=0"}</definedName>
    <definedName name="_7863__FDSAUDITLINK__">{"fdsup://directions/FAT Viewer?action=UPDATE&amp;creator=factset&amp;DYN_ARGS=TRUE&amp;DOC_NAME=FAT:FQL_AUDITING_CLIENT_TEMPLATE.FAT&amp;display_string=Audit&amp;VAR:KEY=FKVELERGTI&amp;VAR:QUERY=KFBfUFJJQ0UoNDAxNTQpLShGRl9DQVNIX1NUKFFUUiw0MDE1NCkvUF9DT01fU0hTX09VVCg0MDE1NCkpKS9GR","V9FU1RJTUFURSgnRVBTJywnTUVBTicsJ0FOTlVBTF9ST0xMJywnKzEnLDQwMTU0LCwsJycp&amp;WINDOW=FIRST_POPUP&amp;HEIGHT=450&amp;WIDTH=450&amp;START_MAXIMIZED=FALSE&amp;VAR:CALENDAR=US&amp;VAR:SYMBOL=98433210&amp;VAR:INDEX=0"}</definedName>
    <definedName name="_7864__FDSAUDITLINK__">{"fdsup://directions/FAT Viewer?action=UPDATE&amp;creator=factset&amp;DYN_ARGS=TRUE&amp;DOC_NAME=FAT:FQL_AUDITING_CLIENT_TEMPLATE.FAT&amp;display_string=Audit&amp;VAR:KEY=DYZIVAPCXW&amp;VAR:QUERY=KFBfUFJJQ0UoNDAxNTMpLShGRl9DQVNIX1NUKFFUUiw0MDE1MykvUF9DT01fU0hTX09VVCg0MDE1MykpKS9GR","V9FU1RJTUFURSgnRVBTJywnTUVBTicsJ0FOTlVBTF9ST0xMJywnKzEnLDQwMTUzLCwsJycp&amp;WINDOW=FIRST_POPUP&amp;HEIGHT=450&amp;WIDTH=450&amp;START_MAXIMIZED=FALSE&amp;VAR:CALENDAR=US&amp;VAR:SYMBOL=98433210&amp;VAR:INDEX=0"}</definedName>
    <definedName name="_7865__FDSAUDITLINK__">{"fdsup://directions/FAT Viewer?action=UPDATE&amp;creator=factset&amp;DYN_ARGS=TRUE&amp;DOC_NAME=FAT:FQL_AUDITING_CLIENT_TEMPLATE.FAT&amp;display_string=Audit&amp;VAR:KEY=DYZIVAPCXW&amp;VAR:QUERY=KFBfUFJJQ0UoNDAxNTMpLShGRl9DQVNIX1NUKFFUUiw0MDE1MykvUF9DT01fU0hTX09VVCg0MDE1MykpKS9GR","V9FU1RJTUFURSgnRVBTJywnTUVBTicsJ0FOTlVBTF9ST0xMJywnKzEnLDQwMTUzLCwsJycp&amp;WINDOW=FIRST_POPUP&amp;HEIGHT=450&amp;WIDTH=450&amp;START_MAXIMIZED=FALSE&amp;VAR:CALENDAR=US&amp;VAR:SYMBOL=98433210&amp;VAR:INDEX=0"}</definedName>
    <definedName name="_7866__FDSAUDITLINK__">{"fdsup://directions/FAT Viewer?action=UPDATE&amp;creator=factset&amp;DYN_ARGS=TRUE&amp;DOC_NAME=FAT:FQL_AUDITING_CLIENT_TEMPLATE.FAT&amp;display_string=Audit&amp;VAR:KEY=ZUHCTYFIVO&amp;VAR:QUERY=KFBfUFJJQ0UoNDAxNTIpLShGRl9DQVNIX1NUKFFUUiw0MDE1MikvUF9DT01fU0hTX09VVCg0MDE1MikpKS9GR","V9FU1RJTUFURSgnRVBTJywnTUVBTicsJ0FOTlVBTF9ST0xMJywnKzEnLDQwMTUyLCwsJycp&amp;WINDOW=FIRST_POPUP&amp;HEIGHT=450&amp;WIDTH=450&amp;START_MAXIMIZED=FALSE&amp;VAR:CALENDAR=US&amp;VAR:SYMBOL=98433210&amp;VAR:INDEX=0"}</definedName>
    <definedName name="_7867__FDSAUDITLINK__">{"fdsup://directions/FAT Viewer?action=UPDATE&amp;creator=factset&amp;DYN_ARGS=TRUE&amp;DOC_NAME=FAT:FQL_AUDITING_CLIENT_TEMPLATE.FAT&amp;display_string=Audit&amp;VAR:KEY=ZUHCTYFIVO&amp;VAR:QUERY=KFBfUFJJQ0UoNDAxNTIpLShGRl9DQVNIX1NUKFFUUiw0MDE1MikvUF9DT01fU0hTX09VVCg0MDE1MikpKS9GR","V9FU1RJTUFURSgnRVBTJywnTUVBTicsJ0FOTlVBTF9ST0xMJywnKzEnLDQwMTUyLCwsJycp&amp;WINDOW=FIRST_POPUP&amp;HEIGHT=450&amp;WIDTH=450&amp;START_MAXIMIZED=FALSE&amp;VAR:CALENDAR=US&amp;VAR:SYMBOL=98433210&amp;VAR:INDEX=0"}</definedName>
    <definedName name="_7868__FDSAUDITLINK__">{"fdsup://directions/FAT Viewer?action=UPDATE&amp;creator=factset&amp;DYN_ARGS=TRUE&amp;DOC_NAME=FAT:FQL_AUDITING_CLIENT_TEMPLATE.FAT&amp;display_string=Audit&amp;VAR:KEY=DYDOTATOBG&amp;VAR:QUERY=KFBfUFJJQ0UoNDAxNTEpLShGRl9DQVNIX1NUKFFUUiw0MDE1MSkvUF9DT01fU0hTX09VVCg0MDE1MSkpKS9GR","V9FU1RJTUFURSgnRVBTJywnTUVBTicsJ0FOTlVBTF9ST0xMJywnKzEnLDQwMTUxLCwsJycp&amp;WINDOW=FIRST_POPUP&amp;HEIGHT=450&amp;WIDTH=450&amp;START_MAXIMIZED=FALSE&amp;VAR:CALENDAR=US&amp;VAR:SYMBOL=98433210&amp;VAR:INDEX=0"}</definedName>
    <definedName name="_7869__FDSAUDITLINK__">{"fdsup://directions/FAT Viewer?action=UPDATE&amp;creator=factset&amp;DYN_ARGS=TRUE&amp;DOC_NAME=FAT:FQL_AUDITING_CLIENT_TEMPLATE.FAT&amp;display_string=Audit&amp;VAR:KEY=DYDOTATOBG&amp;VAR:QUERY=KFBfUFJJQ0UoNDAxNTEpLShGRl9DQVNIX1NUKFFUUiw0MDE1MSkvUF9DT01fU0hTX09VVCg0MDE1MSkpKS9GR","V9FU1RJTUFURSgnRVBTJywnTUVBTicsJ0FOTlVBTF9ST0xMJywnKzEnLDQwMTUxLCwsJycp&amp;WINDOW=FIRST_POPUP&amp;HEIGHT=450&amp;WIDTH=450&amp;START_MAXIMIZED=FALSE&amp;VAR:CALENDAR=US&amp;VAR:SYMBOL=98433210&amp;VAR:INDEX=0"}</definedName>
    <definedName name="_78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1003"}</definedName>
    <definedName name="_7870__FDSAUDITLINK__">{"fdsup://directions/FAT Viewer?action=UPDATE&amp;creator=factset&amp;DYN_ARGS=TRUE&amp;DOC_NAME=FAT:FQL_AUDITING_CLIENT_TEMPLATE.FAT&amp;display_string=Audit&amp;VAR:KEY=HGPMDMBAFU&amp;VAR:QUERY=KFBfUFJJQ0UoNDAxNTApLShGRl9DQVNIX1NUKFFUUiw0MDE1MCkvUF9DT01fU0hTX09VVCg0MDE1MCkpKS9GR","V9FU1RJTUFURSgnRVBTJywnTUVBTicsJ0FOTlVBTF9ST0xMJywnKzEnLDQwMTUwLCwsJycp&amp;WINDOW=FIRST_POPUP&amp;HEIGHT=450&amp;WIDTH=450&amp;START_MAXIMIZED=FALSE&amp;VAR:CALENDAR=US&amp;VAR:SYMBOL=98433210&amp;VAR:INDEX=0"}</definedName>
    <definedName name="_7871__FDSAUDITLINK__">{"fdsup://directions/FAT Viewer?action=UPDATE&amp;creator=factset&amp;DYN_ARGS=TRUE&amp;DOC_NAME=FAT:FQL_AUDITING_CLIENT_TEMPLATE.FAT&amp;display_string=Audit&amp;VAR:KEY=HGPMDMBAFU&amp;VAR:QUERY=KFBfUFJJQ0UoNDAxNTApLShGRl9DQVNIX1NUKFFUUiw0MDE1MCkvUF9DT01fU0hTX09VVCg0MDE1MCkpKS9GR","V9FU1RJTUFURSgnRVBTJywnTUVBTicsJ0FOTlVBTF9ST0xMJywnKzEnLDQwMTUwLCwsJycp&amp;WINDOW=FIRST_POPUP&amp;HEIGHT=450&amp;WIDTH=450&amp;START_MAXIMIZED=FALSE&amp;VAR:CALENDAR=US&amp;VAR:SYMBOL=98433210&amp;VAR:INDEX=0"}</definedName>
    <definedName name="_7872__FDSAUDITLINK__">{"fdsup://directions/FAT Viewer?action=UPDATE&amp;creator=factset&amp;DYN_ARGS=TRUE&amp;DOC_NAME=FAT:FQL_AUDITING_CLIENT_TEMPLATE.FAT&amp;display_string=Audit&amp;VAR:KEY=DYBQTMXCFE&amp;VAR:QUERY=KFBfUFJJQ0UoNDAxNDkpLShGRl9DQVNIX1NUKFFUUiw0MDE0OSkvUF9DT01fU0hTX09VVCg0MDE0OSkpKS9GR","V9FU1RJTUFURSgnRVBTJywnTUVBTicsJ0FOTlVBTF9ST0xMJywnKzEnLDQwMTQ5LCwsJycp&amp;WINDOW=FIRST_POPUP&amp;HEIGHT=450&amp;WIDTH=450&amp;START_MAXIMIZED=FALSE&amp;VAR:CALENDAR=US&amp;VAR:SYMBOL=98433210&amp;VAR:INDEX=0"}</definedName>
    <definedName name="_7873__FDSAUDITLINK__">{"fdsup://directions/FAT Viewer?action=UPDATE&amp;creator=factset&amp;DYN_ARGS=TRUE&amp;DOC_NAME=FAT:FQL_AUDITING_CLIENT_TEMPLATE.FAT&amp;display_string=Audit&amp;VAR:KEY=DYBQTMXCFE&amp;VAR:QUERY=KFBfUFJJQ0UoNDAxNDkpLShGRl9DQVNIX1NUKFFUUiw0MDE0OSkvUF9DT01fU0hTX09VVCg0MDE0OSkpKS9GR","V9FU1RJTUFURSgnRVBTJywnTUVBTicsJ0FOTlVBTF9ST0xMJywnKzEnLDQwMTQ5LCwsJycp&amp;WINDOW=FIRST_POPUP&amp;HEIGHT=450&amp;WIDTH=450&amp;START_MAXIMIZED=FALSE&amp;VAR:CALENDAR=US&amp;VAR:SYMBOL=98433210&amp;VAR:INDEX=0"}</definedName>
    <definedName name="_7874__FDSAUDITLINK__">{"fdsup://directions/FAT Viewer?action=UPDATE&amp;creator=factset&amp;DYN_ARGS=TRUE&amp;DOC_NAME=FAT:FQL_AUDITING_CLIENT_TEMPLATE.FAT&amp;display_string=Audit&amp;VAR:KEY=NQTCZUJWVM&amp;VAR:QUERY=KFBfUFJJQ0UoNDAxNDgpLShGRl9DQVNIX1NUKFFUUiw0MDE0OCkvUF9DT01fU0hTX09VVCg0MDE0OCkpKS9GR","V9FU1RJTUFURSgnRVBTJywnTUVBTicsJ0FOTlVBTF9ST0xMJywnKzEnLDQwMTQ4LCwsJycp&amp;WINDOW=FIRST_POPUP&amp;HEIGHT=450&amp;WIDTH=450&amp;START_MAXIMIZED=FALSE&amp;VAR:CALENDAR=US&amp;VAR:SYMBOL=98433210&amp;VAR:INDEX=0"}</definedName>
    <definedName name="_7875__FDSAUDITLINK__">{"fdsup://directions/FAT Viewer?action=UPDATE&amp;creator=factset&amp;DYN_ARGS=TRUE&amp;DOC_NAME=FAT:FQL_AUDITING_CLIENT_TEMPLATE.FAT&amp;display_string=Audit&amp;VAR:KEY=NQTCZUJWVM&amp;VAR:QUERY=KFBfUFJJQ0UoNDAxNDgpLShGRl9DQVNIX1NUKFFUUiw0MDE0OCkvUF9DT01fU0hTX09VVCg0MDE0OCkpKS9GR","V9FU1RJTUFURSgnRVBTJywnTUVBTicsJ0FOTlVBTF9ST0xMJywnKzEnLDQwMTQ4LCwsJycp&amp;WINDOW=FIRST_POPUP&amp;HEIGHT=450&amp;WIDTH=450&amp;START_MAXIMIZED=FALSE&amp;VAR:CALENDAR=US&amp;VAR:SYMBOL=98433210&amp;VAR:INDEX=0"}</definedName>
    <definedName name="_7876__FDSAUDITLINK__">{"fdsup://directions/FAT Viewer?action=UPDATE&amp;creator=factset&amp;DYN_ARGS=TRUE&amp;DOC_NAME=FAT:FQL_AUDITING_CLIENT_TEMPLATE.FAT&amp;display_string=Audit&amp;VAR:KEY=TYZCBOVEBQ&amp;VAR:QUERY=KFBfUFJJQ0UoNDAxNDcpLShGRl9DQVNIX1NUKFFUUiw0MDE0NykvUF9DT01fU0hTX09VVCg0MDE0NykpKS9GR","V9FU1RJTUFURSgnRVBTJywnTUVBTicsJ0FOTlVBTF9ST0xMJywnKzEnLDQwMTQ3LCwsJycp&amp;WINDOW=FIRST_POPUP&amp;HEIGHT=450&amp;WIDTH=450&amp;START_MAXIMIZED=FALSE&amp;VAR:CALENDAR=US&amp;VAR:SYMBOL=98433210&amp;VAR:INDEX=0"}</definedName>
    <definedName name="_7877__FDSAUDITLINK__">{"fdsup://directions/FAT Viewer?action=UPDATE&amp;creator=factset&amp;DYN_ARGS=TRUE&amp;DOC_NAME=FAT:FQL_AUDITING_CLIENT_TEMPLATE.FAT&amp;display_string=Audit&amp;VAR:KEY=TYZCBOVEBQ&amp;VAR:QUERY=KFBfUFJJQ0UoNDAxNDcpLShGRl9DQVNIX1NUKFFUUiw0MDE0NykvUF9DT01fU0hTX09VVCg0MDE0NykpKS9GR","V9FU1RJTUFURSgnRVBTJywnTUVBTicsJ0FOTlVBTF9ST0xMJywnKzEnLDQwMTQ3LCwsJycp&amp;WINDOW=FIRST_POPUP&amp;HEIGHT=450&amp;WIDTH=450&amp;START_MAXIMIZED=FALSE&amp;VAR:CALENDAR=US&amp;VAR:SYMBOL=98433210&amp;VAR:INDEX=0"}</definedName>
    <definedName name="_7878__FDSAUDITLINK__">{"fdsup://directions/FAT Viewer?action=UPDATE&amp;creator=factset&amp;DYN_ARGS=TRUE&amp;DOC_NAME=FAT:FQL_AUDITING_CLIENT_TEMPLATE.FAT&amp;display_string=Audit&amp;VAR:KEY=ZWPUHMVEFS&amp;VAR:QUERY=KFBfUFJJQ0UoNDAxNDYpLShGRl9DQVNIX1NUKFFUUiw0MDE0NikvUF9DT01fU0hTX09VVCg0MDE0NikpKS9GR","V9FU1RJTUFURSgnRVBTJywnTUVBTicsJ0FOTlVBTF9ST0xMJywnKzEnLDQwMTQ2LCwsJycp&amp;WINDOW=FIRST_POPUP&amp;HEIGHT=450&amp;WIDTH=450&amp;START_MAXIMIZED=FALSE&amp;VAR:CALENDAR=US&amp;VAR:SYMBOL=98433210&amp;VAR:INDEX=0"}</definedName>
    <definedName name="_7879__FDSAUDITLINK__">{"fdsup://directions/FAT Viewer?action=UPDATE&amp;creator=factset&amp;DYN_ARGS=TRUE&amp;DOC_NAME=FAT:FQL_AUDITING_CLIENT_TEMPLATE.FAT&amp;display_string=Audit&amp;VAR:KEY=ZWPUHMVEFS&amp;VAR:QUERY=KFBfUFJJQ0UoNDAxNDYpLShGRl9DQVNIX1NUKFFUUiw0MDE0NikvUF9DT01fU0hTX09VVCg0MDE0NikpKS9GR","V9FU1RJTUFURSgnRVBTJywnTUVBTicsJ0FOTlVBTF9ST0xMJywnKzEnLDQwMTQ2LCwsJycp&amp;WINDOW=FIRST_POPUP&amp;HEIGHT=450&amp;WIDTH=450&amp;START_MAXIMIZED=FALSE&amp;VAR:CALENDAR=US&amp;VAR:SYMBOL=98433210&amp;VAR:INDEX=0"}</definedName>
    <definedName name="_78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1002"}</definedName>
    <definedName name="_7880__FDSAUDITLINK__">{"fdsup://directions/FAT Viewer?action=UPDATE&amp;creator=factset&amp;DYN_ARGS=TRUE&amp;DOC_NAME=FAT:FQL_AUDITING_CLIENT_TEMPLATE.FAT&amp;display_string=Audit&amp;VAR:KEY=PMNINCPKLA&amp;VAR:QUERY=KFBfUFJJQ0UoNDAxNDUpLShGRl9DQVNIX1NUKFFUUiw0MDE0NSkvUF9DT01fU0hTX09VVCg0MDE0NSkpKS9GR","V9FU1RJTUFURSgnRVBTJywnTUVBTicsJ0FOTlVBTF9ST0xMJywnKzEnLDQwMTQ1LCwsJycp&amp;WINDOW=FIRST_POPUP&amp;HEIGHT=450&amp;WIDTH=450&amp;START_MAXIMIZED=FALSE&amp;VAR:CALENDAR=US&amp;VAR:SYMBOL=98433210&amp;VAR:INDEX=0"}</definedName>
    <definedName name="_7881__FDSAUDITLINK__">{"fdsup://directions/FAT Viewer?action=UPDATE&amp;creator=factset&amp;DYN_ARGS=TRUE&amp;DOC_NAME=FAT:FQL_AUDITING_CLIENT_TEMPLATE.FAT&amp;display_string=Audit&amp;VAR:KEY=PMNINCPKLA&amp;VAR:QUERY=KFBfUFJJQ0UoNDAxNDUpLShGRl9DQVNIX1NUKFFUUiw0MDE0NSkvUF9DT01fU0hTX09VVCg0MDE0NSkpKS9GR","V9FU1RJTUFURSgnRVBTJywnTUVBTicsJ0FOTlVBTF9ST0xMJywnKzEnLDQwMTQ1LCwsJycp&amp;WINDOW=FIRST_POPUP&amp;HEIGHT=450&amp;WIDTH=450&amp;START_MAXIMIZED=FALSE&amp;VAR:CALENDAR=US&amp;VAR:SYMBOL=98433210&amp;VAR:INDEX=0"}</definedName>
    <definedName name="_7882__FDSAUDITLINK__">{"fdsup://directions/FAT Viewer?action=UPDATE&amp;creator=factset&amp;DYN_ARGS=TRUE&amp;DOC_NAME=FAT:FQL_AUDITING_CLIENT_TEMPLATE.FAT&amp;display_string=Audit&amp;VAR:KEY=VCNUJABGFC&amp;VAR:QUERY=KFBfUFJJQ0UoNDAxNDQpLShGRl9DQVNIX1NUKFFUUiw0MDE0NCkvUF9DT01fU0hTX09VVCg0MDE0NCkpKS9GR","V9FU1RJTUFURSgnRVBTJywnTUVBTicsJ0FOTlVBTF9ST0xMJywnKzEnLDQwMTQ0LCwsJycp&amp;WINDOW=FIRST_POPUP&amp;HEIGHT=450&amp;WIDTH=450&amp;START_MAXIMIZED=FALSE&amp;VAR:CALENDAR=US&amp;VAR:SYMBOL=98433210&amp;VAR:INDEX=0"}</definedName>
    <definedName name="_7883__FDSAUDITLINK__">{"fdsup://directions/FAT Viewer?action=UPDATE&amp;creator=factset&amp;DYN_ARGS=TRUE&amp;DOC_NAME=FAT:FQL_AUDITING_CLIENT_TEMPLATE.FAT&amp;display_string=Audit&amp;VAR:KEY=VCNUJABGFC&amp;VAR:QUERY=KFBfUFJJQ0UoNDAxNDQpLShGRl9DQVNIX1NUKFFUUiw0MDE0NCkvUF9DT01fU0hTX09VVCg0MDE0NCkpKS9GR","V9FU1RJTUFURSgnRVBTJywnTUVBTicsJ0FOTlVBTF9ST0xMJywnKzEnLDQwMTQ0LCwsJycp&amp;WINDOW=FIRST_POPUP&amp;HEIGHT=450&amp;WIDTH=450&amp;START_MAXIMIZED=FALSE&amp;VAR:CALENDAR=US&amp;VAR:SYMBOL=98433210&amp;VAR:INDEX=0"}</definedName>
    <definedName name="_7884__FDSAUDITLINK__">{"fdsup://directions/FAT Viewer?action=UPDATE&amp;creator=factset&amp;DYN_ARGS=TRUE&amp;DOC_NAME=FAT:FQL_AUDITING_CLIENT_TEMPLATE.FAT&amp;display_string=Audit&amp;VAR:KEY=LMXOFWXIPA&amp;VAR:QUERY=KFBfUFJJQ0UoNDAxNDMpLShGRl9DQVNIX1NUKFFUUiw0MDE0MykvUF9DT01fU0hTX09VVCg0MDE0MykpKS9GR","V9FU1RJTUFURSgnRVBTJywnTUVBTicsJ0FOTlVBTF9ST0xMJywnKzEnLDQwMTQzLCwsJycp&amp;WINDOW=FIRST_POPUP&amp;HEIGHT=450&amp;WIDTH=450&amp;START_MAXIMIZED=FALSE&amp;VAR:CALENDAR=US&amp;VAR:SYMBOL=98433210&amp;VAR:INDEX=0"}</definedName>
    <definedName name="_7885__FDSAUDITLINK__">{"fdsup://directions/FAT Viewer?action=UPDATE&amp;creator=factset&amp;DYN_ARGS=TRUE&amp;DOC_NAME=FAT:FQL_AUDITING_CLIENT_TEMPLATE.FAT&amp;display_string=Audit&amp;VAR:KEY=LMXOFWXIPA&amp;VAR:QUERY=KFBfUFJJQ0UoNDAxNDMpLShGRl9DQVNIX1NUKFFUUiw0MDE0MykvUF9DT01fU0hTX09VVCg0MDE0MykpKS9GR","V9FU1RJTUFURSgnRVBTJywnTUVBTicsJ0FOTlVBTF9ST0xMJywnKzEnLDQwMTQzLCwsJycp&amp;WINDOW=FIRST_POPUP&amp;HEIGHT=450&amp;WIDTH=450&amp;START_MAXIMIZED=FALSE&amp;VAR:CALENDAR=US&amp;VAR:SYMBOL=98433210&amp;VAR:INDEX=0"}</definedName>
    <definedName name="_7886__FDSAUDITLINK__">{"fdsup://directions/FAT Viewer?action=UPDATE&amp;creator=factset&amp;DYN_ARGS=TRUE&amp;DOC_NAME=FAT:FQL_AUDITING_CLIENT_TEMPLATE.FAT&amp;display_string=Audit&amp;VAR:KEY=DSNOTSXSHM&amp;VAR:QUERY=KFBfUFJJQ0UoNDAxNDIpLShGRl9DQVNIX1NUKFFUUiw0MDE0MikvUF9DT01fU0hTX09VVCg0MDE0MikpKS9GR","V9FU1RJTUFURSgnRVBTJywnTUVBTicsJ0FOTlVBTF9ST0xMJywnKzEnLDQwMTQyLCwsJycp&amp;WINDOW=FIRST_POPUP&amp;HEIGHT=450&amp;WIDTH=450&amp;START_MAXIMIZED=FALSE&amp;VAR:CALENDAR=US&amp;VAR:SYMBOL=98433210&amp;VAR:INDEX=0"}</definedName>
    <definedName name="_7887__FDSAUDITLINK__">{"fdsup://directions/FAT Viewer?action=UPDATE&amp;creator=factset&amp;DYN_ARGS=TRUE&amp;DOC_NAME=FAT:FQL_AUDITING_CLIENT_TEMPLATE.FAT&amp;display_string=Audit&amp;VAR:KEY=DSNOTSXSHM&amp;VAR:QUERY=KFBfUFJJQ0UoNDAxNDIpLShGRl9DQVNIX1NUKFFUUiw0MDE0MikvUF9DT01fU0hTX09VVCg0MDE0MikpKS9GR","V9FU1RJTUFURSgnRVBTJywnTUVBTicsJ0FOTlVBTF9ST0xMJywnKzEnLDQwMTQyLCwsJycp&amp;WINDOW=FIRST_POPUP&amp;HEIGHT=450&amp;WIDTH=450&amp;START_MAXIMIZED=FALSE&amp;VAR:CALENDAR=US&amp;VAR:SYMBOL=98433210&amp;VAR:INDEX=0"}</definedName>
    <definedName name="_7888__FDSAUDITLINK__">{"fdsup://directions/FAT Viewer?action=UPDATE&amp;creator=factset&amp;DYN_ARGS=TRUE&amp;DOC_NAME=FAT:FQL_AUDITING_CLIENT_TEMPLATE.FAT&amp;display_string=Audit&amp;VAR:KEY=FMJGHSPWRS&amp;VAR:QUERY=KFBfUFJJQ0UoNDAxNDEpLShGRl9DQVNIX1NUKFFUUiw0MDE0MSkvUF9DT01fU0hTX09VVCg0MDE0MSkpKS9GR","V9FU1RJTUFURSgnRVBTJywnTUVBTicsJ0FOTlVBTF9ST0xMJywnKzEnLDQwMTQxLCwsJycp&amp;WINDOW=FIRST_POPUP&amp;HEIGHT=450&amp;WIDTH=450&amp;START_MAXIMIZED=FALSE&amp;VAR:CALENDAR=US&amp;VAR:SYMBOL=98433210&amp;VAR:INDEX=0"}</definedName>
    <definedName name="_7889__FDSAUDITLINK__">{"fdsup://directions/FAT Viewer?action=UPDATE&amp;creator=factset&amp;DYN_ARGS=TRUE&amp;DOC_NAME=FAT:FQL_AUDITING_CLIENT_TEMPLATE.FAT&amp;display_string=Audit&amp;VAR:KEY=FMJGHSPWRS&amp;VAR:QUERY=KFBfUFJJQ0UoNDAxNDEpLShGRl9DQVNIX1NUKFFUUiw0MDE0MSkvUF9DT01fU0hTX09VVCg0MDE0MSkpKS9GR","V9FU1RJTUFURSgnRVBTJywnTUVBTicsJ0FOTlVBTF9ST0xMJywnKzEnLDQwMTQxLCwsJycp&amp;WINDOW=FIRST_POPUP&amp;HEIGHT=450&amp;WIDTH=450&amp;START_MAXIMIZED=FALSE&amp;VAR:CALENDAR=US&amp;VAR:SYMBOL=98433210&amp;VAR:INDEX=0"}</definedName>
    <definedName name="_78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1001"}</definedName>
    <definedName name="_7890__FDSAUDITLINK__">{"fdsup://directions/FAT Viewer?action=UPDATE&amp;creator=factset&amp;DYN_ARGS=TRUE&amp;DOC_NAME=FAT:FQL_AUDITING_CLIENT_TEMPLATE.FAT&amp;display_string=Audit&amp;VAR:KEY=TCHMXWTOZW&amp;VAR:QUERY=KFBfUFJJQ0UoNDAxNDApLShGRl9DQVNIX1NUKFFUUiw0MDE0MCkvUF9DT01fU0hTX09VVCg0MDE0MCkpKS9GR","V9FU1RJTUFURSgnRVBTJywnTUVBTicsJ0FOTlVBTF9ST0xMJywnKzEnLDQwMTQwLCwsJycp&amp;WINDOW=FIRST_POPUP&amp;HEIGHT=450&amp;WIDTH=450&amp;START_MAXIMIZED=FALSE&amp;VAR:CALENDAR=US&amp;VAR:SYMBOL=98433210&amp;VAR:INDEX=0"}</definedName>
    <definedName name="_7891__FDSAUDITLINK__">{"fdsup://directions/FAT Viewer?action=UPDATE&amp;creator=factset&amp;DYN_ARGS=TRUE&amp;DOC_NAME=FAT:FQL_AUDITING_CLIENT_TEMPLATE.FAT&amp;display_string=Audit&amp;VAR:KEY=TCHMXWTOZW&amp;VAR:QUERY=KFBfUFJJQ0UoNDAxNDApLShGRl9DQVNIX1NUKFFUUiw0MDE0MCkvUF9DT01fU0hTX09VVCg0MDE0MCkpKS9GR","V9FU1RJTUFURSgnRVBTJywnTUVBTicsJ0FOTlVBTF9ST0xMJywnKzEnLDQwMTQwLCwsJycp&amp;WINDOW=FIRST_POPUP&amp;HEIGHT=450&amp;WIDTH=450&amp;START_MAXIMIZED=FALSE&amp;VAR:CALENDAR=US&amp;VAR:SYMBOL=98433210&amp;VAR:INDEX=0"}</definedName>
    <definedName name="_7892__FDSAUDITLINK__">{"fdsup://directions/FAT Viewer?action=UPDATE&amp;creator=factset&amp;DYN_ARGS=TRUE&amp;DOC_NAME=FAT:FQL_AUDITING_CLIENT_TEMPLATE.FAT&amp;display_string=Audit&amp;VAR:KEY=NOTODKXEFK&amp;VAR:QUERY=KFBfUFJJQ0UoNDAxMzkpLShGRl9DQVNIX1NUKFFUUiw0MDEzOSkvUF9DT01fU0hTX09VVCg0MDEzOSkpKS9GR","V9FU1RJTUFURSgnRVBTJywnTUVBTicsJ0FOTlVBTF9ST0xMJywnKzEnLDQwMTM5LCwsJycp&amp;WINDOW=FIRST_POPUP&amp;HEIGHT=450&amp;WIDTH=450&amp;START_MAXIMIZED=FALSE&amp;VAR:CALENDAR=US&amp;VAR:SYMBOL=98433210&amp;VAR:INDEX=0"}</definedName>
    <definedName name="_7893__FDSAUDITLINK__">{"fdsup://directions/FAT Viewer?action=UPDATE&amp;creator=factset&amp;DYN_ARGS=TRUE&amp;DOC_NAME=FAT:FQL_AUDITING_CLIENT_TEMPLATE.FAT&amp;display_string=Audit&amp;VAR:KEY=NOTODKXEFK&amp;VAR:QUERY=KFBfUFJJQ0UoNDAxMzkpLShGRl9DQVNIX1NUKFFUUiw0MDEzOSkvUF9DT01fU0hTX09VVCg0MDEzOSkpKS9GR","V9FU1RJTUFURSgnRVBTJywnTUVBTicsJ0FOTlVBTF9ST0xMJywnKzEnLDQwMTM5LCwsJycp&amp;WINDOW=FIRST_POPUP&amp;HEIGHT=450&amp;WIDTH=450&amp;START_MAXIMIZED=FALSE&amp;VAR:CALENDAR=US&amp;VAR:SYMBOL=98433210&amp;VAR:INDEX=0"}</definedName>
    <definedName name="_7894__FDSAUDITLINK__">{"fdsup://directions/FAT Viewer?action=UPDATE&amp;creator=factset&amp;DYN_ARGS=TRUE&amp;DOC_NAME=FAT:FQL_AUDITING_CLIENT_TEMPLATE.FAT&amp;display_string=Audit&amp;VAR:KEY=DSDGVEDITG&amp;VAR:QUERY=KFBfUFJJQ0UoNDAxMzgpLShGRl9DQVNIX1NUKFFUUiw0MDEzOCkvUF9DT01fU0hTX09VVCg0MDEzOCkpKS9GR","V9FU1RJTUFURSgnRVBTJywnTUVBTicsJ0FOTlVBTF9ST0xMJywnKzEnLDQwMTM4LCwsJycp&amp;WINDOW=FIRST_POPUP&amp;HEIGHT=450&amp;WIDTH=450&amp;START_MAXIMIZED=FALSE&amp;VAR:CALENDAR=US&amp;VAR:SYMBOL=98433210&amp;VAR:INDEX=0"}</definedName>
    <definedName name="_7895__FDSAUDITLINK__">{"fdsup://directions/FAT Viewer?action=UPDATE&amp;creator=factset&amp;DYN_ARGS=TRUE&amp;DOC_NAME=FAT:FQL_AUDITING_CLIENT_TEMPLATE.FAT&amp;display_string=Audit&amp;VAR:KEY=DSDGVEDITG&amp;VAR:QUERY=KFBfUFJJQ0UoNDAxMzgpLShGRl9DQVNIX1NUKFFUUiw0MDEzOCkvUF9DT01fU0hTX09VVCg0MDEzOCkpKS9GR","V9FU1RJTUFURSgnRVBTJywnTUVBTicsJ0FOTlVBTF9ST0xMJywnKzEnLDQwMTM4LCwsJycp&amp;WINDOW=FIRST_POPUP&amp;HEIGHT=450&amp;WIDTH=450&amp;START_MAXIMIZED=FALSE&amp;VAR:CALENDAR=US&amp;VAR:SYMBOL=98433210&amp;VAR:INDEX=0"}</definedName>
    <definedName name="_7896__FDSAUDITLINK__">{"fdsup://directions/FAT Viewer?action=UPDATE&amp;creator=factset&amp;DYN_ARGS=TRUE&amp;DOC_NAME=FAT:FQL_AUDITING_CLIENT_TEMPLATE.FAT&amp;display_string=Audit&amp;VAR:KEY=LQHAJWXAXS&amp;VAR:QUERY=KFBfUFJJQ0UoNDAxMzcpLShGRl9DQVNIX1NUKFFUUiw0MDEzNykvUF9DT01fU0hTX09VVCg0MDEzNykpKS9GR","V9FU1RJTUFURSgnRVBTJywnTUVBTicsJ0FOTlVBTF9ST0xMJywnKzEnLDQwMTM3LCwsJycp&amp;WINDOW=FIRST_POPUP&amp;HEIGHT=450&amp;WIDTH=450&amp;START_MAXIMIZED=FALSE&amp;VAR:CALENDAR=US&amp;VAR:SYMBOL=98433210&amp;VAR:INDEX=0"}</definedName>
    <definedName name="_7897__FDSAUDITLINK__">{"fdsup://directions/FAT Viewer?action=UPDATE&amp;creator=factset&amp;DYN_ARGS=TRUE&amp;DOC_NAME=FAT:FQL_AUDITING_CLIENT_TEMPLATE.FAT&amp;display_string=Audit&amp;VAR:KEY=LQHAJWXAXS&amp;VAR:QUERY=KFBfUFJJQ0UoNDAxMzcpLShGRl9DQVNIX1NUKFFUUiw0MDEzNykvUF9DT01fU0hTX09VVCg0MDEzNykpKS9GR","V9FU1RJTUFURSgnRVBTJywnTUVBTicsJ0FOTlVBTF9ST0xMJywnKzEnLDQwMTM3LCwsJycp&amp;WINDOW=FIRST_POPUP&amp;HEIGHT=450&amp;WIDTH=450&amp;START_MAXIMIZED=FALSE&amp;VAR:CALENDAR=US&amp;VAR:SYMBOL=98433210&amp;VAR:INDEX=0"}</definedName>
    <definedName name="_7898__FDSAUDITLINK__">{"fdsup://directions/FAT Viewer?action=UPDATE&amp;creator=factset&amp;DYN_ARGS=TRUE&amp;DOC_NAME=FAT:FQL_AUDITING_CLIENT_TEMPLATE.FAT&amp;display_string=Audit&amp;VAR:KEY=TCXEDGHUTW&amp;VAR:QUERY=KFBfUFJJQ0UoNDAxMzYpLShGRl9DQVNIX1NUKFFUUiw0MDEzNikvUF9DT01fU0hTX09VVCg0MDEzNikpKS9GR","V9FU1RJTUFURSgnRVBTJywnTUVBTicsJ0FOTlVBTF9ST0xMJywnKzEnLDQwMTM2LCwsJycp&amp;WINDOW=FIRST_POPUP&amp;HEIGHT=450&amp;WIDTH=450&amp;START_MAXIMIZED=FALSE&amp;VAR:CALENDAR=US&amp;VAR:SYMBOL=98433210&amp;VAR:INDEX=0"}</definedName>
    <definedName name="_7899__FDSAUDITLINK__">{"fdsup://directions/FAT Viewer?action=UPDATE&amp;creator=factset&amp;DYN_ARGS=TRUE&amp;DOC_NAME=FAT:FQL_AUDITING_CLIENT_TEMPLATE.FAT&amp;display_string=Audit&amp;VAR:KEY=TCXEDGHUTW&amp;VAR:QUERY=KFBfUFJJQ0UoNDAxMzYpLShGRl9DQVNIX1NUKFFUUiw0MDEzNikvUF9DT01fU0hTX09VVCg0MDEzNikpKS9GR","V9FU1RJTUFURSgnRVBTJywnTUVBTicsJ0FOTlVBTF9ST0xMJywnKzEnLDQwMTM2LCwsJycp&amp;WINDOW=FIRST_POPUP&amp;HEIGHT=450&amp;WIDTH=450&amp;START_MAXIMIZED=FALSE&amp;VAR:CALENDAR=US&amp;VAR:SYMBOL=98433210&amp;VAR:INDEX=0"}</definedName>
    <definedName name="_7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0.748634&amp;VAR:V=15.870983&amp;VAR:V0=17.055348&amp;VAR:V1=15.509360&amp;VAR:Y0=2004&amp;VAR:Y1=2005&amp;VAR:P=1114.583100&amp;VAR:DATE=20040930&amp;VAR:THRESH=-|-|","-|-|-|-|-"}</definedName>
    <definedName name="_79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1000"}</definedName>
    <definedName name="_7900__FDSAUDITLINK__">{"fdsup://directions/FAT Viewer?action=UPDATE&amp;creator=factset&amp;DYN_ARGS=TRUE&amp;DOC_NAME=FAT:FQL_AUDITING_CLIENT_TEMPLATE.FAT&amp;display_string=Audit&amp;VAR:KEY=NEHGPWXUFY&amp;VAR:QUERY=KFBfUFJJQ0UoNDAxMzUpLShGRl9DQVNIX1NUKFFUUiw0MDEzNSkvUF9DT01fU0hTX09VVCg0MDEzNSkpKS9GR","V9FU1RJTUFURSgnRVBTJywnTUVBTicsJ0FOTlVBTF9ST0xMJywnKzEnLDQwMTM1LCwsJycp&amp;WINDOW=FIRST_POPUP&amp;HEIGHT=450&amp;WIDTH=450&amp;START_MAXIMIZED=FALSE&amp;VAR:CALENDAR=US&amp;VAR:SYMBOL=98433210&amp;VAR:INDEX=0"}</definedName>
    <definedName name="_7901__FDSAUDITLINK__">{"fdsup://directions/FAT Viewer?action=UPDATE&amp;creator=factset&amp;DYN_ARGS=TRUE&amp;DOC_NAME=FAT:FQL_AUDITING_CLIENT_TEMPLATE.FAT&amp;display_string=Audit&amp;VAR:KEY=NEHGPWXUFY&amp;VAR:QUERY=KFBfUFJJQ0UoNDAxMzUpLShGRl9DQVNIX1NUKFFUUiw0MDEzNSkvUF9DT01fU0hTX09VVCg0MDEzNSkpKS9GR","V9FU1RJTUFURSgnRVBTJywnTUVBTicsJ0FOTlVBTF9ST0xMJywnKzEnLDQwMTM1LCwsJycp&amp;WINDOW=FIRST_POPUP&amp;HEIGHT=450&amp;WIDTH=450&amp;START_MAXIMIZED=FALSE&amp;VAR:CALENDAR=US&amp;VAR:SYMBOL=98433210&amp;VAR:INDEX=0"}</definedName>
    <definedName name="_7902__FDSAUDITLINK__">{"fdsup://directions/FAT Viewer?action=UPDATE&amp;creator=factset&amp;DYN_ARGS=TRUE&amp;DOC_NAME=FAT:FQL_AUDITING_CLIENT_TEMPLATE.FAT&amp;display_string=Audit&amp;VAR:KEY=REDQXURIZW&amp;VAR:QUERY=KFBfUFJJQ0UoNDAxMzQpLShGRl9DQVNIX1NUKFFUUiw0MDEzNCkvUF9DT01fU0hTX09VVCg0MDEzNCkpKS9GR","V9FU1RJTUFURSgnRVBTJywnTUVBTicsJ0FOTlVBTF9ST0xMJywnKzEnLDQwMTM0LCwsJycp&amp;WINDOW=FIRST_POPUP&amp;HEIGHT=450&amp;WIDTH=450&amp;START_MAXIMIZED=FALSE&amp;VAR:CALENDAR=US&amp;VAR:SYMBOL=98433210&amp;VAR:INDEX=0"}</definedName>
    <definedName name="_7903__FDSAUDITLINK__">{"fdsup://directions/FAT Viewer?action=UPDATE&amp;creator=factset&amp;DYN_ARGS=TRUE&amp;DOC_NAME=FAT:FQL_AUDITING_CLIENT_TEMPLATE.FAT&amp;display_string=Audit&amp;VAR:KEY=REDQXURIZW&amp;VAR:QUERY=KFBfUFJJQ0UoNDAxMzQpLShGRl9DQVNIX1NUKFFUUiw0MDEzNCkvUF9DT01fU0hTX09VVCg0MDEzNCkpKS9GR","V9FU1RJTUFURSgnRVBTJywnTUVBTicsJ0FOTlVBTF9ST0xMJywnKzEnLDQwMTM0LCwsJycp&amp;WINDOW=FIRST_POPUP&amp;HEIGHT=450&amp;WIDTH=450&amp;START_MAXIMIZED=FALSE&amp;VAR:CALENDAR=US&amp;VAR:SYMBOL=98433210&amp;VAR:INDEX=0"}</definedName>
    <definedName name="_7904__FDSAUDITLINK__">{"fdsup://directions/FAT Viewer?action=UPDATE&amp;creator=factset&amp;DYN_ARGS=TRUE&amp;DOC_NAME=FAT:FQL_AUDITING_CLIENT_TEMPLATE.FAT&amp;display_string=Audit&amp;VAR:KEY=NGDIDQRIZW&amp;VAR:QUERY=KFBfUFJJQ0UoNDAxMzMpLShGRl9DQVNIX1NUKFFUUiw0MDEzMykvUF9DT01fU0hTX09VVCg0MDEzMykpKS9GR","V9FU1RJTUFURSgnRVBTJywnTUVBTicsJ0FOTlVBTF9ST0xMJywnKzEnLDQwMTMzLCwsJycp&amp;WINDOW=FIRST_POPUP&amp;HEIGHT=450&amp;WIDTH=450&amp;START_MAXIMIZED=FALSE&amp;VAR:CALENDAR=US&amp;VAR:SYMBOL=98433210&amp;VAR:INDEX=0"}</definedName>
    <definedName name="_7905__FDSAUDITLINK__">{"fdsup://directions/FAT Viewer?action=UPDATE&amp;creator=factset&amp;DYN_ARGS=TRUE&amp;DOC_NAME=FAT:FQL_AUDITING_CLIENT_TEMPLATE.FAT&amp;display_string=Audit&amp;VAR:KEY=NGDIDQRIZW&amp;VAR:QUERY=KFBfUFJJQ0UoNDAxMzMpLShGRl9DQVNIX1NUKFFUUiw0MDEzMykvUF9DT01fU0hTX09VVCg0MDEzMykpKS9GR","V9FU1RJTUFURSgnRVBTJywnTUVBTicsJ0FOTlVBTF9ST0xMJywnKzEnLDQwMTMzLCwsJycp&amp;WINDOW=FIRST_POPUP&amp;HEIGHT=450&amp;WIDTH=450&amp;START_MAXIMIZED=FALSE&amp;VAR:CALENDAR=US&amp;VAR:SYMBOL=98433210&amp;VAR:INDEX=0"}</definedName>
    <definedName name="_7906__FDSAUDITLINK__">{"fdsup://directions/FAT Viewer?action=UPDATE&amp;creator=factset&amp;DYN_ARGS=TRUE&amp;DOC_NAME=FAT:FQL_AUDITING_CLIENT_TEMPLATE.FAT&amp;display_string=Audit&amp;VAR:KEY=HGBWNYBUXK&amp;VAR:QUERY=KFBfUFJJQ0UoNDAxMzIpLShGRl9DQVNIX1NUKFFUUiw0MDEzMikvUF9DT01fU0hTX09VVCg0MDEzMikpKS9GR","V9FU1RJTUFURSgnRVBTJywnTUVBTicsJ0FOTlVBTF9ST0xMJywnKzEnLDQwMTMyLCwsJycp&amp;WINDOW=FIRST_POPUP&amp;HEIGHT=450&amp;WIDTH=450&amp;START_MAXIMIZED=FALSE&amp;VAR:CALENDAR=US&amp;VAR:SYMBOL=98433210&amp;VAR:INDEX=0"}</definedName>
    <definedName name="_7907__FDSAUDITLINK__">{"fdsup://directions/FAT Viewer?action=UPDATE&amp;creator=factset&amp;DYN_ARGS=TRUE&amp;DOC_NAME=FAT:FQL_AUDITING_CLIENT_TEMPLATE.FAT&amp;display_string=Audit&amp;VAR:KEY=HGBWNYBUXK&amp;VAR:QUERY=KFBfUFJJQ0UoNDAxMzIpLShGRl9DQVNIX1NUKFFUUiw0MDEzMikvUF9DT01fU0hTX09VVCg0MDEzMikpKS9GR","V9FU1RJTUFURSgnRVBTJywnTUVBTicsJ0FOTlVBTF9ST0xMJywnKzEnLDQwMTMyLCwsJycp&amp;WINDOW=FIRST_POPUP&amp;HEIGHT=450&amp;WIDTH=450&amp;START_MAXIMIZED=FALSE&amp;VAR:CALENDAR=US&amp;VAR:SYMBOL=98433210&amp;VAR:INDEX=0"}</definedName>
    <definedName name="_7908__FDSAUDITLINK__">{"fdsup://directions/FAT Viewer?action=UPDATE&amp;creator=factset&amp;DYN_ARGS=TRUE&amp;DOC_NAME=FAT:FQL_AUDITING_CLIENT_TEMPLATE.FAT&amp;display_string=Audit&amp;VAR:KEY=RQXWZUTWBA&amp;VAR:QUERY=KFBfUFJJQ0UoNDAxMzEpLShGRl9DQVNIX1NUKFFUUiw0MDEzMSkvUF9DT01fU0hTX09VVCg0MDEzMSkpKS9GR","V9FU1RJTUFURSgnRVBTJywnTUVBTicsJ0FOTlVBTF9ST0xMJywnKzEnLDQwMTMxLCwsJycp&amp;WINDOW=FIRST_POPUP&amp;HEIGHT=450&amp;WIDTH=450&amp;START_MAXIMIZED=FALSE&amp;VAR:CALENDAR=US&amp;VAR:SYMBOL=98433210&amp;VAR:INDEX=0"}</definedName>
    <definedName name="_7909__FDSAUDITLINK__">{"fdsup://directions/FAT Viewer?action=UPDATE&amp;creator=factset&amp;DYN_ARGS=TRUE&amp;DOC_NAME=FAT:FQL_AUDITING_CLIENT_TEMPLATE.FAT&amp;display_string=Audit&amp;VAR:KEY=RQXWZUTWBA&amp;VAR:QUERY=KFBfUFJJQ0UoNDAxMzEpLShGRl9DQVNIX1NUKFFUUiw0MDEzMSkvUF9DT01fU0hTX09VVCg0MDEzMSkpKS9GR","V9FU1RJTUFURSgnRVBTJywnTUVBTicsJ0FOTlVBTF9ST0xMJywnKzEnLDQwMTMxLCwsJycp&amp;WINDOW=FIRST_POPUP&amp;HEIGHT=450&amp;WIDTH=450&amp;START_MAXIMIZED=FALSE&amp;VAR:CALENDAR=US&amp;VAR:SYMBOL=98433210&amp;VAR:INDEX=0"}</definedName>
    <definedName name="_79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999"}</definedName>
    <definedName name="_7910__FDSAUDITLINK__">{"fdsup://directions/FAT Viewer?action=UPDATE&amp;creator=factset&amp;DYN_ARGS=TRUE&amp;DOC_NAME=FAT:FQL_AUDITING_CLIENT_TEMPLATE.FAT&amp;display_string=Audit&amp;VAR:KEY=VODKVKFIBM&amp;VAR:QUERY=KFBfUFJJQ0UoNDAxMzApLShGRl9DQVNIX1NUKFFUUiw0MDEzMCkvUF9DT01fU0hTX09VVCg0MDEzMCkpKS9GR","V9FU1RJTUFURSgnRVBTJywnTUVBTicsJ0FOTlVBTF9ST0xMJywnKzEnLDQwMTMwLCwsJycp&amp;WINDOW=FIRST_POPUP&amp;HEIGHT=450&amp;WIDTH=450&amp;START_MAXIMIZED=FALSE&amp;VAR:CALENDAR=US&amp;VAR:SYMBOL=98433210&amp;VAR:INDEX=0"}</definedName>
    <definedName name="_7911__FDSAUDITLINK__">{"fdsup://directions/FAT Viewer?action=UPDATE&amp;creator=factset&amp;DYN_ARGS=TRUE&amp;DOC_NAME=FAT:FQL_AUDITING_CLIENT_TEMPLATE.FAT&amp;display_string=Audit&amp;VAR:KEY=VODKVKFIBM&amp;VAR:QUERY=KFBfUFJJQ0UoNDAxMzApLShGRl9DQVNIX1NUKFFUUiw0MDEzMCkvUF9DT01fU0hTX09VVCg0MDEzMCkpKS9GR","V9FU1RJTUFURSgnRVBTJywnTUVBTicsJ0FOTlVBTF9ST0xMJywnKzEnLDQwMTMwLCwsJycp&amp;WINDOW=FIRST_POPUP&amp;HEIGHT=450&amp;WIDTH=450&amp;START_MAXIMIZED=FALSE&amp;VAR:CALENDAR=US&amp;VAR:SYMBOL=98433210&amp;VAR:INDEX=0"}</definedName>
    <definedName name="_7912__FDSAUDITLINK__">{"fdsup://directions/FAT Viewer?action=UPDATE&amp;creator=factset&amp;DYN_ARGS=TRUE&amp;DOC_NAME=FAT:FQL_AUDITING_CLIENT_TEMPLATE.FAT&amp;display_string=Audit&amp;VAR:KEY=JSXILMXCFS&amp;VAR:QUERY=KFBfUFJJQ0UoNDAxMjkpLShGRl9DQVNIX1NUKFFUUiw0MDEyOSkvUF9DT01fU0hTX09VVCg0MDEyOSkpKS9GR","V9FU1RJTUFURSgnRVBTJywnTUVBTicsJ0FOTlVBTF9ST0xMJywnKzEnLDQwMTI5LCwsJycp&amp;WINDOW=FIRST_POPUP&amp;HEIGHT=450&amp;WIDTH=450&amp;START_MAXIMIZED=FALSE&amp;VAR:CALENDAR=US&amp;VAR:SYMBOL=98433210&amp;VAR:INDEX=0"}</definedName>
    <definedName name="_7913__FDSAUDITLINK__">{"fdsup://directions/FAT Viewer?action=UPDATE&amp;creator=factset&amp;DYN_ARGS=TRUE&amp;DOC_NAME=FAT:FQL_AUDITING_CLIENT_TEMPLATE.FAT&amp;display_string=Audit&amp;VAR:KEY=JSXILMXCFS&amp;VAR:QUERY=KFBfUFJJQ0UoNDAxMjkpLShGRl9DQVNIX1NUKFFUUiw0MDEyOSkvUF9DT01fU0hTX09VVCg0MDEyOSkpKS9GR","V9FU1RJTUFURSgnRVBTJywnTUVBTicsJ0FOTlVBTF9ST0xMJywnKzEnLDQwMTI5LCwsJycp&amp;WINDOW=FIRST_POPUP&amp;HEIGHT=450&amp;WIDTH=450&amp;START_MAXIMIZED=FALSE&amp;VAR:CALENDAR=US&amp;VAR:SYMBOL=98433210&amp;VAR:INDEX=0"}</definedName>
    <definedName name="_7914__FDSAUDITLINK__">{"fdsup://directions/FAT Viewer?action=UPDATE&amp;creator=factset&amp;DYN_ARGS=TRUE&amp;DOC_NAME=FAT:FQL_AUDITING_CLIENT_TEMPLATE.FAT&amp;display_string=Audit&amp;VAR:KEY=REBGRUTURY&amp;VAR:QUERY=KFBfUFJJQ0UoNDAxMjgpLShGRl9DQVNIX1NUKFFUUiw0MDEyOCkvUF9DT01fU0hTX09VVCg0MDEyOCkpKS9GR","V9FU1RJTUFURSgnRVBTJywnTUVBTicsJ0FOTlVBTF9ST0xMJywnKzEnLDQwMTI4LCwsJycp&amp;WINDOW=FIRST_POPUP&amp;HEIGHT=450&amp;WIDTH=450&amp;START_MAXIMIZED=FALSE&amp;VAR:CALENDAR=US&amp;VAR:SYMBOL=98433210&amp;VAR:INDEX=0"}</definedName>
    <definedName name="_7915__FDSAUDITLINK__">{"fdsup://directions/FAT Viewer?action=UPDATE&amp;creator=factset&amp;DYN_ARGS=TRUE&amp;DOC_NAME=FAT:FQL_AUDITING_CLIENT_TEMPLATE.FAT&amp;display_string=Audit&amp;VAR:KEY=REBGRUTURY&amp;VAR:QUERY=KFBfUFJJQ0UoNDAxMjgpLShGRl9DQVNIX1NUKFFUUiw0MDEyOCkvUF9DT01fU0hTX09VVCg0MDEyOCkpKS9GR","V9FU1RJTUFURSgnRVBTJywnTUVBTicsJ0FOTlVBTF9ST0xMJywnKzEnLDQwMTI4LCwsJycp&amp;WINDOW=FIRST_POPUP&amp;HEIGHT=450&amp;WIDTH=450&amp;START_MAXIMIZED=FALSE&amp;VAR:CALENDAR=US&amp;VAR:SYMBOL=98433210&amp;VAR:INDEX=0"}</definedName>
    <definedName name="_7916__FDSAUDITLINK__">{"fdsup://directions/FAT Viewer?action=UPDATE&amp;creator=factset&amp;DYN_ARGS=TRUE&amp;DOC_NAME=FAT:FQL_AUDITING_CLIENT_TEMPLATE.FAT&amp;display_string=Audit&amp;VAR:KEY=BMRIHKPGPK&amp;VAR:QUERY=KFBfUFJJQ0UoNDAxMjcpLShGRl9DQVNIX1NUKFFUUiw0MDEyNykvUF9DT01fU0hTX09VVCg0MDEyNykpKS9GR","V9FU1RJTUFURSgnRVBTJywnTUVBTicsJ0FOTlVBTF9ST0xMJywnKzEnLDQwMTI3LCwsJycp&amp;WINDOW=FIRST_POPUP&amp;HEIGHT=450&amp;WIDTH=450&amp;START_MAXIMIZED=FALSE&amp;VAR:CALENDAR=US&amp;VAR:SYMBOL=98433210&amp;VAR:INDEX=0"}</definedName>
    <definedName name="_7917__FDSAUDITLINK__">{"fdsup://directions/FAT Viewer?action=UPDATE&amp;creator=factset&amp;DYN_ARGS=TRUE&amp;DOC_NAME=FAT:FQL_AUDITING_CLIENT_TEMPLATE.FAT&amp;display_string=Audit&amp;VAR:KEY=BMRIHKPGPK&amp;VAR:QUERY=KFBfUFJJQ0UoNDAxMjcpLShGRl9DQVNIX1NUKFFUUiw0MDEyNykvUF9DT01fU0hTX09VVCg0MDEyNykpKS9GR","V9FU1RJTUFURSgnRVBTJywnTUVBTicsJ0FOTlVBTF9ST0xMJywnKzEnLDQwMTI3LCwsJycp&amp;WINDOW=FIRST_POPUP&amp;HEIGHT=450&amp;WIDTH=450&amp;START_MAXIMIZED=FALSE&amp;VAR:CALENDAR=US&amp;VAR:SYMBOL=98433210&amp;VAR:INDEX=0"}</definedName>
    <definedName name="_7918__FDSAUDITLINK__">{"fdsup://directions/FAT Viewer?action=UPDATE&amp;creator=factset&amp;DYN_ARGS=TRUE&amp;DOC_NAME=FAT:FQL_AUDITING_CLIENT_TEMPLATE.FAT&amp;display_string=Audit&amp;VAR:KEY=RCRGPKLGRW&amp;VAR:QUERY=KFBfUFJJQ0UoNDAxMjYpLShGRl9DQVNIX1NUKFFUUiw0MDEyNikvUF9DT01fU0hTX09VVCg0MDEyNikpKS9GR","V9FU1RJTUFURSgnRVBTJywnTUVBTicsJ0FOTlVBTF9ST0xMJywnKzEnLDQwMTI2LCwsJycp&amp;WINDOW=FIRST_POPUP&amp;HEIGHT=450&amp;WIDTH=450&amp;START_MAXIMIZED=FALSE&amp;VAR:CALENDAR=US&amp;VAR:SYMBOL=98433210&amp;VAR:INDEX=0"}</definedName>
    <definedName name="_7919__FDSAUDITLINK__">{"fdsup://directions/FAT Viewer?action=UPDATE&amp;creator=factset&amp;DYN_ARGS=TRUE&amp;DOC_NAME=FAT:FQL_AUDITING_CLIENT_TEMPLATE.FAT&amp;display_string=Audit&amp;VAR:KEY=RCRGPKLGRW&amp;VAR:QUERY=KFBfUFJJQ0UoNDAxMjYpLShGRl9DQVNIX1NUKFFUUiw0MDEyNikvUF9DT01fU0hTX09VVCg0MDEyNikpKS9GR","V9FU1RJTUFURSgnRVBTJywnTUVBTicsJ0FOTlVBTF9ST0xMJywnKzEnLDQwMTI2LCwsJycp&amp;WINDOW=FIRST_POPUP&amp;HEIGHT=450&amp;WIDTH=450&amp;START_MAXIMIZED=FALSE&amp;VAR:CALENDAR=US&amp;VAR:SYMBOL=98433210&amp;VAR:INDEX=0"}</definedName>
    <definedName name="_79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998"}</definedName>
    <definedName name="_7920__FDSAUDITLINK__">{"fdsup://directions/FAT Viewer?action=UPDATE&amp;creator=factset&amp;DYN_ARGS=TRUE&amp;DOC_NAME=FAT:FQL_AUDITING_CLIENT_TEMPLATE.FAT&amp;display_string=Audit&amp;VAR:KEY=BMVQFOBUFM&amp;VAR:QUERY=KFBfUFJJQ0UoNDAxMjUpLShGRl9DQVNIX1NUKFFUUiw0MDEyNSkvUF9DT01fU0hTX09VVCg0MDEyNSkpKS9GR","V9FU1RJTUFURSgnRVBTJywnTUVBTicsJ0FOTlVBTF9ST0xMJywnKzEnLDQwMTI1LCwsJycp&amp;WINDOW=FIRST_POPUP&amp;HEIGHT=450&amp;WIDTH=450&amp;START_MAXIMIZED=FALSE&amp;VAR:CALENDAR=US&amp;VAR:SYMBOL=98433210&amp;VAR:INDEX=0"}</definedName>
    <definedName name="_7921__FDSAUDITLINK__">{"fdsup://directions/FAT Viewer?action=UPDATE&amp;creator=factset&amp;DYN_ARGS=TRUE&amp;DOC_NAME=FAT:FQL_AUDITING_CLIENT_TEMPLATE.FAT&amp;display_string=Audit&amp;VAR:KEY=BMVQFOBUFM&amp;VAR:QUERY=KFBfUFJJQ0UoNDAxMjUpLShGRl9DQVNIX1NUKFFUUiw0MDEyNSkvUF9DT01fU0hTX09VVCg0MDEyNSkpKS9GR","V9FU1RJTUFURSgnRVBTJywnTUVBTicsJ0FOTlVBTF9ST0xMJywnKzEnLDQwMTI1LCwsJycp&amp;WINDOW=FIRST_POPUP&amp;HEIGHT=450&amp;WIDTH=450&amp;START_MAXIMIZED=FALSE&amp;VAR:CALENDAR=US&amp;VAR:SYMBOL=98433210&amp;VAR:INDEX=0"}</definedName>
    <definedName name="_7922__FDSAUDITLINK__">{"fdsup://directions/FAT Viewer?action=UPDATE&amp;creator=factset&amp;DYN_ARGS=TRUE&amp;DOC_NAME=FAT:FQL_AUDITING_CLIENT_TEMPLATE.FAT&amp;display_string=Audit&amp;VAR:KEY=NMDMPOZONE&amp;VAR:QUERY=KFBfUFJJQ0UoNDAxMjQpLShGRl9DQVNIX1NUKFFUUiw0MDEyNCkvUF9DT01fU0hTX09VVCg0MDEyNCkpKS9GR","V9FU1RJTUFURSgnRVBTJywnTUVBTicsJ0FOTlVBTF9ST0xMJywnKzEnLDQwMTI0LCwsJycp&amp;WINDOW=FIRST_POPUP&amp;HEIGHT=450&amp;WIDTH=450&amp;START_MAXIMIZED=FALSE&amp;VAR:CALENDAR=US&amp;VAR:SYMBOL=98433210&amp;VAR:INDEX=0"}</definedName>
    <definedName name="_7923__FDSAUDITLINK__">{"fdsup://directions/FAT Viewer?action=UPDATE&amp;creator=factset&amp;DYN_ARGS=TRUE&amp;DOC_NAME=FAT:FQL_AUDITING_CLIENT_TEMPLATE.FAT&amp;display_string=Audit&amp;VAR:KEY=NMDMPOZONE&amp;VAR:QUERY=KFBfUFJJQ0UoNDAxMjQpLShGRl9DQVNIX1NUKFFUUiw0MDEyNCkvUF9DT01fU0hTX09VVCg0MDEyNCkpKS9GR","V9FU1RJTUFURSgnRVBTJywnTUVBTicsJ0FOTlVBTF9ST0xMJywnKzEnLDQwMTI0LCwsJycp&amp;WINDOW=FIRST_POPUP&amp;HEIGHT=450&amp;WIDTH=450&amp;START_MAXIMIZED=FALSE&amp;VAR:CALENDAR=US&amp;VAR:SYMBOL=98433210&amp;VAR:INDEX=0"}</definedName>
    <definedName name="_7924__FDSAUDITLINK__">{"fdsup://directions/FAT Viewer?action=UPDATE&amp;creator=factset&amp;DYN_ARGS=TRUE&amp;DOC_NAME=FAT:FQL_AUDITING_CLIENT_TEMPLATE.FAT&amp;display_string=Audit&amp;VAR:KEY=HCRYNMFMXO&amp;VAR:QUERY=KFBfUFJJQ0UoNDAxMjMpLShGRl9DQVNIX1NUKFFUUiw0MDEyMykvUF9DT01fU0hTX09VVCg0MDEyMykpKS9GR","V9FU1RJTUFURSgnRVBTJywnTUVBTicsJ0FOTlVBTF9ST0xMJywnKzEnLDQwMTIzLCwsJycp&amp;WINDOW=FIRST_POPUP&amp;HEIGHT=450&amp;WIDTH=450&amp;START_MAXIMIZED=FALSE&amp;VAR:CALENDAR=US&amp;VAR:SYMBOL=98433210&amp;VAR:INDEX=0"}</definedName>
    <definedName name="_7925__FDSAUDITLINK__">{"fdsup://directions/FAT Viewer?action=UPDATE&amp;creator=factset&amp;DYN_ARGS=TRUE&amp;DOC_NAME=FAT:FQL_AUDITING_CLIENT_TEMPLATE.FAT&amp;display_string=Audit&amp;VAR:KEY=HCRYNMFMXO&amp;VAR:QUERY=KFBfUFJJQ0UoNDAxMjMpLShGRl9DQVNIX1NUKFFUUiw0MDEyMykvUF9DT01fU0hTX09VVCg0MDEyMykpKS9GR","V9FU1RJTUFURSgnRVBTJywnTUVBTicsJ0FOTlVBTF9ST0xMJywnKzEnLDQwMTIzLCwsJycp&amp;WINDOW=FIRST_POPUP&amp;HEIGHT=450&amp;WIDTH=450&amp;START_MAXIMIZED=FALSE&amp;VAR:CALENDAR=US&amp;VAR:SYMBOL=98433210&amp;VAR:INDEX=0"}</definedName>
    <definedName name="_7926__FDSAUDITLINK__">{"fdsup://directions/FAT Viewer?action=UPDATE&amp;creator=factset&amp;DYN_ARGS=TRUE&amp;DOC_NAME=FAT:FQL_AUDITING_CLIENT_TEMPLATE.FAT&amp;display_string=Audit&amp;VAR:KEY=BOFGVCLQJG&amp;VAR:QUERY=KFBfUFJJQ0UoNDAxMjIpLShGRl9DQVNIX1NUKFFUUiw0MDEyMikvUF9DT01fU0hTX09VVCg0MDEyMikpKS9GR","V9FU1RJTUFURSgnRVBTJywnTUVBTicsJ0FOTlVBTF9ST0xMJywnKzEnLDQwMTIyLCwsJycp&amp;WINDOW=FIRST_POPUP&amp;HEIGHT=450&amp;WIDTH=450&amp;START_MAXIMIZED=FALSE&amp;VAR:CALENDAR=US&amp;VAR:SYMBOL=98433210&amp;VAR:INDEX=0"}</definedName>
    <definedName name="_7927__FDSAUDITLINK__">{"fdsup://directions/FAT Viewer?action=UPDATE&amp;creator=factset&amp;DYN_ARGS=TRUE&amp;DOC_NAME=FAT:FQL_AUDITING_CLIENT_TEMPLATE.FAT&amp;display_string=Audit&amp;VAR:KEY=BOFGVCLQJG&amp;VAR:QUERY=KFBfUFJJQ0UoNDAxMjIpLShGRl9DQVNIX1NUKFFUUiw0MDEyMikvUF9DT01fU0hTX09VVCg0MDEyMikpKS9GR","V9FU1RJTUFURSgnRVBTJywnTUVBTicsJ0FOTlVBTF9ST0xMJywnKzEnLDQwMTIyLCwsJycp&amp;WINDOW=FIRST_POPUP&amp;HEIGHT=450&amp;WIDTH=450&amp;START_MAXIMIZED=FALSE&amp;VAR:CALENDAR=US&amp;VAR:SYMBOL=98433210&amp;VAR:INDEX=0"}</definedName>
    <definedName name="_7928__FDSAUDITLINK__">{"fdsup://directions/FAT Viewer?action=UPDATE&amp;creator=factset&amp;DYN_ARGS=TRUE&amp;DOC_NAME=FAT:FQL_AUDITING_CLIENT_TEMPLATE.FAT&amp;display_string=Audit&amp;VAR:KEY=ZMDKNCXCHM&amp;VAR:QUERY=KFBfUFJJQ0UoNDAxMjEpLShGRl9DQVNIX1NUKFFUUiw0MDEyMSkvUF9DT01fU0hTX09VVCg0MDEyMSkpKS9GR","V9FU1RJTUFURSgnRVBTJywnTUVBTicsJ0FOTlVBTF9ST0xMJywnKzEnLDQwMTIxLCwsJycp&amp;WINDOW=FIRST_POPUP&amp;HEIGHT=450&amp;WIDTH=450&amp;START_MAXIMIZED=FALSE&amp;VAR:CALENDAR=US&amp;VAR:SYMBOL=98433210&amp;VAR:INDEX=0"}</definedName>
    <definedName name="_7929__FDSAUDITLINK__">{"fdsup://directions/FAT Viewer?action=UPDATE&amp;creator=factset&amp;DYN_ARGS=TRUE&amp;DOC_NAME=FAT:FQL_AUDITING_CLIENT_TEMPLATE.FAT&amp;display_string=Audit&amp;VAR:KEY=ZMDKNCXCHM&amp;VAR:QUERY=KFBfUFJJQ0UoNDAxMjEpLShGRl9DQVNIX1NUKFFUUiw0MDEyMSkvUF9DT01fU0hTX09VVCg0MDEyMSkpKS9GR","V9FU1RJTUFURSgnRVBTJywnTUVBTicsJ0FOTlVBTF9ST0xMJywnKzEnLDQwMTIxLCwsJycp&amp;WINDOW=FIRST_POPUP&amp;HEIGHT=450&amp;WIDTH=450&amp;START_MAXIMIZED=FALSE&amp;VAR:CALENDAR=US&amp;VAR:SYMBOL=98433210&amp;VAR:INDEX=0"}</definedName>
    <definedName name="_79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997"}</definedName>
    <definedName name="_7930__FDSAUDITLINK__">{"fdsup://directions/FAT Viewer?action=UPDATE&amp;creator=factset&amp;DYN_ARGS=TRUE&amp;DOC_NAME=FAT:FQL_AUDITING_CLIENT_TEMPLATE.FAT&amp;display_string=Audit&amp;VAR:KEY=DCTSTITGNS&amp;VAR:QUERY=KFBfUFJJQ0UoNDAxMjApLShGRl9DQVNIX1NUKFFUUiw0MDEyMCkvUF9DT01fU0hTX09VVCg0MDEyMCkpKS9GR","V9FU1RJTUFURSgnRVBTJywnTUVBTicsJ0FOTlVBTF9ST0xMJywnKzEnLDQwMTIwLCwsJycp&amp;WINDOW=FIRST_POPUP&amp;HEIGHT=450&amp;WIDTH=450&amp;START_MAXIMIZED=FALSE&amp;VAR:CALENDAR=US&amp;VAR:SYMBOL=98433210&amp;VAR:INDEX=0"}</definedName>
    <definedName name="_7931__FDSAUDITLINK__">{"fdsup://directions/FAT Viewer?action=UPDATE&amp;creator=factset&amp;DYN_ARGS=TRUE&amp;DOC_NAME=FAT:FQL_AUDITING_CLIENT_TEMPLATE.FAT&amp;display_string=Audit&amp;VAR:KEY=DCTSTITGNS&amp;VAR:QUERY=KFBfUFJJQ0UoNDAxMjApLShGRl9DQVNIX1NUKFFUUiw0MDEyMCkvUF9DT01fU0hTX09VVCg0MDEyMCkpKS9GR","V9FU1RJTUFURSgnRVBTJywnTUVBTicsJ0FOTlVBTF9ST0xMJywnKzEnLDQwMTIwLCwsJycp&amp;WINDOW=FIRST_POPUP&amp;HEIGHT=450&amp;WIDTH=450&amp;START_MAXIMIZED=FALSE&amp;VAR:CALENDAR=US&amp;VAR:SYMBOL=98433210&amp;VAR:INDEX=0"}</definedName>
    <definedName name="_7932__FDSAUDITLINK__">{"fdsup://directions/FAT Viewer?action=UPDATE&amp;creator=factset&amp;DYN_ARGS=TRUE&amp;DOC_NAME=FAT:FQL_AUDITING_CLIENT_TEMPLATE.FAT&amp;display_string=Audit&amp;VAR:KEY=NAVCJKJEZQ&amp;VAR:QUERY=KFBfUFJJQ0UoNDAxMTkpLShGRl9DQVNIX1NUKFFUUiw0MDExOSkvUF9DT01fU0hTX09VVCg0MDExOSkpKS9GR","V9FU1RJTUFURSgnRVBTJywnTUVBTicsJ0FOTlVBTF9ST0xMJywnKzEnLDQwMTE5LCwsJycp&amp;WINDOW=FIRST_POPUP&amp;HEIGHT=450&amp;WIDTH=450&amp;START_MAXIMIZED=FALSE&amp;VAR:CALENDAR=US&amp;VAR:SYMBOL=98433210&amp;VAR:INDEX=0"}</definedName>
    <definedName name="_7933__FDSAUDITLINK__">{"fdsup://directions/FAT Viewer?action=UPDATE&amp;creator=factset&amp;DYN_ARGS=TRUE&amp;DOC_NAME=FAT:FQL_AUDITING_CLIENT_TEMPLATE.FAT&amp;display_string=Audit&amp;VAR:KEY=NAVCJKJEZQ&amp;VAR:QUERY=KFBfUFJJQ0UoNDAxMTkpLShGRl9DQVNIX1NUKFFUUiw0MDExOSkvUF9DT01fU0hTX09VVCg0MDExOSkpKS9GR","V9FU1RJTUFURSgnRVBTJywnTUVBTicsJ0FOTlVBTF9ST0xMJywnKzEnLDQwMTE5LCwsJycp&amp;WINDOW=FIRST_POPUP&amp;HEIGHT=450&amp;WIDTH=450&amp;START_MAXIMIZED=FALSE&amp;VAR:CALENDAR=US&amp;VAR:SYMBOL=98433210&amp;VAR:INDEX=0"}</definedName>
    <definedName name="_7934__FDSAUDITLINK__">{"fdsup://directions/FAT Viewer?action=UPDATE&amp;creator=factset&amp;DYN_ARGS=TRUE&amp;DOC_NAME=FAT:FQL_AUDITING_CLIENT_TEMPLATE.FAT&amp;display_string=Audit&amp;VAR:KEY=FILQNYBGHK&amp;VAR:QUERY=KFBfUFJJQ0UoNDAxMTgpLShGRl9DQVNIX1NUKFFUUiw0MDExOCkvUF9DT01fU0hTX09VVCg0MDExOCkpKS9GR","V9FU1RJTUFURSgnRVBTJywnTUVBTicsJ0FOTlVBTF9ST0xMJywnKzEnLDQwMTE4LCwsJycp&amp;WINDOW=FIRST_POPUP&amp;HEIGHT=450&amp;WIDTH=450&amp;START_MAXIMIZED=FALSE&amp;VAR:CALENDAR=US&amp;VAR:SYMBOL=98433210&amp;VAR:INDEX=0"}</definedName>
    <definedName name="_7935__FDSAUDITLINK__">{"fdsup://directions/FAT Viewer?action=UPDATE&amp;creator=factset&amp;DYN_ARGS=TRUE&amp;DOC_NAME=FAT:FQL_AUDITING_CLIENT_TEMPLATE.FAT&amp;display_string=Audit&amp;VAR:KEY=FILQNYBGHK&amp;VAR:QUERY=KFBfUFJJQ0UoNDAxMTgpLShGRl9DQVNIX1NUKFFUUiw0MDExOCkvUF9DT01fU0hTX09VVCg0MDExOCkpKS9GR","V9FU1RJTUFURSgnRVBTJywnTUVBTicsJ0FOTlVBTF9ST0xMJywnKzEnLDQwMTE4LCwsJycp&amp;WINDOW=FIRST_POPUP&amp;HEIGHT=450&amp;WIDTH=450&amp;START_MAXIMIZED=FALSE&amp;VAR:CALENDAR=US&amp;VAR:SYMBOL=98433210&amp;VAR:INDEX=0"}</definedName>
    <definedName name="_7936__FDSAUDITLINK__">{"fdsup://directions/FAT Viewer?action=UPDATE&amp;creator=factset&amp;DYN_ARGS=TRUE&amp;DOC_NAME=FAT:FQL_AUDITING_CLIENT_TEMPLATE.FAT&amp;display_string=Audit&amp;VAR:KEY=VCXWHEHEVM&amp;VAR:QUERY=KFBfUFJJQ0UoNDAxMTcpLShGRl9DQVNIX1NUKFFUUiw0MDExNykvUF9DT01fU0hTX09VVCg0MDExNykpKS9GR","V9FU1RJTUFURSgnRVBTJywnTUVBTicsJ0FOTlVBTF9ST0xMJywnKzEnLDQwMTE3LCwsJycp&amp;WINDOW=FIRST_POPUP&amp;HEIGHT=450&amp;WIDTH=450&amp;START_MAXIMIZED=FALSE&amp;VAR:CALENDAR=US&amp;VAR:SYMBOL=98433210&amp;VAR:INDEX=0"}</definedName>
    <definedName name="_7937__FDSAUDITLINK__">{"fdsup://directions/FAT Viewer?action=UPDATE&amp;creator=factset&amp;DYN_ARGS=TRUE&amp;DOC_NAME=FAT:FQL_AUDITING_CLIENT_TEMPLATE.FAT&amp;display_string=Audit&amp;VAR:KEY=VCXWHEHEVM&amp;VAR:QUERY=KFBfUFJJQ0UoNDAxMTcpLShGRl9DQVNIX1NUKFFUUiw0MDExNykvUF9DT01fU0hTX09VVCg0MDExNykpKS9GR","V9FU1RJTUFURSgnRVBTJywnTUVBTicsJ0FOTlVBTF9ST0xMJywnKzEnLDQwMTE3LCwsJycp&amp;WINDOW=FIRST_POPUP&amp;HEIGHT=450&amp;WIDTH=450&amp;START_MAXIMIZED=FALSE&amp;VAR:CALENDAR=US&amp;VAR:SYMBOL=98433210&amp;VAR:INDEX=0"}</definedName>
    <definedName name="_7938__FDSAUDITLINK__">{"fdsup://directions/FAT Viewer?action=UPDATE&amp;creator=factset&amp;DYN_ARGS=TRUE&amp;DOC_NAME=FAT:FQL_AUDITING_CLIENT_TEMPLATE.FAT&amp;display_string=Audit&amp;VAR:KEY=JCZQVWZKJC&amp;VAR:QUERY=KFBfUFJJQ0UoNDAxMTYpLShGRl9DQVNIX1NUKFFUUiw0MDExNikvUF9DT01fU0hTX09VVCg0MDExNikpKS9GR","V9FU1RJTUFURSgnRVBTJywnTUVBTicsJ0FOTlVBTF9ST0xMJywnKzEnLDQwMTE2LCwsJycp&amp;WINDOW=FIRST_POPUP&amp;HEIGHT=450&amp;WIDTH=450&amp;START_MAXIMIZED=FALSE&amp;VAR:CALENDAR=US&amp;VAR:SYMBOL=98433210&amp;VAR:INDEX=0"}</definedName>
    <definedName name="_7939__FDSAUDITLINK__">{"fdsup://directions/FAT Viewer?action=UPDATE&amp;creator=factset&amp;DYN_ARGS=TRUE&amp;DOC_NAME=FAT:FQL_AUDITING_CLIENT_TEMPLATE.FAT&amp;display_string=Audit&amp;VAR:KEY=JCZQVWZKJC&amp;VAR:QUERY=KFBfUFJJQ0UoNDAxMTYpLShGRl9DQVNIX1NUKFFUUiw0MDExNikvUF9DT01fU0hTX09VVCg0MDExNikpKS9GR","V9FU1RJTUFURSgnRVBTJywnTUVBTicsJ0FOTlVBTF9ST0xMJywnKzEnLDQwMTE2LCwsJycp&amp;WINDOW=FIRST_POPUP&amp;HEIGHT=450&amp;WIDTH=450&amp;START_MAXIMIZED=FALSE&amp;VAR:CALENDAR=US&amp;VAR:SYMBOL=98433210&amp;VAR:INDEX=0"}</definedName>
    <definedName name="_79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996"}</definedName>
    <definedName name="_7940__FDSAUDITLINK__">{"fdsup://directions/FAT Viewer?action=UPDATE&amp;creator=factset&amp;DYN_ARGS=TRUE&amp;DOC_NAME=FAT:FQL_AUDITING_CLIENT_TEMPLATE.FAT&amp;display_string=Audit&amp;VAR:KEY=ZADANYNKBA&amp;VAR:QUERY=KFBfUFJJQ0UoNDAxMTUpLShGRl9DQVNIX1NUKFFUUiw0MDExNSkvUF9DT01fU0hTX09VVCg0MDExNSkpKS9GR","V9FU1RJTUFURSgnRVBTJywnTUVBTicsJ0FOTlVBTF9ST0xMJywnKzEnLDQwMTE1LCwsJycp&amp;WINDOW=FIRST_POPUP&amp;HEIGHT=450&amp;WIDTH=450&amp;START_MAXIMIZED=FALSE&amp;VAR:CALENDAR=US&amp;VAR:SYMBOL=98433210&amp;VAR:INDEX=0"}</definedName>
    <definedName name="_7941__FDSAUDITLINK__">{"fdsup://directions/FAT Viewer?action=UPDATE&amp;creator=factset&amp;DYN_ARGS=TRUE&amp;DOC_NAME=FAT:FQL_AUDITING_CLIENT_TEMPLATE.FAT&amp;display_string=Audit&amp;VAR:KEY=ZADANYNKBA&amp;VAR:QUERY=KFBfUFJJQ0UoNDAxMTUpLShGRl9DQVNIX1NUKFFUUiw0MDExNSkvUF9DT01fU0hTX09VVCg0MDExNSkpKS9GR","V9FU1RJTUFURSgnRVBTJywnTUVBTicsJ0FOTlVBTF9ST0xMJywnKzEnLDQwMTE1LCwsJycp&amp;WINDOW=FIRST_POPUP&amp;HEIGHT=450&amp;WIDTH=450&amp;START_MAXIMIZED=FALSE&amp;VAR:CALENDAR=US&amp;VAR:SYMBOL=98433210&amp;VAR:INDEX=0"}</definedName>
    <definedName name="_7942__FDSAUDITLINK__">{"fdsup://directions/FAT Viewer?action=UPDATE&amp;creator=factset&amp;DYN_ARGS=TRUE&amp;DOC_NAME=FAT:FQL_AUDITING_CLIENT_TEMPLATE.FAT&amp;display_string=Audit&amp;VAR:KEY=DCZUVKHQBU&amp;VAR:QUERY=KFBfUFJJQ0UoNDAxMTQpLShGRl9DQVNIX1NUKFFUUiw0MDExNCkvUF9DT01fU0hTX09VVCg0MDExNCkpKS9GR","V9FU1RJTUFURSgnRVBTJywnTUVBTicsJ0FOTlVBTF9ST0xMJywnKzEnLDQwMTE0LCwsJycp&amp;WINDOW=FIRST_POPUP&amp;HEIGHT=450&amp;WIDTH=450&amp;START_MAXIMIZED=FALSE&amp;VAR:CALENDAR=US&amp;VAR:SYMBOL=98433210&amp;VAR:INDEX=0"}</definedName>
    <definedName name="_7943__FDSAUDITLINK__">{"fdsup://directions/FAT Viewer?action=UPDATE&amp;creator=factset&amp;DYN_ARGS=TRUE&amp;DOC_NAME=FAT:FQL_AUDITING_CLIENT_TEMPLATE.FAT&amp;display_string=Audit&amp;VAR:KEY=DCZUVKHQBU&amp;VAR:QUERY=KFBfUFJJQ0UoNDAxMTQpLShGRl9DQVNIX1NUKFFUUiw0MDExNCkvUF9DT01fU0hTX09VVCg0MDExNCkpKS9GR","V9FU1RJTUFURSgnRVBTJywnTUVBTicsJ0FOTlVBTF9ST0xMJywnKzEnLDQwMTE0LCwsJycp&amp;WINDOW=FIRST_POPUP&amp;HEIGHT=450&amp;WIDTH=450&amp;START_MAXIMIZED=FALSE&amp;VAR:CALENDAR=US&amp;VAR:SYMBOL=98433210&amp;VAR:INDEX=0"}</definedName>
    <definedName name="_7944__FDSAUDITLINK__">{"fdsup://directions/FAT Viewer?action=UPDATE&amp;creator=factset&amp;DYN_ARGS=TRUE&amp;DOC_NAME=FAT:FQL_AUDITING_CLIENT_TEMPLATE.FAT&amp;display_string=Audit&amp;VAR:KEY=LWJWTKJETC&amp;VAR:QUERY=KFBfUFJJQ0UoNDAxMTMpLShGRl9DQVNIX1NUKFFUUiw0MDExMykvUF9DT01fU0hTX09VVCg0MDExMykpKS9GR","V9FU1RJTUFURSgnRVBTJywnTUVBTicsJ0FOTlVBTF9ST0xMJywnKzEnLDQwMTEzLCwsJycp&amp;WINDOW=FIRST_POPUP&amp;HEIGHT=450&amp;WIDTH=450&amp;START_MAXIMIZED=FALSE&amp;VAR:CALENDAR=US&amp;VAR:SYMBOL=98433210&amp;VAR:INDEX=0"}</definedName>
    <definedName name="_7945__FDSAUDITLINK__">{"fdsup://directions/FAT Viewer?action=UPDATE&amp;creator=factset&amp;DYN_ARGS=TRUE&amp;DOC_NAME=FAT:FQL_AUDITING_CLIENT_TEMPLATE.FAT&amp;display_string=Audit&amp;VAR:KEY=LWJWTKJETC&amp;VAR:QUERY=KFBfUFJJQ0UoNDAxMTMpLShGRl9DQVNIX1NUKFFUUiw0MDExMykvUF9DT01fU0hTX09VVCg0MDExMykpKS9GR","V9FU1RJTUFURSgnRVBTJywnTUVBTicsJ0FOTlVBTF9ST0xMJywnKzEnLDQwMTEzLCwsJycp&amp;WINDOW=FIRST_POPUP&amp;HEIGHT=450&amp;WIDTH=450&amp;START_MAXIMIZED=FALSE&amp;VAR:CALENDAR=US&amp;VAR:SYMBOL=98433210&amp;VAR:INDEX=0"}</definedName>
    <definedName name="_7946__FDSAUDITLINK__">{"fdsup://directions/FAT Viewer?action=UPDATE&amp;creator=factset&amp;DYN_ARGS=TRUE&amp;DOC_NAME=FAT:FQL_AUDITING_CLIENT_TEMPLATE.FAT&amp;display_string=Audit&amp;VAR:KEY=JMJSRMLUJI&amp;VAR:QUERY=KFBfUFJJQ0UoNDAxMTIpLShGRl9DQVNIX1NUKFFUUiw0MDExMikvUF9DT01fU0hTX09VVCg0MDExMikpKS9GR","V9FU1RJTUFURSgnRVBTJywnTUVBTicsJ0FOTlVBTF9ST0xMJywnKzEnLDQwMTEyLCwsJycp&amp;WINDOW=FIRST_POPUP&amp;HEIGHT=450&amp;WIDTH=450&amp;START_MAXIMIZED=FALSE&amp;VAR:CALENDAR=US&amp;VAR:SYMBOL=98433210&amp;VAR:INDEX=0"}</definedName>
    <definedName name="_7947__FDSAUDITLINK__">{"fdsup://directions/FAT Viewer?action=UPDATE&amp;creator=factset&amp;DYN_ARGS=TRUE&amp;DOC_NAME=FAT:FQL_AUDITING_CLIENT_TEMPLATE.FAT&amp;display_string=Audit&amp;VAR:KEY=JMJSRMLUJI&amp;VAR:QUERY=KFBfUFJJQ0UoNDAxMTIpLShGRl9DQVNIX1NUKFFUUiw0MDExMikvUF9DT01fU0hTX09VVCg0MDExMikpKS9GR","V9FU1RJTUFURSgnRVBTJywnTUVBTicsJ0FOTlVBTF9ST0xMJywnKzEnLDQwMTEyLCwsJycp&amp;WINDOW=FIRST_POPUP&amp;HEIGHT=450&amp;WIDTH=450&amp;START_MAXIMIZED=FALSE&amp;VAR:CALENDAR=US&amp;VAR:SYMBOL=98433210&amp;VAR:INDEX=0"}</definedName>
    <definedName name="_7948__FDSAUDITLINK__">{"fdsup://directions/FAT Viewer?action=UPDATE&amp;creator=factset&amp;DYN_ARGS=TRUE&amp;DOC_NAME=FAT:FQL_AUDITING_CLIENT_TEMPLATE.FAT&amp;display_string=Audit&amp;VAR:KEY=TWFGXOHKNG&amp;VAR:QUERY=KFBfUFJJQ0UoNDAxMTEpLShGRl9DQVNIX1NUKFFUUiw0MDExMSkvUF9DT01fU0hTX09VVCg0MDExMSkpKS9GR","V9FU1RJTUFURSgnRVBTJywnTUVBTicsJ0FOTlVBTF9ST0xMJywnKzEnLDQwMTExLCwsJycp&amp;WINDOW=FIRST_POPUP&amp;HEIGHT=450&amp;WIDTH=450&amp;START_MAXIMIZED=FALSE&amp;VAR:CALENDAR=US&amp;VAR:SYMBOL=98433210&amp;VAR:INDEX=0"}</definedName>
    <definedName name="_7949__FDSAUDITLINK__">{"fdsup://directions/FAT Viewer?action=UPDATE&amp;creator=factset&amp;DYN_ARGS=TRUE&amp;DOC_NAME=FAT:FQL_AUDITING_CLIENT_TEMPLATE.FAT&amp;display_string=Audit&amp;VAR:KEY=TWFGXOHKNG&amp;VAR:QUERY=KFBfUFJJQ0UoNDAxMTEpLShGRl9DQVNIX1NUKFFUUiw0MDExMSkvUF9DT01fU0hTX09VVCg0MDExMSkpKS9GR","V9FU1RJTUFURSgnRVBTJywnTUVBTicsJ0FOTlVBTF9ST0xMJywnKzEnLDQwMTExLCwsJycp&amp;WINDOW=FIRST_POPUP&amp;HEIGHT=450&amp;WIDTH=450&amp;START_MAXIMIZED=FALSE&amp;VAR:CALENDAR=US&amp;VAR:SYMBOL=98433210&amp;VAR:INDEX=0"}</definedName>
    <definedName name="_79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995"}</definedName>
    <definedName name="_7950__FDSAUDITLINK__">{"fdsup://directions/FAT Viewer?action=UPDATE&amp;creator=factset&amp;DYN_ARGS=TRUE&amp;DOC_NAME=FAT:FQL_AUDITING_CLIENT_TEMPLATE.FAT&amp;display_string=Audit&amp;VAR:KEY=RUFEJGJSJQ&amp;VAR:QUERY=KFBfUFJJQ0UoNDAxMTApLShGRl9DQVNIX1NUKFFUUiw0MDExMCkvUF9DT01fU0hTX09VVCg0MDExMCkpKS9GR","V9FU1RJTUFURSgnRVBTJywnTUVBTicsJ0FOTlVBTF9ST0xMJywnKzEnLDQwMTEwLCwsJycp&amp;WINDOW=FIRST_POPUP&amp;HEIGHT=450&amp;WIDTH=450&amp;START_MAXIMIZED=FALSE&amp;VAR:CALENDAR=US&amp;VAR:SYMBOL=98433210&amp;VAR:INDEX=0"}</definedName>
    <definedName name="_7951__FDSAUDITLINK__">{"fdsup://directions/FAT Viewer?action=UPDATE&amp;creator=factset&amp;DYN_ARGS=TRUE&amp;DOC_NAME=FAT:FQL_AUDITING_CLIENT_TEMPLATE.FAT&amp;display_string=Audit&amp;VAR:KEY=RUFEJGJSJQ&amp;VAR:QUERY=KFBfUFJJQ0UoNDAxMTApLShGRl9DQVNIX1NUKFFUUiw0MDExMCkvUF9DT01fU0hTX09VVCg0MDExMCkpKS9GR","V9FU1RJTUFURSgnRVBTJywnTUVBTicsJ0FOTlVBTF9ST0xMJywnKzEnLDQwMTEwLCwsJycp&amp;WINDOW=FIRST_POPUP&amp;HEIGHT=450&amp;WIDTH=450&amp;START_MAXIMIZED=FALSE&amp;VAR:CALENDAR=US&amp;VAR:SYMBOL=98433210&amp;VAR:INDEX=0"}</definedName>
    <definedName name="_7952__FDSAUDITLINK__">{"fdsup://directions/FAT Viewer?action=UPDATE&amp;creator=factset&amp;DYN_ARGS=TRUE&amp;DOC_NAME=FAT:FQL_AUDITING_CLIENT_TEMPLATE.FAT&amp;display_string=Audit&amp;VAR:KEY=PUBIVYTUFW&amp;VAR:QUERY=KFBfUFJJQ0UoNDAxMDkpLShGRl9DQVNIX1NUKFFUUiw0MDEwOSkvUF9DT01fU0hTX09VVCg0MDEwOSkpKS9GR","V9FU1RJTUFURSgnRVBTJywnTUVBTicsJ0FOTlVBTF9ST0xMJywnKzEnLDQwMTA5LCwsJycp&amp;WINDOW=FIRST_POPUP&amp;HEIGHT=450&amp;WIDTH=450&amp;START_MAXIMIZED=FALSE&amp;VAR:CALENDAR=US&amp;VAR:SYMBOL=98433210&amp;VAR:INDEX=0"}</definedName>
    <definedName name="_7953__FDSAUDITLINK__">{"fdsup://directions/FAT Viewer?action=UPDATE&amp;creator=factset&amp;DYN_ARGS=TRUE&amp;DOC_NAME=FAT:FQL_AUDITING_CLIENT_TEMPLATE.FAT&amp;display_string=Audit&amp;VAR:KEY=PUBIVYTUFW&amp;VAR:QUERY=KFBfUFJJQ0UoNDAxMDkpLShGRl9DQVNIX1NUKFFUUiw0MDEwOSkvUF9DT01fU0hTX09VVCg0MDEwOSkpKS9GR","V9FU1RJTUFURSgnRVBTJywnTUVBTicsJ0FOTlVBTF9ST0xMJywnKzEnLDQwMTA5LCwsJycp&amp;WINDOW=FIRST_POPUP&amp;HEIGHT=450&amp;WIDTH=450&amp;START_MAXIMIZED=FALSE&amp;VAR:CALENDAR=US&amp;VAR:SYMBOL=98433210&amp;VAR:INDEX=0"}</definedName>
    <definedName name="_7954__FDSAUDITLINK__">{"fdsup://directions/FAT Viewer?action=UPDATE&amp;creator=factset&amp;DYN_ARGS=TRUE&amp;DOC_NAME=FAT:FQL_AUDITING_CLIENT_TEMPLATE.FAT&amp;display_string=Audit&amp;VAR:KEY=ZOVKXSJALE&amp;VAR:QUERY=KFBfUFJJQ0UoNDAxMDgpLShGRl9DQVNIX1NUKFFUUiw0MDEwOCkvUF9DT01fU0hTX09VVCg0MDEwOCkpKS9GR","V9FU1RJTUFURSgnRVBTJywnTUVBTicsJ0FOTlVBTF9ST0xMJywnKzEnLDQwMTA4LCwsJycp&amp;WINDOW=FIRST_POPUP&amp;HEIGHT=450&amp;WIDTH=450&amp;START_MAXIMIZED=FALSE&amp;VAR:CALENDAR=US&amp;VAR:SYMBOL=98433210&amp;VAR:INDEX=0"}</definedName>
    <definedName name="_7955__FDSAUDITLINK__">{"fdsup://directions/FAT Viewer?action=UPDATE&amp;creator=factset&amp;DYN_ARGS=TRUE&amp;DOC_NAME=FAT:FQL_AUDITING_CLIENT_TEMPLATE.FAT&amp;display_string=Audit&amp;VAR:KEY=ZOVKXSJALE&amp;VAR:QUERY=KFBfUFJJQ0UoNDAxMDgpLShGRl9DQVNIX1NUKFFUUiw0MDEwOCkvUF9DT01fU0hTX09VVCg0MDEwOCkpKS9GR","V9FU1RJTUFURSgnRVBTJywnTUVBTicsJ0FOTlVBTF9ST0xMJywnKzEnLDQwMTA4LCwsJycp&amp;WINDOW=FIRST_POPUP&amp;HEIGHT=450&amp;WIDTH=450&amp;START_MAXIMIZED=FALSE&amp;VAR:CALENDAR=US&amp;VAR:SYMBOL=98433210&amp;VAR:INDEX=0"}</definedName>
    <definedName name="_7956__FDSAUDITLINK__">{"fdsup://directions/FAT Viewer?action=UPDATE&amp;creator=factset&amp;DYN_ARGS=TRUE&amp;DOC_NAME=FAT:FQL_AUDITING_CLIENT_TEMPLATE.FAT&amp;display_string=Audit&amp;VAR:KEY=DWBWZGDCRU&amp;VAR:QUERY=KFBfUFJJQ0UoNDAxMDcpLShGRl9DQVNIX1NUKFFUUiw0MDEwNykvUF9DT01fU0hTX09VVCg0MDEwNykpKS9GR","V9FU1RJTUFURSgnRVBTJywnTUVBTicsJ0FOTlVBTF9ST0xMJywnKzEnLDQwMTA3LCwsJycp&amp;WINDOW=FIRST_POPUP&amp;HEIGHT=450&amp;WIDTH=450&amp;START_MAXIMIZED=FALSE&amp;VAR:CALENDAR=US&amp;VAR:SYMBOL=98433210&amp;VAR:INDEX=0"}</definedName>
    <definedName name="_7957__FDSAUDITLINK__">{"fdsup://directions/FAT Viewer?action=UPDATE&amp;creator=factset&amp;DYN_ARGS=TRUE&amp;DOC_NAME=FAT:FQL_AUDITING_CLIENT_TEMPLATE.FAT&amp;display_string=Audit&amp;VAR:KEY=DWBWZGDCRU&amp;VAR:QUERY=KFBfUFJJQ0UoNDAxMDcpLShGRl9DQVNIX1NUKFFUUiw0MDEwNykvUF9DT01fU0hTX09VVCg0MDEwNykpKS9GR","V9FU1RJTUFURSgnRVBTJywnTUVBTicsJ0FOTlVBTF9ST0xMJywnKzEnLDQwMTA3LCwsJycp&amp;WINDOW=FIRST_POPUP&amp;HEIGHT=450&amp;WIDTH=450&amp;START_MAXIMIZED=FALSE&amp;VAR:CALENDAR=US&amp;VAR:SYMBOL=98433210&amp;VAR:INDEX=0"}</definedName>
    <definedName name="_7958__FDSAUDITLINK__">{"fdsup://directions/FAT Viewer?action=UPDATE&amp;creator=factset&amp;DYN_ARGS=TRUE&amp;DOC_NAME=FAT:FQL_AUDITING_CLIENT_TEMPLATE.FAT&amp;display_string=Audit&amp;VAR:KEY=BSTUPELQRE&amp;VAR:QUERY=KFBfUFJJQ0UoNDAxMDYpLShGRl9DQVNIX1NUKFFUUiw0MDEwNikvUF9DT01fU0hTX09VVCg0MDEwNikpKS9GR","V9FU1RJTUFURSgnRVBTJywnTUVBTicsJ0FOTlVBTF9ST0xMJywnKzEnLDQwMTA2LCwsJycp&amp;WINDOW=FIRST_POPUP&amp;HEIGHT=450&amp;WIDTH=450&amp;START_MAXIMIZED=FALSE&amp;VAR:CALENDAR=US&amp;VAR:SYMBOL=98433210&amp;VAR:INDEX=0"}</definedName>
    <definedName name="_7959__FDSAUDITLINK__">{"fdsup://directions/FAT Viewer?action=UPDATE&amp;creator=factset&amp;DYN_ARGS=TRUE&amp;DOC_NAME=FAT:FQL_AUDITING_CLIENT_TEMPLATE.FAT&amp;display_string=Audit&amp;VAR:KEY=BSTUPELQRE&amp;VAR:QUERY=KFBfUFJJQ0UoNDAxMDYpLShGRl9DQVNIX1NUKFFUUiw0MDEwNikvUF9DT01fU0hTX09VVCg0MDEwNikpKS9GR","V9FU1RJTUFURSgnRVBTJywnTUVBTicsJ0FOTlVBTF9ST0xMJywnKzEnLDQwMTA2LCwsJycp&amp;WINDOW=FIRST_POPUP&amp;HEIGHT=450&amp;WIDTH=450&amp;START_MAXIMIZED=FALSE&amp;VAR:CALENDAR=US&amp;VAR:SYMBOL=98433210&amp;VAR:INDEX=0"}</definedName>
    <definedName name="_79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994"}</definedName>
    <definedName name="_7960__FDSAUDITLINK__">{"fdsup://directions/FAT Viewer?action=UPDATE&amp;creator=factset&amp;DYN_ARGS=TRUE&amp;DOC_NAME=FAT:FQL_AUDITING_CLIENT_TEMPLATE.FAT&amp;display_string=Audit&amp;VAR:KEY=PCDCTWLSDG&amp;VAR:QUERY=KFBfUFJJQ0UoNDAxMDUpLShGRl9DQVNIX1NUKFFUUiw0MDEwNSkvUF9DT01fU0hTX09VVCg0MDEwNSkpKS9GR","V9FU1RJTUFURSgnRVBTJywnTUVBTicsJ0FOTlVBTF9ST0xMJywnKzEnLDQwMTA1LCwsJycp&amp;WINDOW=FIRST_POPUP&amp;HEIGHT=450&amp;WIDTH=450&amp;START_MAXIMIZED=FALSE&amp;VAR:CALENDAR=US&amp;VAR:SYMBOL=98433210&amp;VAR:INDEX=0"}</definedName>
    <definedName name="_7961__FDSAUDITLINK__">{"fdsup://directions/FAT Viewer?action=UPDATE&amp;creator=factset&amp;DYN_ARGS=TRUE&amp;DOC_NAME=FAT:FQL_AUDITING_CLIENT_TEMPLATE.FAT&amp;display_string=Audit&amp;VAR:KEY=PCDCTWLSDG&amp;VAR:QUERY=KFBfUFJJQ0UoNDAxMDUpLShGRl9DQVNIX1NUKFFUUiw0MDEwNSkvUF9DT01fU0hTX09VVCg0MDEwNSkpKS9GR","V9FU1RJTUFURSgnRVBTJywnTUVBTicsJ0FOTlVBTF9ST0xMJywnKzEnLDQwMTA1LCwsJycp&amp;WINDOW=FIRST_POPUP&amp;HEIGHT=450&amp;WIDTH=450&amp;START_MAXIMIZED=FALSE&amp;VAR:CALENDAR=US&amp;VAR:SYMBOL=98433210&amp;VAR:INDEX=0"}</definedName>
    <definedName name="_7962__FDSAUDITLINK__">{"fdsup://directions/FAT Viewer?action=UPDATE&amp;creator=factset&amp;DYN_ARGS=TRUE&amp;DOC_NAME=FAT:FQL_AUDITING_CLIENT_TEMPLATE.FAT&amp;display_string=Audit&amp;VAR:KEY=BUXMLKBAJU&amp;VAR:QUERY=KFBfUFJJQ0UoNDAxMDQpLShGRl9DQVNIX1NUKFFUUiw0MDEwNCkvUF9DT01fU0hTX09VVCg0MDEwNCkpKS9GR","V9FU1RJTUFURSgnRVBTJywnTUVBTicsJ0FOTlVBTF9ST0xMJywnKzEnLDQwMTA0LCwsJycp&amp;WINDOW=FIRST_POPUP&amp;HEIGHT=450&amp;WIDTH=450&amp;START_MAXIMIZED=FALSE&amp;VAR:CALENDAR=US&amp;VAR:SYMBOL=98433210&amp;VAR:INDEX=0"}</definedName>
    <definedName name="_7963__FDSAUDITLINK__">{"fdsup://directions/FAT Viewer?action=UPDATE&amp;creator=factset&amp;DYN_ARGS=TRUE&amp;DOC_NAME=FAT:FQL_AUDITING_CLIENT_TEMPLATE.FAT&amp;display_string=Audit&amp;VAR:KEY=BUXMLKBAJU&amp;VAR:QUERY=KFBfUFJJQ0UoNDAxMDQpLShGRl9DQVNIX1NUKFFUUiw0MDEwNCkvUF9DT01fU0hTX09VVCg0MDEwNCkpKS9GR","V9FU1RJTUFURSgnRVBTJywnTUVBTicsJ0FOTlVBTF9ST0xMJywnKzEnLDQwMTA0LCwsJycp&amp;WINDOW=FIRST_POPUP&amp;HEIGHT=450&amp;WIDTH=450&amp;START_MAXIMIZED=FALSE&amp;VAR:CALENDAR=US&amp;VAR:SYMBOL=98433210&amp;VAR:INDEX=0"}</definedName>
    <definedName name="_7964__FDSAUDITLINK__">{"fdsup://directions/FAT Viewer?action=UPDATE&amp;creator=factset&amp;DYN_ARGS=TRUE&amp;DOC_NAME=FAT:FQL_AUDITING_CLIENT_TEMPLATE.FAT&amp;display_string=Audit&amp;VAR:KEY=XSLENWVSRW&amp;VAR:QUERY=KFBfUFJJQ0UoNDAxMDMpLShGRl9DQVNIX1NUKFFUUiw0MDEwMykvUF9DT01fU0hTX09VVCg0MDEwMykpKS9GR","V9FU1RJTUFURSgnRVBTJywnTUVBTicsJ0FOTlVBTF9ST0xMJywnKzEnLDQwMTAzLCwsJycp&amp;WINDOW=FIRST_POPUP&amp;HEIGHT=450&amp;WIDTH=450&amp;START_MAXIMIZED=FALSE&amp;VAR:CALENDAR=US&amp;VAR:SYMBOL=98433210&amp;VAR:INDEX=0"}</definedName>
    <definedName name="_7965__FDSAUDITLINK__">{"fdsup://directions/FAT Viewer?action=UPDATE&amp;creator=factset&amp;DYN_ARGS=TRUE&amp;DOC_NAME=FAT:FQL_AUDITING_CLIENT_TEMPLATE.FAT&amp;display_string=Audit&amp;VAR:KEY=XSLENWVSRW&amp;VAR:QUERY=KFBfUFJJQ0UoNDAxMDMpLShGRl9DQVNIX1NUKFFUUiw0MDEwMykvUF9DT01fU0hTX09VVCg0MDEwMykpKS9GR","V9FU1RJTUFURSgnRVBTJywnTUVBTicsJ0FOTlVBTF9ST0xMJywnKzEnLDQwMTAzLCwsJycp&amp;WINDOW=FIRST_POPUP&amp;HEIGHT=450&amp;WIDTH=450&amp;START_MAXIMIZED=FALSE&amp;VAR:CALENDAR=US&amp;VAR:SYMBOL=98433210&amp;VAR:INDEX=0"}</definedName>
    <definedName name="_7966__FDSAUDITLINK__">{"fdsup://directions/FAT Viewer?action=UPDATE&amp;creator=factset&amp;DYN_ARGS=TRUE&amp;DOC_NAME=FAT:FQL_AUDITING_CLIENT_TEMPLATE.FAT&amp;display_string=Audit&amp;VAR:KEY=POFSFIDCLW&amp;VAR:QUERY=KFBfUFJJQ0UoNDAxMDIpLShGRl9DQVNIX1NUKFFUUiw0MDEwMikvUF9DT01fU0hTX09VVCg0MDEwMikpKS9GR","V9FU1RJTUFURSgnRVBTJywnTUVBTicsJ0FOTlVBTF9ST0xMJywnKzEnLDQwMTAyLCwsJycp&amp;WINDOW=FIRST_POPUP&amp;HEIGHT=450&amp;WIDTH=450&amp;START_MAXIMIZED=FALSE&amp;VAR:CALENDAR=US&amp;VAR:SYMBOL=98433210&amp;VAR:INDEX=0"}</definedName>
    <definedName name="_7967__FDSAUDITLINK__">{"fdsup://directions/FAT Viewer?action=UPDATE&amp;creator=factset&amp;DYN_ARGS=TRUE&amp;DOC_NAME=FAT:FQL_AUDITING_CLIENT_TEMPLATE.FAT&amp;display_string=Audit&amp;VAR:KEY=POFSFIDCLW&amp;VAR:QUERY=KFBfUFJJQ0UoNDAxMDIpLShGRl9DQVNIX1NUKFFUUiw0MDEwMikvUF9DT01fU0hTX09VVCg0MDEwMikpKS9GR","V9FU1RJTUFURSgnRVBTJywnTUVBTicsJ0FOTlVBTF9ST0xMJywnKzEnLDQwMTAyLCwsJycp&amp;WINDOW=FIRST_POPUP&amp;HEIGHT=450&amp;WIDTH=450&amp;START_MAXIMIZED=FALSE&amp;VAR:CALENDAR=US&amp;VAR:SYMBOL=98433210&amp;VAR:INDEX=0"}</definedName>
    <definedName name="_7968__FDSAUDITLINK__">{"fdsup://directions/FAT Viewer?action=UPDATE&amp;creator=factset&amp;DYN_ARGS=TRUE&amp;DOC_NAME=FAT:FQL_AUDITING_CLIENT_TEMPLATE.FAT&amp;display_string=Audit&amp;VAR:KEY=XSTYZUBERQ&amp;VAR:QUERY=KFBfUFJJQ0UoNDAxMDEpLShGRl9DQVNIX1NUKFFUUiw0MDEwMSkvUF9DT01fU0hTX09VVCg0MDEwMSkpKS9GR","V9FU1RJTUFURSgnRVBTJywnTUVBTicsJ0FOTlVBTF9ST0xMJywnKzEnLDQwMTAxLCwsJycp&amp;WINDOW=FIRST_POPUP&amp;HEIGHT=450&amp;WIDTH=450&amp;START_MAXIMIZED=FALSE&amp;VAR:CALENDAR=US&amp;VAR:SYMBOL=98433210&amp;VAR:INDEX=0"}</definedName>
    <definedName name="_7969__FDSAUDITLINK__">{"fdsup://directions/FAT Viewer?action=UPDATE&amp;creator=factset&amp;DYN_ARGS=TRUE&amp;DOC_NAME=FAT:FQL_AUDITING_CLIENT_TEMPLATE.FAT&amp;display_string=Audit&amp;VAR:KEY=XSTYZUBERQ&amp;VAR:QUERY=KFBfUFJJQ0UoNDAxMDEpLShGRl9DQVNIX1NUKFFUUiw0MDEwMSkvUF9DT01fU0hTX09VVCg0MDEwMSkpKS9GR","V9FU1RJTUFURSgnRVBTJywnTUVBTicsJ0FOTlVBTF9ST0xMJywnKzEnLDQwMTAxLCwsJycp&amp;WINDOW=FIRST_POPUP&amp;HEIGHT=450&amp;WIDTH=450&amp;START_MAXIMIZED=FALSE&amp;VAR:CALENDAR=US&amp;VAR:SYMBOL=98433210&amp;VAR:INDEX=0"}</definedName>
    <definedName name="_79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993"}</definedName>
    <definedName name="_7970__FDSAUDITLINK__">{"fdsup://directions/FAT Viewer?action=UPDATE&amp;creator=factset&amp;DYN_ARGS=TRUE&amp;DOC_NAME=FAT:FQL_AUDITING_CLIENT_TEMPLATE.FAT&amp;display_string=Audit&amp;VAR:KEY=TYXSBMBKDY&amp;VAR:QUERY=KFBfUFJJQ0UoNDAxMDApLShGRl9DQVNIX1NUKFFUUiw0MDEwMCkvUF9DT01fU0hTX09VVCg0MDEwMCkpKS9GR","V9FU1RJTUFURSgnRVBTJywnTUVBTicsJ0FOTlVBTF9ST0xMJywnKzEnLDQwMTAwLCwsJycp&amp;WINDOW=FIRST_POPUP&amp;HEIGHT=450&amp;WIDTH=450&amp;START_MAXIMIZED=FALSE&amp;VAR:CALENDAR=US&amp;VAR:SYMBOL=98433210&amp;VAR:INDEX=0"}</definedName>
    <definedName name="_7971__FDSAUDITLINK__">{"fdsup://directions/FAT Viewer?action=UPDATE&amp;creator=factset&amp;DYN_ARGS=TRUE&amp;DOC_NAME=FAT:FQL_AUDITING_CLIENT_TEMPLATE.FAT&amp;display_string=Audit&amp;VAR:KEY=TYXSBMBKDY&amp;VAR:QUERY=KFBfUFJJQ0UoNDAxMDApLShGRl9DQVNIX1NUKFFUUiw0MDEwMCkvUF9DT01fU0hTX09VVCg0MDEwMCkpKS9GR","V9FU1RJTUFURSgnRVBTJywnTUVBTicsJ0FOTlVBTF9ST0xMJywnKzEnLDQwMTAwLCwsJycp&amp;WINDOW=FIRST_POPUP&amp;HEIGHT=450&amp;WIDTH=450&amp;START_MAXIMIZED=FALSE&amp;VAR:CALENDAR=US&amp;VAR:SYMBOL=98433210&amp;VAR:INDEX=0"}</definedName>
    <definedName name="_7972__FDSAUDITLINK__">{"fdsup://directions/FAT Viewer?action=UPDATE&amp;creator=factset&amp;DYN_ARGS=TRUE&amp;DOC_NAME=FAT:FQL_AUDITING_CLIENT_TEMPLATE.FAT&amp;display_string=Audit&amp;VAR:KEY=PWTKTYNIPS&amp;VAR:QUERY=KFBfUFJJQ0UoNDAwOTkpLShGRl9DQVNIX1NUKFFUUiw0MDA5OSkvUF9DT01fU0hTX09VVCg0MDA5OSkpKS9GR","V9FU1RJTUFURSgnRVBTJywnTUVBTicsJ0FOTlVBTF9ST0xMJywnKzEnLDQwMDk5LCwsJycp&amp;WINDOW=FIRST_POPUP&amp;HEIGHT=450&amp;WIDTH=450&amp;START_MAXIMIZED=FALSE&amp;VAR:CALENDAR=US&amp;VAR:SYMBOL=98433210&amp;VAR:INDEX=0"}</definedName>
    <definedName name="_7973__FDSAUDITLINK__">{"fdsup://directions/FAT Viewer?action=UPDATE&amp;creator=factset&amp;DYN_ARGS=TRUE&amp;DOC_NAME=FAT:FQL_AUDITING_CLIENT_TEMPLATE.FAT&amp;display_string=Audit&amp;VAR:KEY=PWTKTYNIPS&amp;VAR:QUERY=KFBfUFJJQ0UoNDAwOTkpLShGRl9DQVNIX1NUKFFUUiw0MDA5OSkvUF9DT01fU0hTX09VVCg0MDA5OSkpKS9GR","V9FU1RJTUFURSgnRVBTJywnTUVBTicsJ0FOTlVBTF9ST0xMJywnKzEnLDQwMDk5LCwsJycp&amp;WINDOW=FIRST_POPUP&amp;HEIGHT=450&amp;WIDTH=450&amp;START_MAXIMIZED=FALSE&amp;VAR:CALENDAR=US&amp;VAR:SYMBOL=98433210&amp;VAR:INDEX=0"}</definedName>
    <definedName name="_7974__FDSAUDITLINK__">{"fdsup://directions/FAT Viewer?action=UPDATE&amp;creator=factset&amp;DYN_ARGS=TRUE&amp;DOC_NAME=FAT:FQL_AUDITING_CLIENT_TEMPLATE.FAT&amp;display_string=Audit&amp;VAR:KEY=VCLSZKJQPQ&amp;VAR:QUERY=KFBfUFJJQ0UoNDAwOTgpLShGRl9DQVNIX1NUKFFUUiw0MDA5OCkvUF9DT01fU0hTX09VVCg0MDA5OCkpKS9GR","V9FU1RJTUFURSgnRVBTJywnTUVBTicsJ0FOTlVBTF9ST0xMJywnKzEnLDQwMDk4LCwsJycp&amp;WINDOW=FIRST_POPUP&amp;HEIGHT=450&amp;WIDTH=450&amp;START_MAXIMIZED=FALSE&amp;VAR:CALENDAR=US&amp;VAR:SYMBOL=98433210&amp;VAR:INDEX=0"}</definedName>
    <definedName name="_7975__FDSAUDITLINK__">{"fdsup://directions/FAT Viewer?action=UPDATE&amp;creator=factset&amp;DYN_ARGS=TRUE&amp;DOC_NAME=FAT:FQL_AUDITING_CLIENT_TEMPLATE.FAT&amp;display_string=Audit&amp;VAR:KEY=VCLSZKJQPQ&amp;VAR:QUERY=KFBfUFJJQ0UoNDAwOTgpLShGRl9DQVNIX1NUKFFUUiw0MDA5OCkvUF9DT01fU0hTX09VVCg0MDA5OCkpKS9GR","V9FU1RJTUFURSgnRVBTJywnTUVBTicsJ0FOTlVBTF9ST0xMJywnKzEnLDQwMDk4LCwsJycp&amp;WINDOW=FIRST_POPUP&amp;HEIGHT=450&amp;WIDTH=450&amp;START_MAXIMIZED=FALSE&amp;VAR:CALENDAR=US&amp;VAR:SYMBOL=98433210&amp;VAR:INDEX=0"}</definedName>
    <definedName name="_7976__FDSAUDITLINK__">{"fdsup://directions/FAT Viewer?action=UPDATE&amp;creator=factset&amp;DYN_ARGS=TRUE&amp;DOC_NAME=FAT:FQL_AUDITING_CLIENT_TEMPLATE.FAT&amp;display_string=Audit&amp;VAR:KEY=JYDAHAFMHA&amp;VAR:QUERY=KFBfUFJJQ0UoNDAwOTcpLShGRl9DQVNIX1NUKFFUUiw0MDA5NykvUF9DT01fU0hTX09VVCg0MDA5NykpKS9GR","V9FU1RJTUFURSgnRVBTJywnTUVBTicsJ0FOTlVBTF9ST0xMJywnKzEnLDQwMDk3LCwsJycp&amp;WINDOW=FIRST_POPUP&amp;HEIGHT=450&amp;WIDTH=450&amp;START_MAXIMIZED=FALSE&amp;VAR:CALENDAR=US&amp;VAR:SYMBOL=98433210&amp;VAR:INDEX=0"}</definedName>
    <definedName name="_7977__FDSAUDITLINK__">{"fdsup://directions/FAT Viewer?action=UPDATE&amp;creator=factset&amp;DYN_ARGS=TRUE&amp;DOC_NAME=FAT:FQL_AUDITING_CLIENT_TEMPLATE.FAT&amp;display_string=Audit&amp;VAR:KEY=JYDAHAFMHA&amp;VAR:QUERY=KFBfUFJJQ0UoNDAwOTcpLShGRl9DQVNIX1NUKFFUUiw0MDA5NykvUF9DT01fU0hTX09VVCg0MDA5NykpKS9GR","V9FU1RJTUFURSgnRVBTJywnTUVBTicsJ0FOTlVBTF9ST0xMJywnKzEnLDQwMDk3LCwsJycp&amp;WINDOW=FIRST_POPUP&amp;HEIGHT=450&amp;WIDTH=450&amp;START_MAXIMIZED=FALSE&amp;VAR:CALENDAR=US&amp;VAR:SYMBOL=98433210&amp;VAR:INDEX=0"}</definedName>
    <definedName name="_7978__FDSAUDITLINK__">{"fdsup://directions/FAT Viewer?action=UPDATE&amp;creator=factset&amp;DYN_ARGS=TRUE&amp;DOC_NAME=FAT:FQL_AUDITING_CLIENT_TEMPLATE.FAT&amp;display_string=Audit&amp;VAR:KEY=LKXUNUNAVY&amp;VAR:QUERY=KFBfUFJJQ0UoNDAwOTYpLShGRl9DQVNIX1NUKFFUUiw0MDA5NikvUF9DT01fU0hTX09VVCg0MDA5NikpKS9GR","V9FU1RJTUFURSgnRVBTJywnTUVBTicsJ0FOTlVBTF9ST0xMJywnKzEnLDQwMDk2LCwsJycp&amp;WINDOW=FIRST_POPUP&amp;HEIGHT=450&amp;WIDTH=450&amp;START_MAXIMIZED=FALSE&amp;VAR:CALENDAR=US&amp;VAR:SYMBOL=98433210&amp;VAR:INDEX=0"}</definedName>
    <definedName name="_7979__FDSAUDITLINK__">{"fdsup://directions/FAT Viewer?action=UPDATE&amp;creator=factset&amp;DYN_ARGS=TRUE&amp;DOC_NAME=FAT:FQL_AUDITING_CLIENT_TEMPLATE.FAT&amp;display_string=Audit&amp;VAR:KEY=LKXUNUNAVY&amp;VAR:QUERY=KFBfUFJJQ0UoNDAwOTYpLShGRl9DQVNIX1NUKFFUUiw0MDA5NikvUF9DT01fU0hTX09VVCg0MDA5NikpKS9GR","V9FU1RJTUFURSgnRVBTJywnTUVBTicsJ0FOTlVBTF9ST0xMJywnKzEnLDQwMDk2LCwsJycp&amp;WINDOW=FIRST_POPUP&amp;HEIGHT=450&amp;WIDTH=450&amp;START_MAXIMIZED=FALSE&amp;VAR:CALENDAR=US&amp;VAR:SYMBOL=98433210&amp;VAR:INDEX=0"}</definedName>
    <definedName name="_79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992"}</definedName>
    <definedName name="_7980__FDSAUDITLINK__">{"fdsup://directions/FAT Viewer?action=UPDATE&amp;creator=factset&amp;DYN_ARGS=TRUE&amp;DOC_NAME=FAT:FQL_AUDITING_CLIENT_TEMPLATE.FAT&amp;display_string=Audit&amp;VAR:KEY=PUPYRGVWPW&amp;VAR:QUERY=KFBfUFJJQ0UoNDAwOTUpLShGRl9DQVNIX1NUKFFUUiw0MDA5NSkvUF9DT01fU0hTX09VVCg0MDA5NSkpKS9GR","V9FU1RJTUFURSgnRVBTJywnTUVBTicsJ0FOTlVBTF9ST0xMJywnKzEnLDQwMDk1LCwsJycp&amp;WINDOW=FIRST_POPUP&amp;HEIGHT=450&amp;WIDTH=450&amp;START_MAXIMIZED=FALSE&amp;VAR:CALENDAR=US&amp;VAR:SYMBOL=98433210&amp;VAR:INDEX=0"}</definedName>
    <definedName name="_7981__FDSAUDITLINK__">{"fdsup://directions/FAT Viewer?action=UPDATE&amp;creator=factset&amp;DYN_ARGS=TRUE&amp;DOC_NAME=FAT:FQL_AUDITING_CLIENT_TEMPLATE.FAT&amp;display_string=Audit&amp;VAR:KEY=PUPYRGVWPW&amp;VAR:QUERY=KFBfUFJJQ0UoNDAwOTUpLShGRl9DQVNIX1NUKFFUUiw0MDA5NSkvUF9DT01fU0hTX09VVCg0MDA5NSkpKS9GR","V9FU1RJTUFURSgnRVBTJywnTUVBTicsJ0FOTlVBTF9ST0xMJywnKzEnLDQwMDk1LCwsJycp&amp;WINDOW=FIRST_POPUP&amp;HEIGHT=450&amp;WIDTH=450&amp;START_MAXIMIZED=FALSE&amp;VAR:CALENDAR=US&amp;VAR:SYMBOL=98433210&amp;VAR:INDEX=0"}</definedName>
    <definedName name="_7982__FDSAUDITLINK__">{"fdsup://directions/FAT Viewer?action=UPDATE&amp;creator=factset&amp;DYN_ARGS=TRUE&amp;DOC_NAME=FAT:FQL_AUDITING_CLIENT_TEMPLATE.FAT&amp;display_string=Audit&amp;VAR:KEY=FWXGBQRANE&amp;VAR:QUERY=KFBfUFJJQ0UoNDAwOTQpLShGRl9DQVNIX1NUKFFUUiw0MDA5NCkvUF9DT01fU0hTX09VVCg0MDA5NCkpKS9GR","V9FU1RJTUFURSgnRVBTJywnTUVBTicsJ0FOTlVBTF9ST0xMJywnKzEnLDQwMDk0LCwsJycp&amp;WINDOW=FIRST_POPUP&amp;HEIGHT=450&amp;WIDTH=450&amp;START_MAXIMIZED=FALSE&amp;VAR:CALENDAR=US&amp;VAR:SYMBOL=98433210&amp;VAR:INDEX=0"}</definedName>
    <definedName name="_7983__FDSAUDITLINK__">{"fdsup://directions/FAT Viewer?action=UPDATE&amp;creator=factset&amp;DYN_ARGS=TRUE&amp;DOC_NAME=FAT:FQL_AUDITING_CLIENT_TEMPLATE.FAT&amp;display_string=Audit&amp;VAR:KEY=FWXGBQRANE&amp;VAR:QUERY=KFBfUFJJQ0UoNDAwOTQpLShGRl9DQVNIX1NUKFFUUiw0MDA5NCkvUF9DT01fU0hTX09VVCg0MDA5NCkpKS9GR","V9FU1RJTUFURSgnRVBTJywnTUVBTicsJ0FOTlVBTF9ST0xMJywnKzEnLDQwMDk0LCwsJycp&amp;WINDOW=FIRST_POPUP&amp;HEIGHT=450&amp;WIDTH=450&amp;START_MAXIMIZED=FALSE&amp;VAR:CALENDAR=US&amp;VAR:SYMBOL=98433210&amp;VAR:INDEX=0"}</definedName>
    <definedName name="_7984__FDSAUDITLINK__">{"fdsup://directions/FAT Viewer?action=UPDATE&amp;creator=factset&amp;DYN_ARGS=TRUE&amp;DOC_NAME=FAT:FQL_AUDITING_CLIENT_TEMPLATE.FAT&amp;display_string=Audit&amp;VAR:KEY=TKNAXAPAFQ&amp;VAR:QUERY=KFBfUFJJQ0UoNDAwOTMpLShGRl9DQVNIX1NUKFFUUiw0MDA5MykvUF9DT01fU0hTX09VVCg0MDA5MykpKS9GR","V9FU1RJTUFURSgnRVBTJywnTUVBTicsJ0FOTlVBTF9ST0xMJywnKzEnLDQwMDkzLCwsJycp&amp;WINDOW=FIRST_POPUP&amp;HEIGHT=450&amp;WIDTH=450&amp;START_MAXIMIZED=FALSE&amp;VAR:CALENDAR=US&amp;VAR:SYMBOL=98433210&amp;VAR:INDEX=0"}</definedName>
    <definedName name="_7985__FDSAUDITLINK__">{"fdsup://directions/FAT Viewer?action=UPDATE&amp;creator=factset&amp;DYN_ARGS=TRUE&amp;DOC_NAME=FAT:FQL_AUDITING_CLIENT_TEMPLATE.FAT&amp;display_string=Audit&amp;VAR:KEY=TKNAXAPAFQ&amp;VAR:QUERY=KFBfUFJJQ0UoNDAwOTMpLShGRl9DQVNIX1NUKFFUUiw0MDA5MykvUF9DT01fU0hTX09VVCg0MDA5MykpKS9GR","V9FU1RJTUFURSgnRVBTJywnTUVBTicsJ0FOTlVBTF9ST0xMJywnKzEnLDQwMDkzLCwsJycp&amp;WINDOW=FIRST_POPUP&amp;HEIGHT=450&amp;WIDTH=450&amp;START_MAXIMIZED=FALSE&amp;VAR:CALENDAR=US&amp;VAR:SYMBOL=98433210&amp;VAR:INDEX=0"}</definedName>
    <definedName name="_7986__FDSAUDITLINK__">{"fdsup://directions/FAT Viewer?action=UPDATE&amp;creator=factset&amp;DYN_ARGS=TRUE&amp;DOC_NAME=FAT:FQL_AUDITING_CLIENT_TEMPLATE.FAT&amp;display_string=Audit&amp;VAR:KEY=DGVAPENUDW&amp;VAR:QUERY=KFBfUFJJQ0UoNDAwOTIpLShGRl9DQVNIX1NUKFFUUiw0MDA5MikvUF9DT01fU0hTX09VVCg0MDA5MikpKS9GR","V9FU1RJTUFURSgnRVBTJywnTUVBTicsJ0FOTlVBTF9ST0xMJywnKzEnLDQwMDkyLCwsJycp&amp;WINDOW=FIRST_POPUP&amp;HEIGHT=450&amp;WIDTH=450&amp;START_MAXIMIZED=FALSE&amp;VAR:CALENDAR=US&amp;VAR:SYMBOL=98433210&amp;VAR:INDEX=0"}</definedName>
    <definedName name="_7987__FDSAUDITLINK__">{"fdsup://directions/FAT Viewer?action=UPDATE&amp;creator=factset&amp;DYN_ARGS=TRUE&amp;DOC_NAME=FAT:FQL_AUDITING_CLIENT_TEMPLATE.FAT&amp;display_string=Audit&amp;VAR:KEY=DGVAPENUDW&amp;VAR:QUERY=KFBfUFJJQ0UoNDAwOTIpLShGRl9DQVNIX1NUKFFUUiw0MDA5MikvUF9DT01fU0hTX09VVCg0MDA5MikpKS9GR","V9FU1RJTUFURSgnRVBTJywnTUVBTicsJ0FOTlVBTF9ST0xMJywnKzEnLDQwMDkyLCwsJycp&amp;WINDOW=FIRST_POPUP&amp;HEIGHT=450&amp;WIDTH=450&amp;START_MAXIMIZED=FALSE&amp;VAR:CALENDAR=US&amp;VAR:SYMBOL=98433210&amp;VAR:INDEX=0"}</definedName>
    <definedName name="_7988__FDSAUDITLINK__">{"fdsup://directions/FAT Viewer?action=UPDATE&amp;creator=factset&amp;DYN_ARGS=TRUE&amp;DOC_NAME=FAT:FQL_AUDITING_CLIENT_TEMPLATE.FAT&amp;display_string=Audit&amp;VAR:KEY=VGTCJULKLA&amp;VAR:QUERY=KFBfUFJJQ0UoNDAwOTEpLShGRl9DQVNIX1NUKFFUUiw0MDA5MSkvUF9DT01fU0hTX09VVCg0MDA5MSkpKS9GR","V9FU1RJTUFURSgnRVBTJywnTUVBTicsJ0FOTlVBTF9ST0xMJywnKzEnLDQwMDkxLCwsJycp&amp;WINDOW=FIRST_POPUP&amp;HEIGHT=450&amp;WIDTH=450&amp;START_MAXIMIZED=FALSE&amp;VAR:CALENDAR=US&amp;VAR:SYMBOL=98433210&amp;VAR:INDEX=0"}</definedName>
    <definedName name="_7989__FDSAUDITLINK__">{"fdsup://directions/FAT Viewer?action=UPDATE&amp;creator=factset&amp;DYN_ARGS=TRUE&amp;DOC_NAME=FAT:FQL_AUDITING_CLIENT_TEMPLATE.FAT&amp;display_string=Audit&amp;VAR:KEY=VGTCJULKLA&amp;VAR:QUERY=KFBfUFJJQ0UoNDAwOTEpLShGRl9DQVNIX1NUKFFUUiw0MDA5MSkvUF9DT01fU0hTX09VVCg0MDA5MSkpKS9GR","V9FU1RJTUFURSgnRVBTJywnTUVBTicsJ0FOTlVBTF9ST0xMJywnKzEnLDQwMDkxLCwsJycp&amp;WINDOW=FIRST_POPUP&amp;HEIGHT=450&amp;WIDTH=450&amp;START_MAXIMIZED=FALSE&amp;VAR:CALENDAR=US&amp;VAR:SYMBOL=98433210&amp;VAR:INDEX=0"}</definedName>
    <definedName name="_79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991"}</definedName>
    <definedName name="_7990__FDSAUDITLINK__">{"fdsup://directions/FAT Viewer?action=UPDATE&amp;creator=factset&amp;DYN_ARGS=TRUE&amp;DOC_NAME=FAT:FQL_AUDITING_CLIENT_TEMPLATE.FAT&amp;display_string=Audit&amp;VAR:KEY=VUPULCRAHK&amp;VAR:QUERY=KFBfUFJJQ0UoNDAwOTApLShGRl9DQVNIX1NUKFFUUiw0MDA5MCkvUF9DT01fU0hTX09VVCg0MDA5MCkpKS9GR","V9FU1RJTUFURSgnRVBTJywnTUVBTicsJ0FOTlVBTF9ST0xMJywnKzEnLDQwMDkwLCwsJycp&amp;WINDOW=FIRST_POPUP&amp;HEIGHT=450&amp;WIDTH=450&amp;START_MAXIMIZED=FALSE&amp;VAR:CALENDAR=US&amp;VAR:SYMBOL=98433210&amp;VAR:INDEX=0"}</definedName>
    <definedName name="_7991__FDSAUDITLINK__">{"fdsup://directions/FAT Viewer?action=UPDATE&amp;creator=factset&amp;DYN_ARGS=TRUE&amp;DOC_NAME=FAT:FQL_AUDITING_CLIENT_TEMPLATE.FAT&amp;display_string=Audit&amp;VAR:KEY=VUPULCRAHK&amp;VAR:QUERY=KFBfUFJJQ0UoNDAwOTApLShGRl9DQVNIX1NUKFFUUiw0MDA5MCkvUF9DT01fU0hTX09VVCg0MDA5MCkpKS9GR","V9FU1RJTUFURSgnRVBTJywnTUVBTicsJ0FOTlVBTF9ST0xMJywnKzEnLDQwMDkwLCwsJycp&amp;WINDOW=FIRST_POPUP&amp;HEIGHT=450&amp;WIDTH=450&amp;START_MAXIMIZED=FALSE&amp;VAR:CALENDAR=US&amp;VAR:SYMBOL=98433210&amp;VAR:INDEX=0"}</definedName>
    <definedName name="_7992__FDSAUDITLINK__">{"fdsup://directions/FAT Viewer?action=UPDATE&amp;creator=factset&amp;DYN_ARGS=TRUE&amp;DOC_NAME=FAT:FQL_AUDITING_CLIENT_TEMPLATE.FAT&amp;display_string=Audit&amp;VAR:KEY=JKZYHEBGXS&amp;VAR:QUERY=KFBfUFJJQ0UoNDAwODkpLShGRl9DQVNIX1NUKFFUUiw0MDA4OSkvUF9DT01fU0hTX09VVCg0MDA4OSkpKS9GR","V9FU1RJTUFURSgnRVBTJywnTUVBTicsJ0FOTlVBTF9ST0xMJywnKzEnLDQwMDg5LCwsJycp&amp;WINDOW=FIRST_POPUP&amp;HEIGHT=450&amp;WIDTH=450&amp;START_MAXIMIZED=FALSE&amp;VAR:CALENDAR=US&amp;VAR:SYMBOL=98433210&amp;VAR:INDEX=0"}</definedName>
    <definedName name="_7993__FDSAUDITLINK__">{"fdsup://directions/FAT Viewer?action=UPDATE&amp;creator=factset&amp;DYN_ARGS=TRUE&amp;DOC_NAME=FAT:FQL_AUDITING_CLIENT_TEMPLATE.FAT&amp;display_string=Audit&amp;VAR:KEY=JKZYHEBGXS&amp;VAR:QUERY=KFBfUFJJQ0UoNDAwODkpLShGRl9DQVNIX1NUKFFUUiw0MDA4OSkvUF9DT01fU0hTX09VVCg0MDA4OSkpKS9GR","V9FU1RJTUFURSgnRVBTJywnTUVBTicsJ0FOTlVBTF9ST0xMJywnKzEnLDQwMDg5LCwsJycp&amp;WINDOW=FIRST_POPUP&amp;HEIGHT=450&amp;WIDTH=450&amp;START_MAXIMIZED=FALSE&amp;VAR:CALENDAR=US&amp;VAR:SYMBOL=98433210&amp;VAR:INDEX=0"}</definedName>
    <definedName name="_7994__FDSAUDITLINK__">{"fdsup://directions/FAT Viewer?action=UPDATE&amp;creator=factset&amp;DYN_ARGS=TRUE&amp;DOC_NAME=FAT:FQL_AUDITING_CLIENT_TEMPLATE.FAT&amp;display_string=Audit&amp;VAR:KEY=VGFERQTSTC&amp;VAR:QUERY=KFBfUFJJQ0UoNDAwODgpLShGRl9DQVNIX1NUKFFUUiw0MDA4OCkvUF9DT01fU0hTX09VVCg0MDA4OCkpKS9GR","V9FU1RJTUFURSgnRVBTJywnTUVBTicsJ0FOTlVBTF9ST0xMJywnKzEnLDQwMDg4LCwsJycp&amp;WINDOW=FIRST_POPUP&amp;HEIGHT=450&amp;WIDTH=450&amp;START_MAXIMIZED=FALSE&amp;VAR:CALENDAR=US&amp;VAR:SYMBOL=98433210&amp;VAR:INDEX=0"}</definedName>
    <definedName name="_7995__FDSAUDITLINK__">{"fdsup://directions/FAT Viewer?action=UPDATE&amp;creator=factset&amp;DYN_ARGS=TRUE&amp;DOC_NAME=FAT:FQL_AUDITING_CLIENT_TEMPLATE.FAT&amp;display_string=Audit&amp;VAR:KEY=VGFERQTSTC&amp;VAR:QUERY=KFBfUFJJQ0UoNDAwODgpLShGRl9DQVNIX1NUKFFUUiw0MDA4OCkvUF9DT01fU0hTX09VVCg0MDA4OCkpKS9GR","V9FU1RJTUFURSgnRVBTJywnTUVBTicsJ0FOTlVBTF9ST0xMJywnKzEnLDQwMDg4LCwsJycp&amp;WINDOW=FIRST_POPUP&amp;HEIGHT=450&amp;WIDTH=450&amp;START_MAXIMIZED=FALSE&amp;VAR:CALENDAR=US&amp;VAR:SYMBOL=98433210&amp;VAR:INDEX=0"}</definedName>
    <definedName name="_7996__FDSAUDITLINK__">{"fdsup://directions/FAT Viewer?action=UPDATE&amp;creator=factset&amp;DYN_ARGS=TRUE&amp;DOC_NAME=FAT:FQL_AUDITING_CLIENT_TEMPLATE.FAT&amp;display_string=Audit&amp;VAR:KEY=FMNGZCFMLK&amp;VAR:QUERY=KFBfUFJJQ0UoNDAwODcpLShGRl9DQVNIX1NUKFFUUiw0MDA4NykvUF9DT01fU0hTX09VVCg0MDA4NykpKS9GR","V9FU1RJTUFURSgnRVBTJywnTUVBTicsJ0FOTlVBTF9ST0xMJywnKzEnLDQwMDg3LCwsJycp&amp;WINDOW=FIRST_POPUP&amp;HEIGHT=450&amp;WIDTH=450&amp;START_MAXIMIZED=FALSE&amp;VAR:CALENDAR=US&amp;VAR:SYMBOL=98433210&amp;VAR:INDEX=0"}</definedName>
    <definedName name="_7997__FDSAUDITLINK__">{"fdsup://directions/FAT Viewer?action=UPDATE&amp;creator=factset&amp;DYN_ARGS=TRUE&amp;DOC_NAME=FAT:FQL_AUDITING_CLIENT_TEMPLATE.FAT&amp;display_string=Audit&amp;VAR:KEY=FMNGZCFMLK&amp;VAR:QUERY=KFBfUFJJQ0UoNDAwODcpLShGRl9DQVNIX1NUKFFUUiw0MDA4NykvUF9DT01fU0hTX09VVCg0MDA4NykpKS9GR","V9FU1RJTUFURSgnRVBTJywnTUVBTicsJ0FOTlVBTF9ST0xMJywnKzEnLDQwMDg3LCwsJycp&amp;WINDOW=FIRST_POPUP&amp;HEIGHT=450&amp;WIDTH=450&amp;START_MAXIMIZED=FALSE&amp;VAR:CALENDAR=US&amp;VAR:SYMBOL=98433210&amp;VAR:INDEX=0"}</definedName>
    <definedName name="_7998__FDSAUDITLINK__">{"fdsup://directions/FAT Viewer?action=UPDATE&amp;creator=factset&amp;DYN_ARGS=TRUE&amp;DOC_NAME=FAT:FQL_AUDITING_CLIENT_TEMPLATE.FAT&amp;display_string=Audit&amp;VAR:KEY=XOHSDKVAJO&amp;VAR:QUERY=KFBfUFJJQ0UoNDAwODYpLShGRl9DQVNIX1NUKFFUUiw0MDA4NikvUF9DT01fU0hTX09VVCg0MDA4NikpKS9GR","V9FU1RJTUFURSgnRVBTJywnTUVBTicsJ0FOTlVBTF9ST0xMJywnKzEnLDQwMDg2LCwsJycp&amp;WINDOW=FIRST_POPUP&amp;HEIGHT=450&amp;WIDTH=450&amp;START_MAXIMIZED=FALSE&amp;VAR:CALENDAR=US&amp;VAR:SYMBOL=98433210&amp;VAR:INDEX=0"}</definedName>
    <definedName name="_7999__FDSAUDITLINK__">{"fdsup://directions/FAT Viewer?action=UPDATE&amp;creator=factset&amp;DYN_ARGS=TRUE&amp;DOC_NAME=FAT:FQL_AUDITING_CLIENT_TEMPLATE.FAT&amp;display_string=Audit&amp;VAR:KEY=XOHSDKVAJO&amp;VAR:QUERY=KFBfUFJJQ0UoNDAwODYpLShGRl9DQVNIX1NUKFFUUiw0MDA4NikvUF9DT01fU0hTX09VVCg0MDA4NikpKS9GR","V9FU1RJTUFURSgnRVBTJywnTUVBTicsJ0FOTlVBTF9ST0xMJywnKzEnLDQwMDg2LCwsJycp&amp;WINDOW=FIRST_POPUP&amp;HEIGHT=450&amp;WIDTH=450&amp;START_MAXIMIZED=FALSE&amp;VAR:CALENDAR=US&amp;VAR:SYMBOL=98433210&amp;VAR:INDEX=0"}</definedName>
    <definedName name="_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14.827633&amp;VAR:V0=17.616506&amp;VAR:V1=14.076644&amp;VAR:Y0=2009&amp;VAR:Y1=2010&amp;VAR:P=1057.078558&amp;VAR:DATE=20090930&amp;VAR:THRESH=-|-|","-|-|-|-|-"}</definedName>
    <definedName name="_8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0.497268&amp;VAR:V=16.831227&amp;VAR:V0=17.679897&amp;VAR:V1=16.052221&amp;VAR:Y0=2004&amp;VAR:Y1=2005&amp;VAR:P=1140.835600&amp;VAR:DATE=20040630&amp;VAR:THRESH=-|-|","-|-|-|-|-"}</definedName>
    <definedName name="_80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990"}</definedName>
    <definedName name="_8000__FDSAUDITLINK__">{"fdsup://directions/FAT Viewer?action=UPDATE&amp;creator=factset&amp;DYN_ARGS=TRUE&amp;DOC_NAME=FAT:FQL_AUDITING_CLIENT_TEMPLATE.FAT&amp;display_string=Audit&amp;VAR:KEY=TUHIPERERM&amp;VAR:QUERY=KFBfUFJJQ0UoNDAwODUpLShGRl9DQVNIX1NUKFFUUiw0MDA4NSkvUF9DT01fU0hTX09VVCg0MDA4NSkpKS9GR","V9FU1RJTUFURSgnRVBTJywnTUVBTicsJ0FOTlVBTF9ST0xMJywnKzEnLDQwMDg1LCwsJycp&amp;WINDOW=FIRST_POPUP&amp;HEIGHT=450&amp;WIDTH=450&amp;START_MAXIMIZED=FALSE&amp;VAR:CALENDAR=US&amp;VAR:SYMBOL=98433210&amp;VAR:INDEX=0"}</definedName>
    <definedName name="_8001__FDSAUDITLINK__">{"fdsup://directions/FAT Viewer?action=UPDATE&amp;creator=factset&amp;DYN_ARGS=TRUE&amp;DOC_NAME=FAT:FQL_AUDITING_CLIENT_TEMPLATE.FAT&amp;display_string=Audit&amp;VAR:KEY=TUHIPERERM&amp;VAR:QUERY=KFBfUFJJQ0UoNDAwODUpLShGRl9DQVNIX1NUKFFUUiw0MDA4NSkvUF9DT01fU0hTX09VVCg0MDA4NSkpKS9GR","V9FU1RJTUFURSgnRVBTJywnTUVBTicsJ0FOTlVBTF9ST0xMJywnKzEnLDQwMDg1LCwsJycp&amp;WINDOW=FIRST_POPUP&amp;HEIGHT=450&amp;WIDTH=450&amp;START_MAXIMIZED=FALSE&amp;VAR:CALENDAR=US&amp;VAR:SYMBOL=98433210&amp;VAR:INDEX=0"}</definedName>
    <definedName name="_8002__FDSAUDITLINK__">{"fdsup://directions/FAT Viewer?action=UPDATE&amp;creator=factset&amp;DYN_ARGS=TRUE&amp;DOC_NAME=FAT:FQL_AUDITING_CLIENT_TEMPLATE.FAT&amp;display_string=Audit&amp;VAR:KEY=NWZKXWPCJO&amp;VAR:QUERY=KFBfUFJJQ0UoNDAwODQpLShGRl9DQVNIX1NUKFFUUiw0MDA4NCkvUF9DT01fU0hTX09VVCg0MDA4NCkpKS9GR","V9FU1RJTUFURSgnRVBTJywnTUVBTicsJ0FOTlVBTF9ST0xMJywnKzEnLDQwMDg0LCwsJycp&amp;WINDOW=FIRST_POPUP&amp;HEIGHT=450&amp;WIDTH=450&amp;START_MAXIMIZED=FALSE&amp;VAR:CALENDAR=US&amp;VAR:SYMBOL=98433210&amp;VAR:INDEX=0"}</definedName>
    <definedName name="_8003__FDSAUDITLINK__">{"fdsup://directions/FAT Viewer?action=UPDATE&amp;creator=factset&amp;DYN_ARGS=TRUE&amp;DOC_NAME=FAT:FQL_AUDITING_CLIENT_TEMPLATE.FAT&amp;display_string=Audit&amp;VAR:KEY=NWZKXWPCJO&amp;VAR:QUERY=KFBfUFJJQ0UoNDAwODQpLShGRl9DQVNIX1NUKFFUUiw0MDA4NCkvUF9DT01fU0hTX09VVCg0MDA4NCkpKS9GR","V9FU1RJTUFURSgnRVBTJywnTUVBTicsJ0FOTlVBTF9ST0xMJywnKzEnLDQwMDg0LCwsJycp&amp;WINDOW=FIRST_POPUP&amp;HEIGHT=450&amp;WIDTH=450&amp;START_MAXIMIZED=FALSE&amp;VAR:CALENDAR=US&amp;VAR:SYMBOL=98433210&amp;VAR:INDEX=0"}</definedName>
    <definedName name="_8004__FDSAUDITLINK__">{"fdsup://directions/FAT Viewer?action=UPDATE&amp;creator=factset&amp;DYN_ARGS=TRUE&amp;DOC_NAME=FAT:FQL_AUDITING_CLIENT_TEMPLATE.FAT&amp;display_string=Audit&amp;VAR:KEY=LAFUDWFOBC&amp;VAR:QUERY=KFBfUFJJQ0UoNDAwODMpLShGRl9DQVNIX1NUKFFUUiw0MDA4MykvUF9DT01fU0hTX09VVCg0MDA4MykpKS9GR","V9FU1RJTUFURSgnRVBTJywnTUVBTicsJ0FOTlVBTF9ST0xMJywnKzEnLDQwMDgzLCwsJycp&amp;WINDOW=FIRST_POPUP&amp;HEIGHT=450&amp;WIDTH=450&amp;START_MAXIMIZED=FALSE&amp;VAR:CALENDAR=US&amp;VAR:SYMBOL=98433210&amp;VAR:INDEX=0"}</definedName>
    <definedName name="_8005__FDSAUDITLINK__">{"fdsup://directions/FAT Viewer?action=UPDATE&amp;creator=factset&amp;DYN_ARGS=TRUE&amp;DOC_NAME=FAT:FQL_AUDITING_CLIENT_TEMPLATE.FAT&amp;display_string=Audit&amp;VAR:KEY=LAFUDWFOBC&amp;VAR:QUERY=KFBfUFJJQ0UoNDAwODMpLShGRl9DQVNIX1NUKFFUUiw0MDA4MykvUF9DT01fU0hTX09VVCg0MDA4MykpKS9GR","V9FU1RJTUFURSgnRVBTJywnTUVBTicsJ0FOTlVBTF9ST0xMJywnKzEnLDQwMDgzLCwsJycp&amp;WINDOW=FIRST_POPUP&amp;HEIGHT=450&amp;WIDTH=450&amp;START_MAXIMIZED=FALSE&amp;VAR:CALENDAR=US&amp;VAR:SYMBOL=98433210&amp;VAR:INDEX=0"}</definedName>
    <definedName name="_8006__FDSAUDITLINK__">{"fdsup://directions/FAT Viewer?action=UPDATE&amp;creator=factset&amp;DYN_ARGS=TRUE&amp;DOC_NAME=FAT:FQL_AUDITING_CLIENT_TEMPLATE.FAT&amp;display_string=Audit&amp;VAR:KEY=HCFMHMJWPC&amp;VAR:QUERY=KFBfUFJJQ0UoNDAwODIpLShGRl9DQVNIX1NUKFFUUiw0MDA4MikvUF9DT01fU0hTX09VVCg0MDA4MikpKS9GR","V9FU1RJTUFURSgnRVBTJywnTUVBTicsJ0FOTlVBTF9ST0xMJywnKzEnLDQwMDgyLCwsJycp&amp;WINDOW=FIRST_POPUP&amp;HEIGHT=450&amp;WIDTH=450&amp;START_MAXIMIZED=FALSE&amp;VAR:CALENDAR=US&amp;VAR:SYMBOL=98433210&amp;VAR:INDEX=0"}</definedName>
    <definedName name="_8007__FDSAUDITLINK__">{"fdsup://directions/FAT Viewer?action=UPDATE&amp;creator=factset&amp;DYN_ARGS=TRUE&amp;DOC_NAME=FAT:FQL_AUDITING_CLIENT_TEMPLATE.FAT&amp;display_string=Audit&amp;VAR:KEY=HCFMHMJWPC&amp;VAR:QUERY=KFBfUFJJQ0UoNDAwODIpLShGRl9DQVNIX1NUKFFUUiw0MDA4MikvUF9DT01fU0hTX09VVCg0MDA4MikpKS9GR","V9FU1RJTUFURSgnRVBTJywnTUVBTicsJ0FOTlVBTF9ST0xMJywnKzEnLDQwMDgyLCwsJycp&amp;WINDOW=FIRST_POPUP&amp;HEIGHT=450&amp;WIDTH=450&amp;START_MAXIMIZED=FALSE&amp;VAR:CALENDAR=US&amp;VAR:SYMBOL=98433210&amp;VAR:INDEX=0"}</definedName>
    <definedName name="_8008__FDSAUDITLINK__">{"fdsup://directions/FAT Viewer?action=UPDATE&amp;creator=factset&amp;DYN_ARGS=TRUE&amp;DOC_NAME=FAT:FQL_AUDITING_CLIENT_TEMPLATE.FAT&amp;display_string=Audit&amp;VAR:KEY=ZCLKPKFSRW&amp;VAR:QUERY=KFBfUFJJQ0UoNDAwODEpLShGRl9DQVNIX1NUKFFUUiw0MDA4MSkvUF9DT01fU0hTX09VVCg0MDA4MSkpKS9GR","V9FU1RJTUFURSgnRVBTJywnTUVBTicsJ0FOTlVBTF9ST0xMJywnKzEnLDQwMDgxLCwsJycp&amp;WINDOW=FIRST_POPUP&amp;HEIGHT=450&amp;WIDTH=450&amp;START_MAXIMIZED=FALSE&amp;VAR:CALENDAR=US&amp;VAR:SYMBOL=98433210&amp;VAR:INDEX=0"}</definedName>
    <definedName name="_8009__FDSAUDITLINK__">{"fdsup://directions/FAT Viewer?action=UPDATE&amp;creator=factset&amp;DYN_ARGS=TRUE&amp;DOC_NAME=FAT:FQL_AUDITING_CLIENT_TEMPLATE.FAT&amp;display_string=Audit&amp;VAR:KEY=ZCLKPKFSRW&amp;VAR:QUERY=KFBfUFJJQ0UoNDAwODEpLShGRl9DQVNIX1NUKFFUUiw0MDA4MSkvUF9DT01fU0hTX09VVCg0MDA4MSkpKS9GR","V9FU1RJTUFURSgnRVBTJywnTUVBTicsJ0FOTlVBTF9ST0xMJywnKzEnLDQwMDgxLCwsJycp&amp;WINDOW=FIRST_POPUP&amp;HEIGHT=450&amp;WIDTH=450&amp;START_MAXIMIZED=FALSE&amp;VAR:CALENDAR=US&amp;VAR:SYMBOL=98433210&amp;VAR:INDEX=0"}</definedName>
    <definedName name="_80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989"}</definedName>
    <definedName name="_8010__FDSAUDITLINK__">{"fdsup://directions/FAT Viewer?action=UPDATE&amp;creator=factset&amp;DYN_ARGS=TRUE&amp;DOC_NAME=FAT:FQL_AUDITING_CLIENT_TEMPLATE.FAT&amp;display_string=Audit&amp;VAR:KEY=RUXEVEXAJY&amp;VAR:QUERY=KFBfUFJJQ0UoNDAwODApLShGRl9DQVNIX1NUKFFUUiw0MDA4MCkvUF9DT01fU0hTX09VVCg0MDA4MCkpKS9GR","V9FU1RJTUFURSgnRVBTJywnTUVBTicsJ0FOTlVBTF9ST0xMJywnKzEnLDQwMDgwLCwsJycp&amp;WINDOW=FIRST_POPUP&amp;HEIGHT=450&amp;WIDTH=450&amp;START_MAXIMIZED=FALSE&amp;VAR:CALENDAR=US&amp;VAR:SYMBOL=98433210&amp;VAR:INDEX=0"}</definedName>
    <definedName name="_8011__FDSAUDITLINK__">{"fdsup://directions/FAT Viewer?action=UPDATE&amp;creator=factset&amp;DYN_ARGS=TRUE&amp;DOC_NAME=FAT:FQL_AUDITING_CLIENT_TEMPLATE.FAT&amp;display_string=Audit&amp;VAR:KEY=RUXEVEXAJY&amp;VAR:QUERY=KFBfUFJJQ0UoNDAwODApLShGRl9DQVNIX1NUKFFUUiw0MDA4MCkvUF9DT01fU0hTX09VVCg0MDA4MCkpKS9GR","V9FU1RJTUFURSgnRVBTJywnTUVBTicsJ0FOTlVBTF9ST0xMJywnKzEnLDQwMDgwLCwsJycp&amp;WINDOW=FIRST_POPUP&amp;HEIGHT=450&amp;WIDTH=450&amp;START_MAXIMIZED=FALSE&amp;VAR:CALENDAR=US&amp;VAR:SYMBOL=98433210&amp;VAR:INDEX=0"}</definedName>
    <definedName name="_8012__FDSAUDITLINK__">{"fdsup://directions/FAT Viewer?action=UPDATE&amp;creator=factset&amp;DYN_ARGS=TRUE&amp;DOC_NAME=FAT:FQL_AUDITING_CLIENT_TEMPLATE.FAT&amp;display_string=Audit&amp;VAR:KEY=LMLKPWZYZI&amp;VAR:QUERY=KFBfUFJJQ0UoNDAwNzkpLShGRl9DQVNIX1NUKFFUUiw0MDA3OSkvUF9DT01fU0hTX09VVCg0MDA3OSkpKS9GR","V9FU1RJTUFURSgnRVBTJywnTUVBTicsJ0FOTlVBTF9ST0xMJywnKzEnLDQwMDc5LCwsJycp&amp;WINDOW=FIRST_POPUP&amp;HEIGHT=450&amp;WIDTH=450&amp;START_MAXIMIZED=FALSE&amp;VAR:CALENDAR=US&amp;VAR:SYMBOL=98433210&amp;VAR:INDEX=0"}</definedName>
    <definedName name="_8013__FDSAUDITLINK__">{"fdsup://directions/FAT Viewer?action=UPDATE&amp;creator=factset&amp;DYN_ARGS=TRUE&amp;DOC_NAME=FAT:FQL_AUDITING_CLIENT_TEMPLATE.FAT&amp;display_string=Audit&amp;VAR:KEY=LMLKPWZYZI&amp;VAR:QUERY=KFBfUFJJQ0UoNDAwNzkpLShGRl9DQVNIX1NUKFFUUiw0MDA3OSkvUF9DT01fU0hTX09VVCg0MDA3OSkpKS9GR","V9FU1RJTUFURSgnRVBTJywnTUVBTicsJ0FOTlVBTF9ST0xMJywnKzEnLDQwMDc5LCwsJycp&amp;WINDOW=FIRST_POPUP&amp;HEIGHT=450&amp;WIDTH=450&amp;START_MAXIMIZED=FALSE&amp;VAR:CALENDAR=US&amp;VAR:SYMBOL=98433210&amp;VAR:INDEX=0"}</definedName>
    <definedName name="_8014__FDSAUDITLINK__">{"fdsup://directions/FAT Viewer?action=UPDATE&amp;creator=factset&amp;DYN_ARGS=TRUE&amp;DOC_NAME=FAT:FQL_AUDITING_CLIENT_TEMPLATE.FAT&amp;display_string=Audit&amp;VAR:KEY=RKZABCDQVQ&amp;VAR:QUERY=KFBfUFJJQ0UoNDAwNzgpLShGRl9DQVNIX1NUKFFUUiw0MDA3OCkvUF9DT01fU0hTX09VVCg0MDA3OCkpKS9GR","V9FU1RJTUFURSgnRVBTJywnTUVBTicsJ0FOTlVBTF9ST0xMJywnKzEnLDQwMDc4LCwsJycp&amp;WINDOW=FIRST_POPUP&amp;HEIGHT=450&amp;WIDTH=450&amp;START_MAXIMIZED=FALSE&amp;VAR:CALENDAR=US&amp;VAR:SYMBOL=98433210&amp;VAR:INDEX=0"}</definedName>
    <definedName name="_8015__FDSAUDITLINK__">{"fdsup://directions/FAT Viewer?action=UPDATE&amp;creator=factset&amp;DYN_ARGS=TRUE&amp;DOC_NAME=FAT:FQL_AUDITING_CLIENT_TEMPLATE.FAT&amp;display_string=Audit&amp;VAR:KEY=RKZABCDQVQ&amp;VAR:QUERY=KFBfUFJJQ0UoNDAwNzgpLShGRl9DQVNIX1NUKFFUUiw0MDA3OCkvUF9DT01fU0hTX09VVCg0MDA3OCkpKS9GR","V9FU1RJTUFURSgnRVBTJywnTUVBTicsJ0FOTlVBTF9ST0xMJywnKzEnLDQwMDc4LCwsJycp&amp;WINDOW=FIRST_POPUP&amp;HEIGHT=450&amp;WIDTH=450&amp;START_MAXIMIZED=FALSE&amp;VAR:CALENDAR=US&amp;VAR:SYMBOL=98433210&amp;VAR:INDEX=0"}</definedName>
    <definedName name="_8016__FDSAUDITLINK__">{"fdsup://directions/FAT Viewer?action=UPDATE&amp;creator=factset&amp;DYN_ARGS=TRUE&amp;DOC_NAME=FAT:FQL_AUDITING_CLIENT_TEMPLATE.FAT&amp;display_string=Audit&amp;VAR:KEY=TYXOTADKDI&amp;VAR:QUERY=KFBfUFJJQ0UoNDAwNzcpLShGRl9DQVNIX1NUKFFUUiw0MDA3NykvUF9DT01fU0hTX09VVCg0MDA3NykpKS9GR","V9FU1RJTUFURSgnRVBTJywnTUVBTicsJ0FOTlVBTF9ST0xMJywnKzEnLDQwMDc3LCwsJycp&amp;WINDOW=FIRST_POPUP&amp;HEIGHT=450&amp;WIDTH=450&amp;START_MAXIMIZED=FALSE&amp;VAR:CALENDAR=US&amp;VAR:SYMBOL=98433210&amp;VAR:INDEX=0"}</definedName>
    <definedName name="_8017__FDSAUDITLINK__">{"fdsup://directions/FAT Viewer?action=UPDATE&amp;creator=factset&amp;DYN_ARGS=TRUE&amp;DOC_NAME=FAT:FQL_AUDITING_CLIENT_TEMPLATE.FAT&amp;display_string=Audit&amp;VAR:KEY=TYXOTADKDI&amp;VAR:QUERY=KFBfUFJJQ0UoNDAwNzcpLShGRl9DQVNIX1NUKFFUUiw0MDA3NykvUF9DT01fU0hTX09VVCg0MDA3NykpKS9GR","V9FU1RJTUFURSgnRVBTJywnTUVBTicsJ0FOTlVBTF9ST0xMJywnKzEnLDQwMDc3LCwsJycp&amp;WINDOW=FIRST_POPUP&amp;HEIGHT=450&amp;WIDTH=450&amp;START_MAXIMIZED=FALSE&amp;VAR:CALENDAR=US&amp;VAR:SYMBOL=98433210&amp;VAR:INDEX=0"}</definedName>
    <definedName name="_8018__FDSAUDITLINK__">{"fdsup://directions/FAT Viewer?action=UPDATE&amp;creator=factset&amp;DYN_ARGS=TRUE&amp;DOC_NAME=FAT:FQL_AUDITING_CLIENT_TEMPLATE.FAT&amp;display_string=Audit&amp;VAR:KEY=BSDCFUNGJI&amp;VAR:QUERY=KFBfUFJJQ0UoNDAwNzYpLShGRl9DQVNIX1NUKFFUUiw0MDA3NikvUF9DT01fU0hTX09VVCg0MDA3NikpKS9GR","V9FU1RJTUFURSgnRVBTJywnTUVBTicsJ0FOTlVBTF9ST0xMJywnKzEnLDQwMDc2LCwsJycp&amp;WINDOW=FIRST_POPUP&amp;HEIGHT=450&amp;WIDTH=450&amp;START_MAXIMIZED=FALSE&amp;VAR:CALENDAR=US&amp;VAR:SYMBOL=98433210&amp;VAR:INDEX=0"}</definedName>
    <definedName name="_8019__FDSAUDITLINK__">{"fdsup://directions/FAT Viewer?action=UPDATE&amp;creator=factset&amp;DYN_ARGS=TRUE&amp;DOC_NAME=FAT:FQL_AUDITING_CLIENT_TEMPLATE.FAT&amp;display_string=Audit&amp;VAR:KEY=BSDCFUNGJI&amp;VAR:QUERY=KFBfUFJJQ0UoNDAwNzYpLShGRl9DQVNIX1NUKFFUUiw0MDA3NikvUF9DT01fU0hTX09VVCg0MDA3NikpKS9GR","V9FU1RJTUFURSgnRVBTJywnTUVBTicsJ0FOTlVBTF9ST0xMJywnKzEnLDQwMDc2LCwsJycp&amp;WINDOW=FIRST_POPUP&amp;HEIGHT=450&amp;WIDTH=450&amp;START_MAXIMIZED=FALSE&amp;VAR:CALENDAR=US&amp;VAR:SYMBOL=98433210&amp;VAR:INDEX=0"}</definedName>
    <definedName name="_80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988"}</definedName>
    <definedName name="_8020__FDSAUDITLINK__">{"fdsup://directions/FAT Viewer?action=UPDATE&amp;creator=factset&amp;DYN_ARGS=TRUE&amp;DOC_NAME=FAT:FQL_AUDITING_CLIENT_TEMPLATE.FAT&amp;display_string=Audit&amp;VAR:KEY=HQDAXIFSZK&amp;VAR:QUERY=KFBfUFJJQ0UoNDAwNzUpLShGRl9DQVNIX1NUKFFUUiw0MDA3NSkvUF9DT01fU0hTX09VVCg0MDA3NSkpKS9GR","V9FU1RJTUFURSgnRVBTJywnTUVBTicsJ0FOTlVBTF9ST0xMJywnKzEnLDQwMDc1LCwsJycp&amp;WINDOW=FIRST_POPUP&amp;HEIGHT=450&amp;WIDTH=450&amp;START_MAXIMIZED=FALSE&amp;VAR:CALENDAR=US&amp;VAR:SYMBOL=98433210&amp;VAR:INDEX=0"}</definedName>
    <definedName name="_8021__FDSAUDITLINK__">{"fdsup://directions/FAT Viewer?action=UPDATE&amp;creator=factset&amp;DYN_ARGS=TRUE&amp;DOC_NAME=FAT:FQL_AUDITING_CLIENT_TEMPLATE.FAT&amp;display_string=Audit&amp;VAR:KEY=HQDAXIFSZK&amp;VAR:QUERY=KFBfUFJJQ0UoNDAwNzUpLShGRl9DQVNIX1NUKFFUUiw0MDA3NSkvUF9DT01fU0hTX09VVCg0MDA3NSkpKS9GR","V9FU1RJTUFURSgnRVBTJywnTUVBTicsJ0FOTlVBTF9ST0xMJywnKzEnLDQwMDc1LCwsJycp&amp;WINDOW=FIRST_POPUP&amp;HEIGHT=450&amp;WIDTH=450&amp;START_MAXIMIZED=FALSE&amp;VAR:CALENDAR=US&amp;VAR:SYMBOL=98433210&amp;VAR:INDEX=0"}</definedName>
    <definedName name="_8022__FDSAUDITLINK__">{"fdsup://directions/FAT Viewer?action=UPDATE&amp;creator=factset&amp;DYN_ARGS=TRUE&amp;DOC_NAME=FAT:FQL_AUDITING_CLIENT_TEMPLATE.FAT&amp;display_string=Audit&amp;VAR:KEY=RAFUXOLKJE&amp;VAR:QUERY=KFBfUFJJQ0UoNDAwNzQpLShGRl9DQVNIX1NUKFFUUiw0MDA3NCkvUF9DT01fU0hTX09VVCg0MDA3NCkpKS9GR","V9FU1RJTUFURSgnRVBTJywnTUVBTicsJ0FOTlVBTF9ST0xMJywnKzEnLDQwMDc0LCwsJycp&amp;WINDOW=FIRST_POPUP&amp;HEIGHT=450&amp;WIDTH=450&amp;START_MAXIMIZED=FALSE&amp;VAR:CALENDAR=US&amp;VAR:SYMBOL=98433210&amp;VAR:INDEX=0"}</definedName>
    <definedName name="_8023__FDSAUDITLINK__">{"fdsup://directions/FAT Viewer?action=UPDATE&amp;creator=factset&amp;DYN_ARGS=TRUE&amp;DOC_NAME=FAT:FQL_AUDITING_CLIENT_TEMPLATE.FAT&amp;display_string=Audit&amp;VAR:KEY=RAFUXOLKJE&amp;VAR:QUERY=KFBfUFJJQ0UoNDAwNzQpLShGRl9DQVNIX1NUKFFUUiw0MDA3NCkvUF9DT01fU0hTX09VVCg0MDA3NCkpKS9GR","V9FU1RJTUFURSgnRVBTJywnTUVBTicsJ0FOTlVBTF9ST0xMJywnKzEnLDQwMDc0LCwsJycp&amp;WINDOW=FIRST_POPUP&amp;HEIGHT=450&amp;WIDTH=450&amp;START_MAXIMIZED=FALSE&amp;VAR:CALENDAR=US&amp;VAR:SYMBOL=98433210&amp;VAR:INDEX=0"}</definedName>
    <definedName name="_8024__FDSAUDITLINK__">{"fdsup://directions/FAT Viewer?action=UPDATE&amp;creator=factset&amp;DYN_ARGS=TRUE&amp;DOC_NAME=FAT:FQL_AUDITING_CLIENT_TEMPLATE.FAT&amp;display_string=Audit&amp;VAR:KEY=XCPCBGXQPA&amp;VAR:QUERY=KFBfUFJJQ0UoNDAwNzMpLShGRl9DQVNIX1NUKFFUUiw0MDA3MykvUF9DT01fU0hTX09VVCg0MDA3MykpKS9GR","V9FU1RJTUFURSgnRVBTJywnTUVBTicsJ0FOTlVBTF9ST0xMJywnKzEnLDQwMDczLCwsJycp&amp;WINDOW=FIRST_POPUP&amp;HEIGHT=450&amp;WIDTH=450&amp;START_MAXIMIZED=FALSE&amp;VAR:CALENDAR=US&amp;VAR:SYMBOL=98433210&amp;VAR:INDEX=0"}</definedName>
    <definedName name="_8025__FDSAUDITLINK__">{"fdsup://directions/FAT Viewer?action=UPDATE&amp;creator=factset&amp;DYN_ARGS=TRUE&amp;DOC_NAME=FAT:FQL_AUDITING_CLIENT_TEMPLATE.FAT&amp;display_string=Audit&amp;VAR:KEY=XCPCBGXQPA&amp;VAR:QUERY=KFBfUFJJQ0UoNDAwNzMpLShGRl9DQVNIX1NUKFFUUiw0MDA3MykvUF9DT01fU0hTX09VVCg0MDA3MykpKS9GR","V9FU1RJTUFURSgnRVBTJywnTUVBTicsJ0FOTlVBTF9ST0xMJywnKzEnLDQwMDczLCwsJycp&amp;WINDOW=FIRST_POPUP&amp;HEIGHT=450&amp;WIDTH=450&amp;START_MAXIMIZED=FALSE&amp;VAR:CALENDAR=US&amp;VAR:SYMBOL=98433210&amp;VAR:INDEX=0"}</definedName>
    <definedName name="_8026__FDSAUDITLINK__">{"fdsup://directions/FAT Viewer?action=UPDATE&amp;creator=factset&amp;DYN_ARGS=TRUE&amp;DOC_NAME=FAT:FQL_AUDITING_CLIENT_TEMPLATE.FAT&amp;display_string=Audit&amp;VAR:KEY=NUJGHSXMFQ&amp;VAR:QUERY=KFBfUFJJQ0UoNDAwNzIpLShGRl9DQVNIX1NUKFFUUiw0MDA3MikvUF9DT01fU0hTX09VVCg0MDA3MikpKS9GR","V9FU1RJTUFURSgnRVBTJywnTUVBTicsJ0FOTlVBTF9ST0xMJywnKzEnLDQwMDcyLCwsJycp&amp;WINDOW=FIRST_POPUP&amp;HEIGHT=450&amp;WIDTH=450&amp;START_MAXIMIZED=FALSE&amp;VAR:CALENDAR=US&amp;VAR:SYMBOL=98433210&amp;VAR:INDEX=0"}</definedName>
    <definedName name="_8027__FDSAUDITLINK__">{"fdsup://directions/FAT Viewer?action=UPDATE&amp;creator=factset&amp;DYN_ARGS=TRUE&amp;DOC_NAME=FAT:FQL_AUDITING_CLIENT_TEMPLATE.FAT&amp;display_string=Audit&amp;VAR:KEY=NUJGHSXMFQ&amp;VAR:QUERY=KFBfUFJJQ0UoNDAwNzIpLShGRl9DQVNIX1NUKFFUUiw0MDA3MikvUF9DT01fU0hTX09VVCg0MDA3MikpKS9GR","V9FU1RJTUFURSgnRVBTJywnTUVBTicsJ0FOTlVBTF9ST0xMJywnKzEnLDQwMDcyLCwsJycp&amp;WINDOW=FIRST_POPUP&amp;HEIGHT=450&amp;WIDTH=450&amp;START_MAXIMIZED=FALSE&amp;VAR:CALENDAR=US&amp;VAR:SYMBOL=98433210&amp;VAR:INDEX=0"}</definedName>
    <definedName name="_8028__FDSAUDITLINK__">{"fdsup://directions/FAT Viewer?action=UPDATE&amp;creator=factset&amp;DYN_ARGS=TRUE&amp;DOC_NAME=FAT:FQL_AUDITING_CLIENT_TEMPLATE.FAT&amp;display_string=Audit&amp;VAR:KEY=TMZYTEFANY&amp;VAR:QUERY=KFBfUFJJQ0UoNDAwNzEpLShGRl9DQVNIX1NUKFFUUiw0MDA3MSkvUF9DT01fU0hTX09VVCg0MDA3MSkpKS9GR","V9FU1RJTUFURSgnRVBTJywnTUVBTicsJ0FOTlVBTF9ST0xMJywnKzEnLDQwMDcxLCwsJycp&amp;WINDOW=FIRST_POPUP&amp;HEIGHT=450&amp;WIDTH=450&amp;START_MAXIMIZED=FALSE&amp;VAR:CALENDAR=US&amp;VAR:SYMBOL=98433210&amp;VAR:INDEX=0"}</definedName>
    <definedName name="_8029__FDSAUDITLINK__">{"fdsup://directions/FAT Viewer?action=UPDATE&amp;creator=factset&amp;DYN_ARGS=TRUE&amp;DOC_NAME=FAT:FQL_AUDITING_CLIENT_TEMPLATE.FAT&amp;display_string=Audit&amp;VAR:KEY=TMZYTEFANY&amp;VAR:QUERY=KFBfUFJJQ0UoNDAwNzEpLShGRl9DQVNIX1NUKFFUUiw0MDA3MSkvUF9DT01fU0hTX09VVCg0MDA3MSkpKS9GR","V9FU1RJTUFURSgnRVBTJywnTUVBTicsJ0FOTlVBTF9ST0xMJywnKzEnLDQwMDcxLCwsJycp&amp;WINDOW=FIRST_POPUP&amp;HEIGHT=450&amp;WIDTH=450&amp;START_MAXIMIZED=FALSE&amp;VAR:CALENDAR=US&amp;VAR:SYMBOL=98433210&amp;VAR:INDEX=0"}</definedName>
    <definedName name="_80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987"}</definedName>
    <definedName name="_8030__FDSAUDITLINK__">{"fdsup://directions/FAT Viewer?action=UPDATE&amp;creator=factset&amp;DYN_ARGS=TRUE&amp;DOC_NAME=FAT:FQL_AUDITING_CLIENT_TEMPLATE.FAT&amp;display_string=Audit&amp;VAR:KEY=DOZWPWZELQ&amp;VAR:QUERY=KFBfUFJJQ0UoNDAwNzApLShGRl9DQVNIX1NUKFFUUiw0MDA3MCkvUF9DT01fU0hTX09VVCg0MDA3MCkpKS9GR","V9FU1RJTUFURSgnRVBTJywnTUVBTicsJ0FOTlVBTF9ST0xMJywnKzEnLDQwMDcwLCwsJycp&amp;WINDOW=FIRST_POPUP&amp;HEIGHT=450&amp;WIDTH=450&amp;START_MAXIMIZED=FALSE&amp;VAR:CALENDAR=US&amp;VAR:SYMBOL=98433210&amp;VAR:INDEX=0"}</definedName>
    <definedName name="_8031__FDSAUDITLINK__">{"fdsup://directions/FAT Viewer?action=UPDATE&amp;creator=factset&amp;DYN_ARGS=TRUE&amp;DOC_NAME=FAT:FQL_AUDITING_CLIENT_TEMPLATE.FAT&amp;display_string=Audit&amp;VAR:KEY=DOZWPWZELQ&amp;VAR:QUERY=KFBfUFJJQ0UoNDAwNzApLShGRl9DQVNIX1NUKFFUUiw0MDA3MCkvUF9DT01fU0hTX09VVCg0MDA3MCkpKS9GR","V9FU1RJTUFURSgnRVBTJywnTUVBTicsJ0FOTlVBTF9ST0xMJywnKzEnLDQwMDcwLCwsJycp&amp;WINDOW=FIRST_POPUP&amp;HEIGHT=450&amp;WIDTH=450&amp;START_MAXIMIZED=FALSE&amp;VAR:CALENDAR=US&amp;VAR:SYMBOL=98433210&amp;VAR:INDEX=0"}</definedName>
    <definedName name="_8032__FDSAUDITLINK__">{"fdsup://directions/FAT Viewer?action=UPDATE&amp;creator=factset&amp;DYN_ARGS=TRUE&amp;DOC_NAME=FAT:FQL_AUDITING_CLIENT_TEMPLATE.FAT&amp;display_string=Audit&amp;VAR:KEY=XSJWPENEJS&amp;VAR:QUERY=KFBfUFJJQ0UoNDAwNjkpLShGRl9DQVNIX1NUKFFUUiw0MDA2OSkvUF9DT01fU0hTX09VVCg0MDA2OSkpKS9GR","V9FU1RJTUFURSgnRVBTJywnTUVBTicsJ0FOTlVBTF9ST0xMJywnKzEnLDQwMDY5LCwsJycp&amp;WINDOW=FIRST_POPUP&amp;HEIGHT=450&amp;WIDTH=450&amp;START_MAXIMIZED=FALSE&amp;VAR:CALENDAR=US&amp;VAR:SYMBOL=98433210&amp;VAR:INDEX=0"}</definedName>
    <definedName name="_8033__FDSAUDITLINK__">{"fdsup://directions/FAT Viewer?action=UPDATE&amp;creator=factset&amp;DYN_ARGS=TRUE&amp;DOC_NAME=FAT:FQL_AUDITING_CLIENT_TEMPLATE.FAT&amp;display_string=Audit&amp;VAR:KEY=XSJWPENEJS&amp;VAR:QUERY=KFBfUFJJQ0UoNDAwNjkpLShGRl9DQVNIX1NUKFFUUiw0MDA2OSkvUF9DT01fU0hTX09VVCg0MDA2OSkpKS9GR","V9FU1RJTUFURSgnRVBTJywnTUVBTicsJ0FOTlVBTF9ST0xMJywnKzEnLDQwMDY5LCwsJycp&amp;WINDOW=FIRST_POPUP&amp;HEIGHT=450&amp;WIDTH=450&amp;START_MAXIMIZED=FALSE&amp;VAR:CALENDAR=US&amp;VAR:SYMBOL=98433210&amp;VAR:INDEX=0"}</definedName>
    <definedName name="_8034__FDSAUDITLINK__">{"fdsup://directions/FAT Viewer?action=UPDATE&amp;creator=factset&amp;DYN_ARGS=TRUE&amp;DOC_NAME=FAT:FQL_AUDITING_CLIENT_TEMPLATE.FAT&amp;display_string=Audit&amp;VAR:KEY=RCJWRKJYBS&amp;VAR:QUERY=KFBfUFJJQ0UoNDAwNjgpLShGRl9DQVNIX1NUKFFUUiw0MDA2OCkvUF9DT01fU0hTX09VVCg0MDA2OCkpKS9GR","V9FU1RJTUFURSgnRVBTJywnTUVBTicsJ0FOTlVBTF9ST0xMJywnKzEnLDQwMDY4LCwsJycp&amp;WINDOW=FIRST_POPUP&amp;HEIGHT=450&amp;WIDTH=450&amp;START_MAXIMIZED=FALSE&amp;VAR:CALENDAR=US&amp;VAR:SYMBOL=98433210&amp;VAR:INDEX=0"}</definedName>
    <definedName name="_8035__FDSAUDITLINK__">{"fdsup://directions/FAT Viewer?action=UPDATE&amp;creator=factset&amp;DYN_ARGS=TRUE&amp;DOC_NAME=FAT:FQL_AUDITING_CLIENT_TEMPLATE.FAT&amp;display_string=Audit&amp;VAR:KEY=RCJWRKJYBS&amp;VAR:QUERY=KFBfUFJJQ0UoNDAwNjgpLShGRl9DQVNIX1NUKFFUUiw0MDA2OCkvUF9DT01fU0hTX09VVCg0MDA2OCkpKS9GR","V9FU1RJTUFURSgnRVBTJywnTUVBTicsJ0FOTlVBTF9ST0xMJywnKzEnLDQwMDY4LCwsJycp&amp;WINDOW=FIRST_POPUP&amp;HEIGHT=450&amp;WIDTH=450&amp;START_MAXIMIZED=FALSE&amp;VAR:CALENDAR=US&amp;VAR:SYMBOL=98433210&amp;VAR:INDEX=0"}</definedName>
    <definedName name="_8036__FDSAUDITLINK__">{"fdsup://directions/FAT Viewer?action=UPDATE&amp;creator=factset&amp;DYN_ARGS=TRUE&amp;DOC_NAME=FAT:FQL_AUDITING_CLIENT_TEMPLATE.FAT&amp;display_string=Audit&amp;VAR:KEY=FEVMRKDGPG&amp;VAR:QUERY=KFBfUFJJQ0UoNDAwNjcpLShGRl9DQVNIX1NUKFFUUiw0MDA2NykvUF9DT01fU0hTX09VVCg0MDA2NykpKS9GR","V9FU1RJTUFURSgnRVBTJywnTUVBTicsJ0FOTlVBTF9ST0xMJywnKzEnLDQwMDY3LCwsJycp&amp;WINDOW=FIRST_POPUP&amp;HEIGHT=450&amp;WIDTH=450&amp;START_MAXIMIZED=FALSE&amp;VAR:CALENDAR=US&amp;VAR:SYMBOL=98433210&amp;VAR:INDEX=0"}</definedName>
    <definedName name="_8037__FDSAUDITLINK__">{"fdsup://directions/FAT Viewer?action=UPDATE&amp;creator=factset&amp;DYN_ARGS=TRUE&amp;DOC_NAME=FAT:FQL_AUDITING_CLIENT_TEMPLATE.FAT&amp;display_string=Audit&amp;VAR:KEY=FEVMRKDGPG&amp;VAR:QUERY=KFBfUFJJQ0UoNDAwNjcpLShGRl9DQVNIX1NUKFFUUiw0MDA2NykvUF9DT01fU0hTX09VVCg0MDA2NykpKS9GR","V9FU1RJTUFURSgnRVBTJywnTUVBTicsJ0FOTlVBTF9ST0xMJywnKzEnLDQwMDY3LCwsJycp&amp;WINDOW=FIRST_POPUP&amp;HEIGHT=450&amp;WIDTH=450&amp;START_MAXIMIZED=FALSE&amp;VAR:CALENDAR=US&amp;VAR:SYMBOL=98433210&amp;VAR:INDEX=0"}</definedName>
    <definedName name="_8038__FDSAUDITLINK__">{"fdsup://directions/FAT Viewer?action=UPDATE&amp;creator=factset&amp;DYN_ARGS=TRUE&amp;DOC_NAME=FAT:FQL_AUDITING_CLIENT_TEMPLATE.FAT&amp;display_string=Audit&amp;VAR:KEY=TCFSNCBAPO&amp;VAR:QUERY=KFBfUFJJQ0UoNDAwNjYpLShGRl9DQVNIX1NUKFFUUiw0MDA2NikvUF9DT01fU0hTX09VVCg0MDA2NikpKS9GR","V9FU1RJTUFURSgnRVBTJywnTUVBTicsJ0FOTlVBTF9ST0xMJywnKzEnLDQwMDY2LCwsJycp&amp;WINDOW=FIRST_POPUP&amp;HEIGHT=450&amp;WIDTH=450&amp;START_MAXIMIZED=FALSE&amp;VAR:CALENDAR=US&amp;VAR:SYMBOL=98433210&amp;VAR:INDEX=0"}</definedName>
    <definedName name="_8039__FDSAUDITLINK__">{"fdsup://directions/FAT Viewer?action=UPDATE&amp;creator=factset&amp;DYN_ARGS=TRUE&amp;DOC_NAME=FAT:FQL_AUDITING_CLIENT_TEMPLATE.FAT&amp;display_string=Audit&amp;VAR:KEY=TCFSNCBAPO&amp;VAR:QUERY=KFBfUFJJQ0UoNDAwNjYpLShGRl9DQVNIX1NUKFFUUiw0MDA2NikvUF9DT01fU0hTX09VVCg0MDA2NikpKS9GR","V9FU1RJTUFURSgnRVBTJywnTUVBTicsJ0FOTlVBTF9ST0xMJywnKzEnLDQwMDY2LCwsJycp&amp;WINDOW=FIRST_POPUP&amp;HEIGHT=450&amp;WIDTH=450&amp;START_MAXIMIZED=FALSE&amp;VAR:CALENDAR=US&amp;VAR:SYMBOL=98433210&amp;VAR:INDEX=0"}</definedName>
    <definedName name="_80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986"}</definedName>
    <definedName name="_8040__FDSAUDITLINK__">{"fdsup://directions/FAT Viewer?action=UPDATE&amp;creator=factset&amp;DYN_ARGS=TRUE&amp;DOC_NAME=FAT:FQL_AUDITING_CLIENT_TEMPLATE.FAT&amp;display_string=Audit&amp;VAR:KEY=LCPQDSVERO&amp;VAR:QUERY=KFBfUFJJQ0UoNDAwNjUpLShGRl9DQVNIX1NUKFFUUiw0MDA2NSkvUF9DT01fU0hTX09VVCg0MDA2NSkpKS9GR","V9FU1RJTUFURSgnRVBTJywnTUVBTicsJ0FOTlVBTF9ST0xMJywnKzEnLDQwMDY1LCwsJycp&amp;WINDOW=FIRST_POPUP&amp;HEIGHT=450&amp;WIDTH=450&amp;START_MAXIMIZED=FALSE&amp;VAR:CALENDAR=US&amp;VAR:SYMBOL=98433210&amp;VAR:INDEX=0"}</definedName>
    <definedName name="_8041__FDSAUDITLINK__">{"fdsup://directions/FAT Viewer?action=UPDATE&amp;creator=factset&amp;DYN_ARGS=TRUE&amp;DOC_NAME=FAT:FQL_AUDITING_CLIENT_TEMPLATE.FAT&amp;display_string=Audit&amp;VAR:KEY=LCPQDSVERO&amp;VAR:QUERY=KFBfUFJJQ0UoNDAwNjUpLShGRl9DQVNIX1NUKFFUUiw0MDA2NSkvUF9DT01fU0hTX09VVCg0MDA2NSkpKS9GR","V9FU1RJTUFURSgnRVBTJywnTUVBTicsJ0FOTlVBTF9ST0xMJywnKzEnLDQwMDY1LCwsJycp&amp;WINDOW=FIRST_POPUP&amp;HEIGHT=450&amp;WIDTH=450&amp;START_MAXIMIZED=FALSE&amp;VAR:CALENDAR=US&amp;VAR:SYMBOL=98433210&amp;VAR:INDEX=0"}</definedName>
    <definedName name="_8042__FDSAUDITLINK__">{"fdsup://directions/FAT Viewer?action=UPDATE&amp;creator=factset&amp;DYN_ARGS=TRUE&amp;DOC_NAME=FAT:FQL_AUDITING_CLIENT_TEMPLATE.FAT&amp;display_string=Audit&amp;VAR:KEY=TMRMZQRQRM&amp;VAR:QUERY=KFBfUFJJQ0UoNDAwNjQpLShGRl9DQVNIX1NUKFFUUiw0MDA2NCkvUF9DT01fU0hTX09VVCg0MDA2NCkpKS9GR","V9FU1RJTUFURSgnRVBTJywnTUVBTicsJ0FOTlVBTF9ST0xMJywnKzEnLDQwMDY0LCwsJycp&amp;WINDOW=FIRST_POPUP&amp;HEIGHT=450&amp;WIDTH=450&amp;START_MAXIMIZED=FALSE&amp;VAR:CALENDAR=US&amp;VAR:SYMBOL=98433210&amp;VAR:INDEX=0"}</definedName>
    <definedName name="_8043__FDSAUDITLINK__">{"fdsup://directions/FAT Viewer?action=UPDATE&amp;creator=factset&amp;DYN_ARGS=TRUE&amp;DOC_NAME=FAT:FQL_AUDITING_CLIENT_TEMPLATE.FAT&amp;display_string=Audit&amp;VAR:KEY=TMRMZQRQRM&amp;VAR:QUERY=KFBfUFJJQ0UoNDAwNjQpLShGRl9DQVNIX1NUKFFUUiw0MDA2NCkvUF9DT01fU0hTX09VVCg0MDA2NCkpKS9GR","V9FU1RJTUFURSgnRVBTJywnTUVBTicsJ0FOTlVBTF9ST0xMJywnKzEnLDQwMDY0LCwsJycp&amp;WINDOW=FIRST_POPUP&amp;HEIGHT=450&amp;WIDTH=450&amp;START_MAXIMIZED=FALSE&amp;VAR:CALENDAR=US&amp;VAR:SYMBOL=98433210&amp;VAR:INDEX=0"}</definedName>
    <definedName name="_8044__FDSAUDITLINK__">{"fdsup://directions/FAT Viewer?action=UPDATE&amp;creator=factset&amp;DYN_ARGS=TRUE&amp;DOC_NAME=FAT:FQL_AUDITING_CLIENT_TEMPLATE.FAT&amp;display_string=Audit&amp;VAR:KEY=HCZSXITETU&amp;VAR:QUERY=KFBfUFJJQ0UoNDAwNjMpLShGRl9DQVNIX1NUKFFUUiw0MDA2MykvUF9DT01fU0hTX09VVCg0MDA2MykpKS9GR","V9FU1RJTUFURSgnRVBTJywnTUVBTicsJ0FOTlVBTF9ST0xMJywnKzEnLDQwMDYzLCwsJycp&amp;WINDOW=FIRST_POPUP&amp;HEIGHT=450&amp;WIDTH=450&amp;START_MAXIMIZED=FALSE&amp;VAR:CALENDAR=US&amp;VAR:SYMBOL=98433210&amp;VAR:INDEX=0"}</definedName>
    <definedName name="_8045__FDSAUDITLINK__">{"fdsup://directions/FAT Viewer?action=UPDATE&amp;creator=factset&amp;DYN_ARGS=TRUE&amp;DOC_NAME=FAT:FQL_AUDITING_CLIENT_TEMPLATE.FAT&amp;display_string=Audit&amp;VAR:KEY=HCZSXITETU&amp;VAR:QUERY=KFBfUFJJQ0UoNDAwNjMpLShGRl9DQVNIX1NUKFFUUiw0MDA2MykvUF9DT01fU0hTX09VVCg0MDA2MykpKS9GR","V9FU1RJTUFURSgnRVBTJywnTUVBTicsJ0FOTlVBTF9ST0xMJywnKzEnLDQwMDYzLCwsJycp&amp;WINDOW=FIRST_POPUP&amp;HEIGHT=450&amp;WIDTH=450&amp;START_MAXIMIZED=FALSE&amp;VAR:CALENDAR=US&amp;VAR:SYMBOL=98433210&amp;VAR:INDEX=0"}</definedName>
    <definedName name="_8046__FDSAUDITLINK__">{"fdsup://directions/FAT Viewer?action=UPDATE&amp;creator=factset&amp;DYN_ARGS=TRUE&amp;DOC_NAME=FAT:FQL_AUDITING_CLIENT_TEMPLATE.FAT&amp;display_string=Audit&amp;VAR:KEY=FAVMROLKNY&amp;VAR:QUERY=KFBfUFJJQ0UoNDAwNjIpLShGRl9DQVNIX1NUKFFUUiw0MDA2MikvUF9DT01fU0hTX09VVCg0MDA2MikpKS9GR","V9FU1RJTUFURSgnRVBTJywnTUVBTicsJ0FOTlVBTF9ST0xMJywnKzEnLDQwMDYyLCwsJycp&amp;WINDOW=FIRST_POPUP&amp;HEIGHT=450&amp;WIDTH=450&amp;START_MAXIMIZED=FALSE&amp;VAR:CALENDAR=US&amp;VAR:SYMBOL=98433210&amp;VAR:INDEX=0"}</definedName>
    <definedName name="_8047__FDSAUDITLINK__">{"fdsup://directions/FAT Viewer?action=UPDATE&amp;creator=factset&amp;DYN_ARGS=TRUE&amp;DOC_NAME=FAT:FQL_AUDITING_CLIENT_TEMPLATE.FAT&amp;display_string=Audit&amp;VAR:KEY=FAVMROLKNY&amp;VAR:QUERY=KFBfUFJJQ0UoNDAwNjIpLShGRl9DQVNIX1NUKFFUUiw0MDA2MikvUF9DT01fU0hTX09VVCg0MDA2MikpKS9GR","V9FU1RJTUFURSgnRVBTJywnTUVBTicsJ0FOTlVBTF9ST0xMJywnKzEnLDQwMDYyLCwsJycp&amp;WINDOW=FIRST_POPUP&amp;HEIGHT=450&amp;WIDTH=450&amp;START_MAXIMIZED=FALSE&amp;VAR:CALENDAR=US&amp;VAR:SYMBOL=98433210&amp;VAR:INDEX=0"}</definedName>
    <definedName name="_8048__FDSAUDITLINK__">{"fdsup://directions/FAT Viewer?action=UPDATE&amp;creator=factset&amp;DYN_ARGS=TRUE&amp;DOC_NAME=FAT:FQL_AUDITING_CLIENT_TEMPLATE.FAT&amp;display_string=Audit&amp;VAR:KEY=HGBCVEPQDQ&amp;VAR:QUERY=KFBfUFJJQ0UoNDAwNjEpLShGRl9DQVNIX1NUKFFUUiw0MDA2MSkvUF9DT01fU0hTX09VVCg0MDA2MSkpKS9GR","V9FU1RJTUFURSgnRVBTJywnTUVBTicsJ0FOTlVBTF9ST0xMJywnKzEnLDQwMDYxLCwsJycp&amp;WINDOW=FIRST_POPUP&amp;HEIGHT=450&amp;WIDTH=450&amp;START_MAXIMIZED=FALSE&amp;VAR:CALENDAR=US&amp;VAR:SYMBOL=98433210&amp;VAR:INDEX=0"}</definedName>
    <definedName name="_8049__FDSAUDITLINK__">{"fdsup://directions/FAT Viewer?action=UPDATE&amp;creator=factset&amp;DYN_ARGS=TRUE&amp;DOC_NAME=FAT:FQL_AUDITING_CLIENT_TEMPLATE.FAT&amp;display_string=Audit&amp;VAR:KEY=HGBCVEPQDQ&amp;VAR:QUERY=KFBfUFJJQ0UoNDAwNjEpLShGRl9DQVNIX1NUKFFUUiw0MDA2MSkvUF9DT01fU0hTX09VVCg0MDA2MSkpKS9GR","V9FU1RJTUFURSgnRVBTJywnTUVBTicsJ0FOTlVBTF9ST0xMJywnKzEnLDQwMDYxLCwsJycp&amp;WINDOW=FIRST_POPUP&amp;HEIGHT=450&amp;WIDTH=450&amp;START_MAXIMIZED=FALSE&amp;VAR:CALENDAR=US&amp;VAR:SYMBOL=98433210&amp;VAR:INDEX=0"}</definedName>
    <definedName name="_80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985"}</definedName>
    <definedName name="_8050__FDSAUDITLINK__">{"fdsup://directions/FAT Viewer?action=UPDATE&amp;creator=factset&amp;DYN_ARGS=TRUE&amp;DOC_NAME=FAT:FQL_AUDITING_CLIENT_TEMPLATE.FAT&amp;display_string=Audit&amp;VAR:KEY=XIVKVARKTE&amp;VAR:QUERY=KFBfUFJJQ0UoNDAwNjApLShGRl9DQVNIX1NUKFFUUiw0MDA2MCkvUF9DT01fU0hTX09VVCg0MDA2MCkpKS9GR","V9FU1RJTUFURSgnRVBTJywnTUVBTicsJ0FOTlVBTF9ST0xMJywnKzEnLDQwMDYwLCwsJycp&amp;WINDOW=FIRST_POPUP&amp;HEIGHT=450&amp;WIDTH=450&amp;START_MAXIMIZED=FALSE&amp;VAR:CALENDAR=US&amp;VAR:SYMBOL=98433210&amp;VAR:INDEX=0"}</definedName>
    <definedName name="_8051__FDSAUDITLINK__">{"fdsup://directions/FAT Viewer?action=UPDATE&amp;creator=factset&amp;DYN_ARGS=TRUE&amp;DOC_NAME=FAT:FQL_AUDITING_CLIENT_TEMPLATE.FAT&amp;display_string=Audit&amp;VAR:KEY=XIVKVARKTE&amp;VAR:QUERY=KFBfUFJJQ0UoNDAwNjApLShGRl9DQVNIX1NUKFFUUiw0MDA2MCkvUF9DT01fU0hTX09VVCg0MDA2MCkpKS9GR","V9FU1RJTUFURSgnRVBTJywnTUVBTicsJ0FOTlVBTF9ST0xMJywnKzEnLDQwMDYwLCwsJycp&amp;WINDOW=FIRST_POPUP&amp;HEIGHT=450&amp;WIDTH=450&amp;START_MAXIMIZED=FALSE&amp;VAR:CALENDAR=US&amp;VAR:SYMBOL=98433210&amp;VAR:INDEX=0"}</definedName>
    <definedName name="_8052__FDSAUDITLINK__">{"fdsup://directions/FAT Viewer?action=UPDATE&amp;creator=factset&amp;DYN_ARGS=TRUE&amp;DOC_NAME=FAT:FQL_AUDITING_CLIENT_TEMPLATE.FAT&amp;display_string=Audit&amp;VAR:KEY=DCHAZALYTW&amp;VAR:QUERY=KFBfUFJJQ0UoNDAwNTkpLShGRl9DQVNIX1NUKFFUUiw0MDA1OSkvUF9DT01fU0hTX09VVCg0MDA1OSkpKS9GR","V9FU1RJTUFURSgnRVBTJywnTUVBTicsJ0FOTlVBTF9ST0xMJywnKzEnLDQwMDU5LCwsJycp&amp;WINDOW=FIRST_POPUP&amp;HEIGHT=450&amp;WIDTH=450&amp;START_MAXIMIZED=FALSE&amp;VAR:CALENDAR=US&amp;VAR:SYMBOL=98433210&amp;VAR:INDEX=0"}</definedName>
    <definedName name="_8053__FDSAUDITLINK__">{"fdsup://directions/FAT Viewer?action=UPDATE&amp;creator=factset&amp;DYN_ARGS=TRUE&amp;DOC_NAME=FAT:FQL_AUDITING_CLIENT_TEMPLATE.FAT&amp;display_string=Audit&amp;VAR:KEY=DCHAZALYTW&amp;VAR:QUERY=KFBfUFJJQ0UoNDAwNTkpLShGRl9DQVNIX1NUKFFUUiw0MDA1OSkvUF9DT01fU0hTX09VVCg0MDA1OSkpKS9GR","V9FU1RJTUFURSgnRVBTJywnTUVBTicsJ0FOTlVBTF9ST0xMJywnKzEnLDQwMDU5LCwsJycp&amp;WINDOW=FIRST_POPUP&amp;HEIGHT=450&amp;WIDTH=450&amp;START_MAXIMIZED=FALSE&amp;VAR:CALENDAR=US&amp;VAR:SYMBOL=98433210&amp;VAR:INDEX=0"}</definedName>
    <definedName name="_8054__FDSAUDITLINK__">{"fdsup://directions/FAT Viewer?action=UPDATE&amp;creator=factset&amp;DYN_ARGS=TRUE&amp;DOC_NAME=FAT:FQL_AUDITING_CLIENT_TEMPLATE.FAT&amp;display_string=Audit&amp;VAR:KEY=LIHQHOBETK&amp;VAR:QUERY=KFBfUFJJQ0UoNDAwNTgpLShGRl9DQVNIX1NUKFFUUiw0MDA1OCkvUF9DT01fU0hTX09VVCg0MDA1OCkpKS9GR","V9FU1RJTUFURSgnRVBTJywnTUVBTicsJ0FOTlVBTF9ST0xMJywnKzEnLDQwMDU4LCwsJycp&amp;WINDOW=FIRST_POPUP&amp;HEIGHT=450&amp;WIDTH=450&amp;START_MAXIMIZED=FALSE&amp;VAR:CALENDAR=US&amp;VAR:SYMBOL=98433210&amp;VAR:INDEX=0"}</definedName>
    <definedName name="_8055__FDSAUDITLINK__">{"fdsup://directions/FAT Viewer?action=UPDATE&amp;creator=factset&amp;DYN_ARGS=TRUE&amp;DOC_NAME=FAT:FQL_AUDITING_CLIENT_TEMPLATE.FAT&amp;display_string=Audit&amp;VAR:KEY=LIHQHOBETK&amp;VAR:QUERY=KFBfUFJJQ0UoNDAwNTgpLShGRl9DQVNIX1NUKFFUUiw0MDA1OCkvUF9DT01fU0hTX09VVCg0MDA1OCkpKS9GR","V9FU1RJTUFURSgnRVBTJywnTUVBTicsJ0FOTlVBTF9ST0xMJywnKzEnLDQwMDU4LCwsJycp&amp;WINDOW=FIRST_POPUP&amp;HEIGHT=450&amp;WIDTH=450&amp;START_MAXIMIZED=FALSE&amp;VAR:CALENDAR=US&amp;VAR:SYMBOL=98433210&amp;VAR:INDEX=0"}</definedName>
    <definedName name="_8056__FDSAUDITLINK__">{"fdsup://directions/FAT Viewer?action=UPDATE&amp;creator=factset&amp;DYN_ARGS=TRUE&amp;DOC_NAME=FAT:FQL_AUDITING_CLIENT_TEMPLATE.FAT&amp;display_string=Audit&amp;VAR:KEY=XAVQBCPODS&amp;VAR:QUERY=KFBfUFJJQ0UoNDAwNTcpLShGRl9DQVNIX1NUKFFUUiw0MDA1NykvUF9DT01fU0hTX09VVCg0MDA1NykpKS9GR","V9FU1RJTUFURSgnRVBTJywnTUVBTicsJ0FOTlVBTF9ST0xMJywnKzEnLDQwMDU3LCwsJycp&amp;WINDOW=FIRST_POPUP&amp;HEIGHT=450&amp;WIDTH=450&amp;START_MAXIMIZED=FALSE&amp;VAR:CALENDAR=US&amp;VAR:SYMBOL=98433210&amp;VAR:INDEX=0"}</definedName>
    <definedName name="_8057__FDSAUDITLINK__">{"fdsup://directions/FAT Viewer?action=UPDATE&amp;creator=factset&amp;DYN_ARGS=TRUE&amp;DOC_NAME=FAT:FQL_AUDITING_CLIENT_TEMPLATE.FAT&amp;display_string=Audit&amp;VAR:KEY=XAVQBCPODS&amp;VAR:QUERY=KFBfUFJJQ0UoNDAwNTcpLShGRl9DQVNIX1NUKFFUUiw0MDA1NykvUF9DT01fU0hTX09VVCg0MDA1NykpKS9GR","V9FU1RJTUFURSgnRVBTJywnTUVBTicsJ0FOTlVBTF9ST0xMJywnKzEnLDQwMDU3LCwsJycp&amp;WINDOW=FIRST_POPUP&amp;HEIGHT=450&amp;WIDTH=450&amp;START_MAXIMIZED=FALSE&amp;VAR:CALENDAR=US&amp;VAR:SYMBOL=98433210&amp;VAR:INDEX=0"}</definedName>
    <definedName name="_8058__FDSAUDITLINK__">{"fdsup://directions/FAT Viewer?action=UPDATE&amp;creator=factset&amp;DYN_ARGS=TRUE&amp;DOC_NAME=FAT:FQL_AUDITING_CLIENT_TEMPLATE.FAT&amp;display_string=Audit&amp;VAR:KEY=NAZKZERAHW&amp;VAR:QUERY=KFBfUFJJQ0UoNDAwNTYpLShGRl9DQVNIX1NUKFFUUiw0MDA1NikvUF9DT01fU0hTX09VVCg0MDA1NikpKS9GR","V9FU1RJTUFURSgnRVBTJywnTUVBTicsJ0FOTlVBTF9ST0xMJywnKzEnLDQwMDU2LCwsJycp&amp;WINDOW=FIRST_POPUP&amp;HEIGHT=450&amp;WIDTH=450&amp;START_MAXIMIZED=FALSE&amp;VAR:CALENDAR=US&amp;VAR:SYMBOL=98433210&amp;VAR:INDEX=0"}</definedName>
    <definedName name="_8059__FDSAUDITLINK__">{"fdsup://directions/FAT Viewer?action=UPDATE&amp;creator=factset&amp;DYN_ARGS=TRUE&amp;DOC_NAME=FAT:FQL_AUDITING_CLIENT_TEMPLATE.FAT&amp;display_string=Audit&amp;VAR:KEY=NAZKZERAHW&amp;VAR:QUERY=KFBfUFJJQ0UoNDAwNTYpLShGRl9DQVNIX1NUKFFUUiw0MDA1NikvUF9DT01fU0hTX09VVCg0MDA1NikpKS9GR","V9FU1RJTUFURSgnRVBTJywnTUVBTicsJ0FOTlVBTF9ST0xMJywnKzEnLDQwMDU2LCwsJycp&amp;WINDOW=FIRST_POPUP&amp;HEIGHT=450&amp;WIDTH=450&amp;START_MAXIMIZED=FALSE&amp;VAR:CALENDAR=US&amp;VAR:SYMBOL=98433210&amp;VAR:INDEX=0"}</definedName>
    <definedName name="_80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984"}</definedName>
    <definedName name="_8060__FDSAUDITLINK__">{"fdsup://directions/FAT Viewer?action=UPDATE&amp;creator=factset&amp;DYN_ARGS=TRUE&amp;DOC_NAME=FAT:FQL_AUDITING_CLIENT_TEMPLATE.FAT&amp;display_string=Audit&amp;VAR:KEY=TUJOHUBYTY&amp;VAR:QUERY=KFBfUFJJQ0UoNDAwNTUpLShGRl9DQVNIX1NUKFFUUiw0MDA1NSkvUF9DT01fU0hTX09VVCg0MDA1NSkpKS9GR","V9FU1RJTUFURSgnRVBTJywnTUVBTicsJ0FOTlVBTF9ST0xMJywnKzEnLDQwMDU1LCwsJycp&amp;WINDOW=FIRST_POPUP&amp;HEIGHT=450&amp;WIDTH=450&amp;START_MAXIMIZED=FALSE&amp;VAR:CALENDAR=US&amp;VAR:SYMBOL=98433210&amp;VAR:INDEX=0"}</definedName>
    <definedName name="_8061__FDSAUDITLINK__">{"fdsup://directions/FAT Viewer?action=UPDATE&amp;creator=factset&amp;DYN_ARGS=TRUE&amp;DOC_NAME=FAT:FQL_AUDITING_CLIENT_TEMPLATE.FAT&amp;display_string=Audit&amp;VAR:KEY=TUJOHUBYTY&amp;VAR:QUERY=KFBfUFJJQ0UoNDAwNTUpLShGRl9DQVNIX1NUKFFUUiw0MDA1NSkvUF9DT01fU0hTX09VVCg0MDA1NSkpKS9GR","V9FU1RJTUFURSgnRVBTJywnTUVBTicsJ0FOTlVBTF9ST0xMJywnKzEnLDQwMDU1LCwsJycp&amp;WINDOW=FIRST_POPUP&amp;HEIGHT=450&amp;WIDTH=450&amp;START_MAXIMIZED=FALSE&amp;VAR:CALENDAR=US&amp;VAR:SYMBOL=98433210&amp;VAR:INDEX=0"}</definedName>
    <definedName name="_8062__FDSAUDITLINK__">{"fdsup://directions/FAT Viewer?action=UPDATE&amp;creator=factset&amp;DYN_ARGS=TRUE&amp;DOC_NAME=FAT:FQL_AUDITING_CLIENT_TEMPLATE.FAT&amp;display_string=Audit&amp;VAR:KEY=NSZSZODSVQ&amp;VAR:QUERY=KFBfUFJJQ0UoNDAwNTQpLShGRl9DQVNIX1NUKFFUUiw0MDA1NCkvUF9DT01fU0hTX09VVCg0MDA1NCkpKS9GR","V9FU1RJTUFURSgnRVBTJywnTUVBTicsJ0FOTlVBTF9ST0xMJywnKzEnLDQwMDU0LCwsJycp&amp;WINDOW=FIRST_POPUP&amp;HEIGHT=450&amp;WIDTH=450&amp;START_MAXIMIZED=FALSE&amp;VAR:CALENDAR=US&amp;VAR:SYMBOL=98433210&amp;VAR:INDEX=0"}</definedName>
    <definedName name="_8063__FDSAUDITLINK__">{"fdsup://directions/FAT Viewer?action=UPDATE&amp;creator=factset&amp;DYN_ARGS=TRUE&amp;DOC_NAME=FAT:FQL_AUDITING_CLIENT_TEMPLATE.FAT&amp;display_string=Audit&amp;VAR:KEY=NSZSZODSVQ&amp;VAR:QUERY=KFBfUFJJQ0UoNDAwNTQpLShGRl9DQVNIX1NUKFFUUiw0MDA1NCkvUF9DT01fU0hTX09VVCg0MDA1NCkpKS9GR","V9FU1RJTUFURSgnRVBTJywnTUVBTicsJ0FOTlVBTF9ST0xMJywnKzEnLDQwMDU0LCwsJycp&amp;WINDOW=FIRST_POPUP&amp;HEIGHT=450&amp;WIDTH=450&amp;START_MAXIMIZED=FALSE&amp;VAR:CALENDAR=US&amp;VAR:SYMBOL=98433210&amp;VAR:INDEX=0"}</definedName>
    <definedName name="_8064__FDSAUDITLINK__">{"fdsup://directions/FAT Viewer?action=UPDATE&amp;creator=factset&amp;DYN_ARGS=TRUE&amp;DOC_NAME=FAT:FQL_AUDITING_CLIENT_TEMPLATE.FAT&amp;display_string=Audit&amp;VAR:KEY=DERWHKPOPI&amp;VAR:QUERY=KFBfUFJJQ0UoNDAwNTMpLShGRl9DQVNIX1NUKFFUUiw0MDA1MykvUF9DT01fU0hTX09VVCg0MDA1MykpKS9GR","V9FU1RJTUFURSgnRVBTJywnTUVBTicsJ0FOTlVBTF9ST0xMJywnKzEnLDQwMDUzLCwsJycp&amp;WINDOW=FIRST_POPUP&amp;HEIGHT=450&amp;WIDTH=450&amp;START_MAXIMIZED=FALSE&amp;VAR:CALENDAR=US&amp;VAR:SYMBOL=98433210&amp;VAR:INDEX=0"}</definedName>
    <definedName name="_8065__FDSAUDITLINK__">{"fdsup://directions/FAT Viewer?action=UPDATE&amp;creator=factset&amp;DYN_ARGS=TRUE&amp;DOC_NAME=FAT:FQL_AUDITING_CLIENT_TEMPLATE.FAT&amp;display_string=Audit&amp;VAR:KEY=DERWHKPOPI&amp;VAR:QUERY=KFBfUFJJQ0UoNDAwNTMpLShGRl9DQVNIX1NUKFFUUiw0MDA1MykvUF9DT01fU0hTX09VVCg0MDA1MykpKS9GR","V9FU1RJTUFURSgnRVBTJywnTUVBTicsJ0FOTlVBTF9ST0xMJywnKzEnLDQwMDUzLCwsJycp&amp;WINDOW=FIRST_POPUP&amp;HEIGHT=450&amp;WIDTH=450&amp;START_MAXIMIZED=FALSE&amp;VAR:CALENDAR=US&amp;VAR:SYMBOL=98433210&amp;VAR:INDEX=0"}</definedName>
    <definedName name="_8066__FDSAUDITLINK__">{"fdsup://directions/FAT Viewer?action=UPDATE&amp;creator=factset&amp;DYN_ARGS=TRUE&amp;DOC_NAME=FAT:FQL_AUDITING_CLIENT_TEMPLATE.FAT&amp;display_string=Audit&amp;VAR:KEY=NCVKDOJGPM&amp;VAR:QUERY=KFBfUFJJQ0UoNDAwNTIpLShGRl9DQVNIX1NUKFFUUiw0MDA1MikvUF9DT01fU0hTX09VVCg0MDA1MikpKS9GR","V9FU1RJTUFURSgnRVBTJywnTUVBTicsJ0FOTlVBTF9ST0xMJywnKzEnLDQwMDUyLCwsJycp&amp;WINDOW=FIRST_POPUP&amp;HEIGHT=450&amp;WIDTH=450&amp;START_MAXIMIZED=FALSE&amp;VAR:CALENDAR=US&amp;VAR:SYMBOL=98433210&amp;VAR:INDEX=0"}</definedName>
    <definedName name="_8067__FDSAUDITLINK__">{"fdsup://directions/FAT Viewer?action=UPDATE&amp;creator=factset&amp;DYN_ARGS=TRUE&amp;DOC_NAME=FAT:FQL_AUDITING_CLIENT_TEMPLATE.FAT&amp;display_string=Audit&amp;VAR:KEY=NCVKDOJGPM&amp;VAR:QUERY=KFBfUFJJQ0UoNDAwNTIpLShGRl9DQVNIX1NUKFFUUiw0MDA1MikvUF9DT01fU0hTX09VVCg0MDA1MikpKS9GR","V9FU1RJTUFURSgnRVBTJywnTUVBTicsJ0FOTlVBTF9ST0xMJywnKzEnLDQwMDUyLCwsJycp&amp;WINDOW=FIRST_POPUP&amp;HEIGHT=450&amp;WIDTH=450&amp;START_MAXIMIZED=FALSE&amp;VAR:CALENDAR=US&amp;VAR:SYMBOL=98433210&amp;VAR:INDEX=0"}</definedName>
    <definedName name="_8068__FDSAUDITLINK__">{"fdsup://directions/FAT Viewer?action=UPDATE&amp;creator=factset&amp;DYN_ARGS=TRUE&amp;DOC_NAME=FAT:FQL_AUDITING_CLIENT_TEMPLATE.FAT&amp;display_string=Audit&amp;VAR:KEY=NEJOJUXSDE&amp;VAR:QUERY=KFBfUFJJQ0UoNDAwNTEpLShGRl9DQVNIX1NUKFFUUiw0MDA1MSkvUF9DT01fU0hTX09VVCg0MDA1MSkpKS9GR","V9FU1RJTUFURSgnRVBTJywnTUVBTicsJ0FOTlVBTF9ST0xMJywnKzEnLDQwMDUxLCwsJycp&amp;WINDOW=FIRST_POPUP&amp;HEIGHT=450&amp;WIDTH=450&amp;START_MAXIMIZED=FALSE&amp;VAR:CALENDAR=US&amp;VAR:SYMBOL=98433210&amp;VAR:INDEX=0"}</definedName>
    <definedName name="_8069__FDSAUDITLINK__">{"fdsup://directions/FAT Viewer?action=UPDATE&amp;creator=factset&amp;DYN_ARGS=TRUE&amp;DOC_NAME=FAT:FQL_AUDITING_CLIENT_TEMPLATE.FAT&amp;display_string=Audit&amp;VAR:KEY=NEJOJUXSDE&amp;VAR:QUERY=KFBfUFJJQ0UoNDAwNTEpLShGRl9DQVNIX1NUKFFUUiw0MDA1MSkvUF9DT01fU0hTX09VVCg0MDA1MSkpKS9GR","V9FU1RJTUFURSgnRVBTJywnTUVBTicsJ0FOTlVBTF9ST0xMJywnKzEnLDQwMDUxLCwsJycp&amp;WINDOW=FIRST_POPUP&amp;HEIGHT=450&amp;WIDTH=450&amp;START_MAXIMIZED=FALSE&amp;VAR:CALENDAR=US&amp;VAR:SYMBOL=98433210&amp;VAR:INDEX=0"}</definedName>
    <definedName name="_80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983"}</definedName>
    <definedName name="_8070__FDSAUDITLINK__">{"fdsup://directions/FAT Viewer?action=UPDATE&amp;creator=factset&amp;DYN_ARGS=TRUE&amp;DOC_NAME=FAT:FQL_AUDITING_CLIENT_TEMPLATE.FAT&amp;display_string=Audit&amp;VAR:KEY=XAVSVWFKNI&amp;VAR:QUERY=KFBfUFJJQ0UoNDAwNTApLShGRl9DQVNIX1NUKFFUUiw0MDA1MCkvUF9DT01fU0hTX09VVCg0MDA1MCkpKS9GR","V9FU1RJTUFURSgnRVBTJywnTUVBTicsJ0FOTlVBTF9ST0xMJywnKzEnLDQwMDUwLCwsJycp&amp;WINDOW=FIRST_POPUP&amp;HEIGHT=450&amp;WIDTH=450&amp;START_MAXIMIZED=FALSE&amp;VAR:CALENDAR=US&amp;VAR:SYMBOL=98433210&amp;VAR:INDEX=0"}</definedName>
    <definedName name="_8071__FDSAUDITLINK__">{"fdsup://directions/FAT Viewer?action=UPDATE&amp;creator=factset&amp;DYN_ARGS=TRUE&amp;DOC_NAME=FAT:FQL_AUDITING_CLIENT_TEMPLATE.FAT&amp;display_string=Audit&amp;VAR:KEY=XAVSVWFKNI&amp;VAR:QUERY=KFBfUFJJQ0UoNDAwNTApLShGRl9DQVNIX1NUKFFUUiw0MDA1MCkvUF9DT01fU0hTX09VVCg0MDA1MCkpKS9GR","V9FU1RJTUFURSgnRVBTJywnTUVBTicsJ0FOTlVBTF9ST0xMJywnKzEnLDQwMDUwLCwsJycp&amp;WINDOW=FIRST_POPUP&amp;HEIGHT=450&amp;WIDTH=450&amp;START_MAXIMIZED=FALSE&amp;VAR:CALENDAR=US&amp;VAR:SYMBOL=98433210&amp;VAR:INDEX=0"}</definedName>
    <definedName name="_8072__FDSAUDITLINK__">{"fdsup://directions/FAT Viewer?action=UPDATE&amp;creator=factset&amp;DYN_ARGS=TRUE&amp;DOC_NAME=FAT:FQL_AUDITING_CLIENT_TEMPLATE.FAT&amp;display_string=Audit&amp;VAR:KEY=DCDOJYZATI&amp;VAR:QUERY=KFBfUFJJQ0UoNDAwNDkpLShGRl9DQVNIX1NUKFFUUiw0MDA0OSkvUF9DT01fU0hTX09VVCg0MDA0OSkpKS9GR","V9FU1RJTUFURSgnRVBTJywnTUVBTicsJ0FOTlVBTF9ST0xMJywnKzEnLDQwMDQ5LCwsJycp&amp;WINDOW=FIRST_POPUP&amp;HEIGHT=450&amp;WIDTH=450&amp;START_MAXIMIZED=FALSE&amp;VAR:CALENDAR=US&amp;VAR:SYMBOL=98433210&amp;VAR:INDEX=0"}</definedName>
    <definedName name="_8073__FDSAUDITLINK__">{"fdsup://directions/FAT Viewer?action=UPDATE&amp;creator=factset&amp;DYN_ARGS=TRUE&amp;DOC_NAME=FAT:FQL_AUDITING_CLIENT_TEMPLATE.FAT&amp;display_string=Audit&amp;VAR:KEY=DCDOJYZATI&amp;VAR:QUERY=KFBfUFJJQ0UoNDAwNDkpLShGRl9DQVNIX1NUKFFUUiw0MDA0OSkvUF9DT01fU0hTX09VVCg0MDA0OSkpKS9GR","V9FU1RJTUFURSgnRVBTJywnTUVBTicsJ0FOTlVBTF9ST0xMJywnKzEnLDQwMDQ5LCwsJycp&amp;WINDOW=FIRST_POPUP&amp;HEIGHT=450&amp;WIDTH=450&amp;START_MAXIMIZED=FALSE&amp;VAR:CALENDAR=US&amp;VAR:SYMBOL=98433210&amp;VAR:INDEX=0"}</definedName>
    <definedName name="_8074__FDSAUDITLINK__">{"fdsup://directions/FAT Viewer?action=UPDATE&amp;creator=factset&amp;DYN_ARGS=TRUE&amp;DOC_NAME=FAT:FQL_AUDITING_CLIENT_TEMPLATE.FAT&amp;display_string=Audit&amp;VAR:KEY=PSBGVEHEFC&amp;VAR:QUERY=KFBfUFJJQ0UoNDAwNDgpLShGRl9DQVNIX1NUKFFUUiw0MDA0OCkvUF9DT01fU0hTX09VVCg0MDA0OCkpKS9GR","V9FU1RJTUFURSgnRVBTJywnTUVBTicsJ0FOTlVBTF9ST0xMJywnKzEnLDQwMDQ4LCwsJycp&amp;WINDOW=FIRST_POPUP&amp;HEIGHT=450&amp;WIDTH=450&amp;START_MAXIMIZED=FALSE&amp;VAR:CALENDAR=US&amp;VAR:SYMBOL=98433210&amp;VAR:INDEX=0"}</definedName>
    <definedName name="_8075__FDSAUDITLINK__">{"fdsup://directions/FAT Viewer?action=UPDATE&amp;creator=factset&amp;DYN_ARGS=TRUE&amp;DOC_NAME=FAT:FQL_AUDITING_CLIENT_TEMPLATE.FAT&amp;display_string=Audit&amp;VAR:KEY=PSBGVEHEFC&amp;VAR:QUERY=KFBfUFJJQ0UoNDAwNDgpLShGRl9DQVNIX1NUKFFUUiw0MDA0OCkvUF9DT01fU0hTX09VVCg0MDA0OCkpKS9GR","V9FU1RJTUFURSgnRVBTJywnTUVBTicsJ0FOTlVBTF9ST0xMJywnKzEnLDQwMDQ4LCwsJycp&amp;WINDOW=FIRST_POPUP&amp;HEIGHT=450&amp;WIDTH=450&amp;START_MAXIMIZED=FALSE&amp;VAR:CALENDAR=US&amp;VAR:SYMBOL=98433210&amp;VAR:INDEX=0"}</definedName>
    <definedName name="_8076__FDSAUDITLINK__">{"fdsup://directions/FAT Viewer?action=UPDATE&amp;creator=factset&amp;DYN_ARGS=TRUE&amp;DOC_NAME=FAT:FQL_AUDITING_CLIENT_TEMPLATE.FAT&amp;display_string=Audit&amp;VAR:KEY=PSXKHCFGTI&amp;VAR:QUERY=KFBfUFJJQ0UoNDAwNDcpLShGRl9DQVNIX1NUKFFUUiw0MDA0NykvUF9DT01fU0hTX09VVCg0MDA0NykpKS9GR","V9FU1RJTUFURSgnRVBTJywnTUVBTicsJ0FOTlVBTF9ST0xMJywnKzEnLDQwMDQ3LCwsJycp&amp;WINDOW=FIRST_POPUP&amp;HEIGHT=450&amp;WIDTH=450&amp;START_MAXIMIZED=FALSE&amp;VAR:CALENDAR=US&amp;VAR:SYMBOL=98433210&amp;VAR:INDEX=0"}</definedName>
    <definedName name="_8077__FDSAUDITLINK__">{"fdsup://directions/FAT Viewer?action=UPDATE&amp;creator=factset&amp;DYN_ARGS=TRUE&amp;DOC_NAME=FAT:FQL_AUDITING_CLIENT_TEMPLATE.FAT&amp;display_string=Audit&amp;VAR:KEY=PSXKHCFGTI&amp;VAR:QUERY=KFBfUFJJQ0UoNDAwNDcpLShGRl9DQVNIX1NUKFFUUiw0MDA0NykvUF9DT01fU0hTX09VVCg0MDA0NykpKS9GR","V9FU1RJTUFURSgnRVBTJywnTUVBTicsJ0FOTlVBTF9ST0xMJywnKzEnLDQwMDQ3LCwsJycp&amp;WINDOW=FIRST_POPUP&amp;HEIGHT=450&amp;WIDTH=450&amp;START_MAXIMIZED=FALSE&amp;VAR:CALENDAR=US&amp;VAR:SYMBOL=98433210&amp;VAR:INDEX=0"}</definedName>
    <definedName name="_8078__FDSAUDITLINK__">{"fdsup://directions/FAT Viewer?action=UPDATE&amp;creator=factset&amp;DYN_ARGS=TRUE&amp;DOC_NAME=FAT:FQL_AUDITING_CLIENT_TEMPLATE.FAT&amp;display_string=Audit&amp;VAR:KEY=PEHWHYBWNS&amp;VAR:QUERY=KFBfUFJJQ0UoNDAwNDYpLShGRl9DQVNIX1NUKFFUUiw0MDA0NikvUF9DT01fU0hTX09VVCg0MDA0NikpKS9GR","V9FU1RJTUFURSgnRVBTJywnTUVBTicsJ0FOTlVBTF9ST0xMJywnKzEnLDQwMDQ2LCwsJycp&amp;WINDOW=FIRST_POPUP&amp;HEIGHT=450&amp;WIDTH=450&amp;START_MAXIMIZED=FALSE&amp;VAR:CALENDAR=US&amp;VAR:SYMBOL=98433210&amp;VAR:INDEX=0"}</definedName>
    <definedName name="_8079__FDSAUDITLINK__">{"fdsup://directions/FAT Viewer?action=UPDATE&amp;creator=factset&amp;DYN_ARGS=TRUE&amp;DOC_NAME=FAT:FQL_AUDITING_CLIENT_TEMPLATE.FAT&amp;display_string=Audit&amp;VAR:KEY=PEHWHYBWNS&amp;VAR:QUERY=KFBfUFJJQ0UoNDAwNDYpLShGRl9DQVNIX1NUKFFUUiw0MDA0NikvUF9DT01fU0hTX09VVCg0MDA0NikpKS9GR","V9FU1RJTUFURSgnRVBTJywnTUVBTicsJ0FOTlVBTF9ST0xMJywnKzEnLDQwMDQ2LCwsJycp&amp;WINDOW=FIRST_POPUP&amp;HEIGHT=450&amp;WIDTH=450&amp;START_MAXIMIZED=FALSE&amp;VAR:CALENDAR=US&amp;VAR:SYMBOL=98433210&amp;VAR:INDEX=0"}</definedName>
    <definedName name="_80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982"}</definedName>
    <definedName name="_8080__FDSAUDITLINK__">{"fdsup://directions/FAT Viewer?action=UPDATE&amp;creator=factset&amp;DYN_ARGS=TRUE&amp;DOC_NAME=FAT:FQL_AUDITING_CLIENT_TEMPLATE.FAT&amp;display_string=Audit&amp;VAR:KEY=HWVUFSRARY&amp;VAR:QUERY=KFBfUFJJQ0UoNDAwNDUpLShGRl9DQVNIX1NUKFFUUiw0MDA0NSkvUF9DT01fU0hTX09VVCg0MDA0NSkpKS9GR","V9FU1RJTUFURSgnRVBTJywnTUVBTicsJ0FOTlVBTF9ST0xMJywnKzEnLDQwMDQ1LCwsJycp&amp;WINDOW=FIRST_POPUP&amp;HEIGHT=450&amp;WIDTH=450&amp;START_MAXIMIZED=FALSE&amp;VAR:CALENDAR=US&amp;VAR:SYMBOL=98433210&amp;VAR:INDEX=0"}</definedName>
    <definedName name="_8081__FDSAUDITLINK__">{"fdsup://directions/FAT Viewer?action=UPDATE&amp;creator=factset&amp;DYN_ARGS=TRUE&amp;DOC_NAME=FAT:FQL_AUDITING_CLIENT_TEMPLATE.FAT&amp;display_string=Audit&amp;VAR:KEY=HWVUFSRARY&amp;VAR:QUERY=KFBfUFJJQ0UoNDAwNDUpLShGRl9DQVNIX1NUKFFUUiw0MDA0NSkvUF9DT01fU0hTX09VVCg0MDA0NSkpKS9GR","V9FU1RJTUFURSgnRVBTJywnTUVBTicsJ0FOTlVBTF9ST0xMJywnKzEnLDQwMDQ1LCwsJycp&amp;WINDOW=FIRST_POPUP&amp;HEIGHT=450&amp;WIDTH=450&amp;START_MAXIMIZED=FALSE&amp;VAR:CALENDAR=US&amp;VAR:SYMBOL=98433210&amp;VAR:INDEX=0"}</definedName>
    <definedName name="_8082__FDSAUDITLINK__">{"fdsup://directions/FAT Viewer?action=UPDATE&amp;creator=factset&amp;DYN_ARGS=TRUE&amp;DOC_NAME=FAT:FQL_AUDITING_CLIENT_TEMPLATE.FAT&amp;display_string=Audit&amp;VAR:KEY=XSPMDWRMZY&amp;VAR:QUERY=KFBfUFJJQ0UoNDAwNDQpLShGRl9DQVNIX1NUKFFUUiw0MDA0NCkvUF9DT01fU0hTX09VVCg0MDA0NCkpKS9GR","V9FU1RJTUFURSgnRVBTJywnTUVBTicsJ0FOTlVBTF9ST0xMJywnKzEnLDQwMDQ0LCwsJycp&amp;WINDOW=FIRST_POPUP&amp;HEIGHT=450&amp;WIDTH=450&amp;START_MAXIMIZED=FALSE&amp;VAR:CALENDAR=US&amp;VAR:SYMBOL=98433210&amp;VAR:INDEX=0"}</definedName>
    <definedName name="_8083__FDSAUDITLINK__">{"fdsup://directions/FAT Viewer?action=UPDATE&amp;creator=factset&amp;DYN_ARGS=TRUE&amp;DOC_NAME=FAT:FQL_AUDITING_CLIENT_TEMPLATE.FAT&amp;display_string=Audit&amp;VAR:KEY=XSPMDWRMZY&amp;VAR:QUERY=KFBfUFJJQ0UoNDAwNDQpLShGRl9DQVNIX1NUKFFUUiw0MDA0NCkvUF9DT01fU0hTX09VVCg0MDA0NCkpKS9GR","V9FU1RJTUFURSgnRVBTJywnTUVBTicsJ0FOTlVBTF9ST0xMJywnKzEnLDQwMDQ0LCwsJycp&amp;WINDOW=FIRST_POPUP&amp;HEIGHT=450&amp;WIDTH=450&amp;START_MAXIMIZED=FALSE&amp;VAR:CALENDAR=US&amp;VAR:SYMBOL=98433210&amp;VAR:INDEX=0"}</definedName>
    <definedName name="_8084__FDSAUDITLINK__">{"fdsup://directions/FAT Viewer?action=UPDATE&amp;creator=factset&amp;DYN_ARGS=TRUE&amp;DOC_NAME=FAT:FQL_AUDITING_CLIENT_TEMPLATE.FAT&amp;display_string=Audit&amp;VAR:KEY=TAPWPALWJM&amp;VAR:QUERY=KFBfUFJJQ0UoNDAwNDMpLShGRl9DQVNIX1NUKFFUUiw0MDA0MykvUF9DT01fU0hTX09VVCg0MDA0MykpKS9GR","V9FU1RJTUFURSgnRVBTJywnTUVBTicsJ0FOTlVBTF9ST0xMJywnKzEnLDQwMDQzLCwsJycp&amp;WINDOW=FIRST_POPUP&amp;HEIGHT=450&amp;WIDTH=450&amp;START_MAXIMIZED=FALSE&amp;VAR:CALENDAR=US&amp;VAR:SYMBOL=98433210&amp;VAR:INDEX=0"}</definedName>
    <definedName name="_8085__FDSAUDITLINK__">{"fdsup://directions/FAT Viewer?action=UPDATE&amp;creator=factset&amp;DYN_ARGS=TRUE&amp;DOC_NAME=FAT:FQL_AUDITING_CLIENT_TEMPLATE.FAT&amp;display_string=Audit&amp;VAR:KEY=TAPWPALWJM&amp;VAR:QUERY=KFBfUFJJQ0UoNDAwNDMpLShGRl9DQVNIX1NUKFFUUiw0MDA0MykvUF9DT01fU0hTX09VVCg0MDA0MykpKS9GR","V9FU1RJTUFURSgnRVBTJywnTUVBTicsJ0FOTlVBTF9ST0xMJywnKzEnLDQwMDQzLCwsJycp&amp;WINDOW=FIRST_POPUP&amp;HEIGHT=450&amp;WIDTH=450&amp;START_MAXIMIZED=FALSE&amp;VAR:CALENDAR=US&amp;VAR:SYMBOL=98433210&amp;VAR:INDEX=0"}</definedName>
    <definedName name="_8086__FDSAUDITLINK__">{"fdsup://directions/FAT Viewer?action=UPDATE&amp;creator=factset&amp;DYN_ARGS=TRUE&amp;DOC_NAME=FAT:FQL_AUDITING_CLIENT_TEMPLATE.FAT&amp;display_string=Audit&amp;VAR:KEY=TQRWJIRYVU&amp;VAR:QUERY=KFBfUFJJQ0UoNDAwNDIpLShGRl9DQVNIX1NUKFFUUiw0MDA0MikvUF9DT01fU0hTX09VVCg0MDA0MikpKS9GR","V9FU1RJTUFURSgnRVBTJywnTUVBTicsJ0FOTlVBTF9ST0xMJywnKzEnLDQwMDQyLCwsJycp&amp;WINDOW=FIRST_POPUP&amp;HEIGHT=450&amp;WIDTH=450&amp;START_MAXIMIZED=FALSE&amp;VAR:CALENDAR=US&amp;VAR:SYMBOL=98433210&amp;VAR:INDEX=0"}</definedName>
    <definedName name="_8087__FDSAUDITLINK__">{"fdsup://directions/FAT Viewer?action=UPDATE&amp;creator=factset&amp;DYN_ARGS=TRUE&amp;DOC_NAME=FAT:FQL_AUDITING_CLIENT_TEMPLATE.FAT&amp;display_string=Audit&amp;VAR:KEY=TQRWJIRYVU&amp;VAR:QUERY=KFBfUFJJQ0UoNDAwNDIpLShGRl9DQVNIX1NUKFFUUiw0MDA0MikvUF9DT01fU0hTX09VVCg0MDA0MikpKS9GR","V9FU1RJTUFURSgnRVBTJywnTUVBTicsJ0FOTlVBTF9ST0xMJywnKzEnLDQwMDQyLCwsJycp&amp;WINDOW=FIRST_POPUP&amp;HEIGHT=450&amp;WIDTH=450&amp;START_MAXIMIZED=FALSE&amp;VAR:CALENDAR=US&amp;VAR:SYMBOL=98433210&amp;VAR:INDEX=0"}</definedName>
    <definedName name="_8088__FDSAUDITLINK__">{"fdsup://directions/FAT Viewer?action=UPDATE&amp;creator=factset&amp;DYN_ARGS=TRUE&amp;DOC_NAME=FAT:FQL_AUDITING_CLIENT_TEMPLATE.FAT&amp;display_string=Audit&amp;VAR:KEY=PQPGBULKFU&amp;VAR:QUERY=KFBfUFJJQ0UoNDAwNDEpLShGRl9DQVNIX1NUKFFUUiw0MDA0MSkvUF9DT01fU0hTX09VVCg0MDA0MSkpKS9GR","V9FU1RJTUFURSgnRVBTJywnTUVBTicsJ0FOTlVBTF9ST0xMJywnKzEnLDQwMDQxLCwsJycp&amp;WINDOW=FIRST_POPUP&amp;HEIGHT=450&amp;WIDTH=450&amp;START_MAXIMIZED=FALSE&amp;VAR:CALENDAR=US&amp;VAR:SYMBOL=98433210&amp;VAR:INDEX=0"}</definedName>
    <definedName name="_8089__FDSAUDITLINK__">{"fdsup://directions/FAT Viewer?action=UPDATE&amp;creator=factset&amp;DYN_ARGS=TRUE&amp;DOC_NAME=FAT:FQL_AUDITING_CLIENT_TEMPLATE.FAT&amp;display_string=Audit&amp;VAR:KEY=PQPGBULKFU&amp;VAR:QUERY=KFBfUFJJQ0UoNDAwNDEpLShGRl9DQVNIX1NUKFFUUiw0MDA0MSkvUF9DT01fU0hTX09VVCg0MDA0MSkpKS9GR","V9FU1RJTUFURSgnRVBTJywnTUVBTicsJ0FOTlVBTF9ST0xMJywnKzEnLDQwMDQxLCwsJycp&amp;WINDOW=FIRST_POPUP&amp;HEIGHT=450&amp;WIDTH=450&amp;START_MAXIMIZED=FALSE&amp;VAR:CALENDAR=US&amp;VAR:SYMBOL=98433210&amp;VAR:INDEX=0"}</definedName>
    <definedName name="_80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981"}</definedName>
    <definedName name="_8090__FDSAUDITLINK__">{"fdsup://directions/FAT Viewer?action=UPDATE&amp;creator=factset&amp;DYN_ARGS=TRUE&amp;DOC_NAME=FAT:FQL_AUDITING_CLIENT_TEMPLATE.FAT&amp;display_string=Audit&amp;VAR:KEY=DSJGZEXKPI&amp;VAR:QUERY=KFBfUFJJQ0UoNDAwNDApLShGRl9DQVNIX1NUKFFUUiw0MDA0MCkvUF9DT01fU0hTX09VVCg0MDA0MCkpKS9GR","V9FU1RJTUFURSgnRVBTJywnTUVBTicsJ0FOTlVBTF9ST0xMJywnKzEnLDQwMDQwLCwsJycp&amp;WINDOW=FIRST_POPUP&amp;HEIGHT=450&amp;WIDTH=450&amp;START_MAXIMIZED=FALSE&amp;VAR:CALENDAR=US&amp;VAR:SYMBOL=98433210&amp;VAR:INDEX=0"}</definedName>
    <definedName name="_8091__FDSAUDITLINK__">{"fdsup://directions/FAT Viewer?action=UPDATE&amp;creator=factset&amp;DYN_ARGS=TRUE&amp;DOC_NAME=FAT:FQL_AUDITING_CLIENT_TEMPLATE.FAT&amp;display_string=Audit&amp;VAR:KEY=DSJGZEXKPI&amp;VAR:QUERY=KFBfUFJJQ0UoNDAwNDApLShGRl9DQVNIX1NUKFFUUiw0MDA0MCkvUF9DT01fU0hTX09VVCg0MDA0MCkpKS9GR","V9FU1RJTUFURSgnRVBTJywnTUVBTicsJ0FOTlVBTF9ST0xMJywnKzEnLDQwMDQwLCwsJycp&amp;WINDOW=FIRST_POPUP&amp;HEIGHT=450&amp;WIDTH=450&amp;START_MAXIMIZED=FALSE&amp;VAR:CALENDAR=US&amp;VAR:SYMBOL=98433210&amp;VAR:INDEX=0"}</definedName>
    <definedName name="_8092__FDSAUDITLINK__">{"fdsup://directions/FAT Viewer?action=UPDATE&amp;creator=factset&amp;DYN_ARGS=TRUE&amp;DOC_NAME=FAT:FQL_AUDITING_CLIENT_TEMPLATE.FAT&amp;display_string=Audit&amp;VAR:KEY=JMPANARAZC&amp;VAR:QUERY=KFBfUFJJQ0UoNDAwMzkpLShGRl9DQVNIX1NUKFFUUiw0MDAzOSkvUF9DT01fU0hTX09VVCg0MDAzOSkpKS9GR","V9FU1RJTUFURSgnRVBTJywnTUVBTicsJ0FOTlVBTF9ST0xMJywnKzEnLDQwMDM5LCwsJycp&amp;WINDOW=FIRST_POPUP&amp;HEIGHT=450&amp;WIDTH=450&amp;START_MAXIMIZED=FALSE&amp;VAR:CALENDAR=US&amp;VAR:SYMBOL=98433210&amp;VAR:INDEX=0"}</definedName>
    <definedName name="_8093__FDSAUDITLINK__">{"fdsup://directions/FAT Viewer?action=UPDATE&amp;creator=factset&amp;DYN_ARGS=TRUE&amp;DOC_NAME=FAT:FQL_AUDITING_CLIENT_TEMPLATE.FAT&amp;display_string=Audit&amp;VAR:KEY=JMPANARAZC&amp;VAR:QUERY=KFBfUFJJQ0UoNDAwMzkpLShGRl9DQVNIX1NUKFFUUiw0MDAzOSkvUF9DT01fU0hTX09VVCg0MDAzOSkpKS9GR","V9FU1RJTUFURSgnRVBTJywnTUVBTicsJ0FOTlVBTF9ST0xMJywnKzEnLDQwMDM5LCwsJycp&amp;WINDOW=FIRST_POPUP&amp;HEIGHT=450&amp;WIDTH=450&amp;START_MAXIMIZED=FALSE&amp;VAR:CALENDAR=US&amp;VAR:SYMBOL=98433210&amp;VAR:INDEX=0"}</definedName>
    <definedName name="_8094__FDSAUDITLINK__">{"fdsup://directions/FAT Viewer?action=UPDATE&amp;creator=factset&amp;DYN_ARGS=TRUE&amp;DOC_NAME=FAT:FQL_AUDITING_CLIENT_TEMPLATE.FAT&amp;display_string=Audit&amp;VAR:KEY=FUFOVURUBE&amp;VAR:QUERY=KFBfUFJJQ0UoNDAwMzgpLShGRl9DQVNIX1NUKFFUUiw0MDAzOCkvUF9DT01fU0hTX09VVCg0MDAzOCkpKS9GR","V9FU1RJTUFURSgnRVBTJywnTUVBTicsJ0FOTlVBTF9ST0xMJywnKzEnLDQwMDM4LCwsJycp&amp;WINDOW=FIRST_POPUP&amp;HEIGHT=450&amp;WIDTH=450&amp;START_MAXIMIZED=FALSE&amp;VAR:CALENDAR=US&amp;VAR:SYMBOL=98433210&amp;VAR:INDEX=0"}</definedName>
    <definedName name="_8095__FDSAUDITLINK__">{"fdsup://directions/FAT Viewer?action=UPDATE&amp;creator=factset&amp;DYN_ARGS=TRUE&amp;DOC_NAME=FAT:FQL_AUDITING_CLIENT_TEMPLATE.FAT&amp;display_string=Audit&amp;VAR:KEY=FUFOVURUBE&amp;VAR:QUERY=KFBfUFJJQ0UoNDAwMzgpLShGRl9DQVNIX1NUKFFUUiw0MDAzOCkvUF9DT01fU0hTX09VVCg0MDAzOCkpKS9GR","V9FU1RJTUFURSgnRVBTJywnTUVBTicsJ0FOTlVBTF9ST0xMJywnKzEnLDQwMDM4LCwsJycp&amp;WINDOW=FIRST_POPUP&amp;HEIGHT=450&amp;WIDTH=450&amp;START_MAXIMIZED=FALSE&amp;VAR:CALENDAR=US&amp;VAR:SYMBOL=98433210&amp;VAR:INDEX=0"}</definedName>
    <definedName name="_8096__FDSAUDITLINK__">{"fdsup://directions/FAT Viewer?action=UPDATE&amp;creator=factset&amp;DYN_ARGS=TRUE&amp;DOC_NAME=FAT:FQL_AUDITING_CLIENT_TEMPLATE.FAT&amp;display_string=Audit&amp;VAR:KEY=PIBURMLOPW&amp;VAR:QUERY=KFBfUFJJQ0UoNDAwMzcpLShGRl9DQVNIX1NUKFFUUiw0MDAzNykvUF9DT01fU0hTX09VVCg0MDAzNykpKS9GR","V9FU1RJTUFURSgnRVBTJywnTUVBTicsJ0FOTlVBTF9ST0xMJywnKzEnLDQwMDM3LCwsJycp&amp;WINDOW=FIRST_POPUP&amp;HEIGHT=450&amp;WIDTH=450&amp;START_MAXIMIZED=FALSE&amp;VAR:CALENDAR=US&amp;VAR:SYMBOL=98433210&amp;VAR:INDEX=0"}</definedName>
    <definedName name="_8097__FDSAUDITLINK__">{"fdsup://directions/FAT Viewer?action=UPDATE&amp;creator=factset&amp;DYN_ARGS=TRUE&amp;DOC_NAME=FAT:FQL_AUDITING_CLIENT_TEMPLATE.FAT&amp;display_string=Audit&amp;VAR:KEY=PIBURMLOPW&amp;VAR:QUERY=KFBfUFJJQ0UoNDAwMzcpLShGRl9DQVNIX1NUKFFUUiw0MDAzNykvUF9DT01fU0hTX09VVCg0MDAzNykpKS9GR","V9FU1RJTUFURSgnRVBTJywnTUVBTicsJ0FOTlVBTF9ST0xMJywnKzEnLDQwMDM3LCwsJycp&amp;WINDOW=FIRST_POPUP&amp;HEIGHT=450&amp;WIDTH=450&amp;START_MAXIMIZED=FALSE&amp;VAR:CALENDAR=US&amp;VAR:SYMBOL=98433210&amp;VAR:INDEX=0"}</definedName>
    <definedName name="_8098__FDSAUDITLINK__">{"fdsup://directions/FAT Viewer?action=UPDATE&amp;creator=factset&amp;DYN_ARGS=TRUE&amp;DOC_NAME=FAT:FQL_AUDITING_CLIENT_TEMPLATE.FAT&amp;display_string=Audit&amp;VAR:KEY=HQFCVEZKDA&amp;VAR:QUERY=KFBfUFJJQ0UoNDAwMzYpLShGRl9DQVNIX1NUKFFUUiw0MDAzNikvUF9DT01fU0hTX09VVCg0MDAzNikpKS9GR","V9FU1RJTUFURSgnRVBTJywnTUVBTicsJ0FOTlVBTF9ST0xMJywnKzEnLDQwMDM2LCwsJycp&amp;WINDOW=FIRST_POPUP&amp;HEIGHT=450&amp;WIDTH=450&amp;START_MAXIMIZED=FALSE&amp;VAR:CALENDAR=US&amp;VAR:SYMBOL=98433210&amp;VAR:INDEX=0"}</definedName>
    <definedName name="_8099__FDSAUDITLINK__">{"fdsup://directions/FAT Viewer?action=UPDATE&amp;creator=factset&amp;DYN_ARGS=TRUE&amp;DOC_NAME=FAT:FQL_AUDITING_CLIENT_TEMPLATE.FAT&amp;display_string=Audit&amp;VAR:KEY=HQFCVEZKDA&amp;VAR:QUERY=KFBfUFJJQ0UoNDAwMzYpLShGRl9DQVNIX1NUKFFUUiw0MDAzNikvUF9DT01fU0hTX09VVCg0MDAzNikpKS9GR","V9FU1RJTUFURSgnRVBTJywnTUVBTicsJ0FOTlVBTF9ST0xMJywnKzEnLDQwMDM2LCwsJycp&amp;WINDOW=FIRST_POPUP&amp;HEIGHT=450&amp;WIDTH=450&amp;START_MAXIMIZED=FALSE&amp;VAR:CALENDAR=US&amp;VAR:SYMBOL=98433210&amp;VAR:INDEX=0"}</definedName>
    <definedName name="_8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0.248634&amp;VAR:V=17.884332&amp;VAR:V0=18.442551&amp;VAR:V1=16.385558&amp;VAR:Y0=2004&amp;VAR:Y1=2005&amp;VAR:P=1126.211500&amp;VAR:DATE=20040331&amp;VAR:THRESH=-|-|","-|-|-|-|-"}</definedName>
    <definedName name="_81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980"}</definedName>
    <definedName name="_8100__FDSAUDITLINK__">{"fdsup://directions/FAT Viewer?action=UPDATE&amp;creator=factset&amp;DYN_ARGS=TRUE&amp;DOC_NAME=FAT:FQL_AUDITING_CLIENT_TEMPLATE.FAT&amp;display_string=Audit&amp;VAR:KEY=PQFSXOHMRS&amp;VAR:QUERY=KFBfUFJJQ0UoNDAwMzUpLShGRl9DQVNIX1NUKFFUUiw0MDAzNSkvUF9DT01fU0hTX09VVCg0MDAzNSkpKS9GR","V9FU1RJTUFURSgnRVBTJywnTUVBTicsJ0FOTlVBTF9ST0xMJywnKzEnLDQwMDM1LCwsJycp&amp;WINDOW=FIRST_POPUP&amp;HEIGHT=450&amp;WIDTH=450&amp;START_MAXIMIZED=FALSE&amp;VAR:CALENDAR=US&amp;VAR:SYMBOL=98433210&amp;VAR:INDEX=0"}</definedName>
    <definedName name="_8101__FDSAUDITLINK__">{"fdsup://directions/FAT Viewer?action=UPDATE&amp;creator=factset&amp;DYN_ARGS=TRUE&amp;DOC_NAME=FAT:FQL_AUDITING_CLIENT_TEMPLATE.FAT&amp;display_string=Audit&amp;VAR:KEY=PQFSXOHMRS&amp;VAR:QUERY=KFBfUFJJQ0UoNDAwMzUpLShGRl9DQVNIX1NUKFFUUiw0MDAzNSkvUF9DT01fU0hTX09VVCg0MDAzNSkpKS9GR","V9FU1RJTUFURSgnRVBTJywnTUVBTicsJ0FOTlVBTF9ST0xMJywnKzEnLDQwMDM1LCwsJycp&amp;WINDOW=FIRST_POPUP&amp;HEIGHT=450&amp;WIDTH=450&amp;START_MAXIMIZED=FALSE&amp;VAR:CALENDAR=US&amp;VAR:SYMBOL=98433210&amp;VAR:INDEX=0"}</definedName>
    <definedName name="_8102__FDSAUDITLINK__">{"fdsup://directions/FAT Viewer?action=UPDATE&amp;creator=factset&amp;DYN_ARGS=TRUE&amp;DOC_NAME=FAT:FQL_AUDITING_CLIENT_TEMPLATE.FAT&amp;display_string=Audit&amp;VAR:KEY=XMRYJOHSFM&amp;VAR:QUERY=KFBfUFJJQ0UoNDAwMzQpLShGRl9DQVNIX1NUKFFUUiw0MDAzNCkvUF9DT01fU0hTX09VVCg0MDAzNCkpKS9GR","V9FU1RJTUFURSgnRVBTJywnTUVBTicsJ0FOTlVBTF9ST0xMJywnKzEnLDQwMDM0LCwsJycp&amp;WINDOW=FIRST_POPUP&amp;HEIGHT=450&amp;WIDTH=450&amp;START_MAXIMIZED=FALSE&amp;VAR:CALENDAR=US&amp;VAR:SYMBOL=98433210&amp;VAR:INDEX=0"}</definedName>
    <definedName name="_8103__FDSAUDITLINK__">{"fdsup://directions/FAT Viewer?action=UPDATE&amp;creator=factset&amp;DYN_ARGS=TRUE&amp;DOC_NAME=FAT:FQL_AUDITING_CLIENT_TEMPLATE.FAT&amp;display_string=Audit&amp;VAR:KEY=XMRYJOHSFM&amp;VAR:QUERY=KFBfUFJJQ0UoNDAwMzQpLShGRl9DQVNIX1NUKFFUUiw0MDAzNCkvUF9DT01fU0hTX09VVCg0MDAzNCkpKS9GR","V9FU1RJTUFURSgnRVBTJywnTUVBTicsJ0FOTlVBTF9ST0xMJywnKzEnLDQwMDM0LCwsJycp&amp;WINDOW=FIRST_POPUP&amp;HEIGHT=450&amp;WIDTH=450&amp;START_MAXIMIZED=FALSE&amp;VAR:CALENDAR=US&amp;VAR:SYMBOL=98433210&amp;VAR:INDEX=0"}</definedName>
    <definedName name="_8104__FDSAUDITLINK__">{"fdsup://directions/FAT Viewer?action=UPDATE&amp;creator=factset&amp;DYN_ARGS=TRUE&amp;DOC_NAME=FAT:FQL_AUDITING_CLIENT_TEMPLATE.FAT&amp;display_string=Audit&amp;VAR:KEY=BWNGHCJWNA&amp;VAR:QUERY=KFBfUFJJQ0UoNDAwMzMpLShGRl9DQVNIX1NUKFFUUiw0MDAzMykvUF9DT01fU0hTX09VVCg0MDAzMykpKS9GR","V9FU1RJTUFURSgnRVBTJywnTUVBTicsJ0FOTlVBTF9ST0xMJywnKzEnLDQwMDMzLCwsJycp&amp;WINDOW=FIRST_POPUP&amp;HEIGHT=450&amp;WIDTH=450&amp;START_MAXIMIZED=FALSE&amp;VAR:CALENDAR=US&amp;VAR:SYMBOL=98433210&amp;VAR:INDEX=0"}</definedName>
    <definedName name="_8105__FDSAUDITLINK__">{"fdsup://directions/FAT Viewer?action=UPDATE&amp;creator=factset&amp;DYN_ARGS=TRUE&amp;DOC_NAME=FAT:FQL_AUDITING_CLIENT_TEMPLATE.FAT&amp;display_string=Audit&amp;VAR:KEY=BWNGHCJWNA&amp;VAR:QUERY=KFBfUFJJQ0UoNDAwMzMpLShGRl9DQVNIX1NUKFFUUiw0MDAzMykvUF9DT01fU0hTX09VVCg0MDAzMykpKS9GR","V9FU1RJTUFURSgnRVBTJywnTUVBTicsJ0FOTlVBTF9ST0xMJywnKzEnLDQwMDMzLCwsJycp&amp;WINDOW=FIRST_POPUP&amp;HEIGHT=450&amp;WIDTH=450&amp;START_MAXIMIZED=FALSE&amp;VAR:CALENDAR=US&amp;VAR:SYMBOL=98433210&amp;VAR:INDEX=0"}</definedName>
    <definedName name="_8106__FDSAUDITLINK__">{"fdsup://directions/FAT Viewer?action=UPDATE&amp;creator=factset&amp;DYN_ARGS=TRUE&amp;DOC_NAME=FAT:FQL_AUDITING_CLIENT_TEMPLATE.FAT&amp;display_string=Audit&amp;VAR:KEY=BWXAZEROVM&amp;VAR:QUERY=KFBfUFJJQ0UoNDAwMzIpLShGRl9DQVNIX1NUKFFUUiw0MDAzMikvUF9DT01fU0hTX09VVCg0MDAzMikpKS9GR","V9FU1RJTUFURSgnRVBTJywnTUVBTicsJ0FOTlVBTF9ST0xMJywnKzEnLDQwMDMyLCwsJycp&amp;WINDOW=FIRST_POPUP&amp;HEIGHT=450&amp;WIDTH=450&amp;START_MAXIMIZED=FALSE&amp;VAR:CALENDAR=US&amp;VAR:SYMBOL=98433210&amp;VAR:INDEX=0"}</definedName>
    <definedName name="_8107__FDSAUDITLINK__">{"fdsup://directions/FAT Viewer?action=UPDATE&amp;creator=factset&amp;DYN_ARGS=TRUE&amp;DOC_NAME=FAT:FQL_AUDITING_CLIENT_TEMPLATE.FAT&amp;display_string=Audit&amp;VAR:KEY=BWXAZEROVM&amp;VAR:QUERY=KFBfUFJJQ0UoNDAwMzIpLShGRl9DQVNIX1NUKFFUUiw0MDAzMikvUF9DT01fU0hTX09VVCg0MDAzMikpKS9GR","V9FU1RJTUFURSgnRVBTJywnTUVBTicsJ0FOTlVBTF9ST0xMJywnKzEnLDQwMDMyLCwsJycp&amp;WINDOW=FIRST_POPUP&amp;HEIGHT=450&amp;WIDTH=450&amp;START_MAXIMIZED=FALSE&amp;VAR:CALENDAR=US&amp;VAR:SYMBOL=98433210&amp;VAR:INDEX=0"}</definedName>
    <definedName name="_8108__FDSAUDITLINK__">{"fdsup://directions/FAT Viewer?action=UPDATE&amp;creator=factset&amp;DYN_ARGS=TRUE&amp;DOC_NAME=FAT:FQL_AUDITING_CLIENT_TEMPLATE.FAT&amp;display_string=Audit&amp;VAR:KEY=ZITWRAJGPA&amp;VAR:QUERY=KFBfUFJJQ0UoNDAwMzEpLShGRl9DQVNIX1NUKFFUUiw0MDAzMSkvUF9DT01fU0hTX09VVCg0MDAzMSkpKS9GR","V9FU1RJTUFURSgnRVBTJywnTUVBTicsJ0FOTlVBTF9ST0xMJywnKzEnLDQwMDMxLCwsJycp&amp;WINDOW=FIRST_POPUP&amp;HEIGHT=450&amp;WIDTH=450&amp;START_MAXIMIZED=FALSE&amp;VAR:CALENDAR=US&amp;VAR:SYMBOL=98433210&amp;VAR:INDEX=0"}</definedName>
    <definedName name="_8109__FDSAUDITLINK__">{"fdsup://directions/FAT Viewer?action=UPDATE&amp;creator=factset&amp;DYN_ARGS=TRUE&amp;DOC_NAME=FAT:FQL_AUDITING_CLIENT_TEMPLATE.FAT&amp;display_string=Audit&amp;VAR:KEY=ZITWRAJGPA&amp;VAR:QUERY=KFBfUFJJQ0UoNDAwMzEpLShGRl9DQVNIX1NUKFFUUiw0MDAzMSkvUF9DT01fU0hTX09VVCg0MDAzMSkpKS9GR","V9FU1RJTUFURSgnRVBTJywnTUVBTicsJ0FOTlVBTF9ST0xMJywnKzEnLDQwMDMxLCwsJycp&amp;WINDOW=FIRST_POPUP&amp;HEIGHT=450&amp;WIDTH=450&amp;START_MAXIMIZED=FALSE&amp;VAR:CALENDAR=US&amp;VAR:SYMBOL=98433210&amp;VAR:INDEX=0"}</definedName>
    <definedName name="_81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979"}</definedName>
    <definedName name="_8110__FDSAUDITLINK__">{"fdsup://directions/FAT Viewer?action=UPDATE&amp;creator=factset&amp;DYN_ARGS=TRUE&amp;DOC_NAME=FAT:FQL_AUDITING_CLIENT_TEMPLATE.FAT&amp;display_string=Audit&amp;VAR:KEY=BALGPOJQFC&amp;VAR:QUERY=KFBfUFJJQ0UoNDAwMzApLShGRl9DQVNIX1NUKFFUUiw0MDAzMCkvUF9DT01fU0hTX09VVCg0MDAzMCkpKS9GR","V9FU1RJTUFURSgnRVBTJywnTUVBTicsJ0FOTlVBTF9ST0xMJywnKzEnLDQwMDMwLCwsJycp&amp;WINDOW=FIRST_POPUP&amp;HEIGHT=450&amp;WIDTH=450&amp;START_MAXIMIZED=FALSE&amp;VAR:CALENDAR=US&amp;VAR:SYMBOL=98433210&amp;VAR:INDEX=0"}</definedName>
    <definedName name="_8111__FDSAUDITLINK__">{"fdsup://directions/FAT Viewer?action=UPDATE&amp;creator=factset&amp;DYN_ARGS=TRUE&amp;DOC_NAME=FAT:FQL_AUDITING_CLIENT_TEMPLATE.FAT&amp;display_string=Audit&amp;VAR:KEY=BALGPOJQFC&amp;VAR:QUERY=KFBfUFJJQ0UoNDAwMzApLShGRl9DQVNIX1NUKFFUUiw0MDAzMCkvUF9DT01fU0hTX09VVCg0MDAzMCkpKS9GR","V9FU1RJTUFURSgnRVBTJywnTUVBTicsJ0FOTlVBTF9ST0xMJywnKzEnLDQwMDMwLCwsJycp&amp;WINDOW=FIRST_POPUP&amp;HEIGHT=450&amp;WIDTH=450&amp;START_MAXIMIZED=FALSE&amp;VAR:CALENDAR=US&amp;VAR:SYMBOL=98433210&amp;VAR:INDEX=0"}</definedName>
    <definedName name="_8112__FDSAUDITLINK__">{"fdsup://directions/FAT Viewer?action=UPDATE&amp;creator=factset&amp;DYN_ARGS=TRUE&amp;DOC_NAME=FAT:FQL_AUDITING_CLIENT_TEMPLATE.FAT&amp;display_string=Audit&amp;VAR:KEY=BSZIXOVSVA&amp;VAR:QUERY=KFBfUFJJQ0UoNDAwMjkpLShGRl9DQVNIX1NUKFFUUiw0MDAyOSkvUF9DT01fU0hTX09VVCg0MDAyOSkpKS9GR","V9FU1RJTUFURSgnRVBTJywnTUVBTicsJ0FOTlVBTF9ST0xMJywnKzEnLDQwMDI5LCwsJycp&amp;WINDOW=FIRST_POPUP&amp;HEIGHT=450&amp;WIDTH=450&amp;START_MAXIMIZED=FALSE&amp;VAR:CALENDAR=US&amp;VAR:SYMBOL=98433210&amp;VAR:INDEX=0"}</definedName>
    <definedName name="_8113__FDSAUDITLINK__">{"fdsup://directions/FAT Viewer?action=UPDATE&amp;creator=factset&amp;DYN_ARGS=TRUE&amp;DOC_NAME=FAT:FQL_AUDITING_CLIENT_TEMPLATE.FAT&amp;display_string=Audit&amp;VAR:KEY=BSZIXOVSVA&amp;VAR:QUERY=KFBfUFJJQ0UoNDAwMjkpLShGRl9DQVNIX1NUKFFUUiw0MDAyOSkvUF9DT01fU0hTX09VVCg0MDAyOSkpKS9GR","V9FU1RJTUFURSgnRVBTJywnTUVBTicsJ0FOTlVBTF9ST0xMJywnKzEnLDQwMDI5LCwsJycp&amp;WINDOW=FIRST_POPUP&amp;HEIGHT=450&amp;WIDTH=450&amp;START_MAXIMIZED=FALSE&amp;VAR:CALENDAR=US&amp;VAR:SYMBOL=98433210&amp;VAR:INDEX=0"}</definedName>
    <definedName name="_8114__FDSAUDITLINK__">{"fdsup://directions/FAT Viewer?action=UPDATE&amp;creator=factset&amp;DYN_ARGS=TRUE&amp;DOC_NAME=FAT:FQL_AUDITING_CLIENT_TEMPLATE.FAT&amp;display_string=Audit&amp;VAR:KEY=JSFCJIPIBO&amp;VAR:QUERY=KFBfUFJJQ0UoNDAwMjgpLShGRl9DQVNIX1NUKFFUUiw0MDAyOCkvUF9DT01fU0hTX09VVCg0MDAyOCkpKS9GR","V9FU1RJTUFURSgnRVBTJywnTUVBTicsJ0FOTlVBTF9ST0xMJywnKzEnLDQwMDI4LCwsJycp&amp;WINDOW=FIRST_POPUP&amp;HEIGHT=450&amp;WIDTH=450&amp;START_MAXIMIZED=FALSE&amp;VAR:CALENDAR=US&amp;VAR:SYMBOL=98433210&amp;VAR:INDEX=0"}</definedName>
    <definedName name="_8115__FDSAUDITLINK__">{"fdsup://directions/FAT Viewer?action=UPDATE&amp;creator=factset&amp;DYN_ARGS=TRUE&amp;DOC_NAME=FAT:FQL_AUDITING_CLIENT_TEMPLATE.FAT&amp;display_string=Audit&amp;VAR:KEY=JSFCJIPIBO&amp;VAR:QUERY=KFBfUFJJQ0UoNDAwMjgpLShGRl9DQVNIX1NUKFFUUiw0MDAyOCkvUF9DT01fU0hTX09VVCg0MDAyOCkpKS9GR","V9FU1RJTUFURSgnRVBTJywnTUVBTicsJ0FOTlVBTF9ST0xMJywnKzEnLDQwMDI4LCwsJycp&amp;WINDOW=FIRST_POPUP&amp;HEIGHT=450&amp;WIDTH=450&amp;START_MAXIMIZED=FALSE&amp;VAR:CALENDAR=US&amp;VAR:SYMBOL=98433210&amp;VAR:INDEX=0"}</definedName>
    <definedName name="_8116__FDSAUDITLINK__">{"fdsup://directions/FAT Viewer?action=UPDATE&amp;creator=factset&amp;DYN_ARGS=TRUE&amp;DOC_NAME=FAT:FQL_AUDITING_CLIENT_TEMPLATE.FAT&amp;display_string=Audit&amp;VAR:KEY=NOLIVINQZC&amp;VAR:QUERY=KFBfUFJJQ0UoNDAwMjcpLShGRl9DQVNIX1NUKFFUUiw0MDAyNykvUF9DT01fU0hTX09VVCg0MDAyNykpKS9GR","V9FU1RJTUFURSgnRVBTJywnTUVBTicsJ0FOTlVBTF9ST0xMJywnKzEnLDQwMDI3LCwsJycp&amp;WINDOW=FIRST_POPUP&amp;HEIGHT=450&amp;WIDTH=450&amp;START_MAXIMIZED=FALSE&amp;VAR:CALENDAR=US&amp;VAR:SYMBOL=98433210&amp;VAR:INDEX=0"}</definedName>
    <definedName name="_8117__FDSAUDITLINK__">{"fdsup://directions/FAT Viewer?action=UPDATE&amp;creator=factset&amp;DYN_ARGS=TRUE&amp;DOC_NAME=FAT:FQL_AUDITING_CLIENT_TEMPLATE.FAT&amp;display_string=Audit&amp;VAR:KEY=NOLIVINQZC&amp;VAR:QUERY=KFBfUFJJQ0UoNDAwMjcpLShGRl9DQVNIX1NUKFFUUiw0MDAyNykvUF9DT01fU0hTX09VVCg0MDAyNykpKS9GR","V9FU1RJTUFURSgnRVBTJywnTUVBTicsJ0FOTlVBTF9ST0xMJywnKzEnLDQwMDI3LCwsJycp&amp;WINDOW=FIRST_POPUP&amp;HEIGHT=450&amp;WIDTH=450&amp;START_MAXIMIZED=FALSE&amp;VAR:CALENDAR=US&amp;VAR:SYMBOL=98433210&amp;VAR:INDEX=0"}</definedName>
    <definedName name="_8118__FDSAUDITLINK__">{"fdsup://directions/FAT Viewer?action=UPDATE&amp;creator=factset&amp;DYN_ARGS=TRUE&amp;DOC_NAME=FAT:FQL_AUDITING_CLIENT_TEMPLATE.FAT&amp;display_string=Audit&amp;VAR:KEY=NEXGTGDENS&amp;VAR:QUERY=KFBfUFJJQ0UoNDAwMjYpLShGRl9DQVNIX1NUKFFUUiw0MDAyNikvUF9DT01fU0hTX09VVCg0MDAyNikpKS9GR","V9FU1RJTUFURSgnRVBTJywnTUVBTicsJ0FOTlVBTF9ST0xMJywnKzEnLDQwMDI2LCwsJycp&amp;WINDOW=FIRST_POPUP&amp;HEIGHT=450&amp;WIDTH=450&amp;START_MAXIMIZED=FALSE&amp;VAR:CALENDAR=US&amp;VAR:SYMBOL=98433210&amp;VAR:INDEX=0"}</definedName>
    <definedName name="_8119__FDSAUDITLINK__">{"fdsup://directions/FAT Viewer?action=UPDATE&amp;creator=factset&amp;DYN_ARGS=TRUE&amp;DOC_NAME=FAT:FQL_AUDITING_CLIENT_TEMPLATE.FAT&amp;display_string=Audit&amp;VAR:KEY=NEXGTGDENS&amp;VAR:QUERY=KFBfUFJJQ0UoNDAwMjYpLShGRl9DQVNIX1NUKFFUUiw0MDAyNikvUF9DT01fU0hTX09VVCg0MDAyNikpKS9GR","V9FU1RJTUFURSgnRVBTJywnTUVBTicsJ0FOTlVBTF9ST0xMJywnKzEnLDQwMDI2LCwsJycp&amp;WINDOW=FIRST_POPUP&amp;HEIGHT=450&amp;WIDTH=450&amp;START_MAXIMIZED=FALSE&amp;VAR:CALENDAR=US&amp;VAR:SYMBOL=98433210&amp;VAR:INDEX=0"}</definedName>
    <definedName name="_81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978"}</definedName>
    <definedName name="_8120__FDSAUDITLINK__">{"fdsup://directions/FAT Viewer?action=UPDATE&amp;creator=factset&amp;DYN_ARGS=TRUE&amp;DOC_NAME=FAT:FQL_AUDITING_CLIENT_TEMPLATE.FAT&amp;display_string=Audit&amp;VAR:KEY=PWDOPGJMNY&amp;VAR:QUERY=KFBfUFJJQ0UoNDAwMjUpLShGRl9DQVNIX1NUKFFUUiw0MDAyNSkvUF9DT01fU0hTX09VVCg0MDAyNSkpKS9GR","V9FU1RJTUFURSgnRVBTJywnTUVBTicsJ0FOTlVBTF9ST0xMJywnKzEnLDQwMDI1LCwsJycp&amp;WINDOW=FIRST_POPUP&amp;HEIGHT=450&amp;WIDTH=450&amp;START_MAXIMIZED=FALSE&amp;VAR:CALENDAR=US&amp;VAR:SYMBOL=98433210&amp;VAR:INDEX=0"}</definedName>
    <definedName name="_8121__FDSAUDITLINK__">{"fdsup://directions/FAT Viewer?action=UPDATE&amp;creator=factset&amp;DYN_ARGS=TRUE&amp;DOC_NAME=FAT:FQL_AUDITING_CLIENT_TEMPLATE.FAT&amp;display_string=Audit&amp;VAR:KEY=PWDOPGJMNY&amp;VAR:QUERY=KFBfUFJJQ0UoNDAwMjUpLShGRl9DQVNIX1NUKFFUUiw0MDAyNSkvUF9DT01fU0hTX09VVCg0MDAyNSkpKS9GR","V9FU1RJTUFURSgnRVBTJywnTUVBTicsJ0FOTlVBTF9ST0xMJywnKzEnLDQwMDI1LCwsJycp&amp;WINDOW=FIRST_POPUP&amp;HEIGHT=450&amp;WIDTH=450&amp;START_MAXIMIZED=FALSE&amp;VAR:CALENDAR=US&amp;VAR:SYMBOL=98433210&amp;VAR:INDEX=0"}</definedName>
    <definedName name="_8122__FDSAUDITLINK__">{"fdsup://directions/FAT Viewer?action=UPDATE&amp;creator=factset&amp;DYN_ARGS=TRUE&amp;DOC_NAME=FAT:FQL_AUDITING_CLIENT_TEMPLATE.FAT&amp;display_string=Audit&amp;VAR:KEY=ZUXEBQNCZW&amp;VAR:QUERY=KFBfUFJJQ0UoNDAwMjQpLShGRl9DQVNIX1NUKFFUUiw0MDAyNCkvUF9DT01fU0hTX09VVCg0MDAyNCkpKS9GR","V9FU1RJTUFURSgnRVBTJywnTUVBTicsJ0FOTlVBTF9ST0xMJywnKzEnLDQwMDI0LCwsJycp&amp;WINDOW=FIRST_POPUP&amp;HEIGHT=450&amp;WIDTH=450&amp;START_MAXIMIZED=FALSE&amp;VAR:CALENDAR=US&amp;VAR:SYMBOL=98433210&amp;VAR:INDEX=0"}</definedName>
    <definedName name="_8123__FDSAUDITLINK__">{"fdsup://directions/FAT Viewer?action=UPDATE&amp;creator=factset&amp;DYN_ARGS=TRUE&amp;DOC_NAME=FAT:FQL_AUDITING_CLIENT_TEMPLATE.FAT&amp;display_string=Audit&amp;VAR:KEY=ZUXEBQNCZW&amp;VAR:QUERY=KFBfUFJJQ0UoNDAwMjQpLShGRl9DQVNIX1NUKFFUUiw0MDAyNCkvUF9DT01fU0hTX09VVCg0MDAyNCkpKS9GR","V9FU1RJTUFURSgnRVBTJywnTUVBTicsJ0FOTlVBTF9ST0xMJywnKzEnLDQwMDI0LCwsJycp&amp;WINDOW=FIRST_POPUP&amp;HEIGHT=450&amp;WIDTH=450&amp;START_MAXIMIZED=FALSE&amp;VAR:CALENDAR=US&amp;VAR:SYMBOL=98433210&amp;VAR:INDEX=0"}</definedName>
    <definedName name="_8124__FDSAUDITLINK__">{"fdsup://directions/FAT Viewer?action=UPDATE&amp;creator=factset&amp;DYN_ARGS=TRUE&amp;DOC_NAME=FAT:FQL_AUDITING_CLIENT_TEMPLATE.FAT&amp;display_string=Audit&amp;VAR:KEY=JSPAPMFMRY&amp;VAR:QUERY=KFBfUFJJQ0UoNDAwMjMpLShGRl9DQVNIX1NUKFFUUiw0MDAyMykvUF9DT01fU0hTX09VVCg0MDAyMykpKS9GR","V9FU1RJTUFURSgnRVBTJywnTUVBTicsJ0FOTlVBTF9ST0xMJywnKzEnLDQwMDIzLCwsJycp&amp;WINDOW=FIRST_POPUP&amp;HEIGHT=450&amp;WIDTH=450&amp;START_MAXIMIZED=FALSE&amp;VAR:CALENDAR=US&amp;VAR:SYMBOL=98433210&amp;VAR:INDEX=0"}</definedName>
    <definedName name="_8125__FDSAUDITLINK__">{"fdsup://directions/FAT Viewer?action=UPDATE&amp;creator=factset&amp;DYN_ARGS=TRUE&amp;DOC_NAME=FAT:FQL_AUDITING_CLIENT_TEMPLATE.FAT&amp;display_string=Audit&amp;VAR:KEY=JSPAPMFMRY&amp;VAR:QUERY=KFBfUFJJQ0UoNDAwMjMpLShGRl9DQVNIX1NUKFFUUiw0MDAyMykvUF9DT01fU0hTX09VVCg0MDAyMykpKS9GR","V9FU1RJTUFURSgnRVBTJywnTUVBTicsJ0FOTlVBTF9ST0xMJywnKzEnLDQwMDIzLCwsJycp&amp;WINDOW=FIRST_POPUP&amp;HEIGHT=450&amp;WIDTH=450&amp;START_MAXIMIZED=FALSE&amp;VAR:CALENDAR=US&amp;VAR:SYMBOL=98433210&amp;VAR:INDEX=0"}</definedName>
    <definedName name="_8126__FDSAUDITLINK__">{"fdsup://directions/FAT Viewer?action=UPDATE&amp;creator=factset&amp;DYN_ARGS=TRUE&amp;DOC_NAME=FAT:FQL_AUDITING_CLIENT_TEMPLATE.FAT&amp;display_string=Audit&amp;VAR:KEY=VEBWRSXMNI&amp;VAR:QUERY=KFBfUFJJQ0UoNDAwMjIpLShGRl9DQVNIX1NUKFFUUiw0MDAyMikvUF9DT01fU0hTX09VVCg0MDAyMikpKS9GR","V9FU1RJTUFURSgnRVBTJywnTUVBTicsJ0FOTlVBTF9ST0xMJywnKzEnLDQwMDIyLCwsJycp&amp;WINDOW=FIRST_POPUP&amp;HEIGHT=450&amp;WIDTH=450&amp;START_MAXIMIZED=FALSE&amp;VAR:CALENDAR=US&amp;VAR:SYMBOL=98433210&amp;VAR:INDEX=0"}</definedName>
    <definedName name="_8127__FDSAUDITLINK__">{"fdsup://directions/FAT Viewer?action=UPDATE&amp;creator=factset&amp;DYN_ARGS=TRUE&amp;DOC_NAME=FAT:FQL_AUDITING_CLIENT_TEMPLATE.FAT&amp;display_string=Audit&amp;VAR:KEY=VEBWRSXMNI&amp;VAR:QUERY=KFBfUFJJQ0UoNDAwMjIpLShGRl9DQVNIX1NUKFFUUiw0MDAyMikvUF9DT01fU0hTX09VVCg0MDAyMikpKS9GR","V9FU1RJTUFURSgnRVBTJywnTUVBTicsJ0FOTlVBTF9ST0xMJywnKzEnLDQwMDIyLCwsJycp&amp;WINDOW=FIRST_POPUP&amp;HEIGHT=450&amp;WIDTH=450&amp;START_MAXIMIZED=FALSE&amp;VAR:CALENDAR=US&amp;VAR:SYMBOL=98433210&amp;VAR:INDEX=0"}</definedName>
    <definedName name="_8128__FDSAUDITLINK__">{"fdsup://directions/FAT Viewer?action=UPDATE&amp;creator=factset&amp;DYN_ARGS=TRUE&amp;DOC_NAME=FAT:FQL_AUDITING_CLIENT_TEMPLATE.FAT&amp;display_string=Audit&amp;VAR:KEY=RURERCFEXK&amp;VAR:QUERY=KFBfUFJJQ0UoNDAwMjEpLShGRl9DQVNIX1NUKFFUUiw0MDAyMSkvUF9DT01fU0hTX09VVCg0MDAyMSkpKS9GR","V9FU1RJTUFURSgnRVBTJywnTUVBTicsJ0FOTlVBTF9ST0xMJywnKzEnLDQwMDIxLCwsJycp&amp;WINDOW=FIRST_POPUP&amp;HEIGHT=450&amp;WIDTH=450&amp;START_MAXIMIZED=FALSE&amp;VAR:CALENDAR=US&amp;VAR:SYMBOL=98433210&amp;VAR:INDEX=0"}</definedName>
    <definedName name="_8129__FDSAUDITLINK__">{"fdsup://directions/FAT Viewer?action=UPDATE&amp;creator=factset&amp;DYN_ARGS=TRUE&amp;DOC_NAME=FAT:FQL_AUDITING_CLIENT_TEMPLATE.FAT&amp;display_string=Audit&amp;VAR:KEY=RURERCFEXK&amp;VAR:QUERY=KFBfUFJJQ0UoNDAwMjEpLShGRl9DQVNIX1NUKFFUUiw0MDAyMSkvUF9DT01fU0hTX09VVCg0MDAyMSkpKS9GR","V9FU1RJTUFURSgnRVBTJywnTUVBTicsJ0FOTlVBTF9ST0xMJywnKzEnLDQwMDIxLCwsJycp&amp;WINDOW=FIRST_POPUP&amp;HEIGHT=450&amp;WIDTH=450&amp;START_MAXIMIZED=FALSE&amp;VAR:CALENDAR=US&amp;VAR:SYMBOL=98433210&amp;VAR:INDEX=0"}</definedName>
    <definedName name="_81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977"}</definedName>
    <definedName name="_8130__FDSAUDITLINK__">{"fdsup://directions/FAT Viewer?action=UPDATE&amp;creator=factset&amp;DYN_ARGS=TRUE&amp;DOC_NAME=FAT:FQL_AUDITING_CLIENT_TEMPLATE.FAT&amp;display_string=Audit&amp;VAR:KEY=LOBCVEXOFY&amp;VAR:QUERY=KFBfUFJJQ0UoNDAwMjApLShGRl9DQVNIX1NUKFFUUiw0MDAyMCkvUF9DT01fU0hTX09VVCg0MDAyMCkpKS9GR","V9FU1RJTUFURSgnRVBTJywnTUVBTicsJ0FOTlVBTF9ST0xMJywnKzEnLDQwMDIwLCwsJycp&amp;WINDOW=FIRST_POPUP&amp;HEIGHT=450&amp;WIDTH=450&amp;START_MAXIMIZED=FALSE&amp;VAR:CALENDAR=US&amp;VAR:SYMBOL=98433210&amp;VAR:INDEX=0"}</definedName>
    <definedName name="_8131__FDSAUDITLINK__">{"fdsup://directions/FAT Viewer?action=UPDATE&amp;creator=factset&amp;DYN_ARGS=TRUE&amp;DOC_NAME=FAT:FQL_AUDITING_CLIENT_TEMPLATE.FAT&amp;display_string=Audit&amp;VAR:KEY=LOBCVEXOFY&amp;VAR:QUERY=KFBfUFJJQ0UoNDAwMjApLShGRl9DQVNIX1NUKFFUUiw0MDAyMCkvUF9DT01fU0hTX09VVCg0MDAyMCkpKS9GR","V9FU1RJTUFURSgnRVBTJywnTUVBTicsJ0FOTlVBTF9ST0xMJywnKzEnLDQwMDIwLCwsJycp&amp;WINDOW=FIRST_POPUP&amp;HEIGHT=450&amp;WIDTH=450&amp;START_MAXIMIZED=FALSE&amp;VAR:CALENDAR=US&amp;VAR:SYMBOL=98433210&amp;VAR:INDEX=0"}</definedName>
    <definedName name="_8132__FDSAUDITLINK__">{"fdsup://directions/FAT Viewer?action=UPDATE&amp;creator=factset&amp;DYN_ARGS=TRUE&amp;DOC_NAME=FAT:FQL_AUDITING_CLIENT_TEMPLATE.FAT&amp;display_string=Audit&amp;VAR:KEY=XGFQBSBGTW&amp;VAR:QUERY=KFBfUFJJQ0UoNDAwMTkpLShGRl9DQVNIX1NUKFFUUiw0MDAxOSkvUF9DT01fU0hTX09VVCg0MDAxOSkpKS9GR","V9FU1RJTUFURSgnRVBTJywnTUVBTicsJ0FOTlVBTF9ST0xMJywnKzEnLDQwMDE5LCwsJycp&amp;WINDOW=FIRST_POPUP&amp;HEIGHT=450&amp;WIDTH=450&amp;START_MAXIMIZED=FALSE&amp;VAR:CALENDAR=US&amp;VAR:SYMBOL=98433210&amp;VAR:INDEX=0"}</definedName>
    <definedName name="_8133__FDSAUDITLINK__">{"fdsup://directions/FAT Viewer?action=UPDATE&amp;creator=factset&amp;DYN_ARGS=TRUE&amp;DOC_NAME=FAT:FQL_AUDITING_CLIENT_TEMPLATE.FAT&amp;display_string=Audit&amp;VAR:KEY=XGFQBSBGTW&amp;VAR:QUERY=KFBfUFJJQ0UoNDAwMTkpLShGRl9DQVNIX1NUKFFUUiw0MDAxOSkvUF9DT01fU0hTX09VVCg0MDAxOSkpKS9GR","V9FU1RJTUFURSgnRVBTJywnTUVBTicsJ0FOTlVBTF9ST0xMJywnKzEnLDQwMDE5LCwsJycp&amp;WINDOW=FIRST_POPUP&amp;HEIGHT=450&amp;WIDTH=450&amp;START_MAXIMIZED=FALSE&amp;VAR:CALENDAR=US&amp;VAR:SYMBOL=98433210&amp;VAR:INDEX=0"}</definedName>
    <definedName name="_8134__FDSAUDITLINK__">{"fdsup://directions/FAT Viewer?action=UPDATE&amp;creator=factset&amp;DYN_ARGS=TRUE&amp;DOC_NAME=FAT:FQL_AUDITING_CLIENT_TEMPLATE.FAT&amp;display_string=Audit&amp;VAR:KEY=RSXQHERGVS&amp;VAR:QUERY=KFBfUFJJQ0UoNDAwMTgpLShGRl9DQVNIX1NUKFFUUiw0MDAxOCkvUF9DT01fU0hTX09VVCg0MDAxOCkpKS9GR","V9FU1RJTUFURSgnRVBTJywnTUVBTicsJ0FOTlVBTF9ST0xMJywnKzEnLDQwMDE4LCwsJycp&amp;WINDOW=FIRST_POPUP&amp;HEIGHT=450&amp;WIDTH=450&amp;START_MAXIMIZED=FALSE&amp;VAR:CALENDAR=US&amp;VAR:SYMBOL=98433210&amp;VAR:INDEX=0"}</definedName>
    <definedName name="_8135__FDSAUDITLINK__">{"fdsup://directions/FAT Viewer?action=UPDATE&amp;creator=factset&amp;DYN_ARGS=TRUE&amp;DOC_NAME=FAT:FQL_AUDITING_CLIENT_TEMPLATE.FAT&amp;display_string=Audit&amp;VAR:KEY=RSXQHERGVS&amp;VAR:QUERY=KFBfUFJJQ0UoNDAwMTgpLShGRl9DQVNIX1NUKFFUUiw0MDAxOCkvUF9DT01fU0hTX09VVCg0MDAxOCkpKS9GR","V9FU1RJTUFURSgnRVBTJywnTUVBTicsJ0FOTlVBTF9ST0xMJywnKzEnLDQwMDE4LCwsJycp&amp;WINDOW=FIRST_POPUP&amp;HEIGHT=450&amp;WIDTH=450&amp;START_MAXIMIZED=FALSE&amp;VAR:CALENDAR=US&amp;VAR:SYMBOL=98433210&amp;VAR:INDEX=0"}</definedName>
    <definedName name="_8136__FDSAUDITLINK__">{"fdsup://directions/FAT Viewer?action=UPDATE&amp;creator=factset&amp;DYN_ARGS=TRUE&amp;DOC_NAME=FAT:FQL_AUDITING_CLIENT_TEMPLATE.FAT&amp;display_string=Audit&amp;VAR:KEY=HKNEBGBKBW&amp;VAR:QUERY=KFBfUFJJQ0UoNDAwMTcpLShGRl9DQVNIX1NUKFFUUiw0MDAxNykvUF9DT01fU0hTX09VVCg0MDAxNykpKS9GR","V9FU1RJTUFURSgnRVBTJywnTUVBTicsJ0FOTlVBTF9ST0xMJywnKzEnLDQwMDE3LCwsJycp&amp;WINDOW=FIRST_POPUP&amp;HEIGHT=450&amp;WIDTH=450&amp;START_MAXIMIZED=FALSE&amp;VAR:CALENDAR=US&amp;VAR:SYMBOL=98433210&amp;VAR:INDEX=0"}</definedName>
    <definedName name="_8137__FDSAUDITLINK__">{"fdsup://directions/FAT Viewer?action=UPDATE&amp;creator=factset&amp;DYN_ARGS=TRUE&amp;DOC_NAME=FAT:FQL_AUDITING_CLIENT_TEMPLATE.FAT&amp;display_string=Audit&amp;VAR:KEY=HKNEBGBKBW&amp;VAR:QUERY=KFBfUFJJQ0UoNDAwMTcpLShGRl9DQVNIX1NUKFFUUiw0MDAxNykvUF9DT01fU0hTX09VVCg0MDAxNykpKS9GR","V9FU1RJTUFURSgnRVBTJywnTUVBTicsJ0FOTlVBTF9ST0xMJywnKzEnLDQwMDE3LCwsJycp&amp;WINDOW=FIRST_POPUP&amp;HEIGHT=450&amp;WIDTH=450&amp;START_MAXIMIZED=FALSE&amp;VAR:CALENDAR=US&amp;VAR:SYMBOL=98433210&amp;VAR:INDEX=0"}</definedName>
    <definedName name="_8138__FDSAUDITLINK__">{"fdsup://directions/FAT Viewer?action=UPDATE&amp;creator=factset&amp;DYN_ARGS=TRUE&amp;DOC_NAME=FAT:FQL_AUDITING_CLIENT_TEMPLATE.FAT&amp;display_string=Audit&amp;VAR:KEY=FOXIJCXYFK&amp;VAR:QUERY=KFBfUFJJQ0UoNDAwMTYpLShGRl9DQVNIX1NUKFFUUiw0MDAxNikvUF9DT01fU0hTX09VVCg0MDAxNikpKS9GR","V9FU1RJTUFURSgnRVBTJywnTUVBTicsJ0FOTlVBTF9ST0xMJywnKzEnLDQwMDE2LCwsJycp&amp;WINDOW=FIRST_POPUP&amp;HEIGHT=450&amp;WIDTH=450&amp;START_MAXIMIZED=FALSE&amp;VAR:CALENDAR=US&amp;VAR:SYMBOL=98433210&amp;VAR:INDEX=0"}</definedName>
    <definedName name="_8139__FDSAUDITLINK__">{"fdsup://directions/FAT Viewer?action=UPDATE&amp;creator=factset&amp;DYN_ARGS=TRUE&amp;DOC_NAME=FAT:FQL_AUDITING_CLIENT_TEMPLATE.FAT&amp;display_string=Audit&amp;VAR:KEY=FOXIJCXYFK&amp;VAR:QUERY=KFBfUFJJQ0UoNDAwMTYpLShGRl9DQVNIX1NUKFFUUiw0MDAxNikvUF9DT01fU0hTX09VVCg0MDAxNikpKS9GR","V9FU1RJTUFURSgnRVBTJywnTUVBTicsJ0FOTlVBTF9ST0xMJywnKzEnLDQwMDE2LCwsJycp&amp;WINDOW=FIRST_POPUP&amp;HEIGHT=450&amp;WIDTH=450&amp;START_MAXIMIZED=FALSE&amp;VAR:CALENDAR=US&amp;VAR:SYMBOL=98433210&amp;VAR:INDEX=0"}</definedName>
    <definedName name="_81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976"}</definedName>
    <definedName name="_8140__FDSAUDITLINK__">{"fdsup://directions/FAT Viewer?action=UPDATE&amp;creator=factset&amp;DYN_ARGS=TRUE&amp;DOC_NAME=FAT:FQL_AUDITING_CLIENT_TEMPLATE.FAT&amp;display_string=Audit&amp;VAR:KEY=RENCNINGVY&amp;VAR:QUERY=KFBfUFJJQ0UoNDAwMTUpLShGRl9DQVNIX1NUKFFUUiw0MDAxNSkvUF9DT01fU0hTX09VVCg0MDAxNSkpKS9GR","V9FU1RJTUFURSgnRVBTJywnTUVBTicsJ0FOTlVBTF9ST0xMJywnKzEnLDQwMDE1LCwsJycp&amp;WINDOW=FIRST_POPUP&amp;HEIGHT=450&amp;WIDTH=450&amp;START_MAXIMIZED=FALSE&amp;VAR:CALENDAR=US&amp;VAR:SYMBOL=98433210&amp;VAR:INDEX=0"}</definedName>
    <definedName name="_8141__FDSAUDITLINK__">{"fdsup://directions/FAT Viewer?action=UPDATE&amp;creator=factset&amp;DYN_ARGS=TRUE&amp;DOC_NAME=FAT:FQL_AUDITING_CLIENT_TEMPLATE.FAT&amp;display_string=Audit&amp;VAR:KEY=RENCNINGVY&amp;VAR:QUERY=KFBfUFJJQ0UoNDAwMTUpLShGRl9DQVNIX1NUKFFUUiw0MDAxNSkvUF9DT01fU0hTX09VVCg0MDAxNSkpKS9GR","V9FU1RJTUFURSgnRVBTJywnTUVBTicsJ0FOTlVBTF9ST0xMJywnKzEnLDQwMDE1LCwsJycp&amp;WINDOW=FIRST_POPUP&amp;HEIGHT=450&amp;WIDTH=450&amp;START_MAXIMIZED=FALSE&amp;VAR:CALENDAR=US&amp;VAR:SYMBOL=98433210&amp;VAR:INDEX=0"}</definedName>
    <definedName name="_8142__FDSAUDITLINK__">{"fdsup://directions/FAT Viewer?action=UPDATE&amp;creator=factset&amp;DYN_ARGS=TRUE&amp;DOC_NAME=FAT:FQL_AUDITING_CLIENT_TEMPLATE.FAT&amp;display_string=Audit&amp;VAR:KEY=PIXYBUPIRG&amp;VAR:QUERY=KFBfUFJJQ0UoNDAwMTQpLShGRl9DQVNIX1NUKFFUUiw0MDAxNCkvUF9DT01fU0hTX09VVCg0MDAxNCkpKS9GR","V9FU1RJTUFURSgnRVBTJywnTUVBTicsJ0FOTlVBTF9ST0xMJywnKzEnLDQwMDE0LCwsJycp&amp;WINDOW=FIRST_POPUP&amp;HEIGHT=450&amp;WIDTH=450&amp;START_MAXIMIZED=FALSE&amp;VAR:CALENDAR=US&amp;VAR:SYMBOL=98433210&amp;VAR:INDEX=0"}</definedName>
    <definedName name="_8143__FDSAUDITLINK__">{"fdsup://directions/FAT Viewer?action=UPDATE&amp;creator=factset&amp;DYN_ARGS=TRUE&amp;DOC_NAME=FAT:FQL_AUDITING_CLIENT_TEMPLATE.FAT&amp;display_string=Audit&amp;VAR:KEY=PIXYBUPIRG&amp;VAR:QUERY=KFBfUFJJQ0UoNDAwMTQpLShGRl9DQVNIX1NUKFFUUiw0MDAxNCkvUF9DT01fU0hTX09VVCg0MDAxNCkpKS9GR","V9FU1RJTUFURSgnRVBTJywnTUVBTicsJ0FOTlVBTF9ST0xMJywnKzEnLDQwMDE0LCwsJycp&amp;WINDOW=FIRST_POPUP&amp;HEIGHT=450&amp;WIDTH=450&amp;START_MAXIMIZED=FALSE&amp;VAR:CALENDAR=US&amp;VAR:SYMBOL=98433210&amp;VAR:INDEX=0"}</definedName>
    <definedName name="_8144__FDSAUDITLINK__">{"fdsup://directions/FAT Viewer?action=UPDATE&amp;creator=factset&amp;DYN_ARGS=TRUE&amp;DOC_NAME=FAT:FQL_AUDITING_CLIENT_TEMPLATE.FAT&amp;display_string=Audit&amp;VAR:KEY=FETITAZMRE&amp;VAR:QUERY=KFBfUFJJQ0UoNDAwMTMpLShGRl9DQVNIX1NUKFFUUiw0MDAxMykvUF9DT01fU0hTX09VVCg0MDAxMykpKS9GR","V9FU1RJTUFURSgnRVBTJywnTUVBTicsJ0FOTlVBTF9ST0xMJywnKzEnLDQwMDEzLCwsJycp&amp;WINDOW=FIRST_POPUP&amp;HEIGHT=450&amp;WIDTH=450&amp;START_MAXIMIZED=FALSE&amp;VAR:CALENDAR=US&amp;VAR:SYMBOL=98433210&amp;VAR:INDEX=0"}</definedName>
    <definedName name="_8145__FDSAUDITLINK__">{"fdsup://directions/FAT Viewer?action=UPDATE&amp;creator=factset&amp;DYN_ARGS=TRUE&amp;DOC_NAME=FAT:FQL_AUDITING_CLIENT_TEMPLATE.FAT&amp;display_string=Audit&amp;VAR:KEY=FETITAZMRE&amp;VAR:QUERY=KFBfUFJJQ0UoNDAwMTMpLShGRl9DQVNIX1NUKFFUUiw0MDAxMykvUF9DT01fU0hTX09VVCg0MDAxMykpKS9GR","V9FU1RJTUFURSgnRVBTJywnTUVBTicsJ0FOTlVBTF9ST0xMJywnKzEnLDQwMDEzLCwsJycp&amp;WINDOW=FIRST_POPUP&amp;HEIGHT=450&amp;WIDTH=450&amp;START_MAXIMIZED=FALSE&amp;VAR:CALENDAR=US&amp;VAR:SYMBOL=98433210&amp;VAR:INDEX=0"}</definedName>
    <definedName name="_8146__FDSAUDITLINK__">{"fdsup://directions/FAT Viewer?action=UPDATE&amp;creator=factset&amp;DYN_ARGS=TRUE&amp;DOC_NAME=FAT:FQL_AUDITING_CLIENT_TEMPLATE.FAT&amp;display_string=Audit&amp;VAR:KEY=VGFYJWVGXC&amp;VAR:QUERY=KFBfUFJJQ0UoNDAwMTIpLShGRl9DQVNIX1NUKFFUUiw0MDAxMikvUF9DT01fU0hTX09VVCg0MDAxMikpKS9GR","V9FU1RJTUFURSgnRVBTJywnTUVBTicsJ0FOTlVBTF9ST0xMJywnKzEnLDQwMDEyLCwsJycp&amp;WINDOW=FIRST_POPUP&amp;HEIGHT=450&amp;WIDTH=450&amp;START_MAXIMIZED=FALSE&amp;VAR:CALENDAR=US&amp;VAR:SYMBOL=98433210&amp;VAR:INDEX=0"}</definedName>
    <definedName name="_8147__FDSAUDITLINK__">{"fdsup://directions/FAT Viewer?action=UPDATE&amp;creator=factset&amp;DYN_ARGS=TRUE&amp;DOC_NAME=FAT:FQL_AUDITING_CLIENT_TEMPLATE.FAT&amp;display_string=Audit&amp;VAR:KEY=VGFYJWVGXC&amp;VAR:QUERY=KFBfUFJJQ0UoNDAwMTIpLShGRl9DQVNIX1NUKFFUUiw0MDAxMikvUF9DT01fU0hTX09VVCg0MDAxMikpKS9GR","V9FU1RJTUFURSgnRVBTJywnTUVBTicsJ0FOTlVBTF9ST0xMJywnKzEnLDQwMDEyLCwsJycp&amp;WINDOW=FIRST_POPUP&amp;HEIGHT=450&amp;WIDTH=450&amp;START_MAXIMIZED=FALSE&amp;VAR:CALENDAR=US&amp;VAR:SYMBOL=98433210&amp;VAR:INDEX=0"}</definedName>
    <definedName name="_8148__FDSAUDITLINK__">{"fdsup://directions/FAT Viewer?action=UPDATE&amp;creator=factset&amp;DYN_ARGS=TRUE&amp;DOC_NAME=FAT:FQL_AUDITING_CLIENT_TEMPLATE.FAT&amp;display_string=Audit&amp;VAR:KEY=PULUHEVSVO&amp;VAR:QUERY=KFBfUFJJQ0UoNDAwMTEpLShGRl9DQVNIX1NUKFFUUiw0MDAxMSkvUF9DT01fU0hTX09VVCg0MDAxMSkpKS9GR","V9FU1RJTUFURSgnRVBTJywnTUVBTicsJ0FOTlVBTF9ST0xMJywnKzEnLDQwMDExLCwsJycp&amp;WINDOW=FIRST_POPUP&amp;HEIGHT=450&amp;WIDTH=450&amp;START_MAXIMIZED=FALSE&amp;VAR:CALENDAR=US&amp;VAR:SYMBOL=98433210&amp;VAR:INDEX=0"}</definedName>
    <definedName name="_8149__FDSAUDITLINK__">{"fdsup://directions/FAT Viewer?action=UPDATE&amp;creator=factset&amp;DYN_ARGS=TRUE&amp;DOC_NAME=FAT:FQL_AUDITING_CLIENT_TEMPLATE.FAT&amp;display_string=Audit&amp;VAR:KEY=PULUHEVSVO&amp;VAR:QUERY=KFBfUFJJQ0UoNDAwMTEpLShGRl9DQVNIX1NUKFFUUiw0MDAxMSkvUF9DT01fU0hTX09VVCg0MDAxMSkpKS9GR","V9FU1RJTUFURSgnRVBTJywnTUVBTicsJ0FOTlVBTF9ST0xMJywnKzEnLDQwMDExLCwsJycp&amp;WINDOW=FIRST_POPUP&amp;HEIGHT=450&amp;WIDTH=450&amp;START_MAXIMIZED=FALSE&amp;VAR:CALENDAR=US&amp;VAR:SYMBOL=98433210&amp;VAR:INDEX=0"}</definedName>
    <definedName name="_81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975"}</definedName>
    <definedName name="_8150__FDSAUDITLINK__">{"fdsup://directions/FAT Viewer?action=UPDATE&amp;creator=factset&amp;DYN_ARGS=TRUE&amp;DOC_NAME=FAT:FQL_AUDITING_CLIENT_TEMPLATE.FAT&amp;display_string=Audit&amp;VAR:KEY=NCNEDAHGJE&amp;VAR:QUERY=KFBfUFJJQ0UoNDAwMTApLShGRl9DQVNIX1NUKFFUUiw0MDAxMCkvUF9DT01fU0hTX09VVCg0MDAxMCkpKS9GR","V9FU1RJTUFURSgnRVBTJywnTUVBTicsJ0FOTlVBTF9ST0xMJywnKzEnLDQwMDEwLCwsJycp&amp;WINDOW=FIRST_POPUP&amp;HEIGHT=450&amp;WIDTH=450&amp;START_MAXIMIZED=FALSE&amp;VAR:CALENDAR=US&amp;VAR:SYMBOL=98433210&amp;VAR:INDEX=0"}</definedName>
    <definedName name="_8151__FDSAUDITLINK__">{"fdsup://directions/FAT Viewer?action=UPDATE&amp;creator=factset&amp;DYN_ARGS=TRUE&amp;DOC_NAME=FAT:FQL_AUDITING_CLIENT_TEMPLATE.FAT&amp;display_string=Audit&amp;VAR:KEY=NCNEDAHGJE&amp;VAR:QUERY=KFBfUFJJQ0UoNDAwMTApLShGRl9DQVNIX1NUKFFUUiw0MDAxMCkvUF9DT01fU0hTX09VVCg0MDAxMCkpKS9GR","V9FU1RJTUFURSgnRVBTJywnTUVBTicsJ0FOTlVBTF9ST0xMJywnKzEnLDQwMDEwLCwsJycp&amp;WINDOW=FIRST_POPUP&amp;HEIGHT=450&amp;WIDTH=450&amp;START_MAXIMIZED=FALSE&amp;VAR:CALENDAR=US&amp;VAR:SYMBOL=98433210&amp;VAR:INDEX=0"}</definedName>
    <definedName name="_8152__FDSAUDITLINK__">{"fdsup://directions/FAT Viewer?action=UPDATE&amp;creator=factset&amp;DYN_ARGS=TRUE&amp;DOC_NAME=FAT:FQL_AUDITING_CLIENT_TEMPLATE.FAT&amp;display_string=Audit&amp;VAR:KEY=PANKDOVOLC&amp;VAR:QUERY=KFBfUFJJQ0UoNDAwMDkpLShGRl9DQVNIX1NUKFFUUiw0MDAwOSkvUF9DT01fU0hTX09VVCg0MDAwOSkpKS9GR","V9FU1RJTUFURSgnRVBTJywnTUVBTicsJ0FOTlVBTF9ST0xMJywnKzEnLDQwMDA5LCwsJycp&amp;WINDOW=FIRST_POPUP&amp;HEIGHT=450&amp;WIDTH=450&amp;START_MAXIMIZED=FALSE&amp;VAR:CALENDAR=US&amp;VAR:SYMBOL=98433210&amp;VAR:INDEX=0"}</definedName>
    <definedName name="_8153__FDSAUDITLINK__">{"fdsup://directions/FAT Viewer?action=UPDATE&amp;creator=factset&amp;DYN_ARGS=TRUE&amp;DOC_NAME=FAT:FQL_AUDITING_CLIENT_TEMPLATE.FAT&amp;display_string=Audit&amp;VAR:KEY=PANKDOVOLC&amp;VAR:QUERY=KFBfUFJJQ0UoNDAwMDkpLShGRl9DQVNIX1NUKFFUUiw0MDAwOSkvUF9DT01fU0hTX09VVCg0MDAwOSkpKS9GR","V9FU1RJTUFURSgnRVBTJywnTUVBTicsJ0FOTlVBTF9ST0xMJywnKzEnLDQwMDA5LCwsJycp&amp;WINDOW=FIRST_POPUP&amp;HEIGHT=450&amp;WIDTH=450&amp;START_MAXIMIZED=FALSE&amp;VAR:CALENDAR=US&amp;VAR:SYMBOL=98433210&amp;VAR:INDEX=0"}</definedName>
    <definedName name="_8154__FDSAUDITLINK__">{"fdsup://directions/FAT Viewer?action=UPDATE&amp;creator=factset&amp;DYN_ARGS=TRUE&amp;DOC_NAME=FAT:FQL_AUDITING_CLIENT_TEMPLATE.FAT&amp;display_string=Audit&amp;VAR:KEY=ROPUNGVGFK&amp;VAR:QUERY=KFBfUFJJQ0UoNDAwMDgpLShGRl9DQVNIX1NUKFFUUiw0MDAwOCkvUF9DT01fU0hTX09VVCg0MDAwOCkpKS9GR","V9FU1RJTUFURSgnRVBTJywnTUVBTicsJ0FOTlVBTF9ST0xMJywnKzEnLDQwMDA4LCwsJycp&amp;WINDOW=FIRST_POPUP&amp;HEIGHT=450&amp;WIDTH=450&amp;START_MAXIMIZED=FALSE&amp;VAR:CALENDAR=US&amp;VAR:SYMBOL=98433210&amp;VAR:INDEX=0"}</definedName>
    <definedName name="_8155__FDSAUDITLINK__">{"fdsup://directions/FAT Viewer?action=UPDATE&amp;creator=factset&amp;DYN_ARGS=TRUE&amp;DOC_NAME=FAT:FQL_AUDITING_CLIENT_TEMPLATE.FAT&amp;display_string=Audit&amp;VAR:KEY=ROPUNGVGFK&amp;VAR:QUERY=KFBfUFJJQ0UoNDAwMDgpLShGRl9DQVNIX1NUKFFUUiw0MDAwOCkvUF9DT01fU0hTX09VVCg0MDAwOCkpKS9GR","V9FU1RJTUFURSgnRVBTJywnTUVBTicsJ0FOTlVBTF9ST0xMJywnKzEnLDQwMDA4LCwsJycp&amp;WINDOW=FIRST_POPUP&amp;HEIGHT=450&amp;WIDTH=450&amp;START_MAXIMIZED=FALSE&amp;VAR:CALENDAR=US&amp;VAR:SYMBOL=98433210&amp;VAR:INDEX=0"}</definedName>
    <definedName name="_8156__FDSAUDITLINK__">{"fdsup://directions/FAT Viewer?action=UPDATE&amp;creator=factset&amp;DYN_ARGS=TRUE&amp;DOC_NAME=FAT:FQL_AUDITING_CLIENT_TEMPLATE.FAT&amp;display_string=Audit&amp;VAR:KEY=PKNAXEBOLY&amp;VAR:QUERY=KFBfUFJJQ0UoNDAwMDcpLShGRl9DQVNIX1NUKFFUUiw0MDAwNykvUF9DT01fU0hTX09VVCg0MDAwNykpKS9GR","V9FU1RJTUFURSgnRVBTJywnTUVBTicsJ0FOTlVBTF9ST0xMJywnKzEnLDQwMDA3LCwsJycp&amp;WINDOW=FIRST_POPUP&amp;HEIGHT=450&amp;WIDTH=450&amp;START_MAXIMIZED=FALSE&amp;VAR:CALENDAR=US&amp;VAR:SYMBOL=98433210&amp;VAR:INDEX=0"}</definedName>
    <definedName name="_8157__FDSAUDITLINK__">{"fdsup://directions/FAT Viewer?action=UPDATE&amp;creator=factset&amp;DYN_ARGS=TRUE&amp;DOC_NAME=FAT:FQL_AUDITING_CLIENT_TEMPLATE.FAT&amp;display_string=Audit&amp;VAR:KEY=PKNAXEBOLY&amp;VAR:QUERY=KFBfUFJJQ0UoNDAwMDcpLShGRl9DQVNIX1NUKFFUUiw0MDAwNykvUF9DT01fU0hTX09VVCg0MDAwNykpKS9GR","V9FU1RJTUFURSgnRVBTJywnTUVBTicsJ0FOTlVBTF9ST0xMJywnKzEnLDQwMDA3LCwsJycp&amp;WINDOW=FIRST_POPUP&amp;HEIGHT=450&amp;WIDTH=450&amp;START_MAXIMIZED=FALSE&amp;VAR:CALENDAR=US&amp;VAR:SYMBOL=98433210&amp;VAR:INDEX=0"}</definedName>
    <definedName name="_8158__FDSAUDITLINK__">{"fdsup://directions/FAT Viewer?action=UPDATE&amp;creator=factset&amp;DYN_ARGS=TRUE&amp;DOC_NAME=FAT:FQL_AUDITING_CLIENT_TEMPLATE.FAT&amp;display_string=Audit&amp;VAR:KEY=LEBWHCXWZY&amp;VAR:QUERY=KFBfUFJJQ0UoNDAwMDYpLShGRl9DQVNIX1NUKFFUUiw0MDAwNikvUF9DT01fU0hTX09VVCg0MDAwNikpKS9GR","V9FU1RJTUFURSgnRVBTJywnTUVBTicsJ0FOTlVBTF9ST0xMJywnKzEnLDQwMDA2LCwsJycp&amp;WINDOW=FIRST_POPUP&amp;HEIGHT=450&amp;WIDTH=450&amp;START_MAXIMIZED=FALSE&amp;VAR:CALENDAR=US&amp;VAR:SYMBOL=98433210&amp;VAR:INDEX=0"}</definedName>
    <definedName name="_8159__FDSAUDITLINK__">{"fdsup://directions/FAT Viewer?action=UPDATE&amp;creator=factset&amp;DYN_ARGS=TRUE&amp;DOC_NAME=FAT:FQL_AUDITING_CLIENT_TEMPLATE.FAT&amp;display_string=Audit&amp;VAR:KEY=LEBWHCXWZY&amp;VAR:QUERY=KFBfUFJJQ0UoNDAwMDYpLShGRl9DQVNIX1NUKFFUUiw0MDAwNikvUF9DT01fU0hTX09VVCg0MDAwNikpKS9GR","V9FU1RJTUFURSgnRVBTJywnTUVBTicsJ0FOTlVBTF9ST0xMJywnKzEnLDQwMDA2LCwsJycp&amp;WINDOW=FIRST_POPUP&amp;HEIGHT=450&amp;WIDTH=450&amp;START_MAXIMIZED=FALSE&amp;VAR:CALENDAR=US&amp;VAR:SYMBOL=98433210&amp;VAR:INDEX=0"}</definedName>
    <definedName name="_81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974"}</definedName>
    <definedName name="_8160__FDSAUDITLINK__">{"fdsup://directions/FAT Viewer?action=UPDATE&amp;creator=factset&amp;DYN_ARGS=TRUE&amp;DOC_NAME=FAT:FQL_AUDITING_CLIENT_TEMPLATE.FAT&amp;display_string=Audit&amp;VAR:KEY=FSLWDSRALI&amp;VAR:QUERY=KFBfUFJJQ0UoNDAwMDUpLShGRl9DQVNIX1NUKFFUUiw0MDAwNSkvUF9DT01fU0hTX09VVCg0MDAwNSkpKS9GR","V9FU1RJTUFURSgnRVBTJywnTUVBTicsJ0FOTlVBTF9ST0xMJywnKzEnLDQwMDA1LCwsJycp&amp;WINDOW=FIRST_POPUP&amp;HEIGHT=450&amp;WIDTH=450&amp;START_MAXIMIZED=FALSE&amp;VAR:CALENDAR=US&amp;VAR:SYMBOL=98433210&amp;VAR:INDEX=0"}</definedName>
    <definedName name="_8161__FDSAUDITLINK__">{"fdsup://directions/FAT Viewer?action=UPDATE&amp;creator=factset&amp;DYN_ARGS=TRUE&amp;DOC_NAME=FAT:FQL_AUDITING_CLIENT_TEMPLATE.FAT&amp;display_string=Audit&amp;VAR:KEY=FSLWDSRALI&amp;VAR:QUERY=KFBfUFJJQ0UoNDAwMDUpLShGRl9DQVNIX1NUKFFUUiw0MDAwNSkvUF9DT01fU0hTX09VVCg0MDAwNSkpKS9GR","V9FU1RJTUFURSgnRVBTJywnTUVBTicsJ0FOTlVBTF9ST0xMJywnKzEnLDQwMDA1LCwsJycp&amp;WINDOW=FIRST_POPUP&amp;HEIGHT=450&amp;WIDTH=450&amp;START_MAXIMIZED=FALSE&amp;VAR:CALENDAR=US&amp;VAR:SYMBOL=98433210&amp;VAR:INDEX=0"}</definedName>
    <definedName name="_8162__FDSAUDITLINK__">{"fdsup://directions/FAT Viewer?action=UPDATE&amp;creator=factset&amp;DYN_ARGS=TRUE&amp;DOC_NAME=FAT:FQL_AUDITING_CLIENT_TEMPLATE.FAT&amp;display_string=Audit&amp;VAR:KEY=LCTQVUFGJY&amp;VAR:QUERY=KFBfUFJJQ0UoNDAwMDQpLShGRl9DQVNIX1NUKFFUUiw0MDAwNCkvUF9DT01fU0hTX09VVCg0MDAwNCkpKS9GR","V9FU1RJTUFURSgnRVBTJywnTUVBTicsJ0FOTlVBTF9ST0xMJywnKzEnLDQwMDA0LCwsJycp&amp;WINDOW=FIRST_POPUP&amp;HEIGHT=450&amp;WIDTH=450&amp;START_MAXIMIZED=FALSE&amp;VAR:CALENDAR=US&amp;VAR:SYMBOL=98433210&amp;VAR:INDEX=0"}</definedName>
    <definedName name="_8163__FDSAUDITLINK__">{"fdsup://directions/FAT Viewer?action=UPDATE&amp;creator=factset&amp;DYN_ARGS=TRUE&amp;DOC_NAME=FAT:FQL_AUDITING_CLIENT_TEMPLATE.FAT&amp;display_string=Audit&amp;VAR:KEY=LCTQVUFGJY&amp;VAR:QUERY=KFBfUFJJQ0UoNDAwMDQpLShGRl9DQVNIX1NUKFFUUiw0MDAwNCkvUF9DT01fU0hTX09VVCg0MDAwNCkpKS9GR","V9FU1RJTUFURSgnRVBTJywnTUVBTicsJ0FOTlVBTF9ST0xMJywnKzEnLDQwMDA0LCwsJycp&amp;WINDOW=FIRST_POPUP&amp;HEIGHT=450&amp;WIDTH=450&amp;START_MAXIMIZED=FALSE&amp;VAR:CALENDAR=US&amp;VAR:SYMBOL=98433210&amp;VAR:INDEX=0"}</definedName>
    <definedName name="_8164__FDSAUDITLINK__">{"fdsup://directions/FAT Viewer?action=UPDATE&amp;creator=factset&amp;DYN_ARGS=TRUE&amp;DOC_NAME=FAT:FQL_AUDITING_CLIENT_TEMPLATE.FAT&amp;display_string=Audit&amp;VAR:KEY=JSDKDAFABM&amp;VAR:QUERY=KFBfUFJJQ0UoNDAwMDMpLShGRl9DQVNIX1NUKFFUUiw0MDAwMykvUF9DT01fU0hTX09VVCg0MDAwMykpKS9GR","V9FU1RJTUFURSgnRVBTJywnTUVBTicsJ0FOTlVBTF9ST0xMJywnKzEnLDQwMDAzLCwsJycp&amp;WINDOW=FIRST_POPUP&amp;HEIGHT=450&amp;WIDTH=450&amp;START_MAXIMIZED=FALSE&amp;VAR:CALENDAR=US&amp;VAR:SYMBOL=98433210&amp;VAR:INDEX=0"}</definedName>
    <definedName name="_8165__FDSAUDITLINK__">{"fdsup://directions/FAT Viewer?action=UPDATE&amp;creator=factset&amp;DYN_ARGS=TRUE&amp;DOC_NAME=FAT:FQL_AUDITING_CLIENT_TEMPLATE.FAT&amp;display_string=Audit&amp;VAR:KEY=JSDKDAFABM&amp;VAR:QUERY=KFBfUFJJQ0UoNDAwMDMpLShGRl9DQVNIX1NUKFFUUiw0MDAwMykvUF9DT01fU0hTX09VVCg0MDAwMykpKS9GR","V9FU1RJTUFURSgnRVBTJywnTUVBTicsJ0FOTlVBTF9ST0xMJywnKzEnLDQwMDAzLCwsJycp&amp;WINDOW=FIRST_POPUP&amp;HEIGHT=450&amp;WIDTH=450&amp;START_MAXIMIZED=FALSE&amp;VAR:CALENDAR=US&amp;VAR:SYMBOL=98433210&amp;VAR:INDEX=0"}</definedName>
    <definedName name="_8166__FDSAUDITLINK__">{"fdsup://directions/FAT Viewer?action=UPDATE&amp;creator=factset&amp;DYN_ARGS=TRUE&amp;DOC_NAME=FAT:FQL_AUDITING_CLIENT_TEMPLATE.FAT&amp;display_string=Audit&amp;VAR:KEY=VUVIZCNMJK&amp;VAR:QUERY=KFBfUFJJQ0UoNDAwMDIpLShGRl9DQVNIX1NUKFFUUiw0MDAwMikvUF9DT01fU0hTX09VVCg0MDAwMikpKS9GR","V9FU1RJTUFURSgnRVBTJywnTUVBTicsJ0FOTlVBTF9ST0xMJywnKzEnLDQwMDAyLCwsJycp&amp;WINDOW=FIRST_POPUP&amp;HEIGHT=450&amp;WIDTH=450&amp;START_MAXIMIZED=FALSE&amp;VAR:CALENDAR=US&amp;VAR:SYMBOL=98433210&amp;VAR:INDEX=0"}</definedName>
    <definedName name="_8167__FDSAUDITLINK__">{"fdsup://directions/FAT Viewer?action=UPDATE&amp;creator=factset&amp;DYN_ARGS=TRUE&amp;DOC_NAME=FAT:FQL_AUDITING_CLIENT_TEMPLATE.FAT&amp;display_string=Audit&amp;VAR:KEY=VUVIZCNMJK&amp;VAR:QUERY=KFBfUFJJQ0UoNDAwMDIpLShGRl9DQVNIX1NUKFFUUiw0MDAwMikvUF9DT01fU0hTX09VVCg0MDAwMikpKS9GR","V9FU1RJTUFURSgnRVBTJywnTUVBTicsJ0FOTlVBTF9ST0xMJywnKzEnLDQwMDAyLCwsJycp&amp;WINDOW=FIRST_POPUP&amp;HEIGHT=450&amp;WIDTH=450&amp;START_MAXIMIZED=FALSE&amp;VAR:CALENDAR=US&amp;VAR:SYMBOL=98433210&amp;VAR:INDEX=0"}</definedName>
    <definedName name="_8168__FDSAUDITLINK__">{"fdsup://directions/FAT Viewer?action=UPDATE&amp;creator=factset&amp;DYN_ARGS=TRUE&amp;DOC_NAME=FAT:FQL_AUDITING_CLIENT_TEMPLATE.FAT&amp;display_string=Audit&amp;VAR:KEY=JMRSNEVSTQ&amp;VAR:QUERY=KFBfUFJJQ0UoNDAwMDEpLShGRl9DQVNIX1NUKFFUUiw0MDAwMSkvUF9DT01fU0hTX09VVCg0MDAwMSkpKS9GR","V9FU1RJTUFURSgnRVBTJywnTUVBTicsJ0FOTlVBTF9ST0xMJywnKzEnLDQwMDAxLCwsJycp&amp;WINDOW=FIRST_POPUP&amp;HEIGHT=450&amp;WIDTH=450&amp;START_MAXIMIZED=FALSE&amp;VAR:CALENDAR=US&amp;VAR:SYMBOL=98433210&amp;VAR:INDEX=0"}</definedName>
    <definedName name="_8169__FDSAUDITLINK__">{"fdsup://directions/FAT Viewer?action=UPDATE&amp;creator=factset&amp;DYN_ARGS=TRUE&amp;DOC_NAME=FAT:FQL_AUDITING_CLIENT_TEMPLATE.FAT&amp;display_string=Audit&amp;VAR:KEY=JMRSNEVSTQ&amp;VAR:QUERY=KFBfUFJJQ0UoNDAwMDEpLShGRl9DQVNIX1NUKFFUUiw0MDAwMSkvUF9DT01fU0hTX09VVCg0MDAwMSkpKS9GR","V9FU1RJTUFURSgnRVBTJywnTUVBTicsJ0FOTlVBTF9ST0xMJywnKzEnLDQwMDAxLCwsJycp&amp;WINDOW=FIRST_POPUP&amp;HEIGHT=450&amp;WIDTH=450&amp;START_MAXIMIZED=FALSE&amp;VAR:CALENDAR=US&amp;VAR:SYMBOL=98433210&amp;VAR:INDEX=0"}</definedName>
    <definedName name="_81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973"}</definedName>
    <definedName name="_8170__FDSAUDITLINK__">{"fdsup://directions/FAT Viewer?action=UPDATE&amp;creator=factset&amp;DYN_ARGS=TRUE&amp;DOC_NAME=FAT:FQL_AUDITING_CLIENT_TEMPLATE.FAT&amp;display_string=Audit&amp;VAR:KEY=HONSTWPELE&amp;VAR:QUERY=KFBfUFJJQ0UoNDAwMDApLShGRl9DQVNIX1NUKFFUUiw0MDAwMCkvUF9DT01fU0hTX09VVCg0MDAwMCkpKS9GR","V9FU1RJTUFURSgnRVBTJywnTUVBTicsJ0FOTlVBTF9ST0xMJywnKzEnLDQwMDAwLCwsJycp&amp;WINDOW=FIRST_POPUP&amp;HEIGHT=450&amp;WIDTH=450&amp;START_MAXIMIZED=FALSE&amp;VAR:CALENDAR=US&amp;VAR:SYMBOL=98433210&amp;VAR:INDEX=0"}</definedName>
    <definedName name="_8171__FDSAUDITLINK__">{"fdsup://directions/FAT Viewer?action=UPDATE&amp;creator=factset&amp;DYN_ARGS=TRUE&amp;DOC_NAME=FAT:FQL_AUDITING_CLIENT_TEMPLATE.FAT&amp;display_string=Audit&amp;VAR:KEY=HONSTWPELE&amp;VAR:QUERY=KFBfUFJJQ0UoNDAwMDApLShGRl9DQVNIX1NUKFFUUiw0MDAwMCkvUF9DT01fU0hTX09VVCg0MDAwMCkpKS9GR","V9FU1RJTUFURSgnRVBTJywnTUVBTicsJ0FOTlVBTF9ST0xMJywnKzEnLDQwMDAwLCwsJycp&amp;WINDOW=FIRST_POPUP&amp;HEIGHT=450&amp;WIDTH=450&amp;START_MAXIMIZED=FALSE&amp;VAR:CALENDAR=US&amp;VAR:SYMBOL=98433210&amp;VAR:INDEX=0"}</definedName>
    <definedName name="_8172__FDSAUDITLINK__">{"fdsup://directions/FAT Viewer?action=UPDATE&amp;creator=factset&amp;DYN_ARGS=TRUE&amp;DOC_NAME=FAT:FQL_AUDITING_CLIENT_TEMPLATE.FAT&amp;display_string=Audit&amp;VAR:KEY=VCRALWZSZA&amp;VAR:QUERY=KFBfUFJJQ0UoMzk5OTkpLShGRl9DQVNIX1NUKFFUUiwzOTk5OSkvUF9DT01fU0hTX09VVCgzOTk5OSkpKS9GR","V9FU1RJTUFURSgnRVBTJywnTUVBTicsJ0FOTlVBTF9ST0xMJywnKzEnLDM5OTk5LCwsJycp&amp;WINDOW=FIRST_POPUP&amp;HEIGHT=450&amp;WIDTH=450&amp;START_MAXIMIZED=FALSE&amp;VAR:CALENDAR=US&amp;VAR:SYMBOL=98433210&amp;VAR:INDEX=0"}</definedName>
    <definedName name="_8173__FDSAUDITLINK__">{"fdsup://directions/FAT Viewer?action=UPDATE&amp;creator=factset&amp;DYN_ARGS=TRUE&amp;DOC_NAME=FAT:FQL_AUDITING_CLIENT_TEMPLATE.FAT&amp;display_string=Audit&amp;VAR:KEY=VCRALWZSZA&amp;VAR:QUERY=KFBfUFJJQ0UoMzk5OTkpLShGRl9DQVNIX1NUKFFUUiwzOTk5OSkvUF9DT01fU0hTX09VVCgzOTk5OSkpKS9GR","V9FU1RJTUFURSgnRVBTJywnTUVBTicsJ0FOTlVBTF9ST0xMJywnKzEnLDM5OTk5LCwsJycp&amp;WINDOW=FIRST_POPUP&amp;HEIGHT=450&amp;WIDTH=450&amp;START_MAXIMIZED=FALSE&amp;VAR:CALENDAR=US&amp;VAR:SYMBOL=98433210&amp;VAR:INDEX=0"}</definedName>
    <definedName name="_8174__FDSAUDITLINK__">{"fdsup://directions/FAT Viewer?action=UPDATE&amp;creator=factset&amp;DYN_ARGS=TRUE&amp;DOC_NAME=FAT:FQL_AUDITING_CLIENT_TEMPLATE.FAT&amp;display_string=Audit&amp;VAR:KEY=PUJSLMTKNW&amp;VAR:QUERY=KFBfUFJJQ0UoMzk5OTgpLShGRl9DQVNIX1NUKFFUUiwzOTk5OCkvUF9DT01fU0hTX09VVCgzOTk5OCkpKS9GR","V9FU1RJTUFURSgnRVBTJywnTUVBTicsJ0FOTlVBTF9ST0xMJywnKzEnLDM5OTk4LCwsJycp&amp;WINDOW=FIRST_POPUP&amp;HEIGHT=450&amp;WIDTH=450&amp;START_MAXIMIZED=FALSE&amp;VAR:CALENDAR=US&amp;VAR:SYMBOL=98433210&amp;VAR:INDEX=0"}</definedName>
    <definedName name="_8175__FDSAUDITLINK__">{"fdsup://directions/FAT Viewer?action=UPDATE&amp;creator=factset&amp;DYN_ARGS=TRUE&amp;DOC_NAME=FAT:FQL_AUDITING_CLIENT_TEMPLATE.FAT&amp;display_string=Audit&amp;VAR:KEY=PUJSLMTKNW&amp;VAR:QUERY=KFBfUFJJQ0UoMzk5OTgpLShGRl9DQVNIX1NUKFFUUiwzOTk5OCkvUF9DT01fU0hTX09VVCgzOTk5OCkpKS9GR","V9FU1RJTUFURSgnRVBTJywnTUVBTicsJ0FOTlVBTF9ST0xMJywnKzEnLDM5OTk4LCwsJycp&amp;WINDOW=FIRST_POPUP&amp;HEIGHT=450&amp;WIDTH=450&amp;START_MAXIMIZED=FALSE&amp;VAR:CALENDAR=US&amp;VAR:SYMBOL=98433210&amp;VAR:INDEX=0"}</definedName>
    <definedName name="_8176__FDSAUDITLINK__">{"fdsup://directions/FAT Viewer?action=UPDATE&amp;creator=factset&amp;DYN_ARGS=TRUE&amp;DOC_NAME=FAT:FQL_AUDITING_CLIENT_TEMPLATE.FAT&amp;display_string=Audit&amp;VAR:KEY=VAFWNCRWVC&amp;VAR:QUERY=KFBfUFJJQ0UoMzk5OTcpLShGRl9DQVNIX1NUKFFUUiwzOTk5NykvUF9DT01fU0hTX09VVCgzOTk5NykpKS9GR","V9FU1RJTUFURSgnRVBTJywnTUVBTicsJ0FOTlVBTF9ST0xMJywnKzEnLDM5OTk3LCwsJycp&amp;WINDOW=FIRST_POPUP&amp;HEIGHT=450&amp;WIDTH=450&amp;START_MAXIMIZED=FALSE&amp;VAR:CALENDAR=US&amp;VAR:SYMBOL=98433210&amp;VAR:INDEX=0"}</definedName>
    <definedName name="_8177__FDSAUDITLINK__">{"fdsup://directions/FAT Viewer?action=UPDATE&amp;creator=factset&amp;DYN_ARGS=TRUE&amp;DOC_NAME=FAT:FQL_AUDITING_CLIENT_TEMPLATE.FAT&amp;display_string=Audit&amp;VAR:KEY=VAFWNCRWVC&amp;VAR:QUERY=KFBfUFJJQ0UoMzk5OTcpLShGRl9DQVNIX1NUKFFUUiwzOTk5NykvUF9DT01fU0hTX09VVCgzOTk5NykpKS9GR","V9FU1RJTUFURSgnRVBTJywnTUVBTicsJ0FOTlVBTF9ST0xMJywnKzEnLDM5OTk3LCwsJycp&amp;WINDOW=FIRST_POPUP&amp;HEIGHT=450&amp;WIDTH=450&amp;START_MAXIMIZED=FALSE&amp;VAR:CALENDAR=US&amp;VAR:SYMBOL=98433210&amp;VAR:INDEX=0"}</definedName>
    <definedName name="_8178__FDSAUDITLINK__">{"fdsup://directions/FAT Viewer?action=UPDATE&amp;creator=factset&amp;DYN_ARGS=TRUE&amp;DOC_NAME=FAT:FQL_AUDITING_CLIENT_TEMPLATE.FAT&amp;display_string=Audit&amp;VAR:KEY=VQVMRYDANU&amp;VAR:QUERY=KFBfUFJJQ0UoMzk5OTYpLShGRl9DQVNIX1NUKFFUUiwzOTk5NikvUF9DT01fU0hTX09VVCgzOTk5NikpKS9GR","V9FU1RJTUFURSgnRVBTJywnTUVBTicsJ0FOTlVBTF9ST0xMJywnKzEnLDM5OTk2LCwsJycp&amp;WINDOW=FIRST_POPUP&amp;HEIGHT=450&amp;WIDTH=450&amp;START_MAXIMIZED=FALSE&amp;VAR:CALENDAR=US&amp;VAR:SYMBOL=98433210&amp;VAR:INDEX=0"}</definedName>
    <definedName name="_8179__FDSAUDITLINK__">{"fdsup://directions/FAT Viewer?action=UPDATE&amp;creator=factset&amp;DYN_ARGS=TRUE&amp;DOC_NAME=FAT:FQL_AUDITING_CLIENT_TEMPLATE.FAT&amp;display_string=Audit&amp;VAR:KEY=VQVMRYDANU&amp;VAR:QUERY=KFBfUFJJQ0UoMzk5OTYpLShGRl9DQVNIX1NUKFFUUiwzOTk5NikvUF9DT01fU0hTX09VVCgzOTk5NikpKS9GR","V9FU1RJTUFURSgnRVBTJywnTUVBTicsJ0FOTlVBTF9ST0xMJywnKzEnLDM5OTk2LCwsJycp&amp;WINDOW=FIRST_POPUP&amp;HEIGHT=450&amp;WIDTH=450&amp;START_MAXIMIZED=FALSE&amp;VAR:CALENDAR=US&amp;VAR:SYMBOL=98433210&amp;VAR:INDEX=0"}</definedName>
    <definedName name="_81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972"}</definedName>
    <definedName name="_8180__FDSAUDITLINK__">{"fdsup://directions/FAT Viewer?action=UPDATE&amp;creator=factset&amp;DYN_ARGS=TRUE&amp;DOC_NAME=FAT:FQL_AUDITING_CLIENT_TEMPLATE.FAT&amp;display_string=Audit&amp;VAR:KEY=ZYBGXKBQTW&amp;VAR:QUERY=KFBfUFJJQ0UoMzk5OTUpLShGRl9DQVNIX1NUKFFUUiwzOTk5NSkvUF9DT01fU0hTX09VVCgzOTk5NSkpKS9GR","V9FU1RJTUFURSgnRVBTJywnTUVBTicsJ0FOTlVBTF9ST0xMJywnKzEnLDM5OTk1LCwsJycp&amp;WINDOW=FIRST_POPUP&amp;HEIGHT=450&amp;WIDTH=450&amp;START_MAXIMIZED=FALSE&amp;VAR:CALENDAR=US&amp;VAR:SYMBOL=98433210&amp;VAR:INDEX=0"}</definedName>
    <definedName name="_8181__FDSAUDITLINK__">{"fdsup://directions/FAT Viewer?action=UPDATE&amp;creator=factset&amp;DYN_ARGS=TRUE&amp;DOC_NAME=FAT:FQL_AUDITING_CLIENT_TEMPLATE.FAT&amp;display_string=Audit&amp;VAR:KEY=ZYBGXKBQTW&amp;VAR:QUERY=KFBfUFJJQ0UoMzk5OTUpLShGRl9DQVNIX1NUKFFUUiwzOTk5NSkvUF9DT01fU0hTX09VVCgzOTk5NSkpKS9GR","V9FU1RJTUFURSgnRVBTJywnTUVBTicsJ0FOTlVBTF9ST0xMJywnKzEnLDM5OTk1LCwsJycp&amp;WINDOW=FIRST_POPUP&amp;HEIGHT=450&amp;WIDTH=450&amp;START_MAXIMIZED=FALSE&amp;VAR:CALENDAR=US&amp;VAR:SYMBOL=98433210&amp;VAR:INDEX=0"}</definedName>
    <definedName name="_8182__FDSAUDITLINK__">{"fdsup://directions/FAT Viewer?action=UPDATE&amp;creator=factset&amp;DYN_ARGS=TRUE&amp;DOC_NAME=FAT:FQL_AUDITING_CLIENT_TEMPLATE.FAT&amp;display_string=Audit&amp;VAR:KEY=BMTMNMRORA&amp;VAR:QUERY=KFBfUFJJQ0UoMzk5OTQpLShGRl9DQVNIX1NUKFFUUiwzOTk5NCkvUF9DT01fU0hTX09VVCgzOTk5NCkpKS9GR","V9FU1RJTUFURSgnRVBTJywnTUVBTicsJ0FOTlVBTF9ST0xMJywnKzEnLDM5OTk0LCwsJycp&amp;WINDOW=FIRST_POPUP&amp;HEIGHT=450&amp;WIDTH=450&amp;START_MAXIMIZED=FALSE&amp;VAR:CALENDAR=US&amp;VAR:SYMBOL=98433210&amp;VAR:INDEX=0"}</definedName>
    <definedName name="_8183__FDSAUDITLINK__">{"fdsup://directions/FAT Viewer?action=UPDATE&amp;creator=factset&amp;DYN_ARGS=TRUE&amp;DOC_NAME=FAT:FQL_AUDITING_CLIENT_TEMPLATE.FAT&amp;display_string=Audit&amp;VAR:KEY=BMTMNMRORA&amp;VAR:QUERY=KFBfUFJJQ0UoMzk5OTQpLShGRl9DQVNIX1NUKFFUUiwzOTk5NCkvUF9DT01fU0hTX09VVCgzOTk5NCkpKS9GR","V9FU1RJTUFURSgnRVBTJywnTUVBTicsJ0FOTlVBTF9ST0xMJywnKzEnLDM5OTk0LCwsJycp&amp;WINDOW=FIRST_POPUP&amp;HEIGHT=450&amp;WIDTH=450&amp;START_MAXIMIZED=FALSE&amp;VAR:CALENDAR=US&amp;VAR:SYMBOL=98433210&amp;VAR:INDEX=0"}</definedName>
    <definedName name="_8184__FDSAUDITLINK__">{"fdsup://directions/FAT Viewer?action=UPDATE&amp;creator=factset&amp;DYN_ARGS=TRUE&amp;DOC_NAME=FAT:FQL_AUDITING_CLIENT_TEMPLATE.FAT&amp;display_string=Audit&amp;VAR:KEY=VABCXMXEJQ&amp;VAR:QUERY=KFBfUFJJQ0UoMzk5OTMpLShGRl9DQVNIX1NUKFFUUiwzOTk5MykvUF9DT01fU0hTX09VVCgzOTk5MykpKS9GR","V9FU1RJTUFURSgnRVBTJywnTUVBTicsJ0FOTlVBTF9ST0xMJywnKzEnLDM5OTkzLCwsJycp&amp;WINDOW=FIRST_POPUP&amp;HEIGHT=450&amp;WIDTH=450&amp;START_MAXIMIZED=FALSE&amp;VAR:CALENDAR=US&amp;VAR:SYMBOL=98433210&amp;VAR:INDEX=0"}</definedName>
    <definedName name="_8185__FDSAUDITLINK__">{"fdsup://directions/FAT Viewer?action=UPDATE&amp;creator=factset&amp;DYN_ARGS=TRUE&amp;DOC_NAME=FAT:FQL_AUDITING_CLIENT_TEMPLATE.FAT&amp;display_string=Audit&amp;VAR:KEY=VABCXMXEJQ&amp;VAR:QUERY=KFBfUFJJQ0UoMzk5OTMpLShGRl9DQVNIX1NUKFFUUiwzOTk5MykvUF9DT01fU0hTX09VVCgzOTk5MykpKS9GR","V9FU1RJTUFURSgnRVBTJywnTUVBTicsJ0FOTlVBTF9ST0xMJywnKzEnLDM5OTkzLCwsJycp&amp;WINDOW=FIRST_POPUP&amp;HEIGHT=450&amp;WIDTH=450&amp;START_MAXIMIZED=FALSE&amp;VAR:CALENDAR=US&amp;VAR:SYMBOL=98433210&amp;VAR:INDEX=0"}</definedName>
    <definedName name="_8186__FDSAUDITLINK__">{"fdsup://directions/FAT Viewer?action=UPDATE&amp;creator=factset&amp;DYN_ARGS=TRUE&amp;DOC_NAME=FAT:FQL_AUDITING_CLIENT_TEMPLATE.FAT&amp;display_string=Audit&amp;VAR:KEY=TIJOLKRGLG&amp;VAR:QUERY=KFBfUFJJQ0UoMzk5OTIpLShGRl9DQVNIX1NUKFFUUiwzOTk5MikvUF9DT01fU0hTX09VVCgzOTk5MikpKS9GR","V9FU1RJTUFURSgnRVBTJywnTUVBTicsJ0FOTlVBTF9ST0xMJywnKzEnLDM5OTkyLCwsJycp&amp;WINDOW=FIRST_POPUP&amp;HEIGHT=450&amp;WIDTH=450&amp;START_MAXIMIZED=FALSE&amp;VAR:CALENDAR=US&amp;VAR:SYMBOL=98433210&amp;VAR:INDEX=0"}</definedName>
    <definedName name="_8187__FDSAUDITLINK__">{"fdsup://directions/FAT Viewer?action=UPDATE&amp;creator=factset&amp;DYN_ARGS=TRUE&amp;DOC_NAME=FAT:FQL_AUDITING_CLIENT_TEMPLATE.FAT&amp;display_string=Audit&amp;VAR:KEY=TIJOLKRGLG&amp;VAR:QUERY=KFBfUFJJQ0UoMzk5OTIpLShGRl9DQVNIX1NUKFFUUiwzOTk5MikvUF9DT01fU0hTX09VVCgzOTk5MikpKS9GR","V9FU1RJTUFURSgnRVBTJywnTUVBTicsJ0FOTlVBTF9ST0xMJywnKzEnLDM5OTkyLCwsJycp&amp;WINDOW=FIRST_POPUP&amp;HEIGHT=450&amp;WIDTH=450&amp;START_MAXIMIZED=FALSE&amp;VAR:CALENDAR=US&amp;VAR:SYMBOL=98433210&amp;VAR:INDEX=0"}</definedName>
    <definedName name="_8188__FDSAUDITLINK__">{"fdsup://directions/FAT Viewer?action=UPDATE&amp;creator=factset&amp;DYN_ARGS=TRUE&amp;DOC_NAME=FAT:FQL_AUDITING_CLIENT_TEMPLATE.FAT&amp;display_string=Audit&amp;VAR:KEY=PQHELSPSNS&amp;VAR:QUERY=KFBfUFJJQ0UoMzk5OTEpLShGRl9DQVNIX1NUKFFUUiwzOTk5MSkvUF9DT01fU0hTX09VVCgzOTk5MSkpKS9GR","V9FU1RJTUFURSgnRVBTJywnTUVBTicsJ0FOTlVBTF9ST0xMJywnKzEnLDM5OTkxLCwsJycp&amp;WINDOW=FIRST_POPUP&amp;HEIGHT=450&amp;WIDTH=450&amp;START_MAXIMIZED=FALSE&amp;VAR:CALENDAR=US&amp;VAR:SYMBOL=98433210&amp;VAR:INDEX=0"}</definedName>
    <definedName name="_8189__FDSAUDITLINK__">{"fdsup://directions/FAT Viewer?action=UPDATE&amp;creator=factset&amp;DYN_ARGS=TRUE&amp;DOC_NAME=FAT:FQL_AUDITING_CLIENT_TEMPLATE.FAT&amp;display_string=Audit&amp;VAR:KEY=PQHELSPSNS&amp;VAR:QUERY=KFBfUFJJQ0UoMzk5OTEpLShGRl9DQVNIX1NUKFFUUiwzOTk5MSkvUF9DT01fU0hTX09VVCgzOTk5MSkpKS9GR","V9FU1RJTUFURSgnRVBTJywnTUVBTicsJ0FOTlVBTF9ST0xMJywnKzEnLDM5OTkxLCwsJycp&amp;WINDOW=FIRST_POPUP&amp;HEIGHT=450&amp;WIDTH=450&amp;START_MAXIMIZED=FALSE&amp;VAR:CALENDAR=US&amp;VAR:SYMBOL=98433210&amp;VAR:INDEX=0"}</definedName>
    <definedName name="_81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971"}</definedName>
    <definedName name="_8190__FDSAUDITLINK__">{"fdsup://directions/FAT Viewer?action=UPDATE&amp;creator=factset&amp;DYN_ARGS=TRUE&amp;DOC_NAME=FAT:FQL_AUDITING_CLIENT_TEMPLATE.FAT&amp;display_string=Audit&amp;VAR:KEY=XQJAHORWXS&amp;VAR:QUERY=KFBfUFJJQ0UoMzk5OTApLShGRl9DQVNIX1NUKFFUUiwzOTk5MCkvUF9DT01fU0hTX09VVCgzOTk5MCkpKS9GR","V9FU1RJTUFURSgnRVBTJywnTUVBTicsJ0FOTlVBTF9ST0xMJywnKzEnLDM5OTkwLCwsJycp&amp;WINDOW=FIRST_POPUP&amp;HEIGHT=450&amp;WIDTH=450&amp;START_MAXIMIZED=FALSE&amp;VAR:CALENDAR=US&amp;VAR:SYMBOL=98433210&amp;VAR:INDEX=0"}</definedName>
    <definedName name="_8191__FDSAUDITLINK__">{"fdsup://directions/FAT Viewer?action=UPDATE&amp;creator=factset&amp;DYN_ARGS=TRUE&amp;DOC_NAME=FAT:FQL_AUDITING_CLIENT_TEMPLATE.FAT&amp;display_string=Audit&amp;VAR:KEY=XQJAHORWXS&amp;VAR:QUERY=KFBfUFJJQ0UoMzk5OTApLShGRl9DQVNIX1NUKFFUUiwzOTk5MCkvUF9DT01fU0hTX09VVCgzOTk5MCkpKS9GR","V9FU1RJTUFURSgnRVBTJywnTUVBTicsJ0FOTlVBTF9ST0xMJywnKzEnLDM5OTkwLCwsJycp&amp;WINDOW=FIRST_POPUP&amp;HEIGHT=450&amp;WIDTH=450&amp;START_MAXIMIZED=FALSE&amp;VAR:CALENDAR=US&amp;VAR:SYMBOL=98433210&amp;VAR:INDEX=0"}</definedName>
    <definedName name="_8192__FDSAUDITLINK__">{"fdsup://directions/FAT Viewer?action=UPDATE&amp;creator=factset&amp;DYN_ARGS=TRUE&amp;DOC_NAME=FAT:FQL_AUDITING_CLIENT_TEMPLATE.FAT&amp;display_string=Audit&amp;VAR:KEY=LQRCPADONS&amp;VAR:QUERY=KFBfUFJJQ0UoMzk5ODkpLShGRl9DQVNIX1NUKFFUUiwzOTk4OSkvUF9DT01fU0hTX09VVCgzOTk4OSkpKS9GR","V9FU1RJTUFURSgnRVBTJywnTUVBTicsJ0FOTlVBTF9ST0xMJywnKzEnLDM5OTg5LCwsJycp&amp;WINDOW=FIRST_POPUP&amp;HEIGHT=450&amp;WIDTH=450&amp;START_MAXIMIZED=FALSE&amp;VAR:CALENDAR=US&amp;VAR:SYMBOL=98433210&amp;VAR:INDEX=0"}</definedName>
    <definedName name="_8193__FDSAUDITLINK__">{"fdsup://directions/FAT Viewer?action=UPDATE&amp;creator=factset&amp;DYN_ARGS=TRUE&amp;DOC_NAME=FAT:FQL_AUDITING_CLIENT_TEMPLATE.FAT&amp;display_string=Audit&amp;VAR:KEY=LQRCPADONS&amp;VAR:QUERY=KFBfUFJJQ0UoMzk5ODkpLShGRl9DQVNIX1NUKFFUUiwzOTk4OSkvUF9DT01fU0hTX09VVCgzOTk4OSkpKS9GR","V9FU1RJTUFURSgnRVBTJywnTUVBTicsJ0FOTlVBTF9ST0xMJywnKzEnLDM5OTg5LCwsJycp&amp;WINDOW=FIRST_POPUP&amp;HEIGHT=450&amp;WIDTH=450&amp;START_MAXIMIZED=FALSE&amp;VAR:CALENDAR=US&amp;VAR:SYMBOL=98433210&amp;VAR:INDEX=0"}</definedName>
    <definedName name="_8194__FDSAUDITLINK__">{"fdsup://directions/FAT Viewer?action=UPDATE&amp;creator=factset&amp;DYN_ARGS=TRUE&amp;DOC_NAME=FAT:FQL_AUDITING_CLIENT_TEMPLATE.FAT&amp;display_string=Audit&amp;VAR:KEY=VOPSZIJMDW&amp;VAR:QUERY=KFBfUFJJQ0UoMzk5ODgpLShGRl9DQVNIX1NUKFFUUiwzOTk4OCkvUF9DT01fU0hTX09VVCgzOTk4OCkpKS9GR","V9FU1RJTUFURSgnRVBTJywnTUVBTicsJ0FOTlVBTF9ST0xMJywnKzEnLDM5OTg4LCwsJycp&amp;WINDOW=FIRST_POPUP&amp;HEIGHT=450&amp;WIDTH=450&amp;START_MAXIMIZED=FALSE&amp;VAR:CALENDAR=US&amp;VAR:SYMBOL=98433210&amp;VAR:INDEX=0"}</definedName>
    <definedName name="_8195__FDSAUDITLINK__">{"fdsup://directions/FAT Viewer?action=UPDATE&amp;creator=factset&amp;DYN_ARGS=TRUE&amp;DOC_NAME=FAT:FQL_AUDITING_CLIENT_TEMPLATE.FAT&amp;display_string=Audit&amp;VAR:KEY=VOPSZIJMDW&amp;VAR:QUERY=KFBfUFJJQ0UoMzk5ODgpLShGRl9DQVNIX1NUKFFUUiwzOTk4OCkvUF9DT01fU0hTX09VVCgzOTk4OCkpKS9GR","V9FU1RJTUFURSgnRVBTJywnTUVBTicsJ0FOTlVBTF9ST0xMJywnKzEnLDM5OTg4LCwsJycp&amp;WINDOW=FIRST_POPUP&amp;HEIGHT=450&amp;WIDTH=450&amp;START_MAXIMIZED=FALSE&amp;VAR:CALENDAR=US&amp;VAR:SYMBOL=98433210&amp;VAR:INDEX=0"}</definedName>
    <definedName name="_8196__FDSAUDITLINK__">{"fdsup://directions/FAT Viewer?action=UPDATE&amp;creator=factset&amp;DYN_ARGS=TRUE&amp;DOC_NAME=FAT:FQL_AUDITING_CLIENT_TEMPLATE.FAT&amp;display_string=Audit&amp;VAR:KEY=XOZAPGRCXM&amp;VAR:QUERY=KFBfUFJJQ0UoMzk5ODcpLShGRl9DQVNIX1NUKFFUUiwzOTk4NykvUF9DT01fU0hTX09VVCgzOTk4NykpKS9GR","V9FU1RJTUFURSgnRVBTJywnTUVBTicsJ0FOTlVBTF9ST0xMJywnKzEnLDM5OTg3LCwsJycp&amp;WINDOW=FIRST_POPUP&amp;HEIGHT=450&amp;WIDTH=450&amp;START_MAXIMIZED=FALSE&amp;VAR:CALENDAR=US&amp;VAR:SYMBOL=98433210&amp;VAR:INDEX=0"}</definedName>
    <definedName name="_8197__FDSAUDITLINK__">{"fdsup://directions/FAT Viewer?action=UPDATE&amp;creator=factset&amp;DYN_ARGS=TRUE&amp;DOC_NAME=FAT:FQL_AUDITING_CLIENT_TEMPLATE.FAT&amp;display_string=Audit&amp;VAR:KEY=XOZAPGRCXM&amp;VAR:QUERY=KFBfUFJJQ0UoMzk5ODcpLShGRl9DQVNIX1NUKFFUUiwzOTk4NykvUF9DT01fU0hTX09VVCgzOTk4NykpKS9GR","V9FU1RJTUFURSgnRVBTJywnTUVBTicsJ0FOTlVBTF9ST0xMJywnKzEnLDM5OTg3LCwsJycp&amp;WINDOW=FIRST_POPUP&amp;HEIGHT=450&amp;WIDTH=450&amp;START_MAXIMIZED=FALSE&amp;VAR:CALENDAR=US&amp;VAR:SYMBOL=98433210&amp;VAR:INDEX=0"}</definedName>
    <definedName name="_8198__FDSAUDITLINK__">{"fdsup://directions/FAT Viewer?action=UPDATE&amp;creator=factset&amp;DYN_ARGS=TRUE&amp;DOC_NAME=FAT:FQL_AUDITING_CLIENT_TEMPLATE.FAT&amp;display_string=Audit&amp;VAR:KEY=FIFAXSXUFU&amp;VAR:QUERY=KFBfUFJJQ0UoMzk5ODYpLShGRl9DQVNIX1NUKFFUUiwzOTk4NikvUF9DT01fU0hTX09VVCgzOTk4NikpKS9GR","V9FU1RJTUFURSgnRVBTJywnTUVBTicsJ0FOTlVBTF9ST0xMJywnKzEnLDM5OTg2LCwsJycp&amp;WINDOW=FIRST_POPUP&amp;HEIGHT=450&amp;WIDTH=450&amp;START_MAXIMIZED=FALSE&amp;VAR:CALENDAR=US&amp;VAR:SYMBOL=98433210&amp;VAR:INDEX=0"}</definedName>
    <definedName name="_8199__FDSAUDITLINK__">{"fdsup://directions/FAT Viewer?action=UPDATE&amp;creator=factset&amp;DYN_ARGS=TRUE&amp;DOC_NAME=FAT:FQL_AUDITING_CLIENT_TEMPLATE.FAT&amp;display_string=Audit&amp;VAR:KEY=FIFAXSXUFU&amp;VAR:QUERY=KFBfUFJJQ0UoMzk5ODYpLShGRl9DQVNIX1NUKFFUUiwzOTk4NikvUF9DT01fU0hTX09VVCgzOTk4NikpKS9GR","V9FU1RJTUFURSgnRVBTJywnTUVBTicsJ0FOTlVBTF9ST0xMJywnKzEnLDM5OTg2LCwsJycp&amp;WINDOW=FIRST_POPUP&amp;HEIGHT=450&amp;WIDTH=450&amp;START_MAXIMIZED=FALSE&amp;VAR:CALENDAR=US&amp;VAR:SYMBOL=98433210&amp;VAR:INDEX=0"}</definedName>
    <definedName name="_8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18.629989&amp;VAR:V0=21.095953&amp;VAR:V1=18.629989&amp;VAR:Y0=2003&amp;VAR:Y1=2004&amp;VAR:P=1111.915800&amp;VAR:DATE=20031231&amp;VAR:THRESH=-|-|","-|-|-|-|-"}</definedName>
    <definedName name="_82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970"}</definedName>
    <definedName name="_8200__FDSAUDITLINK__">{"fdsup://directions/FAT Viewer?action=UPDATE&amp;creator=factset&amp;DYN_ARGS=TRUE&amp;DOC_NAME=FAT:FQL_AUDITING_CLIENT_TEMPLATE.FAT&amp;display_string=Audit&amp;VAR:KEY=HCZQHYDSFO&amp;VAR:QUERY=KFBfUFJJQ0UoMzk5ODUpLShGRl9DQVNIX1NUKFFUUiwzOTk4NSkvUF9DT01fU0hTX09VVCgzOTk4NSkpKS9GR","V9FU1RJTUFURSgnRVBTJywnTUVBTicsJ0FOTlVBTF9ST0xMJywnKzEnLDM5OTg1LCwsJycp&amp;WINDOW=FIRST_POPUP&amp;HEIGHT=450&amp;WIDTH=450&amp;START_MAXIMIZED=FALSE&amp;VAR:CALENDAR=US&amp;VAR:SYMBOL=98433210&amp;VAR:INDEX=0"}</definedName>
    <definedName name="_8201__FDSAUDITLINK__">{"fdsup://directions/FAT Viewer?action=UPDATE&amp;creator=factset&amp;DYN_ARGS=TRUE&amp;DOC_NAME=FAT:FQL_AUDITING_CLIENT_TEMPLATE.FAT&amp;display_string=Audit&amp;VAR:KEY=HCZQHYDSFO&amp;VAR:QUERY=KFBfUFJJQ0UoMzk5ODUpLShGRl9DQVNIX1NUKFFUUiwzOTk4NSkvUF9DT01fU0hTX09VVCgzOTk4NSkpKS9GR","V9FU1RJTUFURSgnRVBTJywnTUVBTicsJ0FOTlVBTF9ST0xMJywnKzEnLDM5OTg1LCwsJycp&amp;WINDOW=FIRST_POPUP&amp;HEIGHT=450&amp;WIDTH=450&amp;START_MAXIMIZED=FALSE&amp;VAR:CALENDAR=US&amp;VAR:SYMBOL=98433210&amp;VAR:INDEX=0"}</definedName>
    <definedName name="_8202__FDSAUDITLINK__">{"fdsup://directions/FAT Viewer?action=UPDATE&amp;creator=factset&amp;DYN_ARGS=TRUE&amp;DOC_NAME=FAT:FQL_AUDITING_CLIENT_TEMPLATE.FAT&amp;display_string=Audit&amp;VAR:KEY=LWDMLENMLA&amp;VAR:QUERY=KFBfUFJJQ0UoMzk5ODQpLShGRl9DQVNIX1NUKFFUUiwzOTk4NCkvUF9DT01fU0hTX09VVCgzOTk4NCkpKS9GR","V9FU1RJTUFURSgnRVBTJywnTUVBTicsJ0FOTlVBTF9ST0xMJywnKzEnLDM5OTg0LCwsJycp&amp;WINDOW=FIRST_POPUP&amp;HEIGHT=450&amp;WIDTH=450&amp;START_MAXIMIZED=FALSE&amp;VAR:CALENDAR=US&amp;VAR:SYMBOL=98433210&amp;VAR:INDEX=0"}</definedName>
    <definedName name="_8203__FDSAUDITLINK__">{"fdsup://directions/FAT Viewer?action=UPDATE&amp;creator=factset&amp;DYN_ARGS=TRUE&amp;DOC_NAME=FAT:FQL_AUDITING_CLIENT_TEMPLATE.FAT&amp;display_string=Audit&amp;VAR:KEY=LWDMLENMLA&amp;VAR:QUERY=KFBfUFJJQ0UoMzk5ODQpLShGRl9DQVNIX1NUKFFUUiwzOTk4NCkvUF9DT01fU0hTX09VVCgzOTk4NCkpKS9GR","V9FU1RJTUFURSgnRVBTJywnTUVBTicsJ0FOTlVBTF9ST0xMJywnKzEnLDM5OTg0LCwsJycp&amp;WINDOW=FIRST_POPUP&amp;HEIGHT=450&amp;WIDTH=450&amp;START_MAXIMIZED=FALSE&amp;VAR:CALENDAR=US&amp;VAR:SYMBOL=98433210&amp;VAR:INDEX=0"}</definedName>
    <definedName name="_8204__FDSAUDITLINK__">{"fdsup://directions/FAT Viewer?action=UPDATE&amp;creator=factset&amp;DYN_ARGS=TRUE&amp;DOC_NAME=FAT:FQL_AUDITING_CLIENT_TEMPLATE.FAT&amp;display_string=Audit&amp;VAR:KEY=PCLYLYDIBI&amp;VAR:QUERY=KFBfUFJJQ0UoMzk5ODMpLShGRl9DQVNIX1NUKFFUUiwzOTk4MykvUF9DT01fU0hTX09VVCgzOTk4MykpKS9GR","V9FU1RJTUFURSgnRVBTJywnTUVBTicsJ0FOTlVBTF9ST0xMJywnKzEnLDM5OTgzLCwsJycp&amp;WINDOW=FIRST_POPUP&amp;HEIGHT=450&amp;WIDTH=450&amp;START_MAXIMIZED=FALSE&amp;VAR:CALENDAR=US&amp;VAR:SYMBOL=98433210&amp;VAR:INDEX=0"}</definedName>
    <definedName name="_8205__FDSAUDITLINK__">{"fdsup://directions/FAT Viewer?action=UPDATE&amp;creator=factset&amp;DYN_ARGS=TRUE&amp;DOC_NAME=FAT:FQL_AUDITING_CLIENT_TEMPLATE.FAT&amp;display_string=Audit&amp;VAR:KEY=PCLYLYDIBI&amp;VAR:QUERY=KFBfUFJJQ0UoMzk5ODMpLShGRl9DQVNIX1NUKFFUUiwzOTk4MykvUF9DT01fU0hTX09VVCgzOTk4MykpKS9GR","V9FU1RJTUFURSgnRVBTJywnTUVBTicsJ0FOTlVBTF9ST0xMJywnKzEnLDM5OTgzLCwsJycp&amp;WINDOW=FIRST_POPUP&amp;HEIGHT=450&amp;WIDTH=450&amp;START_MAXIMIZED=FALSE&amp;VAR:CALENDAR=US&amp;VAR:SYMBOL=98433210&amp;VAR:INDEX=0"}</definedName>
    <definedName name="_8206__FDSAUDITLINK__">{"fdsup://directions/FAT Viewer?action=UPDATE&amp;creator=factset&amp;DYN_ARGS=TRUE&amp;DOC_NAME=FAT:FQL_AUDITING_CLIENT_TEMPLATE.FAT&amp;display_string=Audit&amp;VAR:KEY=FODWPKRKBM&amp;VAR:QUERY=KFBfUFJJQ0UoMzk5ODIpLShGRl9DQVNIX1NUKFFUUiwzOTk4MikvUF9DT01fU0hTX09VVCgzOTk4MikpKS9GR","V9FU1RJTUFURSgnRVBTJywnTUVBTicsJ0FOTlVBTF9ST0xMJywnKzEnLDM5OTgyLCwsJycp&amp;WINDOW=FIRST_POPUP&amp;HEIGHT=450&amp;WIDTH=450&amp;START_MAXIMIZED=FALSE&amp;VAR:CALENDAR=US&amp;VAR:SYMBOL=98433210&amp;VAR:INDEX=0"}</definedName>
    <definedName name="_8207__FDSAUDITLINK__">{"fdsup://directions/FAT Viewer?action=UPDATE&amp;creator=factset&amp;DYN_ARGS=TRUE&amp;DOC_NAME=FAT:FQL_AUDITING_CLIENT_TEMPLATE.FAT&amp;display_string=Audit&amp;VAR:KEY=FODWPKRKBM&amp;VAR:QUERY=KFBfUFJJQ0UoMzk5ODIpLShGRl9DQVNIX1NUKFFUUiwzOTk4MikvUF9DT01fU0hTX09VVCgzOTk4MikpKS9GR","V9FU1RJTUFURSgnRVBTJywnTUVBTicsJ0FOTlVBTF9ST0xMJywnKzEnLDM5OTgyLCwsJycp&amp;WINDOW=FIRST_POPUP&amp;HEIGHT=450&amp;WIDTH=450&amp;START_MAXIMIZED=FALSE&amp;VAR:CALENDAR=US&amp;VAR:SYMBOL=98433210&amp;VAR:INDEX=0"}</definedName>
    <definedName name="_8208__FDSAUDITLINK__">{"fdsup://directions/FAT Viewer?action=UPDATE&amp;creator=factset&amp;DYN_ARGS=TRUE&amp;DOC_NAME=FAT:FQL_AUDITING_CLIENT_TEMPLATE.FAT&amp;display_string=Audit&amp;VAR:KEY=FQPCRUBCFW&amp;VAR:QUERY=KFBfUFJJQ0UoMzk5ODEpLShGRl9DQVNIX1NUKFFUUiwzOTk4MSkvUF9DT01fU0hTX09VVCgzOTk4MSkpKS9GR","V9FU1RJTUFURSgnRVBTJywnTUVBTicsJ0FOTlVBTF9ST0xMJywnKzEnLDM5OTgxLCwsJycp&amp;WINDOW=FIRST_POPUP&amp;HEIGHT=450&amp;WIDTH=450&amp;START_MAXIMIZED=FALSE&amp;VAR:CALENDAR=US&amp;VAR:SYMBOL=98433210&amp;VAR:INDEX=0"}</definedName>
    <definedName name="_8209__FDSAUDITLINK__">{"fdsup://directions/FAT Viewer?action=UPDATE&amp;creator=factset&amp;DYN_ARGS=TRUE&amp;DOC_NAME=FAT:FQL_AUDITING_CLIENT_TEMPLATE.FAT&amp;display_string=Audit&amp;VAR:KEY=FQPCRUBCFW&amp;VAR:QUERY=KFBfUFJJQ0UoMzk5ODEpLShGRl9DQVNIX1NUKFFUUiwzOTk4MSkvUF9DT01fU0hTX09VVCgzOTk4MSkpKS9GR","V9FU1RJTUFURSgnRVBTJywnTUVBTicsJ0FOTlVBTF9ST0xMJywnKzEnLDM5OTgxLCwsJycp&amp;WINDOW=FIRST_POPUP&amp;HEIGHT=450&amp;WIDTH=450&amp;START_MAXIMIZED=FALSE&amp;VAR:CALENDAR=US&amp;VAR:SYMBOL=98433210&amp;VAR:INDEX=0"}</definedName>
    <definedName name="_82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969"}</definedName>
    <definedName name="_8210__FDSAUDITLINK__">{"fdsup://directions/FAT Viewer?action=UPDATE&amp;creator=factset&amp;DYN_ARGS=TRUE&amp;DOC_NAME=FAT:FQL_AUDITING_CLIENT_TEMPLATE.FAT&amp;display_string=Audit&amp;VAR:KEY=XKHKFMPUDG&amp;VAR:QUERY=KFBfUFJJQ0UoMzk5ODApLShGRl9DQVNIX1NUKFFUUiwzOTk4MCkvUF9DT01fU0hTX09VVCgzOTk4MCkpKS9GR","V9FU1RJTUFURSgnRVBTJywnTUVBTicsJ0FOTlVBTF9ST0xMJywnKzEnLDM5OTgwLCwsJycp&amp;WINDOW=FIRST_POPUP&amp;HEIGHT=450&amp;WIDTH=450&amp;START_MAXIMIZED=FALSE&amp;VAR:CALENDAR=US&amp;VAR:SYMBOL=98433210&amp;VAR:INDEX=0"}</definedName>
    <definedName name="_8211__FDSAUDITLINK__">{"fdsup://directions/FAT Viewer?action=UPDATE&amp;creator=factset&amp;DYN_ARGS=TRUE&amp;DOC_NAME=FAT:FQL_AUDITING_CLIENT_TEMPLATE.FAT&amp;display_string=Audit&amp;VAR:KEY=XKHKFMPUDG&amp;VAR:QUERY=KFBfUFJJQ0UoMzk5ODApLShGRl9DQVNIX1NUKFFUUiwzOTk4MCkvUF9DT01fU0hTX09VVCgzOTk4MCkpKS9GR","V9FU1RJTUFURSgnRVBTJywnTUVBTicsJ0FOTlVBTF9ST0xMJywnKzEnLDM5OTgwLCwsJycp&amp;WINDOW=FIRST_POPUP&amp;HEIGHT=450&amp;WIDTH=450&amp;START_MAXIMIZED=FALSE&amp;VAR:CALENDAR=US&amp;VAR:SYMBOL=98433210&amp;VAR:INDEX=0"}</definedName>
    <definedName name="_8212__FDSAUDITLINK__">{"fdsup://directions/FAT Viewer?action=UPDATE&amp;creator=factset&amp;DYN_ARGS=TRUE&amp;DOC_NAME=FAT:FQL_AUDITING_CLIENT_TEMPLATE.FAT&amp;display_string=Audit&amp;VAR:KEY=NADMVEREPU&amp;VAR:QUERY=KFBfUFJJQ0UoMzk5NzkpLShGRl9DQVNIX1NUKFFUUiwzOTk3OSkvUF9DT01fU0hTX09VVCgzOTk3OSkpKS9GR","V9FU1RJTUFURSgnRVBTJywnTUVBTicsJ0FOTlVBTF9ST0xMJywnKzEnLDM5OTc5LCwsJycp&amp;WINDOW=FIRST_POPUP&amp;HEIGHT=450&amp;WIDTH=450&amp;START_MAXIMIZED=FALSE&amp;VAR:CALENDAR=US&amp;VAR:SYMBOL=98433210&amp;VAR:INDEX=0"}</definedName>
    <definedName name="_8213__FDSAUDITLINK__">{"fdsup://directions/FAT Viewer?action=UPDATE&amp;creator=factset&amp;DYN_ARGS=TRUE&amp;DOC_NAME=FAT:FQL_AUDITING_CLIENT_TEMPLATE.FAT&amp;display_string=Audit&amp;VAR:KEY=NADMVEREPU&amp;VAR:QUERY=KFBfUFJJQ0UoMzk5NzkpLShGRl9DQVNIX1NUKFFUUiwzOTk3OSkvUF9DT01fU0hTX09VVCgzOTk3OSkpKS9GR","V9FU1RJTUFURSgnRVBTJywnTUVBTicsJ0FOTlVBTF9ST0xMJywnKzEnLDM5OTc5LCwsJycp&amp;WINDOW=FIRST_POPUP&amp;HEIGHT=450&amp;WIDTH=450&amp;START_MAXIMIZED=FALSE&amp;VAR:CALENDAR=US&amp;VAR:SYMBOL=98433210&amp;VAR:INDEX=0"}</definedName>
    <definedName name="_8214__FDSAUDITLINK__">{"fdsup://directions/FAT Viewer?action=UPDATE&amp;creator=factset&amp;DYN_ARGS=TRUE&amp;DOC_NAME=FAT:FQL_AUDITING_CLIENT_TEMPLATE.FAT&amp;display_string=Audit&amp;VAR:KEY=XSVKVUTMDS&amp;VAR:QUERY=KFBfUFJJQ0UoMzk5NzgpLShGRl9DQVNIX1NUKFFUUiwzOTk3OCkvUF9DT01fU0hTX09VVCgzOTk3OCkpKS9GR","V9FU1RJTUFURSgnRVBTJywnTUVBTicsJ0FOTlVBTF9ST0xMJywnKzEnLDM5OTc4LCwsJycp&amp;WINDOW=FIRST_POPUP&amp;HEIGHT=450&amp;WIDTH=450&amp;START_MAXIMIZED=FALSE&amp;VAR:CALENDAR=US&amp;VAR:SYMBOL=98433210&amp;VAR:INDEX=0"}</definedName>
    <definedName name="_8215__FDSAUDITLINK__">{"fdsup://directions/FAT Viewer?action=UPDATE&amp;creator=factset&amp;DYN_ARGS=TRUE&amp;DOC_NAME=FAT:FQL_AUDITING_CLIENT_TEMPLATE.FAT&amp;display_string=Audit&amp;VAR:KEY=XSVKVUTMDS&amp;VAR:QUERY=KFBfUFJJQ0UoMzk5NzgpLShGRl9DQVNIX1NUKFFUUiwzOTk3OCkvUF9DT01fU0hTX09VVCgzOTk3OCkpKS9GR","V9FU1RJTUFURSgnRVBTJywnTUVBTicsJ0FOTlVBTF9ST0xMJywnKzEnLDM5OTc4LCwsJycp&amp;WINDOW=FIRST_POPUP&amp;HEIGHT=450&amp;WIDTH=450&amp;START_MAXIMIZED=FALSE&amp;VAR:CALENDAR=US&amp;VAR:SYMBOL=98433210&amp;VAR:INDEX=0"}</definedName>
    <definedName name="_8216__FDSAUDITLINK__">{"fdsup://directions/FAT Viewer?action=UPDATE&amp;creator=factset&amp;DYN_ARGS=TRUE&amp;DOC_NAME=FAT:FQL_AUDITING_CLIENT_TEMPLATE.FAT&amp;display_string=Audit&amp;VAR:KEY=XEDYDAHQFO&amp;VAR:QUERY=KFBfUFJJQ0UoMzk5NzcpLShGRl9DQVNIX1NUKFFUUiwzOTk3NykvUF9DT01fU0hTX09VVCgzOTk3NykpKS9GR","V9FU1RJTUFURSgnRVBTJywnTUVBTicsJ0FOTlVBTF9ST0xMJywnKzEnLDM5OTc3LCwsJycp&amp;WINDOW=FIRST_POPUP&amp;HEIGHT=450&amp;WIDTH=450&amp;START_MAXIMIZED=FALSE&amp;VAR:CALENDAR=US&amp;VAR:SYMBOL=98433210&amp;VAR:INDEX=0"}</definedName>
    <definedName name="_8217__FDSAUDITLINK__">{"fdsup://directions/FAT Viewer?action=UPDATE&amp;creator=factset&amp;DYN_ARGS=TRUE&amp;DOC_NAME=FAT:FQL_AUDITING_CLIENT_TEMPLATE.FAT&amp;display_string=Audit&amp;VAR:KEY=XEDYDAHQFO&amp;VAR:QUERY=KFBfUFJJQ0UoMzk5NzcpLShGRl9DQVNIX1NUKFFUUiwzOTk3NykvUF9DT01fU0hTX09VVCgzOTk3NykpKS9GR","V9FU1RJTUFURSgnRVBTJywnTUVBTicsJ0FOTlVBTF9ST0xMJywnKzEnLDM5OTc3LCwsJycp&amp;WINDOW=FIRST_POPUP&amp;HEIGHT=450&amp;WIDTH=450&amp;START_MAXIMIZED=FALSE&amp;VAR:CALENDAR=US&amp;VAR:SYMBOL=98433210&amp;VAR:INDEX=0"}</definedName>
    <definedName name="_8218__FDSAUDITLINK__">{"fdsup://directions/FAT Viewer?action=UPDATE&amp;creator=factset&amp;DYN_ARGS=TRUE&amp;DOC_NAME=FAT:FQL_AUDITING_CLIENT_TEMPLATE.FAT&amp;display_string=Audit&amp;VAR:KEY=BWZWLCXCNW&amp;VAR:QUERY=KFBfUFJJQ0UoMzk5NzYpLShGRl9DQVNIX1NUKFFUUiwzOTk3NikvUF9DT01fU0hTX09VVCgzOTk3NikpKS9GR","V9FU1RJTUFURSgnRVBTJywnTUVBTicsJ0FOTlVBTF9ST0xMJywnKzEnLDM5OTc2LCwsJycp&amp;WINDOW=FIRST_POPUP&amp;HEIGHT=450&amp;WIDTH=450&amp;START_MAXIMIZED=FALSE&amp;VAR:CALENDAR=US&amp;VAR:SYMBOL=98433210&amp;VAR:INDEX=0"}</definedName>
    <definedName name="_8219__FDSAUDITLINK__">{"fdsup://directions/FAT Viewer?action=UPDATE&amp;creator=factset&amp;DYN_ARGS=TRUE&amp;DOC_NAME=FAT:FQL_AUDITING_CLIENT_TEMPLATE.FAT&amp;display_string=Audit&amp;VAR:KEY=BWZWLCXCNW&amp;VAR:QUERY=KFBfUFJJQ0UoMzk5NzYpLShGRl9DQVNIX1NUKFFUUiwzOTk3NikvUF9DT01fU0hTX09VVCgzOTk3NikpKS9GR","V9FU1RJTUFURSgnRVBTJywnTUVBTicsJ0FOTlVBTF9ST0xMJywnKzEnLDM5OTc2LCwsJycp&amp;WINDOW=FIRST_POPUP&amp;HEIGHT=450&amp;WIDTH=450&amp;START_MAXIMIZED=FALSE&amp;VAR:CALENDAR=US&amp;VAR:SYMBOL=98433210&amp;VAR:INDEX=0"}</definedName>
    <definedName name="_82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968"}</definedName>
    <definedName name="_8220__FDSAUDITLINK__">{"fdsup://directions/FAT Viewer?action=UPDATE&amp;creator=factset&amp;DYN_ARGS=TRUE&amp;DOC_NAME=FAT:FQL_AUDITING_CLIENT_TEMPLATE.FAT&amp;display_string=Audit&amp;VAR:KEY=TGJKJADSBO&amp;VAR:QUERY=KFBfUFJJQ0UoMzk5NzUpLShGRl9DQVNIX1NUKFFUUiwzOTk3NSkvUF9DT01fU0hTX09VVCgzOTk3NSkpKS9GR","V9FU1RJTUFURSgnRVBTJywnTUVBTicsJ0FOTlVBTF9ST0xMJywnKzEnLDM5OTc1LCwsJycp&amp;WINDOW=FIRST_POPUP&amp;HEIGHT=450&amp;WIDTH=450&amp;START_MAXIMIZED=FALSE&amp;VAR:CALENDAR=US&amp;VAR:SYMBOL=98433210&amp;VAR:INDEX=0"}</definedName>
    <definedName name="_8221__FDSAUDITLINK__">{"fdsup://directions/FAT Viewer?action=UPDATE&amp;creator=factset&amp;DYN_ARGS=TRUE&amp;DOC_NAME=FAT:FQL_AUDITING_CLIENT_TEMPLATE.FAT&amp;display_string=Audit&amp;VAR:KEY=TGJKJADSBO&amp;VAR:QUERY=KFBfUFJJQ0UoMzk5NzUpLShGRl9DQVNIX1NUKFFUUiwzOTk3NSkvUF9DT01fU0hTX09VVCgzOTk3NSkpKS9GR","V9FU1RJTUFURSgnRVBTJywnTUVBTicsJ0FOTlVBTF9ST0xMJywnKzEnLDM5OTc1LCwsJycp&amp;WINDOW=FIRST_POPUP&amp;HEIGHT=450&amp;WIDTH=450&amp;START_MAXIMIZED=FALSE&amp;VAR:CALENDAR=US&amp;VAR:SYMBOL=98433210&amp;VAR:INDEX=0"}</definedName>
    <definedName name="_8222__FDSAUDITLINK__">{"fdsup://directions/FAT Viewer?action=UPDATE&amp;creator=factset&amp;DYN_ARGS=TRUE&amp;DOC_NAME=FAT:FQL_AUDITING_CLIENT_TEMPLATE.FAT&amp;display_string=Audit&amp;VAR:KEY=RGHMPGZOHY&amp;VAR:QUERY=KFBfUFJJQ0UoMzk5NzQpLShGRl9DQVNIX1NUKFFUUiwzOTk3NCkvUF9DT01fU0hTX09VVCgzOTk3NCkpKS9GR","V9FU1RJTUFURSgnRVBTJywnTUVBTicsJ0FOTlVBTF9ST0xMJywnKzEnLDM5OTc0LCwsJycp&amp;WINDOW=FIRST_POPUP&amp;HEIGHT=450&amp;WIDTH=450&amp;START_MAXIMIZED=FALSE&amp;VAR:CALENDAR=US&amp;VAR:SYMBOL=98433210&amp;VAR:INDEX=0"}</definedName>
    <definedName name="_8223__FDSAUDITLINK__">{"fdsup://directions/FAT Viewer?action=UPDATE&amp;creator=factset&amp;DYN_ARGS=TRUE&amp;DOC_NAME=FAT:FQL_AUDITING_CLIENT_TEMPLATE.FAT&amp;display_string=Audit&amp;VAR:KEY=RGHMPGZOHY&amp;VAR:QUERY=KFBfUFJJQ0UoMzk5NzQpLShGRl9DQVNIX1NUKFFUUiwzOTk3NCkvUF9DT01fU0hTX09VVCgzOTk3NCkpKS9GR","V9FU1RJTUFURSgnRVBTJywnTUVBTicsJ0FOTlVBTF9ST0xMJywnKzEnLDM5OTc0LCwsJycp&amp;WINDOW=FIRST_POPUP&amp;HEIGHT=450&amp;WIDTH=450&amp;START_MAXIMIZED=FALSE&amp;VAR:CALENDAR=US&amp;VAR:SYMBOL=98433210&amp;VAR:INDEX=0"}</definedName>
    <definedName name="_8224__FDSAUDITLINK__">{"fdsup://directions/FAT Viewer?action=UPDATE&amp;creator=factset&amp;DYN_ARGS=TRUE&amp;DOC_NAME=FAT:FQL_AUDITING_CLIENT_TEMPLATE.FAT&amp;display_string=Audit&amp;VAR:KEY=XSNAPKPURY&amp;VAR:QUERY=KFBfUFJJQ0UoMzk5NzMpLShGRl9DQVNIX1NUKFFUUiwzOTk3MykvUF9DT01fU0hTX09VVCgzOTk3MykpKS9GR","V9FU1RJTUFURSgnRVBTJywnTUVBTicsJ0FOTlVBTF9ST0xMJywnKzEnLDM5OTczLCwsJycp&amp;WINDOW=FIRST_POPUP&amp;HEIGHT=450&amp;WIDTH=450&amp;START_MAXIMIZED=FALSE&amp;VAR:CALENDAR=US&amp;VAR:SYMBOL=98433210&amp;VAR:INDEX=0"}</definedName>
    <definedName name="_8225__FDSAUDITLINK__">{"fdsup://directions/FAT Viewer?action=UPDATE&amp;creator=factset&amp;DYN_ARGS=TRUE&amp;DOC_NAME=FAT:FQL_AUDITING_CLIENT_TEMPLATE.FAT&amp;display_string=Audit&amp;VAR:KEY=XSNAPKPURY&amp;VAR:QUERY=KFBfUFJJQ0UoMzk5NzMpLShGRl9DQVNIX1NUKFFUUiwzOTk3MykvUF9DT01fU0hTX09VVCgzOTk3MykpKS9GR","V9FU1RJTUFURSgnRVBTJywnTUVBTicsJ0FOTlVBTF9ST0xMJywnKzEnLDM5OTczLCwsJycp&amp;WINDOW=FIRST_POPUP&amp;HEIGHT=450&amp;WIDTH=450&amp;START_MAXIMIZED=FALSE&amp;VAR:CALENDAR=US&amp;VAR:SYMBOL=98433210&amp;VAR:INDEX=0"}</definedName>
    <definedName name="_8226__FDSAUDITLINK__">{"fdsup://directions/FAT Viewer?action=UPDATE&amp;creator=factset&amp;DYN_ARGS=TRUE&amp;DOC_NAME=FAT:FQL_AUDITING_CLIENT_TEMPLATE.FAT&amp;display_string=Audit&amp;VAR:KEY=JMTKFQZOFU&amp;VAR:QUERY=KFBfUFJJQ0UoMzk5NzIpLShGRl9DQVNIX1NUKFFUUiwzOTk3MikvUF9DT01fU0hTX09VVCgzOTk3MikpKS9GR","V9FU1RJTUFURSgnRVBTJywnTUVBTicsJ0FOTlVBTF9ST0xMJywnKzEnLDM5OTcyLCwsJycp&amp;WINDOW=FIRST_POPUP&amp;HEIGHT=450&amp;WIDTH=450&amp;START_MAXIMIZED=FALSE&amp;VAR:CALENDAR=US&amp;VAR:SYMBOL=98433210&amp;VAR:INDEX=0"}</definedName>
    <definedName name="_8227__FDSAUDITLINK__">{"fdsup://directions/FAT Viewer?action=UPDATE&amp;creator=factset&amp;DYN_ARGS=TRUE&amp;DOC_NAME=FAT:FQL_AUDITING_CLIENT_TEMPLATE.FAT&amp;display_string=Audit&amp;VAR:KEY=JMTKFQZOFU&amp;VAR:QUERY=KFBfUFJJQ0UoMzk5NzIpLShGRl9DQVNIX1NUKFFUUiwzOTk3MikvUF9DT01fU0hTX09VVCgzOTk3MikpKS9GR","V9FU1RJTUFURSgnRVBTJywnTUVBTicsJ0FOTlVBTF9ST0xMJywnKzEnLDM5OTcyLCwsJycp&amp;WINDOW=FIRST_POPUP&amp;HEIGHT=450&amp;WIDTH=450&amp;START_MAXIMIZED=FALSE&amp;VAR:CALENDAR=US&amp;VAR:SYMBOL=98433210&amp;VAR:INDEX=0"}</definedName>
    <definedName name="_8228__FDSAUDITLINK__">{"fdsup://directions/FAT Viewer?action=UPDATE&amp;creator=factset&amp;DYN_ARGS=TRUE&amp;DOC_NAME=FAT:FQL_AUDITING_CLIENT_TEMPLATE.FAT&amp;display_string=Audit&amp;VAR:KEY=JMNELCRSNQ&amp;VAR:QUERY=KFBfUFJJQ0UoMzk5NzEpLShGRl9DQVNIX1NUKFFUUiwzOTk3MSkvUF9DT01fU0hTX09VVCgzOTk3MSkpKS9GR","V9FU1RJTUFURSgnRVBTJywnTUVBTicsJ0FOTlVBTF9ST0xMJywnKzEnLDM5OTcxLCwsJycp&amp;WINDOW=FIRST_POPUP&amp;HEIGHT=450&amp;WIDTH=450&amp;START_MAXIMIZED=FALSE&amp;VAR:CALENDAR=US&amp;VAR:SYMBOL=98433210&amp;VAR:INDEX=0"}</definedName>
    <definedName name="_8229__FDSAUDITLINK__">{"fdsup://directions/FAT Viewer?action=UPDATE&amp;creator=factset&amp;DYN_ARGS=TRUE&amp;DOC_NAME=FAT:FQL_AUDITING_CLIENT_TEMPLATE.FAT&amp;display_string=Audit&amp;VAR:KEY=JMNELCRSNQ&amp;VAR:QUERY=KFBfUFJJQ0UoMzk5NzEpLShGRl9DQVNIX1NUKFFUUiwzOTk3MSkvUF9DT01fU0hTX09VVCgzOTk3MSkpKS9GR","V9FU1RJTUFURSgnRVBTJywnTUVBTicsJ0FOTlVBTF9ST0xMJywnKzEnLDM5OTcxLCwsJycp&amp;WINDOW=FIRST_POPUP&amp;HEIGHT=450&amp;WIDTH=450&amp;START_MAXIMIZED=FALSE&amp;VAR:CALENDAR=US&amp;VAR:SYMBOL=98433210&amp;VAR:INDEX=0"}</definedName>
    <definedName name="_82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967"}</definedName>
    <definedName name="_8230__FDSAUDITLINK__">{"fdsup://directions/FAT Viewer?action=UPDATE&amp;creator=factset&amp;DYN_ARGS=TRUE&amp;DOC_NAME=FAT:FQL_AUDITING_CLIENT_TEMPLATE.FAT&amp;display_string=Audit&amp;VAR:KEY=PWBKLUROJS&amp;VAR:QUERY=KFBfUFJJQ0UoMzk5NzApLShGRl9DQVNIX1NUKFFUUiwzOTk3MCkvUF9DT01fU0hTX09VVCgzOTk3MCkpKS9GR","V9FU1RJTUFURSgnRVBTJywnTUVBTicsJ0FOTlVBTF9ST0xMJywnKzEnLDM5OTcwLCwsJycp&amp;WINDOW=FIRST_POPUP&amp;HEIGHT=450&amp;WIDTH=450&amp;START_MAXIMIZED=FALSE&amp;VAR:CALENDAR=US&amp;VAR:SYMBOL=98433210&amp;VAR:INDEX=0"}</definedName>
    <definedName name="_8231__FDSAUDITLINK__">{"fdsup://directions/FAT Viewer?action=UPDATE&amp;creator=factset&amp;DYN_ARGS=TRUE&amp;DOC_NAME=FAT:FQL_AUDITING_CLIENT_TEMPLATE.FAT&amp;display_string=Audit&amp;VAR:KEY=PWBKLUROJS&amp;VAR:QUERY=KFBfUFJJQ0UoMzk5NzApLShGRl9DQVNIX1NUKFFUUiwzOTk3MCkvUF9DT01fU0hTX09VVCgzOTk3MCkpKS9GR","V9FU1RJTUFURSgnRVBTJywnTUVBTicsJ0FOTlVBTF9ST0xMJywnKzEnLDM5OTcwLCwsJycp&amp;WINDOW=FIRST_POPUP&amp;HEIGHT=450&amp;WIDTH=450&amp;START_MAXIMIZED=FALSE&amp;VAR:CALENDAR=US&amp;VAR:SYMBOL=98433210&amp;VAR:INDEX=0"}</definedName>
    <definedName name="_8232__FDSAUDITLINK__">{"fdsup://directions/FAT Viewer?action=UPDATE&amp;creator=factset&amp;DYN_ARGS=TRUE&amp;DOC_NAME=FAT:FQL_AUDITING_CLIENT_TEMPLATE.FAT&amp;display_string=Audit&amp;VAR:KEY=DUHAXIZGPE&amp;VAR:QUERY=KFBfUFJJQ0UoMzk5NjkpLShGRl9DQVNIX1NUKFFUUiwzOTk2OSkvUF9DT01fU0hTX09VVCgzOTk2OSkpKS9GR","V9FU1RJTUFURSgnRVBTJywnTUVBTicsJ0FOTlVBTF9ST0xMJywnKzEnLDM5OTY5LCwsJycp&amp;WINDOW=FIRST_POPUP&amp;HEIGHT=450&amp;WIDTH=450&amp;START_MAXIMIZED=FALSE&amp;VAR:CALENDAR=US&amp;VAR:SYMBOL=98433210&amp;VAR:INDEX=0"}</definedName>
    <definedName name="_8233__FDSAUDITLINK__">{"fdsup://directions/FAT Viewer?action=UPDATE&amp;creator=factset&amp;DYN_ARGS=TRUE&amp;DOC_NAME=FAT:FQL_AUDITING_CLIENT_TEMPLATE.FAT&amp;display_string=Audit&amp;VAR:KEY=DUHAXIZGPE&amp;VAR:QUERY=KFBfUFJJQ0UoMzk5NjkpLShGRl9DQVNIX1NUKFFUUiwzOTk2OSkvUF9DT01fU0hTX09VVCgzOTk2OSkpKS9GR","V9FU1RJTUFURSgnRVBTJywnTUVBTicsJ0FOTlVBTF9ST0xMJywnKzEnLDM5OTY5LCwsJycp&amp;WINDOW=FIRST_POPUP&amp;HEIGHT=450&amp;WIDTH=450&amp;START_MAXIMIZED=FALSE&amp;VAR:CALENDAR=US&amp;VAR:SYMBOL=98433210&amp;VAR:INDEX=0"}</definedName>
    <definedName name="_8234__FDSAUDITLINK__">{"fdsup://directions/FAT Viewer?action=UPDATE&amp;creator=factset&amp;DYN_ARGS=TRUE&amp;DOC_NAME=FAT:FQL_AUDITING_CLIENT_TEMPLATE.FAT&amp;display_string=Audit&amp;VAR:KEY=ZWBEHOBOFO&amp;VAR:QUERY=KFBfUFJJQ0UoMzk5NjgpLShGRl9DQVNIX1NUKFFUUiwzOTk2OCkvUF9DT01fU0hTX09VVCgzOTk2OCkpKS9GR","V9FU1RJTUFURSgnRVBTJywnTUVBTicsJ0FOTlVBTF9ST0xMJywnKzEnLDM5OTY4LCwsJycp&amp;WINDOW=FIRST_POPUP&amp;HEIGHT=450&amp;WIDTH=450&amp;START_MAXIMIZED=FALSE&amp;VAR:CALENDAR=US&amp;VAR:SYMBOL=98433210&amp;VAR:INDEX=0"}</definedName>
    <definedName name="_8235__FDSAUDITLINK__">{"fdsup://directions/FAT Viewer?action=UPDATE&amp;creator=factset&amp;DYN_ARGS=TRUE&amp;DOC_NAME=FAT:FQL_AUDITING_CLIENT_TEMPLATE.FAT&amp;display_string=Audit&amp;VAR:KEY=ZWBEHOBOFO&amp;VAR:QUERY=KFBfUFJJQ0UoMzk5NjgpLShGRl9DQVNIX1NUKFFUUiwzOTk2OCkvUF9DT01fU0hTX09VVCgzOTk2OCkpKS9GR","V9FU1RJTUFURSgnRVBTJywnTUVBTicsJ0FOTlVBTF9ST0xMJywnKzEnLDM5OTY4LCwsJycp&amp;WINDOW=FIRST_POPUP&amp;HEIGHT=450&amp;WIDTH=450&amp;START_MAXIMIZED=FALSE&amp;VAR:CALENDAR=US&amp;VAR:SYMBOL=98433210&amp;VAR:INDEX=0"}</definedName>
    <definedName name="_8236__FDSAUDITLINK__">{"fdsup://directions/FAT Viewer?action=UPDATE&amp;creator=factset&amp;DYN_ARGS=TRUE&amp;DOC_NAME=FAT:FQL_AUDITING_CLIENT_TEMPLATE.FAT&amp;display_string=Audit&amp;VAR:KEY=RGRGXGNUHS&amp;VAR:QUERY=KFBfUFJJQ0UoMzk5NjcpLShGRl9DQVNIX1NUKFFUUiwzOTk2NykvUF9DT01fU0hTX09VVCgzOTk2NykpKS9GR","V9FU1RJTUFURSgnRVBTJywnTUVBTicsJ0FOTlVBTF9ST0xMJywnKzEnLDM5OTY3LCwsJycp&amp;WINDOW=FIRST_POPUP&amp;HEIGHT=450&amp;WIDTH=450&amp;START_MAXIMIZED=FALSE&amp;VAR:CALENDAR=US&amp;VAR:SYMBOL=98433210&amp;VAR:INDEX=0"}</definedName>
    <definedName name="_8237__FDSAUDITLINK__">{"fdsup://directions/FAT Viewer?action=UPDATE&amp;creator=factset&amp;DYN_ARGS=TRUE&amp;DOC_NAME=FAT:FQL_AUDITING_CLIENT_TEMPLATE.FAT&amp;display_string=Audit&amp;VAR:KEY=RGRGXGNUHS&amp;VAR:QUERY=KFBfUFJJQ0UoMzk5NjcpLShGRl9DQVNIX1NUKFFUUiwzOTk2NykvUF9DT01fU0hTX09VVCgzOTk2NykpKS9GR","V9FU1RJTUFURSgnRVBTJywnTUVBTicsJ0FOTlVBTF9ST0xMJywnKzEnLDM5OTY3LCwsJycp&amp;WINDOW=FIRST_POPUP&amp;HEIGHT=450&amp;WIDTH=450&amp;START_MAXIMIZED=FALSE&amp;VAR:CALENDAR=US&amp;VAR:SYMBOL=98433210&amp;VAR:INDEX=0"}</definedName>
    <definedName name="_8238__FDSAUDITLINK__">{"fdsup://directions/FAT Viewer?action=UPDATE&amp;creator=factset&amp;DYN_ARGS=TRUE&amp;DOC_NAME=FAT:FQL_AUDITING_CLIENT_TEMPLATE.FAT&amp;display_string=Audit&amp;VAR:KEY=DQPELSBUBE&amp;VAR:QUERY=KFBfUFJJQ0UoMzk5NjYpLShGRl9DQVNIX1NUKFFUUiwzOTk2NikvUF9DT01fU0hTX09VVCgzOTk2NikpKS9GR","V9FU1RJTUFURSgnRVBTJywnTUVBTicsJ0FOTlVBTF9ST0xMJywnKzEnLDM5OTY2LCwsJycp&amp;WINDOW=FIRST_POPUP&amp;HEIGHT=450&amp;WIDTH=450&amp;START_MAXIMIZED=FALSE&amp;VAR:CALENDAR=US&amp;VAR:SYMBOL=98433210&amp;VAR:INDEX=0"}</definedName>
    <definedName name="_8239__FDSAUDITLINK__">{"fdsup://directions/FAT Viewer?action=UPDATE&amp;creator=factset&amp;DYN_ARGS=TRUE&amp;DOC_NAME=FAT:FQL_AUDITING_CLIENT_TEMPLATE.FAT&amp;display_string=Audit&amp;VAR:KEY=DQPELSBUBE&amp;VAR:QUERY=KFBfUFJJQ0UoMzk5NjYpLShGRl9DQVNIX1NUKFFUUiwzOTk2NikvUF9DT01fU0hTX09VVCgzOTk2NikpKS9GR","V9FU1RJTUFURSgnRVBTJywnTUVBTicsJ0FOTlVBTF9ST0xMJywnKzEnLDM5OTY2LCwsJycp&amp;WINDOW=FIRST_POPUP&amp;HEIGHT=450&amp;WIDTH=450&amp;START_MAXIMIZED=FALSE&amp;VAR:CALENDAR=US&amp;VAR:SYMBOL=98433210&amp;VAR:INDEX=0"}</definedName>
    <definedName name="_82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966"}</definedName>
    <definedName name="_8240__FDSAUDITLINK__">{"fdsup://directions/FAT Viewer?action=UPDATE&amp;creator=factset&amp;DYN_ARGS=TRUE&amp;DOC_NAME=FAT:FQL_AUDITING_CLIENT_TEMPLATE.FAT&amp;display_string=Audit&amp;VAR:KEY=ZWDKPEVEDI&amp;VAR:QUERY=KFBfUFJJQ0UoMzk5NjUpLShGRl9DQVNIX1NUKFFUUiwzOTk2NSkvUF9DT01fU0hTX09VVCgzOTk2NSkpKS9GR","V9FU1RJTUFURSgnRVBTJywnTUVBTicsJ0FOTlVBTF9ST0xMJywnKzEnLDM5OTY1LCwsJycp&amp;WINDOW=FIRST_POPUP&amp;HEIGHT=450&amp;WIDTH=450&amp;START_MAXIMIZED=FALSE&amp;VAR:CALENDAR=US&amp;VAR:SYMBOL=98433210&amp;VAR:INDEX=0"}</definedName>
    <definedName name="_8241__FDSAUDITLINK__">{"fdsup://directions/FAT Viewer?action=UPDATE&amp;creator=factset&amp;DYN_ARGS=TRUE&amp;DOC_NAME=FAT:FQL_AUDITING_CLIENT_TEMPLATE.FAT&amp;display_string=Audit&amp;VAR:KEY=ZWDKPEVEDI&amp;VAR:QUERY=KFBfUFJJQ0UoMzk5NjUpLShGRl9DQVNIX1NUKFFUUiwzOTk2NSkvUF9DT01fU0hTX09VVCgzOTk2NSkpKS9GR","V9FU1RJTUFURSgnRVBTJywnTUVBTicsJ0FOTlVBTF9ST0xMJywnKzEnLDM5OTY1LCwsJycp&amp;WINDOW=FIRST_POPUP&amp;HEIGHT=450&amp;WIDTH=450&amp;START_MAXIMIZED=FALSE&amp;VAR:CALENDAR=US&amp;VAR:SYMBOL=98433210&amp;VAR:INDEX=0"}</definedName>
    <definedName name="_8242__FDSAUDITLINK__">{"fdsup://directions/FAT Viewer?action=UPDATE&amp;creator=factset&amp;DYN_ARGS=TRUE&amp;DOC_NAME=FAT:FQL_AUDITING_CLIENT_TEMPLATE.FAT&amp;display_string=Audit&amp;VAR:KEY=XCPETINIZC&amp;VAR:QUERY=KFBfUFJJQ0UoMzk5NjQpLShGRl9DQVNIX1NUKFFUUiwzOTk2NCkvUF9DT01fU0hTX09VVCgzOTk2NCkpKS9GR","V9FU1RJTUFURSgnRVBTJywnTUVBTicsJ0FOTlVBTF9ST0xMJywnKzEnLDM5OTY0LCwsJycp&amp;WINDOW=FIRST_POPUP&amp;HEIGHT=450&amp;WIDTH=450&amp;START_MAXIMIZED=FALSE&amp;VAR:CALENDAR=US&amp;VAR:SYMBOL=98433210&amp;VAR:INDEX=0"}</definedName>
    <definedName name="_8243__FDSAUDITLINK__">{"fdsup://directions/FAT Viewer?action=UPDATE&amp;creator=factset&amp;DYN_ARGS=TRUE&amp;DOC_NAME=FAT:FQL_AUDITING_CLIENT_TEMPLATE.FAT&amp;display_string=Audit&amp;VAR:KEY=XCPETINIZC&amp;VAR:QUERY=KFBfUFJJQ0UoMzk5NjQpLShGRl9DQVNIX1NUKFFUUiwzOTk2NCkvUF9DT01fU0hTX09VVCgzOTk2NCkpKS9GR","V9FU1RJTUFURSgnRVBTJywnTUVBTicsJ0FOTlVBTF9ST0xMJywnKzEnLDM5OTY0LCwsJycp&amp;WINDOW=FIRST_POPUP&amp;HEIGHT=450&amp;WIDTH=450&amp;START_MAXIMIZED=FALSE&amp;VAR:CALENDAR=US&amp;VAR:SYMBOL=98433210&amp;VAR:INDEX=0"}</definedName>
    <definedName name="_8244__FDSAUDITLINK__">{"fdsup://directions/FAT Viewer?action=UPDATE&amp;creator=factset&amp;DYN_ARGS=TRUE&amp;DOC_NAME=FAT:FQL_AUDITING_CLIENT_TEMPLATE.FAT&amp;display_string=Audit&amp;VAR:KEY=XEJERIJKBE&amp;VAR:QUERY=KFBfUFJJQ0UoMzk5NjMpLShGRl9DQVNIX1NUKFFUUiwzOTk2MykvUF9DT01fU0hTX09VVCgzOTk2MykpKS9GR","V9FU1RJTUFURSgnRVBTJywnTUVBTicsJ0FOTlVBTF9ST0xMJywnKzEnLDM5OTYzLCwsJycp&amp;WINDOW=FIRST_POPUP&amp;HEIGHT=450&amp;WIDTH=450&amp;START_MAXIMIZED=FALSE&amp;VAR:CALENDAR=US&amp;VAR:SYMBOL=98433210&amp;VAR:INDEX=0"}</definedName>
    <definedName name="_8245__FDSAUDITLINK__">{"fdsup://directions/FAT Viewer?action=UPDATE&amp;creator=factset&amp;DYN_ARGS=TRUE&amp;DOC_NAME=FAT:FQL_AUDITING_CLIENT_TEMPLATE.FAT&amp;display_string=Audit&amp;VAR:KEY=XEJERIJKBE&amp;VAR:QUERY=KFBfUFJJQ0UoMzk5NjMpLShGRl9DQVNIX1NUKFFUUiwzOTk2MykvUF9DT01fU0hTX09VVCgzOTk2MykpKS9GR","V9FU1RJTUFURSgnRVBTJywnTUVBTicsJ0FOTlVBTF9ST0xMJywnKzEnLDM5OTYzLCwsJycp&amp;WINDOW=FIRST_POPUP&amp;HEIGHT=450&amp;WIDTH=450&amp;START_MAXIMIZED=FALSE&amp;VAR:CALENDAR=US&amp;VAR:SYMBOL=98433210&amp;VAR:INDEX=0"}</definedName>
    <definedName name="_8246__FDSAUDITLINK__">{"fdsup://directions/FAT Viewer?action=UPDATE&amp;creator=factset&amp;DYN_ARGS=TRUE&amp;DOC_NAME=FAT:FQL_AUDITING_CLIENT_TEMPLATE.FAT&amp;display_string=Audit&amp;VAR:KEY=NEPQDCZKBQ&amp;VAR:QUERY=KFBfUFJJQ0UoMzk5NjIpLShGRl9DQVNIX1NUKFFUUiwzOTk2MikvUF9DT01fU0hTX09VVCgzOTk2MikpKS9GR","V9FU1RJTUFURSgnRVBTJywnTUVBTicsJ0FOTlVBTF9ST0xMJywnKzEnLDM5OTYyLCwsJycp&amp;WINDOW=FIRST_POPUP&amp;HEIGHT=450&amp;WIDTH=450&amp;START_MAXIMIZED=FALSE&amp;VAR:CALENDAR=US&amp;VAR:SYMBOL=98433210&amp;VAR:INDEX=0"}</definedName>
    <definedName name="_8247__FDSAUDITLINK__">{"fdsup://directions/FAT Viewer?action=UPDATE&amp;creator=factset&amp;DYN_ARGS=TRUE&amp;DOC_NAME=FAT:FQL_AUDITING_CLIENT_TEMPLATE.FAT&amp;display_string=Audit&amp;VAR:KEY=NEPQDCZKBQ&amp;VAR:QUERY=KFBfUFJJQ0UoMzk5NjIpLShGRl9DQVNIX1NUKFFUUiwzOTk2MikvUF9DT01fU0hTX09VVCgzOTk2MikpKS9GR","V9FU1RJTUFURSgnRVBTJywnTUVBTicsJ0FOTlVBTF9ST0xMJywnKzEnLDM5OTYyLCwsJycp&amp;WINDOW=FIRST_POPUP&amp;HEIGHT=450&amp;WIDTH=450&amp;START_MAXIMIZED=FALSE&amp;VAR:CALENDAR=US&amp;VAR:SYMBOL=98433210&amp;VAR:INDEX=0"}</definedName>
    <definedName name="_8248__FDSAUDITLINK__">{"fdsup://directions/FAT Viewer?action=UPDATE&amp;creator=factset&amp;DYN_ARGS=TRUE&amp;DOC_NAME=FAT:FQL_AUDITING_CLIENT_TEMPLATE.FAT&amp;display_string=Audit&amp;VAR:KEY=TGFMRCFAFG&amp;VAR:QUERY=KFBfUFJJQ0UoMzk5NjEpLShGRl9DQVNIX1NUKFFUUiwzOTk2MSkvUF9DT01fU0hTX09VVCgzOTk2MSkpKS9GR","V9FU1RJTUFURSgnRVBTJywnTUVBTicsJ0FOTlVBTF9ST0xMJywnKzEnLDM5OTYxLCwsJycp&amp;WINDOW=FIRST_POPUP&amp;HEIGHT=450&amp;WIDTH=450&amp;START_MAXIMIZED=FALSE&amp;VAR:CALENDAR=US&amp;VAR:SYMBOL=98433210&amp;VAR:INDEX=0"}</definedName>
    <definedName name="_8249__FDSAUDITLINK__">{"fdsup://directions/FAT Viewer?action=UPDATE&amp;creator=factset&amp;DYN_ARGS=TRUE&amp;DOC_NAME=FAT:FQL_AUDITING_CLIENT_TEMPLATE.FAT&amp;display_string=Audit&amp;VAR:KEY=TGFMRCFAFG&amp;VAR:QUERY=KFBfUFJJQ0UoMzk5NjEpLShGRl9DQVNIX1NUKFFUUiwzOTk2MSkvUF9DT01fU0hTX09VVCgzOTk2MSkpKS9GR","V9FU1RJTUFURSgnRVBTJywnTUVBTicsJ0FOTlVBTF9ST0xMJywnKzEnLDM5OTYxLCwsJycp&amp;WINDOW=FIRST_POPUP&amp;HEIGHT=450&amp;WIDTH=450&amp;START_MAXIMIZED=FALSE&amp;VAR:CALENDAR=US&amp;VAR:SYMBOL=98433210&amp;VAR:INDEX=0"}</definedName>
    <definedName name="_82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965"}</definedName>
    <definedName name="_8250__FDSAUDITLINK__">{"fdsup://directions/FAT Viewer?action=UPDATE&amp;creator=factset&amp;DYN_ARGS=TRUE&amp;DOC_NAME=FAT:FQL_AUDITING_CLIENT_TEMPLATE.FAT&amp;display_string=Audit&amp;VAR:KEY=NYDCNGBGTW&amp;VAR:QUERY=KFBfUFJJQ0UoMzk5NjApLShGRl9DQVNIX1NUKFFUUiwzOTk2MCkvUF9DT01fU0hTX09VVCgzOTk2MCkpKS9GR","V9FU1RJTUFURSgnRVBTJywnTUVBTicsJ0FOTlVBTF9ST0xMJywnKzEnLDM5OTYwLCwsJycp&amp;WINDOW=FIRST_POPUP&amp;HEIGHT=450&amp;WIDTH=450&amp;START_MAXIMIZED=FALSE&amp;VAR:CALENDAR=US&amp;VAR:SYMBOL=98433210&amp;VAR:INDEX=0"}</definedName>
    <definedName name="_8251__FDSAUDITLINK__">{"fdsup://directions/FAT Viewer?action=UPDATE&amp;creator=factset&amp;DYN_ARGS=TRUE&amp;DOC_NAME=FAT:FQL_AUDITING_CLIENT_TEMPLATE.FAT&amp;display_string=Audit&amp;VAR:KEY=NYDCNGBGTW&amp;VAR:QUERY=KFBfUFJJQ0UoMzk5NjApLShGRl9DQVNIX1NUKFFUUiwzOTk2MCkvUF9DT01fU0hTX09VVCgzOTk2MCkpKS9GR","V9FU1RJTUFURSgnRVBTJywnTUVBTicsJ0FOTlVBTF9ST0xMJywnKzEnLDM5OTYwLCwsJycp&amp;WINDOW=FIRST_POPUP&amp;HEIGHT=450&amp;WIDTH=450&amp;START_MAXIMIZED=FALSE&amp;VAR:CALENDAR=US&amp;VAR:SYMBOL=98433210&amp;VAR:INDEX=0"}</definedName>
    <definedName name="_8252__FDSAUDITLINK__">{"fdsup://directions/FAT Viewer?action=UPDATE&amp;creator=factset&amp;DYN_ARGS=TRUE&amp;DOC_NAME=FAT:FQL_AUDITING_CLIENT_TEMPLATE.FAT&amp;display_string=Audit&amp;VAR:KEY=LKXCDQJMZA&amp;VAR:QUERY=KFBfUFJJQ0UoMzk5NTkpLShGRl9DQVNIX1NUKFFUUiwzOTk1OSkvUF9DT01fU0hTX09VVCgzOTk1OSkpKS9GR","V9FU1RJTUFURSgnRVBTJywnTUVBTicsJ0FOTlVBTF9ST0xMJywnKzEnLDM5OTU5LCwsJycp&amp;WINDOW=FIRST_POPUP&amp;HEIGHT=450&amp;WIDTH=450&amp;START_MAXIMIZED=FALSE&amp;VAR:CALENDAR=US&amp;VAR:SYMBOL=98433210&amp;VAR:INDEX=0"}</definedName>
    <definedName name="_8253__FDSAUDITLINK__">{"fdsup://directions/FAT Viewer?action=UPDATE&amp;creator=factset&amp;DYN_ARGS=TRUE&amp;DOC_NAME=FAT:FQL_AUDITING_CLIENT_TEMPLATE.FAT&amp;display_string=Audit&amp;VAR:KEY=LKXCDQJMZA&amp;VAR:QUERY=KFBfUFJJQ0UoMzk5NTkpLShGRl9DQVNIX1NUKFFUUiwzOTk1OSkvUF9DT01fU0hTX09VVCgzOTk1OSkpKS9GR","V9FU1RJTUFURSgnRVBTJywnTUVBTicsJ0FOTlVBTF9ST0xMJywnKzEnLDM5OTU5LCwsJycp&amp;WINDOW=FIRST_POPUP&amp;HEIGHT=450&amp;WIDTH=450&amp;START_MAXIMIZED=FALSE&amp;VAR:CALENDAR=US&amp;VAR:SYMBOL=98433210&amp;VAR:INDEX=0"}</definedName>
    <definedName name="_8254__FDSAUDITLINK__">{"fdsup://directions/FAT Viewer?action=UPDATE&amp;creator=factset&amp;DYN_ARGS=TRUE&amp;DOC_NAME=FAT:FQL_AUDITING_CLIENT_TEMPLATE.FAT&amp;display_string=Audit&amp;VAR:KEY=PKLOHKNWTS&amp;VAR:QUERY=KFBfUFJJQ0UoMzk5NTgpLShGRl9DQVNIX1NUKFFUUiwzOTk1OCkvUF9DT01fU0hTX09VVCgzOTk1OCkpKS9GR","V9FU1RJTUFURSgnRVBTJywnTUVBTicsJ0FOTlVBTF9ST0xMJywnKzEnLDM5OTU4LCwsJycp&amp;WINDOW=FIRST_POPUP&amp;HEIGHT=450&amp;WIDTH=450&amp;START_MAXIMIZED=FALSE&amp;VAR:CALENDAR=US&amp;VAR:SYMBOL=98433210&amp;VAR:INDEX=0"}</definedName>
    <definedName name="_8255__FDSAUDITLINK__">{"fdsup://directions/FAT Viewer?action=UPDATE&amp;creator=factset&amp;DYN_ARGS=TRUE&amp;DOC_NAME=FAT:FQL_AUDITING_CLIENT_TEMPLATE.FAT&amp;display_string=Audit&amp;VAR:KEY=PKLOHKNWTS&amp;VAR:QUERY=KFBfUFJJQ0UoMzk5NTgpLShGRl9DQVNIX1NUKFFUUiwzOTk1OCkvUF9DT01fU0hTX09VVCgzOTk1OCkpKS9GR","V9FU1RJTUFURSgnRVBTJywnTUVBTicsJ0FOTlVBTF9ST0xMJywnKzEnLDM5OTU4LCwsJycp&amp;WINDOW=FIRST_POPUP&amp;HEIGHT=450&amp;WIDTH=450&amp;START_MAXIMIZED=FALSE&amp;VAR:CALENDAR=US&amp;VAR:SYMBOL=98433210&amp;VAR:INDEX=0"}</definedName>
    <definedName name="_8256__FDSAUDITLINK__">{"fdsup://directions/FAT Viewer?action=UPDATE&amp;creator=factset&amp;DYN_ARGS=TRUE&amp;DOC_NAME=FAT:FQL_AUDITING_CLIENT_TEMPLATE.FAT&amp;display_string=Audit&amp;VAR:KEY=JKLEJMPSVY&amp;VAR:QUERY=KFBfUFJJQ0UoMzk5NTcpLShGRl9DQVNIX1NUKFFUUiwzOTk1NykvUF9DT01fU0hTX09VVCgzOTk1NykpKS9GR","V9FU1RJTUFURSgnRVBTJywnTUVBTicsJ0FOTlVBTF9ST0xMJywnKzEnLDM5OTU3LCwsJycp&amp;WINDOW=FIRST_POPUP&amp;HEIGHT=450&amp;WIDTH=450&amp;START_MAXIMIZED=FALSE&amp;VAR:CALENDAR=US&amp;VAR:SYMBOL=98433210&amp;VAR:INDEX=0"}</definedName>
    <definedName name="_8257__FDSAUDITLINK__">{"fdsup://directions/FAT Viewer?action=UPDATE&amp;creator=factset&amp;DYN_ARGS=TRUE&amp;DOC_NAME=FAT:FQL_AUDITING_CLIENT_TEMPLATE.FAT&amp;display_string=Audit&amp;VAR:KEY=JKLEJMPSVY&amp;VAR:QUERY=KFBfUFJJQ0UoMzk5NTcpLShGRl9DQVNIX1NUKFFUUiwzOTk1NykvUF9DT01fU0hTX09VVCgzOTk1NykpKS9GR","V9FU1RJTUFURSgnRVBTJywnTUVBTicsJ0FOTlVBTF9ST0xMJywnKzEnLDM5OTU3LCwsJycp&amp;WINDOW=FIRST_POPUP&amp;HEIGHT=450&amp;WIDTH=450&amp;START_MAXIMIZED=FALSE&amp;VAR:CALENDAR=US&amp;VAR:SYMBOL=98433210&amp;VAR:INDEX=0"}</definedName>
    <definedName name="_8258__FDSAUDITLINK__">{"fdsup://directions/FAT Viewer?action=UPDATE&amp;creator=factset&amp;DYN_ARGS=TRUE&amp;DOC_NAME=FAT:FQL_AUDITING_CLIENT_TEMPLATE.FAT&amp;display_string=Audit&amp;VAR:KEY=VUDQZIHOLE&amp;VAR:QUERY=KFBfUFJJQ0UoMzk5NTYpLShGRl9DQVNIX1NUKFFUUiwzOTk1NikvUF9DT01fU0hTX09VVCgzOTk1NikpKS9GR","V9FU1RJTUFURSgnRVBTJywnTUVBTicsJ0FOTlVBTF9ST0xMJywnKzEnLDM5OTU2LCwsJycp&amp;WINDOW=FIRST_POPUP&amp;HEIGHT=450&amp;WIDTH=450&amp;START_MAXIMIZED=FALSE&amp;VAR:CALENDAR=US&amp;VAR:SYMBOL=98433210&amp;VAR:INDEX=0"}</definedName>
    <definedName name="_8259__FDSAUDITLINK__">{"fdsup://directions/FAT Viewer?action=UPDATE&amp;creator=factset&amp;DYN_ARGS=TRUE&amp;DOC_NAME=FAT:FQL_AUDITING_CLIENT_TEMPLATE.FAT&amp;display_string=Audit&amp;VAR:KEY=VUDQZIHOLE&amp;VAR:QUERY=KFBfUFJJQ0UoMzk5NTYpLShGRl9DQVNIX1NUKFFUUiwzOTk1NikvUF9DT01fU0hTX09VVCgzOTk1NikpKS9GR","V9FU1RJTUFURSgnRVBTJywnTUVBTicsJ0FOTlVBTF9ST0xMJywnKzEnLDM5OTU2LCwsJycp&amp;WINDOW=FIRST_POPUP&amp;HEIGHT=450&amp;WIDTH=450&amp;START_MAXIMIZED=FALSE&amp;VAR:CALENDAR=US&amp;VAR:SYMBOL=98433210&amp;VAR:INDEX=0"}</definedName>
    <definedName name="_82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964"}</definedName>
    <definedName name="_8260__FDSAUDITLINK__">{"fdsup://directions/FAT Viewer?action=UPDATE&amp;creator=factset&amp;DYN_ARGS=TRUE&amp;DOC_NAME=FAT:FQL_AUDITING_CLIENT_TEMPLATE.FAT&amp;display_string=Audit&amp;VAR:KEY=JAFGXKHQZU&amp;VAR:QUERY=KFBfUFJJQ0UoMzk5NTUpLShGRl9DQVNIX1NUKFFUUiwzOTk1NSkvUF9DT01fU0hTX09VVCgzOTk1NSkpKS9GR","V9FU1RJTUFURSgnRVBTJywnTUVBTicsJ0FOTlVBTF9ST0xMJywnKzEnLDM5OTU1LCwsJycp&amp;WINDOW=FIRST_POPUP&amp;HEIGHT=450&amp;WIDTH=450&amp;START_MAXIMIZED=FALSE&amp;VAR:CALENDAR=US&amp;VAR:SYMBOL=98433210&amp;VAR:INDEX=0"}</definedName>
    <definedName name="_8261__FDSAUDITLINK__">{"fdsup://directions/FAT Viewer?action=UPDATE&amp;creator=factset&amp;DYN_ARGS=TRUE&amp;DOC_NAME=FAT:FQL_AUDITING_CLIENT_TEMPLATE.FAT&amp;display_string=Audit&amp;VAR:KEY=JAFGXKHQZU&amp;VAR:QUERY=KFBfUFJJQ0UoMzk5NTUpLShGRl9DQVNIX1NUKFFUUiwzOTk1NSkvUF9DT01fU0hTX09VVCgzOTk1NSkpKS9GR","V9FU1RJTUFURSgnRVBTJywnTUVBTicsJ0FOTlVBTF9ST0xMJywnKzEnLDM5OTU1LCwsJycp&amp;WINDOW=FIRST_POPUP&amp;HEIGHT=450&amp;WIDTH=450&amp;START_MAXIMIZED=FALSE&amp;VAR:CALENDAR=US&amp;VAR:SYMBOL=98433210&amp;VAR:INDEX=0"}</definedName>
    <definedName name="_8262__FDSAUDITLINK__">{"fdsup://directions/FAT Viewer?action=UPDATE&amp;creator=factset&amp;DYN_ARGS=TRUE&amp;DOC_NAME=FAT:FQL_AUDITING_CLIENT_TEMPLATE.FAT&amp;display_string=Audit&amp;VAR:KEY=HOTGHCPCPU&amp;VAR:QUERY=KFBfUFJJQ0UoMzk5NTQpLShGRl9DQVNIX1NUKFFUUiwzOTk1NCkvUF9DT01fU0hTX09VVCgzOTk1NCkpKS9GR","V9FU1RJTUFURSgnRVBTJywnTUVBTicsJ0FOTlVBTF9ST0xMJywnKzEnLDM5OTU0LCwsJycp&amp;WINDOW=FIRST_POPUP&amp;HEIGHT=450&amp;WIDTH=450&amp;START_MAXIMIZED=FALSE&amp;VAR:CALENDAR=US&amp;VAR:SYMBOL=98433210&amp;VAR:INDEX=0"}</definedName>
    <definedName name="_8263__FDSAUDITLINK__">{"fdsup://directions/FAT Viewer?action=UPDATE&amp;creator=factset&amp;DYN_ARGS=TRUE&amp;DOC_NAME=FAT:FQL_AUDITING_CLIENT_TEMPLATE.FAT&amp;display_string=Audit&amp;VAR:KEY=HOTGHCPCPU&amp;VAR:QUERY=KFBfUFJJQ0UoMzk5NTQpLShGRl9DQVNIX1NUKFFUUiwzOTk1NCkvUF9DT01fU0hTX09VVCgzOTk1NCkpKS9GR","V9FU1RJTUFURSgnRVBTJywnTUVBTicsJ0FOTlVBTF9ST0xMJywnKzEnLDM5OTU0LCwsJycp&amp;WINDOW=FIRST_POPUP&amp;HEIGHT=450&amp;WIDTH=450&amp;START_MAXIMIZED=FALSE&amp;VAR:CALENDAR=US&amp;VAR:SYMBOL=98433210&amp;VAR:INDEX=0"}</definedName>
    <definedName name="_8264__FDSAUDITLINK__">{"fdsup://directions/FAT Viewer?action=UPDATE&amp;creator=factset&amp;DYN_ARGS=TRUE&amp;DOC_NAME=FAT:FQL_AUDITING_CLIENT_TEMPLATE.FAT&amp;display_string=Audit&amp;VAR:KEY=NOPAVITOFS&amp;VAR:QUERY=KFBfUFJJQ0UoMzk5NTMpLShGRl9DQVNIX1NUKFFUUiwzOTk1MykvUF9DT01fU0hTX09VVCgzOTk1MykpKS9GR","V9FU1RJTUFURSgnRVBTJywnTUVBTicsJ0FOTlVBTF9ST0xMJywnKzEnLDM5OTUzLCwsJycp&amp;WINDOW=FIRST_POPUP&amp;HEIGHT=450&amp;WIDTH=450&amp;START_MAXIMIZED=FALSE&amp;VAR:CALENDAR=US&amp;VAR:SYMBOL=98433210&amp;VAR:INDEX=0"}</definedName>
    <definedName name="_8265__FDSAUDITLINK__">{"fdsup://directions/FAT Viewer?action=UPDATE&amp;creator=factset&amp;DYN_ARGS=TRUE&amp;DOC_NAME=FAT:FQL_AUDITING_CLIENT_TEMPLATE.FAT&amp;display_string=Audit&amp;VAR:KEY=NOPAVITOFS&amp;VAR:QUERY=KFBfUFJJQ0UoMzk5NTMpLShGRl9DQVNIX1NUKFFUUiwzOTk1MykvUF9DT01fU0hTX09VVCgzOTk1MykpKS9GR","V9FU1RJTUFURSgnRVBTJywnTUVBTicsJ0FOTlVBTF9ST0xMJywnKzEnLDM5OTUzLCwsJycp&amp;WINDOW=FIRST_POPUP&amp;HEIGHT=450&amp;WIDTH=450&amp;START_MAXIMIZED=FALSE&amp;VAR:CALENDAR=US&amp;VAR:SYMBOL=98433210&amp;VAR:INDEX=0"}</definedName>
    <definedName name="_8266__FDSAUDITLINK__">{"fdsup://directions/FAT Viewer?action=UPDATE&amp;creator=factset&amp;DYN_ARGS=TRUE&amp;DOC_NAME=FAT:FQL_AUDITING_CLIENT_TEMPLATE.FAT&amp;display_string=Audit&amp;VAR:KEY=LYDETCNODO&amp;VAR:QUERY=KFBfUFJJQ0UoMzk5NTIpLShGRl9DQVNIX1NUKFFUUiwzOTk1MikvUF9DT01fU0hTX09VVCgzOTk1MikpKS9GR","V9FU1RJTUFURSgnRVBTJywnTUVBTicsJ0FOTlVBTF9ST0xMJywnKzEnLDM5OTUyLCwsJycp&amp;WINDOW=FIRST_POPUP&amp;HEIGHT=450&amp;WIDTH=450&amp;START_MAXIMIZED=FALSE&amp;VAR:CALENDAR=US&amp;VAR:SYMBOL=98433210&amp;VAR:INDEX=0"}</definedName>
    <definedName name="_8267__FDSAUDITLINK__">{"fdsup://directions/FAT Viewer?action=UPDATE&amp;creator=factset&amp;DYN_ARGS=TRUE&amp;DOC_NAME=FAT:FQL_AUDITING_CLIENT_TEMPLATE.FAT&amp;display_string=Audit&amp;VAR:KEY=LYDETCNODO&amp;VAR:QUERY=KFBfUFJJQ0UoMzk5NTIpLShGRl9DQVNIX1NUKFFUUiwzOTk1MikvUF9DT01fU0hTX09VVCgzOTk1MikpKS9GR","V9FU1RJTUFURSgnRVBTJywnTUVBTicsJ0FOTlVBTF9ST0xMJywnKzEnLDM5OTUyLCwsJycp&amp;WINDOW=FIRST_POPUP&amp;HEIGHT=450&amp;WIDTH=450&amp;START_MAXIMIZED=FALSE&amp;VAR:CALENDAR=US&amp;VAR:SYMBOL=98433210&amp;VAR:INDEX=0"}</definedName>
    <definedName name="_8268__FDSAUDITLINK__">{"fdsup://directions/FAT Viewer?action=UPDATE&amp;creator=factset&amp;DYN_ARGS=TRUE&amp;DOC_NAME=FAT:FQL_AUDITING_CLIENT_TEMPLATE.FAT&amp;display_string=Audit&amp;VAR:KEY=VITWNYVINE&amp;VAR:QUERY=KFBfUFJJQ0UoMzk5NTEpLShGRl9DQVNIX1NUKFFUUiwzOTk1MSkvUF9DT01fU0hTX09VVCgzOTk1MSkpKS9GR","V9FU1RJTUFURSgnRVBTJywnTUVBTicsJ0FOTlVBTF9ST0xMJywnKzEnLDM5OTUxLCwsJycp&amp;WINDOW=FIRST_POPUP&amp;HEIGHT=450&amp;WIDTH=450&amp;START_MAXIMIZED=FALSE&amp;VAR:CALENDAR=US&amp;VAR:SYMBOL=98433210&amp;VAR:INDEX=0"}</definedName>
    <definedName name="_8269__FDSAUDITLINK__">{"fdsup://directions/FAT Viewer?action=UPDATE&amp;creator=factset&amp;DYN_ARGS=TRUE&amp;DOC_NAME=FAT:FQL_AUDITING_CLIENT_TEMPLATE.FAT&amp;display_string=Audit&amp;VAR:KEY=VITWNYVINE&amp;VAR:QUERY=KFBfUFJJQ0UoMzk5NTEpLShGRl9DQVNIX1NUKFFUUiwzOTk1MSkvUF9DT01fU0hTX09VVCgzOTk1MSkpKS9GR","V9FU1RJTUFURSgnRVBTJywnTUVBTicsJ0FOTlVBTF9ST0xMJywnKzEnLDM5OTUxLCwsJycp&amp;WINDOW=FIRST_POPUP&amp;HEIGHT=450&amp;WIDTH=450&amp;START_MAXIMIZED=FALSE&amp;VAR:CALENDAR=US&amp;VAR:SYMBOL=98433210&amp;VAR:INDEX=0"}</definedName>
    <definedName name="_82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963"}</definedName>
    <definedName name="_8270__FDSAUDITLINK__">{"fdsup://directions/FAT Viewer?action=UPDATE&amp;creator=factset&amp;DYN_ARGS=TRUE&amp;DOC_NAME=FAT:FQL_AUDITING_CLIENT_TEMPLATE.FAT&amp;display_string=Audit&amp;VAR:KEY=PWTWZUPCZW&amp;VAR:QUERY=KFBfUFJJQ0UoMzk5NTApLShGRl9DQVNIX1NUKFFUUiwzOTk1MCkvUF9DT01fU0hTX09VVCgzOTk1MCkpKS9GR","V9FU1RJTUFURSgnRVBTJywnTUVBTicsJ0FOTlVBTF9ST0xMJywnKzEnLDM5OTUwLCwsJycp&amp;WINDOW=FIRST_POPUP&amp;HEIGHT=450&amp;WIDTH=450&amp;START_MAXIMIZED=FALSE&amp;VAR:CALENDAR=US&amp;VAR:SYMBOL=98433210&amp;VAR:INDEX=0"}</definedName>
    <definedName name="_8271__FDSAUDITLINK__">{"fdsup://directions/FAT Viewer?action=UPDATE&amp;creator=factset&amp;DYN_ARGS=TRUE&amp;DOC_NAME=FAT:FQL_AUDITING_CLIENT_TEMPLATE.FAT&amp;display_string=Audit&amp;VAR:KEY=PWTWZUPCZW&amp;VAR:QUERY=KFBfUFJJQ0UoMzk5NTApLShGRl9DQVNIX1NUKFFUUiwzOTk1MCkvUF9DT01fU0hTX09VVCgzOTk1MCkpKS9GR","V9FU1RJTUFURSgnRVBTJywnTUVBTicsJ0FOTlVBTF9ST0xMJywnKzEnLDM5OTUwLCwsJycp&amp;WINDOW=FIRST_POPUP&amp;HEIGHT=450&amp;WIDTH=450&amp;START_MAXIMIZED=FALSE&amp;VAR:CALENDAR=US&amp;VAR:SYMBOL=98433210&amp;VAR:INDEX=0"}</definedName>
    <definedName name="_8272__FDSAUDITLINK__">{"fdsup://directions/FAT Viewer?action=UPDATE&amp;creator=factset&amp;DYN_ARGS=TRUE&amp;DOC_NAME=FAT:FQL_AUDITING_CLIENT_TEMPLATE.FAT&amp;display_string=Audit&amp;VAR:KEY=DWJKNCJUFM&amp;VAR:QUERY=KFBfUFJJQ0UoMzk5NDkpLShGRl9DQVNIX1NUKFFUUiwzOTk0OSkvUF9DT01fU0hTX09VVCgzOTk0OSkpKS9GR","V9FU1RJTUFURSgnRVBTJywnTUVBTicsJ0FOTlVBTF9ST0xMJywnKzEnLDM5OTQ5LCwsJycp&amp;WINDOW=FIRST_POPUP&amp;HEIGHT=450&amp;WIDTH=450&amp;START_MAXIMIZED=FALSE&amp;VAR:CALENDAR=US&amp;VAR:SYMBOL=98433210&amp;VAR:INDEX=0"}</definedName>
    <definedName name="_8273__FDSAUDITLINK__">{"fdsup://directions/FAT Viewer?action=UPDATE&amp;creator=factset&amp;DYN_ARGS=TRUE&amp;DOC_NAME=FAT:FQL_AUDITING_CLIENT_TEMPLATE.FAT&amp;display_string=Audit&amp;VAR:KEY=DWJKNCJUFM&amp;VAR:QUERY=KFBfUFJJQ0UoMzk5NDkpLShGRl9DQVNIX1NUKFFUUiwzOTk0OSkvUF9DT01fU0hTX09VVCgzOTk0OSkpKS9GR","V9FU1RJTUFURSgnRVBTJywnTUVBTicsJ0FOTlVBTF9ST0xMJywnKzEnLDM5OTQ5LCwsJycp&amp;WINDOW=FIRST_POPUP&amp;HEIGHT=450&amp;WIDTH=450&amp;START_MAXIMIZED=FALSE&amp;VAR:CALENDAR=US&amp;VAR:SYMBOL=98433210&amp;VAR:INDEX=0"}</definedName>
    <definedName name="_8274__FDSAUDITLINK__">{"fdsup://directions/FAT Viewer?action=UPDATE&amp;creator=factset&amp;DYN_ARGS=TRUE&amp;DOC_NAME=FAT:FQL_AUDITING_CLIENT_TEMPLATE.FAT&amp;display_string=Audit&amp;VAR:KEY=PSTGNUVSJM&amp;VAR:QUERY=KFBfUFJJQ0UoMzk5NDgpLShGRl9DQVNIX1NUKFFUUiwzOTk0OCkvUF9DT01fU0hTX09VVCgzOTk0OCkpKS9GR","V9FU1RJTUFURSgnRVBTJywnTUVBTicsJ0FOTlVBTF9ST0xMJywnKzEnLDM5OTQ4LCwsJycp&amp;WINDOW=FIRST_POPUP&amp;HEIGHT=450&amp;WIDTH=450&amp;START_MAXIMIZED=FALSE&amp;VAR:CALENDAR=US&amp;VAR:SYMBOL=98433210&amp;VAR:INDEX=0"}</definedName>
    <definedName name="_8275__FDSAUDITLINK__">{"fdsup://directions/FAT Viewer?action=UPDATE&amp;creator=factset&amp;DYN_ARGS=TRUE&amp;DOC_NAME=FAT:FQL_AUDITING_CLIENT_TEMPLATE.FAT&amp;display_string=Audit&amp;VAR:KEY=PSTGNUVSJM&amp;VAR:QUERY=KFBfUFJJQ0UoMzk5NDgpLShGRl9DQVNIX1NUKFFUUiwzOTk0OCkvUF9DT01fU0hTX09VVCgzOTk0OCkpKS9GR","V9FU1RJTUFURSgnRVBTJywnTUVBTicsJ0FOTlVBTF9ST0xMJywnKzEnLDM5OTQ4LCwsJycp&amp;WINDOW=FIRST_POPUP&amp;HEIGHT=450&amp;WIDTH=450&amp;START_MAXIMIZED=FALSE&amp;VAR:CALENDAR=US&amp;VAR:SYMBOL=98433210&amp;VAR:INDEX=0"}</definedName>
    <definedName name="_8276__FDSAUDITLINK__">{"fdsup://directions/FAT Viewer?action=UPDATE&amp;creator=factset&amp;DYN_ARGS=TRUE&amp;DOC_NAME=FAT:FQL_AUDITING_CLIENT_TEMPLATE.FAT&amp;display_string=Audit&amp;VAR:KEY=PKTMJYVOPU&amp;VAR:QUERY=KFBfUFJJQ0UoMzk5NDcpLShGRl9DQVNIX1NUKFFUUiwzOTk0NykvUF9DT01fU0hTX09VVCgzOTk0NykpKS9GR","V9FU1RJTUFURSgnRVBTJywnTUVBTicsJ0FOTlVBTF9ST0xMJywnKzEnLDM5OTQ3LCwsJycp&amp;WINDOW=FIRST_POPUP&amp;HEIGHT=450&amp;WIDTH=450&amp;START_MAXIMIZED=FALSE&amp;VAR:CALENDAR=US&amp;VAR:SYMBOL=98433210&amp;VAR:INDEX=0"}</definedName>
    <definedName name="_8277__FDSAUDITLINK__">{"fdsup://directions/FAT Viewer?action=UPDATE&amp;creator=factset&amp;DYN_ARGS=TRUE&amp;DOC_NAME=FAT:FQL_AUDITING_CLIENT_TEMPLATE.FAT&amp;display_string=Audit&amp;VAR:KEY=PKTMJYVOPU&amp;VAR:QUERY=KFBfUFJJQ0UoMzk5NDcpLShGRl9DQVNIX1NUKFFUUiwzOTk0NykvUF9DT01fU0hTX09VVCgzOTk0NykpKS9GR","V9FU1RJTUFURSgnRVBTJywnTUVBTicsJ0FOTlVBTF9ST0xMJywnKzEnLDM5OTQ3LCwsJycp&amp;WINDOW=FIRST_POPUP&amp;HEIGHT=450&amp;WIDTH=450&amp;START_MAXIMIZED=FALSE&amp;VAR:CALENDAR=US&amp;VAR:SYMBOL=98433210&amp;VAR:INDEX=0"}</definedName>
    <definedName name="_8278__FDSAUDITLINK__">{"fdsup://directions/FAT Viewer?action=UPDATE&amp;creator=factset&amp;DYN_ARGS=TRUE&amp;DOC_NAME=FAT:FQL_AUDITING_CLIENT_TEMPLATE.FAT&amp;display_string=Audit&amp;VAR:KEY=ZWBOPCJSLO&amp;VAR:QUERY=KFBfUFJJQ0UoMzk5NDYpLShGRl9DQVNIX1NUKFFUUiwzOTk0NikvUF9DT01fU0hTX09VVCgzOTk0NikpKS9GR","V9FU1RJTUFURSgnRVBTJywnTUVBTicsJ0FOTlVBTF9ST0xMJywnKzEnLDM5OTQ2LCwsJycp&amp;WINDOW=FIRST_POPUP&amp;HEIGHT=450&amp;WIDTH=450&amp;START_MAXIMIZED=FALSE&amp;VAR:CALENDAR=US&amp;VAR:SYMBOL=98433210&amp;VAR:INDEX=0"}</definedName>
    <definedName name="_8279__FDSAUDITLINK__">{"fdsup://directions/FAT Viewer?action=UPDATE&amp;creator=factset&amp;DYN_ARGS=TRUE&amp;DOC_NAME=FAT:FQL_AUDITING_CLIENT_TEMPLATE.FAT&amp;display_string=Audit&amp;VAR:KEY=ZWBOPCJSLO&amp;VAR:QUERY=KFBfUFJJQ0UoMzk5NDYpLShGRl9DQVNIX1NUKFFUUiwzOTk0NikvUF9DT01fU0hTX09VVCgzOTk0NikpKS9GR","V9FU1RJTUFURSgnRVBTJywnTUVBTicsJ0FOTlVBTF9ST0xMJywnKzEnLDM5OTQ2LCwsJycp&amp;WINDOW=FIRST_POPUP&amp;HEIGHT=450&amp;WIDTH=450&amp;START_MAXIMIZED=FALSE&amp;VAR:CALENDAR=US&amp;VAR:SYMBOL=98433210&amp;VAR:INDEX=0"}</definedName>
    <definedName name="_82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962"}</definedName>
    <definedName name="_8280__FDSAUDITLINK__">{"fdsup://directions/FAT Viewer?action=UPDATE&amp;creator=factset&amp;DYN_ARGS=TRUE&amp;DOC_NAME=FAT:FQL_AUDITING_CLIENT_TEMPLATE.FAT&amp;display_string=Audit&amp;VAR:KEY=NMVOJMLCZO&amp;VAR:QUERY=KFBfUFJJQ0UoMzk5NDUpLShGRl9DQVNIX1NUKFFUUiwzOTk0NSkvUF9DT01fU0hTX09VVCgzOTk0NSkpKS9GR","V9FU1RJTUFURSgnRVBTJywnTUVBTicsJ0FOTlVBTF9ST0xMJywnKzEnLDM5OTQ1LCwsJycp&amp;WINDOW=FIRST_POPUP&amp;HEIGHT=450&amp;WIDTH=450&amp;START_MAXIMIZED=FALSE&amp;VAR:CALENDAR=US&amp;VAR:SYMBOL=98433210&amp;VAR:INDEX=0"}</definedName>
    <definedName name="_8281__FDSAUDITLINK__">{"fdsup://directions/FAT Viewer?action=UPDATE&amp;creator=factset&amp;DYN_ARGS=TRUE&amp;DOC_NAME=FAT:FQL_AUDITING_CLIENT_TEMPLATE.FAT&amp;display_string=Audit&amp;VAR:KEY=NMVOJMLCZO&amp;VAR:QUERY=KFBfUFJJQ0UoMzk5NDUpLShGRl9DQVNIX1NUKFFUUiwzOTk0NSkvUF9DT01fU0hTX09VVCgzOTk0NSkpKS9GR","V9FU1RJTUFURSgnRVBTJywnTUVBTicsJ0FOTlVBTF9ST0xMJywnKzEnLDM5OTQ1LCwsJycp&amp;WINDOW=FIRST_POPUP&amp;HEIGHT=450&amp;WIDTH=450&amp;START_MAXIMIZED=FALSE&amp;VAR:CALENDAR=US&amp;VAR:SYMBOL=98433210&amp;VAR:INDEX=0"}</definedName>
    <definedName name="_8282__FDSAUDITLINK__">{"fdsup://directions/FAT Viewer?action=UPDATE&amp;creator=factset&amp;DYN_ARGS=TRUE&amp;DOC_NAME=FAT:FQL_AUDITING_CLIENT_TEMPLATE.FAT&amp;display_string=Audit&amp;VAR:KEY=DSHSPGTOFC&amp;VAR:QUERY=KFBfUFJJQ0UoMzk5NDQpLShGRl9DQVNIX1NUKFFUUiwzOTk0NCkvUF9DT01fU0hTX09VVCgzOTk0NCkpKS9GR","V9FU1RJTUFURSgnRVBTJywnTUVBTicsJ0FOTlVBTF9ST0xMJywnKzEnLDM5OTQ0LCwsJycp&amp;WINDOW=FIRST_POPUP&amp;HEIGHT=450&amp;WIDTH=450&amp;START_MAXIMIZED=FALSE&amp;VAR:CALENDAR=US&amp;VAR:SYMBOL=98433210&amp;VAR:INDEX=0"}</definedName>
    <definedName name="_8283__FDSAUDITLINK__">{"fdsup://directions/FAT Viewer?action=UPDATE&amp;creator=factset&amp;DYN_ARGS=TRUE&amp;DOC_NAME=FAT:FQL_AUDITING_CLIENT_TEMPLATE.FAT&amp;display_string=Audit&amp;VAR:KEY=DSHSPGTOFC&amp;VAR:QUERY=KFBfUFJJQ0UoMzk5NDQpLShGRl9DQVNIX1NUKFFUUiwzOTk0NCkvUF9DT01fU0hTX09VVCgzOTk0NCkpKS9GR","V9FU1RJTUFURSgnRVBTJywnTUVBTicsJ0FOTlVBTF9ST0xMJywnKzEnLDM5OTQ0LCwsJycp&amp;WINDOW=FIRST_POPUP&amp;HEIGHT=450&amp;WIDTH=450&amp;START_MAXIMIZED=FALSE&amp;VAR:CALENDAR=US&amp;VAR:SYMBOL=98433210&amp;VAR:INDEX=0"}</definedName>
    <definedName name="_8284__FDSAUDITLINK__">{"fdsup://directions/FAT Viewer?action=UPDATE&amp;creator=factset&amp;DYN_ARGS=TRUE&amp;DOC_NAME=FAT:FQL_AUDITING_CLIENT_TEMPLATE.FAT&amp;display_string=Audit&amp;VAR:KEY=VULSRKVIFK&amp;VAR:QUERY=KFBfUFJJQ0UoMzk5NDMpLShGRl9DQVNIX1NUKFFUUiwzOTk0MykvUF9DT01fU0hTX09VVCgzOTk0MykpKS9GR","V9FU1RJTUFURSgnRVBTJywnTUVBTicsJ0FOTlVBTF9ST0xMJywnKzEnLDM5OTQzLCwsJycp&amp;WINDOW=FIRST_POPUP&amp;HEIGHT=450&amp;WIDTH=450&amp;START_MAXIMIZED=FALSE&amp;VAR:CALENDAR=US&amp;VAR:SYMBOL=98433210&amp;VAR:INDEX=0"}</definedName>
    <definedName name="_8285__FDSAUDITLINK__">{"fdsup://directions/FAT Viewer?action=UPDATE&amp;creator=factset&amp;DYN_ARGS=TRUE&amp;DOC_NAME=FAT:FQL_AUDITING_CLIENT_TEMPLATE.FAT&amp;display_string=Audit&amp;VAR:KEY=VULSRKVIFK&amp;VAR:QUERY=KFBfUFJJQ0UoMzk5NDMpLShGRl9DQVNIX1NUKFFUUiwzOTk0MykvUF9DT01fU0hTX09VVCgzOTk0MykpKS9GR","V9FU1RJTUFURSgnRVBTJywnTUVBTicsJ0FOTlVBTF9ST0xMJywnKzEnLDM5OTQzLCwsJycp&amp;WINDOW=FIRST_POPUP&amp;HEIGHT=450&amp;WIDTH=450&amp;START_MAXIMIZED=FALSE&amp;VAR:CALENDAR=US&amp;VAR:SYMBOL=98433210&amp;VAR:INDEX=0"}</definedName>
    <definedName name="_8286__FDSAUDITLINK__">{"fdsup://directions/FAT Viewer?action=UPDATE&amp;creator=factset&amp;DYN_ARGS=TRUE&amp;DOC_NAME=FAT:FQL_AUDITING_CLIENT_TEMPLATE.FAT&amp;display_string=Audit&amp;VAR:KEY=JCZIHITSRQ&amp;VAR:QUERY=KFBfUFJJQ0UoMzk5NDIpLShGRl9DQVNIX1NUKFFUUiwzOTk0MikvUF9DT01fU0hTX09VVCgzOTk0MikpKS9GR","V9FU1RJTUFURSgnRVBTJywnTUVBTicsJ0FOTlVBTF9ST0xMJywnKzEnLDM5OTQyLCwsJycp&amp;WINDOW=FIRST_POPUP&amp;HEIGHT=450&amp;WIDTH=450&amp;START_MAXIMIZED=FALSE&amp;VAR:CALENDAR=US&amp;VAR:SYMBOL=98433210&amp;VAR:INDEX=0"}</definedName>
    <definedName name="_8287__FDSAUDITLINK__">{"fdsup://directions/FAT Viewer?action=UPDATE&amp;creator=factset&amp;DYN_ARGS=TRUE&amp;DOC_NAME=FAT:FQL_AUDITING_CLIENT_TEMPLATE.FAT&amp;display_string=Audit&amp;VAR:KEY=JCZIHITSRQ&amp;VAR:QUERY=KFBfUFJJQ0UoMzk5NDIpLShGRl9DQVNIX1NUKFFUUiwzOTk0MikvUF9DT01fU0hTX09VVCgzOTk0MikpKS9GR","V9FU1RJTUFURSgnRVBTJywnTUVBTicsJ0FOTlVBTF9ST0xMJywnKzEnLDM5OTQyLCwsJycp&amp;WINDOW=FIRST_POPUP&amp;HEIGHT=450&amp;WIDTH=450&amp;START_MAXIMIZED=FALSE&amp;VAR:CALENDAR=US&amp;VAR:SYMBOL=98433210&amp;VAR:INDEX=0"}</definedName>
    <definedName name="_8288__FDSAUDITLINK__">{"fdsup://directions/FAT Viewer?action=UPDATE&amp;creator=factset&amp;DYN_ARGS=TRUE&amp;DOC_NAME=FAT:FQL_AUDITING_CLIENT_TEMPLATE.FAT&amp;display_string=Audit&amp;VAR:KEY=ZSVIBQFQJY&amp;VAR:QUERY=KFBfUFJJQ0UoMzk5NDEpLShGRl9DQVNIX1NUKFFUUiwzOTk0MSkvUF9DT01fU0hTX09VVCgzOTk0MSkpKS9GR","V9FU1RJTUFURSgnRVBTJywnTUVBTicsJ0FOTlVBTF9ST0xMJywnKzEnLDM5OTQxLCwsJycp&amp;WINDOW=FIRST_POPUP&amp;HEIGHT=450&amp;WIDTH=450&amp;START_MAXIMIZED=FALSE&amp;VAR:CALENDAR=US&amp;VAR:SYMBOL=98433210&amp;VAR:INDEX=0"}</definedName>
    <definedName name="_8289__FDSAUDITLINK__">{"fdsup://directions/FAT Viewer?action=UPDATE&amp;creator=factset&amp;DYN_ARGS=TRUE&amp;DOC_NAME=FAT:FQL_AUDITING_CLIENT_TEMPLATE.FAT&amp;display_string=Audit&amp;VAR:KEY=ZSVIBQFQJY&amp;VAR:QUERY=KFBfUFJJQ0UoMzk5NDEpLShGRl9DQVNIX1NUKFFUUiwzOTk0MSkvUF9DT01fU0hTX09VVCgzOTk0MSkpKS9GR","V9FU1RJTUFURSgnRVBTJywnTUVBTicsJ0FOTlVBTF9ST0xMJywnKzEnLDM5OTQxLCwsJycp&amp;WINDOW=FIRST_POPUP&amp;HEIGHT=450&amp;WIDTH=450&amp;START_MAXIMIZED=FALSE&amp;VAR:CALENDAR=US&amp;VAR:SYMBOL=98433210&amp;VAR:INDEX=0"}</definedName>
    <definedName name="_82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961"}</definedName>
    <definedName name="_8290__FDSAUDITLINK__">{"fdsup://directions/FAT Viewer?action=UPDATE&amp;creator=factset&amp;DYN_ARGS=TRUE&amp;DOC_NAME=FAT:FQL_AUDITING_CLIENT_TEMPLATE.FAT&amp;display_string=Audit&amp;VAR:KEY=ZINOFURWRQ&amp;VAR:QUERY=KFBfUFJJQ0UoMzk5NDApLShGRl9DQVNIX1NUKFFUUiwzOTk0MCkvUF9DT01fU0hTX09VVCgzOTk0MCkpKS9GR","V9FU1RJTUFURSgnRVBTJywnTUVBTicsJ0FOTlVBTF9ST0xMJywnKzEnLDM5OTQwLCwsJycp&amp;WINDOW=FIRST_POPUP&amp;HEIGHT=450&amp;WIDTH=450&amp;START_MAXIMIZED=FALSE&amp;VAR:CALENDAR=US&amp;VAR:SYMBOL=98433210&amp;VAR:INDEX=0"}</definedName>
    <definedName name="_8291__FDSAUDITLINK__">{"fdsup://directions/FAT Viewer?action=UPDATE&amp;creator=factset&amp;DYN_ARGS=TRUE&amp;DOC_NAME=FAT:FQL_AUDITING_CLIENT_TEMPLATE.FAT&amp;display_string=Audit&amp;VAR:KEY=ZINOFURWRQ&amp;VAR:QUERY=KFBfUFJJQ0UoMzk5NDApLShGRl9DQVNIX1NUKFFUUiwzOTk0MCkvUF9DT01fU0hTX09VVCgzOTk0MCkpKS9GR","V9FU1RJTUFURSgnRVBTJywnTUVBTicsJ0FOTlVBTF9ST0xMJywnKzEnLDM5OTQwLCwsJycp&amp;WINDOW=FIRST_POPUP&amp;HEIGHT=450&amp;WIDTH=450&amp;START_MAXIMIZED=FALSE&amp;VAR:CALENDAR=US&amp;VAR:SYMBOL=98433210&amp;VAR:INDEX=0"}</definedName>
    <definedName name="_8292__FDSAUDITLINK__">{"fdsup://directions/FAT Viewer?action=UPDATE&amp;creator=factset&amp;DYN_ARGS=TRUE&amp;DOC_NAME=FAT:FQL_AUDITING_CLIENT_TEMPLATE.FAT&amp;display_string=Audit&amp;VAR:KEY=HOVILQXSFO&amp;VAR:QUERY=KFBfUFJJQ0UoMzk5MzkpLShGRl9DQVNIX1NUKFFUUiwzOTkzOSkvUF9DT01fU0hTX09VVCgzOTkzOSkpKS9GR","V9FU1RJTUFURSgnRVBTJywnTUVBTicsJ0FOTlVBTF9ST0xMJywnKzEnLDM5OTM5LCwsJycp&amp;WINDOW=FIRST_POPUP&amp;HEIGHT=450&amp;WIDTH=450&amp;START_MAXIMIZED=FALSE&amp;VAR:CALENDAR=US&amp;VAR:SYMBOL=98433210&amp;VAR:INDEX=0"}</definedName>
    <definedName name="_8293__FDSAUDITLINK__">{"fdsup://directions/FAT Viewer?action=UPDATE&amp;creator=factset&amp;DYN_ARGS=TRUE&amp;DOC_NAME=FAT:FQL_AUDITING_CLIENT_TEMPLATE.FAT&amp;display_string=Audit&amp;VAR:KEY=HOVILQXSFO&amp;VAR:QUERY=KFBfUFJJQ0UoMzk5MzkpLShGRl9DQVNIX1NUKFFUUiwzOTkzOSkvUF9DT01fU0hTX09VVCgzOTkzOSkpKS9GR","V9FU1RJTUFURSgnRVBTJywnTUVBTicsJ0FOTlVBTF9ST0xMJywnKzEnLDM5OTM5LCwsJycp&amp;WINDOW=FIRST_POPUP&amp;HEIGHT=450&amp;WIDTH=450&amp;START_MAXIMIZED=FALSE&amp;VAR:CALENDAR=US&amp;VAR:SYMBOL=98433210&amp;VAR:INDEX=0"}</definedName>
    <definedName name="_8294__FDSAUDITLINK__">{"fdsup://directions/FAT Viewer?action=UPDATE&amp;creator=factset&amp;DYN_ARGS=TRUE&amp;DOC_NAME=FAT:FQL_AUDITING_CLIENT_TEMPLATE.FAT&amp;display_string=Audit&amp;VAR:KEY=BIDEDYHQBK&amp;VAR:QUERY=KFBfUFJJQ0UoMzk5MzgpLShGRl9DQVNIX1NUKFFUUiwzOTkzOCkvUF9DT01fU0hTX09VVCgzOTkzOCkpKS9GR","V9FU1RJTUFURSgnRVBTJywnTUVBTicsJ0FOTlVBTF9ST0xMJywnKzEnLDM5OTM4LCwsJycp&amp;WINDOW=FIRST_POPUP&amp;HEIGHT=450&amp;WIDTH=450&amp;START_MAXIMIZED=FALSE&amp;VAR:CALENDAR=US&amp;VAR:SYMBOL=98433210&amp;VAR:INDEX=0"}</definedName>
    <definedName name="_8295__FDSAUDITLINK__">{"fdsup://directions/FAT Viewer?action=UPDATE&amp;creator=factset&amp;DYN_ARGS=TRUE&amp;DOC_NAME=FAT:FQL_AUDITING_CLIENT_TEMPLATE.FAT&amp;display_string=Audit&amp;VAR:KEY=BIDEDYHQBK&amp;VAR:QUERY=KFBfUFJJQ0UoMzk5MzgpLShGRl9DQVNIX1NUKFFUUiwzOTkzOCkvUF9DT01fU0hTX09VVCgzOTkzOCkpKS9GR","V9FU1RJTUFURSgnRVBTJywnTUVBTicsJ0FOTlVBTF9ST0xMJywnKzEnLDM5OTM4LCwsJycp&amp;WINDOW=FIRST_POPUP&amp;HEIGHT=450&amp;WIDTH=450&amp;START_MAXIMIZED=FALSE&amp;VAR:CALENDAR=US&amp;VAR:SYMBOL=98433210&amp;VAR:INDEX=0"}</definedName>
    <definedName name="_8296__FDSAUDITLINK__">{"fdsup://directions/FAT Viewer?action=UPDATE&amp;creator=factset&amp;DYN_ARGS=TRUE&amp;DOC_NAME=FAT:FQL_AUDITING_CLIENT_TEMPLATE.FAT&amp;display_string=Audit&amp;VAR:KEY=JYBAHQRSXU&amp;VAR:QUERY=KFBfUFJJQ0UoMzk5MzcpLShGRl9DQVNIX1NUKFFUUiwzOTkzNykvUF9DT01fU0hTX09VVCgzOTkzNykpKS9GR","V9FU1RJTUFURSgnRVBTJywnTUVBTicsJ0FOTlVBTF9ST0xMJywnKzEnLDM5OTM3LCwsJycp&amp;WINDOW=FIRST_POPUP&amp;HEIGHT=450&amp;WIDTH=450&amp;START_MAXIMIZED=FALSE&amp;VAR:CALENDAR=US&amp;VAR:SYMBOL=98433210&amp;VAR:INDEX=0"}</definedName>
    <definedName name="_8297__FDSAUDITLINK__">{"fdsup://directions/FAT Viewer?action=UPDATE&amp;creator=factset&amp;DYN_ARGS=TRUE&amp;DOC_NAME=FAT:FQL_AUDITING_CLIENT_TEMPLATE.FAT&amp;display_string=Audit&amp;VAR:KEY=JYBAHQRSXU&amp;VAR:QUERY=KFBfUFJJQ0UoMzk5MzcpLShGRl9DQVNIX1NUKFFUUiwzOTkzNykvUF9DT01fU0hTX09VVCgzOTkzNykpKS9GR","V9FU1RJTUFURSgnRVBTJywnTUVBTicsJ0FOTlVBTF9ST0xMJywnKzEnLDM5OTM3LCwsJycp&amp;WINDOW=FIRST_POPUP&amp;HEIGHT=450&amp;WIDTH=450&amp;START_MAXIMIZED=FALSE&amp;VAR:CALENDAR=US&amp;VAR:SYMBOL=98433210&amp;VAR:INDEX=0"}</definedName>
    <definedName name="_8298__FDSAUDITLINK__">{"fdsup://directions/FAT Viewer?action=UPDATE&amp;creator=factset&amp;DYN_ARGS=TRUE&amp;DOC_NAME=FAT:FQL_AUDITING_CLIENT_TEMPLATE.FAT&amp;display_string=Audit&amp;VAR:KEY=FULUVSBCLA&amp;VAR:QUERY=KFBfUFJJQ0UoMzk5MzYpLShGRl9DQVNIX1NUKFFUUiwzOTkzNikvUF9DT01fU0hTX09VVCgzOTkzNikpKS9GR","V9FU1RJTUFURSgnRVBTJywnTUVBTicsJ0FOTlVBTF9ST0xMJywnKzEnLDM5OTM2LCwsJycp&amp;WINDOW=FIRST_POPUP&amp;HEIGHT=450&amp;WIDTH=450&amp;START_MAXIMIZED=FALSE&amp;VAR:CALENDAR=US&amp;VAR:SYMBOL=98433210&amp;VAR:INDEX=0"}</definedName>
    <definedName name="_8299__FDSAUDITLINK__">{"fdsup://directions/FAT Viewer?action=UPDATE&amp;creator=factset&amp;DYN_ARGS=TRUE&amp;DOC_NAME=FAT:FQL_AUDITING_CLIENT_TEMPLATE.FAT&amp;display_string=Audit&amp;VAR:KEY=FULUVSBCLA&amp;VAR:QUERY=KFBfUFJJQ0UoMzk5MzYpLShGRl9DQVNIX1NUKFFUUiwzOTkzNikvUF9DT01fU0hTX09VVCgzOTkzNikpKS9GR","V9FU1RJTUFURSgnRVBTJywnTUVBTicsJ0FOTlVBTF9ST0xMJywnKzEnLDM5OTM2LCwsJycp&amp;WINDOW=FIRST_POPUP&amp;HEIGHT=450&amp;WIDTH=450&amp;START_MAXIMIZED=FALSE&amp;VAR:CALENDAR=US&amp;VAR:SYMBOL=98433210&amp;VAR:INDEX=0"}</definedName>
    <definedName name="_8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17.467063&amp;VAR:V0=19.047895&amp;VAR:V1=16.991833&amp;VAR:Y0=2003&amp;VAR:Y1=2004&amp;VAR:P=995.965330&amp;VAR:DATE=20030930&amp;VAR:THRESH=-|-|-","|-|-|-|-"}</definedName>
    <definedName name="_83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960"}</definedName>
    <definedName name="_8300__FDSAUDITLINK__">{"fdsup://directions/FAT Viewer?action=UPDATE&amp;creator=factset&amp;DYN_ARGS=TRUE&amp;DOC_NAME=FAT:FQL_AUDITING_CLIENT_TEMPLATE.FAT&amp;display_string=Audit&amp;VAR:KEY=PINILSNCNM&amp;VAR:QUERY=KFBfUFJJQ0UoMzk5MzUpLShGRl9DQVNIX1NUKFFUUiwzOTkzNSkvUF9DT01fU0hTX09VVCgzOTkzNSkpKS9GR","V9FU1RJTUFURSgnRVBTJywnTUVBTicsJ0FOTlVBTF9ST0xMJywnKzEnLDM5OTM1LCwsJycp&amp;WINDOW=FIRST_POPUP&amp;HEIGHT=450&amp;WIDTH=450&amp;START_MAXIMIZED=FALSE&amp;VAR:CALENDAR=US&amp;VAR:SYMBOL=98433210&amp;VAR:INDEX=0"}</definedName>
    <definedName name="_8301__FDSAUDITLINK__">{"fdsup://directions/FAT Viewer?action=UPDATE&amp;creator=factset&amp;DYN_ARGS=TRUE&amp;DOC_NAME=FAT:FQL_AUDITING_CLIENT_TEMPLATE.FAT&amp;display_string=Audit&amp;VAR:KEY=PINILSNCNM&amp;VAR:QUERY=KFBfUFJJQ0UoMzk5MzUpLShGRl9DQVNIX1NUKFFUUiwzOTkzNSkvUF9DT01fU0hTX09VVCgzOTkzNSkpKS9GR","V9FU1RJTUFURSgnRVBTJywnTUVBTicsJ0FOTlVBTF9ST0xMJywnKzEnLDM5OTM1LCwsJycp&amp;WINDOW=FIRST_POPUP&amp;HEIGHT=450&amp;WIDTH=450&amp;START_MAXIMIZED=FALSE&amp;VAR:CALENDAR=US&amp;VAR:SYMBOL=98433210&amp;VAR:INDEX=0"}</definedName>
    <definedName name="_8302__FDSAUDITLINK__">{"fdsup://directions/FAT Viewer?action=UPDATE&amp;creator=factset&amp;DYN_ARGS=TRUE&amp;DOC_NAME=FAT:FQL_AUDITING_CLIENT_TEMPLATE.FAT&amp;display_string=Audit&amp;VAR:KEY=LQVQHEPOTG&amp;VAR:QUERY=KFBfUFJJQ0UoMzk5MzQpLShGRl9DQVNIX1NUKFFUUiwzOTkzNCkvUF9DT01fU0hTX09VVCgzOTkzNCkpKS9GR","V9FU1RJTUFURSgnRVBTJywnTUVBTicsJ0FOTlVBTF9ST0xMJywnKzEnLDM5OTM0LCwsJycp&amp;WINDOW=FIRST_POPUP&amp;HEIGHT=450&amp;WIDTH=450&amp;START_MAXIMIZED=FALSE&amp;VAR:CALENDAR=US&amp;VAR:SYMBOL=98433210&amp;VAR:INDEX=0"}</definedName>
    <definedName name="_8303__FDSAUDITLINK__">{"fdsup://directions/FAT Viewer?action=UPDATE&amp;creator=factset&amp;DYN_ARGS=TRUE&amp;DOC_NAME=FAT:FQL_AUDITING_CLIENT_TEMPLATE.FAT&amp;display_string=Audit&amp;VAR:KEY=LQVQHEPOTG&amp;VAR:QUERY=KFBfUFJJQ0UoMzk5MzQpLShGRl9DQVNIX1NUKFFUUiwzOTkzNCkvUF9DT01fU0hTX09VVCgzOTkzNCkpKS9GR","V9FU1RJTUFURSgnRVBTJywnTUVBTicsJ0FOTlVBTF9ST0xMJywnKzEnLDM5OTM0LCwsJycp&amp;WINDOW=FIRST_POPUP&amp;HEIGHT=450&amp;WIDTH=450&amp;START_MAXIMIZED=FALSE&amp;VAR:CALENDAR=US&amp;VAR:SYMBOL=98433210&amp;VAR:INDEX=0"}</definedName>
    <definedName name="_8304__FDSAUDITLINK__">{"fdsup://directions/FAT Viewer?action=UPDATE&amp;creator=factset&amp;DYN_ARGS=TRUE&amp;DOC_NAME=FAT:FQL_AUDITING_CLIENT_TEMPLATE.FAT&amp;display_string=Audit&amp;VAR:KEY=FKRANQNGJY&amp;VAR:QUERY=KFBfUFJJQ0UoMzk5MzMpLShGRl9DQVNIX1NUKFFUUiwzOTkzMykvUF9DT01fU0hTX09VVCgzOTkzMykpKS9GR","V9FU1RJTUFURSgnRVBTJywnTUVBTicsJ0FOTlVBTF9ST0xMJywnKzEnLDM5OTMzLCwsJycp&amp;WINDOW=FIRST_POPUP&amp;HEIGHT=450&amp;WIDTH=450&amp;START_MAXIMIZED=FALSE&amp;VAR:CALENDAR=US&amp;VAR:SYMBOL=98433210&amp;VAR:INDEX=0"}</definedName>
    <definedName name="_8305__FDSAUDITLINK__">{"fdsup://directions/FAT Viewer?action=UPDATE&amp;creator=factset&amp;DYN_ARGS=TRUE&amp;DOC_NAME=FAT:FQL_AUDITING_CLIENT_TEMPLATE.FAT&amp;display_string=Audit&amp;VAR:KEY=FKRANQNGJY&amp;VAR:QUERY=KFBfUFJJQ0UoMzk5MzMpLShGRl9DQVNIX1NUKFFUUiwzOTkzMykvUF9DT01fU0hTX09VVCgzOTkzMykpKS9GR","V9FU1RJTUFURSgnRVBTJywnTUVBTicsJ0FOTlVBTF9ST0xMJywnKzEnLDM5OTMzLCwsJycp&amp;WINDOW=FIRST_POPUP&amp;HEIGHT=450&amp;WIDTH=450&amp;START_MAXIMIZED=FALSE&amp;VAR:CALENDAR=US&amp;VAR:SYMBOL=98433210&amp;VAR:INDEX=0"}</definedName>
    <definedName name="_8306__FDSAUDITLINK__">{"fdsup://directions/FAT Viewer?action=UPDATE&amp;creator=factset&amp;DYN_ARGS=TRUE&amp;DOC_NAME=FAT:FQL_AUDITING_CLIENT_TEMPLATE.FAT&amp;display_string=Audit&amp;VAR:KEY=VIJGFENQTK&amp;VAR:QUERY=KFBfUFJJQ0UoMzk5MzIpLShGRl9DQVNIX1NUKFFUUiwzOTkzMikvUF9DT01fU0hTX09VVCgzOTkzMikpKS9GR","V9FU1RJTUFURSgnRVBTJywnTUVBTicsJ0FOTlVBTF9ST0xMJywnKzEnLDM5OTMyLCwsJycp&amp;WINDOW=FIRST_POPUP&amp;HEIGHT=450&amp;WIDTH=450&amp;START_MAXIMIZED=FALSE&amp;VAR:CALENDAR=US&amp;VAR:SYMBOL=98433210&amp;VAR:INDEX=0"}</definedName>
    <definedName name="_8307__FDSAUDITLINK__">{"fdsup://directions/FAT Viewer?action=UPDATE&amp;creator=factset&amp;DYN_ARGS=TRUE&amp;DOC_NAME=FAT:FQL_AUDITING_CLIENT_TEMPLATE.FAT&amp;display_string=Audit&amp;VAR:KEY=VIJGFENQTK&amp;VAR:QUERY=KFBfUFJJQ0UoMzk5MzIpLShGRl9DQVNIX1NUKFFUUiwzOTkzMikvUF9DT01fU0hTX09VVCgzOTkzMikpKS9GR","V9FU1RJTUFURSgnRVBTJywnTUVBTicsJ0FOTlVBTF9ST0xMJywnKzEnLDM5OTMyLCwsJycp&amp;WINDOW=FIRST_POPUP&amp;HEIGHT=450&amp;WIDTH=450&amp;START_MAXIMIZED=FALSE&amp;VAR:CALENDAR=US&amp;VAR:SYMBOL=98433210&amp;VAR:INDEX=0"}</definedName>
    <definedName name="_8308__FDSAUDITLINK__">{"fdsup://directions/FAT Viewer?action=UPDATE&amp;creator=factset&amp;DYN_ARGS=TRUE&amp;DOC_NAME=FAT:FQL_AUDITING_CLIENT_TEMPLATE.FAT&amp;display_string=Audit&amp;VAR:KEY=DUDIDUZCNI&amp;VAR:QUERY=KFBfUFJJQ0UoMzk5MzEpLShGRl9DQVNIX1NUKFFUUiwzOTkzMSkvUF9DT01fU0hTX09VVCgzOTkzMSkpKS9GR","V9FU1RJTUFURSgnRVBTJywnTUVBTicsJ0FOTlVBTF9ST0xMJywnKzEnLDM5OTMxLCwsJycp&amp;WINDOW=FIRST_POPUP&amp;HEIGHT=450&amp;WIDTH=450&amp;START_MAXIMIZED=FALSE&amp;VAR:CALENDAR=US&amp;VAR:SYMBOL=98433210&amp;VAR:INDEX=0"}</definedName>
    <definedName name="_8309__FDSAUDITLINK__">{"fdsup://directions/FAT Viewer?action=UPDATE&amp;creator=factset&amp;DYN_ARGS=TRUE&amp;DOC_NAME=FAT:FQL_AUDITING_CLIENT_TEMPLATE.FAT&amp;display_string=Audit&amp;VAR:KEY=DUDIDUZCNI&amp;VAR:QUERY=KFBfUFJJQ0UoMzk5MzEpLShGRl9DQVNIX1NUKFFUUiwzOTkzMSkvUF9DT01fU0hTX09VVCgzOTkzMSkpKS9GR","V9FU1RJTUFURSgnRVBTJywnTUVBTicsJ0FOTlVBTF9ST0xMJywnKzEnLDM5OTMxLCwsJycp&amp;WINDOW=FIRST_POPUP&amp;HEIGHT=450&amp;WIDTH=450&amp;START_MAXIMIZED=FALSE&amp;VAR:CALENDAR=US&amp;VAR:SYMBOL=98433210&amp;VAR:INDEX=0"}</definedName>
    <definedName name="_83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959"}</definedName>
    <definedName name="_8310__FDSAUDITLINK__">{"fdsup://directions/FAT Viewer?action=UPDATE&amp;creator=factset&amp;DYN_ARGS=TRUE&amp;DOC_NAME=FAT:FQL_AUDITING_CLIENT_TEMPLATE.FAT&amp;display_string=Audit&amp;VAR:KEY=XORUJKZMTG&amp;VAR:QUERY=KFBfUFJJQ0UoMzk5MzApLShGRl9DQVNIX1NUKFFUUiwzOTkzMCkvUF9DT01fU0hTX09VVCgzOTkzMCkpKS9GR","V9FU1RJTUFURSgnRVBTJywnTUVBTicsJ0FOTlVBTF9ST0xMJywnKzEnLDM5OTMwLCwsJycp&amp;WINDOW=FIRST_POPUP&amp;HEIGHT=450&amp;WIDTH=450&amp;START_MAXIMIZED=FALSE&amp;VAR:CALENDAR=US&amp;VAR:SYMBOL=98433210&amp;VAR:INDEX=0"}</definedName>
    <definedName name="_8311__FDSAUDITLINK__">{"fdsup://directions/FAT Viewer?action=UPDATE&amp;creator=factset&amp;DYN_ARGS=TRUE&amp;DOC_NAME=FAT:FQL_AUDITING_CLIENT_TEMPLATE.FAT&amp;display_string=Audit&amp;VAR:KEY=XORUJKZMTG&amp;VAR:QUERY=KFBfUFJJQ0UoMzk5MzApLShGRl9DQVNIX1NUKFFUUiwzOTkzMCkvUF9DT01fU0hTX09VVCgzOTkzMCkpKS9GR","V9FU1RJTUFURSgnRVBTJywnTUVBTicsJ0FOTlVBTF9ST0xMJywnKzEnLDM5OTMwLCwsJycp&amp;WINDOW=FIRST_POPUP&amp;HEIGHT=450&amp;WIDTH=450&amp;START_MAXIMIZED=FALSE&amp;VAR:CALENDAR=US&amp;VAR:SYMBOL=98433210&amp;VAR:INDEX=0"}</definedName>
    <definedName name="_8312__FDSAUDITLINK__">{"fdsup://directions/FAT Viewer?action=UPDATE&amp;creator=factset&amp;DYN_ARGS=TRUE&amp;DOC_NAME=FAT:FQL_AUDITING_CLIENT_TEMPLATE.FAT&amp;display_string=Audit&amp;VAR:KEY=VOREVAPELY&amp;VAR:QUERY=KFBfUFJJQ0UoMzk5MjkpLShGRl9DQVNIX1NUKFFUUiwzOTkyOSkvUF9DT01fU0hTX09VVCgzOTkyOSkpKS9GR","V9FU1RJTUFURSgnRVBTJywnTUVBTicsJ0FOTlVBTF9ST0xMJywnKzEnLDM5OTI5LCwsJycp&amp;WINDOW=FIRST_POPUP&amp;HEIGHT=450&amp;WIDTH=450&amp;START_MAXIMIZED=FALSE&amp;VAR:CALENDAR=US&amp;VAR:SYMBOL=98433210&amp;VAR:INDEX=0"}</definedName>
    <definedName name="_8313__FDSAUDITLINK__">{"fdsup://directions/FAT Viewer?action=UPDATE&amp;creator=factset&amp;DYN_ARGS=TRUE&amp;DOC_NAME=FAT:FQL_AUDITING_CLIENT_TEMPLATE.FAT&amp;display_string=Audit&amp;VAR:KEY=VOREVAPELY&amp;VAR:QUERY=KFBfUFJJQ0UoMzk5MjkpLShGRl9DQVNIX1NUKFFUUiwzOTkyOSkvUF9DT01fU0hTX09VVCgzOTkyOSkpKS9GR","V9FU1RJTUFURSgnRVBTJywnTUVBTicsJ0FOTlVBTF9ST0xMJywnKzEnLDM5OTI5LCwsJycp&amp;WINDOW=FIRST_POPUP&amp;HEIGHT=450&amp;WIDTH=450&amp;START_MAXIMIZED=FALSE&amp;VAR:CALENDAR=US&amp;VAR:SYMBOL=98433210&amp;VAR:INDEX=0"}</definedName>
    <definedName name="_8314__FDSAUDITLINK__">{"fdsup://directions/FAT Viewer?action=UPDATE&amp;creator=factset&amp;DYN_ARGS=TRUE&amp;DOC_NAME=FAT:FQL_AUDITING_CLIENT_TEMPLATE.FAT&amp;display_string=Audit&amp;VAR:KEY=VMRAZIDKJW&amp;VAR:QUERY=KFBfUFJJQ0UoMzk5MjgpLShGRl9DQVNIX1NUKFFUUiwzOTkyOCkvUF9DT01fU0hTX09VVCgzOTkyOCkpKS9GR","V9FU1RJTUFURSgnRVBTJywnTUVBTicsJ0FOTlVBTF9ST0xMJywnKzEnLDM5OTI4LCwsJycp&amp;WINDOW=FIRST_POPUP&amp;HEIGHT=450&amp;WIDTH=450&amp;START_MAXIMIZED=FALSE&amp;VAR:CALENDAR=US&amp;VAR:SYMBOL=98433210&amp;VAR:INDEX=0"}</definedName>
    <definedName name="_8315__FDSAUDITLINK__">{"fdsup://directions/FAT Viewer?action=UPDATE&amp;creator=factset&amp;DYN_ARGS=TRUE&amp;DOC_NAME=FAT:FQL_AUDITING_CLIENT_TEMPLATE.FAT&amp;display_string=Audit&amp;VAR:KEY=VMRAZIDKJW&amp;VAR:QUERY=KFBfUFJJQ0UoMzk5MjgpLShGRl9DQVNIX1NUKFFUUiwzOTkyOCkvUF9DT01fU0hTX09VVCgzOTkyOCkpKS9GR","V9FU1RJTUFURSgnRVBTJywnTUVBTicsJ0FOTlVBTF9ST0xMJywnKzEnLDM5OTI4LCwsJycp&amp;WINDOW=FIRST_POPUP&amp;HEIGHT=450&amp;WIDTH=450&amp;START_MAXIMIZED=FALSE&amp;VAR:CALENDAR=US&amp;VAR:SYMBOL=98433210&amp;VAR:INDEX=0"}</definedName>
    <definedName name="_8316__FDSAUDITLINK__">{"fdsup://directions/FAT Viewer?action=UPDATE&amp;creator=factset&amp;DYN_ARGS=TRUE&amp;DOC_NAME=FAT:FQL_AUDITING_CLIENT_TEMPLATE.FAT&amp;display_string=Audit&amp;VAR:KEY=RIJGHUJMLG&amp;VAR:QUERY=KFBfUFJJQ0UoMzk5MjcpLShGRl9DQVNIX1NUKFFUUiwzOTkyNykvUF9DT01fU0hTX09VVCgzOTkyNykpKS9GR","V9FU1RJTUFURSgnRVBTJywnTUVBTicsJ0FOTlVBTF9ST0xMJywnKzEnLDM5OTI3LCwsJycp&amp;WINDOW=FIRST_POPUP&amp;HEIGHT=450&amp;WIDTH=450&amp;START_MAXIMIZED=FALSE&amp;VAR:CALENDAR=US&amp;VAR:SYMBOL=98433210&amp;VAR:INDEX=0"}</definedName>
    <definedName name="_8317__FDSAUDITLINK__">{"fdsup://directions/FAT Viewer?action=UPDATE&amp;creator=factset&amp;DYN_ARGS=TRUE&amp;DOC_NAME=FAT:FQL_AUDITING_CLIENT_TEMPLATE.FAT&amp;display_string=Audit&amp;VAR:KEY=RIJGHUJMLG&amp;VAR:QUERY=KFBfUFJJQ0UoMzk5MjcpLShGRl9DQVNIX1NUKFFUUiwzOTkyNykvUF9DT01fU0hTX09VVCgzOTkyNykpKS9GR","V9FU1RJTUFURSgnRVBTJywnTUVBTicsJ0FOTlVBTF9ST0xMJywnKzEnLDM5OTI3LCwsJycp&amp;WINDOW=FIRST_POPUP&amp;HEIGHT=450&amp;WIDTH=450&amp;START_MAXIMIZED=FALSE&amp;VAR:CALENDAR=US&amp;VAR:SYMBOL=98433210&amp;VAR:INDEX=0"}</definedName>
    <definedName name="_8318__FDSAUDITLINK__">{"fdsup://directions/FAT Viewer?action=UPDATE&amp;creator=factset&amp;DYN_ARGS=TRUE&amp;DOC_NAME=FAT:FQL_AUDITING_CLIENT_TEMPLATE.FAT&amp;display_string=Audit&amp;VAR:KEY=BEFETWXARI&amp;VAR:QUERY=KFBfUFJJQ0UoMzk5MjYpLShGRl9DQVNIX1NUKFFUUiwzOTkyNikvUF9DT01fU0hTX09VVCgzOTkyNikpKS9GR","V9FU1RJTUFURSgnRVBTJywnTUVBTicsJ0FOTlVBTF9ST0xMJywnKzEnLDM5OTI2LCwsJycp&amp;WINDOW=FIRST_POPUP&amp;HEIGHT=450&amp;WIDTH=450&amp;START_MAXIMIZED=FALSE&amp;VAR:CALENDAR=US&amp;VAR:SYMBOL=98433210&amp;VAR:INDEX=0"}</definedName>
    <definedName name="_8319__FDSAUDITLINK__">{"fdsup://directions/FAT Viewer?action=UPDATE&amp;creator=factset&amp;DYN_ARGS=TRUE&amp;DOC_NAME=FAT:FQL_AUDITING_CLIENT_TEMPLATE.FAT&amp;display_string=Audit&amp;VAR:KEY=BEFETWXARI&amp;VAR:QUERY=KFBfUFJJQ0UoMzk5MjYpLShGRl9DQVNIX1NUKFFUUiwzOTkyNikvUF9DT01fU0hTX09VVCgzOTkyNikpKS9GR","V9FU1RJTUFURSgnRVBTJywnTUVBTicsJ0FOTlVBTF9ST0xMJywnKzEnLDM5OTI2LCwsJycp&amp;WINDOW=FIRST_POPUP&amp;HEIGHT=450&amp;WIDTH=450&amp;START_MAXIMIZED=FALSE&amp;VAR:CALENDAR=US&amp;VAR:SYMBOL=98433210&amp;VAR:INDEX=0"}</definedName>
    <definedName name="_83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958"}</definedName>
    <definedName name="_8320__FDSAUDITLINK__">{"fdsup://directions/FAT Viewer?action=UPDATE&amp;creator=factset&amp;DYN_ARGS=TRUE&amp;DOC_NAME=FAT:FQL_AUDITING_CLIENT_TEMPLATE.FAT&amp;display_string=Audit&amp;VAR:KEY=JCJKRIFATY&amp;VAR:QUERY=KFBfUFJJQ0UoMzk5MjUpLShGRl9DQVNIX1NUKFFUUiwzOTkyNSkvUF9DT01fU0hTX09VVCgzOTkyNSkpKS9GR","V9FU1RJTUFURSgnRVBTJywnTUVBTicsJ0FOTlVBTF9ST0xMJywnKzEnLDM5OTI1LCwsJycp&amp;WINDOW=FIRST_POPUP&amp;HEIGHT=450&amp;WIDTH=450&amp;START_MAXIMIZED=FALSE&amp;VAR:CALENDAR=US&amp;VAR:SYMBOL=98433210&amp;VAR:INDEX=0"}</definedName>
    <definedName name="_8321__FDSAUDITLINK__">{"fdsup://directions/FAT Viewer?action=UPDATE&amp;creator=factset&amp;DYN_ARGS=TRUE&amp;DOC_NAME=FAT:FQL_AUDITING_CLIENT_TEMPLATE.FAT&amp;display_string=Audit&amp;VAR:KEY=JCJKRIFATY&amp;VAR:QUERY=KFBfUFJJQ0UoMzk5MjUpLShGRl9DQVNIX1NUKFFUUiwzOTkyNSkvUF9DT01fU0hTX09VVCgzOTkyNSkpKS9GR","V9FU1RJTUFURSgnRVBTJywnTUVBTicsJ0FOTlVBTF9ST0xMJywnKzEnLDM5OTI1LCwsJycp&amp;WINDOW=FIRST_POPUP&amp;HEIGHT=450&amp;WIDTH=450&amp;START_MAXIMIZED=FALSE&amp;VAR:CALENDAR=US&amp;VAR:SYMBOL=98433210&amp;VAR:INDEX=0"}</definedName>
    <definedName name="_8322__FDSAUDITLINK__">{"fdsup://directions/FAT Viewer?action=UPDATE&amp;creator=factset&amp;DYN_ARGS=TRUE&amp;DOC_NAME=FAT:FQL_AUDITING_CLIENT_TEMPLATE.FAT&amp;display_string=Audit&amp;VAR:KEY=XMPAPYVGXU&amp;VAR:QUERY=KFBfUFJJQ0UoMzk5MjQpLShGRl9DQVNIX1NUKFFUUiwzOTkyNCkvUF9DT01fU0hTX09VVCgzOTkyNCkpKS9GR","V9FU1RJTUFURSgnRVBTJywnTUVBTicsJ0FOTlVBTF9ST0xMJywnKzEnLDM5OTI0LCwsJycp&amp;WINDOW=FIRST_POPUP&amp;HEIGHT=450&amp;WIDTH=450&amp;START_MAXIMIZED=FALSE&amp;VAR:CALENDAR=US&amp;VAR:SYMBOL=98433210&amp;VAR:INDEX=0"}</definedName>
    <definedName name="_8323__FDSAUDITLINK__">{"fdsup://directions/FAT Viewer?action=UPDATE&amp;creator=factset&amp;DYN_ARGS=TRUE&amp;DOC_NAME=FAT:FQL_AUDITING_CLIENT_TEMPLATE.FAT&amp;display_string=Audit&amp;VAR:KEY=XMPAPYVGXU&amp;VAR:QUERY=KFBfUFJJQ0UoMzk5MjQpLShGRl9DQVNIX1NUKFFUUiwzOTkyNCkvUF9DT01fU0hTX09VVCgzOTkyNCkpKS9GR","V9FU1RJTUFURSgnRVBTJywnTUVBTicsJ0FOTlVBTF9ST0xMJywnKzEnLDM5OTI0LCwsJycp&amp;WINDOW=FIRST_POPUP&amp;HEIGHT=450&amp;WIDTH=450&amp;START_MAXIMIZED=FALSE&amp;VAR:CALENDAR=US&amp;VAR:SYMBOL=98433210&amp;VAR:INDEX=0"}</definedName>
    <definedName name="_8324__FDSAUDITLINK__">{"fdsup://directions/FAT Viewer?action=UPDATE&amp;creator=factset&amp;DYN_ARGS=TRUE&amp;DOC_NAME=FAT:FQL_AUDITING_CLIENT_TEMPLATE.FAT&amp;display_string=Audit&amp;VAR:KEY=NSBEFQVYZW&amp;VAR:QUERY=KFBfUFJJQ0UoMzk5MjMpLShGRl9DQVNIX1NUKFFUUiwzOTkyMykvUF9DT01fU0hTX09VVCgzOTkyMykpKS9GR","V9FU1RJTUFURSgnRVBTJywnTUVBTicsJ0FOTlVBTF9ST0xMJywnKzEnLDM5OTIzLCwsJycp&amp;WINDOW=FIRST_POPUP&amp;HEIGHT=450&amp;WIDTH=450&amp;START_MAXIMIZED=FALSE&amp;VAR:CALENDAR=US&amp;VAR:SYMBOL=98433210&amp;VAR:INDEX=0"}</definedName>
    <definedName name="_8325__FDSAUDITLINK__">{"fdsup://directions/FAT Viewer?action=UPDATE&amp;creator=factset&amp;DYN_ARGS=TRUE&amp;DOC_NAME=FAT:FQL_AUDITING_CLIENT_TEMPLATE.FAT&amp;display_string=Audit&amp;VAR:KEY=NSBEFQVYZW&amp;VAR:QUERY=KFBfUFJJQ0UoMzk5MjMpLShGRl9DQVNIX1NUKFFUUiwzOTkyMykvUF9DT01fU0hTX09VVCgzOTkyMykpKS9GR","V9FU1RJTUFURSgnRVBTJywnTUVBTicsJ0FOTlVBTF9ST0xMJywnKzEnLDM5OTIzLCwsJycp&amp;WINDOW=FIRST_POPUP&amp;HEIGHT=450&amp;WIDTH=450&amp;START_MAXIMIZED=FALSE&amp;VAR:CALENDAR=US&amp;VAR:SYMBOL=98433210&amp;VAR:INDEX=0"}</definedName>
    <definedName name="_8326__FDSAUDITLINK__">{"fdsup://directions/FAT Viewer?action=UPDATE&amp;creator=factset&amp;DYN_ARGS=TRUE&amp;DOC_NAME=FAT:FQL_AUDITING_CLIENT_TEMPLATE.FAT&amp;display_string=Audit&amp;VAR:KEY=JQHAVOBORK&amp;VAR:QUERY=KFBfUFJJQ0UoMzk5MjIpLShGRl9DQVNIX1NUKFFUUiwzOTkyMikvUF9DT01fU0hTX09VVCgzOTkyMikpKS9GR","V9FU1RJTUFURSgnRVBTJywnTUVBTicsJ0FOTlVBTF9ST0xMJywnKzEnLDM5OTIyLCwsJycp&amp;WINDOW=FIRST_POPUP&amp;HEIGHT=450&amp;WIDTH=450&amp;START_MAXIMIZED=FALSE&amp;VAR:CALENDAR=US&amp;VAR:SYMBOL=98433210&amp;VAR:INDEX=0"}</definedName>
    <definedName name="_8327__FDSAUDITLINK__">{"fdsup://directions/FAT Viewer?action=UPDATE&amp;creator=factset&amp;DYN_ARGS=TRUE&amp;DOC_NAME=FAT:FQL_AUDITING_CLIENT_TEMPLATE.FAT&amp;display_string=Audit&amp;VAR:KEY=JQHAVOBORK&amp;VAR:QUERY=KFBfUFJJQ0UoMzk5MjIpLShGRl9DQVNIX1NUKFFUUiwzOTkyMikvUF9DT01fU0hTX09VVCgzOTkyMikpKS9GR","V9FU1RJTUFURSgnRVBTJywnTUVBTicsJ0FOTlVBTF9ST0xMJywnKzEnLDM5OTIyLCwsJycp&amp;WINDOW=FIRST_POPUP&amp;HEIGHT=450&amp;WIDTH=450&amp;START_MAXIMIZED=FALSE&amp;VAR:CALENDAR=US&amp;VAR:SYMBOL=98433210&amp;VAR:INDEX=0"}</definedName>
    <definedName name="_8328__FDSAUDITLINK__">{"fdsup://directions/FAT Viewer?action=UPDATE&amp;creator=factset&amp;DYN_ARGS=TRUE&amp;DOC_NAME=FAT:FQL_AUDITING_CLIENT_TEMPLATE.FAT&amp;display_string=Audit&amp;VAR:KEY=XYVQJEPQRK&amp;VAR:QUERY=KFBfUFJJQ0UoMzk5MjEpLShGRl9DQVNIX1NUKFFUUiwzOTkyMSkvUF9DT01fU0hTX09VVCgzOTkyMSkpKS9GR","V9FU1RJTUFURSgnRVBTJywnTUVBTicsJ0FOTlVBTF9ST0xMJywnKzEnLDM5OTIxLCwsJycp&amp;WINDOW=FIRST_POPUP&amp;HEIGHT=450&amp;WIDTH=450&amp;START_MAXIMIZED=FALSE&amp;VAR:CALENDAR=US&amp;VAR:SYMBOL=98433210&amp;VAR:INDEX=0"}</definedName>
    <definedName name="_8329__FDSAUDITLINK__">{"fdsup://directions/FAT Viewer?action=UPDATE&amp;creator=factset&amp;DYN_ARGS=TRUE&amp;DOC_NAME=FAT:FQL_AUDITING_CLIENT_TEMPLATE.FAT&amp;display_string=Audit&amp;VAR:KEY=XYVQJEPQRK&amp;VAR:QUERY=KFBfUFJJQ0UoMzk5MjEpLShGRl9DQVNIX1NUKFFUUiwzOTkyMSkvUF9DT01fU0hTX09VVCgzOTkyMSkpKS9GR","V9FU1RJTUFURSgnRVBTJywnTUVBTicsJ0FOTlVBTF9ST0xMJywnKzEnLDM5OTIxLCwsJycp&amp;WINDOW=FIRST_POPUP&amp;HEIGHT=450&amp;WIDTH=450&amp;START_MAXIMIZED=FALSE&amp;VAR:CALENDAR=US&amp;VAR:SYMBOL=98433210&amp;VAR:INDEX=0"}</definedName>
    <definedName name="_83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957"}</definedName>
    <definedName name="_8330__FDSAUDITLINK__">{"fdsup://directions/FAT Viewer?action=UPDATE&amp;creator=factset&amp;DYN_ARGS=TRUE&amp;DOC_NAME=FAT:FQL_AUDITING_CLIENT_TEMPLATE.FAT&amp;display_string=Audit&amp;VAR:KEY=XIPKFYTILC&amp;VAR:QUERY=KFBfUFJJQ0UoMzk5MjApLShGRl9DQVNIX1NUKFFUUiwzOTkyMCkvUF9DT01fU0hTX09VVCgzOTkyMCkpKS9GR","V9FU1RJTUFURSgnRVBTJywnTUVBTicsJ0FOTlVBTF9ST0xMJywnKzEnLDM5OTIwLCwsJycp&amp;WINDOW=FIRST_POPUP&amp;HEIGHT=450&amp;WIDTH=450&amp;START_MAXIMIZED=FALSE&amp;VAR:CALENDAR=US&amp;VAR:SYMBOL=98433210&amp;VAR:INDEX=0"}</definedName>
    <definedName name="_8331__FDSAUDITLINK__">{"fdsup://directions/FAT Viewer?action=UPDATE&amp;creator=factset&amp;DYN_ARGS=TRUE&amp;DOC_NAME=FAT:FQL_AUDITING_CLIENT_TEMPLATE.FAT&amp;display_string=Audit&amp;VAR:KEY=XIPKFYTILC&amp;VAR:QUERY=KFBfUFJJQ0UoMzk5MjApLShGRl9DQVNIX1NUKFFUUiwzOTkyMCkvUF9DT01fU0hTX09VVCgzOTkyMCkpKS9GR","V9FU1RJTUFURSgnRVBTJywnTUVBTicsJ0FOTlVBTF9ST0xMJywnKzEnLDM5OTIwLCwsJycp&amp;WINDOW=FIRST_POPUP&amp;HEIGHT=450&amp;WIDTH=450&amp;START_MAXIMIZED=FALSE&amp;VAR:CALENDAR=US&amp;VAR:SYMBOL=98433210&amp;VAR:INDEX=0"}</definedName>
    <definedName name="_8332__FDSAUDITLINK__">{"fdsup://directions/FAT Viewer?action=UPDATE&amp;creator=factset&amp;DYN_ARGS=TRUE&amp;DOC_NAME=FAT:FQL_AUDITING_CLIENT_TEMPLATE.FAT&amp;display_string=Audit&amp;VAR:KEY=JANEZUPOXQ&amp;VAR:QUERY=KFBfUFJJQ0UoMzk5MTkpLShGRl9DQVNIX1NUKFFUUiwzOTkxOSkvUF9DT01fU0hTX09VVCgzOTkxOSkpKS9GR","V9FU1RJTUFURSgnRVBTJywnTUVBTicsJ0FOTlVBTF9ST0xMJywnKzEnLDM5OTE5LCwsJycp&amp;WINDOW=FIRST_POPUP&amp;HEIGHT=450&amp;WIDTH=450&amp;START_MAXIMIZED=FALSE&amp;VAR:CALENDAR=US&amp;VAR:SYMBOL=98433210&amp;VAR:INDEX=0"}</definedName>
    <definedName name="_8333__FDSAUDITLINK__">{"fdsup://directions/FAT Viewer?action=UPDATE&amp;creator=factset&amp;DYN_ARGS=TRUE&amp;DOC_NAME=FAT:FQL_AUDITING_CLIENT_TEMPLATE.FAT&amp;display_string=Audit&amp;VAR:KEY=JANEZUPOXQ&amp;VAR:QUERY=KFBfUFJJQ0UoMzk5MTkpLShGRl9DQVNIX1NUKFFUUiwzOTkxOSkvUF9DT01fU0hTX09VVCgzOTkxOSkpKS9GR","V9FU1RJTUFURSgnRVBTJywnTUVBTicsJ0FOTlVBTF9ST0xMJywnKzEnLDM5OTE5LCwsJycp&amp;WINDOW=FIRST_POPUP&amp;HEIGHT=450&amp;WIDTH=450&amp;START_MAXIMIZED=FALSE&amp;VAR:CALENDAR=US&amp;VAR:SYMBOL=98433210&amp;VAR:INDEX=0"}</definedName>
    <definedName name="_8334__FDSAUDITLINK__">{"fdsup://directions/FAT Viewer?action=UPDATE&amp;creator=factset&amp;DYN_ARGS=TRUE&amp;DOC_NAME=FAT:FQL_AUDITING_CLIENT_TEMPLATE.FAT&amp;display_string=Audit&amp;VAR:KEY=HAFSPQJSDQ&amp;VAR:QUERY=KFBfUFJJQ0UoMzk5MTgpLShGRl9DQVNIX1NUKFFUUiwzOTkxOCkvUF9DT01fU0hTX09VVCgzOTkxOCkpKS9GR","V9FU1RJTUFURSgnRVBTJywnTUVBTicsJ0FOTlVBTF9ST0xMJywnKzEnLDM5OTE4LCwsJycp&amp;WINDOW=FIRST_POPUP&amp;HEIGHT=450&amp;WIDTH=450&amp;START_MAXIMIZED=FALSE&amp;VAR:CALENDAR=US&amp;VAR:SYMBOL=98433210&amp;VAR:INDEX=0"}</definedName>
    <definedName name="_8335__FDSAUDITLINK__">{"fdsup://directions/FAT Viewer?action=UPDATE&amp;creator=factset&amp;DYN_ARGS=TRUE&amp;DOC_NAME=FAT:FQL_AUDITING_CLIENT_TEMPLATE.FAT&amp;display_string=Audit&amp;VAR:KEY=HAFSPQJSDQ&amp;VAR:QUERY=KFBfUFJJQ0UoMzk5MTgpLShGRl9DQVNIX1NUKFFUUiwzOTkxOCkvUF9DT01fU0hTX09VVCgzOTkxOCkpKS9GR","V9FU1RJTUFURSgnRVBTJywnTUVBTicsJ0FOTlVBTF9ST0xMJywnKzEnLDM5OTE4LCwsJycp&amp;WINDOW=FIRST_POPUP&amp;HEIGHT=450&amp;WIDTH=450&amp;START_MAXIMIZED=FALSE&amp;VAR:CALENDAR=US&amp;VAR:SYMBOL=98433210&amp;VAR:INDEX=0"}</definedName>
    <definedName name="_8336__FDSAUDITLINK__">{"fdsup://directions/FAT Viewer?action=UPDATE&amp;creator=factset&amp;DYN_ARGS=TRUE&amp;DOC_NAME=FAT:FQL_AUDITING_CLIENT_TEMPLATE.FAT&amp;display_string=Audit&amp;VAR:KEY=TSTENQZUVU&amp;VAR:QUERY=KFBfUFJJQ0UoMzk5MTcpLShGRl9DQVNIX1NUKFFUUiwzOTkxNykvUF9DT01fU0hTX09VVCgzOTkxNykpKS9GR","V9FU1RJTUFURSgnRVBTJywnTUVBTicsJ0FOTlVBTF9ST0xMJywnKzEnLDM5OTE3LCwsJycp&amp;WINDOW=FIRST_POPUP&amp;HEIGHT=450&amp;WIDTH=450&amp;START_MAXIMIZED=FALSE&amp;VAR:CALENDAR=US&amp;VAR:SYMBOL=98433210&amp;VAR:INDEX=0"}</definedName>
    <definedName name="_8337__FDSAUDITLINK__">{"fdsup://directions/FAT Viewer?action=UPDATE&amp;creator=factset&amp;DYN_ARGS=TRUE&amp;DOC_NAME=FAT:FQL_AUDITING_CLIENT_TEMPLATE.FAT&amp;display_string=Audit&amp;VAR:KEY=TSTENQZUVU&amp;VAR:QUERY=KFBfUFJJQ0UoMzk5MTcpLShGRl9DQVNIX1NUKFFUUiwzOTkxNykvUF9DT01fU0hTX09VVCgzOTkxNykpKS9GR","V9FU1RJTUFURSgnRVBTJywnTUVBTicsJ0FOTlVBTF9ST0xMJywnKzEnLDM5OTE3LCwsJycp&amp;WINDOW=FIRST_POPUP&amp;HEIGHT=450&amp;WIDTH=450&amp;START_MAXIMIZED=FALSE&amp;VAR:CALENDAR=US&amp;VAR:SYMBOL=98433210&amp;VAR:INDEX=0"}</definedName>
    <definedName name="_8338__FDSAUDITLINK__">{"fdsup://directions/FAT Viewer?action=UPDATE&amp;creator=factset&amp;DYN_ARGS=TRUE&amp;DOC_NAME=FAT:FQL_AUDITING_CLIENT_TEMPLATE.FAT&amp;display_string=Audit&amp;VAR:KEY=RKBMLKBERK&amp;VAR:QUERY=KFBfUFJJQ0UoMzk5MTYpLShGRl9DQVNIX1NUKFFUUiwzOTkxNikvUF9DT01fU0hTX09VVCgzOTkxNikpKS9GR","V9FU1RJTUFURSgnRVBTJywnTUVBTicsJ0FOTlVBTF9ST0xMJywnKzEnLDM5OTE2LCwsJycp&amp;WINDOW=FIRST_POPUP&amp;HEIGHT=450&amp;WIDTH=450&amp;START_MAXIMIZED=FALSE&amp;VAR:CALENDAR=US&amp;VAR:SYMBOL=98433210&amp;VAR:INDEX=0"}</definedName>
    <definedName name="_8339__FDSAUDITLINK__">{"fdsup://directions/FAT Viewer?action=UPDATE&amp;creator=factset&amp;DYN_ARGS=TRUE&amp;DOC_NAME=FAT:FQL_AUDITING_CLIENT_TEMPLATE.FAT&amp;display_string=Audit&amp;VAR:KEY=RKBMLKBERK&amp;VAR:QUERY=KFBfUFJJQ0UoMzk5MTYpLShGRl9DQVNIX1NUKFFUUiwzOTkxNikvUF9DT01fU0hTX09VVCgzOTkxNikpKS9GR","V9FU1RJTUFURSgnRVBTJywnTUVBTicsJ0FOTlVBTF9ST0xMJywnKzEnLDM5OTE2LCwsJycp&amp;WINDOW=FIRST_POPUP&amp;HEIGHT=450&amp;WIDTH=450&amp;START_MAXIMIZED=FALSE&amp;VAR:CALENDAR=US&amp;VAR:SYMBOL=98433210&amp;VAR:INDEX=0"}</definedName>
    <definedName name="_83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956"}</definedName>
    <definedName name="_8340__FDSAUDITLINK__">{"fdsup://directions/FAT Viewer?action=UPDATE&amp;creator=factset&amp;DYN_ARGS=TRUE&amp;DOC_NAME=FAT:FQL_AUDITING_CLIENT_TEMPLATE.FAT&amp;display_string=Audit&amp;VAR:KEY=RETMRWRQDQ&amp;VAR:QUERY=KFBfUFJJQ0UoMzk5MTUpLShGRl9DQVNIX1NUKFFUUiwzOTkxNSkvUF9DT01fU0hTX09VVCgzOTkxNSkpKS9GR","V9FU1RJTUFURSgnRVBTJywnTUVBTicsJ0FOTlVBTF9ST0xMJywnKzEnLDM5OTE1LCwsJycp&amp;WINDOW=FIRST_POPUP&amp;HEIGHT=450&amp;WIDTH=450&amp;START_MAXIMIZED=FALSE&amp;VAR:CALENDAR=US&amp;VAR:SYMBOL=98433210&amp;VAR:INDEX=0"}</definedName>
    <definedName name="_8341__FDSAUDITLINK__">{"fdsup://directions/FAT Viewer?action=UPDATE&amp;creator=factset&amp;DYN_ARGS=TRUE&amp;DOC_NAME=FAT:FQL_AUDITING_CLIENT_TEMPLATE.FAT&amp;display_string=Audit&amp;VAR:KEY=RETMRWRQDQ&amp;VAR:QUERY=KFBfUFJJQ0UoMzk5MTUpLShGRl9DQVNIX1NUKFFUUiwzOTkxNSkvUF9DT01fU0hTX09VVCgzOTkxNSkpKS9GR","V9FU1RJTUFURSgnRVBTJywnTUVBTicsJ0FOTlVBTF9ST0xMJywnKzEnLDM5OTE1LCwsJycp&amp;WINDOW=FIRST_POPUP&amp;HEIGHT=450&amp;WIDTH=450&amp;START_MAXIMIZED=FALSE&amp;VAR:CALENDAR=US&amp;VAR:SYMBOL=98433210&amp;VAR:INDEX=0"}</definedName>
    <definedName name="_8342__FDSAUDITLINK__">{"fdsup://directions/FAT Viewer?action=UPDATE&amp;creator=factset&amp;DYN_ARGS=TRUE&amp;DOC_NAME=FAT:FQL_AUDITING_CLIENT_TEMPLATE.FAT&amp;display_string=Audit&amp;VAR:KEY=PSFKXAPCHC&amp;VAR:QUERY=KFBfUFJJQ0UoMzk5MTQpLShGRl9DQVNIX1NUKFFUUiwzOTkxNCkvUF9DT01fU0hTX09VVCgzOTkxNCkpKS9GR","V9FU1RJTUFURSgnRVBTJywnTUVBTicsJ0FOTlVBTF9ST0xMJywnKzEnLDM5OTE0LCwsJycp&amp;WINDOW=FIRST_POPUP&amp;HEIGHT=450&amp;WIDTH=450&amp;START_MAXIMIZED=FALSE&amp;VAR:CALENDAR=US&amp;VAR:SYMBOL=98433210&amp;VAR:INDEX=0"}</definedName>
    <definedName name="_8343__FDSAUDITLINK__">{"fdsup://directions/FAT Viewer?action=UPDATE&amp;creator=factset&amp;DYN_ARGS=TRUE&amp;DOC_NAME=FAT:FQL_AUDITING_CLIENT_TEMPLATE.FAT&amp;display_string=Audit&amp;VAR:KEY=PSFKXAPCHC&amp;VAR:QUERY=KFBfUFJJQ0UoMzk5MTQpLShGRl9DQVNIX1NUKFFUUiwzOTkxNCkvUF9DT01fU0hTX09VVCgzOTkxNCkpKS9GR","V9FU1RJTUFURSgnRVBTJywnTUVBTicsJ0FOTlVBTF9ST0xMJywnKzEnLDM5OTE0LCwsJycp&amp;WINDOW=FIRST_POPUP&amp;HEIGHT=450&amp;WIDTH=450&amp;START_MAXIMIZED=FALSE&amp;VAR:CALENDAR=US&amp;VAR:SYMBOL=98433210&amp;VAR:INDEX=0"}</definedName>
    <definedName name="_8344__FDSAUDITLINK__">{"fdsup://directions/FAT Viewer?action=UPDATE&amp;creator=factset&amp;DYN_ARGS=TRUE&amp;DOC_NAME=FAT:FQL_AUDITING_CLIENT_TEMPLATE.FAT&amp;display_string=Audit&amp;VAR:KEY=NUNQRMPOTA&amp;VAR:QUERY=KFBfUFJJQ0UoMzk5MTMpLShGRl9DQVNIX1NUKFFUUiwzOTkxMykvUF9DT01fU0hTX09VVCgzOTkxMykpKS9GR","V9FU1RJTUFURSgnRVBTJywnTUVBTicsJ0FOTlVBTF9ST0xMJywnKzEnLDM5OTEzLCwsJycp&amp;WINDOW=FIRST_POPUP&amp;HEIGHT=450&amp;WIDTH=450&amp;START_MAXIMIZED=FALSE&amp;VAR:CALENDAR=US&amp;VAR:SYMBOL=98433210&amp;VAR:INDEX=0"}</definedName>
    <definedName name="_8345__FDSAUDITLINK__">{"fdsup://directions/FAT Viewer?action=UPDATE&amp;creator=factset&amp;DYN_ARGS=TRUE&amp;DOC_NAME=FAT:FQL_AUDITING_CLIENT_TEMPLATE.FAT&amp;display_string=Audit&amp;VAR:KEY=NUNQRMPOTA&amp;VAR:QUERY=KFBfUFJJQ0UoMzk5MTMpLShGRl9DQVNIX1NUKFFUUiwzOTkxMykvUF9DT01fU0hTX09VVCgzOTkxMykpKS9GR","V9FU1RJTUFURSgnRVBTJywnTUVBTicsJ0FOTlVBTF9ST0xMJywnKzEnLDM5OTEzLCwsJycp&amp;WINDOW=FIRST_POPUP&amp;HEIGHT=450&amp;WIDTH=450&amp;START_MAXIMIZED=FALSE&amp;VAR:CALENDAR=US&amp;VAR:SYMBOL=98433210&amp;VAR:INDEX=0"}</definedName>
    <definedName name="_8346__FDSAUDITLINK__">{"fdsup://directions/FAT Viewer?action=UPDATE&amp;creator=factset&amp;DYN_ARGS=TRUE&amp;DOC_NAME=FAT:FQL_AUDITING_CLIENT_TEMPLATE.FAT&amp;display_string=Audit&amp;VAR:KEY=TSNGNOPSRG&amp;VAR:QUERY=KFBfUFJJQ0UoMzk5MTIpLShGRl9DQVNIX1NUKFFUUiwzOTkxMikvUF9DT01fU0hTX09VVCgzOTkxMikpKS9GR","V9FU1RJTUFURSgnRVBTJywnTUVBTicsJ0FOTlVBTF9ST0xMJywnKzEnLDM5OTEyLCwsJycp&amp;WINDOW=FIRST_POPUP&amp;HEIGHT=450&amp;WIDTH=450&amp;START_MAXIMIZED=FALSE&amp;VAR:CALENDAR=US&amp;VAR:SYMBOL=98433210&amp;VAR:INDEX=0"}</definedName>
    <definedName name="_8347__FDSAUDITLINK__">{"fdsup://directions/FAT Viewer?action=UPDATE&amp;creator=factset&amp;DYN_ARGS=TRUE&amp;DOC_NAME=FAT:FQL_AUDITING_CLIENT_TEMPLATE.FAT&amp;display_string=Audit&amp;VAR:KEY=TSNGNOPSRG&amp;VAR:QUERY=KFBfUFJJQ0UoMzk5MTIpLShGRl9DQVNIX1NUKFFUUiwzOTkxMikvUF9DT01fU0hTX09VVCgzOTkxMikpKS9GR","V9FU1RJTUFURSgnRVBTJywnTUVBTicsJ0FOTlVBTF9ST0xMJywnKzEnLDM5OTEyLCwsJycp&amp;WINDOW=FIRST_POPUP&amp;HEIGHT=450&amp;WIDTH=450&amp;START_MAXIMIZED=FALSE&amp;VAR:CALENDAR=US&amp;VAR:SYMBOL=98433210&amp;VAR:INDEX=0"}</definedName>
    <definedName name="_8348__FDSAUDITLINK__">{"fdsup://directions/FAT Viewer?action=UPDATE&amp;creator=factset&amp;DYN_ARGS=TRUE&amp;DOC_NAME=FAT:FQL_AUDITING_CLIENT_TEMPLATE.FAT&amp;display_string=Audit&amp;VAR:KEY=ZYLMNQTQDQ&amp;VAR:QUERY=KFBfUFJJQ0UoMzk5MTEpLShGRl9DQVNIX1NUKFFUUiwzOTkxMSkvUF9DT01fU0hTX09VVCgzOTkxMSkpKS9GR","V9FU1RJTUFURSgnRVBTJywnTUVBTicsJ0FOTlVBTF9ST0xMJywnKzEnLDM5OTExLCwsJycp&amp;WINDOW=FIRST_POPUP&amp;HEIGHT=450&amp;WIDTH=450&amp;START_MAXIMIZED=FALSE&amp;VAR:CALENDAR=US&amp;VAR:SYMBOL=98433210&amp;VAR:INDEX=0"}</definedName>
    <definedName name="_8349__FDSAUDITLINK__">{"fdsup://directions/FAT Viewer?action=UPDATE&amp;creator=factset&amp;DYN_ARGS=TRUE&amp;DOC_NAME=FAT:FQL_AUDITING_CLIENT_TEMPLATE.FAT&amp;display_string=Audit&amp;VAR:KEY=ZYLMNQTQDQ&amp;VAR:QUERY=KFBfUFJJQ0UoMzk5MTEpLShGRl9DQVNIX1NUKFFUUiwzOTkxMSkvUF9DT01fU0hTX09VVCgzOTkxMSkpKS9GR","V9FU1RJTUFURSgnRVBTJywnTUVBTicsJ0FOTlVBTF9ST0xMJywnKzEnLDM5OTExLCwsJycp&amp;WINDOW=FIRST_POPUP&amp;HEIGHT=450&amp;WIDTH=450&amp;START_MAXIMIZED=FALSE&amp;VAR:CALENDAR=US&amp;VAR:SYMBOL=98433210&amp;VAR:INDEX=0"}</definedName>
    <definedName name="_83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955"}</definedName>
    <definedName name="_8350__FDSAUDITLINK__">{"fdsup://directions/FAT Viewer?action=UPDATE&amp;creator=factset&amp;DYN_ARGS=TRUE&amp;DOC_NAME=FAT:FQL_AUDITING_CLIENT_TEMPLATE.FAT&amp;display_string=Audit&amp;VAR:KEY=NGVCZWJQFA&amp;VAR:QUERY=KFBfUFJJQ0UoMzk5MTApLShGRl9DQVNIX1NUKFFUUiwzOTkxMCkvUF9DT01fU0hTX09VVCgzOTkxMCkpKS9GR","V9FU1RJTUFURSgnRVBTJywnTUVBTicsJ0FOTlVBTF9ST0xMJywnKzEnLDM5OTEwLCwsJycp&amp;WINDOW=FIRST_POPUP&amp;HEIGHT=450&amp;WIDTH=450&amp;START_MAXIMIZED=FALSE&amp;VAR:CALENDAR=US&amp;VAR:SYMBOL=98433210&amp;VAR:INDEX=0"}</definedName>
    <definedName name="_8351__FDSAUDITLINK__">{"fdsup://directions/FAT Viewer?action=UPDATE&amp;creator=factset&amp;DYN_ARGS=TRUE&amp;DOC_NAME=FAT:FQL_AUDITING_CLIENT_TEMPLATE.FAT&amp;display_string=Audit&amp;VAR:KEY=NGVCZWJQFA&amp;VAR:QUERY=KFBfUFJJQ0UoMzk5MTApLShGRl9DQVNIX1NUKFFUUiwzOTkxMCkvUF9DT01fU0hTX09VVCgzOTkxMCkpKS9GR","V9FU1RJTUFURSgnRVBTJywnTUVBTicsJ0FOTlVBTF9ST0xMJywnKzEnLDM5OTEwLCwsJycp&amp;WINDOW=FIRST_POPUP&amp;HEIGHT=450&amp;WIDTH=450&amp;START_MAXIMIZED=FALSE&amp;VAR:CALENDAR=US&amp;VAR:SYMBOL=98433210&amp;VAR:INDEX=0"}</definedName>
    <definedName name="_8352__FDSAUDITLINK__">{"fdsup://directions/FAT Viewer?action=UPDATE&amp;creator=factset&amp;DYN_ARGS=TRUE&amp;DOC_NAME=FAT:FQL_AUDITING_CLIENT_TEMPLATE.FAT&amp;display_string=Audit&amp;VAR:KEY=LMNQBYVSBC&amp;VAR:QUERY=KFBfUFJJQ0UoMzk5MDkpLShGRl9DQVNIX1NUKFFUUiwzOTkwOSkvUF9DT01fU0hTX09VVCgzOTkwOSkpKS9GR","V9FU1RJTUFURSgnRVBTJywnTUVBTicsJ0FOTlVBTF9ST0xMJywnKzEnLDM5OTA5LCwsJycp&amp;WINDOW=FIRST_POPUP&amp;HEIGHT=450&amp;WIDTH=450&amp;START_MAXIMIZED=FALSE&amp;VAR:CALENDAR=US&amp;VAR:SYMBOL=98433210&amp;VAR:INDEX=0"}</definedName>
    <definedName name="_8353__FDSAUDITLINK__">{"fdsup://directions/FAT Viewer?action=UPDATE&amp;creator=factset&amp;DYN_ARGS=TRUE&amp;DOC_NAME=FAT:FQL_AUDITING_CLIENT_TEMPLATE.FAT&amp;display_string=Audit&amp;VAR:KEY=LMNQBYVSBC&amp;VAR:QUERY=KFBfUFJJQ0UoMzk5MDkpLShGRl9DQVNIX1NUKFFUUiwzOTkwOSkvUF9DT01fU0hTX09VVCgzOTkwOSkpKS9GR","V9FU1RJTUFURSgnRVBTJywnTUVBTicsJ0FOTlVBTF9ST0xMJywnKzEnLDM5OTA5LCwsJycp&amp;WINDOW=FIRST_POPUP&amp;HEIGHT=450&amp;WIDTH=450&amp;START_MAXIMIZED=FALSE&amp;VAR:CALENDAR=US&amp;VAR:SYMBOL=98433210&amp;VAR:INDEX=0"}</definedName>
    <definedName name="_8354__FDSAUDITLINK__">{"fdsup://directions/FAT Viewer?action=UPDATE&amp;creator=factset&amp;DYN_ARGS=TRUE&amp;DOC_NAME=FAT:FQL_AUDITING_CLIENT_TEMPLATE.FAT&amp;display_string=Audit&amp;VAR:KEY=NQVAJOBCFU&amp;VAR:QUERY=KFBfUFJJQ0UoMzk5MDgpLShGRl9DQVNIX1NUKFFUUiwzOTkwOCkvUF9DT01fU0hTX09VVCgzOTkwOCkpKS9GR","V9FU1RJTUFURSgnRVBTJywnTUVBTicsJ0FOTlVBTF9ST0xMJywnKzEnLDM5OTA4LCwsJycp&amp;WINDOW=FIRST_POPUP&amp;HEIGHT=450&amp;WIDTH=450&amp;START_MAXIMIZED=FALSE&amp;VAR:CALENDAR=US&amp;VAR:SYMBOL=98433210&amp;VAR:INDEX=0"}</definedName>
    <definedName name="_8355__FDSAUDITLINK__">{"fdsup://directions/FAT Viewer?action=UPDATE&amp;creator=factset&amp;DYN_ARGS=TRUE&amp;DOC_NAME=FAT:FQL_AUDITING_CLIENT_TEMPLATE.FAT&amp;display_string=Audit&amp;VAR:KEY=NQVAJOBCFU&amp;VAR:QUERY=KFBfUFJJQ0UoMzk5MDgpLShGRl9DQVNIX1NUKFFUUiwzOTkwOCkvUF9DT01fU0hTX09VVCgzOTkwOCkpKS9GR","V9FU1RJTUFURSgnRVBTJywnTUVBTicsJ0FOTlVBTF9ST0xMJywnKzEnLDM5OTA4LCwsJycp&amp;WINDOW=FIRST_POPUP&amp;HEIGHT=450&amp;WIDTH=450&amp;START_MAXIMIZED=FALSE&amp;VAR:CALENDAR=US&amp;VAR:SYMBOL=98433210&amp;VAR:INDEX=0"}</definedName>
    <definedName name="_8356__FDSAUDITLINK__">{"fdsup://directions/FAT Viewer?action=UPDATE&amp;creator=factset&amp;DYN_ARGS=TRUE&amp;DOC_NAME=FAT:FQL_AUDITING_CLIENT_TEMPLATE.FAT&amp;display_string=Audit&amp;VAR:KEY=DYZMJUPQZI&amp;VAR:QUERY=KFBfUFJJQ0UoMzk5MDcpLShGRl9DQVNIX1NUKFFUUiwzOTkwNykvUF9DT01fU0hTX09VVCgzOTkwNykpKS9GR","V9FU1RJTUFURSgnRVBTJywnTUVBTicsJ0FOTlVBTF9ST0xMJywnKzEnLDM5OTA3LCwsJycp&amp;WINDOW=FIRST_POPUP&amp;HEIGHT=450&amp;WIDTH=450&amp;START_MAXIMIZED=FALSE&amp;VAR:CALENDAR=US&amp;VAR:SYMBOL=98433210&amp;VAR:INDEX=0"}</definedName>
    <definedName name="_8357__FDSAUDITLINK__">{"fdsup://directions/FAT Viewer?action=UPDATE&amp;creator=factset&amp;DYN_ARGS=TRUE&amp;DOC_NAME=FAT:FQL_AUDITING_CLIENT_TEMPLATE.FAT&amp;display_string=Audit&amp;VAR:KEY=DYZMJUPQZI&amp;VAR:QUERY=KFBfUFJJQ0UoMzk5MDcpLShGRl9DQVNIX1NUKFFUUiwzOTkwNykvUF9DT01fU0hTX09VVCgzOTkwNykpKS9GR","V9FU1RJTUFURSgnRVBTJywnTUVBTicsJ0FOTlVBTF9ST0xMJywnKzEnLDM5OTA3LCwsJycp&amp;WINDOW=FIRST_POPUP&amp;HEIGHT=450&amp;WIDTH=450&amp;START_MAXIMIZED=FALSE&amp;VAR:CALENDAR=US&amp;VAR:SYMBOL=98433210&amp;VAR:INDEX=0"}</definedName>
    <definedName name="_8358__FDSAUDITLINK__">{"fdsup://directions/FAT Viewer?action=UPDATE&amp;creator=factset&amp;DYN_ARGS=TRUE&amp;DOC_NAME=FAT:FQL_AUDITING_CLIENT_TEMPLATE.FAT&amp;display_string=Audit&amp;VAR:KEY=FAPGFOHAVS&amp;VAR:QUERY=KFBfUFJJQ0UoMzk5MDYpLShGRl9DQVNIX1NUKFFUUiwzOTkwNikvUF9DT01fU0hTX09VVCgzOTkwNikpKS9GR","V9FU1RJTUFURSgnRVBTJywnTUVBTicsJ0FOTlVBTF9ST0xMJywnKzEnLDM5OTA2LCwsJycp&amp;WINDOW=FIRST_POPUP&amp;HEIGHT=450&amp;WIDTH=450&amp;START_MAXIMIZED=FALSE&amp;VAR:CALENDAR=US&amp;VAR:SYMBOL=98433210&amp;VAR:INDEX=0"}</definedName>
    <definedName name="_8359__FDSAUDITLINK__">{"fdsup://directions/FAT Viewer?action=UPDATE&amp;creator=factset&amp;DYN_ARGS=TRUE&amp;DOC_NAME=FAT:FQL_AUDITING_CLIENT_TEMPLATE.FAT&amp;display_string=Audit&amp;VAR:KEY=FAPGFOHAVS&amp;VAR:QUERY=KFBfUFJJQ0UoMzk5MDYpLShGRl9DQVNIX1NUKFFUUiwzOTkwNikvUF9DT01fU0hTX09VVCgzOTkwNikpKS9GR","V9FU1RJTUFURSgnRVBTJywnTUVBTicsJ0FOTlVBTF9ST0xMJywnKzEnLDM5OTA2LCwsJycp&amp;WINDOW=FIRST_POPUP&amp;HEIGHT=450&amp;WIDTH=450&amp;START_MAXIMIZED=FALSE&amp;VAR:CALENDAR=US&amp;VAR:SYMBOL=98433210&amp;VAR:INDEX=0"}</definedName>
    <definedName name="_83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954"}</definedName>
    <definedName name="_8360__FDSAUDITLINK__">{"fdsup://directions/FAT Viewer?action=UPDATE&amp;creator=factset&amp;DYN_ARGS=TRUE&amp;DOC_NAME=FAT:FQL_AUDITING_CLIENT_TEMPLATE.FAT&amp;display_string=Audit&amp;VAR:KEY=TWFUVOTUZC&amp;VAR:QUERY=KFBfUFJJQ0UoMzk5MDUpLShGRl9DQVNIX1NUKFFUUiwzOTkwNSkvUF9DT01fU0hTX09VVCgzOTkwNSkpKS9GR","V9FU1RJTUFURSgnRVBTJywnTUVBTicsJ0FOTlVBTF9ST0xMJywnKzEnLDM5OTA1LCwsJycp&amp;WINDOW=FIRST_POPUP&amp;HEIGHT=450&amp;WIDTH=450&amp;START_MAXIMIZED=FALSE&amp;VAR:CALENDAR=US&amp;VAR:SYMBOL=98433210&amp;VAR:INDEX=0"}</definedName>
    <definedName name="_8361__FDSAUDITLINK__">{"fdsup://directions/FAT Viewer?action=UPDATE&amp;creator=factset&amp;DYN_ARGS=TRUE&amp;DOC_NAME=FAT:FQL_AUDITING_CLIENT_TEMPLATE.FAT&amp;display_string=Audit&amp;VAR:KEY=TWFUVOTUZC&amp;VAR:QUERY=KFBfUFJJQ0UoMzk5MDUpLShGRl9DQVNIX1NUKFFUUiwzOTkwNSkvUF9DT01fU0hTX09VVCgzOTkwNSkpKS9GR","V9FU1RJTUFURSgnRVBTJywnTUVBTicsJ0FOTlVBTF9ST0xMJywnKzEnLDM5OTA1LCwsJycp&amp;WINDOW=FIRST_POPUP&amp;HEIGHT=450&amp;WIDTH=450&amp;START_MAXIMIZED=FALSE&amp;VAR:CALENDAR=US&amp;VAR:SYMBOL=98433210&amp;VAR:INDEX=0"}</definedName>
    <definedName name="_8362__FDSAUDITLINK__">{"fdsup://directions/FAT Viewer?action=UPDATE&amp;creator=factset&amp;DYN_ARGS=TRUE&amp;DOC_NAME=FAT:FQL_AUDITING_CLIENT_TEMPLATE.FAT&amp;display_string=Audit&amp;VAR:KEY=HUDEDCFUPI&amp;VAR:QUERY=KFBfUFJJQ0UoMzk5MDQpLShGRl9DQVNIX1NUKFFUUiwzOTkwNCkvUF9DT01fU0hTX09VVCgzOTkwNCkpKS9GR","V9FU1RJTUFURSgnRVBTJywnTUVBTicsJ0FOTlVBTF9ST0xMJywnKzEnLDM5OTA0LCwsJycp&amp;WINDOW=FIRST_POPUP&amp;HEIGHT=450&amp;WIDTH=450&amp;START_MAXIMIZED=FALSE&amp;VAR:CALENDAR=US&amp;VAR:SYMBOL=98433210&amp;VAR:INDEX=0"}</definedName>
    <definedName name="_8363__FDSAUDITLINK__">{"fdsup://directions/FAT Viewer?action=UPDATE&amp;creator=factset&amp;DYN_ARGS=TRUE&amp;DOC_NAME=FAT:FQL_AUDITING_CLIENT_TEMPLATE.FAT&amp;display_string=Audit&amp;VAR:KEY=HUDEDCFUPI&amp;VAR:QUERY=KFBfUFJJQ0UoMzk5MDQpLShGRl9DQVNIX1NUKFFUUiwzOTkwNCkvUF9DT01fU0hTX09VVCgzOTkwNCkpKS9GR","V9FU1RJTUFURSgnRVBTJywnTUVBTicsJ0FOTlVBTF9ST0xMJywnKzEnLDM5OTA0LCwsJycp&amp;WINDOW=FIRST_POPUP&amp;HEIGHT=450&amp;WIDTH=450&amp;START_MAXIMIZED=FALSE&amp;VAR:CALENDAR=US&amp;VAR:SYMBOL=98433210&amp;VAR:INDEX=0"}</definedName>
    <definedName name="_8364__FDSAUDITLINK__">{"fdsup://directions/FAT Viewer?action=UPDATE&amp;creator=factset&amp;DYN_ARGS=TRUE&amp;DOC_NAME=FAT:FQL_AUDITING_CLIENT_TEMPLATE.FAT&amp;display_string=Audit&amp;VAR:KEY=JGBKVOXQBG&amp;VAR:QUERY=KFBfUFJJQ0UoMzk5MDMpLShGRl9DQVNIX1NUKFFUUiwzOTkwMykvUF9DT01fU0hTX09VVCgzOTkwMykpKS9GR","V9FU1RJTUFURSgnRVBTJywnTUVBTicsJ0FOTlVBTF9ST0xMJywnKzEnLDM5OTAzLCwsJycp&amp;WINDOW=FIRST_POPUP&amp;HEIGHT=450&amp;WIDTH=450&amp;START_MAXIMIZED=FALSE&amp;VAR:CALENDAR=US&amp;VAR:SYMBOL=98433210&amp;VAR:INDEX=0"}</definedName>
    <definedName name="_8365__FDSAUDITLINK__">{"fdsup://directions/FAT Viewer?action=UPDATE&amp;creator=factset&amp;DYN_ARGS=TRUE&amp;DOC_NAME=FAT:FQL_AUDITING_CLIENT_TEMPLATE.FAT&amp;display_string=Audit&amp;VAR:KEY=JGBKVOXQBG&amp;VAR:QUERY=KFBfUFJJQ0UoMzk5MDMpLShGRl9DQVNIX1NUKFFUUiwzOTkwMykvUF9DT01fU0hTX09VVCgzOTkwMykpKS9GR","V9FU1RJTUFURSgnRVBTJywnTUVBTicsJ0FOTlVBTF9ST0xMJywnKzEnLDM5OTAzLCwsJycp&amp;WINDOW=FIRST_POPUP&amp;HEIGHT=450&amp;WIDTH=450&amp;START_MAXIMIZED=FALSE&amp;VAR:CALENDAR=US&amp;VAR:SYMBOL=98433210&amp;VAR:INDEX=0"}</definedName>
    <definedName name="_8366__FDSAUDITLINK__">{"fdsup://directions/FAT Viewer?action=UPDATE&amp;creator=factset&amp;DYN_ARGS=TRUE&amp;DOC_NAME=FAT:FQL_AUDITING_CLIENT_TEMPLATE.FAT&amp;display_string=Audit&amp;VAR:KEY=ZAZODEBUFC&amp;VAR:QUERY=KFBfUFJJQ0UoMzk5MDIpLShGRl9DQVNIX1NUKFFUUiwzOTkwMikvUF9DT01fU0hTX09VVCgzOTkwMikpKS9GR","V9FU1RJTUFURSgnRVBTJywnTUVBTicsJ0FOTlVBTF9ST0xMJywnKzEnLDM5OTAyLCwsJycp&amp;WINDOW=FIRST_POPUP&amp;HEIGHT=450&amp;WIDTH=450&amp;START_MAXIMIZED=FALSE&amp;VAR:CALENDAR=US&amp;VAR:SYMBOL=98433210&amp;VAR:INDEX=0"}</definedName>
    <definedName name="_8367__FDSAUDITLINK__">{"fdsup://directions/FAT Viewer?action=UPDATE&amp;creator=factset&amp;DYN_ARGS=TRUE&amp;DOC_NAME=FAT:FQL_AUDITING_CLIENT_TEMPLATE.FAT&amp;display_string=Audit&amp;VAR:KEY=ZAZODEBUFC&amp;VAR:QUERY=KFBfUFJJQ0UoMzk5MDIpLShGRl9DQVNIX1NUKFFUUiwzOTkwMikvUF9DT01fU0hTX09VVCgzOTkwMikpKS9GR","V9FU1RJTUFURSgnRVBTJywnTUVBTicsJ0FOTlVBTF9ST0xMJywnKzEnLDM5OTAyLCwsJycp&amp;WINDOW=FIRST_POPUP&amp;HEIGHT=450&amp;WIDTH=450&amp;START_MAXIMIZED=FALSE&amp;VAR:CALENDAR=US&amp;VAR:SYMBOL=98433210&amp;VAR:INDEX=0"}</definedName>
    <definedName name="_8368__FDSAUDITLINK__">{"fdsup://directions/FAT Viewer?action=UPDATE&amp;creator=factset&amp;DYN_ARGS=TRUE&amp;DOC_NAME=FAT:FQL_AUDITING_CLIENT_TEMPLATE.FAT&amp;display_string=Audit&amp;VAR:KEY=XKHIHAREJO&amp;VAR:QUERY=KFBfUFJJQ0UoMzk5MDEpLShGRl9DQVNIX1NUKFFUUiwzOTkwMSkvUF9DT01fU0hTX09VVCgzOTkwMSkpKS9GR","V9FU1RJTUFURSgnRVBTJywnTUVBTicsJ0FOTlVBTF9ST0xMJywnKzEnLDM5OTAxLCwsJycp&amp;WINDOW=FIRST_POPUP&amp;HEIGHT=450&amp;WIDTH=450&amp;START_MAXIMIZED=FALSE&amp;VAR:CALENDAR=US&amp;VAR:SYMBOL=98433210&amp;VAR:INDEX=0"}</definedName>
    <definedName name="_8369__FDSAUDITLINK__">{"fdsup://directions/FAT Viewer?action=UPDATE&amp;creator=factset&amp;DYN_ARGS=TRUE&amp;DOC_NAME=FAT:FQL_AUDITING_CLIENT_TEMPLATE.FAT&amp;display_string=Audit&amp;VAR:KEY=XKHIHAREJO&amp;VAR:QUERY=KFBfUFJJQ0UoMzk5MDEpLShGRl9DQVNIX1NUKFFUUiwzOTkwMSkvUF9DT01fU0hTX09VVCgzOTkwMSkpKS9GR","V9FU1RJTUFURSgnRVBTJywnTUVBTicsJ0FOTlVBTF9ST0xMJywnKzEnLDM5OTAxLCwsJycp&amp;WINDOW=FIRST_POPUP&amp;HEIGHT=450&amp;WIDTH=450&amp;START_MAXIMIZED=FALSE&amp;VAR:CALENDAR=US&amp;VAR:SYMBOL=98433210&amp;VAR:INDEX=0"}</definedName>
    <definedName name="_83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953"}</definedName>
    <definedName name="_8370__FDSAUDITLINK__">{"fdsup://directions/FAT Viewer?action=UPDATE&amp;creator=factset&amp;DYN_ARGS=TRUE&amp;DOC_NAME=FAT:FQL_AUDITING_CLIENT_TEMPLATE.FAT&amp;display_string=Audit&amp;VAR:KEY=FKFMBYJWTA&amp;VAR:QUERY=KFBfUFJJQ0UoMzk5MDApLShGRl9DQVNIX1NUKFFUUiwzOTkwMCkvUF9DT01fU0hTX09VVCgzOTkwMCkpKS9GR","V9FU1RJTUFURSgnRVBTJywnTUVBTicsJ0FOTlVBTF9ST0xMJywnKzEnLDM5OTAwLCwsJycp&amp;WINDOW=FIRST_POPUP&amp;HEIGHT=450&amp;WIDTH=450&amp;START_MAXIMIZED=FALSE&amp;VAR:CALENDAR=US&amp;VAR:SYMBOL=98433210&amp;VAR:INDEX=0"}</definedName>
    <definedName name="_8371__FDSAUDITLINK__">{"fdsup://directions/FAT Viewer?action=UPDATE&amp;creator=factset&amp;DYN_ARGS=TRUE&amp;DOC_NAME=FAT:FQL_AUDITING_CLIENT_TEMPLATE.FAT&amp;display_string=Audit&amp;VAR:KEY=FKFMBYJWTA&amp;VAR:QUERY=KFBfUFJJQ0UoMzk5MDApLShGRl9DQVNIX1NUKFFUUiwzOTkwMCkvUF9DT01fU0hTX09VVCgzOTkwMCkpKS9GR","V9FU1RJTUFURSgnRVBTJywnTUVBTicsJ0FOTlVBTF9ST0xMJywnKzEnLDM5OTAwLCwsJycp&amp;WINDOW=FIRST_POPUP&amp;HEIGHT=450&amp;WIDTH=450&amp;START_MAXIMIZED=FALSE&amp;VAR:CALENDAR=US&amp;VAR:SYMBOL=98433210&amp;VAR:INDEX=0"}</definedName>
    <definedName name="_8372__FDSAUDITLINK__">{"fdsup://directions/FAT Viewer?action=UPDATE&amp;creator=factset&amp;DYN_ARGS=TRUE&amp;DOC_NAME=FAT:FQL_AUDITING_CLIENT_TEMPLATE.FAT&amp;display_string=Audit&amp;VAR:KEY=FQPGXWZEJG&amp;VAR:QUERY=KFBfUFJJQ0UoMzk4OTkpLShGRl9DQVNIX1NUKFFUUiwzOTg5OSkvUF9DT01fU0hTX09VVCgzOTg5OSkpKS9GR","V9FU1RJTUFURSgnRVBTJywnTUVBTicsJ0FOTlVBTF9ST0xMJywnKzEnLDM5ODk5LCwsJycp&amp;WINDOW=FIRST_POPUP&amp;HEIGHT=450&amp;WIDTH=450&amp;START_MAXIMIZED=FALSE&amp;VAR:CALENDAR=US&amp;VAR:SYMBOL=98433210&amp;VAR:INDEX=0"}</definedName>
    <definedName name="_8373__FDSAUDITLINK__">{"fdsup://directions/FAT Viewer?action=UPDATE&amp;creator=factset&amp;DYN_ARGS=TRUE&amp;DOC_NAME=FAT:FQL_AUDITING_CLIENT_TEMPLATE.FAT&amp;display_string=Audit&amp;VAR:KEY=FQPGXWZEJG&amp;VAR:QUERY=KFBfUFJJQ0UoMzk4OTkpLShGRl9DQVNIX1NUKFFUUiwzOTg5OSkvUF9DT01fU0hTX09VVCgzOTg5OSkpKS9GR","V9FU1RJTUFURSgnRVBTJywnTUVBTicsJ0FOTlVBTF9ST0xMJywnKzEnLDM5ODk5LCwsJycp&amp;WINDOW=FIRST_POPUP&amp;HEIGHT=450&amp;WIDTH=450&amp;START_MAXIMIZED=FALSE&amp;VAR:CALENDAR=US&amp;VAR:SYMBOL=98433210&amp;VAR:INDEX=0"}</definedName>
    <definedName name="_8374__FDSAUDITLINK__">{"fdsup://directions/FAT Viewer?action=UPDATE&amp;creator=factset&amp;DYN_ARGS=TRUE&amp;DOC_NAME=FAT:FQL_AUDITING_CLIENT_TEMPLATE.FAT&amp;display_string=Audit&amp;VAR:KEY=XOVEPEZUPG&amp;VAR:QUERY=KFBfUFJJQ0UoMzk4OTgpLShGRl9DQVNIX1NUKFFUUiwzOTg5OCkvUF9DT01fU0hTX09VVCgzOTg5OCkpKS9GR","V9FU1RJTUFURSgnRVBTJywnTUVBTicsJ0FOTlVBTF9ST0xMJywnKzEnLDM5ODk4LCwsJycp&amp;WINDOW=FIRST_POPUP&amp;HEIGHT=450&amp;WIDTH=450&amp;START_MAXIMIZED=FALSE&amp;VAR:CALENDAR=US&amp;VAR:SYMBOL=98433210&amp;VAR:INDEX=0"}</definedName>
    <definedName name="_8375__FDSAUDITLINK__">{"fdsup://directions/FAT Viewer?action=UPDATE&amp;creator=factset&amp;DYN_ARGS=TRUE&amp;DOC_NAME=FAT:FQL_AUDITING_CLIENT_TEMPLATE.FAT&amp;display_string=Audit&amp;VAR:KEY=XOVEPEZUPG&amp;VAR:QUERY=KFBfUFJJQ0UoMzk4OTgpLShGRl9DQVNIX1NUKFFUUiwzOTg5OCkvUF9DT01fU0hTX09VVCgzOTg5OCkpKS9GR","V9FU1RJTUFURSgnRVBTJywnTUVBTicsJ0FOTlVBTF9ST0xMJywnKzEnLDM5ODk4LCwsJycp&amp;WINDOW=FIRST_POPUP&amp;HEIGHT=450&amp;WIDTH=450&amp;START_MAXIMIZED=FALSE&amp;VAR:CALENDAR=US&amp;VAR:SYMBOL=98433210&amp;VAR:INDEX=0"}</definedName>
    <definedName name="_8376__FDSAUDITLINK__">{"fdsup://directions/FAT Viewer?action=UPDATE&amp;creator=factset&amp;DYN_ARGS=TRUE&amp;DOC_NAME=FAT:FQL_AUDITING_CLIENT_TEMPLATE.FAT&amp;display_string=Audit&amp;VAR:KEY=ZSFIDQDEPE&amp;VAR:QUERY=KFBfUFJJQ0UoMzk4OTcpLShGRl9DQVNIX1NUKFFUUiwzOTg5NykvUF9DT01fU0hTX09VVCgzOTg5NykpKS9GR","V9FU1RJTUFURSgnRVBTJywnTUVBTicsJ0FOTlVBTF9ST0xMJywnKzEnLDM5ODk3LCwsJycp&amp;WINDOW=FIRST_POPUP&amp;HEIGHT=450&amp;WIDTH=450&amp;START_MAXIMIZED=FALSE&amp;VAR:CALENDAR=US&amp;VAR:SYMBOL=98433210&amp;VAR:INDEX=0"}</definedName>
    <definedName name="_8377__FDSAUDITLINK__">{"fdsup://directions/FAT Viewer?action=UPDATE&amp;creator=factset&amp;DYN_ARGS=TRUE&amp;DOC_NAME=FAT:FQL_AUDITING_CLIENT_TEMPLATE.FAT&amp;display_string=Audit&amp;VAR:KEY=ZSFIDQDEPE&amp;VAR:QUERY=KFBfUFJJQ0UoMzk4OTcpLShGRl9DQVNIX1NUKFFUUiwzOTg5NykvUF9DT01fU0hTX09VVCgzOTg5NykpKS9GR","V9FU1RJTUFURSgnRVBTJywnTUVBTicsJ0FOTlVBTF9ST0xMJywnKzEnLDM5ODk3LCwsJycp&amp;WINDOW=FIRST_POPUP&amp;HEIGHT=450&amp;WIDTH=450&amp;START_MAXIMIZED=FALSE&amp;VAR:CALENDAR=US&amp;VAR:SYMBOL=98433210&amp;VAR:INDEX=0"}</definedName>
    <definedName name="_8378__FDSAUDITLINK__">{"fdsup://directions/FAT Viewer?action=UPDATE&amp;creator=factset&amp;DYN_ARGS=TRUE&amp;DOC_NAME=FAT:FQL_AUDITING_CLIENT_TEMPLATE.FAT&amp;display_string=Audit&amp;VAR:KEY=JETUXQXQNA&amp;VAR:QUERY=KFBfUFJJQ0UoMzk4OTYpLShGRl9DQVNIX1NUKFFUUiwzOTg5NikvUF9DT01fU0hTX09VVCgzOTg5NikpKS9GR","V9FU1RJTUFURSgnRVBTJywnTUVBTicsJ0FOTlVBTF9ST0xMJywnKzEnLDM5ODk2LCwsJycp&amp;WINDOW=FIRST_POPUP&amp;HEIGHT=450&amp;WIDTH=450&amp;START_MAXIMIZED=FALSE&amp;VAR:CALENDAR=US&amp;VAR:SYMBOL=98433210&amp;VAR:INDEX=0"}</definedName>
    <definedName name="_8379__FDSAUDITLINK__">{"fdsup://directions/FAT Viewer?action=UPDATE&amp;creator=factset&amp;DYN_ARGS=TRUE&amp;DOC_NAME=FAT:FQL_AUDITING_CLIENT_TEMPLATE.FAT&amp;display_string=Audit&amp;VAR:KEY=JETUXQXQNA&amp;VAR:QUERY=KFBfUFJJQ0UoMzk4OTYpLShGRl9DQVNIX1NUKFFUUiwzOTg5NikvUF9DT01fU0hTX09VVCgzOTg5NikpKS9GR","V9FU1RJTUFURSgnRVBTJywnTUVBTicsJ0FOTlVBTF9ST0xMJywnKzEnLDM5ODk2LCwsJycp&amp;WINDOW=FIRST_POPUP&amp;HEIGHT=450&amp;WIDTH=450&amp;START_MAXIMIZED=FALSE&amp;VAR:CALENDAR=US&amp;VAR:SYMBOL=98433210&amp;VAR:INDEX=0"}</definedName>
    <definedName name="_83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952"}</definedName>
    <definedName name="_8380__FDSAUDITLINK__">{"fdsup://directions/FAT Viewer?action=UPDATE&amp;creator=factset&amp;DYN_ARGS=TRUE&amp;DOC_NAME=FAT:FQL_AUDITING_CLIENT_TEMPLATE.FAT&amp;display_string=Audit&amp;VAR:KEY=HIFSFIZORC&amp;VAR:QUERY=KFBfUFJJQ0UoMzk4OTUpLShGRl9DQVNIX1NUKFFUUiwzOTg5NSkvUF9DT01fU0hTX09VVCgzOTg5NSkpKS9GR","V9FU1RJTUFURSgnRVBTJywnTUVBTicsJ0FOTlVBTF9ST0xMJywnKzEnLDM5ODk1LCwsJycp&amp;WINDOW=FIRST_POPUP&amp;HEIGHT=450&amp;WIDTH=450&amp;START_MAXIMIZED=FALSE&amp;VAR:CALENDAR=US&amp;VAR:SYMBOL=98433210&amp;VAR:INDEX=0"}</definedName>
    <definedName name="_8381__FDSAUDITLINK__">{"fdsup://directions/FAT Viewer?action=UPDATE&amp;creator=factset&amp;DYN_ARGS=TRUE&amp;DOC_NAME=FAT:FQL_AUDITING_CLIENT_TEMPLATE.FAT&amp;display_string=Audit&amp;VAR:KEY=HIFSFIZORC&amp;VAR:QUERY=KFBfUFJJQ0UoMzk4OTUpLShGRl9DQVNIX1NUKFFUUiwzOTg5NSkvUF9DT01fU0hTX09VVCgzOTg5NSkpKS9GR","V9FU1RJTUFURSgnRVBTJywnTUVBTicsJ0FOTlVBTF9ST0xMJywnKzEnLDM5ODk1LCwsJycp&amp;WINDOW=FIRST_POPUP&amp;HEIGHT=450&amp;WIDTH=450&amp;START_MAXIMIZED=FALSE&amp;VAR:CALENDAR=US&amp;VAR:SYMBOL=98433210&amp;VAR:INDEX=0"}</definedName>
    <definedName name="_8382__FDSAUDITLINK__">{"fdsup://directions/FAT Viewer?action=UPDATE&amp;creator=factset&amp;DYN_ARGS=TRUE&amp;DOC_NAME=FAT:FQL_AUDITING_CLIENT_TEMPLATE.FAT&amp;display_string=Audit&amp;VAR:KEY=ZKBIHIZKJM&amp;VAR:QUERY=KFBfUFJJQ0UoMzk4OTQpLShGRl9DQVNIX1NUKFFUUiwzOTg5NCkvUF9DT01fU0hTX09VVCgzOTg5NCkpKS9GR","V9FU1RJTUFURSgnRVBTJywnTUVBTicsJ0FOTlVBTF9ST0xMJywnKzEnLDM5ODk0LCwsJycp&amp;WINDOW=FIRST_POPUP&amp;HEIGHT=450&amp;WIDTH=450&amp;START_MAXIMIZED=FALSE&amp;VAR:CALENDAR=US&amp;VAR:SYMBOL=98433210&amp;VAR:INDEX=0"}</definedName>
    <definedName name="_8383__FDSAUDITLINK__">{"fdsup://directions/FAT Viewer?action=UPDATE&amp;creator=factset&amp;DYN_ARGS=TRUE&amp;DOC_NAME=FAT:FQL_AUDITING_CLIENT_TEMPLATE.FAT&amp;display_string=Audit&amp;VAR:KEY=ZKBIHIZKJM&amp;VAR:QUERY=KFBfUFJJQ0UoMzk4OTQpLShGRl9DQVNIX1NUKFFUUiwzOTg5NCkvUF9DT01fU0hTX09VVCgzOTg5NCkpKS9GR","V9FU1RJTUFURSgnRVBTJywnTUVBTicsJ0FOTlVBTF9ST0xMJywnKzEnLDM5ODk0LCwsJycp&amp;WINDOW=FIRST_POPUP&amp;HEIGHT=450&amp;WIDTH=450&amp;START_MAXIMIZED=FALSE&amp;VAR:CALENDAR=US&amp;VAR:SYMBOL=98433210&amp;VAR:INDEX=0"}</definedName>
    <definedName name="_8384__FDSAUDITLINK__">{"fdsup://directions/FAT Viewer?action=UPDATE&amp;creator=factset&amp;DYN_ARGS=TRUE&amp;DOC_NAME=FAT:FQL_AUDITING_CLIENT_TEMPLATE.FAT&amp;display_string=Audit&amp;VAR:KEY=JIDIVWBMPI&amp;VAR:QUERY=KFBfUFJJQ0UoMzk4OTMpLShGRl9DQVNIX1NUKFFUUiwzOTg5MykvUF9DT01fU0hTX09VVCgzOTg5MykpKS9GR","V9FU1RJTUFURSgnRVBTJywnTUVBTicsJ0FOTlVBTF9ST0xMJywnKzEnLDM5ODkzLCwsJycp&amp;WINDOW=FIRST_POPUP&amp;HEIGHT=450&amp;WIDTH=450&amp;START_MAXIMIZED=FALSE&amp;VAR:CALENDAR=US&amp;VAR:SYMBOL=98433210&amp;VAR:INDEX=0"}</definedName>
    <definedName name="_8385__FDSAUDITLINK__">{"fdsup://directions/FAT Viewer?action=UPDATE&amp;creator=factset&amp;DYN_ARGS=TRUE&amp;DOC_NAME=FAT:FQL_AUDITING_CLIENT_TEMPLATE.FAT&amp;display_string=Audit&amp;VAR:KEY=JIDIVWBMPI&amp;VAR:QUERY=KFBfUFJJQ0UoMzk4OTMpLShGRl9DQVNIX1NUKFFUUiwzOTg5MykvUF9DT01fU0hTX09VVCgzOTg5MykpKS9GR","V9FU1RJTUFURSgnRVBTJywnTUVBTicsJ0FOTlVBTF9ST0xMJywnKzEnLDM5ODkzLCwsJycp&amp;WINDOW=FIRST_POPUP&amp;HEIGHT=450&amp;WIDTH=450&amp;START_MAXIMIZED=FALSE&amp;VAR:CALENDAR=US&amp;VAR:SYMBOL=98433210&amp;VAR:INDEX=0"}</definedName>
    <definedName name="_8386__FDSAUDITLINK__">{"fdsup://directions/FAT Viewer?action=UPDATE&amp;creator=factset&amp;DYN_ARGS=TRUE&amp;DOC_NAME=FAT:FQL_AUDITING_CLIENT_TEMPLATE.FAT&amp;display_string=Audit&amp;VAR:KEY=BKNIJGTEVU&amp;VAR:QUERY=KFBfUFJJQ0UoMzk4OTIpLShGRl9DQVNIX1NUKFFUUiwzOTg5MikvUF9DT01fU0hTX09VVCgzOTg5MikpKS9GR","V9FU1RJTUFURSgnRVBTJywnTUVBTicsJ0FOTlVBTF9ST0xMJywnKzEnLDM5ODkyLCwsJycp&amp;WINDOW=FIRST_POPUP&amp;HEIGHT=450&amp;WIDTH=450&amp;START_MAXIMIZED=FALSE&amp;VAR:CALENDAR=US&amp;VAR:SYMBOL=98433210&amp;VAR:INDEX=0"}</definedName>
    <definedName name="_8387__FDSAUDITLINK__">{"fdsup://directions/FAT Viewer?action=UPDATE&amp;creator=factset&amp;DYN_ARGS=TRUE&amp;DOC_NAME=FAT:FQL_AUDITING_CLIENT_TEMPLATE.FAT&amp;display_string=Audit&amp;VAR:KEY=BKNIJGTEVU&amp;VAR:QUERY=KFBfUFJJQ0UoMzk4OTIpLShGRl9DQVNIX1NUKFFUUiwzOTg5MikvUF9DT01fU0hTX09VVCgzOTg5MikpKS9GR","V9FU1RJTUFURSgnRVBTJywnTUVBTicsJ0FOTlVBTF9ST0xMJywnKzEnLDM5ODkyLCwsJycp&amp;WINDOW=FIRST_POPUP&amp;HEIGHT=450&amp;WIDTH=450&amp;START_MAXIMIZED=FALSE&amp;VAR:CALENDAR=US&amp;VAR:SYMBOL=98433210&amp;VAR:INDEX=0"}</definedName>
    <definedName name="_8388__FDSAUDITLINK__">{"fdsup://directions/FAT Viewer?action=UPDATE&amp;creator=factset&amp;DYN_ARGS=TRUE&amp;DOC_NAME=FAT:FQL_AUDITING_CLIENT_TEMPLATE.FAT&amp;display_string=Audit&amp;VAR:KEY=DQFKNYVILQ&amp;VAR:QUERY=KFBfUFJJQ0UoMzk4OTEpLShGRl9DQVNIX1NUKFFUUiwzOTg5MSkvUF9DT01fU0hTX09VVCgzOTg5MSkpKS9GR","V9FU1RJTUFURSgnRVBTJywnTUVBTicsJ0FOTlVBTF9ST0xMJywnKzEnLDM5ODkxLCwsJycp&amp;WINDOW=FIRST_POPUP&amp;HEIGHT=450&amp;WIDTH=450&amp;START_MAXIMIZED=FALSE&amp;VAR:CALENDAR=US&amp;VAR:SYMBOL=98433210&amp;VAR:INDEX=0"}</definedName>
    <definedName name="_8389__FDSAUDITLINK__">{"fdsup://directions/FAT Viewer?action=UPDATE&amp;creator=factset&amp;DYN_ARGS=TRUE&amp;DOC_NAME=FAT:FQL_AUDITING_CLIENT_TEMPLATE.FAT&amp;display_string=Audit&amp;VAR:KEY=DQFKNYVILQ&amp;VAR:QUERY=KFBfUFJJQ0UoMzk4OTEpLShGRl9DQVNIX1NUKFFUUiwzOTg5MSkvUF9DT01fU0hTX09VVCgzOTg5MSkpKS9GR","V9FU1RJTUFURSgnRVBTJywnTUVBTicsJ0FOTlVBTF9ST0xMJywnKzEnLDM5ODkxLCwsJycp&amp;WINDOW=FIRST_POPUP&amp;HEIGHT=450&amp;WIDTH=450&amp;START_MAXIMIZED=FALSE&amp;VAR:CALENDAR=US&amp;VAR:SYMBOL=98433210&amp;VAR:INDEX=0"}</definedName>
    <definedName name="_83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951"}</definedName>
    <definedName name="_8390__FDSAUDITLINK__">{"fdsup://directions/FAT Viewer?action=UPDATE&amp;creator=factset&amp;DYN_ARGS=TRUE&amp;DOC_NAME=FAT:FQL_AUDITING_CLIENT_TEMPLATE.FAT&amp;display_string=Audit&amp;VAR:KEY=HIVOFSZGNS&amp;VAR:QUERY=KFBfUFJJQ0UoMzk4OTApLShGRl9DQVNIX1NUKFFUUiwzOTg5MCkvUF9DT01fU0hTX09VVCgzOTg5MCkpKS9GR","V9FU1RJTUFURSgnRVBTJywnTUVBTicsJ0FOTlVBTF9ST0xMJywnKzEnLDM5ODkwLCwsJycp&amp;WINDOW=FIRST_POPUP&amp;HEIGHT=450&amp;WIDTH=450&amp;START_MAXIMIZED=FALSE&amp;VAR:CALENDAR=US&amp;VAR:SYMBOL=98433210&amp;VAR:INDEX=0"}</definedName>
    <definedName name="_8391__FDSAUDITLINK__">{"fdsup://directions/FAT Viewer?action=UPDATE&amp;creator=factset&amp;DYN_ARGS=TRUE&amp;DOC_NAME=FAT:FQL_AUDITING_CLIENT_TEMPLATE.FAT&amp;display_string=Audit&amp;VAR:KEY=HIVOFSZGNS&amp;VAR:QUERY=KFBfUFJJQ0UoMzk4OTApLShGRl9DQVNIX1NUKFFUUiwzOTg5MCkvUF9DT01fU0hTX09VVCgzOTg5MCkpKS9GR","V9FU1RJTUFURSgnRVBTJywnTUVBTicsJ0FOTlVBTF9ST0xMJywnKzEnLDM5ODkwLCwsJycp&amp;WINDOW=FIRST_POPUP&amp;HEIGHT=450&amp;WIDTH=450&amp;START_MAXIMIZED=FALSE&amp;VAR:CALENDAR=US&amp;VAR:SYMBOL=98433210&amp;VAR:INDEX=0"}</definedName>
    <definedName name="_8392__FDSAUDITLINK__">{"fdsup://directions/FAT Viewer?action=UPDATE&amp;creator=factset&amp;DYN_ARGS=TRUE&amp;DOC_NAME=FAT:FQL_AUDITING_CLIENT_TEMPLATE.FAT&amp;display_string=Audit&amp;VAR:KEY=TQRMRQBMRY&amp;VAR:QUERY=KFBfUFJJQ0UoMzk4ODkpLShGRl9DQVNIX1NUKFFUUiwzOTg4OSkvUF9DT01fU0hTX09VVCgzOTg4OSkpKS9GR","V9FU1RJTUFURSgnRVBTJywnTUVBTicsJ0FOTlVBTF9ST0xMJywnKzEnLDM5ODg5LCwsJycp&amp;WINDOW=FIRST_POPUP&amp;HEIGHT=450&amp;WIDTH=450&amp;START_MAXIMIZED=FALSE&amp;VAR:CALENDAR=US&amp;VAR:SYMBOL=98433210&amp;VAR:INDEX=0"}</definedName>
    <definedName name="_8393__FDSAUDITLINK__">{"fdsup://directions/FAT Viewer?action=UPDATE&amp;creator=factset&amp;DYN_ARGS=TRUE&amp;DOC_NAME=FAT:FQL_AUDITING_CLIENT_TEMPLATE.FAT&amp;display_string=Audit&amp;VAR:KEY=TQRMRQBMRY&amp;VAR:QUERY=KFBfUFJJQ0UoMzk4ODkpLShGRl9DQVNIX1NUKFFUUiwzOTg4OSkvUF9DT01fU0hTX09VVCgzOTg4OSkpKS9GR","V9FU1RJTUFURSgnRVBTJywnTUVBTicsJ0FOTlVBTF9ST0xMJywnKzEnLDM5ODg5LCwsJycp&amp;WINDOW=FIRST_POPUP&amp;HEIGHT=450&amp;WIDTH=450&amp;START_MAXIMIZED=FALSE&amp;VAR:CALENDAR=US&amp;VAR:SYMBOL=98433210&amp;VAR:INDEX=0"}</definedName>
    <definedName name="_8394__FDSAUDITLINK__">{"fdsup://directions/FAT Viewer?action=UPDATE&amp;creator=factset&amp;DYN_ARGS=TRUE&amp;DOC_NAME=FAT:FQL_AUDITING_CLIENT_TEMPLATE.FAT&amp;display_string=Audit&amp;VAR:KEY=DIPONILOPI&amp;VAR:QUERY=KFBfUFJJQ0UoMzk4ODgpLShGRl9DQVNIX1NUKFFUUiwzOTg4OCkvUF9DT01fU0hTX09VVCgzOTg4OCkpKS9GR","V9FU1RJTUFURSgnRVBTJywnTUVBTicsJ0FOTlVBTF9ST0xMJywnKzEnLDM5ODg4LCwsJycp&amp;WINDOW=FIRST_POPUP&amp;HEIGHT=450&amp;WIDTH=450&amp;START_MAXIMIZED=FALSE&amp;VAR:CALENDAR=US&amp;VAR:SYMBOL=98433210&amp;VAR:INDEX=0"}</definedName>
    <definedName name="_8395__FDSAUDITLINK__">{"fdsup://directions/FAT Viewer?action=UPDATE&amp;creator=factset&amp;DYN_ARGS=TRUE&amp;DOC_NAME=FAT:FQL_AUDITING_CLIENT_TEMPLATE.FAT&amp;display_string=Audit&amp;VAR:KEY=DIPONILOPI&amp;VAR:QUERY=KFBfUFJJQ0UoMzk4ODgpLShGRl9DQVNIX1NUKFFUUiwzOTg4OCkvUF9DT01fU0hTX09VVCgzOTg4OCkpKS9GR","V9FU1RJTUFURSgnRVBTJywnTUVBTicsJ0FOTlVBTF9ST0xMJywnKzEnLDM5ODg4LCwsJycp&amp;WINDOW=FIRST_POPUP&amp;HEIGHT=450&amp;WIDTH=450&amp;START_MAXIMIZED=FALSE&amp;VAR:CALENDAR=US&amp;VAR:SYMBOL=98433210&amp;VAR:INDEX=0"}</definedName>
    <definedName name="_8396__FDSAUDITLINK__">{"fdsup://directions/FAT Viewer?action=UPDATE&amp;creator=factset&amp;DYN_ARGS=TRUE&amp;DOC_NAME=FAT:FQL_AUDITING_CLIENT_TEMPLATE.FAT&amp;display_string=Audit&amp;VAR:KEY=TWVWFIHAHI&amp;VAR:QUERY=KFBfUFJJQ0UoMzk4ODcpLShGRl9DQVNIX1NUKFFUUiwzOTg4NykvUF9DT01fU0hTX09VVCgzOTg4NykpKS9GR","V9FU1RJTUFURSgnRVBTJywnTUVBTicsJ0FOTlVBTF9ST0xMJywnKzEnLDM5ODg3LCwsJycp&amp;WINDOW=FIRST_POPUP&amp;HEIGHT=450&amp;WIDTH=450&amp;START_MAXIMIZED=FALSE&amp;VAR:CALENDAR=US&amp;VAR:SYMBOL=98433210&amp;VAR:INDEX=0"}</definedName>
    <definedName name="_8397__FDSAUDITLINK__">{"fdsup://directions/FAT Viewer?action=UPDATE&amp;creator=factset&amp;DYN_ARGS=TRUE&amp;DOC_NAME=FAT:FQL_AUDITING_CLIENT_TEMPLATE.FAT&amp;display_string=Audit&amp;VAR:KEY=TWVWFIHAHI&amp;VAR:QUERY=KFBfUFJJQ0UoMzk4ODcpLShGRl9DQVNIX1NUKFFUUiwzOTg4NykvUF9DT01fU0hTX09VVCgzOTg4NykpKS9GR","V9FU1RJTUFURSgnRVBTJywnTUVBTicsJ0FOTlVBTF9ST0xMJywnKzEnLDM5ODg3LCwsJycp&amp;WINDOW=FIRST_POPUP&amp;HEIGHT=450&amp;WIDTH=450&amp;START_MAXIMIZED=FALSE&amp;VAR:CALENDAR=US&amp;VAR:SYMBOL=98433210&amp;VAR:INDEX=0"}</definedName>
    <definedName name="_8398__FDSAUDITLINK__">{"fdsup://directions/FAT Viewer?action=UPDATE&amp;creator=factset&amp;DYN_ARGS=TRUE&amp;DOC_NAME=FAT:FQL_AUDITING_CLIENT_TEMPLATE.FAT&amp;display_string=Audit&amp;VAR:KEY=HEHMJALGXI&amp;VAR:QUERY=KFBfUFJJQ0UoMzk4ODYpLShGRl9DQVNIX1NUKFFUUiwzOTg4NikvUF9DT01fU0hTX09VVCgzOTg4NikpKS9GR","V9FU1RJTUFURSgnRVBTJywnTUVBTicsJ0FOTlVBTF9ST0xMJywnKzEnLDM5ODg2LCwsJycp&amp;WINDOW=FIRST_POPUP&amp;HEIGHT=450&amp;WIDTH=450&amp;START_MAXIMIZED=FALSE&amp;VAR:CALENDAR=US&amp;VAR:SYMBOL=98433210&amp;VAR:INDEX=0"}</definedName>
    <definedName name="_8399__FDSAUDITLINK__">{"fdsup://directions/FAT Viewer?action=UPDATE&amp;creator=factset&amp;DYN_ARGS=TRUE&amp;DOC_NAME=FAT:FQL_AUDITING_CLIENT_TEMPLATE.FAT&amp;display_string=Audit&amp;VAR:KEY=HEHMJALGXI&amp;VAR:QUERY=KFBfUFJJQ0UoMzk4ODYpLShGRl9DQVNIX1NUKFFUUiwzOTg4NikvUF9DT01fU0hTX09VVCgzOTg4NikpKS9GR","V9FU1RJTUFURSgnRVBTJywnTUVBTicsJ0FOTlVBTF9ST0xMJywnKzEnLDM5ODg2LCwsJycp&amp;WINDOW=FIRST_POPUP&amp;HEIGHT=450&amp;WIDTH=450&amp;START_MAXIMIZED=FALSE&amp;VAR:CALENDAR=US&amp;VAR:SYMBOL=98433210&amp;VAR:INDEX=0"}</definedName>
    <definedName name="_8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17.710551&amp;VAR:V0=18.835338&amp;VAR:V1=16.696936&amp;VAR:Y0=2003&amp;VAR:Y1=2004&amp;VAR:P=974.500900&amp;VAR:DATE=20030630&amp;VAR:THRESH=-|-|-","|-|-|-|-"}</definedName>
    <definedName name="_84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950"}</definedName>
    <definedName name="_8400__FDSAUDITLINK__">{"fdsup://directions/FAT Viewer?action=UPDATE&amp;creator=factset&amp;DYN_ARGS=TRUE&amp;DOC_NAME=FAT:FQL_AUDITING_CLIENT_TEMPLATE.FAT&amp;display_string=Audit&amp;VAR:KEY=BQZUJOJYXG&amp;VAR:QUERY=KFBfUFJJQ0UoMzk4ODUpLShGRl9DQVNIX1NUKFFUUiwzOTg4NSkvUF9DT01fU0hTX09VVCgzOTg4NSkpKS9GR","V9FU1RJTUFURSgnRVBTJywnTUVBTicsJ0FOTlVBTF9ST0xMJywnKzEnLDM5ODg1LCwsJycp&amp;WINDOW=FIRST_POPUP&amp;HEIGHT=450&amp;WIDTH=450&amp;START_MAXIMIZED=FALSE&amp;VAR:CALENDAR=US&amp;VAR:SYMBOL=98433210&amp;VAR:INDEX=0"}</definedName>
    <definedName name="_8401__FDSAUDITLINK__">{"fdsup://directions/FAT Viewer?action=UPDATE&amp;creator=factset&amp;DYN_ARGS=TRUE&amp;DOC_NAME=FAT:FQL_AUDITING_CLIENT_TEMPLATE.FAT&amp;display_string=Audit&amp;VAR:KEY=BQZUJOJYXG&amp;VAR:QUERY=KFBfUFJJQ0UoMzk4ODUpLShGRl9DQVNIX1NUKFFUUiwzOTg4NSkvUF9DT01fU0hTX09VVCgzOTg4NSkpKS9GR","V9FU1RJTUFURSgnRVBTJywnTUVBTicsJ0FOTlVBTF9ST0xMJywnKzEnLDM5ODg1LCwsJycp&amp;WINDOW=FIRST_POPUP&amp;HEIGHT=450&amp;WIDTH=450&amp;START_MAXIMIZED=FALSE&amp;VAR:CALENDAR=US&amp;VAR:SYMBOL=98433210&amp;VAR:INDEX=0"}</definedName>
    <definedName name="_8402__FDSAUDITLINK__">{"fdsup://directions/FAT Viewer?action=UPDATE&amp;creator=factset&amp;DYN_ARGS=TRUE&amp;DOC_NAME=FAT:FQL_AUDITING_CLIENT_TEMPLATE.FAT&amp;display_string=Audit&amp;VAR:KEY=PCDMVGLSTC&amp;VAR:QUERY=KFBfUFJJQ0UoMzk4ODQpLShGRl9DQVNIX1NUKFFUUiwzOTg4NCkvUF9DT01fU0hTX09VVCgzOTg4NCkpKS9GR","V9FU1RJTUFURSgnRVBTJywnTUVBTicsJ0FOTlVBTF9ST0xMJywnKzEnLDM5ODg0LCwsJycp&amp;WINDOW=FIRST_POPUP&amp;HEIGHT=450&amp;WIDTH=450&amp;START_MAXIMIZED=FALSE&amp;VAR:CALENDAR=US&amp;VAR:SYMBOL=98433210&amp;VAR:INDEX=0"}</definedName>
    <definedName name="_8403__FDSAUDITLINK__">{"fdsup://directions/FAT Viewer?action=UPDATE&amp;creator=factset&amp;DYN_ARGS=TRUE&amp;DOC_NAME=FAT:FQL_AUDITING_CLIENT_TEMPLATE.FAT&amp;display_string=Audit&amp;VAR:KEY=PCDMVGLSTC&amp;VAR:QUERY=KFBfUFJJQ0UoMzk4ODQpLShGRl9DQVNIX1NUKFFUUiwzOTg4NCkvUF9DT01fU0hTX09VVCgzOTg4NCkpKS9GR","V9FU1RJTUFURSgnRVBTJywnTUVBTicsJ0FOTlVBTF9ST0xMJywnKzEnLDM5ODg0LCwsJycp&amp;WINDOW=FIRST_POPUP&amp;HEIGHT=450&amp;WIDTH=450&amp;START_MAXIMIZED=FALSE&amp;VAR:CALENDAR=US&amp;VAR:SYMBOL=98433210&amp;VAR:INDEX=0"}</definedName>
    <definedName name="_8404__FDSAUDITLINK__">{"fdsup://directions/FAT Viewer?action=UPDATE&amp;creator=factset&amp;DYN_ARGS=TRUE&amp;DOC_NAME=FAT:FQL_AUDITING_CLIENT_TEMPLATE.FAT&amp;display_string=Audit&amp;VAR:KEY=TYFWDUBUBW&amp;VAR:QUERY=KFBfUFJJQ0UoMzk4ODMpLShGRl9DQVNIX1NUKFFUUiwzOTg4MykvUF9DT01fU0hTX09VVCgzOTg4MykpKS9GR","V9FU1RJTUFURSgnRVBTJywnTUVBTicsJ0FOTlVBTF9ST0xMJywnKzEnLDM5ODgzLCwsJycp&amp;WINDOW=FIRST_POPUP&amp;HEIGHT=450&amp;WIDTH=450&amp;START_MAXIMIZED=FALSE&amp;VAR:CALENDAR=US&amp;VAR:SYMBOL=98433210&amp;VAR:INDEX=0"}</definedName>
    <definedName name="_8405__FDSAUDITLINK__">{"fdsup://directions/FAT Viewer?action=UPDATE&amp;creator=factset&amp;DYN_ARGS=TRUE&amp;DOC_NAME=FAT:FQL_AUDITING_CLIENT_TEMPLATE.FAT&amp;display_string=Audit&amp;VAR:KEY=TYFWDUBUBW&amp;VAR:QUERY=KFBfUFJJQ0UoMzk4ODMpLShGRl9DQVNIX1NUKFFUUiwzOTg4MykvUF9DT01fU0hTX09VVCgzOTg4MykpKS9GR","V9FU1RJTUFURSgnRVBTJywnTUVBTicsJ0FOTlVBTF9ST0xMJywnKzEnLDM5ODgzLCwsJycp&amp;WINDOW=FIRST_POPUP&amp;HEIGHT=450&amp;WIDTH=450&amp;START_MAXIMIZED=FALSE&amp;VAR:CALENDAR=US&amp;VAR:SYMBOL=98433210&amp;VAR:INDEX=0"}</definedName>
    <definedName name="_8406__FDSAUDITLINK__">{"fdsup://directions/FAT Viewer?action=UPDATE&amp;creator=factset&amp;DYN_ARGS=TRUE&amp;DOC_NAME=FAT:FQL_AUDITING_CLIENT_TEMPLATE.FAT&amp;display_string=Audit&amp;VAR:KEY=DYVCBEPQDM&amp;VAR:QUERY=KFBfUFJJQ0UoMzk4ODIpLShGRl9DQVNIX1NUKFFUUiwzOTg4MikvUF9DT01fU0hTX09VVCgzOTg4MikpKS9GR","V9FU1RJTUFURSgnRVBTJywnTUVBTicsJ0FOTlVBTF9ST0xMJywnKzEnLDM5ODgyLCwsJycp&amp;WINDOW=FIRST_POPUP&amp;HEIGHT=450&amp;WIDTH=450&amp;START_MAXIMIZED=FALSE&amp;VAR:CALENDAR=US&amp;VAR:SYMBOL=98433210&amp;VAR:INDEX=0"}</definedName>
    <definedName name="_8407__FDSAUDITLINK__">{"fdsup://directions/FAT Viewer?action=UPDATE&amp;creator=factset&amp;DYN_ARGS=TRUE&amp;DOC_NAME=FAT:FQL_AUDITING_CLIENT_TEMPLATE.FAT&amp;display_string=Audit&amp;VAR:KEY=DYVCBEPQDM&amp;VAR:QUERY=KFBfUFJJQ0UoMzk4ODIpLShGRl9DQVNIX1NUKFFUUiwzOTg4MikvUF9DT01fU0hTX09VVCgzOTg4MikpKS9GR","V9FU1RJTUFURSgnRVBTJywnTUVBTicsJ0FOTlVBTF9ST0xMJywnKzEnLDM5ODgyLCwsJycp&amp;WINDOW=FIRST_POPUP&amp;HEIGHT=450&amp;WIDTH=450&amp;START_MAXIMIZED=FALSE&amp;VAR:CALENDAR=US&amp;VAR:SYMBOL=98433210&amp;VAR:INDEX=0"}</definedName>
    <definedName name="_8408__FDSAUDITLINK__">{"fdsup://directions/FAT Viewer?action=UPDATE&amp;creator=factset&amp;DYN_ARGS=TRUE&amp;DOC_NAME=FAT:FQL_AUDITING_CLIENT_TEMPLATE.FAT&amp;display_string=Audit&amp;VAR:KEY=TOPYNCLMXE&amp;VAR:QUERY=KFBfUFJJQ0UoMzk4ODEpLShGRl9DQVNIX1NUKFFUUiwzOTg4MSkvUF9DT01fU0hTX09VVCgzOTg4MSkpKS9GR","V9FU1RJTUFURSgnRVBTJywnTUVBTicsJ0FOTlVBTF9ST0xMJywnKzEnLDM5ODgxLCwsJycp&amp;WINDOW=FIRST_POPUP&amp;HEIGHT=450&amp;WIDTH=450&amp;START_MAXIMIZED=FALSE&amp;VAR:CALENDAR=US&amp;VAR:SYMBOL=98433210&amp;VAR:INDEX=0"}</definedName>
    <definedName name="_8409__FDSAUDITLINK__">{"fdsup://directions/FAT Viewer?action=UPDATE&amp;creator=factset&amp;DYN_ARGS=TRUE&amp;DOC_NAME=FAT:FQL_AUDITING_CLIENT_TEMPLATE.FAT&amp;display_string=Audit&amp;VAR:KEY=TOPYNCLMXE&amp;VAR:QUERY=KFBfUFJJQ0UoMzk4ODEpLShGRl9DQVNIX1NUKFFUUiwzOTg4MSkvUF9DT01fU0hTX09VVCgzOTg4MSkpKS9GR","V9FU1RJTUFURSgnRVBTJywnTUVBTicsJ0FOTlVBTF9ST0xMJywnKzEnLDM5ODgxLCwsJycp&amp;WINDOW=FIRST_POPUP&amp;HEIGHT=450&amp;WIDTH=450&amp;START_MAXIMIZED=FALSE&amp;VAR:CALENDAR=US&amp;VAR:SYMBOL=98433210&amp;VAR:INDEX=0"}</definedName>
    <definedName name="_84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949"}</definedName>
    <definedName name="_8410__FDSAUDITLINK__">{"fdsup://directions/FAT Viewer?action=UPDATE&amp;creator=factset&amp;DYN_ARGS=TRUE&amp;DOC_NAME=FAT:FQL_AUDITING_CLIENT_TEMPLATE.FAT&amp;display_string=Audit&amp;VAR:KEY=TWHWDUDCPU&amp;VAR:QUERY=KFBfUFJJQ0UoMzk4ODApLShGRl9DQVNIX1NUKFFUUiwzOTg4MCkvUF9DT01fU0hTX09VVCgzOTg4MCkpKS9GR","V9FU1RJTUFURSgnRVBTJywnTUVBTicsJ0FOTlVBTF9ST0xMJywnKzEnLDM5ODgwLCwsJycp&amp;WINDOW=FIRST_POPUP&amp;HEIGHT=450&amp;WIDTH=450&amp;START_MAXIMIZED=FALSE&amp;VAR:CALENDAR=US&amp;VAR:SYMBOL=98433210&amp;VAR:INDEX=0"}</definedName>
    <definedName name="_8411__FDSAUDITLINK__">{"fdsup://directions/FAT Viewer?action=UPDATE&amp;creator=factset&amp;DYN_ARGS=TRUE&amp;DOC_NAME=FAT:FQL_AUDITING_CLIENT_TEMPLATE.FAT&amp;display_string=Audit&amp;VAR:KEY=TWHWDUDCPU&amp;VAR:QUERY=KFBfUFJJQ0UoMzk4ODApLShGRl9DQVNIX1NUKFFUUiwzOTg4MCkvUF9DT01fU0hTX09VVCgzOTg4MCkpKS9GR","V9FU1RJTUFURSgnRVBTJywnTUVBTicsJ0FOTlVBTF9ST0xMJywnKzEnLDM5ODgwLCwsJycp&amp;WINDOW=FIRST_POPUP&amp;HEIGHT=450&amp;WIDTH=450&amp;START_MAXIMIZED=FALSE&amp;VAR:CALENDAR=US&amp;VAR:SYMBOL=98433210&amp;VAR:INDEX=0"}</definedName>
    <definedName name="_8412__FDSAUDITLINK__">{"fdsup://directions/FAT Viewer?action=UPDATE&amp;creator=factset&amp;DYN_ARGS=TRUE&amp;DOC_NAME=FAT:FQL_AUDITING_CLIENT_TEMPLATE.FAT&amp;display_string=Audit&amp;VAR:KEY=FKPIROXIFS&amp;VAR:QUERY=KFBfUFJJQ0UoMzk4NzkpLShGRl9DQVNIX1NUKFFUUiwzOTg3OSkvUF9DT01fU0hTX09VVCgzOTg3OSkpKS9GR","V9FU1RJTUFURSgnRVBTJywnTUVBTicsJ0FOTlVBTF9ST0xMJywnKzEnLDM5ODc5LCwsJycp&amp;WINDOW=FIRST_POPUP&amp;HEIGHT=450&amp;WIDTH=450&amp;START_MAXIMIZED=FALSE&amp;VAR:CALENDAR=US&amp;VAR:SYMBOL=98433210&amp;VAR:INDEX=0"}</definedName>
    <definedName name="_8413__FDSAUDITLINK__">{"fdsup://directions/FAT Viewer?action=UPDATE&amp;creator=factset&amp;DYN_ARGS=TRUE&amp;DOC_NAME=FAT:FQL_AUDITING_CLIENT_TEMPLATE.FAT&amp;display_string=Audit&amp;VAR:KEY=FKPIROXIFS&amp;VAR:QUERY=KFBfUFJJQ0UoMzk4NzkpLShGRl9DQVNIX1NUKFFUUiwzOTg3OSkvUF9DT01fU0hTX09VVCgzOTg3OSkpKS9GR","V9FU1RJTUFURSgnRVBTJywnTUVBTicsJ0FOTlVBTF9ST0xMJywnKzEnLDM5ODc5LCwsJycp&amp;WINDOW=FIRST_POPUP&amp;HEIGHT=450&amp;WIDTH=450&amp;START_MAXIMIZED=FALSE&amp;VAR:CALENDAR=US&amp;VAR:SYMBOL=98433210&amp;VAR:INDEX=0"}</definedName>
    <definedName name="_8414__FDSAUDITLINK__">{"fdsup://directions/FAT Viewer?action=UPDATE&amp;creator=factset&amp;DYN_ARGS=TRUE&amp;DOC_NAME=FAT:FQL_AUDITING_CLIENT_TEMPLATE.FAT&amp;display_string=Audit&amp;VAR:KEY=NQDUDSRCRM&amp;VAR:QUERY=KFBfUFJJQ0UoMzk4NzgpLShGRl9DQVNIX1NUKFFUUiwzOTg3OCkvUF9DT01fU0hTX09VVCgzOTg3OCkpKS9GR","V9FU1RJTUFURSgnRVBTJywnTUVBTicsJ0FOTlVBTF9ST0xMJywnKzEnLDM5ODc4LCwsJycp&amp;WINDOW=FIRST_POPUP&amp;HEIGHT=450&amp;WIDTH=450&amp;START_MAXIMIZED=FALSE&amp;VAR:CALENDAR=US&amp;VAR:SYMBOL=98433210&amp;VAR:INDEX=0"}</definedName>
    <definedName name="_8415__FDSAUDITLINK__">{"fdsup://directions/FAT Viewer?action=UPDATE&amp;creator=factset&amp;DYN_ARGS=TRUE&amp;DOC_NAME=FAT:FQL_AUDITING_CLIENT_TEMPLATE.FAT&amp;display_string=Audit&amp;VAR:KEY=NQDUDSRCRM&amp;VAR:QUERY=KFBfUFJJQ0UoMzk4NzgpLShGRl9DQVNIX1NUKFFUUiwzOTg3OCkvUF9DT01fU0hTX09VVCgzOTg3OCkpKS9GR","V9FU1RJTUFURSgnRVBTJywnTUVBTicsJ0FOTlVBTF9ST0xMJywnKzEnLDM5ODc4LCwsJycp&amp;WINDOW=FIRST_POPUP&amp;HEIGHT=450&amp;WIDTH=450&amp;START_MAXIMIZED=FALSE&amp;VAR:CALENDAR=US&amp;VAR:SYMBOL=98433210&amp;VAR:INDEX=0"}</definedName>
    <definedName name="_8416__FDSAUDITLINK__">{"fdsup://directions/FAT Viewer?action=UPDATE&amp;creator=factset&amp;DYN_ARGS=TRUE&amp;DOC_NAME=FAT:FQL_AUDITING_CLIENT_TEMPLATE.FAT&amp;display_string=Audit&amp;VAR:KEY=TKBCPKJSZS&amp;VAR:QUERY=KFBfUFJJQ0UoMzk4NzcpLShGRl9DQVNIX1NUKFFUUiwzOTg3NykvUF9DT01fU0hTX09VVCgzOTg3NykpKS9GR","V9FU1RJTUFURSgnRVBTJywnTUVBTicsJ0FOTlVBTF9ST0xMJywnKzEnLDM5ODc3LCwsJycp&amp;WINDOW=FIRST_POPUP&amp;HEIGHT=450&amp;WIDTH=450&amp;START_MAXIMIZED=FALSE&amp;VAR:CALENDAR=US&amp;VAR:SYMBOL=98433210&amp;VAR:INDEX=0"}</definedName>
    <definedName name="_8417__FDSAUDITLINK__">{"fdsup://directions/FAT Viewer?action=UPDATE&amp;creator=factset&amp;DYN_ARGS=TRUE&amp;DOC_NAME=FAT:FQL_AUDITING_CLIENT_TEMPLATE.FAT&amp;display_string=Audit&amp;VAR:KEY=TKBCPKJSZS&amp;VAR:QUERY=KFBfUFJJQ0UoMzk4NzcpLShGRl9DQVNIX1NUKFFUUiwzOTg3NykvUF9DT01fU0hTX09VVCgzOTg3NykpKS9GR","V9FU1RJTUFURSgnRVBTJywnTUVBTicsJ0FOTlVBTF9ST0xMJywnKzEnLDM5ODc3LCwsJycp&amp;WINDOW=FIRST_POPUP&amp;HEIGHT=450&amp;WIDTH=450&amp;START_MAXIMIZED=FALSE&amp;VAR:CALENDAR=US&amp;VAR:SYMBOL=98433210&amp;VAR:INDEX=0"}</definedName>
    <definedName name="_8418__FDSAUDITLINK__">{"fdsup://directions/FAT Viewer?action=UPDATE&amp;creator=factset&amp;DYN_ARGS=TRUE&amp;DOC_NAME=FAT:FQL_AUDITING_CLIENT_TEMPLATE.FAT&amp;display_string=Audit&amp;VAR:KEY=TUXYZCRUXE&amp;VAR:QUERY=KFBfUFJJQ0UoMzk4NzYpLShGRl9DQVNIX1NUKFFUUiwzOTg3NikvUF9DT01fU0hTX09VVCgzOTg3NikpKS9GR","V9FU1RJTUFURSgnRVBTJywnTUVBTicsJ0FOTlVBTF9ST0xMJywnKzEnLDM5ODc2LCwsJycp&amp;WINDOW=FIRST_POPUP&amp;HEIGHT=450&amp;WIDTH=450&amp;START_MAXIMIZED=FALSE&amp;VAR:CALENDAR=US&amp;VAR:SYMBOL=98433210&amp;VAR:INDEX=0"}</definedName>
    <definedName name="_8419__FDSAUDITLINK__">{"fdsup://directions/FAT Viewer?action=UPDATE&amp;creator=factset&amp;DYN_ARGS=TRUE&amp;DOC_NAME=FAT:FQL_AUDITING_CLIENT_TEMPLATE.FAT&amp;display_string=Audit&amp;VAR:KEY=TUXYZCRUXE&amp;VAR:QUERY=KFBfUFJJQ0UoMzk4NzYpLShGRl9DQVNIX1NUKFFUUiwzOTg3NikvUF9DT01fU0hTX09VVCgzOTg3NikpKS9GR","V9FU1RJTUFURSgnRVBTJywnTUVBTicsJ0FOTlVBTF9ST0xMJywnKzEnLDM5ODc2LCwsJycp&amp;WINDOW=FIRST_POPUP&amp;HEIGHT=450&amp;WIDTH=450&amp;START_MAXIMIZED=FALSE&amp;VAR:CALENDAR=US&amp;VAR:SYMBOL=98433210&amp;VAR:INDEX=0"}</definedName>
    <definedName name="_84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948"}</definedName>
    <definedName name="_8420__FDSAUDITLINK__">{"fdsup://directions/FAT Viewer?action=UPDATE&amp;creator=factset&amp;DYN_ARGS=TRUE&amp;DOC_NAME=FAT:FQL_AUDITING_CLIENT_TEMPLATE.FAT&amp;display_string=Audit&amp;VAR:KEY=LEFYTIDSXK&amp;VAR:QUERY=KFBfUFJJQ0UoMzk4NzUpLShGRl9DQVNIX1NUKFFUUiwzOTg3NSkvUF9DT01fU0hTX09VVCgzOTg3NSkpKS9GR","V9FU1RJTUFURSgnRVBTJywnTUVBTicsJ0FOTlVBTF9ST0xMJywnKzEnLDM5ODc1LCwsJycp&amp;WINDOW=FIRST_POPUP&amp;HEIGHT=450&amp;WIDTH=450&amp;START_MAXIMIZED=FALSE&amp;VAR:CALENDAR=US&amp;VAR:SYMBOL=98433210&amp;VAR:INDEX=0"}</definedName>
    <definedName name="_8421__FDSAUDITLINK__">{"fdsup://directions/FAT Viewer?action=UPDATE&amp;creator=factset&amp;DYN_ARGS=TRUE&amp;DOC_NAME=FAT:FQL_AUDITING_CLIENT_TEMPLATE.FAT&amp;display_string=Audit&amp;VAR:KEY=LEFYTIDSXK&amp;VAR:QUERY=KFBfUFJJQ0UoMzk4NzUpLShGRl9DQVNIX1NUKFFUUiwzOTg3NSkvUF9DT01fU0hTX09VVCgzOTg3NSkpKS9GR","V9FU1RJTUFURSgnRVBTJywnTUVBTicsJ0FOTlVBTF9ST0xMJywnKzEnLDM5ODc1LCwsJycp&amp;WINDOW=FIRST_POPUP&amp;HEIGHT=450&amp;WIDTH=450&amp;START_MAXIMIZED=FALSE&amp;VAR:CALENDAR=US&amp;VAR:SYMBOL=98433210&amp;VAR:INDEX=0"}</definedName>
    <definedName name="_8422__FDSAUDITLINK__">{"fdsup://directions/FAT Viewer?action=UPDATE&amp;creator=factset&amp;DYN_ARGS=TRUE&amp;DOC_NAME=FAT:FQL_AUDITING_CLIENT_TEMPLATE.FAT&amp;display_string=Audit&amp;VAR:KEY=TMFMZCDKJQ&amp;VAR:QUERY=KFBfUFJJQ0UoMzk4NzQpLShGRl9DQVNIX1NUKFFUUiwzOTg3NCkvUF9DT01fU0hTX09VVCgzOTg3NCkpKS9GR","V9FU1RJTUFURSgnRVBTJywnTUVBTicsJ0FOTlVBTF9ST0xMJywnKzEnLDM5ODc0LCwsJycp&amp;WINDOW=FIRST_POPUP&amp;HEIGHT=450&amp;WIDTH=450&amp;START_MAXIMIZED=FALSE&amp;VAR:CALENDAR=US&amp;VAR:SYMBOL=98433210&amp;VAR:INDEX=0"}</definedName>
    <definedName name="_8423__FDSAUDITLINK__">{"fdsup://directions/FAT Viewer?action=UPDATE&amp;creator=factset&amp;DYN_ARGS=TRUE&amp;DOC_NAME=FAT:FQL_AUDITING_CLIENT_TEMPLATE.FAT&amp;display_string=Audit&amp;VAR:KEY=TMFMZCDKJQ&amp;VAR:QUERY=KFBfUFJJQ0UoMzk4NzQpLShGRl9DQVNIX1NUKFFUUiwzOTg3NCkvUF9DT01fU0hTX09VVCgzOTg3NCkpKS9GR","V9FU1RJTUFURSgnRVBTJywnTUVBTicsJ0FOTlVBTF9ST0xMJywnKzEnLDM5ODc0LCwsJycp&amp;WINDOW=FIRST_POPUP&amp;HEIGHT=450&amp;WIDTH=450&amp;START_MAXIMIZED=FALSE&amp;VAR:CALENDAR=US&amp;VAR:SYMBOL=98433210&amp;VAR:INDEX=0"}</definedName>
    <definedName name="_8424__FDSAUDITLINK__">{"fdsup://directions/FAT Viewer?action=UPDATE&amp;creator=factset&amp;DYN_ARGS=TRUE&amp;DOC_NAME=FAT:FQL_AUDITING_CLIENT_TEMPLATE.FAT&amp;display_string=Audit&amp;VAR:KEY=JSPCJABOTK&amp;VAR:QUERY=KFBfUFJJQ0UoMzk4NzMpLShGRl9DQVNIX1NUKFFUUiwzOTg3MykvUF9DT01fU0hTX09VVCgzOTg3MykpKS9GR","V9FU1RJTUFURSgnRVBTJywnTUVBTicsJ0FOTlVBTF9ST0xMJywnKzEnLDM5ODczLCwsJycp&amp;WINDOW=FIRST_POPUP&amp;HEIGHT=450&amp;WIDTH=450&amp;START_MAXIMIZED=FALSE&amp;VAR:CALENDAR=US&amp;VAR:SYMBOL=98433210&amp;VAR:INDEX=0"}</definedName>
    <definedName name="_8425__FDSAUDITLINK__">{"fdsup://directions/FAT Viewer?action=UPDATE&amp;creator=factset&amp;DYN_ARGS=TRUE&amp;DOC_NAME=FAT:FQL_AUDITING_CLIENT_TEMPLATE.FAT&amp;display_string=Audit&amp;VAR:KEY=JSPCJABOTK&amp;VAR:QUERY=KFBfUFJJQ0UoMzk4NzMpLShGRl9DQVNIX1NUKFFUUiwzOTg3MykvUF9DT01fU0hTX09VVCgzOTg3MykpKS9GR","V9FU1RJTUFURSgnRVBTJywnTUVBTicsJ0FOTlVBTF9ST0xMJywnKzEnLDM5ODczLCwsJycp&amp;WINDOW=FIRST_POPUP&amp;HEIGHT=450&amp;WIDTH=450&amp;START_MAXIMIZED=FALSE&amp;VAR:CALENDAR=US&amp;VAR:SYMBOL=98433210&amp;VAR:INDEX=0"}</definedName>
    <definedName name="_8426__FDSAUDITLINK__">{"fdsup://directions/FAT Viewer?action=UPDATE&amp;creator=factset&amp;DYN_ARGS=TRUE&amp;DOC_NAME=FAT:FQL_AUDITING_CLIENT_TEMPLATE.FAT&amp;display_string=Audit&amp;VAR:KEY=JSFQRIPABY&amp;VAR:QUERY=KFBfUFJJQ0UoMzk4NzIpLShGRl9DQVNIX1NUKFFUUiwzOTg3MikvUF9DT01fU0hTX09VVCgzOTg3MikpKS9GR","V9FU1RJTUFURSgnRVBTJywnTUVBTicsJ0FOTlVBTF9ST0xMJywnKzEnLDM5ODcyLCwsJycp&amp;WINDOW=FIRST_POPUP&amp;HEIGHT=450&amp;WIDTH=450&amp;START_MAXIMIZED=FALSE&amp;VAR:CALENDAR=US&amp;VAR:SYMBOL=98433210&amp;VAR:INDEX=0"}</definedName>
    <definedName name="_8427__FDSAUDITLINK__">{"fdsup://directions/FAT Viewer?action=UPDATE&amp;creator=factset&amp;DYN_ARGS=TRUE&amp;DOC_NAME=FAT:FQL_AUDITING_CLIENT_TEMPLATE.FAT&amp;display_string=Audit&amp;VAR:KEY=JSFQRIPABY&amp;VAR:QUERY=KFBfUFJJQ0UoMzk4NzIpLShGRl9DQVNIX1NUKFFUUiwzOTg3MikvUF9DT01fU0hTX09VVCgzOTg3MikpKS9GR","V9FU1RJTUFURSgnRVBTJywnTUVBTicsJ0FOTlVBTF9ST0xMJywnKzEnLDM5ODcyLCwsJycp&amp;WINDOW=FIRST_POPUP&amp;HEIGHT=450&amp;WIDTH=450&amp;START_MAXIMIZED=FALSE&amp;VAR:CALENDAR=US&amp;VAR:SYMBOL=98433210&amp;VAR:INDEX=0"}</definedName>
    <definedName name="_8428__FDSAUDITLINK__">{"fdsup://directions/FAT Viewer?action=UPDATE&amp;creator=factset&amp;DYN_ARGS=TRUE&amp;DOC_NAME=FAT:FQL_AUDITING_CLIENT_TEMPLATE.FAT&amp;display_string=Audit&amp;VAR:KEY=HOBALMZCTM&amp;VAR:QUERY=KFBfUFJJQ0UoMzk4NzEpLShGRl9DQVNIX1NUKFFUUiwzOTg3MSkvUF9DT01fU0hTX09VVCgzOTg3MSkpKS9GR","V9FU1RJTUFURSgnRVBTJywnTUVBTicsJ0FOTlVBTF9ST0xMJywnKzEnLDM5ODcxLCwsJycp&amp;WINDOW=FIRST_POPUP&amp;HEIGHT=450&amp;WIDTH=450&amp;START_MAXIMIZED=FALSE&amp;VAR:CALENDAR=US&amp;VAR:SYMBOL=98433210&amp;VAR:INDEX=0"}</definedName>
    <definedName name="_8429__FDSAUDITLINK__">{"fdsup://directions/FAT Viewer?action=UPDATE&amp;creator=factset&amp;DYN_ARGS=TRUE&amp;DOC_NAME=FAT:FQL_AUDITING_CLIENT_TEMPLATE.FAT&amp;display_string=Audit&amp;VAR:KEY=HOBALMZCTM&amp;VAR:QUERY=KFBfUFJJQ0UoMzk4NzEpLShGRl9DQVNIX1NUKFFUUiwzOTg3MSkvUF9DT01fU0hTX09VVCgzOTg3MSkpKS9GR","V9FU1RJTUFURSgnRVBTJywnTUVBTicsJ0FOTlVBTF9ST0xMJywnKzEnLDM5ODcxLCwsJycp&amp;WINDOW=FIRST_POPUP&amp;HEIGHT=450&amp;WIDTH=450&amp;START_MAXIMIZED=FALSE&amp;VAR:CALENDAR=US&amp;VAR:SYMBOL=98433210&amp;VAR:INDEX=0"}</definedName>
    <definedName name="_84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947"}</definedName>
    <definedName name="_8430__FDSAUDITLINK__">{"fdsup://directions/FAT Viewer?action=UPDATE&amp;creator=factset&amp;DYN_ARGS=TRUE&amp;DOC_NAME=FAT:FQL_AUDITING_CLIENT_TEMPLATE.FAT&amp;display_string=Audit&amp;VAR:KEY=NURWRQLGLY&amp;VAR:QUERY=KFBfUFJJQ0UoMzk4NzApLShGRl9DQVNIX1NUKFFUUiwzOTg3MCkvUF9DT01fU0hTX09VVCgzOTg3MCkpKS9GR","V9FU1RJTUFURSgnRVBTJywnTUVBTicsJ0FOTlVBTF9ST0xMJywnKzEnLDM5ODcwLCwsJycp&amp;WINDOW=FIRST_POPUP&amp;HEIGHT=450&amp;WIDTH=450&amp;START_MAXIMIZED=FALSE&amp;VAR:CALENDAR=US&amp;VAR:SYMBOL=98433210&amp;VAR:INDEX=0"}</definedName>
    <definedName name="_8431__FDSAUDITLINK__">{"fdsup://directions/FAT Viewer?action=UPDATE&amp;creator=factset&amp;DYN_ARGS=TRUE&amp;DOC_NAME=FAT:FQL_AUDITING_CLIENT_TEMPLATE.FAT&amp;display_string=Audit&amp;VAR:KEY=NURWRQLGLY&amp;VAR:QUERY=KFBfUFJJQ0UoMzk4NzApLShGRl9DQVNIX1NUKFFUUiwzOTg3MCkvUF9DT01fU0hTX09VVCgzOTg3MCkpKS9GR","V9FU1RJTUFURSgnRVBTJywnTUVBTicsJ0FOTlVBTF9ST0xMJywnKzEnLDM5ODcwLCwsJycp&amp;WINDOW=FIRST_POPUP&amp;HEIGHT=450&amp;WIDTH=450&amp;START_MAXIMIZED=FALSE&amp;VAR:CALENDAR=US&amp;VAR:SYMBOL=98433210&amp;VAR:INDEX=0"}</definedName>
    <definedName name="_8432__FDSAUDITLINK__">{"fdsup://directions/FAT Viewer?action=UPDATE&amp;creator=factset&amp;DYN_ARGS=TRUE&amp;DOC_NAME=FAT:FQL_AUDITING_CLIENT_TEMPLATE.FAT&amp;display_string=Audit&amp;VAR:KEY=XYVMFEJMTI&amp;VAR:QUERY=KFBfUFJJQ0UoMzk4NjkpLShGRl9DQVNIX1NUKFFUUiwzOTg2OSkvUF9DT01fU0hTX09VVCgzOTg2OSkpKS9GR","V9FU1RJTUFURSgnRVBTJywnTUVBTicsJ0FOTlVBTF9ST0xMJywnKzEnLDM5ODY5LCwsJycp&amp;WINDOW=FIRST_POPUP&amp;HEIGHT=450&amp;WIDTH=450&amp;START_MAXIMIZED=FALSE&amp;VAR:CALENDAR=US&amp;VAR:SYMBOL=98433210&amp;VAR:INDEX=0"}</definedName>
    <definedName name="_8433__FDSAUDITLINK__">{"fdsup://directions/FAT Viewer?action=UPDATE&amp;creator=factset&amp;DYN_ARGS=TRUE&amp;DOC_NAME=FAT:FQL_AUDITING_CLIENT_TEMPLATE.FAT&amp;display_string=Audit&amp;VAR:KEY=XYVMFEJMTI&amp;VAR:QUERY=KFBfUFJJQ0UoMzk4NjkpLShGRl9DQVNIX1NUKFFUUiwzOTg2OSkvUF9DT01fU0hTX09VVCgzOTg2OSkpKS9GR","V9FU1RJTUFURSgnRVBTJywnTUVBTicsJ0FOTlVBTF9ST0xMJywnKzEnLDM5ODY5LCwsJycp&amp;WINDOW=FIRST_POPUP&amp;HEIGHT=450&amp;WIDTH=450&amp;START_MAXIMIZED=FALSE&amp;VAR:CALENDAR=US&amp;VAR:SYMBOL=98433210&amp;VAR:INDEX=0"}</definedName>
    <definedName name="_8434__FDSAUDITLINK__">{"fdsup://directions/FAT Viewer?action=UPDATE&amp;creator=factset&amp;DYN_ARGS=TRUE&amp;DOC_NAME=FAT:FQL_AUDITING_CLIENT_TEMPLATE.FAT&amp;display_string=Audit&amp;VAR:KEY=FMVYVKVIJQ&amp;VAR:QUERY=KFBfUFJJQ0UoMzk4NjgpLShGRl9DQVNIX1NUKFFUUiwzOTg2OCkvUF9DT01fU0hTX09VVCgzOTg2OCkpKS9GR","V9FU1RJTUFURSgnRVBTJywnTUVBTicsJ0FOTlVBTF9ST0xMJywnKzEnLDM5ODY4LCwsJycp&amp;WINDOW=FIRST_POPUP&amp;HEIGHT=450&amp;WIDTH=450&amp;START_MAXIMIZED=FALSE&amp;VAR:CALENDAR=US&amp;VAR:SYMBOL=98433210&amp;VAR:INDEX=0"}</definedName>
    <definedName name="_8435__FDSAUDITLINK__">{"fdsup://directions/FAT Viewer?action=UPDATE&amp;creator=factset&amp;DYN_ARGS=TRUE&amp;DOC_NAME=FAT:FQL_AUDITING_CLIENT_TEMPLATE.FAT&amp;display_string=Audit&amp;VAR:KEY=FMVYVKVIJQ&amp;VAR:QUERY=KFBfUFJJQ0UoMzk4NjgpLShGRl9DQVNIX1NUKFFUUiwzOTg2OCkvUF9DT01fU0hTX09VVCgzOTg2OCkpKS9GR","V9FU1RJTUFURSgnRVBTJywnTUVBTicsJ0FOTlVBTF9ST0xMJywnKzEnLDM5ODY4LCwsJycp&amp;WINDOW=FIRST_POPUP&amp;HEIGHT=450&amp;WIDTH=450&amp;START_MAXIMIZED=FALSE&amp;VAR:CALENDAR=US&amp;VAR:SYMBOL=98433210&amp;VAR:INDEX=0"}</definedName>
    <definedName name="_8436__FDSAUDITLINK__">{"fdsup://directions/FAT Viewer?action=UPDATE&amp;creator=factset&amp;DYN_ARGS=TRUE&amp;DOC_NAME=FAT:FQL_AUDITING_CLIENT_TEMPLATE.FAT&amp;display_string=Audit&amp;VAR:KEY=ZCRCZGBUBE&amp;VAR:QUERY=KFBfUFJJQ0UoMzk4NjcpLShGRl9DQVNIX1NUKFFUUiwzOTg2NykvUF9DT01fU0hTX09VVCgzOTg2NykpKS9GR","V9FU1RJTUFURSgnRVBTJywnTUVBTicsJ0FOTlVBTF9ST0xMJywnKzEnLDM5ODY3LCwsJycp&amp;WINDOW=FIRST_POPUP&amp;HEIGHT=450&amp;WIDTH=450&amp;START_MAXIMIZED=FALSE&amp;VAR:CALENDAR=US&amp;VAR:SYMBOL=98433210&amp;VAR:INDEX=0"}</definedName>
    <definedName name="_8437__FDSAUDITLINK__">{"fdsup://directions/FAT Viewer?action=UPDATE&amp;creator=factset&amp;DYN_ARGS=TRUE&amp;DOC_NAME=FAT:FQL_AUDITING_CLIENT_TEMPLATE.FAT&amp;display_string=Audit&amp;VAR:KEY=ZCRCZGBUBE&amp;VAR:QUERY=KFBfUFJJQ0UoMzk4NjcpLShGRl9DQVNIX1NUKFFUUiwzOTg2NykvUF9DT01fU0hTX09VVCgzOTg2NykpKS9GR","V9FU1RJTUFURSgnRVBTJywnTUVBTicsJ0FOTlVBTF9ST0xMJywnKzEnLDM5ODY3LCwsJycp&amp;WINDOW=FIRST_POPUP&amp;HEIGHT=450&amp;WIDTH=450&amp;START_MAXIMIZED=FALSE&amp;VAR:CALENDAR=US&amp;VAR:SYMBOL=98433210&amp;VAR:INDEX=0"}</definedName>
    <definedName name="_8438__FDSAUDITLINK__">{"fdsup://directions/FAT Viewer?action=UPDATE&amp;creator=factset&amp;DYN_ARGS=TRUE&amp;DOC_NAME=FAT:FQL_AUDITING_CLIENT_TEMPLATE.FAT&amp;display_string=Audit&amp;VAR:KEY=JMDSTSVWTK&amp;VAR:QUERY=KFBfUFJJQ0UoMzk4NjYpLShGRl9DQVNIX1NUKFFUUiwzOTg2NikvUF9DT01fU0hTX09VVCgzOTg2NikpKS9GR","V9FU1RJTUFURSgnRVBTJywnTUVBTicsJ0FOTlVBTF9ST0xMJywnKzEnLDM5ODY2LCwsJycp&amp;WINDOW=FIRST_POPUP&amp;HEIGHT=450&amp;WIDTH=450&amp;START_MAXIMIZED=FALSE&amp;VAR:CALENDAR=US&amp;VAR:SYMBOL=98433210&amp;VAR:INDEX=0"}</definedName>
    <definedName name="_8439__FDSAUDITLINK__">{"fdsup://directions/FAT Viewer?action=UPDATE&amp;creator=factset&amp;DYN_ARGS=TRUE&amp;DOC_NAME=FAT:FQL_AUDITING_CLIENT_TEMPLATE.FAT&amp;display_string=Audit&amp;VAR:KEY=JMDSTSVWTK&amp;VAR:QUERY=KFBfUFJJQ0UoMzk4NjYpLShGRl9DQVNIX1NUKFFUUiwzOTg2NikvUF9DT01fU0hTX09VVCgzOTg2NikpKS9GR","V9FU1RJTUFURSgnRVBTJywnTUVBTicsJ0FOTlVBTF9ST0xMJywnKzEnLDM5ODY2LCwsJycp&amp;WINDOW=FIRST_POPUP&amp;HEIGHT=450&amp;WIDTH=450&amp;START_MAXIMIZED=FALSE&amp;VAR:CALENDAR=US&amp;VAR:SYMBOL=98433210&amp;VAR:INDEX=0"}</definedName>
    <definedName name="_84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946"}</definedName>
    <definedName name="_8440__FDSAUDITLINK__">{"fdsup://directions/FAT Viewer?action=UPDATE&amp;creator=factset&amp;DYN_ARGS=TRUE&amp;DOC_NAME=FAT:FQL_AUDITING_CLIENT_TEMPLATE.FAT&amp;display_string=Audit&amp;VAR:KEY=VUTKRQHWXE&amp;VAR:QUERY=KFBfUFJJQ0UoMzk4NjUpLShGRl9DQVNIX1NUKFFUUiwzOTg2NSkvUF9DT01fU0hTX09VVCgzOTg2NSkpKS9GR","V9FU1RJTUFURSgnRVBTJywnTUVBTicsJ0FOTlVBTF9ST0xMJywnKzEnLDM5ODY1LCwsJycp&amp;WINDOW=FIRST_POPUP&amp;HEIGHT=450&amp;WIDTH=450&amp;START_MAXIMIZED=FALSE&amp;VAR:CALENDAR=US&amp;VAR:SYMBOL=98433210&amp;VAR:INDEX=0"}</definedName>
    <definedName name="_8441__FDSAUDITLINK__">{"fdsup://directions/FAT Viewer?action=UPDATE&amp;creator=factset&amp;DYN_ARGS=TRUE&amp;DOC_NAME=FAT:FQL_AUDITING_CLIENT_TEMPLATE.FAT&amp;display_string=Audit&amp;VAR:KEY=VUTKRQHWXE&amp;VAR:QUERY=KFBfUFJJQ0UoMzk4NjUpLShGRl9DQVNIX1NUKFFUUiwzOTg2NSkvUF9DT01fU0hTX09VVCgzOTg2NSkpKS9GR","V9FU1RJTUFURSgnRVBTJywnTUVBTicsJ0FOTlVBTF9ST0xMJywnKzEnLDM5ODY1LCwsJycp&amp;WINDOW=FIRST_POPUP&amp;HEIGHT=450&amp;WIDTH=450&amp;START_MAXIMIZED=FALSE&amp;VAR:CALENDAR=US&amp;VAR:SYMBOL=98433210&amp;VAR:INDEX=0"}</definedName>
    <definedName name="_8442__FDSAUDITLINK__">{"fdsup://directions/FAT Viewer?action=UPDATE&amp;creator=factset&amp;DYN_ARGS=TRUE&amp;DOC_NAME=FAT:FQL_AUDITING_CLIENT_TEMPLATE.FAT&amp;display_string=Audit&amp;VAR:KEY=NYTQBGTGPQ&amp;VAR:QUERY=KFBfUFJJQ0UoMzk4NjQpLShGRl9DQVNIX1NUKFFUUiwzOTg2NCkvUF9DT01fU0hTX09VVCgzOTg2NCkpKS9GR","V9FU1RJTUFURSgnRVBTJywnTUVBTicsJ0FOTlVBTF9ST0xMJywnKzEnLDM5ODY0LCwsJycp&amp;WINDOW=FIRST_POPUP&amp;HEIGHT=450&amp;WIDTH=450&amp;START_MAXIMIZED=FALSE&amp;VAR:CALENDAR=US&amp;VAR:SYMBOL=98433210&amp;VAR:INDEX=0"}</definedName>
    <definedName name="_8443__FDSAUDITLINK__">{"fdsup://directions/FAT Viewer?action=UPDATE&amp;creator=factset&amp;DYN_ARGS=TRUE&amp;DOC_NAME=FAT:FQL_AUDITING_CLIENT_TEMPLATE.FAT&amp;display_string=Audit&amp;VAR:KEY=NYTQBGTGPQ&amp;VAR:QUERY=KFBfUFJJQ0UoMzk4NjQpLShGRl9DQVNIX1NUKFFUUiwzOTg2NCkvUF9DT01fU0hTX09VVCgzOTg2NCkpKS9GR","V9FU1RJTUFURSgnRVBTJywnTUVBTicsJ0FOTlVBTF9ST0xMJywnKzEnLDM5ODY0LCwsJycp&amp;WINDOW=FIRST_POPUP&amp;HEIGHT=450&amp;WIDTH=450&amp;START_MAXIMIZED=FALSE&amp;VAR:CALENDAR=US&amp;VAR:SYMBOL=98433210&amp;VAR:INDEX=0"}</definedName>
    <definedName name="_8444__FDSAUDITLINK__">{"fdsup://directions/FAT Viewer?action=UPDATE&amp;creator=factset&amp;DYN_ARGS=TRUE&amp;DOC_NAME=FAT:FQL_AUDITING_CLIENT_TEMPLATE.FAT&amp;display_string=Audit&amp;VAR:KEY=XUHALSXGXY&amp;VAR:QUERY=KFBfUFJJQ0UoMzk4NjMpLShGRl9DQVNIX1NUKFFUUiwzOTg2MykvUF9DT01fU0hTX09VVCgzOTg2MykpKS9GR","V9FU1RJTUFURSgnRVBTJywnTUVBTicsJ0FOTlVBTF9ST0xMJywnKzEnLDM5ODYzLCwsJycp&amp;WINDOW=FIRST_POPUP&amp;HEIGHT=450&amp;WIDTH=450&amp;START_MAXIMIZED=FALSE&amp;VAR:CALENDAR=US&amp;VAR:SYMBOL=98433210&amp;VAR:INDEX=0"}</definedName>
    <definedName name="_8445__FDSAUDITLINK__">{"fdsup://directions/FAT Viewer?action=UPDATE&amp;creator=factset&amp;DYN_ARGS=TRUE&amp;DOC_NAME=FAT:FQL_AUDITING_CLIENT_TEMPLATE.FAT&amp;display_string=Audit&amp;VAR:KEY=XUHALSXGXY&amp;VAR:QUERY=KFBfUFJJQ0UoMzk4NjMpLShGRl9DQVNIX1NUKFFUUiwzOTg2MykvUF9DT01fU0hTX09VVCgzOTg2MykpKS9GR","V9FU1RJTUFURSgnRVBTJywnTUVBTicsJ0FOTlVBTF9ST0xMJywnKzEnLDM5ODYzLCwsJycp&amp;WINDOW=FIRST_POPUP&amp;HEIGHT=450&amp;WIDTH=450&amp;START_MAXIMIZED=FALSE&amp;VAR:CALENDAR=US&amp;VAR:SYMBOL=98433210&amp;VAR:INDEX=0"}</definedName>
    <definedName name="_8446__FDSAUDITLINK__">{"fdsup://directions/FAT Viewer?action=UPDATE&amp;creator=factset&amp;DYN_ARGS=TRUE&amp;DOC_NAME=FAT:FQL_AUDITING_CLIENT_TEMPLATE.FAT&amp;display_string=Audit&amp;VAR:KEY=RSXUXOFMHG&amp;VAR:QUERY=KFBfUFJJQ0UoMzk4NjIpLShGRl9DQVNIX1NUKFFUUiwzOTg2MikvUF9DT01fU0hTX09VVCgzOTg2MikpKS9GR","V9FU1RJTUFURSgnRVBTJywnTUVBTicsJ0FOTlVBTF9ST0xMJywnKzEnLDM5ODYyLCwsJycp&amp;WINDOW=FIRST_POPUP&amp;HEIGHT=450&amp;WIDTH=450&amp;START_MAXIMIZED=FALSE&amp;VAR:CALENDAR=US&amp;VAR:SYMBOL=98433210&amp;VAR:INDEX=0"}</definedName>
    <definedName name="_8447__FDSAUDITLINK__">{"fdsup://directions/FAT Viewer?action=UPDATE&amp;creator=factset&amp;DYN_ARGS=TRUE&amp;DOC_NAME=FAT:FQL_AUDITING_CLIENT_TEMPLATE.FAT&amp;display_string=Audit&amp;VAR:KEY=RSXUXOFMHG&amp;VAR:QUERY=KFBfUFJJQ0UoMzk4NjIpLShGRl9DQVNIX1NUKFFUUiwzOTg2MikvUF9DT01fU0hTX09VVCgzOTg2MikpKS9GR","V9FU1RJTUFURSgnRVBTJywnTUVBTicsJ0FOTlVBTF9ST0xMJywnKzEnLDM5ODYyLCwsJycp&amp;WINDOW=FIRST_POPUP&amp;HEIGHT=450&amp;WIDTH=450&amp;START_MAXIMIZED=FALSE&amp;VAR:CALENDAR=US&amp;VAR:SYMBOL=98433210&amp;VAR:INDEX=0"}</definedName>
    <definedName name="_8448__FDSAUDITLINK__">{"fdsup://directions/FAT Viewer?action=UPDATE&amp;creator=factset&amp;DYN_ARGS=TRUE&amp;DOC_NAME=FAT:FQL_AUDITING_CLIENT_TEMPLATE.FAT&amp;display_string=Audit&amp;VAR:KEY=LEDWRUXOHA&amp;VAR:QUERY=KFBfUFJJQ0UoMzk4NjEpLShGRl9DQVNIX1NUKFFUUiwzOTg2MSkvUF9DT01fU0hTX09VVCgzOTg2MSkpKS9GR","V9FU1RJTUFURSgnRVBTJywnTUVBTicsJ0FOTlVBTF9ST0xMJywnKzEnLDM5ODYxLCwsJycp&amp;WINDOW=FIRST_POPUP&amp;HEIGHT=450&amp;WIDTH=450&amp;START_MAXIMIZED=FALSE&amp;VAR:CALENDAR=US&amp;VAR:SYMBOL=98433210&amp;VAR:INDEX=0"}</definedName>
    <definedName name="_8449__FDSAUDITLINK__">{"fdsup://directions/FAT Viewer?action=UPDATE&amp;creator=factset&amp;DYN_ARGS=TRUE&amp;DOC_NAME=FAT:FQL_AUDITING_CLIENT_TEMPLATE.FAT&amp;display_string=Audit&amp;VAR:KEY=LEDWRUXOHA&amp;VAR:QUERY=KFBfUFJJQ0UoMzk4NjEpLShGRl9DQVNIX1NUKFFUUiwzOTg2MSkvUF9DT01fU0hTX09VVCgzOTg2MSkpKS9GR","V9FU1RJTUFURSgnRVBTJywnTUVBTicsJ0FOTlVBTF9ST0xMJywnKzEnLDM5ODYxLCwsJycp&amp;WINDOW=FIRST_POPUP&amp;HEIGHT=450&amp;WIDTH=450&amp;START_MAXIMIZED=FALSE&amp;VAR:CALENDAR=US&amp;VAR:SYMBOL=98433210&amp;VAR:INDEX=0"}</definedName>
    <definedName name="_84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945"}</definedName>
    <definedName name="_8450__FDSAUDITLINK__">{"fdsup://directions/FAT Viewer?action=UPDATE&amp;creator=factset&amp;DYN_ARGS=TRUE&amp;DOC_NAME=FAT:FQL_AUDITING_CLIENT_TEMPLATE.FAT&amp;display_string=Audit&amp;VAR:KEY=XWZQDAZQXU&amp;VAR:QUERY=KFBfUFJJQ0UoMzk4NjApLShGRl9DQVNIX1NUKFFUUiwzOTg2MCkvUF9DT01fU0hTX09VVCgzOTg2MCkpKS9GR","V9FU1RJTUFURSgnRVBTJywnTUVBTicsJ0FOTlVBTF9ST0xMJywnKzEnLDM5ODYwLCwsJycp&amp;WINDOW=FIRST_POPUP&amp;HEIGHT=450&amp;WIDTH=450&amp;START_MAXIMIZED=FALSE&amp;VAR:CALENDAR=US&amp;VAR:SYMBOL=98433210&amp;VAR:INDEX=0"}</definedName>
    <definedName name="_8451__FDSAUDITLINK__">{"fdsup://directions/FAT Viewer?action=UPDATE&amp;creator=factset&amp;DYN_ARGS=TRUE&amp;DOC_NAME=FAT:FQL_AUDITING_CLIENT_TEMPLATE.FAT&amp;display_string=Audit&amp;VAR:KEY=XWZQDAZQXU&amp;VAR:QUERY=KFBfUFJJQ0UoMzk4NjApLShGRl9DQVNIX1NUKFFUUiwzOTg2MCkvUF9DT01fU0hTX09VVCgzOTg2MCkpKS9GR","V9FU1RJTUFURSgnRVBTJywnTUVBTicsJ0FOTlVBTF9ST0xMJywnKzEnLDM5ODYwLCwsJycp&amp;WINDOW=FIRST_POPUP&amp;HEIGHT=450&amp;WIDTH=450&amp;START_MAXIMIZED=FALSE&amp;VAR:CALENDAR=US&amp;VAR:SYMBOL=98433210&amp;VAR:INDEX=0"}</definedName>
    <definedName name="_8452__FDSAUDITLINK__">{"fdsup://directions/FAT Viewer?action=UPDATE&amp;creator=factset&amp;DYN_ARGS=TRUE&amp;DOC_NAME=FAT:FQL_AUDITING_CLIENT_TEMPLATE.FAT&amp;display_string=Audit&amp;VAR:KEY=PWXUFWFUJE&amp;VAR:QUERY=KFBfUFJJQ0UoMzk4NTkpLShGRl9DQVNIX1NUKFFUUiwzOTg1OSkvUF9DT01fU0hTX09VVCgzOTg1OSkpKS9GR","V9FU1RJTUFURSgnRVBTJywnTUVBTicsJ0FOTlVBTF9ST0xMJywnKzEnLDM5ODU5LCwsJycp&amp;WINDOW=FIRST_POPUP&amp;HEIGHT=450&amp;WIDTH=450&amp;START_MAXIMIZED=FALSE&amp;VAR:CALENDAR=US&amp;VAR:SYMBOL=98433210&amp;VAR:INDEX=0"}</definedName>
    <definedName name="_8453__FDSAUDITLINK__">{"fdsup://directions/FAT Viewer?action=UPDATE&amp;creator=factset&amp;DYN_ARGS=TRUE&amp;DOC_NAME=FAT:FQL_AUDITING_CLIENT_TEMPLATE.FAT&amp;display_string=Audit&amp;VAR:KEY=PWXUFWFUJE&amp;VAR:QUERY=KFBfUFJJQ0UoMzk4NTkpLShGRl9DQVNIX1NUKFFUUiwzOTg1OSkvUF9DT01fU0hTX09VVCgzOTg1OSkpKS9GR","V9FU1RJTUFURSgnRVBTJywnTUVBTicsJ0FOTlVBTF9ST0xMJywnKzEnLDM5ODU5LCwsJycp&amp;WINDOW=FIRST_POPUP&amp;HEIGHT=450&amp;WIDTH=450&amp;START_MAXIMIZED=FALSE&amp;VAR:CALENDAR=US&amp;VAR:SYMBOL=98433210&amp;VAR:INDEX=0"}</definedName>
    <definedName name="_8454__FDSAUDITLINK__">{"fdsup://directions/FAT Viewer?action=UPDATE&amp;creator=factset&amp;DYN_ARGS=TRUE&amp;DOC_NAME=FAT:FQL_AUDITING_CLIENT_TEMPLATE.FAT&amp;display_string=Audit&amp;VAR:KEY=LUDSPWPORK&amp;VAR:QUERY=KFBfUFJJQ0UoMzk4NTgpLShGRl9DQVNIX1NUKFFUUiwzOTg1OCkvUF9DT01fU0hTX09VVCgzOTg1OCkpKS9GR","V9FU1RJTUFURSgnRVBTJywnTUVBTicsJ0FOTlVBTF9ST0xMJywnKzEnLDM5ODU4LCwsJycp&amp;WINDOW=FIRST_POPUP&amp;HEIGHT=450&amp;WIDTH=450&amp;START_MAXIMIZED=FALSE&amp;VAR:CALENDAR=US&amp;VAR:SYMBOL=98433210&amp;VAR:INDEX=0"}</definedName>
    <definedName name="_8455__FDSAUDITLINK__">{"fdsup://directions/FAT Viewer?action=UPDATE&amp;creator=factset&amp;DYN_ARGS=TRUE&amp;DOC_NAME=FAT:FQL_AUDITING_CLIENT_TEMPLATE.FAT&amp;display_string=Audit&amp;VAR:KEY=LUDSPWPORK&amp;VAR:QUERY=KFBfUFJJQ0UoMzk4NTgpLShGRl9DQVNIX1NUKFFUUiwzOTg1OCkvUF9DT01fU0hTX09VVCgzOTg1OCkpKS9GR","V9FU1RJTUFURSgnRVBTJywnTUVBTicsJ0FOTlVBTF9ST0xMJywnKzEnLDM5ODU4LCwsJycp&amp;WINDOW=FIRST_POPUP&amp;HEIGHT=450&amp;WIDTH=450&amp;START_MAXIMIZED=FALSE&amp;VAR:CALENDAR=US&amp;VAR:SYMBOL=98433210&amp;VAR:INDEX=0"}</definedName>
    <definedName name="_8456__FDSAUDITLINK__">{"fdsup://directions/FAT Viewer?action=UPDATE&amp;creator=factset&amp;DYN_ARGS=TRUE&amp;DOC_NAME=FAT:FQL_AUDITING_CLIENT_TEMPLATE.FAT&amp;display_string=Audit&amp;VAR:KEY=BUPAHMXWTK&amp;VAR:QUERY=KFBfUFJJQ0UoMzk4NTcpLShGRl9DQVNIX1NUKFFUUiwzOTg1NykvUF9DT01fU0hTX09VVCgzOTg1NykpKS9GR","V9FU1RJTUFURSgnRVBTJywnTUVBTicsJ0FOTlVBTF9ST0xMJywnKzEnLDM5ODU3LCwsJycp&amp;WINDOW=FIRST_POPUP&amp;HEIGHT=450&amp;WIDTH=450&amp;START_MAXIMIZED=FALSE&amp;VAR:CALENDAR=US&amp;VAR:SYMBOL=98433210&amp;VAR:INDEX=0"}</definedName>
    <definedName name="_8457__FDSAUDITLINK__">{"fdsup://directions/FAT Viewer?action=UPDATE&amp;creator=factset&amp;DYN_ARGS=TRUE&amp;DOC_NAME=FAT:FQL_AUDITING_CLIENT_TEMPLATE.FAT&amp;display_string=Audit&amp;VAR:KEY=BUPAHMXWTK&amp;VAR:QUERY=KFBfUFJJQ0UoMzk4NTcpLShGRl9DQVNIX1NUKFFUUiwzOTg1NykvUF9DT01fU0hTX09VVCgzOTg1NykpKS9GR","V9FU1RJTUFURSgnRVBTJywnTUVBTicsJ0FOTlVBTF9ST0xMJywnKzEnLDM5ODU3LCwsJycp&amp;WINDOW=FIRST_POPUP&amp;HEIGHT=450&amp;WIDTH=450&amp;START_MAXIMIZED=FALSE&amp;VAR:CALENDAR=US&amp;VAR:SYMBOL=98433210&amp;VAR:INDEX=0"}</definedName>
    <definedName name="_8458__FDSAUDITLINK__">{"fdsup://directions/FAT Viewer?action=UPDATE&amp;creator=factset&amp;DYN_ARGS=TRUE&amp;DOC_NAME=FAT:FQL_AUDITING_CLIENT_TEMPLATE.FAT&amp;display_string=Audit&amp;VAR:KEY=XQZSTMLIRI&amp;VAR:QUERY=KFBfUFJJQ0UoMzk4NTYpLShGRl9DQVNIX1NUKFFUUiwzOTg1NikvUF9DT01fU0hTX09VVCgzOTg1NikpKS9GR","V9FU1RJTUFURSgnRVBTJywnTUVBTicsJ0FOTlVBTF9ST0xMJywnKzEnLDM5ODU2LCwsJycp&amp;WINDOW=FIRST_POPUP&amp;HEIGHT=450&amp;WIDTH=450&amp;START_MAXIMIZED=FALSE&amp;VAR:CALENDAR=US&amp;VAR:SYMBOL=98433210&amp;VAR:INDEX=0"}</definedName>
    <definedName name="_8459__FDSAUDITLINK__">{"fdsup://directions/FAT Viewer?action=UPDATE&amp;creator=factset&amp;DYN_ARGS=TRUE&amp;DOC_NAME=FAT:FQL_AUDITING_CLIENT_TEMPLATE.FAT&amp;display_string=Audit&amp;VAR:KEY=XQZSTMLIRI&amp;VAR:QUERY=KFBfUFJJQ0UoMzk4NTYpLShGRl9DQVNIX1NUKFFUUiwzOTg1NikvUF9DT01fU0hTX09VVCgzOTg1NikpKS9GR","V9FU1RJTUFURSgnRVBTJywnTUVBTicsJ0FOTlVBTF9ST0xMJywnKzEnLDM5ODU2LCwsJycp&amp;WINDOW=FIRST_POPUP&amp;HEIGHT=450&amp;WIDTH=450&amp;START_MAXIMIZED=FALSE&amp;VAR:CALENDAR=US&amp;VAR:SYMBOL=98433210&amp;VAR:INDEX=0"}</definedName>
    <definedName name="_84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944"}</definedName>
    <definedName name="_8460__FDSAUDITLINK__">{"fdsup://directions/FAT Viewer?action=UPDATE&amp;creator=factset&amp;DYN_ARGS=TRUE&amp;DOC_NAME=FAT:FQL_AUDITING_CLIENT_TEMPLATE.FAT&amp;display_string=Audit&amp;VAR:KEY=VEVGJCZALM&amp;VAR:QUERY=KFBfUFJJQ0UoMzk4NTUpLShGRl9DQVNIX1NUKFFUUiwzOTg1NSkvUF9DT01fU0hTX09VVCgzOTg1NSkpKS9GR","V9FU1RJTUFURSgnRVBTJywnTUVBTicsJ0FOTlVBTF9ST0xMJywnKzEnLDM5ODU1LCwsJycp&amp;WINDOW=FIRST_POPUP&amp;HEIGHT=450&amp;WIDTH=450&amp;START_MAXIMIZED=FALSE&amp;VAR:CALENDAR=US&amp;VAR:SYMBOL=98433210&amp;VAR:INDEX=0"}</definedName>
    <definedName name="_8461__FDSAUDITLINK__">{"fdsup://directions/FAT Viewer?action=UPDATE&amp;creator=factset&amp;DYN_ARGS=TRUE&amp;DOC_NAME=FAT:FQL_AUDITING_CLIENT_TEMPLATE.FAT&amp;display_string=Audit&amp;VAR:KEY=VEVGJCZALM&amp;VAR:QUERY=KFBfUFJJQ0UoMzk4NTUpLShGRl9DQVNIX1NUKFFUUiwzOTg1NSkvUF9DT01fU0hTX09VVCgzOTg1NSkpKS9GR","V9FU1RJTUFURSgnRVBTJywnTUVBTicsJ0FOTlVBTF9ST0xMJywnKzEnLDM5ODU1LCwsJycp&amp;WINDOW=FIRST_POPUP&amp;HEIGHT=450&amp;WIDTH=450&amp;START_MAXIMIZED=FALSE&amp;VAR:CALENDAR=US&amp;VAR:SYMBOL=98433210&amp;VAR:INDEX=0"}</definedName>
    <definedName name="_8462__FDSAUDITLINK__">{"fdsup://directions/FAT Viewer?action=UPDATE&amp;creator=factset&amp;DYN_ARGS=TRUE&amp;DOC_NAME=FAT:FQL_AUDITING_CLIENT_TEMPLATE.FAT&amp;display_string=Audit&amp;VAR:KEY=JWFYTQRCXA&amp;VAR:QUERY=KFBfUFJJQ0UoMzk4NTQpLShGRl9DQVNIX1NUKFFUUiwzOTg1NCkvUF9DT01fU0hTX09VVCgzOTg1NCkpKS9GR","V9FU1RJTUFURSgnRVBTJywnTUVBTicsJ0FOTlVBTF9ST0xMJywnKzEnLDM5ODU0LCwsJycp&amp;WINDOW=FIRST_POPUP&amp;HEIGHT=450&amp;WIDTH=450&amp;START_MAXIMIZED=FALSE&amp;VAR:CALENDAR=US&amp;VAR:SYMBOL=98433210&amp;VAR:INDEX=0"}</definedName>
    <definedName name="_8463__FDSAUDITLINK__">{"fdsup://directions/FAT Viewer?action=UPDATE&amp;creator=factset&amp;DYN_ARGS=TRUE&amp;DOC_NAME=FAT:FQL_AUDITING_CLIENT_TEMPLATE.FAT&amp;display_string=Audit&amp;VAR:KEY=JWFYTQRCXA&amp;VAR:QUERY=KFBfUFJJQ0UoMzk4NTQpLShGRl9DQVNIX1NUKFFUUiwzOTg1NCkvUF9DT01fU0hTX09VVCgzOTg1NCkpKS9GR","V9FU1RJTUFURSgnRVBTJywnTUVBTicsJ0FOTlVBTF9ST0xMJywnKzEnLDM5ODU0LCwsJycp&amp;WINDOW=FIRST_POPUP&amp;HEIGHT=450&amp;WIDTH=450&amp;START_MAXIMIZED=FALSE&amp;VAR:CALENDAR=US&amp;VAR:SYMBOL=98433210&amp;VAR:INDEX=0"}</definedName>
    <definedName name="_8464__FDSAUDITLINK__">{"fdsup://directions/FAT Viewer?action=UPDATE&amp;creator=factset&amp;DYN_ARGS=TRUE&amp;DOC_NAME=FAT:FQL_AUDITING_CLIENT_TEMPLATE.FAT&amp;display_string=Audit&amp;VAR:KEY=POVEDOPSPS&amp;VAR:QUERY=KFBfUFJJQ0UoMzk4NTMpLShGRl9DQVNIX1NUKFFUUiwzOTg1MykvUF9DT01fU0hTX09VVCgzOTg1MykpKS9GR","V9FU1RJTUFURSgnRVBTJywnTUVBTicsJ0FOTlVBTF9ST0xMJywnKzEnLDM5ODUzLCwsJycp&amp;WINDOW=FIRST_POPUP&amp;HEIGHT=450&amp;WIDTH=450&amp;START_MAXIMIZED=FALSE&amp;VAR:CALENDAR=US&amp;VAR:SYMBOL=98433210&amp;VAR:INDEX=0"}</definedName>
    <definedName name="_8465__FDSAUDITLINK__">{"fdsup://directions/FAT Viewer?action=UPDATE&amp;creator=factset&amp;DYN_ARGS=TRUE&amp;DOC_NAME=FAT:FQL_AUDITING_CLIENT_TEMPLATE.FAT&amp;display_string=Audit&amp;VAR:KEY=POVEDOPSPS&amp;VAR:QUERY=KFBfUFJJQ0UoMzk4NTMpLShGRl9DQVNIX1NUKFFUUiwzOTg1MykvUF9DT01fU0hTX09VVCgzOTg1MykpKS9GR","V9FU1RJTUFURSgnRVBTJywnTUVBTicsJ0FOTlVBTF9ST0xMJywnKzEnLDM5ODUzLCwsJycp&amp;WINDOW=FIRST_POPUP&amp;HEIGHT=450&amp;WIDTH=450&amp;START_MAXIMIZED=FALSE&amp;VAR:CALENDAR=US&amp;VAR:SYMBOL=98433210&amp;VAR:INDEX=0"}</definedName>
    <definedName name="_8466__FDSAUDITLINK__">{"fdsup://directions/FAT Viewer?action=UPDATE&amp;creator=factset&amp;DYN_ARGS=TRUE&amp;DOC_NAME=FAT:FQL_AUDITING_CLIENT_TEMPLATE.FAT&amp;display_string=Audit&amp;VAR:KEY=JUHEXEHOPA&amp;VAR:QUERY=KFBfUFJJQ0UoMzk4NTIpLShGRl9DQVNIX1NUKFFUUiwzOTg1MikvUF9DT01fU0hTX09VVCgzOTg1MikpKS9GR","V9FU1RJTUFURSgnRVBTJywnTUVBTicsJ0FOTlVBTF9ST0xMJywnKzEnLDM5ODUyLCwsJycp&amp;WINDOW=FIRST_POPUP&amp;HEIGHT=450&amp;WIDTH=450&amp;START_MAXIMIZED=FALSE&amp;VAR:CALENDAR=US&amp;VAR:SYMBOL=98433210&amp;VAR:INDEX=0"}</definedName>
    <definedName name="_8467__FDSAUDITLINK__">{"fdsup://directions/FAT Viewer?action=UPDATE&amp;creator=factset&amp;DYN_ARGS=TRUE&amp;DOC_NAME=FAT:FQL_AUDITING_CLIENT_TEMPLATE.FAT&amp;display_string=Audit&amp;VAR:KEY=JUHEXEHOPA&amp;VAR:QUERY=KFBfUFJJQ0UoMzk4NTIpLShGRl9DQVNIX1NUKFFUUiwzOTg1MikvUF9DT01fU0hTX09VVCgzOTg1MikpKS9GR","V9FU1RJTUFURSgnRVBTJywnTUVBTicsJ0FOTlVBTF9ST0xMJywnKzEnLDM5ODUyLCwsJycp&amp;WINDOW=FIRST_POPUP&amp;HEIGHT=450&amp;WIDTH=450&amp;START_MAXIMIZED=FALSE&amp;VAR:CALENDAR=US&amp;VAR:SYMBOL=98433210&amp;VAR:INDEX=0"}</definedName>
    <definedName name="_8468__FDSAUDITLINK__">{"fdsup://directions/FAT Viewer?action=UPDATE&amp;creator=factset&amp;DYN_ARGS=TRUE&amp;DOC_NAME=FAT:FQL_AUDITING_CLIENT_TEMPLATE.FAT&amp;display_string=Audit&amp;VAR:KEY=NWRMJEJUVS&amp;VAR:QUERY=KFBfUFJJQ0UoMzk4NTEpLShGRl9DQVNIX1NUKFFUUiwzOTg1MSkvUF9DT01fU0hTX09VVCgzOTg1MSkpKS9GR","V9FU1RJTUFURSgnRVBTJywnTUVBTicsJ0FOTlVBTF9ST0xMJywnKzEnLDM5ODUxLCwsJycp&amp;WINDOW=FIRST_POPUP&amp;HEIGHT=450&amp;WIDTH=450&amp;START_MAXIMIZED=FALSE&amp;VAR:CALENDAR=US&amp;VAR:SYMBOL=98433210&amp;VAR:INDEX=0"}</definedName>
    <definedName name="_8469__FDSAUDITLINK__">{"fdsup://directions/FAT Viewer?action=UPDATE&amp;creator=factset&amp;DYN_ARGS=TRUE&amp;DOC_NAME=FAT:FQL_AUDITING_CLIENT_TEMPLATE.FAT&amp;display_string=Audit&amp;VAR:KEY=NWRMJEJUVS&amp;VAR:QUERY=KFBfUFJJQ0UoMzk4NTEpLShGRl9DQVNIX1NUKFFUUiwzOTg1MSkvUF9DT01fU0hTX09VVCgzOTg1MSkpKS9GR","V9FU1RJTUFURSgnRVBTJywnTUVBTicsJ0FOTlVBTF9ST0xMJywnKzEnLDM5ODUxLCwsJycp&amp;WINDOW=FIRST_POPUP&amp;HEIGHT=450&amp;WIDTH=450&amp;START_MAXIMIZED=FALSE&amp;VAR:CALENDAR=US&amp;VAR:SYMBOL=98433210&amp;VAR:INDEX=0"}</definedName>
    <definedName name="_84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943"}</definedName>
    <definedName name="_8470__FDSAUDITLINK__">{"fdsup://directions/FAT Viewer?action=UPDATE&amp;creator=factset&amp;DYN_ARGS=TRUE&amp;DOC_NAME=FAT:FQL_AUDITING_CLIENT_TEMPLATE.FAT&amp;display_string=Audit&amp;VAR:KEY=FMXENQXQXG&amp;VAR:QUERY=KFBfUFJJQ0UoMzk4NTApLShGRl9DQVNIX1NUKFFUUiwzOTg1MCkvUF9DT01fU0hTX09VVCgzOTg1MCkpKS9GR","V9FU1RJTUFURSgnRVBTJywnTUVBTicsJ0FOTlVBTF9ST0xMJywnKzEnLDM5ODUwLCwsJycp&amp;WINDOW=FIRST_POPUP&amp;HEIGHT=450&amp;WIDTH=450&amp;START_MAXIMIZED=FALSE&amp;VAR:CALENDAR=US&amp;VAR:SYMBOL=98433210&amp;VAR:INDEX=0"}</definedName>
    <definedName name="_8471__FDSAUDITLINK__">{"fdsup://directions/FAT Viewer?action=UPDATE&amp;creator=factset&amp;DYN_ARGS=TRUE&amp;DOC_NAME=FAT:FQL_AUDITING_CLIENT_TEMPLATE.FAT&amp;display_string=Audit&amp;VAR:KEY=FMXENQXQXG&amp;VAR:QUERY=KFBfUFJJQ0UoMzk4NTApLShGRl9DQVNIX1NUKFFUUiwzOTg1MCkvUF9DT01fU0hTX09VVCgzOTg1MCkpKS9GR","V9FU1RJTUFURSgnRVBTJywnTUVBTicsJ0FOTlVBTF9ST0xMJywnKzEnLDM5ODUwLCwsJycp&amp;WINDOW=FIRST_POPUP&amp;HEIGHT=450&amp;WIDTH=450&amp;START_MAXIMIZED=FALSE&amp;VAR:CALENDAR=US&amp;VAR:SYMBOL=98433210&amp;VAR:INDEX=0"}</definedName>
    <definedName name="_8472__FDSAUDITLINK__">{"fdsup://directions/FAT Viewer?action=UPDATE&amp;creator=factset&amp;DYN_ARGS=TRUE&amp;DOC_NAME=FAT:FQL_AUDITING_CLIENT_TEMPLATE.FAT&amp;display_string=Audit&amp;VAR:KEY=LQVUPYDMJW&amp;VAR:QUERY=KFBfUFJJQ0UoMzk4NDkpLShGRl9DQVNIX1NUKFFUUiwzOTg0OSkvUF9DT01fU0hTX09VVCgzOTg0OSkpKS9GR","V9FU1RJTUFURSgnRVBTJywnTUVBTicsJ0FOTlVBTF9ST0xMJywnKzEnLDM5ODQ5LCwsJycp&amp;WINDOW=FIRST_POPUP&amp;HEIGHT=450&amp;WIDTH=450&amp;START_MAXIMIZED=FALSE&amp;VAR:CALENDAR=US&amp;VAR:SYMBOL=98433210&amp;VAR:INDEX=0"}</definedName>
    <definedName name="_8473__FDSAUDITLINK__">{"fdsup://directions/FAT Viewer?action=UPDATE&amp;creator=factset&amp;DYN_ARGS=TRUE&amp;DOC_NAME=FAT:FQL_AUDITING_CLIENT_TEMPLATE.FAT&amp;display_string=Audit&amp;VAR:KEY=LQVUPYDMJW&amp;VAR:QUERY=KFBfUFJJQ0UoMzk4NDkpLShGRl9DQVNIX1NUKFFUUiwzOTg0OSkvUF9DT01fU0hTX09VVCgzOTg0OSkpKS9GR","V9FU1RJTUFURSgnRVBTJywnTUVBTicsJ0FOTlVBTF9ST0xMJywnKzEnLDM5ODQ5LCwsJycp&amp;WINDOW=FIRST_POPUP&amp;HEIGHT=450&amp;WIDTH=450&amp;START_MAXIMIZED=FALSE&amp;VAR:CALENDAR=US&amp;VAR:SYMBOL=98433210&amp;VAR:INDEX=0"}</definedName>
    <definedName name="_8474__FDSAUDITLINK__">{"fdsup://directions/FAT Viewer?action=UPDATE&amp;creator=factset&amp;DYN_ARGS=TRUE&amp;DOC_NAME=FAT:FQL_AUDITING_CLIENT_TEMPLATE.FAT&amp;display_string=Audit&amp;VAR:KEY=DUTIZUPUJQ&amp;VAR:QUERY=KFBfUFJJQ0UoMzk4NDgpLShGRl9DQVNIX1NUKFFUUiwzOTg0OCkvUF9DT01fU0hTX09VVCgzOTg0OCkpKS9GR","V9FU1RJTUFURSgnRVBTJywnTUVBTicsJ0FOTlVBTF9ST0xMJywnKzEnLDM5ODQ4LCwsJycp&amp;WINDOW=FIRST_POPUP&amp;HEIGHT=450&amp;WIDTH=450&amp;START_MAXIMIZED=FALSE&amp;VAR:CALENDAR=US&amp;VAR:SYMBOL=98433210&amp;VAR:INDEX=0"}</definedName>
    <definedName name="_8475__FDSAUDITLINK__">{"fdsup://directions/FAT Viewer?action=UPDATE&amp;creator=factset&amp;DYN_ARGS=TRUE&amp;DOC_NAME=FAT:FQL_AUDITING_CLIENT_TEMPLATE.FAT&amp;display_string=Audit&amp;VAR:KEY=DUTIZUPUJQ&amp;VAR:QUERY=KFBfUFJJQ0UoMzk4NDgpLShGRl9DQVNIX1NUKFFUUiwzOTg0OCkvUF9DT01fU0hTX09VVCgzOTg0OCkpKS9GR","V9FU1RJTUFURSgnRVBTJywnTUVBTicsJ0FOTlVBTF9ST0xMJywnKzEnLDM5ODQ4LCwsJycp&amp;WINDOW=FIRST_POPUP&amp;HEIGHT=450&amp;WIDTH=450&amp;START_MAXIMIZED=FALSE&amp;VAR:CALENDAR=US&amp;VAR:SYMBOL=98433210&amp;VAR:INDEX=0"}</definedName>
    <definedName name="_8476__FDSAUDITLINK__">{"fdsup://directions/FAT Viewer?action=UPDATE&amp;creator=factset&amp;DYN_ARGS=TRUE&amp;DOC_NAME=FAT:FQL_AUDITING_CLIENT_TEMPLATE.FAT&amp;display_string=Audit&amp;VAR:KEY=TINOPMXUPU&amp;VAR:QUERY=KFBfUFJJQ0UoMzk4NDcpLShGRl9DQVNIX1NUKFFUUiwzOTg0NykvUF9DT01fU0hTX09VVCgzOTg0NykpKS9GR","V9FU1RJTUFURSgnRVBTJywnTUVBTicsJ0FOTlVBTF9ST0xMJywnKzEnLDM5ODQ3LCwsJycp&amp;WINDOW=FIRST_POPUP&amp;HEIGHT=450&amp;WIDTH=450&amp;START_MAXIMIZED=FALSE&amp;VAR:CALENDAR=US&amp;VAR:SYMBOL=98433210&amp;VAR:INDEX=0"}</definedName>
    <definedName name="_8477__FDSAUDITLINK__">{"fdsup://directions/FAT Viewer?action=UPDATE&amp;creator=factset&amp;DYN_ARGS=TRUE&amp;DOC_NAME=FAT:FQL_AUDITING_CLIENT_TEMPLATE.FAT&amp;display_string=Audit&amp;VAR:KEY=TINOPMXUPU&amp;VAR:QUERY=KFBfUFJJQ0UoMzk4NDcpLShGRl9DQVNIX1NUKFFUUiwzOTg0NykvUF9DT01fU0hTX09VVCgzOTg0NykpKS9GR","V9FU1RJTUFURSgnRVBTJywnTUVBTicsJ0FOTlVBTF9ST0xMJywnKzEnLDM5ODQ3LCwsJycp&amp;WINDOW=FIRST_POPUP&amp;HEIGHT=450&amp;WIDTH=450&amp;START_MAXIMIZED=FALSE&amp;VAR:CALENDAR=US&amp;VAR:SYMBOL=98433210&amp;VAR:INDEX=0"}</definedName>
    <definedName name="_8478__FDSAUDITLINK__">{"fdsup://directions/FAT Viewer?action=UPDATE&amp;creator=factset&amp;DYN_ARGS=TRUE&amp;DOC_NAME=FAT:FQL_AUDITING_CLIENT_TEMPLATE.FAT&amp;display_string=Audit&amp;VAR:KEY=LYNCJMBKBA&amp;VAR:QUERY=KFBfUFJJQ0UoMzk4NDYpLShGRl9DQVNIX1NUKFFUUiwzOTg0NikvUF9DT01fU0hTX09VVCgzOTg0NikpKS9GR","V9FU1RJTUFURSgnRVBTJywnTUVBTicsJ0FOTlVBTF9ST0xMJywnKzEnLDM5ODQ2LCwsJycp&amp;WINDOW=FIRST_POPUP&amp;HEIGHT=450&amp;WIDTH=450&amp;START_MAXIMIZED=FALSE&amp;VAR:CALENDAR=US&amp;VAR:SYMBOL=98433210&amp;VAR:INDEX=0"}</definedName>
    <definedName name="_8479__FDSAUDITLINK__">{"fdsup://directions/FAT Viewer?action=UPDATE&amp;creator=factset&amp;DYN_ARGS=TRUE&amp;DOC_NAME=FAT:FQL_AUDITING_CLIENT_TEMPLATE.FAT&amp;display_string=Audit&amp;VAR:KEY=LYNCJMBKBA&amp;VAR:QUERY=KFBfUFJJQ0UoMzk4NDYpLShGRl9DQVNIX1NUKFFUUiwzOTg0NikvUF9DT01fU0hTX09VVCgzOTg0NikpKS9GR","V9FU1RJTUFURSgnRVBTJywnTUVBTicsJ0FOTlVBTF9ST0xMJywnKzEnLDM5ODQ2LCwsJycp&amp;WINDOW=FIRST_POPUP&amp;HEIGHT=450&amp;WIDTH=450&amp;START_MAXIMIZED=FALSE&amp;VAR:CALENDAR=US&amp;VAR:SYMBOL=98433210&amp;VAR:INDEX=0"}</definedName>
    <definedName name="_84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942"}</definedName>
    <definedName name="_8480__FDSAUDITLINK__">{"fdsup://directions/FAT Viewer?action=UPDATE&amp;creator=factset&amp;DYN_ARGS=TRUE&amp;DOC_NAME=FAT:FQL_AUDITING_CLIENT_TEMPLATE.FAT&amp;display_string=Audit&amp;VAR:KEY=TILQHKHYTK&amp;VAR:QUERY=KFBfUFJJQ0UoMzk4NDUpLShGRl9DQVNIX1NUKFFUUiwzOTg0NSkvUF9DT01fU0hTX09VVCgzOTg0NSkpKS9GR","V9FU1RJTUFURSgnRVBTJywnTUVBTicsJ0FOTlVBTF9ST0xMJywnKzEnLDM5ODQ1LCwsJycp&amp;WINDOW=FIRST_POPUP&amp;HEIGHT=450&amp;WIDTH=450&amp;START_MAXIMIZED=FALSE&amp;VAR:CALENDAR=US&amp;VAR:SYMBOL=98433210&amp;VAR:INDEX=0"}</definedName>
    <definedName name="_8481__FDSAUDITLINK__">{"fdsup://directions/FAT Viewer?action=UPDATE&amp;creator=factset&amp;DYN_ARGS=TRUE&amp;DOC_NAME=FAT:FQL_AUDITING_CLIENT_TEMPLATE.FAT&amp;display_string=Audit&amp;VAR:KEY=TILQHKHYTK&amp;VAR:QUERY=KFBfUFJJQ0UoMzk4NDUpLShGRl9DQVNIX1NUKFFUUiwzOTg0NSkvUF9DT01fU0hTX09VVCgzOTg0NSkpKS9GR","V9FU1RJTUFURSgnRVBTJywnTUVBTicsJ0FOTlVBTF9ST0xMJywnKzEnLDM5ODQ1LCwsJycp&amp;WINDOW=FIRST_POPUP&amp;HEIGHT=450&amp;WIDTH=450&amp;START_MAXIMIZED=FALSE&amp;VAR:CALENDAR=US&amp;VAR:SYMBOL=98433210&amp;VAR:INDEX=0"}</definedName>
    <definedName name="_8482__FDSAUDITLINK__">{"fdsup://directions/FAT Viewer?action=UPDATE&amp;creator=factset&amp;DYN_ARGS=TRUE&amp;DOC_NAME=FAT:FQL_AUDITING_CLIENT_TEMPLATE.FAT&amp;display_string=Audit&amp;VAR:KEY=BYRGNSHYFK&amp;VAR:QUERY=KFBfUFJJQ0UoMzk4NDQpLShGRl9DQVNIX1NUKFFUUiwzOTg0NCkvUF9DT01fU0hTX09VVCgzOTg0NCkpKS9GR","V9FU1RJTUFURSgnRVBTJywnTUVBTicsJ0FOTlVBTF9ST0xMJywnKzEnLDM5ODQ0LCwsJycp&amp;WINDOW=FIRST_POPUP&amp;HEIGHT=450&amp;WIDTH=450&amp;START_MAXIMIZED=FALSE&amp;VAR:CALENDAR=US&amp;VAR:SYMBOL=98433210&amp;VAR:INDEX=0"}</definedName>
    <definedName name="_8483__FDSAUDITLINK__">{"fdsup://directions/FAT Viewer?action=UPDATE&amp;creator=factset&amp;DYN_ARGS=TRUE&amp;DOC_NAME=FAT:FQL_AUDITING_CLIENT_TEMPLATE.FAT&amp;display_string=Audit&amp;VAR:KEY=BYRGNSHYFK&amp;VAR:QUERY=KFBfUFJJQ0UoMzk4NDQpLShGRl9DQVNIX1NUKFFUUiwzOTg0NCkvUF9DT01fU0hTX09VVCgzOTg0NCkpKS9GR","V9FU1RJTUFURSgnRVBTJywnTUVBTicsJ0FOTlVBTF9ST0xMJywnKzEnLDM5ODQ0LCwsJycp&amp;WINDOW=FIRST_POPUP&amp;HEIGHT=450&amp;WIDTH=450&amp;START_MAXIMIZED=FALSE&amp;VAR:CALENDAR=US&amp;VAR:SYMBOL=98433210&amp;VAR:INDEX=0"}</definedName>
    <definedName name="_8484__FDSAUDITLINK__">{"fdsup://directions/FAT Viewer?action=UPDATE&amp;creator=factset&amp;DYN_ARGS=TRUE&amp;DOC_NAME=FAT:FQL_AUDITING_CLIENT_TEMPLATE.FAT&amp;display_string=Audit&amp;VAR:KEY=FGPKTQBSVQ&amp;VAR:QUERY=KFBfUFJJQ0UoMzk4NDMpLShGRl9DQVNIX1NUKFFUUiwzOTg0MykvUF9DT01fU0hTX09VVCgzOTg0MykpKS9GR","V9FU1RJTUFURSgnRVBTJywnTUVBTicsJ0FOTlVBTF9ST0xMJywnKzEnLDM5ODQzLCwsJycp&amp;WINDOW=FIRST_POPUP&amp;HEIGHT=450&amp;WIDTH=450&amp;START_MAXIMIZED=FALSE&amp;VAR:CALENDAR=US&amp;VAR:SYMBOL=98433210&amp;VAR:INDEX=0"}</definedName>
    <definedName name="_8485__FDSAUDITLINK__">{"fdsup://directions/FAT Viewer?action=UPDATE&amp;creator=factset&amp;DYN_ARGS=TRUE&amp;DOC_NAME=FAT:FQL_AUDITING_CLIENT_TEMPLATE.FAT&amp;display_string=Audit&amp;VAR:KEY=FGPKTQBSVQ&amp;VAR:QUERY=KFBfUFJJQ0UoMzk4NDMpLShGRl9DQVNIX1NUKFFUUiwzOTg0MykvUF9DT01fU0hTX09VVCgzOTg0MykpKS9GR","V9FU1RJTUFURSgnRVBTJywnTUVBTicsJ0FOTlVBTF9ST0xMJywnKzEnLDM5ODQzLCwsJycp&amp;WINDOW=FIRST_POPUP&amp;HEIGHT=450&amp;WIDTH=450&amp;START_MAXIMIZED=FALSE&amp;VAR:CALENDAR=US&amp;VAR:SYMBOL=98433210&amp;VAR:INDEX=0"}</definedName>
    <definedName name="_8486__FDSAUDITLINK__">{"fdsup://directions/FAT Viewer?action=UPDATE&amp;creator=factset&amp;DYN_ARGS=TRUE&amp;DOC_NAME=FAT:FQL_AUDITING_CLIENT_TEMPLATE.FAT&amp;display_string=Audit&amp;VAR:KEY=TQJONKXYDO&amp;VAR:QUERY=KFBfUFJJQ0UoMzk4NDIpLShGRl9DQVNIX1NUKFFUUiwzOTg0MikvUF9DT01fU0hTX09VVCgzOTg0MikpKS9GR","V9FU1RJTUFURSgnRVBTJywnTUVBTicsJ0FOTlVBTF9ST0xMJywnKzEnLDM5ODQyLCwsJycp&amp;WINDOW=FIRST_POPUP&amp;HEIGHT=450&amp;WIDTH=450&amp;START_MAXIMIZED=FALSE&amp;VAR:CALENDAR=US&amp;VAR:SYMBOL=98433210&amp;VAR:INDEX=0"}</definedName>
    <definedName name="_8487__FDSAUDITLINK__">{"fdsup://directions/FAT Viewer?action=UPDATE&amp;creator=factset&amp;DYN_ARGS=TRUE&amp;DOC_NAME=FAT:FQL_AUDITING_CLIENT_TEMPLATE.FAT&amp;display_string=Audit&amp;VAR:KEY=TQJONKXYDO&amp;VAR:QUERY=KFBfUFJJQ0UoMzk4NDIpLShGRl9DQVNIX1NUKFFUUiwzOTg0MikvUF9DT01fU0hTX09VVCgzOTg0MikpKS9GR","V9FU1RJTUFURSgnRVBTJywnTUVBTicsJ0FOTlVBTF9ST0xMJywnKzEnLDM5ODQyLCwsJycp&amp;WINDOW=FIRST_POPUP&amp;HEIGHT=450&amp;WIDTH=450&amp;START_MAXIMIZED=FALSE&amp;VAR:CALENDAR=US&amp;VAR:SYMBOL=98433210&amp;VAR:INDEX=0"}</definedName>
    <definedName name="_8488__FDSAUDITLINK__">{"fdsup://directions/FAT Viewer?action=UPDATE&amp;creator=factset&amp;DYN_ARGS=TRUE&amp;DOC_NAME=FAT:FQL_AUDITING_CLIENT_TEMPLATE.FAT&amp;display_string=Audit&amp;VAR:KEY=VGJAXOHULK&amp;VAR:QUERY=KFBfUFJJQ0UoMzk4NDEpLShGRl9DQVNIX1NUKFFUUiwzOTg0MSkvUF9DT01fU0hTX09VVCgzOTg0MSkpKS9GR","V9FU1RJTUFURSgnRVBTJywnTUVBTicsJ0FOTlVBTF9ST0xMJywnKzEnLDM5ODQxLCwsJycp&amp;WINDOW=FIRST_POPUP&amp;HEIGHT=450&amp;WIDTH=450&amp;START_MAXIMIZED=FALSE&amp;VAR:CALENDAR=US&amp;VAR:SYMBOL=98433210&amp;VAR:INDEX=0"}</definedName>
    <definedName name="_8489__FDSAUDITLINK__">{"fdsup://directions/FAT Viewer?action=UPDATE&amp;creator=factset&amp;DYN_ARGS=TRUE&amp;DOC_NAME=FAT:FQL_AUDITING_CLIENT_TEMPLATE.FAT&amp;display_string=Audit&amp;VAR:KEY=VGJAXOHULK&amp;VAR:QUERY=KFBfUFJJQ0UoMzk4NDEpLShGRl9DQVNIX1NUKFFUUiwzOTg0MSkvUF9DT01fU0hTX09VVCgzOTg0MSkpKS9GR","V9FU1RJTUFURSgnRVBTJywnTUVBTicsJ0FOTlVBTF9ST0xMJywnKzEnLDM5ODQxLCwsJycp&amp;WINDOW=FIRST_POPUP&amp;HEIGHT=450&amp;WIDTH=450&amp;START_MAXIMIZED=FALSE&amp;VAR:CALENDAR=US&amp;VAR:SYMBOL=98433210&amp;VAR:INDEX=0"}</definedName>
    <definedName name="_84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941"}</definedName>
    <definedName name="_8490__FDSAUDITLINK__">{"fdsup://directions/FAT Viewer?action=UPDATE&amp;creator=factset&amp;DYN_ARGS=TRUE&amp;DOC_NAME=FAT:FQL_AUDITING_CLIENT_TEMPLATE.FAT&amp;display_string=Audit&amp;VAR:KEY=VCZWFCVUHS&amp;VAR:QUERY=KFBfUFJJQ0UoMzk4NDApLShGRl9DQVNIX1NUKFFUUiwzOTg0MCkvUF9DT01fU0hTX09VVCgzOTg0MCkpKS9GR","V9FU1RJTUFURSgnRVBTJywnTUVBTicsJ0FOTlVBTF9ST0xMJywnKzEnLDM5ODQwLCwsJycp&amp;WINDOW=FIRST_POPUP&amp;HEIGHT=450&amp;WIDTH=450&amp;START_MAXIMIZED=FALSE&amp;VAR:CALENDAR=US&amp;VAR:SYMBOL=98433210&amp;VAR:INDEX=0"}</definedName>
    <definedName name="_8491__FDSAUDITLINK__">{"fdsup://directions/FAT Viewer?action=UPDATE&amp;creator=factset&amp;DYN_ARGS=TRUE&amp;DOC_NAME=FAT:FQL_AUDITING_CLIENT_TEMPLATE.FAT&amp;display_string=Audit&amp;VAR:KEY=VCZWFCVUHS&amp;VAR:QUERY=KFBfUFJJQ0UoMzk4NDApLShGRl9DQVNIX1NUKFFUUiwzOTg0MCkvUF9DT01fU0hTX09VVCgzOTg0MCkpKS9GR","V9FU1RJTUFURSgnRVBTJywnTUVBTicsJ0FOTlVBTF9ST0xMJywnKzEnLDM5ODQwLCwsJycp&amp;WINDOW=FIRST_POPUP&amp;HEIGHT=450&amp;WIDTH=450&amp;START_MAXIMIZED=FALSE&amp;VAR:CALENDAR=US&amp;VAR:SYMBOL=98433210&amp;VAR:INDEX=0"}</definedName>
    <definedName name="_8492__FDSAUDITLINK__">{"fdsup://directions/FAT Viewer?action=UPDATE&amp;creator=factset&amp;DYN_ARGS=TRUE&amp;DOC_NAME=FAT:FQL_AUDITING_CLIENT_TEMPLATE.FAT&amp;display_string=Audit&amp;VAR:KEY=ZINMDQTODA&amp;VAR:QUERY=KFBfUFJJQ0UoMzk4MzkpLShGRl9DQVNIX1NUKFFUUiwzOTgzOSkvUF9DT01fU0hTX09VVCgzOTgzOSkpKS9GR","V9FU1RJTUFURSgnRVBTJywnTUVBTicsJ0FOTlVBTF9ST0xMJywnKzEnLDM5ODM5LCwsJycp&amp;WINDOW=FIRST_POPUP&amp;HEIGHT=450&amp;WIDTH=450&amp;START_MAXIMIZED=FALSE&amp;VAR:CALENDAR=US&amp;VAR:SYMBOL=98433210&amp;VAR:INDEX=0"}</definedName>
    <definedName name="_8493__FDSAUDITLINK__">{"fdsup://directions/FAT Viewer?action=UPDATE&amp;creator=factset&amp;DYN_ARGS=TRUE&amp;DOC_NAME=FAT:FQL_AUDITING_CLIENT_TEMPLATE.FAT&amp;display_string=Audit&amp;VAR:KEY=ZINMDQTODA&amp;VAR:QUERY=KFBfUFJJQ0UoMzk4MzkpLShGRl9DQVNIX1NUKFFUUiwzOTgzOSkvUF9DT01fU0hTX09VVCgzOTgzOSkpKS9GR","V9FU1RJTUFURSgnRVBTJywnTUVBTicsJ0FOTlVBTF9ST0xMJywnKzEnLDM5ODM5LCwsJycp&amp;WINDOW=FIRST_POPUP&amp;HEIGHT=450&amp;WIDTH=450&amp;START_MAXIMIZED=FALSE&amp;VAR:CALENDAR=US&amp;VAR:SYMBOL=98433210&amp;VAR:INDEX=0"}</definedName>
    <definedName name="_8494__FDSAUDITLINK__">{"fdsup://directions/FAT Viewer?action=UPDATE&amp;creator=factset&amp;DYN_ARGS=TRUE&amp;DOC_NAME=FAT:FQL_AUDITING_CLIENT_TEMPLATE.FAT&amp;display_string=Audit&amp;VAR:KEY=JIBCBYNAXQ&amp;VAR:QUERY=KFBfUFJJQ0UoMzk4MzgpLShGRl9DQVNIX1NUKFFUUiwzOTgzOCkvUF9DT01fU0hTX09VVCgzOTgzOCkpKS9GR","V9FU1RJTUFURSgnRVBTJywnTUVBTicsJ0FOTlVBTF9ST0xMJywnKzEnLDM5ODM4LCwsJycp&amp;WINDOW=FIRST_POPUP&amp;HEIGHT=450&amp;WIDTH=450&amp;START_MAXIMIZED=FALSE&amp;VAR:CALENDAR=US&amp;VAR:SYMBOL=98433210&amp;VAR:INDEX=0"}</definedName>
    <definedName name="_8495__FDSAUDITLINK__">{"fdsup://directions/FAT Viewer?action=UPDATE&amp;creator=factset&amp;DYN_ARGS=TRUE&amp;DOC_NAME=FAT:FQL_AUDITING_CLIENT_TEMPLATE.FAT&amp;display_string=Audit&amp;VAR:KEY=JIBCBYNAXQ&amp;VAR:QUERY=KFBfUFJJQ0UoMzk4MzgpLShGRl9DQVNIX1NUKFFUUiwzOTgzOCkvUF9DT01fU0hTX09VVCgzOTgzOCkpKS9GR","V9FU1RJTUFURSgnRVBTJywnTUVBTicsJ0FOTlVBTF9ST0xMJywnKzEnLDM5ODM4LCwsJycp&amp;WINDOW=FIRST_POPUP&amp;HEIGHT=450&amp;WIDTH=450&amp;START_MAXIMIZED=FALSE&amp;VAR:CALENDAR=US&amp;VAR:SYMBOL=98433210&amp;VAR:INDEX=0"}</definedName>
    <definedName name="_8496__FDSAUDITLINK__">{"fdsup://directions/FAT Viewer?action=UPDATE&amp;creator=factset&amp;DYN_ARGS=TRUE&amp;DOC_NAME=FAT:FQL_AUDITING_CLIENT_TEMPLATE.FAT&amp;display_string=Audit&amp;VAR:KEY=NWXAFONKLW&amp;VAR:QUERY=KFBfUFJJQ0UoMzk4MzcpLShGRl9DQVNIX1NUKFFUUiwzOTgzNykvUF9DT01fU0hTX09VVCgzOTgzNykpKS9GR","V9FU1RJTUFURSgnRVBTJywnTUVBTicsJ0FOTlVBTF9ST0xMJywnKzEnLDM5ODM3LCwsJycp&amp;WINDOW=FIRST_POPUP&amp;HEIGHT=450&amp;WIDTH=450&amp;START_MAXIMIZED=FALSE&amp;VAR:CALENDAR=US&amp;VAR:SYMBOL=98433210&amp;VAR:INDEX=0"}</definedName>
    <definedName name="_8497__FDSAUDITLINK__">{"fdsup://directions/FAT Viewer?action=UPDATE&amp;creator=factset&amp;DYN_ARGS=TRUE&amp;DOC_NAME=FAT:FQL_AUDITING_CLIENT_TEMPLATE.FAT&amp;display_string=Audit&amp;VAR:KEY=NWXAFONKLW&amp;VAR:QUERY=KFBfUFJJQ0UoMzk4MzcpLShGRl9DQVNIX1NUKFFUUiwzOTgzNykvUF9DT01fU0hTX09VVCgzOTgzNykpKS9GR","V9FU1RJTUFURSgnRVBTJywnTUVBTicsJ0FOTlVBTF9ST0xMJywnKzEnLDM5ODM3LCwsJycp&amp;WINDOW=FIRST_POPUP&amp;HEIGHT=450&amp;WIDTH=450&amp;START_MAXIMIZED=FALSE&amp;VAR:CALENDAR=US&amp;VAR:SYMBOL=98433210&amp;VAR:INDEX=0"}</definedName>
    <definedName name="_8498__FDSAUDITLINK__">{"fdsup://directions/FAT Viewer?action=UPDATE&amp;creator=factset&amp;DYN_ARGS=TRUE&amp;DOC_NAME=FAT:FQL_AUDITING_CLIENT_TEMPLATE.FAT&amp;display_string=Audit&amp;VAR:KEY=POJKLYDYLQ&amp;VAR:QUERY=KFBfUFJJQ0UoMzk4MzYpLShGRl9DQVNIX1NUKFFUUiwzOTgzNikvUF9DT01fU0hTX09VVCgzOTgzNikpKS9GR","V9FU1RJTUFURSgnRVBTJywnTUVBTicsJ0FOTlVBTF9ST0xMJywnKzEnLDM5ODM2LCwsJycp&amp;WINDOW=FIRST_POPUP&amp;HEIGHT=450&amp;WIDTH=450&amp;START_MAXIMIZED=FALSE&amp;VAR:CALENDAR=US&amp;VAR:SYMBOL=98433210&amp;VAR:INDEX=0"}</definedName>
    <definedName name="_8499__FDSAUDITLINK__">{"fdsup://directions/FAT Viewer?action=UPDATE&amp;creator=factset&amp;DYN_ARGS=TRUE&amp;DOC_NAME=FAT:FQL_AUDITING_CLIENT_TEMPLATE.FAT&amp;display_string=Audit&amp;VAR:KEY=POJKLYDYLQ&amp;VAR:QUERY=KFBfUFJJQ0UoMzk4MzYpLShGRl9DQVNIX1NUKFFUUiwzOTgzNikvUF9DT01fU0hTX09VVCgzOTgzNikpKS9GR","V9FU1RJTUFURSgnRVBTJywnTUVBTicsJ0FOTlVBTF9ST0xMJywnKzEnLDM5ODM2LCwsJycp&amp;WINDOW=FIRST_POPUP&amp;HEIGHT=450&amp;WIDTH=450&amp;START_MAXIMIZED=FALSE&amp;VAR:CALENDAR=US&amp;VAR:SYMBOL=98433210&amp;VAR:INDEX=0"}</definedName>
    <definedName name="_8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0.246575&amp;VAR:V=15.879847&amp;VAR:V0=16.445462&amp;VAR:V1=14.369720&amp;VAR:Y0=2003&amp;VAR:Y1=2004&amp;VAR:P=848.179300&amp;VAR:DATE=20030331&amp;VAR:THRESH=-|-|-","|-|-|-|-"}</definedName>
    <definedName name="_85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940"}</definedName>
    <definedName name="_8500__FDSAUDITLINK__">{"fdsup://directions/FAT Viewer?action=UPDATE&amp;creator=factset&amp;DYN_ARGS=TRUE&amp;DOC_NAME=FAT:FQL_AUDITING_CLIENT_TEMPLATE.FAT&amp;display_string=Audit&amp;VAR:KEY=VCNITCHMTC&amp;VAR:QUERY=KFBfUFJJQ0UoMzk4MzUpLShGRl9DQVNIX1NUKFFUUiwzOTgzNSkvUF9DT01fU0hTX09VVCgzOTgzNSkpKS9GR","V9FU1RJTUFURSgnRVBTJywnTUVBTicsJ0FOTlVBTF9ST0xMJywnKzEnLDM5ODM1LCwsJycp&amp;WINDOW=FIRST_POPUP&amp;HEIGHT=450&amp;WIDTH=450&amp;START_MAXIMIZED=FALSE&amp;VAR:CALENDAR=US&amp;VAR:SYMBOL=98433210&amp;VAR:INDEX=0"}</definedName>
    <definedName name="_8501__FDSAUDITLINK__">{"fdsup://directions/FAT Viewer?action=UPDATE&amp;creator=factset&amp;DYN_ARGS=TRUE&amp;DOC_NAME=FAT:FQL_AUDITING_CLIENT_TEMPLATE.FAT&amp;display_string=Audit&amp;VAR:KEY=VCNITCHMTC&amp;VAR:QUERY=KFBfUFJJQ0UoMzk4MzUpLShGRl9DQVNIX1NUKFFUUiwzOTgzNSkvUF9DT01fU0hTX09VVCgzOTgzNSkpKS9GR","V9FU1RJTUFURSgnRVBTJywnTUVBTicsJ0FOTlVBTF9ST0xMJywnKzEnLDM5ODM1LCwsJycp&amp;WINDOW=FIRST_POPUP&amp;HEIGHT=450&amp;WIDTH=450&amp;START_MAXIMIZED=FALSE&amp;VAR:CALENDAR=US&amp;VAR:SYMBOL=98433210&amp;VAR:INDEX=0"}</definedName>
    <definedName name="_8502__FDSAUDITLINK__">{"fdsup://directions/FAT Viewer?action=UPDATE&amp;creator=factset&amp;DYN_ARGS=TRUE&amp;DOC_NAME=FAT:FQL_AUDITING_CLIENT_TEMPLATE.FAT&amp;display_string=Audit&amp;VAR:KEY=VCPWDWVYVY&amp;VAR:QUERY=KFBfUFJJQ0UoMzk4MzQpLShGRl9DQVNIX1NUKFFUUiwzOTgzNCkvUF9DT01fU0hTX09VVCgzOTgzNCkpKS9GR","V9FU1RJTUFURSgnRVBTJywnTUVBTicsJ0FOTlVBTF9ST0xMJywnKzEnLDM5ODM0LCwsJycp&amp;WINDOW=FIRST_POPUP&amp;HEIGHT=450&amp;WIDTH=450&amp;START_MAXIMIZED=FALSE&amp;VAR:CALENDAR=US&amp;VAR:SYMBOL=98433210&amp;VAR:INDEX=0"}</definedName>
    <definedName name="_8503__FDSAUDITLINK__">{"fdsup://directions/FAT Viewer?action=UPDATE&amp;creator=factset&amp;DYN_ARGS=TRUE&amp;DOC_NAME=FAT:FQL_AUDITING_CLIENT_TEMPLATE.FAT&amp;display_string=Audit&amp;VAR:KEY=VCPWDWVYVY&amp;VAR:QUERY=KFBfUFJJQ0UoMzk4MzQpLShGRl9DQVNIX1NUKFFUUiwzOTgzNCkvUF9DT01fU0hTX09VVCgzOTgzNCkpKS9GR","V9FU1RJTUFURSgnRVBTJywnTUVBTicsJ0FOTlVBTF9ST0xMJywnKzEnLDM5ODM0LCwsJycp&amp;WINDOW=FIRST_POPUP&amp;HEIGHT=450&amp;WIDTH=450&amp;START_MAXIMIZED=FALSE&amp;VAR:CALENDAR=US&amp;VAR:SYMBOL=98433210&amp;VAR:INDEX=0"}</definedName>
    <definedName name="_8504__FDSAUDITLINK__">{"fdsup://directions/FAT Viewer?action=UPDATE&amp;creator=factset&amp;DYN_ARGS=TRUE&amp;DOC_NAME=FAT:FQL_AUDITING_CLIENT_TEMPLATE.FAT&amp;display_string=Audit&amp;VAR:KEY=JMBMZOZADK&amp;VAR:QUERY=KFBfUFJJQ0UoMzk4MzMpLShGRl9DQVNIX1NUKFFUUiwzOTgzMykvUF9DT01fU0hTX09VVCgzOTgzMykpKS9GR","V9FU1RJTUFURSgnRVBTJywnTUVBTicsJ0FOTlVBTF9ST0xMJywnKzEnLDM5ODMzLCwsJycp&amp;WINDOW=FIRST_POPUP&amp;HEIGHT=450&amp;WIDTH=450&amp;START_MAXIMIZED=FALSE&amp;VAR:CALENDAR=US&amp;VAR:SYMBOL=98433210&amp;VAR:INDEX=0"}</definedName>
    <definedName name="_8505__FDSAUDITLINK__">{"fdsup://directions/FAT Viewer?action=UPDATE&amp;creator=factset&amp;DYN_ARGS=TRUE&amp;DOC_NAME=FAT:FQL_AUDITING_CLIENT_TEMPLATE.FAT&amp;display_string=Audit&amp;VAR:KEY=JMBMZOZADK&amp;VAR:QUERY=KFBfUFJJQ0UoMzk4MzMpLShGRl9DQVNIX1NUKFFUUiwzOTgzMykvUF9DT01fU0hTX09VVCgzOTgzMykpKS9GR","V9FU1RJTUFURSgnRVBTJywnTUVBTicsJ0FOTlVBTF9ST0xMJywnKzEnLDM5ODMzLCwsJycp&amp;WINDOW=FIRST_POPUP&amp;HEIGHT=450&amp;WIDTH=450&amp;START_MAXIMIZED=FALSE&amp;VAR:CALENDAR=US&amp;VAR:SYMBOL=98433210&amp;VAR:INDEX=0"}</definedName>
    <definedName name="_8506__FDSAUDITLINK__">{"fdsup://directions/FAT Viewer?action=UPDATE&amp;creator=factset&amp;DYN_ARGS=TRUE&amp;DOC_NAME=FAT:FQL_AUDITING_CLIENT_TEMPLATE.FAT&amp;display_string=Audit&amp;VAR:KEY=HANATARATI&amp;VAR:QUERY=KFBfUFJJQ0UoMzk4MzIpLShGRl9DQVNIX1NUKFFUUiwzOTgzMikvUF9DT01fU0hTX09VVCgzOTgzMikpKS9GR","V9FU1RJTUFURSgnRVBTJywnTUVBTicsJ0FOTlVBTF9ST0xMJywnKzEnLDM5ODMyLCwsJycp&amp;WINDOW=FIRST_POPUP&amp;HEIGHT=450&amp;WIDTH=450&amp;START_MAXIMIZED=FALSE&amp;VAR:CALENDAR=US&amp;VAR:SYMBOL=98433210&amp;VAR:INDEX=0"}</definedName>
    <definedName name="_8507__FDSAUDITLINK__">{"fdsup://directions/FAT Viewer?action=UPDATE&amp;creator=factset&amp;DYN_ARGS=TRUE&amp;DOC_NAME=FAT:FQL_AUDITING_CLIENT_TEMPLATE.FAT&amp;display_string=Audit&amp;VAR:KEY=HANATARATI&amp;VAR:QUERY=KFBfUFJJQ0UoMzk4MzIpLShGRl9DQVNIX1NUKFFUUiwzOTgzMikvUF9DT01fU0hTX09VVCgzOTgzMikpKS9GR","V9FU1RJTUFURSgnRVBTJywnTUVBTicsJ0FOTlVBTF9ST0xMJywnKzEnLDM5ODMyLCwsJycp&amp;WINDOW=FIRST_POPUP&amp;HEIGHT=450&amp;WIDTH=450&amp;START_MAXIMIZED=FALSE&amp;VAR:CALENDAR=US&amp;VAR:SYMBOL=98433210&amp;VAR:INDEX=0"}</definedName>
    <definedName name="_8508__FDSAUDITLINK__">{"fdsup://directions/FAT Viewer?action=UPDATE&amp;creator=factset&amp;DYN_ARGS=TRUE&amp;DOC_NAME=FAT:FQL_AUDITING_CLIENT_TEMPLATE.FAT&amp;display_string=Audit&amp;VAR:KEY=ROBEHCLOZM&amp;VAR:QUERY=KFBfUFJJQ0UoMzk4MzEpLShGRl9DQVNIX1NUKFFUUiwzOTgzMSkvUF9DT01fU0hTX09VVCgzOTgzMSkpKS9GR","V9FU1RJTUFURSgnRVBTJywnTUVBTicsJ0FOTlVBTF9ST0xMJywnKzEnLDM5ODMxLCwsJycp&amp;WINDOW=FIRST_POPUP&amp;HEIGHT=450&amp;WIDTH=450&amp;START_MAXIMIZED=FALSE&amp;VAR:CALENDAR=US&amp;VAR:SYMBOL=98433210&amp;VAR:INDEX=0"}</definedName>
    <definedName name="_8509__FDSAUDITLINK__">{"fdsup://directions/FAT Viewer?action=UPDATE&amp;creator=factset&amp;DYN_ARGS=TRUE&amp;DOC_NAME=FAT:FQL_AUDITING_CLIENT_TEMPLATE.FAT&amp;display_string=Audit&amp;VAR:KEY=ROBEHCLOZM&amp;VAR:QUERY=KFBfUFJJQ0UoMzk4MzEpLShGRl9DQVNIX1NUKFFUUiwzOTgzMSkvUF9DT01fU0hTX09VVCgzOTgzMSkpKS9GR","V9FU1RJTUFURSgnRVBTJywnTUVBTicsJ0FOTlVBTF9ST0xMJywnKzEnLDM5ODMxLCwsJycp&amp;WINDOW=FIRST_POPUP&amp;HEIGHT=450&amp;WIDTH=450&amp;START_MAXIMIZED=FALSE&amp;VAR:CALENDAR=US&amp;VAR:SYMBOL=98433210&amp;VAR:INDEX=0"}</definedName>
    <definedName name="_85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939"}</definedName>
    <definedName name="_8510__FDSAUDITLINK__">{"fdsup://directions/FAT Viewer?action=UPDATE&amp;creator=factset&amp;DYN_ARGS=TRUE&amp;DOC_NAME=FAT:FQL_AUDITING_CLIENT_TEMPLATE.FAT&amp;display_string=Audit&amp;VAR:KEY=RKJWFQPMJK&amp;VAR:QUERY=KFBfUFJJQ0UoMzk4MzApLShGRl9DQVNIX1NUKFFUUiwzOTgzMCkvUF9DT01fU0hTX09VVCgzOTgzMCkpKS9GR","V9FU1RJTUFURSgnRVBTJywnTUVBTicsJ0FOTlVBTF9ST0xMJywnKzEnLDM5ODMwLCwsJycp&amp;WINDOW=FIRST_POPUP&amp;HEIGHT=450&amp;WIDTH=450&amp;START_MAXIMIZED=FALSE&amp;VAR:CALENDAR=US&amp;VAR:SYMBOL=98433210&amp;VAR:INDEX=0"}</definedName>
    <definedName name="_8511__FDSAUDITLINK__">{"fdsup://directions/FAT Viewer?action=UPDATE&amp;creator=factset&amp;DYN_ARGS=TRUE&amp;DOC_NAME=FAT:FQL_AUDITING_CLIENT_TEMPLATE.FAT&amp;display_string=Audit&amp;VAR:KEY=RKJWFQPMJK&amp;VAR:QUERY=KFBfUFJJQ0UoMzk4MzApLShGRl9DQVNIX1NUKFFUUiwzOTgzMCkvUF9DT01fU0hTX09VVCgzOTgzMCkpKS9GR","V9FU1RJTUFURSgnRVBTJywnTUVBTicsJ0FOTlVBTF9ST0xMJywnKzEnLDM5ODMwLCwsJycp&amp;WINDOW=FIRST_POPUP&amp;HEIGHT=450&amp;WIDTH=450&amp;START_MAXIMIZED=FALSE&amp;VAR:CALENDAR=US&amp;VAR:SYMBOL=98433210&amp;VAR:INDEX=0"}</definedName>
    <definedName name="_8512__FDSAUDITLINK__">{"fdsup://directions/FAT Viewer?action=UPDATE&amp;creator=factset&amp;DYN_ARGS=TRUE&amp;DOC_NAME=FAT:FQL_AUDITING_CLIENT_TEMPLATE.FAT&amp;display_string=Audit&amp;VAR:KEY=HEDONMVIFO&amp;VAR:QUERY=KFBfUFJJQ0UoMzk4MjkpLShGRl9DQVNIX1NUKFFUUiwzOTgyOSkvUF9DT01fU0hTX09VVCgzOTgyOSkpKS9GR","V9FU1RJTUFURSgnRVBTJywnTUVBTicsJ0FOTlVBTF9ST0xMJywnKzEnLDM5ODI5LCwsJycp&amp;WINDOW=FIRST_POPUP&amp;HEIGHT=450&amp;WIDTH=450&amp;START_MAXIMIZED=FALSE&amp;VAR:CALENDAR=US&amp;VAR:SYMBOL=98433210&amp;VAR:INDEX=0"}</definedName>
    <definedName name="_8513__FDSAUDITLINK__">{"fdsup://directions/FAT Viewer?action=UPDATE&amp;creator=factset&amp;DYN_ARGS=TRUE&amp;DOC_NAME=FAT:FQL_AUDITING_CLIENT_TEMPLATE.FAT&amp;display_string=Audit&amp;VAR:KEY=HEDONMVIFO&amp;VAR:QUERY=KFBfUFJJQ0UoMzk4MjkpLShGRl9DQVNIX1NUKFFUUiwzOTgyOSkvUF9DT01fU0hTX09VVCgzOTgyOSkpKS9GR","V9FU1RJTUFURSgnRVBTJywnTUVBTicsJ0FOTlVBTF9ST0xMJywnKzEnLDM5ODI5LCwsJycp&amp;WINDOW=FIRST_POPUP&amp;HEIGHT=450&amp;WIDTH=450&amp;START_MAXIMIZED=FALSE&amp;VAR:CALENDAR=US&amp;VAR:SYMBOL=98433210&amp;VAR:INDEX=0"}</definedName>
    <definedName name="_8514__FDSAUDITLINK__">{"fdsup://directions/FAT Viewer?action=UPDATE&amp;creator=factset&amp;DYN_ARGS=TRUE&amp;DOC_NAME=FAT:FQL_AUDITING_CLIENT_TEMPLATE.FAT&amp;display_string=Audit&amp;VAR:KEY=POPOJMHKJC&amp;VAR:QUERY=KFBfUFJJQ0UoMzk4MjgpLShGRl9DQVNIX1NUKFFUUiwzOTgyOCkvUF9DT01fU0hTX09VVCgzOTgyOCkpKS9GR","V9FU1RJTUFURSgnRVBTJywnTUVBTicsJ0FOTlVBTF9ST0xMJywnKzEnLDM5ODI4LCwsJycp&amp;WINDOW=FIRST_POPUP&amp;HEIGHT=450&amp;WIDTH=450&amp;START_MAXIMIZED=FALSE&amp;VAR:CALENDAR=US&amp;VAR:SYMBOL=98433210&amp;VAR:INDEX=0"}</definedName>
    <definedName name="_8515__FDSAUDITLINK__">{"fdsup://directions/FAT Viewer?action=UPDATE&amp;creator=factset&amp;DYN_ARGS=TRUE&amp;DOC_NAME=FAT:FQL_AUDITING_CLIENT_TEMPLATE.FAT&amp;display_string=Audit&amp;VAR:KEY=POPOJMHKJC&amp;VAR:QUERY=KFBfUFJJQ0UoMzk4MjgpLShGRl9DQVNIX1NUKFFUUiwzOTgyOCkvUF9DT01fU0hTX09VVCgzOTgyOCkpKS9GR","V9FU1RJTUFURSgnRVBTJywnTUVBTicsJ0FOTlVBTF9ST0xMJywnKzEnLDM5ODI4LCwsJycp&amp;WINDOW=FIRST_POPUP&amp;HEIGHT=450&amp;WIDTH=450&amp;START_MAXIMIZED=FALSE&amp;VAR:CALENDAR=US&amp;VAR:SYMBOL=98433210&amp;VAR:INDEX=0"}</definedName>
    <definedName name="_8516__FDSAUDITLINK__">{"fdsup://directions/FAT Viewer?action=UPDATE&amp;creator=factset&amp;DYN_ARGS=TRUE&amp;DOC_NAME=FAT:FQL_AUDITING_CLIENT_TEMPLATE.FAT&amp;display_string=Audit&amp;VAR:KEY=PKPWDKPSDI&amp;VAR:QUERY=KFBfUFJJQ0UoMzk4MjcpLShGRl9DQVNIX1NUKFFUUiwzOTgyNykvUF9DT01fU0hTX09VVCgzOTgyNykpKS9GR","V9FU1RJTUFURSgnRVBTJywnTUVBTicsJ0FOTlVBTF9ST0xMJywnKzEnLDM5ODI3LCwsJycp&amp;WINDOW=FIRST_POPUP&amp;HEIGHT=450&amp;WIDTH=450&amp;START_MAXIMIZED=FALSE&amp;VAR:CALENDAR=US&amp;VAR:SYMBOL=98433210&amp;VAR:INDEX=0"}</definedName>
    <definedName name="_8517__FDSAUDITLINK__">{"fdsup://directions/FAT Viewer?action=UPDATE&amp;creator=factset&amp;DYN_ARGS=TRUE&amp;DOC_NAME=FAT:FQL_AUDITING_CLIENT_TEMPLATE.FAT&amp;display_string=Audit&amp;VAR:KEY=PKPWDKPSDI&amp;VAR:QUERY=KFBfUFJJQ0UoMzk4MjcpLShGRl9DQVNIX1NUKFFUUiwzOTgyNykvUF9DT01fU0hTX09VVCgzOTgyNykpKS9GR","V9FU1RJTUFURSgnRVBTJywnTUVBTicsJ0FOTlVBTF9ST0xMJywnKzEnLDM5ODI3LCwsJycp&amp;WINDOW=FIRST_POPUP&amp;HEIGHT=450&amp;WIDTH=450&amp;START_MAXIMIZED=FALSE&amp;VAR:CALENDAR=US&amp;VAR:SYMBOL=98433210&amp;VAR:INDEX=0"}</definedName>
    <definedName name="_8518__FDSAUDITLINK__">{"fdsup://directions/FAT Viewer?action=UPDATE&amp;creator=factset&amp;DYN_ARGS=TRUE&amp;DOC_NAME=FAT:FQL_AUDITING_CLIENT_TEMPLATE.FAT&amp;display_string=Audit&amp;VAR:KEY=TUDQXOPOFO&amp;VAR:QUERY=KFBfUFJJQ0UoMzk4MjYpLShGRl9DQVNIX1NUKFFUUiwzOTgyNikvUF9DT01fU0hTX09VVCgzOTgyNikpKS9GR","V9FU1RJTUFURSgnRVBTJywnTUVBTicsJ0FOTlVBTF9ST0xMJywnKzEnLDM5ODI2LCwsJycp&amp;WINDOW=FIRST_POPUP&amp;HEIGHT=450&amp;WIDTH=450&amp;START_MAXIMIZED=FALSE&amp;VAR:CALENDAR=US&amp;VAR:SYMBOL=98433210&amp;VAR:INDEX=0"}</definedName>
    <definedName name="_8519__FDSAUDITLINK__">{"fdsup://directions/FAT Viewer?action=UPDATE&amp;creator=factset&amp;DYN_ARGS=TRUE&amp;DOC_NAME=FAT:FQL_AUDITING_CLIENT_TEMPLATE.FAT&amp;display_string=Audit&amp;VAR:KEY=TUDQXOPOFO&amp;VAR:QUERY=KFBfUFJJQ0UoMzk4MjYpLShGRl9DQVNIX1NUKFFUUiwzOTgyNikvUF9DT01fU0hTX09VVCgzOTgyNikpKS9GR","V9FU1RJTUFURSgnRVBTJywnTUVBTicsJ0FOTlVBTF9ST0xMJywnKzEnLDM5ODI2LCwsJycp&amp;WINDOW=FIRST_POPUP&amp;HEIGHT=450&amp;WIDTH=450&amp;START_MAXIMIZED=FALSE&amp;VAR:CALENDAR=US&amp;VAR:SYMBOL=98433210&amp;VAR:INDEX=0"}</definedName>
    <definedName name="_85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938"}</definedName>
    <definedName name="_8520__FDSAUDITLINK__">{"fdsup://directions/FAT Viewer?action=UPDATE&amp;creator=factset&amp;DYN_ARGS=TRUE&amp;DOC_NAME=FAT:FQL_AUDITING_CLIENT_TEMPLATE.FAT&amp;display_string=Audit&amp;VAR:KEY=BURCHYNKXG&amp;VAR:QUERY=KFBfUFJJQ0UoMzk4MjUpLShGRl9DQVNIX1NUKFFUUiwzOTgyNSkvUF9DT01fU0hTX09VVCgzOTgyNSkpKS9GR","V9FU1RJTUFURSgnRVBTJywnTUVBTicsJ0FOTlVBTF9ST0xMJywnKzEnLDM5ODI1LCwsJycp&amp;WINDOW=FIRST_POPUP&amp;HEIGHT=450&amp;WIDTH=450&amp;START_MAXIMIZED=FALSE&amp;VAR:CALENDAR=US&amp;VAR:SYMBOL=98433210&amp;VAR:INDEX=0"}</definedName>
    <definedName name="_8521__FDSAUDITLINK__">{"fdsup://directions/FAT Viewer?action=UPDATE&amp;creator=factset&amp;DYN_ARGS=TRUE&amp;DOC_NAME=FAT:FQL_AUDITING_CLIENT_TEMPLATE.FAT&amp;display_string=Audit&amp;VAR:KEY=BURCHYNKXG&amp;VAR:QUERY=KFBfUFJJQ0UoMzk4MjUpLShGRl9DQVNIX1NUKFFUUiwzOTgyNSkvUF9DT01fU0hTX09VVCgzOTgyNSkpKS9GR","V9FU1RJTUFURSgnRVBTJywnTUVBTicsJ0FOTlVBTF9ST0xMJywnKzEnLDM5ODI1LCwsJycp&amp;WINDOW=FIRST_POPUP&amp;HEIGHT=450&amp;WIDTH=450&amp;START_MAXIMIZED=FALSE&amp;VAR:CALENDAR=US&amp;VAR:SYMBOL=98433210&amp;VAR:INDEX=0"}</definedName>
    <definedName name="_8522__FDSAUDITLINK__">{"fdsup://directions/FAT Viewer?action=UPDATE&amp;creator=factset&amp;DYN_ARGS=TRUE&amp;DOC_NAME=FAT:FQL_AUDITING_CLIENT_TEMPLATE.FAT&amp;display_string=Audit&amp;VAR:KEY=JIZILCBKZS&amp;VAR:QUERY=KFBfUFJJQ0UoMzk4MjQpLShGRl9DQVNIX1NUKFFUUiwzOTgyNCkvUF9DT01fU0hTX09VVCgzOTgyNCkpKS9GR","V9FU1RJTUFURSgnRVBTJywnTUVBTicsJ0FOTlVBTF9ST0xMJywnKzEnLDM5ODI0LCwsJycp&amp;WINDOW=FIRST_POPUP&amp;HEIGHT=450&amp;WIDTH=450&amp;START_MAXIMIZED=FALSE&amp;VAR:CALENDAR=US&amp;VAR:SYMBOL=98433210&amp;VAR:INDEX=0"}</definedName>
    <definedName name="_8523__FDSAUDITLINK__">{"fdsup://directions/FAT Viewer?action=UPDATE&amp;creator=factset&amp;DYN_ARGS=TRUE&amp;DOC_NAME=FAT:FQL_AUDITING_CLIENT_TEMPLATE.FAT&amp;display_string=Audit&amp;VAR:KEY=JIZILCBKZS&amp;VAR:QUERY=KFBfUFJJQ0UoMzk4MjQpLShGRl9DQVNIX1NUKFFUUiwzOTgyNCkvUF9DT01fU0hTX09VVCgzOTgyNCkpKS9GR","V9FU1RJTUFURSgnRVBTJywnTUVBTicsJ0FOTlVBTF9ST0xMJywnKzEnLDM5ODI0LCwsJycp&amp;WINDOW=FIRST_POPUP&amp;HEIGHT=450&amp;WIDTH=450&amp;START_MAXIMIZED=FALSE&amp;VAR:CALENDAR=US&amp;VAR:SYMBOL=98433210&amp;VAR:INDEX=0"}</definedName>
    <definedName name="_8524__FDSAUDITLINK__">{"fdsup://directions/FAT Viewer?action=UPDATE&amp;creator=factset&amp;DYN_ARGS=TRUE&amp;DOC_NAME=FAT:FQL_AUDITING_CLIENT_TEMPLATE.FAT&amp;display_string=Audit&amp;VAR:KEY=FQLIBALMLU&amp;VAR:QUERY=KFBfUFJJQ0UoMzk4MjMpLShGRl9DQVNIX1NUKFFUUiwzOTgyMykvUF9DT01fU0hTX09VVCgzOTgyMykpKS9GR","V9FU1RJTUFURSgnRVBTJywnTUVBTicsJ0FOTlVBTF9ST0xMJywnKzEnLDM5ODIzLCwsJycp&amp;WINDOW=FIRST_POPUP&amp;HEIGHT=450&amp;WIDTH=450&amp;START_MAXIMIZED=FALSE&amp;VAR:CALENDAR=US&amp;VAR:SYMBOL=98433210&amp;VAR:INDEX=0"}</definedName>
    <definedName name="_8525__FDSAUDITLINK__">{"fdsup://directions/FAT Viewer?action=UPDATE&amp;creator=factset&amp;DYN_ARGS=TRUE&amp;DOC_NAME=FAT:FQL_AUDITING_CLIENT_TEMPLATE.FAT&amp;display_string=Audit&amp;VAR:KEY=FQLIBALMLU&amp;VAR:QUERY=KFBfUFJJQ0UoMzk4MjMpLShGRl9DQVNIX1NUKFFUUiwzOTgyMykvUF9DT01fU0hTX09VVCgzOTgyMykpKS9GR","V9FU1RJTUFURSgnRVBTJywnTUVBTicsJ0FOTlVBTF9ST0xMJywnKzEnLDM5ODIzLCwsJycp&amp;WINDOW=FIRST_POPUP&amp;HEIGHT=450&amp;WIDTH=450&amp;START_MAXIMIZED=FALSE&amp;VAR:CALENDAR=US&amp;VAR:SYMBOL=98433210&amp;VAR:INDEX=0"}</definedName>
    <definedName name="_8526__FDSAUDITLINK__">{"fdsup://directions/FAT Viewer?action=UPDATE&amp;creator=factset&amp;DYN_ARGS=TRUE&amp;DOC_NAME=FAT:FQL_AUDITING_CLIENT_TEMPLATE.FAT&amp;display_string=Audit&amp;VAR:KEY=NKVGPOLEPI&amp;VAR:QUERY=KFBfUFJJQ0UoMzk4MjIpLShGRl9DQVNIX1NUKFFUUiwzOTgyMikvUF9DT01fU0hTX09VVCgzOTgyMikpKS9GR","V9FU1RJTUFURSgnRVBTJywnTUVBTicsJ0FOTlVBTF9ST0xMJywnKzEnLDM5ODIyLCwsJycp&amp;WINDOW=FIRST_POPUP&amp;HEIGHT=450&amp;WIDTH=450&amp;START_MAXIMIZED=FALSE&amp;VAR:CALENDAR=US&amp;VAR:SYMBOL=98433210&amp;VAR:INDEX=0"}</definedName>
    <definedName name="_8527__FDSAUDITLINK__">{"fdsup://directions/FAT Viewer?action=UPDATE&amp;creator=factset&amp;DYN_ARGS=TRUE&amp;DOC_NAME=FAT:FQL_AUDITING_CLIENT_TEMPLATE.FAT&amp;display_string=Audit&amp;VAR:KEY=NKVGPOLEPI&amp;VAR:QUERY=KFBfUFJJQ0UoMzk4MjIpLShGRl9DQVNIX1NUKFFUUiwzOTgyMikvUF9DT01fU0hTX09VVCgzOTgyMikpKS9GR","V9FU1RJTUFURSgnRVBTJywnTUVBTicsJ0FOTlVBTF9ST0xMJywnKzEnLDM5ODIyLCwsJycp&amp;WINDOW=FIRST_POPUP&amp;HEIGHT=450&amp;WIDTH=450&amp;START_MAXIMIZED=FALSE&amp;VAR:CALENDAR=US&amp;VAR:SYMBOL=98433210&amp;VAR:INDEX=0"}</definedName>
    <definedName name="_8528__FDSAUDITLINK__">{"fdsup://directions/FAT Viewer?action=UPDATE&amp;creator=factset&amp;DYN_ARGS=TRUE&amp;DOC_NAME=FAT:FQL_AUDITING_CLIENT_TEMPLATE.FAT&amp;display_string=Audit&amp;VAR:KEY=NAHONWFWTQ&amp;VAR:QUERY=KFBfUFJJQ0UoMzk4MjEpLShGRl9DQVNIX1NUKFFUUiwzOTgyMSkvUF9DT01fU0hTX09VVCgzOTgyMSkpKS9GR","V9FU1RJTUFURSgnRVBTJywnTUVBTicsJ0FOTlVBTF9ST0xMJywnKzEnLDM5ODIxLCwsJycp&amp;WINDOW=FIRST_POPUP&amp;HEIGHT=450&amp;WIDTH=450&amp;START_MAXIMIZED=FALSE&amp;VAR:CALENDAR=US&amp;VAR:SYMBOL=98433210&amp;VAR:INDEX=0"}</definedName>
    <definedName name="_8529__FDSAUDITLINK__">{"fdsup://directions/FAT Viewer?action=UPDATE&amp;creator=factset&amp;DYN_ARGS=TRUE&amp;DOC_NAME=FAT:FQL_AUDITING_CLIENT_TEMPLATE.FAT&amp;display_string=Audit&amp;VAR:KEY=NAHONWFWTQ&amp;VAR:QUERY=KFBfUFJJQ0UoMzk4MjEpLShGRl9DQVNIX1NUKFFUUiwzOTgyMSkvUF9DT01fU0hTX09VVCgzOTgyMSkpKS9GR","V9FU1RJTUFURSgnRVBTJywnTUVBTicsJ0FOTlVBTF9ST0xMJywnKzEnLDM5ODIxLCwsJycp&amp;WINDOW=FIRST_POPUP&amp;HEIGHT=450&amp;WIDTH=450&amp;START_MAXIMIZED=FALSE&amp;VAR:CALENDAR=US&amp;VAR:SYMBOL=98433210&amp;VAR:INDEX=0"}</definedName>
    <definedName name="_85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937"}</definedName>
    <definedName name="_8530__FDSAUDITLINK__">{"fdsup://directions/FAT Viewer?action=UPDATE&amp;creator=factset&amp;DYN_ARGS=TRUE&amp;DOC_NAME=FAT:FQL_AUDITING_CLIENT_TEMPLATE.FAT&amp;display_string=Audit&amp;VAR:KEY=LIPYLCTIXI&amp;VAR:QUERY=KFBfUFJJQ0UoMzk4MjApLShGRl9DQVNIX1NUKFFUUiwzOTgyMCkvUF9DT01fU0hTX09VVCgzOTgyMCkpKS9GR","V9FU1RJTUFURSgnRVBTJywnTUVBTicsJ0FOTlVBTF9ST0xMJywnKzEnLDM5ODIwLCwsJycp&amp;WINDOW=FIRST_POPUP&amp;HEIGHT=450&amp;WIDTH=450&amp;START_MAXIMIZED=FALSE&amp;VAR:CALENDAR=US&amp;VAR:SYMBOL=98433210&amp;VAR:INDEX=0"}</definedName>
    <definedName name="_8531__FDSAUDITLINK__">{"fdsup://directions/FAT Viewer?action=UPDATE&amp;creator=factset&amp;DYN_ARGS=TRUE&amp;DOC_NAME=FAT:FQL_AUDITING_CLIENT_TEMPLATE.FAT&amp;display_string=Audit&amp;VAR:KEY=LIPYLCTIXI&amp;VAR:QUERY=KFBfUFJJQ0UoMzk4MjApLShGRl9DQVNIX1NUKFFUUiwzOTgyMCkvUF9DT01fU0hTX09VVCgzOTgyMCkpKS9GR","V9FU1RJTUFURSgnRVBTJywnTUVBTicsJ0FOTlVBTF9ST0xMJywnKzEnLDM5ODIwLCwsJycp&amp;WINDOW=FIRST_POPUP&amp;HEIGHT=450&amp;WIDTH=450&amp;START_MAXIMIZED=FALSE&amp;VAR:CALENDAR=US&amp;VAR:SYMBOL=98433210&amp;VAR:INDEX=0"}</definedName>
    <definedName name="_8532__FDSAUDITLINK__">{"fdsup://directions/FAT Viewer?action=UPDATE&amp;creator=factset&amp;DYN_ARGS=TRUE&amp;DOC_NAME=FAT:FQL_AUDITING_CLIENT_TEMPLATE.FAT&amp;display_string=Audit&amp;VAR:KEY=DQBSRWLWDU&amp;VAR:QUERY=KFBfUFJJQ0UoMzk4MTkpLShGRl9DQVNIX1NUKFFUUiwzOTgxOSkvUF9DT01fU0hTX09VVCgzOTgxOSkpKS9GR","V9FU1RJTUFURSgnRVBTJywnTUVBTicsJ0FOTlVBTF9ST0xMJywnKzEnLDM5ODE5LCwsJycp&amp;WINDOW=FIRST_POPUP&amp;HEIGHT=450&amp;WIDTH=450&amp;START_MAXIMIZED=FALSE&amp;VAR:CALENDAR=US&amp;VAR:SYMBOL=98433210&amp;VAR:INDEX=0"}</definedName>
    <definedName name="_8533__FDSAUDITLINK__">{"fdsup://directions/FAT Viewer?action=UPDATE&amp;creator=factset&amp;DYN_ARGS=TRUE&amp;DOC_NAME=FAT:FQL_AUDITING_CLIENT_TEMPLATE.FAT&amp;display_string=Audit&amp;VAR:KEY=DQBSRWLWDU&amp;VAR:QUERY=KFBfUFJJQ0UoMzk4MTkpLShGRl9DQVNIX1NUKFFUUiwzOTgxOSkvUF9DT01fU0hTX09VVCgzOTgxOSkpKS9GR","V9FU1RJTUFURSgnRVBTJywnTUVBTicsJ0FOTlVBTF9ST0xMJywnKzEnLDM5ODE5LCwsJycp&amp;WINDOW=FIRST_POPUP&amp;HEIGHT=450&amp;WIDTH=450&amp;START_MAXIMIZED=FALSE&amp;VAR:CALENDAR=US&amp;VAR:SYMBOL=98433210&amp;VAR:INDEX=0"}</definedName>
    <definedName name="_8534__FDSAUDITLINK__">{"fdsup://directions/FAT Viewer?action=UPDATE&amp;creator=factset&amp;DYN_ARGS=TRUE&amp;DOC_NAME=FAT:FQL_AUDITING_CLIENT_TEMPLATE.FAT&amp;display_string=Audit&amp;VAR:KEY=DAXUNWRYFI&amp;VAR:QUERY=KFBfUFJJQ0UoMzk4MTgpLShGRl9DQVNIX1NUKFFUUiwzOTgxOCkvUF9DT01fU0hTX09VVCgzOTgxOCkpKS9GR","V9FU1RJTUFURSgnRVBTJywnTUVBTicsJ0FOTlVBTF9ST0xMJywnKzEnLDM5ODE4LCwsJycp&amp;WINDOW=FIRST_POPUP&amp;HEIGHT=450&amp;WIDTH=450&amp;START_MAXIMIZED=FALSE&amp;VAR:CALENDAR=US&amp;VAR:SYMBOL=98433210&amp;VAR:INDEX=0"}</definedName>
    <definedName name="_8535__FDSAUDITLINK__">{"fdsup://directions/FAT Viewer?action=UPDATE&amp;creator=factset&amp;DYN_ARGS=TRUE&amp;DOC_NAME=FAT:FQL_AUDITING_CLIENT_TEMPLATE.FAT&amp;display_string=Audit&amp;VAR:KEY=DAXUNWRYFI&amp;VAR:QUERY=KFBfUFJJQ0UoMzk4MTgpLShGRl9DQVNIX1NUKFFUUiwzOTgxOCkvUF9DT01fU0hTX09VVCgzOTgxOCkpKS9GR","V9FU1RJTUFURSgnRVBTJywnTUVBTicsJ0FOTlVBTF9ST0xMJywnKzEnLDM5ODE4LCwsJycp&amp;WINDOW=FIRST_POPUP&amp;HEIGHT=450&amp;WIDTH=450&amp;START_MAXIMIZED=FALSE&amp;VAR:CALENDAR=US&amp;VAR:SYMBOL=98433210&amp;VAR:INDEX=0"}</definedName>
    <definedName name="_8536__FDSAUDITLINK__">{"fdsup://directions/FAT Viewer?action=UPDATE&amp;creator=factset&amp;DYN_ARGS=TRUE&amp;DOC_NAME=FAT:FQL_AUDITING_CLIENT_TEMPLATE.FAT&amp;display_string=Audit&amp;VAR:KEY=JIRAJELYPK&amp;VAR:QUERY=KFBfUFJJQ0UoMzk4MTcpLShGRl9DQVNIX1NUKFFUUiwzOTgxNykvUF9DT01fU0hTX09VVCgzOTgxNykpKS9GR","V9FU1RJTUFURSgnRVBTJywnTUVBTicsJ0FOTlVBTF9ST0xMJywnKzEnLDM5ODE3LCwsJycp&amp;WINDOW=FIRST_POPUP&amp;HEIGHT=450&amp;WIDTH=450&amp;START_MAXIMIZED=FALSE&amp;VAR:CALENDAR=US&amp;VAR:SYMBOL=98433210&amp;VAR:INDEX=0"}</definedName>
    <definedName name="_8537__FDSAUDITLINK__">{"fdsup://directions/FAT Viewer?action=UPDATE&amp;creator=factset&amp;DYN_ARGS=TRUE&amp;DOC_NAME=FAT:FQL_AUDITING_CLIENT_TEMPLATE.FAT&amp;display_string=Audit&amp;VAR:KEY=JIRAJELYPK&amp;VAR:QUERY=KFBfUFJJQ0UoMzk4MTcpLShGRl9DQVNIX1NUKFFUUiwzOTgxNykvUF9DT01fU0hTX09VVCgzOTgxNykpKS9GR","V9FU1RJTUFURSgnRVBTJywnTUVBTicsJ0FOTlVBTF9ST0xMJywnKzEnLDM5ODE3LCwsJycp&amp;WINDOW=FIRST_POPUP&amp;HEIGHT=450&amp;WIDTH=450&amp;START_MAXIMIZED=FALSE&amp;VAR:CALENDAR=US&amp;VAR:SYMBOL=98433210&amp;VAR:INDEX=0"}</definedName>
    <definedName name="_8538__FDSAUDITLINK__">{"fdsup://directions/FAT Viewer?action=UPDATE&amp;creator=factset&amp;DYN_ARGS=TRUE&amp;DOC_NAME=FAT:FQL_AUDITING_CLIENT_TEMPLATE.FAT&amp;display_string=Audit&amp;VAR:KEY=PMLAXENKTK&amp;VAR:QUERY=KFBfUFJJQ0UoMzk4MTYpLShGRl9DQVNIX1NUKFFUUiwzOTgxNikvUF9DT01fU0hTX09VVCgzOTgxNikpKS9GR","V9FU1RJTUFURSgnRVBTJywnTUVBTicsJ0FOTlVBTF9ST0xMJywnKzEnLDM5ODE2LCwsJycp&amp;WINDOW=FIRST_POPUP&amp;HEIGHT=450&amp;WIDTH=450&amp;START_MAXIMIZED=FALSE&amp;VAR:CALENDAR=US&amp;VAR:SYMBOL=98433210&amp;VAR:INDEX=0"}</definedName>
    <definedName name="_8539__FDSAUDITLINK__">{"fdsup://directions/FAT Viewer?action=UPDATE&amp;creator=factset&amp;DYN_ARGS=TRUE&amp;DOC_NAME=FAT:FQL_AUDITING_CLIENT_TEMPLATE.FAT&amp;display_string=Audit&amp;VAR:KEY=PMLAXENKTK&amp;VAR:QUERY=KFBfUFJJQ0UoMzk4MTYpLShGRl9DQVNIX1NUKFFUUiwzOTgxNikvUF9DT01fU0hTX09VVCgzOTgxNikpKS9GR","V9FU1RJTUFURSgnRVBTJywnTUVBTicsJ0FOTlVBTF9ST0xMJywnKzEnLDM5ODE2LCwsJycp&amp;WINDOW=FIRST_POPUP&amp;HEIGHT=450&amp;WIDTH=450&amp;START_MAXIMIZED=FALSE&amp;VAR:CALENDAR=US&amp;VAR:SYMBOL=98433210&amp;VAR:INDEX=0"}</definedName>
    <definedName name="_85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936"}</definedName>
    <definedName name="_8540__FDSAUDITLINK__">{"fdsup://directions/FAT Viewer?action=UPDATE&amp;creator=factset&amp;DYN_ARGS=TRUE&amp;DOC_NAME=FAT:FQL_AUDITING_CLIENT_TEMPLATE.FAT&amp;display_string=Audit&amp;VAR:KEY=NELYHEVQRG&amp;VAR:QUERY=KFBfUFJJQ0UoMzk4MTUpLShGRl9DQVNIX1NUKFFUUiwzOTgxNSkvUF9DT01fU0hTX09VVCgzOTgxNSkpKS9GR","V9FU1RJTUFURSgnRVBTJywnTUVBTicsJ0FOTlVBTF9ST0xMJywnKzEnLDM5ODE1LCwsJycp&amp;WINDOW=FIRST_POPUP&amp;HEIGHT=450&amp;WIDTH=450&amp;START_MAXIMIZED=FALSE&amp;VAR:CALENDAR=US&amp;VAR:SYMBOL=98433210&amp;VAR:INDEX=0"}</definedName>
    <definedName name="_8541__FDSAUDITLINK__">{"fdsup://directions/FAT Viewer?action=UPDATE&amp;creator=factset&amp;DYN_ARGS=TRUE&amp;DOC_NAME=FAT:FQL_AUDITING_CLIENT_TEMPLATE.FAT&amp;display_string=Audit&amp;VAR:KEY=NELYHEVQRG&amp;VAR:QUERY=KFBfUFJJQ0UoMzk4MTUpLShGRl9DQVNIX1NUKFFUUiwzOTgxNSkvUF9DT01fU0hTX09VVCgzOTgxNSkpKS9GR","V9FU1RJTUFURSgnRVBTJywnTUVBTicsJ0FOTlVBTF9ST0xMJywnKzEnLDM5ODE1LCwsJycp&amp;WINDOW=FIRST_POPUP&amp;HEIGHT=450&amp;WIDTH=450&amp;START_MAXIMIZED=FALSE&amp;VAR:CALENDAR=US&amp;VAR:SYMBOL=98433210&amp;VAR:INDEX=0"}</definedName>
    <definedName name="_8542__FDSAUDITLINK__">{"fdsup://directions/FAT Viewer?action=UPDATE&amp;creator=factset&amp;DYN_ARGS=TRUE&amp;DOC_NAME=FAT:FQL_AUDITING_CLIENT_TEMPLATE.FAT&amp;display_string=Audit&amp;VAR:KEY=RAFYDEDIFC&amp;VAR:QUERY=KFBfUFJJQ0UoMzk4MTQpLShGRl9DQVNIX1NUKFFUUiwzOTgxNCkvUF9DT01fU0hTX09VVCgzOTgxNCkpKS9GR","V9FU1RJTUFURSgnRVBTJywnTUVBTicsJ0FOTlVBTF9ST0xMJywnKzEnLDM5ODE0LCwsJycp&amp;WINDOW=FIRST_POPUP&amp;HEIGHT=450&amp;WIDTH=450&amp;START_MAXIMIZED=FALSE&amp;VAR:CALENDAR=US&amp;VAR:SYMBOL=98433210&amp;VAR:INDEX=0"}</definedName>
    <definedName name="_8543__FDSAUDITLINK__">{"fdsup://directions/FAT Viewer?action=UPDATE&amp;creator=factset&amp;DYN_ARGS=TRUE&amp;DOC_NAME=FAT:FQL_AUDITING_CLIENT_TEMPLATE.FAT&amp;display_string=Audit&amp;VAR:KEY=RAFYDEDIFC&amp;VAR:QUERY=KFBfUFJJQ0UoMzk4MTQpLShGRl9DQVNIX1NUKFFUUiwzOTgxNCkvUF9DT01fU0hTX09VVCgzOTgxNCkpKS9GR","V9FU1RJTUFURSgnRVBTJywnTUVBTicsJ0FOTlVBTF9ST0xMJywnKzEnLDM5ODE0LCwsJycp&amp;WINDOW=FIRST_POPUP&amp;HEIGHT=450&amp;WIDTH=450&amp;START_MAXIMIZED=FALSE&amp;VAR:CALENDAR=US&amp;VAR:SYMBOL=98433210&amp;VAR:INDEX=0"}</definedName>
    <definedName name="_8544__FDSAUDITLINK__">{"fdsup://directions/FAT Viewer?action=UPDATE&amp;creator=factset&amp;DYN_ARGS=TRUE&amp;DOC_NAME=FAT:FQL_AUDITING_CLIENT_TEMPLATE.FAT&amp;display_string=Audit&amp;VAR:KEY=ZMJIDEJANO&amp;VAR:QUERY=KFBfUFJJQ0UoMzk4MTMpLShGRl9DQVNIX1NUKFFUUiwzOTgxMykvUF9DT01fU0hTX09VVCgzOTgxMykpKS9GR","V9FU1RJTUFURSgnRVBTJywnTUVBTicsJ0FOTlVBTF9ST0xMJywnKzEnLDM5ODEzLCwsJycp&amp;WINDOW=FIRST_POPUP&amp;HEIGHT=450&amp;WIDTH=450&amp;START_MAXIMIZED=FALSE&amp;VAR:CALENDAR=US&amp;VAR:SYMBOL=98433210&amp;VAR:INDEX=0"}</definedName>
    <definedName name="_8545__FDSAUDITLINK__">{"fdsup://directions/FAT Viewer?action=UPDATE&amp;creator=factset&amp;DYN_ARGS=TRUE&amp;DOC_NAME=FAT:FQL_AUDITING_CLIENT_TEMPLATE.FAT&amp;display_string=Audit&amp;VAR:KEY=ZMJIDEJANO&amp;VAR:QUERY=KFBfUFJJQ0UoMzk4MTMpLShGRl9DQVNIX1NUKFFUUiwzOTgxMykvUF9DT01fU0hTX09VVCgzOTgxMykpKS9GR","V9FU1RJTUFURSgnRVBTJywnTUVBTicsJ0FOTlVBTF9ST0xMJywnKzEnLDM5ODEzLCwsJycp&amp;WINDOW=FIRST_POPUP&amp;HEIGHT=450&amp;WIDTH=450&amp;START_MAXIMIZED=FALSE&amp;VAR:CALENDAR=US&amp;VAR:SYMBOL=98433210&amp;VAR:INDEX=0"}</definedName>
    <definedName name="_8546__FDSAUDITLINK__">{"fdsup://directions/FAT Viewer?action=UPDATE&amp;creator=factset&amp;DYN_ARGS=TRUE&amp;DOC_NAME=FAT:FQL_AUDITING_CLIENT_TEMPLATE.FAT&amp;display_string=Audit&amp;VAR:KEY=DMHEHMHEBG&amp;VAR:QUERY=KFBfUFJJQ0UoMzk4MTIpLShGRl9DQVNIX1NUKFFUUiwzOTgxMikvUF9DT01fU0hTX09VVCgzOTgxMikpKS9GR","V9FU1RJTUFURSgnRVBTJywnTUVBTicsJ0FOTlVBTF9ST0xMJywnKzEnLDM5ODEyLCwsJycp&amp;WINDOW=FIRST_POPUP&amp;HEIGHT=450&amp;WIDTH=450&amp;START_MAXIMIZED=FALSE&amp;VAR:CALENDAR=US&amp;VAR:SYMBOL=98433210&amp;VAR:INDEX=0"}</definedName>
    <definedName name="_8547__FDSAUDITLINK__">{"fdsup://directions/FAT Viewer?action=UPDATE&amp;creator=factset&amp;DYN_ARGS=TRUE&amp;DOC_NAME=FAT:FQL_AUDITING_CLIENT_TEMPLATE.FAT&amp;display_string=Audit&amp;VAR:KEY=DMHEHMHEBG&amp;VAR:QUERY=KFBfUFJJQ0UoMzk4MTIpLShGRl9DQVNIX1NUKFFUUiwzOTgxMikvUF9DT01fU0hTX09VVCgzOTgxMikpKS9GR","V9FU1RJTUFURSgnRVBTJywnTUVBTicsJ0FOTlVBTF9ST0xMJywnKzEnLDM5ODEyLCwsJycp&amp;WINDOW=FIRST_POPUP&amp;HEIGHT=450&amp;WIDTH=450&amp;START_MAXIMIZED=FALSE&amp;VAR:CALENDAR=US&amp;VAR:SYMBOL=98433210&amp;VAR:INDEX=0"}</definedName>
    <definedName name="_8548__FDSAUDITLINK__">{"fdsup://directions/FAT Viewer?action=UPDATE&amp;creator=factset&amp;DYN_ARGS=TRUE&amp;DOC_NAME=FAT:FQL_AUDITING_CLIENT_TEMPLATE.FAT&amp;display_string=Audit&amp;VAR:KEY=ZULAZKVQXS&amp;VAR:QUERY=KFBfUFJJQ0UoMzk4MTEpLShGRl9DQVNIX1NUKFFUUiwzOTgxMSkvUF9DT01fU0hTX09VVCgzOTgxMSkpKS9GR","V9FU1RJTUFURSgnRVBTJywnTUVBTicsJ0FOTlVBTF9ST0xMJywnKzEnLDM5ODExLCwsJycp&amp;WINDOW=FIRST_POPUP&amp;HEIGHT=450&amp;WIDTH=450&amp;START_MAXIMIZED=FALSE&amp;VAR:CALENDAR=US&amp;VAR:SYMBOL=98433210&amp;VAR:INDEX=0"}</definedName>
    <definedName name="_8549__FDSAUDITLINK__">{"fdsup://directions/FAT Viewer?action=UPDATE&amp;creator=factset&amp;DYN_ARGS=TRUE&amp;DOC_NAME=FAT:FQL_AUDITING_CLIENT_TEMPLATE.FAT&amp;display_string=Audit&amp;VAR:KEY=ZULAZKVQXS&amp;VAR:QUERY=KFBfUFJJQ0UoMzk4MTEpLShGRl9DQVNIX1NUKFFUUiwzOTgxMSkvUF9DT01fU0hTX09VVCgzOTgxMSkpKS9GR","V9FU1RJTUFURSgnRVBTJywnTUVBTicsJ0FOTlVBTF9ST0xMJywnKzEnLDM5ODExLCwsJycp&amp;WINDOW=FIRST_POPUP&amp;HEIGHT=450&amp;WIDTH=450&amp;START_MAXIMIZED=FALSE&amp;VAR:CALENDAR=US&amp;VAR:SYMBOL=98433210&amp;VAR:INDEX=0"}</definedName>
    <definedName name="_85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935"}</definedName>
    <definedName name="_8550__FDSAUDITLINK__">{"fdsup://directions/FAT Viewer?action=UPDATE&amp;creator=factset&amp;DYN_ARGS=TRUE&amp;DOC_NAME=FAT:FQL_AUDITING_CLIENT_TEMPLATE.FAT&amp;display_string=Audit&amp;VAR:KEY=ZYZIHAZMXM&amp;VAR:QUERY=KFBfUFJJQ0UoMzk4MTApLShGRl9DQVNIX1NUKFFUUiwzOTgxMCkvUF9DT01fU0hTX09VVCgzOTgxMCkpKS9GR","V9FU1RJTUFURSgnRVBTJywnTUVBTicsJ0FOTlVBTF9ST0xMJywnKzEnLDM5ODEwLCwsJycp&amp;WINDOW=FIRST_POPUP&amp;HEIGHT=450&amp;WIDTH=450&amp;START_MAXIMIZED=FALSE&amp;VAR:CALENDAR=US&amp;VAR:SYMBOL=98433210&amp;VAR:INDEX=0"}</definedName>
    <definedName name="_8551__FDSAUDITLINK__">{"fdsup://directions/FAT Viewer?action=UPDATE&amp;creator=factset&amp;DYN_ARGS=TRUE&amp;DOC_NAME=FAT:FQL_AUDITING_CLIENT_TEMPLATE.FAT&amp;display_string=Audit&amp;VAR:KEY=ZYZIHAZMXM&amp;VAR:QUERY=KFBfUFJJQ0UoMzk4MTApLShGRl9DQVNIX1NUKFFUUiwzOTgxMCkvUF9DT01fU0hTX09VVCgzOTgxMCkpKS9GR","V9FU1RJTUFURSgnRVBTJywnTUVBTicsJ0FOTlVBTF9ST0xMJywnKzEnLDM5ODEwLCwsJycp&amp;WINDOW=FIRST_POPUP&amp;HEIGHT=450&amp;WIDTH=450&amp;START_MAXIMIZED=FALSE&amp;VAR:CALENDAR=US&amp;VAR:SYMBOL=98433210&amp;VAR:INDEX=0"}</definedName>
    <definedName name="_8552__FDSAUDITLINK__">{"fdsup://directions/FAT Viewer?action=UPDATE&amp;creator=factset&amp;DYN_ARGS=TRUE&amp;DOC_NAME=FAT:FQL_AUDITING_CLIENT_TEMPLATE.FAT&amp;display_string=Audit&amp;VAR:KEY=JSHKJENMVG&amp;VAR:QUERY=KFBfUFJJQ0UoMzk4MDkpLShGRl9DQVNIX1NUKFFUUiwzOTgwOSkvUF9DT01fU0hTX09VVCgzOTgwOSkpKS9GR","V9FU1RJTUFURSgnRVBTJywnTUVBTicsJ0FOTlVBTF9ST0xMJywnKzEnLDM5ODA5LCwsJycp&amp;WINDOW=FIRST_POPUP&amp;HEIGHT=450&amp;WIDTH=450&amp;START_MAXIMIZED=FALSE&amp;VAR:CALENDAR=US&amp;VAR:SYMBOL=98433210&amp;VAR:INDEX=0"}</definedName>
    <definedName name="_8553__FDSAUDITLINK__">{"fdsup://directions/FAT Viewer?action=UPDATE&amp;creator=factset&amp;DYN_ARGS=TRUE&amp;DOC_NAME=FAT:FQL_AUDITING_CLIENT_TEMPLATE.FAT&amp;display_string=Audit&amp;VAR:KEY=JSHKJENMVG&amp;VAR:QUERY=KFBfUFJJQ0UoMzk4MDkpLShGRl9DQVNIX1NUKFFUUiwzOTgwOSkvUF9DT01fU0hTX09VVCgzOTgwOSkpKS9GR","V9FU1RJTUFURSgnRVBTJywnTUVBTicsJ0FOTlVBTF9ST0xMJywnKzEnLDM5ODA5LCwsJycp&amp;WINDOW=FIRST_POPUP&amp;HEIGHT=450&amp;WIDTH=450&amp;START_MAXIMIZED=FALSE&amp;VAR:CALENDAR=US&amp;VAR:SYMBOL=98433210&amp;VAR:INDEX=0"}</definedName>
    <definedName name="_8554__FDSAUDITLINK__">{"fdsup://directions/FAT Viewer?action=UPDATE&amp;creator=factset&amp;DYN_ARGS=TRUE&amp;DOC_NAME=FAT:FQL_AUDITING_CLIENT_TEMPLATE.FAT&amp;display_string=Audit&amp;VAR:KEY=TWPCDAVORA&amp;VAR:QUERY=KFBfUFJJQ0UoMzk4MDgpLShGRl9DQVNIX1NUKFFUUiwzOTgwOCkvUF9DT01fU0hTX09VVCgzOTgwOCkpKS9GR","V9FU1RJTUFURSgnRVBTJywnTUVBTicsJ0FOTlVBTF9ST0xMJywnKzEnLDM5ODA4LCwsJycp&amp;WINDOW=FIRST_POPUP&amp;HEIGHT=450&amp;WIDTH=450&amp;START_MAXIMIZED=FALSE&amp;VAR:CALENDAR=US&amp;VAR:SYMBOL=98433210&amp;VAR:INDEX=0"}</definedName>
    <definedName name="_8555__FDSAUDITLINK__">{"fdsup://directions/FAT Viewer?action=UPDATE&amp;creator=factset&amp;DYN_ARGS=TRUE&amp;DOC_NAME=FAT:FQL_AUDITING_CLIENT_TEMPLATE.FAT&amp;display_string=Audit&amp;VAR:KEY=TWPCDAVORA&amp;VAR:QUERY=KFBfUFJJQ0UoMzk4MDgpLShGRl9DQVNIX1NUKFFUUiwzOTgwOCkvUF9DT01fU0hTX09VVCgzOTgwOCkpKS9GR","V9FU1RJTUFURSgnRVBTJywnTUVBTicsJ0FOTlVBTF9ST0xMJywnKzEnLDM5ODA4LCwsJycp&amp;WINDOW=FIRST_POPUP&amp;HEIGHT=450&amp;WIDTH=450&amp;START_MAXIMIZED=FALSE&amp;VAR:CALENDAR=US&amp;VAR:SYMBOL=98433210&amp;VAR:INDEX=0"}</definedName>
    <definedName name="_8556__FDSAUDITLINK__">{"fdsup://directions/FAT Viewer?action=UPDATE&amp;creator=factset&amp;DYN_ARGS=TRUE&amp;DOC_NAME=FAT:FQL_AUDITING_CLIENT_TEMPLATE.FAT&amp;display_string=Audit&amp;VAR:KEY=TWDGBSPUZK&amp;VAR:QUERY=KFBfUFJJQ0UoMzk4MDcpLShGRl9DQVNIX1NUKFFUUiwzOTgwNykvUF9DT01fU0hTX09VVCgzOTgwNykpKS9GR","V9FU1RJTUFURSgnRVBTJywnTUVBTicsJ0FOTlVBTF9ST0xMJywnKzEnLDM5ODA3LCwsJycp&amp;WINDOW=FIRST_POPUP&amp;HEIGHT=450&amp;WIDTH=450&amp;START_MAXIMIZED=FALSE&amp;VAR:CALENDAR=US&amp;VAR:SYMBOL=98433210&amp;VAR:INDEX=0"}</definedName>
    <definedName name="_8557__FDSAUDITLINK__">{"fdsup://directions/FAT Viewer?action=UPDATE&amp;creator=factset&amp;DYN_ARGS=TRUE&amp;DOC_NAME=FAT:FQL_AUDITING_CLIENT_TEMPLATE.FAT&amp;display_string=Audit&amp;VAR:KEY=TWDGBSPUZK&amp;VAR:QUERY=KFBfUFJJQ0UoMzk4MDcpLShGRl9DQVNIX1NUKFFUUiwzOTgwNykvUF9DT01fU0hTX09VVCgzOTgwNykpKS9GR","V9FU1RJTUFURSgnRVBTJywnTUVBTicsJ0FOTlVBTF9ST0xMJywnKzEnLDM5ODA3LCwsJycp&amp;WINDOW=FIRST_POPUP&amp;HEIGHT=450&amp;WIDTH=450&amp;START_MAXIMIZED=FALSE&amp;VAR:CALENDAR=US&amp;VAR:SYMBOL=98433210&amp;VAR:INDEX=0"}</definedName>
    <definedName name="_8558__FDSAUDITLINK__">{"fdsup://directions/FAT Viewer?action=UPDATE&amp;creator=factset&amp;DYN_ARGS=TRUE&amp;DOC_NAME=FAT:FQL_AUDITING_CLIENT_TEMPLATE.FAT&amp;display_string=Audit&amp;VAR:KEY=JMPABWLURO&amp;VAR:QUERY=KFBfUFJJQ0UoMzk4MDYpLShGRl9DQVNIX1NUKFFUUiwzOTgwNikvUF9DT01fU0hTX09VVCgzOTgwNikpKS9GR","V9FU1RJTUFURSgnRVBTJywnTUVBTicsJ0FOTlVBTF9ST0xMJywnKzEnLDM5ODA2LCwsJycp&amp;WINDOW=FIRST_POPUP&amp;HEIGHT=450&amp;WIDTH=450&amp;START_MAXIMIZED=FALSE&amp;VAR:CALENDAR=US&amp;VAR:SYMBOL=98433210&amp;VAR:INDEX=0"}</definedName>
    <definedName name="_8559__FDSAUDITLINK__">{"fdsup://directions/FAT Viewer?action=UPDATE&amp;creator=factset&amp;DYN_ARGS=TRUE&amp;DOC_NAME=FAT:FQL_AUDITING_CLIENT_TEMPLATE.FAT&amp;display_string=Audit&amp;VAR:KEY=JMPABWLURO&amp;VAR:QUERY=KFBfUFJJQ0UoMzk4MDYpLShGRl9DQVNIX1NUKFFUUiwzOTgwNikvUF9DT01fU0hTX09VVCgzOTgwNikpKS9GR","V9FU1RJTUFURSgnRVBTJywnTUVBTicsJ0FOTlVBTF9ST0xMJywnKzEnLDM5ODA2LCwsJycp&amp;WINDOW=FIRST_POPUP&amp;HEIGHT=450&amp;WIDTH=450&amp;START_MAXIMIZED=FALSE&amp;VAR:CALENDAR=US&amp;VAR:SYMBOL=98433210&amp;VAR:INDEX=0"}</definedName>
    <definedName name="_85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934"}</definedName>
    <definedName name="_8560__FDSAUDITLINK__">{"fdsup://directions/FAT Viewer?action=UPDATE&amp;creator=factset&amp;DYN_ARGS=TRUE&amp;DOC_NAME=FAT:FQL_AUDITING_CLIENT_TEMPLATE.FAT&amp;display_string=Audit&amp;VAR:KEY=PIFGVCHIBI&amp;VAR:QUERY=KFBfUFJJQ0UoMzk4MDUpLShGRl9DQVNIX1NUKFFUUiwzOTgwNSkvUF9DT01fU0hTX09VVCgzOTgwNSkpKS9GR","V9FU1RJTUFURSgnRVBTJywnTUVBTicsJ0FOTlVBTF9ST0xMJywnKzEnLDM5ODA1LCwsJycp&amp;WINDOW=FIRST_POPUP&amp;HEIGHT=450&amp;WIDTH=450&amp;START_MAXIMIZED=FALSE&amp;VAR:CALENDAR=US&amp;VAR:SYMBOL=98433210&amp;VAR:INDEX=0"}</definedName>
    <definedName name="_8561__FDSAUDITLINK__">{"fdsup://directions/FAT Viewer?action=UPDATE&amp;creator=factset&amp;DYN_ARGS=TRUE&amp;DOC_NAME=FAT:FQL_AUDITING_CLIENT_TEMPLATE.FAT&amp;display_string=Audit&amp;VAR:KEY=PIFGVCHIBI&amp;VAR:QUERY=KFBfUFJJQ0UoMzk4MDUpLShGRl9DQVNIX1NUKFFUUiwzOTgwNSkvUF9DT01fU0hTX09VVCgzOTgwNSkpKS9GR","V9FU1RJTUFURSgnRVBTJywnTUVBTicsJ0FOTlVBTF9ST0xMJywnKzEnLDM5ODA1LCwsJycp&amp;WINDOW=FIRST_POPUP&amp;HEIGHT=450&amp;WIDTH=450&amp;START_MAXIMIZED=FALSE&amp;VAR:CALENDAR=US&amp;VAR:SYMBOL=98433210&amp;VAR:INDEX=0"}</definedName>
    <definedName name="_8562__FDSAUDITLINK__">{"fdsup://directions/FAT Viewer?action=UPDATE&amp;creator=factset&amp;DYN_ARGS=TRUE&amp;DOC_NAME=FAT:FQL_AUDITING_CLIENT_TEMPLATE.FAT&amp;display_string=Audit&amp;VAR:KEY=NYLYNKBCHW&amp;VAR:QUERY=KFBfUFJJQ0UoMzk4MDQpLShGRl9DQVNIX1NUKFFUUiwzOTgwNCkvUF9DT01fU0hTX09VVCgzOTgwNCkpKS9GR","V9FU1RJTUFURSgnRVBTJywnTUVBTicsJ0FOTlVBTF9ST0xMJywnKzEnLDM5ODA0LCwsJycp&amp;WINDOW=FIRST_POPUP&amp;HEIGHT=450&amp;WIDTH=450&amp;START_MAXIMIZED=FALSE&amp;VAR:CALENDAR=US&amp;VAR:SYMBOL=98433210&amp;VAR:INDEX=0"}</definedName>
    <definedName name="_8563__FDSAUDITLINK__">{"fdsup://directions/FAT Viewer?action=UPDATE&amp;creator=factset&amp;DYN_ARGS=TRUE&amp;DOC_NAME=FAT:FQL_AUDITING_CLIENT_TEMPLATE.FAT&amp;display_string=Audit&amp;VAR:KEY=NYLYNKBCHW&amp;VAR:QUERY=KFBfUFJJQ0UoMzk4MDQpLShGRl9DQVNIX1NUKFFUUiwzOTgwNCkvUF9DT01fU0hTX09VVCgzOTgwNCkpKS9GR","V9FU1RJTUFURSgnRVBTJywnTUVBTicsJ0FOTlVBTF9ST0xMJywnKzEnLDM5ODA0LCwsJycp&amp;WINDOW=FIRST_POPUP&amp;HEIGHT=450&amp;WIDTH=450&amp;START_MAXIMIZED=FALSE&amp;VAR:CALENDAR=US&amp;VAR:SYMBOL=98433210&amp;VAR:INDEX=0"}</definedName>
    <definedName name="_8564__FDSAUDITLINK__">{"fdsup://directions/FAT Viewer?action=UPDATE&amp;creator=factset&amp;DYN_ARGS=TRUE&amp;DOC_NAME=FAT:FQL_AUDITING_CLIENT_TEMPLATE.FAT&amp;display_string=Audit&amp;VAR:KEY=REXEFYJGZG&amp;VAR:QUERY=KFBfUFJJQ0UoMzk4MDMpLShGRl9DQVNIX1NUKFFUUiwzOTgwMykvUF9DT01fU0hTX09VVCgzOTgwMykpKS9GR","V9FU1RJTUFURSgnRVBTJywnTUVBTicsJ0FOTlVBTF9ST0xMJywnKzEnLDM5ODAzLCwsJycp&amp;WINDOW=FIRST_POPUP&amp;HEIGHT=450&amp;WIDTH=450&amp;START_MAXIMIZED=FALSE&amp;VAR:CALENDAR=US&amp;VAR:SYMBOL=98433210&amp;VAR:INDEX=0"}</definedName>
    <definedName name="_8565__FDSAUDITLINK__">{"fdsup://directions/FAT Viewer?action=UPDATE&amp;creator=factset&amp;DYN_ARGS=TRUE&amp;DOC_NAME=FAT:FQL_AUDITING_CLIENT_TEMPLATE.FAT&amp;display_string=Audit&amp;VAR:KEY=REXEFYJGZG&amp;VAR:QUERY=KFBfUFJJQ0UoMzk4MDMpLShGRl9DQVNIX1NUKFFUUiwzOTgwMykvUF9DT01fU0hTX09VVCgzOTgwMykpKS9GR","V9FU1RJTUFURSgnRVBTJywnTUVBTicsJ0FOTlVBTF9ST0xMJywnKzEnLDM5ODAzLCwsJycp&amp;WINDOW=FIRST_POPUP&amp;HEIGHT=450&amp;WIDTH=450&amp;START_MAXIMIZED=FALSE&amp;VAR:CALENDAR=US&amp;VAR:SYMBOL=98433210&amp;VAR:INDEX=0"}</definedName>
    <definedName name="_8566__FDSAUDITLINK__">{"fdsup://directions/FAT Viewer?action=UPDATE&amp;creator=factset&amp;DYN_ARGS=TRUE&amp;DOC_NAME=FAT:FQL_AUDITING_CLIENT_TEMPLATE.FAT&amp;display_string=Audit&amp;VAR:KEY=LWFKPYZQFS&amp;VAR:QUERY=KFBfUFJJQ0UoMzk4MDIpLShGRl9DQVNIX1NUKFFUUiwzOTgwMikvUF9DT01fU0hTX09VVCgzOTgwMikpKS9GR","V9FU1RJTUFURSgnRVBTJywnTUVBTicsJ0FOTlVBTF9ST0xMJywnKzEnLDM5ODAyLCwsJycp&amp;WINDOW=FIRST_POPUP&amp;HEIGHT=450&amp;WIDTH=450&amp;START_MAXIMIZED=FALSE&amp;VAR:CALENDAR=US&amp;VAR:SYMBOL=98433210&amp;VAR:INDEX=0"}</definedName>
    <definedName name="_8567__FDSAUDITLINK__">{"fdsup://directions/FAT Viewer?action=UPDATE&amp;creator=factset&amp;DYN_ARGS=TRUE&amp;DOC_NAME=FAT:FQL_AUDITING_CLIENT_TEMPLATE.FAT&amp;display_string=Audit&amp;VAR:KEY=LWFKPYZQFS&amp;VAR:QUERY=KFBfUFJJQ0UoMzk4MDIpLShGRl9DQVNIX1NUKFFUUiwzOTgwMikvUF9DT01fU0hTX09VVCgzOTgwMikpKS9GR","V9FU1RJTUFURSgnRVBTJywnTUVBTicsJ0FOTlVBTF9ST0xMJywnKzEnLDM5ODAyLCwsJycp&amp;WINDOW=FIRST_POPUP&amp;HEIGHT=450&amp;WIDTH=450&amp;START_MAXIMIZED=FALSE&amp;VAR:CALENDAR=US&amp;VAR:SYMBOL=98433210&amp;VAR:INDEX=0"}</definedName>
    <definedName name="_8568__FDSAUDITLINK__">{"fdsup://directions/FAT Viewer?action=UPDATE&amp;creator=factset&amp;DYN_ARGS=TRUE&amp;DOC_NAME=FAT:FQL_AUDITING_CLIENT_TEMPLATE.FAT&amp;display_string=Audit&amp;VAR:KEY=ZUDEFERMLY&amp;VAR:QUERY=KFBfUFJJQ0UoMzk4MDEpLShGRl9DQVNIX1NUKFFUUiwzOTgwMSkvUF9DT01fU0hTX09VVCgzOTgwMSkpKS9GR","V9FU1RJTUFURSgnRVBTJywnTUVBTicsJ0FOTlVBTF9ST0xMJywnKzEnLDM5ODAxLCwsJycp&amp;WINDOW=FIRST_POPUP&amp;HEIGHT=450&amp;WIDTH=450&amp;START_MAXIMIZED=FALSE&amp;VAR:CALENDAR=US&amp;VAR:SYMBOL=98433210&amp;VAR:INDEX=0"}</definedName>
    <definedName name="_8569__FDSAUDITLINK__">{"fdsup://directions/FAT Viewer?action=UPDATE&amp;creator=factset&amp;DYN_ARGS=TRUE&amp;DOC_NAME=FAT:FQL_AUDITING_CLIENT_TEMPLATE.FAT&amp;display_string=Audit&amp;VAR:KEY=ZUDEFERMLY&amp;VAR:QUERY=KFBfUFJJQ0UoMzk4MDEpLShGRl9DQVNIX1NUKFFUUiwzOTgwMSkvUF9DT01fU0hTX09VVCgzOTgwMSkpKS9GR","V9FU1RJTUFURSgnRVBTJywnTUVBTicsJ0FOTlVBTF9ST0xMJywnKzEnLDM5ODAxLCwsJycp&amp;WINDOW=FIRST_POPUP&amp;HEIGHT=450&amp;WIDTH=450&amp;START_MAXIMIZED=FALSE&amp;VAR:CALENDAR=US&amp;VAR:SYMBOL=98433210&amp;VAR:INDEX=0"}</definedName>
    <definedName name="_85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933"}</definedName>
    <definedName name="_8570__FDSAUDITLINK__">{"fdsup://directions/FAT Viewer?action=UPDATE&amp;creator=factset&amp;DYN_ARGS=TRUE&amp;DOC_NAME=FAT:FQL_AUDITING_CLIENT_TEMPLATE.FAT&amp;display_string=Audit&amp;VAR:KEY=XELGNGBGLO&amp;VAR:QUERY=KFBfUFJJQ0UoMzk4MDApLShGRl9DQVNIX1NUKFFUUiwzOTgwMCkvUF9DT01fU0hTX09VVCgzOTgwMCkpKS9GR","V9FU1RJTUFURSgnRVBTJywnTUVBTicsJ0FOTlVBTF9ST0xMJywnKzEnLDM5ODAwLCwsJycp&amp;WINDOW=FIRST_POPUP&amp;HEIGHT=450&amp;WIDTH=450&amp;START_MAXIMIZED=FALSE&amp;VAR:CALENDAR=US&amp;VAR:SYMBOL=98433210&amp;VAR:INDEX=0"}</definedName>
    <definedName name="_8571__FDSAUDITLINK__">{"fdsup://directions/FAT Viewer?action=UPDATE&amp;creator=factset&amp;DYN_ARGS=TRUE&amp;DOC_NAME=FAT:FQL_AUDITING_CLIENT_TEMPLATE.FAT&amp;display_string=Audit&amp;VAR:KEY=XELGNGBGLO&amp;VAR:QUERY=KFBfUFJJQ0UoMzk4MDApLShGRl9DQVNIX1NUKFFUUiwzOTgwMCkvUF9DT01fU0hTX09VVCgzOTgwMCkpKS9GR","V9FU1RJTUFURSgnRVBTJywnTUVBTicsJ0FOTlVBTF9ST0xMJywnKzEnLDM5ODAwLCwsJycp&amp;WINDOW=FIRST_POPUP&amp;HEIGHT=450&amp;WIDTH=450&amp;START_MAXIMIZED=FALSE&amp;VAR:CALENDAR=US&amp;VAR:SYMBOL=98433210&amp;VAR:INDEX=0"}</definedName>
    <definedName name="_8572__FDSAUDITLINK__">{"fdsup://directions/FAT Viewer?action=UPDATE&amp;creator=factset&amp;DYN_ARGS=TRUE&amp;DOC_NAME=FAT:FQL_AUDITING_CLIENT_TEMPLATE.FAT&amp;display_string=Audit&amp;VAR:KEY=DYPQLYLADC&amp;VAR:QUERY=KFBfUFJJQ0UoMzk3OTkpLShGRl9DQVNIX1NUKFFUUiwzOTc5OSkvUF9DT01fU0hTX09VVCgzOTc5OSkpKS9GR","V9FU1RJTUFURSgnRVBTJywnTUVBTicsJ0FOTlVBTF9ST0xMJywnKzEnLDM5Nzk5LCwsJycp&amp;WINDOW=FIRST_POPUP&amp;HEIGHT=450&amp;WIDTH=450&amp;START_MAXIMIZED=FALSE&amp;VAR:CALENDAR=US&amp;VAR:SYMBOL=98433210&amp;VAR:INDEX=0"}</definedName>
    <definedName name="_8573__FDSAUDITLINK__">{"fdsup://directions/FAT Viewer?action=UPDATE&amp;creator=factset&amp;DYN_ARGS=TRUE&amp;DOC_NAME=FAT:FQL_AUDITING_CLIENT_TEMPLATE.FAT&amp;display_string=Audit&amp;VAR:KEY=DYPQLYLADC&amp;VAR:QUERY=KFBfUFJJQ0UoMzk3OTkpLShGRl9DQVNIX1NUKFFUUiwzOTc5OSkvUF9DT01fU0hTX09VVCgzOTc5OSkpKS9GR","V9FU1RJTUFURSgnRVBTJywnTUVBTicsJ0FOTlVBTF9ST0xMJywnKzEnLDM5Nzk5LCwsJycp&amp;WINDOW=FIRST_POPUP&amp;HEIGHT=450&amp;WIDTH=450&amp;START_MAXIMIZED=FALSE&amp;VAR:CALENDAR=US&amp;VAR:SYMBOL=98433210&amp;VAR:INDEX=0"}</definedName>
    <definedName name="_8574__FDSAUDITLINK__">{"fdsup://directions/FAT Viewer?action=UPDATE&amp;creator=factset&amp;DYN_ARGS=TRUE&amp;DOC_NAME=FAT:FQL_AUDITING_CLIENT_TEMPLATE.FAT&amp;display_string=Audit&amp;VAR:KEY=JIFKDMTUBE&amp;VAR:QUERY=KFBfUFJJQ0UoMzk3OTgpLShGRl9DQVNIX1NUKFFUUiwzOTc5OCkvUF9DT01fU0hTX09VVCgzOTc5OCkpKS9GR","V9FU1RJTUFURSgnRVBTJywnTUVBTicsJ0FOTlVBTF9ST0xMJywnKzEnLDM5Nzk4LCwsJycp&amp;WINDOW=FIRST_POPUP&amp;HEIGHT=450&amp;WIDTH=450&amp;START_MAXIMIZED=FALSE&amp;VAR:CALENDAR=US&amp;VAR:SYMBOL=98433210&amp;VAR:INDEX=0"}</definedName>
    <definedName name="_8575__FDSAUDITLINK__">{"fdsup://directions/FAT Viewer?action=UPDATE&amp;creator=factset&amp;DYN_ARGS=TRUE&amp;DOC_NAME=FAT:FQL_AUDITING_CLIENT_TEMPLATE.FAT&amp;display_string=Audit&amp;VAR:KEY=JIFKDMTUBE&amp;VAR:QUERY=KFBfUFJJQ0UoMzk3OTgpLShGRl9DQVNIX1NUKFFUUiwzOTc5OCkvUF9DT01fU0hTX09VVCgzOTc5OCkpKS9GR","V9FU1RJTUFURSgnRVBTJywnTUVBTicsJ0FOTlVBTF9ST0xMJywnKzEnLDM5Nzk4LCwsJycp&amp;WINDOW=FIRST_POPUP&amp;HEIGHT=450&amp;WIDTH=450&amp;START_MAXIMIZED=FALSE&amp;VAR:CALENDAR=US&amp;VAR:SYMBOL=98433210&amp;VAR:INDEX=0"}</definedName>
    <definedName name="_8576__FDSAUDITLINK__">{"fdsup://directions/FAT Viewer?action=UPDATE&amp;creator=factset&amp;DYN_ARGS=TRUE&amp;DOC_NAME=FAT:FQL_AUDITING_CLIENT_TEMPLATE.FAT&amp;display_string=Audit&amp;VAR:KEY=DKLMBSLCFA&amp;VAR:QUERY=KFBfUFJJQ0UoMzk3OTcpLShGRl9DQVNIX1NUKFFUUiwzOTc5NykvUF9DT01fU0hTX09VVCgzOTc5NykpKS9GR","V9FU1RJTUFURSgnRVBTJywnTUVBTicsJ0FOTlVBTF9ST0xMJywnKzEnLDM5Nzk3LCwsJycp&amp;WINDOW=FIRST_POPUP&amp;HEIGHT=450&amp;WIDTH=450&amp;START_MAXIMIZED=FALSE&amp;VAR:CALENDAR=US&amp;VAR:SYMBOL=98433210&amp;VAR:INDEX=0"}</definedName>
    <definedName name="_8577__FDSAUDITLINK__">{"fdsup://directions/FAT Viewer?action=UPDATE&amp;creator=factset&amp;DYN_ARGS=TRUE&amp;DOC_NAME=FAT:FQL_AUDITING_CLIENT_TEMPLATE.FAT&amp;display_string=Audit&amp;VAR:KEY=DKLMBSLCFA&amp;VAR:QUERY=KFBfUFJJQ0UoMzk3OTcpLShGRl9DQVNIX1NUKFFUUiwzOTc5NykvUF9DT01fU0hTX09VVCgzOTc5NykpKS9GR","V9FU1RJTUFURSgnRVBTJywnTUVBTicsJ0FOTlVBTF9ST0xMJywnKzEnLDM5Nzk3LCwsJycp&amp;WINDOW=FIRST_POPUP&amp;HEIGHT=450&amp;WIDTH=450&amp;START_MAXIMIZED=FALSE&amp;VAR:CALENDAR=US&amp;VAR:SYMBOL=98433210&amp;VAR:INDEX=0"}</definedName>
    <definedName name="_8578__FDSAUDITLINK__">{"fdsup://directions/FAT Viewer?action=UPDATE&amp;creator=factset&amp;DYN_ARGS=TRUE&amp;DOC_NAME=FAT:FQL_AUDITING_CLIENT_TEMPLATE.FAT&amp;display_string=Audit&amp;VAR:KEY=NSFYVKVUZI&amp;VAR:QUERY=KFBfUFJJQ0UoMzk3OTYpLShGRl9DQVNIX1NUKFFUUiwzOTc5NikvUF9DT01fU0hTX09VVCgzOTc5NikpKS9GR","V9FU1RJTUFURSgnRVBTJywnTUVBTicsJ0FOTlVBTF9ST0xMJywnKzEnLDM5Nzk2LCwsJycp&amp;WINDOW=FIRST_POPUP&amp;HEIGHT=450&amp;WIDTH=450&amp;START_MAXIMIZED=FALSE&amp;VAR:CALENDAR=US&amp;VAR:SYMBOL=98433210&amp;VAR:INDEX=0"}</definedName>
    <definedName name="_8579__FDSAUDITLINK__">{"fdsup://directions/FAT Viewer?action=UPDATE&amp;creator=factset&amp;DYN_ARGS=TRUE&amp;DOC_NAME=FAT:FQL_AUDITING_CLIENT_TEMPLATE.FAT&amp;display_string=Audit&amp;VAR:KEY=NSFYVKVUZI&amp;VAR:QUERY=KFBfUFJJQ0UoMzk3OTYpLShGRl9DQVNIX1NUKFFUUiwzOTc5NikvUF9DT01fU0hTX09VVCgzOTc5NikpKS9GR","V9FU1RJTUFURSgnRVBTJywnTUVBTicsJ0FOTlVBTF9ST0xMJywnKzEnLDM5Nzk2LCwsJycp&amp;WINDOW=FIRST_POPUP&amp;HEIGHT=450&amp;WIDTH=450&amp;START_MAXIMIZED=FALSE&amp;VAR:CALENDAR=US&amp;VAR:SYMBOL=98433210&amp;VAR:INDEX=0"}</definedName>
    <definedName name="_85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932"}</definedName>
    <definedName name="_8580__FDSAUDITLINK__">{"fdsup://directions/FAT Viewer?action=UPDATE&amp;creator=factset&amp;DYN_ARGS=TRUE&amp;DOC_NAME=FAT:FQL_AUDITING_CLIENT_TEMPLATE.FAT&amp;display_string=Audit&amp;VAR:KEY=LMNMTEVCRG&amp;VAR:QUERY=KFBfUFJJQ0UoMzk3OTUpLShGRl9DQVNIX1NUKFFUUiwzOTc5NSkvUF9DT01fU0hTX09VVCgzOTc5NSkpKS9GR","V9FU1RJTUFURSgnRVBTJywnTUVBTicsJ0FOTlVBTF9ST0xMJywnKzEnLDM5Nzk1LCwsJycp&amp;WINDOW=FIRST_POPUP&amp;HEIGHT=450&amp;WIDTH=450&amp;START_MAXIMIZED=FALSE&amp;VAR:CALENDAR=US&amp;VAR:SYMBOL=98433210&amp;VAR:INDEX=0"}</definedName>
    <definedName name="_8581__FDSAUDITLINK__">{"fdsup://directions/FAT Viewer?action=UPDATE&amp;creator=factset&amp;DYN_ARGS=TRUE&amp;DOC_NAME=FAT:FQL_AUDITING_CLIENT_TEMPLATE.FAT&amp;display_string=Audit&amp;VAR:KEY=LMNMTEVCRG&amp;VAR:QUERY=KFBfUFJJQ0UoMzk3OTUpLShGRl9DQVNIX1NUKFFUUiwzOTc5NSkvUF9DT01fU0hTX09VVCgzOTc5NSkpKS9GR","V9FU1RJTUFURSgnRVBTJywnTUVBTicsJ0FOTlVBTF9ST0xMJywnKzEnLDM5Nzk1LCwsJycp&amp;WINDOW=FIRST_POPUP&amp;HEIGHT=450&amp;WIDTH=450&amp;START_MAXIMIZED=FALSE&amp;VAR:CALENDAR=US&amp;VAR:SYMBOL=98433210&amp;VAR:INDEX=0"}</definedName>
    <definedName name="_8582__FDSAUDITLINK__">{"fdsup://directions/FAT Viewer?action=UPDATE&amp;creator=factset&amp;DYN_ARGS=TRUE&amp;DOC_NAME=FAT:FQL_AUDITING_CLIENT_TEMPLATE.FAT&amp;display_string=Audit&amp;VAR:KEY=RMRGFAFSVY&amp;VAR:QUERY=KFBfUFJJQ0UoMzk3OTQpLShGRl9DQVNIX1NUKFFUUiwzOTc5NCkvUF9DT01fU0hTX09VVCgzOTc5NCkpKS9GR","V9FU1RJTUFURSgnRVBTJywnTUVBTicsJ0FOTlVBTF9ST0xMJywnKzEnLDM5Nzk0LCwsJycp&amp;WINDOW=FIRST_POPUP&amp;HEIGHT=450&amp;WIDTH=450&amp;START_MAXIMIZED=FALSE&amp;VAR:CALENDAR=US&amp;VAR:SYMBOL=98433210&amp;VAR:INDEX=0"}</definedName>
    <definedName name="_8583__FDSAUDITLINK__">{"fdsup://directions/FAT Viewer?action=UPDATE&amp;creator=factset&amp;DYN_ARGS=TRUE&amp;DOC_NAME=FAT:FQL_AUDITING_CLIENT_TEMPLATE.FAT&amp;display_string=Audit&amp;VAR:KEY=RMRGFAFSVY&amp;VAR:QUERY=KFBfUFJJQ0UoMzk3OTQpLShGRl9DQVNIX1NUKFFUUiwzOTc5NCkvUF9DT01fU0hTX09VVCgzOTc5NCkpKS9GR","V9FU1RJTUFURSgnRVBTJywnTUVBTicsJ0FOTlVBTF9ST0xMJywnKzEnLDM5Nzk0LCwsJycp&amp;WINDOW=FIRST_POPUP&amp;HEIGHT=450&amp;WIDTH=450&amp;START_MAXIMIZED=FALSE&amp;VAR:CALENDAR=US&amp;VAR:SYMBOL=98433210&amp;VAR:INDEX=0"}</definedName>
    <definedName name="_8584__FDSAUDITLINK__">{"fdsup://directions/FAT Viewer?action=UPDATE&amp;creator=factset&amp;DYN_ARGS=TRUE&amp;DOC_NAME=FAT:FQL_AUDITING_CLIENT_TEMPLATE.FAT&amp;display_string=Audit&amp;VAR:KEY=TSHGBSTUXI&amp;VAR:QUERY=KFBfUFJJQ0UoMzk3OTMpLShGRl9DQVNIX1NUKFFUUiwzOTc5MykvUF9DT01fU0hTX09VVCgzOTc5MykpKS9GR","V9FU1RJTUFURSgnRVBTJywnTUVBTicsJ0FOTlVBTF9ST0xMJywnKzEnLDM5NzkzLCwsJycp&amp;WINDOW=FIRST_POPUP&amp;HEIGHT=450&amp;WIDTH=450&amp;START_MAXIMIZED=FALSE&amp;VAR:CALENDAR=US&amp;VAR:SYMBOL=98433210&amp;VAR:INDEX=0"}</definedName>
    <definedName name="_8585__FDSAUDITLINK__">{"fdsup://directions/FAT Viewer?action=UPDATE&amp;creator=factset&amp;DYN_ARGS=TRUE&amp;DOC_NAME=FAT:FQL_AUDITING_CLIENT_TEMPLATE.FAT&amp;display_string=Audit&amp;VAR:KEY=TSHGBSTUXI&amp;VAR:QUERY=KFBfUFJJQ0UoMzk3OTMpLShGRl9DQVNIX1NUKFFUUiwzOTc5MykvUF9DT01fU0hTX09VVCgzOTc5MykpKS9GR","V9FU1RJTUFURSgnRVBTJywnTUVBTicsJ0FOTlVBTF9ST0xMJywnKzEnLDM5NzkzLCwsJycp&amp;WINDOW=FIRST_POPUP&amp;HEIGHT=450&amp;WIDTH=450&amp;START_MAXIMIZED=FALSE&amp;VAR:CALENDAR=US&amp;VAR:SYMBOL=98433210&amp;VAR:INDEX=0"}</definedName>
    <definedName name="_8586__FDSAUDITLINK__">{"fdsup://directions/FAT Viewer?action=UPDATE&amp;creator=factset&amp;DYN_ARGS=TRUE&amp;DOC_NAME=FAT:FQL_AUDITING_CLIENT_TEMPLATE.FAT&amp;display_string=Audit&amp;VAR:KEY=HEHITEDANQ&amp;VAR:QUERY=KFBfUFJJQ0UoMzk3OTIpLShGRl9DQVNIX1NUKFFUUiwzOTc5MikvUF9DT01fU0hTX09VVCgzOTc5MikpKS9GR","V9FU1RJTUFURSgnRVBTJywnTUVBTicsJ0FOTlVBTF9ST0xMJywnKzEnLDM5NzkyLCwsJycp&amp;WINDOW=FIRST_POPUP&amp;HEIGHT=450&amp;WIDTH=450&amp;START_MAXIMIZED=FALSE&amp;VAR:CALENDAR=US&amp;VAR:SYMBOL=98433210&amp;VAR:INDEX=0"}</definedName>
    <definedName name="_8587__FDSAUDITLINK__">{"fdsup://directions/FAT Viewer?action=UPDATE&amp;creator=factset&amp;DYN_ARGS=TRUE&amp;DOC_NAME=FAT:FQL_AUDITING_CLIENT_TEMPLATE.FAT&amp;display_string=Audit&amp;VAR:KEY=HEHITEDANQ&amp;VAR:QUERY=KFBfUFJJQ0UoMzk3OTIpLShGRl9DQVNIX1NUKFFUUiwzOTc5MikvUF9DT01fU0hTX09VVCgzOTc5MikpKS9GR","V9FU1RJTUFURSgnRVBTJywnTUVBTicsJ0FOTlVBTF9ST0xMJywnKzEnLDM5NzkyLCwsJycp&amp;WINDOW=FIRST_POPUP&amp;HEIGHT=450&amp;WIDTH=450&amp;START_MAXIMIZED=FALSE&amp;VAR:CALENDAR=US&amp;VAR:SYMBOL=98433210&amp;VAR:INDEX=0"}</definedName>
    <definedName name="_8588__FDSAUDITLINK__">{"fdsup://directions/FAT Viewer?action=UPDATE&amp;creator=factset&amp;DYN_ARGS=TRUE&amp;DOC_NAME=FAT:FQL_AUDITING_CLIENT_TEMPLATE.FAT&amp;display_string=Audit&amp;VAR:KEY=TMXMHOTSBK&amp;VAR:QUERY=KFBfUFJJQ0UoMzk3OTEpLShGRl9DQVNIX1NUKFFUUiwzOTc5MSkvUF9DT01fU0hTX09VVCgzOTc5MSkpKS9GR","V9FU1RJTUFURSgnRVBTJywnTUVBTicsJ0FOTlVBTF9ST0xMJywnKzEnLDM5NzkxLCwsJycp&amp;WINDOW=FIRST_POPUP&amp;HEIGHT=450&amp;WIDTH=450&amp;START_MAXIMIZED=FALSE&amp;VAR:CALENDAR=US&amp;VAR:SYMBOL=98433210&amp;VAR:INDEX=0"}</definedName>
    <definedName name="_8589__FDSAUDITLINK__">{"fdsup://directions/FAT Viewer?action=UPDATE&amp;creator=factset&amp;DYN_ARGS=TRUE&amp;DOC_NAME=FAT:FQL_AUDITING_CLIENT_TEMPLATE.FAT&amp;display_string=Audit&amp;VAR:KEY=TMXMHOTSBK&amp;VAR:QUERY=KFBfUFJJQ0UoMzk3OTEpLShGRl9DQVNIX1NUKFFUUiwzOTc5MSkvUF9DT01fU0hTX09VVCgzOTc5MSkpKS9GR","V9FU1RJTUFURSgnRVBTJywnTUVBTicsJ0FOTlVBTF9ST0xMJywnKzEnLDM5NzkxLCwsJycp&amp;WINDOW=FIRST_POPUP&amp;HEIGHT=450&amp;WIDTH=450&amp;START_MAXIMIZED=FALSE&amp;VAR:CALENDAR=US&amp;VAR:SYMBOL=98433210&amp;VAR:INDEX=0"}</definedName>
    <definedName name="_85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931"}</definedName>
    <definedName name="_8590__FDSAUDITLINK__">{"fdsup://directions/FAT Viewer?action=UPDATE&amp;creator=factset&amp;DYN_ARGS=TRUE&amp;DOC_NAME=FAT:FQL_AUDITING_CLIENT_TEMPLATE.FAT&amp;display_string=Audit&amp;VAR:KEY=HKNGJKRYPK&amp;VAR:QUERY=KFBfUFJJQ0UoMzk3OTApLShGRl9DQVNIX1NUKFFUUiwzOTc5MCkvUF9DT01fU0hTX09VVCgzOTc5MCkpKS9GR","V9FU1RJTUFURSgnRVBTJywnTUVBTicsJ0FOTlVBTF9ST0xMJywnKzEnLDM5NzkwLCwsJycp&amp;WINDOW=FIRST_POPUP&amp;HEIGHT=450&amp;WIDTH=450&amp;START_MAXIMIZED=FALSE&amp;VAR:CALENDAR=US&amp;VAR:SYMBOL=98433210&amp;VAR:INDEX=0"}</definedName>
    <definedName name="_8591__FDSAUDITLINK__">{"fdsup://directions/FAT Viewer?action=UPDATE&amp;creator=factset&amp;DYN_ARGS=TRUE&amp;DOC_NAME=FAT:FQL_AUDITING_CLIENT_TEMPLATE.FAT&amp;display_string=Audit&amp;VAR:KEY=HKNGJKRYPK&amp;VAR:QUERY=KFBfUFJJQ0UoMzk3OTApLShGRl9DQVNIX1NUKFFUUiwzOTc5MCkvUF9DT01fU0hTX09VVCgzOTc5MCkpKS9GR","V9FU1RJTUFURSgnRVBTJywnTUVBTicsJ0FOTlVBTF9ST0xMJywnKzEnLDM5NzkwLCwsJycp&amp;WINDOW=FIRST_POPUP&amp;HEIGHT=450&amp;WIDTH=450&amp;START_MAXIMIZED=FALSE&amp;VAR:CALENDAR=US&amp;VAR:SYMBOL=98433210&amp;VAR:INDEX=0"}</definedName>
    <definedName name="_8592__FDSAUDITLINK__">{"fdsup://directions/FAT Viewer?action=UPDATE&amp;creator=factset&amp;DYN_ARGS=TRUE&amp;DOC_NAME=FAT:FQL_AUDITING_CLIENT_TEMPLATE.FAT&amp;display_string=Audit&amp;VAR:KEY=HWDWTYDSNU&amp;VAR:QUERY=KFBfUFJJQ0UoMzk3ODkpLShGRl9DQVNIX1NUKFFUUiwzOTc4OSkvUF9DT01fU0hTX09VVCgzOTc4OSkpKS9GR","V9FU1RJTUFURSgnRVBTJywnTUVBTicsJ0FOTlVBTF9ST0xMJywnKzEnLDM5Nzg5LCwsJycp&amp;WINDOW=FIRST_POPUP&amp;HEIGHT=450&amp;WIDTH=450&amp;START_MAXIMIZED=FALSE&amp;VAR:CALENDAR=US&amp;VAR:SYMBOL=98433210&amp;VAR:INDEX=0"}</definedName>
    <definedName name="_8593__FDSAUDITLINK__">{"fdsup://directions/FAT Viewer?action=UPDATE&amp;creator=factset&amp;DYN_ARGS=TRUE&amp;DOC_NAME=FAT:FQL_AUDITING_CLIENT_TEMPLATE.FAT&amp;display_string=Audit&amp;VAR:KEY=HWDWTYDSNU&amp;VAR:QUERY=KFBfUFJJQ0UoMzk3ODkpLShGRl9DQVNIX1NUKFFUUiwzOTc4OSkvUF9DT01fU0hTX09VVCgzOTc4OSkpKS9GR","V9FU1RJTUFURSgnRVBTJywnTUVBTicsJ0FOTlVBTF9ST0xMJywnKzEnLDM5Nzg5LCwsJycp&amp;WINDOW=FIRST_POPUP&amp;HEIGHT=450&amp;WIDTH=450&amp;START_MAXIMIZED=FALSE&amp;VAR:CALENDAR=US&amp;VAR:SYMBOL=98433210&amp;VAR:INDEX=0"}</definedName>
    <definedName name="_8594__FDSAUDITLINK__">{"fdsup://directions/FAT Viewer?action=UPDATE&amp;creator=factset&amp;DYN_ARGS=TRUE&amp;DOC_NAME=FAT:FQL_AUDITING_CLIENT_TEMPLATE.FAT&amp;display_string=Audit&amp;VAR:KEY=PQHSVQHEVM&amp;VAR:QUERY=KFBfUFJJQ0UoMzk3ODgpLShGRl9DQVNIX1NUKFFUUiwzOTc4OCkvUF9DT01fU0hTX09VVCgzOTc4OCkpKS9GR","V9FU1RJTUFURSgnRVBTJywnTUVBTicsJ0FOTlVBTF9ST0xMJywnKzEnLDM5Nzg4LCwsJycp&amp;WINDOW=FIRST_POPUP&amp;HEIGHT=450&amp;WIDTH=450&amp;START_MAXIMIZED=FALSE&amp;VAR:CALENDAR=US&amp;VAR:SYMBOL=98433210&amp;VAR:INDEX=0"}</definedName>
    <definedName name="_8595__FDSAUDITLINK__">{"fdsup://directions/FAT Viewer?action=UPDATE&amp;creator=factset&amp;DYN_ARGS=TRUE&amp;DOC_NAME=FAT:FQL_AUDITING_CLIENT_TEMPLATE.FAT&amp;display_string=Audit&amp;VAR:KEY=PQHSVQHEVM&amp;VAR:QUERY=KFBfUFJJQ0UoMzk3ODgpLShGRl9DQVNIX1NUKFFUUiwzOTc4OCkvUF9DT01fU0hTX09VVCgzOTc4OCkpKS9GR","V9FU1RJTUFURSgnRVBTJywnTUVBTicsJ0FOTlVBTF9ST0xMJywnKzEnLDM5Nzg4LCwsJycp&amp;WINDOW=FIRST_POPUP&amp;HEIGHT=450&amp;WIDTH=450&amp;START_MAXIMIZED=FALSE&amp;VAR:CALENDAR=US&amp;VAR:SYMBOL=98433210&amp;VAR:INDEX=0"}</definedName>
    <definedName name="_8596__FDSAUDITLINK__">{"fdsup://directions/FAT Viewer?action=UPDATE&amp;creator=factset&amp;DYN_ARGS=TRUE&amp;DOC_NAME=FAT:FQL_AUDITING_CLIENT_TEMPLATE.FAT&amp;display_string=Audit&amp;VAR:KEY=JMZIVERYJC&amp;VAR:QUERY=KFBfUFJJQ0UoMzk3ODcpLShGRl9DQVNIX1NUKFFUUiwzOTc4NykvUF9DT01fU0hTX09VVCgzOTc4NykpKS9GR","V9FU1RJTUFURSgnRVBTJywnTUVBTicsJ0FOTlVBTF9ST0xMJywnKzEnLDM5Nzg3LCwsJycp&amp;WINDOW=FIRST_POPUP&amp;HEIGHT=450&amp;WIDTH=450&amp;START_MAXIMIZED=FALSE&amp;VAR:CALENDAR=US&amp;VAR:SYMBOL=98433210&amp;VAR:INDEX=0"}</definedName>
    <definedName name="_8597__FDSAUDITLINK__">{"fdsup://directions/FAT Viewer?action=UPDATE&amp;creator=factset&amp;DYN_ARGS=TRUE&amp;DOC_NAME=FAT:FQL_AUDITING_CLIENT_TEMPLATE.FAT&amp;display_string=Audit&amp;VAR:KEY=JMZIVERYJC&amp;VAR:QUERY=KFBfUFJJQ0UoMzk3ODcpLShGRl9DQVNIX1NUKFFUUiwzOTc4NykvUF9DT01fU0hTX09VVCgzOTc4NykpKS9GR","V9FU1RJTUFURSgnRVBTJywnTUVBTicsJ0FOTlVBTF9ST0xMJywnKzEnLDM5Nzg3LCwsJycp&amp;WINDOW=FIRST_POPUP&amp;HEIGHT=450&amp;WIDTH=450&amp;START_MAXIMIZED=FALSE&amp;VAR:CALENDAR=US&amp;VAR:SYMBOL=98433210&amp;VAR:INDEX=0"}</definedName>
    <definedName name="_8598__FDSAUDITLINK__">{"fdsup://directions/FAT Viewer?action=UPDATE&amp;creator=factset&amp;DYN_ARGS=TRUE&amp;DOC_NAME=FAT:FQL_AUDITING_CLIENT_TEMPLATE.FAT&amp;display_string=Audit&amp;VAR:KEY=RSXQPYLYVI&amp;VAR:QUERY=KFBfUFJJQ0UoMzk3ODYpLShGRl9DQVNIX1NUKFFUUiwzOTc4NikvUF9DT01fU0hTX09VVCgzOTc4NikpKS9GR","V9FU1RJTUFURSgnRVBTJywnTUVBTicsJ0FOTlVBTF9ST0xMJywnKzEnLDM5Nzg2LCwsJycp&amp;WINDOW=FIRST_POPUP&amp;HEIGHT=450&amp;WIDTH=450&amp;START_MAXIMIZED=FALSE&amp;VAR:CALENDAR=US&amp;VAR:SYMBOL=98433210&amp;VAR:INDEX=0"}</definedName>
    <definedName name="_8599__FDSAUDITLINK__">{"fdsup://directions/FAT Viewer?action=UPDATE&amp;creator=factset&amp;DYN_ARGS=TRUE&amp;DOC_NAME=FAT:FQL_AUDITING_CLIENT_TEMPLATE.FAT&amp;display_string=Audit&amp;VAR:KEY=RSXQPYLYVI&amp;VAR:QUERY=KFBfUFJJQ0UoMzk3ODYpLShGRl9DQVNIX1NUKFFUUiwzOTc4NikvUF9DT01fU0hTX09VVCgzOTc4NikpKS9GR","V9FU1RJTUFURSgnRVBTJywnTUVBTicsJ0FOTlVBTF9ST0xMJywnKzEnLDM5Nzg2LCwsJycp&amp;WINDOW=FIRST_POPUP&amp;HEIGHT=450&amp;WIDTH=450&amp;START_MAXIMIZED=FALSE&amp;VAR:CALENDAR=US&amp;VAR:SYMBOL=98433210&amp;VAR:INDEX=0"}</definedName>
    <definedName name="_8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16.452287&amp;VAR:V0=18.564979&amp;VAR:V1=16.452287&amp;VAR:Y0=2002&amp;VAR:Y1=2003&amp;VAR:P=879.819100&amp;VAR:DATE=20021231&amp;VAR:THRESH=-|-|-","|-|-|-|-"}</definedName>
    <definedName name="_86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930"}</definedName>
    <definedName name="_8600__FDSAUDITLINK__">{"fdsup://directions/FAT Viewer?action=UPDATE&amp;creator=factset&amp;DYN_ARGS=TRUE&amp;DOC_NAME=FAT:FQL_AUDITING_CLIENT_TEMPLATE.FAT&amp;display_string=Audit&amp;VAR:KEY=VSXYRGNOPQ&amp;VAR:QUERY=KFBfUFJJQ0UoMzk3ODUpLShGRl9DQVNIX1NUKFFUUiwzOTc4NSkvUF9DT01fU0hTX09VVCgzOTc4NSkpKS9GR","V9FU1RJTUFURSgnRVBTJywnTUVBTicsJ0FOTlVBTF9ST0xMJywnKzEnLDM5Nzg1LCwsJycp&amp;WINDOW=FIRST_POPUP&amp;HEIGHT=450&amp;WIDTH=450&amp;START_MAXIMIZED=FALSE&amp;VAR:CALENDAR=US&amp;VAR:SYMBOL=98433210&amp;VAR:INDEX=0"}</definedName>
    <definedName name="_8601__FDSAUDITLINK__">{"fdsup://directions/FAT Viewer?action=UPDATE&amp;creator=factset&amp;DYN_ARGS=TRUE&amp;DOC_NAME=FAT:FQL_AUDITING_CLIENT_TEMPLATE.FAT&amp;display_string=Audit&amp;VAR:KEY=VSXYRGNOPQ&amp;VAR:QUERY=KFBfUFJJQ0UoMzk3ODUpLShGRl9DQVNIX1NUKFFUUiwzOTc4NSkvUF9DT01fU0hTX09VVCgzOTc4NSkpKS9GR","V9FU1RJTUFURSgnRVBTJywnTUVBTicsJ0FOTlVBTF9ST0xMJywnKzEnLDM5Nzg1LCwsJycp&amp;WINDOW=FIRST_POPUP&amp;HEIGHT=450&amp;WIDTH=450&amp;START_MAXIMIZED=FALSE&amp;VAR:CALENDAR=US&amp;VAR:SYMBOL=98433210&amp;VAR:INDEX=0"}</definedName>
    <definedName name="_8602__FDSAUDITLINK__">{"fdsup://directions/FAT Viewer?action=UPDATE&amp;creator=factset&amp;DYN_ARGS=TRUE&amp;DOC_NAME=FAT:FQL_AUDITING_CLIENT_TEMPLATE.FAT&amp;display_string=Audit&amp;VAR:KEY=DMLUJYHABY&amp;VAR:QUERY=KFBfUFJJQ0UoMzk3ODQpLShGRl9DQVNIX1NUKFFUUiwzOTc4NCkvUF9DT01fU0hTX09VVCgzOTc4NCkpKS9GR","V9FU1RJTUFURSgnRVBTJywnTUVBTicsJ0FOTlVBTF9ST0xMJywnKzEnLDM5Nzg0LCwsJycp&amp;WINDOW=FIRST_POPUP&amp;HEIGHT=450&amp;WIDTH=450&amp;START_MAXIMIZED=FALSE&amp;VAR:CALENDAR=US&amp;VAR:SYMBOL=98433210&amp;VAR:INDEX=0"}</definedName>
    <definedName name="_8603__FDSAUDITLINK__">{"fdsup://directions/FAT Viewer?action=UPDATE&amp;creator=factset&amp;DYN_ARGS=TRUE&amp;DOC_NAME=FAT:FQL_AUDITING_CLIENT_TEMPLATE.FAT&amp;display_string=Audit&amp;VAR:KEY=DMLUJYHABY&amp;VAR:QUERY=KFBfUFJJQ0UoMzk3ODQpLShGRl9DQVNIX1NUKFFUUiwzOTc4NCkvUF9DT01fU0hTX09VVCgzOTc4NCkpKS9GR","V9FU1RJTUFURSgnRVBTJywnTUVBTicsJ0FOTlVBTF9ST0xMJywnKzEnLDM5Nzg0LCwsJycp&amp;WINDOW=FIRST_POPUP&amp;HEIGHT=450&amp;WIDTH=450&amp;START_MAXIMIZED=FALSE&amp;VAR:CALENDAR=US&amp;VAR:SYMBOL=98433210&amp;VAR:INDEX=0"}</definedName>
    <definedName name="_8604__FDSAUDITLINK__">{"fdsup://directions/FAT Viewer?action=UPDATE&amp;creator=factset&amp;DYN_ARGS=TRUE&amp;DOC_NAME=FAT:FQL_AUDITING_CLIENT_TEMPLATE.FAT&amp;display_string=Audit&amp;VAR:KEY=XGDUDABERG&amp;VAR:QUERY=KFBfUFJJQ0UoMzk3ODMpLShGRl9DQVNIX1NUKFFUUiwzOTc4MykvUF9DT01fU0hTX09VVCgzOTc4MykpKS9GR","V9FU1RJTUFURSgnRVBTJywnTUVBTicsJ0FOTlVBTF9ST0xMJywnKzEnLDM5NzgzLCwsJycp&amp;WINDOW=FIRST_POPUP&amp;HEIGHT=450&amp;WIDTH=450&amp;START_MAXIMIZED=FALSE&amp;VAR:CALENDAR=US&amp;VAR:SYMBOL=98433210&amp;VAR:INDEX=0"}</definedName>
    <definedName name="_8605__FDSAUDITLINK__">{"fdsup://directions/FAT Viewer?action=UPDATE&amp;creator=factset&amp;DYN_ARGS=TRUE&amp;DOC_NAME=FAT:FQL_AUDITING_CLIENT_TEMPLATE.FAT&amp;display_string=Audit&amp;VAR:KEY=XGDUDABERG&amp;VAR:QUERY=KFBfUFJJQ0UoMzk3ODMpLShGRl9DQVNIX1NUKFFUUiwzOTc4MykvUF9DT01fU0hTX09VVCgzOTc4MykpKS9GR","V9FU1RJTUFURSgnRVBTJywnTUVBTicsJ0FOTlVBTF9ST0xMJywnKzEnLDM5NzgzLCwsJycp&amp;WINDOW=FIRST_POPUP&amp;HEIGHT=450&amp;WIDTH=450&amp;START_MAXIMIZED=FALSE&amp;VAR:CALENDAR=US&amp;VAR:SYMBOL=98433210&amp;VAR:INDEX=0"}</definedName>
    <definedName name="_8606__FDSAUDITLINK__">{"fdsup://directions/FAT Viewer?action=UPDATE&amp;creator=factset&amp;DYN_ARGS=TRUE&amp;DOC_NAME=FAT:FQL_AUDITING_CLIENT_TEMPLATE.FAT&amp;display_string=Audit&amp;VAR:KEY=FOVYFGJGBS&amp;VAR:QUERY=KFBfUFJJQ0UoMzk3ODIpLShGRl9DQVNIX1NUKFFUUiwzOTc4MikvUF9DT01fU0hTX09VVCgzOTc4MikpKS9GR","V9FU1RJTUFURSgnRVBTJywnTUVBTicsJ0FOTlVBTF9ST0xMJywnKzEnLDM5NzgyLCwsJycp&amp;WINDOW=FIRST_POPUP&amp;HEIGHT=450&amp;WIDTH=450&amp;START_MAXIMIZED=FALSE&amp;VAR:CALENDAR=US&amp;VAR:SYMBOL=98433210&amp;VAR:INDEX=0"}</definedName>
    <definedName name="_8607__FDSAUDITLINK__">{"fdsup://directions/FAT Viewer?action=UPDATE&amp;creator=factset&amp;DYN_ARGS=TRUE&amp;DOC_NAME=FAT:FQL_AUDITING_CLIENT_TEMPLATE.FAT&amp;display_string=Audit&amp;VAR:KEY=FOVYFGJGBS&amp;VAR:QUERY=KFBfUFJJQ0UoMzk3ODIpLShGRl9DQVNIX1NUKFFUUiwzOTc4MikvUF9DT01fU0hTX09VVCgzOTc4MikpKS9GR","V9FU1RJTUFURSgnRVBTJywnTUVBTicsJ0FOTlVBTF9ST0xMJywnKzEnLDM5NzgyLCwsJycp&amp;WINDOW=FIRST_POPUP&amp;HEIGHT=450&amp;WIDTH=450&amp;START_MAXIMIZED=FALSE&amp;VAR:CALENDAR=US&amp;VAR:SYMBOL=98433210&amp;VAR:INDEX=0"}</definedName>
    <definedName name="_8608__FDSAUDITLINK__">{"fdsup://directions/FAT Viewer?action=UPDATE&amp;creator=factset&amp;DYN_ARGS=TRUE&amp;DOC_NAME=FAT:FQL_AUDITING_CLIENT_TEMPLATE.FAT&amp;display_string=Audit&amp;VAR:KEY=LSVYREBGXY&amp;VAR:QUERY=KFBfUFJJQ0UoMzk3ODEpLShGRl9DQVNIX1NUKFFUUiwzOTc4MSkvUF9DT01fU0hTX09VVCgzOTc4MSkpKS9GR","V9FU1RJTUFURSgnRVBTJywnTUVBTicsJ0FOTlVBTF9ST0xMJywnKzEnLDM5NzgxLCwsJycp&amp;WINDOW=FIRST_POPUP&amp;HEIGHT=450&amp;WIDTH=450&amp;START_MAXIMIZED=FALSE&amp;VAR:CALENDAR=US&amp;VAR:SYMBOL=98433210&amp;VAR:INDEX=0"}</definedName>
    <definedName name="_8609__FDSAUDITLINK__">{"fdsup://directions/FAT Viewer?action=UPDATE&amp;creator=factset&amp;DYN_ARGS=TRUE&amp;DOC_NAME=FAT:FQL_AUDITING_CLIENT_TEMPLATE.FAT&amp;display_string=Audit&amp;VAR:KEY=LSVYREBGXY&amp;VAR:QUERY=KFBfUFJJQ0UoMzk3ODEpLShGRl9DQVNIX1NUKFFUUiwzOTc4MSkvUF9DT01fU0hTX09VVCgzOTc4MSkpKS9GR","V9FU1RJTUFURSgnRVBTJywnTUVBTicsJ0FOTlVBTF9ST0xMJywnKzEnLDM5NzgxLCwsJycp&amp;WINDOW=FIRST_POPUP&amp;HEIGHT=450&amp;WIDTH=450&amp;START_MAXIMIZED=FALSE&amp;VAR:CALENDAR=US&amp;VAR:SYMBOL=98433210&amp;VAR:INDEX=0"}</definedName>
    <definedName name="_86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929"}</definedName>
    <definedName name="_8610__FDSAUDITLINK__">{"fdsup://directions/FAT Viewer?action=UPDATE&amp;creator=factset&amp;DYN_ARGS=TRUE&amp;DOC_NAME=FAT:FQL_AUDITING_CLIENT_TEMPLATE.FAT&amp;display_string=Audit&amp;VAR:KEY=JKPOVURKZE&amp;VAR:QUERY=KFBfUFJJQ0UoMzk3ODApLShGRl9DQVNIX1NUKFFUUiwzOTc4MCkvUF9DT01fU0hTX09VVCgzOTc4MCkpKS9GR","V9FU1RJTUFURSgnRVBTJywnTUVBTicsJ0FOTlVBTF9ST0xMJywnKzEnLDM5NzgwLCwsJycp&amp;WINDOW=FIRST_POPUP&amp;HEIGHT=450&amp;WIDTH=450&amp;START_MAXIMIZED=FALSE&amp;VAR:CALENDAR=US&amp;VAR:SYMBOL=98433210&amp;VAR:INDEX=0"}</definedName>
    <definedName name="_8611__FDSAUDITLINK__">{"fdsup://directions/FAT Viewer?action=UPDATE&amp;creator=factset&amp;DYN_ARGS=TRUE&amp;DOC_NAME=FAT:FQL_AUDITING_CLIENT_TEMPLATE.FAT&amp;display_string=Audit&amp;VAR:KEY=JKPOVURKZE&amp;VAR:QUERY=KFBfUFJJQ0UoMzk3ODApLShGRl9DQVNIX1NUKFFUUiwzOTc4MCkvUF9DT01fU0hTX09VVCgzOTc4MCkpKS9GR","V9FU1RJTUFURSgnRVBTJywnTUVBTicsJ0FOTlVBTF9ST0xMJywnKzEnLDM5NzgwLCwsJycp&amp;WINDOW=FIRST_POPUP&amp;HEIGHT=450&amp;WIDTH=450&amp;START_MAXIMIZED=FALSE&amp;VAR:CALENDAR=US&amp;VAR:SYMBOL=98433210&amp;VAR:INDEX=0"}</definedName>
    <definedName name="_8612__FDSAUDITLINK__">{"fdsup://directions/FAT Viewer?action=UPDATE&amp;creator=factset&amp;DYN_ARGS=TRUE&amp;DOC_NAME=FAT:FQL_AUDITING_CLIENT_TEMPLATE.FAT&amp;display_string=Audit&amp;VAR:KEY=VURQNUZGXM&amp;VAR:QUERY=KFBfUFJJQ0UoMzk3NzkpLShGRl9DQVNIX1NUKFFUUiwzOTc3OSkvUF9DT01fU0hTX09VVCgzOTc3OSkpKS9GR","V9FU1RJTUFURSgnRVBTJywnTUVBTicsJ0FOTlVBTF9ST0xMJywnKzEnLDM5Nzc5LCwsJycp&amp;WINDOW=FIRST_POPUP&amp;HEIGHT=450&amp;WIDTH=450&amp;START_MAXIMIZED=FALSE&amp;VAR:CALENDAR=US&amp;VAR:SYMBOL=98433210&amp;VAR:INDEX=0"}</definedName>
    <definedName name="_8613__FDSAUDITLINK__">{"fdsup://directions/FAT Viewer?action=UPDATE&amp;creator=factset&amp;DYN_ARGS=TRUE&amp;DOC_NAME=FAT:FQL_AUDITING_CLIENT_TEMPLATE.FAT&amp;display_string=Audit&amp;VAR:KEY=VURQNUZGXM&amp;VAR:QUERY=KFBfUFJJQ0UoMzk3NzkpLShGRl9DQVNIX1NUKFFUUiwzOTc3OSkvUF9DT01fU0hTX09VVCgzOTc3OSkpKS9GR","V9FU1RJTUFURSgnRVBTJywnTUVBTicsJ0FOTlVBTF9ST0xMJywnKzEnLDM5Nzc5LCwsJycp&amp;WINDOW=FIRST_POPUP&amp;HEIGHT=450&amp;WIDTH=450&amp;START_MAXIMIZED=FALSE&amp;VAR:CALENDAR=US&amp;VAR:SYMBOL=98433210&amp;VAR:INDEX=0"}</definedName>
    <definedName name="_8614__FDSAUDITLINK__">{"fdsup://directions/FAT Viewer?action=UPDATE&amp;creator=factset&amp;DYN_ARGS=TRUE&amp;DOC_NAME=FAT:FQL_AUDITING_CLIENT_TEMPLATE.FAT&amp;display_string=Audit&amp;VAR:KEY=NKLKHUHGBQ&amp;VAR:QUERY=KFBfUFJJQ0UoMzk3NzgpLShGRl9DQVNIX1NUKFFUUiwzOTc3OCkvUF9DT01fU0hTX09VVCgzOTc3OCkpKS9GR","V9FU1RJTUFURSgnRVBTJywnTUVBTicsJ0FOTlVBTF9ST0xMJywnKzEnLDM5Nzc4LCwsJycp&amp;WINDOW=FIRST_POPUP&amp;HEIGHT=450&amp;WIDTH=450&amp;START_MAXIMIZED=FALSE&amp;VAR:CALENDAR=US&amp;VAR:SYMBOL=98433210&amp;VAR:INDEX=0"}</definedName>
    <definedName name="_8615__FDSAUDITLINK__">{"fdsup://directions/FAT Viewer?action=UPDATE&amp;creator=factset&amp;DYN_ARGS=TRUE&amp;DOC_NAME=FAT:FQL_AUDITING_CLIENT_TEMPLATE.FAT&amp;display_string=Audit&amp;VAR:KEY=NKLKHUHGBQ&amp;VAR:QUERY=KFBfUFJJQ0UoMzk3NzgpLShGRl9DQVNIX1NUKFFUUiwzOTc3OCkvUF9DT01fU0hTX09VVCgzOTc3OCkpKS9GR","V9FU1RJTUFURSgnRVBTJywnTUVBTicsJ0FOTlVBTF9ST0xMJywnKzEnLDM5Nzc4LCwsJycp&amp;WINDOW=FIRST_POPUP&amp;HEIGHT=450&amp;WIDTH=450&amp;START_MAXIMIZED=FALSE&amp;VAR:CALENDAR=US&amp;VAR:SYMBOL=98433210&amp;VAR:INDEX=0"}</definedName>
    <definedName name="_8616__FDSAUDITLINK__">{"fdsup://directions/FAT Viewer?action=UPDATE&amp;creator=factset&amp;DYN_ARGS=TRUE&amp;DOC_NAME=FAT:FQL_AUDITING_CLIENT_TEMPLATE.FAT&amp;display_string=Audit&amp;VAR:KEY=NYPGXGJKHQ&amp;VAR:QUERY=KFBfUFJJQ0UoMzk3NzcpLShGRl9DQVNIX1NUKFFUUiwzOTc3NykvUF9DT01fU0hTX09VVCgzOTc3NykpKS9GR","V9FU1RJTUFURSgnRVBTJywnTUVBTicsJ0FOTlVBTF9ST0xMJywnKzEnLDM5Nzc3LCwsJycp&amp;WINDOW=FIRST_POPUP&amp;HEIGHT=450&amp;WIDTH=450&amp;START_MAXIMIZED=FALSE&amp;VAR:CALENDAR=US&amp;VAR:SYMBOL=98433210&amp;VAR:INDEX=0"}</definedName>
    <definedName name="_8617__FDSAUDITLINK__">{"fdsup://directions/FAT Viewer?action=UPDATE&amp;creator=factset&amp;DYN_ARGS=TRUE&amp;DOC_NAME=FAT:FQL_AUDITING_CLIENT_TEMPLATE.FAT&amp;display_string=Audit&amp;VAR:KEY=NYPGXGJKHQ&amp;VAR:QUERY=KFBfUFJJQ0UoMzk3NzcpLShGRl9DQVNIX1NUKFFUUiwzOTc3NykvUF9DT01fU0hTX09VVCgzOTc3NykpKS9GR","V9FU1RJTUFURSgnRVBTJywnTUVBTicsJ0FOTlVBTF9ST0xMJywnKzEnLDM5Nzc3LCwsJycp&amp;WINDOW=FIRST_POPUP&amp;HEIGHT=450&amp;WIDTH=450&amp;START_MAXIMIZED=FALSE&amp;VAR:CALENDAR=US&amp;VAR:SYMBOL=98433210&amp;VAR:INDEX=0"}</definedName>
    <definedName name="_8618__FDSAUDITLINK__">{"fdsup://directions/FAT Viewer?action=UPDATE&amp;creator=factset&amp;DYN_ARGS=TRUE&amp;DOC_NAME=FAT:FQL_AUDITING_CLIENT_TEMPLATE.FAT&amp;display_string=Audit&amp;VAR:KEY=NILCFUHETS&amp;VAR:QUERY=KFBfUFJJQ0UoMzk3NzYpLShGRl9DQVNIX1NUKFFUUiwzOTc3NikvUF9DT01fU0hTX09VVCgzOTc3NikpKS9GR","V9FU1RJTUFURSgnRVBTJywnTUVBTicsJ0FOTlVBTF9ST0xMJywnKzEnLDM5Nzc2LCwsJycp&amp;WINDOW=FIRST_POPUP&amp;HEIGHT=450&amp;WIDTH=450&amp;START_MAXIMIZED=FALSE&amp;VAR:CALENDAR=US&amp;VAR:SYMBOL=98433210&amp;VAR:INDEX=0"}</definedName>
    <definedName name="_8619__FDSAUDITLINK__">{"fdsup://directions/FAT Viewer?action=UPDATE&amp;creator=factset&amp;DYN_ARGS=TRUE&amp;DOC_NAME=FAT:FQL_AUDITING_CLIENT_TEMPLATE.FAT&amp;display_string=Audit&amp;VAR:KEY=NILCFUHETS&amp;VAR:QUERY=KFBfUFJJQ0UoMzk3NzYpLShGRl9DQVNIX1NUKFFUUiwzOTc3NikvUF9DT01fU0hTX09VVCgzOTc3NikpKS9GR","V9FU1RJTUFURSgnRVBTJywnTUVBTicsJ0FOTlVBTF9ST0xMJywnKzEnLDM5Nzc2LCwsJycp&amp;WINDOW=FIRST_POPUP&amp;HEIGHT=450&amp;WIDTH=450&amp;START_MAXIMIZED=FALSE&amp;VAR:CALENDAR=US&amp;VAR:SYMBOL=98433210&amp;VAR:INDEX=0"}</definedName>
    <definedName name="_86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928"}</definedName>
    <definedName name="_8620__FDSAUDITLINK__">{"fdsup://directions/FAT Viewer?action=UPDATE&amp;creator=factset&amp;DYN_ARGS=TRUE&amp;DOC_NAME=FAT:FQL_AUDITING_CLIENT_TEMPLATE.FAT&amp;display_string=Audit&amp;VAR:KEY=FGVSFYNSVK&amp;VAR:QUERY=KFBfUFJJQ0UoMzk3NzUpLShGRl9DQVNIX1NUKFFUUiwzOTc3NSkvUF9DT01fU0hTX09VVCgzOTc3NSkpKS9GR","V9FU1RJTUFURSgnRVBTJywnTUVBTicsJ0FOTlVBTF9ST0xMJywnKzEnLDM5Nzc1LCwsJycp&amp;WINDOW=FIRST_POPUP&amp;HEIGHT=450&amp;WIDTH=450&amp;START_MAXIMIZED=FALSE&amp;VAR:CALENDAR=US&amp;VAR:SYMBOL=98433210&amp;VAR:INDEX=0"}</definedName>
    <definedName name="_8621__FDSAUDITLINK__">{"fdsup://directions/FAT Viewer?action=UPDATE&amp;creator=factset&amp;DYN_ARGS=TRUE&amp;DOC_NAME=FAT:FQL_AUDITING_CLIENT_TEMPLATE.FAT&amp;display_string=Audit&amp;VAR:KEY=FGVSFYNSVK&amp;VAR:QUERY=KFBfUFJJQ0UoMzk3NzUpLShGRl9DQVNIX1NUKFFUUiwzOTc3NSkvUF9DT01fU0hTX09VVCgzOTc3NSkpKS9GR","V9FU1RJTUFURSgnRVBTJywnTUVBTicsJ0FOTlVBTF9ST0xMJywnKzEnLDM5Nzc1LCwsJycp&amp;WINDOW=FIRST_POPUP&amp;HEIGHT=450&amp;WIDTH=450&amp;START_MAXIMIZED=FALSE&amp;VAR:CALENDAR=US&amp;VAR:SYMBOL=98433210&amp;VAR:INDEX=0"}</definedName>
    <definedName name="_8622__FDSAUDITLINK__">{"fdsup://directions/FAT Viewer?action=UPDATE&amp;creator=factset&amp;DYN_ARGS=TRUE&amp;DOC_NAME=FAT:FQL_AUDITING_CLIENT_TEMPLATE.FAT&amp;display_string=Audit&amp;VAR:KEY=XUJGRWXUHO&amp;VAR:QUERY=KFBfUFJJQ0UoMzk3NzQpLShGRl9DQVNIX1NUKFFUUiwzOTc3NCkvUF9DT01fU0hTX09VVCgzOTc3NCkpKS9GR","V9FU1RJTUFURSgnRVBTJywnTUVBTicsJ0FOTlVBTF9ST0xMJywnKzEnLDM5Nzc0LCwsJycp&amp;WINDOW=FIRST_POPUP&amp;HEIGHT=450&amp;WIDTH=450&amp;START_MAXIMIZED=FALSE&amp;VAR:CALENDAR=US&amp;VAR:SYMBOL=98433210&amp;VAR:INDEX=0"}</definedName>
    <definedName name="_8623__FDSAUDITLINK__">{"fdsup://directions/FAT Viewer?action=UPDATE&amp;creator=factset&amp;DYN_ARGS=TRUE&amp;DOC_NAME=FAT:FQL_AUDITING_CLIENT_TEMPLATE.FAT&amp;display_string=Audit&amp;VAR:KEY=XUJGRWXUHO&amp;VAR:QUERY=KFBfUFJJQ0UoMzk3NzQpLShGRl9DQVNIX1NUKFFUUiwzOTc3NCkvUF9DT01fU0hTX09VVCgzOTc3NCkpKS9GR","V9FU1RJTUFURSgnRVBTJywnTUVBTicsJ0FOTlVBTF9ST0xMJywnKzEnLDM5Nzc0LCwsJycp&amp;WINDOW=FIRST_POPUP&amp;HEIGHT=450&amp;WIDTH=450&amp;START_MAXIMIZED=FALSE&amp;VAR:CALENDAR=US&amp;VAR:SYMBOL=98433210&amp;VAR:INDEX=0"}</definedName>
    <definedName name="_8624__FDSAUDITLINK__">{"fdsup://directions/FAT Viewer?action=UPDATE&amp;creator=factset&amp;DYN_ARGS=TRUE&amp;DOC_NAME=FAT:FQL_AUDITING_CLIENT_TEMPLATE.FAT&amp;display_string=Audit&amp;VAR:KEY=JAJOVENONI&amp;VAR:QUERY=KFBfUFJJQ0UoMzk3NzMpLShGRl9DQVNIX1NUKFFUUiwzOTc3MykvUF9DT01fU0hTX09VVCgzOTc3MykpKS9GR","V9FU1RJTUFURSgnRVBTJywnTUVBTicsJ0FOTlVBTF9ST0xMJywnKzEnLDM5NzczLCwsJycp&amp;WINDOW=FIRST_POPUP&amp;HEIGHT=450&amp;WIDTH=450&amp;START_MAXIMIZED=FALSE&amp;VAR:CALENDAR=US&amp;VAR:SYMBOL=98433210&amp;VAR:INDEX=0"}</definedName>
    <definedName name="_8625__FDSAUDITLINK__">{"fdsup://directions/FAT Viewer?action=UPDATE&amp;creator=factset&amp;DYN_ARGS=TRUE&amp;DOC_NAME=FAT:FQL_AUDITING_CLIENT_TEMPLATE.FAT&amp;display_string=Audit&amp;VAR:KEY=JAJOVENONI&amp;VAR:QUERY=KFBfUFJJQ0UoMzk3NzMpLShGRl9DQVNIX1NUKFFUUiwzOTc3MykvUF9DT01fU0hTX09VVCgzOTc3MykpKS9GR","V9FU1RJTUFURSgnRVBTJywnTUVBTicsJ0FOTlVBTF9ST0xMJywnKzEnLDM5NzczLCwsJycp&amp;WINDOW=FIRST_POPUP&amp;HEIGHT=450&amp;WIDTH=450&amp;START_MAXIMIZED=FALSE&amp;VAR:CALENDAR=US&amp;VAR:SYMBOL=98433210&amp;VAR:INDEX=0"}</definedName>
    <definedName name="_8626__FDSAUDITLINK__">{"fdsup://directions/FAT Viewer?action=UPDATE&amp;creator=factset&amp;DYN_ARGS=TRUE&amp;DOC_NAME=FAT:FQL_AUDITING_CLIENT_TEMPLATE.FAT&amp;display_string=Audit&amp;VAR:KEY=POHIBCXUVO&amp;VAR:QUERY=KFBfUFJJQ0UoMzk3NzIpLShGRl9DQVNIX1NUKFFUUiwzOTc3MikvUF9DT01fU0hTX09VVCgzOTc3MikpKS9GR","V9FU1RJTUFURSgnRVBTJywnTUVBTicsJ0FOTlVBTF9ST0xMJywnKzEnLDM5NzcyLCwsJycp&amp;WINDOW=FIRST_POPUP&amp;HEIGHT=450&amp;WIDTH=450&amp;START_MAXIMIZED=FALSE&amp;VAR:CALENDAR=US&amp;VAR:SYMBOL=98433210&amp;VAR:INDEX=0"}</definedName>
    <definedName name="_8627__FDSAUDITLINK__">{"fdsup://directions/FAT Viewer?action=UPDATE&amp;creator=factset&amp;DYN_ARGS=TRUE&amp;DOC_NAME=FAT:FQL_AUDITING_CLIENT_TEMPLATE.FAT&amp;display_string=Audit&amp;VAR:KEY=POHIBCXUVO&amp;VAR:QUERY=KFBfUFJJQ0UoMzk3NzIpLShGRl9DQVNIX1NUKFFUUiwzOTc3MikvUF9DT01fU0hTX09VVCgzOTc3MikpKS9GR","V9FU1RJTUFURSgnRVBTJywnTUVBTicsJ0FOTlVBTF9ST0xMJywnKzEnLDM5NzcyLCwsJycp&amp;WINDOW=FIRST_POPUP&amp;HEIGHT=450&amp;WIDTH=450&amp;START_MAXIMIZED=FALSE&amp;VAR:CALENDAR=US&amp;VAR:SYMBOL=98433210&amp;VAR:INDEX=0"}</definedName>
    <definedName name="_8628__FDSAUDITLINK__">{"fdsup://directions/FAT Viewer?action=UPDATE&amp;creator=factset&amp;DYN_ARGS=TRUE&amp;DOC_NAME=FAT:FQL_AUDITING_CLIENT_TEMPLATE.FAT&amp;display_string=Audit&amp;VAR:KEY=ZEDEBAFQZQ&amp;VAR:QUERY=KFBfUFJJQ0UoMzk3NzEpLShGRl9DQVNIX1NUKFFUUiwzOTc3MSkvUF9DT01fU0hTX09VVCgzOTc3MSkpKS9GR","V9FU1RJTUFURSgnRVBTJywnTUVBTicsJ0FOTlVBTF9ST0xMJywnKzEnLDM5NzcxLCwsJycp&amp;WINDOW=FIRST_POPUP&amp;HEIGHT=450&amp;WIDTH=450&amp;START_MAXIMIZED=FALSE&amp;VAR:CALENDAR=US&amp;VAR:SYMBOL=98433210&amp;VAR:INDEX=0"}</definedName>
    <definedName name="_8629__FDSAUDITLINK__">{"fdsup://directions/FAT Viewer?action=UPDATE&amp;creator=factset&amp;DYN_ARGS=TRUE&amp;DOC_NAME=FAT:FQL_AUDITING_CLIENT_TEMPLATE.FAT&amp;display_string=Audit&amp;VAR:KEY=ZEDEBAFQZQ&amp;VAR:QUERY=KFBfUFJJQ0UoMzk3NzEpLShGRl9DQVNIX1NUKFFUUiwzOTc3MSkvUF9DT01fU0hTX09VVCgzOTc3MSkpKS9GR","V9FU1RJTUFURSgnRVBTJywnTUVBTicsJ0FOTlVBTF9ST0xMJywnKzEnLDM5NzcxLCwsJycp&amp;WINDOW=FIRST_POPUP&amp;HEIGHT=450&amp;WIDTH=450&amp;START_MAXIMIZED=FALSE&amp;VAR:CALENDAR=US&amp;VAR:SYMBOL=98433210&amp;VAR:INDEX=0"}</definedName>
    <definedName name="_86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927"}</definedName>
    <definedName name="_8630__FDSAUDITLINK__">{"fdsup://directions/FAT Viewer?action=UPDATE&amp;creator=factset&amp;DYN_ARGS=TRUE&amp;DOC_NAME=FAT:FQL_AUDITING_CLIENT_TEMPLATE.FAT&amp;display_string=Audit&amp;VAR:KEY=PMXWNUNYLY&amp;VAR:QUERY=KFBfUFJJQ0UoMzk3NzApLShGRl9DQVNIX1NUKFFUUiwzOTc3MCkvUF9DT01fU0hTX09VVCgzOTc3MCkpKS9GR","V9FU1RJTUFURSgnRVBTJywnTUVBTicsJ0FOTlVBTF9ST0xMJywnKzEnLDM5NzcwLCwsJycp&amp;WINDOW=FIRST_POPUP&amp;HEIGHT=450&amp;WIDTH=450&amp;START_MAXIMIZED=FALSE&amp;VAR:CALENDAR=US&amp;VAR:SYMBOL=98433210&amp;VAR:INDEX=0"}</definedName>
    <definedName name="_8631__FDSAUDITLINK__">{"fdsup://directions/FAT Viewer?action=UPDATE&amp;creator=factset&amp;DYN_ARGS=TRUE&amp;DOC_NAME=FAT:FQL_AUDITING_CLIENT_TEMPLATE.FAT&amp;display_string=Audit&amp;VAR:KEY=PMXWNUNYLY&amp;VAR:QUERY=KFBfUFJJQ0UoMzk3NzApLShGRl9DQVNIX1NUKFFUUiwzOTc3MCkvUF9DT01fU0hTX09VVCgzOTc3MCkpKS9GR","V9FU1RJTUFURSgnRVBTJywnTUVBTicsJ0FOTlVBTF9ST0xMJywnKzEnLDM5NzcwLCwsJycp&amp;WINDOW=FIRST_POPUP&amp;HEIGHT=450&amp;WIDTH=450&amp;START_MAXIMIZED=FALSE&amp;VAR:CALENDAR=US&amp;VAR:SYMBOL=98433210&amp;VAR:INDEX=0"}</definedName>
    <definedName name="_8632__FDSAUDITLINK__">{"fdsup://directions/FAT Viewer?action=UPDATE&amp;creator=factset&amp;DYN_ARGS=TRUE&amp;DOC_NAME=FAT:FQL_AUDITING_CLIENT_TEMPLATE.FAT&amp;display_string=Audit&amp;VAR:KEY=VMPOXWHWLM&amp;VAR:QUERY=KFBfUFJJQ0UoMzk3NjkpLShGRl9DQVNIX1NUKFFUUiwzOTc2OSkvUF9DT01fU0hTX09VVCgzOTc2OSkpKS9GR","V9FU1RJTUFURSgnRVBTJywnTUVBTicsJ0FOTlVBTF9ST0xMJywnKzEnLDM5NzY5LCwsJycp&amp;WINDOW=FIRST_POPUP&amp;HEIGHT=450&amp;WIDTH=450&amp;START_MAXIMIZED=FALSE&amp;VAR:CALENDAR=US&amp;VAR:SYMBOL=98433210&amp;VAR:INDEX=0"}</definedName>
    <definedName name="_8633__FDSAUDITLINK__">{"fdsup://directions/FAT Viewer?action=UPDATE&amp;creator=factset&amp;DYN_ARGS=TRUE&amp;DOC_NAME=FAT:FQL_AUDITING_CLIENT_TEMPLATE.FAT&amp;display_string=Audit&amp;VAR:KEY=VMPOXWHWLM&amp;VAR:QUERY=KFBfUFJJQ0UoMzk3NjkpLShGRl9DQVNIX1NUKFFUUiwzOTc2OSkvUF9DT01fU0hTX09VVCgzOTc2OSkpKS9GR","V9FU1RJTUFURSgnRVBTJywnTUVBTicsJ0FOTlVBTF9ST0xMJywnKzEnLDM5NzY5LCwsJycp&amp;WINDOW=FIRST_POPUP&amp;HEIGHT=450&amp;WIDTH=450&amp;START_MAXIMIZED=FALSE&amp;VAR:CALENDAR=US&amp;VAR:SYMBOL=98433210&amp;VAR:INDEX=0"}</definedName>
    <definedName name="_8634__FDSAUDITLINK__">{"fdsup://directions/FAT Viewer?action=UPDATE&amp;creator=factset&amp;DYN_ARGS=TRUE&amp;DOC_NAME=FAT:FQL_AUDITING_CLIENT_TEMPLATE.FAT&amp;display_string=Audit&amp;VAR:KEY=HUHURQVWVW&amp;VAR:QUERY=KFBfUFJJQ0UoMzk3NjgpLShGRl9DQVNIX1NUKFFUUiwzOTc2OCkvUF9DT01fU0hTX09VVCgzOTc2OCkpKS9GR","V9FU1RJTUFURSgnRVBTJywnTUVBTicsJ0FOTlVBTF9ST0xMJywnKzEnLDM5NzY4LCwsJycp&amp;WINDOW=FIRST_POPUP&amp;HEIGHT=450&amp;WIDTH=450&amp;START_MAXIMIZED=FALSE&amp;VAR:CALENDAR=US&amp;VAR:SYMBOL=98433210&amp;VAR:INDEX=0"}</definedName>
    <definedName name="_8635__FDSAUDITLINK__">{"fdsup://directions/FAT Viewer?action=UPDATE&amp;creator=factset&amp;DYN_ARGS=TRUE&amp;DOC_NAME=FAT:FQL_AUDITING_CLIENT_TEMPLATE.FAT&amp;display_string=Audit&amp;VAR:KEY=HUHURQVWVW&amp;VAR:QUERY=KFBfUFJJQ0UoMzk3NjgpLShGRl9DQVNIX1NUKFFUUiwzOTc2OCkvUF9DT01fU0hTX09VVCgzOTc2OCkpKS9GR","V9FU1RJTUFURSgnRVBTJywnTUVBTicsJ0FOTlVBTF9ST0xMJywnKzEnLDM5NzY4LCwsJycp&amp;WINDOW=FIRST_POPUP&amp;HEIGHT=450&amp;WIDTH=450&amp;START_MAXIMIZED=FALSE&amp;VAR:CALENDAR=US&amp;VAR:SYMBOL=98433210&amp;VAR:INDEX=0"}</definedName>
    <definedName name="_8636__FDSAUDITLINK__">{"fdsup://directions/FAT Viewer?action=UPDATE&amp;creator=factset&amp;DYN_ARGS=TRUE&amp;DOC_NAME=FAT:FQL_AUDITING_CLIENT_TEMPLATE.FAT&amp;display_string=Audit&amp;VAR:KEY=JUHOBMHOHO&amp;VAR:QUERY=KFBfUFJJQ0UoMzk3NjcpLShGRl9DQVNIX1NUKFFUUiwzOTc2NykvUF9DT01fU0hTX09VVCgzOTc2NykpKS9GR","V9FU1RJTUFURSgnRVBTJywnTUVBTicsJ0FOTlVBTF9ST0xMJywnKzEnLDM5NzY3LCwsJycp&amp;WINDOW=FIRST_POPUP&amp;HEIGHT=450&amp;WIDTH=450&amp;START_MAXIMIZED=FALSE&amp;VAR:CALENDAR=US&amp;VAR:SYMBOL=98433210&amp;VAR:INDEX=0"}</definedName>
    <definedName name="_8637__FDSAUDITLINK__">{"fdsup://directions/FAT Viewer?action=UPDATE&amp;creator=factset&amp;DYN_ARGS=TRUE&amp;DOC_NAME=FAT:FQL_AUDITING_CLIENT_TEMPLATE.FAT&amp;display_string=Audit&amp;VAR:KEY=JUHOBMHOHO&amp;VAR:QUERY=KFBfUFJJQ0UoMzk3NjcpLShGRl9DQVNIX1NUKFFUUiwzOTc2NykvUF9DT01fU0hTX09VVCgzOTc2NykpKS9GR","V9FU1RJTUFURSgnRVBTJywnTUVBTicsJ0FOTlVBTF9ST0xMJywnKzEnLDM5NzY3LCwsJycp&amp;WINDOW=FIRST_POPUP&amp;HEIGHT=450&amp;WIDTH=450&amp;START_MAXIMIZED=FALSE&amp;VAR:CALENDAR=US&amp;VAR:SYMBOL=98433210&amp;VAR:INDEX=0"}</definedName>
    <definedName name="_8638__FDSAUDITLINK__">{"fdsup://directions/FAT Viewer?action=UPDATE&amp;creator=factset&amp;DYN_ARGS=TRUE&amp;DOC_NAME=FAT:FQL_AUDITING_CLIENT_TEMPLATE.FAT&amp;display_string=Audit&amp;VAR:KEY=HSXSJGRMBG&amp;VAR:QUERY=KFBfUFJJQ0UoMzk3NjYpLShGRl9DQVNIX1NUKFFUUiwzOTc2NikvUF9DT01fU0hTX09VVCgzOTc2NikpKS9GR","V9FU1RJTUFURSgnRVBTJywnTUVBTicsJ0FOTlVBTF9ST0xMJywnKzEnLDM5NzY2LCwsJycp&amp;WINDOW=FIRST_POPUP&amp;HEIGHT=450&amp;WIDTH=450&amp;START_MAXIMIZED=FALSE&amp;VAR:CALENDAR=US&amp;VAR:SYMBOL=98433210&amp;VAR:INDEX=0"}</definedName>
    <definedName name="_8639__FDSAUDITLINK__">{"fdsup://directions/FAT Viewer?action=UPDATE&amp;creator=factset&amp;DYN_ARGS=TRUE&amp;DOC_NAME=FAT:FQL_AUDITING_CLIENT_TEMPLATE.FAT&amp;display_string=Audit&amp;VAR:KEY=HSXSJGRMBG&amp;VAR:QUERY=KFBfUFJJQ0UoMzk3NjYpLShGRl9DQVNIX1NUKFFUUiwzOTc2NikvUF9DT01fU0hTX09VVCgzOTc2NikpKS9GR","V9FU1RJTUFURSgnRVBTJywnTUVBTicsJ0FOTlVBTF9ST0xMJywnKzEnLDM5NzY2LCwsJycp&amp;WINDOW=FIRST_POPUP&amp;HEIGHT=450&amp;WIDTH=450&amp;START_MAXIMIZED=FALSE&amp;VAR:CALENDAR=US&amp;VAR:SYMBOL=98433210&amp;VAR:INDEX=0"}</definedName>
    <definedName name="_86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926"}</definedName>
    <definedName name="_8640__FDSAUDITLINK__">{"fdsup://directions/FAT Viewer?action=UPDATE&amp;creator=factset&amp;DYN_ARGS=TRUE&amp;DOC_NAME=FAT:FQL_AUDITING_CLIENT_TEMPLATE.FAT&amp;display_string=Audit&amp;VAR:KEY=RMXYPUXWRW&amp;VAR:QUERY=KFBfUFJJQ0UoMzk3NjUpLShGRl9DQVNIX1NUKFFUUiwzOTc2NSkvUF9DT01fU0hTX09VVCgzOTc2NSkpKS9GR","V9FU1RJTUFURSgnRVBTJywnTUVBTicsJ0FOTlVBTF9ST0xMJywnKzEnLDM5NzY1LCwsJycp&amp;WINDOW=FIRST_POPUP&amp;HEIGHT=450&amp;WIDTH=450&amp;START_MAXIMIZED=FALSE&amp;VAR:CALENDAR=US&amp;VAR:SYMBOL=98433210&amp;VAR:INDEX=0"}</definedName>
    <definedName name="_8641__FDSAUDITLINK__">{"fdsup://directions/FAT Viewer?action=UPDATE&amp;creator=factset&amp;DYN_ARGS=TRUE&amp;DOC_NAME=FAT:FQL_AUDITING_CLIENT_TEMPLATE.FAT&amp;display_string=Audit&amp;VAR:KEY=RMXYPUXWRW&amp;VAR:QUERY=KFBfUFJJQ0UoMzk3NjUpLShGRl9DQVNIX1NUKFFUUiwzOTc2NSkvUF9DT01fU0hTX09VVCgzOTc2NSkpKS9GR","V9FU1RJTUFURSgnRVBTJywnTUVBTicsJ0FOTlVBTF9ST0xMJywnKzEnLDM5NzY1LCwsJycp&amp;WINDOW=FIRST_POPUP&amp;HEIGHT=450&amp;WIDTH=450&amp;START_MAXIMIZED=FALSE&amp;VAR:CALENDAR=US&amp;VAR:SYMBOL=98433210&amp;VAR:INDEX=0"}</definedName>
    <definedName name="_8642__FDSAUDITLINK__">{"fdsup://directions/FAT Viewer?action=UPDATE&amp;creator=factset&amp;DYN_ARGS=TRUE&amp;DOC_NAME=FAT:FQL_AUDITING_CLIENT_TEMPLATE.FAT&amp;display_string=Audit&amp;VAR:KEY=TCNOZYBMZS&amp;VAR:QUERY=KFBfUFJJQ0UoMzk3NjQpLShGRl9DQVNIX1NUKFFUUiwzOTc2NCkvUF9DT01fU0hTX09VVCgzOTc2NCkpKS9GR","V9FU1RJTUFURSgnRVBTJywnTUVBTicsJ0FOTlVBTF9ST0xMJywnKzEnLDM5NzY0LCwsJycp&amp;WINDOW=FIRST_POPUP&amp;HEIGHT=450&amp;WIDTH=450&amp;START_MAXIMIZED=FALSE&amp;VAR:CALENDAR=US&amp;VAR:SYMBOL=98433210&amp;VAR:INDEX=0"}</definedName>
    <definedName name="_8643__FDSAUDITLINK__">{"fdsup://directions/FAT Viewer?action=UPDATE&amp;creator=factset&amp;DYN_ARGS=TRUE&amp;DOC_NAME=FAT:FQL_AUDITING_CLIENT_TEMPLATE.FAT&amp;display_string=Audit&amp;VAR:KEY=TCNOZYBMZS&amp;VAR:QUERY=KFBfUFJJQ0UoMzk3NjQpLShGRl9DQVNIX1NUKFFUUiwzOTc2NCkvUF9DT01fU0hTX09VVCgzOTc2NCkpKS9GR","V9FU1RJTUFURSgnRVBTJywnTUVBTicsJ0FOTlVBTF9ST0xMJywnKzEnLDM5NzY0LCwsJycp&amp;WINDOW=FIRST_POPUP&amp;HEIGHT=450&amp;WIDTH=450&amp;START_MAXIMIZED=FALSE&amp;VAR:CALENDAR=US&amp;VAR:SYMBOL=98433210&amp;VAR:INDEX=0"}</definedName>
    <definedName name="_8644__FDSAUDITLINK__">{"fdsup://directions/FAT Viewer?action=UPDATE&amp;creator=factset&amp;DYN_ARGS=TRUE&amp;DOC_NAME=FAT:FQL_AUDITING_CLIENT_TEMPLATE.FAT&amp;display_string=Audit&amp;VAR:KEY=XWJITANKPS&amp;VAR:QUERY=KFBfUFJJQ0UoMzk3NjMpLShGRl9DQVNIX1NUKFFUUiwzOTc2MykvUF9DT01fU0hTX09VVCgzOTc2MykpKS9GR","V9FU1RJTUFURSgnRVBTJywnTUVBTicsJ0FOTlVBTF9ST0xMJywnKzEnLDM5NzYzLCwsJycp&amp;WINDOW=FIRST_POPUP&amp;HEIGHT=450&amp;WIDTH=450&amp;START_MAXIMIZED=FALSE&amp;VAR:CALENDAR=US&amp;VAR:SYMBOL=98433210&amp;VAR:INDEX=0"}</definedName>
    <definedName name="_8645__FDSAUDITLINK__">{"fdsup://directions/FAT Viewer?action=UPDATE&amp;creator=factset&amp;DYN_ARGS=TRUE&amp;DOC_NAME=FAT:FQL_AUDITING_CLIENT_TEMPLATE.FAT&amp;display_string=Audit&amp;VAR:KEY=XWJITANKPS&amp;VAR:QUERY=KFBfUFJJQ0UoMzk3NjMpLShGRl9DQVNIX1NUKFFUUiwzOTc2MykvUF9DT01fU0hTX09VVCgzOTc2MykpKS9GR","V9FU1RJTUFURSgnRVBTJywnTUVBTicsJ0FOTlVBTF9ST0xMJywnKzEnLDM5NzYzLCwsJycp&amp;WINDOW=FIRST_POPUP&amp;HEIGHT=450&amp;WIDTH=450&amp;START_MAXIMIZED=FALSE&amp;VAR:CALENDAR=US&amp;VAR:SYMBOL=98433210&amp;VAR:INDEX=0"}</definedName>
    <definedName name="_8646__FDSAUDITLINK__">{"fdsup://directions/FAT Viewer?action=UPDATE&amp;creator=factset&amp;DYN_ARGS=TRUE&amp;DOC_NAME=FAT:FQL_AUDITING_CLIENT_TEMPLATE.FAT&amp;display_string=Audit&amp;VAR:KEY=ZOTQHAFYLS&amp;VAR:QUERY=KFBfUFJJQ0UoMzk3NjIpLShGRl9DQVNIX1NUKFFUUiwzOTc2MikvUF9DT01fU0hTX09VVCgzOTc2MikpKS9GR","V9FU1RJTUFURSgnRVBTJywnTUVBTicsJ0FOTlVBTF9ST0xMJywnKzEnLDM5NzYyLCwsJycp&amp;WINDOW=FIRST_POPUP&amp;HEIGHT=450&amp;WIDTH=450&amp;START_MAXIMIZED=FALSE&amp;VAR:CALENDAR=US&amp;VAR:SYMBOL=98433210&amp;VAR:INDEX=0"}</definedName>
    <definedName name="_8647__FDSAUDITLINK__">{"fdsup://directions/FAT Viewer?action=UPDATE&amp;creator=factset&amp;DYN_ARGS=TRUE&amp;DOC_NAME=FAT:FQL_AUDITING_CLIENT_TEMPLATE.FAT&amp;display_string=Audit&amp;VAR:KEY=ZOTQHAFYLS&amp;VAR:QUERY=KFBfUFJJQ0UoMzk3NjIpLShGRl9DQVNIX1NUKFFUUiwzOTc2MikvUF9DT01fU0hTX09VVCgzOTc2MikpKS9GR","V9FU1RJTUFURSgnRVBTJywnTUVBTicsJ0FOTlVBTF9ST0xMJywnKzEnLDM5NzYyLCwsJycp&amp;WINDOW=FIRST_POPUP&amp;HEIGHT=450&amp;WIDTH=450&amp;START_MAXIMIZED=FALSE&amp;VAR:CALENDAR=US&amp;VAR:SYMBOL=98433210&amp;VAR:INDEX=0"}</definedName>
    <definedName name="_8648__FDSAUDITLINK__">{"fdsup://directions/FAT Viewer?action=UPDATE&amp;creator=factset&amp;DYN_ARGS=TRUE&amp;DOC_NAME=FAT:FQL_AUDITING_CLIENT_TEMPLATE.FAT&amp;display_string=Audit&amp;VAR:KEY=LCLIPEZMPC&amp;VAR:QUERY=KFBfUFJJQ0UoMzk3NjEpLShGRl9DQVNIX1NUKFFUUiwzOTc2MSkvUF9DT01fU0hTX09VVCgzOTc2MSkpKS9GR","V9FU1RJTUFURSgnRVBTJywnTUVBTicsJ0FOTlVBTF9ST0xMJywnKzEnLDM5NzYxLCwsJycp&amp;WINDOW=FIRST_POPUP&amp;HEIGHT=450&amp;WIDTH=450&amp;START_MAXIMIZED=FALSE&amp;VAR:CALENDAR=US&amp;VAR:SYMBOL=98433210&amp;VAR:INDEX=0"}</definedName>
    <definedName name="_8649__FDSAUDITLINK__">{"fdsup://directions/FAT Viewer?action=UPDATE&amp;creator=factset&amp;DYN_ARGS=TRUE&amp;DOC_NAME=FAT:FQL_AUDITING_CLIENT_TEMPLATE.FAT&amp;display_string=Audit&amp;VAR:KEY=LCLIPEZMPC&amp;VAR:QUERY=KFBfUFJJQ0UoMzk3NjEpLShGRl9DQVNIX1NUKFFUUiwzOTc2MSkvUF9DT01fU0hTX09VVCgzOTc2MSkpKS9GR","V9FU1RJTUFURSgnRVBTJywnTUVBTicsJ0FOTlVBTF9ST0xMJywnKzEnLDM5NzYxLCwsJycp&amp;WINDOW=FIRST_POPUP&amp;HEIGHT=450&amp;WIDTH=450&amp;START_MAXIMIZED=FALSE&amp;VAR:CALENDAR=US&amp;VAR:SYMBOL=98433210&amp;VAR:INDEX=0"}</definedName>
    <definedName name="_86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925"}</definedName>
    <definedName name="_8650__FDSAUDITLINK__">{"fdsup://directions/FAT Viewer?action=UPDATE&amp;creator=factset&amp;DYN_ARGS=TRUE&amp;DOC_NAME=FAT:FQL_AUDITING_CLIENT_TEMPLATE.FAT&amp;display_string=Audit&amp;VAR:KEY=ZKDIFOZWRS&amp;VAR:QUERY=KFBfUFJJQ0UoMzk3NjApLShGRl9DQVNIX1NUKFFUUiwzOTc2MCkvUF9DT01fU0hTX09VVCgzOTc2MCkpKS9GR","V9FU1RJTUFURSgnRVBTJywnTUVBTicsJ0FOTlVBTF9ST0xMJywnKzEnLDM5NzYwLCwsJycp&amp;WINDOW=FIRST_POPUP&amp;HEIGHT=450&amp;WIDTH=450&amp;START_MAXIMIZED=FALSE&amp;VAR:CALENDAR=US&amp;VAR:SYMBOL=98433210&amp;VAR:INDEX=0"}</definedName>
    <definedName name="_8651__FDSAUDITLINK__">{"fdsup://directions/FAT Viewer?action=UPDATE&amp;creator=factset&amp;DYN_ARGS=TRUE&amp;DOC_NAME=FAT:FQL_AUDITING_CLIENT_TEMPLATE.FAT&amp;display_string=Audit&amp;VAR:KEY=ZKDIFOZWRS&amp;VAR:QUERY=KFBfUFJJQ0UoMzk3NjApLShGRl9DQVNIX1NUKFFUUiwzOTc2MCkvUF9DT01fU0hTX09VVCgzOTc2MCkpKS9GR","V9FU1RJTUFURSgnRVBTJywnTUVBTicsJ0FOTlVBTF9ST0xMJywnKzEnLDM5NzYwLCwsJycp&amp;WINDOW=FIRST_POPUP&amp;HEIGHT=450&amp;WIDTH=450&amp;START_MAXIMIZED=FALSE&amp;VAR:CALENDAR=US&amp;VAR:SYMBOL=98433210&amp;VAR:INDEX=0"}</definedName>
    <definedName name="_8652__FDSAUDITLINK__">{"fdsup://directions/FAT Viewer?action=UPDATE&amp;creator=factset&amp;DYN_ARGS=TRUE&amp;DOC_NAME=FAT:FQL_AUDITING_CLIENT_TEMPLATE.FAT&amp;display_string=Audit&amp;VAR:KEY=ZMFORQROHY&amp;VAR:QUERY=KFBfUFJJQ0UoMzk3NTkpLShGRl9DQVNIX1NUKFFUUiwzOTc1OSkvUF9DT01fU0hTX09VVCgzOTc1OSkpKS9GR","V9FU1RJTUFURSgnRVBTJywnTUVBTicsJ0FOTlVBTF9ST0xMJywnKzEnLDM5NzU5LCwsJycp&amp;WINDOW=FIRST_POPUP&amp;HEIGHT=450&amp;WIDTH=450&amp;START_MAXIMIZED=FALSE&amp;VAR:CALENDAR=US&amp;VAR:SYMBOL=98433210&amp;VAR:INDEX=0"}</definedName>
    <definedName name="_8653__FDSAUDITLINK__">{"fdsup://directions/FAT Viewer?action=UPDATE&amp;creator=factset&amp;DYN_ARGS=TRUE&amp;DOC_NAME=FAT:FQL_AUDITING_CLIENT_TEMPLATE.FAT&amp;display_string=Audit&amp;VAR:KEY=ZMFORQROHY&amp;VAR:QUERY=KFBfUFJJQ0UoMzk3NTkpLShGRl9DQVNIX1NUKFFUUiwzOTc1OSkvUF9DT01fU0hTX09VVCgzOTc1OSkpKS9GR","V9FU1RJTUFURSgnRVBTJywnTUVBTicsJ0FOTlVBTF9ST0xMJywnKzEnLDM5NzU5LCwsJycp&amp;WINDOW=FIRST_POPUP&amp;HEIGHT=450&amp;WIDTH=450&amp;START_MAXIMIZED=FALSE&amp;VAR:CALENDAR=US&amp;VAR:SYMBOL=98433210&amp;VAR:INDEX=0"}</definedName>
    <definedName name="_8654__FDSAUDITLINK__">{"fdsup://directions/FAT Viewer?action=UPDATE&amp;creator=factset&amp;DYN_ARGS=TRUE&amp;DOC_NAME=FAT:FQL_AUDITING_CLIENT_TEMPLATE.FAT&amp;display_string=Audit&amp;VAR:KEY=TYBYBGVIHQ&amp;VAR:QUERY=KFBfUFJJQ0UoMzk3NTgpLShGRl9DQVNIX1NUKFFUUiwzOTc1OCkvUF9DT01fU0hTX09VVCgzOTc1OCkpKS9GR","V9FU1RJTUFURSgnRVBTJywnTUVBTicsJ0FOTlVBTF9ST0xMJywnKzEnLDM5NzU4LCwsJycp&amp;WINDOW=FIRST_POPUP&amp;HEIGHT=450&amp;WIDTH=450&amp;START_MAXIMIZED=FALSE&amp;VAR:CALENDAR=US&amp;VAR:SYMBOL=98433210&amp;VAR:INDEX=0"}</definedName>
    <definedName name="_8655__FDSAUDITLINK__">{"fdsup://directions/FAT Viewer?action=UPDATE&amp;creator=factset&amp;DYN_ARGS=TRUE&amp;DOC_NAME=FAT:FQL_AUDITING_CLIENT_TEMPLATE.FAT&amp;display_string=Audit&amp;VAR:KEY=TYBYBGVIHQ&amp;VAR:QUERY=KFBfUFJJQ0UoMzk3NTgpLShGRl9DQVNIX1NUKFFUUiwzOTc1OCkvUF9DT01fU0hTX09VVCgzOTc1OCkpKS9GR","V9FU1RJTUFURSgnRVBTJywnTUVBTicsJ0FOTlVBTF9ST0xMJywnKzEnLDM5NzU4LCwsJycp&amp;WINDOW=FIRST_POPUP&amp;HEIGHT=450&amp;WIDTH=450&amp;START_MAXIMIZED=FALSE&amp;VAR:CALENDAR=US&amp;VAR:SYMBOL=98433210&amp;VAR:INDEX=0"}</definedName>
    <definedName name="_8656__FDSAUDITLINK__">{"fdsup://directions/FAT Viewer?action=UPDATE&amp;creator=factset&amp;DYN_ARGS=TRUE&amp;DOC_NAME=FAT:FQL_AUDITING_CLIENT_TEMPLATE.FAT&amp;display_string=Audit&amp;VAR:KEY=BSNOJEZETS&amp;VAR:QUERY=KFBfUFJJQ0UoMzk3NTcpLShGRl9DQVNIX1NUKFFUUiwzOTc1NykvUF9DT01fU0hTX09VVCgzOTc1NykpKS9GR","V9FU1RJTUFURSgnRVBTJywnTUVBTicsJ0FOTlVBTF9ST0xMJywnKzEnLDM5NzU3LCwsJycp&amp;WINDOW=FIRST_POPUP&amp;HEIGHT=450&amp;WIDTH=450&amp;START_MAXIMIZED=FALSE&amp;VAR:CALENDAR=US&amp;VAR:SYMBOL=98433210&amp;VAR:INDEX=0"}</definedName>
    <definedName name="_8657__FDSAUDITLINK__">{"fdsup://directions/FAT Viewer?action=UPDATE&amp;creator=factset&amp;DYN_ARGS=TRUE&amp;DOC_NAME=FAT:FQL_AUDITING_CLIENT_TEMPLATE.FAT&amp;display_string=Audit&amp;VAR:KEY=BSNOJEZETS&amp;VAR:QUERY=KFBfUFJJQ0UoMzk3NTcpLShGRl9DQVNIX1NUKFFUUiwzOTc1NykvUF9DT01fU0hTX09VVCgzOTc1NykpKS9GR","V9FU1RJTUFURSgnRVBTJywnTUVBTicsJ0FOTlVBTF9ST0xMJywnKzEnLDM5NzU3LCwsJycp&amp;WINDOW=FIRST_POPUP&amp;HEIGHT=450&amp;WIDTH=450&amp;START_MAXIMIZED=FALSE&amp;VAR:CALENDAR=US&amp;VAR:SYMBOL=98433210&amp;VAR:INDEX=0"}</definedName>
    <definedName name="_8658__FDSAUDITLINK__">{"fdsup://directions/FAT Viewer?action=UPDATE&amp;creator=factset&amp;DYN_ARGS=TRUE&amp;DOC_NAME=FAT:FQL_AUDITING_CLIENT_TEMPLATE.FAT&amp;display_string=Audit&amp;VAR:KEY=LKLYRYVSVS&amp;VAR:QUERY=KFBfUFJJQ0UoMzk3NTYpLShGRl9DQVNIX1NUKFFUUiwzOTc1NikvUF9DT01fU0hTX09VVCgzOTc1NikpKS9GR","V9FU1RJTUFURSgnRVBTJywnTUVBTicsJ0FOTlVBTF9ST0xMJywnKzEnLDM5NzU2LCwsJycp&amp;WINDOW=FIRST_POPUP&amp;HEIGHT=450&amp;WIDTH=450&amp;START_MAXIMIZED=FALSE&amp;VAR:CALENDAR=US&amp;VAR:SYMBOL=98433210&amp;VAR:INDEX=0"}</definedName>
    <definedName name="_8659__FDSAUDITLINK__">{"fdsup://directions/FAT Viewer?action=UPDATE&amp;creator=factset&amp;DYN_ARGS=TRUE&amp;DOC_NAME=FAT:FQL_AUDITING_CLIENT_TEMPLATE.FAT&amp;display_string=Audit&amp;VAR:KEY=LKLYRYVSVS&amp;VAR:QUERY=KFBfUFJJQ0UoMzk3NTYpLShGRl9DQVNIX1NUKFFUUiwzOTc1NikvUF9DT01fU0hTX09VVCgzOTc1NikpKS9GR","V9FU1RJTUFURSgnRVBTJywnTUVBTicsJ0FOTlVBTF9ST0xMJywnKzEnLDM5NzU2LCwsJycp&amp;WINDOW=FIRST_POPUP&amp;HEIGHT=450&amp;WIDTH=450&amp;START_MAXIMIZED=FALSE&amp;VAR:CALENDAR=US&amp;VAR:SYMBOL=98433210&amp;VAR:INDEX=0"}</definedName>
    <definedName name="_86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924"}</definedName>
    <definedName name="_8660__FDSAUDITLINK__">{"fdsup://directions/FAT Viewer?action=UPDATE&amp;creator=factset&amp;DYN_ARGS=TRUE&amp;DOC_NAME=FAT:FQL_AUDITING_CLIENT_TEMPLATE.FAT&amp;display_string=Audit&amp;VAR:KEY=FYLQBEXGLG&amp;VAR:QUERY=KFBfUFJJQ0UoMzk3NTUpLShGRl9DQVNIX1NUKFFUUiwzOTc1NSkvUF9DT01fU0hTX09VVCgzOTc1NSkpKS9GR","V9FU1RJTUFURSgnRVBTJywnTUVBTicsJ0FOTlVBTF9ST0xMJywnKzEnLDM5NzU1LCwsJycp&amp;WINDOW=FIRST_POPUP&amp;HEIGHT=450&amp;WIDTH=450&amp;START_MAXIMIZED=FALSE&amp;VAR:CALENDAR=US&amp;VAR:SYMBOL=98433210&amp;VAR:INDEX=0"}</definedName>
    <definedName name="_8661__FDSAUDITLINK__">{"fdsup://directions/FAT Viewer?action=UPDATE&amp;creator=factset&amp;DYN_ARGS=TRUE&amp;DOC_NAME=FAT:FQL_AUDITING_CLIENT_TEMPLATE.FAT&amp;display_string=Audit&amp;VAR:KEY=FYLQBEXGLG&amp;VAR:QUERY=KFBfUFJJQ0UoMzk3NTUpLShGRl9DQVNIX1NUKFFUUiwzOTc1NSkvUF9DT01fU0hTX09VVCgzOTc1NSkpKS9GR","V9FU1RJTUFURSgnRVBTJywnTUVBTicsJ0FOTlVBTF9ST0xMJywnKzEnLDM5NzU1LCwsJycp&amp;WINDOW=FIRST_POPUP&amp;HEIGHT=450&amp;WIDTH=450&amp;START_MAXIMIZED=FALSE&amp;VAR:CALENDAR=US&amp;VAR:SYMBOL=98433210&amp;VAR:INDEX=0"}</definedName>
    <definedName name="_8662__FDSAUDITLINK__">{"fdsup://directions/FAT Viewer?action=UPDATE&amp;creator=factset&amp;DYN_ARGS=TRUE&amp;DOC_NAME=FAT:FQL_AUDITING_CLIENT_TEMPLATE.FAT&amp;display_string=Audit&amp;VAR:KEY=FYJWVOJMHE&amp;VAR:QUERY=KFBfUFJJQ0UoMzk3NTQpLShGRl9DQVNIX1NUKFFUUiwzOTc1NCkvUF9DT01fU0hTX09VVCgzOTc1NCkpKS9GR","V9FU1RJTUFURSgnRVBTJywnTUVBTicsJ0FOTlVBTF9ST0xMJywnKzEnLDM5NzU0LCwsJycp&amp;WINDOW=FIRST_POPUP&amp;HEIGHT=450&amp;WIDTH=450&amp;START_MAXIMIZED=FALSE&amp;VAR:CALENDAR=US&amp;VAR:SYMBOL=98433210&amp;VAR:INDEX=0"}</definedName>
    <definedName name="_8663__FDSAUDITLINK__">{"fdsup://directions/FAT Viewer?action=UPDATE&amp;creator=factset&amp;DYN_ARGS=TRUE&amp;DOC_NAME=FAT:FQL_AUDITING_CLIENT_TEMPLATE.FAT&amp;display_string=Audit&amp;VAR:KEY=FYJWVOJMHE&amp;VAR:QUERY=KFBfUFJJQ0UoMzk3NTQpLShGRl9DQVNIX1NUKFFUUiwzOTc1NCkvUF9DT01fU0hTX09VVCgzOTc1NCkpKS9GR","V9FU1RJTUFURSgnRVBTJywnTUVBTicsJ0FOTlVBTF9ST0xMJywnKzEnLDM5NzU0LCwsJycp&amp;WINDOW=FIRST_POPUP&amp;HEIGHT=450&amp;WIDTH=450&amp;START_MAXIMIZED=FALSE&amp;VAR:CALENDAR=US&amp;VAR:SYMBOL=98433210&amp;VAR:INDEX=0"}</definedName>
    <definedName name="_8664__FDSAUDITLINK__">{"fdsup://directions/FAT Viewer?action=UPDATE&amp;creator=factset&amp;DYN_ARGS=TRUE&amp;DOC_NAME=FAT:FQL_AUDITING_CLIENT_TEMPLATE.FAT&amp;display_string=Audit&amp;VAR:KEY=LAZIVMBSTW&amp;VAR:QUERY=KFBfUFJJQ0UoMzk3NTMpLShGRl9DQVNIX1NUKFFUUiwzOTc1MykvUF9DT01fU0hTX09VVCgzOTc1MykpKS9GR","V9FU1RJTUFURSgnRVBTJywnTUVBTicsJ0FOTlVBTF9ST0xMJywnKzEnLDM5NzUzLCwsJycp&amp;WINDOW=FIRST_POPUP&amp;HEIGHT=450&amp;WIDTH=450&amp;START_MAXIMIZED=FALSE&amp;VAR:CALENDAR=US&amp;VAR:SYMBOL=98433210&amp;VAR:INDEX=0"}</definedName>
    <definedName name="_8665__FDSAUDITLINK__">{"fdsup://directions/FAT Viewer?action=UPDATE&amp;creator=factset&amp;DYN_ARGS=TRUE&amp;DOC_NAME=FAT:FQL_AUDITING_CLIENT_TEMPLATE.FAT&amp;display_string=Audit&amp;VAR:KEY=LAZIVMBSTW&amp;VAR:QUERY=KFBfUFJJQ0UoMzk3NTMpLShGRl9DQVNIX1NUKFFUUiwzOTc1MykvUF9DT01fU0hTX09VVCgzOTc1MykpKS9GR","V9FU1RJTUFURSgnRVBTJywnTUVBTicsJ0FOTlVBTF9ST0xMJywnKzEnLDM5NzUzLCwsJycp&amp;WINDOW=FIRST_POPUP&amp;HEIGHT=450&amp;WIDTH=450&amp;START_MAXIMIZED=FALSE&amp;VAR:CALENDAR=US&amp;VAR:SYMBOL=98433210&amp;VAR:INDEX=0"}</definedName>
    <definedName name="_8666__FDSAUDITLINK__">{"fdsup://directions/FAT Viewer?action=UPDATE&amp;creator=factset&amp;DYN_ARGS=TRUE&amp;DOC_NAME=FAT:FQL_AUDITING_CLIENT_TEMPLATE.FAT&amp;display_string=Audit&amp;VAR:KEY=NYLCJQNGDW&amp;VAR:QUERY=KFBfUFJJQ0UoMzk3NTIpLShGRl9DQVNIX1NUKFFUUiwzOTc1MikvUF9DT01fU0hTX09VVCgzOTc1MikpKS9GR","V9FU1RJTUFURSgnRVBTJywnTUVBTicsJ0FOTlVBTF9ST0xMJywnKzEnLDM5NzUyLCwsJycp&amp;WINDOW=FIRST_POPUP&amp;HEIGHT=450&amp;WIDTH=450&amp;START_MAXIMIZED=FALSE&amp;VAR:CALENDAR=US&amp;VAR:SYMBOL=98433210&amp;VAR:INDEX=0"}</definedName>
    <definedName name="_8667__FDSAUDITLINK__">{"fdsup://directions/FAT Viewer?action=UPDATE&amp;creator=factset&amp;DYN_ARGS=TRUE&amp;DOC_NAME=FAT:FQL_AUDITING_CLIENT_TEMPLATE.FAT&amp;display_string=Audit&amp;VAR:KEY=NYLCJQNGDW&amp;VAR:QUERY=KFBfUFJJQ0UoMzk3NTIpLShGRl9DQVNIX1NUKFFUUiwzOTc1MikvUF9DT01fU0hTX09VVCgzOTc1MikpKS9GR","V9FU1RJTUFURSgnRVBTJywnTUVBTicsJ0FOTlVBTF9ST0xMJywnKzEnLDM5NzUyLCwsJycp&amp;WINDOW=FIRST_POPUP&amp;HEIGHT=450&amp;WIDTH=450&amp;START_MAXIMIZED=FALSE&amp;VAR:CALENDAR=US&amp;VAR:SYMBOL=98433210&amp;VAR:INDEX=0"}</definedName>
    <definedName name="_8668__FDSAUDITLINK__">{"fdsup://directions/FAT Viewer?action=UPDATE&amp;creator=factset&amp;DYN_ARGS=TRUE&amp;DOC_NAME=FAT:FQL_AUDITING_CLIENT_TEMPLATE.FAT&amp;display_string=Audit&amp;VAR:KEY=RAVYDWVCZG&amp;VAR:QUERY=KFBfUFJJQ0UoMzk3NTEpLShGRl9DQVNIX1NUKFFUUiwzOTc1MSkvUF9DT01fU0hTX09VVCgzOTc1MSkpKS9GR","V9FU1RJTUFURSgnRVBTJywnTUVBTicsJ0FOTlVBTF9ST0xMJywnKzEnLDM5NzUxLCwsJycp&amp;WINDOW=FIRST_POPUP&amp;HEIGHT=450&amp;WIDTH=450&amp;START_MAXIMIZED=FALSE&amp;VAR:CALENDAR=US&amp;VAR:SYMBOL=98433210&amp;VAR:INDEX=0"}</definedName>
    <definedName name="_8669__FDSAUDITLINK__">{"fdsup://directions/FAT Viewer?action=UPDATE&amp;creator=factset&amp;DYN_ARGS=TRUE&amp;DOC_NAME=FAT:FQL_AUDITING_CLIENT_TEMPLATE.FAT&amp;display_string=Audit&amp;VAR:KEY=RAVYDWVCZG&amp;VAR:QUERY=KFBfUFJJQ0UoMzk3NTEpLShGRl9DQVNIX1NUKFFUUiwzOTc1MSkvUF9DT01fU0hTX09VVCgzOTc1MSkpKS9GR","V9FU1RJTUFURSgnRVBTJywnTUVBTicsJ0FOTlVBTF9ST0xMJywnKzEnLDM5NzUxLCwsJycp&amp;WINDOW=FIRST_POPUP&amp;HEIGHT=450&amp;WIDTH=450&amp;START_MAXIMIZED=FALSE&amp;VAR:CALENDAR=US&amp;VAR:SYMBOL=98433210&amp;VAR:INDEX=0"}</definedName>
    <definedName name="_86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923"}</definedName>
    <definedName name="_8670__FDSAUDITLINK__">{"fdsup://directions/FAT Viewer?action=UPDATE&amp;creator=factset&amp;DYN_ARGS=TRUE&amp;DOC_NAME=FAT:FQL_AUDITING_CLIENT_TEMPLATE.FAT&amp;display_string=Audit&amp;VAR:KEY=LORIVQJYJG&amp;VAR:QUERY=KFBfUFJJQ0UoMzk3NTApLShGRl9DQVNIX1NUKFFUUiwzOTc1MCkvUF9DT01fU0hTX09VVCgzOTc1MCkpKS9GR","V9FU1RJTUFURSgnRVBTJywnTUVBTicsJ0FOTlVBTF9ST0xMJywnKzEnLDM5NzUwLCwsJycp&amp;WINDOW=FIRST_POPUP&amp;HEIGHT=450&amp;WIDTH=450&amp;START_MAXIMIZED=FALSE&amp;VAR:CALENDAR=US&amp;VAR:SYMBOL=98433210&amp;VAR:INDEX=0"}</definedName>
    <definedName name="_8671__FDSAUDITLINK__">{"fdsup://directions/FAT Viewer?action=UPDATE&amp;creator=factset&amp;DYN_ARGS=TRUE&amp;DOC_NAME=FAT:FQL_AUDITING_CLIENT_TEMPLATE.FAT&amp;display_string=Audit&amp;VAR:KEY=LORIVQJYJG&amp;VAR:QUERY=KFBfUFJJQ0UoMzk3NTApLShGRl9DQVNIX1NUKFFUUiwzOTc1MCkvUF9DT01fU0hTX09VVCgzOTc1MCkpKS9GR","V9FU1RJTUFURSgnRVBTJywnTUVBTicsJ0FOTlVBTF9ST0xMJywnKzEnLDM5NzUwLCwsJycp&amp;WINDOW=FIRST_POPUP&amp;HEIGHT=450&amp;WIDTH=450&amp;START_MAXIMIZED=FALSE&amp;VAR:CALENDAR=US&amp;VAR:SYMBOL=98433210&amp;VAR:INDEX=0"}</definedName>
    <definedName name="_8672__FDSAUDITLINK__">{"fdsup://directions/FAT Viewer?action=UPDATE&amp;creator=factset&amp;DYN_ARGS=TRUE&amp;DOC_NAME=FAT:FQL_AUDITING_CLIENT_TEMPLATE.FAT&amp;display_string=Audit&amp;VAR:KEY=JKHWZMHGZS&amp;VAR:QUERY=KFBfUFJJQ0UoMzk3NDkpLShGRl9DQVNIX1NUKFFUUiwzOTc0OSkvUF9DT01fU0hTX09VVCgzOTc0OSkpKS9GR","V9FU1RJTUFURSgnRVBTJywnTUVBTicsJ0FOTlVBTF9ST0xMJywnKzEnLDM5NzQ5LCwsJycp&amp;WINDOW=FIRST_POPUP&amp;HEIGHT=450&amp;WIDTH=450&amp;START_MAXIMIZED=FALSE&amp;VAR:CALENDAR=US&amp;VAR:SYMBOL=98433210&amp;VAR:INDEX=0"}</definedName>
    <definedName name="_8673__FDSAUDITLINK__">{"fdsup://directions/FAT Viewer?action=UPDATE&amp;creator=factset&amp;DYN_ARGS=TRUE&amp;DOC_NAME=FAT:FQL_AUDITING_CLIENT_TEMPLATE.FAT&amp;display_string=Audit&amp;VAR:KEY=JKHWZMHGZS&amp;VAR:QUERY=KFBfUFJJQ0UoMzk3NDkpLShGRl9DQVNIX1NUKFFUUiwzOTc0OSkvUF9DT01fU0hTX09VVCgzOTc0OSkpKS9GR","V9FU1RJTUFURSgnRVBTJywnTUVBTicsJ0FOTlVBTF9ST0xMJywnKzEnLDM5NzQ5LCwsJycp&amp;WINDOW=FIRST_POPUP&amp;HEIGHT=450&amp;WIDTH=450&amp;START_MAXIMIZED=FALSE&amp;VAR:CALENDAR=US&amp;VAR:SYMBOL=98433210&amp;VAR:INDEX=0"}</definedName>
    <definedName name="_8674__FDSAUDITLINK__">{"fdsup://directions/FAT Viewer?action=UPDATE&amp;creator=factset&amp;DYN_ARGS=TRUE&amp;DOC_NAME=FAT:FQL_AUDITING_CLIENT_TEMPLATE.FAT&amp;display_string=Audit&amp;VAR:KEY=PIXQJSREZC&amp;VAR:QUERY=KFBfUFJJQ0UoMzk3NDgpLShGRl9DQVNIX1NUKFFUUiwzOTc0OCkvUF9DT01fU0hTX09VVCgzOTc0OCkpKS9GR","V9FU1RJTUFURSgnRVBTJywnTUVBTicsJ0FOTlVBTF9ST0xMJywnKzEnLDM5NzQ4LCwsJycp&amp;WINDOW=FIRST_POPUP&amp;HEIGHT=450&amp;WIDTH=450&amp;START_MAXIMIZED=FALSE&amp;VAR:CALENDAR=US&amp;VAR:SYMBOL=98433210&amp;VAR:INDEX=0"}</definedName>
    <definedName name="_8675__FDSAUDITLINK__">{"fdsup://directions/FAT Viewer?action=UPDATE&amp;creator=factset&amp;DYN_ARGS=TRUE&amp;DOC_NAME=FAT:FQL_AUDITING_CLIENT_TEMPLATE.FAT&amp;display_string=Audit&amp;VAR:KEY=PIXQJSREZC&amp;VAR:QUERY=KFBfUFJJQ0UoMzk3NDgpLShGRl9DQVNIX1NUKFFUUiwzOTc0OCkvUF9DT01fU0hTX09VVCgzOTc0OCkpKS9GR","V9FU1RJTUFURSgnRVBTJywnTUVBTicsJ0FOTlVBTF9ST0xMJywnKzEnLDM5NzQ4LCwsJycp&amp;WINDOW=FIRST_POPUP&amp;HEIGHT=450&amp;WIDTH=450&amp;START_MAXIMIZED=FALSE&amp;VAR:CALENDAR=US&amp;VAR:SYMBOL=98433210&amp;VAR:INDEX=0"}</definedName>
    <definedName name="_8676__FDSAUDITLINK__">{"fdsup://directions/FAT Viewer?action=UPDATE&amp;creator=factset&amp;DYN_ARGS=TRUE&amp;DOC_NAME=FAT:FQL_AUDITING_CLIENT_TEMPLATE.FAT&amp;display_string=Audit&amp;VAR:KEY=HWRIDSVWZM&amp;VAR:QUERY=KFBfUFJJQ0UoMzk3NDcpLShGRl9DQVNIX1NUKFFUUiwzOTc0NykvUF9DT01fU0hTX09VVCgzOTc0NykpKS9GR","V9FU1RJTUFURSgnRVBTJywnTUVBTicsJ0FOTlVBTF9ST0xMJywnKzEnLDM5NzQ3LCwsJycp&amp;WINDOW=FIRST_POPUP&amp;HEIGHT=450&amp;WIDTH=450&amp;START_MAXIMIZED=FALSE&amp;VAR:CALENDAR=US&amp;VAR:SYMBOL=98433210&amp;VAR:INDEX=0"}</definedName>
    <definedName name="_8677__FDSAUDITLINK__">{"fdsup://directions/FAT Viewer?action=UPDATE&amp;creator=factset&amp;DYN_ARGS=TRUE&amp;DOC_NAME=FAT:FQL_AUDITING_CLIENT_TEMPLATE.FAT&amp;display_string=Audit&amp;VAR:KEY=HWRIDSVWZM&amp;VAR:QUERY=KFBfUFJJQ0UoMzk3NDcpLShGRl9DQVNIX1NUKFFUUiwzOTc0NykvUF9DT01fU0hTX09VVCgzOTc0NykpKS9GR","V9FU1RJTUFURSgnRVBTJywnTUVBTicsJ0FOTlVBTF9ST0xMJywnKzEnLDM5NzQ3LCwsJycp&amp;WINDOW=FIRST_POPUP&amp;HEIGHT=450&amp;WIDTH=450&amp;START_MAXIMIZED=FALSE&amp;VAR:CALENDAR=US&amp;VAR:SYMBOL=98433210&amp;VAR:INDEX=0"}</definedName>
    <definedName name="_8678__FDSAUDITLINK__">{"fdsup://directions/FAT Viewer?action=UPDATE&amp;creator=factset&amp;DYN_ARGS=TRUE&amp;DOC_NAME=FAT:FQL_AUDITING_CLIENT_TEMPLATE.FAT&amp;display_string=Audit&amp;VAR:KEY=BMPWBGLWJC&amp;VAR:QUERY=KFBfUFJJQ0UoMzk3NDYpLShGRl9DQVNIX1NUKFFUUiwzOTc0NikvUF9DT01fU0hTX09VVCgzOTc0NikpKS9GR","V9FU1RJTUFURSgnRVBTJywnTUVBTicsJ0FOTlVBTF9ST0xMJywnKzEnLDM5NzQ2LCwsJycp&amp;WINDOW=FIRST_POPUP&amp;HEIGHT=450&amp;WIDTH=450&amp;START_MAXIMIZED=FALSE&amp;VAR:CALENDAR=US&amp;VAR:SYMBOL=98433210&amp;VAR:INDEX=0"}</definedName>
    <definedName name="_8679__FDSAUDITLINK__">{"fdsup://directions/FAT Viewer?action=UPDATE&amp;creator=factset&amp;DYN_ARGS=TRUE&amp;DOC_NAME=FAT:FQL_AUDITING_CLIENT_TEMPLATE.FAT&amp;display_string=Audit&amp;VAR:KEY=BMPWBGLWJC&amp;VAR:QUERY=KFBfUFJJQ0UoMzk3NDYpLShGRl9DQVNIX1NUKFFUUiwzOTc0NikvUF9DT01fU0hTX09VVCgzOTc0NikpKS9GR","V9FU1RJTUFURSgnRVBTJywnTUVBTicsJ0FOTlVBTF9ST0xMJywnKzEnLDM5NzQ2LCwsJycp&amp;WINDOW=FIRST_POPUP&amp;HEIGHT=450&amp;WIDTH=450&amp;START_MAXIMIZED=FALSE&amp;VAR:CALENDAR=US&amp;VAR:SYMBOL=98433210&amp;VAR:INDEX=0"}</definedName>
    <definedName name="_86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922"}</definedName>
    <definedName name="_8680__FDSAUDITLINK__">{"fdsup://directions/FAT Viewer?action=UPDATE&amp;creator=factset&amp;DYN_ARGS=TRUE&amp;DOC_NAME=FAT:FQL_AUDITING_CLIENT_TEMPLATE.FAT&amp;display_string=Audit&amp;VAR:KEY=NEZKHWVSRW&amp;VAR:QUERY=KFBfUFJJQ0UoMzk3NDUpLShGRl9DQVNIX1NUKFFUUiwzOTc0NSkvUF9DT01fU0hTX09VVCgzOTc0NSkpKS9GR","V9FU1RJTUFURSgnRVBTJywnTUVBTicsJ0FOTlVBTF9ST0xMJywnKzEnLDM5NzQ1LCwsJycp&amp;WINDOW=FIRST_POPUP&amp;HEIGHT=450&amp;WIDTH=450&amp;START_MAXIMIZED=FALSE&amp;VAR:CALENDAR=US&amp;VAR:SYMBOL=98433210&amp;VAR:INDEX=0"}</definedName>
    <definedName name="_8681__FDSAUDITLINK__">{"fdsup://directions/FAT Viewer?action=UPDATE&amp;creator=factset&amp;DYN_ARGS=TRUE&amp;DOC_NAME=FAT:FQL_AUDITING_CLIENT_TEMPLATE.FAT&amp;display_string=Audit&amp;VAR:KEY=NEZKHWVSRW&amp;VAR:QUERY=KFBfUFJJQ0UoMzk3NDUpLShGRl9DQVNIX1NUKFFUUiwzOTc0NSkvUF9DT01fU0hTX09VVCgzOTc0NSkpKS9GR","V9FU1RJTUFURSgnRVBTJywnTUVBTicsJ0FOTlVBTF9ST0xMJywnKzEnLDM5NzQ1LCwsJycp&amp;WINDOW=FIRST_POPUP&amp;HEIGHT=450&amp;WIDTH=450&amp;START_MAXIMIZED=FALSE&amp;VAR:CALENDAR=US&amp;VAR:SYMBOL=98433210&amp;VAR:INDEX=0"}</definedName>
    <definedName name="_8682__FDSAUDITLINK__">{"fdsup://directions/FAT Viewer?action=UPDATE&amp;creator=factset&amp;DYN_ARGS=TRUE&amp;DOC_NAME=FAT:FQL_AUDITING_CLIENT_TEMPLATE.FAT&amp;display_string=Audit&amp;VAR:KEY=FQLAVYFGTE&amp;VAR:QUERY=KFBfUFJJQ0UoMzk3NDQpLShGRl9DQVNIX1NUKFFUUiwzOTc0NCkvUF9DT01fU0hTX09VVCgzOTc0NCkpKS9GR","V9FU1RJTUFURSgnRVBTJywnTUVBTicsJ0FOTlVBTF9ST0xMJywnKzEnLDM5NzQ0LCwsJycp&amp;WINDOW=FIRST_POPUP&amp;HEIGHT=450&amp;WIDTH=450&amp;START_MAXIMIZED=FALSE&amp;VAR:CALENDAR=US&amp;VAR:SYMBOL=98433210&amp;VAR:INDEX=0"}</definedName>
    <definedName name="_8683__FDSAUDITLINK__">{"fdsup://directions/FAT Viewer?action=UPDATE&amp;creator=factset&amp;DYN_ARGS=TRUE&amp;DOC_NAME=FAT:FQL_AUDITING_CLIENT_TEMPLATE.FAT&amp;display_string=Audit&amp;VAR:KEY=FQLAVYFGTE&amp;VAR:QUERY=KFBfUFJJQ0UoMzk3NDQpLShGRl9DQVNIX1NUKFFUUiwzOTc0NCkvUF9DT01fU0hTX09VVCgzOTc0NCkpKS9GR","V9FU1RJTUFURSgnRVBTJywnTUVBTicsJ0FOTlVBTF9ST0xMJywnKzEnLDM5NzQ0LCwsJycp&amp;WINDOW=FIRST_POPUP&amp;HEIGHT=450&amp;WIDTH=450&amp;START_MAXIMIZED=FALSE&amp;VAR:CALENDAR=US&amp;VAR:SYMBOL=98433210&amp;VAR:INDEX=0"}</definedName>
    <definedName name="_8684__FDSAUDITLINK__">{"fdsup://directions/FAT Viewer?action=UPDATE&amp;creator=factset&amp;DYN_ARGS=TRUE&amp;DOC_NAME=FAT:FQL_AUDITING_CLIENT_TEMPLATE.FAT&amp;display_string=Audit&amp;VAR:KEY=TWFIVAXCLO&amp;VAR:QUERY=KFBfUFJJQ0UoMzk3NDMpLShGRl9DQVNIX1NUKFFUUiwzOTc0MykvUF9DT01fU0hTX09VVCgzOTc0MykpKS9GR","V9FU1RJTUFURSgnRVBTJywnTUVBTicsJ0FOTlVBTF9ST0xMJywnKzEnLDM5NzQzLCwsJycp&amp;WINDOW=FIRST_POPUP&amp;HEIGHT=450&amp;WIDTH=450&amp;START_MAXIMIZED=FALSE&amp;VAR:CALENDAR=US&amp;VAR:SYMBOL=98433210&amp;VAR:INDEX=0"}</definedName>
    <definedName name="_8685__FDSAUDITLINK__">{"fdsup://directions/FAT Viewer?action=UPDATE&amp;creator=factset&amp;DYN_ARGS=TRUE&amp;DOC_NAME=FAT:FQL_AUDITING_CLIENT_TEMPLATE.FAT&amp;display_string=Audit&amp;VAR:KEY=TWFIVAXCLO&amp;VAR:QUERY=KFBfUFJJQ0UoMzk3NDMpLShGRl9DQVNIX1NUKFFUUiwzOTc0MykvUF9DT01fU0hTX09VVCgzOTc0MykpKS9GR","V9FU1RJTUFURSgnRVBTJywnTUVBTicsJ0FOTlVBTF9ST0xMJywnKzEnLDM5NzQzLCwsJycp&amp;WINDOW=FIRST_POPUP&amp;HEIGHT=450&amp;WIDTH=450&amp;START_MAXIMIZED=FALSE&amp;VAR:CALENDAR=US&amp;VAR:SYMBOL=98433210&amp;VAR:INDEX=0"}</definedName>
    <definedName name="_8686__FDSAUDITLINK__">{"fdsup://directions/FAT Viewer?action=UPDATE&amp;creator=factset&amp;DYN_ARGS=TRUE&amp;DOC_NAME=FAT:FQL_AUDITING_CLIENT_TEMPLATE.FAT&amp;display_string=Audit&amp;VAR:KEY=TAZSTUZOTY&amp;VAR:QUERY=KFBfUFJJQ0UoMzk3NDIpLShGRl9DQVNIX1NUKFFUUiwzOTc0MikvUF9DT01fU0hTX09VVCgzOTc0MikpKS9GR","V9FU1RJTUFURSgnRVBTJywnTUVBTicsJ0FOTlVBTF9ST0xMJywnKzEnLDM5NzQyLCwsJycp&amp;WINDOW=FIRST_POPUP&amp;HEIGHT=450&amp;WIDTH=450&amp;START_MAXIMIZED=FALSE&amp;VAR:CALENDAR=US&amp;VAR:SYMBOL=98433210&amp;VAR:INDEX=0"}</definedName>
    <definedName name="_8687__FDSAUDITLINK__">{"fdsup://directions/FAT Viewer?action=UPDATE&amp;creator=factset&amp;DYN_ARGS=TRUE&amp;DOC_NAME=FAT:FQL_AUDITING_CLIENT_TEMPLATE.FAT&amp;display_string=Audit&amp;VAR:KEY=TAZSTUZOTY&amp;VAR:QUERY=KFBfUFJJQ0UoMzk3NDIpLShGRl9DQVNIX1NUKFFUUiwzOTc0MikvUF9DT01fU0hTX09VVCgzOTc0MikpKS9GR","V9FU1RJTUFURSgnRVBTJywnTUVBTicsJ0FOTlVBTF9ST0xMJywnKzEnLDM5NzQyLCwsJycp&amp;WINDOW=FIRST_POPUP&amp;HEIGHT=450&amp;WIDTH=450&amp;START_MAXIMIZED=FALSE&amp;VAR:CALENDAR=US&amp;VAR:SYMBOL=98433210&amp;VAR:INDEX=0"}</definedName>
    <definedName name="_8688__FDSAUDITLINK__">{"fdsup://directions/FAT Viewer?action=UPDATE&amp;creator=factset&amp;DYN_ARGS=TRUE&amp;DOC_NAME=FAT:FQL_AUDITING_CLIENT_TEMPLATE.FAT&amp;display_string=Audit&amp;VAR:KEY=TEDGRSNOJC&amp;VAR:QUERY=KFBfUFJJQ0UoMzk3NDEpLShGRl9DQVNIX1NUKFFUUiwzOTc0MSkvUF9DT01fU0hTX09VVCgzOTc0MSkpKS9GR","V9FU1RJTUFURSgnRVBTJywnTUVBTicsJ0FOTlVBTF9ST0xMJywnKzEnLDM5NzQxLCwsJycp&amp;WINDOW=FIRST_POPUP&amp;HEIGHT=450&amp;WIDTH=450&amp;START_MAXIMIZED=FALSE&amp;VAR:CALENDAR=US&amp;VAR:SYMBOL=98433210&amp;VAR:INDEX=0"}</definedName>
    <definedName name="_8689__FDSAUDITLINK__">{"fdsup://directions/FAT Viewer?action=UPDATE&amp;creator=factset&amp;DYN_ARGS=TRUE&amp;DOC_NAME=FAT:FQL_AUDITING_CLIENT_TEMPLATE.FAT&amp;display_string=Audit&amp;VAR:KEY=TEDGRSNOJC&amp;VAR:QUERY=KFBfUFJJQ0UoMzk3NDEpLShGRl9DQVNIX1NUKFFUUiwzOTc0MSkvUF9DT01fU0hTX09VVCgzOTc0MSkpKS9GR","V9FU1RJTUFURSgnRVBTJywnTUVBTicsJ0FOTlVBTF9ST0xMJywnKzEnLDM5NzQxLCwsJycp&amp;WINDOW=FIRST_POPUP&amp;HEIGHT=450&amp;WIDTH=450&amp;START_MAXIMIZED=FALSE&amp;VAR:CALENDAR=US&amp;VAR:SYMBOL=98433210&amp;VAR:INDEX=0"}</definedName>
    <definedName name="_86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921"}</definedName>
    <definedName name="_8690__FDSAUDITLINK__">{"fdsup://directions/FAT Viewer?action=UPDATE&amp;creator=factset&amp;DYN_ARGS=TRUE&amp;DOC_NAME=FAT:FQL_AUDITING_CLIENT_TEMPLATE.FAT&amp;display_string=Audit&amp;VAR:KEY=BUPSNWJGLQ&amp;VAR:QUERY=KFBfUFJJQ0UoMzk3NDApLShGRl9DQVNIX1NUKFFUUiwzOTc0MCkvUF9DT01fU0hTX09VVCgzOTc0MCkpKS9GR","V9FU1RJTUFURSgnRVBTJywnTUVBTicsJ0FOTlVBTF9ST0xMJywnKzEnLDM5NzQwLCwsJycp&amp;WINDOW=FIRST_POPUP&amp;HEIGHT=450&amp;WIDTH=450&amp;START_MAXIMIZED=FALSE&amp;VAR:CALENDAR=US&amp;VAR:SYMBOL=98433210&amp;VAR:INDEX=0"}</definedName>
    <definedName name="_8691__FDSAUDITLINK__">{"fdsup://directions/FAT Viewer?action=UPDATE&amp;creator=factset&amp;DYN_ARGS=TRUE&amp;DOC_NAME=FAT:FQL_AUDITING_CLIENT_TEMPLATE.FAT&amp;display_string=Audit&amp;VAR:KEY=BUPSNWJGLQ&amp;VAR:QUERY=KFBfUFJJQ0UoMzk3NDApLShGRl9DQVNIX1NUKFFUUiwzOTc0MCkvUF9DT01fU0hTX09VVCgzOTc0MCkpKS9GR","V9FU1RJTUFURSgnRVBTJywnTUVBTicsJ0FOTlVBTF9ST0xMJywnKzEnLDM5NzQwLCwsJycp&amp;WINDOW=FIRST_POPUP&amp;HEIGHT=450&amp;WIDTH=450&amp;START_MAXIMIZED=FALSE&amp;VAR:CALENDAR=US&amp;VAR:SYMBOL=98433210&amp;VAR:INDEX=0"}</definedName>
    <definedName name="_8692__FDSAUDITLINK__">{"fdsup://directions/FAT Viewer?action=UPDATE&amp;creator=factset&amp;DYN_ARGS=TRUE&amp;DOC_NAME=FAT:FQL_AUDITING_CLIENT_TEMPLATE.FAT&amp;display_string=Audit&amp;VAR:KEY=PKXKDYPWFK&amp;VAR:QUERY=KFBfUFJJQ0UoMzk3MzkpLShGRl9DQVNIX1NUKFFUUiwzOTczOSkvUF9DT01fU0hTX09VVCgzOTczOSkpKS9GR","V9FU1RJTUFURSgnRVBTJywnTUVBTicsJ0FOTlVBTF9ST0xMJywnKzEnLDM5NzM5LCwsJycp&amp;WINDOW=FIRST_POPUP&amp;HEIGHT=450&amp;WIDTH=450&amp;START_MAXIMIZED=FALSE&amp;VAR:CALENDAR=US&amp;VAR:SYMBOL=98433210&amp;VAR:INDEX=0"}</definedName>
    <definedName name="_8693__FDSAUDITLINK__">{"fdsup://directions/FAT Viewer?action=UPDATE&amp;creator=factset&amp;DYN_ARGS=TRUE&amp;DOC_NAME=FAT:FQL_AUDITING_CLIENT_TEMPLATE.FAT&amp;display_string=Audit&amp;VAR:KEY=PKXKDYPWFK&amp;VAR:QUERY=KFBfUFJJQ0UoMzk3MzkpLShGRl9DQVNIX1NUKFFUUiwzOTczOSkvUF9DT01fU0hTX09VVCgzOTczOSkpKS9GR","V9FU1RJTUFURSgnRVBTJywnTUVBTicsJ0FOTlVBTF9ST0xMJywnKzEnLDM5NzM5LCwsJycp&amp;WINDOW=FIRST_POPUP&amp;HEIGHT=450&amp;WIDTH=450&amp;START_MAXIMIZED=FALSE&amp;VAR:CALENDAR=US&amp;VAR:SYMBOL=98433210&amp;VAR:INDEX=0"}</definedName>
    <definedName name="_8694__FDSAUDITLINK__">{"fdsup://directions/FAT Viewer?action=UPDATE&amp;creator=factset&amp;DYN_ARGS=TRUE&amp;DOC_NAME=FAT:FQL_AUDITING_CLIENT_TEMPLATE.FAT&amp;display_string=Audit&amp;VAR:KEY=JMXAVQHOXK&amp;VAR:QUERY=KFBfUFJJQ0UoMzk3MzgpLShGRl9DQVNIX1NUKFFUUiwzOTczOCkvUF9DT01fU0hTX09VVCgzOTczOCkpKS9GR","V9FU1RJTUFURSgnRVBTJywnTUVBTicsJ0FOTlVBTF9ST0xMJywnKzEnLDM5NzM4LCwsJycp&amp;WINDOW=FIRST_POPUP&amp;HEIGHT=450&amp;WIDTH=450&amp;START_MAXIMIZED=FALSE&amp;VAR:CALENDAR=US&amp;VAR:SYMBOL=98433210&amp;VAR:INDEX=0"}</definedName>
    <definedName name="_8695__FDSAUDITLINK__">{"fdsup://directions/FAT Viewer?action=UPDATE&amp;creator=factset&amp;DYN_ARGS=TRUE&amp;DOC_NAME=FAT:FQL_AUDITING_CLIENT_TEMPLATE.FAT&amp;display_string=Audit&amp;VAR:KEY=JMXAVQHOXK&amp;VAR:QUERY=KFBfUFJJQ0UoMzk3MzgpLShGRl9DQVNIX1NUKFFUUiwzOTczOCkvUF9DT01fU0hTX09VVCgzOTczOCkpKS9GR","V9FU1RJTUFURSgnRVBTJywnTUVBTicsJ0FOTlVBTF9ST0xMJywnKzEnLDM5NzM4LCwsJycp&amp;WINDOW=FIRST_POPUP&amp;HEIGHT=450&amp;WIDTH=450&amp;START_MAXIMIZED=FALSE&amp;VAR:CALENDAR=US&amp;VAR:SYMBOL=98433210&amp;VAR:INDEX=0"}</definedName>
    <definedName name="_8696__FDSAUDITLINK__">{"fdsup://directions/FAT Viewer?action=UPDATE&amp;creator=factset&amp;DYN_ARGS=TRUE&amp;DOC_NAME=FAT:FQL_AUDITING_CLIENT_TEMPLATE.FAT&amp;display_string=Audit&amp;VAR:KEY=JSRCFOJELY&amp;VAR:QUERY=KFBfUFJJQ0UoMzk3MzcpLShGRl9DQVNIX1NUKFFUUiwzOTczNykvUF9DT01fU0hTX09VVCgzOTczNykpKS9GR","V9FU1RJTUFURSgnRVBTJywnTUVBTicsJ0FOTlVBTF9ST0xMJywnKzEnLDM5NzM3LCwsJycp&amp;WINDOW=FIRST_POPUP&amp;HEIGHT=450&amp;WIDTH=450&amp;START_MAXIMIZED=FALSE&amp;VAR:CALENDAR=US&amp;VAR:SYMBOL=98433210&amp;VAR:INDEX=0"}</definedName>
    <definedName name="_8697__FDSAUDITLINK__">{"fdsup://directions/FAT Viewer?action=UPDATE&amp;creator=factset&amp;DYN_ARGS=TRUE&amp;DOC_NAME=FAT:FQL_AUDITING_CLIENT_TEMPLATE.FAT&amp;display_string=Audit&amp;VAR:KEY=JSRCFOJELY&amp;VAR:QUERY=KFBfUFJJQ0UoMzk3MzcpLShGRl9DQVNIX1NUKFFUUiwzOTczNykvUF9DT01fU0hTX09VVCgzOTczNykpKS9GR","V9FU1RJTUFURSgnRVBTJywnTUVBTicsJ0FOTlVBTF9ST0xMJywnKzEnLDM5NzM3LCwsJycp&amp;WINDOW=FIRST_POPUP&amp;HEIGHT=450&amp;WIDTH=450&amp;START_MAXIMIZED=FALSE&amp;VAR:CALENDAR=US&amp;VAR:SYMBOL=98433210&amp;VAR:INDEX=0"}</definedName>
    <definedName name="_8698__FDSAUDITLINK__">{"fdsup://directions/FAT Viewer?action=UPDATE&amp;creator=factset&amp;DYN_ARGS=TRUE&amp;DOC_NAME=FAT:FQL_AUDITING_CLIENT_TEMPLATE.FAT&amp;display_string=Audit&amp;VAR:KEY=VSLSZQNCLQ&amp;VAR:QUERY=KFBfUFJJQ0UoMzk3MzYpLShGRl9DQVNIX1NUKFFUUiwzOTczNikvUF9DT01fU0hTX09VVCgzOTczNikpKS9GR","V9FU1RJTUFURSgnRVBTJywnTUVBTicsJ0FOTlVBTF9ST0xMJywnKzEnLDM5NzM2LCwsJycp&amp;WINDOW=FIRST_POPUP&amp;HEIGHT=450&amp;WIDTH=450&amp;START_MAXIMIZED=FALSE&amp;VAR:CALENDAR=US&amp;VAR:SYMBOL=98433210&amp;VAR:INDEX=0"}</definedName>
    <definedName name="_8699__FDSAUDITLINK__">{"fdsup://directions/FAT Viewer?action=UPDATE&amp;creator=factset&amp;DYN_ARGS=TRUE&amp;DOC_NAME=FAT:FQL_AUDITING_CLIENT_TEMPLATE.FAT&amp;display_string=Audit&amp;VAR:KEY=VSLSZQNCLQ&amp;VAR:QUERY=KFBfUFJJQ0UoMzk3MzYpLShGRl9DQVNIX1NUKFFUUiwzOTczNikvUF9DT01fU0hTX09VVCgzOTczNikpKS9GR","V9FU1RJTUFURSgnRVBTJywnTUVBTicsJ0FOTlVBTF9ST0xMJywnKzEnLDM5NzM2LCwsJycp&amp;WINDOW=FIRST_POPUP&amp;HEIGHT=450&amp;WIDTH=450&amp;START_MAXIMIZED=FALSE&amp;VAR:CALENDAR=US&amp;VAR:SYMBOL=98433210&amp;VAR:INDEX=0"}</definedName>
    <definedName name="_8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15.034948&amp;VAR:V0=16.808285&amp;VAR:V1=14.518743&amp;VAR:Y0=2002&amp;VAR:Y1=2003&amp;VAR:P=815.284670&amp;VAR:DATE=20020930&amp;VAR:THRESH=-|-|-","|-|-|-|-"}</definedName>
    <definedName name="_87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920"}</definedName>
    <definedName name="_8700__FDSAUDITLINK__">{"fdsup://directions/FAT Viewer?action=UPDATE&amp;creator=factset&amp;DYN_ARGS=TRUE&amp;DOC_NAME=FAT:FQL_AUDITING_CLIENT_TEMPLATE.FAT&amp;display_string=Audit&amp;VAR:KEY=ZMBMTGPUNE&amp;VAR:QUERY=KFBfUFJJQ0UoMzk3MzUpLShGRl9DQVNIX1NUKFFUUiwzOTczNSkvUF9DT01fU0hTX09VVCgzOTczNSkpKS9GR","V9FU1RJTUFURSgnRVBTJywnTUVBTicsJ0FOTlVBTF9ST0xMJywnKzEnLDM5NzM1LCwsJycp&amp;WINDOW=FIRST_POPUP&amp;HEIGHT=450&amp;WIDTH=450&amp;START_MAXIMIZED=FALSE&amp;VAR:CALENDAR=US&amp;VAR:SYMBOL=98433210&amp;VAR:INDEX=0"}</definedName>
    <definedName name="_8701__FDSAUDITLINK__">{"fdsup://directions/FAT Viewer?action=UPDATE&amp;creator=factset&amp;DYN_ARGS=TRUE&amp;DOC_NAME=FAT:FQL_AUDITING_CLIENT_TEMPLATE.FAT&amp;display_string=Audit&amp;VAR:KEY=ZMBMTGPUNE&amp;VAR:QUERY=KFBfUFJJQ0UoMzk3MzUpLShGRl9DQVNIX1NUKFFUUiwzOTczNSkvUF9DT01fU0hTX09VVCgzOTczNSkpKS9GR","V9FU1RJTUFURSgnRVBTJywnTUVBTicsJ0FOTlVBTF9ST0xMJywnKzEnLDM5NzM1LCwsJycp&amp;WINDOW=FIRST_POPUP&amp;HEIGHT=450&amp;WIDTH=450&amp;START_MAXIMIZED=FALSE&amp;VAR:CALENDAR=US&amp;VAR:SYMBOL=98433210&amp;VAR:INDEX=0"}</definedName>
    <definedName name="_8702__FDSAUDITLINK__">{"fdsup://directions/FAT Viewer?action=UPDATE&amp;creator=factset&amp;DYN_ARGS=TRUE&amp;DOC_NAME=FAT:FQL_AUDITING_CLIENT_TEMPLATE.FAT&amp;display_string=Audit&amp;VAR:KEY=VKNSVSXCZW&amp;VAR:QUERY=KFBfUFJJQ0UoMzk3MzQpLShGRl9DQVNIX1NUKFFUUiwzOTczNCkvUF9DT01fU0hTX09VVCgzOTczNCkpKS9GR","V9FU1RJTUFURSgnRVBTJywnTUVBTicsJ0FOTlVBTF9ST0xMJywnKzEnLDM5NzM0LCwsJycp&amp;WINDOW=FIRST_POPUP&amp;HEIGHT=450&amp;WIDTH=450&amp;START_MAXIMIZED=FALSE&amp;VAR:CALENDAR=US&amp;VAR:SYMBOL=98433210&amp;VAR:INDEX=0"}</definedName>
    <definedName name="_8703__FDSAUDITLINK__">{"fdsup://directions/FAT Viewer?action=UPDATE&amp;creator=factset&amp;DYN_ARGS=TRUE&amp;DOC_NAME=FAT:FQL_AUDITING_CLIENT_TEMPLATE.FAT&amp;display_string=Audit&amp;VAR:KEY=VKNSVSXCZW&amp;VAR:QUERY=KFBfUFJJQ0UoMzk3MzQpLShGRl9DQVNIX1NUKFFUUiwzOTczNCkvUF9DT01fU0hTX09VVCgzOTczNCkpKS9GR","V9FU1RJTUFURSgnRVBTJywnTUVBTicsJ0FOTlVBTF9ST0xMJywnKzEnLDM5NzM0LCwsJycp&amp;WINDOW=FIRST_POPUP&amp;HEIGHT=450&amp;WIDTH=450&amp;START_MAXIMIZED=FALSE&amp;VAR:CALENDAR=US&amp;VAR:SYMBOL=98433210&amp;VAR:INDEX=0"}</definedName>
    <definedName name="_8704__FDSAUDITLINK__">{"fdsup://directions/FAT Viewer?action=UPDATE&amp;creator=factset&amp;DYN_ARGS=TRUE&amp;DOC_NAME=FAT:FQL_AUDITING_CLIENT_TEMPLATE.FAT&amp;display_string=Audit&amp;VAR:KEY=DMTEXMZENC&amp;VAR:QUERY=KFBfUFJJQ0UoMzk3MzMpLShGRl9DQVNIX1NUKFFUUiwzOTczMykvUF9DT01fU0hTX09VVCgzOTczMykpKS9GR","V9FU1RJTUFURSgnRVBTJywnTUVBTicsJ0FOTlVBTF9ST0xMJywnKzEnLDM5NzMzLCwsJycp&amp;WINDOW=FIRST_POPUP&amp;HEIGHT=450&amp;WIDTH=450&amp;START_MAXIMIZED=FALSE&amp;VAR:CALENDAR=US&amp;VAR:SYMBOL=98433210&amp;VAR:INDEX=0"}</definedName>
    <definedName name="_8705__FDSAUDITLINK__">{"fdsup://directions/FAT Viewer?action=UPDATE&amp;creator=factset&amp;DYN_ARGS=TRUE&amp;DOC_NAME=FAT:FQL_AUDITING_CLIENT_TEMPLATE.FAT&amp;display_string=Audit&amp;VAR:KEY=DMTEXMZENC&amp;VAR:QUERY=KFBfUFJJQ0UoMzk3MzMpLShGRl9DQVNIX1NUKFFUUiwzOTczMykvUF9DT01fU0hTX09VVCgzOTczMykpKS9GR","V9FU1RJTUFURSgnRVBTJywnTUVBTicsJ0FOTlVBTF9ST0xMJywnKzEnLDM5NzMzLCwsJycp&amp;WINDOW=FIRST_POPUP&amp;HEIGHT=450&amp;WIDTH=450&amp;START_MAXIMIZED=FALSE&amp;VAR:CALENDAR=US&amp;VAR:SYMBOL=98433210&amp;VAR:INDEX=0"}</definedName>
    <definedName name="_8706__FDSAUDITLINK__">{"fdsup://directions/FAT Viewer?action=UPDATE&amp;creator=factset&amp;DYN_ARGS=TRUE&amp;DOC_NAME=FAT:FQL_AUDITING_CLIENT_TEMPLATE.FAT&amp;display_string=Audit&amp;VAR:KEY=ZYNIRUHUDW&amp;VAR:QUERY=KFBfUFJJQ0UoMzk3MzIpLShGRl9DQVNIX1NUKFFUUiwzOTczMikvUF9DT01fU0hTX09VVCgzOTczMikpKS9GR","V9FU1RJTUFURSgnRVBTJywnTUVBTicsJ0FOTlVBTF9ST0xMJywnKzEnLDM5NzMyLCwsJycp&amp;WINDOW=FIRST_POPUP&amp;HEIGHT=450&amp;WIDTH=450&amp;START_MAXIMIZED=FALSE&amp;VAR:CALENDAR=US&amp;VAR:SYMBOL=98433210&amp;VAR:INDEX=0"}</definedName>
    <definedName name="_8707__FDSAUDITLINK__">{"fdsup://directions/FAT Viewer?action=UPDATE&amp;creator=factset&amp;DYN_ARGS=TRUE&amp;DOC_NAME=FAT:FQL_AUDITING_CLIENT_TEMPLATE.FAT&amp;display_string=Audit&amp;VAR:KEY=ZYNIRUHUDW&amp;VAR:QUERY=KFBfUFJJQ0UoMzk3MzIpLShGRl9DQVNIX1NUKFFUUiwzOTczMikvUF9DT01fU0hTX09VVCgzOTczMikpKS9GR","V9FU1RJTUFURSgnRVBTJywnTUVBTicsJ0FOTlVBTF9ST0xMJywnKzEnLDM5NzMyLCwsJycp&amp;WINDOW=FIRST_POPUP&amp;HEIGHT=450&amp;WIDTH=450&amp;START_MAXIMIZED=FALSE&amp;VAR:CALENDAR=US&amp;VAR:SYMBOL=98433210&amp;VAR:INDEX=0"}</definedName>
    <definedName name="_8708__FDSAUDITLINK__">{"fdsup://directions/FAT Viewer?action=UPDATE&amp;creator=factset&amp;DYN_ARGS=TRUE&amp;DOC_NAME=FAT:FQL_AUDITING_CLIENT_TEMPLATE.FAT&amp;display_string=Audit&amp;VAR:KEY=HWFCTOPKVY&amp;VAR:QUERY=KFBfUFJJQ0UoMzk3MzEpLShGRl9DQVNIX1NUKFFUUiwzOTczMSkvUF9DT01fU0hTX09VVCgzOTczMSkpKS9GR","V9FU1RJTUFURSgnRVBTJywnTUVBTicsJ0FOTlVBTF9ST0xMJywnKzEnLDM5NzMxLCwsJycp&amp;WINDOW=FIRST_POPUP&amp;HEIGHT=450&amp;WIDTH=450&amp;START_MAXIMIZED=FALSE&amp;VAR:CALENDAR=US&amp;VAR:SYMBOL=98433210&amp;VAR:INDEX=0"}</definedName>
    <definedName name="_8709__FDSAUDITLINK__">{"fdsup://directions/FAT Viewer?action=UPDATE&amp;creator=factset&amp;DYN_ARGS=TRUE&amp;DOC_NAME=FAT:FQL_AUDITING_CLIENT_TEMPLATE.FAT&amp;display_string=Audit&amp;VAR:KEY=HWFCTOPKVY&amp;VAR:QUERY=KFBfUFJJQ0UoMzk3MzEpLShGRl9DQVNIX1NUKFFUUiwzOTczMSkvUF9DT01fU0hTX09VVCgzOTczMSkpKS9GR","V9FU1RJTUFURSgnRVBTJywnTUVBTicsJ0FOTlVBTF9ST0xMJywnKzEnLDM5NzMxLCwsJycp&amp;WINDOW=FIRST_POPUP&amp;HEIGHT=450&amp;WIDTH=450&amp;START_MAXIMIZED=FALSE&amp;VAR:CALENDAR=US&amp;VAR:SYMBOL=98433210&amp;VAR:INDEX=0"}</definedName>
    <definedName name="_87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919"}</definedName>
    <definedName name="_8710__FDSAUDITLINK__">{"fdsup://directions/FAT Viewer?action=UPDATE&amp;creator=factset&amp;DYN_ARGS=TRUE&amp;DOC_NAME=FAT:FQL_AUDITING_CLIENT_TEMPLATE.FAT&amp;display_string=Audit&amp;VAR:KEY=FKBQLQTWVK&amp;VAR:QUERY=KFBfUFJJQ0UoMzk3MzApLShGRl9DQVNIX1NUKFFUUiwzOTczMCkvUF9DT01fU0hTX09VVCgzOTczMCkpKS9GR","V9FU1RJTUFURSgnRVBTJywnTUVBTicsJ0FOTlVBTF9ST0xMJywnKzEnLDM5NzMwLCwsJycp&amp;WINDOW=FIRST_POPUP&amp;HEIGHT=450&amp;WIDTH=450&amp;START_MAXIMIZED=FALSE&amp;VAR:CALENDAR=US&amp;VAR:SYMBOL=98433210&amp;VAR:INDEX=0"}</definedName>
    <definedName name="_8711__FDSAUDITLINK__">{"fdsup://directions/FAT Viewer?action=UPDATE&amp;creator=factset&amp;DYN_ARGS=TRUE&amp;DOC_NAME=FAT:FQL_AUDITING_CLIENT_TEMPLATE.FAT&amp;display_string=Audit&amp;VAR:KEY=FKBQLQTWVK&amp;VAR:QUERY=KFBfUFJJQ0UoMzk3MzApLShGRl9DQVNIX1NUKFFUUiwzOTczMCkvUF9DT01fU0hTX09VVCgzOTczMCkpKS9GR","V9FU1RJTUFURSgnRVBTJywnTUVBTicsJ0FOTlVBTF9ST0xMJywnKzEnLDM5NzMwLCwsJycp&amp;WINDOW=FIRST_POPUP&amp;HEIGHT=450&amp;WIDTH=450&amp;START_MAXIMIZED=FALSE&amp;VAR:CALENDAR=US&amp;VAR:SYMBOL=98433210&amp;VAR:INDEX=0"}</definedName>
    <definedName name="_8712__FDSAUDITLINK__">{"fdsup://directions/FAT Viewer?action=UPDATE&amp;creator=factset&amp;DYN_ARGS=TRUE&amp;DOC_NAME=FAT:FQL_AUDITING_CLIENT_TEMPLATE.FAT&amp;display_string=Audit&amp;VAR:KEY=BWRUHWXMRQ&amp;VAR:QUERY=KFBfUFJJQ0UoMzk3MjkpLShGRl9DQVNIX1NUKFFUUiwzOTcyOSkvUF9DT01fU0hTX09VVCgzOTcyOSkpKS9GR","V9FU1RJTUFURSgnRVBTJywnTUVBTicsJ0FOTlVBTF9ST0xMJywnKzEnLDM5NzI5LCwsJycp&amp;WINDOW=FIRST_POPUP&amp;HEIGHT=450&amp;WIDTH=450&amp;START_MAXIMIZED=FALSE&amp;VAR:CALENDAR=US&amp;VAR:SYMBOL=98433210&amp;VAR:INDEX=0"}</definedName>
    <definedName name="_8713__FDSAUDITLINK__">{"fdsup://directions/FAT Viewer?action=UPDATE&amp;creator=factset&amp;DYN_ARGS=TRUE&amp;DOC_NAME=FAT:FQL_AUDITING_CLIENT_TEMPLATE.FAT&amp;display_string=Audit&amp;VAR:KEY=BWRUHWXMRQ&amp;VAR:QUERY=KFBfUFJJQ0UoMzk3MjkpLShGRl9DQVNIX1NUKFFUUiwzOTcyOSkvUF9DT01fU0hTX09VVCgzOTcyOSkpKS9GR","V9FU1RJTUFURSgnRVBTJywnTUVBTicsJ0FOTlVBTF9ST0xMJywnKzEnLDM5NzI5LCwsJycp&amp;WINDOW=FIRST_POPUP&amp;HEIGHT=450&amp;WIDTH=450&amp;START_MAXIMIZED=FALSE&amp;VAR:CALENDAR=US&amp;VAR:SYMBOL=98433210&amp;VAR:INDEX=0"}</definedName>
    <definedName name="_8714__FDSAUDITLINK__">{"fdsup://directions/FAT Viewer?action=UPDATE&amp;creator=factset&amp;DYN_ARGS=TRUE&amp;DOC_NAME=FAT:FQL_AUDITING_CLIENT_TEMPLATE.FAT&amp;display_string=Audit&amp;VAR:KEY=BOFEXGLCLA&amp;VAR:QUERY=KFBfUFJJQ0UoMzk3MjgpLShGRl9DQVNIX1NUKFFUUiwzOTcyOCkvUF9DT01fU0hTX09VVCgzOTcyOCkpKS9GR","V9FU1RJTUFURSgnRVBTJywnTUVBTicsJ0FOTlVBTF9ST0xMJywnKzEnLDM5NzI4LCwsJycp&amp;WINDOW=FIRST_POPUP&amp;HEIGHT=450&amp;WIDTH=450&amp;START_MAXIMIZED=FALSE&amp;VAR:CALENDAR=US&amp;VAR:SYMBOL=98433210&amp;VAR:INDEX=0"}</definedName>
    <definedName name="_8715__FDSAUDITLINK__">{"fdsup://directions/FAT Viewer?action=UPDATE&amp;creator=factset&amp;DYN_ARGS=TRUE&amp;DOC_NAME=FAT:FQL_AUDITING_CLIENT_TEMPLATE.FAT&amp;display_string=Audit&amp;VAR:KEY=BOFEXGLCLA&amp;VAR:QUERY=KFBfUFJJQ0UoMzk3MjgpLShGRl9DQVNIX1NUKFFUUiwzOTcyOCkvUF9DT01fU0hTX09VVCgzOTcyOCkpKS9GR","V9FU1RJTUFURSgnRVBTJywnTUVBTicsJ0FOTlVBTF9ST0xMJywnKzEnLDM5NzI4LCwsJycp&amp;WINDOW=FIRST_POPUP&amp;HEIGHT=450&amp;WIDTH=450&amp;START_MAXIMIZED=FALSE&amp;VAR:CALENDAR=US&amp;VAR:SYMBOL=98433210&amp;VAR:INDEX=0"}</definedName>
    <definedName name="_8716__FDSAUDITLINK__">{"fdsup://directions/FAT Viewer?action=UPDATE&amp;creator=factset&amp;DYN_ARGS=TRUE&amp;DOC_NAME=FAT:FQL_AUDITING_CLIENT_TEMPLATE.FAT&amp;display_string=Audit&amp;VAR:KEY=XWPAFUHMZQ&amp;VAR:QUERY=KFBfUFJJQ0UoMzk3MjcpLShGRl9DQVNIX1NUKFFUUiwzOTcyNykvUF9DT01fU0hTX09VVCgzOTcyNykpKS9GR","V9FU1RJTUFURSgnRVBTJywnTUVBTicsJ0FOTlVBTF9ST0xMJywnKzEnLDM5NzI3LCwsJycp&amp;WINDOW=FIRST_POPUP&amp;HEIGHT=450&amp;WIDTH=450&amp;START_MAXIMIZED=FALSE&amp;VAR:CALENDAR=US&amp;VAR:SYMBOL=98433210&amp;VAR:INDEX=0"}</definedName>
    <definedName name="_8717__FDSAUDITLINK__">{"fdsup://directions/FAT Viewer?action=UPDATE&amp;creator=factset&amp;DYN_ARGS=TRUE&amp;DOC_NAME=FAT:FQL_AUDITING_CLIENT_TEMPLATE.FAT&amp;display_string=Audit&amp;VAR:KEY=XWPAFUHMZQ&amp;VAR:QUERY=KFBfUFJJQ0UoMzk3MjcpLShGRl9DQVNIX1NUKFFUUiwzOTcyNykvUF9DT01fU0hTX09VVCgzOTcyNykpKS9GR","V9FU1RJTUFURSgnRVBTJywnTUVBTicsJ0FOTlVBTF9ST0xMJywnKzEnLDM5NzI3LCwsJycp&amp;WINDOW=FIRST_POPUP&amp;HEIGHT=450&amp;WIDTH=450&amp;START_MAXIMIZED=FALSE&amp;VAR:CALENDAR=US&amp;VAR:SYMBOL=98433210&amp;VAR:INDEX=0"}</definedName>
    <definedName name="_8718__FDSAUDITLINK__">{"fdsup://directions/FAT Viewer?action=UPDATE&amp;creator=factset&amp;DYN_ARGS=TRUE&amp;DOC_NAME=FAT:FQL_AUDITING_CLIENT_TEMPLATE.FAT&amp;display_string=Audit&amp;VAR:KEY=PUVGBWTQJI&amp;VAR:QUERY=KFBfUFJJQ0UoMzk3MjYpLShGRl9DQVNIX1NUKFFUUiwzOTcyNikvUF9DT01fU0hTX09VVCgzOTcyNikpKS9GR","V9FU1RJTUFURSgnRVBTJywnTUVBTicsJ0FOTlVBTF9ST0xMJywnKzEnLDM5NzI2LCwsJycp&amp;WINDOW=FIRST_POPUP&amp;HEIGHT=450&amp;WIDTH=450&amp;START_MAXIMIZED=FALSE&amp;VAR:CALENDAR=US&amp;VAR:SYMBOL=98433210&amp;VAR:INDEX=0"}</definedName>
    <definedName name="_8719__FDSAUDITLINK__">{"fdsup://directions/FAT Viewer?action=UPDATE&amp;creator=factset&amp;DYN_ARGS=TRUE&amp;DOC_NAME=FAT:FQL_AUDITING_CLIENT_TEMPLATE.FAT&amp;display_string=Audit&amp;VAR:KEY=PUVGBWTQJI&amp;VAR:QUERY=KFBfUFJJQ0UoMzk3MjYpLShGRl9DQVNIX1NUKFFUUiwzOTcyNikvUF9DT01fU0hTX09VVCgzOTcyNikpKS9GR","V9FU1RJTUFURSgnRVBTJywnTUVBTicsJ0FOTlVBTF9ST0xMJywnKzEnLDM5NzI2LCwsJycp&amp;WINDOW=FIRST_POPUP&amp;HEIGHT=450&amp;WIDTH=450&amp;START_MAXIMIZED=FALSE&amp;VAR:CALENDAR=US&amp;VAR:SYMBOL=98433210&amp;VAR:INDEX=0"}</definedName>
    <definedName name="_87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918"}</definedName>
    <definedName name="_8720__FDSAUDITLINK__">{"fdsup://directions/FAT Viewer?action=UPDATE&amp;creator=factset&amp;DYN_ARGS=TRUE&amp;DOC_NAME=FAT:FQL_AUDITING_CLIENT_TEMPLATE.FAT&amp;display_string=Audit&amp;VAR:KEY=HIBKRETORE&amp;VAR:QUERY=KFBfUFJJQ0UoMzk3MjUpLShGRl9DQVNIX1NUKFFUUiwzOTcyNSkvUF9DT01fU0hTX09VVCgzOTcyNSkpKS9GR","V9FU1RJTUFURSgnRVBTJywnTUVBTicsJ0FOTlVBTF9ST0xMJywnKzEnLDM5NzI1LCwsJycp&amp;WINDOW=FIRST_POPUP&amp;HEIGHT=450&amp;WIDTH=450&amp;START_MAXIMIZED=FALSE&amp;VAR:CALENDAR=US&amp;VAR:SYMBOL=98433210&amp;VAR:INDEX=0"}</definedName>
    <definedName name="_8721__FDSAUDITLINK__">{"fdsup://directions/FAT Viewer?action=UPDATE&amp;creator=factset&amp;DYN_ARGS=TRUE&amp;DOC_NAME=FAT:FQL_AUDITING_CLIENT_TEMPLATE.FAT&amp;display_string=Audit&amp;VAR:KEY=HIBKRETORE&amp;VAR:QUERY=KFBfUFJJQ0UoMzk3MjUpLShGRl9DQVNIX1NUKFFUUiwzOTcyNSkvUF9DT01fU0hTX09VVCgzOTcyNSkpKS9GR","V9FU1RJTUFURSgnRVBTJywnTUVBTicsJ0FOTlVBTF9ST0xMJywnKzEnLDM5NzI1LCwsJycp&amp;WINDOW=FIRST_POPUP&amp;HEIGHT=450&amp;WIDTH=450&amp;START_MAXIMIZED=FALSE&amp;VAR:CALENDAR=US&amp;VAR:SYMBOL=98433210&amp;VAR:INDEX=0"}</definedName>
    <definedName name="_8722__FDSAUDITLINK__">{"fdsup://directions/FAT Viewer?action=UPDATE&amp;creator=factset&amp;DYN_ARGS=TRUE&amp;DOC_NAME=FAT:FQL_AUDITING_CLIENT_TEMPLATE.FAT&amp;display_string=Audit&amp;VAR:KEY=TUJOHMZCFK&amp;VAR:QUERY=KFBfUFJJQ0UoMzk3MjQpLShGRl9DQVNIX1NUKFFUUiwzOTcyNCkvUF9DT01fU0hTX09VVCgzOTcyNCkpKS9GR","V9FU1RJTUFURSgnRVBTJywnTUVBTicsJ0FOTlVBTF9ST0xMJywnKzEnLDM5NzI0LCwsJycp&amp;WINDOW=FIRST_POPUP&amp;HEIGHT=450&amp;WIDTH=450&amp;START_MAXIMIZED=FALSE&amp;VAR:CALENDAR=US&amp;VAR:SYMBOL=98433210&amp;VAR:INDEX=0"}</definedName>
    <definedName name="_8723__FDSAUDITLINK__">{"fdsup://directions/FAT Viewer?action=UPDATE&amp;creator=factset&amp;DYN_ARGS=TRUE&amp;DOC_NAME=FAT:FQL_AUDITING_CLIENT_TEMPLATE.FAT&amp;display_string=Audit&amp;VAR:KEY=TUJOHMZCFK&amp;VAR:QUERY=KFBfUFJJQ0UoMzk3MjQpLShGRl9DQVNIX1NUKFFUUiwzOTcyNCkvUF9DT01fU0hTX09VVCgzOTcyNCkpKS9GR","V9FU1RJTUFURSgnRVBTJywnTUVBTicsJ0FOTlVBTF9ST0xMJywnKzEnLDM5NzI0LCwsJycp&amp;WINDOW=FIRST_POPUP&amp;HEIGHT=450&amp;WIDTH=450&amp;START_MAXIMIZED=FALSE&amp;VAR:CALENDAR=US&amp;VAR:SYMBOL=98433210&amp;VAR:INDEX=0"}</definedName>
    <definedName name="_8724__FDSAUDITLINK__">{"fdsup://directions/FAT Viewer?action=UPDATE&amp;creator=factset&amp;DYN_ARGS=TRUE&amp;DOC_NAME=FAT:FQL_AUDITING_CLIENT_TEMPLATE.FAT&amp;display_string=Audit&amp;VAR:KEY=LGZQBCNSRM&amp;VAR:QUERY=KFBfUFJJQ0UoMzk3MjMpLShGRl9DQVNIX1NUKFFUUiwzOTcyMykvUF9DT01fU0hTX09VVCgzOTcyMykpKS9GR","V9FU1RJTUFURSgnRVBTJywnTUVBTicsJ0FOTlVBTF9ST0xMJywnKzEnLDM5NzIzLCwsJycp&amp;WINDOW=FIRST_POPUP&amp;HEIGHT=450&amp;WIDTH=450&amp;START_MAXIMIZED=FALSE&amp;VAR:CALENDAR=US&amp;VAR:SYMBOL=98433210&amp;VAR:INDEX=0"}</definedName>
    <definedName name="_8725__FDSAUDITLINK__">{"fdsup://directions/FAT Viewer?action=UPDATE&amp;creator=factset&amp;DYN_ARGS=TRUE&amp;DOC_NAME=FAT:FQL_AUDITING_CLIENT_TEMPLATE.FAT&amp;display_string=Audit&amp;VAR:KEY=LGZQBCNSRM&amp;VAR:QUERY=KFBfUFJJQ0UoMzk3MjMpLShGRl9DQVNIX1NUKFFUUiwzOTcyMykvUF9DT01fU0hTX09VVCgzOTcyMykpKS9GR","V9FU1RJTUFURSgnRVBTJywnTUVBTicsJ0FOTlVBTF9ST0xMJywnKzEnLDM5NzIzLCwsJycp&amp;WINDOW=FIRST_POPUP&amp;HEIGHT=450&amp;WIDTH=450&amp;START_MAXIMIZED=FALSE&amp;VAR:CALENDAR=US&amp;VAR:SYMBOL=98433210&amp;VAR:INDEX=0"}</definedName>
    <definedName name="_8726__FDSAUDITLINK__">{"fdsup://directions/FAT Viewer?action=UPDATE&amp;creator=factset&amp;DYN_ARGS=TRUE&amp;DOC_NAME=FAT:FQL_AUDITING_CLIENT_TEMPLATE.FAT&amp;display_string=Audit&amp;VAR:KEY=JAJAZQBYPO&amp;VAR:QUERY=KFBfUFJJQ0UoMzk3MjIpLShGRl9DQVNIX1NUKFFUUiwzOTcyMikvUF9DT01fU0hTX09VVCgzOTcyMikpKS9GR","V9FU1RJTUFURSgnRVBTJywnTUVBTicsJ0FOTlVBTF9ST0xMJywnKzEnLDM5NzIyLCwsJycp&amp;WINDOW=FIRST_POPUP&amp;HEIGHT=450&amp;WIDTH=450&amp;START_MAXIMIZED=FALSE&amp;VAR:CALENDAR=US&amp;VAR:SYMBOL=98433210&amp;VAR:INDEX=0"}</definedName>
    <definedName name="_8727__FDSAUDITLINK__">{"fdsup://directions/FAT Viewer?action=UPDATE&amp;creator=factset&amp;DYN_ARGS=TRUE&amp;DOC_NAME=FAT:FQL_AUDITING_CLIENT_TEMPLATE.FAT&amp;display_string=Audit&amp;VAR:KEY=JAJAZQBYPO&amp;VAR:QUERY=KFBfUFJJQ0UoMzk3MjIpLShGRl9DQVNIX1NUKFFUUiwzOTcyMikvUF9DT01fU0hTX09VVCgzOTcyMikpKS9GR","V9FU1RJTUFURSgnRVBTJywnTUVBTicsJ0FOTlVBTF9ST0xMJywnKzEnLDM5NzIyLCwsJycp&amp;WINDOW=FIRST_POPUP&amp;HEIGHT=450&amp;WIDTH=450&amp;START_MAXIMIZED=FALSE&amp;VAR:CALENDAR=US&amp;VAR:SYMBOL=98433210&amp;VAR:INDEX=0"}</definedName>
    <definedName name="_8728__FDSAUDITLINK__">{"fdsup://directions/FAT Viewer?action=UPDATE&amp;creator=factset&amp;DYN_ARGS=TRUE&amp;DOC_NAME=FAT:FQL_AUDITING_CLIENT_TEMPLATE.FAT&amp;display_string=Audit&amp;VAR:KEY=PGROTKJCZA&amp;VAR:QUERY=KFBfUFJJQ0UoMzk3MjEpLShGRl9DQVNIX1NUKFFUUiwzOTcyMSkvUF9DT01fU0hTX09VVCgzOTcyMSkpKS9GR","V9FU1RJTUFURSgnRVBTJywnTUVBTicsJ0FOTlVBTF9ST0xMJywnKzEnLDM5NzIxLCwsJycp&amp;WINDOW=FIRST_POPUP&amp;HEIGHT=450&amp;WIDTH=450&amp;START_MAXIMIZED=FALSE&amp;VAR:CALENDAR=US&amp;VAR:SYMBOL=98433210&amp;VAR:INDEX=0"}</definedName>
    <definedName name="_8729__FDSAUDITLINK__">{"fdsup://directions/FAT Viewer?action=UPDATE&amp;creator=factset&amp;DYN_ARGS=TRUE&amp;DOC_NAME=FAT:FQL_AUDITING_CLIENT_TEMPLATE.FAT&amp;display_string=Audit&amp;VAR:KEY=PGROTKJCZA&amp;VAR:QUERY=KFBfUFJJQ0UoMzk3MjEpLShGRl9DQVNIX1NUKFFUUiwzOTcyMSkvUF9DT01fU0hTX09VVCgzOTcyMSkpKS9GR","V9FU1RJTUFURSgnRVBTJywnTUVBTicsJ0FOTlVBTF9ST0xMJywnKzEnLDM5NzIxLCwsJycp&amp;WINDOW=FIRST_POPUP&amp;HEIGHT=450&amp;WIDTH=450&amp;START_MAXIMIZED=FALSE&amp;VAR:CALENDAR=US&amp;VAR:SYMBOL=98433210&amp;VAR:INDEX=0"}</definedName>
    <definedName name="_87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917"}</definedName>
    <definedName name="_8730__FDSAUDITLINK__">{"fdsup://directions/FAT Viewer?action=UPDATE&amp;creator=factset&amp;DYN_ARGS=TRUE&amp;DOC_NAME=FAT:FQL_AUDITING_CLIENT_TEMPLATE.FAT&amp;display_string=Audit&amp;VAR:KEY=RINQLGJAFE&amp;VAR:QUERY=KFBfUFJJQ0UoMzk3MjApLShGRl9DQVNIX1NUKFFUUiwzOTcyMCkvUF9DT01fU0hTX09VVCgzOTcyMCkpKS9GR","V9FU1RJTUFURSgnRVBTJywnTUVBTicsJ0FOTlVBTF9ST0xMJywnKzEnLDM5NzIwLCwsJycp&amp;WINDOW=FIRST_POPUP&amp;HEIGHT=450&amp;WIDTH=450&amp;START_MAXIMIZED=FALSE&amp;VAR:CALENDAR=US&amp;VAR:SYMBOL=98433210&amp;VAR:INDEX=0"}</definedName>
    <definedName name="_8731__FDSAUDITLINK__">{"fdsup://directions/FAT Viewer?action=UPDATE&amp;creator=factset&amp;DYN_ARGS=TRUE&amp;DOC_NAME=FAT:FQL_AUDITING_CLIENT_TEMPLATE.FAT&amp;display_string=Audit&amp;VAR:KEY=RINQLGJAFE&amp;VAR:QUERY=KFBfUFJJQ0UoMzk3MjApLShGRl9DQVNIX1NUKFFUUiwzOTcyMCkvUF9DT01fU0hTX09VVCgzOTcyMCkpKS9GR","V9FU1RJTUFURSgnRVBTJywnTUVBTicsJ0FOTlVBTF9ST0xMJywnKzEnLDM5NzIwLCwsJycp&amp;WINDOW=FIRST_POPUP&amp;HEIGHT=450&amp;WIDTH=450&amp;START_MAXIMIZED=FALSE&amp;VAR:CALENDAR=US&amp;VAR:SYMBOL=98433210&amp;VAR:INDEX=0"}</definedName>
    <definedName name="_8732__FDSAUDITLINK__">{"fdsup://directions/FAT Viewer?action=UPDATE&amp;creator=factset&amp;DYN_ARGS=TRUE&amp;DOC_NAME=FAT:FQL_AUDITING_CLIENT_TEMPLATE.FAT&amp;display_string=Audit&amp;VAR:KEY=FQDORAPURK&amp;VAR:QUERY=KFBfUFJJQ0UoMzk3MTkpLShGRl9DQVNIX1NUKFFUUiwzOTcxOSkvUF9DT01fU0hTX09VVCgzOTcxOSkpKS9GR","V9FU1RJTUFURSgnRVBTJywnTUVBTicsJ0FOTlVBTF9ST0xMJywnKzEnLDM5NzE5LCwsJycp&amp;WINDOW=FIRST_POPUP&amp;HEIGHT=450&amp;WIDTH=450&amp;START_MAXIMIZED=FALSE&amp;VAR:CALENDAR=US&amp;VAR:SYMBOL=98433210&amp;VAR:INDEX=0"}</definedName>
    <definedName name="_8733__FDSAUDITLINK__">{"fdsup://directions/FAT Viewer?action=UPDATE&amp;creator=factset&amp;DYN_ARGS=TRUE&amp;DOC_NAME=FAT:FQL_AUDITING_CLIENT_TEMPLATE.FAT&amp;display_string=Audit&amp;VAR:KEY=FQDORAPURK&amp;VAR:QUERY=KFBfUFJJQ0UoMzk3MTkpLShGRl9DQVNIX1NUKFFUUiwzOTcxOSkvUF9DT01fU0hTX09VVCgzOTcxOSkpKS9GR","V9FU1RJTUFURSgnRVBTJywnTUVBTicsJ0FOTlVBTF9ST0xMJywnKzEnLDM5NzE5LCwsJycp&amp;WINDOW=FIRST_POPUP&amp;HEIGHT=450&amp;WIDTH=450&amp;START_MAXIMIZED=FALSE&amp;VAR:CALENDAR=US&amp;VAR:SYMBOL=98433210&amp;VAR:INDEX=0"}</definedName>
    <definedName name="_8734__FDSAUDITLINK__">{"fdsup://directions/FAT Viewer?action=UPDATE&amp;creator=factset&amp;DYN_ARGS=TRUE&amp;DOC_NAME=FAT:FQL_AUDITING_CLIENT_TEMPLATE.FAT&amp;display_string=Audit&amp;VAR:KEY=JKHMVYPOHU&amp;VAR:QUERY=KFBfUFJJQ0UoMzk3MTgpLShGRl9DQVNIX1NUKFFUUiwzOTcxOCkvUF9DT01fU0hTX09VVCgzOTcxOCkpKS9GR","V9FU1RJTUFURSgnRVBTJywnTUVBTicsJ0FOTlVBTF9ST0xMJywnKzEnLDM5NzE4LCwsJycp&amp;WINDOW=FIRST_POPUP&amp;HEIGHT=450&amp;WIDTH=450&amp;START_MAXIMIZED=FALSE&amp;VAR:CALENDAR=US&amp;VAR:SYMBOL=98433210&amp;VAR:INDEX=0"}</definedName>
    <definedName name="_8735__FDSAUDITLINK__">{"fdsup://directions/FAT Viewer?action=UPDATE&amp;creator=factset&amp;DYN_ARGS=TRUE&amp;DOC_NAME=FAT:FQL_AUDITING_CLIENT_TEMPLATE.FAT&amp;display_string=Audit&amp;VAR:KEY=JKHMVYPOHU&amp;VAR:QUERY=KFBfUFJJQ0UoMzk3MTgpLShGRl9DQVNIX1NUKFFUUiwzOTcxOCkvUF9DT01fU0hTX09VVCgzOTcxOCkpKS9GR","V9FU1RJTUFURSgnRVBTJywnTUVBTicsJ0FOTlVBTF9ST0xMJywnKzEnLDM5NzE4LCwsJycp&amp;WINDOW=FIRST_POPUP&amp;HEIGHT=450&amp;WIDTH=450&amp;START_MAXIMIZED=FALSE&amp;VAR:CALENDAR=US&amp;VAR:SYMBOL=98433210&amp;VAR:INDEX=0"}</definedName>
    <definedName name="_8736__FDSAUDITLINK__">{"fdsup://directions/FAT Viewer?action=UPDATE&amp;creator=factset&amp;DYN_ARGS=TRUE&amp;DOC_NAME=FAT:FQL_AUDITING_CLIENT_TEMPLATE.FAT&amp;display_string=Audit&amp;VAR:KEY=XIZSNQLILU&amp;VAR:QUERY=KFBfUFJJQ0UoMzk3MTcpLShGRl9DQVNIX1NUKFFUUiwzOTcxNykvUF9DT01fU0hTX09VVCgzOTcxNykpKS9GR","V9FU1RJTUFURSgnRVBTJywnTUVBTicsJ0FOTlVBTF9ST0xMJywnKzEnLDM5NzE3LCwsJycp&amp;WINDOW=FIRST_POPUP&amp;HEIGHT=450&amp;WIDTH=450&amp;START_MAXIMIZED=FALSE&amp;VAR:CALENDAR=US&amp;VAR:SYMBOL=98433210&amp;VAR:INDEX=0"}</definedName>
    <definedName name="_8737__FDSAUDITLINK__">{"fdsup://directions/FAT Viewer?action=UPDATE&amp;creator=factset&amp;DYN_ARGS=TRUE&amp;DOC_NAME=FAT:FQL_AUDITING_CLIENT_TEMPLATE.FAT&amp;display_string=Audit&amp;VAR:KEY=XIZSNQLILU&amp;VAR:QUERY=KFBfUFJJQ0UoMzk3MTcpLShGRl9DQVNIX1NUKFFUUiwzOTcxNykvUF9DT01fU0hTX09VVCgzOTcxNykpKS9GR","V9FU1RJTUFURSgnRVBTJywnTUVBTicsJ0FOTlVBTF9ST0xMJywnKzEnLDM5NzE3LCwsJycp&amp;WINDOW=FIRST_POPUP&amp;HEIGHT=450&amp;WIDTH=450&amp;START_MAXIMIZED=FALSE&amp;VAR:CALENDAR=US&amp;VAR:SYMBOL=98433210&amp;VAR:INDEX=0"}</definedName>
    <definedName name="_8738__FDSAUDITLINK__">{"fdsup://directions/FAT Viewer?action=UPDATE&amp;creator=factset&amp;DYN_ARGS=TRUE&amp;DOC_NAME=FAT:FQL_AUDITING_CLIENT_TEMPLATE.FAT&amp;display_string=Audit&amp;VAR:KEY=BCZGLQHMNO&amp;VAR:QUERY=KFBfUFJJQ0UoMzk3MTYpLShGRl9DQVNIX1NUKFFUUiwzOTcxNikvUF9DT01fU0hTX09VVCgzOTcxNikpKS9GR","V9FU1RJTUFURSgnRVBTJywnTUVBTicsJ0FOTlVBTF9ST0xMJywnKzEnLDM5NzE2LCwsJycp&amp;WINDOW=FIRST_POPUP&amp;HEIGHT=450&amp;WIDTH=450&amp;START_MAXIMIZED=FALSE&amp;VAR:CALENDAR=US&amp;VAR:SYMBOL=98433210&amp;VAR:INDEX=0"}</definedName>
    <definedName name="_8739__FDSAUDITLINK__">{"fdsup://directions/FAT Viewer?action=UPDATE&amp;creator=factset&amp;DYN_ARGS=TRUE&amp;DOC_NAME=FAT:FQL_AUDITING_CLIENT_TEMPLATE.FAT&amp;display_string=Audit&amp;VAR:KEY=BCZGLQHMNO&amp;VAR:QUERY=KFBfUFJJQ0UoMzk3MTYpLShGRl9DQVNIX1NUKFFUUiwzOTcxNikvUF9DT01fU0hTX09VVCgzOTcxNikpKS9GR","V9FU1RJTUFURSgnRVBTJywnTUVBTicsJ0FOTlVBTF9ST0xMJywnKzEnLDM5NzE2LCwsJycp&amp;WINDOW=FIRST_POPUP&amp;HEIGHT=450&amp;WIDTH=450&amp;START_MAXIMIZED=FALSE&amp;VAR:CALENDAR=US&amp;VAR:SYMBOL=98433210&amp;VAR:INDEX=0"}</definedName>
    <definedName name="_87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916"}</definedName>
    <definedName name="_8740__FDSAUDITLINK__">{"fdsup://directions/FAT Viewer?action=UPDATE&amp;creator=factset&amp;DYN_ARGS=TRUE&amp;DOC_NAME=FAT:FQL_AUDITING_CLIENT_TEMPLATE.FAT&amp;display_string=Audit&amp;VAR:KEY=JYHWXKFYZQ&amp;VAR:QUERY=KFBfUFJJQ0UoMzk3MTUpLShGRl9DQVNIX1NUKFFUUiwzOTcxNSkvUF9DT01fU0hTX09VVCgzOTcxNSkpKS9GR","V9FU1RJTUFURSgnRVBTJywnTUVBTicsJ0FOTlVBTF9ST0xMJywnKzEnLDM5NzE1LCwsJycp&amp;WINDOW=FIRST_POPUP&amp;HEIGHT=450&amp;WIDTH=450&amp;START_MAXIMIZED=FALSE&amp;VAR:CALENDAR=US&amp;VAR:SYMBOL=98433210&amp;VAR:INDEX=0"}</definedName>
    <definedName name="_8741__FDSAUDITLINK__">{"fdsup://directions/FAT Viewer?action=UPDATE&amp;creator=factset&amp;DYN_ARGS=TRUE&amp;DOC_NAME=FAT:FQL_AUDITING_CLIENT_TEMPLATE.FAT&amp;display_string=Audit&amp;VAR:KEY=JYHWXKFYZQ&amp;VAR:QUERY=KFBfUFJJQ0UoMzk3MTUpLShGRl9DQVNIX1NUKFFUUiwzOTcxNSkvUF9DT01fU0hTX09VVCgzOTcxNSkpKS9GR","V9FU1RJTUFURSgnRVBTJywnTUVBTicsJ0FOTlVBTF9ST0xMJywnKzEnLDM5NzE1LCwsJycp&amp;WINDOW=FIRST_POPUP&amp;HEIGHT=450&amp;WIDTH=450&amp;START_MAXIMIZED=FALSE&amp;VAR:CALENDAR=US&amp;VAR:SYMBOL=98433210&amp;VAR:INDEX=0"}</definedName>
    <definedName name="_8742__FDSAUDITLINK__">{"fdsup://directions/FAT Viewer?action=UPDATE&amp;creator=factset&amp;DYN_ARGS=TRUE&amp;DOC_NAME=FAT:FQL_AUDITING_CLIENT_TEMPLATE.FAT&amp;display_string=Audit&amp;VAR:KEY=REVANGJSHC&amp;VAR:QUERY=KFBfUFJJQ0UoMzk3MTQpLShGRl9DQVNIX1NUKFFUUiwzOTcxNCkvUF9DT01fU0hTX09VVCgzOTcxNCkpKS9GR","V9FU1RJTUFURSgnRVBTJywnTUVBTicsJ0FOTlVBTF9ST0xMJywnKzEnLDM5NzE0LCwsJycp&amp;WINDOW=FIRST_POPUP&amp;HEIGHT=450&amp;WIDTH=450&amp;START_MAXIMIZED=FALSE&amp;VAR:CALENDAR=US&amp;VAR:SYMBOL=98433210&amp;VAR:INDEX=0"}</definedName>
    <definedName name="_8743__FDSAUDITLINK__">{"fdsup://directions/FAT Viewer?action=UPDATE&amp;creator=factset&amp;DYN_ARGS=TRUE&amp;DOC_NAME=FAT:FQL_AUDITING_CLIENT_TEMPLATE.FAT&amp;display_string=Audit&amp;VAR:KEY=REVANGJSHC&amp;VAR:QUERY=KFBfUFJJQ0UoMzk3MTQpLShGRl9DQVNIX1NUKFFUUiwzOTcxNCkvUF9DT01fU0hTX09VVCgzOTcxNCkpKS9GR","V9FU1RJTUFURSgnRVBTJywnTUVBTicsJ0FOTlVBTF9ST0xMJywnKzEnLDM5NzE0LCwsJycp&amp;WINDOW=FIRST_POPUP&amp;HEIGHT=450&amp;WIDTH=450&amp;START_MAXIMIZED=FALSE&amp;VAR:CALENDAR=US&amp;VAR:SYMBOL=98433210&amp;VAR:INDEX=0"}</definedName>
    <definedName name="_8744__FDSAUDITLINK__">{"fdsup://directions/FAT Viewer?action=UPDATE&amp;creator=factset&amp;DYN_ARGS=TRUE&amp;DOC_NAME=FAT:FQL_AUDITING_CLIENT_TEMPLATE.FAT&amp;display_string=Audit&amp;VAR:KEY=VEVYRMPAFO&amp;VAR:QUERY=KFBfUFJJQ0UoMzk3MTMpLShGRl9DQVNIX1NUKFFUUiwzOTcxMykvUF9DT01fU0hTX09VVCgzOTcxMykpKS9GR","V9FU1RJTUFURSgnRVBTJywnTUVBTicsJ0FOTlVBTF9ST0xMJywnKzEnLDM5NzEzLCwsJycp&amp;WINDOW=FIRST_POPUP&amp;HEIGHT=450&amp;WIDTH=450&amp;START_MAXIMIZED=FALSE&amp;VAR:CALENDAR=US&amp;VAR:SYMBOL=98433210&amp;VAR:INDEX=0"}</definedName>
    <definedName name="_8745__FDSAUDITLINK__">{"fdsup://directions/FAT Viewer?action=UPDATE&amp;creator=factset&amp;DYN_ARGS=TRUE&amp;DOC_NAME=FAT:FQL_AUDITING_CLIENT_TEMPLATE.FAT&amp;display_string=Audit&amp;VAR:KEY=VEVYRMPAFO&amp;VAR:QUERY=KFBfUFJJQ0UoMzk3MTMpLShGRl9DQVNIX1NUKFFUUiwzOTcxMykvUF9DT01fU0hTX09VVCgzOTcxMykpKS9GR","V9FU1RJTUFURSgnRVBTJywnTUVBTicsJ0FOTlVBTF9ST0xMJywnKzEnLDM5NzEzLCwsJycp&amp;WINDOW=FIRST_POPUP&amp;HEIGHT=450&amp;WIDTH=450&amp;START_MAXIMIZED=FALSE&amp;VAR:CALENDAR=US&amp;VAR:SYMBOL=98433210&amp;VAR:INDEX=0"}</definedName>
    <definedName name="_8746__FDSAUDITLINK__">{"fdsup://directions/FAT Viewer?action=UPDATE&amp;creator=factset&amp;DYN_ARGS=TRUE&amp;DOC_NAME=FAT:FQL_AUDITING_CLIENT_TEMPLATE.FAT&amp;display_string=Audit&amp;VAR:KEY=HADSTKFOJI&amp;VAR:QUERY=KFBfUFJJQ0UoMzk3MTIpLShGRl9DQVNIX1NUKFFUUiwzOTcxMikvUF9DT01fU0hTX09VVCgzOTcxMikpKS9GR","V9FU1RJTUFURSgnRVBTJywnTUVBTicsJ0FOTlVBTF9ST0xMJywnKzEnLDM5NzEyLCwsJycp&amp;WINDOW=FIRST_POPUP&amp;HEIGHT=450&amp;WIDTH=450&amp;START_MAXIMIZED=FALSE&amp;VAR:CALENDAR=US&amp;VAR:SYMBOL=98433210&amp;VAR:INDEX=0"}</definedName>
    <definedName name="_8747__FDSAUDITLINK__">{"fdsup://directions/FAT Viewer?action=UPDATE&amp;creator=factset&amp;DYN_ARGS=TRUE&amp;DOC_NAME=FAT:FQL_AUDITING_CLIENT_TEMPLATE.FAT&amp;display_string=Audit&amp;VAR:KEY=HADSTKFOJI&amp;VAR:QUERY=KFBfUFJJQ0UoMzk3MTIpLShGRl9DQVNIX1NUKFFUUiwzOTcxMikvUF9DT01fU0hTX09VVCgzOTcxMikpKS9GR","V9FU1RJTUFURSgnRVBTJywnTUVBTicsJ0FOTlVBTF9ST0xMJywnKzEnLDM5NzEyLCwsJycp&amp;WINDOW=FIRST_POPUP&amp;HEIGHT=450&amp;WIDTH=450&amp;START_MAXIMIZED=FALSE&amp;VAR:CALENDAR=US&amp;VAR:SYMBOL=98433210&amp;VAR:INDEX=0"}</definedName>
    <definedName name="_8748__FDSAUDITLINK__">{"fdsup://directions/FAT Viewer?action=UPDATE&amp;creator=factset&amp;DYN_ARGS=TRUE&amp;DOC_NAME=FAT:FQL_AUDITING_CLIENT_TEMPLATE.FAT&amp;display_string=Audit&amp;VAR:KEY=ZWNIRETAJS&amp;VAR:QUERY=KFBfUFJJQ0UoMzk3MTEpLShGRl9DQVNIX1NUKFFUUiwzOTcxMSkvUF9DT01fU0hTX09VVCgzOTcxMSkpKS9GR","V9FU1RJTUFURSgnRVBTJywnTUVBTicsJ0FOTlVBTF9ST0xMJywnKzEnLDM5NzExLCwsJycp&amp;WINDOW=FIRST_POPUP&amp;HEIGHT=450&amp;WIDTH=450&amp;START_MAXIMIZED=FALSE&amp;VAR:CALENDAR=US&amp;VAR:SYMBOL=98433210&amp;VAR:INDEX=0"}</definedName>
    <definedName name="_8749__FDSAUDITLINK__">{"fdsup://directions/FAT Viewer?action=UPDATE&amp;creator=factset&amp;DYN_ARGS=TRUE&amp;DOC_NAME=FAT:FQL_AUDITING_CLIENT_TEMPLATE.FAT&amp;display_string=Audit&amp;VAR:KEY=ZWNIRETAJS&amp;VAR:QUERY=KFBfUFJJQ0UoMzk3MTEpLShGRl9DQVNIX1NUKFFUUiwzOTcxMSkvUF9DT01fU0hTX09VVCgzOTcxMSkpKS9GR","V9FU1RJTUFURSgnRVBTJywnTUVBTicsJ0FOTlVBTF9ST0xMJywnKzEnLDM5NzExLCwsJycp&amp;WINDOW=FIRST_POPUP&amp;HEIGHT=450&amp;WIDTH=450&amp;START_MAXIMIZED=FALSE&amp;VAR:CALENDAR=US&amp;VAR:SYMBOL=98433210&amp;VAR:INDEX=0"}</definedName>
    <definedName name="_87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915"}</definedName>
    <definedName name="_8750__FDSAUDITLINK__">{"fdsup://directions/FAT Viewer?action=UPDATE&amp;creator=factset&amp;DYN_ARGS=TRUE&amp;DOC_NAME=FAT:FQL_AUDITING_CLIENT_TEMPLATE.FAT&amp;display_string=Audit&amp;VAR:KEY=HQNULAJKNO&amp;VAR:QUERY=KFBfUFJJQ0UoMzk3MTApLShGRl9DQVNIX1NUKFFUUiwzOTcxMCkvUF9DT01fU0hTX09VVCgzOTcxMCkpKS9GR","V9FU1RJTUFURSgnRVBTJywnTUVBTicsJ0FOTlVBTF9ST0xMJywnKzEnLDM5NzEwLCwsJycp&amp;WINDOW=FIRST_POPUP&amp;HEIGHT=450&amp;WIDTH=450&amp;START_MAXIMIZED=FALSE&amp;VAR:CALENDAR=US&amp;VAR:SYMBOL=98433210&amp;VAR:INDEX=0"}</definedName>
    <definedName name="_8751__FDSAUDITLINK__">{"fdsup://directions/FAT Viewer?action=UPDATE&amp;creator=factset&amp;DYN_ARGS=TRUE&amp;DOC_NAME=FAT:FQL_AUDITING_CLIENT_TEMPLATE.FAT&amp;display_string=Audit&amp;VAR:KEY=HQNULAJKNO&amp;VAR:QUERY=KFBfUFJJQ0UoMzk3MTApLShGRl9DQVNIX1NUKFFUUiwzOTcxMCkvUF9DT01fU0hTX09VVCgzOTcxMCkpKS9GR","V9FU1RJTUFURSgnRVBTJywnTUVBTicsJ0FOTlVBTF9ST0xMJywnKzEnLDM5NzEwLCwsJycp&amp;WINDOW=FIRST_POPUP&amp;HEIGHT=450&amp;WIDTH=450&amp;START_MAXIMIZED=FALSE&amp;VAR:CALENDAR=US&amp;VAR:SYMBOL=98433210&amp;VAR:INDEX=0"}</definedName>
    <definedName name="_8752__FDSAUDITLINK__">{"fdsup://directions/FAT Viewer?action=UPDATE&amp;creator=factset&amp;DYN_ARGS=TRUE&amp;DOC_NAME=FAT:FQL_AUDITING_CLIENT_TEMPLATE.FAT&amp;display_string=Audit&amp;VAR:KEY=XKDYHCZMPE&amp;VAR:QUERY=KFBfUFJJQ0UoMzk3MDkpLShGRl9DQVNIX1NUKFFUUiwzOTcwOSkvUF9DT01fU0hTX09VVCgzOTcwOSkpKS9GR","V9FU1RJTUFURSgnRVBTJywnTUVBTicsJ0FOTlVBTF9ST0xMJywnKzEnLDM5NzA5LCwsJycp&amp;WINDOW=FIRST_POPUP&amp;HEIGHT=450&amp;WIDTH=450&amp;START_MAXIMIZED=FALSE&amp;VAR:CALENDAR=US&amp;VAR:SYMBOL=98433210&amp;VAR:INDEX=0"}</definedName>
    <definedName name="_8753__FDSAUDITLINK__">{"fdsup://directions/FAT Viewer?action=UPDATE&amp;creator=factset&amp;DYN_ARGS=TRUE&amp;DOC_NAME=FAT:FQL_AUDITING_CLIENT_TEMPLATE.FAT&amp;display_string=Audit&amp;VAR:KEY=XKDYHCZMPE&amp;VAR:QUERY=KFBfUFJJQ0UoMzk3MDkpLShGRl9DQVNIX1NUKFFUUiwzOTcwOSkvUF9DT01fU0hTX09VVCgzOTcwOSkpKS9GR","V9FU1RJTUFURSgnRVBTJywnTUVBTicsJ0FOTlVBTF9ST0xMJywnKzEnLDM5NzA5LCwsJycp&amp;WINDOW=FIRST_POPUP&amp;HEIGHT=450&amp;WIDTH=450&amp;START_MAXIMIZED=FALSE&amp;VAR:CALENDAR=US&amp;VAR:SYMBOL=98433210&amp;VAR:INDEX=0"}</definedName>
    <definedName name="_8754__FDSAUDITLINK__">{"fdsup://directions/FAT Viewer?action=UPDATE&amp;creator=factset&amp;DYN_ARGS=TRUE&amp;DOC_NAME=FAT:FQL_AUDITING_CLIENT_TEMPLATE.FAT&amp;display_string=Audit&amp;VAR:KEY=PMLQBCRKXG&amp;VAR:QUERY=KFBfUFJJQ0UoMzk3MDgpLShGRl9DQVNIX1NUKFFUUiwzOTcwOCkvUF9DT01fU0hTX09VVCgzOTcwOCkpKS9GR","V9FU1RJTUFURSgnRVBTJywnTUVBTicsJ0FOTlVBTF9ST0xMJywnKzEnLDM5NzA4LCwsJycp&amp;WINDOW=FIRST_POPUP&amp;HEIGHT=450&amp;WIDTH=450&amp;START_MAXIMIZED=FALSE&amp;VAR:CALENDAR=US&amp;VAR:SYMBOL=98433210&amp;VAR:INDEX=0"}</definedName>
    <definedName name="_8755__FDSAUDITLINK__">{"fdsup://directions/FAT Viewer?action=UPDATE&amp;creator=factset&amp;DYN_ARGS=TRUE&amp;DOC_NAME=FAT:FQL_AUDITING_CLIENT_TEMPLATE.FAT&amp;display_string=Audit&amp;VAR:KEY=PMLQBCRKXG&amp;VAR:QUERY=KFBfUFJJQ0UoMzk3MDgpLShGRl9DQVNIX1NUKFFUUiwzOTcwOCkvUF9DT01fU0hTX09VVCgzOTcwOCkpKS9GR","V9FU1RJTUFURSgnRVBTJywnTUVBTicsJ0FOTlVBTF9ST0xMJywnKzEnLDM5NzA4LCwsJycp&amp;WINDOW=FIRST_POPUP&amp;HEIGHT=450&amp;WIDTH=450&amp;START_MAXIMIZED=FALSE&amp;VAR:CALENDAR=US&amp;VAR:SYMBOL=98433210&amp;VAR:INDEX=0"}</definedName>
    <definedName name="_8756__FDSAUDITLINK__">{"fdsup://directions/FAT Viewer?action=UPDATE&amp;creator=factset&amp;DYN_ARGS=TRUE&amp;DOC_NAME=FAT:FQL_AUDITING_CLIENT_TEMPLATE.FAT&amp;display_string=Audit&amp;VAR:KEY=ZAPMZURIXQ&amp;VAR:QUERY=KFBfUFJJQ0UoMzk3MDcpLShGRl9DQVNIX1NUKFFUUiwzOTcwNykvUF9DT01fU0hTX09VVCgzOTcwNykpKS9GR","V9FU1RJTUFURSgnRVBTJywnTUVBTicsJ0FOTlVBTF9ST0xMJywnKzEnLDM5NzA3LCwsJycp&amp;WINDOW=FIRST_POPUP&amp;HEIGHT=450&amp;WIDTH=450&amp;START_MAXIMIZED=FALSE&amp;VAR:CALENDAR=US&amp;VAR:SYMBOL=98433210&amp;VAR:INDEX=0"}</definedName>
    <definedName name="_8757__FDSAUDITLINK__">{"fdsup://directions/FAT Viewer?action=UPDATE&amp;creator=factset&amp;DYN_ARGS=TRUE&amp;DOC_NAME=FAT:FQL_AUDITING_CLIENT_TEMPLATE.FAT&amp;display_string=Audit&amp;VAR:KEY=ZAPMZURIXQ&amp;VAR:QUERY=KFBfUFJJQ0UoMzk3MDcpLShGRl9DQVNIX1NUKFFUUiwzOTcwNykvUF9DT01fU0hTX09VVCgzOTcwNykpKS9GR","V9FU1RJTUFURSgnRVBTJywnTUVBTicsJ0FOTlVBTF9ST0xMJywnKzEnLDM5NzA3LCwsJycp&amp;WINDOW=FIRST_POPUP&amp;HEIGHT=450&amp;WIDTH=450&amp;START_MAXIMIZED=FALSE&amp;VAR:CALENDAR=US&amp;VAR:SYMBOL=98433210&amp;VAR:INDEX=0"}</definedName>
    <definedName name="_8758__FDSAUDITLINK__">{"fdsup://directions/FAT Viewer?action=UPDATE&amp;creator=factset&amp;DYN_ARGS=TRUE&amp;DOC_NAME=FAT:FQL_AUDITING_CLIENT_TEMPLATE.FAT&amp;display_string=Audit&amp;VAR:KEY=FMXGVIRODI&amp;VAR:QUERY=KFBfUFJJQ0UoMzk3MDYpLShGRl9DQVNIX1NUKFFUUiwzOTcwNikvUF9DT01fU0hTX09VVCgzOTcwNikpKS9GR","V9FU1RJTUFURSgnRVBTJywnTUVBTicsJ0FOTlVBTF9ST0xMJywnKzEnLDM5NzA2LCwsJycp&amp;WINDOW=FIRST_POPUP&amp;HEIGHT=450&amp;WIDTH=450&amp;START_MAXIMIZED=FALSE&amp;VAR:CALENDAR=US&amp;VAR:SYMBOL=98433210&amp;VAR:INDEX=0"}</definedName>
    <definedName name="_8759__FDSAUDITLINK__">{"fdsup://directions/FAT Viewer?action=UPDATE&amp;creator=factset&amp;DYN_ARGS=TRUE&amp;DOC_NAME=FAT:FQL_AUDITING_CLIENT_TEMPLATE.FAT&amp;display_string=Audit&amp;VAR:KEY=FMXGVIRODI&amp;VAR:QUERY=KFBfUFJJQ0UoMzk3MDYpLShGRl9DQVNIX1NUKFFUUiwzOTcwNikvUF9DT01fU0hTX09VVCgzOTcwNikpKS9GR","V9FU1RJTUFURSgnRVBTJywnTUVBTicsJ0FOTlVBTF9ST0xMJywnKzEnLDM5NzA2LCwsJycp&amp;WINDOW=FIRST_POPUP&amp;HEIGHT=450&amp;WIDTH=450&amp;START_MAXIMIZED=FALSE&amp;VAR:CALENDAR=US&amp;VAR:SYMBOL=98433210&amp;VAR:INDEX=0"}</definedName>
    <definedName name="_87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914"}</definedName>
    <definedName name="_8760__FDSAUDITLINK__">{"fdsup://directions/FAT Viewer?action=UPDATE&amp;creator=factset&amp;DYN_ARGS=TRUE&amp;DOC_NAME=FAT:FQL_AUDITING_CLIENT_TEMPLATE.FAT&amp;display_string=Audit&amp;VAR:KEY=NAXYTKVABA&amp;VAR:QUERY=KFBfUFJJQ0UoMzk3MDUpLShGRl9DQVNIX1NUKFFUUiwzOTcwNSkvUF9DT01fU0hTX09VVCgzOTcwNSkpKS9GR","V9FU1RJTUFURSgnRVBTJywnTUVBTicsJ0FOTlVBTF9ST0xMJywnKzEnLDM5NzA1LCwsJycp&amp;WINDOW=FIRST_POPUP&amp;HEIGHT=450&amp;WIDTH=450&amp;START_MAXIMIZED=FALSE&amp;VAR:CALENDAR=US&amp;VAR:SYMBOL=98433210&amp;VAR:INDEX=0"}</definedName>
    <definedName name="_8761__FDSAUDITLINK__">{"fdsup://directions/FAT Viewer?action=UPDATE&amp;creator=factset&amp;DYN_ARGS=TRUE&amp;DOC_NAME=FAT:FQL_AUDITING_CLIENT_TEMPLATE.FAT&amp;display_string=Audit&amp;VAR:KEY=NAXYTKVABA&amp;VAR:QUERY=KFBfUFJJQ0UoMzk3MDUpLShGRl9DQVNIX1NUKFFUUiwzOTcwNSkvUF9DT01fU0hTX09VVCgzOTcwNSkpKS9GR","V9FU1RJTUFURSgnRVBTJywnTUVBTicsJ0FOTlVBTF9ST0xMJywnKzEnLDM5NzA1LCwsJycp&amp;WINDOW=FIRST_POPUP&amp;HEIGHT=450&amp;WIDTH=450&amp;START_MAXIMIZED=FALSE&amp;VAR:CALENDAR=US&amp;VAR:SYMBOL=98433210&amp;VAR:INDEX=0"}</definedName>
    <definedName name="_8762__FDSAUDITLINK__">{"fdsup://directions/FAT Viewer?action=UPDATE&amp;creator=factset&amp;DYN_ARGS=TRUE&amp;DOC_NAME=FAT:FQL_AUDITING_CLIENT_TEMPLATE.FAT&amp;display_string=Audit&amp;VAR:KEY=JETUNUZWFO&amp;VAR:QUERY=KFBfUFJJQ0UoMzk3MDQpLShGRl9DQVNIX1NUKFFUUiwzOTcwNCkvUF9DT01fU0hTX09VVCgzOTcwNCkpKS9GR","V9FU1RJTUFURSgnRVBTJywnTUVBTicsJ0FOTlVBTF9ST0xMJywnKzEnLDM5NzA0LCwsJycp&amp;WINDOW=FIRST_POPUP&amp;HEIGHT=450&amp;WIDTH=450&amp;START_MAXIMIZED=FALSE&amp;VAR:CALENDAR=US&amp;VAR:SYMBOL=98433210&amp;VAR:INDEX=0"}</definedName>
    <definedName name="_8763__FDSAUDITLINK__">{"fdsup://directions/FAT Viewer?action=UPDATE&amp;creator=factset&amp;DYN_ARGS=TRUE&amp;DOC_NAME=FAT:FQL_AUDITING_CLIENT_TEMPLATE.FAT&amp;display_string=Audit&amp;VAR:KEY=JETUNUZWFO&amp;VAR:QUERY=KFBfUFJJQ0UoMzk3MDQpLShGRl9DQVNIX1NUKFFUUiwzOTcwNCkvUF9DT01fU0hTX09VVCgzOTcwNCkpKS9GR","V9FU1RJTUFURSgnRVBTJywnTUVBTicsJ0FOTlVBTF9ST0xMJywnKzEnLDM5NzA0LCwsJycp&amp;WINDOW=FIRST_POPUP&amp;HEIGHT=450&amp;WIDTH=450&amp;START_MAXIMIZED=FALSE&amp;VAR:CALENDAR=US&amp;VAR:SYMBOL=98433210&amp;VAR:INDEX=0"}</definedName>
    <definedName name="_8764__FDSAUDITLINK__">{"fdsup://directions/FAT Viewer?action=UPDATE&amp;creator=factset&amp;DYN_ARGS=TRUE&amp;DOC_NAME=FAT:FQL_AUDITING_CLIENT_TEMPLATE.FAT&amp;display_string=Audit&amp;VAR:KEY=DYLGXGVOVS&amp;VAR:QUERY=KFBfUFJJQ0UoMzk3MDMpLShGRl9DQVNIX1NUKFFUUiwzOTcwMykvUF9DT01fU0hTX09VVCgzOTcwMykpKS9GR","V9FU1RJTUFURSgnRVBTJywnTUVBTicsJ0FOTlVBTF9ST0xMJywnKzEnLDM5NzAzLCwsJycp&amp;WINDOW=FIRST_POPUP&amp;HEIGHT=450&amp;WIDTH=450&amp;START_MAXIMIZED=FALSE&amp;VAR:CALENDAR=US&amp;VAR:SYMBOL=98433210&amp;VAR:INDEX=0"}</definedName>
    <definedName name="_8765__FDSAUDITLINK__">{"fdsup://directions/FAT Viewer?action=UPDATE&amp;creator=factset&amp;DYN_ARGS=TRUE&amp;DOC_NAME=FAT:FQL_AUDITING_CLIENT_TEMPLATE.FAT&amp;display_string=Audit&amp;VAR:KEY=DYLGXGVOVS&amp;VAR:QUERY=KFBfUFJJQ0UoMzk3MDMpLShGRl9DQVNIX1NUKFFUUiwzOTcwMykvUF9DT01fU0hTX09VVCgzOTcwMykpKS9GR","V9FU1RJTUFURSgnRVBTJywnTUVBTicsJ0FOTlVBTF9ST0xMJywnKzEnLDM5NzAzLCwsJycp&amp;WINDOW=FIRST_POPUP&amp;HEIGHT=450&amp;WIDTH=450&amp;START_MAXIMIZED=FALSE&amp;VAR:CALENDAR=US&amp;VAR:SYMBOL=98433210&amp;VAR:INDEX=0"}</definedName>
    <definedName name="_8766__FDSAUDITLINK__">{"fdsup://directions/FAT Viewer?action=UPDATE&amp;creator=factset&amp;DYN_ARGS=TRUE&amp;DOC_NAME=FAT:FQL_AUDITING_CLIENT_TEMPLATE.FAT&amp;display_string=Audit&amp;VAR:KEY=NOHOFCNSPS&amp;VAR:QUERY=KFBfUFJJQ0UoMzk3MDIpLShGRl9DQVNIX1NUKFFUUiwzOTcwMikvUF9DT01fU0hTX09VVCgzOTcwMikpKS9GR","V9FU1RJTUFURSgnRVBTJywnTUVBTicsJ0FOTlVBTF9ST0xMJywnKzEnLDM5NzAyLCwsJycp&amp;WINDOW=FIRST_POPUP&amp;HEIGHT=450&amp;WIDTH=450&amp;START_MAXIMIZED=FALSE&amp;VAR:CALENDAR=US&amp;VAR:SYMBOL=98433210&amp;VAR:INDEX=0"}</definedName>
    <definedName name="_8767__FDSAUDITLINK__">{"fdsup://directions/FAT Viewer?action=UPDATE&amp;creator=factset&amp;DYN_ARGS=TRUE&amp;DOC_NAME=FAT:FQL_AUDITING_CLIENT_TEMPLATE.FAT&amp;display_string=Audit&amp;VAR:KEY=NOHOFCNSPS&amp;VAR:QUERY=KFBfUFJJQ0UoMzk3MDIpLShGRl9DQVNIX1NUKFFUUiwzOTcwMikvUF9DT01fU0hTX09VVCgzOTcwMikpKS9GR","V9FU1RJTUFURSgnRVBTJywnTUVBTicsJ0FOTlVBTF9ST0xMJywnKzEnLDM5NzAyLCwsJycp&amp;WINDOW=FIRST_POPUP&amp;HEIGHT=450&amp;WIDTH=450&amp;START_MAXIMIZED=FALSE&amp;VAR:CALENDAR=US&amp;VAR:SYMBOL=98433210&amp;VAR:INDEX=0"}</definedName>
    <definedName name="_8768__FDSAUDITLINK__">{"fdsup://directions/FAT Viewer?action=UPDATE&amp;creator=factset&amp;DYN_ARGS=TRUE&amp;DOC_NAME=FAT:FQL_AUDITING_CLIENT_TEMPLATE.FAT&amp;display_string=Audit&amp;VAR:KEY=DYVMJARYBG&amp;VAR:QUERY=KFBfUFJJQ0UoMzk3MDEpLShGRl9DQVNIX1NUKFFUUiwzOTcwMSkvUF9DT01fU0hTX09VVCgzOTcwMSkpKS9GR","V9FU1RJTUFURSgnRVBTJywnTUVBTicsJ0FOTlVBTF9ST0xMJywnKzEnLDM5NzAxLCwsJycp&amp;WINDOW=FIRST_POPUP&amp;HEIGHT=450&amp;WIDTH=450&amp;START_MAXIMIZED=FALSE&amp;VAR:CALENDAR=US&amp;VAR:SYMBOL=98433210&amp;VAR:INDEX=0"}</definedName>
    <definedName name="_8769__FDSAUDITLINK__">{"fdsup://directions/FAT Viewer?action=UPDATE&amp;creator=factset&amp;DYN_ARGS=TRUE&amp;DOC_NAME=FAT:FQL_AUDITING_CLIENT_TEMPLATE.FAT&amp;display_string=Audit&amp;VAR:KEY=DYVMJARYBG&amp;VAR:QUERY=KFBfUFJJQ0UoMzk3MDEpLShGRl9DQVNIX1NUKFFUUiwzOTcwMSkvUF9DT01fU0hTX09VVCgzOTcwMSkpKS9GR","V9FU1RJTUFURSgnRVBTJywnTUVBTicsJ0FOTlVBTF9ST0xMJywnKzEnLDM5NzAxLCwsJycp&amp;WINDOW=FIRST_POPUP&amp;HEIGHT=450&amp;WIDTH=450&amp;START_MAXIMIZED=FALSE&amp;VAR:CALENDAR=US&amp;VAR:SYMBOL=98433210&amp;VAR:INDEX=0"}</definedName>
    <definedName name="_87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913"}</definedName>
    <definedName name="_8770__FDSAUDITLINK__">{"fdsup://directions/FAT Viewer?action=UPDATE&amp;creator=factset&amp;DYN_ARGS=TRUE&amp;DOC_NAME=FAT:FQL_AUDITING_CLIENT_TEMPLATE.FAT&amp;display_string=Audit&amp;VAR:KEY=BATWLGDMPA&amp;VAR:QUERY=KFBfUFJJQ0UoMzk3MDApLShGRl9DQVNIX1NUKFFUUiwzOTcwMCkvUF9DT01fU0hTX09VVCgzOTcwMCkpKS9GR","V9FU1RJTUFURSgnRVBTJywnTUVBTicsJ0FOTlVBTF9ST0xMJywnKzEnLDM5NzAwLCwsJycp&amp;WINDOW=FIRST_POPUP&amp;HEIGHT=450&amp;WIDTH=450&amp;START_MAXIMIZED=FALSE&amp;VAR:CALENDAR=US&amp;VAR:SYMBOL=98433210&amp;VAR:INDEX=0"}</definedName>
    <definedName name="_8771__FDSAUDITLINK__">{"fdsup://directions/FAT Viewer?action=UPDATE&amp;creator=factset&amp;DYN_ARGS=TRUE&amp;DOC_NAME=FAT:FQL_AUDITING_CLIENT_TEMPLATE.FAT&amp;display_string=Audit&amp;VAR:KEY=BATWLGDMPA&amp;VAR:QUERY=KFBfUFJJQ0UoMzk3MDApLShGRl9DQVNIX1NUKFFUUiwzOTcwMCkvUF9DT01fU0hTX09VVCgzOTcwMCkpKS9GR","V9FU1RJTUFURSgnRVBTJywnTUVBTicsJ0FOTlVBTF9ST0xMJywnKzEnLDM5NzAwLCwsJycp&amp;WINDOW=FIRST_POPUP&amp;HEIGHT=450&amp;WIDTH=450&amp;START_MAXIMIZED=FALSE&amp;VAR:CALENDAR=US&amp;VAR:SYMBOL=98433210&amp;VAR:INDEX=0"}</definedName>
    <definedName name="_8772__FDSAUDITLINK__">{"fdsup://directions/FAT Viewer?action=UPDATE&amp;creator=factset&amp;DYN_ARGS=TRUE&amp;DOC_NAME=FAT:FQL_AUDITING_CLIENT_TEMPLATE.FAT&amp;display_string=Audit&amp;VAR:KEY=LGTMLUNSVS&amp;VAR:QUERY=KFBfUFJJQ0UoMzk2OTkpLShGRl9DQVNIX1NUKFFUUiwzOTY5OSkvUF9DT01fU0hTX09VVCgzOTY5OSkpKS9GR","V9FU1RJTUFURSgnRVBTJywnTUVBTicsJ0FOTlVBTF9ST0xMJywnKzEnLDM5Njk5LCwsJycp&amp;WINDOW=FIRST_POPUP&amp;HEIGHT=450&amp;WIDTH=450&amp;START_MAXIMIZED=FALSE&amp;VAR:CALENDAR=US&amp;VAR:SYMBOL=98433210&amp;VAR:INDEX=0"}</definedName>
    <definedName name="_8773__FDSAUDITLINK__">{"fdsup://directions/FAT Viewer?action=UPDATE&amp;creator=factset&amp;DYN_ARGS=TRUE&amp;DOC_NAME=FAT:FQL_AUDITING_CLIENT_TEMPLATE.FAT&amp;display_string=Audit&amp;VAR:KEY=LGTMLUNSVS&amp;VAR:QUERY=KFBfUFJJQ0UoMzk2OTkpLShGRl9DQVNIX1NUKFFUUiwzOTY5OSkvUF9DT01fU0hTX09VVCgzOTY5OSkpKS9GR","V9FU1RJTUFURSgnRVBTJywnTUVBTicsJ0FOTlVBTF9ST0xMJywnKzEnLDM5Njk5LCwsJycp&amp;WINDOW=FIRST_POPUP&amp;HEIGHT=450&amp;WIDTH=450&amp;START_MAXIMIZED=FALSE&amp;VAR:CALENDAR=US&amp;VAR:SYMBOL=98433210&amp;VAR:INDEX=0"}</definedName>
    <definedName name="_8774__FDSAUDITLINK__">{"fdsup://directions/FAT Viewer?action=UPDATE&amp;creator=factset&amp;DYN_ARGS=TRUE&amp;DOC_NAME=FAT:FQL_AUDITING_CLIENT_TEMPLATE.FAT&amp;display_string=Audit&amp;VAR:KEY=DOTOJOPGXG&amp;VAR:QUERY=KFBfUFJJQ0UoMzk2OTgpLShGRl9DQVNIX1NUKFFUUiwzOTY5OCkvUF9DT01fU0hTX09VVCgzOTY5OCkpKS9GR","V9FU1RJTUFURSgnRVBTJywnTUVBTicsJ0FOTlVBTF9ST0xMJywnKzEnLDM5Njk4LCwsJycp&amp;WINDOW=FIRST_POPUP&amp;HEIGHT=450&amp;WIDTH=450&amp;START_MAXIMIZED=FALSE&amp;VAR:CALENDAR=US&amp;VAR:SYMBOL=98433210&amp;VAR:INDEX=0"}</definedName>
    <definedName name="_8775__FDSAUDITLINK__">{"fdsup://directions/FAT Viewer?action=UPDATE&amp;creator=factset&amp;DYN_ARGS=TRUE&amp;DOC_NAME=FAT:FQL_AUDITING_CLIENT_TEMPLATE.FAT&amp;display_string=Audit&amp;VAR:KEY=DOTOJOPGXG&amp;VAR:QUERY=KFBfUFJJQ0UoMzk2OTgpLShGRl9DQVNIX1NUKFFUUiwzOTY5OCkvUF9DT01fU0hTX09VVCgzOTY5OCkpKS9GR","V9FU1RJTUFURSgnRVBTJywnTUVBTicsJ0FOTlVBTF9ST0xMJywnKzEnLDM5Njk4LCwsJycp&amp;WINDOW=FIRST_POPUP&amp;HEIGHT=450&amp;WIDTH=450&amp;START_MAXIMIZED=FALSE&amp;VAR:CALENDAR=US&amp;VAR:SYMBOL=98433210&amp;VAR:INDEX=0"}</definedName>
    <definedName name="_8776__FDSAUDITLINK__">{"fdsup://directions/FAT Viewer?action=UPDATE&amp;creator=factset&amp;DYN_ARGS=TRUE&amp;DOC_NAME=FAT:FQL_AUDITING_CLIENT_TEMPLATE.FAT&amp;display_string=Audit&amp;VAR:KEY=ZQXQHCZCDG&amp;VAR:QUERY=KFBfUFJJQ0UoMzk2OTcpLShGRl9DQVNIX1NUKFFUUiwzOTY5NykvUF9DT01fU0hTX09VVCgzOTY5NykpKS9GR","V9FU1RJTUFURSgnRVBTJywnTUVBTicsJ0FOTlVBTF9ST0xMJywnKzEnLDM5Njk3LCwsJycp&amp;WINDOW=FIRST_POPUP&amp;HEIGHT=450&amp;WIDTH=450&amp;START_MAXIMIZED=FALSE&amp;VAR:CALENDAR=US&amp;VAR:SYMBOL=98433210&amp;VAR:INDEX=0"}</definedName>
    <definedName name="_8777__FDSAUDITLINK__">{"fdsup://directions/FAT Viewer?action=UPDATE&amp;creator=factset&amp;DYN_ARGS=TRUE&amp;DOC_NAME=FAT:FQL_AUDITING_CLIENT_TEMPLATE.FAT&amp;display_string=Audit&amp;VAR:KEY=ZQXQHCZCDG&amp;VAR:QUERY=KFBfUFJJQ0UoMzk2OTcpLShGRl9DQVNIX1NUKFFUUiwzOTY5NykvUF9DT01fU0hTX09VVCgzOTY5NykpKS9GR","V9FU1RJTUFURSgnRVBTJywnTUVBTicsJ0FOTlVBTF9ST0xMJywnKzEnLDM5Njk3LCwsJycp&amp;WINDOW=FIRST_POPUP&amp;HEIGHT=450&amp;WIDTH=450&amp;START_MAXIMIZED=FALSE&amp;VAR:CALENDAR=US&amp;VAR:SYMBOL=98433210&amp;VAR:INDEX=0"}</definedName>
    <definedName name="_8778__FDSAUDITLINK__">{"fdsup://directions/FAT Viewer?action=UPDATE&amp;creator=factset&amp;DYN_ARGS=TRUE&amp;DOC_NAME=FAT:FQL_AUDITING_CLIENT_TEMPLATE.FAT&amp;display_string=Audit&amp;VAR:KEY=VYVKJYTKFG&amp;VAR:QUERY=KFBfUFJJQ0UoMzk2OTYpLShGRl9DQVNIX1NUKFFUUiwzOTY5NikvUF9DT01fU0hTX09VVCgzOTY5NikpKS9GR","V9FU1RJTUFURSgnRVBTJywnTUVBTicsJ0FOTlVBTF9ST0xMJywnKzEnLDM5Njk2LCwsJycp&amp;WINDOW=FIRST_POPUP&amp;HEIGHT=450&amp;WIDTH=450&amp;START_MAXIMIZED=FALSE&amp;VAR:CALENDAR=US&amp;VAR:SYMBOL=98433210&amp;VAR:INDEX=0"}</definedName>
    <definedName name="_8779__FDSAUDITLINK__">{"fdsup://directions/FAT Viewer?action=UPDATE&amp;creator=factset&amp;DYN_ARGS=TRUE&amp;DOC_NAME=FAT:FQL_AUDITING_CLIENT_TEMPLATE.FAT&amp;display_string=Audit&amp;VAR:KEY=VYVKJYTKFG&amp;VAR:QUERY=KFBfUFJJQ0UoMzk2OTYpLShGRl9DQVNIX1NUKFFUUiwzOTY5NikvUF9DT01fU0hTX09VVCgzOTY5NikpKS9GR","V9FU1RJTUFURSgnRVBTJywnTUVBTicsJ0FOTlVBTF9ST0xMJywnKzEnLDM5Njk2LCwsJycp&amp;WINDOW=FIRST_POPUP&amp;HEIGHT=450&amp;WIDTH=450&amp;START_MAXIMIZED=FALSE&amp;VAR:CALENDAR=US&amp;VAR:SYMBOL=98433210&amp;VAR:INDEX=0"}</definedName>
    <definedName name="_87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912"}</definedName>
    <definedName name="_8780__FDSAUDITLINK__">{"fdsup://directions/FAT Viewer?action=UPDATE&amp;creator=factset&amp;DYN_ARGS=TRUE&amp;DOC_NAME=FAT:FQL_AUDITING_CLIENT_TEMPLATE.FAT&amp;display_string=Audit&amp;VAR:KEY=ZIXSNWJIDE&amp;VAR:QUERY=KFBfUFJJQ0UoMzk2OTUpLShGRl9DQVNIX1NUKFFUUiwzOTY5NSkvUF9DT01fU0hTX09VVCgzOTY5NSkpKS9GR","V9FU1RJTUFURSgnRVBTJywnTUVBTicsJ0FOTlVBTF9ST0xMJywnKzEnLDM5Njk1LCwsJycp&amp;WINDOW=FIRST_POPUP&amp;HEIGHT=450&amp;WIDTH=450&amp;START_MAXIMIZED=FALSE&amp;VAR:CALENDAR=US&amp;VAR:SYMBOL=98433210&amp;VAR:INDEX=0"}</definedName>
    <definedName name="_8781__FDSAUDITLINK__">{"fdsup://directions/FAT Viewer?action=UPDATE&amp;creator=factset&amp;DYN_ARGS=TRUE&amp;DOC_NAME=FAT:FQL_AUDITING_CLIENT_TEMPLATE.FAT&amp;display_string=Audit&amp;VAR:KEY=ZIXSNWJIDE&amp;VAR:QUERY=KFBfUFJJQ0UoMzk2OTUpLShGRl9DQVNIX1NUKFFUUiwzOTY5NSkvUF9DT01fU0hTX09VVCgzOTY5NSkpKS9GR","V9FU1RJTUFURSgnRVBTJywnTUVBTicsJ0FOTlVBTF9ST0xMJywnKzEnLDM5Njk1LCwsJycp&amp;WINDOW=FIRST_POPUP&amp;HEIGHT=450&amp;WIDTH=450&amp;START_MAXIMIZED=FALSE&amp;VAR:CALENDAR=US&amp;VAR:SYMBOL=98433210&amp;VAR:INDEX=0"}</definedName>
    <definedName name="_8782__FDSAUDITLINK__">{"fdsup://directions/FAT Viewer?action=UPDATE&amp;creator=factset&amp;DYN_ARGS=TRUE&amp;DOC_NAME=FAT:FQL_AUDITING_CLIENT_TEMPLATE.FAT&amp;display_string=Audit&amp;VAR:KEY=TYNEHGXYDY&amp;VAR:QUERY=KFBfUFJJQ0UoMzk2OTQpLShGRl9DQVNIX1NUKFFUUiwzOTY5NCkvUF9DT01fU0hTX09VVCgzOTY5NCkpKS9GR","V9FU1RJTUFURSgnRVBTJywnTUVBTicsJ0FOTlVBTF9ST0xMJywnKzEnLDM5Njk0LCwsJycp&amp;WINDOW=FIRST_POPUP&amp;HEIGHT=450&amp;WIDTH=450&amp;START_MAXIMIZED=FALSE&amp;VAR:CALENDAR=US&amp;VAR:SYMBOL=98433210&amp;VAR:INDEX=0"}</definedName>
    <definedName name="_8783__FDSAUDITLINK__">{"fdsup://directions/FAT Viewer?action=UPDATE&amp;creator=factset&amp;DYN_ARGS=TRUE&amp;DOC_NAME=FAT:FQL_AUDITING_CLIENT_TEMPLATE.FAT&amp;display_string=Audit&amp;VAR:KEY=TYNEHGXYDY&amp;VAR:QUERY=KFBfUFJJQ0UoMzk2OTQpLShGRl9DQVNIX1NUKFFUUiwzOTY5NCkvUF9DT01fU0hTX09VVCgzOTY5NCkpKS9GR","V9FU1RJTUFURSgnRVBTJywnTUVBTicsJ0FOTlVBTF9ST0xMJywnKzEnLDM5Njk0LCwsJycp&amp;WINDOW=FIRST_POPUP&amp;HEIGHT=450&amp;WIDTH=450&amp;START_MAXIMIZED=FALSE&amp;VAR:CALENDAR=US&amp;VAR:SYMBOL=98433210&amp;VAR:INDEX=0"}</definedName>
    <definedName name="_8784__FDSAUDITLINK__">{"fdsup://directions/FAT Viewer?action=UPDATE&amp;creator=factset&amp;DYN_ARGS=TRUE&amp;DOC_NAME=FAT:FQL_AUDITING_CLIENT_TEMPLATE.FAT&amp;display_string=Audit&amp;VAR:KEY=DGDWFAZQBQ&amp;VAR:QUERY=KFBfUFJJQ0UoMzk2OTMpLShGRl9DQVNIX1NUKFFUUiwzOTY5MykvUF9DT01fU0hTX09VVCgzOTY5MykpKS9GR","V9FU1RJTUFURSgnRVBTJywnTUVBTicsJ0FOTlVBTF9ST0xMJywnKzEnLDM5NjkzLCwsJycp&amp;WINDOW=FIRST_POPUP&amp;HEIGHT=450&amp;WIDTH=450&amp;START_MAXIMIZED=FALSE&amp;VAR:CALENDAR=US&amp;VAR:SYMBOL=98433210&amp;VAR:INDEX=0"}</definedName>
    <definedName name="_8785__FDSAUDITLINK__">{"fdsup://directions/FAT Viewer?action=UPDATE&amp;creator=factset&amp;DYN_ARGS=TRUE&amp;DOC_NAME=FAT:FQL_AUDITING_CLIENT_TEMPLATE.FAT&amp;display_string=Audit&amp;VAR:KEY=DGDWFAZQBQ&amp;VAR:QUERY=KFBfUFJJQ0UoMzk2OTMpLShGRl9DQVNIX1NUKFFUUiwzOTY5MykvUF9DT01fU0hTX09VVCgzOTY5MykpKS9GR","V9FU1RJTUFURSgnRVBTJywnTUVBTicsJ0FOTlVBTF9ST0xMJywnKzEnLDM5NjkzLCwsJycp&amp;WINDOW=FIRST_POPUP&amp;HEIGHT=450&amp;WIDTH=450&amp;START_MAXIMIZED=FALSE&amp;VAR:CALENDAR=US&amp;VAR:SYMBOL=98433210&amp;VAR:INDEX=0"}</definedName>
    <definedName name="_8786__FDSAUDITLINK__">{"fdsup://directions/FAT Viewer?action=UPDATE&amp;creator=factset&amp;DYN_ARGS=TRUE&amp;DOC_NAME=FAT:FQL_AUDITING_CLIENT_TEMPLATE.FAT&amp;display_string=Audit&amp;VAR:KEY=BIBYNMTYLS&amp;VAR:QUERY=KFBfUFJJQ0UoMzk2OTIpLShGRl9DQVNIX1NUKFFUUiwzOTY5MikvUF9DT01fU0hTX09VVCgzOTY5MikpKS9GR","V9FU1RJTUFURSgnRVBTJywnTUVBTicsJ0FOTlVBTF9ST0xMJywnKzEnLDM5NjkyLCwsJycp&amp;WINDOW=FIRST_POPUP&amp;HEIGHT=450&amp;WIDTH=450&amp;START_MAXIMIZED=FALSE&amp;VAR:CALENDAR=US&amp;VAR:SYMBOL=98433210&amp;VAR:INDEX=0"}</definedName>
    <definedName name="_8787__FDSAUDITLINK__">{"fdsup://directions/FAT Viewer?action=UPDATE&amp;creator=factset&amp;DYN_ARGS=TRUE&amp;DOC_NAME=FAT:FQL_AUDITING_CLIENT_TEMPLATE.FAT&amp;display_string=Audit&amp;VAR:KEY=BIBYNMTYLS&amp;VAR:QUERY=KFBfUFJJQ0UoMzk2OTIpLShGRl9DQVNIX1NUKFFUUiwzOTY5MikvUF9DT01fU0hTX09VVCgzOTY5MikpKS9GR","V9FU1RJTUFURSgnRVBTJywnTUVBTicsJ0FOTlVBTF9ST0xMJywnKzEnLDM5NjkyLCwsJycp&amp;WINDOW=FIRST_POPUP&amp;HEIGHT=450&amp;WIDTH=450&amp;START_MAXIMIZED=FALSE&amp;VAR:CALENDAR=US&amp;VAR:SYMBOL=98433210&amp;VAR:INDEX=0"}</definedName>
    <definedName name="_8788__FDSAUDITLINK__">{"fdsup://directions/FAT Viewer?action=UPDATE&amp;creator=factset&amp;DYN_ARGS=TRUE&amp;DOC_NAME=FAT:FQL_AUDITING_CLIENT_TEMPLATE.FAT&amp;display_string=Audit&amp;VAR:KEY=FCNOFWJMXG&amp;VAR:QUERY=KFBfUFJJQ0UoMzk2OTEpLShGRl9DQVNIX1NUKFFUUiwzOTY5MSkvUF9DT01fU0hTX09VVCgzOTY5MSkpKS9GR","V9FU1RJTUFURSgnRVBTJywnTUVBTicsJ0FOTlVBTF9ST0xMJywnKzEnLDM5NjkxLCwsJycp&amp;WINDOW=FIRST_POPUP&amp;HEIGHT=450&amp;WIDTH=450&amp;START_MAXIMIZED=FALSE&amp;VAR:CALENDAR=US&amp;VAR:SYMBOL=98433210&amp;VAR:INDEX=0"}</definedName>
    <definedName name="_8789__FDSAUDITLINK__">{"fdsup://directions/FAT Viewer?action=UPDATE&amp;creator=factset&amp;DYN_ARGS=TRUE&amp;DOC_NAME=FAT:FQL_AUDITING_CLIENT_TEMPLATE.FAT&amp;display_string=Audit&amp;VAR:KEY=FCNOFWJMXG&amp;VAR:QUERY=KFBfUFJJQ0UoMzk2OTEpLShGRl9DQVNIX1NUKFFUUiwzOTY5MSkvUF9DT01fU0hTX09VVCgzOTY5MSkpKS9GR","V9FU1RJTUFURSgnRVBTJywnTUVBTicsJ0FOTlVBTF9ST0xMJywnKzEnLDM5NjkxLCwsJycp&amp;WINDOW=FIRST_POPUP&amp;HEIGHT=450&amp;WIDTH=450&amp;START_MAXIMIZED=FALSE&amp;VAR:CALENDAR=US&amp;VAR:SYMBOL=98433210&amp;VAR:INDEX=0"}</definedName>
    <definedName name="_87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911"}</definedName>
    <definedName name="_8790__FDSAUDITLINK__">{"fdsup://directions/FAT Viewer?action=UPDATE&amp;creator=factset&amp;DYN_ARGS=TRUE&amp;DOC_NAME=FAT:FQL_AUDITING_CLIENT_TEMPLATE.FAT&amp;display_string=Audit&amp;VAR:KEY=NKHIBSPCBI&amp;VAR:QUERY=KFBfUFJJQ0UoMzk2OTApLShGRl9DQVNIX1NUKFFUUiwzOTY5MCkvUF9DT01fU0hTX09VVCgzOTY5MCkpKS9GR","V9FU1RJTUFURSgnRVBTJywnTUVBTicsJ0FOTlVBTF9ST0xMJywnKzEnLDM5NjkwLCwsJycp&amp;WINDOW=FIRST_POPUP&amp;HEIGHT=450&amp;WIDTH=450&amp;START_MAXIMIZED=FALSE&amp;VAR:CALENDAR=US&amp;VAR:SYMBOL=98433210&amp;VAR:INDEX=0"}</definedName>
    <definedName name="_8791__FDSAUDITLINK__">{"fdsup://directions/FAT Viewer?action=UPDATE&amp;creator=factset&amp;DYN_ARGS=TRUE&amp;DOC_NAME=FAT:FQL_AUDITING_CLIENT_TEMPLATE.FAT&amp;display_string=Audit&amp;VAR:KEY=NKHIBSPCBI&amp;VAR:QUERY=KFBfUFJJQ0UoMzk2OTApLShGRl9DQVNIX1NUKFFUUiwzOTY5MCkvUF9DT01fU0hTX09VVCgzOTY5MCkpKS9GR","V9FU1RJTUFURSgnRVBTJywnTUVBTicsJ0FOTlVBTF9ST0xMJywnKzEnLDM5NjkwLCwsJycp&amp;WINDOW=FIRST_POPUP&amp;HEIGHT=450&amp;WIDTH=450&amp;START_MAXIMIZED=FALSE&amp;VAR:CALENDAR=US&amp;VAR:SYMBOL=98433210&amp;VAR:INDEX=0"}</definedName>
    <definedName name="_8792__FDSAUDITLINK__">{"fdsup://directions/FAT Viewer?action=UPDATE&amp;creator=factset&amp;DYN_ARGS=TRUE&amp;DOC_NAME=FAT:FQL_AUDITING_CLIENT_TEMPLATE.FAT&amp;display_string=Audit&amp;VAR:KEY=XSLKPABCTG&amp;VAR:QUERY=KFBfUFJJQ0UoMzk2ODkpLShGRl9DQVNIX1NUKFFUUiwzOTY4OSkvUF9DT01fU0hTX09VVCgzOTY4OSkpKS9GR","V9FU1RJTUFURSgnRVBTJywnTUVBTicsJ0FOTlVBTF9ST0xMJywnKzEnLDM5Njg5LCwsJycp&amp;WINDOW=FIRST_POPUP&amp;HEIGHT=450&amp;WIDTH=450&amp;START_MAXIMIZED=FALSE&amp;VAR:CALENDAR=US&amp;VAR:SYMBOL=98433210&amp;VAR:INDEX=0"}</definedName>
    <definedName name="_8793__FDSAUDITLINK__">{"fdsup://directions/FAT Viewer?action=UPDATE&amp;creator=factset&amp;DYN_ARGS=TRUE&amp;DOC_NAME=FAT:FQL_AUDITING_CLIENT_TEMPLATE.FAT&amp;display_string=Audit&amp;VAR:KEY=XSLKPABCTG&amp;VAR:QUERY=KFBfUFJJQ0UoMzk2ODkpLShGRl9DQVNIX1NUKFFUUiwzOTY4OSkvUF9DT01fU0hTX09VVCgzOTY4OSkpKS9GR","V9FU1RJTUFURSgnRVBTJywnTUVBTicsJ0FOTlVBTF9ST0xMJywnKzEnLDM5Njg5LCwsJycp&amp;WINDOW=FIRST_POPUP&amp;HEIGHT=450&amp;WIDTH=450&amp;START_MAXIMIZED=FALSE&amp;VAR:CALENDAR=US&amp;VAR:SYMBOL=98433210&amp;VAR:INDEX=0"}</definedName>
    <definedName name="_8794__FDSAUDITLINK__">{"fdsup://directions/FAT Viewer?action=UPDATE&amp;creator=factset&amp;DYN_ARGS=TRUE&amp;DOC_NAME=FAT:FQL_AUDITING_CLIENT_TEMPLATE.FAT&amp;display_string=Audit&amp;VAR:KEY=JUFYLINAFG&amp;VAR:QUERY=KFBfUFJJQ0UoMzk2ODgpLShGRl9DQVNIX1NUKFFUUiwzOTY4OCkvUF9DT01fU0hTX09VVCgzOTY4OCkpKS9GR","V9FU1RJTUFURSgnRVBTJywnTUVBTicsJ0FOTlVBTF9ST0xMJywnKzEnLDM5Njg4LCwsJycp&amp;WINDOW=FIRST_POPUP&amp;HEIGHT=450&amp;WIDTH=450&amp;START_MAXIMIZED=FALSE&amp;VAR:CALENDAR=US&amp;VAR:SYMBOL=98433210&amp;VAR:INDEX=0"}</definedName>
    <definedName name="_8795__FDSAUDITLINK__">{"fdsup://directions/FAT Viewer?action=UPDATE&amp;creator=factset&amp;DYN_ARGS=TRUE&amp;DOC_NAME=FAT:FQL_AUDITING_CLIENT_TEMPLATE.FAT&amp;display_string=Audit&amp;VAR:KEY=JUFYLINAFG&amp;VAR:QUERY=KFBfUFJJQ0UoMzk2ODgpLShGRl9DQVNIX1NUKFFUUiwzOTY4OCkvUF9DT01fU0hTX09VVCgzOTY4OCkpKS9GR","V9FU1RJTUFURSgnRVBTJywnTUVBTicsJ0FOTlVBTF9ST0xMJywnKzEnLDM5Njg4LCwsJycp&amp;WINDOW=FIRST_POPUP&amp;HEIGHT=450&amp;WIDTH=450&amp;START_MAXIMIZED=FALSE&amp;VAR:CALENDAR=US&amp;VAR:SYMBOL=98433210&amp;VAR:INDEX=0"}</definedName>
    <definedName name="_8796__FDSAUDITLINK__">{"fdsup://directions/FAT Viewer?action=UPDATE&amp;creator=factset&amp;DYN_ARGS=TRUE&amp;DOC_NAME=FAT:FQL_AUDITING_CLIENT_TEMPLATE.FAT&amp;display_string=Audit&amp;VAR:KEY=JSHMTGLUHE&amp;VAR:QUERY=KFBfUFJJQ0UoMzk2ODcpLShGRl9DQVNIX1NUKFFUUiwzOTY4NykvUF9DT01fU0hTX09VVCgzOTY4NykpKS9GR","V9FU1RJTUFURSgnRVBTJywnTUVBTicsJ0FOTlVBTF9ST0xMJywnKzEnLDM5Njg3LCwsJycp&amp;WINDOW=FIRST_POPUP&amp;HEIGHT=450&amp;WIDTH=450&amp;START_MAXIMIZED=FALSE&amp;VAR:CALENDAR=US&amp;VAR:SYMBOL=98433210&amp;VAR:INDEX=0"}</definedName>
    <definedName name="_8797__FDSAUDITLINK__">{"fdsup://directions/FAT Viewer?action=UPDATE&amp;creator=factset&amp;DYN_ARGS=TRUE&amp;DOC_NAME=FAT:FQL_AUDITING_CLIENT_TEMPLATE.FAT&amp;display_string=Audit&amp;VAR:KEY=JSHMTGLUHE&amp;VAR:QUERY=KFBfUFJJQ0UoMzk2ODcpLShGRl9DQVNIX1NUKFFUUiwzOTY4NykvUF9DT01fU0hTX09VVCgzOTY4NykpKS9GR","V9FU1RJTUFURSgnRVBTJywnTUVBTicsJ0FOTlVBTF9ST0xMJywnKzEnLDM5Njg3LCwsJycp&amp;WINDOW=FIRST_POPUP&amp;HEIGHT=450&amp;WIDTH=450&amp;START_MAXIMIZED=FALSE&amp;VAR:CALENDAR=US&amp;VAR:SYMBOL=98433210&amp;VAR:INDEX=0"}</definedName>
    <definedName name="_8798__FDSAUDITLINK__">{"fdsup://directions/FAT Viewer?action=UPDATE&amp;creator=factset&amp;DYN_ARGS=TRUE&amp;DOC_NAME=FAT:FQL_AUDITING_CLIENT_TEMPLATE.FAT&amp;display_string=Audit&amp;VAR:KEY=LIBONERCLS&amp;VAR:QUERY=KFBfUFJJQ0UoMzk2ODYpLShGRl9DQVNIX1NUKFFUUiwzOTY4NikvUF9DT01fU0hTX09VVCgzOTY4NikpKS9GR","V9FU1RJTUFURSgnRVBTJywnTUVBTicsJ0FOTlVBTF9ST0xMJywnKzEnLDM5Njg2LCwsJycp&amp;WINDOW=FIRST_POPUP&amp;HEIGHT=450&amp;WIDTH=450&amp;START_MAXIMIZED=FALSE&amp;VAR:CALENDAR=US&amp;VAR:SYMBOL=98433210&amp;VAR:INDEX=0"}</definedName>
    <definedName name="_8799__FDSAUDITLINK__">{"fdsup://directions/FAT Viewer?action=UPDATE&amp;creator=factset&amp;DYN_ARGS=TRUE&amp;DOC_NAME=FAT:FQL_AUDITING_CLIENT_TEMPLATE.FAT&amp;display_string=Audit&amp;VAR:KEY=LIBONERCLS&amp;VAR:QUERY=KFBfUFJJQ0UoMzk2ODYpLShGRl9DQVNIX1NUKFFUUiwzOTY4NikvUF9DT01fU0hTX09VVCgzOTY4NikpKS9GR","V9FU1RJTUFURSgnRVBTJywnTUVBTicsJ0FOTlVBTF9ST0xMJywnKzEnLDM5Njg2LCwsJycp&amp;WINDOW=FIRST_POPUP&amp;HEIGHT=450&amp;WIDTH=450&amp;START_MAXIMIZED=FALSE&amp;VAR:CALENDAR=US&amp;VAR:SYMBOL=98433210&amp;VAR:INDEX=0"}</definedName>
    <definedName name="_8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0.490411&amp;VAR:V=18.134204&amp;VAR:V0=19.732588&amp;VAR:V1=16.726348&amp;VAR:Y0=2002&amp;VAR:Y1=2003&amp;VAR:P=989.814330&amp;VAR:DATE=20020628&amp;VAR:THRESH=-|-|-","|-|-|-|-"}</definedName>
    <definedName name="_88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910"}</definedName>
    <definedName name="_8800__FDSAUDITLINK__">{"fdsup://directions/FAT Viewer?action=UPDATE&amp;creator=factset&amp;DYN_ARGS=TRUE&amp;DOC_NAME=FAT:FQL_AUDITING_CLIENT_TEMPLATE.FAT&amp;display_string=Audit&amp;VAR:KEY=JUHSHQJEJI&amp;VAR:QUERY=KFBfUFJJQ0UoMzk2ODUpLShGRl9DQVNIX1NUKFFUUiwzOTY4NSkvUF9DT01fU0hTX09VVCgzOTY4NSkpKS9GR","V9FU1RJTUFURSgnRVBTJywnTUVBTicsJ0FOTlVBTF9ST0xMJywnKzEnLDM5Njg1LCwsJycp&amp;WINDOW=FIRST_POPUP&amp;HEIGHT=450&amp;WIDTH=450&amp;START_MAXIMIZED=FALSE&amp;VAR:CALENDAR=US&amp;VAR:SYMBOL=98433210&amp;VAR:INDEX=0"}</definedName>
    <definedName name="_8801__FDSAUDITLINK__">{"fdsup://directions/FAT Viewer?action=UPDATE&amp;creator=factset&amp;DYN_ARGS=TRUE&amp;DOC_NAME=FAT:FQL_AUDITING_CLIENT_TEMPLATE.FAT&amp;display_string=Audit&amp;VAR:KEY=JUHSHQJEJI&amp;VAR:QUERY=KFBfUFJJQ0UoMzk2ODUpLShGRl9DQVNIX1NUKFFUUiwzOTY4NSkvUF9DT01fU0hTX09VVCgzOTY4NSkpKS9GR","V9FU1RJTUFURSgnRVBTJywnTUVBTicsJ0FOTlVBTF9ST0xMJywnKzEnLDM5Njg1LCwsJycp&amp;WINDOW=FIRST_POPUP&amp;HEIGHT=450&amp;WIDTH=450&amp;START_MAXIMIZED=FALSE&amp;VAR:CALENDAR=US&amp;VAR:SYMBOL=98433210&amp;VAR:INDEX=0"}</definedName>
    <definedName name="_8802__FDSAUDITLINK__">{"fdsup://directions/FAT Viewer?action=UPDATE&amp;creator=factset&amp;DYN_ARGS=TRUE&amp;DOC_NAME=FAT:FQL_AUDITING_CLIENT_TEMPLATE.FAT&amp;display_string=Audit&amp;VAR:KEY=NIBQHMVURK&amp;VAR:QUERY=KFBfUFJJQ0UoMzk2ODQpLShGRl9DQVNIX1NUKFFUUiwzOTY4NCkvUF9DT01fU0hTX09VVCgzOTY4NCkpKS9GR","V9FU1RJTUFURSgnRVBTJywnTUVBTicsJ0FOTlVBTF9ST0xMJywnKzEnLDM5Njg0LCwsJycp&amp;WINDOW=FIRST_POPUP&amp;HEIGHT=450&amp;WIDTH=450&amp;START_MAXIMIZED=FALSE&amp;VAR:CALENDAR=US&amp;VAR:SYMBOL=98433210&amp;VAR:INDEX=0"}</definedName>
    <definedName name="_8803__FDSAUDITLINK__">{"fdsup://directions/FAT Viewer?action=UPDATE&amp;creator=factset&amp;DYN_ARGS=TRUE&amp;DOC_NAME=FAT:FQL_AUDITING_CLIENT_TEMPLATE.FAT&amp;display_string=Audit&amp;VAR:KEY=NIBQHMVURK&amp;VAR:QUERY=KFBfUFJJQ0UoMzk2ODQpLShGRl9DQVNIX1NUKFFUUiwzOTY4NCkvUF9DT01fU0hTX09VVCgzOTY4NCkpKS9GR","V9FU1RJTUFURSgnRVBTJywnTUVBTicsJ0FOTlVBTF9ST0xMJywnKzEnLDM5Njg0LCwsJycp&amp;WINDOW=FIRST_POPUP&amp;HEIGHT=450&amp;WIDTH=450&amp;START_MAXIMIZED=FALSE&amp;VAR:CALENDAR=US&amp;VAR:SYMBOL=98433210&amp;VAR:INDEX=0"}</definedName>
    <definedName name="_8804__FDSAUDITLINK__">{"fdsup://directions/FAT Viewer?action=UPDATE&amp;creator=factset&amp;DYN_ARGS=TRUE&amp;DOC_NAME=FAT:FQL_AUDITING_CLIENT_TEMPLATE.FAT&amp;display_string=Audit&amp;VAR:KEY=PSBOLOFWZM&amp;VAR:QUERY=KFBfUFJJQ0UoMzk2ODMpLShGRl9DQVNIX1NUKFFUUiwzOTY4MykvUF9DT01fU0hTX09VVCgzOTY4MykpKS9GR","V9FU1RJTUFURSgnRVBTJywnTUVBTicsJ0FOTlVBTF9ST0xMJywnKzEnLDM5NjgzLCwsJycp&amp;WINDOW=FIRST_POPUP&amp;HEIGHT=450&amp;WIDTH=450&amp;START_MAXIMIZED=FALSE&amp;VAR:CALENDAR=US&amp;VAR:SYMBOL=98433210&amp;VAR:INDEX=0"}</definedName>
    <definedName name="_8805__FDSAUDITLINK__">{"fdsup://directions/FAT Viewer?action=UPDATE&amp;creator=factset&amp;DYN_ARGS=TRUE&amp;DOC_NAME=FAT:FQL_AUDITING_CLIENT_TEMPLATE.FAT&amp;display_string=Audit&amp;VAR:KEY=PSBOLOFWZM&amp;VAR:QUERY=KFBfUFJJQ0UoMzk2ODMpLShGRl9DQVNIX1NUKFFUUiwzOTY4MykvUF9DT01fU0hTX09VVCgzOTY4MykpKS9GR","V9FU1RJTUFURSgnRVBTJywnTUVBTicsJ0FOTlVBTF9ST0xMJywnKzEnLDM5NjgzLCwsJycp&amp;WINDOW=FIRST_POPUP&amp;HEIGHT=450&amp;WIDTH=450&amp;START_MAXIMIZED=FALSE&amp;VAR:CALENDAR=US&amp;VAR:SYMBOL=98433210&amp;VAR:INDEX=0"}</definedName>
    <definedName name="_8806__FDSAUDITLINK__">{"fdsup://directions/FAT Viewer?action=UPDATE&amp;creator=factset&amp;DYN_ARGS=TRUE&amp;DOC_NAME=FAT:FQL_AUDITING_CLIENT_TEMPLATE.FAT&amp;display_string=Audit&amp;VAR:KEY=ZWBCFGNKNS&amp;VAR:QUERY=KFBfUFJJQ0UoMzk2ODIpLShGRl9DQVNIX1NUKFFUUiwzOTY4MikvUF9DT01fU0hTX09VVCgzOTY4MikpKS9GR","V9FU1RJTUFURSgnRVBTJywnTUVBTicsJ0FOTlVBTF9ST0xMJywnKzEnLDM5NjgyLCwsJycp&amp;WINDOW=FIRST_POPUP&amp;HEIGHT=450&amp;WIDTH=450&amp;START_MAXIMIZED=FALSE&amp;VAR:CALENDAR=US&amp;VAR:SYMBOL=98433210&amp;VAR:INDEX=0"}</definedName>
    <definedName name="_8807__FDSAUDITLINK__">{"fdsup://directions/FAT Viewer?action=UPDATE&amp;creator=factset&amp;DYN_ARGS=TRUE&amp;DOC_NAME=FAT:FQL_AUDITING_CLIENT_TEMPLATE.FAT&amp;display_string=Audit&amp;VAR:KEY=ZWBCFGNKNS&amp;VAR:QUERY=KFBfUFJJQ0UoMzk2ODIpLShGRl9DQVNIX1NUKFFUUiwzOTY4MikvUF9DT01fU0hTX09VVCgzOTY4MikpKS9GR","V9FU1RJTUFURSgnRVBTJywnTUVBTicsJ0FOTlVBTF9ST0xMJywnKzEnLDM5NjgyLCwsJycp&amp;WINDOW=FIRST_POPUP&amp;HEIGHT=450&amp;WIDTH=450&amp;START_MAXIMIZED=FALSE&amp;VAR:CALENDAR=US&amp;VAR:SYMBOL=98433210&amp;VAR:INDEX=0"}</definedName>
    <definedName name="_8808__FDSAUDITLINK__">{"fdsup://directions/FAT Viewer?action=UPDATE&amp;creator=factset&amp;DYN_ARGS=TRUE&amp;DOC_NAME=FAT:FQL_AUDITING_CLIENT_TEMPLATE.FAT&amp;display_string=Audit&amp;VAR:KEY=TGRQVCRKVW&amp;VAR:QUERY=KFBfUFJJQ0UoMzk2ODEpLShGRl9DQVNIX1NUKFFUUiwzOTY4MSkvUF9DT01fU0hTX09VVCgzOTY4MSkpKS9GR","V9FU1RJTUFURSgnRVBTJywnTUVBTicsJ0FOTlVBTF9ST0xMJywnKzEnLDM5NjgxLCwsJycp&amp;WINDOW=FIRST_POPUP&amp;HEIGHT=450&amp;WIDTH=450&amp;START_MAXIMIZED=FALSE&amp;VAR:CALENDAR=US&amp;VAR:SYMBOL=98433210&amp;VAR:INDEX=0"}</definedName>
    <definedName name="_8809__FDSAUDITLINK__">{"fdsup://directions/FAT Viewer?action=UPDATE&amp;creator=factset&amp;DYN_ARGS=TRUE&amp;DOC_NAME=FAT:FQL_AUDITING_CLIENT_TEMPLATE.FAT&amp;display_string=Audit&amp;VAR:KEY=TGRQVCRKVW&amp;VAR:QUERY=KFBfUFJJQ0UoMzk2ODEpLShGRl9DQVNIX1NUKFFUUiwzOTY4MSkvUF9DT01fU0hTX09VVCgzOTY4MSkpKS9GR","V9FU1RJTUFURSgnRVBTJywnTUVBTicsJ0FOTlVBTF9ST0xMJywnKzEnLDM5NjgxLCwsJycp&amp;WINDOW=FIRST_POPUP&amp;HEIGHT=450&amp;WIDTH=450&amp;START_MAXIMIZED=FALSE&amp;VAR:CALENDAR=US&amp;VAR:SYMBOL=98433210&amp;VAR:INDEX=0"}</definedName>
    <definedName name="_88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909"}</definedName>
    <definedName name="_8810__FDSAUDITLINK__">{"fdsup://directions/FAT Viewer?action=UPDATE&amp;creator=factset&amp;DYN_ARGS=TRUE&amp;DOC_NAME=FAT:FQL_AUDITING_CLIENT_TEMPLATE.FAT&amp;display_string=Audit&amp;VAR:KEY=TONGJMJSTK&amp;VAR:QUERY=KFBfUFJJQ0UoMzk2ODApLShGRl9DQVNIX1NUKFFUUiwzOTY4MCkvUF9DT01fU0hTX09VVCgzOTY4MCkpKS9GR","V9FU1RJTUFURSgnRVBTJywnTUVBTicsJ0FOTlVBTF9ST0xMJywnKzEnLDM5NjgwLCwsJycp&amp;WINDOW=FIRST_POPUP&amp;HEIGHT=450&amp;WIDTH=450&amp;START_MAXIMIZED=FALSE&amp;VAR:CALENDAR=US&amp;VAR:SYMBOL=98433210&amp;VAR:INDEX=0"}</definedName>
    <definedName name="_8811__FDSAUDITLINK__">{"fdsup://directions/FAT Viewer?action=UPDATE&amp;creator=factset&amp;DYN_ARGS=TRUE&amp;DOC_NAME=FAT:FQL_AUDITING_CLIENT_TEMPLATE.FAT&amp;display_string=Audit&amp;VAR:KEY=TONGJMJSTK&amp;VAR:QUERY=KFBfUFJJQ0UoMzk2ODApLShGRl9DQVNIX1NUKFFUUiwzOTY4MCkvUF9DT01fU0hTX09VVCgzOTY4MCkpKS9GR","V9FU1RJTUFURSgnRVBTJywnTUVBTicsJ0FOTlVBTF9ST0xMJywnKzEnLDM5NjgwLCwsJycp&amp;WINDOW=FIRST_POPUP&amp;HEIGHT=450&amp;WIDTH=450&amp;START_MAXIMIZED=FALSE&amp;VAR:CALENDAR=US&amp;VAR:SYMBOL=98433210&amp;VAR:INDEX=0"}</definedName>
    <definedName name="_8812__FDSAUDITLINK__">{"fdsup://directions/FAT Viewer?action=UPDATE&amp;creator=factset&amp;DYN_ARGS=TRUE&amp;DOC_NAME=FAT:FQL_AUDITING_CLIENT_TEMPLATE.FAT&amp;display_string=Audit&amp;VAR:KEY=DQFKFAJCNI&amp;VAR:QUERY=KFBfUFJJQ0UoMzk2NzkpLShGRl9DQVNIX1NUKFFUUiwzOTY3OSkvUF9DT01fU0hTX09VVCgzOTY3OSkpKS9GR","V9FU1RJTUFURSgnRVBTJywnTUVBTicsJ0FOTlVBTF9ST0xMJywnKzEnLDM5Njc5LCwsJycp&amp;WINDOW=FIRST_POPUP&amp;HEIGHT=450&amp;WIDTH=450&amp;START_MAXIMIZED=FALSE&amp;VAR:CALENDAR=US&amp;VAR:SYMBOL=98433210&amp;VAR:INDEX=0"}</definedName>
    <definedName name="_8813__FDSAUDITLINK__">{"fdsup://directions/FAT Viewer?action=UPDATE&amp;creator=factset&amp;DYN_ARGS=TRUE&amp;DOC_NAME=FAT:FQL_AUDITING_CLIENT_TEMPLATE.FAT&amp;display_string=Audit&amp;VAR:KEY=DQFKFAJCNI&amp;VAR:QUERY=KFBfUFJJQ0UoMzk2NzkpLShGRl9DQVNIX1NUKFFUUiwzOTY3OSkvUF9DT01fU0hTX09VVCgzOTY3OSkpKS9GR","V9FU1RJTUFURSgnRVBTJywnTUVBTicsJ0FOTlVBTF9ST0xMJywnKzEnLDM5Njc5LCwsJycp&amp;WINDOW=FIRST_POPUP&amp;HEIGHT=450&amp;WIDTH=450&amp;START_MAXIMIZED=FALSE&amp;VAR:CALENDAR=US&amp;VAR:SYMBOL=98433210&amp;VAR:INDEX=0"}</definedName>
    <definedName name="_8814__FDSAUDITLINK__">{"fdsup://directions/FAT Viewer?action=UPDATE&amp;creator=factset&amp;DYN_ARGS=TRUE&amp;DOC_NAME=FAT:FQL_AUDITING_CLIENT_TEMPLATE.FAT&amp;display_string=Audit&amp;VAR:KEY=JONMHMHYTS&amp;VAR:QUERY=KFBfUFJJQ0UoMzk2NzgpLShGRl9DQVNIX1NUKFFUUiwzOTY3OCkvUF9DT01fU0hTX09VVCgzOTY3OCkpKS9GR","V9FU1RJTUFURSgnRVBTJywnTUVBTicsJ0FOTlVBTF9ST0xMJywnKzEnLDM5Njc4LCwsJycp&amp;WINDOW=FIRST_POPUP&amp;HEIGHT=450&amp;WIDTH=450&amp;START_MAXIMIZED=FALSE&amp;VAR:CALENDAR=US&amp;VAR:SYMBOL=98433210&amp;VAR:INDEX=0"}</definedName>
    <definedName name="_8815__FDSAUDITLINK__">{"fdsup://directions/FAT Viewer?action=UPDATE&amp;creator=factset&amp;DYN_ARGS=TRUE&amp;DOC_NAME=FAT:FQL_AUDITING_CLIENT_TEMPLATE.FAT&amp;display_string=Audit&amp;VAR:KEY=JONMHMHYTS&amp;VAR:QUERY=KFBfUFJJQ0UoMzk2NzgpLShGRl9DQVNIX1NUKFFUUiwzOTY3OCkvUF9DT01fU0hTX09VVCgzOTY3OCkpKS9GR","V9FU1RJTUFURSgnRVBTJywnTUVBTicsJ0FOTlVBTF9ST0xMJywnKzEnLDM5Njc4LCwsJycp&amp;WINDOW=FIRST_POPUP&amp;HEIGHT=450&amp;WIDTH=450&amp;START_MAXIMIZED=FALSE&amp;VAR:CALENDAR=US&amp;VAR:SYMBOL=98433210&amp;VAR:INDEX=0"}</definedName>
    <definedName name="_8816__FDSAUDITLINK__">{"fdsup://directions/FAT Viewer?action=UPDATE&amp;creator=factset&amp;DYN_ARGS=TRUE&amp;DOC_NAME=FAT:FQL_AUDITING_CLIENT_TEMPLATE.FAT&amp;display_string=Audit&amp;VAR:KEY=VADQBIFWRS&amp;VAR:QUERY=KFBfUFJJQ0UoMzk2NzcpLShGRl9DQVNIX1NUKFFUUiwzOTY3NykvUF9DT01fU0hTX09VVCgzOTY3NykpKS9GR","V9FU1RJTUFURSgnRVBTJywnTUVBTicsJ0FOTlVBTF9ST0xMJywnKzEnLDM5Njc3LCwsJycp&amp;WINDOW=FIRST_POPUP&amp;HEIGHT=450&amp;WIDTH=450&amp;START_MAXIMIZED=FALSE&amp;VAR:CALENDAR=US&amp;VAR:SYMBOL=98433210&amp;VAR:INDEX=0"}</definedName>
    <definedName name="_8817__FDSAUDITLINK__">{"fdsup://directions/FAT Viewer?action=UPDATE&amp;creator=factset&amp;DYN_ARGS=TRUE&amp;DOC_NAME=FAT:FQL_AUDITING_CLIENT_TEMPLATE.FAT&amp;display_string=Audit&amp;VAR:KEY=VADQBIFWRS&amp;VAR:QUERY=KFBfUFJJQ0UoMzk2NzcpLShGRl9DQVNIX1NUKFFUUiwzOTY3NykvUF9DT01fU0hTX09VVCgzOTY3NykpKS9GR","V9FU1RJTUFURSgnRVBTJywnTUVBTicsJ0FOTlVBTF9ST0xMJywnKzEnLDM5Njc3LCwsJycp&amp;WINDOW=FIRST_POPUP&amp;HEIGHT=450&amp;WIDTH=450&amp;START_MAXIMIZED=FALSE&amp;VAR:CALENDAR=US&amp;VAR:SYMBOL=98433210&amp;VAR:INDEX=0"}</definedName>
    <definedName name="_8818__FDSAUDITLINK__">{"fdsup://directions/FAT Viewer?action=UPDATE&amp;creator=factset&amp;DYN_ARGS=TRUE&amp;DOC_NAME=FAT:FQL_AUDITING_CLIENT_TEMPLATE.FAT&amp;display_string=Audit&amp;VAR:KEY=JALMBOTSTK&amp;VAR:QUERY=KFBfUFJJQ0UoMzk2NzYpLShGRl9DQVNIX1NUKFFUUiwzOTY3NikvUF9DT01fU0hTX09VVCgzOTY3NikpKS9GR","V9FU1RJTUFURSgnRVBTJywnTUVBTicsJ0FOTlVBTF9ST0xMJywnKzEnLDM5Njc2LCwsJycp&amp;WINDOW=FIRST_POPUP&amp;HEIGHT=450&amp;WIDTH=450&amp;START_MAXIMIZED=FALSE&amp;VAR:CALENDAR=US&amp;VAR:SYMBOL=98433210&amp;VAR:INDEX=0"}</definedName>
    <definedName name="_8819__FDSAUDITLINK__">{"fdsup://directions/FAT Viewer?action=UPDATE&amp;creator=factset&amp;DYN_ARGS=TRUE&amp;DOC_NAME=FAT:FQL_AUDITING_CLIENT_TEMPLATE.FAT&amp;display_string=Audit&amp;VAR:KEY=JALMBOTSTK&amp;VAR:QUERY=KFBfUFJJQ0UoMzk2NzYpLShGRl9DQVNIX1NUKFFUUiwzOTY3NikvUF9DT01fU0hTX09VVCgzOTY3NikpKS9GR","V9FU1RJTUFURSgnRVBTJywnTUVBTicsJ0FOTlVBTF9ST0xMJywnKzEnLDM5Njc2LCwsJycp&amp;WINDOW=FIRST_POPUP&amp;HEIGHT=450&amp;WIDTH=450&amp;START_MAXIMIZED=FALSE&amp;VAR:CALENDAR=US&amp;VAR:SYMBOL=98433210&amp;VAR:INDEX=0"}</definedName>
    <definedName name="_88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908"}</definedName>
    <definedName name="_8820__FDSAUDITLINK__">{"fdsup://directions/FAT Viewer?action=UPDATE&amp;creator=factset&amp;DYN_ARGS=TRUE&amp;DOC_NAME=FAT:FQL_AUDITING_CLIENT_TEMPLATE.FAT&amp;display_string=Audit&amp;VAR:KEY=BEZMPIXENO&amp;VAR:QUERY=KFBfUFJJQ0UoMzk2NzUpLShGRl9DQVNIX1NUKFFUUiwzOTY3NSkvUF9DT01fU0hTX09VVCgzOTY3NSkpKS9GR","V9FU1RJTUFURSgnRVBTJywnTUVBTicsJ0FOTlVBTF9ST0xMJywnKzEnLDM5Njc1LCwsJycp&amp;WINDOW=FIRST_POPUP&amp;HEIGHT=450&amp;WIDTH=450&amp;START_MAXIMIZED=FALSE&amp;VAR:CALENDAR=US&amp;VAR:SYMBOL=98433210&amp;VAR:INDEX=0"}</definedName>
    <definedName name="_8821__FDSAUDITLINK__">{"fdsup://directions/FAT Viewer?action=UPDATE&amp;creator=factset&amp;DYN_ARGS=TRUE&amp;DOC_NAME=FAT:FQL_AUDITING_CLIENT_TEMPLATE.FAT&amp;display_string=Audit&amp;VAR:KEY=BEZMPIXENO&amp;VAR:QUERY=KFBfUFJJQ0UoMzk2NzUpLShGRl9DQVNIX1NUKFFUUiwzOTY3NSkvUF9DT01fU0hTX09VVCgzOTY3NSkpKS9GR","V9FU1RJTUFURSgnRVBTJywnTUVBTicsJ0FOTlVBTF9ST0xMJywnKzEnLDM5Njc1LCwsJycp&amp;WINDOW=FIRST_POPUP&amp;HEIGHT=450&amp;WIDTH=450&amp;START_MAXIMIZED=FALSE&amp;VAR:CALENDAR=US&amp;VAR:SYMBOL=98433210&amp;VAR:INDEX=0"}</definedName>
    <definedName name="_8822__FDSAUDITLINK__">{"fdsup://directions/FAT Viewer?action=UPDATE&amp;creator=factset&amp;DYN_ARGS=TRUE&amp;DOC_NAME=FAT:FQL_AUDITING_CLIENT_TEMPLATE.FAT&amp;display_string=Audit&amp;VAR:KEY=HAHMJENMLQ&amp;VAR:QUERY=KFBfUFJJQ0UoMzk2NzQpLShGRl9DQVNIX1NUKFFUUiwzOTY3NCkvUF9DT01fU0hTX09VVCgzOTY3NCkpKS9GR","V9FU1RJTUFURSgnRVBTJywnTUVBTicsJ0FOTlVBTF9ST0xMJywnKzEnLDM5Njc0LCwsJycp&amp;WINDOW=FIRST_POPUP&amp;HEIGHT=450&amp;WIDTH=450&amp;START_MAXIMIZED=FALSE&amp;VAR:CALENDAR=US&amp;VAR:SYMBOL=98433210&amp;VAR:INDEX=0"}</definedName>
    <definedName name="_8823__FDSAUDITLINK__">{"fdsup://directions/FAT Viewer?action=UPDATE&amp;creator=factset&amp;DYN_ARGS=TRUE&amp;DOC_NAME=FAT:FQL_AUDITING_CLIENT_TEMPLATE.FAT&amp;display_string=Audit&amp;VAR:KEY=HAHMJENMLQ&amp;VAR:QUERY=KFBfUFJJQ0UoMzk2NzQpLShGRl9DQVNIX1NUKFFUUiwzOTY3NCkvUF9DT01fU0hTX09VVCgzOTY3NCkpKS9GR","V9FU1RJTUFURSgnRVBTJywnTUVBTicsJ0FOTlVBTF9ST0xMJywnKzEnLDM5Njc0LCwsJycp&amp;WINDOW=FIRST_POPUP&amp;HEIGHT=450&amp;WIDTH=450&amp;START_MAXIMIZED=FALSE&amp;VAR:CALENDAR=US&amp;VAR:SYMBOL=98433210&amp;VAR:INDEX=0"}</definedName>
    <definedName name="_8824__FDSAUDITLINK__">{"fdsup://directions/FAT Viewer?action=UPDATE&amp;creator=factset&amp;DYN_ARGS=TRUE&amp;DOC_NAME=FAT:FQL_AUDITING_CLIENT_TEMPLATE.FAT&amp;display_string=Audit&amp;VAR:KEY=XOJONMDINS&amp;VAR:QUERY=KFBfUFJJQ0UoMzk2NzMpLShGRl9DQVNIX1NUKFFUUiwzOTY3MykvUF9DT01fU0hTX09VVCgzOTY3MykpKS9GR","V9FU1RJTUFURSgnRVBTJywnTUVBTicsJ0FOTlVBTF9ST0xMJywnKzEnLDM5NjczLCwsJycp&amp;WINDOW=FIRST_POPUP&amp;HEIGHT=450&amp;WIDTH=450&amp;START_MAXIMIZED=FALSE&amp;VAR:CALENDAR=US&amp;VAR:SYMBOL=98433210&amp;VAR:INDEX=0"}</definedName>
    <definedName name="_8825__FDSAUDITLINK__">{"fdsup://directions/FAT Viewer?action=UPDATE&amp;creator=factset&amp;DYN_ARGS=TRUE&amp;DOC_NAME=FAT:FQL_AUDITING_CLIENT_TEMPLATE.FAT&amp;display_string=Audit&amp;VAR:KEY=XOJONMDINS&amp;VAR:QUERY=KFBfUFJJQ0UoMzk2NzMpLShGRl9DQVNIX1NUKFFUUiwzOTY3MykvUF9DT01fU0hTX09VVCgzOTY3MykpKS9GR","V9FU1RJTUFURSgnRVBTJywnTUVBTicsJ0FOTlVBTF9ST0xMJywnKzEnLDM5NjczLCwsJycp&amp;WINDOW=FIRST_POPUP&amp;HEIGHT=450&amp;WIDTH=450&amp;START_MAXIMIZED=FALSE&amp;VAR:CALENDAR=US&amp;VAR:SYMBOL=98433210&amp;VAR:INDEX=0"}</definedName>
    <definedName name="_8826__FDSAUDITLINK__">{"fdsup://directions/FAT Viewer?action=UPDATE&amp;creator=factset&amp;DYN_ARGS=TRUE&amp;DOC_NAME=FAT:FQL_AUDITING_CLIENT_TEMPLATE.FAT&amp;display_string=Audit&amp;VAR:KEY=HAPYBQRKXW&amp;VAR:QUERY=KFBfUFJJQ0UoMzk2NzIpLShGRl9DQVNIX1NUKFFUUiwzOTY3MikvUF9DT01fU0hTX09VVCgzOTY3MikpKS9GR","V9FU1RJTUFURSgnRVBTJywnTUVBTicsJ0FOTlVBTF9ST0xMJywnKzEnLDM5NjcyLCwsJycp&amp;WINDOW=FIRST_POPUP&amp;HEIGHT=450&amp;WIDTH=450&amp;START_MAXIMIZED=FALSE&amp;VAR:CALENDAR=US&amp;VAR:SYMBOL=98433210&amp;VAR:INDEX=0"}</definedName>
    <definedName name="_8827__FDSAUDITLINK__">{"fdsup://directions/FAT Viewer?action=UPDATE&amp;creator=factset&amp;DYN_ARGS=TRUE&amp;DOC_NAME=FAT:FQL_AUDITING_CLIENT_TEMPLATE.FAT&amp;display_string=Audit&amp;VAR:KEY=HAPYBQRKXW&amp;VAR:QUERY=KFBfUFJJQ0UoMzk2NzIpLShGRl9DQVNIX1NUKFFUUiwzOTY3MikvUF9DT01fU0hTX09VVCgzOTY3MikpKS9GR","V9FU1RJTUFURSgnRVBTJywnTUVBTicsJ0FOTlVBTF9ST0xMJywnKzEnLDM5NjcyLCwsJycp&amp;WINDOW=FIRST_POPUP&amp;HEIGHT=450&amp;WIDTH=450&amp;START_MAXIMIZED=FALSE&amp;VAR:CALENDAR=US&amp;VAR:SYMBOL=98433210&amp;VAR:INDEX=0"}</definedName>
    <definedName name="_8828__FDSAUDITLINK__">{"fdsup://directions/FAT Viewer?action=UPDATE&amp;creator=factset&amp;DYN_ARGS=TRUE&amp;DOC_NAME=FAT:FQL_AUDITING_CLIENT_TEMPLATE.FAT&amp;display_string=Audit&amp;VAR:KEY=JKJQBCTMJM&amp;VAR:QUERY=KFBfUFJJQ0UoMzk2NzEpLShGRl9DQVNIX1NUKFFUUiwzOTY3MSkvUF9DT01fU0hTX09VVCgzOTY3MSkpKS9GR","V9FU1RJTUFURSgnRVBTJywnTUVBTicsJ0FOTlVBTF9ST0xMJywnKzEnLDM5NjcxLCwsJycp&amp;WINDOW=FIRST_POPUP&amp;HEIGHT=450&amp;WIDTH=450&amp;START_MAXIMIZED=FALSE&amp;VAR:CALENDAR=US&amp;VAR:SYMBOL=98433210&amp;VAR:INDEX=0"}</definedName>
    <definedName name="_8829__FDSAUDITLINK__">{"fdsup://directions/FAT Viewer?action=UPDATE&amp;creator=factset&amp;DYN_ARGS=TRUE&amp;DOC_NAME=FAT:FQL_AUDITING_CLIENT_TEMPLATE.FAT&amp;display_string=Audit&amp;VAR:KEY=JKJQBCTMJM&amp;VAR:QUERY=KFBfUFJJQ0UoMzk2NzEpLShGRl9DQVNIX1NUKFFUUiwzOTY3MSkvUF9DT01fU0hTX09VVCgzOTY3MSkpKS9GR","V9FU1RJTUFURSgnRVBTJywnTUVBTicsJ0FOTlVBTF9ST0xMJywnKzEnLDM5NjcxLCwsJycp&amp;WINDOW=FIRST_POPUP&amp;HEIGHT=450&amp;WIDTH=450&amp;START_MAXIMIZED=FALSE&amp;VAR:CALENDAR=US&amp;VAR:SYMBOL=98433210&amp;VAR:INDEX=0"}</definedName>
    <definedName name="_88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907"}</definedName>
    <definedName name="_8830__FDSAUDITLINK__">{"fdsup://directions/FAT Viewer?action=UPDATE&amp;creator=factset&amp;DYN_ARGS=TRUE&amp;DOC_NAME=FAT:FQL_AUDITING_CLIENT_TEMPLATE.FAT&amp;display_string=Audit&amp;VAR:KEY=TAJGNGZYHA&amp;VAR:QUERY=KFBfUFJJQ0UoMzk2NzApLShGRl9DQVNIX1NUKFFUUiwzOTY3MCkvUF9DT01fU0hTX09VVCgzOTY3MCkpKS9GR","V9FU1RJTUFURSgnRVBTJywnTUVBTicsJ0FOTlVBTF9ST0xMJywnKzEnLDM5NjcwLCwsJycp&amp;WINDOW=FIRST_POPUP&amp;HEIGHT=450&amp;WIDTH=450&amp;START_MAXIMIZED=FALSE&amp;VAR:CALENDAR=US&amp;VAR:SYMBOL=98433210&amp;VAR:INDEX=0"}</definedName>
    <definedName name="_8831__FDSAUDITLINK__">{"fdsup://directions/FAT Viewer?action=UPDATE&amp;creator=factset&amp;DYN_ARGS=TRUE&amp;DOC_NAME=FAT:FQL_AUDITING_CLIENT_TEMPLATE.FAT&amp;display_string=Audit&amp;VAR:KEY=TAJGNGZYHA&amp;VAR:QUERY=KFBfUFJJQ0UoMzk2NzApLShGRl9DQVNIX1NUKFFUUiwzOTY3MCkvUF9DT01fU0hTX09VVCgzOTY3MCkpKS9GR","V9FU1RJTUFURSgnRVBTJywnTUVBTicsJ0FOTlVBTF9ST0xMJywnKzEnLDM5NjcwLCwsJycp&amp;WINDOW=FIRST_POPUP&amp;HEIGHT=450&amp;WIDTH=450&amp;START_MAXIMIZED=FALSE&amp;VAR:CALENDAR=US&amp;VAR:SYMBOL=98433210&amp;VAR:INDEX=0"}</definedName>
    <definedName name="_8832__FDSAUDITLINK__">{"fdsup://directions/FAT Viewer?action=UPDATE&amp;creator=factset&amp;DYN_ARGS=TRUE&amp;DOC_NAME=FAT:FQL_AUDITING_CLIENT_TEMPLATE.FAT&amp;display_string=Audit&amp;VAR:KEY=VYJYTKRQHI&amp;VAR:QUERY=KFBfUFJJQ0UoMzk2NjkpLShGRl9DQVNIX1NUKFFUUiwzOTY2OSkvUF9DT01fU0hTX09VVCgzOTY2OSkpKS9GR","V9FU1RJTUFURSgnRVBTJywnTUVBTicsJ0FOTlVBTF9ST0xMJywnKzEnLDM5NjY5LCwsJycp&amp;WINDOW=FIRST_POPUP&amp;HEIGHT=450&amp;WIDTH=450&amp;START_MAXIMIZED=FALSE&amp;VAR:CALENDAR=US&amp;VAR:SYMBOL=98433210&amp;VAR:INDEX=0"}</definedName>
    <definedName name="_8833__FDSAUDITLINK__">{"fdsup://directions/FAT Viewer?action=UPDATE&amp;creator=factset&amp;DYN_ARGS=TRUE&amp;DOC_NAME=FAT:FQL_AUDITING_CLIENT_TEMPLATE.FAT&amp;display_string=Audit&amp;VAR:KEY=VYJYTKRQHI&amp;VAR:QUERY=KFBfUFJJQ0UoMzk2NjkpLShGRl9DQVNIX1NUKFFUUiwzOTY2OSkvUF9DT01fU0hTX09VVCgzOTY2OSkpKS9GR","V9FU1RJTUFURSgnRVBTJywnTUVBTicsJ0FOTlVBTF9ST0xMJywnKzEnLDM5NjY5LCwsJycp&amp;WINDOW=FIRST_POPUP&amp;HEIGHT=450&amp;WIDTH=450&amp;START_MAXIMIZED=FALSE&amp;VAR:CALENDAR=US&amp;VAR:SYMBOL=98433210&amp;VAR:INDEX=0"}</definedName>
    <definedName name="_8834__FDSAUDITLINK__">{"fdsup://directions/FAT Viewer?action=UPDATE&amp;creator=factset&amp;DYN_ARGS=TRUE&amp;DOC_NAME=FAT:FQL_AUDITING_CLIENT_TEMPLATE.FAT&amp;display_string=Audit&amp;VAR:KEY=TQFCBYPUFY&amp;VAR:QUERY=KFBfUFJJQ0UoMzk2NjgpLShGRl9DQVNIX1NUKFFUUiwzOTY2OCkvUF9DT01fU0hTX09VVCgzOTY2OCkpKS9GR","V9FU1RJTUFURSgnRVBTJywnTUVBTicsJ0FOTlVBTF9ST0xMJywnKzEnLDM5NjY4LCwsJycp&amp;WINDOW=FIRST_POPUP&amp;HEIGHT=450&amp;WIDTH=450&amp;START_MAXIMIZED=FALSE&amp;VAR:CALENDAR=US&amp;VAR:SYMBOL=98433210&amp;VAR:INDEX=0"}</definedName>
    <definedName name="_8835__FDSAUDITLINK__">{"fdsup://directions/FAT Viewer?action=UPDATE&amp;creator=factset&amp;DYN_ARGS=TRUE&amp;DOC_NAME=FAT:FQL_AUDITING_CLIENT_TEMPLATE.FAT&amp;display_string=Audit&amp;VAR:KEY=TQFCBYPUFY&amp;VAR:QUERY=KFBfUFJJQ0UoMzk2NjgpLShGRl9DQVNIX1NUKFFUUiwzOTY2OCkvUF9DT01fU0hTX09VVCgzOTY2OCkpKS9GR","V9FU1RJTUFURSgnRVBTJywnTUVBTicsJ0FOTlVBTF9ST0xMJywnKzEnLDM5NjY4LCwsJycp&amp;WINDOW=FIRST_POPUP&amp;HEIGHT=450&amp;WIDTH=450&amp;START_MAXIMIZED=FALSE&amp;VAR:CALENDAR=US&amp;VAR:SYMBOL=98433210&amp;VAR:INDEX=0"}</definedName>
    <definedName name="_8836__FDSAUDITLINK__">{"fdsup://directions/FAT Viewer?action=UPDATE&amp;creator=factset&amp;DYN_ARGS=TRUE&amp;DOC_NAME=FAT:FQL_AUDITING_CLIENT_TEMPLATE.FAT&amp;display_string=Audit&amp;VAR:KEY=PIDIHGHCPE&amp;VAR:QUERY=KFBfUFJJQ0UoMzk2NjcpLShGRl9DQVNIX1NUKFFUUiwzOTY2NykvUF9DT01fU0hTX09VVCgzOTY2NykpKS9GR","V9FU1RJTUFURSgnRVBTJywnTUVBTicsJ0FOTlVBTF9ST0xMJywnKzEnLDM5NjY3LCwsJycp&amp;WINDOW=FIRST_POPUP&amp;HEIGHT=450&amp;WIDTH=450&amp;START_MAXIMIZED=FALSE&amp;VAR:CALENDAR=US&amp;VAR:SYMBOL=98433210&amp;VAR:INDEX=0"}</definedName>
    <definedName name="_8837__FDSAUDITLINK__">{"fdsup://directions/FAT Viewer?action=UPDATE&amp;creator=factset&amp;DYN_ARGS=TRUE&amp;DOC_NAME=FAT:FQL_AUDITING_CLIENT_TEMPLATE.FAT&amp;display_string=Audit&amp;VAR:KEY=PIDIHGHCPE&amp;VAR:QUERY=KFBfUFJJQ0UoMzk2NjcpLShGRl9DQVNIX1NUKFFUUiwzOTY2NykvUF9DT01fU0hTX09VVCgzOTY2NykpKS9GR","V9FU1RJTUFURSgnRVBTJywnTUVBTicsJ0FOTlVBTF9ST0xMJywnKzEnLDM5NjY3LCwsJycp&amp;WINDOW=FIRST_POPUP&amp;HEIGHT=450&amp;WIDTH=450&amp;START_MAXIMIZED=FALSE&amp;VAR:CALENDAR=US&amp;VAR:SYMBOL=98433210&amp;VAR:INDEX=0"}</definedName>
    <definedName name="_8838__FDSAUDITLINK__">{"fdsup://directions/FAT Viewer?action=UPDATE&amp;creator=factset&amp;DYN_ARGS=TRUE&amp;DOC_NAME=FAT:FQL_AUDITING_CLIENT_TEMPLATE.FAT&amp;display_string=Audit&amp;VAR:KEY=FIJCJCZUJW&amp;VAR:QUERY=KFBfUFJJQ0UoMzk2NjYpLShGRl9DQVNIX1NUKFFUUiwzOTY2NikvUF9DT01fU0hTX09VVCgzOTY2NikpKS9GR","V9FU1RJTUFURSgnRVBTJywnTUVBTicsJ0FOTlVBTF9ST0xMJywnKzEnLDM5NjY2LCwsJycp&amp;WINDOW=FIRST_POPUP&amp;HEIGHT=450&amp;WIDTH=450&amp;START_MAXIMIZED=FALSE&amp;VAR:CALENDAR=US&amp;VAR:SYMBOL=98433210&amp;VAR:INDEX=0"}</definedName>
    <definedName name="_8839__FDSAUDITLINK__">{"fdsup://directions/FAT Viewer?action=UPDATE&amp;creator=factset&amp;DYN_ARGS=TRUE&amp;DOC_NAME=FAT:FQL_AUDITING_CLIENT_TEMPLATE.FAT&amp;display_string=Audit&amp;VAR:KEY=FIJCJCZUJW&amp;VAR:QUERY=KFBfUFJJQ0UoMzk2NjYpLShGRl9DQVNIX1NUKFFUUiwzOTY2NikvUF9DT01fU0hTX09VVCgzOTY2NikpKS9GR","V9FU1RJTUFURSgnRVBTJywnTUVBTicsJ0FOTlVBTF9ST0xMJywnKzEnLDM5NjY2LCwsJycp&amp;WINDOW=FIRST_POPUP&amp;HEIGHT=450&amp;WIDTH=450&amp;START_MAXIMIZED=FALSE&amp;VAR:CALENDAR=US&amp;VAR:SYMBOL=98433210&amp;VAR:INDEX=0"}</definedName>
    <definedName name="_88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906"}</definedName>
    <definedName name="_8840__FDSAUDITLINK__">{"fdsup://directions/FAT Viewer?action=UPDATE&amp;creator=factset&amp;DYN_ARGS=TRUE&amp;DOC_NAME=FAT:FQL_AUDITING_CLIENT_TEMPLATE.FAT&amp;display_string=Audit&amp;VAR:KEY=BITEXQZGRY&amp;VAR:QUERY=KFBfUFJJQ0UoMzk2NjUpLShGRl9DQVNIX1NUKFFUUiwzOTY2NSkvUF9DT01fU0hTX09VVCgzOTY2NSkpKS9GR","V9FU1RJTUFURSgnRVBTJywnTUVBTicsJ0FOTlVBTF9ST0xMJywnKzEnLDM5NjY1LCwsJycp&amp;WINDOW=FIRST_POPUP&amp;HEIGHT=450&amp;WIDTH=450&amp;START_MAXIMIZED=FALSE&amp;VAR:CALENDAR=US&amp;VAR:SYMBOL=98433210&amp;VAR:INDEX=0"}</definedName>
    <definedName name="_8841__FDSAUDITLINK__">{"fdsup://directions/FAT Viewer?action=UPDATE&amp;creator=factset&amp;DYN_ARGS=TRUE&amp;DOC_NAME=FAT:FQL_AUDITING_CLIENT_TEMPLATE.FAT&amp;display_string=Audit&amp;VAR:KEY=BITEXQZGRY&amp;VAR:QUERY=KFBfUFJJQ0UoMzk2NjUpLShGRl9DQVNIX1NUKFFUUiwzOTY2NSkvUF9DT01fU0hTX09VVCgzOTY2NSkpKS9GR","V9FU1RJTUFURSgnRVBTJywnTUVBTicsJ0FOTlVBTF9ST0xMJywnKzEnLDM5NjY1LCwsJycp&amp;WINDOW=FIRST_POPUP&amp;HEIGHT=450&amp;WIDTH=450&amp;START_MAXIMIZED=FALSE&amp;VAR:CALENDAR=US&amp;VAR:SYMBOL=98433210&amp;VAR:INDEX=0"}</definedName>
    <definedName name="_8842__FDSAUDITLINK__">{"fdsup://directions/FAT Viewer?action=UPDATE&amp;creator=factset&amp;DYN_ARGS=TRUE&amp;DOC_NAME=FAT:FQL_AUDITING_CLIENT_TEMPLATE.FAT&amp;display_string=Audit&amp;VAR:KEY=BEPAVWVCXO&amp;VAR:QUERY=KFBfUFJJQ0UoMzk2NjQpLShGRl9DQVNIX1NUKFFUUiwzOTY2NCkvUF9DT01fU0hTX09VVCgzOTY2NCkpKS9GR","V9FU1RJTUFURSgnRVBTJywnTUVBTicsJ0FOTlVBTF9ST0xMJywnKzEnLDM5NjY0LCwsJycp&amp;WINDOW=FIRST_POPUP&amp;HEIGHT=450&amp;WIDTH=450&amp;START_MAXIMIZED=FALSE&amp;VAR:CALENDAR=US&amp;VAR:SYMBOL=98433210&amp;VAR:INDEX=0"}</definedName>
    <definedName name="_8843__FDSAUDITLINK__">{"fdsup://directions/FAT Viewer?action=UPDATE&amp;creator=factset&amp;DYN_ARGS=TRUE&amp;DOC_NAME=FAT:FQL_AUDITING_CLIENT_TEMPLATE.FAT&amp;display_string=Audit&amp;VAR:KEY=BEPAVWVCXO&amp;VAR:QUERY=KFBfUFJJQ0UoMzk2NjQpLShGRl9DQVNIX1NUKFFUUiwzOTY2NCkvUF9DT01fU0hTX09VVCgzOTY2NCkpKS9GR","V9FU1RJTUFURSgnRVBTJywnTUVBTicsJ0FOTlVBTF9ST0xMJywnKzEnLDM5NjY0LCwsJycp&amp;WINDOW=FIRST_POPUP&amp;HEIGHT=450&amp;WIDTH=450&amp;START_MAXIMIZED=FALSE&amp;VAR:CALENDAR=US&amp;VAR:SYMBOL=98433210&amp;VAR:INDEX=0"}</definedName>
    <definedName name="_8844__FDSAUDITLINK__">{"fdsup://directions/FAT Viewer?action=UPDATE&amp;creator=factset&amp;DYN_ARGS=TRUE&amp;DOC_NAME=FAT:FQL_AUDITING_CLIENT_TEMPLATE.FAT&amp;display_string=Audit&amp;VAR:KEY=FCLERKBKNQ&amp;VAR:QUERY=KFBfUFJJQ0UoMzk2NjMpLShGRl9DQVNIX1NUKFFUUiwzOTY2MykvUF9DT01fU0hTX09VVCgzOTY2MykpKS9GR","V9FU1RJTUFURSgnRVBTJywnTUVBTicsJ0FOTlVBTF9ST0xMJywnKzEnLDM5NjYzLCwsJycp&amp;WINDOW=FIRST_POPUP&amp;HEIGHT=450&amp;WIDTH=450&amp;START_MAXIMIZED=FALSE&amp;VAR:CALENDAR=US&amp;VAR:SYMBOL=98433210&amp;VAR:INDEX=0"}</definedName>
    <definedName name="_8845__FDSAUDITLINK__">{"fdsup://directions/FAT Viewer?action=UPDATE&amp;creator=factset&amp;DYN_ARGS=TRUE&amp;DOC_NAME=FAT:FQL_AUDITING_CLIENT_TEMPLATE.FAT&amp;display_string=Audit&amp;VAR:KEY=FCLERKBKNQ&amp;VAR:QUERY=KFBfUFJJQ0UoMzk2NjMpLShGRl9DQVNIX1NUKFFUUiwzOTY2MykvUF9DT01fU0hTX09VVCgzOTY2MykpKS9GR","V9FU1RJTUFURSgnRVBTJywnTUVBTicsJ0FOTlVBTF9ST0xMJywnKzEnLDM5NjYzLCwsJycp&amp;WINDOW=FIRST_POPUP&amp;HEIGHT=450&amp;WIDTH=450&amp;START_MAXIMIZED=FALSE&amp;VAR:CALENDAR=US&amp;VAR:SYMBOL=98433210&amp;VAR:INDEX=0"}</definedName>
    <definedName name="_8846__FDSAUDITLINK__">{"fdsup://directions/FAT Viewer?action=UPDATE&amp;creator=factset&amp;DYN_ARGS=TRUE&amp;DOC_NAME=FAT:FQL_AUDITING_CLIENT_TEMPLATE.FAT&amp;display_string=Audit&amp;VAR:KEY=ZENMDAFOJS&amp;VAR:QUERY=KFBfUFJJQ0UoMzk2NjIpLShGRl9DQVNIX1NUKFFUUiwzOTY2MikvUF9DT01fU0hTX09VVCgzOTY2MikpKS9GR","V9FU1RJTUFURSgnRVBTJywnTUVBTicsJ0FOTlVBTF9ST0xMJywnKzEnLDM5NjYyLCwsJycp&amp;WINDOW=FIRST_POPUP&amp;HEIGHT=450&amp;WIDTH=450&amp;START_MAXIMIZED=FALSE&amp;VAR:CALENDAR=US&amp;VAR:SYMBOL=98433210&amp;VAR:INDEX=0"}</definedName>
    <definedName name="_8847__FDSAUDITLINK__">{"fdsup://directions/FAT Viewer?action=UPDATE&amp;creator=factset&amp;DYN_ARGS=TRUE&amp;DOC_NAME=FAT:FQL_AUDITING_CLIENT_TEMPLATE.FAT&amp;display_string=Audit&amp;VAR:KEY=ZENMDAFOJS&amp;VAR:QUERY=KFBfUFJJQ0UoMzk2NjIpLShGRl9DQVNIX1NUKFFUUiwzOTY2MikvUF9DT01fU0hTX09VVCgzOTY2MikpKS9GR","V9FU1RJTUFURSgnRVBTJywnTUVBTicsJ0FOTlVBTF9ST0xMJywnKzEnLDM5NjYyLCwsJycp&amp;WINDOW=FIRST_POPUP&amp;HEIGHT=450&amp;WIDTH=450&amp;START_MAXIMIZED=FALSE&amp;VAR:CALENDAR=US&amp;VAR:SYMBOL=98433210&amp;VAR:INDEX=0"}</definedName>
    <definedName name="_8848__FDSAUDITLINK__">{"fdsup://directions/FAT Viewer?action=UPDATE&amp;creator=factset&amp;DYN_ARGS=TRUE&amp;DOC_NAME=FAT:FQL_AUDITING_CLIENT_TEMPLATE.FAT&amp;display_string=Audit&amp;VAR:KEY=FKFUFMRUDY&amp;VAR:QUERY=KFBfUFJJQ0UoMzk2NjEpLShGRl9DQVNIX1NUKFFUUiwzOTY2MSkvUF9DT01fU0hTX09VVCgzOTY2MSkpKS9GR","V9FU1RJTUFURSgnRVBTJywnTUVBTicsJ0FOTlVBTF9ST0xMJywnKzEnLDM5NjYxLCwsJycp&amp;WINDOW=FIRST_POPUP&amp;HEIGHT=450&amp;WIDTH=450&amp;START_MAXIMIZED=FALSE&amp;VAR:CALENDAR=US&amp;VAR:SYMBOL=98433210&amp;VAR:INDEX=0"}</definedName>
    <definedName name="_8849__FDSAUDITLINK__">{"fdsup://directions/FAT Viewer?action=UPDATE&amp;creator=factset&amp;DYN_ARGS=TRUE&amp;DOC_NAME=FAT:FQL_AUDITING_CLIENT_TEMPLATE.FAT&amp;display_string=Audit&amp;VAR:KEY=FKFUFMRUDY&amp;VAR:QUERY=KFBfUFJJQ0UoMzk2NjEpLShGRl9DQVNIX1NUKFFUUiwzOTY2MSkvUF9DT01fU0hTX09VVCgzOTY2MSkpKS9GR","V9FU1RJTUFURSgnRVBTJywnTUVBTicsJ0FOTlVBTF9ST0xMJywnKzEnLDM5NjYxLCwsJycp&amp;WINDOW=FIRST_POPUP&amp;HEIGHT=450&amp;WIDTH=450&amp;START_MAXIMIZED=FALSE&amp;VAR:CALENDAR=US&amp;VAR:SYMBOL=98433210&amp;VAR:INDEX=0"}</definedName>
    <definedName name="_88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905"}</definedName>
    <definedName name="_8850__FDSAUDITLINK__">{"fdsup://directions/FAT Viewer?action=UPDATE&amp;creator=factset&amp;DYN_ARGS=TRUE&amp;DOC_NAME=FAT:FQL_AUDITING_CLIENT_TEMPLATE.FAT&amp;display_string=Audit&amp;VAR:KEY=FGVCPOPKTE&amp;VAR:QUERY=KFBfUFJJQ0UoMzk2NjApLShGRl9DQVNIX1NUKFFUUiwzOTY2MCkvUF9DT01fU0hTX09VVCgzOTY2MCkpKS9GR","V9FU1RJTUFURSgnRVBTJywnTUVBTicsJ0FOTlVBTF9ST0xMJywnKzEnLDM5NjYwLCwsJycp&amp;WINDOW=FIRST_POPUP&amp;HEIGHT=450&amp;WIDTH=450&amp;START_MAXIMIZED=FALSE&amp;VAR:CALENDAR=US&amp;VAR:SYMBOL=98433210&amp;VAR:INDEX=0"}</definedName>
    <definedName name="_8851__FDSAUDITLINK__">{"fdsup://directions/FAT Viewer?action=UPDATE&amp;creator=factset&amp;DYN_ARGS=TRUE&amp;DOC_NAME=FAT:FQL_AUDITING_CLIENT_TEMPLATE.FAT&amp;display_string=Audit&amp;VAR:KEY=FGVCPOPKTE&amp;VAR:QUERY=KFBfUFJJQ0UoMzk2NjApLShGRl9DQVNIX1NUKFFUUiwzOTY2MCkvUF9DT01fU0hTX09VVCgzOTY2MCkpKS9GR","V9FU1RJTUFURSgnRVBTJywnTUVBTicsJ0FOTlVBTF9ST0xMJywnKzEnLDM5NjYwLCwsJycp&amp;WINDOW=FIRST_POPUP&amp;HEIGHT=450&amp;WIDTH=450&amp;START_MAXIMIZED=FALSE&amp;VAR:CALENDAR=US&amp;VAR:SYMBOL=98433210&amp;VAR:INDEX=0"}</definedName>
    <definedName name="_8852__FDSAUDITLINK__">{"fdsup://directions/FAT Viewer?action=UPDATE&amp;creator=factset&amp;DYN_ARGS=TRUE&amp;DOC_NAME=FAT:FQL_AUDITING_CLIENT_TEMPLATE.FAT&amp;display_string=Audit&amp;VAR:KEY=DSTGFWVOLS&amp;VAR:QUERY=KFBfUFJJQ0UoMzk2NTkpLShGRl9DQVNIX1NUKFFUUiwzOTY1OSkvUF9DT01fU0hTX09VVCgzOTY1OSkpKS9GR","V9FU1RJTUFURSgnRVBTJywnTUVBTicsJ0FOTlVBTF9ST0xMJywnKzEnLDM5NjU5LCwsJycp&amp;WINDOW=FIRST_POPUP&amp;HEIGHT=450&amp;WIDTH=450&amp;START_MAXIMIZED=FALSE&amp;VAR:CALENDAR=US&amp;VAR:SYMBOL=98433210&amp;VAR:INDEX=0"}</definedName>
    <definedName name="_8853__FDSAUDITLINK__">{"fdsup://directions/FAT Viewer?action=UPDATE&amp;creator=factset&amp;DYN_ARGS=TRUE&amp;DOC_NAME=FAT:FQL_AUDITING_CLIENT_TEMPLATE.FAT&amp;display_string=Audit&amp;VAR:KEY=DSTGFWVOLS&amp;VAR:QUERY=KFBfUFJJQ0UoMzk2NTkpLShGRl9DQVNIX1NUKFFUUiwzOTY1OSkvUF9DT01fU0hTX09VVCgzOTY1OSkpKS9GR","V9FU1RJTUFURSgnRVBTJywnTUVBTicsJ0FOTlVBTF9ST0xMJywnKzEnLDM5NjU5LCwsJycp&amp;WINDOW=FIRST_POPUP&amp;HEIGHT=450&amp;WIDTH=450&amp;START_MAXIMIZED=FALSE&amp;VAR:CALENDAR=US&amp;VAR:SYMBOL=98433210&amp;VAR:INDEX=0"}</definedName>
    <definedName name="_8854__FDSAUDITLINK__">{"fdsup://directions/FAT Viewer?action=UPDATE&amp;creator=factset&amp;DYN_ARGS=TRUE&amp;DOC_NAME=FAT:FQL_AUDITING_CLIENT_TEMPLATE.FAT&amp;display_string=Audit&amp;VAR:KEY=JGFKRAPKVE&amp;VAR:QUERY=KFBfUFJJQ0UoMzk2NTgpLShGRl9DQVNIX1NUKFFUUiwzOTY1OCkvUF9DT01fU0hTX09VVCgzOTY1OCkpKS9GR","V9FU1RJTUFURSgnRVBTJywnTUVBTicsJ0FOTlVBTF9ST0xMJywnKzEnLDM5NjU4LCwsJycp&amp;WINDOW=FIRST_POPUP&amp;HEIGHT=450&amp;WIDTH=450&amp;START_MAXIMIZED=FALSE&amp;VAR:CALENDAR=US&amp;VAR:SYMBOL=98433210&amp;VAR:INDEX=0"}</definedName>
    <definedName name="_8855__FDSAUDITLINK__">{"fdsup://directions/FAT Viewer?action=UPDATE&amp;creator=factset&amp;DYN_ARGS=TRUE&amp;DOC_NAME=FAT:FQL_AUDITING_CLIENT_TEMPLATE.FAT&amp;display_string=Audit&amp;VAR:KEY=JGFKRAPKVE&amp;VAR:QUERY=KFBfUFJJQ0UoMzk2NTgpLShGRl9DQVNIX1NUKFFUUiwzOTY1OCkvUF9DT01fU0hTX09VVCgzOTY1OCkpKS9GR","V9FU1RJTUFURSgnRVBTJywnTUVBTicsJ0FOTlVBTF9ST0xMJywnKzEnLDM5NjU4LCwsJycp&amp;WINDOW=FIRST_POPUP&amp;HEIGHT=450&amp;WIDTH=450&amp;START_MAXIMIZED=FALSE&amp;VAR:CALENDAR=US&amp;VAR:SYMBOL=98433210&amp;VAR:INDEX=0"}</definedName>
    <definedName name="_8856__FDSAUDITLINK__">{"fdsup://directions/FAT Viewer?action=UPDATE&amp;creator=factset&amp;DYN_ARGS=TRUE&amp;DOC_NAME=FAT:FQL_AUDITING_CLIENT_TEMPLATE.FAT&amp;display_string=Audit&amp;VAR:KEY=VIBELCLIBO&amp;VAR:QUERY=KFBfUFJJQ0UoMzk2NTcpLShGRl9DQVNIX1NUKFFUUiwzOTY1NykvUF9DT01fU0hTX09VVCgzOTY1NykpKS9GR","V9FU1RJTUFURSgnRVBTJywnTUVBTicsJ0FOTlVBTF9ST0xMJywnKzEnLDM5NjU3LCwsJycp&amp;WINDOW=FIRST_POPUP&amp;HEIGHT=450&amp;WIDTH=450&amp;START_MAXIMIZED=FALSE&amp;VAR:CALENDAR=US&amp;VAR:SYMBOL=98433210&amp;VAR:INDEX=0"}</definedName>
    <definedName name="_8857__FDSAUDITLINK__">{"fdsup://directions/FAT Viewer?action=UPDATE&amp;creator=factset&amp;DYN_ARGS=TRUE&amp;DOC_NAME=FAT:FQL_AUDITING_CLIENT_TEMPLATE.FAT&amp;display_string=Audit&amp;VAR:KEY=VIBELCLIBO&amp;VAR:QUERY=KFBfUFJJQ0UoMzk2NTcpLShGRl9DQVNIX1NUKFFUUiwzOTY1NykvUF9DT01fU0hTX09VVCgzOTY1NykpKS9GR","V9FU1RJTUFURSgnRVBTJywnTUVBTicsJ0FOTlVBTF9ST0xMJywnKzEnLDM5NjU3LCwsJycp&amp;WINDOW=FIRST_POPUP&amp;HEIGHT=450&amp;WIDTH=450&amp;START_MAXIMIZED=FALSE&amp;VAR:CALENDAR=US&amp;VAR:SYMBOL=98433210&amp;VAR:INDEX=0"}</definedName>
    <definedName name="_8858__FDSAUDITLINK__">{"fdsup://directions/FAT Viewer?action=UPDATE&amp;creator=factset&amp;DYN_ARGS=TRUE&amp;DOC_NAME=FAT:FQL_AUDITING_CLIENT_TEMPLATE.FAT&amp;display_string=Audit&amp;VAR:KEY=RWPSVAHIHG&amp;VAR:QUERY=KFBfUFJJQ0UoMzk2NTYpLShGRl9DQVNIX1NUKFFUUiwzOTY1NikvUF9DT01fU0hTX09VVCgzOTY1NikpKS9GR","V9FU1RJTUFURSgnRVBTJywnTUVBTicsJ0FOTlVBTF9ST0xMJywnKzEnLDM5NjU2LCwsJycp&amp;WINDOW=FIRST_POPUP&amp;HEIGHT=450&amp;WIDTH=450&amp;START_MAXIMIZED=FALSE&amp;VAR:CALENDAR=US&amp;VAR:SYMBOL=98433210&amp;VAR:INDEX=0"}</definedName>
    <definedName name="_8859__FDSAUDITLINK__">{"fdsup://directions/FAT Viewer?action=UPDATE&amp;creator=factset&amp;DYN_ARGS=TRUE&amp;DOC_NAME=FAT:FQL_AUDITING_CLIENT_TEMPLATE.FAT&amp;display_string=Audit&amp;VAR:KEY=RWPSVAHIHG&amp;VAR:QUERY=KFBfUFJJQ0UoMzk2NTYpLShGRl9DQVNIX1NUKFFUUiwzOTY1NikvUF9DT01fU0hTX09VVCgzOTY1NikpKS9GR","V9FU1RJTUFURSgnRVBTJywnTUVBTicsJ0FOTlVBTF9ST0xMJywnKzEnLDM5NjU2LCwsJycp&amp;WINDOW=FIRST_POPUP&amp;HEIGHT=450&amp;WIDTH=450&amp;START_MAXIMIZED=FALSE&amp;VAR:CALENDAR=US&amp;VAR:SYMBOL=98433210&amp;VAR:INDEX=0"}</definedName>
    <definedName name="_88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904"}</definedName>
    <definedName name="_8860__FDSAUDITLINK__">{"fdsup://directions/FAT Viewer?action=UPDATE&amp;creator=factset&amp;DYN_ARGS=TRUE&amp;DOC_NAME=FAT:FQL_AUDITING_CLIENT_TEMPLATE.FAT&amp;display_string=Audit&amp;VAR:KEY=NIBYVAZOXQ&amp;VAR:QUERY=KFBfUFJJQ0UoMzk2NTUpLShGRl9DQVNIX1NUKFFUUiwzOTY1NSkvUF9DT01fU0hTX09VVCgzOTY1NSkpKS9GR","V9FU1RJTUFURSgnRVBTJywnTUVBTicsJ0FOTlVBTF9ST0xMJywnKzEnLDM5NjU1LCwsJycp&amp;WINDOW=FIRST_POPUP&amp;HEIGHT=450&amp;WIDTH=450&amp;START_MAXIMIZED=FALSE&amp;VAR:CALENDAR=US&amp;VAR:SYMBOL=98433210&amp;VAR:INDEX=0"}</definedName>
    <definedName name="_8861__FDSAUDITLINK__">{"fdsup://directions/FAT Viewer?action=UPDATE&amp;creator=factset&amp;DYN_ARGS=TRUE&amp;DOC_NAME=FAT:FQL_AUDITING_CLIENT_TEMPLATE.FAT&amp;display_string=Audit&amp;VAR:KEY=NIBYVAZOXQ&amp;VAR:QUERY=KFBfUFJJQ0UoMzk2NTUpLShGRl9DQVNIX1NUKFFUUiwzOTY1NSkvUF9DT01fU0hTX09VVCgzOTY1NSkpKS9GR","V9FU1RJTUFURSgnRVBTJywnTUVBTicsJ0FOTlVBTF9ST0xMJywnKzEnLDM5NjU1LCwsJycp&amp;WINDOW=FIRST_POPUP&amp;HEIGHT=450&amp;WIDTH=450&amp;START_MAXIMIZED=FALSE&amp;VAR:CALENDAR=US&amp;VAR:SYMBOL=98433210&amp;VAR:INDEX=0"}</definedName>
    <definedName name="_8862__FDSAUDITLINK__">{"fdsup://directions/FAT Viewer?action=UPDATE&amp;creator=factset&amp;DYN_ARGS=TRUE&amp;DOC_NAME=FAT:FQL_AUDITING_CLIENT_TEMPLATE.FAT&amp;display_string=Audit&amp;VAR:KEY=RSNCTSZSZC&amp;VAR:QUERY=KFBfUFJJQ0UoMzk2NTQpLShGRl9DQVNIX1NUKFFUUiwzOTY1NCkvUF9DT01fU0hTX09VVCgzOTY1NCkpKS9GR","V9FU1RJTUFURSgnRVBTJywnTUVBTicsJ0FOTlVBTF9ST0xMJywnKzEnLDM5NjU0LCwsJycp&amp;WINDOW=FIRST_POPUP&amp;HEIGHT=450&amp;WIDTH=450&amp;START_MAXIMIZED=FALSE&amp;VAR:CALENDAR=US&amp;VAR:SYMBOL=98433210&amp;VAR:INDEX=0"}</definedName>
    <definedName name="_8863__FDSAUDITLINK__">{"fdsup://directions/FAT Viewer?action=UPDATE&amp;creator=factset&amp;DYN_ARGS=TRUE&amp;DOC_NAME=FAT:FQL_AUDITING_CLIENT_TEMPLATE.FAT&amp;display_string=Audit&amp;VAR:KEY=RSNCTSZSZC&amp;VAR:QUERY=KFBfUFJJQ0UoMzk2NTQpLShGRl9DQVNIX1NUKFFUUiwzOTY1NCkvUF9DT01fU0hTX09VVCgzOTY1NCkpKS9GR","V9FU1RJTUFURSgnRVBTJywnTUVBTicsJ0FOTlVBTF9ST0xMJywnKzEnLDM5NjU0LCwsJycp&amp;WINDOW=FIRST_POPUP&amp;HEIGHT=450&amp;WIDTH=450&amp;START_MAXIMIZED=FALSE&amp;VAR:CALENDAR=US&amp;VAR:SYMBOL=98433210&amp;VAR:INDEX=0"}</definedName>
    <definedName name="_8864__FDSAUDITLINK__">{"fdsup://directions/FAT Viewer?action=UPDATE&amp;creator=factset&amp;DYN_ARGS=TRUE&amp;DOC_NAME=FAT:FQL_AUDITING_CLIENT_TEMPLATE.FAT&amp;display_string=Audit&amp;VAR:KEY=VSHSZCLYJC&amp;VAR:QUERY=KFBfUFJJQ0UoMzk2NTMpLShGRl9DQVNIX1NUKFFUUiwzOTY1MykvUF9DT01fU0hTX09VVCgzOTY1MykpKS9GR","V9FU1RJTUFURSgnRVBTJywnTUVBTicsJ0FOTlVBTF9ST0xMJywnKzEnLDM5NjUzLCwsJycp&amp;WINDOW=FIRST_POPUP&amp;HEIGHT=450&amp;WIDTH=450&amp;START_MAXIMIZED=FALSE&amp;VAR:CALENDAR=US&amp;VAR:SYMBOL=98433210&amp;VAR:INDEX=0"}</definedName>
    <definedName name="_8865__FDSAUDITLINK__">{"fdsup://directions/FAT Viewer?action=UPDATE&amp;creator=factset&amp;DYN_ARGS=TRUE&amp;DOC_NAME=FAT:FQL_AUDITING_CLIENT_TEMPLATE.FAT&amp;display_string=Audit&amp;VAR:KEY=VSHSZCLYJC&amp;VAR:QUERY=KFBfUFJJQ0UoMzk2NTMpLShGRl9DQVNIX1NUKFFUUiwzOTY1MykvUF9DT01fU0hTX09VVCgzOTY1MykpKS9GR","V9FU1RJTUFURSgnRVBTJywnTUVBTicsJ0FOTlVBTF9ST0xMJywnKzEnLDM5NjUzLCwsJycp&amp;WINDOW=FIRST_POPUP&amp;HEIGHT=450&amp;WIDTH=450&amp;START_MAXIMIZED=FALSE&amp;VAR:CALENDAR=US&amp;VAR:SYMBOL=98433210&amp;VAR:INDEX=0"}</definedName>
    <definedName name="_8866__FDSAUDITLINK__">{"fdsup://directions/FAT Viewer?action=UPDATE&amp;creator=factset&amp;DYN_ARGS=TRUE&amp;DOC_NAME=FAT:FQL_AUDITING_CLIENT_TEMPLATE.FAT&amp;display_string=Audit&amp;VAR:KEY=JYZQNUDGTC&amp;VAR:QUERY=KFBfUFJJQ0UoMzk2NTIpLShGRl9DQVNIX1NUKFFUUiwzOTY1MikvUF9DT01fU0hTX09VVCgzOTY1MikpKS9GR","V9FU1RJTUFURSgnRVBTJywnTUVBTicsJ0FOTlVBTF9ST0xMJywnKzEnLDM5NjUyLCwsJycp&amp;WINDOW=FIRST_POPUP&amp;HEIGHT=450&amp;WIDTH=450&amp;START_MAXIMIZED=FALSE&amp;VAR:CALENDAR=US&amp;VAR:SYMBOL=98433210&amp;VAR:INDEX=0"}</definedName>
    <definedName name="_8867__FDSAUDITLINK__">{"fdsup://directions/FAT Viewer?action=UPDATE&amp;creator=factset&amp;DYN_ARGS=TRUE&amp;DOC_NAME=FAT:FQL_AUDITING_CLIENT_TEMPLATE.FAT&amp;display_string=Audit&amp;VAR:KEY=JYZQNUDGTC&amp;VAR:QUERY=KFBfUFJJQ0UoMzk2NTIpLShGRl9DQVNIX1NUKFFUUiwzOTY1MikvUF9DT01fU0hTX09VVCgzOTY1MikpKS9GR","V9FU1RJTUFURSgnRVBTJywnTUVBTicsJ0FOTlVBTF9ST0xMJywnKzEnLDM5NjUyLCwsJycp&amp;WINDOW=FIRST_POPUP&amp;HEIGHT=450&amp;WIDTH=450&amp;START_MAXIMIZED=FALSE&amp;VAR:CALENDAR=US&amp;VAR:SYMBOL=98433210&amp;VAR:INDEX=0"}</definedName>
    <definedName name="_8868__FDSAUDITLINK__">{"fdsup://directions/FAT Viewer?action=UPDATE&amp;creator=factset&amp;DYN_ARGS=TRUE&amp;DOC_NAME=FAT:FQL_AUDITING_CLIENT_TEMPLATE.FAT&amp;display_string=Audit&amp;VAR:KEY=BCTAVORGVA&amp;VAR:QUERY=KFBfUFJJQ0UoMzk2NTEpLShGRl9DQVNIX1NUKFFUUiwzOTY1MSkvUF9DT01fU0hTX09VVCgzOTY1MSkpKS9GR","V9FU1RJTUFURSgnRVBTJywnTUVBTicsJ0FOTlVBTF9ST0xMJywnKzEnLDM5NjUxLCwsJycp&amp;WINDOW=FIRST_POPUP&amp;HEIGHT=450&amp;WIDTH=450&amp;START_MAXIMIZED=FALSE&amp;VAR:CALENDAR=US&amp;VAR:SYMBOL=98433210&amp;VAR:INDEX=0"}</definedName>
    <definedName name="_8869__FDSAUDITLINK__">{"fdsup://directions/FAT Viewer?action=UPDATE&amp;creator=factset&amp;DYN_ARGS=TRUE&amp;DOC_NAME=FAT:FQL_AUDITING_CLIENT_TEMPLATE.FAT&amp;display_string=Audit&amp;VAR:KEY=BCTAVORGVA&amp;VAR:QUERY=KFBfUFJJQ0UoMzk2NTEpLShGRl9DQVNIX1NUKFFUUiwzOTY1MSkvUF9DT01fU0hTX09VVCgzOTY1MSkpKS9GR","V9FU1RJTUFURSgnRVBTJywnTUVBTicsJ0FOTlVBTF9ST0xMJywnKzEnLDM5NjUxLCwsJycp&amp;WINDOW=FIRST_POPUP&amp;HEIGHT=450&amp;WIDTH=450&amp;START_MAXIMIZED=FALSE&amp;VAR:CALENDAR=US&amp;VAR:SYMBOL=98433210&amp;VAR:INDEX=0"}</definedName>
    <definedName name="_88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903"}</definedName>
    <definedName name="_8870__FDSAUDITLINK__">{"fdsup://directions/FAT Viewer?action=UPDATE&amp;creator=factset&amp;DYN_ARGS=TRUE&amp;DOC_NAME=FAT:FQL_AUDITING_CLIENT_TEMPLATE.FAT&amp;display_string=Audit&amp;VAR:KEY=HQPMDEVGJE&amp;VAR:QUERY=KFBfUFJJQ0UoMzk2NTApLShGRl9DQVNIX1NUKFFUUiwzOTY1MCkvUF9DT01fU0hTX09VVCgzOTY1MCkpKS9GR","V9FU1RJTUFURSgnRVBTJywnTUVBTicsJ0FOTlVBTF9ST0xMJywnKzEnLDM5NjUwLCwsJycp&amp;WINDOW=FIRST_POPUP&amp;HEIGHT=450&amp;WIDTH=450&amp;START_MAXIMIZED=FALSE&amp;VAR:CALENDAR=US&amp;VAR:SYMBOL=98433210&amp;VAR:INDEX=0"}</definedName>
    <definedName name="_8871__FDSAUDITLINK__">{"fdsup://directions/FAT Viewer?action=UPDATE&amp;creator=factset&amp;DYN_ARGS=TRUE&amp;DOC_NAME=FAT:FQL_AUDITING_CLIENT_TEMPLATE.FAT&amp;display_string=Audit&amp;VAR:KEY=HQPMDEVGJE&amp;VAR:QUERY=KFBfUFJJQ0UoMzk2NTApLShGRl9DQVNIX1NUKFFUUiwzOTY1MCkvUF9DT01fU0hTX09VVCgzOTY1MCkpKS9GR","V9FU1RJTUFURSgnRVBTJywnTUVBTicsJ0FOTlVBTF9ST0xMJywnKzEnLDM5NjUwLCwsJycp&amp;WINDOW=FIRST_POPUP&amp;HEIGHT=450&amp;WIDTH=450&amp;START_MAXIMIZED=FALSE&amp;VAR:CALENDAR=US&amp;VAR:SYMBOL=98433210&amp;VAR:INDEX=0"}</definedName>
    <definedName name="_8872__FDSAUDITLINK__">{"fdsup://directions/FAT Viewer?action=UPDATE&amp;creator=factset&amp;DYN_ARGS=TRUE&amp;DOC_NAME=FAT:FQL_AUDITING_CLIENT_TEMPLATE.FAT&amp;display_string=Audit&amp;VAR:KEY=VAXQXCRSTO&amp;VAR:QUERY=KFBfUFJJQ0UoMzk2NDkpLShGRl9DQVNIX1NUKFFUUiwzOTY0OSkvUF9DT01fU0hTX09VVCgzOTY0OSkpKS9GR","V9FU1RJTUFURSgnRVBTJywnTUVBTicsJ0FOTlVBTF9ST0xMJywnKzEnLDM5NjQ5LCwsJycp&amp;WINDOW=FIRST_POPUP&amp;HEIGHT=450&amp;WIDTH=450&amp;START_MAXIMIZED=FALSE&amp;VAR:CALENDAR=US&amp;VAR:SYMBOL=98433210&amp;VAR:INDEX=0"}</definedName>
    <definedName name="_8873__FDSAUDITLINK__">{"fdsup://directions/FAT Viewer?action=UPDATE&amp;creator=factset&amp;DYN_ARGS=TRUE&amp;DOC_NAME=FAT:FQL_AUDITING_CLIENT_TEMPLATE.FAT&amp;display_string=Audit&amp;VAR:KEY=VAXQXCRSTO&amp;VAR:QUERY=KFBfUFJJQ0UoMzk2NDkpLShGRl9DQVNIX1NUKFFUUiwzOTY0OSkvUF9DT01fU0hTX09VVCgzOTY0OSkpKS9GR","V9FU1RJTUFURSgnRVBTJywnTUVBTicsJ0FOTlVBTF9ST0xMJywnKzEnLDM5NjQ5LCwsJycp&amp;WINDOW=FIRST_POPUP&amp;HEIGHT=450&amp;WIDTH=450&amp;START_MAXIMIZED=FALSE&amp;VAR:CALENDAR=US&amp;VAR:SYMBOL=98433210&amp;VAR:INDEX=0"}</definedName>
    <definedName name="_8874__FDSAUDITLINK__">{"fdsup://directions/FAT Viewer?action=UPDATE&amp;creator=factset&amp;DYN_ARGS=TRUE&amp;DOC_NAME=FAT:FQL_AUDITING_CLIENT_TEMPLATE.FAT&amp;display_string=Audit&amp;VAR:KEY=BOBMNCFOPM&amp;VAR:QUERY=KFBfUFJJQ0UoMzk2NDgpLShGRl9DQVNIX1NUKFFUUiwzOTY0OCkvUF9DT01fU0hTX09VVCgzOTY0OCkpKS9GR","V9FU1RJTUFURSgnRVBTJywnTUVBTicsJ0FOTlVBTF9ST0xMJywnKzEnLDM5NjQ4LCwsJycp&amp;WINDOW=FIRST_POPUP&amp;HEIGHT=450&amp;WIDTH=450&amp;START_MAXIMIZED=FALSE&amp;VAR:CALENDAR=US&amp;VAR:SYMBOL=98433210&amp;VAR:INDEX=0"}</definedName>
    <definedName name="_8875__FDSAUDITLINK__">{"fdsup://directions/FAT Viewer?action=UPDATE&amp;creator=factset&amp;DYN_ARGS=TRUE&amp;DOC_NAME=FAT:FQL_AUDITING_CLIENT_TEMPLATE.FAT&amp;display_string=Audit&amp;VAR:KEY=BOBMNCFOPM&amp;VAR:QUERY=KFBfUFJJQ0UoMzk2NDgpLShGRl9DQVNIX1NUKFFUUiwzOTY0OCkvUF9DT01fU0hTX09VVCgzOTY0OCkpKS9GR","V9FU1RJTUFURSgnRVBTJywnTUVBTicsJ0FOTlVBTF9ST0xMJywnKzEnLDM5NjQ4LCwsJycp&amp;WINDOW=FIRST_POPUP&amp;HEIGHT=450&amp;WIDTH=450&amp;START_MAXIMIZED=FALSE&amp;VAR:CALENDAR=US&amp;VAR:SYMBOL=98433210&amp;VAR:INDEX=0"}</definedName>
    <definedName name="_8876__FDSAUDITLINK__">{"fdsup://directions/FAT Viewer?action=UPDATE&amp;creator=factset&amp;DYN_ARGS=TRUE&amp;DOC_NAME=FAT:FQL_AUDITING_CLIENT_TEMPLATE.FAT&amp;display_string=Audit&amp;VAR:KEY=XCJQDYTMFI&amp;VAR:QUERY=KFBfUFJJQ0UoMzk2NDcpLShGRl9DQVNIX1NUKFFUUiwzOTY0NykvUF9DT01fU0hTX09VVCgzOTY0NykpKS9GR","V9FU1RJTUFURSgnRVBTJywnTUVBTicsJ0FOTlVBTF9ST0xMJywnKzEnLDM5NjQ3LCwsJycp&amp;WINDOW=FIRST_POPUP&amp;HEIGHT=450&amp;WIDTH=450&amp;START_MAXIMIZED=FALSE&amp;VAR:CALENDAR=US&amp;VAR:SYMBOL=98433210&amp;VAR:INDEX=0"}</definedName>
    <definedName name="_8877__FDSAUDITLINK__">{"fdsup://directions/FAT Viewer?action=UPDATE&amp;creator=factset&amp;DYN_ARGS=TRUE&amp;DOC_NAME=FAT:FQL_AUDITING_CLIENT_TEMPLATE.FAT&amp;display_string=Audit&amp;VAR:KEY=XCJQDYTMFI&amp;VAR:QUERY=KFBfUFJJQ0UoMzk2NDcpLShGRl9DQVNIX1NUKFFUUiwzOTY0NykvUF9DT01fU0hTX09VVCgzOTY0NykpKS9GR","V9FU1RJTUFURSgnRVBTJywnTUVBTicsJ0FOTlVBTF9ST0xMJywnKzEnLDM5NjQ3LCwsJycp&amp;WINDOW=FIRST_POPUP&amp;HEIGHT=450&amp;WIDTH=450&amp;START_MAXIMIZED=FALSE&amp;VAR:CALENDAR=US&amp;VAR:SYMBOL=98433210&amp;VAR:INDEX=0"}</definedName>
    <definedName name="_8878__FDSAUDITLINK__">{"fdsup://directions/FAT Viewer?action=UPDATE&amp;creator=factset&amp;DYN_ARGS=TRUE&amp;DOC_NAME=FAT:FQL_AUDITING_CLIENT_TEMPLATE.FAT&amp;display_string=Audit&amp;VAR:KEY=FEBGPKHKVI&amp;VAR:QUERY=KFBfUFJJQ0UoMzk2NDYpLShGRl9DQVNIX1NUKFFUUiwzOTY0NikvUF9DT01fU0hTX09VVCgzOTY0NikpKS9GR","V9FU1RJTUFURSgnRVBTJywnTUVBTicsJ0FOTlVBTF9ST0xMJywnKzEnLDM5NjQ2LCwsJycp&amp;WINDOW=FIRST_POPUP&amp;HEIGHT=450&amp;WIDTH=450&amp;START_MAXIMIZED=FALSE&amp;VAR:CALENDAR=US&amp;VAR:SYMBOL=98433210&amp;VAR:INDEX=0"}</definedName>
    <definedName name="_8879__FDSAUDITLINK__">{"fdsup://directions/FAT Viewer?action=UPDATE&amp;creator=factset&amp;DYN_ARGS=TRUE&amp;DOC_NAME=FAT:FQL_AUDITING_CLIENT_TEMPLATE.FAT&amp;display_string=Audit&amp;VAR:KEY=FEBGPKHKVI&amp;VAR:QUERY=KFBfUFJJQ0UoMzk2NDYpLShGRl9DQVNIX1NUKFFUUiwzOTY0NikvUF9DT01fU0hTX09VVCgzOTY0NikpKS9GR","V9FU1RJTUFURSgnRVBTJywnTUVBTicsJ0FOTlVBTF9ST0xMJywnKzEnLDM5NjQ2LCwsJycp&amp;WINDOW=FIRST_POPUP&amp;HEIGHT=450&amp;WIDTH=450&amp;START_MAXIMIZED=FALSE&amp;VAR:CALENDAR=US&amp;VAR:SYMBOL=98433210&amp;VAR:INDEX=0"}</definedName>
    <definedName name="_88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902"}</definedName>
    <definedName name="_8880__FDSAUDITLINK__">{"fdsup://directions/FAT Viewer?action=UPDATE&amp;creator=factset&amp;DYN_ARGS=TRUE&amp;DOC_NAME=FAT:FQL_AUDITING_CLIENT_TEMPLATE.FAT&amp;display_string=Audit&amp;VAR:KEY=VQPAXWZWRI&amp;VAR:QUERY=KFBfUFJJQ0UoMzk2NDUpLShGRl9DQVNIX1NUKFFUUiwzOTY0NSkvUF9DT01fU0hTX09VVCgzOTY0NSkpKS9GR","V9FU1RJTUFURSgnRVBTJywnTUVBTicsJ0FOTlVBTF9ST0xMJywnKzEnLDM5NjQ1LCwsJycp&amp;WINDOW=FIRST_POPUP&amp;HEIGHT=450&amp;WIDTH=450&amp;START_MAXIMIZED=FALSE&amp;VAR:CALENDAR=US&amp;VAR:SYMBOL=98433210&amp;VAR:INDEX=0"}</definedName>
    <definedName name="_8881__FDSAUDITLINK__">{"fdsup://directions/FAT Viewer?action=UPDATE&amp;creator=factset&amp;DYN_ARGS=TRUE&amp;DOC_NAME=FAT:FQL_AUDITING_CLIENT_TEMPLATE.FAT&amp;display_string=Audit&amp;VAR:KEY=VQPAXWZWRI&amp;VAR:QUERY=KFBfUFJJQ0UoMzk2NDUpLShGRl9DQVNIX1NUKFFUUiwzOTY0NSkvUF9DT01fU0hTX09VVCgzOTY0NSkpKS9GR","V9FU1RJTUFURSgnRVBTJywnTUVBTicsJ0FOTlVBTF9ST0xMJywnKzEnLDM5NjQ1LCwsJycp&amp;WINDOW=FIRST_POPUP&amp;HEIGHT=450&amp;WIDTH=450&amp;START_MAXIMIZED=FALSE&amp;VAR:CALENDAR=US&amp;VAR:SYMBOL=98433210&amp;VAR:INDEX=0"}</definedName>
    <definedName name="_8882__FDSAUDITLINK__">{"fdsup://directions/FAT Viewer?action=UPDATE&amp;creator=factset&amp;DYN_ARGS=TRUE&amp;DOC_NAME=FAT:FQL_AUDITING_CLIENT_TEMPLATE.FAT&amp;display_string=Audit&amp;VAR:KEY=BEXSPQPARG&amp;VAR:QUERY=KFBfUFJJQ0UoMzk2NDQpLShGRl9DQVNIX1NUKFFUUiwzOTY0NCkvUF9DT01fU0hTX09VVCgzOTY0NCkpKS9GR","V9FU1RJTUFURSgnRVBTJywnTUVBTicsJ0FOTlVBTF9ST0xMJywnKzEnLDM5NjQ0LCwsJycp&amp;WINDOW=FIRST_POPUP&amp;HEIGHT=450&amp;WIDTH=450&amp;START_MAXIMIZED=FALSE&amp;VAR:CALENDAR=US&amp;VAR:SYMBOL=98433210&amp;VAR:INDEX=0"}</definedName>
    <definedName name="_8883__FDSAUDITLINK__">{"fdsup://directions/FAT Viewer?action=UPDATE&amp;creator=factset&amp;DYN_ARGS=TRUE&amp;DOC_NAME=FAT:FQL_AUDITING_CLIENT_TEMPLATE.FAT&amp;display_string=Audit&amp;VAR:KEY=BEXSPQPARG&amp;VAR:QUERY=KFBfUFJJQ0UoMzk2NDQpLShGRl9DQVNIX1NUKFFUUiwzOTY0NCkvUF9DT01fU0hTX09VVCgzOTY0NCkpKS9GR","V9FU1RJTUFURSgnRVBTJywnTUVBTicsJ0FOTlVBTF9ST0xMJywnKzEnLDM5NjQ0LCwsJycp&amp;WINDOW=FIRST_POPUP&amp;HEIGHT=450&amp;WIDTH=450&amp;START_MAXIMIZED=FALSE&amp;VAR:CALENDAR=US&amp;VAR:SYMBOL=98433210&amp;VAR:INDEX=0"}</definedName>
    <definedName name="_8884__FDSAUDITLINK__">{"fdsup://directions/FAT Viewer?action=UPDATE&amp;creator=factset&amp;DYN_ARGS=TRUE&amp;DOC_NAME=FAT:FQL_AUDITING_CLIENT_TEMPLATE.FAT&amp;display_string=Audit&amp;VAR:KEY=DAFYNQNYHA&amp;VAR:QUERY=KFBfUFJJQ0UoMzk2NDMpLShGRl9DQVNIX1NUKFFUUiwzOTY0MykvUF9DT01fU0hTX09VVCgzOTY0MykpKS9GR","V9FU1RJTUFURSgnRVBTJywnTUVBTicsJ0FOTlVBTF9ST0xMJywnKzEnLDM5NjQzLCwsJycp&amp;WINDOW=FIRST_POPUP&amp;HEIGHT=450&amp;WIDTH=450&amp;START_MAXIMIZED=FALSE&amp;VAR:CALENDAR=US&amp;VAR:SYMBOL=98433210&amp;VAR:INDEX=0"}</definedName>
    <definedName name="_8885__FDSAUDITLINK__">{"fdsup://directions/FAT Viewer?action=UPDATE&amp;creator=factset&amp;DYN_ARGS=TRUE&amp;DOC_NAME=FAT:FQL_AUDITING_CLIENT_TEMPLATE.FAT&amp;display_string=Audit&amp;VAR:KEY=DAFYNQNYHA&amp;VAR:QUERY=KFBfUFJJQ0UoMzk2NDMpLShGRl9DQVNIX1NUKFFUUiwzOTY0MykvUF9DT01fU0hTX09VVCgzOTY0MykpKS9GR","V9FU1RJTUFURSgnRVBTJywnTUVBTicsJ0FOTlVBTF9ST0xMJywnKzEnLDM5NjQzLCwsJycp&amp;WINDOW=FIRST_POPUP&amp;HEIGHT=450&amp;WIDTH=450&amp;START_MAXIMIZED=FALSE&amp;VAR:CALENDAR=US&amp;VAR:SYMBOL=98433210&amp;VAR:INDEX=0"}</definedName>
    <definedName name="_8886__FDSAUDITLINK__">{"fdsup://directions/FAT Viewer?action=UPDATE&amp;creator=factset&amp;DYN_ARGS=TRUE&amp;DOC_NAME=FAT:FQL_AUDITING_CLIENT_TEMPLATE.FAT&amp;display_string=Audit&amp;VAR:KEY=ZWRCXYDONO&amp;VAR:QUERY=KFBfUFJJQ0UoMzk2NDIpLShGRl9DQVNIX1NUKFFUUiwzOTY0MikvUF9DT01fU0hTX09VVCgzOTY0MikpKS9GR","V9FU1RJTUFURSgnRVBTJywnTUVBTicsJ0FOTlVBTF9ST0xMJywnKzEnLDM5NjQyLCwsJycp&amp;WINDOW=FIRST_POPUP&amp;HEIGHT=450&amp;WIDTH=450&amp;START_MAXIMIZED=FALSE&amp;VAR:CALENDAR=US&amp;VAR:SYMBOL=98433210&amp;VAR:INDEX=0"}</definedName>
    <definedName name="_8887__FDSAUDITLINK__">{"fdsup://directions/FAT Viewer?action=UPDATE&amp;creator=factset&amp;DYN_ARGS=TRUE&amp;DOC_NAME=FAT:FQL_AUDITING_CLIENT_TEMPLATE.FAT&amp;display_string=Audit&amp;VAR:KEY=ZWRCXYDONO&amp;VAR:QUERY=KFBfUFJJQ0UoMzk2NDIpLShGRl9DQVNIX1NUKFFUUiwzOTY0MikvUF9DT01fU0hTX09VVCgzOTY0MikpKS9GR","V9FU1RJTUFURSgnRVBTJywnTUVBTicsJ0FOTlVBTF9ST0xMJywnKzEnLDM5NjQyLCwsJycp&amp;WINDOW=FIRST_POPUP&amp;HEIGHT=450&amp;WIDTH=450&amp;START_MAXIMIZED=FALSE&amp;VAR:CALENDAR=US&amp;VAR:SYMBOL=98433210&amp;VAR:INDEX=0"}</definedName>
    <definedName name="_8888__FDSAUDITLINK__">{"fdsup://directions/FAT Viewer?action=UPDATE&amp;creator=factset&amp;DYN_ARGS=TRUE&amp;DOC_NAME=FAT:FQL_AUDITING_CLIENT_TEMPLATE.FAT&amp;display_string=Audit&amp;VAR:KEY=LATCFAFQLQ&amp;VAR:QUERY=KFBfUFJJQ0UoMzk2NDEpLShGRl9DQVNIX1NUKFFUUiwzOTY0MSkvUF9DT01fU0hTX09VVCgzOTY0MSkpKS9GR","V9FU1RJTUFURSgnRVBTJywnTUVBTicsJ0FOTlVBTF9ST0xMJywnKzEnLDM5NjQxLCwsJycp&amp;WINDOW=FIRST_POPUP&amp;HEIGHT=450&amp;WIDTH=450&amp;START_MAXIMIZED=FALSE&amp;VAR:CALENDAR=US&amp;VAR:SYMBOL=98433210&amp;VAR:INDEX=0"}</definedName>
    <definedName name="_8889__FDSAUDITLINK__">{"fdsup://directions/FAT Viewer?action=UPDATE&amp;creator=factset&amp;DYN_ARGS=TRUE&amp;DOC_NAME=FAT:FQL_AUDITING_CLIENT_TEMPLATE.FAT&amp;display_string=Audit&amp;VAR:KEY=LATCFAFQLQ&amp;VAR:QUERY=KFBfUFJJQ0UoMzk2NDEpLShGRl9DQVNIX1NUKFFUUiwzOTY0MSkvUF9DT01fU0hTX09VVCgzOTY0MSkpKS9GR","V9FU1RJTUFURSgnRVBTJywnTUVBTicsJ0FOTlVBTF9ST0xMJywnKzEnLDM5NjQxLCwsJycp&amp;WINDOW=FIRST_POPUP&amp;HEIGHT=450&amp;WIDTH=450&amp;START_MAXIMIZED=FALSE&amp;VAR:CALENDAR=US&amp;VAR:SYMBOL=98433210&amp;VAR:INDEX=0"}</definedName>
    <definedName name="_88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901"}</definedName>
    <definedName name="_8890__FDSAUDITLINK__">{"fdsup://directions/FAT Viewer?action=UPDATE&amp;creator=factset&amp;DYN_ARGS=TRUE&amp;DOC_NAME=FAT:FQL_AUDITING_CLIENT_TEMPLATE.FAT&amp;display_string=Audit&amp;VAR:KEY=JOTYVSPQJI&amp;VAR:QUERY=KFBfUFJJQ0UoMzk2NDApLShGRl9DQVNIX1NUKFFUUiwzOTY0MCkvUF9DT01fU0hTX09VVCgzOTY0MCkpKS9GR","V9FU1RJTUFURSgnRVBTJywnTUVBTicsJ0FOTlVBTF9ST0xMJywnKzEnLDM5NjQwLCwsJycp&amp;WINDOW=FIRST_POPUP&amp;HEIGHT=450&amp;WIDTH=450&amp;START_MAXIMIZED=FALSE&amp;VAR:CALENDAR=US&amp;VAR:SYMBOL=98433210&amp;VAR:INDEX=0"}</definedName>
    <definedName name="_8891__FDSAUDITLINK__">{"fdsup://directions/FAT Viewer?action=UPDATE&amp;creator=factset&amp;DYN_ARGS=TRUE&amp;DOC_NAME=FAT:FQL_AUDITING_CLIENT_TEMPLATE.FAT&amp;display_string=Audit&amp;VAR:KEY=JOTYVSPQJI&amp;VAR:QUERY=KFBfUFJJQ0UoMzk2NDApLShGRl9DQVNIX1NUKFFUUiwzOTY0MCkvUF9DT01fU0hTX09VVCgzOTY0MCkpKS9GR","V9FU1RJTUFURSgnRVBTJywnTUVBTicsJ0FOTlVBTF9ST0xMJywnKzEnLDM5NjQwLCwsJycp&amp;WINDOW=FIRST_POPUP&amp;HEIGHT=450&amp;WIDTH=450&amp;START_MAXIMIZED=FALSE&amp;VAR:CALENDAR=US&amp;VAR:SYMBOL=98433210&amp;VAR:INDEX=0"}</definedName>
    <definedName name="_8892__FDSAUDITLINK__">{"fdsup://directions/FAT Viewer?action=UPDATE&amp;creator=factset&amp;DYN_ARGS=TRUE&amp;DOC_NAME=FAT:FQL_AUDITING_CLIENT_TEMPLATE.FAT&amp;display_string=Audit&amp;VAR:KEY=VUHMLWPMXI&amp;VAR:QUERY=KFBfUFJJQ0UoMzk2MzkpLShGRl9DQVNIX1NUKFFUUiwzOTYzOSkvUF9DT01fU0hTX09VVCgzOTYzOSkpKS9GR","V9FU1RJTUFURSgnRVBTJywnTUVBTicsJ0FOTlVBTF9ST0xMJywnKzEnLDM5NjM5LCwsJycp&amp;WINDOW=FIRST_POPUP&amp;HEIGHT=450&amp;WIDTH=450&amp;START_MAXIMIZED=FALSE&amp;VAR:CALENDAR=US&amp;VAR:SYMBOL=98433210&amp;VAR:INDEX=0"}</definedName>
    <definedName name="_8893__FDSAUDITLINK__">{"fdsup://directions/FAT Viewer?action=UPDATE&amp;creator=factset&amp;DYN_ARGS=TRUE&amp;DOC_NAME=FAT:FQL_AUDITING_CLIENT_TEMPLATE.FAT&amp;display_string=Audit&amp;VAR:KEY=VUHMLWPMXI&amp;VAR:QUERY=KFBfUFJJQ0UoMzk2MzkpLShGRl9DQVNIX1NUKFFUUiwzOTYzOSkvUF9DT01fU0hTX09VVCgzOTYzOSkpKS9GR","V9FU1RJTUFURSgnRVBTJywnTUVBTicsJ0FOTlVBTF9ST0xMJywnKzEnLDM5NjM5LCwsJycp&amp;WINDOW=FIRST_POPUP&amp;HEIGHT=450&amp;WIDTH=450&amp;START_MAXIMIZED=FALSE&amp;VAR:CALENDAR=US&amp;VAR:SYMBOL=98433210&amp;VAR:INDEX=0"}</definedName>
    <definedName name="_8894__FDSAUDITLINK__">{"fdsup://directions/FAT Viewer?action=UPDATE&amp;creator=factset&amp;DYN_ARGS=TRUE&amp;DOC_NAME=FAT:FQL_AUDITING_CLIENT_TEMPLATE.FAT&amp;display_string=Audit&amp;VAR:KEY=BCBAFGJQBM&amp;VAR:QUERY=KFBfUFJJQ0UoMzk2MzgpLShGRl9DQVNIX1NUKFFUUiwzOTYzOCkvUF9DT01fU0hTX09VVCgzOTYzOCkpKS9GR","V9FU1RJTUFURSgnRVBTJywnTUVBTicsJ0FOTlVBTF9ST0xMJywnKzEnLDM5NjM4LCwsJycp&amp;WINDOW=FIRST_POPUP&amp;HEIGHT=450&amp;WIDTH=450&amp;START_MAXIMIZED=FALSE&amp;VAR:CALENDAR=US&amp;VAR:SYMBOL=98433210&amp;VAR:INDEX=0"}</definedName>
    <definedName name="_8895__FDSAUDITLINK__">{"fdsup://directions/FAT Viewer?action=UPDATE&amp;creator=factset&amp;DYN_ARGS=TRUE&amp;DOC_NAME=FAT:FQL_AUDITING_CLIENT_TEMPLATE.FAT&amp;display_string=Audit&amp;VAR:KEY=BCBAFGJQBM&amp;VAR:QUERY=KFBfUFJJQ0UoMzk2MzgpLShGRl9DQVNIX1NUKFFUUiwzOTYzOCkvUF9DT01fU0hTX09VVCgzOTYzOCkpKS9GR","V9FU1RJTUFURSgnRVBTJywnTUVBTicsJ0FOTlVBTF9ST0xMJywnKzEnLDM5NjM4LCwsJycp&amp;WINDOW=FIRST_POPUP&amp;HEIGHT=450&amp;WIDTH=450&amp;START_MAXIMIZED=FALSE&amp;VAR:CALENDAR=US&amp;VAR:SYMBOL=98433210&amp;VAR:INDEX=0"}</definedName>
    <definedName name="_8896__FDSAUDITLINK__">{"fdsup://directions/FAT Viewer?action=UPDATE&amp;creator=factset&amp;DYN_ARGS=TRUE&amp;DOC_NAME=FAT:FQL_AUDITING_CLIENT_TEMPLATE.FAT&amp;display_string=Audit&amp;VAR:KEY=BCHAHSDGNW&amp;VAR:QUERY=KFBfUFJJQ0UoMzk2MzcpLShGRl9DQVNIX1NUKFFUUiwzOTYzNykvUF9DT01fU0hTX09VVCgzOTYzNykpKS9GR","V9FU1RJTUFURSgnRVBTJywnTUVBTicsJ0FOTlVBTF9ST0xMJywnKzEnLDM5NjM3LCwsJycp&amp;WINDOW=FIRST_POPUP&amp;HEIGHT=450&amp;WIDTH=450&amp;START_MAXIMIZED=FALSE&amp;VAR:CALENDAR=US&amp;VAR:SYMBOL=98433210&amp;VAR:INDEX=0"}</definedName>
    <definedName name="_8897__FDSAUDITLINK__">{"fdsup://directions/FAT Viewer?action=UPDATE&amp;creator=factset&amp;DYN_ARGS=TRUE&amp;DOC_NAME=FAT:FQL_AUDITING_CLIENT_TEMPLATE.FAT&amp;display_string=Audit&amp;VAR:KEY=BCHAHSDGNW&amp;VAR:QUERY=KFBfUFJJQ0UoMzk2MzcpLShGRl9DQVNIX1NUKFFUUiwzOTYzNykvUF9DT01fU0hTX09VVCgzOTYzNykpKS9GR","V9FU1RJTUFURSgnRVBTJywnTUVBTicsJ0FOTlVBTF9ST0xMJywnKzEnLDM5NjM3LCwsJycp&amp;WINDOW=FIRST_POPUP&amp;HEIGHT=450&amp;WIDTH=450&amp;START_MAXIMIZED=FALSE&amp;VAR:CALENDAR=US&amp;VAR:SYMBOL=98433210&amp;VAR:INDEX=0"}</definedName>
    <definedName name="_8898__FDSAUDITLINK__">{"fdsup://directions/FAT Viewer?action=UPDATE&amp;creator=factset&amp;DYN_ARGS=TRUE&amp;DOC_NAME=FAT:FQL_AUDITING_CLIENT_TEMPLATE.FAT&amp;display_string=Audit&amp;VAR:KEY=ZKLSXCLMDQ&amp;VAR:QUERY=KFBfUFJJQ0UoMzk2MzYpLShGRl9DQVNIX1NUKFFUUiwzOTYzNikvUF9DT01fU0hTX09VVCgzOTYzNikpKS9GR","V9FU1RJTUFURSgnRVBTJywnTUVBTicsJ0FOTlVBTF9ST0xMJywnKzEnLDM5NjM2LCwsJycp&amp;WINDOW=FIRST_POPUP&amp;HEIGHT=450&amp;WIDTH=450&amp;START_MAXIMIZED=FALSE&amp;VAR:CALENDAR=US&amp;VAR:SYMBOL=98433210&amp;VAR:INDEX=0"}</definedName>
    <definedName name="_8899__FDSAUDITLINK__">{"fdsup://directions/FAT Viewer?action=UPDATE&amp;creator=factset&amp;DYN_ARGS=TRUE&amp;DOC_NAME=FAT:FQL_AUDITING_CLIENT_TEMPLATE.FAT&amp;display_string=Audit&amp;VAR:KEY=ZKLSXCLMDQ&amp;VAR:QUERY=KFBfUFJJQ0UoMzk2MzYpLShGRl9DQVNIX1NUKFFUUiwzOTYzNikvUF9DT01fU0hTX09VVCgzOTYzNikpKS9GR","V9FU1RJTUFURSgnRVBTJywnTUVBTicsJ0FOTlVBTF9ST0xMJywnKzEnLDM5NjM2LCwsJycp&amp;WINDOW=FIRST_POPUP&amp;HEIGHT=450&amp;WIDTH=450&amp;START_MAXIMIZED=FALSE&amp;VAR:CALENDAR=US&amp;VAR:SYMBOL=98433210&amp;VAR:INDEX=0"}</definedName>
    <definedName name="_8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0.238356&amp;VAR:V=21.262725&amp;VAR:V0=22.161047&amp;VAR:V1=18.824417&amp;VAR:Y0=2002&amp;VAR:Y1=2003&amp;VAR:P=1147.386500&amp;VAR:DATE=20020328&amp;VAR:THRESH=-|-|","-|-|-|-|-"}</definedName>
    <definedName name="_89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900"}</definedName>
    <definedName name="_8900__FDSAUDITLINK__">{"fdsup://directions/FAT Viewer?action=UPDATE&amp;creator=factset&amp;DYN_ARGS=TRUE&amp;DOC_NAME=FAT:FQL_AUDITING_CLIENT_TEMPLATE.FAT&amp;display_string=Audit&amp;VAR:KEY=NWZEFWLEPC&amp;VAR:QUERY=KFBfUFJJQ0UoMzk2MzUpLShGRl9DQVNIX1NUKFFUUiwzOTYzNSkvUF9DT01fU0hTX09VVCgzOTYzNSkpKS9GR","V9FU1RJTUFURSgnRVBTJywnTUVBTicsJ0FOTlVBTF9ST0xMJywnKzEnLDM5NjM1LCwsJycp&amp;WINDOW=FIRST_POPUP&amp;HEIGHT=450&amp;WIDTH=450&amp;START_MAXIMIZED=FALSE&amp;VAR:CALENDAR=US&amp;VAR:SYMBOL=98433210&amp;VAR:INDEX=0"}</definedName>
    <definedName name="_8901__FDSAUDITLINK__">{"fdsup://directions/FAT Viewer?action=UPDATE&amp;creator=factset&amp;DYN_ARGS=TRUE&amp;DOC_NAME=FAT:FQL_AUDITING_CLIENT_TEMPLATE.FAT&amp;display_string=Audit&amp;VAR:KEY=NWZEFWLEPC&amp;VAR:QUERY=KFBfUFJJQ0UoMzk2MzUpLShGRl9DQVNIX1NUKFFUUiwzOTYzNSkvUF9DT01fU0hTX09VVCgzOTYzNSkpKS9GR","V9FU1RJTUFURSgnRVBTJywnTUVBTicsJ0FOTlVBTF9ST0xMJywnKzEnLDM5NjM1LCwsJycp&amp;WINDOW=FIRST_POPUP&amp;HEIGHT=450&amp;WIDTH=450&amp;START_MAXIMIZED=FALSE&amp;VAR:CALENDAR=US&amp;VAR:SYMBOL=98433210&amp;VAR:INDEX=0"}</definedName>
    <definedName name="_8902__FDSAUDITLINK__">{"fdsup://directions/FAT Viewer?action=UPDATE&amp;creator=factset&amp;DYN_ARGS=TRUE&amp;DOC_NAME=FAT:FQL_AUDITING_CLIENT_TEMPLATE.FAT&amp;display_string=Audit&amp;VAR:KEY=JIBOBUPIFM&amp;VAR:QUERY=KFBfUFJJQ0UoMzk2MzQpLShGRl9DQVNIX1NUKFFUUiwzOTYzNCkvUF9DT01fU0hTX09VVCgzOTYzNCkpKS9GR","V9FU1RJTUFURSgnRVBTJywnTUVBTicsJ0FOTlVBTF9ST0xMJywnKzEnLDM5NjM0LCwsJycp&amp;WINDOW=FIRST_POPUP&amp;HEIGHT=450&amp;WIDTH=450&amp;START_MAXIMIZED=FALSE&amp;VAR:CALENDAR=US&amp;VAR:SYMBOL=98433210&amp;VAR:INDEX=0"}</definedName>
    <definedName name="_8903__FDSAUDITLINK__">{"fdsup://directions/FAT Viewer?action=UPDATE&amp;creator=factset&amp;DYN_ARGS=TRUE&amp;DOC_NAME=FAT:FQL_AUDITING_CLIENT_TEMPLATE.FAT&amp;display_string=Audit&amp;VAR:KEY=JIBOBUPIFM&amp;VAR:QUERY=KFBfUFJJQ0UoMzk2MzQpLShGRl9DQVNIX1NUKFFUUiwzOTYzNCkvUF9DT01fU0hTX09VVCgzOTYzNCkpKS9GR","V9FU1RJTUFURSgnRVBTJywnTUVBTicsJ0FOTlVBTF9ST0xMJywnKzEnLDM5NjM0LCwsJycp&amp;WINDOW=FIRST_POPUP&amp;HEIGHT=450&amp;WIDTH=450&amp;START_MAXIMIZED=FALSE&amp;VAR:CALENDAR=US&amp;VAR:SYMBOL=98433210&amp;VAR:INDEX=0"}</definedName>
    <definedName name="_8904__FDSAUDITLINK__">{"fdsup://directions/FAT Viewer?action=UPDATE&amp;creator=factset&amp;DYN_ARGS=TRUE&amp;DOC_NAME=FAT:FQL_AUDITING_CLIENT_TEMPLATE.FAT&amp;display_string=Audit&amp;VAR:KEY=RODMDSFKFG&amp;VAR:QUERY=KFBfUFJJQ0UoMzk2MzMpLShGRl9DQVNIX1NUKFFUUiwzOTYzMykvUF9DT01fU0hTX09VVCgzOTYzMykpKS9GR","V9FU1RJTUFURSgnRVBTJywnTUVBTicsJ0FOTlVBTF9ST0xMJywnKzEnLDM5NjMzLCwsJycp&amp;WINDOW=FIRST_POPUP&amp;HEIGHT=450&amp;WIDTH=450&amp;START_MAXIMIZED=FALSE&amp;VAR:CALENDAR=US&amp;VAR:SYMBOL=98433210&amp;VAR:INDEX=0"}</definedName>
    <definedName name="_8905__FDSAUDITLINK__">{"fdsup://directions/FAT Viewer?action=UPDATE&amp;creator=factset&amp;DYN_ARGS=TRUE&amp;DOC_NAME=FAT:FQL_AUDITING_CLIENT_TEMPLATE.FAT&amp;display_string=Audit&amp;VAR:KEY=RODMDSFKFG&amp;VAR:QUERY=KFBfUFJJQ0UoMzk2MzMpLShGRl9DQVNIX1NUKFFUUiwzOTYzMykvUF9DT01fU0hTX09VVCgzOTYzMykpKS9GR","V9FU1RJTUFURSgnRVBTJywnTUVBTicsJ0FOTlVBTF9ST0xMJywnKzEnLDM5NjMzLCwsJycp&amp;WINDOW=FIRST_POPUP&amp;HEIGHT=450&amp;WIDTH=450&amp;START_MAXIMIZED=FALSE&amp;VAR:CALENDAR=US&amp;VAR:SYMBOL=98433210&amp;VAR:INDEX=0"}</definedName>
    <definedName name="_8906__FDSAUDITLINK__">{"fdsup://directions/FAT Viewer?action=UPDATE&amp;creator=factset&amp;DYN_ARGS=TRUE&amp;DOC_NAME=FAT:FQL_AUDITING_CLIENT_TEMPLATE.FAT&amp;display_string=Audit&amp;VAR:KEY=ZMVMTQXSXK&amp;VAR:QUERY=KFBfUFJJQ0UoMzk2MzIpLShGRl9DQVNIX1NUKFFUUiwzOTYzMikvUF9DT01fU0hTX09VVCgzOTYzMikpKS9GR","V9FU1RJTUFURSgnRVBTJywnTUVBTicsJ0FOTlVBTF9ST0xMJywnKzEnLDM5NjMyLCwsJycp&amp;WINDOW=FIRST_POPUP&amp;HEIGHT=450&amp;WIDTH=450&amp;START_MAXIMIZED=FALSE&amp;VAR:CALENDAR=US&amp;VAR:SYMBOL=98433210&amp;VAR:INDEX=0"}</definedName>
    <definedName name="_8907__FDSAUDITLINK__">{"fdsup://directions/FAT Viewer?action=UPDATE&amp;creator=factset&amp;DYN_ARGS=TRUE&amp;DOC_NAME=FAT:FQL_AUDITING_CLIENT_TEMPLATE.FAT&amp;display_string=Audit&amp;VAR:KEY=ZMVMTQXSXK&amp;VAR:QUERY=KFBfUFJJQ0UoMzk2MzIpLShGRl9DQVNIX1NUKFFUUiwzOTYzMikvUF9DT01fU0hTX09VVCgzOTYzMikpKS9GR","V9FU1RJTUFURSgnRVBTJywnTUVBTicsJ0FOTlVBTF9ST0xMJywnKzEnLDM5NjMyLCwsJycp&amp;WINDOW=FIRST_POPUP&amp;HEIGHT=450&amp;WIDTH=450&amp;START_MAXIMIZED=FALSE&amp;VAR:CALENDAR=US&amp;VAR:SYMBOL=98433210&amp;VAR:INDEX=0"}</definedName>
    <definedName name="_8908__FDSAUDITLINK__">{"fdsup://directions/FAT Viewer?action=UPDATE&amp;creator=factset&amp;DYN_ARGS=TRUE&amp;DOC_NAME=FAT:FQL_AUDITING_CLIENT_TEMPLATE.FAT&amp;display_string=Audit&amp;VAR:KEY=XYBCFGZSHS&amp;VAR:QUERY=KFBfUFJJQ0UoMzk2MzEpLShGRl9DQVNIX1NUKFFUUiwzOTYzMSkvUF9DT01fU0hTX09VVCgzOTYzMSkpKS9GR","V9FU1RJTUFURSgnRVBTJywnTUVBTicsJ0FOTlVBTF9ST0xMJywnKzEnLDM5NjMxLCwsJycp&amp;WINDOW=FIRST_POPUP&amp;HEIGHT=450&amp;WIDTH=450&amp;START_MAXIMIZED=FALSE&amp;VAR:CALENDAR=US&amp;VAR:SYMBOL=98433210&amp;VAR:INDEX=0"}</definedName>
    <definedName name="_8909__FDSAUDITLINK__">{"fdsup://directions/FAT Viewer?action=UPDATE&amp;creator=factset&amp;DYN_ARGS=TRUE&amp;DOC_NAME=FAT:FQL_AUDITING_CLIENT_TEMPLATE.FAT&amp;display_string=Audit&amp;VAR:KEY=XYBCFGZSHS&amp;VAR:QUERY=KFBfUFJJQ0UoMzk2MzEpLShGRl9DQVNIX1NUKFFUUiwzOTYzMSkvUF9DT01fU0hTX09VVCgzOTYzMSkpKS9GR","V9FU1RJTUFURSgnRVBTJywnTUVBTicsJ0FOTlVBTF9ST0xMJywnKzEnLDM5NjMxLCwsJycp&amp;WINDOW=FIRST_POPUP&amp;HEIGHT=450&amp;WIDTH=450&amp;START_MAXIMIZED=FALSE&amp;VAR:CALENDAR=US&amp;VAR:SYMBOL=98433210&amp;VAR:INDEX=0"}</definedName>
    <definedName name="_89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899"}</definedName>
    <definedName name="_8910__FDSAUDITLINK__">{"fdsup://directions/FAT Viewer?action=UPDATE&amp;creator=factset&amp;DYN_ARGS=TRUE&amp;DOC_NAME=FAT:FQL_AUDITING_CLIENT_TEMPLATE.FAT&amp;display_string=Audit&amp;VAR:KEY=FQRKPKBKHA&amp;VAR:QUERY=KFBfUFJJQ0UoMzk2MzApLShGRl9DQVNIX1NUKFFUUiwzOTYzMCkvUF9DT01fU0hTX09VVCgzOTYzMCkpKS9GR","V9FU1RJTUFURSgnRVBTJywnTUVBTicsJ0FOTlVBTF9ST0xMJywnKzEnLDM5NjMwLCwsJycp&amp;WINDOW=FIRST_POPUP&amp;HEIGHT=450&amp;WIDTH=450&amp;START_MAXIMIZED=FALSE&amp;VAR:CALENDAR=US&amp;VAR:SYMBOL=98433210&amp;VAR:INDEX=0"}</definedName>
    <definedName name="_8911__FDSAUDITLINK__">{"fdsup://directions/FAT Viewer?action=UPDATE&amp;creator=factset&amp;DYN_ARGS=TRUE&amp;DOC_NAME=FAT:FQL_AUDITING_CLIENT_TEMPLATE.FAT&amp;display_string=Audit&amp;VAR:KEY=FQRKPKBKHA&amp;VAR:QUERY=KFBfUFJJQ0UoMzk2MzApLShGRl9DQVNIX1NUKFFUUiwzOTYzMCkvUF9DT01fU0hTX09VVCgzOTYzMCkpKS9GR","V9FU1RJTUFURSgnRVBTJywnTUVBTicsJ0FOTlVBTF9ST0xMJywnKzEnLDM5NjMwLCwsJycp&amp;WINDOW=FIRST_POPUP&amp;HEIGHT=450&amp;WIDTH=450&amp;START_MAXIMIZED=FALSE&amp;VAR:CALENDAR=US&amp;VAR:SYMBOL=98433210&amp;VAR:INDEX=0"}</definedName>
    <definedName name="_8912__FDSAUDITLINK__">{"fdsup://directions/FAT Viewer?action=UPDATE&amp;creator=factset&amp;DYN_ARGS=TRUE&amp;DOC_NAME=FAT:FQL_AUDITING_CLIENT_TEMPLATE.FAT&amp;display_string=Audit&amp;VAR:KEY=NINMHSHYRM&amp;VAR:QUERY=KFBfUFJJQ0UoMzk2MjkpLShGRl9DQVNIX1NUKFFUUiwzOTYyOSkvUF9DT01fU0hTX09VVCgzOTYyOSkpKS9GR","V9FU1RJTUFURSgnRVBTJywnTUVBTicsJ0FOTlVBTF9ST0xMJywnKzEnLDM5NjI5LCwsJycp&amp;WINDOW=FIRST_POPUP&amp;HEIGHT=450&amp;WIDTH=450&amp;START_MAXIMIZED=FALSE&amp;VAR:CALENDAR=US&amp;VAR:SYMBOL=98433210&amp;VAR:INDEX=0"}</definedName>
    <definedName name="_8913__FDSAUDITLINK__">{"fdsup://directions/FAT Viewer?action=UPDATE&amp;creator=factset&amp;DYN_ARGS=TRUE&amp;DOC_NAME=FAT:FQL_AUDITING_CLIENT_TEMPLATE.FAT&amp;display_string=Audit&amp;VAR:KEY=NINMHSHYRM&amp;VAR:QUERY=KFBfUFJJQ0UoMzk2MjkpLShGRl9DQVNIX1NUKFFUUiwzOTYyOSkvUF9DT01fU0hTX09VVCgzOTYyOSkpKS9GR","V9FU1RJTUFURSgnRVBTJywnTUVBTicsJ0FOTlVBTF9ST0xMJywnKzEnLDM5NjI5LCwsJycp&amp;WINDOW=FIRST_POPUP&amp;HEIGHT=450&amp;WIDTH=450&amp;START_MAXIMIZED=FALSE&amp;VAR:CALENDAR=US&amp;VAR:SYMBOL=98433210&amp;VAR:INDEX=0"}</definedName>
    <definedName name="_8914__FDSAUDITLINK__">{"fdsup://directions/FAT Viewer?action=UPDATE&amp;creator=factset&amp;DYN_ARGS=TRUE&amp;DOC_NAME=FAT:FQL_AUDITING_CLIENT_TEMPLATE.FAT&amp;display_string=Audit&amp;VAR:KEY=RCPGFQNERW&amp;VAR:QUERY=KFBfUFJJQ0UoMzk2MjgpLShGRl9DQVNIX1NUKFFUUiwzOTYyOCkvUF9DT01fU0hTX09VVCgzOTYyOCkpKS9GR","V9FU1RJTUFURSgnRVBTJywnTUVBTicsJ0FOTlVBTF9ST0xMJywnKzEnLDM5NjI4LCwsJycp&amp;WINDOW=FIRST_POPUP&amp;HEIGHT=450&amp;WIDTH=450&amp;START_MAXIMIZED=FALSE&amp;VAR:CALENDAR=US&amp;VAR:SYMBOL=98433210&amp;VAR:INDEX=0"}</definedName>
    <definedName name="_8915__FDSAUDITLINK__">{"fdsup://directions/FAT Viewer?action=UPDATE&amp;creator=factset&amp;DYN_ARGS=TRUE&amp;DOC_NAME=FAT:FQL_AUDITING_CLIENT_TEMPLATE.FAT&amp;display_string=Audit&amp;VAR:KEY=RCPGFQNERW&amp;VAR:QUERY=KFBfUFJJQ0UoMzk2MjgpLShGRl9DQVNIX1NUKFFUUiwzOTYyOCkvUF9DT01fU0hTX09VVCgzOTYyOCkpKS9GR","V9FU1RJTUFURSgnRVBTJywnTUVBTicsJ0FOTlVBTF9ST0xMJywnKzEnLDM5NjI4LCwsJycp&amp;WINDOW=FIRST_POPUP&amp;HEIGHT=450&amp;WIDTH=450&amp;START_MAXIMIZED=FALSE&amp;VAR:CALENDAR=US&amp;VAR:SYMBOL=98433210&amp;VAR:INDEX=0"}</definedName>
    <definedName name="_8916__FDSAUDITLINK__">{"fdsup://directions/FAT Viewer?action=UPDATE&amp;creator=factset&amp;DYN_ARGS=TRUE&amp;DOC_NAME=FAT:FQL_AUDITING_CLIENT_TEMPLATE.FAT&amp;display_string=Audit&amp;VAR:KEY=LQNCJCTCFO&amp;VAR:QUERY=KFBfUFJJQ0UoMzk2MjcpLShGRl9DQVNIX1NUKFFUUiwzOTYyNykvUF9DT01fU0hTX09VVCgzOTYyNykpKS9GR","V9FU1RJTUFURSgnRVBTJywnTUVBTicsJ0FOTlVBTF9ST0xMJywnKzEnLDM5NjI3LCwsJycp&amp;WINDOW=FIRST_POPUP&amp;HEIGHT=450&amp;WIDTH=450&amp;START_MAXIMIZED=FALSE&amp;VAR:CALENDAR=US&amp;VAR:SYMBOL=98433210&amp;VAR:INDEX=0"}</definedName>
    <definedName name="_8917__FDSAUDITLINK__">{"fdsup://directions/FAT Viewer?action=UPDATE&amp;creator=factset&amp;DYN_ARGS=TRUE&amp;DOC_NAME=FAT:FQL_AUDITING_CLIENT_TEMPLATE.FAT&amp;display_string=Audit&amp;VAR:KEY=LQNCJCTCFO&amp;VAR:QUERY=KFBfUFJJQ0UoMzk2MjcpLShGRl9DQVNIX1NUKFFUUiwzOTYyNykvUF9DT01fU0hTX09VVCgzOTYyNykpKS9GR","V9FU1RJTUFURSgnRVBTJywnTUVBTicsJ0FOTlVBTF9ST0xMJywnKzEnLDM5NjI3LCwsJycp&amp;WINDOW=FIRST_POPUP&amp;HEIGHT=450&amp;WIDTH=450&amp;START_MAXIMIZED=FALSE&amp;VAR:CALENDAR=US&amp;VAR:SYMBOL=98433210&amp;VAR:INDEX=0"}</definedName>
    <definedName name="_8918__FDSAUDITLINK__">{"fdsup://directions/FAT Viewer?action=UPDATE&amp;creator=factset&amp;DYN_ARGS=TRUE&amp;DOC_NAME=FAT:FQL_AUDITING_CLIENT_TEMPLATE.FAT&amp;display_string=Audit&amp;VAR:KEY=FEPIZYDSHA&amp;VAR:QUERY=KFBfUFJJQ0UoMzk2MjYpLShGRl9DQVNIX1NUKFFUUiwzOTYyNikvUF9DT01fU0hTX09VVCgzOTYyNikpKS9GR","V9FU1RJTUFURSgnRVBTJywnTUVBTicsJ0FOTlVBTF9ST0xMJywnKzEnLDM5NjI2LCwsJycp&amp;WINDOW=FIRST_POPUP&amp;HEIGHT=450&amp;WIDTH=450&amp;START_MAXIMIZED=FALSE&amp;VAR:CALENDAR=US&amp;VAR:SYMBOL=98433210&amp;VAR:INDEX=0"}</definedName>
    <definedName name="_8919__FDSAUDITLINK__">{"fdsup://directions/FAT Viewer?action=UPDATE&amp;creator=factset&amp;DYN_ARGS=TRUE&amp;DOC_NAME=FAT:FQL_AUDITING_CLIENT_TEMPLATE.FAT&amp;display_string=Audit&amp;VAR:KEY=FEPIZYDSHA&amp;VAR:QUERY=KFBfUFJJQ0UoMzk2MjYpLShGRl9DQVNIX1NUKFFUUiwzOTYyNikvUF9DT01fU0hTX09VVCgzOTYyNikpKS9GR","V9FU1RJTUFURSgnRVBTJywnTUVBTicsJ0FOTlVBTF9ST0xMJywnKzEnLDM5NjI2LCwsJycp&amp;WINDOW=FIRST_POPUP&amp;HEIGHT=450&amp;WIDTH=450&amp;START_MAXIMIZED=FALSE&amp;VAR:CALENDAR=US&amp;VAR:SYMBOL=98433210&amp;VAR:INDEX=0"}</definedName>
    <definedName name="_89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898"}</definedName>
    <definedName name="_8920__FDSAUDITLINK__">{"fdsup://directions/FAT Viewer?action=UPDATE&amp;creator=factset&amp;DYN_ARGS=TRUE&amp;DOC_NAME=FAT:FQL_AUDITING_CLIENT_TEMPLATE.FAT&amp;display_string=Audit&amp;VAR:KEY=XKZQNQDEHE&amp;VAR:QUERY=KFBfUFJJQ0UoMzk2MjUpLShGRl9DQVNIX1NUKFFUUiwzOTYyNSkvUF9DT01fU0hTX09VVCgzOTYyNSkpKS9GR","V9FU1RJTUFURSgnRVBTJywnTUVBTicsJ0FOTlVBTF9ST0xMJywnKzEnLDM5NjI1LCwsJycp&amp;WINDOW=FIRST_POPUP&amp;HEIGHT=450&amp;WIDTH=450&amp;START_MAXIMIZED=FALSE&amp;VAR:CALENDAR=US&amp;VAR:SYMBOL=98433210&amp;VAR:INDEX=0"}</definedName>
    <definedName name="_8921__FDSAUDITLINK__">{"fdsup://directions/FAT Viewer?action=UPDATE&amp;creator=factset&amp;DYN_ARGS=TRUE&amp;DOC_NAME=FAT:FQL_AUDITING_CLIENT_TEMPLATE.FAT&amp;display_string=Audit&amp;VAR:KEY=XKZQNQDEHE&amp;VAR:QUERY=KFBfUFJJQ0UoMzk2MjUpLShGRl9DQVNIX1NUKFFUUiwzOTYyNSkvUF9DT01fU0hTX09VVCgzOTYyNSkpKS9GR","V9FU1RJTUFURSgnRVBTJywnTUVBTicsJ0FOTlVBTF9ST0xMJywnKzEnLDM5NjI1LCwsJycp&amp;WINDOW=FIRST_POPUP&amp;HEIGHT=450&amp;WIDTH=450&amp;START_MAXIMIZED=FALSE&amp;VAR:CALENDAR=US&amp;VAR:SYMBOL=98433210&amp;VAR:INDEX=0"}</definedName>
    <definedName name="_8922__FDSAUDITLINK__">{"fdsup://directions/FAT Viewer?action=UPDATE&amp;creator=factset&amp;DYN_ARGS=TRUE&amp;DOC_NAME=FAT:FQL_AUDITING_CLIENT_TEMPLATE.FAT&amp;display_string=Audit&amp;VAR:KEY=FOLKPQHMHO&amp;VAR:QUERY=KFBfUFJJQ0UoMzk2MjQpLShGRl9DQVNIX1NUKFFUUiwzOTYyNCkvUF9DT01fU0hTX09VVCgzOTYyNCkpKS9GR","V9FU1RJTUFURSgnRVBTJywnTUVBTicsJ0FOTlVBTF9ST0xMJywnKzEnLDM5NjI0LCwsJycp&amp;WINDOW=FIRST_POPUP&amp;HEIGHT=450&amp;WIDTH=450&amp;START_MAXIMIZED=FALSE&amp;VAR:CALENDAR=US&amp;VAR:SYMBOL=98433210&amp;VAR:INDEX=0"}</definedName>
    <definedName name="_8923__FDSAUDITLINK__">{"fdsup://directions/FAT Viewer?action=UPDATE&amp;creator=factset&amp;DYN_ARGS=TRUE&amp;DOC_NAME=FAT:FQL_AUDITING_CLIENT_TEMPLATE.FAT&amp;display_string=Audit&amp;VAR:KEY=FOLKPQHMHO&amp;VAR:QUERY=KFBfUFJJQ0UoMzk2MjQpLShGRl9DQVNIX1NUKFFUUiwzOTYyNCkvUF9DT01fU0hTX09VVCgzOTYyNCkpKS9GR","V9FU1RJTUFURSgnRVBTJywnTUVBTicsJ0FOTlVBTF9ST0xMJywnKzEnLDM5NjI0LCwsJycp&amp;WINDOW=FIRST_POPUP&amp;HEIGHT=450&amp;WIDTH=450&amp;START_MAXIMIZED=FALSE&amp;VAR:CALENDAR=US&amp;VAR:SYMBOL=98433210&amp;VAR:INDEX=0"}</definedName>
    <definedName name="_8924__FDSAUDITLINK__">{"fdsup://directions/FAT Viewer?action=UPDATE&amp;creator=factset&amp;DYN_ARGS=TRUE&amp;DOC_NAME=FAT:FQL_AUDITING_CLIENT_TEMPLATE.FAT&amp;display_string=Audit&amp;VAR:KEY=LCPUTADSBI&amp;VAR:QUERY=KFBfUFJJQ0UoMzk2MjMpLShGRl9DQVNIX1NUKFFUUiwzOTYyMykvUF9DT01fU0hTX09VVCgzOTYyMykpKS9GR","V9FU1RJTUFURSgnRVBTJywnTUVBTicsJ0FOTlVBTF9ST0xMJywnKzEnLDM5NjIzLCwsJycp&amp;WINDOW=FIRST_POPUP&amp;HEIGHT=450&amp;WIDTH=450&amp;START_MAXIMIZED=FALSE&amp;VAR:CALENDAR=US&amp;VAR:SYMBOL=98433210&amp;VAR:INDEX=0"}</definedName>
    <definedName name="_8925__FDSAUDITLINK__">{"fdsup://directions/FAT Viewer?action=UPDATE&amp;creator=factset&amp;DYN_ARGS=TRUE&amp;DOC_NAME=FAT:FQL_AUDITING_CLIENT_TEMPLATE.FAT&amp;display_string=Audit&amp;VAR:KEY=LCPUTADSBI&amp;VAR:QUERY=KFBfUFJJQ0UoMzk2MjMpLShGRl9DQVNIX1NUKFFUUiwzOTYyMykvUF9DT01fU0hTX09VVCgzOTYyMykpKS9GR","V9FU1RJTUFURSgnRVBTJywnTUVBTicsJ0FOTlVBTF9ST0xMJywnKzEnLDM5NjIzLCwsJycp&amp;WINDOW=FIRST_POPUP&amp;HEIGHT=450&amp;WIDTH=450&amp;START_MAXIMIZED=FALSE&amp;VAR:CALENDAR=US&amp;VAR:SYMBOL=98433210&amp;VAR:INDEX=0"}</definedName>
    <definedName name="_8926__FDSAUDITLINK__">{"fdsup://directions/FAT Viewer?action=UPDATE&amp;creator=factset&amp;DYN_ARGS=TRUE&amp;DOC_NAME=FAT:FQL_AUDITING_CLIENT_TEMPLATE.FAT&amp;display_string=Audit&amp;VAR:KEY=LQZGTQJEPG&amp;VAR:QUERY=KFBfUFJJQ0UoMzk2MjIpLShGRl9DQVNIX1NUKFFUUiwzOTYyMikvUF9DT01fU0hTX09VVCgzOTYyMikpKS9GR","V9FU1RJTUFURSgnRVBTJywnTUVBTicsJ0FOTlVBTF9ST0xMJywnKzEnLDM5NjIyLCwsJycp&amp;WINDOW=FIRST_POPUP&amp;HEIGHT=450&amp;WIDTH=450&amp;START_MAXIMIZED=FALSE&amp;VAR:CALENDAR=US&amp;VAR:SYMBOL=98433210&amp;VAR:INDEX=0"}</definedName>
    <definedName name="_8927__FDSAUDITLINK__">{"fdsup://directions/FAT Viewer?action=UPDATE&amp;creator=factset&amp;DYN_ARGS=TRUE&amp;DOC_NAME=FAT:FQL_AUDITING_CLIENT_TEMPLATE.FAT&amp;display_string=Audit&amp;VAR:KEY=LQZGTQJEPG&amp;VAR:QUERY=KFBfUFJJQ0UoMzk2MjIpLShGRl9DQVNIX1NUKFFUUiwzOTYyMikvUF9DT01fU0hTX09VVCgzOTYyMikpKS9GR","V9FU1RJTUFURSgnRVBTJywnTUVBTicsJ0FOTlVBTF9ST0xMJywnKzEnLDM5NjIyLCwsJycp&amp;WINDOW=FIRST_POPUP&amp;HEIGHT=450&amp;WIDTH=450&amp;START_MAXIMIZED=FALSE&amp;VAR:CALENDAR=US&amp;VAR:SYMBOL=98433210&amp;VAR:INDEX=0"}</definedName>
    <definedName name="_8928__FDSAUDITLINK__">{"fdsup://directions/FAT Viewer?action=UPDATE&amp;creator=factset&amp;DYN_ARGS=TRUE&amp;DOC_NAME=FAT:FQL_AUDITING_CLIENT_TEMPLATE.FAT&amp;display_string=Audit&amp;VAR:KEY=PKRYNARMTK&amp;VAR:QUERY=KFBfUFJJQ0UoMzk2MjEpLShGRl9DQVNIX1NUKFFUUiwzOTYyMSkvUF9DT01fU0hTX09VVCgzOTYyMSkpKS9GR","V9FU1RJTUFURSgnRVBTJywnTUVBTicsJ0FOTlVBTF9ST0xMJywnKzEnLDM5NjIxLCwsJycp&amp;WINDOW=FIRST_POPUP&amp;HEIGHT=450&amp;WIDTH=450&amp;START_MAXIMIZED=FALSE&amp;VAR:CALENDAR=US&amp;VAR:SYMBOL=98433210&amp;VAR:INDEX=0"}</definedName>
    <definedName name="_8929__FDSAUDITLINK__">{"fdsup://directions/FAT Viewer?action=UPDATE&amp;creator=factset&amp;DYN_ARGS=TRUE&amp;DOC_NAME=FAT:FQL_AUDITING_CLIENT_TEMPLATE.FAT&amp;display_string=Audit&amp;VAR:KEY=PKRYNARMTK&amp;VAR:QUERY=KFBfUFJJQ0UoMzk2MjEpLShGRl9DQVNIX1NUKFFUUiwzOTYyMSkvUF9DT01fU0hTX09VVCgzOTYyMSkpKS9GR","V9FU1RJTUFURSgnRVBTJywnTUVBTicsJ0FOTlVBTF9ST0xMJywnKzEnLDM5NjIxLCwsJycp&amp;WINDOW=FIRST_POPUP&amp;HEIGHT=450&amp;WIDTH=450&amp;START_MAXIMIZED=FALSE&amp;VAR:CALENDAR=US&amp;VAR:SYMBOL=98433210&amp;VAR:INDEX=0"}</definedName>
    <definedName name="_89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897"}</definedName>
    <definedName name="_8930__FDSAUDITLINK__">{"fdsup://directions/FAT Viewer?action=UPDATE&amp;creator=factset&amp;DYN_ARGS=TRUE&amp;DOC_NAME=FAT:FQL_AUDITING_CLIENT_TEMPLATE.FAT&amp;display_string=Audit&amp;VAR:KEY=HKBOHORGXO&amp;VAR:QUERY=KFBfUFJJQ0UoMzk2MjApLShGRl9DQVNIX1NUKFFUUiwzOTYyMCkvUF9DT01fU0hTX09VVCgzOTYyMCkpKS9GR","V9FU1RJTUFURSgnRVBTJywnTUVBTicsJ0FOTlVBTF9ST0xMJywnKzEnLDM5NjIwLCwsJycp&amp;WINDOW=FIRST_POPUP&amp;HEIGHT=450&amp;WIDTH=450&amp;START_MAXIMIZED=FALSE&amp;VAR:CALENDAR=US&amp;VAR:SYMBOL=98433210&amp;VAR:INDEX=0"}</definedName>
    <definedName name="_8931__FDSAUDITLINK__">{"fdsup://directions/FAT Viewer?action=UPDATE&amp;creator=factset&amp;DYN_ARGS=TRUE&amp;DOC_NAME=FAT:FQL_AUDITING_CLIENT_TEMPLATE.FAT&amp;display_string=Audit&amp;VAR:KEY=HKBOHORGXO&amp;VAR:QUERY=KFBfUFJJQ0UoMzk2MjApLShGRl9DQVNIX1NUKFFUUiwzOTYyMCkvUF9DT01fU0hTX09VVCgzOTYyMCkpKS9GR","V9FU1RJTUFURSgnRVBTJywnTUVBTicsJ0FOTlVBTF9ST0xMJywnKzEnLDM5NjIwLCwsJycp&amp;WINDOW=FIRST_POPUP&amp;HEIGHT=450&amp;WIDTH=450&amp;START_MAXIMIZED=FALSE&amp;VAR:CALENDAR=US&amp;VAR:SYMBOL=98433210&amp;VAR:INDEX=0"}</definedName>
    <definedName name="_8932__FDSAUDITLINK__">{"fdsup://directions/FAT Viewer?action=UPDATE&amp;creator=factset&amp;DYN_ARGS=TRUE&amp;DOC_NAME=FAT:FQL_AUDITING_CLIENT_TEMPLATE.FAT&amp;display_string=Audit&amp;VAR:KEY=HQTKTAVGRQ&amp;VAR:QUERY=KFBfUFJJQ0UoMzk2MTkpLShGRl9DQVNIX1NUKFFUUiwzOTYxOSkvUF9DT01fU0hTX09VVCgzOTYxOSkpKS9GR","V9FU1RJTUFURSgnRVBTJywnTUVBTicsJ0FOTlVBTF9ST0xMJywnKzEnLDM5NjE5LCwsJycp&amp;WINDOW=FIRST_POPUP&amp;HEIGHT=450&amp;WIDTH=450&amp;START_MAXIMIZED=FALSE&amp;VAR:CALENDAR=US&amp;VAR:SYMBOL=98433210&amp;VAR:INDEX=0"}</definedName>
    <definedName name="_8933__FDSAUDITLINK__">{"fdsup://directions/FAT Viewer?action=UPDATE&amp;creator=factset&amp;DYN_ARGS=TRUE&amp;DOC_NAME=FAT:FQL_AUDITING_CLIENT_TEMPLATE.FAT&amp;display_string=Audit&amp;VAR:KEY=HQTKTAVGRQ&amp;VAR:QUERY=KFBfUFJJQ0UoMzk2MTkpLShGRl9DQVNIX1NUKFFUUiwzOTYxOSkvUF9DT01fU0hTX09VVCgzOTYxOSkpKS9GR","V9FU1RJTUFURSgnRVBTJywnTUVBTicsJ0FOTlVBTF9ST0xMJywnKzEnLDM5NjE5LCwsJycp&amp;WINDOW=FIRST_POPUP&amp;HEIGHT=450&amp;WIDTH=450&amp;START_MAXIMIZED=FALSE&amp;VAR:CALENDAR=US&amp;VAR:SYMBOL=98433210&amp;VAR:INDEX=0"}</definedName>
    <definedName name="_8934__FDSAUDITLINK__">{"fdsup://directions/FAT Viewer?action=UPDATE&amp;creator=factset&amp;DYN_ARGS=TRUE&amp;DOC_NAME=FAT:FQL_AUDITING_CLIENT_TEMPLATE.FAT&amp;display_string=Audit&amp;VAR:KEY=DUJERMVWVO&amp;VAR:QUERY=KFBfUFJJQ0UoMzk2MTgpLShGRl9DQVNIX1NUKFFUUiwzOTYxOCkvUF9DT01fU0hTX09VVCgzOTYxOCkpKS9GR","V9FU1RJTUFURSgnRVBTJywnTUVBTicsJ0FOTlVBTF9ST0xMJywnKzEnLDM5NjE4LCwsJycp&amp;WINDOW=FIRST_POPUP&amp;HEIGHT=450&amp;WIDTH=450&amp;START_MAXIMIZED=FALSE&amp;VAR:CALENDAR=US&amp;VAR:SYMBOL=98433210&amp;VAR:INDEX=0"}</definedName>
    <definedName name="_8935__FDSAUDITLINK__">{"fdsup://directions/FAT Viewer?action=UPDATE&amp;creator=factset&amp;DYN_ARGS=TRUE&amp;DOC_NAME=FAT:FQL_AUDITING_CLIENT_TEMPLATE.FAT&amp;display_string=Audit&amp;VAR:KEY=DUJERMVWVO&amp;VAR:QUERY=KFBfUFJJQ0UoMzk2MTgpLShGRl9DQVNIX1NUKFFUUiwzOTYxOCkvUF9DT01fU0hTX09VVCgzOTYxOCkpKS9GR","V9FU1RJTUFURSgnRVBTJywnTUVBTicsJ0FOTlVBTF9ST0xMJywnKzEnLDM5NjE4LCwsJycp&amp;WINDOW=FIRST_POPUP&amp;HEIGHT=450&amp;WIDTH=450&amp;START_MAXIMIZED=FALSE&amp;VAR:CALENDAR=US&amp;VAR:SYMBOL=98433210&amp;VAR:INDEX=0"}</definedName>
    <definedName name="_8936__FDSAUDITLINK__">{"fdsup://directions/FAT Viewer?action=UPDATE&amp;creator=factset&amp;DYN_ARGS=TRUE&amp;DOC_NAME=FAT:FQL_AUDITING_CLIENT_TEMPLATE.FAT&amp;display_string=Audit&amp;VAR:KEY=HWHOTQRWVW&amp;VAR:QUERY=KFBfUFJJQ0UoMzk2MTcpLShGRl9DQVNIX1NUKFFUUiwzOTYxNykvUF9DT01fU0hTX09VVCgzOTYxNykpKS9GR","V9FU1RJTUFURSgnRVBTJywnTUVBTicsJ0FOTlVBTF9ST0xMJywnKzEnLDM5NjE3LCwsJycp&amp;WINDOW=FIRST_POPUP&amp;HEIGHT=450&amp;WIDTH=450&amp;START_MAXIMIZED=FALSE&amp;VAR:CALENDAR=US&amp;VAR:SYMBOL=98433210&amp;VAR:INDEX=0"}</definedName>
    <definedName name="_8937__FDSAUDITLINK__">{"fdsup://directions/FAT Viewer?action=UPDATE&amp;creator=factset&amp;DYN_ARGS=TRUE&amp;DOC_NAME=FAT:FQL_AUDITING_CLIENT_TEMPLATE.FAT&amp;display_string=Audit&amp;VAR:KEY=HWHOTQRWVW&amp;VAR:QUERY=KFBfUFJJQ0UoMzk2MTcpLShGRl9DQVNIX1NUKFFUUiwzOTYxNykvUF9DT01fU0hTX09VVCgzOTYxNykpKS9GR","V9FU1RJTUFURSgnRVBTJywnTUVBTicsJ0FOTlVBTF9ST0xMJywnKzEnLDM5NjE3LCwsJycp&amp;WINDOW=FIRST_POPUP&amp;HEIGHT=450&amp;WIDTH=450&amp;START_MAXIMIZED=FALSE&amp;VAR:CALENDAR=US&amp;VAR:SYMBOL=98433210&amp;VAR:INDEX=0"}</definedName>
    <definedName name="_8938__FDSAUDITLINK__">{"fdsup://directions/FAT Viewer?action=UPDATE&amp;creator=factset&amp;DYN_ARGS=TRUE&amp;DOC_NAME=FAT:FQL_AUDITING_CLIENT_TEMPLATE.FAT&amp;display_string=Audit&amp;VAR:KEY=HCRQLSTQBS&amp;VAR:QUERY=KFBfUFJJQ0UoMzk2MTYpLShGRl9DQVNIX1NUKFFUUiwzOTYxNikvUF9DT01fU0hTX09VVCgzOTYxNikpKS9GR","V9FU1RJTUFURSgnRVBTJywnTUVBTicsJ0FOTlVBTF9ST0xMJywnKzEnLDM5NjE2LCwsJycp&amp;WINDOW=FIRST_POPUP&amp;HEIGHT=450&amp;WIDTH=450&amp;START_MAXIMIZED=FALSE&amp;VAR:CALENDAR=US&amp;VAR:SYMBOL=98433210&amp;VAR:INDEX=0"}</definedName>
    <definedName name="_8939__FDSAUDITLINK__">{"fdsup://directions/FAT Viewer?action=UPDATE&amp;creator=factset&amp;DYN_ARGS=TRUE&amp;DOC_NAME=FAT:FQL_AUDITING_CLIENT_TEMPLATE.FAT&amp;display_string=Audit&amp;VAR:KEY=HCRQLSTQBS&amp;VAR:QUERY=KFBfUFJJQ0UoMzk2MTYpLShGRl9DQVNIX1NUKFFUUiwzOTYxNikvUF9DT01fU0hTX09VVCgzOTYxNikpKS9GR","V9FU1RJTUFURSgnRVBTJywnTUVBTicsJ0FOTlVBTF9ST0xMJywnKzEnLDM5NjE2LCwsJycp&amp;WINDOW=FIRST_POPUP&amp;HEIGHT=450&amp;WIDTH=450&amp;START_MAXIMIZED=FALSE&amp;VAR:CALENDAR=US&amp;VAR:SYMBOL=98433210&amp;VAR:INDEX=0"}</definedName>
    <definedName name="_89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896"}</definedName>
    <definedName name="_8940__FDSAUDITLINK__">{"fdsup://directions/FAT Viewer?action=UPDATE&amp;creator=factset&amp;DYN_ARGS=TRUE&amp;DOC_NAME=FAT:FQL_AUDITING_CLIENT_TEMPLATE.FAT&amp;display_string=Audit&amp;VAR:KEY=PWPSTKHSJC&amp;VAR:QUERY=KFBfUFJJQ0UoMzk2MTUpLShGRl9DQVNIX1NUKFFUUiwzOTYxNSkvUF9DT01fU0hTX09VVCgzOTYxNSkpKS9GR","V9FU1RJTUFURSgnRVBTJywnTUVBTicsJ0FOTlVBTF9ST0xMJywnKzEnLDM5NjE1LCwsJycp&amp;WINDOW=FIRST_POPUP&amp;HEIGHT=450&amp;WIDTH=450&amp;START_MAXIMIZED=FALSE&amp;VAR:CALENDAR=US&amp;VAR:SYMBOL=98433210&amp;VAR:INDEX=0"}</definedName>
    <definedName name="_8941__FDSAUDITLINK__">{"fdsup://directions/FAT Viewer?action=UPDATE&amp;creator=factset&amp;DYN_ARGS=TRUE&amp;DOC_NAME=FAT:FQL_AUDITING_CLIENT_TEMPLATE.FAT&amp;display_string=Audit&amp;VAR:KEY=PWPSTKHSJC&amp;VAR:QUERY=KFBfUFJJQ0UoMzk2MTUpLShGRl9DQVNIX1NUKFFUUiwzOTYxNSkvUF9DT01fU0hTX09VVCgzOTYxNSkpKS9GR","V9FU1RJTUFURSgnRVBTJywnTUVBTicsJ0FOTlVBTF9ST0xMJywnKzEnLDM5NjE1LCwsJycp&amp;WINDOW=FIRST_POPUP&amp;HEIGHT=450&amp;WIDTH=450&amp;START_MAXIMIZED=FALSE&amp;VAR:CALENDAR=US&amp;VAR:SYMBOL=98433210&amp;VAR:INDEX=0"}</definedName>
    <definedName name="_8942__FDSAUDITLINK__">{"fdsup://directions/FAT Viewer?action=UPDATE&amp;creator=factset&amp;DYN_ARGS=TRUE&amp;DOC_NAME=FAT:FQL_AUDITING_CLIENT_TEMPLATE.FAT&amp;display_string=Audit&amp;VAR:KEY=TKRABURIVS&amp;VAR:QUERY=KFBfUFJJQ0UoMzk2MTQpLShGRl9DQVNIX1NUKFFUUiwzOTYxNCkvUF9DT01fU0hTX09VVCgzOTYxNCkpKS9GR","V9FU1RJTUFURSgnRVBTJywnTUVBTicsJ0FOTlVBTF9ST0xMJywnKzEnLDM5NjE0LCwsJycp&amp;WINDOW=FIRST_POPUP&amp;HEIGHT=450&amp;WIDTH=450&amp;START_MAXIMIZED=FALSE&amp;VAR:CALENDAR=US&amp;VAR:SYMBOL=98433210&amp;VAR:INDEX=0"}</definedName>
    <definedName name="_8943__FDSAUDITLINK__">{"fdsup://directions/FAT Viewer?action=UPDATE&amp;creator=factset&amp;DYN_ARGS=TRUE&amp;DOC_NAME=FAT:FQL_AUDITING_CLIENT_TEMPLATE.FAT&amp;display_string=Audit&amp;VAR:KEY=TKRABURIVS&amp;VAR:QUERY=KFBfUFJJQ0UoMzk2MTQpLShGRl9DQVNIX1NUKFFUUiwzOTYxNCkvUF9DT01fU0hTX09VVCgzOTYxNCkpKS9GR","V9FU1RJTUFURSgnRVBTJywnTUVBTicsJ0FOTlVBTF9ST0xMJywnKzEnLDM5NjE0LCwsJycp&amp;WINDOW=FIRST_POPUP&amp;HEIGHT=450&amp;WIDTH=450&amp;START_MAXIMIZED=FALSE&amp;VAR:CALENDAR=US&amp;VAR:SYMBOL=98433210&amp;VAR:INDEX=0"}</definedName>
    <definedName name="_8944__FDSAUDITLINK__">{"fdsup://directions/FAT Viewer?action=UPDATE&amp;creator=factset&amp;DYN_ARGS=TRUE&amp;DOC_NAME=FAT:FQL_AUDITING_CLIENT_TEMPLATE.FAT&amp;display_string=Audit&amp;VAR:KEY=NMLGHMNYBG&amp;VAR:QUERY=KFBfUFJJQ0UoMzk2MTMpLShGRl9DQVNIX1NUKFFUUiwzOTYxMykvUF9DT01fU0hTX09VVCgzOTYxMykpKS9GR","V9FU1RJTUFURSgnRVBTJywnTUVBTicsJ0FOTlVBTF9ST0xMJywnKzEnLDM5NjEzLCwsJycp&amp;WINDOW=FIRST_POPUP&amp;HEIGHT=450&amp;WIDTH=450&amp;START_MAXIMIZED=FALSE&amp;VAR:CALENDAR=US&amp;VAR:SYMBOL=98433210&amp;VAR:INDEX=0"}</definedName>
    <definedName name="_8945__FDSAUDITLINK__">{"fdsup://directions/FAT Viewer?action=UPDATE&amp;creator=factset&amp;DYN_ARGS=TRUE&amp;DOC_NAME=FAT:FQL_AUDITING_CLIENT_TEMPLATE.FAT&amp;display_string=Audit&amp;VAR:KEY=NMLGHMNYBG&amp;VAR:QUERY=KFBfUFJJQ0UoMzk2MTMpLShGRl9DQVNIX1NUKFFUUiwzOTYxMykvUF9DT01fU0hTX09VVCgzOTYxMykpKS9GR","V9FU1RJTUFURSgnRVBTJywnTUVBTicsJ0FOTlVBTF9ST0xMJywnKzEnLDM5NjEzLCwsJycp&amp;WINDOW=FIRST_POPUP&amp;HEIGHT=450&amp;WIDTH=450&amp;START_MAXIMIZED=FALSE&amp;VAR:CALENDAR=US&amp;VAR:SYMBOL=98433210&amp;VAR:INDEX=0"}</definedName>
    <definedName name="_8946__FDSAUDITLINK__">{"fdsup://directions/FAT Viewer?action=UPDATE&amp;creator=factset&amp;DYN_ARGS=TRUE&amp;DOC_NAME=FAT:FQL_AUDITING_CLIENT_TEMPLATE.FAT&amp;display_string=Audit&amp;VAR:KEY=VMLQFEFSBQ&amp;VAR:QUERY=KFBfUFJJQ0UoMzk2MTIpLShGRl9DQVNIX1NUKFFUUiwzOTYxMikvUF9DT01fU0hTX09VVCgzOTYxMikpKS9GR","V9FU1RJTUFURSgnRVBTJywnTUVBTicsJ0FOTlVBTF9ST0xMJywnKzEnLDM5NjEyLCwsJycp&amp;WINDOW=FIRST_POPUP&amp;HEIGHT=450&amp;WIDTH=450&amp;START_MAXIMIZED=FALSE&amp;VAR:CALENDAR=US&amp;VAR:SYMBOL=98433210&amp;VAR:INDEX=0"}</definedName>
    <definedName name="_8947__FDSAUDITLINK__">{"fdsup://directions/FAT Viewer?action=UPDATE&amp;creator=factset&amp;DYN_ARGS=TRUE&amp;DOC_NAME=FAT:FQL_AUDITING_CLIENT_TEMPLATE.FAT&amp;display_string=Audit&amp;VAR:KEY=VMLQFEFSBQ&amp;VAR:QUERY=KFBfUFJJQ0UoMzk2MTIpLShGRl9DQVNIX1NUKFFUUiwzOTYxMikvUF9DT01fU0hTX09VVCgzOTYxMikpKS9GR","V9FU1RJTUFURSgnRVBTJywnTUVBTicsJ0FOTlVBTF9ST0xMJywnKzEnLDM5NjEyLCwsJycp&amp;WINDOW=FIRST_POPUP&amp;HEIGHT=450&amp;WIDTH=450&amp;START_MAXIMIZED=FALSE&amp;VAR:CALENDAR=US&amp;VAR:SYMBOL=98433210&amp;VAR:INDEX=0"}</definedName>
    <definedName name="_8948__FDSAUDITLINK__">{"fdsup://directions/FAT Viewer?action=UPDATE&amp;creator=factset&amp;DYN_ARGS=TRUE&amp;DOC_NAME=FAT:FQL_AUDITING_CLIENT_TEMPLATE.FAT&amp;display_string=Audit&amp;VAR:KEY=HWFCTIBSRM&amp;VAR:QUERY=KFBfUFJJQ0UoMzk2MTEpLShGRl9DQVNIX1NUKFFUUiwzOTYxMSkvUF9DT01fU0hTX09VVCgzOTYxMSkpKS9GR","V9FU1RJTUFURSgnRVBTJywnTUVBTicsJ0FOTlVBTF9ST0xMJywnKzEnLDM5NjExLCwsJycp&amp;WINDOW=FIRST_POPUP&amp;HEIGHT=450&amp;WIDTH=450&amp;START_MAXIMIZED=FALSE&amp;VAR:CALENDAR=US&amp;VAR:SYMBOL=98433210&amp;VAR:INDEX=0"}</definedName>
    <definedName name="_8949__FDSAUDITLINK__">{"fdsup://directions/FAT Viewer?action=UPDATE&amp;creator=factset&amp;DYN_ARGS=TRUE&amp;DOC_NAME=FAT:FQL_AUDITING_CLIENT_TEMPLATE.FAT&amp;display_string=Audit&amp;VAR:KEY=HWFCTIBSRM&amp;VAR:QUERY=KFBfUFJJQ0UoMzk2MTEpLShGRl9DQVNIX1NUKFFUUiwzOTYxMSkvUF9DT01fU0hTX09VVCgzOTYxMSkpKS9GR","V9FU1RJTUFURSgnRVBTJywnTUVBTicsJ0FOTlVBTF9ST0xMJywnKzEnLDM5NjExLCwsJycp&amp;WINDOW=FIRST_POPUP&amp;HEIGHT=450&amp;WIDTH=450&amp;START_MAXIMIZED=FALSE&amp;VAR:CALENDAR=US&amp;VAR:SYMBOL=98433210&amp;VAR:INDEX=0"}</definedName>
    <definedName name="_89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895"}</definedName>
    <definedName name="_8950__FDSAUDITLINK__">{"fdsup://directions/FAT Viewer?action=UPDATE&amp;creator=factset&amp;DYN_ARGS=TRUE&amp;DOC_NAME=FAT:FQL_AUDITING_CLIENT_TEMPLATE.FAT&amp;display_string=Audit&amp;VAR:KEY=LIJADALKNU&amp;VAR:QUERY=KFBfUFJJQ0UoMzk2MTApLShGRl9DQVNIX1NUKFFUUiwzOTYxMCkvUF9DT01fU0hTX09VVCgzOTYxMCkpKS9GR","V9FU1RJTUFURSgnRVBTJywnTUVBTicsJ0FOTlVBTF9ST0xMJywnKzEnLDM5NjEwLCwsJycp&amp;WINDOW=FIRST_POPUP&amp;HEIGHT=450&amp;WIDTH=450&amp;START_MAXIMIZED=FALSE&amp;VAR:CALENDAR=US&amp;VAR:SYMBOL=98433210&amp;VAR:INDEX=0"}</definedName>
    <definedName name="_8951__FDSAUDITLINK__">{"fdsup://directions/FAT Viewer?action=UPDATE&amp;creator=factset&amp;DYN_ARGS=TRUE&amp;DOC_NAME=FAT:FQL_AUDITING_CLIENT_TEMPLATE.FAT&amp;display_string=Audit&amp;VAR:KEY=LIJADALKNU&amp;VAR:QUERY=KFBfUFJJQ0UoMzk2MTApLShGRl9DQVNIX1NUKFFUUiwzOTYxMCkvUF9DT01fU0hTX09VVCgzOTYxMCkpKS9GR","V9FU1RJTUFURSgnRVBTJywnTUVBTicsJ0FOTlVBTF9ST0xMJywnKzEnLDM5NjEwLCwsJycp&amp;WINDOW=FIRST_POPUP&amp;HEIGHT=450&amp;WIDTH=450&amp;START_MAXIMIZED=FALSE&amp;VAR:CALENDAR=US&amp;VAR:SYMBOL=98433210&amp;VAR:INDEX=0"}</definedName>
    <definedName name="_8952__FDSAUDITLINK__">{"fdsup://directions/FAT Viewer?action=UPDATE&amp;creator=factset&amp;DYN_ARGS=TRUE&amp;DOC_NAME=FAT:FQL_AUDITING_CLIENT_TEMPLATE.FAT&amp;display_string=Audit&amp;VAR:KEY=RODCXYNYFW&amp;VAR:QUERY=KFBfUFJJQ0UoMzk2MDkpLShGRl9DQVNIX1NUKFFUUiwzOTYwOSkvUF9DT01fU0hTX09VVCgzOTYwOSkpKS9GR","V9FU1RJTUFURSgnRVBTJywnTUVBTicsJ0FOTlVBTF9ST0xMJywnKzEnLDM5NjA5LCwsJycp&amp;WINDOW=FIRST_POPUP&amp;HEIGHT=450&amp;WIDTH=450&amp;START_MAXIMIZED=FALSE&amp;VAR:CALENDAR=US&amp;VAR:SYMBOL=98433210&amp;VAR:INDEX=0"}</definedName>
    <definedName name="_8953__FDSAUDITLINK__">{"fdsup://directions/FAT Viewer?action=UPDATE&amp;creator=factset&amp;DYN_ARGS=TRUE&amp;DOC_NAME=FAT:FQL_AUDITING_CLIENT_TEMPLATE.FAT&amp;display_string=Audit&amp;VAR:KEY=RODCXYNYFW&amp;VAR:QUERY=KFBfUFJJQ0UoMzk2MDkpLShGRl9DQVNIX1NUKFFUUiwzOTYwOSkvUF9DT01fU0hTX09VVCgzOTYwOSkpKS9GR","V9FU1RJTUFURSgnRVBTJywnTUVBTicsJ0FOTlVBTF9ST0xMJywnKzEnLDM5NjA5LCwsJycp&amp;WINDOW=FIRST_POPUP&amp;HEIGHT=450&amp;WIDTH=450&amp;START_MAXIMIZED=FALSE&amp;VAR:CALENDAR=US&amp;VAR:SYMBOL=98433210&amp;VAR:INDEX=0"}</definedName>
    <definedName name="_8954__FDSAUDITLINK__">{"fdsup://directions/FAT Viewer?action=UPDATE&amp;creator=factset&amp;DYN_ARGS=TRUE&amp;DOC_NAME=FAT:FQL_AUDITING_CLIENT_TEMPLATE.FAT&amp;display_string=Audit&amp;VAR:KEY=BORULMDUFG&amp;VAR:QUERY=KFBfUFJJQ0UoMzk2MDgpLShGRl9DQVNIX1NUKFFUUiwzOTYwOCkvUF9DT01fU0hTX09VVCgzOTYwOCkpKS9GR","V9FU1RJTUFURSgnRVBTJywnTUVBTicsJ0FOTlVBTF9ST0xMJywnKzEnLDM5NjA4LCwsJycp&amp;WINDOW=FIRST_POPUP&amp;HEIGHT=450&amp;WIDTH=450&amp;START_MAXIMIZED=FALSE&amp;VAR:CALENDAR=US&amp;VAR:SYMBOL=98433210&amp;VAR:INDEX=0"}</definedName>
    <definedName name="_8955__FDSAUDITLINK__">{"fdsup://directions/FAT Viewer?action=UPDATE&amp;creator=factset&amp;DYN_ARGS=TRUE&amp;DOC_NAME=FAT:FQL_AUDITING_CLIENT_TEMPLATE.FAT&amp;display_string=Audit&amp;VAR:KEY=BORULMDUFG&amp;VAR:QUERY=KFBfUFJJQ0UoMzk2MDgpLShGRl9DQVNIX1NUKFFUUiwzOTYwOCkvUF9DT01fU0hTX09VVCgzOTYwOCkpKS9GR","V9FU1RJTUFURSgnRVBTJywnTUVBTicsJ0FOTlVBTF9ST0xMJywnKzEnLDM5NjA4LCwsJycp&amp;WINDOW=FIRST_POPUP&amp;HEIGHT=450&amp;WIDTH=450&amp;START_MAXIMIZED=FALSE&amp;VAR:CALENDAR=US&amp;VAR:SYMBOL=98433210&amp;VAR:INDEX=0"}</definedName>
    <definedName name="_89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894"}</definedName>
    <definedName name="_89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893"}</definedName>
    <definedName name="_89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892"}</definedName>
    <definedName name="_89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891"}</definedName>
    <definedName name="_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0.495890&amp;VAR:V=13.765512&amp;VAR:V0=15.485629&amp;VAR:V1=12.368831&amp;VAR:Y0=2009&amp;VAR:Y1=2010&amp;VAR:P=919.323942&amp;VAR:DATE=20090630&amp;VAR:THRESH=-|-|-","|-|-|-|-"}</definedName>
    <definedName name="_90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21.796135&amp;VAR:V0=24.451031&amp;VAR:V1=21.796135&amp;VAR:Y0=2001&amp;VAR:Y1=2002&amp;VAR:P=1148.080000&amp;VAR:DATE=20011231&amp;VAR:THRESH=-|-|","-|-|-|-|-"}</definedName>
    <definedName name="_90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890"}</definedName>
    <definedName name="_90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889"}</definedName>
    <definedName name="_90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888"}</definedName>
    <definedName name="_90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887"}</definedName>
    <definedName name="_90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886"}</definedName>
    <definedName name="_90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885"}</definedName>
    <definedName name="_90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884"}</definedName>
    <definedName name="_90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883"}</definedName>
    <definedName name="_90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882"}</definedName>
    <definedName name="_90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881"}</definedName>
    <definedName name="_91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0.742466&amp;VAR:V=18.714763&amp;VAR:V0=20.678416&amp;VAR:V1=18.117981&amp;VAR:Y0=2001&amp;VAR:Y1=2002&amp;VAR:P=1040.940000&amp;VAR:DATE=20010928&amp;VAR:THRESH=-|-|","-|-|-|-|-"}</definedName>
    <definedName name="_91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880"}</definedName>
    <definedName name="_91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879"}</definedName>
    <definedName name="_91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878"}</definedName>
    <definedName name="_91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877"}</definedName>
    <definedName name="_91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876"}</definedName>
    <definedName name="_91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875"}</definedName>
    <definedName name="_91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874"}</definedName>
    <definedName name="_91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873"}</definedName>
    <definedName name="_91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872"}</definedName>
    <definedName name="_91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871"}</definedName>
    <definedName name="_92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0.493151&amp;VAR:V=21.467032&amp;VAR:V0=22.927110&amp;VAR:V1=20.148277&amp;VAR:Y0=2001&amp;VAR:Y1=2002&amp;VAR:P=1224.420000&amp;VAR:DATE=20010629&amp;VAR:THRESH=-|-|","-|-|-|-|-"}</definedName>
    <definedName name="_92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870"}</definedName>
    <definedName name="_92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869"}</definedName>
    <definedName name="_92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868"}</definedName>
    <definedName name="_92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867"}</definedName>
    <definedName name="_92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866"}</definedName>
    <definedName name="_92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865"}</definedName>
    <definedName name="_92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864"}</definedName>
    <definedName name="_92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863"}</definedName>
    <definedName name="_92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862"}</definedName>
    <definedName name="_92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861"}</definedName>
    <definedName name="_93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0.243836&amp;VAR:V=19.804424&amp;VAR:V0=20.395707&amp;VAR:V1=18.170808&amp;VAR:Y0=2001&amp;VAR:Y1=2002&amp;VAR:P=1160.330000&amp;VAR:DATE=20010330&amp;VAR:THRESH=-|-|","-|-|-|-|-"}</definedName>
    <definedName name="_93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860"}</definedName>
    <definedName name="_93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859"}</definedName>
    <definedName name="_93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858"}</definedName>
    <definedName name="_93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857"}</definedName>
    <definedName name="_93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856"}</definedName>
    <definedName name="_93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855"}</definedName>
    <definedName name="_93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854"}</definedName>
    <definedName name="_93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853"}</definedName>
    <definedName name="_93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852"}</definedName>
    <definedName name="_93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851"}</definedName>
    <definedName name="_94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0.994536&amp;VAR:V=21.855977&amp;VAR:V0=24.588790&amp;VAR:V1=21.842638&amp;VAR:Y0=2000&amp;VAR:Y1=2001&amp;VAR:P=1320.280000&amp;VAR:DATE=20001229&amp;VAR:THRESH=-|-|","-|-|-|-|-"}</definedName>
    <definedName name="_94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850"}</definedName>
    <definedName name="_94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849"}</definedName>
    <definedName name="_94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848"}</definedName>
    <definedName name="_94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847"}</definedName>
    <definedName name="_94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846"}</definedName>
    <definedName name="_94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845"}</definedName>
    <definedName name="_94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844"}</definedName>
    <definedName name="_94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843"}</definedName>
    <definedName name="_94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842"}</definedName>
    <definedName name="_94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841"}</definedName>
    <definedName name="_95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0.745902&amp;VAR:V=23.627023&amp;VAR:V0=26.068801&amp;VAR:V1=22.896434&amp;VAR:Y0=2000&amp;VAR:Y1=2001&amp;VAR:P=1436.510000&amp;VAR:DATE=20000929&amp;VAR:THRESH=-|-|","-|-|-|-|-"}</definedName>
    <definedName name="_95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840"}</definedName>
    <definedName name="_95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839"}</definedName>
    <definedName name="_95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838"}</definedName>
    <definedName name="_95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837"}</definedName>
    <definedName name="_95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836"}</definedName>
    <definedName name="_95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835"}</definedName>
    <definedName name="_95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834"}</definedName>
    <definedName name="_95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833"}</definedName>
    <definedName name="_95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832"}</definedName>
    <definedName name="_95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831"}</definedName>
    <definedName name="_96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0.497268&amp;VAR:V=25.296435&amp;VAR:V0=27.133862&amp;VAR:V1=23.675576&amp;VAR:Y0=2000&amp;VAR:Y1=2001&amp;VAR:P=1454.600000&amp;VAR:DATE=20000630&amp;VAR:THRESH=-|-|","-|-|-|-|-"}</definedName>
    <definedName name="_96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830"}</definedName>
    <definedName name="_96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829"}</definedName>
    <definedName name="_96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828"}</definedName>
    <definedName name="_96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827"}</definedName>
    <definedName name="_96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826"}</definedName>
    <definedName name="_96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825"}</definedName>
    <definedName name="_96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824"}</definedName>
    <definedName name="_96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823"}</definedName>
    <definedName name="_96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822"}</definedName>
    <definedName name="_96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821"}</definedName>
    <definedName name="_97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0.248634&amp;VAR:V=27.255586&amp;VAR:V0=28.303076&amp;VAR:V1=24.513888&amp;VAR:Y0=2000&amp;VAR:Y1=2001&amp;VAR:P=1498.580000&amp;VAR:DATE=20000331&amp;VAR:THRESH=-|-|","-|-|-|-|-"}</definedName>
    <definedName name="_97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820"}</definedName>
    <definedName name="_97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819"}</definedName>
    <definedName name="_97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818"}</definedName>
    <definedName name="_97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817"}</definedName>
    <definedName name="_97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816"}</definedName>
    <definedName name="_97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815"}</definedName>
    <definedName name="_97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814"}</definedName>
    <definedName name="_97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813"}</definedName>
    <definedName name="_97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812"}</definedName>
    <definedName name="_97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811"}</definedName>
    <definedName name="_98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1.000000&amp;VAR:V=27.339865&amp;VAR:V0=32.162697&amp;VAR:V1=27.339865&amp;VAR:Y0=1999&amp;VAR:Y1=2000&amp;VAR:P=1469.250000&amp;VAR:DATE=19991231&amp;VAR:THRESH=-|-|","-|-|-|-|-"}</definedName>
    <definedName name="_98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810"}</definedName>
    <definedName name="_98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809"}</definedName>
    <definedName name="_98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808"}</definedName>
    <definedName name="_98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807"}</definedName>
    <definedName name="_98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806"}</definedName>
    <definedName name="_98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805"}</definedName>
    <definedName name="_98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804"}</definedName>
    <definedName name="_98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803"}</definedName>
    <definedName name="_98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802"}</definedName>
    <definedName name="_98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801"}</definedName>
    <definedName name="_99__FDSAUDITLINK__" hidden="1">{"fdsup://directions/FAT%20Viewer?WINDOW=first_popup&amp;DYN_ARGS=TRUE&amp;START_MAXIMIZED=FALSE&amp;TITLEBAR=FactSet Market Aggregates&amp;ACTION=UPDATE&amp;CREATOR=FACTSET&amp;HEIGHT=450&amp;WIDTH=500&amp;DOC_NAME=FAT:FMA_AUDIT_TM.FAT&amp;VAR:CURRENCY=USD&amp;VAR:AUDIT_ID=00000117&amp;VAR:CALC_MODE","=AGGREGATE&amp;VAR:CHGPERIOD=NA&amp;DISPLAY_STRING=audit&amp;VAR:FQLFORMULA=FMA_PE&amp;VAR:MEASURE=PE&amp;VAR:NULL=.HTML&amp;VAR:TM=NTMA&amp;VAR:PCT=0.747945&amp;VAR:V=23.791249&amp;VAR:V0=26.763909&amp;VAR:V1=22.932870&amp;VAR:Y0=1999&amp;VAR:Y1=2000&amp;VAR:P=1282.710000&amp;VAR:DATE=19990930&amp;VAR:THRESH=-|-|","-|-|-|-|-"}</definedName>
    <definedName name="_990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800"}</definedName>
    <definedName name="_991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799"}</definedName>
    <definedName name="_992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798"}</definedName>
    <definedName name="_993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797"}</definedName>
    <definedName name="_994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796"}</definedName>
    <definedName name="_995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795"}</definedName>
    <definedName name="_996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794"}</definedName>
    <definedName name="_997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793"}</definedName>
    <definedName name="_998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792"}</definedName>
    <definedName name="_999__FDSAUDITLINK__">{"fdsup://directions/FAT Viewer?action=UPDATE&amp;creator=factset&amp;DYN_ARGS=TRUE&amp;DOC_NAME=FAT:FQL_AUDITING_CLIENT_TEMPLATE.FAT&amp;display_string=Audit&amp;VAR:KEY=IFCVKHIVCB&amp;VAR:QUERY=RkZfRU5UUlBSX1ZBTF9FQklUREFfT1BFUihRVFIsLTVBWSxOT1csRCk=&amp;WINDOW=FIRST_POPUP&amp;HEIGHT=45","0&amp;WIDTH=450&amp;START_MAXIMIZED=FALSE&amp;VAR:CALENDAR=US&amp;VAR:SYMBOL=GOOG&amp;VAR:INDEX=791"}</definedName>
    <definedName name="_AA74" hidden="1">#NAME?</definedName>
    <definedName name="_AA76" hidden="1">#NAME?</definedName>
    <definedName name="_AB74" hidden="1">#NAME?</definedName>
    <definedName name="_AB76" hidden="1">#NAME?</definedName>
    <definedName name="_AC74" hidden="1">#NAME?</definedName>
    <definedName name="_AC76" hidden="1">#NAME?</definedName>
    <definedName name="_AD74" hidden="1">#NAME?</definedName>
    <definedName name="_AD76" hidden="1">#NAME?</definedName>
    <definedName name="_AE74" hidden="1">#NAME?</definedName>
    <definedName name="_AE76" hidden="1">#NAME?</definedName>
    <definedName name="_AF74" hidden="1">#NAME?</definedName>
    <definedName name="_AF76" hidden="1">#NAME?</definedName>
    <definedName name="_AG74" hidden="1">#NAME?</definedName>
    <definedName name="_AG76" hidden="1">#NAME?</definedName>
    <definedName name="_AH74" hidden="1">#NAME?</definedName>
    <definedName name="_AH76" hidden="1">#NAME?</definedName>
    <definedName name="_AI74" hidden="1">#NAME?</definedName>
    <definedName name="_AI76" hidden="1">#NAME?</definedName>
    <definedName name="_AJ74" hidden="1">#NAME?</definedName>
    <definedName name="_AJ76" hidden="1">#NAME?</definedName>
    <definedName name="_AK74" hidden="1">#NAME?</definedName>
    <definedName name="_AK76" hidden="1">#NAME?</definedName>
    <definedName name="_AL74" hidden="1">#NAME?</definedName>
    <definedName name="_AL76" hidden="1">#NAME?</definedName>
    <definedName name="_AM74" hidden="1">#NAME?</definedName>
    <definedName name="_AM76" hidden="1">#NAME?</definedName>
    <definedName name="_AN74" hidden="1">#NAME?</definedName>
    <definedName name="_AN76" hidden="1">#NAME?</definedName>
    <definedName name="_AO74" hidden="1">#NAME?</definedName>
    <definedName name="_AO76" hidden="1">#NAME?</definedName>
    <definedName name="_AP74" hidden="1">#NAME?</definedName>
    <definedName name="_AP76" hidden="1">#NAME?</definedName>
    <definedName name="_AQ74" hidden="1">#NAME?</definedName>
    <definedName name="_AQ76" hidden="1">#NAME?</definedName>
    <definedName name="_AR74" hidden="1">#NAME?</definedName>
    <definedName name="_AR76" hidden="1">#NAME?</definedName>
    <definedName name="_AS74" hidden="1">#NAME?</definedName>
    <definedName name="_AS76" hidden="1">#NAME?</definedName>
    <definedName name="_AT74" hidden="1">#NAME?</definedName>
    <definedName name="_AT76" hidden="1">#NAME?</definedName>
    <definedName name="_AU74" hidden="1">#NAME?</definedName>
    <definedName name="_AU76" hidden="1">#NAME?</definedName>
    <definedName name="_AV74" hidden="1">#NAME?</definedName>
    <definedName name="_AV76" hidden="1">#NAME?</definedName>
    <definedName name="_AW74" hidden="1">#NAME?</definedName>
    <definedName name="_AW76" hidden="1">#NAME?</definedName>
    <definedName name="_AX74" hidden="1">#NAME?</definedName>
    <definedName name="_AX76" hidden="1">#NAME?</definedName>
    <definedName name="_AY74" hidden="1">#NAME?</definedName>
    <definedName name="_AY76" hidden="1">#NAME?</definedName>
    <definedName name="_AZ74" hidden="1">#NAME?</definedName>
    <definedName name="_AZ76" hidden="1">#NAME?</definedName>
    <definedName name="_BA74" hidden="1">#NAME?</definedName>
    <definedName name="_BA76" hidden="1">#NAME?</definedName>
    <definedName name="_BB74" hidden="1">#NAME?</definedName>
    <definedName name="_BB76" hidden="1">#NAME?</definedName>
    <definedName name="_BC74" hidden="1">#NAME?</definedName>
    <definedName name="_BC76" hidden="1">#NAME?</definedName>
    <definedName name="_BD74" hidden="1">#NAME?</definedName>
    <definedName name="_BD76" hidden="1">#NAME?</definedName>
    <definedName name="_bdm.088C9128C5A242999468F2E2FF0FC186.edm" hidden="1">#REF!</definedName>
    <definedName name="_bdm.0afd49c6eb184176901d0f1de3c302cd.edm" hidden="1">#REF!</definedName>
    <definedName name="_bdm.1eda58796c5e49d5a380d7c1badf679e.edm" hidden="1">#REF!</definedName>
    <definedName name="_bdm.238b8826c6364b818139f70e2655ee4e.edm" hidden="1">#REF!</definedName>
    <definedName name="_bdm.2F2295348B53496DA8D6E72366770734.edm" hidden="1">#REF!</definedName>
    <definedName name="_bdm.332f6d3d98e342d8a94a3dd0b1298c98.edm" hidden="1">#REF!</definedName>
    <definedName name="_bdm.36490b912bef4697b11e6aa31a3dc78d.edm" hidden="1">#REF!</definedName>
    <definedName name="_bdm.3B43E9FA17D24D3AA6410E0EE3DB69B6.edm" hidden="1">#REF!</definedName>
    <definedName name="_bdm.6354f5cbdd1d48b19b48321255e189bd.edm" hidden="1">#REF!</definedName>
    <definedName name="_bdm.66402320cb2d46dca5379c9a5715a46f.edm" hidden="1">#REF!</definedName>
    <definedName name="_bdm.66b943f9dc65403688ea02fd65ee6abb.edm" hidden="1">#REF!</definedName>
    <definedName name="_bdm.6c4611c799e7439ca2d37fa8d1e02633.edm" hidden="1">#REF!</definedName>
    <definedName name="_bdm.7af948c1737749ba8c767789e2793a3d.edm" hidden="1">#REF!</definedName>
    <definedName name="_bdm.891077aacbcd4d4ba18053d7944efcb5.edm" hidden="1">#REF!</definedName>
    <definedName name="_bdm.90d9eb435f75403695c6933fed791280.edm" hidden="1">#REF!</definedName>
    <definedName name="_bdm.9BFE729AED6D48C69BA2ED2DBE9B8525.edm" hidden="1">#REF!</definedName>
    <definedName name="_bdm.a095f95abc20418f87caa7a4e46b033a.edm" hidden="1">#REF!</definedName>
    <definedName name="_bdm.a6f4ca0dd0bf4916b572150fe5d640aa.edm" hidden="1">#REF!</definedName>
    <definedName name="_bdm.d68d496c80ac4628a5af8ca636dc5327.edm" hidden="1">#REF!</definedName>
    <definedName name="_bdm.DD028030977946FCA2153BC207C0FEE7.edm" hidden="1">#REF!</definedName>
    <definedName name="_bdm.DDFBE4D800F247D388E987A17B3D2F60.edm" hidden="1">#REF!</definedName>
    <definedName name="_bdm.E0286D5673AD49F0A5562E9F901908FD.edm" hidden="1">#REF!</definedName>
    <definedName name="_bdm.F4998EECF06F446A8FB27B337429242A.edm" hidden="1">#REF!</definedName>
    <definedName name="_bdm.FastTrackBookmark.7_17_2019_4_42_29_PM.edm">#REF!</definedName>
    <definedName name="_BE74" hidden="1">#NAME?</definedName>
    <definedName name="_BE76" hidden="1">#NAME?</definedName>
    <definedName name="_BF74" hidden="1">#NAME?</definedName>
    <definedName name="_BF76" hidden="1">#NAME?</definedName>
    <definedName name="_BG74" hidden="1">#NAME?</definedName>
    <definedName name="_BG76" hidden="1">#NAME?</definedName>
    <definedName name="_BH74" hidden="1">#NAME?</definedName>
    <definedName name="_BH76" hidden="1">#NAME?</definedName>
    <definedName name="_BI74" hidden="1">#NAME?</definedName>
    <definedName name="_BI76" hidden="1">#NAME?</definedName>
    <definedName name="_ccVersion">1.75</definedName>
    <definedName name="_cu102.ShareScalingFactor" hidden="1">1000000</definedName>
    <definedName name="_cu103.EmployeeScalingFactor" hidden="1">1000</definedName>
    <definedName name="_cu107.DPSSymbol" hidden="1">"€"</definedName>
    <definedName name="_cu107.EPSSymbol" hidden="1">"€"</definedName>
    <definedName name="_cu71.ScalingFactor" hidden="1">1000000</definedName>
    <definedName name="_Fill" hidden="1">#REF!</definedName>
    <definedName name="_Fill2" hidden="1">#REF!</definedName>
    <definedName name="_Fill3" hidden="1">#REF!</definedName>
    <definedName name="_Fills" hidden="1">#REF!</definedName>
    <definedName name="_FYE2">#REF!</definedName>
    <definedName name="_I74" hidden="1">#NAME?</definedName>
    <definedName name="_I76" hidden="1">#NAME?</definedName>
    <definedName name="_J74" hidden="1">#NAME?</definedName>
    <definedName name="_J76" hidden="1">#NAME?</definedName>
    <definedName name="_K74" hidden="1">#NAME?</definedName>
    <definedName name="_K76" hidden="1">#NAME?</definedName>
    <definedName name="_Key1" hidden="1">#REF!</definedName>
    <definedName name="_L74" hidden="1">#NAME?</definedName>
    <definedName name="_L76" hidden="1">#NAME?</definedName>
    <definedName name="_M74" hidden="1">#NAME?</definedName>
    <definedName name="_M76" hidden="1">#NAME?</definedName>
    <definedName name="_N74" hidden="1">#NAME?</definedName>
    <definedName name="_N76" hidden="1">#NAME?</definedName>
    <definedName name="_O74" hidden="1">#NAME?</definedName>
    <definedName name="_O76" hidden="1">#NAME?</definedName>
    <definedName name="_Order1">255</definedName>
    <definedName name="_Order2">255</definedName>
    <definedName name="_P74" hidden="1">#NAME?</definedName>
    <definedName name="_P76" hidden="1">#NAME?</definedName>
    <definedName name="_Q74" hidden="1">#NAME?</definedName>
    <definedName name="_Q76" hidden="1">#NAME?</definedName>
    <definedName name="_Regression_Int">1</definedName>
    <definedName name="_Regression_Out" hidden="1">#REF!</definedName>
    <definedName name="_Regression_X" hidden="1">#REF!</definedName>
    <definedName name="_Regression_Y" hidden="1">#REF!</definedName>
    <definedName name="_S74" hidden="1">#NAME?</definedName>
    <definedName name="_S76" hidden="1">#NAME?</definedName>
    <definedName name="_Sort" hidden="1">#REF!</definedName>
    <definedName name="_T74" hidden="1">#NAME?</definedName>
    <definedName name="_T76" hidden="1">#NAME?</definedName>
    <definedName name="_Table2_Out" hidden="1">#REF!</definedName>
    <definedName name="_U74" hidden="1">#NAME?</definedName>
    <definedName name="_U76" hidden="1">#NAME?</definedName>
    <definedName name="_V74" hidden="1">#NAME?</definedName>
    <definedName name="_V76" hidden="1">#NAME?</definedName>
    <definedName name="_W74" hidden="1">#NAME?</definedName>
    <definedName name="_W76" hidden="1">#NAME?</definedName>
    <definedName name="_X74" hidden="1">#NAME?</definedName>
    <definedName name="_X76" hidden="1">#NAME?</definedName>
    <definedName name="_Y74" hidden="1">#NAME?</definedName>
    <definedName name="_Y76" hidden="1">#NAME?</definedName>
    <definedName name="_Z74" hidden="1">#NAME?</definedName>
    <definedName name="_Z76" hidden="1">#NAME?</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ctualRevenueUSDMTD">2</definedName>
    <definedName name="ActualRevenueUSDQTD">5</definedName>
    <definedName name="ActualRevenueUSDYTD">8</definedName>
    <definedName name="anscount">1</definedName>
    <definedName name="AS2DocOpenMode" hidden="1">"AS2DocumentEdit"</definedName>
    <definedName name="AS2NamedRange" hidden="1">3</definedName>
    <definedName name="ASSET">#REF!</definedName>
    <definedName name="Associates.F.1998" hidden="1">#REF!</definedName>
    <definedName name="Associates.F.1999" hidden="1">#REF!</definedName>
    <definedName name="BACK_A">#REF!</definedName>
    <definedName name="BadDebtChrg.F.1998" hidden="1">#REF!</definedName>
    <definedName name="BadDebtChrg.F.1999" hidden="1">#REF!</definedName>
    <definedName name="BalSheet" hidden="1">{"closed",#N/A,FALSE,"Consolidated Products - Budget";"expanded",#N/A,FALSE,"Consolidated Products - Budget"}</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5" hidden="1">#REF!</definedName>
    <definedName name="BLPH6" hidden="1">#REF!</definedName>
    <definedName name="BLPH7" hidden="1">#REF!</definedName>
    <definedName name="BLPH8" hidden="1">#REF!</definedName>
    <definedName name="BLPH9" hidden="1">#REF!</definedName>
    <definedName name="BS" hidden="1">{"closed",#N/A,FALSE,"Consolidated Products - Budget";"expanded",#N/A,FALSE,"Consolidated Products - Budget"}</definedName>
    <definedName name="BudgetRevenueUSDMTD">3</definedName>
    <definedName name="BudgetRevenueUSDQTD">6</definedName>
    <definedName name="BudgetRevenueUSDYTD">9</definedName>
    <definedName name="BusSysEA">MATCH("Business Systems Enterprise Agreements", Categories,0)</definedName>
    <definedName name="BusSysEA2">MATCH("Business Systems Enterprise Agreements", Categories,0)</definedName>
    <definedName name="BusSysEALookup">OFFSET(#REF!,BusSysEA,1,BusSysEATotal-BusSysEA,1)</definedName>
    <definedName name="BusSysEATotal">MATCH("Business Systems Enterprise Agreements *", Categories,0)</definedName>
    <definedName name="Cash" hidden="1">{"closed",#N/A,FALSE,"Consolidated Products - Budget";"expanded",#N/A,FALSE,"Consolidated Products - Budget"}</definedName>
    <definedName name="Categories">#REF!</definedName>
    <definedName name="cc_ReportCurrency">"HKD"</definedName>
    <definedName name="cc_ReportCurrencyUnit">"HK$"</definedName>
    <definedName name="cc_ReportCurrencyUnitFactor">1</definedName>
    <definedName name="CDate">TODAY()</definedName>
    <definedName name="chargeoff" hidden="1">{"FTSE100","COMPANIES",TRUE}</definedName>
    <definedName name="CIQWBGuid" hidden="1">"30435a88-43a2-4667-8c1a-bfdc58e19cd0"</definedName>
    <definedName name="CIQWBInfo" hidden="1">"{ ""CIQVersion"":""9.45.614.5792"" }"</definedName>
    <definedName name="clean_spreads">#REF!</definedName>
    <definedName name="Columns">#REF!,#REF!,#REF!,#REF!,#REF!,#REF!,#REF!,#REF!,#REF!,#REF!,#REF!,#REF!,#REF!,#REF!,#REF!,#REF!,#REF!,#REF!,#REF!,#REF!,#REF!,#REF!,#REF!,#REF!,#REF!,#REF!,#REF!,#REF!</definedName>
    <definedName name="CommercialExAIGMetrics">#REF!</definedName>
    <definedName name="CostPerCriticalWatt">#REF!</definedName>
    <definedName name="cu102.ShareScalingFactor" hidden="1">1000000</definedName>
    <definedName name="cu103.EmployeeScalingFactor" hidden="1">1000</definedName>
    <definedName name="cu107.DPSSymbol" hidden="1">"€"</definedName>
    <definedName name="cu107.EPSSymbol" hidden="1">"€"</definedName>
    <definedName name="cu71.ScalingFactor" hidden="1">1000000</definedName>
    <definedName name="data_upload1" hidden="1">#REF!</definedName>
    <definedName name="DB">"WIREHKPROD"</definedName>
    <definedName name="DiscountPercentage">#REF!</definedName>
    <definedName name="Divisions">OFFSET(#REF!,0,-1)</definedName>
    <definedName name="DPS.F.1998" hidden="1">#REF!</definedName>
    <definedName name="DPS.F.1999" hidden="1">#REF!</definedName>
    <definedName name="dsaf" hidden="1">{"one",#N/A,FALSE,"cf";"two",#N/A,FALSE,"cf"}</definedName>
    <definedName name="Earnings.F.1997" hidden="1">#REF!</definedName>
    <definedName name="Earnings.F.1998" hidden="1">#REF!</definedName>
    <definedName name="Earnings.F.1999" hidden="1">#REF!</definedName>
    <definedName name="ef" hidden="1">{#N/A,#N/A,FALSE,"Aging Summary";#N/A,#N/A,FALSE,"Ratio Analysis";#N/A,#N/A,FALSE,"Test 120 Day Accts";#N/A,#N/A,FALSE,"Tickmarks"}</definedName>
    <definedName name="email">"iain.reed@clsa.com"</definedName>
    <definedName name="EPS.F.1998" hidden="1">#REF!</definedName>
    <definedName name="EPS.F.1999" hidden="1">#REF!</definedName>
    <definedName name="esnrc100c1_values" hidden="1">{"FTSE100","COMPANIES",TRUE}</definedName>
    <definedName name="esnrc33c1_values" hidden="1">{"EUMOT","COMPANIES",TRUE}</definedName>
    <definedName name="esnrc56c1_values" hidden="1">{"ASCONGRP","COMPANIES",TRUE}</definedName>
    <definedName name="esnrc63c1_values" hidden="1">{"EUUTIGRP","COMPANIES",TRUE}</definedName>
    <definedName name="esnrc91c1_values" hidden="1">{"EUUTI","COMPANIES",TRUE}</definedName>
    <definedName name="EV__LASTREFTIME__" hidden="1">39196.6721643519</definedName>
    <definedName name="Ex8216DownPorts">#REF!</definedName>
    <definedName name="FTPFile">"CommandButton1"</definedName>
    <definedName name="FXVarianceMTD">4</definedName>
    <definedName name="FXVarianceQTD">7</definedName>
    <definedName name="FXVarianceYTD">10</definedName>
    <definedName name="g" hidden="1">#REF!</definedName>
    <definedName name="geogsp">"Chart 2"</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OTAL" hidden="1">#REF!</definedName>
    <definedName name="gls_PERIOD_TYPE" hidden="1">#REF!</definedName>
    <definedName name="gls_PrincipalStockClass" hidden="1">#REF!</definedName>
    <definedName name="gls_Recommendations" hidden="1">#REF!</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REQ"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reetings">MATCH("Grtgs WS, PictureIt, Other DAD", Categories,0)</definedName>
    <definedName name="GreetingsLookup">OFFSET(#REF!,Greetings,1,GreetingsTotal-Greetings,1)</definedName>
    <definedName name="GreetingsTotal">MATCH("Grtgs WS, PictureIt, Other DAD *", Categories,0)</definedName>
    <definedName name="HTML_CodePage" hidden="1">1252</definedName>
    <definedName name="HTML_Control" hidden="1">{"'2.1'!$E$2:$O$37"}</definedName>
    <definedName name="HTML_Control_new" hidden="1">{"'Sheet1'!$A$1:$I$10","'Sheet1'!$A$1:$I$11"}</definedName>
    <definedName name="HTML_Control1" hidden="1">{"'Industry'!$A$1:$M$85","'Industry'!$I$20:$M$45"}</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"G:\framemaker\PubHTML\worldcellular99\charts\2_1.htm"</definedName>
    <definedName name="HTML_Title" hidden="1">"Chapter 2"</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ictsymbol">"$"</definedName>
    <definedName name="icusymbol">"$"</definedName>
    <definedName name="Img_ML_1a1a3c1a" hidden="1">"IMG_25"</definedName>
    <definedName name="Img_ML_1a2b2b8h" hidden="1">"IMG_5"</definedName>
    <definedName name="Img_ML_1a3c4d1a" hidden="1">"IMG_26"</definedName>
    <definedName name="Img_ML_1a7g4d7g" hidden="1">"IMG_5"</definedName>
    <definedName name="Img_ML_1y7a6c1t" hidden="1">"IMG_10"</definedName>
    <definedName name="Img_ML_2b5e2b7g" hidden="1">"IMG_25"</definedName>
    <definedName name="Img_ML_2b5e6f5e" hidden="1">"IMG_5"</definedName>
    <definedName name="Img_ML_2b6f5e1a" hidden="1">"IMG_5"</definedName>
    <definedName name="Img_ML_2b9i6f3c" hidden="1">"IMG_25"</definedName>
    <definedName name="Img_ML_2b9i8h4d" hidden="1">"IMG_5"</definedName>
    <definedName name="Img_ML_2j4h5d5y" hidden="1">"IMG_11"</definedName>
    <definedName name="Img_ML_2x8r4a2e">"IMG_10"</definedName>
    <definedName name="Img_ML_3b3j3x9k" hidden="1">"IMG_10"</definedName>
    <definedName name="Img_ML_3c4d1a4d" hidden="1">"IMG_5"</definedName>
    <definedName name="Img_ML_3c4d2b5e" hidden="1">"IMG_25"</definedName>
    <definedName name="Img_ML_3c7g1a7g" hidden="1">"IMG_5"</definedName>
    <definedName name="Img_ML_3c9i5e1a" hidden="1">"IMG_25"</definedName>
    <definedName name="Img_ML_3e2q4k7i" hidden="1">"IMG_10"</definedName>
    <definedName name="Img_ML_3h2n3p4v" hidden="1">"IMG_17"</definedName>
    <definedName name="Img_ML_3p5d9q5j" hidden="1">"IMG_55"</definedName>
    <definedName name="Img_ML_3s1w4i6p" hidden="1">"IMG_10"</definedName>
    <definedName name="Img_ML_3y1j4m2m" hidden="1">"IMG_55"</definedName>
    <definedName name="Img_ML_4d3c1a7g" hidden="1">"IMG_25"</definedName>
    <definedName name="Img_ML_4d4d2b7g" hidden="1">"IMG_5"</definedName>
    <definedName name="Img_ML_4d4d4d2b" hidden="1">"IMG_5"</definedName>
    <definedName name="Img_ML_4d7g8h3c" hidden="1">"IMG_5"</definedName>
    <definedName name="Img_ML_4m3p5r8j" hidden="1">"IMG_17"</definedName>
    <definedName name="Img_ML_5e1a9i4d" hidden="1">"IMG_5"</definedName>
    <definedName name="Img_ML_5e8h1a2b" hidden="1">"IMG_25"</definedName>
    <definedName name="Img_ML_5e8h5e2b" hidden="1">"IMG_25"</definedName>
    <definedName name="Img_ML_5h6q3g8u" hidden="1">"IMG_10"</definedName>
    <definedName name="Img_ML_5k1g6v5e">"IMG_11"</definedName>
    <definedName name="Img_ML_6f2p1m9g" hidden="1">"IMG_10"</definedName>
    <definedName name="Img_ML_6f9i2b5e">"IMG_18"</definedName>
    <definedName name="Img_ML_6f9i2b6f" hidden="1">"IMG_5"</definedName>
    <definedName name="Img_ML_6j4v6x5i" hidden="1">"IMG_11"</definedName>
    <definedName name="Img_ML_6k7v5o9z" hidden="1">"IMG_10"</definedName>
    <definedName name="Img_ML_6r9u1n9k" hidden="1">"IMG_55"</definedName>
    <definedName name="Img_ML_6w6m7b7r" hidden="1">"IMG_18"</definedName>
    <definedName name="Img_ML_7g1a3c1a" hidden="1">"IMG_5"</definedName>
    <definedName name="Img_ML_7g5e5e2b" hidden="1">"IMG_4"</definedName>
    <definedName name="Img_ML_7g7g3c4d" hidden="1">"IMG_5"</definedName>
    <definedName name="Img_ML_7m5m4k3b">"IMG_6"</definedName>
    <definedName name="Img_ML_7n6h3t1t">"IMG_10"</definedName>
    <definedName name="Img_ML_8b9j5t1p">"IMG_10"</definedName>
    <definedName name="Img_ML_8h1a6f9i" hidden="1">"IMG_25"</definedName>
    <definedName name="Img_ML_8h5e9i3c" hidden="1">"IMG_4"</definedName>
    <definedName name="Img_ML_8h7g3c9i" hidden="1">"IMG_3"</definedName>
    <definedName name="Img_ML_8h7g4d4d" hidden="1">"IMG_4"</definedName>
    <definedName name="Img_ML_8h8h1a1a" hidden="1">"IMG_5"</definedName>
    <definedName name="Img_ML_8h8h1a6f" hidden="1">"IMG_5"</definedName>
    <definedName name="Img_ML_8i9u7w8k">"IMG_10"</definedName>
    <definedName name="Img_ML_8j3w6p4c" hidden="1">"IMG_6"</definedName>
    <definedName name="Img_ML_8r1k8t4y">"IMG_10"</definedName>
    <definedName name="Img_ML_9i5e8h7g" hidden="1">"IMG_26"</definedName>
    <definedName name="Img_ML_9i6f5e3c" hidden="1">"IMG_5"</definedName>
    <definedName name="Img_ML_9i8h5e7g" hidden="1">"IMG_25"</definedName>
    <definedName name="Img_ML_9i9i4d2b" hidden="1">"IMG_26"</definedName>
    <definedName name="ImpOM">#REF!</definedName>
    <definedName name="InfrastructureCostPerWattPerYear">#REF!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ASH_DIVIDENDS_NET_INCOME_FDIC" hidden="1">"c6738"</definedName>
    <definedName name="IQ_CASH_IN_PROCESS_FDIC" hidden="1">"c6386"</definedName>
    <definedName name="IQ_CASH_OPER_ACT_OR_EST" hidden="1">"c4164"</definedName>
    <definedName name="IQ_CCE_FDIC" hidden="1">"c6296"</definedName>
    <definedName name="IQ_CH" hidden="1">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 hidden="1">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IMATED_ASSESSABLE_DEPOSITS_FDIC" hidden="1">"c6490"</definedName>
    <definedName name="IQ_ESTIMATED_INSURED_DEPOSITS_FDIC" hidden="1">"c6491"</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 hidden="1">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 hidden="1">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FY" hidden="1">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MONTH" hidden="1">120000</definedName>
    <definedName name="IQ_MAINT_CAPEX_ACT_OR_EST" hidden="1">"c4458"</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EY_MARKET_DEPOSIT_ACCOUNTS_FDIC" hidden="1">"c6553"</definedName>
    <definedName name="IQ_MONTH" hidden="1">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42579.6437152777</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 hidden="1">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PENED55" hidden="1">1</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RCENT_CHANGE_EST_FFO_12MONTHS" hidden="1">"c1828"</definedName>
    <definedName name="IQ_PERCENT_CHANGE_EST_FFO_12MONTHS_CIQ" hidden="1">"c3769"</definedName>
    <definedName name="IQ_PERCENT_CHANGE_EST_FFO_18MONTHS" hidden="1">"c1829"</definedName>
    <definedName name="IQ_PERCENT_CHANGE_EST_FFO_18MONTHS_CIQ" hidden="1">"c3770"</definedName>
    <definedName name="IQ_PERCENT_CHANGE_EST_FFO_3MONTHS" hidden="1">"c1825"</definedName>
    <definedName name="IQ_PERCENT_CHANGE_EST_FFO_3MONTHS_CIQ" hidden="1">"c3766"</definedName>
    <definedName name="IQ_PERCENT_CHANGE_EST_FFO_6MONTHS" hidden="1">"c1826"</definedName>
    <definedName name="IQ_PERCENT_CHANGE_EST_FFO_6MONTHS_CIQ" hidden="1">"c3767"</definedName>
    <definedName name="IQ_PERCENT_CHANGE_EST_FFO_9MONTHS" hidden="1">"c1827"</definedName>
    <definedName name="IQ_PERCENT_CHANGE_EST_FFO_9MONTHS_CIQ" hidden="1">"c3768"</definedName>
    <definedName name="IQ_PERCENT_CHANGE_EST_FFO_DAY" hidden="1">"c1822"</definedName>
    <definedName name="IQ_PERCENT_CHANGE_EST_FFO_DAY_CIQ" hidden="1">"c3764"</definedName>
    <definedName name="IQ_PERCENT_CHANGE_EST_FFO_MONTH" hidden="1">"c1824"</definedName>
    <definedName name="IQ_PERCENT_CHANGE_EST_FFO_MONTH_CIQ" hidden="1">"c3765"</definedName>
    <definedName name="IQ_PERCENT_CHANGE_EST_FFO_WEEK" hidden="1">"c1823"</definedName>
    <definedName name="IQ_PERCENT_CHANGE_EST_FFO_WEEK_CIQ" hidden="1">"c3795"</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 hidden="1">50000</definedName>
    <definedName name="IQ_WRITTEN_OPTION_CONTRACTS_FDIC" hidden="1">"c6509"</definedName>
    <definedName name="IQ_WRITTEN_OPTION_CONTRACTS_FX_RISK_FDIC" hidden="1">"c6514"</definedName>
    <definedName name="IQ_WRITTEN_OPTION_CONTRACTS_NON_FX_IR_FDIC" hidden="1">"c6519"</definedName>
    <definedName name="IQ_YTD" hidden="1">3000</definedName>
    <definedName name="IQ_YTDMONTH" hidden="1">130000</definedName>
    <definedName name="IQB_BOOKMARK_COUNT" hidden="1">0</definedName>
    <definedName name="IQRA1" hidden="1">"$A$2:$A$21"</definedName>
    <definedName name="IQRB60" hidden="1">"$B$61:$B$426"</definedName>
    <definedName name="IQRC35" hidden="1">"$C$36:$C$45"</definedName>
    <definedName name="IQRCoverAN35" hidden="1">#REF!</definedName>
    <definedName name="IQRDX2" hidden="1">"$DX$3:$DX$17"</definedName>
    <definedName name="IQRPriceB4" hidden="1">#REF!</definedName>
    <definedName name="IQRPriceC4" hidden="1">#REF!</definedName>
    <definedName name="IQRPriceD4" hidden="1">#REF!</definedName>
    <definedName name="IQRPriceE4" hidden="1">#REF!</definedName>
    <definedName name="IQRPriceF4" hidden="1">#REF!</definedName>
    <definedName name="IQRPriceG4" hidden="1">#REF!</definedName>
    <definedName name="IQRS282" hidden="1">"$S$283:$S$344"</definedName>
    <definedName name="IQRSheet3C26" hidden="1">#REF!</definedName>
    <definedName name="IQRTrailingPBD19" hidden="1">#REF!</definedName>
    <definedName name="iQShowHideColumns" hidden="1">"iQShowAnnual"</definedName>
    <definedName name="is">#REF!</definedName>
    <definedName name="iue">0.01</definedName>
    <definedName name="iuesymbol">"c"</definedName>
    <definedName name="iun">1000000</definedName>
    <definedName name="iunsymbol">"$m"</definedName>
    <definedName name="LastPivotRow">COUNTA(#REF!)+ROW(#REF!)-1</definedName>
    <definedName name="limcount" hidden="1">1</definedName>
    <definedName name="MBV" hidden="1">{"closed",#N/A,FALSE,"Consolidated Products - Budget";"expanded",#N/A,FALSE,"Consolidated Products - Budget"}</definedName>
    <definedName name="Months">{"January","February","March","April","May","June","July","August","September","October","November","December"}</definedName>
    <definedName name="MSBudgetAdjAmount">14</definedName>
    <definedName name="MSBudgetAmount">1</definedName>
    <definedName name="MSBudgetLicenses">7</definedName>
    <definedName name="MSSalesAdjAmount">4</definedName>
    <definedName name="MSSalesAmount">0</definedName>
    <definedName name="MSSalesLicenses">9</definedName>
    <definedName name="MSSalesScndryLicenses">10</definedName>
    <definedName name="munit">"Bt"</definedName>
    <definedName name="NCIOebipre_legend">IF(tType = "N","EV/Ebitda", "Pre-Provision Profits")</definedName>
    <definedName name="NCIOebipre_title">IF(tType = "N","EV/Ebitda bands", "Pre-Provision Profits bands")</definedName>
    <definedName name="NCIOsaldep_legend">IF(tType = "N","EV/Sales (rhs)", "Price to Op revenue (rhs)")</definedName>
    <definedName name="NCIOsaldep_title">IF(tType = "N","EV/Sales bands", "Price to Deposits bands")</definedName>
    <definedName name="NetGearTotalCost">#REF!</definedName>
    <definedName name="NetIntIncome.F.1997" hidden="1">#REF!</definedName>
    <definedName name="NetIntIncome.F.1998" hidden="1">#REF!</definedName>
    <definedName name="NetIntIncome.F.1999" hidden="1">#REF!</definedName>
    <definedName name="NetworkAmortization">#REF!</definedName>
    <definedName name="NetworkLoad">#REF!</definedName>
    <definedName name="new_name" hidden="1">{#N/A,#N/A,FALSE,"Aging Summary";#N/A,#N/A,FALSE,"Ratio Analysis";#N/A,#N/A,FALSE,"Test 120 Day Accts";#N/A,#N/A,FALSE,"Tickmarks"}</definedName>
    <definedName name="NumPTRows">#N/A</definedName>
    <definedName name="OtherExceptionals.F.1998" hidden="1">#REF!</definedName>
    <definedName name="OtherExceptionals.F.1999" hidden="1">#REF!</definedName>
    <definedName name="Pivot2" hidden="1">{"closed",#N/A,FALSE,"Consolidated Products - Budget";"expanded",#N/A,FALSE,"Consolidated Products - Budget"}</definedName>
    <definedName name="PivotRows">COUNT(OFFSET(PivotTop,1,2,250))</definedName>
    <definedName name="PivotTable5.doc" hidden="1">#REF!</definedName>
    <definedName name="PivotTable8.doc" hidden="1">#REF!</definedName>
    <definedName name="PowerCostPerWattPerYear">#REF!</definedName>
    <definedName name="prange">F_INCOME,F_BALANCE,f_free_cash_flow,f_ratios,f_valuation</definedName>
    <definedName name="_xlnm.Print_Titles">#REF!,#REF!</definedName>
    <definedName name="protect">"True"</definedName>
    <definedName name="PTtop">#REF!</definedName>
    <definedName name="PXEPS.F.1998" hidden="1">#REF!</definedName>
    <definedName name="PXEPS.F.1999" hidden="1">#REF!</definedName>
    <definedName name="RackCount">#REF!</definedName>
    <definedName name="RelTitle">"IndexName"</definedName>
    <definedName name="SalesLocations">#REF!:#REF!</definedName>
    <definedName name="scenario">#REF!</definedName>
    <definedName name="sdfa" hidden="1">{"FTSE100","COMPANIES",TRUE}</definedName>
    <definedName name="secsplit">"Chart 3"</definedName>
    <definedName name="sencount">1</definedName>
    <definedName name="sencount2" hidden="1">2</definedName>
    <definedName name="ServersPerRack">#REF!</definedName>
    <definedName name="sh">#REF!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49</definedName>
    <definedName name="SpaceBetweenColumns">#REF!,#REF!,#REF!,#REF!,#REF!,#REF!,#REF!,#REF!,#REF!,#REF!,#REF!,#REF!,#REF!,#REF!,#REF!,#REF!,#REF!,#REF!,#REF!,#REF!,#REF!,#REF!,#REF!,#REF!,#REF!,#REF!,#REF!,#REF!</definedName>
    <definedName name="StandAlone">"$B$12"</definedName>
    <definedName name="StandAloneStandard">MATCH("Standalone office apps - standard", Categories,0)</definedName>
    <definedName name="StandAloneStandardLookup">OFFSET(#REF!,StandAloneStandard,1,StandAloneStandardTotal-StandAloneStandard,1)</definedName>
    <definedName name="StandAloneStandardTotal">MATCH("Standalone Office Apps - Standard?*", Categories,0)</definedName>
    <definedName name="StandAloneUpgrade">MATCH("Standalone office apps - upgrade", Categories,0)</definedName>
    <definedName name="StandAloneUpgradeLookup">OFFSET(#REF!,StandAloneUpgrade,1,StandAloneUpgradeTotal-StandAloneUpgrade,1)</definedName>
    <definedName name="StandAloneUpgradeTotal">MATCH("Standalone Office Apps - Upgrade?*", Categories,0)</definedName>
    <definedName name="SumCur">#REF!</definedName>
    <definedName name="summary" hidden="1">{"closed",#N/A,FALSE,"Consolidated Products - Budget";"expanded",#N/A,FALSE,"Consolidated Products - Budget"}</definedName>
    <definedName name="Tax.F.1998" hidden="1">#REF!</definedName>
    <definedName name="Tax.F.1999" hidden="1">#REF!</definedName>
    <definedName name="test2" hidden="1">#REF!</definedName>
    <definedName name="test3" hidden="1">{"EUMOT","COMPANIES",TRUE}</definedName>
    <definedName name="test4" hidden="1">{"ASCONGRP","COMPANIES",TRUE}</definedName>
    <definedName name="test5" hidden="1">{"EUUTIGRP","COMPANIES",TRUE}</definedName>
    <definedName name="test6" hidden="1">{"EUUTI","COMPANIES",TRUE}</definedName>
    <definedName name="TotalLoad">#REF!</definedName>
    <definedName name="TotCosts.F.1998" hidden="1">#REF!</definedName>
    <definedName name="TotCosts.F.1999" hidden="1">#REF!</definedName>
    <definedName name="TotOtherIncome.F.1998" hidden="1">#REF!</definedName>
    <definedName name="TotOtherIncome.F.1999" hidden="1">#REF!</definedName>
    <definedName name="tType">"N"</definedName>
    <definedName name="WattsCriticalLoad">#REF!</definedName>
    <definedName name="WattsPerServer">#REF!</definedName>
    <definedName name="wrn.Aging._.and._.Trend._.Analysis." hidden="1">{#N/A,#N/A,FALSE,"Aging Summary";#N/A,#N/A,FALSE,"Ratio Analysis";#N/A,#N/A,FALSE,"Test 120 Day Accts";#N/A,#N/A,FALSE,"Tickmarks"}</definedName>
    <definedName name="wrn.cf." hidden="1">{"one",#N/A,FALSE,"cf";"two",#N/A,FALSE,"cf"}</definedName>
    <definedName name="wrn.euro." hidden="1">{#N/A,#N/A,FALSE,"Austria"}</definedName>
    <definedName name="wrn.prodcon." hidden="1">{"closed",#N/A,FALSE,"Consolidated Products - Budget";"expanded",#N/A,FALSE,"Consolidated Products - Budget"}</definedName>
    <definedName name="x" hidden="1">#REF!</definedName>
    <definedName name="XRefCopy1" hidden="1">#REF!</definedName>
    <definedName name="XRefCopy2" hidden="1">#REF!</definedName>
    <definedName name="XRefCopyRangeCount" hidden="1">2</definedName>
    <definedName name="YEAR2">#REF!</definedName>
    <definedName name="zz" hidden="1">{"'MObitel Pricing'!$B$2:$G$12","'MObitel Pricing'!$G$15"}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7" l="1"/>
  <c r="C97" i="9"/>
  <c r="K97" i="9" s="1"/>
  <c r="B97" i="9"/>
  <c r="C96" i="9"/>
  <c r="O96" i="9" s="1"/>
  <c r="B96" i="9"/>
  <c r="C95" i="9"/>
  <c r="M95" i="9" s="1"/>
  <c r="B95" i="9"/>
  <c r="C94" i="9"/>
  <c r="M94" i="9" s="1"/>
  <c r="B94" i="9"/>
  <c r="C93" i="9"/>
  <c r="D93" i="9" s="1"/>
  <c r="B93" i="9"/>
  <c r="C92" i="9"/>
  <c r="O92" i="9" s="1"/>
  <c r="B92" i="9"/>
  <c r="C91" i="9"/>
  <c r="O91" i="9" s="1"/>
  <c r="B91" i="9"/>
  <c r="C90" i="9"/>
  <c r="B90" i="9"/>
  <c r="C89" i="9"/>
  <c r="M89" i="9" s="1"/>
  <c r="B89" i="9"/>
  <c r="C88" i="9"/>
  <c r="O88" i="9" s="1"/>
  <c r="B88" i="9"/>
  <c r="C87" i="9"/>
  <c r="B87" i="9"/>
  <c r="C86" i="9"/>
  <c r="M86" i="9" s="1"/>
  <c r="B86" i="9"/>
  <c r="C85" i="9"/>
  <c r="D85" i="9" s="1"/>
  <c r="B85" i="9"/>
  <c r="C84" i="9"/>
  <c r="K84" i="9" s="1"/>
  <c r="B84" i="9"/>
  <c r="C83" i="9"/>
  <c r="G83" i="9" s="1"/>
  <c r="B83" i="9"/>
  <c r="C82" i="9"/>
  <c r="I82" i="9" s="1"/>
  <c r="B82" i="9"/>
  <c r="C79" i="9"/>
  <c r="O79" i="9" s="1"/>
  <c r="B79" i="9"/>
  <c r="C78" i="9"/>
  <c r="O78" i="9" s="1"/>
  <c r="B78" i="9"/>
  <c r="C75" i="9"/>
  <c r="B75" i="9"/>
  <c r="C74" i="9"/>
  <c r="O74" i="9" s="1"/>
  <c r="B74" i="9"/>
  <c r="C73" i="9"/>
  <c r="D73" i="9" s="1"/>
  <c r="B73" i="9"/>
  <c r="C72" i="9"/>
  <c r="B72" i="9"/>
  <c r="C71" i="9"/>
  <c r="E71" i="9" s="1"/>
  <c r="B71" i="9"/>
  <c r="C70" i="9"/>
  <c r="K70" i="9" s="1"/>
  <c r="B70" i="9"/>
  <c r="C69" i="9"/>
  <c r="I69" i="9" s="1"/>
  <c r="B69" i="9"/>
  <c r="C68" i="9"/>
  <c r="E68" i="9" s="1"/>
  <c r="B68" i="9"/>
  <c r="C67" i="9"/>
  <c r="D67" i="9" s="1"/>
  <c r="B67" i="9"/>
  <c r="C66" i="9"/>
  <c r="O66" i="9" s="1"/>
  <c r="B66" i="9"/>
  <c r="C65" i="9"/>
  <c r="D65" i="9" s="1"/>
  <c r="B65" i="9"/>
  <c r="C64" i="9"/>
  <c r="B64" i="9"/>
  <c r="C63" i="9"/>
  <c r="G63" i="9" s="1"/>
  <c r="B63" i="9"/>
  <c r="C62" i="9"/>
  <c r="K62" i="9" s="1"/>
  <c r="B62" i="9"/>
  <c r="C61" i="9"/>
  <c r="I61" i="9" s="1"/>
  <c r="B61" i="9"/>
  <c r="C58" i="9"/>
  <c r="M58" i="9" s="1"/>
  <c r="B58" i="9"/>
  <c r="C57" i="9"/>
  <c r="O57" i="9" s="1"/>
  <c r="B57" i="9"/>
  <c r="C56" i="9"/>
  <c r="B56" i="9"/>
  <c r="C55" i="9"/>
  <c r="M55" i="9" s="1"/>
  <c r="B55" i="9"/>
  <c r="C54" i="9"/>
  <c r="E54" i="9" s="1"/>
  <c r="B54" i="9"/>
  <c r="C53" i="9"/>
  <c r="G53" i="9" s="1"/>
  <c r="B53" i="9"/>
  <c r="C52" i="9"/>
  <c r="M52" i="9" s="1"/>
  <c r="B52" i="9"/>
  <c r="C51" i="9"/>
  <c r="K51" i="9" s="1"/>
  <c r="B51" i="9"/>
  <c r="C50" i="9"/>
  <c r="B50" i="9"/>
  <c r="C49" i="9"/>
  <c r="B49" i="9"/>
  <c r="C48" i="9"/>
  <c r="K48" i="9" s="1"/>
  <c r="B48" i="9"/>
  <c r="C47" i="9"/>
  <c r="B47" i="9"/>
  <c r="C46" i="9"/>
  <c r="B46" i="9"/>
  <c r="C45" i="9"/>
  <c r="O45" i="9" s="1"/>
  <c r="B45" i="9"/>
  <c r="C44" i="9"/>
  <c r="K44" i="9" s="1"/>
  <c r="B44" i="9"/>
  <c r="C43" i="9"/>
  <c r="B43" i="9"/>
  <c r="C42" i="9"/>
  <c r="B42" i="9"/>
  <c r="C41" i="9"/>
  <c r="O41" i="9" s="1"/>
  <c r="B41" i="9"/>
  <c r="C40" i="9"/>
  <c r="B40" i="9"/>
  <c r="C39" i="9"/>
  <c r="M39" i="9" s="1"/>
  <c r="B39" i="9"/>
  <c r="C38" i="9"/>
  <c r="O38" i="9" s="1"/>
  <c r="B38" i="9"/>
  <c r="C37" i="9"/>
  <c r="I37" i="9" s="1"/>
  <c r="B37" i="9"/>
  <c r="C36" i="9"/>
  <c r="I36" i="9" s="1"/>
  <c r="B36" i="9"/>
  <c r="C33" i="9"/>
  <c r="O33" i="9" s="1"/>
  <c r="B33" i="9"/>
  <c r="C32" i="9"/>
  <c r="O32" i="9" s="1"/>
  <c r="B32" i="9"/>
  <c r="C31" i="9"/>
  <c r="D31" i="9" s="1"/>
  <c r="B31" i="9"/>
  <c r="C30" i="9"/>
  <c r="B30" i="9"/>
  <c r="C29" i="9"/>
  <c r="D29" i="9" s="1"/>
  <c r="B29" i="9"/>
  <c r="C28" i="9"/>
  <c r="K28" i="9" s="1"/>
  <c r="B28" i="9"/>
  <c r="C27" i="9"/>
  <c r="I27" i="9" s="1"/>
  <c r="B27" i="9"/>
  <c r="C26" i="9"/>
  <c r="I26" i="9" s="1"/>
  <c r="B26" i="9"/>
  <c r="C25" i="9"/>
  <c r="E25" i="9" s="1"/>
  <c r="B25" i="9"/>
  <c r="C24" i="9"/>
  <c r="O24" i="9" s="1"/>
  <c r="B24" i="9"/>
  <c r="C23" i="9"/>
  <c r="G23" i="9" s="1"/>
  <c r="B23" i="9"/>
  <c r="C22" i="9"/>
  <c r="M22" i="9" s="1"/>
  <c r="B22" i="9"/>
  <c r="C21" i="9"/>
  <c r="B21" i="9"/>
  <c r="C18" i="9"/>
  <c r="E18" i="9" s="1"/>
  <c r="B18" i="9"/>
  <c r="C17" i="9"/>
  <c r="O17" i="9" s="1"/>
  <c r="B17" i="9"/>
  <c r="C16" i="9"/>
  <c r="D16" i="9" s="1"/>
  <c r="B16" i="9"/>
  <c r="C15" i="9"/>
  <c r="B15" i="9"/>
  <c r="C14" i="9"/>
  <c r="D14" i="9" s="1"/>
  <c r="B14" i="9"/>
  <c r="C13" i="9"/>
  <c r="K13" i="9" s="1"/>
  <c r="B13" i="9"/>
  <c r="C12" i="9"/>
  <c r="O12" i="9" s="1"/>
  <c r="B12" i="9"/>
  <c r="C11" i="9"/>
  <c r="B11" i="9"/>
  <c r="C10" i="9"/>
  <c r="M10" i="9" s="1"/>
  <c r="B10" i="9"/>
  <c r="C9" i="9"/>
  <c r="O9" i="9" s="1"/>
  <c r="B9" i="9"/>
  <c r="C8" i="9"/>
  <c r="B8" i="9"/>
  <c r="C7" i="9"/>
  <c r="M7" i="9" s="1"/>
  <c r="B7" i="9"/>
  <c r="C6" i="9"/>
  <c r="K6" i="9" s="1"/>
  <c r="B6" i="9"/>
  <c r="E27" i="8"/>
  <c r="A2" i="8"/>
  <c r="A3" i="8"/>
  <c r="A4" i="8"/>
  <c r="A5" i="8"/>
  <c r="E5" i="8" s="1"/>
  <c r="H5" i="8" s="1"/>
  <c r="A6" i="8"/>
  <c r="A7" i="8"/>
  <c r="A8" i="8"/>
  <c r="E8" i="8" s="1"/>
  <c r="H8" i="8" s="1"/>
  <c r="A9" i="8"/>
  <c r="A10" i="8"/>
  <c r="A11" i="8"/>
  <c r="A12" i="8"/>
  <c r="E12" i="8" s="1"/>
  <c r="H12" i="8" s="1"/>
  <c r="A13" i="8"/>
  <c r="E13" i="8" s="1"/>
  <c r="H13" i="8" s="1"/>
  <c r="A14" i="8"/>
  <c r="A15" i="8"/>
  <c r="A16" i="8"/>
  <c r="E16" i="8" s="1"/>
  <c r="H15" i="8" s="1"/>
  <c r="A17" i="8"/>
  <c r="A18" i="8"/>
  <c r="A19" i="8"/>
  <c r="A20" i="8"/>
  <c r="A21" i="8"/>
  <c r="E21" i="8" s="1"/>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E73" i="8" s="1"/>
  <c r="H37" i="8" s="1"/>
  <c r="A74" i="8"/>
  <c r="A75" i="8"/>
  <c r="A76" i="8"/>
  <c r="A77" i="8"/>
  <c r="A78" i="8"/>
  <c r="A79" i="8"/>
  <c r="A80" i="8"/>
  <c r="A81" i="8"/>
  <c r="E81" i="8" s="1"/>
  <c r="H45" i="8" s="1"/>
  <c r="I97" i="6"/>
  <c r="I96" i="6"/>
  <c r="I95" i="6"/>
  <c r="I94" i="6"/>
  <c r="I93" i="6"/>
  <c r="I92" i="6"/>
  <c r="I91" i="6"/>
  <c r="I90" i="6"/>
  <c r="I89" i="6"/>
  <c r="I88" i="6"/>
  <c r="I87" i="6"/>
  <c r="I86" i="6"/>
  <c r="I85" i="6"/>
  <c r="I84" i="6"/>
  <c r="I83" i="6"/>
  <c r="I82" i="6"/>
  <c r="I79" i="6"/>
  <c r="I78" i="6"/>
  <c r="I75" i="6"/>
  <c r="I74" i="6"/>
  <c r="I73" i="6"/>
  <c r="I72" i="6"/>
  <c r="I71" i="6"/>
  <c r="I70" i="6"/>
  <c r="I69" i="6"/>
  <c r="I68" i="6"/>
  <c r="I67" i="6"/>
  <c r="I66" i="6"/>
  <c r="I65" i="6"/>
  <c r="I64" i="6"/>
  <c r="I63" i="6"/>
  <c r="I62" i="6"/>
  <c r="I61" i="6"/>
  <c r="I58" i="6"/>
  <c r="I57" i="6"/>
  <c r="I56" i="6"/>
  <c r="I55" i="6"/>
  <c r="I54" i="6"/>
  <c r="I53" i="6"/>
  <c r="I52" i="6"/>
  <c r="I51" i="6"/>
  <c r="I50" i="6"/>
  <c r="I49" i="6"/>
  <c r="I48" i="6"/>
  <c r="I47" i="6"/>
  <c r="I46" i="6"/>
  <c r="I45" i="6"/>
  <c r="I44" i="6"/>
  <c r="I43" i="6"/>
  <c r="I42" i="6"/>
  <c r="I41" i="6"/>
  <c r="I40" i="6"/>
  <c r="I39" i="6"/>
  <c r="I38" i="6"/>
  <c r="I37" i="6"/>
  <c r="I36" i="6"/>
  <c r="I33" i="6"/>
  <c r="I32" i="6"/>
  <c r="I31" i="6"/>
  <c r="I30" i="6"/>
  <c r="I29" i="6"/>
  <c r="I28" i="6"/>
  <c r="I27" i="6"/>
  <c r="I26" i="6"/>
  <c r="I25" i="6"/>
  <c r="I24" i="6"/>
  <c r="I23" i="6"/>
  <c r="I22" i="6"/>
  <c r="I21" i="6"/>
  <c r="I18" i="6"/>
  <c r="I17" i="6"/>
  <c r="I16" i="6"/>
  <c r="I15" i="6"/>
  <c r="I14" i="6"/>
  <c r="I13" i="6"/>
  <c r="I12" i="6"/>
  <c r="I11" i="6"/>
  <c r="I10" i="6"/>
  <c r="I9" i="6"/>
  <c r="I8" i="6"/>
  <c r="I7" i="6"/>
  <c r="I6" i="6"/>
  <c r="C33" i="6"/>
  <c r="H97" i="6"/>
  <c r="G97" i="6"/>
  <c r="C81" i="8" s="1"/>
  <c r="I45" i="8" s="1"/>
  <c r="F97" i="6"/>
  <c r="E97" i="6"/>
  <c r="B81" i="8" s="1"/>
  <c r="D81" i="8" s="1"/>
  <c r="H96" i="6"/>
  <c r="G96" i="6"/>
  <c r="C80" i="8" s="1"/>
  <c r="I44" i="8" s="1"/>
  <c r="F96" i="6"/>
  <c r="E96" i="6"/>
  <c r="B80" i="8" s="1"/>
  <c r="D80" i="8" s="1"/>
  <c r="H95" i="6"/>
  <c r="G95" i="6"/>
  <c r="C79" i="8" s="1"/>
  <c r="I43" i="8" s="1"/>
  <c r="F95" i="6"/>
  <c r="E95" i="6"/>
  <c r="B79" i="8" s="1"/>
  <c r="D79" i="8" s="1"/>
  <c r="H94" i="6"/>
  <c r="G94" i="6"/>
  <c r="C78" i="8" s="1"/>
  <c r="I42" i="8" s="1"/>
  <c r="F94" i="6"/>
  <c r="E94" i="6"/>
  <c r="B78" i="8" s="1"/>
  <c r="D78" i="8" s="1"/>
  <c r="H93" i="6"/>
  <c r="G93" i="6"/>
  <c r="C77" i="8" s="1"/>
  <c r="I41" i="8" s="1"/>
  <c r="F93" i="6"/>
  <c r="E93" i="6"/>
  <c r="B77" i="8" s="1"/>
  <c r="D77" i="8" s="1"/>
  <c r="H92" i="6"/>
  <c r="G92" i="6"/>
  <c r="C76" i="8" s="1"/>
  <c r="I40" i="8" s="1"/>
  <c r="F92" i="6"/>
  <c r="E92" i="6"/>
  <c r="B76" i="8" s="1"/>
  <c r="D76" i="8" s="1"/>
  <c r="H91" i="6"/>
  <c r="G91" i="6"/>
  <c r="C75" i="8" s="1"/>
  <c r="I39" i="8" s="1"/>
  <c r="F91" i="6"/>
  <c r="E91" i="6"/>
  <c r="B75" i="8" s="1"/>
  <c r="D75" i="8" s="1"/>
  <c r="H90" i="6"/>
  <c r="G90" i="6"/>
  <c r="C74" i="8" s="1"/>
  <c r="I38" i="8" s="1"/>
  <c r="F90" i="6"/>
  <c r="E90" i="6"/>
  <c r="B74" i="8" s="1"/>
  <c r="D74" i="8" s="1"/>
  <c r="H89" i="6"/>
  <c r="G89" i="6"/>
  <c r="C73" i="8" s="1"/>
  <c r="I37" i="8" s="1"/>
  <c r="F89" i="6"/>
  <c r="E89" i="6"/>
  <c r="B73" i="8" s="1"/>
  <c r="D73" i="8" s="1"/>
  <c r="H88" i="6"/>
  <c r="G88" i="6"/>
  <c r="C72" i="8" s="1"/>
  <c r="I36" i="8" s="1"/>
  <c r="F88" i="6"/>
  <c r="E88" i="6"/>
  <c r="B72" i="8" s="1"/>
  <c r="D72" i="8" s="1"/>
  <c r="H87" i="6"/>
  <c r="G87" i="6"/>
  <c r="C71" i="8" s="1"/>
  <c r="I35" i="8" s="1"/>
  <c r="F87" i="6"/>
  <c r="E87" i="6"/>
  <c r="B71" i="8" s="1"/>
  <c r="D71" i="8" s="1"/>
  <c r="H86" i="6"/>
  <c r="G86" i="6"/>
  <c r="C70" i="8" s="1"/>
  <c r="I34" i="8" s="1"/>
  <c r="F86" i="6"/>
  <c r="E86" i="6"/>
  <c r="B70" i="8" s="1"/>
  <c r="D70" i="8" s="1"/>
  <c r="H85" i="6"/>
  <c r="G85" i="6"/>
  <c r="C69" i="8" s="1"/>
  <c r="I33" i="8" s="1"/>
  <c r="F85" i="6"/>
  <c r="E85" i="6"/>
  <c r="B69" i="8" s="1"/>
  <c r="D69" i="8" s="1"/>
  <c r="H84" i="6"/>
  <c r="G84" i="6"/>
  <c r="C68" i="8" s="1"/>
  <c r="I32" i="8" s="1"/>
  <c r="F84" i="6"/>
  <c r="E84" i="6"/>
  <c r="B68" i="8" s="1"/>
  <c r="D68" i="8" s="1"/>
  <c r="H83" i="6"/>
  <c r="G83" i="6"/>
  <c r="C67" i="8" s="1"/>
  <c r="I31" i="8" s="1"/>
  <c r="F83" i="6"/>
  <c r="E83" i="6"/>
  <c r="B67" i="8" s="1"/>
  <c r="D67" i="8" s="1"/>
  <c r="H82" i="6"/>
  <c r="G82" i="6"/>
  <c r="C66" i="8" s="1"/>
  <c r="I30" i="8" s="1"/>
  <c r="F82" i="6"/>
  <c r="E82" i="6"/>
  <c r="B66" i="8" s="1"/>
  <c r="D66" i="8" s="1"/>
  <c r="C97" i="6"/>
  <c r="C96" i="6"/>
  <c r="C95" i="6"/>
  <c r="C94" i="6"/>
  <c r="C93" i="6"/>
  <c r="C92" i="6"/>
  <c r="C91" i="6"/>
  <c r="C90" i="6"/>
  <c r="C89" i="6"/>
  <c r="C88" i="6"/>
  <c r="C87" i="6"/>
  <c r="C86" i="6"/>
  <c r="C85" i="6"/>
  <c r="C84" i="6"/>
  <c r="C83" i="6"/>
  <c r="C82" i="6"/>
  <c r="H79" i="6"/>
  <c r="G79" i="6"/>
  <c r="C65" i="8" s="1"/>
  <c r="I29" i="8" s="1"/>
  <c r="F79" i="6"/>
  <c r="E79" i="6"/>
  <c r="B65" i="8" s="1"/>
  <c r="D65" i="8" s="1"/>
  <c r="H78" i="6"/>
  <c r="G78" i="6"/>
  <c r="C64" i="8" s="1"/>
  <c r="I28" i="8" s="1"/>
  <c r="F78" i="6"/>
  <c r="E78" i="6"/>
  <c r="B64" i="8" s="1"/>
  <c r="D64" i="8" s="1"/>
  <c r="C79" i="6"/>
  <c r="C78" i="6"/>
  <c r="H75" i="6"/>
  <c r="G75" i="6"/>
  <c r="C63" i="8" s="1"/>
  <c r="F75" i="6"/>
  <c r="E75" i="6"/>
  <c r="B63" i="8" s="1"/>
  <c r="D63" i="8" s="1"/>
  <c r="H74" i="6"/>
  <c r="G74" i="6"/>
  <c r="C62" i="8" s="1"/>
  <c r="F74" i="6"/>
  <c r="E74" i="6"/>
  <c r="B62" i="8" s="1"/>
  <c r="D62" i="8" s="1"/>
  <c r="H73" i="6"/>
  <c r="G73" i="6"/>
  <c r="C61" i="8" s="1"/>
  <c r="F73" i="6"/>
  <c r="E73" i="6"/>
  <c r="B61" i="8" s="1"/>
  <c r="D61" i="8" s="1"/>
  <c r="H72" i="6"/>
  <c r="G72" i="6"/>
  <c r="C60" i="8" s="1"/>
  <c r="F72" i="6"/>
  <c r="E72" i="6"/>
  <c r="B60" i="8" s="1"/>
  <c r="D60" i="8" s="1"/>
  <c r="H71" i="6"/>
  <c r="G71" i="6"/>
  <c r="C59" i="8" s="1"/>
  <c r="F71" i="6"/>
  <c r="E71" i="6"/>
  <c r="B59" i="8" s="1"/>
  <c r="D59" i="8" s="1"/>
  <c r="H70" i="6"/>
  <c r="G70" i="6"/>
  <c r="C58" i="8" s="1"/>
  <c r="F70" i="6"/>
  <c r="E70" i="6"/>
  <c r="B58" i="8" s="1"/>
  <c r="D58" i="8" s="1"/>
  <c r="H69" i="6"/>
  <c r="G69" i="6"/>
  <c r="C57" i="8" s="1"/>
  <c r="F69" i="6"/>
  <c r="E69" i="6"/>
  <c r="B57" i="8" s="1"/>
  <c r="D57" i="8" s="1"/>
  <c r="H68" i="6"/>
  <c r="G68" i="6"/>
  <c r="F68" i="6"/>
  <c r="E68" i="6"/>
  <c r="H67" i="6"/>
  <c r="G67" i="6"/>
  <c r="C56" i="8" s="1"/>
  <c r="F67" i="6"/>
  <c r="E67" i="6"/>
  <c r="B56" i="8" s="1"/>
  <c r="D56" i="8" s="1"/>
  <c r="H66" i="6"/>
  <c r="G66" i="6"/>
  <c r="C55" i="8" s="1"/>
  <c r="F66" i="6"/>
  <c r="E66" i="6"/>
  <c r="B55" i="8" s="1"/>
  <c r="D55" i="8" s="1"/>
  <c r="H65" i="6"/>
  <c r="G65" i="6"/>
  <c r="F65" i="6"/>
  <c r="E65" i="6"/>
  <c r="H64" i="6"/>
  <c r="G64" i="6"/>
  <c r="C54" i="8" s="1"/>
  <c r="F64" i="6"/>
  <c r="E64" i="6"/>
  <c r="B54" i="8" s="1"/>
  <c r="D54" i="8" s="1"/>
  <c r="H63" i="6"/>
  <c r="G63" i="6"/>
  <c r="C53" i="8" s="1"/>
  <c r="F63" i="6"/>
  <c r="E63" i="6"/>
  <c r="B53" i="8" s="1"/>
  <c r="D53" i="8" s="1"/>
  <c r="H62" i="6"/>
  <c r="G62" i="6"/>
  <c r="C52" i="8" s="1"/>
  <c r="F62" i="6"/>
  <c r="E62" i="6"/>
  <c r="B52" i="8" s="1"/>
  <c r="D52" i="8" s="1"/>
  <c r="H61" i="6"/>
  <c r="G61" i="6"/>
  <c r="C51" i="8" s="1"/>
  <c r="F61" i="6"/>
  <c r="E61" i="6"/>
  <c r="B51" i="8" s="1"/>
  <c r="D51" i="8" s="1"/>
  <c r="C75" i="6"/>
  <c r="C74" i="6"/>
  <c r="C73" i="6"/>
  <c r="C72" i="6"/>
  <c r="C71" i="6"/>
  <c r="C70" i="6"/>
  <c r="C69" i="6"/>
  <c r="C68" i="6"/>
  <c r="C67" i="6"/>
  <c r="C66" i="6"/>
  <c r="C65" i="6"/>
  <c r="C64" i="6"/>
  <c r="C63" i="6"/>
  <c r="C62" i="6"/>
  <c r="C61" i="6"/>
  <c r="H58" i="6"/>
  <c r="G58" i="6"/>
  <c r="C50" i="8" s="1"/>
  <c r="F58" i="6"/>
  <c r="E58" i="6"/>
  <c r="B50" i="8" s="1"/>
  <c r="D50" i="8" s="1"/>
  <c r="H57" i="6"/>
  <c r="G57" i="6"/>
  <c r="C49" i="8" s="1"/>
  <c r="F57" i="6"/>
  <c r="E57" i="6"/>
  <c r="B49" i="8" s="1"/>
  <c r="D49" i="8" s="1"/>
  <c r="H56" i="6"/>
  <c r="G56" i="6"/>
  <c r="C48" i="8" s="1"/>
  <c r="I27" i="8" s="1"/>
  <c r="F56" i="6"/>
  <c r="E56" i="6"/>
  <c r="B48" i="8" s="1"/>
  <c r="D48" i="8" s="1"/>
  <c r="H55" i="6"/>
  <c r="G55" i="6"/>
  <c r="C47" i="8" s="1"/>
  <c r="F55" i="6"/>
  <c r="E55" i="6"/>
  <c r="B47" i="8" s="1"/>
  <c r="D47" i="8" s="1"/>
  <c r="H54" i="6"/>
  <c r="G54" i="6"/>
  <c r="C46" i="8" s="1"/>
  <c r="I26" i="8" s="1"/>
  <c r="F54" i="6"/>
  <c r="E54" i="6"/>
  <c r="B46" i="8" s="1"/>
  <c r="D46" i="8" s="1"/>
  <c r="H53" i="6"/>
  <c r="G53" i="6"/>
  <c r="C45" i="8" s="1"/>
  <c r="F53" i="6"/>
  <c r="E53" i="6"/>
  <c r="B45" i="8" s="1"/>
  <c r="D45" i="8" s="1"/>
  <c r="H52" i="6"/>
  <c r="G52" i="6"/>
  <c r="C44" i="8" s="1"/>
  <c r="I25" i="8" s="1"/>
  <c r="F52" i="6"/>
  <c r="E52" i="6"/>
  <c r="B44" i="8" s="1"/>
  <c r="D44" i="8" s="1"/>
  <c r="H51" i="6"/>
  <c r="G51" i="6"/>
  <c r="C43" i="8" s="1"/>
  <c r="F51" i="6"/>
  <c r="E51" i="6"/>
  <c r="B43" i="8" s="1"/>
  <c r="D43" i="8" s="1"/>
  <c r="H50" i="6"/>
  <c r="G50" i="6"/>
  <c r="C42" i="8" s="1"/>
  <c r="I24" i="8" s="1"/>
  <c r="F50" i="6"/>
  <c r="E50" i="6"/>
  <c r="B42" i="8" s="1"/>
  <c r="D42" i="8" s="1"/>
  <c r="H49" i="6"/>
  <c r="G49" i="6"/>
  <c r="C41" i="8" s="1"/>
  <c r="F49" i="6"/>
  <c r="E49" i="6"/>
  <c r="B41" i="8" s="1"/>
  <c r="D41" i="8" s="1"/>
  <c r="H48" i="6"/>
  <c r="G48" i="6"/>
  <c r="C40" i="8" s="1"/>
  <c r="F48" i="6"/>
  <c r="E48" i="6"/>
  <c r="B40" i="8" s="1"/>
  <c r="D40" i="8" s="1"/>
  <c r="H47" i="6"/>
  <c r="G47" i="6"/>
  <c r="C39" i="8" s="1"/>
  <c r="I23" i="8" s="1"/>
  <c r="F47" i="6"/>
  <c r="E47" i="6"/>
  <c r="B39" i="8" s="1"/>
  <c r="D39" i="8" s="1"/>
  <c r="H46" i="6"/>
  <c r="G46" i="6"/>
  <c r="C38" i="8" s="1"/>
  <c r="F46" i="6"/>
  <c r="E46" i="6"/>
  <c r="B38" i="8" s="1"/>
  <c r="D38" i="8" s="1"/>
  <c r="H45" i="6"/>
  <c r="G45" i="6"/>
  <c r="C37" i="8" s="1"/>
  <c r="F45" i="6"/>
  <c r="E45" i="6"/>
  <c r="B37" i="8" s="1"/>
  <c r="D37" i="8" s="1"/>
  <c r="H44" i="6"/>
  <c r="G44" i="6"/>
  <c r="C36" i="8" s="1"/>
  <c r="I22" i="8" s="1"/>
  <c r="F44" i="6"/>
  <c r="E44" i="6"/>
  <c r="B36" i="8" s="1"/>
  <c r="D36" i="8" s="1"/>
  <c r="H43" i="6"/>
  <c r="G43" i="6"/>
  <c r="C35" i="8" s="1"/>
  <c r="I21" i="8" s="1"/>
  <c r="F43" i="6"/>
  <c r="E43" i="6"/>
  <c r="B35" i="8" s="1"/>
  <c r="D35" i="8" s="1"/>
  <c r="H42" i="6"/>
  <c r="G42" i="6"/>
  <c r="C34" i="8" s="1"/>
  <c r="I20" i="8" s="1"/>
  <c r="F42" i="6"/>
  <c r="E42" i="6"/>
  <c r="B34" i="8" s="1"/>
  <c r="D34" i="8" s="1"/>
  <c r="H41" i="6"/>
  <c r="G41" i="6"/>
  <c r="C33" i="8" s="1"/>
  <c r="I19" i="8" s="1"/>
  <c r="F41" i="6"/>
  <c r="E41" i="6"/>
  <c r="B33" i="8" s="1"/>
  <c r="D33" i="8" s="1"/>
  <c r="H40" i="6"/>
  <c r="G40" i="6"/>
  <c r="C32" i="8" s="1"/>
  <c r="I18" i="8" s="1"/>
  <c r="F40" i="6"/>
  <c r="E40" i="6"/>
  <c r="B32" i="8" s="1"/>
  <c r="D32" i="8" s="1"/>
  <c r="H39" i="6"/>
  <c r="G39" i="6"/>
  <c r="C31" i="8" s="1"/>
  <c r="F39" i="6"/>
  <c r="E39" i="6"/>
  <c r="B31" i="8" s="1"/>
  <c r="D31" i="8" s="1"/>
  <c r="H38" i="6"/>
  <c r="G38" i="6"/>
  <c r="C30" i="8" s="1"/>
  <c r="F38" i="6"/>
  <c r="E38" i="6"/>
  <c r="B30" i="8" s="1"/>
  <c r="D30" i="8" s="1"/>
  <c r="H37" i="6"/>
  <c r="G37" i="6"/>
  <c r="C29" i="8" s="1"/>
  <c r="F37" i="6"/>
  <c r="E37" i="6"/>
  <c r="B29" i="8" s="1"/>
  <c r="D29" i="8" s="1"/>
  <c r="H36" i="6"/>
  <c r="G36" i="6"/>
  <c r="C28" i="8" s="1"/>
  <c r="I17" i="8" s="1"/>
  <c r="F36" i="6"/>
  <c r="E36" i="6"/>
  <c r="B28" i="8" s="1"/>
  <c r="D28" i="8" s="1"/>
  <c r="C58" i="6"/>
  <c r="C57" i="6"/>
  <c r="C56" i="6"/>
  <c r="C55" i="6"/>
  <c r="C54" i="6"/>
  <c r="C53" i="6"/>
  <c r="C52" i="6"/>
  <c r="C51" i="6"/>
  <c r="C50" i="6"/>
  <c r="C49" i="6"/>
  <c r="C48" i="6"/>
  <c r="C47" i="6"/>
  <c r="C46" i="6"/>
  <c r="C45" i="6"/>
  <c r="C44" i="6"/>
  <c r="C43" i="6"/>
  <c r="C42" i="6"/>
  <c r="C41" i="6"/>
  <c r="C40" i="6"/>
  <c r="C39" i="6"/>
  <c r="C38" i="6"/>
  <c r="C37" i="6"/>
  <c r="C36" i="6"/>
  <c r="H33" i="6"/>
  <c r="G33" i="6"/>
  <c r="C27" i="8" s="1"/>
  <c r="F33" i="6"/>
  <c r="E33" i="6"/>
  <c r="B27" i="8" s="1"/>
  <c r="D27" i="8" s="1"/>
  <c r="H32" i="6"/>
  <c r="G32" i="6"/>
  <c r="C26" i="8" s="1"/>
  <c r="F32" i="6"/>
  <c r="E32" i="6"/>
  <c r="B26" i="8" s="1"/>
  <c r="D26" i="8" s="1"/>
  <c r="H31" i="6"/>
  <c r="G31" i="6"/>
  <c r="C25" i="8" s="1"/>
  <c r="F31" i="6"/>
  <c r="E31" i="6"/>
  <c r="B25" i="8" s="1"/>
  <c r="D25" i="8" s="1"/>
  <c r="H30" i="6"/>
  <c r="G30" i="6"/>
  <c r="C24" i="8" s="1"/>
  <c r="F30" i="6"/>
  <c r="E30" i="6"/>
  <c r="B24" i="8" s="1"/>
  <c r="D24" i="8" s="1"/>
  <c r="H29" i="6"/>
  <c r="G29" i="6"/>
  <c r="C23" i="8" s="1"/>
  <c r="F29" i="6"/>
  <c r="E29" i="6"/>
  <c r="B23" i="8" s="1"/>
  <c r="D23" i="8" s="1"/>
  <c r="H28" i="6"/>
  <c r="G28" i="6"/>
  <c r="C22" i="8" s="1"/>
  <c r="I16" i="8" s="1"/>
  <c r="F28" i="6"/>
  <c r="E28" i="6"/>
  <c r="B22" i="8" s="1"/>
  <c r="D22" i="8" s="1"/>
  <c r="H27" i="6"/>
  <c r="G27" i="6"/>
  <c r="C21" i="8" s="1"/>
  <c r="F27" i="6"/>
  <c r="E27" i="6"/>
  <c r="B21" i="8" s="1"/>
  <c r="D21" i="8" s="1"/>
  <c r="H26" i="6"/>
  <c r="G26" i="6"/>
  <c r="C20" i="8" s="1"/>
  <c r="F26" i="6"/>
  <c r="E26" i="6"/>
  <c r="B20" i="8" s="1"/>
  <c r="D20" i="8" s="1"/>
  <c r="H25" i="6"/>
  <c r="G25" i="6"/>
  <c r="C19" i="8" s="1"/>
  <c r="F25" i="6"/>
  <c r="E25" i="6"/>
  <c r="B19" i="8" s="1"/>
  <c r="D19" i="8" s="1"/>
  <c r="H24" i="6"/>
  <c r="G24" i="6"/>
  <c r="C18" i="8" s="1"/>
  <c r="F24" i="6"/>
  <c r="E24" i="6"/>
  <c r="B18" i="8" s="1"/>
  <c r="D18" i="8" s="1"/>
  <c r="H23" i="6"/>
  <c r="G23" i="6"/>
  <c r="C17" i="8" s="1"/>
  <c r="F23" i="6"/>
  <c r="E23" i="6"/>
  <c r="B17" i="8" s="1"/>
  <c r="D17" i="8" s="1"/>
  <c r="H22" i="6"/>
  <c r="G22" i="6"/>
  <c r="C16" i="8" s="1"/>
  <c r="I15" i="8" s="1"/>
  <c r="F22" i="6"/>
  <c r="E22" i="6"/>
  <c r="B16" i="8" s="1"/>
  <c r="D16" i="8" s="1"/>
  <c r="H21" i="6"/>
  <c r="G21" i="6"/>
  <c r="C15" i="8" s="1"/>
  <c r="F21" i="6"/>
  <c r="E21" i="6"/>
  <c r="B15" i="8" s="1"/>
  <c r="D15" i="8" s="1"/>
  <c r="C32" i="6"/>
  <c r="C31" i="6"/>
  <c r="C30" i="6"/>
  <c r="C29" i="6"/>
  <c r="C28" i="6"/>
  <c r="C27" i="6"/>
  <c r="C26" i="6"/>
  <c r="C25" i="6"/>
  <c r="C24" i="6"/>
  <c r="C23" i="6"/>
  <c r="C22" i="6"/>
  <c r="C21" i="6"/>
  <c r="H18" i="6"/>
  <c r="G18" i="6"/>
  <c r="C14" i="8" s="1"/>
  <c r="I14" i="8" s="1"/>
  <c r="F18" i="6"/>
  <c r="E18" i="6"/>
  <c r="B14" i="8" s="1"/>
  <c r="D14" i="8" s="1"/>
  <c r="H17" i="6"/>
  <c r="G17" i="6"/>
  <c r="C13" i="8" s="1"/>
  <c r="I13" i="8" s="1"/>
  <c r="F17" i="6"/>
  <c r="E17" i="6"/>
  <c r="B13" i="8" s="1"/>
  <c r="D13" i="8" s="1"/>
  <c r="H16" i="6"/>
  <c r="G16" i="6"/>
  <c r="C12" i="8" s="1"/>
  <c r="I12" i="8" s="1"/>
  <c r="F16" i="6"/>
  <c r="E16" i="6"/>
  <c r="B12" i="8" s="1"/>
  <c r="D12" i="8" s="1"/>
  <c r="H15" i="6"/>
  <c r="G15" i="6"/>
  <c r="C11" i="8" s="1"/>
  <c r="I11" i="8" s="1"/>
  <c r="F15" i="6"/>
  <c r="E15" i="6"/>
  <c r="B11" i="8" s="1"/>
  <c r="D11" i="8" s="1"/>
  <c r="H14" i="6"/>
  <c r="G14" i="6"/>
  <c r="C10" i="8" s="1"/>
  <c r="I10" i="8" s="1"/>
  <c r="F14" i="6"/>
  <c r="E14" i="6"/>
  <c r="B10" i="8" s="1"/>
  <c r="D10" i="8" s="1"/>
  <c r="H13" i="6"/>
  <c r="G13" i="6"/>
  <c r="C9" i="8" s="1"/>
  <c r="I9" i="8" s="1"/>
  <c r="F13" i="6"/>
  <c r="E13" i="6"/>
  <c r="B9" i="8" s="1"/>
  <c r="D9" i="8" s="1"/>
  <c r="H12" i="6"/>
  <c r="G12" i="6"/>
  <c r="C8" i="8" s="1"/>
  <c r="I8" i="8" s="1"/>
  <c r="F12" i="6"/>
  <c r="E12" i="6"/>
  <c r="B8" i="8" s="1"/>
  <c r="D8" i="8" s="1"/>
  <c r="H11" i="6"/>
  <c r="G11" i="6"/>
  <c r="C7" i="8" s="1"/>
  <c r="I7" i="8" s="1"/>
  <c r="F11" i="6"/>
  <c r="E11" i="6"/>
  <c r="B7" i="8" s="1"/>
  <c r="D7" i="8" s="1"/>
  <c r="H10" i="6"/>
  <c r="G10" i="6"/>
  <c r="C6" i="8" s="1"/>
  <c r="I6" i="8" s="1"/>
  <c r="F10" i="6"/>
  <c r="E10" i="6"/>
  <c r="B6" i="8" s="1"/>
  <c r="D6" i="8" s="1"/>
  <c r="H9" i="6"/>
  <c r="G9" i="6"/>
  <c r="C5" i="8" s="1"/>
  <c r="I5" i="8" s="1"/>
  <c r="F9" i="6"/>
  <c r="E9" i="6"/>
  <c r="B5" i="8" s="1"/>
  <c r="D5" i="8" s="1"/>
  <c r="H8" i="6"/>
  <c r="G8" i="6"/>
  <c r="C4" i="8" s="1"/>
  <c r="I4" i="8" s="1"/>
  <c r="F8" i="6"/>
  <c r="E8" i="6"/>
  <c r="B4" i="8" s="1"/>
  <c r="D4" i="8" s="1"/>
  <c r="H7" i="6"/>
  <c r="G7" i="6"/>
  <c r="C3" i="8" s="1"/>
  <c r="I3" i="8" s="1"/>
  <c r="F7" i="6"/>
  <c r="E7" i="6"/>
  <c r="B3" i="8" s="1"/>
  <c r="D3" i="8" s="1"/>
  <c r="C18" i="6"/>
  <c r="C17" i="6"/>
  <c r="C16" i="6"/>
  <c r="C15" i="6"/>
  <c r="C14" i="6"/>
  <c r="C13" i="6"/>
  <c r="C12" i="6"/>
  <c r="C11" i="6"/>
  <c r="C10" i="6"/>
  <c r="C9" i="6"/>
  <c r="C8" i="6"/>
  <c r="C7" i="6"/>
  <c r="H6" i="6"/>
  <c r="G6" i="6"/>
  <c r="C2" i="8" s="1"/>
  <c r="I2" i="8" s="1"/>
  <c r="F6" i="6"/>
  <c r="E6" i="6"/>
  <c r="B2" i="8" s="1"/>
  <c r="D2" i="8" s="1"/>
  <c r="C6" i="6"/>
  <c r="M45" i="9" l="1"/>
  <c r="G84" i="9"/>
  <c r="E84" i="9"/>
  <c r="E6" i="9"/>
  <c r="O28" i="9"/>
  <c r="G36" i="9"/>
  <c r="G6" i="9"/>
  <c r="I6" i="9"/>
  <c r="O62" i="9"/>
  <c r="E14" i="9"/>
  <c r="F14" i="9" s="1"/>
  <c r="R14" i="9" s="1"/>
  <c r="G54" i="9"/>
  <c r="D57" i="9"/>
  <c r="P57" i="9" s="1"/>
  <c r="W57" i="9" s="1"/>
  <c r="G14" i="9"/>
  <c r="H14" i="9" s="1"/>
  <c r="S14" i="9" s="1"/>
  <c r="I54" i="9"/>
  <c r="M28" i="9"/>
  <c r="O31" i="9"/>
  <c r="P31" i="9" s="1"/>
  <c r="W31" i="9" s="1"/>
  <c r="K36" i="9"/>
  <c r="F76" i="8"/>
  <c r="J40" i="8" s="1"/>
  <c r="F68" i="8"/>
  <c r="J32" i="8" s="1"/>
  <c r="D82" i="9"/>
  <c r="J82" i="9" s="1"/>
  <c r="T82" i="9" s="1"/>
  <c r="M92" i="9"/>
  <c r="I53" i="9"/>
  <c r="E61" i="9"/>
  <c r="I14" i="9"/>
  <c r="J14" i="9" s="1"/>
  <c r="T14" i="9" s="1"/>
  <c r="G61" i="9"/>
  <c r="M14" i="9"/>
  <c r="N14" i="9" s="1"/>
  <c r="V14" i="9" s="1"/>
  <c r="M61" i="9"/>
  <c r="O14" i="9"/>
  <c r="P14" i="9" s="1"/>
  <c r="W14" i="9" s="1"/>
  <c r="D84" i="9"/>
  <c r="L84" i="9" s="1"/>
  <c r="U84" i="9" s="1"/>
  <c r="D13" i="9"/>
  <c r="L13" i="9" s="1"/>
  <c r="U13" i="9" s="1"/>
  <c r="I16" i="9"/>
  <c r="J16" i="9" s="1"/>
  <c r="T16" i="9" s="1"/>
  <c r="E13" i="9"/>
  <c r="G22" i="9"/>
  <c r="E38" i="9"/>
  <c r="G48" i="9"/>
  <c r="O70" i="9"/>
  <c r="G86" i="9"/>
  <c r="G13" i="9"/>
  <c r="I22" i="9"/>
  <c r="I86" i="9"/>
  <c r="I13" i="9"/>
  <c r="O22" i="9"/>
  <c r="O86" i="9"/>
  <c r="M13" i="9"/>
  <c r="E26" i="9"/>
  <c r="M36" i="9"/>
  <c r="I39" i="9"/>
  <c r="D53" i="9"/>
  <c r="H53" i="9" s="1"/>
  <c r="S53" i="9" s="1"/>
  <c r="G62" i="9"/>
  <c r="G68" i="9"/>
  <c r="E85" i="9"/>
  <c r="F85" i="9" s="1"/>
  <c r="R85" i="9" s="1"/>
  <c r="M26" i="9"/>
  <c r="O39" i="9"/>
  <c r="E53" i="9"/>
  <c r="I62" i="9"/>
  <c r="G85" i="9"/>
  <c r="H85" i="9" s="1"/>
  <c r="S85" i="9" s="1"/>
  <c r="I94" i="9"/>
  <c r="D6" i="9"/>
  <c r="O29" i="9"/>
  <c r="M62" i="9"/>
  <c r="I85" i="9"/>
  <c r="J85" i="9" s="1"/>
  <c r="T85" i="9" s="1"/>
  <c r="F78" i="8"/>
  <c r="J42" i="8" s="1"/>
  <c r="F70" i="8"/>
  <c r="J34" i="8" s="1"/>
  <c r="O6" i="9"/>
  <c r="I28" i="9"/>
  <c r="M29" i="9"/>
  <c r="F27" i="8"/>
  <c r="I7" i="9"/>
  <c r="D25" i="9"/>
  <c r="F25" i="9" s="1"/>
  <c r="R25" i="9" s="1"/>
  <c r="G38" i="9"/>
  <c r="I48" i="9"/>
  <c r="G55" i="9"/>
  <c r="I57" i="9"/>
  <c r="I65" i="9"/>
  <c r="J65" i="9" s="1"/>
  <c r="T65" i="9" s="1"/>
  <c r="O68" i="9"/>
  <c r="E82" i="9"/>
  <c r="F82" i="9" s="1"/>
  <c r="R82" i="9" s="1"/>
  <c r="E93" i="9"/>
  <c r="F93" i="9" s="1"/>
  <c r="R93" i="9" s="1"/>
  <c r="G95" i="9"/>
  <c r="I33" i="9"/>
  <c r="M38" i="9"/>
  <c r="O48" i="9"/>
  <c r="I55" i="9"/>
  <c r="M82" i="9"/>
  <c r="I84" i="9"/>
  <c r="M85" i="9"/>
  <c r="N85" i="9" s="1"/>
  <c r="V85" i="9" s="1"/>
  <c r="E91" i="9"/>
  <c r="M93" i="9"/>
  <c r="N93" i="9" s="1"/>
  <c r="V93" i="9" s="1"/>
  <c r="I95" i="9"/>
  <c r="D28" i="9"/>
  <c r="E29" i="9"/>
  <c r="F29" i="9" s="1"/>
  <c r="R29" i="9" s="1"/>
  <c r="M33" i="9"/>
  <c r="D37" i="9"/>
  <c r="D44" i="9"/>
  <c r="L44" i="9" s="1"/>
  <c r="U44" i="9" s="1"/>
  <c r="O55" i="9"/>
  <c r="I63" i="9"/>
  <c r="M84" i="9"/>
  <c r="M91" i="9"/>
  <c r="O93" i="9"/>
  <c r="P93" i="9" s="1"/>
  <c r="W93" i="9" s="1"/>
  <c r="O95" i="9"/>
  <c r="M6" i="9"/>
  <c r="E28" i="9"/>
  <c r="G29" i="9"/>
  <c r="H29" i="9" s="1"/>
  <c r="S29" i="9" s="1"/>
  <c r="G31" i="9"/>
  <c r="H31" i="9" s="1"/>
  <c r="S31" i="9" s="1"/>
  <c r="E37" i="9"/>
  <c r="I41" i="9"/>
  <c r="E44" i="9"/>
  <c r="I58" i="9"/>
  <c r="D62" i="9"/>
  <c r="M63" i="9"/>
  <c r="O84" i="9"/>
  <c r="G28" i="9"/>
  <c r="I29" i="9"/>
  <c r="J29" i="9" s="1"/>
  <c r="T29" i="9" s="1"/>
  <c r="M44" i="9"/>
  <c r="F62" i="8"/>
  <c r="F54" i="8"/>
  <c r="F46" i="8"/>
  <c r="J26" i="8" s="1"/>
  <c r="F38" i="8"/>
  <c r="F30" i="8"/>
  <c r="F22" i="8"/>
  <c r="J16" i="8" s="1"/>
  <c r="F14" i="8"/>
  <c r="J14" i="8" s="1"/>
  <c r="F6" i="8"/>
  <c r="J6" i="8" s="1"/>
  <c r="K8" i="9"/>
  <c r="O8" i="9"/>
  <c r="I11" i="9"/>
  <c r="M11" i="9"/>
  <c r="E11" i="9"/>
  <c r="D21" i="9"/>
  <c r="O21" i="9"/>
  <c r="M21" i="9"/>
  <c r="M30" i="9"/>
  <c r="G30" i="9"/>
  <c r="O30" i="9"/>
  <c r="I30" i="9"/>
  <c r="K40" i="9"/>
  <c r="O40" i="9"/>
  <c r="I40" i="9"/>
  <c r="F77" i="8"/>
  <c r="J41" i="8" s="1"/>
  <c r="F69" i="8"/>
  <c r="J33" i="8" s="1"/>
  <c r="F61" i="8"/>
  <c r="F53" i="8"/>
  <c r="F45" i="8"/>
  <c r="F37" i="8"/>
  <c r="F29" i="8"/>
  <c r="G8" i="9"/>
  <c r="D11" i="9"/>
  <c r="E21" i="9"/>
  <c r="K37" i="9"/>
  <c r="G37" i="9"/>
  <c r="O37" i="9"/>
  <c r="M37" i="9"/>
  <c r="G40" i="9"/>
  <c r="K56" i="9"/>
  <c r="G56" i="9"/>
  <c r="O56" i="9"/>
  <c r="I56" i="9"/>
  <c r="F60" i="8"/>
  <c r="F52" i="8"/>
  <c r="F44" i="8"/>
  <c r="J25" i="8" s="1"/>
  <c r="F36" i="8"/>
  <c r="J22" i="8" s="1"/>
  <c r="F28" i="8"/>
  <c r="J17" i="8" s="1"/>
  <c r="F20" i="8"/>
  <c r="F12" i="8"/>
  <c r="J12" i="8" s="1"/>
  <c r="F4" i="8"/>
  <c r="J4" i="8" s="1"/>
  <c r="E4" i="8"/>
  <c r="H4" i="8" s="1"/>
  <c r="I8" i="9"/>
  <c r="G11" i="9"/>
  <c r="G21" i="9"/>
  <c r="M64" i="9"/>
  <c r="I64" i="9"/>
  <c r="I21" i="9"/>
  <c r="D46" i="9"/>
  <c r="M46" i="9"/>
  <c r="I46" i="9"/>
  <c r="G46" i="9"/>
  <c r="E46" i="9"/>
  <c r="O46" i="9"/>
  <c r="F81" i="8"/>
  <c r="J45" i="8" s="1"/>
  <c r="F73" i="8"/>
  <c r="J37" i="8" s="1"/>
  <c r="F65" i="8"/>
  <c r="J29" i="8" s="1"/>
  <c r="F57" i="8"/>
  <c r="E57" i="8"/>
  <c r="F49" i="8"/>
  <c r="F41" i="8"/>
  <c r="E41" i="8"/>
  <c r="E65" i="8"/>
  <c r="H29" i="8" s="1"/>
  <c r="E12" i="9"/>
  <c r="M47" i="9"/>
  <c r="O47" i="9"/>
  <c r="E75" i="9"/>
  <c r="K75" i="9"/>
  <c r="F80" i="8"/>
  <c r="J44" i="8" s="1"/>
  <c r="F72" i="8"/>
  <c r="J36" i="8" s="1"/>
  <c r="F64" i="8"/>
  <c r="J28" i="8" s="1"/>
  <c r="F56" i="8"/>
  <c r="F48" i="8"/>
  <c r="J27" i="8" s="1"/>
  <c r="F40" i="8"/>
  <c r="F32" i="8"/>
  <c r="J18" i="8" s="1"/>
  <c r="F24" i="8"/>
  <c r="E24" i="8"/>
  <c r="F16" i="8"/>
  <c r="J15" i="8" s="1"/>
  <c r="F8" i="8"/>
  <c r="J8" i="8" s="1"/>
  <c r="E49" i="8"/>
  <c r="M12" i="9"/>
  <c r="G47" i="9"/>
  <c r="O49" i="9"/>
  <c r="I49" i="9"/>
  <c r="D49" i="9"/>
  <c r="F79" i="8"/>
  <c r="J43" i="8" s="1"/>
  <c r="F71" i="8"/>
  <c r="J35" i="8" s="1"/>
  <c r="F63" i="8"/>
  <c r="F55" i="8"/>
  <c r="F47" i="8"/>
  <c r="F39" i="8"/>
  <c r="J23" i="8" s="1"/>
  <c r="F31" i="8"/>
  <c r="F23" i="8"/>
  <c r="F15" i="8"/>
  <c r="F7" i="8"/>
  <c r="J7" i="8" s="1"/>
  <c r="E20" i="8"/>
  <c r="M15" i="9"/>
  <c r="I15" i="9"/>
  <c r="K15" i="9"/>
  <c r="O25" i="9"/>
  <c r="M25" i="9"/>
  <c r="I25" i="9"/>
  <c r="K45" i="9"/>
  <c r="G45" i="9"/>
  <c r="E45" i="9"/>
  <c r="D45" i="9"/>
  <c r="P45" i="9" s="1"/>
  <c r="W45" i="9" s="1"/>
  <c r="I45" i="9"/>
  <c r="I47" i="9"/>
  <c r="M72" i="9"/>
  <c r="I72" i="9"/>
  <c r="E33" i="9"/>
  <c r="D38" i="9"/>
  <c r="I38" i="9"/>
  <c r="K53" i="9"/>
  <c r="O53" i="9"/>
  <c r="D54" i="9"/>
  <c r="F54" i="9" s="1"/>
  <c r="R54" i="9" s="1"/>
  <c r="O54" i="9"/>
  <c r="O69" i="9"/>
  <c r="M70" i="9"/>
  <c r="I92" i="9"/>
  <c r="I93" i="9"/>
  <c r="J93" i="9" s="1"/>
  <c r="T93" i="9" s="1"/>
  <c r="D70" i="9"/>
  <c r="L70" i="9" s="1"/>
  <c r="U70" i="9" s="1"/>
  <c r="D71" i="9"/>
  <c r="F71" i="9" s="1"/>
  <c r="R71" i="9" s="1"/>
  <c r="O71" i="9"/>
  <c r="E70" i="9"/>
  <c r="D87" i="9"/>
  <c r="O87" i="9"/>
  <c r="I90" i="9"/>
  <c r="E90" i="9"/>
  <c r="K92" i="9"/>
  <c r="D92" i="9"/>
  <c r="O13" i="9"/>
  <c r="D23" i="9"/>
  <c r="H23" i="9" s="1"/>
  <c r="S23" i="9" s="1"/>
  <c r="O23" i="9"/>
  <c r="M54" i="9"/>
  <c r="E69" i="9"/>
  <c r="G71" i="9"/>
  <c r="I73" i="9"/>
  <c r="J73" i="9" s="1"/>
  <c r="T73" i="9" s="1"/>
  <c r="O85" i="9"/>
  <c r="P85" i="9" s="1"/>
  <c r="W85" i="9" s="1"/>
  <c r="G87" i="9"/>
  <c r="D90" i="9"/>
  <c r="E92" i="9"/>
  <c r="M53" i="9"/>
  <c r="D63" i="9"/>
  <c r="O63" i="9"/>
  <c r="I68" i="9"/>
  <c r="M68" i="9"/>
  <c r="G69" i="9"/>
  <c r="G70" i="9"/>
  <c r="I71" i="9"/>
  <c r="I87" i="9"/>
  <c r="M90" i="9"/>
  <c r="F33" i="8"/>
  <c r="J19" i="8" s="1"/>
  <c r="D33" i="9"/>
  <c r="G39" i="9"/>
  <c r="E62" i="9"/>
  <c r="E63" i="9"/>
  <c r="D68" i="9"/>
  <c r="M69" i="9"/>
  <c r="I70" i="9"/>
  <c r="M71" i="9"/>
  <c r="G92" i="9"/>
  <c r="G93" i="9"/>
  <c r="H93" i="9" s="1"/>
  <c r="S93" i="9" s="1"/>
  <c r="K83" i="9"/>
  <c r="I89" i="9"/>
  <c r="K91" i="9"/>
  <c r="I97" i="9"/>
  <c r="K82" i="9"/>
  <c r="D83" i="9"/>
  <c r="H83" i="9" s="1"/>
  <c r="S83" i="9" s="1"/>
  <c r="I88" i="9"/>
  <c r="K90" i="9"/>
  <c r="D91" i="9"/>
  <c r="P91" i="9" s="1"/>
  <c r="W91" i="9" s="1"/>
  <c r="G94" i="9"/>
  <c r="O94" i="9"/>
  <c r="I96" i="9"/>
  <c r="K96" i="9"/>
  <c r="D97" i="9"/>
  <c r="L97" i="9" s="1"/>
  <c r="U97" i="9" s="1"/>
  <c r="K95" i="9"/>
  <c r="D96" i="9"/>
  <c r="P96" i="9" s="1"/>
  <c r="W96" i="9" s="1"/>
  <c r="E97" i="9"/>
  <c r="M97" i="9"/>
  <c r="M83" i="9"/>
  <c r="K89" i="9"/>
  <c r="D89" i="9"/>
  <c r="N89" i="9" s="1"/>
  <c r="V89" i="9" s="1"/>
  <c r="O83" i="9"/>
  <c r="D95" i="9"/>
  <c r="N95" i="9" s="1"/>
  <c r="V95" i="9" s="1"/>
  <c r="E96" i="9"/>
  <c r="I83" i="9"/>
  <c r="K85" i="9"/>
  <c r="L85" i="9" s="1"/>
  <c r="U85" i="9" s="1"/>
  <c r="D86" i="9"/>
  <c r="E87" i="9"/>
  <c r="M87" i="9"/>
  <c r="G89" i="9"/>
  <c r="O89" i="9"/>
  <c r="I91" i="9"/>
  <c r="K93" i="9"/>
  <c r="L93" i="9" s="1"/>
  <c r="U93" i="9" s="1"/>
  <c r="D94" i="9"/>
  <c r="E95" i="9"/>
  <c r="G97" i="9"/>
  <c r="O97" i="9"/>
  <c r="E83" i="9"/>
  <c r="K88" i="9"/>
  <c r="K87" i="9"/>
  <c r="D88" i="9"/>
  <c r="P88" i="9" s="1"/>
  <c r="W88" i="9" s="1"/>
  <c r="E89" i="9"/>
  <c r="G91" i="9"/>
  <c r="G82" i="9"/>
  <c r="O82" i="9"/>
  <c r="K86" i="9"/>
  <c r="E88" i="9"/>
  <c r="M88" i="9"/>
  <c r="G90" i="9"/>
  <c r="O90" i="9"/>
  <c r="K94" i="9"/>
  <c r="M96" i="9"/>
  <c r="E86" i="9"/>
  <c r="G88" i="9"/>
  <c r="E94" i="9"/>
  <c r="G96" i="9"/>
  <c r="D79" i="9"/>
  <c r="P79" i="9" s="1"/>
  <c r="W79" i="9" s="1"/>
  <c r="E79" i="9"/>
  <c r="I79" i="9"/>
  <c r="I78" i="9"/>
  <c r="K79" i="9"/>
  <c r="M79" i="9"/>
  <c r="E78" i="9"/>
  <c r="M78" i="9"/>
  <c r="G79" i="9"/>
  <c r="K78" i="9"/>
  <c r="D78" i="9"/>
  <c r="P78" i="9" s="1"/>
  <c r="W78" i="9" s="1"/>
  <c r="G78" i="9"/>
  <c r="K67" i="9"/>
  <c r="L67" i="9" s="1"/>
  <c r="U67" i="9" s="1"/>
  <c r="K74" i="9"/>
  <c r="K61" i="9"/>
  <c r="G65" i="9"/>
  <c r="H65" i="9" s="1"/>
  <c r="S65" i="9" s="1"/>
  <c r="O65" i="9"/>
  <c r="P65" i="9" s="1"/>
  <c r="W65" i="9" s="1"/>
  <c r="I67" i="9"/>
  <c r="J67" i="9" s="1"/>
  <c r="T67" i="9" s="1"/>
  <c r="K69" i="9"/>
  <c r="G73" i="9"/>
  <c r="H73" i="9" s="1"/>
  <c r="S73" i="9" s="1"/>
  <c r="O73" i="9"/>
  <c r="P73" i="9" s="1"/>
  <c r="W73" i="9" s="1"/>
  <c r="I75" i="9"/>
  <c r="D61" i="9"/>
  <c r="N61" i="9" s="1"/>
  <c r="V61" i="9" s="1"/>
  <c r="G64" i="9"/>
  <c r="O64" i="9"/>
  <c r="I66" i="9"/>
  <c r="K68" i="9"/>
  <c r="D69" i="9"/>
  <c r="G72" i="9"/>
  <c r="O72" i="9"/>
  <c r="I74" i="9"/>
  <c r="O61" i="9"/>
  <c r="K65" i="9"/>
  <c r="L65" i="9" s="1"/>
  <c r="U65" i="9" s="1"/>
  <c r="D66" i="9"/>
  <c r="P66" i="9" s="1"/>
  <c r="W66" i="9" s="1"/>
  <c r="E67" i="9"/>
  <c r="F67" i="9" s="1"/>
  <c r="R67" i="9" s="1"/>
  <c r="M67" i="9"/>
  <c r="N67" i="9" s="1"/>
  <c r="V67" i="9" s="1"/>
  <c r="K73" i="9"/>
  <c r="L73" i="9" s="1"/>
  <c r="U73" i="9" s="1"/>
  <c r="D74" i="9"/>
  <c r="P74" i="9" s="1"/>
  <c r="W74" i="9" s="1"/>
  <c r="M75" i="9"/>
  <c r="K64" i="9"/>
  <c r="E66" i="9"/>
  <c r="K63" i="9"/>
  <c r="D64" i="9"/>
  <c r="E65" i="9"/>
  <c r="F65" i="9" s="1"/>
  <c r="R65" i="9" s="1"/>
  <c r="M65" i="9"/>
  <c r="N65" i="9" s="1"/>
  <c r="V65" i="9" s="1"/>
  <c r="G67" i="9"/>
  <c r="H67" i="9" s="1"/>
  <c r="S67" i="9" s="1"/>
  <c r="O67" i="9"/>
  <c r="P67" i="9" s="1"/>
  <c r="W67" i="9" s="1"/>
  <c r="K71" i="9"/>
  <c r="D72" i="9"/>
  <c r="E73" i="9"/>
  <c r="F73" i="9" s="1"/>
  <c r="R73" i="9" s="1"/>
  <c r="M73" i="9"/>
  <c r="N73" i="9" s="1"/>
  <c r="V73" i="9" s="1"/>
  <c r="G75" i="9"/>
  <c r="O75" i="9"/>
  <c r="K66" i="9"/>
  <c r="D75" i="9"/>
  <c r="M66" i="9"/>
  <c r="K72" i="9"/>
  <c r="E74" i="9"/>
  <c r="M74" i="9"/>
  <c r="E64" i="9"/>
  <c r="G66" i="9"/>
  <c r="E72" i="9"/>
  <c r="G74" i="9"/>
  <c r="I43" i="9"/>
  <c r="O43" i="9"/>
  <c r="G43" i="9"/>
  <c r="M43" i="9"/>
  <c r="E43" i="9"/>
  <c r="M50" i="9"/>
  <c r="O50" i="9"/>
  <c r="G50" i="9"/>
  <c r="E50" i="9"/>
  <c r="D50" i="9"/>
  <c r="I50" i="9"/>
  <c r="O36" i="9"/>
  <c r="O42" i="9"/>
  <c r="G42" i="9"/>
  <c r="M42" i="9"/>
  <c r="E42" i="9"/>
  <c r="D42" i="9"/>
  <c r="K50" i="9"/>
  <c r="I52" i="9"/>
  <c r="O52" i="9"/>
  <c r="G52" i="9"/>
  <c r="E36" i="9"/>
  <c r="I51" i="9"/>
  <c r="O51" i="9"/>
  <c r="G51" i="9"/>
  <c r="M51" i="9"/>
  <c r="E51" i="9"/>
  <c r="E52" i="9"/>
  <c r="D43" i="9"/>
  <c r="K43" i="9"/>
  <c r="D36" i="9"/>
  <c r="I42" i="9"/>
  <c r="D52" i="9"/>
  <c r="N52" i="9" s="1"/>
  <c r="V52" i="9" s="1"/>
  <c r="K42" i="9"/>
  <c r="G44" i="9"/>
  <c r="I44" i="9"/>
  <c r="O44" i="9"/>
  <c r="D51" i="9"/>
  <c r="L51" i="9" s="1"/>
  <c r="U51" i="9" s="1"/>
  <c r="K52" i="9"/>
  <c r="K58" i="9"/>
  <c r="K41" i="9"/>
  <c r="K49" i="9"/>
  <c r="K57" i="9"/>
  <c r="D58" i="9"/>
  <c r="D41" i="9"/>
  <c r="P41" i="9" s="1"/>
  <c r="W41" i="9" s="1"/>
  <c r="E58" i="9"/>
  <c r="K39" i="9"/>
  <c r="D40" i="9"/>
  <c r="E41" i="9"/>
  <c r="K47" i="9"/>
  <c r="D48" i="9"/>
  <c r="E49" i="9"/>
  <c r="M49" i="9"/>
  <c r="K55" i="9"/>
  <c r="D56" i="9"/>
  <c r="E57" i="9"/>
  <c r="F57" i="9" s="1"/>
  <c r="R57" i="9" s="1"/>
  <c r="M57" i="9"/>
  <c r="K38" i="9"/>
  <c r="D39" i="9"/>
  <c r="N39" i="9" s="1"/>
  <c r="V39" i="9" s="1"/>
  <c r="E40" i="9"/>
  <c r="M40" i="9"/>
  <c r="K46" i="9"/>
  <c r="D47" i="9"/>
  <c r="E48" i="9"/>
  <c r="M48" i="9"/>
  <c r="K54" i="9"/>
  <c r="D55" i="9"/>
  <c r="E56" i="9"/>
  <c r="M56" i="9"/>
  <c r="G58" i="9"/>
  <c r="O58" i="9"/>
  <c r="M41" i="9"/>
  <c r="E39" i="9"/>
  <c r="G41" i="9"/>
  <c r="E47" i="9"/>
  <c r="G49" i="9"/>
  <c r="E55" i="9"/>
  <c r="G57" i="9"/>
  <c r="P29" i="9"/>
  <c r="W29" i="9" s="1"/>
  <c r="N29" i="9"/>
  <c r="V29" i="9" s="1"/>
  <c r="K27" i="9"/>
  <c r="I24" i="9"/>
  <c r="K26" i="9"/>
  <c r="D27" i="9"/>
  <c r="J27" i="9" s="1"/>
  <c r="T27" i="9" s="1"/>
  <c r="I32" i="9"/>
  <c r="I23" i="9"/>
  <c r="K25" i="9"/>
  <c r="D26" i="9"/>
  <c r="E27" i="9"/>
  <c r="M27" i="9"/>
  <c r="I31" i="9"/>
  <c r="J31" i="9" s="1"/>
  <c r="T31" i="9" s="1"/>
  <c r="K33" i="9"/>
  <c r="K24" i="9"/>
  <c r="K32" i="9"/>
  <c r="K23" i="9"/>
  <c r="D24" i="9"/>
  <c r="P24" i="9" s="1"/>
  <c r="W24" i="9" s="1"/>
  <c r="G27" i="9"/>
  <c r="O27" i="9"/>
  <c r="K31" i="9"/>
  <c r="L31" i="9" s="1"/>
  <c r="U31" i="9" s="1"/>
  <c r="D32" i="9"/>
  <c r="P32" i="9" s="1"/>
  <c r="W32" i="9" s="1"/>
  <c r="K21" i="9"/>
  <c r="D22" i="9"/>
  <c r="N22" i="9" s="1"/>
  <c r="V22" i="9" s="1"/>
  <c r="E23" i="9"/>
  <c r="M23" i="9"/>
  <c r="G25" i="9"/>
  <c r="K29" i="9"/>
  <c r="L29" i="9" s="1"/>
  <c r="U29" i="9" s="1"/>
  <c r="D30" i="9"/>
  <c r="E31" i="9"/>
  <c r="F31" i="9" s="1"/>
  <c r="R31" i="9" s="1"/>
  <c r="M31" i="9"/>
  <c r="N31" i="9" s="1"/>
  <c r="V31" i="9" s="1"/>
  <c r="G33" i="9"/>
  <c r="K22" i="9"/>
  <c r="E24" i="9"/>
  <c r="M24" i="9"/>
  <c r="G26" i="9"/>
  <c r="O26" i="9"/>
  <c r="K30" i="9"/>
  <c r="E32" i="9"/>
  <c r="M32" i="9"/>
  <c r="E22" i="9"/>
  <c r="G24" i="9"/>
  <c r="E30" i="9"/>
  <c r="G32" i="9"/>
  <c r="I10" i="9"/>
  <c r="K12" i="9"/>
  <c r="G16" i="9"/>
  <c r="H16" i="9" s="1"/>
  <c r="S16" i="9" s="1"/>
  <c r="O16" i="9"/>
  <c r="P16" i="9" s="1"/>
  <c r="W16" i="9" s="1"/>
  <c r="I18" i="9"/>
  <c r="G7" i="9"/>
  <c r="O7" i="9"/>
  <c r="I9" i="9"/>
  <c r="K11" i="9"/>
  <c r="D12" i="9"/>
  <c r="G15" i="9"/>
  <c r="O15" i="9"/>
  <c r="I17" i="9"/>
  <c r="K18" i="9"/>
  <c r="D10" i="9"/>
  <c r="N10" i="9" s="1"/>
  <c r="V10" i="9" s="1"/>
  <c r="K17" i="9"/>
  <c r="M18" i="9"/>
  <c r="K7" i="9"/>
  <c r="D8" i="9"/>
  <c r="E9" i="9"/>
  <c r="M9" i="9"/>
  <c r="E8" i="9"/>
  <c r="M8" i="9"/>
  <c r="G10" i="9"/>
  <c r="O10" i="9"/>
  <c r="I12" i="9"/>
  <c r="K14" i="9"/>
  <c r="L14" i="9" s="1"/>
  <c r="U14" i="9" s="1"/>
  <c r="D15" i="9"/>
  <c r="E16" i="9"/>
  <c r="F16" i="9" s="1"/>
  <c r="R16" i="9" s="1"/>
  <c r="M16" i="9"/>
  <c r="N16" i="9" s="1"/>
  <c r="V16" i="9" s="1"/>
  <c r="G18" i="9"/>
  <c r="O18" i="9"/>
  <c r="K10" i="9"/>
  <c r="K9" i="9"/>
  <c r="D18" i="9"/>
  <c r="F18" i="9" s="1"/>
  <c r="R18" i="9" s="1"/>
  <c r="D9" i="9"/>
  <c r="P9" i="9" s="1"/>
  <c r="W9" i="9" s="1"/>
  <c r="E10" i="9"/>
  <c r="G12" i="9"/>
  <c r="K16" i="9"/>
  <c r="L16" i="9" s="1"/>
  <c r="U16" i="9" s="1"/>
  <c r="D17" i="9"/>
  <c r="P17" i="9" s="1"/>
  <c r="W17" i="9" s="1"/>
  <c r="O11" i="9"/>
  <c r="E17" i="9"/>
  <c r="M17" i="9"/>
  <c r="D7" i="9"/>
  <c r="E7" i="9"/>
  <c r="G9" i="9"/>
  <c r="E15" i="9"/>
  <c r="G17" i="9"/>
  <c r="F75" i="8"/>
  <c r="J39" i="8" s="1"/>
  <c r="E75" i="8"/>
  <c r="H39" i="8" s="1"/>
  <c r="F67" i="8"/>
  <c r="J31" i="8" s="1"/>
  <c r="E67" i="8"/>
  <c r="H31" i="8" s="1"/>
  <c r="F59" i="8"/>
  <c r="E59" i="8"/>
  <c r="F51" i="8"/>
  <c r="E51" i="8"/>
  <c r="F43" i="8"/>
  <c r="E43" i="8"/>
  <c r="F35" i="8"/>
  <c r="J21" i="8" s="1"/>
  <c r="E35" i="8"/>
  <c r="H21" i="8" s="1"/>
  <c r="F19" i="8"/>
  <c r="E19" i="8"/>
  <c r="F3" i="8"/>
  <c r="J3" i="8" s="1"/>
  <c r="E3" i="8"/>
  <c r="H3" i="8" s="1"/>
  <c r="F66" i="8"/>
  <c r="J30" i="8" s="1"/>
  <c r="E66" i="8"/>
  <c r="H30" i="8" s="1"/>
  <c r="F50" i="8"/>
  <c r="E50" i="8"/>
  <c r="F34" i="8"/>
  <c r="J20" i="8" s="1"/>
  <c r="E34" i="8"/>
  <c r="H20" i="8" s="1"/>
  <c r="F18" i="8"/>
  <c r="E18" i="8"/>
  <c r="F2" i="8"/>
  <c r="J2" i="8" s="1"/>
  <c r="E2" i="8"/>
  <c r="H2" i="8" s="1"/>
  <c r="E25" i="8"/>
  <c r="F25" i="8"/>
  <c r="E17" i="8"/>
  <c r="F17" i="8"/>
  <c r="E9" i="8"/>
  <c r="H9" i="8" s="1"/>
  <c r="F9" i="8"/>
  <c r="J9" i="8" s="1"/>
  <c r="E33" i="8"/>
  <c r="H19" i="8" s="1"/>
  <c r="F11" i="8"/>
  <c r="J11" i="8" s="1"/>
  <c r="E11" i="8"/>
  <c r="H11" i="8" s="1"/>
  <c r="F74" i="8"/>
  <c r="J38" i="8" s="1"/>
  <c r="E74" i="8"/>
  <c r="H38" i="8" s="1"/>
  <c r="F58" i="8"/>
  <c r="E58" i="8"/>
  <c r="F42" i="8"/>
  <c r="J24" i="8" s="1"/>
  <c r="E42" i="8"/>
  <c r="H24" i="8" s="1"/>
  <c r="F26" i="8"/>
  <c r="E26" i="8"/>
  <c r="F10" i="8"/>
  <c r="J10" i="8" s="1"/>
  <c r="E10" i="8"/>
  <c r="H10" i="8" s="1"/>
  <c r="F5" i="8"/>
  <c r="J5" i="8" s="1"/>
  <c r="E77" i="8"/>
  <c r="H41" i="8" s="1"/>
  <c r="E69" i="8"/>
  <c r="H33" i="8" s="1"/>
  <c r="E61" i="8"/>
  <c r="E53" i="8"/>
  <c r="E45" i="8"/>
  <c r="E37" i="8"/>
  <c r="E29" i="8"/>
  <c r="F21" i="8"/>
  <c r="F13" i="8"/>
  <c r="J13" i="8" s="1"/>
  <c r="E76" i="8"/>
  <c r="H40" i="8" s="1"/>
  <c r="E68" i="8"/>
  <c r="H32" i="8" s="1"/>
  <c r="E60" i="8"/>
  <c r="E52" i="8"/>
  <c r="E44" i="8"/>
  <c r="H25" i="8" s="1"/>
  <c r="E36" i="8"/>
  <c r="H22" i="8" s="1"/>
  <c r="E28" i="8"/>
  <c r="H17" i="8" s="1"/>
  <c r="E80" i="8"/>
  <c r="H44" i="8" s="1"/>
  <c r="E72" i="8"/>
  <c r="H36" i="8" s="1"/>
  <c r="E64" i="8"/>
  <c r="H28" i="8" s="1"/>
  <c r="E56" i="8"/>
  <c r="E48" i="8"/>
  <c r="H27" i="8" s="1"/>
  <c r="E40" i="8"/>
  <c r="E32" i="8"/>
  <c r="H18" i="8" s="1"/>
  <c r="E23" i="8"/>
  <c r="E15" i="8"/>
  <c r="E7" i="8"/>
  <c r="H7" i="8" s="1"/>
  <c r="E79" i="8"/>
  <c r="H43" i="8" s="1"/>
  <c r="E71" i="8"/>
  <c r="H35" i="8" s="1"/>
  <c r="E63" i="8"/>
  <c r="E55" i="8"/>
  <c r="E47" i="8"/>
  <c r="E39" i="8"/>
  <c r="H23" i="8" s="1"/>
  <c r="E31" i="8"/>
  <c r="E22" i="8"/>
  <c r="H16" i="8" s="1"/>
  <c r="E14" i="8"/>
  <c r="H14" i="8" s="1"/>
  <c r="E6" i="8"/>
  <c r="H6" i="8" s="1"/>
  <c r="E78" i="8"/>
  <c r="H42" i="8" s="1"/>
  <c r="E70" i="8"/>
  <c r="H34" i="8" s="1"/>
  <c r="E62" i="8"/>
  <c r="E54" i="8"/>
  <c r="E46" i="8"/>
  <c r="H26" i="8" s="1"/>
  <c r="E38" i="8"/>
  <c r="E30" i="8"/>
  <c r="H13" i="9" l="1"/>
  <c r="S13" i="9" s="1"/>
  <c r="H96" i="9"/>
  <c r="S96" i="9" s="1"/>
  <c r="J84" i="9"/>
  <c r="T84" i="9" s="1"/>
  <c r="N82" i="9"/>
  <c r="V82" i="9" s="1"/>
  <c r="H84" i="9"/>
  <c r="S84" i="9" s="1"/>
  <c r="L57" i="9"/>
  <c r="U57" i="9" s="1"/>
  <c r="N57" i="9"/>
  <c r="V57" i="9" s="1"/>
  <c r="J7" i="9"/>
  <c r="T7" i="9" s="1"/>
  <c r="H57" i="9"/>
  <c r="S57" i="9" s="1"/>
  <c r="P82" i="9"/>
  <c r="W82" i="9" s="1"/>
  <c r="L82" i="9"/>
  <c r="U82" i="9" s="1"/>
  <c r="H82" i="9"/>
  <c r="S82" i="9" s="1"/>
  <c r="L21" i="9"/>
  <c r="U21" i="9" s="1"/>
  <c r="P11" i="9"/>
  <c r="W11" i="9" s="1"/>
  <c r="L11" i="9"/>
  <c r="U11" i="9" s="1"/>
  <c r="P48" i="9"/>
  <c r="W48" i="9" s="1"/>
  <c r="H24" i="9"/>
  <c r="S24" i="9" s="1"/>
  <c r="F96" i="9"/>
  <c r="R96" i="9" s="1"/>
  <c r="F24" i="9"/>
  <c r="R24" i="9" s="1"/>
  <c r="F83" i="9"/>
  <c r="R83" i="9" s="1"/>
  <c r="P83" i="9"/>
  <c r="W83" i="9" s="1"/>
  <c r="J44" i="9"/>
  <c r="T44" i="9" s="1"/>
  <c r="F44" i="9"/>
  <c r="R44" i="9" s="1"/>
  <c r="H56" i="9"/>
  <c r="S56" i="9" s="1"/>
  <c r="J23" i="9"/>
  <c r="T23" i="9" s="1"/>
  <c r="H28" i="9"/>
  <c r="S28" i="9" s="1"/>
  <c r="P6" i="9"/>
  <c r="W6" i="9" s="1"/>
  <c r="N36" i="9"/>
  <c r="V36" i="9" s="1"/>
  <c r="Q14" i="9"/>
  <c r="F26" i="9"/>
  <c r="R26" i="9" s="1"/>
  <c r="J12" i="9"/>
  <c r="T12" i="9" s="1"/>
  <c r="F6" i="9"/>
  <c r="R6" i="9" s="1"/>
  <c r="P84" i="9"/>
  <c r="W84" i="9" s="1"/>
  <c r="H44" i="9"/>
  <c r="S44" i="9" s="1"/>
  <c r="N44" i="9"/>
  <c r="V44" i="9" s="1"/>
  <c r="F84" i="9"/>
  <c r="R84" i="9" s="1"/>
  <c r="L37" i="9"/>
  <c r="U37" i="9" s="1"/>
  <c r="J58" i="9"/>
  <c r="T58" i="9" s="1"/>
  <c r="N92" i="9"/>
  <c r="V92" i="9" s="1"/>
  <c r="N33" i="9"/>
  <c r="V33" i="9" s="1"/>
  <c r="P13" i="9"/>
  <c r="W13" i="9" s="1"/>
  <c r="P44" i="9"/>
  <c r="W44" i="9" s="1"/>
  <c r="N21" i="9"/>
  <c r="V21" i="9" s="1"/>
  <c r="H6" i="9"/>
  <c r="S6" i="9" s="1"/>
  <c r="F28" i="9"/>
  <c r="R28" i="9" s="1"/>
  <c r="J86" i="9"/>
  <c r="T86" i="9" s="1"/>
  <c r="J63" i="9"/>
  <c r="T63" i="9" s="1"/>
  <c r="J94" i="9"/>
  <c r="T94" i="9" s="1"/>
  <c r="L53" i="9"/>
  <c r="U53" i="9" s="1"/>
  <c r="P40" i="9"/>
  <c r="W40" i="9" s="1"/>
  <c r="J70" i="9"/>
  <c r="T70" i="9" s="1"/>
  <c r="L63" i="9"/>
  <c r="U63" i="9" s="1"/>
  <c r="N71" i="9"/>
  <c r="V71" i="9" s="1"/>
  <c r="J8" i="9"/>
  <c r="T8" i="9" s="1"/>
  <c r="P28" i="9"/>
  <c r="W28" i="9" s="1"/>
  <c r="N53" i="9"/>
  <c r="V53" i="9" s="1"/>
  <c r="P53" i="9"/>
  <c r="W53" i="9" s="1"/>
  <c r="N12" i="9"/>
  <c r="V12" i="9" s="1"/>
  <c r="F42" i="9"/>
  <c r="R42" i="9" s="1"/>
  <c r="P21" i="9"/>
  <c r="W21" i="9" s="1"/>
  <c r="N64" i="9"/>
  <c r="V64" i="9" s="1"/>
  <c r="J21" i="9"/>
  <c r="T21" i="9" s="1"/>
  <c r="H17" i="9"/>
  <c r="S17" i="9" s="1"/>
  <c r="P61" i="9"/>
  <c r="W61" i="9" s="1"/>
  <c r="F21" i="9"/>
  <c r="R21" i="9" s="1"/>
  <c r="J47" i="9"/>
  <c r="T47" i="9" s="1"/>
  <c r="L68" i="9"/>
  <c r="U68" i="9" s="1"/>
  <c r="N68" i="9"/>
  <c r="V68" i="9" s="1"/>
  <c r="N62" i="9"/>
  <c r="V62" i="9" s="1"/>
  <c r="N6" i="9"/>
  <c r="V6" i="9" s="1"/>
  <c r="N30" i="9"/>
  <c r="V30" i="9" s="1"/>
  <c r="L49" i="9"/>
  <c r="U49" i="9" s="1"/>
  <c r="L28" i="9"/>
  <c r="U28" i="9" s="1"/>
  <c r="H87" i="9"/>
  <c r="S87" i="9" s="1"/>
  <c r="N38" i="9"/>
  <c r="V38" i="9" s="1"/>
  <c r="L40" i="9"/>
  <c r="U40" i="9" s="1"/>
  <c r="P37" i="9"/>
  <c r="W37" i="9" s="1"/>
  <c r="H79" i="9"/>
  <c r="S79" i="9" s="1"/>
  <c r="H33" i="9"/>
  <c r="S33" i="9" s="1"/>
  <c r="J57" i="9"/>
  <c r="T57" i="9" s="1"/>
  <c r="L42" i="9"/>
  <c r="U42" i="9" s="1"/>
  <c r="J53" i="9"/>
  <c r="T53" i="9" s="1"/>
  <c r="F13" i="9"/>
  <c r="R13" i="9" s="1"/>
  <c r="J37" i="9"/>
  <c r="T37" i="9" s="1"/>
  <c r="H70" i="9"/>
  <c r="S70" i="9" s="1"/>
  <c r="N37" i="9"/>
  <c r="V37" i="9" s="1"/>
  <c r="J13" i="9"/>
  <c r="T13" i="9" s="1"/>
  <c r="J79" i="9"/>
  <c r="T79" i="9" s="1"/>
  <c r="H91" i="9"/>
  <c r="S91" i="9" s="1"/>
  <c r="F79" i="9"/>
  <c r="R79" i="9" s="1"/>
  <c r="H92" i="9"/>
  <c r="S92" i="9" s="1"/>
  <c r="F53" i="9"/>
  <c r="R53" i="9" s="1"/>
  <c r="L71" i="9"/>
  <c r="U71" i="9" s="1"/>
  <c r="J25" i="9"/>
  <c r="T25" i="9" s="1"/>
  <c r="L72" i="9"/>
  <c r="U72" i="9" s="1"/>
  <c r="H25" i="9"/>
  <c r="S25" i="9" s="1"/>
  <c r="N25" i="9"/>
  <c r="V25" i="9" s="1"/>
  <c r="N13" i="9"/>
  <c r="V13" i="9" s="1"/>
  <c r="N79" i="9"/>
  <c r="V79" i="9" s="1"/>
  <c r="H88" i="9"/>
  <c r="S88" i="9" s="1"/>
  <c r="P25" i="9"/>
  <c r="W25" i="9" s="1"/>
  <c r="L25" i="9"/>
  <c r="U25" i="9" s="1"/>
  <c r="J42" i="9"/>
  <c r="T42" i="9" s="1"/>
  <c r="J71" i="9"/>
  <c r="T71" i="9" s="1"/>
  <c r="F92" i="9"/>
  <c r="R92" i="9" s="1"/>
  <c r="J92" i="9"/>
  <c r="T92" i="9" s="1"/>
  <c r="N84" i="9"/>
  <c r="V84" i="9" s="1"/>
  <c r="J28" i="9"/>
  <c r="T28" i="9" s="1"/>
  <c r="P58" i="9"/>
  <c r="W58" i="9" s="1"/>
  <c r="F38" i="9"/>
  <c r="R38" i="9" s="1"/>
  <c r="N32" i="9"/>
  <c r="V32" i="9" s="1"/>
  <c r="L86" i="9"/>
  <c r="U86" i="9" s="1"/>
  <c r="Q85" i="9"/>
  <c r="L15" i="9"/>
  <c r="U15" i="9" s="1"/>
  <c r="N17" i="9"/>
  <c r="V17" i="9" s="1"/>
  <c r="F17" i="9"/>
  <c r="R17" i="9" s="1"/>
  <c r="F32" i="9"/>
  <c r="R32" i="9" s="1"/>
  <c r="J32" i="9"/>
  <c r="T32" i="9" s="1"/>
  <c r="J36" i="9"/>
  <c r="T36" i="9" s="1"/>
  <c r="H69" i="9"/>
  <c r="S69" i="9" s="1"/>
  <c r="F86" i="9"/>
  <c r="R86" i="9" s="1"/>
  <c r="N87" i="9"/>
  <c r="V87" i="9" s="1"/>
  <c r="P23" i="9"/>
  <c r="W23" i="9" s="1"/>
  <c r="P87" i="9"/>
  <c r="W87" i="9" s="1"/>
  <c r="J38" i="9"/>
  <c r="T38" i="9" s="1"/>
  <c r="J45" i="9"/>
  <c r="T45" i="9" s="1"/>
  <c r="F37" i="9"/>
  <c r="R37" i="9" s="1"/>
  <c r="L38" i="9"/>
  <c r="U38" i="9" s="1"/>
  <c r="P42" i="9"/>
  <c r="W42" i="9" s="1"/>
  <c r="J68" i="9"/>
  <c r="T68" i="9" s="1"/>
  <c r="H46" i="9"/>
  <c r="S46" i="9" s="1"/>
  <c r="H62" i="9"/>
  <c r="S62" i="9" s="1"/>
  <c r="F7" i="9"/>
  <c r="R7" i="9" s="1"/>
  <c r="N23" i="9"/>
  <c r="V23" i="9" s="1"/>
  <c r="L87" i="9"/>
  <c r="U87" i="9" s="1"/>
  <c r="L90" i="9"/>
  <c r="U90" i="9" s="1"/>
  <c r="L92" i="9"/>
  <c r="U92" i="9" s="1"/>
  <c r="J6" i="9"/>
  <c r="T6" i="9" s="1"/>
  <c r="J46" i="9"/>
  <c r="T46" i="9" s="1"/>
  <c r="H21" i="9"/>
  <c r="S21" i="9" s="1"/>
  <c r="L6" i="9"/>
  <c r="U6" i="9" s="1"/>
  <c r="J26" i="9"/>
  <c r="T26" i="9" s="1"/>
  <c r="F43" i="9"/>
  <c r="R43" i="9" s="1"/>
  <c r="Q67" i="9"/>
  <c r="J75" i="9"/>
  <c r="T75" i="9" s="1"/>
  <c r="L62" i="9"/>
  <c r="U62" i="9" s="1"/>
  <c r="L45" i="9"/>
  <c r="U45" i="9" s="1"/>
  <c r="P70" i="9"/>
  <c r="W70" i="9" s="1"/>
  <c r="P92" i="9"/>
  <c r="W92" i="9" s="1"/>
  <c r="H37" i="9"/>
  <c r="S37" i="9" s="1"/>
  <c r="N11" i="9"/>
  <c r="V11" i="9" s="1"/>
  <c r="N28" i="9"/>
  <c r="V28" i="9" s="1"/>
  <c r="J40" i="9"/>
  <c r="T40" i="9" s="1"/>
  <c r="J62" i="9"/>
  <c r="T62" i="9" s="1"/>
  <c r="J69" i="9"/>
  <c r="T69" i="9" s="1"/>
  <c r="L69" i="9"/>
  <c r="U69" i="9" s="1"/>
  <c r="N46" i="9"/>
  <c r="V46" i="9" s="1"/>
  <c r="P52" i="9"/>
  <c r="W52" i="9" s="1"/>
  <c r="P95" i="9"/>
  <c r="W95" i="9" s="1"/>
  <c r="L46" i="9"/>
  <c r="U46" i="9" s="1"/>
  <c r="J52" i="9"/>
  <c r="T52" i="9" s="1"/>
  <c r="N72" i="9"/>
  <c r="V72" i="9" s="1"/>
  <c r="F87" i="9"/>
  <c r="R87" i="9" s="1"/>
  <c r="F91" i="9"/>
  <c r="R91" i="9" s="1"/>
  <c r="P68" i="9"/>
  <c r="W68" i="9" s="1"/>
  <c r="N63" i="9"/>
  <c r="V63" i="9" s="1"/>
  <c r="J49" i="9"/>
  <c r="T49" i="9" s="1"/>
  <c r="H11" i="9"/>
  <c r="S11" i="9" s="1"/>
  <c r="P62" i="9"/>
  <c r="W62" i="9" s="1"/>
  <c r="H12" i="9"/>
  <c r="S12" i="9" s="1"/>
  <c r="P12" i="9"/>
  <c r="W12" i="9" s="1"/>
  <c r="P26" i="9"/>
  <c r="W26" i="9" s="1"/>
  <c r="L26" i="9"/>
  <c r="U26" i="9" s="1"/>
  <c r="N49" i="9"/>
  <c r="V49" i="9" s="1"/>
  <c r="H51" i="9"/>
  <c r="S51" i="9" s="1"/>
  <c r="L50" i="9"/>
  <c r="U50" i="9" s="1"/>
  <c r="L36" i="9"/>
  <c r="U36" i="9" s="1"/>
  <c r="L91" i="9"/>
  <c r="U91" i="9" s="1"/>
  <c r="P71" i="9"/>
  <c r="W71" i="9" s="1"/>
  <c r="N70" i="9"/>
  <c r="V70" i="9" s="1"/>
  <c r="F33" i="9"/>
  <c r="R33" i="9" s="1"/>
  <c r="F45" i="9"/>
  <c r="R45" i="9" s="1"/>
  <c r="P49" i="9"/>
  <c r="W49" i="9" s="1"/>
  <c r="H68" i="9"/>
  <c r="S68" i="9" s="1"/>
  <c r="L24" i="9"/>
  <c r="U24" i="9" s="1"/>
  <c r="F10" i="9"/>
  <c r="R10" i="9" s="1"/>
  <c r="N9" i="9"/>
  <c r="V9" i="9" s="1"/>
  <c r="J17" i="9"/>
  <c r="T17" i="9" s="1"/>
  <c r="H26" i="9"/>
  <c r="S26" i="9" s="1"/>
  <c r="J24" i="9"/>
  <c r="T24" i="9" s="1"/>
  <c r="H49" i="9"/>
  <c r="S49" i="9" s="1"/>
  <c r="F49" i="9"/>
  <c r="R49" i="9" s="1"/>
  <c r="P51" i="9"/>
  <c r="W51" i="9" s="1"/>
  <c r="F62" i="9"/>
  <c r="R62" i="9" s="1"/>
  <c r="P33" i="9"/>
  <c r="W33" i="9" s="1"/>
  <c r="F69" i="9"/>
  <c r="R69" i="9" s="1"/>
  <c r="H45" i="9"/>
  <c r="S45" i="9" s="1"/>
  <c r="F11" i="9"/>
  <c r="R11" i="9" s="1"/>
  <c r="Q16" i="9"/>
  <c r="J18" i="9"/>
  <c r="T18" i="9" s="1"/>
  <c r="H58" i="9"/>
  <c r="S58" i="9" s="1"/>
  <c r="F58" i="9"/>
  <c r="R58" i="9" s="1"/>
  <c r="P47" i="9"/>
  <c r="W47" i="9" s="1"/>
  <c r="F90" i="9"/>
  <c r="R90" i="9" s="1"/>
  <c r="H8" i="9"/>
  <c r="S8" i="9" s="1"/>
  <c r="P22" i="9"/>
  <c r="W22" i="9" s="1"/>
  <c r="L30" i="9"/>
  <c r="U30" i="9" s="1"/>
  <c r="Q31" i="9"/>
  <c r="L33" i="9"/>
  <c r="U33" i="9" s="1"/>
  <c r="P30" i="9"/>
  <c r="W30" i="9" s="1"/>
  <c r="N51" i="9"/>
  <c r="V51" i="9" s="1"/>
  <c r="J56" i="9"/>
  <c r="T56" i="9" s="1"/>
  <c r="J50" i="9"/>
  <c r="T50" i="9" s="1"/>
  <c r="L75" i="9"/>
  <c r="U75" i="9" s="1"/>
  <c r="F61" i="9"/>
  <c r="R61" i="9" s="1"/>
  <c r="H89" i="9"/>
  <c r="S89" i="9" s="1"/>
  <c r="N54" i="9"/>
  <c r="V54" i="9" s="1"/>
  <c r="J90" i="9"/>
  <c r="T90" i="9" s="1"/>
  <c r="P54" i="9"/>
  <c r="W54" i="9" s="1"/>
  <c r="J33" i="9"/>
  <c r="T33" i="9" s="1"/>
  <c r="Q29" i="9"/>
  <c r="L96" i="9"/>
  <c r="U96" i="9" s="1"/>
  <c r="H54" i="9"/>
  <c r="S54" i="9" s="1"/>
  <c r="H38" i="9"/>
  <c r="S38" i="9" s="1"/>
  <c r="J22" i="9"/>
  <c r="T22" i="9" s="1"/>
  <c r="N96" i="9"/>
  <c r="V96" i="9" s="1"/>
  <c r="J96" i="9"/>
  <c r="T96" i="9" s="1"/>
  <c r="J95" i="9"/>
  <c r="T95" i="9" s="1"/>
  <c r="Q93" i="9"/>
  <c r="F68" i="9"/>
  <c r="R68" i="9" s="1"/>
  <c r="J54" i="9"/>
  <c r="T54" i="9" s="1"/>
  <c r="H22" i="9"/>
  <c r="S22" i="9" s="1"/>
  <c r="N58" i="9"/>
  <c r="V58" i="9" s="1"/>
  <c r="F47" i="9"/>
  <c r="R47" i="9" s="1"/>
  <c r="N24" i="9"/>
  <c r="V24" i="9" s="1"/>
  <c r="H41" i="9"/>
  <c r="S41" i="9" s="1"/>
  <c r="L54" i="9"/>
  <c r="U54" i="9" s="1"/>
  <c r="L47" i="9"/>
  <c r="U47" i="9" s="1"/>
  <c r="J51" i="9"/>
  <c r="T51" i="9" s="1"/>
  <c r="P36" i="9"/>
  <c r="W36" i="9" s="1"/>
  <c r="Q65" i="9"/>
  <c r="P69" i="9"/>
  <c r="W69" i="9" s="1"/>
  <c r="J72" i="9"/>
  <c r="T72" i="9" s="1"/>
  <c r="L94" i="9"/>
  <c r="U94" i="9" s="1"/>
  <c r="F95" i="9"/>
  <c r="R95" i="9" s="1"/>
  <c r="P94" i="9"/>
  <c r="W94" i="9" s="1"/>
  <c r="H95" i="9"/>
  <c r="S95" i="9" s="1"/>
  <c r="P63" i="9"/>
  <c r="W63" i="9" s="1"/>
  <c r="P46" i="9"/>
  <c r="W46" i="9" s="1"/>
  <c r="P38" i="9"/>
  <c r="W38" i="9" s="1"/>
  <c r="J11" i="9"/>
  <c r="T11" i="9" s="1"/>
  <c r="N7" i="9"/>
  <c r="V7" i="9" s="1"/>
  <c r="F41" i="9"/>
  <c r="R41" i="9" s="1"/>
  <c r="L41" i="9"/>
  <c r="U41" i="9" s="1"/>
  <c r="P56" i="9"/>
  <c r="W56" i="9" s="1"/>
  <c r="N74" i="9"/>
  <c r="V74" i="9" s="1"/>
  <c r="P90" i="9"/>
  <c r="W90" i="9" s="1"/>
  <c r="N90" i="9"/>
  <c r="V90" i="9" s="1"/>
  <c r="F70" i="9"/>
  <c r="R70" i="9" s="1"/>
  <c r="H63" i="9"/>
  <c r="S63" i="9" s="1"/>
  <c r="F46" i="9"/>
  <c r="R46" i="9" s="1"/>
  <c r="F15" i="9"/>
  <c r="R15" i="9" s="1"/>
  <c r="H18" i="9"/>
  <c r="S18" i="9" s="1"/>
  <c r="N8" i="9"/>
  <c r="V8" i="9" s="1"/>
  <c r="F12" i="9"/>
  <c r="R12" i="9" s="1"/>
  <c r="F22" i="9"/>
  <c r="R22" i="9" s="1"/>
  <c r="L22" i="9"/>
  <c r="U22" i="9" s="1"/>
  <c r="F23" i="9"/>
  <c r="R23" i="9" s="1"/>
  <c r="L23" i="9"/>
  <c r="U23" i="9" s="1"/>
  <c r="N26" i="9"/>
  <c r="V26" i="9" s="1"/>
  <c r="N41" i="9"/>
  <c r="V41" i="9" s="1"/>
  <c r="L58" i="9"/>
  <c r="U58" i="9" s="1"/>
  <c r="L56" i="9"/>
  <c r="U56" i="9" s="1"/>
  <c r="H40" i="9"/>
  <c r="S40" i="9" s="1"/>
  <c r="F74" i="9"/>
  <c r="R74" i="9" s="1"/>
  <c r="Q73" i="9"/>
  <c r="J66" i="9"/>
  <c r="T66" i="9" s="1"/>
  <c r="N69" i="9"/>
  <c r="V69" i="9" s="1"/>
  <c r="H90" i="9"/>
  <c r="S90" i="9" s="1"/>
  <c r="F63" i="9"/>
  <c r="R63" i="9" s="1"/>
  <c r="J87" i="9"/>
  <c r="T87" i="9" s="1"/>
  <c r="H71" i="9"/>
  <c r="S71" i="9" s="1"/>
  <c r="N45" i="9"/>
  <c r="V45" i="9" s="1"/>
  <c r="P97" i="9"/>
  <c r="W97" i="9" s="1"/>
  <c r="H97" i="9"/>
  <c r="S97" i="9" s="1"/>
  <c r="L89" i="9"/>
  <c r="U89" i="9" s="1"/>
  <c r="J97" i="9"/>
  <c r="T97" i="9" s="1"/>
  <c r="N91" i="9"/>
  <c r="V91" i="9" s="1"/>
  <c r="N83" i="9"/>
  <c r="V83" i="9" s="1"/>
  <c r="J83" i="9"/>
  <c r="T83" i="9" s="1"/>
  <c r="F97" i="9"/>
  <c r="R97" i="9" s="1"/>
  <c r="L83" i="9"/>
  <c r="U83" i="9" s="1"/>
  <c r="H94" i="9"/>
  <c r="S94" i="9" s="1"/>
  <c r="N88" i="9"/>
  <c r="V88" i="9" s="1"/>
  <c r="J91" i="9"/>
  <c r="T91" i="9" s="1"/>
  <c r="N94" i="9"/>
  <c r="V94" i="9" s="1"/>
  <c r="P86" i="9"/>
  <c r="W86" i="9" s="1"/>
  <c r="H86" i="9"/>
  <c r="S86" i="9" s="1"/>
  <c r="F89" i="9"/>
  <c r="R89" i="9" s="1"/>
  <c r="N97" i="9"/>
  <c r="V97" i="9" s="1"/>
  <c r="J89" i="9"/>
  <c r="T89" i="9" s="1"/>
  <c r="F94" i="9"/>
  <c r="R94" i="9" s="1"/>
  <c r="F88" i="9"/>
  <c r="R88" i="9" s="1"/>
  <c r="L88" i="9"/>
  <c r="U88" i="9" s="1"/>
  <c r="P89" i="9"/>
  <c r="W89" i="9" s="1"/>
  <c r="L95" i="9"/>
  <c r="U95" i="9" s="1"/>
  <c r="J88" i="9"/>
  <c r="T88" i="9" s="1"/>
  <c r="N86" i="9"/>
  <c r="V86" i="9" s="1"/>
  <c r="J78" i="9"/>
  <c r="T78" i="9" s="1"/>
  <c r="L79" i="9"/>
  <c r="U79" i="9" s="1"/>
  <c r="L78" i="9"/>
  <c r="U78" i="9" s="1"/>
  <c r="N78" i="9"/>
  <c r="V78" i="9" s="1"/>
  <c r="H78" i="9"/>
  <c r="S78" i="9" s="1"/>
  <c r="F78" i="9"/>
  <c r="R78" i="9" s="1"/>
  <c r="F66" i="9"/>
  <c r="R66" i="9" s="1"/>
  <c r="J64" i="9"/>
  <c r="T64" i="9" s="1"/>
  <c r="H64" i="9"/>
  <c r="S64" i="9" s="1"/>
  <c r="H74" i="9"/>
  <c r="S74" i="9" s="1"/>
  <c r="N75" i="9"/>
  <c r="V75" i="9" s="1"/>
  <c r="J74" i="9"/>
  <c r="T74" i="9" s="1"/>
  <c r="L61" i="9"/>
  <c r="U61" i="9" s="1"/>
  <c r="H61" i="9"/>
  <c r="S61" i="9" s="1"/>
  <c r="P64" i="9"/>
  <c r="W64" i="9" s="1"/>
  <c r="L74" i="9"/>
  <c r="U74" i="9" s="1"/>
  <c r="F75" i="9"/>
  <c r="R75" i="9" s="1"/>
  <c r="J61" i="9"/>
  <c r="T61" i="9" s="1"/>
  <c r="N66" i="9"/>
  <c r="V66" i="9" s="1"/>
  <c r="P75" i="9"/>
  <c r="W75" i="9" s="1"/>
  <c r="H72" i="9"/>
  <c r="S72" i="9" s="1"/>
  <c r="L64" i="9"/>
  <c r="U64" i="9" s="1"/>
  <c r="F72" i="9"/>
  <c r="R72" i="9" s="1"/>
  <c r="L66" i="9"/>
  <c r="U66" i="9" s="1"/>
  <c r="P72" i="9"/>
  <c r="W72" i="9" s="1"/>
  <c r="H66" i="9"/>
  <c r="S66" i="9" s="1"/>
  <c r="F64" i="9"/>
  <c r="R64" i="9" s="1"/>
  <c r="H75" i="9"/>
  <c r="S75" i="9" s="1"/>
  <c r="N48" i="9"/>
  <c r="V48" i="9" s="1"/>
  <c r="J39" i="9"/>
  <c r="T39" i="9" s="1"/>
  <c r="P43" i="9"/>
  <c r="W43" i="9" s="1"/>
  <c r="P39" i="9"/>
  <c r="W39" i="9" s="1"/>
  <c r="L48" i="9"/>
  <c r="U48" i="9" s="1"/>
  <c r="H39" i="9"/>
  <c r="S39" i="9" s="1"/>
  <c r="L39" i="9"/>
  <c r="U39" i="9" s="1"/>
  <c r="L52" i="9"/>
  <c r="U52" i="9" s="1"/>
  <c r="J48" i="9"/>
  <c r="T48" i="9" s="1"/>
  <c r="F50" i="9"/>
  <c r="R50" i="9" s="1"/>
  <c r="J43" i="9"/>
  <c r="T43" i="9" s="1"/>
  <c r="H48" i="9"/>
  <c r="S48" i="9" s="1"/>
  <c r="H47" i="9"/>
  <c r="S47" i="9" s="1"/>
  <c r="F39" i="9"/>
  <c r="R39" i="9" s="1"/>
  <c r="H43" i="9"/>
  <c r="S43" i="9" s="1"/>
  <c r="L55" i="9"/>
  <c r="U55" i="9" s="1"/>
  <c r="H50" i="9"/>
  <c r="S50" i="9" s="1"/>
  <c r="N43" i="9"/>
  <c r="V43" i="9" s="1"/>
  <c r="F48" i="9"/>
  <c r="R48" i="9" s="1"/>
  <c r="F55" i="9"/>
  <c r="R55" i="9" s="1"/>
  <c r="N56" i="9"/>
  <c r="V56" i="9" s="1"/>
  <c r="N40" i="9"/>
  <c r="V40" i="9" s="1"/>
  <c r="F52" i="9"/>
  <c r="R52" i="9" s="1"/>
  <c r="F36" i="9"/>
  <c r="R36" i="9" s="1"/>
  <c r="N42" i="9"/>
  <c r="V42" i="9" s="1"/>
  <c r="P50" i="9"/>
  <c r="W50" i="9" s="1"/>
  <c r="H36" i="9"/>
  <c r="S36" i="9" s="1"/>
  <c r="J41" i="9"/>
  <c r="T41" i="9" s="1"/>
  <c r="N47" i="9"/>
  <c r="V47" i="9" s="1"/>
  <c r="J55" i="9"/>
  <c r="T55" i="9" s="1"/>
  <c r="N55" i="9"/>
  <c r="V55" i="9" s="1"/>
  <c r="P55" i="9"/>
  <c r="W55" i="9" s="1"/>
  <c r="F56" i="9"/>
  <c r="R56" i="9" s="1"/>
  <c r="F40" i="9"/>
  <c r="R40" i="9" s="1"/>
  <c r="L43" i="9"/>
  <c r="U43" i="9" s="1"/>
  <c r="F51" i="9"/>
  <c r="R51" i="9" s="1"/>
  <c r="H52" i="9"/>
  <c r="S52" i="9" s="1"/>
  <c r="H42" i="9"/>
  <c r="S42" i="9" s="1"/>
  <c r="N50" i="9"/>
  <c r="V50" i="9" s="1"/>
  <c r="H55" i="9"/>
  <c r="S55" i="9" s="1"/>
  <c r="L32" i="9"/>
  <c r="U32" i="9" s="1"/>
  <c r="H30" i="9"/>
  <c r="S30" i="9" s="1"/>
  <c r="N27" i="9"/>
  <c r="V27" i="9" s="1"/>
  <c r="J30" i="9"/>
  <c r="T30" i="9" s="1"/>
  <c r="H32" i="9"/>
  <c r="S32" i="9" s="1"/>
  <c r="F30" i="9"/>
  <c r="R30" i="9" s="1"/>
  <c r="F27" i="9"/>
  <c r="R27" i="9" s="1"/>
  <c r="L27" i="9"/>
  <c r="U27" i="9" s="1"/>
  <c r="P27" i="9"/>
  <c r="W27" i="9" s="1"/>
  <c r="H27" i="9"/>
  <c r="S27" i="9" s="1"/>
  <c r="P7" i="9"/>
  <c r="W7" i="9" s="1"/>
  <c r="J15" i="9"/>
  <c r="T15" i="9" s="1"/>
  <c r="H9" i="9"/>
  <c r="S9" i="9" s="1"/>
  <c r="F8" i="9"/>
  <c r="R8" i="9" s="1"/>
  <c r="L18" i="9"/>
  <c r="U18" i="9" s="1"/>
  <c r="H7" i="9"/>
  <c r="S7" i="9" s="1"/>
  <c r="L12" i="9"/>
  <c r="U12" i="9" s="1"/>
  <c r="N15" i="9"/>
  <c r="V15" i="9" s="1"/>
  <c r="F9" i="9"/>
  <c r="R9" i="9" s="1"/>
  <c r="L8" i="9"/>
  <c r="U8" i="9" s="1"/>
  <c r="L9" i="9"/>
  <c r="U9" i="9" s="1"/>
  <c r="L7" i="9"/>
  <c r="U7" i="9" s="1"/>
  <c r="L10" i="9"/>
  <c r="U10" i="9" s="1"/>
  <c r="P10" i="9"/>
  <c r="W10" i="9" s="1"/>
  <c r="N18" i="9"/>
  <c r="V18" i="9" s="1"/>
  <c r="J10" i="9"/>
  <c r="T10" i="9" s="1"/>
  <c r="P8" i="9"/>
  <c r="W8" i="9" s="1"/>
  <c r="P15" i="9"/>
  <c r="W15" i="9" s="1"/>
  <c r="H15" i="9"/>
  <c r="S15" i="9" s="1"/>
  <c r="P18" i="9"/>
  <c r="W18" i="9" s="1"/>
  <c r="H10" i="9"/>
  <c r="S10" i="9" s="1"/>
  <c r="L17" i="9"/>
  <c r="U17" i="9" s="1"/>
  <c r="J9" i="9"/>
  <c r="T9" i="9" s="1"/>
  <c r="Q82" i="9" l="1"/>
  <c r="Q57" i="9"/>
  <c r="Q84" i="9"/>
  <c r="Q44" i="9"/>
  <c r="Q21" i="9"/>
  <c r="Q13" i="9"/>
  <c r="Q37" i="9"/>
  <c r="Q53" i="9"/>
  <c r="Q28" i="9"/>
  <c r="Q25" i="9"/>
  <c r="Q49" i="9"/>
  <c r="Q17" i="9"/>
  <c r="Q71" i="9"/>
  <c r="Q6" i="9"/>
  <c r="Q92" i="9"/>
  <c r="Q79" i="9"/>
  <c r="Q26" i="9"/>
  <c r="Q83" i="9"/>
  <c r="Q62" i="9"/>
  <c r="Q68" i="9"/>
  <c r="Q11" i="9"/>
  <c r="Q51" i="9"/>
  <c r="Q69" i="9"/>
  <c r="Q72" i="9"/>
  <c r="Q95" i="9"/>
  <c r="Q86" i="9"/>
  <c r="Q91" i="9"/>
  <c r="Q24" i="9"/>
  <c r="Q32" i="9"/>
  <c r="Q97" i="9"/>
  <c r="Q54" i="9"/>
  <c r="Q45" i="9"/>
  <c r="Q33" i="9"/>
  <c r="Q96" i="9"/>
  <c r="Q10" i="9"/>
  <c r="Q87" i="9"/>
  <c r="Q70" i="9"/>
  <c r="Q7" i="9"/>
  <c r="Q8" i="9"/>
  <c r="Q42" i="9"/>
  <c r="Q94" i="9"/>
  <c r="Q63" i="9"/>
  <c r="Q12" i="9"/>
  <c r="Q38" i="9"/>
  <c r="Q89" i="9"/>
  <c r="Q27" i="9"/>
  <c r="Q52" i="9"/>
  <c r="Q43" i="9"/>
  <c r="Q88" i="9"/>
  <c r="Q46" i="9"/>
  <c r="Q30" i="9"/>
  <c r="Q47" i="9"/>
  <c r="Q48" i="9"/>
  <c r="Q41" i="9"/>
  <c r="Q22" i="9"/>
  <c r="Q50" i="9"/>
  <c r="Q64" i="9"/>
  <c r="Q78" i="9"/>
  <c r="Q15" i="9"/>
  <c r="Q61" i="9"/>
  <c r="Q9" i="9"/>
  <c r="Q66" i="9"/>
  <c r="Q58" i="9"/>
  <c r="Q40" i="9"/>
  <c r="Q90" i="9"/>
  <c r="Q39" i="9"/>
  <c r="Q18" i="9"/>
  <c r="Q56" i="9"/>
  <c r="Q55" i="9"/>
  <c r="Q36" i="9"/>
  <c r="Q75" i="9"/>
  <c r="Q74" i="9"/>
  <c r="Q23" i="9"/>
  <c r="Z6" i="9" l="1"/>
  <c r="Z10" i="9"/>
  <c r="Z11" i="9"/>
  <c r="Z9" i="9"/>
  <c r="Z5" i="9"/>
  <c r="Z8" i="9"/>
  <c r="Z7" i="9"/>
</calcChain>
</file>

<file path=xl/sharedStrings.xml><?xml version="1.0" encoding="utf-8"?>
<sst xmlns="http://schemas.openxmlformats.org/spreadsheetml/2006/main" count="16972" uniqueCount="878">
  <si>
    <t>Available Markets: All Available Markets</t>
  </si>
  <si>
    <t xml:space="preserve">Selected Periods: 2030Y , 2029Y , 2028Y , 2027Y , 2026Y , 2025Y , 2024Y </t>
  </si>
  <si>
    <t>Available Metrics  Penetration/Market Share,  ARPU</t>
  </si>
  <si>
    <t>Rank by: Market</t>
  </si>
  <si>
    <t>2024</t>
  </si>
  <si>
    <t>2025</t>
  </si>
  <si>
    <t>2026</t>
  </si>
  <si>
    <t>2027</t>
  </si>
  <si>
    <t>2028</t>
  </si>
  <si>
    <t>2029</t>
  </si>
  <si>
    <t>2030</t>
  </si>
  <si>
    <t>CAGR (%)
2024-2030</t>
  </si>
  <si>
    <t xml:space="preserve"> </t>
  </si>
  <si>
    <t>Residential Broadband Subs/ Occupied Households (%)</t>
  </si>
  <si>
    <t>Argentina</t>
  </si>
  <si>
    <t>Asia Pacific Summary</t>
  </si>
  <si>
    <t>Australia</t>
  </si>
  <si>
    <t>Austria</t>
  </si>
  <si>
    <t>Bahamas</t>
  </si>
  <si>
    <t>Bahrain</t>
  </si>
  <si>
    <t>Barbados</t>
  </si>
  <si>
    <t>Belgium</t>
  </si>
  <si>
    <t>Bolivia</t>
  </si>
  <si>
    <t>Brazil</t>
  </si>
  <si>
    <t>Bulgaria</t>
  </si>
  <si>
    <t>Cambodia</t>
  </si>
  <si>
    <t>Canada</t>
  </si>
  <si>
    <t>Chile</t>
  </si>
  <si>
    <t>China</t>
  </si>
  <si>
    <t>Colombia</t>
  </si>
  <si>
    <t>Costa Rica</t>
  </si>
  <si>
    <t>Croatia</t>
  </si>
  <si>
    <t>Czechia</t>
  </si>
  <si>
    <t>Denmark</t>
  </si>
  <si>
    <t>Dominican Republic</t>
  </si>
  <si>
    <t>Eastern Europe Summary</t>
  </si>
  <si>
    <t>Ecuador</t>
  </si>
  <si>
    <t>Egypt</t>
  </si>
  <si>
    <t>El Salvador</t>
  </si>
  <si>
    <t>Estonia</t>
  </si>
  <si>
    <t>Finland</t>
  </si>
  <si>
    <t>France</t>
  </si>
  <si>
    <t>Germany</t>
  </si>
  <si>
    <t>Greece</t>
  </si>
  <si>
    <t>Guatemala</t>
  </si>
  <si>
    <t>Honduras</t>
  </si>
  <si>
    <t>Hong Kong</t>
  </si>
  <si>
    <t>Hungary</t>
  </si>
  <si>
    <t>India</t>
  </si>
  <si>
    <t>Indonesia</t>
  </si>
  <si>
    <t>Iraq</t>
  </si>
  <si>
    <t>Ireland</t>
  </si>
  <si>
    <t>Israel</t>
  </si>
  <si>
    <t>Italy</t>
  </si>
  <si>
    <t>Jamaica</t>
  </si>
  <si>
    <t>Japan</t>
  </si>
  <si>
    <t>Jordan</t>
  </si>
  <si>
    <t>Kenya</t>
  </si>
  <si>
    <t>NA</t>
  </si>
  <si>
    <t>Kuwait</t>
  </si>
  <si>
    <t>Laos</t>
  </si>
  <si>
    <t>Latin America and Caribbean Summary</t>
  </si>
  <si>
    <t>Latvia</t>
  </si>
  <si>
    <t>Lebanon</t>
  </si>
  <si>
    <t>Lithuania</t>
  </si>
  <si>
    <t>Malaysia</t>
  </si>
  <si>
    <t>Mexico</t>
  </si>
  <si>
    <t>Middle East and Africa Summary</t>
  </si>
  <si>
    <t>Morocco</t>
  </si>
  <si>
    <t>Myanmar</t>
  </si>
  <si>
    <t>Netherlands</t>
  </si>
  <si>
    <t>New Zealand</t>
  </si>
  <si>
    <t>Nicaragua</t>
  </si>
  <si>
    <t>Nigeria</t>
  </si>
  <si>
    <t>North America Summary</t>
  </si>
  <si>
    <t>Norway</t>
  </si>
  <si>
    <t>Oman</t>
  </si>
  <si>
    <t>Other Markets - Asia Pacific Summary</t>
  </si>
  <si>
    <t>Other Markets - Eastern Europe Summary</t>
  </si>
  <si>
    <t>Other Markets - Latin America and Caribbean Summary</t>
  </si>
  <si>
    <t>Other Markets - Middle East and Africa Summary</t>
  </si>
  <si>
    <t>Other Markets - Western Europe Summary</t>
  </si>
  <si>
    <t>Pakistan</t>
  </si>
  <si>
    <t>Palestine</t>
  </si>
  <si>
    <t>Panama</t>
  </si>
  <si>
    <t>Paraguay</t>
  </si>
  <si>
    <t>Peru</t>
  </si>
  <si>
    <t>Philippines</t>
  </si>
  <si>
    <t>Poland</t>
  </si>
  <si>
    <t>Portugal</t>
  </si>
  <si>
    <t>Puerto Rico</t>
  </si>
  <si>
    <t>Qatar</t>
  </si>
  <si>
    <t>Romania</t>
  </si>
  <si>
    <t>Russia</t>
  </si>
  <si>
    <t>Saudi Arabia</t>
  </si>
  <si>
    <t>Serbia</t>
  </si>
  <si>
    <t>Singapore</t>
  </si>
  <si>
    <t>Slovakia</t>
  </si>
  <si>
    <t>Slovenia</t>
  </si>
  <si>
    <t>South Africa</t>
  </si>
  <si>
    <t>South Korea</t>
  </si>
  <si>
    <t>Spain</t>
  </si>
  <si>
    <t>Sweden</t>
  </si>
  <si>
    <t>Switzerland</t>
  </si>
  <si>
    <t>Syria</t>
  </si>
  <si>
    <t>Taiwan</t>
  </si>
  <si>
    <t>Thailand</t>
  </si>
  <si>
    <t>Trinidad and Tobago</t>
  </si>
  <si>
    <t>Türkiye</t>
  </si>
  <si>
    <t>United Arab Emirates</t>
  </si>
  <si>
    <t>United Kingdom</t>
  </si>
  <si>
    <t>Uruguay</t>
  </si>
  <si>
    <t>USA</t>
  </si>
  <si>
    <t>Venezuela</t>
  </si>
  <si>
    <t>Vietnam</t>
  </si>
  <si>
    <t>Western Europe Summary</t>
  </si>
  <si>
    <t>Yemen</t>
  </si>
  <si>
    <t>Residential Cable BB Subs/ Occupied Households (%)</t>
  </si>
  <si>
    <t>Residential DSL BB Subs/ Occupied Households (%)</t>
  </si>
  <si>
    <t>Residential Fiber BB Subs/ Occupied Households (%)</t>
  </si>
  <si>
    <t>Residential Satellite BB Subs/ Occupied Households (%)</t>
  </si>
  <si>
    <t>Residential Fixed Wireless BB Subs/ Occupied HHs (%)</t>
  </si>
  <si>
    <t>Residential Other Broadband Subs/ Occupied HHs (%)</t>
  </si>
  <si>
    <t>Cable Share of Residential Broadband Subs (%)</t>
  </si>
  <si>
    <t>DSL Share of Residential Broadband Subs (%)</t>
  </si>
  <si>
    <t>Fiber Share of Residential Broadband Subs (%)</t>
  </si>
  <si>
    <t>Satellite Share of Residential Broadband Subs (%)</t>
  </si>
  <si>
    <t>Fixed Wireless Share of Residential Broadband Subs (%)</t>
  </si>
  <si>
    <t>Other Broadband Share of Residential BB Subs (%)</t>
  </si>
  <si>
    <t>Residential Broadband ARPU ($)</t>
  </si>
  <si>
    <t>Res Cable Broadband ARPU ($)</t>
  </si>
  <si>
    <t>Res DSL Broadband ARPU ($)</t>
  </si>
  <si>
    <t>Res Fiber Broadband ARPU ($)</t>
  </si>
  <si>
    <t>Residential Satellite Broadband ARPU ($)</t>
  </si>
  <si>
    <t>Residential Fixed Wireless Broadband ARPU ($)</t>
  </si>
  <si>
    <t>© 2026 Kagan, a division of S&amp;P Global Market Intelligence, estimates. All rights reserved.</t>
  </si>
  <si>
    <t xml:space="preserve">The information contained in this report was obtained from various sources which we believe to be reliable, but we do not guarantee its accuracy or completeness. Opinions and projections contained in this report are the opinions and conclusions of Kagan based upon the data available to it and are not intended to be statements of fact. The information, opinions and projections contained in this report speak only as of the date of this report and are subject to change without notice.
</t>
  </si>
  <si>
    <t>Global Advertising data is provided by ©Magna Global. All other advertising related data in this report are the opinions and conclusions of Kagan, a division of S&amp;P Global Market Intelligence.</t>
  </si>
  <si>
    <t>Access additional footnotes and methodology related to the TMT Geography Knowledge Base here.</t>
  </si>
  <si>
    <t>TMT Geography Knowledge Base (Group by Metric)</t>
  </si>
  <si>
    <t>Residential Cable Broadband ARPU ($)</t>
  </si>
  <si>
    <t>Residential DSL Broadband ARPU ($)</t>
  </si>
  <si>
    <t>Residential Fiber Broadband ARPU ($)</t>
  </si>
  <si>
    <t>TMT Geography Knowledge Base (Group by Market)</t>
  </si>
  <si>
    <t>Residential Other Broadband Subscriptions (actual)</t>
  </si>
  <si>
    <t>Residential Fixed Wireless Broadband Subscriptions (actual)</t>
  </si>
  <si>
    <t>Residential Satellite Broadband Subscriptions (actual)</t>
  </si>
  <si>
    <t>Residential Fiber Broadband Subscriptions (actual)</t>
  </si>
  <si>
    <t>Residential DSL Broadband Subscriptions (actual)</t>
  </si>
  <si>
    <t>Residential Cable Broadband Subscriptions (actual)</t>
  </si>
  <si>
    <t>Residential Broadband Subscriptions (actual)</t>
  </si>
  <si>
    <t>TV Households (actual)</t>
  </si>
  <si>
    <t>Occupied Households (actual)</t>
  </si>
  <si>
    <t>Population (actual)</t>
  </si>
  <si>
    <t>Available Metrics  Household Universe,  Subscriptions</t>
  </si>
  <si>
    <t>Available</t>
  </si>
  <si>
    <t>√Öland Islands</t>
  </si>
  <si>
    <t>AX</t>
  </si>
  <si>
    <t>Zimbabwe</t>
  </si>
  <si>
    <t>ZW</t>
  </si>
  <si>
    <t>Zambia</t>
  </si>
  <si>
    <t>ZM</t>
  </si>
  <si>
    <t>YE</t>
  </si>
  <si>
    <t>Service date is unknown at this time</t>
  </si>
  <si>
    <t>Coming Soon</t>
  </si>
  <si>
    <t>Western Sahara</t>
  </si>
  <si>
    <t>EH</t>
  </si>
  <si>
    <t>Starting in 2026</t>
  </si>
  <si>
    <t>Wallis &amp; Futuna</t>
  </si>
  <si>
    <t>WF</t>
  </si>
  <si>
    <t>Virgin Islands, British</t>
  </si>
  <si>
    <t>VG</t>
  </si>
  <si>
    <t>Pending regulatory approval</t>
  </si>
  <si>
    <t>Viet Nam</t>
  </si>
  <si>
    <t>VN</t>
  </si>
  <si>
    <t>Venezuela, Bolivarian Republic of</t>
  </si>
  <si>
    <t>VE</t>
  </si>
  <si>
    <t>Vanuatu</t>
  </si>
  <si>
    <t>VU</t>
  </si>
  <si>
    <t>Uzbekistan</t>
  </si>
  <si>
    <t>UZ</t>
  </si>
  <si>
    <t>UY</t>
  </si>
  <si>
    <t>United States</t>
  </si>
  <si>
    <t>US</t>
  </si>
  <si>
    <t>GB</t>
  </si>
  <si>
    <t>AE</t>
  </si>
  <si>
    <t>Not Available (Excluded)</t>
  </si>
  <si>
    <t>Ukraine</t>
  </si>
  <si>
    <t>UA</t>
  </si>
  <si>
    <t>Uganda</t>
  </si>
  <si>
    <t>UG</t>
  </si>
  <si>
    <t>U.S. Virgin Islands</t>
  </si>
  <si>
    <t>VI</t>
  </si>
  <si>
    <t>U.S. Minor Outlying Islands</t>
  </si>
  <si>
    <t>UM</t>
  </si>
  <si>
    <t>T√ºrkiye</t>
  </si>
  <si>
    <t>TR</t>
  </si>
  <si>
    <t>Tuvalu</t>
  </si>
  <si>
    <t>TV</t>
  </si>
  <si>
    <t>Turks and Caicos Islands</t>
  </si>
  <si>
    <t>TC</t>
  </si>
  <si>
    <t>Turkmenistan</t>
  </si>
  <si>
    <t>TM</t>
  </si>
  <si>
    <t>Tunisia</t>
  </si>
  <si>
    <t>TN</t>
  </si>
  <si>
    <t>TT</t>
  </si>
  <si>
    <t>Tonga</t>
  </si>
  <si>
    <t>TO</t>
  </si>
  <si>
    <t>Tokelau</t>
  </si>
  <si>
    <t>TK</t>
  </si>
  <si>
    <t>Togo</t>
  </si>
  <si>
    <t>TG</t>
  </si>
  <si>
    <t>Timor-Leste</t>
  </si>
  <si>
    <t>TL</t>
  </si>
  <si>
    <t>Pending Regulatory Approval</t>
  </si>
  <si>
    <t>TH</t>
  </si>
  <si>
    <t>Tanzania, United Republic of</t>
  </si>
  <si>
    <t>TZ</t>
  </si>
  <si>
    <t>Tajikistan</t>
  </si>
  <si>
    <t>TJ</t>
  </si>
  <si>
    <t>Taiwan, Province of China</t>
  </si>
  <si>
    <t>TW</t>
  </si>
  <si>
    <t>Not Available (Blocked)</t>
  </si>
  <si>
    <t>Syrian Arab Republic</t>
  </si>
  <si>
    <t>SY</t>
  </si>
  <si>
    <t>CH</t>
  </si>
  <si>
    <t>SE</t>
  </si>
  <si>
    <t>Svalbard &amp; Jan Mayen</t>
  </si>
  <si>
    <t>SJ</t>
  </si>
  <si>
    <t>Suriname</t>
  </si>
  <si>
    <t>SR</t>
  </si>
  <si>
    <t>Sudan</t>
  </si>
  <si>
    <t>SD</t>
  </si>
  <si>
    <t>Sri Lanka</t>
  </si>
  <si>
    <t>LK</t>
  </si>
  <si>
    <t>ES</t>
  </si>
  <si>
    <t>South Sudan</t>
  </si>
  <si>
    <t>SS</t>
  </si>
  <si>
    <t>South Georgia &amp; South Sandwich Islands</t>
  </si>
  <si>
    <t>GS</t>
  </si>
  <si>
    <t>ZA</t>
  </si>
  <si>
    <t>Status Unknown</t>
  </si>
  <si>
    <t>Somaliland (Unrecognized)</t>
  </si>
  <si>
    <t>XS</t>
  </si>
  <si>
    <t>Somalia</t>
  </si>
  <si>
    <t>SO</t>
  </si>
  <si>
    <t>Solomon Islands</t>
  </si>
  <si>
    <t>SB</t>
  </si>
  <si>
    <t>SI</t>
  </si>
  <si>
    <t>SK</t>
  </si>
  <si>
    <t>Sint Maarten</t>
  </si>
  <si>
    <t>SX</t>
  </si>
  <si>
    <t>SG</t>
  </si>
  <si>
    <t>Sierra Leone</t>
  </si>
  <si>
    <t>SL</t>
  </si>
  <si>
    <t>Seychelles</t>
  </si>
  <si>
    <t>SC</t>
  </si>
  <si>
    <t>RS</t>
  </si>
  <si>
    <t>Senegal</t>
  </si>
  <si>
    <t>SN</t>
  </si>
  <si>
    <t>SA</t>
  </si>
  <si>
    <t>Sao Tome and Principe</t>
  </si>
  <si>
    <t>ST</t>
  </si>
  <si>
    <t>San Marino</t>
  </si>
  <si>
    <t>SM</t>
  </si>
  <si>
    <t>Samoa</t>
  </si>
  <si>
    <t>WS</t>
  </si>
  <si>
    <t>Saint Vincent and the Grenadines</t>
  </si>
  <si>
    <t>VC</t>
  </si>
  <si>
    <t>Saint Pierre &amp; Miquelon</t>
  </si>
  <si>
    <t>PM</t>
  </si>
  <si>
    <t>Saint Martin (French)</t>
  </si>
  <si>
    <t>MF</t>
  </si>
  <si>
    <t>Saint Lucia</t>
  </si>
  <si>
    <t>LC</t>
  </si>
  <si>
    <t>Saint Kitts and Nevis</t>
  </si>
  <si>
    <t>KN</t>
  </si>
  <si>
    <t>Saint Helena, Ascension &amp; Tristan da Cunha</t>
  </si>
  <si>
    <t>SH</t>
  </si>
  <si>
    <t>Saint Barth√©lemy</t>
  </si>
  <si>
    <t>BL</t>
  </si>
  <si>
    <t>R√©union</t>
  </si>
  <si>
    <t>RE</t>
  </si>
  <si>
    <t>Rwanda</t>
  </si>
  <si>
    <t>RW</t>
  </si>
  <si>
    <t>Russian Federation</t>
  </si>
  <si>
    <t>RU</t>
  </si>
  <si>
    <t>RO</t>
  </si>
  <si>
    <t>QA</t>
  </si>
  <si>
    <t>PR</t>
  </si>
  <si>
    <t>PT</t>
  </si>
  <si>
    <t>PL</t>
  </si>
  <si>
    <t>Pitcairn Islands</t>
  </si>
  <si>
    <t>PN</t>
  </si>
  <si>
    <t>PH</t>
  </si>
  <si>
    <t>PE</t>
  </si>
  <si>
    <t>PY</t>
  </si>
  <si>
    <t>Papua New Guinea</t>
  </si>
  <si>
    <t>PG</t>
  </si>
  <si>
    <t>PA</t>
  </si>
  <si>
    <t>Palestinian Territories</t>
  </si>
  <si>
    <t>PS</t>
  </si>
  <si>
    <t>Palau</t>
  </si>
  <si>
    <t>PW</t>
  </si>
  <si>
    <t>PK</t>
  </si>
  <si>
    <t>OM</t>
  </si>
  <si>
    <t>NO</t>
  </si>
  <si>
    <t>Northern Mariana Islands</t>
  </si>
  <si>
    <t>MP</t>
  </si>
  <si>
    <t>North Macedonia</t>
  </si>
  <si>
    <t>MK</t>
  </si>
  <si>
    <t>Norfolk Island</t>
  </si>
  <si>
    <t>NF</t>
  </si>
  <si>
    <t>Niue</t>
  </si>
  <si>
    <t>NU</t>
  </si>
  <si>
    <t>NG</t>
  </si>
  <si>
    <t>Niger</t>
  </si>
  <si>
    <t>NE</t>
  </si>
  <si>
    <t>NI</t>
  </si>
  <si>
    <t>NZ</t>
  </si>
  <si>
    <t>New Caledonia</t>
  </si>
  <si>
    <t>NC</t>
  </si>
  <si>
    <t>NL</t>
  </si>
  <si>
    <t>Nepal</t>
  </si>
  <si>
    <t>NP</t>
  </si>
  <si>
    <t>Nauru</t>
  </si>
  <si>
    <t>NR</t>
  </si>
  <si>
    <t>Namibia</t>
  </si>
  <si>
    <t>MM</t>
  </si>
  <si>
    <t>Mozambique</t>
  </si>
  <si>
    <t>MZ</t>
  </si>
  <si>
    <t>MA</t>
  </si>
  <si>
    <t>Montserrat</t>
  </si>
  <si>
    <t>MS</t>
  </si>
  <si>
    <t>Montenegro</t>
  </si>
  <si>
    <t>ME</t>
  </si>
  <si>
    <t>Mongolia</t>
  </si>
  <si>
    <t>MN</t>
  </si>
  <si>
    <t>Monaco</t>
  </si>
  <si>
    <t>MC</t>
  </si>
  <si>
    <t>Moldova, Republic of</t>
  </si>
  <si>
    <t>MD</t>
  </si>
  <si>
    <t>Micronesia, Federated States of</t>
  </si>
  <si>
    <t>FM</t>
  </si>
  <si>
    <t>MX</t>
  </si>
  <si>
    <t>Mayotte</t>
  </si>
  <si>
    <t>YT</t>
  </si>
  <si>
    <t>Mauritius</t>
  </si>
  <si>
    <t>MU</t>
  </si>
  <si>
    <t>Mauritania</t>
  </si>
  <si>
    <t>MR</t>
  </si>
  <si>
    <t>Martinique</t>
  </si>
  <si>
    <t>MQ</t>
  </si>
  <si>
    <t>Marshall Islands</t>
  </si>
  <si>
    <t>MH</t>
  </si>
  <si>
    <t>Malta</t>
  </si>
  <si>
    <t>MT</t>
  </si>
  <si>
    <t>Mali</t>
  </si>
  <si>
    <t>ML</t>
  </si>
  <si>
    <t>Maldives</t>
  </si>
  <si>
    <t>MV</t>
  </si>
  <si>
    <t>MY</t>
  </si>
  <si>
    <t>Malawi</t>
  </si>
  <si>
    <t>MW</t>
  </si>
  <si>
    <t>Madagascar</t>
  </si>
  <si>
    <t>MG</t>
  </si>
  <si>
    <t>Macao</t>
  </si>
  <si>
    <t>MO</t>
  </si>
  <si>
    <t>Luxembourg</t>
  </si>
  <si>
    <t>LU</t>
  </si>
  <si>
    <t>LT</t>
  </si>
  <si>
    <t>Liechtenstein</t>
  </si>
  <si>
    <t>LI</t>
  </si>
  <si>
    <t>Libya</t>
  </si>
  <si>
    <t>LY</t>
  </si>
  <si>
    <t>Liberia</t>
  </si>
  <si>
    <t>LR</t>
  </si>
  <si>
    <t>Lesotho</t>
  </si>
  <si>
    <t>LS</t>
  </si>
  <si>
    <t>LB</t>
  </si>
  <si>
    <t>LV</t>
  </si>
  <si>
    <t>Lao People's Democratic Republic</t>
  </si>
  <si>
    <t>LA</t>
  </si>
  <si>
    <t>Kyrgyzstan</t>
  </si>
  <si>
    <t>KG</t>
  </si>
  <si>
    <t>KW</t>
  </si>
  <si>
    <t>Kosovo</t>
  </si>
  <si>
    <t>XK</t>
  </si>
  <si>
    <t>Korea, Republic of</t>
  </si>
  <si>
    <t>KR</t>
  </si>
  <si>
    <t>Korea, Democratic People's Republic of</t>
  </si>
  <si>
    <t>KP</t>
  </si>
  <si>
    <t>Kiribati</t>
  </si>
  <si>
    <t>KI</t>
  </si>
  <si>
    <t>KE</t>
  </si>
  <si>
    <t>Kazakhstan</t>
  </si>
  <si>
    <t>KZ</t>
  </si>
  <si>
    <t>JO</t>
  </si>
  <si>
    <t>Jersey</t>
  </si>
  <si>
    <t>JE</t>
  </si>
  <si>
    <t>JP</t>
  </si>
  <si>
    <t>Starting in 2024</t>
  </si>
  <si>
    <t>Jan Mayen / Bear Island</t>
  </si>
  <si>
    <t>XJ</t>
  </si>
  <si>
    <t>JM</t>
  </si>
  <si>
    <t>IT</t>
  </si>
  <si>
    <t>IL</t>
  </si>
  <si>
    <t>Isle of Man</t>
  </si>
  <si>
    <t>IM</t>
  </si>
  <si>
    <t>IE</t>
  </si>
  <si>
    <t>IQ</t>
  </si>
  <si>
    <t>Iran, Islamic Republic of</t>
  </si>
  <si>
    <t>IR</t>
  </si>
  <si>
    <t>ID</t>
  </si>
  <si>
    <t>Sold Out</t>
  </si>
  <si>
    <t>Indian Ocean Territory (Diego Garcia area)</t>
  </si>
  <si>
    <t>XO</t>
  </si>
  <si>
    <t>IN</t>
  </si>
  <si>
    <t>Iceland</t>
  </si>
  <si>
    <t>IS</t>
  </si>
  <si>
    <t>HU</t>
  </si>
  <si>
    <t>HK</t>
  </si>
  <si>
    <t>HN</t>
  </si>
  <si>
    <t>Holy See (Vatican City State)</t>
  </si>
  <si>
    <t>VA</t>
  </si>
  <si>
    <t>Heard Island &amp; McDonald Islands</t>
  </si>
  <si>
    <t>HM</t>
  </si>
  <si>
    <t>Haiti</t>
  </si>
  <si>
    <t>HT</t>
  </si>
  <si>
    <t>Guyana</t>
  </si>
  <si>
    <t>GY</t>
  </si>
  <si>
    <t>Guinea-Bissau</t>
  </si>
  <si>
    <t>GW</t>
  </si>
  <si>
    <t>Guinea</t>
  </si>
  <si>
    <t>GN</t>
  </si>
  <si>
    <t>Guernsey</t>
  </si>
  <si>
    <t>GG</t>
  </si>
  <si>
    <t>GT</t>
  </si>
  <si>
    <t>Guam</t>
  </si>
  <si>
    <t>GU</t>
  </si>
  <si>
    <t>Guadeloupe</t>
  </si>
  <si>
    <t>GP</t>
  </si>
  <si>
    <t>Grenada</t>
  </si>
  <si>
    <t>GD</t>
  </si>
  <si>
    <t>Greenland</t>
  </si>
  <si>
    <t>GL</t>
  </si>
  <si>
    <t>GR</t>
  </si>
  <si>
    <t>Gibraltar</t>
  </si>
  <si>
    <t>GI</t>
  </si>
  <si>
    <t>Ghana</t>
  </si>
  <si>
    <t>GH</t>
  </si>
  <si>
    <t>DE</t>
  </si>
  <si>
    <t>Georgia</t>
  </si>
  <si>
    <t>GE</t>
  </si>
  <si>
    <t>Gambia</t>
  </si>
  <si>
    <t>GM</t>
  </si>
  <si>
    <t>Gabon</t>
  </si>
  <si>
    <t>GA</t>
  </si>
  <si>
    <t>French Southern &amp; Antarctic Lands</t>
  </si>
  <si>
    <t>TF</t>
  </si>
  <si>
    <t>French Polynesia</t>
  </si>
  <si>
    <t>PF</t>
  </si>
  <si>
    <t>French Guiana</t>
  </si>
  <si>
    <t>GF</t>
  </si>
  <si>
    <t>FR</t>
  </si>
  <si>
    <t>FI</t>
  </si>
  <si>
    <t>Fiji</t>
  </si>
  <si>
    <t>FJ</t>
  </si>
  <si>
    <t>Faroe Islands</t>
  </si>
  <si>
    <t>FO</t>
  </si>
  <si>
    <t>Falkland Islands</t>
  </si>
  <si>
    <t>FK</t>
  </si>
  <si>
    <t>Ethiopia</t>
  </si>
  <si>
    <t>ET</t>
  </si>
  <si>
    <t>Eswatini</t>
  </si>
  <si>
    <t>SZ</t>
  </si>
  <si>
    <t>EE</t>
  </si>
  <si>
    <t>Eritrea</t>
  </si>
  <si>
    <t>ER</t>
  </si>
  <si>
    <t>Equatorial Guinea</t>
  </si>
  <si>
    <t>GQ</t>
  </si>
  <si>
    <t>SV</t>
  </si>
  <si>
    <t>EG</t>
  </si>
  <si>
    <t>EC</t>
  </si>
  <si>
    <t>DO</t>
  </si>
  <si>
    <t>Dominica</t>
  </si>
  <si>
    <t>DM</t>
  </si>
  <si>
    <t>Djibouti</t>
  </si>
  <si>
    <t>DJ</t>
  </si>
  <si>
    <t>DK</t>
  </si>
  <si>
    <t>C√¥te d'Ivoire</t>
  </si>
  <si>
    <t>CI</t>
  </si>
  <si>
    <t>CZ</t>
  </si>
  <si>
    <t>Cyprus</t>
  </si>
  <si>
    <t>CY</t>
  </si>
  <si>
    <t>Cura√ßao</t>
  </si>
  <si>
    <t>CW</t>
  </si>
  <si>
    <t>Cuba</t>
  </si>
  <si>
    <t>CU</t>
  </si>
  <si>
    <t>HR</t>
  </si>
  <si>
    <t>CR</t>
  </si>
  <si>
    <t>Cook Islands</t>
  </si>
  <si>
    <t>CK</t>
  </si>
  <si>
    <t>Congo, The Democratic Republic of the</t>
  </si>
  <si>
    <t>CD</t>
  </si>
  <si>
    <t>Congo</t>
  </si>
  <si>
    <t>CG</t>
  </si>
  <si>
    <t>Comoros</t>
  </si>
  <si>
    <t>KM</t>
  </si>
  <si>
    <t>CO</t>
  </si>
  <si>
    <t>Cocos (Keeling) Islands</t>
  </si>
  <si>
    <t>CC</t>
  </si>
  <si>
    <t>Clipperton Island</t>
  </si>
  <si>
    <t>XC</t>
  </si>
  <si>
    <t>Christmas Island</t>
  </si>
  <si>
    <t>CX</t>
  </si>
  <si>
    <t>CN</t>
  </si>
  <si>
    <t>CL</t>
  </si>
  <si>
    <t>Chad</t>
  </si>
  <si>
    <t>TD</t>
  </si>
  <si>
    <t>Central African Republic</t>
  </si>
  <si>
    <t>CF</t>
  </si>
  <si>
    <t>Cayman Islands</t>
  </si>
  <si>
    <t>KY</t>
  </si>
  <si>
    <t>Caribbean Netherlands (Bonaire, Saba, Sint Eustatius)</t>
  </si>
  <si>
    <t>BQ</t>
  </si>
  <si>
    <t>CA</t>
  </si>
  <si>
    <t>Cameroon</t>
  </si>
  <si>
    <t>CM</t>
  </si>
  <si>
    <t>KH</t>
  </si>
  <si>
    <t>Cabo Verde</t>
  </si>
  <si>
    <t>CV</t>
  </si>
  <si>
    <t>Burundi</t>
  </si>
  <si>
    <t>BI</t>
  </si>
  <si>
    <t>Burkina Faso</t>
  </si>
  <si>
    <t>BF</t>
  </si>
  <si>
    <t>BG</t>
  </si>
  <si>
    <t>Brunei Darussalam</t>
  </si>
  <si>
    <t>BN</t>
  </si>
  <si>
    <t>British Indian Ocean Territory</t>
  </si>
  <si>
    <t>IO</t>
  </si>
  <si>
    <t>BR</t>
  </si>
  <si>
    <t>Bouvet Island</t>
  </si>
  <si>
    <t>BV</t>
  </si>
  <si>
    <t>Botswana</t>
  </si>
  <si>
    <t>BW</t>
  </si>
  <si>
    <t>Bosnia and Herzegovina</t>
  </si>
  <si>
    <t>BA</t>
  </si>
  <si>
    <t>Bolivia, Plurinational State of</t>
  </si>
  <si>
    <t>BO</t>
  </si>
  <si>
    <t>Bhutan</t>
  </si>
  <si>
    <t>BT</t>
  </si>
  <si>
    <t>Bermuda</t>
  </si>
  <si>
    <t>BM</t>
  </si>
  <si>
    <t>Benin</t>
  </si>
  <si>
    <t>BJ</t>
  </si>
  <si>
    <t>Belize</t>
  </si>
  <si>
    <t>BZ</t>
  </si>
  <si>
    <t>BE</t>
  </si>
  <si>
    <t>Belarus</t>
  </si>
  <si>
    <t>BY</t>
  </si>
  <si>
    <t>BB</t>
  </si>
  <si>
    <t>Bangladesh</t>
  </si>
  <si>
    <t>BD</t>
  </si>
  <si>
    <t>BH</t>
  </si>
  <si>
    <t>BS</t>
  </si>
  <si>
    <t>Azerbaijan</t>
  </si>
  <si>
    <t>AZ</t>
  </si>
  <si>
    <t>AT</t>
  </si>
  <si>
    <t>AU</t>
  </si>
  <si>
    <t>Aruba</t>
  </si>
  <si>
    <t>AW</t>
  </si>
  <si>
    <t>Armenia</t>
  </si>
  <si>
    <t>AM</t>
  </si>
  <si>
    <t>AR</t>
  </si>
  <si>
    <t>Antigua and Barbuda</t>
  </si>
  <si>
    <t>AG</t>
  </si>
  <si>
    <t>Antarctica</t>
  </si>
  <si>
    <t>AQ</t>
  </si>
  <si>
    <t>Anguilla</t>
  </si>
  <si>
    <t>AI</t>
  </si>
  <si>
    <t>Angola</t>
  </si>
  <si>
    <t>AO</t>
  </si>
  <si>
    <t>Andorra</t>
  </si>
  <si>
    <t>AD</t>
  </si>
  <si>
    <t>American Samoa</t>
  </si>
  <si>
    <t>AS</t>
  </si>
  <si>
    <t>Algeria</t>
  </si>
  <si>
    <t>DZ</t>
  </si>
  <si>
    <t>Albania</t>
  </si>
  <si>
    <t>AL</t>
  </si>
  <si>
    <t>Akrotiri &amp; Dhekelia (UK Sovereign Base)</t>
  </si>
  <si>
    <t>XA</t>
  </si>
  <si>
    <t>Afghanistan</t>
  </si>
  <si>
    <t>AF</t>
  </si>
  <si>
    <t>Notes</t>
  </si>
  <si>
    <t>Status</t>
  </si>
  <si>
    <t>Country / Territory</t>
  </si>
  <si>
    <t>ISO Code</t>
  </si>
  <si>
    <t>Starlink Available / Coming Soon Countries — 2026 Market Data</t>
  </si>
  <si>
    <t>Filtered from 'starlink countries list' (Status = Available or Coming Soon); data linked from 'Population and Broadband subs' and 'penetration and ARPU' tabs, year 2026</t>
  </si>
  <si>
    <t>Region</t>
  </si>
  <si>
    <t>Country</t>
  </si>
  <si>
    <t>Starlink Status</t>
  </si>
  <si>
    <t>Data Tab Name</t>
  </si>
  <si>
    <t>Population (2026)</t>
  </si>
  <si>
    <t>Broadband Subs - Residential (2026)</t>
  </si>
  <si>
    <t>Penetration (2026)</t>
  </si>
  <si>
    <t>ARPU ($) (2026)</t>
  </si>
  <si>
    <t>Asia Pacific</t>
  </si>
  <si>
    <t>Eastern Europe</t>
  </si>
  <si>
    <t>Latin America and Caribbean</t>
  </si>
  <si>
    <t>Middle East and Africa</t>
  </si>
  <si>
    <t>North America</t>
  </si>
  <si>
    <t>Western Europe</t>
  </si>
  <si>
    <t>Satellite ARPU ($) (2026)</t>
  </si>
  <si>
    <t>Broadband Penetration (2026)</t>
  </si>
  <si>
    <t>Population (millions)</t>
  </si>
  <si>
    <t>Country Code</t>
  </si>
  <si>
    <t>Broadband Technology Market Share — Starlink Available/Coming Soon Countries (2026)</t>
  </si>
  <si>
    <t>Market share = technology subscribers / total residential broadband subscribers, per country, 2026. Source: 'Population and Broadband subs' tab.</t>
  </si>
  <si>
    <t>Total Residential BB Subs (2026)</t>
  </si>
  <si>
    <t>Cable Subs (2026)</t>
  </si>
  <si>
    <t>Cable Share</t>
  </si>
  <si>
    <t>DSL Subs (2026)</t>
  </si>
  <si>
    <t>DSL Share</t>
  </si>
  <si>
    <t>Fiber Subs (2026)</t>
  </si>
  <si>
    <t>Fiber Share</t>
  </si>
  <si>
    <t>Satellite Subs (2026)</t>
  </si>
  <si>
    <t>Satellite Share</t>
  </si>
  <si>
    <t>Fixed Wireless Subs (2026)</t>
  </si>
  <si>
    <t>Fixed Wireless Share</t>
  </si>
  <si>
    <t>Other Subs (2026)</t>
  </si>
  <si>
    <t>Other Share</t>
  </si>
  <si>
    <t>Dominant Technology</t>
  </si>
  <si>
    <t>Cable</t>
  </si>
  <si>
    <t>DSL</t>
  </si>
  <si>
    <t>Fiber</t>
  </si>
  <si>
    <t>Satellite</t>
  </si>
  <si>
    <t>Fixed Wireless</t>
  </si>
  <si>
    <t>Other</t>
  </si>
  <si>
    <t>Dominant Technology Summary (82 countries)</t>
  </si>
  <si>
    <t>Technology</t>
  </si>
  <si>
    <t>Country Count</t>
  </si>
  <si>
    <t>NA (no data)</t>
  </si>
  <si>
    <t>UNITED STATES</t>
  </si>
  <si>
    <t>English</t>
  </si>
  <si>
    <t>CANADA</t>
  </si>
  <si>
    <t>EnglishFrançais</t>
  </si>
  <si>
    <t>Latin America &amp; The Caribbean</t>
  </si>
  <si>
    <t>ANGUILLA</t>
  </si>
  <si>
    <t>ANTIGUA AND BARBUDA</t>
  </si>
  <si>
    <t>ARGENTINA</t>
  </si>
  <si>
    <t>Español</t>
  </si>
  <si>
    <t>BRASIL</t>
  </si>
  <si>
    <t>Português</t>
  </si>
  <si>
    <t>BAHAMAS</t>
  </si>
  <si>
    <t>BARBADOS</t>
  </si>
  <si>
    <t>BOLIVIA</t>
  </si>
  <si>
    <t>BES ISLANDS</t>
  </si>
  <si>
    <t>NederlandsEnglish</t>
  </si>
  <si>
    <t>CAYMAN ISLANDS</t>
  </si>
  <si>
    <t>CHILE</t>
  </si>
  <si>
    <t>COLOMBIA</t>
  </si>
  <si>
    <t>COSTA RICA</t>
  </si>
  <si>
    <t>DOMINICA</t>
  </si>
  <si>
    <t>ECUADOR</t>
  </si>
  <si>
    <t>EL SALVADOR</t>
  </si>
  <si>
    <t>FALKLAND ISLANDS</t>
  </si>
  <si>
    <t>EnglishEspañol</t>
  </si>
  <si>
    <t>GRENADA</t>
  </si>
  <si>
    <t>GUADELOUPE</t>
  </si>
  <si>
    <t>Français</t>
  </si>
  <si>
    <t>GUATEMALA</t>
  </si>
  <si>
    <t>GUYANA</t>
  </si>
  <si>
    <t>GUYANE FRANÇAISE</t>
  </si>
  <si>
    <t>HAÏTI</t>
  </si>
  <si>
    <t>HONDURAS</t>
  </si>
  <si>
    <t>JAMAICA</t>
  </si>
  <si>
    <t>MARTINIQUE</t>
  </si>
  <si>
    <t>MÉXICO</t>
  </si>
  <si>
    <t>MONTSERRAT</t>
  </si>
  <si>
    <t>PANAMÁ</t>
  </si>
  <si>
    <t>PARAGUAY</t>
  </si>
  <si>
    <t>PERÚ</t>
  </si>
  <si>
    <t>PUERTO RICO</t>
  </si>
  <si>
    <t>REPÚBLICA DOMINICANA</t>
  </si>
  <si>
    <t>SAINT MARTIN</t>
  </si>
  <si>
    <t>FrançaisNederlandsEnglish</t>
  </si>
  <si>
    <t>SAINT BARTHÉLEMY</t>
  </si>
  <si>
    <t>SAINT LUCIA</t>
  </si>
  <si>
    <t>SAINT VINCENT AND THE GRENADINES</t>
  </si>
  <si>
    <t>SURINAAM</t>
  </si>
  <si>
    <t>Nederlands</t>
  </si>
  <si>
    <t>TRINIDAD AND TOBAGO</t>
  </si>
  <si>
    <t>TURKS &amp; CAICOS</t>
  </si>
  <si>
    <t>URUGUAY</t>
  </si>
  <si>
    <t>U.S. VIRGIN ISLANDS</t>
  </si>
  <si>
    <t>OTHER LATAM</t>
  </si>
  <si>
    <t>Europe</t>
  </si>
  <si>
    <t>ALBANIA</t>
  </si>
  <si>
    <t>BELGIË</t>
  </si>
  <si>
    <t>NederlandsFrançaisDeutsch</t>
  </si>
  <si>
    <t>BOSNIA AND HERZEGOVINA</t>
  </si>
  <si>
    <t>BULGARIA</t>
  </si>
  <si>
    <t>CROATIA</t>
  </si>
  <si>
    <t>ČESKO</t>
  </si>
  <si>
    <t>Čeština</t>
  </si>
  <si>
    <t>ΚΥΠΡΟΣ</t>
  </si>
  <si>
    <t>Ελληνικά</t>
  </si>
  <si>
    <t>DENMARK</t>
  </si>
  <si>
    <t>DEUTSCHLAND</t>
  </si>
  <si>
    <t>Deutsch</t>
  </si>
  <si>
    <t>ΕΛΛΑΔΑ</t>
  </si>
  <si>
    <t>ESPAÑA</t>
  </si>
  <si>
    <t>ESTONIA</t>
  </si>
  <si>
    <t>FAROE ISLANDS</t>
  </si>
  <si>
    <t>FRANCE</t>
  </si>
  <si>
    <t>FINLAND</t>
  </si>
  <si>
    <t>GIBRALTAR</t>
  </si>
  <si>
    <t>HUNGARY</t>
  </si>
  <si>
    <t>ICELAND</t>
  </si>
  <si>
    <t>IRELAND</t>
  </si>
  <si>
    <t>ITALIA</t>
  </si>
  <si>
    <t>Italiano</t>
  </si>
  <si>
    <t>KOSOVO</t>
  </si>
  <si>
    <t>LATVIA</t>
  </si>
  <si>
    <t>LITHUANIA</t>
  </si>
  <si>
    <t>LUXEMBOURG</t>
  </si>
  <si>
    <t>FrançaisDeutsch</t>
  </si>
  <si>
    <t>NORTH MACEDONIA</t>
  </si>
  <si>
    <t>MALTA</t>
  </si>
  <si>
    <t>MOLDOVA</t>
  </si>
  <si>
    <t>EnglishRomână</t>
  </si>
  <si>
    <t>MONTENEGRO</t>
  </si>
  <si>
    <t>NEDERLAND</t>
  </si>
  <si>
    <t>NORGE</t>
  </si>
  <si>
    <t>Norsk</t>
  </si>
  <si>
    <t>ÖSTERREICH</t>
  </si>
  <si>
    <t>POLSKA</t>
  </si>
  <si>
    <t>Polski</t>
  </si>
  <si>
    <t>PORTUGAL</t>
  </si>
  <si>
    <t>ROMÂNIA</t>
  </si>
  <si>
    <t>Română</t>
  </si>
  <si>
    <t>SERBIA</t>
  </si>
  <si>
    <t>SLOVAKIA</t>
  </si>
  <si>
    <t>SLOVENIA</t>
  </si>
  <si>
    <t>SVERIGE</t>
  </si>
  <si>
    <t>Svenska</t>
  </si>
  <si>
    <t>SWITZERLAND</t>
  </si>
  <si>
    <t>DeutschFrançaisItaliano</t>
  </si>
  <si>
    <t>UNITED KINGDOM</t>
  </si>
  <si>
    <t>УКРАЇНА</t>
  </si>
  <si>
    <t>Українська</t>
  </si>
  <si>
    <t>OTHER EUROPE</t>
  </si>
  <si>
    <t>Asia/Pacific</t>
  </si>
  <si>
    <t>AUSTRALIA</t>
  </si>
  <si>
    <t>AMERICAN SAMOA</t>
  </si>
  <si>
    <t>ARMENIA</t>
  </si>
  <si>
    <t>AZERBAIJAN</t>
  </si>
  <si>
    <t>البحرين</t>
  </si>
  <si>
    <t>عربيEnglish</t>
  </si>
  <si>
    <t>বাংলাদেশ</t>
  </si>
  <si>
    <t>বাংলাEnglish</t>
  </si>
  <si>
    <t>BRUNEI DARUSSALAM</t>
  </si>
  <si>
    <t>Melayu</t>
  </si>
  <si>
    <t>BHUTAN</t>
  </si>
  <si>
    <t>COOK ISLANDS</t>
  </si>
  <si>
    <t>FIJI</t>
  </si>
  <si>
    <t>GEORGIA</t>
  </si>
  <si>
    <t>GUAM</t>
  </si>
  <si>
    <t>ישראל</t>
  </si>
  <si>
    <t>עבריתEnglish</t>
  </si>
  <si>
    <t>INDONESIA</t>
  </si>
  <si>
    <t>Bahasa</t>
  </si>
  <si>
    <t>العِراق</t>
  </si>
  <si>
    <t>عربي</t>
  </si>
  <si>
    <t>الأردن</t>
  </si>
  <si>
    <t>Қазақстан</t>
  </si>
  <si>
    <t>ҚазақшаРусский</t>
  </si>
  <si>
    <t>KIRIBATI</t>
  </si>
  <si>
    <t>Кыргызстан</t>
  </si>
  <si>
    <t>КыргызчаРусский</t>
  </si>
  <si>
    <t>الكويت</t>
  </si>
  <si>
    <t>لبنان</t>
  </si>
  <si>
    <t>عربيEnglishFrançais</t>
  </si>
  <si>
    <t>ليبيا</t>
  </si>
  <si>
    <t>MALAYSIA</t>
  </si>
  <si>
    <t>MelayuEnglish</t>
  </si>
  <si>
    <t>MARSHALL ISLANDS</t>
  </si>
  <si>
    <t>REPUBLIC OF MALDIVES</t>
  </si>
  <si>
    <t>MICRONESIA</t>
  </si>
  <si>
    <t>Монгол Улс</t>
  </si>
  <si>
    <t>Монгол хэлEnglish</t>
  </si>
  <si>
    <t>NAURU</t>
  </si>
  <si>
    <t>NEPAL</t>
  </si>
  <si>
    <t>NEW ZEALAND</t>
  </si>
  <si>
    <t>日本</t>
  </si>
  <si>
    <t>日本語English</t>
  </si>
  <si>
    <t>NIUE</t>
  </si>
  <si>
    <t>NORTHERN MARIANA ISLANDS</t>
  </si>
  <si>
    <t>سلطنة عمان</t>
  </si>
  <si>
    <t>فلسطين</t>
  </si>
  <si>
    <t>PILIPINAS</t>
  </si>
  <si>
    <t>FilipinoEnglish</t>
  </si>
  <si>
    <t>PAPUA NEW GUINEA</t>
  </si>
  <si>
    <t>قَطَر</t>
  </si>
  <si>
    <t>SAMOA</t>
  </si>
  <si>
    <t>SINGAPORE</t>
  </si>
  <si>
    <t>EnglishMelayu</t>
  </si>
  <si>
    <t>SOLOMON ISLANDS</t>
  </si>
  <si>
    <t>한국</t>
  </si>
  <si>
    <t>한국어English</t>
  </si>
  <si>
    <t>ශ්‍රී ලංකාව</t>
  </si>
  <si>
    <t>සිංහලதமிழ்English</t>
  </si>
  <si>
    <t>ТОҶИКИСТОН</t>
  </si>
  <si>
    <t>тоҷикӣРусский</t>
  </si>
  <si>
    <t>TIMOR-LESTE</t>
  </si>
  <si>
    <t>TOKELAU</t>
  </si>
  <si>
    <t>TONGA</t>
  </si>
  <si>
    <t>TÜRKİYE</t>
  </si>
  <si>
    <t>TUVALU</t>
  </si>
  <si>
    <t>الإمارات</t>
  </si>
  <si>
    <t>UZBEKISTAN</t>
  </si>
  <si>
    <t>VANUATU</t>
  </si>
  <si>
    <t>VIỆT NAM</t>
  </si>
  <si>
    <t>Tiếng ViệtEnglish</t>
  </si>
  <si>
    <t>اليمن</t>
  </si>
  <si>
    <t>Africa</t>
  </si>
  <si>
    <t>الجزائر</t>
  </si>
  <si>
    <t>ANGOLA</t>
  </si>
  <si>
    <t>BÉNIN</t>
  </si>
  <si>
    <t>BOTSWANA</t>
  </si>
  <si>
    <t>BURUNDI</t>
  </si>
  <si>
    <t>EnglishFrançaisKiswahili</t>
  </si>
  <si>
    <t>CABO VERDE</t>
  </si>
  <si>
    <t>RÉPUBLIQUE CENTRAFRICAINE</t>
  </si>
  <si>
    <t>COMOROS</t>
  </si>
  <si>
    <t>Françaisعربي</t>
  </si>
  <si>
    <t>RÉPUBLIQUE DÉMOCRATIQUE DU CONGO</t>
  </si>
  <si>
    <t>FrançaisKiswahili</t>
  </si>
  <si>
    <t>ESWATINI</t>
  </si>
  <si>
    <t>GABON</t>
  </si>
  <si>
    <t>GAMBIA</t>
  </si>
  <si>
    <t>GHANA</t>
  </si>
  <si>
    <t>GUINEA</t>
  </si>
  <si>
    <t>GUINEA ECUATORIAL</t>
  </si>
  <si>
    <t>GUINÉ-BISSAU</t>
  </si>
  <si>
    <t>CÔTE D'IVOIRE</t>
  </si>
  <si>
    <t>KENYA</t>
  </si>
  <si>
    <t>EnglishKiswahili</t>
  </si>
  <si>
    <t>LA RÉUNION</t>
  </si>
  <si>
    <t>LESOTHO</t>
  </si>
  <si>
    <t>LIBERIA</t>
  </si>
  <si>
    <t>MADAGASCAR</t>
  </si>
  <si>
    <t>الجمهورية الإسلامية الموريتانية</t>
  </si>
  <si>
    <t>عربيFrançaisEnglish</t>
  </si>
  <si>
    <t>MOÇAMBIQUE</t>
  </si>
  <si>
    <t>MALAWI</t>
  </si>
  <si>
    <t>MALI</t>
  </si>
  <si>
    <t>MAYOTTE</t>
  </si>
  <si>
    <t>NAMIBIA</t>
  </si>
  <si>
    <t>NIGER</t>
  </si>
  <si>
    <t>NIGERIA</t>
  </si>
  <si>
    <t>RWANDA</t>
  </si>
  <si>
    <t>SÃO TOMÉ E PRÍNCIPE</t>
  </si>
  <si>
    <t>SÉNÉGAL</t>
  </si>
  <si>
    <t>RÉPUBLIQUE DES SEYCHELLES</t>
  </si>
  <si>
    <t>SIERRA LEONE</t>
  </si>
  <si>
    <t>SOUTH AFRICA</t>
  </si>
  <si>
    <t>SOUTH SUDAN</t>
  </si>
  <si>
    <t>الصومال</t>
  </si>
  <si>
    <t>TANZANIA</t>
  </si>
  <si>
    <t>TCHAD</t>
  </si>
  <si>
    <t>TOGO</t>
  </si>
  <si>
    <t>UGANDA</t>
  </si>
  <si>
    <t>ZAMBIA</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</si>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</sst>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Red]\(#,##0.00\)"/>
    <numFmt numFmtId="165" formatCode="#,##0.0;[Red]\(#,##0.0\)"/>
    <numFmt numFmtId="166" formatCode="#,##0;[Red]\(#,##0\)"/>
    <numFmt numFmtId="167" formatCode="#,##0;\(#,##0\);\-"/>
    <numFmt numFmtId="168" formatCode="0.00\%"/>
    <numFmt numFmtId="169" formatCode="&quot;$&quot;#,##0.00"/>
    <numFmt numFmtId="170" formatCode="0.00&quot;%&quot;"/>
    <numFmt numFmtId="171" formatCode="#,##0.0"/>
    <numFmt numFmtId="172" formatCode="0.0%"/>
  </numFmts>
  <fonts count="14" x14ac:knownFonts="1">
    <font>
      <sz val="11"/>
      <color theme="1"/>
      <name val="Calibri"/>
      <family val="2"/>
      <scheme val="minor"/>
    </font>
    <font>
      <sz val="12"/>
      <color theme="1"/>
      <name val="Calibri"/>
      <family val="2"/>
      <scheme val="minor"/>
    </font>
    <font>
      <b/>
      <sz val="14"/>
      <name val="Calibri"/>
      <family val="2"/>
    </font>
    <font>
      <b/>
      <i/>
      <sz val="11"/>
      <color theme="1"/>
      <name val="Calibri"/>
      <family val="2"/>
      <scheme val="minor"/>
    </font>
    <font>
      <b/>
      <i/>
      <sz val="11"/>
      <color rgb="FF000000"/>
      <name val="Calibri"/>
      <family val="2"/>
    </font>
    <font>
      <b/>
      <sz val="11"/>
      <color theme="1"/>
      <name val="Calibri"/>
      <family val="2"/>
      <scheme val="minor"/>
    </font>
    <font>
      <sz val="11"/>
      <color theme="1"/>
      <name val="Calibri"/>
      <family val="2"/>
      <scheme val="minor"/>
    </font>
    <font>
      <b/>
      <sz val="14"/>
      <color theme="1"/>
      <name val="Calibri"/>
      <family val="2"/>
      <scheme val="minor"/>
    </font>
    <font>
      <i/>
      <sz val="10"/>
      <color theme="1"/>
      <name val="Calibri"/>
      <family val="2"/>
      <scheme val="minor"/>
    </font>
    <font>
      <sz val="10"/>
      <name val="Arial"/>
      <family val="2"/>
    </font>
    <font>
      <b/>
      <sz val="12"/>
      <name val="Arial"/>
      <family val="2"/>
    </font>
    <font>
      <b/>
      <sz val="7.5"/>
      <name val="Arial"/>
      <family val="2"/>
    </font>
    <font>
      <sz val="12"/>
      <name val="Arial"/>
      <family val="2"/>
    </font>
    <font>
      <u/>
      <sz val="12"/>
      <name val="Arial"/>
      <family val="2"/>
    </font>
  </fonts>
  <fills count="5">
    <fill>
      <patternFill patternType="none"/>
    </fill>
    <fill>
      <patternFill patternType="gray125"/>
    </fill>
    <fill>
      <patternFill patternType="solid">
        <fgColor rgb="FFD3D3D3"/>
        <bgColor indexed="64"/>
      </patternFill>
    </fill>
    <fill>
      <patternFill patternType="solid">
        <fgColor rgb="FFD9E1F2"/>
        <bgColor indexed="64"/>
      </patternFill>
    </fill>
    <fill>
      <patternFill patternType="solid">
        <fgColor rgb="FFBDD7EE"/>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medium">
        <color auto="1"/>
      </bottom>
      <diagonal/>
    </border>
  </borders>
  <cellStyleXfs count="5">
    <xf numFmtId="0" fontId="0" fillId="0" borderId="0"/>
    <xf numFmtId="0" fontId="1" fillId="0" borderId="0"/>
    <xf numFmtId="43" fontId="6" fillId="0" borderId="0" applyFont="0" applyFill="0" applyBorder="0" applyAlignment="0" applyProtection="0"/>
    <xf numFmtId="0" fontId="9" fillId="0" borderId="0">
      <alignment vertical="center"/>
    </xf>
    <xf numFmtId="9" fontId="6" fillId="0" borderId="0" applyFont="0" applyFill="0" applyBorder="0" applyAlignment="0" applyProtection="0"/>
  </cellStyleXfs>
  <cellXfs count="32">
    <xf numFmtId="0" fontId="0" fillId="0" borderId="0" xfId="0"/>
    <xf numFmtId="0" fontId="0" fillId="0" borderId="0" xfId="0" applyAlignment="1">
      <alignment horizontal="left" vertical="top" wrapText="1"/>
    </xf>
    <xf numFmtId="0" fontId="0" fillId="0" borderId="0" xfId="0" applyAlignment="1">
      <alignment horizontal="left" vertical="top"/>
    </xf>
    <xf numFmtId="0" fontId="3" fillId="0" borderId="0" xfId="0" applyFont="1" applyAlignment="1">
      <alignment horizontal="left" vertical="top" wrapText="1"/>
    </xf>
    <xf numFmtId="0" fontId="4" fillId="2" borderId="1" xfId="0" applyFont="1" applyFill="1" applyBorder="1" applyAlignment="1">
      <alignment horizontal="right" vertical="top" wrapText="1"/>
    </xf>
    <xf numFmtId="164" fontId="0" fillId="0" borderId="0" xfId="0" applyNumberFormat="1" applyAlignment="1">
      <alignment horizontal="right" vertical="top" wrapText="1"/>
    </xf>
    <xf numFmtId="165" fontId="0" fillId="0" borderId="0" xfId="0" applyNumberFormat="1" applyAlignment="1">
      <alignment horizontal="right" vertical="top" wrapText="1"/>
    </xf>
    <xf numFmtId="0" fontId="0" fillId="0" borderId="0" xfId="0" applyAlignment="1">
      <alignment horizontal="right" vertical="top" wrapText="1"/>
    </xf>
    <xf numFmtId="0" fontId="5" fillId="0" borderId="0" xfId="0" applyFont="1" applyAlignment="1">
      <alignment horizontal="left" vertical="top" wrapText="1"/>
    </xf>
    <xf numFmtId="166" fontId="0" fillId="0" borderId="0" xfId="0" applyNumberFormat="1" applyAlignment="1">
      <alignment horizontal="right" vertical="top" wrapText="1"/>
    </xf>
    <xf numFmtId="0" fontId="1" fillId="0" borderId="0" xfId="1"/>
    <xf numFmtId="0" fontId="7" fillId="0" borderId="0" xfId="0" applyFont="1"/>
    <xf numFmtId="0" fontId="8" fillId="0" borderId="0" xfId="0" applyFont="1"/>
    <xf numFmtId="0" fontId="5" fillId="0" borderId="0" xfId="0" applyFont="1"/>
    <xf numFmtId="0" fontId="5" fillId="4" borderId="0" xfId="0" applyFont="1" applyFill="1"/>
    <xf numFmtId="167" fontId="0" fillId="0" borderId="0" xfId="0" applyNumberFormat="1"/>
    <xf numFmtId="168" fontId="0" fillId="0" borderId="0" xfId="0" applyNumberFormat="1"/>
    <xf numFmtId="169" fontId="0" fillId="0" borderId="0" xfId="0" applyNumberFormat="1"/>
    <xf numFmtId="0" fontId="5" fillId="3" borderId="2" xfId="0" applyFont="1" applyFill="1" applyBorder="1"/>
    <xf numFmtId="0" fontId="5" fillId="3" borderId="0" xfId="0" applyFont="1" applyFill="1"/>
    <xf numFmtId="3" fontId="0" fillId="0" borderId="0" xfId="0" applyNumberFormat="1"/>
    <xf numFmtId="170" fontId="0" fillId="0" borderId="0" xfId="0" applyNumberFormat="1"/>
    <xf numFmtId="171" fontId="0" fillId="0" borderId="0" xfId="0" applyNumberFormat="1"/>
    <xf numFmtId="172" fontId="0" fillId="0" borderId="0" xfId="0" applyNumberFormat="1"/>
    <xf numFmtId="172" fontId="5" fillId="4" borderId="0" xfId="0" applyNumberFormat="1" applyFont="1" applyFill="1"/>
    <xf numFmtId="0" fontId="0" fillId="0" borderId="0" xfId="0" applyAlignment="1">
      <alignment horizontal="left" vertical="top" wrapText="1"/>
    </xf>
    <xf numFmtId="0" fontId="2" fillId="0" borderId="0" xfId="0" applyFont="1" applyAlignment="1">
      <alignment horizontal="left"/>
    </xf>
    <xf numFmtId="0" fontId="0" fillId="0" borderId="0" xfId="0" applyAlignment="1">
      <alignment horizont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cellXfs>
  <cellStyles count="5">
    <cellStyle name="Comma 2" xfId="2" xr:uid="{ED6F06C1-B8A5-1F4C-90C5-85F759CC12F3}"/>
    <cellStyle name="Normal" xfId="0" builtinId="0"/>
    <cellStyle name="Normal 2" xfId="1" xr:uid="{6B48B4D8-21E6-CA46-B054-3F41B5E93AD9}"/>
    <cellStyle name="Normal 2 2" xfId="3" xr:uid="{8B880988-8385-DC49-AB39-D95A59DD67E7}"/>
    <cellStyle name="Percent 2" xfId="4" xr:uid="{F297138B-1D06-894B-AEE6-937C2C41AA5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Population vs. Residential Broadband Penetration (2026) — Starlink Available/Coming Soon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lotArea>
      <c:layout/>
      <c:scatterChart>
        <c:scatterStyle val="lineMarker"/>
        <c:varyColors val="0"/>
        <c:ser>
          <c:idx val="0"/>
          <c:order val="0"/>
          <c:tx>
            <c:strRef>
              <c:f>'Population vs Penetration'!$D$1</c:f>
              <c:strCache>
                <c:ptCount val="1"/>
                <c:pt idx="0">
                  <c:v>Population (millions)</c:v>
                </c:pt>
              </c:strCache>
            </c:strRef>
          </c:tx>
          <c:spPr>
            <a:ln w="28575" cap="rnd">
              <a:noFill/>
              <a:round/>
            </a:ln>
            <a:effectLst/>
          </c:spPr>
          <c:marker>
            <c:symbol val="circle"/>
            <c:size val="5"/>
            <c:spPr>
              <a:solidFill>
                <a:schemeClr val="accent1"/>
              </a:solidFill>
              <a:ln w="9525">
                <a:solidFill>
                  <a:schemeClr val="accent1"/>
                </a:solidFill>
              </a:ln>
              <a:effectLst/>
            </c:spPr>
          </c:marker>
          <c:dLbls>
            <c:dLbl>
              <c:idx val="0"/>
              <c:tx>
                <c:rich>
                  <a:bodyPr/>
                  <a:lstStyle/>
                  <a:p>
                    <a:r>
                      <a:rPr lang="en-US"/>
                      <a:t>AU</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DE8-3F4A-B58B-FDA99E118F7A}"/>
                </c:ext>
              </c:extLst>
            </c:dLbl>
            <c:dLbl>
              <c:idx val="1"/>
              <c:tx>
                <c:rich>
                  <a:bodyPr/>
                  <a:lstStyle/>
                  <a:p>
                    <a:r>
                      <a:rPr lang="en-US"/>
                      <a:t>KH</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DE8-3F4A-B58B-FDA99E118F7A}"/>
                </c:ext>
              </c:extLst>
            </c:dLbl>
            <c:dLbl>
              <c:idx val="2"/>
              <c:tx>
                <c:rich>
                  <a:bodyPr/>
                  <a:lstStyle/>
                  <a:p>
                    <a:r>
                      <a:rPr lang="en-US"/>
                      <a:t>ID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DE8-3F4A-B58B-FDA99E118F7A}"/>
                </c:ext>
              </c:extLst>
            </c:dLbl>
            <c:dLbl>
              <c:idx val="3"/>
              <c:tx>
                <c:rich>
                  <a:bodyPr/>
                  <a:lstStyle/>
                  <a:p>
                    <a:r>
                      <a:rPr lang="en-US"/>
                      <a:t>JP</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DE8-3F4A-B58B-FDA99E118F7A}"/>
                </c:ext>
              </c:extLst>
            </c:dLbl>
            <c:dLbl>
              <c:idx val="4"/>
              <c:tx>
                <c:rich>
                  <a:bodyPr/>
                  <a:lstStyle/>
                  <a:p>
                    <a:r>
                      <a:rPr lang="en-US"/>
                      <a:t>KR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DE8-3F4A-B58B-FDA99E118F7A}"/>
                </c:ext>
              </c:extLst>
            </c:dLbl>
            <c:dLbl>
              <c:idx val="5"/>
              <c:tx>
                <c:rich>
                  <a:bodyPr/>
                  <a:lstStyle/>
                  <a:p>
                    <a:r>
                      <a:rPr lang="en-US"/>
                      <a:t>LA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DE8-3F4A-B58B-FDA99E118F7A}"/>
                </c:ext>
              </c:extLst>
            </c:dLbl>
            <c:dLbl>
              <c:idx val="6"/>
              <c:tx>
                <c:rich>
                  <a:bodyPr/>
                  <a:lstStyle/>
                  <a:p>
                    <a:r>
                      <a:rPr lang="en-US"/>
                      <a:t>MY</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DE8-3F4A-B58B-FDA99E118F7A}"/>
                </c:ext>
              </c:extLst>
            </c:dLbl>
            <c:dLbl>
              <c:idx val="7"/>
              <c:tx>
                <c:rich>
                  <a:bodyPr/>
                  <a:lstStyle/>
                  <a:p>
                    <a:r>
                      <a:rPr lang="en-US"/>
                      <a:t>MM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DE8-3F4A-B58B-FDA99E118F7A}"/>
                </c:ext>
              </c:extLst>
            </c:dLbl>
            <c:dLbl>
              <c:idx val="8"/>
              <c:tx>
                <c:rich>
                  <a:bodyPr/>
                  <a:lstStyle/>
                  <a:p>
                    <a:r>
                      <a:rPr lang="en-US"/>
                      <a:t>NZ</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DE8-3F4A-B58B-FDA99E118F7A}"/>
                </c:ext>
              </c:extLst>
            </c:dLbl>
            <c:dLbl>
              <c:idx val="9"/>
              <c:tx>
                <c:rich>
                  <a:bodyPr/>
                  <a:lstStyle/>
                  <a:p>
                    <a:r>
                      <a:rPr lang="en-US"/>
                      <a:t>PH</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DE8-3F4A-B58B-FDA99E118F7A}"/>
                </c:ext>
              </c:extLst>
            </c:dLbl>
            <c:dLbl>
              <c:idx val="10"/>
              <c:tx>
                <c:rich>
                  <a:bodyPr/>
                  <a:lstStyle/>
                  <a:p>
                    <a:r>
                      <a:rPr lang="en-US"/>
                      <a:t>SG</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DE8-3F4A-B58B-FDA99E118F7A}"/>
                </c:ext>
              </c:extLst>
            </c:dLbl>
            <c:dLbl>
              <c:idx val="11"/>
              <c:tx>
                <c:rich>
                  <a:bodyPr/>
                  <a:lstStyle/>
                  <a:p>
                    <a:r>
                      <a:rPr lang="en-US"/>
                      <a:t>TW</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DE8-3F4A-B58B-FDA99E118F7A}"/>
                </c:ext>
              </c:extLst>
            </c:dLbl>
            <c:dLbl>
              <c:idx val="12"/>
              <c:tx>
                <c:rich>
                  <a:bodyPr/>
                  <a:lstStyle/>
                  <a:p>
                    <a:r>
                      <a:rPr lang="en-US"/>
                      <a:t>VN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DE8-3F4A-B58B-FDA99E118F7A}"/>
                </c:ext>
              </c:extLst>
            </c:dLbl>
            <c:dLbl>
              <c:idx val="13"/>
              <c:tx>
                <c:rich>
                  <a:bodyPr/>
                  <a:lstStyle/>
                  <a:p>
                    <a:r>
                      <a:rPr lang="en-US"/>
                      <a:t>BG</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DE8-3F4A-B58B-FDA99E118F7A}"/>
                </c:ext>
              </c:extLst>
            </c:dLbl>
            <c:dLbl>
              <c:idx val="14"/>
              <c:tx>
                <c:rich>
                  <a:bodyPr/>
                  <a:lstStyle/>
                  <a:p>
                    <a:r>
                      <a:rPr lang="en-US"/>
                      <a:t>HR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DE8-3F4A-B58B-FDA99E118F7A}"/>
                </c:ext>
              </c:extLst>
            </c:dLbl>
            <c:dLbl>
              <c:idx val="15"/>
              <c:tx>
                <c:rich>
                  <a:bodyPr/>
                  <a:lstStyle/>
                  <a:p>
                    <a:r>
                      <a:rPr lang="en-US"/>
                      <a:t>CZ</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DE8-3F4A-B58B-FDA99E118F7A}"/>
                </c:ext>
              </c:extLst>
            </c:dLbl>
            <c:dLbl>
              <c:idx val="16"/>
              <c:tx>
                <c:rich>
                  <a:bodyPr/>
                  <a:lstStyle/>
                  <a:p>
                    <a:r>
                      <a:rPr lang="en-US"/>
                      <a:t>EE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DE8-3F4A-B58B-FDA99E118F7A}"/>
                </c:ext>
              </c:extLst>
            </c:dLbl>
            <c:dLbl>
              <c:idx val="17"/>
              <c:tx>
                <c:rich>
                  <a:bodyPr/>
                  <a:lstStyle/>
                  <a:p>
                    <a:r>
                      <a:rPr lang="en-US"/>
                      <a:t>HU</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DE8-3F4A-B58B-FDA99E118F7A}"/>
                </c:ext>
              </c:extLst>
            </c:dLbl>
            <c:dLbl>
              <c:idx val="18"/>
              <c:tx>
                <c:rich>
                  <a:bodyPr/>
                  <a:lstStyle/>
                  <a:p>
                    <a:r>
                      <a:rPr lang="en-US"/>
                      <a:t>LV</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DE8-3F4A-B58B-FDA99E118F7A}"/>
                </c:ext>
              </c:extLst>
            </c:dLbl>
            <c:dLbl>
              <c:idx val="19"/>
              <c:tx>
                <c:rich>
                  <a:bodyPr/>
                  <a:lstStyle/>
                  <a:p>
                    <a:r>
                      <a:rPr lang="en-US"/>
                      <a:t>LT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DE8-3F4A-B58B-FDA99E118F7A}"/>
                </c:ext>
              </c:extLst>
            </c:dLbl>
            <c:dLbl>
              <c:idx val="20"/>
              <c:tx>
                <c:rich>
                  <a:bodyPr/>
                  <a:lstStyle/>
                  <a:p>
                    <a:r>
                      <a:rPr lang="en-US"/>
                      <a:t>PL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DE8-3F4A-B58B-FDA99E118F7A}"/>
                </c:ext>
              </c:extLst>
            </c:dLbl>
            <c:dLbl>
              <c:idx val="21"/>
              <c:tx>
                <c:rich>
                  <a:bodyPr/>
                  <a:lstStyle/>
                  <a:p>
                    <a:r>
                      <a:rPr lang="en-US"/>
                      <a:t>RO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DE8-3F4A-B58B-FDA99E118F7A}"/>
                </c:ext>
              </c:extLst>
            </c:dLbl>
            <c:dLbl>
              <c:idx val="22"/>
              <c:tx>
                <c:rich>
                  <a:bodyPr/>
                  <a:lstStyle/>
                  <a:p>
                    <a:r>
                      <a:rPr lang="en-US"/>
                      <a:t>RS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DE8-3F4A-B58B-FDA99E118F7A}"/>
                </c:ext>
              </c:extLst>
            </c:dLbl>
            <c:dLbl>
              <c:idx val="23"/>
              <c:tx>
                <c:rich>
                  <a:bodyPr/>
                  <a:lstStyle/>
                  <a:p>
                    <a:r>
                      <a:rPr lang="en-US"/>
                      <a:t>SK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DE8-3F4A-B58B-FDA99E118F7A}"/>
                </c:ext>
              </c:extLst>
            </c:dLbl>
            <c:dLbl>
              <c:idx val="24"/>
              <c:tx>
                <c:rich>
                  <a:bodyPr/>
                  <a:lstStyle/>
                  <a:p>
                    <a:r>
                      <a:rPr lang="en-US"/>
                      <a:t>SI</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DE8-3F4A-B58B-FDA99E118F7A}"/>
                </c:ext>
              </c:extLst>
            </c:dLbl>
            <c:dLbl>
              <c:idx val="25"/>
              <c:tx>
                <c:rich>
                  <a:bodyPr/>
                  <a:lstStyle/>
                  <a:p>
                    <a:r>
                      <a:rPr lang="en-US"/>
                      <a:t>TR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DE8-3F4A-B58B-FDA99E118F7A}"/>
                </c:ext>
              </c:extLst>
            </c:dLbl>
            <c:dLbl>
              <c:idx val="26"/>
              <c:tx>
                <c:rich>
                  <a:bodyPr/>
                  <a:lstStyle/>
                  <a:p>
                    <a:r>
                      <a:rPr lang="en-US"/>
                      <a:t>AR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DE8-3F4A-B58B-FDA99E118F7A}"/>
                </c:ext>
              </c:extLst>
            </c:dLbl>
            <c:dLbl>
              <c:idx val="27"/>
              <c:tx>
                <c:rich>
                  <a:bodyPr/>
                  <a:lstStyle/>
                  <a:p>
                    <a:r>
                      <a:rPr lang="en-US"/>
                      <a:t>BS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DE8-3F4A-B58B-FDA99E118F7A}"/>
                </c:ext>
              </c:extLst>
            </c:dLbl>
            <c:dLbl>
              <c:idx val="28"/>
              <c:tx>
                <c:rich>
                  <a:bodyPr/>
                  <a:lstStyle/>
                  <a:p>
                    <a:r>
                      <a:rPr lang="en-US"/>
                      <a:t>BB</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DE8-3F4A-B58B-FDA99E118F7A}"/>
                </c:ext>
              </c:extLst>
            </c:dLbl>
            <c:dLbl>
              <c:idx val="29"/>
              <c:tx>
                <c:rich>
                  <a:bodyPr/>
                  <a:lstStyle/>
                  <a:p>
                    <a:r>
                      <a:rPr lang="en-US"/>
                      <a:t>BO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DE8-3F4A-B58B-FDA99E118F7A}"/>
                </c:ext>
              </c:extLst>
            </c:dLbl>
            <c:dLbl>
              <c:idx val="30"/>
              <c:tx>
                <c:rich>
                  <a:bodyPr/>
                  <a:lstStyle/>
                  <a:p>
                    <a:r>
                      <a:rPr lang="en-US"/>
                      <a:t>BR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DE8-3F4A-B58B-FDA99E118F7A}"/>
                </c:ext>
              </c:extLst>
            </c:dLbl>
            <c:dLbl>
              <c:idx val="31"/>
              <c:tx>
                <c:rich>
                  <a:bodyPr/>
                  <a:lstStyle/>
                  <a:p>
                    <a:r>
                      <a:rPr lang="en-US"/>
                      <a:t>CL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DE8-3F4A-B58B-FDA99E118F7A}"/>
                </c:ext>
              </c:extLst>
            </c:dLbl>
            <c:dLbl>
              <c:idx val="32"/>
              <c:tx>
                <c:rich>
                  <a:bodyPr/>
                  <a:lstStyle/>
                  <a:p>
                    <a:r>
                      <a:rPr lang="en-US"/>
                      <a:t>CO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DDE8-3F4A-B58B-FDA99E118F7A}"/>
                </c:ext>
              </c:extLst>
            </c:dLbl>
            <c:dLbl>
              <c:idx val="33"/>
              <c:tx>
                <c:rich>
                  <a:bodyPr/>
                  <a:lstStyle/>
                  <a:p>
                    <a:r>
                      <a:rPr lang="en-US"/>
                      <a:t>CR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DDE8-3F4A-B58B-FDA99E118F7A}"/>
                </c:ext>
              </c:extLst>
            </c:dLbl>
            <c:dLbl>
              <c:idx val="34"/>
              <c:tx>
                <c:rich>
                  <a:bodyPr/>
                  <a:lstStyle/>
                  <a:p>
                    <a:r>
                      <a:rPr lang="en-US"/>
                      <a:t>DO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DE8-3F4A-B58B-FDA99E118F7A}"/>
                </c:ext>
              </c:extLst>
            </c:dLbl>
            <c:dLbl>
              <c:idx val="35"/>
              <c:tx>
                <c:rich>
                  <a:bodyPr/>
                  <a:lstStyle/>
                  <a:p>
                    <a:r>
                      <a:rPr lang="en-US"/>
                      <a:t>EC</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DE8-3F4A-B58B-FDA99E118F7A}"/>
                </c:ext>
              </c:extLst>
            </c:dLbl>
            <c:dLbl>
              <c:idx val="36"/>
              <c:tx>
                <c:rich>
                  <a:bodyPr/>
                  <a:lstStyle/>
                  <a:p>
                    <a:r>
                      <a:rPr lang="en-US"/>
                      <a:t>SV</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DDE8-3F4A-B58B-FDA99E118F7A}"/>
                </c:ext>
              </c:extLst>
            </c:dLbl>
            <c:dLbl>
              <c:idx val="37"/>
              <c:tx>
                <c:rich>
                  <a:bodyPr/>
                  <a:lstStyle/>
                  <a:p>
                    <a:r>
                      <a:rPr lang="en-US"/>
                      <a:t>GT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DDE8-3F4A-B58B-FDA99E118F7A}"/>
                </c:ext>
              </c:extLst>
            </c:dLbl>
            <c:dLbl>
              <c:idx val="38"/>
              <c:tx>
                <c:rich>
                  <a:bodyPr/>
                  <a:lstStyle/>
                  <a:p>
                    <a:r>
                      <a:rPr lang="en-US"/>
                      <a:t>HN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DE8-3F4A-B58B-FDA99E118F7A}"/>
                </c:ext>
              </c:extLst>
            </c:dLbl>
            <c:dLbl>
              <c:idx val="39"/>
              <c:tx>
                <c:rich>
                  <a:bodyPr/>
                  <a:lstStyle/>
                  <a:p>
                    <a:r>
                      <a:rPr lang="en-US"/>
                      <a:t>JM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DE8-3F4A-B58B-FDA99E118F7A}"/>
                </c:ext>
              </c:extLst>
            </c:dLbl>
            <c:dLbl>
              <c:idx val="40"/>
              <c:tx>
                <c:rich>
                  <a:bodyPr/>
                  <a:lstStyle/>
                  <a:p>
                    <a:r>
                      <a:rPr lang="en-US"/>
                      <a:t>MX</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DDE8-3F4A-B58B-FDA99E118F7A}"/>
                </c:ext>
              </c:extLst>
            </c:dLbl>
            <c:dLbl>
              <c:idx val="41"/>
              <c:tx>
                <c:rich>
                  <a:bodyPr/>
                  <a:lstStyle/>
                  <a:p>
                    <a:r>
                      <a:rPr lang="en-US"/>
                      <a:t>NI</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DDE8-3F4A-B58B-FDA99E118F7A}"/>
                </c:ext>
              </c:extLst>
            </c:dLbl>
            <c:dLbl>
              <c:idx val="42"/>
              <c:tx>
                <c:rich>
                  <a:bodyPr/>
                  <a:lstStyle/>
                  <a:p>
                    <a:r>
                      <a:rPr lang="en-US"/>
                      <a:t>PA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DDE8-3F4A-B58B-FDA99E118F7A}"/>
                </c:ext>
              </c:extLst>
            </c:dLbl>
            <c:dLbl>
              <c:idx val="43"/>
              <c:tx>
                <c:rich>
                  <a:bodyPr/>
                  <a:lstStyle/>
                  <a:p>
                    <a:r>
                      <a:rPr lang="en-US"/>
                      <a:t>PY</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DE8-3F4A-B58B-FDA99E118F7A}"/>
                </c:ext>
              </c:extLst>
            </c:dLbl>
            <c:dLbl>
              <c:idx val="44"/>
              <c:tx>
                <c:rich>
                  <a:bodyPr/>
                  <a:lstStyle/>
                  <a:p>
                    <a:r>
                      <a:rPr lang="en-US"/>
                      <a:t>PE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DE8-3F4A-B58B-FDA99E118F7A}"/>
                </c:ext>
              </c:extLst>
            </c:dLbl>
            <c:dLbl>
              <c:idx val="45"/>
              <c:tx>
                <c:rich>
                  <a:bodyPr/>
                  <a:lstStyle/>
                  <a:p>
                    <a:r>
                      <a:rPr lang="en-US"/>
                      <a:t>PR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DDE8-3F4A-B58B-FDA99E118F7A}"/>
                </c:ext>
              </c:extLst>
            </c:dLbl>
            <c:dLbl>
              <c:idx val="46"/>
              <c:tx>
                <c:rich>
                  <a:bodyPr/>
                  <a:lstStyle/>
                  <a:p>
                    <a:r>
                      <a:rPr lang="en-US"/>
                      <a:t>TT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DDE8-3F4A-B58B-FDA99E118F7A}"/>
                </c:ext>
              </c:extLst>
            </c:dLbl>
            <c:dLbl>
              <c:idx val="47"/>
              <c:tx>
                <c:rich>
                  <a:bodyPr/>
                  <a:lstStyle/>
                  <a:p>
                    <a:r>
                      <a:rPr lang="en-US"/>
                      <a:t>UY</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DE8-3F4A-B58B-FDA99E118F7A}"/>
                </c:ext>
              </c:extLst>
            </c:dLbl>
            <c:dLbl>
              <c:idx val="48"/>
              <c:tx>
                <c:rich>
                  <a:bodyPr/>
                  <a:lstStyle/>
                  <a:p>
                    <a:r>
                      <a:rPr lang="en-US"/>
                      <a:t>VE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DE8-3F4A-B58B-FDA99E118F7A}"/>
                </c:ext>
              </c:extLst>
            </c:dLbl>
            <c:dLbl>
              <c:idx val="49"/>
              <c:tx>
                <c:rich>
                  <a:bodyPr/>
                  <a:lstStyle/>
                  <a:p>
                    <a:r>
                      <a:rPr lang="en-US"/>
                      <a:t>BH</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DDE8-3F4A-B58B-FDA99E118F7A}"/>
                </c:ext>
              </c:extLst>
            </c:dLbl>
            <c:dLbl>
              <c:idx val="50"/>
              <c:tx>
                <c:rich>
                  <a:bodyPr/>
                  <a:lstStyle/>
                  <a:p>
                    <a:r>
                      <a:rPr lang="en-US"/>
                      <a:t>IQ</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DDE8-3F4A-B58B-FDA99E118F7A}"/>
                </c:ext>
              </c:extLst>
            </c:dLbl>
            <c:dLbl>
              <c:idx val="51"/>
              <c:tx>
                <c:rich>
                  <a:bodyPr/>
                  <a:lstStyle/>
                  <a:p>
                    <a:r>
                      <a:rPr lang="en-US"/>
                      <a:t>IL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DE8-3F4A-B58B-FDA99E118F7A}"/>
                </c:ext>
              </c:extLst>
            </c:dLbl>
            <c:dLbl>
              <c:idx val="52"/>
              <c:tx>
                <c:rich>
                  <a:bodyPr/>
                  <a:lstStyle/>
                  <a:p>
                    <a:r>
                      <a:rPr lang="en-US"/>
                      <a:t>JO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DE8-3F4A-B58B-FDA99E118F7A}"/>
                </c:ext>
              </c:extLst>
            </c:dLbl>
            <c:dLbl>
              <c:idx val="53"/>
              <c:tx>
                <c:rich>
                  <a:bodyPr/>
                  <a:lstStyle/>
                  <a:p>
                    <a:r>
                      <a:rPr lang="en-US"/>
                      <a:t>KW</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DDE8-3F4A-B58B-FDA99E118F7A}"/>
                </c:ext>
              </c:extLst>
            </c:dLbl>
            <c:dLbl>
              <c:idx val="54"/>
              <c:tx>
                <c:rich>
                  <a:bodyPr/>
                  <a:lstStyle/>
                  <a:p>
                    <a:r>
                      <a:rPr lang="en-US"/>
                      <a:t>LB</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DDE8-3F4A-B58B-FDA99E118F7A}"/>
                </c:ext>
              </c:extLst>
            </c:dLbl>
            <c:dLbl>
              <c:idx val="55"/>
              <c:tx>
                <c:rich>
                  <a:bodyPr/>
                  <a:lstStyle/>
                  <a:p>
                    <a:r>
                      <a:rPr lang="en-US"/>
                      <a:t>OM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DE8-3F4A-B58B-FDA99E118F7A}"/>
                </c:ext>
              </c:extLst>
            </c:dLbl>
            <c:dLbl>
              <c:idx val="56"/>
              <c:tx>
                <c:rich>
                  <a:bodyPr/>
                  <a:lstStyle/>
                  <a:p>
                    <a:r>
                      <a:rPr lang="en-US"/>
                      <a:t>PS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DE8-3F4A-B58B-FDA99E118F7A}"/>
                </c:ext>
              </c:extLst>
            </c:dLbl>
            <c:dLbl>
              <c:idx val="57"/>
              <c:tx>
                <c:rich>
                  <a:bodyPr/>
                  <a:lstStyle/>
                  <a:p>
                    <a:r>
                      <a:rPr lang="en-US"/>
                      <a:t>QA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DDE8-3F4A-B58B-FDA99E118F7A}"/>
                </c:ext>
              </c:extLst>
            </c:dLbl>
            <c:dLbl>
              <c:idx val="58"/>
              <c:tx>
                <c:rich>
                  <a:bodyPr/>
                  <a:lstStyle/>
                  <a:p>
                    <a:r>
                      <a:rPr lang="en-US"/>
                      <a:t>SA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DDE8-3F4A-B58B-FDA99E118F7A}"/>
                </c:ext>
              </c:extLst>
            </c:dLbl>
            <c:dLbl>
              <c:idx val="59"/>
              <c:tx>
                <c:rich>
                  <a:bodyPr/>
                  <a:lstStyle/>
                  <a:p>
                    <a:r>
                      <a:rPr lang="en-US"/>
                      <a:t>ZA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DE8-3F4A-B58B-FDA99E118F7A}"/>
                </c:ext>
              </c:extLst>
            </c:dLbl>
            <c:dLbl>
              <c:idx val="60"/>
              <c:tx>
                <c:rich>
                  <a:bodyPr/>
                  <a:lstStyle/>
                  <a:p>
                    <a:r>
                      <a:rPr lang="en-US"/>
                      <a:t>AE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DDE8-3F4A-B58B-FDA99E118F7A}"/>
                </c:ext>
              </c:extLst>
            </c:dLbl>
            <c:dLbl>
              <c:idx val="61"/>
              <c:tx>
                <c:rich>
                  <a:bodyPr/>
                  <a:lstStyle/>
                  <a:p>
                    <a:r>
                      <a:rPr lang="en-US"/>
                      <a:t>YE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DE8-3F4A-B58B-FDA99E118F7A}"/>
                </c:ext>
              </c:extLst>
            </c:dLbl>
            <c:dLbl>
              <c:idx val="62"/>
              <c:tx>
                <c:rich>
                  <a:bodyPr/>
                  <a:lstStyle/>
                  <a:p>
                    <a:r>
                      <a:rPr lang="en-US"/>
                      <a:t>CA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DDE8-3F4A-B58B-FDA99E118F7A}"/>
                </c:ext>
              </c:extLst>
            </c:dLbl>
            <c:dLbl>
              <c:idx val="63"/>
              <c:tx>
                <c:rich>
                  <a:bodyPr/>
                  <a:lstStyle/>
                  <a:p>
                    <a:r>
                      <a:rPr lang="en-US"/>
                      <a:t>US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DE8-3F4A-B58B-FDA99E118F7A}"/>
                </c:ext>
              </c:extLst>
            </c:dLbl>
            <c:dLbl>
              <c:idx val="64"/>
              <c:tx>
                <c:rich>
                  <a:bodyPr/>
                  <a:lstStyle/>
                  <a:p>
                    <a:r>
                      <a:rPr lang="en-US"/>
                      <a:t>AT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DDE8-3F4A-B58B-FDA99E118F7A}"/>
                </c:ext>
              </c:extLst>
            </c:dLbl>
            <c:dLbl>
              <c:idx val="65"/>
              <c:tx>
                <c:rich>
                  <a:bodyPr/>
                  <a:lstStyle/>
                  <a:p>
                    <a:r>
                      <a:rPr lang="en-US"/>
                      <a:t>BE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DE8-3F4A-B58B-FDA99E118F7A}"/>
                </c:ext>
              </c:extLst>
            </c:dLbl>
            <c:dLbl>
              <c:idx val="66"/>
              <c:tx>
                <c:rich>
                  <a:bodyPr/>
                  <a:lstStyle/>
                  <a:p>
                    <a:r>
                      <a:rPr lang="en-US"/>
                      <a:t>DK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DDE8-3F4A-B58B-FDA99E118F7A}"/>
                </c:ext>
              </c:extLst>
            </c:dLbl>
            <c:dLbl>
              <c:idx val="67"/>
              <c:tx>
                <c:rich>
                  <a:bodyPr/>
                  <a:lstStyle/>
                  <a:p>
                    <a:r>
                      <a:rPr lang="en-US"/>
                      <a:t>FI</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DE8-3F4A-B58B-FDA99E118F7A}"/>
                </c:ext>
              </c:extLst>
            </c:dLbl>
            <c:dLbl>
              <c:idx val="68"/>
              <c:tx>
                <c:rich>
                  <a:bodyPr/>
                  <a:lstStyle/>
                  <a:p>
                    <a:r>
                      <a:rPr lang="en-US"/>
                      <a:t>FR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DDE8-3F4A-B58B-FDA99E118F7A}"/>
                </c:ext>
              </c:extLst>
            </c:dLbl>
            <c:dLbl>
              <c:idx val="69"/>
              <c:tx>
                <c:rich>
                  <a:bodyPr/>
                  <a:lstStyle/>
                  <a:p>
                    <a:r>
                      <a:rPr lang="en-US"/>
                      <a:t>DE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DDE8-3F4A-B58B-FDA99E118F7A}"/>
                </c:ext>
              </c:extLst>
            </c:dLbl>
            <c:dLbl>
              <c:idx val="70"/>
              <c:tx>
                <c:rich>
                  <a:bodyPr/>
                  <a:lstStyle/>
                  <a:p>
                    <a:r>
                      <a:rPr lang="en-US"/>
                      <a:t>GR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DDE8-3F4A-B58B-FDA99E118F7A}"/>
                </c:ext>
              </c:extLst>
            </c:dLbl>
            <c:dLbl>
              <c:idx val="71"/>
              <c:tx>
                <c:rich>
                  <a:bodyPr/>
                  <a:lstStyle/>
                  <a:p>
                    <a:r>
                      <a:rPr lang="en-US"/>
                      <a:t>IE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DDE8-3F4A-B58B-FDA99E118F7A}"/>
                </c:ext>
              </c:extLst>
            </c:dLbl>
            <c:dLbl>
              <c:idx val="72"/>
              <c:tx>
                <c:rich>
                  <a:bodyPr/>
                  <a:lstStyle/>
                  <a:p>
                    <a:r>
                      <a:rPr lang="en-US"/>
                      <a:t>IT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DDE8-3F4A-B58B-FDA99E118F7A}"/>
                </c:ext>
              </c:extLst>
            </c:dLbl>
            <c:dLbl>
              <c:idx val="73"/>
              <c:tx>
                <c:rich>
                  <a:bodyPr/>
                  <a:lstStyle/>
                  <a:p>
                    <a:r>
                      <a:rPr lang="en-US"/>
                      <a:t>NL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DDE8-3F4A-B58B-FDA99E118F7A}"/>
                </c:ext>
              </c:extLst>
            </c:dLbl>
            <c:dLbl>
              <c:idx val="74"/>
              <c:tx>
                <c:rich>
                  <a:bodyPr/>
                  <a:lstStyle/>
                  <a:p>
                    <a:r>
                      <a:rPr lang="en-US"/>
                      <a:t>NO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DDE8-3F4A-B58B-FDA99E118F7A}"/>
                </c:ext>
              </c:extLst>
            </c:dLbl>
            <c:dLbl>
              <c:idx val="75"/>
              <c:tx>
                <c:rich>
                  <a:bodyPr/>
                  <a:lstStyle/>
                  <a:p>
                    <a:r>
                      <a:rPr lang="en-US"/>
                      <a:t>PT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DDE8-3F4A-B58B-FDA99E118F7A}"/>
                </c:ext>
              </c:extLst>
            </c:dLbl>
            <c:dLbl>
              <c:idx val="76"/>
              <c:tx>
                <c:rich>
                  <a:bodyPr/>
                  <a:lstStyle/>
                  <a:p>
                    <a:r>
                      <a:rPr lang="en-US"/>
                      <a:t>ES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DDE8-3F4A-B58B-FDA99E118F7A}"/>
                </c:ext>
              </c:extLst>
            </c:dLbl>
            <c:dLbl>
              <c:idx val="77"/>
              <c:tx>
                <c:rich>
                  <a:bodyPr/>
                  <a:lstStyle/>
                  <a:p>
                    <a:r>
                      <a:rPr lang="en-US"/>
                      <a:t>SE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DDE8-3F4A-B58B-FDA99E118F7A}"/>
                </c:ext>
              </c:extLst>
            </c:dLbl>
            <c:dLbl>
              <c:idx val="78"/>
              <c:tx>
                <c:rich>
                  <a:bodyPr/>
                  <a:lstStyle/>
                  <a:p>
                    <a:r>
                      <a:rPr lang="en-US"/>
                      <a:t>CH</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DDE8-3F4A-B58B-FDA99E118F7A}"/>
                </c:ext>
              </c:extLst>
            </c:dLbl>
            <c:dLbl>
              <c:idx val="79"/>
              <c:tx>
                <c:rich>
                  <a:bodyPr/>
                  <a:lstStyle/>
                  <a:p>
                    <a:r>
                      <a:rPr lang="en-US"/>
                      <a:t>GB</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DDE8-3F4A-B58B-FDA99E118F7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vs Penetration'!$D$2:$D$81</c:f>
              <c:numCache>
                <c:formatCode>#,##0.0</c:formatCode>
                <c:ptCount val="80"/>
                <c:pt idx="0">
                  <c:v>27.23</c:v>
                </c:pt>
                <c:pt idx="1">
                  <c:v>17.427952999999999</c:v>
                </c:pt>
                <c:pt idx="2">
                  <c:v>287.14859999999999</c:v>
                </c:pt>
                <c:pt idx="3">
                  <c:v>123.4</c:v>
                </c:pt>
                <c:pt idx="4">
                  <c:v>51.32</c:v>
                </c:pt>
                <c:pt idx="5">
                  <c:v>7.9142070000000002</c:v>
                </c:pt>
                <c:pt idx="6">
                  <c:v>36.119999999999997</c:v>
                </c:pt>
                <c:pt idx="7">
                  <c:v>55.649307</c:v>
                </c:pt>
                <c:pt idx="8">
                  <c:v>5.29</c:v>
                </c:pt>
                <c:pt idx="9">
                  <c:v>119.85</c:v>
                </c:pt>
                <c:pt idx="10">
                  <c:v>5.86</c:v>
                </c:pt>
                <c:pt idx="11">
                  <c:v>23.34</c:v>
                </c:pt>
                <c:pt idx="12">
                  <c:v>101.8</c:v>
                </c:pt>
                <c:pt idx="13">
                  <c:v>6.63</c:v>
                </c:pt>
                <c:pt idx="14">
                  <c:v>3.94</c:v>
                </c:pt>
                <c:pt idx="15">
                  <c:v>10.53</c:v>
                </c:pt>
                <c:pt idx="16">
                  <c:v>1.33</c:v>
                </c:pt>
                <c:pt idx="17">
                  <c:v>9.59</c:v>
                </c:pt>
                <c:pt idx="18">
                  <c:v>1.84</c:v>
                </c:pt>
                <c:pt idx="19">
                  <c:v>2.65</c:v>
                </c:pt>
                <c:pt idx="20">
                  <c:v>37.42</c:v>
                </c:pt>
                <c:pt idx="21">
                  <c:v>18.8</c:v>
                </c:pt>
                <c:pt idx="22">
                  <c:v>6.49</c:v>
                </c:pt>
                <c:pt idx="23">
                  <c:v>5.44</c:v>
                </c:pt>
                <c:pt idx="24">
                  <c:v>2.12</c:v>
                </c:pt>
                <c:pt idx="25">
                  <c:v>87.93</c:v>
                </c:pt>
                <c:pt idx="26">
                  <c:v>46</c:v>
                </c:pt>
                <c:pt idx="27">
                  <c:v>0.42990499999999998</c:v>
                </c:pt>
                <c:pt idx="28">
                  <c:v>0.29145300000000002</c:v>
                </c:pt>
                <c:pt idx="29">
                  <c:v>12.63</c:v>
                </c:pt>
                <c:pt idx="30">
                  <c:v>213.56</c:v>
                </c:pt>
                <c:pt idx="31">
                  <c:v>19.95</c:v>
                </c:pt>
                <c:pt idx="32">
                  <c:v>52.9</c:v>
                </c:pt>
                <c:pt idx="33">
                  <c:v>5.17</c:v>
                </c:pt>
                <c:pt idx="34">
                  <c:v>10.954359999999999</c:v>
                </c:pt>
                <c:pt idx="35">
                  <c:v>1.8440000000000002E-2</c:v>
                </c:pt>
                <c:pt idx="36">
                  <c:v>6.39</c:v>
                </c:pt>
                <c:pt idx="37">
                  <c:v>18.97</c:v>
                </c:pt>
                <c:pt idx="38">
                  <c:v>10.741652999999999</c:v>
                </c:pt>
                <c:pt idx="39">
                  <c:v>2.7068479999999999</c:v>
                </c:pt>
                <c:pt idx="40">
                  <c:v>133</c:v>
                </c:pt>
                <c:pt idx="41">
                  <c:v>7.069293</c:v>
                </c:pt>
                <c:pt idx="42">
                  <c:v>4.7267010000000003</c:v>
                </c:pt>
                <c:pt idx="43">
                  <c:v>7.67</c:v>
                </c:pt>
                <c:pt idx="44">
                  <c:v>35.35</c:v>
                </c:pt>
                <c:pt idx="45">
                  <c:v>2.9348920000000001</c:v>
                </c:pt>
                <c:pt idx="46">
                  <c:v>1.415646</c:v>
                </c:pt>
                <c:pt idx="47">
                  <c:v>3.38</c:v>
                </c:pt>
                <c:pt idx="48">
                  <c:v>30.42</c:v>
                </c:pt>
                <c:pt idx="49">
                  <c:v>1.72</c:v>
                </c:pt>
                <c:pt idx="50">
                  <c:v>45.92</c:v>
                </c:pt>
                <c:pt idx="51">
                  <c:v>9.59</c:v>
                </c:pt>
                <c:pt idx="52">
                  <c:v>12.25</c:v>
                </c:pt>
                <c:pt idx="53">
                  <c:v>4.78</c:v>
                </c:pt>
                <c:pt idx="54">
                  <c:v>6.89</c:v>
                </c:pt>
                <c:pt idx="55">
                  <c:v>4.88</c:v>
                </c:pt>
                <c:pt idx="56">
                  <c:v>5.8416540000000001</c:v>
                </c:pt>
                <c:pt idx="57">
                  <c:v>2.78</c:v>
                </c:pt>
                <c:pt idx="58">
                  <c:v>39.85</c:v>
                </c:pt>
                <c:pt idx="59">
                  <c:v>62.31</c:v>
                </c:pt>
                <c:pt idx="60">
                  <c:v>9.74</c:v>
                </c:pt>
                <c:pt idx="61">
                  <c:v>34.799999999999997</c:v>
                </c:pt>
                <c:pt idx="62">
                  <c:v>40.47</c:v>
                </c:pt>
                <c:pt idx="63">
                  <c:v>343.5</c:v>
                </c:pt>
                <c:pt idx="64">
                  <c:v>8.7899999999999991</c:v>
                </c:pt>
                <c:pt idx="65">
                  <c:v>11.77</c:v>
                </c:pt>
                <c:pt idx="66">
                  <c:v>6</c:v>
                </c:pt>
                <c:pt idx="67">
                  <c:v>5.5575109999999999</c:v>
                </c:pt>
                <c:pt idx="68">
                  <c:v>65.12</c:v>
                </c:pt>
                <c:pt idx="69">
                  <c:v>83.64</c:v>
                </c:pt>
                <c:pt idx="70">
                  <c:v>10.1</c:v>
                </c:pt>
                <c:pt idx="71">
                  <c:v>5.14</c:v>
                </c:pt>
                <c:pt idx="72">
                  <c:v>58.845703</c:v>
                </c:pt>
                <c:pt idx="73">
                  <c:v>17.77</c:v>
                </c:pt>
                <c:pt idx="74">
                  <c:v>5.59</c:v>
                </c:pt>
                <c:pt idx="75">
                  <c:v>10.172105999999999</c:v>
                </c:pt>
                <c:pt idx="76">
                  <c:v>47.85</c:v>
                </c:pt>
                <c:pt idx="77">
                  <c:v>10.79</c:v>
                </c:pt>
                <c:pt idx="78">
                  <c:v>8.9600000000000009</c:v>
                </c:pt>
                <c:pt idx="79">
                  <c:v>69.930000000000007</c:v>
                </c:pt>
              </c:numCache>
            </c:numRef>
          </c:xVal>
          <c:yVal>
            <c:numRef>
              <c:f>'Population vs Penetration'!$C$2:$C$81</c:f>
              <c:numCache>
                <c:formatCode>0.00"%"</c:formatCode>
                <c:ptCount val="80"/>
                <c:pt idx="0">
                  <c:v>93.38</c:v>
                </c:pt>
                <c:pt idx="1">
                  <c:v>18.510000000000002</c:v>
                </c:pt>
                <c:pt idx="2">
                  <c:v>25.17</c:v>
                </c:pt>
                <c:pt idx="3">
                  <c:v>87.64</c:v>
                </c:pt>
                <c:pt idx="4">
                  <c:v>112.57</c:v>
                </c:pt>
                <c:pt idx="5">
                  <c:v>18.440000000000001</c:v>
                </c:pt>
                <c:pt idx="6">
                  <c:v>55.9</c:v>
                </c:pt>
                <c:pt idx="7">
                  <c:v>12.17</c:v>
                </c:pt>
                <c:pt idx="8">
                  <c:v>91.95</c:v>
                </c:pt>
                <c:pt idx="9">
                  <c:v>44.16</c:v>
                </c:pt>
                <c:pt idx="10">
                  <c:v>102.13</c:v>
                </c:pt>
                <c:pt idx="11">
                  <c:v>76.61</c:v>
                </c:pt>
                <c:pt idx="12">
                  <c:v>84.02</c:v>
                </c:pt>
                <c:pt idx="13">
                  <c:v>93.65</c:v>
                </c:pt>
                <c:pt idx="14">
                  <c:v>81.66</c:v>
                </c:pt>
                <c:pt idx="15">
                  <c:v>80.95</c:v>
                </c:pt>
                <c:pt idx="16">
                  <c:v>75.45</c:v>
                </c:pt>
                <c:pt idx="17">
                  <c:v>86.79</c:v>
                </c:pt>
                <c:pt idx="18">
                  <c:v>56.94</c:v>
                </c:pt>
                <c:pt idx="19">
                  <c:v>44.72</c:v>
                </c:pt>
                <c:pt idx="20">
                  <c:v>67.599999999999994</c:v>
                </c:pt>
                <c:pt idx="21">
                  <c:v>89.83</c:v>
                </c:pt>
                <c:pt idx="22">
                  <c:v>89.3</c:v>
                </c:pt>
                <c:pt idx="23">
                  <c:v>97.15</c:v>
                </c:pt>
                <c:pt idx="24">
                  <c:v>89.73</c:v>
                </c:pt>
                <c:pt idx="25">
                  <c:v>82.44</c:v>
                </c:pt>
                <c:pt idx="26">
                  <c:v>78.77</c:v>
                </c:pt>
                <c:pt idx="27">
                  <c:v>59.54</c:v>
                </c:pt>
                <c:pt idx="28">
                  <c:v>86.64</c:v>
                </c:pt>
                <c:pt idx="29">
                  <c:v>37.15</c:v>
                </c:pt>
                <c:pt idx="30">
                  <c:v>65.84</c:v>
                </c:pt>
                <c:pt idx="31">
                  <c:v>74.08</c:v>
                </c:pt>
                <c:pt idx="32">
                  <c:v>47.11</c:v>
                </c:pt>
                <c:pt idx="33">
                  <c:v>82.56</c:v>
                </c:pt>
                <c:pt idx="34">
                  <c:v>37.35</c:v>
                </c:pt>
                <c:pt idx="35">
                  <c:v>63.59</c:v>
                </c:pt>
                <c:pt idx="36">
                  <c:v>36.44</c:v>
                </c:pt>
                <c:pt idx="37">
                  <c:v>27.02</c:v>
                </c:pt>
                <c:pt idx="38">
                  <c:v>26.38</c:v>
                </c:pt>
                <c:pt idx="39">
                  <c:v>47.61</c:v>
                </c:pt>
                <c:pt idx="40">
                  <c:v>72.19</c:v>
                </c:pt>
                <c:pt idx="41">
                  <c:v>25.93</c:v>
                </c:pt>
                <c:pt idx="42">
                  <c:v>55.01</c:v>
                </c:pt>
                <c:pt idx="43">
                  <c:v>46.98</c:v>
                </c:pt>
                <c:pt idx="44">
                  <c:v>42.96</c:v>
                </c:pt>
                <c:pt idx="45">
                  <c:v>69.239999999999995</c:v>
                </c:pt>
                <c:pt idx="46">
                  <c:v>80.400000000000006</c:v>
                </c:pt>
                <c:pt idx="47">
                  <c:v>90.91</c:v>
                </c:pt>
                <c:pt idx="48">
                  <c:v>27.1</c:v>
                </c:pt>
                <c:pt idx="49">
                  <c:v>95.83</c:v>
                </c:pt>
                <c:pt idx="50">
                  <c:v>15.37</c:v>
                </c:pt>
                <c:pt idx="51">
                  <c:v>96.78</c:v>
                </c:pt>
                <c:pt idx="52">
                  <c:v>62</c:v>
                </c:pt>
                <c:pt idx="53">
                  <c:v>44.29</c:v>
                </c:pt>
                <c:pt idx="54">
                  <c:v>68.09</c:v>
                </c:pt>
                <c:pt idx="55">
                  <c:v>79.47</c:v>
                </c:pt>
                <c:pt idx="56">
                  <c:v>45.11</c:v>
                </c:pt>
                <c:pt idx="57">
                  <c:v>97.57</c:v>
                </c:pt>
                <c:pt idx="58">
                  <c:v>51.74</c:v>
                </c:pt>
                <c:pt idx="59">
                  <c:v>19.309999999999999</c:v>
                </c:pt>
                <c:pt idx="60">
                  <c:v>95.82</c:v>
                </c:pt>
                <c:pt idx="61">
                  <c:v>15.18</c:v>
                </c:pt>
                <c:pt idx="62">
                  <c:v>94.69</c:v>
                </c:pt>
                <c:pt idx="63">
                  <c:v>92.48</c:v>
                </c:pt>
                <c:pt idx="64">
                  <c:v>63.46</c:v>
                </c:pt>
                <c:pt idx="65">
                  <c:v>89.45</c:v>
                </c:pt>
                <c:pt idx="66">
                  <c:v>90.85</c:v>
                </c:pt>
                <c:pt idx="67">
                  <c:v>70.8</c:v>
                </c:pt>
                <c:pt idx="68">
                  <c:v>101.07</c:v>
                </c:pt>
                <c:pt idx="69">
                  <c:v>94.79</c:v>
                </c:pt>
                <c:pt idx="70">
                  <c:v>108.58</c:v>
                </c:pt>
                <c:pt idx="71">
                  <c:v>76.25</c:v>
                </c:pt>
                <c:pt idx="72">
                  <c:v>65.22</c:v>
                </c:pt>
                <c:pt idx="73">
                  <c:v>92.05</c:v>
                </c:pt>
                <c:pt idx="74">
                  <c:v>96.03</c:v>
                </c:pt>
                <c:pt idx="75">
                  <c:v>93.09</c:v>
                </c:pt>
                <c:pt idx="76">
                  <c:v>85.23</c:v>
                </c:pt>
                <c:pt idx="77">
                  <c:v>90.39</c:v>
                </c:pt>
                <c:pt idx="78">
                  <c:v>101.62</c:v>
                </c:pt>
                <c:pt idx="79">
                  <c:v>99.55</c:v>
                </c:pt>
              </c:numCache>
            </c:numRef>
          </c:yVal>
          <c:smooth val="0"/>
          <c:extLst>
            <c:ext xmlns:c16="http://schemas.microsoft.com/office/drawing/2014/chart" uri="{C3380CC4-5D6E-409C-BE32-E72D297353CC}">
              <c16:uniqueId val="{00000000-DDE8-3F4A-B58B-FDA99E118F7A}"/>
            </c:ext>
          </c:extLst>
        </c:ser>
        <c:dLbls>
          <c:showLegendKey val="0"/>
          <c:showVal val="0"/>
          <c:showCatName val="0"/>
          <c:showSerName val="0"/>
          <c:showPercent val="0"/>
          <c:showBubbleSize val="0"/>
        </c:dLbls>
        <c:axId val="596606624"/>
        <c:axId val="596129072"/>
      </c:scatterChart>
      <c:valAx>
        <c:axId val="596606624"/>
        <c:scaling>
          <c:orientation val="minMax"/>
        </c:scaling>
        <c:delete val="0"/>
        <c:axPos val="b"/>
        <c:majorGridlines>
          <c:spPr>
            <a:ln w="9525" cap="flat" cmpd="sng" algn="ctr">
              <a:solidFill>
                <a:srgbClr val="D9D9D9"/>
              </a:solidFill>
              <a:prstDash val="solid"/>
              <a:round/>
            </a:ln>
            <a:effectLst/>
          </c:spPr>
        </c:majorGridlines>
        <c:title>
          <c:tx>
            <c:rich>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r>
                  <a:rPr lang="en-US"/>
                  <a:t>Population (millions, 2026)</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596129072"/>
        <c:crosses val="autoZero"/>
        <c:crossBetween val="midCat"/>
      </c:valAx>
      <c:valAx>
        <c:axId val="596129072"/>
        <c:scaling>
          <c:orientation val="minMax"/>
        </c:scaling>
        <c:delete val="0"/>
        <c:axPos val="l"/>
        <c:majorGridlines>
          <c:spPr>
            <a:ln w="9525" cap="flat" cmpd="sng" algn="ctr">
              <a:solidFill>
                <a:srgbClr val="D9D9D9"/>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rgbClr val="000000"/>
                    </a:solidFill>
                    <a:latin typeface="+mn-lt"/>
                    <a:ea typeface="+mn-ea"/>
                    <a:cs typeface="+mn-cs"/>
                  </a:defRPr>
                </a:pPr>
                <a:r>
                  <a:rPr lang="en-US"/>
                  <a:t>Residential Broadband Penetration (2026, %)</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title>
        <c:numFmt formatCode="0.00&quot;%&quot;"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596606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Population (0–100M) vs. Residential Broadband Penetration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lotArea>
      <c:layout/>
      <c:scatterChart>
        <c:scatterStyle val="lineMarker"/>
        <c:varyColors val="0"/>
        <c:ser>
          <c:idx val="0"/>
          <c:order val="0"/>
          <c:tx>
            <c:strRef>
              <c:f>'Population vs Penetration'!$D$1</c:f>
              <c:strCache>
                <c:ptCount val="1"/>
                <c:pt idx="0">
                  <c:v>Population (millions)</c:v>
                </c:pt>
              </c:strCache>
            </c:strRef>
          </c:tx>
          <c:spPr>
            <a:ln w="28575" cap="rnd">
              <a:noFill/>
              <a:round/>
            </a:ln>
            <a:effectLst/>
          </c:spPr>
          <c:marker>
            <c:symbol val="circle"/>
            <c:size val="5"/>
            <c:spPr>
              <a:solidFill>
                <a:schemeClr val="accent1"/>
              </a:solidFill>
              <a:ln w="9525">
                <a:solidFill>
                  <a:schemeClr val="accent1"/>
                </a:solidFill>
              </a:ln>
              <a:effectLst/>
            </c:spPr>
          </c:marker>
          <c:dLbls>
            <c:dLbl>
              <c:idx val="0"/>
              <c:tx>
                <c:rich>
                  <a:bodyPr/>
                  <a:lstStyle/>
                  <a:p>
                    <a:r>
                      <a:rPr lang="en-US"/>
                      <a:t>AU</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35F-A949-8E77-C1DE0B6DCE6C}"/>
                </c:ext>
              </c:extLst>
            </c:dLbl>
            <c:dLbl>
              <c:idx val="1"/>
              <c:tx>
                <c:rich>
                  <a:bodyPr/>
                  <a:lstStyle/>
                  <a:p>
                    <a:r>
                      <a:rPr lang="en-US"/>
                      <a:t>KH</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35F-A949-8E77-C1DE0B6DCE6C}"/>
                </c:ext>
              </c:extLst>
            </c:dLbl>
            <c:dLbl>
              <c:idx val="2"/>
              <c:tx>
                <c:rich>
                  <a:bodyPr/>
                  <a:lstStyle/>
                  <a:p>
                    <a:r>
                      <a:rPr lang="en-US"/>
                      <a:t>ID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35F-A949-8E77-C1DE0B6DCE6C}"/>
                </c:ext>
              </c:extLst>
            </c:dLbl>
            <c:dLbl>
              <c:idx val="3"/>
              <c:tx>
                <c:rich>
                  <a:bodyPr/>
                  <a:lstStyle/>
                  <a:p>
                    <a:r>
                      <a:rPr lang="en-US"/>
                      <a:t>JP</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35F-A949-8E77-C1DE0B6DCE6C}"/>
                </c:ext>
              </c:extLst>
            </c:dLbl>
            <c:dLbl>
              <c:idx val="4"/>
              <c:tx>
                <c:rich>
                  <a:bodyPr/>
                  <a:lstStyle/>
                  <a:p>
                    <a:r>
                      <a:rPr lang="en-US"/>
                      <a:t>KR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35F-A949-8E77-C1DE0B6DCE6C}"/>
                </c:ext>
              </c:extLst>
            </c:dLbl>
            <c:dLbl>
              <c:idx val="5"/>
              <c:tx>
                <c:rich>
                  <a:bodyPr/>
                  <a:lstStyle/>
                  <a:p>
                    <a:r>
                      <a:rPr lang="en-US"/>
                      <a:t>LA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35F-A949-8E77-C1DE0B6DCE6C}"/>
                </c:ext>
              </c:extLst>
            </c:dLbl>
            <c:dLbl>
              <c:idx val="6"/>
              <c:tx>
                <c:rich>
                  <a:bodyPr/>
                  <a:lstStyle/>
                  <a:p>
                    <a:r>
                      <a:rPr lang="en-US"/>
                      <a:t>MY</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35F-A949-8E77-C1DE0B6DCE6C}"/>
                </c:ext>
              </c:extLst>
            </c:dLbl>
            <c:dLbl>
              <c:idx val="7"/>
              <c:tx>
                <c:rich>
                  <a:bodyPr/>
                  <a:lstStyle/>
                  <a:p>
                    <a:r>
                      <a:rPr lang="en-US"/>
                      <a:t>MM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35F-A949-8E77-C1DE0B6DCE6C}"/>
                </c:ext>
              </c:extLst>
            </c:dLbl>
            <c:dLbl>
              <c:idx val="8"/>
              <c:tx>
                <c:rich>
                  <a:bodyPr/>
                  <a:lstStyle/>
                  <a:p>
                    <a:r>
                      <a:rPr lang="en-US"/>
                      <a:t>NZ</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35F-A949-8E77-C1DE0B6DCE6C}"/>
                </c:ext>
              </c:extLst>
            </c:dLbl>
            <c:dLbl>
              <c:idx val="9"/>
              <c:tx>
                <c:rich>
                  <a:bodyPr/>
                  <a:lstStyle/>
                  <a:p>
                    <a:r>
                      <a:rPr lang="en-US"/>
                      <a:t>PH</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B35F-A949-8E77-C1DE0B6DCE6C}"/>
                </c:ext>
              </c:extLst>
            </c:dLbl>
            <c:dLbl>
              <c:idx val="10"/>
              <c:tx>
                <c:rich>
                  <a:bodyPr/>
                  <a:lstStyle/>
                  <a:p>
                    <a:r>
                      <a:rPr lang="en-US"/>
                      <a:t>SG</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B35F-A949-8E77-C1DE0B6DCE6C}"/>
                </c:ext>
              </c:extLst>
            </c:dLbl>
            <c:dLbl>
              <c:idx val="11"/>
              <c:tx>
                <c:rich>
                  <a:bodyPr/>
                  <a:lstStyle/>
                  <a:p>
                    <a:r>
                      <a:rPr lang="en-US"/>
                      <a:t>TW</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B35F-A949-8E77-C1DE0B6DCE6C}"/>
                </c:ext>
              </c:extLst>
            </c:dLbl>
            <c:dLbl>
              <c:idx val="12"/>
              <c:tx>
                <c:rich>
                  <a:bodyPr/>
                  <a:lstStyle/>
                  <a:p>
                    <a:r>
                      <a:rPr lang="en-US"/>
                      <a:t>VN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B35F-A949-8E77-C1DE0B6DCE6C}"/>
                </c:ext>
              </c:extLst>
            </c:dLbl>
            <c:dLbl>
              <c:idx val="13"/>
              <c:tx>
                <c:rich>
                  <a:bodyPr/>
                  <a:lstStyle/>
                  <a:p>
                    <a:r>
                      <a:rPr lang="en-US"/>
                      <a:t>BG</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B35F-A949-8E77-C1DE0B6DCE6C}"/>
                </c:ext>
              </c:extLst>
            </c:dLbl>
            <c:dLbl>
              <c:idx val="14"/>
              <c:tx>
                <c:rich>
                  <a:bodyPr/>
                  <a:lstStyle/>
                  <a:p>
                    <a:r>
                      <a:rPr lang="en-US"/>
                      <a:t>HR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B35F-A949-8E77-C1DE0B6DCE6C}"/>
                </c:ext>
              </c:extLst>
            </c:dLbl>
            <c:dLbl>
              <c:idx val="15"/>
              <c:tx>
                <c:rich>
                  <a:bodyPr/>
                  <a:lstStyle/>
                  <a:p>
                    <a:r>
                      <a:rPr lang="en-US"/>
                      <a:t>CZ</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B35F-A949-8E77-C1DE0B6DCE6C}"/>
                </c:ext>
              </c:extLst>
            </c:dLbl>
            <c:dLbl>
              <c:idx val="16"/>
              <c:tx>
                <c:rich>
                  <a:bodyPr/>
                  <a:lstStyle/>
                  <a:p>
                    <a:r>
                      <a:rPr lang="en-US"/>
                      <a:t>EE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B35F-A949-8E77-C1DE0B6DCE6C}"/>
                </c:ext>
              </c:extLst>
            </c:dLbl>
            <c:dLbl>
              <c:idx val="17"/>
              <c:tx>
                <c:rich>
                  <a:bodyPr/>
                  <a:lstStyle/>
                  <a:p>
                    <a:r>
                      <a:rPr lang="en-US"/>
                      <a:t>HU</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B35F-A949-8E77-C1DE0B6DCE6C}"/>
                </c:ext>
              </c:extLst>
            </c:dLbl>
            <c:dLbl>
              <c:idx val="18"/>
              <c:tx>
                <c:rich>
                  <a:bodyPr/>
                  <a:lstStyle/>
                  <a:p>
                    <a:r>
                      <a:rPr lang="en-US"/>
                      <a:t>LV</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B35F-A949-8E77-C1DE0B6DCE6C}"/>
                </c:ext>
              </c:extLst>
            </c:dLbl>
            <c:dLbl>
              <c:idx val="19"/>
              <c:tx>
                <c:rich>
                  <a:bodyPr/>
                  <a:lstStyle/>
                  <a:p>
                    <a:r>
                      <a:rPr lang="en-US"/>
                      <a:t>LT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B35F-A949-8E77-C1DE0B6DCE6C}"/>
                </c:ext>
              </c:extLst>
            </c:dLbl>
            <c:dLbl>
              <c:idx val="20"/>
              <c:tx>
                <c:rich>
                  <a:bodyPr/>
                  <a:lstStyle/>
                  <a:p>
                    <a:r>
                      <a:rPr lang="en-US"/>
                      <a:t>PL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B35F-A949-8E77-C1DE0B6DCE6C}"/>
                </c:ext>
              </c:extLst>
            </c:dLbl>
            <c:dLbl>
              <c:idx val="21"/>
              <c:tx>
                <c:rich>
                  <a:bodyPr/>
                  <a:lstStyle/>
                  <a:p>
                    <a:r>
                      <a:rPr lang="en-US"/>
                      <a:t>RO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B35F-A949-8E77-C1DE0B6DCE6C}"/>
                </c:ext>
              </c:extLst>
            </c:dLbl>
            <c:dLbl>
              <c:idx val="22"/>
              <c:tx>
                <c:rich>
                  <a:bodyPr/>
                  <a:lstStyle/>
                  <a:p>
                    <a:r>
                      <a:rPr lang="en-US"/>
                      <a:t>RS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B35F-A949-8E77-C1DE0B6DCE6C}"/>
                </c:ext>
              </c:extLst>
            </c:dLbl>
            <c:dLbl>
              <c:idx val="23"/>
              <c:tx>
                <c:rich>
                  <a:bodyPr/>
                  <a:lstStyle/>
                  <a:p>
                    <a:r>
                      <a:rPr lang="en-US"/>
                      <a:t>SK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B35F-A949-8E77-C1DE0B6DCE6C}"/>
                </c:ext>
              </c:extLst>
            </c:dLbl>
            <c:dLbl>
              <c:idx val="24"/>
              <c:tx>
                <c:rich>
                  <a:bodyPr/>
                  <a:lstStyle/>
                  <a:p>
                    <a:r>
                      <a:rPr lang="en-US"/>
                      <a:t>SI</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B35F-A949-8E77-C1DE0B6DCE6C}"/>
                </c:ext>
              </c:extLst>
            </c:dLbl>
            <c:dLbl>
              <c:idx val="25"/>
              <c:tx>
                <c:rich>
                  <a:bodyPr/>
                  <a:lstStyle/>
                  <a:p>
                    <a:r>
                      <a:rPr lang="en-US"/>
                      <a:t>TR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B35F-A949-8E77-C1DE0B6DCE6C}"/>
                </c:ext>
              </c:extLst>
            </c:dLbl>
            <c:dLbl>
              <c:idx val="26"/>
              <c:tx>
                <c:rich>
                  <a:bodyPr/>
                  <a:lstStyle/>
                  <a:p>
                    <a:r>
                      <a:rPr lang="en-US"/>
                      <a:t>AR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B35F-A949-8E77-C1DE0B6DCE6C}"/>
                </c:ext>
              </c:extLst>
            </c:dLbl>
            <c:dLbl>
              <c:idx val="27"/>
              <c:tx>
                <c:rich>
                  <a:bodyPr/>
                  <a:lstStyle/>
                  <a:p>
                    <a:r>
                      <a:rPr lang="en-US"/>
                      <a:t>BS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B35F-A949-8E77-C1DE0B6DCE6C}"/>
                </c:ext>
              </c:extLst>
            </c:dLbl>
            <c:dLbl>
              <c:idx val="28"/>
              <c:tx>
                <c:rich>
                  <a:bodyPr/>
                  <a:lstStyle/>
                  <a:p>
                    <a:r>
                      <a:rPr lang="en-US"/>
                      <a:t>BB</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B35F-A949-8E77-C1DE0B6DCE6C}"/>
                </c:ext>
              </c:extLst>
            </c:dLbl>
            <c:dLbl>
              <c:idx val="29"/>
              <c:tx>
                <c:rich>
                  <a:bodyPr/>
                  <a:lstStyle/>
                  <a:p>
                    <a:r>
                      <a:rPr lang="en-US"/>
                      <a:t>BO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B35F-A949-8E77-C1DE0B6DCE6C}"/>
                </c:ext>
              </c:extLst>
            </c:dLbl>
            <c:dLbl>
              <c:idx val="30"/>
              <c:tx>
                <c:rich>
                  <a:bodyPr/>
                  <a:lstStyle/>
                  <a:p>
                    <a:r>
                      <a:rPr lang="en-US"/>
                      <a:t>BR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B35F-A949-8E77-C1DE0B6DCE6C}"/>
                </c:ext>
              </c:extLst>
            </c:dLbl>
            <c:dLbl>
              <c:idx val="31"/>
              <c:tx>
                <c:rich>
                  <a:bodyPr/>
                  <a:lstStyle/>
                  <a:p>
                    <a:r>
                      <a:rPr lang="en-US"/>
                      <a:t>CL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B35F-A949-8E77-C1DE0B6DCE6C}"/>
                </c:ext>
              </c:extLst>
            </c:dLbl>
            <c:dLbl>
              <c:idx val="32"/>
              <c:tx>
                <c:rich>
                  <a:bodyPr/>
                  <a:lstStyle/>
                  <a:p>
                    <a:r>
                      <a:rPr lang="en-US"/>
                      <a:t>CO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B35F-A949-8E77-C1DE0B6DCE6C}"/>
                </c:ext>
              </c:extLst>
            </c:dLbl>
            <c:dLbl>
              <c:idx val="33"/>
              <c:tx>
                <c:rich>
                  <a:bodyPr/>
                  <a:lstStyle/>
                  <a:p>
                    <a:r>
                      <a:rPr lang="en-US"/>
                      <a:t>CR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B35F-A949-8E77-C1DE0B6DCE6C}"/>
                </c:ext>
              </c:extLst>
            </c:dLbl>
            <c:dLbl>
              <c:idx val="34"/>
              <c:tx>
                <c:rich>
                  <a:bodyPr/>
                  <a:lstStyle/>
                  <a:p>
                    <a:r>
                      <a:rPr lang="en-US"/>
                      <a:t>DO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B35F-A949-8E77-C1DE0B6DCE6C}"/>
                </c:ext>
              </c:extLst>
            </c:dLbl>
            <c:dLbl>
              <c:idx val="35"/>
              <c:tx>
                <c:rich>
                  <a:bodyPr/>
                  <a:lstStyle/>
                  <a:p>
                    <a:r>
                      <a:rPr lang="en-US"/>
                      <a:t>EC</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B35F-A949-8E77-C1DE0B6DCE6C}"/>
                </c:ext>
              </c:extLst>
            </c:dLbl>
            <c:dLbl>
              <c:idx val="36"/>
              <c:tx>
                <c:rich>
                  <a:bodyPr/>
                  <a:lstStyle/>
                  <a:p>
                    <a:r>
                      <a:rPr lang="en-US"/>
                      <a:t>SV</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B35F-A949-8E77-C1DE0B6DCE6C}"/>
                </c:ext>
              </c:extLst>
            </c:dLbl>
            <c:dLbl>
              <c:idx val="37"/>
              <c:tx>
                <c:rich>
                  <a:bodyPr/>
                  <a:lstStyle/>
                  <a:p>
                    <a:r>
                      <a:rPr lang="en-US"/>
                      <a:t>GT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B35F-A949-8E77-C1DE0B6DCE6C}"/>
                </c:ext>
              </c:extLst>
            </c:dLbl>
            <c:dLbl>
              <c:idx val="38"/>
              <c:tx>
                <c:rich>
                  <a:bodyPr/>
                  <a:lstStyle/>
                  <a:p>
                    <a:r>
                      <a:rPr lang="en-US"/>
                      <a:t>HN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B35F-A949-8E77-C1DE0B6DCE6C}"/>
                </c:ext>
              </c:extLst>
            </c:dLbl>
            <c:dLbl>
              <c:idx val="39"/>
              <c:tx>
                <c:rich>
                  <a:bodyPr/>
                  <a:lstStyle/>
                  <a:p>
                    <a:r>
                      <a:rPr lang="en-US"/>
                      <a:t>JM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B35F-A949-8E77-C1DE0B6DCE6C}"/>
                </c:ext>
              </c:extLst>
            </c:dLbl>
            <c:dLbl>
              <c:idx val="40"/>
              <c:tx>
                <c:rich>
                  <a:bodyPr/>
                  <a:lstStyle/>
                  <a:p>
                    <a:r>
                      <a:rPr lang="en-US"/>
                      <a:t>MX</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B35F-A949-8E77-C1DE0B6DCE6C}"/>
                </c:ext>
              </c:extLst>
            </c:dLbl>
            <c:dLbl>
              <c:idx val="41"/>
              <c:tx>
                <c:rich>
                  <a:bodyPr/>
                  <a:lstStyle/>
                  <a:p>
                    <a:r>
                      <a:rPr lang="en-US"/>
                      <a:t>NI</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B35F-A949-8E77-C1DE0B6DCE6C}"/>
                </c:ext>
              </c:extLst>
            </c:dLbl>
            <c:dLbl>
              <c:idx val="42"/>
              <c:tx>
                <c:rich>
                  <a:bodyPr/>
                  <a:lstStyle/>
                  <a:p>
                    <a:r>
                      <a:rPr lang="en-US"/>
                      <a:t>PA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B35F-A949-8E77-C1DE0B6DCE6C}"/>
                </c:ext>
              </c:extLst>
            </c:dLbl>
            <c:dLbl>
              <c:idx val="43"/>
              <c:tx>
                <c:rich>
                  <a:bodyPr/>
                  <a:lstStyle/>
                  <a:p>
                    <a:r>
                      <a:rPr lang="en-US"/>
                      <a:t>PY</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B35F-A949-8E77-C1DE0B6DCE6C}"/>
                </c:ext>
              </c:extLst>
            </c:dLbl>
            <c:dLbl>
              <c:idx val="44"/>
              <c:tx>
                <c:rich>
                  <a:bodyPr/>
                  <a:lstStyle/>
                  <a:p>
                    <a:r>
                      <a:rPr lang="en-US"/>
                      <a:t>PE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B35F-A949-8E77-C1DE0B6DCE6C}"/>
                </c:ext>
              </c:extLst>
            </c:dLbl>
            <c:dLbl>
              <c:idx val="45"/>
              <c:tx>
                <c:rich>
                  <a:bodyPr/>
                  <a:lstStyle/>
                  <a:p>
                    <a:r>
                      <a:rPr lang="en-US"/>
                      <a:t>PR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B35F-A949-8E77-C1DE0B6DCE6C}"/>
                </c:ext>
              </c:extLst>
            </c:dLbl>
            <c:dLbl>
              <c:idx val="46"/>
              <c:tx>
                <c:rich>
                  <a:bodyPr/>
                  <a:lstStyle/>
                  <a:p>
                    <a:r>
                      <a:rPr lang="en-US"/>
                      <a:t>TT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B35F-A949-8E77-C1DE0B6DCE6C}"/>
                </c:ext>
              </c:extLst>
            </c:dLbl>
            <c:dLbl>
              <c:idx val="47"/>
              <c:tx>
                <c:rich>
                  <a:bodyPr/>
                  <a:lstStyle/>
                  <a:p>
                    <a:r>
                      <a:rPr lang="en-US"/>
                      <a:t>UY</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B35F-A949-8E77-C1DE0B6DCE6C}"/>
                </c:ext>
              </c:extLst>
            </c:dLbl>
            <c:dLbl>
              <c:idx val="48"/>
              <c:tx>
                <c:rich>
                  <a:bodyPr/>
                  <a:lstStyle/>
                  <a:p>
                    <a:r>
                      <a:rPr lang="en-US"/>
                      <a:t>VE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B35F-A949-8E77-C1DE0B6DCE6C}"/>
                </c:ext>
              </c:extLst>
            </c:dLbl>
            <c:dLbl>
              <c:idx val="49"/>
              <c:tx>
                <c:rich>
                  <a:bodyPr/>
                  <a:lstStyle/>
                  <a:p>
                    <a:r>
                      <a:rPr lang="en-US"/>
                      <a:t>BH</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B35F-A949-8E77-C1DE0B6DCE6C}"/>
                </c:ext>
              </c:extLst>
            </c:dLbl>
            <c:dLbl>
              <c:idx val="50"/>
              <c:tx>
                <c:rich>
                  <a:bodyPr/>
                  <a:lstStyle/>
                  <a:p>
                    <a:r>
                      <a:rPr lang="en-US"/>
                      <a:t>IQ</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B35F-A949-8E77-C1DE0B6DCE6C}"/>
                </c:ext>
              </c:extLst>
            </c:dLbl>
            <c:dLbl>
              <c:idx val="51"/>
              <c:tx>
                <c:rich>
                  <a:bodyPr/>
                  <a:lstStyle/>
                  <a:p>
                    <a:r>
                      <a:rPr lang="en-US"/>
                      <a:t>IL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B35F-A949-8E77-C1DE0B6DCE6C}"/>
                </c:ext>
              </c:extLst>
            </c:dLbl>
            <c:dLbl>
              <c:idx val="52"/>
              <c:tx>
                <c:rich>
                  <a:bodyPr/>
                  <a:lstStyle/>
                  <a:p>
                    <a:r>
                      <a:rPr lang="en-US"/>
                      <a:t>JO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B35F-A949-8E77-C1DE0B6DCE6C}"/>
                </c:ext>
              </c:extLst>
            </c:dLbl>
            <c:dLbl>
              <c:idx val="53"/>
              <c:tx>
                <c:rich>
                  <a:bodyPr/>
                  <a:lstStyle/>
                  <a:p>
                    <a:r>
                      <a:rPr lang="en-US"/>
                      <a:t>KW</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B35F-A949-8E77-C1DE0B6DCE6C}"/>
                </c:ext>
              </c:extLst>
            </c:dLbl>
            <c:dLbl>
              <c:idx val="54"/>
              <c:tx>
                <c:rich>
                  <a:bodyPr/>
                  <a:lstStyle/>
                  <a:p>
                    <a:r>
                      <a:rPr lang="en-US"/>
                      <a:t>LB</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B35F-A949-8E77-C1DE0B6DCE6C}"/>
                </c:ext>
              </c:extLst>
            </c:dLbl>
            <c:dLbl>
              <c:idx val="55"/>
              <c:tx>
                <c:rich>
                  <a:bodyPr/>
                  <a:lstStyle/>
                  <a:p>
                    <a:r>
                      <a:rPr lang="en-US"/>
                      <a:t>OM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B35F-A949-8E77-C1DE0B6DCE6C}"/>
                </c:ext>
              </c:extLst>
            </c:dLbl>
            <c:dLbl>
              <c:idx val="56"/>
              <c:tx>
                <c:rich>
                  <a:bodyPr/>
                  <a:lstStyle/>
                  <a:p>
                    <a:r>
                      <a:rPr lang="en-US"/>
                      <a:t>PS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B35F-A949-8E77-C1DE0B6DCE6C}"/>
                </c:ext>
              </c:extLst>
            </c:dLbl>
            <c:dLbl>
              <c:idx val="57"/>
              <c:tx>
                <c:rich>
                  <a:bodyPr/>
                  <a:lstStyle/>
                  <a:p>
                    <a:r>
                      <a:rPr lang="en-US"/>
                      <a:t>QA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B35F-A949-8E77-C1DE0B6DCE6C}"/>
                </c:ext>
              </c:extLst>
            </c:dLbl>
            <c:dLbl>
              <c:idx val="58"/>
              <c:tx>
                <c:rich>
                  <a:bodyPr/>
                  <a:lstStyle/>
                  <a:p>
                    <a:r>
                      <a:rPr lang="en-US"/>
                      <a:t>SA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B35F-A949-8E77-C1DE0B6DCE6C}"/>
                </c:ext>
              </c:extLst>
            </c:dLbl>
            <c:dLbl>
              <c:idx val="59"/>
              <c:tx>
                <c:rich>
                  <a:bodyPr/>
                  <a:lstStyle/>
                  <a:p>
                    <a:r>
                      <a:rPr lang="en-US"/>
                      <a:t>ZA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B35F-A949-8E77-C1DE0B6DCE6C}"/>
                </c:ext>
              </c:extLst>
            </c:dLbl>
            <c:dLbl>
              <c:idx val="60"/>
              <c:tx>
                <c:rich>
                  <a:bodyPr/>
                  <a:lstStyle/>
                  <a:p>
                    <a:r>
                      <a:rPr lang="en-US"/>
                      <a:t>AE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B35F-A949-8E77-C1DE0B6DCE6C}"/>
                </c:ext>
              </c:extLst>
            </c:dLbl>
            <c:dLbl>
              <c:idx val="61"/>
              <c:tx>
                <c:rich>
                  <a:bodyPr/>
                  <a:lstStyle/>
                  <a:p>
                    <a:r>
                      <a:rPr lang="en-US"/>
                      <a:t>YE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B35F-A949-8E77-C1DE0B6DCE6C}"/>
                </c:ext>
              </c:extLst>
            </c:dLbl>
            <c:dLbl>
              <c:idx val="62"/>
              <c:tx>
                <c:rich>
                  <a:bodyPr/>
                  <a:lstStyle/>
                  <a:p>
                    <a:r>
                      <a:rPr lang="en-US"/>
                      <a:t>CA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B35F-A949-8E77-C1DE0B6DCE6C}"/>
                </c:ext>
              </c:extLst>
            </c:dLbl>
            <c:dLbl>
              <c:idx val="63"/>
              <c:tx>
                <c:rich>
                  <a:bodyPr/>
                  <a:lstStyle/>
                  <a:p>
                    <a:r>
                      <a:rPr lang="en-US"/>
                      <a:t>US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B35F-A949-8E77-C1DE0B6DCE6C}"/>
                </c:ext>
              </c:extLst>
            </c:dLbl>
            <c:dLbl>
              <c:idx val="64"/>
              <c:tx>
                <c:rich>
                  <a:bodyPr/>
                  <a:lstStyle/>
                  <a:p>
                    <a:r>
                      <a:rPr lang="en-US"/>
                      <a:t>AT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B35F-A949-8E77-C1DE0B6DCE6C}"/>
                </c:ext>
              </c:extLst>
            </c:dLbl>
            <c:dLbl>
              <c:idx val="65"/>
              <c:tx>
                <c:rich>
                  <a:bodyPr/>
                  <a:lstStyle/>
                  <a:p>
                    <a:r>
                      <a:rPr lang="en-US"/>
                      <a:t>BE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B35F-A949-8E77-C1DE0B6DCE6C}"/>
                </c:ext>
              </c:extLst>
            </c:dLbl>
            <c:dLbl>
              <c:idx val="66"/>
              <c:tx>
                <c:rich>
                  <a:bodyPr/>
                  <a:lstStyle/>
                  <a:p>
                    <a:r>
                      <a:rPr lang="en-US"/>
                      <a:t>DK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B35F-A949-8E77-C1DE0B6DCE6C}"/>
                </c:ext>
              </c:extLst>
            </c:dLbl>
            <c:dLbl>
              <c:idx val="67"/>
              <c:tx>
                <c:rich>
                  <a:bodyPr/>
                  <a:lstStyle/>
                  <a:p>
                    <a:r>
                      <a:rPr lang="en-US"/>
                      <a:t>FI</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B35F-A949-8E77-C1DE0B6DCE6C}"/>
                </c:ext>
              </c:extLst>
            </c:dLbl>
            <c:dLbl>
              <c:idx val="68"/>
              <c:tx>
                <c:rich>
                  <a:bodyPr/>
                  <a:lstStyle/>
                  <a:p>
                    <a:r>
                      <a:rPr lang="en-US"/>
                      <a:t>FR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B35F-A949-8E77-C1DE0B6DCE6C}"/>
                </c:ext>
              </c:extLst>
            </c:dLbl>
            <c:dLbl>
              <c:idx val="69"/>
              <c:tx>
                <c:rich>
                  <a:bodyPr/>
                  <a:lstStyle/>
                  <a:p>
                    <a:r>
                      <a:rPr lang="en-US"/>
                      <a:t>DE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B35F-A949-8E77-C1DE0B6DCE6C}"/>
                </c:ext>
              </c:extLst>
            </c:dLbl>
            <c:dLbl>
              <c:idx val="70"/>
              <c:tx>
                <c:rich>
                  <a:bodyPr/>
                  <a:lstStyle/>
                  <a:p>
                    <a:r>
                      <a:rPr lang="en-US"/>
                      <a:t>GR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B35F-A949-8E77-C1DE0B6DCE6C}"/>
                </c:ext>
              </c:extLst>
            </c:dLbl>
            <c:dLbl>
              <c:idx val="71"/>
              <c:tx>
                <c:rich>
                  <a:bodyPr/>
                  <a:lstStyle/>
                  <a:p>
                    <a:r>
                      <a:rPr lang="en-US"/>
                      <a:t>IE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B35F-A949-8E77-C1DE0B6DCE6C}"/>
                </c:ext>
              </c:extLst>
            </c:dLbl>
            <c:dLbl>
              <c:idx val="72"/>
              <c:tx>
                <c:rich>
                  <a:bodyPr/>
                  <a:lstStyle/>
                  <a:p>
                    <a:r>
                      <a:rPr lang="en-US"/>
                      <a:t>IT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B35F-A949-8E77-C1DE0B6DCE6C}"/>
                </c:ext>
              </c:extLst>
            </c:dLbl>
            <c:dLbl>
              <c:idx val="73"/>
              <c:tx>
                <c:rich>
                  <a:bodyPr/>
                  <a:lstStyle/>
                  <a:p>
                    <a:r>
                      <a:rPr lang="en-US"/>
                      <a:t>NL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B35F-A949-8E77-C1DE0B6DCE6C}"/>
                </c:ext>
              </c:extLst>
            </c:dLbl>
            <c:dLbl>
              <c:idx val="74"/>
              <c:tx>
                <c:rich>
                  <a:bodyPr/>
                  <a:lstStyle/>
                  <a:p>
                    <a:r>
                      <a:rPr lang="en-US"/>
                      <a:t>NO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B35F-A949-8E77-C1DE0B6DCE6C}"/>
                </c:ext>
              </c:extLst>
            </c:dLbl>
            <c:dLbl>
              <c:idx val="75"/>
              <c:tx>
                <c:rich>
                  <a:bodyPr/>
                  <a:lstStyle/>
                  <a:p>
                    <a:r>
                      <a:rPr lang="en-US"/>
                      <a:t>PT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B35F-A949-8E77-C1DE0B6DCE6C}"/>
                </c:ext>
              </c:extLst>
            </c:dLbl>
            <c:dLbl>
              <c:idx val="76"/>
              <c:tx>
                <c:rich>
                  <a:bodyPr/>
                  <a:lstStyle/>
                  <a:p>
                    <a:r>
                      <a:rPr lang="en-US"/>
                      <a:t>ES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B35F-A949-8E77-C1DE0B6DCE6C}"/>
                </c:ext>
              </c:extLst>
            </c:dLbl>
            <c:dLbl>
              <c:idx val="77"/>
              <c:tx>
                <c:rich>
                  <a:bodyPr/>
                  <a:lstStyle/>
                  <a:p>
                    <a:r>
                      <a:rPr lang="en-US"/>
                      <a:t>SE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B35F-A949-8E77-C1DE0B6DCE6C}"/>
                </c:ext>
              </c:extLst>
            </c:dLbl>
            <c:dLbl>
              <c:idx val="78"/>
              <c:tx>
                <c:rich>
                  <a:bodyPr/>
                  <a:lstStyle/>
                  <a:p>
                    <a:r>
                      <a:rPr lang="en-US"/>
                      <a:t>CH</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B35F-A949-8E77-C1DE0B6DCE6C}"/>
                </c:ext>
              </c:extLst>
            </c:dLbl>
            <c:dLbl>
              <c:idx val="79"/>
              <c:tx>
                <c:rich>
                  <a:bodyPr/>
                  <a:lstStyle/>
                  <a:p>
                    <a:r>
                      <a:rPr lang="en-US"/>
                      <a:t>GB</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B35F-A949-8E77-C1DE0B6DCE6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vs Penetration'!$D$2:$D$81</c:f>
              <c:numCache>
                <c:formatCode>#,##0.0</c:formatCode>
                <c:ptCount val="80"/>
                <c:pt idx="0">
                  <c:v>27.23</c:v>
                </c:pt>
                <c:pt idx="1">
                  <c:v>17.427952999999999</c:v>
                </c:pt>
                <c:pt idx="2">
                  <c:v>287.14859999999999</c:v>
                </c:pt>
                <c:pt idx="3">
                  <c:v>123.4</c:v>
                </c:pt>
                <c:pt idx="4">
                  <c:v>51.32</c:v>
                </c:pt>
                <c:pt idx="5">
                  <c:v>7.9142070000000002</c:v>
                </c:pt>
                <c:pt idx="6">
                  <c:v>36.119999999999997</c:v>
                </c:pt>
                <c:pt idx="7">
                  <c:v>55.649307</c:v>
                </c:pt>
                <c:pt idx="8">
                  <c:v>5.29</c:v>
                </c:pt>
                <c:pt idx="9">
                  <c:v>119.85</c:v>
                </c:pt>
                <c:pt idx="10">
                  <c:v>5.86</c:v>
                </c:pt>
                <c:pt idx="11">
                  <c:v>23.34</c:v>
                </c:pt>
                <c:pt idx="12">
                  <c:v>101.8</c:v>
                </c:pt>
                <c:pt idx="13">
                  <c:v>6.63</c:v>
                </c:pt>
                <c:pt idx="14">
                  <c:v>3.94</c:v>
                </c:pt>
                <c:pt idx="15">
                  <c:v>10.53</c:v>
                </c:pt>
                <c:pt idx="16">
                  <c:v>1.33</c:v>
                </c:pt>
                <c:pt idx="17">
                  <c:v>9.59</c:v>
                </c:pt>
                <c:pt idx="18">
                  <c:v>1.84</c:v>
                </c:pt>
                <c:pt idx="19">
                  <c:v>2.65</c:v>
                </c:pt>
                <c:pt idx="20">
                  <c:v>37.42</c:v>
                </c:pt>
                <c:pt idx="21">
                  <c:v>18.8</c:v>
                </c:pt>
                <c:pt idx="22">
                  <c:v>6.49</c:v>
                </c:pt>
                <c:pt idx="23">
                  <c:v>5.44</c:v>
                </c:pt>
                <c:pt idx="24">
                  <c:v>2.12</c:v>
                </c:pt>
                <c:pt idx="25">
                  <c:v>87.93</c:v>
                </c:pt>
                <c:pt idx="26">
                  <c:v>46</c:v>
                </c:pt>
                <c:pt idx="27">
                  <c:v>0.42990499999999998</c:v>
                </c:pt>
                <c:pt idx="28">
                  <c:v>0.29145300000000002</c:v>
                </c:pt>
                <c:pt idx="29">
                  <c:v>12.63</c:v>
                </c:pt>
                <c:pt idx="30">
                  <c:v>213.56</c:v>
                </c:pt>
                <c:pt idx="31">
                  <c:v>19.95</c:v>
                </c:pt>
                <c:pt idx="32">
                  <c:v>52.9</c:v>
                </c:pt>
                <c:pt idx="33">
                  <c:v>5.17</c:v>
                </c:pt>
                <c:pt idx="34">
                  <c:v>10.954359999999999</c:v>
                </c:pt>
                <c:pt idx="35">
                  <c:v>1.8440000000000002E-2</c:v>
                </c:pt>
                <c:pt idx="36">
                  <c:v>6.39</c:v>
                </c:pt>
                <c:pt idx="37">
                  <c:v>18.97</c:v>
                </c:pt>
                <c:pt idx="38">
                  <c:v>10.741652999999999</c:v>
                </c:pt>
                <c:pt idx="39">
                  <c:v>2.7068479999999999</c:v>
                </c:pt>
                <c:pt idx="40">
                  <c:v>133</c:v>
                </c:pt>
                <c:pt idx="41">
                  <c:v>7.069293</c:v>
                </c:pt>
                <c:pt idx="42">
                  <c:v>4.7267010000000003</c:v>
                </c:pt>
                <c:pt idx="43">
                  <c:v>7.67</c:v>
                </c:pt>
                <c:pt idx="44">
                  <c:v>35.35</c:v>
                </c:pt>
                <c:pt idx="45">
                  <c:v>2.9348920000000001</c:v>
                </c:pt>
                <c:pt idx="46">
                  <c:v>1.415646</c:v>
                </c:pt>
                <c:pt idx="47">
                  <c:v>3.38</c:v>
                </c:pt>
                <c:pt idx="48">
                  <c:v>30.42</c:v>
                </c:pt>
                <c:pt idx="49">
                  <c:v>1.72</c:v>
                </c:pt>
                <c:pt idx="50">
                  <c:v>45.92</c:v>
                </c:pt>
                <c:pt idx="51">
                  <c:v>9.59</c:v>
                </c:pt>
                <c:pt idx="52">
                  <c:v>12.25</c:v>
                </c:pt>
                <c:pt idx="53">
                  <c:v>4.78</c:v>
                </c:pt>
                <c:pt idx="54">
                  <c:v>6.89</c:v>
                </c:pt>
                <c:pt idx="55">
                  <c:v>4.88</c:v>
                </c:pt>
                <c:pt idx="56">
                  <c:v>5.8416540000000001</c:v>
                </c:pt>
                <c:pt idx="57">
                  <c:v>2.78</c:v>
                </c:pt>
                <c:pt idx="58">
                  <c:v>39.85</c:v>
                </c:pt>
                <c:pt idx="59">
                  <c:v>62.31</c:v>
                </c:pt>
                <c:pt idx="60">
                  <c:v>9.74</c:v>
                </c:pt>
                <c:pt idx="61">
                  <c:v>34.799999999999997</c:v>
                </c:pt>
                <c:pt idx="62">
                  <c:v>40.47</c:v>
                </c:pt>
                <c:pt idx="63">
                  <c:v>343.5</c:v>
                </c:pt>
                <c:pt idx="64">
                  <c:v>8.7899999999999991</c:v>
                </c:pt>
                <c:pt idx="65">
                  <c:v>11.77</c:v>
                </c:pt>
                <c:pt idx="66">
                  <c:v>6</c:v>
                </c:pt>
                <c:pt idx="67">
                  <c:v>5.5575109999999999</c:v>
                </c:pt>
                <c:pt idx="68">
                  <c:v>65.12</c:v>
                </c:pt>
                <c:pt idx="69">
                  <c:v>83.64</c:v>
                </c:pt>
                <c:pt idx="70">
                  <c:v>10.1</c:v>
                </c:pt>
                <c:pt idx="71">
                  <c:v>5.14</c:v>
                </c:pt>
                <c:pt idx="72">
                  <c:v>58.845703</c:v>
                </c:pt>
                <c:pt idx="73">
                  <c:v>17.77</c:v>
                </c:pt>
                <c:pt idx="74">
                  <c:v>5.59</c:v>
                </c:pt>
                <c:pt idx="75">
                  <c:v>10.172105999999999</c:v>
                </c:pt>
                <c:pt idx="76">
                  <c:v>47.85</c:v>
                </c:pt>
                <c:pt idx="77">
                  <c:v>10.79</c:v>
                </c:pt>
                <c:pt idx="78">
                  <c:v>8.9600000000000009</c:v>
                </c:pt>
                <c:pt idx="79">
                  <c:v>69.930000000000007</c:v>
                </c:pt>
              </c:numCache>
            </c:numRef>
          </c:xVal>
          <c:yVal>
            <c:numRef>
              <c:f>'Population vs Penetration'!$C$2:$C$81</c:f>
              <c:numCache>
                <c:formatCode>0.00"%"</c:formatCode>
                <c:ptCount val="80"/>
                <c:pt idx="0">
                  <c:v>93.38</c:v>
                </c:pt>
                <c:pt idx="1">
                  <c:v>18.510000000000002</c:v>
                </c:pt>
                <c:pt idx="2">
                  <c:v>25.17</c:v>
                </c:pt>
                <c:pt idx="3">
                  <c:v>87.64</c:v>
                </c:pt>
                <c:pt idx="4">
                  <c:v>112.57</c:v>
                </c:pt>
                <c:pt idx="5">
                  <c:v>18.440000000000001</c:v>
                </c:pt>
                <c:pt idx="6">
                  <c:v>55.9</c:v>
                </c:pt>
                <c:pt idx="7">
                  <c:v>12.17</c:v>
                </c:pt>
                <c:pt idx="8">
                  <c:v>91.95</c:v>
                </c:pt>
                <c:pt idx="9">
                  <c:v>44.16</c:v>
                </c:pt>
                <c:pt idx="10">
                  <c:v>102.13</c:v>
                </c:pt>
                <c:pt idx="11">
                  <c:v>76.61</c:v>
                </c:pt>
                <c:pt idx="12">
                  <c:v>84.02</c:v>
                </c:pt>
                <c:pt idx="13">
                  <c:v>93.65</c:v>
                </c:pt>
                <c:pt idx="14">
                  <c:v>81.66</c:v>
                </c:pt>
                <c:pt idx="15">
                  <c:v>80.95</c:v>
                </c:pt>
                <c:pt idx="16">
                  <c:v>75.45</c:v>
                </c:pt>
                <c:pt idx="17">
                  <c:v>86.79</c:v>
                </c:pt>
                <c:pt idx="18">
                  <c:v>56.94</c:v>
                </c:pt>
                <c:pt idx="19">
                  <c:v>44.72</c:v>
                </c:pt>
                <c:pt idx="20">
                  <c:v>67.599999999999994</c:v>
                </c:pt>
                <c:pt idx="21">
                  <c:v>89.83</c:v>
                </c:pt>
                <c:pt idx="22">
                  <c:v>89.3</c:v>
                </c:pt>
                <c:pt idx="23">
                  <c:v>97.15</c:v>
                </c:pt>
                <c:pt idx="24">
                  <c:v>89.73</c:v>
                </c:pt>
                <c:pt idx="25">
                  <c:v>82.44</c:v>
                </c:pt>
                <c:pt idx="26">
                  <c:v>78.77</c:v>
                </c:pt>
                <c:pt idx="27">
                  <c:v>59.54</c:v>
                </c:pt>
                <c:pt idx="28">
                  <c:v>86.64</c:v>
                </c:pt>
                <c:pt idx="29">
                  <c:v>37.15</c:v>
                </c:pt>
                <c:pt idx="30">
                  <c:v>65.84</c:v>
                </c:pt>
                <c:pt idx="31">
                  <c:v>74.08</c:v>
                </c:pt>
                <c:pt idx="32">
                  <c:v>47.11</c:v>
                </c:pt>
                <c:pt idx="33">
                  <c:v>82.56</c:v>
                </c:pt>
                <c:pt idx="34">
                  <c:v>37.35</c:v>
                </c:pt>
                <c:pt idx="35">
                  <c:v>63.59</c:v>
                </c:pt>
                <c:pt idx="36">
                  <c:v>36.44</c:v>
                </c:pt>
                <c:pt idx="37">
                  <c:v>27.02</c:v>
                </c:pt>
                <c:pt idx="38">
                  <c:v>26.38</c:v>
                </c:pt>
                <c:pt idx="39">
                  <c:v>47.61</c:v>
                </c:pt>
                <c:pt idx="40">
                  <c:v>72.19</c:v>
                </c:pt>
                <c:pt idx="41">
                  <c:v>25.93</c:v>
                </c:pt>
                <c:pt idx="42">
                  <c:v>55.01</c:v>
                </c:pt>
                <c:pt idx="43">
                  <c:v>46.98</c:v>
                </c:pt>
                <c:pt idx="44">
                  <c:v>42.96</c:v>
                </c:pt>
                <c:pt idx="45">
                  <c:v>69.239999999999995</c:v>
                </c:pt>
                <c:pt idx="46">
                  <c:v>80.400000000000006</c:v>
                </c:pt>
                <c:pt idx="47">
                  <c:v>90.91</c:v>
                </c:pt>
                <c:pt idx="48">
                  <c:v>27.1</c:v>
                </c:pt>
                <c:pt idx="49">
                  <c:v>95.83</c:v>
                </c:pt>
                <c:pt idx="50">
                  <c:v>15.37</c:v>
                </c:pt>
                <c:pt idx="51">
                  <c:v>96.78</c:v>
                </c:pt>
                <c:pt idx="52">
                  <c:v>62</c:v>
                </c:pt>
                <c:pt idx="53">
                  <c:v>44.29</c:v>
                </c:pt>
                <c:pt idx="54">
                  <c:v>68.09</c:v>
                </c:pt>
                <c:pt idx="55">
                  <c:v>79.47</c:v>
                </c:pt>
                <c:pt idx="56">
                  <c:v>45.11</c:v>
                </c:pt>
                <c:pt idx="57">
                  <c:v>97.57</c:v>
                </c:pt>
                <c:pt idx="58">
                  <c:v>51.74</c:v>
                </c:pt>
                <c:pt idx="59">
                  <c:v>19.309999999999999</c:v>
                </c:pt>
                <c:pt idx="60">
                  <c:v>95.82</c:v>
                </c:pt>
                <c:pt idx="61">
                  <c:v>15.18</c:v>
                </c:pt>
                <c:pt idx="62">
                  <c:v>94.69</c:v>
                </c:pt>
                <c:pt idx="63">
                  <c:v>92.48</c:v>
                </c:pt>
                <c:pt idx="64">
                  <c:v>63.46</c:v>
                </c:pt>
                <c:pt idx="65">
                  <c:v>89.45</c:v>
                </c:pt>
                <c:pt idx="66">
                  <c:v>90.85</c:v>
                </c:pt>
                <c:pt idx="67">
                  <c:v>70.8</c:v>
                </c:pt>
                <c:pt idx="68">
                  <c:v>101.07</c:v>
                </c:pt>
                <c:pt idx="69">
                  <c:v>94.79</c:v>
                </c:pt>
                <c:pt idx="70">
                  <c:v>108.58</c:v>
                </c:pt>
                <c:pt idx="71">
                  <c:v>76.25</c:v>
                </c:pt>
                <c:pt idx="72">
                  <c:v>65.22</c:v>
                </c:pt>
                <c:pt idx="73">
                  <c:v>92.05</c:v>
                </c:pt>
                <c:pt idx="74">
                  <c:v>96.03</c:v>
                </c:pt>
                <c:pt idx="75">
                  <c:v>93.09</c:v>
                </c:pt>
                <c:pt idx="76">
                  <c:v>85.23</c:v>
                </c:pt>
                <c:pt idx="77">
                  <c:v>90.39</c:v>
                </c:pt>
                <c:pt idx="78">
                  <c:v>101.62</c:v>
                </c:pt>
                <c:pt idx="79">
                  <c:v>99.55</c:v>
                </c:pt>
              </c:numCache>
            </c:numRef>
          </c:yVal>
          <c:smooth val="0"/>
          <c:extLst>
            <c:ext xmlns:c16="http://schemas.microsoft.com/office/drawing/2014/chart" uri="{C3380CC4-5D6E-409C-BE32-E72D297353CC}">
              <c16:uniqueId val="{00000000-B35F-A949-8E77-C1DE0B6DCE6C}"/>
            </c:ext>
          </c:extLst>
        </c:ser>
        <c:dLbls>
          <c:showLegendKey val="0"/>
          <c:showVal val="0"/>
          <c:showCatName val="0"/>
          <c:showSerName val="0"/>
          <c:showPercent val="0"/>
          <c:showBubbleSize val="0"/>
        </c:dLbls>
        <c:axId val="959697871"/>
        <c:axId val="960220223"/>
      </c:scatterChart>
      <c:valAx>
        <c:axId val="959697871"/>
        <c:scaling>
          <c:orientation val="minMax"/>
          <c:max val="100"/>
          <c:min val="0"/>
        </c:scaling>
        <c:delete val="0"/>
        <c:axPos val="b"/>
        <c:majorGridlines>
          <c:spPr>
            <a:ln w="9525" cap="flat" cmpd="sng" algn="ctr">
              <a:solidFill>
                <a:srgbClr val="D9D9D9"/>
              </a:solidFill>
              <a:prstDash val="solid"/>
              <a:round/>
            </a:ln>
            <a:effectLst/>
          </c:spPr>
        </c:majorGridlines>
        <c:title>
          <c:tx>
            <c:rich>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r>
                  <a:rPr lang="en-US"/>
                  <a:t>Population (millions, 2026)</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960220223"/>
        <c:crosses val="autoZero"/>
        <c:crossBetween val="midCat"/>
      </c:valAx>
      <c:valAx>
        <c:axId val="960220223"/>
        <c:scaling>
          <c:orientation val="minMax"/>
        </c:scaling>
        <c:delete val="0"/>
        <c:axPos val="l"/>
        <c:majorGridlines>
          <c:spPr>
            <a:ln w="9525" cap="flat" cmpd="sng" algn="ctr">
              <a:solidFill>
                <a:srgbClr val="D9D9D9"/>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rgbClr val="000000"/>
                    </a:solidFill>
                    <a:latin typeface="+mn-lt"/>
                    <a:ea typeface="+mn-ea"/>
                    <a:cs typeface="+mn-cs"/>
                  </a:defRPr>
                </a:pPr>
                <a:r>
                  <a:rPr lang="en-US"/>
                  <a:t>Residential Broadband Penetration (2026, %)</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title>
        <c:numFmt formatCode="0.00&quot;%&quot;"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9596978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Residential Broadband Penetration vs. ARPU (2026) — Countries with Viable Data</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lotArea>
      <c:layout/>
      <c:scatterChart>
        <c:scatterStyle val="lineMarker"/>
        <c:varyColors val="0"/>
        <c:ser>
          <c:idx val="0"/>
          <c:order val="0"/>
          <c:tx>
            <c:strRef>
              <c:f>'Population vs Penetration'!$I$1</c:f>
              <c:strCache>
                <c:ptCount val="1"/>
                <c:pt idx="0">
                  <c:v>Penetration (2026)</c:v>
                </c:pt>
              </c:strCache>
            </c:strRef>
          </c:tx>
          <c:spPr>
            <a:ln w="28575" cap="rnd">
              <a:noFill/>
              <a:round/>
            </a:ln>
            <a:effectLst/>
          </c:spPr>
          <c:marker>
            <c:symbol val="circle"/>
            <c:size val="5"/>
            <c:spPr>
              <a:solidFill>
                <a:schemeClr val="accent1"/>
              </a:solidFill>
              <a:ln w="9525">
                <a:solidFill>
                  <a:schemeClr val="accent1"/>
                </a:solidFill>
              </a:ln>
              <a:effectLst/>
            </c:spPr>
          </c:marker>
          <c:dLbls>
            <c:dLbl>
              <c:idx val="0"/>
              <c:tx>
                <c:rich>
                  <a:bodyPr/>
                  <a:lstStyle/>
                  <a:p>
                    <a:r>
                      <a:rPr lang="en-US"/>
                      <a:t>AU</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A6B-F84C-A62E-53DA3D5A0D5E}"/>
                </c:ext>
              </c:extLst>
            </c:dLbl>
            <c:dLbl>
              <c:idx val="1"/>
              <c:tx>
                <c:rich>
                  <a:bodyPr/>
                  <a:lstStyle/>
                  <a:p>
                    <a:r>
                      <a:rPr lang="en-US"/>
                      <a:t>KH</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A6B-F84C-A62E-53DA3D5A0D5E}"/>
                </c:ext>
              </c:extLst>
            </c:dLbl>
            <c:dLbl>
              <c:idx val="2"/>
              <c:tx>
                <c:rich>
                  <a:bodyPr/>
                  <a:lstStyle/>
                  <a:p>
                    <a:r>
                      <a:rPr lang="en-US"/>
                      <a:t>ID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A6B-F84C-A62E-53DA3D5A0D5E}"/>
                </c:ext>
              </c:extLst>
            </c:dLbl>
            <c:dLbl>
              <c:idx val="3"/>
              <c:tx>
                <c:rich>
                  <a:bodyPr/>
                  <a:lstStyle/>
                  <a:p>
                    <a:r>
                      <a:rPr lang="en-US"/>
                      <a:t>JP</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A6B-F84C-A62E-53DA3D5A0D5E}"/>
                </c:ext>
              </c:extLst>
            </c:dLbl>
            <c:dLbl>
              <c:idx val="4"/>
              <c:tx>
                <c:rich>
                  <a:bodyPr/>
                  <a:lstStyle/>
                  <a:p>
                    <a:r>
                      <a:rPr lang="en-US"/>
                      <a:t>KR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A6B-F84C-A62E-53DA3D5A0D5E}"/>
                </c:ext>
              </c:extLst>
            </c:dLbl>
            <c:dLbl>
              <c:idx val="5"/>
              <c:tx>
                <c:rich>
                  <a:bodyPr/>
                  <a:lstStyle/>
                  <a:p>
                    <a:r>
                      <a:rPr lang="en-US"/>
                      <a:t>LA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A6B-F84C-A62E-53DA3D5A0D5E}"/>
                </c:ext>
              </c:extLst>
            </c:dLbl>
            <c:dLbl>
              <c:idx val="6"/>
              <c:tx>
                <c:rich>
                  <a:bodyPr/>
                  <a:lstStyle/>
                  <a:p>
                    <a:r>
                      <a:rPr lang="en-US"/>
                      <a:t>MY</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A6B-F84C-A62E-53DA3D5A0D5E}"/>
                </c:ext>
              </c:extLst>
            </c:dLbl>
            <c:dLbl>
              <c:idx val="7"/>
              <c:tx>
                <c:rich>
                  <a:bodyPr/>
                  <a:lstStyle/>
                  <a:p>
                    <a:r>
                      <a:rPr lang="en-US"/>
                      <a:t>MM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A6B-F84C-A62E-53DA3D5A0D5E}"/>
                </c:ext>
              </c:extLst>
            </c:dLbl>
            <c:dLbl>
              <c:idx val="8"/>
              <c:tx>
                <c:rich>
                  <a:bodyPr/>
                  <a:lstStyle/>
                  <a:p>
                    <a:r>
                      <a:rPr lang="en-US"/>
                      <a:t>NZ</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A6B-F84C-A62E-53DA3D5A0D5E}"/>
                </c:ext>
              </c:extLst>
            </c:dLbl>
            <c:dLbl>
              <c:idx val="9"/>
              <c:tx>
                <c:rich>
                  <a:bodyPr/>
                  <a:lstStyle/>
                  <a:p>
                    <a:r>
                      <a:rPr lang="en-US"/>
                      <a:t>PH</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A6B-F84C-A62E-53DA3D5A0D5E}"/>
                </c:ext>
              </c:extLst>
            </c:dLbl>
            <c:dLbl>
              <c:idx val="10"/>
              <c:tx>
                <c:rich>
                  <a:bodyPr/>
                  <a:lstStyle/>
                  <a:p>
                    <a:r>
                      <a:rPr lang="en-US"/>
                      <a:t>SG</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A6B-F84C-A62E-53DA3D5A0D5E}"/>
                </c:ext>
              </c:extLst>
            </c:dLbl>
            <c:dLbl>
              <c:idx val="11"/>
              <c:tx>
                <c:rich>
                  <a:bodyPr/>
                  <a:lstStyle/>
                  <a:p>
                    <a:r>
                      <a:rPr lang="en-US"/>
                      <a:t>TW</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A6B-F84C-A62E-53DA3D5A0D5E}"/>
                </c:ext>
              </c:extLst>
            </c:dLbl>
            <c:dLbl>
              <c:idx val="12"/>
              <c:tx>
                <c:rich>
                  <a:bodyPr/>
                  <a:lstStyle/>
                  <a:p>
                    <a:r>
                      <a:rPr lang="en-US"/>
                      <a:t>VN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A6B-F84C-A62E-53DA3D5A0D5E}"/>
                </c:ext>
              </c:extLst>
            </c:dLbl>
            <c:dLbl>
              <c:idx val="13"/>
              <c:tx>
                <c:rich>
                  <a:bodyPr/>
                  <a:lstStyle/>
                  <a:p>
                    <a:r>
                      <a:rPr lang="en-US"/>
                      <a:t>HR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A6B-F84C-A62E-53DA3D5A0D5E}"/>
                </c:ext>
              </c:extLst>
            </c:dLbl>
            <c:dLbl>
              <c:idx val="14"/>
              <c:tx>
                <c:rich>
                  <a:bodyPr/>
                  <a:lstStyle/>
                  <a:p>
                    <a:r>
                      <a:rPr lang="en-US"/>
                      <a:t>PL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A6B-F84C-A62E-53DA3D5A0D5E}"/>
                </c:ext>
              </c:extLst>
            </c:dLbl>
            <c:dLbl>
              <c:idx val="15"/>
              <c:tx>
                <c:rich>
                  <a:bodyPr/>
                  <a:lstStyle/>
                  <a:p>
                    <a:r>
                      <a:rPr lang="en-US"/>
                      <a:t>AR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A6B-F84C-A62E-53DA3D5A0D5E}"/>
                </c:ext>
              </c:extLst>
            </c:dLbl>
            <c:dLbl>
              <c:idx val="16"/>
              <c:tx>
                <c:rich>
                  <a:bodyPr/>
                  <a:lstStyle/>
                  <a:p>
                    <a:r>
                      <a:rPr lang="en-US"/>
                      <a:t>BR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A6B-F84C-A62E-53DA3D5A0D5E}"/>
                </c:ext>
              </c:extLst>
            </c:dLbl>
            <c:dLbl>
              <c:idx val="17"/>
              <c:tx>
                <c:rich>
                  <a:bodyPr/>
                  <a:lstStyle/>
                  <a:p>
                    <a:r>
                      <a:rPr lang="en-US"/>
                      <a:t>CL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A6B-F84C-A62E-53DA3D5A0D5E}"/>
                </c:ext>
              </c:extLst>
            </c:dLbl>
            <c:dLbl>
              <c:idx val="18"/>
              <c:tx>
                <c:rich>
                  <a:bodyPr/>
                  <a:lstStyle/>
                  <a:p>
                    <a:r>
                      <a:rPr lang="en-US"/>
                      <a:t>CO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EA6B-F84C-A62E-53DA3D5A0D5E}"/>
                </c:ext>
              </c:extLst>
            </c:dLbl>
            <c:dLbl>
              <c:idx val="19"/>
              <c:tx>
                <c:rich>
                  <a:bodyPr/>
                  <a:lstStyle/>
                  <a:p>
                    <a:r>
                      <a:rPr lang="en-US"/>
                      <a:t>CR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A6B-F84C-A62E-53DA3D5A0D5E}"/>
                </c:ext>
              </c:extLst>
            </c:dLbl>
            <c:dLbl>
              <c:idx val="20"/>
              <c:tx>
                <c:rich>
                  <a:bodyPr/>
                  <a:lstStyle/>
                  <a:p>
                    <a:r>
                      <a:rPr lang="en-US"/>
                      <a:t>DO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EA6B-F84C-A62E-53DA3D5A0D5E}"/>
                </c:ext>
              </c:extLst>
            </c:dLbl>
            <c:dLbl>
              <c:idx val="21"/>
              <c:tx>
                <c:rich>
                  <a:bodyPr/>
                  <a:lstStyle/>
                  <a:p>
                    <a:r>
                      <a:rPr lang="en-US"/>
                      <a:t>GT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EA6B-F84C-A62E-53DA3D5A0D5E}"/>
                </c:ext>
              </c:extLst>
            </c:dLbl>
            <c:dLbl>
              <c:idx val="22"/>
              <c:tx>
                <c:rich>
                  <a:bodyPr/>
                  <a:lstStyle/>
                  <a:p>
                    <a:r>
                      <a:rPr lang="en-US"/>
                      <a:t>MX</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A6B-F84C-A62E-53DA3D5A0D5E}"/>
                </c:ext>
              </c:extLst>
            </c:dLbl>
            <c:dLbl>
              <c:idx val="23"/>
              <c:tx>
                <c:rich>
                  <a:bodyPr/>
                  <a:lstStyle/>
                  <a:p>
                    <a:r>
                      <a:rPr lang="en-US"/>
                      <a:t>PA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A6B-F84C-A62E-53DA3D5A0D5E}"/>
                </c:ext>
              </c:extLst>
            </c:dLbl>
            <c:dLbl>
              <c:idx val="24"/>
              <c:tx>
                <c:rich>
                  <a:bodyPr/>
                  <a:lstStyle/>
                  <a:p>
                    <a:r>
                      <a:rPr lang="en-US"/>
                      <a:t>PE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EA6B-F84C-A62E-53DA3D5A0D5E}"/>
                </c:ext>
              </c:extLst>
            </c:dLbl>
            <c:dLbl>
              <c:idx val="25"/>
              <c:tx>
                <c:rich>
                  <a:bodyPr/>
                  <a:lstStyle/>
                  <a:p>
                    <a:r>
                      <a:rPr lang="en-US"/>
                      <a:t>TT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EA6B-F84C-A62E-53DA3D5A0D5E}"/>
                </c:ext>
              </c:extLst>
            </c:dLbl>
            <c:dLbl>
              <c:idx val="26"/>
              <c:tx>
                <c:rich>
                  <a:bodyPr/>
                  <a:lstStyle/>
                  <a:p>
                    <a:r>
                      <a:rPr lang="en-US"/>
                      <a:t>CA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A6B-F84C-A62E-53DA3D5A0D5E}"/>
                </c:ext>
              </c:extLst>
            </c:dLbl>
            <c:dLbl>
              <c:idx val="27"/>
              <c:tx>
                <c:rich>
                  <a:bodyPr/>
                  <a:lstStyle/>
                  <a:p>
                    <a:r>
                      <a:rPr lang="en-US"/>
                      <a:t>US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A6B-F84C-A62E-53DA3D5A0D5E}"/>
                </c:ext>
              </c:extLst>
            </c:dLbl>
            <c:dLbl>
              <c:idx val="28"/>
              <c:tx>
                <c:rich>
                  <a:bodyPr/>
                  <a:lstStyle/>
                  <a:p>
                    <a:r>
                      <a:rPr lang="en-US"/>
                      <a:t>AT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EA6B-F84C-A62E-53DA3D5A0D5E}"/>
                </c:ext>
              </c:extLst>
            </c:dLbl>
            <c:dLbl>
              <c:idx val="29"/>
              <c:tx>
                <c:rich>
                  <a:bodyPr/>
                  <a:lstStyle/>
                  <a:p>
                    <a:r>
                      <a:rPr lang="en-US"/>
                      <a:t>BE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A6B-F84C-A62E-53DA3D5A0D5E}"/>
                </c:ext>
              </c:extLst>
            </c:dLbl>
            <c:dLbl>
              <c:idx val="30"/>
              <c:tx>
                <c:rich>
                  <a:bodyPr/>
                  <a:lstStyle/>
                  <a:p>
                    <a:r>
                      <a:rPr lang="en-US"/>
                      <a:t>DK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EA6B-F84C-A62E-53DA3D5A0D5E}"/>
                </c:ext>
              </c:extLst>
            </c:dLbl>
            <c:dLbl>
              <c:idx val="31"/>
              <c:tx>
                <c:rich>
                  <a:bodyPr/>
                  <a:lstStyle/>
                  <a:p>
                    <a:r>
                      <a:rPr lang="en-US"/>
                      <a:t>FI</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EA6B-F84C-A62E-53DA3D5A0D5E}"/>
                </c:ext>
              </c:extLst>
            </c:dLbl>
            <c:dLbl>
              <c:idx val="32"/>
              <c:tx>
                <c:rich>
                  <a:bodyPr/>
                  <a:lstStyle/>
                  <a:p>
                    <a:r>
                      <a:rPr lang="en-US"/>
                      <a:t>FR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EA6B-F84C-A62E-53DA3D5A0D5E}"/>
                </c:ext>
              </c:extLst>
            </c:dLbl>
            <c:dLbl>
              <c:idx val="33"/>
              <c:tx>
                <c:rich>
                  <a:bodyPr/>
                  <a:lstStyle/>
                  <a:p>
                    <a:r>
                      <a:rPr lang="en-US"/>
                      <a:t>DE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EA6B-F84C-A62E-53DA3D5A0D5E}"/>
                </c:ext>
              </c:extLst>
            </c:dLbl>
            <c:dLbl>
              <c:idx val="34"/>
              <c:tx>
                <c:rich>
                  <a:bodyPr/>
                  <a:lstStyle/>
                  <a:p>
                    <a:r>
                      <a:rPr lang="en-US"/>
                      <a:t>GR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EA6B-F84C-A62E-53DA3D5A0D5E}"/>
                </c:ext>
              </c:extLst>
            </c:dLbl>
            <c:dLbl>
              <c:idx val="35"/>
              <c:tx>
                <c:rich>
                  <a:bodyPr/>
                  <a:lstStyle/>
                  <a:p>
                    <a:r>
                      <a:rPr lang="en-US"/>
                      <a:t>IE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EA6B-F84C-A62E-53DA3D5A0D5E}"/>
                </c:ext>
              </c:extLst>
            </c:dLbl>
            <c:dLbl>
              <c:idx val="36"/>
              <c:tx>
                <c:rich>
                  <a:bodyPr/>
                  <a:lstStyle/>
                  <a:p>
                    <a:r>
                      <a:rPr lang="en-US"/>
                      <a:t>IT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EA6B-F84C-A62E-53DA3D5A0D5E}"/>
                </c:ext>
              </c:extLst>
            </c:dLbl>
            <c:dLbl>
              <c:idx val="37"/>
              <c:tx>
                <c:rich>
                  <a:bodyPr/>
                  <a:lstStyle/>
                  <a:p>
                    <a:r>
                      <a:rPr lang="en-US"/>
                      <a:t>NL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EA6B-F84C-A62E-53DA3D5A0D5E}"/>
                </c:ext>
              </c:extLst>
            </c:dLbl>
            <c:dLbl>
              <c:idx val="38"/>
              <c:tx>
                <c:rich>
                  <a:bodyPr/>
                  <a:lstStyle/>
                  <a:p>
                    <a:r>
                      <a:rPr lang="en-US"/>
                      <a:t>NO</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EA6B-F84C-A62E-53DA3D5A0D5E}"/>
                </c:ext>
              </c:extLst>
            </c:dLbl>
            <c:dLbl>
              <c:idx val="39"/>
              <c:tx>
                <c:rich>
                  <a:bodyPr/>
                  <a:lstStyle/>
                  <a:p>
                    <a:r>
                      <a:rPr lang="en-US"/>
                      <a:t>PT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EA6B-F84C-A62E-53DA3D5A0D5E}"/>
                </c:ext>
              </c:extLst>
            </c:dLbl>
            <c:dLbl>
              <c:idx val="40"/>
              <c:tx>
                <c:rich>
                  <a:bodyPr/>
                  <a:lstStyle/>
                  <a:p>
                    <a:r>
                      <a:rPr lang="en-US"/>
                      <a:t>ES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EA6B-F84C-A62E-53DA3D5A0D5E}"/>
                </c:ext>
              </c:extLst>
            </c:dLbl>
            <c:dLbl>
              <c:idx val="41"/>
              <c:tx>
                <c:rich>
                  <a:bodyPr/>
                  <a:lstStyle/>
                  <a:p>
                    <a:r>
                      <a:rPr lang="en-US"/>
                      <a:t>SE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EA6B-F84C-A62E-53DA3D5A0D5E}"/>
                </c:ext>
              </c:extLst>
            </c:dLbl>
            <c:dLbl>
              <c:idx val="42"/>
              <c:tx>
                <c:rich>
                  <a:bodyPr/>
                  <a:lstStyle/>
                  <a:p>
                    <a:r>
                      <a:rPr lang="en-US"/>
                      <a:t>CH</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EA6B-F84C-A62E-53DA3D5A0D5E}"/>
                </c:ext>
              </c:extLst>
            </c:dLbl>
            <c:dLbl>
              <c:idx val="43"/>
              <c:tx>
                <c:rich>
                  <a:bodyPr/>
                  <a:lstStyle/>
                  <a:p>
                    <a:r>
                      <a:rPr lang="en-US"/>
                      <a:t>GB</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EA6B-F84C-A62E-53DA3D5A0D5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vs Penetration'!$I$2:$I$45</c:f>
              <c:numCache>
                <c:formatCode>0.00"%"</c:formatCode>
                <c:ptCount val="44"/>
                <c:pt idx="0">
                  <c:v>93.38</c:v>
                </c:pt>
                <c:pt idx="1">
                  <c:v>18.510000000000002</c:v>
                </c:pt>
                <c:pt idx="2">
                  <c:v>25.17</c:v>
                </c:pt>
                <c:pt idx="3">
                  <c:v>87.64</c:v>
                </c:pt>
                <c:pt idx="4">
                  <c:v>112.57</c:v>
                </c:pt>
                <c:pt idx="5">
                  <c:v>18.440000000000001</c:v>
                </c:pt>
                <c:pt idx="6">
                  <c:v>55.9</c:v>
                </c:pt>
                <c:pt idx="7">
                  <c:v>12.17</c:v>
                </c:pt>
                <c:pt idx="8">
                  <c:v>91.95</c:v>
                </c:pt>
                <c:pt idx="9">
                  <c:v>44.16</c:v>
                </c:pt>
                <c:pt idx="10">
                  <c:v>102.13</c:v>
                </c:pt>
                <c:pt idx="11">
                  <c:v>76.61</c:v>
                </c:pt>
                <c:pt idx="12">
                  <c:v>84.02</c:v>
                </c:pt>
                <c:pt idx="13">
                  <c:v>81.66</c:v>
                </c:pt>
                <c:pt idx="14">
                  <c:v>67.599999999999994</c:v>
                </c:pt>
                <c:pt idx="15">
                  <c:v>78.77</c:v>
                </c:pt>
                <c:pt idx="16">
                  <c:v>65.84</c:v>
                </c:pt>
                <c:pt idx="17">
                  <c:v>74.08</c:v>
                </c:pt>
                <c:pt idx="18">
                  <c:v>47.11</c:v>
                </c:pt>
                <c:pt idx="19">
                  <c:v>82.56</c:v>
                </c:pt>
                <c:pt idx="20">
                  <c:v>37.35</c:v>
                </c:pt>
                <c:pt idx="21">
                  <c:v>27.02</c:v>
                </c:pt>
                <c:pt idx="22">
                  <c:v>72.19</c:v>
                </c:pt>
                <c:pt idx="23">
                  <c:v>55.01</c:v>
                </c:pt>
                <c:pt idx="24">
                  <c:v>42.96</c:v>
                </c:pt>
                <c:pt idx="25">
                  <c:v>80.400000000000006</c:v>
                </c:pt>
                <c:pt idx="26">
                  <c:v>94.69</c:v>
                </c:pt>
                <c:pt idx="27">
                  <c:v>92.48</c:v>
                </c:pt>
                <c:pt idx="28">
                  <c:v>63.46</c:v>
                </c:pt>
                <c:pt idx="29">
                  <c:v>89.45</c:v>
                </c:pt>
                <c:pt idx="30">
                  <c:v>90.85</c:v>
                </c:pt>
                <c:pt idx="31">
                  <c:v>70.8</c:v>
                </c:pt>
                <c:pt idx="32">
                  <c:v>101.07</c:v>
                </c:pt>
                <c:pt idx="33">
                  <c:v>94.79</c:v>
                </c:pt>
                <c:pt idx="34">
                  <c:v>108.58</c:v>
                </c:pt>
                <c:pt idx="35">
                  <c:v>76.25</c:v>
                </c:pt>
                <c:pt idx="36">
                  <c:v>65.22</c:v>
                </c:pt>
                <c:pt idx="37">
                  <c:v>92.05</c:v>
                </c:pt>
                <c:pt idx="38">
                  <c:v>96.03</c:v>
                </c:pt>
                <c:pt idx="39">
                  <c:v>93.09</c:v>
                </c:pt>
                <c:pt idx="40">
                  <c:v>85.23</c:v>
                </c:pt>
                <c:pt idx="41">
                  <c:v>90.39</c:v>
                </c:pt>
                <c:pt idx="42">
                  <c:v>101.62</c:v>
                </c:pt>
                <c:pt idx="43">
                  <c:v>99.55</c:v>
                </c:pt>
              </c:numCache>
            </c:numRef>
          </c:xVal>
          <c:yVal>
            <c:numRef>
              <c:f>'Population vs Penetration'!$J$2:$J$45</c:f>
              <c:numCache>
                <c:formatCode>"$"#,##0.00</c:formatCode>
                <c:ptCount val="44"/>
                <c:pt idx="0">
                  <c:v>34.659999999999997</c:v>
                </c:pt>
                <c:pt idx="1">
                  <c:v>17.190000000000001</c:v>
                </c:pt>
                <c:pt idx="2">
                  <c:v>12.14</c:v>
                </c:pt>
                <c:pt idx="3">
                  <c:v>24.66</c:v>
                </c:pt>
                <c:pt idx="4">
                  <c:v>14.14</c:v>
                </c:pt>
                <c:pt idx="5">
                  <c:v>15.25</c:v>
                </c:pt>
                <c:pt idx="6">
                  <c:v>31.46</c:v>
                </c:pt>
                <c:pt idx="7">
                  <c:v>6.59</c:v>
                </c:pt>
                <c:pt idx="8">
                  <c:v>42.19</c:v>
                </c:pt>
                <c:pt idx="9">
                  <c:v>19.52</c:v>
                </c:pt>
                <c:pt idx="10">
                  <c:v>26.61</c:v>
                </c:pt>
                <c:pt idx="11">
                  <c:v>13.12</c:v>
                </c:pt>
                <c:pt idx="12">
                  <c:v>9.2200000000000006</c:v>
                </c:pt>
                <c:pt idx="13">
                  <c:v>18.11</c:v>
                </c:pt>
                <c:pt idx="14">
                  <c:v>12.79</c:v>
                </c:pt>
                <c:pt idx="15">
                  <c:v>17.34</c:v>
                </c:pt>
                <c:pt idx="16">
                  <c:v>17.809999999999999</c:v>
                </c:pt>
                <c:pt idx="17">
                  <c:v>17.510000000000002</c:v>
                </c:pt>
                <c:pt idx="18">
                  <c:v>13.09</c:v>
                </c:pt>
                <c:pt idx="19">
                  <c:v>29.56</c:v>
                </c:pt>
                <c:pt idx="20">
                  <c:v>18.97</c:v>
                </c:pt>
                <c:pt idx="21">
                  <c:v>20.309999999999999</c:v>
                </c:pt>
                <c:pt idx="22">
                  <c:v>23.15</c:v>
                </c:pt>
                <c:pt idx="23">
                  <c:v>33.74</c:v>
                </c:pt>
                <c:pt idx="24">
                  <c:v>22.41</c:v>
                </c:pt>
                <c:pt idx="25">
                  <c:v>32.380000000000003</c:v>
                </c:pt>
                <c:pt idx="26">
                  <c:v>54.01</c:v>
                </c:pt>
                <c:pt idx="27">
                  <c:v>66.349999999999994</c:v>
                </c:pt>
                <c:pt idx="28">
                  <c:v>44.92</c:v>
                </c:pt>
                <c:pt idx="29">
                  <c:v>43.41</c:v>
                </c:pt>
                <c:pt idx="30">
                  <c:v>34.97</c:v>
                </c:pt>
                <c:pt idx="31">
                  <c:v>34.51</c:v>
                </c:pt>
                <c:pt idx="32">
                  <c:v>24.18</c:v>
                </c:pt>
                <c:pt idx="33">
                  <c:v>30.23</c:v>
                </c:pt>
                <c:pt idx="34">
                  <c:v>25.68</c:v>
                </c:pt>
                <c:pt idx="35">
                  <c:v>42.18</c:v>
                </c:pt>
                <c:pt idx="36">
                  <c:v>23.24</c:v>
                </c:pt>
                <c:pt idx="37">
                  <c:v>32.299999999999997</c:v>
                </c:pt>
                <c:pt idx="38">
                  <c:v>36.15</c:v>
                </c:pt>
                <c:pt idx="39">
                  <c:v>27.96</c:v>
                </c:pt>
                <c:pt idx="40">
                  <c:v>25.55</c:v>
                </c:pt>
                <c:pt idx="41">
                  <c:v>22.7</c:v>
                </c:pt>
                <c:pt idx="42">
                  <c:v>48.9</c:v>
                </c:pt>
                <c:pt idx="43">
                  <c:v>34.340000000000003</c:v>
                </c:pt>
              </c:numCache>
            </c:numRef>
          </c:yVal>
          <c:smooth val="0"/>
          <c:extLst>
            <c:ext xmlns:c16="http://schemas.microsoft.com/office/drawing/2014/chart" uri="{C3380CC4-5D6E-409C-BE32-E72D297353CC}">
              <c16:uniqueId val="{00000000-EA6B-F84C-A62E-53DA3D5A0D5E}"/>
            </c:ext>
          </c:extLst>
        </c:ser>
        <c:dLbls>
          <c:showLegendKey val="0"/>
          <c:showVal val="0"/>
          <c:showCatName val="0"/>
          <c:showSerName val="0"/>
          <c:showPercent val="0"/>
          <c:showBubbleSize val="0"/>
        </c:dLbls>
        <c:axId val="1858971167"/>
        <c:axId val="1858782927"/>
      </c:scatterChart>
      <c:valAx>
        <c:axId val="1858971167"/>
        <c:scaling>
          <c:orientation val="minMax"/>
        </c:scaling>
        <c:delete val="0"/>
        <c:axPos val="b"/>
        <c:majorGridlines>
          <c:spPr>
            <a:ln w="9525" cap="flat" cmpd="sng" algn="ctr">
              <a:solidFill>
                <a:srgbClr val="D9D9D9"/>
              </a:solidFill>
              <a:prstDash val="solid"/>
              <a:round/>
            </a:ln>
            <a:effectLst/>
          </c:spPr>
        </c:majorGridlines>
        <c:title>
          <c:tx>
            <c:rich>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r>
                  <a:rPr lang="en-US"/>
                  <a:t>Residential Broadband Penetration (2026, %)</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title>
        <c:numFmt formatCode="0.00&quot;%&quot;"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858782927"/>
        <c:crosses val="autoZero"/>
        <c:crossBetween val="midCat"/>
      </c:valAx>
      <c:valAx>
        <c:axId val="1858782927"/>
        <c:scaling>
          <c:orientation val="minMax"/>
        </c:scaling>
        <c:delete val="0"/>
        <c:axPos val="l"/>
        <c:majorGridlines>
          <c:spPr>
            <a:ln w="9525" cap="flat" cmpd="sng" algn="ctr">
              <a:solidFill>
                <a:srgbClr val="D9D9D9"/>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rgbClr val="000000"/>
                    </a:solidFill>
                    <a:latin typeface="+mn-lt"/>
                    <a:ea typeface="+mn-ea"/>
                    <a:cs typeface="+mn-cs"/>
                  </a:defRPr>
                </a:pPr>
                <a:r>
                  <a:rPr lang="en-US"/>
                  <a:t>ARPU ($) (2026)</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858971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Countries by Dominant Broadband Technology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0"/>
          <c:order val="0"/>
          <c:tx>
            <c:strRef>
              <c:f>'Technology Market Share'!$Z$4</c:f>
              <c:strCache>
                <c:ptCount val="1"/>
                <c:pt idx="0">
                  <c:v>Country Count</c:v>
                </c:pt>
              </c:strCache>
            </c:strRef>
          </c:tx>
          <c:spPr>
            <a:solidFill>
              <a:schemeClr val="accent1"/>
            </a:solidFill>
            <a:ln>
              <a:noFill/>
            </a:ln>
            <a:effectLst/>
          </c:spPr>
          <c:invertIfNegative val="0"/>
          <c:cat>
            <c:strRef>
              <c:f>'Technology Market Share'!$Y$5:$Y$11</c:f>
              <c:strCache>
                <c:ptCount val="7"/>
                <c:pt idx="0">
                  <c:v>Cable</c:v>
                </c:pt>
                <c:pt idx="1">
                  <c:v>DSL</c:v>
                </c:pt>
                <c:pt idx="2">
                  <c:v>Fiber</c:v>
                </c:pt>
                <c:pt idx="3">
                  <c:v>Satellite</c:v>
                </c:pt>
                <c:pt idx="4">
                  <c:v>Fixed Wireless</c:v>
                </c:pt>
                <c:pt idx="5">
                  <c:v>Other</c:v>
                </c:pt>
                <c:pt idx="6">
                  <c:v>NA (no data)</c:v>
                </c:pt>
              </c:strCache>
            </c:strRef>
          </c:cat>
          <c:val>
            <c:numRef>
              <c:f>'Technology Market Share'!$Z$5:$Z$11</c:f>
              <c:numCache>
                <c:formatCode>General</c:formatCode>
                <c:ptCount val="7"/>
                <c:pt idx="0">
                  <c:v>11</c:v>
                </c:pt>
                <c:pt idx="1">
                  <c:v>12</c:v>
                </c:pt>
                <c:pt idx="2">
                  <c:v>56</c:v>
                </c:pt>
                <c:pt idx="3">
                  <c:v>0</c:v>
                </c:pt>
                <c:pt idx="4">
                  <c:v>1</c:v>
                </c:pt>
                <c:pt idx="5">
                  <c:v>0</c:v>
                </c:pt>
                <c:pt idx="6">
                  <c:v>2</c:v>
                </c:pt>
              </c:numCache>
            </c:numRef>
          </c:val>
          <c:extLst>
            <c:ext xmlns:c16="http://schemas.microsoft.com/office/drawing/2014/chart" uri="{C3380CC4-5D6E-409C-BE32-E72D297353CC}">
              <c16:uniqueId val="{00000000-DA73-A248-9560-59CE09B8080B}"/>
            </c:ext>
          </c:extLst>
        </c:ser>
        <c:dLbls>
          <c:showLegendKey val="0"/>
          <c:showVal val="0"/>
          <c:showCatName val="0"/>
          <c:showSerName val="0"/>
          <c:showPercent val="0"/>
          <c:showBubbleSize val="0"/>
        </c:dLbls>
        <c:gapWidth val="219"/>
        <c:overlap val="-27"/>
        <c:axId val="668489968"/>
        <c:axId val="1861717679"/>
      </c:barChart>
      <c:catAx>
        <c:axId val="668489968"/>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r>
                  <a:rPr lang="en-US"/>
                  <a:t>Technology</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861717679"/>
        <c:crosses val="autoZero"/>
        <c:auto val="1"/>
        <c:lblAlgn val="ctr"/>
        <c:lblOffset val="100"/>
        <c:noMultiLvlLbl val="0"/>
      </c:catAx>
      <c:valAx>
        <c:axId val="1861717679"/>
        <c:scaling>
          <c:orientation val="minMax"/>
        </c:scaling>
        <c:delete val="0"/>
        <c:axPos val="l"/>
        <c:majorGridlines>
          <c:spPr>
            <a:ln w="9525" cap="flat" cmpd="sng" algn="ctr">
              <a:solidFill>
                <a:srgbClr val="D9D9D9"/>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rgbClr val="000000"/>
                    </a:solidFill>
                    <a:latin typeface="+mn-lt"/>
                    <a:ea typeface="+mn-ea"/>
                    <a:cs typeface="+mn-cs"/>
                  </a:defRPr>
                </a:pPr>
                <a:r>
                  <a:rPr lang="en-US"/>
                  <a:t>Number of Countries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66848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B78778F-CA05-614F-9269-4BE5BCBDB39F}"/>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7EEC451C-0D77-D94E-9700-EE31685D62DC}"/>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10</xdr:col>
      <xdr:colOff>655210</xdr:colOff>
      <xdr:row>2</xdr:row>
      <xdr:rowOff>6778</xdr:rowOff>
    </xdr:from>
    <xdr:to>
      <xdr:col>20</xdr:col>
      <xdr:colOff>519182</xdr:colOff>
      <xdr:row>31</xdr:row>
      <xdr:rowOff>7987</xdr:rowOff>
    </xdr:to>
    <xdr:graphicFrame macro="">
      <xdr:nvGraphicFramePr>
        <xdr:cNvPr id="4" name="Chart 3">
          <a:extLst>
            <a:ext uri="{FF2B5EF4-FFF2-40B4-BE49-F238E27FC236}">
              <a16:creationId xmlns:a16="http://schemas.microsoft.com/office/drawing/2014/main" id="{05AA3F22-6B20-93BA-AF21-2B22C38E8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654243</xdr:colOff>
      <xdr:row>31</xdr:row>
      <xdr:rowOff>111823</xdr:rowOff>
    </xdr:from>
    <xdr:to>
      <xdr:col>20</xdr:col>
      <xdr:colOff>503208</xdr:colOff>
      <xdr:row>60</xdr:row>
      <xdr:rowOff>102626</xdr:rowOff>
    </xdr:to>
    <xdr:graphicFrame macro="">
      <xdr:nvGraphicFramePr>
        <xdr:cNvPr id="5" name="Chart 4">
          <a:extLst>
            <a:ext uri="{FF2B5EF4-FFF2-40B4-BE49-F238E27FC236}">
              <a16:creationId xmlns:a16="http://schemas.microsoft.com/office/drawing/2014/main" id="{26DEF1EF-A32C-FF17-FA3A-CC5EAB114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569794</xdr:colOff>
      <xdr:row>61</xdr:row>
      <xdr:rowOff>59664</xdr:rowOff>
    </xdr:from>
    <xdr:to>
      <xdr:col>20</xdr:col>
      <xdr:colOff>569794</xdr:colOff>
      <xdr:row>90</xdr:row>
      <xdr:rowOff>59664</xdr:rowOff>
    </xdr:to>
    <xdr:graphicFrame macro="">
      <xdr:nvGraphicFramePr>
        <xdr:cNvPr id="7" name="Chart 6">
          <a:extLst>
            <a:ext uri="{FF2B5EF4-FFF2-40B4-BE49-F238E27FC236}">
              <a16:creationId xmlns:a16="http://schemas.microsoft.com/office/drawing/2014/main" id="{ACFC9CAB-9C5C-6103-BC5A-1B6F38FC1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26</xdr:col>
      <xdr:colOff>526676</xdr:colOff>
      <xdr:row>2</xdr:row>
      <xdr:rowOff>67235</xdr:rowOff>
    </xdr:from>
    <xdr:to>
      <xdr:col>36</xdr:col>
      <xdr:colOff>33618</xdr:colOff>
      <xdr:row>25</xdr:row>
      <xdr:rowOff>67235</xdr:rowOff>
    </xdr:to>
    <xdr:graphicFrame macro="">
      <xdr:nvGraphicFramePr>
        <xdr:cNvPr id="2" name="Chart 1">
          <a:extLst>
            <a:ext uri="{FF2B5EF4-FFF2-40B4-BE49-F238E27FC236}">
              <a16:creationId xmlns:a16="http://schemas.microsoft.com/office/drawing/2014/main" id="{74EA645A-957F-1CCA-3F34-547CC8A0D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616ED7C-200A-B448-B713-EB49DC5E2443}">
  <we:reference id="wa200010725" version="1.0.0.1" store="en-US" storeType="OMEX"/>
  <we:alternateReferences>
    <we:reference id="WA200010725" version="1.0.0.1" store="" storeType="OMEX"/>
  </we:alternateReferences>
  <we:properties>
    <we:property name="claude.fileId" value="&quot;0f2579e8-2c23-46ab-86e1-4ff5339c9db8&quot;"/>
  </we:properties>
  <we:bindings/>
  <we:snapshot xmlns:r="http://schemas.openxmlformats.org/officeDocument/2006/relationships"/>
</we:webextension>
</file>

<file path=xl/webextensions/webextension2.xml><?xml version="1.0" encoding="utf-8"?>
<we:webextension xmlns:we="http://schemas.microsoft.com/office/webextensions/webextension/2010/11" id="{6ACA8A5F-DB8C-4C34-A243-F0CCA0776FD5}">
  <we:reference id="wa200009404" version="1.0.0.8" store="en-US" storeType="OMEX"/>
  <we:alternateReferences>
    <we:reference id="wa200009404" version="1.0.0.8" store="en-US" storeType="OMEX"/>
  </we:alternateReferences>
  <we:properties>
    <we:property name="claude.fileId" value="&quot;b5891b27-cbbd-48b1-aa6a-d665031a5b7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06DC-E4D6-964B-9E95-027867A6BEFA}">
  <dimension ref="A1:M1055"/>
  <sheetViews>
    <sheetView topLeftCell="A411" workbookViewId="0">
      <selection sqref="A1:D1"/>
    </sheetView>
  </sheetViews>
  <sheetFormatPr defaultColWidth="8.85546875" defaultRowHeight="15" x14ac:dyDescent="0.25"/>
  <cols>
    <col min="1" max="13" width="16.140625" customWidth="1"/>
  </cols>
  <sheetData>
    <row r="1" spans="1:13" ht="39.950000000000003" customHeight="1" x14ac:dyDescent="0.25">
      <c r="A1" s="27"/>
      <c r="B1" s="27"/>
      <c r="C1" s="27"/>
      <c r="D1" s="27"/>
    </row>
    <row r="2" spans="1:13" ht="30" customHeight="1" x14ac:dyDescent="0.3">
      <c r="A2" s="26" t="s">
        <v>139</v>
      </c>
      <c r="B2" s="26"/>
      <c r="C2" s="26"/>
      <c r="D2" s="26"/>
      <c r="E2" s="26"/>
      <c r="F2" s="26"/>
      <c r="G2" s="26"/>
      <c r="H2" s="26"/>
      <c r="I2" s="26"/>
      <c r="J2" s="26"/>
      <c r="K2" s="26"/>
      <c r="L2" s="26"/>
      <c r="M2" s="26"/>
    </row>
    <row r="4" spans="1:13" x14ac:dyDescent="0.25">
      <c r="A4" s="2" t="s">
        <v>0</v>
      </c>
      <c r="B4" s="1"/>
    </row>
    <row r="5" spans="1:13" x14ac:dyDescent="0.25">
      <c r="A5" s="2" t="s">
        <v>1</v>
      </c>
      <c r="B5" s="1"/>
    </row>
    <row r="6" spans="1:13" x14ac:dyDescent="0.25">
      <c r="A6" s="2" t="s">
        <v>154</v>
      </c>
      <c r="B6" s="1"/>
    </row>
    <row r="7" spans="1:13" x14ac:dyDescent="0.25">
      <c r="A7" s="2" t="s">
        <v>3</v>
      </c>
      <c r="B7" s="1"/>
    </row>
    <row r="8" spans="1:13" x14ac:dyDescent="0.25">
      <c r="A8" s="25"/>
      <c r="B8" s="25"/>
      <c r="C8" s="25"/>
      <c r="D8" s="25"/>
      <c r="E8" s="25"/>
      <c r="F8" s="25"/>
      <c r="G8" s="25"/>
      <c r="H8" s="25"/>
      <c r="I8" s="25"/>
      <c r="J8" s="25"/>
      <c r="K8" s="25"/>
      <c r="L8" s="25"/>
      <c r="M8" s="25"/>
    </row>
    <row r="9" spans="1:13" ht="30" x14ac:dyDescent="0.25">
      <c r="A9" s="3"/>
      <c r="B9" s="4" t="s">
        <v>4</v>
      </c>
      <c r="C9" s="4" t="s">
        <v>5</v>
      </c>
      <c r="D9" s="4" t="s">
        <v>6</v>
      </c>
      <c r="E9" s="4" t="s">
        <v>7</v>
      </c>
      <c r="F9" s="4" t="s">
        <v>8</v>
      </c>
      <c r="G9" s="4" t="s">
        <v>9</v>
      </c>
      <c r="H9" s="4" t="s">
        <v>10</v>
      </c>
      <c r="I9" s="4" t="s">
        <v>11</v>
      </c>
    </row>
    <row r="10" spans="1:13" x14ac:dyDescent="0.25">
      <c r="A10" s="1" t="s">
        <v>12</v>
      </c>
      <c r="B10" s="2"/>
      <c r="C10" s="2"/>
      <c r="D10" s="2"/>
      <c r="E10" s="2"/>
      <c r="F10" s="2"/>
      <c r="G10" s="2"/>
      <c r="H10" s="2"/>
      <c r="I10" s="2"/>
    </row>
    <row r="11" spans="1:13" ht="30" x14ac:dyDescent="0.25">
      <c r="A11" s="1" t="s">
        <v>153</v>
      </c>
      <c r="B11" s="2"/>
      <c r="C11" s="2"/>
      <c r="D11" s="2"/>
      <c r="E11" s="2"/>
      <c r="F11" s="2"/>
      <c r="G11" s="2"/>
      <c r="H11" s="2"/>
      <c r="I11" s="2"/>
    </row>
    <row r="12" spans="1:13" x14ac:dyDescent="0.25">
      <c r="A12" s="1" t="s">
        <v>14</v>
      </c>
      <c r="B12" s="9">
        <v>45700000</v>
      </c>
      <c r="C12" s="9">
        <v>45850000</v>
      </c>
      <c r="D12" s="9">
        <v>46000000</v>
      </c>
      <c r="E12" s="9">
        <v>46150000</v>
      </c>
      <c r="F12" s="9">
        <v>46300000</v>
      </c>
      <c r="G12" s="9">
        <v>46440000</v>
      </c>
      <c r="H12" s="9">
        <v>46590000</v>
      </c>
      <c r="I12" s="6">
        <v>0.32197770372000001</v>
      </c>
    </row>
    <row r="13" spans="1:13" ht="30" x14ac:dyDescent="0.25">
      <c r="A13" s="1" t="s">
        <v>15</v>
      </c>
      <c r="B13" s="9">
        <v>4331188359</v>
      </c>
      <c r="C13" s="9">
        <v>4351121073</v>
      </c>
      <c r="D13" s="9">
        <v>4374033563</v>
      </c>
      <c r="E13" s="9">
        <v>4396455467</v>
      </c>
      <c r="F13" s="9">
        <v>4418171484</v>
      </c>
      <c r="G13" s="9">
        <v>4439371409</v>
      </c>
      <c r="H13" s="9">
        <v>4459860038</v>
      </c>
      <c r="I13" s="6">
        <v>0.48911614947999998</v>
      </c>
    </row>
    <row r="14" spans="1:13" x14ac:dyDescent="0.25">
      <c r="A14" s="1" t="s">
        <v>16</v>
      </c>
      <c r="B14" s="9">
        <v>26710000</v>
      </c>
      <c r="C14" s="9">
        <v>26970000</v>
      </c>
      <c r="D14" s="9">
        <v>27230000</v>
      </c>
      <c r="E14" s="9">
        <v>27470000</v>
      </c>
      <c r="F14" s="9">
        <v>27720000</v>
      </c>
      <c r="G14" s="9">
        <v>27960000</v>
      </c>
      <c r="H14" s="9">
        <v>28190000</v>
      </c>
      <c r="I14" s="6">
        <v>0.90287282828000004</v>
      </c>
    </row>
    <row r="15" spans="1:13" x14ac:dyDescent="0.25">
      <c r="A15" s="1" t="s">
        <v>17</v>
      </c>
      <c r="B15" s="9">
        <v>8750000</v>
      </c>
      <c r="C15" s="9">
        <v>8770000</v>
      </c>
      <c r="D15" s="9">
        <v>8790000</v>
      </c>
      <c r="E15" s="9">
        <v>8800000</v>
      </c>
      <c r="F15" s="9">
        <v>8820000</v>
      </c>
      <c r="G15" s="9">
        <v>8830000</v>
      </c>
      <c r="H15" s="9">
        <v>8840000</v>
      </c>
      <c r="I15" s="6">
        <v>0.17069846223999999</v>
      </c>
    </row>
    <row r="16" spans="1:13" x14ac:dyDescent="0.25">
      <c r="A16" s="1" t="s">
        <v>18</v>
      </c>
      <c r="B16" s="9">
        <v>422476</v>
      </c>
      <c r="C16" s="9">
        <v>426190</v>
      </c>
      <c r="D16" s="9">
        <v>429905</v>
      </c>
      <c r="E16" s="9">
        <v>433619</v>
      </c>
      <c r="F16" s="9">
        <v>437333</v>
      </c>
      <c r="G16" s="9">
        <v>441048</v>
      </c>
      <c r="H16" s="9">
        <v>444762</v>
      </c>
      <c r="I16" s="6">
        <v>0.86045863195000005</v>
      </c>
    </row>
    <row r="17" spans="1:9" x14ac:dyDescent="0.25">
      <c r="A17" s="1" t="s">
        <v>19</v>
      </c>
      <c r="B17" s="9">
        <v>1640000</v>
      </c>
      <c r="C17" s="9">
        <v>1680000</v>
      </c>
      <c r="D17" s="9">
        <v>1720000</v>
      </c>
      <c r="E17" s="9">
        <v>1750000</v>
      </c>
      <c r="F17" s="9">
        <v>1780000</v>
      </c>
      <c r="G17" s="9">
        <v>1800000</v>
      </c>
      <c r="H17" s="9">
        <v>1830000</v>
      </c>
      <c r="I17" s="6">
        <v>1.8437870833200001</v>
      </c>
    </row>
    <row r="18" spans="1:9" x14ac:dyDescent="0.25">
      <c r="A18" s="1" t="s">
        <v>20</v>
      </c>
      <c r="B18" s="9">
        <v>290871</v>
      </c>
      <c r="C18" s="9">
        <v>291162</v>
      </c>
      <c r="D18" s="9">
        <v>291453</v>
      </c>
      <c r="E18" s="9">
        <v>291744</v>
      </c>
      <c r="F18" s="9">
        <v>292036</v>
      </c>
      <c r="G18" s="9">
        <v>292328</v>
      </c>
      <c r="H18" s="9">
        <v>292618</v>
      </c>
      <c r="I18" s="6">
        <v>9.9852055790000005E-2</v>
      </c>
    </row>
    <row r="19" spans="1:9" x14ac:dyDescent="0.25">
      <c r="A19" s="1" t="s">
        <v>21</v>
      </c>
      <c r="B19" s="9">
        <v>11720000</v>
      </c>
      <c r="C19" s="9">
        <v>11740000</v>
      </c>
      <c r="D19" s="9">
        <v>11770000</v>
      </c>
      <c r="E19" s="9">
        <v>11800000</v>
      </c>
      <c r="F19" s="9">
        <v>11820000</v>
      </c>
      <c r="G19" s="9">
        <v>11850000</v>
      </c>
      <c r="H19" s="9">
        <v>11870000</v>
      </c>
      <c r="I19" s="6">
        <v>0.21218186234</v>
      </c>
    </row>
    <row r="20" spans="1:9" x14ac:dyDescent="0.25">
      <c r="A20" s="1" t="s">
        <v>22</v>
      </c>
      <c r="B20" s="9">
        <v>12310000</v>
      </c>
      <c r="C20" s="9">
        <v>12470000</v>
      </c>
      <c r="D20" s="9">
        <v>12630000</v>
      </c>
      <c r="E20" s="9">
        <v>12780000</v>
      </c>
      <c r="F20" s="9">
        <v>12940000</v>
      </c>
      <c r="G20" s="9">
        <v>13090000</v>
      </c>
      <c r="H20" s="9">
        <v>13240000</v>
      </c>
      <c r="I20" s="6">
        <v>1.22124048443</v>
      </c>
    </row>
    <row r="21" spans="1:9" x14ac:dyDescent="0.25">
      <c r="A21" s="1" t="s">
        <v>23</v>
      </c>
      <c r="B21" s="9">
        <v>212000000</v>
      </c>
      <c r="C21" s="9">
        <v>212810000</v>
      </c>
      <c r="D21" s="9">
        <v>213560000</v>
      </c>
      <c r="E21" s="9">
        <v>214260000</v>
      </c>
      <c r="F21" s="9">
        <v>214910000</v>
      </c>
      <c r="G21" s="9">
        <v>215520000</v>
      </c>
      <c r="H21" s="9">
        <v>216070000</v>
      </c>
      <c r="I21" s="6">
        <v>0.31743868263000002</v>
      </c>
    </row>
    <row r="22" spans="1:9" x14ac:dyDescent="0.25">
      <c r="A22" s="1" t="s">
        <v>24</v>
      </c>
      <c r="B22" s="9">
        <v>6740000</v>
      </c>
      <c r="C22" s="9">
        <v>6690000</v>
      </c>
      <c r="D22" s="9">
        <v>6630000</v>
      </c>
      <c r="E22" s="9">
        <v>6580000</v>
      </c>
      <c r="F22" s="9">
        <v>6530000</v>
      </c>
      <c r="G22" s="9">
        <v>6470000</v>
      </c>
      <c r="H22" s="9">
        <v>6420000</v>
      </c>
      <c r="I22" s="6">
        <v>-0.80741950288999997</v>
      </c>
    </row>
    <row r="23" spans="1:9" x14ac:dyDescent="0.25">
      <c r="A23" s="1" t="s">
        <v>25</v>
      </c>
      <c r="B23" s="9">
        <v>17072678</v>
      </c>
      <c r="C23" s="9">
        <v>17250289</v>
      </c>
      <c r="D23" s="9">
        <v>17427953</v>
      </c>
      <c r="E23" s="9">
        <v>17605652</v>
      </c>
      <c r="F23" s="9">
        <v>17783368</v>
      </c>
      <c r="G23" s="9">
        <v>17961083</v>
      </c>
      <c r="H23" s="9">
        <v>18138778</v>
      </c>
      <c r="I23" s="6">
        <v>1.0146575848399999</v>
      </c>
    </row>
    <row r="24" spans="1:9" x14ac:dyDescent="0.25">
      <c r="A24" s="1" t="s">
        <v>26</v>
      </c>
      <c r="B24" s="9">
        <v>39740000</v>
      </c>
      <c r="C24" s="9">
        <v>40130000</v>
      </c>
      <c r="D24" s="9">
        <v>40470000</v>
      </c>
      <c r="E24" s="9">
        <v>40780000</v>
      </c>
      <c r="F24" s="9">
        <v>41090000</v>
      </c>
      <c r="G24" s="9">
        <v>41380000</v>
      </c>
      <c r="H24" s="9">
        <v>41660000</v>
      </c>
      <c r="I24" s="6">
        <v>0.78948678595999999</v>
      </c>
    </row>
    <row r="25" spans="1:9" x14ac:dyDescent="0.25">
      <c r="A25" s="1" t="s">
        <v>27</v>
      </c>
      <c r="B25" s="9">
        <v>19760000</v>
      </c>
      <c r="C25" s="9">
        <v>19860000</v>
      </c>
      <c r="D25" s="9">
        <v>19950000</v>
      </c>
      <c r="E25" s="9">
        <v>20030000</v>
      </c>
      <c r="F25" s="9">
        <v>20100000</v>
      </c>
      <c r="G25" s="9">
        <v>20170000</v>
      </c>
      <c r="H25" s="9">
        <v>20230000</v>
      </c>
      <c r="I25" s="6">
        <v>0.39255111913000001</v>
      </c>
    </row>
    <row r="26" spans="1:9" x14ac:dyDescent="0.25">
      <c r="A26" s="1" t="s">
        <v>28</v>
      </c>
      <c r="B26" s="9">
        <v>1425180000</v>
      </c>
      <c r="C26" s="9">
        <v>1424380000</v>
      </c>
      <c r="D26" s="9">
        <v>1423260000</v>
      </c>
      <c r="E26" s="9">
        <v>1421810000</v>
      </c>
      <c r="F26" s="9">
        <v>1420050000</v>
      </c>
      <c r="G26" s="9">
        <v>1417970000</v>
      </c>
      <c r="H26" s="9">
        <v>1415610000</v>
      </c>
      <c r="I26" s="6">
        <v>-0.11223010696000001</v>
      </c>
    </row>
    <row r="27" spans="1:9" x14ac:dyDescent="0.25">
      <c r="A27" s="1" t="s">
        <v>29</v>
      </c>
      <c r="B27" s="9">
        <v>52340000</v>
      </c>
      <c r="C27" s="9">
        <v>52610000</v>
      </c>
      <c r="D27" s="9">
        <v>52900000</v>
      </c>
      <c r="E27" s="9">
        <v>53210000</v>
      </c>
      <c r="F27" s="9">
        <v>53530000</v>
      </c>
      <c r="G27" s="9">
        <v>53830000</v>
      </c>
      <c r="H27" s="9">
        <v>54130000</v>
      </c>
      <c r="I27" s="6">
        <v>0.56203458306999998</v>
      </c>
    </row>
    <row r="28" spans="1:9" x14ac:dyDescent="0.25">
      <c r="A28" s="1" t="s">
        <v>30</v>
      </c>
      <c r="B28" s="9">
        <v>5130000</v>
      </c>
      <c r="C28" s="9">
        <v>5150000</v>
      </c>
      <c r="D28" s="9">
        <v>5170000</v>
      </c>
      <c r="E28" s="9">
        <v>5200000</v>
      </c>
      <c r="F28" s="9">
        <v>5220000</v>
      </c>
      <c r="G28" s="9">
        <v>5230000</v>
      </c>
      <c r="H28" s="9">
        <v>5250000</v>
      </c>
      <c r="I28" s="6">
        <v>0.38611714263000002</v>
      </c>
    </row>
    <row r="29" spans="1:9" x14ac:dyDescent="0.25">
      <c r="A29" s="1" t="s">
        <v>31</v>
      </c>
      <c r="B29" s="9">
        <v>3990000</v>
      </c>
      <c r="C29" s="9">
        <v>3960000</v>
      </c>
      <c r="D29" s="9">
        <v>3940000</v>
      </c>
      <c r="E29" s="9">
        <v>3920000</v>
      </c>
      <c r="F29" s="9">
        <v>3900000</v>
      </c>
      <c r="G29" s="9">
        <v>3870000</v>
      </c>
      <c r="H29" s="9">
        <v>3850000</v>
      </c>
      <c r="I29" s="6">
        <v>-0.59353296890999996</v>
      </c>
    </row>
    <row r="30" spans="1:9" x14ac:dyDescent="0.25">
      <c r="A30" s="1" t="s">
        <v>32</v>
      </c>
      <c r="B30" s="9">
        <v>10740000</v>
      </c>
      <c r="C30" s="9">
        <v>10610000</v>
      </c>
      <c r="D30" s="9">
        <v>10530000</v>
      </c>
      <c r="E30" s="9">
        <v>10510000</v>
      </c>
      <c r="F30" s="9">
        <v>10480000</v>
      </c>
      <c r="G30" s="9">
        <v>10450000</v>
      </c>
      <c r="H30" s="9">
        <v>10430000</v>
      </c>
      <c r="I30" s="6">
        <v>-0.48695749994999998</v>
      </c>
    </row>
    <row r="31" spans="1:9" x14ac:dyDescent="0.25">
      <c r="A31" s="1" t="s">
        <v>33</v>
      </c>
      <c r="B31" s="9">
        <v>5940000</v>
      </c>
      <c r="C31" s="9">
        <v>5970000</v>
      </c>
      <c r="D31" s="9">
        <v>6000000</v>
      </c>
      <c r="E31" s="9">
        <v>6020000</v>
      </c>
      <c r="F31" s="9">
        <v>6050000</v>
      </c>
      <c r="G31" s="9">
        <v>6080000</v>
      </c>
      <c r="H31" s="9">
        <v>6100000</v>
      </c>
      <c r="I31" s="6">
        <v>0.44397663219</v>
      </c>
    </row>
    <row r="32" spans="1:9" ht="30" x14ac:dyDescent="0.25">
      <c r="A32" s="1" t="s">
        <v>34</v>
      </c>
      <c r="B32" s="9">
        <v>10795677</v>
      </c>
      <c r="C32" s="9">
        <v>10878267</v>
      </c>
      <c r="D32" s="9">
        <v>10954360</v>
      </c>
      <c r="E32" s="9">
        <v>11029816</v>
      </c>
      <c r="F32" s="9">
        <v>11108039</v>
      </c>
      <c r="G32" s="9">
        <v>11181613</v>
      </c>
      <c r="H32" s="9">
        <v>11253284</v>
      </c>
      <c r="I32" s="6">
        <v>0.69430286608000003</v>
      </c>
    </row>
    <row r="33" spans="1:9" ht="30" x14ac:dyDescent="0.25">
      <c r="A33" s="1" t="s">
        <v>35</v>
      </c>
      <c r="B33" s="9">
        <v>412667771</v>
      </c>
      <c r="C33" s="9">
        <v>412265317</v>
      </c>
      <c r="D33" s="9">
        <v>412160361</v>
      </c>
      <c r="E33" s="9">
        <v>412373147</v>
      </c>
      <c r="F33" s="9">
        <v>412613923</v>
      </c>
      <c r="G33" s="9">
        <v>412802942</v>
      </c>
      <c r="H33" s="9">
        <v>413000459</v>
      </c>
      <c r="I33" s="6">
        <v>1.343196329E-2</v>
      </c>
    </row>
    <row r="34" spans="1:9" x14ac:dyDescent="0.25">
      <c r="A34" s="1" t="s">
        <v>36</v>
      </c>
      <c r="B34" s="9">
        <v>18140</v>
      </c>
      <c r="C34" s="9">
        <v>18290</v>
      </c>
      <c r="D34" s="9">
        <v>18440</v>
      </c>
      <c r="E34" s="9">
        <v>18600</v>
      </c>
      <c r="F34" s="9">
        <v>18760</v>
      </c>
      <c r="G34" s="9">
        <v>18910</v>
      </c>
      <c r="H34" s="9">
        <v>19070</v>
      </c>
      <c r="I34" s="6">
        <v>0.83676438094000005</v>
      </c>
    </row>
    <row r="35" spans="1:9" x14ac:dyDescent="0.25">
      <c r="A35" s="1" t="s">
        <v>37</v>
      </c>
      <c r="B35" s="9">
        <v>107700000</v>
      </c>
      <c r="C35" s="9">
        <v>109700000</v>
      </c>
      <c r="D35" s="9">
        <v>111600000</v>
      </c>
      <c r="E35" s="9">
        <v>113300000</v>
      </c>
      <c r="F35" s="9">
        <v>115000000</v>
      </c>
      <c r="G35" s="9">
        <v>116700000</v>
      </c>
      <c r="H35" s="9">
        <v>118300000</v>
      </c>
      <c r="I35" s="6">
        <v>1.57687325508</v>
      </c>
    </row>
    <row r="36" spans="1:9" x14ac:dyDescent="0.25">
      <c r="A36" s="1" t="s">
        <v>38</v>
      </c>
      <c r="B36" s="9">
        <v>6340000</v>
      </c>
      <c r="C36" s="9">
        <v>6370000</v>
      </c>
      <c r="D36" s="9">
        <v>6390000</v>
      </c>
      <c r="E36" s="9">
        <v>6420000</v>
      </c>
      <c r="F36" s="9">
        <v>6440000</v>
      </c>
      <c r="G36" s="9">
        <v>6460000</v>
      </c>
      <c r="H36" s="9">
        <v>6490000</v>
      </c>
      <c r="I36" s="6">
        <v>0.39048980358000002</v>
      </c>
    </row>
    <row r="37" spans="1:9" x14ac:dyDescent="0.25">
      <c r="A37" s="1" t="s">
        <v>39</v>
      </c>
      <c r="B37" s="9">
        <v>1360000</v>
      </c>
      <c r="C37" s="9">
        <v>1340000</v>
      </c>
      <c r="D37" s="9">
        <v>1330000</v>
      </c>
      <c r="E37" s="9">
        <v>1320000</v>
      </c>
      <c r="F37" s="9">
        <v>1320000</v>
      </c>
      <c r="G37" s="9">
        <v>1310000</v>
      </c>
      <c r="H37" s="9">
        <v>1300000</v>
      </c>
      <c r="I37" s="6">
        <v>-0.74918675466999995</v>
      </c>
    </row>
    <row r="38" spans="1:9" x14ac:dyDescent="0.25">
      <c r="A38" s="1" t="s">
        <v>40</v>
      </c>
      <c r="B38" s="9">
        <v>5549886</v>
      </c>
      <c r="C38" s="9">
        <v>5553985</v>
      </c>
      <c r="D38" s="9">
        <v>5557511</v>
      </c>
      <c r="E38" s="9">
        <v>5560463</v>
      </c>
      <c r="F38" s="9">
        <v>5562880</v>
      </c>
      <c r="G38" s="9">
        <v>5564606</v>
      </c>
      <c r="H38" s="9">
        <v>5565475</v>
      </c>
      <c r="I38" s="6">
        <v>4.6760078699999999E-2</v>
      </c>
    </row>
    <row r="39" spans="1:9" x14ac:dyDescent="0.25">
      <c r="A39" s="1" t="s">
        <v>41</v>
      </c>
      <c r="B39" s="9">
        <v>64880000</v>
      </c>
      <c r="C39" s="9">
        <v>65000000</v>
      </c>
      <c r="D39" s="9">
        <v>65120000</v>
      </c>
      <c r="E39" s="9">
        <v>65230000</v>
      </c>
      <c r="F39" s="9">
        <v>65340000</v>
      </c>
      <c r="G39" s="9">
        <v>65450000</v>
      </c>
      <c r="H39" s="9">
        <v>65540000</v>
      </c>
      <c r="I39" s="6">
        <v>0.16882958132000001</v>
      </c>
    </row>
    <row r="40" spans="1:9" x14ac:dyDescent="0.25">
      <c r="A40" s="1" t="s">
        <v>42</v>
      </c>
      <c r="B40" s="9">
        <v>84550000</v>
      </c>
      <c r="C40" s="9">
        <v>84080000</v>
      </c>
      <c r="D40" s="9">
        <v>83640000</v>
      </c>
      <c r="E40" s="9">
        <v>83440000</v>
      </c>
      <c r="F40" s="9">
        <v>83230000</v>
      </c>
      <c r="G40" s="9">
        <v>83010000</v>
      </c>
      <c r="H40" s="9">
        <v>82780000</v>
      </c>
      <c r="I40" s="6">
        <v>-0.35198887869000001</v>
      </c>
    </row>
    <row r="41" spans="1:9" x14ac:dyDescent="0.25">
      <c r="A41" s="1" t="s">
        <v>43</v>
      </c>
      <c r="B41" s="9">
        <v>10210000</v>
      </c>
      <c r="C41" s="9">
        <v>10150000</v>
      </c>
      <c r="D41" s="9">
        <v>10100000</v>
      </c>
      <c r="E41" s="9">
        <v>10050000</v>
      </c>
      <c r="F41" s="9">
        <v>10010000</v>
      </c>
      <c r="G41" s="9">
        <v>9960000</v>
      </c>
      <c r="H41" s="9">
        <v>9920000</v>
      </c>
      <c r="I41" s="6">
        <v>-0.47909384796999999</v>
      </c>
    </row>
    <row r="42" spans="1:9" x14ac:dyDescent="0.25">
      <c r="A42" s="1" t="s">
        <v>44</v>
      </c>
      <c r="B42" s="9">
        <v>18410000</v>
      </c>
      <c r="C42" s="9">
        <v>18690000</v>
      </c>
      <c r="D42" s="9">
        <v>18970000</v>
      </c>
      <c r="E42" s="9">
        <v>19250000</v>
      </c>
      <c r="F42" s="9">
        <v>19520000</v>
      </c>
      <c r="G42" s="9">
        <v>19800000</v>
      </c>
      <c r="H42" s="9">
        <v>20070000</v>
      </c>
      <c r="I42" s="6">
        <v>1.4492710143800001</v>
      </c>
    </row>
    <row r="43" spans="1:9" x14ac:dyDescent="0.25">
      <c r="A43" s="1" t="s">
        <v>45</v>
      </c>
      <c r="B43" s="9">
        <v>10530000</v>
      </c>
      <c r="C43" s="9">
        <v>10635300</v>
      </c>
      <c r="D43" s="9">
        <v>10741653</v>
      </c>
      <c r="E43" s="9">
        <v>10849070</v>
      </c>
      <c r="F43" s="9">
        <v>10957561</v>
      </c>
      <c r="G43" s="9">
        <v>11067137</v>
      </c>
      <c r="H43" s="9">
        <v>11177808</v>
      </c>
      <c r="I43" s="6">
        <v>1.00000122611</v>
      </c>
    </row>
    <row r="44" spans="1:9" x14ac:dyDescent="0.25">
      <c r="A44" s="1" t="s">
        <v>46</v>
      </c>
      <c r="B44" s="9">
        <v>7410000</v>
      </c>
      <c r="C44" s="9">
        <v>7400000</v>
      </c>
      <c r="D44" s="9">
        <v>7380000</v>
      </c>
      <c r="E44" s="9">
        <v>7360000</v>
      </c>
      <c r="F44" s="9">
        <v>7320000</v>
      </c>
      <c r="G44" s="9">
        <v>7290000</v>
      </c>
      <c r="H44" s="9">
        <v>7250000</v>
      </c>
      <c r="I44" s="6">
        <v>-0.36315516483999999</v>
      </c>
    </row>
    <row r="45" spans="1:9" x14ac:dyDescent="0.25">
      <c r="A45" s="1" t="s">
        <v>47</v>
      </c>
      <c r="B45" s="9">
        <v>9680000</v>
      </c>
      <c r="C45" s="9">
        <v>9630000</v>
      </c>
      <c r="D45" s="9">
        <v>9590000</v>
      </c>
      <c r="E45" s="9">
        <v>9550000</v>
      </c>
      <c r="F45" s="9">
        <v>9520000</v>
      </c>
      <c r="G45" s="9">
        <v>9490000</v>
      </c>
      <c r="H45" s="9">
        <v>9450000</v>
      </c>
      <c r="I45" s="6">
        <v>-0.39998392119999998</v>
      </c>
    </row>
    <row r="46" spans="1:9" x14ac:dyDescent="0.25">
      <c r="A46" s="1" t="s">
        <v>48</v>
      </c>
      <c r="B46" s="9">
        <v>1450940000</v>
      </c>
      <c r="C46" s="9">
        <v>1463870000</v>
      </c>
      <c r="D46" s="9">
        <v>1476630000</v>
      </c>
      <c r="E46" s="9">
        <v>1489160000</v>
      </c>
      <c r="F46" s="9">
        <v>1501430000</v>
      </c>
      <c r="G46" s="9">
        <v>1513420000</v>
      </c>
      <c r="H46" s="9">
        <v>1525140000</v>
      </c>
      <c r="I46" s="6">
        <v>0.83470753265999997</v>
      </c>
    </row>
    <row r="47" spans="1:9" x14ac:dyDescent="0.25">
      <c r="A47" s="1" t="s">
        <v>49</v>
      </c>
      <c r="B47" s="9">
        <v>283490000</v>
      </c>
      <c r="C47" s="9">
        <v>285720000</v>
      </c>
      <c r="D47" s="9">
        <v>287148600</v>
      </c>
      <c r="E47" s="9">
        <v>288584343</v>
      </c>
      <c r="F47" s="9">
        <v>290027265</v>
      </c>
      <c r="G47" s="9">
        <v>291477401</v>
      </c>
      <c r="H47" s="9">
        <v>292934788</v>
      </c>
      <c r="I47" s="6">
        <v>0.54771397366999997</v>
      </c>
    </row>
    <row r="48" spans="1:9" x14ac:dyDescent="0.25">
      <c r="A48" s="1" t="s">
        <v>50</v>
      </c>
      <c r="B48" s="9">
        <v>43010000</v>
      </c>
      <c r="C48" s="9">
        <v>44410000</v>
      </c>
      <c r="D48" s="9">
        <v>45920000</v>
      </c>
      <c r="E48" s="9">
        <v>47481342</v>
      </c>
      <c r="F48" s="9">
        <v>49095772</v>
      </c>
      <c r="G48" s="9">
        <v>50765094</v>
      </c>
      <c r="H48" s="9">
        <v>52491176</v>
      </c>
      <c r="I48" s="6">
        <v>3.3759412052300002</v>
      </c>
    </row>
    <row r="49" spans="1:9" x14ac:dyDescent="0.25">
      <c r="A49" s="1" t="s">
        <v>51</v>
      </c>
      <c r="B49" s="9">
        <v>5080000</v>
      </c>
      <c r="C49" s="9">
        <v>5110000</v>
      </c>
      <c r="D49" s="9">
        <v>5140000</v>
      </c>
      <c r="E49" s="9">
        <v>5170000</v>
      </c>
      <c r="F49" s="9">
        <v>5200000</v>
      </c>
      <c r="G49" s="9">
        <v>5220000</v>
      </c>
      <c r="H49" s="9">
        <v>5250000</v>
      </c>
      <c r="I49" s="6">
        <v>0.55012122365000005</v>
      </c>
    </row>
    <row r="50" spans="1:9" x14ac:dyDescent="0.25">
      <c r="A50" s="1" t="s">
        <v>52</v>
      </c>
      <c r="B50" s="9">
        <v>9310000</v>
      </c>
      <c r="C50" s="9">
        <v>9450000</v>
      </c>
      <c r="D50" s="9">
        <v>9590000</v>
      </c>
      <c r="E50" s="9">
        <v>9720000</v>
      </c>
      <c r="F50" s="9">
        <v>9860000</v>
      </c>
      <c r="G50" s="9">
        <v>10000000</v>
      </c>
      <c r="H50" s="9">
        <v>10130000</v>
      </c>
      <c r="I50" s="6">
        <v>1.4168134454700001</v>
      </c>
    </row>
    <row r="51" spans="1:9" x14ac:dyDescent="0.25">
      <c r="A51" s="1" t="s">
        <v>53</v>
      </c>
      <c r="B51" s="9">
        <v>58973977</v>
      </c>
      <c r="C51" s="9">
        <v>58923319</v>
      </c>
      <c r="D51" s="9">
        <v>58845703</v>
      </c>
      <c r="E51" s="9">
        <v>58743339</v>
      </c>
      <c r="F51" s="9">
        <v>58618817</v>
      </c>
      <c r="G51" s="9">
        <v>58474010</v>
      </c>
      <c r="H51" s="9">
        <v>58308529</v>
      </c>
      <c r="I51" s="6">
        <v>-0.1889529442</v>
      </c>
    </row>
    <row r="52" spans="1:9" x14ac:dyDescent="0.25">
      <c r="A52" s="1" t="s">
        <v>54</v>
      </c>
      <c r="B52" s="9">
        <v>2710000</v>
      </c>
      <c r="C52" s="9">
        <v>2709333</v>
      </c>
      <c r="D52" s="9">
        <v>2706848</v>
      </c>
      <c r="E52" s="9">
        <v>2704364</v>
      </c>
      <c r="F52" s="9">
        <v>2701879</v>
      </c>
      <c r="G52" s="9">
        <v>2699394</v>
      </c>
      <c r="H52" s="9">
        <v>2696909</v>
      </c>
      <c r="I52" s="6">
        <v>-8.067298346E-2</v>
      </c>
    </row>
    <row r="53" spans="1:9" x14ac:dyDescent="0.25">
      <c r="A53" s="1" t="s">
        <v>55</v>
      </c>
      <c r="B53" s="9">
        <v>123750000</v>
      </c>
      <c r="C53" s="9">
        <v>124000000</v>
      </c>
      <c r="D53" s="9">
        <v>123400000</v>
      </c>
      <c r="E53" s="9">
        <v>122800000</v>
      </c>
      <c r="F53" s="9">
        <v>122100000</v>
      </c>
      <c r="G53" s="9">
        <v>121400000</v>
      </c>
      <c r="H53" s="9">
        <v>120800000</v>
      </c>
      <c r="I53" s="6">
        <v>-0.40131118491000001</v>
      </c>
    </row>
    <row r="54" spans="1:9" x14ac:dyDescent="0.25">
      <c r="A54" s="1" t="s">
        <v>56</v>
      </c>
      <c r="B54" s="9">
        <v>11770000</v>
      </c>
      <c r="C54" s="9">
        <v>12010000</v>
      </c>
      <c r="D54" s="9">
        <v>12250000</v>
      </c>
      <c r="E54" s="9">
        <v>12340000</v>
      </c>
      <c r="F54" s="9">
        <v>12450000</v>
      </c>
      <c r="G54" s="9">
        <v>12560000</v>
      </c>
      <c r="H54" s="9">
        <v>12690000</v>
      </c>
      <c r="I54" s="6">
        <v>1.2622391724799999</v>
      </c>
    </row>
    <row r="55" spans="1:9" x14ac:dyDescent="0.25">
      <c r="A55" s="1" t="s">
        <v>57</v>
      </c>
      <c r="B55" s="7" t="s">
        <v>58</v>
      </c>
      <c r="C55" s="7" t="s">
        <v>58</v>
      </c>
      <c r="D55" s="7" t="s">
        <v>58</v>
      </c>
      <c r="E55" s="7" t="s">
        <v>58</v>
      </c>
      <c r="F55" s="7" t="s">
        <v>58</v>
      </c>
      <c r="G55" s="7" t="s">
        <v>58</v>
      </c>
      <c r="H55" s="7" t="s">
        <v>58</v>
      </c>
      <c r="I55" s="7" t="s">
        <v>58</v>
      </c>
    </row>
    <row r="56" spans="1:9" x14ac:dyDescent="0.25">
      <c r="A56" s="1" t="s">
        <v>59</v>
      </c>
      <c r="B56" s="9">
        <v>4640000</v>
      </c>
      <c r="C56" s="9">
        <v>4710000</v>
      </c>
      <c r="D56" s="9">
        <v>4780000</v>
      </c>
      <c r="E56" s="9">
        <v>4830000</v>
      </c>
      <c r="F56" s="9">
        <v>4880000</v>
      </c>
      <c r="G56" s="9">
        <v>4920000</v>
      </c>
      <c r="H56" s="9">
        <v>4970000</v>
      </c>
      <c r="I56" s="6">
        <v>1.1516724973200001</v>
      </c>
    </row>
    <row r="57" spans="1:9" x14ac:dyDescent="0.25">
      <c r="A57" s="1" t="s">
        <v>60</v>
      </c>
      <c r="B57" s="9">
        <v>7705419</v>
      </c>
      <c r="C57" s="9">
        <v>7810163</v>
      </c>
      <c r="D57" s="9">
        <v>7914207</v>
      </c>
      <c r="E57" s="9">
        <v>8017529</v>
      </c>
      <c r="F57" s="9">
        <v>8120106</v>
      </c>
      <c r="G57" s="9">
        <v>8221918</v>
      </c>
      <c r="H57" s="9">
        <v>8322945</v>
      </c>
      <c r="I57" s="6">
        <v>1.2931617950500001</v>
      </c>
    </row>
    <row r="58" spans="1:9" ht="45" x14ac:dyDescent="0.25">
      <c r="A58" s="1" t="s">
        <v>61</v>
      </c>
      <c r="B58" s="9">
        <v>645422731</v>
      </c>
      <c r="C58" s="9">
        <v>649767470</v>
      </c>
      <c r="D58" s="9">
        <v>653966791</v>
      </c>
      <c r="E58" s="9">
        <v>658078404</v>
      </c>
      <c r="F58" s="9">
        <v>662065477</v>
      </c>
      <c r="G58" s="9">
        <v>665912631</v>
      </c>
      <c r="H58" s="9">
        <v>669621535</v>
      </c>
      <c r="I58" s="6">
        <v>0.61533848707000005</v>
      </c>
    </row>
    <row r="59" spans="1:9" x14ac:dyDescent="0.25">
      <c r="A59" s="1" t="s">
        <v>62</v>
      </c>
      <c r="B59" s="9">
        <v>1870000</v>
      </c>
      <c r="C59" s="9">
        <v>1850000</v>
      </c>
      <c r="D59" s="9">
        <v>1840000</v>
      </c>
      <c r="E59" s="9">
        <v>1820000</v>
      </c>
      <c r="F59" s="9">
        <v>1810000</v>
      </c>
      <c r="G59" s="9">
        <v>1790000</v>
      </c>
      <c r="H59" s="9">
        <v>1780000</v>
      </c>
      <c r="I59" s="6">
        <v>-0.81871456926999997</v>
      </c>
    </row>
    <row r="60" spans="1:9" x14ac:dyDescent="0.25">
      <c r="A60" s="1" t="s">
        <v>63</v>
      </c>
      <c r="B60" s="9">
        <v>6750000</v>
      </c>
      <c r="C60" s="9">
        <v>6820000</v>
      </c>
      <c r="D60" s="9">
        <v>6890000</v>
      </c>
      <c r="E60" s="9">
        <v>6958900</v>
      </c>
      <c r="F60" s="9">
        <v>7028489</v>
      </c>
      <c r="G60" s="9">
        <v>7098774</v>
      </c>
      <c r="H60" s="9">
        <v>7169762</v>
      </c>
      <c r="I60" s="6">
        <v>1.01057138479</v>
      </c>
    </row>
    <row r="61" spans="1:9" x14ac:dyDescent="0.25">
      <c r="A61" s="1" t="s">
        <v>64</v>
      </c>
      <c r="B61" s="9">
        <v>2690000</v>
      </c>
      <c r="C61" s="9">
        <v>2670000</v>
      </c>
      <c r="D61" s="9">
        <v>2650000</v>
      </c>
      <c r="E61" s="9">
        <v>2620000</v>
      </c>
      <c r="F61" s="9">
        <v>2600000</v>
      </c>
      <c r="G61" s="9">
        <v>2580000</v>
      </c>
      <c r="H61" s="9">
        <v>2560000</v>
      </c>
      <c r="I61" s="6">
        <v>-0.82216715121999995</v>
      </c>
    </row>
    <row r="62" spans="1:9" x14ac:dyDescent="0.25">
      <c r="A62" s="1" t="s">
        <v>65</v>
      </c>
      <c r="B62" s="9">
        <v>34670000</v>
      </c>
      <c r="C62" s="9">
        <v>35980000</v>
      </c>
      <c r="D62" s="9">
        <v>36120000</v>
      </c>
      <c r="E62" s="9">
        <v>36380000</v>
      </c>
      <c r="F62" s="9">
        <v>36630000</v>
      </c>
      <c r="G62" s="9">
        <v>36970000</v>
      </c>
      <c r="H62" s="9">
        <v>37200000</v>
      </c>
      <c r="I62" s="6">
        <v>1.18081727341</v>
      </c>
    </row>
    <row r="63" spans="1:9" x14ac:dyDescent="0.25">
      <c r="A63" s="1" t="s">
        <v>66</v>
      </c>
      <c r="B63" s="9">
        <v>130860000</v>
      </c>
      <c r="C63" s="9">
        <v>131950000</v>
      </c>
      <c r="D63" s="9">
        <v>133000000</v>
      </c>
      <c r="E63" s="9">
        <v>134020000</v>
      </c>
      <c r="F63" s="9">
        <v>135010000</v>
      </c>
      <c r="G63" s="9">
        <v>135970000</v>
      </c>
      <c r="H63" s="9">
        <v>136900000</v>
      </c>
      <c r="I63" s="6">
        <v>0.75487967273000001</v>
      </c>
    </row>
    <row r="64" spans="1:9" ht="30" x14ac:dyDescent="0.25">
      <c r="A64" s="1" t="s">
        <v>67</v>
      </c>
      <c r="B64" s="9">
        <v>1861372963</v>
      </c>
      <c r="C64" s="9">
        <v>1899479830</v>
      </c>
      <c r="D64" s="9">
        <v>1937876118</v>
      </c>
      <c r="E64" s="9">
        <v>1976155266</v>
      </c>
      <c r="F64" s="9">
        <v>1996083336</v>
      </c>
      <c r="G64" s="9">
        <v>2016370240</v>
      </c>
      <c r="H64" s="9">
        <v>2036956147</v>
      </c>
      <c r="I64" s="6">
        <v>1.5137130052600001</v>
      </c>
    </row>
    <row r="65" spans="1:9" x14ac:dyDescent="0.25">
      <c r="A65" s="1" t="s">
        <v>68</v>
      </c>
      <c r="B65" s="7" t="s">
        <v>58</v>
      </c>
      <c r="C65" s="7" t="s">
        <v>58</v>
      </c>
      <c r="D65" s="7" t="s">
        <v>58</v>
      </c>
      <c r="E65" s="7" t="s">
        <v>58</v>
      </c>
      <c r="F65" s="7" t="s">
        <v>58</v>
      </c>
      <c r="G65" s="7" t="s">
        <v>58</v>
      </c>
      <c r="H65" s="7" t="s">
        <v>58</v>
      </c>
      <c r="I65" s="7" t="s">
        <v>58</v>
      </c>
    </row>
    <row r="66" spans="1:9" x14ac:dyDescent="0.25">
      <c r="A66" s="1" t="s">
        <v>69</v>
      </c>
      <c r="B66" s="9">
        <v>54924186</v>
      </c>
      <c r="C66" s="9">
        <v>55289208</v>
      </c>
      <c r="D66" s="9">
        <v>55649307</v>
      </c>
      <c r="E66" s="9">
        <v>56004502</v>
      </c>
      <c r="F66" s="9">
        <v>56354815</v>
      </c>
      <c r="G66" s="9">
        <v>56700269</v>
      </c>
      <c r="H66" s="9">
        <v>57040890</v>
      </c>
      <c r="I66" s="6">
        <v>0.63223322880999999</v>
      </c>
    </row>
    <row r="67" spans="1:9" x14ac:dyDescent="0.25">
      <c r="A67" s="1" t="s">
        <v>70</v>
      </c>
      <c r="B67" s="9">
        <v>17670000</v>
      </c>
      <c r="C67" s="9">
        <v>17720000</v>
      </c>
      <c r="D67" s="9">
        <v>17770000</v>
      </c>
      <c r="E67" s="9">
        <v>17820000</v>
      </c>
      <c r="F67" s="9">
        <v>17860000</v>
      </c>
      <c r="G67" s="9">
        <v>17910000</v>
      </c>
      <c r="H67" s="9">
        <v>17940000</v>
      </c>
      <c r="I67" s="6">
        <v>0.25306250227999999</v>
      </c>
    </row>
    <row r="68" spans="1:9" x14ac:dyDescent="0.25">
      <c r="A68" s="1" t="s">
        <v>71</v>
      </c>
      <c r="B68" s="9">
        <v>5210000</v>
      </c>
      <c r="C68" s="9">
        <v>5250000</v>
      </c>
      <c r="D68" s="9">
        <v>5290000</v>
      </c>
      <c r="E68" s="9">
        <v>5320000</v>
      </c>
      <c r="F68" s="9">
        <v>5350000</v>
      </c>
      <c r="G68" s="9">
        <v>5380000</v>
      </c>
      <c r="H68" s="9">
        <v>5410000</v>
      </c>
      <c r="I68" s="6">
        <v>0.62979554269000004</v>
      </c>
    </row>
    <row r="69" spans="1:9" x14ac:dyDescent="0.25">
      <c r="A69" s="1" t="s">
        <v>72</v>
      </c>
      <c r="B69" s="9">
        <v>6930000</v>
      </c>
      <c r="C69" s="9">
        <v>6999300</v>
      </c>
      <c r="D69" s="9">
        <v>7069293</v>
      </c>
      <c r="E69" s="9">
        <v>7139986</v>
      </c>
      <c r="F69" s="9">
        <v>7211386</v>
      </c>
      <c r="G69" s="9">
        <v>7283500</v>
      </c>
      <c r="H69" s="9">
        <v>7356335</v>
      </c>
      <c r="I69" s="6">
        <v>1.00000081539</v>
      </c>
    </row>
    <row r="70" spans="1:9" x14ac:dyDescent="0.25">
      <c r="A70" s="1" t="s">
        <v>73</v>
      </c>
      <c r="B70" s="7" t="s">
        <v>58</v>
      </c>
      <c r="C70" s="7" t="s">
        <v>58</v>
      </c>
      <c r="D70" s="7" t="s">
        <v>58</v>
      </c>
      <c r="E70" s="7" t="s">
        <v>58</v>
      </c>
      <c r="F70" s="7" t="s">
        <v>58</v>
      </c>
      <c r="G70" s="7" t="s">
        <v>58</v>
      </c>
      <c r="H70" s="7" t="s">
        <v>58</v>
      </c>
      <c r="I70" s="7" t="s">
        <v>58</v>
      </c>
    </row>
    <row r="71" spans="1:9" ht="30" x14ac:dyDescent="0.25">
      <c r="A71" s="1" t="s">
        <v>74</v>
      </c>
      <c r="B71" s="9">
        <v>380380000</v>
      </c>
      <c r="C71" s="9">
        <v>382680000</v>
      </c>
      <c r="D71" s="9">
        <v>383970000</v>
      </c>
      <c r="E71" s="9">
        <v>385180000</v>
      </c>
      <c r="F71" s="9">
        <v>386390000</v>
      </c>
      <c r="G71" s="9">
        <v>387780000</v>
      </c>
      <c r="H71" s="9">
        <v>389370000</v>
      </c>
      <c r="I71" s="6">
        <v>0.39008042951999999</v>
      </c>
    </row>
    <row r="72" spans="1:9" x14ac:dyDescent="0.25">
      <c r="A72" s="1" t="s">
        <v>75</v>
      </c>
      <c r="B72" s="9">
        <v>5510000</v>
      </c>
      <c r="C72" s="9">
        <v>5550000</v>
      </c>
      <c r="D72" s="9">
        <v>5590000</v>
      </c>
      <c r="E72" s="9">
        <v>5630000</v>
      </c>
      <c r="F72" s="9">
        <v>5670000</v>
      </c>
      <c r="G72" s="9">
        <v>5710000</v>
      </c>
      <c r="H72" s="9">
        <v>5750000</v>
      </c>
      <c r="I72" s="6">
        <v>0.71311785550999995</v>
      </c>
    </row>
    <row r="73" spans="1:9" x14ac:dyDescent="0.25">
      <c r="A73" s="1" t="s">
        <v>76</v>
      </c>
      <c r="B73" s="9">
        <v>4730000</v>
      </c>
      <c r="C73" s="9">
        <v>4810000</v>
      </c>
      <c r="D73" s="9">
        <v>4880000</v>
      </c>
      <c r="E73" s="9">
        <v>4950760</v>
      </c>
      <c r="F73" s="9">
        <v>5022546</v>
      </c>
      <c r="G73" s="9">
        <v>5095373</v>
      </c>
      <c r="H73" s="9">
        <v>5169256</v>
      </c>
      <c r="I73" s="6">
        <v>1.4910665922299999</v>
      </c>
    </row>
    <row r="74" spans="1:9" ht="45" x14ac:dyDescent="0.25">
      <c r="A74" s="1" t="s">
        <v>77</v>
      </c>
      <c r="B74" s="9">
        <v>274376075</v>
      </c>
      <c r="C74" s="9">
        <v>276831413</v>
      </c>
      <c r="D74" s="9">
        <v>279333495</v>
      </c>
      <c r="E74" s="9">
        <v>281883440</v>
      </c>
      <c r="F74" s="9">
        <v>284430930</v>
      </c>
      <c r="G74" s="9">
        <v>286975737</v>
      </c>
      <c r="H74" s="9">
        <v>289517637</v>
      </c>
      <c r="I74" s="6">
        <v>0.89929483575000002</v>
      </c>
    </row>
    <row r="75" spans="1:9" ht="45" x14ac:dyDescent="0.25">
      <c r="A75" s="1" t="s">
        <v>78</v>
      </c>
      <c r="B75" s="9">
        <v>159997771</v>
      </c>
      <c r="C75" s="9">
        <v>160985317</v>
      </c>
      <c r="D75" s="9">
        <v>161990361</v>
      </c>
      <c r="E75" s="9">
        <v>163013147</v>
      </c>
      <c r="F75" s="9">
        <v>164053923</v>
      </c>
      <c r="G75" s="9">
        <v>165112942</v>
      </c>
      <c r="H75" s="9">
        <v>166190459</v>
      </c>
      <c r="I75" s="6">
        <v>0.63491694224999995</v>
      </c>
    </row>
    <row r="76" spans="1:9" ht="60" x14ac:dyDescent="0.25">
      <c r="A76" s="1" t="s">
        <v>79</v>
      </c>
      <c r="B76" s="9">
        <v>26928950</v>
      </c>
      <c r="C76" s="9">
        <v>27108580</v>
      </c>
      <c r="D76" s="9">
        <v>27287600</v>
      </c>
      <c r="E76" s="9">
        <v>27466000</v>
      </c>
      <c r="F76" s="9">
        <v>27643517</v>
      </c>
      <c r="G76" s="9">
        <v>27822162</v>
      </c>
      <c r="H76" s="9">
        <v>28000806</v>
      </c>
      <c r="I76" s="6">
        <v>0.65264348617000001</v>
      </c>
    </row>
    <row r="77" spans="1:9" ht="45" x14ac:dyDescent="0.25">
      <c r="A77" s="1" t="s">
        <v>80</v>
      </c>
      <c r="B77" s="9">
        <v>1415700379</v>
      </c>
      <c r="C77" s="9">
        <v>1446541115</v>
      </c>
      <c r="D77" s="9">
        <v>1477727865</v>
      </c>
      <c r="E77" s="9">
        <v>1509457549</v>
      </c>
      <c r="F77" s="9">
        <v>1522747257</v>
      </c>
      <c r="G77" s="9">
        <v>1536344258</v>
      </c>
      <c r="H77" s="9">
        <v>1550256003</v>
      </c>
      <c r="I77" s="6">
        <v>1.52476951961</v>
      </c>
    </row>
    <row r="78" spans="1:9" ht="45" x14ac:dyDescent="0.25">
      <c r="A78" s="1" t="s">
        <v>81</v>
      </c>
      <c r="B78" s="9">
        <v>2840000</v>
      </c>
      <c r="C78" s="9">
        <v>2880000</v>
      </c>
      <c r="D78" s="9">
        <v>2900000</v>
      </c>
      <c r="E78" s="9">
        <v>2930000</v>
      </c>
      <c r="F78" s="9">
        <v>2960000</v>
      </c>
      <c r="G78" s="9">
        <v>2970000</v>
      </c>
      <c r="H78" s="9">
        <v>2990000</v>
      </c>
      <c r="I78" s="6">
        <v>0.86151209212000002</v>
      </c>
    </row>
    <row r="79" spans="1:9" x14ac:dyDescent="0.25">
      <c r="A79" s="1" t="s">
        <v>82</v>
      </c>
      <c r="B79" s="9">
        <v>251270000</v>
      </c>
      <c r="C79" s="9">
        <v>249950000</v>
      </c>
      <c r="D79" s="9">
        <v>254710000</v>
      </c>
      <c r="E79" s="9">
        <v>259520000</v>
      </c>
      <c r="F79" s="9">
        <v>264340000</v>
      </c>
      <c r="G79" s="9">
        <v>269180000</v>
      </c>
      <c r="H79" s="9">
        <v>274030000</v>
      </c>
      <c r="I79" s="6">
        <v>1.4556517601900001</v>
      </c>
    </row>
    <row r="80" spans="1:9" x14ac:dyDescent="0.25">
      <c r="A80" s="1" t="s">
        <v>83</v>
      </c>
      <c r="B80" s="9">
        <v>5552584</v>
      </c>
      <c r="C80" s="9">
        <v>5695285</v>
      </c>
      <c r="D80" s="9">
        <v>5841654</v>
      </c>
      <c r="E80" s="9">
        <v>5991784</v>
      </c>
      <c r="F80" s="9">
        <v>6145773</v>
      </c>
      <c r="G80" s="9">
        <v>6303720</v>
      </c>
      <c r="H80" s="9">
        <v>6465725</v>
      </c>
      <c r="I80" s="6">
        <v>2.56999838043</v>
      </c>
    </row>
    <row r="81" spans="1:9" x14ac:dyDescent="0.25">
      <c r="A81" s="1" t="s">
        <v>84</v>
      </c>
      <c r="B81" s="9">
        <v>4570000</v>
      </c>
      <c r="C81" s="9">
        <v>4647690</v>
      </c>
      <c r="D81" s="9">
        <v>4726701</v>
      </c>
      <c r="E81" s="9">
        <v>4807055</v>
      </c>
      <c r="F81" s="9">
        <v>4888775</v>
      </c>
      <c r="G81" s="9">
        <v>4971884</v>
      </c>
      <c r="H81" s="9">
        <v>5056406</v>
      </c>
      <c r="I81" s="6">
        <v>1.7000007957800001</v>
      </c>
    </row>
    <row r="82" spans="1:9" x14ac:dyDescent="0.25">
      <c r="A82" s="1" t="s">
        <v>85</v>
      </c>
      <c r="B82" s="9">
        <v>7490000</v>
      </c>
      <c r="C82" s="9">
        <v>7580000</v>
      </c>
      <c r="D82" s="9">
        <v>7670000</v>
      </c>
      <c r="E82" s="9">
        <v>7760000</v>
      </c>
      <c r="F82" s="9">
        <v>7850000</v>
      </c>
      <c r="G82" s="9">
        <v>7940000</v>
      </c>
      <c r="H82" s="9">
        <v>8030000</v>
      </c>
      <c r="I82" s="6">
        <v>1.1670193236399999</v>
      </c>
    </row>
    <row r="83" spans="1:9" x14ac:dyDescent="0.25">
      <c r="A83" s="1" t="s">
        <v>86</v>
      </c>
      <c r="B83" s="9">
        <v>34680000</v>
      </c>
      <c r="C83" s="9">
        <v>35020000</v>
      </c>
      <c r="D83" s="9">
        <v>35350000</v>
      </c>
      <c r="E83" s="9">
        <v>35690000</v>
      </c>
      <c r="F83" s="9">
        <v>36030000</v>
      </c>
      <c r="G83" s="9">
        <v>36370000</v>
      </c>
      <c r="H83" s="9">
        <v>36700000</v>
      </c>
      <c r="I83" s="6">
        <v>0.94802561435999999</v>
      </c>
    </row>
    <row r="84" spans="1:9" x14ac:dyDescent="0.25">
      <c r="A84" s="1" t="s">
        <v>87</v>
      </c>
      <c r="B84" s="9">
        <v>117070000</v>
      </c>
      <c r="C84" s="9">
        <v>118460000</v>
      </c>
      <c r="D84" s="9">
        <v>119850000</v>
      </c>
      <c r="E84" s="9">
        <v>121240000</v>
      </c>
      <c r="F84" s="9">
        <v>122635000</v>
      </c>
      <c r="G84" s="9">
        <v>124045000</v>
      </c>
      <c r="H84" s="9">
        <v>125355000</v>
      </c>
      <c r="I84" s="6">
        <v>1.14614625632</v>
      </c>
    </row>
    <row r="85" spans="1:9" x14ac:dyDescent="0.25">
      <c r="A85" s="1" t="s">
        <v>88</v>
      </c>
      <c r="B85" s="9">
        <v>37600000</v>
      </c>
      <c r="C85" s="9">
        <v>37510000</v>
      </c>
      <c r="D85" s="9">
        <v>37420000</v>
      </c>
      <c r="E85" s="9">
        <v>37310000</v>
      </c>
      <c r="F85" s="9">
        <v>37200000</v>
      </c>
      <c r="G85" s="9">
        <v>37080000</v>
      </c>
      <c r="H85" s="9">
        <v>36940000</v>
      </c>
      <c r="I85" s="6">
        <v>-0.29471611729000002</v>
      </c>
    </row>
    <row r="86" spans="1:9" x14ac:dyDescent="0.25">
      <c r="A86" s="1" t="s">
        <v>89</v>
      </c>
      <c r="B86" s="9">
        <v>10223349</v>
      </c>
      <c r="C86" s="9">
        <v>10198116</v>
      </c>
      <c r="D86" s="9">
        <v>10172106</v>
      </c>
      <c r="E86" s="9">
        <v>10145530</v>
      </c>
      <c r="F86" s="9">
        <v>10118394</v>
      </c>
      <c r="G86" s="9">
        <v>10090603</v>
      </c>
      <c r="H86" s="9">
        <v>10062183</v>
      </c>
      <c r="I86" s="6">
        <v>-0.26448433485</v>
      </c>
    </row>
    <row r="87" spans="1:9" x14ac:dyDescent="0.25">
      <c r="A87" s="1" t="s">
        <v>90</v>
      </c>
      <c r="B87" s="9">
        <v>3006617</v>
      </c>
      <c r="C87" s="9">
        <v>2970538</v>
      </c>
      <c r="D87" s="9">
        <v>2934892</v>
      </c>
      <c r="E87" s="9">
        <v>2899673</v>
      </c>
      <c r="F87" s="9">
        <v>2864877</v>
      </c>
      <c r="G87" s="9">
        <v>2830498</v>
      </c>
      <c r="H87" s="9">
        <v>2796532</v>
      </c>
      <c r="I87" s="6">
        <v>-1.19999935661</v>
      </c>
    </row>
    <row r="88" spans="1:9" x14ac:dyDescent="0.25">
      <c r="A88" s="1" t="s">
        <v>91</v>
      </c>
      <c r="B88" s="9">
        <v>2740000</v>
      </c>
      <c r="C88" s="9">
        <v>2760000</v>
      </c>
      <c r="D88" s="9">
        <v>2780000</v>
      </c>
      <c r="E88" s="9">
        <v>2800000</v>
      </c>
      <c r="F88" s="9">
        <v>2820000</v>
      </c>
      <c r="G88" s="9">
        <v>2840000</v>
      </c>
      <c r="H88" s="9">
        <v>2860000</v>
      </c>
      <c r="I88" s="6">
        <v>0.71695296298</v>
      </c>
    </row>
    <row r="89" spans="1:9" x14ac:dyDescent="0.25">
      <c r="A89" s="1" t="s">
        <v>92</v>
      </c>
      <c r="B89" s="9">
        <v>19020000</v>
      </c>
      <c r="C89" s="9">
        <v>18910000</v>
      </c>
      <c r="D89" s="9">
        <v>18800000</v>
      </c>
      <c r="E89" s="9">
        <v>18690000</v>
      </c>
      <c r="F89" s="9">
        <v>18580000</v>
      </c>
      <c r="G89" s="9">
        <v>18470000</v>
      </c>
      <c r="H89" s="9">
        <v>18360000</v>
      </c>
      <c r="I89" s="6">
        <v>-0.58688227690000005</v>
      </c>
    </row>
    <row r="90" spans="1:9" x14ac:dyDescent="0.25">
      <c r="A90" s="1" t="s">
        <v>93</v>
      </c>
      <c r="B90" s="9">
        <v>144820000</v>
      </c>
      <c r="C90" s="9">
        <v>144000000</v>
      </c>
      <c r="D90" s="9">
        <v>143390000</v>
      </c>
      <c r="E90" s="9">
        <v>143040000</v>
      </c>
      <c r="F90" s="9">
        <v>142670000</v>
      </c>
      <c r="G90" s="9">
        <v>142290000</v>
      </c>
      <c r="H90" s="9">
        <v>141890000</v>
      </c>
      <c r="I90" s="6">
        <v>-0.34007845949999999</v>
      </c>
    </row>
    <row r="91" spans="1:9" x14ac:dyDescent="0.25">
      <c r="A91" s="1" t="s">
        <v>94</v>
      </c>
      <c r="B91" s="9">
        <v>38480000</v>
      </c>
      <c r="C91" s="9">
        <v>39380000</v>
      </c>
      <c r="D91" s="9">
        <v>39850000</v>
      </c>
      <c r="E91" s="9">
        <v>40300000</v>
      </c>
      <c r="F91" s="9">
        <v>40740000</v>
      </c>
      <c r="G91" s="9">
        <v>41160000</v>
      </c>
      <c r="H91" s="9">
        <v>41570000</v>
      </c>
      <c r="I91" s="6">
        <v>1.29565729232</v>
      </c>
    </row>
    <row r="92" spans="1:9" x14ac:dyDescent="0.25">
      <c r="A92" s="1" t="s">
        <v>95</v>
      </c>
      <c r="B92" s="9">
        <v>6590000</v>
      </c>
      <c r="C92" s="9">
        <v>6540000</v>
      </c>
      <c r="D92" s="9">
        <v>6490000</v>
      </c>
      <c r="E92" s="9">
        <v>6450000</v>
      </c>
      <c r="F92" s="9">
        <v>6410000</v>
      </c>
      <c r="G92" s="9">
        <v>6360000</v>
      </c>
      <c r="H92" s="9">
        <v>6320000</v>
      </c>
      <c r="I92" s="6">
        <v>-0.69481062405000005</v>
      </c>
    </row>
    <row r="93" spans="1:9" x14ac:dyDescent="0.25">
      <c r="A93" s="1" t="s">
        <v>96</v>
      </c>
      <c r="B93" s="9">
        <v>5810000</v>
      </c>
      <c r="C93" s="9">
        <v>5840000</v>
      </c>
      <c r="D93" s="9">
        <v>5860000</v>
      </c>
      <c r="E93" s="9">
        <v>5900000</v>
      </c>
      <c r="F93" s="9">
        <v>5930000</v>
      </c>
      <c r="G93" s="9">
        <v>5970000</v>
      </c>
      <c r="H93" s="9">
        <v>6000000</v>
      </c>
      <c r="I93" s="6">
        <v>0.53775571597000005</v>
      </c>
    </row>
    <row r="94" spans="1:9" x14ac:dyDescent="0.25">
      <c r="A94" s="1" t="s">
        <v>97</v>
      </c>
      <c r="B94" s="9">
        <v>5450000</v>
      </c>
      <c r="C94" s="9">
        <v>5450000</v>
      </c>
      <c r="D94" s="9">
        <v>5440000</v>
      </c>
      <c r="E94" s="9">
        <v>5440000</v>
      </c>
      <c r="F94" s="9">
        <v>5430000</v>
      </c>
      <c r="G94" s="9">
        <v>5420000</v>
      </c>
      <c r="H94" s="9">
        <v>5400000</v>
      </c>
      <c r="I94" s="6">
        <v>-0.15349299723000001</v>
      </c>
    </row>
    <row r="95" spans="1:9" x14ac:dyDescent="0.25">
      <c r="A95" s="1" t="s">
        <v>98</v>
      </c>
      <c r="B95" s="9">
        <v>2120000</v>
      </c>
      <c r="C95" s="9">
        <v>2120000</v>
      </c>
      <c r="D95" s="9">
        <v>2120000</v>
      </c>
      <c r="E95" s="9">
        <v>2110000</v>
      </c>
      <c r="F95" s="9">
        <v>2110000</v>
      </c>
      <c r="G95" s="9">
        <v>2110000</v>
      </c>
      <c r="H95" s="9">
        <v>2110000</v>
      </c>
      <c r="I95" s="6">
        <v>-7.8771312369999999E-2</v>
      </c>
    </row>
    <row r="96" spans="1:9" x14ac:dyDescent="0.25">
      <c r="A96" s="1" t="s">
        <v>99</v>
      </c>
      <c r="B96" s="9">
        <v>61020000</v>
      </c>
      <c r="C96" s="9">
        <v>61670000</v>
      </c>
      <c r="D96" s="9">
        <v>62310000</v>
      </c>
      <c r="E96" s="9">
        <v>62920000</v>
      </c>
      <c r="F96" s="9">
        <v>63510000</v>
      </c>
      <c r="G96" s="9">
        <v>64090000</v>
      </c>
      <c r="H96" s="9">
        <v>64660000</v>
      </c>
      <c r="I96" s="6">
        <v>0.97036266537000004</v>
      </c>
    </row>
    <row r="97" spans="1:9" x14ac:dyDescent="0.25">
      <c r="A97" s="1" t="s">
        <v>100</v>
      </c>
      <c r="B97" s="9">
        <v>51720000</v>
      </c>
      <c r="C97" s="9">
        <v>51340000</v>
      </c>
      <c r="D97" s="9">
        <v>51320000</v>
      </c>
      <c r="E97" s="9">
        <v>51290000</v>
      </c>
      <c r="F97" s="9">
        <v>51260000</v>
      </c>
      <c r="G97" s="9">
        <v>51210000</v>
      </c>
      <c r="H97" s="9">
        <v>51150000</v>
      </c>
      <c r="I97" s="6">
        <v>-0.18453055771999999</v>
      </c>
    </row>
    <row r="98" spans="1:9" x14ac:dyDescent="0.25">
      <c r="A98" s="1" t="s">
        <v>101</v>
      </c>
      <c r="B98" s="9">
        <v>47910000</v>
      </c>
      <c r="C98" s="9">
        <v>47890000</v>
      </c>
      <c r="D98" s="9">
        <v>47850000</v>
      </c>
      <c r="E98" s="9">
        <v>47800000</v>
      </c>
      <c r="F98" s="9">
        <v>47750000</v>
      </c>
      <c r="G98" s="9">
        <v>47690000</v>
      </c>
      <c r="H98" s="9">
        <v>47610000</v>
      </c>
      <c r="I98" s="6">
        <v>-0.10463568013000001</v>
      </c>
    </row>
    <row r="99" spans="1:9" x14ac:dyDescent="0.25">
      <c r="A99" s="1" t="s">
        <v>102</v>
      </c>
      <c r="B99" s="9">
        <v>10670000</v>
      </c>
      <c r="C99" s="9">
        <v>10730000</v>
      </c>
      <c r="D99" s="9">
        <v>10790000</v>
      </c>
      <c r="E99" s="9">
        <v>10850000</v>
      </c>
      <c r="F99" s="9">
        <v>10900000</v>
      </c>
      <c r="G99" s="9">
        <v>10960000</v>
      </c>
      <c r="H99" s="9">
        <v>11010000</v>
      </c>
      <c r="I99" s="6">
        <v>0.52416706418000003</v>
      </c>
    </row>
    <row r="100" spans="1:9" x14ac:dyDescent="0.25">
      <c r="A100" s="1" t="s">
        <v>103</v>
      </c>
      <c r="B100" s="9">
        <v>8850000</v>
      </c>
      <c r="C100" s="9">
        <v>8900000</v>
      </c>
      <c r="D100" s="9">
        <v>8960000</v>
      </c>
      <c r="E100" s="9">
        <v>9010000</v>
      </c>
      <c r="F100" s="9">
        <v>9050000</v>
      </c>
      <c r="G100" s="9">
        <v>9100000</v>
      </c>
      <c r="H100" s="9">
        <v>9140000</v>
      </c>
      <c r="I100" s="6">
        <v>0.53882859498000002</v>
      </c>
    </row>
    <row r="101" spans="1:9" x14ac:dyDescent="0.25">
      <c r="A101" s="1" t="s">
        <v>104</v>
      </c>
      <c r="B101" s="9">
        <v>18410000</v>
      </c>
      <c r="C101" s="9">
        <v>18833430</v>
      </c>
      <c r="D101" s="9">
        <v>19266599</v>
      </c>
      <c r="E101" s="9">
        <v>19709731</v>
      </c>
      <c r="F101" s="9">
        <v>20163054</v>
      </c>
      <c r="G101" s="9">
        <v>20626805</v>
      </c>
      <c r="H101" s="9">
        <v>21101221</v>
      </c>
      <c r="I101" s="6">
        <v>2.2999998131999999</v>
      </c>
    </row>
    <row r="102" spans="1:9" x14ac:dyDescent="0.25">
      <c r="A102" s="1" t="s">
        <v>105</v>
      </c>
      <c r="B102" s="9">
        <v>23210000</v>
      </c>
      <c r="C102" s="9">
        <v>23350000</v>
      </c>
      <c r="D102" s="9">
        <v>23340000</v>
      </c>
      <c r="E102" s="9">
        <v>23320000</v>
      </c>
      <c r="F102" s="9">
        <v>23290000</v>
      </c>
      <c r="G102" s="9">
        <v>23260000</v>
      </c>
      <c r="H102" s="9">
        <v>23220000</v>
      </c>
      <c r="I102" s="6">
        <v>7.1795241100000001E-3</v>
      </c>
    </row>
    <row r="103" spans="1:9" x14ac:dyDescent="0.25">
      <c r="A103" s="1" t="s">
        <v>106</v>
      </c>
      <c r="B103" s="9">
        <v>70270000</v>
      </c>
      <c r="C103" s="9">
        <v>70330000</v>
      </c>
      <c r="D103" s="9">
        <v>70370000</v>
      </c>
      <c r="E103" s="9">
        <v>70390000</v>
      </c>
      <c r="F103" s="9">
        <v>70400000</v>
      </c>
      <c r="G103" s="9">
        <v>70380000</v>
      </c>
      <c r="H103" s="9">
        <v>70350000</v>
      </c>
      <c r="I103" s="6">
        <v>1.896543748E-2</v>
      </c>
    </row>
    <row r="104" spans="1:9" ht="30" x14ac:dyDescent="0.25">
      <c r="A104" s="1" t="s">
        <v>107</v>
      </c>
      <c r="B104" s="9">
        <v>1410000</v>
      </c>
      <c r="C104" s="9">
        <v>1412820</v>
      </c>
      <c r="D104" s="9">
        <v>1415646</v>
      </c>
      <c r="E104" s="9">
        <v>1418477</v>
      </c>
      <c r="F104" s="9">
        <v>1421314</v>
      </c>
      <c r="G104" s="9">
        <v>1424157</v>
      </c>
      <c r="H104" s="9">
        <v>1427005</v>
      </c>
      <c r="I104" s="6">
        <v>0.20000203700999999</v>
      </c>
    </row>
    <row r="105" spans="1:9" x14ac:dyDescent="0.25">
      <c r="A105" s="1" t="s">
        <v>108</v>
      </c>
      <c r="B105" s="9">
        <v>87470000</v>
      </c>
      <c r="C105" s="9">
        <v>87690000</v>
      </c>
      <c r="D105" s="9">
        <v>87930000</v>
      </c>
      <c r="E105" s="9">
        <v>88200000</v>
      </c>
      <c r="F105" s="9">
        <v>88480000</v>
      </c>
      <c r="G105" s="9">
        <v>88760000</v>
      </c>
      <c r="H105" s="9">
        <v>89030000</v>
      </c>
      <c r="I105" s="6">
        <v>0.29505968259999998</v>
      </c>
    </row>
    <row r="106" spans="1:9" ht="30" x14ac:dyDescent="0.25">
      <c r="A106" s="1" t="s">
        <v>109</v>
      </c>
      <c r="B106" s="9">
        <v>9590000</v>
      </c>
      <c r="C106" s="9">
        <v>9670000</v>
      </c>
      <c r="D106" s="9">
        <v>9740000</v>
      </c>
      <c r="E106" s="9">
        <v>9810000</v>
      </c>
      <c r="F106" s="9">
        <v>9870000</v>
      </c>
      <c r="G106" s="9">
        <v>9940000</v>
      </c>
      <c r="H106" s="9">
        <v>10000000</v>
      </c>
      <c r="I106" s="6">
        <v>0.70017658902000002</v>
      </c>
    </row>
    <row r="107" spans="1:9" x14ac:dyDescent="0.25">
      <c r="A107" s="1" t="s">
        <v>110</v>
      </c>
      <c r="B107" s="9">
        <v>69140000</v>
      </c>
      <c r="C107" s="9">
        <v>69550000</v>
      </c>
      <c r="D107" s="9">
        <v>69930000</v>
      </c>
      <c r="E107" s="9">
        <v>70290000</v>
      </c>
      <c r="F107" s="9">
        <v>70640000</v>
      </c>
      <c r="G107" s="9">
        <v>70970000</v>
      </c>
      <c r="H107" s="9">
        <v>71290000</v>
      </c>
      <c r="I107" s="6">
        <v>0.51168182016999997</v>
      </c>
    </row>
    <row r="108" spans="1:9" x14ac:dyDescent="0.25">
      <c r="A108" s="1" t="s">
        <v>111</v>
      </c>
      <c r="B108" s="9">
        <v>3390000</v>
      </c>
      <c r="C108" s="9">
        <v>3380000</v>
      </c>
      <c r="D108" s="9">
        <v>3380000</v>
      </c>
      <c r="E108" s="9">
        <v>3380000</v>
      </c>
      <c r="F108" s="9">
        <v>3380000</v>
      </c>
      <c r="G108" s="9">
        <v>3380000</v>
      </c>
      <c r="H108" s="9">
        <v>3370000</v>
      </c>
      <c r="I108" s="6">
        <v>-9.8571003970000001E-2</v>
      </c>
    </row>
    <row r="109" spans="1:9" x14ac:dyDescent="0.25">
      <c r="A109" s="1" t="s">
        <v>112</v>
      </c>
      <c r="B109" s="9">
        <v>340640000</v>
      </c>
      <c r="C109" s="9">
        <v>342550000</v>
      </c>
      <c r="D109" s="9">
        <v>343500000</v>
      </c>
      <c r="E109" s="9">
        <v>344400000</v>
      </c>
      <c r="F109" s="9">
        <v>345300000</v>
      </c>
      <c r="G109" s="9">
        <v>346400000</v>
      </c>
      <c r="H109" s="9">
        <v>347710000</v>
      </c>
      <c r="I109" s="6">
        <v>0.34296340960999999</v>
      </c>
    </row>
    <row r="110" spans="1:9" x14ac:dyDescent="0.25">
      <c r="A110" s="1" t="s">
        <v>113</v>
      </c>
      <c r="B110" s="9">
        <v>29400000</v>
      </c>
      <c r="C110" s="9">
        <v>29930000</v>
      </c>
      <c r="D110" s="9">
        <v>30420000</v>
      </c>
      <c r="E110" s="9">
        <v>30870000</v>
      </c>
      <c r="F110" s="9">
        <v>31290000</v>
      </c>
      <c r="G110" s="9">
        <v>31680000</v>
      </c>
      <c r="H110" s="9">
        <v>32030000</v>
      </c>
      <c r="I110" s="6">
        <v>1.4382157042000001</v>
      </c>
    </row>
    <row r="111" spans="1:9" x14ac:dyDescent="0.25">
      <c r="A111" s="1" t="s">
        <v>114</v>
      </c>
      <c r="B111" s="9">
        <v>100400000</v>
      </c>
      <c r="C111" s="9">
        <v>101100000</v>
      </c>
      <c r="D111" s="9">
        <v>101800000</v>
      </c>
      <c r="E111" s="9">
        <v>102400000</v>
      </c>
      <c r="F111" s="9">
        <v>103000000</v>
      </c>
      <c r="G111" s="9">
        <v>103600000</v>
      </c>
      <c r="H111" s="9">
        <v>104200000</v>
      </c>
      <c r="I111" s="6">
        <v>0.62108615869999995</v>
      </c>
    </row>
    <row r="112" spans="1:9" ht="30" x14ac:dyDescent="0.25">
      <c r="A112" s="1" t="s">
        <v>115</v>
      </c>
      <c r="B112" s="9">
        <v>428467212</v>
      </c>
      <c r="C112" s="9">
        <v>428715420</v>
      </c>
      <c r="D112" s="9">
        <v>428925320</v>
      </c>
      <c r="E112" s="9">
        <v>429289332</v>
      </c>
      <c r="F112" s="9">
        <v>429600091</v>
      </c>
      <c r="G112" s="9">
        <v>429839219</v>
      </c>
      <c r="H112" s="9">
        <v>429966187</v>
      </c>
      <c r="I112" s="6">
        <v>5.8222837719999997E-2</v>
      </c>
    </row>
    <row r="113" spans="1:9" x14ac:dyDescent="0.25">
      <c r="A113" s="1" t="s">
        <v>116</v>
      </c>
      <c r="B113" s="9">
        <v>32860000</v>
      </c>
      <c r="C113" s="9">
        <v>33650000</v>
      </c>
      <c r="D113" s="9">
        <v>34800000</v>
      </c>
      <c r="E113" s="9">
        <v>35635200</v>
      </c>
      <c r="F113" s="9">
        <v>36490445</v>
      </c>
      <c r="G113" s="9">
        <v>37366215</v>
      </c>
      <c r="H113" s="9">
        <v>38263005</v>
      </c>
      <c r="I113" s="6">
        <v>2.5695820603900001</v>
      </c>
    </row>
    <row r="114" spans="1:9" x14ac:dyDescent="0.25">
      <c r="A114" s="1" t="s">
        <v>12</v>
      </c>
      <c r="B114" s="2"/>
      <c r="C114" s="2"/>
      <c r="D114" s="2"/>
      <c r="E114" s="2"/>
      <c r="F114" s="2"/>
      <c r="G114" s="2"/>
      <c r="H114" s="2"/>
      <c r="I114" s="2"/>
    </row>
    <row r="115" spans="1:9" ht="45" x14ac:dyDescent="0.25">
      <c r="A115" s="1" t="s">
        <v>152</v>
      </c>
      <c r="B115" s="2"/>
      <c r="C115" s="2"/>
      <c r="D115" s="2"/>
      <c r="E115" s="2"/>
      <c r="F115" s="2"/>
      <c r="G115" s="2"/>
      <c r="H115" s="2"/>
      <c r="I115" s="2"/>
    </row>
    <row r="116" spans="1:9" x14ac:dyDescent="0.25">
      <c r="A116" s="1" t="s">
        <v>14</v>
      </c>
      <c r="B116" s="9">
        <v>16084433</v>
      </c>
      <c r="C116" s="9">
        <v>16136606</v>
      </c>
      <c r="D116" s="9">
        <v>16172812</v>
      </c>
      <c r="E116" s="9">
        <v>16192926</v>
      </c>
      <c r="F116" s="9">
        <v>16196872</v>
      </c>
      <c r="G116" s="9">
        <v>16184623</v>
      </c>
      <c r="H116" s="9">
        <v>16156198</v>
      </c>
      <c r="I116" s="6">
        <v>7.4224920999999999E-2</v>
      </c>
    </row>
    <row r="117" spans="1:9" ht="30" x14ac:dyDescent="0.25">
      <c r="A117" s="1" t="s">
        <v>15</v>
      </c>
      <c r="B117" s="9">
        <v>1219853322</v>
      </c>
      <c r="C117" s="9">
        <v>1237040973</v>
      </c>
      <c r="D117" s="9">
        <v>1256896984</v>
      </c>
      <c r="E117" s="9">
        <v>1276766821</v>
      </c>
      <c r="F117" s="9">
        <v>1296495777</v>
      </c>
      <c r="G117" s="9">
        <v>1315646999</v>
      </c>
      <c r="H117" s="9">
        <v>1334882671</v>
      </c>
      <c r="I117" s="6">
        <v>1.5132145109999999</v>
      </c>
    </row>
    <row r="118" spans="1:9" x14ac:dyDescent="0.25">
      <c r="A118" s="1" t="s">
        <v>16</v>
      </c>
      <c r="B118" s="9">
        <v>8494954</v>
      </c>
      <c r="C118" s="9">
        <v>8527235</v>
      </c>
      <c r="D118" s="9">
        <v>8548553</v>
      </c>
      <c r="E118" s="9">
        <v>8576763</v>
      </c>
      <c r="F118" s="9">
        <v>8599063</v>
      </c>
      <c r="G118" s="9">
        <v>8620561</v>
      </c>
      <c r="H118" s="9">
        <v>8647284</v>
      </c>
      <c r="I118" s="6">
        <v>0.29665487000000001</v>
      </c>
    </row>
    <row r="119" spans="1:9" x14ac:dyDescent="0.25">
      <c r="A119" s="1" t="s">
        <v>17</v>
      </c>
      <c r="B119" s="9">
        <v>4093112</v>
      </c>
      <c r="C119" s="9">
        <v>4121764</v>
      </c>
      <c r="D119" s="9">
        <v>4150616</v>
      </c>
      <c r="E119" s="9">
        <v>4179670</v>
      </c>
      <c r="F119" s="9">
        <v>4208928</v>
      </c>
      <c r="G119" s="9">
        <v>4238390</v>
      </c>
      <c r="H119" s="9">
        <v>4268059</v>
      </c>
      <c r="I119" s="6">
        <v>0.69999855300000002</v>
      </c>
    </row>
    <row r="120" spans="1:9" x14ac:dyDescent="0.25">
      <c r="A120" s="1" t="s">
        <v>18</v>
      </c>
      <c r="B120" s="9">
        <v>126373</v>
      </c>
      <c r="C120" s="9">
        <v>128199</v>
      </c>
      <c r="D120" s="9">
        <v>130051</v>
      </c>
      <c r="E120" s="9">
        <v>131911</v>
      </c>
      <c r="F120" s="9">
        <v>133797</v>
      </c>
      <c r="G120" s="9">
        <v>135720</v>
      </c>
      <c r="H120" s="9">
        <v>137670</v>
      </c>
      <c r="I120" s="6">
        <v>1.437258411</v>
      </c>
    </row>
    <row r="121" spans="1:9" x14ac:dyDescent="0.25">
      <c r="A121" s="1" t="s">
        <v>19</v>
      </c>
      <c r="B121" s="9">
        <v>180116</v>
      </c>
      <c r="C121" s="9">
        <v>180728</v>
      </c>
      <c r="D121" s="9">
        <v>181270</v>
      </c>
      <c r="E121" s="9">
        <v>181814</v>
      </c>
      <c r="F121" s="9">
        <v>182360</v>
      </c>
      <c r="G121" s="9">
        <v>182907</v>
      </c>
      <c r="H121" s="9">
        <v>183455</v>
      </c>
      <c r="I121" s="6">
        <v>0.306607717</v>
      </c>
    </row>
    <row r="122" spans="1:9" x14ac:dyDescent="0.25">
      <c r="A122" s="1" t="s">
        <v>20</v>
      </c>
      <c r="B122" s="9">
        <v>110795</v>
      </c>
      <c r="C122" s="9">
        <v>111451</v>
      </c>
      <c r="D122" s="9">
        <v>111979</v>
      </c>
      <c r="E122" s="9">
        <v>112403</v>
      </c>
      <c r="F122" s="9">
        <v>112744</v>
      </c>
      <c r="G122" s="9">
        <v>112744</v>
      </c>
      <c r="H122" s="9">
        <v>113900</v>
      </c>
      <c r="I122" s="6">
        <v>0.46171636599999999</v>
      </c>
    </row>
    <row r="123" spans="1:9" x14ac:dyDescent="0.25">
      <c r="A123" s="1" t="s">
        <v>21</v>
      </c>
      <c r="B123" s="9">
        <v>5100207</v>
      </c>
      <c r="C123" s="9">
        <v>5129880</v>
      </c>
      <c r="D123" s="9">
        <v>5160107</v>
      </c>
      <c r="E123" s="9">
        <v>5190512</v>
      </c>
      <c r="F123" s="9">
        <v>5221097</v>
      </c>
      <c r="G123" s="9">
        <v>5251862</v>
      </c>
      <c r="H123" s="9">
        <v>5282808</v>
      </c>
      <c r="I123" s="6">
        <v>0.58799942599999999</v>
      </c>
    </row>
    <row r="124" spans="1:9" x14ac:dyDescent="0.25">
      <c r="A124" s="1" t="s">
        <v>22</v>
      </c>
      <c r="B124" s="9">
        <v>4113160</v>
      </c>
      <c r="C124" s="9">
        <v>4195423</v>
      </c>
      <c r="D124" s="9">
        <v>4279331</v>
      </c>
      <c r="E124" s="9">
        <v>4364918</v>
      </c>
      <c r="F124" s="9">
        <v>4452216</v>
      </c>
      <c r="G124" s="9">
        <v>4541260</v>
      </c>
      <c r="H124" s="9">
        <v>4632085</v>
      </c>
      <c r="I124" s="6">
        <v>1.9999955359999999</v>
      </c>
    </row>
    <row r="125" spans="1:9" x14ac:dyDescent="0.25">
      <c r="A125" s="1" t="s">
        <v>23</v>
      </c>
      <c r="B125" s="9">
        <v>74535019</v>
      </c>
      <c r="C125" s="9">
        <v>75461570</v>
      </c>
      <c r="D125" s="9">
        <v>76382694</v>
      </c>
      <c r="E125" s="9">
        <v>77301856</v>
      </c>
      <c r="F125" s="9">
        <v>78219005</v>
      </c>
      <c r="G125" s="9">
        <v>79137758</v>
      </c>
      <c r="H125" s="9">
        <v>80050751</v>
      </c>
      <c r="I125" s="6">
        <v>1.196969564</v>
      </c>
    </row>
    <row r="126" spans="1:9" x14ac:dyDescent="0.25">
      <c r="A126" s="1" t="s">
        <v>24</v>
      </c>
      <c r="B126" s="9">
        <v>2854100</v>
      </c>
      <c r="C126" s="9">
        <v>2861235</v>
      </c>
      <c r="D126" s="9">
        <v>2868388</v>
      </c>
      <c r="E126" s="9">
        <v>2875559</v>
      </c>
      <c r="F126" s="9">
        <v>2882748</v>
      </c>
      <c r="G126" s="9">
        <v>2889955</v>
      </c>
      <c r="H126" s="9">
        <v>2897180</v>
      </c>
      <c r="I126" s="6">
        <v>0.25000019899999998</v>
      </c>
    </row>
    <row r="127" spans="1:9" x14ac:dyDescent="0.25">
      <c r="A127" s="1" t="s">
        <v>25</v>
      </c>
      <c r="B127" s="9">
        <v>4024248</v>
      </c>
      <c r="C127" s="9">
        <v>4065694</v>
      </c>
      <c r="D127" s="9">
        <v>4107149</v>
      </c>
      <c r="E127" s="9">
        <v>4148608</v>
      </c>
      <c r="F127" s="9">
        <v>4190066</v>
      </c>
      <c r="G127" s="9">
        <v>4231520</v>
      </c>
      <c r="H127" s="9">
        <v>4272965</v>
      </c>
      <c r="I127" s="6">
        <v>1.004510078</v>
      </c>
    </row>
    <row r="128" spans="1:9" x14ac:dyDescent="0.25">
      <c r="A128" s="1" t="s">
        <v>26</v>
      </c>
      <c r="B128" s="9">
        <v>16297746</v>
      </c>
      <c r="C128" s="9">
        <v>16493319</v>
      </c>
      <c r="D128" s="9">
        <v>16691239</v>
      </c>
      <c r="E128" s="9">
        <v>16891534</v>
      </c>
      <c r="F128" s="9">
        <v>17094232</v>
      </c>
      <c r="G128" s="9">
        <v>17299363</v>
      </c>
      <c r="H128" s="9">
        <v>17506956</v>
      </c>
      <c r="I128" s="6">
        <v>1.2000007829999999</v>
      </c>
    </row>
    <row r="129" spans="1:9" x14ac:dyDescent="0.25">
      <c r="A129" s="1" t="s">
        <v>27</v>
      </c>
      <c r="B129" s="9">
        <v>6082165</v>
      </c>
      <c r="C129" s="9">
        <v>6116131</v>
      </c>
      <c r="D129" s="9">
        <v>6147051</v>
      </c>
      <c r="E129" s="9">
        <v>6174920</v>
      </c>
      <c r="F129" s="9">
        <v>6199734</v>
      </c>
      <c r="G129" s="9">
        <v>6224574</v>
      </c>
      <c r="H129" s="9">
        <v>6246352</v>
      </c>
      <c r="I129" s="6">
        <v>0.44493516399999999</v>
      </c>
    </row>
    <row r="130" spans="1:9" x14ac:dyDescent="0.25">
      <c r="A130" s="1" t="s">
        <v>28</v>
      </c>
      <c r="B130" s="9">
        <v>495060332</v>
      </c>
      <c r="C130" s="9">
        <v>501941671</v>
      </c>
      <c r="D130" s="9">
        <v>508667689</v>
      </c>
      <c r="E130" s="9">
        <v>515432969</v>
      </c>
      <c r="F130" s="9">
        <v>522442858</v>
      </c>
      <c r="G130" s="9">
        <v>529286859</v>
      </c>
      <c r="H130" s="9">
        <v>536167588</v>
      </c>
      <c r="I130" s="6">
        <v>1.3383288170000001</v>
      </c>
    </row>
    <row r="131" spans="1:9" x14ac:dyDescent="0.25">
      <c r="A131" s="1" t="s">
        <v>29</v>
      </c>
      <c r="B131" s="9">
        <v>18296426</v>
      </c>
      <c r="C131" s="9">
        <v>18777420</v>
      </c>
      <c r="D131" s="9">
        <v>19261833</v>
      </c>
      <c r="E131" s="9">
        <v>19747788</v>
      </c>
      <c r="F131" s="9">
        <v>20233000</v>
      </c>
      <c r="G131" s="9">
        <v>20714015</v>
      </c>
      <c r="H131" s="9">
        <v>21188686</v>
      </c>
      <c r="I131" s="6">
        <v>2.4761876470000002</v>
      </c>
    </row>
    <row r="132" spans="1:9" x14ac:dyDescent="0.25">
      <c r="A132" s="1" t="s">
        <v>30</v>
      </c>
      <c r="B132" s="9">
        <v>1673680</v>
      </c>
      <c r="C132" s="9">
        <v>1700459</v>
      </c>
      <c r="D132" s="9">
        <v>1724266</v>
      </c>
      <c r="E132" s="9">
        <v>1744957</v>
      </c>
      <c r="F132" s="9">
        <v>1765896</v>
      </c>
      <c r="G132" s="9">
        <v>1787087</v>
      </c>
      <c r="H132" s="9">
        <v>1808532</v>
      </c>
      <c r="I132" s="6">
        <v>1.2998872189999999</v>
      </c>
    </row>
    <row r="133" spans="1:9" x14ac:dyDescent="0.25">
      <c r="A133" s="1" t="s">
        <v>31</v>
      </c>
      <c r="B133" s="9">
        <v>1471900</v>
      </c>
      <c r="C133" s="9">
        <v>1473372</v>
      </c>
      <c r="D133" s="9">
        <v>1474845</v>
      </c>
      <c r="E133" s="9">
        <v>1476320</v>
      </c>
      <c r="F133" s="9">
        <v>1477796</v>
      </c>
      <c r="G133" s="9">
        <v>1479274</v>
      </c>
      <c r="H133" s="9">
        <v>1480754</v>
      </c>
      <c r="I133" s="6">
        <v>0.100005544</v>
      </c>
    </row>
    <row r="134" spans="1:9" x14ac:dyDescent="0.25">
      <c r="A134" s="1" t="s">
        <v>32</v>
      </c>
      <c r="B134" s="9">
        <v>4572922</v>
      </c>
      <c r="C134" s="9">
        <v>4584354</v>
      </c>
      <c r="D134" s="9">
        <v>4595815</v>
      </c>
      <c r="E134" s="9">
        <v>4607305</v>
      </c>
      <c r="F134" s="9">
        <v>4618823</v>
      </c>
      <c r="G134" s="9">
        <v>4630370</v>
      </c>
      <c r="H134" s="9">
        <v>4641946</v>
      </c>
      <c r="I134" s="6">
        <v>0.25000009699999998</v>
      </c>
    </row>
    <row r="135" spans="1:9" x14ac:dyDescent="0.25">
      <c r="A135" s="1" t="s">
        <v>33</v>
      </c>
      <c r="B135" s="9">
        <v>2843000</v>
      </c>
      <c r="C135" s="9">
        <v>2857215</v>
      </c>
      <c r="D135" s="9">
        <v>2871501</v>
      </c>
      <c r="E135" s="9">
        <v>2885859</v>
      </c>
      <c r="F135" s="9">
        <v>2900288</v>
      </c>
      <c r="G135" s="9">
        <v>2914790</v>
      </c>
      <c r="H135" s="9">
        <v>2929363</v>
      </c>
      <c r="I135" s="6">
        <v>0.499998518</v>
      </c>
    </row>
    <row r="136" spans="1:9" ht="30" x14ac:dyDescent="0.25">
      <c r="A136" s="1" t="s">
        <v>34</v>
      </c>
      <c r="B136" s="9">
        <v>3545981</v>
      </c>
      <c r="C136" s="9">
        <v>3610260</v>
      </c>
      <c r="D136" s="9">
        <v>3682465</v>
      </c>
      <c r="E136" s="9">
        <v>3756114</v>
      </c>
      <c r="F136" s="9">
        <v>3831236</v>
      </c>
      <c r="G136" s="9">
        <v>3907861</v>
      </c>
      <c r="H136" s="9">
        <v>3986018</v>
      </c>
      <c r="I136" s="6">
        <v>1.968760898</v>
      </c>
    </row>
    <row r="137" spans="1:9" ht="30" x14ac:dyDescent="0.25">
      <c r="A137" s="1" t="s">
        <v>35</v>
      </c>
      <c r="B137" s="9">
        <v>151070405</v>
      </c>
      <c r="C137" s="9">
        <v>151805417</v>
      </c>
      <c r="D137" s="9">
        <v>152548269</v>
      </c>
      <c r="E137" s="9">
        <v>153269786</v>
      </c>
      <c r="F137" s="9">
        <v>154000533</v>
      </c>
      <c r="G137" s="9">
        <v>154740956</v>
      </c>
      <c r="H137" s="9">
        <v>155491510</v>
      </c>
      <c r="I137" s="6">
        <v>0.481909896</v>
      </c>
    </row>
    <row r="138" spans="1:9" x14ac:dyDescent="0.25">
      <c r="A138" s="1" t="s">
        <v>36</v>
      </c>
      <c r="B138" s="9">
        <v>5235155</v>
      </c>
      <c r="C138" s="9">
        <v>5297977</v>
      </c>
      <c r="D138" s="9">
        <v>5361552</v>
      </c>
      <c r="E138" s="9">
        <v>5431253</v>
      </c>
      <c r="F138" s="9">
        <v>5501859</v>
      </c>
      <c r="G138" s="9">
        <v>5573383</v>
      </c>
      <c r="H138" s="9">
        <v>5645837</v>
      </c>
      <c r="I138" s="6">
        <v>1.26665509</v>
      </c>
    </row>
    <row r="139" spans="1:9" x14ac:dyDescent="0.25">
      <c r="A139" s="1" t="s">
        <v>37</v>
      </c>
      <c r="B139" s="9">
        <v>23189096</v>
      </c>
      <c r="C139" s="9">
        <v>23555483</v>
      </c>
      <c r="D139" s="9">
        <v>23927660</v>
      </c>
      <c r="E139" s="9">
        <v>24305717</v>
      </c>
      <c r="F139" s="9">
        <v>24689747</v>
      </c>
      <c r="G139" s="9">
        <v>25079845</v>
      </c>
      <c r="H139" s="9">
        <v>25476107</v>
      </c>
      <c r="I139" s="6">
        <v>1.5799997969999999</v>
      </c>
    </row>
    <row r="140" spans="1:9" x14ac:dyDescent="0.25">
      <c r="A140" s="1" t="s">
        <v>38</v>
      </c>
      <c r="B140" s="9">
        <v>2060646</v>
      </c>
      <c r="C140" s="9">
        <v>2087434</v>
      </c>
      <c r="D140" s="9">
        <v>2112484</v>
      </c>
      <c r="E140" s="9">
        <v>2135721</v>
      </c>
      <c r="F140" s="9">
        <v>2159214</v>
      </c>
      <c r="G140" s="9">
        <v>2182965</v>
      </c>
      <c r="H140" s="9">
        <v>2206978</v>
      </c>
      <c r="I140" s="6">
        <v>1.1499724760000001</v>
      </c>
    </row>
    <row r="141" spans="1:9" x14ac:dyDescent="0.25">
      <c r="A141" s="1" t="s">
        <v>39</v>
      </c>
      <c r="B141" s="9">
        <v>655500</v>
      </c>
      <c r="C141" s="9">
        <v>658122</v>
      </c>
      <c r="D141" s="9">
        <v>660096</v>
      </c>
      <c r="E141" s="9">
        <v>661747</v>
      </c>
      <c r="F141" s="9">
        <v>663401</v>
      </c>
      <c r="G141" s="9">
        <v>665059</v>
      </c>
      <c r="H141" s="9">
        <v>666722</v>
      </c>
      <c r="I141" s="6">
        <v>0.28331498399999999</v>
      </c>
    </row>
    <row r="142" spans="1:9" x14ac:dyDescent="0.25">
      <c r="A142" s="1" t="s">
        <v>40</v>
      </c>
      <c r="B142" s="9">
        <v>2821060</v>
      </c>
      <c r="C142" s="9">
        <v>2834302</v>
      </c>
      <c r="D142" s="9">
        <v>2847312</v>
      </c>
      <c r="E142" s="9">
        <v>2860084</v>
      </c>
      <c r="F142" s="9">
        <v>2872637</v>
      </c>
      <c r="G142" s="9">
        <v>2884887</v>
      </c>
      <c r="H142" s="9">
        <v>2896741</v>
      </c>
      <c r="I142" s="6">
        <v>0.44220169100000001</v>
      </c>
    </row>
    <row r="143" spans="1:9" x14ac:dyDescent="0.25">
      <c r="A143" s="1" t="s">
        <v>41</v>
      </c>
      <c r="B143" s="9">
        <v>31077247</v>
      </c>
      <c r="C143" s="9">
        <v>31294788</v>
      </c>
      <c r="D143" s="9">
        <v>31513852</v>
      </c>
      <c r="E143" s="9">
        <v>31734449</v>
      </c>
      <c r="F143" s="9">
        <v>31956590</v>
      </c>
      <c r="G143" s="9">
        <v>32180286</v>
      </c>
      <c r="H143" s="9">
        <v>32405548</v>
      </c>
      <c r="I143" s="6">
        <v>0.70000027799999998</v>
      </c>
    </row>
    <row r="144" spans="1:9" x14ac:dyDescent="0.25">
      <c r="A144" s="1" t="s">
        <v>42</v>
      </c>
      <c r="B144" s="9">
        <v>40998000</v>
      </c>
      <c r="C144" s="9">
        <v>41063597</v>
      </c>
      <c r="D144" s="9">
        <v>41129299</v>
      </c>
      <c r="E144" s="9">
        <v>41195105</v>
      </c>
      <c r="F144" s="9">
        <v>41261018</v>
      </c>
      <c r="G144" s="9">
        <v>41327035</v>
      </c>
      <c r="H144" s="9">
        <v>41393158</v>
      </c>
      <c r="I144" s="6">
        <v>0.159999804</v>
      </c>
    </row>
    <row r="145" spans="1:9" x14ac:dyDescent="0.25">
      <c r="A145" s="1" t="s">
        <v>43</v>
      </c>
      <c r="B145" s="9">
        <v>4424067</v>
      </c>
      <c r="C145" s="9">
        <v>4455035</v>
      </c>
      <c r="D145" s="9">
        <v>4486220</v>
      </c>
      <c r="E145" s="9">
        <v>4517624</v>
      </c>
      <c r="F145" s="9">
        <v>4549247</v>
      </c>
      <c r="G145" s="9">
        <v>4581092</v>
      </c>
      <c r="H145" s="9">
        <v>4613160</v>
      </c>
      <c r="I145" s="6">
        <v>0.69999995599999998</v>
      </c>
    </row>
    <row r="146" spans="1:9" x14ac:dyDescent="0.25">
      <c r="A146" s="1" t="s">
        <v>44</v>
      </c>
      <c r="B146" s="9">
        <v>4002174</v>
      </c>
      <c r="C146" s="9">
        <v>4080786</v>
      </c>
      <c r="D146" s="9">
        <v>4160088</v>
      </c>
      <c r="E146" s="9">
        <v>4240088</v>
      </c>
      <c r="F146" s="9">
        <v>4318584</v>
      </c>
      <c r="G146" s="9">
        <v>4400000</v>
      </c>
      <c r="H146" s="9">
        <v>4460000</v>
      </c>
      <c r="I146" s="6">
        <v>1.821576146</v>
      </c>
    </row>
    <row r="147" spans="1:9" x14ac:dyDescent="0.25">
      <c r="A147" s="1" t="s">
        <v>45</v>
      </c>
      <c r="B147" s="9">
        <v>2320527</v>
      </c>
      <c r="C147" s="9">
        <v>2343732</v>
      </c>
      <c r="D147" s="9">
        <v>2367169</v>
      </c>
      <c r="E147" s="9">
        <v>2390841</v>
      </c>
      <c r="F147" s="9">
        <v>2414749</v>
      </c>
      <c r="G147" s="9">
        <v>2438896</v>
      </c>
      <c r="H147" s="9">
        <v>2463285</v>
      </c>
      <c r="I147" s="6">
        <v>0.99999200099999996</v>
      </c>
    </row>
    <row r="148" spans="1:9" x14ac:dyDescent="0.25">
      <c r="A148" s="1" t="s">
        <v>46</v>
      </c>
      <c r="B148" s="9">
        <v>2684257</v>
      </c>
      <c r="C148" s="9">
        <v>2716468</v>
      </c>
      <c r="D148" s="9">
        <v>2757215</v>
      </c>
      <c r="E148" s="9">
        <v>2795816</v>
      </c>
      <c r="F148" s="9">
        <v>2829366</v>
      </c>
      <c r="G148" s="9">
        <v>2874636</v>
      </c>
      <c r="H148" s="9">
        <v>2914881</v>
      </c>
      <c r="I148" s="6">
        <v>1.3832297849999999</v>
      </c>
    </row>
    <row r="149" spans="1:9" x14ac:dyDescent="0.25">
      <c r="A149" s="1" t="s">
        <v>47</v>
      </c>
      <c r="B149" s="9">
        <v>4044811</v>
      </c>
      <c r="C149" s="9">
        <v>4043800</v>
      </c>
      <c r="D149" s="9">
        <v>4042789</v>
      </c>
      <c r="E149" s="9">
        <v>4041778</v>
      </c>
      <c r="F149" s="9">
        <v>4040768</v>
      </c>
      <c r="G149" s="9">
        <v>4039758</v>
      </c>
      <c r="H149" s="9">
        <v>4038748</v>
      </c>
      <c r="I149" s="6">
        <v>-2.4998243999999999E-2</v>
      </c>
    </row>
    <row r="150" spans="1:9" x14ac:dyDescent="0.25">
      <c r="A150" s="1" t="s">
        <v>48</v>
      </c>
      <c r="B150" s="9">
        <v>337797398</v>
      </c>
      <c r="C150" s="9">
        <v>343607513</v>
      </c>
      <c r="D150" s="9">
        <v>351373043</v>
      </c>
      <c r="E150" s="9">
        <v>359560035</v>
      </c>
      <c r="F150" s="9">
        <v>366895059</v>
      </c>
      <c r="G150" s="9">
        <v>373792686</v>
      </c>
      <c r="H150" s="9">
        <v>381006885</v>
      </c>
      <c r="I150" s="6">
        <v>2.0264448960000001</v>
      </c>
    </row>
    <row r="151" spans="1:9" x14ac:dyDescent="0.25">
      <c r="A151" s="1" t="s">
        <v>49</v>
      </c>
      <c r="B151" s="9">
        <v>72447465</v>
      </c>
      <c r="C151" s="9">
        <v>73197938</v>
      </c>
      <c r="D151" s="9">
        <v>73948602</v>
      </c>
      <c r="E151" s="9">
        <v>74699380</v>
      </c>
      <c r="F151" s="9">
        <v>75450197</v>
      </c>
      <c r="G151" s="9">
        <v>76200977</v>
      </c>
      <c r="H151" s="9">
        <v>76951645</v>
      </c>
      <c r="I151" s="6">
        <v>1.0103290229999999</v>
      </c>
    </row>
    <row r="152" spans="1:9" x14ac:dyDescent="0.25">
      <c r="A152" s="1" t="s">
        <v>50</v>
      </c>
      <c r="B152" s="9">
        <v>6577967</v>
      </c>
      <c r="C152" s="9">
        <v>6730576</v>
      </c>
      <c r="D152" s="9">
        <v>6886726</v>
      </c>
      <c r="E152" s="9">
        <v>7046498</v>
      </c>
      <c r="F152" s="9">
        <v>7209976</v>
      </c>
      <c r="G152" s="9">
        <v>7377248</v>
      </c>
      <c r="H152" s="9">
        <v>7548400</v>
      </c>
      <c r="I152" s="6">
        <v>2.3200010500000001</v>
      </c>
    </row>
    <row r="153" spans="1:9" x14ac:dyDescent="0.25">
      <c r="A153" s="1" t="s">
        <v>51</v>
      </c>
      <c r="B153" s="9">
        <v>2122353</v>
      </c>
      <c r="C153" s="9">
        <v>2137210</v>
      </c>
      <c r="D153" s="9">
        <v>2150033</v>
      </c>
      <c r="E153" s="9">
        <v>2162933</v>
      </c>
      <c r="F153" s="9">
        <v>2175911</v>
      </c>
      <c r="G153" s="9">
        <v>2188966</v>
      </c>
      <c r="H153" s="9">
        <v>2202100</v>
      </c>
      <c r="I153" s="6">
        <v>0.61666143699999998</v>
      </c>
    </row>
    <row r="154" spans="1:9" x14ac:dyDescent="0.25">
      <c r="A154" s="1" t="s">
        <v>52</v>
      </c>
      <c r="B154" s="9">
        <v>3025375</v>
      </c>
      <c r="C154" s="9">
        <v>3094959</v>
      </c>
      <c r="D154" s="9">
        <v>3156858</v>
      </c>
      <c r="E154" s="9">
        <v>3219995</v>
      </c>
      <c r="F154" s="9">
        <v>3284395</v>
      </c>
      <c r="G154" s="9">
        <v>3343514</v>
      </c>
      <c r="H154" s="9">
        <v>3403697</v>
      </c>
      <c r="I154" s="6">
        <v>1.983194833</v>
      </c>
    </row>
    <row r="155" spans="1:9" x14ac:dyDescent="0.25">
      <c r="A155" s="1" t="s">
        <v>53</v>
      </c>
      <c r="B155" s="9">
        <v>26017506</v>
      </c>
      <c r="C155" s="9">
        <v>26108162</v>
      </c>
      <c r="D155" s="9">
        <v>26201222</v>
      </c>
      <c r="E155" s="9">
        <v>26284453</v>
      </c>
      <c r="F155" s="9">
        <v>26364171</v>
      </c>
      <c r="G155" s="9">
        <v>26437946</v>
      </c>
      <c r="H155" s="9">
        <v>26506043</v>
      </c>
      <c r="I155" s="6">
        <v>0.31053325199999998</v>
      </c>
    </row>
    <row r="156" spans="1:9" x14ac:dyDescent="0.25">
      <c r="A156" s="1" t="s">
        <v>54</v>
      </c>
      <c r="B156" s="9">
        <v>923998</v>
      </c>
      <c r="C156" s="9">
        <v>926354</v>
      </c>
      <c r="D156" s="9">
        <v>928531</v>
      </c>
      <c r="E156" s="9">
        <v>930713</v>
      </c>
      <c r="F156" s="9">
        <v>932901</v>
      </c>
      <c r="G156" s="9">
        <v>935093</v>
      </c>
      <c r="H156" s="9">
        <v>937290</v>
      </c>
      <c r="I156" s="6">
        <v>0.238330651</v>
      </c>
    </row>
    <row r="157" spans="1:9" x14ac:dyDescent="0.25">
      <c r="A157" s="1" t="s">
        <v>55</v>
      </c>
      <c r="B157" s="9">
        <v>60778602</v>
      </c>
      <c r="C157" s="9">
        <v>61155429</v>
      </c>
      <c r="D157" s="9">
        <v>61510131</v>
      </c>
      <c r="E157" s="9">
        <v>61829983</v>
      </c>
      <c r="F157" s="9">
        <v>62126767</v>
      </c>
      <c r="G157" s="9">
        <v>62400125</v>
      </c>
      <c r="H157" s="9">
        <v>62749566</v>
      </c>
      <c r="I157" s="6">
        <v>0.53331501199999998</v>
      </c>
    </row>
    <row r="158" spans="1:9" x14ac:dyDescent="0.25">
      <c r="A158" s="1" t="s">
        <v>56</v>
      </c>
      <c r="B158" s="9">
        <v>1438975</v>
      </c>
      <c r="C158" s="9">
        <v>1456243</v>
      </c>
      <c r="D158" s="9">
        <v>1473717</v>
      </c>
      <c r="E158" s="9">
        <v>1491402</v>
      </c>
      <c r="F158" s="9">
        <v>1509299</v>
      </c>
      <c r="G158" s="9">
        <v>1527410</v>
      </c>
      <c r="H158" s="9">
        <v>1545739</v>
      </c>
      <c r="I158" s="6">
        <v>1.1999938160000001</v>
      </c>
    </row>
    <row r="159" spans="1:9" x14ac:dyDescent="0.25">
      <c r="A159" s="1" t="s">
        <v>57</v>
      </c>
      <c r="B159" s="7" t="s">
        <v>58</v>
      </c>
      <c r="C159" s="7" t="s">
        <v>58</v>
      </c>
      <c r="D159" s="7" t="s">
        <v>58</v>
      </c>
      <c r="E159" s="7" t="s">
        <v>58</v>
      </c>
      <c r="F159" s="7" t="s">
        <v>58</v>
      </c>
      <c r="G159" s="7" t="s">
        <v>58</v>
      </c>
      <c r="H159" s="7" t="s">
        <v>58</v>
      </c>
      <c r="I159" s="7" t="s">
        <v>58</v>
      </c>
    </row>
    <row r="160" spans="1:9" x14ac:dyDescent="0.25">
      <c r="A160" s="1" t="s">
        <v>59</v>
      </c>
      <c r="B160" s="9">
        <v>1074674</v>
      </c>
      <c r="C160" s="9">
        <v>1110126</v>
      </c>
      <c r="D160" s="9">
        <v>1144917</v>
      </c>
      <c r="E160" s="9">
        <v>1179003</v>
      </c>
      <c r="F160" s="9">
        <v>1212350</v>
      </c>
      <c r="G160" s="9">
        <v>1244925</v>
      </c>
      <c r="H160" s="9">
        <v>1276703</v>
      </c>
      <c r="I160" s="6">
        <v>2.9126724479999999</v>
      </c>
    </row>
    <row r="161" spans="1:9" x14ac:dyDescent="0.25">
      <c r="A161" s="1" t="s">
        <v>60</v>
      </c>
      <c r="B161" s="9">
        <v>1432181</v>
      </c>
      <c r="C161" s="9">
        <v>1451649</v>
      </c>
      <c r="D161" s="9">
        <v>1470988</v>
      </c>
      <c r="E161" s="9">
        <v>1490192</v>
      </c>
      <c r="F161" s="9">
        <v>1509257</v>
      </c>
      <c r="G161" s="9">
        <v>1528181</v>
      </c>
      <c r="H161" s="9">
        <v>1546958</v>
      </c>
      <c r="I161" s="6">
        <v>1.293155949</v>
      </c>
    </row>
    <row r="162" spans="1:9" ht="45" x14ac:dyDescent="0.25">
      <c r="A162" s="1" t="s">
        <v>61</v>
      </c>
      <c r="B162" s="9">
        <v>211056326</v>
      </c>
      <c r="C162" s="9">
        <v>214136874</v>
      </c>
      <c r="D162" s="9">
        <v>217279257</v>
      </c>
      <c r="E162" s="9">
        <v>220393069</v>
      </c>
      <c r="F162" s="9">
        <v>223510693</v>
      </c>
      <c r="G162" s="9">
        <v>226642629</v>
      </c>
      <c r="H162" s="9">
        <v>229737737</v>
      </c>
      <c r="I162" s="6">
        <v>1.423593584</v>
      </c>
    </row>
    <row r="163" spans="1:9" x14ac:dyDescent="0.25">
      <c r="A163" s="1" t="s">
        <v>62</v>
      </c>
      <c r="B163" s="9">
        <v>843900</v>
      </c>
      <c r="C163" s="9">
        <v>843056</v>
      </c>
      <c r="D163" s="9">
        <v>842213</v>
      </c>
      <c r="E163" s="9">
        <v>841371</v>
      </c>
      <c r="F163" s="9">
        <v>840529</v>
      </c>
      <c r="G163" s="9">
        <v>839689</v>
      </c>
      <c r="H163" s="9">
        <v>838849</v>
      </c>
      <c r="I163" s="6">
        <v>-0.10000479600000001</v>
      </c>
    </row>
    <row r="164" spans="1:9" x14ac:dyDescent="0.25">
      <c r="A164" s="1" t="s">
        <v>63</v>
      </c>
      <c r="B164" s="9">
        <v>1434298</v>
      </c>
      <c r="C164" s="9">
        <v>1460545</v>
      </c>
      <c r="D164" s="9">
        <v>1487273</v>
      </c>
      <c r="E164" s="9">
        <v>1514490</v>
      </c>
      <c r="F164" s="9">
        <v>1542206</v>
      </c>
      <c r="G164" s="9">
        <v>1570428</v>
      </c>
      <c r="H164" s="9">
        <v>1599167</v>
      </c>
      <c r="I164" s="6">
        <v>1.8299985839999999</v>
      </c>
    </row>
    <row r="165" spans="1:9" x14ac:dyDescent="0.25">
      <c r="A165" s="1" t="s">
        <v>64</v>
      </c>
      <c r="B165" s="9">
        <v>1665900</v>
      </c>
      <c r="C165" s="9">
        <v>1705882</v>
      </c>
      <c r="D165" s="9">
        <v>1742729</v>
      </c>
      <c r="E165" s="9">
        <v>1776607</v>
      </c>
      <c r="F165" s="9">
        <v>1807691</v>
      </c>
      <c r="G165" s="9">
        <v>1836155</v>
      </c>
      <c r="H165" s="9">
        <v>1862177</v>
      </c>
      <c r="I165" s="6">
        <v>1.8736824599999999</v>
      </c>
    </row>
    <row r="166" spans="1:9" x14ac:dyDescent="0.25">
      <c r="A166" s="1" t="s">
        <v>65</v>
      </c>
      <c r="B166" s="9">
        <v>9015992</v>
      </c>
      <c r="C166" s="9">
        <v>9225163</v>
      </c>
      <c r="D166" s="9">
        <v>9434574</v>
      </c>
      <c r="E166" s="9">
        <v>9645909</v>
      </c>
      <c r="F166" s="9">
        <v>9860048</v>
      </c>
      <c r="G166" s="9">
        <v>10078941</v>
      </c>
      <c r="H166" s="9">
        <v>10301686</v>
      </c>
      <c r="I166" s="6">
        <v>2.246660367</v>
      </c>
    </row>
    <row r="167" spans="1:9" x14ac:dyDescent="0.25">
      <c r="A167" s="1" t="s">
        <v>66</v>
      </c>
      <c r="B167" s="9">
        <v>38459695</v>
      </c>
      <c r="C167" s="9">
        <v>39267349</v>
      </c>
      <c r="D167" s="9">
        <v>40091963</v>
      </c>
      <c r="E167" s="9">
        <v>40933894</v>
      </c>
      <c r="F167" s="9">
        <v>41793506</v>
      </c>
      <c r="G167" s="9">
        <v>42671170</v>
      </c>
      <c r="H167" s="9">
        <v>43567265</v>
      </c>
      <c r="I167" s="6">
        <v>2.1000003519999999</v>
      </c>
    </row>
    <row r="168" spans="1:9" ht="30" x14ac:dyDescent="0.25">
      <c r="A168" s="1" t="s">
        <v>67</v>
      </c>
      <c r="B168" s="9">
        <v>419640833</v>
      </c>
      <c r="C168" s="9">
        <v>431986328</v>
      </c>
      <c r="D168" s="9">
        <v>444635926</v>
      </c>
      <c r="E168" s="9">
        <v>457645337</v>
      </c>
      <c r="F168" s="9">
        <v>471209773</v>
      </c>
      <c r="G168" s="9">
        <v>484855275</v>
      </c>
      <c r="H168" s="9">
        <v>498588605</v>
      </c>
      <c r="I168" s="6">
        <v>2.9147052859999998</v>
      </c>
    </row>
    <row r="169" spans="1:9" x14ac:dyDescent="0.25">
      <c r="A169" s="1" t="s">
        <v>68</v>
      </c>
      <c r="B169" s="7" t="s">
        <v>58</v>
      </c>
      <c r="C169" s="7" t="s">
        <v>58</v>
      </c>
      <c r="D169" s="7" t="s">
        <v>58</v>
      </c>
      <c r="E169" s="7" t="s">
        <v>58</v>
      </c>
      <c r="F169" s="7" t="s">
        <v>58</v>
      </c>
      <c r="G169" s="7" t="s">
        <v>58</v>
      </c>
      <c r="H169" s="7" t="s">
        <v>58</v>
      </c>
      <c r="I169" s="7" t="s">
        <v>58</v>
      </c>
    </row>
    <row r="170" spans="1:9" x14ac:dyDescent="0.25">
      <c r="A170" s="1" t="s">
        <v>69</v>
      </c>
      <c r="B170" s="9">
        <v>11687221</v>
      </c>
      <c r="C170" s="9">
        <v>11764117</v>
      </c>
      <c r="D170" s="9">
        <v>11839971</v>
      </c>
      <c r="E170" s="9">
        <v>11914786</v>
      </c>
      <c r="F170" s="9">
        <v>11988569</v>
      </c>
      <c r="G170" s="9">
        <v>12061324</v>
      </c>
      <c r="H170" s="9">
        <v>12133056</v>
      </c>
      <c r="I170" s="6">
        <v>0.625910784</v>
      </c>
    </row>
    <row r="171" spans="1:9" x14ac:dyDescent="0.25">
      <c r="A171" s="1" t="s">
        <v>70</v>
      </c>
      <c r="B171" s="9">
        <v>8334655</v>
      </c>
      <c r="C171" s="9">
        <v>8416335</v>
      </c>
      <c r="D171" s="9">
        <v>8498815</v>
      </c>
      <c r="E171" s="9">
        <v>8582104</v>
      </c>
      <c r="F171" s="9">
        <v>8666208</v>
      </c>
      <c r="G171" s="9">
        <v>8731205</v>
      </c>
      <c r="H171" s="9">
        <v>8796689</v>
      </c>
      <c r="I171" s="6">
        <v>0.90327642500000005</v>
      </c>
    </row>
    <row r="172" spans="1:9" x14ac:dyDescent="0.25">
      <c r="A172" s="1" t="s">
        <v>71</v>
      </c>
      <c r="B172" s="9">
        <v>1760934</v>
      </c>
      <c r="C172" s="9">
        <v>1777663</v>
      </c>
      <c r="D172" s="9">
        <v>1792240</v>
      </c>
      <c r="E172" s="9">
        <v>1808370</v>
      </c>
      <c r="F172" s="9">
        <v>1825188</v>
      </c>
      <c r="G172" s="9">
        <v>1842710</v>
      </c>
      <c r="H172" s="9">
        <v>1859478</v>
      </c>
      <c r="I172" s="6">
        <v>0.91165470400000004</v>
      </c>
    </row>
    <row r="173" spans="1:9" x14ac:dyDescent="0.25">
      <c r="A173" s="1" t="s">
        <v>72</v>
      </c>
      <c r="B173" s="9">
        <v>1708773</v>
      </c>
      <c r="C173" s="9">
        <v>1742300</v>
      </c>
      <c r="D173" s="9">
        <v>1775827</v>
      </c>
      <c r="E173" s="9">
        <v>1809354</v>
      </c>
      <c r="F173" s="9">
        <v>1842881</v>
      </c>
      <c r="G173" s="9">
        <v>1876408</v>
      </c>
      <c r="H173" s="9">
        <v>1909935</v>
      </c>
      <c r="I173" s="6">
        <v>1.8722040369999999</v>
      </c>
    </row>
    <row r="174" spans="1:9" x14ac:dyDescent="0.25">
      <c r="A174" s="1" t="s">
        <v>73</v>
      </c>
      <c r="B174" s="7" t="s">
        <v>58</v>
      </c>
      <c r="C174" s="7" t="s">
        <v>58</v>
      </c>
      <c r="D174" s="7" t="s">
        <v>58</v>
      </c>
      <c r="E174" s="7" t="s">
        <v>58</v>
      </c>
      <c r="F174" s="7" t="s">
        <v>58</v>
      </c>
      <c r="G174" s="7" t="s">
        <v>58</v>
      </c>
      <c r="H174" s="7" t="s">
        <v>58</v>
      </c>
      <c r="I174" s="7" t="s">
        <v>58</v>
      </c>
    </row>
    <row r="175" spans="1:9" ht="30" x14ac:dyDescent="0.25">
      <c r="A175" s="1" t="s">
        <v>74</v>
      </c>
      <c r="B175" s="9">
        <v>151740746</v>
      </c>
      <c r="C175" s="9">
        <v>153113319</v>
      </c>
      <c r="D175" s="9">
        <v>154233424</v>
      </c>
      <c r="E175" s="9">
        <v>155341497</v>
      </c>
      <c r="F175" s="9">
        <v>156437198</v>
      </c>
      <c r="G175" s="9">
        <v>157520190</v>
      </c>
      <c r="H175" s="9">
        <v>158590140</v>
      </c>
      <c r="I175" s="6">
        <v>0.73854207000000005</v>
      </c>
    </row>
    <row r="176" spans="1:9" x14ac:dyDescent="0.25">
      <c r="A176" s="1" t="s">
        <v>75</v>
      </c>
      <c r="B176" s="9">
        <v>2600612</v>
      </c>
      <c r="C176" s="9">
        <v>2619504</v>
      </c>
      <c r="D176" s="9">
        <v>2638396</v>
      </c>
      <c r="E176" s="9">
        <v>2657288</v>
      </c>
      <c r="F176" s="9">
        <v>2676180</v>
      </c>
      <c r="G176" s="9">
        <v>2695072</v>
      </c>
      <c r="H176" s="9">
        <v>2713965</v>
      </c>
      <c r="I176" s="6">
        <v>0.71359845399999999</v>
      </c>
    </row>
    <row r="177" spans="1:9" x14ac:dyDescent="0.25">
      <c r="A177" s="1" t="s">
        <v>76</v>
      </c>
      <c r="B177" s="9">
        <v>743299</v>
      </c>
      <c r="C177" s="9">
        <v>750018</v>
      </c>
      <c r="D177" s="9">
        <v>756662</v>
      </c>
      <c r="E177" s="9">
        <v>763231</v>
      </c>
      <c r="F177" s="9">
        <v>769724</v>
      </c>
      <c r="G177" s="9">
        <v>776142</v>
      </c>
      <c r="H177" s="9">
        <v>782483</v>
      </c>
      <c r="I177" s="6">
        <v>0.85990631100000003</v>
      </c>
    </row>
    <row r="178" spans="1:9" ht="45" x14ac:dyDescent="0.25">
      <c r="A178" s="1" t="s">
        <v>77</v>
      </c>
      <c r="B178" s="9">
        <v>60203142</v>
      </c>
      <c r="C178" s="9">
        <v>61288565</v>
      </c>
      <c r="D178" s="9">
        <v>62399091</v>
      </c>
      <c r="E178" s="9">
        <v>63535431</v>
      </c>
      <c r="F178" s="9">
        <v>64686611</v>
      </c>
      <c r="G178" s="9">
        <v>65852752</v>
      </c>
      <c r="H178" s="9">
        <v>67033970</v>
      </c>
      <c r="I178" s="6">
        <v>1.8073884609999999</v>
      </c>
    </row>
    <row r="179" spans="1:9" ht="45" x14ac:dyDescent="0.25">
      <c r="A179" s="1" t="s">
        <v>78</v>
      </c>
      <c r="B179" s="9">
        <v>49473078</v>
      </c>
      <c r="C179" s="9">
        <v>50033383</v>
      </c>
      <c r="D179" s="9">
        <v>50605036</v>
      </c>
      <c r="E179" s="9">
        <v>51188294</v>
      </c>
      <c r="F179" s="9">
        <v>51783424</v>
      </c>
      <c r="G179" s="9">
        <v>52390695</v>
      </c>
      <c r="H179" s="9">
        <v>53010386</v>
      </c>
      <c r="I179" s="6">
        <v>1.157636237</v>
      </c>
    </row>
    <row r="180" spans="1:9" ht="60" x14ac:dyDescent="0.25">
      <c r="A180" s="1" t="s">
        <v>79</v>
      </c>
      <c r="B180" s="9">
        <v>8358533</v>
      </c>
      <c r="C180" s="9">
        <v>8446978</v>
      </c>
      <c r="D180" s="9">
        <v>8554552</v>
      </c>
      <c r="E180" s="9">
        <v>8663248</v>
      </c>
      <c r="F180" s="9">
        <v>8773006</v>
      </c>
      <c r="G180" s="9">
        <v>8886475</v>
      </c>
      <c r="H180" s="9">
        <v>9001413</v>
      </c>
      <c r="I180" s="6">
        <v>1.242634529</v>
      </c>
    </row>
    <row r="181" spans="1:9" ht="45" x14ac:dyDescent="0.25">
      <c r="A181" s="1" t="s">
        <v>80</v>
      </c>
      <c r="B181" s="9">
        <v>315038289</v>
      </c>
      <c r="C181" s="9">
        <v>325115243</v>
      </c>
      <c r="D181" s="9">
        <v>335444627</v>
      </c>
      <c r="E181" s="9">
        <v>346073099</v>
      </c>
      <c r="F181" s="9">
        <v>357185874</v>
      </c>
      <c r="G181" s="9">
        <v>368326440</v>
      </c>
      <c r="H181" s="9">
        <v>379495508</v>
      </c>
      <c r="I181" s="6">
        <v>3.151104659</v>
      </c>
    </row>
    <row r="182" spans="1:9" ht="45" x14ac:dyDescent="0.25">
      <c r="A182" s="1" t="s">
        <v>81</v>
      </c>
      <c r="B182" s="9">
        <v>1037413</v>
      </c>
      <c r="C182" s="9">
        <v>1047515</v>
      </c>
      <c r="D182" s="9">
        <v>1056973</v>
      </c>
      <c r="E182" s="9">
        <v>1066523</v>
      </c>
      <c r="F182" s="9">
        <v>1075292</v>
      </c>
      <c r="G182" s="9">
        <v>1082983</v>
      </c>
      <c r="H182" s="9">
        <v>1090733</v>
      </c>
      <c r="I182" s="6">
        <v>0.83882917199999996</v>
      </c>
    </row>
    <row r="183" spans="1:9" x14ac:dyDescent="0.25">
      <c r="A183" s="1" t="s">
        <v>82</v>
      </c>
      <c r="B183" s="9">
        <v>40203200</v>
      </c>
      <c r="C183" s="9">
        <v>40184887</v>
      </c>
      <c r="D183" s="9">
        <v>41082258</v>
      </c>
      <c r="E183" s="9">
        <v>41589744</v>
      </c>
      <c r="F183" s="9">
        <v>42566828</v>
      </c>
      <c r="G183" s="9">
        <v>43556634</v>
      </c>
      <c r="H183" s="9">
        <v>44198387</v>
      </c>
      <c r="I183" s="6">
        <v>1.591560876</v>
      </c>
    </row>
    <row r="184" spans="1:9" x14ac:dyDescent="0.25">
      <c r="A184" s="1" t="s">
        <v>83</v>
      </c>
      <c r="B184" s="9">
        <v>1154137</v>
      </c>
      <c r="C184" s="9">
        <v>1188761</v>
      </c>
      <c r="D184" s="9">
        <v>1224424</v>
      </c>
      <c r="E184" s="9">
        <v>1261157</v>
      </c>
      <c r="F184" s="9">
        <v>1309081</v>
      </c>
      <c r="G184" s="9">
        <v>1358826</v>
      </c>
      <c r="H184" s="9">
        <v>1410461</v>
      </c>
      <c r="I184" s="6">
        <v>3.399225645</v>
      </c>
    </row>
    <row r="185" spans="1:9" x14ac:dyDescent="0.25">
      <c r="A185" s="1" t="s">
        <v>84</v>
      </c>
      <c r="B185" s="9">
        <v>1325861</v>
      </c>
      <c r="C185" s="9">
        <v>1352378</v>
      </c>
      <c r="D185" s="9">
        <v>1379426</v>
      </c>
      <c r="E185" s="9">
        <v>1407015</v>
      </c>
      <c r="F185" s="9">
        <v>1435155</v>
      </c>
      <c r="G185" s="9">
        <v>1463858</v>
      </c>
      <c r="H185" s="9">
        <v>1493135</v>
      </c>
      <c r="I185" s="6">
        <v>2.0000019199999999</v>
      </c>
    </row>
    <row r="186" spans="1:9" x14ac:dyDescent="0.25">
      <c r="A186" s="1" t="s">
        <v>85</v>
      </c>
      <c r="B186" s="9">
        <v>2026543</v>
      </c>
      <c r="C186" s="9">
        <v>2061801</v>
      </c>
      <c r="D186" s="9">
        <v>2097059</v>
      </c>
      <c r="E186" s="9">
        <v>2132316</v>
      </c>
      <c r="F186" s="9">
        <v>2167574</v>
      </c>
      <c r="G186" s="9">
        <v>2202831</v>
      </c>
      <c r="H186" s="9">
        <v>2238089</v>
      </c>
      <c r="I186" s="6">
        <v>1.6686183349999999</v>
      </c>
    </row>
    <row r="187" spans="1:9" x14ac:dyDescent="0.25">
      <c r="A187" s="1" t="s">
        <v>86</v>
      </c>
      <c r="B187" s="9">
        <v>9821544</v>
      </c>
      <c r="C187" s="9">
        <v>9968868</v>
      </c>
      <c r="D187" s="9">
        <v>10155285</v>
      </c>
      <c r="E187" s="9">
        <v>10307615</v>
      </c>
      <c r="F187" s="9">
        <v>10462229</v>
      </c>
      <c r="G187" s="9">
        <v>10619162</v>
      </c>
      <c r="H187" s="9">
        <v>10778450</v>
      </c>
      <c r="I187" s="6">
        <v>1.561574279</v>
      </c>
    </row>
    <row r="188" spans="1:9" x14ac:dyDescent="0.25">
      <c r="A188" s="1" t="s">
        <v>87</v>
      </c>
      <c r="B188" s="9">
        <v>27501998</v>
      </c>
      <c r="C188" s="9">
        <v>28074039</v>
      </c>
      <c r="D188" s="9">
        <v>28649557</v>
      </c>
      <c r="E188" s="9">
        <v>29225413</v>
      </c>
      <c r="F188" s="9">
        <v>29801154</v>
      </c>
      <c r="G188" s="9">
        <v>30376316</v>
      </c>
      <c r="H188" s="9">
        <v>30953466</v>
      </c>
      <c r="I188" s="6">
        <v>1.9899800050000001</v>
      </c>
    </row>
    <row r="189" spans="1:9" x14ac:dyDescent="0.25">
      <c r="A189" s="1" t="s">
        <v>88</v>
      </c>
      <c r="B189" s="9">
        <v>15322733</v>
      </c>
      <c r="C189" s="9">
        <v>15368701</v>
      </c>
      <c r="D189" s="9">
        <v>15414807</v>
      </c>
      <c r="E189" s="9">
        <v>15430222</v>
      </c>
      <c r="F189" s="9">
        <v>15445652</v>
      </c>
      <c r="G189" s="9">
        <v>15461097</v>
      </c>
      <c r="H189" s="9">
        <v>15476559</v>
      </c>
      <c r="I189" s="6">
        <v>0.16662222700000001</v>
      </c>
    </row>
    <row r="190" spans="1:9" x14ac:dyDescent="0.25">
      <c r="A190" s="1" t="s">
        <v>89</v>
      </c>
      <c r="B190" s="9">
        <v>4403394</v>
      </c>
      <c r="C190" s="9">
        <v>4424414</v>
      </c>
      <c r="D190" s="9">
        <v>4445167</v>
      </c>
      <c r="E190" s="9">
        <v>4465739</v>
      </c>
      <c r="F190" s="9">
        <v>4486127</v>
      </c>
      <c r="G190" s="9">
        <v>4506284</v>
      </c>
      <c r="H190" s="9">
        <v>4515194</v>
      </c>
      <c r="I190" s="6">
        <v>0.41875009499999999</v>
      </c>
    </row>
    <row r="191" spans="1:9" x14ac:dyDescent="0.25">
      <c r="A191" s="1" t="s">
        <v>90</v>
      </c>
      <c r="B191" s="9">
        <v>1144869</v>
      </c>
      <c r="C191" s="9">
        <v>1133420</v>
      </c>
      <c r="D191" s="9">
        <v>1122086</v>
      </c>
      <c r="E191" s="9">
        <v>1110865</v>
      </c>
      <c r="F191" s="9">
        <v>1099756</v>
      </c>
      <c r="G191" s="9">
        <v>1088758</v>
      </c>
      <c r="H191" s="9">
        <v>1077870</v>
      </c>
      <c r="I191" s="6">
        <v>-1.000022</v>
      </c>
    </row>
    <row r="192" spans="1:9" x14ac:dyDescent="0.25">
      <c r="A192" s="1" t="s">
        <v>91</v>
      </c>
      <c r="B192" s="9">
        <v>321983</v>
      </c>
      <c r="C192" s="9">
        <v>331642</v>
      </c>
      <c r="D192" s="9">
        <v>341592</v>
      </c>
      <c r="E192" s="9">
        <v>350132</v>
      </c>
      <c r="F192" s="9">
        <v>358885</v>
      </c>
      <c r="G192" s="9">
        <v>366063</v>
      </c>
      <c r="H192" s="9">
        <v>373384</v>
      </c>
      <c r="I192" s="6">
        <v>2.4991963350000002</v>
      </c>
    </row>
    <row r="193" spans="1:9" x14ac:dyDescent="0.25">
      <c r="A193" s="1" t="s">
        <v>92</v>
      </c>
      <c r="B193" s="9">
        <v>7938749</v>
      </c>
      <c r="C193" s="9">
        <v>7948275</v>
      </c>
      <c r="D193" s="9">
        <v>7957813</v>
      </c>
      <c r="E193" s="9">
        <v>7967363</v>
      </c>
      <c r="F193" s="9">
        <v>7976924</v>
      </c>
      <c r="G193" s="9">
        <v>7986496</v>
      </c>
      <c r="H193" s="9">
        <v>7996080</v>
      </c>
      <c r="I193" s="6">
        <v>0.12000053300000001</v>
      </c>
    </row>
    <row r="194" spans="1:9" x14ac:dyDescent="0.25">
      <c r="A194" s="1" t="s">
        <v>93</v>
      </c>
      <c r="B194" s="9">
        <v>56988398</v>
      </c>
      <c r="C194" s="9">
        <v>57045387</v>
      </c>
      <c r="D194" s="9">
        <v>57102432</v>
      </c>
      <c r="E194" s="9">
        <v>57159535</v>
      </c>
      <c r="F194" s="9">
        <v>57216694</v>
      </c>
      <c r="G194" s="9">
        <v>57273911</v>
      </c>
      <c r="H194" s="9">
        <v>57331185</v>
      </c>
      <c r="I194" s="6">
        <v>0.100000188</v>
      </c>
    </row>
    <row r="195" spans="1:9" x14ac:dyDescent="0.25">
      <c r="A195" s="1" t="s">
        <v>94</v>
      </c>
      <c r="B195" s="9">
        <v>6054378</v>
      </c>
      <c r="C195" s="9">
        <v>6129452</v>
      </c>
      <c r="D195" s="9">
        <v>6205457</v>
      </c>
      <c r="E195" s="9">
        <v>6282405</v>
      </c>
      <c r="F195" s="9">
        <v>6360307</v>
      </c>
      <c r="G195" s="9">
        <v>6439175</v>
      </c>
      <c r="H195" s="9">
        <v>6519020</v>
      </c>
      <c r="I195" s="6">
        <v>1.2399985330000001</v>
      </c>
    </row>
    <row r="196" spans="1:9" x14ac:dyDescent="0.25">
      <c r="A196" s="1" t="s">
        <v>95</v>
      </c>
      <c r="B196" s="9">
        <v>2563800</v>
      </c>
      <c r="C196" s="9">
        <v>2565877</v>
      </c>
      <c r="D196" s="9">
        <v>2567955</v>
      </c>
      <c r="E196" s="9">
        <v>2570035</v>
      </c>
      <c r="F196" s="9">
        <v>2572117</v>
      </c>
      <c r="G196" s="9">
        <v>2574200</v>
      </c>
      <c r="H196" s="9">
        <v>2576285</v>
      </c>
      <c r="I196" s="6">
        <v>8.0997883000000007E-2</v>
      </c>
    </row>
    <row r="197" spans="1:9" x14ac:dyDescent="0.25">
      <c r="A197" s="1" t="s">
        <v>96</v>
      </c>
      <c r="B197" s="9">
        <v>1449327</v>
      </c>
      <c r="C197" s="9">
        <v>1468168</v>
      </c>
      <c r="D197" s="9">
        <v>1496063</v>
      </c>
      <c r="E197" s="9">
        <v>1521496</v>
      </c>
      <c r="F197" s="9">
        <v>1553448</v>
      </c>
      <c r="G197" s="9">
        <v>1578303</v>
      </c>
      <c r="H197" s="9">
        <v>1602766</v>
      </c>
      <c r="I197" s="6">
        <v>1.6913367749999999</v>
      </c>
    </row>
    <row r="198" spans="1:9" x14ac:dyDescent="0.25">
      <c r="A198" s="1" t="s">
        <v>97</v>
      </c>
      <c r="B198" s="9">
        <v>1818529</v>
      </c>
      <c r="C198" s="9">
        <v>1814892</v>
      </c>
      <c r="D198" s="9">
        <v>1811262</v>
      </c>
      <c r="E198" s="9">
        <v>1808545</v>
      </c>
      <c r="F198" s="9">
        <v>1805832</v>
      </c>
      <c r="G198" s="9">
        <v>1803123</v>
      </c>
      <c r="H198" s="9">
        <v>1800419</v>
      </c>
      <c r="I198" s="6">
        <v>-0.16666956699999999</v>
      </c>
    </row>
    <row r="199" spans="1:9" x14ac:dyDescent="0.25">
      <c r="A199" s="1" t="s">
        <v>98</v>
      </c>
      <c r="B199" s="9">
        <v>856086</v>
      </c>
      <c r="C199" s="9">
        <v>859082</v>
      </c>
      <c r="D199" s="9">
        <v>862089</v>
      </c>
      <c r="E199" s="9">
        <v>865106</v>
      </c>
      <c r="F199" s="9">
        <v>868134</v>
      </c>
      <c r="G199" s="9">
        <v>871173</v>
      </c>
      <c r="H199" s="9">
        <v>874222</v>
      </c>
      <c r="I199" s="6">
        <v>0.35000291100000003</v>
      </c>
    </row>
    <row r="200" spans="1:9" x14ac:dyDescent="0.25">
      <c r="A200" s="1" t="s">
        <v>99</v>
      </c>
      <c r="B200" s="9">
        <v>19402158</v>
      </c>
      <c r="C200" s="9">
        <v>19848407</v>
      </c>
      <c r="D200" s="9">
        <v>20304921</v>
      </c>
      <c r="E200" s="9">
        <v>20771934</v>
      </c>
      <c r="F200" s="9">
        <v>21249688</v>
      </c>
      <c r="G200" s="9">
        <v>21738431</v>
      </c>
      <c r="H200" s="9">
        <v>22238415</v>
      </c>
      <c r="I200" s="6">
        <v>2.2999996600000001</v>
      </c>
    </row>
    <row r="201" spans="1:9" x14ac:dyDescent="0.25">
      <c r="A201" s="1" t="s">
        <v>100</v>
      </c>
      <c r="B201" s="9">
        <v>21970798</v>
      </c>
      <c r="C201" s="9">
        <v>22124593</v>
      </c>
      <c r="D201" s="9">
        <v>22261766</v>
      </c>
      <c r="E201" s="9">
        <v>22390884</v>
      </c>
      <c r="F201" s="9">
        <v>22514034</v>
      </c>
      <c r="G201" s="9">
        <v>22631107</v>
      </c>
      <c r="H201" s="9">
        <v>22741999</v>
      </c>
      <c r="I201" s="6">
        <v>0.57664260700000003</v>
      </c>
    </row>
    <row r="202" spans="1:9" x14ac:dyDescent="0.25">
      <c r="A202" s="1" t="s">
        <v>101</v>
      </c>
      <c r="B202" s="9">
        <v>19671198</v>
      </c>
      <c r="C202" s="9">
        <v>20026547</v>
      </c>
      <c r="D202" s="9">
        <v>20364411</v>
      </c>
      <c r="E202" s="9">
        <v>20681965</v>
      </c>
      <c r="F202" s="9">
        <v>20977839</v>
      </c>
      <c r="G202" s="9">
        <v>21244779</v>
      </c>
      <c r="H202" s="9">
        <v>21487754</v>
      </c>
      <c r="I202" s="6">
        <v>1.4830167670000001</v>
      </c>
    </row>
    <row r="203" spans="1:9" x14ac:dyDescent="0.25">
      <c r="A203" s="1" t="s">
        <v>102</v>
      </c>
      <c r="B203" s="9">
        <v>4962452</v>
      </c>
      <c r="C203" s="9">
        <v>4987264</v>
      </c>
      <c r="D203" s="9">
        <v>4997238</v>
      </c>
      <c r="E203" s="9">
        <v>5002236</v>
      </c>
      <c r="F203" s="9">
        <v>5007238</v>
      </c>
      <c r="G203" s="9">
        <v>5012245</v>
      </c>
      <c r="H203" s="9">
        <v>5017257</v>
      </c>
      <c r="I203" s="6">
        <v>0.183224261</v>
      </c>
    </row>
    <row r="204" spans="1:9" x14ac:dyDescent="0.25">
      <c r="A204" s="1" t="s">
        <v>103</v>
      </c>
      <c r="B204" s="9">
        <v>4036080</v>
      </c>
      <c r="C204" s="9">
        <v>4076440</v>
      </c>
      <c r="D204" s="9">
        <v>4117205</v>
      </c>
      <c r="E204" s="9">
        <v>4158377</v>
      </c>
      <c r="F204" s="9">
        <v>4199961</v>
      </c>
      <c r="G204" s="9">
        <v>4241960</v>
      </c>
      <c r="H204" s="9">
        <v>4284380</v>
      </c>
      <c r="I204" s="6">
        <v>0.99999901999999996</v>
      </c>
    </row>
    <row r="205" spans="1:9" x14ac:dyDescent="0.25">
      <c r="A205" s="1" t="s">
        <v>104</v>
      </c>
      <c r="B205" s="9">
        <v>4122265</v>
      </c>
      <c r="C205" s="9">
        <v>4215938</v>
      </c>
      <c r="D205" s="9">
        <v>4311739</v>
      </c>
      <c r="E205" s="9">
        <v>4409717</v>
      </c>
      <c r="F205" s="9">
        <v>4509922</v>
      </c>
      <c r="G205" s="9">
        <v>4612403</v>
      </c>
      <c r="H205" s="9">
        <v>4717214</v>
      </c>
      <c r="I205" s="6">
        <v>2.2723602230000002</v>
      </c>
    </row>
    <row r="206" spans="1:9" x14ac:dyDescent="0.25">
      <c r="A206" s="1" t="s">
        <v>105</v>
      </c>
      <c r="B206" s="9">
        <v>9487000</v>
      </c>
      <c r="C206" s="9">
        <v>9534000</v>
      </c>
      <c r="D206" s="9">
        <v>9590000</v>
      </c>
      <c r="E206" s="9">
        <v>9633000</v>
      </c>
      <c r="F206" s="9">
        <v>9696000</v>
      </c>
      <c r="G206" s="9">
        <v>9753000</v>
      </c>
      <c r="H206" s="9">
        <v>9800000</v>
      </c>
      <c r="I206" s="6">
        <v>0.54246512999999996</v>
      </c>
    </row>
    <row r="207" spans="1:9" x14ac:dyDescent="0.25">
      <c r="A207" s="1" t="s">
        <v>106</v>
      </c>
      <c r="B207" s="9">
        <v>25118116</v>
      </c>
      <c r="C207" s="9">
        <v>25745992</v>
      </c>
      <c r="D207" s="9">
        <v>26334215</v>
      </c>
      <c r="E207" s="9">
        <v>26892618</v>
      </c>
      <c r="F207" s="9">
        <v>27449746</v>
      </c>
      <c r="G207" s="9">
        <v>28017279</v>
      </c>
      <c r="H207" s="9">
        <v>28594228</v>
      </c>
      <c r="I207" s="6">
        <v>2.183761536</v>
      </c>
    </row>
    <row r="208" spans="1:9" ht="30" x14ac:dyDescent="0.25">
      <c r="A208" s="1" t="s">
        <v>107</v>
      </c>
      <c r="B208" s="9">
        <v>433844</v>
      </c>
      <c r="C208" s="9">
        <v>436447</v>
      </c>
      <c r="D208" s="9">
        <v>439066</v>
      </c>
      <c r="E208" s="9">
        <v>441700</v>
      </c>
      <c r="F208" s="9">
        <v>444350</v>
      </c>
      <c r="G208" s="9">
        <v>447016</v>
      </c>
      <c r="H208" s="9">
        <v>449698</v>
      </c>
      <c r="I208" s="6">
        <v>0.59997977599999996</v>
      </c>
    </row>
    <row r="209" spans="1:9" x14ac:dyDescent="0.25">
      <c r="A209" s="1" t="s">
        <v>108</v>
      </c>
      <c r="B209" s="9">
        <v>28359149</v>
      </c>
      <c r="C209" s="9">
        <v>29068650</v>
      </c>
      <c r="D209" s="9">
        <v>29808983</v>
      </c>
      <c r="E209" s="9">
        <v>30581389</v>
      </c>
      <c r="F209" s="9">
        <v>31383592</v>
      </c>
      <c r="G209" s="9">
        <v>32213071</v>
      </c>
      <c r="H209" s="9">
        <v>33067043</v>
      </c>
      <c r="I209" s="6">
        <v>2.5928341869999998</v>
      </c>
    </row>
    <row r="210" spans="1:9" ht="30" x14ac:dyDescent="0.25">
      <c r="A210" s="1" t="s">
        <v>109</v>
      </c>
      <c r="B210" s="9">
        <v>2045434</v>
      </c>
      <c r="C210" s="9">
        <v>2098615</v>
      </c>
      <c r="D210" s="9">
        <v>2151080</v>
      </c>
      <c r="E210" s="9">
        <v>2202706</v>
      </c>
      <c r="F210" s="9">
        <v>2253368</v>
      </c>
      <c r="G210" s="9">
        <v>2305196</v>
      </c>
      <c r="H210" s="9">
        <v>2358215</v>
      </c>
      <c r="I210" s="6">
        <v>2.3999287520000001</v>
      </c>
    </row>
    <row r="211" spans="1:9" x14ac:dyDescent="0.25">
      <c r="A211" s="1" t="s">
        <v>110</v>
      </c>
      <c r="B211" s="9">
        <v>28623603</v>
      </c>
      <c r="C211" s="9">
        <v>28775308</v>
      </c>
      <c r="D211" s="9">
        <v>28922062</v>
      </c>
      <c r="E211" s="9">
        <v>29110055</v>
      </c>
      <c r="F211" s="9">
        <v>29302182</v>
      </c>
      <c r="G211" s="9">
        <v>29501436</v>
      </c>
      <c r="H211" s="9">
        <v>29707947</v>
      </c>
      <c r="I211" s="6">
        <v>0.62163968599999997</v>
      </c>
    </row>
    <row r="212" spans="1:9" x14ac:dyDescent="0.25">
      <c r="A212" s="1" t="s">
        <v>111</v>
      </c>
      <c r="B212" s="9">
        <v>1308598</v>
      </c>
      <c r="C212" s="9">
        <v>1322423</v>
      </c>
      <c r="D212" s="9">
        <v>1336269</v>
      </c>
      <c r="E212" s="9">
        <v>1350179</v>
      </c>
      <c r="F212" s="9">
        <v>1364152</v>
      </c>
      <c r="G212" s="9">
        <v>1378130</v>
      </c>
      <c r="H212" s="9">
        <v>1378130</v>
      </c>
      <c r="I212" s="6">
        <v>0.86658618300000001</v>
      </c>
    </row>
    <row r="213" spans="1:9" x14ac:dyDescent="0.25">
      <c r="A213" s="1" t="s">
        <v>112</v>
      </c>
      <c r="B213" s="9">
        <v>135443000</v>
      </c>
      <c r="C213" s="9">
        <v>136620000</v>
      </c>
      <c r="D213" s="9">
        <v>137542185</v>
      </c>
      <c r="E213" s="9">
        <v>138449963</v>
      </c>
      <c r="F213" s="9">
        <v>139342966</v>
      </c>
      <c r="G213" s="9">
        <v>140220826</v>
      </c>
      <c r="H213" s="9">
        <v>141083184</v>
      </c>
      <c r="I213" s="6">
        <v>0.68229688200000005</v>
      </c>
    </row>
    <row r="214" spans="1:9" x14ac:dyDescent="0.25">
      <c r="A214" s="1" t="s">
        <v>113</v>
      </c>
      <c r="B214" s="9">
        <v>7357533</v>
      </c>
      <c r="C214" s="9">
        <v>7431108</v>
      </c>
      <c r="D214" s="9">
        <v>7505419</v>
      </c>
      <c r="E214" s="9">
        <v>7580473</v>
      </c>
      <c r="F214" s="9">
        <v>7656278</v>
      </c>
      <c r="G214" s="9">
        <v>7732841</v>
      </c>
      <c r="H214" s="9">
        <v>7810169</v>
      </c>
      <c r="I214" s="6">
        <v>0.99999884000000006</v>
      </c>
    </row>
    <row r="215" spans="1:9" x14ac:dyDescent="0.25">
      <c r="A215" s="1" t="s">
        <v>114</v>
      </c>
      <c r="B215" s="9">
        <v>28736157</v>
      </c>
      <c r="C215" s="9">
        <v>29190188</v>
      </c>
      <c r="D215" s="9">
        <v>29633879</v>
      </c>
      <c r="E215" s="9">
        <v>30075424</v>
      </c>
      <c r="F215" s="9">
        <v>30511518</v>
      </c>
      <c r="G215" s="9">
        <v>30963088</v>
      </c>
      <c r="H215" s="9">
        <v>31405860</v>
      </c>
      <c r="I215" s="6">
        <v>1.491654829</v>
      </c>
    </row>
    <row r="216" spans="1:9" ht="30" x14ac:dyDescent="0.25">
      <c r="A216" s="1" t="s">
        <v>115</v>
      </c>
      <c r="B216" s="9">
        <v>193165959</v>
      </c>
      <c r="C216" s="9">
        <v>194375280</v>
      </c>
      <c r="D216" s="9">
        <v>195550428</v>
      </c>
      <c r="E216" s="9">
        <v>196734976</v>
      </c>
      <c r="F216" s="9">
        <v>197900913</v>
      </c>
      <c r="G216" s="9">
        <v>199021219</v>
      </c>
      <c r="H216" s="9">
        <v>200110899</v>
      </c>
      <c r="I216" s="6">
        <v>0.59043619800000002</v>
      </c>
    </row>
    <row r="217" spans="1:9" x14ac:dyDescent="0.25">
      <c r="A217" s="1" t="s">
        <v>116</v>
      </c>
      <c r="B217" s="9">
        <v>5479241</v>
      </c>
      <c r="C217" s="9">
        <v>5650940</v>
      </c>
      <c r="D217" s="9">
        <v>5828019</v>
      </c>
      <c r="E217" s="9">
        <v>6010648</v>
      </c>
      <c r="F217" s="9">
        <v>6198999</v>
      </c>
      <c r="G217" s="9">
        <v>6393253</v>
      </c>
      <c r="H217" s="9">
        <v>6593593</v>
      </c>
      <c r="I217" s="6">
        <v>3.1336264279999999</v>
      </c>
    </row>
    <row r="218" spans="1:9" x14ac:dyDescent="0.25">
      <c r="A218" s="1" t="s">
        <v>12</v>
      </c>
      <c r="B218" s="2"/>
      <c r="C218" s="2"/>
      <c r="D218" s="2"/>
      <c r="E218" s="2"/>
      <c r="F218" s="2"/>
      <c r="G218" s="2"/>
      <c r="H218" s="2"/>
      <c r="I218" s="2"/>
    </row>
    <row r="219" spans="1:9" ht="30" x14ac:dyDescent="0.25">
      <c r="A219" s="1" t="s">
        <v>151</v>
      </c>
      <c r="B219" s="2"/>
      <c r="C219" s="2"/>
      <c r="D219" s="2"/>
      <c r="E219" s="2"/>
      <c r="F219" s="2"/>
      <c r="G219" s="2"/>
      <c r="H219" s="2"/>
      <c r="I219" s="2"/>
    </row>
    <row r="220" spans="1:9" x14ac:dyDescent="0.25">
      <c r="A220" s="1" t="s">
        <v>14</v>
      </c>
      <c r="B220" s="9">
        <v>15722533</v>
      </c>
      <c r="C220" s="9">
        <v>15781601</v>
      </c>
      <c r="D220" s="9">
        <v>15825097</v>
      </c>
      <c r="E220" s="9">
        <v>15852875</v>
      </c>
      <c r="F220" s="9">
        <v>15864836</v>
      </c>
      <c r="G220" s="9">
        <v>15860931</v>
      </c>
      <c r="H220" s="9">
        <v>15841152</v>
      </c>
      <c r="I220" s="6">
        <v>0.12534857399999999</v>
      </c>
    </row>
    <row r="221" spans="1:9" ht="30" x14ac:dyDescent="0.25">
      <c r="A221" s="1" t="s">
        <v>15</v>
      </c>
      <c r="B221" s="9">
        <v>1072806335</v>
      </c>
      <c r="C221" s="9">
        <v>1094209968</v>
      </c>
      <c r="D221" s="9">
        <v>1118839248</v>
      </c>
      <c r="E221" s="9">
        <v>1143163080</v>
      </c>
      <c r="F221" s="9">
        <v>1167900843</v>
      </c>
      <c r="G221" s="9">
        <v>1193142062</v>
      </c>
      <c r="H221" s="9">
        <v>1218054131</v>
      </c>
      <c r="I221" s="6">
        <v>2.138829506</v>
      </c>
    </row>
    <row r="222" spans="1:9" x14ac:dyDescent="0.25">
      <c r="A222" s="1" t="s">
        <v>16</v>
      </c>
      <c r="B222" s="9">
        <v>8476228</v>
      </c>
      <c r="C222" s="9">
        <v>8508863</v>
      </c>
      <c r="D222" s="9">
        <v>8530562</v>
      </c>
      <c r="E222" s="9">
        <v>8559140</v>
      </c>
      <c r="F222" s="9">
        <v>8581823</v>
      </c>
      <c r="G222" s="9">
        <v>8603708</v>
      </c>
      <c r="H222" s="9">
        <v>8630811</v>
      </c>
      <c r="I222" s="6">
        <v>0.30166970399999998</v>
      </c>
    </row>
    <row r="223" spans="1:9" x14ac:dyDescent="0.25">
      <c r="A223" s="1" t="s">
        <v>17</v>
      </c>
      <c r="B223" s="9">
        <v>3990090</v>
      </c>
      <c r="C223" s="9">
        <v>4022010</v>
      </c>
      <c r="D223" s="9">
        <v>4054186</v>
      </c>
      <c r="E223" s="9">
        <v>4086620</v>
      </c>
      <c r="F223" s="9">
        <v>4119313</v>
      </c>
      <c r="G223" s="9">
        <v>4152267</v>
      </c>
      <c r="H223" s="9">
        <v>4185485</v>
      </c>
      <c r="I223" s="6">
        <v>0.79999634399999997</v>
      </c>
    </row>
    <row r="224" spans="1:9" x14ac:dyDescent="0.25">
      <c r="A224" s="1" t="s">
        <v>18</v>
      </c>
      <c r="B224" s="9">
        <v>124682</v>
      </c>
      <c r="C224" s="9">
        <v>126610</v>
      </c>
      <c r="D224" s="9">
        <v>128568</v>
      </c>
      <c r="E224" s="9">
        <v>130556</v>
      </c>
      <c r="F224" s="9">
        <v>132556</v>
      </c>
      <c r="G224" s="9">
        <v>134588</v>
      </c>
      <c r="H224" s="9">
        <v>136522</v>
      </c>
      <c r="I224" s="6">
        <v>1.523476332</v>
      </c>
    </row>
    <row r="225" spans="1:9" x14ac:dyDescent="0.25">
      <c r="A225" s="1" t="s">
        <v>19</v>
      </c>
      <c r="B225" s="9">
        <v>178602</v>
      </c>
      <c r="C225" s="9">
        <v>179299</v>
      </c>
      <c r="D225" s="9">
        <v>179926</v>
      </c>
      <c r="E225" s="9">
        <v>180556</v>
      </c>
      <c r="F225" s="9">
        <v>181189</v>
      </c>
      <c r="G225" s="9">
        <v>181823</v>
      </c>
      <c r="H225" s="9">
        <v>182460</v>
      </c>
      <c r="I225" s="6">
        <v>0.35682016500000002</v>
      </c>
    </row>
    <row r="226" spans="1:9" x14ac:dyDescent="0.25">
      <c r="A226" s="1" t="s">
        <v>20</v>
      </c>
      <c r="B226" s="9">
        <v>106083</v>
      </c>
      <c r="C226" s="9">
        <v>107144</v>
      </c>
      <c r="D226" s="9">
        <v>107155</v>
      </c>
      <c r="E226" s="9">
        <v>108227</v>
      </c>
      <c r="F226" s="9">
        <v>108238</v>
      </c>
      <c r="G226" s="9">
        <v>108249</v>
      </c>
      <c r="H226" s="9">
        <v>109788</v>
      </c>
      <c r="I226" s="6">
        <v>0.57379705999999997</v>
      </c>
    </row>
    <row r="227" spans="1:9" x14ac:dyDescent="0.25">
      <c r="A227" s="1" t="s">
        <v>21</v>
      </c>
      <c r="B227" s="9">
        <v>5048260</v>
      </c>
      <c r="C227" s="9">
        <v>5077631</v>
      </c>
      <c r="D227" s="9">
        <v>5107550</v>
      </c>
      <c r="E227" s="9">
        <v>5137646</v>
      </c>
      <c r="F227" s="9">
        <v>5167918</v>
      </c>
      <c r="G227" s="9">
        <v>5198370</v>
      </c>
      <c r="H227" s="9">
        <v>5229001</v>
      </c>
      <c r="I227" s="6">
        <v>0.58799891699999995</v>
      </c>
    </row>
    <row r="228" spans="1:9" x14ac:dyDescent="0.25">
      <c r="A228" s="1" t="s">
        <v>22</v>
      </c>
      <c r="B228" s="9">
        <v>3706087</v>
      </c>
      <c r="C228" s="9">
        <v>3820976</v>
      </c>
      <c r="D228" s="9">
        <v>3935605</v>
      </c>
      <c r="E228" s="9">
        <v>4053673</v>
      </c>
      <c r="F228" s="9">
        <v>4175283</v>
      </c>
      <c r="G228" s="9">
        <v>4300541</v>
      </c>
      <c r="H228" s="9">
        <v>4429557</v>
      </c>
      <c r="I228" s="6">
        <v>3.016655804</v>
      </c>
    </row>
    <row r="229" spans="1:9" x14ac:dyDescent="0.25">
      <c r="A229" s="1" t="s">
        <v>23</v>
      </c>
      <c r="B229" s="9">
        <v>70494698</v>
      </c>
      <c r="C229" s="9">
        <v>71136079</v>
      </c>
      <c r="D229" s="9">
        <v>71766591</v>
      </c>
      <c r="E229" s="9">
        <v>72389530</v>
      </c>
      <c r="F229" s="9">
        <v>73004866</v>
      </c>
      <c r="G229" s="9">
        <v>73615984</v>
      </c>
      <c r="H229" s="9">
        <v>74216041</v>
      </c>
      <c r="I229" s="6">
        <v>0.86106622200000005</v>
      </c>
    </row>
    <row r="230" spans="1:9" x14ac:dyDescent="0.25">
      <c r="A230" s="1" t="s">
        <v>24</v>
      </c>
      <c r="B230" s="9">
        <v>2834830</v>
      </c>
      <c r="C230" s="9">
        <v>2842627</v>
      </c>
      <c r="D230" s="9">
        <v>2850446</v>
      </c>
      <c r="E230" s="9">
        <v>2858287</v>
      </c>
      <c r="F230" s="9">
        <v>2866149</v>
      </c>
      <c r="G230" s="9">
        <v>2874033</v>
      </c>
      <c r="H230" s="9">
        <v>2881938</v>
      </c>
      <c r="I230" s="6">
        <v>0.275061165</v>
      </c>
    </row>
    <row r="231" spans="1:9" x14ac:dyDescent="0.25">
      <c r="A231" s="1" t="s">
        <v>25</v>
      </c>
      <c r="B231" s="9">
        <v>2404788</v>
      </c>
      <c r="C231" s="9">
        <v>2453851</v>
      </c>
      <c r="D231" s="9">
        <v>2528449</v>
      </c>
      <c r="E231" s="9">
        <v>2579511</v>
      </c>
      <c r="F231" s="9">
        <v>2683448</v>
      </c>
      <c r="G231" s="9">
        <v>2737096</v>
      </c>
      <c r="H231" s="9">
        <v>2791543</v>
      </c>
      <c r="I231" s="6">
        <v>2.51669287</v>
      </c>
    </row>
    <row r="232" spans="1:9" x14ac:dyDescent="0.25">
      <c r="A232" s="1" t="s">
        <v>26</v>
      </c>
      <c r="B232" s="9">
        <v>15971791</v>
      </c>
      <c r="C232" s="9">
        <v>16163453</v>
      </c>
      <c r="D232" s="9">
        <v>16357414</v>
      </c>
      <c r="E232" s="9">
        <v>16553703</v>
      </c>
      <c r="F232" s="9">
        <v>16752348</v>
      </c>
      <c r="G232" s="9">
        <v>16953376</v>
      </c>
      <c r="H232" s="9">
        <v>17156816</v>
      </c>
      <c r="I232" s="6">
        <v>1.200000003</v>
      </c>
    </row>
    <row r="233" spans="1:9" x14ac:dyDescent="0.25">
      <c r="A233" s="1" t="s">
        <v>27</v>
      </c>
      <c r="B233" s="9">
        <v>6063919</v>
      </c>
      <c r="C233" s="9">
        <v>6099312</v>
      </c>
      <c r="D233" s="9">
        <v>6131683</v>
      </c>
      <c r="E233" s="9">
        <v>6161027</v>
      </c>
      <c r="F233" s="9">
        <v>6187335</v>
      </c>
      <c r="G233" s="9">
        <v>6213681</v>
      </c>
      <c r="H233" s="9">
        <v>6236983</v>
      </c>
      <c r="I233" s="6">
        <v>0.47010623400000001</v>
      </c>
    </row>
    <row r="234" spans="1:9" x14ac:dyDescent="0.25">
      <c r="A234" s="1" t="s">
        <v>28</v>
      </c>
      <c r="B234" s="9">
        <v>479479774</v>
      </c>
      <c r="C234" s="9">
        <v>486873759</v>
      </c>
      <c r="D234" s="9">
        <v>493891266</v>
      </c>
      <c r="E234" s="9">
        <v>500960480</v>
      </c>
      <c r="F234" s="9">
        <v>508281316</v>
      </c>
      <c r="G234" s="9">
        <v>515454741</v>
      </c>
      <c r="H234" s="9">
        <v>522677808</v>
      </c>
      <c r="I234" s="6">
        <v>1.448110252</v>
      </c>
    </row>
    <row r="235" spans="1:9" x14ac:dyDescent="0.25">
      <c r="A235" s="1" t="s">
        <v>29</v>
      </c>
      <c r="B235" s="9">
        <v>15844614</v>
      </c>
      <c r="C235" s="9">
        <v>16161506</v>
      </c>
      <c r="D235" s="9">
        <v>16484736</v>
      </c>
      <c r="E235" s="9">
        <v>16814431</v>
      </c>
      <c r="F235" s="9">
        <v>17150720</v>
      </c>
      <c r="G235" s="9">
        <v>17493734</v>
      </c>
      <c r="H235" s="9">
        <v>17843609</v>
      </c>
      <c r="I235" s="6">
        <v>2.0000001580000002</v>
      </c>
    </row>
    <row r="236" spans="1:9" x14ac:dyDescent="0.25">
      <c r="A236" s="1" t="s">
        <v>30</v>
      </c>
      <c r="B236" s="9">
        <v>1640808</v>
      </c>
      <c r="C236" s="9">
        <v>1670343</v>
      </c>
      <c r="D236" s="9">
        <v>1693728</v>
      </c>
      <c r="E236" s="9">
        <v>1714052</v>
      </c>
      <c r="F236" s="9">
        <v>1734621</v>
      </c>
      <c r="G236" s="9">
        <v>1755436</v>
      </c>
      <c r="H236" s="9">
        <v>1776502</v>
      </c>
      <c r="I236" s="6">
        <v>1.3330985500000001</v>
      </c>
    </row>
    <row r="237" spans="1:9" x14ac:dyDescent="0.25">
      <c r="A237" s="1" t="s">
        <v>31</v>
      </c>
      <c r="B237" s="9">
        <v>1438297</v>
      </c>
      <c r="C237" s="9">
        <v>1440095</v>
      </c>
      <c r="D237" s="9">
        <v>1441896</v>
      </c>
      <c r="E237" s="9">
        <v>1443698</v>
      </c>
      <c r="F237" s="9">
        <v>1445503</v>
      </c>
      <c r="G237" s="9">
        <v>1447311</v>
      </c>
      <c r="H237" s="9">
        <v>1449120</v>
      </c>
      <c r="I237" s="6">
        <v>0.125023102</v>
      </c>
    </row>
    <row r="238" spans="1:9" x14ac:dyDescent="0.25">
      <c r="A238" s="1" t="s">
        <v>32</v>
      </c>
      <c r="B238" s="9">
        <v>4464171</v>
      </c>
      <c r="C238" s="9">
        <v>4475108</v>
      </c>
      <c r="D238" s="9">
        <v>4486072</v>
      </c>
      <c r="E238" s="9">
        <v>4497062</v>
      </c>
      <c r="F238" s="9">
        <v>4508079</v>
      </c>
      <c r="G238" s="9">
        <v>4519123</v>
      </c>
      <c r="H238" s="9">
        <v>4530195</v>
      </c>
      <c r="I238" s="6">
        <v>0.24499051499999999</v>
      </c>
    </row>
    <row r="239" spans="1:9" x14ac:dyDescent="0.25">
      <c r="A239" s="1" t="s">
        <v>33</v>
      </c>
      <c r="B239" s="9">
        <v>2771925</v>
      </c>
      <c r="C239" s="9">
        <v>2782928</v>
      </c>
      <c r="D239" s="9">
        <v>2793971</v>
      </c>
      <c r="E239" s="9">
        <v>2805055</v>
      </c>
      <c r="F239" s="9">
        <v>2816180</v>
      </c>
      <c r="G239" s="9">
        <v>2828803</v>
      </c>
      <c r="H239" s="9">
        <v>2841483</v>
      </c>
      <c r="I239" s="6">
        <v>0.41392220600000001</v>
      </c>
    </row>
    <row r="240" spans="1:9" ht="30" x14ac:dyDescent="0.25">
      <c r="A240" s="1" t="s">
        <v>34</v>
      </c>
      <c r="B240" s="9">
        <v>3141235</v>
      </c>
      <c r="C240" s="9">
        <v>3226048</v>
      </c>
      <c r="D240" s="9">
        <v>3313151</v>
      </c>
      <c r="E240" s="9">
        <v>3402606</v>
      </c>
      <c r="F240" s="9">
        <v>3494476</v>
      </c>
      <c r="G240" s="9">
        <v>3588827</v>
      </c>
      <c r="H240" s="9">
        <v>3685725</v>
      </c>
      <c r="I240" s="6">
        <v>2.6999936579999999</v>
      </c>
    </row>
    <row r="241" spans="1:9" ht="30" x14ac:dyDescent="0.25">
      <c r="A241" s="1" t="s">
        <v>35</v>
      </c>
      <c r="B241" s="9">
        <v>147876122</v>
      </c>
      <c r="C241" s="9">
        <v>148756614</v>
      </c>
      <c r="D241" s="9">
        <v>149652538</v>
      </c>
      <c r="E241" s="9">
        <v>150535939</v>
      </c>
      <c r="F241" s="9">
        <v>151436797</v>
      </c>
      <c r="G241" s="9">
        <v>152355903</v>
      </c>
      <c r="H241" s="9">
        <v>153294064</v>
      </c>
      <c r="I241" s="6">
        <v>0.60152114800000001</v>
      </c>
    </row>
    <row r="242" spans="1:9" x14ac:dyDescent="0.25">
      <c r="A242" s="1" t="s">
        <v>36</v>
      </c>
      <c r="B242" s="9">
        <v>4867664</v>
      </c>
      <c r="C242" s="9">
        <v>4965017</v>
      </c>
      <c r="D242" s="9">
        <v>5064317</v>
      </c>
      <c r="E242" s="9">
        <v>5165604</v>
      </c>
      <c r="F242" s="9">
        <v>5268916</v>
      </c>
      <c r="G242" s="9">
        <v>5374294</v>
      </c>
      <c r="H242" s="9">
        <v>5481780</v>
      </c>
      <c r="I242" s="6">
        <v>1.999999174</v>
      </c>
    </row>
    <row r="243" spans="1:9" x14ac:dyDescent="0.25">
      <c r="A243" s="1" t="s">
        <v>37</v>
      </c>
      <c r="B243" s="9">
        <v>22279406</v>
      </c>
      <c r="C243" s="9">
        <v>22642736</v>
      </c>
      <c r="D243" s="9">
        <v>23011992</v>
      </c>
      <c r="E243" s="9">
        <v>23387269</v>
      </c>
      <c r="F243" s="9">
        <v>23768666</v>
      </c>
      <c r="G243" s="9">
        <v>24156283</v>
      </c>
      <c r="H243" s="9">
        <v>24550222</v>
      </c>
      <c r="I243" s="6">
        <v>1.6307902780000001</v>
      </c>
    </row>
    <row r="244" spans="1:9" x14ac:dyDescent="0.25">
      <c r="A244" s="1" t="s">
        <v>38</v>
      </c>
      <c r="B244" s="9">
        <v>1892955</v>
      </c>
      <c r="C244" s="9">
        <v>1929288</v>
      </c>
      <c r="D244" s="9">
        <v>1964305</v>
      </c>
      <c r="E244" s="9">
        <v>1997908</v>
      </c>
      <c r="F244" s="9">
        <v>2019884</v>
      </c>
      <c r="G244" s="9">
        <v>2042103</v>
      </c>
      <c r="H244" s="9">
        <v>2064566</v>
      </c>
      <c r="I244" s="6">
        <v>1.4568591479999999</v>
      </c>
    </row>
    <row r="245" spans="1:9" x14ac:dyDescent="0.25">
      <c r="A245" s="1" t="s">
        <v>39</v>
      </c>
      <c r="B245" s="9">
        <v>626767</v>
      </c>
      <c r="C245" s="9">
        <v>628644</v>
      </c>
      <c r="D245" s="9">
        <v>629900</v>
      </c>
      <c r="E245" s="9">
        <v>630843</v>
      </c>
      <c r="F245" s="9">
        <v>631788</v>
      </c>
      <c r="G245" s="9">
        <v>632734</v>
      </c>
      <c r="H245" s="9">
        <v>633681</v>
      </c>
      <c r="I245" s="6">
        <v>0.18301414199999999</v>
      </c>
    </row>
    <row r="246" spans="1:9" x14ac:dyDescent="0.25">
      <c r="A246" s="1" t="s">
        <v>40</v>
      </c>
      <c r="B246" s="9">
        <v>2591455</v>
      </c>
      <c r="C246" s="9">
        <v>2593206</v>
      </c>
      <c r="D246" s="9">
        <v>2594688</v>
      </c>
      <c r="E246" s="9">
        <v>2595902</v>
      </c>
      <c r="F246" s="9">
        <v>2596866</v>
      </c>
      <c r="G246" s="9">
        <v>2597508</v>
      </c>
      <c r="H246" s="9">
        <v>2597749</v>
      </c>
      <c r="I246" s="6">
        <v>4.0438287000000003E-2</v>
      </c>
    </row>
    <row r="247" spans="1:9" x14ac:dyDescent="0.25">
      <c r="A247" s="1" t="s">
        <v>41</v>
      </c>
      <c r="B247" s="9">
        <v>27251302</v>
      </c>
      <c r="C247" s="9">
        <v>27115046</v>
      </c>
      <c r="D247" s="9">
        <v>26979470</v>
      </c>
      <c r="E247" s="9">
        <v>26844573</v>
      </c>
      <c r="F247" s="9">
        <v>26710350</v>
      </c>
      <c r="G247" s="9">
        <v>26576798</v>
      </c>
      <c r="H247" s="9">
        <v>26443914</v>
      </c>
      <c r="I247" s="6">
        <v>-0.50000019100000004</v>
      </c>
    </row>
    <row r="248" spans="1:9" x14ac:dyDescent="0.25">
      <c r="A248" s="1" t="s">
        <v>42</v>
      </c>
      <c r="B248" s="9">
        <v>39893509</v>
      </c>
      <c r="C248" s="9">
        <v>40112923</v>
      </c>
      <c r="D248" s="9">
        <v>40333544</v>
      </c>
      <c r="E248" s="9">
        <v>40555379</v>
      </c>
      <c r="F248" s="9">
        <v>40717600</v>
      </c>
      <c r="G248" s="9">
        <v>40880471</v>
      </c>
      <c r="H248" s="9">
        <v>41009244</v>
      </c>
      <c r="I248" s="6">
        <v>0.460789648</v>
      </c>
    </row>
    <row r="249" spans="1:9" x14ac:dyDescent="0.25">
      <c r="A249" s="1" t="s">
        <v>43</v>
      </c>
      <c r="B249" s="9">
        <v>4331161</v>
      </c>
      <c r="C249" s="9">
        <v>4361479</v>
      </c>
      <c r="D249" s="9">
        <v>4392010</v>
      </c>
      <c r="E249" s="9">
        <v>4422754</v>
      </c>
      <c r="F249" s="9">
        <v>4453713</v>
      </c>
      <c r="G249" s="9">
        <v>4484889</v>
      </c>
      <c r="H249" s="9">
        <v>4516283</v>
      </c>
      <c r="I249" s="6">
        <v>0.69999987500000005</v>
      </c>
    </row>
    <row r="250" spans="1:9" x14ac:dyDescent="0.25">
      <c r="A250" s="1" t="s">
        <v>44</v>
      </c>
      <c r="B250" s="9">
        <v>2530520</v>
      </c>
      <c r="C250" s="9">
        <v>2612478</v>
      </c>
      <c r="D250" s="9">
        <v>2696537</v>
      </c>
      <c r="E250" s="9">
        <v>2782747</v>
      </c>
      <c r="F250" s="9">
        <v>2869692</v>
      </c>
      <c r="G250" s="9">
        <v>2960340</v>
      </c>
      <c r="H250" s="9">
        <v>3038217</v>
      </c>
      <c r="I250" s="6">
        <v>3.0943431399999999</v>
      </c>
    </row>
    <row r="251" spans="1:9" x14ac:dyDescent="0.25">
      <c r="A251" s="1" t="s">
        <v>45</v>
      </c>
      <c r="B251" s="9">
        <v>1925285</v>
      </c>
      <c r="C251" s="9">
        <v>1972733</v>
      </c>
      <c r="D251" s="9">
        <v>2021351</v>
      </c>
      <c r="E251" s="9">
        <v>2071168</v>
      </c>
      <c r="F251" s="9">
        <v>2122211</v>
      </c>
      <c r="G251" s="9">
        <v>2174513</v>
      </c>
      <c r="H251" s="9">
        <v>2228104</v>
      </c>
      <c r="I251" s="6">
        <v>2.4644952880000002</v>
      </c>
    </row>
    <row r="252" spans="1:9" x14ac:dyDescent="0.25">
      <c r="A252" s="1" t="s">
        <v>46</v>
      </c>
      <c r="B252" s="9">
        <v>2543146</v>
      </c>
      <c r="C252" s="9">
        <v>2535059</v>
      </c>
      <c r="D252" s="9">
        <v>2552500</v>
      </c>
      <c r="E252" s="9">
        <v>2580470</v>
      </c>
      <c r="F252" s="9">
        <v>2598378</v>
      </c>
      <c r="G252" s="9">
        <v>2647872</v>
      </c>
      <c r="H252" s="9">
        <v>2663463</v>
      </c>
      <c r="I252" s="6">
        <v>0.77339635299999998</v>
      </c>
    </row>
    <row r="253" spans="1:9" x14ac:dyDescent="0.25">
      <c r="A253" s="1" t="s">
        <v>47</v>
      </c>
      <c r="B253" s="9">
        <v>3969812</v>
      </c>
      <c r="C253" s="9">
        <v>3968224</v>
      </c>
      <c r="D253" s="9">
        <v>3966637</v>
      </c>
      <c r="E253" s="9">
        <v>3965051</v>
      </c>
      <c r="F253" s="9">
        <v>3963465</v>
      </c>
      <c r="G253" s="9">
        <v>3961880</v>
      </c>
      <c r="H253" s="9">
        <v>3960295</v>
      </c>
      <c r="I253" s="6">
        <v>-3.9995681999999998E-2</v>
      </c>
    </row>
    <row r="254" spans="1:9" x14ac:dyDescent="0.25">
      <c r="A254" s="1" t="s">
        <v>48</v>
      </c>
      <c r="B254" s="9">
        <v>239646696</v>
      </c>
      <c r="C254" s="9">
        <v>247425149</v>
      </c>
      <c r="D254" s="9">
        <v>257571262</v>
      </c>
      <c r="E254" s="9">
        <v>268316981</v>
      </c>
      <c r="F254" s="9">
        <v>278718879</v>
      </c>
      <c r="G254" s="9">
        <v>289637970</v>
      </c>
      <c r="H254" s="9">
        <v>301132542</v>
      </c>
      <c r="I254" s="6">
        <v>3.8797846759999999</v>
      </c>
    </row>
    <row r="255" spans="1:9" x14ac:dyDescent="0.25">
      <c r="A255" s="1" t="s">
        <v>49</v>
      </c>
      <c r="B255" s="9">
        <v>63587265</v>
      </c>
      <c r="C255" s="9">
        <v>65852105</v>
      </c>
      <c r="D255" s="9">
        <v>68190621</v>
      </c>
      <c r="E255" s="9">
        <v>70260600</v>
      </c>
      <c r="F255" s="9">
        <v>72031304</v>
      </c>
      <c r="G255" s="9">
        <v>73839284</v>
      </c>
      <c r="H255" s="9">
        <v>75312354</v>
      </c>
      <c r="I255" s="6">
        <v>2.8606693550000002</v>
      </c>
    </row>
    <row r="256" spans="1:9" x14ac:dyDescent="0.25">
      <c r="A256" s="1" t="s">
        <v>50</v>
      </c>
      <c r="B256" s="9">
        <v>6033496</v>
      </c>
      <c r="C256" s="9">
        <v>6185820</v>
      </c>
      <c r="D256" s="9">
        <v>6341989</v>
      </c>
      <c r="E256" s="9">
        <v>6502102</v>
      </c>
      <c r="F256" s="9">
        <v>6666256</v>
      </c>
      <c r="G256" s="9">
        <v>6834555</v>
      </c>
      <c r="H256" s="9">
        <v>7007103</v>
      </c>
      <c r="I256" s="6">
        <v>2.524638199</v>
      </c>
    </row>
    <row r="257" spans="1:9" x14ac:dyDescent="0.25">
      <c r="A257" s="1" t="s">
        <v>51</v>
      </c>
      <c r="B257" s="9">
        <v>1759229</v>
      </c>
      <c r="C257" s="9">
        <v>1771544</v>
      </c>
      <c r="D257" s="9">
        <v>1783944</v>
      </c>
      <c r="E257" s="9">
        <v>1796432</v>
      </c>
      <c r="F257" s="9">
        <v>1809007</v>
      </c>
      <c r="G257" s="9">
        <v>1821670</v>
      </c>
      <c r="H257" s="9">
        <v>1834422</v>
      </c>
      <c r="I257" s="6">
        <v>0.70000198400000002</v>
      </c>
    </row>
    <row r="258" spans="1:9" x14ac:dyDescent="0.25">
      <c r="A258" s="1" t="s">
        <v>52</v>
      </c>
      <c r="B258" s="9">
        <v>2893517</v>
      </c>
      <c r="C258" s="9">
        <v>2965855</v>
      </c>
      <c r="D258" s="9">
        <v>3040001</v>
      </c>
      <c r="E258" s="9">
        <v>3116001</v>
      </c>
      <c r="F258" s="9">
        <v>3193901</v>
      </c>
      <c r="G258" s="9">
        <v>3273749</v>
      </c>
      <c r="H258" s="9">
        <v>3339224</v>
      </c>
      <c r="I258" s="6">
        <v>2.4164974180000001</v>
      </c>
    </row>
    <row r="259" spans="1:9" x14ac:dyDescent="0.25">
      <c r="A259" s="1" t="s">
        <v>53</v>
      </c>
      <c r="B259" s="9">
        <v>25282511</v>
      </c>
      <c r="C259" s="9">
        <v>25384966</v>
      </c>
      <c r="D259" s="9">
        <v>25491169</v>
      </c>
      <c r="E259" s="9">
        <v>25587915</v>
      </c>
      <c r="F259" s="9">
        <v>25678703</v>
      </c>
      <c r="G259" s="9">
        <v>25763778</v>
      </c>
      <c r="H259" s="9">
        <v>25843392</v>
      </c>
      <c r="I259" s="6">
        <v>0.36637029700000001</v>
      </c>
    </row>
    <row r="260" spans="1:9" x14ac:dyDescent="0.25">
      <c r="A260" s="1" t="s">
        <v>54</v>
      </c>
      <c r="B260" s="9">
        <v>855487</v>
      </c>
      <c r="C260" s="9">
        <v>861957</v>
      </c>
      <c r="D260" s="9">
        <v>868302</v>
      </c>
      <c r="E260" s="9">
        <v>874695</v>
      </c>
      <c r="F260" s="9">
        <v>881134</v>
      </c>
      <c r="G260" s="9">
        <v>887621</v>
      </c>
      <c r="H260" s="9">
        <v>893915</v>
      </c>
      <c r="I260" s="6">
        <v>0.73501800900000003</v>
      </c>
    </row>
    <row r="261" spans="1:9" x14ac:dyDescent="0.25">
      <c r="A261" s="1" t="s">
        <v>55</v>
      </c>
      <c r="B261" s="9">
        <v>60548003</v>
      </c>
      <c r="C261" s="9">
        <v>60926446</v>
      </c>
      <c r="D261" s="9">
        <v>61282884</v>
      </c>
      <c r="E261" s="9">
        <v>61603403</v>
      </c>
      <c r="F261" s="9">
        <v>61900956</v>
      </c>
      <c r="G261" s="9">
        <v>62175807</v>
      </c>
      <c r="H261" s="9">
        <v>62525867</v>
      </c>
      <c r="I261" s="6">
        <v>0.53716851499999996</v>
      </c>
    </row>
    <row r="262" spans="1:9" x14ac:dyDescent="0.25">
      <c r="A262" s="1" t="s">
        <v>56</v>
      </c>
      <c r="B262" s="9">
        <v>1394690</v>
      </c>
      <c r="C262" s="9">
        <v>1412132</v>
      </c>
      <c r="D262" s="9">
        <v>1429792</v>
      </c>
      <c r="E262" s="9">
        <v>1447673</v>
      </c>
      <c r="F262" s="9">
        <v>1465777</v>
      </c>
      <c r="G262" s="9">
        <v>1484108</v>
      </c>
      <c r="H262" s="9">
        <v>1502669</v>
      </c>
      <c r="I262" s="6">
        <v>1.2506002789999999</v>
      </c>
    </row>
    <row r="263" spans="1:9" x14ac:dyDescent="0.25">
      <c r="A263" s="1" t="s">
        <v>57</v>
      </c>
      <c r="B263" s="7" t="s">
        <v>58</v>
      </c>
      <c r="C263" s="7" t="s">
        <v>58</v>
      </c>
      <c r="D263" s="7" t="s">
        <v>58</v>
      </c>
      <c r="E263" s="7" t="s">
        <v>58</v>
      </c>
      <c r="F263" s="7" t="s">
        <v>58</v>
      </c>
      <c r="G263" s="7" t="s">
        <v>58</v>
      </c>
      <c r="H263" s="7" t="s">
        <v>58</v>
      </c>
      <c r="I263" s="7" t="s">
        <v>58</v>
      </c>
    </row>
    <row r="264" spans="1:9" x14ac:dyDescent="0.25">
      <c r="A264" s="1" t="s">
        <v>59</v>
      </c>
      <c r="B264" s="9">
        <v>1067186</v>
      </c>
      <c r="C264" s="9">
        <v>1102942</v>
      </c>
      <c r="D264" s="9">
        <v>1138076</v>
      </c>
      <c r="E264" s="9">
        <v>1172545</v>
      </c>
      <c r="F264" s="9">
        <v>1206312</v>
      </c>
      <c r="G264" s="9">
        <v>1239344</v>
      </c>
      <c r="H264" s="9">
        <v>1271615</v>
      </c>
      <c r="I264" s="6">
        <v>2.9641219950000002</v>
      </c>
    </row>
    <row r="265" spans="1:9" x14ac:dyDescent="0.25">
      <c r="A265" s="1" t="s">
        <v>60</v>
      </c>
      <c r="B265" s="9">
        <v>1188270</v>
      </c>
      <c r="C265" s="9">
        <v>1210445</v>
      </c>
      <c r="D265" s="9">
        <v>1232703</v>
      </c>
      <c r="E265" s="9">
        <v>1255040</v>
      </c>
      <c r="F265" s="9">
        <v>1277452</v>
      </c>
      <c r="G265" s="9">
        <v>1299937</v>
      </c>
      <c r="H265" s="9">
        <v>1322489</v>
      </c>
      <c r="I265" s="6">
        <v>1.7996197869999999</v>
      </c>
    </row>
    <row r="266" spans="1:9" ht="45" x14ac:dyDescent="0.25">
      <c r="A266" s="1" t="s">
        <v>61</v>
      </c>
      <c r="B266" s="9">
        <v>192364720</v>
      </c>
      <c r="C266" s="9">
        <v>195141825</v>
      </c>
      <c r="D266" s="9">
        <v>197920408</v>
      </c>
      <c r="E266" s="9">
        <v>200691205</v>
      </c>
      <c r="F266" s="9">
        <v>203462515</v>
      </c>
      <c r="G266" s="9">
        <v>206259435</v>
      </c>
      <c r="H266" s="9">
        <v>209042464</v>
      </c>
      <c r="I266" s="6">
        <v>1.395383429</v>
      </c>
    </row>
    <row r="267" spans="1:9" x14ac:dyDescent="0.25">
      <c r="A267" s="1" t="s">
        <v>62</v>
      </c>
      <c r="B267" s="9">
        <v>808181</v>
      </c>
      <c r="C267" s="9">
        <v>807575</v>
      </c>
      <c r="D267" s="9">
        <v>806969</v>
      </c>
      <c r="E267" s="9">
        <v>806364</v>
      </c>
      <c r="F267" s="9">
        <v>805759</v>
      </c>
      <c r="G267" s="9">
        <v>805154</v>
      </c>
      <c r="H267" s="9">
        <v>804550</v>
      </c>
      <c r="I267" s="6">
        <v>-7.5020653000000007E-2</v>
      </c>
    </row>
    <row r="268" spans="1:9" x14ac:dyDescent="0.25">
      <c r="A268" s="1" t="s">
        <v>63</v>
      </c>
      <c r="B268" s="9">
        <v>1381063</v>
      </c>
      <c r="C268" s="9">
        <v>1409853</v>
      </c>
      <c r="D268" s="9">
        <v>1439242</v>
      </c>
      <c r="E268" s="9">
        <v>1469244</v>
      </c>
      <c r="F268" s="9">
        <v>1499872</v>
      </c>
      <c r="G268" s="9">
        <v>1531138</v>
      </c>
      <c r="H268" s="9">
        <v>1563055</v>
      </c>
      <c r="I268" s="6">
        <v>2.0845757599999999</v>
      </c>
    </row>
    <row r="269" spans="1:9" x14ac:dyDescent="0.25">
      <c r="A269" s="1" t="s">
        <v>64</v>
      </c>
      <c r="B269" s="9">
        <v>1634476</v>
      </c>
      <c r="C269" s="9">
        <v>1674122</v>
      </c>
      <c r="D269" s="9">
        <v>1710710</v>
      </c>
      <c r="E269" s="9">
        <v>1744402</v>
      </c>
      <c r="F269" s="9">
        <v>1775366</v>
      </c>
      <c r="G269" s="9">
        <v>1803773</v>
      </c>
      <c r="H269" s="9">
        <v>1829793</v>
      </c>
      <c r="I269" s="6">
        <v>1.8991517979999999</v>
      </c>
    </row>
    <row r="270" spans="1:9" x14ac:dyDescent="0.25">
      <c r="A270" s="1" t="s">
        <v>65</v>
      </c>
      <c r="B270" s="9">
        <v>8565193</v>
      </c>
      <c r="C270" s="9">
        <v>8671653</v>
      </c>
      <c r="D270" s="9">
        <v>8872934</v>
      </c>
      <c r="E270" s="9">
        <v>9076224</v>
      </c>
      <c r="F270" s="9">
        <v>9282355</v>
      </c>
      <c r="G270" s="9">
        <v>9493167</v>
      </c>
      <c r="H270" s="9">
        <v>9707818</v>
      </c>
      <c r="I270" s="6">
        <v>2.1090131059999999</v>
      </c>
    </row>
    <row r="271" spans="1:9" x14ac:dyDescent="0.25">
      <c r="A271" s="1" t="s">
        <v>66</v>
      </c>
      <c r="B271" s="9">
        <v>34784590</v>
      </c>
      <c r="C271" s="9">
        <v>35497674</v>
      </c>
      <c r="D271" s="9">
        <v>36225376</v>
      </c>
      <c r="E271" s="9">
        <v>36949884</v>
      </c>
      <c r="F271" s="9">
        <v>37688882</v>
      </c>
      <c r="G271" s="9">
        <v>38442660</v>
      </c>
      <c r="H271" s="9">
        <v>39211513</v>
      </c>
      <c r="I271" s="6">
        <v>2.016664188</v>
      </c>
    </row>
    <row r="272" spans="1:9" ht="30" x14ac:dyDescent="0.25">
      <c r="A272" s="1" t="s">
        <v>67</v>
      </c>
      <c r="B272" s="9">
        <v>258464138</v>
      </c>
      <c r="C272" s="9">
        <v>267593499</v>
      </c>
      <c r="D272" s="9">
        <v>277053915</v>
      </c>
      <c r="E272" s="9">
        <v>286873375</v>
      </c>
      <c r="F272" s="9">
        <v>296638465</v>
      </c>
      <c r="G272" s="9">
        <v>306511567</v>
      </c>
      <c r="H272" s="9">
        <v>316513186</v>
      </c>
      <c r="I272" s="6">
        <v>3.4344602229999999</v>
      </c>
    </row>
    <row r="273" spans="1:9" x14ac:dyDescent="0.25">
      <c r="A273" s="1" t="s">
        <v>68</v>
      </c>
      <c r="B273" s="7" t="s">
        <v>58</v>
      </c>
      <c r="C273" s="7" t="s">
        <v>58</v>
      </c>
      <c r="D273" s="7" t="s">
        <v>58</v>
      </c>
      <c r="E273" s="7" t="s">
        <v>58</v>
      </c>
      <c r="F273" s="7" t="s">
        <v>58</v>
      </c>
      <c r="G273" s="7" t="s">
        <v>58</v>
      </c>
      <c r="H273" s="7" t="s">
        <v>58</v>
      </c>
      <c r="I273" s="7" t="s">
        <v>58</v>
      </c>
    </row>
    <row r="274" spans="1:9" x14ac:dyDescent="0.25">
      <c r="A274" s="1" t="s">
        <v>69</v>
      </c>
      <c r="B274" s="9">
        <v>6779086</v>
      </c>
      <c r="C274" s="9">
        <v>6891926</v>
      </c>
      <c r="D274" s="9">
        <v>7005728</v>
      </c>
      <c r="E274" s="9">
        <v>7120496</v>
      </c>
      <c r="F274" s="9">
        <v>7236236</v>
      </c>
      <c r="G274" s="9">
        <v>7352952</v>
      </c>
      <c r="H274" s="9">
        <v>7470649</v>
      </c>
      <c r="I274" s="6">
        <v>1.632169902</v>
      </c>
    </row>
    <row r="275" spans="1:9" x14ac:dyDescent="0.25">
      <c r="A275" s="1" t="s">
        <v>70</v>
      </c>
      <c r="B275" s="9">
        <v>7997720</v>
      </c>
      <c r="C275" s="9">
        <v>8043794</v>
      </c>
      <c r="D275" s="9">
        <v>8090132</v>
      </c>
      <c r="E275" s="9">
        <v>8136738</v>
      </c>
      <c r="F275" s="9">
        <v>8183612</v>
      </c>
      <c r="G275" s="9">
        <v>8212009</v>
      </c>
      <c r="H275" s="9">
        <v>8240505</v>
      </c>
      <c r="I275" s="6">
        <v>0.49966296300000002</v>
      </c>
    </row>
    <row r="276" spans="1:9" x14ac:dyDescent="0.25">
      <c r="A276" s="1" t="s">
        <v>71</v>
      </c>
      <c r="B276" s="9">
        <v>1752517</v>
      </c>
      <c r="C276" s="9">
        <v>1769608</v>
      </c>
      <c r="D276" s="9">
        <v>1784565</v>
      </c>
      <c r="E276" s="9">
        <v>1801076</v>
      </c>
      <c r="F276" s="9">
        <v>1818280</v>
      </c>
      <c r="G276" s="9">
        <v>1836195</v>
      </c>
      <c r="H276" s="9">
        <v>1853367</v>
      </c>
      <c r="I276" s="6">
        <v>0.93687721800000001</v>
      </c>
    </row>
    <row r="277" spans="1:9" x14ac:dyDescent="0.25">
      <c r="A277" s="1" t="s">
        <v>72</v>
      </c>
      <c r="B277" s="9">
        <v>1505340</v>
      </c>
      <c r="C277" s="9">
        <v>1537892</v>
      </c>
      <c r="D277" s="9">
        <v>1560444</v>
      </c>
      <c r="E277" s="9">
        <v>1580995</v>
      </c>
      <c r="F277" s="9">
        <v>1601547</v>
      </c>
      <c r="G277" s="9">
        <v>1622099</v>
      </c>
      <c r="H277" s="9">
        <v>1642651</v>
      </c>
      <c r="I277" s="6">
        <v>1.4655117440000001</v>
      </c>
    </row>
    <row r="278" spans="1:9" x14ac:dyDescent="0.25">
      <c r="A278" s="1" t="s">
        <v>73</v>
      </c>
      <c r="B278" s="7" t="s">
        <v>58</v>
      </c>
      <c r="C278" s="7" t="s">
        <v>58</v>
      </c>
      <c r="D278" s="7" t="s">
        <v>58</v>
      </c>
      <c r="E278" s="7" t="s">
        <v>58</v>
      </c>
      <c r="F278" s="7" t="s">
        <v>58</v>
      </c>
      <c r="G278" s="7" t="s">
        <v>58</v>
      </c>
      <c r="H278" s="7" t="s">
        <v>58</v>
      </c>
      <c r="I278" s="7" t="s">
        <v>58</v>
      </c>
    </row>
    <row r="279" spans="1:9" ht="30" x14ac:dyDescent="0.25">
      <c r="A279" s="1" t="s">
        <v>74</v>
      </c>
      <c r="B279" s="9">
        <v>149798795</v>
      </c>
      <c r="C279" s="9">
        <v>150995507</v>
      </c>
      <c r="D279" s="9">
        <v>152175101</v>
      </c>
      <c r="E279" s="9">
        <v>153337063</v>
      </c>
      <c r="F279" s="9">
        <v>154480890</v>
      </c>
      <c r="G279" s="9">
        <v>155606086</v>
      </c>
      <c r="H279" s="9">
        <v>156712166</v>
      </c>
      <c r="I279" s="6">
        <v>0.75479697499999998</v>
      </c>
    </row>
    <row r="280" spans="1:9" x14ac:dyDescent="0.25">
      <c r="A280" s="1" t="s">
        <v>75</v>
      </c>
      <c r="B280" s="9">
        <v>2447029</v>
      </c>
      <c r="C280" s="9">
        <v>2452481</v>
      </c>
      <c r="D280" s="9">
        <v>2457818</v>
      </c>
      <c r="E280" s="9">
        <v>2463039</v>
      </c>
      <c r="F280" s="9">
        <v>2468148</v>
      </c>
      <c r="G280" s="9">
        <v>2473144</v>
      </c>
      <c r="H280" s="9">
        <v>2478028</v>
      </c>
      <c r="I280" s="6">
        <v>0.21002769900000001</v>
      </c>
    </row>
    <row r="281" spans="1:9" x14ac:dyDescent="0.25">
      <c r="A281" s="1" t="s">
        <v>76</v>
      </c>
      <c r="B281" s="9">
        <v>708840</v>
      </c>
      <c r="C281" s="9">
        <v>717750</v>
      </c>
      <c r="D281" s="9">
        <v>726643</v>
      </c>
      <c r="E281" s="9">
        <v>735516</v>
      </c>
      <c r="F281" s="9">
        <v>744370</v>
      </c>
      <c r="G281" s="9">
        <v>753203</v>
      </c>
      <c r="H281" s="9">
        <v>762015</v>
      </c>
      <c r="I281" s="6">
        <v>1.212903557</v>
      </c>
    </row>
    <row r="282" spans="1:9" ht="45" x14ac:dyDescent="0.25">
      <c r="A282" s="1" t="s">
        <v>77</v>
      </c>
      <c r="B282" s="9">
        <v>58088985</v>
      </c>
      <c r="C282" s="9">
        <v>58920883</v>
      </c>
      <c r="D282" s="9">
        <v>60066251</v>
      </c>
      <c r="E282" s="9">
        <v>61117473</v>
      </c>
      <c r="F282" s="9">
        <v>62392988</v>
      </c>
      <c r="G282" s="9">
        <v>63789267</v>
      </c>
      <c r="H282" s="9">
        <v>64892622</v>
      </c>
      <c r="I282" s="6">
        <v>1.863107845</v>
      </c>
    </row>
    <row r="283" spans="1:9" ht="45" x14ac:dyDescent="0.25">
      <c r="A283" s="1" t="s">
        <v>78</v>
      </c>
      <c r="B283" s="9">
        <v>48101148</v>
      </c>
      <c r="C283" s="9">
        <v>48803201</v>
      </c>
      <c r="D283" s="9">
        <v>49524094</v>
      </c>
      <c r="E283" s="9">
        <v>50264404</v>
      </c>
      <c r="F283" s="9">
        <v>51024732</v>
      </c>
      <c r="G283" s="9">
        <v>51805695</v>
      </c>
      <c r="H283" s="9">
        <v>52607931</v>
      </c>
      <c r="I283" s="6">
        <v>1.5038768520000001</v>
      </c>
    </row>
    <row r="284" spans="1:9" ht="60" x14ac:dyDescent="0.25">
      <c r="A284" s="1" t="s">
        <v>79</v>
      </c>
      <c r="B284" s="9">
        <v>6155500</v>
      </c>
      <c r="C284" s="9">
        <v>6286415</v>
      </c>
      <c r="D284" s="9">
        <v>6433092</v>
      </c>
      <c r="E284" s="9">
        <v>6582297</v>
      </c>
      <c r="F284" s="9">
        <v>6734010</v>
      </c>
      <c r="G284" s="9">
        <v>6890310</v>
      </c>
      <c r="H284" s="9">
        <v>7049528</v>
      </c>
      <c r="I284" s="6">
        <v>2.2859816199999998</v>
      </c>
    </row>
    <row r="285" spans="1:9" ht="45" x14ac:dyDescent="0.25">
      <c r="A285" s="1" t="s">
        <v>80</v>
      </c>
      <c r="B285" s="9">
        <v>162316099</v>
      </c>
      <c r="C285" s="9">
        <v>169105303</v>
      </c>
      <c r="D285" s="9">
        <v>176165866</v>
      </c>
      <c r="E285" s="9">
        <v>183525676</v>
      </c>
      <c r="F285" s="9">
        <v>190757916</v>
      </c>
      <c r="G285" s="9">
        <v>198031937</v>
      </c>
      <c r="H285" s="9">
        <v>205349405</v>
      </c>
      <c r="I285" s="6">
        <v>3.997278729</v>
      </c>
    </row>
    <row r="286" spans="1:9" ht="45" x14ac:dyDescent="0.25">
      <c r="A286" s="1" t="s">
        <v>81</v>
      </c>
      <c r="B286" s="9">
        <v>1030548</v>
      </c>
      <c r="C286" s="9">
        <v>1040471</v>
      </c>
      <c r="D286" s="9">
        <v>1049749</v>
      </c>
      <c r="E286" s="9">
        <v>1059115</v>
      </c>
      <c r="F286" s="9">
        <v>1067703</v>
      </c>
      <c r="G286" s="9">
        <v>1075214</v>
      </c>
      <c r="H286" s="9">
        <v>1082781</v>
      </c>
      <c r="I286" s="6">
        <v>0.82743836900000001</v>
      </c>
    </row>
    <row r="287" spans="1:9" x14ac:dyDescent="0.25">
      <c r="A287" s="1" t="s">
        <v>82</v>
      </c>
      <c r="B287" s="9">
        <v>34066228</v>
      </c>
      <c r="C287" s="9">
        <v>34595522</v>
      </c>
      <c r="D287" s="9">
        <v>35898598</v>
      </c>
      <c r="E287" s="9">
        <v>36705470</v>
      </c>
      <c r="F287" s="9">
        <v>38056188</v>
      </c>
      <c r="G287" s="9">
        <v>39408402</v>
      </c>
      <c r="H287" s="9">
        <v>40388926</v>
      </c>
      <c r="I287" s="6">
        <v>2.8781255290000001</v>
      </c>
    </row>
    <row r="288" spans="1:9" x14ac:dyDescent="0.25">
      <c r="A288" s="1" t="s">
        <v>83</v>
      </c>
      <c r="B288" s="9">
        <v>1137020</v>
      </c>
      <c r="C288" s="9">
        <v>1172302</v>
      </c>
      <c r="D288" s="9">
        <v>1208679</v>
      </c>
      <c r="E288" s="9">
        <v>1246184</v>
      </c>
      <c r="F288" s="9">
        <v>1294833</v>
      </c>
      <c r="G288" s="9">
        <v>1345380</v>
      </c>
      <c r="H288" s="9">
        <v>1397901</v>
      </c>
      <c r="I288" s="6">
        <v>3.5026299820000002</v>
      </c>
    </row>
    <row r="289" spans="1:9" x14ac:dyDescent="0.25">
      <c r="A289" s="1" t="s">
        <v>84</v>
      </c>
      <c r="B289" s="9">
        <v>1188486</v>
      </c>
      <c r="C289" s="9">
        <v>1218198</v>
      </c>
      <c r="D289" s="9">
        <v>1247435</v>
      </c>
      <c r="E289" s="9">
        <v>1277373</v>
      </c>
      <c r="F289" s="9">
        <v>1306753</v>
      </c>
      <c r="G289" s="9">
        <v>1335502</v>
      </c>
      <c r="H289" s="9">
        <v>1363548</v>
      </c>
      <c r="I289" s="6">
        <v>2.316590589</v>
      </c>
    </row>
    <row r="290" spans="1:9" x14ac:dyDescent="0.25">
      <c r="A290" s="1" t="s">
        <v>85</v>
      </c>
      <c r="B290" s="9">
        <v>1813756</v>
      </c>
      <c r="C290" s="9">
        <v>1843250</v>
      </c>
      <c r="D290" s="9">
        <v>1872673</v>
      </c>
      <c r="E290" s="9">
        <v>1902026</v>
      </c>
      <c r="F290" s="9">
        <v>1931308</v>
      </c>
      <c r="G290" s="9">
        <v>1960520</v>
      </c>
      <c r="H290" s="9">
        <v>1989661</v>
      </c>
      <c r="I290" s="6">
        <v>1.55470233</v>
      </c>
    </row>
    <row r="291" spans="1:9" x14ac:dyDescent="0.25">
      <c r="A291" s="1" t="s">
        <v>86</v>
      </c>
      <c r="B291" s="9">
        <v>8267361</v>
      </c>
      <c r="C291" s="9">
        <v>8474045</v>
      </c>
      <c r="D291" s="9">
        <v>8685896</v>
      </c>
      <c r="E291" s="9">
        <v>8903043</v>
      </c>
      <c r="F291" s="9">
        <v>9125619</v>
      </c>
      <c r="G291" s="9">
        <v>9353759</v>
      </c>
      <c r="H291" s="9">
        <v>9587603</v>
      </c>
      <c r="I291" s="6">
        <v>2.4999979730000002</v>
      </c>
    </row>
    <row r="292" spans="1:9" x14ac:dyDescent="0.25">
      <c r="A292" s="1" t="s">
        <v>87</v>
      </c>
      <c r="B292" s="9">
        <v>21127861</v>
      </c>
      <c r="C292" s="9">
        <v>21675158</v>
      </c>
      <c r="D292" s="9">
        <v>22230096</v>
      </c>
      <c r="E292" s="9">
        <v>22790305</v>
      </c>
      <c r="F292" s="9">
        <v>23355471</v>
      </c>
      <c r="G292" s="9">
        <v>23925262</v>
      </c>
      <c r="H292" s="9">
        <v>24501742</v>
      </c>
      <c r="I292" s="6">
        <v>2.499930736</v>
      </c>
    </row>
    <row r="293" spans="1:9" x14ac:dyDescent="0.25">
      <c r="A293" s="1" t="s">
        <v>88</v>
      </c>
      <c r="B293" s="9">
        <v>14875088</v>
      </c>
      <c r="C293" s="9">
        <v>14915984</v>
      </c>
      <c r="D293" s="9">
        <v>14956991</v>
      </c>
      <c r="E293" s="9">
        <v>14968205</v>
      </c>
      <c r="F293" s="9">
        <v>14979428</v>
      </c>
      <c r="G293" s="9">
        <v>14990659</v>
      </c>
      <c r="H293" s="9">
        <v>15001898</v>
      </c>
      <c r="I293" s="6">
        <v>0.14158111600000001</v>
      </c>
    </row>
    <row r="294" spans="1:9" x14ac:dyDescent="0.25">
      <c r="A294" s="1" t="s">
        <v>89</v>
      </c>
      <c r="B294" s="9">
        <v>4328536</v>
      </c>
      <c r="C294" s="9">
        <v>4353623</v>
      </c>
      <c r="D294" s="9">
        <v>4378490</v>
      </c>
      <c r="E294" s="9">
        <v>4403219</v>
      </c>
      <c r="F294" s="9">
        <v>4427808</v>
      </c>
      <c r="G294" s="9">
        <v>4456715</v>
      </c>
      <c r="H294" s="9">
        <v>4470042</v>
      </c>
      <c r="I294" s="6">
        <v>0.53758023700000002</v>
      </c>
    </row>
    <row r="295" spans="1:9" x14ac:dyDescent="0.25">
      <c r="A295" s="1" t="s">
        <v>90</v>
      </c>
      <c r="B295" s="9">
        <v>1123251</v>
      </c>
      <c r="C295" s="9">
        <v>1112129</v>
      </c>
      <c r="D295" s="9">
        <v>1101118</v>
      </c>
      <c r="E295" s="9">
        <v>1090216</v>
      </c>
      <c r="F295" s="9">
        <v>1079421</v>
      </c>
      <c r="G295" s="9">
        <v>1068733</v>
      </c>
      <c r="H295" s="9">
        <v>1058151</v>
      </c>
      <c r="I295" s="6">
        <v>-0.99013413800000005</v>
      </c>
    </row>
    <row r="296" spans="1:9" x14ac:dyDescent="0.25">
      <c r="A296" s="1" t="s">
        <v>91</v>
      </c>
      <c r="B296" s="9">
        <v>321983</v>
      </c>
      <c r="C296" s="9">
        <v>331642</v>
      </c>
      <c r="D296" s="9">
        <v>341592</v>
      </c>
      <c r="E296" s="9">
        <v>350132</v>
      </c>
      <c r="F296" s="9">
        <v>358885</v>
      </c>
      <c r="G296" s="9">
        <v>366063</v>
      </c>
      <c r="H296" s="9">
        <v>373384</v>
      </c>
      <c r="I296" s="6">
        <v>2.4991963350000002</v>
      </c>
    </row>
    <row r="297" spans="1:9" x14ac:dyDescent="0.25">
      <c r="A297" s="1" t="s">
        <v>92</v>
      </c>
      <c r="B297" s="9">
        <v>7918528</v>
      </c>
      <c r="C297" s="9">
        <v>7929219</v>
      </c>
      <c r="D297" s="9">
        <v>7939925</v>
      </c>
      <c r="E297" s="9">
        <v>7950645</v>
      </c>
      <c r="F297" s="9">
        <v>7961380</v>
      </c>
      <c r="G297" s="9">
        <v>7972129</v>
      </c>
      <c r="H297" s="9">
        <v>7982893</v>
      </c>
      <c r="I297" s="6">
        <v>0.13501685099999999</v>
      </c>
    </row>
    <row r="298" spans="1:9" x14ac:dyDescent="0.25">
      <c r="A298" s="1" t="s">
        <v>93</v>
      </c>
      <c r="B298" s="9">
        <v>56019689</v>
      </c>
      <c r="C298" s="9">
        <v>56084120</v>
      </c>
      <c r="D298" s="9">
        <v>56148626</v>
      </c>
      <c r="E298" s="9">
        <v>56213205</v>
      </c>
      <c r="F298" s="9">
        <v>56277859</v>
      </c>
      <c r="G298" s="9">
        <v>56342586</v>
      </c>
      <c r="H298" s="9">
        <v>56407389</v>
      </c>
      <c r="I298" s="6">
        <v>0.11501513100000001</v>
      </c>
    </row>
    <row r="299" spans="1:9" x14ac:dyDescent="0.25">
      <c r="A299" s="1" t="s">
        <v>94</v>
      </c>
      <c r="B299" s="9">
        <v>5657879</v>
      </c>
      <c r="C299" s="9">
        <v>5735197</v>
      </c>
      <c r="D299" s="9">
        <v>5813571</v>
      </c>
      <c r="E299" s="9">
        <v>5893017</v>
      </c>
      <c r="F299" s="9">
        <v>5973548</v>
      </c>
      <c r="G299" s="9">
        <v>6055179</v>
      </c>
      <c r="H299" s="9">
        <v>6137926</v>
      </c>
      <c r="I299" s="6">
        <v>1.3665499750000001</v>
      </c>
    </row>
    <row r="300" spans="1:9" x14ac:dyDescent="0.25">
      <c r="A300" s="1" t="s">
        <v>95</v>
      </c>
      <c r="B300" s="9">
        <v>2550010</v>
      </c>
      <c r="C300" s="9">
        <v>2552395</v>
      </c>
      <c r="D300" s="9">
        <v>2554782</v>
      </c>
      <c r="E300" s="9">
        <v>2557171</v>
      </c>
      <c r="F300" s="9">
        <v>2559562</v>
      </c>
      <c r="G300" s="9">
        <v>2561955</v>
      </c>
      <c r="H300" s="9">
        <v>2564351</v>
      </c>
      <c r="I300" s="6">
        <v>9.3512769999999995E-2</v>
      </c>
    </row>
    <row r="301" spans="1:9" x14ac:dyDescent="0.25">
      <c r="A301" s="1" t="s">
        <v>96</v>
      </c>
      <c r="B301" s="9">
        <v>1445118</v>
      </c>
      <c r="C301" s="9">
        <v>1464051</v>
      </c>
      <c r="D301" s="9">
        <v>1492017</v>
      </c>
      <c r="E301" s="9">
        <v>1517533</v>
      </c>
      <c r="F301" s="9">
        <v>1549556</v>
      </c>
      <c r="G301" s="9">
        <v>1574507</v>
      </c>
      <c r="H301" s="9">
        <v>1599071</v>
      </c>
      <c r="I301" s="6">
        <v>1.7015111730000001</v>
      </c>
    </row>
    <row r="302" spans="1:9" x14ac:dyDescent="0.25">
      <c r="A302" s="1" t="s">
        <v>97</v>
      </c>
      <c r="B302" s="9">
        <v>1802970</v>
      </c>
      <c r="C302" s="9">
        <v>1799814</v>
      </c>
      <c r="D302" s="9">
        <v>1796663</v>
      </c>
      <c r="E302" s="9">
        <v>1794417</v>
      </c>
      <c r="F302" s="9">
        <v>1792173</v>
      </c>
      <c r="G302" s="9">
        <v>1789932</v>
      </c>
      <c r="H302" s="9">
        <v>1787694</v>
      </c>
      <c r="I302" s="6">
        <v>-0.14171255899999999</v>
      </c>
    </row>
    <row r="303" spans="1:9" x14ac:dyDescent="0.25">
      <c r="A303" s="1" t="s">
        <v>98</v>
      </c>
      <c r="B303" s="9">
        <v>832155</v>
      </c>
      <c r="C303" s="9">
        <v>835485</v>
      </c>
      <c r="D303" s="9">
        <v>838828</v>
      </c>
      <c r="E303" s="9">
        <v>842185</v>
      </c>
      <c r="F303" s="9">
        <v>845555</v>
      </c>
      <c r="G303" s="9">
        <v>848939</v>
      </c>
      <c r="H303" s="9">
        <v>852336</v>
      </c>
      <c r="I303" s="6">
        <v>0.40016676699999998</v>
      </c>
    </row>
    <row r="304" spans="1:9" x14ac:dyDescent="0.25">
      <c r="A304" s="1" t="s">
        <v>99</v>
      </c>
      <c r="B304" s="9">
        <v>16249250</v>
      </c>
      <c r="C304" s="9">
        <v>16725813</v>
      </c>
      <c r="D304" s="9">
        <v>17216353</v>
      </c>
      <c r="E304" s="9">
        <v>17721279</v>
      </c>
      <c r="F304" s="9">
        <v>18241014</v>
      </c>
      <c r="G304" s="9">
        <v>18775992</v>
      </c>
      <c r="H304" s="9">
        <v>19326660</v>
      </c>
      <c r="I304" s="6">
        <v>2.9328302490000002</v>
      </c>
    </row>
    <row r="305" spans="1:9" x14ac:dyDescent="0.25">
      <c r="A305" s="1" t="s">
        <v>100</v>
      </c>
      <c r="B305" s="9">
        <v>21887840</v>
      </c>
      <c r="C305" s="9">
        <v>22043259</v>
      </c>
      <c r="D305" s="9">
        <v>22182145</v>
      </c>
      <c r="E305" s="9">
        <v>22313032</v>
      </c>
      <c r="F305" s="9">
        <v>22435978</v>
      </c>
      <c r="G305" s="9">
        <v>22552871</v>
      </c>
      <c r="H305" s="9">
        <v>22663607</v>
      </c>
      <c r="I305" s="6">
        <v>0.58217459800000004</v>
      </c>
    </row>
    <row r="306" spans="1:9" x14ac:dyDescent="0.25">
      <c r="A306" s="1" t="s">
        <v>101</v>
      </c>
      <c r="B306" s="9">
        <v>19399887</v>
      </c>
      <c r="C306" s="9">
        <v>19760348</v>
      </c>
      <c r="D306" s="9">
        <v>20103903</v>
      </c>
      <c r="E306" s="9">
        <v>20427736</v>
      </c>
      <c r="F306" s="9">
        <v>20730462</v>
      </c>
      <c r="G306" s="9">
        <v>21004877</v>
      </c>
      <c r="H306" s="9">
        <v>21255852</v>
      </c>
      <c r="I306" s="6">
        <v>1.5344029850000001</v>
      </c>
    </row>
    <row r="307" spans="1:9" x14ac:dyDescent="0.25">
      <c r="A307" s="1" t="s">
        <v>102</v>
      </c>
      <c r="B307" s="9">
        <v>4350761</v>
      </c>
      <c r="C307" s="9">
        <v>4346280</v>
      </c>
      <c r="D307" s="9">
        <v>4328843</v>
      </c>
      <c r="E307" s="9">
        <v>4307173</v>
      </c>
      <c r="F307" s="9">
        <v>4285611</v>
      </c>
      <c r="G307" s="9">
        <v>4264157</v>
      </c>
      <c r="H307" s="9">
        <v>4242811</v>
      </c>
      <c r="I307" s="6">
        <v>-0.41787033299999998</v>
      </c>
    </row>
    <row r="308" spans="1:9" x14ac:dyDescent="0.25">
      <c r="A308" s="1" t="s">
        <v>103</v>
      </c>
      <c r="B308" s="9">
        <v>3955358</v>
      </c>
      <c r="C308" s="9">
        <v>3994911</v>
      </c>
      <c r="D308" s="9">
        <v>4034861</v>
      </c>
      <c r="E308" s="9">
        <v>4075209</v>
      </c>
      <c r="F308" s="9">
        <v>4115961</v>
      </c>
      <c r="G308" s="9">
        <v>4157121</v>
      </c>
      <c r="H308" s="9">
        <v>4198692</v>
      </c>
      <c r="I308" s="6">
        <v>0.99999911900000005</v>
      </c>
    </row>
    <row r="309" spans="1:9" x14ac:dyDescent="0.25">
      <c r="A309" s="1" t="s">
        <v>104</v>
      </c>
      <c r="B309" s="9">
        <v>3833119</v>
      </c>
      <c r="C309" s="9">
        <v>3927278</v>
      </c>
      <c r="D309" s="9">
        <v>4023749</v>
      </c>
      <c r="E309" s="9">
        <v>4122590</v>
      </c>
      <c r="F309" s="9">
        <v>4223860</v>
      </c>
      <c r="G309" s="9">
        <v>4327617</v>
      </c>
      <c r="H309" s="9">
        <v>4433922</v>
      </c>
      <c r="I309" s="6">
        <v>2.4564469619999998</v>
      </c>
    </row>
    <row r="310" spans="1:9" x14ac:dyDescent="0.25">
      <c r="A310" s="1" t="s">
        <v>105</v>
      </c>
      <c r="B310" s="9">
        <v>9343000</v>
      </c>
      <c r="C310" s="9">
        <v>9394000</v>
      </c>
      <c r="D310" s="9">
        <v>9453000</v>
      </c>
      <c r="E310" s="9">
        <v>9500000</v>
      </c>
      <c r="F310" s="9">
        <v>9568000</v>
      </c>
      <c r="G310" s="9">
        <v>9628000</v>
      </c>
      <c r="H310" s="9">
        <v>9679000</v>
      </c>
      <c r="I310" s="6">
        <v>0.59059032099999997</v>
      </c>
    </row>
    <row r="311" spans="1:9" x14ac:dyDescent="0.25">
      <c r="A311" s="1" t="s">
        <v>106</v>
      </c>
      <c r="B311" s="9">
        <v>24846492</v>
      </c>
      <c r="C311" s="9">
        <v>25472671</v>
      </c>
      <c r="D311" s="9">
        <v>26059861</v>
      </c>
      <c r="E311" s="9">
        <v>26617769</v>
      </c>
      <c r="F311" s="9">
        <v>27173278</v>
      </c>
      <c r="G311" s="9">
        <v>27738700</v>
      </c>
      <c r="H311" s="9">
        <v>28313310</v>
      </c>
      <c r="I311" s="6">
        <v>2.2007918119999998</v>
      </c>
    </row>
    <row r="312" spans="1:9" ht="30" x14ac:dyDescent="0.25">
      <c r="A312" s="1" t="s">
        <v>107</v>
      </c>
      <c r="B312" s="9">
        <v>393741</v>
      </c>
      <c r="C312" s="9">
        <v>396497</v>
      </c>
      <c r="D312" s="9">
        <v>399272</v>
      </c>
      <c r="E312" s="9">
        <v>402067</v>
      </c>
      <c r="F312" s="9">
        <v>404881</v>
      </c>
      <c r="G312" s="9">
        <v>407715</v>
      </c>
      <c r="H312" s="9">
        <v>410569</v>
      </c>
      <c r="I312" s="6">
        <v>0.69994943700000001</v>
      </c>
    </row>
    <row r="313" spans="1:9" x14ac:dyDescent="0.25">
      <c r="A313" s="1" t="s">
        <v>108</v>
      </c>
      <c r="B313" s="9">
        <v>27561743</v>
      </c>
      <c r="C313" s="9">
        <v>28278348</v>
      </c>
      <c r="D313" s="9">
        <v>29013585</v>
      </c>
      <c r="E313" s="9">
        <v>29767938</v>
      </c>
      <c r="F313" s="9">
        <v>30541905</v>
      </c>
      <c r="G313" s="9">
        <v>31335994</v>
      </c>
      <c r="H313" s="9">
        <v>32182066</v>
      </c>
      <c r="I313" s="6">
        <v>2.6166597</v>
      </c>
    </row>
    <row r="314" spans="1:9" ht="30" x14ac:dyDescent="0.25">
      <c r="A314" s="1" t="s">
        <v>109</v>
      </c>
      <c r="B314" s="9">
        <v>2004791</v>
      </c>
      <c r="C314" s="9">
        <v>2058972</v>
      </c>
      <c r="D314" s="9">
        <v>2112557</v>
      </c>
      <c r="E314" s="9">
        <v>2165422</v>
      </c>
      <c r="F314" s="9">
        <v>2217442</v>
      </c>
      <c r="G314" s="9">
        <v>2270711</v>
      </c>
      <c r="H314" s="9">
        <v>2325260</v>
      </c>
      <c r="I314" s="6">
        <v>2.5023296679999998</v>
      </c>
    </row>
    <row r="315" spans="1:9" x14ac:dyDescent="0.25">
      <c r="A315" s="1" t="s">
        <v>110</v>
      </c>
      <c r="B315" s="9">
        <v>27106552</v>
      </c>
      <c r="C315" s="9">
        <v>27207054</v>
      </c>
      <c r="D315" s="9">
        <v>27302426</v>
      </c>
      <c r="E315" s="9">
        <v>27436227</v>
      </c>
      <c r="F315" s="9">
        <v>27573353</v>
      </c>
      <c r="G315" s="9">
        <v>27716600</v>
      </c>
      <c r="H315" s="9">
        <v>27866054</v>
      </c>
      <c r="I315" s="6">
        <v>0.46162514900000001</v>
      </c>
    </row>
    <row r="316" spans="1:9" x14ac:dyDescent="0.25">
      <c r="A316" s="1" t="s">
        <v>111</v>
      </c>
      <c r="B316" s="9">
        <v>1256254</v>
      </c>
      <c r="C316" s="9">
        <v>1268204</v>
      </c>
      <c r="D316" s="9">
        <v>1280146</v>
      </c>
      <c r="E316" s="9">
        <v>1292121</v>
      </c>
      <c r="F316" s="9">
        <v>1304129</v>
      </c>
      <c r="G316" s="9">
        <v>1316115</v>
      </c>
      <c r="H316" s="9">
        <v>1314736</v>
      </c>
      <c r="I316" s="6">
        <v>0.76124296899999999</v>
      </c>
    </row>
    <row r="317" spans="1:9" x14ac:dyDescent="0.25">
      <c r="A317" s="1" t="s">
        <v>112</v>
      </c>
      <c r="B317" s="9">
        <v>133827004</v>
      </c>
      <c r="C317" s="9">
        <v>134832055</v>
      </c>
      <c r="D317" s="9">
        <v>135817687</v>
      </c>
      <c r="E317" s="9">
        <v>136783360</v>
      </c>
      <c r="F317" s="9">
        <v>137728543</v>
      </c>
      <c r="G317" s="9">
        <v>138652710</v>
      </c>
      <c r="H317" s="9">
        <v>139555350</v>
      </c>
      <c r="I317" s="6">
        <v>0.70100135600000002</v>
      </c>
    </row>
    <row r="318" spans="1:9" x14ac:dyDescent="0.25">
      <c r="A318" s="1" t="s">
        <v>113</v>
      </c>
      <c r="B318" s="9">
        <v>6959871</v>
      </c>
      <c r="C318" s="9">
        <v>7036430</v>
      </c>
      <c r="D318" s="9">
        <v>7113831</v>
      </c>
      <c r="E318" s="9">
        <v>7192083</v>
      </c>
      <c r="F318" s="9">
        <v>7271196</v>
      </c>
      <c r="G318" s="9">
        <v>7351179</v>
      </c>
      <c r="H318" s="9">
        <v>7432042</v>
      </c>
      <c r="I318" s="6">
        <v>1.1000012269999999</v>
      </c>
    </row>
    <row r="319" spans="1:9" x14ac:dyDescent="0.25">
      <c r="A319" s="1" t="s">
        <v>114</v>
      </c>
      <c r="B319" s="9">
        <v>27029846</v>
      </c>
      <c r="C319" s="9">
        <v>27525560</v>
      </c>
      <c r="D319" s="9">
        <v>28013809</v>
      </c>
      <c r="E319" s="9">
        <v>28488077</v>
      </c>
      <c r="F319" s="9">
        <v>28958956</v>
      </c>
      <c r="G319" s="9">
        <v>29446324</v>
      </c>
      <c r="H319" s="9">
        <v>29927141</v>
      </c>
      <c r="I319" s="6">
        <v>1.711550879</v>
      </c>
    </row>
    <row r="320" spans="1:9" ht="30" x14ac:dyDescent="0.25">
      <c r="A320" s="1" t="s">
        <v>115</v>
      </c>
      <c r="B320" s="9">
        <v>183535834</v>
      </c>
      <c r="C320" s="9">
        <v>184420694</v>
      </c>
      <c r="D320" s="9">
        <v>185276754</v>
      </c>
      <c r="E320" s="9">
        <v>186140731</v>
      </c>
      <c r="F320" s="9">
        <v>186922308</v>
      </c>
      <c r="G320" s="9">
        <v>187664391</v>
      </c>
      <c r="H320" s="9">
        <v>188335738</v>
      </c>
      <c r="I320" s="6">
        <v>0.43119835400000001</v>
      </c>
    </row>
    <row r="321" spans="1:9" x14ac:dyDescent="0.25">
      <c r="A321" s="1" t="s">
        <v>116</v>
      </c>
      <c r="B321" s="9">
        <v>3445454</v>
      </c>
      <c r="C321" s="9">
        <v>3642257</v>
      </c>
      <c r="D321" s="9">
        <v>3850302</v>
      </c>
      <c r="E321" s="9">
        <v>4070230</v>
      </c>
      <c r="F321" s="9">
        <v>4302720</v>
      </c>
      <c r="G321" s="9">
        <v>4548490</v>
      </c>
      <c r="H321" s="9">
        <v>4808298</v>
      </c>
      <c r="I321" s="6">
        <v>5.7119668519999998</v>
      </c>
    </row>
    <row r="322" spans="1:9" x14ac:dyDescent="0.25">
      <c r="A322" s="1" t="s">
        <v>12</v>
      </c>
      <c r="B322" s="2"/>
      <c r="C322" s="2"/>
      <c r="D322" s="2"/>
      <c r="E322" s="2"/>
      <c r="F322" s="2"/>
      <c r="G322" s="2"/>
      <c r="H322" s="2"/>
      <c r="I322" s="2"/>
    </row>
    <row r="323" spans="1:9" ht="60" x14ac:dyDescent="0.25">
      <c r="A323" s="1" t="s">
        <v>150</v>
      </c>
      <c r="B323" s="2"/>
      <c r="C323" s="2"/>
      <c r="D323" s="2"/>
      <c r="E323" s="2"/>
      <c r="F323" s="2"/>
      <c r="G323" s="2"/>
      <c r="H323" s="2"/>
      <c r="I323" s="2"/>
    </row>
    <row r="324" spans="1:9" x14ac:dyDescent="0.25">
      <c r="A324" s="1" t="s">
        <v>14</v>
      </c>
      <c r="B324" s="9">
        <v>11913680</v>
      </c>
      <c r="C324" s="9">
        <v>12343343</v>
      </c>
      <c r="D324" s="9">
        <v>12739593</v>
      </c>
      <c r="E324" s="9">
        <v>12914784</v>
      </c>
      <c r="F324" s="9">
        <v>13119749</v>
      </c>
      <c r="G324" s="9">
        <v>13394220</v>
      </c>
      <c r="H324" s="9">
        <v>13746410</v>
      </c>
      <c r="I324" s="6">
        <v>2.413504374</v>
      </c>
    </row>
    <row r="325" spans="1:9" ht="30" x14ac:dyDescent="0.25">
      <c r="A325" s="1" t="s">
        <v>15</v>
      </c>
      <c r="B325" s="9">
        <v>690877373</v>
      </c>
      <c r="C325" s="9">
        <v>720167261</v>
      </c>
      <c r="D325" s="9">
        <v>738812900</v>
      </c>
      <c r="E325" s="9">
        <v>757393412</v>
      </c>
      <c r="F325" s="9">
        <v>781907273</v>
      </c>
      <c r="G325" s="9">
        <v>803407390</v>
      </c>
      <c r="H325" s="9">
        <v>827351509</v>
      </c>
      <c r="I325" s="6">
        <v>3.0500441880000002</v>
      </c>
    </row>
    <row r="326" spans="1:9" x14ac:dyDescent="0.25">
      <c r="A326" s="1" t="s">
        <v>16</v>
      </c>
      <c r="B326" s="9">
        <v>8103085</v>
      </c>
      <c r="C326" s="9">
        <v>8056182</v>
      </c>
      <c r="D326" s="9">
        <v>7982893</v>
      </c>
      <c r="E326" s="9">
        <v>8009401</v>
      </c>
      <c r="F326" s="9">
        <v>8050446</v>
      </c>
      <c r="G326" s="9">
        <v>8165452</v>
      </c>
      <c r="H326" s="9">
        <v>8231930</v>
      </c>
      <c r="I326" s="6">
        <v>0.26327331900000001</v>
      </c>
    </row>
    <row r="327" spans="1:9" x14ac:dyDescent="0.25">
      <c r="A327" s="1" t="s">
        <v>17</v>
      </c>
      <c r="B327" s="9">
        <v>2516283</v>
      </c>
      <c r="C327" s="9">
        <v>2577518</v>
      </c>
      <c r="D327" s="9">
        <v>2634020</v>
      </c>
      <c r="E327" s="9">
        <v>2693266</v>
      </c>
      <c r="F327" s="9">
        <v>2751238</v>
      </c>
      <c r="G327" s="9">
        <v>2808031</v>
      </c>
      <c r="H327" s="9">
        <v>2869079</v>
      </c>
      <c r="I327" s="6">
        <v>2.2108901439999999</v>
      </c>
    </row>
    <row r="328" spans="1:9" x14ac:dyDescent="0.25">
      <c r="A328" s="1" t="s">
        <v>18</v>
      </c>
      <c r="B328" s="9">
        <v>76887</v>
      </c>
      <c r="C328" s="9">
        <v>77159</v>
      </c>
      <c r="D328" s="9">
        <v>77435</v>
      </c>
      <c r="E328" s="9">
        <v>77714</v>
      </c>
      <c r="F328" s="9">
        <v>77997</v>
      </c>
      <c r="G328" s="9">
        <v>78285</v>
      </c>
      <c r="H328" s="9">
        <v>78576</v>
      </c>
      <c r="I328" s="6">
        <v>0.36281488200000001</v>
      </c>
    </row>
    <row r="329" spans="1:9" x14ac:dyDescent="0.25">
      <c r="A329" s="1" t="s">
        <v>19</v>
      </c>
      <c r="B329" s="9">
        <v>170402</v>
      </c>
      <c r="C329" s="9">
        <v>173075</v>
      </c>
      <c r="D329" s="9">
        <v>173714</v>
      </c>
      <c r="E329" s="9">
        <v>174685</v>
      </c>
      <c r="F329" s="9">
        <v>175694</v>
      </c>
      <c r="G329" s="9">
        <v>176740</v>
      </c>
      <c r="H329" s="9">
        <v>177823</v>
      </c>
      <c r="I329" s="6">
        <v>0.71300187599999998</v>
      </c>
    </row>
    <row r="330" spans="1:9" x14ac:dyDescent="0.25">
      <c r="A330" s="1" t="s">
        <v>20</v>
      </c>
      <c r="B330" s="9">
        <v>95504</v>
      </c>
      <c r="C330" s="9">
        <v>96258</v>
      </c>
      <c r="D330" s="9">
        <v>97018</v>
      </c>
      <c r="E330" s="9">
        <v>97785</v>
      </c>
      <c r="F330" s="9">
        <v>98555</v>
      </c>
      <c r="G330" s="9">
        <v>99333</v>
      </c>
      <c r="H330" s="9">
        <v>100118</v>
      </c>
      <c r="I330" s="6">
        <v>0.78945588099999997</v>
      </c>
    </row>
    <row r="331" spans="1:9" x14ac:dyDescent="0.25">
      <c r="A331" s="1" t="s">
        <v>21</v>
      </c>
      <c r="B331" s="9">
        <v>4474167</v>
      </c>
      <c r="C331" s="9">
        <v>4546020</v>
      </c>
      <c r="D331" s="9">
        <v>4615777</v>
      </c>
      <c r="E331" s="9">
        <v>4688802</v>
      </c>
      <c r="F331" s="9">
        <v>4759640</v>
      </c>
      <c r="G331" s="9">
        <v>4825834</v>
      </c>
      <c r="H331" s="9">
        <v>4893349</v>
      </c>
      <c r="I331" s="6">
        <v>1.5038075399999999</v>
      </c>
    </row>
    <row r="332" spans="1:9" x14ac:dyDescent="0.25">
      <c r="A332" s="1" t="s">
        <v>22</v>
      </c>
      <c r="B332" s="9">
        <v>1396920</v>
      </c>
      <c r="C332" s="9">
        <v>1492069</v>
      </c>
      <c r="D332" s="9">
        <v>1589668</v>
      </c>
      <c r="E332" s="9">
        <v>1689595</v>
      </c>
      <c r="F332" s="9">
        <v>1785967</v>
      </c>
      <c r="G332" s="9">
        <v>1882992</v>
      </c>
      <c r="H332" s="9">
        <v>1980915</v>
      </c>
      <c r="I332" s="6">
        <v>5.994269042</v>
      </c>
    </row>
    <row r="333" spans="1:9" x14ac:dyDescent="0.25">
      <c r="A333" s="1" t="s">
        <v>23</v>
      </c>
      <c r="B333" s="9">
        <v>45694446</v>
      </c>
      <c r="C333" s="9">
        <v>48048892</v>
      </c>
      <c r="D333" s="9">
        <v>50287033</v>
      </c>
      <c r="E333" s="9">
        <v>52161193</v>
      </c>
      <c r="F333" s="9">
        <v>53643090</v>
      </c>
      <c r="G333" s="9">
        <v>54909077</v>
      </c>
      <c r="H333" s="9">
        <v>55825825</v>
      </c>
      <c r="I333" s="6">
        <v>3.3939885099999998</v>
      </c>
    </row>
    <row r="334" spans="1:9" x14ac:dyDescent="0.25">
      <c r="A334" s="1" t="s">
        <v>24</v>
      </c>
      <c r="B334" s="9">
        <v>2642618</v>
      </c>
      <c r="C334" s="9">
        <v>2677322</v>
      </c>
      <c r="D334" s="9">
        <v>2686193</v>
      </c>
      <c r="E334" s="9">
        <v>2701206</v>
      </c>
      <c r="F334" s="9">
        <v>2719101</v>
      </c>
      <c r="G334" s="9">
        <v>2737969</v>
      </c>
      <c r="H334" s="9">
        <v>2756712</v>
      </c>
      <c r="I334" s="6">
        <v>0.70696348399999998</v>
      </c>
    </row>
    <row r="335" spans="1:9" x14ac:dyDescent="0.25">
      <c r="A335" s="1" t="s">
        <v>25</v>
      </c>
      <c r="B335" s="9">
        <v>671806</v>
      </c>
      <c r="C335" s="9">
        <v>713321</v>
      </c>
      <c r="D335" s="9">
        <v>760035</v>
      </c>
      <c r="E335" s="9">
        <v>813466</v>
      </c>
      <c r="F335" s="9">
        <v>858460</v>
      </c>
      <c r="G335" s="9">
        <v>907314</v>
      </c>
      <c r="H335" s="9">
        <v>936865</v>
      </c>
      <c r="I335" s="6">
        <v>5.6993190360000003</v>
      </c>
    </row>
    <row r="336" spans="1:9" x14ac:dyDescent="0.25">
      <c r="A336" s="1" t="s">
        <v>26</v>
      </c>
      <c r="B336" s="9">
        <v>15341078</v>
      </c>
      <c r="C336" s="9">
        <v>15563888</v>
      </c>
      <c r="D336" s="9">
        <v>15805471</v>
      </c>
      <c r="E336" s="9">
        <v>16028279</v>
      </c>
      <c r="F336" s="9">
        <v>16239259</v>
      </c>
      <c r="G336" s="9">
        <v>16450069</v>
      </c>
      <c r="H336" s="9">
        <v>16657101</v>
      </c>
      <c r="I336" s="6">
        <v>1.381160172</v>
      </c>
    </row>
    <row r="337" spans="1:9" x14ac:dyDescent="0.25">
      <c r="A337" s="1" t="s">
        <v>27</v>
      </c>
      <c r="B337" s="9">
        <v>4433053</v>
      </c>
      <c r="C337" s="9">
        <v>4464904</v>
      </c>
      <c r="D337" s="9">
        <v>4553468</v>
      </c>
      <c r="E337" s="9">
        <v>4627788</v>
      </c>
      <c r="F337" s="9">
        <v>4705874</v>
      </c>
      <c r="G337" s="9">
        <v>4781770</v>
      </c>
      <c r="H337" s="9">
        <v>4846470</v>
      </c>
      <c r="I337" s="6">
        <v>1.4971312859999999</v>
      </c>
    </row>
    <row r="338" spans="1:9" x14ac:dyDescent="0.25">
      <c r="A338" s="1" t="s">
        <v>28</v>
      </c>
      <c r="B338" s="9">
        <v>457828705</v>
      </c>
      <c r="C338" s="9">
        <v>466138044</v>
      </c>
      <c r="D338" s="9">
        <v>473366120</v>
      </c>
      <c r="E338" s="9">
        <v>481473940</v>
      </c>
      <c r="F338" s="9">
        <v>492781641</v>
      </c>
      <c r="G338" s="9">
        <v>502809314</v>
      </c>
      <c r="H338" s="9">
        <v>514324754</v>
      </c>
      <c r="I338" s="6">
        <v>1.958256743</v>
      </c>
    </row>
    <row r="339" spans="1:9" x14ac:dyDescent="0.25">
      <c r="A339" s="1" t="s">
        <v>29</v>
      </c>
      <c r="B339" s="9">
        <v>8406534</v>
      </c>
      <c r="C339" s="9">
        <v>8763713</v>
      </c>
      <c r="D339" s="9">
        <v>9074736</v>
      </c>
      <c r="E339" s="9">
        <v>9346532</v>
      </c>
      <c r="F339" s="9">
        <v>9577379</v>
      </c>
      <c r="G339" s="9">
        <v>9760392</v>
      </c>
      <c r="H339" s="9">
        <v>9893558</v>
      </c>
      <c r="I339" s="6">
        <v>2.7517565830000001</v>
      </c>
    </row>
    <row r="340" spans="1:9" x14ac:dyDescent="0.25">
      <c r="A340" s="1" t="s">
        <v>30</v>
      </c>
      <c r="B340" s="9">
        <v>1194638</v>
      </c>
      <c r="C340" s="9">
        <v>1317430</v>
      </c>
      <c r="D340" s="9">
        <v>1423540</v>
      </c>
      <c r="E340" s="9">
        <v>1504927</v>
      </c>
      <c r="F340" s="9">
        <v>1568215</v>
      </c>
      <c r="G340" s="9">
        <v>1606646</v>
      </c>
      <c r="H340" s="9">
        <v>1628585</v>
      </c>
      <c r="I340" s="6">
        <v>5.3001567239999998</v>
      </c>
    </row>
    <row r="341" spans="1:9" x14ac:dyDescent="0.25">
      <c r="A341" s="1" t="s">
        <v>31</v>
      </c>
      <c r="B341" s="9">
        <v>1147086</v>
      </c>
      <c r="C341" s="9">
        <v>1184418</v>
      </c>
      <c r="D341" s="9">
        <v>1204292</v>
      </c>
      <c r="E341" s="9">
        <v>1215651</v>
      </c>
      <c r="F341" s="9">
        <v>1226615</v>
      </c>
      <c r="G341" s="9">
        <v>1236505</v>
      </c>
      <c r="H341" s="9">
        <v>1245405</v>
      </c>
      <c r="I341" s="6">
        <v>1.3800351850000001</v>
      </c>
    </row>
    <row r="342" spans="1:9" x14ac:dyDescent="0.25">
      <c r="A342" s="1" t="s">
        <v>32</v>
      </c>
      <c r="B342" s="9">
        <v>3685402</v>
      </c>
      <c r="C342" s="9">
        <v>3708148</v>
      </c>
      <c r="D342" s="9">
        <v>3720133</v>
      </c>
      <c r="E342" s="9">
        <v>3734029</v>
      </c>
      <c r="F342" s="9">
        <v>3749607</v>
      </c>
      <c r="G342" s="9">
        <v>3766662</v>
      </c>
      <c r="H342" s="9">
        <v>3785010</v>
      </c>
      <c r="I342" s="6">
        <v>0.44547125799999998</v>
      </c>
    </row>
    <row r="343" spans="1:9" x14ac:dyDescent="0.25">
      <c r="A343" s="1" t="s">
        <v>33</v>
      </c>
      <c r="B343" s="9">
        <v>2574036</v>
      </c>
      <c r="C343" s="9">
        <v>2596407</v>
      </c>
      <c r="D343" s="9">
        <v>2608646</v>
      </c>
      <c r="E343" s="9">
        <v>2622519</v>
      </c>
      <c r="F343" s="9">
        <v>2637804</v>
      </c>
      <c r="G343" s="9">
        <v>2654057</v>
      </c>
      <c r="H343" s="9">
        <v>2671003</v>
      </c>
      <c r="I343" s="6">
        <v>0.61821917199999998</v>
      </c>
    </row>
    <row r="344" spans="1:9" ht="30" x14ac:dyDescent="0.25">
      <c r="A344" s="1" t="s">
        <v>34</v>
      </c>
      <c r="B344" s="9">
        <v>1239313</v>
      </c>
      <c r="C344" s="9">
        <v>1285064</v>
      </c>
      <c r="D344" s="9">
        <v>1375487</v>
      </c>
      <c r="E344" s="9">
        <v>1468771</v>
      </c>
      <c r="F344" s="9">
        <v>1562203</v>
      </c>
      <c r="G344" s="9">
        <v>1651068</v>
      </c>
      <c r="H344" s="9">
        <v>1739580</v>
      </c>
      <c r="I344" s="6">
        <v>5.8141871500000004</v>
      </c>
    </row>
    <row r="345" spans="1:9" ht="30" x14ac:dyDescent="0.25">
      <c r="A345" s="1" t="s">
        <v>35</v>
      </c>
      <c r="B345" s="9">
        <v>96505420</v>
      </c>
      <c r="C345" s="9">
        <v>99650729</v>
      </c>
      <c r="D345" s="9">
        <v>102204772</v>
      </c>
      <c r="E345" s="9">
        <v>104705106</v>
      </c>
      <c r="F345" s="9">
        <v>107242766</v>
      </c>
      <c r="G345" s="9">
        <v>109872975</v>
      </c>
      <c r="H345" s="9">
        <v>112632769</v>
      </c>
      <c r="I345" s="6">
        <v>2.6090128080000001</v>
      </c>
    </row>
    <row r="346" spans="1:9" x14ac:dyDescent="0.25">
      <c r="A346" s="1" t="s">
        <v>36</v>
      </c>
      <c r="B346" s="9">
        <v>3034062</v>
      </c>
      <c r="C346" s="9">
        <v>3216242</v>
      </c>
      <c r="D346" s="9">
        <v>3409422</v>
      </c>
      <c r="E346" s="9">
        <v>3604116</v>
      </c>
      <c r="F346" s="9">
        <v>3795478</v>
      </c>
      <c r="G346" s="9">
        <v>3980763</v>
      </c>
      <c r="H346" s="9">
        <v>4158301</v>
      </c>
      <c r="I346" s="6">
        <v>5.393844133</v>
      </c>
    </row>
    <row r="347" spans="1:9" x14ac:dyDescent="0.25">
      <c r="A347" s="1" t="s">
        <v>37</v>
      </c>
      <c r="B347" s="9">
        <v>11781971</v>
      </c>
      <c r="C347" s="9">
        <v>12667323</v>
      </c>
      <c r="D347" s="9">
        <v>13483631</v>
      </c>
      <c r="E347" s="9">
        <v>14384623</v>
      </c>
      <c r="F347" s="9">
        <v>15245482</v>
      </c>
      <c r="G347" s="9">
        <v>15920043</v>
      </c>
      <c r="H347" s="9">
        <v>16690571</v>
      </c>
      <c r="I347" s="6">
        <v>5.9763296410000004</v>
      </c>
    </row>
    <row r="348" spans="1:9" x14ac:dyDescent="0.25">
      <c r="A348" s="1" t="s">
        <v>38</v>
      </c>
      <c r="B348" s="9">
        <v>694900</v>
      </c>
      <c r="C348" s="9">
        <v>732345</v>
      </c>
      <c r="D348" s="9">
        <v>769790</v>
      </c>
      <c r="E348" s="9">
        <v>807234</v>
      </c>
      <c r="F348" s="9">
        <v>844679</v>
      </c>
      <c r="G348" s="9">
        <v>882021</v>
      </c>
      <c r="H348" s="9">
        <v>919363</v>
      </c>
      <c r="I348" s="6">
        <v>4.7757516180000001</v>
      </c>
    </row>
    <row r="349" spans="1:9" x14ac:dyDescent="0.25">
      <c r="A349" s="1" t="s">
        <v>39</v>
      </c>
      <c r="B349" s="9">
        <v>495408</v>
      </c>
      <c r="C349" s="9">
        <v>495100</v>
      </c>
      <c r="D349" s="9">
        <v>498071</v>
      </c>
      <c r="E349" s="9">
        <v>500692</v>
      </c>
      <c r="F349" s="9">
        <v>502949</v>
      </c>
      <c r="G349" s="9">
        <v>504862</v>
      </c>
      <c r="H349" s="9">
        <v>506463</v>
      </c>
      <c r="I349" s="6">
        <v>0.36850406600000002</v>
      </c>
    </row>
    <row r="350" spans="1:9" x14ac:dyDescent="0.25">
      <c r="A350" s="1" t="s">
        <v>40</v>
      </c>
      <c r="B350" s="9">
        <v>1903071</v>
      </c>
      <c r="C350" s="9">
        <v>1957817</v>
      </c>
      <c r="D350" s="9">
        <v>2015946</v>
      </c>
      <c r="E350" s="9">
        <v>2069822</v>
      </c>
      <c r="F350" s="9">
        <v>2119816</v>
      </c>
      <c r="G350" s="9">
        <v>2170130</v>
      </c>
      <c r="H350" s="9">
        <v>2214486</v>
      </c>
      <c r="I350" s="6">
        <v>2.5580271429999999</v>
      </c>
    </row>
    <row r="351" spans="1:9" x14ac:dyDescent="0.25">
      <c r="A351" s="1" t="s">
        <v>41</v>
      </c>
      <c r="B351" s="9">
        <v>31784668</v>
      </c>
      <c r="C351" s="9">
        <v>31809629</v>
      </c>
      <c r="D351" s="9">
        <v>31850439</v>
      </c>
      <c r="E351" s="9">
        <v>32059662</v>
      </c>
      <c r="F351" s="9">
        <v>32307575</v>
      </c>
      <c r="G351" s="9">
        <v>32543006</v>
      </c>
      <c r="H351" s="9">
        <v>32661954</v>
      </c>
      <c r="I351" s="6">
        <v>0.454812465</v>
      </c>
    </row>
    <row r="352" spans="1:9" x14ac:dyDescent="0.25">
      <c r="A352" s="1" t="s">
        <v>42</v>
      </c>
      <c r="B352" s="9">
        <v>38383000</v>
      </c>
      <c r="C352" s="9">
        <v>38684255</v>
      </c>
      <c r="D352" s="9">
        <v>38986381</v>
      </c>
      <c r="E352" s="9">
        <v>39238889</v>
      </c>
      <c r="F352" s="9">
        <v>39595551</v>
      </c>
      <c r="G352" s="9">
        <v>39883250</v>
      </c>
      <c r="H352" s="9">
        <v>40070328</v>
      </c>
      <c r="I352" s="6">
        <v>0.71960105799999996</v>
      </c>
    </row>
    <row r="353" spans="1:9" x14ac:dyDescent="0.25">
      <c r="A353" s="1" t="s">
        <v>43</v>
      </c>
      <c r="B353" s="9">
        <v>4589295</v>
      </c>
      <c r="C353" s="9">
        <v>4715467</v>
      </c>
      <c r="D353" s="9">
        <v>4870934</v>
      </c>
      <c r="E353" s="9">
        <v>5030657</v>
      </c>
      <c r="F353" s="9">
        <v>5165470</v>
      </c>
      <c r="G353" s="9">
        <v>5292275</v>
      </c>
      <c r="H353" s="9">
        <v>5402890</v>
      </c>
      <c r="I353" s="6">
        <v>2.7574594710000002</v>
      </c>
    </row>
    <row r="354" spans="1:9" x14ac:dyDescent="0.25">
      <c r="A354" s="1" t="s">
        <v>44</v>
      </c>
      <c r="B354" s="9">
        <v>1013329</v>
      </c>
      <c r="C354" s="9">
        <v>1064230</v>
      </c>
      <c r="D354" s="9">
        <v>1123968</v>
      </c>
      <c r="E354" s="9">
        <v>1186824</v>
      </c>
      <c r="F354" s="9">
        <v>1252312</v>
      </c>
      <c r="G354" s="9">
        <v>1321854</v>
      </c>
      <c r="H354" s="9">
        <v>1388115</v>
      </c>
      <c r="I354" s="6">
        <v>5.3850880180000003</v>
      </c>
    </row>
    <row r="355" spans="1:9" x14ac:dyDescent="0.25">
      <c r="A355" s="1" t="s">
        <v>45</v>
      </c>
      <c r="B355" s="9">
        <v>558306</v>
      </c>
      <c r="C355" s="9">
        <v>591804</v>
      </c>
      <c r="D355" s="9">
        <v>624353</v>
      </c>
      <c r="E355" s="9">
        <v>651200</v>
      </c>
      <c r="F355" s="9">
        <v>672690</v>
      </c>
      <c r="G355" s="9">
        <v>691189</v>
      </c>
      <c r="H355" s="9">
        <v>710197</v>
      </c>
      <c r="I355" s="6">
        <v>4.0920966700000001</v>
      </c>
    </row>
    <row r="356" spans="1:9" x14ac:dyDescent="0.25">
      <c r="A356" s="1" t="s">
        <v>46</v>
      </c>
      <c r="B356" s="9">
        <v>2806677</v>
      </c>
      <c r="C356" s="9">
        <v>2832256</v>
      </c>
      <c r="D356" s="9">
        <v>2869366</v>
      </c>
      <c r="E356" s="9">
        <v>2901314</v>
      </c>
      <c r="F356" s="9">
        <v>2938731</v>
      </c>
      <c r="G356" s="9">
        <v>2988490</v>
      </c>
      <c r="H356" s="9">
        <v>3029680</v>
      </c>
      <c r="I356" s="6">
        <v>1.2824163609999999</v>
      </c>
    </row>
    <row r="357" spans="1:9" x14ac:dyDescent="0.25">
      <c r="A357" s="1" t="s">
        <v>47</v>
      </c>
      <c r="B357" s="9">
        <v>3488505</v>
      </c>
      <c r="C357" s="9">
        <v>3496365</v>
      </c>
      <c r="D357" s="9">
        <v>3508829</v>
      </c>
      <c r="E357" s="9">
        <v>3537125</v>
      </c>
      <c r="F357" s="9">
        <v>3578289</v>
      </c>
      <c r="G357" s="9">
        <v>3617423</v>
      </c>
      <c r="H357" s="9">
        <v>3655413</v>
      </c>
      <c r="I357" s="6">
        <v>0.78197163599999997</v>
      </c>
    </row>
    <row r="358" spans="1:9" x14ac:dyDescent="0.25">
      <c r="A358" s="1" t="s">
        <v>48</v>
      </c>
      <c r="B358" s="9">
        <v>46395208</v>
      </c>
      <c r="C358" s="9">
        <v>60057516</v>
      </c>
      <c r="D358" s="9">
        <v>65282465</v>
      </c>
      <c r="E358" s="9">
        <v>69651228</v>
      </c>
      <c r="F358" s="9">
        <v>74976653</v>
      </c>
      <c r="G358" s="9">
        <v>79408241</v>
      </c>
      <c r="H358" s="9">
        <v>85716810</v>
      </c>
      <c r="I358" s="6">
        <v>10.772548043</v>
      </c>
    </row>
    <row r="359" spans="1:9" x14ac:dyDescent="0.25">
      <c r="A359" s="1" t="s">
        <v>49</v>
      </c>
      <c r="B359" s="9">
        <v>16058234</v>
      </c>
      <c r="C359" s="9">
        <v>17774211</v>
      </c>
      <c r="D359" s="9">
        <v>18616010</v>
      </c>
      <c r="E359" s="9">
        <v>19386461</v>
      </c>
      <c r="F359" s="9">
        <v>21140228</v>
      </c>
      <c r="G359" s="9">
        <v>22532708</v>
      </c>
      <c r="H359" s="9">
        <v>23002153</v>
      </c>
      <c r="I359" s="6">
        <v>6.1724365969999999</v>
      </c>
    </row>
    <row r="360" spans="1:9" x14ac:dyDescent="0.25">
      <c r="A360" s="1" t="s">
        <v>50</v>
      </c>
      <c r="B360" s="9">
        <v>832524</v>
      </c>
      <c r="C360" s="9">
        <v>979344</v>
      </c>
      <c r="D360" s="9">
        <v>1058822</v>
      </c>
      <c r="E360" s="9">
        <v>1138917</v>
      </c>
      <c r="F360" s="9">
        <v>1226829</v>
      </c>
      <c r="G360" s="9">
        <v>1323486</v>
      </c>
      <c r="H360" s="9">
        <v>1418802</v>
      </c>
      <c r="I360" s="6">
        <v>9.2917814429999996</v>
      </c>
    </row>
    <row r="361" spans="1:9" x14ac:dyDescent="0.25">
      <c r="A361" s="1" t="s">
        <v>51</v>
      </c>
      <c r="B361" s="9">
        <v>1533901</v>
      </c>
      <c r="C361" s="9">
        <v>1585507</v>
      </c>
      <c r="D361" s="9">
        <v>1639373</v>
      </c>
      <c r="E361" s="9">
        <v>1695486</v>
      </c>
      <c r="F361" s="9">
        <v>1751878</v>
      </c>
      <c r="G361" s="9">
        <v>1803019</v>
      </c>
      <c r="H361" s="9">
        <v>1847350</v>
      </c>
      <c r="I361" s="6">
        <v>3.1474848020000001</v>
      </c>
    </row>
    <row r="362" spans="1:9" x14ac:dyDescent="0.25">
      <c r="A362" s="1" t="s">
        <v>52</v>
      </c>
      <c r="B362" s="9">
        <v>2921112</v>
      </c>
      <c r="C362" s="9">
        <v>2990070</v>
      </c>
      <c r="D362" s="9">
        <v>3055052</v>
      </c>
      <c r="E362" s="9">
        <v>3117876</v>
      </c>
      <c r="F362" s="9">
        <v>3183813</v>
      </c>
      <c r="G362" s="9">
        <v>3242409</v>
      </c>
      <c r="H362" s="9">
        <v>3302694</v>
      </c>
      <c r="I362" s="6">
        <v>2.0673144849999998</v>
      </c>
    </row>
    <row r="363" spans="1:9" x14ac:dyDescent="0.25">
      <c r="A363" s="1" t="s">
        <v>53</v>
      </c>
      <c r="B363" s="9">
        <v>16416636</v>
      </c>
      <c r="C363" s="9">
        <v>16628267</v>
      </c>
      <c r="D363" s="9">
        <v>17088965</v>
      </c>
      <c r="E363" s="9">
        <v>17563852</v>
      </c>
      <c r="F363" s="9">
        <v>18068295</v>
      </c>
      <c r="G363" s="9">
        <v>18631321</v>
      </c>
      <c r="H363" s="9">
        <v>19193572</v>
      </c>
      <c r="I363" s="6">
        <v>2.63888832</v>
      </c>
    </row>
    <row r="364" spans="1:9" x14ac:dyDescent="0.25">
      <c r="A364" s="1" t="s">
        <v>54</v>
      </c>
      <c r="B364" s="9">
        <v>411191</v>
      </c>
      <c r="C364" s="9">
        <v>426670</v>
      </c>
      <c r="D364" s="9">
        <v>442093</v>
      </c>
      <c r="E364" s="9">
        <v>457160</v>
      </c>
      <c r="F364" s="9">
        <v>472588</v>
      </c>
      <c r="G364" s="9">
        <v>487155</v>
      </c>
      <c r="H364" s="9">
        <v>526609</v>
      </c>
      <c r="I364" s="6">
        <v>4.2095321480000001</v>
      </c>
    </row>
    <row r="365" spans="1:9" x14ac:dyDescent="0.25">
      <c r="A365" s="1" t="s">
        <v>55</v>
      </c>
      <c r="B365" s="9">
        <v>51620200</v>
      </c>
      <c r="C365" s="9">
        <v>52874464</v>
      </c>
      <c r="D365" s="9">
        <v>53909050</v>
      </c>
      <c r="E365" s="9">
        <v>55131987</v>
      </c>
      <c r="F365" s="9">
        <v>56542892</v>
      </c>
      <c r="G365" s="9">
        <v>57993192</v>
      </c>
      <c r="H365" s="9">
        <v>59284250</v>
      </c>
      <c r="I365" s="6">
        <v>2.3339979180000001</v>
      </c>
    </row>
    <row r="366" spans="1:9" x14ac:dyDescent="0.25">
      <c r="A366" s="1" t="s">
        <v>56</v>
      </c>
      <c r="B366" s="9">
        <v>816302</v>
      </c>
      <c r="C366" s="9">
        <v>856403</v>
      </c>
      <c r="D366" s="9">
        <v>913699</v>
      </c>
      <c r="E366" s="9">
        <v>964026</v>
      </c>
      <c r="F366" s="9">
        <v>998167</v>
      </c>
      <c r="G366" s="9">
        <v>1037516</v>
      </c>
      <c r="H366" s="9">
        <v>1085710</v>
      </c>
      <c r="I366" s="6">
        <v>4.8682038399999996</v>
      </c>
    </row>
    <row r="367" spans="1:9" x14ac:dyDescent="0.25">
      <c r="A367" s="1" t="s">
        <v>57</v>
      </c>
      <c r="B367" s="7" t="s">
        <v>58</v>
      </c>
      <c r="C367" s="7" t="s">
        <v>58</v>
      </c>
      <c r="D367" s="7" t="s">
        <v>58</v>
      </c>
      <c r="E367" s="7" t="s">
        <v>58</v>
      </c>
      <c r="F367" s="7" t="s">
        <v>58</v>
      </c>
      <c r="G367" s="7" t="s">
        <v>58</v>
      </c>
      <c r="H367" s="7" t="s">
        <v>58</v>
      </c>
      <c r="I367" s="7" t="s">
        <v>58</v>
      </c>
    </row>
    <row r="368" spans="1:9" x14ac:dyDescent="0.25">
      <c r="A368" s="1" t="s">
        <v>59</v>
      </c>
      <c r="B368" s="9">
        <v>423950</v>
      </c>
      <c r="C368" s="9">
        <v>463029</v>
      </c>
      <c r="D368" s="9">
        <v>507062</v>
      </c>
      <c r="E368" s="9">
        <v>556915</v>
      </c>
      <c r="F368" s="9">
        <v>614945</v>
      </c>
      <c r="G368" s="9">
        <v>650129</v>
      </c>
      <c r="H368" s="9">
        <v>670285</v>
      </c>
      <c r="I368" s="6">
        <v>7.9338023370000004</v>
      </c>
    </row>
    <row r="369" spans="1:9" x14ac:dyDescent="0.25">
      <c r="A369" s="1" t="s">
        <v>60</v>
      </c>
      <c r="B369" s="9">
        <v>233023</v>
      </c>
      <c r="C369" s="9">
        <v>251665</v>
      </c>
      <c r="D369" s="9">
        <v>271294</v>
      </c>
      <c r="E369" s="9">
        <v>291642</v>
      </c>
      <c r="F369" s="9">
        <v>317598</v>
      </c>
      <c r="G369" s="9">
        <v>342370</v>
      </c>
      <c r="H369" s="9">
        <v>370102</v>
      </c>
      <c r="I369" s="6">
        <v>8.0157553860000004</v>
      </c>
    </row>
    <row r="370" spans="1:9" ht="45" x14ac:dyDescent="0.25">
      <c r="A370" s="1" t="s">
        <v>61</v>
      </c>
      <c r="B370" s="9">
        <v>116172085</v>
      </c>
      <c r="C370" s="9">
        <v>122491373</v>
      </c>
      <c r="D370" s="9">
        <v>128261180</v>
      </c>
      <c r="E370" s="9">
        <v>133153303</v>
      </c>
      <c r="F370" s="9">
        <v>137416018</v>
      </c>
      <c r="G370" s="9">
        <v>141292683</v>
      </c>
      <c r="H370" s="9">
        <v>144715281</v>
      </c>
      <c r="I370" s="6">
        <v>3.7294562629999999</v>
      </c>
    </row>
    <row r="371" spans="1:9" x14ac:dyDescent="0.25">
      <c r="A371" s="1" t="s">
        <v>62</v>
      </c>
      <c r="B371" s="9">
        <v>482087</v>
      </c>
      <c r="C371" s="9">
        <v>481698</v>
      </c>
      <c r="D371" s="9">
        <v>479552</v>
      </c>
      <c r="E371" s="9">
        <v>478360</v>
      </c>
      <c r="F371" s="9">
        <v>477855</v>
      </c>
      <c r="G371" s="9">
        <v>477052</v>
      </c>
      <c r="H371" s="9">
        <v>475844</v>
      </c>
      <c r="I371" s="6">
        <v>-0.21700630500000001</v>
      </c>
    </row>
    <row r="372" spans="1:9" x14ac:dyDescent="0.25">
      <c r="A372" s="1" t="s">
        <v>63</v>
      </c>
      <c r="B372" s="9">
        <v>972126</v>
      </c>
      <c r="C372" s="9">
        <v>993179</v>
      </c>
      <c r="D372" s="9">
        <v>1012746</v>
      </c>
      <c r="E372" s="9">
        <v>1035035</v>
      </c>
      <c r="F372" s="9">
        <v>1062392</v>
      </c>
      <c r="G372" s="9">
        <v>1115967</v>
      </c>
      <c r="H372" s="9">
        <v>1170069</v>
      </c>
      <c r="I372" s="6">
        <v>3.1370770349999999</v>
      </c>
    </row>
    <row r="373" spans="1:9" x14ac:dyDescent="0.25">
      <c r="A373" s="1" t="s">
        <v>64</v>
      </c>
      <c r="B373" s="9">
        <v>796171</v>
      </c>
      <c r="C373" s="9">
        <v>786260</v>
      </c>
      <c r="D373" s="9">
        <v>779389</v>
      </c>
      <c r="E373" s="9">
        <v>774318</v>
      </c>
      <c r="F373" s="9">
        <v>770552</v>
      </c>
      <c r="G373" s="9">
        <v>767754</v>
      </c>
      <c r="H373" s="9">
        <v>765678</v>
      </c>
      <c r="I373" s="6">
        <v>-0.64875760599999999</v>
      </c>
    </row>
    <row r="374" spans="1:9" x14ac:dyDescent="0.25">
      <c r="A374" s="1" t="s">
        <v>65</v>
      </c>
      <c r="B374" s="9">
        <v>4721194</v>
      </c>
      <c r="C374" s="9">
        <v>5031771</v>
      </c>
      <c r="D374" s="9">
        <v>5273631</v>
      </c>
      <c r="E374" s="9">
        <v>5467414</v>
      </c>
      <c r="F374" s="9">
        <v>5673700</v>
      </c>
      <c r="G374" s="9">
        <v>5881102</v>
      </c>
      <c r="H374" s="9">
        <v>6092046</v>
      </c>
      <c r="I374" s="6">
        <v>4.3402535909999997</v>
      </c>
    </row>
    <row r="375" spans="1:9" x14ac:dyDescent="0.25">
      <c r="A375" s="1" t="s">
        <v>66</v>
      </c>
      <c r="B375" s="9">
        <v>25909813</v>
      </c>
      <c r="C375" s="9">
        <v>27584710</v>
      </c>
      <c r="D375" s="9">
        <v>28942909</v>
      </c>
      <c r="E375" s="9">
        <v>30000203</v>
      </c>
      <c r="F375" s="9">
        <v>30806781</v>
      </c>
      <c r="G375" s="9">
        <v>31411058</v>
      </c>
      <c r="H375" s="9">
        <v>31842557</v>
      </c>
      <c r="I375" s="6">
        <v>3.4960899809999999</v>
      </c>
    </row>
    <row r="376" spans="1:9" ht="30" x14ac:dyDescent="0.25">
      <c r="A376" s="1" t="s">
        <v>67</v>
      </c>
      <c r="B376" s="9">
        <v>49695112</v>
      </c>
      <c r="C376" s="9">
        <v>53135333</v>
      </c>
      <c r="D376" s="9">
        <v>56578793</v>
      </c>
      <c r="E376" s="9">
        <v>60088006</v>
      </c>
      <c r="F376" s="9">
        <v>63588620</v>
      </c>
      <c r="G376" s="9">
        <v>66737643</v>
      </c>
      <c r="H376" s="9">
        <v>69845002</v>
      </c>
      <c r="I376" s="6">
        <v>5.8368592220000002</v>
      </c>
    </row>
    <row r="377" spans="1:9" x14ac:dyDescent="0.25">
      <c r="A377" s="1" t="s">
        <v>68</v>
      </c>
      <c r="B377" s="7" t="s">
        <v>58</v>
      </c>
      <c r="C377" s="7" t="s">
        <v>58</v>
      </c>
      <c r="D377" s="7" t="s">
        <v>58</v>
      </c>
      <c r="E377" s="7" t="s">
        <v>58</v>
      </c>
      <c r="F377" s="7" t="s">
        <v>58</v>
      </c>
      <c r="G377" s="7" t="s">
        <v>58</v>
      </c>
      <c r="H377" s="7" t="s">
        <v>58</v>
      </c>
      <c r="I377" s="7" t="s">
        <v>58</v>
      </c>
    </row>
    <row r="378" spans="1:9" x14ac:dyDescent="0.25">
      <c r="A378" s="1" t="s">
        <v>69</v>
      </c>
      <c r="B378" s="9">
        <v>1195405</v>
      </c>
      <c r="C378" s="9">
        <v>1318606</v>
      </c>
      <c r="D378" s="9">
        <v>1440690</v>
      </c>
      <c r="E378" s="9">
        <v>1604786</v>
      </c>
      <c r="F378" s="9">
        <v>1755091</v>
      </c>
      <c r="G378" s="9">
        <v>1958943</v>
      </c>
      <c r="H378" s="9">
        <v>2168920</v>
      </c>
      <c r="I378" s="6">
        <v>10.438731811</v>
      </c>
    </row>
    <row r="379" spans="1:9" x14ac:dyDescent="0.25">
      <c r="A379" s="1" t="s">
        <v>70</v>
      </c>
      <c r="B379" s="9">
        <v>7699513</v>
      </c>
      <c r="C379" s="9">
        <v>7760868</v>
      </c>
      <c r="D379" s="9">
        <v>7823481</v>
      </c>
      <c r="E379" s="9">
        <v>7885161</v>
      </c>
      <c r="F379" s="9">
        <v>7944921</v>
      </c>
      <c r="G379" s="9">
        <v>8019971</v>
      </c>
      <c r="H379" s="9">
        <v>8086595</v>
      </c>
      <c r="I379" s="6">
        <v>0.82086195399999995</v>
      </c>
    </row>
    <row r="380" spans="1:9" x14ac:dyDescent="0.25">
      <c r="A380" s="1" t="s">
        <v>71</v>
      </c>
      <c r="B380" s="9">
        <v>1614425</v>
      </c>
      <c r="C380" s="9">
        <v>1638095</v>
      </c>
      <c r="D380" s="9">
        <v>1648032</v>
      </c>
      <c r="E380" s="9">
        <v>1674164</v>
      </c>
      <c r="F380" s="9">
        <v>1687937</v>
      </c>
      <c r="G380" s="9">
        <v>1712709</v>
      </c>
      <c r="H380" s="9">
        <v>1730388</v>
      </c>
      <c r="I380" s="6">
        <v>1.1628222319999999</v>
      </c>
    </row>
    <row r="381" spans="1:9" x14ac:dyDescent="0.25">
      <c r="A381" s="1" t="s">
        <v>72</v>
      </c>
      <c r="B381" s="9">
        <v>410903</v>
      </c>
      <c r="C381" s="9">
        <v>437078</v>
      </c>
      <c r="D381" s="9">
        <v>460549</v>
      </c>
      <c r="E381" s="9">
        <v>481274</v>
      </c>
      <c r="F381" s="9">
        <v>499081</v>
      </c>
      <c r="G381" s="9">
        <v>517547</v>
      </c>
      <c r="H381" s="9">
        <v>536696</v>
      </c>
      <c r="I381" s="6">
        <v>4.5517984489999996</v>
      </c>
    </row>
    <row r="382" spans="1:9" x14ac:dyDescent="0.25">
      <c r="A382" s="1" t="s">
        <v>73</v>
      </c>
      <c r="B382" s="7" t="s">
        <v>58</v>
      </c>
      <c r="C382" s="7" t="s">
        <v>58</v>
      </c>
      <c r="D382" s="7" t="s">
        <v>58</v>
      </c>
      <c r="E382" s="7" t="s">
        <v>58</v>
      </c>
      <c r="F382" s="7" t="s">
        <v>58</v>
      </c>
      <c r="G382" s="7" t="s">
        <v>58</v>
      </c>
      <c r="H382" s="7" t="s">
        <v>58</v>
      </c>
      <c r="I382" s="7" t="s">
        <v>58</v>
      </c>
    </row>
    <row r="383" spans="1:9" ht="30" x14ac:dyDescent="0.25">
      <c r="A383" s="1" t="s">
        <v>74</v>
      </c>
      <c r="B383" s="9">
        <v>136690667</v>
      </c>
      <c r="C383" s="9">
        <v>139774592</v>
      </c>
      <c r="D383" s="9">
        <v>143010907</v>
      </c>
      <c r="E383" s="9">
        <v>146141542</v>
      </c>
      <c r="F383" s="9">
        <v>149398667</v>
      </c>
      <c r="G383" s="9">
        <v>153419381</v>
      </c>
      <c r="H383" s="9">
        <v>156163315</v>
      </c>
      <c r="I383" s="6">
        <v>2.2445166369999998</v>
      </c>
    </row>
    <row r="384" spans="1:9" x14ac:dyDescent="0.25">
      <c r="A384" s="1" t="s">
        <v>75</v>
      </c>
      <c r="B384" s="9">
        <v>2443281</v>
      </c>
      <c r="C384" s="9">
        <v>2489735</v>
      </c>
      <c r="D384" s="9">
        <v>2533755</v>
      </c>
      <c r="E384" s="9">
        <v>2577674</v>
      </c>
      <c r="F384" s="9">
        <v>2621033</v>
      </c>
      <c r="G384" s="9">
        <v>2661033</v>
      </c>
      <c r="H384" s="9">
        <v>2701253</v>
      </c>
      <c r="I384" s="6">
        <v>1.6869701640000001</v>
      </c>
    </row>
    <row r="385" spans="1:9" x14ac:dyDescent="0.25">
      <c r="A385" s="1" t="s">
        <v>76</v>
      </c>
      <c r="B385" s="9">
        <v>576417</v>
      </c>
      <c r="C385" s="9">
        <v>589525</v>
      </c>
      <c r="D385" s="9">
        <v>601338</v>
      </c>
      <c r="E385" s="9">
        <v>614699</v>
      </c>
      <c r="F385" s="9">
        <v>631735</v>
      </c>
      <c r="G385" s="9">
        <v>650086</v>
      </c>
      <c r="H385" s="9">
        <v>669809</v>
      </c>
      <c r="I385" s="6">
        <v>2.534267453</v>
      </c>
    </row>
    <row r="386" spans="1:9" ht="45" x14ac:dyDescent="0.25">
      <c r="A386" s="1" t="s">
        <v>77</v>
      </c>
      <c r="B386" s="9">
        <v>17357958</v>
      </c>
      <c r="C386" s="9">
        <v>17962328</v>
      </c>
      <c r="D386" s="9">
        <v>18549206</v>
      </c>
      <c r="E386" s="9">
        <v>19241718</v>
      </c>
      <c r="F386" s="9">
        <v>20869041</v>
      </c>
      <c r="G386" s="9">
        <v>21754659</v>
      </c>
      <c r="H386" s="9">
        <v>22746082</v>
      </c>
      <c r="I386" s="6">
        <v>4.608745646</v>
      </c>
    </row>
    <row r="387" spans="1:9" ht="45" x14ac:dyDescent="0.25">
      <c r="A387" s="1" t="s">
        <v>78</v>
      </c>
      <c r="B387" s="9">
        <v>26356097</v>
      </c>
      <c r="C387" s="9">
        <v>27314451</v>
      </c>
      <c r="D387" s="9">
        <v>28270538</v>
      </c>
      <c r="E387" s="9">
        <v>29413631</v>
      </c>
      <c r="F387" s="9">
        <v>30773613</v>
      </c>
      <c r="G387" s="9">
        <v>32384418</v>
      </c>
      <c r="H387" s="9">
        <v>34266640</v>
      </c>
      <c r="I387" s="6">
        <v>4.4716380249999998</v>
      </c>
    </row>
    <row r="388" spans="1:9" ht="60" x14ac:dyDescent="0.25">
      <c r="A388" s="1" t="s">
        <v>79</v>
      </c>
      <c r="B388" s="7" t="s">
        <v>58</v>
      </c>
      <c r="C388" s="7" t="s">
        <v>58</v>
      </c>
      <c r="D388" s="7" t="s">
        <v>58</v>
      </c>
      <c r="E388" s="7" t="s">
        <v>58</v>
      </c>
      <c r="F388" s="7" t="s">
        <v>58</v>
      </c>
      <c r="G388" s="7" t="s">
        <v>58</v>
      </c>
      <c r="H388" s="7" t="s">
        <v>58</v>
      </c>
      <c r="I388" s="7" t="s">
        <v>58</v>
      </c>
    </row>
    <row r="389" spans="1:9" ht="45" x14ac:dyDescent="0.25">
      <c r="A389" s="1" t="s">
        <v>80</v>
      </c>
      <c r="B389" s="7" t="s">
        <v>58</v>
      </c>
      <c r="C389" s="7" t="s">
        <v>58</v>
      </c>
      <c r="D389" s="7" t="s">
        <v>58</v>
      </c>
      <c r="E389" s="7" t="s">
        <v>58</v>
      </c>
      <c r="F389" s="7" t="s">
        <v>58</v>
      </c>
      <c r="G389" s="7" t="s">
        <v>58</v>
      </c>
      <c r="H389" s="7" t="s">
        <v>58</v>
      </c>
      <c r="I389" s="7" t="s">
        <v>58</v>
      </c>
    </row>
    <row r="390" spans="1:9" ht="45" x14ac:dyDescent="0.25">
      <c r="A390" s="1" t="s">
        <v>81</v>
      </c>
      <c r="B390" s="9">
        <v>988785</v>
      </c>
      <c r="C390" s="9">
        <v>1000587</v>
      </c>
      <c r="D390" s="9">
        <v>1010585</v>
      </c>
      <c r="E390" s="9">
        <v>1020156</v>
      </c>
      <c r="F390" s="9">
        <v>1028688</v>
      </c>
      <c r="G390" s="9">
        <v>1037044</v>
      </c>
      <c r="H390" s="9">
        <v>1045480</v>
      </c>
      <c r="I390" s="6">
        <v>0.93357205700000001</v>
      </c>
    </row>
    <row r="391" spans="1:9" x14ac:dyDescent="0.25">
      <c r="A391" s="1" t="s">
        <v>82</v>
      </c>
      <c r="B391" s="9">
        <v>3934725</v>
      </c>
      <c r="C391" s="9">
        <v>4369356</v>
      </c>
      <c r="D391" s="9">
        <v>4936407</v>
      </c>
      <c r="E391" s="9">
        <v>5593941</v>
      </c>
      <c r="F391" s="9">
        <v>6204632</v>
      </c>
      <c r="G391" s="9">
        <v>6782400</v>
      </c>
      <c r="H391" s="9">
        <v>7329016</v>
      </c>
      <c r="I391" s="6">
        <v>10.92306997</v>
      </c>
    </row>
    <row r="392" spans="1:9" x14ac:dyDescent="0.25">
      <c r="A392" s="1" t="s">
        <v>83</v>
      </c>
      <c r="B392" s="9">
        <v>510489</v>
      </c>
      <c r="C392" s="9">
        <v>532625</v>
      </c>
      <c r="D392" s="9">
        <v>552351</v>
      </c>
      <c r="E392" s="9">
        <v>574657</v>
      </c>
      <c r="F392" s="9">
        <v>595488</v>
      </c>
      <c r="G392" s="9">
        <v>618481</v>
      </c>
      <c r="H392" s="9">
        <v>644146</v>
      </c>
      <c r="I392" s="6">
        <v>3.9520330860000001</v>
      </c>
    </row>
    <row r="393" spans="1:9" x14ac:dyDescent="0.25">
      <c r="A393" s="1" t="s">
        <v>84</v>
      </c>
      <c r="B393" s="9">
        <v>694232</v>
      </c>
      <c r="C393" s="9">
        <v>727350</v>
      </c>
      <c r="D393" s="9">
        <v>758854</v>
      </c>
      <c r="E393" s="9">
        <v>788218</v>
      </c>
      <c r="F393" s="9">
        <v>815315</v>
      </c>
      <c r="G393" s="9">
        <v>839906</v>
      </c>
      <c r="H393" s="9">
        <v>862030</v>
      </c>
      <c r="I393" s="6">
        <v>3.6739451710000002</v>
      </c>
    </row>
    <row r="394" spans="1:9" x14ac:dyDescent="0.25">
      <c r="A394" s="1" t="s">
        <v>85</v>
      </c>
      <c r="B394" s="9">
        <v>836092</v>
      </c>
      <c r="C394" s="9">
        <v>910504</v>
      </c>
      <c r="D394" s="9">
        <v>985165</v>
      </c>
      <c r="E394" s="9">
        <v>1060038</v>
      </c>
      <c r="F394" s="9">
        <v>1128940</v>
      </c>
      <c r="G394" s="9">
        <v>1196676</v>
      </c>
      <c r="H394" s="9">
        <v>1274460</v>
      </c>
      <c r="I394" s="6">
        <v>7.2783347709999999</v>
      </c>
    </row>
    <row r="395" spans="1:9" x14ac:dyDescent="0.25">
      <c r="A395" s="1" t="s">
        <v>86</v>
      </c>
      <c r="B395" s="9">
        <v>3706741</v>
      </c>
      <c r="C395" s="9">
        <v>4025854</v>
      </c>
      <c r="D395" s="9">
        <v>4362939</v>
      </c>
      <c r="E395" s="9">
        <v>4738777</v>
      </c>
      <c r="F395" s="9">
        <v>5150272</v>
      </c>
      <c r="G395" s="9">
        <v>5590564</v>
      </c>
      <c r="H395" s="9">
        <v>6053305</v>
      </c>
      <c r="I395" s="6">
        <v>8.5175680790000001</v>
      </c>
    </row>
    <row r="396" spans="1:9" x14ac:dyDescent="0.25">
      <c r="A396" s="1" t="s">
        <v>87</v>
      </c>
      <c r="B396" s="9">
        <v>9333228</v>
      </c>
      <c r="C396" s="9">
        <v>10941848</v>
      </c>
      <c r="D396" s="9">
        <v>12651229</v>
      </c>
      <c r="E396" s="9">
        <v>13738622</v>
      </c>
      <c r="F396" s="9">
        <v>14657631</v>
      </c>
      <c r="G396" s="9">
        <v>15597763</v>
      </c>
      <c r="H396" s="9">
        <v>16506432</v>
      </c>
      <c r="I396" s="6">
        <v>9.9689863630000008</v>
      </c>
    </row>
    <row r="397" spans="1:9" x14ac:dyDescent="0.25">
      <c r="A397" s="1" t="s">
        <v>88</v>
      </c>
      <c r="B397" s="9">
        <v>9829400</v>
      </c>
      <c r="C397" s="9">
        <v>10129728</v>
      </c>
      <c r="D397" s="9">
        <v>10421021</v>
      </c>
      <c r="E397" s="9">
        <v>10698986</v>
      </c>
      <c r="F397" s="9">
        <v>10961259</v>
      </c>
      <c r="G397" s="9">
        <v>11206877</v>
      </c>
      <c r="H397" s="9">
        <v>11435848</v>
      </c>
      <c r="I397" s="6">
        <v>2.5550130599999998</v>
      </c>
    </row>
    <row r="398" spans="1:9" x14ac:dyDescent="0.25">
      <c r="A398" s="1" t="s">
        <v>89</v>
      </c>
      <c r="B398" s="9">
        <v>3968728</v>
      </c>
      <c r="C398" s="9">
        <v>4057432</v>
      </c>
      <c r="D398" s="9">
        <v>4137809</v>
      </c>
      <c r="E398" s="9">
        <v>4211847</v>
      </c>
      <c r="F398" s="9">
        <v>4279437</v>
      </c>
      <c r="G398" s="9">
        <v>4343839</v>
      </c>
      <c r="H398" s="9">
        <v>4404383</v>
      </c>
      <c r="I398" s="6">
        <v>1.7510634819999999</v>
      </c>
    </row>
    <row r="399" spans="1:9" x14ac:dyDescent="0.25">
      <c r="A399" s="1" t="s">
        <v>90</v>
      </c>
      <c r="B399" s="9">
        <v>738173</v>
      </c>
      <c r="C399" s="9">
        <v>758078</v>
      </c>
      <c r="D399" s="9">
        <v>776984</v>
      </c>
      <c r="E399" s="9">
        <v>794575</v>
      </c>
      <c r="F399" s="9">
        <v>810707</v>
      </c>
      <c r="G399" s="9">
        <v>825348</v>
      </c>
      <c r="H399" s="9">
        <v>838540</v>
      </c>
      <c r="I399" s="6">
        <v>2.1474677029999998</v>
      </c>
    </row>
    <row r="400" spans="1:9" x14ac:dyDescent="0.25">
      <c r="A400" s="1" t="s">
        <v>91</v>
      </c>
      <c r="B400" s="9">
        <v>319310</v>
      </c>
      <c r="C400" s="9">
        <v>322503</v>
      </c>
      <c r="D400" s="9">
        <v>333304</v>
      </c>
      <c r="E400" s="9">
        <v>342910</v>
      </c>
      <c r="F400" s="9">
        <v>352799</v>
      </c>
      <c r="G400" s="9">
        <v>361318</v>
      </c>
      <c r="H400" s="9">
        <v>368683</v>
      </c>
      <c r="I400" s="6">
        <v>2.4251869909999999</v>
      </c>
    </row>
    <row r="401" spans="1:9" x14ac:dyDescent="0.25">
      <c r="A401" s="1" t="s">
        <v>92</v>
      </c>
      <c r="B401" s="9">
        <v>6807000</v>
      </c>
      <c r="C401" s="9">
        <v>7018000</v>
      </c>
      <c r="D401" s="9">
        <v>7148437</v>
      </c>
      <c r="E401" s="9">
        <v>7254928</v>
      </c>
      <c r="F401" s="9">
        <v>7337047</v>
      </c>
      <c r="G401" s="9">
        <v>7416557</v>
      </c>
      <c r="H401" s="9">
        <v>7487590</v>
      </c>
      <c r="I401" s="6">
        <v>1.6009380090000001</v>
      </c>
    </row>
    <row r="402" spans="1:9" x14ac:dyDescent="0.25">
      <c r="A402" s="1" t="s">
        <v>93</v>
      </c>
      <c r="B402" s="9">
        <v>36931807</v>
      </c>
      <c r="C402" s="9">
        <v>38408284</v>
      </c>
      <c r="D402" s="9">
        <v>39440282</v>
      </c>
      <c r="E402" s="9">
        <v>40308945</v>
      </c>
      <c r="F402" s="9">
        <v>41028650</v>
      </c>
      <c r="G402" s="9">
        <v>41618381</v>
      </c>
      <c r="H402" s="9">
        <v>42097785</v>
      </c>
      <c r="I402" s="6">
        <v>2.2060132449999998</v>
      </c>
    </row>
    <row r="403" spans="1:9" x14ac:dyDescent="0.25">
      <c r="A403" s="1" t="s">
        <v>94</v>
      </c>
      <c r="B403" s="9">
        <v>2892446</v>
      </c>
      <c r="C403" s="9">
        <v>3053850</v>
      </c>
      <c r="D403" s="9">
        <v>3210751</v>
      </c>
      <c r="E403" s="9">
        <v>3297882</v>
      </c>
      <c r="F403" s="9">
        <v>3405483</v>
      </c>
      <c r="G403" s="9">
        <v>3519678</v>
      </c>
      <c r="H403" s="9">
        <v>3606933</v>
      </c>
      <c r="I403" s="6">
        <v>3.747777648</v>
      </c>
    </row>
    <row r="404" spans="1:9" x14ac:dyDescent="0.25">
      <c r="A404" s="1" t="s">
        <v>95</v>
      </c>
      <c r="B404" s="9">
        <v>2200000</v>
      </c>
      <c r="C404" s="9">
        <v>2220000</v>
      </c>
      <c r="D404" s="9">
        <v>2293279</v>
      </c>
      <c r="E404" s="9">
        <v>2315996</v>
      </c>
      <c r="F404" s="9">
        <v>2334531</v>
      </c>
      <c r="G404" s="9">
        <v>2349003</v>
      </c>
      <c r="H404" s="9">
        <v>2361301</v>
      </c>
      <c r="I404" s="6">
        <v>1.186236939</v>
      </c>
    </row>
    <row r="405" spans="1:9" x14ac:dyDescent="0.25">
      <c r="A405" s="1" t="s">
        <v>96</v>
      </c>
      <c r="B405" s="9">
        <v>1446500</v>
      </c>
      <c r="C405" s="9">
        <v>1504393</v>
      </c>
      <c r="D405" s="9">
        <v>1527944</v>
      </c>
      <c r="E405" s="9">
        <v>1557264</v>
      </c>
      <c r="F405" s="9">
        <v>1583162</v>
      </c>
      <c r="G405" s="9">
        <v>1610501</v>
      </c>
      <c r="H405" s="9">
        <v>1637605</v>
      </c>
      <c r="I405" s="6">
        <v>2.0896667789999999</v>
      </c>
    </row>
    <row r="406" spans="1:9" x14ac:dyDescent="0.25">
      <c r="A406" s="1" t="s">
        <v>97</v>
      </c>
      <c r="B406" s="9">
        <v>1678162</v>
      </c>
      <c r="C406" s="9">
        <v>1750492</v>
      </c>
      <c r="D406" s="9">
        <v>1759589</v>
      </c>
      <c r="E406" s="9">
        <v>1761400</v>
      </c>
      <c r="F406" s="9">
        <v>1758258</v>
      </c>
      <c r="G406" s="9">
        <v>1751910</v>
      </c>
      <c r="H406" s="9">
        <v>1743641</v>
      </c>
      <c r="I406" s="6">
        <v>0.63997764099999999</v>
      </c>
    </row>
    <row r="407" spans="1:9" x14ac:dyDescent="0.25">
      <c r="A407" s="1" t="s">
        <v>98</v>
      </c>
      <c r="B407" s="9">
        <v>760349</v>
      </c>
      <c r="C407" s="9">
        <v>765724</v>
      </c>
      <c r="D407" s="9">
        <v>773555</v>
      </c>
      <c r="E407" s="9">
        <v>783157</v>
      </c>
      <c r="F407" s="9">
        <v>793991</v>
      </c>
      <c r="G407" s="9">
        <v>804356</v>
      </c>
      <c r="H407" s="9">
        <v>814117</v>
      </c>
      <c r="I407" s="6">
        <v>1.145284601</v>
      </c>
    </row>
    <row r="408" spans="1:9" x14ac:dyDescent="0.25">
      <c r="A408" s="1" t="s">
        <v>99</v>
      </c>
      <c r="B408" s="9">
        <v>2623167</v>
      </c>
      <c r="C408" s="9">
        <v>3211270</v>
      </c>
      <c r="D408" s="9">
        <v>3920135</v>
      </c>
      <c r="E408" s="9">
        <v>4724584</v>
      </c>
      <c r="F408" s="9">
        <v>5608841</v>
      </c>
      <c r="G408" s="9">
        <v>6412332</v>
      </c>
      <c r="H408" s="9">
        <v>7206961</v>
      </c>
      <c r="I408" s="6">
        <v>18.346214798999998</v>
      </c>
    </row>
    <row r="409" spans="1:9" x14ac:dyDescent="0.25">
      <c r="A409" s="1" t="s">
        <v>100</v>
      </c>
      <c r="B409" s="9">
        <v>24721782</v>
      </c>
      <c r="C409" s="9">
        <v>24928000</v>
      </c>
      <c r="D409" s="9">
        <v>25060177</v>
      </c>
      <c r="E409" s="9">
        <v>25179834</v>
      </c>
      <c r="F409" s="9">
        <v>25313710</v>
      </c>
      <c r="G409" s="9">
        <v>25511498</v>
      </c>
      <c r="H409" s="9">
        <v>25701724</v>
      </c>
      <c r="I409" s="6">
        <v>0.64999257499999996</v>
      </c>
    </row>
    <row r="410" spans="1:9" x14ac:dyDescent="0.25">
      <c r="A410" s="1" t="s">
        <v>101</v>
      </c>
      <c r="B410" s="9">
        <v>16520091</v>
      </c>
      <c r="C410" s="9">
        <v>16964714</v>
      </c>
      <c r="D410" s="9">
        <v>17355679</v>
      </c>
      <c r="E410" s="9">
        <v>17719149</v>
      </c>
      <c r="F410" s="9">
        <v>18057252</v>
      </c>
      <c r="G410" s="9">
        <v>18378448</v>
      </c>
      <c r="H410" s="9">
        <v>18690630</v>
      </c>
      <c r="I410" s="6">
        <v>2.0787282710000001</v>
      </c>
    </row>
    <row r="411" spans="1:9" x14ac:dyDescent="0.25">
      <c r="A411" s="1" t="s">
        <v>102</v>
      </c>
      <c r="B411" s="9">
        <v>4342530</v>
      </c>
      <c r="C411" s="9">
        <v>4434698</v>
      </c>
      <c r="D411" s="9">
        <v>4517052</v>
      </c>
      <c r="E411" s="9">
        <v>4582849</v>
      </c>
      <c r="F411" s="9">
        <v>4638167</v>
      </c>
      <c r="G411" s="9">
        <v>4686314</v>
      </c>
      <c r="H411" s="9">
        <v>4718176</v>
      </c>
      <c r="I411" s="6">
        <v>1.392356851</v>
      </c>
    </row>
    <row r="412" spans="1:9" x14ac:dyDescent="0.25">
      <c r="A412" s="1" t="s">
        <v>103</v>
      </c>
      <c r="B412" s="9">
        <v>4140555</v>
      </c>
      <c r="C412" s="9">
        <v>4160669</v>
      </c>
      <c r="D412" s="9">
        <v>4183899</v>
      </c>
      <c r="E412" s="9">
        <v>4208396</v>
      </c>
      <c r="F412" s="9">
        <v>4231891</v>
      </c>
      <c r="G412" s="9">
        <v>4253490</v>
      </c>
      <c r="H412" s="9">
        <v>4277533</v>
      </c>
      <c r="I412" s="6">
        <v>0.54391730000000005</v>
      </c>
    </row>
    <row r="413" spans="1:9" x14ac:dyDescent="0.25">
      <c r="A413" s="1" t="s">
        <v>104</v>
      </c>
      <c r="B413" s="9">
        <v>208918</v>
      </c>
      <c r="C413" s="9">
        <v>222120</v>
      </c>
      <c r="D413" s="9">
        <v>236175</v>
      </c>
      <c r="E413" s="9">
        <v>251179</v>
      </c>
      <c r="F413" s="9">
        <v>269059</v>
      </c>
      <c r="G413" s="9">
        <v>287487</v>
      </c>
      <c r="H413" s="9">
        <v>307690</v>
      </c>
      <c r="I413" s="6">
        <v>6.6652413480000003</v>
      </c>
    </row>
    <row r="414" spans="1:9" x14ac:dyDescent="0.25">
      <c r="A414" s="1" t="s">
        <v>105</v>
      </c>
      <c r="B414" s="9">
        <v>7065309</v>
      </c>
      <c r="C414" s="9">
        <v>7232022</v>
      </c>
      <c r="D414" s="9">
        <v>7347276</v>
      </c>
      <c r="E414" s="9">
        <v>7482851</v>
      </c>
      <c r="F414" s="9">
        <v>7547654</v>
      </c>
      <c r="G414" s="9">
        <v>7648512</v>
      </c>
      <c r="H414" s="9">
        <v>7793939</v>
      </c>
      <c r="I414" s="6">
        <v>1.6492800480000001</v>
      </c>
    </row>
    <row r="415" spans="1:9" x14ac:dyDescent="0.25">
      <c r="A415" s="1" t="s">
        <v>106</v>
      </c>
      <c r="B415" s="9">
        <v>11806342</v>
      </c>
      <c r="C415" s="9">
        <v>12118105</v>
      </c>
      <c r="D415" s="9">
        <v>12423437</v>
      </c>
      <c r="E415" s="9">
        <v>12735082</v>
      </c>
      <c r="F415" s="9">
        <v>13048431</v>
      </c>
      <c r="G415" s="9">
        <v>13349519</v>
      </c>
      <c r="H415" s="9">
        <v>13712290</v>
      </c>
      <c r="I415" s="6">
        <v>2.5256280449999999</v>
      </c>
    </row>
    <row r="416" spans="1:9" ht="30" x14ac:dyDescent="0.25">
      <c r="A416" s="1" t="s">
        <v>107</v>
      </c>
      <c r="B416" s="9">
        <v>342965</v>
      </c>
      <c r="C416" s="9">
        <v>348138</v>
      </c>
      <c r="D416" s="9">
        <v>352991</v>
      </c>
      <c r="E416" s="9">
        <v>357541</v>
      </c>
      <c r="F416" s="9">
        <v>361805</v>
      </c>
      <c r="G416" s="9">
        <v>365799</v>
      </c>
      <c r="H416" s="9">
        <v>369539</v>
      </c>
      <c r="I416" s="6">
        <v>1.2515653659999999</v>
      </c>
    </row>
    <row r="417" spans="1:9" x14ac:dyDescent="0.25">
      <c r="A417" s="1" t="s">
        <v>108</v>
      </c>
      <c r="B417" s="9">
        <v>21988232</v>
      </c>
      <c r="C417" s="9">
        <v>23285503</v>
      </c>
      <c r="D417" s="9">
        <v>24574121</v>
      </c>
      <c r="E417" s="9">
        <v>25818364</v>
      </c>
      <c r="F417" s="9">
        <v>26980894</v>
      </c>
      <c r="G417" s="9">
        <v>28024722</v>
      </c>
      <c r="H417" s="9">
        <v>28955817</v>
      </c>
      <c r="I417" s="6">
        <v>4.6945928029999999</v>
      </c>
    </row>
    <row r="418" spans="1:9" ht="30" x14ac:dyDescent="0.25">
      <c r="A418" s="1" t="s">
        <v>109</v>
      </c>
      <c r="B418" s="9">
        <v>1942636</v>
      </c>
      <c r="C418" s="9">
        <v>2003749</v>
      </c>
      <c r="D418" s="9">
        <v>2061157</v>
      </c>
      <c r="E418" s="9">
        <v>2120981</v>
      </c>
      <c r="F418" s="9">
        <v>2176408</v>
      </c>
      <c r="G418" s="9">
        <v>2233424</v>
      </c>
      <c r="H418" s="9">
        <v>2284988</v>
      </c>
      <c r="I418" s="6">
        <v>2.7421733970000002</v>
      </c>
    </row>
    <row r="419" spans="1:9" x14ac:dyDescent="0.25">
      <c r="A419" s="1" t="s">
        <v>110</v>
      </c>
      <c r="B419" s="9">
        <v>28405391</v>
      </c>
      <c r="C419" s="9">
        <v>28595177</v>
      </c>
      <c r="D419" s="9">
        <v>28792315</v>
      </c>
      <c r="E419" s="9">
        <v>28973457</v>
      </c>
      <c r="F419" s="9">
        <v>29150688</v>
      </c>
      <c r="G419" s="9">
        <v>29330489</v>
      </c>
      <c r="H419" s="9">
        <v>29519350</v>
      </c>
      <c r="I419" s="6">
        <v>0.64317671200000004</v>
      </c>
    </row>
    <row r="420" spans="1:9" x14ac:dyDescent="0.25">
      <c r="A420" s="1" t="s">
        <v>111</v>
      </c>
      <c r="B420" s="9">
        <v>1152344</v>
      </c>
      <c r="C420" s="9">
        <v>1172509</v>
      </c>
      <c r="D420" s="9">
        <v>1214855</v>
      </c>
      <c r="E420" s="9">
        <v>1255665</v>
      </c>
      <c r="F420" s="9">
        <v>1285997</v>
      </c>
      <c r="G420" s="9">
        <v>1309852</v>
      </c>
      <c r="H420" s="9">
        <v>1332744</v>
      </c>
      <c r="I420" s="6">
        <v>2.4536492270000001</v>
      </c>
    </row>
    <row r="421" spans="1:9" x14ac:dyDescent="0.25">
      <c r="A421" s="1" t="s">
        <v>112</v>
      </c>
      <c r="B421" s="9">
        <v>121349589</v>
      </c>
      <c r="C421" s="9">
        <v>124210704</v>
      </c>
      <c r="D421" s="9">
        <v>127205436</v>
      </c>
      <c r="E421" s="9">
        <v>130113263</v>
      </c>
      <c r="F421" s="9">
        <v>133159408</v>
      </c>
      <c r="G421" s="9">
        <v>136969312</v>
      </c>
      <c r="H421" s="9">
        <v>139506214</v>
      </c>
      <c r="I421" s="6">
        <v>2.3511061209999999</v>
      </c>
    </row>
    <row r="422" spans="1:9" x14ac:dyDescent="0.25">
      <c r="A422" s="1" t="s">
        <v>113</v>
      </c>
      <c r="B422" s="9">
        <v>2218059</v>
      </c>
      <c r="C422" s="9">
        <v>2113949</v>
      </c>
      <c r="D422" s="9">
        <v>2033761</v>
      </c>
      <c r="E422" s="9">
        <v>1967469</v>
      </c>
      <c r="F422" s="9">
        <v>1912274</v>
      </c>
      <c r="G422" s="9">
        <v>1865887</v>
      </c>
      <c r="H422" s="9">
        <v>1826477</v>
      </c>
      <c r="I422" s="6">
        <v>-3.1855493290000001</v>
      </c>
    </row>
    <row r="423" spans="1:9" x14ac:dyDescent="0.25">
      <c r="A423" s="1" t="s">
        <v>114</v>
      </c>
      <c r="B423" s="9">
        <v>23963567</v>
      </c>
      <c r="C423" s="9">
        <v>24425079</v>
      </c>
      <c r="D423" s="9">
        <v>24897638</v>
      </c>
      <c r="E423" s="9">
        <v>25458299</v>
      </c>
      <c r="F423" s="9">
        <v>25959635</v>
      </c>
      <c r="G423" s="9">
        <v>26452702</v>
      </c>
      <c r="H423" s="9">
        <v>27036521</v>
      </c>
      <c r="I423" s="6">
        <v>2.031253891</v>
      </c>
    </row>
    <row r="424" spans="1:9" ht="30" x14ac:dyDescent="0.25">
      <c r="A424" s="1" t="s">
        <v>115</v>
      </c>
      <c r="B424" s="9">
        <v>172683931</v>
      </c>
      <c r="C424" s="9">
        <v>174564769</v>
      </c>
      <c r="D424" s="9">
        <v>176665057</v>
      </c>
      <c r="E424" s="9">
        <v>178841644</v>
      </c>
      <c r="F424" s="9">
        <v>181109342</v>
      </c>
      <c r="G424" s="9">
        <v>183321549</v>
      </c>
      <c r="H424" s="9">
        <v>185267410</v>
      </c>
      <c r="I424" s="6">
        <v>1.1791866600000001</v>
      </c>
    </row>
    <row r="425" spans="1:9" x14ac:dyDescent="0.25">
      <c r="A425" s="1" t="s">
        <v>116</v>
      </c>
      <c r="B425" s="9">
        <v>715110</v>
      </c>
      <c r="C425" s="9">
        <v>791765</v>
      </c>
      <c r="D425" s="9">
        <v>884735</v>
      </c>
      <c r="E425" s="9">
        <v>970674</v>
      </c>
      <c r="F425" s="9">
        <v>1060590</v>
      </c>
      <c r="G425" s="9">
        <v>1163823</v>
      </c>
      <c r="H425" s="9">
        <v>1284019</v>
      </c>
      <c r="I425" s="6">
        <v>10.246911840999999</v>
      </c>
    </row>
    <row r="426" spans="1:9" x14ac:dyDescent="0.25">
      <c r="A426" s="1" t="s">
        <v>12</v>
      </c>
      <c r="B426" s="2"/>
      <c r="C426" s="2"/>
      <c r="D426" s="2"/>
      <c r="E426" s="2"/>
      <c r="F426" s="2"/>
      <c r="G426" s="2"/>
      <c r="H426" s="2"/>
      <c r="I426" s="2"/>
    </row>
    <row r="427" spans="1:9" ht="60" x14ac:dyDescent="0.25">
      <c r="A427" s="1" t="s">
        <v>149</v>
      </c>
      <c r="B427" s="2"/>
      <c r="C427" s="2"/>
      <c r="D427" s="2"/>
      <c r="E427" s="2"/>
      <c r="F427" s="2"/>
      <c r="G427" s="2"/>
      <c r="H427" s="2"/>
      <c r="I427" s="2"/>
    </row>
    <row r="428" spans="1:9" x14ac:dyDescent="0.25">
      <c r="A428" s="1" t="s">
        <v>14</v>
      </c>
      <c r="B428" s="9">
        <v>5625728</v>
      </c>
      <c r="C428" s="9">
        <v>5545669</v>
      </c>
      <c r="D428" s="9">
        <v>5541236</v>
      </c>
      <c r="E428" s="9">
        <v>5524318</v>
      </c>
      <c r="F428" s="9">
        <v>5492683</v>
      </c>
      <c r="G428" s="9">
        <v>5438426</v>
      </c>
      <c r="H428" s="9">
        <v>5365770</v>
      </c>
      <c r="I428" s="6">
        <v>-0.78540732000000002</v>
      </c>
    </row>
    <row r="429" spans="1:9" ht="30" x14ac:dyDescent="0.25">
      <c r="A429" s="1" t="s">
        <v>15</v>
      </c>
      <c r="B429" s="9">
        <v>56890760</v>
      </c>
      <c r="C429" s="9">
        <v>56542832</v>
      </c>
      <c r="D429" s="9">
        <v>56580414</v>
      </c>
      <c r="E429" s="9">
        <v>56407881</v>
      </c>
      <c r="F429" s="9">
        <v>56302333</v>
      </c>
      <c r="G429" s="9">
        <v>56403376</v>
      </c>
      <c r="H429" s="9">
        <v>56325227</v>
      </c>
      <c r="I429" s="6">
        <v>-0.16636847599999999</v>
      </c>
    </row>
    <row r="430" spans="1:9" x14ac:dyDescent="0.25">
      <c r="A430" s="1" t="s">
        <v>16</v>
      </c>
      <c r="B430" s="9">
        <v>986417</v>
      </c>
      <c r="C430" s="9">
        <v>769405</v>
      </c>
      <c r="D430" s="9">
        <v>607830</v>
      </c>
      <c r="E430" s="9">
        <v>480186</v>
      </c>
      <c r="F430" s="9">
        <v>374545</v>
      </c>
      <c r="G430" s="9">
        <v>337090</v>
      </c>
      <c r="H430" s="9">
        <v>269672</v>
      </c>
      <c r="I430" s="6">
        <v>-19.43818946</v>
      </c>
    </row>
    <row r="431" spans="1:9" x14ac:dyDescent="0.25">
      <c r="A431" s="1" t="s">
        <v>17</v>
      </c>
      <c r="B431" s="9">
        <v>1025460</v>
      </c>
      <c r="C431" s="9">
        <v>1045127</v>
      </c>
      <c r="D431" s="9">
        <v>1061740</v>
      </c>
      <c r="E431" s="9">
        <v>1075980</v>
      </c>
      <c r="F431" s="9">
        <v>1080703</v>
      </c>
      <c r="G431" s="9">
        <v>1085789</v>
      </c>
      <c r="H431" s="9">
        <v>1091413</v>
      </c>
      <c r="I431" s="6">
        <v>1.0442798470000001</v>
      </c>
    </row>
    <row r="432" spans="1:9" x14ac:dyDescent="0.25">
      <c r="A432" s="1" t="s">
        <v>18</v>
      </c>
      <c r="B432" s="9">
        <v>40638</v>
      </c>
      <c r="C432" s="9">
        <v>40639</v>
      </c>
      <c r="D432" s="9">
        <v>40708</v>
      </c>
      <c r="E432" s="9">
        <v>40830</v>
      </c>
      <c r="F432" s="9">
        <v>40991</v>
      </c>
      <c r="G432" s="9">
        <v>41142</v>
      </c>
      <c r="H432" s="9">
        <v>41295</v>
      </c>
      <c r="I432" s="6">
        <v>0.267654854</v>
      </c>
    </row>
    <row r="433" spans="1:9" x14ac:dyDescent="0.25">
      <c r="A433" s="1" t="s">
        <v>19</v>
      </c>
      <c r="B433" s="9">
        <v>0</v>
      </c>
      <c r="C433" s="9">
        <v>0</v>
      </c>
      <c r="D433" s="9">
        <v>0</v>
      </c>
      <c r="E433" s="9">
        <v>0</v>
      </c>
      <c r="F433" s="9">
        <v>0</v>
      </c>
      <c r="G433" s="9">
        <v>0</v>
      </c>
      <c r="H433" s="9">
        <v>0</v>
      </c>
      <c r="I433" s="7" t="s">
        <v>58</v>
      </c>
    </row>
    <row r="434" spans="1:9" x14ac:dyDescent="0.25">
      <c r="A434" s="1" t="s">
        <v>20</v>
      </c>
      <c r="B434" s="9">
        <v>0</v>
      </c>
      <c r="C434" s="9">
        <v>0</v>
      </c>
      <c r="D434" s="9">
        <v>0</v>
      </c>
      <c r="E434" s="9">
        <v>0</v>
      </c>
      <c r="F434" s="9">
        <v>0</v>
      </c>
      <c r="G434" s="9">
        <v>0</v>
      </c>
      <c r="H434" s="9">
        <v>0</v>
      </c>
      <c r="I434" s="7" t="s">
        <v>58</v>
      </c>
    </row>
    <row r="435" spans="1:9" x14ac:dyDescent="0.25">
      <c r="A435" s="1" t="s">
        <v>21</v>
      </c>
      <c r="B435" s="9">
        <v>2488988</v>
      </c>
      <c r="C435" s="9">
        <v>2513527</v>
      </c>
      <c r="D435" s="9">
        <v>2530652</v>
      </c>
      <c r="E435" s="9">
        <v>2546781</v>
      </c>
      <c r="F435" s="9">
        <v>2563209</v>
      </c>
      <c r="G435" s="9">
        <v>2577225</v>
      </c>
      <c r="H435" s="9">
        <v>2590116</v>
      </c>
      <c r="I435" s="6">
        <v>0.66598220100000005</v>
      </c>
    </row>
    <row r="436" spans="1:9" x14ac:dyDescent="0.25">
      <c r="A436" s="1" t="s">
        <v>22</v>
      </c>
      <c r="B436" s="9">
        <v>109814</v>
      </c>
      <c r="C436" s="9">
        <v>116815</v>
      </c>
      <c r="D436" s="9">
        <v>123890</v>
      </c>
      <c r="E436" s="9">
        <v>131019</v>
      </c>
      <c r="F436" s="9">
        <v>138181</v>
      </c>
      <c r="G436" s="9">
        <v>145357</v>
      </c>
      <c r="H436" s="9">
        <v>152528</v>
      </c>
      <c r="I436" s="6">
        <v>5.6287103570000001</v>
      </c>
    </row>
    <row r="437" spans="1:9" x14ac:dyDescent="0.25">
      <c r="A437" s="1" t="s">
        <v>23</v>
      </c>
      <c r="B437" s="9">
        <v>7847566</v>
      </c>
      <c r="C437" s="9">
        <v>7709740</v>
      </c>
      <c r="D437" s="9">
        <v>7534252</v>
      </c>
      <c r="E437" s="9">
        <v>7326198</v>
      </c>
      <c r="F437" s="9">
        <v>7087638</v>
      </c>
      <c r="G437" s="9">
        <v>6821774</v>
      </c>
      <c r="H437" s="9">
        <v>6532127</v>
      </c>
      <c r="I437" s="6">
        <v>-3.0115674889999999</v>
      </c>
    </row>
    <row r="438" spans="1:9" x14ac:dyDescent="0.25">
      <c r="A438" s="1" t="s">
        <v>24</v>
      </c>
      <c r="B438" s="9">
        <v>240478</v>
      </c>
      <c r="C438" s="9">
        <v>227709</v>
      </c>
      <c r="D438" s="9">
        <v>218037</v>
      </c>
      <c r="E438" s="9">
        <v>210628</v>
      </c>
      <c r="F438" s="9">
        <v>204902</v>
      </c>
      <c r="G438" s="9">
        <v>200445</v>
      </c>
      <c r="H438" s="9">
        <v>196958</v>
      </c>
      <c r="I438" s="6">
        <v>-3.2725558709999998</v>
      </c>
    </row>
    <row r="439" spans="1:9" x14ac:dyDescent="0.25">
      <c r="A439" s="1" t="s">
        <v>25</v>
      </c>
      <c r="B439" s="9">
        <v>204472</v>
      </c>
      <c r="C439" s="9">
        <v>205903</v>
      </c>
      <c r="D439" s="9">
        <v>206933</v>
      </c>
      <c r="E439" s="9">
        <v>207967</v>
      </c>
      <c r="F439" s="9">
        <v>209007</v>
      </c>
      <c r="G439" s="9">
        <v>210052</v>
      </c>
      <c r="H439" s="9">
        <v>211103</v>
      </c>
      <c r="I439" s="6">
        <v>0.53333585299999997</v>
      </c>
    </row>
    <row r="440" spans="1:9" x14ac:dyDescent="0.25">
      <c r="A440" s="1" t="s">
        <v>26</v>
      </c>
      <c r="B440" s="9">
        <v>7829311</v>
      </c>
      <c r="C440" s="9">
        <v>7914437</v>
      </c>
      <c r="D440" s="9">
        <v>7991883</v>
      </c>
      <c r="E440" s="9">
        <v>8062267</v>
      </c>
      <c r="F440" s="9">
        <v>8126170</v>
      </c>
      <c r="G440" s="9">
        <v>8184139</v>
      </c>
      <c r="H440" s="9">
        <v>8236683</v>
      </c>
      <c r="I440" s="6">
        <v>0.84897020300000003</v>
      </c>
    </row>
    <row r="441" spans="1:9" x14ac:dyDescent="0.25">
      <c r="A441" s="1" t="s">
        <v>27</v>
      </c>
      <c r="B441" s="9">
        <v>1091182</v>
      </c>
      <c r="C441" s="9">
        <v>1003674</v>
      </c>
      <c r="D441" s="9">
        <v>933242</v>
      </c>
      <c r="E441" s="9">
        <v>877104</v>
      </c>
      <c r="F441" s="9">
        <v>833132</v>
      </c>
      <c r="G441" s="9">
        <v>799712</v>
      </c>
      <c r="H441" s="9">
        <v>775644</v>
      </c>
      <c r="I441" s="6">
        <v>-5.5299364860000004</v>
      </c>
    </row>
    <row r="442" spans="1:9" x14ac:dyDescent="0.25">
      <c r="A442" s="1" t="s">
        <v>28</v>
      </c>
      <c r="B442" s="9">
        <v>42112647</v>
      </c>
      <c r="C442" s="9">
        <v>42238985</v>
      </c>
      <c r="D442" s="9">
        <v>42661374</v>
      </c>
      <c r="E442" s="9">
        <v>42874681</v>
      </c>
      <c r="F442" s="9">
        <v>42960431</v>
      </c>
      <c r="G442" s="9">
        <v>43304114</v>
      </c>
      <c r="H442" s="9">
        <v>43434026</v>
      </c>
      <c r="I442" s="6">
        <v>0.51624537400000003</v>
      </c>
    </row>
    <row r="443" spans="1:9" x14ac:dyDescent="0.25">
      <c r="A443" s="1" t="s">
        <v>29</v>
      </c>
      <c r="B443" s="9">
        <v>4543934</v>
      </c>
      <c r="C443" s="9">
        <v>4508287</v>
      </c>
      <c r="D443" s="9">
        <v>4492403</v>
      </c>
      <c r="E443" s="9">
        <v>4484925</v>
      </c>
      <c r="F443" s="9">
        <v>4481219</v>
      </c>
      <c r="G443" s="9">
        <v>4479297</v>
      </c>
      <c r="H443" s="9">
        <v>4478260</v>
      </c>
      <c r="I443" s="6">
        <v>-0.24234883600000001</v>
      </c>
    </row>
    <row r="444" spans="1:9" x14ac:dyDescent="0.25">
      <c r="A444" s="1" t="s">
        <v>30</v>
      </c>
      <c r="B444" s="9">
        <v>477174</v>
      </c>
      <c r="C444" s="9">
        <v>418353</v>
      </c>
      <c r="D444" s="9">
        <v>377097</v>
      </c>
      <c r="E444" s="9">
        <v>347347</v>
      </c>
      <c r="F444" s="9">
        <v>325425</v>
      </c>
      <c r="G444" s="9">
        <v>308994</v>
      </c>
      <c r="H444" s="9">
        <v>296513</v>
      </c>
      <c r="I444" s="6">
        <v>-7.6235728199999997</v>
      </c>
    </row>
    <row r="445" spans="1:9" x14ac:dyDescent="0.25">
      <c r="A445" s="1" t="s">
        <v>31</v>
      </c>
      <c r="B445" s="9">
        <v>164605</v>
      </c>
      <c r="C445" s="9">
        <v>148253</v>
      </c>
      <c r="D445" s="9">
        <v>144545</v>
      </c>
      <c r="E445" s="9">
        <v>142014</v>
      </c>
      <c r="F445" s="9">
        <v>140274</v>
      </c>
      <c r="G445" s="9">
        <v>138555</v>
      </c>
      <c r="H445" s="9">
        <v>136857</v>
      </c>
      <c r="I445" s="6">
        <v>-3.0300141790000001</v>
      </c>
    </row>
    <row r="446" spans="1:9" x14ac:dyDescent="0.25">
      <c r="A446" s="1" t="s">
        <v>32</v>
      </c>
      <c r="B446" s="9">
        <v>602519</v>
      </c>
      <c r="C446" s="9">
        <v>596237</v>
      </c>
      <c r="D446" s="9">
        <v>590642</v>
      </c>
      <c r="E446" s="9">
        <v>585654</v>
      </c>
      <c r="F446" s="9">
        <v>581203</v>
      </c>
      <c r="G446" s="9">
        <v>577227</v>
      </c>
      <c r="H446" s="9">
        <v>573673</v>
      </c>
      <c r="I446" s="6">
        <v>-0.81432712200000001</v>
      </c>
    </row>
    <row r="447" spans="1:9" x14ac:dyDescent="0.25">
      <c r="A447" s="1" t="s">
        <v>33</v>
      </c>
      <c r="B447" s="9">
        <v>886077</v>
      </c>
      <c r="C447" s="9">
        <v>879874</v>
      </c>
      <c r="D447" s="9">
        <v>872835</v>
      </c>
      <c r="E447" s="9">
        <v>864980</v>
      </c>
      <c r="F447" s="9">
        <v>856330</v>
      </c>
      <c r="G447" s="9">
        <v>846910</v>
      </c>
      <c r="H447" s="9">
        <v>836748</v>
      </c>
      <c r="I447" s="6">
        <v>-0.95013912099999998</v>
      </c>
    </row>
    <row r="448" spans="1:9" ht="30" x14ac:dyDescent="0.25">
      <c r="A448" s="1" t="s">
        <v>34</v>
      </c>
      <c r="B448" s="9">
        <v>175771</v>
      </c>
      <c r="C448" s="9">
        <v>184089</v>
      </c>
      <c r="D448" s="9">
        <v>192365</v>
      </c>
      <c r="E448" s="9">
        <v>200590</v>
      </c>
      <c r="F448" s="9">
        <v>208746</v>
      </c>
      <c r="G448" s="9">
        <v>216817</v>
      </c>
      <c r="H448" s="9">
        <v>224789</v>
      </c>
      <c r="I448" s="6">
        <v>4.1848662750000001</v>
      </c>
    </row>
    <row r="449" spans="1:9" ht="30" x14ac:dyDescent="0.25">
      <c r="A449" s="1" t="s">
        <v>35</v>
      </c>
      <c r="B449" s="9">
        <v>15990889</v>
      </c>
      <c r="C449" s="9">
        <v>15418480</v>
      </c>
      <c r="D449" s="9">
        <v>14921221</v>
      </c>
      <c r="E449" s="9">
        <v>14489711</v>
      </c>
      <c r="F449" s="9">
        <v>14115865</v>
      </c>
      <c r="G449" s="9">
        <v>13785318</v>
      </c>
      <c r="H449" s="9">
        <v>13489235</v>
      </c>
      <c r="I449" s="6">
        <v>-2.7956310129999999</v>
      </c>
    </row>
    <row r="450" spans="1:9" x14ac:dyDescent="0.25">
      <c r="A450" s="1" t="s">
        <v>36</v>
      </c>
      <c r="B450" s="9">
        <v>372409</v>
      </c>
      <c r="C450" s="9">
        <v>358630</v>
      </c>
      <c r="D450" s="9">
        <v>345361</v>
      </c>
      <c r="E450" s="9">
        <v>332583</v>
      </c>
      <c r="F450" s="9">
        <v>320277</v>
      </c>
      <c r="G450" s="9">
        <v>308427</v>
      </c>
      <c r="H450" s="9">
        <v>297015</v>
      </c>
      <c r="I450" s="6">
        <v>-3.6999818150000001</v>
      </c>
    </row>
    <row r="451" spans="1:9" x14ac:dyDescent="0.25">
      <c r="A451" s="1" t="s">
        <v>37</v>
      </c>
      <c r="B451" s="9">
        <v>0</v>
      </c>
      <c r="C451" s="9">
        <v>0</v>
      </c>
      <c r="D451" s="9">
        <v>0</v>
      </c>
      <c r="E451" s="9">
        <v>0</v>
      </c>
      <c r="F451" s="9">
        <v>0</v>
      </c>
      <c r="G451" s="9">
        <v>0</v>
      </c>
      <c r="H451" s="9">
        <v>0</v>
      </c>
      <c r="I451" s="7" t="s">
        <v>58</v>
      </c>
    </row>
    <row r="452" spans="1:9" x14ac:dyDescent="0.25">
      <c r="A452" s="1" t="s">
        <v>38</v>
      </c>
      <c r="B452" s="9">
        <v>276729</v>
      </c>
      <c r="C452" s="9">
        <v>294314</v>
      </c>
      <c r="D452" s="9">
        <v>311898</v>
      </c>
      <c r="E452" s="9">
        <v>329483</v>
      </c>
      <c r="F452" s="9">
        <v>347067</v>
      </c>
      <c r="G452" s="9">
        <v>364651</v>
      </c>
      <c r="H452" s="9">
        <v>382236</v>
      </c>
      <c r="I452" s="6">
        <v>5.5308620209999999</v>
      </c>
    </row>
    <row r="453" spans="1:9" x14ac:dyDescent="0.25">
      <c r="A453" s="1" t="s">
        <v>39</v>
      </c>
      <c r="B453" s="9">
        <v>72515</v>
      </c>
      <c r="C453" s="9">
        <v>65000</v>
      </c>
      <c r="D453" s="9">
        <v>62172</v>
      </c>
      <c r="E453" s="9">
        <v>59872</v>
      </c>
      <c r="F453" s="9">
        <v>57990</v>
      </c>
      <c r="G453" s="9">
        <v>56440</v>
      </c>
      <c r="H453" s="9">
        <v>55159</v>
      </c>
      <c r="I453" s="6">
        <v>-4.4571726930000004</v>
      </c>
    </row>
    <row r="454" spans="1:9" x14ac:dyDescent="0.25">
      <c r="A454" s="1" t="s">
        <v>40</v>
      </c>
      <c r="B454" s="9">
        <v>520768</v>
      </c>
      <c r="C454" s="9">
        <v>540554</v>
      </c>
      <c r="D454" s="9">
        <v>557701</v>
      </c>
      <c r="E454" s="9">
        <v>570531</v>
      </c>
      <c r="F454" s="9">
        <v>581392</v>
      </c>
      <c r="G454" s="9">
        <v>590358</v>
      </c>
      <c r="H454" s="9">
        <v>597142</v>
      </c>
      <c r="I454" s="6">
        <v>2.3070482719999998</v>
      </c>
    </row>
    <row r="455" spans="1:9" x14ac:dyDescent="0.25">
      <c r="A455" s="1" t="s">
        <v>41</v>
      </c>
      <c r="B455" s="9">
        <v>555758</v>
      </c>
      <c r="C455" s="9">
        <v>436270</v>
      </c>
      <c r="D455" s="9">
        <v>353379</v>
      </c>
      <c r="E455" s="9">
        <v>286237</v>
      </c>
      <c r="F455" s="9">
        <v>231852</v>
      </c>
      <c r="G455" s="9">
        <v>187800</v>
      </c>
      <c r="H455" s="9">
        <v>152118</v>
      </c>
      <c r="I455" s="6">
        <v>-19.422124261</v>
      </c>
    </row>
    <row r="456" spans="1:9" x14ac:dyDescent="0.25">
      <c r="A456" s="1" t="s">
        <v>42</v>
      </c>
      <c r="B456" s="9">
        <v>8500000</v>
      </c>
      <c r="C456" s="9">
        <v>8470387</v>
      </c>
      <c r="D456" s="9">
        <v>8439802</v>
      </c>
      <c r="E456" s="9">
        <v>8394972</v>
      </c>
      <c r="F456" s="9">
        <v>8418971</v>
      </c>
      <c r="G456" s="9">
        <v>8423519</v>
      </c>
      <c r="H456" s="9">
        <v>8395809</v>
      </c>
      <c r="I456" s="6">
        <v>-0.20534738499999999</v>
      </c>
    </row>
    <row r="457" spans="1:9" x14ac:dyDescent="0.25">
      <c r="A457" s="1" t="s">
        <v>43</v>
      </c>
      <c r="B457" s="9">
        <v>0</v>
      </c>
      <c r="C457" s="9">
        <v>0</v>
      </c>
      <c r="D457" s="9">
        <v>0</v>
      </c>
      <c r="E457" s="9">
        <v>0</v>
      </c>
      <c r="F457" s="9">
        <v>0</v>
      </c>
      <c r="G457" s="9">
        <v>0</v>
      </c>
      <c r="H457" s="9">
        <v>0</v>
      </c>
      <c r="I457" s="7" t="s">
        <v>58</v>
      </c>
    </row>
    <row r="458" spans="1:9" x14ac:dyDescent="0.25">
      <c r="A458" s="1" t="s">
        <v>44</v>
      </c>
      <c r="B458" s="9">
        <v>530292</v>
      </c>
      <c r="C458" s="9">
        <v>545791</v>
      </c>
      <c r="D458" s="9">
        <v>559135</v>
      </c>
      <c r="E458" s="9">
        <v>578595</v>
      </c>
      <c r="F458" s="9">
        <v>549470</v>
      </c>
      <c r="G458" s="9">
        <v>562583</v>
      </c>
      <c r="H458" s="9">
        <v>567152</v>
      </c>
      <c r="I458" s="6">
        <v>1.1262878489999999</v>
      </c>
    </row>
    <row r="459" spans="1:9" x14ac:dyDescent="0.25">
      <c r="A459" s="1" t="s">
        <v>45</v>
      </c>
      <c r="B459" s="9">
        <v>460142</v>
      </c>
      <c r="C459" s="9">
        <v>484441</v>
      </c>
      <c r="D459" s="9">
        <v>507593</v>
      </c>
      <c r="E459" s="9">
        <v>525778</v>
      </c>
      <c r="F459" s="9">
        <v>539367</v>
      </c>
      <c r="G459" s="9">
        <v>550334</v>
      </c>
      <c r="H459" s="9">
        <v>561497</v>
      </c>
      <c r="I459" s="6">
        <v>3.3735095099999999</v>
      </c>
    </row>
    <row r="460" spans="1:9" x14ac:dyDescent="0.25">
      <c r="A460" s="1" t="s">
        <v>46</v>
      </c>
      <c r="B460" s="9">
        <v>144348</v>
      </c>
      <c r="C460" s="9">
        <v>128470</v>
      </c>
      <c r="D460" s="9">
        <v>115623</v>
      </c>
      <c r="E460" s="9">
        <v>105217</v>
      </c>
      <c r="F460" s="9">
        <v>96799</v>
      </c>
      <c r="G460" s="9">
        <v>88087</v>
      </c>
      <c r="H460" s="9">
        <v>81921</v>
      </c>
      <c r="I460" s="6">
        <v>-9.0092148870000006</v>
      </c>
    </row>
    <row r="461" spans="1:9" x14ac:dyDescent="0.25">
      <c r="A461" s="1" t="s">
        <v>47</v>
      </c>
      <c r="B461" s="9">
        <v>1396722</v>
      </c>
      <c r="C461" s="9">
        <v>1356626</v>
      </c>
      <c r="D461" s="9">
        <v>1319629</v>
      </c>
      <c r="E461" s="9">
        <v>1294437</v>
      </c>
      <c r="F461" s="9">
        <v>1282081</v>
      </c>
      <c r="G461" s="9">
        <v>1275963</v>
      </c>
      <c r="H461" s="9">
        <v>1272918</v>
      </c>
      <c r="I461" s="6">
        <v>-1.535032403</v>
      </c>
    </row>
    <row r="462" spans="1:9" x14ac:dyDescent="0.25">
      <c r="A462" s="1" t="s">
        <v>48</v>
      </c>
      <c r="B462" s="9">
        <v>843447</v>
      </c>
      <c r="C462" s="9">
        <v>749825</v>
      </c>
      <c r="D462" s="9">
        <v>708584</v>
      </c>
      <c r="E462" s="9">
        <v>654023</v>
      </c>
      <c r="F462" s="9">
        <v>671682</v>
      </c>
      <c r="G462" s="9">
        <v>604514</v>
      </c>
      <c r="H462" s="9">
        <v>575497</v>
      </c>
      <c r="I462" s="6">
        <v>-6.172341673</v>
      </c>
    </row>
    <row r="463" spans="1:9" x14ac:dyDescent="0.25">
      <c r="A463" s="1" t="s">
        <v>49</v>
      </c>
      <c r="B463" s="9">
        <v>668032</v>
      </c>
      <c r="C463" s="9">
        <v>679255</v>
      </c>
      <c r="D463" s="9">
        <v>690123</v>
      </c>
      <c r="E463" s="9">
        <v>701027</v>
      </c>
      <c r="F463" s="9">
        <v>711753</v>
      </c>
      <c r="G463" s="9">
        <v>722002</v>
      </c>
      <c r="H463" s="9">
        <v>732110</v>
      </c>
      <c r="I463" s="6">
        <v>1.538290049</v>
      </c>
    </row>
    <row r="464" spans="1:9" x14ac:dyDescent="0.25">
      <c r="A464" s="1" t="s">
        <v>50</v>
      </c>
      <c r="B464" s="9">
        <v>0</v>
      </c>
      <c r="C464" s="9">
        <v>0</v>
      </c>
      <c r="D464" s="9">
        <v>0</v>
      </c>
      <c r="E464" s="9">
        <v>0</v>
      </c>
      <c r="F464" s="9">
        <v>0</v>
      </c>
      <c r="G464" s="9">
        <v>0</v>
      </c>
      <c r="H464" s="9">
        <v>0</v>
      </c>
      <c r="I464" s="7" t="s">
        <v>58</v>
      </c>
    </row>
    <row r="465" spans="1:9" x14ac:dyDescent="0.25">
      <c r="A465" s="1" t="s">
        <v>51</v>
      </c>
      <c r="B465" s="9">
        <v>324305</v>
      </c>
      <c r="C465" s="9">
        <v>321391</v>
      </c>
      <c r="D465" s="9">
        <v>318824</v>
      </c>
      <c r="E465" s="9">
        <v>316912</v>
      </c>
      <c r="F465" s="9">
        <v>315012</v>
      </c>
      <c r="G465" s="9">
        <v>313123</v>
      </c>
      <c r="H465" s="9">
        <v>311246</v>
      </c>
      <c r="I465" s="6">
        <v>-0.68267303999999995</v>
      </c>
    </row>
    <row r="466" spans="1:9" x14ac:dyDescent="0.25">
      <c r="A466" s="1" t="s">
        <v>52</v>
      </c>
      <c r="B466" s="9">
        <v>395299</v>
      </c>
      <c r="C466" s="9">
        <v>343910</v>
      </c>
      <c r="D466" s="9">
        <v>299202</v>
      </c>
      <c r="E466" s="9">
        <v>260305</v>
      </c>
      <c r="F466" s="9">
        <v>226466</v>
      </c>
      <c r="G466" s="9">
        <v>197025</v>
      </c>
      <c r="H466" s="9">
        <v>171412</v>
      </c>
      <c r="I466" s="6">
        <v>-13.000000307000001</v>
      </c>
    </row>
    <row r="467" spans="1:9" x14ac:dyDescent="0.25">
      <c r="A467" s="1" t="s">
        <v>53</v>
      </c>
      <c r="B467" s="9">
        <v>0</v>
      </c>
      <c r="C467" s="9">
        <v>0</v>
      </c>
      <c r="D467" s="9">
        <v>0</v>
      </c>
      <c r="E467" s="9">
        <v>0</v>
      </c>
      <c r="F467" s="9">
        <v>0</v>
      </c>
      <c r="G467" s="9">
        <v>0</v>
      </c>
      <c r="H467" s="9">
        <v>0</v>
      </c>
      <c r="I467" s="7" t="s">
        <v>58</v>
      </c>
    </row>
    <row r="468" spans="1:9" x14ac:dyDescent="0.25">
      <c r="A468" s="1" t="s">
        <v>54</v>
      </c>
      <c r="B468" s="9">
        <v>146041</v>
      </c>
      <c r="C468" s="9">
        <v>147305</v>
      </c>
      <c r="D468" s="9">
        <v>148236</v>
      </c>
      <c r="E468" s="9">
        <v>148989</v>
      </c>
      <c r="F468" s="9">
        <v>149691</v>
      </c>
      <c r="G468" s="9">
        <v>149797</v>
      </c>
      <c r="H468" s="9">
        <v>160452</v>
      </c>
      <c r="I468" s="6">
        <v>1.580821987</v>
      </c>
    </row>
    <row r="469" spans="1:9" x14ac:dyDescent="0.25">
      <c r="A469" s="1" t="s">
        <v>55</v>
      </c>
      <c r="B469" s="9">
        <v>6050000</v>
      </c>
      <c r="C469" s="9">
        <v>5989500</v>
      </c>
      <c r="D469" s="9">
        <v>5899658</v>
      </c>
      <c r="E469" s="9">
        <v>5763965</v>
      </c>
      <c r="F469" s="9">
        <v>5740910</v>
      </c>
      <c r="G469" s="9">
        <v>5677760</v>
      </c>
      <c r="H469" s="9">
        <v>5601678</v>
      </c>
      <c r="I469" s="6">
        <v>-1.275003347</v>
      </c>
    </row>
    <row r="470" spans="1:9" x14ac:dyDescent="0.25">
      <c r="A470" s="1" t="s">
        <v>56</v>
      </c>
      <c r="B470" s="9">
        <v>0</v>
      </c>
      <c r="C470" s="9">
        <v>0</v>
      </c>
      <c r="D470" s="9">
        <v>0</v>
      </c>
      <c r="E470" s="9">
        <v>0</v>
      </c>
      <c r="F470" s="9">
        <v>0</v>
      </c>
      <c r="G470" s="9">
        <v>0</v>
      </c>
      <c r="H470" s="9">
        <v>0</v>
      </c>
      <c r="I470" s="7" t="s">
        <v>58</v>
      </c>
    </row>
    <row r="471" spans="1:9" x14ac:dyDescent="0.25">
      <c r="A471" s="1" t="s">
        <v>57</v>
      </c>
      <c r="B471" s="7" t="s">
        <v>58</v>
      </c>
      <c r="C471" s="7" t="s">
        <v>58</v>
      </c>
      <c r="D471" s="7" t="s">
        <v>58</v>
      </c>
      <c r="E471" s="7" t="s">
        <v>58</v>
      </c>
      <c r="F471" s="7" t="s">
        <v>58</v>
      </c>
      <c r="G471" s="7" t="s">
        <v>58</v>
      </c>
      <c r="H471" s="7" t="s">
        <v>58</v>
      </c>
      <c r="I471" s="7" t="s">
        <v>58</v>
      </c>
    </row>
    <row r="472" spans="1:9" x14ac:dyDescent="0.25">
      <c r="A472" s="1" t="s">
        <v>59</v>
      </c>
      <c r="B472" s="9">
        <v>0</v>
      </c>
      <c r="C472" s="9">
        <v>0</v>
      </c>
      <c r="D472" s="9">
        <v>0</v>
      </c>
      <c r="E472" s="9">
        <v>0</v>
      </c>
      <c r="F472" s="9">
        <v>0</v>
      </c>
      <c r="G472" s="9">
        <v>0</v>
      </c>
      <c r="H472" s="9">
        <v>0</v>
      </c>
      <c r="I472" s="7" t="s">
        <v>58</v>
      </c>
    </row>
    <row r="473" spans="1:9" x14ac:dyDescent="0.25">
      <c r="A473" s="1" t="s">
        <v>60</v>
      </c>
      <c r="B473" s="9">
        <v>272</v>
      </c>
      <c r="C473" s="9">
        <v>245</v>
      </c>
      <c r="D473" s="9">
        <v>221</v>
      </c>
      <c r="E473" s="9">
        <v>199</v>
      </c>
      <c r="F473" s="9">
        <v>179</v>
      </c>
      <c r="G473" s="9">
        <v>161</v>
      </c>
      <c r="H473" s="9">
        <v>145</v>
      </c>
      <c r="I473" s="6">
        <v>-9.9535664750000006</v>
      </c>
    </row>
    <row r="474" spans="1:9" ht="45" x14ac:dyDescent="0.25">
      <c r="A474" s="1" t="s">
        <v>61</v>
      </c>
      <c r="B474" s="9">
        <v>31945526</v>
      </c>
      <c r="C474" s="9">
        <v>31670274</v>
      </c>
      <c r="D474" s="9">
        <v>31476787</v>
      </c>
      <c r="E474" s="9">
        <v>31308857</v>
      </c>
      <c r="F474" s="9">
        <v>31075584</v>
      </c>
      <c r="G474" s="9">
        <v>30848891</v>
      </c>
      <c r="H474" s="9">
        <v>30609738</v>
      </c>
      <c r="I474" s="6">
        <v>-0.70937110199999998</v>
      </c>
    </row>
    <row r="475" spans="1:9" x14ac:dyDescent="0.25">
      <c r="A475" s="1" t="s">
        <v>62</v>
      </c>
      <c r="B475" s="9">
        <v>8457</v>
      </c>
      <c r="C475" s="9">
        <v>7200</v>
      </c>
      <c r="D475" s="9">
        <v>6272</v>
      </c>
      <c r="E475" s="9">
        <v>5545</v>
      </c>
      <c r="F475" s="9">
        <v>4966</v>
      </c>
      <c r="G475" s="9">
        <v>4499</v>
      </c>
      <c r="H475" s="9">
        <v>4119</v>
      </c>
      <c r="I475" s="6">
        <v>-11.298851406000001</v>
      </c>
    </row>
    <row r="476" spans="1:9" x14ac:dyDescent="0.25">
      <c r="A476" s="1" t="s">
        <v>63</v>
      </c>
      <c r="B476" s="9">
        <v>0</v>
      </c>
      <c r="C476" s="9">
        <v>0</v>
      </c>
      <c r="D476" s="9">
        <v>0</v>
      </c>
      <c r="E476" s="9">
        <v>0</v>
      </c>
      <c r="F476" s="9">
        <v>0</v>
      </c>
      <c r="G476" s="9">
        <v>0</v>
      </c>
      <c r="H476" s="9">
        <v>0</v>
      </c>
      <c r="I476" s="7" t="s">
        <v>58</v>
      </c>
    </row>
    <row r="477" spans="1:9" x14ac:dyDescent="0.25">
      <c r="A477" s="1" t="s">
        <v>64</v>
      </c>
      <c r="B477" s="9">
        <v>15457</v>
      </c>
      <c r="C477" s="9">
        <v>14300</v>
      </c>
      <c r="D477" s="9">
        <v>13444</v>
      </c>
      <c r="E477" s="9">
        <v>12800</v>
      </c>
      <c r="F477" s="9">
        <v>12309</v>
      </c>
      <c r="G477" s="9">
        <v>11932</v>
      </c>
      <c r="H477" s="9">
        <v>11639</v>
      </c>
      <c r="I477" s="6">
        <v>-4.6182959969999997</v>
      </c>
    </row>
    <row r="478" spans="1:9" x14ac:dyDescent="0.25">
      <c r="A478" s="1" t="s">
        <v>65</v>
      </c>
      <c r="B478" s="9">
        <v>0</v>
      </c>
      <c r="C478" s="9">
        <v>0</v>
      </c>
      <c r="D478" s="9">
        <v>0</v>
      </c>
      <c r="E478" s="9">
        <v>0</v>
      </c>
      <c r="F478" s="9">
        <v>0</v>
      </c>
      <c r="G478" s="9">
        <v>0</v>
      </c>
      <c r="H478" s="9">
        <v>0</v>
      </c>
      <c r="I478" s="7" t="s">
        <v>58</v>
      </c>
    </row>
    <row r="479" spans="1:9" x14ac:dyDescent="0.25">
      <c r="A479" s="1" t="s">
        <v>66</v>
      </c>
      <c r="B479" s="9">
        <v>6862262</v>
      </c>
      <c r="C479" s="9">
        <v>6739725</v>
      </c>
      <c r="D479" s="9">
        <v>6635818</v>
      </c>
      <c r="E479" s="9">
        <v>6547307</v>
      </c>
      <c r="F479" s="9">
        <v>6471634</v>
      </c>
      <c r="G479" s="9">
        <v>6406744</v>
      </c>
      <c r="H479" s="9">
        <v>6350965</v>
      </c>
      <c r="I479" s="6">
        <v>-1.282214596</v>
      </c>
    </row>
    <row r="480" spans="1:9" ht="30" x14ac:dyDescent="0.25">
      <c r="A480" s="1" t="s">
        <v>67</v>
      </c>
      <c r="B480" s="9">
        <v>3402158</v>
      </c>
      <c r="C480" s="9">
        <v>3930783</v>
      </c>
      <c r="D480" s="9">
        <v>4508781</v>
      </c>
      <c r="E480" s="9">
        <v>5127617</v>
      </c>
      <c r="F480" s="9">
        <v>5778228</v>
      </c>
      <c r="G480" s="9">
        <v>6451416</v>
      </c>
      <c r="H480" s="9">
        <v>7177779</v>
      </c>
      <c r="I480" s="6">
        <v>13.250275524999999</v>
      </c>
    </row>
    <row r="481" spans="1:9" x14ac:dyDescent="0.25">
      <c r="A481" s="1" t="s">
        <v>68</v>
      </c>
      <c r="B481" s="7" t="s">
        <v>58</v>
      </c>
      <c r="C481" s="7" t="s">
        <v>58</v>
      </c>
      <c r="D481" s="7" t="s">
        <v>58</v>
      </c>
      <c r="E481" s="7" t="s">
        <v>58</v>
      </c>
      <c r="F481" s="7" t="s">
        <v>58</v>
      </c>
      <c r="G481" s="7" t="s">
        <v>58</v>
      </c>
      <c r="H481" s="7" t="s">
        <v>58</v>
      </c>
      <c r="I481" s="7" t="s">
        <v>58</v>
      </c>
    </row>
    <row r="482" spans="1:9" x14ac:dyDescent="0.25">
      <c r="A482" s="1" t="s">
        <v>69</v>
      </c>
      <c r="B482" s="9">
        <v>0</v>
      </c>
      <c r="C482" s="9">
        <v>0</v>
      </c>
      <c r="D482" s="9">
        <v>0</v>
      </c>
      <c r="E482" s="9">
        <v>0</v>
      </c>
      <c r="F482" s="9">
        <v>0</v>
      </c>
      <c r="G482" s="9">
        <v>0</v>
      </c>
      <c r="H482" s="9">
        <v>0</v>
      </c>
      <c r="I482" s="7" t="s">
        <v>58</v>
      </c>
    </row>
    <row r="483" spans="1:9" x14ac:dyDescent="0.25">
      <c r="A483" s="1" t="s">
        <v>70</v>
      </c>
      <c r="B483" s="9">
        <v>3492683</v>
      </c>
      <c r="C483" s="9">
        <v>3513715</v>
      </c>
      <c r="D483" s="9">
        <v>3531524</v>
      </c>
      <c r="E483" s="9">
        <v>3546050</v>
      </c>
      <c r="F483" s="9">
        <v>3557245</v>
      </c>
      <c r="G483" s="9">
        <v>3569169</v>
      </c>
      <c r="H483" s="9">
        <v>3581142</v>
      </c>
      <c r="I483" s="6">
        <v>0.417728985</v>
      </c>
    </row>
    <row r="484" spans="1:9" x14ac:dyDescent="0.25">
      <c r="A484" s="1" t="s">
        <v>71</v>
      </c>
      <c r="B484" s="9">
        <v>75598</v>
      </c>
      <c r="C484" s="9">
        <v>72574</v>
      </c>
      <c r="D484" s="9">
        <v>68583</v>
      </c>
      <c r="E484" s="9">
        <v>65839</v>
      </c>
      <c r="F484" s="9">
        <v>62218</v>
      </c>
      <c r="G484" s="9">
        <v>59418</v>
      </c>
      <c r="H484" s="9">
        <v>58408</v>
      </c>
      <c r="I484" s="6">
        <v>-4.2084931709999998</v>
      </c>
    </row>
    <row r="485" spans="1:9" x14ac:dyDescent="0.25">
      <c r="A485" s="1" t="s">
        <v>72</v>
      </c>
      <c r="B485" s="9">
        <v>127598</v>
      </c>
      <c r="C485" s="9">
        <v>142244</v>
      </c>
      <c r="D485" s="9">
        <v>152140</v>
      </c>
      <c r="E485" s="9">
        <v>164906</v>
      </c>
      <c r="F485" s="9">
        <v>177146</v>
      </c>
      <c r="G485" s="9">
        <v>183700</v>
      </c>
      <c r="H485" s="9">
        <v>194896</v>
      </c>
      <c r="I485" s="6">
        <v>7.3148550009999997</v>
      </c>
    </row>
    <row r="486" spans="1:9" x14ac:dyDescent="0.25">
      <c r="A486" s="1" t="s">
        <v>73</v>
      </c>
      <c r="B486" s="7" t="s">
        <v>58</v>
      </c>
      <c r="C486" s="7" t="s">
        <v>58</v>
      </c>
      <c r="D486" s="7" t="s">
        <v>58</v>
      </c>
      <c r="E486" s="7" t="s">
        <v>58</v>
      </c>
      <c r="F486" s="7" t="s">
        <v>58</v>
      </c>
      <c r="G486" s="7" t="s">
        <v>58</v>
      </c>
      <c r="H486" s="7" t="s">
        <v>58</v>
      </c>
      <c r="I486" s="7" t="s">
        <v>58</v>
      </c>
    </row>
    <row r="487" spans="1:9" ht="30" x14ac:dyDescent="0.25">
      <c r="A487" s="1" t="s">
        <v>74</v>
      </c>
      <c r="B487" s="9">
        <v>82817420</v>
      </c>
      <c r="C487" s="9">
        <v>81400768</v>
      </c>
      <c r="D487" s="9">
        <v>79966024</v>
      </c>
      <c r="E487" s="9">
        <v>78687603</v>
      </c>
      <c r="F487" s="9">
        <v>77665033</v>
      </c>
      <c r="G487" s="9">
        <v>77117702</v>
      </c>
      <c r="H487" s="9">
        <v>76883338</v>
      </c>
      <c r="I487" s="6">
        <v>-1.2315081619999999</v>
      </c>
    </row>
    <row r="488" spans="1:9" x14ac:dyDescent="0.25">
      <c r="A488" s="1" t="s">
        <v>75</v>
      </c>
      <c r="B488" s="9">
        <v>409908</v>
      </c>
      <c r="C488" s="9">
        <v>373285</v>
      </c>
      <c r="D488" s="9">
        <v>340400</v>
      </c>
      <c r="E488" s="9">
        <v>311169</v>
      </c>
      <c r="F488" s="9">
        <v>285546</v>
      </c>
      <c r="G488" s="9">
        <v>263489</v>
      </c>
      <c r="H488" s="9">
        <v>244955</v>
      </c>
      <c r="I488" s="6">
        <v>-8.2231137660000009</v>
      </c>
    </row>
    <row r="489" spans="1:9" x14ac:dyDescent="0.25">
      <c r="A489" s="1" t="s">
        <v>76</v>
      </c>
      <c r="B489" s="9">
        <v>0</v>
      </c>
      <c r="C489" s="9">
        <v>0</v>
      </c>
      <c r="D489" s="9">
        <v>0</v>
      </c>
      <c r="E489" s="9">
        <v>0</v>
      </c>
      <c r="F489" s="9">
        <v>0</v>
      </c>
      <c r="G489" s="9">
        <v>0</v>
      </c>
      <c r="H489" s="9">
        <v>0</v>
      </c>
      <c r="I489" s="7" t="s">
        <v>58</v>
      </c>
    </row>
    <row r="490" spans="1:9" ht="45" x14ac:dyDescent="0.25">
      <c r="A490" s="1" t="s">
        <v>77</v>
      </c>
      <c r="B490" s="9">
        <v>126498</v>
      </c>
      <c r="C490" s="9">
        <v>125591</v>
      </c>
      <c r="D490" s="9">
        <v>125036</v>
      </c>
      <c r="E490" s="9">
        <v>124520</v>
      </c>
      <c r="F490" s="9">
        <v>123860</v>
      </c>
      <c r="G490" s="9">
        <v>122034</v>
      </c>
      <c r="H490" s="9">
        <v>120636</v>
      </c>
      <c r="I490" s="6">
        <v>-0.78769381400000005</v>
      </c>
    </row>
    <row r="491" spans="1:9" ht="45" x14ac:dyDescent="0.25">
      <c r="A491" s="1" t="s">
        <v>78</v>
      </c>
      <c r="B491" s="9">
        <v>3713752</v>
      </c>
      <c r="C491" s="9">
        <v>3625267</v>
      </c>
      <c r="D491" s="9">
        <v>3540872</v>
      </c>
      <c r="E491" s="9">
        <v>3460393</v>
      </c>
      <c r="F491" s="9">
        <v>3383670</v>
      </c>
      <c r="G491" s="9">
        <v>3310550</v>
      </c>
      <c r="H491" s="9">
        <v>3240891</v>
      </c>
      <c r="I491" s="6">
        <v>-2.2443380190000002</v>
      </c>
    </row>
    <row r="492" spans="1:9" ht="60" x14ac:dyDescent="0.25">
      <c r="A492" s="1" t="s">
        <v>79</v>
      </c>
      <c r="B492" s="7" t="s">
        <v>58</v>
      </c>
      <c r="C492" s="7" t="s">
        <v>58</v>
      </c>
      <c r="D492" s="7" t="s">
        <v>58</v>
      </c>
      <c r="E492" s="7" t="s">
        <v>58</v>
      </c>
      <c r="F492" s="7" t="s">
        <v>58</v>
      </c>
      <c r="G492" s="7" t="s">
        <v>58</v>
      </c>
      <c r="H492" s="7" t="s">
        <v>58</v>
      </c>
      <c r="I492" s="7" t="s">
        <v>58</v>
      </c>
    </row>
    <row r="493" spans="1:9" ht="45" x14ac:dyDescent="0.25">
      <c r="A493" s="1" t="s">
        <v>80</v>
      </c>
      <c r="B493" s="7" t="s">
        <v>58</v>
      </c>
      <c r="C493" s="7" t="s">
        <v>58</v>
      </c>
      <c r="D493" s="7" t="s">
        <v>58</v>
      </c>
      <c r="E493" s="7" t="s">
        <v>58</v>
      </c>
      <c r="F493" s="7" t="s">
        <v>58</v>
      </c>
      <c r="G493" s="7" t="s">
        <v>58</v>
      </c>
      <c r="H493" s="7" t="s">
        <v>58</v>
      </c>
      <c r="I493" s="7" t="s">
        <v>58</v>
      </c>
    </row>
    <row r="494" spans="1:9" ht="45" x14ac:dyDescent="0.25">
      <c r="A494" s="1" t="s">
        <v>81</v>
      </c>
      <c r="B494" s="9">
        <v>217345</v>
      </c>
      <c r="C494" s="9">
        <v>220234</v>
      </c>
      <c r="D494" s="9">
        <v>222951</v>
      </c>
      <c r="E494" s="9">
        <v>225524</v>
      </c>
      <c r="F494" s="9">
        <v>220713</v>
      </c>
      <c r="G494" s="9">
        <v>218488</v>
      </c>
      <c r="H494" s="9">
        <v>216174</v>
      </c>
      <c r="I494" s="6">
        <v>-8.9998042E-2</v>
      </c>
    </row>
    <row r="495" spans="1:9" x14ac:dyDescent="0.25">
      <c r="A495" s="1" t="s">
        <v>82</v>
      </c>
      <c r="B495" s="9">
        <v>28845</v>
      </c>
      <c r="C495" s="9">
        <v>22557</v>
      </c>
      <c r="D495" s="9">
        <v>37106</v>
      </c>
      <c r="E495" s="9">
        <v>41558</v>
      </c>
      <c r="F495" s="9">
        <v>32665</v>
      </c>
      <c r="G495" s="9">
        <v>34363</v>
      </c>
      <c r="H495" s="9">
        <v>36391</v>
      </c>
      <c r="I495" s="6">
        <v>3.9490619200000001</v>
      </c>
    </row>
    <row r="496" spans="1:9" x14ac:dyDescent="0.25">
      <c r="A496" s="1" t="s">
        <v>83</v>
      </c>
      <c r="B496" s="9">
        <v>0</v>
      </c>
      <c r="C496" s="9">
        <v>0</v>
      </c>
      <c r="D496" s="9">
        <v>0</v>
      </c>
      <c r="E496" s="9">
        <v>0</v>
      </c>
      <c r="F496" s="9">
        <v>0</v>
      </c>
      <c r="G496" s="9">
        <v>0</v>
      </c>
      <c r="H496" s="9">
        <v>0</v>
      </c>
      <c r="I496" s="7" t="s">
        <v>58</v>
      </c>
    </row>
    <row r="497" spans="1:9" x14ac:dyDescent="0.25">
      <c r="A497" s="1" t="s">
        <v>84</v>
      </c>
      <c r="B497" s="9">
        <v>576703</v>
      </c>
      <c r="C497" s="9">
        <v>595305</v>
      </c>
      <c r="D497" s="9">
        <v>612587</v>
      </c>
      <c r="E497" s="9">
        <v>628592</v>
      </c>
      <c r="F497" s="9">
        <v>643373</v>
      </c>
      <c r="G497" s="9">
        <v>656989</v>
      </c>
      <c r="H497" s="9">
        <v>669502</v>
      </c>
      <c r="I497" s="6">
        <v>2.5179574250000001</v>
      </c>
    </row>
    <row r="498" spans="1:9" x14ac:dyDescent="0.25">
      <c r="A498" s="1" t="s">
        <v>85</v>
      </c>
      <c r="B498" s="9">
        <v>409685</v>
      </c>
      <c r="C498" s="9">
        <v>451610</v>
      </c>
      <c r="D498" s="9">
        <v>492583</v>
      </c>
      <c r="E498" s="9">
        <v>535319</v>
      </c>
      <c r="F498" s="9">
        <v>574630</v>
      </c>
      <c r="G498" s="9">
        <v>610305</v>
      </c>
      <c r="H498" s="9">
        <v>648700</v>
      </c>
      <c r="I498" s="6">
        <v>7.9606869070000004</v>
      </c>
    </row>
    <row r="499" spans="1:9" x14ac:dyDescent="0.25">
      <c r="A499" s="1" t="s">
        <v>86</v>
      </c>
      <c r="B499" s="9">
        <v>1207591</v>
      </c>
      <c r="C499" s="9">
        <v>1174094</v>
      </c>
      <c r="D499" s="9">
        <v>1151763</v>
      </c>
      <c r="E499" s="9">
        <v>1136651</v>
      </c>
      <c r="F499" s="9">
        <v>1126319</v>
      </c>
      <c r="G499" s="9">
        <v>1119204</v>
      </c>
      <c r="H499" s="9">
        <v>1114280</v>
      </c>
      <c r="I499" s="6">
        <v>-1.3313745770000001</v>
      </c>
    </row>
    <row r="500" spans="1:9" x14ac:dyDescent="0.25">
      <c r="A500" s="1" t="s">
        <v>87</v>
      </c>
      <c r="B500" s="9">
        <v>539129</v>
      </c>
      <c r="C500" s="9">
        <v>536957</v>
      </c>
      <c r="D500" s="9">
        <v>534734</v>
      </c>
      <c r="E500" s="9">
        <v>532563</v>
      </c>
      <c r="F500" s="9">
        <v>530332</v>
      </c>
      <c r="G500" s="9">
        <v>528190</v>
      </c>
      <c r="H500" s="9">
        <v>526002</v>
      </c>
      <c r="I500" s="6">
        <v>-0.40998823299999998</v>
      </c>
    </row>
    <row r="501" spans="1:9" x14ac:dyDescent="0.25">
      <c r="A501" s="1" t="s">
        <v>88</v>
      </c>
      <c r="B501" s="9">
        <v>2508800</v>
      </c>
      <c r="C501" s="9">
        <v>2239826</v>
      </c>
      <c r="D501" s="9">
        <v>2011696</v>
      </c>
      <c r="E501" s="9">
        <v>1817046</v>
      </c>
      <c r="F501" s="9">
        <v>1650021</v>
      </c>
      <c r="G501" s="9">
        <v>1505933</v>
      </c>
      <c r="H501" s="9">
        <v>1381003</v>
      </c>
      <c r="I501" s="6">
        <v>-9.4709220950000006</v>
      </c>
    </row>
    <row r="502" spans="1:9" x14ac:dyDescent="0.25">
      <c r="A502" s="1" t="s">
        <v>89</v>
      </c>
      <c r="B502" s="9">
        <v>995542</v>
      </c>
      <c r="C502" s="9">
        <v>1001616</v>
      </c>
      <c r="D502" s="9">
        <v>1005855</v>
      </c>
      <c r="E502" s="9">
        <v>1005719</v>
      </c>
      <c r="F502" s="9">
        <v>1003723</v>
      </c>
      <c r="G502" s="9">
        <v>1000884</v>
      </c>
      <c r="H502" s="9">
        <v>997990</v>
      </c>
      <c r="I502" s="6">
        <v>4.0940773999999999E-2</v>
      </c>
    </row>
    <row r="503" spans="1:9" x14ac:dyDescent="0.25">
      <c r="A503" s="1" t="s">
        <v>90</v>
      </c>
      <c r="B503" s="9">
        <v>454110</v>
      </c>
      <c r="C503" s="9">
        <v>469007</v>
      </c>
      <c r="D503" s="9">
        <v>482854</v>
      </c>
      <c r="E503" s="9">
        <v>495684</v>
      </c>
      <c r="F503" s="9">
        <v>507538</v>
      </c>
      <c r="G503" s="9">
        <v>518462</v>
      </c>
      <c r="H503" s="9">
        <v>528505</v>
      </c>
      <c r="I503" s="6">
        <v>2.5607856720000002</v>
      </c>
    </row>
    <row r="504" spans="1:9" x14ac:dyDescent="0.25">
      <c r="A504" s="1" t="s">
        <v>91</v>
      </c>
      <c r="B504" s="9">
        <v>0</v>
      </c>
      <c r="C504" s="9">
        <v>0</v>
      </c>
      <c r="D504" s="9">
        <v>0</v>
      </c>
      <c r="E504" s="9">
        <v>0</v>
      </c>
      <c r="F504" s="9">
        <v>0</v>
      </c>
      <c r="G504" s="9">
        <v>0</v>
      </c>
      <c r="H504" s="9">
        <v>0</v>
      </c>
      <c r="I504" s="7" t="s">
        <v>58</v>
      </c>
    </row>
    <row r="505" spans="1:9" x14ac:dyDescent="0.25">
      <c r="A505" s="1" t="s">
        <v>92</v>
      </c>
      <c r="B505" s="9">
        <v>680700</v>
      </c>
      <c r="C505" s="9">
        <v>631620</v>
      </c>
      <c r="D505" s="9">
        <v>590633</v>
      </c>
      <c r="E505" s="9">
        <v>552306</v>
      </c>
      <c r="F505" s="9">
        <v>516465</v>
      </c>
      <c r="G505" s="9">
        <v>482951</v>
      </c>
      <c r="H505" s="9">
        <v>451611</v>
      </c>
      <c r="I505" s="6">
        <v>-6.6097667339999999</v>
      </c>
    </row>
    <row r="506" spans="1:9" x14ac:dyDescent="0.25">
      <c r="A506" s="1" t="s">
        <v>93</v>
      </c>
      <c r="B506" s="9">
        <v>5385673</v>
      </c>
      <c r="C506" s="9">
        <v>5318191</v>
      </c>
      <c r="D506" s="9">
        <v>5258744</v>
      </c>
      <c r="E506" s="9">
        <v>5207918</v>
      </c>
      <c r="F506" s="9">
        <v>5164396</v>
      </c>
      <c r="G506" s="9">
        <v>5127080</v>
      </c>
      <c r="H506" s="9">
        <v>5095048</v>
      </c>
      <c r="I506" s="6">
        <v>-0.92029234800000004</v>
      </c>
    </row>
    <row r="507" spans="1:9" x14ac:dyDescent="0.25">
      <c r="A507" s="1" t="s">
        <v>94</v>
      </c>
      <c r="B507" s="9">
        <v>0</v>
      </c>
      <c r="C507" s="9">
        <v>0</v>
      </c>
      <c r="D507" s="9">
        <v>0</v>
      </c>
      <c r="E507" s="9">
        <v>0</v>
      </c>
      <c r="F507" s="9">
        <v>0</v>
      </c>
      <c r="G507" s="9">
        <v>0</v>
      </c>
      <c r="H507" s="9">
        <v>0</v>
      </c>
      <c r="I507" s="7" t="s">
        <v>58</v>
      </c>
    </row>
    <row r="508" spans="1:9" x14ac:dyDescent="0.25">
      <c r="A508" s="1" t="s">
        <v>95</v>
      </c>
      <c r="B508" s="9">
        <v>847000</v>
      </c>
      <c r="C508" s="9">
        <v>836940</v>
      </c>
      <c r="D508" s="9">
        <v>824360</v>
      </c>
      <c r="E508" s="9">
        <v>810730</v>
      </c>
      <c r="F508" s="9">
        <v>795985</v>
      </c>
      <c r="G508" s="9">
        <v>780060</v>
      </c>
      <c r="H508" s="9">
        <v>762894</v>
      </c>
      <c r="I508" s="6">
        <v>-1.7279238050000001</v>
      </c>
    </row>
    <row r="509" spans="1:9" x14ac:dyDescent="0.25">
      <c r="A509" s="1" t="s">
        <v>96</v>
      </c>
      <c r="B509" s="9">
        <v>0</v>
      </c>
      <c r="C509" s="9">
        <v>0</v>
      </c>
      <c r="D509" s="9">
        <v>0</v>
      </c>
      <c r="E509" s="9">
        <v>0</v>
      </c>
      <c r="F509" s="9">
        <v>0</v>
      </c>
      <c r="G509" s="9">
        <v>0</v>
      </c>
      <c r="H509" s="9">
        <v>0</v>
      </c>
      <c r="I509" s="7" t="s">
        <v>58</v>
      </c>
    </row>
    <row r="510" spans="1:9" x14ac:dyDescent="0.25">
      <c r="A510" s="1" t="s">
        <v>97</v>
      </c>
      <c r="B510" s="9">
        <v>169392</v>
      </c>
      <c r="C510" s="9">
        <v>173540</v>
      </c>
      <c r="D510" s="9">
        <v>168441</v>
      </c>
      <c r="E510" s="9">
        <v>163986</v>
      </c>
      <c r="F510" s="9">
        <v>160083</v>
      </c>
      <c r="G510" s="9">
        <v>156653</v>
      </c>
      <c r="H510" s="9">
        <v>153633</v>
      </c>
      <c r="I510" s="6">
        <v>-1.614309971</v>
      </c>
    </row>
    <row r="511" spans="1:9" x14ac:dyDescent="0.25">
      <c r="A511" s="1" t="s">
        <v>98</v>
      </c>
      <c r="B511" s="9">
        <v>172599</v>
      </c>
      <c r="C511" s="9">
        <v>168141</v>
      </c>
      <c r="D511" s="9">
        <v>163841</v>
      </c>
      <c r="E511" s="9">
        <v>159692</v>
      </c>
      <c r="F511" s="9">
        <v>155690</v>
      </c>
      <c r="G511" s="9">
        <v>151826</v>
      </c>
      <c r="H511" s="9">
        <v>148097</v>
      </c>
      <c r="I511" s="6">
        <v>-2.519443989</v>
      </c>
    </row>
    <row r="512" spans="1:9" x14ac:dyDescent="0.25">
      <c r="A512" s="1" t="s">
        <v>99</v>
      </c>
      <c r="B512" s="9">
        <v>0</v>
      </c>
      <c r="C512" s="9">
        <v>0</v>
      </c>
      <c r="D512" s="9">
        <v>0</v>
      </c>
      <c r="E512" s="9">
        <v>0</v>
      </c>
      <c r="F512" s="9">
        <v>0</v>
      </c>
      <c r="G512" s="9">
        <v>0</v>
      </c>
      <c r="H512" s="9">
        <v>0</v>
      </c>
      <c r="I512" s="7" t="s">
        <v>58</v>
      </c>
    </row>
    <row r="513" spans="1:9" x14ac:dyDescent="0.25">
      <c r="A513" s="1" t="s">
        <v>100</v>
      </c>
      <c r="B513" s="9">
        <v>2027593</v>
      </c>
      <c r="C513" s="9">
        <v>1865386</v>
      </c>
      <c r="D513" s="9">
        <v>1716155</v>
      </c>
      <c r="E513" s="9">
        <v>1578862</v>
      </c>
      <c r="F513" s="9">
        <v>1452553</v>
      </c>
      <c r="G513" s="9">
        <v>1336349</v>
      </c>
      <c r="H513" s="9">
        <v>1229441</v>
      </c>
      <c r="I513" s="6">
        <v>-8.0000019489999996</v>
      </c>
    </row>
    <row r="514" spans="1:9" x14ac:dyDescent="0.25">
      <c r="A514" s="1" t="s">
        <v>101</v>
      </c>
      <c r="B514" s="9">
        <v>1036556</v>
      </c>
      <c r="C514" s="9">
        <v>948421</v>
      </c>
      <c r="D514" s="9">
        <v>802173</v>
      </c>
      <c r="E514" s="9">
        <v>760556</v>
      </c>
      <c r="F514" s="9">
        <v>722834</v>
      </c>
      <c r="G514" s="9">
        <v>688424</v>
      </c>
      <c r="H514" s="9">
        <v>655835</v>
      </c>
      <c r="I514" s="6">
        <v>-7.3454033020000002</v>
      </c>
    </row>
    <row r="515" spans="1:9" x14ac:dyDescent="0.25">
      <c r="A515" s="1" t="s">
        <v>102</v>
      </c>
      <c r="B515" s="9">
        <v>636561</v>
      </c>
      <c r="C515" s="9">
        <v>625103</v>
      </c>
      <c r="D515" s="9">
        <v>615726</v>
      </c>
      <c r="E515" s="9">
        <v>607722</v>
      </c>
      <c r="F515" s="9">
        <v>597391</v>
      </c>
      <c r="G515" s="9">
        <v>589027</v>
      </c>
      <c r="H515" s="9">
        <v>582548</v>
      </c>
      <c r="I515" s="6">
        <v>-1.4669450399999999</v>
      </c>
    </row>
    <row r="516" spans="1:9" x14ac:dyDescent="0.25">
      <c r="A516" s="1" t="s">
        <v>103</v>
      </c>
      <c r="B516" s="9">
        <v>993183</v>
      </c>
      <c r="C516" s="9">
        <v>974556</v>
      </c>
      <c r="D516" s="9">
        <v>958324</v>
      </c>
      <c r="E516" s="9">
        <v>943504</v>
      </c>
      <c r="F516" s="9">
        <v>930149</v>
      </c>
      <c r="G516" s="9">
        <v>918955</v>
      </c>
      <c r="H516" s="9">
        <v>910150</v>
      </c>
      <c r="I516" s="6">
        <v>-1.4445566320000001</v>
      </c>
    </row>
    <row r="517" spans="1:9" x14ac:dyDescent="0.25">
      <c r="A517" s="1" t="s">
        <v>104</v>
      </c>
      <c r="B517" s="9">
        <v>0</v>
      </c>
      <c r="C517" s="9">
        <v>0</v>
      </c>
      <c r="D517" s="9">
        <v>0</v>
      </c>
      <c r="E517" s="9">
        <v>0</v>
      </c>
      <c r="F517" s="9">
        <v>0</v>
      </c>
      <c r="G517" s="9">
        <v>0</v>
      </c>
      <c r="H517" s="9">
        <v>0</v>
      </c>
      <c r="I517" s="7" t="s">
        <v>58</v>
      </c>
    </row>
    <row r="518" spans="1:9" x14ac:dyDescent="0.25">
      <c r="A518" s="1" t="s">
        <v>105</v>
      </c>
      <c r="B518" s="9">
        <v>2367852</v>
      </c>
      <c r="C518" s="9">
        <v>2469670</v>
      </c>
      <c r="D518" s="9">
        <v>2543760</v>
      </c>
      <c r="E518" s="9">
        <v>2632791</v>
      </c>
      <c r="F518" s="9">
        <v>2709142</v>
      </c>
      <c r="G518" s="9">
        <v>2768743</v>
      </c>
      <c r="H518" s="9">
        <v>2851806</v>
      </c>
      <c r="I518" s="6">
        <v>3.1480219730000001</v>
      </c>
    </row>
    <row r="519" spans="1:9" x14ac:dyDescent="0.25">
      <c r="A519" s="1" t="s">
        <v>106</v>
      </c>
      <c r="B519" s="9">
        <v>10010</v>
      </c>
      <c r="C519" s="9">
        <v>9019</v>
      </c>
      <c r="D519" s="9">
        <v>8306</v>
      </c>
      <c r="E519" s="9">
        <v>7783</v>
      </c>
      <c r="F519" s="9">
        <v>7386</v>
      </c>
      <c r="G519" s="9">
        <v>7098</v>
      </c>
      <c r="H519" s="9">
        <v>6871</v>
      </c>
      <c r="I519" s="6">
        <v>-6.0786531439999996</v>
      </c>
    </row>
    <row r="520" spans="1:9" ht="30" x14ac:dyDescent="0.25">
      <c r="A520" s="1" t="s">
        <v>107</v>
      </c>
      <c r="B520" s="9">
        <v>155464</v>
      </c>
      <c r="C520" s="9">
        <v>158218</v>
      </c>
      <c r="D520" s="9">
        <v>160741</v>
      </c>
      <c r="E520" s="9">
        <v>163047</v>
      </c>
      <c r="F520" s="9">
        <v>165153</v>
      </c>
      <c r="G520" s="9">
        <v>167073</v>
      </c>
      <c r="H520" s="9">
        <v>168821</v>
      </c>
      <c r="I520" s="6">
        <v>1.383225728</v>
      </c>
    </row>
    <row r="521" spans="1:9" x14ac:dyDescent="0.25">
      <c r="A521" s="1" t="s">
        <v>108</v>
      </c>
      <c r="B521" s="9">
        <v>3006859</v>
      </c>
      <c r="C521" s="9">
        <v>3586873</v>
      </c>
      <c r="D521" s="9">
        <v>4209580</v>
      </c>
      <c r="E521" s="9">
        <v>4867312</v>
      </c>
      <c r="F521" s="9">
        <v>5551762</v>
      </c>
      <c r="G521" s="9">
        <v>6254391</v>
      </c>
      <c r="H521" s="9">
        <v>7006367</v>
      </c>
      <c r="I521" s="6">
        <v>15.140992803</v>
      </c>
    </row>
    <row r="522" spans="1:9" ht="30" x14ac:dyDescent="0.25">
      <c r="A522" s="1" t="s">
        <v>109</v>
      </c>
      <c r="B522" s="9">
        <v>0</v>
      </c>
      <c r="C522" s="9">
        <v>0</v>
      </c>
      <c r="D522" s="9">
        <v>0</v>
      </c>
      <c r="E522" s="9">
        <v>0</v>
      </c>
      <c r="F522" s="9">
        <v>0</v>
      </c>
      <c r="G522" s="9">
        <v>0</v>
      </c>
      <c r="H522" s="9">
        <v>0</v>
      </c>
      <c r="I522" s="7" t="s">
        <v>58</v>
      </c>
    </row>
    <row r="523" spans="1:9" x14ac:dyDescent="0.25">
      <c r="A523" s="1" t="s">
        <v>110</v>
      </c>
      <c r="B523" s="9">
        <v>5745907</v>
      </c>
      <c r="C523" s="9">
        <v>5820503</v>
      </c>
      <c r="D523" s="9">
        <v>5896068</v>
      </c>
      <c r="E523" s="9">
        <v>5969640</v>
      </c>
      <c r="F523" s="9">
        <v>6035096</v>
      </c>
      <c r="G523" s="9">
        <v>6095181</v>
      </c>
      <c r="H523" s="9">
        <v>6155863</v>
      </c>
      <c r="I523" s="6">
        <v>1.1552417290000001</v>
      </c>
    </row>
    <row r="524" spans="1:9" x14ac:dyDescent="0.25">
      <c r="A524" s="1" t="s">
        <v>111</v>
      </c>
      <c r="B524" s="9">
        <v>0</v>
      </c>
      <c r="C524" s="9">
        <v>0</v>
      </c>
      <c r="D524" s="9">
        <v>0</v>
      </c>
      <c r="E524" s="9">
        <v>0</v>
      </c>
      <c r="F524" s="9">
        <v>0</v>
      </c>
      <c r="G524" s="9">
        <v>0</v>
      </c>
      <c r="H524" s="9">
        <v>0</v>
      </c>
      <c r="I524" s="7" t="s">
        <v>58</v>
      </c>
    </row>
    <row r="525" spans="1:9" x14ac:dyDescent="0.25">
      <c r="A525" s="1" t="s">
        <v>112</v>
      </c>
      <c r="B525" s="9">
        <v>74988109</v>
      </c>
      <c r="C525" s="9">
        <v>73486331</v>
      </c>
      <c r="D525" s="9">
        <v>71974141</v>
      </c>
      <c r="E525" s="9">
        <v>70625336</v>
      </c>
      <c r="F525" s="9">
        <v>69538863</v>
      </c>
      <c r="G525" s="9">
        <v>68933563</v>
      </c>
      <c r="H525" s="9">
        <v>68646655</v>
      </c>
      <c r="I525" s="6">
        <v>-1.461829139</v>
      </c>
    </row>
    <row r="526" spans="1:9" x14ac:dyDescent="0.25">
      <c r="A526" s="1" t="s">
        <v>113</v>
      </c>
      <c r="B526" s="9">
        <v>454694</v>
      </c>
      <c r="C526" s="9">
        <v>521081</v>
      </c>
      <c r="D526" s="9">
        <v>593357</v>
      </c>
      <c r="E526" s="9">
        <v>663313</v>
      </c>
      <c r="F526" s="9">
        <v>729786</v>
      </c>
      <c r="G526" s="9">
        <v>791951</v>
      </c>
      <c r="H526" s="9">
        <v>849292</v>
      </c>
      <c r="I526" s="6">
        <v>10.974441568</v>
      </c>
    </row>
    <row r="527" spans="1:9" x14ac:dyDescent="0.25">
      <c r="A527" s="1" t="s">
        <v>114</v>
      </c>
      <c r="B527" s="9">
        <v>705600</v>
      </c>
      <c r="C527" s="9">
        <v>679493</v>
      </c>
      <c r="D527" s="9">
        <v>656390</v>
      </c>
      <c r="E527" s="9">
        <v>636698</v>
      </c>
      <c r="F527" s="9">
        <v>618871</v>
      </c>
      <c r="G527" s="9">
        <v>603399</v>
      </c>
      <c r="H527" s="9">
        <v>589521</v>
      </c>
      <c r="I527" s="6">
        <v>-2.95121156</v>
      </c>
    </row>
    <row r="528" spans="1:9" ht="30" x14ac:dyDescent="0.25">
      <c r="A528" s="1" t="s">
        <v>115</v>
      </c>
      <c r="B528" s="9">
        <v>27829042</v>
      </c>
      <c r="C528" s="9">
        <v>27684565</v>
      </c>
      <c r="D528" s="9">
        <v>27507953</v>
      </c>
      <c r="E528" s="9">
        <v>27426279</v>
      </c>
      <c r="F528" s="9">
        <v>27400167</v>
      </c>
      <c r="G528" s="9">
        <v>27368341</v>
      </c>
      <c r="H528" s="9">
        <v>27319249</v>
      </c>
      <c r="I528" s="6">
        <v>-0.30766916500000002</v>
      </c>
    </row>
    <row r="529" spans="1:9" x14ac:dyDescent="0.25">
      <c r="A529" s="1" t="s">
        <v>116</v>
      </c>
      <c r="B529" s="9">
        <v>0</v>
      </c>
      <c r="C529" s="9">
        <v>0</v>
      </c>
      <c r="D529" s="9">
        <v>0</v>
      </c>
      <c r="E529" s="9">
        <v>0</v>
      </c>
      <c r="F529" s="9">
        <v>0</v>
      </c>
      <c r="G529" s="9">
        <v>0</v>
      </c>
      <c r="H529" s="9">
        <v>0</v>
      </c>
      <c r="I529" s="7" t="s">
        <v>58</v>
      </c>
    </row>
    <row r="530" spans="1:9" x14ac:dyDescent="0.25">
      <c r="A530" s="1" t="s">
        <v>12</v>
      </c>
      <c r="B530" s="2"/>
      <c r="C530" s="2"/>
      <c r="D530" s="2"/>
      <c r="E530" s="2"/>
      <c r="F530" s="2"/>
      <c r="G530" s="2"/>
      <c r="H530" s="2"/>
      <c r="I530" s="2"/>
    </row>
    <row r="531" spans="1:9" ht="60" x14ac:dyDescent="0.25">
      <c r="A531" s="1" t="s">
        <v>148</v>
      </c>
      <c r="B531" s="2"/>
      <c r="C531" s="2"/>
      <c r="D531" s="2"/>
      <c r="E531" s="2"/>
      <c r="F531" s="2"/>
      <c r="G531" s="2"/>
      <c r="H531" s="2"/>
      <c r="I531" s="2"/>
    </row>
    <row r="532" spans="1:9" x14ac:dyDescent="0.25">
      <c r="A532" s="1" t="s">
        <v>14</v>
      </c>
      <c r="B532" s="9">
        <v>521297</v>
      </c>
      <c r="C532" s="9">
        <v>138098</v>
      </c>
      <c r="D532" s="9">
        <v>38702</v>
      </c>
      <c r="E532" s="9">
        <v>3414</v>
      </c>
      <c r="F532" s="9">
        <v>0</v>
      </c>
      <c r="G532" s="9">
        <v>0</v>
      </c>
      <c r="H532" s="9">
        <v>0</v>
      </c>
      <c r="I532" s="6">
        <v>-100</v>
      </c>
    </row>
    <row r="533" spans="1:9" ht="30" x14ac:dyDescent="0.25">
      <c r="A533" s="1" t="s">
        <v>15</v>
      </c>
      <c r="B533" s="9">
        <v>16862796</v>
      </c>
      <c r="C533" s="9">
        <v>15708680</v>
      </c>
      <c r="D533" s="9">
        <v>14816067</v>
      </c>
      <c r="E533" s="9">
        <v>14222418</v>
      </c>
      <c r="F533" s="9">
        <v>13711331</v>
      </c>
      <c r="G533" s="9">
        <v>13036008</v>
      </c>
      <c r="H533" s="9">
        <v>12506793</v>
      </c>
      <c r="I533" s="6">
        <v>-4.8586310609999996</v>
      </c>
    </row>
    <row r="534" spans="1:9" x14ac:dyDescent="0.25">
      <c r="A534" s="1" t="s">
        <v>16</v>
      </c>
      <c r="B534" s="9">
        <v>449868</v>
      </c>
      <c r="C534" s="9">
        <v>301412</v>
      </c>
      <c r="D534" s="9">
        <v>241129</v>
      </c>
      <c r="E534" s="9">
        <v>192903</v>
      </c>
      <c r="F534" s="9">
        <v>154323</v>
      </c>
      <c r="G534" s="9">
        <v>123458</v>
      </c>
      <c r="H534" s="9">
        <v>101236</v>
      </c>
      <c r="I534" s="6">
        <v>-22.009510554999999</v>
      </c>
    </row>
    <row r="535" spans="1:9" x14ac:dyDescent="0.25">
      <c r="A535" s="1" t="s">
        <v>17</v>
      </c>
      <c r="B535" s="9">
        <v>1124494</v>
      </c>
      <c r="C535" s="9">
        <v>1084794</v>
      </c>
      <c r="D535" s="9">
        <v>1044170</v>
      </c>
      <c r="E535" s="9">
        <v>1002562</v>
      </c>
      <c r="F535" s="9">
        <v>964786</v>
      </c>
      <c r="G535" s="9">
        <v>923186</v>
      </c>
      <c r="H535" s="9">
        <v>878309</v>
      </c>
      <c r="I535" s="6">
        <v>-4.0345218010000004</v>
      </c>
    </row>
    <row r="536" spans="1:9" x14ac:dyDescent="0.25">
      <c r="A536" s="1" t="s">
        <v>18</v>
      </c>
      <c r="B536" s="9">
        <v>16637</v>
      </c>
      <c r="C536" s="9">
        <v>16705</v>
      </c>
      <c r="D536" s="9">
        <v>16821</v>
      </c>
      <c r="E536" s="9">
        <v>16984</v>
      </c>
      <c r="F536" s="9">
        <v>17192</v>
      </c>
      <c r="G536" s="9">
        <v>17255</v>
      </c>
      <c r="H536" s="9">
        <v>17319</v>
      </c>
      <c r="I536" s="6">
        <v>0.67183062599999999</v>
      </c>
    </row>
    <row r="537" spans="1:9" x14ac:dyDescent="0.25">
      <c r="A537" s="1" t="s">
        <v>19</v>
      </c>
      <c r="B537" s="9">
        <v>3422</v>
      </c>
      <c r="C537" s="9">
        <v>3217</v>
      </c>
      <c r="D537" s="9">
        <v>3024</v>
      </c>
      <c r="E537" s="9">
        <v>2842</v>
      </c>
      <c r="F537" s="9">
        <v>2672</v>
      </c>
      <c r="G537" s="9">
        <v>2511</v>
      </c>
      <c r="H537" s="9">
        <v>2361</v>
      </c>
      <c r="I537" s="6">
        <v>-5.9982374060000003</v>
      </c>
    </row>
    <row r="538" spans="1:9" x14ac:dyDescent="0.25">
      <c r="A538" s="1" t="s">
        <v>20</v>
      </c>
      <c r="B538" s="9">
        <v>0</v>
      </c>
      <c r="C538" s="9">
        <v>0</v>
      </c>
      <c r="D538" s="9">
        <v>0</v>
      </c>
      <c r="E538" s="9">
        <v>0</v>
      </c>
      <c r="F538" s="9">
        <v>0</v>
      </c>
      <c r="G538" s="9">
        <v>0</v>
      </c>
      <c r="H538" s="9">
        <v>0</v>
      </c>
      <c r="I538" s="7" t="s">
        <v>58</v>
      </c>
    </row>
    <row r="539" spans="1:9" x14ac:dyDescent="0.25">
      <c r="A539" s="1" t="s">
        <v>21</v>
      </c>
      <c r="B539" s="9">
        <v>1252943</v>
      </c>
      <c r="C539" s="9">
        <v>985637</v>
      </c>
      <c r="D539" s="9">
        <v>716130</v>
      </c>
      <c r="E539" s="9">
        <v>537032</v>
      </c>
      <c r="F539" s="9">
        <v>358617</v>
      </c>
      <c r="G539" s="9">
        <v>180070</v>
      </c>
      <c r="H539" s="9">
        <v>72334</v>
      </c>
      <c r="I539" s="6">
        <v>-37.831766383999998</v>
      </c>
    </row>
    <row r="540" spans="1:9" x14ac:dyDescent="0.25">
      <c r="A540" s="1" t="s">
        <v>22</v>
      </c>
      <c r="B540" s="9">
        <v>78788</v>
      </c>
      <c r="C540" s="9">
        <v>74440</v>
      </c>
      <c r="D540" s="9">
        <v>70743</v>
      </c>
      <c r="E540" s="9">
        <v>67581</v>
      </c>
      <c r="F540" s="9">
        <v>64862</v>
      </c>
      <c r="G540" s="9">
        <v>62513</v>
      </c>
      <c r="H540" s="9">
        <v>60476</v>
      </c>
      <c r="I540" s="6">
        <v>-4.3128035440000003</v>
      </c>
    </row>
    <row r="541" spans="1:9" x14ac:dyDescent="0.25">
      <c r="A541" s="1" t="s">
        <v>23</v>
      </c>
      <c r="B541" s="9">
        <v>668745</v>
      </c>
      <c r="C541" s="9">
        <v>161524</v>
      </c>
      <c r="D541" s="9">
        <v>54966</v>
      </c>
      <c r="E541" s="9">
        <v>24764</v>
      </c>
      <c r="F541" s="9">
        <v>7747</v>
      </c>
      <c r="G541" s="9">
        <v>975</v>
      </c>
      <c r="H541" s="9">
        <v>0</v>
      </c>
      <c r="I541" s="6">
        <v>-100</v>
      </c>
    </row>
    <row r="542" spans="1:9" x14ac:dyDescent="0.25">
      <c r="A542" s="1" t="s">
        <v>24</v>
      </c>
      <c r="B542" s="9">
        <v>652727</v>
      </c>
      <c r="C542" s="9">
        <v>593150</v>
      </c>
      <c r="D542" s="9">
        <v>546314</v>
      </c>
      <c r="E542" s="9">
        <v>506751</v>
      </c>
      <c r="F542" s="9">
        <v>471199</v>
      </c>
      <c r="G542" s="9">
        <v>437743</v>
      </c>
      <c r="H542" s="9">
        <v>405294</v>
      </c>
      <c r="I542" s="6">
        <v>-7.6352130530000002</v>
      </c>
    </row>
    <row r="543" spans="1:9" x14ac:dyDescent="0.25">
      <c r="A543" s="1" t="s">
        <v>25</v>
      </c>
      <c r="B543" s="9">
        <v>8559</v>
      </c>
      <c r="C543" s="9">
        <v>8473</v>
      </c>
      <c r="D543" s="9">
        <v>8389</v>
      </c>
      <c r="E543" s="9">
        <v>8305</v>
      </c>
      <c r="F543" s="9">
        <v>8222</v>
      </c>
      <c r="G543" s="9">
        <v>8139</v>
      </c>
      <c r="H543" s="9">
        <v>8058</v>
      </c>
      <c r="I543" s="6">
        <v>-1.000263323</v>
      </c>
    </row>
    <row r="544" spans="1:9" x14ac:dyDescent="0.25">
      <c r="A544" s="1" t="s">
        <v>26</v>
      </c>
      <c r="B544" s="9">
        <v>1497283</v>
      </c>
      <c r="C544" s="9">
        <v>1291107</v>
      </c>
      <c r="D544" s="9">
        <v>1136174</v>
      </c>
      <c r="E544" s="9">
        <v>1022557</v>
      </c>
      <c r="F544" s="9">
        <v>940752</v>
      </c>
      <c r="G544" s="9">
        <v>882802</v>
      </c>
      <c r="H544" s="9">
        <v>838662</v>
      </c>
      <c r="I544" s="6">
        <v>-9.2080845369999995</v>
      </c>
    </row>
    <row r="545" spans="1:9" x14ac:dyDescent="0.25">
      <c r="A545" s="1" t="s">
        <v>27</v>
      </c>
      <c r="B545" s="9">
        <v>13008</v>
      </c>
      <c r="C545" s="9">
        <v>4375</v>
      </c>
      <c r="D545" s="9">
        <v>2019</v>
      </c>
      <c r="E545" s="9">
        <v>0</v>
      </c>
      <c r="F545" s="9">
        <v>0</v>
      </c>
      <c r="G545" s="9">
        <v>0</v>
      </c>
      <c r="H545" s="9">
        <v>0</v>
      </c>
      <c r="I545" s="6">
        <v>-100</v>
      </c>
    </row>
    <row r="546" spans="1:9" x14ac:dyDescent="0.25">
      <c r="A546" s="1" t="s">
        <v>28</v>
      </c>
      <c r="B546" s="9">
        <v>1747228</v>
      </c>
      <c r="C546" s="9">
        <v>1376816</v>
      </c>
      <c r="D546" s="9">
        <v>1090438</v>
      </c>
      <c r="E546" s="9">
        <v>914878</v>
      </c>
      <c r="F546" s="9">
        <v>817901</v>
      </c>
      <c r="G546" s="9">
        <v>660864</v>
      </c>
      <c r="H546" s="9">
        <v>594777</v>
      </c>
      <c r="I546" s="6">
        <v>-16.439551140999999</v>
      </c>
    </row>
    <row r="547" spans="1:9" x14ac:dyDescent="0.25">
      <c r="A547" s="1" t="s">
        <v>29</v>
      </c>
      <c r="B547" s="9">
        <v>276877</v>
      </c>
      <c r="C547" s="9">
        <v>232688</v>
      </c>
      <c r="D547" s="9">
        <v>188602</v>
      </c>
      <c r="E547" s="9">
        <v>150140</v>
      </c>
      <c r="F547" s="9">
        <v>119347</v>
      </c>
      <c r="G547" s="9">
        <v>95025</v>
      </c>
      <c r="H547" s="9">
        <v>74207</v>
      </c>
      <c r="I547" s="6">
        <v>-19.704168649</v>
      </c>
    </row>
    <row r="548" spans="1:9" x14ac:dyDescent="0.25">
      <c r="A548" s="1" t="s">
        <v>30</v>
      </c>
      <c r="B548" s="9">
        <v>34693</v>
      </c>
      <c r="C548" s="9">
        <v>13771</v>
      </c>
      <c r="D548" s="9">
        <v>3805</v>
      </c>
      <c r="E548" s="9">
        <v>501</v>
      </c>
      <c r="F548" s="9">
        <v>66</v>
      </c>
      <c r="G548" s="9">
        <v>9</v>
      </c>
      <c r="H548" s="9">
        <v>0</v>
      </c>
      <c r="I548" s="6">
        <v>-100</v>
      </c>
    </row>
    <row r="549" spans="1:9" x14ac:dyDescent="0.25">
      <c r="A549" s="1" t="s">
        <v>31</v>
      </c>
      <c r="B549" s="9">
        <v>570020</v>
      </c>
      <c r="C549" s="9">
        <v>485882</v>
      </c>
      <c r="D549" s="9">
        <v>402870</v>
      </c>
      <c r="E549" s="9">
        <v>321102</v>
      </c>
      <c r="F549" s="9">
        <v>248134</v>
      </c>
      <c r="G549" s="9">
        <v>183075</v>
      </c>
      <c r="H549" s="9">
        <v>125126</v>
      </c>
      <c r="I549" s="6">
        <v>-22.331858840999999</v>
      </c>
    </row>
    <row r="550" spans="1:9" x14ac:dyDescent="0.25">
      <c r="A550" s="1" t="s">
        <v>32</v>
      </c>
      <c r="B550" s="9">
        <v>991395</v>
      </c>
      <c r="C550" s="9">
        <v>960379</v>
      </c>
      <c r="D550" s="9">
        <v>931443</v>
      </c>
      <c r="E550" s="9">
        <v>904394</v>
      </c>
      <c r="F550" s="9">
        <v>879059</v>
      </c>
      <c r="G550" s="9">
        <v>855280</v>
      </c>
      <c r="H550" s="9">
        <v>832918</v>
      </c>
      <c r="I550" s="6">
        <v>-2.8612328580000002</v>
      </c>
    </row>
    <row r="551" spans="1:9" x14ac:dyDescent="0.25">
      <c r="A551" s="1" t="s">
        <v>33</v>
      </c>
      <c r="B551" s="9">
        <v>278995</v>
      </c>
      <c r="C551" s="9">
        <v>252212</v>
      </c>
      <c r="D551" s="9">
        <v>228251</v>
      </c>
      <c r="E551" s="9">
        <v>206796</v>
      </c>
      <c r="F551" s="9">
        <v>187564</v>
      </c>
      <c r="G551" s="9">
        <v>170308</v>
      </c>
      <c r="H551" s="9">
        <v>154810</v>
      </c>
      <c r="I551" s="6">
        <v>-9.3501482009999997</v>
      </c>
    </row>
    <row r="552" spans="1:9" ht="30" x14ac:dyDescent="0.25">
      <c r="A552" s="1" t="s">
        <v>34</v>
      </c>
      <c r="B552" s="9">
        <v>204237</v>
      </c>
      <c r="C552" s="9">
        <v>191299</v>
      </c>
      <c r="D552" s="9">
        <v>181721</v>
      </c>
      <c r="E552" s="9">
        <v>174530</v>
      </c>
      <c r="F552" s="9">
        <v>169060</v>
      </c>
      <c r="G552" s="9">
        <v>164847</v>
      </c>
      <c r="H552" s="9">
        <v>161564</v>
      </c>
      <c r="I552" s="6">
        <v>-3.831015737</v>
      </c>
    </row>
    <row r="553" spans="1:9" ht="30" x14ac:dyDescent="0.25">
      <c r="A553" s="1" t="s">
        <v>35</v>
      </c>
      <c r="B553" s="9">
        <v>14974979</v>
      </c>
      <c r="C553" s="9">
        <v>13505714</v>
      </c>
      <c r="D553" s="9">
        <v>12360671</v>
      </c>
      <c r="E553" s="9">
        <v>11416519</v>
      </c>
      <c r="F553" s="9">
        <v>10623671</v>
      </c>
      <c r="G553" s="9">
        <v>9943316</v>
      </c>
      <c r="H553" s="9">
        <v>9350224</v>
      </c>
      <c r="I553" s="6">
        <v>-7.5494926409999996</v>
      </c>
    </row>
    <row r="554" spans="1:9" x14ac:dyDescent="0.25">
      <c r="A554" s="1" t="s">
        <v>36</v>
      </c>
      <c r="B554" s="9">
        <v>40699</v>
      </c>
      <c r="C554" s="9">
        <v>18859</v>
      </c>
      <c r="D554" s="9">
        <v>9144</v>
      </c>
      <c r="E554" s="9">
        <v>4622</v>
      </c>
      <c r="F554" s="9">
        <v>2428</v>
      </c>
      <c r="G554" s="9">
        <v>1321</v>
      </c>
      <c r="H554" s="9">
        <v>743</v>
      </c>
      <c r="I554" s="6">
        <v>-48.686199756999997</v>
      </c>
    </row>
    <row r="555" spans="1:9" x14ac:dyDescent="0.25">
      <c r="A555" s="1" t="s">
        <v>37</v>
      </c>
      <c r="B555" s="9">
        <v>11531703</v>
      </c>
      <c r="C555" s="9">
        <v>12304328</v>
      </c>
      <c r="D555" s="9">
        <v>12968761</v>
      </c>
      <c r="E555" s="9">
        <v>13656106</v>
      </c>
      <c r="F555" s="9">
        <v>14229662</v>
      </c>
      <c r="G555" s="9">
        <v>14514255</v>
      </c>
      <c r="H555" s="9">
        <v>14804540</v>
      </c>
      <c r="I555" s="6">
        <v>4.2518038420000002</v>
      </c>
    </row>
    <row r="556" spans="1:9" x14ac:dyDescent="0.25">
      <c r="A556" s="1" t="s">
        <v>38</v>
      </c>
      <c r="B556" s="9">
        <v>391197</v>
      </c>
      <c r="C556" s="9">
        <v>409157</v>
      </c>
      <c r="D556" s="9">
        <v>427117</v>
      </c>
      <c r="E556" s="9">
        <v>445077</v>
      </c>
      <c r="F556" s="9">
        <v>463037</v>
      </c>
      <c r="G556" s="9">
        <v>480997</v>
      </c>
      <c r="H556" s="9">
        <v>498957</v>
      </c>
      <c r="I556" s="6">
        <v>4.1384878949999999</v>
      </c>
    </row>
    <row r="557" spans="1:9" x14ac:dyDescent="0.25">
      <c r="A557" s="1" t="s">
        <v>39</v>
      </c>
      <c r="B557" s="9">
        <v>74000</v>
      </c>
      <c r="C557" s="9">
        <v>67000</v>
      </c>
      <c r="D557" s="9">
        <v>59120</v>
      </c>
      <c r="E557" s="9">
        <v>51917</v>
      </c>
      <c r="F557" s="9">
        <v>45333</v>
      </c>
      <c r="G557" s="9">
        <v>39317</v>
      </c>
      <c r="H557" s="9">
        <v>33826</v>
      </c>
      <c r="I557" s="6">
        <v>-12.231942319</v>
      </c>
    </row>
    <row r="558" spans="1:9" x14ac:dyDescent="0.25">
      <c r="A558" s="1" t="s">
        <v>40</v>
      </c>
      <c r="B558" s="9">
        <v>62944</v>
      </c>
      <c r="C558" s="9">
        <v>37767</v>
      </c>
      <c r="D558" s="9">
        <v>18883</v>
      </c>
      <c r="E558" s="9">
        <v>5665</v>
      </c>
      <c r="F558" s="9">
        <v>0</v>
      </c>
      <c r="G558" s="9">
        <v>0</v>
      </c>
      <c r="H558" s="9">
        <v>0</v>
      </c>
      <c r="I558" s="6">
        <v>-100</v>
      </c>
    </row>
    <row r="559" spans="1:9" x14ac:dyDescent="0.25">
      <c r="A559" s="1" t="s">
        <v>41</v>
      </c>
      <c r="B559" s="9">
        <v>7006752</v>
      </c>
      <c r="C559" s="9">
        <v>4808363</v>
      </c>
      <c r="D559" s="9">
        <v>2931950</v>
      </c>
      <c r="E559" s="9">
        <v>1346240</v>
      </c>
      <c r="F559" s="9">
        <v>847251</v>
      </c>
      <c r="G559" s="9">
        <v>486043</v>
      </c>
      <c r="H559" s="9">
        <v>76278</v>
      </c>
      <c r="I559" s="6">
        <v>-52.922460272000002</v>
      </c>
    </row>
    <row r="560" spans="1:9" x14ac:dyDescent="0.25">
      <c r="A560" s="1" t="s">
        <v>42</v>
      </c>
      <c r="B560" s="9">
        <v>23600000</v>
      </c>
      <c r="C560" s="9">
        <v>23004679</v>
      </c>
      <c r="D560" s="9">
        <v>22469452</v>
      </c>
      <c r="E560" s="9">
        <v>21943610</v>
      </c>
      <c r="F560" s="9">
        <v>21420746</v>
      </c>
      <c r="G560" s="9">
        <v>20817786</v>
      </c>
      <c r="H560" s="9">
        <v>20116486</v>
      </c>
      <c r="I560" s="6">
        <v>-2.6266706709999998</v>
      </c>
    </row>
    <row r="561" spans="1:9" x14ac:dyDescent="0.25">
      <c r="A561" s="1" t="s">
        <v>43</v>
      </c>
      <c r="B561" s="9">
        <v>3995531</v>
      </c>
      <c r="C561" s="9">
        <v>3855879</v>
      </c>
      <c r="D561" s="9">
        <v>3711608</v>
      </c>
      <c r="E561" s="9">
        <v>3567862</v>
      </c>
      <c r="F561" s="9">
        <v>3433646</v>
      </c>
      <c r="G561" s="9">
        <v>3301826</v>
      </c>
      <c r="H561" s="9">
        <v>3187239</v>
      </c>
      <c r="I561" s="6">
        <v>-3.696954603</v>
      </c>
    </row>
    <row r="562" spans="1:9" x14ac:dyDescent="0.25">
      <c r="A562" s="1" t="s">
        <v>44</v>
      </c>
      <c r="B562" s="9">
        <v>136644</v>
      </c>
      <c r="C562" s="9">
        <v>100456</v>
      </c>
      <c r="D562" s="9">
        <v>74266</v>
      </c>
      <c r="E562" s="9">
        <v>54894</v>
      </c>
      <c r="F562" s="9">
        <v>40546</v>
      </c>
      <c r="G562" s="9">
        <v>29958</v>
      </c>
      <c r="H562" s="9">
        <v>22022</v>
      </c>
      <c r="I562" s="6">
        <v>-26.230354136999999</v>
      </c>
    </row>
    <row r="563" spans="1:9" x14ac:dyDescent="0.25">
      <c r="A563" s="1" t="s">
        <v>45</v>
      </c>
      <c r="B563" s="9">
        <v>32638</v>
      </c>
      <c r="C563" s="9">
        <v>32520</v>
      </c>
      <c r="D563" s="9">
        <v>33101</v>
      </c>
      <c r="E563" s="9">
        <v>32857</v>
      </c>
      <c r="F563" s="9">
        <v>32219</v>
      </c>
      <c r="G563" s="9">
        <v>31335</v>
      </c>
      <c r="H563" s="9">
        <v>30378</v>
      </c>
      <c r="I563" s="6">
        <v>-1.1888531520000001</v>
      </c>
    </row>
    <row r="564" spans="1:9" x14ac:dyDescent="0.25">
      <c r="A564" s="1" t="s">
        <v>46</v>
      </c>
      <c r="B564" s="9">
        <v>158654</v>
      </c>
      <c r="C564" s="9">
        <v>135649</v>
      </c>
      <c r="D564" s="9">
        <v>116929</v>
      </c>
      <c r="E564" s="9">
        <v>99273</v>
      </c>
      <c r="F564" s="9">
        <v>81007</v>
      </c>
      <c r="G564" s="9">
        <v>68289</v>
      </c>
      <c r="H564" s="9">
        <v>56680</v>
      </c>
      <c r="I564" s="6">
        <v>-15.764245682</v>
      </c>
    </row>
    <row r="565" spans="1:9" x14ac:dyDescent="0.25">
      <c r="A565" s="1" t="s">
        <v>47</v>
      </c>
      <c r="B565" s="9">
        <v>265347</v>
      </c>
      <c r="C565" s="9">
        <v>199186</v>
      </c>
      <c r="D565" s="9">
        <v>160214</v>
      </c>
      <c r="E565" s="9">
        <v>128536</v>
      </c>
      <c r="F565" s="9">
        <v>102764</v>
      </c>
      <c r="G565" s="9">
        <v>81781</v>
      </c>
      <c r="H565" s="9">
        <v>64689</v>
      </c>
      <c r="I565" s="6">
        <v>-20.961981725000001</v>
      </c>
    </row>
    <row r="566" spans="1:9" x14ac:dyDescent="0.25">
      <c r="A566" s="1" t="s">
        <v>48</v>
      </c>
      <c r="B566" s="9">
        <v>1166780</v>
      </c>
      <c r="C566" s="9">
        <v>1026767</v>
      </c>
      <c r="D566" s="9">
        <v>831681</v>
      </c>
      <c r="E566" s="9">
        <v>686137</v>
      </c>
      <c r="F566" s="9">
        <v>583216</v>
      </c>
      <c r="G566" s="9">
        <v>443828</v>
      </c>
      <c r="H566" s="9">
        <v>295145</v>
      </c>
      <c r="I566" s="6">
        <v>-20.474255719999999</v>
      </c>
    </row>
    <row r="567" spans="1:9" x14ac:dyDescent="0.25">
      <c r="A567" s="1" t="s">
        <v>49</v>
      </c>
      <c r="B567" s="9">
        <v>1079697</v>
      </c>
      <c r="C567" s="9">
        <v>889887</v>
      </c>
      <c r="D567" s="9">
        <v>835959</v>
      </c>
      <c r="E567" s="9">
        <v>795415</v>
      </c>
      <c r="F567" s="9">
        <v>764553</v>
      </c>
      <c r="G567" s="9">
        <v>740776</v>
      </c>
      <c r="H567" s="9">
        <v>722404</v>
      </c>
      <c r="I567" s="6">
        <v>-6.4781603350000001</v>
      </c>
    </row>
    <row r="568" spans="1:9" x14ac:dyDescent="0.25">
      <c r="A568" s="1" t="s">
        <v>50</v>
      </c>
      <c r="B568" s="9">
        <v>274708</v>
      </c>
      <c r="C568" s="9">
        <v>297663</v>
      </c>
      <c r="D568" s="9">
        <v>322536</v>
      </c>
      <c r="E568" s="9">
        <v>349487</v>
      </c>
      <c r="F568" s="9">
        <v>378690</v>
      </c>
      <c r="G568" s="9">
        <v>410333</v>
      </c>
      <c r="H568" s="9">
        <v>433312</v>
      </c>
      <c r="I568" s="6">
        <v>7.8917493780000001</v>
      </c>
    </row>
    <row r="569" spans="1:9" x14ac:dyDescent="0.25">
      <c r="A569" s="1" t="s">
        <v>51</v>
      </c>
      <c r="B569" s="9">
        <v>353519</v>
      </c>
      <c r="C569" s="9">
        <v>297243</v>
      </c>
      <c r="D569" s="9">
        <v>254201</v>
      </c>
      <c r="E569" s="9">
        <v>221426</v>
      </c>
      <c r="F569" s="9">
        <v>195694</v>
      </c>
      <c r="G569" s="9">
        <v>175022</v>
      </c>
      <c r="H569" s="9">
        <v>157846</v>
      </c>
      <c r="I569" s="6">
        <v>-12.574765987999999</v>
      </c>
    </row>
    <row r="570" spans="1:9" x14ac:dyDescent="0.25">
      <c r="A570" s="1" t="s">
        <v>52</v>
      </c>
      <c r="B570" s="9">
        <v>788288</v>
      </c>
      <c r="C570" s="9">
        <v>630630</v>
      </c>
      <c r="D570" s="9">
        <v>504504</v>
      </c>
      <c r="E570" s="9">
        <v>403603</v>
      </c>
      <c r="F570" s="9">
        <v>282522</v>
      </c>
      <c r="G570" s="9">
        <v>197766</v>
      </c>
      <c r="H570" s="9">
        <v>138436</v>
      </c>
      <c r="I570" s="6">
        <v>-25.166850950000001</v>
      </c>
    </row>
    <row r="571" spans="1:9" x14ac:dyDescent="0.25">
      <c r="A571" s="1" t="s">
        <v>53</v>
      </c>
      <c r="B571" s="9">
        <v>9962895</v>
      </c>
      <c r="C571" s="9">
        <v>9066648</v>
      </c>
      <c r="D571" s="9">
        <v>8393612</v>
      </c>
      <c r="E571" s="9">
        <v>7784652</v>
      </c>
      <c r="F571" s="9">
        <v>7240930</v>
      </c>
      <c r="G571" s="9">
        <v>6711539</v>
      </c>
      <c r="H571" s="9">
        <v>6321402</v>
      </c>
      <c r="I571" s="6">
        <v>-7.3017982469999998</v>
      </c>
    </row>
    <row r="572" spans="1:9" x14ac:dyDescent="0.25">
      <c r="A572" s="1" t="s">
        <v>54</v>
      </c>
      <c r="B572" s="9">
        <v>116875</v>
      </c>
      <c r="C572" s="9">
        <v>122267</v>
      </c>
      <c r="D572" s="9">
        <v>127852</v>
      </c>
      <c r="E572" s="9">
        <v>133633</v>
      </c>
      <c r="F572" s="9">
        <v>139616</v>
      </c>
      <c r="G572" s="9">
        <v>145776</v>
      </c>
      <c r="H572" s="9">
        <v>150272</v>
      </c>
      <c r="I572" s="6">
        <v>4.2780113860000002</v>
      </c>
    </row>
    <row r="573" spans="1:9" x14ac:dyDescent="0.25">
      <c r="A573" s="1" t="s">
        <v>55</v>
      </c>
      <c r="B573" s="9">
        <v>38000</v>
      </c>
      <c r="C573" s="9">
        <v>33212</v>
      </c>
      <c r="D573" s="9">
        <v>28861</v>
      </c>
      <c r="E573" s="9">
        <v>24907</v>
      </c>
      <c r="F573" s="9">
        <v>21719</v>
      </c>
      <c r="G573" s="9">
        <v>18526</v>
      </c>
      <c r="H573" s="9">
        <v>15988</v>
      </c>
      <c r="I573" s="6">
        <v>-13.43644366</v>
      </c>
    </row>
    <row r="574" spans="1:9" x14ac:dyDescent="0.25">
      <c r="A574" s="1" t="s">
        <v>56</v>
      </c>
      <c r="B574" s="9">
        <v>118574</v>
      </c>
      <c r="C574" s="9">
        <v>115017</v>
      </c>
      <c r="D574" s="9">
        <v>111566</v>
      </c>
      <c r="E574" s="9">
        <v>108219</v>
      </c>
      <c r="F574" s="9">
        <v>97397</v>
      </c>
      <c r="G574" s="9">
        <v>87658</v>
      </c>
      <c r="H574" s="9">
        <v>78892</v>
      </c>
      <c r="I574" s="6">
        <v>-6.5655035829999999</v>
      </c>
    </row>
    <row r="575" spans="1:9" x14ac:dyDescent="0.25">
      <c r="A575" s="1" t="s">
        <v>57</v>
      </c>
      <c r="B575" s="7" t="s">
        <v>58</v>
      </c>
      <c r="C575" s="7" t="s">
        <v>58</v>
      </c>
      <c r="D575" s="7" t="s">
        <v>58</v>
      </c>
      <c r="E575" s="7" t="s">
        <v>58</v>
      </c>
      <c r="F575" s="7" t="s">
        <v>58</v>
      </c>
      <c r="G575" s="7" t="s">
        <v>58</v>
      </c>
      <c r="H575" s="7" t="s">
        <v>58</v>
      </c>
      <c r="I575" s="7" t="s">
        <v>58</v>
      </c>
    </row>
    <row r="576" spans="1:9" x14ac:dyDescent="0.25">
      <c r="A576" s="1" t="s">
        <v>59</v>
      </c>
      <c r="B576" s="9">
        <v>76848</v>
      </c>
      <c r="C576" s="9">
        <v>79844</v>
      </c>
      <c r="D576" s="9">
        <v>83891</v>
      </c>
      <c r="E576" s="9">
        <v>89418</v>
      </c>
      <c r="F576" s="9">
        <v>93210</v>
      </c>
      <c r="G576" s="9">
        <v>96938</v>
      </c>
      <c r="H576" s="9">
        <v>100816</v>
      </c>
      <c r="I576" s="6">
        <v>4.6283754549999996</v>
      </c>
    </row>
    <row r="577" spans="1:9" x14ac:dyDescent="0.25">
      <c r="A577" s="1" t="s">
        <v>60</v>
      </c>
      <c r="B577" s="9">
        <v>861</v>
      </c>
      <c r="C577" s="9">
        <v>689</v>
      </c>
      <c r="D577" s="9">
        <v>551</v>
      </c>
      <c r="E577" s="9">
        <v>441</v>
      </c>
      <c r="F577" s="9">
        <v>353</v>
      </c>
      <c r="G577" s="9">
        <v>282</v>
      </c>
      <c r="H577" s="9">
        <v>226</v>
      </c>
      <c r="I577" s="6">
        <v>-19.982640747000001</v>
      </c>
    </row>
    <row r="578" spans="1:9" ht="45" x14ac:dyDescent="0.25">
      <c r="A578" s="1" t="s">
        <v>61</v>
      </c>
      <c r="B578" s="9">
        <v>5893261</v>
      </c>
      <c r="C578" s="9">
        <v>4141991</v>
      </c>
      <c r="D578" s="9">
        <v>3330407</v>
      </c>
      <c r="E578" s="9">
        <v>2852128</v>
      </c>
      <c r="F578" s="9">
        <v>2568307</v>
      </c>
      <c r="G578" s="9">
        <v>2404440</v>
      </c>
      <c r="H578" s="9">
        <v>2292709</v>
      </c>
      <c r="I578" s="6">
        <v>-14.559153317</v>
      </c>
    </row>
    <row r="579" spans="1:9" x14ac:dyDescent="0.25">
      <c r="A579" s="1" t="s">
        <v>62</v>
      </c>
      <c r="B579" s="9">
        <v>73439</v>
      </c>
      <c r="C579" s="9">
        <v>69298</v>
      </c>
      <c r="D579" s="9">
        <v>65133</v>
      </c>
      <c r="E579" s="9">
        <v>61758</v>
      </c>
      <c r="F579" s="9">
        <v>58970</v>
      </c>
      <c r="G579" s="9">
        <v>55830</v>
      </c>
      <c r="H579" s="9">
        <v>52277</v>
      </c>
      <c r="I579" s="6">
        <v>-5.5075048439999996</v>
      </c>
    </row>
    <row r="580" spans="1:9" x14ac:dyDescent="0.25">
      <c r="A580" s="1" t="s">
        <v>63</v>
      </c>
      <c r="B580" s="9">
        <v>837979</v>
      </c>
      <c r="C580" s="9">
        <v>847643</v>
      </c>
      <c r="D580" s="9">
        <v>855547</v>
      </c>
      <c r="E580" s="9">
        <v>863247</v>
      </c>
      <c r="F580" s="9">
        <v>871500</v>
      </c>
      <c r="G580" s="9">
        <v>896217</v>
      </c>
      <c r="H580" s="9">
        <v>914141</v>
      </c>
      <c r="I580" s="6">
        <v>1.460424596</v>
      </c>
    </row>
    <row r="581" spans="1:9" x14ac:dyDescent="0.25">
      <c r="A581" s="1" t="s">
        <v>64</v>
      </c>
      <c r="B581" s="9">
        <v>106050</v>
      </c>
      <c r="C581" s="9">
        <v>100240</v>
      </c>
      <c r="D581" s="9">
        <v>93086</v>
      </c>
      <c r="E581" s="9">
        <v>87040</v>
      </c>
      <c r="F581" s="9">
        <v>81890</v>
      </c>
      <c r="G581" s="9">
        <v>77463</v>
      </c>
      <c r="H581" s="9">
        <v>73622</v>
      </c>
      <c r="I581" s="6">
        <v>-5.9014734459999998</v>
      </c>
    </row>
    <row r="582" spans="1:9" x14ac:dyDescent="0.25">
      <c r="A582" s="1" t="s">
        <v>65</v>
      </c>
      <c r="B582" s="9">
        <v>18260</v>
      </c>
      <c r="C582" s="9">
        <v>1082</v>
      </c>
      <c r="D582" s="9">
        <v>0</v>
      </c>
      <c r="E582" s="9">
        <v>0</v>
      </c>
      <c r="F582" s="9">
        <v>0</v>
      </c>
      <c r="G582" s="9">
        <v>0</v>
      </c>
      <c r="H582" s="9">
        <v>0</v>
      </c>
      <c r="I582" s="6">
        <v>-100</v>
      </c>
    </row>
    <row r="583" spans="1:9" x14ac:dyDescent="0.25">
      <c r="A583" s="1" t="s">
        <v>66</v>
      </c>
      <c r="B583" s="9">
        <v>1229215</v>
      </c>
      <c r="C583" s="9">
        <v>707695</v>
      </c>
      <c r="D583" s="9">
        <v>347390</v>
      </c>
      <c r="E583" s="9">
        <v>135152</v>
      </c>
      <c r="F583" s="9">
        <v>36067</v>
      </c>
      <c r="G583" s="9">
        <v>6981</v>
      </c>
      <c r="H583" s="9">
        <v>225</v>
      </c>
      <c r="I583" s="6">
        <v>-76.171733748999998</v>
      </c>
    </row>
    <row r="584" spans="1:9" ht="30" x14ac:dyDescent="0.25">
      <c r="A584" s="1" t="s">
        <v>67</v>
      </c>
      <c r="B584" s="9">
        <v>27051267</v>
      </c>
      <c r="C584" s="9">
        <v>27418043</v>
      </c>
      <c r="D584" s="9">
        <v>27647639</v>
      </c>
      <c r="E584" s="9">
        <v>27852578</v>
      </c>
      <c r="F584" s="9">
        <v>27839561</v>
      </c>
      <c r="G584" s="9">
        <v>27472428</v>
      </c>
      <c r="H584" s="9">
        <v>26985098</v>
      </c>
      <c r="I584" s="6">
        <v>-4.0809264999999997E-2</v>
      </c>
    </row>
    <row r="585" spans="1:9" x14ac:dyDescent="0.25">
      <c r="A585" s="1" t="s">
        <v>68</v>
      </c>
      <c r="B585" s="7" t="s">
        <v>58</v>
      </c>
      <c r="C585" s="7" t="s">
        <v>58</v>
      </c>
      <c r="D585" s="7" t="s">
        <v>58</v>
      </c>
      <c r="E585" s="7" t="s">
        <v>58</v>
      </c>
      <c r="F585" s="7" t="s">
        <v>58</v>
      </c>
      <c r="G585" s="7" t="s">
        <v>58</v>
      </c>
      <c r="H585" s="7" t="s">
        <v>58</v>
      </c>
      <c r="I585" s="7" t="s">
        <v>58</v>
      </c>
    </row>
    <row r="586" spans="1:9" x14ac:dyDescent="0.25">
      <c r="A586" s="1" t="s">
        <v>69</v>
      </c>
      <c r="B586" s="9">
        <v>12363</v>
      </c>
      <c r="C586" s="9">
        <v>12239</v>
      </c>
      <c r="D586" s="9">
        <v>12117</v>
      </c>
      <c r="E586" s="9">
        <v>11996</v>
      </c>
      <c r="F586" s="9">
        <v>11876</v>
      </c>
      <c r="G586" s="9">
        <v>11757</v>
      </c>
      <c r="H586" s="9">
        <v>11639</v>
      </c>
      <c r="I586" s="6">
        <v>-1.0007358630000001</v>
      </c>
    </row>
    <row r="587" spans="1:9" x14ac:dyDescent="0.25">
      <c r="A587" s="1" t="s">
        <v>70</v>
      </c>
      <c r="B587" s="9">
        <v>945352</v>
      </c>
      <c r="C587" s="9">
        <v>743440</v>
      </c>
      <c r="D587" s="9">
        <v>563673</v>
      </c>
      <c r="E587" s="9">
        <v>419765</v>
      </c>
      <c r="F587" s="9">
        <v>302897</v>
      </c>
      <c r="G587" s="9">
        <v>230233</v>
      </c>
      <c r="H587" s="9">
        <v>178431</v>
      </c>
      <c r="I587" s="6">
        <v>-24.262181178999999</v>
      </c>
    </row>
    <row r="588" spans="1:9" x14ac:dyDescent="0.25">
      <c r="A588" s="1" t="s">
        <v>71</v>
      </c>
      <c r="B588" s="9">
        <v>300085</v>
      </c>
      <c r="C588" s="9">
        <v>265575</v>
      </c>
      <c r="D588" s="9">
        <v>241939</v>
      </c>
      <c r="E588" s="9">
        <v>224277</v>
      </c>
      <c r="F588" s="9">
        <v>202522</v>
      </c>
      <c r="G588" s="9">
        <v>186928</v>
      </c>
      <c r="H588" s="9">
        <v>167488</v>
      </c>
      <c r="I588" s="6">
        <v>-9.2618539569999996</v>
      </c>
    </row>
    <row r="589" spans="1:9" x14ac:dyDescent="0.25">
      <c r="A589" s="1" t="s">
        <v>72</v>
      </c>
      <c r="B589" s="9">
        <v>201064</v>
      </c>
      <c r="C589" s="9">
        <v>209390</v>
      </c>
      <c r="D589" s="9">
        <v>218389</v>
      </c>
      <c r="E589" s="9">
        <v>221556</v>
      </c>
      <c r="F589" s="9">
        <v>222847</v>
      </c>
      <c r="G589" s="9">
        <v>231092</v>
      </c>
      <c r="H589" s="9">
        <v>234691</v>
      </c>
      <c r="I589" s="6">
        <v>2.6109447459999999</v>
      </c>
    </row>
    <row r="590" spans="1:9" x14ac:dyDescent="0.25">
      <c r="A590" s="1" t="s">
        <v>73</v>
      </c>
      <c r="B590" s="7" t="s">
        <v>58</v>
      </c>
      <c r="C590" s="7" t="s">
        <v>58</v>
      </c>
      <c r="D590" s="7" t="s">
        <v>58</v>
      </c>
      <c r="E590" s="7" t="s">
        <v>58</v>
      </c>
      <c r="F590" s="7" t="s">
        <v>58</v>
      </c>
      <c r="G590" s="7" t="s">
        <v>58</v>
      </c>
      <c r="H590" s="7" t="s">
        <v>58</v>
      </c>
      <c r="I590" s="7" t="s">
        <v>58</v>
      </c>
    </row>
    <row r="591" spans="1:9" ht="30" x14ac:dyDescent="0.25">
      <c r="A591" s="1" t="s">
        <v>74</v>
      </c>
      <c r="B591" s="9">
        <v>10603632</v>
      </c>
      <c r="C591" s="9">
        <v>7960141</v>
      </c>
      <c r="D591" s="9">
        <v>5861883</v>
      </c>
      <c r="E591" s="9">
        <v>4633556</v>
      </c>
      <c r="F591" s="9">
        <v>3591593</v>
      </c>
      <c r="G591" s="9">
        <v>2774181</v>
      </c>
      <c r="H591" s="9">
        <v>2232296</v>
      </c>
      <c r="I591" s="6">
        <v>-22.871268463</v>
      </c>
    </row>
    <row r="592" spans="1:9" x14ac:dyDescent="0.25">
      <c r="A592" s="1" t="s">
        <v>75</v>
      </c>
      <c r="B592" s="9">
        <v>4210</v>
      </c>
      <c r="C592" s="9">
        <v>1181</v>
      </c>
      <c r="D592" s="9">
        <v>329</v>
      </c>
      <c r="E592" s="9">
        <v>0</v>
      </c>
      <c r="F592" s="9">
        <v>0</v>
      </c>
      <c r="G592" s="9">
        <v>0</v>
      </c>
      <c r="H592" s="9">
        <v>0</v>
      </c>
      <c r="I592" s="6">
        <v>-100</v>
      </c>
    </row>
    <row r="593" spans="1:9" x14ac:dyDescent="0.25">
      <c r="A593" s="1" t="s">
        <v>76</v>
      </c>
      <c r="B593" s="9">
        <v>92341</v>
      </c>
      <c r="C593" s="9">
        <v>83107</v>
      </c>
      <c r="D593" s="9">
        <v>76459</v>
      </c>
      <c r="E593" s="9">
        <v>70342</v>
      </c>
      <c r="F593" s="9">
        <v>66825</v>
      </c>
      <c r="G593" s="9">
        <v>63484</v>
      </c>
      <c r="H593" s="9">
        <v>60309</v>
      </c>
      <c r="I593" s="6">
        <v>-6.8539179089999998</v>
      </c>
    </row>
    <row r="594" spans="1:9" ht="45" x14ac:dyDescent="0.25">
      <c r="A594" s="1" t="s">
        <v>77</v>
      </c>
      <c r="B594" s="9">
        <v>8747387</v>
      </c>
      <c r="C594" s="9">
        <v>8707228</v>
      </c>
      <c r="D594" s="9">
        <v>8592128</v>
      </c>
      <c r="E594" s="9">
        <v>8508070</v>
      </c>
      <c r="F594" s="9">
        <v>8383851</v>
      </c>
      <c r="G594" s="9">
        <v>8257193</v>
      </c>
      <c r="H594" s="9">
        <v>8154388</v>
      </c>
      <c r="I594" s="6">
        <v>-1.163163006</v>
      </c>
    </row>
    <row r="595" spans="1:9" ht="45" x14ac:dyDescent="0.25">
      <c r="A595" s="1" t="s">
        <v>78</v>
      </c>
      <c r="B595" s="9">
        <v>6956089</v>
      </c>
      <c r="C595" s="9">
        <v>6422501</v>
      </c>
      <c r="D595" s="9">
        <v>5941056</v>
      </c>
      <c r="E595" s="9">
        <v>5506318</v>
      </c>
      <c r="F595" s="9">
        <v>5113496</v>
      </c>
      <c r="G595" s="9">
        <v>4758375</v>
      </c>
      <c r="H595" s="9">
        <v>4437249</v>
      </c>
      <c r="I595" s="6">
        <v>-7.2192002530000003</v>
      </c>
    </row>
    <row r="596" spans="1:9" ht="60" x14ac:dyDescent="0.25">
      <c r="A596" s="1" t="s">
        <v>79</v>
      </c>
      <c r="B596" s="7" t="s">
        <v>58</v>
      </c>
      <c r="C596" s="7" t="s">
        <v>58</v>
      </c>
      <c r="D596" s="7" t="s">
        <v>58</v>
      </c>
      <c r="E596" s="7" t="s">
        <v>58</v>
      </c>
      <c r="F596" s="7" t="s">
        <v>58</v>
      </c>
      <c r="G596" s="7" t="s">
        <v>58</v>
      </c>
      <c r="H596" s="7" t="s">
        <v>58</v>
      </c>
      <c r="I596" s="7" t="s">
        <v>58</v>
      </c>
    </row>
    <row r="597" spans="1:9" ht="45" x14ac:dyDescent="0.25">
      <c r="A597" s="1" t="s">
        <v>80</v>
      </c>
      <c r="B597" s="7" t="s">
        <v>58</v>
      </c>
      <c r="C597" s="7" t="s">
        <v>58</v>
      </c>
      <c r="D597" s="7" t="s">
        <v>58</v>
      </c>
      <c r="E597" s="7" t="s">
        <v>58</v>
      </c>
      <c r="F597" s="7" t="s">
        <v>58</v>
      </c>
      <c r="G597" s="7" t="s">
        <v>58</v>
      </c>
      <c r="H597" s="7" t="s">
        <v>58</v>
      </c>
      <c r="I597" s="7" t="s">
        <v>58</v>
      </c>
    </row>
    <row r="598" spans="1:9" ht="45" x14ac:dyDescent="0.25">
      <c r="A598" s="1" t="s">
        <v>81</v>
      </c>
      <c r="B598" s="9">
        <v>178433</v>
      </c>
      <c r="C598" s="9">
        <v>151141</v>
      </c>
      <c r="D598" s="9">
        <v>125352</v>
      </c>
      <c r="E598" s="9">
        <v>104798</v>
      </c>
      <c r="F598" s="9">
        <v>101537</v>
      </c>
      <c r="G598" s="9">
        <v>98586</v>
      </c>
      <c r="H598" s="9">
        <v>95828</v>
      </c>
      <c r="I598" s="6">
        <v>-9.8422895120000007</v>
      </c>
    </row>
    <row r="599" spans="1:9" x14ac:dyDescent="0.25">
      <c r="A599" s="1" t="s">
        <v>82</v>
      </c>
      <c r="B599" s="9">
        <v>1716617</v>
      </c>
      <c r="C599" s="9">
        <v>1661685</v>
      </c>
      <c r="D599" s="9">
        <v>1698242</v>
      </c>
      <c r="E599" s="9">
        <v>1752586</v>
      </c>
      <c r="F599" s="9">
        <v>1794648</v>
      </c>
      <c r="G599" s="9">
        <v>1746192</v>
      </c>
      <c r="H599" s="9">
        <v>1685076</v>
      </c>
      <c r="I599" s="6">
        <v>-0.308603287</v>
      </c>
    </row>
    <row r="600" spans="1:9" x14ac:dyDescent="0.25">
      <c r="A600" s="1" t="s">
        <v>83</v>
      </c>
      <c r="B600" s="9">
        <v>420618</v>
      </c>
      <c r="C600" s="9">
        <v>429872</v>
      </c>
      <c r="D600" s="9">
        <v>434600</v>
      </c>
      <c r="E600" s="9">
        <v>439381</v>
      </c>
      <c r="F600" s="9">
        <v>444214</v>
      </c>
      <c r="G600" s="9">
        <v>449100</v>
      </c>
      <c r="H600" s="9">
        <v>454040</v>
      </c>
      <c r="I600" s="6">
        <v>1.282491638</v>
      </c>
    </row>
    <row r="601" spans="1:9" x14ac:dyDescent="0.25">
      <c r="A601" s="1" t="s">
        <v>84</v>
      </c>
      <c r="B601" s="9">
        <v>984</v>
      </c>
      <c r="C601" s="9">
        <v>470</v>
      </c>
      <c r="D601" s="9">
        <v>230</v>
      </c>
      <c r="E601" s="9">
        <v>115</v>
      </c>
      <c r="F601" s="9">
        <v>58</v>
      </c>
      <c r="G601" s="9">
        <v>30</v>
      </c>
      <c r="H601" s="9">
        <v>16</v>
      </c>
      <c r="I601" s="6">
        <v>-49.666845750999997</v>
      </c>
    </row>
    <row r="602" spans="1:9" x14ac:dyDescent="0.25">
      <c r="A602" s="1" t="s">
        <v>85</v>
      </c>
      <c r="B602" s="9">
        <v>102839</v>
      </c>
      <c r="C602" s="9">
        <v>103797</v>
      </c>
      <c r="D602" s="9">
        <v>104427</v>
      </c>
      <c r="E602" s="9">
        <v>104944</v>
      </c>
      <c r="F602" s="9">
        <v>104991</v>
      </c>
      <c r="G602" s="9">
        <v>106863</v>
      </c>
      <c r="H602" s="9">
        <v>118525</v>
      </c>
      <c r="I602" s="6">
        <v>2.394199043</v>
      </c>
    </row>
    <row r="603" spans="1:9" x14ac:dyDescent="0.25">
      <c r="A603" s="1" t="s">
        <v>86</v>
      </c>
      <c r="B603" s="9">
        <v>12729</v>
      </c>
      <c r="C603" s="9">
        <v>5940</v>
      </c>
      <c r="D603" s="9">
        <v>2455</v>
      </c>
      <c r="E603" s="9">
        <v>871</v>
      </c>
      <c r="F603" s="9">
        <v>253</v>
      </c>
      <c r="G603" s="9">
        <v>55</v>
      </c>
      <c r="H603" s="9">
        <v>8</v>
      </c>
      <c r="I603" s="6">
        <v>-70.732702864999993</v>
      </c>
    </row>
    <row r="604" spans="1:9" x14ac:dyDescent="0.25">
      <c r="A604" s="1" t="s">
        <v>87</v>
      </c>
      <c r="B604" s="9">
        <v>652650</v>
      </c>
      <c r="C604" s="9">
        <v>597240</v>
      </c>
      <c r="D604" s="9">
        <v>554119</v>
      </c>
      <c r="E604" s="9">
        <v>518323</v>
      </c>
      <c r="F604" s="9">
        <v>488312</v>
      </c>
      <c r="G604" s="9">
        <v>468145</v>
      </c>
      <c r="H604" s="9">
        <v>453679</v>
      </c>
      <c r="I604" s="6">
        <v>-5.8808371240000001</v>
      </c>
    </row>
    <row r="605" spans="1:9" x14ac:dyDescent="0.25">
      <c r="A605" s="1" t="s">
        <v>88</v>
      </c>
      <c r="B605" s="9">
        <v>921200</v>
      </c>
      <c r="C605" s="9">
        <v>754913</v>
      </c>
      <c r="D605" s="9">
        <v>620976</v>
      </c>
      <c r="E605" s="9">
        <v>513004</v>
      </c>
      <c r="F605" s="9">
        <v>425874</v>
      </c>
      <c r="G605" s="9">
        <v>355478</v>
      </c>
      <c r="H605" s="9">
        <v>298515</v>
      </c>
      <c r="I605" s="6">
        <v>-17.122742457000001</v>
      </c>
    </row>
    <row r="606" spans="1:9" x14ac:dyDescent="0.25">
      <c r="A606" s="1" t="s">
        <v>89</v>
      </c>
      <c r="B606" s="9">
        <v>102532</v>
      </c>
      <c r="C606" s="9">
        <v>98142</v>
      </c>
      <c r="D606" s="9">
        <v>94957</v>
      </c>
      <c r="E606" s="9">
        <v>90294</v>
      </c>
      <c r="F606" s="9">
        <v>85587</v>
      </c>
      <c r="G606" s="9">
        <v>80608</v>
      </c>
      <c r="H606" s="9">
        <v>75430</v>
      </c>
      <c r="I606" s="6">
        <v>-4.9874925030000004</v>
      </c>
    </row>
    <row r="607" spans="1:9" x14ac:dyDescent="0.25">
      <c r="A607" s="1" t="s">
        <v>90</v>
      </c>
      <c r="B607" s="9">
        <v>113270</v>
      </c>
      <c r="C607" s="9">
        <v>101276</v>
      </c>
      <c r="D607" s="9">
        <v>91088</v>
      </c>
      <c r="E607" s="9">
        <v>82383</v>
      </c>
      <c r="F607" s="9">
        <v>74904</v>
      </c>
      <c r="G607" s="9">
        <v>68444</v>
      </c>
      <c r="H607" s="9">
        <v>62836</v>
      </c>
      <c r="I607" s="6">
        <v>-9.3539386400000009</v>
      </c>
    </row>
    <row r="608" spans="1:9" x14ac:dyDescent="0.25">
      <c r="A608" s="1" t="s">
        <v>91</v>
      </c>
      <c r="B608" s="9">
        <v>0</v>
      </c>
      <c r="C608" s="9">
        <v>0</v>
      </c>
      <c r="D608" s="9">
        <v>0</v>
      </c>
      <c r="E608" s="9">
        <v>0</v>
      </c>
      <c r="F608" s="9">
        <v>0</v>
      </c>
      <c r="G608" s="9">
        <v>0</v>
      </c>
      <c r="H608" s="9">
        <v>0</v>
      </c>
      <c r="I608" s="7" t="s">
        <v>58</v>
      </c>
    </row>
    <row r="609" spans="1:9" x14ac:dyDescent="0.25">
      <c r="A609" s="1" t="s">
        <v>92</v>
      </c>
      <c r="B609" s="9">
        <v>68070</v>
      </c>
      <c r="C609" s="9">
        <v>21054</v>
      </c>
      <c r="D609" s="9">
        <v>10785</v>
      </c>
      <c r="E609" s="9">
        <v>6558</v>
      </c>
      <c r="F609" s="9">
        <v>4757</v>
      </c>
      <c r="G609" s="9">
        <v>3929</v>
      </c>
      <c r="H609" s="9">
        <v>3492</v>
      </c>
      <c r="I609" s="6">
        <v>-39.043538644000002</v>
      </c>
    </row>
    <row r="610" spans="1:9" x14ac:dyDescent="0.25">
      <c r="A610" s="1" t="s">
        <v>93</v>
      </c>
      <c r="B610" s="9">
        <v>3462369</v>
      </c>
      <c r="C610" s="9">
        <v>3067183</v>
      </c>
      <c r="D610" s="9">
        <v>2827313</v>
      </c>
      <c r="E610" s="9">
        <v>2683266</v>
      </c>
      <c r="F610" s="9">
        <v>2596723</v>
      </c>
      <c r="G610" s="9">
        <v>2544706</v>
      </c>
      <c r="H610" s="9">
        <v>2513426</v>
      </c>
      <c r="I610" s="6">
        <v>-5.1984454849999997</v>
      </c>
    </row>
    <row r="611" spans="1:9" x14ac:dyDescent="0.25">
      <c r="A611" s="1" t="s">
        <v>94</v>
      </c>
      <c r="B611" s="9">
        <v>284598</v>
      </c>
      <c r="C611" s="9">
        <v>244755</v>
      </c>
      <c r="D611" s="9">
        <v>210489</v>
      </c>
      <c r="E611" s="9">
        <v>181021</v>
      </c>
      <c r="F611" s="9">
        <v>166539</v>
      </c>
      <c r="G611" s="9">
        <v>153216</v>
      </c>
      <c r="H611" s="9">
        <v>140959</v>
      </c>
      <c r="I611" s="6">
        <v>-11.050503441</v>
      </c>
    </row>
    <row r="612" spans="1:9" x14ac:dyDescent="0.25">
      <c r="A612" s="1" t="s">
        <v>95</v>
      </c>
      <c r="B612" s="9">
        <v>519200</v>
      </c>
      <c r="C612" s="9">
        <v>497280</v>
      </c>
      <c r="D612" s="9">
        <v>479028</v>
      </c>
      <c r="E612" s="9">
        <v>461227</v>
      </c>
      <c r="F612" s="9">
        <v>444646</v>
      </c>
      <c r="G612" s="9">
        <v>429111</v>
      </c>
      <c r="H612" s="9">
        <v>414481</v>
      </c>
      <c r="I612" s="6">
        <v>-3.68476457</v>
      </c>
    </row>
    <row r="613" spans="1:9" x14ac:dyDescent="0.25">
      <c r="A613" s="1" t="s">
        <v>96</v>
      </c>
      <c r="B613" s="9">
        <v>0</v>
      </c>
      <c r="C613" s="9">
        <v>0</v>
      </c>
      <c r="D613" s="9">
        <v>0</v>
      </c>
      <c r="E613" s="9">
        <v>0</v>
      </c>
      <c r="F613" s="9">
        <v>0</v>
      </c>
      <c r="G613" s="9">
        <v>0</v>
      </c>
      <c r="H613" s="9">
        <v>0</v>
      </c>
      <c r="I613" s="7" t="s">
        <v>58</v>
      </c>
    </row>
    <row r="614" spans="1:9" x14ac:dyDescent="0.25">
      <c r="A614" s="1" t="s">
        <v>97</v>
      </c>
      <c r="B614" s="9">
        <v>325244</v>
      </c>
      <c r="C614" s="9">
        <v>291800</v>
      </c>
      <c r="D614" s="9">
        <v>256158</v>
      </c>
      <c r="E614" s="9">
        <v>224082</v>
      </c>
      <c r="F614" s="9">
        <v>195230</v>
      </c>
      <c r="G614" s="9">
        <v>169294</v>
      </c>
      <c r="H614" s="9">
        <v>145996</v>
      </c>
      <c r="I614" s="6">
        <v>-12.497201269</v>
      </c>
    </row>
    <row r="615" spans="1:9" x14ac:dyDescent="0.25">
      <c r="A615" s="1" t="s">
        <v>98</v>
      </c>
      <c r="B615" s="9">
        <v>95880</v>
      </c>
      <c r="C615" s="9">
        <v>76088</v>
      </c>
      <c r="D615" s="9">
        <v>60261</v>
      </c>
      <c r="E615" s="9">
        <v>47606</v>
      </c>
      <c r="F615" s="9">
        <v>37487</v>
      </c>
      <c r="G615" s="9">
        <v>29398</v>
      </c>
      <c r="H615" s="9">
        <v>22933</v>
      </c>
      <c r="I615" s="6">
        <v>-21.212834864000001</v>
      </c>
    </row>
    <row r="616" spans="1:9" x14ac:dyDescent="0.25">
      <c r="A616" s="1" t="s">
        <v>99</v>
      </c>
      <c r="B616" s="9">
        <v>176945</v>
      </c>
      <c r="C616" s="9">
        <v>155497</v>
      </c>
      <c r="D616" s="9">
        <v>136649</v>
      </c>
      <c r="E616" s="9">
        <v>120085</v>
      </c>
      <c r="F616" s="9">
        <v>118629</v>
      </c>
      <c r="G616" s="9">
        <v>116257</v>
      </c>
      <c r="H616" s="9">
        <v>113932</v>
      </c>
      <c r="I616" s="6">
        <v>-7.074571798</v>
      </c>
    </row>
    <row r="617" spans="1:9" x14ac:dyDescent="0.25">
      <c r="A617" s="1" t="s">
        <v>100</v>
      </c>
      <c r="B617" s="9">
        <v>313046</v>
      </c>
      <c r="C617" s="9">
        <v>278611</v>
      </c>
      <c r="D617" s="9">
        <v>195475</v>
      </c>
      <c r="E617" s="9">
        <v>151493</v>
      </c>
      <c r="F617" s="9">
        <v>130284</v>
      </c>
      <c r="G617" s="9">
        <v>112044</v>
      </c>
      <c r="H617" s="9">
        <v>96358</v>
      </c>
      <c r="I617" s="6">
        <v>-17.830003262999998</v>
      </c>
    </row>
    <row r="618" spans="1:9" x14ac:dyDescent="0.25">
      <c r="A618" s="1" t="s">
        <v>101</v>
      </c>
      <c r="B618" s="9">
        <v>84807</v>
      </c>
      <c r="C618" s="9">
        <v>0</v>
      </c>
      <c r="D618" s="9">
        <v>0</v>
      </c>
      <c r="E618" s="9">
        <v>0</v>
      </c>
      <c r="F618" s="9">
        <v>0</v>
      </c>
      <c r="G618" s="9">
        <v>0</v>
      </c>
      <c r="H618" s="9">
        <v>0</v>
      </c>
      <c r="I618" s="6">
        <v>-100</v>
      </c>
    </row>
    <row r="619" spans="1:9" x14ac:dyDescent="0.25">
      <c r="A619" s="1" t="s">
        <v>102</v>
      </c>
      <c r="B619" s="9">
        <v>48792</v>
      </c>
      <c r="C619" s="9">
        <v>35618</v>
      </c>
      <c r="D619" s="9">
        <v>25645</v>
      </c>
      <c r="E619" s="9">
        <v>18208</v>
      </c>
      <c r="F619" s="9">
        <v>12746</v>
      </c>
      <c r="G619" s="9">
        <v>8922</v>
      </c>
      <c r="H619" s="9">
        <v>6424</v>
      </c>
      <c r="I619" s="6">
        <v>-28.674829473999999</v>
      </c>
    </row>
    <row r="620" spans="1:9" x14ac:dyDescent="0.25">
      <c r="A620" s="1" t="s">
        <v>103</v>
      </c>
      <c r="B620" s="9">
        <v>1758023</v>
      </c>
      <c r="C620" s="9">
        <v>1675990</v>
      </c>
      <c r="D620" s="9">
        <v>1612555</v>
      </c>
      <c r="E620" s="9">
        <v>1568914</v>
      </c>
      <c r="F620" s="9">
        <v>1507488</v>
      </c>
      <c r="G620" s="9">
        <v>1431750</v>
      </c>
      <c r="H620" s="9">
        <v>1375837</v>
      </c>
      <c r="I620" s="6">
        <v>-4.0031302200000001</v>
      </c>
    </row>
    <row r="621" spans="1:9" x14ac:dyDescent="0.25">
      <c r="A621" s="1" t="s">
        <v>104</v>
      </c>
      <c r="B621" s="9">
        <v>187008</v>
      </c>
      <c r="C621" s="9">
        <v>199350</v>
      </c>
      <c r="D621" s="9">
        <v>212507</v>
      </c>
      <c r="E621" s="9">
        <v>226533</v>
      </c>
      <c r="F621" s="9">
        <v>241484</v>
      </c>
      <c r="G621" s="9">
        <v>257422</v>
      </c>
      <c r="H621" s="9">
        <v>274412</v>
      </c>
      <c r="I621" s="6">
        <v>6.5999871280000004</v>
      </c>
    </row>
    <row r="622" spans="1:9" x14ac:dyDescent="0.25">
      <c r="A622" s="1" t="s">
        <v>105</v>
      </c>
      <c r="B622" s="9">
        <v>231967</v>
      </c>
      <c r="C622" s="9">
        <v>208770</v>
      </c>
      <c r="D622" s="9">
        <v>181630</v>
      </c>
      <c r="E622" s="9">
        <v>163467</v>
      </c>
      <c r="F622" s="9">
        <v>114427</v>
      </c>
      <c r="G622" s="9">
        <v>80099</v>
      </c>
      <c r="H622" s="9">
        <v>56069</v>
      </c>
      <c r="I622" s="6">
        <v>-21.074725548</v>
      </c>
    </row>
    <row r="623" spans="1:9" x14ac:dyDescent="0.25">
      <c r="A623" s="1" t="s">
        <v>106</v>
      </c>
      <c r="B623" s="9">
        <v>191207</v>
      </c>
      <c r="C623" s="9">
        <v>183014</v>
      </c>
      <c r="D623" s="9">
        <v>172297</v>
      </c>
      <c r="E623" s="9">
        <v>160479</v>
      </c>
      <c r="F623" s="9">
        <v>147910</v>
      </c>
      <c r="G623" s="9">
        <v>105453</v>
      </c>
      <c r="H623" s="9">
        <v>85000</v>
      </c>
      <c r="I623" s="6">
        <v>-12.638679549000001</v>
      </c>
    </row>
    <row r="624" spans="1:9" ht="30" x14ac:dyDescent="0.25">
      <c r="A624" s="1" t="s">
        <v>107</v>
      </c>
      <c r="B624" s="9">
        <v>0</v>
      </c>
      <c r="C624" s="9">
        <v>0</v>
      </c>
      <c r="D624" s="9">
        <v>0</v>
      </c>
      <c r="E624" s="9">
        <v>0</v>
      </c>
      <c r="F624" s="9">
        <v>0</v>
      </c>
      <c r="G624" s="9">
        <v>0</v>
      </c>
      <c r="H624" s="9">
        <v>0</v>
      </c>
      <c r="I624" s="7" t="s">
        <v>58</v>
      </c>
    </row>
    <row r="625" spans="1:9" x14ac:dyDescent="0.25">
      <c r="A625" s="1" t="s">
        <v>108</v>
      </c>
      <c r="B625" s="9">
        <v>11643787</v>
      </c>
      <c r="C625" s="9">
        <v>11379497</v>
      </c>
      <c r="D625" s="9">
        <v>11043672</v>
      </c>
      <c r="E625" s="9">
        <v>10619925</v>
      </c>
      <c r="F625" s="9">
        <v>10090117</v>
      </c>
      <c r="G625" s="9">
        <v>9435635</v>
      </c>
      <c r="H625" s="9">
        <v>8639887</v>
      </c>
      <c r="I625" s="6">
        <v>-4.8514220940000001</v>
      </c>
    </row>
    <row r="626" spans="1:9" ht="30" x14ac:dyDescent="0.25">
      <c r="A626" s="1" t="s">
        <v>109</v>
      </c>
      <c r="B626" s="9">
        <v>29070</v>
      </c>
      <c r="C626" s="9">
        <v>27036</v>
      </c>
      <c r="D626" s="9">
        <v>25143</v>
      </c>
      <c r="E626" s="9">
        <v>23886</v>
      </c>
      <c r="F626" s="9">
        <v>22692</v>
      </c>
      <c r="G626" s="9">
        <v>21557</v>
      </c>
      <c r="H626" s="9">
        <v>20479</v>
      </c>
      <c r="I626" s="6">
        <v>-5.6712775930000001</v>
      </c>
    </row>
    <row r="627" spans="1:9" x14ac:dyDescent="0.25">
      <c r="A627" s="1" t="s">
        <v>110</v>
      </c>
      <c r="B627" s="9">
        <v>17135188</v>
      </c>
      <c r="C627" s="9">
        <v>16015612</v>
      </c>
      <c r="D627" s="9">
        <v>14822734</v>
      </c>
      <c r="E627" s="9">
        <v>13626342</v>
      </c>
      <c r="F627" s="9">
        <v>12310528</v>
      </c>
      <c r="G627" s="9">
        <v>10958966</v>
      </c>
      <c r="H627" s="9">
        <v>9438844</v>
      </c>
      <c r="I627" s="6">
        <v>-9.4604519150000002</v>
      </c>
    </row>
    <row r="628" spans="1:9" x14ac:dyDescent="0.25">
      <c r="A628" s="1" t="s">
        <v>111</v>
      </c>
      <c r="B628" s="9">
        <v>34334</v>
      </c>
      <c r="C628" s="9">
        <v>4178</v>
      </c>
      <c r="D628" s="9">
        <v>0</v>
      </c>
      <c r="E628" s="9">
        <v>0</v>
      </c>
      <c r="F628" s="9">
        <v>0</v>
      </c>
      <c r="G628" s="9">
        <v>0</v>
      </c>
      <c r="H628" s="9">
        <v>0</v>
      </c>
      <c r="I628" s="6">
        <v>-100</v>
      </c>
    </row>
    <row r="629" spans="1:9" x14ac:dyDescent="0.25">
      <c r="A629" s="1" t="s">
        <v>112</v>
      </c>
      <c r="B629" s="9">
        <v>9106349</v>
      </c>
      <c r="C629" s="9">
        <v>6669034</v>
      </c>
      <c r="D629" s="9">
        <v>4725709</v>
      </c>
      <c r="E629" s="9">
        <v>3611000</v>
      </c>
      <c r="F629" s="9">
        <v>2650841</v>
      </c>
      <c r="G629" s="9">
        <v>1891380</v>
      </c>
      <c r="H629" s="9">
        <v>1393634</v>
      </c>
      <c r="I629" s="6">
        <v>-26.863516717</v>
      </c>
    </row>
    <row r="630" spans="1:9" x14ac:dyDescent="0.25">
      <c r="A630" s="1" t="s">
        <v>113</v>
      </c>
      <c r="B630" s="9">
        <v>1666491</v>
      </c>
      <c r="C630" s="9">
        <v>1493086</v>
      </c>
      <c r="D630" s="9">
        <v>1337569</v>
      </c>
      <c r="E630" s="9">
        <v>1198111</v>
      </c>
      <c r="F630" s="9">
        <v>1073068</v>
      </c>
      <c r="G630" s="9">
        <v>960964</v>
      </c>
      <c r="H630" s="9">
        <v>860471</v>
      </c>
      <c r="I630" s="6">
        <v>-10.431449863999999</v>
      </c>
    </row>
    <row r="631" spans="1:9" x14ac:dyDescent="0.25">
      <c r="A631" s="1" t="s">
        <v>114</v>
      </c>
      <c r="B631" s="9">
        <v>29567</v>
      </c>
      <c r="C631" s="9">
        <v>20330</v>
      </c>
      <c r="D631" s="9">
        <v>14182</v>
      </c>
      <c r="E631" s="9">
        <v>9468</v>
      </c>
      <c r="F631" s="9">
        <v>6207</v>
      </c>
      <c r="G631" s="9">
        <v>4034</v>
      </c>
      <c r="H631" s="9">
        <v>2581</v>
      </c>
      <c r="I631" s="6">
        <v>-33.396540074999997</v>
      </c>
    </row>
    <row r="632" spans="1:9" ht="30" x14ac:dyDescent="0.25">
      <c r="A632" s="1" t="s">
        <v>115</v>
      </c>
      <c r="B632" s="9">
        <v>67895410</v>
      </c>
      <c r="C632" s="9">
        <v>62114346</v>
      </c>
      <c r="D632" s="9">
        <v>57013501</v>
      </c>
      <c r="E632" s="9">
        <v>52444167</v>
      </c>
      <c r="F632" s="9">
        <v>48970018</v>
      </c>
      <c r="G632" s="9">
        <v>45574845</v>
      </c>
      <c r="H632" s="9">
        <v>42135498</v>
      </c>
      <c r="I632" s="6">
        <v>-7.6433965620000004</v>
      </c>
    </row>
    <row r="633" spans="1:9" x14ac:dyDescent="0.25">
      <c r="A633" s="1" t="s">
        <v>116</v>
      </c>
      <c r="B633" s="9">
        <v>585377</v>
      </c>
      <c r="C633" s="9">
        <v>620588</v>
      </c>
      <c r="D633" s="9">
        <v>658290</v>
      </c>
      <c r="E633" s="9">
        <v>698483</v>
      </c>
      <c r="F633" s="9">
        <v>733407</v>
      </c>
      <c r="G633" s="9">
        <v>770078</v>
      </c>
      <c r="H633" s="9">
        <v>808582</v>
      </c>
      <c r="I633" s="6">
        <v>5.5313277860000003</v>
      </c>
    </row>
    <row r="634" spans="1:9" x14ac:dyDescent="0.25">
      <c r="A634" s="1" t="s">
        <v>12</v>
      </c>
      <c r="B634" s="2"/>
      <c r="C634" s="2"/>
      <c r="D634" s="2"/>
      <c r="E634" s="2"/>
      <c r="F634" s="2"/>
      <c r="G634" s="2"/>
      <c r="H634" s="2"/>
      <c r="I634" s="2"/>
    </row>
    <row r="635" spans="1:9" ht="60" x14ac:dyDescent="0.25">
      <c r="A635" s="1" t="s">
        <v>147</v>
      </c>
      <c r="B635" s="2"/>
      <c r="C635" s="2"/>
      <c r="D635" s="2"/>
      <c r="E635" s="2"/>
      <c r="F635" s="2"/>
      <c r="G635" s="2"/>
      <c r="H635" s="2"/>
      <c r="I635" s="2"/>
    </row>
    <row r="636" spans="1:9" x14ac:dyDescent="0.25">
      <c r="A636" s="1" t="s">
        <v>14</v>
      </c>
      <c r="B636" s="9">
        <v>4875163</v>
      </c>
      <c r="C636" s="9">
        <v>5582880</v>
      </c>
      <c r="D636" s="9">
        <v>6087234</v>
      </c>
      <c r="E636" s="9">
        <v>6319871</v>
      </c>
      <c r="F636" s="9">
        <v>6566075</v>
      </c>
      <c r="G636" s="9">
        <v>6901806</v>
      </c>
      <c r="H636" s="9">
        <v>7334567</v>
      </c>
      <c r="I636" s="6">
        <v>7.0444667949999999</v>
      </c>
    </row>
    <row r="637" spans="1:9" ht="30" x14ac:dyDescent="0.25">
      <c r="A637" s="1" t="s">
        <v>15</v>
      </c>
      <c r="B637" s="9">
        <v>597962159</v>
      </c>
      <c r="C637" s="9">
        <v>619321039</v>
      </c>
      <c r="D637" s="9">
        <v>636915384</v>
      </c>
      <c r="E637" s="9">
        <v>654522497</v>
      </c>
      <c r="F637" s="9">
        <v>676941860</v>
      </c>
      <c r="G637" s="9">
        <v>696842972</v>
      </c>
      <c r="H637" s="9">
        <v>719325534</v>
      </c>
      <c r="I637" s="6">
        <v>3.1276914250000001</v>
      </c>
    </row>
    <row r="638" spans="1:9" x14ac:dyDescent="0.25">
      <c r="A638" s="1" t="s">
        <v>16</v>
      </c>
      <c r="B638" s="9">
        <v>5981009</v>
      </c>
      <c r="C638" s="9">
        <v>6190344</v>
      </c>
      <c r="D638" s="9">
        <v>6314151</v>
      </c>
      <c r="E638" s="9">
        <v>6490947</v>
      </c>
      <c r="F638" s="9">
        <v>6653221</v>
      </c>
      <c r="G638" s="9">
        <v>6812898</v>
      </c>
      <c r="H638" s="9">
        <v>6949156</v>
      </c>
      <c r="I638" s="6">
        <v>2.5320406129999999</v>
      </c>
    </row>
    <row r="639" spans="1:9" x14ac:dyDescent="0.25">
      <c r="A639" s="1" t="s">
        <v>17</v>
      </c>
      <c r="B639" s="9">
        <v>348632</v>
      </c>
      <c r="C639" s="9">
        <v>429754</v>
      </c>
      <c r="D639" s="9">
        <v>510171</v>
      </c>
      <c r="E639" s="9">
        <v>596686</v>
      </c>
      <c r="F639" s="9">
        <v>687613</v>
      </c>
      <c r="G639" s="9">
        <v>780822</v>
      </c>
      <c r="H639" s="9">
        <v>881023</v>
      </c>
      <c r="I639" s="6">
        <v>16.708727305</v>
      </c>
    </row>
    <row r="640" spans="1:9" x14ac:dyDescent="0.25">
      <c r="A640" s="1" t="s">
        <v>18</v>
      </c>
      <c r="B640" s="9">
        <v>14306</v>
      </c>
      <c r="C640" s="9">
        <v>14669</v>
      </c>
      <c r="D640" s="9">
        <v>14909</v>
      </c>
      <c r="E640" s="9">
        <v>15042</v>
      </c>
      <c r="F640" s="9">
        <v>15088</v>
      </c>
      <c r="G640" s="9">
        <v>15144</v>
      </c>
      <c r="H640" s="9">
        <v>15200</v>
      </c>
      <c r="I640" s="6">
        <v>1.0153937930000001</v>
      </c>
    </row>
    <row r="641" spans="1:9" x14ac:dyDescent="0.25">
      <c r="A641" s="1" t="s">
        <v>19</v>
      </c>
      <c r="B641" s="9">
        <v>160386</v>
      </c>
      <c r="C641" s="9">
        <v>163594</v>
      </c>
      <c r="D641" s="9">
        <v>164739</v>
      </c>
      <c r="E641" s="9">
        <v>166189</v>
      </c>
      <c r="F641" s="9">
        <v>167651</v>
      </c>
      <c r="G641" s="9">
        <v>169127</v>
      </c>
      <c r="H641" s="9">
        <v>170615</v>
      </c>
      <c r="I641" s="6">
        <v>1.0357630440000001</v>
      </c>
    </row>
    <row r="642" spans="1:9" x14ac:dyDescent="0.25">
      <c r="A642" s="1" t="s">
        <v>20</v>
      </c>
      <c r="B642" s="9">
        <v>95326</v>
      </c>
      <c r="C642" s="9">
        <v>96089</v>
      </c>
      <c r="D642" s="9">
        <v>96857</v>
      </c>
      <c r="E642" s="9">
        <v>97632</v>
      </c>
      <c r="F642" s="9">
        <v>98413</v>
      </c>
      <c r="G642" s="9">
        <v>99201</v>
      </c>
      <c r="H642" s="9">
        <v>99994</v>
      </c>
      <c r="I642" s="6">
        <v>0.79997597899999995</v>
      </c>
    </row>
    <row r="643" spans="1:9" x14ac:dyDescent="0.25">
      <c r="A643" s="1" t="s">
        <v>21</v>
      </c>
      <c r="B643" s="9">
        <v>718598</v>
      </c>
      <c r="C643" s="9">
        <v>1033015</v>
      </c>
      <c r="D643" s="9">
        <v>1354946</v>
      </c>
      <c r="E643" s="9">
        <v>1590728</v>
      </c>
      <c r="F643" s="9">
        <v>1823340</v>
      </c>
      <c r="G643" s="9">
        <v>2053848</v>
      </c>
      <c r="H643" s="9">
        <v>2215988</v>
      </c>
      <c r="I643" s="6">
        <v>20.646177560999998</v>
      </c>
    </row>
    <row r="644" spans="1:9" x14ac:dyDescent="0.25">
      <c r="A644" s="1" t="s">
        <v>22</v>
      </c>
      <c r="B644" s="9">
        <v>1029824</v>
      </c>
      <c r="C644" s="9">
        <v>1113240</v>
      </c>
      <c r="D644" s="9">
        <v>1199806</v>
      </c>
      <c r="E644" s="9">
        <v>1289371</v>
      </c>
      <c r="F644" s="9">
        <v>1375997</v>
      </c>
      <c r="G644" s="9">
        <v>1463821</v>
      </c>
      <c r="H644" s="9">
        <v>1552579</v>
      </c>
      <c r="I644" s="6">
        <v>7.0816652739999997</v>
      </c>
    </row>
    <row r="645" spans="1:9" x14ac:dyDescent="0.25">
      <c r="A645" s="1" t="s">
        <v>23</v>
      </c>
      <c r="B645" s="9">
        <v>35819187</v>
      </c>
      <c r="C645" s="9">
        <v>38919025</v>
      </c>
      <c r="D645" s="9">
        <v>41498526</v>
      </c>
      <c r="E645" s="9">
        <v>43653778</v>
      </c>
      <c r="F645" s="9">
        <v>45427932</v>
      </c>
      <c r="G645" s="9">
        <v>46994929</v>
      </c>
      <c r="H645" s="9">
        <v>48229223</v>
      </c>
      <c r="I645" s="6">
        <v>5.0829904639999999</v>
      </c>
    </row>
    <row r="646" spans="1:9" x14ac:dyDescent="0.25">
      <c r="A646" s="1" t="s">
        <v>24</v>
      </c>
      <c r="B646" s="9">
        <v>1072903</v>
      </c>
      <c r="C646" s="9">
        <v>1213737</v>
      </c>
      <c r="D646" s="9">
        <v>1343251</v>
      </c>
      <c r="E646" s="9">
        <v>1462953</v>
      </c>
      <c r="F646" s="9">
        <v>1574067</v>
      </c>
      <c r="G646" s="9">
        <v>1677591</v>
      </c>
      <c r="H646" s="9">
        <v>1774339</v>
      </c>
      <c r="I646" s="6">
        <v>8.7458493910000001</v>
      </c>
    </row>
    <row r="647" spans="1:9" x14ac:dyDescent="0.25">
      <c r="A647" s="1" t="s">
        <v>25</v>
      </c>
      <c r="B647" s="9">
        <v>269513</v>
      </c>
      <c r="C647" s="9">
        <v>305897</v>
      </c>
      <c r="D647" s="9">
        <v>347805</v>
      </c>
      <c r="E647" s="9">
        <v>396150</v>
      </c>
      <c r="F647" s="9">
        <v>435765</v>
      </c>
      <c r="G647" s="9">
        <v>479341</v>
      </c>
      <c r="H647" s="9">
        <v>503308</v>
      </c>
      <c r="I647" s="6">
        <v>10.970877239</v>
      </c>
    </row>
    <row r="648" spans="1:9" x14ac:dyDescent="0.25">
      <c r="A648" s="1" t="s">
        <v>26</v>
      </c>
      <c r="B648" s="9">
        <v>4977444</v>
      </c>
      <c r="C648" s="9">
        <v>5310933</v>
      </c>
      <c r="D648" s="9">
        <v>5620667</v>
      </c>
      <c r="E648" s="9">
        <v>5877284</v>
      </c>
      <c r="F648" s="9">
        <v>6096652</v>
      </c>
      <c r="G648" s="9">
        <v>6297842</v>
      </c>
      <c r="H648" s="9">
        <v>6486777</v>
      </c>
      <c r="I648" s="6">
        <v>4.5130281029999999</v>
      </c>
    </row>
    <row r="649" spans="1:9" x14ac:dyDescent="0.25">
      <c r="A649" s="1" t="s">
        <v>27</v>
      </c>
      <c r="B649" s="9">
        <v>3248359</v>
      </c>
      <c r="C649" s="9">
        <v>3374764</v>
      </c>
      <c r="D649" s="9">
        <v>3544398</v>
      </c>
      <c r="E649" s="9">
        <v>3685918</v>
      </c>
      <c r="F649" s="9">
        <v>3811036</v>
      </c>
      <c r="G649" s="9">
        <v>3922811</v>
      </c>
      <c r="H649" s="9">
        <v>4013592</v>
      </c>
      <c r="I649" s="6">
        <v>3.5884974500000002</v>
      </c>
    </row>
    <row r="650" spans="1:9" x14ac:dyDescent="0.25">
      <c r="A650" s="1" t="s">
        <v>28</v>
      </c>
      <c r="B650" s="9">
        <v>413400000</v>
      </c>
      <c r="C650" s="9">
        <v>422081400</v>
      </c>
      <c r="D650" s="9">
        <v>429256784</v>
      </c>
      <c r="E650" s="9">
        <v>437412663</v>
      </c>
      <c r="F650" s="9">
        <v>448785392</v>
      </c>
      <c r="G650" s="9">
        <v>458658671</v>
      </c>
      <c r="H650" s="9">
        <v>470125137</v>
      </c>
      <c r="I650" s="6">
        <v>2.166182681</v>
      </c>
    </row>
    <row r="651" spans="1:9" x14ac:dyDescent="0.25">
      <c r="A651" s="1" t="s">
        <v>29</v>
      </c>
      <c r="B651" s="9">
        <v>3234206</v>
      </c>
      <c r="C651" s="9">
        <v>3673654</v>
      </c>
      <c r="D651" s="9">
        <v>4043830</v>
      </c>
      <c r="E651" s="9">
        <v>4359148</v>
      </c>
      <c r="F651" s="9">
        <v>4621401</v>
      </c>
      <c r="G651" s="9">
        <v>4827406</v>
      </c>
      <c r="H651" s="9">
        <v>4979288</v>
      </c>
      <c r="I651" s="6">
        <v>7.4566411339999998</v>
      </c>
    </row>
    <row r="652" spans="1:9" x14ac:dyDescent="0.25">
      <c r="A652" s="1" t="s">
        <v>30</v>
      </c>
      <c r="B652" s="9">
        <v>650295</v>
      </c>
      <c r="C652" s="9">
        <v>803366</v>
      </c>
      <c r="D652" s="9">
        <v>935738</v>
      </c>
      <c r="E652" s="9">
        <v>1043666</v>
      </c>
      <c r="F652" s="9">
        <v>1127930</v>
      </c>
      <c r="G652" s="9">
        <v>1182570</v>
      </c>
      <c r="H652" s="9">
        <v>1216942</v>
      </c>
      <c r="I652" s="6">
        <v>11.009439760999999</v>
      </c>
    </row>
    <row r="653" spans="1:9" x14ac:dyDescent="0.25">
      <c r="A653" s="1" t="s">
        <v>31</v>
      </c>
      <c r="B653" s="9">
        <v>351621</v>
      </c>
      <c r="C653" s="9">
        <v>470996</v>
      </c>
      <c r="D653" s="9">
        <v>585722</v>
      </c>
      <c r="E653" s="9">
        <v>688459</v>
      </c>
      <c r="F653" s="9">
        <v>780299</v>
      </c>
      <c r="G653" s="9">
        <v>862343</v>
      </c>
      <c r="H653" s="9">
        <v>935579</v>
      </c>
      <c r="I653" s="6">
        <v>17.715669429999998</v>
      </c>
    </row>
    <row r="654" spans="1:9" x14ac:dyDescent="0.25">
      <c r="A654" s="1" t="s">
        <v>32</v>
      </c>
      <c r="B654" s="9">
        <v>956792</v>
      </c>
      <c r="C654" s="9">
        <v>1042093</v>
      </c>
      <c r="D654" s="9">
        <v>1125520</v>
      </c>
      <c r="E654" s="9">
        <v>1207132</v>
      </c>
      <c r="F654" s="9">
        <v>1286986</v>
      </c>
      <c r="G654" s="9">
        <v>1365134</v>
      </c>
      <c r="H654" s="9">
        <v>1441626</v>
      </c>
      <c r="I654" s="6">
        <v>7.0711609869999998</v>
      </c>
    </row>
    <row r="655" spans="1:9" x14ac:dyDescent="0.25">
      <c r="A655" s="1" t="s">
        <v>33</v>
      </c>
      <c r="B655" s="9">
        <v>1393466</v>
      </c>
      <c r="C655" s="9">
        <v>1449205</v>
      </c>
      <c r="D655" s="9">
        <v>1492681</v>
      </c>
      <c r="E655" s="9">
        <v>1535969</v>
      </c>
      <c r="F655" s="9">
        <v>1578976</v>
      </c>
      <c r="G655" s="9">
        <v>1621609</v>
      </c>
      <c r="H655" s="9">
        <v>1663770</v>
      </c>
      <c r="I655" s="6">
        <v>2.9989550629999999</v>
      </c>
    </row>
    <row r="656" spans="1:9" ht="30" x14ac:dyDescent="0.25">
      <c r="A656" s="1" t="s">
        <v>34</v>
      </c>
      <c r="B656" s="9">
        <v>659033</v>
      </c>
      <c r="C656" s="9">
        <v>702632</v>
      </c>
      <c r="D656" s="9">
        <v>786824</v>
      </c>
      <c r="E656" s="9">
        <v>870759</v>
      </c>
      <c r="F656" s="9">
        <v>952382</v>
      </c>
      <c r="G656" s="9">
        <v>1027420</v>
      </c>
      <c r="H656" s="9">
        <v>1100378</v>
      </c>
      <c r="I656" s="6">
        <v>8.9195377459999996</v>
      </c>
    </row>
    <row r="657" spans="1:9" ht="30" x14ac:dyDescent="0.25">
      <c r="A657" s="1" t="s">
        <v>35</v>
      </c>
      <c r="B657" s="9">
        <v>59952262</v>
      </c>
      <c r="C657" s="9">
        <v>65407013</v>
      </c>
      <c r="D657" s="9">
        <v>69933249</v>
      </c>
      <c r="E657" s="9">
        <v>74110833</v>
      </c>
      <c r="F657" s="9">
        <v>78090357</v>
      </c>
      <c r="G657" s="9">
        <v>81974834</v>
      </c>
      <c r="H657" s="9">
        <v>85841011</v>
      </c>
      <c r="I657" s="6">
        <v>6.1650434199999999</v>
      </c>
    </row>
    <row r="658" spans="1:9" x14ac:dyDescent="0.25">
      <c r="A658" s="1" t="s">
        <v>36</v>
      </c>
      <c r="B658" s="9">
        <v>2538695</v>
      </c>
      <c r="C658" s="9">
        <v>2767178</v>
      </c>
      <c r="D658" s="9">
        <v>2991319</v>
      </c>
      <c r="E658" s="9">
        <v>3209386</v>
      </c>
      <c r="F658" s="9">
        <v>3419954</v>
      </c>
      <c r="G658" s="9">
        <v>3621899</v>
      </c>
      <c r="H658" s="9">
        <v>3814382</v>
      </c>
      <c r="I658" s="6">
        <v>7.0209847429999996</v>
      </c>
    </row>
    <row r="659" spans="1:9" x14ac:dyDescent="0.25">
      <c r="A659" s="1" t="s">
        <v>37</v>
      </c>
      <c r="B659" s="9">
        <v>240989</v>
      </c>
      <c r="C659" s="9">
        <v>354253</v>
      </c>
      <c r="D659" s="9">
        <v>506582</v>
      </c>
      <c r="E659" s="9">
        <v>720588</v>
      </c>
      <c r="F659" s="9">
        <v>1008102</v>
      </c>
      <c r="G659" s="9">
        <v>1398237</v>
      </c>
      <c r="H659" s="9">
        <v>1879231</v>
      </c>
      <c r="I659" s="6">
        <v>40.819832933000001</v>
      </c>
    </row>
    <row r="660" spans="1:9" x14ac:dyDescent="0.25">
      <c r="A660" s="1" t="s">
        <v>38</v>
      </c>
      <c r="B660" s="9">
        <v>24793</v>
      </c>
      <c r="C660" s="9">
        <v>26569</v>
      </c>
      <c r="D660" s="9">
        <v>28345</v>
      </c>
      <c r="E660" s="9">
        <v>30121</v>
      </c>
      <c r="F660" s="9">
        <v>31897</v>
      </c>
      <c r="G660" s="9">
        <v>33673</v>
      </c>
      <c r="H660" s="9">
        <v>35449</v>
      </c>
      <c r="I660" s="6">
        <v>6.1400166299999999</v>
      </c>
    </row>
    <row r="661" spans="1:9" x14ac:dyDescent="0.25">
      <c r="A661" s="1" t="s">
        <v>39</v>
      </c>
      <c r="B661" s="9">
        <v>253000</v>
      </c>
      <c r="C661" s="9">
        <v>261100</v>
      </c>
      <c r="D661" s="9">
        <v>269970</v>
      </c>
      <c r="E661" s="9">
        <v>278064</v>
      </c>
      <c r="F661" s="9">
        <v>285450</v>
      </c>
      <c r="G661" s="9">
        <v>292188</v>
      </c>
      <c r="H661" s="9">
        <v>298328</v>
      </c>
      <c r="I661" s="6">
        <v>2.784804909</v>
      </c>
    </row>
    <row r="662" spans="1:9" x14ac:dyDescent="0.25">
      <c r="A662" s="1" t="s">
        <v>40</v>
      </c>
      <c r="B662" s="9">
        <v>1276046</v>
      </c>
      <c r="C662" s="9">
        <v>1333986</v>
      </c>
      <c r="D662" s="9">
        <v>1391878</v>
      </c>
      <c r="E662" s="9">
        <v>1444953</v>
      </c>
      <c r="F662" s="9">
        <v>1489432</v>
      </c>
      <c r="G662" s="9">
        <v>1530459</v>
      </c>
      <c r="H662" s="9">
        <v>1567709</v>
      </c>
      <c r="I662" s="6">
        <v>3.490349476</v>
      </c>
    </row>
    <row r="663" spans="1:9" x14ac:dyDescent="0.25">
      <c r="A663" s="1" t="s">
        <v>41</v>
      </c>
      <c r="B663" s="9">
        <v>23716229</v>
      </c>
      <c r="C663" s="9">
        <v>26035898</v>
      </c>
      <c r="D663" s="9">
        <v>28016659</v>
      </c>
      <c r="E663" s="9">
        <v>29858470</v>
      </c>
      <c r="F663" s="9">
        <v>30638557</v>
      </c>
      <c r="G663" s="9">
        <v>31257083</v>
      </c>
      <c r="H663" s="9">
        <v>31798320</v>
      </c>
      <c r="I663" s="6">
        <v>5.0089759840000001</v>
      </c>
    </row>
    <row r="664" spans="1:9" x14ac:dyDescent="0.25">
      <c r="A664" s="1" t="s">
        <v>42</v>
      </c>
      <c r="B664" s="9">
        <v>5300000</v>
      </c>
      <c r="C664" s="9">
        <v>6219308</v>
      </c>
      <c r="D664" s="9">
        <v>7080317</v>
      </c>
      <c r="E664" s="9">
        <v>7896519</v>
      </c>
      <c r="F664" s="9">
        <v>8745020</v>
      </c>
      <c r="G664" s="9">
        <v>9624054</v>
      </c>
      <c r="H664" s="9">
        <v>10533017</v>
      </c>
      <c r="I664" s="6">
        <v>12.127675576</v>
      </c>
    </row>
    <row r="665" spans="1:9" x14ac:dyDescent="0.25">
      <c r="A665" s="1" t="s">
        <v>43</v>
      </c>
      <c r="B665" s="9">
        <v>588272</v>
      </c>
      <c r="C665" s="9">
        <v>854209</v>
      </c>
      <c r="D665" s="9">
        <v>1154008</v>
      </c>
      <c r="E665" s="9">
        <v>1457473</v>
      </c>
      <c r="F665" s="9">
        <v>1726507</v>
      </c>
      <c r="G665" s="9">
        <v>1985134</v>
      </c>
      <c r="H665" s="9">
        <v>2210335</v>
      </c>
      <c r="I665" s="6">
        <v>24.684744730999999</v>
      </c>
    </row>
    <row r="666" spans="1:9" x14ac:dyDescent="0.25">
      <c r="A666" s="1" t="s">
        <v>44</v>
      </c>
      <c r="B666" s="9">
        <v>258381</v>
      </c>
      <c r="C666" s="9">
        <v>310164</v>
      </c>
      <c r="D666" s="9">
        <v>370159</v>
      </c>
      <c r="E666" s="9">
        <v>422128</v>
      </c>
      <c r="F666" s="9">
        <v>510898</v>
      </c>
      <c r="G666" s="9">
        <v>555447</v>
      </c>
      <c r="H666" s="9">
        <v>600788</v>
      </c>
      <c r="I666" s="6">
        <v>15.100385751999999</v>
      </c>
    </row>
    <row r="667" spans="1:9" x14ac:dyDescent="0.25">
      <c r="A667" s="1" t="s">
        <v>45</v>
      </c>
      <c r="B667" s="9">
        <v>26234</v>
      </c>
      <c r="C667" s="9">
        <v>31463</v>
      </c>
      <c r="D667" s="9">
        <v>37050</v>
      </c>
      <c r="E667" s="9">
        <v>42666</v>
      </c>
      <c r="F667" s="9">
        <v>48229</v>
      </c>
      <c r="G667" s="9">
        <v>53824</v>
      </c>
      <c r="H667" s="9">
        <v>59691</v>
      </c>
      <c r="I667" s="6">
        <v>14.685203640999999</v>
      </c>
    </row>
    <row r="668" spans="1:9" x14ac:dyDescent="0.25">
      <c r="A668" s="1" t="s">
        <v>46</v>
      </c>
      <c r="B668" s="9">
        <v>2496359</v>
      </c>
      <c r="C668" s="9">
        <v>2561264</v>
      </c>
      <c r="D668" s="9">
        <v>2630419</v>
      </c>
      <c r="E668" s="9">
        <v>2690918</v>
      </c>
      <c r="F668" s="9">
        <v>2755500</v>
      </c>
      <c r="G668" s="9">
        <v>2827143</v>
      </c>
      <c r="H668" s="9">
        <v>2886513</v>
      </c>
      <c r="I668" s="6">
        <v>2.44979163</v>
      </c>
    </row>
    <row r="669" spans="1:9" x14ac:dyDescent="0.25">
      <c r="A669" s="1" t="s">
        <v>47</v>
      </c>
      <c r="B669" s="9">
        <v>1601965</v>
      </c>
      <c r="C669" s="9">
        <v>1780553</v>
      </c>
      <c r="D669" s="9">
        <v>1911457</v>
      </c>
      <c r="E669" s="9">
        <v>2035432</v>
      </c>
      <c r="F669" s="9">
        <v>2146918</v>
      </c>
      <c r="G669" s="9">
        <v>2236472</v>
      </c>
      <c r="H669" s="9">
        <v>2308420</v>
      </c>
      <c r="I669" s="6">
        <v>6.2780639090000001</v>
      </c>
    </row>
    <row r="670" spans="1:9" x14ac:dyDescent="0.25">
      <c r="A670" s="1" t="s">
        <v>48</v>
      </c>
      <c r="B670" s="9">
        <v>35016990</v>
      </c>
      <c r="C670" s="9">
        <v>39394114</v>
      </c>
      <c r="D670" s="9">
        <v>42939584</v>
      </c>
      <c r="E670" s="9">
        <v>45816536</v>
      </c>
      <c r="F670" s="9">
        <v>48565529</v>
      </c>
      <c r="G670" s="9">
        <v>51090936</v>
      </c>
      <c r="H670" s="9">
        <v>55586938</v>
      </c>
      <c r="I670" s="6">
        <v>8.0062754589999994</v>
      </c>
    </row>
    <row r="671" spans="1:9" x14ac:dyDescent="0.25">
      <c r="A671" s="1" t="s">
        <v>49</v>
      </c>
      <c r="B671" s="9">
        <v>14239802</v>
      </c>
      <c r="C671" s="9">
        <v>16131300</v>
      </c>
      <c r="D671" s="9">
        <v>17012819</v>
      </c>
      <c r="E671" s="9">
        <v>17809339</v>
      </c>
      <c r="F671" s="9">
        <v>19579687</v>
      </c>
      <c r="G671" s="9">
        <v>20981771</v>
      </c>
      <c r="H671" s="9">
        <v>21455173</v>
      </c>
      <c r="I671" s="6">
        <v>7.0708733260000001</v>
      </c>
    </row>
    <row r="672" spans="1:9" x14ac:dyDescent="0.25">
      <c r="A672" s="1" t="s">
        <v>50</v>
      </c>
      <c r="B672" s="9">
        <v>122417</v>
      </c>
      <c r="C672" s="9">
        <v>148125</v>
      </c>
      <c r="D672" s="9">
        <v>179231</v>
      </c>
      <c r="E672" s="9">
        <v>207908</v>
      </c>
      <c r="F672" s="9">
        <v>241173</v>
      </c>
      <c r="G672" s="9">
        <v>279761</v>
      </c>
      <c r="H672" s="9">
        <v>324523</v>
      </c>
      <c r="I672" s="6">
        <v>17.643325267000002</v>
      </c>
    </row>
    <row r="673" spans="1:9" x14ac:dyDescent="0.25">
      <c r="A673" s="1" t="s">
        <v>51</v>
      </c>
      <c r="B673" s="9">
        <v>756741</v>
      </c>
      <c r="C673" s="9">
        <v>860959</v>
      </c>
      <c r="D673" s="9">
        <v>954854</v>
      </c>
      <c r="E673" s="9">
        <v>1041103</v>
      </c>
      <c r="F673" s="9">
        <v>1121350</v>
      </c>
      <c r="G673" s="9">
        <v>1192711</v>
      </c>
      <c r="H673" s="9">
        <v>1254163</v>
      </c>
      <c r="I673" s="6">
        <v>8.7846920340000008</v>
      </c>
    </row>
    <row r="674" spans="1:9" x14ac:dyDescent="0.25">
      <c r="A674" s="1" t="s">
        <v>52</v>
      </c>
      <c r="B674" s="9">
        <v>1737525</v>
      </c>
      <c r="C674" s="9">
        <v>2015529</v>
      </c>
      <c r="D674" s="9">
        <v>2251346</v>
      </c>
      <c r="E674" s="9">
        <v>2453967</v>
      </c>
      <c r="F674" s="9">
        <v>2674824</v>
      </c>
      <c r="G674" s="9">
        <v>2847618</v>
      </c>
      <c r="H674" s="9">
        <v>2992847</v>
      </c>
      <c r="I674" s="6">
        <v>9.4860805480000003</v>
      </c>
    </row>
    <row r="675" spans="1:9" x14ac:dyDescent="0.25">
      <c r="A675" s="1" t="s">
        <v>53</v>
      </c>
      <c r="B675" s="9">
        <v>4579321</v>
      </c>
      <c r="C675" s="9">
        <v>5509416</v>
      </c>
      <c r="D675" s="9">
        <v>6475522</v>
      </c>
      <c r="E675" s="9">
        <v>7390391</v>
      </c>
      <c r="F675" s="9">
        <v>8277612</v>
      </c>
      <c r="G675" s="9">
        <v>9211876</v>
      </c>
      <c r="H675" s="9">
        <v>10048681</v>
      </c>
      <c r="I675" s="6">
        <v>13.994700526000001</v>
      </c>
    </row>
    <row r="676" spans="1:9" x14ac:dyDescent="0.25">
      <c r="A676" s="1" t="s">
        <v>54</v>
      </c>
      <c r="B676" s="9">
        <v>146080</v>
      </c>
      <c r="C676" s="9">
        <v>155059</v>
      </c>
      <c r="D676" s="9">
        <v>164096</v>
      </c>
      <c r="E676" s="9">
        <v>172739</v>
      </c>
      <c r="F676" s="9">
        <v>181576</v>
      </c>
      <c r="G676" s="9">
        <v>190413</v>
      </c>
      <c r="H676" s="9">
        <v>214852</v>
      </c>
      <c r="I676" s="6">
        <v>6.6411386170000002</v>
      </c>
    </row>
    <row r="677" spans="1:9" x14ac:dyDescent="0.25">
      <c r="A677" s="1" t="s">
        <v>55</v>
      </c>
      <c r="B677" s="9">
        <v>40900000</v>
      </c>
      <c r="C677" s="9">
        <v>42127000</v>
      </c>
      <c r="D677" s="9">
        <v>43180175</v>
      </c>
      <c r="E677" s="9">
        <v>44475580</v>
      </c>
      <c r="F677" s="9">
        <v>45854323</v>
      </c>
      <c r="G677" s="9">
        <v>47321662</v>
      </c>
      <c r="H677" s="9">
        <v>48646668</v>
      </c>
      <c r="I677" s="6">
        <v>2.9330793119999998</v>
      </c>
    </row>
    <row r="678" spans="1:9" x14ac:dyDescent="0.25">
      <c r="A678" s="1" t="s">
        <v>56</v>
      </c>
      <c r="B678" s="9">
        <v>539043</v>
      </c>
      <c r="C678" s="9">
        <v>603728</v>
      </c>
      <c r="D678" s="9">
        <v>676176</v>
      </c>
      <c r="E678" s="9">
        <v>737032</v>
      </c>
      <c r="F678" s="9">
        <v>788624</v>
      </c>
      <c r="G678" s="9">
        <v>843828</v>
      </c>
      <c r="H678" s="9">
        <v>902896</v>
      </c>
      <c r="I678" s="6">
        <v>8.9772187030000001</v>
      </c>
    </row>
    <row r="679" spans="1:9" x14ac:dyDescent="0.25">
      <c r="A679" s="1" t="s">
        <v>57</v>
      </c>
      <c r="B679" s="7" t="s">
        <v>58</v>
      </c>
      <c r="C679" s="7" t="s">
        <v>58</v>
      </c>
      <c r="D679" s="7" t="s">
        <v>58</v>
      </c>
      <c r="E679" s="7" t="s">
        <v>58</v>
      </c>
      <c r="F679" s="7" t="s">
        <v>58</v>
      </c>
      <c r="G679" s="7" t="s">
        <v>58</v>
      </c>
      <c r="H679" s="7" t="s">
        <v>58</v>
      </c>
      <c r="I679" s="7" t="s">
        <v>58</v>
      </c>
    </row>
    <row r="680" spans="1:9" x14ac:dyDescent="0.25">
      <c r="A680" s="1" t="s">
        <v>59</v>
      </c>
      <c r="B680" s="9">
        <v>179495</v>
      </c>
      <c r="C680" s="9">
        <v>195290</v>
      </c>
      <c r="D680" s="9">
        <v>212476</v>
      </c>
      <c r="E680" s="9">
        <v>231173</v>
      </c>
      <c r="F680" s="9">
        <v>256603</v>
      </c>
      <c r="G680" s="9">
        <v>284829</v>
      </c>
      <c r="H680" s="9">
        <v>297789</v>
      </c>
      <c r="I680" s="6">
        <v>8.8034624160000003</v>
      </c>
    </row>
    <row r="681" spans="1:9" x14ac:dyDescent="0.25">
      <c r="A681" s="1" t="s">
        <v>60</v>
      </c>
      <c r="B681" s="9">
        <v>231597</v>
      </c>
      <c r="C681" s="9">
        <v>250435</v>
      </c>
      <c r="D681" s="9">
        <v>270224</v>
      </c>
      <c r="E681" s="9">
        <v>290701</v>
      </c>
      <c r="F681" s="9">
        <v>316762</v>
      </c>
      <c r="G681" s="9">
        <v>341620</v>
      </c>
      <c r="H681" s="9">
        <v>369421</v>
      </c>
      <c r="I681" s="6">
        <v>8.0931339019999999</v>
      </c>
    </row>
    <row r="682" spans="1:9" ht="45" x14ac:dyDescent="0.25">
      <c r="A682" s="1" t="s">
        <v>61</v>
      </c>
      <c r="B682" s="9">
        <v>73745234</v>
      </c>
      <c r="C682" s="9">
        <v>81978936</v>
      </c>
      <c r="D682" s="9">
        <v>88797822</v>
      </c>
      <c r="E682" s="9">
        <v>94364635</v>
      </c>
      <c r="F682" s="9">
        <v>99140771</v>
      </c>
      <c r="G682" s="9">
        <v>103382838</v>
      </c>
      <c r="H682" s="9">
        <v>107100793</v>
      </c>
      <c r="I682" s="6">
        <v>6.4167002020000004</v>
      </c>
    </row>
    <row r="683" spans="1:9" x14ac:dyDescent="0.25">
      <c r="A683" s="1" t="s">
        <v>62</v>
      </c>
      <c r="B683" s="9">
        <v>380680</v>
      </c>
      <c r="C683" s="9">
        <v>384070</v>
      </c>
      <c r="D683" s="9">
        <v>388350</v>
      </c>
      <c r="E683" s="9">
        <v>392455</v>
      </c>
      <c r="F683" s="9">
        <v>396402</v>
      </c>
      <c r="G683" s="9">
        <v>400207</v>
      </c>
      <c r="H683" s="9">
        <v>403868</v>
      </c>
      <c r="I683" s="6">
        <v>0.99035461700000005</v>
      </c>
    </row>
    <row r="684" spans="1:9" x14ac:dyDescent="0.25">
      <c r="A684" s="1" t="s">
        <v>63</v>
      </c>
      <c r="B684" s="9">
        <v>54137</v>
      </c>
      <c r="C684" s="9">
        <v>67671</v>
      </c>
      <c r="D684" s="9">
        <v>81205</v>
      </c>
      <c r="E684" s="9">
        <v>97446</v>
      </c>
      <c r="F684" s="9">
        <v>116935</v>
      </c>
      <c r="G684" s="9">
        <v>146169</v>
      </c>
      <c r="H684" s="9">
        <v>182711</v>
      </c>
      <c r="I684" s="6">
        <v>22.474333524999999</v>
      </c>
    </row>
    <row r="685" spans="1:9" x14ac:dyDescent="0.25">
      <c r="A685" s="1" t="s">
        <v>64</v>
      </c>
      <c r="B685" s="9">
        <v>642588</v>
      </c>
      <c r="C685" s="9">
        <v>644290</v>
      </c>
      <c r="D685" s="9">
        <v>648328</v>
      </c>
      <c r="E685" s="9">
        <v>652034</v>
      </c>
      <c r="F685" s="9">
        <v>655450</v>
      </c>
      <c r="G685" s="9">
        <v>658614</v>
      </c>
      <c r="H685" s="9">
        <v>661556</v>
      </c>
      <c r="I685" s="6">
        <v>0.486025017</v>
      </c>
    </row>
    <row r="686" spans="1:9" x14ac:dyDescent="0.25">
      <c r="A686" s="1" t="s">
        <v>65</v>
      </c>
      <c r="B686" s="9">
        <v>4663567</v>
      </c>
      <c r="C686" s="9">
        <v>4990017</v>
      </c>
      <c r="D686" s="9">
        <v>5232033</v>
      </c>
      <c r="E686" s="9">
        <v>5425095</v>
      </c>
      <c r="F686" s="9">
        <v>5630163</v>
      </c>
      <c r="G686" s="9">
        <v>5836227</v>
      </c>
      <c r="H686" s="9">
        <v>6045748</v>
      </c>
      <c r="I686" s="6">
        <v>4.4211896480000004</v>
      </c>
    </row>
    <row r="687" spans="1:9" x14ac:dyDescent="0.25">
      <c r="A687" s="1" t="s">
        <v>66</v>
      </c>
      <c r="B687" s="9">
        <v>16990042</v>
      </c>
      <c r="C687" s="9">
        <v>19374854</v>
      </c>
      <c r="D687" s="9">
        <v>21243708</v>
      </c>
      <c r="E687" s="9">
        <v>22635321</v>
      </c>
      <c r="F687" s="9">
        <v>23641367</v>
      </c>
      <c r="G687" s="9">
        <v>24358042</v>
      </c>
      <c r="H687" s="9">
        <v>24865930</v>
      </c>
      <c r="I687" s="6">
        <v>6.5536609500000003</v>
      </c>
    </row>
    <row r="688" spans="1:9" ht="30" x14ac:dyDescent="0.25">
      <c r="A688" s="1" t="s">
        <v>67</v>
      </c>
      <c r="B688" s="9">
        <v>17618642</v>
      </c>
      <c r="C688" s="9">
        <v>19982659</v>
      </c>
      <c r="D688" s="9">
        <v>22477670</v>
      </c>
      <c r="E688" s="9">
        <v>25046410</v>
      </c>
      <c r="F688" s="9">
        <v>27771226</v>
      </c>
      <c r="G688" s="9">
        <v>30487707</v>
      </c>
      <c r="H688" s="9">
        <v>33205956</v>
      </c>
      <c r="I688" s="6">
        <v>11.140904317</v>
      </c>
    </row>
    <row r="689" spans="1:9" x14ac:dyDescent="0.25">
      <c r="A689" s="1" t="s">
        <v>68</v>
      </c>
      <c r="B689" s="7" t="s">
        <v>58</v>
      </c>
      <c r="C689" s="7" t="s">
        <v>58</v>
      </c>
      <c r="D689" s="7" t="s">
        <v>58</v>
      </c>
      <c r="E689" s="7" t="s">
        <v>58</v>
      </c>
      <c r="F689" s="7" t="s">
        <v>58</v>
      </c>
      <c r="G689" s="7" t="s">
        <v>58</v>
      </c>
      <c r="H689" s="7" t="s">
        <v>58</v>
      </c>
      <c r="I689" s="7" t="s">
        <v>58</v>
      </c>
    </row>
    <row r="690" spans="1:9" x14ac:dyDescent="0.25">
      <c r="A690" s="1" t="s">
        <v>69</v>
      </c>
      <c r="B690" s="9">
        <v>1112464</v>
      </c>
      <c r="C690" s="9">
        <v>1235948</v>
      </c>
      <c r="D690" s="9">
        <v>1358307</v>
      </c>
      <c r="E690" s="9">
        <v>1522662</v>
      </c>
      <c r="F690" s="9">
        <v>1673238</v>
      </c>
      <c r="G690" s="9">
        <v>1877373</v>
      </c>
      <c r="H690" s="9">
        <v>2087638</v>
      </c>
      <c r="I690" s="6">
        <v>11.060989353</v>
      </c>
    </row>
    <row r="691" spans="1:9" x14ac:dyDescent="0.25">
      <c r="A691" s="1" t="s">
        <v>70</v>
      </c>
      <c r="B691" s="9">
        <v>3254553</v>
      </c>
      <c r="C691" s="9">
        <v>3491962</v>
      </c>
      <c r="D691" s="9">
        <v>3708037</v>
      </c>
      <c r="E691" s="9">
        <v>3888173</v>
      </c>
      <c r="F691" s="9">
        <v>4036636</v>
      </c>
      <c r="G691" s="9">
        <v>4160463</v>
      </c>
      <c r="H691" s="9">
        <v>4257947</v>
      </c>
      <c r="I691" s="6">
        <v>4.5806854120000002</v>
      </c>
    </row>
    <row r="692" spans="1:9" x14ac:dyDescent="0.25">
      <c r="A692" s="1" t="s">
        <v>71</v>
      </c>
      <c r="B692" s="9">
        <v>919454</v>
      </c>
      <c r="C692" s="9">
        <v>956232</v>
      </c>
      <c r="D692" s="9">
        <v>987788</v>
      </c>
      <c r="E692" s="9">
        <v>1023348</v>
      </c>
      <c r="F692" s="9">
        <v>1054048</v>
      </c>
      <c r="G692" s="9">
        <v>1087778</v>
      </c>
      <c r="H692" s="9">
        <v>1117148</v>
      </c>
      <c r="I692" s="6">
        <v>3.2991586530000001</v>
      </c>
    </row>
    <row r="693" spans="1:9" x14ac:dyDescent="0.25">
      <c r="A693" s="1" t="s">
        <v>72</v>
      </c>
      <c r="B693" s="9">
        <v>8903</v>
      </c>
      <c r="C693" s="9">
        <v>9390</v>
      </c>
      <c r="D693" s="9">
        <v>10742</v>
      </c>
      <c r="E693" s="9">
        <v>12580</v>
      </c>
      <c r="F693" s="9">
        <v>14451</v>
      </c>
      <c r="G693" s="9">
        <v>14986</v>
      </c>
      <c r="H693" s="9">
        <v>16440</v>
      </c>
      <c r="I693" s="6">
        <v>10.762880114</v>
      </c>
    </row>
    <row r="694" spans="1:9" x14ac:dyDescent="0.25">
      <c r="A694" s="1" t="s">
        <v>73</v>
      </c>
      <c r="B694" s="7" t="s">
        <v>58</v>
      </c>
      <c r="C694" s="7" t="s">
        <v>58</v>
      </c>
      <c r="D694" s="7" t="s">
        <v>58</v>
      </c>
      <c r="E694" s="7" t="s">
        <v>58</v>
      </c>
      <c r="F694" s="7" t="s">
        <v>58</v>
      </c>
      <c r="G694" s="7" t="s">
        <v>58</v>
      </c>
      <c r="H694" s="7" t="s">
        <v>58</v>
      </c>
      <c r="I694" s="7" t="s">
        <v>58</v>
      </c>
    </row>
    <row r="695" spans="1:9" ht="30" x14ac:dyDescent="0.25">
      <c r="A695" s="1" t="s">
        <v>74</v>
      </c>
      <c r="B695" s="9">
        <v>28254644</v>
      </c>
      <c r="C695" s="9">
        <v>31417433</v>
      </c>
      <c r="D695" s="9">
        <v>34572867</v>
      </c>
      <c r="E695" s="9">
        <v>36463384</v>
      </c>
      <c r="F695" s="9">
        <v>37890652</v>
      </c>
      <c r="G695" s="9">
        <v>38786542</v>
      </c>
      <c r="H695" s="9">
        <v>39509477</v>
      </c>
      <c r="I695" s="6">
        <v>5.747126143</v>
      </c>
    </row>
    <row r="696" spans="1:9" x14ac:dyDescent="0.25">
      <c r="A696" s="1" t="s">
        <v>75</v>
      </c>
      <c r="B696" s="9">
        <v>1793899</v>
      </c>
      <c r="C696" s="9">
        <v>1867363</v>
      </c>
      <c r="D696" s="9">
        <v>1938252</v>
      </c>
      <c r="E696" s="9">
        <v>2006045</v>
      </c>
      <c r="F696" s="9">
        <v>2070217</v>
      </c>
      <c r="G696" s="9">
        <v>2128197</v>
      </c>
      <c r="H696" s="9">
        <v>2183566</v>
      </c>
      <c r="I696" s="6">
        <v>3.3303869970000002</v>
      </c>
    </row>
    <row r="697" spans="1:9" x14ac:dyDescent="0.25">
      <c r="A697" s="1" t="s">
        <v>76</v>
      </c>
      <c r="B697" s="9">
        <v>256430</v>
      </c>
      <c r="C697" s="9">
        <v>276945</v>
      </c>
      <c r="D697" s="9">
        <v>293561</v>
      </c>
      <c r="E697" s="9">
        <v>311175</v>
      </c>
      <c r="F697" s="9">
        <v>329845</v>
      </c>
      <c r="G697" s="9">
        <v>349636</v>
      </c>
      <c r="H697" s="9">
        <v>370614</v>
      </c>
      <c r="I697" s="6">
        <v>6.3307387970000004</v>
      </c>
    </row>
    <row r="698" spans="1:9" ht="45" x14ac:dyDescent="0.25">
      <c r="A698" s="1" t="s">
        <v>77</v>
      </c>
      <c r="B698" s="9">
        <v>7004053</v>
      </c>
      <c r="C698" s="9">
        <v>7589259</v>
      </c>
      <c r="D698" s="9">
        <v>8242042</v>
      </c>
      <c r="E698" s="9">
        <v>8981963</v>
      </c>
      <c r="F698" s="9">
        <v>10695481</v>
      </c>
      <c r="G698" s="9">
        <v>11691855</v>
      </c>
      <c r="H698" s="9">
        <v>12772715</v>
      </c>
      <c r="I698" s="6">
        <v>10.532238726999999</v>
      </c>
    </row>
    <row r="699" spans="1:9" ht="45" x14ac:dyDescent="0.25">
      <c r="A699" s="1" t="s">
        <v>78</v>
      </c>
      <c r="B699" s="9">
        <v>15073037</v>
      </c>
      <c r="C699" s="9">
        <v>16689087</v>
      </c>
      <c r="D699" s="9">
        <v>18243518</v>
      </c>
      <c r="E699" s="9">
        <v>19931632</v>
      </c>
      <c r="F699" s="9">
        <v>21788606</v>
      </c>
      <c r="G699" s="9">
        <v>23853023</v>
      </c>
      <c r="H699" s="9">
        <v>26149555</v>
      </c>
      <c r="I699" s="6">
        <v>9.6168344549999993</v>
      </c>
    </row>
    <row r="700" spans="1:9" ht="60" x14ac:dyDescent="0.25">
      <c r="A700" s="1" t="s">
        <v>79</v>
      </c>
      <c r="B700" s="7" t="s">
        <v>58</v>
      </c>
      <c r="C700" s="7" t="s">
        <v>58</v>
      </c>
      <c r="D700" s="7" t="s">
        <v>58</v>
      </c>
      <c r="E700" s="7" t="s">
        <v>58</v>
      </c>
      <c r="F700" s="7" t="s">
        <v>58</v>
      </c>
      <c r="G700" s="7" t="s">
        <v>58</v>
      </c>
      <c r="H700" s="7" t="s">
        <v>58</v>
      </c>
      <c r="I700" s="7" t="s">
        <v>58</v>
      </c>
    </row>
    <row r="701" spans="1:9" ht="45" x14ac:dyDescent="0.25">
      <c r="A701" s="1" t="s">
        <v>80</v>
      </c>
      <c r="B701" s="7" t="s">
        <v>58</v>
      </c>
      <c r="C701" s="7" t="s">
        <v>58</v>
      </c>
      <c r="D701" s="7" t="s">
        <v>58</v>
      </c>
      <c r="E701" s="7" t="s">
        <v>58</v>
      </c>
      <c r="F701" s="7" t="s">
        <v>58</v>
      </c>
      <c r="G701" s="7" t="s">
        <v>58</v>
      </c>
      <c r="H701" s="7" t="s">
        <v>58</v>
      </c>
      <c r="I701" s="7" t="s">
        <v>58</v>
      </c>
    </row>
    <row r="702" spans="1:9" ht="45" x14ac:dyDescent="0.25">
      <c r="A702" s="1" t="s">
        <v>81</v>
      </c>
      <c r="B702" s="9">
        <v>574279</v>
      </c>
      <c r="C702" s="9">
        <v>610856</v>
      </c>
      <c r="D702" s="9">
        <v>644290</v>
      </c>
      <c r="E702" s="9">
        <v>672199</v>
      </c>
      <c r="F702" s="9">
        <v>689154</v>
      </c>
      <c r="G702" s="9">
        <v>703029</v>
      </c>
      <c r="H702" s="9">
        <v>716876</v>
      </c>
      <c r="I702" s="6">
        <v>3.76562771</v>
      </c>
    </row>
    <row r="703" spans="1:9" x14ac:dyDescent="0.25">
      <c r="A703" s="1" t="s">
        <v>82</v>
      </c>
      <c r="B703" s="9">
        <v>1465576</v>
      </c>
      <c r="C703" s="9">
        <v>1941888</v>
      </c>
      <c r="D703" s="9">
        <v>2427360</v>
      </c>
      <c r="E703" s="9">
        <v>2990507</v>
      </c>
      <c r="F703" s="9">
        <v>3543751</v>
      </c>
      <c r="G703" s="9">
        <v>4139101</v>
      </c>
      <c r="H703" s="9">
        <v>4710297</v>
      </c>
      <c r="I703" s="6">
        <v>21.480524369000001</v>
      </c>
    </row>
    <row r="704" spans="1:9" x14ac:dyDescent="0.25">
      <c r="A704" s="1" t="s">
        <v>83</v>
      </c>
      <c r="B704" s="9">
        <v>74990</v>
      </c>
      <c r="C704" s="9">
        <v>87739</v>
      </c>
      <c r="D704" s="9">
        <v>102654</v>
      </c>
      <c r="E704" s="9">
        <v>120105</v>
      </c>
      <c r="F704" s="9">
        <v>136079</v>
      </c>
      <c r="G704" s="9">
        <v>154178</v>
      </c>
      <c r="H704" s="9">
        <v>174683</v>
      </c>
      <c r="I704" s="6">
        <v>15.135136816999999</v>
      </c>
    </row>
    <row r="705" spans="1:9" x14ac:dyDescent="0.25">
      <c r="A705" s="1" t="s">
        <v>84</v>
      </c>
      <c r="B705" s="9">
        <v>72576</v>
      </c>
      <c r="C705" s="9">
        <v>87091</v>
      </c>
      <c r="D705" s="9">
        <v>101026</v>
      </c>
      <c r="E705" s="9">
        <v>113957</v>
      </c>
      <c r="F705" s="9">
        <v>125772</v>
      </c>
      <c r="G705" s="9">
        <v>136204</v>
      </c>
      <c r="H705" s="9">
        <v>145242</v>
      </c>
      <c r="I705" s="6">
        <v>12.257801352</v>
      </c>
    </row>
    <row r="706" spans="1:9" x14ac:dyDescent="0.25">
      <c r="A706" s="1" t="s">
        <v>85</v>
      </c>
      <c r="B706" s="9">
        <v>301829</v>
      </c>
      <c r="C706" s="9">
        <v>334155</v>
      </c>
      <c r="D706" s="9">
        <v>368452</v>
      </c>
      <c r="E706" s="9">
        <v>401754</v>
      </c>
      <c r="F706" s="9">
        <v>433513</v>
      </c>
      <c r="G706" s="9">
        <v>469097</v>
      </c>
      <c r="H706" s="9">
        <v>489393</v>
      </c>
      <c r="I706" s="6">
        <v>8.3883981670000001</v>
      </c>
    </row>
    <row r="707" spans="1:9" x14ac:dyDescent="0.25">
      <c r="A707" s="1" t="s">
        <v>86</v>
      </c>
      <c r="B707" s="9">
        <v>2382932</v>
      </c>
      <c r="C707" s="9">
        <v>2749468</v>
      </c>
      <c r="D707" s="9">
        <v>3112864</v>
      </c>
      <c r="E707" s="9">
        <v>3502541</v>
      </c>
      <c r="F707" s="9">
        <v>3920045</v>
      </c>
      <c r="G707" s="9">
        <v>4361192</v>
      </c>
      <c r="H707" s="9">
        <v>4821213</v>
      </c>
      <c r="I707" s="6">
        <v>12.462425275999999</v>
      </c>
    </row>
    <row r="708" spans="1:9" x14ac:dyDescent="0.25">
      <c r="A708" s="1" t="s">
        <v>87</v>
      </c>
      <c r="B708" s="9">
        <v>7171333</v>
      </c>
      <c r="C708" s="9">
        <v>9110039</v>
      </c>
      <c r="D708" s="9">
        <v>10986596</v>
      </c>
      <c r="E708" s="9">
        <v>12164487</v>
      </c>
      <c r="F708" s="9">
        <v>13175721</v>
      </c>
      <c r="G708" s="9">
        <v>14185602</v>
      </c>
      <c r="H708" s="9">
        <v>15152539</v>
      </c>
      <c r="I708" s="6">
        <v>13.278525370000001</v>
      </c>
    </row>
    <row r="709" spans="1:9" x14ac:dyDescent="0.25">
      <c r="A709" s="1" t="s">
        <v>88</v>
      </c>
      <c r="B709" s="9">
        <v>5468400</v>
      </c>
      <c r="C709" s="9">
        <v>6296848</v>
      </c>
      <c r="D709" s="9">
        <v>7041858</v>
      </c>
      <c r="E709" s="9">
        <v>7711898</v>
      </c>
      <c r="F709" s="9">
        <v>8314571</v>
      </c>
      <c r="G709" s="9">
        <v>8856703</v>
      </c>
      <c r="H709" s="9">
        <v>9344422</v>
      </c>
      <c r="I709" s="6">
        <v>9.3407448590000008</v>
      </c>
    </row>
    <row r="710" spans="1:9" x14ac:dyDescent="0.25">
      <c r="A710" s="1" t="s">
        <v>89</v>
      </c>
      <c r="B710" s="9">
        <v>2617806</v>
      </c>
      <c r="C710" s="9">
        <v>2699960</v>
      </c>
      <c r="D710" s="9">
        <v>2775065</v>
      </c>
      <c r="E710" s="9">
        <v>2849976</v>
      </c>
      <c r="F710" s="9">
        <v>2920623</v>
      </c>
      <c r="G710" s="9">
        <v>2989263</v>
      </c>
      <c r="H710" s="9">
        <v>3054437</v>
      </c>
      <c r="I710" s="6">
        <v>2.6043134750000001</v>
      </c>
    </row>
    <row r="711" spans="1:9" x14ac:dyDescent="0.25">
      <c r="A711" s="1" t="s">
        <v>90</v>
      </c>
      <c r="B711" s="9">
        <v>141042</v>
      </c>
      <c r="C711" s="9">
        <v>155417</v>
      </c>
      <c r="D711" s="9">
        <v>168089</v>
      </c>
      <c r="E711" s="9">
        <v>179053</v>
      </c>
      <c r="F711" s="9">
        <v>188397</v>
      </c>
      <c r="G711" s="9">
        <v>196262</v>
      </c>
      <c r="H711" s="9">
        <v>202817</v>
      </c>
      <c r="I711" s="6">
        <v>6.2411222159999999</v>
      </c>
    </row>
    <row r="712" spans="1:9" x14ac:dyDescent="0.25">
      <c r="A712" s="1" t="s">
        <v>91</v>
      </c>
      <c r="B712" s="9">
        <v>300022</v>
      </c>
      <c r="C712" s="9">
        <v>303022</v>
      </c>
      <c r="D712" s="9">
        <v>313628</v>
      </c>
      <c r="E712" s="9">
        <v>323037</v>
      </c>
      <c r="F712" s="9">
        <v>332728</v>
      </c>
      <c r="G712" s="9">
        <v>341046</v>
      </c>
      <c r="H712" s="9">
        <v>348208</v>
      </c>
      <c r="I712" s="6">
        <v>2.513471461</v>
      </c>
    </row>
    <row r="713" spans="1:9" x14ac:dyDescent="0.25">
      <c r="A713" s="1" t="s">
        <v>92</v>
      </c>
      <c r="B713" s="9">
        <v>5785950</v>
      </c>
      <c r="C713" s="9">
        <v>6175840</v>
      </c>
      <c r="D713" s="9">
        <v>6391145</v>
      </c>
      <c r="E713" s="9">
        <v>6563162</v>
      </c>
      <c r="F713" s="9">
        <v>6700701</v>
      </c>
      <c r="G713" s="9">
        <v>6824444</v>
      </c>
      <c r="H713" s="9">
        <v>6935806</v>
      </c>
      <c r="I713" s="6">
        <v>3.0671760190000001</v>
      </c>
    </row>
    <row r="714" spans="1:9" x14ac:dyDescent="0.25">
      <c r="A714" s="1" t="s">
        <v>93</v>
      </c>
      <c r="B714" s="9">
        <v>26872936</v>
      </c>
      <c r="C714" s="9">
        <v>28754041</v>
      </c>
      <c r="D714" s="9">
        <v>30073574</v>
      </c>
      <c r="E714" s="9">
        <v>31128773</v>
      </c>
      <c r="F714" s="9">
        <v>31972691</v>
      </c>
      <c r="G714" s="9">
        <v>32647680</v>
      </c>
      <c r="H714" s="9">
        <v>33187580</v>
      </c>
      <c r="I714" s="6">
        <v>3.5801998410000002</v>
      </c>
    </row>
    <row r="715" spans="1:9" x14ac:dyDescent="0.25">
      <c r="A715" s="1" t="s">
        <v>94</v>
      </c>
      <c r="B715" s="9">
        <v>2576574</v>
      </c>
      <c r="C715" s="9">
        <v>2782700</v>
      </c>
      <c r="D715" s="9">
        <v>2977489</v>
      </c>
      <c r="E715" s="9">
        <v>3096588</v>
      </c>
      <c r="F715" s="9">
        <v>3220452</v>
      </c>
      <c r="G715" s="9">
        <v>3349270</v>
      </c>
      <c r="H715" s="9">
        <v>3449748</v>
      </c>
      <c r="I715" s="6">
        <v>4.9842440139999997</v>
      </c>
    </row>
    <row r="716" spans="1:9" x14ac:dyDescent="0.25">
      <c r="A716" s="1" t="s">
        <v>95</v>
      </c>
      <c r="B716" s="9">
        <v>737000</v>
      </c>
      <c r="C716" s="9">
        <v>781440</v>
      </c>
      <c r="D716" s="9">
        <v>889967</v>
      </c>
      <c r="E716" s="9">
        <v>947788</v>
      </c>
      <c r="F716" s="9">
        <v>1000731</v>
      </c>
      <c r="G716" s="9">
        <v>1049265</v>
      </c>
      <c r="H716" s="9">
        <v>1095574</v>
      </c>
      <c r="I716" s="6">
        <v>6.8306091789999996</v>
      </c>
    </row>
    <row r="717" spans="1:9" x14ac:dyDescent="0.25">
      <c r="A717" s="1" t="s">
        <v>96</v>
      </c>
      <c r="B717" s="9">
        <v>1446500</v>
      </c>
      <c r="C717" s="9">
        <v>1504393</v>
      </c>
      <c r="D717" s="9">
        <v>1527944</v>
      </c>
      <c r="E717" s="9">
        <v>1557264</v>
      </c>
      <c r="F717" s="9">
        <v>1583162</v>
      </c>
      <c r="G717" s="9">
        <v>1610501</v>
      </c>
      <c r="H717" s="9">
        <v>1637605</v>
      </c>
      <c r="I717" s="6">
        <v>2.0896667789999999</v>
      </c>
    </row>
    <row r="718" spans="1:9" x14ac:dyDescent="0.25">
      <c r="A718" s="1" t="s">
        <v>97</v>
      </c>
      <c r="B718" s="9">
        <v>964884</v>
      </c>
      <c r="C718" s="9">
        <v>1093313</v>
      </c>
      <c r="D718" s="9">
        <v>1175913</v>
      </c>
      <c r="E718" s="9">
        <v>1242545</v>
      </c>
      <c r="F718" s="9">
        <v>1296334</v>
      </c>
      <c r="G718" s="9">
        <v>1339780</v>
      </c>
      <c r="H718" s="9">
        <v>1374892</v>
      </c>
      <c r="I718" s="6">
        <v>6.0796911659999999</v>
      </c>
    </row>
    <row r="719" spans="1:9" x14ac:dyDescent="0.25">
      <c r="A719" s="1" t="s">
        <v>98</v>
      </c>
      <c r="B719" s="9">
        <v>433095</v>
      </c>
      <c r="C719" s="9">
        <v>463895</v>
      </c>
      <c r="D719" s="9">
        <v>493006</v>
      </c>
      <c r="E719" s="9">
        <v>520540</v>
      </c>
      <c r="F719" s="9">
        <v>546602</v>
      </c>
      <c r="G719" s="9">
        <v>570004</v>
      </c>
      <c r="H719" s="9">
        <v>591022</v>
      </c>
      <c r="I719" s="6">
        <v>5.3181963479999999</v>
      </c>
    </row>
    <row r="720" spans="1:9" x14ac:dyDescent="0.25">
      <c r="A720" s="1" t="s">
        <v>99</v>
      </c>
      <c r="B720" s="9">
        <v>2128763</v>
      </c>
      <c r="C720" s="9">
        <v>2690756</v>
      </c>
      <c r="D720" s="9">
        <v>3363437</v>
      </c>
      <c r="E720" s="9">
        <v>4153844</v>
      </c>
      <c r="F720" s="9">
        <v>5005381</v>
      </c>
      <c r="G720" s="9">
        <v>5776460</v>
      </c>
      <c r="H720" s="9">
        <v>6536064</v>
      </c>
      <c r="I720" s="6">
        <v>20.558591056000001</v>
      </c>
    </row>
    <row r="721" spans="1:9" x14ac:dyDescent="0.25">
      <c r="A721" s="1" t="s">
        <v>100</v>
      </c>
      <c r="B721" s="9">
        <v>22381143</v>
      </c>
      <c r="C721" s="9">
        <v>22784004</v>
      </c>
      <c r="D721" s="9">
        <v>23148548</v>
      </c>
      <c r="E721" s="9">
        <v>23449479</v>
      </c>
      <c r="F721" s="9">
        <v>23730872</v>
      </c>
      <c r="G721" s="9">
        <v>24063105</v>
      </c>
      <c r="H721" s="9">
        <v>24375925</v>
      </c>
      <c r="I721" s="6">
        <v>1.433125352</v>
      </c>
    </row>
    <row r="722" spans="1:9" x14ac:dyDescent="0.25">
      <c r="A722" s="1" t="s">
        <v>101</v>
      </c>
      <c r="B722" s="9">
        <v>14940153</v>
      </c>
      <c r="C722" s="9">
        <v>15534116</v>
      </c>
      <c r="D722" s="9">
        <v>16047937</v>
      </c>
      <c r="E722" s="9">
        <v>16429167</v>
      </c>
      <c r="F722" s="9">
        <v>16780801</v>
      </c>
      <c r="G722" s="9">
        <v>17111918</v>
      </c>
      <c r="H722" s="9">
        <v>17431848</v>
      </c>
      <c r="I722" s="6">
        <v>2.6041036869999998</v>
      </c>
    </row>
    <row r="723" spans="1:9" x14ac:dyDescent="0.25">
      <c r="A723" s="1" t="s">
        <v>102</v>
      </c>
      <c r="B723" s="9">
        <v>3650130</v>
      </c>
      <c r="C723" s="9">
        <v>3766934</v>
      </c>
      <c r="D723" s="9">
        <v>3868642</v>
      </c>
      <c r="E723" s="9">
        <v>3949883</v>
      </c>
      <c r="F723" s="9">
        <v>4020981</v>
      </c>
      <c r="G723" s="9">
        <v>4081296</v>
      </c>
      <c r="H723" s="9">
        <v>4122109</v>
      </c>
      <c r="I723" s="6">
        <v>2.0473794340000002</v>
      </c>
    </row>
    <row r="724" spans="1:9" x14ac:dyDescent="0.25">
      <c r="A724" s="1" t="s">
        <v>103</v>
      </c>
      <c r="B724" s="9">
        <v>1385760</v>
      </c>
      <c r="C724" s="9">
        <v>1506549</v>
      </c>
      <c r="D724" s="9">
        <v>1609461</v>
      </c>
      <c r="E724" s="9">
        <v>1692432</v>
      </c>
      <c r="F724" s="9">
        <v>1790723</v>
      </c>
      <c r="G724" s="9">
        <v>1899269</v>
      </c>
      <c r="H724" s="9">
        <v>1988042</v>
      </c>
      <c r="I724" s="6">
        <v>6.1996101100000001</v>
      </c>
    </row>
    <row r="725" spans="1:9" x14ac:dyDescent="0.25">
      <c r="A725" s="1" t="s">
        <v>104</v>
      </c>
      <c r="B725" s="9">
        <v>5428</v>
      </c>
      <c r="C725" s="9">
        <v>6079</v>
      </c>
      <c r="D725" s="9">
        <v>6809</v>
      </c>
      <c r="E725" s="9">
        <v>7626</v>
      </c>
      <c r="F725" s="9">
        <v>8541</v>
      </c>
      <c r="G725" s="9">
        <v>9395</v>
      </c>
      <c r="H725" s="9">
        <v>10335</v>
      </c>
      <c r="I725" s="6">
        <v>11.329888385</v>
      </c>
    </row>
    <row r="726" spans="1:9" x14ac:dyDescent="0.25">
      <c r="A726" s="1" t="s">
        <v>105</v>
      </c>
      <c r="B726" s="9">
        <v>4464296</v>
      </c>
      <c r="C726" s="9">
        <v>4553582</v>
      </c>
      <c r="D726" s="9">
        <v>4621886</v>
      </c>
      <c r="E726" s="9">
        <v>4686592</v>
      </c>
      <c r="F726" s="9">
        <v>4724085</v>
      </c>
      <c r="G726" s="9">
        <v>4799670</v>
      </c>
      <c r="H726" s="9">
        <v>4886064</v>
      </c>
      <c r="I726" s="6">
        <v>1.515968311</v>
      </c>
    </row>
    <row r="727" spans="1:9" x14ac:dyDescent="0.25">
      <c r="A727" s="1" t="s">
        <v>106</v>
      </c>
      <c r="B727" s="9">
        <v>11595604</v>
      </c>
      <c r="C727" s="9">
        <v>11916803</v>
      </c>
      <c r="D727" s="9">
        <v>12233790</v>
      </c>
      <c r="E727" s="9">
        <v>12557985</v>
      </c>
      <c r="F727" s="9">
        <v>12884493</v>
      </c>
      <c r="G727" s="9">
        <v>13228509</v>
      </c>
      <c r="H727" s="9">
        <v>13612135</v>
      </c>
      <c r="I727" s="6">
        <v>2.708285278</v>
      </c>
    </row>
    <row r="728" spans="1:9" ht="30" x14ac:dyDescent="0.25">
      <c r="A728" s="1" t="s">
        <v>107</v>
      </c>
      <c r="B728" s="9">
        <v>168839</v>
      </c>
      <c r="C728" s="9">
        <v>171437</v>
      </c>
      <c r="D728" s="9">
        <v>173943</v>
      </c>
      <c r="E728" s="9">
        <v>176359</v>
      </c>
      <c r="F728" s="9">
        <v>178686</v>
      </c>
      <c r="G728" s="9">
        <v>180926</v>
      </c>
      <c r="H728" s="9">
        <v>183081</v>
      </c>
      <c r="I728" s="6">
        <v>1.3588678080000001</v>
      </c>
    </row>
    <row r="729" spans="1:9" x14ac:dyDescent="0.25">
      <c r="A729" s="1" t="s">
        <v>108</v>
      </c>
      <c r="B729" s="9">
        <v>7328877</v>
      </c>
      <c r="C729" s="9">
        <v>8310514</v>
      </c>
      <c r="D729" s="9">
        <v>9312321</v>
      </c>
      <c r="E729" s="9">
        <v>10322636</v>
      </c>
      <c r="F729" s="9">
        <v>11330570</v>
      </c>
      <c r="G729" s="9">
        <v>12326286</v>
      </c>
      <c r="H729" s="9">
        <v>13301183</v>
      </c>
      <c r="I729" s="6">
        <v>10.444003045000001</v>
      </c>
    </row>
    <row r="730" spans="1:9" ht="30" x14ac:dyDescent="0.25">
      <c r="A730" s="1" t="s">
        <v>109</v>
      </c>
      <c r="B730" s="9">
        <v>1913565</v>
      </c>
      <c r="C730" s="9">
        <v>1976713</v>
      </c>
      <c r="D730" s="9">
        <v>2036014</v>
      </c>
      <c r="E730" s="9">
        <v>2097095</v>
      </c>
      <c r="F730" s="9">
        <v>2153716</v>
      </c>
      <c r="G730" s="9">
        <v>2211867</v>
      </c>
      <c r="H730" s="9">
        <v>2264509</v>
      </c>
      <c r="I730" s="6">
        <v>2.8462526129999999</v>
      </c>
    </row>
    <row r="731" spans="1:9" x14ac:dyDescent="0.25">
      <c r="A731" s="1" t="s">
        <v>110</v>
      </c>
      <c r="B731" s="9">
        <v>5486153</v>
      </c>
      <c r="C731" s="9">
        <v>6717522</v>
      </c>
      <c r="D731" s="9">
        <v>8028277</v>
      </c>
      <c r="E731" s="9">
        <v>9327832</v>
      </c>
      <c r="F731" s="9">
        <v>10751761</v>
      </c>
      <c r="G731" s="9">
        <v>12219943</v>
      </c>
      <c r="H731" s="9">
        <v>13864937</v>
      </c>
      <c r="I731" s="6">
        <v>16.710070363</v>
      </c>
    </row>
    <row r="732" spans="1:9" x14ac:dyDescent="0.25">
      <c r="A732" s="1" t="s">
        <v>111</v>
      </c>
      <c r="B732" s="9">
        <v>1010533</v>
      </c>
      <c r="C732" s="9">
        <v>1049842</v>
      </c>
      <c r="D732" s="9">
        <v>1085355</v>
      </c>
      <c r="E732" s="9">
        <v>1115153</v>
      </c>
      <c r="F732" s="9">
        <v>1134474</v>
      </c>
      <c r="G732" s="9">
        <v>1147317</v>
      </c>
      <c r="H732" s="9">
        <v>1159198</v>
      </c>
      <c r="I732" s="6">
        <v>2.3138719760000002</v>
      </c>
    </row>
    <row r="733" spans="1:9" x14ac:dyDescent="0.25">
      <c r="A733" s="1" t="s">
        <v>112</v>
      </c>
      <c r="B733" s="7" t="s">
        <v>58</v>
      </c>
      <c r="C733" s="7" t="s">
        <v>58</v>
      </c>
      <c r="D733" s="7" t="s">
        <v>58</v>
      </c>
      <c r="E733" s="7" t="s">
        <v>58</v>
      </c>
      <c r="F733" s="7" t="s">
        <v>58</v>
      </c>
      <c r="G733" s="7" t="s">
        <v>58</v>
      </c>
      <c r="H733" s="7" t="s">
        <v>58</v>
      </c>
      <c r="I733" s="7" t="s">
        <v>58</v>
      </c>
    </row>
    <row r="734" spans="1:9" x14ac:dyDescent="0.25">
      <c r="A734" s="1" t="s">
        <v>113</v>
      </c>
      <c r="B734" s="9">
        <v>48656</v>
      </c>
      <c r="C734" s="9">
        <v>51021</v>
      </c>
      <c r="D734" s="9">
        <v>53525</v>
      </c>
      <c r="E734" s="9">
        <v>56179</v>
      </c>
      <c r="F734" s="9">
        <v>58992</v>
      </c>
      <c r="G734" s="9">
        <v>61975</v>
      </c>
      <c r="H734" s="9">
        <v>65141</v>
      </c>
      <c r="I734" s="6">
        <v>4.9831669679999999</v>
      </c>
    </row>
    <row r="735" spans="1:9" x14ac:dyDescent="0.25">
      <c r="A735" s="1" t="s">
        <v>114</v>
      </c>
      <c r="B735" s="9">
        <v>23202900</v>
      </c>
      <c r="C735" s="9">
        <v>23697122</v>
      </c>
      <c r="D735" s="9">
        <v>24197131</v>
      </c>
      <c r="E735" s="9">
        <v>24780282</v>
      </c>
      <c r="F735" s="9">
        <v>25300668</v>
      </c>
      <c r="G735" s="9">
        <v>25809211</v>
      </c>
      <c r="H735" s="9">
        <v>26405404</v>
      </c>
      <c r="I735" s="6">
        <v>2.1782416310000001</v>
      </c>
    </row>
    <row r="736" spans="1:9" ht="30" x14ac:dyDescent="0.25">
      <c r="A736" s="1" t="s">
        <v>115</v>
      </c>
      <c r="B736" s="9">
        <v>72380038</v>
      </c>
      <c r="C736" s="9">
        <v>79921012</v>
      </c>
      <c r="D736" s="9">
        <v>87050997</v>
      </c>
      <c r="E736" s="9">
        <v>93628000</v>
      </c>
      <c r="F736" s="9">
        <v>99149301</v>
      </c>
      <c r="G736" s="9">
        <v>104550974</v>
      </c>
      <c r="H736" s="9">
        <v>109792768</v>
      </c>
      <c r="I736" s="6">
        <v>7.1912053629999999</v>
      </c>
    </row>
    <row r="737" spans="1:9" x14ac:dyDescent="0.25">
      <c r="A737" s="1" t="s">
        <v>116</v>
      </c>
      <c r="B737" s="9">
        <v>0</v>
      </c>
      <c r="C737" s="9">
        <v>0</v>
      </c>
      <c r="D737" s="9">
        <v>0</v>
      </c>
      <c r="E737" s="9">
        <v>0</v>
      </c>
      <c r="F737" s="9">
        <v>0</v>
      </c>
      <c r="G737" s="9">
        <v>0</v>
      </c>
      <c r="H737" s="9">
        <v>0</v>
      </c>
      <c r="I737" s="7" t="s">
        <v>58</v>
      </c>
    </row>
    <row r="738" spans="1:9" x14ac:dyDescent="0.25">
      <c r="A738" s="1" t="s">
        <v>12</v>
      </c>
      <c r="B738" s="2"/>
      <c r="C738" s="2"/>
      <c r="D738" s="2"/>
      <c r="E738" s="2"/>
      <c r="F738" s="2"/>
      <c r="G738" s="2"/>
      <c r="H738" s="2"/>
      <c r="I738" s="2"/>
    </row>
    <row r="739" spans="1:9" ht="75" x14ac:dyDescent="0.25">
      <c r="A739" s="1" t="s">
        <v>146</v>
      </c>
      <c r="B739" s="2"/>
      <c r="C739" s="2"/>
      <c r="D739" s="2"/>
      <c r="E739" s="2"/>
      <c r="F739" s="2"/>
      <c r="G739" s="2"/>
      <c r="H739" s="2"/>
      <c r="I739" s="2"/>
    </row>
    <row r="740" spans="1:9" x14ac:dyDescent="0.25">
      <c r="A740" s="1" t="s">
        <v>14</v>
      </c>
      <c r="B740" s="9">
        <v>92757</v>
      </c>
      <c r="C740" s="9">
        <v>231893</v>
      </c>
      <c r="D740" s="9">
        <v>235023</v>
      </c>
      <c r="E740" s="9">
        <v>237961</v>
      </c>
      <c r="F740" s="9">
        <v>240697</v>
      </c>
      <c r="G740" s="9">
        <v>243345</v>
      </c>
      <c r="H740" s="9">
        <v>245779</v>
      </c>
      <c r="I740" s="6">
        <v>17.634040149</v>
      </c>
    </row>
    <row r="741" spans="1:9" ht="30" x14ac:dyDescent="0.25">
      <c r="A741" s="1" t="s">
        <v>15</v>
      </c>
      <c r="B741" s="9">
        <v>284146</v>
      </c>
      <c r="C741" s="9">
        <v>309419</v>
      </c>
      <c r="D741" s="9">
        <v>318347</v>
      </c>
      <c r="E741" s="9">
        <v>329254</v>
      </c>
      <c r="F741" s="9">
        <v>338124</v>
      </c>
      <c r="G741" s="9">
        <v>351748</v>
      </c>
      <c r="H741" s="9">
        <v>362894</v>
      </c>
      <c r="I741" s="6">
        <v>4.1612956749999999</v>
      </c>
    </row>
    <row r="742" spans="1:9" x14ac:dyDescent="0.25">
      <c r="A742" s="1" t="s">
        <v>16</v>
      </c>
      <c r="B742" s="9">
        <v>150961</v>
      </c>
      <c r="C742" s="9">
        <v>153225</v>
      </c>
      <c r="D742" s="9">
        <v>155524</v>
      </c>
      <c r="E742" s="9">
        <v>157857</v>
      </c>
      <c r="F742" s="9">
        <v>160225</v>
      </c>
      <c r="G742" s="9">
        <v>162628</v>
      </c>
      <c r="H742" s="9">
        <v>164254</v>
      </c>
      <c r="I742" s="6">
        <v>1.4164797490000001</v>
      </c>
    </row>
    <row r="743" spans="1:9" x14ac:dyDescent="0.25">
      <c r="A743" s="1" t="s">
        <v>17</v>
      </c>
      <c r="B743" s="9">
        <v>743</v>
      </c>
      <c r="C743" s="9">
        <v>754</v>
      </c>
      <c r="D743" s="9">
        <v>765</v>
      </c>
      <c r="E743" s="9">
        <v>777</v>
      </c>
      <c r="F743" s="9">
        <v>789</v>
      </c>
      <c r="G743" s="9">
        <v>800</v>
      </c>
      <c r="H743" s="9">
        <v>812</v>
      </c>
      <c r="I743" s="6">
        <v>1.491078889</v>
      </c>
    </row>
    <row r="744" spans="1:9" x14ac:dyDescent="0.25">
      <c r="A744" s="1" t="s">
        <v>18</v>
      </c>
      <c r="B744" s="9">
        <v>0</v>
      </c>
      <c r="C744" s="9">
        <v>0</v>
      </c>
      <c r="D744" s="9">
        <v>0</v>
      </c>
      <c r="E744" s="9">
        <v>0</v>
      </c>
      <c r="F744" s="9">
        <v>0</v>
      </c>
      <c r="G744" s="9">
        <v>0</v>
      </c>
      <c r="H744" s="9">
        <v>0</v>
      </c>
      <c r="I744" s="7" t="s">
        <v>58</v>
      </c>
    </row>
    <row r="745" spans="1:9" x14ac:dyDescent="0.25">
      <c r="A745" s="1" t="s">
        <v>19</v>
      </c>
      <c r="B745" s="9">
        <v>0</v>
      </c>
      <c r="C745" s="9">
        <v>0</v>
      </c>
      <c r="D745" s="9">
        <v>0</v>
      </c>
      <c r="E745" s="9">
        <v>0</v>
      </c>
      <c r="F745" s="9">
        <v>0</v>
      </c>
      <c r="G745" s="9">
        <v>0</v>
      </c>
      <c r="H745" s="9">
        <v>0</v>
      </c>
      <c r="I745" s="7" t="s">
        <v>58</v>
      </c>
    </row>
    <row r="746" spans="1:9" x14ac:dyDescent="0.25">
      <c r="A746" s="1" t="s">
        <v>20</v>
      </c>
      <c r="B746" s="9">
        <v>0</v>
      </c>
      <c r="C746" s="9">
        <v>0</v>
      </c>
      <c r="D746" s="9">
        <v>0</v>
      </c>
      <c r="E746" s="9">
        <v>0</v>
      </c>
      <c r="F746" s="9">
        <v>0</v>
      </c>
      <c r="G746" s="9">
        <v>0</v>
      </c>
      <c r="H746" s="9">
        <v>0</v>
      </c>
      <c r="I746" s="7" t="s">
        <v>58</v>
      </c>
    </row>
    <row r="747" spans="1:9" x14ac:dyDescent="0.25">
      <c r="A747" s="1" t="s">
        <v>21</v>
      </c>
      <c r="B747" s="7" t="s">
        <v>58</v>
      </c>
      <c r="C747" s="7" t="s">
        <v>58</v>
      </c>
      <c r="D747" s="7" t="s">
        <v>58</v>
      </c>
      <c r="E747" s="7" t="s">
        <v>58</v>
      </c>
      <c r="F747" s="7" t="s">
        <v>58</v>
      </c>
      <c r="G747" s="7" t="s">
        <v>58</v>
      </c>
      <c r="H747" s="7" t="s">
        <v>58</v>
      </c>
      <c r="I747" s="7" t="s">
        <v>58</v>
      </c>
    </row>
    <row r="748" spans="1:9" x14ac:dyDescent="0.25">
      <c r="A748" s="1" t="s">
        <v>22</v>
      </c>
      <c r="B748" s="9">
        <v>3342</v>
      </c>
      <c r="C748" s="9">
        <v>3345</v>
      </c>
      <c r="D748" s="9">
        <v>3348</v>
      </c>
      <c r="E748" s="9">
        <v>3351</v>
      </c>
      <c r="F748" s="9">
        <v>3354</v>
      </c>
      <c r="G748" s="9">
        <v>3357</v>
      </c>
      <c r="H748" s="9">
        <v>3360</v>
      </c>
      <c r="I748" s="6">
        <v>8.9565816000000006E-2</v>
      </c>
    </row>
    <row r="749" spans="1:9" x14ac:dyDescent="0.25">
      <c r="A749" s="1" t="s">
        <v>23</v>
      </c>
      <c r="B749" s="9">
        <v>225767</v>
      </c>
      <c r="C749" s="9">
        <v>221252</v>
      </c>
      <c r="D749" s="9">
        <v>230456</v>
      </c>
      <c r="E749" s="9">
        <v>237830</v>
      </c>
      <c r="F749" s="9">
        <v>243063</v>
      </c>
      <c r="G749" s="9">
        <v>247681</v>
      </c>
      <c r="H749" s="9">
        <v>251363</v>
      </c>
      <c r="I749" s="6">
        <v>1.806025156</v>
      </c>
    </row>
    <row r="750" spans="1:9" x14ac:dyDescent="0.25">
      <c r="A750" s="1" t="s">
        <v>24</v>
      </c>
      <c r="B750" s="9">
        <v>700</v>
      </c>
      <c r="C750" s="9">
        <v>699</v>
      </c>
      <c r="D750" s="9">
        <v>699</v>
      </c>
      <c r="E750" s="9">
        <v>698</v>
      </c>
      <c r="F750" s="9">
        <v>698</v>
      </c>
      <c r="G750" s="9">
        <v>698</v>
      </c>
      <c r="H750" s="9">
        <v>698</v>
      </c>
      <c r="I750" s="6">
        <v>-4.7675835999999999E-2</v>
      </c>
    </row>
    <row r="751" spans="1:9" x14ac:dyDescent="0.25">
      <c r="A751" s="1" t="s">
        <v>25</v>
      </c>
      <c r="B751" s="9">
        <v>0</v>
      </c>
      <c r="C751" s="9">
        <v>0</v>
      </c>
      <c r="D751" s="9">
        <v>0</v>
      </c>
      <c r="E751" s="9">
        <v>0</v>
      </c>
      <c r="F751" s="9">
        <v>0</v>
      </c>
      <c r="G751" s="9">
        <v>0</v>
      </c>
      <c r="H751" s="9">
        <v>0</v>
      </c>
      <c r="I751" s="7" t="s">
        <v>58</v>
      </c>
    </row>
    <row r="752" spans="1:9" x14ac:dyDescent="0.25">
      <c r="A752" s="1" t="s">
        <v>26</v>
      </c>
      <c r="B752" s="9">
        <v>210247</v>
      </c>
      <c r="C752" s="9">
        <v>212350</v>
      </c>
      <c r="D752" s="9">
        <v>213412</v>
      </c>
      <c r="E752" s="9">
        <v>214479</v>
      </c>
      <c r="F752" s="9">
        <v>215551</v>
      </c>
      <c r="G752" s="9">
        <v>216629</v>
      </c>
      <c r="H752" s="9">
        <v>217712</v>
      </c>
      <c r="I752" s="6">
        <v>0.58319497300000001</v>
      </c>
    </row>
    <row r="753" spans="1:9" x14ac:dyDescent="0.25">
      <c r="A753" s="1" t="s">
        <v>27</v>
      </c>
      <c r="B753" s="9">
        <v>28646</v>
      </c>
      <c r="C753" s="9">
        <v>43256</v>
      </c>
      <c r="D753" s="9">
        <v>43775</v>
      </c>
      <c r="E753" s="9">
        <v>44125</v>
      </c>
      <c r="F753" s="9">
        <v>44302</v>
      </c>
      <c r="G753" s="9">
        <v>44435</v>
      </c>
      <c r="H753" s="9">
        <v>44524</v>
      </c>
      <c r="I753" s="6">
        <v>7.6271147030000002</v>
      </c>
    </row>
    <row r="754" spans="1:9" x14ac:dyDescent="0.25">
      <c r="A754" s="1" t="s">
        <v>28</v>
      </c>
      <c r="B754" s="9">
        <v>0</v>
      </c>
      <c r="C754" s="9">
        <v>0</v>
      </c>
      <c r="D754" s="9">
        <v>0</v>
      </c>
      <c r="E754" s="9">
        <v>0</v>
      </c>
      <c r="F754" s="9">
        <v>0</v>
      </c>
      <c r="G754" s="9">
        <v>0</v>
      </c>
      <c r="H754" s="9">
        <v>0</v>
      </c>
      <c r="I754" s="7" t="s">
        <v>58</v>
      </c>
    </row>
    <row r="755" spans="1:9" x14ac:dyDescent="0.25">
      <c r="A755" s="1" t="s">
        <v>29</v>
      </c>
      <c r="B755" s="9">
        <v>14836</v>
      </c>
      <c r="C755" s="9">
        <v>11110</v>
      </c>
      <c r="D755" s="9">
        <v>8459</v>
      </c>
      <c r="E755" s="9">
        <v>6542</v>
      </c>
      <c r="F755" s="9">
        <v>5133</v>
      </c>
      <c r="G755" s="9">
        <v>4083</v>
      </c>
      <c r="H755" s="9">
        <v>3289</v>
      </c>
      <c r="I755" s="6">
        <v>-22.203897210000001</v>
      </c>
    </row>
    <row r="756" spans="1:9" x14ac:dyDescent="0.25">
      <c r="A756" s="1" t="s">
        <v>30</v>
      </c>
      <c r="B756" s="9">
        <v>0</v>
      </c>
      <c r="C756" s="9">
        <v>0</v>
      </c>
      <c r="D756" s="9">
        <v>0</v>
      </c>
      <c r="E756" s="9">
        <v>0</v>
      </c>
      <c r="F756" s="9">
        <v>0</v>
      </c>
      <c r="G756" s="9">
        <v>0</v>
      </c>
      <c r="H756" s="9">
        <v>0</v>
      </c>
      <c r="I756" s="7" t="s">
        <v>58</v>
      </c>
    </row>
    <row r="757" spans="1:9" x14ac:dyDescent="0.25">
      <c r="A757" s="1" t="s">
        <v>31</v>
      </c>
      <c r="B757" s="9">
        <v>3805</v>
      </c>
      <c r="C757" s="9">
        <v>12839</v>
      </c>
      <c r="D757" s="9">
        <v>12839</v>
      </c>
      <c r="E757" s="9">
        <v>12839</v>
      </c>
      <c r="F757" s="9">
        <v>12839</v>
      </c>
      <c r="G757" s="9">
        <v>12839</v>
      </c>
      <c r="H757" s="9">
        <v>12839</v>
      </c>
      <c r="I757" s="6">
        <v>22.469916843</v>
      </c>
    </row>
    <row r="758" spans="1:9" x14ac:dyDescent="0.25">
      <c r="A758" s="1" t="s">
        <v>32</v>
      </c>
      <c r="B758" s="9">
        <v>600</v>
      </c>
      <c r="C758" s="9">
        <v>583</v>
      </c>
      <c r="D758" s="9">
        <v>570</v>
      </c>
      <c r="E758" s="9">
        <v>560</v>
      </c>
      <c r="F758" s="9">
        <v>552</v>
      </c>
      <c r="G758" s="9">
        <v>545</v>
      </c>
      <c r="H758" s="9">
        <v>540</v>
      </c>
      <c r="I758" s="6">
        <v>-1.740680615</v>
      </c>
    </row>
    <row r="759" spans="1:9" x14ac:dyDescent="0.25">
      <c r="A759" s="1" t="s">
        <v>33</v>
      </c>
      <c r="B759" s="9">
        <v>609</v>
      </c>
      <c r="C759" s="9">
        <v>670</v>
      </c>
      <c r="D759" s="9">
        <v>720</v>
      </c>
      <c r="E759" s="9">
        <v>756</v>
      </c>
      <c r="F759" s="9">
        <v>775</v>
      </c>
      <c r="G759" s="9">
        <v>790</v>
      </c>
      <c r="H759" s="9">
        <v>802</v>
      </c>
      <c r="I759" s="6">
        <v>4.6950573840000001</v>
      </c>
    </row>
    <row r="760" spans="1:9" ht="30" x14ac:dyDescent="0.25">
      <c r="A760" s="1" t="s">
        <v>34</v>
      </c>
      <c r="B760" s="9">
        <v>28990</v>
      </c>
      <c r="C760" s="9">
        <v>32179</v>
      </c>
      <c r="D760" s="9">
        <v>35719</v>
      </c>
      <c r="E760" s="9">
        <v>39648</v>
      </c>
      <c r="F760" s="9">
        <v>44009</v>
      </c>
      <c r="G760" s="9">
        <v>48850</v>
      </c>
      <c r="H760" s="9">
        <v>54224</v>
      </c>
      <c r="I760" s="6">
        <v>11.00023273</v>
      </c>
    </row>
    <row r="761" spans="1:9" ht="30" x14ac:dyDescent="0.25">
      <c r="A761" s="1" t="s">
        <v>35</v>
      </c>
      <c r="B761" s="9">
        <v>843675</v>
      </c>
      <c r="C761" s="9">
        <v>918783</v>
      </c>
      <c r="D761" s="9">
        <v>932175</v>
      </c>
      <c r="E761" s="9">
        <v>941605</v>
      </c>
      <c r="F761" s="9">
        <v>948178</v>
      </c>
      <c r="G761" s="9">
        <v>952707</v>
      </c>
      <c r="H761" s="9">
        <v>955777</v>
      </c>
      <c r="I761" s="6">
        <v>2.1010556820000001</v>
      </c>
    </row>
    <row r="762" spans="1:9" x14ac:dyDescent="0.25">
      <c r="A762" s="1" t="s">
        <v>36</v>
      </c>
      <c r="B762" s="9">
        <v>14145</v>
      </c>
      <c r="C762" s="9">
        <v>14377</v>
      </c>
      <c r="D762" s="9">
        <v>14589</v>
      </c>
      <c r="E762" s="9">
        <v>14783</v>
      </c>
      <c r="F762" s="9">
        <v>14960</v>
      </c>
      <c r="G762" s="9">
        <v>15121</v>
      </c>
      <c r="H762" s="9">
        <v>15267</v>
      </c>
      <c r="I762" s="6">
        <v>1.2803341749999999</v>
      </c>
    </row>
    <row r="763" spans="1:9" x14ac:dyDescent="0.25">
      <c r="A763" s="1" t="s">
        <v>37</v>
      </c>
      <c r="B763" s="9">
        <v>2119</v>
      </c>
      <c r="C763" s="9">
        <v>1988</v>
      </c>
      <c r="D763" s="9">
        <v>1876</v>
      </c>
      <c r="E763" s="9">
        <v>1782</v>
      </c>
      <c r="F763" s="9">
        <v>1652</v>
      </c>
      <c r="G763" s="9">
        <v>1570</v>
      </c>
      <c r="H763" s="9">
        <v>1480</v>
      </c>
      <c r="I763" s="6">
        <v>-5.80631378</v>
      </c>
    </row>
    <row r="764" spans="1:9" x14ac:dyDescent="0.25">
      <c r="A764" s="1" t="s">
        <v>38</v>
      </c>
      <c r="B764" s="9">
        <v>328</v>
      </c>
      <c r="C764" s="9">
        <v>349</v>
      </c>
      <c r="D764" s="9">
        <v>371</v>
      </c>
      <c r="E764" s="9">
        <v>392</v>
      </c>
      <c r="F764" s="9">
        <v>414</v>
      </c>
      <c r="G764" s="9">
        <v>435</v>
      </c>
      <c r="H764" s="9">
        <v>457</v>
      </c>
      <c r="I764" s="6">
        <v>5.6834687769999999</v>
      </c>
    </row>
    <row r="765" spans="1:9" x14ac:dyDescent="0.25">
      <c r="A765" s="1" t="s">
        <v>39</v>
      </c>
      <c r="B765" s="9">
        <v>0</v>
      </c>
      <c r="C765" s="9">
        <v>0</v>
      </c>
      <c r="D765" s="9">
        <v>0</v>
      </c>
      <c r="E765" s="9">
        <v>0</v>
      </c>
      <c r="F765" s="9">
        <v>0</v>
      </c>
      <c r="G765" s="9">
        <v>0</v>
      </c>
      <c r="H765" s="9">
        <v>0</v>
      </c>
      <c r="I765" s="7" t="s">
        <v>58</v>
      </c>
    </row>
    <row r="766" spans="1:9" x14ac:dyDescent="0.25">
      <c r="A766" s="1" t="s">
        <v>40</v>
      </c>
      <c r="B766" s="9">
        <v>0</v>
      </c>
      <c r="C766" s="9">
        <v>0</v>
      </c>
      <c r="D766" s="9">
        <v>0</v>
      </c>
      <c r="E766" s="9">
        <v>0</v>
      </c>
      <c r="F766" s="9">
        <v>0</v>
      </c>
      <c r="G766" s="9">
        <v>0</v>
      </c>
      <c r="H766" s="9">
        <v>0</v>
      </c>
      <c r="I766" s="7" t="s">
        <v>58</v>
      </c>
    </row>
    <row r="767" spans="1:9" x14ac:dyDescent="0.25">
      <c r="A767" s="1" t="s">
        <v>41</v>
      </c>
      <c r="B767" s="9">
        <v>17014</v>
      </c>
      <c r="C767" s="9">
        <v>15738</v>
      </c>
      <c r="D767" s="9">
        <v>14558</v>
      </c>
      <c r="E767" s="9">
        <v>13466</v>
      </c>
      <c r="F767" s="9">
        <v>12456</v>
      </c>
      <c r="G767" s="9">
        <v>11522</v>
      </c>
      <c r="H767" s="9">
        <v>10657</v>
      </c>
      <c r="I767" s="6">
        <v>-7.500775956</v>
      </c>
    </row>
    <row r="768" spans="1:9" x14ac:dyDescent="0.25">
      <c r="A768" s="1" t="s">
        <v>42</v>
      </c>
      <c r="B768" s="9">
        <v>83000</v>
      </c>
      <c r="C768" s="9">
        <v>178179</v>
      </c>
      <c r="D768" s="9">
        <v>179426</v>
      </c>
      <c r="E768" s="9">
        <v>180682</v>
      </c>
      <c r="F768" s="9">
        <v>181947</v>
      </c>
      <c r="G768" s="9">
        <v>183220</v>
      </c>
      <c r="H768" s="9">
        <v>184503</v>
      </c>
      <c r="I768" s="6">
        <v>14.240709054</v>
      </c>
    </row>
    <row r="769" spans="1:9" x14ac:dyDescent="0.25">
      <c r="A769" s="1" t="s">
        <v>43</v>
      </c>
      <c r="B769" s="9">
        <v>437</v>
      </c>
      <c r="C769" s="9">
        <v>332</v>
      </c>
      <c r="D769" s="9">
        <v>249</v>
      </c>
      <c r="E769" s="9">
        <v>209</v>
      </c>
      <c r="F769" s="9">
        <v>166</v>
      </c>
      <c r="G769" s="9">
        <v>121</v>
      </c>
      <c r="H769" s="9">
        <v>86</v>
      </c>
      <c r="I769" s="6">
        <v>-23.733086837999998</v>
      </c>
    </row>
    <row r="770" spans="1:9" x14ac:dyDescent="0.25">
      <c r="A770" s="1" t="s">
        <v>44</v>
      </c>
      <c r="B770" s="9">
        <v>22117</v>
      </c>
      <c r="C770" s="9">
        <v>26849</v>
      </c>
      <c r="D770" s="9">
        <v>30617</v>
      </c>
      <c r="E770" s="9">
        <v>33551</v>
      </c>
      <c r="F770" s="9">
        <v>41140</v>
      </c>
      <c r="G770" s="9">
        <v>47011</v>
      </c>
      <c r="H770" s="9">
        <v>61209</v>
      </c>
      <c r="I770" s="6">
        <v>18.489948593000001</v>
      </c>
    </row>
    <row r="771" spans="1:9" x14ac:dyDescent="0.25">
      <c r="A771" s="1" t="s">
        <v>45</v>
      </c>
      <c r="B771" s="9">
        <v>6379</v>
      </c>
      <c r="C771" s="9">
        <v>7087</v>
      </c>
      <c r="D771" s="9">
        <v>7820</v>
      </c>
      <c r="E771" s="9">
        <v>8514</v>
      </c>
      <c r="F771" s="9">
        <v>9165</v>
      </c>
      <c r="G771" s="9">
        <v>9797</v>
      </c>
      <c r="H771" s="9">
        <v>10457</v>
      </c>
      <c r="I771" s="6">
        <v>8.5864789889999997</v>
      </c>
    </row>
    <row r="772" spans="1:9" x14ac:dyDescent="0.25">
      <c r="A772" s="1" t="s">
        <v>46</v>
      </c>
      <c r="B772" s="9">
        <v>1163</v>
      </c>
      <c r="C772" s="9">
        <v>1076</v>
      </c>
      <c r="D772" s="9">
        <v>991</v>
      </c>
      <c r="E772" s="9">
        <v>909</v>
      </c>
      <c r="F772" s="9">
        <v>830</v>
      </c>
      <c r="G772" s="9">
        <v>755</v>
      </c>
      <c r="H772" s="9">
        <v>679</v>
      </c>
      <c r="I772" s="6">
        <v>-8.5784998839999993</v>
      </c>
    </row>
    <row r="773" spans="1:9" x14ac:dyDescent="0.25">
      <c r="A773" s="1" t="s">
        <v>47</v>
      </c>
      <c r="B773" s="9">
        <v>1972</v>
      </c>
      <c r="C773" s="9">
        <v>2000</v>
      </c>
      <c r="D773" s="9">
        <v>2058</v>
      </c>
      <c r="E773" s="9">
        <v>2100</v>
      </c>
      <c r="F773" s="9">
        <v>2130</v>
      </c>
      <c r="G773" s="9">
        <v>2151</v>
      </c>
      <c r="H773" s="9">
        <v>2166</v>
      </c>
      <c r="I773" s="6">
        <v>1.5761910939999999</v>
      </c>
    </row>
    <row r="774" spans="1:9" x14ac:dyDescent="0.25">
      <c r="A774" s="1" t="s">
        <v>48</v>
      </c>
      <c r="B774" s="9">
        <v>4453</v>
      </c>
      <c r="C774" s="9">
        <v>4810</v>
      </c>
      <c r="D774" s="9">
        <v>5291</v>
      </c>
      <c r="E774" s="9">
        <v>4603</v>
      </c>
      <c r="F774" s="9">
        <v>4465</v>
      </c>
      <c r="G774" s="9">
        <v>4911</v>
      </c>
      <c r="H774" s="9">
        <v>4518</v>
      </c>
      <c r="I774" s="6">
        <v>0.24181509700000001</v>
      </c>
    </row>
    <row r="775" spans="1:9" x14ac:dyDescent="0.25">
      <c r="A775" s="1" t="s">
        <v>49</v>
      </c>
      <c r="B775" s="9">
        <v>8387</v>
      </c>
      <c r="C775" s="9">
        <v>7858</v>
      </c>
      <c r="D775" s="9">
        <v>7348</v>
      </c>
      <c r="E775" s="9">
        <v>6797</v>
      </c>
      <c r="F775" s="9">
        <v>6185</v>
      </c>
      <c r="G775" s="9">
        <v>5566</v>
      </c>
      <c r="H775" s="9">
        <v>4982</v>
      </c>
      <c r="I775" s="6">
        <v>-8.3147415890000005</v>
      </c>
    </row>
    <row r="776" spans="1:9" x14ac:dyDescent="0.25">
      <c r="A776" s="1" t="s">
        <v>50</v>
      </c>
      <c r="B776" s="9">
        <v>11161</v>
      </c>
      <c r="C776" s="9">
        <v>11744</v>
      </c>
      <c r="D776" s="9">
        <v>12284</v>
      </c>
      <c r="E776" s="9">
        <v>12781</v>
      </c>
      <c r="F776" s="9">
        <v>13200</v>
      </c>
      <c r="G776" s="9">
        <v>13500</v>
      </c>
      <c r="H776" s="9">
        <v>13800</v>
      </c>
      <c r="I776" s="6">
        <v>3.6006936120000002</v>
      </c>
    </row>
    <row r="777" spans="1:9" x14ac:dyDescent="0.25">
      <c r="A777" s="1" t="s">
        <v>51</v>
      </c>
      <c r="B777" s="9">
        <v>7818</v>
      </c>
      <c r="C777" s="9">
        <v>7806</v>
      </c>
      <c r="D777" s="9">
        <v>7794</v>
      </c>
      <c r="E777" s="9">
        <v>7782</v>
      </c>
      <c r="F777" s="9">
        <v>7770</v>
      </c>
      <c r="G777" s="9">
        <v>7758</v>
      </c>
      <c r="H777" s="9">
        <v>7746</v>
      </c>
      <c r="I777" s="6">
        <v>-0.15408427299999999</v>
      </c>
    </row>
    <row r="778" spans="1:9" x14ac:dyDescent="0.25">
      <c r="A778" s="1" t="s">
        <v>52</v>
      </c>
      <c r="B778" s="9">
        <v>0</v>
      </c>
      <c r="C778" s="9">
        <v>0</v>
      </c>
      <c r="D778" s="9">
        <v>0</v>
      </c>
      <c r="E778" s="9">
        <v>0</v>
      </c>
      <c r="F778" s="9">
        <v>0</v>
      </c>
      <c r="G778" s="9">
        <v>0</v>
      </c>
      <c r="H778" s="9">
        <v>0</v>
      </c>
      <c r="I778" s="7" t="s">
        <v>58</v>
      </c>
    </row>
    <row r="779" spans="1:9" x14ac:dyDescent="0.25">
      <c r="A779" s="1" t="s">
        <v>53</v>
      </c>
      <c r="B779" s="9">
        <v>0</v>
      </c>
      <c r="C779" s="9">
        <v>0</v>
      </c>
      <c r="D779" s="9">
        <v>0</v>
      </c>
      <c r="E779" s="9">
        <v>0</v>
      </c>
      <c r="F779" s="9">
        <v>0</v>
      </c>
      <c r="G779" s="9">
        <v>0</v>
      </c>
      <c r="H779" s="9">
        <v>0</v>
      </c>
      <c r="I779" s="7" t="s">
        <v>58</v>
      </c>
    </row>
    <row r="780" spans="1:9" x14ac:dyDescent="0.25">
      <c r="A780" s="1" t="s">
        <v>54</v>
      </c>
      <c r="B780" s="9">
        <v>0</v>
      </c>
      <c r="C780" s="9">
        <v>0</v>
      </c>
      <c r="D780" s="9">
        <v>0</v>
      </c>
      <c r="E780" s="9">
        <v>0</v>
      </c>
      <c r="F780" s="9">
        <v>0</v>
      </c>
      <c r="G780" s="9">
        <v>0</v>
      </c>
      <c r="H780" s="9">
        <v>0</v>
      </c>
      <c r="I780" s="7" t="s">
        <v>58</v>
      </c>
    </row>
    <row r="781" spans="1:9" x14ac:dyDescent="0.25">
      <c r="A781" s="1" t="s">
        <v>55</v>
      </c>
      <c r="B781" s="9">
        <v>2200</v>
      </c>
      <c r="C781" s="9">
        <v>2152</v>
      </c>
      <c r="D781" s="9">
        <v>2195</v>
      </c>
      <c r="E781" s="9">
        <v>2198</v>
      </c>
      <c r="F781" s="9">
        <v>2220</v>
      </c>
      <c r="G781" s="9">
        <v>2287</v>
      </c>
      <c r="H781" s="9">
        <v>2202</v>
      </c>
      <c r="I781" s="6">
        <v>1.5145779E-2</v>
      </c>
    </row>
    <row r="782" spans="1:9" x14ac:dyDescent="0.25">
      <c r="A782" s="1" t="s">
        <v>56</v>
      </c>
      <c r="B782" s="9">
        <v>0</v>
      </c>
      <c r="C782" s="9">
        <v>0</v>
      </c>
      <c r="D782" s="9">
        <v>0</v>
      </c>
      <c r="E782" s="9">
        <v>0</v>
      </c>
      <c r="F782" s="9">
        <v>0</v>
      </c>
      <c r="G782" s="9">
        <v>0</v>
      </c>
      <c r="H782" s="9">
        <v>0</v>
      </c>
      <c r="I782" s="7" t="s">
        <v>58</v>
      </c>
    </row>
    <row r="783" spans="1:9" x14ac:dyDescent="0.25">
      <c r="A783" s="1" t="s">
        <v>57</v>
      </c>
      <c r="B783" s="7" t="s">
        <v>58</v>
      </c>
      <c r="C783" s="7" t="s">
        <v>58</v>
      </c>
      <c r="D783" s="7" t="s">
        <v>58</v>
      </c>
      <c r="E783" s="7" t="s">
        <v>58</v>
      </c>
      <c r="F783" s="7" t="s">
        <v>58</v>
      </c>
      <c r="G783" s="7" t="s">
        <v>58</v>
      </c>
      <c r="H783" s="7" t="s">
        <v>58</v>
      </c>
      <c r="I783" s="7" t="s">
        <v>58</v>
      </c>
    </row>
    <row r="784" spans="1:9" x14ac:dyDescent="0.25">
      <c r="A784" s="1" t="s">
        <v>59</v>
      </c>
      <c r="B784" s="9">
        <v>4026</v>
      </c>
      <c r="C784" s="9">
        <v>4030</v>
      </c>
      <c r="D784" s="9">
        <v>4031</v>
      </c>
      <c r="E784" s="9">
        <v>4033</v>
      </c>
      <c r="F784" s="9">
        <v>4038</v>
      </c>
      <c r="G784" s="9">
        <v>4030</v>
      </c>
      <c r="H784" s="9">
        <v>4070</v>
      </c>
      <c r="I784" s="6">
        <v>0.1813254</v>
      </c>
    </row>
    <row r="785" spans="1:9" x14ac:dyDescent="0.25">
      <c r="A785" s="1" t="s">
        <v>60</v>
      </c>
      <c r="B785" s="9">
        <v>0</v>
      </c>
      <c r="C785" s="9">
        <v>0</v>
      </c>
      <c r="D785" s="9">
        <v>0</v>
      </c>
      <c r="E785" s="9">
        <v>0</v>
      </c>
      <c r="F785" s="9">
        <v>0</v>
      </c>
      <c r="G785" s="9">
        <v>0</v>
      </c>
      <c r="H785" s="9">
        <v>0</v>
      </c>
      <c r="I785" s="7" t="s">
        <v>58</v>
      </c>
    </row>
    <row r="786" spans="1:9" ht="45" x14ac:dyDescent="0.25">
      <c r="A786" s="1" t="s">
        <v>61</v>
      </c>
      <c r="B786" s="9">
        <v>559785</v>
      </c>
      <c r="C786" s="9">
        <v>726149</v>
      </c>
      <c r="D786" s="9">
        <v>760630</v>
      </c>
      <c r="E786" s="9">
        <v>796248</v>
      </c>
      <c r="F786" s="9">
        <v>840987</v>
      </c>
      <c r="G786" s="9">
        <v>891862</v>
      </c>
      <c r="H786" s="9">
        <v>958891</v>
      </c>
      <c r="I786" s="6">
        <v>9.3850570340000008</v>
      </c>
    </row>
    <row r="787" spans="1:9" x14ac:dyDescent="0.25">
      <c r="A787" s="1" t="s">
        <v>62</v>
      </c>
      <c r="B787" s="9">
        <v>1615</v>
      </c>
      <c r="C787" s="9">
        <v>4482</v>
      </c>
      <c r="D787" s="9">
        <v>4329</v>
      </c>
      <c r="E787" s="9">
        <v>4151</v>
      </c>
      <c r="F787" s="9">
        <v>3947</v>
      </c>
      <c r="G787" s="9">
        <v>3713</v>
      </c>
      <c r="H787" s="9">
        <v>3450</v>
      </c>
      <c r="I787" s="6">
        <v>13.485687962</v>
      </c>
    </row>
    <row r="788" spans="1:9" x14ac:dyDescent="0.25">
      <c r="A788" s="1" t="s">
        <v>63</v>
      </c>
      <c r="B788" s="9">
        <v>11856</v>
      </c>
      <c r="C788" s="9">
        <v>11880</v>
      </c>
      <c r="D788" s="9">
        <v>11898</v>
      </c>
      <c r="E788" s="9">
        <v>11898</v>
      </c>
      <c r="F788" s="9">
        <v>12136</v>
      </c>
      <c r="G788" s="9">
        <v>12379</v>
      </c>
      <c r="H788" s="9">
        <v>12626</v>
      </c>
      <c r="I788" s="6">
        <v>1.0542536920000001</v>
      </c>
    </row>
    <row r="789" spans="1:9" x14ac:dyDescent="0.25">
      <c r="A789" s="1" t="s">
        <v>64</v>
      </c>
      <c r="B789" s="9">
        <v>1500</v>
      </c>
      <c r="C789" s="9">
        <v>1000</v>
      </c>
      <c r="D789" s="9">
        <v>1000</v>
      </c>
      <c r="E789" s="9">
        <v>1000</v>
      </c>
      <c r="F789" s="9">
        <v>1000</v>
      </c>
      <c r="G789" s="9">
        <v>1000</v>
      </c>
      <c r="H789" s="9">
        <v>1000</v>
      </c>
      <c r="I789" s="6">
        <v>-6.5344734820000001</v>
      </c>
    </row>
    <row r="790" spans="1:9" x14ac:dyDescent="0.25">
      <c r="A790" s="1" t="s">
        <v>65</v>
      </c>
      <c r="B790" s="9">
        <v>13730</v>
      </c>
      <c r="C790" s="9">
        <v>15034</v>
      </c>
      <c r="D790" s="9">
        <v>16505</v>
      </c>
      <c r="E790" s="9">
        <v>18008</v>
      </c>
      <c r="F790" s="9">
        <v>19789</v>
      </c>
      <c r="G790" s="9">
        <v>21681</v>
      </c>
      <c r="H790" s="9">
        <v>23659</v>
      </c>
      <c r="I790" s="6">
        <v>9.4933242230000001</v>
      </c>
    </row>
    <row r="791" spans="1:9" x14ac:dyDescent="0.25">
      <c r="A791" s="1" t="s">
        <v>66</v>
      </c>
      <c r="B791" s="9">
        <v>86429</v>
      </c>
      <c r="C791" s="9">
        <v>87293</v>
      </c>
      <c r="D791" s="9">
        <v>88166</v>
      </c>
      <c r="E791" s="9">
        <v>89048</v>
      </c>
      <c r="F791" s="9">
        <v>89938</v>
      </c>
      <c r="G791" s="9">
        <v>90837</v>
      </c>
      <c r="H791" s="9">
        <v>91745</v>
      </c>
      <c r="I791" s="6">
        <v>0.99979356900000005</v>
      </c>
    </row>
    <row r="792" spans="1:9" ht="30" x14ac:dyDescent="0.25">
      <c r="A792" s="1" t="s">
        <v>67</v>
      </c>
      <c r="B792" s="9">
        <v>97474</v>
      </c>
      <c r="C792" s="9">
        <v>100284</v>
      </c>
      <c r="D792" s="9">
        <v>103065</v>
      </c>
      <c r="E792" s="9">
        <v>106933</v>
      </c>
      <c r="F792" s="9">
        <v>114092</v>
      </c>
      <c r="G792" s="9">
        <v>119326</v>
      </c>
      <c r="H792" s="9">
        <v>126716</v>
      </c>
      <c r="I792" s="6">
        <v>4.4697233110000001</v>
      </c>
    </row>
    <row r="793" spans="1:9" x14ac:dyDescent="0.25">
      <c r="A793" s="1" t="s">
        <v>68</v>
      </c>
      <c r="B793" s="7" t="s">
        <v>58</v>
      </c>
      <c r="C793" s="7" t="s">
        <v>58</v>
      </c>
      <c r="D793" s="7" t="s">
        <v>58</v>
      </c>
      <c r="E793" s="7" t="s">
        <v>58</v>
      </c>
      <c r="F793" s="7" t="s">
        <v>58</v>
      </c>
      <c r="G793" s="7" t="s">
        <v>58</v>
      </c>
      <c r="H793" s="7" t="s">
        <v>58</v>
      </c>
      <c r="I793" s="7" t="s">
        <v>58</v>
      </c>
    </row>
    <row r="794" spans="1:9" x14ac:dyDescent="0.25">
      <c r="A794" s="1" t="s">
        <v>69</v>
      </c>
      <c r="B794" s="9">
        <v>990</v>
      </c>
      <c r="C794" s="9">
        <v>991</v>
      </c>
      <c r="D794" s="9">
        <v>992</v>
      </c>
      <c r="E794" s="9">
        <v>993</v>
      </c>
      <c r="F794" s="9">
        <v>994</v>
      </c>
      <c r="G794" s="9">
        <v>995</v>
      </c>
      <c r="H794" s="9">
        <v>996</v>
      </c>
      <c r="I794" s="6">
        <v>0.100755966</v>
      </c>
    </row>
    <row r="795" spans="1:9" x14ac:dyDescent="0.25">
      <c r="A795" s="1" t="s">
        <v>70</v>
      </c>
      <c r="B795" s="9">
        <v>406</v>
      </c>
      <c r="C795" s="9">
        <v>343</v>
      </c>
      <c r="D795" s="9">
        <v>285</v>
      </c>
      <c r="E795" s="9">
        <v>231</v>
      </c>
      <c r="F795" s="9">
        <v>184</v>
      </c>
      <c r="G795" s="9">
        <v>156</v>
      </c>
      <c r="H795" s="9">
        <v>133</v>
      </c>
      <c r="I795" s="6">
        <v>-16.972696288000002</v>
      </c>
    </row>
    <row r="796" spans="1:9" x14ac:dyDescent="0.25">
      <c r="A796" s="1" t="s">
        <v>71</v>
      </c>
      <c r="B796" s="9">
        <v>36993</v>
      </c>
      <c r="C796" s="9">
        <v>55490</v>
      </c>
      <c r="D796" s="9">
        <v>56600</v>
      </c>
      <c r="E796" s="9">
        <v>61128</v>
      </c>
      <c r="F796" s="9">
        <v>64184</v>
      </c>
      <c r="G796" s="9">
        <v>69961</v>
      </c>
      <c r="H796" s="9">
        <v>75635</v>
      </c>
      <c r="I796" s="6">
        <v>12.659341853000001</v>
      </c>
    </row>
    <row r="797" spans="1:9" x14ac:dyDescent="0.25">
      <c r="A797" s="1" t="s">
        <v>72</v>
      </c>
      <c r="B797" s="9">
        <v>5387</v>
      </c>
      <c r="C797" s="9">
        <v>5035</v>
      </c>
      <c r="D797" s="9">
        <v>4677</v>
      </c>
      <c r="E797" s="9">
        <v>4274</v>
      </c>
      <c r="F797" s="9">
        <v>3795</v>
      </c>
      <c r="G797" s="9">
        <v>3938</v>
      </c>
      <c r="H797" s="9">
        <v>3746</v>
      </c>
      <c r="I797" s="6">
        <v>-5.8753300719999997</v>
      </c>
    </row>
    <row r="798" spans="1:9" x14ac:dyDescent="0.25">
      <c r="A798" s="1" t="s">
        <v>73</v>
      </c>
      <c r="B798" s="7" t="s">
        <v>58</v>
      </c>
      <c r="C798" s="7" t="s">
        <v>58</v>
      </c>
      <c r="D798" s="7" t="s">
        <v>58</v>
      </c>
      <c r="E798" s="7" t="s">
        <v>58</v>
      </c>
      <c r="F798" s="7" t="s">
        <v>58</v>
      </c>
      <c r="G798" s="7" t="s">
        <v>58</v>
      </c>
      <c r="H798" s="7" t="s">
        <v>58</v>
      </c>
      <c r="I798" s="7" t="s">
        <v>58</v>
      </c>
    </row>
    <row r="799" spans="1:9" ht="30" x14ac:dyDescent="0.25">
      <c r="A799" s="1" t="s">
        <v>74</v>
      </c>
      <c r="B799" s="9">
        <v>2361036</v>
      </c>
      <c r="C799" s="9">
        <v>3202264</v>
      </c>
      <c r="D799" s="9">
        <v>4281155</v>
      </c>
      <c r="E799" s="9">
        <v>5030246</v>
      </c>
      <c r="F799" s="9">
        <v>5807399</v>
      </c>
      <c r="G799" s="9">
        <v>6716118</v>
      </c>
      <c r="H799" s="9">
        <v>7524467</v>
      </c>
      <c r="I799" s="6">
        <v>21.309698161</v>
      </c>
    </row>
    <row r="800" spans="1:9" x14ac:dyDescent="0.25">
      <c r="A800" s="1" t="s">
        <v>75</v>
      </c>
      <c r="B800" s="9">
        <v>5197</v>
      </c>
      <c r="C800" s="9">
        <v>6437</v>
      </c>
      <c r="D800" s="9">
        <v>7329</v>
      </c>
      <c r="E800" s="9">
        <v>7837</v>
      </c>
      <c r="F800" s="9">
        <v>8123</v>
      </c>
      <c r="G800" s="9">
        <v>8321</v>
      </c>
      <c r="H800" s="9">
        <v>8424</v>
      </c>
      <c r="I800" s="6">
        <v>8.3829431690000007</v>
      </c>
    </row>
    <row r="801" spans="1:9" x14ac:dyDescent="0.25">
      <c r="A801" s="1" t="s">
        <v>76</v>
      </c>
      <c r="B801" s="9">
        <v>4569</v>
      </c>
      <c r="C801" s="9">
        <v>4477</v>
      </c>
      <c r="D801" s="9">
        <v>4388</v>
      </c>
      <c r="E801" s="9">
        <v>4300</v>
      </c>
      <c r="F801" s="9">
        <v>4214</v>
      </c>
      <c r="G801" s="9">
        <v>4130</v>
      </c>
      <c r="H801" s="9">
        <v>4047</v>
      </c>
      <c r="I801" s="6">
        <v>-2.001670115</v>
      </c>
    </row>
    <row r="802" spans="1:9" ht="45" x14ac:dyDescent="0.25">
      <c r="A802" s="1" t="s">
        <v>77</v>
      </c>
      <c r="B802" s="9">
        <v>454</v>
      </c>
      <c r="C802" s="9">
        <v>496</v>
      </c>
      <c r="D802" s="9">
        <v>499</v>
      </c>
      <c r="E802" s="9">
        <v>526</v>
      </c>
      <c r="F802" s="9">
        <v>540</v>
      </c>
      <c r="G802" s="9">
        <v>537</v>
      </c>
      <c r="H802" s="9">
        <v>558</v>
      </c>
      <c r="I802" s="6">
        <v>3.497467801</v>
      </c>
    </row>
    <row r="803" spans="1:9" ht="45" x14ac:dyDescent="0.25">
      <c r="A803" s="1" t="s">
        <v>78</v>
      </c>
      <c r="B803" s="9">
        <v>9</v>
      </c>
      <c r="C803" s="9">
        <v>7</v>
      </c>
      <c r="D803" s="9">
        <v>6</v>
      </c>
      <c r="E803" s="9">
        <v>5</v>
      </c>
      <c r="F803" s="9">
        <v>4</v>
      </c>
      <c r="G803" s="9">
        <v>3</v>
      </c>
      <c r="H803" s="9">
        <v>3</v>
      </c>
      <c r="I803" s="6">
        <v>-16.731682234000001</v>
      </c>
    </row>
    <row r="804" spans="1:9" ht="60" x14ac:dyDescent="0.25">
      <c r="A804" s="1" t="s">
        <v>79</v>
      </c>
      <c r="B804" s="7" t="s">
        <v>58</v>
      </c>
      <c r="C804" s="7" t="s">
        <v>58</v>
      </c>
      <c r="D804" s="7" t="s">
        <v>58</v>
      </c>
      <c r="E804" s="7" t="s">
        <v>58</v>
      </c>
      <c r="F804" s="7" t="s">
        <v>58</v>
      </c>
      <c r="G804" s="7" t="s">
        <v>58</v>
      </c>
      <c r="H804" s="7" t="s">
        <v>58</v>
      </c>
      <c r="I804" s="7" t="s">
        <v>58</v>
      </c>
    </row>
    <row r="805" spans="1:9" ht="45" x14ac:dyDescent="0.25">
      <c r="A805" s="1" t="s">
        <v>80</v>
      </c>
      <c r="B805" s="7" t="s">
        <v>58</v>
      </c>
      <c r="C805" s="7" t="s">
        <v>58</v>
      </c>
      <c r="D805" s="7" t="s">
        <v>58</v>
      </c>
      <c r="E805" s="7" t="s">
        <v>58</v>
      </c>
      <c r="F805" s="7" t="s">
        <v>58</v>
      </c>
      <c r="G805" s="7" t="s">
        <v>58</v>
      </c>
      <c r="H805" s="7" t="s">
        <v>58</v>
      </c>
      <c r="I805" s="7" t="s">
        <v>58</v>
      </c>
    </row>
    <row r="806" spans="1:9" ht="45" x14ac:dyDescent="0.25">
      <c r="A806" s="1" t="s">
        <v>81</v>
      </c>
      <c r="B806" s="9">
        <v>0</v>
      </c>
      <c r="C806" s="9">
        <v>0</v>
      </c>
      <c r="D806" s="9">
        <v>0</v>
      </c>
      <c r="E806" s="9">
        <v>0</v>
      </c>
      <c r="F806" s="9">
        <v>0</v>
      </c>
      <c r="G806" s="9">
        <v>0</v>
      </c>
      <c r="H806" s="9">
        <v>0</v>
      </c>
      <c r="I806" s="7" t="s">
        <v>58</v>
      </c>
    </row>
    <row r="807" spans="1:9" x14ac:dyDescent="0.25">
      <c r="A807" s="1" t="s">
        <v>82</v>
      </c>
      <c r="B807" s="9">
        <v>0</v>
      </c>
      <c r="C807" s="9">
        <v>0</v>
      </c>
      <c r="D807" s="9">
        <v>0</v>
      </c>
      <c r="E807" s="9">
        <v>0</v>
      </c>
      <c r="F807" s="9">
        <v>0</v>
      </c>
      <c r="G807" s="9">
        <v>0</v>
      </c>
      <c r="H807" s="9">
        <v>0</v>
      </c>
      <c r="I807" s="7" t="s">
        <v>58</v>
      </c>
    </row>
    <row r="808" spans="1:9" x14ac:dyDescent="0.25">
      <c r="A808" s="1" t="s">
        <v>83</v>
      </c>
      <c r="B808" s="9">
        <v>0</v>
      </c>
      <c r="C808" s="9">
        <v>0</v>
      </c>
      <c r="D808" s="9">
        <v>0</v>
      </c>
      <c r="E808" s="9">
        <v>0</v>
      </c>
      <c r="F808" s="9">
        <v>0</v>
      </c>
      <c r="G808" s="9">
        <v>0</v>
      </c>
      <c r="H808" s="9">
        <v>0</v>
      </c>
      <c r="I808" s="7" t="s">
        <v>58</v>
      </c>
    </row>
    <row r="809" spans="1:9" x14ac:dyDescent="0.25">
      <c r="A809" s="1" t="s">
        <v>84</v>
      </c>
      <c r="B809" s="9">
        <v>0</v>
      </c>
      <c r="C809" s="9">
        <v>0</v>
      </c>
      <c r="D809" s="9">
        <v>0</v>
      </c>
      <c r="E809" s="9">
        <v>0</v>
      </c>
      <c r="F809" s="9">
        <v>0</v>
      </c>
      <c r="G809" s="9">
        <v>0</v>
      </c>
      <c r="H809" s="9">
        <v>0</v>
      </c>
      <c r="I809" s="7" t="s">
        <v>58</v>
      </c>
    </row>
    <row r="810" spans="1:9" x14ac:dyDescent="0.25">
      <c r="A810" s="1" t="s">
        <v>85</v>
      </c>
      <c r="B810" s="9">
        <v>1</v>
      </c>
      <c r="C810" s="9">
        <v>0</v>
      </c>
      <c r="D810" s="9">
        <v>0</v>
      </c>
      <c r="E810" s="9">
        <v>0</v>
      </c>
      <c r="F810" s="9">
        <v>0</v>
      </c>
      <c r="G810" s="9">
        <v>0</v>
      </c>
      <c r="H810" s="9">
        <v>0</v>
      </c>
      <c r="I810" s="6">
        <v>-100</v>
      </c>
    </row>
    <row r="811" spans="1:9" x14ac:dyDescent="0.25">
      <c r="A811" s="1" t="s">
        <v>86</v>
      </c>
      <c r="B811" s="9">
        <v>27010</v>
      </c>
      <c r="C811" s="9">
        <v>32129</v>
      </c>
      <c r="D811" s="9">
        <v>37914</v>
      </c>
      <c r="E811" s="9">
        <v>44399</v>
      </c>
      <c r="F811" s="9">
        <v>51614</v>
      </c>
      <c r="G811" s="9">
        <v>59582</v>
      </c>
      <c r="H811" s="9">
        <v>68320</v>
      </c>
      <c r="I811" s="6">
        <v>16.726790818000001</v>
      </c>
    </row>
    <row r="812" spans="1:9" x14ac:dyDescent="0.25">
      <c r="A812" s="1" t="s">
        <v>87</v>
      </c>
      <c r="B812" s="9">
        <v>60706</v>
      </c>
      <c r="C812" s="9">
        <v>64227</v>
      </c>
      <c r="D812" s="9">
        <v>68402</v>
      </c>
      <c r="E812" s="9">
        <v>72301</v>
      </c>
      <c r="F812" s="9">
        <v>74831</v>
      </c>
      <c r="G812" s="9">
        <v>78648</v>
      </c>
      <c r="H812" s="9">
        <v>81715</v>
      </c>
      <c r="I812" s="6">
        <v>5.077974963</v>
      </c>
    </row>
    <row r="813" spans="1:9" x14ac:dyDescent="0.25">
      <c r="A813" s="1" t="s">
        <v>88</v>
      </c>
      <c r="B813" s="9">
        <v>0</v>
      </c>
      <c r="C813" s="9">
        <v>0</v>
      </c>
      <c r="D813" s="9">
        <v>0</v>
      </c>
      <c r="E813" s="9">
        <v>0</v>
      </c>
      <c r="F813" s="9">
        <v>0</v>
      </c>
      <c r="G813" s="9">
        <v>0</v>
      </c>
      <c r="H813" s="9">
        <v>0</v>
      </c>
      <c r="I813" s="7" t="s">
        <v>58</v>
      </c>
    </row>
    <row r="814" spans="1:9" x14ac:dyDescent="0.25">
      <c r="A814" s="1" t="s">
        <v>89</v>
      </c>
      <c r="B814" s="9">
        <v>3793</v>
      </c>
      <c r="C814" s="9">
        <v>3866</v>
      </c>
      <c r="D814" s="9">
        <v>3929</v>
      </c>
      <c r="E814" s="9">
        <v>3988</v>
      </c>
      <c r="F814" s="9">
        <v>4043</v>
      </c>
      <c r="G814" s="9">
        <v>4096</v>
      </c>
      <c r="H814" s="9">
        <v>4148</v>
      </c>
      <c r="I814" s="6">
        <v>1.502323576</v>
      </c>
    </row>
    <row r="815" spans="1:9" x14ac:dyDescent="0.25">
      <c r="A815" s="1" t="s">
        <v>90</v>
      </c>
      <c r="B815" s="9">
        <v>70</v>
      </c>
      <c r="C815" s="9">
        <v>68</v>
      </c>
      <c r="D815" s="9">
        <v>67</v>
      </c>
      <c r="E815" s="9">
        <v>66</v>
      </c>
      <c r="F815" s="9">
        <v>65</v>
      </c>
      <c r="G815" s="9">
        <v>64</v>
      </c>
      <c r="H815" s="9">
        <v>63</v>
      </c>
      <c r="I815" s="6">
        <v>-1.740680615</v>
      </c>
    </row>
    <row r="816" spans="1:9" x14ac:dyDescent="0.25">
      <c r="A816" s="1" t="s">
        <v>91</v>
      </c>
      <c r="B816" s="9">
        <v>19288</v>
      </c>
      <c r="C816" s="9">
        <v>19481</v>
      </c>
      <c r="D816" s="9">
        <v>19676</v>
      </c>
      <c r="E816" s="9">
        <v>19873</v>
      </c>
      <c r="F816" s="9">
        <v>20071</v>
      </c>
      <c r="G816" s="9">
        <v>20272</v>
      </c>
      <c r="H816" s="9">
        <v>20475</v>
      </c>
      <c r="I816" s="6">
        <v>1.0003283140000001</v>
      </c>
    </row>
    <row r="817" spans="1:9" x14ac:dyDescent="0.25">
      <c r="A817" s="1" t="s">
        <v>92</v>
      </c>
      <c r="B817" s="9">
        <v>0</v>
      </c>
      <c r="C817" s="9">
        <v>0</v>
      </c>
      <c r="D817" s="9">
        <v>0</v>
      </c>
      <c r="E817" s="9">
        <v>0</v>
      </c>
      <c r="F817" s="9">
        <v>0</v>
      </c>
      <c r="G817" s="9">
        <v>0</v>
      </c>
      <c r="H817" s="9">
        <v>0</v>
      </c>
      <c r="I817" s="7" t="s">
        <v>58</v>
      </c>
    </row>
    <row r="818" spans="1:9" x14ac:dyDescent="0.25">
      <c r="A818" s="1" t="s">
        <v>93</v>
      </c>
      <c r="B818" s="9">
        <v>831436</v>
      </c>
      <c r="C818" s="9">
        <v>895063</v>
      </c>
      <c r="D818" s="9">
        <v>908878</v>
      </c>
      <c r="E818" s="9">
        <v>918698</v>
      </c>
      <c r="F818" s="9">
        <v>925646</v>
      </c>
      <c r="G818" s="9">
        <v>930547</v>
      </c>
      <c r="H818" s="9">
        <v>933995</v>
      </c>
      <c r="I818" s="6">
        <v>1.957525757</v>
      </c>
    </row>
    <row r="819" spans="1:9" x14ac:dyDescent="0.25">
      <c r="A819" s="1" t="s">
        <v>94</v>
      </c>
      <c r="B819" s="9">
        <v>0</v>
      </c>
      <c r="C819" s="9">
        <v>0</v>
      </c>
      <c r="D819" s="9">
        <v>0</v>
      </c>
      <c r="E819" s="9">
        <v>0</v>
      </c>
      <c r="F819" s="9">
        <v>0</v>
      </c>
      <c r="G819" s="9">
        <v>0</v>
      </c>
      <c r="H819" s="9">
        <v>0</v>
      </c>
      <c r="I819" s="7" t="s">
        <v>58</v>
      </c>
    </row>
    <row r="820" spans="1:9" x14ac:dyDescent="0.25">
      <c r="A820" s="1" t="s">
        <v>95</v>
      </c>
      <c r="B820" s="9">
        <v>0</v>
      </c>
      <c r="C820" s="9">
        <v>0</v>
      </c>
      <c r="D820" s="9">
        <v>0</v>
      </c>
      <c r="E820" s="9">
        <v>0</v>
      </c>
      <c r="F820" s="9">
        <v>0</v>
      </c>
      <c r="G820" s="9">
        <v>0</v>
      </c>
      <c r="H820" s="9">
        <v>0</v>
      </c>
      <c r="I820" s="7" t="s">
        <v>58</v>
      </c>
    </row>
    <row r="821" spans="1:9" x14ac:dyDescent="0.25">
      <c r="A821" s="1" t="s">
        <v>96</v>
      </c>
      <c r="B821" s="9">
        <v>0</v>
      </c>
      <c r="C821" s="9">
        <v>0</v>
      </c>
      <c r="D821" s="9">
        <v>0</v>
      </c>
      <c r="E821" s="9">
        <v>0</v>
      </c>
      <c r="F821" s="9">
        <v>0</v>
      </c>
      <c r="G821" s="9">
        <v>0</v>
      </c>
      <c r="H821" s="9">
        <v>0</v>
      </c>
      <c r="I821" s="7" t="s">
        <v>58</v>
      </c>
    </row>
    <row r="822" spans="1:9" x14ac:dyDescent="0.25">
      <c r="A822" s="1" t="s">
        <v>97</v>
      </c>
      <c r="B822" s="9">
        <v>639</v>
      </c>
      <c r="C822" s="9">
        <v>610</v>
      </c>
      <c r="D822" s="9">
        <v>604</v>
      </c>
      <c r="E822" s="9">
        <v>601</v>
      </c>
      <c r="F822" s="9">
        <v>599</v>
      </c>
      <c r="G822" s="9">
        <v>598</v>
      </c>
      <c r="H822" s="9">
        <v>598</v>
      </c>
      <c r="I822" s="6">
        <v>-1.0991431309999999</v>
      </c>
    </row>
    <row r="823" spans="1:9" x14ac:dyDescent="0.25">
      <c r="A823" s="1" t="s">
        <v>98</v>
      </c>
      <c r="B823" s="9">
        <v>0</v>
      </c>
      <c r="C823" s="9">
        <v>0</v>
      </c>
      <c r="D823" s="9">
        <v>0</v>
      </c>
      <c r="E823" s="9">
        <v>0</v>
      </c>
      <c r="F823" s="9">
        <v>0</v>
      </c>
      <c r="G823" s="9">
        <v>0</v>
      </c>
      <c r="H823" s="9">
        <v>0</v>
      </c>
      <c r="I823" s="7" t="s">
        <v>58</v>
      </c>
    </row>
    <row r="824" spans="1:9" x14ac:dyDescent="0.25">
      <c r="A824" s="1" t="s">
        <v>99</v>
      </c>
      <c r="B824" s="9">
        <v>18547</v>
      </c>
      <c r="C824" s="9">
        <v>20031</v>
      </c>
      <c r="D824" s="9">
        <v>21633</v>
      </c>
      <c r="E824" s="9">
        <v>24445</v>
      </c>
      <c r="F824" s="9">
        <v>28845</v>
      </c>
      <c r="G824" s="9">
        <v>31730</v>
      </c>
      <c r="H824" s="9">
        <v>34903</v>
      </c>
      <c r="I824" s="6">
        <v>11.112993359000001</v>
      </c>
    </row>
    <row r="825" spans="1:9" x14ac:dyDescent="0.25">
      <c r="A825" s="1" t="s">
        <v>100</v>
      </c>
      <c r="B825" s="9">
        <v>0</v>
      </c>
      <c r="C825" s="9">
        <v>0</v>
      </c>
      <c r="D825" s="9">
        <v>0</v>
      </c>
      <c r="E825" s="9">
        <v>0</v>
      </c>
      <c r="F825" s="9">
        <v>0</v>
      </c>
      <c r="G825" s="9">
        <v>0</v>
      </c>
      <c r="H825" s="9">
        <v>0</v>
      </c>
      <c r="I825" s="7" t="s">
        <v>58</v>
      </c>
    </row>
    <row r="826" spans="1:9" x14ac:dyDescent="0.25">
      <c r="A826" s="1" t="s">
        <v>101</v>
      </c>
      <c r="B826" s="9">
        <v>0</v>
      </c>
      <c r="C826" s="9">
        <v>0</v>
      </c>
      <c r="D826" s="9">
        <v>0</v>
      </c>
      <c r="E826" s="9">
        <v>0</v>
      </c>
      <c r="F826" s="9">
        <v>0</v>
      </c>
      <c r="G826" s="9">
        <v>0</v>
      </c>
      <c r="H826" s="9">
        <v>0</v>
      </c>
      <c r="I826" s="7" t="s">
        <v>58</v>
      </c>
    </row>
    <row r="827" spans="1:9" x14ac:dyDescent="0.25">
      <c r="A827" s="1" t="s">
        <v>102</v>
      </c>
      <c r="B827" s="9">
        <v>603</v>
      </c>
      <c r="C827" s="9">
        <v>543</v>
      </c>
      <c r="D827" s="9">
        <v>483</v>
      </c>
      <c r="E827" s="9">
        <v>425</v>
      </c>
      <c r="F827" s="9">
        <v>378</v>
      </c>
      <c r="G827" s="9">
        <v>337</v>
      </c>
      <c r="H827" s="9">
        <v>300</v>
      </c>
      <c r="I827" s="6">
        <v>-10.984153986999999</v>
      </c>
    </row>
    <row r="828" spans="1:9" x14ac:dyDescent="0.25">
      <c r="A828" s="1" t="s">
        <v>103</v>
      </c>
      <c r="B828" s="7" t="s">
        <v>58</v>
      </c>
      <c r="C828" s="7" t="s">
        <v>58</v>
      </c>
      <c r="D828" s="7" t="s">
        <v>58</v>
      </c>
      <c r="E828" s="7" t="s">
        <v>58</v>
      </c>
      <c r="F828" s="7" t="s">
        <v>58</v>
      </c>
      <c r="G828" s="7" t="s">
        <v>58</v>
      </c>
      <c r="H828" s="7" t="s">
        <v>58</v>
      </c>
      <c r="I828" s="7" t="s">
        <v>58</v>
      </c>
    </row>
    <row r="829" spans="1:9" x14ac:dyDescent="0.25">
      <c r="A829" s="1" t="s">
        <v>104</v>
      </c>
      <c r="B829" s="9">
        <v>16482</v>
      </c>
      <c r="C829" s="9">
        <v>16690</v>
      </c>
      <c r="D829" s="9">
        <v>16859</v>
      </c>
      <c r="E829" s="9">
        <v>17020</v>
      </c>
      <c r="F829" s="9">
        <v>19034</v>
      </c>
      <c r="G829" s="9">
        <v>20670</v>
      </c>
      <c r="H829" s="9">
        <v>22944</v>
      </c>
      <c r="I829" s="6">
        <v>5.6679310239999996</v>
      </c>
    </row>
    <row r="830" spans="1:9" x14ac:dyDescent="0.25">
      <c r="A830" s="1" t="s">
        <v>105</v>
      </c>
      <c r="B830" s="9">
        <v>0</v>
      </c>
      <c r="C830" s="9">
        <v>0</v>
      </c>
      <c r="D830" s="9">
        <v>0</v>
      </c>
      <c r="E830" s="9">
        <v>0</v>
      </c>
      <c r="F830" s="9">
        <v>0</v>
      </c>
      <c r="G830" s="9">
        <v>0</v>
      </c>
      <c r="H830" s="9">
        <v>0</v>
      </c>
      <c r="I830" s="7" t="s">
        <v>58</v>
      </c>
    </row>
    <row r="831" spans="1:9" x14ac:dyDescent="0.25">
      <c r="A831" s="1" t="s">
        <v>106</v>
      </c>
      <c r="B831" s="9">
        <v>4109</v>
      </c>
      <c r="C831" s="9">
        <v>4060</v>
      </c>
      <c r="D831" s="9">
        <v>4003</v>
      </c>
      <c r="E831" s="9">
        <v>3935</v>
      </c>
      <c r="F831" s="9">
        <v>3860</v>
      </c>
      <c r="G831" s="9">
        <v>3779</v>
      </c>
      <c r="H831" s="9">
        <v>3696</v>
      </c>
      <c r="I831" s="6">
        <v>-1.7499823919999999</v>
      </c>
    </row>
    <row r="832" spans="1:9" ht="30" x14ac:dyDescent="0.25">
      <c r="A832" s="1" t="s">
        <v>107</v>
      </c>
      <c r="B832" s="9">
        <v>0</v>
      </c>
      <c r="C832" s="9">
        <v>0</v>
      </c>
      <c r="D832" s="9">
        <v>0</v>
      </c>
      <c r="E832" s="9">
        <v>0</v>
      </c>
      <c r="F832" s="9">
        <v>0</v>
      </c>
      <c r="G832" s="9">
        <v>0</v>
      </c>
      <c r="H832" s="9">
        <v>0</v>
      </c>
      <c r="I832" s="7" t="s">
        <v>58</v>
      </c>
    </row>
    <row r="833" spans="1:9" x14ac:dyDescent="0.25">
      <c r="A833" s="1" t="s">
        <v>108</v>
      </c>
      <c r="B833" s="9">
        <v>0</v>
      </c>
      <c r="C833" s="9">
        <v>0</v>
      </c>
      <c r="D833" s="9">
        <v>0</v>
      </c>
      <c r="E833" s="9">
        <v>0</v>
      </c>
      <c r="F833" s="9">
        <v>0</v>
      </c>
      <c r="G833" s="9">
        <v>0</v>
      </c>
      <c r="H833" s="9">
        <v>0</v>
      </c>
      <c r="I833" s="7" t="s">
        <v>58</v>
      </c>
    </row>
    <row r="834" spans="1:9" ht="30" x14ac:dyDescent="0.25">
      <c r="A834" s="1" t="s">
        <v>109</v>
      </c>
      <c r="B834" s="9">
        <v>0</v>
      </c>
      <c r="C834" s="9">
        <v>0</v>
      </c>
      <c r="D834" s="9">
        <v>0</v>
      </c>
      <c r="E834" s="9">
        <v>0</v>
      </c>
      <c r="F834" s="9">
        <v>0</v>
      </c>
      <c r="G834" s="9">
        <v>0</v>
      </c>
      <c r="H834" s="9">
        <v>0</v>
      </c>
      <c r="I834" s="7" t="s">
        <v>58</v>
      </c>
    </row>
    <row r="835" spans="1:9" x14ac:dyDescent="0.25">
      <c r="A835" s="1" t="s">
        <v>110</v>
      </c>
      <c r="B835" s="9">
        <v>9977</v>
      </c>
      <c r="C835" s="9">
        <v>10276</v>
      </c>
      <c r="D835" s="9">
        <v>10533</v>
      </c>
      <c r="E835" s="9">
        <v>10776</v>
      </c>
      <c r="F835" s="9">
        <v>10937</v>
      </c>
      <c r="G835" s="9">
        <v>11068</v>
      </c>
      <c r="H835" s="9">
        <v>11201</v>
      </c>
      <c r="I835" s="6">
        <v>1.9473960589999999</v>
      </c>
    </row>
    <row r="836" spans="1:9" x14ac:dyDescent="0.25">
      <c r="A836" s="1" t="s">
        <v>111</v>
      </c>
      <c r="B836" s="9">
        <v>0</v>
      </c>
      <c r="C836" s="9">
        <v>0</v>
      </c>
      <c r="D836" s="9">
        <v>0</v>
      </c>
      <c r="E836" s="9">
        <v>0</v>
      </c>
      <c r="F836" s="9">
        <v>0</v>
      </c>
      <c r="G836" s="9">
        <v>0</v>
      </c>
      <c r="H836" s="9">
        <v>0</v>
      </c>
      <c r="I836" s="7" t="s">
        <v>58</v>
      </c>
    </row>
    <row r="837" spans="1:9" x14ac:dyDescent="0.25">
      <c r="A837" s="1" t="s">
        <v>112</v>
      </c>
      <c r="B837" s="9">
        <v>2150789</v>
      </c>
      <c r="C837" s="9">
        <v>2989914</v>
      </c>
      <c r="D837" s="9">
        <v>4067743</v>
      </c>
      <c r="E837" s="9">
        <v>4815768</v>
      </c>
      <c r="F837" s="9">
        <v>5591848</v>
      </c>
      <c r="G837" s="9">
        <v>6499489</v>
      </c>
      <c r="H837" s="9">
        <v>7306755</v>
      </c>
      <c r="I837" s="6">
        <v>22.608653537999999</v>
      </c>
    </row>
    <row r="838" spans="1:9" x14ac:dyDescent="0.25">
      <c r="A838" s="1" t="s">
        <v>113</v>
      </c>
      <c r="B838" s="9">
        <v>3581</v>
      </c>
      <c r="C838" s="9">
        <v>3599</v>
      </c>
      <c r="D838" s="9">
        <v>3617</v>
      </c>
      <c r="E838" s="9">
        <v>3635</v>
      </c>
      <c r="F838" s="9">
        <v>3653</v>
      </c>
      <c r="G838" s="9">
        <v>3671</v>
      </c>
      <c r="H838" s="9">
        <v>3689</v>
      </c>
      <c r="I838" s="6">
        <v>0.49645037800000003</v>
      </c>
    </row>
    <row r="839" spans="1:9" x14ac:dyDescent="0.25">
      <c r="A839" s="1" t="s">
        <v>114</v>
      </c>
      <c r="B839" s="9">
        <v>0</v>
      </c>
      <c r="C839" s="9">
        <v>0</v>
      </c>
      <c r="D839" s="9">
        <v>0</v>
      </c>
      <c r="E839" s="9">
        <v>0</v>
      </c>
      <c r="F839" s="9">
        <v>0</v>
      </c>
      <c r="G839" s="9">
        <v>0</v>
      </c>
      <c r="H839" s="9">
        <v>0</v>
      </c>
      <c r="I839" s="7" t="s">
        <v>58</v>
      </c>
    </row>
    <row r="840" spans="1:9" ht="30" x14ac:dyDescent="0.25">
      <c r="A840" s="1" t="s">
        <v>115</v>
      </c>
      <c r="B840" s="9">
        <v>129597</v>
      </c>
      <c r="C840" s="9">
        <v>224944</v>
      </c>
      <c r="D840" s="9">
        <v>226071</v>
      </c>
      <c r="E840" s="9">
        <v>226929</v>
      </c>
      <c r="F840" s="9">
        <v>227567</v>
      </c>
      <c r="G840" s="9">
        <v>228190</v>
      </c>
      <c r="H840" s="9">
        <v>228813</v>
      </c>
      <c r="I840" s="6">
        <v>9.9379474739999996</v>
      </c>
    </row>
    <row r="841" spans="1:9" x14ac:dyDescent="0.25">
      <c r="A841" s="1" t="s">
        <v>116</v>
      </c>
      <c r="B841" s="9">
        <v>9425</v>
      </c>
      <c r="C841" s="9">
        <v>9964</v>
      </c>
      <c r="D841" s="9">
        <v>10420</v>
      </c>
      <c r="E841" s="9">
        <v>10801</v>
      </c>
      <c r="F841" s="9">
        <v>10901</v>
      </c>
      <c r="G841" s="9">
        <v>11045</v>
      </c>
      <c r="H841" s="9">
        <v>12370</v>
      </c>
      <c r="I841" s="6">
        <v>4.6360628679999998</v>
      </c>
    </row>
    <row r="842" spans="1:9" x14ac:dyDescent="0.25">
      <c r="A842" s="1" t="s">
        <v>12</v>
      </c>
      <c r="B842" s="2"/>
      <c r="C842" s="2"/>
      <c r="D842" s="2"/>
      <c r="E842" s="2"/>
      <c r="F842" s="2"/>
      <c r="G842" s="2"/>
      <c r="H842" s="2"/>
      <c r="I842" s="2"/>
    </row>
    <row r="843" spans="1:9" ht="75" x14ac:dyDescent="0.25">
      <c r="A843" s="1" t="s">
        <v>145</v>
      </c>
      <c r="B843" s="2"/>
      <c r="C843" s="2"/>
      <c r="D843" s="2"/>
      <c r="E843" s="2"/>
      <c r="F843" s="2"/>
      <c r="G843" s="2"/>
      <c r="H843" s="2"/>
      <c r="I843" s="2"/>
    </row>
    <row r="844" spans="1:9" x14ac:dyDescent="0.25">
      <c r="A844" s="1" t="s">
        <v>14</v>
      </c>
      <c r="B844" s="9">
        <v>599299</v>
      </c>
      <c r="C844" s="9">
        <v>646763</v>
      </c>
      <c r="D844" s="9">
        <v>640943</v>
      </c>
      <c r="E844" s="9">
        <v>634533</v>
      </c>
      <c r="F844" s="9">
        <v>627553</v>
      </c>
      <c r="G844" s="9">
        <v>620023</v>
      </c>
      <c r="H844" s="9">
        <v>611962</v>
      </c>
      <c r="I844" s="6">
        <v>0.34910044499999998</v>
      </c>
    </row>
    <row r="845" spans="1:9" ht="30" x14ac:dyDescent="0.25">
      <c r="A845" s="1" t="s">
        <v>15</v>
      </c>
      <c r="B845" s="9">
        <v>14113196</v>
      </c>
      <c r="C845" s="9">
        <v>23688974</v>
      </c>
      <c r="D845" s="9">
        <v>25968635</v>
      </c>
      <c r="E845" s="9">
        <v>27617102</v>
      </c>
      <c r="F845" s="9">
        <v>30486603</v>
      </c>
      <c r="G845" s="9">
        <v>32885137</v>
      </c>
      <c r="H845" s="9">
        <v>35302235</v>
      </c>
      <c r="I845" s="6">
        <v>16.509893368</v>
      </c>
    </row>
    <row r="846" spans="1:9" x14ac:dyDescent="0.25">
      <c r="A846" s="1" t="s">
        <v>16</v>
      </c>
      <c r="B846" s="9">
        <v>534830</v>
      </c>
      <c r="C846" s="9">
        <v>641797</v>
      </c>
      <c r="D846" s="9">
        <v>664259</v>
      </c>
      <c r="E846" s="9">
        <v>687509</v>
      </c>
      <c r="F846" s="9">
        <v>708134</v>
      </c>
      <c r="G846" s="9">
        <v>729378</v>
      </c>
      <c r="H846" s="9">
        <v>747612</v>
      </c>
      <c r="I846" s="6">
        <v>5.7410009840000003</v>
      </c>
    </row>
    <row r="847" spans="1:9" x14ac:dyDescent="0.25">
      <c r="A847" s="1" t="s">
        <v>17</v>
      </c>
      <c r="B847" s="9">
        <v>16954</v>
      </c>
      <c r="C847" s="9">
        <v>17089</v>
      </c>
      <c r="D847" s="9">
        <v>17175</v>
      </c>
      <c r="E847" s="9">
        <v>17261</v>
      </c>
      <c r="F847" s="9">
        <v>17347</v>
      </c>
      <c r="G847" s="9">
        <v>17434</v>
      </c>
      <c r="H847" s="9">
        <v>17521</v>
      </c>
      <c r="I847" s="6">
        <v>0.54977855499999995</v>
      </c>
    </row>
    <row r="848" spans="1:9" x14ac:dyDescent="0.25">
      <c r="A848" s="1" t="s">
        <v>18</v>
      </c>
      <c r="B848" s="9">
        <v>5306</v>
      </c>
      <c r="C848" s="9">
        <v>5146</v>
      </c>
      <c r="D848" s="9">
        <v>4997</v>
      </c>
      <c r="E848" s="9">
        <v>4858</v>
      </c>
      <c r="F848" s="9">
        <v>4726</v>
      </c>
      <c r="G848" s="9">
        <v>4744</v>
      </c>
      <c r="H848" s="9">
        <v>4761</v>
      </c>
      <c r="I848" s="6">
        <v>-1.7901255220000001</v>
      </c>
    </row>
    <row r="849" spans="1:9" x14ac:dyDescent="0.25">
      <c r="A849" s="1" t="s">
        <v>19</v>
      </c>
      <c r="B849" s="9">
        <v>6594</v>
      </c>
      <c r="C849" s="9">
        <v>6264</v>
      </c>
      <c r="D849" s="9">
        <v>5951</v>
      </c>
      <c r="E849" s="9">
        <v>5654</v>
      </c>
      <c r="F849" s="9">
        <v>5371</v>
      </c>
      <c r="G849" s="9">
        <v>5102</v>
      </c>
      <c r="H849" s="9">
        <v>4847</v>
      </c>
      <c r="I849" s="6">
        <v>-5.0006400040000001</v>
      </c>
    </row>
    <row r="850" spans="1:9" x14ac:dyDescent="0.25">
      <c r="A850" s="1" t="s">
        <v>20</v>
      </c>
      <c r="B850" s="9">
        <v>178</v>
      </c>
      <c r="C850" s="9">
        <v>169</v>
      </c>
      <c r="D850" s="9">
        <v>161</v>
      </c>
      <c r="E850" s="9">
        <v>153</v>
      </c>
      <c r="F850" s="9">
        <v>142</v>
      </c>
      <c r="G850" s="9">
        <v>133</v>
      </c>
      <c r="H850" s="9">
        <v>124</v>
      </c>
      <c r="I850" s="6">
        <v>-5.8471189560000001</v>
      </c>
    </row>
    <row r="851" spans="1:9" x14ac:dyDescent="0.25">
      <c r="A851" s="1" t="s">
        <v>21</v>
      </c>
      <c r="B851" s="9">
        <v>13637</v>
      </c>
      <c r="C851" s="9">
        <v>13842</v>
      </c>
      <c r="D851" s="9">
        <v>14050</v>
      </c>
      <c r="E851" s="9">
        <v>14260</v>
      </c>
      <c r="F851" s="9">
        <v>14474</v>
      </c>
      <c r="G851" s="9">
        <v>14691</v>
      </c>
      <c r="H851" s="9">
        <v>14912</v>
      </c>
      <c r="I851" s="6">
        <v>1.5008102459999999</v>
      </c>
    </row>
    <row r="852" spans="1:9" x14ac:dyDescent="0.25">
      <c r="A852" s="1" t="s">
        <v>22</v>
      </c>
      <c r="B852" s="9">
        <v>173775</v>
      </c>
      <c r="C852" s="9">
        <v>182783</v>
      </c>
      <c r="D852" s="9">
        <v>190363</v>
      </c>
      <c r="E852" s="9">
        <v>196679</v>
      </c>
      <c r="F852" s="9">
        <v>201899</v>
      </c>
      <c r="G852" s="9">
        <v>206186</v>
      </c>
      <c r="H852" s="9">
        <v>210126</v>
      </c>
      <c r="I852" s="6">
        <v>3.2164099230000001</v>
      </c>
    </row>
    <row r="853" spans="1:9" x14ac:dyDescent="0.25">
      <c r="A853" s="1" t="s">
        <v>23</v>
      </c>
      <c r="B853" s="9">
        <v>1133181</v>
      </c>
      <c r="C853" s="9">
        <v>1037351</v>
      </c>
      <c r="D853" s="9">
        <v>968833</v>
      </c>
      <c r="E853" s="9">
        <v>918623</v>
      </c>
      <c r="F853" s="9">
        <v>876710</v>
      </c>
      <c r="G853" s="9">
        <v>843718</v>
      </c>
      <c r="H853" s="9">
        <v>813112</v>
      </c>
      <c r="I853" s="6">
        <v>-5.3816912380000002</v>
      </c>
    </row>
    <row r="854" spans="1:9" x14ac:dyDescent="0.25">
      <c r="A854" s="1" t="s">
        <v>24</v>
      </c>
      <c r="B854" s="9">
        <v>1100</v>
      </c>
      <c r="C854" s="9">
        <v>1052</v>
      </c>
      <c r="D854" s="9">
        <v>1015</v>
      </c>
      <c r="E854" s="9">
        <v>987</v>
      </c>
      <c r="F854" s="9">
        <v>965</v>
      </c>
      <c r="G854" s="9">
        <v>947</v>
      </c>
      <c r="H854" s="9">
        <v>934</v>
      </c>
      <c r="I854" s="6">
        <v>-2.6896506179999999</v>
      </c>
    </row>
    <row r="855" spans="1:9" x14ac:dyDescent="0.25">
      <c r="A855" s="1" t="s">
        <v>25</v>
      </c>
      <c r="B855" s="9">
        <v>189263</v>
      </c>
      <c r="C855" s="9">
        <v>193048</v>
      </c>
      <c r="D855" s="9">
        <v>196909</v>
      </c>
      <c r="E855" s="9">
        <v>201044</v>
      </c>
      <c r="F855" s="9">
        <v>205467</v>
      </c>
      <c r="G855" s="9">
        <v>209782</v>
      </c>
      <c r="H855" s="9">
        <v>214397</v>
      </c>
      <c r="I855" s="6">
        <v>2.0999424719999999</v>
      </c>
    </row>
    <row r="856" spans="1:9" x14ac:dyDescent="0.25">
      <c r="A856" s="1" t="s">
        <v>26</v>
      </c>
      <c r="B856" s="9">
        <v>811776</v>
      </c>
      <c r="C856" s="9">
        <v>819893</v>
      </c>
      <c r="D856" s="9">
        <v>828092</v>
      </c>
      <c r="E856" s="9">
        <v>836373</v>
      </c>
      <c r="F856" s="9">
        <v>844737</v>
      </c>
      <c r="G856" s="9">
        <v>853184</v>
      </c>
      <c r="H856" s="9">
        <v>861716</v>
      </c>
      <c r="I856" s="6">
        <v>0.99998863500000001</v>
      </c>
    </row>
    <row r="857" spans="1:9" x14ac:dyDescent="0.25">
      <c r="A857" s="1" t="s">
        <v>27</v>
      </c>
      <c r="B857" s="9">
        <v>51818</v>
      </c>
      <c r="C857" s="9">
        <v>38835</v>
      </c>
      <c r="D857" s="9">
        <v>30034</v>
      </c>
      <c r="E857" s="9">
        <v>20640</v>
      </c>
      <c r="F857" s="9">
        <v>17403</v>
      </c>
      <c r="G857" s="9">
        <v>14813</v>
      </c>
      <c r="H857" s="9">
        <v>12710</v>
      </c>
      <c r="I857" s="6">
        <v>-20.881602189999999</v>
      </c>
    </row>
    <row r="858" spans="1:9" x14ac:dyDescent="0.25">
      <c r="A858" s="1" t="s">
        <v>28</v>
      </c>
      <c r="B858" s="9">
        <v>0</v>
      </c>
      <c r="C858" s="9">
        <v>0</v>
      </c>
      <c r="D858" s="9">
        <v>0</v>
      </c>
      <c r="E858" s="9">
        <v>0</v>
      </c>
      <c r="F858" s="9">
        <v>0</v>
      </c>
      <c r="G858" s="9">
        <v>0</v>
      </c>
      <c r="H858" s="9">
        <v>0</v>
      </c>
      <c r="I858" s="7" t="s">
        <v>58</v>
      </c>
    </row>
    <row r="859" spans="1:9" x14ac:dyDescent="0.25">
      <c r="A859" s="1" t="s">
        <v>29</v>
      </c>
      <c r="B859" s="9">
        <v>318926</v>
      </c>
      <c r="C859" s="9">
        <v>318406</v>
      </c>
      <c r="D859" s="9">
        <v>320675</v>
      </c>
      <c r="E859" s="9">
        <v>324247</v>
      </c>
      <c r="F859" s="9">
        <v>328274</v>
      </c>
      <c r="G859" s="9">
        <v>332285</v>
      </c>
      <c r="H859" s="9">
        <v>336041</v>
      </c>
      <c r="I859" s="6">
        <v>0.87504088400000002</v>
      </c>
    </row>
    <row r="860" spans="1:9" x14ac:dyDescent="0.25">
      <c r="A860" s="1" t="s">
        <v>30</v>
      </c>
      <c r="B860" s="9">
        <v>32476</v>
      </c>
      <c r="C860" s="9">
        <v>81940</v>
      </c>
      <c r="D860" s="9">
        <v>106900</v>
      </c>
      <c r="E860" s="9">
        <v>113412</v>
      </c>
      <c r="F860" s="9">
        <v>114794</v>
      </c>
      <c r="G860" s="9">
        <v>115074</v>
      </c>
      <c r="H860" s="9">
        <v>115130</v>
      </c>
      <c r="I860" s="6">
        <v>23.482191537999999</v>
      </c>
    </row>
    <row r="861" spans="1:9" x14ac:dyDescent="0.25">
      <c r="A861" s="1" t="s">
        <v>31</v>
      </c>
      <c r="B861" s="9">
        <v>48597</v>
      </c>
      <c r="C861" s="9">
        <v>57243</v>
      </c>
      <c r="D861" s="9">
        <v>49572</v>
      </c>
      <c r="E861" s="9">
        <v>42930</v>
      </c>
      <c r="F861" s="9">
        <v>37177</v>
      </c>
      <c r="G861" s="9">
        <v>32195</v>
      </c>
      <c r="H861" s="9">
        <v>27881</v>
      </c>
      <c r="I861" s="6">
        <v>-8.8444432989999999</v>
      </c>
    </row>
    <row r="862" spans="1:9" x14ac:dyDescent="0.25">
      <c r="A862" s="1" t="s">
        <v>32</v>
      </c>
      <c r="B862" s="9">
        <v>1129322</v>
      </c>
      <c r="C862" s="9">
        <v>1104321</v>
      </c>
      <c r="D862" s="9">
        <v>1067650</v>
      </c>
      <c r="E862" s="9">
        <v>1032196</v>
      </c>
      <c r="F862" s="9">
        <v>997920</v>
      </c>
      <c r="G862" s="9">
        <v>964781</v>
      </c>
      <c r="H862" s="9">
        <v>932744</v>
      </c>
      <c r="I862" s="6">
        <v>-3.13710478</v>
      </c>
    </row>
    <row r="863" spans="1:9" x14ac:dyDescent="0.25">
      <c r="A863" s="1" t="s">
        <v>33</v>
      </c>
      <c r="B863" s="9">
        <v>14826</v>
      </c>
      <c r="C863" s="9">
        <v>14382</v>
      </c>
      <c r="D863" s="9">
        <v>14094</v>
      </c>
      <c r="E863" s="9">
        <v>13953</v>
      </c>
      <c r="F863" s="9">
        <v>14093</v>
      </c>
      <c r="G863" s="9">
        <v>14374</v>
      </c>
      <c r="H863" s="9">
        <v>14806</v>
      </c>
      <c r="I863" s="6">
        <v>-2.2495673000000001E-2</v>
      </c>
    </row>
    <row r="864" spans="1:9" ht="30" x14ac:dyDescent="0.25">
      <c r="A864" s="1" t="s">
        <v>34</v>
      </c>
      <c r="B864" s="9">
        <v>171006</v>
      </c>
      <c r="C864" s="9">
        <v>174591</v>
      </c>
      <c r="D864" s="9">
        <v>178586</v>
      </c>
      <c r="E864" s="9">
        <v>182974</v>
      </c>
      <c r="F864" s="9">
        <v>187738</v>
      </c>
      <c r="G864" s="9">
        <v>192868</v>
      </c>
      <c r="H864" s="9">
        <v>198361</v>
      </c>
      <c r="I864" s="6">
        <v>2.504002426</v>
      </c>
    </row>
    <row r="865" spans="1:9" ht="30" x14ac:dyDescent="0.25">
      <c r="A865" s="1" t="s">
        <v>35</v>
      </c>
      <c r="B865" s="9">
        <v>3162402</v>
      </c>
      <c r="C865" s="9">
        <v>2983096</v>
      </c>
      <c r="D865" s="9">
        <v>2771021</v>
      </c>
      <c r="E865" s="9">
        <v>2581108</v>
      </c>
      <c r="F865" s="9">
        <v>2411118</v>
      </c>
      <c r="G865" s="9">
        <v>2261736</v>
      </c>
      <c r="H865" s="9">
        <v>2132901</v>
      </c>
      <c r="I865" s="6">
        <v>-6.353344774</v>
      </c>
    </row>
    <row r="866" spans="1:9" x14ac:dyDescent="0.25">
      <c r="A866" s="1" t="s">
        <v>36</v>
      </c>
      <c r="B866" s="9">
        <v>65068</v>
      </c>
      <c r="C866" s="9">
        <v>54182</v>
      </c>
      <c r="D866" s="9">
        <v>46023</v>
      </c>
      <c r="E866" s="9">
        <v>39786</v>
      </c>
      <c r="F866" s="9">
        <v>34933</v>
      </c>
      <c r="G866" s="9">
        <v>31098</v>
      </c>
      <c r="H866" s="9">
        <v>28026</v>
      </c>
      <c r="I866" s="6">
        <v>-13.097498748</v>
      </c>
    </row>
    <row r="867" spans="1:9" x14ac:dyDescent="0.25">
      <c r="A867" s="1" t="s">
        <v>37</v>
      </c>
      <c r="B867" s="9">
        <v>6720</v>
      </c>
      <c r="C867" s="9">
        <v>6348</v>
      </c>
      <c r="D867" s="9">
        <v>6032</v>
      </c>
      <c r="E867" s="9">
        <v>5792</v>
      </c>
      <c r="F867" s="9">
        <v>5722</v>
      </c>
      <c r="G867" s="9">
        <v>5680</v>
      </c>
      <c r="H867" s="9">
        <v>5020</v>
      </c>
      <c r="I867" s="6">
        <v>-4.744716478</v>
      </c>
    </row>
    <row r="868" spans="1:9" x14ac:dyDescent="0.25">
      <c r="A868" s="1" t="s">
        <v>38</v>
      </c>
      <c r="B868" s="9">
        <v>0</v>
      </c>
      <c r="C868" s="9">
        <v>0</v>
      </c>
      <c r="D868" s="9">
        <v>0</v>
      </c>
      <c r="E868" s="9">
        <v>0</v>
      </c>
      <c r="F868" s="9">
        <v>0</v>
      </c>
      <c r="G868" s="9">
        <v>0</v>
      </c>
      <c r="H868" s="9">
        <v>0</v>
      </c>
      <c r="I868" s="7" t="s">
        <v>58</v>
      </c>
    </row>
    <row r="869" spans="1:9" x14ac:dyDescent="0.25">
      <c r="A869" s="1" t="s">
        <v>39</v>
      </c>
      <c r="B869" s="9">
        <v>93000</v>
      </c>
      <c r="C869" s="9">
        <v>99000</v>
      </c>
      <c r="D869" s="9">
        <v>104110</v>
      </c>
      <c r="E869" s="9">
        <v>108408</v>
      </c>
      <c r="F869" s="9">
        <v>111989</v>
      </c>
      <c r="G869" s="9">
        <v>114949</v>
      </c>
      <c r="H869" s="9">
        <v>117379</v>
      </c>
      <c r="I869" s="6">
        <v>3.9564026980000002</v>
      </c>
    </row>
    <row r="870" spans="1:9" x14ac:dyDescent="0.25">
      <c r="A870" s="1" t="s">
        <v>40</v>
      </c>
      <c r="B870" s="9">
        <v>39861</v>
      </c>
      <c r="C870" s="9">
        <v>42075</v>
      </c>
      <c r="D870" s="9">
        <v>44066</v>
      </c>
      <c r="E870" s="9">
        <v>45272</v>
      </c>
      <c r="F870" s="9">
        <v>45608</v>
      </c>
      <c r="G870" s="9">
        <v>45946</v>
      </c>
      <c r="H870" s="9">
        <v>46285</v>
      </c>
      <c r="I870" s="6">
        <v>2.521593159</v>
      </c>
    </row>
    <row r="871" spans="1:9" x14ac:dyDescent="0.25">
      <c r="A871" s="1" t="s">
        <v>41</v>
      </c>
      <c r="B871" s="9">
        <v>488914</v>
      </c>
      <c r="C871" s="9">
        <v>513359</v>
      </c>
      <c r="D871" s="9">
        <v>533894</v>
      </c>
      <c r="E871" s="9">
        <v>555249</v>
      </c>
      <c r="F871" s="9">
        <v>577459</v>
      </c>
      <c r="G871" s="9">
        <v>600558</v>
      </c>
      <c r="H871" s="9">
        <v>624580</v>
      </c>
      <c r="I871" s="6">
        <v>4.1659870129999996</v>
      </c>
    </row>
    <row r="872" spans="1:9" x14ac:dyDescent="0.25">
      <c r="A872" s="1" t="s">
        <v>42</v>
      </c>
      <c r="B872" s="9">
        <v>900000</v>
      </c>
      <c r="C872" s="9">
        <v>811702</v>
      </c>
      <c r="D872" s="9">
        <v>817384</v>
      </c>
      <c r="E872" s="9">
        <v>823106</v>
      </c>
      <c r="F872" s="9">
        <v>828868</v>
      </c>
      <c r="G872" s="9">
        <v>834670</v>
      </c>
      <c r="H872" s="9">
        <v>840513</v>
      </c>
      <c r="I872" s="6">
        <v>-1.133235684</v>
      </c>
    </row>
    <row r="873" spans="1:9" x14ac:dyDescent="0.25">
      <c r="A873" s="1" t="s">
        <v>43</v>
      </c>
      <c r="B873" s="9">
        <v>3709</v>
      </c>
      <c r="C873" s="9">
        <v>3820</v>
      </c>
      <c r="D873" s="9">
        <v>3943</v>
      </c>
      <c r="E873" s="9">
        <v>4041</v>
      </c>
      <c r="F873" s="9">
        <v>4122</v>
      </c>
      <c r="G873" s="9">
        <v>4196</v>
      </c>
      <c r="H873" s="9">
        <v>4259</v>
      </c>
      <c r="I873" s="6">
        <v>2.3312944450000002</v>
      </c>
    </row>
    <row r="874" spans="1:9" x14ac:dyDescent="0.25">
      <c r="A874" s="1" t="s">
        <v>44</v>
      </c>
      <c r="B874" s="9">
        <v>65895</v>
      </c>
      <c r="C874" s="9">
        <v>80970</v>
      </c>
      <c r="D874" s="9">
        <v>89791</v>
      </c>
      <c r="E874" s="9">
        <v>97656</v>
      </c>
      <c r="F874" s="9">
        <v>110258</v>
      </c>
      <c r="G874" s="9">
        <v>126855</v>
      </c>
      <c r="H874" s="9">
        <v>136944</v>
      </c>
      <c r="I874" s="6">
        <v>12.966175137</v>
      </c>
    </row>
    <row r="875" spans="1:9" x14ac:dyDescent="0.25">
      <c r="A875" s="1" t="s">
        <v>45</v>
      </c>
      <c r="B875" s="9">
        <v>27176</v>
      </c>
      <c r="C875" s="9">
        <v>27971</v>
      </c>
      <c r="D875" s="9">
        <v>28947</v>
      </c>
      <c r="E875" s="9">
        <v>29522</v>
      </c>
      <c r="F875" s="9">
        <v>29804</v>
      </c>
      <c r="G875" s="9">
        <v>29913</v>
      </c>
      <c r="H875" s="9">
        <v>30005</v>
      </c>
      <c r="I875" s="6">
        <v>1.66419267</v>
      </c>
    </row>
    <row r="876" spans="1:9" x14ac:dyDescent="0.25">
      <c r="A876" s="1" t="s">
        <v>46</v>
      </c>
      <c r="B876" s="9">
        <v>5204</v>
      </c>
      <c r="C876" s="9">
        <v>4907</v>
      </c>
      <c r="D876" s="9">
        <v>4573</v>
      </c>
      <c r="E876" s="9">
        <v>4221</v>
      </c>
      <c r="F876" s="9">
        <v>3875</v>
      </c>
      <c r="G876" s="9">
        <v>3549</v>
      </c>
      <c r="H876" s="9">
        <v>3266</v>
      </c>
      <c r="I876" s="6">
        <v>-7.4705852159999999</v>
      </c>
    </row>
    <row r="877" spans="1:9" x14ac:dyDescent="0.25">
      <c r="A877" s="1" t="s">
        <v>47</v>
      </c>
      <c r="B877" s="9">
        <v>222500</v>
      </c>
      <c r="C877" s="9">
        <v>158000</v>
      </c>
      <c r="D877" s="9">
        <v>115472</v>
      </c>
      <c r="E877" s="9">
        <v>76621</v>
      </c>
      <c r="F877" s="9">
        <v>44396</v>
      </c>
      <c r="G877" s="9">
        <v>21057</v>
      </c>
      <c r="H877" s="9">
        <v>7219</v>
      </c>
      <c r="I877" s="6">
        <v>-43.524792177999998</v>
      </c>
    </row>
    <row r="878" spans="1:9" x14ac:dyDescent="0.25">
      <c r="A878" s="1" t="s">
        <v>48</v>
      </c>
      <c r="B878" s="9">
        <v>5210000</v>
      </c>
      <c r="C878" s="9">
        <v>14770000</v>
      </c>
      <c r="D878" s="9">
        <v>16985500</v>
      </c>
      <c r="E878" s="9">
        <v>18514195</v>
      </c>
      <c r="F878" s="9">
        <v>21291324</v>
      </c>
      <c r="G878" s="9">
        <v>23612079</v>
      </c>
      <c r="H878" s="9">
        <v>25949674</v>
      </c>
      <c r="I878" s="6">
        <v>30.681977349</v>
      </c>
    </row>
    <row r="879" spans="1:9" x14ac:dyDescent="0.25">
      <c r="A879" s="1" t="s">
        <v>49</v>
      </c>
      <c r="B879" s="9">
        <v>62316</v>
      </c>
      <c r="C879" s="9">
        <v>65911</v>
      </c>
      <c r="D879" s="9">
        <v>69760</v>
      </c>
      <c r="E879" s="9">
        <v>73883</v>
      </c>
      <c r="F879" s="9">
        <v>78050</v>
      </c>
      <c r="G879" s="9">
        <v>82593</v>
      </c>
      <c r="H879" s="9">
        <v>87484</v>
      </c>
      <c r="I879" s="6">
        <v>5.8168535940000003</v>
      </c>
    </row>
    <row r="880" spans="1:9" x14ac:dyDescent="0.25">
      <c r="A880" s="1" t="s">
        <v>50</v>
      </c>
      <c r="B880" s="9">
        <v>424237</v>
      </c>
      <c r="C880" s="9">
        <v>521812</v>
      </c>
      <c r="D880" s="9">
        <v>544771</v>
      </c>
      <c r="E880" s="9">
        <v>568741</v>
      </c>
      <c r="F880" s="9">
        <v>593766</v>
      </c>
      <c r="G880" s="9">
        <v>619892</v>
      </c>
      <c r="H880" s="9">
        <v>647167</v>
      </c>
      <c r="I880" s="6">
        <v>7.2921554469999998</v>
      </c>
    </row>
    <row r="881" spans="1:9" x14ac:dyDescent="0.25">
      <c r="A881" s="1" t="s">
        <v>51</v>
      </c>
      <c r="B881" s="9">
        <v>91518</v>
      </c>
      <c r="C881" s="9">
        <v>98107</v>
      </c>
      <c r="D881" s="9">
        <v>103699</v>
      </c>
      <c r="E881" s="9">
        <v>108262</v>
      </c>
      <c r="F881" s="9">
        <v>112051</v>
      </c>
      <c r="G881" s="9">
        <v>114404</v>
      </c>
      <c r="H881" s="9">
        <v>116349</v>
      </c>
      <c r="I881" s="6">
        <v>4.0820943090000004</v>
      </c>
    </row>
    <row r="882" spans="1:9" x14ac:dyDescent="0.25">
      <c r="A882" s="1" t="s">
        <v>52</v>
      </c>
      <c r="B882" s="9">
        <v>0</v>
      </c>
      <c r="C882" s="9">
        <v>0</v>
      </c>
      <c r="D882" s="9">
        <v>0</v>
      </c>
      <c r="E882" s="9">
        <v>0</v>
      </c>
      <c r="F882" s="9">
        <v>0</v>
      </c>
      <c r="G882" s="9">
        <v>0</v>
      </c>
      <c r="H882" s="9">
        <v>0</v>
      </c>
      <c r="I882" s="7" t="s">
        <v>58</v>
      </c>
    </row>
    <row r="883" spans="1:9" x14ac:dyDescent="0.25">
      <c r="A883" s="1" t="s">
        <v>53</v>
      </c>
      <c r="B883" s="9">
        <v>1871120</v>
      </c>
      <c r="C883" s="9">
        <v>2048735</v>
      </c>
      <c r="D883" s="9">
        <v>2216197</v>
      </c>
      <c r="E883" s="9">
        <v>2385018</v>
      </c>
      <c r="F883" s="9">
        <v>2545814</v>
      </c>
      <c r="G883" s="9">
        <v>2703821</v>
      </c>
      <c r="H883" s="9">
        <v>2819241</v>
      </c>
      <c r="I883" s="6">
        <v>7.0709757089999998</v>
      </c>
    </row>
    <row r="884" spans="1:9" x14ac:dyDescent="0.25">
      <c r="A884" s="1" t="s">
        <v>54</v>
      </c>
      <c r="B884" s="9">
        <v>2195</v>
      </c>
      <c r="C884" s="9">
        <v>2039</v>
      </c>
      <c r="D884" s="9">
        <v>1909</v>
      </c>
      <c r="E884" s="9">
        <v>1799</v>
      </c>
      <c r="F884" s="9">
        <v>1706</v>
      </c>
      <c r="G884" s="9">
        <v>1169</v>
      </c>
      <c r="H884" s="9">
        <v>1033</v>
      </c>
      <c r="I884" s="6">
        <v>-11.804931985</v>
      </c>
    </row>
    <row r="885" spans="1:9" x14ac:dyDescent="0.25">
      <c r="A885" s="1" t="s">
        <v>55</v>
      </c>
      <c r="B885" s="9">
        <v>4630000</v>
      </c>
      <c r="C885" s="9">
        <v>4722600</v>
      </c>
      <c r="D885" s="9">
        <v>4798162</v>
      </c>
      <c r="E885" s="9">
        <v>4865336</v>
      </c>
      <c r="F885" s="9">
        <v>4923720</v>
      </c>
      <c r="G885" s="9">
        <v>4972957</v>
      </c>
      <c r="H885" s="9">
        <v>5017714</v>
      </c>
      <c r="I885" s="6">
        <v>1.3493152470000001</v>
      </c>
    </row>
    <row r="886" spans="1:9" x14ac:dyDescent="0.25">
      <c r="A886" s="1" t="s">
        <v>56</v>
      </c>
      <c r="B886" s="9">
        <v>143267</v>
      </c>
      <c r="C886" s="9">
        <v>121777</v>
      </c>
      <c r="D886" s="9">
        <v>109599</v>
      </c>
      <c r="E886" s="9">
        <v>101927</v>
      </c>
      <c r="F886" s="9">
        <v>94792</v>
      </c>
      <c r="G886" s="9">
        <v>88157</v>
      </c>
      <c r="H886" s="9">
        <v>85512</v>
      </c>
      <c r="I886" s="6">
        <v>-8.2413920839999992</v>
      </c>
    </row>
    <row r="887" spans="1:9" x14ac:dyDescent="0.25">
      <c r="A887" s="1" t="s">
        <v>57</v>
      </c>
      <c r="B887" s="7" t="s">
        <v>58</v>
      </c>
      <c r="C887" s="7" t="s">
        <v>58</v>
      </c>
      <c r="D887" s="7" t="s">
        <v>58</v>
      </c>
      <c r="E887" s="7" t="s">
        <v>58</v>
      </c>
      <c r="F887" s="7" t="s">
        <v>58</v>
      </c>
      <c r="G887" s="7" t="s">
        <v>58</v>
      </c>
      <c r="H887" s="7" t="s">
        <v>58</v>
      </c>
      <c r="I887" s="7" t="s">
        <v>58</v>
      </c>
    </row>
    <row r="888" spans="1:9" x14ac:dyDescent="0.25">
      <c r="A888" s="1" t="s">
        <v>59</v>
      </c>
      <c r="B888" s="9">
        <v>163581</v>
      </c>
      <c r="C888" s="9">
        <v>183865</v>
      </c>
      <c r="D888" s="9">
        <v>206664</v>
      </c>
      <c r="E888" s="9">
        <v>232291</v>
      </c>
      <c r="F888" s="9">
        <v>261095</v>
      </c>
      <c r="G888" s="9">
        <v>264332</v>
      </c>
      <c r="H888" s="9">
        <v>267610</v>
      </c>
      <c r="I888" s="6">
        <v>8.5496047750000006</v>
      </c>
    </row>
    <row r="889" spans="1:9" x14ac:dyDescent="0.25">
      <c r="A889" s="1" t="s">
        <v>60</v>
      </c>
      <c r="B889" s="9">
        <v>293</v>
      </c>
      <c r="C889" s="9">
        <v>296</v>
      </c>
      <c r="D889" s="9">
        <v>299</v>
      </c>
      <c r="E889" s="9">
        <v>302</v>
      </c>
      <c r="F889" s="9">
        <v>305</v>
      </c>
      <c r="G889" s="9">
        <v>308</v>
      </c>
      <c r="H889" s="9">
        <v>311</v>
      </c>
      <c r="I889" s="6">
        <v>0.99862503000000002</v>
      </c>
    </row>
    <row r="890" spans="1:9" ht="45" x14ac:dyDescent="0.25">
      <c r="A890" s="1" t="s">
        <v>61</v>
      </c>
      <c r="B890" s="9">
        <v>3746591</v>
      </c>
      <c r="C890" s="9">
        <v>3688304</v>
      </c>
      <c r="D890" s="9">
        <v>3607576</v>
      </c>
      <c r="E890" s="9">
        <v>3541323</v>
      </c>
      <c r="F890" s="9">
        <v>3498540</v>
      </c>
      <c r="G890" s="9">
        <v>3471504</v>
      </c>
      <c r="H890" s="9">
        <v>3458307</v>
      </c>
      <c r="I890" s="6">
        <v>-1.3255889279999999</v>
      </c>
    </row>
    <row r="891" spans="1:9" x14ac:dyDescent="0.25">
      <c r="A891" s="1" t="s">
        <v>62</v>
      </c>
      <c r="B891" s="9">
        <v>6793</v>
      </c>
      <c r="C891" s="9">
        <v>6309</v>
      </c>
      <c r="D891" s="9">
        <v>6098</v>
      </c>
      <c r="E891" s="9">
        <v>5914</v>
      </c>
      <c r="F891" s="9">
        <v>5753</v>
      </c>
      <c r="G891" s="9">
        <v>5613</v>
      </c>
      <c r="H891" s="9">
        <v>5490</v>
      </c>
      <c r="I891" s="6">
        <v>-3.4871541719999999</v>
      </c>
    </row>
    <row r="892" spans="1:9" x14ac:dyDescent="0.25">
      <c r="A892" s="1" t="s">
        <v>63</v>
      </c>
      <c r="B892" s="9">
        <v>68154</v>
      </c>
      <c r="C892" s="9">
        <v>65986</v>
      </c>
      <c r="D892" s="9">
        <v>64096</v>
      </c>
      <c r="E892" s="9">
        <v>62444</v>
      </c>
      <c r="F892" s="9">
        <v>61820</v>
      </c>
      <c r="G892" s="9">
        <v>61202</v>
      </c>
      <c r="H892" s="9">
        <v>60590</v>
      </c>
      <c r="I892" s="6">
        <v>-1.9415704009999999</v>
      </c>
    </row>
    <row r="893" spans="1:9" x14ac:dyDescent="0.25">
      <c r="A893" s="1" t="s">
        <v>64</v>
      </c>
      <c r="B893" s="9">
        <v>27676</v>
      </c>
      <c r="C893" s="9">
        <v>23930</v>
      </c>
      <c r="D893" s="9">
        <v>21339</v>
      </c>
      <c r="E893" s="9">
        <v>19490</v>
      </c>
      <c r="F893" s="9">
        <v>18140</v>
      </c>
      <c r="G893" s="9">
        <v>17134</v>
      </c>
      <c r="H893" s="9">
        <v>16374</v>
      </c>
      <c r="I893" s="6">
        <v>-8.3761414270000003</v>
      </c>
    </row>
    <row r="894" spans="1:9" x14ac:dyDescent="0.25">
      <c r="A894" s="1" t="s">
        <v>65</v>
      </c>
      <c r="B894" s="9">
        <v>25637</v>
      </c>
      <c r="C894" s="9">
        <v>25637</v>
      </c>
      <c r="D894" s="9">
        <v>25094</v>
      </c>
      <c r="E894" s="9">
        <v>24311</v>
      </c>
      <c r="F894" s="9">
        <v>23747</v>
      </c>
      <c r="G894" s="9">
        <v>23193</v>
      </c>
      <c r="H894" s="9">
        <v>22639</v>
      </c>
      <c r="I894" s="6">
        <v>-2.0513759949999999</v>
      </c>
    </row>
    <row r="895" spans="1:9" x14ac:dyDescent="0.25">
      <c r="A895" s="1" t="s">
        <v>66</v>
      </c>
      <c r="B895" s="9">
        <v>741865</v>
      </c>
      <c r="C895" s="9">
        <v>675143</v>
      </c>
      <c r="D895" s="9">
        <v>627827</v>
      </c>
      <c r="E895" s="9">
        <v>593375</v>
      </c>
      <c r="F895" s="9">
        <v>567775</v>
      </c>
      <c r="G895" s="9">
        <v>548454</v>
      </c>
      <c r="H895" s="9">
        <v>533692</v>
      </c>
      <c r="I895" s="6">
        <v>-5.3412056979999996</v>
      </c>
    </row>
    <row r="896" spans="1:9" ht="30" x14ac:dyDescent="0.25">
      <c r="A896" s="1" t="s">
        <v>67</v>
      </c>
      <c r="B896" s="9">
        <v>1498041</v>
      </c>
      <c r="C896" s="9">
        <v>1675488</v>
      </c>
      <c r="D896" s="9">
        <v>1812996</v>
      </c>
      <c r="E896" s="9">
        <v>1925239</v>
      </c>
      <c r="F896" s="9">
        <v>2055670</v>
      </c>
      <c r="G896" s="9">
        <v>2176325</v>
      </c>
      <c r="H896" s="9">
        <v>2318354</v>
      </c>
      <c r="I896" s="6">
        <v>7.5497343199999998</v>
      </c>
    </row>
    <row r="897" spans="1:9" x14ac:dyDescent="0.25">
      <c r="A897" s="1" t="s">
        <v>68</v>
      </c>
      <c r="B897" s="7" t="s">
        <v>58</v>
      </c>
      <c r="C897" s="7" t="s">
        <v>58</v>
      </c>
      <c r="D897" s="7" t="s">
        <v>58</v>
      </c>
      <c r="E897" s="7" t="s">
        <v>58</v>
      </c>
      <c r="F897" s="7" t="s">
        <v>58</v>
      </c>
      <c r="G897" s="7" t="s">
        <v>58</v>
      </c>
      <c r="H897" s="7" t="s">
        <v>58</v>
      </c>
      <c r="I897" s="7" t="s">
        <v>58</v>
      </c>
    </row>
    <row r="898" spans="1:9" x14ac:dyDescent="0.25">
      <c r="A898" s="1" t="s">
        <v>69</v>
      </c>
      <c r="B898" s="9">
        <v>69588</v>
      </c>
      <c r="C898" s="9">
        <v>69428</v>
      </c>
      <c r="D898" s="9">
        <v>69275</v>
      </c>
      <c r="E898" s="9">
        <v>69136</v>
      </c>
      <c r="F898" s="9">
        <v>68984</v>
      </c>
      <c r="G898" s="9">
        <v>68818</v>
      </c>
      <c r="H898" s="9">
        <v>68646</v>
      </c>
      <c r="I898" s="6">
        <v>-0.22689677799999999</v>
      </c>
    </row>
    <row r="899" spans="1:9" x14ac:dyDescent="0.25">
      <c r="A899" s="1" t="s">
        <v>70</v>
      </c>
      <c r="B899" s="9">
        <v>6518</v>
      </c>
      <c r="C899" s="9">
        <v>11407</v>
      </c>
      <c r="D899" s="9">
        <v>19962</v>
      </c>
      <c r="E899" s="9">
        <v>30942</v>
      </c>
      <c r="F899" s="9">
        <v>47959</v>
      </c>
      <c r="G899" s="9">
        <v>59949</v>
      </c>
      <c r="H899" s="9">
        <v>68942</v>
      </c>
      <c r="I899" s="6">
        <v>48.159073546999998</v>
      </c>
    </row>
    <row r="900" spans="1:9" x14ac:dyDescent="0.25">
      <c r="A900" s="1" t="s">
        <v>71</v>
      </c>
      <c r="B900" s="9">
        <v>282295</v>
      </c>
      <c r="C900" s="9">
        <v>288223</v>
      </c>
      <c r="D900" s="9">
        <v>293123</v>
      </c>
      <c r="E900" s="9">
        <v>299572</v>
      </c>
      <c r="F900" s="9">
        <v>304964</v>
      </c>
      <c r="G900" s="9">
        <v>308624</v>
      </c>
      <c r="H900" s="9">
        <v>311710</v>
      </c>
      <c r="I900" s="6">
        <v>1.665731901</v>
      </c>
    </row>
    <row r="901" spans="1:9" x14ac:dyDescent="0.25">
      <c r="A901" s="1" t="s">
        <v>72</v>
      </c>
      <c r="B901" s="9">
        <v>66167</v>
      </c>
      <c r="C901" s="9">
        <v>69178</v>
      </c>
      <c r="D901" s="9">
        <v>72685</v>
      </c>
      <c r="E901" s="9">
        <v>75954</v>
      </c>
      <c r="F901" s="9">
        <v>78764</v>
      </c>
      <c r="G901" s="9">
        <v>81673</v>
      </c>
      <c r="H901" s="9">
        <v>84156</v>
      </c>
      <c r="I901" s="6">
        <v>4.0895841419999996</v>
      </c>
    </row>
    <row r="902" spans="1:9" x14ac:dyDescent="0.25">
      <c r="A902" s="1" t="s">
        <v>73</v>
      </c>
      <c r="B902" s="7" t="s">
        <v>58</v>
      </c>
      <c r="C902" s="7" t="s">
        <v>58</v>
      </c>
      <c r="D902" s="7" t="s">
        <v>58</v>
      </c>
      <c r="E902" s="7" t="s">
        <v>58</v>
      </c>
      <c r="F902" s="7" t="s">
        <v>58</v>
      </c>
      <c r="G902" s="7" t="s">
        <v>58</v>
      </c>
      <c r="H902" s="7" t="s">
        <v>58</v>
      </c>
      <c r="I902" s="7" t="s">
        <v>58</v>
      </c>
    </row>
    <row r="903" spans="1:9" ht="30" x14ac:dyDescent="0.25">
      <c r="A903" s="1" t="s">
        <v>74</v>
      </c>
      <c r="B903" s="9">
        <v>12401371</v>
      </c>
      <c r="C903" s="9">
        <v>15734506</v>
      </c>
      <c r="D903" s="9">
        <v>18761550</v>
      </c>
      <c r="E903" s="9">
        <v>21397841</v>
      </c>
      <c r="F903" s="9">
        <v>23892919</v>
      </c>
      <c r="G903" s="9">
        <v>26551908</v>
      </c>
      <c r="H903" s="9">
        <v>27716882</v>
      </c>
      <c r="I903" s="6">
        <v>14.343753766000001</v>
      </c>
    </row>
    <row r="904" spans="1:9" x14ac:dyDescent="0.25">
      <c r="A904" s="1" t="s">
        <v>75</v>
      </c>
      <c r="B904" s="9">
        <v>228898</v>
      </c>
      <c r="C904" s="9">
        <v>240312</v>
      </c>
      <c r="D904" s="9">
        <v>246299</v>
      </c>
      <c r="E904" s="9">
        <v>251489</v>
      </c>
      <c r="F904" s="9">
        <v>256024</v>
      </c>
      <c r="G904" s="9">
        <v>259914</v>
      </c>
      <c r="H904" s="9">
        <v>263207</v>
      </c>
      <c r="I904" s="6">
        <v>2.3550416909999998</v>
      </c>
    </row>
    <row r="905" spans="1:9" x14ac:dyDescent="0.25">
      <c r="A905" s="1" t="s">
        <v>76</v>
      </c>
      <c r="B905" s="9">
        <v>223077</v>
      </c>
      <c r="C905" s="9">
        <v>224996</v>
      </c>
      <c r="D905" s="9">
        <v>226931</v>
      </c>
      <c r="E905" s="9">
        <v>228882</v>
      </c>
      <c r="F905" s="9">
        <v>230851</v>
      </c>
      <c r="G905" s="9">
        <v>232836</v>
      </c>
      <c r="H905" s="9">
        <v>234839</v>
      </c>
      <c r="I905" s="6">
        <v>0.86006363699999999</v>
      </c>
    </row>
    <row r="906" spans="1:9" ht="45" x14ac:dyDescent="0.25">
      <c r="A906" s="1" t="s">
        <v>77</v>
      </c>
      <c r="B906" s="9">
        <v>1471826</v>
      </c>
      <c r="C906" s="9">
        <v>1532020</v>
      </c>
      <c r="D906" s="9">
        <v>1582411</v>
      </c>
      <c r="E906" s="9">
        <v>1619416</v>
      </c>
      <c r="F906" s="9">
        <v>1658368</v>
      </c>
      <c r="G906" s="9">
        <v>1676501</v>
      </c>
      <c r="H906" s="9">
        <v>1691850</v>
      </c>
      <c r="I906" s="6">
        <v>2.349147791</v>
      </c>
    </row>
    <row r="907" spans="1:9" ht="45" x14ac:dyDescent="0.25">
      <c r="A907" s="1" t="s">
        <v>78</v>
      </c>
      <c r="B907" s="9">
        <v>400324</v>
      </c>
      <c r="C907" s="9">
        <v>376600</v>
      </c>
      <c r="D907" s="9">
        <v>354491</v>
      </c>
      <c r="E907" s="9">
        <v>333874</v>
      </c>
      <c r="F907" s="9">
        <v>314637</v>
      </c>
      <c r="G907" s="9">
        <v>296674</v>
      </c>
      <c r="H907" s="9">
        <v>279892</v>
      </c>
      <c r="I907" s="6">
        <v>-5.7901144210000002</v>
      </c>
    </row>
    <row r="908" spans="1:9" ht="60" x14ac:dyDescent="0.25">
      <c r="A908" s="1" t="s">
        <v>79</v>
      </c>
      <c r="B908" s="7" t="s">
        <v>58</v>
      </c>
      <c r="C908" s="7" t="s">
        <v>58</v>
      </c>
      <c r="D908" s="7" t="s">
        <v>58</v>
      </c>
      <c r="E908" s="7" t="s">
        <v>58</v>
      </c>
      <c r="F908" s="7" t="s">
        <v>58</v>
      </c>
      <c r="G908" s="7" t="s">
        <v>58</v>
      </c>
      <c r="H908" s="7" t="s">
        <v>58</v>
      </c>
      <c r="I908" s="7" t="s">
        <v>58</v>
      </c>
    </row>
    <row r="909" spans="1:9" ht="45" x14ac:dyDescent="0.25">
      <c r="A909" s="1" t="s">
        <v>80</v>
      </c>
      <c r="B909" s="7" t="s">
        <v>58</v>
      </c>
      <c r="C909" s="7" t="s">
        <v>58</v>
      </c>
      <c r="D909" s="7" t="s">
        <v>58</v>
      </c>
      <c r="E909" s="7" t="s">
        <v>58</v>
      </c>
      <c r="F909" s="7" t="s">
        <v>58</v>
      </c>
      <c r="G909" s="7" t="s">
        <v>58</v>
      </c>
      <c r="H909" s="7" t="s">
        <v>58</v>
      </c>
      <c r="I909" s="7" t="s">
        <v>58</v>
      </c>
    </row>
    <row r="910" spans="1:9" ht="45" x14ac:dyDescent="0.25">
      <c r="A910" s="1" t="s">
        <v>81</v>
      </c>
      <c r="B910" s="9">
        <v>18729</v>
      </c>
      <c r="C910" s="9">
        <v>18356</v>
      </c>
      <c r="D910" s="9">
        <v>17991</v>
      </c>
      <c r="E910" s="9">
        <v>17634</v>
      </c>
      <c r="F910" s="9">
        <v>17283</v>
      </c>
      <c r="G910" s="9">
        <v>16940</v>
      </c>
      <c r="H910" s="9">
        <v>16603</v>
      </c>
      <c r="I910" s="6">
        <v>-1.9881327710000001</v>
      </c>
    </row>
    <row r="911" spans="1:9" x14ac:dyDescent="0.25">
      <c r="A911" s="1" t="s">
        <v>82</v>
      </c>
      <c r="B911" s="9">
        <v>723687</v>
      </c>
      <c r="C911" s="9">
        <v>743227</v>
      </c>
      <c r="D911" s="9">
        <v>773699</v>
      </c>
      <c r="E911" s="9">
        <v>809289</v>
      </c>
      <c r="F911" s="9">
        <v>833568</v>
      </c>
      <c r="G911" s="9">
        <v>862743</v>
      </c>
      <c r="H911" s="9">
        <v>897253</v>
      </c>
      <c r="I911" s="6">
        <v>3.647943911</v>
      </c>
    </row>
    <row r="912" spans="1:9" x14ac:dyDescent="0.25">
      <c r="A912" s="1" t="s">
        <v>83</v>
      </c>
      <c r="B912" s="9">
        <v>14881</v>
      </c>
      <c r="C912" s="9">
        <v>15015</v>
      </c>
      <c r="D912" s="9">
        <v>15097</v>
      </c>
      <c r="E912" s="9">
        <v>15171</v>
      </c>
      <c r="F912" s="9">
        <v>15195</v>
      </c>
      <c r="G912" s="9">
        <v>15203</v>
      </c>
      <c r="H912" s="9">
        <v>15422</v>
      </c>
      <c r="I912" s="6">
        <v>0.59693845199999995</v>
      </c>
    </row>
    <row r="913" spans="1:9" x14ac:dyDescent="0.25">
      <c r="A913" s="1" t="s">
        <v>84</v>
      </c>
      <c r="B913" s="9">
        <v>12169</v>
      </c>
      <c r="C913" s="9">
        <v>12047</v>
      </c>
      <c r="D913" s="9">
        <v>11927</v>
      </c>
      <c r="E913" s="9">
        <v>11807</v>
      </c>
      <c r="F913" s="9">
        <v>11689</v>
      </c>
      <c r="G913" s="9">
        <v>11572</v>
      </c>
      <c r="H913" s="9">
        <v>11457</v>
      </c>
      <c r="I913" s="6">
        <v>-0.99981556800000004</v>
      </c>
    </row>
    <row r="914" spans="1:9" x14ac:dyDescent="0.25">
      <c r="A914" s="1" t="s">
        <v>85</v>
      </c>
      <c r="B914" s="9">
        <v>21738</v>
      </c>
      <c r="C914" s="9">
        <v>20942</v>
      </c>
      <c r="D914" s="9">
        <v>19703</v>
      </c>
      <c r="E914" s="9">
        <v>18021</v>
      </c>
      <c r="F914" s="9">
        <v>15806</v>
      </c>
      <c r="G914" s="9">
        <v>10411</v>
      </c>
      <c r="H914" s="9">
        <v>17842</v>
      </c>
      <c r="I914" s="6">
        <v>-3.238188171</v>
      </c>
    </row>
    <row r="915" spans="1:9" x14ac:dyDescent="0.25">
      <c r="A915" s="1" t="s">
        <v>86</v>
      </c>
      <c r="B915" s="9">
        <v>73465</v>
      </c>
      <c r="C915" s="9">
        <v>61208</v>
      </c>
      <c r="D915" s="9">
        <v>54927</v>
      </c>
      <c r="E915" s="9">
        <v>51298</v>
      </c>
      <c r="F915" s="9">
        <v>49023</v>
      </c>
      <c r="G915" s="9">
        <v>47512</v>
      </c>
      <c r="H915" s="9">
        <v>46464</v>
      </c>
      <c r="I915" s="6">
        <v>-7.3512952929999997</v>
      </c>
    </row>
    <row r="916" spans="1:9" x14ac:dyDescent="0.25">
      <c r="A916" s="1" t="s">
        <v>87</v>
      </c>
      <c r="B916" s="9">
        <v>903322</v>
      </c>
      <c r="C916" s="9">
        <v>627138</v>
      </c>
      <c r="D916" s="9">
        <v>500988</v>
      </c>
      <c r="E916" s="9">
        <v>444436</v>
      </c>
      <c r="F916" s="9">
        <v>381753</v>
      </c>
      <c r="G916" s="9">
        <v>330357</v>
      </c>
      <c r="H916" s="9">
        <v>285505</v>
      </c>
      <c r="I916" s="6">
        <v>-17.466830822999999</v>
      </c>
    </row>
    <row r="917" spans="1:9" x14ac:dyDescent="0.25">
      <c r="A917" s="1" t="s">
        <v>88</v>
      </c>
      <c r="B917" s="9">
        <v>509600</v>
      </c>
      <c r="C917" s="9">
        <v>450741</v>
      </c>
      <c r="D917" s="9">
        <v>393474</v>
      </c>
      <c r="E917" s="9">
        <v>338483</v>
      </c>
      <c r="F917" s="9">
        <v>286448</v>
      </c>
      <c r="G917" s="9">
        <v>238008</v>
      </c>
      <c r="H917" s="9">
        <v>193735</v>
      </c>
      <c r="I917" s="6">
        <v>-14.886892966</v>
      </c>
    </row>
    <row r="918" spans="1:9" x14ac:dyDescent="0.25">
      <c r="A918" s="1" t="s">
        <v>89</v>
      </c>
      <c r="B918" s="9">
        <v>249054</v>
      </c>
      <c r="C918" s="9">
        <v>253848</v>
      </c>
      <c r="D918" s="9">
        <v>258002</v>
      </c>
      <c r="E918" s="9">
        <v>261870</v>
      </c>
      <c r="F918" s="9">
        <v>265461</v>
      </c>
      <c r="G918" s="9">
        <v>268987</v>
      </c>
      <c r="H918" s="9">
        <v>272378</v>
      </c>
      <c r="I918" s="6">
        <v>1.503203933</v>
      </c>
    </row>
    <row r="919" spans="1:9" x14ac:dyDescent="0.25">
      <c r="A919" s="1" t="s">
        <v>90</v>
      </c>
      <c r="B919" s="9">
        <v>29681</v>
      </c>
      <c r="C919" s="9">
        <v>32310</v>
      </c>
      <c r="D919" s="9">
        <v>34886</v>
      </c>
      <c r="E919" s="9">
        <v>37389</v>
      </c>
      <c r="F919" s="9">
        <v>39803</v>
      </c>
      <c r="G919" s="9">
        <v>42116</v>
      </c>
      <c r="H919" s="9">
        <v>44319</v>
      </c>
      <c r="I919" s="6">
        <v>6.9100593410000002</v>
      </c>
    </row>
    <row r="920" spans="1:9" x14ac:dyDescent="0.25">
      <c r="A920" s="1" t="s">
        <v>91</v>
      </c>
      <c r="B920" s="9">
        <v>0</v>
      </c>
      <c r="C920" s="9">
        <v>0</v>
      </c>
      <c r="D920" s="9">
        <v>0</v>
      </c>
      <c r="E920" s="9">
        <v>0</v>
      </c>
      <c r="F920" s="9">
        <v>0</v>
      </c>
      <c r="G920" s="9">
        <v>0</v>
      </c>
      <c r="H920" s="9">
        <v>0</v>
      </c>
      <c r="I920" s="7" t="s">
        <v>58</v>
      </c>
    </row>
    <row r="921" spans="1:9" x14ac:dyDescent="0.25">
      <c r="A921" s="1" t="s">
        <v>92</v>
      </c>
      <c r="B921" s="9">
        <v>27228</v>
      </c>
      <c r="C921" s="9">
        <v>42108</v>
      </c>
      <c r="D921" s="9">
        <v>30602</v>
      </c>
      <c r="E921" s="9">
        <v>26421</v>
      </c>
      <c r="F921" s="9">
        <v>24616</v>
      </c>
      <c r="G921" s="9">
        <v>23775</v>
      </c>
      <c r="H921" s="9">
        <v>23369</v>
      </c>
      <c r="I921" s="6">
        <v>-2.5150893939999999</v>
      </c>
    </row>
    <row r="922" spans="1:9" x14ac:dyDescent="0.25">
      <c r="A922" s="1" t="s">
        <v>93</v>
      </c>
      <c r="B922" s="9">
        <v>373560</v>
      </c>
      <c r="C922" s="9">
        <v>368556</v>
      </c>
      <c r="D922" s="9">
        <v>366787</v>
      </c>
      <c r="E922" s="9">
        <v>365554</v>
      </c>
      <c r="F922" s="9">
        <v>364693</v>
      </c>
      <c r="G922" s="9">
        <v>364093</v>
      </c>
      <c r="H922" s="9">
        <v>363673</v>
      </c>
      <c r="I922" s="6">
        <v>-0.44606087999999999</v>
      </c>
    </row>
    <row r="923" spans="1:9" x14ac:dyDescent="0.25">
      <c r="A923" s="1" t="s">
        <v>94</v>
      </c>
      <c r="B923" s="9">
        <v>31273</v>
      </c>
      <c r="C923" s="9">
        <v>26396</v>
      </c>
      <c r="D923" s="9">
        <v>22773</v>
      </c>
      <c r="E923" s="9">
        <v>20273</v>
      </c>
      <c r="F923" s="9">
        <v>18492</v>
      </c>
      <c r="G923" s="9">
        <v>17192</v>
      </c>
      <c r="H923" s="9">
        <v>16226</v>
      </c>
      <c r="I923" s="6">
        <v>-10.358939092</v>
      </c>
    </row>
    <row r="924" spans="1:9" x14ac:dyDescent="0.25">
      <c r="A924" s="1" t="s">
        <v>95</v>
      </c>
      <c r="B924" s="9">
        <v>85800</v>
      </c>
      <c r="C924" s="9">
        <v>93240</v>
      </c>
      <c r="D924" s="9">
        <v>89379</v>
      </c>
      <c r="E924" s="9">
        <v>86233</v>
      </c>
      <c r="F924" s="9">
        <v>83653</v>
      </c>
      <c r="G924" s="9">
        <v>81526</v>
      </c>
      <c r="H924" s="9">
        <v>79763</v>
      </c>
      <c r="I924" s="6">
        <v>-1.208624556</v>
      </c>
    </row>
    <row r="925" spans="1:9" x14ac:dyDescent="0.25">
      <c r="A925" s="1" t="s">
        <v>96</v>
      </c>
      <c r="B925" s="9">
        <v>0</v>
      </c>
      <c r="C925" s="9">
        <v>0</v>
      </c>
      <c r="D925" s="9">
        <v>0</v>
      </c>
      <c r="E925" s="9">
        <v>0</v>
      </c>
      <c r="F925" s="9">
        <v>0</v>
      </c>
      <c r="G925" s="9">
        <v>0</v>
      </c>
      <c r="H925" s="9">
        <v>0</v>
      </c>
      <c r="I925" s="7" t="s">
        <v>58</v>
      </c>
    </row>
    <row r="926" spans="1:9" x14ac:dyDescent="0.25">
      <c r="A926" s="1" t="s">
        <v>97</v>
      </c>
      <c r="B926" s="9">
        <v>216786</v>
      </c>
      <c r="C926" s="9">
        <v>179835</v>
      </c>
      <c r="D926" s="9">
        <v>147650</v>
      </c>
      <c r="E926" s="9">
        <v>119903</v>
      </c>
      <c r="F926" s="9">
        <v>96244</v>
      </c>
      <c r="G926" s="9">
        <v>76304</v>
      </c>
      <c r="H926" s="9">
        <v>59705</v>
      </c>
      <c r="I926" s="6">
        <v>-19.339066269</v>
      </c>
    </row>
    <row r="927" spans="1:9" x14ac:dyDescent="0.25">
      <c r="A927" s="1" t="s">
        <v>98</v>
      </c>
      <c r="B927" s="9">
        <v>0</v>
      </c>
      <c r="C927" s="9">
        <v>0</v>
      </c>
      <c r="D927" s="9">
        <v>0</v>
      </c>
      <c r="E927" s="9">
        <v>0</v>
      </c>
      <c r="F927" s="9">
        <v>0</v>
      </c>
      <c r="G927" s="9">
        <v>0</v>
      </c>
      <c r="H927" s="9">
        <v>0</v>
      </c>
      <c r="I927" s="7" t="s">
        <v>58</v>
      </c>
    </row>
    <row r="928" spans="1:9" x14ac:dyDescent="0.25">
      <c r="A928" s="1" t="s">
        <v>99</v>
      </c>
      <c r="B928" s="9">
        <v>287240</v>
      </c>
      <c r="C928" s="9">
        <v>333198</v>
      </c>
      <c r="D928" s="9">
        <v>386510</v>
      </c>
      <c r="E928" s="9">
        <v>414184</v>
      </c>
      <c r="F928" s="9">
        <v>443840</v>
      </c>
      <c r="G928" s="9">
        <v>475619</v>
      </c>
      <c r="H928" s="9">
        <v>509673</v>
      </c>
      <c r="I928" s="6">
        <v>10.029156824999999</v>
      </c>
    </row>
    <row r="929" spans="1:9" x14ac:dyDescent="0.25">
      <c r="A929" s="1" t="s">
        <v>100</v>
      </c>
      <c r="B929" s="9">
        <v>0</v>
      </c>
      <c r="C929" s="9">
        <v>0</v>
      </c>
      <c r="D929" s="9">
        <v>0</v>
      </c>
      <c r="E929" s="9">
        <v>0</v>
      </c>
      <c r="F929" s="9">
        <v>0</v>
      </c>
      <c r="G929" s="9">
        <v>0</v>
      </c>
      <c r="H929" s="9">
        <v>0</v>
      </c>
      <c r="I929" s="7" t="s">
        <v>58</v>
      </c>
    </row>
    <row r="930" spans="1:9" x14ac:dyDescent="0.25">
      <c r="A930" s="1" t="s">
        <v>101</v>
      </c>
      <c r="B930" s="9">
        <v>446246</v>
      </c>
      <c r="C930" s="9">
        <v>470032</v>
      </c>
      <c r="D930" s="9">
        <v>493606</v>
      </c>
      <c r="E930" s="9">
        <v>517641</v>
      </c>
      <c r="F930" s="9">
        <v>542010</v>
      </c>
      <c r="G930" s="9">
        <v>566673</v>
      </c>
      <c r="H930" s="9">
        <v>591685</v>
      </c>
      <c r="I930" s="6">
        <v>4.8140181789999996</v>
      </c>
    </row>
    <row r="931" spans="1:9" x14ac:dyDescent="0.25">
      <c r="A931" s="1" t="s">
        <v>102</v>
      </c>
      <c r="B931" s="9">
        <v>6364</v>
      </c>
      <c r="C931" s="9">
        <v>6428</v>
      </c>
      <c r="D931" s="9">
        <v>6492</v>
      </c>
      <c r="E931" s="9">
        <v>6557</v>
      </c>
      <c r="F931" s="9">
        <v>6623</v>
      </c>
      <c r="G931" s="9">
        <v>6689</v>
      </c>
      <c r="H931" s="9">
        <v>6756</v>
      </c>
      <c r="I931" s="6">
        <v>1.0012103800000001</v>
      </c>
    </row>
    <row r="932" spans="1:9" x14ac:dyDescent="0.25">
      <c r="A932" s="1" t="s">
        <v>103</v>
      </c>
      <c r="B932" s="7" t="s">
        <v>58</v>
      </c>
      <c r="C932" s="7" t="s">
        <v>58</v>
      </c>
      <c r="D932" s="7" t="s">
        <v>58</v>
      </c>
      <c r="E932" s="7" t="s">
        <v>58</v>
      </c>
      <c r="F932" s="7" t="s">
        <v>58</v>
      </c>
      <c r="G932" s="7" t="s">
        <v>58</v>
      </c>
      <c r="H932" s="7" t="s">
        <v>58</v>
      </c>
      <c r="I932" s="7" t="s">
        <v>58</v>
      </c>
    </row>
    <row r="933" spans="1:9" x14ac:dyDescent="0.25">
      <c r="A933" s="1" t="s">
        <v>104</v>
      </c>
      <c r="B933" s="9">
        <v>0</v>
      </c>
      <c r="C933" s="9">
        <v>0</v>
      </c>
      <c r="D933" s="9">
        <v>0</v>
      </c>
      <c r="E933" s="9">
        <v>0</v>
      </c>
      <c r="F933" s="9">
        <v>0</v>
      </c>
      <c r="G933" s="9">
        <v>0</v>
      </c>
      <c r="H933" s="9">
        <v>0</v>
      </c>
      <c r="I933" s="7" t="s">
        <v>58</v>
      </c>
    </row>
    <row r="934" spans="1:9" x14ac:dyDescent="0.25">
      <c r="A934" s="1" t="s">
        <v>105</v>
      </c>
      <c r="B934" s="9">
        <v>0</v>
      </c>
      <c r="C934" s="9">
        <v>0</v>
      </c>
      <c r="D934" s="9">
        <v>0</v>
      </c>
      <c r="E934" s="9">
        <v>0</v>
      </c>
      <c r="F934" s="9">
        <v>0</v>
      </c>
      <c r="G934" s="9">
        <v>0</v>
      </c>
      <c r="H934" s="9">
        <v>0</v>
      </c>
      <c r="I934" s="7" t="s">
        <v>58</v>
      </c>
    </row>
    <row r="935" spans="1:9" x14ac:dyDescent="0.25">
      <c r="A935" s="1" t="s">
        <v>106</v>
      </c>
      <c r="B935" s="9">
        <v>4936</v>
      </c>
      <c r="C935" s="9">
        <v>4742</v>
      </c>
      <c r="D935" s="9">
        <v>4583</v>
      </c>
      <c r="E935" s="9">
        <v>4452</v>
      </c>
      <c r="F935" s="9">
        <v>4345</v>
      </c>
      <c r="G935" s="9">
        <v>4255</v>
      </c>
      <c r="H935" s="9">
        <v>4174</v>
      </c>
      <c r="I935" s="6">
        <v>-2.7559848570000001</v>
      </c>
    </row>
    <row r="936" spans="1:9" ht="30" x14ac:dyDescent="0.25">
      <c r="A936" s="1" t="s">
        <v>107</v>
      </c>
      <c r="B936" s="9">
        <v>18662</v>
      </c>
      <c r="C936" s="9">
        <v>18483</v>
      </c>
      <c r="D936" s="9">
        <v>18307</v>
      </c>
      <c r="E936" s="9">
        <v>18135</v>
      </c>
      <c r="F936" s="9">
        <v>17966</v>
      </c>
      <c r="G936" s="9">
        <v>17800</v>
      </c>
      <c r="H936" s="9">
        <v>17637</v>
      </c>
      <c r="I936" s="6">
        <v>-0.93708841499999995</v>
      </c>
    </row>
    <row r="937" spans="1:9" x14ac:dyDescent="0.25">
      <c r="A937" s="1" t="s">
        <v>108</v>
      </c>
      <c r="B937" s="9">
        <v>8709</v>
      </c>
      <c r="C937" s="9">
        <v>8619</v>
      </c>
      <c r="D937" s="9">
        <v>8548</v>
      </c>
      <c r="E937" s="9">
        <v>8491</v>
      </c>
      <c r="F937" s="9">
        <v>8446</v>
      </c>
      <c r="G937" s="9">
        <v>8410</v>
      </c>
      <c r="H937" s="9">
        <v>8381</v>
      </c>
      <c r="I937" s="6">
        <v>-0.63778636300000002</v>
      </c>
    </row>
    <row r="938" spans="1:9" ht="30" x14ac:dyDescent="0.25">
      <c r="A938" s="1" t="s">
        <v>109</v>
      </c>
      <c r="B938" s="9">
        <v>0</v>
      </c>
      <c r="C938" s="9">
        <v>0</v>
      </c>
      <c r="D938" s="9">
        <v>0</v>
      </c>
      <c r="E938" s="9">
        <v>0</v>
      </c>
      <c r="F938" s="9">
        <v>0</v>
      </c>
      <c r="G938" s="9">
        <v>0</v>
      </c>
      <c r="H938" s="9">
        <v>0</v>
      </c>
      <c r="I938" s="7" t="s">
        <v>58</v>
      </c>
    </row>
    <row r="939" spans="1:9" x14ac:dyDescent="0.25">
      <c r="A939" s="1" t="s">
        <v>110</v>
      </c>
      <c r="B939" s="9">
        <v>28166</v>
      </c>
      <c r="C939" s="9">
        <v>31264</v>
      </c>
      <c r="D939" s="9">
        <v>34703</v>
      </c>
      <c r="E939" s="9">
        <v>38868</v>
      </c>
      <c r="F939" s="9">
        <v>42366</v>
      </c>
      <c r="G939" s="9">
        <v>45332</v>
      </c>
      <c r="H939" s="9">
        <v>48505</v>
      </c>
      <c r="I939" s="6">
        <v>9.4822100500000008</v>
      </c>
    </row>
    <row r="940" spans="1:9" x14ac:dyDescent="0.25">
      <c r="A940" s="1" t="s">
        <v>111</v>
      </c>
      <c r="B940" s="9">
        <v>107477</v>
      </c>
      <c r="C940" s="9">
        <v>118489</v>
      </c>
      <c r="D940" s="9">
        <v>129500</v>
      </c>
      <c r="E940" s="9">
        <v>140512</v>
      </c>
      <c r="F940" s="9">
        <v>151523</v>
      </c>
      <c r="G940" s="9">
        <v>162535</v>
      </c>
      <c r="H940" s="9">
        <v>173546</v>
      </c>
      <c r="I940" s="6">
        <v>8.3136469240000004</v>
      </c>
    </row>
    <row r="941" spans="1:9" x14ac:dyDescent="0.25">
      <c r="A941" s="1" t="s">
        <v>112</v>
      </c>
      <c r="B941" s="9">
        <v>11589596</v>
      </c>
      <c r="C941" s="9">
        <v>14914613</v>
      </c>
      <c r="D941" s="9">
        <v>17933458</v>
      </c>
      <c r="E941" s="9">
        <v>20561468</v>
      </c>
      <c r="F941" s="9">
        <v>23048183</v>
      </c>
      <c r="G941" s="9">
        <v>25698724</v>
      </c>
      <c r="H941" s="9">
        <v>26855166</v>
      </c>
      <c r="I941" s="6">
        <v>15.034097788</v>
      </c>
    </row>
    <row r="942" spans="1:9" x14ac:dyDescent="0.25">
      <c r="A942" s="1" t="s">
        <v>113</v>
      </c>
      <c r="B942" s="9">
        <v>29068</v>
      </c>
      <c r="C942" s="9">
        <v>29359</v>
      </c>
      <c r="D942" s="9">
        <v>29653</v>
      </c>
      <c r="E942" s="9">
        <v>29950</v>
      </c>
      <c r="F942" s="9">
        <v>30250</v>
      </c>
      <c r="G942" s="9">
        <v>30553</v>
      </c>
      <c r="H942" s="9">
        <v>30859</v>
      </c>
      <c r="I942" s="6">
        <v>1.0014905039999999</v>
      </c>
    </row>
    <row r="943" spans="1:9" x14ac:dyDescent="0.25">
      <c r="A943" s="1" t="s">
        <v>114</v>
      </c>
      <c r="B943" s="9">
        <v>0</v>
      </c>
      <c r="C943" s="9">
        <v>0</v>
      </c>
      <c r="D943" s="9">
        <v>0</v>
      </c>
      <c r="E943" s="9">
        <v>0</v>
      </c>
      <c r="F943" s="9">
        <v>0</v>
      </c>
      <c r="G943" s="9">
        <v>0</v>
      </c>
      <c r="H943" s="9">
        <v>0</v>
      </c>
      <c r="I943" s="7" t="s">
        <v>58</v>
      </c>
    </row>
    <row r="944" spans="1:9" ht="30" x14ac:dyDescent="0.25">
      <c r="A944" s="1" t="s">
        <v>115</v>
      </c>
      <c r="B944" s="9">
        <v>4424514</v>
      </c>
      <c r="C944" s="9">
        <v>4594760</v>
      </c>
      <c r="D944" s="9">
        <v>4841558</v>
      </c>
      <c r="E944" s="9">
        <v>5091424</v>
      </c>
      <c r="F944" s="9">
        <v>5337563</v>
      </c>
      <c r="G944" s="9">
        <v>5574579</v>
      </c>
      <c r="H944" s="9">
        <v>5766541</v>
      </c>
      <c r="I944" s="6">
        <v>4.5141200579999996</v>
      </c>
    </row>
    <row r="945" spans="1:9" x14ac:dyDescent="0.25">
      <c r="A945" s="1" t="s">
        <v>116</v>
      </c>
      <c r="B945" s="9">
        <v>120308</v>
      </c>
      <c r="C945" s="9">
        <v>161212</v>
      </c>
      <c r="D945" s="9">
        <v>216024</v>
      </c>
      <c r="E945" s="9">
        <v>261389</v>
      </c>
      <c r="F945" s="9">
        <v>316281</v>
      </c>
      <c r="G945" s="9">
        <v>382700</v>
      </c>
      <c r="H945" s="9">
        <v>463067</v>
      </c>
      <c r="I945" s="6">
        <v>25.186708530000001</v>
      </c>
    </row>
    <row r="946" spans="1:9" x14ac:dyDescent="0.25">
      <c r="A946" s="1" t="s">
        <v>12</v>
      </c>
      <c r="B946" s="2"/>
      <c r="C946" s="2"/>
      <c r="D946" s="2"/>
      <c r="E946" s="2"/>
      <c r="F946" s="2"/>
      <c r="G946" s="2"/>
      <c r="H946" s="2"/>
      <c r="I946" s="2"/>
    </row>
    <row r="947" spans="1:9" ht="75" x14ac:dyDescent="0.25">
      <c r="A947" s="1" t="s">
        <v>144</v>
      </c>
      <c r="B947" s="2"/>
      <c r="C947" s="2"/>
      <c r="D947" s="2"/>
      <c r="E947" s="2"/>
      <c r="F947" s="2"/>
      <c r="G947" s="2"/>
      <c r="H947" s="2"/>
      <c r="I947" s="2"/>
    </row>
    <row r="948" spans="1:9" x14ac:dyDescent="0.25">
      <c r="A948" s="1" t="s">
        <v>14</v>
      </c>
      <c r="B948" s="9">
        <v>199436</v>
      </c>
      <c r="C948" s="9">
        <v>198040</v>
      </c>
      <c r="D948" s="9">
        <v>196456</v>
      </c>
      <c r="E948" s="9">
        <v>194688</v>
      </c>
      <c r="F948" s="9">
        <v>192741</v>
      </c>
      <c r="G948" s="9">
        <v>190621</v>
      </c>
      <c r="H948" s="9">
        <v>188333</v>
      </c>
      <c r="I948" s="6">
        <v>-0.95015242499999997</v>
      </c>
    </row>
    <row r="949" spans="1:9" ht="30" x14ac:dyDescent="0.25">
      <c r="A949" s="1" t="s">
        <v>15</v>
      </c>
      <c r="B949" s="9">
        <v>4764315</v>
      </c>
      <c r="C949" s="9">
        <v>4596316</v>
      </c>
      <c r="D949" s="9">
        <v>4214053</v>
      </c>
      <c r="E949" s="9">
        <v>4294260</v>
      </c>
      <c r="F949" s="9">
        <v>4127023</v>
      </c>
      <c r="G949" s="9">
        <v>3888150</v>
      </c>
      <c r="H949" s="9">
        <v>3528826</v>
      </c>
      <c r="I949" s="6">
        <v>-4.8800464640000003</v>
      </c>
    </row>
    <row r="950" spans="1:9" x14ac:dyDescent="0.25">
      <c r="A950" s="1" t="s">
        <v>16</v>
      </c>
      <c r="B950" s="9">
        <v>0</v>
      </c>
      <c r="C950" s="9">
        <v>0</v>
      </c>
      <c r="D950" s="9">
        <v>0</v>
      </c>
      <c r="E950" s="9">
        <v>0</v>
      </c>
      <c r="F950" s="9">
        <v>0</v>
      </c>
      <c r="G950" s="9">
        <v>0</v>
      </c>
      <c r="H950" s="9">
        <v>0</v>
      </c>
      <c r="I950" s="7" t="s">
        <v>58</v>
      </c>
    </row>
    <row r="951" spans="1:9" x14ac:dyDescent="0.25">
      <c r="A951" s="1" t="s">
        <v>17</v>
      </c>
      <c r="B951" s="9">
        <v>0</v>
      </c>
      <c r="C951" s="9">
        <v>0</v>
      </c>
      <c r="D951" s="9">
        <v>0</v>
      </c>
      <c r="E951" s="9">
        <v>0</v>
      </c>
      <c r="F951" s="9">
        <v>0</v>
      </c>
      <c r="G951" s="9">
        <v>0</v>
      </c>
      <c r="H951" s="9">
        <v>0</v>
      </c>
      <c r="I951" s="7" t="s">
        <v>58</v>
      </c>
    </row>
    <row r="952" spans="1:9" x14ac:dyDescent="0.25">
      <c r="A952" s="1" t="s">
        <v>18</v>
      </c>
      <c r="B952" s="9">
        <v>0</v>
      </c>
      <c r="C952" s="9">
        <v>0</v>
      </c>
      <c r="D952" s="9">
        <v>0</v>
      </c>
      <c r="E952" s="9">
        <v>0</v>
      </c>
      <c r="F952" s="9">
        <v>0</v>
      </c>
      <c r="G952" s="9">
        <v>0</v>
      </c>
      <c r="H952" s="9">
        <v>0</v>
      </c>
      <c r="I952" s="7" t="s">
        <v>58</v>
      </c>
    </row>
    <row r="953" spans="1:9" x14ac:dyDescent="0.25">
      <c r="A953" s="1" t="s">
        <v>19</v>
      </c>
      <c r="B953" s="9">
        <v>0</v>
      </c>
      <c r="C953" s="9">
        <v>0</v>
      </c>
      <c r="D953" s="9">
        <v>0</v>
      </c>
      <c r="E953" s="9">
        <v>0</v>
      </c>
      <c r="F953" s="9">
        <v>0</v>
      </c>
      <c r="G953" s="9">
        <v>0</v>
      </c>
      <c r="H953" s="9">
        <v>0</v>
      </c>
      <c r="I953" s="7" t="s">
        <v>58</v>
      </c>
    </row>
    <row r="954" spans="1:9" x14ac:dyDescent="0.25">
      <c r="A954" s="1" t="s">
        <v>20</v>
      </c>
      <c r="B954" s="9">
        <v>0</v>
      </c>
      <c r="C954" s="9">
        <v>0</v>
      </c>
      <c r="D954" s="9">
        <v>0</v>
      </c>
      <c r="E954" s="9">
        <v>0</v>
      </c>
      <c r="F954" s="9">
        <v>0</v>
      </c>
      <c r="G954" s="9">
        <v>0</v>
      </c>
      <c r="H954" s="9">
        <v>0</v>
      </c>
      <c r="I954" s="7" t="s">
        <v>58</v>
      </c>
    </row>
    <row r="955" spans="1:9" x14ac:dyDescent="0.25">
      <c r="A955" s="1" t="s">
        <v>21</v>
      </c>
      <c r="B955" s="7" t="s">
        <v>58</v>
      </c>
      <c r="C955" s="7" t="s">
        <v>58</v>
      </c>
      <c r="D955" s="7" t="s">
        <v>58</v>
      </c>
      <c r="E955" s="7" t="s">
        <v>58</v>
      </c>
      <c r="F955" s="7" t="s">
        <v>58</v>
      </c>
      <c r="G955" s="7" t="s">
        <v>58</v>
      </c>
      <c r="H955" s="7" t="s">
        <v>58</v>
      </c>
      <c r="I955" s="7" t="s">
        <v>58</v>
      </c>
    </row>
    <row r="956" spans="1:9" x14ac:dyDescent="0.25">
      <c r="A956" s="1" t="s">
        <v>22</v>
      </c>
      <c r="B956" s="9">
        <v>1377</v>
      </c>
      <c r="C956" s="9">
        <v>1446</v>
      </c>
      <c r="D956" s="9">
        <v>1518</v>
      </c>
      <c r="E956" s="9">
        <v>1594</v>
      </c>
      <c r="F956" s="9">
        <v>1674</v>
      </c>
      <c r="G956" s="9">
        <v>1758</v>
      </c>
      <c r="H956" s="9">
        <v>1846</v>
      </c>
      <c r="I956" s="6">
        <v>5.0065265009999997</v>
      </c>
    </row>
    <row r="957" spans="1:9" x14ac:dyDescent="0.25">
      <c r="A957" s="1" t="s">
        <v>23</v>
      </c>
      <c r="B957" s="9">
        <v>0</v>
      </c>
      <c r="C957" s="9">
        <v>0</v>
      </c>
      <c r="D957" s="9">
        <v>0</v>
      </c>
      <c r="E957" s="9">
        <v>0</v>
      </c>
      <c r="F957" s="9">
        <v>0</v>
      </c>
      <c r="G957" s="9">
        <v>0</v>
      </c>
      <c r="H957" s="9">
        <v>0</v>
      </c>
      <c r="I957" s="7" t="s">
        <v>58</v>
      </c>
    </row>
    <row r="958" spans="1:9" x14ac:dyDescent="0.25">
      <c r="A958" s="1" t="s">
        <v>24</v>
      </c>
      <c r="B958" s="9">
        <v>674710</v>
      </c>
      <c r="C958" s="9">
        <v>640975</v>
      </c>
      <c r="D958" s="9">
        <v>576877</v>
      </c>
      <c r="E958" s="9">
        <v>519189</v>
      </c>
      <c r="F958" s="9">
        <v>467270</v>
      </c>
      <c r="G958" s="9">
        <v>420543</v>
      </c>
      <c r="H958" s="9">
        <v>378489</v>
      </c>
      <c r="I958" s="6">
        <v>-9.1853279000000008</v>
      </c>
    </row>
    <row r="959" spans="1:9" x14ac:dyDescent="0.25">
      <c r="A959" s="1" t="s">
        <v>25</v>
      </c>
      <c r="B959" s="9">
        <v>0</v>
      </c>
      <c r="C959" s="9">
        <v>0</v>
      </c>
      <c r="D959" s="9">
        <v>0</v>
      </c>
      <c r="E959" s="9">
        <v>0</v>
      </c>
      <c r="F959" s="9">
        <v>0</v>
      </c>
      <c r="G959" s="9">
        <v>0</v>
      </c>
      <c r="H959" s="9">
        <v>0</v>
      </c>
      <c r="I959" s="7" t="s">
        <v>58</v>
      </c>
    </row>
    <row r="960" spans="1:9" x14ac:dyDescent="0.25">
      <c r="A960" s="1" t="s">
        <v>26</v>
      </c>
      <c r="B960" s="9">
        <v>15018</v>
      </c>
      <c r="C960" s="9">
        <v>15168</v>
      </c>
      <c r="D960" s="9">
        <v>15244</v>
      </c>
      <c r="E960" s="9">
        <v>15320</v>
      </c>
      <c r="F960" s="9">
        <v>15397</v>
      </c>
      <c r="G960" s="9">
        <v>15473</v>
      </c>
      <c r="H960" s="9">
        <v>15551</v>
      </c>
      <c r="I960" s="6">
        <v>0.58295030699999995</v>
      </c>
    </row>
    <row r="961" spans="1:9" x14ac:dyDescent="0.25">
      <c r="A961" s="1" t="s">
        <v>27</v>
      </c>
      <c r="B961" s="9">
        <v>40</v>
      </c>
      <c r="C961" s="9">
        <v>0</v>
      </c>
      <c r="D961" s="9">
        <v>0</v>
      </c>
      <c r="E961" s="9">
        <v>0</v>
      </c>
      <c r="F961" s="9">
        <v>0</v>
      </c>
      <c r="G961" s="9">
        <v>0</v>
      </c>
      <c r="H961" s="9">
        <v>0</v>
      </c>
      <c r="I961" s="6">
        <v>-100</v>
      </c>
    </row>
    <row r="962" spans="1:9" x14ac:dyDescent="0.25">
      <c r="A962" s="1" t="s">
        <v>28</v>
      </c>
      <c r="B962" s="9">
        <v>568830</v>
      </c>
      <c r="C962" s="9">
        <v>440843</v>
      </c>
      <c r="D962" s="9">
        <v>357524</v>
      </c>
      <c r="E962" s="9">
        <v>271718</v>
      </c>
      <c r="F962" s="9">
        <v>217918</v>
      </c>
      <c r="G962" s="9">
        <v>185666</v>
      </c>
      <c r="H962" s="9">
        <v>170813</v>
      </c>
      <c r="I962" s="6">
        <v>-18.168017783</v>
      </c>
    </row>
    <row r="963" spans="1:9" x14ac:dyDescent="0.25">
      <c r="A963" s="1" t="s">
        <v>29</v>
      </c>
      <c r="B963" s="9">
        <v>17755</v>
      </c>
      <c r="C963" s="9">
        <v>19568</v>
      </c>
      <c r="D963" s="9">
        <v>20767</v>
      </c>
      <c r="E963" s="9">
        <v>21530</v>
      </c>
      <c r="F963" s="9">
        <v>22005</v>
      </c>
      <c r="G963" s="9">
        <v>22296</v>
      </c>
      <c r="H963" s="9">
        <v>22473</v>
      </c>
      <c r="I963" s="6">
        <v>4.0056013019999996</v>
      </c>
    </row>
    <row r="964" spans="1:9" x14ac:dyDescent="0.25">
      <c r="A964" s="1" t="s">
        <v>30</v>
      </c>
      <c r="B964" s="9">
        <v>0</v>
      </c>
      <c r="C964" s="9">
        <v>0</v>
      </c>
      <c r="D964" s="9">
        <v>0</v>
      </c>
      <c r="E964" s="9">
        <v>0</v>
      </c>
      <c r="F964" s="9">
        <v>0</v>
      </c>
      <c r="G964" s="9">
        <v>0</v>
      </c>
      <c r="H964" s="9">
        <v>0</v>
      </c>
      <c r="I964" s="7" t="s">
        <v>58</v>
      </c>
    </row>
    <row r="965" spans="1:9" x14ac:dyDescent="0.25">
      <c r="A965" s="1" t="s">
        <v>31</v>
      </c>
      <c r="B965" s="9">
        <v>8438</v>
      </c>
      <c r="C965" s="9">
        <v>9205</v>
      </c>
      <c r="D965" s="9">
        <v>8745</v>
      </c>
      <c r="E965" s="9">
        <v>8308</v>
      </c>
      <c r="F965" s="9">
        <v>7892</v>
      </c>
      <c r="G965" s="9">
        <v>7498</v>
      </c>
      <c r="H965" s="9">
        <v>7123</v>
      </c>
      <c r="I965" s="6">
        <v>-2.784114304</v>
      </c>
    </row>
    <row r="966" spans="1:9" x14ac:dyDescent="0.25">
      <c r="A966" s="1" t="s">
        <v>32</v>
      </c>
      <c r="B966" s="9">
        <v>4774</v>
      </c>
      <c r="C966" s="9">
        <v>4535</v>
      </c>
      <c r="D966" s="9">
        <v>4308</v>
      </c>
      <c r="E966" s="9">
        <v>4093</v>
      </c>
      <c r="F966" s="9">
        <v>3888</v>
      </c>
      <c r="G966" s="9">
        <v>3694</v>
      </c>
      <c r="H966" s="9">
        <v>3509</v>
      </c>
      <c r="I966" s="6">
        <v>-5.001483017</v>
      </c>
    </row>
    <row r="967" spans="1:9" x14ac:dyDescent="0.25">
      <c r="A967" s="1" t="s">
        <v>33</v>
      </c>
      <c r="B967" s="9">
        <v>63</v>
      </c>
      <c r="C967" s="9">
        <v>64</v>
      </c>
      <c r="D967" s="9">
        <v>65</v>
      </c>
      <c r="E967" s="9">
        <v>65</v>
      </c>
      <c r="F967" s="9">
        <v>66</v>
      </c>
      <c r="G967" s="9">
        <v>66</v>
      </c>
      <c r="H967" s="9">
        <v>67</v>
      </c>
      <c r="I967" s="6">
        <v>1.031245948</v>
      </c>
    </row>
    <row r="968" spans="1:9" ht="30" x14ac:dyDescent="0.25">
      <c r="A968" s="1" t="s">
        <v>34</v>
      </c>
      <c r="B968" s="9">
        <v>276</v>
      </c>
      <c r="C968" s="9">
        <v>274</v>
      </c>
      <c r="D968" s="9">
        <v>272</v>
      </c>
      <c r="E968" s="9">
        <v>270</v>
      </c>
      <c r="F968" s="9">
        <v>268</v>
      </c>
      <c r="G968" s="9">
        <v>266</v>
      </c>
      <c r="H968" s="9">
        <v>264</v>
      </c>
      <c r="I968" s="6">
        <v>-0.73812508700000001</v>
      </c>
    </row>
    <row r="969" spans="1:9" ht="30" x14ac:dyDescent="0.25">
      <c r="A969" s="1" t="s">
        <v>35</v>
      </c>
      <c r="B969" s="9">
        <v>1696654</v>
      </c>
      <c r="C969" s="9">
        <v>1526933</v>
      </c>
      <c r="D969" s="9">
        <v>1390891</v>
      </c>
      <c r="E969" s="9">
        <v>1266058</v>
      </c>
      <c r="F969" s="9">
        <v>1151365</v>
      </c>
      <c r="G969" s="9">
        <v>1050493</v>
      </c>
      <c r="H969" s="9">
        <v>957126</v>
      </c>
      <c r="I969" s="6">
        <v>-9.1002606129999997</v>
      </c>
    </row>
    <row r="970" spans="1:9" x14ac:dyDescent="0.25">
      <c r="A970" s="1" t="s">
        <v>36</v>
      </c>
      <c r="B970" s="9">
        <v>3046</v>
      </c>
      <c r="C970" s="9">
        <v>3016</v>
      </c>
      <c r="D970" s="9">
        <v>2986</v>
      </c>
      <c r="E970" s="9">
        <v>2956</v>
      </c>
      <c r="F970" s="9">
        <v>2926</v>
      </c>
      <c r="G970" s="9">
        <v>2897</v>
      </c>
      <c r="H970" s="9">
        <v>2868</v>
      </c>
      <c r="I970" s="6">
        <v>-0.99855321399999997</v>
      </c>
    </row>
    <row r="971" spans="1:9" x14ac:dyDescent="0.25">
      <c r="A971" s="1" t="s">
        <v>37</v>
      </c>
      <c r="B971" s="9">
        <v>439</v>
      </c>
      <c r="C971" s="9">
        <v>407</v>
      </c>
      <c r="D971" s="9">
        <v>379</v>
      </c>
      <c r="E971" s="9">
        <v>356</v>
      </c>
      <c r="F971" s="9">
        <v>344</v>
      </c>
      <c r="G971" s="9">
        <v>300</v>
      </c>
      <c r="H971" s="9">
        <v>300</v>
      </c>
      <c r="I971" s="6">
        <v>-6.1481605330000004</v>
      </c>
    </row>
    <row r="972" spans="1:9" x14ac:dyDescent="0.25">
      <c r="A972" s="1" t="s">
        <v>38</v>
      </c>
      <c r="B972" s="9">
        <v>1854</v>
      </c>
      <c r="C972" s="9">
        <v>1957</v>
      </c>
      <c r="D972" s="9">
        <v>2059</v>
      </c>
      <c r="E972" s="9">
        <v>2162</v>
      </c>
      <c r="F972" s="9">
        <v>2265</v>
      </c>
      <c r="G972" s="9">
        <v>2265</v>
      </c>
      <c r="H972" s="9">
        <v>2265</v>
      </c>
      <c r="I972" s="6">
        <v>3.3934624879999999</v>
      </c>
    </row>
    <row r="973" spans="1:9" x14ac:dyDescent="0.25">
      <c r="A973" s="1" t="s">
        <v>39</v>
      </c>
      <c r="B973" s="9">
        <v>2893</v>
      </c>
      <c r="C973" s="9">
        <v>3000</v>
      </c>
      <c r="D973" s="9">
        <v>2700</v>
      </c>
      <c r="E973" s="9">
        <v>2430</v>
      </c>
      <c r="F973" s="9">
        <v>2187</v>
      </c>
      <c r="G973" s="9">
        <v>1968</v>
      </c>
      <c r="H973" s="9">
        <v>1771</v>
      </c>
      <c r="I973" s="6">
        <v>-7.8536038540000002</v>
      </c>
    </row>
    <row r="974" spans="1:9" x14ac:dyDescent="0.25">
      <c r="A974" s="1" t="s">
        <v>40</v>
      </c>
      <c r="B974" s="9">
        <v>3452</v>
      </c>
      <c r="C974" s="9">
        <v>3435</v>
      </c>
      <c r="D974" s="9">
        <v>3418</v>
      </c>
      <c r="E974" s="9">
        <v>3401</v>
      </c>
      <c r="F974" s="9">
        <v>3384</v>
      </c>
      <c r="G974" s="9">
        <v>3367</v>
      </c>
      <c r="H974" s="9">
        <v>3350</v>
      </c>
      <c r="I974" s="6">
        <v>-0.49864308299999999</v>
      </c>
    </row>
    <row r="975" spans="1:9" x14ac:dyDescent="0.25">
      <c r="A975" s="1" t="s">
        <v>41</v>
      </c>
      <c r="B975" s="7" t="s">
        <v>58</v>
      </c>
      <c r="C975" s="7" t="s">
        <v>58</v>
      </c>
      <c r="D975" s="7" t="s">
        <v>58</v>
      </c>
      <c r="E975" s="7" t="s">
        <v>58</v>
      </c>
      <c r="F975" s="7" t="s">
        <v>58</v>
      </c>
      <c r="G975" s="7" t="s">
        <v>58</v>
      </c>
      <c r="H975" s="7" t="s">
        <v>58</v>
      </c>
      <c r="I975" s="7" t="s">
        <v>58</v>
      </c>
    </row>
    <row r="976" spans="1:9" x14ac:dyDescent="0.25">
      <c r="A976" s="1" t="s">
        <v>42</v>
      </c>
      <c r="B976" s="7" t="s">
        <v>58</v>
      </c>
      <c r="C976" s="7" t="s">
        <v>58</v>
      </c>
      <c r="D976" s="7" t="s">
        <v>58</v>
      </c>
      <c r="E976" s="7" t="s">
        <v>58</v>
      </c>
      <c r="F976" s="7" t="s">
        <v>58</v>
      </c>
      <c r="G976" s="7" t="s">
        <v>58</v>
      </c>
      <c r="H976" s="7" t="s">
        <v>58</v>
      </c>
      <c r="I976" s="7" t="s">
        <v>58</v>
      </c>
    </row>
    <row r="977" spans="1:9" x14ac:dyDescent="0.25">
      <c r="A977" s="1" t="s">
        <v>43</v>
      </c>
      <c r="B977" s="9">
        <v>1347</v>
      </c>
      <c r="C977" s="9">
        <v>1226</v>
      </c>
      <c r="D977" s="9">
        <v>1128</v>
      </c>
      <c r="E977" s="9">
        <v>1071</v>
      </c>
      <c r="F977" s="9">
        <v>1029</v>
      </c>
      <c r="G977" s="9">
        <v>998</v>
      </c>
      <c r="H977" s="9">
        <v>971</v>
      </c>
      <c r="I977" s="6">
        <v>-5.3090212189999999</v>
      </c>
    </row>
    <row r="978" spans="1:9" x14ac:dyDescent="0.25">
      <c r="A978" s="1" t="s">
        <v>44</v>
      </c>
      <c r="B978" s="9">
        <v>0</v>
      </c>
      <c r="C978" s="9">
        <v>0</v>
      </c>
      <c r="D978" s="9">
        <v>0</v>
      </c>
      <c r="E978" s="9">
        <v>0</v>
      </c>
      <c r="F978" s="9">
        <v>0</v>
      </c>
      <c r="G978" s="9">
        <v>0</v>
      </c>
      <c r="H978" s="9">
        <v>0</v>
      </c>
      <c r="I978" s="7" t="s">
        <v>58</v>
      </c>
    </row>
    <row r="979" spans="1:9" x14ac:dyDescent="0.25">
      <c r="A979" s="1" t="s">
        <v>45</v>
      </c>
      <c r="B979" s="9">
        <v>5737</v>
      </c>
      <c r="C979" s="9">
        <v>8322</v>
      </c>
      <c r="D979" s="9">
        <v>9842</v>
      </c>
      <c r="E979" s="9">
        <v>11863</v>
      </c>
      <c r="F979" s="9">
        <v>13906</v>
      </c>
      <c r="G979" s="9">
        <v>15986</v>
      </c>
      <c r="H979" s="9">
        <v>18169</v>
      </c>
      <c r="I979" s="6">
        <v>21.182812909999999</v>
      </c>
    </row>
    <row r="980" spans="1:9" x14ac:dyDescent="0.25">
      <c r="A980" s="1" t="s">
        <v>46</v>
      </c>
      <c r="B980" s="9">
        <v>950</v>
      </c>
      <c r="C980" s="9">
        <v>890</v>
      </c>
      <c r="D980" s="9">
        <v>832</v>
      </c>
      <c r="E980" s="9">
        <v>775</v>
      </c>
      <c r="F980" s="9">
        <v>719</v>
      </c>
      <c r="G980" s="9">
        <v>666</v>
      </c>
      <c r="H980" s="9">
        <v>621</v>
      </c>
      <c r="I980" s="6">
        <v>-6.840317626</v>
      </c>
    </row>
    <row r="981" spans="1:9" x14ac:dyDescent="0.25">
      <c r="A981" s="1" t="s">
        <v>47</v>
      </c>
      <c r="B981" s="9">
        <v>0</v>
      </c>
      <c r="C981" s="9">
        <v>0</v>
      </c>
      <c r="D981" s="9">
        <v>0</v>
      </c>
      <c r="E981" s="9">
        <v>0</v>
      </c>
      <c r="F981" s="9">
        <v>0</v>
      </c>
      <c r="G981" s="9">
        <v>0</v>
      </c>
      <c r="H981" s="9">
        <v>0</v>
      </c>
      <c r="I981" s="7" t="s">
        <v>58</v>
      </c>
    </row>
    <row r="982" spans="1:9" x14ac:dyDescent="0.25">
      <c r="A982" s="1" t="s">
        <v>48</v>
      </c>
      <c r="B982" s="9">
        <v>4153537</v>
      </c>
      <c r="C982" s="9">
        <v>4112001</v>
      </c>
      <c r="D982" s="9">
        <v>3811825</v>
      </c>
      <c r="E982" s="9">
        <v>3975734</v>
      </c>
      <c r="F982" s="9">
        <v>3860437</v>
      </c>
      <c r="G982" s="9">
        <v>3651974</v>
      </c>
      <c r="H982" s="9">
        <v>3305036</v>
      </c>
      <c r="I982" s="6">
        <v>-3.7369350629999998</v>
      </c>
    </row>
    <row r="983" spans="1:9" x14ac:dyDescent="0.25">
      <c r="A983" s="1" t="s">
        <v>49</v>
      </c>
      <c r="B983" s="9">
        <v>0</v>
      </c>
      <c r="C983" s="9">
        <v>0</v>
      </c>
      <c r="D983" s="9">
        <v>0</v>
      </c>
      <c r="E983" s="9">
        <v>0</v>
      </c>
      <c r="F983" s="9">
        <v>0</v>
      </c>
      <c r="G983" s="9">
        <v>0</v>
      </c>
      <c r="H983" s="9">
        <v>0</v>
      </c>
      <c r="I983" s="7" t="s">
        <v>58</v>
      </c>
    </row>
    <row r="984" spans="1:9" x14ac:dyDescent="0.25">
      <c r="A984" s="1" t="s">
        <v>50</v>
      </c>
      <c r="B984" s="9">
        <v>0</v>
      </c>
      <c r="C984" s="9">
        <v>0</v>
      </c>
      <c r="D984" s="9">
        <v>0</v>
      </c>
      <c r="E984" s="9">
        <v>0</v>
      </c>
      <c r="F984" s="9">
        <v>0</v>
      </c>
      <c r="G984" s="9">
        <v>0</v>
      </c>
      <c r="H984" s="9">
        <v>0</v>
      </c>
      <c r="I984" s="7" t="s">
        <v>58</v>
      </c>
    </row>
    <row r="985" spans="1:9" x14ac:dyDescent="0.25">
      <c r="A985" s="1" t="s">
        <v>51</v>
      </c>
      <c r="B985" s="9">
        <v>0</v>
      </c>
      <c r="C985" s="9">
        <v>0</v>
      </c>
      <c r="D985" s="9">
        <v>0</v>
      </c>
      <c r="E985" s="9">
        <v>0</v>
      </c>
      <c r="F985" s="9">
        <v>0</v>
      </c>
      <c r="G985" s="9">
        <v>0</v>
      </c>
      <c r="H985" s="9">
        <v>0</v>
      </c>
      <c r="I985" s="7" t="s">
        <v>58</v>
      </c>
    </row>
    <row r="986" spans="1:9" x14ac:dyDescent="0.25">
      <c r="A986" s="1" t="s">
        <v>52</v>
      </c>
      <c r="B986" s="9">
        <v>0</v>
      </c>
      <c r="C986" s="9">
        <v>0</v>
      </c>
      <c r="D986" s="9">
        <v>0</v>
      </c>
      <c r="E986" s="9">
        <v>0</v>
      </c>
      <c r="F986" s="9">
        <v>0</v>
      </c>
      <c r="G986" s="9">
        <v>0</v>
      </c>
      <c r="H986" s="9">
        <v>0</v>
      </c>
      <c r="I986" s="7" t="s">
        <v>58</v>
      </c>
    </row>
    <row r="987" spans="1:9" x14ac:dyDescent="0.25">
      <c r="A987" s="1" t="s">
        <v>53</v>
      </c>
      <c r="B987" s="9">
        <v>3300</v>
      </c>
      <c r="C987" s="9">
        <v>3468</v>
      </c>
      <c r="D987" s="9">
        <v>3635</v>
      </c>
      <c r="E987" s="9">
        <v>3791</v>
      </c>
      <c r="F987" s="9">
        <v>3939</v>
      </c>
      <c r="G987" s="9">
        <v>4084</v>
      </c>
      <c r="H987" s="9">
        <v>4248</v>
      </c>
      <c r="I987" s="6">
        <v>4.2985877759999997</v>
      </c>
    </row>
    <row r="988" spans="1:9" x14ac:dyDescent="0.25">
      <c r="A988" s="1" t="s">
        <v>54</v>
      </c>
      <c r="B988" s="9">
        <v>0</v>
      </c>
      <c r="C988" s="9">
        <v>0</v>
      </c>
      <c r="D988" s="9">
        <v>0</v>
      </c>
      <c r="E988" s="9">
        <v>0</v>
      </c>
      <c r="F988" s="9">
        <v>0</v>
      </c>
      <c r="G988" s="9">
        <v>0</v>
      </c>
      <c r="H988" s="9">
        <v>0</v>
      </c>
      <c r="I988" s="7" t="s">
        <v>58</v>
      </c>
    </row>
    <row r="989" spans="1:9" x14ac:dyDescent="0.25">
      <c r="A989" s="1" t="s">
        <v>55</v>
      </c>
      <c r="B989" s="9">
        <v>0</v>
      </c>
      <c r="C989" s="9">
        <v>0</v>
      </c>
      <c r="D989" s="9">
        <v>0</v>
      </c>
      <c r="E989" s="9">
        <v>0</v>
      </c>
      <c r="F989" s="9">
        <v>0</v>
      </c>
      <c r="G989" s="9">
        <v>0</v>
      </c>
      <c r="H989" s="9">
        <v>0</v>
      </c>
      <c r="I989" s="7" t="s">
        <v>58</v>
      </c>
    </row>
    <row r="990" spans="1:9" x14ac:dyDescent="0.25">
      <c r="A990" s="1" t="s">
        <v>56</v>
      </c>
      <c r="B990" s="9">
        <v>15418</v>
      </c>
      <c r="C990" s="9">
        <v>15881</v>
      </c>
      <c r="D990" s="9">
        <v>16357</v>
      </c>
      <c r="E990" s="9">
        <v>16848</v>
      </c>
      <c r="F990" s="9">
        <v>17353</v>
      </c>
      <c r="G990" s="9">
        <v>17874</v>
      </c>
      <c r="H990" s="9">
        <v>18410</v>
      </c>
      <c r="I990" s="6">
        <v>3.0000948250000001</v>
      </c>
    </row>
    <row r="991" spans="1:9" x14ac:dyDescent="0.25">
      <c r="A991" s="1" t="s">
        <v>57</v>
      </c>
      <c r="B991" s="7" t="s">
        <v>58</v>
      </c>
      <c r="C991" s="7" t="s">
        <v>58</v>
      </c>
      <c r="D991" s="7" t="s">
        <v>58</v>
      </c>
      <c r="E991" s="7" t="s">
        <v>58</v>
      </c>
      <c r="F991" s="7" t="s">
        <v>58</v>
      </c>
      <c r="G991" s="7" t="s">
        <v>58</v>
      </c>
      <c r="H991" s="7" t="s">
        <v>58</v>
      </c>
      <c r="I991" s="7" t="s">
        <v>58</v>
      </c>
    </row>
    <row r="992" spans="1:9" x14ac:dyDescent="0.25">
      <c r="A992" s="1" t="s">
        <v>59</v>
      </c>
      <c r="B992" s="9">
        <v>0</v>
      </c>
      <c r="C992" s="9">
        <v>0</v>
      </c>
      <c r="D992" s="9">
        <v>0</v>
      </c>
      <c r="E992" s="9">
        <v>0</v>
      </c>
      <c r="F992" s="9">
        <v>0</v>
      </c>
      <c r="G992" s="9">
        <v>0</v>
      </c>
      <c r="H992" s="9">
        <v>0</v>
      </c>
      <c r="I992" s="7" t="s">
        <v>58</v>
      </c>
    </row>
    <row r="993" spans="1:9" x14ac:dyDescent="0.25">
      <c r="A993" s="1" t="s">
        <v>60</v>
      </c>
      <c r="B993" s="9">
        <v>0</v>
      </c>
      <c r="C993" s="9">
        <v>0</v>
      </c>
      <c r="D993" s="9">
        <v>0</v>
      </c>
      <c r="E993" s="9">
        <v>0</v>
      </c>
      <c r="F993" s="9">
        <v>0</v>
      </c>
      <c r="G993" s="9">
        <v>0</v>
      </c>
      <c r="H993" s="9">
        <v>0</v>
      </c>
      <c r="I993" s="7" t="s">
        <v>58</v>
      </c>
    </row>
    <row r="994" spans="1:9" ht="45" x14ac:dyDescent="0.25">
      <c r="A994" s="1" t="s">
        <v>61</v>
      </c>
      <c r="B994" s="9">
        <v>281688</v>
      </c>
      <c r="C994" s="9">
        <v>285719</v>
      </c>
      <c r="D994" s="9">
        <v>287958</v>
      </c>
      <c r="E994" s="9">
        <v>290111</v>
      </c>
      <c r="F994" s="9">
        <v>291828</v>
      </c>
      <c r="G994" s="9">
        <v>293147</v>
      </c>
      <c r="H994" s="9">
        <v>294433</v>
      </c>
      <c r="I994" s="6">
        <v>0.74024969299999999</v>
      </c>
    </row>
    <row r="995" spans="1:9" x14ac:dyDescent="0.25">
      <c r="A995" s="1" t="s">
        <v>62</v>
      </c>
      <c r="B995" s="9">
        <v>11103</v>
      </c>
      <c r="C995" s="9">
        <v>10339</v>
      </c>
      <c r="D995" s="9">
        <v>9371</v>
      </c>
      <c r="E995" s="9">
        <v>8538</v>
      </c>
      <c r="F995" s="9">
        <v>7816</v>
      </c>
      <c r="G995" s="9">
        <v>7189</v>
      </c>
      <c r="H995" s="9">
        <v>6641</v>
      </c>
      <c r="I995" s="6">
        <v>-8.2092630300000007</v>
      </c>
    </row>
    <row r="996" spans="1:9" x14ac:dyDescent="0.25">
      <c r="A996" s="1" t="s">
        <v>63</v>
      </c>
      <c r="B996" s="9">
        <v>0</v>
      </c>
      <c r="C996" s="9">
        <v>0</v>
      </c>
      <c r="D996" s="9">
        <v>0</v>
      </c>
      <c r="E996" s="9">
        <v>0</v>
      </c>
      <c r="F996" s="9">
        <v>0</v>
      </c>
      <c r="G996" s="9">
        <v>0</v>
      </c>
      <c r="H996" s="9">
        <v>0</v>
      </c>
      <c r="I996" s="7" t="s">
        <v>58</v>
      </c>
    </row>
    <row r="997" spans="1:9" x14ac:dyDescent="0.25">
      <c r="A997" s="1" t="s">
        <v>64</v>
      </c>
      <c r="B997" s="9">
        <v>2900</v>
      </c>
      <c r="C997" s="9">
        <v>2500</v>
      </c>
      <c r="D997" s="9">
        <v>2193</v>
      </c>
      <c r="E997" s="9">
        <v>1953</v>
      </c>
      <c r="F997" s="9">
        <v>1764</v>
      </c>
      <c r="G997" s="9">
        <v>1611</v>
      </c>
      <c r="H997" s="9">
        <v>1487</v>
      </c>
      <c r="I997" s="6">
        <v>-10.535206927000001</v>
      </c>
    </row>
    <row r="998" spans="1:9" x14ac:dyDescent="0.25">
      <c r="A998" s="1" t="s">
        <v>65</v>
      </c>
      <c r="B998" s="9">
        <v>0</v>
      </c>
      <c r="C998" s="9">
        <v>0</v>
      </c>
      <c r="D998" s="9">
        <v>0</v>
      </c>
      <c r="E998" s="9">
        <v>0</v>
      </c>
      <c r="F998" s="9">
        <v>0</v>
      </c>
      <c r="G998" s="9">
        <v>0</v>
      </c>
      <c r="H998" s="9">
        <v>0</v>
      </c>
      <c r="I998" s="7" t="s">
        <v>58</v>
      </c>
    </row>
    <row r="999" spans="1:9" x14ac:dyDescent="0.25">
      <c r="A999" s="1" t="s">
        <v>66</v>
      </c>
      <c r="B999" s="9">
        <v>0</v>
      </c>
      <c r="C999" s="9">
        <v>0</v>
      </c>
      <c r="D999" s="9">
        <v>0</v>
      </c>
      <c r="E999" s="9">
        <v>0</v>
      </c>
      <c r="F999" s="9">
        <v>0</v>
      </c>
      <c r="G999" s="9">
        <v>0</v>
      </c>
      <c r="H999" s="9">
        <v>0</v>
      </c>
      <c r="I999" s="7" t="s">
        <v>58</v>
      </c>
    </row>
    <row r="1000" spans="1:9" ht="30" x14ac:dyDescent="0.25">
      <c r="A1000" s="1" t="s">
        <v>67</v>
      </c>
      <c r="B1000" s="9">
        <v>27529</v>
      </c>
      <c r="C1000" s="9">
        <v>28076</v>
      </c>
      <c r="D1000" s="9">
        <v>28643</v>
      </c>
      <c r="E1000" s="9">
        <v>29230</v>
      </c>
      <c r="F1000" s="9">
        <v>29843</v>
      </c>
      <c r="G1000" s="9">
        <v>30441</v>
      </c>
      <c r="H1000" s="9">
        <v>31100</v>
      </c>
      <c r="I1000" s="6">
        <v>2.0535991130000002</v>
      </c>
    </row>
    <row r="1001" spans="1:9" x14ac:dyDescent="0.25">
      <c r="A1001" s="1" t="s">
        <v>68</v>
      </c>
      <c r="B1001" s="7" t="s">
        <v>58</v>
      </c>
      <c r="C1001" s="7" t="s">
        <v>58</v>
      </c>
      <c r="D1001" s="7" t="s">
        <v>58</v>
      </c>
      <c r="E1001" s="7" t="s">
        <v>58</v>
      </c>
      <c r="F1001" s="7" t="s">
        <v>58</v>
      </c>
      <c r="G1001" s="7" t="s">
        <v>58</v>
      </c>
      <c r="H1001" s="7" t="s">
        <v>58</v>
      </c>
      <c r="I1001" s="7" t="s">
        <v>58</v>
      </c>
    </row>
    <row r="1002" spans="1:9" x14ac:dyDescent="0.25">
      <c r="A1002" s="1" t="s">
        <v>69</v>
      </c>
      <c r="B1002" s="9">
        <v>0</v>
      </c>
      <c r="C1002" s="9">
        <v>0</v>
      </c>
      <c r="D1002" s="9">
        <v>0</v>
      </c>
      <c r="E1002" s="9">
        <v>0</v>
      </c>
      <c r="F1002" s="9">
        <v>0</v>
      </c>
      <c r="G1002" s="9">
        <v>0</v>
      </c>
      <c r="H1002" s="9">
        <v>0</v>
      </c>
      <c r="I1002" s="7" t="s">
        <v>58</v>
      </c>
    </row>
    <row r="1003" spans="1:9" x14ac:dyDescent="0.25">
      <c r="A1003" s="1" t="s">
        <v>70</v>
      </c>
      <c r="B1003" s="7" t="s">
        <v>58</v>
      </c>
      <c r="C1003" s="7" t="s">
        <v>58</v>
      </c>
      <c r="D1003" s="7" t="s">
        <v>58</v>
      </c>
      <c r="E1003" s="7" t="s">
        <v>58</v>
      </c>
      <c r="F1003" s="7" t="s">
        <v>58</v>
      </c>
      <c r="G1003" s="7" t="s">
        <v>58</v>
      </c>
      <c r="H1003" s="7" t="s">
        <v>58</v>
      </c>
      <c r="I1003" s="7" t="s">
        <v>58</v>
      </c>
    </row>
    <row r="1004" spans="1:9" x14ac:dyDescent="0.25">
      <c r="A1004" s="1" t="s">
        <v>71</v>
      </c>
      <c r="B1004" s="9">
        <v>0</v>
      </c>
      <c r="C1004" s="9">
        <v>0</v>
      </c>
      <c r="D1004" s="9">
        <v>0</v>
      </c>
      <c r="E1004" s="9">
        <v>0</v>
      </c>
      <c r="F1004" s="9">
        <v>0</v>
      </c>
      <c r="G1004" s="9">
        <v>0</v>
      </c>
      <c r="H1004" s="9">
        <v>0</v>
      </c>
      <c r="I1004" s="7" t="s">
        <v>58</v>
      </c>
    </row>
    <row r="1005" spans="1:9" x14ac:dyDescent="0.25">
      <c r="A1005" s="1" t="s">
        <v>72</v>
      </c>
      <c r="B1005" s="9">
        <v>1784</v>
      </c>
      <c r="C1005" s="9">
        <v>1842</v>
      </c>
      <c r="D1005" s="9">
        <v>1916</v>
      </c>
      <c r="E1005" s="9">
        <v>2004</v>
      </c>
      <c r="F1005" s="9">
        <v>2079</v>
      </c>
      <c r="G1005" s="9">
        <v>2156</v>
      </c>
      <c r="H1005" s="9">
        <v>2357</v>
      </c>
      <c r="I1005" s="6">
        <v>4.7516297989999998</v>
      </c>
    </row>
    <row r="1006" spans="1:9" x14ac:dyDescent="0.25">
      <c r="A1006" s="1" t="s">
        <v>73</v>
      </c>
      <c r="B1006" s="7" t="s">
        <v>58</v>
      </c>
      <c r="C1006" s="7" t="s">
        <v>58</v>
      </c>
      <c r="D1006" s="7" t="s">
        <v>58</v>
      </c>
      <c r="E1006" s="7" t="s">
        <v>58</v>
      </c>
      <c r="F1006" s="7" t="s">
        <v>58</v>
      </c>
      <c r="G1006" s="7" t="s">
        <v>58</v>
      </c>
      <c r="H1006" s="7" t="s">
        <v>58</v>
      </c>
      <c r="I1006" s="7" t="s">
        <v>58</v>
      </c>
    </row>
    <row r="1007" spans="1:9" ht="30" x14ac:dyDescent="0.25">
      <c r="A1007" s="1" t="s">
        <v>74</v>
      </c>
      <c r="B1007" s="9">
        <v>15018</v>
      </c>
      <c r="C1007" s="9">
        <v>15168</v>
      </c>
      <c r="D1007" s="9">
        <v>15244</v>
      </c>
      <c r="E1007" s="9">
        <v>15320</v>
      </c>
      <c r="F1007" s="9">
        <v>15397</v>
      </c>
      <c r="G1007" s="9">
        <v>15473</v>
      </c>
      <c r="H1007" s="9">
        <v>15551</v>
      </c>
      <c r="I1007" s="6">
        <v>0.58295030699999995</v>
      </c>
    </row>
    <row r="1008" spans="1:9" x14ac:dyDescent="0.25">
      <c r="A1008" s="1" t="s">
        <v>75</v>
      </c>
      <c r="B1008" s="9">
        <v>1169</v>
      </c>
      <c r="C1008" s="9">
        <v>1157</v>
      </c>
      <c r="D1008" s="9">
        <v>1146</v>
      </c>
      <c r="E1008" s="9">
        <v>1134</v>
      </c>
      <c r="F1008" s="9">
        <v>1123</v>
      </c>
      <c r="G1008" s="9">
        <v>1112</v>
      </c>
      <c r="H1008" s="9">
        <v>1101</v>
      </c>
      <c r="I1008" s="6">
        <v>-0.993858668</v>
      </c>
    </row>
    <row r="1009" spans="1:9" x14ac:dyDescent="0.25">
      <c r="A1009" s="1" t="s">
        <v>76</v>
      </c>
      <c r="B1009" s="9">
        <v>0</v>
      </c>
      <c r="C1009" s="9">
        <v>0</v>
      </c>
      <c r="D1009" s="9">
        <v>0</v>
      </c>
      <c r="E1009" s="9">
        <v>0</v>
      </c>
      <c r="F1009" s="9">
        <v>0</v>
      </c>
      <c r="G1009" s="9">
        <v>0</v>
      </c>
      <c r="H1009" s="9">
        <v>0</v>
      </c>
      <c r="I1009" s="7" t="s">
        <v>58</v>
      </c>
    </row>
    <row r="1010" spans="1:9" ht="45" x14ac:dyDescent="0.25">
      <c r="A1010" s="1" t="s">
        <v>77</v>
      </c>
      <c r="B1010" s="9">
        <v>7740</v>
      </c>
      <c r="C1010" s="9">
        <v>7734</v>
      </c>
      <c r="D1010" s="9">
        <v>7090</v>
      </c>
      <c r="E1010" s="9">
        <v>7223</v>
      </c>
      <c r="F1010" s="9">
        <v>6941</v>
      </c>
      <c r="G1010" s="9">
        <v>6539</v>
      </c>
      <c r="H1010" s="9">
        <v>5935</v>
      </c>
      <c r="I1010" s="6">
        <v>-4.3290777650000001</v>
      </c>
    </row>
    <row r="1011" spans="1:9" ht="45" x14ac:dyDescent="0.25">
      <c r="A1011" s="1" t="s">
        <v>78</v>
      </c>
      <c r="B1011" s="9">
        <v>212886</v>
      </c>
      <c r="C1011" s="9">
        <v>200989</v>
      </c>
      <c r="D1011" s="9">
        <v>190595</v>
      </c>
      <c r="E1011" s="9">
        <v>181408</v>
      </c>
      <c r="F1011" s="9">
        <v>173200</v>
      </c>
      <c r="G1011" s="9">
        <v>165793</v>
      </c>
      <c r="H1011" s="9">
        <v>159050</v>
      </c>
      <c r="I1011" s="6">
        <v>-4.7428109110000003</v>
      </c>
    </row>
    <row r="1012" spans="1:9" ht="60" x14ac:dyDescent="0.25">
      <c r="A1012" s="1" t="s">
        <v>79</v>
      </c>
      <c r="B1012" s="7" t="s">
        <v>58</v>
      </c>
      <c r="C1012" s="7" t="s">
        <v>58</v>
      </c>
      <c r="D1012" s="7" t="s">
        <v>58</v>
      </c>
      <c r="E1012" s="7" t="s">
        <v>58</v>
      </c>
      <c r="F1012" s="7" t="s">
        <v>58</v>
      </c>
      <c r="G1012" s="7" t="s">
        <v>58</v>
      </c>
      <c r="H1012" s="7" t="s">
        <v>58</v>
      </c>
      <c r="I1012" s="7" t="s">
        <v>58</v>
      </c>
    </row>
    <row r="1013" spans="1:9" ht="45" x14ac:dyDescent="0.25">
      <c r="A1013" s="1" t="s">
        <v>80</v>
      </c>
      <c r="B1013" s="7" t="s">
        <v>58</v>
      </c>
      <c r="C1013" s="7" t="s">
        <v>58</v>
      </c>
      <c r="D1013" s="7" t="s">
        <v>58</v>
      </c>
      <c r="E1013" s="7" t="s">
        <v>58</v>
      </c>
      <c r="F1013" s="7" t="s">
        <v>58</v>
      </c>
      <c r="G1013" s="7" t="s">
        <v>58</v>
      </c>
      <c r="H1013" s="7" t="s">
        <v>58</v>
      </c>
      <c r="I1013" s="7" t="s">
        <v>58</v>
      </c>
    </row>
    <row r="1014" spans="1:9" ht="45" x14ac:dyDescent="0.25">
      <c r="A1014" s="1" t="s">
        <v>81</v>
      </c>
      <c r="B1014" s="9">
        <v>0</v>
      </c>
      <c r="C1014" s="9">
        <v>0</v>
      </c>
      <c r="D1014" s="9">
        <v>0</v>
      </c>
      <c r="E1014" s="9">
        <v>0</v>
      </c>
      <c r="F1014" s="9">
        <v>0</v>
      </c>
      <c r="G1014" s="9">
        <v>0</v>
      </c>
      <c r="H1014" s="9">
        <v>0</v>
      </c>
      <c r="I1014" s="7" t="s">
        <v>58</v>
      </c>
    </row>
    <row r="1015" spans="1:9" x14ac:dyDescent="0.25">
      <c r="A1015" s="1" t="s">
        <v>82</v>
      </c>
      <c r="B1015" s="9">
        <v>0</v>
      </c>
      <c r="C1015" s="9">
        <v>0</v>
      </c>
      <c r="D1015" s="9">
        <v>0</v>
      </c>
      <c r="E1015" s="9">
        <v>0</v>
      </c>
      <c r="F1015" s="9">
        <v>0</v>
      </c>
      <c r="G1015" s="9">
        <v>0</v>
      </c>
      <c r="H1015" s="9">
        <v>0</v>
      </c>
      <c r="I1015" s="7" t="s">
        <v>58</v>
      </c>
    </row>
    <row r="1016" spans="1:9" x14ac:dyDescent="0.25">
      <c r="A1016" s="1" t="s">
        <v>83</v>
      </c>
      <c r="B1016" s="9">
        <v>0</v>
      </c>
      <c r="C1016" s="9">
        <v>0</v>
      </c>
      <c r="D1016" s="9">
        <v>0</v>
      </c>
      <c r="E1016" s="9">
        <v>0</v>
      </c>
      <c r="F1016" s="9">
        <v>0</v>
      </c>
      <c r="G1016" s="9">
        <v>0</v>
      </c>
      <c r="H1016" s="9">
        <v>0</v>
      </c>
      <c r="I1016" s="7" t="s">
        <v>58</v>
      </c>
    </row>
    <row r="1017" spans="1:9" x14ac:dyDescent="0.25">
      <c r="A1017" s="1" t="s">
        <v>84</v>
      </c>
      <c r="B1017" s="9">
        <v>31801</v>
      </c>
      <c r="C1017" s="9">
        <v>32437</v>
      </c>
      <c r="D1017" s="9">
        <v>33086</v>
      </c>
      <c r="E1017" s="9">
        <v>33747</v>
      </c>
      <c r="F1017" s="9">
        <v>34422</v>
      </c>
      <c r="G1017" s="9">
        <v>35111</v>
      </c>
      <c r="H1017" s="9">
        <v>35813</v>
      </c>
      <c r="I1017" s="6">
        <v>1.9999567579999999</v>
      </c>
    </row>
    <row r="1018" spans="1:9" x14ac:dyDescent="0.25">
      <c r="A1018" s="1" t="s">
        <v>85</v>
      </c>
      <c r="B1018" s="9">
        <v>0</v>
      </c>
      <c r="C1018" s="9">
        <v>0</v>
      </c>
      <c r="D1018" s="9">
        <v>0</v>
      </c>
      <c r="E1018" s="9">
        <v>0</v>
      </c>
      <c r="F1018" s="9">
        <v>0</v>
      </c>
      <c r="G1018" s="9">
        <v>0</v>
      </c>
      <c r="H1018" s="9">
        <v>0</v>
      </c>
      <c r="I1018" s="7" t="s">
        <v>58</v>
      </c>
    </row>
    <row r="1019" spans="1:9" x14ac:dyDescent="0.25">
      <c r="A1019" s="1" t="s">
        <v>86</v>
      </c>
      <c r="B1019" s="9">
        <v>3014</v>
      </c>
      <c r="C1019" s="9">
        <v>3015</v>
      </c>
      <c r="D1019" s="9">
        <v>3016</v>
      </c>
      <c r="E1019" s="9">
        <v>3017</v>
      </c>
      <c r="F1019" s="9">
        <v>3018</v>
      </c>
      <c r="G1019" s="9">
        <v>3019</v>
      </c>
      <c r="H1019" s="9">
        <v>3020</v>
      </c>
      <c r="I1019" s="6">
        <v>3.3151013E-2</v>
      </c>
    </row>
    <row r="1020" spans="1:9" x14ac:dyDescent="0.25">
      <c r="A1020" s="1" t="s">
        <v>87</v>
      </c>
      <c r="B1020" s="9">
        <v>6088</v>
      </c>
      <c r="C1020" s="9">
        <v>6247</v>
      </c>
      <c r="D1020" s="9">
        <v>6390</v>
      </c>
      <c r="E1020" s="9">
        <v>6512</v>
      </c>
      <c r="F1020" s="9">
        <v>6681</v>
      </c>
      <c r="G1020" s="9">
        <v>6821</v>
      </c>
      <c r="H1020" s="9">
        <v>6992</v>
      </c>
      <c r="I1020" s="6">
        <v>2.334277878</v>
      </c>
    </row>
    <row r="1021" spans="1:9" x14ac:dyDescent="0.25">
      <c r="A1021" s="1" t="s">
        <v>88</v>
      </c>
      <c r="B1021" s="9">
        <v>421400</v>
      </c>
      <c r="C1021" s="9">
        <v>387400</v>
      </c>
      <c r="D1021" s="9">
        <v>353018</v>
      </c>
      <c r="E1021" s="9">
        <v>318554</v>
      </c>
      <c r="F1021" s="9">
        <v>284345</v>
      </c>
      <c r="G1021" s="9">
        <v>250755</v>
      </c>
      <c r="H1021" s="9">
        <v>218172</v>
      </c>
      <c r="I1021" s="6">
        <v>-10.391182370999999</v>
      </c>
    </row>
    <row r="1022" spans="1:9" x14ac:dyDescent="0.25">
      <c r="A1022" s="1" t="s">
        <v>89</v>
      </c>
      <c r="B1022" s="9">
        <v>0</v>
      </c>
      <c r="C1022" s="9">
        <v>0</v>
      </c>
      <c r="D1022" s="9">
        <v>0</v>
      </c>
      <c r="E1022" s="9">
        <v>0</v>
      </c>
      <c r="F1022" s="9">
        <v>0</v>
      </c>
      <c r="G1022" s="9">
        <v>0</v>
      </c>
      <c r="H1022" s="9">
        <v>0</v>
      </c>
      <c r="I1022" s="7" t="s">
        <v>58</v>
      </c>
    </row>
    <row r="1023" spans="1:9" x14ac:dyDescent="0.25">
      <c r="A1023" s="1" t="s">
        <v>90</v>
      </c>
      <c r="B1023" s="9">
        <v>0</v>
      </c>
      <c r="C1023" s="9">
        <v>0</v>
      </c>
      <c r="D1023" s="9">
        <v>0</v>
      </c>
      <c r="E1023" s="9">
        <v>0</v>
      </c>
      <c r="F1023" s="9">
        <v>0</v>
      </c>
      <c r="G1023" s="9">
        <v>0</v>
      </c>
      <c r="H1023" s="9">
        <v>0</v>
      </c>
      <c r="I1023" s="7" t="s">
        <v>58</v>
      </c>
    </row>
    <row r="1024" spans="1:9" x14ac:dyDescent="0.25">
      <c r="A1024" s="1" t="s">
        <v>91</v>
      </c>
      <c r="B1024" s="9">
        <v>0</v>
      </c>
      <c r="C1024" s="9">
        <v>0</v>
      </c>
      <c r="D1024" s="9">
        <v>0</v>
      </c>
      <c r="E1024" s="9">
        <v>0</v>
      </c>
      <c r="F1024" s="9">
        <v>0</v>
      </c>
      <c r="G1024" s="9">
        <v>0</v>
      </c>
      <c r="H1024" s="9">
        <v>0</v>
      </c>
      <c r="I1024" s="7" t="s">
        <v>58</v>
      </c>
    </row>
    <row r="1025" spans="1:9" x14ac:dyDescent="0.25">
      <c r="A1025" s="1" t="s">
        <v>92</v>
      </c>
      <c r="B1025" s="9">
        <v>245052</v>
      </c>
      <c r="C1025" s="9">
        <v>147378</v>
      </c>
      <c r="D1025" s="9">
        <v>125271</v>
      </c>
      <c r="E1025" s="9">
        <v>106481</v>
      </c>
      <c r="F1025" s="9">
        <v>90509</v>
      </c>
      <c r="G1025" s="9">
        <v>81458</v>
      </c>
      <c r="H1025" s="9">
        <v>73312</v>
      </c>
      <c r="I1025" s="6">
        <v>-18.218927316999999</v>
      </c>
    </row>
    <row r="1026" spans="1:9" x14ac:dyDescent="0.25">
      <c r="A1026" s="1" t="s">
        <v>93</v>
      </c>
      <c r="B1026" s="9">
        <v>5833</v>
      </c>
      <c r="C1026" s="9">
        <v>5250</v>
      </c>
      <c r="D1026" s="9">
        <v>4987</v>
      </c>
      <c r="E1026" s="9">
        <v>4738</v>
      </c>
      <c r="F1026" s="9">
        <v>4501</v>
      </c>
      <c r="G1026" s="9">
        <v>4276</v>
      </c>
      <c r="H1026" s="9">
        <v>4062</v>
      </c>
      <c r="I1026" s="6">
        <v>-5.8526738109999998</v>
      </c>
    </row>
    <row r="1027" spans="1:9" x14ac:dyDescent="0.25">
      <c r="A1027" s="1" t="s">
        <v>94</v>
      </c>
      <c r="B1027" s="9">
        <v>0</v>
      </c>
      <c r="C1027" s="9">
        <v>0</v>
      </c>
      <c r="D1027" s="9">
        <v>0</v>
      </c>
      <c r="E1027" s="9">
        <v>0</v>
      </c>
      <c r="F1027" s="9">
        <v>0</v>
      </c>
      <c r="G1027" s="9">
        <v>0</v>
      </c>
      <c r="H1027" s="9">
        <v>0</v>
      </c>
      <c r="I1027" s="7" t="s">
        <v>58</v>
      </c>
    </row>
    <row r="1028" spans="1:9" x14ac:dyDescent="0.25">
      <c r="A1028" s="1" t="s">
        <v>95</v>
      </c>
      <c r="B1028" s="9">
        <v>11000</v>
      </c>
      <c r="C1028" s="9">
        <v>11100</v>
      </c>
      <c r="D1028" s="9">
        <v>10545</v>
      </c>
      <c r="E1028" s="9">
        <v>10018</v>
      </c>
      <c r="F1028" s="9">
        <v>9517</v>
      </c>
      <c r="G1028" s="9">
        <v>9041</v>
      </c>
      <c r="H1028" s="9">
        <v>8589</v>
      </c>
      <c r="I1028" s="6">
        <v>-4.0396876480000001</v>
      </c>
    </row>
    <row r="1029" spans="1:9" x14ac:dyDescent="0.25">
      <c r="A1029" s="1" t="s">
        <v>96</v>
      </c>
      <c r="B1029" s="9">
        <v>0</v>
      </c>
      <c r="C1029" s="9">
        <v>0</v>
      </c>
      <c r="D1029" s="9">
        <v>0</v>
      </c>
      <c r="E1029" s="9">
        <v>0</v>
      </c>
      <c r="F1029" s="9">
        <v>0</v>
      </c>
      <c r="G1029" s="9">
        <v>0</v>
      </c>
      <c r="H1029" s="9">
        <v>0</v>
      </c>
      <c r="I1029" s="7" t="s">
        <v>58</v>
      </c>
    </row>
    <row r="1030" spans="1:9" x14ac:dyDescent="0.25">
      <c r="A1030" s="1" t="s">
        <v>97</v>
      </c>
      <c r="B1030" s="9">
        <v>1217</v>
      </c>
      <c r="C1030" s="9">
        <v>11394</v>
      </c>
      <c r="D1030" s="9">
        <v>10824</v>
      </c>
      <c r="E1030" s="9">
        <v>10283</v>
      </c>
      <c r="F1030" s="9">
        <v>9769</v>
      </c>
      <c r="G1030" s="9">
        <v>9280</v>
      </c>
      <c r="H1030" s="9">
        <v>8816</v>
      </c>
      <c r="I1030" s="6">
        <v>39.100972792999997</v>
      </c>
    </row>
    <row r="1031" spans="1:9" x14ac:dyDescent="0.25">
      <c r="A1031" s="1" t="s">
        <v>98</v>
      </c>
      <c r="B1031" s="9">
        <v>58775</v>
      </c>
      <c r="C1031" s="9">
        <v>57599</v>
      </c>
      <c r="D1031" s="9">
        <v>56447</v>
      </c>
      <c r="E1031" s="9">
        <v>55319</v>
      </c>
      <c r="F1031" s="9">
        <v>54212</v>
      </c>
      <c r="G1031" s="9">
        <v>53128</v>
      </c>
      <c r="H1031" s="9">
        <v>52065</v>
      </c>
      <c r="I1031" s="6">
        <v>-2.0001210710000001</v>
      </c>
    </row>
    <row r="1032" spans="1:9" x14ac:dyDescent="0.25">
      <c r="A1032" s="1" t="s">
        <v>99</v>
      </c>
      <c r="B1032" s="9">
        <v>11672</v>
      </c>
      <c r="C1032" s="9">
        <v>11788</v>
      </c>
      <c r="D1032" s="9">
        <v>11906</v>
      </c>
      <c r="E1032" s="9">
        <v>12025</v>
      </c>
      <c r="F1032" s="9">
        <v>12146</v>
      </c>
      <c r="G1032" s="9">
        <v>12267</v>
      </c>
      <c r="H1032" s="9">
        <v>12390</v>
      </c>
      <c r="I1032" s="6">
        <v>0.99991413799999995</v>
      </c>
    </row>
    <row r="1033" spans="1:9" x14ac:dyDescent="0.25">
      <c r="A1033" s="1" t="s">
        <v>100</v>
      </c>
      <c r="B1033" s="9">
        <v>0</v>
      </c>
      <c r="C1033" s="9">
        <v>0</v>
      </c>
      <c r="D1033" s="9">
        <v>0</v>
      </c>
      <c r="E1033" s="9">
        <v>0</v>
      </c>
      <c r="F1033" s="9">
        <v>0</v>
      </c>
      <c r="G1033" s="9">
        <v>0</v>
      </c>
      <c r="H1033" s="9">
        <v>0</v>
      </c>
      <c r="I1033" s="7" t="s">
        <v>58</v>
      </c>
    </row>
    <row r="1034" spans="1:9" x14ac:dyDescent="0.25">
      <c r="A1034" s="1" t="s">
        <v>101</v>
      </c>
      <c r="B1034" s="9">
        <v>12330</v>
      </c>
      <c r="C1034" s="9">
        <v>12145</v>
      </c>
      <c r="D1034" s="9">
        <v>11963</v>
      </c>
      <c r="E1034" s="9">
        <v>11784</v>
      </c>
      <c r="F1034" s="9">
        <v>11607</v>
      </c>
      <c r="G1034" s="9">
        <v>11433</v>
      </c>
      <c r="H1034" s="9">
        <v>11261</v>
      </c>
      <c r="I1034" s="6">
        <v>-1.5001323449999999</v>
      </c>
    </row>
    <row r="1035" spans="1:9" x14ac:dyDescent="0.25">
      <c r="A1035" s="1" t="s">
        <v>102</v>
      </c>
      <c r="B1035" s="9">
        <v>80</v>
      </c>
      <c r="C1035" s="9">
        <v>72</v>
      </c>
      <c r="D1035" s="9">
        <v>64</v>
      </c>
      <c r="E1035" s="9">
        <v>54</v>
      </c>
      <c r="F1035" s="9">
        <v>48</v>
      </c>
      <c r="G1035" s="9">
        <v>43</v>
      </c>
      <c r="H1035" s="9">
        <v>39</v>
      </c>
      <c r="I1035" s="6">
        <v>-11.285262875000001</v>
      </c>
    </row>
    <row r="1036" spans="1:9" x14ac:dyDescent="0.25">
      <c r="A1036" s="1" t="s">
        <v>103</v>
      </c>
      <c r="B1036" s="9">
        <v>3588</v>
      </c>
      <c r="C1036" s="9">
        <v>3574</v>
      </c>
      <c r="D1036" s="9">
        <v>3560</v>
      </c>
      <c r="E1036" s="9">
        <v>3545</v>
      </c>
      <c r="F1036" s="9">
        <v>3531</v>
      </c>
      <c r="G1036" s="9">
        <v>3517</v>
      </c>
      <c r="H1036" s="9">
        <v>3503</v>
      </c>
      <c r="I1036" s="6">
        <v>-0.398789381</v>
      </c>
    </row>
    <row r="1037" spans="1:9" x14ac:dyDescent="0.25">
      <c r="A1037" s="1" t="s">
        <v>104</v>
      </c>
      <c r="B1037" s="9">
        <v>0</v>
      </c>
      <c r="C1037" s="9">
        <v>0</v>
      </c>
      <c r="D1037" s="9">
        <v>0</v>
      </c>
      <c r="E1037" s="9">
        <v>0</v>
      </c>
      <c r="F1037" s="9">
        <v>0</v>
      </c>
      <c r="G1037" s="9">
        <v>0</v>
      </c>
      <c r="H1037" s="9">
        <v>0</v>
      </c>
      <c r="I1037" s="7" t="s">
        <v>58</v>
      </c>
    </row>
    <row r="1038" spans="1:9" x14ac:dyDescent="0.25">
      <c r="A1038" s="1" t="s">
        <v>105</v>
      </c>
      <c r="B1038" s="9">
        <v>1194</v>
      </c>
      <c r="C1038" s="9">
        <v>0</v>
      </c>
      <c r="D1038" s="9">
        <v>0</v>
      </c>
      <c r="E1038" s="9">
        <v>0</v>
      </c>
      <c r="F1038" s="9">
        <v>0</v>
      </c>
      <c r="G1038" s="9">
        <v>0</v>
      </c>
      <c r="H1038" s="9">
        <v>0</v>
      </c>
      <c r="I1038" s="6">
        <v>-100</v>
      </c>
    </row>
    <row r="1039" spans="1:9" x14ac:dyDescent="0.25">
      <c r="A1039" s="1" t="s">
        <v>106</v>
      </c>
      <c r="B1039" s="9">
        <v>475</v>
      </c>
      <c r="C1039" s="9">
        <v>467</v>
      </c>
      <c r="D1039" s="9">
        <v>458</v>
      </c>
      <c r="E1039" s="9">
        <v>448</v>
      </c>
      <c r="F1039" s="9">
        <v>437</v>
      </c>
      <c r="G1039" s="9">
        <v>426</v>
      </c>
      <c r="H1039" s="9">
        <v>414</v>
      </c>
      <c r="I1039" s="6">
        <v>-2.2647739179999999</v>
      </c>
    </row>
    <row r="1040" spans="1:9" ht="30" x14ac:dyDescent="0.25">
      <c r="A1040" s="1" t="s">
        <v>107</v>
      </c>
      <c r="B1040" s="9">
        <v>0</v>
      </c>
      <c r="C1040" s="9">
        <v>0</v>
      </c>
      <c r="D1040" s="9">
        <v>0</v>
      </c>
      <c r="E1040" s="9">
        <v>0</v>
      </c>
      <c r="F1040" s="9">
        <v>0</v>
      </c>
      <c r="G1040" s="9">
        <v>0</v>
      </c>
      <c r="H1040" s="9">
        <v>0</v>
      </c>
      <c r="I1040" s="7" t="s">
        <v>58</v>
      </c>
    </row>
    <row r="1041" spans="1:13" x14ac:dyDescent="0.25">
      <c r="A1041" s="1" t="s">
        <v>108</v>
      </c>
      <c r="B1041" s="9">
        <v>0</v>
      </c>
      <c r="C1041" s="9">
        <v>0</v>
      </c>
      <c r="D1041" s="9">
        <v>0</v>
      </c>
      <c r="E1041" s="9">
        <v>0</v>
      </c>
      <c r="F1041" s="9">
        <v>0</v>
      </c>
      <c r="G1041" s="9">
        <v>0</v>
      </c>
      <c r="H1041" s="9">
        <v>0</v>
      </c>
      <c r="I1041" s="7" t="s">
        <v>58</v>
      </c>
    </row>
    <row r="1042" spans="1:13" ht="30" x14ac:dyDescent="0.25">
      <c r="A1042" s="1" t="s">
        <v>109</v>
      </c>
      <c r="B1042" s="9">
        <v>0</v>
      </c>
      <c r="C1042" s="9">
        <v>0</v>
      </c>
      <c r="D1042" s="9">
        <v>0</v>
      </c>
      <c r="E1042" s="9">
        <v>0</v>
      </c>
      <c r="F1042" s="9">
        <v>0</v>
      </c>
      <c r="G1042" s="9">
        <v>0</v>
      </c>
      <c r="H1042" s="9">
        <v>0</v>
      </c>
      <c r="I1042" s="7" t="s">
        <v>58</v>
      </c>
    </row>
    <row r="1043" spans="1:13" x14ac:dyDescent="0.25">
      <c r="A1043" s="1" t="s">
        <v>110</v>
      </c>
      <c r="B1043" s="7" t="s">
        <v>58</v>
      </c>
      <c r="C1043" s="7" t="s">
        <v>58</v>
      </c>
      <c r="D1043" s="7" t="s">
        <v>58</v>
      </c>
      <c r="E1043" s="7" t="s">
        <v>58</v>
      </c>
      <c r="F1043" s="7" t="s">
        <v>58</v>
      </c>
      <c r="G1043" s="7" t="s">
        <v>58</v>
      </c>
      <c r="H1043" s="7" t="s">
        <v>58</v>
      </c>
      <c r="I1043" s="7" t="s">
        <v>58</v>
      </c>
    </row>
    <row r="1044" spans="1:13" x14ac:dyDescent="0.25">
      <c r="A1044" s="1" t="s">
        <v>111</v>
      </c>
      <c r="B1044" s="9">
        <v>0</v>
      </c>
      <c r="C1044" s="9">
        <v>0</v>
      </c>
      <c r="D1044" s="9">
        <v>0</v>
      </c>
      <c r="E1044" s="9">
        <v>0</v>
      </c>
      <c r="F1044" s="9">
        <v>0</v>
      </c>
      <c r="G1044" s="9">
        <v>0</v>
      </c>
      <c r="H1044" s="9">
        <v>0</v>
      </c>
      <c r="I1044" s="7" t="s">
        <v>58</v>
      </c>
    </row>
    <row r="1045" spans="1:13" x14ac:dyDescent="0.25">
      <c r="A1045" s="1" t="s">
        <v>112</v>
      </c>
      <c r="B1045" s="7" t="s">
        <v>58</v>
      </c>
      <c r="C1045" s="7" t="s">
        <v>58</v>
      </c>
      <c r="D1045" s="7" t="s">
        <v>58</v>
      </c>
      <c r="E1045" s="7" t="s">
        <v>58</v>
      </c>
      <c r="F1045" s="7" t="s">
        <v>58</v>
      </c>
      <c r="G1045" s="7" t="s">
        <v>58</v>
      </c>
      <c r="H1045" s="7" t="s">
        <v>58</v>
      </c>
      <c r="I1045" s="7" t="s">
        <v>58</v>
      </c>
    </row>
    <row r="1046" spans="1:13" x14ac:dyDescent="0.25">
      <c r="A1046" s="1" t="s">
        <v>113</v>
      </c>
      <c r="B1046" s="9">
        <v>15569</v>
      </c>
      <c r="C1046" s="9">
        <v>15803</v>
      </c>
      <c r="D1046" s="9">
        <v>16040</v>
      </c>
      <c r="E1046" s="9">
        <v>16281</v>
      </c>
      <c r="F1046" s="9">
        <v>16525</v>
      </c>
      <c r="G1046" s="9">
        <v>16773</v>
      </c>
      <c r="H1046" s="9">
        <v>17025</v>
      </c>
      <c r="I1046" s="6">
        <v>1.501174351</v>
      </c>
    </row>
    <row r="1047" spans="1:13" x14ac:dyDescent="0.25">
      <c r="A1047" s="1" t="s">
        <v>114</v>
      </c>
      <c r="B1047" s="9">
        <v>25500</v>
      </c>
      <c r="C1047" s="9">
        <v>28134</v>
      </c>
      <c r="D1047" s="9">
        <v>29935</v>
      </c>
      <c r="E1047" s="9">
        <v>31851</v>
      </c>
      <c r="F1047" s="9">
        <v>33889</v>
      </c>
      <c r="G1047" s="9">
        <v>36058</v>
      </c>
      <c r="H1047" s="9">
        <v>39015</v>
      </c>
      <c r="I1047" s="6">
        <v>7.3450209610000003</v>
      </c>
    </row>
    <row r="1048" spans="1:13" ht="30" x14ac:dyDescent="0.25">
      <c r="A1048" s="1" t="s">
        <v>115</v>
      </c>
      <c r="B1048" s="9">
        <v>25330</v>
      </c>
      <c r="C1048" s="9">
        <v>25141</v>
      </c>
      <c r="D1048" s="9">
        <v>24978</v>
      </c>
      <c r="E1048" s="9">
        <v>24845</v>
      </c>
      <c r="F1048" s="9">
        <v>24726</v>
      </c>
      <c r="G1048" s="9">
        <v>24620</v>
      </c>
      <c r="H1048" s="9">
        <v>24540</v>
      </c>
      <c r="I1048" s="6">
        <v>-0.52669183500000005</v>
      </c>
    </row>
    <row r="1049" spans="1:13" x14ac:dyDescent="0.25">
      <c r="A1049" s="1" t="s">
        <v>116</v>
      </c>
      <c r="B1049" s="9">
        <v>0</v>
      </c>
      <c r="C1049" s="9">
        <v>0</v>
      </c>
      <c r="D1049" s="9">
        <v>0</v>
      </c>
      <c r="E1049" s="9">
        <v>0</v>
      </c>
      <c r="F1049" s="9">
        <v>0</v>
      </c>
      <c r="G1049" s="9">
        <v>0</v>
      </c>
      <c r="H1049" s="9">
        <v>0</v>
      </c>
      <c r="I1049" s="7" t="s">
        <v>58</v>
      </c>
    </row>
    <row r="1050" spans="1:13" x14ac:dyDescent="0.25">
      <c r="A1050" s="25"/>
      <c r="B1050" s="25"/>
      <c r="C1050" s="25"/>
      <c r="D1050" s="25"/>
      <c r="E1050" s="25"/>
      <c r="F1050" s="25"/>
      <c r="G1050" s="25"/>
      <c r="H1050" s="25"/>
      <c r="I1050" s="25"/>
      <c r="J1050" s="25"/>
      <c r="K1050" s="25"/>
      <c r="L1050" s="25"/>
      <c r="M1050" s="25"/>
    </row>
    <row r="1051" spans="1:13" x14ac:dyDescent="0.25">
      <c r="A1051" s="25"/>
      <c r="B1051" s="25"/>
      <c r="C1051" s="25"/>
      <c r="D1051" s="25"/>
      <c r="E1051" s="25"/>
      <c r="F1051" s="25"/>
      <c r="G1051" s="25"/>
      <c r="H1051" s="25"/>
      <c r="I1051" s="25"/>
      <c r="J1051" s="25"/>
      <c r="K1051" s="25"/>
      <c r="L1051" s="25"/>
      <c r="M1051" s="25"/>
    </row>
    <row r="1052" spans="1:13" ht="25.5" customHeight="1" x14ac:dyDescent="0.25">
      <c r="A1052" s="25" t="s">
        <v>135</v>
      </c>
      <c r="B1052" s="25"/>
      <c r="C1052" s="25"/>
      <c r="D1052" s="25"/>
      <c r="E1052" s="25"/>
      <c r="F1052" s="25"/>
      <c r="G1052" s="25"/>
      <c r="H1052" s="25"/>
      <c r="I1052" s="25"/>
      <c r="J1052" s="25"/>
      <c r="K1052" s="25"/>
      <c r="L1052" s="25"/>
      <c r="M1052" s="25"/>
    </row>
    <row r="1053" spans="1:13" ht="76.5" customHeight="1" x14ac:dyDescent="0.25">
      <c r="A1053" s="25" t="s">
        <v>136</v>
      </c>
      <c r="B1053" s="25"/>
      <c r="C1053" s="25"/>
      <c r="D1053" s="25"/>
      <c r="E1053" s="25"/>
      <c r="F1053" s="25"/>
      <c r="G1053" s="25"/>
      <c r="H1053" s="25"/>
      <c r="I1053" s="25"/>
      <c r="J1053" s="25"/>
      <c r="K1053" s="25"/>
      <c r="L1053" s="25"/>
      <c r="M1053" s="25"/>
    </row>
    <row r="1054" spans="1:13" ht="38.25" customHeight="1" x14ac:dyDescent="0.25">
      <c r="A1054" s="25" t="s">
        <v>137</v>
      </c>
      <c r="B1054" s="25"/>
      <c r="C1054" s="25"/>
      <c r="D1054" s="25"/>
      <c r="E1054" s="25"/>
      <c r="F1054" s="25"/>
      <c r="G1054" s="25"/>
      <c r="H1054" s="25"/>
      <c r="I1054" s="25"/>
      <c r="J1054" s="25"/>
      <c r="K1054" s="25"/>
      <c r="L1054" s="25"/>
      <c r="M1054" s="25"/>
    </row>
    <row r="1055" spans="1:13" ht="25.5" customHeight="1" x14ac:dyDescent="0.25">
      <c r="A1055" s="25" t="s">
        <v>138</v>
      </c>
      <c r="B1055" s="25"/>
      <c r="C1055" s="25"/>
      <c r="D1055" s="25"/>
      <c r="E1055" s="25"/>
      <c r="F1055" s="25"/>
      <c r="G1055" s="25"/>
      <c r="H1055" s="25"/>
      <c r="I1055" s="25"/>
      <c r="J1055" s="25"/>
      <c r="K1055" s="25"/>
      <c r="L1055" s="25"/>
      <c r="M1055" s="25"/>
    </row>
  </sheetData>
  <mergeCells count="9">
    <mergeCell ref="A1053:M1053"/>
    <mergeCell ref="A1054:M1054"/>
    <mergeCell ref="A1055:M1055"/>
    <mergeCell ref="A2:M2"/>
    <mergeCell ref="A1:D1"/>
    <mergeCell ref="A8:M8"/>
    <mergeCell ref="A1050:M1050"/>
    <mergeCell ref="A1051:M1051"/>
    <mergeCell ref="A1052:M1052"/>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F30EC-F0BF-2140-B2A7-CD8101A86AF7}">
  <dimension ref="A1:M1232"/>
  <sheetViews>
    <sheetView topLeftCell="A1169" zoomScale="75" workbookViewId="0">
      <selection sqref="A1:D1"/>
    </sheetView>
  </sheetViews>
  <sheetFormatPr defaultColWidth="8.85546875" defaultRowHeight="15" x14ac:dyDescent="0.25"/>
  <cols>
    <col min="1" max="13" width="16.140625" customWidth="1"/>
  </cols>
  <sheetData>
    <row r="1" spans="1:13" ht="39.950000000000003" customHeight="1" x14ac:dyDescent="0.25">
      <c r="A1" s="27"/>
      <c r="B1" s="27"/>
      <c r="C1" s="27"/>
      <c r="D1" s="27"/>
    </row>
    <row r="2" spans="1:13" ht="30" customHeight="1" x14ac:dyDescent="0.3">
      <c r="A2" s="26" t="s">
        <v>143</v>
      </c>
      <c r="B2" s="26"/>
      <c r="C2" s="26"/>
      <c r="D2" s="26"/>
      <c r="E2" s="26"/>
      <c r="F2" s="26"/>
      <c r="G2" s="26"/>
      <c r="H2" s="26"/>
      <c r="I2" s="26"/>
      <c r="J2" s="26"/>
      <c r="K2" s="26"/>
      <c r="L2" s="26"/>
      <c r="M2" s="26"/>
    </row>
    <row r="3" spans="1:13" x14ac:dyDescent="0.25">
      <c r="A3" s="2" t="s">
        <v>0</v>
      </c>
      <c r="B3" s="1"/>
    </row>
    <row r="4" spans="1:13" x14ac:dyDescent="0.25">
      <c r="A4" s="2" t="s">
        <v>1</v>
      </c>
      <c r="B4" s="1"/>
    </row>
    <row r="5" spans="1:13" x14ac:dyDescent="0.25">
      <c r="A5" s="2" t="s">
        <v>154</v>
      </c>
      <c r="B5" s="1"/>
    </row>
    <row r="6" spans="1:13" x14ac:dyDescent="0.25">
      <c r="A6" s="2" t="s">
        <v>3</v>
      </c>
      <c r="B6" s="1"/>
    </row>
    <row r="7" spans="1:13" x14ac:dyDescent="0.25">
      <c r="A7" s="25"/>
      <c r="B7" s="25"/>
      <c r="C7" s="25"/>
      <c r="D7" s="25"/>
      <c r="E7" s="25"/>
      <c r="F7" s="25"/>
      <c r="G7" s="25"/>
      <c r="H7" s="25"/>
      <c r="I7" s="25"/>
      <c r="J7" s="25"/>
      <c r="K7" s="25"/>
      <c r="L7" s="25"/>
      <c r="M7" s="25"/>
    </row>
    <row r="8" spans="1:13" ht="30" x14ac:dyDescent="0.25">
      <c r="A8" s="3"/>
      <c r="B8" s="4" t="s">
        <v>4</v>
      </c>
      <c r="C8" s="4" t="s">
        <v>5</v>
      </c>
      <c r="D8" s="4" t="s">
        <v>6</v>
      </c>
      <c r="E8" s="4" t="s">
        <v>7</v>
      </c>
      <c r="F8" s="4" t="s">
        <v>8</v>
      </c>
      <c r="G8" s="4" t="s">
        <v>9</v>
      </c>
      <c r="H8" s="4" t="s">
        <v>10</v>
      </c>
      <c r="I8" s="4" t="s">
        <v>11</v>
      </c>
    </row>
    <row r="9" spans="1:13" x14ac:dyDescent="0.25">
      <c r="A9" s="1" t="s">
        <v>12</v>
      </c>
      <c r="B9" s="2"/>
      <c r="C9" s="2"/>
      <c r="D9" s="2"/>
      <c r="E9" s="2"/>
      <c r="F9" s="2"/>
      <c r="G9" s="2"/>
      <c r="H9" s="2"/>
      <c r="I9" s="2"/>
    </row>
    <row r="10" spans="1:13" x14ac:dyDescent="0.25">
      <c r="A10" s="8" t="s">
        <v>14</v>
      </c>
      <c r="B10" s="2"/>
      <c r="C10" s="2"/>
      <c r="D10" s="2"/>
      <c r="E10" s="2"/>
      <c r="F10" s="2"/>
      <c r="G10" s="2"/>
      <c r="H10" s="2"/>
      <c r="I10" s="2"/>
    </row>
    <row r="11" spans="1:13" ht="30" x14ac:dyDescent="0.25">
      <c r="A11" s="1" t="s">
        <v>153</v>
      </c>
      <c r="B11" s="9">
        <v>45700000</v>
      </c>
      <c r="C11" s="9">
        <v>45850000</v>
      </c>
      <c r="D11" s="9">
        <v>46000000</v>
      </c>
      <c r="E11" s="9">
        <v>46150000</v>
      </c>
      <c r="F11" s="9">
        <v>46300000</v>
      </c>
      <c r="G11" s="9">
        <v>46440000</v>
      </c>
      <c r="H11" s="9">
        <v>46590000</v>
      </c>
      <c r="I11" s="6">
        <v>0.32197770372000001</v>
      </c>
    </row>
    <row r="12" spans="1:13" ht="45" x14ac:dyDescent="0.25">
      <c r="A12" s="1" t="s">
        <v>152</v>
      </c>
      <c r="B12" s="9">
        <v>16084433</v>
      </c>
      <c r="C12" s="9">
        <v>16136606</v>
      </c>
      <c r="D12" s="9">
        <v>16172812</v>
      </c>
      <c r="E12" s="9">
        <v>16192926</v>
      </c>
      <c r="F12" s="9">
        <v>16196872</v>
      </c>
      <c r="G12" s="9">
        <v>16184623</v>
      </c>
      <c r="H12" s="9">
        <v>16156198</v>
      </c>
      <c r="I12" s="6">
        <v>7.4224920999999999E-2</v>
      </c>
    </row>
    <row r="13" spans="1:13" ht="30" x14ac:dyDescent="0.25">
      <c r="A13" s="1" t="s">
        <v>151</v>
      </c>
      <c r="B13" s="9">
        <v>15722533</v>
      </c>
      <c r="C13" s="9">
        <v>15781601</v>
      </c>
      <c r="D13" s="9">
        <v>15825097</v>
      </c>
      <c r="E13" s="9">
        <v>15852875</v>
      </c>
      <c r="F13" s="9">
        <v>15864836</v>
      </c>
      <c r="G13" s="9">
        <v>15860931</v>
      </c>
      <c r="H13" s="9">
        <v>15841152</v>
      </c>
      <c r="I13" s="6">
        <v>0.12534857399999999</v>
      </c>
    </row>
    <row r="14" spans="1:13" ht="60" x14ac:dyDescent="0.25">
      <c r="A14" s="1" t="s">
        <v>150</v>
      </c>
      <c r="B14" s="9">
        <v>11913680</v>
      </c>
      <c r="C14" s="9">
        <v>12343343</v>
      </c>
      <c r="D14" s="9">
        <v>12739593</v>
      </c>
      <c r="E14" s="9">
        <v>12914784</v>
      </c>
      <c r="F14" s="9">
        <v>13119749</v>
      </c>
      <c r="G14" s="9">
        <v>13394220</v>
      </c>
      <c r="H14" s="9">
        <v>13746410</v>
      </c>
      <c r="I14" s="6">
        <v>2.413504374</v>
      </c>
    </row>
    <row r="15" spans="1:13" ht="60" x14ac:dyDescent="0.25">
      <c r="A15" s="1" t="s">
        <v>149</v>
      </c>
      <c r="B15" s="9">
        <v>5625728</v>
      </c>
      <c r="C15" s="9">
        <v>5545669</v>
      </c>
      <c r="D15" s="9">
        <v>5541236</v>
      </c>
      <c r="E15" s="9">
        <v>5524318</v>
      </c>
      <c r="F15" s="9">
        <v>5492683</v>
      </c>
      <c r="G15" s="9">
        <v>5438426</v>
      </c>
      <c r="H15" s="9">
        <v>5365770</v>
      </c>
      <c r="I15" s="6">
        <v>-0.78540732000000002</v>
      </c>
    </row>
    <row r="16" spans="1:13" ht="60" x14ac:dyDescent="0.25">
      <c r="A16" s="1" t="s">
        <v>148</v>
      </c>
      <c r="B16" s="9">
        <v>521297</v>
      </c>
      <c r="C16" s="9">
        <v>138098</v>
      </c>
      <c r="D16" s="9">
        <v>38702</v>
      </c>
      <c r="E16" s="9">
        <v>3414</v>
      </c>
      <c r="F16" s="9">
        <v>0</v>
      </c>
      <c r="G16" s="9">
        <v>0</v>
      </c>
      <c r="H16" s="9">
        <v>0</v>
      </c>
      <c r="I16" s="6">
        <v>-100</v>
      </c>
    </row>
    <row r="17" spans="1:9" ht="60" x14ac:dyDescent="0.25">
      <c r="A17" s="1" t="s">
        <v>147</v>
      </c>
      <c r="B17" s="9">
        <v>4875163</v>
      </c>
      <c r="C17" s="9">
        <v>5582880</v>
      </c>
      <c r="D17" s="9">
        <v>6087234</v>
      </c>
      <c r="E17" s="9">
        <v>6319871</v>
      </c>
      <c r="F17" s="9">
        <v>6566075</v>
      </c>
      <c r="G17" s="9">
        <v>6901806</v>
      </c>
      <c r="H17" s="9">
        <v>7334567</v>
      </c>
      <c r="I17" s="6">
        <v>7.0444667949999999</v>
      </c>
    </row>
    <row r="18" spans="1:9" ht="75" x14ac:dyDescent="0.25">
      <c r="A18" s="1" t="s">
        <v>146</v>
      </c>
      <c r="B18" s="9">
        <v>92757</v>
      </c>
      <c r="C18" s="9">
        <v>231893</v>
      </c>
      <c r="D18" s="9">
        <v>235023</v>
      </c>
      <c r="E18" s="9">
        <v>237961</v>
      </c>
      <c r="F18" s="9">
        <v>240697</v>
      </c>
      <c r="G18" s="9">
        <v>243345</v>
      </c>
      <c r="H18" s="9">
        <v>245779</v>
      </c>
      <c r="I18" s="6">
        <v>17.634040149</v>
      </c>
    </row>
    <row r="19" spans="1:9" ht="75" x14ac:dyDescent="0.25">
      <c r="A19" s="1" t="s">
        <v>145</v>
      </c>
      <c r="B19" s="9">
        <v>599299</v>
      </c>
      <c r="C19" s="9">
        <v>646763</v>
      </c>
      <c r="D19" s="9">
        <v>640943</v>
      </c>
      <c r="E19" s="9">
        <v>634533</v>
      </c>
      <c r="F19" s="9">
        <v>627553</v>
      </c>
      <c r="G19" s="9">
        <v>620023</v>
      </c>
      <c r="H19" s="9">
        <v>611962</v>
      </c>
      <c r="I19" s="6">
        <v>0.34910044499999998</v>
      </c>
    </row>
    <row r="20" spans="1:9" ht="75" x14ac:dyDescent="0.25">
      <c r="A20" s="1" t="s">
        <v>144</v>
      </c>
      <c r="B20" s="9">
        <v>199436</v>
      </c>
      <c r="C20" s="9">
        <v>198040</v>
      </c>
      <c r="D20" s="9">
        <v>196456</v>
      </c>
      <c r="E20" s="9">
        <v>194688</v>
      </c>
      <c r="F20" s="9">
        <v>192741</v>
      </c>
      <c r="G20" s="9">
        <v>190621</v>
      </c>
      <c r="H20" s="9">
        <v>188333</v>
      </c>
      <c r="I20" s="6">
        <v>-0.95015242499999997</v>
      </c>
    </row>
    <row r="21" spans="1:9" x14ac:dyDescent="0.25">
      <c r="A21" s="1" t="s">
        <v>12</v>
      </c>
      <c r="B21" s="2"/>
      <c r="C21" s="2"/>
      <c r="D21" s="2"/>
      <c r="E21" s="2"/>
      <c r="F21" s="2"/>
      <c r="G21" s="2"/>
      <c r="H21" s="2"/>
      <c r="I21" s="2"/>
    </row>
    <row r="22" spans="1:9" ht="30" x14ac:dyDescent="0.25">
      <c r="A22" s="8" t="s">
        <v>15</v>
      </c>
      <c r="B22" s="2"/>
      <c r="C22" s="2"/>
      <c r="D22" s="2"/>
      <c r="E22" s="2"/>
      <c r="F22" s="2"/>
      <c r="G22" s="2"/>
      <c r="H22" s="2"/>
      <c r="I22" s="2"/>
    </row>
    <row r="23" spans="1:9" ht="30" x14ac:dyDescent="0.25">
      <c r="A23" s="1" t="s">
        <v>153</v>
      </c>
      <c r="B23" s="9">
        <v>4331188359</v>
      </c>
      <c r="C23" s="9">
        <v>4351121073</v>
      </c>
      <c r="D23" s="9">
        <v>4374033563</v>
      </c>
      <c r="E23" s="9">
        <v>4396455467</v>
      </c>
      <c r="F23" s="9">
        <v>4418171484</v>
      </c>
      <c r="G23" s="9">
        <v>4439371409</v>
      </c>
      <c r="H23" s="9">
        <v>4459860038</v>
      </c>
      <c r="I23" s="6">
        <v>0.48911614947999998</v>
      </c>
    </row>
    <row r="24" spans="1:9" ht="45" x14ac:dyDescent="0.25">
      <c r="A24" s="1" t="s">
        <v>152</v>
      </c>
      <c r="B24" s="9">
        <v>1219853322</v>
      </c>
      <c r="C24" s="9">
        <v>1237040973</v>
      </c>
      <c r="D24" s="9">
        <v>1256896984</v>
      </c>
      <c r="E24" s="9">
        <v>1276766821</v>
      </c>
      <c r="F24" s="9">
        <v>1296495777</v>
      </c>
      <c r="G24" s="9">
        <v>1315646999</v>
      </c>
      <c r="H24" s="9">
        <v>1334882671</v>
      </c>
      <c r="I24" s="6">
        <v>1.5132145109999999</v>
      </c>
    </row>
    <row r="25" spans="1:9" ht="30" x14ac:dyDescent="0.25">
      <c r="A25" s="1" t="s">
        <v>151</v>
      </c>
      <c r="B25" s="9">
        <v>1072806335</v>
      </c>
      <c r="C25" s="9">
        <v>1094209968</v>
      </c>
      <c r="D25" s="9">
        <v>1118839248</v>
      </c>
      <c r="E25" s="9">
        <v>1143163080</v>
      </c>
      <c r="F25" s="9">
        <v>1167900843</v>
      </c>
      <c r="G25" s="9">
        <v>1193142062</v>
      </c>
      <c r="H25" s="9">
        <v>1218054131</v>
      </c>
      <c r="I25" s="6">
        <v>2.138829506</v>
      </c>
    </row>
    <row r="26" spans="1:9" ht="60" x14ac:dyDescent="0.25">
      <c r="A26" s="1" t="s">
        <v>150</v>
      </c>
      <c r="B26" s="9">
        <v>690877373</v>
      </c>
      <c r="C26" s="9">
        <v>720167261</v>
      </c>
      <c r="D26" s="9">
        <v>738812900</v>
      </c>
      <c r="E26" s="9">
        <v>757393412</v>
      </c>
      <c r="F26" s="9">
        <v>781907273</v>
      </c>
      <c r="G26" s="9">
        <v>803407390</v>
      </c>
      <c r="H26" s="9">
        <v>827351509</v>
      </c>
      <c r="I26" s="6">
        <v>3.0500441880000002</v>
      </c>
    </row>
    <row r="27" spans="1:9" ht="60" x14ac:dyDescent="0.25">
      <c r="A27" s="1" t="s">
        <v>149</v>
      </c>
      <c r="B27" s="9">
        <v>56890760</v>
      </c>
      <c r="C27" s="9">
        <v>56542832</v>
      </c>
      <c r="D27" s="9">
        <v>56580414</v>
      </c>
      <c r="E27" s="9">
        <v>56407881</v>
      </c>
      <c r="F27" s="9">
        <v>56302333</v>
      </c>
      <c r="G27" s="9">
        <v>56403376</v>
      </c>
      <c r="H27" s="9">
        <v>56325227</v>
      </c>
      <c r="I27" s="6">
        <v>-0.16636847599999999</v>
      </c>
    </row>
    <row r="28" spans="1:9" ht="60" x14ac:dyDescent="0.25">
      <c r="A28" s="1" t="s">
        <v>148</v>
      </c>
      <c r="B28" s="9">
        <v>16862796</v>
      </c>
      <c r="C28" s="9">
        <v>15708680</v>
      </c>
      <c r="D28" s="9">
        <v>14816067</v>
      </c>
      <c r="E28" s="9">
        <v>14222418</v>
      </c>
      <c r="F28" s="9">
        <v>13711331</v>
      </c>
      <c r="G28" s="9">
        <v>13036008</v>
      </c>
      <c r="H28" s="9">
        <v>12506793</v>
      </c>
      <c r="I28" s="6">
        <v>-4.8586310609999996</v>
      </c>
    </row>
    <row r="29" spans="1:9" ht="60" x14ac:dyDescent="0.25">
      <c r="A29" s="1" t="s">
        <v>147</v>
      </c>
      <c r="B29" s="9">
        <v>597962159</v>
      </c>
      <c r="C29" s="9">
        <v>619321039</v>
      </c>
      <c r="D29" s="9">
        <v>636915384</v>
      </c>
      <c r="E29" s="9">
        <v>654522497</v>
      </c>
      <c r="F29" s="9">
        <v>676941860</v>
      </c>
      <c r="G29" s="9">
        <v>696842972</v>
      </c>
      <c r="H29" s="9">
        <v>719325534</v>
      </c>
      <c r="I29" s="6">
        <v>3.1276914250000001</v>
      </c>
    </row>
    <row r="30" spans="1:9" ht="75" x14ac:dyDescent="0.25">
      <c r="A30" s="1" t="s">
        <v>146</v>
      </c>
      <c r="B30" s="9">
        <v>284146</v>
      </c>
      <c r="C30" s="9">
        <v>309419</v>
      </c>
      <c r="D30" s="9">
        <v>318347</v>
      </c>
      <c r="E30" s="9">
        <v>329254</v>
      </c>
      <c r="F30" s="9">
        <v>338124</v>
      </c>
      <c r="G30" s="9">
        <v>351748</v>
      </c>
      <c r="H30" s="9">
        <v>362894</v>
      </c>
      <c r="I30" s="6">
        <v>4.1612956749999999</v>
      </c>
    </row>
    <row r="31" spans="1:9" ht="75" x14ac:dyDescent="0.25">
      <c r="A31" s="1" t="s">
        <v>145</v>
      </c>
      <c r="B31" s="9">
        <v>14113196</v>
      </c>
      <c r="C31" s="9">
        <v>23688974</v>
      </c>
      <c r="D31" s="9">
        <v>25968635</v>
      </c>
      <c r="E31" s="9">
        <v>27617102</v>
      </c>
      <c r="F31" s="9">
        <v>30486603</v>
      </c>
      <c r="G31" s="9">
        <v>32885137</v>
      </c>
      <c r="H31" s="9">
        <v>35302235</v>
      </c>
      <c r="I31" s="6">
        <v>16.509893368</v>
      </c>
    </row>
    <row r="32" spans="1:9" ht="75" x14ac:dyDescent="0.25">
      <c r="A32" s="1" t="s">
        <v>144</v>
      </c>
      <c r="B32" s="9">
        <v>4764315</v>
      </c>
      <c r="C32" s="9">
        <v>4596316</v>
      </c>
      <c r="D32" s="9">
        <v>4214053</v>
      </c>
      <c r="E32" s="9">
        <v>4294260</v>
      </c>
      <c r="F32" s="9">
        <v>4127023</v>
      </c>
      <c r="G32" s="9">
        <v>3888150</v>
      </c>
      <c r="H32" s="9">
        <v>3528826</v>
      </c>
      <c r="I32" s="6">
        <v>-4.8800464640000003</v>
      </c>
    </row>
    <row r="33" spans="1:9" x14ac:dyDescent="0.25">
      <c r="A33" s="1" t="s">
        <v>12</v>
      </c>
      <c r="B33" s="2"/>
      <c r="C33" s="2"/>
      <c r="D33" s="2"/>
      <c r="E33" s="2"/>
      <c r="F33" s="2"/>
      <c r="G33" s="2"/>
      <c r="H33" s="2"/>
      <c r="I33" s="2"/>
    </row>
    <row r="34" spans="1:9" x14ac:dyDescent="0.25">
      <c r="A34" s="8" t="s">
        <v>16</v>
      </c>
      <c r="B34" s="2"/>
      <c r="C34" s="2"/>
      <c r="D34" s="2"/>
      <c r="E34" s="2"/>
      <c r="F34" s="2"/>
      <c r="G34" s="2"/>
      <c r="H34" s="2"/>
      <c r="I34" s="2"/>
    </row>
    <row r="35" spans="1:9" ht="30" x14ac:dyDescent="0.25">
      <c r="A35" s="1" t="s">
        <v>153</v>
      </c>
      <c r="B35" s="9">
        <v>26710000</v>
      </c>
      <c r="C35" s="9">
        <v>26970000</v>
      </c>
      <c r="D35" s="9">
        <v>27230000</v>
      </c>
      <c r="E35" s="9">
        <v>27470000</v>
      </c>
      <c r="F35" s="9">
        <v>27720000</v>
      </c>
      <c r="G35" s="9">
        <v>27960000</v>
      </c>
      <c r="H35" s="9">
        <v>28190000</v>
      </c>
      <c r="I35" s="6">
        <v>0.90287282828000004</v>
      </c>
    </row>
    <row r="36" spans="1:9" ht="45" x14ac:dyDescent="0.25">
      <c r="A36" s="1" t="s">
        <v>152</v>
      </c>
      <c r="B36" s="9">
        <v>8494954</v>
      </c>
      <c r="C36" s="9">
        <v>8527235</v>
      </c>
      <c r="D36" s="9">
        <v>8548553</v>
      </c>
      <c r="E36" s="9">
        <v>8576763</v>
      </c>
      <c r="F36" s="9">
        <v>8599063</v>
      </c>
      <c r="G36" s="9">
        <v>8620561</v>
      </c>
      <c r="H36" s="9">
        <v>8647284</v>
      </c>
      <c r="I36" s="6">
        <v>0.29665487000000001</v>
      </c>
    </row>
    <row r="37" spans="1:9" ht="30" x14ac:dyDescent="0.25">
      <c r="A37" s="1" t="s">
        <v>151</v>
      </c>
      <c r="B37" s="9">
        <v>8476228</v>
      </c>
      <c r="C37" s="9">
        <v>8508863</v>
      </c>
      <c r="D37" s="9">
        <v>8530562</v>
      </c>
      <c r="E37" s="9">
        <v>8559140</v>
      </c>
      <c r="F37" s="9">
        <v>8581823</v>
      </c>
      <c r="G37" s="9">
        <v>8603708</v>
      </c>
      <c r="H37" s="9">
        <v>8630811</v>
      </c>
      <c r="I37" s="6">
        <v>0.30166970399999998</v>
      </c>
    </row>
    <row r="38" spans="1:9" ht="60" x14ac:dyDescent="0.25">
      <c r="A38" s="1" t="s">
        <v>150</v>
      </c>
      <c r="B38" s="9">
        <v>8103085</v>
      </c>
      <c r="C38" s="9">
        <v>8056182</v>
      </c>
      <c r="D38" s="9">
        <v>7982893</v>
      </c>
      <c r="E38" s="9">
        <v>8009401</v>
      </c>
      <c r="F38" s="9">
        <v>8050446</v>
      </c>
      <c r="G38" s="9">
        <v>8165452</v>
      </c>
      <c r="H38" s="9">
        <v>8231930</v>
      </c>
      <c r="I38" s="6">
        <v>0.26327331900000001</v>
      </c>
    </row>
    <row r="39" spans="1:9" ht="60" x14ac:dyDescent="0.25">
      <c r="A39" s="1" t="s">
        <v>149</v>
      </c>
      <c r="B39" s="9">
        <v>986417</v>
      </c>
      <c r="C39" s="9">
        <v>769405</v>
      </c>
      <c r="D39" s="9">
        <v>607830</v>
      </c>
      <c r="E39" s="9">
        <v>480186</v>
      </c>
      <c r="F39" s="9">
        <v>374545</v>
      </c>
      <c r="G39" s="9">
        <v>337090</v>
      </c>
      <c r="H39" s="9">
        <v>269672</v>
      </c>
      <c r="I39" s="6">
        <v>-19.43818946</v>
      </c>
    </row>
    <row r="40" spans="1:9" ht="60" x14ac:dyDescent="0.25">
      <c r="A40" s="1" t="s">
        <v>148</v>
      </c>
      <c r="B40" s="9">
        <v>449868</v>
      </c>
      <c r="C40" s="9">
        <v>301412</v>
      </c>
      <c r="D40" s="9">
        <v>241129</v>
      </c>
      <c r="E40" s="9">
        <v>192903</v>
      </c>
      <c r="F40" s="9">
        <v>154323</v>
      </c>
      <c r="G40" s="9">
        <v>123458</v>
      </c>
      <c r="H40" s="9">
        <v>101236</v>
      </c>
      <c r="I40" s="6">
        <v>-22.009510554999999</v>
      </c>
    </row>
    <row r="41" spans="1:9" ht="60" x14ac:dyDescent="0.25">
      <c r="A41" s="1" t="s">
        <v>147</v>
      </c>
      <c r="B41" s="9">
        <v>5981009</v>
      </c>
      <c r="C41" s="9">
        <v>6190344</v>
      </c>
      <c r="D41" s="9">
        <v>6314151</v>
      </c>
      <c r="E41" s="9">
        <v>6490947</v>
      </c>
      <c r="F41" s="9">
        <v>6653221</v>
      </c>
      <c r="G41" s="9">
        <v>6812898</v>
      </c>
      <c r="H41" s="9">
        <v>6949156</v>
      </c>
      <c r="I41" s="6">
        <v>2.5320406129999999</v>
      </c>
    </row>
    <row r="42" spans="1:9" ht="75" x14ac:dyDescent="0.25">
      <c r="A42" s="1" t="s">
        <v>146</v>
      </c>
      <c r="B42" s="9">
        <v>150961</v>
      </c>
      <c r="C42" s="9">
        <v>153225</v>
      </c>
      <c r="D42" s="9">
        <v>155524</v>
      </c>
      <c r="E42" s="9">
        <v>157857</v>
      </c>
      <c r="F42" s="9">
        <v>160225</v>
      </c>
      <c r="G42" s="9">
        <v>162628</v>
      </c>
      <c r="H42" s="9">
        <v>164254</v>
      </c>
      <c r="I42" s="6">
        <v>1.4164797490000001</v>
      </c>
    </row>
    <row r="43" spans="1:9" ht="75" x14ac:dyDescent="0.25">
      <c r="A43" s="1" t="s">
        <v>145</v>
      </c>
      <c r="B43" s="9">
        <v>534830</v>
      </c>
      <c r="C43" s="9">
        <v>641797</v>
      </c>
      <c r="D43" s="9">
        <v>664259</v>
      </c>
      <c r="E43" s="9">
        <v>687509</v>
      </c>
      <c r="F43" s="9">
        <v>708134</v>
      </c>
      <c r="G43" s="9">
        <v>729378</v>
      </c>
      <c r="H43" s="9">
        <v>747612</v>
      </c>
      <c r="I43" s="6">
        <v>5.7410009840000003</v>
      </c>
    </row>
    <row r="44" spans="1:9" ht="75" x14ac:dyDescent="0.25">
      <c r="A44" s="1" t="s">
        <v>144</v>
      </c>
      <c r="B44" s="9">
        <v>0</v>
      </c>
      <c r="C44" s="9">
        <v>0</v>
      </c>
      <c r="D44" s="9">
        <v>0</v>
      </c>
      <c r="E44" s="9">
        <v>0</v>
      </c>
      <c r="F44" s="9">
        <v>0</v>
      </c>
      <c r="G44" s="9">
        <v>0</v>
      </c>
      <c r="H44" s="9">
        <v>0</v>
      </c>
      <c r="I44" s="7" t="s">
        <v>58</v>
      </c>
    </row>
    <row r="45" spans="1:9" x14ac:dyDescent="0.25">
      <c r="A45" s="1" t="s">
        <v>12</v>
      </c>
      <c r="B45" s="2"/>
      <c r="C45" s="2"/>
      <c r="D45" s="2"/>
      <c r="E45" s="2"/>
      <c r="F45" s="2"/>
      <c r="G45" s="2"/>
      <c r="H45" s="2"/>
      <c r="I45" s="2"/>
    </row>
    <row r="46" spans="1:9" x14ac:dyDescent="0.25">
      <c r="A46" s="8" t="s">
        <v>17</v>
      </c>
      <c r="B46" s="2"/>
      <c r="C46" s="2"/>
      <c r="D46" s="2"/>
      <c r="E46" s="2"/>
      <c r="F46" s="2"/>
      <c r="G46" s="2"/>
      <c r="H46" s="2"/>
      <c r="I46" s="2"/>
    </row>
    <row r="47" spans="1:9" ht="30" x14ac:dyDescent="0.25">
      <c r="A47" s="1" t="s">
        <v>153</v>
      </c>
      <c r="B47" s="9">
        <v>8750000</v>
      </c>
      <c r="C47" s="9">
        <v>8770000</v>
      </c>
      <c r="D47" s="9">
        <v>8790000</v>
      </c>
      <c r="E47" s="9">
        <v>8800000</v>
      </c>
      <c r="F47" s="9">
        <v>8820000</v>
      </c>
      <c r="G47" s="9">
        <v>8830000</v>
      </c>
      <c r="H47" s="9">
        <v>8840000</v>
      </c>
      <c r="I47" s="6">
        <v>0.17069846223999999</v>
      </c>
    </row>
    <row r="48" spans="1:9" ht="45" x14ac:dyDescent="0.25">
      <c r="A48" s="1" t="s">
        <v>152</v>
      </c>
      <c r="B48" s="9">
        <v>4093112</v>
      </c>
      <c r="C48" s="9">
        <v>4121764</v>
      </c>
      <c r="D48" s="9">
        <v>4150616</v>
      </c>
      <c r="E48" s="9">
        <v>4179670</v>
      </c>
      <c r="F48" s="9">
        <v>4208928</v>
      </c>
      <c r="G48" s="9">
        <v>4238390</v>
      </c>
      <c r="H48" s="9">
        <v>4268059</v>
      </c>
      <c r="I48" s="6">
        <v>0.69999855300000002</v>
      </c>
    </row>
    <row r="49" spans="1:9" ht="30" x14ac:dyDescent="0.25">
      <c r="A49" s="1" t="s">
        <v>151</v>
      </c>
      <c r="B49" s="9">
        <v>3990090</v>
      </c>
      <c r="C49" s="9">
        <v>4022010</v>
      </c>
      <c r="D49" s="9">
        <v>4054186</v>
      </c>
      <c r="E49" s="9">
        <v>4086620</v>
      </c>
      <c r="F49" s="9">
        <v>4119313</v>
      </c>
      <c r="G49" s="9">
        <v>4152267</v>
      </c>
      <c r="H49" s="9">
        <v>4185485</v>
      </c>
      <c r="I49" s="6">
        <v>0.79999634399999997</v>
      </c>
    </row>
    <row r="50" spans="1:9" ht="60" x14ac:dyDescent="0.25">
      <c r="A50" s="1" t="s">
        <v>150</v>
      </c>
      <c r="B50" s="9">
        <v>2516283</v>
      </c>
      <c r="C50" s="9">
        <v>2577518</v>
      </c>
      <c r="D50" s="9">
        <v>2634020</v>
      </c>
      <c r="E50" s="9">
        <v>2693266</v>
      </c>
      <c r="F50" s="9">
        <v>2751238</v>
      </c>
      <c r="G50" s="9">
        <v>2808031</v>
      </c>
      <c r="H50" s="9">
        <v>2869079</v>
      </c>
      <c r="I50" s="6">
        <v>2.2108901439999999</v>
      </c>
    </row>
    <row r="51" spans="1:9" ht="60" x14ac:dyDescent="0.25">
      <c r="A51" s="1" t="s">
        <v>149</v>
      </c>
      <c r="B51" s="9">
        <v>1025460</v>
      </c>
      <c r="C51" s="9">
        <v>1045127</v>
      </c>
      <c r="D51" s="9">
        <v>1061740</v>
      </c>
      <c r="E51" s="9">
        <v>1075980</v>
      </c>
      <c r="F51" s="9">
        <v>1080703</v>
      </c>
      <c r="G51" s="9">
        <v>1085789</v>
      </c>
      <c r="H51" s="9">
        <v>1091413</v>
      </c>
      <c r="I51" s="6">
        <v>1.0442798470000001</v>
      </c>
    </row>
    <row r="52" spans="1:9" ht="60" x14ac:dyDescent="0.25">
      <c r="A52" s="1" t="s">
        <v>148</v>
      </c>
      <c r="B52" s="9">
        <v>1124494</v>
      </c>
      <c r="C52" s="9">
        <v>1084794</v>
      </c>
      <c r="D52" s="9">
        <v>1044170</v>
      </c>
      <c r="E52" s="9">
        <v>1002562</v>
      </c>
      <c r="F52" s="9">
        <v>964786</v>
      </c>
      <c r="G52" s="9">
        <v>923186</v>
      </c>
      <c r="H52" s="9">
        <v>878309</v>
      </c>
      <c r="I52" s="6">
        <v>-4.0345218010000004</v>
      </c>
    </row>
    <row r="53" spans="1:9" ht="60" x14ac:dyDescent="0.25">
      <c r="A53" s="1" t="s">
        <v>147</v>
      </c>
      <c r="B53" s="9">
        <v>348632</v>
      </c>
      <c r="C53" s="9">
        <v>429754</v>
      </c>
      <c r="D53" s="9">
        <v>510171</v>
      </c>
      <c r="E53" s="9">
        <v>596686</v>
      </c>
      <c r="F53" s="9">
        <v>687613</v>
      </c>
      <c r="G53" s="9">
        <v>780822</v>
      </c>
      <c r="H53" s="9">
        <v>881023</v>
      </c>
      <c r="I53" s="6">
        <v>16.708727305</v>
      </c>
    </row>
    <row r="54" spans="1:9" ht="75" x14ac:dyDescent="0.25">
      <c r="A54" s="1" t="s">
        <v>146</v>
      </c>
      <c r="B54" s="9">
        <v>743</v>
      </c>
      <c r="C54" s="9">
        <v>754</v>
      </c>
      <c r="D54" s="9">
        <v>765</v>
      </c>
      <c r="E54" s="9">
        <v>777</v>
      </c>
      <c r="F54" s="9">
        <v>789</v>
      </c>
      <c r="G54" s="9">
        <v>800</v>
      </c>
      <c r="H54" s="9">
        <v>812</v>
      </c>
      <c r="I54" s="6">
        <v>1.491078889</v>
      </c>
    </row>
    <row r="55" spans="1:9" ht="75" x14ac:dyDescent="0.25">
      <c r="A55" s="1" t="s">
        <v>145</v>
      </c>
      <c r="B55" s="9">
        <v>16954</v>
      </c>
      <c r="C55" s="9">
        <v>17089</v>
      </c>
      <c r="D55" s="9">
        <v>17175</v>
      </c>
      <c r="E55" s="9">
        <v>17261</v>
      </c>
      <c r="F55" s="9">
        <v>17347</v>
      </c>
      <c r="G55" s="9">
        <v>17434</v>
      </c>
      <c r="H55" s="9">
        <v>17521</v>
      </c>
      <c r="I55" s="6">
        <v>0.54977855499999995</v>
      </c>
    </row>
    <row r="56" spans="1:9" ht="75" x14ac:dyDescent="0.25">
      <c r="A56" s="1" t="s">
        <v>144</v>
      </c>
      <c r="B56" s="9">
        <v>0</v>
      </c>
      <c r="C56" s="9">
        <v>0</v>
      </c>
      <c r="D56" s="9">
        <v>0</v>
      </c>
      <c r="E56" s="9">
        <v>0</v>
      </c>
      <c r="F56" s="9">
        <v>0</v>
      </c>
      <c r="G56" s="9">
        <v>0</v>
      </c>
      <c r="H56" s="9">
        <v>0</v>
      </c>
      <c r="I56" s="7" t="s">
        <v>58</v>
      </c>
    </row>
    <row r="57" spans="1:9" x14ac:dyDescent="0.25">
      <c r="A57" s="1" t="s">
        <v>12</v>
      </c>
      <c r="B57" s="2"/>
      <c r="C57" s="2"/>
      <c r="D57" s="2"/>
      <c r="E57" s="2"/>
      <c r="F57" s="2"/>
      <c r="G57" s="2"/>
      <c r="H57" s="2"/>
      <c r="I57" s="2"/>
    </row>
    <row r="58" spans="1:9" x14ac:dyDescent="0.25">
      <c r="A58" s="8" t="s">
        <v>18</v>
      </c>
      <c r="B58" s="2"/>
      <c r="C58" s="2"/>
      <c r="D58" s="2"/>
      <c r="E58" s="2"/>
      <c r="F58" s="2"/>
      <c r="G58" s="2"/>
      <c r="H58" s="2"/>
      <c r="I58" s="2"/>
    </row>
    <row r="59" spans="1:9" ht="30" x14ac:dyDescent="0.25">
      <c r="A59" s="1" t="s">
        <v>153</v>
      </c>
      <c r="B59" s="9">
        <v>422476</v>
      </c>
      <c r="C59" s="9">
        <v>426190</v>
      </c>
      <c r="D59" s="9">
        <v>429905</v>
      </c>
      <c r="E59" s="9">
        <v>433619</v>
      </c>
      <c r="F59" s="9">
        <v>437333</v>
      </c>
      <c r="G59" s="9">
        <v>441048</v>
      </c>
      <c r="H59" s="9">
        <v>444762</v>
      </c>
      <c r="I59" s="6">
        <v>0.86045863195000005</v>
      </c>
    </row>
    <row r="60" spans="1:9" ht="45" x14ac:dyDescent="0.25">
      <c r="A60" s="1" t="s">
        <v>152</v>
      </c>
      <c r="B60" s="9">
        <v>126373</v>
      </c>
      <c r="C60" s="9">
        <v>128199</v>
      </c>
      <c r="D60" s="9">
        <v>130051</v>
      </c>
      <c r="E60" s="9">
        <v>131911</v>
      </c>
      <c r="F60" s="9">
        <v>133797</v>
      </c>
      <c r="G60" s="9">
        <v>135720</v>
      </c>
      <c r="H60" s="9">
        <v>137670</v>
      </c>
      <c r="I60" s="6">
        <v>1.437258411</v>
      </c>
    </row>
    <row r="61" spans="1:9" ht="30" x14ac:dyDescent="0.25">
      <c r="A61" s="1" t="s">
        <v>151</v>
      </c>
      <c r="B61" s="9">
        <v>124682</v>
      </c>
      <c r="C61" s="9">
        <v>126610</v>
      </c>
      <c r="D61" s="9">
        <v>128568</v>
      </c>
      <c r="E61" s="9">
        <v>130556</v>
      </c>
      <c r="F61" s="9">
        <v>132556</v>
      </c>
      <c r="G61" s="9">
        <v>134588</v>
      </c>
      <c r="H61" s="9">
        <v>136522</v>
      </c>
      <c r="I61" s="6">
        <v>1.523476332</v>
      </c>
    </row>
    <row r="62" spans="1:9" ht="60" x14ac:dyDescent="0.25">
      <c r="A62" s="1" t="s">
        <v>150</v>
      </c>
      <c r="B62" s="9">
        <v>76887</v>
      </c>
      <c r="C62" s="9">
        <v>77159</v>
      </c>
      <c r="D62" s="9">
        <v>77435</v>
      </c>
      <c r="E62" s="9">
        <v>77714</v>
      </c>
      <c r="F62" s="9">
        <v>77997</v>
      </c>
      <c r="G62" s="9">
        <v>78285</v>
      </c>
      <c r="H62" s="9">
        <v>78576</v>
      </c>
      <c r="I62" s="6">
        <v>0.36281488200000001</v>
      </c>
    </row>
    <row r="63" spans="1:9" ht="60" x14ac:dyDescent="0.25">
      <c r="A63" s="1" t="s">
        <v>149</v>
      </c>
      <c r="B63" s="9">
        <v>40638</v>
      </c>
      <c r="C63" s="9">
        <v>40639</v>
      </c>
      <c r="D63" s="9">
        <v>40708</v>
      </c>
      <c r="E63" s="9">
        <v>40830</v>
      </c>
      <c r="F63" s="9">
        <v>40991</v>
      </c>
      <c r="G63" s="9">
        <v>41142</v>
      </c>
      <c r="H63" s="9">
        <v>41295</v>
      </c>
      <c r="I63" s="6">
        <v>0.267654854</v>
      </c>
    </row>
    <row r="64" spans="1:9" ht="60" x14ac:dyDescent="0.25">
      <c r="A64" s="1" t="s">
        <v>148</v>
      </c>
      <c r="B64" s="9">
        <v>16637</v>
      </c>
      <c r="C64" s="9">
        <v>16705</v>
      </c>
      <c r="D64" s="9">
        <v>16821</v>
      </c>
      <c r="E64" s="9">
        <v>16984</v>
      </c>
      <c r="F64" s="9">
        <v>17192</v>
      </c>
      <c r="G64" s="9">
        <v>17255</v>
      </c>
      <c r="H64" s="9">
        <v>17319</v>
      </c>
      <c r="I64" s="6">
        <v>0.67183062599999999</v>
      </c>
    </row>
    <row r="65" spans="1:9" ht="60" x14ac:dyDescent="0.25">
      <c r="A65" s="1" t="s">
        <v>147</v>
      </c>
      <c r="B65" s="9">
        <v>14306</v>
      </c>
      <c r="C65" s="9">
        <v>14669</v>
      </c>
      <c r="D65" s="9">
        <v>14909</v>
      </c>
      <c r="E65" s="9">
        <v>15042</v>
      </c>
      <c r="F65" s="9">
        <v>15088</v>
      </c>
      <c r="G65" s="9">
        <v>15144</v>
      </c>
      <c r="H65" s="9">
        <v>15200</v>
      </c>
      <c r="I65" s="6">
        <v>1.0153937930000001</v>
      </c>
    </row>
    <row r="66" spans="1:9" ht="75" x14ac:dyDescent="0.25">
      <c r="A66" s="1" t="s">
        <v>146</v>
      </c>
      <c r="B66" s="9">
        <v>0</v>
      </c>
      <c r="C66" s="9">
        <v>0</v>
      </c>
      <c r="D66" s="9">
        <v>0</v>
      </c>
      <c r="E66" s="9">
        <v>0</v>
      </c>
      <c r="F66" s="9">
        <v>0</v>
      </c>
      <c r="G66" s="9">
        <v>0</v>
      </c>
      <c r="H66" s="9">
        <v>0</v>
      </c>
      <c r="I66" s="7" t="s">
        <v>58</v>
      </c>
    </row>
    <row r="67" spans="1:9" ht="75" x14ac:dyDescent="0.25">
      <c r="A67" s="1" t="s">
        <v>145</v>
      </c>
      <c r="B67" s="9">
        <v>5306</v>
      </c>
      <c r="C67" s="9">
        <v>5146</v>
      </c>
      <c r="D67" s="9">
        <v>4997</v>
      </c>
      <c r="E67" s="9">
        <v>4858</v>
      </c>
      <c r="F67" s="9">
        <v>4726</v>
      </c>
      <c r="G67" s="9">
        <v>4744</v>
      </c>
      <c r="H67" s="9">
        <v>4761</v>
      </c>
      <c r="I67" s="6">
        <v>-1.7901255220000001</v>
      </c>
    </row>
    <row r="68" spans="1:9" ht="75" x14ac:dyDescent="0.25">
      <c r="A68" s="1" t="s">
        <v>144</v>
      </c>
      <c r="B68" s="9">
        <v>0</v>
      </c>
      <c r="C68" s="9">
        <v>0</v>
      </c>
      <c r="D68" s="9">
        <v>0</v>
      </c>
      <c r="E68" s="9">
        <v>0</v>
      </c>
      <c r="F68" s="9">
        <v>0</v>
      </c>
      <c r="G68" s="9">
        <v>0</v>
      </c>
      <c r="H68" s="9">
        <v>0</v>
      </c>
      <c r="I68" s="7" t="s">
        <v>58</v>
      </c>
    </row>
    <row r="69" spans="1:9" x14ac:dyDescent="0.25">
      <c r="A69" s="1" t="s">
        <v>12</v>
      </c>
      <c r="B69" s="2"/>
      <c r="C69" s="2"/>
      <c r="D69" s="2"/>
      <c r="E69" s="2"/>
      <c r="F69" s="2"/>
      <c r="G69" s="2"/>
      <c r="H69" s="2"/>
      <c r="I69" s="2"/>
    </row>
    <row r="70" spans="1:9" x14ac:dyDescent="0.25">
      <c r="A70" s="8" t="s">
        <v>19</v>
      </c>
      <c r="B70" s="2"/>
      <c r="C70" s="2"/>
      <c r="D70" s="2"/>
      <c r="E70" s="2"/>
      <c r="F70" s="2"/>
      <c r="G70" s="2"/>
      <c r="H70" s="2"/>
      <c r="I70" s="2"/>
    </row>
    <row r="71" spans="1:9" ht="30" x14ac:dyDescent="0.25">
      <c r="A71" s="1" t="s">
        <v>153</v>
      </c>
      <c r="B71" s="9">
        <v>1640000</v>
      </c>
      <c r="C71" s="9">
        <v>1680000</v>
      </c>
      <c r="D71" s="9">
        <v>1720000</v>
      </c>
      <c r="E71" s="9">
        <v>1750000</v>
      </c>
      <c r="F71" s="9">
        <v>1780000</v>
      </c>
      <c r="G71" s="9">
        <v>1800000</v>
      </c>
      <c r="H71" s="9">
        <v>1830000</v>
      </c>
      <c r="I71" s="6">
        <v>1.8437870833200001</v>
      </c>
    </row>
    <row r="72" spans="1:9" ht="45" x14ac:dyDescent="0.25">
      <c r="A72" s="1" t="s">
        <v>152</v>
      </c>
      <c r="B72" s="9">
        <v>180116</v>
      </c>
      <c r="C72" s="9">
        <v>180728</v>
      </c>
      <c r="D72" s="9">
        <v>181270</v>
      </c>
      <c r="E72" s="9">
        <v>181814</v>
      </c>
      <c r="F72" s="9">
        <v>182360</v>
      </c>
      <c r="G72" s="9">
        <v>182907</v>
      </c>
      <c r="H72" s="9">
        <v>183455</v>
      </c>
      <c r="I72" s="6">
        <v>0.306607717</v>
      </c>
    </row>
    <row r="73" spans="1:9" ht="30" x14ac:dyDescent="0.25">
      <c r="A73" s="1" t="s">
        <v>151</v>
      </c>
      <c r="B73" s="9">
        <v>178602</v>
      </c>
      <c r="C73" s="9">
        <v>179299</v>
      </c>
      <c r="D73" s="9">
        <v>179926</v>
      </c>
      <c r="E73" s="9">
        <v>180556</v>
      </c>
      <c r="F73" s="9">
        <v>181189</v>
      </c>
      <c r="G73" s="9">
        <v>181823</v>
      </c>
      <c r="H73" s="9">
        <v>182460</v>
      </c>
      <c r="I73" s="6">
        <v>0.35682016500000002</v>
      </c>
    </row>
    <row r="74" spans="1:9" ht="60" x14ac:dyDescent="0.25">
      <c r="A74" s="1" t="s">
        <v>150</v>
      </c>
      <c r="B74" s="9">
        <v>170402</v>
      </c>
      <c r="C74" s="9">
        <v>173075</v>
      </c>
      <c r="D74" s="9">
        <v>173714</v>
      </c>
      <c r="E74" s="9">
        <v>174685</v>
      </c>
      <c r="F74" s="9">
        <v>175694</v>
      </c>
      <c r="G74" s="9">
        <v>176740</v>
      </c>
      <c r="H74" s="9">
        <v>177823</v>
      </c>
      <c r="I74" s="6">
        <v>0.71300187599999998</v>
      </c>
    </row>
    <row r="75" spans="1:9" ht="60" x14ac:dyDescent="0.25">
      <c r="A75" s="1" t="s">
        <v>149</v>
      </c>
      <c r="B75" s="9">
        <v>0</v>
      </c>
      <c r="C75" s="9">
        <v>0</v>
      </c>
      <c r="D75" s="9">
        <v>0</v>
      </c>
      <c r="E75" s="9">
        <v>0</v>
      </c>
      <c r="F75" s="9">
        <v>0</v>
      </c>
      <c r="G75" s="9">
        <v>0</v>
      </c>
      <c r="H75" s="9">
        <v>0</v>
      </c>
      <c r="I75" s="7" t="s">
        <v>58</v>
      </c>
    </row>
    <row r="76" spans="1:9" ht="60" x14ac:dyDescent="0.25">
      <c r="A76" s="1" t="s">
        <v>148</v>
      </c>
      <c r="B76" s="9">
        <v>3422</v>
      </c>
      <c r="C76" s="9">
        <v>3217</v>
      </c>
      <c r="D76" s="9">
        <v>3024</v>
      </c>
      <c r="E76" s="9">
        <v>2842</v>
      </c>
      <c r="F76" s="9">
        <v>2672</v>
      </c>
      <c r="G76" s="9">
        <v>2511</v>
      </c>
      <c r="H76" s="9">
        <v>2361</v>
      </c>
      <c r="I76" s="6">
        <v>-5.9982374060000003</v>
      </c>
    </row>
    <row r="77" spans="1:9" ht="60" x14ac:dyDescent="0.25">
      <c r="A77" s="1" t="s">
        <v>147</v>
      </c>
      <c r="B77" s="9">
        <v>160386</v>
      </c>
      <c r="C77" s="9">
        <v>163594</v>
      </c>
      <c r="D77" s="9">
        <v>164739</v>
      </c>
      <c r="E77" s="9">
        <v>166189</v>
      </c>
      <c r="F77" s="9">
        <v>167651</v>
      </c>
      <c r="G77" s="9">
        <v>169127</v>
      </c>
      <c r="H77" s="9">
        <v>170615</v>
      </c>
      <c r="I77" s="6">
        <v>1.0357630440000001</v>
      </c>
    </row>
    <row r="78" spans="1:9" ht="75" x14ac:dyDescent="0.25">
      <c r="A78" s="1" t="s">
        <v>146</v>
      </c>
      <c r="B78" s="9">
        <v>0</v>
      </c>
      <c r="C78" s="9">
        <v>0</v>
      </c>
      <c r="D78" s="9">
        <v>0</v>
      </c>
      <c r="E78" s="9">
        <v>0</v>
      </c>
      <c r="F78" s="9">
        <v>0</v>
      </c>
      <c r="G78" s="9">
        <v>0</v>
      </c>
      <c r="H78" s="9">
        <v>0</v>
      </c>
      <c r="I78" s="7" t="s">
        <v>58</v>
      </c>
    </row>
    <row r="79" spans="1:9" ht="75" x14ac:dyDescent="0.25">
      <c r="A79" s="1" t="s">
        <v>145</v>
      </c>
      <c r="B79" s="9">
        <v>6594</v>
      </c>
      <c r="C79" s="9">
        <v>6264</v>
      </c>
      <c r="D79" s="9">
        <v>5951</v>
      </c>
      <c r="E79" s="9">
        <v>5654</v>
      </c>
      <c r="F79" s="9">
        <v>5371</v>
      </c>
      <c r="G79" s="9">
        <v>5102</v>
      </c>
      <c r="H79" s="9">
        <v>4847</v>
      </c>
      <c r="I79" s="6">
        <v>-5.0006400040000001</v>
      </c>
    </row>
    <row r="80" spans="1:9" ht="75" x14ac:dyDescent="0.25">
      <c r="A80" s="1" t="s">
        <v>144</v>
      </c>
      <c r="B80" s="9">
        <v>0</v>
      </c>
      <c r="C80" s="9">
        <v>0</v>
      </c>
      <c r="D80" s="9">
        <v>0</v>
      </c>
      <c r="E80" s="9">
        <v>0</v>
      </c>
      <c r="F80" s="9">
        <v>0</v>
      </c>
      <c r="G80" s="9">
        <v>0</v>
      </c>
      <c r="H80" s="9">
        <v>0</v>
      </c>
      <c r="I80" s="7" t="s">
        <v>58</v>
      </c>
    </row>
    <row r="81" spans="1:9" x14ac:dyDescent="0.25">
      <c r="A81" s="1" t="s">
        <v>12</v>
      </c>
      <c r="B81" s="2"/>
      <c r="C81" s="2"/>
      <c r="D81" s="2"/>
      <c r="E81" s="2"/>
      <c r="F81" s="2"/>
      <c r="G81" s="2"/>
      <c r="H81" s="2"/>
      <c r="I81" s="2"/>
    </row>
    <row r="82" spans="1:9" x14ac:dyDescent="0.25">
      <c r="A82" s="8" t="s">
        <v>20</v>
      </c>
      <c r="B82" s="2"/>
      <c r="C82" s="2"/>
      <c r="D82" s="2"/>
      <c r="E82" s="2"/>
      <c r="F82" s="2"/>
      <c r="G82" s="2"/>
      <c r="H82" s="2"/>
      <c r="I82" s="2"/>
    </row>
    <row r="83" spans="1:9" ht="30" x14ac:dyDescent="0.25">
      <c r="A83" s="1" t="s">
        <v>153</v>
      </c>
      <c r="B83" s="9">
        <v>290871</v>
      </c>
      <c r="C83" s="9">
        <v>291162</v>
      </c>
      <c r="D83" s="9">
        <v>291453</v>
      </c>
      <c r="E83" s="9">
        <v>291744</v>
      </c>
      <c r="F83" s="9">
        <v>292036</v>
      </c>
      <c r="G83" s="9">
        <v>292328</v>
      </c>
      <c r="H83" s="9">
        <v>292618</v>
      </c>
      <c r="I83" s="6">
        <v>9.9852055790000005E-2</v>
      </c>
    </row>
    <row r="84" spans="1:9" ht="45" x14ac:dyDescent="0.25">
      <c r="A84" s="1" t="s">
        <v>152</v>
      </c>
      <c r="B84" s="9">
        <v>110795</v>
      </c>
      <c r="C84" s="9">
        <v>111451</v>
      </c>
      <c r="D84" s="9">
        <v>111979</v>
      </c>
      <c r="E84" s="9">
        <v>112403</v>
      </c>
      <c r="F84" s="9">
        <v>112744</v>
      </c>
      <c r="G84" s="9">
        <v>112744</v>
      </c>
      <c r="H84" s="9">
        <v>113900</v>
      </c>
      <c r="I84" s="6">
        <v>0.46171636599999999</v>
      </c>
    </row>
    <row r="85" spans="1:9" ht="30" x14ac:dyDescent="0.25">
      <c r="A85" s="1" t="s">
        <v>151</v>
      </c>
      <c r="B85" s="9">
        <v>106083</v>
      </c>
      <c r="C85" s="9">
        <v>107144</v>
      </c>
      <c r="D85" s="9">
        <v>107155</v>
      </c>
      <c r="E85" s="9">
        <v>108227</v>
      </c>
      <c r="F85" s="9">
        <v>108238</v>
      </c>
      <c r="G85" s="9">
        <v>108249</v>
      </c>
      <c r="H85" s="9">
        <v>109788</v>
      </c>
      <c r="I85" s="6">
        <v>0.57379705999999997</v>
      </c>
    </row>
    <row r="86" spans="1:9" ht="60" x14ac:dyDescent="0.25">
      <c r="A86" s="1" t="s">
        <v>150</v>
      </c>
      <c r="B86" s="9">
        <v>95504</v>
      </c>
      <c r="C86" s="9">
        <v>96258</v>
      </c>
      <c r="D86" s="9">
        <v>97018</v>
      </c>
      <c r="E86" s="9">
        <v>97785</v>
      </c>
      <c r="F86" s="9">
        <v>98555</v>
      </c>
      <c r="G86" s="9">
        <v>99333</v>
      </c>
      <c r="H86" s="9">
        <v>100118</v>
      </c>
      <c r="I86" s="6">
        <v>0.78945588099999997</v>
      </c>
    </row>
    <row r="87" spans="1:9" ht="60" x14ac:dyDescent="0.25">
      <c r="A87" s="1" t="s">
        <v>149</v>
      </c>
      <c r="B87" s="9">
        <v>0</v>
      </c>
      <c r="C87" s="9">
        <v>0</v>
      </c>
      <c r="D87" s="9">
        <v>0</v>
      </c>
      <c r="E87" s="9">
        <v>0</v>
      </c>
      <c r="F87" s="9">
        <v>0</v>
      </c>
      <c r="G87" s="9">
        <v>0</v>
      </c>
      <c r="H87" s="9">
        <v>0</v>
      </c>
      <c r="I87" s="7" t="s">
        <v>58</v>
      </c>
    </row>
    <row r="88" spans="1:9" ht="60" x14ac:dyDescent="0.25">
      <c r="A88" s="1" t="s">
        <v>148</v>
      </c>
      <c r="B88" s="9">
        <v>0</v>
      </c>
      <c r="C88" s="9">
        <v>0</v>
      </c>
      <c r="D88" s="9">
        <v>0</v>
      </c>
      <c r="E88" s="9">
        <v>0</v>
      </c>
      <c r="F88" s="9">
        <v>0</v>
      </c>
      <c r="G88" s="9">
        <v>0</v>
      </c>
      <c r="H88" s="9">
        <v>0</v>
      </c>
      <c r="I88" s="7" t="s">
        <v>58</v>
      </c>
    </row>
    <row r="89" spans="1:9" ht="60" x14ac:dyDescent="0.25">
      <c r="A89" s="1" t="s">
        <v>147</v>
      </c>
      <c r="B89" s="9">
        <v>95326</v>
      </c>
      <c r="C89" s="9">
        <v>96089</v>
      </c>
      <c r="D89" s="9">
        <v>96857</v>
      </c>
      <c r="E89" s="9">
        <v>97632</v>
      </c>
      <c r="F89" s="9">
        <v>98413</v>
      </c>
      <c r="G89" s="9">
        <v>99201</v>
      </c>
      <c r="H89" s="9">
        <v>99994</v>
      </c>
      <c r="I89" s="6">
        <v>0.79997597899999995</v>
      </c>
    </row>
    <row r="90" spans="1:9" ht="75" x14ac:dyDescent="0.25">
      <c r="A90" s="1" t="s">
        <v>146</v>
      </c>
      <c r="B90" s="9">
        <v>0</v>
      </c>
      <c r="C90" s="9">
        <v>0</v>
      </c>
      <c r="D90" s="9">
        <v>0</v>
      </c>
      <c r="E90" s="9">
        <v>0</v>
      </c>
      <c r="F90" s="9">
        <v>0</v>
      </c>
      <c r="G90" s="9">
        <v>0</v>
      </c>
      <c r="H90" s="9">
        <v>0</v>
      </c>
      <c r="I90" s="7" t="s">
        <v>58</v>
      </c>
    </row>
    <row r="91" spans="1:9" ht="75" x14ac:dyDescent="0.25">
      <c r="A91" s="1" t="s">
        <v>145</v>
      </c>
      <c r="B91" s="9">
        <v>178</v>
      </c>
      <c r="C91" s="9">
        <v>169</v>
      </c>
      <c r="D91" s="9">
        <v>161</v>
      </c>
      <c r="E91" s="9">
        <v>153</v>
      </c>
      <c r="F91" s="9">
        <v>142</v>
      </c>
      <c r="G91" s="9">
        <v>133</v>
      </c>
      <c r="H91" s="9">
        <v>124</v>
      </c>
      <c r="I91" s="6">
        <v>-5.8471189560000001</v>
      </c>
    </row>
    <row r="92" spans="1:9" ht="75" x14ac:dyDescent="0.25">
      <c r="A92" s="1" t="s">
        <v>144</v>
      </c>
      <c r="B92" s="9">
        <v>0</v>
      </c>
      <c r="C92" s="9">
        <v>0</v>
      </c>
      <c r="D92" s="9">
        <v>0</v>
      </c>
      <c r="E92" s="9">
        <v>0</v>
      </c>
      <c r="F92" s="9">
        <v>0</v>
      </c>
      <c r="G92" s="9">
        <v>0</v>
      </c>
      <c r="H92" s="9">
        <v>0</v>
      </c>
      <c r="I92" s="7" t="s">
        <v>58</v>
      </c>
    </row>
    <row r="93" spans="1:9" x14ac:dyDescent="0.25">
      <c r="A93" s="1" t="s">
        <v>12</v>
      </c>
      <c r="B93" s="2"/>
      <c r="C93" s="2"/>
      <c r="D93" s="2"/>
      <c r="E93" s="2"/>
      <c r="F93" s="2"/>
      <c r="G93" s="2"/>
      <c r="H93" s="2"/>
      <c r="I93" s="2"/>
    </row>
    <row r="94" spans="1:9" x14ac:dyDescent="0.25">
      <c r="A94" s="8" t="s">
        <v>21</v>
      </c>
      <c r="B94" s="2"/>
      <c r="C94" s="2"/>
      <c r="D94" s="2"/>
      <c r="E94" s="2"/>
      <c r="F94" s="2"/>
      <c r="G94" s="2"/>
      <c r="H94" s="2"/>
      <c r="I94" s="2"/>
    </row>
    <row r="95" spans="1:9" ht="30" x14ac:dyDescent="0.25">
      <c r="A95" s="1" t="s">
        <v>153</v>
      </c>
      <c r="B95" s="9">
        <v>11720000</v>
      </c>
      <c r="C95" s="9">
        <v>11740000</v>
      </c>
      <c r="D95" s="9">
        <v>11770000</v>
      </c>
      <c r="E95" s="9">
        <v>11800000</v>
      </c>
      <c r="F95" s="9">
        <v>11820000</v>
      </c>
      <c r="G95" s="9">
        <v>11850000</v>
      </c>
      <c r="H95" s="9">
        <v>11870000</v>
      </c>
      <c r="I95" s="6">
        <v>0.21218186234</v>
      </c>
    </row>
    <row r="96" spans="1:9" ht="45" x14ac:dyDescent="0.25">
      <c r="A96" s="1" t="s">
        <v>152</v>
      </c>
      <c r="B96" s="9">
        <v>5100207</v>
      </c>
      <c r="C96" s="9">
        <v>5129880</v>
      </c>
      <c r="D96" s="9">
        <v>5160107</v>
      </c>
      <c r="E96" s="9">
        <v>5190512</v>
      </c>
      <c r="F96" s="9">
        <v>5221097</v>
      </c>
      <c r="G96" s="9">
        <v>5251862</v>
      </c>
      <c r="H96" s="9">
        <v>5282808</v>
      </c>
      <c r="I96" s="6">
        <v>0.58799942599999999</v>
      </c>
    </row>
    <row r="97" spans="1:9" ht="30" x14ac:dyDescent="0.25">
      <c r="A97" s="1" t="s">
        <v>151</v>
      </c>
      <c r="B97" s="9">
        <v>5048260</v>
      </c>
      <c r="C97" s="9">
        <v>5077631</v>
      </c>
      <c r="D97" s="9">
        <v>5107550</v>
      </c>
      <c r="E97" s="9">
        <v>5137646</v>
      </c>
      <c r="F97" s="9">
        <v>5167918</v>
      </c>
      <c r="G97" s="9">
        <v>5198370</v>
      </c>
      <c r="H97" s="9">
        <v>5229001</v>
      </c>
      <c r="I97" s="6">
        <v>0.58799891699999995</v>
      </c>
    </row>
    <row r="98" spans="1:9" ht="60" x14ac:dyDescent="0.25">
      <c r="A98" s="1" t="s">
        <v>150</v>
      </c>
      <c r="B98" s="9">
        <v>4474167</v>
      </c>
      <c r="C98" s="9">
        <v>4546020</v>
      </c>
      <c r="D98" s="9">
        <v>4615777</v>
      </c>
      <c r="E98" s="9">
        <v>4688802</v>
      </c>
      <c r="F98" s="9">
        <v>4759640</v>
      </c>
      <c r="G98" s="9">
        <v>4825834</v>
      </c>
      <c r="H98" s="9">
        <v>4893349</v>
      </c>
      <c r="I98" s="6">
        <v>1.5038075399999999</v>
      </c>
    </row>
    <row r="99" spans="1:9" ht="60" x14ac:dyDescent="0.25">
      <c r="A99" s="1" t="s">
        <v>149</v>
      </c>
      <c r="B99" s="9">
        <v>2488988</v>
      </c>
      <c r="C99" s="9">
        <v>2513527</v>
      </c>
      <c r="D99" s="9">
        <v>2530652</v>
      </c>
      <c r="E99" s="9">
        <v>2546781</v>
      </c>
      <c r="F99" s="9">
        <v>2563209</v>
      </c>
      <c r="G99" s="9">
        <v>2577225</v>
      </c>
      <c r="H99" s="9">
        <v>2590116</v>
      </c>
      <c r="I99" s="6">
        <v>0.66598220100000005</v>
      </c>
    </row>
    <row r="100" spans="1:9" ht="60" x14ac:dyDescent="0.25">
      <c r="A100" s="1" t="s">
        <v>148</v>
      </c>
      <c r="B100" s="9">
        <v>1252943</v>
      </c>
      <c r="C100" s="9">
        <v>985637</v>
      </c>
      <c r="D100" s="9">
        <v>716130</v>
      </c>
      <c r="E100" s="9">
        <v>537032</v>
      </c>
      <c r="F100" s="9">
        <v>358617</v>
      </c>
      <c r="G100" s="9">
        <v>180070</v>
      </c>
      <c r="H100" s="9">
        <v>72334</v>
      </c>
      <c r="I100" s="6">
        <v>-37.831766383999998</v>
      </c>
    </row>
    <row r="101" spans="1:9" ht="60" x14ac:dyDescent="0.25">
      <c r="A101" s="1" t="s">
        <v>147</v>
      </c>
      <c r="B101" s="9">
        <v>718598</v>
      </c>
      <c r="C101" s="9">
        <v>1033015</v>
      </c>
      <c r="D101" s="9">
        <v>1354946</v>
      </c>
      <c r="E101" s="9">
        <v>1590728</v>
      </c>
      <c r="F101" s="9">
        <v>1823340</v>
      </c>
      <c r="G101" s="9">
        <v>2053848</v>
      </c>
      <c r="H101" s="9">
        <v>2215988</v>
      </c>
      <c r="I101" s="6">
        <v>20.646177560999998</v>
      </c>
    </row>
    <row r="102" spans="1:9" ht="75" x14ac:dyDescent="0.25">
      <c r="A102" s="1" t="s">
        <v>146</v>
      </c>
      <c r="B102" s="7" t="s">
        <v>58</v>
      </c>
      <c r="C102" s="7" t="s">
        <v>58</v>
      </c>
      <c r="D102" s="7" t="s">
        <v>58</v>
      </c>
      <c r="E102" s="7" t="s">
        <v>58</v>
      </c>
      <c r="F102" s="7" t="s">
        <v>58</v>
      </c>
      <c r="G102" s="7" t="s">
        <v>58</v>
      </c>
      <c r="H102" s="7" t="s">
        <v>58</v>
      </c>
      <c r="I102" s="7" t="s">
        <v>58</v>
      </c>
    </row>
    <row r="103" spans="1:9" ht="75" x14ac:dyDescent="0.25">
      <c r="A103" s="1" t="s">
        <v>145</v>
      </c>
      <c r="B103" s="9">
        <v>13637</v>
      </c>
      <c r="C103" s="9">
        <v>13842</v>
      </c>
      <c r="D103" s="9">
        <v>14050</v>
      </c>
      <c r="E103" s="9">
        <v>14260</v>
      </c>
      <c r="F103" s="9">
        <v>14474</v>
      </c>
      <c r="G103" s="9">
        <v>14691</v>
      </c>
      <c r="H103" s="9">
        <v>14912</v>
      </c>
      <c r="I103" s="6">
        <v>1.5008102459999999</v>
      </c>
    </row>
    <row r="104" spans="1:9" ht="75" x14ac:dyDescent="0.25">
      <c r="A104" s="1" t="s">
        <v>144</v>
      </c>
      <c r="B104" s="7" t="s">
        <v>58</v>
      </c>
      <c r="C104" s="7" t="s">
        <v>58</v>
      </c>
      <c r="D104" s="7" t="s">
        <v>58</v>
      </c>
      <c r="E104" s="7" t="s">
        <v>58</v>
      </c>
      <c r="F104" s="7" t="s">
        <v>58</v>
      </c>
      <c r="G104" s="7" t="s">
        <v>58</v>
      </c>
      <c r="H104" s="7" t="s">
        <v>58</v>
      </c>
      <c r="I104" s="7" t="s">
        <v>58</v>
      </c>
    </row>
    <row r="105" spans="1:9" x14ac:dyDescent="0.25">
      <c r="A105" s="1" t="s">
        <v>12</v>
      </c>
      <c r="B105" s="2"/>
      <c r="C105" s="2"/>
      <c r="D105" s="2"/>
      <c r="E105" s="2"/>
      <c r="F105" s="2"/>
      <c r="G105" s="2"/>
      <c r="H105" s="2"/>
      <c r="I105" s="2"/>
    </row>
    <row r="106" spans="1:9" x14ac:dyDescent="0.25">
      <c r="A106" s="8" t="s">
        <v>22</v>
      </c>
      <c r="B106" s="2"/>
      <c r="C106" s="2"/>
      <c r="D106" s="2"/>
      <c r="E106" s="2"/>
      <c r="F106" s="2"/>
      <c r="G106" s="2"/>
      <c r="H106" s="2"/>
      <c r="I106" s="2"/>
    </row>
    <row r="107" spans="1:9" ht="30" x14ac:dyDescent="0.25">
      <c r="A107" s="1" t="s">
        <v>153</v>
      </c>
      <c r="B107" s="9">
        <v>12310000</v>
      </c>
      <c r="C107" s="9">
        <v>12470000</v>
      </c>
      <c r="D107" s="9">
        <v>12630000</v>
      </c>
      <c r="E107" s="9">
        <v>12780000</v>
      </c>
      <c r="F107" s="9">
        <v>12940000</v>
      </c>
      <c r="G107" s="9">
        <v>13090000</v>
      </c>
      <c r="H107" s="9">
        <v>13240000</v>
      </c>
      <c r="I107" s="6">
        <v>1.22124048443</v>
      </c>
    </row>
    <row r="108" spans="1:9" ht="45" x14ac:dyDescent="0.25">
      <c r="A108" s="1" t="s">
        <v>152</v>
      </c>
      <c r="B108" s="9">
        <v>4113160</v>
      </c>
      <c r="C108" s="9">
        <v>4195423</v>
      </c>
      <c r="D108" s="9">
        <v>4279331</v>
      </c>
      <c r="E108" s="9">
        <v>4364918</v>
      </c>
      <c r="F108" s="9">
        <v>4452216</v>
      </c>
      <c r="G108" s="9">
        <v>4541260</v>
      </c>
      <c r="H108" s="9">
        <v>4632085</v>
      </c>
      <c r="I108" s="6">
        <v>1.9999955359999999</v>
      </c>
    </row>
    <row r="109" spans="1:9" ht="30" x14ac:dyDescent="0.25">
      <c r="A109" s="1" t="s">
        <v>151</v>
      </c>
      <c r="B109" s="9">
        <v>3706087</v>
      </c>
      <c r="C109" s="9">
        <v>3820976</v>
      </c>
      <c r="D109" s="9">
        <v>3935605</v>
      </c>
      <c r="E109" s="9">
        <v>4053673</v>
      </c>
      <c r="F109" s="9">
        <v>4175283</v>
      </c>
      <c r="G109" s="9">
        <v>4300541</v>
      </c>
      <c r="H109" s="9">
        <v>4429557</v>
      </c>
      <c r="I109" s="6">
        <v>3.016655804</v>
      </c>
    </row>
    <row r="110" spans="1:9" ht="60" x14ac:dyDescent="0.25">
      <c r="A110" s="1" t="s">
        <v>150</v>
      </c>
      <c r="B110" s="9">
        <v>1396920</v>
      </c>
      <c r="C110" s="9">
        <v>1492069</v>
      </c>
      <c r="D110" s="9">
        <v>1589668</v>
      </c>
      <c r="E110" s="9">
        <v>1689595</v>
      </c>
      <c r="F110" s="9">
        <v>1785967</v>
      </c>
      <c r="G110" s="9">
        <v>1882992</v>
      </c>
      <c r="H110" s="9">
        <v>1980915</v>
      </c>
      <c r="I110" s="6">
        <v>5.994269042</v>
      </c>
    </row>
    <row r="111" spans="1:9" ht="60" x14ac:dyDescent="0.25">
      <c r="A111" s="1" t="s">
        <v>149</v>
      </c>
      <c r="B111" s="9">
        <v>109814</v>
      </c>
      <c r="C111" s="9">
        <v>116815</v>
      </c>
      <c r="D111" s="9">
        <v>123890</v>
      </c>
      <c r="E111" s="9">
        <v>131019</v>
      </c>
      <c r="F111" s="9">
        <v>138181</v>
      </c>
      <c r="G111" s="9">
        <v>145357</v>
      </c>
      <c r="H111" s="9">
        <v>152528</v>
      </c>
      <c r="I111" s="6">
        <v>5.6287103570000001</v>
      </c>
    </row>
    <row r="112" spans="1:9" ht="60" x14ac:dyDescent="0.25">
      <c r="A112" s="1" t="s">
        <v>148</v>
      </c>
      <c r="B112" s="9">
        <v>78788</v>
      </c>
      <c r="C112" s="9">
        <v>74440</v>
      </c>
      <c r="D112" s="9">
        <v>70743</v>
      </c>
      <c r="E112" s="9">
        <v>67581</v>
      </c>
      <c r="F112" s="9">
        <v>64862</v>
      </c>
      <c r="G112" s="9">
        <v>62513</v>
      </c>
      <c r="H112" s="9">
        <v>60476</v>
      </c>
      <c r="I112" s="6">
        <v>-4.3128035440000003</v>
      </c>
    </row>
    <row r="113" spans="1:9" ht="60" x14ac:dyDescent="0.25">
      <c r="A113" s="1" t="s">
        <v>147</v>
      </c>
      <c r="B113" s="9">
        <v>1029824</v>
      </c>
      <c r="C113" s="9">
        <v>1113240</v>
      </c>
      <c r="D113" s="9">
        <v>1199806</v>
      </c>
      <c r="E113" s="9">
        <v>1289371</v>
      </c>
      <c r="F113" s="9">
        <v>1375997</v>
      </c>
      <c r="G113" s="9">
        <v>1463821</v>
      </c>
      <c r="H113" s="9">
        <v>1552579</v>
      </c>
      <c r="I113" s="6">
        <v>7.0816652739999997</v>
      </c>
    </row>
    <row r="114" spans="1:9" ht="75" x14ac:dyDescent="0.25">
      <c r="A114" s="1" t="s">
        <v>146</v>
      </c>
      <c r="B114" s="9">
        <v>3342</v>
      </c>
      <c r="C114" s="9">
        <v>3345</v>
      </c>
      <c r="D114" s="9">
        <v>3348</v>
      </c>
      <c r="E114" s="9">
        <v>3351</v>
      </c>
      <c r="F114" s="9">
        <v>3354</v>
      </c>
      <c r="G114" s="9">
        <v>3357</v>
      </c>
      <c r="H114" s="9">
        <v>3360</v>
      </c>
      <c r="I114" s="6">
        <v>8.9565816000000006E-2</v>
      </c>
    </row>
    <row r="115" spans="1:9" ht="75" x14ac:dyDescent="0.25">
      <c r="A115" s="1" t="s">
        <v>145</v>
      </c>
      <c r="B115" s="9">
        <v>173775</v>
      </c>
      <c r="C115" s="9">
        <v>182783</v>
      </c>
      <c r="D115" s="9">
        <v>190363</v>
      </c>
      <c r="E115" s="9">
        <v>196679</v>
      </c>
      <c r="F115" s="9">
        <v>201899</v>
      </c>
      <c r="G115" s="9">
        <v>206186</v>
      </c>
      <c r="H115" s="9">
        <v>210126</v>
      </c>
      <c r="I115" s="6">
        <v>3.2164099230000001</v>
      </c>
    </row>
    <row r="116" spans="1:9" ht="75" x14ac:dyDescent="0.25">
      <c r="A116" s="1" t="s">
        <v>144</v>
      </c>
      <c r="B116" s="9">
        <v>1377</v>
      </c>
      <c r="C116" s="9">
        <v>1446</v>
      </c>
      <c r="D116" s="9">
        <v>1518</v>
      </c>
      <c r="E116" s="9">
        <v>1594</v>
      </c>
      <c r="F116" s="9">
        <v>1674</v>
      </c>
      <c r="G116" s="9">
        <v>1758</v>
      </c>
      <c r="H116" s="9">
        <v>1846</v>
      </c>
      <c r="I116" s="6">
        <v>5.0065265009999997</v>
      </c>
    </row>
    <row r="117" spans="1:9" x14ac:dyDescent="0.25">
      <c r="A117" s="1" t="s">
        <v>12</v>
      </c>
      <c r="B117" s="2"/>
      <c r="C117" s="2"/>
      <c r="D117" s="2"/>
      <c r="E117" s="2"/>
      <c r="F117" s="2"/>
      <c r="G117" s="2"/>
      <c r="H117" s="2"/>
      <c r="I117" s="2"/>
    </row>
    <row r="118" spans="1:9" x14ac:dyDescent="0.25">
      <c r="A118" s="8" t="s">
        <v>23</v>
      </c>
      <c r="B118" s="2"/>
      <c r="C118" s="2"/>
      <c r="D118" s="2"/>
      <c r="E118" s="2"/>
      <c r="F118" s="2"/>
      <c r="G118" s="2"/>
      <c r="H118" s="2"/>
      <c r="I118" s="2"/>
    </row>
    <row r="119" spans="1:9" ht="30" x14ac:dyDescent="0.25">
      <c r="A119" s="1" t="s">
        <v>153</v>
      </c>
      <c r="B119" s="9">
        <v>212000000</v>
      </c>
      <c r="C119" s="9">
        <v>212810000</v>
      </c>
      <c r="D119" s="9">
        <v>213560000</v>
      </c>
      <c r="E119" s="9">
        <v>214260000</v>
      </c>
      <c r="F119" s="9">
        <v>214910000</v>
      </c>
      <c r="G119" s="9">
        <v>215520000</v>
      </c>
      <c r="H119" s="9">
        <v>216070000</v>
      </c>
      <c r="I119" s="6">
        <v>0.31743868263000002</v>
      </c>
    </row>
    <row r="120" spans="1:9" ht="45" x14ac:dyDescent="0.25">
      <c r="A120" s="1" t="s">
        <v>152</v>
      </c>
      <c r="B120" s="9">
        <v>74535019</v>
      </c>
      <c r="C120" s="9">
        <v>75461570</v>
      </c>
      <c r="D120" s="9">
        <v>76382694</v>
      </c>
      <c r="E120" s="9">
        <v>77301856</v>
      </c>
      <c r="F120" s="9">
        <v>78219005</v>
      </c>
      <c r="G120" s="9">
        <v>79137758</v>
      </c>
      <c r="H120" s="9">
        <v>80050751</v>
      </c>
      <c r="I120" s="6">
        <v>1.196969564</v>
      </c>
    </row>
    <row r="121" spans="1:9" ht="30" x14ac:dyDescent="0.25">
      <c r="A121" s="1" t="s">
        <v>151</v>
      </c>
      <c r="B121" s="9">
        <v>70494698</v>
      </c>
      <c r="C121" s="9">
        <v>71136079</v>
      </c>
      <c r="D121" s="9">
        <v>71766591</v>
      </c>
      <c r="E121" s="9">
        <v>72389530</v>
      </c>
      <c r="F121" s="9">
        <v>73004866</v>
      </c>
      <c r="G121" s="9">
        <v>73615984</v>
      </c>
      <c r="H121" s="9">
        <v>74216041</v>
      </c>
      <c r="I121" s="6">
        <v>0.86106622200000005</v>
      </c>
    </row>
    <row r="122" spans="1:9" ht="60" x14ac:dyDescent="0.25">
      <c r="A122" s="1" t="s">
        <v>150</v>
      </c>
      <c r="B122" s="9">
        <v>45694446</v>
      </c>
      <c r="C122" s="9">
        <v>48048892</v>
      </c>
      <c r="D122" s="9">
        <v>50287033</v>
      </c>
      <c r="E122" s="9">
        <v>52161193</v>
      </c>
      <c r="F122" s="9">
        <v>53643090</v>
      </c>
      <c r="G122" s="9">
        <v>54909077</v>
      </c>
      <c r="H122" s="9">
        <v>55825825</v>
      </c>
      <c r="I122" s="6">
        <v>3.3939885099999998</v>
      </c>
    </row>
    <row r="123" spans="1:9" ht="60" x14ac:dyDescent="0.25">
      <c r="A123" s="1" t="s">
        <v>149</v>
      </c>
      <c r="B123" s="9">
        <v>7847566</v>
      </c>
      <c r="C123" s="9">
        <v>7709740</v>
      </c>
      <c r="D123" s="9">
        <v>7534252</v>
      </c>
      <c r="E123" s="9">
        <v>7326198</v>
      </c>
      <c r="F123" s="9">
        <v>7087638</v>
      </c>
      <c r="G123" s="9">
        <v>6821774</v>
      </c>
      <c r="H123" s="9">
        <v>6532127</v>
      </c>
      <c r="I123" s="6">
        <v>-3.0115674889999999</v>
      </c>
    </row>
    <row r="124" spans="1:9" ht="60" x14ac:dyDescent="0.25">
      <c r="A124" s="1" t="s">
        <v>148</v>
      </c>
      <c r="B124" s="9">
        <v>668745</v>
      </c>
      <c r="C124" s="9">
        <v>161524</v>
      </c>
      <c r="D124" s="9">
        <v>54966</v>
      </c>
      <c r="E124" s="9">
        <v>24764</v>
      </c>
      <c r="F124" s="9">
        <v>7747</v>
      </c>
      <c r="G124" s="9">
        <v>975</v>
      </c>
      <c r="H124" s="9">
        <v>0</v>
      </c>
      <c r="I124" s="6">
        <v>-100</v>
      </c>
    </row>
    <row r="125" spans="1:9" ht="60" x14ac:dyDescent="0.25">
      <c r="A125" s="1" t="s">
        <v>147</v>
      </c>
      <c r="B125" s="9">
        <v>35819187</v>
      </c>
      <c r="C125" s="9">
        <v>38919025</v>
      </c>
      <c r="D125" s="9">
        <v>41498526</v>
      </c>
      <c r="E125" s="9">
        <v>43653778</v>
      </c>
      <c r="F125" s="9">
        <v>45427932</v>
      </c>
      <c r="G125" s="9">
        <v>46994929</v>
      </c>
      <c r="H125" s="9">
        <v>48229223</v>
      </c>
      <c r="I125" s="6">
        <v>5.0829904639999999</v>
      </c>
    </row>
    <row r="126" spans="1:9" ht="75" x14ac:dyDescent="0.25">
      <c r="A126" s="1" t="s">
        <v>146</v>
      </c>
      <c r="B126" s="9">
        <v>225767</v>
      </c>
      <c r="C126" s="9">
        <v>221252</v>
      </c>
      <c r="D126" s="9">
        <v>230456</v>
      </c>
      <c r="E126" s="9">
        <v>237830</v>
      </c>
      <c r="F126" s="9">
        <v>243063</v>
      </c>
      <c r="G126" s="9">
        <v>247681</v>
      </c>
      <c r="H126" s="9">
        <v>251363</v>
      </c>
      <c r="I126" s="6">
        <v>1.806025156</v>
      </c>
    </row>
    <row r="127" spans="1:9" ht="75" x14ac:dyDescent="0.25">
      <c r="A127" s="1" t="s">
        <v>145</v>
      </c>
      <c r="B127" s="9">
        <v>1133181</v>
      </c>
      <c r="C127" s="9">
        <v>1037351</v>
      </c>
      <c r="D127" s="9">
        <v>968833</v>
      </c>
      <c r="E127" s="9">
        <v>918623</v>
      </c>
      <c r="F127" s="9">
        <v>876710</v>
      </c>
      <c r="G127" s="9">
        <v>843718</v>
      </c>
      <c r="H127" s="9">
        <v>813112</v>
      </c>
      <c r="I127" s="6">
        <v>-5.3816912380000002</v>
      </c>
    </row>
    <row r="128" spans="1:9" ht="75" x14ac:dyDescent="0.25">
      <c r="A128" s="1" t="s">
        <v>144</v>
      </c>
      <c r="B128" s="9">
        <v>0</v>
      </c>
      <c r="C128" s="9">
        <v>0</v>
      </c>
      <c r="D128" s="9">
        <v>0</v>
      </c>
      <c r="E128" s="9">
        <v>0</v>
      </c>
      <c r="F128" s="9">
        <v>0</v>
      </c>
      <c r="G128" s="9">
        <v>0</v>
      </c>
      <c r="H128" s="9">
        <v>0</v>
      </c>
      <c r="I128" s="7" t="s">
        <v>58</v>
      </c>
    </row>
    <row r="129" spans="1:9" x14ac:dyDescent="0.25">
      <c r="A129" s="1" t="s">
        <v>12</v>
      </c>
      <c r="B129" s="2"/>
      <c r="C129" s="2"/>
      <c r="D129" s="2"/>
      <c r="E129" s="2"/>
      <c r="F129" s="2"/>
      <c r="G129" s="2"/>
      <c r="H129" s="2"/>
      <c r="I129" s="2"/>
    </row>
    <row r="130" spans="1:9" x14ac:dyDescent="0.25">
      <c r="A130" s="8" t="s">
        <v>24</v>
      </c>
      <c r="B130" s="2"/>
      <c r="C130" s="2"/>
      <c r="D130" s="2"/>
      <c r="E130" s="2"/>
      <c r="F130" s="2"/>
      <c r="G130" s="2"/>
      <c r="H130" s="2"/>
      <c r="I130" s="2"/>
    </row>
    <row r="131" spans="1:9" ht="30" x14ac:dyDescent="0.25">
      <c r="A131" s="1" t="s">
        <v>153</v>
      </c>
      <c r="B131" s="9">
        <v>6740000</v>
      </c>
      <c r="C131" s="9">
        <v>6690000</v>
      </c>
      <c r="D131" s="9">
        <v>6630000</v>
      </c>
      <c r="E131" s="9">
        <v>6580000</v>
      </c>
      <c r="F131" s="9">
        <v>6530000</v>
      </c>
      <c r="G131" s="9">
        <v>6470000</v>
      </c>
      <c r="H131" s="9">
        <v>6420000</v>
      </c>
      <c r="I131" s="6">
        <v>-0.80741950288999997</v>
      </c>
    </row>
    <row r="132" spans="1:9" ht="45" x14ac:dyDescent="0.25">
      <c r="A132" s="1" t="s">
        <v>152</v>
      </c>
      <c r="B132" s="9">
        <v>2854100</v>
      </c>
      <c r="C132" s="9">
        <v>2861235</v>
      </c>
      <c r="D132" s="9">
        <v>2868388</v>
      </c>
      <c r="E132" s="9">
        <v>2875559</v>
      </c>
      <c r="F132" s="9">
        <v>2882748</v>
      </c>
      <c r="G132" s="9">
        <v>2889955</v>
      </c>
      <c r="H132" s="9">
        <v>2897180</v>
      </c>
      <c r="I132" s="6">
        <v>0.25000019899999998</v>
      </c>
    </row>
    <row r="133" spans="1:9" ht="30" x14ac:dyDescent="0.25">
      <c r="A133" s="1" t="s">
        <v>151</v>
      </c>
      <c r="B133" s="9">
        <v>2834830</v>
      </c>
      <c r="C133" s="9">
        <v>2842627</v>
      </c>
      <c r="D133" s="9">
        <v>2850446</v>
      </c>
      <c r="E133" s="9">
        <v>2858287</v>
      </c>
      <c r="F133" s="9">
        <v>2866149</v>
      </c>
      <c r="G133" s="9">
        <v>2874033</v>
      </c>
      <c r="H133" s="9">
        <v>2881938</v>
      </c>
      <c r="I133" s="6">
        <v>0.275061165</v>
      </c>
    </row>
    <row r="134" spans="1:9" ht="60" x14ac:dyDescent="0.25">
      <c r="A134" s="1" t="s">
        <v>150</v>
      </c>
      <c r="B134" s="9">
        <v>2642618</v>
      </c>
      <c r="C134" s="9">
        <v>2677322</v>
      </c>
      <c r="D134" s="9">
        <v>2686193</v>
      </c>
      <c r="E134" s="9">
        <v>2701206</v>
      </c>
      <c r="F134" s="9">
        <v>2719101</v>
      </c>
      <c r="G134" s="9">
        <v>2737969</v>
      </c>
      <c r="H134" s="9">
        <v>2756712</v>
      </c>
      <c r="I134" s="6">
        <v>0.70696348399999998</v>
      </c>
    </row>
    <row r="135" spans="1:9" ht="60" x14ac:dyDescent="0.25">
      <c r="A135" s="1" t="s">
        <v>149</v>
      </c>
      <c r="B135" s="9">
        <v>240478</v>
      </c>
      <c r="C135" s="9">
        <v>227709</v>
      </c>
      <c r="D135" s="9">
        <v>218037</v>
      </c>
      <c r="E135" s="9">
        <v>210628</v>
      </c>
      <c r="F135" s="9">
        <v>204902</v>
      </c>
      <c r="G135" s="9">
        <v>200445</v>
      </c>
      <c r="H135" s="9">
        <v>196958</v>
      </c>
      <c r="I135" s="6">
        <v>-3.2725558709999998</v>
      </c>
    </row>
    <row r="136" spans="1:9" ht="60" x14ac:dyDescent="0.25">
      <c r="A136" s="1" t="s">
        <v>148</v>
      </c>
      <c r="B136" s="9">
        <v>652727</v>
      </c>
      <c r="C136" s="9">
        <v>593150</v>
      </c>
      <c r="D136" s="9">
        <v>546314</v>
      </c>
      <c r="E136" s="9">
        <v>506751</v>
      </c>
      <c r="F136" s="9">
        <v>471199</v>
      </c>
      <c r="G136" s="9">
        <v>437743</v>
      </c>
      <c r="H136" s="9">
        <v>405294</v>
      </c>
      <c r="I136" s="6">
        <v>-7.6352130530000002</v>
      </c>
    </row>
    <row r="137" spans="1:9" ht="60" x14ac:dyDescent="0.25">
      <c r="A137" s="1" t="s">
        <v>147</v>
      </c>
      <c r="B137" s="9">
        <v>1072903</v>
      </c>
      <c r="C137" s="9">
        <v>1213737</v>
      </c>
      <c r="D137" s="9">
        <v>1343251</v>
      </c>
      <c r="E137" s="9">
        <v>1462953</v>
      </c>
      <c r="F137" s="9">
        <v>1574067</v>
      </c>
      <c r="G137" s="9">
        <v>1677591</v>
      </c>
      <c r="H137" s="9">
        <v>1774339</v>
      </c>
      <c r="I137" s="6">
        <v>8.7458493910000001</v>
      </c>
    </row>
    <row r="138" spans="1:9" ht="75" x14ac:dyDescent="0.25">
      <c r="A138" s="1" t="s">
        <v>146</v>
      </c>
      <c r="B138" s="9">
        <v>700</v>
      </c>
      <c r="C138" s="9">
        <v>699</v>
      </c>
      <c r="D138" s="9">
        <v>699</v>
      </c>
      <c r="E138" s="9">
        <v>698</v>
      </c>
      <c r="F138" s="9">
        <v>698</v>
      </c>
      <c r="G138" s="9">
        <v>698</v>
      </c>
      <c r="H138" s="9">
        <v>698</v>
      </c>
      <c r="I138" s="6">
        <v>-4.7675835999999999E-2</v>
      </c>
    </row>
    <row r="139" spans="1:9" ht="75" x14ac:dyDescent="0.25">
      <c r="A139" s="1" t="s">
        <v>145</v>
      </c>
      <c r="B139" s="9">
        <v>1100</v>
      </c>
      <c r="C139" s="9">
        <v>1052</v>
      </c>
      <c r="D139" s="9">
        <v>1015</v>
      </c>
      <c r="E139" s="9">
        <v>987</v>
      </c>
      <c r="F139" s="9">
        <v>965</v>
      </c>
      <c r="G139" s="9">
        <v>947</v>
      </c>
      <c r="H139" s="9">
        <v>934</v>
      </c>
      <c r="I139" s="6">
        <v>-2.6896506179999999</v>
      </c>
    </row>
    <row r="140" spans="1:9" ht="75" x14ac:dyDescent="0.25">
      <c r="A140" s="1" t="s">
        <v>144</v>
      </c>
      <c r="B140" s="9">
        <v>674710</v>
      </c>
      <c r="C140" s="9">
        <v>640975</v>
      </c>
      <c r="D140" s="9">
        <v>576877</v>
      </c>
      <c r="E140" s="9">
        <v>519189</v>
      </c>
      <c r="F140" s="9">
        <v>467270</v>
      </c>
      <c r="G140" s="9">
        <v>420543</v>
      </c>
      <c r="H140" s="9">
        <v>378489</v>
      </c>
      <c r="I140" s="6">
        <v>-9.1853279000000008</v>
      </c>
    </row>
    <row r="141" spans="1:9" x14ac:dyDescent="0.25">
      <c r="A141" s="1" t="s">
        <v>12</v>
      </c>
      <c r="B141" s="2"/>
      <c r="C141" s="2"/>
      <c r="D141" s="2"/>
      <c r="E141" s="2"/>
      <c r="F141" s="2"/>
      <c r="G141" s="2"/>
      <c r="H141" s="2"/>
      <c r="I141" s="2"/>
    </row>
    <row r="142" spans="1:9" x14ac:dyDescent="0.25">
      <c r="A142" s="8" t="s">
        <v>25</v>
      </c>
      <c r="B142" s="2"/>
      <c r="C142" s="2"/>
      <c r="D142" s="2"/>
      <c r="E142" s="2"/>
      <c r="F142" s="2"/>
      <c r="G142" s="2"/>
      <c r="H142" s="2"/>
      <c r="I142" s="2"/>
    </row>
    <row r="143" spans="1:9" ht="30" x14ac:dyDescent="0.25">
      <c r="A143" s="1" t="s">
        <v>153</v>
      </c>
      <c r="B143" s="9">
        <v>17072678</v>
      </c>
      <c r="C143" s="9">
        <v>17250289</v>
      </c>
      <c r="D143" s="9">
        <v>17427953</v>
      </c>
      <c r="E143" s="9">
        <v>17605652</v>
      </c>
      <c r="F143" s="9">
        <v>17783368</v>
      </c>
      <c r="G143" s="9">
        <v>17961083</v>
      </c>
      <c r="H143" s="9">
        <v>18138778</v>
      </c>
      <c r="I143" s="6">
        <v>1.0146575848399999</v>
      </c>
    </row>
    <row r="144" spans="1:9" ht="45" x14ac:dyDescent="0.25">
      <c r="A144" s="1" t="s">
        <v>152</v>
      </c>
      <c r="B144" s="9">
        <v>4024248</v>
      </c>
      <c r="C144" s="9">
        <v>4065694</v>
      </c>
      <c r="D144" s="9">
        <v>4107149</v>
      </c>
      <c r="E144" s="9">
        <v>4148608</v>
      </c>
      <c r="F144" s="9">
        <v>4190066</v>
      </c>
      <c r="G144" s="9">
        <v>4231520</v>
      </c>
      <c r="H144" s="9">
        <v>4272965</v>
      </c>
      <c r="I144" s="6">
        <v>1.004510078</v>
      </c>
    </row>
    <row r="145" spans="1:9" ht="30" x14ac:dyDescent="0.25">
      <c r="A145" s="1" t="s">
        <v>151</v>
      </c>
      <c r="B145" s="9">
        <v>2404788</v>
      </c>
      <c r="C145" s="9">
        <v>2453851</v>
      </c>
      <c r="D145" s="9">
        <v>2528449</v>
      </c>
      <c r="E145" s="9">
        <v>2579511</v>
      </c>
      <c r="F145" s="9">
        <v>2683448</v>
      </c>
      <c r="G145" s="9">
        <v>2737096</v>
      </c>
      <c r="H145" s="9">
        <v>2791543</v>
      </c>
      <c r="I145" s="6">
        <v>2.51669287</v>
      </c>
    </row>
    <row r="146" spans="1:9" ht="60" x14ac:dyDescent="0.25">
      <c r="A146" s="1" t="s">
        <v>150</v>
      </c>
      <c r="B146" s="9">
        <v>671806</v>
      </c>
      <c r="C146" s="9">
        <v>713321</v>
      </c>
      <c r="D146" s="9">
        <v>760035</v>
      </c>
      <c r="E146" s="9">
        <v>813466</v>
      </c>
      <c r="F146" s="9">
        <v>858460</v>
      </c>
      <c r="G146" s="9">
        <v>907314</v>
      </c>
      <c r="H146" s="9">
        <v>936865</v>
      </c>
      <c r="I146" s="6">
        <v>5.6993190360000003</v>
      </c>
    </row>
    <row r="147" spans="1:9" ht="60" x14ac:dyDescent="0.25">
      <c r="A147" s="1" t="s">
        <v>149</v>
      </c>
      <c r="B147" s="9">
        <v>204472</v>
      </c>
      <c r="C147" s="9">
        <v>205903</v>
      </c>
      <c r="D147" s="9">
        <v>206933</v>
      </c>
      <c r="E147" s="9">
        <v>207967</v>
      </c>
      <c r="F147" s="9">
        <v>209007</v>
      </c>
      <c r="G147" s="9">
        <v>210052</v>
      </c>
      <c r="H147" s="9">
        <v>211103</v>
      </c>
      <c r="I147" s="6">
        <v>0.53333585299999997</v>
      </c>
    </row>
    <row r="148" spans="1:9" ht="60" x14ac:dyDescent="0.25">
      <c r="A148" s="1" t="s">
        <v>148</v>
      </c>
      <c r="B148" s="9">
        <v>8559</v>
      </c>
      <c r="C148" s="9">
        <v>8473</v>
      </c>
      <c r="D148" s="9">
        <v>8389</v>
      </c>
      <c r="E148" s="9">
        <v>8305</v>
      </c>
      <c r="F148" s="9">
        <v>8222</v>
      </c>
      <c r="G148" s="9">
        <v>8139</v>
      </c>
      <c r="H148" s="9">
        <v>8058</v>
      </c>
      <c r="I148" s="6">
        <v>-1.000263323</v>
      </c>
    </row>
    <row r="149" spans="1:9" ht="60" x14ac:dyDescent="0.25">
      <c r="A149" s="1" t="s">
        <v>147</v>
      </c>
      <c r="B149" s="9">
        <v>269513</v>
      </c>
      <c r="C149" s="9">
        <v>305897</v>
      </c>
      <c r="D149" s="9">
        <v>347805</v>
      </c>
      <c r="E149" s="9">
        <v>396150</v>
      </c>
      <c r="F149" s="9">
        <v>435765</v>
      </c>
      <c r="G149" s="9">
        <v>479341</v>
      </c>
      <c r="H149" s="9">
        <v>503308</v>
      </c>
      <c r="I149" s="6">
        <v>10.970877239</v>
      </c>
    </row>
    <row r="150" spans="1:9" ht="75" x14ac:dyDescent="0.25">
      <c r="A150" s="1" t="s">
        <v>146</v>
      </c>
      <c r="B150" s="9">
        <v>0</v>
      </c>
      <c r="C150" s="9">
        <v>0</v>
      </c>
      <c r="D150" s="9">
        <v>0</v>
      </c>
      <c r="E150" s="9">
        <v>0</v>
      </c>
      <c r="F150" s="9">
        <v>0</v>
      </c>
      <c r="G150" s="9">
        <v>0</v>
      </c>
      <c r="H150" s="9">
        <v>0</v>
      </c>
      <c r="I150" s="7" t="s">
        <v>58</v>
      </c>
    </row>
    <row r="151" spans="1:9" ht="75" x14ac:dyDescent="0.25">
      <c r="A151" s="1" t="s">
        <v>145</v>
      </c>
      <c r="B151" s="9">
        <v>189263</v>
      </c>
      <c r="C151" s="9">
        <v>193048</v>
      </c>
      <c r="D151" s="9">
        <v>196909</v>
      </c>
      <c r="E151" s="9">
        <v>201044</v>
      </c>
      <c r="F151" s="9">
        <v>205467</v>
      </c>
      <c r="G151" s="9">
        <v>209782</v>
      </c>
      <c r="H151" s="9">
        <v>214397</v>
      </c>
      <c r="I151" s="6">
        <v>2.0999424719999999</v>
      </c>
    </row>
    <row r="152" spans="1:9" ht="75" x14ac:dyDescent="0.25">
      <c r="A152" s="1" t="s">
        <v>144</v>
      </c>
      <c r="B152" s="9">
        <v>0</v>
      </c>
      <c r="C152" s="9">
        <v>0</v>
      </c>
      <c r="D152" s="9">
        <v>0</v>
      </c>
      <c r="E152" s="9">
        <v>0</v>
      </c>
      <c r="F152" s="9">
        <v>0</v>
      </c>
      <c r="G152" s="9">
        <v>0</v>
      </c>
      <c r="H152" s="9">
        <v>0</v>
      </c>
      <c r="I152" s="7" t="s">
        <v>58</v>
      </c>
    </row>
    <row r="153" spans="1:9" x14ac:dyDescent="0.25">
      <c r="A153" s="1" t="s">
        <v>12</v>
      </c>
      <c r="B153" s="2"/>
      <c r="C153" s="2"/>
      <c r="D153" s="2"/>
      <c r="E153" s="2"/>
      <c r="F153" s="2"/>
      <c r="G153" s="2"/>
      <c r="H153" s="2"/>
      <c r="I153" s="2"/>
    </row>
    <row r="154" spans="1:9" x14ac:dyDescent="0.25">
      <c r="A154" s="8" t="s">
        <v>26</v>
      </c>
      <c r="B154" s="2"/>
      <c r="C154" s="2"/>
      <c r="D154" s="2"/>
      <c r="E154" s="2"/>
      <c r="F154" s="2"/>
      <c r="G154" s="2"/>
      <c r="H154" s="2"/>
      <c r="I154" s="2"/>
    </row>
    <row r="155" spans="1:9" ht="30" x14ac:dyDescent="0.25">
      <c r="A155" s="1" t="s">
        <v>153</v>
      </c>
      <c r="B155" s="9">
        <v>39740000</v>
      </c>
      <c r="C155" s="9">
        <v>40130000</v>
      </c>
      <c r="D155" s="9">
        <v>40470000</v>
      </c>
      <c r="E155" s="9">
        <v>40780000</v>
      </c>
      <c r="F155" s="9">
        <v>41090000</v>
      </c>
      <c r="G155" s="9">
        <v>41380000</v>
      </c>
      <c r="H155" s="9">
        <v>41660000</v>
      </c>
      <c r="I155" s="6">
        <v>0.78948678595999999</v>
      </c>
    </row>
    <row r="156" spans="1:9" ht="45" x14ac:dyDescent="0.25">
      <c r="A156" s="1" t="s">
        <v>152</v>
      </c>
      <c r="B156" s="9">
        <v>16297746</v>
      </c>
      <c r="C156" s="9">
        <v>16493319</v>
      </c>
      <c r="D156" s="9">
        <v>16691239</v>
      </c>
      <c r="E156" s="9">
        <v>16891534</v>
      </c>
      <c r="F156" s="9">
        <v>17094232</v>
      </c>
      <c r="G156" s="9">
        <v>17299363</v>
      </c>
      <c r="H156" s="9">
        <v>17506956</v>
      </c>
      <c r="I156" s="6">
        <v>1.2000007829999999</v>
      </c>
    </row>
    <row r="157" spans="1:9" ht="30" x14ac:dyDescent="0.25">
      <c r="A157" s="1" t="s">
        <v>151</v>
      </c>
      <c r="B157" s="9">
        <v>15971791</v>
      </c>
      <c r="C157" s="9">
        <v>16163453</v>
      </c>
      <c r="D157" s="9">
        <v>16357414</v>
      </c>
      <c r="E157" s="9">
        <v>16553703</v>
      </c>
      <c r="F157" s="9">
        <v>16752348</v>
      </c>
      <c r="G157" s="9">
        <v>16953376</v>
      </c>
      <c r="H157" s="9">
        <v>17156816</v>
      </c>
      <c r="I157" s="6">
        <v>1.200000003</v>
      </c>
    </row>
    <row r="158" spans="1:9" ht="60" x14ac:dyDescent="0.25">
      <c r="A158" s="1" t="s">
        <v>150</v>
      </c>
      <c r="B158" s="9">
        <v>15341078</v>
      </c>
      <c r="C158" s="9">
        <v>15563888</v>
      </c>
      <c r="D158" s="9">
        <v>15805471</v>
      </c>
      <c r="E158" s="9">
        <v>16028279</v>
      </c>
      <c r="F158" s="9">
        <v>16239259</v>
      </c>
      <c r="G158" s="9">
        <v>16450069</v>
      </c>
      <c r="H158" s="9">
        <v>16657101</v>
      </c>
      <c r="I158" s="6">
        <v>1.381160172</v>
      </c>
    </row>
    <row r="159" spans="1:9" ht="60" x14ac:dyDescent="0.25">
      <c r="A159" s="1" t="s">
        <v>149</v>
      </c>
      <c r="B159" s="9">
        <v>7829311</v>
      </c>
      <c r="C159" s="9">
        <v>7914437</v>
      </c>
      <c r="D159" s="9">
        <v>7991883</v>
      </c>
      <c r="E159" s="9">
        <v>8062267</v>
      </c>
      <c r="F159" s="9">
        <v>8126170</v>
      </c>
      <c r="G159" s="9">
        <v>8184139</v>
      </c>
      <c r="H159" s="9">
        <v>8236683</v>
      </c>
      <c r="I159" s="6">
        <v>0.84897020300000003</v>
      </c>
    </row>
    <row r="160" spans="1:9" ht="60" x14ac:dyDescent="0.25">
      <c r="A160" s="1" t="s">
        <v>148</v>
      </c>
      <c r="B160" s="9">
        <v>1497283</v>
      </c>
      <c r="C160" s="9">
        <v>1291107</v>
      </c>
      <c r="D160" s="9">
        <v>1136174</v>
      </c>
      <c r="E160" s="9">
        <v>1022557</v>
      </c>
      <c r="F160" s="9">
        <v>940752</v>
      </c>
      <c r="G160" s="9">
        <v>882802</v>
      </c>
      <c r="H160" s="9">
        <v>838662</v>
      </c>
      <c r="I160" s="6">
        <v>-9.2080845369999995</v>
      </c>
    </row>
    <row r="161" spans="1:9" ht="60" x14ac:dyDescent="0.25">
      <c r="A161" s="1" t="s">
        <v>147</v>
      </c>
      <c r="B161" s="9">
        <v>4977444</v>
      </c>
      <c r="C161" s="9">
        <v>5310933</v>
      </c>
      <c r="D161" s="9">
        <v>5620667</v>
      </c>
      <c r="E161" s="9">
        <v>5877284</v>
      </c>
      <c r="F161" s="9">
        <v>6096652</v>
      </c>
      <c r="G161" s="9">
        <v>6297842</v>
      </c>
      <c r="H161" s="9">
        <v>6486777</v>
      </c>
      <c r="I161" s="6">
        <v>4.5130281029999999</v>
      </c>
    </row>
    <row r="162" spans="1:9" ht="75" x14ac:dyDescent="0.25">
      <c r="A162" s="1" t="s">
        <v>146</v>
      </c>
      <c r="B162" s="9">
        <v>210247</v>
      </c>
      <c r="C162" s="9">
        <v>212350</v>
      </c>
      <c r="D162" s="9">
        <v>213412</v>
      </c>
      <c r="E162" s="9">
        <v>214479</v>
      </c>
      <c r="F162" s="9">
        <v>215551</v>
      </c>
      <c r="G162" s="9">
        <v>216629</v>
      </c>
      <c r="H162" s="9">
        <v>217712</v>
      </c>
      <c r="I162" s="6">
        <v>0.58319497300000001</v>
      </c>
    </row>
    <row r="163" spans="1:9" ht="75" x14ac:dyDescent="0.25">
      <c r="A163" s="1" t="s">
        <v>145</v>
      </c>
      <c r="B163" s="9">
        <v>811776</v>
      </c>
      <c r="C163" s="9">
        <v>819893</v>
      </c>
      <c r="D163" s="9">
        <v>828092</v>
      </c>
      <c r="E163" s="9">
        <v>836373</v>
      </c>
      <c r="F163" s="9">
        <v>844737</v>
      </c>
      <c r="G163" s="9">
        <v>853184</v>
      </c>
      <c r="H163" s="9">
        <v>861716</v>
      </c>
      <c r="I163" s="6">
        <v>0.99998863500000001</v>
      </c>
    </row>
    <row r="164" spans="1:9" ht="75" x14ac:dyDescent="0.25">
      <c r="A164" s="1" t="s">
        <v>144</v>
      </c>
      <c r="B164" s="9">
        <v>15018</v>
      </c>
      <c r="C164" s="9">
        <v>15168</v>
      </c>
      <c r="D164" s="9">
        <v>15244</v>
      </c>
      <c r="E164" s="9">
        <v>15320</v>
      </c>
      <c r="F164" s="9">
        <v>15397</v>
      </c>
      <c r="G164" s="9">
        <v>15473</v>
      </c>
      <c r="H164" s="9">
        <v>15551</v>
      </c>
      <c r="I164" s="6">
        <v>0.58295030699999995</v>
      </c>
    </row>
    <row r="165" spans="1:9" x14ac:dyDescent="0.25">
      <c r="A165" s="1" t="s">
        <v>12</v>
      </c>
      <c r="B165" s="2"/>
      <c r="C165" s="2"/>
      <c r="D165" s="2"/>
      <c r="E165" s="2"/>
      <c r="F165" s="2"/>
      <c r="G165" s="2"/>
      <c r="H165" s="2"/>
      <c r="I165" s="2"/>
    </row>
    <row r="166" spans="1:9" x14ac:dyDescent="0.25">
      <c r="A166" s="8" t="s">
        <v>27</v>
      </c>
      <c r="B166" s="2"/>
      <c r="C166" s="2"/>
      <c r="D166" s="2"/>
      <c r="E166" s="2"/>
      <c r="F166" s="2"/>
      <c r="G166" s="2"/>
      <c r="H166" s="2"/>
      <c r="I166" s="2"/>
    </row>
    <row r="167" spans="1:9" ht="30" x14ac:dyDescent="0.25">
      <c r="A167" s="1" t="s">
        <v>153</v>
      </c>
      <c r="B167" s="9">
        <v>19760000</v>
      </c>
      <c r="C167" s="9">
        <v>19860000</v>
      </c>
      <c r="D167" s="9">
        <v>19950000</v>
      </c>
      <c r="E167" s="9">
        <v>20030000</v>
      </c>
      <c r="F167" s="9">
        <v>20100000</v>
      </c>
      <c r="G167" s="9">
        <v>20170000</v>
      </c>
      <c r="H167" s="9">
        <v>20230000</v>
      </c>
      <c r="I167" s="6">
        <v>0.39255111913000001</v>
      </c>
    </row>
    <row r="168" spans="1:9" ht="45" x14ac:dyDescent="0.25">
      <c r="A168" s="1" t="s">
        <v>152</v>
      </c>
      <c r="B168" s="9">
        <v>6082165</v>
      </c>
      <c r="C168" s="9">
        <v>6116131</v>
      </c>
      <c r="D168" s="9">
        <v>6147051</v>
      </c>
      <c r="E168" s="9">
        <v>6174920</v>
      </c>
      <c r="F168" s="9">
        <v>6199734</v>
      </c>
      <c r="G168" s="9">
        <v>6224574</v>
      </c>
      <c r="H168" s="9">
        <v>6246352</v>
      </c>
      <c r="I168" s="6">
        <v>0.44493516399999999</v>
      </c>
    </row>
    <row r="169" spans="1:9" ht="30" x14ac:dyDescent="0.25">
      <c r="A169" s="1" t="s">
        <v>151</v>
      </c>
      <c r="B169" s="9">
        <v>6063919</v>
      </c>
      <c r="C169" s="9">
        <v>6099312</v>
      </c>
      <c r="D169" s="9">
        <v>6131683</v>
      </c>
      <c r="E169" s="9">
        <v>6161027</v>
      </c>
      <c r="F169" s="9">
        <v>6187335</v>
      </c>
      <c r="G169" s="9">
        <v>6213681</v>
      </c>
      <c r="H169" s="9">
        <v>6236983</v>
      </c>
      <c r="I169" s="6">
        <v>0.47010623400000001</v>
      </c>
    </row>
    <row r="170" spans="1:9" ht="60" x14ac:dyDescent="0.25">
      <c r="A170" s="1" t="s">
        <v>150</v>
      </c>
      <c r="B170" s="9">
        <v>4433053</v>
      </c>
      <c r="C170" s="9">
        <v>4464904</v>
      </c>
      <c r="D170" s="9">
        <v>4553468</v>
      </c>
      <c r="E170" s="9">
        <v>4627788</v>
      </c>
      <c r="F170" s="9">
        <v>4705874</v>
      </c>
      <c r="G170" s="9">
        <v>4781770</v>
      </c>
      <c r="H170" s="9">
        <v>4846470</v>
      </c>
      <c r="I170" s="6">
        <v>1.4971312859999999</v>
      </c>
    </row>
    <row r="171" spans="1:9" ht="60" x14ac:dyDescent="0.25">
      <c r="A171" s="1" t="s">
        <v>149</v>
      </c>
      <c r="B171" s="9">
        <v>1091182</v>
      </c>
      <c r="C171" s="9">
        <v>1003674</v>
      </c>
      <c r="D171" s="9">
        <v>933242</v>
      </c>
      <c r="E171" s="9">
        <v>877104</v>
      </c>
      <c r="F171" s="9">
        <v>833132</v>
      </c>
      <c r="G171" s="9">
        <v>799712</v>
      </c>
      <c r="H171" s="9">
        <v>775644</v>
      </c>
      <c r="I171" s="6">
        <v>-5.5299364860000004</v>
      </c>
    </row>
    <row r="172" spans="1:9" ht="60" x14ac:dyDescent="0.25">
      <c r="A172" s="1" t="s">
        <v>148</v>
      </c>
      <c r="B172" s="9">
        <v>13008</v>
      </c>
      <c r="C172" s="9">
        <v>4375</v>
      </c>
      <c r="D172" s="9">
        <v>2019</v>
      </c>
      <c r="E172" s="9">
        <v>0</v>
      </c>
      <c r="F172" s="9">
        <v>0</v>
      </c>
      <c r="G172" s="9">
        <v>0</v>
      </c>
      <c r="H172" s="9">
        <v>0</v>
      </c>
      <c r="I172" s="6">
        <v>-100</v>
      </c>
    </row>
    <row r="173" spans="1:9" ht="60" x14ac:dyDescent="0.25">
      <c r="A173" s="1" t="s">
        <v>147</v>
      </c>
      <c r="B173" s="9">
        <v>3248359</v>
      </c>
      <c r="C173" s="9">
        <v>3374764</v>
      </c>
      <c r="D173" s="9">
        <v>3544398</v>
      </c>
      <c r="E173" s="9">
        <v>3685918</v>
      </c>
      <c r="F173" s="9">
        <v>3811036</v>
      </c>
      <c r="G173" s="9">
        <v>3922811</v>
      </c>
      <c r="H173" s="9">
        <v>4013592</v>
      </c>
      <c r="I173" s="6">
        <v>3.5884974500000002</v>
      </c>
    </row>
    <row r="174" spans="1:9" ht="75" x14ac:dyDescent="0.25">
      <c r="A174" s="1" t="s">
        <v>146</v>
      </c>
      <c r="B174" s="9">
        <v>28646</v>
      </c>
      <c r="C174" s="9">
        <v>43256</v>
      </c>
      <c r="D174" s="9">
        <v>43775</v>
      </c>
      <c r="E174" s="9">
        <v>44125</v>
      </c>
      <c r="F174" s="9">
        <v>44302</v>
      </c>
      <c r="G174" s="9">
        <v>44435</v>
      </c>
      <c r="H174" s="9">
        <v>44524</v>
      </c>
      <c r="I174" s="6">
        <v>7.6271147030000002</v>
      </c>
    </row>
    <row r="175" spans="1:9" ht="75" x14ac:dyDescent="0.25">
      <c r="A175" s="1" t="s">
        <v>145</v>
      </c>
      <c r="B175" s="9">
        <v>51818</v>
      </c>
      <c r="C175" s="9">
        <v>38835</v>
      </c>
      <c r="D175" s="9">
        <v>30034</v>
      </c>
      <c r="E175" s="9">
        <v>20640</v>
      </c>
      <c r="F175" s="9">
        <v>17403</v>
      </c>
      <c r="G175" s="9">
        <v>14813</v>
      </c>
      <c r="H175" s="9">
        <v>12710</v>
      </c>
      <c r="I175" s="6">
        <v>-20.881602189999999</v>
      </c>
    </row>
    <row r="176" spans="1:9" ht="75" x14ac:dyDescent="0.25">
      <c r="A176" s="1" t="s">
        <v>144</v>
      </c>
      <c r="B176" s="9">
        <v>40</v>
      </c>
      <c r="C176" s="9">
        <v>0</v>
      </c>
      <c r="D176" s="9">
        <v>0</v>
      </c>
      <c r="E176" s="9">
        <v>0</v>
      </c>
      <c r="F176" s="9">
        <v>0</v>
      </c>
      <c r="G176" s="9">
        <v>0</v>
      </c>
      <c r="H176" s="9">
        <v>0</v>
      </c>
      <c r="I176" s="6">
        <v>-100</v>
      </c>
    </row>
    <row r="177" spans="1:9" x14ac:dyDescent="0.25">
      <c r="A177" s="1" t="s">
        <v>12</v>
      </c>
      <c r="B177" s="2"/>
      <c r="C177" s="2"/>
      <c r="D177" s="2"/>
      <c r="E177" s="2"/>
      <c r="F177" s="2"/>
      <c r="G177" s="2"/>
      <c r="H177" s="2"/>
      <c r="I177" s="2"/>
    </row>
    <row r="178" spans="1:9" x14ac:dyDescent="0.25">
      <c r="A178" s="8" t="s">
        <v>28</v>
      </c>
      <c r="B178" s="2"/>
      <c r="C178" s="2"/>
      <c r="D178" s="2"/>
      <c r="E178" s="2"/>
      <c r="F178" s="2"/>
      <c r="G178" s="2"/>
      <c r="H178" s="2"/>
      <c r="I178" s="2"/>
    </row>
    <row r="179" spans="1:9" ht="30" x14ac:dyDescent="0.25">
      <c r="A179" s="1" t="s">
        <v>153</v>
      </c>
      <c r="B179" s="9">
        <v>1425180000</v>
      </c>
      <c r="C179" s="9">
        <v>1424380000</v>
      </c>
      <c r="D179" s="9">
        <v>1423260000</v>
      </c>
      <c r="E179" s="9">
        <v>1421810000</v>
      </c>
      <c r="F179" s="9">
        <v>1420050000</v>
      </c>
      <c r="G179" s="9">
        <v>1417970000</v>
      </c>
      <c r="H179" s="9">
        <v>1415610000</v>
      </c>
      <c r="I179" s="6">
        <v>-0.11223010696000001</v>
      </c>
    </row>
    <row r="180" spans="1:9" ht="45" x14ac:dyDescent="0.25">
      <c r="A180" s="1" t="s">
        <v>152</v>
      </c>
      <c r="B180" s="9">
        <v>495060332</v>
      </c>
      <c r="C180" s="9">
        <v>501941671</v>
      </c>
      <c r="D180" s="9">
        <v>508667689</v>
      </c>
      <c r="E180" s="9">
        <v>515432969</v>
      </c>
      <c r="F180" s="9">
        <v>522442858</v>
      </c>
      <c r="G180" s="9">
        <v>529286859</v>
      </c>
      <c r="H180" s="9">
        <v>536167588</v>
      </c>
      <c r="I180" s="6">
        <v>1.3383288170000001</v>
      </c>
    </row>
    <row r="181" spans="1:9" ht="30" x14ac:dyDescent="0.25">
      <c r="A181" s="1" t="s">
        <v>151</v>
      </c>
      <c r="B181" s="9">
        <v>479479774</v>
      </c>
      <c r="C181" s="9">
        <v>486873759</v>
      </c>
      <c r="D181" s="9">
        <v>493891266</v>
      </c>
      <c r="E181" s="9">
        <v>500960480</v>
      </c>
      <c r="F181" s="9">
        <v>508281316</v>
      </c>
      <c r="G181" s="9">
        <v>515454741</v>
      </c>
      <c r="H181" s="9">
        <v>522677808</v>
      </c>
      <c r="I181" s="6">
        <v>1.448110252</v>
      </c>
    </row>
    <row r="182" spans="1:9" ht="60" x14ac:dyDescent="0.25">
      <c r="A182" s="1" t="s">
        <v>150</v>
      </c>
      <c r="B182" s="9">
        <v>457828705</v>
      </c>
      <c r="C182" s="9">
        <v>466138044</v>
      </c>
      <c r="D182" s="9">
        <v>473366120</v>
      </c>
      <c r="E182" s="9">
        <v>481473940</v>
      </c>
      <c r="F182" s="9">
        <v>492781641</v>
      </c>
      <c r="G182" s="9">
        <v>502809314</v>
      </c>
      <c r="H182" s="9">
        <v>514324754</v>
      </c>
      <c r="I182" s="6">
        <v>1.958256743</v>
      </c>
    </row>
    <row r="183" spans="1:9" ht="60" x14ac:dyDescent="0.25">
      <c r="A183" s="1" t="s">
        <v>149</v>
      </c>
      <c r="B183" s="9">
        <v>42112647</v>
      </c>
      <c r="C183" s="9">
        <v>42238985</v>
      </c>
      <c r="D183" s="9">
        <v>42661374</v>
      </c>
      <c r="E183" s="9">
        <v>42874681</v>
      </c>
      <c r="F183" s="9">
        <v>42960431</v>
      </c>
      <c r="G183" s="9">
        <v>43304114</v>
      </c>
      <c r="H183" s="9">
        <v>43434026</v>
      </c>
      <c r="I183" s="6">
        <v>0.51624537400000003</v>
      </c>
    </row>
    <row r="184" spans="1:9" ht="60" x14ac:dyDescent="0.25">
      <c r="A184" s="1" t="s">
        <v>148</v>
      </c>
      <c r="B184" s="9">
        <v>1747228</v>
      </c>
      <c r="C184" s="9">
        <v>1376816</v>
      </c>
      <c r="D184" s="9">
        <v>1090438</v>
      </c>
      <c r="E184" s="9">
        <v>914878</v>
      </c>
      <c r="F184" s="9">
        <v>817901</v>
      </c>
      <c r="G184" s="9">
        <v>660864</v>
      </c>
      <c r="H184" s="9">
        <v>594777</v>
      </c>
      <c r="I184" s="6">
        <v>-16.439551140999999</v>
      </c>
    </row>
    <row r="185" spans="1:9" ht="60" x14ac:dyDescent="0.25">
      <c r="A185" s="1" t="s">
        <v>147</v>
      </c>
      <c r="B185" s="9">
        <v>413400000</v>
      </c>
      <c r="C185" s="9">
        <v>422081400</v>
      </c>
      <c r="D185" s="9">
        <v>429256784</v>
      </c>
      <c r="E185" s="9">
        <v>437412663</v>
      </c>
      <c r="F185" s="9">
        <v>448785392</v>
      </c>
      <c r="G185" s="9">
        <v>458658671</v>
      </c>
      <c r="H185" s="9">
        <v>470125137</v>
      </c>
      <c r="I185" s="6">
        <v>2.166182681</v>
      </c>
    </row>
    <row r="186" spans="1:9" ht="75" x14ac:dyDescent="0.25">
      <c r="A186" s="1" t="s">
        <v>146</v>
      </c>
      <c r="B186" s="9">
        <v>0</v>
      </c>
      <c r="C186" s="9">
        <v>0</v>
      </c>
      <c r="D186" s="9">
        <v>0</v>
      </c>
      <c r="E186" s="9">
        <v>0</v>
      </c>
      <c r="F186" s="9">
        <v>0</v>
      </c>
      <c r="G186" s="9">
        <v>0</v>
      </c>
      <c r="H186" s="9">
        <v>0</v>
      </c>
      <c r="I186" s="7" t="s">
        <v>58</v>
      </c>
    </row>
    <row r="187" spans="1:9" ht="75" x14ac:dyDescent="0.25">
      <c r="A187" s="1" t="s">
        <v>145</v>
      </c>
      <c r="B187" s="9">
        <v>0</v>
      </c>
      <c r="C187" s="9">
        <v>0</v>
      </c>
      <c r="D187" s="9">
        <v>0</v>
      </c>
      <c r="E187" s="9">
        <v>0</v>
      </c>
      <c r="F187" s="9">
        <v>0</v>
      </c>
      <c r="G187" s="9">
        <v>0</v>
      </c>
      <c r="H187" s="9">
        <v>0</v>
      </c>
      <c r="I187" s="7" t="s">
        <v>58</v>
      </c>
    </row>
    <row r="188" spans="1:9" ht="75" x14ac:dyDescent="0.25">
      <c r="A188" s="1" t="s">
        <v>144</v>
      </c>
      <c r="B188" s="9">
        <v>568830</v>
      </c>
      <c r="C188" s="9">
        <v>440843</v>
      </c>
      <c r="D188" s="9">
        <v>357524</v>
      </c>
      <c r="E188" s="9">
        <v>271718</v>
      </c>
      <c r="F188" s="9">
        <v>217918</v>
      </c>
      <c r="G188" s="9">
        <v>185666</v>
      </c>
      <c r="H188" s="9">
        <v>170813</v>
      </c>
      <c r="I188" s="6">
        <v>-18.168017783</v>
      </c>
    </row>
    <row r="189" spans="1:9" x14ac:dyDescent="0.25">
      <c r="A189" s="1" t="s">
        <v>12</v>
      </c>
      <c r="B189" s="2"/>
      <c r="C189" s="2"/>
      <c r="D189" s="2"/>
      <c r="E189" s="2"/>
      <c r="F189" s="2"/>
      <c r="G189" s="2"/>
      <c r="H189" s="2"/>
      <c r="I189" s="2"/>
    </row>
    <row r="190" spans="1:9" x14ac:dyDescent="0.25">
      <c r="A190" s="8" t="s">
        <v>29</v>
      </c>
      <c r="B190" s="2"/>
      <c r="C190" s="2"/>
      <c r="D190" s="2"/>
      <c r="E190" s="2"/>
      <c r="F190" s="2"/>
      <c r="G190" s="2"/>
      <c r="H190" s="2"/>
      <c r="I190" s="2"/>
    </row>
    <row r="191" spans="1:9" ht="30" x14ac:dyDescent="0.25">
      <c r="A191" s="1" t="s">
        <v>153</v>
      </c>
      <c r="B191" s="9">
        <v>52340000</v>
      </c>
      <c r="C191" s="9">
        <v>52610000</v>
      </c>
      <c r="D191" s="9">
        <v>52900000</v>
      </c>
      <c r="E191" s="9">
        <v>53210000</v>
      </c>
      <c r="F191" s="9">
        <v>53530000</v>
      </c>
      <c r="G191" s="9">
        <v>53830000</v>
      </c>
      <c r="H191" s="9">
        <v>54130000</v>
      </c>
      <c r="I191" s="6">
        <v>0.56203458306999998</v>
      </c>
    </row>
    <row r="192" spans="1:9" ht="45" x14ac:dyDescent="0.25">
      <c r="A192" s="1" t="s">
        <v>152</v>
      </c>
      <c r="B192" s="9">
        <v>18296426</v>
      </c>
      <c r="C192" s="9">
        <v>18777420</v>
      </c>
      <c r="D192" s="9">
        <v>19261833</v>
      </c>
      <c r="E192" s="9">
        <v>19747788</v>
      </c>
      <c r="F192" s="9">
        <v>20233000</v>
      </c>
      <c r="G192" s="9">
        <v>20714015</v>
      </c>
      <c r="H192" s="9">
        <v>21188686</v>
      </c>
      <c r="I192" s="6">
        <v>2.4761876470000002</v>
      </c>
    </row>
    <row r="193" spans="1:9" ht="30" x14ac:dyDescent="0.25">
      <c r="A193" s="1" t="s">
        <v>151</v>
      </c>
      <c r="B193" s="9">
        <v>15844614</v>
      </c>
      <c r="C193" s="9">
        <v>16161506</v>
      </c>
      <c r="D193" s="9">
        <v>16484736</v>
      </c>
      <c r="E193" s="9">
        <v>16814431</v>
      </c>
      <c r="F193" s="9">
        <v>17150720</v>
      </c>
      <c r="G193" s="9">
        <v>17493734</v>
      </c>
      <c r="H193" s="9">
        <v>17843609</v>
      </c>
      <c r="I193" s="6">
        <v>2.0000001580000002</v>
      </c>
    </row>
    <row r="194" spans="1:9" ht="60" x14ac:dyDescent="0.25">
      <c r="A194" s="1" t="s">
        <v>150</v>
      </c>
      <c r="B194" s="9">
        <v>8406534</v>
      </c>
      <c r="C194" s="9">
        <v>8763713</v>
      </c>
      <c r="D194" s="9">
        <v>9074736</v>
      </c>
      <c r="E194" s="9">
        <v>9346532</v>
      </c>
      <c r="F194" s="9">
        <v>9577379</v>
      </c>
      <c r="G194" s="9">
        <v>9760392</v>
      </c>
      <c r="H194" s="9">
        <v>9893558</v>
      </c>
      <c r="I194" s="6">
        <v>2.7517565830000001</v>
      </c>
    </row>
    <row r="195" spans="1:9" ht="60" x14ac:dyDescent="0.25">
      <c r="A195" s="1" t="s">
        <v>149</v>
      </c>
      <c r="B195" s="9">
        <v>4543934</v>
      </c>
      <c r="C195" s="9">
        <v>4508287</v>
      </c>
      <c r="D195" s="9">
        <v>4492403</v>
      </c>
      <c r="E195" s="9">
        <v>4484925</v>
      </c>
      <c r="F195" s="9">
        <v>4481219</v>
      </c>
      <c r="G195" s="9">
        <v>4479297</v>
      </c>
      <c r="H195" s="9">
        <v>4478260</v>
      </c>
      <c r="I195" s="6">
        <v>-0.24234883600000001</v>
      </c>
    </row>
    <row r="196" spans="1:9" ht="60" x14ac:dyDescent="0.25">
      <c r="A196" s="1" t="s">
        <v>148</v>
      </c>
      <c r="B196" s="9">
        <v>276877</v>
      </c>
      <c r="C196" s="9">
        <v>232688</v>
      </c>
      <c r="D196" s="9">
        <v>188602</v>
      </c>
      <c r="E196" s="9">
        <v>150140</v>
      </c>
      <c r="F196" s="9">
        <v>119347</v>
      </c>
      <c r="G196" s="9">
        <v>95025</v>
      </c>
      <c r="H196" s="9">
        <v>74207</v>
      </c>
      <c r="I196" s="6">
        <v>-19.704168649</v>
      </c>
    </row>
    <row r="197" spans="1:9" ht="60" x14ac:dyDescent="0.25">
      <c r="A197" s="1" t="s">
        <v>147</v>
      </c>
      <c r="B197" s="9">
        <v>3234206</v>
      </c>
      <c r="C197" s="9">
        <v>3673654</v>
      </c>
      <c r="D197" s="9">
        <v>4043830</v>
      </c>
      <c r="E197" s="9">
        <v>4359148</v>
      </c>
      <c r="F197" s="9">
        <v>4621401</v>
      </c>
      <c r="G197" s="9">
        <v>4827406</v>
      </c>
      <c r="H197" s="9">
        <v>4979288</v>
      </c>
      <c r="I197" s="6">
        <v>7.4566411339999998</v>
      </c>
    </row>
    <row r="198" spans="1:9" ht="75" x14ac:dyDescent="0.25">
      <c r="A198" s="1" t="s">
        <v>146</v>
      </c>
      <c r="B198" s="9">
        <v>14836</v>
      </c>
      <c r="C198" s="9">
        <v>11110</v>
      </c>
      <c r="D198" s="9">
        <v>8459</v>
      </c>
      <c r="E198" s="9">
        <v>6542</v>
      </c>
      <c r="F198" s="9">
        <v>5133</v>
      </c>
      <c r="G198" s="9">
        <v>4083</v>
      </c>
      <c r="H198" s="9">
        <v>3289</v>
      </c>
      <c r="I198" s="6">
        <v>-22.203897210000001</v>
      </c>
    </row>
    <row r="199" spans="1:9" ht="75" x14ac:dyDescent="0.25">
      <c r="A199" s="1" t="s">
        <v>145</v>
      </c>
      <c r="B199" s="9">
        <v>318926</v>
      </c>
      <c r="C199" s="9">
        <v>318406</v>
      </c>
      <c r="D199" s="9">
        <v>320675</v>
      </c>
      <c r="E199" s="9">
        <v>324247</v>
      </c>
      <c r="F199" s="9">
        <v>328274</v>
      </c>
      <c r="G199" s="9">
        <v>332285</v>
      </c>
      <c r="H199" s="9">
        <v>336041</v>
      </c>
      <c r="I199" s="6">
        <v>0.87504088400000002</v>
      </c>
    </row>
    <row r="200" spans="1:9" ht="75" x14ac:dyDescent="0.25">
      <c r="A200" s="1" t="s">
        <v>144</v>
      </c>
      <c r="B200" s="9">
        <v>17755</v>
      </c>
      <c r="C200" s="9">
        <v>19568</v>
      </c>
      <c r="D200" s="9">
        <v>20767</v>
      </c>
      <c r="E200" s="9">
        <v>21530</v>
      </c>
      <c r="F200" s="9">
        <v>22005</v>
      </c>
      <c r="G200" s="9">
        <v>22296</v>
      </c>
      <c r="H200" s="9">
        <v>22473</v>
      </c>
      <c r="I200" s="6">
        <v>4.0056013019999996</v>
      </c>
    </row>
    <row r="201" spans="1:9" x14ac:dyDescent="0.25">
      <c r="A201" s="1" t="s">
        <v>12</v>
      </c>
      <c r="B201" s="2"/>
      <c r="C201" s="2"/>
      <c r="D201" s="2"/>
      <c r="E201" s="2"/>
      <c r="F201" s="2"/>
      <c r="G201" s="2"/>
      <c r="H201" s="2"/>
      <c r="I201" s="2"/>
    </row>
    <row r="202" spans="1:9" x14ac:dyDescent="0.25">
      <c r="A202" s="8" t="s">
        <v>30</v>
      </c>
      <c r="B202" s="2"/>
      <c r="C202" s="2"/>
      <c r="D202" s="2"/>
      <c r="E202" s="2"/>
      <c r="F202" s="2"/>
      <c r="G202" s="2"/>
      <c r="H202" s="2"/>
      <c r="I202" s="2"/>
    </row>
    <row r="203" spans="1:9" ht="30" x14ac:dyDescent="0.25">
      <c r="A203" s="1" t="s">
        <v>153</v>
      </c>
      <c r="B203" s="9">
        <v>5130000</v>
      </c>
      <c r="C203" s="9">
        <v>5150000</v>
      </c>
      <c r="D203" s="9">
        <v>5170000</v>
      </c>
      <c r="E203" s="9">
        <v>5200000</v>
      </c>
      <c r="F203" s="9">
        <v>5220000</v>
      </c>
      <c r="G203" s="9">
        <v>5230000</v>
      </c>
      <c r="H203" s="9">
        <v>5250000</v>
      </c>
      <c r="I203" s="6">
        <v>0.38611714263000002</v>
      </c>
    </row>
    <row r="204" spans="1:9" ht="45" x14ac:dyDescent="0.25">
      <c r="A204" s="1" t="s">
        <v>152</v>
      </c>
      <c r="B204" s="9">
        <v>1673680</v>
      </c>
      <c r="C204" s="9">
        <v>1700459</v>
      </c>
      <c r="D204" s="9">
        <v>1724266</v>
      </c>
      <c r="E204" s="9">
        <v>1744957</v>
      </c>
      <c r="F204" s="9">
        <v>1765896</v>
      </c>
      <c r="G204" s="9">
        <v>1787087</v>
      </c>
      <c r="H204" s="9">
        <v>1808532</v>
      </c>
      <c r="I204" s="6">
        <v>1.2998872189999999</v>
      </c>
    </row>
    <row r="205" spans="1:9" ht="30" x14ac:dyDescent="0.25">
      <c r="A205" s="1" t="s">
        <v>151</v>
      </c>
      <c r="B205" s="9">
        <v>1640808</v>
      </c>
      <c r="C205" s="9">
        <v>1670343</v>
      </c>
      <c r="D205" s="9">
        <v>1693728</v>
      </c>
      <c r="E205" s="9">
        <v>1714052</v>
      </c>
      <c r="F205" s="9">
        <v>1734621</v>
      </c>
      <c r="G205" s="9">
        <v>1755436</v>
      </c>
      <c r="H205" s="9">
        <v>1776502</v>
      </c>
      <c r="I205" s="6">
        <v>1.3330985500000001</v>
      </c>
    </row>
    <row r="206" spans="1:9" ht="60" x14ac:dyDescent="0.25">
      <c r="A206" s="1" t="s">
        <v>150</v>
      </c>
      <c r="B206" s="9">
        <v>1194638</v>
      </c>
      <c r="C206" s="9">
        <v>1317430</v>
      </c>
      <c r="D206" s="9">
        <v>1423540</v>
      </c>
      <c r="E206" s="9">
        <v>1504927</v>
      </c>
      <c r="F206" s="9">
        <v>1568215</v>
      </c>
      <c r="G206" s="9">
        <v>1606646</v>
      </c>
      <c r="H206" s="9">
        <v>1628585</v>
      </c>
      <c r="I206" s="6">
        <v>5.3001567239999998</v>
      </c>
    </row>
    <row r="207" spans="1:9" ht="60" x14ac:dyDescent="0.25">
      <c r="A207" s="1" t="s">
        <v>149</v>
      </c>
      <c r="B207" s="9">
        <v>477174</v>
      </c>
      <c r="C207" s="9">
        <v>418353</v>
      </c>
      <c r="D207" s="9">
        <v>377097</v>
      </c>
      <c r="E207" s="9">
        <v>347347</v>
      </c>
      <c r="F207" s="9">
        <v>325425</v>
      </c>
      <c r="G207" s="9">
        <v>308994</v>
      </c>
      <c r="H207" s="9">
        <v>296513</v>
      </c>
      <c r="I207" s="6">
        <v>-7.6235728199999997</v>
      </c>
    </row>
    <row r="208" spans="1:9" ht="60" x14ac:dyDescent="0.25">
      <c r="A208" s="1" t="s">
        <v>148</v>
      </c>
      <c r="B208" s="9">
        <v>34693</v>
      </c>
      <c r="C208" s="9">
        <v>13771</v>
      </c>
      <c r="D208" s="9">
        <v>3805</v>
      </c>
      <c r="E208" s="9">
        <v>501</v>
      </c>
      <c r="F208" s="9">
        <v>66</v>
      </c>
      <c r="G208" s="9">
        <v>9</v>
      </c>
      <c r="H208" s="9">
        <v>0</v>
      </c>
      <c r="I208" s="6">
        <v>-100</v>
      </c>
    </row>
    <row r="209" spans="1:9" ht="60" x14ac:dyDescent="0.25">
      <c r="A209" s="1" t="s">
        <v>147</v>
      </c>
      <c r="B209" s="9">
        <v>650295</v>
      </c>
      <c r="C209" s="9">
        <v>803366</v>
      </c>
      <c r="D209" s="9">
        <v>935738</v>
      </c>
      <c r="E209" s="9">
        <v>1043666</v>
      </c>
      <c r="F209" s="9">
        <v>1127930</v>
      </c>
      <c r="G209" s="9">
        <v>1182570</v>
      </c>
      <c r="H209" s="9">
        <v>1216942</v>
      </c>
      <c r="I209" s="6">
        <v>11.009439760999999</v>
      </c>
    </row>
    <row r="210" spans="1:9" ht="75" x14ac:dyDescent="0.25">
      <c r="A210" s="1" t="s">
        <v>146</v>
      </c>
      <c r="B210" s="9">
        <v>0</v>
      </c>
      <c r="C210" s="9">
        <v>0</v>
      </c>
      <c r="D210" s="9">
        <v>0</v>
      </c>
      <c r="E210" s="9">
        <v>0</v>
      </c>
      <c r="F210" s="9">
        <v>0</v>
      </c>
      <c r="G210" s="9">
        <v>0</v>
      </c>
      <c r="H210" s="9">
        <v>0</v>
      </c>
      <c r="I210" s="7" t="s">
        <v>58</v>
      </c>
    </row>
    <row r="211" spans="1:9" ht="75" x14ac:dyDescent="0.25">
      <c r="A211" s="1" t="s">
        <v>145</v>
      </c>
      <c r="B211" s="9">
        <v>32476</v>
      </c>
      <c r="C211" s="9">
        <v>81940</v>
      </c>
      <c r="D211" s="9">
        <v>106900</v>
      </c>
      <c r="E211" s="9">
        <v>113412</v>
      </c>
      <c r="F211" s="9">
        <v>114794</v>
      </c>
      <c r="G211" s="9">
        <v>115074</v>
      </c>
      <c r="H211" s="9">
        <v>115130</v>
      </c>
      <c r="I211" s="6">
        <v>23.482191537999999</v>
      </c>
    </row>
    <row r="212" spans="1:9" ht="75" x14ac:dyDescent="0.25">
      <c r="A212" s="1" t="s">
        <v>144</v>
      </c>
      <c r="B212" s="9">
        <v>0</v>
      </c>
      <c r="C212" s="9">
        <v>0</v>
      </c>
      <c r="D212" s="9">
        <v>0</v>
      </c>
      <c r="E212" s="9">
        <v>0</v>
      </c>
      <c r="F212" s="9">
        <v>0</v>
      </c>
      <c r="G212" s="9">
        <v>0</v>
      </c>
      <c r="H212" s="9">
        <v>0</v>
      </c>
      <c r="I212" s="7" t="s">
        <v>58</v>
      </c>
    </row>
    <row r="213" spans="1:9" x14ac:dyDescent="0.25">
      <c r="A213" s="1" t="s">
        <v>12</v>
      </c>
      <c r="B213" s="2"/>
      <c r="C213" s="2"/>
      <c r="D213" s="2"/>
      <c r="E213" s="2"/>
      <c r="F213" s="2"/>
      <c r="G213" s="2"/>
      <c r="H213" s="2"/>
      <c r="I213" s="2"/>
    </row>
    <row r="214" spans="1:9" x14ac:dyDescent="0.25">
      <c r="A214" s="8" t="s">
        <v>31</v>
      </c>
      <c r="B214" s="2"/>
      <c r="C214" s="2"/>
      <c r="D214" s="2"/>
      <c r="E214" s="2"/>
      <c r="F214" s="2"/>
      <c r="G214" s="2"/>
      <c r="H214" s="2"/>
      <c r="I214" s="2"/>
    </row>
    <row r="215" spans="1:9" ht="30" x14ac:dyDescent="0.25">
      <c r="A215" s="1" t="s">
        <v>153</v>
      </c>
      <c r="B215" s="9">
        <v>3990000</v>
      </c>
      <c r="C215" s="9">
        <v>3960000</v>
      </c>
      <c r="D215" s="9">
        <v>3940000</v>
      </c>
      <c r="E215" s="9">
        <v>3920000</v>
      </c>
      <c r="F215" s="9">
        <v>3900000</v>
      </c>
      <c r="G215" s="9">
        <v>3870000</v>
      </c>
      <c r="H215" s="9">
        <v>3850000</v>
      </c>
      <c r="I215" s="6">
        <v>-0.59353296890999996</v>
      </c>
    </row>
    <row r="216" spans="1:9" ht="45" x14ac:dyDescent="0.25">
      <c r="A216" s="1" t="s">
        <v>152</v>
      </c>
      <c r="B216" s="9">
        <v>1471900</v>
      </c>
      <c r="C216" s="9">
        <v>1473372</v>
      </c>
      <c r="D216" s="9">
        <v>1474845</v>
      </c>
      <c r="E216" s="9">
        <v>1476320</v>
      </c>
      <c r="F216" s="9">
        <v>1477796</v>
      </c>
      <c r="G216" s="9">
        <v>1479274</v>
      </c>
      <c r="H216" s="9">
        <v>1480754</v>
      </c>
      <c r="I216" s="6">
        <v>0.100005544</v>
      </c>
    </row>
    <row r="217" spans="1:9" ht="30" x14ac:dyDescent="0.25">
      <c r="A217" s="1" t="s">
        <v>151</v>
      </c>
      <c r="B217" s="9">
        <v>1438297</v>
      </c>
      <c r="C217" s="9">
        <v>1440095</v>
      </c>
      <c r="D217" s="9">
        <v>1441896</v>
      </c>
      <c r="E217" s="9">
        <v>1443698</v>
      </c>
      <c r="F217" s="9">
        <v>1445503</v>
      </c>
      <c r="G217" s="9">
        <v>1447311</v>
      </c>
      <c r="H217" s="9">
        <v>1449120</v>
      </c>
      <c r="I217" s="6">
        <v>0.125023102</v>
      </c>
    </row>
    <row r="218" spans="1:9" ht="60" x14ac:dyDescent="0.25">
      <c r="A218" s="1" t="s">
        <v>150</v>
      </c>
      <c r="B218" s="9">
        <v>1147086</v>
      </c>
      <c r="C218" s="9">
        <v>1184418</v>
      </c>
      <c r="D218" s="9">
        <v>1204292</v>
      </c>
      <c r="E218" s="9">
        <v>1215651</v>
      </c>
      <c r="F218" s="9">
        <v>1226615</v>
      </c>
      <c r="G218" s="9">
        <v>1236505</v>
      </c>
      <c r="H218" s="9">
        <v>1245405</v>
      </c>
      <c r="I218" s="6">
        <v>1.3800351850000001</v>
      </c>
    </row>
    <row r="219" spans="1:9" ht="60" x14ac:dyDescent="0.25">
      <c r="A219" s="1" t="s">
        <v>149</v>
      </c>
      <c r="B219" s="9">
        <v>164605</v>
      </c>
      <c r="C219" s="9">
        <v>148253</v>
      </c>
      <c r="D219" s="9">
        <v>144545</v>
      </c>
      <c r="E219" s="9">
        <v>142014</v>
      </c>
      <c r="F219" s="9">
        <v>140274</v>
      </c>
      <c r="G219" s="9">
        <v>138555</v>
      </c>
      <c r="H219" s="9">
        <v>136857</v>
      </c>
      <c r="I219" s="6">
        <v>-3.0300141790000001</v>
      </c>
    </row>
    <row r="220" spans="1:9" ht="60" x14ac:dyDescent="0.25">
      <c r="A220" s="1" t="s">
        <v>148</v>
      </c>
      <c r="B220" s="9">
        <v>570020</v>
      </c>
      <c r="C220" s="9">
        <v>485882</v>
      </c>
      <c r="D220" s="9">
        <v>402870</v>
      </c>
      <c r="E220" s="9">
        <v>321102</v>
      </c>
      <c r="F220" s="9">
        <v>248134</v>
      </c>
      <c r="G220" s="9">
        <v>183075</v>
      </c>
      <c r="H220" s="9">
        <v>125126</v>
      </c>
      <c r="I220" s="6">
        <v>-22.331858840999999</v>
      </c>
    </row>
    <row r="221" spans="1:9" ht="60" x14ac:dyDescent="0.25">
      <c r="A221" s="1" t="s">
        <v>147</v>
      </c>
      <c r="B221" s="9">
        <v>351621</v>
      </c>
      <c r="C221" s="9">
        <v>470996</v>
      </c>
      <c r="D221" s="9">
        <v>585722</v>
      </c>
      <c r="E221" s="9">
        <v>688459</v>
      </c>
      <c r="F221" s="9">
        <v>780299</v>
      </c>
      <c r="G221" s="9">
        <v>862343</v>
      </c>
      <c r="H221" s="9">
        <v>935579</v>
      </c>
      <c r="I221" s="6">
        <v>17.715669429999998</v>
      </c>
    </row>
    <row r="222" spans="1:9" ht="75" x14ac:dyDescent="0.25">
      <c r="A222" s="1" t="s">
        <v>146</v>
      </c>
      <c r="B222" s="9">
        <v>3805</v>
      </c>
      <c r="C222" s="9">
        <v>12839</v>
      </c>
      <c r="D222" s="9">
        <v>12839</v>
      </c>
      <c r="E222" s="9">
        <v>12839</v>
      </c>
      <c r="F222" s="9">
        <v>12839</v>
      </c>
      <c r="G222" s="9">
        <v>12839</v>
      </c>
      <c r="H222" s="9">
        <v>12839</v>
      </c>
      <c r="I222" s="6">
        <v>22.469916843</v>
      </c>
    </row>
    <row r="223" spans="1:9" ht="75" x14ac:dyDescent="0.25">
      <c r="A223" s="1" t="s">
        <v>145</v>
      </c>
      <c r="B223" s="9">
        <v>48597</v>
      </c>
      <c r="C223" s="9">
        <v>57243</v>
      </c>
      <c r="D223" s="9">
        <v>49572</v>
      </c>
      <c r="E223" s="9">
        <v>42930</v>
      </c>
      <c r="F223" s="9">
        <v>37177</v>
      </c>
      <c r="G223" s="9">
        <v>32195</v>
      </c>
      <c r="H223" s="9">
        <v>27881</v>
      </c>
      <c r="I223" s="6">
        <v>-8.8444432989999999</v>
      </c>
    </row>
    <row r="224" spans="1:9" ht="75" x14ac:dyDescent="0.25">
      <c r="A224" s="1" t="s">
        <v>144</v>
      </c>
      <c r="B224" s="9">
        <v>8438</v>
      </c>
      <c r="C224" s="9">
        <v>9205</v>
      </c>
      <c r="D224" s="9">
        <v>8745</v>
      </c>
      <c r="E224" s="9">
        <v>8308</v>
      </c>
      <c r="F224" s="9">
        <v>7892</v>
      </c>
      <c r="G224" s="9">
        <v>7498</v>
      </c>
      <c r="H224" s="9">
        <v>7123</v>
      </c>
      <c r="I224" s="6">
        <v>-2.784114304</v>
      </c>
    </row>
    <row r="225" spans="1:9" x14ac:dyDescent="0.25">
      <c r="A225" s="1" t="s">
        <v>12</v>
      </c>
      <c r="B225" s="2"/>
      <c r="C225" s="2"/>
      <c r="D225" s="2"/>
      <c r="E225" s="2"/>
      <c r="F225" s="2"/>
      <c r="G225" s="2"/>
      <c r="H225" s="2"/>
      <c r="I225" s="2"/>
    </row>
    <row r="226" spans="1:9" x14ac:dyDescent="0.25">
      <c r="A226" s="8" t="s">
        <v>32</v>
      </c>
      <c r="B226" s="2"/>
      <c r="C226" s="2"/>
      <c r="D226" s="2"/>
      <c r="E226" s="2"/>
      <c r="F226" s="2"/>
      <c r="G226" s="2"/>
      <c r="H226" s="2"/>
      <c r="I226" s="2"/>
    </row>
    <row r="227" spans="1:9" ht="30" x14ac:dyDescent="0.25">
      <c r="A227" s="1" t="s">
        <v>153</v>
      </c>
      <c r="B227" s="9">
        <v>10740000</v>
      </c>
      <c r="C227" s="9">
        <v>10610000</v>
      </c>
      <c r="D227" s="9">
        <v>10530000</v>
      </c>
      <c r="E227" s="9">
        <v>10510000</v>
      </c>
      <c r="F227" s="9">
        <v>10480000</v>
      </c>
      <c r="G227" s="9">
        <v>10450000</v>
      </c>
      <c r="H227" s="9">
        <v>10430000</v>
      </c>
      <c r="I227" s="6">
        <v>-0.48695749994999998</v>
      </c>
    </row>
    <row r="228" spans="1:9" ht="45" x14ac:dyDescent="0.25">
      <c r="A228" s="1" t="s">
        <v>152</v>
      </c>
      <c r="B228" s="9">
        <v>4572922</v>
      </c>
      <c r="C228" s="9">
        <v>4584354</v>
      </c>
      <c r="D228" s="9">
        <v>4595815</v>
      </c>
      <c r="E228" s="9">
        <v>4607305</v>
      </c>
      <c r="F228" s="9">
        <v>4618823</v>
      </c>
      <c r="G228" s="9">
        <v>4630370</v>
      </c>
      <c r="H228" s="9">
        <v>4641946</v>
      </c>
      <c r="I228" s="6">
        <v>0.25000009699999998</v>
      </c>
    </row>
    <row r="229" spans="1:9" ht="30" x14ac:dyDescent="0.25">
      <c r="A229" s="1" t="s">
        <v>151</v>
      </c>
      <c r="B229" s="9">
        <v>4464171</v>
      </c>
      <c r="C229" s="9">
        <v>4475108</v>
      </c>
      <c r="D229" s="9">
        <v>4486072</v>
      </c>
      <c r="E229" s="9">
        <v>4497062</v>
      </c>
      <c r="F229" s="9">
        <v>4508079</v>
      </c>
      <c r="G229" s="9">
        <v>4519123</v>
      </c>
      <c r="H229" s="9">
        <v>4530195</v>
      </c>
      <c r="I229" s="6">
        <v>0.24499051499999999</v>
      </c>
    </row>
    <row r="230" spans="1:9" ht="60" x14ac:dyDescent="0.25">
      <c r="A230" s="1" t="s">
        <v>150</v>
      </c>
      <c r="B230" s="9">
        <v>3685402</v>
      </c>
      <c r="C230" s="9">
        <v>3708148</v>
      </c>
      <c r="D230" s="9">
        <v>3720133</v>
      </c>
      <c r="E230" s="9">
        <v>3734029</v>
      </c>
      <c r="F230" s="9">
        <v>3749607</v>
      </c>
      <c r="G230" s="9">
        <v>3766662</v>
      </c>
      <c r="H230" s="9">
        <v>3785010</v>
      </c>
      <c r="I230" s="6">
        <v>0.44547125799999998</v>
      </c>
    </row>
    <row r="231" spans="1:9" ht="60" x14ac:dyDescent="0.25">
      <c r="A231" s="1" t="s">
        <v>149</v>
      </c>
      <c r="B231" s="9">
        <v>602519</v>
      </c>
      <c r="C231" s="9">
        <v>596237</v>
      </c>
      <c r="D231" s="9">
        <v>590642</v>
      </c>
      <c r="E231" s="9">
        <v>585654</v>
      </c>
      <c r="F231" s="9">
        <v>581203</v>
      </c>
      <c r="G231" s="9">
        <v>577227</v>
      </c>
      <c r="H231" s="9">
        <v>573673</v>
      </c>
      <c r="I231" s="6">
        <v>-0.81432712200000001</v>
      </c>
    </row>
    <row r="232" spans="1:9" ht="60" x14ac:dyDescent="0.25">
      <c r="A232" s="1" t="s">
        <v>148</v>
      </c>
      <c r="B232" s="9">
        <v>991395</v>
      </c>
      <c r="C232" s="9">
        <v>960379</v>
      </c>
      <c r="D232" s="9">
        <v>931443</v>
      </c>
      <c r="E232" s="9">
        <v>904394</v>
      </c>
      <c r="F232" s="9">
        <v>879059</v>
      </c>
      <c r="G232" s="9">
        <v>855280</v>
      </c>
      <c r="H232" s="9">
        <v>832918</v>
      </c>
      <c r="I232" s="6">
        <v>-2.8612328580000002</v>
      </c>
    </row>
    <row r="233" spans="1:9" ht="60" x14ac:dyDescent="0.25">
      <c r="A233" s="1" t="s">
        <v>147</v>
      </c>
      <c r="B233" s="9">
        <v>956792</v>
      </c>
      <c r="C233" s="9">
        <v>1042093</v>
      </c>
      <c r="D233" s="9">
        <v>1125520</v>
      </c>
      <c r="E233" s="9">
        <v>1207132</v>
      </c>
      <c r="F233" s="9">
        <v>1286986</v>
      </c>
      <c r="G233" s="9">
        <v>1365134</v>
      </c>
      <c r="H233" s="9">
        <v>1441626</v>
      </c>
      <c r="I233" s="6">
        <v>7.0711609869999998</v>
      </c>
    </row>
    <row r="234" spans="1:9" ht="75" x14ac:dyDescent="0.25">
      <c r="A234" s="1" t="s">
        <v>146</v>
      </c>
      <c r="B234" s="9">
        <v>600</v>
      </c>
      <c r="C234" s="9">
        <v>583</v>
      </c>
      <c r="D234" s="9">
        <v>570</v>
      </c>
      <c r="E234" s="9">
        <v>560</v>
      </c>
      <c r="F234" s="9">
        <v>552</v>
      </c>
      <c r="G234" s="9">
        <v>545</v>
      </c>
      <c r="H234" s="9">
        <v>540</v>
      </c>
      <c r="I234" s="6">
        <v>-1.740680615</v>
      </c>
    </row>
    <row r="235" spans="1:9" ht="75" x14ac:dyDescent="0.25">
      <c r="A235" s="1" t="s">
        <v>145</v>
      </c>
      <c r="B235" s="9">
        <v>1129322</v>
      </c>
      <c r="C235" s="9">
        <v>1104321</v>
      </c>
      <c r="D235" s="9">
        <v>1067650</v>
      </c>
      <c r="E235" s="9">
        <v>1032196</v>
      </c>
      <c r="F235" s="9">
        <v>997920</v>
      </c>
      <c r="G235" s="9">
        <v>964781</v>
      </c>
      <c r="H235" s="9">
        <v>932744</v>
      </c>
      <c r="I235" s="6">
        <v>-3.13710478</v>
      </c>
    </row>
    <row r="236" spans="1:9" ht="75" x14ac:dyDescent="0.25">
      <c r="A236" s="1" t="s">
        <v>144</v>
      </c>
      <c r="B236" s="9">
        <v>4774</v>
      </c>
      <c r="C236" s="9">
        <v>4535</v>
      </c>
      <c r="D236" s="9">
        <v>4308</v>
      </c>
      <c r="E236" s="9">
        <v>4093</v>
      </c>
      <c r="F236" s="9">
        <v>3888</v>
      </c>
      <c r="G236" s="9">
        <v>3694</v>
      </c>
      <c r="H236" s="9">
        <v>3509</v>
      </c>
      <c r="I236" s="6">
        <v>-5.001483017</v>
      </c>
    </row>
    <row r="237" spans="1:9" x14ac:dyDescent="0.25">
      <c r="A237" s="1" t="s">
        <v>12</v>
      </c>
      <c r="B237" s="2"/>
      <c r="C237" s="2"/>
      <c r="D237" s="2"/>
      <c r="E237" s="2"/>
      <c r="F237" s="2"/>
      <c r="G237" s="2"/>
      <c r="H237" s="2"/>
      <c r="I237" s="2"/>
    </row>
    <row r="238" spans="1:9" x14ac:dyDescent="0.25">
      <c r="A238" s="8" t="s">
        <v>33</v>
      </c>
      <c r="B238" s="2"/>
      <c r="C238" s="2"/>
      <c r="D238" s="2"/>
      <c r="E238" s="2"/>
      <c r="F238" s="2"/>
      <c r="G238" s="2"/>
      <c r="H238" s="2"/>
      <c r="I238" s="2"/>
    </row>
    <row r="239" spans="1:9" ht="30" x14ac:dyDescent="0.25">
      <c r="A239" s="1" t="s">
        <v>153</v>
      </c>
      <c r="B239" s="9">
        <v>5940000</v>
      </c>
      <c r="C239" s="9">
        <v>5970000</v>
      </c>
      <c r="D239" s="9">
        <v>6000000</v>
      </c>
      <c r="E239" s="9">
        <v>6020000</v>
      </c>
      <c r="F239" s="9">
        <v>6050000</v>
      </c>
      <c r="G239" s="9">
        <v>6080000</v>
      </c>
      <c r="H239" s="9">
        <v>6100000</v>
      </c>
      <c r="I239" s="6">
        <v>0.44397663219</v>
      </c>
    </row>
    <row r="240" spans="1:9" ht="45" x14ac:dyDescent="0.25">
      <c r="A240" s="1" t="s">
        <v>152</v>
      </c>
      <c r="B240" s="9">
        <v>2843000</v>
      </c>
      <c r="C240" s="9">
        <v>2857215</v>
      </c>
      <c r="D240" s="9">
        <v>2871501</v>
      </c>
      <c r="E240" s="9">
        <v>2885859</v>
      </c>
      <c r="F240" s="9">
        <v>2900288</v>
      </c>
      <c r="G240" s="9">
        <v>2914790</v>
      </c>
      <c r="H240" s="9">
        <v>2929363</v>
      </c>
      <c r="I240" s="6">
        <v>0.499998518</v>
      </c>
    </row>
    <row r="241" spans="1:9" ht="30" x14ac:dyDescent="0.25">
      <c r="A241" s="1" t="s">
        <v>151</v>
      </c>
      <c r="B241" s="9">
        <v>2771925</v>
      </c>
      <c r="C241" s="9">
        <v>2782928</v>
      </c>
      <c r="D241" s="9">
        <v>2793971</v>
      </c>
      <c r="E241" s="9">
        <v>2805055</v>
      </c>
      <c r="F241" s="9">
        <v>2816180</v>
      </c>
      <c r="G241" s="9">
        <v>2828803</v>
      </c>
      <c r="H241" s="9">
        <v>2841483</v>
      </c>
      <c r="I241" s="6">
        <v>0.41392220600000001</v>
      </c>
    </row>
    <row r="242" spans="1:9" ht="60" x14ac:dyDescent="0.25">
      <c r="A242" s="1" t="s">
        <v>150</v>
      </c>
      <c r="B242" s="9">
        <v>2574036</v>
      </c>
      <c r="C242" s="9">
        <v>2596407</v>
      </c>
      <c r="D242" s="9">
        <v>2608646</v>
      </c>
      <c r="E242" s="9">
        <v>2622519</v>
      </c>
      <c r="F242" s="9">
        <v>2637804</v>
      </c>
      <c r="G242" s="9">
        <v>2654057</v>
      </c>
      <c r="H242" s="9">
        <v>2671003</v>
      </c>
      <c r="I242" s="6">
        <v>0.61821917199999998</v>
      </c>
    </row>
    <row r="243" spans="1:9" ht="60" x14ac:dyDescent="0.25">
      <c r="A243" s="1" t="s">
        <v>149</v>
      </c>
      <c r="B243" s="9">
        <v>886077</v>
      </c>
      <c r="C243" s="9">
        <v>879874</v>
      </c>
      <c r="D243" s="9">
        <v>872835</v>
      </c>
      <c r="E243" s="9">
        <v>864980</v>
      </c>
      <c r="F243" s="9">
        <v>856330</v>
      </c>
      <c r="G243" s="9">
        <v>846910</v>
      </c>
      <c r="H243" s="9">
        <v>836748</v>
      </c>
      <c r="I243" s="6">
        <v>-0.95013912099999998</v>
      </c>
    </row>
    <row r="244" spans="1:9" ht="60" x14ac:dyDescent="0.25">
      <c r="A244" s="1" t="s">
        <v>148</v>
      </c>
      <c r="B244" s="9">
        <v>278995</v>
      </c>
      <c r="C244" s="9">
        <v>252212</v>
      </c>
      <c r="D244" s="9">
        <v>228251</v>
      </c>
      <c r="E244" s="9">
        <v>206796</v>
      </c>
      <c r="F244" s="9">
        <v>187564</v>
      </c>
      <c r="G244" s="9">
        <v>170308</v>
      </c>
      <c r="H244" s="9">
        <v>154810</v>
      </c>
      <c r="I244" s="6">
        <v>-9.3501482009999997</v>
      </c>
    </row>
    <row r="245" spans="1:9" ht="60" x14ac:dyDescent="0.25">
      <c r="A245" s="1" t="s">
        <v>147</v>
      </c>
      <c r="B245" s="9">
        <v>1393466</v>
      </c>
      <c r="C245" s="9">
        <v>1449205</v>
      </c>
      <c r="D245" s="9">
        <v>1492681</v>
      </c>
      <c r="E245" s="9">
        <v>1535969</v>
      </c>
      <c r="F245" s="9">
        <v>1578976</v>
      </c>
      <c r="G245" s="9">
        <v>1621609</v>
      </c>
      <c r="H245" s="9">
        <v>1663770</v>
      </c>
      <c r="I245" s="6">
        <v>2.9989550629999999</v>
      </c>
    </row>
    <row r="246" spans="1:9" ht="75" x14ac:dyDescent="0.25">
      <c r="A246" s="1" t="s">
        <v>146</v>
      </c>
      <c r="B246" s="9">
        <v>609</v>
      </c>
      <c r="C246" s="9">
        <v>670</v>
      </c>
      <c r="D246" s="9">
        <v>720</v>
      </c>
      <c r="E246" s="9">
        <v>756</v>
      </c>
      <c r="F246" s="9">
        <v>775</v>
      </c>
      <c r="G246" s="9">
        <v>790</v>
      </c>
      <c r="H246" s="9">
        <v>802</v>
      </c>
      <c r="I246" s="6">
        <v>4.6950573840000001</v>
      </c>
    </row>
    <row r="247" spans="1:9" ht="75" x14ac:dyDescent="0.25">
      <c r="A247" s="1" t="s">
        <v>145</v>
      </c>
      <c r="B247" s="9">
        <v>14826</v>
      </c>
      <c r="C247" s="9">
        <v>14382</v>
      </c>
      <c r="D247" s="9">
        <v>14094</v>
      </c>
      <c r="E247" s="9">
        <v>13953</v>
      </c>
      <c r="F247" s="9">
        <v>14093</v>
      </c>
      <c r="G247" s="9">
        <v>14374</v>
      </c>
      <c r="H247" s="9">
        <v>14806</v>
      </c>
      <c r="I247" s="6">
        <v>-2.2495673000000001E-2</v>
      </c>
    </row>
    <row r="248" spans="1:9" ht="75" x14ac:dyDescent="0.25">
      <c r="A248" s="1" t="s">
        <v>144</v>
      </c>
      <c r="B248" s="9">
        <v>63</v>
      </c>
      <c r="C248" s="9">
        <v>64</v>
      </c>
      <c r="D248" s="9">
        <v>65</v>
      </c>
      <c r="E248" s="9">
        <v>65</v>
      </c>
      <c r="F248" s="9">
        <v>66</v>
      </c>
      <c r="G248" s="9">
        <v>66</v>
      </c>
      <c r="H248" s="9">
        <v>67</v>
      </c>
      <c r="I248" s="6">
        <v>1.031245948</v>
      </c>
    </row>
    <row r="249" spans="1:9" x14ac:dyDescent="0.25">
      <c r="A249" s="1" t="s">
        <v>12</v>
      </c>
      <c r="B249" s="2"/>
      <c r="C249" s="2"/>
      <c r="D249" s="2"/>
      <c r="E249" s="2"/>
      <c r="F249" s="2"/>
      <c r="G249" s="2"/>
      <c r="H249" s="2"/>
      <c r="I249" s="2"/>
    </row>
    <row r="250" spans="1:9" ht="30" x14ac:dyDescent="0.25">
      <c r="A250" s="8" t="s">
        <v>34</v>
      </c>
      <c r="B250" s="2"/>
      <c r="C250" s="2"/>
      <c r="D250" s="2"/>
      <c r="E250" s="2"/>
      <c r="F250" s="2"/>
      <c r="G250" s="2"/>
      <c r="H250" s="2"/>
      <c r="I250" s="2"/>
    </row>
    <row r="251" spans="1:9" ht="30" x14ac:dyDescent="0.25">
      <c r="A251" s="1" t="s">
        <v>153</v>
      </c>
      <c r="B251" s="9">
        <v>10795677</v>
      </c>
      <c r="C251" s="9">
        <v>10878267</v>
      </c>
      <c r="D251" s="9">
        <v>10954360</v>
      </c>
      <c r="E251" s="9">
        <v>11029816</v>
      </c>
      <c r="F251" s="9">
        <v>11108039</v>
      </c>
      <c r="G251" s="9">
        <v>11181613</v>
      </c>
      <c r="H251" s="9">
        <v>11253284</v>
      </c>
      <c r="I251" s="6">
        <v>0.69430286608000003</v>
      </c>
    </row>
    <row r="252" spans="1:9" ht="45" x14ac:dyDescent="0.25">
      <c r="A252" s="1" t="s">
        <v>152</v>
      </c>
      <c r="B252" s="9">
        <v>3545981</v>
      </c>
      <c r="C252" s="9">
        <v>3610260</v>
      </c>
      <c r="D252" s="9">
        <v>3682465</v>
      </c>
      <c r="E252" s="9">
        <v>3756114</v>
      </c>
      <c r="F252" s="9">
        <v>3831236</v>
      </c>
      <c r="G252" s="9">
        <v>3907861</v>
      </c>
      <c r="H252" s="9">
        <v>3986018</v>
      </c>
      <c r="I252" s="6">
        <v>1.968760898</v>
      </c>
    </row>
    <row r="253" spans="1:9" ht="30" x14ac:dyDescent="0.25">
      <c r="A253" s="1" t="s">
        <v>151</v>
      </c>
      <c r="B253" s="9">
        <v>3141235</v>
      </c>
      <c r="C253" s="9">
        <v>3226048</v>
      </c>
      <c r="D253" s="9">
        <v>3313151</v>
      </c>
      <c r="E253" s="9">
        <v>3402606</v>
      </c>
      <c r="F253" s="9">
        <v>3494476</v>
      </c>
      <c r="G253" s="9">
        <v>3588827</v>
      </c>
      <c r="H253" s="9">
        <v>3685725</v>
      </c>
      <c r="I253" s="6">
        <v>2.6999936579999999</v>
      </c>
    </row>
    <row r="254" spans="1:9" ht="60" x14ac:dyDescent="0.25">
      <c r="A254" s="1" t="s">
        <v>150</v>
      </c>
      <c r="B254" s="9">
        <v>1239313</v>
      </c>
      <c r="C254" s="9">
        <v>1285064</v>
      </c>
      <c r="D254" s="9">
        <v>1375487</v>
      </c>
      <c r="E254" s="9">
        <v>1468771</v>
      </c>
      <c r="F254" s="9">
        <v>1562203</v>
      </c>
      <c r="G254" s="9">
        <v>1651068</v>
      </c>
      <c r="H254" s="9">
        <v>1739580</v>
      </c>
      <c r="I254" s="6">
        <v>5.8141871500000004</v>
      </c>
    </row>
    <row r="255" spans="1:9" ht="60" x14ac:dyDescent="0.25">
      <c r="A255" s="1" t="s">
        <v>149</v>
      </c>
      <c r="B255" s="9">
        <v>175771</v>
      </c>
      <c r="C255" s="9">
        <v>184089</v>
      </c>
      <c r="D255" s="9">
        <v>192365</v>
      </c>
      <c r="E255" s="9">
        <v>200590</v>
      </c>
      <c r="F255" s="9">
        <v>208746</v>
      </c>
      <c r="G255" s="9">
        <v>216817</v>
      </c>
      <c r="H255" s="9">
        <v>224789</v>
      </c>
      <c r="I255" s="6">
        <v>4.1848662750000001</v>
      </c>
    </row>
    <row r="256" spans="1:9" ht="60" x14ac:dyDescent="0.25">
      <c r="A256" s="1" t="s">
        <v>148</v>
      </c>
      <c r="B256" s="9">
        <v>204237</v>
      </c>
      <c r="C256" s="9">
        <v>191299</v>
      </c>
      <c r="D256" s="9">
        <v>181721</v>
      </c>
      <c r="E256" s="9">
        <v>174530</v>
      </c>
      <c r="F256" s="9">
        <v>169060</v>
      </c>
      <c r="G256" s="9">
        <v>164847</v>
      </c>
      <c r="H256" s="9">
        <v>161564</v>
      </c>
      <c r="I256" s="6">
        <v>-3.831015737</v>
      </c>
    </row>
    <row r="257" spans="1:9" ht="60" x14ac:dyDescent="0.25">
      <c r="A257" s="1" t="s">
        <v>147</v>
      </c>
      <c r="B257" s="9">
        <v>659033</v>
      </c>
      <c r="C257" s="9">
        <v>702632</v>
      </c>
      <c r="D257" s="9">
        <v>786824</v>
      </c>
      <c r="E257" s="9">
        <v>870759</v>
      </c>
      <c r="F257" s="9">
        <v>952382</v>
      </c>
      <c r="G257" s="9">
        <v>1027420</v>
      </c>
      <c r="H257" s="9">
        <v>1100378</v>
      </c>
      <c r="I257" s="6">
        <v>8.9195377459999996</v>
      </c>
    </row>
    <row r="258" spans="1:9" ht="75" x14ac:dyDescent="0.25">
      <c r="A258" s="1" t="s">
        <v>146</v>
      </c>
      <c r="B258" s="9">
        <v>28990</v>
      </c>
      <c r="C258" s="9">
        <v>32179</v>
      </c>
      <c r="D258" s="9">
        <v>35719</v>
      </c>
      <c r="E258" s="9">
        <v>39648</v>
      </c>
      <c r="F258" s="9">
        <v>44009</v>
      </c>
      <c r="G258" s="9">
        <v>48850</v>
      </c>
      <c r="H258" s="9">
        <v>54224</v>
      </c>
      <c r="I258" s="6">
        <v>11.00023273</v>
      </c>
    </row>
    <row r="259" spans="1:9" ht="75" x14ac:dyDescent="0.25">
      <c r="A259" s="1" t="s">
        <v>145</v>
      </c>
      <c r="B259" s="9">
        <v>171006</v>
      </c>
      <c r="C259" s="9">
        <v>174591</v>
      </c>
      <c r="D259" s="9">
        <v>178586</v>
      </c>
      <c r="E259" s="9">
        <v>182974</v>
      </c>
      <c r="F259" s="9">
        <v>187738</v>
      </c>
      <c r="G259" s="9">
        <v>192868</v>
      </c>
      <c r="H259" s="9">
        <v>198361</v>
      </c>
      <c r="I259" s="6">
        <v>2.504002426</v>
      </c>
    </row>
    <row r="260" spans="1:9" ht="75" x14ac:dyDescent="0.25">
      <c r="A260" s="1" t="s">
        <v>144</v>
      </c>
      <c r="B260" s="9">
        <v>276</v>
      </c>
      <c r="C260" s="9">
        <v>274</v>
      </c>
      <c r="D260" s="9">
        <v>272</v>
      </c>
      <c r="E260" s="9">
        <v>270</v>
      </c>
      <c r="F260" s="9">
        <v>268</v>
      </c>
      <c r="G260" s="9">
        <v>266</v>
      </c>
      <c r="H260" s="9">
        <v>264</v>
      </c>
      <c r="I260" s="6">
        <v>-0.73812508700000001</v>
      </c>
    </row>
    <row r="261" spans="1:9" x14ac:dyDescent="0.25">
      <c r="A261" s="1" t="s">
        <v>12</v>
      </c>
      <c r="B261" s="2"/>
      <c r="C261" s="2"/>
      <c r="D261" s="2"/>
      <c r="E261" s="2"/>
      <c r="F261" s="2"/>
      <c r="G261" s="2"/>
      <c r="H261" s="2"/>
      <c r="I261" s="2"/>
    </row>
    <row r="262" spans="1:9" ht="30" x14ac:dyDescent="0.25">
      <c r="A262" s="8" t="s">
        <v>35</v>
      </c>
      <c r="B262" s="2"/>
      <c r="C262" s="2"/>
      <c r="D262" s="2"/>
      <c r="E262" s="2"/>
      <c r="F262" s="2"/>
      <c r="G262" s="2"/>
      <c r="H262" s="2"/>
      <c r="I262" s="2"/>
    </row>
    <row r="263" spans="1:9" ht="30" x14ac:dyDescent="0.25">
      <c r="A263" s="1" t="s">
        <v>153</v>
      </c>
      <c r="B263" s="9">
        <v>412667771</v>
      </c>
      <c r="C263" s="9">
        <v>412265317</v>
      </c>
      <c r="D263" s="9">
        <v>412160361</v>
      </c>
      <c r="E263" s="9">
        <v>412373147</v>
      </c>
      <c r="F263" s="9">
        <v>412613923</v>
      </c>
      <c r="G263" s="9">
        <v>412802942</v>
      </c>
      <c r="H263" s="9">
        <v>413000459</v>
      </c>
      <c r="I263" s="6">
        <v>1.343196329E-2</v>
      </c>
    </row>
    <row r="264" spans="1:9" ht="45" x14ac:dyDescent="0.25">
      <c r="A264" s="1" t="s">
        <v>152</v>
      </c>
      <c r="B264" s="9">
        <v>151070405</v>
      </c>
      <c r="C264" s="9">
        <v>151805417</v>
      </c>
      <c r="D264" s="9">
        <v>152548269</v>
      </c>
      <c r="E264" s="9">
        <v>153269786</v>
      </c>
      <c r="F264" s="9">
        <v>154000533</v>
      </c>
      <c r="G264" s="9">
        <v>154740956</v>
      </c>
      <c r="H264" s="9">
        <v>155491510</v>
      </c>
      <c r="I264" s="6">
        <v>0.481909896</v>
      </c>
    </row>
    <row r="265" spans="1:9" ht="30" x14ac:dyDescent="0.25">
      <c r="A265" s="1" t="s">
        <v>151</v>
      </c>
      <c r="B265" s="9">
        <v>147876122</v>
      </c>
      <c r="C265" s="9">
        <v>148756614</v>
      </c>
      <c r="D265" s="9">
        <v>149652538</v>
      </c>
      <c r="E265" s="9">
        <v>150535939</v>
      </c>
      <c r="F265" s="9">
        <v>151436797</v>
      </c>
      <c r="G265" s="9">
        <v>152355903</v>
      </c>
      <c r="H265" s="9">
        <v>153294064</v>
      </c>
      <c r="I265" s="6">
        <v>0.60152114800000001</v>
      </c>
    </row>
    <row r="266" spans="1:9" ht="60" x14ac:dyDescent="0.25">
      <c r="A266" s="1" t="s">
        <v>150</v>
      </c>
      <c r="B266" s="9">
        <v>96505420</v>
      </c>
      <c r="C266" s="9">
        <v>99650729</v>
      </c>
      <c r="D266" s="9">
        <v>102204772</v>
      </c>
      <c r="E266" s="9">
        <v>104705106</v>
      </c>
      <c r="F266" s="9">
        <v>107242766</v>
      </c>
      <c r="G266" s="9">
        <v>109872975</v>
      </c>
      <c r="H266" s="9">
        <v>112632769</v>
      </c>
      <c r="I266" s="6">
        <v>2.6090128080000001</v>
      </c>
    </row>
    <row r="267" spans="1:9" ht="60" x14ac:dyDescent="0.25">
      <c r="A267" s="1" t="s">
        <v>149</v>
      </c>
      <c r="B267" s="9">
        <v>15990889</v>
      </c>
      <c r="C267" s="9">
        <v>15418480</v>
      </c>
      <c r="D267" s="9">
        <v>14921221</v>
      </c>
      <c r="E267" s="9">
        <v>14489711</v>
      </c>
      <c r="F267" s="9">
        <v>14115865</v>
      </c>
      <c r="G267" s="9">
        <v>13785318</v>
      </c>
      <c r="H267" s="9">
        <v>13489235</v>
      </c>
      <c r="I267" s="6">
        <v>-2.7956310129999999</v>
      </c>
    </row>
    <row r="268" spans="1:9" ht="60" x14ac:dyDescent="0.25">
      <c r="A268" s="1" t="s">
        <v>148</v>
      </c>
      <c r="B268" s="9">
        <v>14974979</v>
      </c>
      <c r="C268" s="9">
        <v>13505714</v>
      </c>
      <c r="D268" s="9">
        <v>12360671</v>
      </c>
      <c r="E268" s="9">
        <v>11416519</v>
      </c>
      <c r="F268" s="9">
        <v>10623671</v>
      </c>
      <c r="G268" s="9">
        <v>9943316</v>
      </c>
      <c r="H268" s="9">
        <v>9350224</v>
      </c>
      <c r="I268" s="6">
        <v>-7.5494926409999996</v>
      </c>
    </row>
    <row r="269" spans="1:9" ht="60" x14ac:dyDescent="0.25">
      <c r="A269" s="1" t="s">
        <v>147</v>
      </c>
      <c r="B269" s="9">
        <v>59952262</v>
      </c>
      <c r="C269" s="9">
        <v>65407013</v>
      </c>
      <c r="D269" s="9">
        <v>69933249</v>
      </c>
      <c r="E269" s="9">
        <v>74110833</v>
      </c>
      <c r="F269" s="9">
        <v>78090357</v>
      </c>
      <c r="G269" s="9">
        <v>81974834</v>
      </c>
      <c r="H269" s="9">
        <v>85841011</v>
      </c>
      <c r="I269" s="6">
        <v>6.1650434199999999</v>
      </c>
    </row>
    <row r="270" spans="1:9" ht="75" x14ac:dyDescent="0.25">
      <c r="A270" s="1" t="s">
        <v>146</v>
      </c>
      <c r="B270" s="9">
        <v>843675</v>
      </c>
      <c r="C270" s="9">
        <v>918783</v>
      </c>
      <c r="D270" s="9">
        <v>932175</v>
      </c>
      <c r="E270" s="9">
        <v>941605</v>
      </c>
      <c r="F270" s="9">
        <v>948178</v>
      </c>
      <c r="G270" s="9">
        <v>952707</v>
      </c>
      <c r="H270" s="9">
        <v>955777</v>
      </c>
      <c r="I270" s="6">
        <v>2.1010556820000001</v>
      </c>
    </row>
    <row r="271" spans="1:9" ht="75" x14ac:dyDescent="0.25">
      <c r="A271" s="1" t="s">
        <v>145</v>
      </c>
      <c r="B271" s="9">
        <v>3162402</v>
      </c>
      <c r="C271" s="9">
        <v>2983096</v>
      </c>
      <c r="D271" s="9">
        <v>2771021</v>
      </c>
      <c r="E271" s="9">
        <v>2581108</v>
      </c>
      <c r="F271" s="9">
        <v>2411118</v>
      </c>
      <c r="G271" s="9">
        <v>2261736</v>
      </c>
      <c r="H271" s="9">
        <v>2132901</v>
      </c>
      <c r="I271" s="6">
        <v>-6.353344774</v>
      </c>
    </row>
    <row r="272" spans="1:9" ht="75" x14ac:dyDescent="0.25">
      <c r="A272" s="1" t="s">
        <v>144</v>
      </c>
      <c r="B272" s="9">
        <v>1696654</v>
      </c>
      <c r="C272" s="9">
        <v>1526933</v>
      </c>
      <c r="D272" s="9">
        <v>1390891</v>
      </c>
      <c r="E272" s="9">
        <v>1266058</v>
      </c>
      <c r="F272" s="9">
        <v>1151365</v>
      </c>
      <c r="G272" s="9">
        <v>1050493</v>
      </c>
      <c r="H272" s="9">
        <v>957126</v>
      </c>
      <c r="I272" s="6">
        <v>-9.1002606129999997</v>
      </c>
    </row>
    <row r="273" spans="1:9" x14ac:dyDescent="0.25">
      <c r="A273" s="1" t="s">
        <v>12</v>
      </c>
      <c r="B273" s="2"/>
      <c r="C273" s="2"/>
      <c r="D273" s="2"/>
      <c r="E273" s="2"/>
      <c r="F273" s="2"/>
      <c r="G273" s="2"/>
      <c r="H273" s="2"/>
      <c r="I273" s="2"/>
    </row>
    <row r="274" spans="1:9" x14ac:dyDescent="0.25">
      <c r="A274" s="8" t="s">
        <v>36</v>
      </c>
      <c r="B274" s="2"/>
      <c r="C274" s="2"/>
      <c r="D274" s="2"/>
      <c r="E274" s="2"/>
      <c r="F274" s="2"/>
      <c r="G274" s="2"/>
      <c r="H274" s="2"/>
      <c r="I274" s="2"/>
    </row>
    <row r="275" spans="1:9" ht="30" x14ac:dyDescent="0.25">
      <c r="A275" s="1" t="s">
        <v>153</v>
      </c>
      <c r="B275" s="9">
        <v>18140</v>
      </c>
      <c r="C275" s="9">
        <v>18290</v>
      </c>
      <c r="D275" s="9">
        <v>18440</v>
      </c>
      <c r="E275" s="9">
        <v>18600</v>
      </c>
      <c r="F275" s="9">
        <v>18760</v>
      </c>
      <c r="G275" s="9">
        <v>18910</v>
      </c>
      <c r="H275" s="9">
        <v>19070</v>
      </c>
      <c r="I275" s="6">
        <v>0.83676438094000005</v>
      </c>
    </row>
    <row r="276" spans="1:9" ht="45" x14ac:dyDescent="0.25">
      <c r="A276" s="1" t="s">
        <v>152</v>
      </c>
      <c r="B276" s="9">
        <v>5235155</v>
      </c>
      <c r="C276" s="9">
        <v>5297977</v>
      </c>
      <c r="D276" s="9">
        <v>5361552</v>
      </c>
      <c r="E276" s="9">
        <v>5431253</v>
      </c>
      <c r="F276" s="9">
        <v>5501859</v>
      </c>
      <c r="G276" s="9">
        <v>5573383</v>
      </c>
      <c r="H276" s="9">
        <v>5645837</v>
      </c>
      <c r="I276" s="6">
        <v>1.26665509</v>
      </c>
    </row>
    <row r="277" spans="1:9" ht="30" x14ac:dyDescent="0.25">
      <c r="A277" s="1" t="s">
        <v>151</v>
      </c>
      <c r="B277" s="9">
        <v>4867664</v>
      </c>
      <c r="C277" s="9">
        <v>4965017</v>
      </c>
      <c r="D277" s="9">
        <v>5064317</v>
      </c>
      <c r="E277" s="9">
        <v>5165604</v>
      </c>
      <c r="F277" s="9">
        <v>5268916</v>
      </c>
      <c r="G277" s="9">
        <v>5374294</v>
      </c>
      <c r="H277" s="9">
        <v>5481780</v>
      </c>
      <c r="I277" s="6">
        <v>1.999999174</v>
      </c>
    </row>
    <row r="278" spans="1:9" ht="60" x14ac:dyDescent="0.25">
      <c r="A278" s="1" t="s">
        <v>150</v>
      </c>
      <c r="B278" s="9">
        <v>3034062</v>
      </c>
      <c r="C278" s="9">
        <v>3216242</v>
      </c>
      <c r="D278" s="9">
        <v>3409422</v>
      </c>
      <c r="E278" s="9">
        <v>3604116</v>
      </c>
      <c r="F278" s="9">
        <v>3795478</v>
      </c>
      <c r="G278" s="9">
        <v>3980763</v>
      </c>
      <c r="H278" s="9">
        <v>4158301</v>
      </c>
      <c r="I278" s="6">
        <v>5.393844133</v>
      </c>
    </row>
    <row r="279" spans="1:9" ht="60" x14ac:dyDescent="0.25">
      <c r="A279" s="1" t="s">
        <v>149</v>
      </c>
      <c r="B279" s="9">
        <v>372409</v>
      </c>
      <c r="C279" s="9">
        <v>358630</v>
      </c>
      <c r="D279" s="9">
        <v>345361</v>
      </c>
      <c r="E279" s="9">
        <v>332583</v>
      </c>
      <c r="F279" s="9">
        <v>320277</v>
      </c>
      <c r="G279" s="9">
        <v>308427</v>
      </c>
      <c r="H279" s="9">
        <v>297015</v>
      </c>
      <c r="I279" s="6">
        <v>-3.6999818150000001</v>
      </c>
    </row>
    <row r="280" spans="1:9" ht="60" x14ac:dyDescent="0.25">
      <c r="A280" s="1" t="s">
        <v>148</v>
      </c>
      <c r="B280" s="9">
        <v>40699</v>
      </c>
      <c r="C280" s="9">
        <v>18859</v>
      </c>
      <c r="D280" s="9">
        <v>9144</v>
      </c>
      <c r="E280" s="9">
        <v>4622</v>
      </c>
      <c r="F280" s="9">
        <v>2428</v>
      </c>
      <c r="G280" s="9">
        <v>1321</v>
      </c>
      <c r="H280" s="9">
        <v>743</v>
      </c>
      <c r="I280" s="6">
        <v>-48.686199756999997</v>
      </c>
    </row>
    <row r="281" spans="1:9" ht="60" x14ac:dyDescent="0.25">
      <c r="A281" s="1" t="s">
        <v>147</v>
      </c>
      <c r="B281" s="9">
        <v>2538695</v>
      </c>
      <c r="C281" s="9">
        <v>2767178</v>
      </c>
      <c r="D281" s="9">
        <v>2991319</v>
      </c>
      <c r="E281" s="9">
        <v>3209386</v>
      </c>
      <c r="F281" s="9">
        <v>3419954</v>
      </c>
      <c r="G281" s="9">
        <v>3621899</v>
      </c>
      <c r="H281" s="9">
        <v>3814382</v>
      </c>
      <c r="I281" s="6">
        <v>7.0209847429999996</v>
      </c>
    </row>
    <row r="282" spans="1:9" ht="75" x14ac:dyDescent="0.25">
      <c r="A282" s="1" t="s">
        <v>146</v>
      </c>
      <c r="B282" s="9">
        <v>14145</v>
      </c>
      <c r="C282" s="9">
        <v>14377</v>
      </c>
      <c r="D282" s="9">
        <v>14589</v>
      </c>
      <c r="E282" s="9">
        <v>14783</v>
      </c>
      <c r="F282" s="9">
        <v>14960</v>
      </c>
      <c r="G282" s="9">
        <v>15121</v>
      </c>
      <c r="H282" s="9">
        <v>15267</v>
      </c>
      <c r="I282" s="6">
        <v>1.2803341749999999</v>
      </c>
    </row>
    <row r="283" spans="1:9" ht="75" x14ac:dyDescent="0.25">
      <c r="A283" s="1" t="s">
        <v>145</v>
      </c>
      <c r="B283" s="9">
        <v>65068</v>
      </c>
      <c r="C283" s="9">
        <v>54182</v>
      </c>
      <c r="D283" s="9">
        <v>46023</v>
      </c>
      <c r="E283" s="9">
        <v>39786</v>
      </c>
      <c r="F283" s="9">
        <v>34933</v>
      </c>
      <c r="G283" s="9">
        <v>31098</v>
      </c>
      <c r="H283" s="9">
        <v>28026</v>
      </c>
      <c r="I283" s="6">
        <v>-13.097498748</v>
      </c>
    </row>
    <row r="284" spans="1:9" ht="75" x14ac:dyDescent="0.25">
      <c r="A284" s="1" t="s">
        <v>144</v>
      </c>
      <c r="B284" s="9">
        <v>3046</v>
      </c>
      <c r="C284" s="9">
        <v>3016</v>
      </c>
      <c r="D284" s="9">
        <v>2986</v>
      </c>
      <c r="E284" s="9">
        <v>2956</v>
      </c>
      <c r="F284" s="9">
        <v>2926</v>
      </c>
      <c r="G284" s="9">
        <v>2897</v>
      </c>
      <c r="H284" s="9">
        <v>2868</v>
      </c>
      <c r="I284" s="6">
        <v>-0.99855321399999997</v>
      </c>
    </row>
    <row r="285" spans="1:9" x14ac:dyDescent="0.25">
      <c r="A285" s="1" t="s">
        <v>12</v>
      </c>
      <c r="B285" s="2"/>
      <c r="C285" s="2"/>
      <c r="D285" s="2"/>
      <c r="E285" s="2"/>
      <c r="F285" s="2"/>
      <c r="G285" s="2"/>
      <c r="H285" s="2"/>
      <c r="I285" s="2"/>
    </row>
    <row r="286" spans="1:9" x14ac:dyDescent="0.25">
      <c r="A286" s="8" t="s">
        <v>37</v>
      </c>
      <c r="B286" s="2"/>
      <c r="C286" s="2"/>
      <c r="D286" s="2"/>
      <c r="E286" s="2"/>
      <c r="F286" s="2"/>
      <c r="G286" s="2"/>
      <c r="H286" s="2"/>
      <c r="I286" s="2"/>
    </row>
    <row r="287" spans="1:9" ht="30" x14ac:dyDescent="0.25">
      <c r="A287" s="1" t="s">
        <v>153</v>
      </c>
      <c r="B287" s="9">
        <v>107700000</v>
      </c>
      <c r="C287" s="9">
        <v>109700000</v>
      </c>
      <c r="D287" s="9">
        <v>111600000</v>
      </c>
      <c r="E287" s="9">
        <v>113300000</v>
      </c>
      <c r="F287" s="9">
        <v>115000000</v>
      </c>
      <c r="G287" s="9">
        <v>116700000</v>
      </c>
      <c r="H287" s="9">
        <v>118300000</v>
      </c>
      <c r="I287" s="6">
        <v>1.57687325508</v>
      </c>
    </row>
    <row r="288" spans="1:9" ht="45" x14ac:dyDescent="0.25">
      <c r="A288" s="1" t="s">
        <v>152</v>
      </c>
      <c r="B288" s="9">
        <v>23189096</v>
      </c>
      <c r="C288" s="9">
        <v>23555483</v>
      </c>
      <c r="D288" s="9">
        <v>23927660</v>
      </c>
      <c r="E288" s="9">
        <v>24305717</v>
      </c>
      <c r="F288" s="9">
        <v>24689747</v>
      </c>
      <c r="G288" s="9">
        <v>25079845</v>
      </c>
      <c r="H288" s="9">
        <v>25476107</v>
      </c>
      <c r="I288" s="6">
        <v>1.5799997969999999</v>
      </c>
    </row>
    <row r="289" spans="1:9" ht="30" x14ac:dyDescent="0.25">
      <c r="A289" s="1" t="s">
        <v>151</v>
      </c>
      <c r="B289" s="9">
        <v>22279406</v>
      </c>
      <c r="C289" s="9">
        <v>22642736</v>
      </c>
      <c r="D289" s="9">
        <v>23011992</v>
      </c>
      <c r="E289" s="9">
        <v>23387269</v>
      </c>
      <c r="F289" s="9">
        <v>23768666</v>
      </c>
      <c r="G289" s="9">
        <v>24156283</v>
      </c>
      <c r="H289" s="9">
        <v>24550222</v>
      </c>
      <c r="I289" s="6">
        <v>1.6307902780000001</v>
      </c>
    </row>
    <row r="290" spans="1:9" ht="60" x14ac:dyDescent="0.25">
      <c r="A290" s="1" t="s">
        <v>150</v>
      </c>
      <c r="B290" s="9">
        <v>11781971</v>
      </c>
      <c r="C290" s="9">
        <v>12667323</v>
      </c>
      <c r="D290" s="9">
        <v>13483631</v>
      </c>
      <c r="E290" s="9">
        <v>14384623</v>
      </c>
      <c r="F290" s="9">
        <v>15245482</v>
      </c>
      <c r="G290" s="9">
        <v>15920043</v>
      </c>
      <c r="H290" s="9">
        <v>16690571</v>
      </c>
      <c r="I290" s="6">
        <v>5.9763296410000004</v>
      </c>
    </row>
    <row r="291" spans="1:9" ht="60" x14ac:dyDescent="0.25">
      <c r="A291" s="1" t="s">
        <v>149</v>
      </c>
      <c r="B291" s="9">
        <v>0</v>
      </c>
      <c r="C291" s="9">
        <v>0</v>
      </c>
      <c r="D291" s="9">
        <v>0</v>
      </c>
      <c r="E291" s="9">
        <v>0</v>
      </c>
      <c r="F291" s="9">
        <v>0</v>
      </c>
      <c r="G291" s="9">
        <v>0</v>
      </c>
      <c r="H291" s="9">
        <v>0</v>
      </c>
      <c r="I291" s="7" t="s">
        <v>58</v>
      </c>
    </row>
    <row r="292" spans="1:9" ht="60" x14ac:dyDescent="0.25">
      <c r="A292" s="1" t="s">
        <v>148</v>
      </c>
      <c r="B292" s="9">
        <v>11531703</v>
      </c>
      <c r="C292" s="9">
        <v>12304328</v>
      </c>
      <c r="D292" s="9">
        <v>12968761</v>
      </c>
      <c r="E292" s="9">
        <v>13656106</v>
      </c>
      <c r="F292" s="9">
        <v>14229662</v>
      </c>
      <c r="G292" s="9">
        <v>14514255</v>
      </c>
      <c r="H292" s="9">
        <v>14804540</v>
      </c>
      <c r="I292" s="6">
        <v>4.2518038420000002</v>
      </c>
    </row>
    <row r="293" spans="1:9" ht="60" x14ac:dyDescent="0.25">
      <c r="A293" s="1" t="s">
        <v>147</v>
      </c>
      <c r="B293" s="9">
        <v>240989</v>
      </c>
      <c r="C293" s="9">
        <v>354253</v>
      </c>
      <c r="D293" s="9">
        <v>506582</v>
      </c>
      <c r="E293" s="9">
        <v>720588</v>
      </c>
      <c r="F293" s="9">
        <v>1008102</v>
      </c>
      <c r="G293" s="9">
        <v>1398237</v>
      </c>
      <c r="H293" s="9">
        <v>1879231</v>
      </c>
      <c r="I293" s="6">
        <v>40.819832933000001</v>
      </c>
    </row>
    <row r="294" spans="1:9" ht="75" x14ac:dyDescent="0.25">
      <c r="A294" s="1" t="s">
        <v>146</v>
      </c>
      <c r="B294" s="9">
        <v>2119</v>
      </c>
      <c r="C294" s="9">
        <v>1988</v>
      </c>
      <c r="D294" s="9">
        <v>1876</v>
      </c>
      <c r="E294" s="9">
        <v>1782</v>
      </c>
      <c r="F294" s="9">
        <v>1652</v>
      </c>
      <c r="G294" s="9">
        <v>1570</v>
      </c>
      <c r="H294" s="9">
        <v>1480</v>
      </c>
      <c r="I294" s="6">
        <v>-5.80631378</v>
      </c>
    </row>
    <row r="295" spans="1:9" ht="75" x14ac:dyDescent="0.25">
      <c r="A295" s="1" t="s">
        <v>145</v>
      </c>
      <c r="B295" s="9">
        <v>6720</v>
      </c>
      <c r="C295" s="9">
        <v>6348</v>
      </c>
      <c r="D295" s="9">
        <v>6032</v>
      </c>
      <c r="E295" s="9">
        <v>5792</v>
      </c>
      <c r="F295" s="9">
        <v>5722</v>
      </c>
      <c r="G295" s="9">
        <v>5680</v>
      </c>
      <c r="H295" s="9">
        <v>5020</v>
      </c>
      <c r="I295" s="6">
        <v>-4.744716478</v>
      </c>
    </row>
    <row r="296" spans="1:9" ht="75" x14ac:dyDescent="0.25">
      <c r="A296" s="1" t="s">
        <v>144</v>
      </c>
      <c r="B296" s="9">
        <v>439</v>
      </c>
      <c r="C296" s="9">
        <v>407</v>
      </c>
      <c r="D296" s="9">
        <v>379</v>
      </c>
      <c r="E296" s="9">
        <v>356</v>
      </c>
      <c r="F296" s="9">
        <v>344</v>
      </c>
      <c r="G296" s="9">
        <v>300</v>
      </c>
      <c r="H296" s="9">
        <v>300</v>
      </c>
      <c r="I296" s="6">
        <v>-6.1481605330000004</v>
      </c>
    </row>
    <row r="297" spans="1:9" x14ac:dyDescent="0.25">
      <c r="A297" s="1" t="s">
        <v>12</v>
      </c>
      <c r="B297" s="2"/>
      <c r="C297" s="2"/>
      <c r="D297" s="2"/>
      <c r="E297" s="2"/>
      <c r="F297" s="2"/>
      <c r="G297" s="2"/>
      <c r="H297" s="2"/>
      <c r="I297" s="2"/>
    </row>
    <row r="298" spans="1:9" x14ac:dyDescent="0.25">
      <c r="A298" s="8" t="s">
        <v>38</v>
      </c>
      <c r="B298" s="2"/>
      <c r="C298" s="2"/>
      <c r="D298" s="2"/>
      <c r="E298" s="2"/>
      <c r="F298" s="2"/>
      <c r="G298" s="2"/>
      <c r="H298" s="2"/>
      <c r="I298" s="2"/>
    </row>
    <row r="299" spans="1:9" ht="30" x14ac:dyDescent="0.25">
      <c r="A299" s="1" t="s">
        <v>153</v>
      </c>
      <c r="B299" s="9">
        <v>6340000</v>
      </c>
      <c r="C299" s="9">
        <v>6370000</v>
      </c>
      <c r="D299" s="9">
        <v>6390000</v>
      </c>
      <c r="E299" s="9">
        <v>6420000</v>
      </c>
      <c r="F299" s="9">
        <v>6440000</v>
      </c>
      <c r="G299" s="9">
        <v>6460000</v>
      </c>
      <c r="H299" s="9">
        <v>6490000</v>
      </c>
      <c r="I299" s="6">
        <v>0.39048980358000002</v>
      </c>
    </row>
    <row r="300" spans="1:9" ht="45" x14ac:dyDescent="0.25">
      <c r="A300" s="1" t="s">
        <v>152</v>
      </c>
      <c r="B300" s="9">
        <v>2060646</v>
      </c>
      <c r="C300" s="9">
        <v>2087434</v>
      </c>
      <c r="D300" s="9">
        <v>2112484</v>
      </c>
      <c r="E300" s="9">
        <v>2135721</v>
      </c>
      <c r="F300" s="9">
        <v>2159214</v>
      </c>
      <c r="G300" s="9">
        <v>2182965</v>
      </c>
      <c r="H300" s="9">
        <v>2206978</v>
      </c>
      <c r="I300" s="6">
        <v>1.1499724760000001</v>
      </c>
    </row>
    <row r="301" spans="1:9" ht="30" x14ac:dyDescent="0.25">
      <c r="A301" s="1" t="s">
        <v>151</v>
      </c>
      <c r="B301" s="9">
        <v>1892955</v>
      </c>
      <c r="C301" s="9">
        <v>1929288</v>
      </c>
      <c r="D301" s="9">
        <v>1964305</v>
      </c>
      <c r="E301" s="9">
        <v>1997908</v>
      </c>
      <c r="F301" s="9">
        <v>2019884</v>
      </c>
      <c r="G301" s="9">
        <v>2042103</v>
      </c>
      <c r="H301" s="9">
        <v>2064566</v>
      </c>
      <c r="I301" s="6">
        <v>1.4568591479999999</v>
      </c>
    </row>
    <row r="302" spans="1:9" ht="60" x14ac:dyDescent="0.25">
      <c r="A302" s="1" t="s">
        <v>150</v>
      </c>
      <c r="B302" s="9">
        <v>694900</v>
      </c>
      <c r="C302" s="9">
        <v>732345</v>
      </c>
      <c r="D302" s="9">
        <v>769790</v>
      </c>
      <c r="E302" s="9">
        <v>807234</v>
      </c>
      <c r="F302" s="9">
        <v>844679</v>
      </c>
      <c r="G302" s="9">
        <v>882021</v>
      </c>
      <c r="H302" s="9">
        <v>919363</v>
      </c>
      <c r="I302" s="6">
        <v>4.7757516180000001</v>
      </c>
    </row>
    <row r="303" spans="1:9" ht="60" x14ac:dyDescent="0.25">
      <c r="A303" s="1" t="s">
        <v>149</v>
      </c>
      <c r="B303" s="9">
        <v>276729</v>
      </c>
      <c r="C303" s="9">
        <v>294314</v>
      </c>
      <c r="D303" s="9">
        <v>311898</v>
      </c>
      <c r="E303" s="9">
        <v>329483</v>
      </c>
      <c r="F303" s="9">
        <v>347067</v>
      </c>
      <c r="G303" s="9">
        <v>364651</v>
      </c>
      <c r="H303" s="9">
        <v>382236</v>
      </c>
      <c r="I303" s="6">
        <v>5.5308620209999999</v>
      </c>
    </row>
    <row r="304" spans="1:9" ht="60" x14ac:dyDescent="0.25">
      <c r="A304" s="1" t="s">
        <v>148</v>
      </c>
      <c r="B304" s="9">
        <v>391197</v>
      </c>
      <c r="C304" s="9">
        <v>409157</v>
      </c>
      <c r="D304" s="9">
        <v>427117</v>
      </c>
      <c r="E304" s="9">
        <v>445077</v>
      </c>
      <c r="F304" s="9">
        <v>463037</v>
      </c>
      <c r="G304" s="9">
        <v>480997</v>
      </c>
      <c r="H304" s="9">
        <v>498957</v>
      </c>
      <c r="I304" s="6">
        <v>4.1384878949999999</v>
      </c>
    </row>
    <row r="305" spans="1:9" ht="60" x14ac:dyDescent="0.25">
      <c r="A305" s="1" t="s">
        <v>147</v>
      </c>
      <c r="B305" s="9">
        <v>24793</v>
      </c>
      <c r="C305" s="9">
        <v>26569</v>
      </c>
      <c r="D305" s="9">
        <v>28345</v>
      </c>
      <c r="E305" s="9">
        <v>30121</v>
      </c>
      <c r="F305" s="9">
        <v>31897</v>
      </c>
      <c r="G305" s="9">
        <v>33673</v>
      </c>
      <c r="H305" s="9">
        <v>35449</v>
      </c>
      <c r="I305" s="6">
        <v>6.1400166299999999</v>
      </c>
    </row>
    <row r="306" spans="1:9" ht="75" x14ac:dyDescent="0.25">
      <c r="A306" s="1" t="s">
        <v>146</v>
      </c>
      <c r="B306" s="9">
        <v>328</v>
      </c>
      <c r="C306" s="9">
        <v>349</v>
      </c>
      <c r="D306" s="9">
        <v>371</v>
      </c>
      <c r="E306" s="9">
        <v>392</v>
      </c>
      <c r="F306" s="9">
        <v>414</v>
      </c>
      <c r="G306" s="9">
        <v>435</v>
      </c>
      <c r="H306" s="9">
        <v>457</v>
      </c>
      <c r="I306" s="6">
        <v>5.6834687769999999</v>
      </c>
    </row>
    <row r="307" spans="1:9" ht="75" x14ac:dyDescent="0.25">
      <c r="A307" s="1" t="s">
        <v>145</v>
      </c>
      <c r="B307" s="9">
        <v>0</v>
      </c>
      <c r="C307" s="9">
        <v>0</v>
      </c>
      <c r="D307" s="9">
        <v>0</v>
      </c>
      <c r="E307" s="9">
        <v>0</v>
      </c>
      <c r="F307" s="9">
        <v>0</v>
      </c>
      <c r="G307" s="9">
        <v>0</v>
      </c>
      <c r="H307" s="9">
        <v>0</v>
      </c>
      <c r="I307" s="7" t="s">
        <v>58</v>
      </c>
    </row>
    <row r="308" spans="1:9" ht="75" x14ac:dyDescent="0.25">
      <c r="A308" s="1" t="s">
        <v>144</v>
      </c>
      <c r="B308" s="9">
        <v>1854</v>
      </c>
      <c r="C308" s="9">
        <v>1957</v>
      </c>
      <c r="D308" s="9">
        <v>2059</v>
      </c>
      <c r="E308" s="9">
        <v>2162</v>
      </c>
      <c r="F308" s="9">
        <v>2265</v>
      </c>
      <c r="G308" s="9">
        <v>2265</v>
      </c>
      <c r="H308" s="9">
        <v>2265</v>
      </c>
      <c r="I308" s="6">
        <v>3.3934624879999999</v>
      </c>
    </row>
    <row r="309" spans="1:9" x14ac:dyDescent="0.25">
      <c r="A309" s="1" t="s">
        <v>12</v>
      </c>
      <c r="B309" s="2"/>
      <c r="C309" s="2"/>
      <c r="D309" s="2"/>
      <c r="E309" s="2"/>
      <c r="F309" s="2"/>
      <c r="G309" s="2"/>
      <c r="H309" s="2"/>
      <c r="I309" s="2"/>
    </row>
    <row r="310" spans="1:9" x14ac:dyDescent="0.25">
      <c r="A310" s="8" t="s">
        <v>39</v>
      </c>
      <c r="B310" s="2"/>
      <c r="C310" s="2"/>
      <c r="D310" s="2"/>
      <c r="E310" s="2"/>
      <c r="F310" s="2"/>
      <c r="G310" s="2"/>
      <c r="H310" s="2"/>
      <c r="I310" s="2"/>
    </row>
    <row r="311" spans="1:9" ht="30" x14ac:dyDescent="0.25">
      <c r="A311" s="1" t="s">
        <v>153</v>
      </c>
      <c r="B311" s="9">
        <v>1360000</v>
      </c>
      <c r="C311" s="9">
        <v>1340000</v>
      </c>
      <c r="D311" s="9">
        <v>1330000</v>
      </c>
      <c r="E311" s="9">
        <v>1320000</v>
      </c>
      <c r="F311" s="9">
        <v>1320000</v>
      </c>
      <c r="G311" s="9">
        <v>1310000</v>
      </c>
      <c r="H311" s="9">
        <v>1300000</v>
      </c>
      <c r="I311" s="6">
        <v>-0.74918675466999995</v>
      </c>
    </row>
    <row r="312" spans="1:9" ht="45" x14ac:dyDescent="0.25">
      <c r="A312" s="1" t="s">
        <v>152</v>
      </c>
      <c r="B312" s="9">
        <v>655500</v>
      </c>
      <c r="C312" s="9">
        <v>658122</v>
      </c>
      <c r="D312" s="9">
        <v>660096</v>
      </c>
      <c r="E312" s="9">
        <v>661747</v>
      </c>
      <c r="F312" s="9">
        <v>663401</v>
      </c>
      <c r="G312" s="9">
        <v>665059</v>
      </c>
      <c r="H312" s="9">
        <v>666722</v>
      </c>
      <c r="I312" s="6">
        <v>0.28331498399999999</v>
      </c>
    </row>
    <row r="313" spans="1:9" ht="30" x14ac:dyDescent="0.25">
      <c r="A313" s="1" t="s">
        <v>151</v>
      </c>
      <c r="B313" s="9">
        <v>626767</v>
      </c>
      <c r="C313" s="9">
        <v>628644</v>
      </c>
      <c r="D313" s="9">
        <v>629900</v>
      </c>
      <c r="E313" s="9">
        <v>630843</v>
      </c>
      <c r="F313" s="9">
        <v>631788</v>
      </c>
      <c r="G313" s="9">
        <v>632734</v>
      </c>
      <c r="H313" s="9">
        <v>633681</v>
      </c>
      <c r="I313" s="6">
        <v>0.18301414199999999</v>
      </c>
    </row>
    <row r="314" spans="1:9" ht="60" x14ac:dyDescent="0.25">
      <c r="A314" s="1" t="s">
        <v>150</v>
      </c>
      <c r="B314" s="9">
        <v>495408</v>
      </c>
      <c r="C314" s="9">
        <v>495100</v>
      </c>
      <c r="D314" s="9">
        <v>498071</v>
      </c>
      <c r="E314" s="9">
        <v>500692</v>
      </c>
      <c r="F314" s="9">
        <v>502949</v>
      </c>
      <c r="G314" s="9">
        <v>504862</v>
      </c>
      <c r="H314" s="9">
        <v>506463</v>
      </c>
      <c r="I314" s="6">
        <v>0.36850406600000002</v>
      </c>
    </row>
    <row r="315" spans="1:9" ht="60" x14ac:dyDescent="0.25">
      <c r="A315" s="1" t="s">
        <v>149</v>
      </c>
      <c r="B315" s="9">
        <v>72515</v>
      </c>
      <c r="C315" s="9">
        <v>65000</v>
      </c>
      <c r="D315" s="9">
        <v>62172</v>
      </c>
      <c r="E315" s="9">
        <v>59872</v>
      </c>
      <c r="F315" s="9">
        <v>57990</v>
      </c>
      <c r="G315" s="9">
        <v>56440</v>
      </c>
      <c r="H315" s="9">
        <v>55159</v>
      </c>
      <c r="I315" s="6">
        <v>-4.4571726930000004</v>
      </c>
    </row>
    <row r="316" spans="1:9" ht="60" x14ac:dyDescent="0.25">
      <c r="A316" s="1" t="s">
        <v>148</v>
      </c>
      <c r="B316" s="9">
        <v>74000</v>
      </c>
      <c r="C316" s="9">
        <v>67000</v>
      </c>
      <c r="D316" s="9">
        <v>59120</v>
      </c>
      <c r="E316" s="9">
        <v>51917</v>
      </c>
      <c r="F316" s="9">
        <v>45333</v>
      </c>
      <c r="G316" s="9">
        <v>39317</v>
      </c>
      <c r="H316" s="9">
        <v>33826</v>
      </c>
      <c r="I316" s="6">
        <v>-12.231942319</v>
      </c>
    </row>
    <row r="317" spans="1:9" ht="60" x14ac:dyDescent="0.25">
      <c r="A317" s="1" t="s">
        <v>147</v>
      </c>
      <c r="B317" s="9">
        <v>253000</v>
      </c>
      <c r="C317" s="9">
        <v>261100</v>
      </c>
      <c r="D317" s="9">
        <v>269970</v>
      </c>
      <c r="E317" s="9">
        <v>278064</v>
      </c>
      <c r="F317" s="9">
        <v>285450</v>
      </c>
      <c r="G317" s="9">
        <v>292188</v>
      </c>
      <c r="H317" s="9">
        <v>298328</v>
      </c>
      <c r="I317" s="6">
        <v>2.784804909</v>
      </c>
    </row>
    <row r="318" spans="1:9" ht="75" x14ac:dyDescent="0.25">
      <c r="A318" s="1" t="s">
        <v>146</v>
      </c>
      <c r="B318" s="9">
        <v>0</v>
      </c>
      <c r="C318" s="9">
        <v>0</v>
      </c>
      <c r="D318" s="9">
        <v>0</v>
      </c>
      <c r="E318" s="9">
        <v>0</v>
      </c>
      <c r="F318" s="9">
        <v>0</v>
      </c>
      <c r="G318" s="9">
        <v>0</v>
      </c>
      <c r="H318" s="9">
        <v>0</v>
      </c>
      <c r="I318" s="7" t="s">
        <v>58</v>
      </c>
    </row>
    <row r="319" spans="1:9" ht="75" x14ac:dyDescent="0.25">
      <c r="A319" s="1" t="s">
        <v>145</v>
      </c>
      <c r="B319" s="9">
        <v>93000</v>
      </c>
      <c r="C319" s="9">
        <v>99000</v>
      </c>
      <c r="D319" s="9">
        <v>104110</v>
      </c>
      <c r="E319" s="9">
        <v>108408</v>
      </c>
      <c r="F319" s="9">
        <v>111989</v>
      </c>
      <c r="G319" s="9">
        <v>114949</v>
      </c>
      <c r="H319" s="9">
        <v>117379</v>
      </c>
      <c r="I319" s="6">
        <v>3.9564026980000002</v>
      </c>
    </row>
    <row r="320" spans="1:9" ht="75" x14ac:dyDescent="0.25">
      <c r="A320" s="1" t="s">
        <v>144</v>
      </c>
      <c r="B320" s="9">
        <v>2893</v>
      </c>
      <c r="C320" s="9">
        <v>3000</v>
      </c>
      <c r="D320" s="9">
        <v>2700</v>
      </c>
      <c r="E320" s="9">
        <v>2430</v>
      </c>
      <c r="F320" s="9">
        <v>2187</v>
      </c>
      <c r="G320" s="9">
        <v>1968</v>
      </c>
      <c r="H320" s="9">
        <v>1771</v>
      </c>
      <c r="I320" s="6">
        <v>-7.8536038540000002</v>
      </c>
    </row>
    <row r="321" spans="1:9" x14ac:dyDescent="0.25">
      <c r="A321" s="1" t="s">
        <v>12</v>
      </c>
      <c r="B321" s="2"/>
      <c r="C321" s="2"/>
      <c r="D321" s="2"/>
      <c r="E321" s="2"/>
      <c r="F321" s="2"/>
      <c r="G321" s="2"/>
      <c r="H321" s="2"/>
      <c r="I321" s="2"/>
    </row>
    <row r="322" spans="1:9" x14ac:dyDescent="0.25">
      <c r="A322" s="8" t="s">
        <v>40</v>
      </c>
      <c r="B322" s="2"/>
      <c r="C322" s="2"/>
      <c r="D322" s="2"/>
      <c r="E322" s="2"/>
      <c r="F322" s="2"/>
      <c r="G322" s="2"/>
      <c r="H322" s="2"/>
      <c r="I322" s="2"/>
    </row>
    <row r="323" spans="1:9" ht="30" x14ac:dyDescent="0.25">
      <c r="A323" s="1" t="s">
        <v>153</v>
      </c>
      <c r="B323" s="9">
        <v>5549886</v>
      </c>
      <c r="C323" s="9">
        <v>5553985</v>
      </c>
      <c r="D323" s="9">
        <v>5557511</v>
      </c>
      <c r="E323" s="9">
        <v>5560463</v>
      </c>
      <c r="F323" s="9">
        <v>5562880</v>
      </c>
      <c r="G323" s="9">
        <v>5564606</v>
      </c>
      <c r="H323" s="9">
        <v>5565475</v>
      </c>
      <c r="I323" s="6">
        <v>4.6760078699999999E-2</v>
      </c>
    </row>
    <row r="324" spans="1:9" ht="45" x14ac:dyDescent="0.25">
      <c r="A324" s="1" t="s">
        <v>152</v>
      </c>
      <c r="B324" s="9">
        <v>2821060</v>
      </c>
      <c r="C324" s="9">
        <v>2834302</v>
      </c>
      <c r="D324" s="9">
        <v>2847312</v>
      </c>
      <c r="E324" s="9">
        <v>2860084</v>
      </c>
      <c r="F324" s="9">
        <v>2872637</v>
      </c>
      <c r="G324" s="9">
        <v>2884887</v>
      </c>
      <c r="H324" s="9">
        <v>2896741</v>
      </c>
      <c r="I324" s="6">
        <v>0.44220169100000001</v>
      </c>
    </row>
    <row r="325" spans="1:9" ht="30" x14ac:dyDescent="0.25">
      <c r="A325" s="1" t="s">
        <v>151</v>
      </c>
      <c r="B325" s="9">
        <v>2591455</v>
      </c>
      <c r="C325" s="9">
        <v>2593206</v>
      </c>
      <c r="D325" s="9">
        <v>2594688</v>
      </c>
      <c r="E325" s="9">
        <v>2595902</v>
      </c>
      <c r="F325" s="9">
        <v>2596866</v>
      </c>
      <c r="G325" s="9">
        <v>2597508</v>
      </c>
      <c r="H325" s="9">
        <v>2597749</v>
      </c>
      <c r="I325" s="6">
        <v>4.0438287000000003E-2</v>
      </c>
    </row>
    <row r="326" spans="1:9" ht="60" x14ac:dyDescent="0.25">
      <c r="A326" s="1" t="s">
        <v>150</v>
      </c>
      <c r="B326" s="9">
        <v>1903071</v>
      </c>
      <c r="C326" s="9">
        <v>1957817</v>
      </c>
      <c r="D326" s="9">
        <v>2015946</v>
      </c>
      <c r="E326" s="9">
        <v>2069822</v>
      </c>
      <c r="F326" s="9">
        <v>2119816</v>
      </c>
      <c r="G326" s="9">
        <v>2170130</v>
      </c>
      <c r="H326" s="9">
        <v>2214486</v>
      </c>
      <c r="I326" s="6">
        <v>2.5580271429999999</v>
      </c>
    </row>
    <row r="327" spans="1:9" ht="60" x14ac:dyDescent="0.25">
      <c r="A327" s="1" t="s">
        <v>149</v>
      </c>
      <c r="B327" s="9">
        <v>520768</v>
      </c>
      <c r="C327" s="9">
        <v>540554</v>
      </c>
      <c r="D327" s="9">
        <v>557701</v>
      </c>
      <c r="E327" s="9">
        <v>570531</v>
      </c>
      <c r="F327" s="9">
        <v>581392</v>
      </c>
      <c r="G327" s="9">
        <v>590358</v>
      </c>
      <c r="H327" s="9">
        <v>597142</v>
      </c>
      <c r="I327" s="6">
        <v>2.3070482719999998</v>
      </c>
    </row>
    <row r="328" spans="1:9" ht="60" x14ac:dyDescent="0.25">
      <c r="A328" s="1" t="s">
        <v>148</v>
      </c>
      <c r="B328" s="9">
        <v>62944</v>
      </c>
      <c r="C328" s="9">
        <v>37767</v>
      </c>
      <c r="D328" s="9">
        <v>18883</v>
      </c>
      <c r="E328" s="9">
        <v>5665</v>
      </c>
      <c r="F328" s="9">
        <v>0</v>
      </c>
      <c r="G328" s="9">
        <v>0</v>
      </c>
      <c r="H328" s="9">
        <v>0</v>
      </c>
      <c r="I328" s="6">
        <v>-100</v>
      </c>
    </row>
    <row r="329" spans="1:9" ht="60" x14ac:dyDescent="0.25">
      <c r="A329" s="1" t="s">
        <v>147</v>
      </c>
      <c r="B329" s="9">
        <v>1276046</v>
      </c>
      <c r="C329" s="9">
        <v>1333986</v>
      </c>
      <c r="D329" s="9">
        <v>1391878</v>
      </c>
      <c r="E329" s="9">
        <v>1444953</v>
      </c>
      <c r="F329" s="9">
        <v>1489432</v>
      </c>
      <c r="G329" s="9">
        <v>1530459</v>
      </c>
      <c r="H329" s="9">
        <v>1567709</v>
      </c>
      <c r="I329" s="6">
        <v>3.490349476</v>
      </c>
    </row>
    <row r="330" spans="1:9" ht="75" x14ac:dyDescent="0.25">
      <c r="A330" s="1" t="s">
        <v>146</v>
      </c>
      <c r="B330" s="9">
        <v>0</v>
      </c>
      <c r="C330" s="9">
        <v>0</v>
      </c>
      <c r="D330" s="9">
        <v>0</v>
      </c>
      <c r="E330" s="9">
        <v>0</v>
      </c>
      <c r="F330" s="9">
        <v>0</v>
      </c>
      <c r="G330" s="9">
        <v>0</v>
      </c>
      <c r="H330" s="9">
        <v>0</v>
      </c>
      <c r="I330" s="7" t="s">
        <v>58</v>
      </c>
    </row>
    <row r="331" spans="1:9" ht="75" x14ac:dyDescent="0.25">
      <c r="A331" s="1" t="s">
        <v>145</v>
      </c>
      <c r="B331" s="9">
        <v>39861</v>
      </c>
      <c r="C331" s="9">
        <v>42075</v>
      </c>
      <c r="D331" s="9">
        <v>44066</v>
      </c>
      <c r="E331" s="9">
        <v>45272</v>
      </c>
      <c r="F331" s="9">
        <v>45608</v>
      </c>
      <c r="G331" s="9">
        <v>45946</v>
      </c>
      <c r="H331" s="9">
        <v>46285</v>
      </c>
      <c r="I331" s="6">
        <v>2.521593159</v>
      </c>
    </row>
    <row r="332" spans="1:9" ht="75" x14ac:dyDescent="0.25">
      <c r="A332" s="1" t="s">
        <v>144</v>
      </c>
      <c r="B332" s="9">
        <v>3452</v>
      </c>
      <c r="C332" s="9">
        <v>3435</v>
      </c>
      <c r="D332" s="9">
        <v>3418</v>
      </c>
      <c r="E332" s="9">
        <v>3401</v>
      </c>
      <c r="F332" s="9">
        <v>3384</v>
      </c>
      <c r="G332" s="9">
        <v>3367</v>
      </c>
      <c r="H332" s="9">
        <v>3350</v>
      </c>
      <c r="I332" s="6">
        <v>-0.49864308299999999</v>
      </c>
    </row>
    <row r="333" spans="1:9" x14ac:dyDescent="0.25">
      <c r="A333" s="1" t="s">
        <v>12</v>
      </c>
      <c r="B333" s="2"/>
      <c r="C333" s="2"/>
      <c r="D333" s="2"/>
      <c r="E333" s="2"/>
      <c r="F333" s="2"/>
      <c r="G333" s="2"/>
      <c r="H333" s="2"/>
      <c r="I333" s="2"/>
    </row>
    <row r="334" spans="1:9" x14ac:dyDescent="0.25">
      <c r="A334" s="8" t="s">
        <v>41</v>
      </c>
      <c r="B334" s="2"/>
      <c r="C334" s="2"/>
      <c r="D334" s="2"/>
      <c r="E334" s="2"/>
      <c r="F334" s="2"/>
      <c r="G334" s="2"/>
      <c r="H334" s="2"/>
      <c r="I334" s="2"/>
    </row>
    <row r="335" spans="1:9" ht="30" x14ac:dyDescent="0.25">
      <c r="A335" s="1" t="s">
        <v>153</v>
      </c>
      <c r="B335" s="9">
        <v>64880000</v>
      </c>
      <c r="C335" s="9">
        <v>65000000</v>
      </c>
      <c r="D335" s="9">
        <v>65120000</v>
      </c>
      <c r="E335" s="9">
        <v>65230000</v>
      </c>
      <c r="F335" s="9">
        <v>65340000</v>
      </c>
      <c r="G335" s="9">
        <v>65450000</v>
      </c>
      <c r="H335" s="9">
        <v>65540000</v>
      </c>
      <c r="I335" s="6">
        <v>0.16882958132000001</v>
      </c>
    </row>
    <row r="336" spans="1:9" ht="45" x14ac:dyDescent="0.25">
      <c r="A336" s="1" t="s">
        <v>152</v>
      </c>
      <c r="B336" s="9">
        <v>31077247</v>
      </c>
      <c r="C336" s="9">
        <v>31294788</v>
      </c>
      <c r="D336" s="9">
        <v>31513852</v>
      </c>
      <c r="E336" s="9">
        <v>31734449</v>
      </c>
      <c r="F336" s="9">
        <v>31956590</v>
      </c>
      <c r="G336" s="9">
        <v>32180286</v>
      </c>
      <c r="H336" s="9">
        <v>32405548</v>
      </c>
      <c r="I336" s="6">
        <v>0.70000027799999998</v>
      </c>
    </row>
    <row r="337" spans="1:9" ht="30" x14ac:dyDescent="0.25">
      <c r="A337" s="1" t="s">
        <v>151</v>
      </c>
      <c r="B337" s="9">
        <v>27251302</v>
      </c>
      <c r="C337" s="9">
        <v>27115046</v>
      </c>
      <c r="D337" s="9">
        <v>26979470</v>
      </c>
      <c r="E337" s="9">
        <v>26844573</v>
      </c>
      <c r="F337" s="9">
        <v>26710350</v>
      </c>
      <c r="G337" s="9">
        <v>26576798</v>
      </c>
      <c r="H337" s="9">
        <v>26443914</v>
      </c>
      <c r="I337" s="6">
        <v>-0.50000019100000004</v>
      </c>
    </row>
    <row r="338" spans="1:9" ht="60" x14ac:dyDescent="0.25">
      <c r="A338" s="1" t="s">
        <v>150</v>
      </c>
      <c r="B338" s="9">
        <v>31784668</v>
      </c>
      <c r="C338" s="9">
        <v>31809629</v>
      </c>
      <c r="D338" s="9">
        <v>31850439</v>
      </c>
      <c r="E338" s="9">
        <v>32059662</v>
      </c>
      <c r="F338" s="9">
        <v>32307575</v>
      </c>
      <c r="G338" s="9">
        <v>32543006</v>
      </c>
      <c r="H338" s="9">
        <v>32661954</v>
      </c>
      <c r="I338" s="6">
        <v>0.454812465</v>
      </c>
    </row>
    <row r="339" spans="1:9" ht="60" x14ac:dyDescent="0.25">
      <c r="A339" s="1" t="s">
        <v>149</v>
      </c>
      <c r="B339" s="9">
        <v>555758</v>
      </c>
      <c r="C339" s="9">
        <v>436270</v>
      </c>
      <c r="D339" s="9">
        <v>353379</v>
      </c>
      <c r="E339" s="9">
        <v>286237</v>
      </c>
      <c r="F339" s="9">
        <v>231852</v>
      </c>
      <c r="G339" s="9">
        <v>187800</v>
      </c>
      <c r="H339" s="9">
        <v>152118</v>
      </c>
      <c r="I339" s="6">
        <v>-19.422124261</v>
      </c>
    </row>
    <row r="340" spans="1:9" ht="60" x14ac:dyDescent="0.25">
      <c r="A340" s="1" t="s">
        <v>148</v>
      </c>
      <c r="B340" s="9">
        <v>7006752</v>
      </c>
      <c r="C340" s="9">
        <v>4808363</v>
      </c>
      <c r="D340" s="9">
        <v>2931950</v>
      </c>
      <c r="E340" s="9">
        <v>1346240</v>
      </c>
      <c r="F340" s="9">
        <v>847251</v>
      </c>
      <c r="G340" s="9">
        <v>486043</v>
      </c>
      <c r="H340" s="9">
        <v>76278</v>
      </c>
      <c r="I340" s="6">
        <v>-52.922460272000002</v>
      </c>
    </row>
    <row r="341" spans="1:9" ht="60" x14ac:dyDescent="0.25">
      <c r="A341" s="1" t="s">
        <v>147</v>
      </c>
      <c r="B341" s="9">
        <v>23716229</v>
      </c>
      <c r="C341" s="9">
        <v>26035898</v>
      </c>
      <c r="D341" s="9">
        <v>28016659</v>
      </c>
      <c r="E341" s="9">
        <v>29858470</v>
      </c>
      <c r="F341" s="9">
        <v>30638557</v>
      </c>
      <c r="G341" s="9">
        <v>31257083</v>
      </c>
      <c r="H341" s="9">
        <v>31798320</v>
      </c>
      <c r="I341" s="6">
        <v>5.0089759840000001</v>
      </c>
    </row>
    <row r="342" spans="1:9" ht="75" x14ac:dyDescent="0.25">
      <c r="A342" s="1" t="s">
        <v>146</v>
      </c>
      <c r="B342" s="9">
        <v>17014</v>
      </c>
      <c r="C342" s="9">
        <v>15738</v>
      </c>
      <c r="D342" s="9">
        <v>14558</v>
      </c>
      <c r="E342" s="9">
        <v>13466</v>
      </c>
      <c r="F342" s="9">
        <v>12456</v>
      </c>
      <c r="G342" s="9">
        <v>11522</v>
      </c>
      <c r="H342" s="9">
        <v>10657</v>
      </c>
      <c r="I342" s="6">
        <v>-7.500775956</v>
      </c>
    </row>
    <row r="343" spans="1:9" ht="75" x14ac:dyDescent="0.25">
      <c r="A343" s="1" t="s">
        <v>145</v>
      </c>
      <c r="B343" s="9">
        <v>488914</v>
      </c>
      <c r="C343" s="9">
        <v>513359</v>
      </c>
      <c r="D343" s="9">
        <v>533894</v>
      </c>
      <c r="E343" s="9">
        <v>555249</v>
      </c>
      <c r="F343" s="9">
        <v>577459</v>
      </c>
      <c r="G343" s="9">
        <v>600558</v>
      </c>
      <c r="H343" s="9">
        <v>624580</v>
      </c>
      <c r="I343" s="6">
        <v>4.1659870129999996</v>
      </c>
    </row>
    <row r="344" spans="1:9" ht="75" x14ac:dyDescent="0.25">
      <c r="A344" s="1" t="s">
        <v>144</v>
      </c>
      <c r="B344" s="7" t="s">
        <v>58</v>
      </c>
      <c r="C344" s="7" t="s">
        <v>58</v>
      </c>
      <c r="D344" s="7" t="s">
        <v>58</v>
      </c>
      <c r="E344" s="7" t="s">
        <v>58</v>
      </c>
      <c r="F344" s="7" t="s">
        <v>58</v>
      </c>
      <c r="G344" s="7" t="s">
        <v>58</v>
      </c>
      <c r="H344" s="7" t="s">
        <v>58</v>
      </c>
      <c r="I344" s="7" t="s">
        <v>58</v>
      </c>
    </row>
    <row r="345" spans="1:9" x14ac:dyDescent="0.25">
      <c r="A345" s="1" t="s">
        <v>12</v>
      </c>
      <c r="B345" s="2"/>
      <c r="C345" s="2"/>
      <c r="D345" s="2"/>
      <c r="E345" s="2"/>
      <c r="F345" s="2"/>
      <c r="G345" s="2"/>
      <c r="H345" s="2"/>
      <c r="I345" s="2"/>
    </row>
    <row r="346" spans="1:9" x14ac:dyDescent="0.25">
      <c r="A346" s="8" t="s">
        <v>42</v>
      </c>
      <c r="B346" s="2"/>
      <c r="C346" s="2"/>
      <c r="D346" s="2"/>
      <c r="E346" s="2"/>
      <c r="F346" s="2"/>
      <c r="G346" s="2"/>
      <c r="H346" s="2"/>
      <c r="I346" s="2"/>
    </row>
    <row r="347" spans="1:9" ht="30" x14ac:dyDescent="0.25">
      <c r="A347" s="1" t="s">
        <v>153</v>
      </c>
      <c r="B347" s="9">
        <v>84550000</v>
      </c>
      <c r="C347" s="9">
        <v>84080000</v>
      </c>
      <c r="D347" s="9">
        <v>83640000</v>
      </c>
      <c r="E347" s="9">
        <v>83440000</v>
      </c>
      <c r="F347" s="9">
        <v>83230000</v>
      </c>
      <c r="G347" s="9">
        <v>83010000</v>
      </c>
      <c r="H347" s="9">
        <v>82780000</v>
      </c>
      <c r="I347" s="6">
        <v>-0.35198887869000001</v>
      </c>
    </row>
    <row r="348" spans="1:9" ht="45" x14ac:dyDescent="0.25">
      <c r="A348" s="1" t="s">
        <v>152</v>
      </c>
      <c r="B348" s="9">
        <v>40998000</v>
      </c>
      <c r="C348" s="9">
        <v>41063597</v>
      </c>
      <c r="D348" s="9">
        <v>41129299</v>
      </c>
      <c r="E348" s="9">
        <v>41195105</v>
      </c>
      <c r="F348" s="9">
        <v>41261018</v>
      </c>
      <c r="G348" s="9">
        <v>41327035</v>
      </c>
      <c r="H348" s="9">
        <v>41393158</v>
      </c>
      <c r="I348" s="6">
        <v>0.159999804</v>
      </c>
    </row>
    <row r="349" spans="1:9" ht="30" x14ac:dyDescent="0.25">
      <c r="A349" s="1" t="s">
        <v>151</v>
      </c>
      <c r="B349" s="9">
        <v>39893509</v>
      </c>
      <c r="C349" s="9">
        <v>40112923</v>
      </c>
      <c r="D349" s="9">
        <v>40333544</v>
      </c>
      <c r="E349" s="9">
        <v>40555379</v>
      </c>
      <c r="F349" s="9">
        <v>40717600</v>
      </c>
      <c r="G349" s="9">
        <v>40880471</v>
      </c>
      <c r="H349" s="9">
        <v>41009244</v>
      </c>
      <c r="I349" s="6">
        <v>0.460789648</v>
      </c>
    </row>
    <row r="350" spans="1:9" ht="60" x14ac:dyDescent="0.25">
      <c r="A350" s="1" t="s">
        <v>150</v>
      </c>
      <c r="B350" s="9">
        <v>38383000</v>
      </c>
      <c r="C350" s="9">
        <v>38684255</v>
      </c>
      <c r="D350" s="9">
        <v>38986381</v>
      </c>
      <c r="E350" s="9">
        <v>39238889</v>
      </c>
      <c r="F350" s="9">
        <v>39595551</v>
      </c>
      <c r="G350" s="9">
        <v>39883250</v>
      </c>
      <c r="H350" s="9">
        <v>40070328</v>
      </c>
      <c r="I350" s="6">
        <v>0.71960105799999996</v>
      </c>
    </row>
    <row r="351" spans="1:9" ht="60" x14ac:dyDescent="0.25">
      <c r="A351" s="1" t="s">
        <v>149</v>
      </c>
      <c r="B351" s="9">
        <v>8500000</v>
      </c>
      <c r="C351" s="9">
        <v>8470387</v>
      </c>
      <c r="D351" s="9">
        <v>8439802</v>
      </c>
      <c r="E351" s="9">
        <v>8394972</v>
      </c>
      <c r="F351" s="9">
        <v>8418971</v>
      </c>
      <c r="G351" s="9">
        <v>8423519</v>
      </c>
      <c r="H351" s="9">
        <v>8395809</v>
      </c>
      <c r="I351" s="6">
        <v>-0.20534738499999999</v>
      </c>
    </row>
    <row r="352" spans="1:9" ht="60" x14ac:dyDescent="0.25">
      <c r="A352" s="1" t="s">
        <v>148</v>
      </c>
      <c r="B352" s="9">
        <v>23600000</v>
      </c>
      <c r="C352" s="9">
        <v>23004679</v>
      </c>
      <c r="D352" s="9">
        <v>22469452</v>
      </c>
      <c r="E352" s="9">
        <v>21943610</v>
      </c>
      <c r="F352" s="9">
        <v>21420746</v>
      </c>
      <c r="G352" s="9">
        <v>20817786</v>
      </c>
      <c r="H352" s="9">
        <v>20116486</v>
      </c>
      <c r="I352" s="6">
        <v>-2.6266706709999998</v>
      </c>
    </row>
    <row r="353" spans="1:9" ht="60" x14ac:dyDescent="0.25">
      <c r="A353" s="1" t="s">
        <v>147</v>
      </c>
      <c r="B353" s="9">
        <v>5300000</v>
      </c>
      <c r="C353" s="9">
        <v>6219308</v>
      </c>
      <c r="D353" s="9">
        <v>7080317</v>
      </c>
      <c r="E353" s="9">
        <v>7896519</v>
      </c>
      <c r="F353" s="9">
        <v>8745020</v>
      </c>
      <c r="G353" s="9">
        <v>9624054</v>
      </c>
      <c r="H353" s="9">
        <v>10533017</v>
      </c>
      <c r="I353" s="6">
        <v>12.127675576</v>
      </c>
    </row>
    <row r="354" spans="1:9" ht="75" x14ac:dyDescent="0.25">
      <c r="A354" s="1" t="s">
        <v>146</v>
      </c>
      <c r="B354" s="9">
        <v>83000</v>
      </c>
      <c r="C354" s="9">
        <v>178179</v>
      </c>
      <c r="D354" s="9">
        <v>179426</v>
      </c>
      <c r="E354" s="9">
        <v>180682</v>
      </c>
      <c r="F354" s="9">
        <v>181947</v>
      </c>
      <c r="G354" s="9">
        <v>183220</v>
      </c>
      <c r="H354" s="9">
        <v>184503</v>
      </c>
      <c r="I354" s="6">
        <v>14.240709054</v>
      </c>
    </row>
    <row r="355" spans="1:9" ht="75" x14ac:dyDescent="0.25">
      <c r="A355" s="1" t="s">
        <v>145</v>
      </c>
      <c r="B355" s="9">
        <v>900000</v>
      </c>
      <c r="C355" s="9">
        <v>811702</v>
      </c>
      <c r="D355" s="9">
        <v>817384</v>
      </c>
      <c r="E355" s="9">
        <v>823106</v>
      </c>
      <c r="F355" s="9">
        <v>828868</v>
      </c>
      <c r="G355" s="9">
        <v>834670</v>
      </c>
      <c r="H355" s="9">
        <v>840513</v>
      </c>
      <c r="I355" s="6">
        <v>-1.133235684</v>
      </c>
    </row>
    <row r="356" spans="1:9" ht="75" x14ac:dyDescent="0.25">
      <c r="A356" s="1" t="s">
        <v>144</v>
      </c>
      <c r="B356" s="7" t="s">
        <v>58</v>
      </c>
      <c r="C356" s="7" t="s">
        <v>58</v>
      </c>
      <c r="D356" s="7" t="s">
        <v>58</v>
      </c>
      <c r="E356" s="7" t="s">
        <v>58</v>
      </c>
      <c r="F356" s="7" t="s">
        <v>58</v>
      </c>
      <c r="G356" s="7" t="s">
        <v>58</v>
      </c>
      <c r="H356" s="7" t="s">
        <v>58</v>
      </c>
      <c r="I356" s="7" t="s">
        <v>58</v>
      </c>
    </row>
    <row r="357" spans="1:9" x14ac:dyDescent="0.25">
      <c r="A357" s="1" t="s">
        <v>12</v>
      </c>
      <c r="B357" s="2"/>
      <c r="C357" s="2"/>
      <c r="D357" s="2"/>
      <c r="E357" s="2"/>
      <c r="F357" s="2"/>
      <c r="G357" s="2"/>
      <c r="H357" s="2"/>
      <c r="I357" s="2"/>
    </row>
    <row r="358" spans="1:9" x14ac:dyDescent="0.25">
      <c r="A358" s="8" t="s">
        <v>43</v>
      </c>
      <c r="B358" s="2"/>
      <c r="C358" s="2"/>
      <c r="D358" s="2"/>
      <c r="E358" s="2"/>
      <c r="F358" s="2"/>
      <c r="G358" s="2"/>
      <c r="H358" s="2"/>
      <c r="I358" s="2"/>
    </row>
    <row r="359" spans="1:9" ht="30" x14ac:dyDescent="0.25">
      <c r="A359" s="1" t="s">
        <v>153</v>
      </c>
      <c r="B359" s="9">
        <v>10210000</v>
      </c>
      <c r="C359" s="9">
        <v>10150000</v>
      </c>
      <c r="D359" s="9">
        <v>10100000</v>
      </c>
      <c r="E359" s="9">
        <v>10050000</v>
      </c>
      <c r="F359" s="9">
        <v>10010000</v>
      </c>
      <c r="G359" s="9">
        <v>9960000</v>
      </c>
      <c r="H359" s="9">
        <v>9920000</v>
      </c>
      <c r="I359" s="6">
        <v>-0.47909384796999999</v>
      </c>
    </row>
    <row r="360" spans="1:9" ht="45" x14ac:dyDescent="0.25">
      <c r="A360" s="1" t="s">
        <v>152</v>
      </c>
      <c r="B360" s="9">
        <v>4424067</v>
      </c>
      <c r="C360" s="9">
        <v>4455035</v>
      </c>
      <c r="D360" s="9">
        <v>4486220</v>
      </c>
      <c r="E360" s="9">
        <v>4517624</v>
      </c>
      <c r="F360" s="9">
        <v>4549247</v>
      </c>
      <c r="G360" s="9">
        <v>4581092</v>
      </c>
      <c r="H360" s="9">
        <v>4613160</v>
      </c>
      <c r="I360" s="6">
        <v>0.69999995599999998</v>
      </c>
    </row>
    <row r="361" spans="1:9" ht="30" x14ac:dyDescent="0.25">
      <c r="A361" s="1" t="s">
        <v>151</v>
      </c>
      <c r="B361" s="9">
        <v>4331161</v>
      </c>
      <c r="C361" s="9">
        <v>4361479</v>
      </c>
      <c r="D361" s="9">
        <v>4392010</v>
      </c>
      <c r="E361" s="9">
        <v>4422754</v>
      </c>
      <c r="F361" s="9">
        <v>4453713</v>
      </c>
      <c r="G361" s="9">
        <v>4484889</v>
      </c>
      <c r="H361" s="9">
        <v>4516283</v>
      </c>
      <c r="I361" s="6">
        <v>0.69999987500000005</v>
      </c>
    </row>
    <row r="362" spans="1:9" ht="60" x14ac:dyDescent="0.25">
      <c r="A362" s="1" t="s">
        <v>150</v>
      </c>
      <c r="B362" s="9">
        <v>4589295</v>
      </c>
      <c r="C362" s="9">
        <v>4715467</v>
      </c>
      <c r="D362" s="9">
        <v>4870934</v>
      </c>
      <c r="E362" s="9">
        <v>5030657</v>
      </c>
      <c r="F362" s="9">
        <v>5165470</v>
      </c>
      <c r="G362" s="9">
        <v>5292275</v>
      </c>
      <c r="H362" s="9">
        <v>5402890</v>
      </c>
      <c r="I362" s="6">
        <v>2.7574594710000002</v>
      </c>
    </row>
    <row r="363" spans="1:9" ht="60" x14ac:dyDescent="0.25">
      <c r="A363" s="1" t="s">
        <v>149</v>
      </c>
      <c r="B363" s="9">
        <v>0</v>
      </c>
      <c r="C363" s="9">
        <v>0</v>
      </c>
      <c r="D363" s="9">
        <v>0</v>
      </c>
      <c r="E363" s="9">
        <v>0</v>
      </c>
      <c r="F363" s="9">
        <v>0</v>
      </c>
      <c r="G363" s="9">
        <v>0</v>
      </c>
      <c r="H363" s="9">
        <v>0</v>
      </c>
      <c r="I363" s="7" t="s">
        <v>58</v>
      </c>
    </row>
    <row r="364" spans="1:9" ht="60" x14ac:dyDescent="0.25">
      <c r="A364" s="1" t="s">
        <v>148</v>
      </c>
      <c r="B364" s="9">
        <v>3995531</v>
      </c>
      <c r="C364" s="9">
        <v>3855879</v>
      </c>
      <c r="D364" s="9">
        <v>3711608</v>
      </c>
      <c r="E364" s="9">
        <v>3567862</v>
      </c>
      <c r="F364" s="9">
        <v>3433646</v>
      </c>
      <c r="G364" s="9">
        <v>3301826</v>
      </c>
      <c r="H364" s="9">
        <v>3187239</v>
      </c>
      <c r="I364" s="6">
        <v>-3.696954603</v>
      </c>
    </row>
    <row r="365" spans="1:9" ht="60" x14ac:dyDescent="0.25">
      <c r="A365" s="1" t="s">
        <v>147</v>
      </c>
      <c r="B365" s="9">
        <v>588272</v>
      </c>
      <c r="C365" s="9">
        <v>854209</v>
      </c>
      <c r="D365" s="9">
        <v>1154008</v>
      </c>
      <c r="E365" s="9">
        <v>1457473</v>
      </c>
      <c r="F365" s="9">
        <v>1726507</v>
      </c>
      <c r="G365" s="9">
        <v>1985134</v>
      </c>
      <c r="H365" s="9">
        <v>2210335</v>
      </c>
      <c r="I365" s="6">
        <v>24.684744730999999</v>
      </c>
    </row>
    <row r="366" spans="1:9" ht="75" x14ac:dyDescent="0.25">
      <c r="A366" s="1" t="s">
        <v>146</v>
      </c>
      <c r="B366" s="9">
        <v>437</v>
      </c>
      <c r="C366" s="9">
        <v>332</v>
      </c>
      <c r="D366" s="9">
        <v>249</v>
      </c>
      <c r="E366" s="9">
        <v>209</v>
      </c>
      <c r="F366" s="9">
        <v>166</v>
      </c>
      <c r="G366" s="9">
        <v>121</v>
      </c>
      <c r="H366" s="9">
        <v>86</v>
      </c>
      <c r="I366" s="6">
        <v>-23.733086837999998</v>
      </c>
    </row>
    <row r="367" spans="1:9" ht="75" x14ac:dyDescent="0.25">
      <c r="A367" s="1" t="s">
        <v>145</v>
      </c>
      <c r="B367" s="9">
        <v>3709</v>
      </c>
      <c r="C367" s="9">
        <v>3820</v>
      </c>
      <c r="D367" s="9">
        <v>3943</v>
      </c>
      <c r="E367" s="9">
        <v>4041</v>
      </c>
      <c r="F367" s="9">
        <v>4122</v>
      </c>
      <c r="G367" s="9">
        <v>4196</v>
      </c>
      <c r="H367" s="9">
        <v>4259</v>
      </c>
      <c r="I367" s="6">
        <v>2.3312944450000002</v>
      </c>
    </row>
    <row r="368" spans="1:9" ht="75" x14ac:dyDescent="0.25">
      <c r="A368" s="1" t="s">
        <v>144</v>
      </c>
      <c r="B368" s="9">
        <v>1347</v>
      </c>
      <c r="C368" s="9">
        <v>1226</v>
      </c>
      <c r="D368" s="9">
        <v>1128</v>
      </c>
      <c r="E368" s="9">
        <v>1071</v>
      </c>
      <c r="F368" s="9">
        <v>1029</v>
      </c>
      <c r="G368" s="9">
        <v>998</v>
      </c>
      <c r="H368" s="9">
        <v>971</v>
      </c>
      <c r="I368" s="6">
        <v>-5.3090212189999999</v>
      </c>
    </row>
    <row r="369" spans="1:9" x14ac:dyDescent="0.25">
      <c r="A369" s="1" t="s">
        <v>12</v>
      </c>
      <c r="B369" s="2"/>
      <c r="C369" s="2"/>
      <c r="D369" s="2"/>
      <c r="E369" s="2"/>
      <c r="F369" s="2"/>
      <c r="G369" s="2"/>
      <c r="H369" s="2"/>
      <c r="I369" s="2"/>
    </row>
    <row r="370" spans="1:9" x14ac:dyDescent="0.25">
      <c r="A370" s="8" t="s">
        <v>44</v>
      </c>
      <c r="B370" s="2"/>
      <c r="C370" s="2"/>
      <c r="D370" s="2"/>
      <c r="E370" s="2"/>
      <c r="F370" s="2"/>
      <c r="G370" s="2"/>
      <c r="H370" s="2"/>
      <c r="I370" s="2"/>
    </row>
    <row r="371" spans="1:9" ht="30" x14ac:dyDescent="0.25">
      <c r="A371" s="1" t="s">
        <v>153</v>
      </c>
      <c r="B371" s="9">
        <v>18410000</v>
      </c>
      <c r="C371" s="9">
        <v>18690000</v>
      </c>
      <c r="D371" s="9">
        <v>18970000</v>
      </c>
      <c r="E371" s="9">
        <v>19250000</v>
      </c>
      <c r="F371" s="9">
        <v>19520000</v>
      </c>
      <c r="G371" s="9">
        <v>19800000</v>
      </c>
      <c r="H371" s="9">
        <v>20070000</v>
      </c>
      <c r="I371" s="6">
        <v>1.4492710143800001</v>
      </c>
    </row>
    <row r="372" spans="1:9" ht="45" x14ac:dyDescent="0.25">
      <c r="A372" s="1" t="s">
        <v>152</v>
      </c>
      <c r="B372" s="9">
        <v>4002174</v>
      </c>
      <c r="C372" s="9">
        <v>4080786</v>
      </c>
      <c r="D372" s="9">
        <v>4160088</v>
      </c>
      <c r="E372" s="9">
        <v>4240088</v>
      </c>
      <c r="F372" s="9">
        <v>4318584</v>
      </c>
      <c r="G372" s="9">
        <v>4400000</v>
      </c>
      <c r="H372" s="9">
        <v>4460000</v>
      </c>
      <c r="I372" s="6">
        <v>1.821576146</v>
      </c>
    </row>
    <row r="373" spans="1:9" ht="30" x14ac:dyDescent="0.25">
      <c r="A373" s="1" t="s">
        <v>151</v>
      </c>
      <c r="B373" s="9">
        <v>2530520</v>
      </c>
      <c r="C373" s="9">
        <v>2612478</v>
      </c>
      <c r="D373" s="9">
        <v>2696537</v>
      </c>
      <c r="E373" s="9">
        <v>2782747</v>
      </c>
      <c r="F373" s="9">
        <v>2869692</v>
      </c>
      <c r="G373" s="9">
        <v>2960340</v>
      </c>
      <c r="H373" s="9">
        <v>3038217</v>
      </c>
      <c r="I373" s="6">
        <v>3.0943431399999999</v>
      </c>
    </row>
    <row r="374" spans="1:9" ht="60" x14ac:dyDescent="0.25">
      <c r="A374" s="1" t="s">
        <v>150</v>
      </c>
      <c r="B374" s="9">
        <v>1013329</v>
      </c>
      <c r="C374" s="9">
        <v>1064230</v>
      </c>
      <c r="D374" s="9">
        <v>1123968</v>
      </c>
      <c r="E374" s="9">
        <v>1186824</v>
      </c>
      <c r="F374" s="9">
        <v>1252312</v>
      </c>
      <c r="G374" s="9">
        <v>1321854</v>
      </c>
      <c r="H374" s="9">
        <v>1388115</v>
      </c>
      <c r="I374" s="6">
        <v>5.3850880180000003</v>
      </c>
    </row>
    <row r="375" spans="1:9" ht="60" x14ac:dyDescent="0.25">
      <c r="A375" s="1" t="s">
        <v>149</v>
      </c>
      <c r="B375" s="9">
        <v>530292</v>
      </c>
      <c r="C375" s="9">
        <v>545791</v>
      </c>
      <c r="D375" s="9">
        <v>559135</v>
      </c>
      <c r="E375" s="9">
        <v>578595</v>
      </c>
      <c r="F375" s="9">
        <v>549470</v>
      </c>
      <c r="G375" s="9">
        <v>562583</v>
      </c>
      <c r="H375" s="9">
        <v>567152</v>
      </c>
      <c r="I375" s="6">
        <v>1.1262878489999999</v>
      </c>
    </row>
    <row r="376" spans="1:9" ht="60" x14ac:dyDescent="0.25">
      <c r="A376" s="1" t="s">
        <v>148</v>
      </c>
      <c r="B376" s="9">
        <v>136644</v>
      </c>
      <c r="C376" s="9">
        <v>100456</v>
      </c>
      <c r="D376" s="9">
        <v>74266</v>
      </c>
      <c r="E376" s="9">
        <v>54894</v>
      </c>
      <c r="F376" s="9">
        <v>40546</v>
      </c>
      <c r="G376" s="9">
        <v>29958</v>
      </c>
      <c r="H376" s="9">
        <v>22022</v>
      </c>
      <c r="I376" s="6">
        <v>-26.230354136999999</v>
      </c>
    </row>
    <row r="377" spans="1:9" ht="60" x14ac:dyDescent="0.25">
      <c r="A377" s="1" t="s">
        <v>147</v>
      </c>
      <c r="B377" s="9">
        <v>258381</v>
      </c>
      <c r="C377" s="9">
        <v>310164</v>
      </c>
      <c r="D377" s="9">
        <v>370159</v>
      </c>
      <c r="E377" s="9">
        <v>422128</v>
      </c>
      <c r="F377" s="9">
        <v>510898</v>
      </c>
      <c r="G377" s="9">
        <v>555447</v>
      </c>
      <c r="H377" s="9">
        <v>600788</v>
      </c>
      <c r="I377" s="6">
        <v>15.100385751999999</v>
      </c>
    </row>
    <row r="378" spans="1:9" ht="75" x14ac:dyDescent="0.25">
      <c r="A378" s="1" t="s">
        <v>146</v>
      </c>
      <c r="B378" s="9">
        <v>22117</v>
      </c>
      <c r="C378" s="9">
        <v>26849</v>
      </c>
      <c r="D378" s="9">
        <v>30617</v>
      </c>
      <c r="E378" s="9">
        <v>33551</v>
      </c>
      <c r="F378" s="9">
        <v>41140</v>
      </c>
      <c r="G378" s="9">
        <v>47011</v>
      </c>
      <c r="H378" s="9">
        <v>61209</v>
      </c>
      <c r="I378" s="6">
        <v>18.489948593000001</v>
      </c>
    </row>
    <row r="379" spans="1:9" ht="75" x14ac:dyDescent="0.25">
      <c r="A379" s="1" t="s">
        <v>145</v>
      </c>
      <c r="B379" s="9">
        <v>65895</v>
      </c>
      <c r="C379" s="9">
        <v>80970</v>
      </c>
      <c r="D379" s="9">
        <v>89791</v>
      </c>
      <c r="E379" s="9">
        <v>97656</v>
      </c>
      <c r="F379" s="9">
        <v>110258</v>
      </c>
      <c r="G379" s="9">
        <v>126855</v>
      </c>
      <c r="H379" s="9">
        <v>136944</v>
      </c>
      <c r="I379" s="6">
        <v>12.966175137</v>
      </c>
    </row>
    <row r="380" spans="1:9" ht="75" x14ac:dyDescent="0.25">
      <c r="A380" s="1" t="s">
        <v>144</v>
      </c>
      <c r="B380" s="9">
        <v>0</v>
      </c>
      <c r="C380" s="9">
        <v>0</v>
      </c>
      <c r="D380" s="9">
        <v>0</v>
      </c>
      <c r="E380" s="9">
        <v>0</v>
      </c>
      <c r="F380" s="9">
        <v>0</v>
      </c>
      <c r="G380" s="9">
        <v>0</v>
      </c>
      <c r="H380" s="9">
        <v>0</v>
      </c>
      <c r="I380" s="7" t="s">
        <v>58</v>
      </c>
    </row>
    <row r="381" spans="1:9" x14ac:dyDescent="0.25">
      <c r="A381" s="1" t="s">
        <v>12</v>
      </c>
      <c r="B381" s="2"/>
      <c r="C381" s="2"/>
      <c r="D381" s="2"/>
      <c r="E381" s="2"/>
      <c r="F381" s="2"/>
      <c r="G381" s="2"/>
      <c r="H381" s="2"/>
      <c r="I381" s="2"/>
    </row>
    <row r="382" spans="1:9" x14ac:dyDescent="0.25">
      <c r="A382" s="8" t="s">
        <v>45</v>
      </c>
      <c r="B382" s="2"/>
      <c r="C382" s="2"/>
      <c r="D382" s="2"/>
      <c r="E382" s="2"/>
      <c r="F382" s="2"/>
      <c r="G382" s="2"/>
      <c r="H382" s="2"/>
      <c r="I382" s="2"/>
    </row>
    <row r="383" spans="1:9" ht="30" x14ac:dyDescent="0.25">
      <c r="A383" s="1" t="s">
        <v>153</v>
      </c>
      <c r="B383" s="9">
        <v>10530000</v>
      </c>
      <c r="C383" s="9">
        <v>10635300</v>
      </c>
      <c r="D383" s="9">
        <v>10741653</v>
      </c>
      <c r="E383" s="9">
        <v>10849070</v>
      </c>
      <c r="F383" s="9">
        <v>10957561</v>
      </c>
      <c r="G383" s="9">
        <v>11067137</v>
      </c>
      <c r="H383" s="9">
        <v>11177808</v>
      </c>
      <c r="I383" s="6">
        <v>1.00000122611</v>
      </c>
    </row>
    <row r="384" spans="1:9" ht="45" x14ac:dyDescent="0.25">
      <c r="A384" s="1" t="s">
        <v>152</v>
      </c>
      <c r="B384" s="9">
        <v>2320527</v>
      </c>
      <c r="C384" s="9">
        <v>2343732</v>
      </c>
      <c r="D384" s="9">
        <v>2367169</v>
      </c>
      <c r="E384" s="9">
        <v>2390841</v>
      </c>
      <c r="F384" s="9">
        <v>2414749</v>
      </c>
      <c r="G384" s="9">
        <v>2438896</v>
      </c>
      <c r="H384" s="9">
        <v>2463285</v>
      </c>
      <c r="I384" s="6">
        <v>0.99999200099999996</v>
      </c>
    </row>
    <row r="385" spans="1:9" ht="30" x14ac:dyDescent="0.25">
      <c r="A385" s="1" t="s">
        <v>151</v>
      </c>
      <c r="B385" s="9">
        <v>1925285</v>
      </c>
      <c r="C385" s="9">
        <v>1972733</v>
      </c>
      <c r="D385" s="9">
        <v>2021351</v>
      </c>
      <c r="E385" s="9">
        <v>2071168</v>
      </c>
      <c r="F385" s="9">
        <v>2122211</v>
      </c>
      <c r="G385" s="9">
        <v>2174513</v>
      </c>
      <c r="H385" s="9">
        <v>2228104</v>
      </c>
      <c r="I385" s="6">
        <v>2.4644952880000002</v>
      </c>
    </row>
    <row r="386" spans="1:9" ht="60" x14ac:dyDescent="0.25">
      <c r="A386" s="1" t="s">
        <v>150</v>
      </c>
      <c r="B386" s="9">
        <v>558306</v>
      </c>
      <c r="C386" s="9">
        <v>591804</v>
      </c>
      <c r="D386" s="9">
        <v>624353</v>
      </c>
      <c r="E386" s="9">
        <v>651200</v>
      </c>
      <c r="F386" s="9">
        <v>672690</v>
      </c>
      <c r="G386" s="9">
        <v>691189</v>
      </c>
      <c r="H386" s="9">
        <v>710197</v>
      </c>
      <c r="I386" s="6">
        <v>4.0920966700000001</v>
      </c>
    </row>
    <row r="387" spans="1:9" ht="60" x14ac:dyDescent="0.25">
      <c r="A387" s="1" t="s">
        <v>149</v>
      </c>
      <c r="B387" s="9">
        <v>460142</v>
      </c>
      <c r="C387" s="9">
        <v>484441</v>
      </c>
      <c r="D387" s="9">
        <v>507593</v>
      </c>
      <c r="E387" s="9">
        <v>525778</v>
      </c>
      <c r="F387" s="9">
        <v>539367</v>
      </c>
      <c r="G387" s="9">
        <v>550334</v>
      </c>
      <c r="H387" s="9">
        <v>561497</v>
      </c>
      <c r="I387" s="6">
        <v>3.3735095099999999</v>
      </c>
    </row>
    <row r="388" spans="1:9" ht="60" x14ac:dyDescent="0.25">
      <c r="A388" s="1" t="s">
        <v>148</v>
      </c>
      <c r="B388" s="9">
        <v>32638</v>
      </c>
      <c r="C388" s="9">
        <v>32520</v>
      </c>
      <c r="D388" s="9">
        <v>33101</v>
      </c>
      <c r="E388" s="9">
        <v>32857</v>
      </c>
      <c r="F388" s="9">
        <v>32219</v>
      </c>
      <c r="G388" s="9">
        <v>31335</v>
      </c>
      <c r="H388" s="9">
        <v>30378</v>
      </c>
      <c r="I388" s="6">
        <v>-1.1888531520000001</v>
      </c>
    </row>
    <row r="389" spans="1:9" ht="60" x14ac:dyDescent="0.25">
      <c r="A389" s="1" t="s">
        <v>147</v>
      </c>
      <c r="B389" s="9">
        <v>26234</v>
      </c>
      <c r="C389" s="9">
        <v>31463</v>
      </c>
      <c r="D389" s="9">
        <v>37050</v>
      </c>
      <c r="E389" s="9">
        <v>42666</v>
      </c>
      <c r="F389" s="9">
        <v>48229</v>
      </c>
      <c r="G389" s="9">
        <v>53824</v>
      </c>
      <c r="H389" s="9">
        <v>59691</v>
      </c>
      <c r="I389" s="6">
        <v>14.685203640999999</v>
      </c>
    </row>
    <row r="390" spans="1:9" ht="75" x14ac:dyDescent="0.25">
      <c r="A390" s="1" t="s">
        <v>146</v>
      </c>
      <c r="B390" s="9">
        <v>6379</v>
      </c>
      <c r="C390" s="9">
        <v>7087</v>
      </c>
      <c r="D390" s="9">
        <v>7820</v>
      </c>
      <c r="E390" s="9">
        <v>8514</v>
      </c>
      <c r="F390" s="9">
        <v>9165</v>
      </c>
      <c r="G390" s="9">
        <v>9797</v>
      </c>
      <c r="H390" s="9">
        <v>10457</v>
      </c>
      <c r="I390" s="6">
        <v>8.5864789889999997</v>
      </c>
    </row>
    <row r="391" spans="1:9" ht="75" x14ac:dyDescent="0.25">
      <c r="A391" s="1" t="s">
        <v>145</v>
      </c>
      <c r="B391" s="9">
        <v>27176</v>
      </c>
      <c r="C391" s="9">
        <v>27971</v>
      </c>
      <c r="D391" s="9">
        <v>28947</v>
      </c>
      <c r="E391" s="9">
        <v>29522</v>
      </c>
      <c r="F391" s="9">
        <v>29804</v>
      </c>
      <c r="G391" s="9">
        <v>29913</v>
      </c>
      <c r="H391" s="9">
        <v>30005</v>
      </c>
      <c r="I391" s="6">
        <v>1.66419267</v>
      </c>
    </row>
    <row r="392" spans="1:9" ht="75" x14ac:dyDescent="0.25">
      <c r="A392" s="1" t="s">
        <v>144</v>
      </c>
      <c r="B392" s="9">
        <v>5737</v>
      </c>
      <c r="C392" s="9">
        <v>8322</v>
      </c>
      <c r="D392" s="9">
        <v>9842</v>
      </c>
      <c r="E392" s="9">
        <v>11863</v>
      </c>
      <c r="F392" s="9">
        <v>13906</v>
      </c>
      <c r="G392" s="9">
        <v>15986</v>
      </c>
      <c r="H392" s="9">
        <v>18169</v>
      </c>
      <c r="I392" s="6">
        <v>21.182812909999999</v>
      </c>
    </row>
    <row r="393" spans="1:9" x14ac:dyDescent="0.25">
      <c r="A393" s="1" t="s">
        <v>12</v>
      </c>
      <c r="B393" s="2"/>
      <c r="C393" s="2"/>
      <c r="D393" s="2"/>
      <c r="E393" s="2"/>
      <c r="F393" s="2"/>
      <c r="G393" s="2"/>
      <c r="H393" s="2"/>
      <c r="I393" s="2"/>
    </row>
    <row r="394" spans="1:9" x14ac:dyDescent="0.25">
      <c r="A394" s="8" t="s">
        <v>46</v>
      </c>
      <c r="B394" s="2"/>
      <c r="C394" s="2"/>
      <c r="D394" s="2"/>
      <c r="E394" s="2"/>
      <c r="F394" s="2"/>
      <c r="G394" s="2"/>
      <c r="H394" s="2"/>
      <c r="I394" s="2"/>
    </row>
    <row r="395" spans="1:9" ht="30" x14ac:dyDescent="0.25">
      <c r="A395" s="1" t="s">
        <v>153</v>
      </c>
      <c r="B395" s="9">
        <v>7410000</v>
      </c>
      <c r="C395" s="9">
        <v>7400000</v>
      </c>
      <c r="D395" s="9">
        <v>7380000</v>
      </c>
      <c r="E395" s="9">
        <v>7360000</v>
      </c>
      <c r="F395" s="9">
        <v>7320000</v>
      </c>
      <c r="G395" s="9">
        <v>7290000</v>
      </c>
      <c r="H395" s="9">
        <v>7250000</v>
      </c>
      <c r="I395" s="6">
        <v>-0.36315516483999999</v>
      </c>
    </row>
    <row r="396" spans="1:9" ht="45" x14ac:dyDescent="0.25">
      <c r="A396" s="1" t="s">
        <v>152</v>
      </c>
      <c r="B396" s="9">
        <v>2684257</v>
      </c>
      <c r="C396" s="9">
        <v>2716468</v>
      </c>
      <c r="D396" s="9">
        <v>2757215</v>
      </c>
      <c r="E396" s="9">
        <v>2795816</v>
      </c>
      <c r="F396" s="9">
        <v>2829366</v>
      </c>
      <c r="G396" s="9">
        <v>2874636</v>
      </c>
      <c r="H396" s="9">
        <v>2914881</v>
      </c>
      <c r="I396" s="6">
        <v>1.3832297849999999</v>
      </c>
    </row>
    <row r="397" spans="1:9" ht="30" x14ac:dyDescent="0.25">
      <c r="A397" s="1" t="s">
        <v>151</v>
      </c>
      <c r="B397" s="9">
        <v>2543146</v>
      </c>
      <c r="C397" s="9">
        <v>2535059</v>
      </c>
      <c r="D397" s="9">
        <v>2552500</v>
      </c>
      <c r="E397" s="9">
        <v>2580470</v>
      </c>
      <c r="F397" s="9">
        <v>2598378</v>
      </c>
      <c r="G397" s="9">
        <v>2647872</v>
      </c>
      <c r="H397" s="9">
        <v>2663463</v>
      </c>
      <c r="I397" s="6">
        <v>0.77339635299999998</v>
      </c>
    </row>
    <row r="398" spans="1:9" ht="60" x14ac:dyDescent="0.25">
      <c r="A398" s="1" t="s">
        <v>150</v>
      </c>
      <c r="B398" s="9">
        <v>2806677</v>
      </c>
      <c r="C398" s="9">
        <v>2832256</v>
      </c>
      <c r="D398" s="9">
        <v>2869366</v>
      </c>
      <c r="E398" s="9">
        <v>2901314</v>
      </c>
      <c r="F398" s="9">
        <v>2938731</v>
      </c>
      <c r="G398" s="9">
        <v>2988490</v>
      </c>
      <c r="H398" s="9">
        <v>3029680</v>
      </c>
      <c r="I398" s="6">
        <v>1.2824163609999999</v>
      </c>
    </row>
    <row r="399" spans="1:9" ht="60" x14ac:dyDescent="0.25">
      <c r="A399" s="1" t="s">
        <v>149</v>
      </c>
      <c r="B399" s="9">
        <v>144348</v>
      </c>
      <c r="C399" s="9">
        <v>128470</v>
      </c>
      <c r="D399" s="9">
        <v>115623</v>
      </c>
      <c r="E399" s="9">
        <v>105217</v>
      </c>
      <c r="F399" s="9">
        <v>96799</v>
      </c>
      <c r="G399" s="9">
        <v>88087</v>
      </c>
      <c r="H399" s="9">
        <v>81921</v>
      </c>
      <c r="I399" s="6">
        <v>-9.0092148870000006</v>
      </c>
    </row>
    <row r="400" spans="1:9" ht="60" x14ac:dyDescent="0.25">
      <c r="A400" s="1" t="s">
        <v>148</v>
      </c>
      <c r="B400" s="9">
        <v>158654</v>
      </c>
      <c r="C400" s="9">
        <v>135649</v>
      </c>
      <c r="D400" s="9">
        <v>116929</v>
      </c>
      <c r="E400" s="9">
        <v>99273</v>
      </c>
      <c r="F400" s="9">
        <v>81007</v>
      </c>
      <c r="G400" s="9">
        <v>68289</v>
      </c>
      <c r="H400" s="9">
        <v>56680</v>
      </c>
      <c r="I400" s="6">
        <v>-15.764245682</v>
      </c>
    </row>
    <row r="401" spans="1:9" ht="60" x14ac:dyDescent="0.25">
      <c r="A401" s="1" t="s">
        <v>147</v>
      </c>
      <c r="B401" s="9">
        <v>2496359</v>
      </c>
      <c r="C401" s="9">
        <v>2561264</v>
      </c>
      <c r="D401" s="9">
        <v>2630419</v>
      </c>
      <c r="E401" s="9">
        <v>2690918</v>
      </c>
      <c r="F401" s="9">
        <v>2755500</v>
      </c>
      <c r="G401" s="9">
        <v>2827143</v>
      </c>
      <c r="H401" s="9">
        <v>2886513</v>
      </c>
      <c r="I401" s="6">
        <v>2.44979163</v>
      </c>
    </row>
    <row r="402" spans="1:9" ht="75" x14ac:dyDescent="0.25">
      <c r="A402" s="1" t="s">
        <v>146</v>
      </c>
      <c r="B402" s="9">
        <v>1163</v>
      </c>
      <c r="C402" s="9">
        <v>1076</v>
      </c>
      <c r="D402" s="9">
        <v>991</v>
      </c>
      <c r="E402" s="9">
        <v>909</v>
      </c>
      <c r="F402" s="9">
        <v>830</v>
      </c>
      <c r="G402" s="9">
        <v>755</v>
      </c>
      <c r="H402" s="9">
        <v>679</v>
      </c>
      <c r="I402" s="6">
        <v>-8.5784998839999993</v>
      </c>
    </row>
    <row r="403" spans="1:9" ht="75" x14ac:dyDescent="0.25">
      <c r="A403" s="1" t="s">
        <v>145</v>
      </c>
      <c r="B403" s="9">
        <v>5204</v>
      </c>
      <c r="C403" s="9">
        <v>4907</v>
      </c>
      <c r="D403" s="9">
        <v>4573</v>
      </c>
      <c r="E403" s="9">
        <v>4221</v>
      </c>
      <c r="F403" s="9">
        <v>3875</v>
      </c>
      <c r="G403" s="9">
        <v>3549</v>
      </c>
      <c r="H403" s="9">
        <v>3266</v>
      </c>
      <c r="I403" s="6">
        <v>-7.4705852159999999</v>
      </c>
    </row>
    <row r="404" spans="1:9" ht="75" x14ac:dyDescent="0.25">
      <c r="A404" s="1" t="s">
        <v>144</v>
      </c>
      <c r="B404" s="9">
        <v>950</v>
      </c>
      <c r="C404" s="9">
        <v>890</v>
      </c>
      <c r="D404" s="9">
        <v>832</v>
      </c>
      <c r="E404" s="9">
        <v>775</v>
      </c>
      <c r="F404" s="9">
        <v>719</v>
      </c>
      <c r="G404" s="9">
        <v>666</v>
      </c>
      <c r="H404" s="9">
        <v>621</v>
      </c>
      <c r="I404" s="6">
        <v>-6.840317626</v>
      </c>
    </row>
    <row r="405" spans="1:9" x14ac:dyDescent="0.25">
      <c r="A405" s="1" t="s">
        <v>12</v>
      </c>
      <c r="B405" s="2"/>
      <c r="C405" s="2"/>
      <c r="D405" s="2"/>
      <c r="E405" s="2"/>
      <c r="F405" s="2"/>
      <c r="G405" s="2"/>
      <c r="H405" s="2"/>
      <c r="I405" s="2"/>
    </row>
    <row r="406" spans="1:9" x14ac:dyDescent="0.25">
      <c r="A406" s="8" t="s">
        <v>47</v>
      </c>
      <c r="B406" s="2"/>
      <c r="C406" s="2"/>
      <c r="D406" s="2"/>
      <c r="E406" s="2"/>
      <c r="F406" s="2"/>
      <c r="G406" s="2"/>
      <c r="H406" s="2"/>
      <c r="I406" s="2"/>
    </row>
    <row r="407" spans="1:9" ht="30" x14ac:dyDescent="0.25">
      <c r="A407" s="1" t="s">
        <v>153</v>
      </c>
      <c r="B407" s="9">
        <v>9680000</v>
      </c>
      <c r="C407" s="9">
        <v>9630000</v>
      </c>
      <c r="D407" s="9">
        <v>9590000</v>
      </c>
      <c r="E407" s="9">
        <v>9550000</v>
      </c>
      <c r="F407" s="9">
        <v>9520000</v>
      </c>
      <c r="G407" s="9">
        <v>9490000</v>
      </c>
      <c r="H407" s="9">
        <v>9450000</v>
      </c>
      <c r="I407" s="6">
        <v>-0.39998392119999998</v>
      </c>
    </row>
    <row r="408" spans="1:9" ht="45" x14ac:dyDescent="0.25">
      <c r="A408" s="1" t="s">
        <v>152</v>
      </c>
      <c r="B408" s="9">
        <v>4044811</v>
      </c>
      <c r="C408" s="9">
        <v>4043800</v>
      </c>
      <c r="D408" s="9">
        <v>4042789</v>
      </c>
      <c r="E408" s="9">
        <v>4041778</v>
      </c>
      <c r="F408" s="9">
        <v>4040768</v>
      </c>
      <c r="G408" s="9">
        <v>4039758</v>
      </c>
      <c r="H408" s="9">
        <v>4038748</v>
      </c>
      <c r="I408" s="6">
        <v>-2.4998243999999999E-2</v>
      </c>
    </row>
    <row r="409" spans="1:9" ht="30" x14ac:dyDescent="0.25">
      <c r="A409" s="1" t="s">
        <v>151</v>
      </c>
      <c r="B409" s="9">
        <v>3969812</v>
      </c>
      <c r="C409" s="9">
        <v>3968224</v>
      </c>
      <c r="D409" s="9">
        <v>3966637</v>
      </c>
      <c r="E409" s="9">
        <v>3965051</v>
      </c>
      <c r="F409" s="9">
        <v>3963465</v>
      </c>
      <c r="G409" s="9">
        <v>3961880</v>
      </c>
      <c r="H409" s="9">
        <v>3960295</v>
      </c>
      <c r="I409" s="6">
        <v>-3.9995681999999998E-2</v>
      </c>
    </row>
    <row r="410" spans="1:9" ht="60" x14ac:dyDescent="0.25">
      <c r="A410" s="1" t="s">
        <v>150</v>
      </c>
      <c r="B410" s="9">
        <v>3488505</v>
      </c>
      <c r="C410" s="9">
        <v>3496365</v>
      </c>
      <c r="D410" s="9">
        <v>3508829</v>
      </c>
      <c r="E410" s="9">
        <v>3537125</v>
      </c>
      <c r="F410" s="9">
        <v>3578289</v>
      </c>
      <c r="G410" s="9">
        <v>3617423</v>
      </c>
      <c r="H410" s="9">
        <v>3655413</v>
      </c>
      <c r="I410" s="6">
        <v>0.78197163599999997</v>
      </c>
    </row>
    <row r="411" spans="1:9" ht="60" x14ac:dyDescent="0.25">
      <c r="A411" s="1" t="s">
        <v>149</v>
      </c>
      <c r="B411" s="9">
        <v>1396722</v>
      </c>
      <c r="C411" s="9">
        <v>1356626</v>
      </c>
      <c r="D411" s="9">
        <v>1319629</v>
      </c>
      <c r="E411" s="9">
        <v>1294437</v>
      </c>
      <c r="F411" s="9">
        <v>1282081</v>
      </c>
      <c r="G411" s="9">
        <v>1275963</v>
      </c>
      <c r="H411" s="9">
        <v>1272918</v>
      </c>
      <c r="I411" s="6">
        <v>-1.535032403</v>
      </c>
    </row>
    <row r="412" spans="1:9" ht="60" x14ac:dyDescent="0.25">
      <c r="A412" s="1" t="s">
        <v>148</v>
      </c>
      <c r="B412" s="9">
        <v>265347</v>
      </c>
      <c r="C412" s="9">
        <v>199186</v>
      </c>
      <c r="D412" s="9">
        <v>160214</v>
      </c>
      <c r="E412" s="9">
        <v>128536</v>
      </c>
      <c r="F412" s="9">
        <v>102764</v>
      </c>
      <c r="G412" s="9">
        <v>81781</v>
      </c>
      <c r="H412" s="9">
        <v>64689</v>
      </c>
      <c r="I412" s="6">
        <v>-20.961981725000001</v>
      </c>
    </row>
    <row r="413" spans="1:9" ht="60" x14ac:dyDescent="0.25">
      <c r="A413" s="1" t="s">
        <v>147</v>
      </c>
      <c r="B413" s="9">
        <v>1601965</v>
      </c>
      <c r="C413" s="9">
        <v>1780553</v>
      </c>
      <c r="D413" s="9">
        <v>1911457</v>
      </c>
      <c r="E413" s="9">
        <v>2035432</v>
      </c>
      <c r="F413" s="9">
        <v>2146918</v>
      </c>
      <c r="G413" s="9">
        <v>2236472</v>
      </c>
      <c r="H413" s="9">
        <v>2308420</v>
      </c>
      <c r="I413" s="6">
        <v>6.2780639090000001</v>
      </c>
    </row>
    <row r="414" spans="1:9" ht="75" x14ac:dyDescent="0.25">
      <c r="A414" s="1" t="s">
        <v>146</v>
      </c>
      <c r="B414" s="9">
        <v>1972</v>
      </c>
      <c r="C414" s="9">
        <v>2000</v>
      </c>
      <c r="D414" s="9">
        <v>2058</v>
      </c>
      <c r="E414" s="9">
        <v>2100</v>
      </c>
      <c r="F414" s="9">
        <v>2130</v>
      </c>
      <c r="G414" s="9">
        <v>2151</v>
      </c>
      <c r="H414" s="9">
        <v>2166</v>
      </c>
      <c r="I414" s="6">
        <v>1.5761910939999999</v>
      </c>
    </row>
    <row r="415" spans="1:9" ht="75" x14ac:dyDescent="0.25">
      <c r="A415" s="1" t="s">
        <v>145</v>
      </c>
      <c r="B415" s="9">
        <v>222500</v>
      </c>
      <c r="C415" s="9">
        <v>158000</v>
      </c>
      <c r="D415" s="9">
        <v>115472</v>
      </c>
      <c r="E415" s="9">
        <v>76621</v>
      </c>
      <c r="F415" s="9">
        <v>44396</v>
      </c>
      <c r="G415" s="9">
        <v>21057</v>
      </c>
      <c r="H415" s="9">
        <v>7219</v>
      </c>
      <c r="I415" s="6">
        <v>-43.524792177999998</v>
      </c>
    </row>
    <row r="416" spans="1:9" ht="75" x14ac:dyDescent="0.25">
      <c r="A416" s="1" t="s">
        <v>144</v>
      </c>
      <c r="B416" s="9">
        <v>0</v>
      </c>
      <c r="C416" s="9">
        <v>0</v>
      </c>
      <c r="D416" s="9">
        <v>0</v>
      </c>
      <c r="E416" s="9">
        <v>0</v>
      </c>
      <c r="F416" s="9">
        <v>0</v>
      </c>
      <c r="G416" s="9">
        <v>0</v>
      </c>
      <c r="H416" s="9">
        <v>0</v>
      </c>
      <c r="I416" s="7" t="s">
        <v>58</v>
      </c>
    </row>
    <row r="417" spans="1:9" x14ac:dyDescent="0.25">
      <c r="A417" s="1" t="s">
        <v>12</v>
      </c>
      <c r="B417" s="2"/>
      <c r="C417" s="2"/>
      <c r="D417" s="2"/>
      <c r="E417" s="2"/>
      <c r="F417" s="2"/>
      <c r="G417" s="2"/>
      <c r="H417" s="2"/>
      <c r="I417" s="2"/>
    </row>
    <row r="418" spans="1:9" x14ac:dyDescent="0.25">
      <c r="A418" s="8" t="s">
        <v>48</v>
      </c>
      <c r="B418" s="2"/>
      <c r="C418" s="2"/>
      <c r="D418" s="2"/>
      <c r="E418" s="2"/>
      <c r="F418" s="2"/>
      <c r="G418" s="2"/>
      <c r="H418" s="2"/>
      <c r="I418" s="2"/>
    </row>
    <row r="419" spans="1:9" ht="30" x14ac:dyDescent="0.25">
      <c r="A419" s="1" t="s">
        <v>153</v>
      </c>
      <c r="B419" s="9">
        <v>1450940000</v>
      </c>
      <c r="C419" s="9">
        <v>1463870000</v>
      </c>
      <c r="D419" s="9">
        <v>1476630000</v>
      </c>
      <c r="E419" s="9">
        <v>1489160000</v>
      </c>
      <c r="F419" s="9">
        <v>1501430000</v>
      </c>
      <c r="G419" s="9">
        <v>1513420000</v>
      </c>
      <c r="H419" s="9">
        <v>1525140000</v>
      </c>
      <c r="I419" s="6">
        <v>0.83470753265999997</v>
      </c>
    </row>
    <row r="420" spans="1:9" ht="45" x14ac:dyDescent="0.25">
      <c r="A420" s="1" t="s">
        <v>152</v>
      </c>
      <c r="B420" s="9">
        <v>337797398</v>
      </c>
      <c r="C420" s="9">
        <v>343607513</v>
      </c>
      <c r="D420" s="9">
        <v>351373043</v>
      </c>
      <c r="E420" s="9">
        <v>359560035</v>
      </c>
      <c r="F420" s="9">
        <v>366895059</v>
      </c>
      <c r="G420" s="9">
        <v>373792686</v>
      </c>
      <c r="H420" s="9">
        <v>381006885</v>
      </c>
      <c r="I420" s="6">
        <v>2.0264448960000001</v>
      </c>
    </row>
    <row r="421" spans="1:9" ht="30" x14ac:dyDescent="0.25">
      <c r="A421" s="1" t="s">
        <v>151</v>
      </c>
      <c r="B421" s="9">
        <v>239646696</v>
      </c>
      <c r="C421" s="9">
        <v>247425149</v>
      </c>
      <c r="D421" s="9">
        <v>257571262</v>
      </c>
      <c r="E421" s="9">
        <v>268316981</v>
      </c>
      <c r="F421" s="9">
        <v>278718879</v>
      </c>
      <c r="G421" s="9">
        <v>289637970</v>
      </c>
      <c r="H421" s="9">
        <v>301132542</v>
      </c>
      <c r="I421" s="6">
        <v>3.8797846759999999</v>
      </c>
    </row>
    <row r="422" spans="1:9" ht="60" x14ac:dyDescent="0.25">
      <c r="A422" s="1" t="s">
        <v>150</v>
      </c>
      <c r="B422" s="9">
        <v>46395208</v>
      </c>
      <c r="C422" s="9">
        <v>60057516</v>
      </c>
      <c r="D422" s="9">
        <v>65282465</v>
      </c>
      <c r="E422" s="9">
        <v>69651228</v>
      </c>
      <c r="F422" s="9">
        <v>74976653</v>
      </c>
      <c r="G422" s="9">
        <v>79408241</v>
      </c>
      <c r="H422" s="9">
        <v>85716810</v>
      </c>
      <c r="I422" s="6">
        <v>10.772548043</v>
      </c>
    </row>
    <row r="423" spans="1:9" ht="60" x14ac:dyDescent="0.25">
      <c r="A423" s="1" t="s">
        <v>149</v>
      </c>
      <c r="B423" s="9">
        <v>843447</v>
      </c>
      <c r="C423" s="9">
        <v>749825</v>
      </c>
      <c r="D423" s="9">
        <v>708584</v>
      </c>
      <c r="E423" s="9">
        <v>654023</v>
      </c>
      <c r="F423" s="9">
        <v>671682</v>
      </c>
      <c r="G423" s="9">
        <v>604514</v>
      </c>
      <c r="H423" s="9">
        <v>575497</v>
      </c>
      <c r="I423" s="6">
        <v>-6.172341673</v>
      </c>
    </row>
    <row r="424" spans="1:9" ht="60" x14ac:dyDescent="0.25">
      <c r="A424" s="1" t="s">
        <v>148</v>
      </c>
      <c r="B424" s="9">
        <v>1166780</v>
      </c>
      <c r="C424" s="9">
        <v>1026767</v>
      </c>
      <c r="D424" s="9">
        <v>831681</v>
      </c>
      <c r="E424" s="9">
        <v>686137</v>
      </c>
      <c r="F424" s="9">
        <v>583216</v>
      </c>
      <c r="G424" s="9">
        <v>443828</v>
      </c>
      <c r="H424" s="9">
        <v>295145</v>
      </c>
      <c r="I424" s="6">
        <v>-20.474255719999999</v>
      </c>
    </row>
    <row r="425" spans="1:9" ht="60" x14ac:dyDescent="0.25">
      <c r="A425" s="1" t="s">
        <v>147</v>
      </c>
      <c r="B425" s="9">
        <v>35016990</v>
      </c>
      <c r="C425" s="9">
        <v>39394114</v>
      </c>
      <c r="D425" s="9">
        <v>42939584</v>
      </c>
      <c r="E425" s="9">
        <v>45816536</v>
      </c>
      <c r="F425" s="9">
        <v>48565529</v>
      </c>
      <c r="G425" s="9">
        <v>51090936</v>
      </c>
      <c r="H425" s="9">
        <v>55586938</v>
      </c>
      <c r="I425" s="6">
        <v>8.0062754589999994</v>
      </c>
    </row>
    <row r="426" spans="1:9" ht="75" x14ac:dyDescent="0.25">
      <c r="A426" s="1" t="s">
        <v>146</v>
      </c>
      <c r="B426" s="9">
        <v>4453</v>
      </c>
      <c r="C426" s="9">
        <v>4810</v>
      </c>
      <c r="D426" s="9">
        <v>5291</v>
      </c>
      <c r="E426" s="9">
        <v>4603</v>
      </c>
      <c r="F426" s="9">
        <v>4465</v>
      </c>
      <c r="G426" s="9">
        <v>4911</v>
      </c>
      <c r="H426" s="9">
        <v>4518</v>
      </c>
      <c r="I426" s="6">
        <v>0.24181509700000001</v>
      </c>
    </row>
    <row r="427" spans="1:9" ht="75" x14ac:dyDescent="0.25">
      <c r="A427" s="1" t="s">
        <v>145</v>
      </c>
      <c r="B427" s="9">
        <v>5210000</v>
      </c>
      <c r="C427" s="9">
        <v>14770000</v>
      </c>
      <c r="D427" s="9">
        <v>16985500</v>
      </c>
      <c r="E427" s="9">
        <v>18514195</v>
      </c>
      <c r="F427" s="9">
        <v>21291324</v>
      </c>
      <c r="G427" s="9">
        <v>23612079</v>
      </c>
      <c r="H427" s="9">
        <v>25949674</v>
      </c>
      <c r="I427" s="6">
        <v>30.681977349</v>
      </c>
    </row>
    <row r="428" spans="1:9" ht="75" x14ac:dyDescent="0.25">
      <c r="A428" s="1" t="s">
        <v>144</v>
      </c>
      <c r="B428" s="9">
        <v>4153537</v>
      </c>
      <c r="C428" s="9">
        <v>4112001</v>
      </c>
      <c r="D428" s="9">
        <v>3811825</v>
      </c>
      <c r="E428" s="9">
        <v>3975734</v>
      </c>
      <c r="F428" s="9">
        <v>3860437</v>
      </c>
      <c r="G428" s="9">
        <v>3651974</v>
      </c>
      <c r="H428" s="9">
        <v>3305036</v>
      </c>
      <c r="I428" s="6">
        <v>-3.7369350629999998</v>
      </c>
    </row>
    <row r="429" spans="1:9" x14ac:dyDescent="0.25">
      <c r="A429" s="1" t="s">
        <v>12</v>
      </c>
      <c r="B429" s="2"/>
      <c r="C429" s="2"/>
      <c r="D429" s="2"/>
      <c r="E429" s="2"/>
      <c r="F429" s="2"/>
      <c r="G429" s="2"/>
      <c r="H429" s="2"/>
      <c r="I429" s="2"/>
    </row>
    <row r="430" spans="1:9" x14ac:dyDescent="0.25">
      <c r="A430" s="8" t="s">
        <v>49</v>
      </c>
      <c r="B430" s="2"/>
      <c r="C430" s="2"/>
      <c r="D430" s="2"/>
      <c r="E430" s="2"/>
      <c r="F430" s="2"/>
      <c r="G430" s="2"/>
      <c r="H430" s="2"/>
      <c r="I430" s="2"/>
    </row>
    <row r="431" spans="1:9" ht="30" x14ac:dyDescent="0.25">
      <c r="A431" s="1" t="s">
        <v>153</v>
      </c>
      <c r="B431" s="9">
        <v>283490000</v>
      </c>
      <c r="C431" s="9">
        <v>285720000</v>
      </c>
      <c r="D431" s="9">
        <v>287148600</v>
      </c>
      <c r="E431" s="9">
        <v>288584343</v>
      </c>
      <c r="F431" s="9">
        <v>290027265</v>
      </c>
      <c r="G431" s="9">
        <v>291477401</v>
      </c>
      <c r="H431" s="9">
        <v>292934788</v>
      </c>
      <c r="I431" s="6">
        <v>0.54771397366999997</v>
      </c>
    </row>
    <row r="432" spans="1:9" ht="45" x14ac:dyDescent="0.25">
      <c r="A432" s="1" t="s">
        <v>152</v>
      </c>
      <c r="B432" s="9">
        <v>72447465</v>
      </c>
      <c r="C432" s="9">
        <v>73197938</v>
      </c>
      <c r="D432" s="9">
        <v>73948602</v>
      </c>
      <c r="E432" s="9">
        <v>74699380</v>
      </c>
      <c r="F432" s="9">
        <v>75450197</v>
      </c>
      <c r="G432" s="9">
        <v>76200977</v>
      </c>
      <c r="H432" s="9">
        <v>76951645</v>
      </c>
      <c r="I432" s="6">
        <v>1.0103290229999999</v>
      </c>
    </row>
    <row r="433" spans="1:9" ht="30" x14ac:dyDescent="0.25">
      <c r="A433" s="1" t="s">
        <v>151</v>
      </c>
      <c r="B433" s="9">
        <v>63587265</v>
      </c>
      <c r="C433" s="9">
        <v>65852105</v>
      </c>
      <c r="D433" s="9">
        <v>68190621</v>
      </c>
      <c r="E433" s="9">
        <v>70260600</v>
      </c>
      <c r="F433" s="9">
        <v>72031304</v>
      </c>
      <c r="G433" s="9">
        <v>73839284</v>
      </c>
      <c r="H433" s="9">
        <v>75312354</v>
      </c>
      <c r="I433" s="6">
        <v>2.8606693550000002</v>
      </c>
    </row>
    <row r="434" spans="1:9" ht="60" x14ac:dyDescent="0.25">
      <c r="A434" s="1" t="s">
        <v>150</v>
      </c>
      <c r="B434" s="9">
        <v>16058234</v>
      </c>
      <c r="C434" s="9">
        <v>17774211</v>
      </c>
      <c r="D434" s="9">
        <v>18616010</v>
      </c>
      <c r="E434" s="9">
        <v>19386461</v>
      </c>
      <c r="F434" s="9">
        <v>21140228</v>
      </c>
      <c r="G434" s="9">
        <v>22532708</v>
      </c>
      <c r="H434" s="9">
        <v>23002153</v>
      </c>
      <c r="I434" s="6">
        <v>6.1724365969999999</v>
      </c>
    </row>
    <row r="435" spans="1:9" ht="60" x14ac:dyDescent="0.25">
      <c r="A435" s="1" t="s">
        <v>149</v>
      </c>
      <c r="B435" s="9">
        <v>668032</v>
      </c>
      <c r="C435" s="9">
        <v>679255</v>
      </c>
      <c r="D435" s="9">
        <v>690123</v>
      </c>
      <c r="E435" s="9">
        <v>701027</v>
      </c>
      <c r="F435" s="9">
        <v>711753</v>
      </c>
      <c r="G435" s="9">
        <v>722002</v>
      </c>
      <c r="H435" s="9">
        <v>732110</v>
      </c>
      <c r="I435" s="6">
        <v>1.538290049</v>
      </c>
    </row>
    <row r="436" spans="1:9" ht="60" x14ac:dyDescent="0.25">
      <c r="A436" s="1" t="s">
        <v>148</v>
      </c>
      <c r="B436" s="9">
        <v>1079697</v>
      </c>
      <c r="C436" s="9">
        <v>889887</v>
      </c>
      <c r="D436" s="9">
        <v>835959</v>
      </c>
      <c r="E436" s="9">
        <v>795415</v>
      </c>
      <c r="F436" s="9">
        <v>764553</v>
      </c>
      <c r="G436" s="9">
        <v>740776</v>
      </c>
      <c r="H436" s="9">
        <v>722404</v>
      </c>
      <c r="I436" s="6">
        <v>-6.4781603350000001</v>
      </c>
    </row>
    <row r="437" spans="1:9" ht="60" x14ac:dyDescent="0.25">
      <c r="A437" s="1" t="s">
        <v>147</v>
      </c>
      <c r="B437" s="9">
        <v>14239802</v>
      </c>
      <c r="C437" s="9">
        <v>16131300</v>
      </c>
      <c r="D437" s="9">
        <v>17012819</v>
      </c>
      <c r="E437" s="9">
        <v>17809339</v>
      </c>
      <c r="F437" s="9">
        <v>19579687</v>
      </c>
      <c r="G437" s="9">
        <v>20981771</v>
      </c>
      <c r="H437" s="9">
        <v>21455173</v>
      </c>
      <c r="I437" s="6">
        <v>7.0708733260000001</v>
      </c>
    </row>
    <row r="438" spans="1:9" ht="75" x14ac:dyDescent="0.25">
      <c r="A438" s="1" t="s">
        <v>146</v>
      </c>
      <c r="B438" s="9">
        <v>8387</v>
      </c>
      <c r="C438" s="9">
        <v>7858</v>
      </c>
      <c r="D438" s="9">
        <v>7348</v>
      </c>
      <c r="E438" s="9">
        <v>6797</v>
      </c>
      <c r="F438" s="9">
        <v>6185</v>
      </c>
      <c r="G438" s="9">
        <v>5566</v>
      </c>
      <c r="H438" s="9">
        <v>4982</v>
      </c>
      <c r="I438" s="6">
        <v>-8.3147415890000005</v>
      </c>
    </row>
    <row r="439" spans="1:9" ht="75" x14ac:dyDescent="0.25">
      <c r="A439" s="1" t="s">
        <v>145</v>
      </c>
      <c r="B439" s="9">
        <v>62316</v>
      </c>
      <c r="C439" s="9">
        <v>65911</v>
      </c>
      <c r="D439" s="9">
        <v>69760</v>
      </c>
      <c r="E439" s="9">
        <v>73883</v>
      </c>
      <c r="F439" s="9">
        <v>78050</v>
      </c>
      <c r="G439" s="9">
        <v>82593</v>
      </c>
      <c r="H439" s="9">
        <v>87484</v>
      </c>
      <c r="I439" s="6">
        <v>5.8168535940000003</v>
      </c>
    </row>
    <row r="440" spans="1:9" ht="75" x14ac:dyDescent="0.25">
      <c r="A440" s="1" t="s">
        <v>144</v>
      </c>
      <c r="B440" s="9">
        <v>0</v>
      </c>
      <c r="C440" s="9">
        <v>0</v>
      </c>
      <c r="D440" s="9">
        <v>0</v>
      </c>
      <c r="E440" s="9">
        <v>0</v>
      </c>
      <c r="F440" s="9">
        <v>0</v>
      </c>
      <c r="G440" s="9">
        <v>0</v>
      </c>
      <c r="H440" s="9">
        <v>0</v>
      </c>
      <c r="I440" s="7" t="s">
        <v>58</v>
      </c>
    </row>
    <row r="441" spans="1:9" x14ac:dyDescent="0.25">
      <c r="A441" s="1" t="s">
        <v>12</v>
      </c>
      <c r="B441" s="2"/>
      <c r="C441" s="2"/>
      <c r="D441" s="2"/>
      <c r="E441" s="2"/>
      <c r="F441" s="2"/>
      <c r="G441" s="2"/>
      <c r="H441" s="2"/>
      <c r="I441" s="2"/>
    </row>
    <row r="442" spans="1:9" x14ac:dyDescent="0.25">
      <c r="A442" s="8" t="s">
        <v>50</v>
      </c>
      <c r="B442" s="2"/>
      <c r="C442" s="2"/>
      <c r="D442" s="2"/>
      <c r="E442" s="2"/>
      <c r="F442" s="2"/>
      <c r="G442" s="2"/>
      <c r="H442" s="2"/>
      <c r="I442" s="2"/>
    </row>
    <row r="443" spans="1:9" ht="30" x14ac:dyDescent="0.25">
      <c r="A443" s="1" t="s">
        <v>153</v>
      </c>
      <c r="B443" s="9">
        <v>43010000</v>
      </c>
      <c r="C443" s="9">
        <v>44410000</v>
      </c>
      <c r="D443" s="9">
        <v>45920000</v>
      </c>
      <c r="E443" s="9">
        <v>47481342</v>
      </c>
      <c r="F443" s="9">
        <v>49095772</v>
      </c>
      <c r="G443" s="9">
        <v>50765094</v>
      </c>
      <c r="H443" s="9">
        <v>52491176</v>
      </c>
      <c r="I443" s="6">
        <v>3.3759412052300002</v>
      </c>
    </row>
    <row r="444" spans="1:9" ht="45" x14ac:dyDescent="0.25">
      <c r="A444" s="1" t="s">
        <v>152</v>
      </c>
      <c r="B444" s="9">
        <v>6577967</v>
      </c>
      <c r="C444" s="9">
        <v>6730576</v>
      </c>
      <c r="D444" s="9">
        <v>6886726</v>
      </c>
      <c r="E444" s="9">
        <v>7046498</v>
      </c>
      <c r="F444" s="9">
        <v>7209976</v>
      </c>
      <c r="G444" s="9">
        <v>7377248</v>
      </c>
      <c r="H444" s="9">
        <v>7548400</v>
      </c>
      <c r="I444" s="6">
        <v>2.3200010500000001</v>
      </c>
    </row>
    <row r="445" spans="1:9" ht="30" x14ac:dyDescent="0.25">
      <c r="A445" s="1" t="s">
        <v>151</v>
      </c>
      <c r="B445" s="9">
        <v>6033496</v>
      </c>
      <c r="C445" s="9">
        <v>6185820</v>
      </c>
      <c r="D445" s="9">
        <v>6341989</v>
      </c>
      <c r="E445" s="9">
        <v>6502102</v>
      </c>
      <c r="F445" s="9">
        <v>6666256</v>
      </c>
      <c r="G445" s="9">
        <v>6834555</v>
      </c>
      <c r="H445" s="9">
        <v>7007103</v>
      </c>
      <c r="I445" s="6">
        <v>2.524638199</v>
      </c>
    </row>
    <row r="446" spans="1:9" ht="60" x14ac:dyDescent="0.25">
      <c r="A446" s="1" t="s">
        <v>150</v>
      </c>
      <c r="B446" s="9">
        <v>832524</v>
      </c>
      <c r="C446" s="9">
        <v>979344</v>
      </c>
      <c r="D446" s="9">
        <v>1058822</v>
      </c>
      <c r="E446" s="9">
        <v>1138917</v>
      </c>
      <c r="F446" s="9">
        <v>1226829</v>
      </c>
      <c r="G446" s="9">
        <v>1323486</v>
      </c>
      <c r="H446" s="9">
        <v>1418802</v>
      </c>
      <c r="I446" s="6">
        <v>9.2917814429999996</v>
      </c>
    </row>
    <row r="447" spans="1:9" ht="60" x14ac:dyDescent="0.25">
      <c r="A447" s="1" t="s">
        <v>149</v>
      </c>
      <c r="B447" s="9">
        <v>0</v>
      </c>
      <c r="C447" s="9">
        <v>0</v>
      </c>
      <c r="D447" s="9">
        <v>0</v>
      </c>
      <c r="E447" s="9">
        <v>0</v>
      </c>
      <c r="F447" s="9">
        <v>0</v>
      </c>
      <c r="G447" s="9">
        <v>0</v>
      </c>
      <c r="H447" s="9">
        <v>0</v>
      </c>
      <c r="I447" s="7" t="s">
        <v>58</v>
      </c>
    </row>
    <row r="448" spans="1:9" ht="60" x14ac:dyDescent="0.25">
      <c r="A448" s="1" t="s">
        <v>148</v>
      </c>
      <c r="B448" s="9">
        <v>274708</v>
      </c>
      <c r="C448" s="9">
        <v>297663</v>
      </c>
      <c r="D448" s="9">
        <v>322536</v>
      </c>
      <c r="E448" s="9">
        <v>349487</v>
      </c>
      <c r="F448" s="9">
        <v>378690</v>
      </c>
      <c r="G448" s="9">
        <v>410333</v>
      </c>
      <c r="H448" s="9">
        <v>433312</v>
      </c>
      <c r="I448" s="6">
        <v>7.8917493780000001</v>
      </c>
    </row>
    <row r="449" spans="1:9" ht="60" x14ac:dyDescent="0.25">
      <c r="A449" s="1" t="s">
        <v>147</v>
      </c>
      <c r="B449" s="9">
        <v>122417</v>
      </c>
      <c r="C449" s="9">
        <v>148125</v>
      </c>
      <c r="D449" s="9">
        <v>179231</v>
      </c>
      <c r="E449" s="9">
        <v>207908</v>
      </c>
      <c r="F449" s="9">
        <v>241173</v>
      </c>
      <c r="G449" s="9">
        <v>279761</v>
      </c>
      <c r="H449" s="9">
        <v>324523</v>
      </c>
      <c r="I449" s="6">
        <v>17.643325267000002</v>
      </c>
    </row>
    <row r="450" spans="1:9" ht="75" x14ac:dyDescent="0.25">
      <c r="A450" s="1" t="s">
        <v>146</v>
      </c>
      <c r="B450" s="9">
        <v>11161</v>
      </c>
      <c r="C450" s="9">
        <v>11744</v>
      </c>
      <c r="D450" s="9">
        <v>12284</v>
      </c>
      <c r="E450" s="9">
        <v>12781</v>
      </c>
      <c r="F450" s="9">
        <v>13200</v>
      </c>
      <c r="G450" s="9">
        <v>13500</v>
      </c>
      <c r="H450" s="9">
        <v>13800</v>
      </c>
      <c r="I450" s="6">
        <v>3.6006936120000002</v>
      </c>
    </row>
    <row r="451" spans="1:9" ht="75" x14ac:dyDescent="0.25">
      <c r="A451" s="1" t="s">
        <v>145</v>
      </c>
      <c r="B451" s="9">
        <v>424237</v>
      </c>
      <c r="C451" s="9">
        <v>521812</v>
      </c>
      <c r="D451" s="9">
        <v>544771</v>
      </c>
      <c r="E451" s="9">
        <v>568741</v>
      </c>
      <c r="F451" s="9">
        <v>593766</v>
      </c>
      <c r="G451" s="9">
        <v>619892</v>
      </c>
      <c r="H451" s="9">
        <v>647167</v>
      </c>
      <c r="I451" s="6">
        <v>7.2921554469999998</v>
      </c>
    </row>
    <row r="452" spans="1:9" ht="75" x14ac:dyDescent="0.25">
      <c r="A452" s="1" t="s">
        <v>144</v>
      </c>
      <c r="B452" s="9">
        <v>0</v>
      </c>
      <c r="C452" s="9">
        <v>0</v>
      </c>
      <c r="D452" s="9">
        <v>0</v>
      </c>
      <c r="E452" s="9">
        <v>0</v>
      </c>
      <c r="F452" s="9">
        <v>0</v>
      </c>
      <c r="G452" s="9">
        <v>0</v>
      </c>
      <c r="H452" s="9">
        <v>0</v>
      </c>
      <c r="I452" s="7" t="s">
        <v>58</v>
      </c>
    </row>
    <row r="453" spans="1:9" x14ac:dyDescent="0.25">
      <c r="A453" s="1" t="s">
        <v>12</v>
      </c>
      <c r="B453" s="2"/>
      <c r="C453" s="2"/>
      <c r="D453" s="2"/>
      <c r="E453" s="2"/>
      <c r="F453" s="2"/>
      <c r="G453" s="2"/>
      <c r="H453" s="2"/>
      <c r="I453" s="2"/>
    </row>
    <row r="454" spans="1:9" x14ac:dyDescent="0.25">
      <c r="A454" s="8" t="s">
        <v>51</v>
      </c>
      <c r="B454" s="2"/>
      <c r="C454" s="2"/>
      <c r="D454" s="2"/>
      <c r="E454" s="2"/>
      <c r="F454" s="2"/>
      <c r="G454" s="2"/>
      <c r="H454" s="2"/>
      <c r="I454" s="2"/>
    </row>
    <row r="455" spans="1:9" ht="30" x14ac:dyDescent="0.25">
      <c r="A455" s="1" t="s">
        <v>153</v>
      </c>
      <c r="B455" s="9">
        <v>5080000</v>
      </c>
      <c r="C455" s="9">
        <v>5110000</v>
      </c>
      <c r="D455" s="9">
        <v>5140000</v>
      </c>
      <c r="E455" s="9">
        <v>5170000</v>
      </c>
      <c r="F455" s="9">
        <v>5200000</v>
      </c>
      <c r="G455" s="9">
        <v>5220000</v>
      </c>
      <c r="H455" s="9">
        <v>5250000</v>
      </c>
      <c r="I455" s="6">
        <v>0.55012122365000005</v>
      </c>
    </row>
    <row r="456" spans="1:9" ht="45" x14ac:dyDescent="0.25">
      <c r="A456" s="1" t="s">
        <v>152</v>
      </c>
      <c r="B456" s="9">
        <v>2122353</v>
      </c>
      <c r="C456" s="9">
        <v>2137210</v>
      </c>
      <c r="D456" s="9">
        <v>2150033</v>
      </c>
      <c r="E456" s="9">
        <v>2162933</v>
      </c>
      <c r="F456" s="9">
        <v>2175911</v>
      </c>
      <c r="G456" s="9">
        <v>2188966</v>
      </c>
      <c r="H456" s="9">
        <v>2202100</v>
      </c>
      <c r="I456" s="6">
        <v>0.61666143699999998</v>
      </c>
    </row>
    <row r="457" spans="1:9" ht="30" x14ac:dyDescent="0.25">
      <c r="A457" s="1" t="s">
        <v>151</v>
      </c>
      <c r="B457" s="9">
        <v>1759229</v>
      </c>
      <c r="C457" s="9">
        <v>1771544</v>
      </c>
      <c r="D457" s="9">
        <v>1783944</v>
      </c>
      <c r="E457" s="9">
        <v>1796432</v>
      </c>
      <c r="F457" s="9">
        <v>1809007</v>
      </c>
      <c r="G457" s="9">
        <v>1821670</v>
      </c>
      <c r="H457" s="9">
        <v>1834422</v>
      </c>
      <c r="I457" s="6">
        <v>0.70000198400000002</v>
      </c>
    </row>
    <row r="458" spans="1:9" ht="60" x14ac:dyDescent="0.25">
      <c r="A458" s="1" t="s">
        <v>150</v>
      </c>
      <c r="B458" s="9">
        <v>1533901</v>
      </c>
      <c r="C458" s="9">
        <v>1585507</v>
      </c>
      <c r="D458" s="9">
        <v>1639373</v>
      </c>
      <c r="E458" s="9">
        <v>1695486</v>
      </c>
      <c r="F458" s="9">
        <v>1751878</v>
      </c>
      <c r="G458" s="9">
        <v>1803019</v>
      </c>
      <c r="H458" s="9">
        <v>1847350</v>
      </c>
      <c r="I458" s="6">
        <v>3.1474848020000001</v>
      </c>
    </row>
    <row r="459" spans="1:9" ht="60" x14ac:dyDescent="0.25">
      <c r="A459" s="1" t="s">
        <v>149</v>
      </c>
      <c r="B459" s="9">
        <v>324305</v>
      </c>
      <c r="C459" s="9">
        <v>321391</v>
      </c>
      <c r="D459" s="9">
        <v>318824</v>
      </c>
      <c r="E459" s="9">
        <v>316912</v>
      </c>
      <c r="F459" s="9">
        <v>315012</v>
      </c>
      <c r="G459" s="9">
        <v>313123</v>
      </c>
      <c r="H459" s="9">
        <v>311246</v>
      </c>
      <c r="I459" s="6">
        <v>-0.68267303999999995</v>
      </c>
    </row>
    <row r="460" spans="1:9" ht="60" x14ac:dyDescent="0.25">
      <c r="A460" s="1" t="s">
        <v>148</v>
      </c>
      <c r="B460" s="9">
        <v>353519</v>
      </c>
      <c r="C460" s="9">
        <v>297243</v>
      </c>
      <c r="D460" s="9">
        <v>254201</v>
      </c>
      <c r="E460" s="9">
        <v>221426</v>
      </c>
      <c r="F460" s="9">
        <v>195694</v>
      </c>
      <c r="G460" s="9">
        <v>175022</v>
      </c>
      <c r="H460" s="9">
        <v>157846</v>
      </c>
      <c r="I460" s="6">
        <v>-12.574765987999999</v>
      </c>
    </row>
    <row r="461" spans="1:9" ht="60" x14ac:dyDescent="0.25">
      <c r="A461" s="1" t="s">
        <v>147</v>
      </c>
      <c r="B461" s="9">
        <v>756741</v>
      </c>
      <c r="C461" s="9">
        <v>860959</v>
      </c>
      <c r="D461" s="9">
        <v>954854</v>
      </c>
      <c r="E461" s="9">
        <v>1041103</v>
      </c>
      <c r="F461" s="9">
        <v>1121350</v>
      </c>
      <c r="G461" s="9">
        <v>1192711</v>
      </c>
      <c r="H461" s="9">
        <v>1254163</v>
      </c>
      <c r="I461" s="6">
        <v>8.7846920340000008</v>
      </c>
    </row>
    <row r="462" spans="1:9" ht="75" x14ac:dyDescent="0.25">
      <c r="A462" s="1" t="s">
        <v>146</v>
      </c>
      <c r="B462" s="9">
        <v>7818</v>
      </c>
      <c r="C462" s="9">
        <v>7806</v>
      </c>
      <c r="D462" s="9">
        <v>7794</v>
      </c>
      <c r="E462" s="9">
        <v>7782</v>
      </c>
      <c r="F462" s="9">
        <v>7770</v>
      </c>
      <c r="G462" s="9">
        <v>7758</v>
      </c>
      <c r="H462" s="9">
        <v>7746</v>
      </c>
      <c r="I462" s="6">
        <v>-0.15408427299999999</v>
      </c>
    </row>
    <row r="463" spans="1:9" ht="75" x14ac:dyDescent="0.25">
      <c r="A463" s="1" t="s">
        <v>145</v>
      </c>
      <c r="B463" s="9">
        <v>91518</v>
      </c>
      <c r="C463" s="9">
        <v>98107</v>
      </c>
      <c r="D463" s="9">
        <v>103699</v>
      </c>
      <c r="E463" s="9">
        <v>108262</v>
      </c>
      <c r="F463" s="9">
        <v>112051</v>
      </c>
      <c r="G463" s="9">
        <v>114404</v>
      </c>
      <c r="H463" s="9">
        <v>116349</v>
      </c>
      <c r="I463" s="6">
        <v>4.0820943090000004</v>
      </c>
    </row>
    <row r="464" spans="1:9" ht="75" x14ac:dyDescent="0.25">
      <c r="A464" s="1" t="s">
        <v>144</v>
      </c>
      <c r="B464" s="9">
        <v>0</v>
      </c>
      <c r="C464" s="9">
        <v>0</v>
      </c>
      <c r="D464" s="9">
        <v>0</v>
      </c>
      <c r="E464" s="9">
        <v>0</v>
      </c>
      <c r="F464" s="9">
        <v>0</v>
      </c>
      <c r="G464" s="9">
        <v>0</v>
      </c>
      <c r="H464" s="9">
        <v>0</v>
      </c>
      <c r="I464" s="7" t="s">
        <v>58</v>
      </c>
    </row>
    <row r="465" spans="1:9" x14ac:dyDescent="0.25">
      <c r="A465" s="1" t="s">
        <v>12</v>
      </c>
      <c r="B465" s="2"/>
      <c r="C465" s="2"/>
      <c r="D465" s="2"/>
      <c r="E465" s="2"/>
      <c r="F465" s="2"/>
      <c r="G465" s="2"/>
      <c r="H465" s="2"/>
      <c r="I465" s="2"/>
    </row>
    <row r="466" spans="1:9" x14ac:dyDescent="0.25">
      <c r="A466" s="8" t="s">
        <v>52</v>
      </c>
      <c r="B466" s="2"/>
      <c r="C466" s="2"/>
      <c r="D466" s="2"/>
      <c r="E466" s="2"/>
      <c r="F466" s="2"/>
      <c r="G466" s="2"/>
      <c r="H466" s="2"/>
      <c r="I466" s="2"/>
    </row>
    <row r="467" spans="1:9" ht="30" x14ac:dyDescent="0.25">
      <c r="A467" s="1" t="s">
        <v>153</v>
      </c>
      <c r="B467" s="9">
        <v>9310000</v>
      </c>
      <c r="C467" s="9">
        <v>9450000</v>
      </c>
      <c r="D467" s="9">
        <v>9590000</v>
      </c>
      <c r="E467" s="9">
        <v>9720000</v>
      </c>
      <c r="F467" s="9">
        <v>9860000</v>
      </c>
      <c r="G467" s="9">
        <v>10000000</v>
      </c>
      <c r="H467" s="9">
        <v>10130000</v>
      </c>
      <c r="I467" s="6">
        <v>1.4168134454700001</v>
      </c>
    </row>
    <row r="468" spans="1:9" ht="45" x14ac:dyDescent="0.25">
      <c r="A468" s="1" t="s">
        <v>152</v>
      </c>
      <c r="B468" s="9">
        <v>3025375</v>
      </c>
      <c r="C468" s="9">
        <v>3094959</v>
      </c>
      <c r="D468" s="9">
        <v>3156858</v>
      </c>
      <c r="E468" s="9">
        <v>3219995</v>
      </c>
      <c r="F468" s="9">
        <v>3284395</v>
      </c>
      <c r="G468" s="9">
        <v>3343514</v>
      </c>
      <c r="H468" s="9">
        <v>3403697</v>
      </c>
      <c r="I468" s="6">
        <v>1.983194833</v>
      </c>
    </row>
    <row r="469" spans="1:9" ht="30" x14ac:dyDescent="0.25">
      <c r="A469" s="1" t="s">
        <v>151</v>
      </c>
      <c r="B469" s="9">
        <v>2893517</v>
      </c>
      <c r="C469" s="9">
        <v>2965855</v>
      </c>
      <c r="D469" s="9">
        <v>3040001</v>
      </c>
      <c r="E469" s="9">
        <v>3116001</v>
      </c>
      <c r="F469" s="9">
        <v>3193901</v>
      </c>
      <c r="G469" s="9">
        <v>3273749</v>
      </c>
      <c r="H469" s="9">
        <v>3339224</v>
      </c>
      <c r="I469" s="6">
        <v>2.4164974180000001</v>
      </c>
    </row>
    <row r="470" spans="1:9" ht="60" x14ac:dyDescent="0.25">
      <c r="A470" s="1" t="s">
        <v>150</v>
      </c>
      <c r="B470" s="9">
        <v>2921112</v>
      </c>
      <c r="C470" s="9">
        <v>2990070</v>
      </c>
      <c r="D470" s="9">
        <v>3055052</v>
      </c>
      <c r="E470" s="9">
        <v>3117876</v>
      </c>
      <c r="F470" s="9">
        <v>3183813</v>
      </c>
      <c r="G470" s="9">
        <v>3242409</v>
      </c>
      <c r="H470" s="9">
        <v>3302694</v>
      </c>
      <c r="I470" s="6">
        <v>2.0673144849999998</v>
      </c>
    </row>
    <row r="471" spans="1:9" ht="60" x14ac:dyDescent="0.25">
      <c r="A471" s="1" t="s">
        <v>149</v>
      </c>
      <c r="B471" s="9">
        <v>395299</v>
      </c>
      <c r="C471" s="9">
        <v>343910</v>
      </c>
      <c r="D471" s="9">
        <v>299202</v>
      </c>
      <c r="E471" s="9">
        <v>260305</v>
      </c>
      <c r="F471" s="9">
        <v>226466</v>
      </c>
      <c r="G471" s="9">
        <v>197025</v>
      </c>
      <c r="H471" s="9">
        <v>171412</v>
      </c>
      <c r="I471" s="6">
        <v>-13.000000307000001</v>
      </c>
    </row>
    <row r="472" spans="1:9" ht="60" x14ac:dyDescent="0.25">
      <c r="A472" s="1" t="s">
        <v>148</v>
      </c>
      <c r="B472" s="9">
        <v>788288</v>
      </c>
      <c r="C472" s="9">
        <v>630630</v>
      </c>
      <c r="D472" s="9">
        <v>504504</v>
      </c>
      <c r="E472" s="9">
        <v>403603</v>
      </c>
      <c r="F472" s="9">
        <v>282522</v>
      </c>
      <c r="G472" s="9">
        <v>197766</v>
      </c>
      <c r="H472" s="9">
        <v>138436</v>
      </c>
      <c r="I472" s="6">
        <v>-25.166850950000001</v>
      </c>
    </row>
    <row r="473" spans="1:9" ht="60" x14ac:dyDescent="0.25">
      <c r="A473" s="1" t="s">
        <v>147</v>
      </c>
      <c r="B473" s="9">
        <v>1737525</v>
      </c>
      <c r="C473" s="9">
        <v>2015529</v>
      </c>
      <c r="D473" s="9">
        <v>2251346</v>
      </c>
      <c r="E473" s="9">
        <v>2453967</v>
      </c>
      <c r="F473" s="9">
        <v>2674824</v>
      </c>
      <c r="G473" s="9">
        <v>2847618</v>
      </c>
      <c r="H473" s="9">
        <v>2992847</v>
      </c>
      <c r="I473" s="6">
        <v>9.4860805480000003</v>
      </c>
    </row>
    <row r="474" spans="1:9" ht="75" x14ac:dyDescent="0.25">
      <c r="A474" s="1" t="s">
        <v>146</v>
      </c>
      <c r="B474" s="9">
        <v>0</v>
      </c>
      <c r="C474" s="9">
        <v>0</v>
      </c>
      <c r="D474" s="9">
        <v>0</v>
      </c>
      <c r="E474" s="9">
        <v>0</v>
      </c>
      <c r="F474" s="9">
        <v>0</v>
      </c>
      <c r="G474" s="9">
        <v>0</v>
      </c>
      <c r="H474" s="9">
        <v>0</v>
      </c>
      <c r="I474" s="7" t="s">
        <v>58</v>
      </c>
    </row>
    <row r="475" spans="1:9" ht="75" x14ac:dyDescent="0.25">
      <c r="A475" s="1" t="s">
        <v>145</v>
      </c>
      <c r="B475" s="9">
        <v>0</v>
      </c>
      <c r="C475" s="9">
        <v>0</v>
      </c>
      <c r="D475" s="9">
        <v>0</v>
      </c>
      <c r="E475" s="9">
        <v>0</v>
      </c>
      <c r="F475" s="9">
        <v>0</v>
      </c>
      <c r="G475" s="9">
        <v>0</v>
      </c>
      <c r="H475" s="9">
        <v>0</v>
      </c>
      <c r="I475" s="7" t="s">
        <v>58</v>
      </c>
    </row>
    <row r="476" spans="1:9" ht="75" x14ac:dyDescent="0.25">
      <c r="A476" s="1" t="s">
        <v>144</v>
      </c>
      <c r="B476" s="9">
        <v>0</v>
      </c>
      <c r="C476" s="9">
        <v>0</v>
      </c>
      <c r="D476" s="9">
        <v>0</v>
      </c>
      <c r="E476" s="9">
        <v>0</v>
      </c>
      <c r="F476" s="9">
        <v>0</v>
      </c>
      <c r="G476" s="9">
        <v>0</v>
      </c>
      <c r="H476" s="9">
        <v>0</v>
      </c>
      <c r="I476" s="7" t="s">
        <v>58</v>
      </c>
    </row>
    <row r="477" spans="1:9" x14ac:dyDescent="0.25">
      <c r="A477" s="1" t="s">
        <v>12</v>
      </c>
      <c r="B477" s="2"/>
      <c r="C477" s="2"/>
      <c r="D477" s="2"/>
      <c r="E477" s="2"/>
      <c r="F477" s="2"/>
      <c r="G477" s="2"/>
      <c r="H477" s="2"/>
      <c r="I477" s="2"/>
    </row>
    <row r="478" spans="1:9" x14ac:dyDescent="0.25">
      <c r="A478" s="8" t="s">
        <v>53</v>
      </c>
      <c r="B478" s="2"/>
      <c r="C478" s="2"/>
      <c r="D478" s="2"/>
      <c r="E478" s="2"/>
      <c r="F478" s="2"/>
      <c r="G478" s="2"/>
      <c r="H478" s="2"/>
      <c r="I478" s="2"/>
    </row>
    <row r="479" spans="1:9" ht="30" x14ac:dyDescent="0.25">
      <c r="A479" s="1" t="s">
        <v>153</v>
      </c>
      <c r="B479" s="9">
        <v>58973977</v>
      </c>
      <c r="C479" s="9">
        <v>58923319</v>
      </c>
      <c r="D479" s="9">
        <v>58845703</v>
      </c>
      <c r="E479" s="9">
        <v>58743339</v>
      </c>
      <c r="F479" s="9">
        <v>58618817</v>
      </c>
      <c r="G479" s="9">
        <v>58474010</v>
      </c>
      <c r="H479" s="9">
        <v>58308529</v>
      </c>
      <c r="I479" s="6">
        <v>-0.1889529442</v>
      </c>
    </row>
    <row r="480" spans="1:9" ht="45" x14ac:dyDescent="0.25">
      <c r="A480" s="1" t="s">
        <v>152</v>
      </c>
      <c r="B480" s="9">
        <v>26017506</v>
      </c>
      <c r="C480" s="9">
        <v>26108162</v>
      </c>
      <c r="D480" s="9">
        <v>26201222</v>
      </c>
      <c r="E480" s="9">
        <v>26284453</v>
      </c>
      <c r="F480" s="9">
        <v>26364171</v>
      </c>
      <c r="G480" s="9">
        <v>26437946</v>
      </c>
      <c r="H480" s="9">
        <v>26506043</v>
      </c>
      <c r="I480" s="6">
        <v>0.31053325199999998</v>
      </c>
    </row>
    <row r="481" spans="1:9" ht="30" x14ac:dyDescent="0.25">
      <c r="A481" s="1" t="s">
        <v>151</v>
      </c>
      <c r="B481" s="9">
        <v>25282511</v>
      </c>
      <c r="C481" s="9">
        <v>25384966</v>
      </c>
      <c r="D481" s="9">
        <v>25491169</v>
      </c>
      <c r="E481" s="9">
        <v>25587915</v>
      </c>
      <c r="F481" s="9">
        <v>25678703</v>
      </c>
      <c r="G481" s="9">
        <v>25763778</v>
      </c>
      <c r="H481" s="9">
        <v>25843392</v>
      </c>
      <c r="I481" s="6">
        <v>0.36637029700000001</v>
      </c>
    </row>
    <row r="482" spans="1:9" ht="60" x14ac:dyDescent="0.25">
      <c r="A482" s="1" t="s">
        <v>150</v>
      </c>
      <c r="B482" s="9">
        <v>16416636</v>
      </c>
      <c r="C482" s="9">
        <v>16628267</v>
      </c>
      <c r="D482" s="9">
        <v>17088965</v>
      </c>
      <c r="E482" s="9">
        <v>17563852</v>
      </c>
      <c r="F482" s="9">
        <v>18068295</v>
      </c>
      <c r="G482" s="9">
        <v>18631321</v>
      </c>
      <c r="H482" s="9">
        <v>19193572</v>
      </c>
      <c r="I482" s="6">
        <v>2.63888832</v>
      </c>
    </row>
    <row r="483" spans="1:9" ht="60" x14ac:dyDescent="0.25">
      <c r="A483" s="1" t="s">
        <v>149</v>
      </c>
      <c r="B483" s="9">
        <v>0</v>
      </c>
      <c r="C483" s="9">
        <v>0</v>
      </c>
      <c r="D483" s="9">
        <v>0</v>
      </c>
      <c r="E483" s="9">
        <v>0</v>
      </c>
      <c r="F483" s="9">
        <v>0</v>
      </c>
      <c r="G483" s="9">
        <v>0</v>
      </c>
      <c r="H483" s="9">
        <v>0</v>
      </c>
      <c r="I483" s="7" t="s">
        <v>58</v>
      </c>
    </row>
    <row r="484" spans="1:9" ht="60" x14ac:dyDescent="0.25">
      <c r="A484" s="1" t="s">
        <v>148</v>
      </c>
      <c r="B484" s="9">
        <v>9962895</v>
      </c>
      <c r="C484" s="9">
        <v>9066648</v>
      </c>
      <c r="D484" s="9">
        <v>8393612</v>
      </c>
      <c r="E484" s="9">
        <v>7784652</v>
      </c>
      <c r="F484" s="9">
        <v>7240930</v>
      </c>
      <c r="G484" s="9">
        <v>6711539</v>
      </c>
      <c r="H484" s="9">
        <v>6321402</v>
      </c>
      <c r="I484" s="6">
        <v>-7.3017982469999998</v>
      </c>
    </row>
    <row r="485" spans="1:9" ht="60" x14ac:dyDescent="0.25">
      <c r="A485" s="1" t="s">
        <v>147</v>
      </c>
      <c r="B485" s="9">
        <v>4579321</v>
      </c>
      <c r="C485" s="9">
        <v>5509416</v>
      </c>
      <c r="D485" s="9">
        <v>6475522</v>
      </c>
      <c r="E485" s="9">
        <v>7390391</v>
      </c>
      <c r="F485" s="9">
        <v>8277612</v>
      </c>
      <c r="G485" s="9">
        <v>9211876</v>
      </c>
      <c r="H485" s="9">
        <v>10048681</v>
      </c>
      <c r="I485" s="6">
        <v>13.994700526000001</v>
      </c>
    </row>
    <row r="486" spans="1:9" ht="75" x14ac:dyDescent="0.25">
      <c r="A486" s="1" t="s">
        <v>146</v>
      </c>
      <c r="B486" s="9">
        <v>0</v>
      </c>
      <c r="C486" s="9">
        <v>0</v>
      </c>
      <c r="D486" s="9">
        <v>0</v>
      </c>
      <c r="E486" s="9">
        <v>0</v>
      </c>
      <c r="F486" s="9">
        <v>0</v>
      </c>
      <c r="G486" s="9">
        <v>0</v>
      </c>
      <c r="H486" s="9">
        <v>0</v>
      </c>
      <c r="I486" s="7" t="s">
        <v>58</v>
      </c>
    </row>
    <row r="487" spans="1:9" ht="75" x14ac:dyDescent="0.25">
      <c r="A487" s="1" t="s">
        <v>145</v>
      </c>
      <c r="B487" s="9">
        <v>1871120</v>
      </c>
      <c r="C487" s="9">
        <v>2048735</v>
      </c>
      <c r="D487" s="9">
        <v>2216197</v>
      </c>
      <c r="E487" s="9">
        <v>2385018</v>
      </c>
      <c r="F487" s="9">
        <v>2545814</v>
      </c>
      <c r="G487" s="9">
        <v>2703821</v>
      </c>
      <c r="H487" s="9">
        <v>2819241</v>
      </c>
      <c r="I487" s="6">
        <v>7.0709757089999998</v>
      </c>
    </row>
    <row r="488" spans="1:9" ht="75" x14ac:dyDescent="0.25">
      <c r="A488" s="1" t="s">
        <v>144</v>
      </c>
      <c r="B488" s="9">
        <v>3300</v>
      </c>
      <c r="C488" s="9">
        <v>3468</v>
      </c>
      <c r="D488" s="9">
        <v>3635</v>
      </c>
      <c r="E488" s="9">
        <v>3791</v>
      </c>
      <c r="F488" s="9">
        <v>3939</v>
      </c>
      <c r="G488" s="9">
        <v>4084</v>
      </c>
      <c r="H488" s="9">
        <v>4248</v>
      </c>
      <c r="I488" s="6">
        <v>4.2985877759999997</v>
      </c>
    </row>
    <row r="489" spans="1:9" x14ac:dyDescent="0.25">
      <c r="A489" s="1" t="s">
        <v>12</v>
      </c>
      <c r="B489" s="2"/>
      <c r="C489" s="2"/>
      <c r="D489" s="2"/>
      <c r="E489" s="2"/>
      <c r="F489" s="2"/>
      <c r="G489" s="2"/>
      <c r="H489" s="2"/>
      <c r="I489" s="2"/>
    </row>
    <row r="490" spans="1:9" x14ac:dyDescent="0.25">
      <c r="A490" s="8" t="s">
        <v>54</v>
      </c>
      <c r="B490" s="2"/>
      <c r="C490" s="2"/>
      <c r="D490" s="2"/>
      <c r="E490" s="2"/>
      <c r="F490" s="2"/>
      <c r="G490" s="2"/>
      <c r="H490" s="2"/>
      <c r="I490" s="2"/>
    </row>
    <row r="491" spans="1:9" ht="30" x14ac:dyDescent="0.25">
      <c r="A491" s="1" t="s">
        <v>153</v>
      </c>
      <c r="B491" s="9">
        <v>2710000</v>
      </c>
      <c r="C491" s="9">
        <v>2709333</v>
      </c>
      <c r="D491" s="9">
        <v>2706848</v>
      </c>
      <c r="E491" s="9">
        <v>2704364</v>
      </c>
      <c r="F491" s="9">
        <v>2701879</v>
      </c>
      <c r="G491" s="9">
        <v>2699394</v>
      </c>
      <c r="H491" s="9">
        <v>2696909</v>
      </c>
      <c r="I491" s="6">
        <v>-8.067298346E-2</v>
      </c>
    </row>
    <row r="492" spans="1:9" ht="45" x14ac:dyDescent="0.25">
      <c r="A492" s="1" t="s">
        <v>152</v>
      </c>
      <c r="B492" s="9">
        <v>923998</v>
      </c>
      <c r="C492" s="9">
        <v>926354</v>
      </c>
      <c r="D492" s="9">
        <v>928531</v>
      </c>
      <c r="E492" s="9">
        <v>930713</v>
      </c>
      <c r="F492" s="9">
        <v>932901</v>
      </c>
      <c r="G492" s="9">
        <v>935093</v>
      </c>
      <c r="H492" s="9">
        <v>937290</v>
      </c>
      <c r="I492" s="6">
        <v>0.238330651</v>
      </c>
    </row>
    <row r="493" spans="1:9" ht="30" x14ac:dyDescent="0.25">
      <c r="A493" s="1" t="s">
        <v>151</v>
      </c>
      <c r="B493" s="9">
        <v>855487</v>
      </c>
      <c r="C493" s="9">
        <v>861957</v>
      </c>
      <c r="D493" s="9">
        <v>868302</v>
      </c>
      <c r="E493" s="9">
        <v>874695</v>
      </c>
      <c r="F493" s="9">
        <v>881134</v>
      </c>
      <c r="G493" s="9">
        <v>887621</v>
      </c>
      <c r="H493" s="9">
        <v>893915</v>
      </c>
      <c r="I493" s="6">
        <v>0.73501800900000003</v>
      </c>
    </row>
    <row r="494" spans="1:9" ht="60" x14ac:dyDescent="0.25">
      <c r="A494" s="1" t="s">
        <v>150</v>
      </c>
      <c r="B494" s="9">
        <v>411191</v>
      </c>
      <c r="C494" s="9">
        <v>426670</v>
      </c>
      <c r="D494" s="9">
        <v>442093</v>
      </c>
      <c r="E494" s="9">
        <v>457160</v>
      </c>
      <c r="F494" s="9">
        <v>472588</v>
      </c>
      <c r="G494" s="9">
        <v>487155</v>
      </c>
      <c r="H494" s="9">
        <v>526609</v>
      </c>
      <c r="I494" s="6">
        <v>4.2095321480000001</v>
      </c>
    </row>
    <row r="495" spans="1:9" ht="60" x14ac:dyDescent="0.25">
      <c r="A495" s="1" t="s">
        <v>149</v>
      </c>
      <c r="B495" s="9">
        <v>146041</v>
      </c>
      <c r="C495" s="9">
        <v>147305</v>
      </c>
      <c r="D495" s="9">
        <v>148236</v>
      </c>
      <c r="E495" s="9">
        <v>148989</v>
      </c>
      <c r="F495" s="9">
        <v>149691</v>
      </c>
      <c r="G495" s="9">
        <v>149797</v>
      </c>
      <c r="H495" s="9">
        <v>160452</v>
      </c>
      <c r="I495" s="6">
        <v>1.580821987</v>
      </c>
    </row>
    <row r="496" spans="1:9" ht="60" x14ac:dyDescent="0.25">
      <c r="A496" s="1" t="s">
        <v>148</v>
      </c>
      <c r="B496" s="9">
        <v>116875</v>
      </c>
      <c r="C496" s="9">
        <v>122267</v>
      </c>
      <c r="D496" s="9">
        <v>127852</v>
      </c>
      <c r="E496" s="9">
        <v>133633</v>
      </c>
      <c r="F496" s="9">
        <v>139616</v>
      </c>
      <c r="G496" s="9">
        <v>145776</v>
      </c>
      <c r="H496" s="9">
        <v>150272</v>
      </c>
      <c r="I496" s="6">
        <v>4.2780113860000002</v>
      </c>
    </row>
    <row r="497" spans="1:9" ht="60" x14ac:dyDescent="0.25">
      <c r="A497" s="1" t="s">
        <v>147</v>
      </c>
      <c r="B497" s="9">
        <v>146080</v>
      </c>
      <c r="C497" s="9">
        <v>155059</v>
      </c>
      <c r="D497" s="9">
        <v>164096</v>
      </c>
      <c r="E497" s="9">
        <v>172739</v>
      </c>
      <c r="F497" s="9">
        <v>181576</v>
      </c>
      <c r="G497" s="9">
        <v>190413</v>
      </c>
      <c r="H497" s="9">
        <v>214852</v>
      </c>
      <c r="I497" s="6">
        <v>6.6411386170000002</v>
      </c>
    </row>
    <row r="498" spans="1:9" ht="75" x14ac:dyDescent="0.25">
      <c r="A498" s="1" t="s">
        <v>146</v>
      </c>
      <c r="B498" s="9">
        <v>0</v>
      </c>
      <c r="C498" s="9">
        <v>0</v>
      </c>
      <c r="D498" s="9">
        <v>0</v>
      </c>
      <c r="E498" s="9">
        <v>0</v>
      </c>
      <c r="F498" s="9">
        <v>0</v>
      </c>
      <c r="G498" s="9">
        <v>0</v>
      </c>
      <c r="H498" s="9">
        <v>0</v>
      </c>
      <c r="I498" s="7" t="s">
        <v>58</v>
      </c>
    </row>
    <row r="499" spans="1:9" ht="75" x14ac:dyDescent="0.25">
      <c r="A499" s="1" t="s">
        <v>145</v>
      </c>
      <c r="B499" s="9">
        <v>2195</v>
      </c>
      <c r="C499" s="9">
        <v>2039</v>
      </c>
      <c r="D499" s="9">
        <v>1909</v>
      </c>
      <c r="E499" s="9">
        <v>1799</v>
      </c>
      <c r="F499" s="9">
        <v>1706</v>
      </c>
      <c r="G499" s="9">
        <v>1169</v>
      </c>
      <c r="H499" s="9">
        <v>1033</v>
      </c>
      <c r="I499" s="6">
        <v>-11.804931985</v>
      </c>
    </row>
    <row r="500" spans="1:9" ht="75" x14ac:dyDescent="0.25">
      <c r="A500" s="1" t="s">
        <v>144</v>
      </c>
      <c r="B500" s="9">
        <v>0</v>
      </c>
      <c r="C500" s="9">
        <v>0</v>
      </c>
      <c r="D500" s="9">
        <v>0</v>
      </c>
      <c r="E500" s="9">
        <v>0</v>
      </c>
      <c r="F500" s="9">
        <v>0</v>
      </c>
      <c r="G500" s="9">
        <v>0</v>
      </c>
      <c r="H500" s="9">
        <v>0</v>
      </c>
      <c r="I500" s="7" t="s">
        <v>58</v>
      </c>
    </row>
    <row r="501" spans="1:9" x14ac:dyDescent="0.25">
      <c r="A501" s="1" t="s">
        <v>12</v>
      </c>
      <c r="B501" s="2"/>
      <c r="C501" s="2"/>
      <c r="D501" s="2"/>
      <c r="E501" s="2"/>
      <c r="F501" s="2"/>
      <c r="G501" s="2"/>
      <c r="H501" s="2"/>
      <c r="I501" s="2"/>
    </row>
    <row r="502" spans="1:9" x14ac:dyDescent="0.25">
      <c r="A502" s="8" t="s">
        <v>55</v>
      </c>
      <c r="B502" s="2"/>
      <c r="C502" s="2"/>
      <c r="D502" s="2"/>
      <c r="E502" s="2"/>
      <c r="F502" s="2"/>
      <c r="G502" s="2"/>
      <c r="H502" s="2"/>
      <c r="I502" s="2"/>
    </row>
    <row r="503" spans="1:9" ht="30" x14ac:dyDescent="0.25">
      <c r="A503" s="1" t="s">
        <v>153</v>
      </c>
      <c r="B503" s="9">
        <v>123750000</v>
      </c>
      <c r="C503" s="9">
        <v>124000000</v>
      </c>
      <c r="D503" s="9">
        <v>123400000</v>
      </c>
      <c r="E503" s="9">
        <v>122800000</v>
      </c>
      <c r="F503" s="9">
        <v>122100000</v>
      </c>
      <c r="G503" s="9">
        <v>121400000</v>
      </c>
      <c r="H503" s="9">
        <v>120800000</v>
      </c>
      <c r="I503" s="6">
        <v>-0.40131118491000001</v>
      </c>
    </row>
    <row r="504" spans="1:9" ht="45" x14ac:dyDescent="0.25">
      <c r="A504" s="1" t="s">
        <v>152</v>
      </c>
      <c r="B504" s="9">
        <v>60778602</v>
      </c>
      <c r="C504" s="9">
        <v>61155429</v>
      </c>
      <c r="D504" s="9">
        <v>61510131</v>
      </c>
      <c r="E504" s="9">
        <v>61829983</v>
      </c>
      <c r="F504" s="9">
        <v>62126767</v>
      </c>
      <c r="G504" s="9">
        <v>62400125</v>
      </c>
      <c r="H504" s="9">
        <v>62749566</v>
      </c>
      <c r="I504" s="6">
        <v>0.53331501199999998</v>
      </c>
    </row>
    <row r="505" spans="1:9" ht="30" x14ac:dyDescent="0.25">
      <c r="A505" s="1" t="s">
        <v>151</v>
      </c>
      <c r="B505" s="9">
        <v>60548003</v>
      </c>
      <c r="C505" s="9">
        <v>60926446</v>
      </c>
      <c r="D505" s="9">
        <v>61282884</v>
      </c>
      <c r="E505" s="9">
        <v>61603403</v>
      </c>
      <c r="F505" s="9">
        <v>61900956</v>
      </c>
      <c r="G505" s="9">
        <v>62175807</v>
      </c>
      <c r="H505" s="9">
        <v>62525867</v>
      </c>
      <c r="I505" s="6">
        <v>0.53716851499999996</v>
      </c>
    </row>
    <row r="506" spans="1:9" ht="60" x14ac:dyDescent="0.25">
      <c r="A506" s="1" t="s">
        <v>150</v>
      </c>
      <c r="B506" s="9">
        <v>51620200</v>
      </c>
      <c r="C506" s="9">
        <v>52874464</v>
      </c>
      <c r="D506" s="9">
        <v>53909050</v>
      </c>
      <c r="E506" s="9">
        <v>55131987</v>
      </c>
      <c r="F506" s="9">
        <v>56542892</v>
      </c>
      <c r="G506" s="9">
        <v>57993192</v>
      </c>
      <c r="H506" s="9">
        <v>59284250</v>
      </c>
      <c r="I506" s="6">
        <v>2.3339979180000001</v>
      </c>
    </row>
    <row r="507" spans="1:9" ht="60" x14ac:dyDescent="0.25">
      <c r="A507" s="1" t="s">
        <v>149</v>
      </c>
      <c r="B507" s="9">
        <v>6050000</v>
      </c>
      <c r="C507" s="9">
        <v>5989500</v>
      </c>
      <c r="D507" s="9">
        <v>5899658</v>
      </c>
      <c r="E507" s="9">
        <v>5763965</v>
      </c>
      <c r="F507" s="9">
        <v>5740910</v>
      </c>
      <c r="G507" s="9">
        <v>5677760</v>
      </c>
      <c r="H507" s="9">
        <v>5601678</v>
      </c>
      <c r="I507" s="6">
        <v>-1.275003347</v>
      </c>
    </row>
    <row r="508" spans="1:9" ht="60" x14ac:dyDescent="0.25">
      <c r="A508" s="1" t="s">
        <v>148</v>
      </c>
      <c r="B508" s="9">
        <v>38000</v>
      </c>
      <c r="C508" s="9">
        <v>33212</v>
      </c>
      <c r="D508" s="9">
        <v>28861</v>
      </c>
      <c r="E508" s="9">
        <v>24907</v>
      </c>
      <c r="F508" s="9">
        <v>21719</v>
      </c>
      <c r="G508" s="9">
        <v>18526</v>
      </c>
      <c r="H508" s="9">
        <v>15988</v>
      </c>
      <c r="I508" s="6">
        <v>-13.43644366</v>
      </c>
    </row>
    <row r="509" spans="1:9" ht="60" x14ac:dyDescent="0.25">
      <c r="A509" s="1" t="s">
        <v>147</v>
      </c>
      <c r="B509" s="9">
        <v>40900000</v>
      </c>
      <c r="C509" s="9">
        <v>42127000</v>
      </c>
      <c r="D509" s="9">
        <v>43180175</v>
      </c>
      <c r="E509" s="9">
        <v>44475580</v>
      </c>
      <c r="F509" s="9">
        <v>45854323</v>
      </c>
      <c r="G509" s="9">
        <v>47321662</v>
      </c>
      <c r="H509" s="9">
        <v>48646668</v>
      </c>
      <c r="I509" s="6">
        <v>2.9330793119999998</v>
      </c>
    </row>
    <row r="510" spans="1:9" ht="75" x14ac:dyDescent="0.25">
      <c r="A510" s="1" t="s">
        <v>146</v>
      </c>
      <c r="B510" s="9">
        <v>2200</v>
      </c>
      <c r="C510" s="9">
        <v>2152</v>
      </c>
      <c r="D510" s="9">
        <v>2195</v>
      </c>
      <c r="E510" s="9">
        <v>2198</v>
      </c>
      <c r="F510" s="9">
        <v>2220</v>
      </c>
      <c r="G510" s="9">
        <v>2287</v>
      </c>
      <c r="H510" s="9">
        <v>2202</v>
      </c>
      <c r="I510" s="6">
        <v>1.5145779E-2</v>
      </c>
    </row>
    <row r="511" spans="1:9" ht="75" x14ac:dyDescent="0.25">
      <c r="A511" s="1" t="s">
        <v>145</v>
      </c>
      <c r="B511" s="9">
        <v>4630000</v>
      </c>
      <c r="C511" s="9">
        <v>4722600</v>
      </c>
      <c r="D511" s="9">
        <v>4798162</v>
      </c>
      <c r="E511" s="9">
        <v>4865336</v>
      </c>
      <c r="F511" s="9">
        <v>4923720</v>
      </c>
      <c r="G511" s="9">
        <v>4972957</v>
      </c>
      <c r="H511" s="9">
        <v>5017714</v>
      </c>
      <c r="I511" s="6">
        <v>1.3493152470000001</v>
      </c>
    </row>
    <row r="512" spans="1:9" ht="75" x14ac:dyDescent="0.25">
      <c r="A512" s="1" t="s">
        <v>144</v>
      </c>
      <c r="B512" s="9">
        <v>0</v>
      </c>
      <c r="C512" s="9">
        <v>0</v>
      </c>
      <c r="D512" s="9">
        <v>0</v>
      </c>
      <c r="E512" s="9">
        <v>0</v>
      </c>
      <c r="F512" s="9">
        <v>0</v>
      </c>
      <c r="G512" s="9">
        <v>0</v>
      </c>
      <c r="H512" s="9">
        <v>0</v>
      </c>
      <c r="I512" s="7" t="s">
        <v>58</v>
      </c>
    </row>
    <row r="513" spans="1:9" x14ac:dyDescent="0.25">
      <c r="A513" s="1" t="s">
        <v>12</v>
      </c>
      <c r="B513" s="2"/>
      <c r="C513" s="2"/>
      <c r="D513" s="2"/>
      <c r="E513" s="2"/>
      <c r="F513" s="2"/>
      <c r="G513" s="2"/>
      <c r="H513" s="2"/>
      <c r="I513" s="2"/>
    </row>
    <row r="514" spans="1:9" x14ac:dyDescent="0.25">
      <c r="A514" s="8" t="s">
        <v>56</v>
      </c>
      <c r="B514" s="2"/>
      <c r="C514" s="2"/>
      <c r="D514" s="2"/>
      <c r="E514" s="2"/>
      <c r="F514" s="2"/>
      <c r="G514" s="2"/>
      <c r="H514" s="2"/>
      <c r="I514" s="2"/>
    </row>
    <row r="515" spans="1:9" ht="30" x14ac:dyDescent="0.25">
      <c r="A515" s="1" t="s">
        <v>153</v>
      </c>
      <c r="B515" s="9">
        <v>11770000</v>
      </c>
      <c r="C515" s="9">
        <v>12010000</v>
      </c>
      <c r="D515" s="9">
        <v>12250000</v>
      </c>
      <c r="E515" s="9">
        <v>12340000</v>
      </c>
      <c r="F515" s="9">
        <v>12450000</v>
      </c>
      <c r="G515" s="9">
        <v>12560000</v>
      </c>
      <c r="H515" s="9">
        <v>12690000</v>
      </c>
      <c r="I515" s="6">
        <v>1.2622391724799999</v>
      </c>
    </row>
    <row r="516" spans="1:9" ht="45" x14ac:dyDescent="0.25">
      <c r="A516" s="1" t="s">
        <v>152</v>
      </c>
      <c r="B516" s="9">
        <v>1438975</v>
      </c>
      <c r="C516" s="9">
        <v>1456243</v>
      </c>
      <c r="D516" s="9">
        <v>1473717</v>
      </c>
      <c r="E516" s="9">
        <v>1491402</v>
      </c>
      <c r="F516" s="9">
        <v>1509299</v>
      </c>
      <c r="G516" s="9">
        <v>1527410</v>
      </c>
      <c r="H516" s="9">
        <v>1545739</v>
      </c>
      <c r="I516" s="6">
        <v>1.1999938160000001</v>
      </c>
    </row>
    <row r="517" spans="1:9" ht="30" x14ac:dyDescent="0.25">
      <c r="A517" s="1" t="s">
        <v>151</v>
      </c>
      <c r="B517" s="9">
        <v>1394690</v>
      </c>
      <c r="C517" s="9">
        <v>1412132</v>
      </c>
      <c r="D517" s="9">
        <v>1429792</v>
      </c>
      <c r="E517" s="9">
        <v>1447673</v>
      </c>
      <c r="F517" s="9">
        <v>1465777</v>
      </c>
      <c r="G517" s="9">
        <v>1484108</v>
      </c>
      <c r="H517" s="9">
        <v>1502669</v>
      </c>
      <c r="I517" s="6">
        <v>1.2506002789999999</v>
      </c>
    </row>
    <row r="518" spans="1:9" ht="60" x14ac:dyDescent="0.25">
      <c r="A518" s="1" t="s">
        <v>150</v>
      </c>
      <c r="B518" s="9">
        <v>816302</v>
      </c>
      <c r="C518" s="9">
        <v>856403</v>
      </c>
      <c r="D518" s="9">
        <v>913699</v>
      </c>
      <c r="E518" s="9">
        <v>964026</v>
      </c>
      <c r="F518" s="9">
        <v>998167</v>
      </c>
      <c r="G518" s="9">
        <v>1037516</v>
      </c>
      <c r="H518" s="9">
        <v>1085710</v>
      </c>
      <c r="I518" s="6">
        <v>4.8682038399999996</v>
      </c>
    </row>
    <row r="519" spans="1:9" ht="60" x14ac:dyDescent="0.25">
      <c r="A519" s="1" t="s">
        <v>149</v>
      </c>
      <c r="B519" s="9">
        <v>0</v>
      </c>
      <c r="C519" s="9">
        <v>0</v>
      </c>
      <c r="D519" s="9">
        <v>0</v>
      </c>
      <c r="E519" s="9">
        <v>0</v>
      </c>
      <c r="F519" s="9">
        <v>0</v>
      </c>
      <c r="G519" s="9">
        <v>0</v>
      </c>
      <c r="H519" s="9">
        <v>0</v>
      </c>
      <c r="I519" s="7" t="s">
        <v>58</v>
      </c>
    </row>
    <row r="520" spans="1:9" ht="60" x14ac:dyDescent="0.25">
      <c r="A520" s="1" t="s">
        <v>148</v>
      </c>
      <c r="B520" s="9">
        <v>118574</v>
      </c>
      <c r="C520" s="9">
        <v>115017</v>
      </c>
      <c r="D520" s="9">
        <v>111566</v>
      </c>
      <c r="E520" s="9">
        <v>108219</v>
      </c>
      <c r="F520" s="9">
        <v>97397</v>
      </c>
      <c r="G520" s="9">
        <v>87658</v>
      </c>
      <c r="H520" s="9">
        <v>78892</v>
      </c>
      <c r="I520" s="6">
        <v>-6.5655035829999999</v>
      </c>
    </row>
    <row r="521" spans="1:9" ht="60" x14ac:dyDescent="0.25">
      <c r="A521" s="1" t="s">
        <v>147</v>
      </c>
      <c r="B521" s="9">
        <v>539043</v>
      </c>
      <c r="C521" s="9">
        <v>603728</v>
      </c>
      <c r="D521" s="9">
        <v>676176</v>
      </c>
      <c r="E521" s="9">
        <v>737032</v>
      </c>
      <c r="F521" s="9">
        <v>788624</v>
      </c>
      <c r="G521" s="9">
        <v>843828</v>
      </c>
      <c r="H521" s="9">
        <v>902896</v>
      </c>
      <c r="I521" s="6">
        <v>8.9772187030000001</v>
      </c>
    </row>
    <row r="522" spans="1:9" ht="75" x14ac:dyDescent="0.25">
      <c r="A522" s="1" t="s">
        <v>146</v>
      </c>
      <c r="B522" s="9">
        <v>0</v>
      </c>
      <c r="C522" s="9">
        <v>0</v>
      </c>
      <c r="D522" s="9">
        <v>0</v>
      </c>
      <c r="E522" s="9">
        <v>0</v>
      </c>
      <c r="F522" s="9">
        <v>0</v>
      </c>
      <c r="G522" s="9">
        <v>0</v>
      </c>
      <c r="H522" s="9">
        <v>0</v>
      </c>
      <c r="I522" s="7" t="s">
        <v>58</v>
      </c>
    </row>
    <row r="523" spans="1:9" ht="75" x14ac:dyDescent="0.25">
      <c r="A523" s="1" t="s">
        <v>145</v>
      </c>
      <c r="B523" s="9">
        <v>143267</v>
      </c>
      <c r="C523" s="9">
        <v>121777</v>
      </c>
      <c r="D523" s="9">
        <v>109599</v>
      </c>
      <c r="E523" s="9">
        <v>101927</v>
      </c>
      <c r="F523" s="9">
        <v>94792</v>
      </c>
      <c r="G523" s="9">
        <v>88157</v>
      </c>
      <c r="H523" s="9">
        <v>85512</v>
      </c>
      <c r="I523" s="6">
        <v>-8.2413920839999992</v>
      </c>
    </row>
    <row r="524" spans="1:9" ht="75" x14ac:dyDescent="0.25">
      <c r="A524" s="1" t="s">
        <v>144</v>
      </c>
      <c r="B524" s="9">
        <v>15418</v>
      </c>
      <c r="C524" s="9">
        <v>15881</v>
      </c>
      <c r="D524" s="9">
        <v>16357</v>
      </c>
      <c r="E524" s="9">
        <v>16848</v>
      </c>
      <c r="F524" s="9">
        <v>17353</v>
      </c>
      <c r="G524" s="9">
        <v>17874</v>
      </c>
      <c r="H524" s="9">
        <v>18410</v>
      </c>
      <c r="I524" s="6">
        <v>3.0000948250000001</v>
      </c>
    </row>
    <row r="525" spans="1:9" x14ac:dyDescent="0.25">
      <c r="A525" s="1" t="s">
        <v>12</v>
      </c>
      <c r="B525" s="2"/>
      <c r="C525" s="2"/>
      <c r="D525" s="2"/>
      <c r="E525" s="2"/>
      <c r="F525" s="2"/>
      <c r="G525" s="2"/>
      <c r="H525" s="2"/>
      <c r="I525" s="2"/>
    </row>
    <row r="526" spans="1:9" x14ac:dyDescent="0.25">
      <c r="A526" s="8" t="s">
        <v>57</v>
      </c>
      <c r="B526" s="2"/>
      <c r="C526" s="2"/>
      <c r="D526" s="2"/>
      <c r="E526" s="2"/>
      <c r="F526" s="2"/>
      <c r="G526" s="2"/>
      <c r="H526" s="2"/>
      <c r="I526" s="2"/>
    </row>
    <row r="527" spans="1:9" ht="30" x14ac:dyDescent="0.25">
      <c r="A527" s="1" t="s">
        <v>153</v>
      </c>
      <c r="B527" s="7" t="s">
        <v>58</v>
      </c>
      <c r="C527" s="7" t="s">
        <v>58</v>
      </c>
      <c r="D527" s="7" t="s">
        <v>58</v>
      </c>
      <c r="E527" s="7" t="s">
        <v>58</v>
      </c>
      <c r="F527" s="7" t="s">
        <v>58</v>
      </c>
      <c r="G527" s="7" t="s">
        <v>58</v>
      </c>
      <c r="H527" s="7" t="s">
        <v>58</v>
      </c>
      <c r="I527" s="7" t="s">
        <v>58</v>
      </c>
    </row>
    <row r="528" spans="1:9" ht="45" x14ac:dyDescent="0.25">
      <c r="A528" s="1" t="s">
        <v>152</v>
      </c>
      <c r="B528" s="7" t="s">
        <v>58</v>
      </c>
      <c r="C528" s="7" t="s">
        <v>58</v>
      </c>
      <c r="D528" s="7" t="s">
        <v>58</v>
      </c>
      <c r="E528" s="7" t="s">
        <v>58</v>
      </c>
      <c r="F528" s="7" t="s">
        <v>58</v>
      </c>
      <c r="G528" s="7" t="s">
        <v>58</v>
      </c>
      <c r="H528" s="7" t="s">
        <v>58</v>
      </c>
      <c r="I528" s="7" t="s">
        <v>58</v>
      </c>
    </row>
    <row r="529" spans="1:9" ht="30" x14ac:dyDescent="0.25">
      <c r="A529" s="1" t="s">
        <v>151</v>
      </c>
      <c r="B529" s="7" t="s">
        <v>58</v>
      </c>
      <c r="C529" s="7" t="s">
        <v>58</v>
      </c>
      <c r="D529" s="7" t="s">
        <v>58</v>
      </c>
      <c r="E529" s="7" t="s">
        <v>58</v>
      </c>
      <c r="F529" s="7" t="s">
        <v>58</v>
      </c>
      <c r="G529" s="7" t="s">
        <v>58</v>
      </c>
      <c r="H529" s="7" t="s">
        <v>58</v>
      </c>
      <c r="I529" s="7" t="s">
        <v>58</v>
      </c>
    </row>
    <row r="530" spans="1:9" ht="60" x14ac:dyDescent="0.25">
      <c r="A530" s="1" t="s">
        <v>150</v>
      </c>
      <c r="B530" s="7" t="s">
        <v>58</v>
      </c>
      <c r="C530" s="7" t="s">
        <v>58</v>
      </c>
      <c r="D530" s="7" t="s">
        <v>58</v>
      </c>
      <c r="E530" s="7" t="s">
        <v>58</v>
      </c>
      <c r="F530" s="7" t="s">
        <v>58</v>
      </c>
      <c r="G530" s="7" t="s">
        <v>58</v>
      </c>
      <c r="H530" s="7" t="s">
        <v>58</v>
      </c>
      <c r="I530" s="7" t="s">
        <v>58</v>
      </c>
    </row>
    <row r="531" spans="1:9" ht="60" x14ac:dyDescent="0.25">
      <c r="A531" s="1" t="s">
        <v>149</v>
      </c>
      <c r="B531" s="7" t="s">
        <v>58</v>
      </c>
      <c r="C531" s="7" t="s">
        <v>58</v>
      </c>
      <c r="D531" s="7" t="s">
        <v>58</v>
      </c>
      <c r="E531" s="7" t="s">
        <v>58</v>
      </c>
      <c r="F531" s="7" t="s">
        <v>58</v>
      </c>
      <c r="G531" s="7" t="s">
        <v>58</v>
      </c>
      <c r="H531" s="7" t="s">
        <v>58</v>
      </c>
      <c r="I531" s="7" t="s">
        <v>58</v>
      </c>
    </row>
    <row r="532" spans="1:9" ht="60" x14ac:dyDescent="0.25">
      <c r="A532" s="1" t="s">
        <v>148</v>
      </c>
      <c r="B532" s="7" t="s">
        <v>58</v>
      </c>
      <c r="C532" s="7" t="s">
        <v>58</v>
      </c>
      <c r="D532" s="7" t="s">
        <v>58</v>
      </c>
      <c r="E532" s="7" t="s">
        <v>58</v>
      </c>
      <c r="F532" s="7" t="s">
        <v>58</v>
      </c>
      <c r="G532" s="7" t="s">
        <v>58</v>
      </c>
      <c r="H532" s="7" t="s">
        <v>58</v>
      </c>
      <c r="I532" s="7" t="s">
        <v>58</v>
      </c>
    </row>
    <row r="533" spans="1:9" ht="60" x14ac:dyDescent="0.25">
      <c r="A533" s="1" t="s">
        <v>147</v>
      </c>
      <c r="B533" s="7" t="s">
        <v>58</v>
      </c>
      <c r="C533" s="7" t="s">
        <v>58</v>
      </c>
      <c r="D533" s="7" t="s">
        <v>58</v>
      </c>
      <c r="E533" s="7" t="s">
        <v>58</v>
      </c>
      <c r="F533" s="7" t="s">
        <v>58</v>
      </c>
      <c r="G533" s="7" t="s">
        <v>58</v>
      </c>
      <c r="H533" s="7" t="s">
        <v>58</v>
      </c>
      <c r="I533" s="7" t="s">
        <v>58</v>
      </c>
    </row>
    <row r="534" spans="1:9" ht="75" x14ac:dyDescent="0.25">
      <c r="A534" s="1" t="s">
        <v>146</v>
      </c>
      <c r="B534" s="7" t="s">
        <v>58</v>
      </c>
      <c r="C534" s="7" t="s">
        <v>58</v>
      </c>
      <c r="D534" s="7" t="s">
        <v>58</v>
      </c>
      <c r="E534" s="7" t="s">
        <v>58</v>
      </c>
      <c r="F534" s="7" t="s">
        <v>58</v>
      </c>
      <c r="G534" s="7" t="s">
        <v>58</v>
      </c>
      <c r="H534" s="7" t="s">
        <v>58</v>
      </c>
      <c r="I534" s="7" t="s">
        <v>58</v>
      </c>
    </row>
    <row r="535" spans="1:9" ht="75" x14ac:dyDescent="0.25">
      <c r="A535" s="1" t="s">
        <v>145</v>
      </c>
      <c r="B535" s="7" t="s">
        <v>58</v>
      </c>
      <c r="C535" s="7" t="s">
        <v>58</v>
      </c>
      <c r="D535" s="7" t="s">
        <v>58</v>
      </c>
      <c r="E535" s="7" t="s">
        <v>58</v>
      </c>
      <c r="F535" s="7" t="s">
        <v>58</v>
      </c>
      <c r="G535" s="7" t="s">
        <v>58</v>
      </c>
      <c r="H535" s="7" t="s">
        <v>58</v>
      </c>
      <c r="I535" s="7" t="s">
        <v>58</v>
      </c>
    </row>
    <row r="536" spans="1:9" ht="75" x14ac:dyDescent="0.25">
      <c r="A536" s="1" t="s">
        <v>144</v>
      </c>
      <c r="B536" s="7" t="s">
        <v>58</v>
      </c>
      <c r="C536" s="7" t="s">
        <v>58</v>
      </c>
      <c r="D536" s="7" t="s">
        <v>58</v>
      </c>
      <c r="E536" s="7" t="s">
        <v>58</v>
      </c>
      <c r="F536" s="7" t="s">
        <v>58</v>
      </c>
      <c r="G536" s="7" t="s">
        <v>58</v>
      </c>
      <c r="H536" s="7" t="s">
        <v>58</v>
      </c>
      <c r="I536" s="7" t="s">
        <v>58</v>
      </c>
    </row>
    <row r="537" spans="1:9" x14ac:dyDescent="0.25">
      <c r="A537" s="1" t="s">
        <v>12</v>
      </c>
      <c r="B537" s="2"/>
      <c r="C537" s="2"/>
      <c r="D537" s="2"/>
      <c r="E537" s="2"/>
      <c r="F537" s="2"/>
      <c r="G537" s="2"/>
      <c r="H537" s="2"/>
      <c r="I537" s="2"/>
    </row>
    <row r="538" spans="1:9" x14ac:dyDescent="0.25">
      <c r="A538" s="8" t="s">
        <v>59</v>
      </c>
      <c r="B538" s="2"/>
      <c r="C538" s="2"/>
      <c r="D538" s="2"/>
      <c r="E538" s="2"/>
      <c r="F538" s="2"/>
      <c r="G538" s="2"/>
      <c r="H538" s="2"/>
      <c r="I538" s="2"/>
    </row>
    <row r="539" spans="1:9" ht="30" x14ac:dyDescent="0.25">
      <c r="A539" s="1" t="s">
        <v>153</v>
      </c>
      <c r="B539" s="9">
        <v>4640000</v>
      </c>
      <c r="C539" s="9">
        <v>4710000</v>
      </c>
      <c r="D539" s="9">
        <v>4780000</v>
      </c>
      <c r="E539" s="9">
        <v>4830000</v>
      </c>
      <c r="F539" s="9">
        <v>4880000</v>
      </c>
      <c r="G539" s="9">
        <v>4920000</v>
      </c>
      <c r="H539" s="9">
        <v>4970000</v>
      </c>
      <c r="I539" s="6">
        <v>1.1516724973200001</v>
      </c>
    </row>
    <row r="540" spans="1:9" ht="45" x14ac:dyDescent="0.25">
      <c r="A540" s="1" t="s">
        <v>152</v>
      </c>
      <c r="B540" s="9">
        <v>1074674</v>
      </c>
      <c r="C540" s="9">
        <v>1110126</v>
      </c>
      <c r="D540" s="9">
        <v>1144917</v>
      </c>
      <c r="E540" s="9">
        <v>1179003</v>
      </c>
      <c r="F540" s="9">
        <v>1212350</v>
      </c>
      <c r="G540" s="9">
        <v>1244925</v>
      </c>
      <c r="H540" s="9">
        <v>1276703</v>
      </c>
      <c r="I540" s="6">
        <v>2.9126724479999999</v>
      </c>
    </row>
    <row r="541" spans="1:9" ht="30" x14ac:dyDescent="0.25">
      <c r="A541" s="1" t="s">
        <v>151</v>
      </c>
      <c r="B541" s="9">
        <v>1067186</v>
      </c>
      <c r="C541" s="9">
        <v>1102942</v>
      </c>
      <c r="D541" s="9">
        <v>1138076</v>
      </c>
      <c r="E541" s="9">
        <v>1172545</v>
      </c>
      <c r="F541" s="9">
        <v>1206312</v>
      </c>
      <c r="G541" s="9">
        <v>1239344</v>
      </c>
      <c r="H541" s="9">
        <v>1271615</v>
      </c>
      <c r="I541" s="6">
        <v>2.9641219950000002</v>
      </c>
    </row>
    <row r="542" spans="1:9" ht="60" x14ac:dyDescent="0.25">
      <c r="A542" s="1" t="s">
        <v>150</v>
      </c>
      <c r="B542" s="9">
        <v>423950</v>
      </c>
      <c r="C542" s="9">
        <v>463029</v>
      </c>
      <c r="D542" s="9">
        <v>507062</v>
      </c>
      <c r="E542" s="9">
        <v>556915</v>
      </c>
      <c r="F542" s="9">
        <v>614945</v>
      </c>
      <c r="G542" s="9">
        <v>650129</v>
      </c>
      <c r="H542" s="9">
        <v>670285</v>
      </c>
      <c r="I542" s="6">
        <v>7.9338023370000004</v>
      </c>
    </row>
    <row r="543" spans="1:9" ht="60" x14ac:dyDescent="0.25">
      <c r="A543" s="1" t="s">
        <v>149</v>
      </c>
      <c r="B543" s="9">
        <v>0</v>
      </c>
      <c r="C543" s="9">
        <v>0</v>
      </c>
      <c r="D543" s="9">
        <v>0</v>
      </c>
      <c r="E543" s="9">
        <v>0</v>
      </c>
      <c r="F543" s="9">
        <v>0</v>
      </c>
      <c r="G543" s="9">
        <v>0</v>
      </c>
      <c r="H543" s="9">
        <v>0</v>
      </c>
      <c r="I543" s="7" t="s">
        <v>58</v>
      </c>
    </row>
    <row r="544" spans="1:9" ht="60" x14ac:dyDescent="0.25">
      <c r="A544" s="1" t="s">
        <v>148</v>
      </c>
      <c r="B544" s="9">
        <v>76848</v>
      </c>
      <c r="C544" s="9">
        <v>79844</v>
      </c>
      <c r="D544" s="9">
        <v>83891</v>
      </c>
      <c r="E544" s="9">
        <v>89418</v>
      </c>
      <c r="F544" s="9">
        <v>93210</v>
      </c>
      <c r="G544" s="9">
        <v>96938</v>
      </c>
      <c r="H544" s="9">
        <v>100816</v>
      </c>
      <c r="I544" s="6">
        <v>4.6283754549999996</v>
      </c>
    </row>
    <row r="545" spans="1:9" ht="60" x14ac:dyDescent="0.25">
      <c r="A545" s="1" t="s">
        <v>147</v>
      </c>
      <c r="B545" s="9">
        <v>179495</v>
      </c>
      <c r="C545" s="9">
        <v>195290</v>
      </c>
      <c r="D545" s="9">
        <v>212476</v>
      </c>
      <c r="E545" s="9">
        <v>231173</v>
      </c>
      <c r="F545" s="9">
        <v>256603</v>
      </c>
      <c r="G545" s="9">
        <v>284829</v>
      </c>
      <c r="H545" s="9">
        <v>297789</v>
      </c>
      <c r="I545" s="6">
        <v>8.8034624160000003</v>
      </c>
    </row>
    <row r="546" spans="1:9" ht="75" x14ac:dyDescent="0.25">
      <c r="A546" s="1" t="s">
        <v>146</v>
      </c>
      <c r="B546" s="9">
        <v>4026</v>
      </c>
      <c r="C546" s="9">
        <v>4030</v>
      </c>
      <c r="D546" s="9">
        <v>4031</v>
      </c>
      <c r="E546" s="9">
        <v>4033</v>
      </c>
      <c r="F546" s="9">
        <v>4038</v>
      </c>
      <c r="G546" s="9">
        <v>4030</v>
      </c>
      <c r="H546" s="9">
        <v>4070</v>
      </c>
      <c r="I546" s="6">
        <v>0.1813254</v>
      </c>
    </row>
    <row r="547" spans="1:9" ht="75" x14ac:dyDescent="0.25">
      <c r="A547" s="1" t="s">
        <v>145</v>
      </c>
      <c r="B547" s="9">
        <v>163581</v>
      </c>
      <c r="C547" s="9">
        <v>183865</v>
      </c>
      <c r="D547" s="9">
        <v>206664</v>
      </c>
      <c r="E547" s="9">
        <v>232291</v>
      </c>
      <c r="F547" s="9">
        <v>261095</v>
      </c>
      <c r="G547" s="9">
        <v>264332</v>
      </c>
      <c r="H547" s="9">
        <v>267610</v>
      </c>
      <c r="I547" s="6">
        <v>8.5496047750000006</v>
      </c>
    </row>
    <row r="548" spans="1:9" ht="75" x14ac:dyDescent="0.25">
      <c r="A548" s="1" t="s">
        <v>144</v>
      </c>
      <c r="B548" s="9">
        <v>0</v>
      </c>
      <c r="C548" s="9">
        <v>0</v>
      </c>
      <c r="D548" s="9">
        <v>0</v>
      </c>
      <c r="E548" s="9">
        <v>0</v>
      </c>
      <c r="F548" s="9">
        <v>0</v>
      </c>
      <c r="G548" s="9">
        <v>0</v>
      </c>
      <c r="H548" s="9">
        <v>0</v>
      </c>
      <c r="I548" s="7" t="s">
        <v>58</v>
      </c>
    </row>
    <row r="549" spans="1:9" x14ac:dyDescent="0.25">
      <c r="A549" s="1" t="s">
        <v>12</v>
      </c>
      <c r="B549" s="2"/>
      <c r="C549" s="2"/>
      <c r="D549" s="2"/>
      <c r="E549" s="2"/>
      <c r="F549" s="2"/>
      <c r="G549" s="2"/>
      <c r="H549" s="2"/>
      <c r="I549" s="2"/>
    </row>
    <row r="550" spans="1:9" x14ac:dyDescent="0.25">
      <c r="A550" s="8" t="s">
        <v>60</v>
      </c>
      <c r="B550" s="2"/>
      <c r="C550" s="2"/>
      <c r="D550" s="2"/>
      <c r="E550" s="2"/>
      <c r="F550" s="2"/>
      <c r="G550" s="2"/>
      <c r="H550" s="2"/>
      <c r="I550" s="2"/>
    </row>
    <row r="551" spans="1:9" ht="30" x14ac:dyDescent="0.25">
      <c r="A551" s="1" t="s">
        <v>153</v>
      </c>
      <c r="B551" s="9">
        <v>7705419</v>
      </c>
      <c r="C551" s="9">
        <v>7810163</v>
      </c>
      <c r="D551" s="9">
        <v>7914207</v>
      </c>
      <c r="E551" s="9">
        <v>8017529</v>
      </c>
      <c r="F551" s="9">
        <v>8120106</v>
      </c>
      <c r="G551" s="9">
        <v>8221918</v>
      </c>
      <c r="H551" s="9">
        <v>8322945</v>
      </c>
      <c r="I551" s="6">
        <v>1.2931617950500001</v>
      </c>
    </row>
    <row r="552" spans="1:9" ht="45" x14ac:dyDescent="0.25">
      <c r="A552" s="1" t="s">
        <v>152</v>
      </c>
      <c r="B552" s="9">
        <v>1432181</v>
      </c>
      <c r="C552" s="9">
        <v>1451649</v>
      </c>
      <c r="D552" s="9">
        <v>1470988</v>
      </c>
      <c r="E552" s="9">
        <v>1490192</v>
      </c>
      <c r="F552" s="9">
        <v>1509257</v>
      </c>
      <c r="G552" s="9">
        <v>1528181</v>
      </c>
      <c r="H552" s="9">
        <v>1546958</v>
      </c>
      <c r="I552" s="6">
        <v>1.293155949</v>
      </c>
    </row>
    <row r="553" spans="1:9" ht="30" x14ac:dyDescent="0.25">
      <c r="A553" s="1" t="s">
        <v>151</v>
      </c>
      <c r="B553" s="9">
        <v>1188270</v>
      </c>
      <c r="C553" s="9">
        <v>1210445</v>
      </c>
      <c r="D553" s="9">
        <v>1232703</v>
      </c>
      <c r="E553" s="9">
        <v>1255040</v>
      </c>
      <c r="F553" s="9">
        <v>1277452</v>
      </c>
      <c r="G553" s="9">
        <v>1299937</v>
      </c>
      <c r="H553" s="9">
        <v>1322489</v>
      </c>
      <c r="I553" s="6">
        <v>1.7996197869999999</v>
      </c>
    </row>
    <row r="554" spans="1:9" ht="60" x14ac:dyDescent="0.25">
      <c r="A554" s="1" t="s">
        <v>150</v>
      </c>
      <c r="B554" s="9">
        <v>233023</v>
      </c>
      <c r="C554" s="9">
        <v>251665</v>
      </c>
      <c r="D554" s="9">
        <v>271294</v>
      </c>
      <c r="E554" s="9">
        <v>291642</v>
      </c>
      <c r="F554" s="9">
        <v>317598</v>
      </c>
      <c r="G554" s="9">
        <v>342370</v>
      </c>
      <c r="H554" s="9">
        <v>370102</v>
      </c>
      <c r="I554" s="6">
        <v>8.0157553860000004</v>
      </c>
    </row>
    <row r="555" spans="1:9" ht="60" x14ac:dyDescent="0.25">
      <c r="A555" s="1" t="s">
        <v>149</v>
      </c>
      <c r="B555" s="9">
        <v>272</v>
      </c>
      <c r="C555" s="9">
        <v>245</v>
      </c>
      <c r="D555" s="9">
        <v>221</v>
      </c>
      <c r="E555" s="9">
        <v>199</v>
      </c>
      <c r="F555" s="9">
        <v>179</v>
      </c>
      <c r="G555" s="9">
        <v>161</v>
      </c>
      <c r="H555" s="9">
        <v>145</v>
      </c>
      <c r="I555" s="6">
        <v>-9.9535664750000006</v>
      </c>
    </row>
    <row r="556" spans="1:9" ht="60" x14ac:dyDescent="0.25">
      <c r="A556" s="1" t="s">
        <v>148</v>
      </c>
      <c r="B556" s="9">
        <v>861</v>
      </c>
      <c r="C556" s="9">
        <v>689</v>
      </c>
      <c r="D556" s="9">
        <v>551</v>
      </c>
      <c r="E556" s="9">
        <v>441</v>
      </c>
      <c r="F556" s="9">
        <v>353</v>
      </c>
      <c r="G556" s="9">
        <v>282</v>
      </c>
      <c r="H556" s="9">
        <v>226</v>
      </c>
      <c r="I556" s="6">
        <v>-19.982640747000001</v>
      </c>
    </row>
    <row r="557" spans="1:9" ht="60" x14ac:dyDescent="0.25">
      <c r="A557" s="1" t="s">
        <v>147</v>
      </c>
      <c r="B557" s="9">
        <v>231597</v>
      </c>
      <c r="C557" s="9">
        <v>250435</v>
      </c>
      <c r="D557" s="9">
        <v>270224</v>
      </c>
      <c r="E557" s="9">
        <v>290701</v>
      </c>
      <c r="F557" s="9">
        <v>316762</v>
      </c>
      <c r="G557" s="9">
        <v>341620</v>
      </c>
      <c r="H557" s="9">
        <v>369421</v>
      </c>
      <c r="I557" s="6">
        <v>8.0931339019999999</v>
      </c>
    </row>
    <row r="558" spans="1:9" ht="75" x14ac:dyDescent="0.25">
      <c r="A558" s="1" t="s">
        <v>146</v>
      </c>
      <c r="B558" s="9">
        <v>0</v>
      </c>
      <c r="C558" s="9">
        <v>0</v>
      </c>
      <c r="D558" s="9">
        <v>0</v>
      </c>
      <c r="E558" s="9">
        <v>0</v>
      </c>
      <c r="F558" s="9">
        <v>0</v>
      </c>
      <c r="G558" s="9">
        <v>0</v>
      </c>
      <c r="H558" s="9">
        <v>0</v>
      </c>
      <c r="I558" s="7" t="s">
        <v>58</v>
      </c>
    </row>
    <row r="559" spans="1:9" ht="75" x14ac:dyDescent="0.25">
      <c r="A559" s="1" t="s">
        <v>145</v>
      </c>
      <c r="B559" s="9">
        <v>293</v>
      </c>
      <c r="C559" s="9">
        <v>296</v>
      </c>
      <c r="D559" s="9">
        <v>299</v>
      </c>
      <c r="E559" s="9">
        <v>302</v>
      </c>
      <c r="F559" s="9">
        <v>305</v>
      </c>
      <c r="G559" s="9">
        <v>308</v>
      </c>
      <c r="H559" s="9">
        <v>311</v>
      </c>
      <c r="I559" s="6">
        <v>0.99862503000000002</v>
      </c>
    </row>
    <row r="560" spans="1:9" ht="75" x14ac:dyDescent="0.25">
      <c r="A560" s="1" t="s">
        <v>144</v>
      </c>
      <c r="B560" s="9">
        <v>0</v>
      </c>
      <c r="C560" s="9">
        <v>0</v>
      </c>
      <c r="D560" s="9">
        <v>0</v>
      </c>
      <c r="E560" s="9">
        <v>0</v>
      </c>
      <c r="F560" s="9">
        <v>0</v>
      </c>
      <c r="G560" s="9">
        <v>0</v>
      </c>
      <c r="H560" s="9">
        <v>0</v>
      </c>
      <c r="I560" s="7" t="s">
        <v>58</v>
      </c>
    </row>
    <row r="561" spans="1:9" x14ac:dyDescent="0.25">
      <c r="A561" s="1" t="s">
        <v>12</v>
      </c>
      <c r="B561" s="2"/>
      <c r="C561" s="2"/>
      <c r="D561" s="2"/>
      <c r="E561" s="2"/>
      <c r="F561" s="2"/>
      <c r="G561" s="2"/>
      <c r="H561" s="2"/>
      <c r="I561" s="2"/>
    </row>
    <row r="562" spans="1:9" ht="45" x14ac:dyDescent="0.25">
      <c r="A562" s="8" t="s">
        <v>61</v>
      </c>
      <c r="B562" s="2"/>
      <c r="C562" s="2"/>
      <c r="D562" s="2"/>
      <c r="E562" s="2"/>
      <c r="F562" s="2"/>
      <c r="G562" s="2"/>
      <c r="H562" s="2"/>
      <c r="I562" s="2"/>
    </row>
    <row r="563" spans="1:9" ht="30" x14ac:dyDescent="0.25">
      <c r="A563" s="1" t="s">
        <v>153</v>
      </c>
      <c r="B563" s="9">
        <v>645422731</v>
      </c>
      <c r="C563" s="9">
        <v>649767470</v>
      </c>
      <c r="D563" s="9">
        <v>653966791</v>
      </c>
      <c r="E563" s="9">
        <v>658078404</v>
      </c>
      <c r="F563" s="9">
        <v>662065477</v>
      </c>
      <c r="G563" s="9">
        <v>665912631</v>
      </c>
      <c r="H563" s="9">
        <v>669621535</v>
      </c>
      <c r="I563" s="6">
        <v>0.61533848707000005</v>
      </c>
    </row>
    <row r="564" spans="1:9" ht="45" x14ac:dyDescent="0.25">
      <c r="A564" s="1" t="s">
        <v>152</v>
      </c>
      <c r="B564" s="9">
        <v>211056326</v>
      </c>
      <c r="C564" s="9">
        <v>214136874</v>
      </c>
      <c r="D564" s="9">
        <v>217279257</v>
      </c>
      <c r="E564" s="9">
        <v>220393069</v>
      </c>
      <c r="F564" s="9">
        <v>223510693</v>
      </c>
      <c r="G564" s="9">
        <v>226642629</v>
      </c>
      <c r="H564" s="9">
        <v>229737737</v>
      </c>
      <c r="I564" s="6">
        <v>1.423593584</v>
      </c>
    </row>
    <row r="565" spans="1:9" ht="30" x14ac:dyDescent="0.25">
      <c r="A565" s="1" t="s">
        <v>151</v>
      </c>
      <c r="B565" s="9">
        <v>192364720</v>
      </c>
      <c r="C565" s="9">
        <v>195141825</v>
      </c>
      <c r="D565" s="9">
        <v>197920408</v>
      </c>
      <c r="E565" s="9">
        <v>200691205</v>
      </c>
      <c r="F565" s="9">
        <v>203462515</v>
      </c>
      <c r="G565" s="9">
        <v>206259435</v>
      </c>
      <c r="H565" s="9">
        <v>209042464</v>
      </c>
      <c r="I565" s="6">
        <v>1.395383429</v>
      </c>
    </row>
    <row r="566" spans="1:9" ht="60" x14ac:dyDescent="0.25">
      <c r="A566" s="1" t="s">
        <v>150</v>
      </c>
      <c r="B566" s="9">
        <v>116172085</v>
      </c>
      <c r="C566" s="9">
        <v>122491373</v>
      </c>
      <c r="D566" s="9">
        <v>128261180</v>
      </c>
      <c r="E566" s="9">
        <v>133153303</v>
      </c>
      <c r="F566" s="9">
        <v>137416018</v>
      </c>
      <c r="G566" s="9">
        <v>141292683</v>
      </c>
      <c r="H566" s="9">
        <v>144715281</v>
      </c>
      <c r="I566" s="6">
        <v>3.7294562629999999</v>
      </c>
    </row>
    <row r="567" spans="1:9" ht="60" x14ac:dyDescent="0.25">
      <c r="A567" s="1" t="s">
        <v>149</v>
      </c>
      <c r="B567" s="9">
        <v>31945526</v>
      </c>
      <c r="C567" s="9">
        <v>31670274</v>
      </c>
      <c r="D567" s="9">
        <v>31476787</v>
      </c>
      <c r="E567" s="9">
        <v>31308857</v>
      </c>
      <c r="F567" s="9">
        <v>31075584</v>
      </c>
      <c r="G567" s="9">
        <v>30848891</v>
      </c>
      <c r="H567" s="9">
        <v>30609738</v>
      </c>
      <c r="I567" s="6">
        <v>-0.70937110199999998</v>
      </c>
    </row>
    <row r="568" spans="1:9" ht="60" x14ac:dyDescent="0.25">
      <c r="A568" s="1" t="s">
        <v>148</v>
      </c>
      <c r="B568" s="9">
        <v>5893261</v>
      </c>
      <c r="C568" s="9">
        <v>4141991</v>
      </c>
      <c r="D568" s="9">
        <v>3330407</v>
      </c>
      <c r="E568" s="9">
        <v>2852128</v>
      </c>
      <c r="F568" s="9">
        <v>2568307</v>
      </c>
      <c r="G568" s="9">
        <v>2404440</v>
      </c>
      <c r="H568" s="9">
        <v>2292709</v>
      </c>
      <c r="I568" s="6">
        <v>-14.559153317</v>
      </c>
    </row>
    <row r="569" spans="1:9" ht="60" x14ac:dyDescent="0.25">
      <c r="A569" s="1" t="s">
        <v>147</v>
      </c>
      <c r="B569" s="9">
        <v>73745234</v>
      </c>
      <c r="C569" s="9">
        <v>81978936</v>
      </c>
      <c r="D569" s="9">
        <v>88797822</v>
      </c>
      <c r="E569" s="9">
        <v>94364635</v>
      </c>
      <c r="F569" s="9">
        <v>99140771</v>
      </c>
      <c r="G569" s="9">
        <v>103382838</v>
      </c>
      <c r="H569" s="9">
        <v>107100793</v>
      </c>
      <c r="I569" s="6">
        <v>6.4167002020000004</v>
      </c>
    </row>
    <row r="570" spans="1:9" ht="75" x14ac:dyDescent="0.25">
      <c r="A570" s="1" t="s">
        <v>146</v>
      </c>
      <c r="B570" s="9">
        <v>559785</v>
      </c>
      <c r="C570" s="9">
        <v>726149</v>
      </c>
      <c r="D570" s="9">
        <v>760630</v>
      </c>
      <c r="E570" s="9">
        <v>796248</v>
      </c>
      <c r="F570" s="9">
        <v>840987</v>
      </c>
      <c r="G570" s="9">
        <v>891862</v>
      </c>
      <c r="H570" s="9">
        <v>958891</v>
      </c>
      <c r="I570" s="6">
        <v>9.3850570340000008</v>
      </c>
    </row>
    <row r="571" spans="1:9" ht="75" x14ac:dyDescent="0.25">
      <c r="A571" s="1" t="s">
        <v>145</v>
      </c>
      <c r="B571" s="9">
        <v>3746591</v>
      </c>
      <c r="C571" s="9">
        <v>3688304</v>
      </c>
      <c r="D571" s="9">
        <v>3607576</v>
      </c>
      <c r="E571" s="9">
        <v>3541323</v>
      </c>
      <c r="F571" s="9">
        <v>3498540</v>
      </c>
      <c r="G571" s="9">
        <v>3471504</v>
      </c>
      <c r="H571" s="9">
        <v>3458307</v>
      </c>
      <c r="I571" s="6">
        <v>-1.3255889279999999</v>
      </c>
    </row>
    <row r="572" spans="1:9" ht="75" x14ac:dyDescent="0.25">
      <c r="A572" s="1" t="s">
        <v>144</v>
      </c>
      <c r="B572" s="9">
        <v>281688</v>
      </c>
      <c r="C572" s="9">
        <v>285719</v>
      </c>
      <c r="D572" s="9">
        <v>287958</v>
      </c>
      <c r="E572" s="9">
        <v>290111</v>
      </c>
      <c r="F572" s="9">
        <v>291828</v>
      </c>
      <c r="G572" s="9">
        <v>293147</v>
      </c>
      <c r="H572" s="9">
        <v>294433</v>
      </c>
      <c r="I572" s="6">
        <v>0.74024969299999999</v>
      </c>
    </row>
    <row r="573" spans="1:9" x14ac:dyDescent="0.25">
      <c r="A573" s="1" t="s">
        <v>12</v>
      </c>
      <c r="B573" s="2"/>
      <c r="C573" s="2"/>
      <c r="D573" s="2"/>
      <c r="E573" s="2"/>
      <c r="F573" s="2"/>
      <c r="G573" s="2"/>
      <c r="H573" s="2"/>
      <c r="I573" s="2"/>
    </row>
    <row r="574" spans="1:9" x14ac:dyDescent="0.25">
      <c r="A574" s="8" t="s">
        <v>62</v>
      </c>
      <c r="B574" s="2"/>
      <c r="C574" s="2"/>
      <c r="D574" s="2"/>
      <c r="E574" s="2"/>
      <c r="F574" s="2"/>
      <c r="G574" s="2"/>
      <c r="H574" s="2"/>
      <c r="I574" s="2"/>
    </row>
    <row r="575" spans="1:9" ht="30" x14ac:dyDescent="0.25">
      <c r="A575" s="1" t="s">
        <v>153</v>
      </c>
      <c r="B575" s="9">
        <v>1870000</v>
      </c>
      <c r="C575" s="9">
        <v>1850000</v>
      </c>
      <c r="D575" s="9">
        <v>1840000</v>
      </c>
      <c r="E575" s="9">
        <v>1820000</v>
      </c>
      <c r="F575" s="9">
        <v>1810000</v>
      </c>
      <c r="G575" s="9">
        <v>1790000</v>
      </c>
      <c r="H575" s="9">
        <v>1780000</v>
      </c>
      <c r="I575" s="6">
        <v>-0.81871456926999997</v>
      </c>
    </row>
    <row r="576" spans="1:9" ht="45" x14ac:dyDescent="0.25">
      <c r="A576" s="1" t="s">
        <v>152</v>
      </c>
      <c r="B576" s="9">
        <v>843900</v>
      </c>
      <c r="C576" s="9">
        <v>843056</v>
      </c>
      <c r="D576" s="9">
        <v>842213</v>
      </c>
      <c r="E576" s="9">
        <v>841371</v>
      </c>
      <c r="F576" s="9">
        <v>840529</v>
      </c>
      <c r="G576" s="9">
        <v>839689</v>
      </c>
      <c r="H576" s="9">
        <v>838849</v>
      </c>
      <c r="I576" s="6">
        <v>-0.10000479600000001</v>
      </c>
    </row>
    <row r="577" spans="1:9" ht="30" x14ac:dyDescent="0.25">
      <c r="A577" s="1" t="s">
        <v>151</v>
      </c>
      <c r="B577" s="9">
        <v>808181</v>
      </c>
      <c r="C577" s="9">
        <v>807575</v>
      </c>
      <c r="D577" s="9">
        <v>806969</v>
      </c>
      <c r="E577" s="9">
        <v>806364</v>
      </c>
      <c r="F577" s="9">
        <v>805759</v>
      </c>
      <c r="G577" s="9">
        <v>805154</v>
      </c>
      <c r="H577" s="9">
        <v>804550</v>
      </c>
      <c r="I577" s="6">
        <v>-7.5020653000000007E-2</v>
      </c>
    </row>
    <row r="578" spans="1:9" ht="60" x14ac:dyDescent="0.25">
      <c r="A578" s="1" t="s">
        <v>150</v>
      </c>
      <c r="B578" s="9">
        <v>482087</v>
      </c>
      <c r="C578" s="9">
        <v>481698</v>
      </c>
      <c r="D578" s="9">
        <v>479552</v>
      </c>
      <c r="E578" s="9">
        <v>478360</v>
      </c>
      <c r="F578" s="9">
        <v>477855</v>
      </c>
      <c r="G578" s="9">
        <v>477052</v>
      </c>
      <c r="H578" s="9">
        <v>475844</v>
      </c>
      <c r="I578" s="6">
        <v>-0.21700630500000001</v>
      </c>
    </row>
    <row r="579" spans="1:9" ht="60" x14ac:dyDescent="0.25">
      <c r="A579" s="1" t="s">
        <v>149</v>
      </c>
      <c r="B579" s="9">
        <v>8457</v>
      </c>
      <c r="C579" s="9">
        <v>7200</v>
      </c>
      <c r="D579" s="9">
        <v>6272</v>
      </c>
      <c r="E579" s="9">
        <v>5545</v>
      </c>
      <c r="F579" s="9">
        <v>4966</v>
      </c>
      <c r="G579" s="9">
        <v>4499</v>
      </c>
      <c r="H579" s="9">
        <v>4119</v>
      </c>
      <c r="I579" s="6">
        <v>-11.298851406000001</v>
      </c>
    </row>
    <row r="580" spans="1:9" ht="60" x14ac:dyDescent="0.25">
      <c r="A580" s="1" t="s">
        <v>148</v>
      </c>
      <c r="B580" s="9">
        <v>73439</v>
      </c>
      <c r="C580" s="9">
        <v>69298</v>
      </c>
      <c r="D580" s="9">
        <v>65133</v>
      </c>
      <c r="E580" s="9">
        <v>61758</v>
      </c>
      <c r="F580" s="9">
        <v>58970</v>
      </c>
      <c r="G580" s="9">
        <v>55830</v>
      </c>
      <c r="H580" s="9">
        <v>52277</v>
      </c>
      <c r="I580" s="6">
        <v>-5.5075048439999996</v>
      </c>
    </row>
    <row r="581" spans="1:9" ht="60" x14ac:dyDescent="0.25">
      <c r="A581" s="1" t="s">
        <v>147</v>
      </c>
      <c r="B581" s="9">
        <v>380680</v>
      </c>
      <c r="C581" s="9">
        <v>384070</v>
      </c>
      <c r="D581" s="9">
        <v>388350</v>
      </c>
      <c r="E581" s="9">
        <v>392455</v>
      </c>
      <c r="F581" s="9">
        <v>396402</v>
      </c>
      <c r="G581" s="9">
        <v>400207</v>
      </c>
      <c r="H581" s="9">
        <v>403868</v>
      </c>
      <c r="I581" s="6">
        <v>0.99035461700000005</v>
      </c>
    </row>
    <row r="582" spans="1:9" ht="75" x14ac:dyDescent="0.25">
      <c r="A582" s="1" t="s">
        <v>146</v>
      </c>
      <c r="B582" s="9">
        <v>1615</v>
      </c>
      <c r="C582" s="9">
        <v>4482</v>
      </c>
      <c r="D582" s="9">
        <v>4329</v>
      </c>
      <c r="E582" s="9">
        <v>4151</v>
      </c>
      <c r="F582" s="9">
        <v>3947</v>
      </c>
      <c r="G582" s="9">
        <v>3713</v>
      </c>
      <c r="H582" s="9">
        <v>3450</v>
      </c>
      <c r="I582" s="6">
        <v>13.485687962</v>
      </c>
    </row>
    <row r="583" spans="1:9" ht="75" x14ac:dyDescent="0.25">
      <c r="A583" s="1" t="s">
        <v>145</v>
      </c>
      <c r="B583" s="9">
        <v>6793</v>
      </c>
      <c r="C583" s="9">
        <v>6309</v>
      </c>
      <c r="D583" s="9">
        <v>6098</v>
      </c>
      <c r="E583" s="9">
        <v>5914</v>
      </c>
      <c r="F583" s="9">
        <v>5753</v>
      </c>
      <c r="G583" s="9">
        <v>5613</v>
      </c>
      <c r="H583" s="9">
        <v>5490</v>
      </c>
      <c r="I583" s="6">
        <v>-3.4871541719999999</v>
      </c>
    </row>
    <row r="584" spans="1:9" ht="75" x14ac:dyDescent="0.25">
      <c r="A584" s="1" t="s">
        <v>144</v>
      </c>
      <c r="B584" s="9">
        <v>11103</v>
      </c>
      <c r="C584" s="9">
        <v>10339</v>
      </c>
      <c r="D584" s="9">
        <v>9371</v>
      </c>
      <c r="E584" s="9">
        <v>8538</v>
      </c>
      <c r="F584" s="9">
        <v>7816</v>
      </c>
      <c r="G584" s="9">
        <v>7189</v>
      </c>
      <c r="H584" s="9">
        <v>6641</v>
      </c>
      <c r="I584" s="6">
        <v>-8.2092630300000007</v>
      </c>
    </row>
    <row r="585" spans="1:9" x14ac:dyDescent="0.25">
      <c r="A585" s="1" t="s">
        <v>12</v>
      </c>
      <c r="B585" s="2"/>
      <c r="C585" s="2"/>
      <c r="D585" s="2"/>
      <c r="E585" s="2"/>
      <c r="F585" s="2"/>
      <c r="G585" s="2"/>
      <c r="H585" s="2"/>
      <c r="I585" s="2"/>
    </row>
    <row r="586" spans="1:9" x14ac:dyDescent="0.25">
      <c r="A586" s="8" t="s">
        <v>63</v>
      </c>
      <c r="B586" s="2"/>
      <c r="C586" s="2"/>
      <c r="D586" s="2"/>
      <c r="E586" s="2"/>
      <c r="F586" s="2"/>
      <c r="G586" s="2"/>
      <c r="H586" s="2"/>
      <c r="I586" s="2"/>
    </row>
    <row r="587" spans="1:9" ht="30" x14ac:dyDescent="0.25">
      <c r="A587" s="1" t="s">
        <v>153</v>
      </c>
      <c r="B587" s="9">
        <v>6750000</v>
      </c>
      <c r="C587" s="9">
        <v>6820000</v>
      </c>
      <c r="D587" s="9">
        <v>6890000</v>
      </c>
      <c r="E587" s="9">
        <v>6958900</v>
      </c>
      <c r="F587" s="9">
        <v>7028489</v>
      </c>
      <c r="G587" s="9">
        <v>7098774</v>
      </c>
      <c r="H587" s="9">
        <v>7169762</v>
      </c>
      <c r="I587" s="6">
        <v>1.01057138479</v>
      </c>
    </row>
    <row r="588" spans="1:9" ht="45" x14ac:dyDescent="0.25">
      <c r="A588" s="1" t="s">
        <v>152</v>
      </c>
      <c r="B588" s="9">
        <v>1434298</v>
      </c>
      <c r="C588" s="9">
        <v>1460545</v>
      </c>
      <c r="D588" s="9">
        <v>1487273</v>
      </c>
      <c r="E588" s="9">
        <v>1514490</v>
      </c>
      <c r="F588" s="9">
        <v>1542206</v>
      </c>
      <c r="G588" s="9">
        <v>1570428</v>
      </c>
      <c r="H588" s="9">
        <v>1599167</v>
      </c>
      <c r="I588" s="6">
        <v>1.8299985839999999</v>
      </c>
    </row>
    <row r="589" spans="1:9" ht="30" x14ac:dyDescent="0.25">
      <c r="A589" s="1" t="s">
        <v>151</v>
      </c>
      <c r="B589" s="9">
        <v>1381063</v>
      </c>
      <c r="C589" s="9">
        <v>1409853</v>
      </c>
      <c r="D589" s="9">
        <v>1439242</v>
      </c>
      <c r="E589" s="9">
        <v>1469244</v>
      </c>
      <c r="F589" s="9">
        <v>1499872</v>
      </c>
      <c r="G589" s="9">
        <v>1531138</v>
      </c>
      <c r="H589" s="9">
        <v>1563055</v>
      </c>
      <c r="I589" s="6">
        <v>2.0845757599999999</v>
      </c>
    </row>
    <row r="590" spans="1:9" ht="60" x14ac:dyDescent="0.25">
      <c r="A590" s="1" t="s">
        <v>150</v>
      </c>
      <c r="B590" s="9">
        <v>972126</v>
      </c>
      <c r="C590" s="9">
        <v>993179</v>
      </c>
      <c r="D590" s="9">
        <v>1012746</v>
      </c>
      <c r="E590" s="9">
        <v>1035035</v>
      </c>
      <c r="F590" s="9">
        <v>1062392</v>
      </c>
      <c r="G590" s="9">
        <v>1115967</v>
      </c>
      <c r="H590" s="9">
        <v>1170069</v>
      </c>
      <c r="I590" s="6">
        <v>3.1370770349999999</v>
      </c>
    </row>
    <row r="591" spans="1:9" ht="60" x14ac:dyDescent="0.25">
      <c r="A591" s="1" t="s">
        <v>149</v>
      </c>
      <c r="B591" s="9">
        <v>0</v>
      </c>
      <c r="C591" s="9">
        <v>0</v>
      </c>
      <c r="D591" s="9">
        <v>0</v>
      </c>
      <c r="E591" s="9">
        <v>0</v>
      </c>
      <c r="F591" s="9">
        <v>0</v>
      </c>
      <c r="G591" s="9">
        <v>0</v>
      </c>
      <c r="H591" s="9">
        <v>0</v>
      </c>
      <c r="I591" s="7" t="s">
        <v>58</v>
      </c>
    </row>
    <row r="592" spans="1:9" ht="60" x14ac:dyDescent="0.25">
      <c r="A592" s="1" t="s">
        <v>148</v>
      </c>
      <c r="B592" s="9">
        <v>837979</v>
      </c>
      <c r="C592" s="9">
        <v>847643</v>
      </c>
      <c r="D592" s="9">
        <v>855547</v>
      </c>
      <c r="E592" s="9">
        <v>863247</v>
      </c>
      <c r="F592" s="9">
        <v>871500</v>
      </c>
      <c r="G592" s="9">
        <v>896217</v>
      </c>
      <c r="H592" s="9">
        <v>914141</v>
      </c>
      <c r="I592" s="6">
        <v>1.460424596</v>
      </c>
    </row>
    <row r="593" spans="1:9" ht="60" x14ac:dyDescent="0.25">
      <c r="A593" s="1" t="s">
        <v>147</v>
      </c>
      <c r="B593" s="9">
        <v>54137</v>
      </c>
      <c r="C593" s="9">
        <v>67671</v>
      </c>
      <c r="D593" s="9">
        <v>81205</v>
      </c>
      <c r="E593" s="9">
        <v>97446</v>
      </c>
      <c r="F593" s="9">
        <v>116935</v>
      </c>
      <c r="G593" s="9">
        <v>146169</v>
      </c>
      <c r="H593" s="9">
        <v>182711</v>
      </c>
      <c r="I593" s="6">
        <v>22.474333524999999</v>
      </c>
    </row>
    <row r="594" spans="1:9" ht="75" x14ac:dyDescent="0.25">
      <c r="A594" s="1" t="s">
        <v>146</v>
      </c>
      <c r="B594" s="9">
        <v>11856</v>
      </c>
      <c r="C594" s="9">
        <v>11880</v>
      </c>
      <c r="D594" s="9">
        <v>11898</v>
      </c>
      <c r="E594" s="9">
        <v>11898</v>
      </c>
      <c r="F594" s="9">
        <v>12136</v>
      </c>
      <c r="G594" s="9">
        <v>12379</v>
      </c>
      <c r="H594" s="9">
        <v>12626</v>
      </c>
      <c r="I594" s="6">
        <v>1.0542536920000001</v>
      </c>
    </row>
    <row r="595" spans="1:9" ht="75" x14ac:dyDescent="0.25">
      <c r="A595" s="1" t="s">
        <v>145</v>
      </c>
      <c r="B595" s="9">
        <v>68154</v>
      </c>
      <c r="C595" s="9">
        <v>65986</v>
      </c>
      <c r="D595" s="9">
        <v>64096</v>
      </c>
      <c r="E595" s="9">
        <v>62444</v>
      </c>
      <c r="F595" s="9">
        <v>61820</v>
      </c>
      <c r="G595" s="9">
        <v>61202</v>
      </c>
      <c r="H595" s="9">
        <v>60590</v>
      </c>
      <c r="I595" s="6">
        <v>-1.9415704009999999</v>
      </c>
    </row>
    <row r="596" spans="1:9" ht="75" x14ac:dyDescent="0.25">
      <c r="A596" s="1" t="s">
        <v>144</v>
      </c>
      <c r="B596" s="9">
        <v>0</v>
      </c>
      <c r="C596" s="9">
        <v>0</v>
      </c>
      <c r="D596" s="9">
        <v>0</v>
      </c>
      <c r="E596" s="9">
        <v>0</v>
      </c>
      <c r="F596" s="9">
        <v>0</v>
      </c>
      <c r="G596" s="9">
        <v>0</v>
      </c>
      <c r="H596" s="9">
        <v>0</v>
      </c>
      <c r="I596" s="7" t="s">
        <v>58</v>
      </c>
    </row>
    <row r="597" spans="1:9" x14ac:dyDescent="0.25">
      <c r="A597" s="1" t="s">
        <v>12</v>
      </c>
      <c r="B597" s="2"/>
      <c r="C597" s="2"/>
      <c r="D597" s="2"/>
      <c r="E597" s="2"/>
      <c r="F597" s="2"/>
      <c r="G597" s="2"/>
      <c r="H597" s="2"/>
      <c r="I597" s="2"/>
    </row>
    <row r="598" spans="1:9" x14ac:dyDescent="0.25">
      <c r="A598" s="8" t="s">
        <v>64</v>
      </c>
      <c r="B598" s="2"/>
      <c r="C598" s="2"/>
      <c r="D598" s="2"/>
      <c r="E598" s="2"/>
      <c r="F598" s="2"/>
      <c r="G598" s="2"/>
      <c r="H598" s="2"/>
      <c r="I598" s="2"/>
    </row>
    <row r="599" spans="1:9" ht="30" x14ac:dyDescent="0.25">
      <c r="A599" s="1" t="s">
        <v>153</v>
      </c>
      <c r="B599" s="9">
        <v>2690000</v>
      </c>
      <c r="C599" s="9">
        <v>2670000</v>
      </c>
      <c r="D599" s="9">
        <v>2650000</v>
      </c>
      <c r="E599" s="9">
        <v>2620000</v>
      </c>
      <c r="F599" s="9">
        <v>2600000</v>
      </c>
      <c r="G599" s="9">
        <v>2580000</v>
      </c>
      <c r="H599" s="9">
        <v>2560000</v>
      </c>
      <c r="I599" s="6">
        <v>-0.82216715121999995</v>
      </c>
    </row>
    <row r="600" spans="1:9" ht="45" x14ac:dyDescent="0.25">
      <c r="A600" s="1" t="s">
        <v>152</v>
      </c>
      <c r="B600" s="9">
        <v>1665900</v>
      </c>
      <c r="C600" s="9">
        <v>1705882</v>
      </c>
      <c r="D600" s="9">
        <v>1742729</v>
      </c>
      <c r="E600" s="9">
        <v>1776607</v>
      </c>
      <c r="F600" s="9">
        <v>1807691</v>
      </c>
      <c r="G600" s="9">
        <v>1836155</v>
      </c>
      <c r="H600" s="9">
        <v>1862177</v>
      </c>
      <c r="I600" s="6">
        <v>1.8736824599999999</v>
      </c>
    </row>
    <row r="601" spans="1:9" ht="30" x14ac:dyDescent="0.25">
      <c r="A601" s="1" t="s">
        <v>151</v>
      </c>
      <c r="B601" s="9">
        <v>1634476</v>
      </c>
      <c r="C601" s="9">
        <v>1674122</v>
      </c>
      <c r="D601" s="9">
        <v>1710710</v>
      </c>
      <c r="E601" s="9">
        <v>1744402</v>
      </c>
      <c r="F601" s="9">
        <v>1775366</v>
      </c>
      <c r="G601" s="9">
        <v>1803773</v>
      </c>
      <c r="H601" s="9">
        <v>1829793</v>
      </c>
      <c r="I601" s="6">
        <v>1.8991517979999999</v>
      </c>
    </row>
    <row r="602" spans="1:9" ht="60" x14ac:dyDescent="0.25">
      <c r="A602" s="1" t="s">
        <v>150</v>
      </c>
      <c r="B602" s="9">
        <v>796171</v>
      </c>
      <c r="C602" s="9">
        <v>786260</v>
      </c>
      <c r="D602" s="9">
        <v>779389</v>
      </c>
      <c r="E602" s="9">
        <v>774318</v>
      </c>
      <c r="F602" s="9">
        <v>770552</v>
      </c>
      <c r="G602" s="9">
        <v>767754</v>
      </c>
      <c r="H602" s="9">
        <v>765678</v>
      </c>
      <c r="I602" s="6">
        <v>-0.64875760599999999</v>
      </c>
    </row>
    <row r="603" spans="1:9" ht="60" x14ac:dyDescent="0.25">
      <c r="A603" s="1" t="s">
        <v>149</v>
      </c>
      <c r="B603" s="9">
        <v>15457</v>
      </c>
      <c r="C603" s="9">
        <v>14300</v>
      </c>
      <c r="D603" s="9">
        <v>13444</v>
      </c>
      <c r="E603" s="9">
        <v>12800</v>
      </c>
      <c r="F603" s="9">
        <v>12309</v>
      </c>
      <c r="G603" s="9">
        <v>11932</v>
      </c>
      <c r="H603" s="9">
        <v>11639</v>
      </c>
      <c r="I603" s="6">
        <v>-4.6182959969999997</v>
      </c>
    </row>
    <row r="604" spans="1:9" ht="60" x14ac:dyDescent="0.25">
      <c r="A604" s="1" t="s">
        <v>148</v>
      </c>
      <c r="B604" s="9">
        <v>106050</v>
      </c>
      <c r="C604" s="9">
        <v>100240</v>
      </c>
      <c r="D604" s="9">
        <v>93086</v>
      </c>
      <c r="E604" s="9">
        <v>87040</v>
      </c>
      <c r="F604" s="9">
        <v>81890</v>
      </c>
      <c r="G604" s="9">
        <v>77463</v>
      </c>
      <c r="H604" s="9">
        <v>73622</v>
      </c>
      <c r="I604" s="6">
        <v>-5.9014734459999998</v>
      </c>
    </row>
    <row r="605" spans="1:9" ht="60" x14ac:dyDescent="0.25">
      <c r="A605" s="1" t="s">
        <v>147</v>
      </c>
      <c r="B605" s="9">
        <v>642588</v>
      </c>
      <c r="C605" s="9">
        <v>644290</v>
      </c>
      <c r="D605" s="9">
        <v>648328</v>
      </c>
      <c r="E605" s="9">
        <v>652034</v>
      </c>
      <c r="F605" s="9">
        <v>655450</v>
      </c>
      <c r="G605" s="9">
        <v>658614</v>
      </c>
      <c r="H605" s="9">
        <v>661556</v>
      </c>
      <c r="I605" s="6">
        <v>0.486025017</v>
      </c>
    </row>
    <row r="606" spans="1:9" ht="75" x14ac:dyDescent="0.25">
      <c r="A606" s="1" t="s">
        <v>146</v>
      </c>
      <c r="B606" s="9">
        <v>1500</v>
      </c>
      <c r="C606" s="9">
        <v>1000</v>
      </c>
      <c r="D606" s="9">
        <v>1000</v>
      </c>
      <c r="E606" s="9">
        <v>1000</v>
      </c>
      <c r="F606" s="9">
        <v>1000</v>
      </c>
      <c r="G606" s="9">
        <v>1000</v>
      </c>
      <c r="H606" s="9">
        <v>1000</v>
      </c>
      <c r="I606" s="6">
        <v>-6.5344734820000001</v>
      </c>
    </row>
    <row r="607" spans="1:9" ht="75" x14ac:dyDescent="0.25">
      <c r="A607" s="1" t="s">
        <v>145</v>
      </c>
      <c r="B607" s="9">
        <v>27676</v>
      </c>
      <c r="C607" s="9">
        <v>23930</v>
      </c>
      <c r="D607" s="9">
        <v>21339</v>
      </c>
      <c r="E607" s="9">
        <v>19490</v>
      </c>
      <c r="F607" s="9">
        <v>18140</v>
      </c>
      <c r="G607" s="9">
        <v>17134</v>
      </c>
      <c r="H607" s="9">
        <v>16374</v>
      </c>
      <c r="I607" s="6">
        <v>-8.3761414270000003</v>
      </c>
    </row>
    <row r="608" spans="1:9" ht="75" x14ac:dyDescent="0.25">
      <c r="A608" s="1" t="s">
        <v>144</v>
      </c>
      <c r="B608" s="9">
        <v>2900</v>
      </c>
      <c r="C608" s="9">
        <v>2500</v>
      </c>
      <c r="D608" s="9">
        <v>2193</v>
      </c>
      <c r="E608" s="9">
        <v>1953</v>
      </c>
      <c r="F608" s="9">
        <v>1764</v>
      </c>
      <c r="G608" s="9">
        <v>1611</v>
      </c>
      <c r="H608" s="9">
        <v>1487</v>
      </c>
      <c r="I608" s="6">
        <v>-10.535206927000001</v>
      </c>
    </row>
    <row r="609" spans="1:9" x14ac:dyDescent="0.25">
      <c r="A609" s="1" t="s">
        <v>12</v>
      </c>
      <c r="B609" s="2"/>
      <c r="C609" s="2"/>
      <c r="D609" s="2"/>
      <c r="E609" s="2"/>
      <c r="F609" s="2"/>
      <c r="G609" s="2"/>
      <c r="H609" s="2"/>
      <c r="I609" s="2"/>
    </row>
    <row r="610" spans="1:9" x14ac:dyDescent="0.25">
      <c r="A610" s="8" t="s">
        <v>65</v>
      </c>
      <c r="B610" s="2"/>
      <c r="C610" s="2"/>
      <c r="D610" s="2"/>
      <c r="E610" s="2"/>
      <c r="F610" s="2"/>
      <c r="G610" s="2"/>
      <c r="H610" s="2"/>
      <c r="I610" s="2"/>
    </row>
    <row r="611" spans="1:9" ht="30" x14ac:dyDescent="0.25">
      <c r="A611" s="1" t="s">
        <v>153</v>
      </c>
      <c r="B611" s="9">
        <v>34670000</v>
      </c>
      <c r="C611" s="9">
        <v>35980000</v>
      </c>
      <c r="D611" s="9">
        <v>36120000</v>
      </c>
      <c r="E611" s="9">
        <v>36380000</v>
      </c>
      <c r="F611" s="9">
        <v>36630000</v>
      </c>
      <c r="G611" s="9">
        <v>36970000</v>
      </c>
      <c r="H611" s="9">
        <v>37200000</v>
      </c>
      <c r="I611" s="6">
        <v>1.18081727341</v>
      </c>
    </row>
    <row r="612" spans="1:9" ht="45" x14ac:dyDescent="0.25">
      <c r="A612" s="1" t="s">
        <v>152</v>
      </c>
      <c r="B612" s="9">
        <v>9015992</v>
      </c>
      <c r="C612" s="9">
        <v>9225163</v>
      </c>
      <c r="D612" s="9">
        <v>9434574</v>
      </c>
      <c r="E612" s="9">
        <v>9645909</v>
      </c>
      <c r="F612" s="9">
        <v>9860048</v>
      </c>
      <c r="G612" s="9">
        <v>10078941</v>
      </c>
      <c r="H612" s="9">
        <v>10301686</v>
      </c>
      <c r="I612" s="6">
        <v>2.246660367</v>
      </c>
    </row>
    <row r="613" spans="1:9" ht="30" x14ac:dyDescent="0.25">
      <c r="A613" s="1" t="s">
        <v>151</v>
      </c>
      <c r="B613" s="9">
        <v>8565193</v>
      </c>
      <c r="C613" s="9">
        <v>8671653</v>
      </c>
      <c r="D613" s="9">
        <v>8872934</v>
      </c>
      <c r="E613" s="9">
        <v>9076224</v>
      </c>
      <c r="F613" s="9">
        <v>9282355</v>
      </c>
      <c r="G613" s="9">
        <v>9493167</v>
      </c>
      <c r="H613" s="9">
        <v>9707818</v>
      </c>
      <c r="I613" s="6">
        <v>2.1090131059999999</v>
      </c>
    </row>
    <row r="614" spans="1:9" ht="60" x14ac:dyDescent="0.25">
      <c r="A614" s="1" t="s">
        <v>150</v>
      </c>
      <c r="B614" s="9">
        <v>4721194</v>
      </c>
      <c r="C614" s="9">
        <v>5031771</v>
      </c>
      <c r="D614" s="9">
        <v>5273631</v>
      </c>
      <c r="E614" s="9">
        <v>5467414</v>
      </c>
      <c r="F614" s="9">
        <v>5673700</v>
      </c>
      <c r="G614" s="9">
        <v>5881102</v>
      </c>
      <c r="H614" s="9">
        <v>6092046</v>
      </c>
      <c r="I614" s="6">
        <v>4.3402535909999997</v>
      </c>
    </row>
    <row r="615" spans="1:9" ht="60" x14ac:dyDescent="0.25">
      <c r="A615" s="1" t="s">
        <v>149</v>
      </c>
      <c r="B615" s="9">
        <v>0</v>
      </c>
      <c r="C615" s="9">
        <v>0</v>
      </c>
      <c r="D615" s="9">
        <v>0</v>
      </c>
      <c r="E615" s="9">
        <v>0</v>
      </c>
      <c r="F615" s="9">
        <v>0</v>
      </c>
      <c r="G615" s="9">
        <v>0</v>
      </c>
      <c r="H615" s="9">
        <v>0</v>
      </c>
      <c r="I615" s="7" t="s">
        <v>58</v>
      </c>
    </row>
    <row r="616" spans="1:9" ht="60" x14ac:dyDescent="0.25">
      <c r="A616" s="1" t="s">
        <v>148</v>
      </c>
      <c r="B616" s="9">
        <v>18260</v>
      </c>
      <c r="C616" s="9">
        <v>1082</v>
      </c>
      <c r="D616" s="9">
        <v>0</v>
      </c>
      <c r="E616" s="9">
        <v>0</v>
      </c>
      <c r="F616" s="9">
        <v>0</v>
      </c>
      <c r="G616" s="9">
        <v>0</v>
      </c>
      <c r="H616" s="9">
        <v>0</v>
      </c>
      <c r="I616" s="6">
        <v>-100</v>
      </c>
    </row>
    <row r="617" spans="1:9" ht="60" x14ac:dyDescent="0.25">
      <c r="A617" s="1" t="s">
        <v>147</v>
      </c>
      <c r="B617" s="9">
        <v>4663567</v>
      </c>
      <c r="C617" s="9">
        <v>4990017</v>
      </c>
      <c r="D617" s="9">
        <v>5232033</v>
      </c>
      <c r="E617" s="9">
        <v>5425095</v>
      </c>
      <c r="F617" s="9">
        <v>5630163</v>
      </c>
      <c r="G617" s="9">
        <v>5836227</v>
      </c>
      <c r="H617" s="9">
        <v>6045748</v>
      </c>
      <c r="I617" s="6">
        <v>4.4211896480000004</v>
      </c>
    </row>
    <row r="618" spans="1:9" ht="75" x14ac:dyDescent="0.25">
      <c r="A618" s="1" t="s">
        <v>146</v>
      </c>
      <c r="B618" s="9">
        <v>13730</v>
      </c>
      <c r="C618" s="9">
        <v>15034</v>
      </c>
      <c r="D618" s="9">
        <v>16505</v>
      </c>
      <c r="E618" s="9">
        <v>18008</v>
      </c>
      <c r="F618" s="9">
        <v>19789</v>
      </c>
      <c r="G618" s="9">
        <v>21681</v>
      </c>
      <c r="H618" s="9">
        <v>23659</v>
      </c>
      <c r="I618" s="6">
        <v>9.4933242230000001</v>
      </c>
    </row>
    <row r="619" spans="1:9" ht="75" x14ac:dyDescent="0.25">
      <c r="A619" s="1" t="s">
        <v>145</v>
      </c>
      <c r="B619" s="9">
        <v>25637</v>
      </c>
      <c r="C619" s="9">
        <v>25637</v>
      </c>
      <c r="D619" s="9">
        <v>25094</v>
      </c>
      <c r="E619" s="9">
        <v>24311</v>
      </c>
      <c r="F619" s="9">
        <v>23747</v>
      </c>
      <c r="G619" s="9">
        <v>23193</v>
      </c>
      <c r="H619" s="9">
        <v>22639</v>
      </c>
      <c r="I619" s="6">
        <v>-2.0513759949999999</v>
      </c>
    </row>
    <row r="620" spans="1:9" ht="75" x14ac:dyDescent="0.25">
      <c r="A620" s="1" t="s">
        <v>144</v>
      </c>
      <c r="B620" s="9">
        <v>0</v>
      </c>
      <c r="C620" s="9">
        <v>0</v>
      </c>
      <c r="D620" s="9">
        <v>0</v>
      </c>
      <c r="E620" s="9">
        <v>0</v>
      </c>
      <c r="F620" s="9">
        <v>0</v>
      </c>
      <c r="G620" s="9">
        <v>0</v>
      </c>
      <c r="H620" s="9">
        <v>0</v>
      </c>
      <c r="I620" s="7" t="s">
        <v>58</v>
      </c>
    </row>
    <row r="621" spans="1:9" x14ac:dyDescent="0.25">
      <c r="A621" s="1" t="s">
        <v>12</v>
      </c>
      <c r="B621" s="2"/>
      <c r="C621" s="2"/>
      <c r="D621" s="2"/>
      <c r="E621" s="2"/>
      <c r="F621" s="2"/>
      <c r="G621" s="2"/>
      <c r="H621" s="2"/>
      <c r="I621" s="2"/>
    </row>
    <row r="622" spans="1:9" x14ac:dyDescent="0.25">
      <c r="A622" s="8" t="s">
        <v>66</v>
      </c>
      <c r="B622" s="2"/>
      <c r="C622" s="2"/>
      <c r="D622" s="2"/>
      <c r="E622" s="2"/>
      <c r="F622" s="2"/>
      <c r="G622" s="2"/>
      <c r="H622" s="2"/>
      <c r="I622" s="2"/>
    </row>
    <row r="623" spans="1:9" ht="30" x14ac:dyDescent="0.25">
      <c r="A623" s="1" t="s">
        <v>153</v>
      </c>
      <c r="B623" s="9">
        <v>130860000</v>
      </c>
      <c r="C623" s="9">
        <v>131950000</v>
      </c>
      <c r="D623" s="9">
        <v>133000000</v>
      </c>
      <c r="E623" s="9">
        <v>134020000</v>
      </c>
      <c r="F623" s="9">
        <v>135010000</v>
      </c>
      <c r="G623" s="9">
        <v>135970000</v>
      </c>
      <c r="H623" s="9">
        <v>136900000</v>
      </c>
      <c r="I623" s="6">
        <v>0.75487967273000001</v>
      </c>
    </row>
    <row r="624" spans="1:9" ht="45" x14ac:dyDescent="0.25">
      <c r="A624" s="1" t="s">
        <v>152</v>
      </c>
      <c r="B624" s="9">
        <v>38459695</v>
      </c>
      <c r="C624" s="9">
        <v>39267349</v>
      </c>
      <c r="D624" s="9">
        <v>40091963</v>
      </c>
      <c r="E624" s="9">
        <v>40933894</v>
      </c>
      <c r="F624" s="9">
        <v>41793506</v>
      </c>
      <c r="G624" s="9">
        <v>42671170</v>
      </c>
      <c r="H624" s="9">
        <v>43567265</v>
      </c>
      <c r="I624" s="6">
        <v>2.1000003519999999</v>
      </c>
    </row>
    <row r="625" spans="1:9" ht="30" x14ac:dyDescent="0.25">
      <c r="A625" s="1" t="s">
        <v>151</v>
      </c>
      <c r="B625" s="9">
        <v>34784590</v>
      </c>
      <c r="C625" s="9">
        <v>35497674</v>
      </c>
      <c r="D625" s="9">
        <v>36225376</v>
      </c>
      <c r="E625" s="9">
        <v>36949884</v>
      </c>
      <c r="F625" s="9">
        <v>37688882</v>
      </c>
      <c r="G625" s="9">
        <v>38442660</v>
      </c>
      <c r="H625" s="9">
        <v>39211513</v>
      </c>
      <c r="I625" s="6">
        <v>2.016664188</v>
      </c>
    </row>
    <row r="626" spans="1:9" ht="60" x14ac:dyDescent="0.25">
      <c r="A626" s="1" t="s">
        <v>150</v>
      </c>
      <c r="B626" s="9">
        <v>25909813</v>
      </c>
      <c r="C626" s="9">
        <v>27584710</v>
      </c>
      <c r="D626" s="9">
        <v>28942909</v>
      </c>
      <c r="E626" s="9">
        <v>30000203</v>
      </c>
      <c r="F626" s="9">
        <v>30806781</v>
      </c>
      <c r="G626" s="9">
        <v>31411058</v>
      </c>
      <c r="H626" s="9">
        <v>31842557</v>
      </c>
      <c r="I626" s="6">
        <v>3.4960899809999999</v>
      </c>
    </row>
    <row r="627" spans="1:9" ht="60" x14ac:dyDescent="0.25">
      <c r="A627" s="1" t="s">
        <v>149</v>
      </c>
      <c r="B627" s="9">
        <v>6862262</v>
      </c>
      <c r="C627" s="9">
        <v>6739725</v>
      </c>
      <c r="D627" s="9">
        <v>6635818</v>
      </c>
      <c r="E627" s="9">
        <v>6547307</v>
      </c>
      <c r="F627" s="9">
        <v>6471634</v>
      </c>
      <c r="G627" s="9">
        <v>6406744</v>
      </c>
      <c r="H627" s="9">
        <v>6350965</v>
      </c>
      <c r="I627" s="6">
        <v>-1.282214596</v>
      </c>
    </row>
    <row r="628" spans="1:9" ht="60" x14ac:dyDescent="0.25">
      <c r="A628" s="1" t="s">
        <v>148</v>
      </c>
      <c r="B628" s="9">
        <v>1229215</v>
      </c>
      <c r="C628" s="9">
        <v>707695</v>
      </c>
      <c r="D628" s="9">
        <v>347390</v>
      </c>
      <c r="E628" s="9">
        <v>135152</v>
      </c>
      <c r="F628" s="9">
        <v>36067</v>
      </c>
      <c r="G628" s="9">
        <v>6981</v>
      </c>
      <c r="H628" s="9">
        <v>225</v>
      </c>
      <c r="I628" s="6">
        <v>-76.171733748999998</v>
      </c>
    </row>
    <row r="629" spans="1:9" ht="60" x14ac:dyDescent="0.25">
      <c r="A629" s="1" t="s">
        <v>147</v>
      </c>
      <c r="B629" s="9">
        <v>16990042</v>
      </c>
      <c r="C629" s="9">
        <v>19374854</v>
      </c>
      <c r="D629" s="9">
        <v>21243708</v>
      </c>
      <c r="E629" s="9">
        <v>22635321</v>
      </c>
      <c r="F629" s="9">
        <v>23641367</v>
      </c>
      <c r="G629" s="9">
        <v>24358042</v>
      </c>
      <c r="H629" s="9">
        <v>24865930</v>
      </c>
      <c r="I629" s="6">
        <v>6.5536609500000003</v>
      </c>
    </row>
    <row r="630" spans="1:9" ht="75" x14ac:dyDescent="0.25">
      <c r="A630" s="1" t="s">
        <v>146</v>
      </c>
      <c r="B630" s="9">
        <v>86429</v>
      </c>
      <c r="C630" s="9">
        <v>87293</v>
      </c>
      <c r="D630" s="9">
        <v>88166</v>
      </c>
      <c r="E630" s="9">
        <v>89048</v>
      </c>
      <c r="F630" s="9">
        <v>89938</v>
      </c>
      <c r="G630" s="9">
        <v>90837</v>
      </c>
      <c r="H630" s="9">
        <v>91745</v>
      </c>
      <c r="I630" s="6">
        <v>0.99979356900000005</v>
      </c>
    </row>
    <row r="631" spans="1:9" ht="75" x14ac:dyDescent="0.25">
      <c r="A631" s="1" t="s">
        <v>145</v>
      </c>
      <c r="B631" s="9">
        <v>741865</v>
      </c>
      <c r="C631" s="9">
        <v>675143</v>
      </c>
      <c r="D631" s="9">
        <v>627827</v>
      </c>
      <c r="E631" s="9">
        <v>593375</v>
      </c>
      <c r="F631" s="9">
        <v>567775</v>
      </c>
      <c r="G631" s="9">
        <v>548454</v>
      </c>
      <c r="H631" s="9">
        <v>533692</v>
      </c>
      <c r="I631" s="6">
        <v>-5.3412056979999996</v>
      </c>
    </row>
    <row r="632" spans="1:9" ht="75" x14ac:dyDescent="0.25">
      <c r="A632" s="1" t="s">
        <v>144</v>
      </c>
      <c r="B632" s="9">
        <v>0</v>
      </c>
      <c r="C632" s="9">
        <v>0</v>
      </c>
      <c r="D632" s="9">
        <v>0</v>
      </c>
      <c r="E632" s="9">
        <v>0</v>
      </c>
      <c r="F632" s="9">
        <v>0</v>
      </c>
      <c r="G632" s="9">
        <v>0</v>
      </c>
      <c r="H632" s="9">
        <v>0</v>
      </c>
      <c r="I632" s="7" t="s">
        <v>58</v>
      </c>
    </row>
    <row r="633" spans="1:9" x14ac:dyDescent="0.25">
      <c r="A633" s="1" t="s">
        <v>12</v>
      </c>
      <c r="B633" s="2"/>
      <c r="C633" s="2"/>
      <c r="D633" s="2"/>
      <c r="E633" s="2"/>
      <c r="F633" s="2"/>
      <c r="G633" s="2"/>
      <c r="H633" s="2"/>
      <c r="I633" s="2"/>
    </row>
    <row r="634" spans="1:9" ht="30" x14ac:dyDescent="0.25">
      <c r="A634" s="8" t="s">
        <v>67</v>
      </c>
      <c r="B634" s="2"/>
      <c r="C634" s="2"/>
      <c r="D634" s="2"/>
      <c r="E634" s="2"/>
      <c r="F634" s="2"/>
      <c r="G634" s="2"/>
      <c r="H634" s="2"/>
      <c r="I634" s="2"/>
    </row>
    <row r="635" spans="1:9" ht="30" x14ac:dyDescent="0.25">
      <c r="A635" s="1" t="s">
        <v>153</v>
      </c>
      <c r="B635" s="9">
        <v>1861372963</v>
      </c>
      <c r="C635" s="9">
        <v>1899479830</v>
      </c>
      <c r="D635" s="9">
        <v>1937876118</v>
      </c>
      <c r="E635" s="9">
        <v>1976155266</v>
      </c>
      <c r="F635" s="9">
        <v>1996083336</v>
      </c>
      <c r="G635" s="9">
        <v>2016370240</v>
      </c>
      <c r="H635" s="9">
        <v>2036956147</v>
      </c>
      <c r="I635" s="6">
        <v>1.5137130052600001</v>
      </c>
    </row>
    <row r="636" spans="1:9" ht="45" x14ac:dyDescent="0.25">
      <c r="A636" s="1" t="s">
        <v>152</v>
      </c>
      <c r="B636" s="9">
        <v>419640833</v>
      </c>
      <c r="C636" s="9">
        <v>431986328</v>
      </c>
      <c r="D636" s="9">
        <v>444635926</v>
      </c>
      <c r="E636" s="9">
        <v>457645337</v>
      </c>
      <c r="F636" s="9">
        <v>471209773</v>
      </c>
      <c r="G636" s="9">
        <v>484855275</v>
      </c>
      <c r="H636" s="9">
        <v>498588605</v>
      </c>
      <c r="I636" s="6">
        <v>2.9147052859999998</v>
      </c>
    </row>
    <row r="637" spans="1:9" ht="30" x14ac:dyDescent="0.25">
      <c r="A637" s="1" t="s">
        <v>151</v>
      </c>
      <c r="B637" s="9">
        <v>258464138</v>
      </c>
      <c r="C637" s="9">
        <v>267593499</v>
      </c>
      <c r="D637" s="9">
        <v>277053915</v>
      </c>
      <c r="E637" s="9">
        <v>286873375</v>
      </c>
      <c r="F637" s="9">
        <v>296638465</v>
      </c>
      <c r="G637" s="9">
        <v>306511567</v>
      </c>
      <c r="H637" s="9">
        <v>316513186</v>
      </c>
      <c r="I637" s="6">
        <v>3.4344602229999999</v>
      </c>
    </row>
    <row r="638" spans="1:9" ht="60" x14ac:dyDescent="0.25">
      <c r="A638" s="1" t="s">
        <v>150</v>
      </c>
      <c r="B638" s="9">
        <v>49695112</v>
      </c>
      <c r="C638" s="9">
        <v>53135333</v>
      </c>
      <c r="D638" s="9">
        <v>56578793</v>
      </c>
      <c r="E638" s="9">
        <v>60088006</v>
      </c>
      <c r="F638" s="9">
        <v>63588620</v>
      </c>
      <c r="G638" s="9">
        <v>66737643</v>
      </c>
      <c r="H638" s="9">
        <v>69845002</v>
      </c>
      <c r="I638" s="6">
        <v>5.8368592220000002</v>
      </c>
    </row>
    <row r="639" spans="1:9" ht="60" x14ac:dyDescent="0.25">
      <c r="A639" s="1" t="s">
        <v>149</v>
      </c>
      <c r="B639" s="9">
        <v>3402158</v>
      </c>
      <c r="C639" s="9">
        <v>3930783</v>
      </c>
      <c r="D639" s="9">
        <v>4508781</v>
      </c>
      <c r="E639" s="9">
        <v>5127617</v>
      </c>
      <c r="F639" s="9">
        <v>5778228</v>
      </c>
      <c r="G639" s="9">
        <v>6451416</v>
      </c>
      <c r="H639" s="9">
        <v>7177779</v>
      </c>
      <c r="I639" s="6">
        <v>13.250275524999999</v>
      </c>
    </row>
    <row r="640" spans="1:9" ht="60" x14ac:dyDescent="0.25">
      <c r="A640" s="1" t="s">
        <v>148</v>
      </c>
      <c r="B640" s="9">
        <v>27051267</v>
      </c>
      <c r="C640" s="9">
        <v>27418043</v>
      </c>
      <c r="D640" s="9">
        <v>27647639</v>
      </c>
      <c r="E640" s="9">
        <v>27852578</v>
      </c>
      <c r="F640" s="9">
        <v>27839561</v>
      </c>
      <c r="G640" s="9">
        <v>27472428</v>
      </c>
      <c r="H640" s="9">
        <v>26985098</v>
      </c>
      <c r="I640" s="6">
        <v>-4.0809264999999997E-2</v>
      </c>
    </row>
    <row r="641" spans="1:9" ht="60" x14ac:dyDescent="0.25">
      <c r="A641" s="1" t="s">
        <v>147</v>
      </c>
      <c r="B641" s="9">
        <v>17618642</v>
      </c>
      <c r="C641" s="9">
        <v>19982659</v>
      </c>
      <c r="D641" s="9">
        <v>22477670</v>
      </c>
      <c r="E641" s="9">
        <v>25046410</v>
      </c>
      <c r="F641" s="9">
        <v>27771226</v>
      </c>
      <c r="G641" s="9">
        <v>30487707</v>
      </c>
      <c r="H641" s="9">
        <v>33205956</v>
      </c>
      <c r="I641" s="6">
        <v>11.140904317</v>
      </c>
    </row>
    <row r="642" spans="1:9" ht="75" x14ac:dyDescent="0.25">
      <c r="A642" s="1" t="s">
        <v>146</v>
      </c>
      <c r="B642" s="9">
        <v>97474</v>
      </c>
      <c r="C642" s="9">
        <v>100284</v>
      </c>
      <c r="D642" s="9">
        <v>103065</v>
      </c>
      <c r="E642" s="9">
        <v>106933</v>
      </c>
      <c r="F642" s="9">
        <v>114092</v>
      </c>
      <c r="G642" s="9">
        <v>119326</v>
      </c>
      <c r="H642" s="9">
        <v>126716</v>
      </c>
      <c r="I642" s="6">
        <v>4.4697233110000001</v>
      </c>
    </row>
    <row r="643" spans="1:9" ht="75" x14ac:dyDescent="0.25">
      <c r="A643" s="1" t="s">
        <v>145</v>
      </c>
      <c r="B643" s="9">
        <v>1498041</v>
      </c>
      <c r="C643" s="9">
        <v>1675488</v>
      </c>
      <c r="D643" s="9">
        <v>1812996</v>
      </c>
      <c r="E643" s="9">
        <v>1925239</v>
      </c>
      <c r="F643" s="9">
        <v>2055670</v>
      </c>
      <c r="G643" s="9">
        <v>2176325</v>
      </c>
      <c r="H643" s="9">
        <v>2318354</v>
      </c>
      <c r="I643" s="6">
        <v>7.5497343199999998</v>
      </c>
    </row>
    <row r="644" spans="1:9" ht="75" x14ac:dyDescent="0.25">
      <c r="A644" s="1" t="s">
        <v>144</v>
      </c>
      <c r="B644" s="9">
        <v>27529</v>
      </c>
      <c r="C644" s="9">
        <v>28076</v>
      </c>
      <c r="D644" s="9">
        <v>28643</v>
      </c>
      <c r="E644" s="9">
        <v>29230</v>
      </c>
      <c r="F644" s="9">
        <v>29843</v>
      </c>
      <c r="G644" s="9">
        <v>30441</v>
      </c>
      <c r="H644" s="9">
        <v>31100</v>
      </c>
      <c r="I644" s="6">
        <v>2.0535991130000002</v>
      </c>
    </row>
    <row r="645" spans="1:9" x14ac:dyDescent="0.25">
      <c r="A645" s="1" t="s">
        <v>12</v>
      </c>
      <c r="B645" s="2"/>
      <c r="C645" s="2"/>
      <c r="D645" s="2"/>
      <c r="E645" s="2"/>
      <c r="F645" s="2"/>
      <c r="G645" s="2"/>
      <c r="H645" s="2"/>
      <c r="I645" s="2"/>
    </row>
    <row r="646" spans="1:9" x14ac:dyDescent="0.25">
      <c r="A646" s="8" t="s">
        <v>68</v>
      </c>
      <c r="B646" s="2"/>
      <c r="C646" s="2"/>
      <c r="D646" s="2"/>
      <c r="E646" s="2"/>
      <c r="F646" s="2"/>
      <c r="G646" s="2"/>
      <c r="H646" s="2"/>
      <c r="I646" s="2"/>
    </row>
    <row r="647" spans="1:9" ht="30" x14ac:dyDescent="0.25">
      <c r="A647" s="1" t="s">
        <v>153</v>
      </c>
      <c r="B647" s="7" t="s">
        <v>58</v>
      </c>
      <c r="C647" s="7" t="s">
        <v>58</v>
      </c>
      <c r="D647" s="7" t="s">
        <v>58</v>
      </c>
      <c r="E647" s="7" t="s">
        <v>58</v>
      </c>
      <c r="F647" s="7" t="s">
        <v>58</v>
      </c>
      <c r="G647" s="7" t="s">
        <v>58</v>
      </c>
      <c r="H647" s="7" t="s">
        <v>58</v>
      </c>
      <c r="I647" s="7" t="s">
        <v>58</v>
      </c>
    </row>
    <row r="648" spans="1:9" ht="45" x14ac:dyDescent="0.25">
      <c r="A648" s="1" t="s">
        <v>152</v>
      </c>
      <c r="B648" s="7" t="s">
        <v>58</v>
      </c>
      <c r="C648" s="7" t="s">
        <v>58</v>
      </c>
      <c r="D648" s="7" t="s">
        <v>58</v>
      </c>
      <c r="E648" s="7" t="s">
        <v>58</v>
      </c>
      <c r="F648" s="7" t="s">
        <v>58</v>
      </c>
      <c r="G648" s="7" t="s">
        <v>58</v>
      </c>
      <c r="H648" s="7" t="s">
        <v>58</v>
      </c>
      <c r="I648" s="7" t="s">
        <v>58</v>
      </c>
    </row>
    <row r="649" spans="1:9" ht="30" x14ac:dyDescent="0.25">
      <c r="A649" s="1" t="s">
        <v>151</v>
      </c>
      <c r="B649" s="7" t="s">
        <v>58</v>
      </c>
      <c r="C649" s="7" t="s">
        <v>58</v>
      </c>
      <c r="D649" s="7" t="s">
        <v>58</v>
      </c>
      <c r="E649" s="7" t="s">
        <v>58</v>
      </c>
      <c r="F649" s="7" t="s">
        <v>58</v>
      </c>
      <c r="G649" s="7" t="s">
        <v>58</v>
      </c>
      <c r="H649" s="7" t="s">
        <v>58</v>
      </c>
      <c r="I649" s="7" t="s">
        <v>58</v>
      </c>
    </row>
    <row r="650" spans="1:9" ht="60" x14ac:dyDescent="0.25">
      <c r="A650" s="1" t="s">
        <v>150</v>
      </c>
      <c r="B650" s="7" t="s">
        <v>58</v>
      </c>
      <c r="C650" s="7" t="s">
        <v>58</v>
      </c>
      <c r="D650" s="7" t="s">
        <v>58</v>
      </c>
      <c r="E650" s="7" t="s">
        <v>58</v>
      </c>
      <c r="F650" s="7" t="s">
        <v>58</v>
      </c>
      <c r="G650" s="7" t="s">
        <v>58</v>
      </c>
      <c r="H650" s="7" t="s">
        <v>58</v>
      </c>
      <c r="I650" s="7" t="s">
        <v>58</v>
      </c>
    </row>
    <row r="651" spans="1:9" ht="60" x14ac:dyDescent="0.25">
      <c r="A651" s="1" t="s">
        <v>149</v>
      </c>
      <c r="B651" s="7" t="s">
        <v>58</v>
      </c>
      <c r="C651" s="7" t="s">
        <v>58</v>
      </c>
      <c r="D651" s="7" t="s">
        <v>58</v>
      </c>
      <c r="E651" s="7" t="s">
        <v>58</v>
      </c>
      <c r="F651" s="7" t="s">
        <v>58</v>
      </c>
      <c r="G651" s="7" t="s">
        <v>58</v>
      </c>
      <c r="H651" s="7" t="s">
        <v>58</v>
      </c>
      <c r="I651" s="7" t="s">
        <v>58</v>
      </c>
    </row>
    <row r="652" spans="1:9" ht="60" x14ac:dyDescent="0.25">
      <c r="A652" s="1" t="s">
        <v>148</v>
      </c>
      <c r="B652" s="7" t="s">
        <v>58</v>
      </c>
      <c r="C652" s="7" t="s">
        <v>58</v>
      </c>
      <c r="D652" s="7" t="s">
        <v>58</v>
      </c>
      <c r="E652" s="7" t="s">
        <v>58</v>
      </c>
      <c r="F652" s="7" t="s">
        <v>58</v>
      </c>
      <c r="G652" s="7" t="s">
        <v>58</v>
      </c>
      <c r="H652" s="7" t="s">
        <v>58</v>
      </c>
      <c r="I652" s="7" t="s">
        <v>58</v>
      </c>
    </row>
    <row r="653" spans="1:9" ht="60" x14ac:dyDescent="0.25">
      <c r="A653" s="1" t="s">
        <v>147</v>
      </c>
      <c r="B653" s="7" t="s">
        <v>58</v>
      </c>
      <c r="C653" s="7" t="s">
        <v>58</v>
      </c>
      <c r="D653" s="7" t="s">
        <v>58</v>
      </c>
      <c r="E653" s="7" t="s">
        <v>58</v>
      </c>
      <c r="F653" s="7" t="s">
        <v>58</v>
      </c>
      <c r="G653" s="7" t="s">
        <v>58</v>
      </c>
      <c r="H653" s="7" t="s">
        <v>58</v>
      </c>
      <c r="I653" s="7" t="s">
        <v>58</v>
      </c>
    </row>
    <row r="654" spans="1:9" ht="75" x14ac:dyDescent="0.25">
      <c r="A654" s="1" t="s">
        <v>146</v>
      </c>
      <c r="B654" s="7" t="s">
        <v>58</v>
      </c>
      <c r="C654" s="7" t="s">
        <v>58</v>
      </c>
      <c r="D654" s="7" t="s">
        <v>58</v>
      </c>
      <c r="E654" s="7" t="s">
        <v>58</v>
      </c>
      <c r="F654" s="7" t="s">
        <v>58</v>
      </c>
      <c r="G654" s="7" t="s">
        <v>58</v>
      </c>
      <c r="H654" s="7" t="s">
        <v>58</v>
      </c>
      <c r="I654" s="7" t="s">
        <v>58</v>
      </c>
    </row>
    <row r="655" spans="1:9" ht="75" x14ac:dyDescent="0.25">
      <c r="A655" s="1" t="s">
        <v>145</v>
      </c>
      <c r="B655" s="7" t="s">
        <v>58</v>
      </c>
      <c r="C655" s="7" t="s">
        <v>58</v>
      </c>
      <c r="D655" s="7" t="s">
        <v>58</v>
      </c>
      <c r="E655" s="7" t="s">
        <v>58</v>
      </c>
      <c r="F655" s="7" t="s">
        <v>58</v>
      </c>
      <c r="G655" s="7" t="s">
        <v>58</v>
      </c>
      <c r="H655" s="7" t="s">
        <v>58</v>
      </c>
      <c r="I655" s="7" t="s">
        <v>58</v>
      </c>
    </row>
    <row r="656" spans="1:9" ht="75" x14ac:dyDescent="0.25">
      <c r="A656" s="1" t="s">
        <v>144</v>
      </c>
      <c r="B656" s="7" t="s">
        <v>58</v>
      </c>
      <c r="C656" s="7" t="s">
        <v>58</v>
      </c>
      <c r="D656" s="7" t="s">
        <v>58</v>
      </c>
      <c r="E656" s="7" t="s">
        <v>58</v>
      </c>
      <c r="F656" s="7" t="s">
        <v>58</v>
      </c>
      <c r="G656" s="7" t="s">
        <v>58</v>
      </c>
      <c r="H656" s="7" t="s">
        <v>58</v>
      </c>
      <c r="I656" s="7" t="s">
        <v>58</v>
      </c>
    </row>
    <row r="657" spans="1:9" x14ac:dyDescent="0.25">
      <c r="A657" s="1" t="s">
        <v>12</v>
      </c>
      <c r="B657" s="2"/>
      <c r="C657" s="2"/>
      <c r="D657" s="2"/>
      <c r="E657" s="2"/>
      <c r="F657" s="2"/>
      <c r="G657" s="2"/>
      <c r="H657" s="2"/>
      <c r="I657" s="2"/>
    </row>
    <row r="658" spans="1:9" x14ac:dyDescent="0.25">
      <c r="A658" s="8" t="s">
        <v>69</v>
      </c>
      <c r="B658" s="2"/>
      <c r="C658" s="2"/>
      <c r="D658" s="2"/>
      <c r="E658" s="2"/>
      <c r="F658" s="2"/>
      <c r="G658" s="2"/>
      <c r="H658" s="2"/>
      <c r="I658" s="2"/>
    </row>
    <row r="659" spans="1:9" ht="30" x14ac:dyDescent="0.25">
      <c r="A659" s="1" t="s">
        <v>153</v>
      </c>
      <c r="B659" s="9">
        <v>54924186</v>
      </c>
      <c r="C659" s="9">
        <v>55289208</v>
      </c>
      <c r="D659" s="9">
        <v>55649307</v>
      </c>
      <c r="E659" s="9">
        <v>56004502</v>
      </c>
      <c r="F659" s="9">
        <v>56354815</v>
      </c>
      <c r="G659" s="9">
        <v>56700269</v>
      </c>
      <c r="H659" s="9">
        <v>57040890</v>
      </c>
      <c r="I659" s="6">
        <v>0.63223322880999999</v>
      </c>
    </row>
    <row r="660" spans="1:9" ht="45" x14ac:dyDescent="0.25">
      <c r="A660" s="1" t="s">
        <v>152</v>
      </c>
      <c r="B660" s="9">
        <v>11687221</v>
      </c>
      <c r="C660" s="9">
        <v>11764117</v>
      </c>
      <c r="D660" s="9">
        <v>11839971</v>
      </c>
      <c r="E660" s="9">
        <v>11914786</v>
      </c>
      <c r="F660" s="9">
        <v>11988569</v>
      </c>
      <c r="G660" s="9">
        <v>12061324</v>
      </c>
      <c r="H660" s="9">
        <v>12133056</v>
      </c>
      <c r="I660" s="6">
        <v>0.625910784</v>
      </c>
    </row>
    <row r="661" spans="1:9" ht="30" x14ac:dyDescent="0.25">
      <c r="A661" s="1" t="s">
        <v>151</v>
      </c>
      <c r="B661" s="9">
        <v>6779086</v>
      </c>
      <c r="C661" s="9">
        <v>6891926</v>
      </c>
      <c r="D661" s="9">
        <v>7005728</v>
      </c>
      <c r="E661" s="9">
        <v>7120496</v>
      </c>
      <c r="F661" s="9">
        <v>7236236</v>
      </c>
      <c r="G661" s="9">
        <v>7352952</v>
      </c>
      <c r="H661" s="9">
        <v>7470649</v>
      </c>
      <c r="I661" s="6">
        <v>1.632169902</v>
      </c>
    </row>
    <row r="662" spans="1:9" ht="60" x14ac:dyDescent="0.25">
      <c r="A662" s="1" t="s">
        <v>150</v>
      </c>
      <c r="B662" s="9">
        <v>1195405</v>
      </c>
      <c r="C662" s="9">
        <v>1318606</v>
      </c>
      <c r="D662" s="9">
        <v>1440690</v>
      </c>
      <c r="E662" s="9">
        <v>1604786</v>
      </c>
      <c r="F662" s="9">
        <v>1755091</v>
      </c>
      <c r="G662" s="9">
        <v>1958943</v>
      </c>
      <c r="H662" s="9">
        <v>2168920</v>
      </c>
      <c r="I662" s="6">
        <v>10.438731811</v>
      </c>
    </row>
    <row r="663" spans="1:9" ht="60" x14ac:dyDescent="0.25">
      <c r="A663" s="1" t="s">
        <v>149</v>
      </c>
      <c r="B663" s="9">
        <v>0</v>
      </c>
      <c r="C663" s="9">
        <v>0</v>
      </c>
      <c r="D663" s="9">
        <v>0</v>
      </c>
      <c r="E663" s="9">
        <v>0</v>
      </c>
      <c r="F663" s="9">
        <v>0</v>
      </c>
      <c r="G663" s="9">
        <v>0</v>
      </c>
      <c r="H663" s="9">
        <v>0</v>
      </c>
      <c r="I663" s="7" t="s">
        <v>58</v>
      </c>
    </row>
    <row r="664" spans="1:9" ht="60" x14ac:dyDescent="0.25">
      <c r="A664" s="1" t="s">
        <v>148</v>
      </c>
      <c r="B664" s="9">
        <v>12363</v>
      </c>
      <c r="C664" s="9">
        <v>12239</v>
      </c>
      <c r="D664" s="9">
        <v>12117</v>
      </c>
      <c r="E664" s="9">
        <v>11996</v>
      </c>
      <c r="F664" s="9">
        <v>11876</v>
      </c>
      <c r="G664" s="9">
        <v>11757</v>
      </c>
      <c r="H664" s="9">
        <v>11639</v>
      </c>
      <c r="I664" s="6">
        <v>-1.0007358630000001</v>
      </c>
    </row>
    <row r="665" spans="1:9" ht="60" x14ac:dyDescent="0.25">
      <c r="A665" s="1" t="s">
        <v>147</v>
      </c>
      <c r="B665" s="9">
        <v>1112464</v>
      </c>
      <c r="C665" s="9">
        <v>1235948</v>
      </c>
      <c r="D665" s="9">
        <v>1358307</v>
      </c>
      <c r="E665" s="9">
        <v>1522662</v>
      </c>
      <c r="F665" s="9">
        <v>1673238</v>
      </c>
      <c r="G665" s="9">
        <v>1877373</v>
      </c>
      <c r="H665" s="9">
        <v>2087638</v>
      </c>
      <c r="I665" s="6">
        <v>11.060989353</v>
      </c>
    </row>
    <row r="666" spans="1:9" ht="75" x14ac:dyDescent="0.25">
      <c r="A666" s="1" t="s">
        <v>146</v>
      </c>
      <c r="B666" s="9">
        <v>990</v>
      </c>
      <c r="C666" s="9">
        <v>991</v>
      </c>
      <c r="D666" s="9">
        <v>992</v>
      </c>
      <c r="E666" s="9">
        <v>993</v>
      </c>
      <c r="F666" s="9">
        <v>994</v>
      </c>
      <c r="G666" s="9">
        <v>995</v>
      </c>
      <c r="H666" s="9">
        <v>996</v>
      </c>
      <c r="I666" s="6">
        <v>0.100755966</v>
      </c>
    </row>
    <row r="667" spans="1:9" ht="75" x14ac:dyDescent="0.25">
      <c r="A667" s="1" t="s">
        <v>145</v>
      </c>
      <c r="B667" s="9">
        <v>69588</v>
      </c>
      <c r="C667" s="9">
        <v>69428</v>
      </c>
      <c r="D667" s="9">
        <v>69275</v>
      </c>
      <c r="E667" s="9">
        <v>69136</v>
      </c>
      <c r="F667" s="9">
        <v>68984</v>
      </c>
      <c r="G667" s="9">
        <v>68818</v>
      </c>
      <c r="H667" s="9">
        <v>68646</v>
      </c>
      <c r="I667" s="6">
        <v>-0.22689677799999999</v>
      </c>
    </row>
    <row r="668" spans="1:9" ht="75" x14ac:dyDescent="0.25">
      <c r="A668" s="1" t="s">
        <v>144</v>
      </c>
      <c r="B668" s="9">
        <v>0</v>
      </c>
      <c r="C668" s="9">
        <v>0</v>
      </c>
      <c r="D668" s="9">
        <v>0</v>
      </c>
      <c r="E668" s="9">
        <v>0</v>
      </c>
      <c r="F668" s="9">
        <v>0</v>
      </c>
      <c r="G668" s="9">
        <v>0</v>
      </c>
      <c r="H668" s="9">
        <v>0</v>
      </c>
      <c r="I668" s="7" t="s">
        <v>58</v>
      </c>
    </row>
    <row r="669" spans="1:9" x14ac:dyDescent="0.25">
      <c r="A669" s="1" t="s">
        <v>12</v>
      </c>
      <c r="B669" s="2"/>
      <c r="C669" s="2"/>
      <c r="D669" s="2"/>
      <c r="E669" s="2"/>
      <c r="F669" s="2"/>
      <c r="G669" s="2"/>
      <c r="H669" s="2"/>
      <c r="I669" s="2"/>
    </row>
    <row r="670" spans="1:9" x14ac:dyDescent="0.25">
      <c r="A670" s="8" t="s">
        <v>70</v>
      </c>
      <c r="B670" s="2"/>
      <c r="C670" s="2"/>
      <c r="D670" s="2"/>
      <c r="E670" s="2"/>
      <c r="F670" s="2"/>
      <c r="G670" s="2"/>
      <c r="H670" s="2"/>
      <c r="I670" s="2"/>
    </row>
    <row r="671" spans="1:9" ht="30" x14ac:dyDescent="0.25">
      <c r="A671" s="1" t="s">
        <v>153</v>
      </c>
      <c r="B671" s="9">
        <v>17670000</v>
      </c>
      <c r="C671" s="9">
        <v>17720000</v>
      </c>
      <c r="D671" s="9">
        <v>17770000</v>
      </c>
      <c r="E671" s="9">
        <v>17820000</v>
      </c>
      <c r="F671" s="9">
        <v>17860000</v>
      </c>
      <c r="G671" s="9">
        <v>17910000</v>
      </c>
      <c r="H671" s="9">
        <v>17940000</v>
      </c>
      <c r="I671" s="6">
        <v>0.25306250227999999</v>
      </c>
    </row>
    <row r="672" spans="1:9" ht="45" x14ac:dyDescent="0.25">
      <c r="A672" s="1" t="s">
        <v>152</v>
      </c>
      <c r="B672" s="9">
        <v>8334655</v>
      </c>
      <c r="C672" s="9">
        <v>8416335</v>
      </c>
      <c r="D672" s="9">
        <v>8498815</v>
      </c>
      <c r="E672" s="9">
        <v>8582104</v>
      </c>
      <c r="F672" s="9">
        <v>8666208</v>
      </c>
      <c r="G672" s="9">
        <v>8731205</v>
      </c>
      <c r="H672" s="9">
        <v>8796689</v>
      </c>
      <c r="I672" s="6">
        <v>0.90327642500000005</v>
      </c>
    </row>
    <row r="673" spans="1:9" ht="30" x14ac:dyDescent="0.25">
      <c r="A673" s="1" t="s">
        <v>151</v>
      </c>
      <c r="B673" s="9">
        <v>7997720</v>
      </c>
      <c r="C673" s="9">
        <v>8043794</v>
      </c>
      <c r="D673" s="9">
        <v>8090132</v>
      </c>
      <c r="E673" s="9">
        <v>8136738</v>
      </c>
      <c r="F673" s="9">
        <v>8183612</v>
      </c>
      <c r="G673" s="9">
        <v>8212009</v>
      </c>
      <c r="H673" s="9">
        <v>8240505</v>
      </c>
      <c r="I673" s="6">
        <v>0.49966296300000002</v>
      </c>
    </row>
    <row r="674" spans="1:9" ht="60" x14ac:dyDescent="0.25">
      <c r="A674" s="1" t="s">
        <v>150</v>
      </c>
      <c r="B674" s="9">
        <v>7699513</v>
      </c>
      <c r="C674" s="9">
        <v>7760868</v>
      </c>
      <c r="D674" s="9">
        <v>7823481</v>
      </c>
      <c r="E674" s="9">
        <v>7885161</v>
      </c>
      <c r="F674" s="9">
        <v>7944921</v>
      </c>
      <c r="G674" s="9">
        <v>8019971</v>
      </c>
      <c r="H674" s="9">
        <v>8086595</v>
      </c>
      <c r="I674" s="6">
        <v>0.82086195399999995</v>
      </c>
    </row>
    <row r="675" spans="1:9" ht="60" x14ac:dyDescent="0.25">
      <c r="A675" s="1" t="s">
        <v>149</v>
      </c>
      <c r="B675" s="9">
        <v>3492683</v>
      </c>
      <c r="C675" s="9">
        <v>3513715</v>
      </c>
      <c r="D675" s="9">
        <v>3531524</v>
      </c>
      <c r="E675" s="9">
        <v>3546050</v>
      </c>
      <c r="F675" s="9">
        <v>3557245</v>
      </c>
      <c r="G675" s="9">
        <v>3569169</v>
      </c>
      <c r="H675" s="9">
        <v>3581142</v>
      </c>
      <c r="I675" s="6">
        <v>0.417728985</v>
      </c>
    </row>
    <row r="676" spans="1:9" ht="60" x14ac:dyDescent="0.25">
      <c r="A676" s="1" t="s">
        <v>148</v>
      </c>
      <c r="B676" s="9">
        <v>945352</v>
      </c>
      <c r="C676" s="9">
        <v>743440</v>
      </c>
      <c r="D676" s="9">
        <v>563673</v>
      </c>
      <c r="E676" s="9">
        <v>419765</v>
      </c>
      <c r="F676" s="9">
        <v>302897</v>
      </c>
      <c r="G676" s="9">
        <v>230233</v>
      </c>
      <c r="H676" s="9">
        <v>178431</v>
      </c>
      <c r="I676" s="6">
        <v>-24.262181178999999</v>
      </c>
    </row>
    <row r="677" spans="1:9" ht="60" x14ac:dyDescent="0.25">
      <c r="A677" s="1" t="s">
        <v>147</v>
      </c>
      <c r="B677" s="9">
        <v>3254553</v>
      </c>
      <c r="C677" s="9">
        <v>3491962</v>
      </c>
      <c r="D677" s="9">
        <v>3708037</v>
      </c>
      <c r="E677" s="9">
        <v>3888173</v>
      </c>
      <c r="F677" s="9">
        <v>4036636</v>
      </c>
      <c r="G677" s="9">
        <v>4160463</v>
      </c>
      <c r="H677" s="9">
        <v>4257947</v>
      </c>
      <c r="I677" s="6">
        <v>4.5806854120000002</v>
      </c>
    </row>
    <row r="678" spans="1:9" ht="75" x14ac:dyDescent="0.25">
      <c r="A678" s="1" t="s">
        <v>146</v>
      </c>
      <c r="B678" s="9">
        <v>406</v>
      </c>
      <c r="C678" s="9">
        <v>343</v>
      </c>
      <c r="D678" s="9">
        <v>285</v>
      </c>
      <c r="E678" s="9">
        <v>231</v>
      </c>
      <c r="F678" s="9">
        <v>184</v>
      </c>
      <c r="G678" s="9">
        <v>156</v>
      </c>
      <c r="H678" s="9">
        <v>133</v>
      </c>
      <c r="I678" s="6">
        <v>-16.972696288000002</v>
      </c>
    </row>
    <row r="679" spans="1:9" ht="75" x14ac:dyDescent="0.25">
      <c r="A679" s="1" t="s">
        <v>145</v>
      </c>
      <c r="B679" s="9">
        <v>6518</v>
      </c>
      <c r="C679" s="9">
        <v>11407</v>
      </c>
      <c r="D679" s="9">
        <v>19962</v>
      </c>
      <c r="E679" s="9">
        <v>30942</v>
      </c>
      <c r="F679" s="9">
        <v>47959</v>
      </c>
      <c r="G679" s="9">
        <v>59949</v>
      </c>
      <c r="H679" s="9">
        <v>68942</v>
      </c>
      <c r="I679" s="6">
        <v>48.159073546999998</v>
      </c>
    </row>
    <row r="680" spans="1:9" ht="75" x14ac:dyDescent="0.25">
      <c r="A680" s="1" t="s">
        <v>144</v>
      </c>
      <c r="B680" s="7" t="s">
        <v>58</v>
      </c>
      <c r="C680" s="7" t="s">
        <v>58</v>
      </c>
      <c r="D680" s="7" t="s">
        <v>58</v>
      </c>
      <c r="E680" s="7" t="s">
        <v>58</v>
      </c>
      <c r="F680" s="7" t="s">
        <v>58</v>
      </c>
      <c r="G680" s="7" t="s">
        <v>58</v>
      </c>
      <c r="H680" s="7" t="s">
        <v>58</v>
      </c>
      <c r="I680" s="7" t="s">
        <v>58</v>
      </c>
    </row>
    <row r="681" spans="1:9" x14ac:dyDescent="0.25">
      <c r="A681" s="1" t="s">
        <v>12</v>
      </c>
      <c r="B681" s="2"/>
      <c r="C681" s="2"/>
      <c r="D681" s="2"/>
      <c r="E681" s="2"/>
      <c r="F681" s="2"/>
      <c r="G681" s="2"/>
      <c r="H681" s="2"/>
      <c r="I681" s="2"/>
    </row>
    <row r="682" spans="1:9" x14ac:dyDescent="0.25">
      <c r="A682" s="8" t="s">
        <v>71</v>
      </c>
      <c r="B682" s="2"/>
      <c r="C682" s="2"/>
      <c r="D682" s="2"/>
      <c r="E682" s="2"/>
      <c r="F682" s="2"/>
      <c r="G682" s="2"/>
      <c r="H682" s="2"/>
      <c r="I682" s="2"/>
    </row>
    <row r="683" spans="1:9" ht="30" x14ac:dyDescent="0.25">
      <c r="A683" s="1" t="s">
        <v>153</v>
      </c>
      <c r="B683" s="9">
        <v>5210000</v>
      </c>
      <c r="C683" s="9">
        <v>5250000</v>
      </c>
      <c r="D683" s="9">
        <v>5290000</v>
      </c>
      <c r="E683" s="9">
        <v>5320000</v>
      </c>
      <c r="F683" s="9">
        <v>5350000</v>
      </c>
      <c r="G683" s="9">
        <v>5380000</v>
      </c>
      <c r="H683" s="9">
        <v>5410000</v>
      </c>
      <c r="I683" s="6">
        <v>0.62979554269000004</v>
      </c>
    </row>
    <row r="684" spans="1:9" ht="45" x14ac:dyDescent="0.25">
      <c r="A684" s="1" t="s">
        <v>152</v>
      </c>
      <c r="B684" s="9">
        <v>1760934</v>
      </c>
      <c r="C684" s="9">
        <v>1777663</v>
      </c>
      <c r="D684" s="9">
        <v>1792240</v>
      </c>
      <c r="E684" s="9">
        <v>1808370</v>
      </c>
      <c r="F684" s="9">
        <v>1825188</v>
      </c>
      <c r="G684" s="9">
        <v>1842710</v>
      </c>
      <c r="H684" s="9">
        <v>1859478</v>
      </c>
      <c r="I684" s="6">
        <v>0.91165470400000004</v>
      </c>
    </row>
    <row r="685" spans="1:9" ht="30" x14ac:dyDescent="0.25">
      <c r="A685" s="1" t="s">
        <v>151</v>
      </c>
      <c r="B685" s="9">
        <v>1752517</v>
      </c>
      <c r="C685" s="9">
        <v>1769608</v>
      </c>
      <c r="D685" s="9">
        <v>1784565</v>
      </c>
      <c r="E685" s="9">
        <v>1801076</v>
      </c>
      <c r="F685" s="9">
        <v>1818280</v>
      </c>
      <c r="G685" s="9">
        <v>1836195</v>
      </c>
      <c r="H685" s="9">
        <v>1853367</v>
      </c>
      <c r="I685" s="6">
        <v>0.93687721800000001</v>
      </c>
    </row>
    <row r="686" spans="1:9" ht="60" x14ac:dyDescent="0.25">
      <c r="A686" s="1" t="s">
        <v>150</v>
      </c>
      <c r="B686" s="9">
        <v>1614425</v>
      </c>
      <c r="C686" s="9">
        <v>1638095</v>
      </c>
      <c r="D686" s="9">
        <v>1648032</v>
      </c>
      <c r="E686" s="9">
        <v>1674164</v>
      </c>
      <c r="F686" s="9">
        <v>1687937</v>
      </c>
      <c r="G686" s="9">
        <v>1712709</v>
      </c>
      <c r="H686" s="9">
        <v>1730388</v>
      </c>
      <c r="I686" s="6">
        <v>1.1628222319999999</v>
      </c>
    </row>
    <row r="687" spans="1:9" ht="60" x14ac:dyDescent="0.25">
      <c r="A687" s="1" t="s">
        <v>149</v>
      </c>
      <c r="B687" s="9">
        <v>75598</v>
      </c>
      <c r="C687" s="9">
        <v>72574</v>
      </c>
      <c r="D687" s="9">
        <v>68583</v>
      </c>
      <c r="E687" s="9">
        <v>65839</v>
      </c>
      <c r="F687" s="9">
        <v>62218</v>
      </c>
      <c r="G687" s="9">
        <v>59418</v>
      </c>
      <c r="H687" s="9">
        <v>58408</v>
      </c>
      <c r="I687" s="6">
        <v>-4.2084931709999998</v>
      </c>
    </row>
    <row r="688" spans="1:9" ht="60" x14ac:dyDescent="0.25">
      <c r="A688" s="1" t="s">
        <v>148</v>
      </c>
      <c r="B688" s="9">
        <v>300085</v>
      </c>
      <c r="C688" s="9">
        <v>265575</v>
      </c>
      <c r="D688" s="9">
        <v>241939</v>
      </c>
      <c r="E688" s="9">
        <v>224277</v>
      </c>
      <c r="F688" s="9">
        <v>202522</v>
      </c>
      <c r="G688" s="9">
        <v>186928</v>
      </c>
      <c r="H688" s="9">
        <v>167488</v>
      </c>
      <c r="I688" s="6">
        <v>-9.2618539569999996</v>
      </c>
    </row>
    <row r="689" spans="1:9" ht="60" x14ac:dyDescent="0.25">
      <c r="A689" s="1" t="s">
        <v>147</v>
      </c>
      <c r="B689" s="9">
        <v>919454</v>
      </c>
      <c r="C689" s="9">
        <v>956232</v>
      </c>
      <c r="D689" s="9">
        <v>987788</v>
      </c>
      <c r="E689" s="9">
        <v>1023348</v>
      </c>
      <c r="F689" s="9">
        <v>1054048</v>
      </c>
      <c r="G689" s="9">
        <v>1087778</v>
      </c>
      <c r="H689" s="9">
        <v>1117148</v>
      </c>
      <c r="I689" s="6">
        <v>3.2991586530000001</v>
      </c>
    </row>
    <row r="690" spans="1:9" ht="75" x14ac:dyDescent="0.25">
      <c r="A690" s="1" t="s">
        <v>146</v>
      </c>
      <c r="B690" s="9">
        <v>36993</v>
      </c>
      <c r="C690" s="9">
        <v>55490</v>
      </c>
      <c r="D690" s="9">
        <v>56600</v>
      </c>
      <c r="E690" s="9">
        <v>61128</v>
      </c>
      <c r="F690" s="9">
        <v>64184</v>
      </c>
      <c r="G690" s="9">
        <v>69961</v>
      </c>
      <c r="H690" s="9">
        <v>75635</v>
      </c>
      <c r="I690" s="6">
        <v>12.659341853000001</v>
      </c>
    </row>
    <row r="691" spans="1:9" ht="75" x14ac:dyDescent="0.25">
      <c r="A691" s="1" t="s">
        <v>145</v>
      </c>
      <c r="B691" s="9">
        <v>282295</v>
      </c>
      <c r="C691" s="9">
        <v>288223</v>
      </c>
      <c r="D691" s="9">
        <v>293123</v>
      </c>
      <c r="E691" s="9">
        <v>299572</v>
      </c>
      <c r="F691" s="9">
        <v>304964</v>
      </c>
      <c r="G691" s="9">
        <v>308624</v>
      </c>
      <c r="H691" s="9">
        <v>311710</v>
      </c>
      <c r="I691" s="6">
        <v>1.665731901</v>
      </c>
    </row>
    <row r="692" spans="1:9" ht="75" x14ac:dyDescent="0.25">
      <c r="A692" s="1" t="s">
        <v>144</v>
      </c>
      <c r="B692" s="9">
        <v>0</v>
      </c>
      <c r="C692" s="9">
        <v>0</v>
      </c>
      <c r="D692" s="9">
        <v>0</v>
      </c>
      <c r="E692" s="9">
        <v>0</v>
      </c>
      <c r="F692" s="9">
        <v>0</v>
      </c>
      <c r="G692" s="9">
        <v>0</v>
      </c>
      <c r="H692" s="9">
        <v>0</v>
      </c>
      <c r="I692" s="7" t="s">
        <v>58</v>
      </c>
    </row>
    <row r="693" spans="1:9" x14ac:dyDescent="0.25">
      <c r="A693" s="1" t="s">
        <v>12</v>
      </c>
      <c r="B693" s="2"/>
      <c r="C693" s="2"/>
      <c r="D693" s="2"/>
      <c r="E693" s="2"/>
      <c r="F693" s="2"/>
      <c r="G693" s="2"/>
      <c r="H693" s="2"/>
      <c r="I693" s="2"/>
    </row>
    <row r="694" spans="1:9" x14ac:dyDescent="0.25">
      <c r="A694" s="8" t="s">
        <v>72</v>
      </c>
      <c r="B694" s="2"/>
      <c r="C694" s="2"/>
      <c r="D694" s="2"/>
      <c r="E694" s="2"/>
      <c r="F694" s="2"/>
      <c r="G694" s="2"/>
      <c r="H694" s="2"/>
      <c r="I694" s="2"/>
    </row>
    <row r="695" spans="1:9" ht="30" x14ac:dyDescent="0.25">
      <c r="A695" s="1" t="s">
        <v>153</v>
      </c>
      <c r="B695" s="9">
        <v>6930000</v>
      </c>
      <c r="C695" s="9">
        <v>6999300</v>
      </c>
      <c r="D695" s="9">
        <v>7069293</v>
      </c>
      <c r="E695" s="9">
        <v>7139986</v>
      </c>
      <c r="F695" s="9">
        <v>7211386</v>
      </c>
      <c r="G695" s="9">
        <v>7283500</v>
      </c>
      <c r="H695" s="9">
        <v>7356335</v>
      </c>
      <c r="I695" s="6">
        <v>1.00000081539</v>
      </c>
    </row>
    <row r="696" spans="1:9" ht="45" x14ac:dyDescent="0.25">
      <c r="A696" s="1" t="s">
        <v>152</v>
      </c>
      <c r="B696" s="9">
        <v>1708773</v>
      </c>
      <c r="C696" s="9">
        <v>1742300</v>
      </c>
      <c r="D696" s="9">
        <v>1775827</v>
      </c>
      <c r="E696" s="9">
        <v>1809354</v>
      </c>
      <c r="F696" s="9">
        <v>1842881</v>
      </c>
      <c r="G696" s="9">
        <v>1876408</v>
      </c>
      <c r="H696" s="9">
        <v>1909935</v>
      </c>
      <c r="I696" s="6">
        <v>1.8722040369999999</v>
      </c>
    </row>
    <row r="697" spans="1:9" ht="30" x14ac:dyDescent="0.25">
      <c r="A697" s="1" t="s">
        <v>151</v>
      </c>
      <c r="B697" s="9">
        <v>1505340</v>
      </c>
      <c r="C697" s="9">
        <v>1537892</v>
      </c>
      <c r="D697" s="9">
        <v>1560444</v>
      </c>
      <c r="E697" s="9">
        <v>1580995</v>
      </c>
      <c r="F697" s="9">
        <v>1601547</v>
      </c>
      <c r="G697" s="9">
        <v>1622099</v>
      </c>
      <c r="H697" s="9">
        <v>1642651</v>
      </c>
      <c r="I697" s="6">
        <v>1.4655117440000001</v>
      </c>
    </row>
    <row r="698" spans="1:9" ht="60" x14ac:dyDescent="0.25">
      <c r="A698" s="1" t="s">
        <v>150</v>
      </c>
      <c r="B698" s="9">
        <v>410903</v>
      </c>
      <c r="C698" s="9">
        <v>437078</v>
      </c>
      <c r="D698" s="9">
        <v>460549</v>
      </c>
      <c r="E698" s="9">
        <v>481274</v>
      </c>
      <c r="F698" s="9">
        <v>499081</v>
      </c>
      <c r="G698" s="9">
        <v>517547</v>
      </c>
      <c r="H698" s="9">
        <v>536696</v>
      </c>
      <c r="I698" s="6">
        <v>4.5517984489999996</v>
      </c>
    </row>
    <row r="699" spans="1:9" ht="60" x14ac:dyDescent="0.25">
      <c r="A699" s="1" t="s">
        <v>149</v>
      </c>
      <c r="B699" s="9">
        <v>127598</v>
      </c>
      <c r="C699" s="9">
        <v>142244</v>
      </c>
      <c r="D699" s="9">
        <v>152140</v>
      </c>
      <c r="E699" s="9">
        <v>164906</v>
      </c>
      <c r="F699" s="9">
        <v>177146</v>
      </c>
      <c r="G699" s="9">
        <v>183700</v>
      </c>
      <c r="H699" s="9">
        <v>194896</v>
      </c>
      <c r="I699" s="6">
        <v>7.3148550009999997</v>
      </c>
    </row>
    <row r="700" spans="1:9" ht="60" x14ac:dyDescent="0.25">
      <c r="A700" s="1" t="s">
        <v>148</v>
      </c>
      <c r="B700" s="9">
        <v>201064</v>
      </c>
      <c r="C700" s="9">
        <v>209390</v>
      </c>
      <c r="D700" s="9">
        <v>218389</v>
      </c>
      <c r="E700" s="9">
        <v>221556</v>
      </c>
      <c r="F700" s="9">
        <v>222847</v>
      </c>
      <c r="G700" s="9">
        <v>231092</v>
      </c>
      <c r="H700" s="9">
        <v>234691</v>
      </c>
      <c r="I700" s="6">
        <v>2.6109447459999999</v>
      </c>
    </row>
    <row r="701" spans="1:9" ht="60" x14ac:dyDescent="0.25">
      <c r="A701" s="1" t="s">
        <v>147</v>
      </c>
      <c r="B701" s="9">
        <v>8903</v>
      </c>
      <c r="C701" s="9">
        <v>9390</v>
      </c>
      <c r="D701" s="9">
        <v>10742</v>
      </c>
      <c r="E701" s="9">
        <v>12580</v>
      </c>
      <c r="F701" s="9">
        <v>14451</v>
      </c>
      <c r="G701" s="9">
        <v>14986</v>
      </c>
      <c r="H701" s="9">
        <v>16440</v>
      </c>
      <c r="I701" s="6">
        <v>10.762880114</v>
      </c>
    </row>
    <row r="702" spans="1:9" ht="75" x14ac:dyDescent="0.25">
      <c r="A702" s="1" t="s">
        <v>146</v>
      </c>
      <c r="B702" s="9">
        <v>5387</v>
      </c>
      <c r="C702" s="9">
        <v>5035</v>
      </c>
      <c r="D702" s="9">
        <v>4677</v>
      </c>
      <c r="E702" s="9">
        <v>4274</v>
      </c>
      <c r="F702" s="9">
        <v>3795</v>
      </c>
      <c r="G702" s="9">
        <v>3938</v>
      </c>
      <c r="H702" s="9">
        <v>3746</v>
      </c>
      <c r="I702" s="6">
        <v>-5.8753300719999997</v>
      </c>
    </row>
    <row r="703" spans="1:9" ht="75" x14ac:dyDescent="0.25">
      <c r="A703" s="1" t="s">
        <v>145</v>
      </c>
      <c r="B703" s="9">
        <v>66167</v>
      </c>
      <c r="C703" s="9">
        <v>69178</v>
      </c>
      <c r="D703" s="9">
        <v>72685</v>
      </c>
      <c r="E703" s="9">
        <v>75954</v>
      </c>
      <c r="F703" s="9">
        <v>78764</v>
      </c>
      <c r="G703" s="9">
        <v>81673</v>
      </c>
      <c r="H703" s="9">
        <v>84156</v>
      </c>
      <c r="I703" s="6">
        <v>4.0895841419999996</v>
      </c>
    </row>
    <row r="704" spans="1:9" ht="75" x14ac:dyDescent="0.25">
      <c r="A704" s="1" t="s">
        <v>144</v>
      </c>
      <c r="B704" s="9">
        <v>1784</v>
      </c>
      <c r="C704" s="9">
        <v>1842</v>
      </c>
      <c r="D704" s="9">
        <v>1916</v>
      </c>
      <c r="E704" s="9">
        <v>2004</v>
      </c>
      <c r="F704" s="9">
        <v>2079</v>
      </c>
      <c r="G704" s="9">
        <v>2156</v>
      </c>
      <c r="H704" s="9">
        <v>2357</v>
      </c>
      <c r="I704" s="6">
        <v>4.7516297989999998</v>
      </c>
    </row>
    <row r="705" spans="1:9" x14ac:dyDescent="0.25">
      <c r="A705" s="1" t="s">
        <v>12</v>
      </c>
      <c r="B705" s="2"/>
      <c r="C705" s="2"/>
      <c r="D705" s="2"/>
      <c r="E705" s="2"/>
      <c r="F705" s="2"/>
      <c r="G705" s="2"/>
      <c r="H705" s="2"/>
      <c r="I705" s="2"/>
    </row>
    <row r="706" spans="1:9" x14ac:dyDescent="0.25">
      <c r="A706" s="8" t="s">
        <v>73</v>
      </c>
      <c r="B706" s="2"/>
      <c r="C706" s="2"/>
      <c r="D706" s="2"/>
      <c r="E706" s="2"/>
      <c r="F706" s="2"/>
      <c r="G706" s="2"/>
      <c r="H706" s="2"/>
      <c r="I706" s="2"/>
    </row>
    <row r="707" spans="1:9" ht="30" x14ac:dyDescent="0.25">
      <c r="A707" s="1" t="s">
        <v>153</v>
      </c>
      <c r="B707" s="7" t="s">
        <v>58</v>
      </c>
      <c r="C707" s="7" t="s">
        <v>58</v>
      </c>
      <c r="D707" s="7" t="s">
        <v>58</v>
      </c>
      <c r="E707" s="7" t="s">
        <v>58</v>
      </c>
      <c r="F707" s="7" t="s">
        <v>58</v>
      </c>
      <c r="G707" s="7" t="s">
        <v>58</v>
      </c>
      <c r="H707" s="7" t="s">
        <v>58</v>
      </c>
      <c r="I707" s="7" t="s">
        <v>58</v>
      </c>
    </row>
    <row r="708" spans="1:9" ht="45" x14ac:dyDescent="0.25">
      <c r="A708" s="1" t="s">
        <v>152</v>
      </c>
      <c r="B708" s="7" t="s">
        <v>58</v>
      </c>
      <c r="C708" s="7" t="s">
        <v>58</v>
      </c>
      <c r="D708" s="7" t="s">
        <v>58</v>
      </c>
      <c r="E708" s="7" t="s">
        <v>58</v>
      </c>
      <c r="F708" s="7" t="s">
        <v>58</v>
      </c>
      <c r="G708" s="7" t="s">
        <v>58</v>
      </c>
      <c r="H708" s="7" t="s">
        <v>58</v>
      </c>
      <c r="I708" s="7" t="s">
        <v>58</v>
      </c>
    </row>
    <row r="709" spans="1:9" ht="30" x14ac:dyDescent="0.25">
      <c r="A709" s="1" t="s">
        <v>151</v>
      </c>
      <c r="B709" s="7" t="s">
        <v>58</v>
      </c>
      <c r="C709" s="7" t="s">
        <v>58</v>
      </c>
      <c r="D709" s="7" t="s">
        <v>58</v>
      </c>
      <c r="E709" s="7" t="s">
        <v>58</v>
      </c>
      <c r="F709" s="7" t="s">
        <v>58</v>
      </c>
      <c r="G709" s="7" t="s">
        <v>58</v>
      </c>
      <c r="H709" s="7" t="s">
        <v>58</v>
      </c>
      <c r="I709" s="7" t="s">
        <v>58</v>
      </c>
    </row>
    <row r="710" spans="1:9" ht="60" x14ac:dyDescent="0.25">
      <c r="A710" s="1" t="s">
        <v>150</v>
      </c>
      <c r="B710" s="7" t="s">
        <v>58</v>
      </c>
      <c r="C710" s="7" t="s">
        <v>58</v>
      </c>
      <c r="D710" s="7" t="s">
        <v>58</v>
      </c>
      <c r="E710" s="7" t="s">
        <v>58</v>
      </c>
      <c r="F710" s="7" t="s">
        <v>58</v>
      </c>
      <c r="G710" s="7" t="s">
        <v>58</v>
      </c>
      <c r="H710" s="7" t="s">
        <v>58</v>
      </c>
      <c r="I710" s="7" t="s">
        <v>58</v>
      </c>
    </row>
    <row r="711" spans="1:9" ht="60" x14ac:dyDescent="0.25">
      <c r="A711" s="1" t="s">
        <v>149</v>
      </c>
      <c r="B711" s="7" t="s">
        <v>58</v>
      </c>
      <c r="C711" s="7" t="s">
        <v>58</v>
      </c>
      <c r="D711" s="7" t="s">
        <v>58</v>
      </c>
      <c r="E711" s="7" t="s">
        <v>58</v>
      </c>
      <c r="F711" s="7" t="s">
        <v>58</v>
      </c>
      <c r="G711" s="7" t="s">
        <v>58</v>
      </c>
      <c r="H711" s="7" t="s">
        <v>58</v>
      </c>
      <c r="I711" s="7" t="s">
        <v>58</v>
      </c>
    </row>
    <row r="712" spans="1:9" ht="60" x14ac:dyDescent="0.25">
      <c r="A712" s="1" t="s">
        <v>148</v>
      </c>
      <c r="B712" s="7" t="s">
        <v>58</v>
      </c>
      <c r="C712" s="7" t="s">
        <v>58</v>
      </c>
      <c r="D712" s="7" t="s">
        <v>58</v>
      </c>
      <c r="E712" s="7" t="s">
        <v>58</v>
      </c>
      <c r="F712" s="7" t="s">
        <v>58</v>
      </c>
      <c r="G712" s="7" t="s">
        <v>58</v>
      </c>
      <c r="H712" s="7" t="s">
        <v>58</v>
      </c>
      <c r="I712" s="7" t="s">
        <v>58</v>
      </c>
    </row>
    <row r="713" spans="1:9" ht="60" x14ac:dyDescent="0.25">
      <c r="A713" s="1" t="s">
        <v>147</v>
      </c>
      <c r="B713" s="7" t="s">
        <v>58</v>
      </c>
      <c r="C713" s="7" t="s">
        <v>58</v>
      </c>
      <c r="D713" s="7" t="s">
        <v>58</v>
      </c>
      <c r="E713" s="7" t="s">
        <v>58</v>
      </c>
      <c r="F713" s="7" t="s">
        <v>58</v>
      </c>
      <c r="G713" s="7" t="s">
        <v>58</v>
      </c>
      <c r="H713" s="7" t="s">
        <v>58</v>
      </c>
      <c r="I713" s="7" t="s">
        <v>58</v>
      </c>
    </row>
    <row r="714" spans="1:9" ht="75" x14ac:dyDescent="0.25">
      <c r="A714" s="1" t="s">
        <v>146</v>
      </c>
      <c r="B714" s="7" t="s">
        <v>58</v>
      </c>
      <c r="C714" s="7" t="s">
        <v>58</v>
      </c>
      <c r="D714" s="7" t="s">
        <v>58</v>
      </c>
      <c r="E714" s="7" t="s">
        <v>58</v>
      </c>
      <c r="F714" s="7" t="s">
        <v>58</v>
      </c>
      <c r="G714" s="7" t="s">
        <v>58</v>
      </c>
      <c r="H714" s="7" t="s">
        <v>58</v>
      </c>
      <c r="I714" s="7" t="s">
        <v>58</v>
      </c>
    </row>
    <row r="715" spans="1:9" ht="75" x14ac:dyDescent="0.25">
      <c r="A715" s="1" t="s">
        <v>145</v>
      </c>
      <c r="B715" s="7" t="s">
        <v>58</v>
      </c>
      <c r="C715" s="7" t="s">
        <v>58</v>
      </c>
      <c r="D715" s="7" t="s">
        <v>58</v>
      </c>
      <c r="E715" s="7" t="s">
        <v>58</v>
      </c>
      <c r="F715" s="7" t="s">
        <v>58</v>
      </c>
      <c r="G715" s="7" t="s">
        <v>58</v>
      </c>
      <c r="H715" s="7" t="s">
        <v>58</v>
      </c>
      <c r="I715" s="7" t="s">
        <v>58</v>
      </c>
    </row>
    <row r="716" spans="1:9" ht="75" x14ac:dyDescent="0.25">
      <c r="A716" s="1" t="s">
        <v>144</v>
      </c>
      <c r="B716" s="7" t="s">
        <v>58</v>
      </c>
      <c r="C716" s="7" t="s">
        <v>58</v>
      </c>
      <c r="D716" s="7" t="s">
        <v>58</v>
      </c>
      <c r="E716" s="7" t="s">
        <v>58</v>
      </c>
      <c r="F716" s="7" t="s">
        <v>58</v>
      </c>
      <c r="G716" s="7" t="s">
        <v>58</v>
      </c>
      <c r="H716" s="7" t="s">
        <v>58</v>
      </c>
      <c r="I716" s="7" t="s">
        <v>58</v>
      </c>
    </row>
    <row r="717" spans="1:9" x14ac:dyDescent="0.25">
      <c r="A717" s="1" t="s">
        <v>12</v>
      </c>
      <c r="B717" s="2"/>
      <c r="C717" s="2"/>
      <c r="D717" s="2"/>
      <c r="E717" s="2"/>
      <c r="F717" s="2"/>
      <c r="G717" s="2"/>
      <c r="H717" s="2"/>
      <c r="I717" s="2"/>
    </row>
    <row r="718" spans="1:9" ht="30" x14ac:dyDescent="0.25">
      <c r="A718" s="8" t="s">
        <v>74</v>
      </c>
      <c r="B718" s="2"/>
      <c r="C718" s="2"/>
      <c r="D718" s="2"/>
      <c r="E718" s="2"/>
      <c r="F718" s="2"/>
      <c r="G718" s="2"/>
      <c r="H718" s="2"/>
      <c r="I718" s="2"/>
    </row>
    <row r="719" spans="1:9" ht="30" x14ac:dyDescent="0.25">
      <c r="A719" s="1" t="s">
        <v>153</v>
      </c>
      <c r="B719" s="9">
        <v>380380000</v>
      </c>
      <c r="C719" s="9">
        <v>382680000</v>
      </c>
      <c r="D719" s="9">
        <v>383970000</v>
      </c>
      <c r="E719" s="9">
        <v>385180000</v>
      </c>
      <c r="F719" s="9">
        <v>386390000</v>
      </c>
      <c r="G719" s="9">
        <v>387780000</v>
      </c>
      <c r="H719" s="9">
        <v>389370000</v>
      </c>
      <c r="I719" s="6">
        <v>0.39008042951999999</v>
      </c>
    </row>
    <row r="720" spans="1:9" ht="45" x14ac:dyDescent="0.25">
      <c r="A720" s="1" t="s">
        <v>152</v>
      </c>
      <c r="B720" s="9">
        <v>151740746</v>
      </c>
      <c r="C720" s="9">
        <v>153113319</v>
      </c>
      <c r="D720" s="9">
        <v>154233424</v>
      </c>
      <c r="E720" s="9">
        <v>155341497</v>
      </c>
      <c r="F720" s="9">
        <v>156437198</v>
      </c>
      <c r="G720" s="9">
        <v>157520190</v>
      </c>
      <c r="H720" s="9">
        <v>158590140</v>
      </c>
      <c r="I720" s="6">
        <v>0.73854207000000005</v>
      </c>
    </row>
    <row r="721" spans="1:9" ht="30" x14ac:dyDescent="0.25">
      <c r="A721" s="1" t="s">
        <v>151</v>
      </c>
      <c r="B721" s="9">
        <v>149798795</v>
      </c>
      <c r="C721" s="9">
        <v>150995507</v>
      </c>
      <c r="D721" s="9">
        <v>152175101</v>
      </c>
      <c r="E721" s="9">
        <v>153337063</v>
      </c>
      <c r="F721" s="9">
        <v>154480890</v>
      </c>
      <c r="G721" s="9">
        <v>155606086</v>
      </c>
      <c r="H721" s="9">
        <v>156712166</v>
      </c>
      <c r="I721" s="6">
        <v>0.75479697499999998</v>
      </c>
    </row>
    <row r="722" spans="1:9" ht="60" x14ac:dyDescent="0.25">
      <c r="A722" s="1" t="s">
        <v>150</v>
      </c>
      <c r="B722" s="9">
        <v>136690667</v>
      </c>
      <c r="C722" s="9">
        <v>139774592</v>
      </c>
      <c r="D722" s="9">
        <v>143010907</v>
      </c>
      <c r="E722" s="9">
        <v>146141542</v>
      </c>
      <c r="F722" s="9">
        <v>149398667</v>
      </c>
      <c r="G722" s="9">
        <v>153419381</v>
      </c>
      <c r="H722" s="9">
        <v>156163315</v>
      </c>
      <c r="I722" s="6">
        <v>2.2445166369999998</v>
      </c>
    </row>
    <row r="723" spans="1:9" ht="60" x14ac:dyDescent="0.25">
      <c r="A723" s="1" t="s">
        <v>149</v>
      </c>
      <c r="B723" s="9">
        <v>82817420</v>
      </c>
      <c r="C723" s="9">
        <v>81400768</v>
      </c>
      <c r="D723" s="9">
        <v>79966024</v>
      </c>
      <c r="E723" s="9">
        <v>78687603</v>
      </c>
      <c r="F723" s="9">
        <v>77665033</v>
      </c>
      <c r="G723" s="9">
        <v>77117702</v>
      </c>
      <c r="H723" s="9">
        <v>76883338</v>
      </c>
      <c r="I723" s="6">
        <v>-1.2315081619999999</v>
      </c>
    </row>
    <row r="724" spans="1:9" ht="60" x14ac:dyDescent="0.25">
      <c r="A724" s="1" t="s">
        <v>148</v>
      </c>
      <c r="B724" s="9">
        <v>10603632</v>
      </c>
      <c r="C724" s="9">
        <v>7960141</v>
      </c>
      <c r="D724" s="9">
        <v>5861883</v>
      </c>
      <c r="E724" s="9">
        <v>4633556</v>
      </c>
      <c r="F724" s="9">
        <v>3591593</v>
      </c>
      <c r="G724" s="9">
        <v>2774181</v>
      </c>
      <c r="H724" s="9">
        <v>2232296</v>
      </c>
      <c r="I724" s="6">
        <v>-22.871268463</v>
      </c>
    </row>
    <row r="725" spans="1:9" ht="60" x14ac:dyDescent="0.25">
      <c r="A725" s="1" t="s">
        <v>147</v>
      </c>
      <c r="B725" s="9">
        <v>28254644</v>
      </c>
      <c r="C725" s="9">
        <v>31417433</v>
      </c>
      <c r="D725" s="9">
        <v>34572867</v>
      </c>
      <c r="E725" s="9">
        <v>36463384</v>
      </c>
      <c r="F725" s="9">
        <v>37890652</v>
      </c>
      <c r="G725" s="9">
        <v>38786542</v>
      </c>
      <c r="H725" s="9">
        <v>39509477</v>
      </c>
      <c r="I725" s="6">
        <v>5.747126143</v>
      </c>
    </row>
    <row r="726" spans="1:9" ht="75" x14ac:dyDescent="0.25">
      <c r="A726" s="1" t="s">
        <v>146</v>
      </c>
      <c r="B726" s="9">
        <v>2361036</v>
      </c>
      <c r="C726" s="9">
        <v>3202264</v>
      </c>
      <c r="D726" s="9">
        <v>4281155</v>
      </c>
      <c r="E726" s="9">
        <v>5030246</v>
      </c>
      <c r="F726" s="9">
        <v>5807399</v>
      </c>
      <c r="G726" s="9">
        <v>6716118</v>
      </c>
      <c r="H726" s="9">
        <v>7524467</v>
      </c>
      <c r="I726" s="6">
        <v>21.309698161</v>
      </c>
    </row>
    <row r="727" spans="1:9" ht="75" x14ac:dyDescent="0.25">
      <c r="A727" s="1" t="s">
        <v>145</v>
      </c>
      <c r="B727" s="9">
        <v>12401371</v>
      </c>
      <c r="C727" s="9">
        <v>15734506</v>
      </c>
      <c r="D727" s="9">
        <v>18761550</v>
      </c>
      <c r="E727" s="9">
        <v>21397841</v>
      </c>
      <c r="F727" s="9">
        <v>23892919</v>
      </c>
      <c r="G727" s="9">
        <v>26551908</v>
      </c>
      <c r="H727" s="9">
        <v>27716882</v>
      </c>
      <c r="I727" s="6">
        <v>14.343753766000001</v>
      </c>
    </row>
    <row r="728" spans="1:9" ht="75" x14ac:dyDescent="0.25">
      <c r="A728" s="1" t="s">
        <v>144</v>
      </c>
      <c r="B728" s="9">
        <v>15018</v>
      </c>
      <c r="C728" s="9">
        <v>15168</v>
      </c>
      <c r="D728" s="9">
        <v>15244</v>
      </c>
      <c r="E728" s="9">
        <v>15320</v>
      </c>
      <c r="F728" s="9">
        <v>15397</v>
      </c>
      <c r="G728" s="9">
        <v>15473</v>
      </c>
      <c r="H728" s="9">
        <v>15551</v>
      </c>
      <c r="I728" s="6">
        <v>0.58295030699999995</v>
      </c>
    </row>
    <row r="729" spans="1:9" x14ac:dyDescent="0.25">
      <c r="A729" s="1" t="s">
        <v>12</v>
      </c>
      <c r="B729" s="2"/>
      <c r="C729" s="2"/>
      <c r="D729" s="2"/>
      <c r="E729" s="2"/>
      <c r="F729" s="2"/>
      <c r="G729" s="2"/>
      <c r="H729" s="2"/>
      <c r="I729" s="2"/>
    </row>
    <row r="730" spans="1:9" x14ac:dyDescent="0.25">
      <c r="A730" s="8" t="s">
        <v>75</v>
      </c>
      <c r="B730" s="2"/>
      <c r="C730" s="2"/>
      <c r="D730" s="2"/>
      <c r="E730" s="2"/>
      <c r="F730" s="2"/>
      <c r="G730" s="2"/>
      <c r="H730" s="2"/>
      <c r="I730" s="2"/>
    </row>
    <row r="731" spans="1:9" ht="30" x14ac:dyDescent="0.25">
      <c r="A731" s="1" t="s">
        <v>153</v>
      </c>
      <c r="B731" s="9">
        <v>5510000</v>
      </c>
      <c r="C731" s="9">
        <v>5550000</v>
      </c>
      <c r="D731" s="9">
        <v>5590000</v>
      </c>
      <c r="E731" s="9">
        <v>5630000</v>
      </c>
      <c r="F731" s="9">
        <v>5670000</v>
      </c>
      <c r="G731" s="9">
        <v>5710000</v>
      </c>
      <c r="H731" s="9">
        <v>5750000</v>
      </c>
      <c r="I731" s="6">
        <v>0.71311785550999995</v>
      </c>
    </row>
    <row r="732" spans="1:9" ht="45" x14ac:dyDescent="0.25">
      <c r="A732" s="1" t="s">
        <v>152</v>
      </c>
      <c r="B732" s="9">
        <v>2600612</v>
      </c>
      <c r="C732" s="9">
        <v>2619504</v>
      </c>
      <c r="D732" s="9">
        <v>2638396</v>
      </c>
      <c r="E732" s="9">
        <v>2657288</v>
      </c>
      <c r="F732" s="9">
        <v>2676180</v>
      </c>
      <c r="G732" s="9">
        <v>2695072</v>
      </c>
      <c r="H732" s="9">
        <v>2713965</v>
      </c>
      <c r="I732" s="6">
        <v>0.71359845399999999</v>
      </c>
    </row>
    <row r="733" spans="1:9" ht="30" x14ac:dyDescent="0.25">
      <c r="A733" s="1" t="s">
        <v>151</v>
      </c>
      <c r="B733" s="9">
        <v>2447029</v>
      </c>
      <c r="C733" s="9">
        <v>2452481</v>
      </c>
      <c r="D733" s="9">
        <v>2457818</v>
      </c>
      <c r="E733" s="9">
        <v>2463039</v>
      </c>
      <c r="F733" s="9">
        <v>2468148</v>
      </c>
      <c r="G733" s="9">
        <v>2473144</v>
      </c>
      <c r="H733" s="9">
        <v>2478028</v>
      </c>
      <c r="I733" s="6">
        <v>0.21002769900000001</v>
      </c>
    </row>
    <row r="734" spans="1:9" ht="60" x14ac:dyDescent="0.25">
      <c r="A734" s="1" t="s">
        <v>150</v>
      </c>
      <c r="B734" s="9">
        <v>2443281</v>
      </c>
      <c r="C734" s="9">
        <v>2489735</v>
      </c>
      <c r="D734" s="9">
        <v>2533755</v>
      </c>
      <c r="E734" s="9">
        <v>2577674</v>
      </c>
      <c r="F734" s="9">
        <v>2621033</v>
      </c>
      <c r="G734" s="9">
        <v>2661033</v>
      </c>
      <c r="H734" s="9">
        <v>2701253</v>
      </c>
      <c r="I734" s="6">
        <v>1.6869701640000001</v>
      </c>
    </row>
    <row r="735" spans="1:9" ht="60" x14ac:dyDescent="0.25">
      <c r="A735" s="1" t="s">
        <v>149</v>
      </c>
      <c r="B735" s="9">
        <v>409908</v>
      </c>
      <c r="C735" s="9">
        <v>373285</v>
      </c>
      <c r="D735" s="9">
        <v>340400</v>
      </c>
      <c r="E735" s="9">
        <v>311169</v>
      </c>
      <c r="F735" s="9">
        <v>285546</v>
      </c>
      <c r="G735" s="9">
        <v>263489</v>
      </c>
      <c r="H735" s="9">
        <v>244955</v>
      </c>
      <c r="I735" s="6">
        <v>-8.2231137660000009</v>
      </c>
    </row>
    <row r="736" spans="1:9" ht="60" x14ac:dyDescent="0.25">
      <c r="A736" s="1" t="s">
        <v>148</v>
      </c>
      <c r="B736" s="9">
        <v>4210</v>
      </c>
      <c r="C736" s="9">
        <v>1181</v>
      </c>
      <c r="D736" s="9">
        <v>329</v>
      </c>
      <c r="E736" s="9">
        <v>0</v>
      </c>
      <c r="F736" s="9">
        <v>0</v>
      </c>
      <c r="G736" s="9">
        <v>0</v>
      </c>
      <c r="H736" s="9">
        <v>0</v>
      </c>
      <c r="I736" s="6">
        <v>-100</v>
      </c>
    </row>
    <row r="737" spans="1:9" ht="60" x14ac:dyDescent="0.25">
      <c r="A737" s="1" t="s">
        <v>147</v>
      </c>
      <c r="B737" s="9">
        <v>1793899</v>
      </c>
      <c r="C737" s="9">
        <v>1867363</v>
      </c>
      <c r="D737" s="9">
        <v>1938252</v>
      </c>
      <c r="E737" s="9">
        <v>2006045</v>
      </c>
      <c r="F737" s="9">
        <v>2070217</v>
      </c>
      <c r="G737" s="9">
        <v>2128197</v>
      </c>
      <c r="H737" s="9">
        <v>2183566</v>
      </c>
      <c r="I737" s="6">
        <v>3.3303869970000002</v>
      </c>
    </row>
    <row r="738" spans="1:9" ht="75" x14ac:dyDescent="0.25">
      <c r="A738" s="1" t="s">
        <v>146</v>
      </c>
      <c r="B738" s="9">
        <v>5197</v>
      </c>
      <c r="C738" s="9">
        <v>6437</v>
      </c>
      <c r="D738" s="9">
        <v>7329</v>
      </c>
      <c r="E738" s="9">
        <v>7837</v>
      </c>
      <c r="F738" s="9">
        <v>8123</v>
      </c>
      <c r="G738" s="9">
        <v>8321</v>
      </c>
      <c r="H738" s="9">
        <v>8424</v>
      </c>
      <c r="I738" s="6">
        <v>8.3829431690000007</v>
      </c>
    </row>
    <row r="739" spans="1:9" ht="75" x14ac:dyDescent="0.25">
      <c r="A739" s="1" t="s">
        <v>145</v>
      </c>
      <c r="B739" s="9">
        <v>228898</v>
      </c>
      <c r="C739" s="9">
        <v>240312</v>
      </c>
      <c r="D739" s="9">
        <v>246299</v>
      </c>
      <c r="E739" s="9">
        <v>251489</v>
      </c>
      <c r="F739" s="9">
        <v>256024</v>
      </c>
      <c r="G739" s="9">
        <v>259914</v>
      </c>
      <c r="H739" s="9">
        <v>263207</v>
      </c>
      <c r="I739" s="6">
        <v>2.3550416909999998</v>
      </c>
    </row>
    <row r="740" spans="1:9" ht="75" x14ac:dyDescent="0.25">
      <c r="A740" s="1" t="s">
        <v>144</v>
      </c>
      <c r="B740" s="9">
        <v>1169</v>
      </c>
      <c r="C740" s="9">
        <v>1157</v>
      </c>
      <c r="D740" s="9">
        <v>1146</v>
      </c>
      <c r="E740" s="9">
        <v>1134</v>
      </c>
      <c r="F740" s="9">
        <v>1123</v>
      </c>
      <c r="G740" s="9">
        <v>1112</v>
      </c>
      <c r="H740" s="9">
        <v>1101</v>
      </c>
      <c r="I740" s="6">
        <v>-0.993858668</v>
      </c>
    </row>
    <row r="741" spans="1:9" x14ac:dyDescent="0.25">
      <c r="A741" s="1" t="s">
        <v>12</v>
      </c>
      <c r="B741" s="2"/>
      <c r="C741" s="2"/>
      <c r="D741" s="2"/>
      <c r="E741" s="2"/>
      <c r="F741" s="2"/>
      <c r="G741" s="2"/>
      <c r="H741" s="2"/>
      <c r="I741" s="2"/>
    </row>
    <row r="742" spans="1:9" x14ac:dyDescent="0.25">
      <c r="A742" s="8" t="s">
        <v>76</v>
      </c>
      <c r="B742" s="2"/>
      <c r="C742" s="2"/>
      <c r="D742" s="2"/>
      <c r="E742" s="2"/>
      <c r="F742" s="2"/>
      <c r="G742" s="2"/>
      <c r="H742" s="2"/>
      <c r="I742" s="2"/>
    </row>
    <row r="743" spans="1:9" ht="30" x14ac:dyDescent="0.25">
      <c r="A743" s="1" t="s">
        <v>153</v>
      </c>
      <c r="B743" s="9">
        <v>4730000</v>
      </c>
      <c r="C743" s="9">
        <v>4810000</v>
      </c>
      <c r="D743" s="9">
        <v>4880000</v>
      </c>
      <c r="E743" s="9">
        <v>4950760</v>
      </c>
      <c r="F743" s="9">
        <v>5022546</v>
      </c>
      <c r="G743" s="9">
        <v>5095373</v>
      </c>
      <c r="H743" s="9">
        <v>5169256</v>
      </c>
      <c r="I743" s="6">
        <v>1.4910665922299999</v>
      </c>
    </row>
    <row r="744" spans="1:9" ht="45" x14ac:dyDescent="0.25">
      <c r="A744" s="1" t="s">
        <v>152</v>
      </c>
      <c r="B744" s="9">
        <v>743299</v>
      </c>
      <c r="C744" s="9">
        <v>750018</v>
      </c>
      <c r="D744" s="9">
        <v>756662</v>
      </c>
      <c r="E744" s="9">
        <v>763231</v>
      </c>
      <c r="F744" s="9">
        <v>769724</v>
      </c>
      <c r="G744" s="9">
        <v>776142</v>
      </c>
      <c r="H744" s="9">
        <v>782483</v>
      </c>
      <c r="I744" s="6">
        <v>0.85990631100000003</v>
      </c>
    </row>
    <row r="745" spans="1:9" ht="30" x14ac:dyDescent="0.25">
      <c r="A745" s="1" t="s">
        <v>151</v>
      </c>
      <c r="B745" s="9">
        <v>708840</v>
      </c>
      <c r="C745" s="9">
        <v>717750</v>
      </c>
      <c r="D745" s="9">
        <v>726643</v>
      </c>
      <c r="E745" s="9">
        <v>735516</v>
      </c>
      <c r="F745" s="9">
        <v>744370</v>
      </c>
      <c r="G745" s="9">
        <v>753203</v>
      </c>
      <c r="H745" s="9">
        <v>762015</v>
      </c>
      <c r="I745" s="6">
        <v>1.212903557</v>
      </c>
    </row>
    <row r="746" spans="1:9" ht="60" x14ac:dyDescent="0.25">
      <c r="A746" s="1" t="s">
        <v>150</v>
      </c>
      <c r="B746" s="9">
        <v>576417</v>
      </c>
      <c r="C746" s="9">
        <v>589525</v>
      </c>
      <c r="D746" s="9">
        <v>601338</v>
      </c>
      <c r="E746" s="9">
        <v>614699</v>
      </c>
      <c r="F746" s="9">
        <v>631735</v>
      </c>
      <c r="G746" s="9">
        <v>650086</v>
      </c>
      <c r="H746" s="9">
        <v>669809</v>
      </c>
      <c r="I746" s="6">
        <v>2.534267453</v>
      </c>
    </row>
    <row r="747" spans="1:9" ht="60" x14ac:dyDescent="0.25">
      <c r="A747" s="1" t="s">
        <v>149</v>
      </c>
      <c r="B747" s="9">
        <v>0</v>
      </c>
      <c r="C747" s="9">
        <v>0</v>
      </c>
      <c r="D747" s="9">
        <v>0</v>
      </c>
      <c r="E747" s="9">
        <v>0</v>
      </c>
      <c r="F747" s="9">
        <v>0</v>
      </c>
      <c r="G747" s="9">
        <v>0</v>
      </c>
      <c r="H747" s="9">
        <v>0</v>
      </c>
      <c r="I747" s="7" t="s">
        <v>58</v>
      </c>
    </row>
    <row r="748" spans="1:9" ht="60" x14ac:dyDescent="0.25">
      <c r="A748" s="1" t="s">
        <v>148</v>
      </c>
      <c r="B748" s="9">
        <v>92341</v>
      </c>
      <c r="C748" s="9">
        <v>83107</v>
      </c>
      <c r="D748" s="9">
        <v>76459</v>
      </c>
      <c r="E748" s="9">
        <v>70342</v>
      </c>
      <c r="F748" s="9">
        <v>66825</v>
      </c>
      <c r="G748" s="9">
        <v>63484</v>
      </c>
      <c r="H748" s="9">
        <v>60309</v>
      </c>
      <c r="I748" s="6">
        <v>-6.8539179089999998</v>
      </c>
    </row>
    <row r="749" spans="1:9" ht="60" x14ac:dyDescent="0.25">
      <c r="A749" s="1" t="s">
        <v>147</v>
      </c>
      <c r="B749" s="9">
        <v>256430</v>
      </c>
      <c r="C749" s="9">
        <v>276945</v>
      </c>
      <c r="D749" s="9">
        <v>293561</v>
      </c>
      <c r="E749" s="9">
        <v>311175</v>
      </c>
      <c r="F749" s="9">
        <v>329845</v>
      </c>
      <c r="G749" s="9">
        <v>349636</v>
      </c>
      <c r="H749" s="9">
        <v>370614</v>
      </c>
      <c r="I749" s="6">
        <v>6.3307387970000004</v>
      </c>
    </row>
    <row r="750" spans="1:9" ht="75" x14ac:dyDescent="0.25">
      <c r="A750" s="1" t="s">
        <v>146</v>
      </c>
      <c r="B750" s="9">
        <v>4569</v>
      </c>
      <c r="C750" s="9">
        <v>4477</v>
      </c>
      <c r="D750" s="9">
        <v>4388</v>
      </c>
      <c r="E750" s="9">
        <v>4300</v>
      </c>
      <c r="F750" s="9">
        <v>4214</v>
      </c>
      <c r="G750" s="9">
        <v>4130</v>
      </c>
      <c r="H750" s="9">
        <v>4047</v>
      </c>
      <c r="I750" s="6">
        <v>-2.001670115</v>
      </c>
    </row>
    <row r="751" spans="1:9" ht="75" x14ac:dyDescent="0.25">
      <c r="A751" s="1" t="s">
        <v>145</v>
      </c>
      <c r="B751" s="9">
        <v>223077</v>
      </c>
      <c r="C751" s="9">
        <v>224996</v>
      </c>
      <c r="D751" s="9">
        <v>226931</v>
      </c>
      <c r="E751" s="9">
        <v>228882</v>
      </c>
      <c r="F751" s="9">
        <v>230851</v>
      </c>
      <c r="G751" s="9">
        <v>232836</v>
      </c>
      <c r="H751" s="9">
        <v>234839</v>
      </c>
      <c r="I751" s="6">
        <v>0.86006363699999999</v>
      </c>
    </row>
    <row r="752" spans="1:9" ht="75" x14ac:dyDescent="0.25">
      <c r="A752" s="1" t="s">
        <v>144</v>
      </c>
      <c r="B752" s="9">
        <v>0</v>
      </c>
      <c r="C752" s="9">
        <v>0</v>
      </c>
      <c r="D752" s="9">
        <v>0</v>
      </c>
      <c r="E752" s="9">
        <v>0</v>
      </c>
      <c r="F752" s="9">
        <v>0</v>
      </c>
      <c r="G752" s="9">
        <v>0</v>
      </c>
      <c r="H752" s="9">
        <v>0</v>
      </c>
      <c r="I752" s="7" t="s">
        <v>58</v>
      </c>
    </row>
    <row r="753" spans="1:9" x14ac:dyDescent="0.25">
      <c r="A753" s="1" t="s">
        <v>12</v>
      </c>
      <c r="B753" s="2"/>
      <c r="C753" s="2"/>
      <c r="D753" s="2"/>
      <c r="E753" s="2"/>
      <c r="F753" s="2"/>
      <c r="G753" s="2"/>
      <c r="H753" s="2"/>
      <c r="I753" s="2"/>
    </row>
    <row r="754" spans="1:9" ht="45" x14ac:dyDescent="0.25">
      <c r="A754" s="8" t="s">
        <v>77</v>
      </c>
      <c r="B754" s="2"/>
      <c r="C754" s="2"/>
      <c r="D754" s="2"/>
      <c r="E754" s="2"/>
      <c r="F754" s="2"/>
      <c r="G754" s="2"/>
      <c r="H754" s="2"/>
      <c r="I754" s="2"/>
    </row>
    <row r="755" spans="1:9" ht="30" x14ac:dyDescent="0.25">
      <c r="A755" s="1" t="s">
        <v>153</v>
      </c>
      <c r="B755" s="9">
        <v>274376075</v>
      </c>
      <c r="C755" s="9">
        <v>276831413</v>
      </c>
      <c r="D755" s="9">
        <v>279333495</v>
      </c>
      <c r="E755" s="9">
        <v>281883440</v>
      </c>
      <c r="F755" s="9">
        <v>284430930</v>
      </c>
      <c r="G755" s="9">
        <v>286975737</v>
      </c>
      <c r="H755" s="9">
        <v>289517637</v>
      </c>
      <c r="I755" s="6">
        <v>0.89929483575000002</v>
      </c>
    </row>
    <row r="756" spans="1:9" ht="45" x14ac:dyDescent="0.25">
      <c r="A756" s="1" t="s">
        <v>152</v>
      </c>
      <c r="B756" s="9">
        <v>60203142</v>
      </c>
      <c r="C756" s="9">
        <v>61288565</v>
      </c>
      <c r="D756" s="9">
        <v>62399091</v>
      </c>
      <c r="E756" s="9">
        <v>63535431</v>
      </c>
      <c r="F756" s="9">
        <v>64686611</v>
      </c>
      <c r="G756" s="9">
        <v>65852752</v>
      </c>
      <c r="H756" s="9">
        <v>67033970</v>
      </c>
      <c r="I756" s="6">
        <v>1.8073884609999999</v>
      </c>
    </row>
    <row r="757" spans="1:9" ht="30" x14ac:dyDescent="0.25">
      <c r="A757" s="1" t="s">
        <v>151</v>
      </c>
      <c r="B757" s="9">
        <v>58088985</v>
      </c>
      <c r="C757" s="9">
        <v>58920883</v>
      </c>
      <c r="D757" s="9">
        <v>60066251</v>
      </c>
      <c r="E757" s="9">
        <v>61117473</v>
      </c>
      <c r="F757" s="9">
        <v>62392988</v>
      </c>
      <c r="G757" s="9">
        <v>63789267</v>
      </c>
      <c r="H757" s="9">
        <v>64892622</v>
      </c>
      <c r="I757" s="6">
        <v>1.863107845</v>
      </c>
    </row>
    <row r="758" spans="1:9" ht="60" x14ac:dyDescent="0.25">
      <c r="A758" s="1" t="s">
        <v>150</v>
      </c>
      <c r="B758" s="9">
        <v>17357958</v>
      </c>
      <c r="C758" s="9">
        <v>17962328</v>
      </c>
      <c r="D758" s="9">
        <v>18549206</v>
      </c>
      <c r="E758" s="9">
        <v>19241718</v>
      </c>
      <c r="F758" s="9">
        <v>20869041</v>
      </c>
      <c r="G758" s="9">
        <v>21754659</v>
      </c>
      <c r="H758" s="9">
        <v>22746082</v>
      </c>
      <c r="I758" s="6">
        <v>4.608745646</v>
      </c>
    </row>
    <row r="759" spans="1:9" ht="60" x14ac:dyDescent="0.25">
      <c r="A759" s="1" t="s">
        <v>149</v>
      </c>
      <c r="B759" s="9">
        <v>126498</v>
      </c>
      <c r="C759" s="9">
        <v>125591</v>
      </c>
      <c r="D759" s="9">
        <v>125036</v>
      </c>
      <c r="E759" s="9">
        <v>124520</v>
      </c>
      <c r="F759" s="9">
        <v>123860</v>
      </c>
      <c r="G759" s="9">
        <v>122034</v>
      </c>
      <c r="H759" s="9">
        <v>120636</v>
      </c>
      <c r="I759" s="6">
        <v>-0.78769381400000005</v>
      </c>
    </row>
    <row r="760" spans="1:9" ht="60" x14ac:dyDescent="0.25">
      <c r="A760" s="1" t="s">
        <v>148</v>
      </c>
      <c r="B760" s="9">
        <v>8747387</v>
      </c>
      <c r="C760" s="9">
        <v>8707228</v>
      </c>
      <c r="D760" s="9">
        <v>8592128</v>
      </c>
      <c r="E760" s="9">
        <v>8508070</v>
      </c>
      <c r="F760" s="9">
        <v>8383851</v>
      </c>
      <c r="G760" s="9">
        <v>8257193</v>
      </c>
      <c r="H760" s="9">
        <v>8154388</v>
      </c>
      <c r="I760" s="6">
        <v>-1.163163006</v>
      </c>
    </row>
    <row r="761" spans="1:9" ht="60" x14ac:dyDescent="0.25">
      <c r="A761" s="1" t="s">
        <v>147</v>
      </c>
      <c r="B761" s="9">
        <v>7004053</v>
      </c>
      <c r="C761" s="9">
        <v>7589259</v>
      </c>
      <c r="D761" s="9">
        <v>8242042</v>
      </c>
      <c r="E761" s="9">
        <v>8981963</v>
      </c>
      <c r="F761" s="9">
        <v>10695481</v>
      </c>
      <c r="G761" s="9">
        <v>11691855</v>
      </c>
      <c r="H761" s="9">
        <v>12772715</v>
      </c>
      <c r="I761" s="6">
        <v>10.532238726999999</v>
      </c>
    </row>
    <row r="762" spans="1:9" ht="75" x14ac:dyDescent="0.25">
      <c r="A762" s="1" t="s">
        <v>146</v>
      </c>
      <c r="B762" s="9">
        <v>454</v>
      </c>
      <c r="C762" s="9">
        <v>496</v>
      </c>
      <c r="D762" s="9">
        <v>499</v>
      </c>
      <c r="E762" s="9">
        <v>526</v>
      </c>
      <c r="F762" s="9">
        <v>540</v>
      </c>
      <c r="G762" s="9">
        <v>537</v>
      </c>
      <c r="H762" s="9">
        <v>558</v>
      </c>
      <c r="I762" s="6">
        <v>3.497467801</v>
      </c>
    </row>
    <row r="763" spans="1:9" ht="75" x14ac:dyDescent="0.25">
      <c r="A763" s="1" t="s">
        <v>145</v>
      </c>
      <c r="B763" s="9">
        <v>1471826</v>
      </c>
      <c r="C763" s="9">
        <v>1532020</v>
      </c>
      <c r="D763" s="9">
        <v>1582411</v>
      </c>
      <c r="E763" s="9">
        <v>1619416</v>
      </c>
      <c r="F763" s="9">
        <v>1658368</v>
      </c>
      <c r="G763" s="9">
        <v>1676501</v>
      </c>
      <c r="H763" s="9">
        <v>1691850</v>
      </c>
      <c r="I763" s="6">
        <v>2.349147791</v>
      </c>
    </row>
    <row r="764" spans="1:9" ht="75" x14ac:dyDescent="0.25">
      <c r="A764" s="1" t="s">
        <v>144</v>
      </c>
      <c r="B764" s="9">
        <v>7740</v>
      </c>
      <c r="C764" s="9">
        <v>7734</v>
      </c>
      <c r="D764" s="9">
        <v>7090</v>
      </c>
      <c r="E764" s="9">
        <v>7223</v>
      </c>
      <c r="F764" s="9">
        <v>6941</v>
      </c>
      <c r="G764" s="9">
        <v>6539</v>
      </c>
      <c r="H764" s="9">
        <v>5935</v>
      </c>
      <c r="I764" s="6">
        <v>-4.3290777650000001</v>
      </c>
    </row>
    <row r="765" spans="1:9" x14ac:dyDescent="0.25">
      <c r="A765" s="1" t="s">
        <v>12</v>
      </c>
      <c r="B765" s="2"/>
      <c r="C765" s="2"/>
      <c r="D765" s="2"/>
      <c r="E765" s="2"/>
      <c r="F765" s="2"/>
      <c r="G765" s="2"/>
      <c r="H765" s="2"/>
      <c r="I765" s="2"/>
    </row>
    <row r="766" spans="1:9" ht="45" x14ac:dyDescent="0.25">
      <c r="A766" s="8" t="s">
        <v>78</v>
      </c>
      <c r="B766" s="2"/>
      <c r="C766" s="2"/>
      <c r="D766" s="2"/>
      <c r="E766" s="2"/>
      <c r="F766" s="2"/>
      <c r="G766" s="2"/>
      <c r="H766" s="2"/>
      <c r="I766" s="2"/>
    </row>
    <row r="767" spans="1:9" ht="30" x14ac:dyDescent="0.25">
      <c r="A767" s="1" t="s">
        <v>153</v>
      </c>
      <c r="B767" s="9">
        <v>159997771</v>
      </c>
      <c r="C767" s="9">
        <v>160985317</v>
      </c>
      <c r="D767" s="9">
        <v>161990361</v>
      </c>
      <c r="E767" s="9">
        <v>163013147</v>
      </c>
      <c r="F767" s="9">
        <v>164053923</v>
      </c>
      <c r="G767" s="9">
        <v>165112942</v>
      </c>
      <c r="H767" s="9">
        <v>166190459</v>
      </c>
      <c r="I767" s="6">
        <v>0.63491694224999995</v>
      </c>
    </row>
    <row r="768" spans="1:9" ht="45" x14ac:dyDescent="0.25">
      <c r="A768" s="1" t="s">
        <v>152</v>
      </c>
      <c r="B768" s="9">
        <v>49473078</v>
      </c>
      <c r="C768" s="9">
        <v>50033383</v>
      </c>
      <c r="D768" s="9">
        <v>50605036</v>
      </c>
      <c r="E768" s="9">
        <v>51188294</v>
      </c>
      <c r="F768" s="9">
        <v>51783424</v>
      </c>
      <c r="G768" s="9">
        <v>52390695</v>
      </c>
      <c r="H768" s="9">
        <v>53010386</v>
      </c>
      <c r="I768" s="6">
        <v>1.157636237</v>
      </c>
    </row>
    <row r="769" spans="1:9" ht="30" x14ac:dyDescent="0.25">
      <c r="A769" s="1" t="s">
        <v>151</v>
      </c>
      <c r="B769" s="9">
        <v>48101148</v>
      </c>
      <c r="C769" s="9">
        <v>48803201</v>
      </c>
      <c r="D769" s="9">
        <v>49524094</v>
      </c>
      <c r="E769" s="9">
        <v>50264404</v>
      </c>
      <c r="F769" s="9">
        <v>51024732</v>
      </c>
      <c r="G769" s="9">
        <v>51805695</v>
      </c>
      <c r="H769" s="9">
        <v>52607931</v>
      </c>
      <c r="I769" s="6">
        <v>1.5038768520000001</v>
      </c>
    </row>
    <row r="770" spans="1:9" ht="60" x14ac:dyDescent="0.25">
      <c r="A770" s="1" t="s">
        <v>150</v>
      </c>
      <c r="B770" s="9">
        <v>26356097</v>
      </c>
      <c r="C770" s="9">
        <v>27314451</v>
      </c>
      <c r="D770" s="9">
        <v>28270538</v>
      </c>
      <c r="E770" s="9">
        <v>29413631</v>
      </c>
      <c r="F770" s="9">
        <v>30773613</v>
      </c>
      <c r="G770" s="9">
        <v>32384418</v>
      </c>
      <c r="H770" s="9">
        <v>34266640</v>
      </c>
      <c r="I770" s="6">
        <v>4.4716380249999998</v>
      </c>
    </row>
    <row r="771" spans="1:9" ht="60" x14ac:dyDescent="0.25">
      <c r="A771" s="1" t="s">
        <v>149</v>
      </c>
      <c r="B771" s="9">
        <v>3713752</v>
      </c>
      <c r="C771" s="9">
        <v>3625267</v>
      </c>
      <c r="D771" s="9">
        <v>3540872</v>
      </c>
      <c r="E771" s="9">
        <v>3460393</v>
      </c>
      <c r="F771" s="9">
        <v>3383670</v>
      </c>
      <c r="G771" s="9">
        <v>3310550</v>
      </c>
      <c r="H771" s="9">
        <v>3240891</v>
      </c>
      <c r="I771" s="6">
        <v>-2.2443380190000002</v>
      </c>
    </row>
    <row r="772" spans="1:9" ht="60" x14ac:dyDescent="0.25">
      <c r="A772" s="1" t="s">
        <v>148</v>
      </c>
      <c r="B772" s="9">
        <v>6956089</v>
      </c>
      <c r="C772" s="9">
        <v>6422501</v>
      </c>
      <c r="D772" s="9">
        <v>5941056</v>
      </c>
      <c r="E772" s="9">
        <v>5506318</v>
      </c>
      <c r="F772" s="9">
        <v>5113496</v>
      </c>
      <c r="G772" s="9">
        <v>4758375</v>
      </c>
      <c r="H772" s="9">
        <v>4437249</v>
      </c>
      <c r="I772" s="6">
        <v>-7.2192002530000003</v>
      </c>
    </row>
    <row r="773" spans="1:9" ht="60" x14ac:dyDescent="0.25">
      <c r="A773" s="1" t="s">
        <v>147</v>
      </c>
      <c r="B773" s="9">
        <v>15073037</v>
      </c>
      <c r="C773" s="9">
        <v>16689087</v>
      </c>
      <c r="D773" s="9">
        <v>18243518</v>
      </c>
      <c r="E773" s="9">
        <v>19931632</v>
      </c>
      <c r="F773" s="9">
        <v>21788606</v>
      </c>
      <c r="G773" s="9">
        <v>23853023</v>
      </c>
      <c r="H773" s="9">
        <v>26149555</v>
      </c>
      <c r="I773" s="6">
        <v>9.6168344549999993</v>
      </c>
    </row>
    <row r="774" spans="1:9" ht="75" x14ac:dyDescent="0.25">
      <c r="A774" s="1" t="s">
        <v>146</v>
      </c>
      <c r="B774" s="9">
        <v>9</v>
      </c>
      <c r="C774" s="9">
        <v>7</v>
      </c>
      <c r="D774" s="9">
        <v>6</v>
      </c>
      <c r="E774" s="9">
        <v>5</v>
      </c>
      <c r="F774" s="9">
        <v>4</v>
      </c>
      <c r="G774" s="9">
        <v>3</v>
      </c>
      <c r="H774" s="9">
        <v>3</v>
      </c>
      <c r="I774" s="6">
        <v>-16.731682234000001</v>
      </c>
    </row>
    <row r="775" spans="1:9" ht="75" x14ac:dyDescent="0.25">
      <c r="A775" s="1" t="s">
        <v>145</v>
      </c>
      <c r="B775" s="9">
        <v>400324</v>
      </c>
      <c r="C775" s="9">
        <v>376600</v>
      </c>
      <c r="D775" s="9">
        <v>354491</v>
      </c>
      <c r="E775" s="9">
        <v>333874</v>
      </c>
      <c r="F775" s="9">
        <v>314637</v>
      </c>
      <c r="G775" s="9">
        <v>296674</v>
      </c>
      <c r="H775" s="9">
        <v>279892</v>
      </c>
      <c r="I775" s="6">
        <v>-5.7901144210000002</v>
      </c>
    </row>
    <row r="776" spans="1:9" ht="75" x14ac:dyDescent="0.25">
      <c r="A776" s="1" t="s">
        <v>144</v>
      </c>
      <c r="B776" s="9">
        <v>212886</v>
      </c>
      <c r="C776" s="9">
        <v>200989</v>
      </c>
      <c r="D776" s="9">
        <v>190595</v>
      </c>
      <c r="E776" s="9">
        <v>181408</v>
      </c>
      <c r="F776" s="9">
        <v>173200</v>
      </c>
      <c r="G776" s="9">
        <v>165793</v>
      </c>
      <c r="H776" s="9">
        <v>159050</v>
      </c>
      <c r="I776" s="6">
        <v>-4.7428109110000003</v>
      </c>
    </row>
    <row r="777" spans="1:9" x14ac:dyDescent="0.25">
      <c r="A777" s="1" t="s">
        <v>12</v>
      </c>
      <c r="B777" s="2"/>
      <c r="C777" s="2"/>
      <c r="D777" s="2"/>
      <c r="E777" s="2"/>
      <c r="F777" s="2"/>
      <c r="G777" s="2"/>
      <c r="H777" s="2"/>
      <c r="I777" s="2"/>
    </row>
    <row r="778" spans="1:9" ht="60" x14ac:dyDescent="0.25">
      <c r="A778" s="8" t="s">
        <v>79</v>
      </c>
      <c r="B778" s="2"/>
      <c r="C778" s="2"/>
      <c r="D778" s="2"/>
      <c r="E778" s="2"/>
      <c r="F778" s="2"/>
      <c r="G778" s="2"/>
      <c r="H778" s="2"/>
      <c r="I778" s="2"/>
    </row>
    <row r="779" spans="1:9" ht="30" x14ac:dyDescent="0.25">
      <c r="A779" s="1" t="s">
        <v>153</v>
      </c>
      <c r="B779" s="9">
        <v>26928950</v>
      </c>
      <c r="C779" s="9">
        <v>27108580</v>
      </c>
      <c r="D779" s="9">
        <v>27287600</v>
      </c>
      <c r="E779" s="9">
        <v>27466000</v>
      </c>
      <c r="F779" s="9">
        <v>27643517</v>
      </c>
      <c r="G779" s="9">
        <v>27822162</v>
      </c>
      <c r="H779" s="9">
        <v>28000806</v>
      </c>
      <c r="I779" s="6">
        <v>0.65264348617000001</v>
      </c>
    </row>
    <row r="780" spans="1:9" ht="45" x14ac:dyDescent="0.25">
      <c r="A780" s="1" t="s">
        <v>152</v>
      </c>
      <c r="B780" s="9">
        <v>8358533</v>
      </c>
      <c r="C780" s="9">
        <v>8446978</v>
      </c>
      <c r="D780" s="9">
        <v>8554552</v>
      </c>
      <c r="E780" s="9">
        <v>8663248</v>
      </c>
      <c r="F780" s="9">
        <v>8773006</v>
      </c>
      <c r="G780" s="9">
        <v>8886475</v>
      </c>
      <c r="H780" s="9">
        <v>9001413</v>
      </c>
      <c r="I780" s="6">
        <v>1.242634529</v>
      </c>
    </row>
    <row r="781" spans="1:9" ht="30" x14ac:dyDescent="0.25">
      <c r="A781" s="1" t="s">
        <v>151</v>
      </c>
      <c r="B781" s="9">
        <v>6155500</v>
      </c>
      <c r="C781" s="9">
        <v>6286415</v>
      </c>
      <c r="D781" s="9">
        <v>6433092</v>
      </c>
      <c r="E781" s="9">
        <v>6582297</v>
      </c>
      <c r="F781" s="9">
        <v>6734010</v>
      </c>
      <c r="G781" s="9">
        <v>6890310</v>
      </c>
      <c r="H781" s="9">
        <v>7049528</v>
      </c>
      <c r="I781" s="6">
        <v>2.2859816199999998</v>
      </c>
    </row>
    <row r="782" spans="1:9" ht="60" x14ac:dyDescent="0.25">
      <c r="A782" s="1" t="s">
        <v>150</v>
      </c>
      <c r="B782" s="7" t="s">
        <v>58</v>
      </c>
      <c r="C782" s="7" t="s">
        <v>58</v>
      </c>
      <c r="D782" s="7" t="s">
        <v>58</v>
      </c>
      <c r="E782" s="7" t="s">
        <v>58</v>
      </c>
      <c r="F782" s="7" t="s">
        <v>58</v>
      </c>
      <c r="G782" s="7" t="s">
        <v>58</v>
      </c>
      <c r="H782" s="7" t="s">
        <v>58</v>
      </c>
      <c r="I782" s="7" t="s">
        <v>58</v>
      </c>
    </row>
    <row r="783" spans="1:9" ht="60" x14ac:dyDescent="0.25">
      <c r="A783" s="1" t="s">
        <v>149</v>
      </c>
      <c r="B783" s="7" t="s">
        <v>58</v>
      </c>
      <c r="C783" s="7" t="s">
        <v>58</v>
      </c>
      <c r="D783" s="7" t="s">
        <v>58</v>
      </c>
      <c r="E783" s="7" t="s">
        <v>58</v>
      </c>
      <c r="F783" s="7" t="s">
        <v>58</v>
      </c>
      <c r="G783" s="7" t="s">
        <v>58</v>
      </c>
      <c r="H783" s="7" t="s">
        <v>58</v>
      </c>
      <c r="I783" s="7" t="s">
        <v>58</v>
      </c>
    </row>
    <row r="784" spans="1:9" ht="60" x14ac:dyDescent="0.25">
      <c r="A784" s="1" t="s">
        <v>148</v>
      </c>
      <c r="B784" s="7" t="s">
        <v>58</v>
      </c>
      <c r="C784" s="7" t="s">
        <v>58</v>
      </c>
      <c r="D784" s="7" t="s">
        <v>58</v>
      </c>
      <c r="E784" s="7" t="s">
        <v>58</v>
      </c>
      <c r="F784" s="7" t="s">
        <v>58</v>
      </c>
      <c r="G784" s="7" t="s">
        <v>58</v>
      </c>
      <c r="H784" s="7" t="s">
        <v>58</v>
      </c>
      <c r="I784" s="7" t="s">
        <v>58</v>
      </c>
    </row>
    <row r="785" spans="1:9" ht="60" x14ac:dyDescent="0.25">
      <c r="A785" s="1" t="s">
        <v>147</v>
      </c>
      <c r="B785" s="7" t="s">
        <v>58</v>
      </c>
      <c r="C785" s="7" t="s">
        <v>58</v>
      </c>
      <c r="D785" s="7" t="s">
        <v>58</v>
      </c>
      <c r="E785" s="7" t="s">
        <v>58</v>
      </c>
      <c r="F785" s="7" t="s">
        <v>58</v>
      </c>
      <c r="G785" s="7" t="s">
        <v>58</v>
      </c>
      <c r="H785" s="7" t="s">
        <v>58</v>
      </c>
      <c r="I785" s="7" t="s">
        <v>58</v>
      </c>
    </row>
    <row r="786" spans="1:9" ht="75" x14ac:dyDescent="0.25">
      <c r="A786" s="1" t="s">
        <v>146</v>
      </c>
      <c r="B786" s="7" t="s">
        <v>58</v>
      </c>
      <c r="C786" s="7" t="s">
        <v>58</v>
      </c>
      <c r="D786" s="7" t="s">
        <v>58</v>
      </c>
      <c r="E786" s="7" t="s">
        <v>58</v>
      </c>
      <c r="F786" s="7" t="s">
        <v>58</v>
      </c>
      <c r="G786" s="7" t="s">
        <v>58</v>
      </c>
      <c r="H786" s="7" t="s">
        <v>58</v>
      </c>
      <c r="I786" s="7" t="s">
        <v>58</v>
      </c>
    </row>
    <row r="787" spans="1:9" ht="75" x14ac:dyDescent="0.25">
      <c r="A787" s="1" t="s">
        <v>145</v>
      </c>
      <c r="B787" s="7" t="s">
        <v>58</v>
      </c>
      <c r="C787" s="7" t="s">
        <v>58</v>
      </c>
      <c r="D787" s="7" t="s">
        <v>58</v>
      </c>
      <c r="E787" s="7" t="s">
        <v>58</v>
      </c>
      <c r="F787" s="7" t="s">
        <v>58</v>
      </c>
      <c r="G787" s="7" t="s">
        <v>58</v>
      </c>
      <c r="H787" s="7" t="s">
        <v>58</v>
      </c>
      <c r="I787" s="7" t="s">
        <v>58</v>
      </c>
    </row>
    <row r="788" spans="1:9" ht="75" x14ac:dyDescent="0.25">
      <c r="A788" s="1" t="s">
        <v>144</v>
      </c>
      <c r="B788" s="7" t="s">
        <v>58</v>
      </c>
      <c r="C788" s="7" t="s">
        <v>58</v>
      </c>
      <c r="D788" s="7" t="s">
        <v>58</v>
      </c>
      <c r="E788" s="7" t="s">
        <v>58</v>
      </c>
      <c r="F788" s="7" t="s">
        <v>58</v>
      </c>
      <c r="G788" s="7" t="s">
        <v>58</v>
      </c>
      <c r="H788" s="7" t="s">
        <v>58</v>
      </c>
      <c r="I788" s="7" t="s">
        <v>58</v>
      </c>
    </row>
    <row r="789" spans="1:9" x14ac:dyDescent="0.25">
      <c r="A789" s="1" t="s">
        <v>12</v>
      </c>
      <c r="B789" s="2"/>
      <c r="C789" s="2"/>
      <c r="D789" s="2"/>
      <c r="E789" s="2"/>
      <c r="F789" s="2"/>
      <c r="G789" s="2"/>
      <c r="H789" s="2"/>
      <c r="I789" s="2"/>
    </row>
    <row r="790" spans="1:9" ht="45" x14ac:dyDescent="0.25">
      <c r="A790" s="8" t="s">
        <v>80</v>
      </c>
      <c r="B790" s="2"/>
      <c r="C790" s="2"/>
      <c r="D790" s="2"/>
      <c r="E790" s="2"/>
      <c r="F790" s="2"/>
      <c r="G790" s="2"/>
      <c r="H790" s="2"/>
      <c r="I790" s="2"/>
    </row>
    <row r="791" spans="1:9" ht="30" x14ac:dyDescent="0.25">
      <c r="A791" s="1" t="s">
        <v>153</v>
      </c>
      <c r="B791" s="9">
        <v>1415700379</v>
      </c>
      <c r="C791" s="9">
        <v>1446541115</v>
      </c>
      <c r="D791" s="9">
        <v>1477727865</v>
      </c>
      <c r="E791" s="9">
        <v>1509457549</v>
      </c>
      <c r="F791" s="9">
        <v>1522747257</v>
      </c>
      <c r="G791" s="9">
        <v>1536344258</v>
      </c>
      <c r="H791" s="9">
        <v>1550256003</v>
      </c>
      <c r="I791" s="6">
        <v>1.52476951961</v>
      </c>
    </row>
    <row r="792" spans="1:9" ht="45" x14ac:dyDescent="0.25">
      <c r="A792" s="1" t="s">
        <v>152</v>
      </c>
      <c r="B792" s="9">
        <v>315038289</v>
      </c>
      <c r="C792" s="9">
        <v>325115243</v>
      </c>
      <c r="D792" s="9">
        <v>335444627</v>
      </c>
      <c r="E792" s="9">
        <v>346073099</v>
      </c>
      <c r="F792" s="9">
        <v>357185874</v>
      </c>
      <c r="G792" s="9">
        <v>368326440</v>
      </c>
      <c r="H792" s="9">
        <v>379495508</v>
      </c>
      <c r="I792" s="6">
        <v>3.151104659</v>
      </c>
    </row>
    <row r="793" spans="1:9" ht="30" x14ac:dyDescent="0.25">
      <c r="A793" s="1" t="s">
        <v>151</v>
      </c>
      <c r="B793" s="9">
        <v>162316099</v>
      </c>
      <c r="C793" s="9">
        <v>169105303</v>
      </c>
      <c r="D793" s="9">
        <v>176165866</v>
      </c>
      <c r="E793" s="9">
        <v>183525676</v>
      </c>
      <c r="F793" s="9">
        <v>190757916</v>
      </c>
      <c r="G793" s="9">
        <v>198031937</v>
      </c>
      <c r="H793" s="9">
        <v>205349405</v>
      </c>
      <c r="I793" s="6">
        <v>3.997278729</v>
      </c>
    </row>
    <row r="794" spans="1:9" ht="60" x14ac:dyDescent="0.25">
      <c r="A794" s="1" t="s">
        <v>150</v>
      </c>
      <c r="B794" s="7" t="s">
        <v>58</v>
      </c>
      <c r="C794" s="7" t="s">
        <v>58</v>
      </c>
      <c r="D794" s="7" t="s">
        <v>58</v>
      </c>
      <c r="E794" s="7" t="s">
        <v>58</v>
      </c>
      <c r="F794" s="7" t="s">
        <v>58</v>
      </c>
      <c r="G794" s="7" t="s">
        <v>58</v>
      </c>
      <c r="H794" s="7" t="s">
        <v>58</v>
      </c>
      <c r="I794" s="7" t="s">
        <v>58</v>
      </c>
    </row>
    <row r="795" spans="1:9" ht="60" x14ac:dyDescent="0.25">
      <c r="A795" s="1" t="s">
        <v>149</v>
      </c>
      <c r="B795" s="7" t="s">
        <v>58</v>
      </c>
      <c r="C795" s="7" t="s">
        <v>58</v>
      </c>
      <c r="D795" s="7" t="s">
        <v>58</v>
      </c>
      <c r="E795" s="7" t="s">
        <v>58</v>
      </c>
      <c r="F795" s="7" t="s">
        <v>58</v>
      </c>
      <c r="G795" s="7" t="s">
        <v>58</v>
      </c>
      <c r="H795" s="7" t="s">
        <v>58</v>
      </c>
      <c r="I795" s="7" t="s">
        <v>58</v>
      </c>
    </row>
    <row r="796" spans="1:9" ht="60" x14ac:dyDescent="0.25">
      <c r="A796" s="1" t="s">
        <v>148</v>
      </c>
      <c r="B796" s="7" t="s">
        <v>58</v>
      </c>
      <c r="C796" s="7" t="s">
        <v>58</v>
      </c>
      <c r="D796" s="7" t="s">
        <v>58</v>
      </c>
      <c r="E796" s="7" t="s">
        <v>58</v>
      </c>
      <c r="F796" s="7" t="s">
        <v>58</v>
      </c>
      <c r="G796" s="7" t="s">
        <v>58</v>
      </c>
      <c r="H796" s="7" t="s">
        <v>58</v>
      </c>
      <c r="I796" s="7" t="s">
        <v>58</v>
      </c>
    </row>
    <row r="797" spans="1:9" ht="60" x14ac:dyDescent="0.25">
      <c r="A797" s="1" t="s">
        <v>147</v>
      </c>
      <c r="B797" s="7" t="s">
        <v>58</v>
      </c>
      <c r="C797" s="7" t="s">
        <v>58</v>
      </c>
      <c r="D797" s="7" t="s">
        <v>58</v>
      </c>
      <c r="E797" s="7" t="s">
        <v>58</v>
      </c>
      <c r="F797" s="7" t="s">
        <v>58</v>
      </c>
      <c r="G797" s="7" t="s">
        <v>58</v>
      </c>
      <c r="H797" s="7" t="s">
        <v>58</v>
      </c>
      <c r="I797" s="7" t="s">
        <v>58</v>
      </c>
    </row>
    <row r="798" spans="1:9" ht="75" x14ac:dyDescent="0.25">
      <c r="A798" s="1" t="s">
        <v>146</v>
      </c>
      <c r="B798" s="7" t="s">
        <v>58</v>
      </c>
      <c r="C798" s="7" t="s">
        <v>58</v>
      </c>
      <c r="D798" s="7" t="s">
        <v>58</v>
      </c>
      <c r="E798" s="7" t="s">
        <v>58</v>
      </c>
      <c r="F798" s="7" t="s">
        <v>58</v>
      </c>
      <c r="G798" s="7" t="s">
        <v>58</v>
      </c>
      <c r="H798" s="7" t="s">
        <v>58</v>
      </c>
      <c r="I798" s="7" t="s">
        <v>58</v>
      </c>
    </row>
    <row r="799" spans="1:9" ht="75" x14ac:dyDescent="0.25">
      <c r="A799" s="1" t="s">
        <v>145</v>
      </c>
      <c r="B799" s="7" t="s">
        <v>58</v>
      </c>
      <c r="C799" s="7" t="s">
        <v>58</v>
      </c>
      <c r="D799" s="7" t="s">
        <v>58</v>
      </c>
      <c r="E799" s="7" t="s">
        <v>58</v>
      </c>
      <c r="F799" s="7" t="s">
        <v>58</v>
      </c>
      <c r="G799" s="7" t="s">
        <v>58</v>
      </c>
      <c r="H799" s="7" t="s">
        <v>58</v>
      </c>
      <c r="I799" s="7" t="s">
        <v>58</v>
      </c>
    </row>
    <row r="800" spans="1:9" ht="75" x14ac:dyDescent="0.25">
      <c r="A800" s="1" t="s">
        <v>144</v>
      </c>
      <c r="B800" s="7" t="s">
        <v>58</v>
      </c>
      <c r="C800" s="7" t="s">
        <v>58</v>
      </c>
      <c r="D800" s="7" t="s">
        <v>58</v>
      </c>
      <c r="E800" s="7" t="s">
        <v>58</v>
      </c>
      <c r="F800" s="7" t="s">
        <v>58</v>
      </c>
      <c r="G800" s="7" t="s">
        <v>58</v>
      </c>
      <c r="H800" s="7" t="s">
        <v>58</v>
      </c>
      <c r="I800" s="7" t="s">
        <v>58</v>
      </c>
    </row>
    <row r="801" spans="1:9" x14ac:dyDescent="0.25">
      <c r="A801" s="1" t="s">
        <v>12</v>
      </c>
      <c r="B801" s="2"/>
      <c r="C801" s="2"/>
      <c r="D801" s="2"/>
      <c r="E801" s="2"/>
      <c r="F801" s="2"/>
      <c r="G801" s="2"/>
      <c r="H801" s="2"/>
      <c r="I801" s="2"/>
    </row>
    <row r="802" spans="1:9" ht="45" x14ac:dyDescent="0.25">
      <c r="A802" s="8" t="s">
        <v>81</v>
      </c>
      <c r="B802" s="2"/>
      <c r="C802" s="2"/>
      <c r="D802" s="2"/>
      <c r="E802" s="2"/>
      <c r="F802" s="2"/>
      <c r="G802" s="2"/>
      <c r="H802" s="2"/>
      <c r="I802" s="2"/>
    </row>
    <row r="803" spans="1:9" ht="30" x14ac:dyDescent="0.25">
      <c r="A803" s="1" t="s">
        <v>153</v>
      </c>
      <c r="B803" s="9">
        <v>2840000</v>
      </c>
      <c r="C803" s="9">
        <v>2880000</v>
      </c>
      <c r="D803" s="9">
        <v>2900000</v>
      </c>
      <c r="E803" s="9">
        <v>2930000</v>
      </c>
      <c r="F803" s="9">
        <v>2960000</v>
      </c>
      <c r="G803" s="9">
        <v>2970000</v>
      </c>
      <c r="H803" s="9">
        <v>2990000</v>
      </c>
      <c r="I803" s="6">
        <v>0.86151209212000002</v>
      </c>
    </row>
    <row r="804" spans="1:9" ht="45" x14ac:dyDescent="0.25">
      <c r="A804" s="1" t="s">
        <v>152</v>
      </c>
      <c r="B804" s="9">
        <v>1037413</v>
      </c>
      <c r="C804" s="9">
        <v>1047515</v>
      </c>
      <c r="D804" s="9">
        <v>1056973</v>
      </c>
      <c r="E804" s="9">
        <v>1066523</v>
      </c>
      <c r="F804" s="9">
        <v>1075292</v>
      </c>
      <c r="G804" s="9">
        <v>1082983</v>
      </c>
      <c r="H804" s="9">
        <v>1090733</v>
      </c>
      <c r="I804" s="6">
        <v>0.83882917199999996</v>
      </c>
    </row>
    <row r="805" spans="1:9" ht="30" x14ac:dyDescent="0.25">
      <c r="A805" s="1" t="s">
        <v>151</v>
      </c>
      <c r="B805" s="9">
        <v>1030548</v>
      </c>
      <c r="C805" s="9">
        <v>1040471</v>
      </c>
      <c r="D805" s="9">
        <v>1049749</v>
      </c>
      <c r="E805" s="9">
        <v>1059115</v>
      </c>
      <c r="F805" s="9">
        <v>1067703</v>
      </c>
      <c r="G805" s="9">
        <v>1075214</v>
      </c>
      <c r="H805" s="9">
        <v>1082781</v>
      </c>
      <c r="I805" s="6">
        <v>0.82743836900000001</v>
      </c>
    </row>
    <row r="806" spans="1:9" ht="60" x14ac:dyDescent="0.25">
      <c r="A806" s="1" t="s">
        <v>150</v>
      </c>
      <c r="B806" s="9">
        <v>988785</v>
      </c>
      <c r="C806" s="9">
        <v>1000587</v>
      </c>
      <c r="D806" s="9">
        <v>1010585</v>
      </c>
      <c r="E806" s="9">
        <v>1020156</v>
      </c>
      <c r="F806" s="9">
        <v>1028688</v>
      </c>
      <c r="G806" s="9">
        <v>1037044</v>
      </c>
      <c r="H806" s="9">
        <v>1045480</v>
      </c>
      <c r="I806" s="6">
        <v>0.93357205700000001</v>
      </c>
    </row>
    <row r="807" spans="1:9" ht="60" x14ac:dyDescent="0.25">
      <c r="A807" s="1" t="s">
        <v>149</v>
      </c>
      <c r="B807" s="9">
        <v>217345</v>
      </c>
      <c r="C807" s="9">
        <v>220234</v>
      </c>
      <c r="D807" s="9">
        <v>222951</v>
      </c>
      <c r="E807" s="9">
        <v>225524</v>
      </c>
      <c r="F807" s="9">
        <v>220713</v>
      </c>
      <c r="G807" s="9">
        <v>218488</v>
      </c>
      <c r="H807" s="9">
        <v>216174</v>
      </c>
      <c r="I807" s="6">
        <v>-8.9998042E-2</v>
      </c>
    </row>
    <row r="808" spans="1:9" ht="60" x14ac:dyDescent="0.25">
      <c r="A808" s="1" t="s">
        <v>148</v>
      </c>
      <c r="B808" s="9">
        <v>178433</v>
      </c>
      <c r="C808" s="9">
        <v>151141</v>
      </c>
      <c r="D808" s="9">
        <v>125352</v>
      </c>
      <c r="E808" s="9">
        <v>104798</v>
      </c>
      <c r="F808" s="9">
        <v>101537</v>
      </c>
      <c r="G808" s="9">
        <v>98586</v>
      </c>
      <c r="H808" s="9">
        <v>95828</v>
      </c>
      <c r="I808" s="6">
        <v>-9.8422895120000007</v>
      </c>
    </row>
    <row r="809" spans="1:9" ht="60" x14ac:dyDescent="0.25">
      <c r="A809" s="1" t="s">
        <v>147</v>
      </c>
      <c r="B809" s="9">
        <v>574279</v>
      </c>
      <c r="C809" s="9">
        <v>610856</v>
      </c>
      <c r="D809" s="9">
        <v>644290</v>
      </c>
      <c r="E809" s="9">
        <v>672199</v>
      </c>
      <c r="F809" s="9">
        <v>689154</v>
      </c>
      <c r="G809" s="9">
        <v>703029</v>
      </c>
      <c r="H809" s="9">
        <v>716876</v>
      </c>
      <c r="I809" s="6">
        <v>3.76562771</v>
      </c>
    </row>
    <row r="810" spans="1:9" ht="75" x14ac:dyDescent="0.25">
      <c r="A810" s="1" t="s">
        <v>146</v>
      </c>
      <c r="B810" s="9">
        <v>0</v>
      </c>
      <c r="C810" s="9">
        <v>0</v>
      </c>
      <c r="D810" s="9">
        <v>0</v>
      </c>
      <c r="E810" s="9">
        <v>0</v>
      </c>
      <c r="F810" s="9">
        <v>0</v>
      </c>
      <c r="G810" s="9">
        <v>0</v>
      </c>
      <c r="H810" s="9">
        <v>0</v>
      </c>
      <c r="I810" s="7" t="s">
        <v>58</v>
      </c>
    </row>
    <row r="811" spans="1:9" ht="75" x14ac:dyDescent="0.25">
      <c r="A811" s="1" t="s">
        <v>145</v>
      </c>
      <c r="B811" s="9">
        <v>18729</v>
      </c>
      <c r="C811" s="9">
        <v>18356</v>
      </c>
      <c r="D811" s="9">
        <v>17991</v>
      </c>
      <c r="E811" s="9">
        <v>17634</v>
      </c>
      <c r="F811" s="9">
        <v>17283</v>
      </c>
      <c r="G811" s="9">
        <v>16940</v>
      </c>
      <c r="H811" s="9">
        <v>16603</v>
      </c>
      <c r="I811" s="6">
        <v>-1.9881327710000001</v>
      </c>
    </row>
    <row r="812" spans="1:9" ht="75" x14ac:dyDescent="0.25">
      <c r="A812" s="1" t="s">
        <v>144</v>
      </c>
      <c r="B812" s="9">
        <v>0</v>
      </c>
      <c r="C812" s="9">
        <v>0</v>
      </c>
      <c r="D812" s="9">
        <v>0</v>
      </c>
      <c r="E812" s="9">
        <v>0</v>
      </c>
      <c r="F812" s="9">
        <v>0</v>
      </c>
      <c r="G812" s="9">
        <v>0</v>
      </c>
      <c r="H812" s="9">
        <v>0</v>
      </c>
      <c r="I812" s="7" t="s">
        <v>58</v>
      </c>
    </row>
    <row r="813" spans="1:9" x14ac:dyDescent="0.25">
      <c r="A813" s="1" t="s">
        <v>12</v>
      </c>
      <c r="B813" s="2"/>
      <c r="C813" s="2"/>
      <c r="D813" s="2"/>
      <c r="E813" s="2"/>
      <c r="F813" s="2"/>
      <c r="G813" s="2"/>
      <c r="H813" s="2"/>
      <c r="I813" s="2"/>
    </row>
    <row r="814" spans="1:9" x14ac:dyDescent="0.25">
      <c r="A814" s="8" t="s">
        <v>82</v>
      </c>
      <c r="B814" s="2"/>
      <c r="C814" s="2"/>
      <c r="D814" s="2"/>
      <c r="E814" s="2"/>
      <c r="F814" s="2"/>
      <c r="G814" s="2"/>
      <c r="H814" s="2"/>
      <c r="I814" s="2"/>
    </row>
    <row r="815" spans="1:9" ht="30" x14ac:dyDescent="0.25">
      <c r="A815" s="1" t="s">
        <v>153</v>
      </c>
      <c r="B815" s="9">
        <v>251270000</v>
      </c>
      <c r="C815" s="9">
        <v>249950000</v>
      </c>
      <c r="D815" s="9">
        <v>254710000</v>
      </c>
      <c r="E815" s="9">
        <v>259520000</v>
      </c>
      <c r="F815" s="9">
        <v>264340000</v>
      </c>
      <c r="G815" s="9">
        <v>269180000</v>
      </c>
      <c r="H815" s="9">
        <v>274030000</v>
      </c>
      <c r="I815" s="6">
        <v>1.4556517601900001</v>
      </c>
    </row>
    <row r="816" spans="1:9" ht="45" x14ac:dyDescent="0.25">
      <c r="A816" s="1" t="s">
        <v>152</v>
      </c>
      <c r="B816" s="9">
        <v>40203200</v>
      </c>
      <c r="C816" s="9">
        <v>40184887</v>
      </c>
      <c r="D816" s="9">
        <v>41082258</v>
      </c>
      <c r="E816" s="9">
        <v>41589744</v>
      </c>
      <c r="F816" s="9">
        <v>42566828</v>
      </c>
      <c r="G816" s="9">
        <v>43556634</v>
      </c>
      <c r="H816" s="9">
        <v>44198387</v>
      </c>
      <c r="I816" s="6">
        <v>1.591560876</v>
      </c>
    </row>
    <row r="817" spans="1:9" ht="30" x14ac:dyDescent="0.25">
      <c r="A817" s="1" t="s">
        <v>151</v>
      </c>
      <c r="B817" s="9">
        <v>34066228</v>
      </c>
      <c r="C817" s="9">
        <v>34595522</v>
      </c>
      <c r="D817" s="9">
        <v>35898598</v>
      </c>
      <c r="E817" s="9">
        <v>36705470</v>
      </c>
      <c r="F817" s="9">
        <v>38056188</v>
      </c>
      <c r="G817" s="9">
        <v>39408402</v>
      </c>
      <c r="H817" s="9">
        <v>40388926</v>
      </c>
      <c r="I817" s="6">
        <v>2.8781255290000001</v>
      </c>
    </row>
    <row r="818" spans="1:9" ht="60" x14ac:dyDescent="0.25">
      <c r="A818" s="1" t="s">
        <v>150</v>
      </c>
      <c r="B818" s="9">
        <v>3934725</v>
      </c>
      <c r="C818" s="9">
        <v>4369356</v>
      </c>
      <c r="D818" s="9">
        <v>4936407</v>
      </c>
      <c r="E818" s="9">
        <v>5593941</v>
      </c>
      <c r="F818" s="9">
        <v>6204632</v>
      </c>
      <c r="G818" s="9">
        <v>6782400</v>
      </c>
      <c r="H818" s="9">
        <v>7329016</v>
      </c>
      <c r="I818" s="6">
        <v>10.92306997</v>
      </c>
    </row>
    <row r="819" spans="1:9" ht="60" x14ac:dyDescent="0.25">
      <c r="A819" s="1" t="s">
        <v>149</v>
      </c>
      <c r="B819" s="9">
        <v>28845</v>
      </c>
      <c r="C819" s="9">
        <v>22557</v>
      </c>
      <c r="D819" s="9">
        <v>37106</v>
      </c>
      <c r="E819" s="9">
        <v>41558</v>
      </c>
      <c r="F819" s="9">
        <v>32665</v>
      </c>
      <c r="G819" s="9">
        <v>34363</v>
      </c>
      <c r="H819" s="9">
        <v>36391</v>
      </c>
      <c r="I819" s="6">
        <v>3.9490619200000001</v>
      </c>
    </row>
    <row r="820" spans="1:9" ht="60" x14ac:dyDescent="0.25">
      <c r="A820" s="1" t="s">
        <v>148</v>
      </c>
      <c r="B820" s="9">
        <v>1716617</v>
      </c>
      <c r="C820" s="9">
        <v>1661685</v>
      </c>
      <c r="D820" s="9">
        <v>1698242</v>
      </c>
      <c r="E820" s="9">
        <v>1752586</v>
      </c>
      <c r="F820" s="9">
        <v>1794648</v>
      </c>
      <c r="G820" s="9">
        <v>1746192</v>
      </c>
      <c r="H820" s="9">
        <v>1685076</v>
      </c>
      <c r="I820" s="6">
        <v>-0.308603287</v>
      </c>
    </row>
    <row r="821" spans="1:9" ht="60" x14ac:dyDescent="0.25">
      <c r="A821" s="1" t="s">
        <v>147</v>
      </c>
      <c r="B821" s="9">
        <v>1465576</v>
      </c>
      <c r="C821" s="9">
        <v>1941888</v>
      </c>
      <c r="D821" s="9">
        <v>2427360</v>
      </c>
      <c r="E821" s="9">
        <v>2990507</v>
      </c>
      <c r="F821" s="9">
        <v>3543751</v>
      </c>
      <c r="G821" s="9">
        <v>4139101</v>
      </c>
      <c r="H821" s="9">
        <v>4710297</v>
      </c>
      <c r="I821" s="6">
        <v>21.480524369000001</v>
      </c>
    </row>
    <row r="822" spans="1:9" ht="75" x14ac:dyDescent="0.25">
      <c r="A822" s="1" t="s">
        <v>146</v>
      </c>
      <c r="B822" s="9">
        <v>0</v>
      </c>
      <c r="C822" s="9">
        <v>0</v>
      </c>
      <c r="D822" s="9">
        <v>0</v>
      </c>
      <c r="E822" s="9">
        <v>0</v>
      </c>
      <c r="F822" s="9">
        <v>0</v>
      </c>
      <c r="G822" s="9">
        <v>0</v>
      </c>
      <c r="H822" s="9">
        <v>0</v>
      </c>
      <c r="I822" s="7" t="s">
        <v>58</v>
      </c>
    </row>
    <row r="823" spans="1:9" ht="75" x14ac:dyDescent="0.25">
      <c r="A823" s="1" t="s">
        <v>145</v>
      </c>
      <c r="B823" s="9">
        <v>723687</v>
      </c>
      <c r="C823" s="9">
        <v>743227</v>
      </c>
      <c r="D823" s="9">
        <v>773699</v>
      </c>
      <c r="E823" s="9">
        <v>809289</v>
      </c>
      <c r="F823" s="9">
        <v>833568</v>
      </c>
      <c r="G823" s="9">
        <v>862743</v>
      </c>
      <c r="H823" s="9">
        <v>897253</v>
      </c>
      <c r="I823" s="6">
        <v>3.647943911</v>
      </c>
    </row>
    <row r="824" spans="1:9" ht="75" x14ac:dyDescent="0.25">
      <c r="A824" s="1" t="s">
        <v>144</v>
      </c>
      <c r="B824" s="9">
        <v>0</v>
      </c>
      <c r="C824" s="9">
        <v>0</v>
      </c>
      <c r="D824" s="9">
        <v>0</v>
      </c>
      <c r="E824" s="9">
        <v>0</v>
      </c>
      <c r="F824" s="9">
        <v>0</v>
      </c>
      <c r="G824" s="9">
        <v>0</v>
      </c>
      <c r="H824" s="9">
        <v>0</v>
      </c>
      <c r="I824" s="7" t="s">
        <v>58</v>
      </c>
    </row>
    <row r="825" spans="1:9" x14ac:dyDescent="0.25">
      <c r="A825" s="1" t="s">
        <v>12</v>
      </c>
      <c r="B825" s="2"/>
      <c r="C825" s="2"/>
      <c r="D825" s="2"/>
      <c r="E825" s="2"/>
      <c r="F825" s="2"/>
      <c r="G825" s="2"/>
      <c r="H825" s="2"/>
      <c r="I825" s="2"/>
    </row>
    <row r="826" spans="1:9" x14ac:dyDescent="0.25">
      <c r="A826" s="8" t="s">
        <v>83</v>
      </c>
      <c r="B826" s="2"/>
      <c r="C826" s="2"/>
      <c r="D826" s="2"/>
      <c r="E826" s="2"/>
      <c r="F826" s="2"/>
      <c r="G826" s="2"/>
      <c r="H826" s="2"/>
      <c r="I826" s="2"/>
    </row>
    <row r="827" spans="1:9" ht="30" x14ac:dyDescent="0.25">
      <c r="A827" s="1" t="s">
        <v>153</v>
      </c>
      <c r="B827" s="9">
        <v>5552584</v>
      </c>
      <c r="C827" s="9">
        <v>5695285</v>
      </c>
      <c r="D827" s="9">
        <v>5841654</v>
      </c>
      <c r="E827" s="9">
        <v>5991784</v>
      </c>
      <c r="F827" s="9">
        <v>6145773</v>
      </c>
      <c r="G827" s="9">
        <v>6303720</v>
      </c>
      <c r="H827" s="9">
        <v>6465725</v>
      </c>
      <c r="I827" s="6">
        <v>2.56999838043</v>
      </c>
    </row>
    <row r="828" spans="1:9" ht="45" x14ac:dyDescent="0.25">
      <c r="A828" s="1" t="s">
        <v>152</v>
      </c>
      <c r="B828" s="9">
        <v>1154137</v>
      </c>
      <c r="C828" s="9">
        <v>1188761</v>
      </c>
      <c r="D828" s="9">
        <v>1224424</v>
      </c>
      <c r="E828" s="9">
        <v>1261157</v>
      </c>
      <c r="F828" s="9">
        <v>1309081</v>
      </c>
      <c r="G828" s="9">
        <v>1358826</v>
      </c>
      <c r="H828" s="9">
        <v>1410461</v>
      </c>
      <c r="I828" s="6">
        <v>3.399225645</v>
      </c>
    </row>
    <row r="829" spans="1:9" ht="30" x14ac:dyDescent="0.25">
      <c r="A829" s="1" t="s">
        <v>151</v>
      </c>
      <c r="B829" s="9">
        <v>1137020</v>
      </c>
      <c r="C829" s="9">
        <v>1172302</v>
      </c>
      <c r="D829" s="9">
        <v>1208679</v>
      </c>
      <c r="E829" s="9">
        <v>1246184</v>
      </c>
      <c r="F829" s="9">
        <v>1294833</v>
      </c>
      <c r="G829" s="9">
        <v>1345380</v>
      </c>
      <c r="H829" s="9">
        <v>1397901</v>
      </c>
      <c r="I829" s="6">
        <v>3.5026299820000002</v>
      </c>
    </row>
    <row r="830" spans="1:9" ht="60" x14ac:dyDescent="0.25">
      <c r="A830" s="1" t="s">
        <v>150</v>
      </c>
      <c r="B830" s="9">
        <v>510489</v>
      </c>
      <c r="C830" s="9">
        <v>532625</v>
      </c>
      <c r="D830" s="9">
        <v>552351</v>
      </c>
      <c r="E830" s="9">
        <v>574657</v>
      </c>
      <c r="F830" s="9">
        <v>595488</v>
      </c>
      <c r="G830" s="9">
        <v>618481</v>
      </c>
      <c r="H830" s="9">
        <v>644146</v>
      </c>
      <c r="I830" s="6">
        <v>3.9520330860000001</v>
      </c>
    </row>
    <row r="831" spans="1:9" ht="60" x14ac:dyDescent="0.25">
      <c r="A831" s="1" t="s">
        <v>149</v>
      </c>
      <c r="B831" s="9">
        <v>0</v>
      </c>
      <c r="C831" s="9">
        <v>0</v>
      </c>
      <c r="D831" s="9">
        <v>0</v>
      </c>
      <c r="E831" s="9">
        <v>0</v>
      </c>
      <c r="F831" s="9">
        <v>0</v>
      </c>
      <c r="G831" s="9">
        <v>0</v>
      </c>
      <c r="H831" s="9">
        <v>0</v>
      </c>
      <c r="I831" s="7" t="s">
        <v>58</v>
      </c>
    </row>
    <row r="832" spans="1:9" ht="60" x14ac:dyDescent="0.25">
      <c r="A832" s="1" t="s">
        <v>148</v>
      </c>
      <c r="B832" s="9">
        <v>420618</v>
      </c>
      <c r="C832" s="9">
        <v>429872</v>
      </c>
      <c r="D832" s="9">
        <v>434600</v>
      </c>
      <c r="E832" s="9">
        <v>439381</v>
      </c>
      <c r="F832" s="9">
        <v>444214</v>
      </c>
      <c r="G832" s="9">
        <v>449100</v>
      </c>
      <c r="H832" s="9">
        <v>454040</v>
      </c>
      <c r="I832" s="6">
        <v>1.282491638</v>
      </c>
    </row>
    <row r="833" spans="1:9" ht="60" x14ac:dyDescent="0.25">
      <c r="A833" s="1" t="s">
        <v>147</v>
      </c>
      <c r="B833" s="9">
        <v>74990</v>
      </c>
      <c r="C833" s="9">
        <v>87739</v>
      </c>
      <c r="D833" s="9">
        <v>102654</v>
      </c>
      <c r="E833" s="9">
        <v>120105</v>
      </c>
      <c r="F833" s="9">
        <v>136079</v>
      </c>
      <c r="G833" s="9">
        <v>154178</v>
      </c>
      <c r="H833" s="9">
        <v>174683</v>
      </c>
      <c r="I833" s="6">
        <v>15.135136816999999</v>
      </c>
    </row>
    <row r="834" spans="1:9" ht="75" x14ac:dyDescent="0.25">
      <c r="A834" s="1" t="s">
        <v>146</v>
      </c>
      <c r="B834" s="9">
        <v>0</v>
      </c>
      <c r="C834" s="9">
        <v>0</v>
      </c>
      <c r="D834" s="9">
        <v>0</v>
      </c>
      <c r="E834" s="9">
        <v>0</v>
      </c>
      <c r="F834" s="9">
        <v>0</v>
      </c>
      <c r="G834" s="9">
        <v>0</v>
      </c>
      <c r="H834" s="9">
        <v>0</v>
      </c>
      <c r="I834" s="7" t="s">
        <v>58</v>
      </c>
    </row>
    <row r="835" spans="1:9" ht="75" x14ac:dyDescent="0.25">
      <c r="A835" s="1" t="s">
        <v>145</v>
      </c>
      <c r="B835" s="9">
        <v>14881</v>
      </c>
      <c r="C835" s="9">
        <v>15015</v>
      </c>
      <c r="D835" s="9">
        <v>15097</v>
      </c>
      <c r="E835" s="9">
        <v>15171</v>
      </c>
      <c r="F835" s="9">
        <v>15195</v>
      </c>
      <c r="G835" s="9">
        <v>15203</v>
      </c>
      <c r="H835" s="9">
        <v>15422</v>
      </c>
      <c r="I835" s="6">
        <v>0.59693845199999995</v>
      </c>
    </row>
    <row r="836" spans="1:9" ht="75" x14ac:dyDescent="0.25">
      <c r="A836" s="1" t="s">
        <v>144</v>
      </c>
      <c r="B836" s="9">
        <v>0</v>
      </c>
      <c r="C836" s="9">
        <v>0</v>
      </c>
      <c r="D836" s="9">
        <v>0</v>
      </c>
      <c r="E836" s="9">
        <v>0</v>
      </c>
      <c r="F836" s="9">
        <v>0</v>
      </c>
      <c r="G836" s="9">
        <v>0</v>
      </c>
      <c r="H836" s="9">
        <v>0</v>
      </c>
      <c r="I836" s="7" t="s">
        <v>58</v>
      </c>
    </row>
    <row r="837" spans="1:9" x14ac:dyDescent="0.25">
      <c r="A837" s="1" t="s">
        <v>12</v>
      </c>
      <c r="B837" s="2"/>
      <c r="C837" s="2"/>
      <c r="D837" s="2"/>
      <c r="E837" s="2"/>
      <c r="F837" s="2"/>
      <c r="G837" s="2"/>
      <c r="H837" s="2"/>
      <c r="I837" s="2"/>
    </row>
    <row r="838" spans="1:9" x14ac:dyDescent="0.25">
      <c r="A838" s="8" t="s">
        <v>84</v>
      </c>
      <c r="B838" s="2"/>
      <c r="C838" s="2"/>
      <c r="D838" s="2"/>
      <c r="E838" s="2"/>
      <c r="F838" s="2"/>
      <c r="G838" s="2"/>
      <c r="H838" s="2"/>
      <c r="I838" s="2"/>
    </row>
    <row r="839" spans="1:9" ht="30" x14ac:dyDescent="0.25">
      <c r="A839" s="1" t="s">
        <v>153</v>
      </c>
      <c r="B839" s="9">
        <v>4570000</v>
      </c>
      <c r="C839" s="9">
        <v>4647690</v>
      </c>
      <c r="D839" s="9">
        <v>4726701</v>
      </c>
      <c r="E839" s="9">
        <v>4807055</v>
      </c>
      <c r="F839" s="9">
        <v>4888775</v>
      </c>
      <c r="G839" s="9">
        <v>4971884</v>
      </c>
      <c r="H839" s="9">
        <v>5056406</v>
      </c>
      <c r="I839" s="6">
        <v>1.7000007957800001</v>
      </c>
    </row>
    <row r="840" spans="1:9" ht="45" x14ac:dyDescent="0.25">
      <c r="A840" s="1" t="s">
        <v>152</v>
      </c>
      <c r="B840" s="9">
        <v>1325861</v>
      </c>
      <c r="C840" s="9">
        <v>1352378</v>
      </c>
      <c r="D840" s="9">
        <v>1379426</v>
      </c>
      <c r="E840" s="9">
        <v>1407015</v>
      </c>
      <c r="F840" s="9">
        <v>1435155</v>
      </c>
      <c r="G840" s="9">
        <v>1463858</v>
      </c>
      <c r="H840" s="9">
        <v>1493135</v>
      </c>
      <c r="I840" s="6">
        <v>2.0000019199999999</v>
      </c>
    </row>
    <row r="841" spans="1:9" ht="30" x14ac:dyDescent="0.25">
      <c r="A841" s="1" t="s">
        <v>151</v>
      </c>
      <c r="B841" s="9">
        <v>1188486</v>
      </c>
      <c r="C841" s="9">
        <v>1218198</v>
      </c>
      <c r="D841" s="9">
        <v>1247435</v>
      </c>
      <c r="E841" s="9">
        <v>1277373</v>
      </c>
      <c r="F841" s="9">
        <v>1306753</v>
      </c>
      <c r="G841" s="9">
        <v>1335502</v>
      </c>
      <c r="H841" s="9">
        <v>1363548</v>
      </c>
      <c r="I841" s="6">
        <v>2.316590589</v>
      </c>
    </row>
    <row r="842" spans="1:9" ht="60" x14ac:dyDescent="0.25">
      <c r="A842" s="1" t="s">
        <v>150</v>
      </c>
      <c r="B842" s="9">
        <v>694232</v>
      </c>
      <c r="C842" s="9">
        <v>727350</v>
      </c>
      <c r="D842" s="9">
        <v>758854</v>
      </c>
      <c r="E842" s="9">
        <v>788218</v>
      </c>
      <c r="F842" s="9">
        <v>815315</v>
      </c>
      <c r="G842" s="9">
        <v>839906</v>
      </c>
      <c r="H842" s="9">
        <v>862030</v>
      </c>
      <c r="I842" s="6">
        <v>3.6739451710000002</v>
      </c>
    </row>
    <row r="843" spans="1:9" ht="60" x14ac:dyDescent="0.25">
      <c r="A843" s="1" t="s">
        <v>149</v>
      </c>
      <c r="B843" s="9">
        <v>576703</v>
      </c>
      <c r="C843" s="9">
        <v>595305</v>
      </c>
      <c r="D843" s="9">
        <v>612587</v>
      </c>
      <c r="E843" s="9">
        <v>628592</v>
      </c>
      <c r="F843" s="9">
        <v>643373</v>
      </c>
      <c r="G843" s="9">
        <v>656989</v>
      </c>
      <c r="H843" s="9">
        <v>669502</v>
      </c>
      <c r="I843" s="6">
        <v>2.5179574250000001</v>
      </c>
    </row>
    <row r="844" spans="1:9" ht="60" x14ac:dyDescent="0.25">
      <c r="A844" s="1" t="s">
        <v>148</v>
      </c>
      <c r="B844" s="9">
        <v>984</v>
      </c>
      <c r="C844" s="9">
        <v>470</v>
      </c>
      <c r="D844" s="9">
        <v>230</v>
      </c>
      <c r="E844" s="9">
        <v>115</v>
      </c>
      <c r="F844" s="9">
        <v>58</v>
      </c>
      <c r="G844" s="9">
        <v>30</v>
      </c>
      <c r="H844" s="9">
        <v>16</v>
      </c>
      <c r="I844" s="6">
        <v>-49.666845750999997</v>
      </c>
    </row>
    <row r="845" spans="1:9" ht="60" x14ac:dyDescent="0.25">
      <c r="A845" s="1" t="s">
        <v>147</v>
      </c>
      <c r="B845" s="9">
        <v>72576</v>
      </c>
      <c r="C845" s="9">
        <v>87091</v>
      </c>
      <c r="D845" s="9">
        <v>101026</v>
      </c>
      <c r="E845" s="9">
        <v>113957</v>
      </c>
      <c r="F845" s="9">
        <v>125772</v>
      </c>
      <c r="G845" s="9">
        <v>136204</v>
      </c>
      <c r="H845" s="9">
        <v>145242</v>
      </c>
      <c r="I845" s="6">
        <v>12.257801352</v>
      </c>
    </row>
    <row r="846" spans="1:9" ht="75" x14ac:dyDescent="0.25">
      <c r="A846" s="1" t="s">
        <v>146</v>
      </c>
      <c r="B846" s="9">
        <v>0</v>
      </c>
      <c r="C846" s="9">
        <v>0</v>
      </c>
      <c r="D846" s="9">
        <v>0</v>
      </c>
      <c r="E846" s="9">
        <v>0</v>
      </c>
      <c r="F846" s="9">
        <v>0</v>
      </c>
      <c r="G846" s="9">
        <v>0</v>
      </c>
      <c r="H846" s="9">
        <v>0</v>
      </c>
      <c r="I846" s="7" t="s">
        <v>58</v>
      </c>
    </row>
    <row r="847" spans="1:9" ht="75" x14ac:dyDescent="0.25">
      <c r="A847" s="1" t="s">
        <v>145</v>
      </c>
      <c r="B847" s="9">
        <v>12169</v>
      </c>
      <c r="C847" s="9">
        <v>12047</v>
      </c>
      <c r="D847" s="9">
        <v>11927</v>
      </c>
      <c r="E847" s="9">
        <v>11807</v>
      </c>
      <c r="F847" s="9">
        <v>11689</v>
      </c>
      <c r="G847" s="9">
        <v>11572</v>
      </c>
      <c r="H847" s="9">
        <v>11457</v>
      </c>
      <c r="I847" s="6">
        <v>-0.99981556800000004</v>
      </c>
    </row>
    <row r="848" spans="1:9" ht="75" x14ac:dyDescent="0.25">
      <c r="A848" s="1" t="s">
        <v>144</v>
      </c>
      <c r="B848" s="9">
        <v>31801</v>
      </c>
      <c r="C848" s="9">
        <v>32437</v>
      </c>
      <c r="D848" s="9">
        <v>33086</v>
      </c>
      <c r="E848" s="9">
        <v>33747</v>
      </c>
      <c r="F848" s="9">
        <v>34422</v>
      </c>
      <c r="G848" s="9">
        <v>35111</v>
      </c>
      <c r="H848" s="9">
        <v>35813</v>
      </c>
      <c r="I848" s="6">
        <v>1.9999567579999999</v>
      </c>
    </row>
    <row r="849" spans="1:9" x14ac:dyDescent="0.25">
      <c r="A849" s="1" t="s">
        <v>12</v>
      </c>
      <c r="B849" s="2"/>
      <c r="C849" s="2"/>
      <c r="D849" s="2"/>
      <c r="E849" s="2"/>
      <c r="F849" s="2"/>
      <c r="G849" s="2"/>
      <c r="H849" s="2"/>
      <c r="I849" s="2"/>
    </row>
    <row r="850" spans="1:9" x14ac:dyDescent="0.25">
      <c r="A850" s="8" t="s">
        <v>85</v>
      </c>
      <c r="B850" s="2"/>
      <c r="C850" s="2"/>
      <c r="D850" s="2"/>
      <c r="E850" s="2"/>
      <c r="F850" s="2"/>
      <c r="G850" s="2"/>
      <c r="H850" s="2"/>
      <c r="I850" s="2"/>
    </row>
    <row r="851" spans="1:9" ht="30" x14ac:dyDescent="0.25">
      <c r="A851" s="1" t="s">
        <v>153</v>
      </c>
      <c r="B851" s="9">
        <v>7490000</v>
      </c>
      <c r="C851" s="9">
        <v>7580000</v>
      </c>
      <c r="D851" s="9">
        <v>7670000</v>
      </c>
      <c r="E851" s="9">
        <v>7760000</v>
      </c>
      <c r="F851" s="9">
        <v>7850000</v>
      </c>
      <c r="G851" s="9">
        <v>7940000</v>
      </c>
      <c r="H851" s="9">
        <v>8030000</v>
      </c>
      <c r="I851" s="6">
        <v>1.1670193236399999</v>
      </c>
    </row>
    <row r="852" spans="1:9" ht="45" x14ac:dyDescent="0.25">
      <c r="A852" s="1" t="s">
        <v>152</v>
      </c>
      <c r="B852" s="9">
        <v>2026543</v>
      </c>
      <c r="C852" s="9">
        <v>2061801</v>
      </c>
      <c r="D852" s="9">
        <v>2097059</v>
      </c>
      <c r="E852" s="9">
        <v>2132316</v>
      </c>
      <c r="F852" s="9">
        <v>2167574</v>
      </c>
      <c r="G852" s="9">
        <v>2202831</v>
      </c>
      <c r="H852" s="9">
        <v>2238089</v>
      </c>
      <c r="I852" s="6">
        <v>1.6686183349999999</v>
      </c>
    </row>
    <row r="853" spans="1:9" ht="30" x14ac:dyDescent="0.25">
      <c r="A853" s="1" t="s">
        <v>151</v>
      </c>
      <c r="B853" s="9">
        <v>1813756</v>
      </c>
      <c r="C853" s="9">
        <v>1843250</v>
      </c>
      <c r="D853" s="9">
        <v>1872673</v>
      </c>
      <c r="E853" s="9">
        <v>1902026</v>
      </c>
      <c r="F853" s="9">
        <v>1931308</v>
      </c>
      <c r="G853" s="9">
        <v>1960520</v>
      </c>
      <c r="H853" s="9">
        <v>1989661</v>
      </c>
      <c r="I853" s="6">
        <v>1.55470233</v>
      </c>
    </row>
    <row r="854" spans="1:9" ht="60" x14ac:dyDescent="0.25">
      <c r="A854" s="1" t="s">
        <v>150</v>
      </c>
      <c r="B854" s="9">
        <v>836092</v>
      </c>
      <c r="C854" s="9">
        <v>910504</v>
      </c>
      <c r="D854" s="9">
        <v>985165</v>
      </c>
      <c r="E854" s="9">
        <v>1060038</v>
      </c>
      <c r="F854" s="9">
        <v>1128940</v>
      </c>
      <c r="G854" s="9">
        <v>1196676</v>
      </c>
      <c r="H854" s="9">
        <v>1274460</v>
      </c>
      <c r="I854" s="6">
        <v>7.2783347709999999</v>
      </c>
    </row>
    <row r="855" spans="1:9" ht="60" x14ac:dyDescent="0.25">
      <c r="A855" s="1" t="s">
        <v>149</v>
      </c>
      <c r="B855" s="9">
        <v>409685</v>
      </c>
      <c r="C855" s="9">
        <v>451610</v>
      </c>
      <c r="D855" s="9">
        <v>492583</v>
      </c>
      <c r="E855" s="9">
        <v>535319</v>
      </c>
      <c r="F855" s="9">
        <v>574630</v>
      </c>
      <c r="G855" s="9">
        <v>610305</v>
      </c>
      <c r="H855" s="9">
        <v>648700</v>
      </c>
      <c r="I855" s="6">
        <v>7.9606869070000004</v>
      </c>
    </row>
    <row r="856" spans="1:9" ht="60" x14ac:dyDescent="0.25">
      <c r="A856" s="1" t="s">
        <v>148</v>
      </c>
      <c r="B856" s="9">
        <v>102839</v>
      </c>
      <c r="C856" s="9">
        <v>103797</v>
      </c>
      <c r="D856" s="9">
        <v>104427</v>
      </c>
      <c r="E856" s="9">
        <v>104944</v>
      </c>
      <c r="F856" s="9">
        <v>104991</v>
      </c>
      <c r="G856" s="9">
        <v>106863</v>
      </c>
      <c r="H856" s="9">
        <v>118525</v>
      </c>
      <c r="I856" s="6">
        <v>2.394199043</v>
      </c>
    </row>
    <row r="857" spans="1:9" ht="60" x14ac:dyDescent="0.25">
      <c r="A857" s="1" t="s">
        <v>147</v>
      </c>
      <c r="B857" s="9">
        <v>301829</v>
      </c>
      <c r="C857" s="9">
        <v>334155</v>
      </c>
      <c r="D857" s="9">
        <v>368452</v>
      </c>
      <c r="E857" s="9">
        <v>401754</v>
      </c>
      <c r="F857" s="9">
        <v>433513</v>
      </c>
      <c r="G857" s="9">
        <v>469097</v>
      </c>
      <c r="H857" s="9">
        <v>489393</v>
      </c>
      <c r="I857" s="6">
        <v>8.3883981670000001</v>
      </c>
    </row>
    <row r="858" spans="1:9" ht="75" x14ac:dyDescent="0.25">
      <c r="A858" s="1" t="s">
        <v>146</v>
      </c>
      <c r="B858" s="9">
        <v>1</v>
      </c>
      <c r="C858" s="9">
        <v>0</v>
      </c>
      <c r="D858" s="9">
        <v>0</v>
      </c>
      <c r="E858" s="9">
        <v>0</v>
      </c>
      <c r="F858" s="9">
        <v>0</v>
      </c>
      <c r="G858" s="9">
        <v>0</v>
      </c>
      <c r="H858" s="9">
        <v>0</v>
      </c>
      <c r="I858" s="6">
        <v>-100</v>
      </c>
    </row>
    <row r="859" spans="1:9" ht="75" x14ac:dyDescent="0.25">
      <c r="A859" s="1" t="s">
        <v>145</v>
      </c>
      <c r="B859" s="9">
        <v>21738</v>
      </c>
      <c r="C859" s="9">
        <v>20942</v>
      </c>
      <c r="D859" s="9">
        <v>19703</v>
      </c>
      <c r="E859" s="9">
        <v>18021</v>
      </c>
      <c r="F859" s="9">
        <v>15806</v>
      </c>
      <c r="G859" s="9">
        <v>10411</v>
      </c>
      <c r="H859" s="9">
        <v>17842</v>
      </c>
      <c r="I859" s="6">
        <v>-3.238188171</v>
      </c>
    </row>
    <row r="860" spans="1:9" ht="75" x14ac:dyDescent="0.25">
      <c r="A860" s="1" t="s">
        <v>144</v>
      </c>
      <c r="B860" s="9">
        <v>0</v>
      </c>
      <c r="C860" s="9">
        <v>0</v>
      </c>
      <c r="D860" s="9">
        <v>0</v>
      </c>
      <c r="E860" s="9">
        <v>0</v>
      </c>
      <c r="F860" s="9">
        <v>0</v>
      </c>
      <c r="G860" s="9">
        <v>0</v>
      </c>
      <c r="H860" s="9">
        <v>0</v>
      </c>
      <c r="I860" s="7" t="s">
        <v>58</v>
      </c>
    </row>
    <row r="861" spans="1:9" x14ac:dyDescent="0.25">
      <c r="A861" s="1" t="s">
        <v>12</v>
      </c>
      <c r="B861" s="2"/>
      <c r="C861" s="2"/>
      <c r="D861" s="2"/>
      <c r="E861" s="2"/>
      <c r="F861" s="2"/>
      <c r="G861" s="2"/>
      <c r="H861" s="2"/>
      <c r="I861" s="2"/>
    </row>
    <row r="862" spans="1:9" x14ac:dyDescent="0.25">
      <c r="A862" s="8" t="s">
        <v>86</v>
      </c>
      <c r="B862" s="2"/>
      <c r="C862" s="2"/>
      <c r="D862" s="2"/>
      <c r="E862" s="2"/>
      <c r="F862" s="2"/>
      <c r="G862" s="2"/>
      <c r="H862" s="2"/>
      <c r="I862" s="2"/>
    </row>
    <row r="863" spans="1:9" ht="30" x14ac:dyDescent="0.25">
      <c r="A863" s="1" t="s">
        <v>153</v>
      </c>
      <c r="B863" s="9">
        <v>34680000</v>
      </c>
      <c r="C863" s="9">
        <v>35020000</v>
      </c>
      <c r="D863" s="9">
        <v>35350000</v>
      </c>
      <c r="E863" s="9">
        <v>35690000</v>
      </c>
      <c r="F863" s="9">
        <v>36030000</v>
      </c>
      <c r="G863" s="9">
        <v>36370000</v>
      </c>
      <c r="H863" s="9">
        <v>36700000</v>
      </c>
      <c r="I863" s="6">
        <v>0.94802561435999999</v>
      </c>
    </row>
    <row r="864" spans="1:9" ht="45" x14ac:dyDescent="0.25">
      <c r="A864" s="1" t="s">
        <v>152</v>
      </c>
      <c r="B864" s="9">
        <v>9821544</v>
      </c>
      <c r="C864" s="9">
        <v>9968868</v>
      </c>
      <c r="D864" s="9">
        <v>10155285</v>
      </c>
      <c r="E864" s="9">
        <v>10307615</v>
      </c>
      <c r="F864" s="9">
        <v>10462229</v>
      </c>
      <c r="G864" s="9">
        <v>10619162</v>
      </c>
      <c r="H864" s="9">
        <v>10778450</v>
      </c>
      <c r="I864" s="6">
        <v>1.561574279</v>
      </c>
    </row>
    <row r="865" spans="1:9" ht="30" x14ac:dyDescent="0.25">
      <c r="A865" s="1" t="s">
        <v>151</v>
      </c>
      <c r="B865" s="9">
        <v>8267361</v>
      </c>
      <c r="C865" s="9">
        <v>8474045</v>
      </c>
      <c r="D865" s="9">
        <v>8685896</v>
      </c>
      <c r="E865" s="9">
        <v>8903043</v>
      </c>
      <c r="F865" s="9">
        <v>9125619</v>
      </c>
      <c r="G865" s="9">
        <v>9353759</v>
      </c>
      <c r="H865" s="9">
        <v>9587603</v>
      </c>
      <c r="I865" s="6">
        <v>2.4999979730000002</v>
      </c>
    </row>
    <row r="866" spans="1:9" ht="60" x14ac:dyDescent="0.25">
      <c r="A866" s="1" t="s">
        <v>150</v>
      </c>
      <c r="B866" s="9">
        <v>3706741</v>
      </c>
      <c r="C866" s="9">
        <v>4025854</v>
      </c>
      <c r="D866" s="9">
        <v>4362939</v>
      </c>
      <c r="E866" s="9">
        <v>4738777</v>
      </c>
      <c r="F866" s="9">
        <v>5150272</v>
      </c>
      <c r="G866" s="9">
        <v>5590564</v>
      </c>
      <c r="H866" s="9">
        <v>6053305</v>
      </c>
      <c r="I866" s="6">
        <v>8.5175680790000001</v>
      </c>
    </row>
    <row r="867" spans="1:9" ht="60" x14ac:dyDescent="0.25">
      <c r="A867" s="1" t="s">
        <v>149</v>
      </c>
      <c r="B867" s="9">
        <v>1207591</v>
      </c>
      <c r="C867" s="9">
        <v>1174094</v>
      </c>
      <c r="D867" s="9">
        <v>1151763</v>
      </c>
      <c r="E867" s="9">
        <v>1136651</v>
      </c>
      <c r="F867" s="9">
        <v>1126319</v>
      </c>
      <c r="G867" s="9">
        <v>1119204</v>
      </c>
      <c r="H867" s="9">
        <v>1114280</v>
      </c>
      <c r="I867" s="6">
        <v>-1.3313745770000001</v>
      </c>
    </row>
    <row r="868" spans="1:9" ht="60" x14ac:dyDescent="0.25">
      <c r="A868" s="1" t="s">
        <v>148</v>
      </c>
      <c r="B868" s="9">
        <v>12729</v>
      </c>
      <c r="C868" s="9">
        <v>5940</v>
      </c>
      <c r="D868" s="9">
        <v>2455</v>
      </c>
      <c r="E868" s="9">
        <v>871</v>
      </c>
      <c r="F868" s="9">
        <v>253</v>
      </c>
      <c r="G868" s="9">
        <v>55</v>
      </c>
      <c r="H868" s="9">
        <v>8</v>
      </c>
      <c r="I868" s="6">
        <v>-70.732702864999993</v>
      </c>
    </row>
    <row r="869" spans="1:9" ht="60" x14ac:dyDescent="0.25">
      <c r="A869" s="1" t="s">
        <v>147</v>
      </c>
      <c r="B869" s="9">
        <v>2382932</v>
      </c>
      <c r="C869" s="9">
        <v>2749468</v>
      </c>
      <c r="D869" s="9">
        <v>3112864</v>
      </c>
      <c r="E869" s="9">
        <v>3502541</v>
      </c>
      <c r="F869" s="9">
        <v>3920045</v>
      </c>
      <c r="G869" s="9">
        <v>4361192</v>
      </c>
      <c r="H869" s="9">
        <v>4821213</v>
      </c>
      <c r="I869" s="6">
        <v>12.462425275999999</v>
      </c>
    </row>
    <row r="870" spans="1:9" ht="75" x14ac:dyDescent="0.25">
      <c r="A870" s="1" t="s">
        <v>146</v>
      </c>
      <c r="B870" s="9">
        <v>27010</v>
      </c>
      <c r="C870" s="9">
        <v>32129</v>
      </c>
      <c r="D870" s="9">
        <v>37914</v>
      </c>
      <c r="E870" s="9">
        <v>44399</v>
      </c>
      <c r="F870" s="9">
        <v>51614</v>
      </c>
      <c r="G870" s="9">
        <v>59582</v>
      </c>
      <c r="H870" s="9">
        <v>68320</v>
      </c>
      <c r="I870" s="6">
        <v>16.726790818000001</v>
      </c>
    </row>
    <row r="871" spans="1:9" ht="75" x14ac:dyDescent="0.25">
      <c r="A871" s="1" t="s">
        <v>145</v>
      </c>
      <c r="B871" s="9">
        <v>73465</v>
      </c>
      <c r="C871" s="9">
        <v>61208</v>
      </c>
      <c r="D871" s="9">
        <v>54927</v>
      </c>
      <c r="E871" s="9">
        <v>51298</v>
      </c>
      <c r="F871" s="9">
        <v>49023</v>
      </c>
      <c r="G871" s="9">
        <v>47512</v>
      </c>
      <c r="H871" s="9">
        <v>46464</v>
      </c>
      <c r="I871" s="6">
        <v>-7.3512952929999997</v>
      </c>
    </row>
    <row r="872" spans="1:9" ht="75" x14ac:dyDescent="0.25">
      <c r="A872" s="1" t="s">
        <v>144</v>
      </c>
      <c r="B872" s="9">
        <v>3014</v>
      </c>
      <c r="C872" s="9">
        <v>3015</v>
      </c>
      <c r="D872" s="9">
        <v>3016</v>
      </c>
      <c r="E872" s="9">
        <v>3017</v>
      </c>
      <c r="F872" s="9">
        <v>3018</v>
      </c>
      <c r="G872" s="9">
        <v>3019</v>
      </c>
      <c r="H872" s="9">
        <v>3020</v>
      </c>
      <c r="I872" s="6">
        <v>3.3151013E-2</v>
      </c>
    </row>
    <row r="873" spans="1:9" x14ac:dyDescent="0.25">
      <c r="A873" s="1" t="s">
        <v>12</v>
      </c>
      <c r="B873" s="2"/>
      <c r="C873" s="2"/>
      <c r="D873" s="2"/>
      <c r="E873" s="2"/>
      <c r="F873" s="2"/>
      <c r="G873" s="2"/>
      <c r="H873" s="2"/>
      <c r="I873" s="2"/>
    </row>
    <row r="874" spans="1:9" x14ac:dyDescent="0.25">
      <c r="A874" s="8" t="s">
        <v>87</v>
      </c>
      <c r="B874" s="2"/>
      <c r="C874" s="2"/>
      <c r="D874" s="2"/>
      <c r="E874" s="2"/>
      <c r="F874" s="2"/>
      <c r="G874" s="2"/>
      <c r="H874" s="2"/>
      <c r="I874" s="2"/>
    </row>
    <row r="875" spans="1:9" ht="30" x14ac:dyDescent="0.25">
      <c r="A875" s="1" t="s">
        <v>153</v>
      </c>
      <c r="B875" s="9">
        <v>117070000</v>
      </c>
      <c r="C875" s="9">
        <v>118460000</v>
      </c>
      <c r="D875" s="9">
        <v>119850000</v>
      </c>
      <c r="E875" s="9">
        <v>121240000</v>
      </c>
      <c r="F875" s="9">
        <v>122635000</v>
      </c>
      <c r="G875" s="9">
        <v>124045000</v>
      </c>
      <c r="H875" s="9">
        <v>125355000</v>
      </c>
      <c r="I875" s="6">
        <v>1.14614625632</v>
      </c>
    </row>
    <row r="876" spans="1:9" ht="45" x14ac:dyDescent="0.25">
      <c r="A876" s="1" t="s">
        <v>152</v>
      </c>
      <c r="B876" s="9">
        <v>27501998</v>
      </c>
      <c r="C876" s="9">
        <v>28074039</v>
      </c>
      <c r="D876" s="9">
        <v>28649557</v>
      </c>
      <c r="E876" s="9">
        <v>29225413</v>
      </c>
      <c r="F876" s="9">
        <v>29801154</v>
      </c>
      <c r="G876" s="9">
        <v>30376316</v>
      </c>
      <c r="H876" s="9">
        <v>30953466</v>
      </c>
      <c r="I876" s="6">
        <v>1.9899800050000001</v>
      </c>
    </row>
    <row r="877" spans="1:9" ht="30" x14ac:dyDescent="0.25">
      <c r="A877" s="1" t="s">
        <v>151</v>
      </c>
      <c r="B877" s="9">
        <v>21127861</v>
      </c>
      <c r="C877" s="9">
        <v>21675158</v>
      </c>
      <c r="D877" s="9">
        <v>22230096</v>
      </c>
      <c r="E877" s="9">
        <v>22790305</v>
      </c>
      <c r="F877" s="9">
        <v>23355471</v>
      </c>
      <c r="G877" s="9">
        <v>23925262</v>
      </c>
      <c r="H877" s="9">
        <v>24501742</v>
      </c>
      <c r="I877" s="6">
        <v>2.499930736</v>
      </c>
    </row>
    <row r="878" spans="1:9" ht="60" x14ac:dyDescent="0.25">
      <c r="A878" s="1" t="s">
        <v>150</v>
      </c>
      <c r="B878" s="9">
        <v>9333228</v>
      </c>
      <c r="C878" s="9">
        <v>10941848</v>
      </c>
      <c r="D878" s="9">
        <v>12651229</v>
      </c>
      <c r="E878" s="9">
        <v>13738622</v>
      </c>
      <c r="F878" s="9">
        <v>14657631</v>
      </c>
      <c r="G878" s="9">
        <v>15597763</v>
      </c>
      <c r="H878" s="9">
        <v>16506432</v>
      </c>
      <c r="I878" s="6">
        <v>9.9689863630000008</v>
      </c>
    </row>
    <row r="879" spans="1:9" ht="60" x14ac:dyDescent="0.25">
      <c r="A879" s="1" t="s">
        <v>149</v>
      </c>
      <c r="B879" s="9">
        <v>539129</v>
      </c>
      <c r="C879" s="9">
        <v>536957</v>
      </c>
      <c r="D879" s="9">
        <v>534734</v>
      </c>
      <c r="E879" s="9">
        <v>532563</v>
      </c>
      <c r="F879" s="9">
        <v>530332</v>
      </c>
      <c r="G879" s="9">
        <v>528190</v>
      </c>
      <c r="H879" s="9">
        <v>526002</v>
      </c>
      <c r="I879" s="6">
        <v>-0.40998823299999998</v>
      </c>
    </row>
    <row r="880" spans="1:9" ht="60" x14ac:dyDescent="0.25">
      <c r="A880" s="1" t="s">
        <v>148</v>
      </c>
      <c r="B880" s="9">
        <v>652650</v>
      </c>
      <c r="C880" s="9">
        <v>597240</v>
      </c>
      <c r="D880" s="9">
        <v>554119</v>
      </c>
      <c r="E880" s="9">
        <v>518323</v>
      </c>
      <c r="F880" s="9">
        <v>488312</v>
      </c>
      <c r="G880" s="9">
        <v>468145</v>
      </c>
      <c r="H880" s="9">
        <v>453679</v>
      </c>
      <c r="I880" s="6">
        <v>-5.8808371240000001</v>
      </c>
    </row>
    <row r="881" spans="1:9" ht="60" x14ac:dyDescent="0.25">
      <c r="A881" s="1" t="s">
        <v>147</v>
      </c>
      <c r="B881" s="9">
        <v>7171333</v>
      </c>
      <c r="C881" s="9">
        <v>9110039</v>
      </c>
      <c r="D881" s="9">
        <v>10986596</v>
      </c>
      <c r="E881" s="9">
        <v>12164487</v>
      </c>
      <c r="F881" s="9">
        <v>13175721</v>
      </c>
      <c r="G881" s="9">
        <v>14185602</v>
      </c>
      <c r="H881" s="9">
        <v>15152539</v>
      </c>
      <c r="I881" s="6">
        <v>13.278525370000001</v>
      </c>
    </row>
    <row r="882" spans="1:9" ht="75" x14ac:dyDescent="0.25">
      <c r="A882" s="1" t="s">
        <v>146</v>
      </c>
      <c r="B882" s="9">
        <v>60706</v>
      </c>
      <c r="C882" s="9">
        <v>64227</v>
      </c>
      <c r="D882" s="9">
        <v>68402</v>
      </c>
      <c r="E882" s="9">
        <v>72301</v>
      </c>
      <c r="F882" s="9">
        <v>74831</v>
      </c>
      <c r="G882" s="9">
        <v>78648</v>
      </c>
      <c r="H882" s="9">
        <v>81715</v>
      </c>
      <c r="I882" s="6">
        <v>5.077974963</v>
      </c>
    </row>
    <row r="883" spans="1:9" ht="75" x14ac:dyDescent="0.25">
      <c r="A883" s="1" t="s">
        <v>145</v>
      </c>
      <c r="B883" s="9">
        <v>903322</v>
      </c>
      <c r="C883" s="9">
        <v>627138</v>
      </c>
      <c r="D883" s="9">
        <v>500988</v>
      </c>
      <c r="E883" s="9">
        <v>444436</v>
      </c>
      <c r="F883" s="9">
        <v>381753</v>
      </c>
      <c r="G883" s="9">
        <v>330357</v>
      </c>
      <c r="H883" s="9">
        <v>285505</v>
      </c>
      <c r="I883" s="6">
        <v>-17.466830822999999</v>
      </c>
    </row>
    <row r="884" spans="1:9" ht="75" x14ac:dyDescent="0.25">
      <c r="A884" s="1" t="s">
        <v>144</v>
      </c>
      <c r="B884" s="9">
        <v>6088</v>
      </c>
      <c r="C884" s="9">
        <v>6247</v>
      </c>
      <c r="D884" s="9">
        <v>6390</v>
      </c>
      <c r="E884" s="9">
        <v>6512</v>
      </c>
      <c r="F884" s="9">
        <v>6681</v>
      </c>
      <c r="G884" s="9">
        <v>6821</v>
      </c>
      <c r="H884" s="9">
        <v>6992</v>
      </c>
      <c r="I884" s="6">
        <v>2.334277878</v>
      </c>
    </row>
    <row r="885" spans="1:9" x14ac:dyDescent="0.25">
      <c r="A885" s="1" t="s">
        <v>12</v>
      </c>
      <c r="B885" s="2"/>
      <c r="C885" s="2"/>
      <c r="D885" s="2"/>
      <c r="E885" s="2"/>
      <c r="F885" s="2"/>
      <c r="G885" s="2"/>
      <c r="H885" s="2"/>
      <c r="I885" s="2"/>
    </row>
    <row r="886" spans="1:9" x14ac:dyDescent="0.25">
      <c r="A886" s="8" t="s">
        <v>88</v>
      </c>
      <c r="B886" s="2"/>
      <c r="C886" s="2"/>
      <c r="D886" s="2"/>
      <c r="E886" s="2"/>
      <c r="F886" s="2"/>
      <c r="G886" s="2"/>
      <c r="H886" s="2"/>
      <c r="I886" s="2"/>
    </row>
    <row r="887" spans="1:9" ht="30" x14ac:dyDescent="0.25">
      <c r="A887" s="1" t="s">
        <v>153</v>
      </c>
      <c r="B887" s="9">
        <v>37600000</v>
      </c>
      <c r="C887" s="9">
        <v>37510000</v>
      </c>
      <c r="D887" s="9">
        <v>37420000</v>
      </c>
      <c r="E887" s="9">
        <v>37310000</v>
      </c>
      <c r="F887" s="9">
        <v>37200000</v>
      </c>
      <c r="G887" s="9">
        <v>37080000</v>
      </c>
      <c r="H887" s="9">
        <v>36940000</v>
      </c>
      <c r="I887" s="6">
        <v>-0.29471611729000002</v>
      </c>
    </row>
    <row r="888" spans="1:9" ht="45" x14ac:dyDescent="0.25">
      <c r="A888" s="1" t="s">
        <v>152</v>
      </c>
      <c r="B888" s="9">
        <v>15322733</v>
      </c>
      <c r="C888" s="9">
        <v>15368701</v>
      </c>
      <c r="D888" s="9">
        <v>15414807</v>
      </c>
      <c r="E888" s="9">
        <v>15430222</v>
      </c>
      <c r="F888" s="9">
        <v>15445652</v>
      </c>
      <c r="G888" s="9">
        <v>15461097</v>
      </c>
      <c r="H888" s="9">
        <v>15476559</v>
      </c>
      <c r="I888" s="6">
        <v>0.16662222700000001</v>
      </c>
    </row>
    <row r="889" spans="1:9" ht="30" x14ac:dyDescent="0.25">
      <c r="A889" s="1" t="s">
        <v>151</v>
      </c>
      <c r="B889" s="9">
        <v>14875088</v>
      </c>
      <c r="C889" s="9">
        <v>14915984</v>
      </c>
      <c r="D889" s="9">
        <v>14956991</v>
      </c>
      <c r="E889" s="9">
        <v>14968205</v>
      </c>
      <c r="F889" s="9">
        <v>14979428</v>
      </c>
      <c r="G889" s="9">
        <v>14990659</v>
      </c>
      <c r="H889" s="9">
        <v>15001898</v>
      </c>
      <c r="I889" s="6">
        <v>0.14158111600000001</v>
      </c>
    </row>
    <row r="890" spans="1:9" ht="60" x14ac:dyDescent="0.25">
      <c r="A890" s="1" t="s">
        <v>150</v>
      </c>
      <c r="B890" s="9">
        <v>9829400</v>
      </c>
      <c r="C890" s="9">
        <v>10129728</v>
      </c>
      <c r="D890" s="9">
        <v>10421021</v>
      </c>
      <c r="E890" s="9">
        <v>10698986</v>
      </c>
      <c r="F890" s="9">
        <v>10961259</v>
      </c>
      <c r="G890" s="9">
        <v>11206877</v>
      </c>
      <c r="H890" s="9">
        <v>11435848</v>
      </c>
      <c r="I890" s="6">
        <v>2.5550130599999998</v>
      </c>
    </row>
    <row r="891" spans="1:9" ht="60" x14ac:dyDescent="0.25">
      <c r="A891" s="1" t="s">
        <v>149</v>
      </c>
      <c r="B891" s="9">
        <v>2508800</v>
      </c>
      <c r="C891" s="9">
        <v>2239826</v>
      </c>
      <c r="D891" s="9">
        <v>2011696</v>
      </c>
      <c r="E891" s="9">
        <v>1817046</v>
      </c>
      <c r="F891" s="9">
        <v>1650021</v>
      </c>
      <c r="G891" s="9">
        <v>1505933</v>
      </c>
      <c r="H891" s="9">
        <v>1381003</v>
      </c>
      <c r="I891" s="6">
        <v>-9.4709220950000006</v>
      </c>
    </row>
    <row r="892" spans="1:9" ht="60" x14ac:dyDescent="0.25">
      <c r="A892" s="1" t="s">
        <v>148</v>
      </c>
      <c r="B892" s="9">
        <v>921200</v>
      </c>
      <c r="C892" s="9">
        <v>754913</v>
      </c>
      <c r="D892" s="9">
        <v>620976</v>
      </c>
      <c r="E892" s="9">
        <v>513004</v>
      </c>
      <c r="F892" s="9">
        <v>425874</v>
      </c>
      <c r="G892" s="9">
        <v>355478</v>
      </c>
      <c r="H892" s="9">
        <v>298515</v>
      </c>
      <c r="I892" s="6">
        <v>-17.122742457000001</v>
      </c>
    </row>
    <row r="893" spans="1:9" ht="60" x14ac:dyDescent="0.25">
      <c r="A893" s="1" t="s">
        <v>147</v>
      </c>
      <c r="B893" s="9">
        <v>5468400</v>
      </c>
      <c r="C893" s="9">
        <v>6296848</v>
      </c>
      <c r="D893" s="9">
        <v>7041858</v>
      </c>
      <c r="E893" s="9">
        <v>7711898</v>
      </c>
      <c r="F893" s="9">
        <v>8314571</v>
      </c>
      <c r="G893" s="9">
        <v>8856703</v>
      </c>
      <c r="H893" s="9">
        <v>9344422</v>
      </c>
      <c r="I893" s="6">
        <v>9.3407448590000008</v>
      </c>
    </row>
    <row r="894" spans="1:9" ht="75" x14ac:dyDescent="0.25">
      <c r="A894" s="1" t="s">
        <v>146</v>
      </c>
      <c r="B894" s="9">
        <v>0</v>
      </c>
      <c r="C894" s="9">
        <v>0</v>
      </c>
      <c r="D894" s="9">
        <v>0</v>
      </c>
      <c r="E894" s="9">
        <v>0</v>
      </c>
      <c r="F894" s="9">
        <v>0</v>
      </c>
      <c r="G894" s="9">
        <v>0</v>
      </c>
      <c r="H894" s="9">
        <v>0</v>
      </c>
      <c r="I894" s="7" t="s">
        <v>58</v>
      </c>
    </row>
    <row r="895" spans="1:9" ht="75" x14ac:dyDescent="0.25">
      <c r="A895" s="1" t="s">
        <v>145</v>
      </c>
      <c r="B895" s="9">
        <v>509600</v>
      </c>
      <c r="C895" s="9">
        <v>450741</v>
      </c>
      <c r="D895" s="9">
        <v>393474</v>
      </c>
      <c r="E895" s="9">
        <v>338483</v>
      </c>
      <c r="F895" s="9">
        <v>286448</v>
      </c>
      <c r="G895" s="9">
        <v>238008</v>
      </c>
      <c r="H895" s="9">
        <v>193735</v>
      </c>
      <c r="I895" s="6">
        <v>-14.886892966</v>
      </c>
    </row>
    <row r="896" spans="1:9" ht="75" x14ac:dyDescent="0.25">
      <c r="A896" s="1" t="s">
        <v>144</v>
      </c>
      <c r="B896" s="9">
        <v>421400</v>
      </c>
      <c r="C896" s="9">
        <v>387400</v>
      </c>
      <c r="D896" s="9">
        <v>353018</v>
      </c>
      <c r="E896" s="9">
        <v>318554</v>
      </c>
      <c r="F896" s="9">
        <v>284345</v>
      </c>
      <c r="G896" s="9">
        <v>250755</v>
      </c>
      <c r="H896" s="9">
        <v>218172</v>
      </c>
      <c r="I896" s="6">
        <v>-10.391182370999999</v>
      </c>
    </row>
    <row r="897" spans="1:9" x14ac:dyDescent="0.25">
      <c r="A897" s="1" t="s">
        <v>12</v>
      </c>
      <c r="B897" s="2"/>
      <c r="C897" s="2"/>
      <c r="D897" s="2"/>
      <c r="E897" s="2"/>
      <c r="F897" s="2"/>
      <c r="G897" s="2"/>
      <c r="H897" s="2"/>
      <c r="I897" s="2"/>
    </row>
    <row r="898" spans="1:9" x14ac:dyDescent="0.25">
      <c r="A898" s="8" t="s">
        <v>89</v>
      </c>
      <c r="B898" s="2"/>
      <c r="C898" s="2"/>
      <c r="D898" s="2"/>
      <c r="E898" s="2"/>
      <c r="F898" s="2"/>
      <c r="G898" s="2"/>
      <c r="H898" s="2"/>
      <c r="I898" s="2"/>
    </row>
    <row r="899" spans="1:9" ht="30" x14ac:dyDescent="0.25">
      <c r="A899" s="1" t="s">
        <v>153</v>
      </c>
      <c r="B899" s="9">
        <v>10223349</v>
      </c>
      <c r="C899" s="9">
        <v>10198116</v>
      </c>
      <c r="D899" s="9">
        <v>10172106</v>
      </c>
      <c r="E899" s="9">
        <v>10145530</v>
      </c>
      <c r="F899" s="9">
        <v>10118394</v>
      </c>
      <c r="G899" s="9">
        <v>10090603</v>
      </c>
      <c r="H899" s="9">
        <v>10062183</v>
      </c>
      <c r="I899" s="6">
        <v>-0.26448433485</v>
      </c>
    </row>
    <row r="900" spans="1:9" ht="45" x14ac:dyDescent="0.25">
      <c r="A900" s="1" t="s">
        <v>152</v>
      </c>
      <c r="B900" s="9">
        <v>4403394</v>
      </c>
      <c r="C900" s="9">
        <v>4424414</v>
      </c>
      <c r="D900" s="9">
        <v>4445167</v>
      </c>
      <c r="E900" s="9">
        <v>4465739</v>
      </c>
      <c r="F900" s="9">
        <v>4486127</v>
      </c>
      <c r="G900" s="9">
        <v>4506284</v>
      </c>
      <c r="H900" s="9">
        <v>4515194</v>
      </c>
      <c r="I900" s="6">
        <v>0.41875009499999999</v>
      </c>
    </row>
    <row r="901" spans="1:9" ht="30" x14ac:dyDescent="0.25">
      <c r="A901" s="1" t="s">
        <v>151</v>
      </c>
      <c r="B901" s="9">
        <v>4328536</v>
      </c>
      <c r="C901" s="9">
        <v>4353623</v>
      </c>
      <c r="D901" s="9">
        <v>4378490</v>
      </c>
      <c r="E901" s="9">
        <v>4403219</v>
      </c>
      <c r="F901" s="9">
        <v>4427808</v>
      </c>
      <c r="G901" s="9">
        <v>4456715</v>
      </c>
      <c r="H901" s="9">
        <v>4470042</v>
      </c>
      <c r="I901" s="6">
        <v>0.53758023700000002</v>
      </c>
    </row>
    <row r="902" spans="1:9" ht="60" x14ac:dyDescent="0.25">
      <c r="A902" s="1" t="s">
        <v>150</v>
      </c>
      <c r="B902" s="9">
        <v>3968728</v>
      </c>
      <c r="C902" s="9">
        <v>4057432</v>
      </c>
      <c r="D902" s="9">
        <v>4137809</v>
      </c>
      <c r="E902" s="9">
        <v>4211847</v>
      </c>
      <c r="F902" s="9">
        <v>4279437</v>
      </c>
      <c r="G902" s="9">
        <v>4343839</v>
      </c>
      <c r="H902" s="9">
        <v>4404383</v>
      </c>
      <c r="I902" s="6">
        <v>1.7510634819999999</v>
      </c>
    </row>
    <row r="903" spans="1:9" ht="60" x14ac:dyDescent="0.25">
      <c r="A903" s="1" t="s">
        <v>149</v>
      </c>
      <c r="B903" s="9">
        <v>995542</v>
      </c>
      <c r="C903" s="9">
        <v>1001616</v>
      </c>
      <c r="D903" s="9">
        <v>1005855</v>
      </c>
      <c r="E903" s="9">
        <v>1005719</v>
      </c>
      <c r="F903" s="9">
        <v>1003723</v>
      </c>
      <c r="G903" s="9">
        <v>1000884</v>
      </c>
      <c r="H903" s="9">
        <v>997990</v>
      </c>
      <c r="I903" s="6">
        <v>4.0940773999999999E-2</v>
      </c>
    </row>
    <row r="904" spans="1:9" ht="60" x14ac:dyDescent="0.25">
      <c r="A904" s="1" t="s">
        <v>148</v>
      </c>
      <c r="B904" s="9">
        <v>102532</v>
      </c>
      <c r="C904" s="9">
        <v>98142</v>
      </c>
      <c r="D904" s="9">
        <v>94957</v>
      </c>
      <c r="E904" s="9">
        <v>90294</v>
      </c>
      <c r="F904" s="9">
        <v>85587</v>
      </c>
      <c r="G904" s="9">
        <v>80608</v>
      </c>
      <c r="H904" s="9">
        <v>75430</v>
      </c>
      <c r="I904" s="6">
        <v>-4.9874925030000004</v>
      </c>
    </row>
    <row r="905" spans="1:9" ht="60" x14ac:dyDescent="0.25">
      <c r="A905" s="1" t="s">
        <v>147</v>
      </c>
      <c r="B905" s="9">
        <v>2617806</v>
      </c>
      <c r="C905" s="9">
        <v>2699960</v>
      </c>
      <c r="D905" s="9">
        <v>2775065</v>
      </c>
      <c r="E905" s="9">
        <v>2849976</v>
      </c>
      <c r="F905" s="9">
        <v>2920623</v>
      </c>
      <c r="G905" s="9">
        <v>2989263</v>
      </c>
      <c r="H905" s="9">
        <v>3054437</v>
      </c>
      <c r="I905" s="6">
        <v>2.6043134750000001</v>
      </c>
    </row>
    <row r="906" spans="1:9" ht="75" x14ac:dyDescent="0.25">
      <c r="A906" s="1" t="s">
        <v>146</v>
      </c>
      <c r="B906" s="9">
        <v>3793</v>
      </c>
      <c r="C906" s="9">
        <v>3866</v>
      </c>
      <c r="D906" s="9">
        <v>3929</v>
      </c>
      <c r="E906" s="9">
        <v>3988</v>
      </c>
      <c r="F906" s="9">
        <v>4043</v>
      </c>
      <c r="G906" s="9">
        <v>4096</v>
      </c>
      <c r="H906" s="9">
        <v>4148</v>
      </c>
      <c r="I906" s="6">
        <v>1.502323576</v>
      </c>
    </row>
    <row r="907" spans="1:9" ht="75" x14ac:dyDescent="0.25">
      <c r="A907" s="1" t="s">
        <v>145</v>
      </c>
      <c r="B907" s="9">
        <v>249054</v>
      </c>
      <c r="C907" s="9">
        <v>253848</v>
      </c>
      <c r="D907" s="9">
        <v>258002</v>
      </c>
      <c r="E907" s="9">
        <v>261870</v>
      </c>
      <c r="F907" s="9">
        <v>265461</v>
      </c>
      <c r="G907" s="9">
        <v>268987</v>
      </c>
      <c r="H907" s="9">
        <v>272378</v>
      </c>
      <c r="I907" s="6">
        <v>1.503203933</v>
      </c>
    </row>
    <row r="908" spans="1:9" ht="75" x14ac:dyDescent="0.25">
      <c r="A908" s="1" t="s">
        <v>144</v>
      </c>
      <c r="B908" s="9">
        <v>0</v>
      </c>
      <c r="C908" s="9">
        <v>0</v>
      </c>
      <c r="D908" s="9">
        <v>0</v>
      </c>
      <c r="E908" s="9">
        <v>0</v>
      </c>
      <c r="F908" s="9">
        <v>0</v>
      </c>
      <c r="G908" s="9">
        <v>0</v>
      </c>
      <c r="H908" s="9">
        <v>0</v>
      </c>
      <c r="I908" s="7" t="s">
        <v>58</v>
      </c>
    </row>
    <row r="909" spans="1:9" x14ac:dyDescent="0.25">
      <c r="A909" s="1" t="s">
        <v>12</v>
      </c>
      <c r="B909" s="2"/>
      <c r="C909" s="2"/>
      <c r="D909" s="2"/>
      <c r="E909" s="2"/>
      <c r="F909" s="2"/>
      <c r="G909" s="2"/>
      <c r="H909" s="2"/>
      <c r="I909" s="2"/>
    </row>
    <row r="910" spans="1:9" x14ac:dyDescent="0.25">
      <c r="A910" s="8" t="s">
        <v>90</v>
      </c>
      <c r="B910" s="2"/>
      <c r="C910" s="2"/>
      <c r="D910" s="2"/>
      <c r="E910" s="2"/>
      <c r="F910" s="2"/>
      <c r="G910" s="2"/>
      <c r="H910" s="2"/>
      <c r="I910" s="2"/>
    </row>
    <row r="911" spans="1:9" ht="30" x14ac:dyDescent="0.25">
      <c r="A911" s="1" t="s">
        <v>153</v>
      </c>
      <c r="B911" s="9">
        <v>3006617</v>
      </c>
      <c r="C911" s="9">
        <v>2970538</v>
      </c>
      <c r="D911" s="9">
        <v>2934892</v>
      </c>
      <c r="E911" s="9">
        <v>2899673</v>
      </c>
      <c r="F911" s="9">
        <v>2864877</v>
      </c>
      <c r="G911" s="9">
        <v>2830498</v>
      </c>
      <c r="H911" s="9">
        <v>2796532</v>
      </c>
      <c r="I911" s="6">
        <v>-1.19999935661</v>
      </c>
    </row>
    <row r="912" spans="1:9" ht="45" x14ac:dyDescent="0.25">
      <c r="A912" s="1" t="s">
        <v>152</v>
      </c>
      <c r="B912" s="9">
        <v>1144869</v>
      </c>
      <c r="C912" s="9">
        <v>1133420</v>
      </c>
      <c r="D912" s="9">
        <v>1122086</v>
      </c>
      <c r="E912" s="9">
        <v>1110865</v>
      </c>
      <c r="F912" s="9">
        <v>1099756</v>
      </c>
      <c r="G912" s="9">
        <v>1088758</v>
      </c>
      <c r="H912" s="9">
        <v>1077870</v>
      </c>
      <c r="I912" s="6">
        <v>-1.000022</v>
      </c>
    </row>
    <row r="913" spans="1:9" ht="30" x14ac:dyDescent="0.25">
      <c r="A913" s="1" t="s">
        <v>151</v>
      </c>
      <c r="B913" s="9">
        <v>1123251</v>
      </c>
      <c r="C913" s="9">
        <v>1112129</v>
      </c>
      <c r="D913" s="9">
        <v>1101118</v>
      </c>
      <c r="E913" s="9">
        <v>1090216</v>
      </c>
      <c r="F913" s="9">
        <v>1079421</v>
      </c>
      <c r="G913" s="9">
        <v>1068733</v>
      </c>
      <c r="H913" s="9">
        <v>1058151</v>
      </c>
      <c r="I913" s="6">
        <v>-0.99013413800000005</v>
      </c>
    </row>
    <row r="914" spans="1:9" ht="60" x14ac:dyDescent="0.25">
      <c r="A914" s="1" t="s">
        <v>150</v>
      </c>
      <c r="B914" s="9">
        <v>738173</v>
      </c>
      <c r="C914" s="9">
        <v>758078</v>
      </c>
      <c r="D914" s="9">
        <v>776984</v>
      </c>
      <c r="E914" s="9">
        <v>794575</v>
      </c>
      <c r="F914" s="9">
        <v>810707</v>
      </c>
      <c r="G914" s="9">
        <v>825348</v>
      </c>
      <c r="H914" s="9">
        <v>838540</v>
      </c>
      <c r="I914" s="6">
        <v>2.1474677029999998</v>
      </c>
    </row>
    <row r="915" spans="1:9" ht="60" x14ac:dyDescent="0.25">
      <c r="A915" s="1" t="s">
        <v>149</v>
      </c>
      <c r="B915" s="9">
        <v>454110</v>
      </c>
      <c r="C915" s="9">
        <v>469007</v>
      </c>
      <c r="D915" s="9">
        <v>482854</v>
      </c>
      <c r="E915" s="9">
        <v>495684</v>
      </c>
      <c r="F915" s="9">
        <v>507538</v>
      </c>
      <c r="G915" s="9">
        <v>518462</v>
      </c>
      <c r="H915" s="9">
        <v>528505</v>
      </c>
      <c r="I915" s="6">
        <v>2.5607856720000002</v>
      </c>
    </row>
    <row r="916" spans="1:9" ht="60" x14ac:dyDescent="0.25">
      <c r="A916" s="1" t="s">
        <v>148</v>
      </c>
      <c r="B916" s="9">
        <v>113270</v>
      </c>
      <c r="C916" s="9">
        <v>101276</v>
      </c>
      <c r="D916" s="9">
        <v>91088</v>
      </c>
      <c r="E916" s="9">
        <v>82383</v>
      </c>
      <c r="F916" s="9">
        <v>74904</v>
      </c>
      <c r="G916" s="9">
        <v>68444</v>
      </c>
      <c r="H916" s="9">
        <v>62836</v>
      </c>
      <c r="I916" s="6">
        <v>-9.3539386400000009</v>
      </c>
    </row>
    <row r="917" spans="1:9" ht="60" x14ac:dyDescent="0.25">
      <c r="A917" s="1" t="s">
        <v>147</v>
      </c>
      <c r="B917" s="9">
        <v>141042</v>
      </c>
      <c r="C917" s="9">
        <v>155417</v>
      </c>
      <c r="D917" s="9">
        <v>168089</v>
      </c>
      <c r="E917" s="9">
        <v>179053</v>
      </c>
      <c r="F917" s="9">
        <v>188397</v>
      </c>
      <c r="G917" s="9">
        <v>196262</v>
      </c>
      <c r="H917" s="9">
        <v>202817</v>
      </c>
      <c r="I917" s="6">
        <v>6.2411222159999999</v>
      </c>
    </row>
    <row r="918" spans="1:9" ht="75" x14ac:dyDescent="0.25">
      <c r="A918" s="1" t="s">
        <v>146</v>
      </c>
      <c r="B918" s="9">
        <v>70</v>
      </c>
      <c r="C918" s="9">
        <v>68</v>
      </c>
      <c r="D918" s="9">
        <v>67</v>
      </c>
      <c r="E918" s="9">
        <v>66</v>
      </c>
      <c r="F918" s="9">
        <v>65</v>
      </c>
      <c r="G918" s="9">
        <v>64</v>
      </c>
      <c r="H918" s="9">
        <v>63</v>
      </c>
      <c r="I918" s="6">
        <v>-1.740680615</v>
      </c>
    </row>
    <row r="919" spans="1:9" ht="75" x14ac:dyDescent="0.25">
      <c r="A919" s="1" t="s">
        <v>145</v>
      </c>
      <c r="B919" s="9">
        <v>29681</v>
      </c>
      <c r="C919" s="9">
        <v>32310</v>
      </c>
      <c r="D919" s="9">
        <v>34886</v>
      </c>
      <c r="E919" s="9">
        <v>37389</v>
      </c>
      <c r="F919" s="9">
        <v>39803</v>
      </c>
      <c r="G919" s="9">
        <v>42116</v>
      </c>
      <c r="H919" s="9">
        <v>44319</v>
      </c>
      <c r="I919" s="6">
        <v>6.9100593410000002</v>
      </c>
    </row>
    <row r="920" spans="1:9" ht="75" x14ac:dyDescent="0.25">
      <c r="A920" s="1" t="s">
        <v>144</v>
      </c>
      <c r="B920" s="9">
        <v>0</v>
      </c>
      <c r="C920" s="9">
        <v>0</v>
      </c>
      <c r="D920" s="9">
        <v>0</v>
      </c>
      <c r="E920" s="9">
        <v>0</v>
      </c>
      <c r="F920" s="9">
        <v>0</v>
      </c>
      <c r="G920" s="9">
        <v>0</v>
      </c>
      <c r="H920" s="9">
        <v>0</v>
      </c>
      <c r="I920" s="7" t="s">
        <v>58</v>
      </c>
    </row>
    <row r="921" spans="1:9" x14ac:dyDescent="0.25">
      <c r="A921" s="1" t="s">
        <v>12</v>
      </c>
      <c r="B921" s="2"/>
      <c r="C921" s="2"/>
      <c r="D921" s="2"/>
      <c r="E921" s="2"/>
      <c r="F921" s="2"/>
      <c r="G921" s="2"/>
      <c r="H921" s="2"/>
      <c r="I921" s="2"/>
    </row>
    <row r="922" spans="1:9" x14ac:dyDescent="0.25">
      <c r="A922" s="8" t="s">
        <v>91</v>
      </c>
      <c r="B922" s="2"/>
      <c r="C922" s="2"/>
      <c r="D922" s="2"/>
      <c r="E922" s="2"/>
      <c r="F922" s="2"/>
      <c r="G922" s="2"/>
      <c r="H922" s="2"/>
      <c r="I922" s="2"/>
    </row>
    <row r="923" spans="1:9" ht="30" x14ac:dyDescent="0.25">
      <c r="A923" s="1" t="s">
        <v>153</v>
      </c>
      <c r="B923" s="9">
        <v>2740000</v>
      </c>
      <c r="C923" s="9">
        <v>2760000</v>
      </c>
      <c r="D923" s="9">
        <v>2780000</v>
      </c>
      <c r="E923" s="9">
        <v>2800000</v>
      </c>
      <c r="F923" s="9">
        <v>2820000</v>
      </c>
      <c r="G923" s="9">
        <v>2840000</v>
      </c>
      <c r="H923" s="9">
        <v>2860000</v>
      </c>
      <c r="I923" s="6">
        <v>0.71695296298</v>
      </c>
    </row>
    <row r="924" spans="1:9" ht="45" x14ac:dyDescent="0.25">
      <c r="A924" s="1" t="s">
        <v>152</v>
      </c>
      <c r="B924" s="9">
        <v>321983</v>
      </c>
      <c r="C924" s="9">
        <v>331642</v>
      </c>
      <c r="D924" s="9">
        <v>341592</v>
      </c>
      <c r="E924" s="9">
        <v>350132</v>
      </c>
      <c r="F924" s="9">
        <v>358885</v>
      </c>
      <c r="G924" s="9">
        <v>366063</v>
      </c>
      <c r="H924" s="9">
        <v>373384</v>
      </c>
      <c r="I924" s="6">
        <v>2.4991963350000002</v>
      </c>
    </row>
    <row r="925" spans="1:9" ht="30" x14ac:dyDescent="0.25">
      <c r="A925" s="1" t="s">
        <v>151</v>
      </c>
      <c r="B925" s="9">
        <v>321983</v>
      </c>
      <c r="C925" s="9">
        <v>331642</v>
      </c>
      <c r="D925" s="9">
        <v>341592</v>
      </c>
      <c r="E925" s="9">
        <v>350132</v>
      </c>
      <c r="F925" s="9">
        <v>358885</v>
      </c>
      <c r="G925" s="9">
        <v>366063</v>
      </c>
      <c r="H925" s="9">
        <v>373384</v>
      </c>
      <c r="I925" s="6">
        <v>2.4991963350000002</v>
      </c>
    </row>
    <row r="926" spans="1:9" ht="60" x14ac:dyDescent="0.25">
      <c r="A926" s="1" t="s">
        <v>150</v>
      </c>
      <c r="B926" s="9">
        <v>319310</v>
      </c>
      <c r="C926" s="9">
        <v>322503</v>
      </c>
      <c r="D926" s="9">
        <v>333304</v>
      </c>
      <c r="E926" s="9">
        <v>342910</v>
      </c>
      <c r="F926" s="9">
        <v>352799</v>
      </c>
      <c r="G926" s="9">
        <v>361318</v>
      </c>
      <c r="H926" s="9">
        <v>368683</v>
      </c>
      <c r="I926" s="6">
        <v>2.4251869909999999</v>
      </c>
    </row>
    <row r="927" spans="1:9" ht="60" x14ac:dyDescent="0.25">
      <c r="A927" s="1" t="s">
        <v>149</v>
      </c>
      <c r="B927" s="9">
        <v>0</v>
      </c>
      <c r="C927" s="9">
        <v>0</v>
      </c>
      <c r="D927" s="9">
        <v>0</v>
      </c>
      <c r="E927" s="9">
        <v>0</v>
      </c>
      <c r="F927" s="9">
        <v>0</v>
      </c>
      <c r="G927" s="9">
        <v>0</v>
      </c>
      <c r="H927" s="9">
        <v>0</v>
      </c>
      <c r="I927" s="7" t="s">
        <v>58</v>
      </c>
    </row>
    <row r="928" spans="1:9" ht="60" x14ac:dyDescent="0.25">
      <c r="A928" s="1" t="s">
        <v>148</v>
      </c>
      <c r="B928" s="9">
        <v>0</v>
      </c>
      <c r="C928" s="9">
        <v>0</v>
      </c>
      <c r="D928" s="9">
        <v>0</v>
      </c>
      <c r="E928" s="9">
        <v>0</v>
      </c>
      <c r="F928" s="9">
        <v>0</v>
      </c>
      <c r="G928" s="9">
        <v>0</v>
      </c>
      <c r="H928" s="9">
        <v>0</v>
      </c>
      <c r="I928" s="7" t="s">
        <v>58</v>
      </c>
    </row>
    <row r="929" spans="1:9" ht="60" x14ac:dyDescent="0.25">
      <c r="A929" s="1" t="s">
        <v>147</v>
      </c>
      <c r="B929" s="9">
        <v>300022</v>
      </c>
      <c r="C929" s="9">
        <v>303022</v>
      </c>
      <c r="D929" s="9">
        <v>313628</v>
      </c>
      <c r="E929" s="9">
        <v>323037</v>
      </c>
      <c r="F929" s="9">
        <v>332728</v>
      </c>
      <c r="G929" s="9">
        <v>341046</v>
      </c>
      <c r="H929" s="9">
        <v>348208</v>
      </c>
      <c r="I929" s="6">
        <v>2.513471461</v>
      </c>
    </row>
    <row r="930" spans="1:9" ht="75" x14ac:dyDescent="0.25">
      <c r="A930" s="1" t="s">
        <v>146</v>
      </c>
      <c r="B930" s="9">
        <v>19288</v>
      </c>
      <c r="C930" s="9">
        <v>19481</v>
      </c>
      <c r="D930" s="9">
        <v>19676</v>
      </c>
      <c r="E930" s="9">
        <v>19873</v>
      </c>
      <c r="F930" s="9">
        <v>20071</v>
      </c>
      <c r="G930" s="9">
        <v>20272</v>
      </c>
      <c r="H930" s="9">
        <v>20475</v>
      </c>
      <c r="I930" s="6">
        <v>1.0003283140000001</v>
      </c>
    </row>
    <row r="931" spans="1:9" ht="75" x14ac:dyDescent="0.25">
      <c r="A931" s="1" t="s">
        <v>145</v>
      </c>
      <c r="B931" s="9">
        <v>0</v>
      </c>
      <c r="C931" s="9">
        <v>0</v>
      </c>
      <c r="D931" s="9">
        <v>0</v>
      </c>
      <c r="E931" s="9">
        <v>0</v>
      </c>
      <c r="F931" s="9">
        <v>0</v>
      </c>
      <c r="G931" s="9">
        <v>0</v>
      </c>
      <c r="H931" s="9">
        <v>0</v>
      </c>
      <c r="I931" s="7" t="s">
        <v>58</v>
      </c>
    </row>
    <row r="932" spans="1:9" ht="75" x14ac:dyDescent="0.25">
      <c r="A932" s="1" t="s">
        <v>144</v>
      </c>
      <c r="B932" s="9">
        <v>0</v>
      </c>
      <c r="C932" s="9">
        <v>0</v>
      </c>
      <c r="D932" s="9">
        <v>0</v>
      </c>
      <c r="E932" s="9">
        <v>0</v>
      </c>
      <c r="F932" s="9">
        <v>0</v>
      </c>
      <c r="G932" s="9">
        <v>0</v>
      </c>
      <c r="H932" s="9">
        <v>0</v>
      </c>
      <c r="I932" s="7" t="s">
        <v>58</v>
      </c>
    </row>
    <row r="933" spans="1:9" x14ac:dyDescent="0.25">
      <c r="A933" s="1" t="s">
        <v>12</v>
      </c>
      <c r="B933" s="2"/>
      <c r="C933" s="2"/>
      <c r="D933" s="2"/>
      <c r="E933" s="2"/>
      <c r="F933" s="2"/>
      <c r="G933" s="2"/>
      <c r="H933" s="2"/>
      <c r="I933" s="2"/>
    </row>
    <row r="934" spans="1:9" x14ac:dyDescent="0.25">
      <c r="A934" s="8" t="s">
        <v>92</v>
      </c>
      <c r="B934" s="2"/>
      <c r="C934" s="2"/>
      <c r="D934" s="2"/>
      <c r="E934" s="2"/>
      <c r="F934" s="2"/>
      <c r="G934" s="2"/>
      <c r="H934" s="2"/>
      <c r="I934" s="2"/>
    </row>
    <row r="935" spans="1:9" ht="30" x14ac:dyDescent="0.25">
      <c r="A935" s="1" t="s">
        <v>153</v>
      </c>
      <c r="B935" s="9">
        <v>19020000</v>
      </c>
      <c r="C935" s="9">
        <v>18910000</v>
      </c>
      <c r="D935" s="9">
        <v>18800000</v>
      </c>
      <c r="E935" s="9">
        <v>18690000</v>
      </c>
      <c r="F935" s="9">
        <v>18580000</v>
      </c>
      <c r="G935" s="9">
        <v>18470000</v>
      </c>
      <c r="H935" s="9">
        <v>18360000</v>
      </c>
      <c r="I935" s="6">
        <v>-0.58688227690000005</v>
      </c>
    </row>
    <row r="936" spans="1:9" ht="45" x14ac:dyDescent="0.25">
      <c r="A936" s="1" t="s">
        <v>152</v>
      </c>
      <c r="B936" s="9">
        <v>7938749</v>
      </c>
      <c r="C936" s="9">
        <v>7948275</v>
      </c>
      <c r="D936" s="9">
        <v>7957813</v>
      </c>
      <c r="E936" s="9">
        <v>7967363</v>
      </c>
      <c r="F936" s="9">
        <v>7976924</v>
      </c>
      <c r="G936" s="9">
        <v>7986496</v>
      </c>
      <c r="H936" s="9">
        <v>7996080</v>
      </c>
      <c r="I936" s="6">
        <v>0.12000053300000001</v>
      </c>
    </row>
    <row r="937" spans="1:9" ht="30" x14ac:dyDescent="0.25">
      <c r="A937" s="1" t="s">
        <v>151</v>
      </c>
      <c r="B937" s="9">
        <v>7918528</v>
      </c>
      <c r="C937" s="9">
        <v>7929219</v>
      </c>
      <c r="D937" s="9">
        <v>7939925</v>
      </c>
      <c r="E937" s="9">
        <v>7950645</v>
      </c>
      <c r="F937" s="9">
        <v>7961380</v>
      </c>
      <c r="G937" s="9">
        <v>7972129</v>
      </c>
      <c r="H937" s="9">
        <v>7982893</v>
      </c>
      <c r="I937" s="6">
        <v>0.13501685099999999</v>
      </c>
    </row>
    <row r="938" spans="1:9" ht="60" x14ac:dyDescent="0.25">
      <c r="A938" s="1" t="s">
        <v>150</v>
      </c>
      <c r="B938" s="9">
        <v>6807000</v>
      </c>
      <c r="C938" s="9">
        <v>7018000</v>
      </c>
      <c r="D938" s="9">
        <v>7148437</v>
      </c>
      <c r="E938" s="9">
        <v>7254928</v>
      </c>
      <c r="F938" s="9">
        <v>7337047</v>
      </c>
      <c r="G938" s="9">
        <v>7416557</v>
      </c>
      <c r="H938" s="9">
        <v>7487590</v>
      </c>
      <c r="I938" s="6">
        <v>1.6009380090000001</v>
      </c>
    </row>
    <row r="939" spans="1:9" ht="60" x14ac:dyDescent="0.25">
      <c r="A939" s="1" t="s">
        <v>149</v>
      </c>
      <c r="B939" s="9">
        <v>680700</v>
      </c>
      <c r="C939" s="9">
        <v>631620</v>
      </c>
      <c r="D939" s="9">
        <v>590633</v>
      </c>
      <c r="E939" s="9">
        <v>552306</v>
      </c>
      <c r="F939" s="9">
        <v>516465</v>
      </c>
      <c r="G939" s="9">
        <v>482951</v>
      </c>
      <c r="H939" s="9">
        <v>451611</v>
      </c>
      <c r="I939" s="6">
        <v>-6.6097667339999999</v>
      </c>
    </row>
    <row r="940" spans="1:9" ht="60" x14ac:dyDescent="0.25">
      <c r="A940" s="1" t="s">
        <v>148</v>
      </c>
      <c r="B940" s="9">
        <v>68070</v>
      </c>
      <c r="C940" s="9">
        <v>21054</v>
      </c>
      <c r="D940" s="9">
        <v>10785</v>
      </c>
      <c r="E940" s="9">
        <v>6558</v>
      </c>
      <c r="F940" s="9">
        <v>4757</v>
      </c>
      <c r="G940" s="9">
        <v>3929</v>
      </c>
      <c r="H940" s="9">
        <v>3492</v>
      </c>
      <c r="I940" s="6">
        <v>-39.043538644000002</v>
      </c>
    </row>
    <row r="941" spans="1:9" ht="60" x14ac:dyDescent="0.25">
      <c r="A941" s="1" t="s">
        <v>147</v>
      </c>
      <c r="B941" s="9">
        <v>5785950</v>
      </c>
      <c r="C941" s="9">
        <v>6175840</v>
      </c>
      <c r="D941" s="9">
        <v>6391145</v>
      </c>
      <c r="E941" s="9">
        <v>6563162</v>
      </c>
      <c r="F941" s="9">
        <v>6700701</v>
      </c>
      <c r="G941" s="9">
        <v>6824444</v>
      </c>
      <c r="H941" s="9">
        <v>6935806</v>
      </c>
      <c r="I941" s="6">
        <v>3.0671760190000001</v>
      </c>
    </row>
    <row r="942" spans="1:9" ht="75" x14ac:dyDescent="0.25">
      <c r="A942" s="1" t="s">
        <v>146</v>
      </c>
      <c r="B942" s="9">
        <v>0</v>
      </c>
      <c r="C942" s="9">
        <v>0</v>
      </c>
      <c r="D942" s="9">
        <v>0</v>
      </c>
      <c r="E942" s="9">
        <v>0</v>
      </c>
      <c r="F942" s="9">
        <v>0</v>
      </c>
      <c r="G942" s="9">
        <v>0</v>
      </c>
      <c r="H942" s="9">
        <v>0</v>
      </c>
      <c r="I942" s="7" t="s">
        <v>58</v>
      </c>
    </row>
    <row r="943" spans="1:9" ht="75" x14ac:dyDescent="0.25">
      <c r="A943" s="1" t="s">
        <v>145</v>
      </c>
      <c r="B943" s="9">
        <v>27228</v>
      </c>
      <c r="C943" s="9">
        <v>42108</v>
      </c>
      <c r="D943" s="9">
        <v>30602</v>
      </c>
      <c r="E943" s="9">
        <v>26421</v>
      </c>
      <c r="F943" s="9">
        <v>24616</v>
      </c>
      <c r="G943" s="9">
        <v>23775</v>
      </c>
      <c r="H943" s="9">
        <v>23369</v>
      </c>
      <c r="I943" s="6">
        <v>-2.5150893939999999</v>
      </c>
    </row>
    <row r="944" spans="1:9" ht="75" x14ac:dyDescent="0.25">
      <c r="A944" s="1" t="s">
        <v>144</v>
      </c>
      <c r="B944" s="9">
        <v>245052</v>
      </c>
      <c r="C944" s="9">
        <v>147378</v>
      </c>
      <c r="D944" s="9">
        <v>125271</v>
      </c>
      <c r="E944" s="9">
        <v>106481</v>
      </c>
      <c r="F944" s="9">
        <v>90509</v>
      </c>
      <c r="G944" s="9">
        <v>81458</v>
      </c>
      <c r="H944" s="9">
        <v>73312</v>
      </c>
      <c r="I944" s="6">
        <v>-18.218927316999999</v>
      </c>
    </row>
    <row r="945" spans="1:9" x14ac:dyDescent="0.25">
      <c r="A945" s="1" t="s">
        <v>12</v>
      </c>
      <c r="B945" s="2"/>
      <c r="C945" s="2"/>
      <c r="D945" s="2"/>
      <c r="E945" s="2"/>
      <c r="F945" s="2"/>
      <c r="G945" s="2"/>
      <c r="H945" s="2"/>
      <c r="I945" s="2"/>
    </row>
    <row r="946" spans="1:9" x14ac:dyDescent="0.25">
      <c r="A946" s="8" t="s">
        <v>93</v>
      </c>
      <c r="B946" s="2"/>
      <c r="C946" s="2"/>
      <c r="D946" s="2"/>
      <c r="E946" s="2"/>
      <c r="F946" s="2"/>
      <c r="G946" s="2"/>
      <c r="H946" s="2"/>
      <c r="I946" s="2"/>
    </row>
    <row r="947" spans="1:9" ht="30" x14ac:dyDescent="0.25">
      <c r="A947" s="1" t="s">
        <v>153</v>
      </c>
      <c r="B947" s="9">
        <v>144820000</v>
      </c>
      <c r="C947" s="9">
        <v>144000000</v>
      </c>
      <c r="D947" s="9">
        <v>143390000</v>
      </c>
      <c r="E947" s="9">
        <v>143040000</v>
      </c>
      <c r="F947" s="9">
        <v>142670000</v>
      </c>
      <c r="G947" s="9">
        <v>142290000</v>
      </c>
      <c r="H947" s="9">
        <v>141890000</v>
      </c>
      <c r="I947" s="6">
        <v>-0.34007845949999999</v>
      </c>
    </row>
    <row r="948" spans="1:9" ht="45" x14ac:dyDescent="0.25">
      <c r="A948" s="1" t="s">
        <v>152</v>
      </c>
      <c r="B948" s="9">
        <v>56988398</v>
      </c>
      <c r="C948" s="9">
        <v>57045387</v>
      </c>
      <c r="D948" s="9">
        <v>57102432</v>
      </c>
      <c r="E948" s="9">
        <v>57159535</v>
      </c>
      <c r="F948" s="9">
        <v>57216694</v>
      </c>
      <c r="G948" s="9">
        <v>57273911</v>
      </c>
      <c r="H948" s="9">
        <v>57331185</v>
      </c>
      <c r="I948" s="6">
        <v>0.100000188</v>
      </c>
    </row>
    <row r="949" spans="1:9" ht="30" x14ac:dyDescent="0.25">
      <c r="A949" s="1" t="s">
        <v>151</v>
      </c>
      <c r="B949" s="9">
        <v>56019689</v>
      </c>
      <c r="C949" s="9">
        <v>56084120</v>
      </c>
      <c r="D949" s="9">
        <v>56148626</v>
      </c>
      <c r="E949" s="9">
        <v>56213205</v>
      </c>
      <c r="F949" s="9">
        <v>56277859</v>
      </c>
      <c r="G949" s="9">
        <v>56342586</v>
      </c>
      <c r="H949" s="9">
        <v>56407389</v>
      </c>
      <c r="I949" s="6">
        <v>0.11501513100000001</v>
      </c>
    </row>
    <row r="950" spans="1:9" ht="60" x14ac:dyDescent="0.25">
      <c r="A950" s="1" t="s">
        <v>150</v>
      </c>
      <c r="B950" s="9">
        <v>36931807</v>
      </c>
      <c r="C950" s="9">
        <v>38408284</v>
      </c>
      <c r="D950" s="9">
        <v>39440282</v>
      </c>
      <c r="E950" s="9">
        <v>40308945</v>
      </c>
      <c r="F950" s="9">
        <v>41028650</v>
      </c>
      <c r="G950" s="9">
        <v>41618381</v>
      </c>
      <c r="H950" s="9">
        <v>42097785</v>
      </c>
      <c r="I950" s="6">
        <v>2.2060132449999998</v>
      </c>
    </row>
    <row r="951" spans="1:9" ht="60" x14ac:dyDescent="0.25">
      <c r="A951" s="1" t="s">
        <v>149</v>
      </c>
      <c r="B951" s="9">
        <v>5385673</v>
      </c>
      <c r="C951" s="9">
        <v>5318191</v>
      </c>
      <c r="D951" s="9">
        <v>5258744</v>
      </c>
      <c r="E951" s="9">
        <v>5207918</v>
      </c>
      <c r="F951" s="9">
        <v>5164396</v>
      </c>
      <c r="G951" s="9">
        <v>5127080</v>
      </c>
      <c r="H951" s="9">
        <v>5095048</v>
      </c>
      <c r="I951" s="6">
        <v>-0.92029234800000004</v>
      </c>
    </row>
    <row r="952" spans="1:9" ht="60" x14ac:dyDescent="0.25">
      <c r="A952" s="1" t="s">
        <v>148</v>
      </c>
      <c r="B952" s="9">
        <v>3462369</v>
      </c>
      <c r="C952" s="9">
        <v>3067183</v>
      </c>
      <c r="D952" s="9">
        <v>2827313</v>
      </c>
      <c r="E952" s="9">
        <v>2683266</v>
      </c>
      <c r="F952" s="9">
        <v>2596723</v>
      </c>
      <c r="G952" s="9">
        <v>2544706</v>
      </c>
      <c r="H952" s="9">
        <v>2513426</v>
      </c>
      <c r="I952" s="6">
        <v>-5.1984454849999997</v>
      </c>
    </row>
    <row r="953" spans="1:9" ht="60" x14ac:dyDescent="0.25">
      <c r="A953" s="1" t="s">
        <v>147</v>
      </c>
      <c r="B953" s="9">
        <v>26872936</v>
      </c>
      <c r="C953" s="9">
        <v>28754041</v>
      </c>
      <c r="D953" s="9">
        <v>30073574</v>
      </c>
      <c r="E953" s="9">
        <v>31128773</v>
      </c>
      <c r="F953" s="9">
        <v>31972691</v>
      </c>
      <c r="G953" s="9">
        <v>32647680</v>
      </c>
      <c r="H953" s="9">
        <v>33187580</v>
      </c>
      <c r="I953" s="6">
        <v>3.5801998410000002</v>
      </c>
    </row>
    <row r="954" spans="1:9" ht="75" x14ac:dyDescent="0.25">
      <c r="A954" s="1" t="s">
        <v>146</v>
      </c>
      <c r="B954" s="9">
        <v>831436</v>
      </c>
      <c r="C954" s="9">
        <v>895063</v>
      </c>
      <c r="D954" s="9">
        <v>908878</v>
      </c>
      <c r="E954" s="9">
        <v>918698</v>
      </c>
      <c r="F954" s="9">
        <v>925646</v>
      </c>
      <c r="G954" s="9">
        <v>930547</v>
      </c>
      <c r="H954" s="9">
        <v>933995</v>
      </c>
      <c r="I954" s="6">
        <v>1.957525757</v>
      </c>
    </row>
    <row r="955" spans="1:9" ht="75" x14ac:dyDescent="0.25">
      <c r="A955" s="1" t="s">
        <v>145</v>
      </c>
      <c r="B955" s="9">
        <v>373560</v>
      </c>
      <c r="C955" s="9">
        <v>368556</v>
      </c>
      <c r="D955" s="9">
        <v>366787</v>
      </c>
      <c r="E955" s="9">
        <v>365554</v>
      </c>
      <c r="F955" s="9">
        <v>364693</v>
      </c>
      <c r="G955" s="9">
        <v>364093</v>
      </c>
      <c r="H955" s="9">
        <v>363673</v>
      </c>
      <c r="I955" s="6">
        <v>-0.44606087999999999</v>
      </c>
    </row>
    <row r="956" spans="1:9" ht="75" x14ac:dyDescent="0.25">
      <c r="A956" s="1" t="s">
        <v>144</v>
      </c>
      <c r="B956" s="9">
        <v>5833</v>
      </c>
      <c r="C956" s="9">
        <v>5250</v>
      </c>
      <c r="D956" s="9">
        <v>4987</v>
      </c>
      <c r="E956" s="9">
        <v>4738</v>
      </c>
      <c r="F956" s="9">
        <v>4501</v>
      </c>
      <c r="G956" s="9">
        <v>4276</v>
      </c>
      <c r="H956" s="9">
        <v>4062</v>
      </c>
      <c r="I956" s="6">
        <v>-5.8526738109999998</v>
      </c>
    </row>
    <row r="957" spans="1:9" x14ac:dyDescent="0.25">
      <c r="A957" s="1" t="s">
        <v>12</v>
      </c>
      <c r="B957" s="2"/>
      <c r="C957" s="2"/>
      <c r="D957" s="2"/>
      <c r="E957" s="2"/>
      <c r="F957" s="2"/>
      <c r="G957" s="2"/>
      <c r="H957" s="2"/>
      <c r="I957" s="2"/>
    </row>
    <row r="958" spans="1:9" x14ac:dyDescent="0.25">
      <c r="A958" s="8" t="s">
        <v>94</v>
      </c>
      <c r="B958" s="2"/>
      <c r="C958" s="2"/>
      <c r="D958" s="2"/>
      <c r="E958" s="2"/>
      <c r="F958" s="2"/>
      <c r="G958" s="2"/>
      <c r="H958" s="2"/>
      <c r="I958" s="2"/>
    </row>
    <row r="959" spans="1:9" ht="30" x14ac:dyDescent="0.25">
      <c r="A959" s="1" t="s">
        <v>153</v>
      </c>
      <c r="B959" s="9">
        <v>38480000</v>
      </c>
      <c r="C959" s="9">
        <v>39380000</v>
      </c>
      <c r="D959" s="9">
        <v>39850000</v>
      </c>
      <c r="E959" s="9">
        <v>40300000</v>
      </c>
      <c r="F959" s="9">
        <v>40740000</v>
      </c>
      <c r="G959" s="9">
        <v>41160000</v>
      </c>
      <c r="H959" s="9">
        <v>41570000</v>
      </c>
      <c r="I959" s="6">
        <v>1.29565729232</v>
      </c>
    </row>
    <row r="960" spans="1:9" ht="45" x14ac:dyDescent="0.25">
      <c r="A960" s="1" t="s">
        <v>152</v>
      </c>
      <c r="B960" s="9">
        <v>6054378</v>
      </c>
      <c r="C960" s="9">
        <v>6129452</v>
      </c>
      <c r="D960" s="9">
        <v>6205457</v>
      </c>
      <c r="E960" s="9">
        <v>6282405</v>
      </c>
      <c r="F960" s="9">
        <v>6360307</v>
      </c>
      <c r="G960" s="9">
        <v>6439175</v>
      </c>
      <c r="H960" s="9">
        <v>6519020</v>
      </c>
      <c r="I960" s="6">
        <v>1.2399985330000001</v>
      </c>
    </row>
    <row r="961" spans="1:9" ht="30" x14ac:dyDescent="0.25">
      <c r="A961" s="1" t="s">
        <v>151</v>
      </c>
      <c r="B961" s="9">
        <v>5657879</v>
      </c>
      <c r="C961" s="9">
        <v>5735197</v>
      </c>
      <c r="D961" s="9">
        <v>5813571</v>
      </c>
      <c r="E961" s="9">
        <v>5893017</v>
      </c>
      <c r="F961" s="9">
        <v>5973548</v>
      </c>
      <c r="G961" s="9">
        <v>6055179</v>
      </c>
      <c r="H961" s="9">
        <v>6137926</v>
      </c>
      <c r="I961" s="6">
        <v>1.3665499750000001</v>
      </c>
    </row>
    <row r="962" spans="1:9" ht="60" x14ac:dyDescent="0.25">
      <c r="A962" s="1" t="s">
        <v>150</v>
      </c>
      <c r="B962" s="9">
        <v>2892446</v>
      </c>
      <c r="C962" s="9">
        <v>3053850</v>
      </c>
      <c r="D962" s="9">
        <v>3210751</v>
      </c>
      <c r="E962" s="9">
        <v>3297882</v>
      </c>
      <c r="F962" s="9">
        <v>3405483</v>
      </c>
      <c r="G962" s="9">
        <v>3519678</v>
      </c>
      <c r="H962" s="9">
        <v>3606933</v>
      </c>
      <c r="I962" s="6">
        <v>3.747777648</v>
      </c>
    </row>
    <row r="963" spans="1:9" ht="60" x14ac:dyDescent="0.25">
      <c r="A963" s="1" t="s">
        <v>149</v>
      </c>
      <c r="B963" s="9">
        <v>0</v>
      </c>
      <c r="C963" s="9">
        <v>0</v>
      </c>
      <c r="D963" s="9">
        <v>0</v>
      </c>
      <c r="E963" s="9">
        <v>0</v>
      </c>
      <c r="F963" s="9">
        <v>0</v>
      </c>
      <c r="G963" s="9">
        <v>0</v>
      </c>
      <c r="H963" s="9">
        <v>0</v>
      </c>
      <c r="I963" s="7" t="s">
        <v>58</v>
      </c>
    </row>
    <row r="964" spans="1:9" ht="60" x14ac:dyDescent="0.25">
      <c r="A964" s="1" t="s">
        <v>148</v>
      </c>
      <c r="B964" s="9">
        <v>284598</v>
      </c>
      <c r="C964" s="9">
        <v>244755</v>
      </c>
      <c r="D964" s="9">
        <v>210489</v>
      </c>
      <c r="E964" s="9">
        <v>181021</v>
      </c>
      <c r="F964" s="9">
        <v>166539</v>
      </c>
      <c r="G964" s="9">
        <v>153216</v>
      </c>
      <c r="H964" s="9">
        <v>140959</v>
      </c>
      <c r="I964" s="6">
        <v>-11.050503441</v>
      </c>
    </row>
    <row r="965" spans="1:9" ht="60" x14ac:dyDescent="0.25">
      <c r="A965" s="1" t="s">
        <v>147</v>
      </c>
      <c r="B965" s="9">
        <v>2576574</v>
      </c>
      <c r="C965" s="9">
        <v>2782700</v>
      </c>
      <c r="D965" s="9">
        <v>2977489</v>
      </c>
      <c r="E965" s="9">
        <v>3096588</v>
      </c>
      <c r="F965" s="9">
        <v>3220452</v>
      </c>
      <c r="G965" s="9">
        <v>3349270</v>
      </c>
      <c r="H965" s="9">
        <v>3449748</v>
      </c>
      <c r="I965" s="6">
        <v>4.9842440139999997</v>
      </c>
    </row>
    <row r="966" spans="1:9" ht="75" x14ac:dyDescent="0.25">
      <c r="A966" s="1" t="s">
        <v>146</v>
      </c>
      <c r="B966" s="9">
        <v>0</v>
      </c>
      <c r="C966" s="9">
        <v>0</v>
      </c>
      <c r="D966" s="9">
        <v>0</v>
      </c>
      <c r="E966" s="9">
        <v>0</v>
      </c>
      <c r="F966" s="9">
        <v>0</v>
      </c>
      <c r="G966" s="9">
        <v>0</v>
      </c>
      <c r="H966" s="9">
        <v>0</v>
      </c>
      <c r="I966" s="7" t="s">
        <v>58</v>
      </c>
    </row>
    <row r="967" spans="1:9" ht="75" x14ac:dyDescent="0.25">
      <c r="A967" s="1" t="s">
        <v>145</v>
      </c>
      <c r="B967" s="9">
        <v>31273</v>
      </c>
      <c r="C967" s="9">
        <v>26396</v>
      </c>
      <c r="D967" s="9">
        <v>22773</v>
      </c>
      <c r="E967" s="9">
        <v>20273</v>
      </c>
      <c r="F967" s="9">
        <v>18492</v>
      </c>
      <c r="G967" s="9">
        <v>17192</v>
      </c>
      <c r="H967" s="9">
        <v>16226</v>
      </c>
      <c r="I967" s="6">
        <v>-10.358939092</v>
      </c>
    </row>
    <row r="968" spans="1:9" ht="75" x14ac:dyDescent="0.25">
      <c r="A968" s="1" t="s">
        <v>144</v>
      </c>
      <c r="B968" s="9">
        <v>0</v>
      </c>
      <c r="C968" s="9">
        <v>0</v>
      </c>
      <c r="D968" s="9">
        <v>0</v>
      </c>
      <c r="E968" s="9">
        <v>0</v>
      </c>
      <c r="F968" s="9">
        <v>0</v>
      </c>
      <c r="G968" s="9">
        <v>0</v>
      </c>
      <c r="H968" s="9">
        <v>0</v>
      </c>
      <c r="I968" s="7" t="s">
        <v>58</v>
      </c>
    </row>
    <row r="969" spans="1:9" x14ac:dyDescent="0.25">
      <c r="A969" s="1" t="s">
        <v>12</v>
      </c>
      <c r="B969" s="2"/>
      <c r="C969" s="2"/>
      <c r="D969" s="2"/>
      <c r="E969" s="2"/>
      <c r="F969" s="2"/>
      <c r="G969" s="2"/>
      <c r="H969" s="2"/>
      <c r="I969" s="2"/>
    </row>
    <row r="970" spans="1:9" x14ac:dyDescent="0.25">
      <c r="A970" s="8" t="s">
        <v>95</v>
      </c>
      <c r="B970" s="2"/>
      <c r="C970" s="2"/>
      <c r="D970" s="2"/>
      <c r="E970" s="2"/>
      <c r="F970" s="2"/>
      <c r="G970" s="2"/>
      <c r="H970" s="2"/>
      <c r="I970" s="2"/>
    </row>
    <row r="971" spans="1:9" ht="30" x14ac:dyDescent="0.25">
      <c r="A971" s="1" t="s">
        <v>153</v>
      </c>
      <c r="B971" s="9">
        <v>6590000</v>
      </c>
      <c r="C971" s="9">
        <v>6540000</v>
      </c>
      <c r="D971" s="9">
        <v>6490000</v>
      </c>
      <c r="E971" s="9">
        <v>6450000</v>
      </c>
      <c r="F971" s="9">
        <v>6410000</v>
      </c>
      <c r="G971" s="9">
        <v>6360000</v>
      </c>
      <c r="H971" s="9">
        <v>6320000</v>
      </c>
      <c r="I971" s="6">
        <v>-0.69481062405000005</v>
      </c>
    </row>
    <row r="972" spans="1:9" ht="45" x14ac:dyDescent="0.25">
      <c r="A972" s="1" t="s">
        <v>152</v>
      </c>
      <c r="B972" s="9">
        <v>2563800</v>
      </c>
      <c r="C972" s="9">
        <v>2565877</v>
      </c>
      <c r="D972" s="9">
        <v>2567955</v>
      </c>
      <c r="E972" s="9">
        <v>2570035</v>
      </c>
      <c r="F972" s="9">
        <v>2572117</v>
      </c>
      <c r="G972" s="9">
        <v>2574200</v>
      </c>
      <c r="H972" s="9">
        <v>2576285</v>
      </c>
      <c r="I972" s="6">
        <v>8.0997883000000007E-2</v>
      </c>
    </row>
    <row r="973" spans="1:9" ht="30" x14ac:dyDescent="0.25">
      <c r="A973" s="1" t="s">
        <v>151</v>
      </c>
      <c r="B973" s="9">
        <v>2550010</v>
      </c>
      <c r="C973" s="9">
        <v>2552395</v>
      </c>
      <c r="D973" s="9">
        <v>2554782</v>
      </c>
      <c r="E973" s="9">
        <v>2557171</v>
      </c>
      <c r="F973" s="9">
        <v>2559562</v>
      </c>
      <c r="G973" s="9">
        <v>2561955</v>
      </c>
      <c r="H973" s="9">
        <v>2564351</v>
      </c>
      <c r="I973" s="6">
        <v>9.3512769999999995E-2</v>
      </c>
    </row>
    <row r="974" spans="1:9" ht="60" x14ac:dyDescent="0.25">
      <c r="A974" s="1" t="s">
        <v>150</v>
      </c>
      <c r="B974" s="9">
        <v>2200000</v>
      </c>
      <c r="C974" s="9">
        <v>2220000</v>
      </c>
      <c r="D974" s="9">
        <v>2293279</v>
      </c>
      <c r="E974" s="9">
        <v>2315996</v>
      </c>
      <c r="F974" s="9">
        <v>2334531</v>
      </c>
      <c r="G974" s="9">
        <v>2349003</v>
      </c>
      <c r="H974" s="9">
        <v>2361301</v>
      </c>
      <c r="I974" s="6">
        <v>1.186236939</v>
      </c>
    </row>
    <row r="975" spans="1:9" ht="60" x14ac:dyDescent="0.25">
      <c r="A975" s="1" t="s">
        <v>149</v>
      </c>
      <c r="B975" s="9">
        <v>847000</v>
      </c>
      <c r="C975" s="9">
        <v>836940</v>
      </c>
      <c r="D975" s="9">
        <v>824360</v>
      </c>
      <c r="E975" s="9">
        <v>810730</v>
      </c>
      <c r="F975" s="9">
        <v>795985</v>
      </c>
      <c r="G975" s="9">
        <v>780060</v>
      </c>
      <c r="H975" s="9">
        <v>762894</v>
      </c>
      <c r="I975" s="6">
        <v>-1.7279238050000001</v>
      </c>
    </row>
    <row r="976" spans="1:9" ht="60" x14ac:dyDescent="0.25">
      <c r="A976" s="1" t="s">
        <v>148</v>
      </c>
      <c r="B976" s="9">
        <v>519200</v>
      </c>
      <c r="C976" s="9">
        <v>497280</v>
      </c>
      <c r="D976" s="9">
        <v>479028</v>
      </c>
      <c r="E976" s="9">
        <v>461227</v>
      </c>
      <c r="F976" s="9">
        <v>444646</v>
      </c>
      <c r="G976" s="9">
        <v>429111</v>
      </c>
      <c r="H976" s="9">
        <v>414481</v>
      </c>
      <c r="I976" s="6">
        <v>-3.68476457</v>
      </c>
    </row>
    <row r="977" spans="1:9" ht="60" x14ac:dyDescent="0.25">
      <c r="A977" s="1" t="s">
        <v>147</v>
      </c>
      <c r="B977" s="9">
        <v>737000</v>
      </c>
      <c r="C977" s="9">
        <v>781440</v>
      </c>
      <c r="D977" s="9">
        <v>889967</v>
      </c>
      <c r="E977" s="9">
        <v>947788</v>
      </c>
      <c r="F977" s="9">
        <v>1000731</v>
      </c>
      <c r="G977" s="9">
        <v>1049265</v>
      </c>
      <c r="H977" s="9">
        <v>1095574</v>
      </c>
      <c r="I977" s="6">
        <v>6.8306091789999996</v>
      </c>
    </row>
    <row r="978" spans="1:9" ht="75" x14ac:dyDescent="0.25">
      <c r="A978" s="1" t="s">
        <v>146</v>
      </c>
      <c r="B978" s="9">
        <v>0</v>
      </c>
      <c r="C978" s="9">
        <v>0</v>
      </c>
      <c r="D978" s="9">
        <v>0</v>
      </c>
      <c r="E978" s="9">
        <v>0</v>
      </c>
      <c r="F978" s="9">
        <v>0</v>
      </c>
      <c r="G978" s="9">
        <v>0</v>
      </c>
      <c r="H978" s="9">
        <v>0</v>
      </c>
      <c r="I978" s="7" t="s">
        <v>58</v>
      </c>
    </row>
    <row r="979" spans="1:9" ht="75" x14ac:dyDescent="0.25">
      <c r="A979" s="1" t="s">
        <v>145</v>
      </c>
      <c r="B979" s="9">
        <v>85800</v>
      </c>
      <c r="C979" s="9">
        <v>93240</v>
      </c>
      <c r="D979" s="9">
        <v>89379</v>
      </c>
      <c r="E979" s="9">
        <v>86233</v>
      </c>
      <c r="F979" s="9">
        <v>83653</v>
      </c>
      <c r="G979" s="9">
        <v>81526</v>
      </c>
      <c r="H979" s="9">
        <v>79763</v>
      </c>
      <c r="I979" s="6">
        <v>-1.208624556</v>
      </c>
    </row>
    <row r="980" spans="1:9" ht="75" x14ac:dyDescent="0.25">
      <c r="A980" s="1" t="s">
        <v>144</v>
      </c>
      <c r="B980" s="9">
        <v>11000</v>
      </c>
      <c r="C980" s="9">
        <v>11100</v>
      </c>
      <c r="D980" s="9">
        <v>10545</v>
      </c>
      <c r="E980" s="9">
        <v>10018</v>
      </c>
      <c r="F980" s="9">
        <v>9517</v>
      </c>
      <c r="G980" s="9">
        <v>9041</v>
      </c>
      <c r="H980" s="9">
        <v>8589</v>
      </c>
      <c r="I980" s="6">
        <v>-4.0396876480000001</v>
      </c>
    </row>
    <row r="981" spans="1:9" x14ac:dyDescent="0.25">
      <c r="A981" s="1" t="s">
        <v>12</v>
      </c>
      <c r="B981" s="2"/>
      <c r="C981" s="2"/>
      <c r="D981" s="2"/>
      <c r="E981" s="2"/>
      <c r="F981" s="2"/>
      <c r="G981" s="2"/>
      <c r="H981" s="2"/>
      <c r="I981" s="2"/>
    </row>
    <row r="982" spans="1:9" x14ac:dyDescent="0.25">
      <c r="A982" s="8" t="s">
        <v>96</v>
      </c>
      <c r="B982" s="2"/>
      <c r="C982" s="2"/>
      <c r="D982" s="2"/>
      <c r="E982" s="2"/>
      <c r="F982" s="2"/>
      <c r="G982" s="2"/>
      <c r="H982" s="2"/>
      <c r="I982" s="2"/>
    </row>
    <row r="983" spans="1:9" ht="30" x14ac:dyDescent="0.25">
      <c r="A983" s="1" t="s">
        <v>153</v>
      </c>
      <c r="B983" s="9">
        <v>5810000</v>
      </c>
      <c r="C983" s="9">
        <v>5840000</v>
      </c>
      <c r="D983" s="9">
        <v>5860000</v>
      </c>
      <c r="E983" s="9">
        <v>5900000</v>
      </c>
      <c r="F983" s="9">
        <v>5930000</v>
      </c>
      <c r="G983" s="9">
        <v>5970000</v>
      </c>
      <c r="H983" s="9">
        <v>6000000</v>
      </c>
      <c r="I983" s="6">
        <v>0.53775571597000005</v>
      </c>
    </row>
    <row r="984" spans="1:9" ht="45" x14ac:dyDescent="0.25">
      <c r="A984" s="1" t="s">
        <v>152</v>
      </c>
      <c r="B984" s="9">
        <v>1449327</v>
      </c>
      <c r="C984" s="9">
        <v>1468168</v>
      </c>
      <c r="D984" s="9">
        <v>1496063</v>
      </c>
      <c r="E984" s="9">
        <v>1521496</v>
      </c>
      <c r="F984" s="9">
        <v>1553448</v>
      </c>
      <c r="G984" s="9">
        <v>1578303</v>
      </c>
      <c r="H984" s="9">
        <v>1602766</v>
      </c>
      <c r="I984" s="6">
        <v>1.6913367749999999</v>
      </c>
    </row>
    <row r="985" spans="1:9" ht="30" x14ac:dyDescent="0.25">
      <c r="A985" s="1" t="s">
        <v>151</v>
      </c>
      <c r="B985" s="9">
        <v>1445118</v>
      </c>
      <c r="C985" s="9">
        <v>1464051</v>
      </c>
      <c r="D985" s="9">
        <v>1492017</v>
      </c>
      <c r="E985" s="9">
        <v>1517533</v>
      </c>
      <c r="F985" s="9">
        <v>1549556</v>
      </c>
      <c r="G985" s="9">
        <v>1574507</v>
      </c>
      <c r="H985" s="9">
        <v>1599071</v>
      </c>
      <c r="I985" s="6">
        <v>1.7015111730000001</v>
      </c>
    </row>
    <row r="986" spans="1:9" ht="60" x14ac:dyDescent="0.25">
      <c r="A986" s="1" t="s">
        <v>150</v>
      </c>
      <c r="B986" s="9">
        <v>1446500</v>
      </c>
      <c r="C986" s="9">
        <v>1504393</v>
      </c>
      <c r="D986" s="9">
        <v>1527944</v>
      </c>
      <c r="E986" s="9">
        <v>1557264</v>
      </c>
      <c r="F986" s="9">
        <v>1583162</v>
      </c>
      <c r="G986" s="9">
        <v>1610501</v>
      </c>
      <c r="H986" s="9">
        <v>1637605</v>
      </c>
      <c r="I986" s="6">
        <v>2.0896667789999999</v>
      </c>
    </row>
    <row r="987" spans="1:9" ht="60" x14ac:dyDescent="0.25">
      <c r="A987" s="1" t="s">
        <v>149</v>
      </c>
      <c r="B987" s="9">
        <v>0</v>
      </c>
      <c r="C987" s="9">
        <v>0</v>
      </c>
      <c r="D987" s="9">
        <v>0</v>
      </c>
      <c r="E987" s="9">
        <v>0</v>
      </c>
      <c r="F987" s="9">
        <v>0</v>
      </c>
      <c r="G987" s="9">
        <v>0</v>
      </c>
      <c r="H987" s="9">
        <v>0</v>
      </c>
      <c r="I987" s="7" t="s">
        <v>58</v>
      </c>
    </row>
    <row r="988" spans="1:9" ht="60" x14ac:dyDescent="0.25">
      <c r="A988" s="1" t="s">
        <v>148</v>
      </c>
      <c r="B988" s="9">
        <v>0</v>
      </c>
      <c r="C988" s="9">
        <v>0</v>
      </c>
      <c r="D988" s="9">
        <v>0</v>
      </c>
      <c r="E988" s="9">
        <v>0</v>
      </c>
      <c r="F988" s="9">
        <v>0</v>
      </c>
      <c r="G988" s="9">
        <v>0</v>
      </c>
      <c r="H988" s="9">
        <v>0</v>
      </c>
      <c r="I988" s="7" t="s">
        <v>58</v>
      </c>
    </row>
    <row r="989" spans="1:9" ht="60" x14ac:dyDescent="0.25">
      <c r="A989" s="1" t="s">
        <v>147</v>
      </c>
      <c r="B989" s="9">
        <v>1446500</v>
      </c>
      <c r="C989" s="9">
        <v>1504393</v>
      </c>
      <c r="D989" s="9">
        <v>1527944</v>
      </c>
      <c r="E989" s="9">
        <v>1557264</v>
      </c>
      <c r="F989" s="9">
        <v>1583162</v>
      </c>
      <c r="G989" s="9">
        <v>1610501</v>
      </c>
      <c r="H989" s="9">
        <v>1637605</v>
      </c>
      <c r="I989" s="6">
        <v>2.0896667789999999</v>
      </c>
    </row>
    <row r="990" spans="1:9" ht="75" x14ac:dyDescent="0.25">
      <c r="A990" s="1" t="s">
        <v>146</v>
      </c>
      <c r="B990" s="9">
        <v>0</v>
      </c>
      <c r="C990" s="9">
        <v>0</v>
      </c>
      <c r="D990" s="9">
        <v>0</v>
      </c>
      <c r="E990" s="9">
        <v>0</v>
      </c>
      <c r="F990" s="9">
        <v>0</v>
      </c>
      <c r="G990" s="9">
        <v>0</v>
      </c>
      <c r="H990" s="9">
        <v>0</v>
      </c>
      <c r="I990" s="7" t="s">
        <v>58</v>
      </c>
    </row>
    <row r="991" spans="1:9" ht="75" x14ac:dyDescent="0.25">
      <c r="A991" s="1" t="s">
        <v>145</v>
      </c>
      <c r="B991" s="9">
        <v>0</v>
      </c>
      <c r="C991" s="9">
        <v>0</v>
      </c>
      <c r="D991" s="9">
        <v>0</v>
      </c>
      <c r="E991" s="9">
        <v>0</v>
      </c>
      <c r="F991" s="9">
        <v>0</v>
      </c>
      <c r="G991" s="9">
        <v>0</v>
      </c>
      <c r="H991" s="9">
        <v>0</v>
      </c>
      <c r="I991" s="7" t="s">
        <v>58</v>
      </c>
    </row>
    <row r="992" spans="1:9" ht="75" x14ac:dyDescent="0.25">
      <c r="A992" s="1" t="s">
        <v>144</v>
      </c>
      <c r="B992" s="9">
        <v>0</v>
      </c>
      <c r="C992" s="9">
        <v>0</v>
      </c>
      <c r="D992" s="9">
        <v>0</v>
      </c>
      <c r="E992" s="9">
        <v>0</v>
      </c>
      <c r="F992" s="9">
        <v>0</v>
      </c>
      <c r="G992" s="9">
        <v>0</v>
      </c>
      <c r="H992" s="9">
        <v>0</v>
      </c>
      <c r="I992" s="7" t="s">
        <v>58</v>
      </c>
    </row>
    <row r="993" spans="1:9" x14ac:dyDescent="0.25">
      <c r="A993" s="1" t="s">
        <v>12</v>
      </c>
      <c r="B993" s="2"/>
      <c r="C993" s="2"/>
      <c r="D993" s="2"/>
      <c r="E993" s="2"/>
      <c r="F993" s="2"/>
      <c r="G993" s="2"/>
      <c r="H993" s="2"/>
      <c r="I993" s="2"/>
    </row>
    <row r="994" spans="1:9" x14ac:dyDescent="0.25">
      <c r="A994" s="8" t="s">
        <v>97</v>
      </c>
      <c r="B994" s="2"/>
      <c r="C994" s="2"/>
      <c r="D994" s="2"/>
      <c r="E994" s="2"/>
      <c r="F994" s="2"/>
      <c r="G994" s="2"/>
      <c r="H994" s="2"/>
      <c r="I994" s="2"/>
    </row>
    <row r="995" spans="1:9" ht="30" x14ac:dyDescent="0.25">
      <c r="A995" s="1" t="s">
        <v>153</v>
      </c>
      <c r="B995" s="9">
        <v>5450000</v>
      </c>
      <c r="C995" s="9">
        <v>5450000</v>
      </c>
      <c r="D995" s="9">
        <v>5440000</v>
      </c>
      <c r="E995" s="9">
        <v>5440000</v>
      </c>
      <c r="F995" s="9">
        <v>5430000</v>
      </c>
      <c r="G995" s="9">
        <v>5420000</v>
      </c>
      <c r="H995" s="9">
        <v>5400000</v>
      </c>
      <c r="I995" s="6">
        <v>-0.15349299723000001</v>
      </c>
    </row>
    <row r="996" spans="1:9" ht="45" x14ac:dyDescent="0.25">
      <c r="A996" s="1" t="s">
        <v>152</v>
      </c>
      <c r="B996" s="9">
        <v>1818529</v>
      </c>
      <c r="C996" s="9">
        <v>1814892</v>
      </c>
      <c r="D996" s="9">
        <v>1811262</v>
      </c>
      <c r="E996" s="9">
        <v>1808545</v>
      </c>
      <c r="F996" s="9">
        <v>1805832</v>
      </c>
      <c r="G996" s="9">
        <v>1803123</v>
      </c>
      <c r="H996" s="9">
        <v>1800419</v>
      </c>
      <c r="I996" s="6">
        <v>-0.16666956699999999</v>
      </c>
    </row>
    <row r="997" spans="1:9" ht="30" x14ac:dyDescent="0.25">
      <c r="A997" s="1" t="s">
        <v>151</v>
      </c>
      <c r="B997" s="9">
        <v>1802970</v>
      </c>
      <c r="C997" s="9">
        <v>1799814</v>
      </c>
      <c r="D997" s="9">
        <v>1796663</v>
      </c>
      <c r="E997" s="9">
        <v>1794417</v>
      </c>
      <c r="F997" s="9">
        <v>1792173</v>
      </c>
      <c r="G997" s="9">
        <v>1789932</v>
      </c>
      <c r="H997" s="9">
        <v>1787694</v>
      </c>
      <c r="I997" s="6">
        <v>-0.14171255899999999</v>
      </c>
    </row>
    <row r="998" spans="1:9" ht="60" x14ac:dyDescent="0.25">
      <c r="A998" s="1" t="s">
        <v>150</v>
      </c>
      <c r="B998" s="9">
        <v>1678162</v>
      </c>
      <c r="C998" s="9">
        <v>1750492</v>
      </c>
      <c r="D998" s="9">
        <v>1759589</v>
      </c>
      <c r="E998" s="9">
        <v>1761400</v>
      </c>
      <c r="F998" s="9">
        <v>1758258</v>
      </c>
      <c r="G998" s="9">
        <v>1751910</v>
      </c>
      <c r="H998" s="9">
        <v>1743641</v>
      </c>
      <c r="I998" s="6">
        <v>0.63997764099999999</v>
      </c>
    </row>
    <row r="999" spans="1:9" ht="60" x14ac:dyDescent="0.25">
      <c r="A999" s="1" t="s">
        <v>149</v>
      </c>
      <c r="B999" s="9">
        <v>169392</v>
      </c>
      <c r="C999" s="9">
        <v>173540</v>
      </c>
      <c r="D999" s="9">
        <v>168441</v>
      </c>
      <c r="E999" s="9">
        <v>163986</v>
      </c>
      <c r="F999" s="9">
        <v>160083</v>
      </c>
      <c r="G999" s="9">
        <v>156653</v>
      </c>
      <c r="H999" s="9">
        <v>153633</v>
      </c>
      <c r="I999" s="6">
        <v>-1.614309971</v>
      </c>
    </row>
    <row r="1000" spans="1:9" ht="60" x14ac:dyDescent="0.25">
      <c r="A1000" s="1" t="s">
        <v>148</v>
      </c>
      <c r="B1000" s="9">
        <v>325244</v>
      </c>
      <c r="C1000" s="9">
        <v>291800</v>
      </c>
      <c r="D1000" s="9">
        <v>256158</v>
      </c>
      <c r="E1000" s="9">
        <v>224082</v>
      </c>
      <c r="F1000" s="9">
        <v>195230</v>
      </c>
      <c r="G1000" s="9">
        <v>169294</v>
      </c>
      <c r="H1000" s="9">
        <v>145996</v>
      </c>
      <c r="I1000" s="6">
        <v>-12.497201269</v>
      </c>
    </row>
    <row r="1001" spans="1:9" ht="60" x14ac:dyDescent="0.25">
      <c r="A1001" s="1" t="s">
        <v>147</v>
      </c>
      <c r="B1001" s="9">
        <v>964884</v>
      </c>
      <c r="C1001" s="9">
        <v>1093313</v>
      </c>
      <c r="D1001" s="9">
        <v>1175913</v>
      </c>
      <c r="E1001" s="9">
        <v>1242545</v>
      </c>
      <c r="F1001" s="9">
        <v>1296334</v>
      </c>
      <c r="G1001" s="9">
        <v>1339780</v>
      </c>
      <c r="H1001" s="9">
        <v>1374892</v>
      </c>
      <c r="I1001" s="6">
        <v>6.0796911659999999</v>
      </c>
    </row>
    <row r="1002" spans="1:9" ht="75" x14ac:dyDescent="0.25">
      <c r="A1002" s="1" t="s">
        <v>146</v>
      </c>
      <c r="B1002" s="9">
        <v>639</v>
      </c>
      <c r="C1002" s="9">
        <v>610</v>
      </c>
      <c r="D1002" s="9">
        <v>604</v>
      </c>
      <c r="E1002" s="9">
        <v>601</v>
      </c>
      <c r="F1002" s="9">
        <v>599</v>
      </c>
      <c r="G1002" s="9">
        <v>598</v>
      </c>
      <c r="H1002" s="9">
        <v>598</v>
      </c>
      <c r="I1002" s="6">
        <v>-1.0991431309999999</v>
      </c>
    </row>
    <row r="1003" spans="1:9" ht="75" x14ac:dyDescent="0.25">
      <c r="A1003" s="1" t="s">
        <v>145</v>
      </c>
      <c r="B1003" s="9">
        <v>216786</v>
      </c>
      <c r="C1003" s="9">
        <v>179835</v>
      </c>
      <c r="D1003" s="9">
        <v>147650</v>
      </c>
      <c r="E1003" s="9">
        <v>119903</v>
      </c>
      <c r="F1003" s="9">
        <v>96244</v>
      </c>
      <c r="G1003" s="9">
        <v>76304</v>
      </c>
      <c r="H1003" s="9">
        <v>59705</v>
      </c>
      <c r="I1003" s="6">
        <v>-19.339066269</v>
      </c>
    </row>
    <row r="1004" spans="1:9" ht="75" x14ac:dyDescent="0.25">
      <c r="A1004" s="1" t="s">
        <v>144</v>
      </c>
      <c r="B1004" s="9">
        <v>1217</v>
      </c>
      <c r="C1004" s="9">
        <v>11394</v>
      </c>
      <c r="D1004" s="9">
        <v>10824</v>
      </c>
      <c r="E1004" s="9">
        <v>10283</v>
      </c>
      <c r="F1004" s="9">
        <v>9769</v>
      </c>
      <c r="G1004" s="9">
        <v>9280</v>
      </c>
      <c r="H1004" s="9">
        <v>8816</v>
      </c>
      <c r="I1004" s="6">
        <v>39.100972792999997</v>
      </c>
    </row>
    <row r="1005" spans="1:9" x14ac:dyDescent="0.25">
      <c r="A1005" s="1" t="s">
        <v>12</v>
      </c>
      <c r="B1005" s="2"/>
      <c r="C1005" s="2"/>
      <c r="D1005" s="2"/>
      <c r="E1005" s="2"/>
      <c r="F1005" s="2"/>
      <c r="G1005" s="2"/>
      <c r="H1005" s="2"/>
      <c r="I1005" s="2"/>
    </row>
    <row r="1006" spans="1:9" x14ac:dyDescent="0.25">
      <c r="A1006" s="8" t="s">
        <v>98</v>
      </c>
      <c r="B1006" s="2"/>
      <c r="C1006" s="2"/>
      <c r="D1006" s="2"/>
      <c r="E1006" s="2"/>
      <c r="F1006" s="2"/>
      <c r="G1006" s="2"/>
      <c r="H1006" s="2"/>
      <c r="I1006" s="2"/>
    </row>
    <row r="1007" spans="1:9" ht="30" x14ac:dyDescent="0.25">
      <c r="A1007" s="1" t="s">
        <v>153</v>
      </c>
      <c r="B1007" s="9">
        <v>2120000</v>
      </c>
      <c r="C1007" s="9">
        <v>2120000</v>
      </c>
      <c r="D1007" s="9">
        <v>2120000</v>
      </c>
      <c r="E1007" s="9">
        <v>2110000</v>
      </c>
      <c r="F1007" s="9">
        <v>2110000</v>
      </c>
      <c r="G1007" s="9">
        <v>2110000</v>
      </c>
      <c r="H1007" s="9">
        <v>2110000</v>
      </c>
      <c r="I1007" s="6">
        <v>-7.8771312369999999E-2</v>
      </c>
    </row>
    <row r="1008" spans="1:9" ht="45" x14ac:dyDescent="0.25">
      <c r="A1008" s="1" t="s">
        <v>152</v>
      </c>
      <c r="B1008" s="9">
        <v>856086</v>
      </c>
      <c r="C1008" s="9">
        <v>859082</v>
      </c>
      <c r="D1008" s="9">
        <v>862089</v>
      </c>
      <c r="E1008" s="9">
        <v>865106</v>
      </c>
      <c r="F1008" s="9">
        <v>868134</v>
      </c>
      <c r="G1008" s="9">
        <v>871173</v>
      </c>
      <c r="H1008" s="9">
        <v>874222</v>
      </c>
      <c r="I1008" s="6">
        <v>0.35000291100000003</v>
      </c>
    </row>
    <row r="1009" spans="1:9" ht="30" x14ac:dyDescent="0.25">
      <c r="A1009" s="1" t="s">
        <v>151</v>
      </c>
      <c r="B1009" s="9">
        <v>832155</v>
      </c>
      <c r="C1009" s="9">
        <v>835485</v>
      </c>
      <c r="D1009" s="9">
        <v>838828</v>
      </c>
      <c r="E1009" s="9">
        <v>842185</v>
      </c>
      <c r="F1009" s="9">
        <v>845555</v>
      </c>
      <c r="G1009" s="9">
        <v>848939</v>
      </c>
      <c r="H1009" s="9">
        <v>852336</v>
      </c>
      <c r="I1009" s="6">
        <v>0.40016676699999998</v>
      </c>
    </row>
    <row r="1010" spans="1:9" ht="60" x14ac:dyDescent="0.25">
      <c r="A1010" s="1" t="s">
        <v>150</v>
      </c>
      <c r="B1010" s="9">
        <v>760349</v>
      </c>
      <c r="C1010" s="9">
        <v>765724</v>
      </c>
      <c r="D1010" s="9">
        <v>773555</v>
      </c>
      <c r="E1010" s="9">
        <v>783157</v>
      </c>
      <c r="F1010" s="9">
        <v>793991</v>
      </c>
      <c r="G1010" s="9">
        <v>804356</v>
      </c>
      <c r="H1010" s="9">
        <v>814117</v>
      </c>
      <c r="I1010" s="6">
        <v>1.145284601</v>
      </c>
    </row>
    <row r="1011" spans="1:9" ht="60" x14ac:dyDescent="0.25">
      <c r="A1011" s="1" t="s">
        <v>149</v>
      </c>
      <c r="B1011" s="9">
        <v>172599</v>
      </c>
      <c r="C1011" s="9">
        <v>168141</v>
      </c>
      <c r="D1011" s="9">
        <v>163841</v>
      </c>
      <c r="E1011" s="9">
        <v>159692</v>
      </c>
      <c r="F1011" s="9">
        <v>155690</v>
      </c>
      <c r="G1011" s="9">
        <v>151826</v>
      </c>
      <c r="H1011" s="9">
        <v>148097</v>
      </c>
      <c r="I1011" s="6">
        <v>-2.519443989</v>
      </c>
    </row>
    <row r="1012" spans="1:9" ht="60" x14ac:dyDescent="0.25">
      <c r="A1012" s="1" t="s">
        <v>148</v>
      </c>
      <c r="B1012" s="9">
        <v>95880</v>
      </c>
      <c r="C1012" s="9">
        <v>76088</v>
      </c>
      <c r="D1012" s="9">
        <v>60261</v>
      </c>
      <c r="E1012" s="9">
        <v>47606</v>
      </c>
      <c r="F1012" s="9">
        <v>37487</v>
      </c>
      <c r="G1012" s="9">
        <v>29398</v>
      </c>
      <c r="H1012" s="9">
        <v>22933</v>
      </c>
      <c r="I1012" s="6">
        <v>-21.212834864000001</v>
      </c>
    </row>
    <row r="1013" spans="1:9" ht="60" x14ac:dyDescent="0.25">
      <c r="A1013" s="1" t="s">
        <v>147</v>
      </c>
      <c r="B1013" s="9">
        <v>433095</v>
      </c>
      <c r="C1013" s="9">
        <v>463895</v>
      </c>
      <c r="D1013" s="9">
        <v>493006</v>
      </c>
      <c r="E1013" s="9">
        <v>520540</v>
      </c>
      <c r="F1013" s="9">
        <v>546602</v>
      </c>
      <c r="G1013" s="9">
        <v>570004</v>
      </c>
      <c r="H1013" s="9">
        <v>591022</v>
      </c>
      <c r="I1013" s="6">
        <v>5.3181963479999999</v>
      </c>
    </row>
    <row r="1014" spans="1:9" ht="75" x14ac:dyDescent="0.25">
      <c r="A1014" s="1" t="s">
        <v>146</v>
      </c>
      <c r="B1014" s="9">
        <v>0</v>
      </c>
      <c r="C1014" s="9">
        <v>0</v>
      </c>
      <c r="D1014" s="9">
        <v>0</v>
      </c>
      <c r="E1014" s="9">
        <v>0</v>
      </c>
      <c r="F1014" s="9">
        <v>0</v>
      </c>
      <c r="G1014" s="9">
        <v>0</v>
      </c>
      <c r="H1014" s="9">
        <v>0</v>
      </c>
      <c r="I1014" s="7" t="s">
        <v>58</v>
      </c>
    </row>
    <row r="1015" spans="1:9" ht="75" x14ac:dyDescent="0.25">
      <c r="A1015" s="1" t="s">
        <v>145</v>
      </c>
      <c r="B1015" s="9">
        <v>0</v>
      </c>
      <c r="C1015" s="9">
        <v>0</v>
      </c>
      <c r="D1015" s="9">
        <v>0</v>
      </c>
      <c r="E1015" s="9">
        <v>0</v>
      </c>
      <c r="F1015" s="9">
        <v>0</v>
      </c>
      <c r="G1015" s="9">
        <v>0</v>
      </c>
      <c r="H1015" s="9">
        <v>0</v>
      </c>
      <c r="I1015" s="7" t="s">
        <v>58</v>
      </c>
    </row>
    <row r="1016" spans="1:9" ht="75" x14ac:dyDescent="0.25">
      <c r="A1016" s="1" t="s">
        <v>144</v>
      </c>
      <c r="B1016" s="9">
        <v>58775</v>
      </c>
      <c r="C1016" s="9">
        <v>57599</v>
      </c>
      <c r="D1016" s="9">
        <v>56447</v>
      </c>
      <c r="E1016" s="9">
        <v>55319</v>
      </c>
      <c r="F1016" s="9">
        <v>54212</v>
      </c>
      <c r="G1016" s="9">
        <v>53128</v>
      </c>
      <c r="H1016" s="9">
        <v>52065</v>
      </c>
      <c r="I1016" s="6">
        <v>-2.0001210710000001</v>
      </c>
    </row>
    <row r="1017" spans="1:9" x14ac:dyDescent="0.25">
      <c r="A1017" s="1" t="s">
        <v>12</v>
      </c>
      <c r="B1017" s="2"/>
      <c r="C1017" s="2"/>
      <c r="D1017" s="2"/>
      <c r="E1017" s="2"/>
      <c r="F1017" s="2"/>
      <c r="G1017" s="2"/>
      <c r="H1017" s="2"/>
      <c r="I1017" s="2"/>
    </row>
    <row r="1018" spans="1:9" x14ac:dyDescent="0.25">
      <c r="A1018" s="8" t="s">
        <v>99</v>
      </c>
      <c r="B1018" s="2"/>
      <c r="C1018" s="2"/>
      <c r="D1018" s="2"/>
      <c r="E1018" s="2"/>
      <c r="F1018" s="2"/>
      <c r="G1018" s="2"/>
      <c r="H1018" s="2"/>
      <c r="I1018" s="2"/>
    </row>
    <row r="1019" spans="1:9" ht="30" x14ac:dyDescent="0.25">
      <c r="A1019" s="1" t="s">
        <v>153</v>
      </c>
      <c r="B1019" s="9">
        <v>61020000</v>
      </c>
      <c r="C1019" s="9">
        <v>61670000</v>
      </c>
      <c r="D1019" s="9">
        <v>62310000</v>
      </c>
      <c r="E1019" s="9">
        <v>62920000</v>
      </c>
      <c r="F1019" s="9">
        <v>63510000</v>
      </c>
      <c r="G1019" s="9">
        <v>64090000</v>
      </c>
      <c r="H1019" s="9">
        <v>64660000</v>
      </c>
      <c r="I1019" s="6">
        <v>0.97036266537000004</v>
      </c>
    </row>
    <row r="1020" spans="1:9" ht="45" x14ac:dyDescent="0.25">
      <c r="A1020" s="1" t="s">
        <v>152</v>
      </c>
      <c r="B1020" s="9">
        <v>19402158</v>
      </c>
      <c r="C1020" s="9">
        <v>19848407</v>
      </c>
      <c r="D1020" s="9">
        <v>20304921</v>
      </c>
      <c r="E1020" s="9">
        <v>20771934</v>
      </c>
      <c r="F1020" s="9">
        <v>21249688</v>
      </c>
      <c r="G1020" s="9">
        <v>21738431</v>
      </c>
      <c r="H1020" s="9">
        <v>22238415</v>
      </c>
      <c r="I1020" s="6">
        <v>2.2999996600000001</v>
      </c>
    </row>
    <row r="1021" spans="1:9" ht="30" x14ac:dyDescent="0.25">
      <c r="A1021" s="1" t="s">
        <v>151</v>
      </c>
      <c r="B1021" s="9">
        <v>16249250</v>
      </c>
      <c r="C1021" s="9">
        <v>16725813</v>
      </c>
      <c r="D1021" s="9">
        <v>17216353</v>
      </c>
      <c r="E1021" s="9">
        <v>17721279</v>
      </c>
      <c r="F1021" s="9">
        <v>18241014</v>
      </c>
      <c r="G1021" s="9">
        <v>18775992</v>
      </c>
      <c r="H1021" s="9">
        <v>19326660</v>
      </c>
      <c r="I1021" s="6">
        <v>2.9328302490000002</v>
      </c>
    </row>
    <row r="1022" spans="1:9" ht="60" x14ac:dyDescent="0.25">
      <c r="A1022" s="1" t="s">
        <v>150</v>
      </c>
      <c r="B1022" s="9">
        <v>2623167</v>
      </c>
      <c r="C1022" s="9">
        <v>3211270</v>
      </c>
      <c r="D1022" s="9">
        <v>3920135</v>
      </c>
      <c r="E1022" s="9">
        <v>4724584</v>
      </c>
      <c r="F1022" s="9">
        <v>5608841</v>
      </c>
      <c r="G1022" s="9">
        <v>6412332</v>
      </c>
      <c r="H1022" s="9">
        <v>7206961</v>
      </c>
      <c r="I1022" s="6">
        <v>18.346214798999998</v>
      </c>
    </row>
    <row r="1023" spans="1:9" ht="60" x14ac:dyDescent="0.25">
      <c r="A1023" s="1" t="s">
        <v>149</v>
      </c>
      <c r="B1023" s="9">
        <v>0</v>
      </c>
      <c r="C1023" s="9">
        <v>0</v>
      </c>
      <c r="D1023" s="9">
        <v>0</v>
      </c>
      <c r="E1023" s="9">
        <v>0</v>
      </c>
      <c r="F1023" s="9">
        <v>0</v>
      </c>
      <c r="G1023" s="9">
        <v>0</v>
      </c>
      <c r="H1023" s="9">
        <v>0</v>
      </c>
      <c r="I1023" s="7" t="s">
        <v>58</v>
      </c>
    </row>
    <row r="1024" spans="1:9" ht="60" x14ac:dyDescent="0.25">
      <c r="A1024" s="1" t="s">
        <v>148</v>
      </c>
      <c r="B1024" s="9">
        <v>176945</v>
      </c>
      <c r="C1024" s="9">
        <v>155497</v>
      </c>
      <c r="D1024" s="9">
        <v>136649</v>
      </c>
      <c r="E1024" s="9">
        <v>120085</v>
      </c>
      <c r="F1024" s="9">
        <v>118629</v>
      </c>
      <c r="G1024" s="9">
        <v>116257</v>
      </c>
      <c r="H1024" s="9">
        <v>113932</v>
      </c>
      <c r="I1024" s="6">
        <v>-7.074571798</v>
      </c>
    </row>
    <row r="1025" spans="1:9" ht="60" x14ac:dyDescent="0.25">
      <c r="A1025" s="1" t="s">
        <v>147</v>
      </c>
      <c r="B1025" s="9">
        <v>2128763</v>
      </c>
      <c r="C1025" s="9">
        <v>2690756</v>
      </c>
      <c r="D1025" s="9">
        <v>3363437</v>
      </c>
      <c r="E1025" s="9">
        <v>4153844</v>
      </c>
      <c r="F1025" s="9">
        <v>5005381</v>
      </c>
      <c r="G1025" s="9">
        <v>5776460</v>
      </c>
      <c r="H1025" s="9">
        <v>6536064</v>
      </c>
      <c r="I1025" s="6">
        <v>20.558591056000001</v>
      </c>
    </row>
    <row r="1026" spans="1:9" ht="75" x14ac:dyDescent="0.25">
      <c r="A1026" s="1" t="s">
        <v>146</v>
      </c>
      <c r="B1026" s="9">
        <v>18547</v>
      </c>
      <c r="C1026" s="9">
        <v>20031</v>
      </c>
      <c r="D1026" s="9">
        <v>21633</v>
      </c>
      <c r="E1026" s="9">
        <v>24445</v>
      </c>
      <c r="F1026" s="9">
        <v>28845</v>
      </c>
      <c r="G1026" s="9">
        <v>31730</v>
      </c>
      <c r="H1026" s="9">
        <v>34903</v>
      </c>
      <c r="I1026" s="6">
        <v>11.112993359000001</v>
      </c>
    </row>
    <row r="1027" spans="1:9" ht="75" x14ac:dyDescent="0.25">
      <c r="A1027" s="1" t="s">
        <v>145</v>
      </c>
      <c r="B1027" s="9">
        <v>287240</v>
      </c>
      <c r="C1027" s="9">
        <v>333198</v>
      </c>
      <c r="D1027" s="9">
        <v>386510</v>
      </c>
      <c r="E1027" s="9">
        <v>414184</v>
      </c>
      <c r="F1027" s="9">
        <v>443840</v>
      </c>
      <c r="G1027" s="9">
        <v>475619</v>
      </c>
      <c r="H1027" s="9">
        <v>509673</v>
      </c>
      <c r="I1027" s="6">
        <v>10.029156824999999</v>
      </c>
    </row>
    <row r="1028" spans="1:9" ht="75" x14ac:dyDescent="0.25">
      <c r="A1028" s="1" t="s">
        <v>144</v>
      </c>
      <c r="B1028" s="9">
        <v>11672</v>
      </c>
      <c r="C1028" s="9">
        <v>11788</v>
      </c>
      <c r="D1028" s="9">
        <v>11906</v>
      </c>
      <c r="E1028" s="9">
        <v>12025</v>
      </c>
      <c r="F1028" s="9">
        <v>12146</v>
      </c>
      <c r="G1028" s="9">
        <v>12267</v>
      </c>
      <c r="H1028" s="9">
        <v>12390</v>
      </c>
      <c r="I1028" s="6">
        <v>0.99991413799999995</v>
      </c>
    </row>
    <row r="1029" spans="1:9" x14ac:dyDescent="0.25">
      <c r="A1029" s="1" t="s">
        <v>12</v>
      </c>
      <c r="B1029" s="2"/>
      <c r="C1029" s="2"/>
      <c r="D1029" s="2"/>
      <c r="E1029" s="2"/>
      <c r="F1029" s="2"/>
      <c r="G1029" s="2"/>
      <c r="H1029" s="2"/>
      <c r="I1029" s="2"/>
    </row>
    <row r="1030" spans="1:9" x14ac:dyDescent="0.25">
      <c r="A1030" s="8" t="s">
        <v>100</v>
      </c>
      <c r="B1030" s="2"/>
      <c r="C1030" s="2"/>
      <c r="D1030" s="2"/>
      <c r="E1030" s="2"/>
      <c r="F1030" s="2"/>
      <c r="G1030" s="2"/>
      <c r="H1030" s="2"/>
      <c r="I1030" s="2"/>
    </row>
    <row r="1031" spans="1:9" ht="30" x14ac:dyDescent="0.25">
      <c r="A1031" s="1" t="s">
        <v>153</v>
      </c>
      <c r="B1031" s="9">
        <v>51720000</v>
      </c>
      <c r="C1031" s="9">
        <v>51340000</v>
      </c>
      <c r="D1031" s="9">
        <v>51320000</v>
      </c>
      <c r="E1031" s="9">
        <v>51290000</v>
      </c>
      <c r="F1031" s="9">
        <v>51260000</v>
      </c>
      <c r="G1031" s="9">
        <v>51210000</v>
      </c>
      <c r="H1031" s="9">
        <v>51150000</v>
      </c>
      <c r="I1031" s="6">
        <v>-0.18453055771999999</v>
      </c>
    </row>
    <row r="1032" spans="1:9" ht="45" x14ac:dyDescent="0.25">
      <c r="A1032" s="1" t="s">
        <v>152</v>
      </c>
      <c r="B1032" s="9">
        <v>21970798</v>
      </c>
      <c r="C1032" s="9">
        <v>22124593</v>
      </c>
      <c r="D1032" s="9">
        <v>22261766</v>
      </c>
      <c r="E1032" s="9">
        <v>22390884</v>
      </c>
      <c r="F1032" s="9">
        <v>22514034</v>
      </c>
      <c r="G1032" s="9">
        <v>22631107</v>
      </c>
      <c r="H1032" s="9">
        <v>22741999</v>
      </c>
      <c r="I1032" s="6">
        <v>0.57664260700000003</v>
      </c>
    </row>
    <row r="1033" spans="1:9" ht="30" x14ac:dyDescent="0.25">
      <c r="A1033" s="1" t="s">
        <v>151</v>
      </c>
      <c r="B1033" s="9">
        <v>21887840</v>
      </c>
      <c r="C1033" s="9">
        <v>22043259</v>
      </c>
      <c r="D1033" s="9">
        <v>22182145</v>
      </c>
      <c r="E1033" s="9">
        <v>22313032</v>
      </c>
      <c r="F1033" s="9">
        <v>22435978</v>
      </c>
      <c r="G1033" s="9">
        <v>22552871</v>
      </c>
      <c r="H1033" s="9">
        <v>22663607</v>
      </c>
      <c r="I1033" s="6">
        <v>0.58217459800000004</v>
      </c>
    </row>
    <row r="1034" spans="1:9" ht="60" x14ac:dyDescent="0.25">
      <c r="A1034" s="1" t="s">
        <v>150</v>
      </c>
      <c r="B1034" s="9">
        <v>24721782</v>
      </c>
      <c r="C1034" s="9">
        <v>24928000</v>
      </c>
      <c r="D1034" s="9">
        <v>25060177</v>
      </c>
      <c r="E1034" s="9">
        <v>25179834</v>
      </c>
      <c r="F1034" s="9">
        <v>25313710</v>
      </c>
      <c r="G1034" s="9">
        <v>25511498</v>
      </c>
      <c r="H1034" s="9">
        <v>25701724</v>
      </c>
      <c r="I1034" s="6">
        <v>0.64999257499999996</v>
      </c>
    </row>
    <row r="1035" spans="1:9" ht="60" x14ac:dyDescent="0.25">
      <c r="A1035" s="1" t="s">
        <v>149</v>
      </c>
      <c r="B1035" s="9">
        <v>2027593</v>
      </c>
      <c r="C1035" s="9">
        <v>1865386</v>
      </c>
      <c r="D1035" s="9">
        <v>1716155</v>
      </c>
      <c r="E1035" s="9">
        <v>1578862</v>
      </c>
      <c r="F1035" s="9">
        <v>1452553</v>
      </c>
      <c r="G1035" s="9">
        <v>1336349</v>
      </c>
      <c r="H1035" s="9">
        <v>1229441</v>
      </c>
      <c r="I1035" s="6">
        <v>-8.0000019489999996</v>
      </c>
    </row>
    <row r="1036" spans="1:9" ht="60" x14ac:dyDescent="0.25">
      <c r="A1036" s="1" t="s">
        <v>148</v>
      </c>
      <c r="B1036" s="9">
        <v>313046</v>
      </c>
      <c r="C1036" s="9">
        <v>278611</v>
      </c>
      <c r="D1036" s="9">
        <v>195475</v>
      </c>
      <c r="E1036" s="9">
        <v>151493</v>
      </c>
      <c r="F1036" s="9">
        <v>130284</v>
      </c>
      <c r="G1036" s="9">
        <v>112044</v>
      </c>
      <c r="H1036" s="9">
        <v>96358</v>
      </c>
      <c r="I1036" s="6">
        <v>-17.830003262999998</v>
      </c>
    </row>
    <row r="1037" spans="1:9" ht="60" x14ac:dyDescent="0.25">
      <c r="A1037" s="1" t="s">
        <v>147</v>
      </c>
      <c r="B1037" s="9">
        <v>22381143</v>
      </c>
      <c r="C1037" s="9">
        <v>22784004</v>
      </c>
      <c r="D1037" s="9">
        <v>23148548</v>
      </c>
      <c r="E1037" s="9">
        <v>23449479</v>
      </c>
      <c r="F1037" s="9">
        <v>23730872</v>
      </c>
      <c r="G1037" s="9">
        <v>24063105</v>
      </c>
      <c r="H1037" s="9">
        <v>24375925</v>
      </c>
      <c r="I1037" s="6">
        <v>1.433125352</v>
      </c>
    </row>
    <row r="1038" spans="1:9" ht="75" x14ac:dyDescent="0.25">
      <c r="A1038" s="1" t="s">
        <v>146</v>
      </c>
      <c r="B1038" s="9">
        <v>0</v>
      </c>
      <c r="C1038" s="9">
        <v>0</v>
      </c>
      <c r="D1038" s="9">
        <v>0</v>
      </c>
      <c r="E1038" s="9">
        <v>0</v>
      </c>
      <c r="F1038" s="9">
        <v>0</v>
      </c>
      <c r="G1038" s="9">
        <v>0</v>
      </c>
      <c r="H1038" s="9">
        <v>0</v>
      </c>
      <c r="I1038" s="7" t="s">
        <v>58</v>
      </c>
    </row>
    <row r="1039" spans="1:9" ht="75" x14ac:dyDescent="0.25">
      <c r="A1039" s="1" t="s">
        <v>145</v>
      </c>
      <c r="B1039" s="9">
        <v>0</v>
      </c>
      <c r="C1039" s="9">
        <v>0</v>
      </c>
      <c r="D1039" s="9">
        <v>0</v>
      </c>
      <c r="E1039" s="9">
        <v>0</v>
      </c>
      <c r="F1039" s="9">
        <v>0</v>
      </c>
      <c r="G1039" s="9">
        <v>0</v>
      </c>
      <c r="H1039" s="9">
        <v>0</v>
      </c>
      <c r="I1039" s="7" t="s">
        <v>58</v>
      </c>
    </row>
    <row r="1040" spans="1:9" ht="75" x14ac:dyDescent="0.25">
      <c r="A1040" s="1" t="s">
        <v>144</v>
      </c>
      <c r="B1040" s="9">
        <v>0</v>
      </c>
      <c r="C1040" s="9">
        <v>0</v>
      </c>
      <c r="D1040" s="9">
        <v>0</v>
      </c>
      <c r="E1040" s="9">
        <v>0</v>
      </c>
      <c r="F1040" s="9">
        <v>0</v>
      </c>
      <c r="G1040" s="9">
        <v>0</v>
      </c>
      <c r="H1040" s="9">
        <v>0</v>
      </c>
      <c r="I1040" s="7" t="s">
        <v>58</v>
      </c>
    </row>
    <row r="1041" spans="1:9" x14ac:dyDescent="0.25">
      <c r="A1041" s="1" t="s">
        <v>12</v>
      </c>
      <c r="B1041" s="2"/>
      <c r="C1041" s="2"/>
      <c r="D1041" s="2"/>
      <c r="E1041" s="2"/>
      <c r="F1041" s="2"/>
      <c r="G1041" s="2"/>
      <c r="H1041" s="2"/>
      <c r="I1041" s="2"/>
    </row>
    <row r="1042" spans="1:9" x14ac:dyDescent="0.25">
      <c r="A1042" s="8" t="s">
        <v>101</v>
      </c>
      <c r="B1042" s="2"/>
      <c r="C1042" s="2"/>
      <c r="D1042" s="2"/>
      <c r="E1042" s="2"/>
      <c r="F1042" s="2"/>
      <c r="G1042" s="2"/>
      <c r="H1042" s="2"/>
      <c r="I1042" s="2"/>
    </row>
    <row r="1043" spans="1:9" ht="30" x14ac:dyDescent="0.25">
      <c r="A1043" s="1" t="s">
        <v>153</v>
      </c>
      <c r="B1043" s="9">
        <v>47910000</v>
      </c>
      <c r="C1043" s="9">
        <v>47890000</v>
      </c>
      <c r="D1043" s="9">
        <v>47850000</v>
      </c>
      <c r="E1043" s="9">
        <v>47800000</v>
      </c>
      <c r="F1043" s="9">
        <v>47750000</v>
      </c>
      <c r="G1043" s="9">
        <v>47690000</v>
      </c>
      <c r="H1043" s="9">
        <v>47610000</v>
      </c>
      <c r="I1043" s="6">
        <v>-0.10463568013000001</v>
      </c>
    </row>
    <row r="1044" spans="1:9" ht="45" x14ac:dyDescent="0.25">
      <c r="A1044" s="1" t="s">
        <v>152</v>
      </c>
      <c r="B1044" s="9">
        <v>19671198</v>
      </c>
      <c r="C1044" s="9">
        <v>20026547</v>
      </c>
      <c r="D1044" s="9">
        <v>20364411</v>
      </c>
      <c r="E1044" s="9">
        <v>20681965</v>
      </c>
      <c r="F1044" s="9">
        <v>20977839</v>
      </c>
      <c r="G1044" s="9">
        <v>21244779</v>
      </c>
      <c r="H1044" s="9">
        <v>21487754</v>
      </c>
      <c r="I1044" s="6">
        <v>1.4830167670000001</v>
      </c>
    </row>
    <row r="1045" spans="1:9" ht="30" x14ac:dyDescent="0.25">
      <c r="A1045" s="1" t="s">
        <v>151</v>
      </c>
      <c r="B1045" s="9">
        <v>19399887</v>
      </c>
      <c r="C1045" s="9">
        <v>19760348</v>
      </c>
      <c r="D1045" s="9">
        <v>20103903</v>
      </c>
      <c r="E1045" s="9">
        <v>20427736</v>
      </c>
      <c r="F1045" s="9">
        <v>20730462</v>
      </c>
      <c r="G1045" s="9">
        <v>21004877</v>
      </c>
      <c r="H1045" s="9">
        <v>21255852</v>
      </c>
      <c r="I1045" s="6">
        <v>1.5344029850000001</v>
      </c>
    </row>
    <row r="1046" spans="1:9" ht="60" x14ac:dyDescent="0.25">
      <c r="A1046" s="1" t="s">
        <v>150</v>
      </c>
      <c r="B1046" s="9">
        <v>16520091</v>
      </c>
      <c r="C1046" s="9">
        <v>16964714</v>
      </c>
      <c r="D1046" s="9">
        <v>17355679</v>
      </c>
      <c r="E1046" s="9">
        <v>17719149</v>
      </c>
      <c r="F1046" s="9">
        <v>18057252</v>
      </c>
      <c r="G1046" s="9">
        <v>18378448</v>
      </c>
      <c r="H1046" s="9">
        <v>18690630</v>
      </c>
      <c r="I1046" s="6">
        <v>2.0787282710000001</v>
      </c>
    </row>
    <row r="1047" spans="1:9" ht="60" x14ac:dyDescent="0.25">
      <c r="A1047" s="1" t="s">
        <v>149</v>
      </c>
      <c r="B1047" s="9">
        <v>1036556</v>
      </c>
      <c r="C1047" s="9">
        <v>948421</v>
      </c>
      <c r="D1047" s="9">
        <v>802173</v>
      </c>
      <c r="E1047" s="9">
        <v>760556</v>
      </c>
      <c r="F1047" s="9">
        <v>722834</v>
      </c>
      <c r="G1047" s="9">
        <v>688424</v>
      </c>
      <c r="H1047" s="9">
        <v>655835</v>
      </c>
      <c r="I1047" s="6">
        <v>-7.3454033020000002</v>
      </c>
    </row>
    <row r="1048" spans="1:9" ht="60" x14ac:dyDescent="0.25">
      <c r="A1048" s="1" t="s">
        <v>148</v>
      </c>
      <c r="B1048" s="9">
        <v>84807</v>
      </c>
      <c r="C1048" s="9">
        <v>0</v>
      </c>
      <c r="D1048" s="9">
        <v>0</v>
      </c>
      <c r="E1048" s="9">
        <v>0</v>
      </c>
      <c r="F1048" s="9">
        <v>0</v>
      </c>
      <c r="G1048" s="9">
        <v>0</v>
      </c>
      <c r="H1048" s="9">
        <v>0</v>
      </c>
      <c r="I1048" s="6">
        <v>-100</v>
      </c>
    </row>
    <row r="1049" spans="1:9" ht="60" x14ac:dyDescent="0.25">
      <c r="A1049" s="1" t="s">
        <v>147</v>
      </c>
      <c r="B1049" s="9">
        <v>14940153</v>
      </c>
      <c r="C1049" s="9">
        <v>15534116</v>
      </c>
      <c r="D1049" s="9">
        <v>16047937</v>
      </c>
      <c r="E1049" s="9">
        <v>16429167</v>
      </c>
      <c r="F1049" s="9">
        <v>16780801</v>
      </c>
      <c r="G1049" s="9">
        <v>17111918</v>
      </c>
      <c r="H1049" s="9">
        <v>17431848</v>
      </c>
      <c r="I1049" s="6">
        <v>2.6041036869999998</v>
      </c>
    </row>
    <row r="1050" spans="1:9" ht="75" x14ac:dyDescent="0.25">
      <c r="A1050" s="1" t="s">
        <v>146</v>
      </c>
      <c r="B1050" s="9">
        <v>0</v>
      </c>
      <c r="C1050" s="9">
        <v>0</v>
      </c>
      <c r="D1050" s="9">
        <v>0</v>
      </c>
      <c r="E1050" s="9">
        <v>0</v>
      </c>
      <c r="F1050" s="9">
        <v>0</v>
      </c>
      <c r="G1050" s="9">
        <v>0</v>
      </c>
      <c r="H1050" s="9">
        <v>0</v>
      </c>
      <c r="I1050" s="7" t="s">
        <v>58</v>
      </c>
    </row>
    <row r="1051" spans="1:9" ht="75" x14ac:dyDescent="0.25">
      <c r="A1051" s="1" t="s">
        <v>145</v>
      </c>
      <c r="B1051" s="9">
        <v>446246</v>
      </c>
      <c r="C1051" s="9">
        <v>470032</v>
      </c>
      <c r="D1051" s="9">
        <v>493606</v>
      </c>
      <c r="E1051" s="9">
        <v>517641</v>
      </c>
      <c r="F1051" s="9">
        <v>542010</v>
      </c>
      <c r="G1051" s="9">
        <v>566673</v>
      </c>
      <c r="H1051" s="9">
        <v>591685</v>
      </c>
      <c r="I1051" s="6">
        <v>4.8140181789999996</v>
      </c>
    </row>
    <row r="1052" spans="1:9" ht="75" x14ac:dyDescent="0.25">
      <c r="A1052" s="1" t="s">
        <v>144</v>
      </c>
      <c r="B1052" s="9">
        <v>12330</v>
      </c>
      <c r="C1052" s="9">
        <v>12145</v>
      </c>
      <c r="D1052" s="9">
        <v>11963</v>
      </c>
      <c r="E1052" s="9">
        <v>11784</v>
      </c>
      <c r="F1052" s="9">
        <v>11607</v>
      </c>
      <c r="G1052" s="9">
        <v>11433</v>
      </c>
      <c r="H1052" s="9">
        <v>11261</v>
      </c>
      <c r="I1052" s="6">
        <v>-1.5001323449999999</v>
      </c>
    </row>
    <row r="1053" spans="1:9" x14ac:dyDescent="0.25">
      <c r="A1053" s="1" t="s">
        <v>12</v>
      </c>
      <c r="B1053" s="2"/>
      <c r="C1053" s="2"/>
      <c r="D1053" s="2"/>
      <c r="E1053" s="2"/>
      <c r="F1053" s="2"/>
      <c r="G1053" s="2"/>
      <c r="H1053" s="2"/>
      <c r="I1053" s="2"/>
    </row>
    <row r="1054" spans="1:9" x14ac:dyDescent="0.25">
      <c r="A1054" s="8" t="s">
        <v>102</v>
      </c>
      <c r="B1054" s="2"/>
      <c r="C1054" s="2"/>
      <c r="D1054" s="2"/>
      <c r="E1054" s="2"/>
      <c r="F1054" s="2"/>
      <c r="G1054" s="2"/>
      <c r="H1054" s="2"/>
      <c r="I1054" s="2"/>
    </row>
    <row r="1055" spans="1:9" ht="30" x14ac:dyDescent="0.25">
      <c r="A1055" s="1" t="s">
        <v>153</v>
      </c>
      <c r="B1055" s="9">
        <v>10670000</v>
      </c>
      <c r="C1055" s="9">
        <v>10730000</v>
      </c>
      <c r="D1055" s="9">
        <v>10790000</v>
      </c>
      <c r="E1055" s="9">
        <v>10850000</v>
      </c>
      <c r="F1055" s="9">
        <v>10900000</v>
      </c>
      <c r="G1055" s="9">
        <v>10960000</v>
      </c>
      <c r="H1055" s="9">
        <v>11010000</v>
      </c>
      <c r="I1055" s="6">
        <v>0.52416706418000003</v>
      </c>
    </row>
    <row r="1056" spans="1:9" ht="45" x14ac:dyDescent="0.25">
      <c r="A1056" s="1" t="s">
        <v>152</v>
      </c>
      <c r="B1056" s="9">
        <v>4962452</v>
      </c>
      <c r="C1056" s="9">
        <v>4987264</v>
      </c>
      <c r="D1056" s="9">
        <v>4997238</v>
      </c>
      <c r="E1056" s="9">
        <v>5002236</v>
      </c>
      <c r="F1056" s="9">
        <v>5007238</v>
      </c>
      <c r="G1056" s="9">
        <v>5012245</v>
      </c>
      <c r="H1056" s="9">
        <v>5017257</v>
      </c>
      <c r="I1056" s="6">
        <v>0.183224261</v>
      </c>
    </row>
    <row r="1057" spans="1:9" ht="30" x14ac:dyDescent="0.25">
      <c r="A1057" s="1" t="s">
        <v>151</v>
      </c>
      <c r="B1057" s="9">
        <v>4350761</v>
      </c>
      <c r="C1057" s="9">
        <v>4346280</v>
      </c>
      <c r="D1057" s="9">
        <v>4328843</v>
      </c>
      <c r="E1057" s="9">
        <v>4307173</v>
      </c>
      <c r="F1057" s="9">
        <v>4285611</v>
      </c>
      <c r="G1057" s="9">
        <v>4264157</v>
      </c>
      <c r="H1057" s="9">
        <v>4242811</v>
      </c>
      <c r="I1057" s="6">
        <v>-0.41787033299999998</v>
      </c>
    </row>
    <row r="1058" spans="1:9" ht="60" x14ac:dyDescent="0.25">
      <c r="A1058" s="1" t="s">
        <v>150</v>
      </c>
      <c r="B1058" s="9">
        <v>4342530</v>
      </c>
      <c r="C1058" s="9">
        <v>4434698</v>
      </c>
      <c r="D1058" s="9">
        <v>4517052</v>
      </c>
      <c r="E1058" s="9">
        <v>4582849</v>
      </c>
      <c r="F1058" s="9">
        <v>4638167</v>
      </c>
      <c r="G1058" s="9">
        <v>4686314</v>
      </c>
      <c r="H1058" s="9">
        <v>4718176</v>
      </c>
      <c r="I1058" s="6">
        <v>1.392356851</v>
      </c>
    </row>
    <row r="1059" spans="1:9" ht="60" x14ac:dyDescent="0.25">
      <c r="A1059" s="1" t="s">
        <v>149</v>
      </c>
      <c r="B1059" s="9">
        <v>636561</v>
      </c>
      <c r="C1059" s="9">
        <v>625103</v>
      </c>
      <c r="D1059" s="9">
        <v>615726</v>
      </c>
      <c r="E1059" s="9">
        <v>607722</v>
      </c>
      <c r="F1059" s="9">
        <v>597391</v>
      </c>
      <c r="G1059" s="9">
        <v>589027</v>
      </c>
      <c r="H1059" s="9">
        <v>582548</v>
      </c>
      <c r="I1059" s="6">
        <v>-1.4669450399999999</v>
      </c>
    </row>
    <row r="1060" spans="1:9" ht="60" x14ac:dyDescent="0.25">
      <c r="A1060" s="1" t="s">
        <v>148</v>
      </c>
      <c r="B1060" s="9">
        <v>48792</v>
      </c>
      <c r="C1060" s="9">
        <v>35618</v>
      </c>
      <c r="D1060" s="9">
        <v>25645</v>
      </c>
      <c r="E1060" s="9">
        <v>18208</v>
      </c>
      <c r="F1060" s="9">
        <v>12746</v>
      </c>
      <c r="G1060" s="9">
        <v>8922</v>
      </c>
      <c r="H1060" s="9">
        <v>6424</v>
      </c>
      <c r="I1060" s="6">
        <v>-28.674829473999999</v>
      </c>
    </row>
    <row r="1061" spans="1:9" ht="60" x14ac:dyDescent="0.25">
      <c r="A1061" s="1" t="s">
        <v>147</v>
      </c>
      <c r="B1061" s="9">
        <v>3650130</v>
      </c>
      <c r="C1061" s="9">
        <v>3766934</v>
      </c>
      <c r="D1061" s="9">
        <v>3868642</v>
      </c>
      <c r="E1061" s="9">
        <v>3949883</v>
      </c>
      <c r="F1061" s="9">
        <v>4020981</v>
      </c>
      <c r="G1061" s="9">
        <v>4081296</v>
      </c>
      <c r="H1061" s="9">
        <v>4122109</v>
      </c>
      <c r="I1061" s="6">
        <v>2.0473794340000002</v>
      </c>
    </row>
    <row r="1062" spans="1:9" ht="75" x14ac:dyDescent="0.25">
      <c r="A1062" s="1" t="s">
        <v>146</v>
      </c>
      <c r="B1062" s="9">
        <v>603</v>
      </c>
      <c r="C1062" s="9">
        <v>543</v>
      </c>
      <c r="D1062" s="9">
        <v>483</v>
      </c>
      <c r="E1062" s="9">
        <v>425</v>
      </c>
      <c r="F1062" s="9">
        <v>378</v>
      </c>
      <c r="G1062" s="9">
        <v>337</v>
      </c>
      <c r="H1062" s="9">
        <v>300</v>
      </c>
      <c r="I1062" s="6">
        <v>-10.984153986999999</v>
      </c>
    </row>
    <row r="1063" spans="1:9" ht="75" x14ac:dyDescent="0.25">
      <c r="A1063" s="1" t="s">
        <v>145</v>
      </c>
      <c r="B1063" s="9">
        <v>6364</v>
      </c>
      <c r="C1063" s="9">
        <v>6428</v>
      </c>
      <c r="D1063" s="9">
        <v>6492</v>
      </c>
      <c r="E1063" s="9">
        <v>6557</v>
      </c>
      <c r="F1063" s="9">
        <v>6623</v>
      </c>
      <c r="G1063" s="9">
        <v>6689</v>
      </c>
      <c r="H1063" s="9">
        <v>6756</v>
      </c>
      <c r="I1063" s="6">
        <v>1.0012103800000001</v>
      </c>
    </row>
    <row r="1064" spans="1:9" ht="75" x14ac:dyDescent="0.25">
      <c r="A1064" s="1" t="s">
        <v>144</v>
      </c>
      <c r="B1064" s="9">
        <v>80</v>
      </c>
      <c r="C1064" s="9">
        <v>72</v>
      </c>
      <c r="D1064" s="9">
        <v>64</v>
      </c>
      <c r="E1064" s="9">
        <v>54</v>
      </c>
      <c r="F1064" s="9">
        <v>48</v>
      </c>
      <c r="G1064" s="9">
        <v>43</v>
      </c>
      <c r="H1064" s="9">
        <v>39</v>
      </c>
      <c r="I1064" s="6">
        <v>-11.285262875000001</v>
      </c>
    </row>
    <row r="1065" spans="1:9" x14ac:dyDescent="0.25">
      <c r="A1065" s="1" t="s">
        <v>12</v>
      </c>
      <c r="B1065" s="2"/>
      <c r="C1065" s="2"/>
      <c r="D1065" s="2"/>
      <c r="E1065" s="2"/>
      <c r="F1065" s="2"/>
      <c r="G1065" s="2"/>
      <c r="H1065" s="2"/>
      <c r="I1065" s="2"/>
    </row>
    <row r="1066" spans="1:9" x14ac:dyDescent="0.25">
      <c r="A1066" s="8" t="s">
        <v>103</v>
      </c>
      <c r="B1066" s="2"/>
      <c r="C1066" s="2"/>
      <c r="D1066" s="2"/>
      <c r="E1066" s="2"/>
      <c r="F1066" s="2"/>
      <c r="G1066" s="2"/>
      <c r="H1066" s="2"/>
      <c r="I1066" s="2"/>
    </row>
    <row r="1067" spans="1:9" ht="30" x14ac:dyDescent="0.25">
      <c r="A1067" s="1" t="s">
        <v>153</v>
      </c>
      <c r="B1067" s="9">
        <v>8850000</v>
      </c>
      <c r="C1067" s="9">
        <v>8900000</v>
      </c>
      <c r="D1067" s="9">
        <v>8960000</v>
      </c>
      <c r="E1067" s="9">
        <v>9010000</v>
      </c>
      <c r="F1067" s="9">
        <v>9050000</v>
      </c>
      <c r="G1067" s="9">
        <v>9100000</v>
      </c>
      <c r="H1067" s="9">
        <v>9140000</v>
      </c>
      <c r="I1067" s="6">
        <v>0.53882859498000002</v>
      </c>
    </row>
    <row r="1068" spans="1:9" ht="45" x14ac:dyDescent="0.25">
      <c r="A1068" s="1" t="s">
        <v>152</v>
      </c>
      <c r="B1068" s="9">
        <v>4036080</v>
      </c>
      <c r="C1068" s="9">
        <v>4076440</v>
      </c>
      <c r="D1068" s="9">
        <v>4117205</v>
      </c>
      <c r="E1068" s="9">
        <v>4158377</v>
      </c>
      <c r="F1068" s="9">
        <v>4199961</v>
      </c>
      <c r="G1068" s="9">
        <v>4241960</v>
      </c>
      <c r="H1068" s="9">
        <v>4284380</v>
      </c>
      <c r="I1068" s="6">
        <v>0.99999901999999996</v>
      </c>
    </row>
    <row r="1069" spans="1:9" ht="30" x14ac:dyDescent="0.25">
      <c r="A1069" s="1" t="s">
        <v>151</v>
      </c>
      <c r="B1069" s="9">
        <v>3955358</v>
      </c>
      <c r="C1069" s="9">
        <v>3994911</v>
      </c>
      <c r="D1069" s="9">
        <v>4034861</v>
      </c>
      <c r="E1069" s="9">
        <v>4075209</v>
      </c>
      <c r="F1069" s="9">
        <v>4115961</v>
      </c>
      <c r="G1069" s="9">
        <v>4157121</v>
      </c>
      <c r="H1069" s="9">
        <v>4198692</v>
      </c>
      <c r="I1069" s="6">
        <v>0.99999911900000005</v>
      </c>
    </row>
    <row r="1070" spans="1:9" ht="60" x14ac:dyDescent="0.25">
      <c r="A1070" s="1" t="s">
        <v>150</v>
      </c>
      <c r="B1070" s="9">
        <v>4140555</v>
      </c>
      <c r="C1070" s="9">
        <v>4160669</v>
      </c>
      <c r="D1070" s="9">
        <v>4183899</v>
      </c>
      <c r="E1070" s="9">
        <v>4208396</v>
      </c>
      <c r="F1070" s="9">
        <v>4231891</v>
      </c>
      <c r="G1070" s="9">
        <v>4253490</v>
      </c>
      <c r="H1070" s="9">
        <v>4277533</v>
      </c>
      <c r="I1070" s="6">
        <v>0.54391730000000005</v>
      </c>
    </row>
    <row r="1071" spans="1:9" ht="60" x14ac:dyDescent="0.25">
      <c r="A1071" s="1" t="s">
        <v>149</v>
      </c>
      <c r="B1071" s="9">
        <v>993183</v>
      </c>
      <c r="C1071" s="9">
        <v>974556</v>
      </c>
      <c r="D1071" s="9">
        <v>958324</v>
      </c>
      <c r="E1071" s="9">
        <v>943504</v>
      </c>
      <c r="F1071" s="9">
        <v>930149</v>
      </c>
      <c r="G1071" s="9">
        <v>918955</v>
      </c>
      <c r="H1071" s="9">
        <v>910150</v>
      </c>
      <c r="I1071" s="6">
        <v>-1.4445566320000001</v>
      </c>
    </row>
    <row r="1072" spans="1:9" ht="60" x14ac:dyDescent="0.25">
      <c r="A1072" s="1" t="s">
        <v>148</v>
      </c>
      <c r="B1072" s="9">
        <v>1758023</v>
      </c>
      <c r="C1072" s="9">
        <v>1675990</v>
      </c>
      <c r="D1072" s="9">
        <v>1612555</v>
      </c>
      <c r="E1072" s="9">
        <v>1568914</v>
      </c>
      <c r="F1072" s="9">
        <v>1507488</v>
      </c>
      <c r="G1072" s="9">
        <v>1431750</v>
      </c>
      <c r="H1072" s="9">
        <v>1375837</v>
      </c>
      <c r="I1072" s="6">
        <v>-4.0031302200000001</v>
      </c>
    </row>
    <row r="1073" spans="1:9" ht="60" x14ac:dyDescent="0.25">
      <c r="A1073" s="1" t="s">
        <v>147</v>
      </c>
      <c r="B1073" s="9">
        <v>1385760</v>
      </c>
      <c r="C1073" s="9">
        <v>1506549</v>
      </c>
      <c r="D1073" s="9">
        <v>1609461</v>
      </c>
      <c r="E1073" s="9">
        <v>1692432</v>
      </c>
      <c r="F1073" s="9">
        <v>1790723</v>
      </c>
      <c r="G1073" s="9">
        <v>1899269</v>
      </c>
      <c r="H1073" s="9">
        <v>1988042</v>
      </c>
      <c r="I1073" s="6">
        <v>6.1996101100000001</v>
      </c>
    </row>
    <row r="1074" spans="1:9" ht="75" x14ac:dyDescent="0.25">
      <c r="A1074" s="1" t="s">
        <v>146</v>
      </c>
      <c r="B1074" s="7" t="s">
        <v>58</v>
      </c>
      <c r="C1074" s="7" t="s">
        <v>58</v>
      </c>
      <c r="D1074" s="7" t="s">
        <v>58</v>
      </c>
      <c r="E1074" s="7" t="s">
        <v>58</v>
      </c>
      <c r="F1074" s="7" t="s">
        <v>58</v>
      </c>
      <c r="G1074" s="7" t="s">
        <v>58</v>
      </c>
      <c r="H1074" s="7" t="s">
        <v>58</v>
      </c>
      <c r="I1074" s="7" t="s">
        <v>58</v>
      </c>
    </row>
    <row r="1075" spans="1:9" ht="75" x14ac:dyDescent="0.25">
      <c r="A1075" s="1" t="s">
        <v>145</v>
      </c>
      <c r="B1075" s="7" t="s">
        <v>58</v>
      </c>
      <c r="C1075" s="7" t="s">
        <v>58</v>
      </c>
      <c r="D1075" s="7" t="s">
        <v>58</v>
      </c>
      <c r="E1075" s="7" t="s">
        <v>58</v>
      </c>
      <c r="F1075" s="7" t="s">
        <v>58</v>
      </c>
      <c r="G1075" s="7" t="s">
        <v>58</v>
      </c>
      <c r="H1075" s="7" t="s">
        <v>58</v>
      </c>
      <c r="I1075" s="7" t="s">
        <v>58</v>
      </c>
    </row>
    <row r="1076" spans="1:9" ht="75" x14ac:dyDescent="0.25">
      <c r="A1076" s="1" t="s">
        <v>144</v>
      </c>
      <c r="B1076" s="9">
        <v>3588</v>
      </c>
      <c r="C1076" s="9">
        <v>3574</v>
      </c>
      <c r="D1076" s="9">
        <v>3560</v>
      </c>
      <c r="E1076" s="9">
        <v>3545</v>
      </c>
      <c r="F1076" s="9">
        <v>3531</v>
      </c>
      <c r="G1076" s="9">
        <v>3517</v>
      </c>
      <c r="H1076" s="9">
        <v>3503</v>
      </c>
      <c r="I1076" s="6">
        <v>-0.398789381</v>
      </c>
    </row>
    <row r="1077" spans="1:9" x14ac:dyDescent="0.25">
      <c r="A1077" s="1" t="s">
        <v>12</v>
      </c>
      <c r="B1077" s="2"/>
      <c r="C1077" s="2"/>
      <c r="D1077" s="2"/>
      <c r="E1077" s="2"/>
      <c r="F1077" s="2"/>
      <c r="G1077" s="2"/>
      <c r="H1077" s="2"/>
      <c r="I1077" s="2"/>
    </row>
    <row r="1078" spans="1:9" x14ac:dyDescent="0.25">
      <c r="A1078" s="8" t="s">
        <v>104</v>
      </c>
      <c r="B1078" s="2"/>
      <c r="C1078" s="2"/>
      <c r="D1078" s="2"/>
      <c r="E1078" s="2"/>
      <c r="F1078" s="2"/>
      <c r="G1078" s="2"/>
      <c r="H1078" s="2"/>
      <c r="I1078" s="2"/>
    </row>
    <row r="1079" spans="1:9" ht="30" x14ac:dyDescent="0.25">
      <c r="A1079" s="1" t="s">
        <v>153</v>
      </c>
      <c r="B1079" s="9">
        <v>18410000</v>
      </c>
      <c r="C1079" s="9">
        <v>18833430</v>
      </c>
      <c r="D1079" s="9">
        <v>19266599</v>
      </c>
      <c r="E1079" s="9">
        <v>19709731</v>
      </c>
      <c r="F1079" s="9">
        <v>20163054</v>
      </c>
      <c r="G1079" s="9">
        <v>20626805</v>
      </c>
      <c r="H1079" s="9">
        <v>21101221</v>
      </c>
      <c r="I1079" s="6">
        <v>2.2999998131999999</v>
      </c>
    </row>
    <row r="1080" spans="1:9" ht="45" x14ac:dyDescent="0.25">
      <c r="A1080" s="1" t="s">
        <v>152</v>
      </c>
      <c r="B1080" s="9">
        <v>4122265</v>
      </c>
      <c r="C1080" s="9">
        <v>4215938</v>
      </c>
      <c r="D1080" s="9">
        <v>4311739</v>
      </c>
      <c r="E1080" s="9">
        <v>4409717</v>
      </c>
      <c r="F1080" s="9">
        <v>4509922</v>
      </c>
      <c r="G1080" s="9">
        <v>4612403</v>
      </c>
      <c r="H1080" s="9">
        <v>4717214</v>
      </c>
      <c r="I1080" s="6">
        <v>2.2723602230000002</v>
      </c>
    </row>
    <row r="1081" spans="1:9" ht="30" x14ac:dyDescent="0.25">
      <c r="A1081" s="1" t="s">
        <v>151</v>
      </c>
      <c r="B1081" s="9">
        <v>3833119</v>
      </c>
      <c r="C1081" s="9">
        <v>3927278</v>
      </c>
      <c r="D1081" s="9">
        <v>4023749</v>
      </c>
      <c r="E1081" s="9">
        <v>4122590</v>
      </c>
      <c r="F1081" s="9">
        <v>4223860</v>
      </c>
      <c r="G1081" s="9">
        <v>4327617</v>
      </c>
      <c r="H1081" s="9">
        <v>4433922</v>
      </c>
      <c r="I1081" s="6">
        <v>2.4564469619999998</v>
      </c>
    </row>
    <row r="1082" spans="1:9" ht="60" x14ac:dyDescent="0.25">
      <c r="A1082" s="1" t="s">
        <v>150</v>
      </c>
      <c r="B1082" s="9">
        <v>208918</v>
      </c>
      <c r="C1082" s="9">
        <v>222120</v>
      </c>
      <c r="D1082" s="9">
        <v>236175</v>
      </c>
      <c r="E1082" s="9">
        <v>251179</v>
      </c>
      <c r="F1082" s="9">
        <v>269059</v>
      </c>
      <c r="G1082" s="9">
        <v>287487</v>
      </c>
      <c r="H1082" s="9">
        <v>307690</v>
      </c>
      <c r="I1082" s="6">
        <v>6.6652413480000003</v>
      </c>
    </row>
    <row r="1083" spans="1:9" ht="60" x14ac:dyDescent="0.25">
      <c r="A1083" s="1" t="s">
        <v>149</v>
      </c>
      <c r="B1083" s="9">
        <v>0</v>
      </c>
      <c r="C1083" s="9">
        <v>0</v>
      </c>
      <c r="D1083" s="9">
        <v>0</v>
      </c>
      <c r="E1083" s="9">
        <v>0</v>
      </c>
      <c r="F1083" s="9">
        <v>0</v>
      </c>
      <c r="G1083" s="9">
        <v>0</v>
      </c>
      <c r="H1083" s="9">
        <v>0</v>
      </c>
      <c r="I1083" s="7" t="s">
        <v>58</v>
      </c>
    </row>
    <row r="1084" spans="1:9" ht="60" x14ac:dyDescent="0.25">
      <c r="A1084" s="1" t="s">
        <v>148</v>
      </c>
      <c r="B1084" s="9">
        <v>187008</v>
      </c>
      <c r="C1084" s="9">
        <v>199350</v>
      </c>
      <c r="D1084" s="9">
        <v>212507</v>
      </c>
      <c r="E1084" s="9">
        <v>226533</v>
      </c>
      <c r="F1084" s="9">
        <v>241484</v>
      </c>
      <c r="G1084" s="9">
        <v>257422</v>
      </c>
      <c r="H1084" s="9">
        <v>274412</v>
      </c>
      <c r="I1084" s="6">
        <v>6.5999871280000004</v>
      </c>
    </row>
    <row r="1085" spans="1:9" ht="60" x14ac:dyDescent="0.25">
      <c r="A1085" s="1" t="s">
        <v>147</v>
      </c>
      <c r="B1085" s="9">
        <v>5428</v>
      </c>
      <c r="C1085" s="9">
        <v>6079</v>
      </c>
      <c r="D1085" s="9">
        <v>6809</v>
      </c>
      <c r="E1085" s="9">
        <v>7626</v>
      </c>
      <c r="F1085" s="9">
        <v>8541</v>
      </c>
      <c r="G1085" s="9">
        <v>9395</v>
      </c>
      <c r="H1085" s="9">
        <v>10335</v>
      </c>
      <c r="I1085" s="6">
        <v>11.329888385</v>
      </c>
    </row>
    <row r="1086" spans="1:9" ht="75" x14ac:dyDescent="0.25">
      <c r="A1086" s="1" t="s">
        <v>146</v>
      </c>
      <c r="B1086" s="9">
        <v>16482</v>
      </c>
      <c r="C1086" s="9">
        <v>16690</v>
      </c>
      <c r="D1086" s="9">
        <v>16859</v>
      </c>
      <c r="E1086" s="9">
        <v>17020</v>
      </c>
      <c r="F1086" s="9">
        <v>19034</v>
      </c>
      <c r="G1086" s="9">
        <v>20670</v>
      </c>
      <c r="H1086" s="9">
        <v>22944</v>
      </c>
      <c r="I1086" s="6">
        <v>5.6679310239999996</v>
      </c>
    </row>
    <row r="1087" spans="1:9" ht="75" x14ac:dyDescent="0.25">
      <c r="A1087" s="1" t="s">
        <v>145</v>
      </c>
      <c r="B1087" s="9">
        <v>0</v>
      </c>
      <c r="C1087" s="9">
        <v>0</v>
      </c>
      <c r="D1087" s="9">
        <v>0</v>
      </c>
      <c r="E1087" s="9">
        <v>0</v>
      </c>
      <c r="F1087" s="9">
        <v>0</v>
      </c>
      <c r="G1087" s="9">
        <v>0</v>
      </c>
      <c r="H1087" s="9">
        <v>0</v>
      </c>
      <c r="I1087" s="7" t="s">
        <v>58</v>
      </c>
    </row>
    <row r="1088" spans="1:9" ht="75" x14ac:dyDescent="0.25">
      <c r="A1088" s="1" t="s">
        <v>144</v>
      </c>
      <c r="B1088" s="9">
        <v>0</v>
      </c>
      <c r="C1088" s="9">
        <v>0</v>
      </c>
      <c r="D1088" s="9">
        <v>0</v>
      </c>
      <c r="E1088" s="9">
        <v>0</v>
      </c>
      <c r="F1088" s="9">
        <v>0</v>
      </c>
      <c r="G1088" s="9">
        <v>0</v>
      </c>
      <c r="H1088" s="9">
        <v>0</v>
      </c>
      <c r="I1088" s="7" t="s">
        <v>58</v>
      </c>
    </row>
    <row r="1089" spans="1:9" x14ac:dyDescent="0.25">
      <c r="A1089" s="1" t="s">
        <v>12</v>
      </c>
      <c r="B1089" s="2"/>
      <c r="C1089" s="2"/>
      <c r="D1089" s="2"/>
      <c r="E1089" s="2"/>
      <c r="F1089" s="2"/>
      <c r="G1089" s="2"/>
      <c r="H1089" s="2"/>
      <c r="I1089" s="2"/>
    </row>
    <row r="1090" spans="1:9" x14ac:dyDescent="0.25">
      <c r="A1090" s="8" t="s">
        <v>105</v>
      </c>
      <c r="B1090" s="2"/>
      <c r="C1090" s="2"/>
      <c r="D1090" s="2"/>
      <c r="E1090" s="2"/>
      <c r="F1090" s="2"/>
      <c r="G1090" s="2"/>
      <c r="H1090" s="2"/>
      <c r="I1090" s="2"/>
    </row>
    <row r="1091" spans="1:9" ht="30" x14ac:dyDescent="0.25">
      <c r="A1091" s="1" t="s">
        <v>153</v>
      </c>
      <c r="B1091" s="9">
        <v>23210000</v>
      </c>
      <c r="C1091" s="9">
        <v>23350000</v>
      </c>
      <c r="D1091" s="9">
        <v>23340000</v>
      </c>
      <c r="E1091" s="9">
        <v>23320000</v>
      </c>
      <c r="F1091" s="9">
        <v>23290000</v>
      </c>
      <c r="G1091" s="9">
        <v>23260000</v>
      </c>
      <c r="H1091" s="9">
        <v>23220000</v>
      </c>
      <c r="I1091" s="6">
        <v>7.1795241100000001E-3</v>
      </c>
    </row>
    <row r="1092" spans="1:9" ht="45" x14ac:dyDescent="0.25">
      <c r="A1092" s="1" t="s">
        <v>152</v>
      </c>
      <c r="B1092" s="9">
        <v>9487000</v>
      </c>
      <c r="C1092" s="9">
        <v>9534000</v>
      </c>
      <c r="D1092" s="9">
        <v>9590000</v>
      </c>
      <c r="E1092" s="9">
        <v>9633000</v>
      </c>
      <c r="F1092" s="9">
        <v>9696000</v>
      </c>
      <c r="G1092" s="9">
        <v>9753000</v>
      </c>
      <c r="H1092" s="9">
        <v>9800000</v>
      </c>
      <c r="I1092" s="6">
        <v>0.54246512999999996</v>
      </c>
    </row>
    <row r="1093" spans="1:9" ht="30" x14ac:dyDescent="0.25">
      <c r="A1093" s="1" t="s">
        <v>151</v>
      </c>
      <c r="B1093" s="9">
        <v>9343000</v>
      </c>
      <c r="C1093" s="9">
        <v>9394000</v>
      </c>
      <c r="D1093" s="9">
        <v>9453000</v>
      </c>
      <c r="E1093" s="9">
        <v>9500000</v>
      </c>
      <c r="F1093" s="9">
        <v>9568000</v>
      </c>
      <c r="G1093" s="9">
        <v>9628000</v>
      </c>
      <c r="H1093" s="9">
        <v>9679000</v>
      </c>
      <c r="I1093" s="6">
        <v>0.59059032099999997</v>
      </c>
    </row>
    <row r="1094" spans="1:9" ht="60" x14ac:dyDescent="0.25">
      <c r="A1094" s="1" t="s">
        <v>150</v>
      </c>
      <c r="B1094" s="9">
        <v>7065309</v>
      </c>
      <c r="C1094" s="9">
        <v>7232022</v>
      </c>
      <c r="D1094" s="9">
        <v>7347276</v>
      </c>
      <c r="E1094" s="9">
        <v>7482851</v>
      </c>
      <c r="F1094" s="9">
        <v>7547654</v>
      </c>
      <c r="G1094" s="9">
        <v>7648512</v>
      </c>
      <c r="H1094" s="9">
        <v>7793939</v>
      </c>
      <c r="I1094" s="6">
        <v>1.6492800480000001</v>
      </c>
    </row>
    <row r="1095" spans="1:9" ht="60" x14ac:dyDescent="0.25">
      <c r="A1095" s="1" t="s">
        <v>149</v>
      </c>
      <c r="B1095" s="9">
        <v>2367852</v>
      </c>
      <c r="C1095" s="9">
        <v>2469670</v>
      </c>
      <c r="D1095" s="9">
        <v>2543760</v>
      </c>
      <c r="E1095" s="9">
        <v>2632791</v>
      </c>
      <c r="F1095" s="9">
        <v>2709142</v>
      </c>
      <c r="G1095" s="9">
        <v>2768743</v>
      </c>
      <c r="H1095" s="9">
        <v>2851806</v>
      </c>
      <c r="I1095" s="6">
        <v>3.1480219730000001</v>
      </c>
    </row>
    <row r="1096" spans="1:9" ht="60" x14ac:dyDescent="0.25">
      <c r="A1096" s="1" t="s">
        <v>148</v>
      </c>
      <c r="B1096" s="9">
        <v>231967</v>
      </c>
      <c r="C1096" s="9">
        <v>208770</v>
      </c>
      <c r="D1096" s="9">
        <v>181630</v>
      </c>
      <c r="E1096" s="9">
        <v>163467</v>
      </c>
      <c r="F1096" s="9">
        <v>114427</v>
      </c>
      <c r="G1096" s="9">
        <v>80099</v>
      </c>
      <c r="H1096" s="9">
        <v>56069</v>
      </c>
      <c r="I1096" s="6">
        <v>-21.074725548</v>
      </c>
    </row>
    <row r="1097" spans="1:9" ht="60" x14ac:dyDescent="0.25">
      <c r="A1097" s="1" t="s">
        <v>147</v>
      </c>
      <c r="B1097" s="9">
        <v>4464296</v>
      </c>
      <c r="C1097" s="9">
        <v>4553582</v>
      </c>
      <c r="D1097" s="9">
        <v>4621886</v>
      </c>
      <c r="E1097" s="9">
        <v>4686592</v>
      </c>
      <c r="F1097" s="9">
        <v>4724085</v>
      </c>
      <c r="G1097" s="9">
        <v>4799670</v>
      </c>
      <c r="H1097" s="9">
        <v>4886064</v>
      </c>
      <c r="I1097" s="6">
        <v>1.515968311</v>
      </c>
    </row>
    <row r="1098" spans="1:9" ht="75" x14ac:dyDescent="0.25">
      <c r="A1098" s="1" t="s">
        <v>146</v>
      </c>
      <c r="B1098" s="9">
        <v>0</v>
      </c>
      <c r="C1098" s="9">
        <v>0</v>
      </c>
      <c r="D1098" s="9">
        <v>0</v>
      </c>
      <c r="E1098" s="9">
        <v>0</v>
      </c>
      <c r="F1098" s="9">
        <v>0</v>
      </c>
      <c r="G1098" s="9">
        <v>0</v>
      </c>
      <c r="H1098" s="9">
        <v>0</v>
      </c>
      <c r="I1098" s="7" t="s">
        <v>58</v>
      </c>
    </row>
    <row r="1099" spans="1:9" ht="75" x14ac:dyDescent="0.25">
      <c r="A1099" s="1" t="s">
        <v>145</v>
      </c>
      <c r="B1099" s="9">
        <v>0</v>
      </c>
      <c r="C1099" s="9">
        <v>0</v>
      </c>
      <c r="D1099" s="9">
        <v>0</v>
      </c>
      <c r="E1099" s="9">
        <v>0</v>
      </c>
      <c r="F1099" s="9">
        <v>0</v>
      </c>
      <c r="G1099" s="9">
        <v>0</v>
      </c>
      <c r="H1099" s="9">
        <v>0</v>
      </c>
      <c r="I1099" s="7" t="s">
        <v>58</v>
      </c>
    </row>
    <row r="1100" spans="1:9" ht="75" x14ac:dyDescent="0.25">
      <c r="A1100" s="1" t="s">
        <v>144</v>
      </c>
      <c r="B1100" s="9">
        <v>1194</v>
      </c>
      <c r="C1100" s="9">
        <v>0</v>
      </c>
      <c r="D1100" s="9">
        <v>0</v>
      </c>
      <c r="E1100" s="9">
        <v>0</v>
      </c>
      <c r="F1100" s="9">
        <v>0</v>
      </c>
      <c r="G1100" s="9">
        <v>0</v>
      </c>
      <c r="H1100" s="9">
        <v>0</v>
      </c>
      <c r="I1100" s="6">
        <v>-100</v>
      </c>
    </row>
    <row r="1101" spans="1:9" x14ac:dyDescent="0.25">
      <c r="A1101" s="1" t="s">
        <v>12</v>
      </c>
      <c r="B1101" s="2"/>
      <c r="C1101" s="2"/>
      <c r="D1101" s="2"/>
      <c r="E1101" s="2"/>
      <c r="F1101" s="2"/>
      <c r="G1101" s="2"/>
      <c r="H1101" s="2"/>
      <c r="I1101" s="2"/>
    </row>
    <row r="1102" spans="1:9" x14ac:dyDescent="0.25">
      <c r="A1102" s="8" t="s">
        <v>106</v>
      </c>
      <c r="B1102" s="2"/>
      <c r="C1102" s="2"/>
      <c r="D1102" s="2"/>
      <c r="E1102" s="2"/>
      <c r="F1102" s="2"/>
      <c r="G1102" s="2"/>
      <c r="H1102" s="2"/>
      <c r="I1102" s="2"/>
    </row>
    <row r="1103" spans="1:9" ht="30" x14ac:dyDescent="0.25">
      <c r="A1103" s="1" t="s">
        <v>153</v>
      </c>
      <c r="B1103" s="9">
        <v>70270000</v>
      </c>
      <c r="C1103" s="9">
        <v>70330000</v>
      </c>
      <c r="D1103" s="9">
        <v>70370000</v>
      </c>
      <c r="E1103" s="9">
        <v>70390000</v>
      </c>
      <c r="F1103" s="9">
        <v>70400000</v>
      </c>
      <c r="G1103" s="9">
        <v>70380000</v>
      </c>
      <c r="H1103" s="9">
        <v>70350000</v>
      </c>
      <c r="I1103" s="6">
        <v>1.896543748E-2</v>
      </c>
    </row>
    <row r="1104" spans="1:9" ht="45" x14ac:dyDescent="0.25">
      <c r="A1104" s="1" t="s">
        <v>152</v>
      </c>
      <c r="B1104" s="9">
        <v>25118116</v>
      </c>
      <c r="C1104" s="9">
        <v>25745992</v>
      </c>
      <c r="D1104" s="9">
        <v>26334215</v>
      </c>
      <c r="E1104" s="9">
        <v>26892618</v>
      </c>
      <c r="F1104" s="9">
        <v>27449746</v>
      </c>
      <c r="G1104" s="9">
        <v>28017279</v>
      </c>
      <c r="H1104" s="9">
        <v>28594228</v>
      </c>
      <c r="I1104" s="6">
        <v>2.183761536</v>
      </c>
    </row>
    <row r="1105" spans="1:9" ht="30" x14ac:dyDescent="0.25">
      <c r="A1105" s="1" t="s">
        <v>151</v>
      </c>
      <c r="B1105" s="9">
        <v>24846492</v>
      </c>
      <c r="C1105" s="9">
        <v>25472671</v>
      </c>
      <c r="D1105" s="9">
        <v>26059861</v>
      </c>
      <c r="E1105" s="9">
        <v>26617769</v>
      </c>
      <c r="F1105" s="9">
        <v>27173278</v>
      </c>
      <c r="G1105" s="9">
        <v>27738700</v>
      </c>
      <c r="H1105" s="9">
        <v>28313310</v>
      </c>
      <c r="I1105" s="6">
        <v>2.2007918119999998</v>
      </c>
    </row>
    <row r="1106" spans="1:9" ht="60" x14ac:dyDescent="0.25">
      <c r="A1106" s="1" t="s">
        <v>150</v>
      </c>
      <c r="B1106" s="9">
        <v>11806342</v>
      </c>
      <c r="C1106" s="9">
        <v>12118105</v>
      </c>
      <c r="D1106" s="9">
        <v>12423437</v>
      </c>
      <c r="E1106" s="9">
        <v>12735082</v>
      </c>
      <c r="F1106" s="9">
        <v>13048431</v>
      </c>
      <c r="G1106" s="9">
        <v>13349519</v>
      </c>
      <c r="H1106" s="9">
        <v>13712290</v>
      </c>
      <c r="I1106" s="6">
        <v>2.5256280449999999</v>
      </c>
    </row>
    <row r="1107" spans="1:9" ht="60" x14ac:dyDescent="0.25">
      <c r="A1107" s="1" t="s">
        <v>149</v>
      </c>
      <c r="B1107" s="9">
        <v>10010</v>
      </c>
      <c r="C1107" s="9">
        <v>9019</v>
      </c>
      <c r="D1107" s="9">
        <v>8306</v>
      </c>
      <c r="E1107" s="9">
        <v>7783</v>
      </c>
      <c r="F1107" s="9">
        <v>7386</v>
      </c>
      <c r="G1107" s="9">
        <v>7098</v>
      </c>
      <c r="H1107" s="9">
        <v>6871</v>
      </c>
      <c r="I1107" s="6">
        <v>-6.0786531439999996</v>
      </c>
    </row>
    <row r="1108" spans="1:9" ht="60" x14ac:dyDescent="0.25">
      <c r="A1108" s="1" t="s">
        <v>148</v>
      </c>
      <c r="B1108" s="9">
        <v>191207</v>
      </c>
      <c r="C1108" s="9">
        <v>183014</v>
      </c>
      <c r="D1108" s="9">
        <v>172297</v>
      </c>
      <c r="E1108" s="9">
        <v>160479</v>
      </c>
      <c r="F1108" s="9">
        <v>147910</v>
      </c>
      <c r="G1108" s="9">
        <v>105453</v>
      </c>
      <c r="H1108" s="9">
        <v>85000</v>
      </c>
      <c r="I1108" s="6">
        <v>-12.638679549000001</v>
      </c>
    </row>
    <row r="1109" spans="1:9" ht="60" x14ac:dyDescent="0.25">
      <c r="A1109" s="1" t="s">
        <v>147</v>
      </c>
      <c r="B1109" s="9">
        <v>11595604</v>
      </c>
      <c r="C1109" s="9">
        <v>11916803</v>
      </c>
      <c r="D1109" s="9">
        <v>12233790</v>
      </c>
      <c r="E1109" s="9">
        <v>12557985</v>
      </c>
      <c r="F1109" s="9">
        <v>12884493</v>
      </c>
      <c r="G1109" s="9">
        <v>13228509</v>
      </c>
      <c r="H1109" s="9">
        <v>13612135</v>
      </c>
      <c r="I1109" s="6">
        <v>2.708285278</v>
      </c>
    </row>
    <row r="1110" spans="1:9" ht="75" x14ac:dyDescent="0.25">
      <c r="A1110" s="1" t="s">
        <v>146</v>
      </c>
      <c r="B1110" s="9">
        <v>4109</v>
      </c>
      <c r="C1110" s="9">
        <v>4060</v>
      </c>
      <c r="D1110" s="9">
        <v>4003</v>
      </c>
      <c r="E1110" s="9">
        <v>3935</v>
      </c>
      <c r="F1110" s="9">
        <v>3860</v>
      </c>
      <c r="G1110" s="9">
        <v>3779</v>
      </c>
      <c r="H1110" s="9">
        <v>3696</v>
      </c>
      <c r="I1110" s="6">
        <v>-1.7499823919999999</v>
      </c>
    </row>
    <row r="1111" spans="1:9" ht="75" x14ac:dyDescent="0.25">
      <c r="A1111" s="1" t="s">
        <v>145</v>
      </c>
      <c r="B1111" s="9">
        <v>4936</v>
      </c>
      <c r="C1111" s="9">
        <v>4742</v>
      </c>
      <c r="D1111" s="9">
        <v>4583</v>
      </c>
      <c r="E1111" s="9">
        <v>4452</v>
      </c>
      <c r="F1111" s="9">
        <v>4345</v>
      </c>
      <c r="G1111" s="9">
        <v>4255</v>
      </c>
      <c r="H1111" s="9">
        <v>4174</v>
      </c>
      <c r="I1111" s="6">
        <v>-2.7559848570000001</v>
      </c>
    </row>
    <row r="1112" spans="1:9" ht="75" x14ac:dyDescent="0.25">
      <c r="A1112" s="1" t="s">
        <v>144</v>
      </c>
      <c r="B1112" s="9">
        <v>475</v>
      </c>
      <c r="C1112" s="9">
        <v>467</v>
      </c>
      <c r="D1112" s="9">
        <v>458</v>
      </c>
      <c r="E1112" s="9">
        <v>448</v>
      </c>
      <c r="F1112" s="9">
        <v>437</v>
      </c>
      <c r="G1112" s="9">
        <v>426</v>
      </c>
      <c r="H1112" s="9">
        <v>414</v>
      </c>
      <c r="I1112" s="6">
        <v>-2.2647739179999999</v>
      </c>
    </row>
    <row r="1113" spans="1:9" x14ac:dyDescent="0.25">
      <c r="A1113" s="1" t="s">
        <v>12</v>
      </c>
      <c r="B1113" s="2"/>
      <c r="C1113" s="2"/>
      <c r="D1113" s="2"/>
      <c r="E1113" s="2"/>
      <c r="F1113" s="2"/>
      <c r="G1113" s="2"/>
      <c r="H1113" s="2"/>
      <c r="I1113" s="2"/>
    </row>
    <row r="1114" spans="1:9" ht="30" x14ac:dyDescent="0.25">
      <c r="A1114" s="8" t="s">
        <v>107</v>
      </c>
      <c r="B1114" s="2"/>
      <c r="C1114" s="2"/>
      <c r="D1114" s="2"/>
      <c r="E1114" s="2"/>
      <c r="F1114" s="2"/>
      <c r="G1114" s="2"/>
      <c r="H1114" s="2"/>
      <c r="I1114" s="2"/>
    </row>
    <row r="1115" spans="1:9" ht="30" x14ac:dyDescent="0.25">
      <c r="A1115" s="1" t="s">
        <v>153</v>
      </c>
      <c r="B1115" s="9">
        <v>1410000</v>
      </c>
      <c r="C1115" s="9">
        <v>1412820</v>
      </c>
      <c r="D1115" s="9">
        <v>1415646</v>
      </c>
      <c r="E1115" s="9">
        <v>1418477</v>
      </c>
      <c r="F1115" s="9">
        <v>1421314</v>
      </c>
      <c r="G1115" s="9">
        <v>1424157</v>
      </c>
      <c r="H1115" s="9">
        <v>1427005</v>
      </c>
      <c r="I1115" s="6">
        <v>0.20000203700999999</v>
      </c>
    </row>
    <row r="1116" spans="1:9" ht="45" x14ac:dyDescent="0.25">
      <c r="A1116" s="1" t="s">
        <v>152</v>
      </c>
      <c r="B1116" s="9">
        <v>433844</v>
      </c>
      <c r="C1116" s="9">
        <v>436447</v>
      </c>
      <c r="D1116" s="9">
        <v>439066</v>
      </c>
      <c r="E1116" s="9">
        <v>441700</v>
      </c>
      <c r="F1116" s="9">
        <v>444350</v>
      </c>
      <c r="G1116" s="9">
        <v>447016</v>
      </c>
      <c r="H1116" s="9">
        <v>449698</v>
      </c>
      <c r="I1116" s="6">
        <v>0.59997977599999996</v>
      </c>
    </row>
    <row r="1117" spans="1:9" ht="30" x14ac:dyDescent="0.25">
      <c r="A1117" s="1" t="s">
        <v>151</v>
      </c>
      <c r="B1117" s="9">
        <v>393741</v>
      </c>
      <c r="C1117" s="9">
        <v>396497</v>
      </c>
      <c r="D1117" s="9">
        <v>399272</v>
      </c>
      <c r="E1117" s="9">
        <v>402067</v>
      </c>
      <c r="F1117" s="9">
        <v>404881</v>
      </c>
      <c r="G1117" s="9">
        <v>407715</v>
      </c>
      <c r="H1117" s="9">
        <v>410569</v>
      </c>
      <c r="I1117" s="6">
        <v>0.69994943700000001</v>
      </c>
    </row>
    <row r="1118" spans="1:9" ht="60" x14ac:dyDescent="0.25">
      <c r="A1118" s="1" t="s">
        <v>150</v>
      </c>
      <c r="B1118" s="9">
        <v>342965</v>
      </c>
      <c r="C1118" s="9">
        <v>348138</v>
      </c>
      <c r="D1118" s="9">
        <v>352991</v>
      </c>
      <c r="E1118" s="9">
        <v>357541</v>
      </c>
      <c r="F1118" s="9">
        <v>361805</v>
      </c>
      <c r="G1118" s="9">
        <v>365799</v>
      </c>
      <c r="H1118" s="9">
        <v>369539</v>
      </c>
      <c r="I1118" s="6">
        <v>1.2515653659999999</v>
      </c>
    </row>
    <row r="1119" spans="1:9" ht="60" x14ac:dyDescent="0.25">
      <c r="A1119" s="1" t="s">
        <v>149</v>
      </c>
      <c r="B1119" s="9">
        <v>155464</v>
      </c>
      <c r="C1119" s="9">
        <v>158218</v>
      </c>
      <c r="D1119" s="9">
        <v>160741</v>
      </c>
      <c r="E1119" s="9">
        <v>163047</v>
      </c>
      <c r="F1119" s="9">
        <v>165153</v>
      </c>
      <c r="G1119" s="9">
        <v>167073</v>
      </c>
      <c r="H1119" s="9">
        <v>168821</v>
      </c>
      <c r="I1119" s="6">
        <v>1.383225728</v>
      </c>
    </row>
    <row r="1120" spans="1:9" ht="60" x14ac:dyDescent="0.25">
      <c r="A1120" s="1" t="s">
        <v>148</v>
      </c>
      <c r="B1120" s="9">
        <v>0</v>
      </c>
      <c r="C1120" s="9">
        <v>0</v>
      </c>
      <c r="D1120" s="9">
        <v>0</v>
      </c>
      <c r="E1120" s="9">
        <v>0</v>
      </c>
      <c r="F1120" s="9">
        <v>0</v>
      </c>
      <c r="G1120" s="9">
        <v>0</v>
      </c>
      <c r="H1120" s="9">
        <v>0</v>
      </c>
      <c r="I1120" s="7" t="s">
        <v>58</v>
      </c>
    </row>
    <row r="1121" spans="1:9" ht="60" x14ac:dyDescent="0.25">
      <c r="A1121" s="1" t="s">
        <v>147</v>
      </c>
      <c r="B1121" s="9">
        <v>168839</v>
      </c>
      <c r="C1121" s="9">
        <v>171437</v>
      </c>
      <c r="D1121" s="9">
        <v>173943</v>
      </c>
      <c r="E1121" s="9">
        <v>176359</v>
      </c>
      <c r="F1121" s="9">
        <v>178686</v>
      </c>
      <c r="G1121" s="9">
        <v>180926</v>
      </c>
      <c r="H1121" s="9">
        <v>183081</v>
      </c>
      <c r="I1121" s="6">
        <v>1.3588678080000001</v>
      </c>
    </row>
    <row r="1122" spans="1:9" ht="75" x14ac:dyDescent="0.25">
      <c r="A1122" s="1" t="s">
        <v>146</v>
      </c>
      <c r="B1122" s="9">
        <v>0</v>
      </c>
      <c r="C1122" s="9">
        <v>0</v>
      </c>
      <c r="D1122" s="9">
        <v>0</v>
      </c>
      <c r="E1122" s="9">
        <v>0</v>
      </c>
      <c r="F1122" s="9">
        <v>0</v>
      </c>
      <c r="G1122" s="9">
        <v>0</v>
      </c>
      <c r="H1122" s="9">
        <v>0</v>
      </c>
      <c r="I1122" s="7" t="s">
        <v>58</v>
      </c>
    </row>
    <row r="1123" spans="1:9" ht="75" x14ac:dyDescent="0.25">
      <c r="A1123" s="1" t="s">
        <v>145</v>
      </c>
      <c r="B1123" s="9">
        <v>18662</v>
      </c>
      <c r="C1123" s="9">
        <v>18483</v>
      </c>
      <c r="D1123" s="9">
        <v>18307</v>
      </c>
      <c r="E1123" s="9">
        <v>18135</v>
      </c>
      <c r="F1123" s="9">
        <v>17966</v>
      </c>
      <c r="G1123" s="9">
        <v>17800</v>
      </c>
      <c r="H1123" s="9">
        <v>17637</v>
      </c>
      <c r="I1123" s="6">
        <v>-0.93708841499999995</v>
      </c>
    </row>
    <row r="1124" spans="1:9" ht="75" x14ac:dyDescent="0.25">
      <c r="A1124" s="1" t="s">
        <v>144</v>
      </c>
      <c r="B1124" s="9">
        <v>0</v>
      </c>
      <c r="C1124" s="9">
        <v>0</v>
      </c>
      <c r="D1124" s="9">
        <v>0</v>
      </c>
      <c r="E1124" s="9">
        <v>0</v>
      </c>
      <c r="F1124" s="9">
        <v>0</v>
      </c>
      <c r="G1124" s="9">
        <v>0</v>
      </c>
      <c r="H1124" s="9">
        <v>0</v>
      </c>
      <c r="I1124" s="7" t="s">
        <v>58</v>
      </c>
    </row>
    <row r="1125" spans="1:9" x14ac:dyDescent="0.25">
      <c r="A1125" s="1" t="s">
        <v>12</v>
      </c>
      <c r="B1125" s="2"/>
      <c r="C1125" s="2"/>
      <c r="D1125" s="2"/>
      <c r="E1125" s="2"/>
      <c r="F1125" s="2"/>
      <c r="G1125" s="2"/>
      <c r="H1125" s="2"/>
      <c r="I1125" s="2"/>
    </row>
    <row r="1126" spans="1:9" x14ac:dyDescent="0.25">
      <c r="A1126" s="8" t="s">
        <v>108</v>
      </c>
      <c r="B1126" s="2"/>
      <c r="C1126" s="2"/>
      <c r="D1126" s="2"/>
      <c r="E1126" s="2"/>
      <c r="F1126" s="2"/>
      <c r="G1126" s="2"/>
      <c r="H1126" s="2"/>
      <c r="I1126" s="2"/>
    </row>
    <row r="1127" spans="1:9" ht="30" x14ac:dyDescent="0.25">
      <c r="A1127" s="1" t="s">
        <v>153</v>
      </c>
      <c r="B1127" s="9">
        <v>87470000</v>
      </c>
      <c r="C1127" s="9">
        <v>87690000</v>
      </c>
      <c r="D1127" s="9">
        <v>87930000</v>
      </c>
      <c r="E1127" s="9">
        <v>88200000</v>
      </c>
      <c r="F1127" s="9">
        <v>88480000</v>
      </c>
      <c r="G1127" s="9">
        <v>88760000</v>
      </c>
      <c r="H1127" s="9">
        <v>89030000</v>
      </c>
      <c r="I1127" s="6">
        <v>0.29505968259999998</v>
      </c>
    </row>
    <row r="1128" spans="1:9" ht="45" x14ac:dyDescent="0.25">
      <c r="A1128" s="1" t="s">
        <v>152</v>
      </c>
      <c r="B1128" s="9">
        <v>28359149</v>
      </c>
      <c r="C1128" s="9">
        <v>29068650</v>
      </c>
      <c r="D1128" s="9">
        <v>29808983</v>
      </c>
      <c r="E1128" s="9">
        <v>30581389</v>
      </c>
      <c r="F1128" s="9">
        <v>31383592</v>
      </c>
      <c r="G1128" s="9">
        <v>32213071</v>
      </c>
      <c r="H1128" s="9">
        <v>33067043</v>
      </c>
      <c r="I1128" s="6">
        <v>2.5928341869999998</v>
      </c>
    </row>
    <row r="1129" spans="1:9" ht="30" x14ac:dyDescent="0.25">
      <c r="A1129" s="1" t="s">
        <v>151</v>
      </c>
      <c r="B1129" s="9">
        <v>27561743</v>
      </c>
      <c r="C1129" s="9">
        <v>28278348</v>
      </c>
      <c r="D1129" s="9">
        <v>29013585</v>
      </c>
      <c r="E1129" s="9">
        <v>29767938</v>
      </c>
      <c r="F1129" s="9">
        <v>30541905</v>
      </c>
      <c r="G1129" s="9">
        <v>31335994</v>
      </c>
      <c r="H1129" s="9">
        <v>32182066</v>
      </c>
      <c r="I1129" s="6">
        <v>2.6166597</v>
      </c>
    </row>
    <row r="1130" spans="1:9" ht="60" x14ac:dyDescent="0.25">
      <c r="A1130" s="1" t="s">
        <v>150</v>
      </c>
      <c r="B1130" s="9">
        <v>21988232</v>
      </c>
      <c r="C1130" s="9">
        <v>23285503</v>
      </c>
      <c r="D1130" s="9">
        <v>24574121</v>
      </c>
      <c r="E1130" s="9">
        <v>25818364</v>
      </c>
      <c r="F1130" s="9">
        <v>26980894</v>
      </c>
      <c r="G1130" s="9">
        <v>28024722</v>
      </c>
      <c r="H1130" s="9">
        <v>28955817</v>
      </c>
      <c r="I1130" s="6">
        <v>4.6945928029999999</v>
      </c>
    </row>
    <row r="1131" spans="1:9" ht="60" x14ac:dyDescent="0.25">
      <c r="A1131" s="1" t="s">
        <v>149</v>
      </c>
      <c r="B1131" s="9">
        <v>3006859</v>
      </c>
      <c r="C1131" s="9">
        <v>3586873</v>
      </c>
      <c r="D1131" s="9">
        <v>4209580</v>
      </c>
      <c r="E1131" s="9">
        <v>4867312</v>
      </c>
      <c r="F1131" s="9">
        <v>5551762</v>
      </c>
      <c r="G1131" s="9">
        <v>6254391</v>
      </c>
      <c r="H1131" s="9">
        <v>7006367</v>
      </c>
      <c r="I1131" s="6">
        <v>15.140992803</v>
      </c>
    </row>
    <row r="1132" spans="1:9" ht="60" x14ac:dyDescent="0.25">
      <c r="A1132" s="1" t="s">
        <v>148</v>
      </c>
      <c r="B1132" s="9">
        <v>11643787</v>
      </c>
      <c r="C1132" s="9">
        <v>11379497</v>
      </c>
      <c r="D1132" s="9">
        <v>11043672</v>
      </c>
      <c r="E1132" s="9">
        <v>10619925</v>
      </c>
      <c r="F1132" s="9">
        <v>10090117</v>
      </c>
      <c r="G1132" s="9">
        <v>9435635</v>
      </c>
      <c r="H1132" s="9">
        <v>8639887</v>
      </c>
      <c r="I1132" s="6">
        <v>-4.8514220940000001</v>
      </c>
    </row>
    <row r="1133" spans="1:9" ht="60" x14ac:dyDescent="0.25">
      <c r="A1133" s="1" t="s">
        <v>147</v>
      </c>
      <c r="B1133" s="9">
        <v>7328877</v>
      </c>
      <c r="C1133" s="9">
        <v>8310514</v>
      </c>
      <c r="D1133" s="9">
        <v>9312321</v>
      </c>
      <c r="E1133" s="9">
        <v>10322636</v>
      </c>
      <c r="F1133" s="9">
        <v>11330570</v>
      </c>
      <c r="G1133" s="9">
        <v>12326286</v>
      </c>
      <c r="H1133" s="9">
        <v>13301183</v>
      </c>
      <c r="I1133" s="6">
        <v>10.444003045000001</v>
      </c>
    </row>
    <row r="1134" spans="1:9" ht="75" x14ac:dyDescent="0.25">
      <c r="A1134" s="1" t="s">
        <v>146</v>
      </c>
      <c r="B1134" s="9">
        <v>0</v>
      </c>
      <c r="C1134" s="9">
        <v>0</v>
      </c>
      <c r="D1134" s="9">
        <v>0</v>
      </c>
      <c r="E1134" s="9">
        <v>0</v>
      </c>
      <c r="F1134" s="9">
        <v>0</v>
      </c>
      <c r="G1134" s="9">
        <v>0</v>
      </c>
      <c r="H1134" s="9">
        <v>0</v>
      </c>
      <c r="I1134" s="7" t="s">
        <v>58</v>
      </c>
    </row>
    <row r="1135" spans="1:9" ht="75" x14ac:dyDescent="0.25">
      <c r="A1135" s="1" t="s">
        <v>145</v>
      </c>
      <c r="B1135" s="9">
        <v>8709</v>
      </c>
      <c r="C1135" s="9">
        <v>8619</v>
      </c>
      <c r="D1135" s="9">
        <v>8548</v>
      </c>
      <c r="E1135" s="9">
        <v>8491</v>
      </c>
      <c r="F1135" s="9">
        <v>8446</v>
      </c>
      <c r="G1135" s="9">
        <v>8410</v>
      </c>
      <c r="H1135" s="9">
        <v>8381</v>
      </c>
      <c r="I1135" s="6">
        <v>-0.63778636300000002</v>
      </c>
    </row>
    <row r="1136" spans="1:9" ht="75" x14ac:dyDescent="0.25">
      <c r="A1136" s="1" t="s">
        <v>144</v>
      </c>
      <c r="B1136" s="9">
        <v>0</v>
      </c>
      <c r="C1136" s="9">
        <v>0</v>
      </c>
      <c r="D1136" s="9">
        <v>0</v>
      </c>
      <c r="E1136" s="9">
        <v>0</v>
      </c>
      <c r="F1136" s="9">
        <v>0</v>
      </c>
      <c r="G1136" s="9">
        <v>0</v>
      </c>
      <c r="H1136" s="9">
        <v>0</v>
      </c>
      <c r="I1136" s="7" t="s">
        <v>58</v>
      </c>
    </row>
    <row r="1137" spans="1:9" x14ac:dyDescent="0.25">
      <c r="A1137" s="1" t="s">
        <v>12</v>
      </c>
      <c r="B1137" s="2"/>
      <c r="C1137" s="2"/>
      <c r="D1137" s="2"/>
      <c r="E1137" s="2"/>
      <c r="F1137" s="2"/>
      <c r="G1137" s="2"/>
      <c r="H1137" s="2"/>
      <c r="I1137" s="2"/>
    </row>
    <row r="1138" spans="1:9" ht="30" x14ac:dyDescent="0.25">
      <c r="A1138" s="8" t="s">
        <v>109</v>
      </c>
      <c r="B1138" s="2"/>
      <c r="C1138" s="2"/>
      <c r="D1138" s="2"/>
      <c r="E1138" s="2"/>
      <c r="F1138" s="2"/>
      <c r="G1138" s="2"/>
      <c r="H1138" s="2"/>
      <c r="I1138" s="2"/>
    </row>
    <row r="1139" spans="1:9" ht="30" x14ac:dyDescent="0.25">
      <c r="A1139" s="1" t="s">
        <v>153</v>
      </c>
      <c r="B1139" s="9">
        <v>9590000</v>
      </c>
      <c r="C1139" s="9">
        <v>9670000</v>
      </c>
      <c r="D1139" s="9">
        <v>9740000</v>
      </c>
      <c r="E1139" s="9">
        <v>9810000</v>
      </c>
      <c r="F1139" s="9">
        <v>9870000</v>
      </c>
      <c r="G1139" s="9">
        <v>9940000</v>
      </c>
      <c r="H1139" s="9">
        <v>10000000</v>
      </c>
      <c r="I1139" s="6">
        <v>0.70017658902000002</v>
      </c>
    </row>
    <row r="1140" spans="1:9" ht="45" x14ac:dyDescent="0.25">
      <c r="A1140" s="1" t="s">
        <v>152</v>
      </c>
      <c r="B1140" s="9">
        <v>2045434</v>
      </c>
      <c r="C1140" s="9">
        <v>2098615</v>
      </c>
      <c r="D1140" s="9">
        <v>2151080</v>
      </c>
      <c r="E1140" s="9">
        <v>2202706</v>
      </c>
      <c r="F1140" s="9">
        <v>2253368</v>
      </c>
      <c r="G1140" s="9">
        <v>2305196</v>
      </c>
      <c r="H1140" s="9">
        <v>2358215</v>
      </c>
      <c r="I1140" s="6">
        <v>2.3999287520000001</v>
      </c>
    </row>
    <row r="1141" spans="1:9" ht="30" x14ac:dyDescent="0.25">
      <c r="A1141" s="1" t="s">
        <v>151</v>
      </c>
      <c r="B1141" s="9">
        <v>2004791</v>
      </c>
      <c r="C1141" s="9">
        <v>2058972</v>
      </c>
      <c r="D1141" s="9">
        <v>2112557</v>
      </c>
      <c r="E1141" s="9">
        <v>2165422</v>
      </c>
      <c r="F1141" s="9">
        <v>2217442</v>
      </c>
      <c r="G1141" s="9">
        <v>2270711</v>
      </c>
      <c r="H1141" s="9">
        <v>2325260</v>
      </c>
      <c r="I1141" s="6">
        <v>2.5023296679999998</v>
      </c>
    </row>
    <row r="1142" spans="1:9" ht="60" x14ac:dyDescent="0.25">
      <c r="A1142" s="1" t="s">
        <v>150</v>
      </c>
      <c r="B1142" s="9">
        <v>1942636</v>
      </c>
      <c r="C1142" s="9">
        <v>2003749</v>
      </c>
      <c r="D1142" s="9">
        <v>2061157</v>
      </c>
      <c r="E1142" s="9">
        <v>2120981</v>
      </c>
      <c r="F1142" s="9">
        <v>2176408</v>
      </c>
      <c r="G1142" s="9">
        <v>2233424</v>
      </c>
      <c r="H1142" s="9">
        <v>2284988</v>
      </c>
      <c r="I1142" s="6">
        <v>2.7421733970000002</v>
      </c>
    </row>
    <row r="1143" spans="1:9" ht="60" x14ac:dyDescent="0.25">
      <c r="A1143" s="1" t="s">
        <v>149</v>
      </c>
      <c r="B1143" s="9">
        <v>0</v>
      </c>
      <c r="C1143" s="9">
        <v>0</v>
      </c>
      <c r="D1143" s="9">
        <v>0</v>
      </c>
      <c r="E1143" s="9">
        <v>0</v>
      </c>
      <c r="F1143" s="9">
        <v>0</v>
      </c>
      <c r="G1143" s="9">
        <v>0</v>
      </c>
      <c r="H1143" s="9">
        <v>0</v>
      </c>
      <c r="I1143" s="7" t="s">
        <v>58</v>
      </c>
    </row>
    <row r="1144" spans="1:9" ht="60" x14ac:dyDescent="0.25">
      <c r="A1144" s="1" t="s">
        <v>148</v>
      </c>
      <c r="B1144" s="9">
        <v>29070</v>
      </c>
      <c r="C1144" s="9">
        <v>27036</v>
      </c>
      <c r="D1144" s="9">
        <v>25143</v>
      </c>
      <c r="E1144" s="9">
        <v>23886</v>
      </c>
      <c r="F1144" s="9">
        <v>22692</v>
      </c>
      <c r="G1144" s="9">
        <v>21557</v>
      </c>
      <c r="H1144" s="9">
        <v>20479</v>
      </c>
      <c r="I1144" s="6">
        <v>-5.6712775930000001</v>
      </c>
    </row>
    <row r="1145" spans="1:9" ht="60" x14ac:dyDescent="0.25">
      <c r="A1145" s="1" t="s">
        <v>147</v>
      </c>
      <c r="B1145" s="9">
        <v>1913565</v>
      </c>
      <c r="C1145" s="9">
        <v>1976713</v>
      </c>
      <c r="D1145" s="9">
        <v>2036014</v>
      </c>
      <c r="E1145" s="9">
        <v>2097095</v>
      </c>
      <c r="F1145" s="9">
        <v>2153716</v>
      </c>
      <c r="G1145" s="9">
        <v>2211867</v>
      </c>
      <c r="H1145" s="9">
        <v>2264509</v>
      </c>
      <c r="I1145" s="6">
        <v>2.8462526129999999</v>
      </c>
    </row>
    <row r="1146" spans="1:9" ht="75" x14ac:dyDescent="0.25">
      <c r="A1146" s="1" t="s">
        <v>146</v>
      </c>
      <c r="B1146" s="9">
        <v>0</v>
      </c>
      <c r="C1146" s="9">
        <v>0</v>
      </c>
      <c r="D1146" s="9">
        <v>0</v>
      </c>
      <c r="E1146" s="9">
        <v>0</v>
      </c>
      <c r="F1146" s="9">
        <v>0</v>
      </c>
      <c r="G1146" s="9">
        <v>0</v>
      </c>
      <c r="H1146" s="9">
        <v>0</v>
      </c>
      <c r="I1146" s="7" t="s">
        <v>58</v>
      </c>
    </row>
    <row r="1147" spans="1:9" ht="75" x14ac:dyDescent="0.25">
      <c r="A1147" s="1" t="s">
        <v>145</v>
      </c>
      <c r="B1147" s="9">
        <v>0</v>
      </c>
      <c r="C1147" s="9">
        <v>0</v>
      </c>
      <c r="D1147" s="9">
        <v>0</v>
      </c>
      <c r="E1147" s="9">
        <v>0</v>
      </c>
      <c r="F1147" s="9">
        <v>0</v>
      </c>
      <c r="G1147" s="9">
        <v>0</v>
      </c>
      <c r="H1147" s="9">
        <v>0</v>
      </c>
      <c r="I1147" s="7" t="s">
        <v>58</v>
      </c>
    </row>
    <row r="1148" spans="1:9" ht="75" x14ac:dyDescent="0.25">
      <c r="A1148" s="1" t="s">
        <v>144</v>
      </c>
      <c r="B1148" s="9">
        <v>0</v>
      </c>
      <c r="C1148" s="9">
        <v>0</v>
      </c>
      <c r="D1148" s="9">
        <v>0</v>
      </c>
      <c r="E1148" s="9">
        <v>0</v>
      </c>
      <c r="F1148" s="9">
        <v>0</v>
      </c>
      <c r="G1148" s="9">
        <v>0</v>
      </c>
      <c r="H1148" s="9">
        <v>0</v>
      </c>
      <c r="I1148" s="7" t="s">
        <v>58</v>
      </c>
    </row>
    <row r="1149" spans="1:9" x14ac:dyDescent="0.25">
      <c r="A1149" s="1" t="s">
        <v>12</v>
      </c>
      <c r="B1149" s="2"/>
      <c r="C1149" s="2"/>
      <c r="D1149" s="2"/>
      <c r="E1149" s="2"/>
      <c r="F1149" s="2"/>
      <c r="G1149" s="2"/>
      <c r="H1149" s="2"/>
      <c r="I1149" s="2"/>
    </row>
    <row r="1150" spans="1:9" x14ac:dyDescent="0.25">
      <c r="A1150" s="8" t="s">
        <v>110</v>
      </c>
      <c r="B1150" s="2"/>
      <c r="C1150" s="2"/>
      <c r="D1150" s="2"/>
      <c r="E1150" s="2"/>
      <c r="F1150" s="2"/>
      <c r="G1150" s="2"/>
      <c r="H1150" s="2"/>
      <c r="I1150" s="2"/>
    </row>
    <row r="1151" spans="1:9" ht="30" x14ac:dyDescent="0.25">
      <c r="A1151" s="1" t="s">
        <v>153</v>
      </c>
      <c r="B1151" s="9">
        <v>69140000</v>
      </c>
      <c r="C1151" s="9">
        <v>69550000</v>
      </c>
      <c r="D1151" s="9">
        <v>69930000</v>
      </c>
      <c r="E1151" s="9">
        <v>70290000</v>
      </c>
      <c r="F1151" s="9">
        <v>70640000</v>
      </c>
      <c r="G1151" s="9">
        <v>70970000</v>
      </c>
      <c r="H1151" s="9">
        <v>71290000</v>
      </c>
      <c r="I1151" s="6">
        <v>0.51168182016999997</v>
      </c>
    </row>
    <row r="1152" spans="1:9" ht="45" x14ac:dyDescent="0.25">
      <c r="A1152" s="1" t="s">
        <v>152</v>
      </c>
      <c r="B1152" s="9">
        <v>28623603</v>
      </c>
      <c r="C1152" s="9">
        <v>28775308</v>
      </c>
      <c r="D1152" s="9">
        <v>28922062</v>
      </c>
      <c r="E1152" s="9">
        <v>29110055</v>
      </c>
      <c r="F1152" s="9">
        <v>29302182</v>
      </c>
      <c r="G1152" s="9">
        <v>29501436</v>
      </c>
      <c r="H1152" s="9">
        <v>29707947</v>
      </c>
      <c r="I1152" s="6">
        <v>0.62163968599999997</v>
      </c>
    </row>
    <row r="1153" spans="1:9" ht="30" x14ac:dyDescent="0.25">
      <c r="A1153" s="1" t="s">
        <v>151</v>
      </c>
      <c r="B1153" s="9">
        <v>27106552</v>
      </c>
      <c r="C1153" s="9">
        <v>27207054</v>
      </c>
      <c r="D1153" s="9">
        <v>27302426</v>
      </c>
      <c r="E1153" s="9">
        <v>27436227</v>
      </c>
      <c r="F1153" s="9">
        <v>27573353</v>
      </c>
      <c r="G1153" s="9">
        <v>27716600</v>
      </c>
      <c r="H1153" s="9">
        <v>27866054</v>
      </c>
      <c r="I1153" s="6">
        <v>0.46162514900000001</v>
      </c>
    </row>
    <row r="1154" spans="1:9" ht="60" x14ac:dyDescent="0.25">
      <c r="A1154" s="1" t="s">
        <v>150</v>
      </c>
      <c r="B1154" s="9">
        <v>28405391</v>
      </c>
      <c r="C1154" s="9">
        <v>28595177</v>
      </c>
      <c r="D1154" s="9">
        <v>28792315</v>
      </c>
      <c r="E1154" s="9">
        <v>28973457</v>
      </c>
      <c r="F1154" s="9">
        <v>29150688</v>
      </c>
      <c r="G1154" s="9">
        <v>29330489</v>
      </c>
      <c r="H1154" s="9">
        <v>29519350</v>
      </c>
      <c r="I1154" s="6">
        <v>0.64317671200000004</v>
      </c>
    </row>
    <row r="1155" spans="1:9" ht="60" x14ac:dyDescent="0.25">
      <c r="A1155" s="1" t="s">
        <v>149</v>
      </c>
      <c r="B1155" s="9">
        <v>5745907</v>
      </c>
      <c r="C1155" s="9">
        <v>5820503</v>
      </c>
      <c r="D1155" s="9">
        <v>5896068</v>
      </c>
      <c r="E1155" s="9">
        <v>5969640</v>
      </c>
      <c r="F1155" s="9">
        <v>6035096</v>
      </c>
      <c r="G1155" s="9">
        <v>6095181</v>
      </c>
      <c r="H1155" s="9">
        <v>6155863</v>
      </c>
      <c r="I1155" s="6">
        <v>1.1552417290000001</v>
      </c>
    </row>
    <row r="1156" spans="1:9" ht="60" x14ac:dyDescent="0.25">
      <c r="A1156" s="1" t="s">
        <v>148</v>
      </c>
      <c r="B1156" s="9">
        <v>17135188</v>
      </c>
      <c r="C1156" s="9">
        <v>16015612</v>
      </c>
      <c r="D1156" s="9">
        <v>14822734</v>
      </c>
      <c r="E1156" s="9">
        <v>13626342</v>
      </c>
      <c r="F1156" s="9">
        <v>12310528</v>
      </c>
      <c r="G1156" s="9">
        <v>10958966</v>
      </c>
      <c r="H1156" s="9">
        <v>9438844</v>
      </c>
      <c r="I1156" s="6">
        <v>-9.4604519150000002</v>
      </c>
    </row>
    <row r="1157" spans="1:9" ht="60" x14ac:dyDescent="0.25">
      <c r="A1157" s="1" t="s">
        <v>147</v>
      </c>
      <c r="B1157" s="9">
        <v>5486153</v>
      </c>
      <c r="C1157" s="9">
        <v>6717522</v>
      </c>
      <c r="D1157" s="9">
        <v>8028277</v>
      </c>
      <c r="E1157" s="9">
        <v>9327832</v>
      </c>
      <c r="F1157" s="9">
        <v>10751761</v>
      </c>
      <c r="G1157" s="9">
        <v>12219943</v>
      </c>
      <c r="H1157" s="9">
        <v>13864937</v>
      </c>
      <c r="I1157" s="6">
        <v>16.710070363</v>
      </c>
    </row>
    <row r="1158" spans="1:9" ht="75" x14ac:dyDescent="0.25">
      <c r="A1158" s="1" t="s">
        <v>146</v>
      </c>
      <c r="B1158" s="9">
        <v>9977</v>
      </c>
      <c r="C1158" s="9">
        <v>10276</v>
      </c>
      <c r="D1158" s="9">
        <v>10533</v>
      </c>
      <c r="E1158" s="9">
        <v>10776</v>
      </c>
      <c r="F1158" s="9">
        <v>10937</v>
      </c>
      <c r="G1158" s="9">
        <v>11068</v>
      </c>
      <c r="H1158" s="9">
        <v>11201</v>
      </c>
      <c r="I1158" s="6">
        <v>1.9473960589999999</v>
      </c>
    </row>
    <row r="1159" spans="1:9" ht="75" x14ac:dyDescent="0.25">
      <c r="A1159" s="1" t="s">
        <v>145</v>
      </c>
      <c r="B1159" s="9">
        <v>28166</v>
      </c>
      <c r="C1159" s="9">
        <v>31264</v>
      </c>
      <c r="D1159" s="9">
        <v>34703</v>
      </c>
      <c r="E1159" s="9">
        <v>38868</v>
      </c>
      <c r="F1159" s="9">
        <v>42366</v>
      </c>
      <c r="G1159" s="9">
        <v>45332</v>
      </c>
      <c r="H1159" s="9">
        <v>48505</v>
      </c>
      <c r="I1159" s="6">
        <v>9.4822100500000008</v>
      </c>
    </row>
    <row r="1160" spans="1:9" ht="75" x14ac:dyDescent="0.25">
      <c r="A1160" s="1" t="s">
        <v>144</v>
      </c>
      <c r="B1160" s="7" t="s">
        <v>58</v>
      </c>
      <c r="C1160" s="7" t="s">
        <v>58</v>
      </c>
      <c r="D1160" s="7" t="s">
        <v>58</v>
      </c>
      <c r="E1160" s="7" t="s">
        <v>58</v>
      </c>
      <c r="F1160" s="7" t="s">
        <v>58</v>
      </c>
      <c r="G1160" s="7" t="s">
        <v>58</v>
      </c>
      <c r="H1160" s="7" t="s">
        <v>58</v>
      </c>
      <c r="I1160" s="7" t="s">
        <v>58</v>
      </c>
    </row>
    <row r="1161" spans="1:9" x14ac:dyDescent="0.25">
      <c r="A1161" s="1" t="s">
        <v>12</v>
      </c>
      <c r="B1161" s="2"/>
      <c r="C1161" s="2"/>
      <c r="D1161" s="2"/>
      <c r="E1161" s="2"/>
      <c r="F1161" s="2"/>
      <c r="G1161" s="2"/>
      <c r="H1161" s="2"/>
      <c r="I1161" s="2"/>
    </row>
    <row r="1162" spans="1:9" x14ac:dyDescent="0.25">
      <c r="A1162" s="8" t="s">
        <v>111</v>
      </c>
      <c r="B1162" s="2"/>
      <c r="C1162" s="2"/>
      <c r="D1162" s="2"/>
      <c r="E1162" s="2"/>
      <c r="F1162" s="2"/>
      <c r="G1162" s="2"/>
      <c r="H1162" s="2"/>
      <c r="I1162" s="2"/>
    </row>
    <row r="1163" spans="1:9" ht="30" x14ac:dyDescent="0.25">
      <c r="A1163" s="1" t="s">
        <v>153</v>
      </c>
      <c r="B1163" s="9">
        <v>3390000</v>
      </c>
      <c r="C1163" s="9">
        <v>3380000</v>
      </c>
      <c r="D1163" s="9">
        <v>3380000</v>
      </c>
      <c r="E1163" s="9">
        <v>3380000</v>
      </c>
      <c r="F1163" s="9">
        <v>3380000</v>
      </c>
      <c r="G1163" s="9">
        <v>3380000</v>
      </c>
      <c r="H1163" s="9">
        <v>3370000</v>
      </c>
      <c r="I1163" s="6">
        <v>-9.8571003970000001E-2</v>
      </c>
    </row>
    <row r="1164" spans="1:9" ht="45" x14ac:dyDescent="0.25">
      <c r="A1164" s="1" t="s">
        <v>152</v>
      </c>
      <c r="B1164" s="9">
        <v>1308598</v>
      </c>
      <c r="C1164" s="9">
        <v>1322423</v>
      </c>
      <c r="D1164" s="9">
        <v>1336269</v>
      </c>
      <c r="E1164" s="9">
        <v>1350179</v>
      </c>
      <c r="F1164" s="9">
        <v>1364152</v>
      </c>
      <c r="G1164" s="9">
        <v>1378130</v>
      </c>
      <c r="H1164" s="9">
        <v>1378130</v>
      </c>
      <c r="I1164" s="6">
        <v>0.86658618300000001</v>
      </c>
    </row>
    <row r="1165" spans="1:9" ht="30" x14ac:dyDescent="0.25">
      <c r="A1165" s="1" t="s">
        <v>151</v>
      </c>
      <c r="B1165" s="9">
        <v>1256254</v>
      </c>
      <c r="C1165" s="9">
        <v>1268204</v>
      </c>
      <c r="D1165" s="9">
        <v>1280146</v>
      </c>
      <c r="E1165" s="9">
        <v>1292121</v>
      </c>
      <c r="F1165" s="9">
        <v>1304129</v>
      </c>
      <c r="G1165" s="9">
        <v>1316115</v>
      </c>
      <c r="H1165" s="9">
        <v>1314736</v>
      </c>
      <c r="I1165" s="6">
        <v>0.76124296899999999</v>
      </c>
    </row>
    <row r="1166" spans="1:9" ht="60" x14ac:dyDescent="0.25">
      <c r="A1166" s="1" t="s">
        <v>150</v>
      </c>
      <c r="B1166" s="9">
        <v>1152344</v>
      </c>
      <c r="C1166" s="9">
        <v>1172509</v>
      </c>
      <c r="D1166" s="9">
        <v>1214855</v>
      </c>
      <c r="E1166" s="9">
        <v>1255665</v>
      </c>
      <c r="F1166" s="9">
        <v>1285997</v>
      </c>
      <c r="G1166" s="9">
        <v>1309852</v>
      </c>
      <c r="H1166" s="9">
        <v>1332744</v>
      </c>
      <c r="I1166" s="6">
        <v>2.4536492270000001</v>
      </c>
    </row>
    <row r="1167" spans="1:9" ht="60" x14ac:dyDescent="0.25">
      <c r="A1167" s="1" t="s">
        <v>149</v>
      </c>
      <c r="B1167" s="9">
        <v>0</v>
      </c>
      <c r="C1167" s="9">
        <v>0</v>
      </c>
      <c r="D1167" s="9">
        <v>0</v>
      </c>
      <c r="E1167" s="9">
        <v>0</v>
      </c>
      <c r="F1167" s="9">
        <v>0</v>
      </c>
      <c r="G1167" s="9">
        <v>0</v>
      </c>
      <c r="H1167" s="9">
        <v>0</v>
      </c>
      <c r="I1167" s="7" t="s">
        <v>58</v>
      </c>
    </row>
    <row r="1168" spans="1:9" ht="60" x14ac:dyDescent="0.25">
      <c r="A1168" s="1" t="s">
        <v>148</v>
      </c>
      <c r="B1168" s="9">
        <v>34334</v>
      </c>
      <c r="C1168" s="9">
        <v>4178</v>
      </c>
      <c r="D1168" s="9">
        <v>0</v>
      </c>
      <c r="E1168" s="9">
        <v>0</v>
      </c>
      <c r="F1168" s="9">
        <v>0</v>
      </c>
      <c r="G1168" s="9">
        <v>0</v>
      </c>
      <c r="H1168" s="9">
        <v>0</v>
      </c>
      <c r="I1168" s="6">
        <v>-100</v>
      </c>
    </row>
    <row r="1169" spans="1:9" ht="60" x14ac:dyDescent="0.25">
      <c r="A1169" s="1" t="s">
        <v>147</v>
      </c>
      <c r="B1169" s="9">
        <v>1010533</v>
      </c>
      <c r="C1169" s="9">
        <v>1049842</v>
      </c>
      <c r="D1169" s="9">
        <v>1085355</v>
      </c>
      <c r="E1169" s="9">
        <v>1115153</v>
      </c>
      <c r="F1169" s="9">
        <v>1134474</v>
      </c>
      <c r="G1169" s="9">
        <v>1147317</v>
      </c>
      <c r="H1169" s="9">
        <v>1159198</v>
      </c>
      <c r="I1169" s="6">
        <v>2.3138719760000002</v>
      </c>
    </row>
    <row r="1170" spans="1:9" ht="75" x14ac:dyDescent="0.25">
      <c r="A1170" s="1" t="s">
        <v>146</v>
      </c>
      <c r="B1170" s="9">
        <v>0</v>
      </c>
      <c r="C1170" s="9">
        <v>0</v>
      </c>
      <c r="D1170" s="9">
        <v>0</v>
      </c>
      <c r="E1170" s="9">
        <v>0</v>
      </c>
      <c r="F1170" s="9">
        <v>0</v>
      </c>
      <c r="G1170" s="9">
        <v>0</v>
      </c>
      <c r="H1170" s="9">
        <v>0</v>
      </c>
      <c r="I1170" s="7" t="s">
        <v>58</v>
      </c>
    </row>
    <row r="1171" spans="1:9" ht="75" x14ac:dyDescent="0.25">
      <c r="A1171" s="1" t="s">
        <v>145</v>
      </c>
      <c r="B1171" s="9">
        <v>107477</v>
      </c>
      <c r="C1171" s="9">
        <v>118489</v>
      </c>
      <c r="D1171" s="9">
        <v>129500</v>
      </c>
      <c r="E1171" s="9">
        <v>140512</v>
      </c>
      <c r="F1171" s="9">
        <v>151523</v>
      </c>
      <c r="G1171" s="9">
        <v>162535</v>
      </c>
      <c r="H1171" s="9">
        <v>173546</v>
      </c>
      <c r="I1171" s="6">
        <v>8.3136469240000004</v>
      </c>
    </row>
    <row r="1172" spans="1:9" ht="75" x14ac:dyDescent="0.25">
      <c r="A1172" s="1" t="s">
        <v>144</v>
      </c>
      <c r="B1172" s="9">
        <v>0</v>
      </c>
      <c r="C1172" s="9">
        <v>0</v>
      </c>
      <c r="D1172" s="9">
        <v>0</v>
      </c>
      <c r="E1172" s="9">
        <v>0</v>
      </c>
      <c r="F1172" s="9">
        <v>0</v>
      </c>
      <c r="G1172" s="9">
        <v>0</v>
      </c>
      <c r="H1172" s="9">
        <v>0</v>
      </c>
      <c r="I1172" s="7" t="s">
        <v>58</v>
      </c>
    </row>
    <row r="1173" spans="1:9" x14ac:dyDescent="0.25">
      <c r="A1173" s="1" t="s">
        <v>12</v>
      </c>
      <c r="B1173" s="2"/>
      <c r="C1173" s="2"/>
      <c r="D1173" s="2"/>
      <c r="E1173" s="2"/>
      <c r="F1173" s="2"/>
      <c r="G1173" s="2"/>
      <c r="H1173" s="2"/>
      <c r="I1173" s="2"/>
    </row>
    <row r="1174" spans="1:9" x14ac:dyDescent="0.25">
      <c r="A1174" s="8" t="s">
        <v>112</v>
      </c>
      <c r="B1174" s="2"/>
      <c r="C1174" s="2"/>
      <c r="D1174" s="2"/>
      <c r="E1174" s="2"/>
      <c r="F1174" s="2"/>
      <c r="G1174" s="2"/>
      <c r="H1174" s="2"/>
      <c r="I1174" s="2"/>
    </row>
    <row r="1175" spans="1:9" ht="30" x14ac:dyDescent="0.25">
      <c r="A1175" s="1" t="s">
        <v>153</v>
      </c>
      <c r="B1175" s="9">
        <v>340640000</v>
      </c>
      <c r="C1175" s="9">
        <v>342550000</v>
      </c>
      <c r="D1175" s="9">
        <v>343500000</v>
      </c>
      <c r="E1175" s="9">
        <v>344400000</v>
      </c>
      <c r="F1175" s="9">
        <v>345300000</v>
      </c>
      <c r="G1175" s="9">
        <v>346400000</v>
      </c>
      <c r="H1175" s="9">
        <v>347710000</v>
      </c>
      <c r="I1175" s="6">
        <v>0.34296340960999999</v>
      </c>
    </row>
    <row r="1176" spans="1:9" ht="45" x14ac:dyDescent="0.25">
      <c r="A1176" s="1" t="s">
        <v>152</v>
      </c>
      <c r="B1176" s="9">
        <v>135443000</v>
      </c>
      <c r="C1176" s="9">
        <v>136620000</v>
      </c>
      <c r="D1176" s="9">
        <v>137542185</v>
      </c>
      <c r="E1176" s="9">
        <v>138449963</v>
      </c>
      <c r="F1176" s="9">
        <v>139342966</v>
      </c>
      <c r="G1176" s="9">
        <v>140220826</v>
      </c>
      <c r="H1176" s="9">
        <v>141083184</v>
      </c>
      <c r="I1176" s="6">
        <v>0.68229688200000005</v>
      </c>
    </row>
    <row r="1177" spans="1:9" ht="30" x14ac:dyDescent="0.25">
      <c r="A1177" s="1" t="s">
        <v>151</v>
      </c>
      <c r="B1177" s="9">
        <v>133827004</v>
      </c>
      <c r="C1177" s="9">
        <v>134832055</v>
      </c>
      <c r="D1177" s="9">
        <v>135817687</v>
      </c>
      <c r="E1177" s="9">
        <v>136783360</v>
      </c>
      <c r="F1177" s="9">
        <v>137728543</v>
      </c>
      <c r="G1177" s="9">
        <v>138652710</v>
      </c>
      <c r="H1177" s="9">
        <v>139555350</v>
      </c>
      <c r="I1177" s="6">
        <v>0.70100135600000002</v>
      </c>
    </row>
    <row r="1178" spans="1:9" ht="60" x14ac:dyDescent="0.25">
      <c r="A1178" s="1" t="s">
        <v>150</v>
      </c>
      <c r="B1178" s="9">
        <v>121349589</v>
      </c>
      <c r="C1178" s="9">
        <v>124210704</v>
      </c>
      <c r="D1178" s="9">
        <v>127205436</v>
      </c>
      <c r="E1178" s="9">
        <v>130113263</v>
      </c>
      <c r="F1178" s="9">
        <v>133159408</v>
      </c>
      <c r="G1178" s="9">
        <v>136969312</v>
      </c>
      <c r="H1178" s="9">
        <v>139506214</v>
      </c>
      <c r="I1178" s="6">
        <v>2.3511061209999999</v>
      </c>
    </row>
    <row r="1179" spans="1:9" ht="60" x14ac:dyDescent="0.25">
      <c r="A1179" s="1" t="s">
        <v>149</v>
      </c>
      <c r="B1179" s="9">
        <v>74988109</v>
      </c>
      <c r="C1179" s="9">
        <v>73486331</v>
      </c>
      <c r="D1179" s="9">
        <v>71974141</v>
      </c>
      <c r="E1179" s="9">
        <v>70625336</v>
      </c>
      <c r="F1179" s="9">
        <v>69538863</v>
      </c>
      <c r="G1179" s="9">
        <v>68933563</v>
      </c>
      <c r="H1179" s="9">
        <v>68646655</v>
      </c>
      <c r="I1179" s="6">
        <v>-1.461829139</v>
      </c>
    </row>
    <row r="1180" spans="1:9" ht="60" x14ac:dyDescent="0.25">
      <c r="A1180" s="1" t="s">
        <v>148</v>
      </c>
      <c r="B1180" s="9">
        <v>9106349</v>
      </c>
      <c r="C1180" s="9">
        <v>6669034</v>
      </c>
      <c r="D1180" s="9">
        <v>4725709</v>
      </c>
      <c r="E1180" s="9">
        <v>3611000</v>
      </c>
      <c r="F1180" s="9">
        <v>2650841</v>
      </c>
      <c r="G1180" s="9">
        <v>1891380</v>
      </c>
      <c r="H1180" s="9">
        <v>1393634</v>
      </c>
      <c r="I1180" s="6">
        <v>-26.863516717</v>
      </c>
    </row>
    <row r="1181" spans="1:9" ht="60" x14ac:dyDescent="0.25">
      <c r="A1181" s="1" t="s">
        <v>147</v>
      </c>
      <c r="B1181" s="7" t="s">
        <v>58</v>
      </c>
      <c r="C1181" s="7" t="s">
        <v>58</v>
      </c>
      <c r="D1181" s="7" t="s">
        <v>58</v>
      </c>
      <c r="E1181" s="7" t="s">
        <v>58</v>
      </c>
      <c r="F1181" s="7" t="s">
        <v>58</v>
      </c>
      <c r="G1181" s="7" t="s">
        <v>58</v>
      </c>
      <c r="H1181" s="7" t="s">
        <v>58</v>
      </c>
      <c r="I1181" s="7" t="s">
        <v>58</v>
      </c>
    </row>
    <row r="1182" spans="1:9" ht="75" x14ac:dyDescent="0.25">
      <c r="A1182" s="1" t="s">
        <v>146</v>
      </c>
      <c r="B1182" s="9">
        <v>2150789</v>
      </c>
      <c r="C1182" s="9">
        <v>2989914</v>
      </c>
      <c r="D1182" s="9">
        <v>4067743</v>
      </c>
      <c r="E1182" s="9">
        <v>4815768</v>
      </c>
      <c r="F1182" s="9">
        <v>5591848</v>
      </c>
      <c r="G1182" s="9">
        <v>6499489</v>
      </c>
      <c r="H1182" s="9">
        <v>7306755</v>
      </c>
      <c r="I1182" s="6">
        <v>22.608653537999999</v>
      </c>
    </row>
    <row r="1183" spans="1:9" ht="75" x14ac:dyDescent="0.25">
      <c r="A1183" s="1" t="s">
        <v>145</v>
      </c>
      <c r="B1183" s="9">
        <v>11589596</v>
      </c>
      <c r="C1183" s="9">
        <v>14914613</v>
      </c>
      <c r="D1183" s="9">
        <v>17933458</v>
      </c>
      <c r="E1183" s="9">
        <v>20561468</v>
      </c>
      <c r="F1183" s="9">
        <v>23048183</v>
      </c>
      <c r="G1183" s="9">
        <v>25698724</v>
      </c>
      <c r="H1183" s="9">
        <v>26855166</v>
      </c>
      <c r="I1183" s="6">
        <v>15.034097788</v>
      </c>
    </row>
    <row r="1184" spans="1:9" ht="75" x14ac:dyDescent="0.25">
      <c r="A1184" s="1" t="s">
        <v>144</v>
      </c>
      <c r="B1184" s="7" t="s">
        <v>58</v>
      </c>
      <c r="C1184" s="7" t="s">
        <v>58</v>
      </c>
      <c r="D1184" s="7" t="s">
        <v>58</v>
      </c>
      <c r="E1184" s="7" t="s">
        <v>58</v>
      </c>
      <c r="F1184" s="7" t="s">
        <v>58</v>
      </c>
      <c r="G1184" s="7" t="s">
        <v>58</v>
      </c>
      <c r="H1184" s="7" t="s">
        <v>58</v>
      </c>
      <c r="I1184" s="7" t="s">
        <v>58</v>
      </c>
    </row>
    <row r="1185" spans="1:9" x14ac:dyDescent="0.25">
      <c r="A1185" s="1" t="s">
        <v>12</v>
      </c>
      <c r="B1185" s="2"/>
      <c r="C1185" s="2"/>
      <c r="D1185" s="2"/>
      <c r="E1185" s="2"/>
      <c r="F1185" s="2"/>
      <c r="G1185" s="2"/>
      <c r="H1185" s="2"/>
      <c r="I1185" s="2"/>
    </row>
    <row r="1186" spans="1:9" x14ac:dyDescent="0.25">
      <c r="A1186" s="8" t="s">
        <v>113</v>
      </c>
      <c r="B1186" s="2"/>
      <c r="C1186" s="2"/>
      <c r="D1186" s="2"/>
      <c r="E1186" s="2"/>
      <c r="F1186" s="2"/>
      <c r="G1186" s="2"/>
      <c r="H1186" s="2"/>
      <c r="I1186" s="2"/>
    </row>
    <row r="1187" spans="1:9" ht="30" x14ac:dyDescent="0.25">
      <c r="A1187" s="1" t="s">
        <v>153</v>
      </c>
      <c r="B1187" s="9">
        <v>29400000</v>
      </c>
      <c r="C1187" s="9">
        <v>29930000</v>
      </c>
      <c r="D1187" s="9">
        <v>30420000</v>
      </c>
      <c r="E1187" s="9">
        <v>30870000</v>
      </c>
      <c r="F1187" s="9">
        <v>31290000</v>
      </c>
      <c r="G1187" s="9">
        <v>31680000</v>
      </c>
      <c r="H1187" s="9">
        <v>32030000</v>
      </c>
      <c r="I1187" s="6">
        <v>1.4382157042000001</v>
      </c>
    </row>
    <row r="1188" spans="1:9" ht="45" x14ac:dyDescent="0.25">
      <c r="A1188" s="1" t="s">
        <v>152</v>
      </c>
      <c r="B1188" s="9">
        <v>7357533</v>
      </c>
      <c r="C1188" s="9">
        <v>7431108</v>
      </c>
      <c r="D1188" s="9">
        <v>7505419</v>
      </c>
      <c r="E1188" s="9">
        <v>7580473</v>
      </c>
      <c r="F1188" s="9">
        <v>7656278</v>
      </c>
      <c r="G1188" s="9">
        <v>7732841</v>
      </c>
      <c r="H1188" s="9">
        <v>7810169</v>
      </c>
      <c r="I1188" s="6">
        <v>0.99999884000000006</v>
      </c>
    </row>
    <row r="1189" spans="1:9" ht="30" x14ac:dyDescent="0.25">
      <c r="A1189" s="1" t="s">
        <v>151</v>
      </c>
      <c r="B1189" s="9">
        <v>6959871</v>
      </c>
      <c r="C1189" s="9">
        <v>7036430</v>
      </c>
      <c r="D1189" s="9">
        <v>7113831</v>
      </c>
      <c r="E1189" s="9">
        <v>7192083</v>
      </c>
      <c r="F1189" s="9">
        <v>7271196</v>
      </c>
      <c r="G1189" s="9">
        <v>7351179</v>
      </c>
      <c r="H1189" s="9">
        <v>7432042</v>
      </c>
      <c r="I1189" s="6">
        <v>1.1000012269999999</v>
      </c>
    </row>
    <row r="1190" spans="1:9" ht="60" x14ac:dyDescent="0.25">
      <c r="A1190" s="1" t="s">
        <v>150</v>
      </c>
      <c r="B1190" s="9">
        <v>2218059</v>
      </c>
      <c r="C1190" s="9">
        <v>2113949</v>
      </c>
      <c r="D1190" s="9">
        <v>2033761</v>
      </c>
      <c r="E1190" s="9">
        <v>1967469</v>
      </c>
      <c r="F1190" s="9">
        <v>1912274</v>
      </c>
      <c r="G1190" s="9">
        <v>1865887</v>
      </c>
      <c r="H1190" s="9">
        <v>1826477</v>
      </c>
      <c r="I1190" s="6">
        <v>-3.1855493290000001</v>
      </c>
    </row>
    <row r="1191" spans="1:9" ht="60" x14ac:dyDescent="0.25">
      <c r="A1191" s="1" t="s">
        <v>149</v>
      </c>
      <c r="B1191" s="9">
        <v>454694</v>
      </c>
      <c r="C1191" s="9">
        <v>521081</v>
      </c>
      <c r="D1191" s="9">
        <v>593357</v>
      </c>
      <c r="E1191" s="9">
        <v>663313</v>
      </c>
      <c r="F1191" s="9">
        <v>729786</v>
      </c>
      <c r="G1191" s="9">
        <v>791951</v>
      </c>
      <c r="H1191" s="9">
        <v>849292</v>
      </c>
      <c r="I1191" s="6">
        <v>10.974441568</v>
      </c>
    </row>
    <row r="1192" spans="1:9" ht="60" x14ac:dyDescent="0.25">
      <c r="A1192" s="1" t="s">
        <v>148</v>
      </c>
      <c r="B1192" s="9">
        <v>1666491</v>
      </c>
      <c r="C1192" s="9">
        <v>1493086</v>
      </c>
      <c r="D1192" s="9">
        <v>1337569</v>
      </c>
      <c r="E1192" s="9">
        <v>1198111</v>
      </c>
      <c r="F1192" s="9">
        <v>1073068</v>
      </c>
      <c r="G1192" s="9">
        <v>960964</v>
      </c>
      <c r="H1192" s="9">
        <v>860471</v>
      </c>
      <c r="I1192" s="6">
        <v>-10.431449863999999</v>
      </c>
    </row>
    <row r="1193" spans="1:9" ht="60" x14ac:dyDescent="0.25">
      <c r="A1193" s="1" t="s">
        <v>147</v>
      </c>
      <c r="B1193" s="9">
        <v>48656</v>
      </c>
      <c r="C1193" s="9">
        <v>51021</v>
      </c>
      <c r="D1193" s="9">
        <v>53525</v>
      </c>
      <c r="E1193" s="9">
        <v>56179</v>
      </c>
      <c r="F1193" s="9">
        <v>58992</v>
      </c>
      <c r="G1193" s="9">
        <v>61975</v>
      </c>
      <c r="H1193" s="9">
        <v>65141</v>
      </c>
      <c r="I1193" s="6">
        <v>4.9831669679999999</v>
      </c>
    </row>
    <row r="1194" spans="1:9" ht="75" x14ac:dyDescent="0.25">
      <c r="A1194" s="1" t="s">
        <v>146</v>
      </c>
      <c r="B1194" s="9">
        <v>3581</v>
      </c>
      <c r="C1194" s="9">
        <v>3599</v>
      </c>
      <c r="D1194" s="9">
        <v>3617</v>
      </c>
      <c r="E1194" s="9">
        <v>3635</v>
      </c>
      <c r="F1194" s="9">
        <v>3653</v>
      </c>
      <c r="G1194" s="9">
        <v>3671</v>
      </c>
      <c r="H1194" s="9">
        <v>3689</v>
      </c>
      <c r="I1194" s="6">
        <v>0.49645037800000003</v>
      </c>
    </row>
    <row r="1195" spans="1:9" ht="75" x14ac:dyDescent="0.25">
      <c r="A1195" s="1" t="s">
        <v>145</v>
      </c>
      <c r="B1195" s="9">
        <v>29068</v>
      </c>
      <c r="C1195" s="9">
        <v>29359</v>
      </c>
      <c r="D1195" s="9">
        <v>29653</v>
      </c>
      <c r="E1195" s="9">
        <v>29950</v>
      </c>
      <c r="F1195" s="9">
        <v>30250</v>
      </c>
      <c r="G1195" s="9">
        <v>30553</v>
      </c>
      <c r="H1195" s="9">
        <v>30859</v>
      </c>
      <c r="I1195" s="6">
        <v>1.0014905039999999</v>
      </c>
    </row>
    <row r="1196" spans="1:9" ht="75" x14ac:dyDescent="0.25">
      <c r="A1196" s="1" t="s">
        <v>144</v>
      </c>
      <c r="B1196" s="9">
        <v>15569</v>
      </c>
      <c r="C1196" s="9">
        <v>15803</v>
      </c>
      <c r="D1196" s="9">
        <v>16040</v>
      </c>
      <c r="E1196" s="9">
        <v>16281</v>
      </c>
      <c r="F1196" s="9">
        <v>16525</v>
      </c>
      <c r="G1196" s="9">
        <v>16773</v>
      </c>
      <c r="H1196" s="9">
        <v>17025</v>
      </c>
      <c r="I1196" s="6">
        <v>1.501174351</v>
      </c>
    </row>
    <row r="1197" spans="1:9" x14ac:dyDescent="0.25">
      <c r="A1197" s="1" t="s">
        <v>12</v>
      </c>
      <c r="B1197" s="2"/>
      <c r="C1197" s="2"/>
      <c r="D1197" s="2"/>
      <c r="E1197" s="2"/>
      <c r="F1197" s="2"/>
      <c r="G1197" s="2"/>
      <c r="H1197" s="2"/>
      <c r="I1197" s="2"/>
    </row>
    <row r="1198" spans="1:9" x14ac:dyDescent="0.25">
      <c r="A1198" s="8" t="s">
        <v>114</v>
      </c>
      <c r="B1198" s="2"/>
      <c r="C1198" s="2"/>
      <c r="D1198" s="2"/>
      <c r="E1198" s="2"/>
      <c r="F1198" s="2"/>
      <c r="G1198" s="2"/>
      <c r="H1198" s="2"/>
      <c r="I1198" s="2"/>
    </row>
    <row r="1199" spans="1:9" ht="30" x14ac:dyDescent="0.25">
      <c r="A1199" s="1" t="s">
        <v>153</v>
      </c>
      <c r="B1199" s="9">
        <v>100400000</v>
      </c>
      <c r="C1199" s="9">
        <v>101100000</v>
      </c>
      <c r="D1199" s="9">
        <v>101800000</v>
      </c>
      <c r="E1199" s="9">
        <v>102400000</v>
      </c>
      <c r="F1199" s="9">
        <v>103000000</v>
      </c>
      <c r="G1199" s="9">
        <v>103600000</v>
      </c>
      <c r="H1199" s="9">
        <v>104200000</v>
      </c>
      <c r="I1199" s="6">
        <v>0.62108615869999995</v>
      </c>
    </row>
    <row r="1200" spans="1:9" ht="45" x14ac:dyDescent="0.25">
      <c r="A1200" s="1" t="s">
        <v>152</v>
      </c>
      <c r="B1200" s="9">
        <v>28736157</v>
      </c>
      <c r="C1200" s="9">
        <v>29190188</v>
      </c>
      <c r="D1200" s="9">
        <v>29633879</v>
      </c>
      <c r="E1200" s="9">
        <v>30075424</v>
      </c>
      <c r="F1200" s="9">
        <v>30511518</v>
      </c>
      <c r="G1200" s="9">
        <v>30963088</v>
      </c>
      <c r="H1200" s="9">
        <v>31405860</v>
      </c>
      <c r="I1200" s="6">
        <v>1.491654829</v>
      </c>
    </row>
    <row r="1201" spans="1:9" ht="30" x14ac:dyDescent="0.25">
      <c r="A1201" s="1" t="s">
        <v>151</v>
      </c>
      <c r="B1201" s="9">
        <v>27029846</v>
      </c>
      <c r="C1201" s="9">
        <v>27525560</v>
      </c>
      <c r="D1201" s="9">
        <v>28013809</v>
      </c>
      <c r="E1201" s="9">
        <v>28488077</v>
      </c>
      <c r="F1201" s="9">
        <v>28958956</v>
      </c>
      <c r="G1201" s="9">
        <v>29446324</v>
      </c>
      <c r="H1201" s="9">
        <v>29927141</v>
      </c>
      <c r="I1201" s="6">
        <v>1.711550879</v>
      </c>
    </row>
    <row r="1202" spans="1:9" ht="60" x14ac:dyDescent="0.25">
      <c r="A1202" s="1" t="s">
        <v>150</v>
      </c>
      <c r="B1202" s="9">
        <v>23963567</v>
      </c>
      <c r="C1202" s="9">
        <v>24425079</v>
      </c>
      <c r="D1202" s="9">
        <v>24897638</v>
      </c>
      <c r="E1202" s="9">
        <v>25458299</v>
      </c>
      <c r="F1202" s="9">
        <v>25959635</v>
      </c>
      <c r="G1202" s="9">
        <v>26452702</v>
      </c>
      <c r="H1202" s="9">
        <v>27036521</v>
      </c>
      <c r="I1202" s="6">
        <v>2.031253891</v>
      </c>
    </row>
    <row r="1203" spans="1:9" ht="60" x14ac:dyDescent="0.25">
      <c r="A1203" s="1" t="s">
        <v>149</v>
      </c>
      <c r="B1203" s="9">
        <v>705600</v>
      </c>
      <c r="C1203" s="9">
        <v>679493</v>
      </c>
      <c r="D1203" s="9">
        <v>656390</v>
      </c>
      <c r="E1203" s="9">
        <v>636698</v>
      </c>
      <c r="F1203" s="9">
        <v>618871</v>
      </c>
      <c r="G1203" s="9">
        <v>603399</v>
      </c>
      <c r="H1203" s="9">
        <v>589521</v>
      </c>
      <c r="I1203" s="6">
        <v>-2.95121156</v>
      </c>
    </row>
    <row r="1204" spans="1:9" ht="60" x14ac:dyDescent="0.25">
      <c r="A1204" s="1" t="s">
        <v>148</v>
      </c>
      <c r="B1204" s="9">
        <v>29567</v>
      </c>
      <c r="C1204" s="9">
        <v>20330</v>
      </c>
      <c r="D1204" s="9">
        <v>14182</v>
      </c>
      <c r="E1204" s="9">
        <v>9468</v>
      </c>
      <c r="F1204" s="9">
        <v>6207</v>
      </c>
      <c r="G1204" s="9">
        <v>4034</v>
      </c>
      <c r="H1204" s="9">
        <v>2581</v>
      </c>
      <c r="I1204" s="6">
        <v>-33.396540074999997</v>
      </c>
    </row>
    <row r="1205" spans="1:9" ht="60" x14ac:dyDescent="0.25">
      <c r="A1205" s="1" t="s">
        <v>147</v>
      </c>
      <c r="B1205" s="9">
        <v>23202900</v>
      </c>
      <c r="C1205" s="9">
        <v>23697122</v>
      </c>
      <c r="D1205" s="9">
        <v>24197131</v>
      </c>
      <c r="E1205" s="9">
        <v>24780282</v>
      </c>
      <c r="F1205" s="9">
        <v>25300668</v>
      </c>
      <c r="G1205" s="9">
        <v>25809211</v>
      </c>
      <c r="H1205" s="9">
        <v>26405404</v>
      </c>
      <c r="I1205" s="6">
        <v>2.1782416310000001</v>
      </c>
    </row>
    <row r="1206" spans="1:9" ht="75" x14ac:dyDescent="0.25">
      <c r="A1206" s="1" t="s">
        <v>146</v>
      </c>
      <c r="B1206" s="9">
        <v>0</v>
      </c>
      <c r="C1206" s="9">
        <v>0</v>
      </c>
      <c r="D1206" s="9">
        <v>0</v>
      </c>
      <c r="E1206" s="9">
        <v>0</v>
      </c>
      <c r="F1206" s="9">
        <v>0</v>
      </c>
      <c r="G1206" s="9">
        <v>0</v>
      </c>
      <c r="H1206" s="9">
        <v>0</v>
      </c>
      <c r="I1206" s="7" t="s">
        <v>58</v>
      </c>
    </row>
    <row r="1207" spans="1:9" ht="75" x14ac:dyDescent="0.25">
      <c r="A1207" s="1" t="s">
        <v>145</v>
      </c>
      <c r="B1207" s="9">
        <v>0</v>
      </c>
      <c r="C1207" s="9">
        <v>0</v>
      </c>
      <c r="D1207" s="9">
        <v>0</v>
      </c>
      <c r="E1207" s="9">
        <v>0</v>
      </c>
      <c r="F1207" s="9">
        <v>0</v>
      </c>
      <c r="G1207" s="9">
        <v>0</v>
      </c>
      <c r="H1207" s="9">
        <v>0</v>
      </c>
      <c r="I1207" s="7" t="s">
        <v>58</v>
      </c>
    </row>
    <row r="1208" spans="1:9" ht="75" x14ac:dyDescent="0.25">
      <c r="A1208" s="1" t="s">
        <v>144</v>
      </c>
      <c r="B1208" s="9">
        <v>25500</v>
      </c>
      <c r="C1208" s="9">
        <v>28134</v>
      </c>
      <c r="D1208" s="9">
        <v>29935</v>
      </c>
      <c r="E1208" s="9">
        <v>31851</v>
      </c>
      <c r="F1208" s="9">
        <v>33889</v>
      </c>
      <c r="G1208" s="9">
        <v>36058</v>
      </c>
      <c r="H1208" s="9">
        <v>39015</v>
      </c>
      <c r="I1208" s="6">
        <v>7.3450209610000003</v>
      </c>
    </row>
    <row r="1209" spans="1:9" x14ac:dyDescent="0.25">
      <c r="A1209" s="1" t="s">
        <v>12</v>
      </c>
      <c r="B1209" s="2"/>
      <c r="C1209" s="2"/>
      <c r="D1209" s="2"/>
      <c r="E1209" s="2"/>
      <c r="F1209" s="2"/>
      <c r="G1209" s="2"/>
      <c r="H1209" s="2"/>
      <c r="I1209" s="2"/>
    </row>
    <row r="1210" spans="1:9" ht="30" x14ac:dyDescent="0.25">
      <c r="A1210" s="8" t="s">
        <v>115</v>
      </c>
      <c r="B1210" s="2"/>
      <c r="C1210" s="2"/>
      <c r="D1210" s="2"/>
      <c r="E1210" s="2"/>
      <c r="F1210" s="2"/>
      <c r="G1210" s="2"/>
      <c r="H1210" s="2"/>
      <c r="I1210" s="2"/>
    </row>
    <row r="1211" spans="1:9" ht="30" x14ac:dyDescent="0.25">
      <c r="A1211" s="1" t="s">
        <v>153</v>
      </c>
      <c r="B1211" s="9">
        <v>428467212</v>
      </c>
      <c r="C1211" s="9">
        <v>428715420</v>
      </c>
      <c r="D1211" s="9">
        <v>428925320</v>
      </c>
      <c r="E1211" s="9">
        <v>429289332</v>
      </c>
      <c r="F1211" s="9">
        <v>429600091</v>
      </c>
      <c r="G1211" s="9">
        <v>429839219</v>
      </c>
      <c r="H1211" s="9">
        <v>429966187</v>
      </c>
      <c r="I1211" s="6">
        <v>5.8222837719999997E-2</v>
      </c>
    </row>
    <row r="1212" spans="1:9" ht="45" x14ac:dyDescent="0.25">
      <c r="A1212" s="1" t="s">
        <v>152</v>
      </c>
      <c r="B1212" s="9">
        <v>193165959</v>
      </c>
      <c r="C1212" s="9">
        <v>194375280</v>
      </c>
      <c r="D1212" s="9">
        <v>195550428</v>
      </c>
      <c r="E1212" s="9">
        <v>196734976</v>
      </c>
      <c r="F1212" s="9">
        <v>197900913</v>
      </c>
      <c r="G1212" s="9">
        <v>199021219</v>
      </c>
      <c r="H1212" s="9">
        <v>200110899</v>
      </c>
      <c r="I1212" s="6">
        <v>0.59043619800000002</v>
      </c>
    </row>
    <row r="1213" spans="1:9" ht="30" x14ac:dyDescent="0.25">
      <c r="A1213" s="1" t="s">
        <v>151</v>
      </c>
      <c r="B1213" s="9">
        <v>183535834</v>
      </c>
      <c r="C1213" s="9">
        <v>184420694</v>
      </c>
      <c r="D1213" s="9">
        <v>185276754</v>
      </c>
      <c r="E1213" s="9">
        <v>186140731</v>
      </c>
      <c r="F1213" s="9">
        <v>186922308</v>
      </c>
      <c r="G1213" s="9">
        <v>187664391</v>
      </c>
      <c r="H1213" s="9">
        <v>188335738</v>
      </c>
      <c r="I1213" s="6">
        <v>0.43119835400000001</v>
      </c>
    </row>
    <row r="1214" spans="1:9" ht="60" x14ac:dyDescent="0.25">
      <c r="A1214" s="1" t="s">
        <v>150</v>
      </c>
      <c r="B1214" s="9">
        <v>172683931</v>
      </c>
      <c r="C1214" s="9">
        <v>174564769</v>
      </c>
      <c r="D1214" s="9">
        <v>176665057</v>
      </c>
      <c r="E1214" s="9">
        <v>178841644</v>
      </c>
      <c r="F1214" s="9">
        <v>181109342</v>
      </c>
      <c r="G1214" s="9">
        <v>183321549</v>
      </c>
      <c r="H1214" s="9">
        <v>185267410</v>
      </c>
      <c r="I1214" s="6">
        <v>1.1791866600000001</v>
      </c>
    </row>
    <row r="1215" spans="1:9" ht="60" x14ac:dyDescent="0.25">
      <c r="A1215" s="1" t="s">
        <v>149</v>
      </c>
      <c r="B1215" s="9">
        <v>27829042</v>
      </c>
      <c r="C1215" s="9">
        <v>27684565</v>
      </c>
      <c r="D1215" s="9">
        <v>27507953</v>
      </c>
      <c r="E1215" s="9">
        <v>27426279</v>
      </c>
      <c r="F1215" s="9">
        <v>27400167</v>
      </c>
      <c r="G1215" s="9">
        <v>27368341</v>
      </c>
      <c r="H1215" s="9">
        <v>27319249</v>
      </c>
      <c r="I1215" s="6">
        <v>-0.30766916500000002</v>
      </c>
    </row>
    <row r="1216" spans="1:9" ht="60" x14ac:dyDescent="0.25">
      <c r="A1216" s="1" t="s">
        <v>148</v>
      </c>
      <c r="B1216" s="9">
        <v>67895410</v>
      </c>
      <c r="C1216" s="9">
        <v>62114346</v>
      </c>
      <c r="D1216" s="9">
        <v>57013501</v>
      </c>
      <c r="E1216" s="9">
        <v>52444167</v>
      </c>
      <c r="F1216" s="9">
        <v>48970018</v>
      </c>
      <c r="G1216" s="9">
        <v>45574845</v>
      </c>
      <c r="H1216" s="9">
        <v>42135498</v>
      </c>
      <c r="I1216" s="6">
        <v>-7.6433965620000004</v>
      </c>
    </row>
    <row r="1217" spans="1:9" ht="60" x14ac:dyDescent="0.25">
      <c r="A1217" s="1" t="s">
        <v>147</v>
      </c>
      <c r="B1217" s="9">
        <v>72380038</v>
      </c>
      <c r="C1217" s="9">
        <v>79921012</v>
      </c>
      <c r="D1217" s="9">
        <v>87050997</v>
      </c>
      <c r="E1217" s="9">
        <v>93628000</v>
      </c>
      <c r="F1217" s="9">
        <v>99149301</v>
      </c>
      <c r="G1217" s="9">
        <v>104550974</v>
      </c>
      <c r="H1217" s="9">
        <v>109792768</v>
      </c>
      <c r="I1217" s="6">
        <v>7.1912053629999999</v>
      </c>
    </row>
    <row r="1218" spans="1:9" ht="75" x14ac:dyDescent="0.25">
      <c r="A1218" s="1" t="s">
        <v>146</v>
      </c>
      <c r="B1218" s="9">
        <v>129597</v>
      </c>
      <c r="C1218" s="9">
        <v>224944</v>
      </c>
      <c r="D1218" s="9">
        <v>226071</v>
      </c>
      <c r="E1218" s="9">
        <v>226929</v>
      </c>
      <c r="F1218" s="9">
        <v>227567</v>
      </c>
      <c r="G1218" s="9">
        <v>228190</v>
      </c>
      <c r="H1218" s="9">
        <v>228813</v>
      </c>
      <c r="I1218" s="6">
        <v>9.9379474739999996</v>
      </c>
    </row>
    <row r="1219" spans="1:9" ht="75" x14ac:dyDescent="0.25">
      <c r="A1219" s="1" t="s">
        <v>145</v>
      </c>
      <c r="B1219" s="9">
        <v>4424514</v>
      </c>
      <c r="C1219" s="9">
        <v>4594760</v>
      </c>
      <c r="D1219" s="9">
        <v>4841558</v>
      </c>
      <c r="E1219" s="9">
        <v>5091424</v>
      </c>
      <c r="F1219" s="9">
        <v>5337563</v>
      </c>
      <c r="G1219" s="9">
        <v>5574579</v>
      </c>
      <c r="H1219" s="9">
        <v>5766541</v>
      </c>
      <c r="I1219" s="6">
        <v>4.5141200579999996</v>
      </c>
    </row>
    <row r="1220" spans="1:9" ht="75" x14ac:dyDescent="0.25">
      <c r="A1220" s="1" t="s">
        <v>144</v>
      </c>
      <c r="B1220" s="9">
        <v>25330</v>
      </c>
      <c r="C1220" s="9">
        <v>25141</v>
      </c>
      <c r="D1220" s="9">
        <v>24978</v>
      </c>
      <c r="E1220" s="9">
        <v>24845</v>
      </c>
      <c r="F1220" s="9">
        <v>24726</v>
      </c>
      <c r="G1220" s="9">
        <v>24620</v>
      </c>
      <c r="H1220" s="9">
        <v>24540</v>
      </c>
      <c r="I1220" s="6">
        <v>-0.52669183500000005</v>
      </c>
    </row>
    <row r="1221" spans="1:9" x14ac:dyDescent="0.25">
      <c r="A1221" s="1" t="s">
        <v>12</v>
      </c>
      <c r="B1221" s="2"/>
      <c r="C1221" s="2"/>
      <c r="D1221" s="2"/>
      <c r="E1221" s="2"/>
      <c r="F1221" s="2"/>
      <c r="G1221" s="2"/>
      <c r="H1221" s="2"/>
      <c r="I1221" s="2"/>
    </row>
    <row r="1222" spans="1:9" x14ac:dyDescent="0.25">
      <c r="A1222" s="8" t="s">
        <v>116</v>
      </c>
      <c r="B1222" s="2"/>
      <c r="C1222" s="2"/>
      <c r="D1222" s="2"/>
      <c r="E1222" s="2"/>
      <c r="F1222" s="2"/>
      <c r="G1222" s="2"/>
      <c r="H1222" s="2"/>
      <c r="I1222" s="2"/>
    </row>
    <row r="1223" spans="1:9" ht="30" x14ac:dyDescent="0.25">
      <c r="A1223" s="1" t="s">
        <v>153</v>
      </c>
      <c r="B1223" s="9">
        <v>32860000</v>
      </c>
      <c r="C1223" s="9">
        <v>33650000</v>
      </c>
      <c r="D1223" s="9">
        <v>34800000</v>
      </c>
      <c r="E1223" s="9">
        <v>35635200</v>
      </c>
      <c r="F1223" s="9">
        <v>36490445</v>
      </c>
      <c r="G1223" s="9">
        <v>37366215</v>
      </c>
      <c r="H1223" s="9">
        <v>38263005</v>
      </c>
      <c r="I1223" s="6">
        <v>2.5695820603900001</v>
      </c>
    </row>
    <row r="1224" spans="1:9" ht="45" x14ac:dyDescent="0.25">
      <c r="A1224" s="1" t="s">
        <v>152</v>
      </c>
      <c r="B1224" s="9">
        <v>5479241</v>
      </c>
      <c r="C1224" s="9">
        <v>5650940</v>
      </c>
      <c r="D1224" s="9">
        <v>5828019</v>
      </c>
      <c r="E1224" s="9">
        <v>6010648</v>
      </c>
      <c r="F1224" s="9">
        <v>6198999</v>
      </c>
      <c r="G1224" s="9">
        <v>6393253</v>
      </c>
      <c r="H1224" s="9">
        <v>6593593</v>
      </c>
      <c r="I1224" s="6">
        <v>3.1336264279999999</v>
      </c>
    </row>
    <row r="1225" spans="1:9" ht="30" x14ac:dyDescent="0.25">
      <c r="A1225" s="1" t="s">
        <v>151</v>
      </c>
      <c r="B1225" s="9">
        <v>3445454</v>
      </c>
      <c r="C1225" s="9">
        <v>3642257</v>
      </c>
      <c r="D1225" s="9">
        <v>3850302</v>
      </c>
      <c r="E1225" s="9">
        <v>4070230</v>
      </c>
      <c r="F1225" s="9">
        <v>4302720</v>
      </c>
      <c r="G1225" s="9">
        <v>4548490</v>
      </c>
      <c r="H1225" s="9">
        <v>4808298</v>
      </c>
      <c r="I1225" s="6">
        <v>5.7119668519999998</v>
      </c>
    </row>
    <row r="1226" spans="1:9" ht="60" x14ac:dyDescent="0.25">
      <c r="A1226" s="1" t="s">
        <v>150</v>
      </c>
      <c r="B1226" s="9">
        <v>715110</v>
      </c>
      <c r="C1226" s="9">
        <v>791765</v>
      </c>
      <c r="D1226" s="9">
        <v>884735</v>
      </c>
      <c r="E1226" s="9">
        <v>970674</v>
      </c>
      <c r="F1226" s="9">
        <v>1060590</v>
      </c>
      <c r="G1226" s="9">
        <v>1163823</v>
      </c>
      <c r="H1226" s="9">
        <v>1284019</v>
      </c>
      <c r="I1226" s="6">
        <v>10.246911840999999</v>
      </c>
    </row>
    <row r="1227" spans="1:9" ht="60" x14ac:dyDescent="0.25">
      <c r="A1227" s="1" t="s">
        <v>149</v>
      </c>
      <c r="B1227" s="9">
        <v>0</v>
      </c>
      <c r="C1227" s="9">
        <v>0</v>
      </c>
      <c r="D1227" s="9">
        <v>0</v>
      </c>
      <c r="E1227" s="9">
        <v>0</v>
      </c>
      <c r="F1227" s="9">
        <v>0</v>
      </c>
      <c r="G1227" s="9">
        <v>0</v>
      </c>
      <c r="H1227" s="9">
        <v>0</v>
      </c>
      <c r="I1227" s="7" t="s">
        <v>58</v>
      </c>
    </row>
    <row r="1228" spans="1:9" ht="60" x14ac:dyDescent="0.25">
      <c r="A1228" s="1" t="s">
        <v>148</v>
      </c>
      <c r="B1228" s="9">
        <v>585377</v>
      </c>
      <c r="C1228" s="9">
        <v>620588</v>
      </c>
      <c r="D1228" s="9">
        <v>658290</v>
      </c>
      <c r="E1228" s="9">
        <v>698483</v>
      </c>
      <c r="F1228" s="9">
        <v>733407</v>
      </c>
      <c r="G1228" s="9">
        <v>770078</v>
      </c>
      <c r="H1228" s="9">
        <v>808582</v>
      </c>
      <c r="I1228" s="6">
        <v>5.5313277860000003</v>
      </c>
    </row>
    <row r="1229" spans="1:9" ht="60" x14ac:dyDescent="0.25">
      <c r="A1229" s="1" t="s">
        <v>147</v>
      </c>
      <c r="B1229" s="9">
        <v>0</v>
      </c>
      <c r="C1229" s="9">
        <v>0</v>
      </c>
      <c r="D1229" s="9">
        <v>0</v>
      </c>
      <c r="E1229" s="9">
        <v>0</v>
      </c>
      <c r="F1229" s="9">
        <v>0</v>
      </c>
      <c r="G1229" s="9">
        <v>0</v>
      </c>
      <c r="H1229" s="9">
        <v>0</v>
      </c>
      <c r="I1229" s="7" t="s">
        <v>58</v>
      </c>
    </row>
    <row r="1230" spans="1:9" ht="75" x14ac:dyDescent="0.25">
      <c r="A1230" s="1" t="s">
        <v>146</v>
      </c>
      <c r="B1230" s="9">
        <v>9425</v>
      </c>
      <c r="C1230" s="9">
        <v>9964</v>
      </c>
      <c r="D1230" s="9">
        <v>10420</v>
      </c>
      <c r="E1230" s="9">
        <v>10801</v>
      </c>
      <c r="F1230" s="9">
        <v>10901</v>
      </c>
      <c r="G1230" s="9">
        <v>11045</v>
      </c>
      <c r="H1230" s="9">
        <v>12370</v>
      </c>
      <c r="I1230" s="6">
        <v>4.6360628679999998</v>
      </c>
    </row>
    <row r="1231" spans="1:9" ht="75" x14ac:dyDescent="0.25">
      <c r="A1231" s="1" t="s">
        <v>145</v>
      </c>
      <c r="B1231" s="9">
        <v>120308</v>
      </c>
      <c r="C1231" s="9">
        <v>161212</v>
      </c>
      <c r="D1231" s="9">
        <v>216024</v>
      </c>
      <c r="E1231" s="9">
        <v>261389</v>
      </c>
      <c r="F1231" s="9">
        <v>316281</v>
      </c>
      <c r="G1231" s="9">
        <v>382700</v>
      </c>
      <c r="H1231" s="9">
        <v>463067</v>
      </c>
      <c r="I1231" s="6">
        <v>25.186708530000001</v>
      </c>
    </row>
    <row r="1232" spans="1:9" ht="75" x14ac:dyDescent="0.25">
      <c r="A1232" s="1" t="s">
        <v>144</v>
      </c>
      <c r="B1232" s="9">
        <v>0</v>
      </c>
      <c r="C1232" s="9">
        <v>0</v>
      </c>
      <c r="D1232" s="9">
        <v>0</v>
      </c>
      <c r="E1232" s="9">
        <v>0</v>
      </c>
      <c r="F1232" s="9">
        <v>0</v>
      </c>
      <c r="G1232" s="9">
        <v>0</v>
      </c>
      <c r="H1232" s="9">
        <v>0</v>
      </c>
      <c r="I1232" s="7" t="s">
        <v>58</v>
      </c>
    </row>
  </sheetData>
  <mergeCells count="3">
    <mergeCell ref="A1:D1"/>
    <mergeCell ref="A7:M7"/>
    <mergeCell ref="A2:M2"/>
  </mergeCells>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91"/>
  <sheetViews>
    <sheetView topLeftCell="A1257" workbookViewId="0">
      <selection sqref="A1:D1"/>
    </sheetView>
  </sheetViews>
  <sheetFormatPr defaultColWidth="8.85546875" defaultRowHeight="15" x14ac:dyDescent="0.25"/>
  <cols>
    <col min="1" max="13" width="16.140625" customWidth="1"/>
  </cols>
  <sheetData>
    <row r="1" spans="1:13" ht="39.950000000000003" customHeight="1" x14ac:dyDescent="0.25">
      <c r="A1" s="27"/>
      <c r="B1" s="27"/>
      <c r="C1" s="27"/>
      <c r="D1" s="27"/>
    </row>
    <row r="2" spans="1:13" ht="30" customHeight="1" x14ac:dyDescent="0.3">
      <c r="A2" s="26" t="s">
        <v>139</v>
      </c>
      <c r="B2" s="26"/>
      <c r="C2" s="26"/>
      <c r="D2" s="26"/>
      <c r="E2" s="26"/>
      <c r="F2" s="26"/>
      <c r="G2" s="26"/>
      <c r="H2" s="26"/>
      <c r="I2" s="26"/>
      <c r="J2" s="26"/>
      <c r="K2" s="26"/>
      <c r="L2" s="26"/>
      <c r="M2" s="26"/>
    </row>
    <row r="4" spans="1:13" x14ac:dyDescent="0.25">
      <c r="A4" s="2" t="s">
        <v>0</v>
      </c>
      <c r="B4" s="1"/>
    </row>
    <row r="5" spans="1:13" x14ac:dyDescent="0.25">
      <c r="A5" s="2" t="s">
        <v>1</v>
      </c>
      <c r="B5" s="1"/>
    </row>
    <row r="6" spans="1:13" x14ac:dyDescent="0.25">
      <c r="A6" s="2" t="s">
        <v>2</v>
      </c>
      <c r="B6" s="1"/>
    </row>
    <row r="7" spans="1:13" x14ac:dyDescent="0.25">
      <c r="A7" s="2" t="s">
        <v>3</v>
      </c>
      <c r="B7" s="1"/>
    </row>
    <row r="8" spans="1:13" x14ac:dyDescent="0.25">
      <c r="A8" s="25"/>
      <c r="B8" s="25"/>
      <c r="C8" s="25"/>
      <c r="D8" s="25"/>
      <c r="E8" s="25"/>
      <c r="F8" s="25"/>
      <c r="G8" s="25"/>
      <c r="H8" s="25"/>
      <c r="I8" s="25"/>
      <c r="J8" s="25"/>
      <c r="K8" s="25"/>
      <c r="L8" s="25"/>
      <c r="M8" s="25"/>
    </row>
    <row r="9" spans="1:13" ht="30" x14ac:dyDescent="0.25">
      <c r="A9" s="3"/>
      <c r="B9" s="4" t="s">
        <v>4</v>
      </c>
      <c r="C9" s="4" t="s">
        <v>5</v>
      </c>
      <c r="D9" s="4" t="s">
        <v>6</v>
      </c>
      <c r="E9" s="4" t="s">
        <v>7</v>
      </c>
      <c r="F9" s="4" t="s">
        <v>8</v>
      </c>
      <c r="G9" s="4" t="s">
        <v>9</v>
      </c>
      <c r="H9" s="4" t="s">
        <v>10</v>
      </c>
      <c r="I9" s="4" t="s">
        <v>11</v>
      </c>
    </row>
    <row r="10" spans="1:13" x14ac:dyDescent="0.25">
      <c r="A10" s="1" t="s">
        <v>12</v>
      </c>
      <c r="B10" s="2"/>
      <c r="C10" s="2"/>
      <c r="D10" s="2"/>
      <c r="E10" s="2"/>
      <c r="F10" s="2"/>
      <c r="G10" s="2"/>
      <c r="H10" s="2"/>
      <c r="I10" s="2"/>
    </row>
    <row r="11" spans="1:13" ht="60" x14ac:dyDescent="0.25">
      <c r="A11" s="1" t="s">
        <v>13</v>
      </c>
      <c r="B11" s="2"/>
      <c r="C11" s="2"/>
      <c r="D11" s="2"/>
      <c r="E11" s="2"/>
      <c r="F11" s="2"/>
      <c r="G11" s="2"/>
      <c r="H11" s="2"/>
      <c r="I11" s="2"/>
    </row>
    <row r="12" spans="1:13" x14ac:dyDescent="0.25">
      <c r="A12" s="1" t="s">
        <v>14</v>
      </c>
      <c r="B12" s="5">
        <v>74.069999999999993</v>
      </c>
      <c r="C12" s="5">
        <v>76.489999999999995</v>
      </c>
      <c r="D12" s="5">
        <v>78.77</v>
      </c>
      <c r="E12" s="5">
        <v>79.760000000000005</v>
      </c>
      <c r="F12" s="5">
        <v>81</v>
      </c>
      <c r="G12" s="5">
        <v>82.76</v>
      </c>
      <c r="H12" s="5">
        <v>85.08</v>
      </c>
      <c r="I12" s="6">
        <v>2.33657</v>
      </c>
    </row>
    <row r="13" spans="1:13" ht="30" x14ac:dyDescent="0.25">
      <c r="A13" s="1" t="s">
        <v>15</v>
      </c>
      <c r="B13" s="5">
        <v>56.64</v>
      </c>
      <c r="C13" s="5">
        <v>58.22</v>
      </c>
      <c r="D13" s="5">
        <v>58.78</v>
      </c>
      <c r="E13" s="5">
        <v>59.32</v>
      </c>
      <c r="F13" s="5">
        <v>60.31</v>
      </c>
      <c r="G13" s="5">
        <v>61.07</v>
      </c>
      <c r="H13" s="5">
        <v>61.98</v>
      </c>
      <c r="I13" s="6">
        <v>1.5129360000000001</v>
      </c>
    </row>
    <row r="14" spans="1:13" x14ac:dyDescent="0.25">
      <c r="A14" s="1" t="s">
        <v>16</v>
      </c>
      <c r="B14" s="5">
        <v>95.39</v>
      </c>
      <c r="C14" s="5">
        <v>94.48</v>
      </c>
      <c r="D14" s="5">
        <v>93.38</v>
      </c>
      <c r="E14" s="5">
        <v>93.38</v>
      </c>
      <c r="F14" s="5">
        <v>93.62</v>
      </c>
      <c r="G14" s="5">
        <v>94.72</v>
      </c>
      <c r="H14" s="5">
        <v>95.2</v>
      </c>
      <c r="I14" s="6">
        <v>-3.3224999999999998E-2</v>
      </c>
    </row>
    <row r="15" spans="1:13" x14ac:dyDescent="0.25">
      <c r="A15" s="1" t="s">
        <v>17</v>
      </c>
      <c r="B15" s="5">
        <v>61.48</v>
      </c>
      <c r="C15" s="5">
        <v>62.53</v>
      </c>
      <c r="D15" s="5">
        <v>63.46</v>
      </c>
      <c r="E15" s="5">
        <v>64.44</v>
      </c>
      <c r="F15" s="5">
        <v>65.37</v>
      </c>
      <c r="G15" s="5">
        <v>66.25</v>
      </c>
      <c r="H15" s="5">
        <v>67.22</v>
      </c>
      <c r="I15" s="6">
        <v>1.498769</v>
      </c>
    </row>
    <row r="16" spans="1:13" x14ac:dyDescent="0.25">
      <c r="A16" s="1" t="s">
        <v>18</v>
      </c>
      <c r="B16" s="5">
        <v>60.84</v>
      </c>
      <c r="C16" s="5">
        <v>60.19</v>
      </c>
      <c r="D16" s="5">
        <v>59.54</v>
      </c>
      <c r="E16" s="5">
        <v>58.91</v>
      </c>
      <c r="F16" s="5">
        <v>58.3</v>
      </c>
      <c r="G16" s="5">
        <v>57.68</v>
      </c>
      <c r="H16" s="5">
        <v>57.08</v>
      </c>
      <c r="I16" s="6">
        <v>-1.057596</v>
      </c>
    </row>
    <row r="17" spans="1:9" x14ac:dyDescent="0.25">
      <c r="A17" s="1" t="s">
        <v>19</v>
      </c>
      <c r="B17" s="5">
        <v>94.61</v>
      </c>
      <c r="C17" s="5">
        <v>95.77</v>
      </c>
      <c r="D17" s="5">
        <v>95.83</v>
      </c>
      <c r="E17" s="5">
        <v>96.08</v>
      </c>
      <c r="F17" s="5">
        <v>96.34</v>
      </c>
      <c r="G17" s="5">
        <v>96.63</v>
      </c>
      <c r="H17" s="5">
        <v>96.93</v>
      </c>
      <c r="I17" s="6">
        <v>0.40458100000000002</v>
      </c>
    </row>
    <row r="18" spans="1:9" x14ac:dyDescent="0.25">
      <c r="A18" s="1" t="s">
        <v>20</v>
      </c>
      <c r="B18" s="5">
        <v>86.2</v>
      </c>
      <c r="C18" s="5">
        <v>86.37</v>
      </c>
      <c r="D18" s="5">
        <v>86.64</v>
      </c>
      <c r="E18" s="5">
        <v>87</v>
      </c>
      <c r="F18" s="5">
        <v>87.42</v>
      </c>
      <c r="G18" s="5">
        <v>88.11</v>
      </c>
      <c r="H18" s="5">
        <v>87.9</v>
      </c>
      <c r="I18" s="6">
        <v>0.32602399999999998</v>
      </c>
    </row>
    <row r="19" spans="1:9" x14ac:dyDescent="0.25">
      <c r="A19" s="1" t="s">
        <v>21</v>
      </c>
      <c r="B19" s="5">
        <v>87.73</v>
      </c>
      <c r="C19" s="5">
        <v>88.62</v>
      </c>
      <c r="D19" s="5">
        <v>89.45</v>
      </c>
      <c r="E19" s="5">
        <v>90.33</v>
      </c>
      <c r="F19" s="5">
        <v>91.16</v>
      </c>
      <c r="G19" s="5">
        <v>91.89</v>
      </c>
      <c r="H19" s="5">
        <v>92.63</v>
      </c>
      <c r="I19" s="6">
        <v>0.90993400000000002</v>
      </c>
    </row>
    <row r="20" spans="1:9" x14ac:dyDescent="0.25">
      <c r="A20" s="1" t="s">
        <v>22</v>
      </c>
      <c r="B20" s="5">
        <v>33.96</v>
      </c>
      <c r="C20" s="5">
        <v>35.56</v>
      </c>
      <c r="D20" s="5">
        <v>37.15</v>
      </c>
      <c r="E20" s="5">
        <v>38.71</v>
      </c>
      <c r="F20" s="5">
        <v>40.11</v>
      </c>
      <c r="G20" s="5">
        <v>41.46</v>
      </c>
      <c r="H20" s="5">
        <v>42.77</v>
      </c>
      <c r="I20" s="6">
        <v>3.9190719999999999</v>
      </c>
    </row>
    <row r="21" spans="1:9" x14ac:dyDescent="0.25">
      <c r="A21" s="1" t="s">
        <v>23</v>
      </c>
      <c r="B21" s="5">
        <v>61.31</v>
      </c>
      <c r="C21" s="5">
        <v>63.67</v>
      </c>
      <c r="D21" s="5">
        <v>65.84</v>
      </c>
      <c r="E21" s="5">
        <v>67.48</v>
      </c>
      <c r="F21" s="5">
        <v>68.58</v>
      </c>
      <c r="G21" s="5">
        <v>69.38</v>
      </c>
      <c r="H21" s="5">
        <v>69.739999999999995</v>
      </c>
      <c r="I21" s="6">
        <v>2.1704029999999999</v>
      </c>
    </row>
    <row r="22" spans="1:9" x14ac:dyDescent="0.25">
      <c r="A22" s="1" t="s">
        <v>24</v>
      </c>
      <c r="B22" s="5">
        <v>92.59</v>
      </c>
      <c r="C22" s="5">
        <v>93.57</v>
      </c>
      <c r="D22" s="5">
        <v>93.65</v>
      </c>
      <c r="E22" s="5">
        <v>93.94</v>
      </c>
      <c r="F22" s="5">
        <v>94.32</v>
      </c>
      <c r="G22" s="5">
        <v>94.74</v>
      </c>
      <c r="H22" s="5">
        <v>95.15</v>
      </c>
      <c r="I22" s="6">
        <v>0.455592</v>
      </c>
    </row>
    <row r="23" spans="1:9" x14ac:dyDescent="0.25">
      <c r="A23" s="1" t="s">
        <v>25</v>
      </c>
      <c r="B23" s="5">
        <v>16.690000000000001</v>
      </c>
      <c r="C23" s="5">
        <v>17.54</v>
      </c>
      <c r="D23" s="5">
        <v>18.510000000000002</v>
      </c>
      <c r="E23" s="5">
        <v>19.61</v>
      </c>
      <c r="F23" s="5">
        <v>20.49</v>
      </c>
      <c r="G23" s="5">
        <v>21.44</v>
      </c>
      <c r="H23" s="5">
        <v>21.93</v>
      </c>
      <c r="I23" s="6">
        <v>4.6558999999999999</v>
      </c>
    </row>
    <row r="24" spans="1:9" x14ac:dyDescent="0.25">
      <c r="A24" s="1" t="s">
        <v>26</v>
      </c>
      <c r="B24" s="5">
        <v>94.13</v>
      </c>
      <c r="C24" s="5">
        <v>94.36</v>
      </c>
      <c r="D24" s="5">
        <v>94.69</v>
      </c>
      <c r="E24" s="5">
        <v>94.89</v>
      </c>
      <c r="F24" s="5">
        <v>95</v>
      </c>
      <c r="G24" s="5">
        <v>95.09</v>
      </c>
      <c r="H24" s="5">
        <v>95.15</v>
      </c>
      <c r="I24" s="6">
        <v>0.17979100000000001</v>
      </c>
    </row>
    <row r="25" spans="1:9" x14ac:dyDescent="0.25">
      <c r="A25" s="1" t="s">
        <v>27</v>
      </c>
      <c r="B25" s="5">
        <v>72.89</v>
      </c>
      <c r="C25" s="5">
        <v>73</v>
      </c>
      <c r="D25" s="5">
        <v>74.08</v>
      </c>
      <c r="E25" s="5">
        <v>74.94</v>
      </c>
      <c r="F25" s="5">
        <v>75.900000000000006</v>
      </c>
      <c r="G25" s="5">
        <v>76.819999999999993</v>
      </c>
      <c r="H25" s="5">
        <v>77.59</v>
      </c>
      <c r="I25" s="6">
        <v>1.046894</v>
      </c>
    </row>
    <row r="26" spans="1:9" x14ac:dyDescent="0.25">
      <c r="A26" s="1" t="s">
        <v>28</v>
      </c>
      <c r="B26" s="5">
        <v>92.48</v>
      </c>
      <c r="C26" s="5">
        <v>92.87</v>
      </c>
      <c r="D26" s="5">
        <v>93.06</v>
      </c>
      <c r="E26" s="5">
        <v>93.41</v>
      </c>
      <c r="F26" s="5">
        <v>94.32</v>
      </c>
      <c r="G26" s="5">
        <v>95</v>
      </c>
      <c r="H26" s="5">
        <v>95.93</v>
      </c>
      <c r="I26" s="6">
        <v>0.61230600000000002</v>
      </c>
    </row>
    <row r="27" spans="1:9" x14ac:dyDescent="0.25">
      <c r="A27" s="1" t="s">
        <v>29</v>
      </c>
      <c r="B27" s="5">
        <v>45.95</v>
      </c>
      <c r="C27" s="5">
        <v>46.67</v>
      </c>
      <c r="D27" s="5">
        <v>47.11</v>
      </c>
      <c r="E27" s="5">
        <v>47.33</v>
      </c>
      <c r="F27" s="5">
        <v>47.34</v>
      </c>
      <c r="G27" s="5">
        <v>47.12</v>
      </c>
      <c r="H27" s="5">
        <v>46.69</v>
      </c>
      <c r="I27" s="6">
        <v>0.26662400000000003</v>
      </c>
    </row>
    <row r="28" spans="1:9" x14ac:dyDescent="0.25">
      <c r="A28" s="1" t="s">
        <v>30</v>
      </c>
      <c r="B28" s="5">
        <v>71.38</v>
      </c>
      <c r="C28" s="5">
        <v>77.47</v>
      </c>
      <c r="D28" s="5">
        <v>82.56</v>
      </c>
      <c r="E28" s="5">
        <v>86.24</v>
      </c>
      <c r="F28" s="5">
        <v>88.81</v>
      </c>
      <c r="G28" s="5">
        <v>89.9</v>
      </c>
      <c r="H28" s="5">
        <v>90.05</v>
      </c>
      <c r="I28" s="6">
        <v>3.948413</v>
      </c>
    </row>
    <row r="29" spans="1:9" x14ac:dyDescent="0.25">
      <c r="A29" s="1" t="s">
        <v>31</v>
      </c>
      <c r="B29" s="5">
        <v>77.930000000000007</v>
      </c>
      <c r="C29" s="5">
        <v>80.39</v>
      </c>
      <c r="D29" s="5">
        <v>81.66</v>
      </c>
      <c r="E29" s="5">
        <v>82.34</v>
      </c>
      <c r="F29" s="5">
        <v>83</v>
      </c>
      <c r="G29" s="5">
        <v>83.59</v>
      </c>
      <c r="H29" s="5">
        <v>84.11</v>
      </c>
      <c r="I29" s="6">
        <v>1.2800309999999999</v>
      </c>
    </row>
    <row r="30" spans="1:9" x14ac:dyDescent="0.25">
      <c r="A30" s="1" t="s">
        <v>32</v>
      </c>
      <c r="B30" s="5">
        <v>80.59</v>
      </c>
      <c r="C30" s="5">
        <v>80.89</v>
      </c>
      <c r="D30" s="5">
        <v>80.95</v>
      </c>
      <c r="E30" s="5">
        <v>81.05</v>
      </c>
      <c r="F30" s="5">
        <v>81.180000000000007</v>
      </c>
      <c r="G30" s="5">
        <v>81.349999999999994</v>
      </c>
      <c r="H30" s="5">
        <v>81.540000000000006</v>
      </c>
      <c r="I30" s="6">
        <v>0.19550999999999999</v>
      </c>
    </row>
    <row r="31" spans="1:9" x14ac:dyDescent="0.25">
      <c r="A31" s="1" t="s">
        <v>33</v>
      </c>
      <c r="B31" s="5">
        <v>90.54</v>
      </c>
      <c r="C31" s="5">
        <v>90.87</v>
      </c>
      <c r="D31" s="5">
        <v>90.85</v>
      </c>
      <c r="E31" s="5">
        <v>90.87</v>
      </c>
      <c r="F31" s="5">
        <v>90.95</v>
      </c>
      <c r="G31" s="5">
        <v>91.05</v>
      </c>
      <c r="H31" s="5">
        <v>91.18</v>
      </c>
      <c r="I31" s="6">
        <v>0.117466</v>
      </c>
    </row>
    <row r="32" spans="1:9" ht="30" x14ac:dyDescent="0.25">
      <c r="A32" s="1" t="s">
        <v>34</v>
      </c>
      <c r="B32" s="5">
        <v>34.950000000000003</v>
      </c>
      <c r="C32" s="5">
        <v>35.590000000000003</v>
      </c>
      <c r="D32" s="5">
        <v>37.35</v>
      </c>
      <c r="E32" s="5">
        <v>39.1</v>
      </c>
      <c r="F32" s="5">
        <v>40.78</v>
      </c>
      <c r="G32" s="5">
        <v>42.25</v>
      </c>
      <c r="H32" s="5">
        <v>43.64</v>
      </c>
      <c r="I32" s="6">
        <v>3.7702650000000002</v>
      </c>
    </row>
    <row r="33" spans="1:9" ht="30" x14ac:dyDescent="0.25">
      <c r="A33" s="1" t="s">
        <v>35</v>
      </c>
      <c r="B33" s="5">
        <v>63.88</v>
      </c>
      <c r="C33" s="5">
        <v>65.64</v>
      </c>
      <c r="D33" s="5">
        <v>67</v>
      </c>
      <c r="E33" s="5">
        <v>68.31</v>
      </c>
      <c r="F33" s="5">
        <v>69.64</v>
      </c>
      <c r="G33" s="5">
        <v>71</v>
      </c>
      <c r="H33" s="5">
        <v>72.44</v>
      </c>
      <c r="I33" s="6">
        <v>2.1179890000000001</v>
      </c>
    </row>
    <row r="34" spans="1:9" x14ac:dyDescent="0.25">
      <c r="A34" s="1" t="s">
        <v>36</v>
      </c>
      <c r="B34" s="5">
        <v>57.96</v>
      </c>
      <c r="C34" s="5">
        <v>60.71</v>
      </c>
      <c r="D34" s="5">
        <v>63.59</v>
      </c>
      <c r="E34" s="5">
        <v>66.36</v>
      </c>
      <c r="F34" s="5">
        <v>68.989999999999995</v>
      </c>
      <c r="G34" s="5">
        <v>71.42</v>
      </c>
      <c r="H34" s="5">
        <v>73.650000000000006</v>
      </c>
      <c r="I34" s="6">
        <v>4.0736359999999996</v>
      </c>
    </row>
    <row r="35" spans="1:9" x14ac:dyDescent="0.25">
      <c r="A35" s="1" t="s">
        <v>37</v>
      </c>
      <c r="B35" s="5">
        <v>50.81</v>
      </c>
      <c r="C35" s="5">
        <v>53.78</v>
      </c>
      <c r="D35" s="5">
        <v>56.35</v>
      </c>
      <c r="E35" s="5">
        <v>59.18</v>
      </c>
      <c r="F35" s="5">
        <v>61.75</v>
      </c>
      <c r="G35" s="5">
        <v>63.48</v>
      </c>
      <c r="H35" s="5">
        <v>65.510000000000005</v>
      </c>
      <c r="I35" s="6">
        <v>4.3261229999999999</v>
      </c>
    </row>
    <row r="36" spans="1:9" x14ac:dyDescent="0.25">
      <c r="A36" s="1" t="s">
        <v>38</v>
      </c>
      <c r="B36" s="5">
        <v>33.72</v>
      </c>
      <c r="C36" s="5">
        <v>35.08</v>
      </c>
      <c r="D36" s="5">
        <v>36.44</v>
      </c>
      <c r="E36" s="5">
        <v>37.799999999999997</v>
      </c>
      <c r="F36" s="5">
        <v>39.119999999999997</v>
      </c>
      <c r="G36" s="5">
        <v>40.4</v>
      </c>
      <c r="H36" s="5">
        <v>41.66</v>
      </c>
      <c r="I36" s="6">
        <v>3.5870069999999998</v>
      </c>
    </row>
    <row r="37" spans="1:9" x14ac:dyDescent="0.25">
      <c r="A37" s="1" t="s">
        <v>39</v>
      </c>
      <c r="B37" s="5">
        <v>75.58</v>
      </c>
      <c r="C37" s="5">
        <v>75.23</v>
      </c>
      <c r="D37" s="5">
        <v>75.45</v>
      </c>
      <c r="E37" s="5">
        <v>75.66</v>
      </c>
      <c r="F37" s="5">
        <v>75.81</v>
      </c>
      <c r="G37" s="5">
        <v>75.91</v>
      </c>
      <c r="H37" s="5">
        <v>75.959999999999994</v>
      </c>
      <c r="I37" s="6">
        <v>8.3621000000000001E-2</v>
      </c>
    </row>
    <row r="38" spans="1:9" x14ac:dyDescent="0.25">
      <c r="A38" s="1" t="s">
        <v>40</v>
      </c>
      <c r="B38" s="5">
        <v>67.459999999999994</v>
      </c>
      <c r="C38" s="5">
        <v>69.08</v>
      </c>
      <c r="D38" s="5">
        <v>70.8</v>
      </c>
      <c r="E38" s="5">
        <v>72.37</v>
      </c>
      <c r="F38" s="5">
        <v>73.790000000000006</v>
      </c>
      <c r="G38" s="5">
        <v>75.22</v>
      </c>
      <c r="H38" s="5">
        <v>76.45</v>
      </c>
      <c r="I38" s="6">
        <v>2.1069239999999998</v>
      </c>
    </row>
    <row r="39" spans="1:9" x14ac:dyDescent="0.25">
      <c r="A39" s="1" t="s">
        <v>41</v>
      </c>
      <c r="B39" s="5">
        <v>102.28</v>
      </c>
      <c r="C39" s="5">
        <v>101.65</v>
      </c>
      <c r="D39" s="5">
        <v>101.07</v>
      </c>
      <c r="E39" s="5">
        <v>101.02</v>
      </c>
      <c r="F39" s="5">
        <v>101.1</v>
      </c>
      <c r="G39" s="5">
        <v>101.13</v>
      </c>
      <c r="H39" s="5">
        <v>100.79</v>
      </c>
      <c r="I39" s="6">
        <v>-0.244285</v>
      </c>
    </row>
    <row r="40" spans="1:9" x14ac:dyDescent="0.25">
      <c r="A40" s="1" t="s">
        <v>42</v>
      </c>
      <c r="B40" s="5">
        <v>93.62</v>
      </c>
      <c r="C40" s="5">
        <v>94.21</v>
      </c>
      <c r="D40" s="5">
        <v>94.79</v>
      </c>
      <c r="E40" s="5">
        <v>95.25</v>
      </c>
      <c r="F40" s="5">
        <v>95.96</v>
      </c>
      <c r="G40" s="5">
        <v>96.51</v>
      </c>
      <c r="H40" s="5">
        <v>96.8</v>
      </c>
      <c r="I40" s="6">
        <v>0.55826900000000002</v>
      </c>
    </row>
    <row r="41" spans="1:9" x14ac:dyDescent="0.25">
      <c r="A41" s="1" t="s">
        <v>43</v>
      </c>
      <c r="B41" s="5">
        <v>103.73</v>
      </c>
      <c r="C41" s="5">
        <v>105.85</v>
      </c>
      <c r="D41" s="5">
        <v>108.58</v>
      </c>
      <c r="E41" s="5">
        <v>111.36</v>
      </c>
      <c r="F41" s="5">
        <v>113.55</v>
      </c>
      <c r="G41" s="5">
        <v>115.52</v>
      </c>
      <c r="H41" s="5">
        <v>117.12</v>
      </c>
      <c r="I41" s="6">
        <v>2.0440719999999999</v>
      </c>
    </row>
    <row r="42" spans="1:9" x14ac:dyDescent="0.25">
      <c r="A42" s="1" t="s">
        <v>44</v>
      </c>
      <c r="B42" s="5">
        <v>25.32</v>
      </c>
      <c r="C42" s="5">
        <v>26.08</v>
      </c>
      <c r="D42" s="5">
        <v>27.02</v>
      </c>
      <c r="E42" s="5">
        <v>27.99</v>
      </c>
      <c r="F42" s="5">
        <v>29</v>
      </c>
      <c r="G42" s="5">
        <v>30.04</v>
      </c>
      <c r="H42" s="5">
        <v>31.12</v>
      </c>
      <c r="I42" s="6">
        <v>3.4973700000000001</v>
      </c>
    </row>
    <row r="43" spans="1:9" x14ac:dyDescent="0.25">
      <c r="A43" s="1" t="s">
        <v>45</v>
      </c>
      <c r="B43" s="5">
        <v>24.06</v>
      </c>
      <c r="C43" s="5">
        <v>25.25</v>
      </c>
      <c r="D43" s="5">
        <v>26.38</v>
      </c>
      <c r="E43" s="5">
        <v>27.24</v>
      </c>
      <c r="F43" s="5">
        <v>27.86</v>
      </c>
      <c r="G43" s="5">
        <v>28.34</v>
      </c>
      <c r="H43" s="5">
        <v>28.83</v>
      </c>
      <c r="I43" s="6">
        <v>3.060324</v>
      </c>
    </row>
    <row r="44" spans="1:9" x14ac:dyDescent="0.25">
      <c r="A44" s="1" t="s">
        <v>46</v>
      </c>
      <c r="B44" s="5">
        <v>104.56</v>
      </c>
      <c r="C44" s="5">
        <v>104.26</v>
      </c>
      <c r="D44" s="5">
        <v>104.07</v>
      </c>
      <c r="E44" s="5">
        <v>103.77</v>
      </c>
      <c r="F44" s="5">
        <v>103.87</v>
      </c>
      <c r="G44" s="5">
        <v>103.96</v>
      </c>
      <c r="H44" s="5">
        <v>103.94</v>
      </c>
      <c r="I44" s="6">
        <v>-9.9071999999999993E-2</v>
      </c>
    </row>
    <row r="45" spans="1:9" x14ac:dyDescent="0.25">
      <c r="A45" s="1" t="s">
        <v>47</v>
      </c>
      <c r="B45" s="5">
        <v>86.25</v>
      </c>
      <c r="C45" s="5">
        <v>86.46</v>
      </c>
      <c r="D45" s="5">
        <v>86.79</v>
      </c>
      <c r="E45" s="5">
        <v>87.51</v>
      </c>
      <c r="F45" s="5">
        <v>88.55</v>
      </c>
      <c r="G45" s="5">
        <v>89.55</v>
      </c>
      <c r="H45" s="5">
        <v>90.51</v>
      </c>
      <c r="I45" s="6">
        <v>0.80674199999999996</v>
      </c>
    </row>
    <row r="46" spans="1:9" x14ac:dyDescent="0.25">
      <c r="A46" s="1" t="s">
        <v>48</v>
      </c>
      <c r="B46" s="5">
        <v>13.73</v>
      </c>
      <c r="C46" s="5">
        <v>17.48</v>
      </c>
      <c r="D46" s="5">
        <v>18.579999999999998</v>
      </c>
      <c r="E46" s="5">
        <v>19.37</v>
      </c>
      <c r="F46" s="5">
        <v>20.440000000000001</v>
      </c>
      <c r="G46" s="5">
        <v>21.24</v>
      </c>
      <c r="H46" s="5">
        <v>22.5</v>
      </c>
      <c r="I46" s="6">
        <v>8.5805399999999992</v>
      </c>
    </row>
    <row r="47" spans="1:9" x14ac:dyDescent="0.25">
      <c r="A47" s="1" t="s">
        <v>49</v>
      </c>
      <c r="B47" s="5">
        <v>22.17</v>
      </c>
      <c r="C47" s="5">
        <v>24.28</v>
      </c>
      <c r="D47" s="5">
        <v>25.17</v>
      </c>
      <c r="E47" s="5">
        <v>25.95</v>
      </c>
      <c r="F47" s="5">
        <v>28.02</v>
      </c>
      <c r="G47" s="5">
        <v>29.57</v>
      </c>
      <c r="H47" s="5">
        <v>29.89</v>
      </c>
      <c r="I47" s="6">
        <v>5.1058050000000001</v>
      </c>
    </row>
    <row r="48" spans="1:9" x14ac:dyDescent="0.25">
      <c r="A48" s="1" t="s">
        <v>50</v>
      </c>
      <c r="B48" s="5">
        <v>12.66</v>
      </c>
      <c r="C48" s="5">
        <v>14.55</v>
      </c>
      <c r="D48" s="5">
        <v>15.37</v>
      </c>
      <c r="E48" s="5">
        <v>16.16</v>
      </c>
      <c r="F48" s="5">
        <v>17.02</v>
      </c>
      <c r="G48" s="5">
        <v>17.940000000000001</v>
      </c>
      <c r="H48" s="5">
        <v>18.8</v>
      </c>
      <c r="I48" s="6">
        <v>6.8121580000000002</v>
      </c>
    </row>
    <row r="49" spans="1:9" x14ac:dyDescent="0.25">
      <c r="A49" s="1" t="s">
        <v>51</v>
      </c>
      <c r="B49" s="5">
        <v>72.27</v>
      </c>
      <c r="C49" s="5">
        <v>74.19</v>
      </c>
      <c r="D49" s="5">
        <v>76.25</v>
      </c>
      <c r="E49" s="5">
        <v>78.39</v>
      </c>
      <c r="F49" s="5">
        <v>80.510000000000005</v>
      </c>
      <c r="G49" s="5">
        <v>82.37</v>
      </c>
      <c r="H49" s="5">
        <v>83.89</v>
      </c>
      <c r="I49" s="6">
        <v>2.5160879999999999</v>
      </c>
    </row>
    <row r="50" spans="1:9" x14ac:dyDescent="0.25">
      <c r="A50" s="1" t="s">
        <v>52</v>
      </c>
      <c r="B50" s="5">
        <v>96.55</v>
      </c>
      <c r="C50" s="5">
        <v>96.61</v>
      </c>
      <c r="D50" s="5">
        <v>96.78</v>
      </c>
      <c r="E50" s="5">
        <v>96.83</v>
      </c>
      <c r="F50" s="5">
        <v>96.94</v>
      </c>
      <c r="G50" s="5">
        <v>96.98</v>
      </c>
      <c r="H50" s="5">
        <v>97.03</v>
      </c>
      <c r="I50" s="6">
        <v>8.2687999999999998E-2</v>
      </c>
    </row>
    <row r="51" spans="1:9" x14ac:dyDescent="0.25">
      <c r="A51" s="1" t="s">
        <v>53</v>
      </c>
      <c r="B51" s="5">
        <v>63.1</v>
      </c>
      <c r="C51" s="5">
        <v>63.69</v>
      </c>
      <c r="D51" s="5">
        <v>65.22</v>
      </c>
      <c r="E51" s="5">
        <v>66.819999999999993</v>
      </c>
      <c r="F51" s="5">
        <v>68.53</v>
      </c>
      <c r="G51" s="5">
        <v>70.47</v>
      </c>
      <c r="H51" s="5">
        <v>72.41</v>
      </c>
      <c r="I51" s="6">
        <v>2.320236</v>
      </c>
    </row>
    <row r="52" spans="1:9" x14ac:dyDescent="0.25">
      <c r="A52" s="1" t="s">
        <v>54</v>
      </c>
      <c r="B52" s="5">
        <v>44.5</v>
      </c>
      <c r="C52" s="5">
        <v>46.06</v>
      </c>
      <c r="D52" s="5">
        <v>47.61</v>
      </c>
      <c r="E52" s="5">
        <v>49.12</v>
      </c>
      <c r="F52" s="5">
        <v>50.66</v>
      </c>
      <c r="G52" s="5">
        <v>52.1</v>
      </c>
      <c r="H52" s="5">
        <v>56.18</v>
      </c>
      <c r="I52" s="6">
        <v>3.9609610000000002</v>
      </c>
    </row>
    <row r="53" spans="1:9" x14ac:dyDescent="0.25">
      <c r="A53" s="1" t="s">
        <v>55</v>
      </c>
      <c r="B53" s="5">
        <v>84.93</v>
      </c>
      <c r="C53" s="5">
        <v>86.46</v>
      </c>
      <c r="D53" s="5">
        <v>87.64</v>
      </c>
      <c r="E53" s="5">
        <v>89.17</v>
      </c>
      <c r="F53" s="5">
        <v>91.01</v>
      </c>
      <c r="G53" s="5">
        <v>92.94</v>
      </c>
      <c r="H53" s="5">
        <v>94.48</v>
      </c>
      <c r="I53" s="6">
        <v>1.7918780000000001</v>
      </c>
    </row>
    <row r="54" spans="1:9" x14ac:dyDescent="0.25">
      <c r="A54" s="1" t="s">
        <v>56</v>
      </c>
      <c r="B54" s="5">
        <v>56.73</v>
      </c>
      <c r="C54" s="5">
        <v>58.81</v>
      </c>
      <c r="D54" s="5">
        <v>62</v>
      </c>
      <c r="E54" s="5">
        <v>64.64</v>
      </c>
      <c r="F54" s="5">
        <v>66.13</v>
      </c>
      <c r="G54" s="5">
        <v>67.930000000000007</v>
      </c>
      <c r="H54" s="5">
        <v>70.239999999999995</v>
      </c>
      <c r="I54" s="6">
        <v>3.6243820000000002</v>
      </c>
    </row>
    <row r="55" spans="1:9" x14ac:dyDescent="0.25">
      <c r="A55" s="1" t="s">
        <v>57</v>
      </c>
      <c r="B55" s="7" t="s">
        <v>58</v>
      </c>
      <c r="C55" s="7" t="s">
        <v>58</v>
      </c>
      <c r="D55" s="7" t="s">
        <v>58</v>
      </c>
      <c r="E55" s="7" t="s">
        <v>58</v>
      </c>
      <c r="F55" s="7" t="s">
        <v>58</v>
      </c>
      <c r="G55" s="7" t="s">
        <v>58</v>
      </c>
      <c r="H55" s="7" t="s">
        <v>58</v>
      </c>
      <c r="I55" s="7" t="s">
        <v>58</v>
      </c>
    </row>
    <row r="56" spans="1:9" x14ac:dyDescent="0.25">
      <c r="A56" s="1" t="s">
        <v>59</v>
      </c>
      <c r="B56" s="5">
        <v>39.450000000000003</v>
      </c>
      <c r="C56" s="5">
        <v>41.71</v>
      </c>
      <c r="D56" s="5">
        <v>44.29</v>
      </c>
      <c r="E56" s="5">
        <v>47.24</v>
      </c>
      <c r="F56" s="5">
        <v>50.72</v>
      </c>
      <c r="G56" s="5">
        <v>52.22</v>
      </c>
      <c r="H56" s="5">
        <v>52.5</v>
      </c>
      <c r="I56" s="6">
        <v>4.8782379999999996</v>
      </c>
    </row>
    <row r="57" spans="1:9" x14ac:dyDescent="0.25">
      <c r="A57" s="1" t="s">
        <v>60</v>
      </c>
      <c r="B57" s="5">
        <v>16.27</v>
      </c>
      <c r="C57" s="5">
        <v>17.34</v>
      </c>
      <c r="D57" s="5">
        <v>18.440000000000001</v>
      </c>
      <c r="E57" s="5">
        <v>19.57</v>
      </c>
      <c r="F57" s="5">
        <v>21.04</v>
      </c>
      <c r="G57" s="5">
        <v>22.4</v>
      </c>
      <c r="H57" s="5">
        <v>23.92</v>
      </c>
      <c r="I57" s="6">
        <v>6.6339759999999997</v>
      </c>
    </row>
    <row r="58" spans="1:9" ht="45" x14ac:dyDescent="0.25">
      <c r="A58" s="1" t="s">
        <v>61</v>
      </c>
      <c r="B58" s="5">
        <v>55.04</v>
      </c>
      <c r="C58" s="5">
        <v>57.2</v>
      </c>
      <c r="D58" s="5">
        <v>59.03</v>
      </c>
      <c r="E58" s="5">
        <v>60.42</v>
      </c>
      <c r="F58" s="5">
        <v>61.48</v>
      </c>
      <c r="G58" s="5">
        <v>62.34</v>
      </c>
      <c r="H58" s="5">
        <v>62.99</v>
      </c>
      <c r="I58" s="6">
        <v>2.2740680000000002</v>
      </c>
    </row>
    <row r="59" spans="1:9" x14ac:dyDescent="0.25">
      <c r="A59" s="1" t="s">
        <v>62</v>
      </c>
      <c r="B59" s="5">
        <v>57.13</v>
      </c>
      <c r="C59" s="5">
        <v>57.14</v>
      </c>
      <c r="D59" s="5">
        <v>56.94</v>
      </c>
      <c r="E59" s="5">
        <v>56.85</v>
      </c>
      <c r="F59" s="5">
        <v>56.85</v>
      </c>
      <c r="G59" s="5">
        <v>56.81</v>
      </c>
      <c r="H59" s="5">
        <v>56.73</v>
      </c>
      <c r="I59" s="6">
        <v>-0.117035</v>
      </c>
    </row>
    <row r="60" spans="1:9" x14ac:dyDescent="0.25">
      <c r="A60" s="1" t="s">
        <v>63</v>
      </c>
      <c r="B60" s="5">
        <v>67.78</v>
      </c>
      <c r="C60" s="5">
        <v>68</v>
      </c>
      <c r="D60" s="5">
        <v>68.09</v>
      </c>
      <c r="E60" s="5">
        <v>68.34</v>
      </c>
      <c r="F60" s="5">
        <v>68.89</v>
      </c>
      <c r="G60" s="5">
        <v>71.06</v>
      </c>
      <c r="H60" s="5">
        <v>73.17</v>
      </c>
      <c r="I60" s="6">
        <v>1.2834719999999999</v>
      </c>
    </row>
    <row r="61" spans="1:9" x14ac:dyDescent="0.25">
      <c r="A61" s="1" t="s">
        <v>64</v>
      </c>
      <c r="B61" s="5">
        <v>47.79</v>
      </c>
      <c r="C61" s="5">
        <v>46.09</v>
      </c>
      <c r="D61" s="5">
        <v>44.72</v>
      </c>
      <c r="E61" s="5">
        <v>43.58</v>
      </c>
      <c r="F61" s="5">
        <v>42.63</v>
      </c>
      <c r="G61" s="5">
        <v>41.81</v>
      </c>
      <c r="H61" s="5">
        <v>41.12</v>
      </c>
      <c r="I61" s="6">
        <v>-2.4742389999999999</v>
      </c>
    </row>
    <row r="62" spans="1:9" x14ac:dyDescent="0.25">
      <c r="A62" s="1" t="s">
        <v>65</v>
      </c>
      <c r="B62" s="5">
        <v>52.36</v>
      </c>
      <c r="C62" s="5">
        <v>54.54</v>
      </c>
      <c r="D62" s="5">
        <v>55.9</v>
      </c>
      <c r="E62" s="5">
        <v>56.68</v>
      </c>
      <c r="F62" s="5">
        <v>57.54</v>
      </c>
      <c r="G62" s="5">
        <v>58.35</v>
      </c>
      <c r="H62" s="5">
        <v>59.14</v>
      </c>
      <c r="I62" s="6">
        <v>2.0501420000000001</v>
      </c>
    </row>
    <row r="63" spans="1:9" x14ac:dyDescent="0.25">
      <c r="A63" s="1" t="s">
        <v>66</v>
      </c>
      <c r="B63" s="5">
        <v>67.37</v>
      </c>
      <c r="C63" s="5">
        <v>70.25</v>
      </c>
      <c r="D63" s="5">
        <v>72.19</v>
      </c>
      <c r="E63" s="5">
        <v>73.290000000000006</v>
      </c>
      <c r="F63" s="5">
        <v>73.709999999999994</v>
      </c>
      <c r="G63" s="5">
        <v>73.61</v>
      </c>
      <c r="H63" s="5">
        <v>73.09</v>
      </c>
      <c r="I63" s="6">
        <v>1.367461</v>
      </c>
    </row>
    <row r="64" spans="1:9" ht="30" x14ac:dyDescent="0.25">
      <c r="A64" s="1" t="s">
        <v>67</v>
      </c>
      <c r="B64" s="5">
        <v>11.84</v>
      </c>
      <c r="C64" s="5">
        <v>12.3</v>
      </c>
      <c r="D64" s="5">
        <v>12.72</v>
      </c>
      <c r="E64" s="5">
        <v>13.13</v>
      </c>
      <c r="F64" s="5">
        <v>13.49</v>
      </c>
      <c r="G64" s="5">
        <v>13.76</v>
      </c>
      <c r="H64" s="5">
        <v>14.01</v>
      </c>
      <c r="I64" s="6">
        <v>2.8445</v>
      </c>
    </row>
    <row r="65" spans="1:9" x14ac:dyDescent="0.25">
      <c r="A65" s="1" t="s">
        <v>68</v>
      </c>
      <c r="B65" s="7" t="s">
        <v>58</v>
      </c>
      <c r="C65" s="7" t="s">
        <v>58</v>
      </c>
      <c r="D65" s="7" t="s">
        <v>58</v>
      </c>
      <c r="E65" s="7" t="s">
        <v>58</v>
      </c>
      <c r="F65" s="7" t="s">
        <v>58</v>
      </c>
      <c r="G65" s="7" t="s">
        <v>58</v>
      </c>
      <c r="H65" s="7" t="s">
        <v>58</v>
      </c>
      <c r="I65" s="7" t="s">
        <v>58</v>
      </c>
    </row>
    <row r="66" spans="1:9" x14ac:dyDescent="0.25">
      <c r="A66" s="1" t="s">
        <v>69</v>
      </c>
      <c r="B66" s="5">
        <v>10.23</v>
      </c>
      <c r="C66" s="5">
        <v>11.21</v>
      </c>
      <c r="D66" s="5">
        <v>12.17</v>
      </c>
      <c r="E66" s="5">
        <v>13.47</v>
      </c>
      <c r="F66" s="5">
        <v>14.64</v>
      </c>
      <c r="G66" s="5">
        <v>16.239999999999998</v>
      </c>
      <c r="H66" s="5">
        <v>17.88</v>
      </c>
      <c r="I66" s="6">
        <v>9.7527249999999999</v>
      </c>
    </row>
    <row r="67" spans="1:9" x14ac:dyDescent="0.25">
      <c r="A67" s="1" t="s">
        <v>70</v>
      </c>
      <c r="B67" s="5">
        <v>92.38</v>
      </c>
      <c r="C67" s="5">
        <v>92.21</v>
      </c>
      <c r="D67" s="5">
        <v>92.05</v>
      </c>
      <c r="E67" s="5">
        <v>91.88</v>
      </c>
      <c r="F67" s="5">
        <v>91.68</v>
      </c>
      <c r="G67" s="5">
        <v>91.85</v>
      </c>
      <c r="H67" s="5">
        <v>91.93</v>
      </c>
      <c r="I67" s="6">
        <v>-8.1351999999999994E-2</v>
      </c>
    </row>
    <row r="68" spans="1:9" x14ac:dyDescent="0.25">
      <c r="A68" s="1" t="s">
        <v>71</v>
      </c>
      <c r="B68" s="5">
        <v>91.68</v>
      </c>
      <c r="C68" s="5">
        <v>92.15</v>
      </c>
      <c r="D68" s="5">
        <v>91.95</v>
      </c>
      <c r="E68" s="5">
        <v>92.58</v>
      </c>
      <c r="F68" s="5">
        <v>92.48</v>
      </c>
      <c r="G68" s="5">
        <v>92.95</v>
      </c>
      <c r="H68" s="5">
        <v>93.06</v>
      </c>
      <c r="I68" s="6">
        <v>0.24931300000000001</v>
      </c>
    </row>
    <row r="69" spans="1:9" x14ac:dyDescent="0.25">
      <c r="A69" s="1" t="s">
        <v>72</v>
      </c>
      <c r="B69" s="5">
        <v>24.05</v>
      </c>
      <c r="C69" s="5">
        <v>25.09</v>
      </c>
      <c r="D69" s="5">
        <v>25.93</v>
      </c>
      <c r="E69" s="5">
        <v>26.6</v>
      </c>
      <c r="F69" s="5">
        <v>27.08</v>
      </c>
      <c r="G69" s="5">
        <v>27.58</v>
      </c>
      <c r="H69" s="5">
        <v>28.1</v>
      </c>
      <c r="I69" s="6">
        <v>2.6278440000000001</v>
      </c>
    </row>
    <row r="70" spans="1:9" x14ac:dyDescent="0.25">
      <c r="A70" s="1" t="s">
        <v>73</v>
      </c>
      <c r="B70" s="7" t="s">
        <v>58</v>
      </c>
      <c r="C70" s="7" t="s">
        <v>58</v>
      </c>
      <c r="D70" s="7" t="s">
        <v>58</v>
      </c>
      <c r="E70" s="7" t="s">
        <v>58</v>
      </c>
      <c r="F70" s="7" t="s">
        <v>58</v>
      </c>
      <c r="G70" s="7" t="s">
        <v>58</v>
      </c>
      <c r="H70" s="7" t="s">
        <v>58</v>
      </c>
      <c r="I70" s="7" t="s">
        <v>58</v>
      </c>
    </row>
    <row r="71" spans="1:9" ht="30" x14ac:dyDescent="0.25">
      <c r="A71" s="1" t="s">
        <v>74</v>
      </c>
      <c r="B71" s="5">
        <v>90.08</v>
      </c>
      <c r="C71" s="5">
        <v>91.29</v>
      </c>
      <c r="D71" s="5">
        <v>92.72</v>
      </c>
      <c r="E71" s="5">
        <v>94.08</v>
      </c>
      <c r="F71" s="5">
        <v>95.5</v>
      </c>
      <c r="G71" s="5">
        <v>97.4</v>
      </c>
      <c r="H71" s="5">
        <v>98.47</v>
      </c>
      <c r="I71" s="6">
        <v>1.4952989999999999</v>
      </c>
    </row>
    <row r="72" spans="1:9" x14ac:dyDescent="0.25">
      <c r="A72" s="1" t="s">
        <v>75</v>
      </c>
      <c r="B72" s="5">
        <v>93.95</v>
      </c>
      <c r="C72" s="5">
        <v>95.05</v>
      </c>
      <c r="D72" s="5">
        <v>96.03</v>
      </c>
      <c r="E72" s="5">
        <v>97</v>
      </c>
      <c r="F72" s="5">
        <v>97.94</v>
      </c>
      <c r="G72" s="5">
        <v>98.74</v>
      </c>
      <c r="H72" s="5">
        <v>99.53</v>
      </c>
      <c r="I72" s="6">
        <v>0.96624500000000002</v>
      </c>
    </row>
    <row r="73" spans="1:9" x14ac:dyDescent="0.25">
      <c r="A73" s="1" t="s">
        <v>76</v>
      </c>
      <c r="B73" s="5">
        <v>77.55</v>
      </c>
      <c r="C73" s="5">
        <v>78.599999999999994</v>
      </c>
      <c r="D73" s="5">
        <v>79.47</v>
      </c>
      <c r="E73" s="5">
        <v>80.540000000000006</v>
      </c>
      <c r="F73" s="5">
        <v>82.07</v>
      </c>
      <c r="G73" s="5">
        <v>83.76</v>
      </c>
      <c r="H73" s="5">
        <v>85.6</v>
      </c>
      <c r="I73" s="6">
        <v>1.659662</v>
      </c>
    </row>
    <row r="74" spans="1:9" ht="45" x14ac:dyDescent="0.25">
      <c r="A74" s="1" t="s">
        <v>77</v>
      </c>
      <c r="B74" s="5">
        <v>28.83</v>
      </c>
      <c r="C74" s="5">
        <v>29.31</v>
      </c>
      <c r="D74" s="5">
        <v>29.73</v>
      </c>
      <c r="E74" s="5">
        <v>30.29</v>
      </c>
      <c r="F74" s="5">
        <v>32.26</v>
      </c>
      <c r="G74" s="5">
        <v>33.04</v>
      </c>
      <c r="H74" s="5">
        <v>33.93</v>
      </c>
      <c r="I74" s="6">
        <v>2.7519019999999998</v>
      </c>
    </row>
    <row r="75" spans="1:9" ht="45" x14ac:dyDescent="0.25">
      <c r="A75" s="1" t="s">
        <v>78</v>
      </c>
      <c r="B75" s="5">
        <v>53.27</v>
      </c>
      <c r="C75" s="5">
        <v>54.59</v>
      </c>
      <c r="D75" s="5">
        <v>55.87</v>
      </c>
      <c r="E75" s="5">
        <v>57.46</v>
      </c>
      <c r="F75" s="5">
        <v>59.43</v>
      </c>
      <c r="G75" s="5">
        <v>61.81</v>
      </c>
      <c r="H75" s="5">
        <v>64.64</v>
      </c>
      <c r="I75" s="6">
        <v>3.2768799999999998</v>
      </c>
    </row>
    <row r="76" spans="1:9" ht="60" x14ac:dyDescent="0.25">
      <c r="A76" s="1" t="s">
        <v>79</v>
      </c>
      <c r="B76" s="7" t="s">
        <v>58</v>
      </c>
      <c r="C76" s="7" t="s">
        <v>58</v>
      </c>
      <c r="D76" s="7" t="s">
        <v>58</v>
      </c>
      <c r="E76" s="7" t="s">
        <v>58</v>
      </c>
      <c r="F76" s="7" t="s">
        <v>58</v>
      </c>
      <c r="G76" s="7" t="s">
        <v>58</v>
      </c>
      <c r="H76" s="7" t="s">
        <v>58</v>
      </c>
      <c r="I76" s="7" t="s">
        <v>58</v>
      </c>
    </row>
    <row r="77" spans="1:9" ht="45" x14ac:dyDescent="0.25">
      <c r="A77" s="1" t="s">
        <v>80</v>
      </c>
      <c r="B77" s="7" t="s">
        <v>58</v>
      </c>
      <c r="C77" s="7" t="s">
        <v>58</v>
      </c>
      <c r="D77" s="7" t="s">
        <v>58</v>
      </c>
      <c r="E77" s="7" t="s">
        <v>58</v>
      </c>
      <c r="F77" s="7" t="s">
        <v>58</v>
      </c>
      <c r="G77" s="7" t="s">
        <v>58</v>
      </c>
      <c r="H77" s="7" t="s">
        <v>58</v>
      </c>
      <c r="I77" s="7" t="s">
        <v>58</v>
      </c>
    </row>
    <row r="78" spans="1:9" ht="45" x14ac:dyDescent="0.25">
      <c r="A78" s="1" t="s">
        <v>81</v>
      </c>
      <c r="B78" s="5">
        <v>95.31</v>
      </c>
      <c r="C78" s="5">
        <v>95.52</v>
      </c>
      <c r="D78" s="5">
        <v>95.61</v>
      </c>
      <c r="E78" s="5">
        <v>95.65</v>
      </c>
      <c r="F78" s="5">
        <v>95.67</v>
      </c>
      <c r="G78" s="5">
        <v>95.76</v>
      </c>
      <c r="H78" s="5">
        <v>95.85</v>
      </c>
      <c r="I78" s="6">
        <v>9.4206999999999999E-2</v>
      </c>
    </row>
    <row r="79" spans="1:9" x14ac:dyDescent="0.25">
      <c r="A79" s="1" t="s">
        <v>82</v>
      </c>
      <c r="B79" s="5">
        <v>9.7899999999999991</v>
      </c>
      <c r="C79" s="5">
        <v>10.87</v>
      </c>
      <c r="D79" s="5">
        <v>12.02</v>
      </c>
      <c r="E79" s="5">
        <v>13.45</v>
      </c>
      <c r="F79" s="5">
        <v>14.58</v>
      </c>
      <c r="G79" s="5">
        <v>15.57</v>
      </c>
      <c r="H79" s="5">
        <v>16.579999999999998</v>
      </c>
      <c r="I79" s="6">
        <v>9.1776239999999998</v>
      </c>
    </row>
    <row r="80" spans="1:9" x14ac:dyDescent="0.25">
      <c r="A80" s="1" t="s">
        <v>83</v>
      </c>
      <c r="B80" s="5">
        <v>44.23</v>
      </c>
      <c r="C80" s="5">
        <v>44.81</v>
      </c>
      <c r="D80" s="5">
        <v>45.11</v>
      </c>
      <c r="E80" s="5">
        <v>45.57</v>
      </c>
      <c r="F80" s="5">
        <v>45.49</v>
      </c>
      <c r="G80" s="5">
        <v>45.52</v>
      </c>
      <c r="H80" s="5">
        <v>45.67</v>
      </c>
      <c r="I80" s="6">
        <v>0.53539999999999999</v>
      </c>
    </row>
    <row r="81" spans="1:9" x14ac:dyDescent="0.25">
      <c r="A81" s="1" t="s">
        <v>84</v>
      </c>
      <c r="B81" s="5">
        <v>52.36</v>
      </c>
      <c r="C81" s="5">
        <v>53.78</v>
      </c>
      <c r="D81" s="5">
        <v>55.01</v>
      </c>
      <c r="E81" s="5">
        <v>56.02</v>
      </c>
      <c r="F81" s="5">
        <v>56.81</v>
      </c>
      <c r="G81" s="5">
        <v>57.38</v>
      </c>
      <c r="H81" s="5">
        <v>57.73</v>
      </c>
      <c r="I81" s="6">
        <v>1.6405449999999999</v>
      </c>
    </row>
    <row r="82" spans="1:9" x14ac:dyDescent="0.25">
      <c r="A82" s="1" t="s">
        <v>85</v>
      </c>
      <c r="B82" s="5">
        <v>41.26</v>
      </c>
      <c r="C82" s="5">
        <v>44.16</v>
      </c>
      <c r="D82" s="5">
        <v>46.98</v>
      </c>
      <c r="E82" s="5">
        <v>49.71</v>
      </c>
      <c r="F82" s="5">
        <v>52.08</v>
      </c>
      <c r="G82" s="5">
        <v>54.32</v>
      </c>
      <c r="H82" s="5">
        <v>56.94</v>
      </c>
      <c r="I82" s="6">
        <v>5.5151219999999999</v>
      </c>
    </row>
    <row r="83" spans="1:9" x14ac:dyDescent="0.25">
      <c r="A83" s="1" t="s">
        <v>86</v>
      </c>
      <c r="B83" s="5">
        <v>37.74</v>
      </c>
      <c r="C83" s="5">
        <v>40.380000000000003</v>
      </c>
      <c r="D83" s="5">
        <v>42.96</v>
      </c>
      <c r="E83" s="5">
        <v>45.97</v>
      </c>
      <c r="F83" s="5">
        <v>49.23</v>
      </c>
      <c r="G83" s="5">
        <v>52.65</v>
      </c>
      <c r="H83" s="5">
        <v>56.16</v>
      </c>
      <c r="I83" s="6">
        <v>6.8491</v>
      </c>
    </row>
    <row r="84" spans="1:9" x14ac:dyDescent="0.25">
      <c r="A84" s="1" t="s">
        <v>87</v>
      </c>
      <c r="B84" s="5">
        <v>33.94</v>
      </c>
      <c r="C84" s="5">
        <v>38.97</v>
      </c>
      <c r="D84" s="5">
        <v>44.16</v>
      </c>
      <c r="E84" s="5">
        <v>47.01</v>
      </c>
      <c r="F84" s="5">
        <v>49.18</v>
      </c>
      <c r="G84" s="5">
        <v>51.35</v>
      </c>
      <c r="H84" s="5">
        <v>53.33</v>
      </c>
      <c r="I84" s="6">
        <v>7.8226389999999997</v>
      </c>
    </row>
    <row r="85" spans="1:9" x14ac:dyDescent="0.25">
      <c r="A85" s="1" t="s">
        <v>88</v>
      </c>
      <c r="B85" s="5">
        <v>64.150000000000006</v>
      </c>
      <c r="C85" s="5">
        <v>65.91</v>
      </c>
      <c r="D85" s="5">
        <v>67.599999999999994</v>
      </c>
      <c r="E85" s="5">
        <v>69.34</v>
      </c>
      <c r="F85" s="5">
        <v>70.97</v>
      </c>
      <c r="G85" s="5">
        <v>72.48</v>
      </c>
      <c r="H85" s="5">
        <v>73.89</v>
      </c>
      <c r="I85" s="6">
        <v>2.3838599999999999</v>
      </c>
    </row>
    <row r="86" spans="1:9" x14ac:dyDescent="0.25">
      <c r="A86" s="1" t="s">
        <v>89</v>
      </c>
      <c r="B86" s="5">
        <v>90.13</v>
      </c>
      <c r="C86" s="5">
        <v>91.71</v>
      </c>
      <c r="D86" s="5">
        <v>93.09</v>
      </c>
      <c r="E86" s="5">
        <v>94.31</v>
      </c>
      <c r="F86" s="5">
        <v>95.39</v>
      </c>
      <c r="G86" s="5">
        <v>96.4</v>
      </c>
      <c r="H86" s="5">
        <v>97.55</v>
      </c>
      <c r="I86" s="6">
        <v>1.327264</v>
      </c>
    </row>
    <row r="87" spans="1:9" x14ac:dyDescent="0.25">
      <c r="A87" s="1" t="s">
        <v>90</v>
      </c>
      <c r="B87" s="5">
        <v>64.48</v>
      </c>
      <c r="C87" s="5">
        <v>66.88</v>
      </c>
      <c r="D87" s="5">
        <v>69.239999999999995</v>
      </c>
      <c r="E87" s="5">
        <v>71.53</v>
      </c>
      <c r="F87" s="5">
        <v>73.72</v>
      </c>
      <c r="G87" s="5">
        <v>75.81</v>
      </c>
      <c r="H87" s="5">
        <v>77.8</v>
      </c>
      <c r="I87" s="6">
        <v>3.179265</v>
      </c>
    </row>
    <row r="88" spans="1:9" x14ac:dyDescent="0.25">
      <c r="A88" s="1" t="s">
        <v>91</v>
      </c>
      <c r="B88" s="5">
        <v>99.17</v>
      </c>
      <c r="C88" s="5">
        <v>97.24</v>
      </c>
      <c r="D88" s="5">
        <v>97.57</v>
      </c>
      <c r="E88" s="5">
        <v>97.94</v>
      </c>
      <c r="F88" s="5">
        <v>98.3</v>
      </c>
      <c r="G88" s="5">
        <v>98.7</v>
      </c>
      <c r="H88" s="5">
        <v>98.74</v>
      </c>
      <c r="I88" s="6">
        <v>-7.2397000000000003E-2</v>
      </c>
    </row>
    <row r="89" spans="1:9" x14ac:dyDescent="0.25">
      <c r="A89" s="1" t="s">
        <v>92</v>
      </c>
      <c r="B89" s="5">
        <v>85.74</v>
      </c>
      <c r="C89" s="5">
        <v>88.3</v>
      </c>
      <c r="D89" s="5">
        <v>89.83</v>
      </c>
      <c r="E89" s="5">
        <v>91.06</v>
      </c>
      <c r="F89" s="5">
        <v>91.98</v>
      </c>
      <c r="G89" s="5">
        <v>92.86</v>
      </c>
      <c r="H89" s="5">
        <v>93.64</v>
      </c>
      <c r="I89" s="6">
        <v>1.4798119999999999</v>
      </c>
    </row>
    <row r="90" spans="1:9" x14ac:dyDescent="0.25">
      <c r="A90" s="1" t="s">
        <v>93</v>
      </c>
      <c r="B90" s="5">
        <v>64.81</v>
      </c>
      <c r="C90" s="5">
        <v>67.33</v>
      </c>
      <c r="D90" s="5">
        <v>69.069999999999993</v>
      </c>
      <c r="E90" s="5">
        <v>70.52</v>
      </c>
      <c r="F90" s="5">
        <v>71.709999999999994</v>
      </c>
      <c r="G90" s="5">
        <v>72.67</v>
      </c>
      <c r="H90" s="5">
        <v>73.430000000000007</v>
      </c>
      <c r="I90" s="6">
        <v>2.1030190000000002</v>
      </c>
    </row>
    <row r="91" spans="1:9" x14ac:dyDescent="0.25">
      <c r="A91" s="1" t="s">
        <v>94</v>
      </c>
      <c r="B91" s="5">
        <v>47.77</v>
      </c>
      <c r="C91" s="5">
        <v>49.82</v>
      </c>
      <c r="D91" s="5">
        <v>51.74</v>
      </c>
      <c r="E91" s="5">
        <v>52.49</v>
      </c>
      <c r="F91" s="5">
        <v>53.54</v>
      </c>
      <c r="G91" s="5">
        <v>54.66</v>
      </c>
      <c r="H91" s="5">
        <v>55.33</v>
      </c>
      <c r="I91" s="6">
        <v>2.4788489999999999</v>
      </c>
    </row>
    <row r="92" spans="1:9" x14ac:dyDescent="0.25">
      <c r="A92" s="1" t="s">
        <v>95</v>
      </c>
      <c r="B92" s="5">
        <v>85.81</v>
      </c>
      <c r="C92" s="5">
        <v>86.52</v>
      </c>
      <c r="D92" s="5">
        <v>89.3</v>
      </c>
      <c r="E92" s="5">
        <v>90.12</v>
      </c>
      <c r="F92" s="5">
        <v>90.76</v>
      </c>
      <c r="G92" s="5">
        <v>91.25</v>
      </c>
      <c r="H92" s="5">
        <v>91.66</v>
      </c>
      <c r="I92" s="6">
        <v>1.1052390000000001</v>
      </c>
    </row>
    <row r="93" spans="1:9" x14ac:dyDescent="0.25">
      <c r="A93" s="1" t="s">
        <v>96</v>
      </c>
      <c r="B93" s="5">
        <v>99.8</v>
      </c>
      <c r="C93" s="5">
        <v>102.47</v>
      </c>
      <c r="D93" s="5">
        <v>102.13</v>
      </c>
      <c r="E93" s="5">
        <v>102.35</v>
      </c>
      <c r="F93" s="5">
        <v>101.91</v>
      </c>
      <c r="G93" s="5">
        <v>102.04</v>
      </c>
      <c r="H93" s="5">
        <v>102.17</v>
      </c>
      <c r="I93" s="6">
        <v>0.39193099999999997</v>
      </c>
    </row>
    <row r="94" spans="1:9" x14ac:dyDescent="0.25">
      <c r="A94" s="1" t="s">
        <v>97</v>
      </c>
      <c r="B94" s="5">
        <v>92.28</v>
      </c>
      <c r="C94" s="5">
        <v>96.45</v>
      </c>
      <c r="D94" s="5">
        <v>97.15</v>
      </c>
      <c r="E94" s="5">
        <v>97.39</v>
      </c>
      <c r="F94" s="5">
        <v>97.37</v>
      </c>
      <c r="G94" s="5">
        <v>97.16</v>
      </c>
      <c r="H94" s="5">
        <v>96.85</v>
      </c>
      <c r="I94" s="6">
        <v>0.80885300000000004</v>
      </c>
    </row>
    <row r="95" spans="1:9" x14ac:dyDescent="0.25">
      <c r="A95" s="1" t="s">
        <v>98</v>
      </c>
      <c r="B95" s="5">
        <v>88.82</v>
      </c>
      <c r="C95" s="5">
        <v>89.13</v>
      </c>
      <c r="D95" s="5">
        <v>89.73</v>
      </c>
      <c r="E95" s="5">
        <v>90.53</v>
      </c>
      <c r="F95" s="5">
        <v>91.46</v>
      </c>
      <c r="G95" s="5">
        <v>92.33</v>
      </c>
      <c r="H95" s="5">
        <v>93.12</v>
      </c>
      <c r="I95" s="6">
        <v>0.79106500000000002</v>
      </c>
    </row>
    <row r="96" spans="1:9" x14ac:dyDescent="0.25">
      <c r="A96" s="1" t="s">
        <v>99</v>
      </c>
      <c r="B96" s="5">
        <v>13.52</v>
      </c>
      <c r="C96" s="5">
        <v>16.18</v>
      </c>
      <c r="D96" s="5">
        <v>19.309999999999999</v>
      </c>
      <c r="E96" s="5">
        <v>22.75</v>
      </c>
      <c r="F96" s="5">
        <v>26.39</v>
      </c>
      <c r="G96" s="5">
        <v>29.5</v>
      </c>
      <c r="H96" s="5">
        <v>32.409999999999997</v>
      </c>
      <c r="I96" s="6">
        <v>15.686776999999999</v>
      </c>
    </row>
    <row r="97" spans="1:9" x14ac:dyDescent="0.25">
      <c r="A97" s="1" t="s">
        <v>100</v>
      </c>
      <c r="B97" s="5">
        <v>112.52</v>
      </c>
      <c r="C97" s="5">
        <v>112.67</v>
      </c>
      <c r="D97" s="5">
        <v>112.57</v>
      </c>
      <c r="E97" s="5">
        <v>112.46</v>
      </c>
      <c r="F97" s="5">
        <v>112.44</v>
      </c>
      <c r="G97" s="5">
        <v>112.73</v>
      </c>
      <c r="H97" s="5">
        <v>113.01</v>
      </c>
      <c r="I97" s="6">
        <v>7.2447999999999999E-2</v>
      </c>
    </row>
    <row r="98" spans="1:9" x14ac:dyDescent="0.25">
      <c r="A98" s="1" t="s">
        <v>101</v>
      </c>
      <c r="B98" s="5">
        <v>83.98</v>
      </c>
      <c r="C98" s="5">
        <v>84.71</v>
      </c>
      <c r="D98" s="5">
        <v>85.23</v>
      </c>
      <c r="E98" s="5">
        <v>85.67</v>
      </c>
      <c r="F98" s="5">
        <v>86.08</v>
      </c>
      <c r="G98" s="5">
        <v>86.51</v>
      </c>
      <c r="H98" s="5">
        <v>86.98</v>
      </c>
      <c r="I98" s="6">
        <v>0.58670699999999998</v>
      </c>
    </row>
    <row r="99" spans="1:9" x14ac:dyDescent="0.25">
      <c r="A99" s="1" t="s">
        <v>102</v>
      </c>
      <c r="B99" s="5">
        <v>87.51</v>
      </c>
      <c r="C99" s="5">
        <v>88.92</v>
      </c>
      <c r="D99" s="5">
        <v>90.39</v>
      </c>
      <c r="E99" s="5">
        <v>91.62</v>
      </c>
      <c r="F99" s="5">
        <v>92.63</v>
      </c>
      <c r="G99" s="5">
        <v>93.5</v>
      </c>
      <c r="H99" s="5">
        <v>94.04</v>
      </c>
      <c r="I99" s="6">
        <v>1.2066749999999999</v>
      </c>
    </row>
    <row r="100" spans="1:9" x14ac:dyDescent="0.25">
      <c r="A100" s="1" t="s">
        <v>103</v>
      </c>
      <c r="B100" s="5">
        <v>102.59</v>
      </c>
      <c r="C100" s="5">
        <v>102.07</v>
      </c>
      <c r="D100" s="5">
        <v>101.62</v>
      </c>
      <c r="E100" s="5">
        <v>101.2</v>
      </c>
      <c r="F100" s="5">
        <v>100.76</v>
      </c>
      <c r="G100" s="5">
        <v>100.27</v>
      </c>
      <c r="H100" s="5">
        <v>99.84</v>
      </c>
      <c r="I100" s="6">
        <v>-0.45183499999999999</v>
      </c>
    </row>
    <row r="101" spans="1:9" x14ac:dyDescent="0.25">
      <c r="A101" s="1" t="s">
        <v>104</v>
      </c>
      <c r="B101" s="5">
        <v>5.07</v>
      </c>
      <c r="C101" s="5">
        <v>5.27</v>
      </c>
      <c r="D101" s="5">
        <v>5.48</v>
      </c>
      <c r="E101" s="5">
        <v>5.7</v>
      </c>
      <c r="F101" s="5">
        <v>5.97</v>
      </c>
      <c r="G101" s="5">
        <v>6.23</v>
      </c>
      <c r="H101" s="5">
        <v>6.52</v>
      </c>
      <c r="I101" s="6">
        <v>4.2813410000000003</v>
      </c>
    </row>
    <row r="102" spans="1:9" x14ac:dyDescent="0.25">
      <c r="A102" s="1" t="s">
        <v>105</v>
      </c>
      <c r="B102" s="5">
        <v>74.47</v>
      </c>
      <c r="C102" s="5">
        <v>75.86</v>
      </c>
      <c r="D102" s="5">
        <v>76.61</v>
      </c>
      <c r="E102" s="5">
        <v>77.680000000000007</v>
      </c>
      <c r="F102" s="5">
        <v>77.84</v>
      </c>
      <c r="G102" s="5">
        <v>78.42</v>
      </c>
      <c r="H102" s="5">
        <v>79.53</v>
      </c>
      <c r="I102" s="6">
        <v>1.1016570000000001</v>
      </c>
    </row>
    <row r="103" spans="1:9" x14ac:dyDescent="0.25">
      <c r="A103" s="1" t="s">
        <v>106</v>
      </c>
      <c r="B103" s="5">
        <v>47</v>
      </c>
      <c r="C103" s="5">
        <v>47.07</v>
      </c>
      <c r="D103" s="5">
        <v>47.18</v>
      </c>
      <c r="E103" s="5">
        <v>47.36</v>
      </c>
      <c r="F103" s="5">
        <v>47.54</v>
      </c>
      <c r="G103" s="5">
        <v>47.65</v>
      </c>
      <c r="H103" s="5">
        <v>47.95</v>
      </c>
      <c r="I103" s="6">
        <v>0.33407700000000001</v>
      </c>
    </row>
    <row r="104" spans="1:9" ht="30" x14ac:dyDescent="0.25">
      <c r="A104" s="1" t="s">
        <v>107</v>
      </c>
      <c r="B104" s="5">
        <v>79.05</v>
      </c>
      <c r="C104" s="5">
        <v>79.77</v>
      </c>
      <c r="D104" s="5">
        <v>80.400000000000006</v>
      </c>
      <c r="E104" s="5">
        <v>80.95</v>
      </c>
      <c r="F104" s="5">
        <v>81.42</v>
      </c>
      <c r="G104" s="5">
        <v>81.83</v>
      </c>
      <c r="H104" s="5">
        <v>82.17</v>
      </c>
      <c r="I104" s="6">
        <v>0.64724700000000002</v>
      </c>
    </row>
    <row r="105" spans="1:9" x14ac:dyDescent="0.25">
      <c r="A105" s="1" t="s">
        <v>108</v>
      </c>
      <c r="B105" s="5">
        <v>77.53</v>
      </c>
      <c r="C105" s="5">
        <v>80.11</v>
      </c>
      <c r="D105" s="5">
        <v>82.44</v>
      </c>
      <c r="E105" s="5">
        <v>84.43</v>
      </c>
      <c r="F105" s="5">
        <v>85.97</v>
      </c>
      <c r="G105" s="5">
        <v>87</v>
      </c>
      <c r="H105" s="5">
        <v>87.57</v>
      </c>
      <c r="I105" s="6">
        <v>2.0502940000000001</v>
      </c>
    </row>
    <row r="106" spans="1:9" ht="30" x14ac:dyDescent="0.25">
      <c r="A106" s="1" t="s">
        <v>109</v>
      </c>
      <c r="B106" s="5">
        <v>94.97</v>
      </c>
      <c r="C106" s="5">
        <v>95.48</v>
      </c>
      <c r="D106" s="5">
        <v>95.82</v>
      </c>
      <c r="E106" s="5">
        <v>96.29</v>
      </c>
      <c r="F106" s="5">
        <v>96.58</v>
      </c>
      <c r="G106" s="5">
        <v>96.89</v>
      </c>
      <c r="H106" s="5">
        <v>96.89</v>
      </c>
      <c r="I106" s="6">
        <v>0.33414500000000003</v>
      </c>
    </row>
    <row r="107" spans="1:9" x14ac:dyDescent="0.25">
      <c r="A107" s="1" t="s">
        <v>110</v>
      </c>
      <c r="B107" s="5">
        <v>99.24</v>
      </c>
      <c r="C107" s="5">
        <v>99.37</v>
      </c>
      <c r="D107" s="5">
        <v>99.55</v>
      </c>
      <c r="E107" s="5">
        <v>99.53</v>
      </c>
      <c r="F107" s="5">
        <v>99.48</v>
      </c>
      <c r="G107" s="5">
        <v>99.42</v>
      </c>
      <c r="H107" s="5">
        <v>99.37</v>
      </c>
      <c r="I107" s="6">
        <v>2.1821E-2</v>
      </c>
    </row>
    <row r="108" spans="1:9" x14ac:dyDescent="0.25">
      <c r="A108" s="1" t="s">
        <v>111</v>
      </c>
      <c r="B108" s="5">
        <v>88.06</v>
      </c>
      <c r="C108" s="5">
        <v>88.66</v>
      </c>
      <c r="D108" s="5">
        <v>90.91</v>
      </c>
      <c r="E108" s="5">
        <v>93</v>
      </c>
      <c r="F108" s="5">
        <v>94.27</v>
      </c>
      <c r="G108" s="5">
        <v>95.05</v>
      </c>
      <c r="H108" s="5">
        <v>96.71</v>
      </c>
      <c r="I108" s="6">
        <v>1.5738970000000001</v>
      </c>
    </row>
    <row r="109" spans="1:9" x14ac:dyDescent="0.25">
      <c r="A109" s="1" t="s">
        <v>112</v>
      </c>
      <c r="B109" s="5">
        <v>89.59</v>
      </c>
      <c r="C109" s="5">
        <v>90.92</v>
      </c>
      <c r="D109" s="5">
        <v>92.48</v>
      </c>
      <c r="E109" s="5">
        <v>93.98</v>
      </c>
      <c r="F109" s="5">
        <v>95.56</v>
      </c>
      <c r="G109" s="5">
        <v>97.68</v>
      </c>
      <c r="H109" s="5">
        <v>98.88</v>
      </c>
      <c r="I109" s="6">
        <v>1.657983</v>
      </c>
    </row>
    <row r="110" spans="1:9" x14ac:dyDescent="0.25">
      <c r="A110" s="1" t="s">
        <v>113</v>
      </c>
      <c r="B110" s="5">
        <v>30.15</v>
      </c>
      <c r="C110" s="5">
        <v>28.45</v>
      </c>
      <c r="D110" s="5">
        <v>27.1</v>
      </c>
      <c r="E110" s="5">
        <v>25.95</v>
      </c>
      <c r="F110" s="5">
        <v>24.98</v>
      </c>
      <c r="G110" s="5">
        <v>24.13</v>
      </c>
      <c r="H110" s="5">
        <v>23.39</v>
      </c>
      <c r="I110" s="6">
        <v>-4.1430030000000002</v>
      </c>
    </row>
    <row r="111" spans="1:9" x14ac:dyDescent="0.25">
      <c r="A111" s="1" t="s">
        <v>114</v>
      </c>
      <c r="B111" s="5">
        <v>83.39</v>
      </c>
      <c r="C111" s="5">
        <v>83.68</v>
      </c>
      <c r="D111" s="5">
        <v>84.02</v>
      </c>
      <c r="E111" s="5">
        <v>84.65</v>
      </c>
      <c r="F111" s="5">
        <v>85.08</v>
      </c>
      <c r="G111" s="5">
        <v>85.43</v>
      </c>
      <c r="H111" s="5">
        <v>86.09</v>
      </c>
      <c r="I111" s="6">
        <v>0.53249400000000002</v>
      </c>
    </row>
    <row r="112" spans="1:9" ht="30" x14ac:dyDescent="0.25">
      <c r="A112" s="1" t="s">
        <v>115</v>
      </c>
      <c r="B112" s="5">
        <v>89.4</v>
      </c>
      <c r="C112" s="5">
        <v>89.81</v>
      </c>
      <c r="D112" s="5">
        <v>90.34</v>
      </c>
      <c r="E112" s="5">
        <v>90.9</v>
      </c>
      <c r="F112" s="5">
        <v>91.52</v>
      </c>
      <c r="G112" s="5">
        <v>92.11</v>
      </c>
      <c r="H112" s="5">
        <v>92.58</v>
      </c>
      <c r="I112" s="6">
        <v>0.58424100000000001</v>
      </c>
    </row>
    <row r="113" spans="1:9" x14ac:dyDescent="0.25">
      <c r="A113" s="1" t="s">
        <v>116</v>
      </c>
      <c r="B113" s="5">
        <v>13.05</v>
      </c>
      <c r="C113" s="5">
        <v>14.01</v>
      </c>
      <c r="D113" s="5">
        <v>15.18</v>
      </c>
      <c r="E113" s="5">
        <v>16.149999999999999</v>
      </c>
      <c r="F113" s="5">
        <v>17.11</v>
      </c>
      <c r="G113" s="5">
        <v>18.2</v>
      </c>
      <c r="H113" s="5">
        <v>19.47</v>
      </c>
      <c r="I113" s="6">
        <v>6.8954550000000001</v>
      </c>
    </row>
    <row r="114" spans="1:9" x14ac:dyDescent="0.25">
      <c r="A114" s="1" t="s">
        <v>12</v>
      </c>
      <c r="B114" s="2"/>
      <c r="C114" s="2"/>
      <c r="D114" s="2"/>
      <c r="E114" s="2"/>
      <c r="F114" s="2"/>
      <c r="G114" s="2"/>
      <c r="H114" s="2"/>
      <c r="I114" s="2"/>
    </row>
    <row r="115" spans="1:9" ht="60" x14ac:dyDescent="0.25">
      <c r="A115" s="1" t="s">
        <v>117</v>
      </c>
      <c r="B115" s="2"/>
      <c r="C115" s="2"/>
      <c r="D115" s="2"/>
      <c r="E115" s="2"/>
      <c r="F115" s="2"/>
      <c r="G115" s="2"/>
      <c r="H115" s="2"/>
      <c r="I115" s="2"/>
    </row>
    <row r="116" spans="1:9" x14ac:dyDescent="0.25">
      <c r="A116" s="1" t="s">
        <v>14</v>
      </c>
      <c r="B116" s="5">
        <v>34.979999999999997</v>
      </c>
      <c r="C116" s="5">
        <v>34.369999999999997</v>
      </c>
      <c r="D116" s="5">
        <v>34.26</v>
      </c>
      <c r="E116" s="5">
        <v>34.119999999999997</v>
      </c>
      <c r="F116" s="5">
        <v>33.909999999999997</v>
      </c>
      <c r="G116" s="5">
        <v>33.6</v>
      </c>
      <c r="H116" s="5">
        <v>33.21</v>
      </c>
      <c r="I116" s="6">
        <v>-0.86168999999999996</v>
      </c>
    </row>
    <row r="117" spans="1:9" ht="30" x14ac:dyDescent="0.25">
      <c r="A117" s="1" t="s">
        <v>15</v>
      </c>
      <c r="B117" s="5">
        <v>4.66</v>
      </c>
      <c r="C117" s="5">
        <v>4.57</v>
      </c>
      <c r="D117" s="5">
        <v>4.5</v>
      </c>
      <c r="E117" s="5">
        <v>4.42</v>
      </c>
      <c r="F117" s="5">
        <v>4.34</v>
      </c>
      <c r="G117" s="5">
        <v>4.29</v>
      </c>
      <c r="H117" s="5">
        <v>4.22</v>
      </c>
      <c r="I117" s="6">
        <v>-1.639418</v>
      </c>
    </row>
    <row r="118" spans="1:9" x14ac:dyDescent="0.25">
      <c r="A118" s="1" t="s">
        <v>16</v>
      </c>
      <c r="B118" s="5">
        <v>11.61</v>
      </c>
      <c r="C118" s="5">
        <v>9.02</v>
      </c>
      <c r="D118" s="5">
        <v>7.11</v>
      </c>
      <c r="E118" s="5">
        <v>5.6</v>
      </c>
      <c r="F118" s="5">
        <v>4.3600000000000003</v>
      </c>
      <c r="G118" s="5">
        <v>3.91</v>
      </c>
      <c r="H118" s="5">
        <v>3.12</v>
      </c>
      <c r="I118" s="6">
        <v>-19.668281</v>
      </c>
    </row>
    <row r="119" spans="1:9" x14ac:dyDescent="0.25">
      <c r="A119" s="1" t="s">
        <v>17</v>
      </c>
      <c r="B119" s="5">
        <v>25.05</v>
      </c>
      <c r="C119" s="5">
        <v>25.36</v>
      </c>
      <c r="D119" s="5">
        <v>25.58</v>
      </c>
      <c r="E119" s="5">
        <v>25.74</v>
      </c>
      <c r="F119" s="5">
        <v>25.68</v>
      </c>
      <c r="G119" s="5">
        <v>25.62</v>
      </c>
      <c r="H119" s="5">
        <v>25.57</v>
      </c>
      <c r="I119" s="6">
        <v>0.34301999999999999</v>
      </c>
    </row>
    <row r="120" spans="1:9" x14ac:dyDescent="0.25">
      <c r="A120" s="1" t="s">
        <v>18</v>
      </c>
      <c r="B120" s="5">
        <v>32.159999999999997</v>
      </c>
      <c r="C120" s="5">
        <v>31.7</v>
      </c>
      <c r="D120" s="5">
        <v>31.3</v>
      </c>
      <c r="E120" s="5">
        <v>30.95</v>
      </c>
      <c r="F120" s="5">
        <v>30.64</v>
      </c>
      <c r="G120" s="5">
        <v>30.31</v>
      </c>
      <c r="H120" s="5">
        <v>30</v>
      </c>
      <c r="I120" s="6">
        <v>-1.15208</v>
      </c>
    </row>
    <row r="121" spans="1:9" x14ac:dyDescent="0.25">
      <c r="A121" s="1" t="s">
        <v>19</v>
      </c>
      <c r="B121" s="5">
        <v>0</v>
      </c>
      <c r="C121" s="5">
        <v>0</v>
      </c>
      <c r="D121" s="5">
        <v>0</v>
      </c>
      <c r="E121" s="5">
        <v>0</v>
      </c>
      <c r="F121" s="5">
        <v>0</v>
      </c>
      <c r="G121" s="5">
        <v>0</v>
      </c>
      <c r="H121" s="5">
        <v>0</v>
      </c>
      <c r="I121" s="7" t="s">
        <v>58</v>
      </c>
    </row>
    <row r="122" spans="1:9" x14ac:dyDescent="0.25">
      <c r="A122" s="1" t="s">
        <v>20</v>
      </c>
      <c r="B122" s="5">
        <v>0</v>
      </c>
      <c r="C122" s="5">
        <v>0</v>
      </c>
      <c r="D122" s="5">
        <v>0</v>
      </c>
      <c r="E122" s="5">
        <v>0</v>
      </c>
      <c r="F122" s="5">
        <v>0</v>
      </c>
      <c r="G122" s="5">
        <v>0</v>
      </c>
      <c r="H122" s="5">
        <v>0</v>
      </c>
      <c r="I122" s="7" t="s">
        <v>58</v>
      </c>
    </row>
    <row r="123" spans="1:9" x14ac:dyDescent="0.25">
      <c r="A123" s="1" t="s">
        <v>21</v>
      </c>
      <c r="B123" s="5">
        <v>48.8</v>
      </c>
      <c r="C123" s="5">
        <v>49</v>
      </c>
      <c r="D123" s="5">
        <v>49.04</v>
      </c>
      <c r="E123" s="5">
        <v>49.07</v>
      </c>
      <c r="F123" s="5">
        <v>49.09</v>
      </c>
      <c r="G123" s="5">
        <v>49.07</v>
      </c>
      <c r="H123" s="5">
        <v>49.03</v>
      </c>
      <c r="I123" s="6">
        <v>7.8397999999999995E-2</v>
      </c>
    </row>
    <row r="124" spans="1:9" x14ac:dyDescent="0.25">
      <c r="A124" s="1" t="s">
        <v>22</v>
      </c>
      <c r="B124" s="5">
        <v>2.67</v>
      </c>
      <c r="C124" s="5">
        <v>2.78</v>
      </c>
      <c r="D124" s="5">
        <v>2.9</v>
      </c>
      <c r="E124" s="5">
        <v>3</v>
      </c>
      <c r="F124" s="5">
        <v>3.1</v>
      </c>
      <c r="G124" s="5">
        <v>3.2</v>
      </c>
      <c r="H124" s="5">
        <v>3.29</v>
      </c>
      <c r="I124" s="6">
        <v>3.541417</v>
      </c>
    </row>
    <row r="125" spans="1:9" x14ac:dyDescent="0.25">
      <c r="A125" s="1" t="s">
        <v>23</v>
      </c>
      <c r="B125" s="5">
        <v>10.53</v>
      </c>
      <c r="C125" s="5">
        <v>10.220000000000001</v>
      </c>
      <c r="D125" s="5">
        <v>9.86</v>
      </c>
      <c r="E125" s="5">
        <v>9.48</v>
      </c>
      <c r="F125" s="5">
        <v>9.06</v>
      </c>
      <c r="G125" s="5">
        <v>8.6199999999999992</v>
      </c>
      <c r="H125" s="5">
        <v>8.16</v>
      </c>
      <c r="I125" s="6">
        <v>-4.1607000000000003</v>
      </c>
    </row>
    <row r="126" spans="1:9" x14ac:dyDescent="0.25">
      <c r="A126" s="1" t="s">
        <v>24</v>
      </c>
      <c r="B126" s="5">
        <v>8.43</v>
      </c>
      <c r="C126" s="5">
        <v>7.96</v>
      </c>
      <c r="D126" s="5">
        <v>7.6</v>
      </c>
      <c r="E126" s="5">
        <v>7.32</v>
      </c>
      <c r="F126" s="5">
        <v>7.11</v>
      </c>
      <c r="G126" s="5">
        <v>6.94</v>
      </c>
      <c r="H126" s="5">
        <v>6.8</v>
      </c>
      <c r="I126" s="6">
        <v>-3.517868</v>
      </c>
    </row>
    <row r="127" spans="1:9" x14ac:dyDescent="0.25">
      <c r="A127" s="1" t="s">
        <v>25</v>
      </c>
      <c r="B127" s="5">
        <v>5.08</v>
      </c>
      <c r="C127" s="5">
        <v>5.0599999999999996</v>
      </c>
      <c r="D127" s="5">
        <v>5.04</v>
      </c>
      <c r="E127" s="5">
        <v>5.01</v>
      </c>
      <c r="F127" s="5">
        <v>4.99</v>
      </c>
      <c r="G127" s="5">
        <v>4.96</v>
      </c>
      <c r="H127" s="5">
        <v>4.9400000000000004</v>
      </c>
      <c r="I127" s="6">
        <v>-0.46468300000000001</v>
      </c>
    </row>
    <row r="128" spans="1:9" x14ac:dyDescent="0.25">
      <c r="A128" s="1" t="s">
        <v>26</v>
      </c>
      <c r="B128" s="5">
        <v>48.04</v>
      </c>
      <c r="C128" s="5">
        <v>47.99</v>
      </c>
      <c r="D128" s="5">
        <v>47.88</v>
      </c>
      <c r="E128" s="5">
        <v>47.73</v>
      </c>
      <c r="F128" s="5">
        <v>47.54</v>
      </c>
      <c r="G128" s="5">
        <v>47.31</v>
      </c>
      <c r="H128" s="5">
        <v>47.05</v>
      </c>
      <c r="I128" s="6">
        <v>-0.34645100000000001</v>
      </c>
    </row>
    <row r="129" spans="1:9" x14ac:dyDescent="0.25">
      <c r="A129" s="1" t="s">
        <v>27</v>
      </c>
      <c r="B129" s="5">
        <v>17.940000000000001</v>
      </c>
      <c r="C129" s="5">
        <v>16.41</v>
      </c>
      <c r="D129" s="5">
        <v>15.18</v>
      </c>
      <c r="E129" s="5">
        <v>14.2</v>
      </c>
      <c r="F129" s="5">
        <v>13.44</v>
      </c>
      <c r="G129" s="5">
        <v>12.85</v>
      </c>
      <c r="H129" s="5">
        <v>12.42</v>
      </c>
      <c r="I129" s="6">
        <v>-5.9447169999999998</v>
      </c>
    </row>
    <row r="130" spans="1:9" x14ac:dyDescent="0.25">
      <c r="A130" s="1" t="s">
        <v>28</v>
      </c>
      <c r="B130" s="5">
        <v>8.51</v>
      </c>
      <c r="C130" s="5">
        <v>8.42</v>
      </c>
      <c r="D130" s="5">
        <v>8.39</v>
      </c>
      <c r="E130" s="5">
        <v>8.32</v>
      </c>
      <c r="F130" s="5">
        <v>8.2200000000000006</v>
      </c>
      <c r="G130" s="5">
        <v>8.18</v>
      </c>
      <c r="H130" s="5">
        <v>8.1</v>
      </c>
      <c r="I130" s="6">
        <v>-0.81958799999999998</v>
      </c>
    </row>
    <row r="131" spans="1:9" x14ac:dyDescent="0.25">
      <c r="A131" s="1" t="s">
        <v>29</v>
      </c>
      <c r="B131" s="5">
        <v>24.84</v>
      </c>
      <c r="C131" s="5">
        <v>24.01</v>
      </c>
      <c r="D131" s="5">
        <v>23.32</v>
      </c>
      <c r="E131" s="5">
        <v>22.71</v>
      </c>
      <c r="F131" s="5">
        <v>22.15</v>
      </c>
      <c r="G131" s="5">
        <v>21.62</v>
      </c>
      <c r="H131" s="5">
        <v>21.14</v>
      </c>
      <c r="I131" s="6">
        <v>-2.6523289999999999</v>
      </c>
    </row>
    <row r="132" spans="1:9" x14ac:dyDescent="0.25">
      <c r="A132" s="1" t="s">
        <v>30</v>
      </c>
      <c r="B132" s="5">
        <v>28.51</v>
      </c>
      <c r="C132" s="5">
        <v>24.6</v>
      </c>
      <c r="D132" s="5">
        <v>21.87</v>
      </c>
      <c r="E132" s="5">
        <v>19.91</v>
      </c>
      <c r="F132" s="5">
        <v>18.43</v>
      </c>
      <c r="G132" s="5">
        <v>17.29</v>
      </c>
      <c r="H132" s="5">
        <v>16.399999999999999</v>
      </c>
      <c r="I132" s="6">
        <v>-8.8042840000000009</v>
      </c>
    </row>
    <row r="133" spans="1:9" x14ac:dyDescent="0.25">
      <c r="A133" s="1" t="s">
        <v>31</v>
      </c>
      <c r="B133" s="5">
        <v>11.18</v>
      </c>
      <c r="C133" s="5">
        <v>10.06</v>
      </c>
      <c r="D133" s="5">
        <v>9.8000000000000007</v>
      </c>
      <c r="E133" s="5">
        <v>9.6199999999999992</v>
      </c>
      <c r="F133" s="5">
        <v>9.49</v>
      </c>
      <c r="G133" s="5">
        <v>9.3699999999999992</v>
      </c>
      <c r="H133" s="5">
        <v>9.24</v>
      </c>
      <c r="I133" s="6">
        <v>-3.1264919999999998</v>
      </c>
    </row>
    <row r="134" spans="1:9" x14ac:dyDescent="0.25">
      <c r="A134" s="1" t="s">
        <v>32</v>
      </c>
      <c r="B134" s="5">
        <v>13.18</v>
      </c>
      <c r="C134" s="5">
        <v>13.01</v>
      </c>
      <c r="D134" s="5">
        <v>12.85</v>
      </c>
      <c r="E134" s="5">
        <v>12.71</v>
      </c>
      <c r="F134" s="5">
        <v>12.58</v>
      </c>
      <c r="G134" s="5">
        <v>12.47</v>
      </c>
      <c r="H134" s="5">
        <v>12.36</v>
      </c>
      <c r="I134" s="6">
        <v>-1.0648740000000001</v>
      </c>
    </row>
    <row r="135" spans="1:9" x14ac:dyDescent="0.25">
      <c r="A135" s="1" t="s">
        <v>33</v>
      </c>
      <c r="B135" s="5">
        <v>31.17</v>
      </c>
      <c r="C135" s="5">
        <v>30.79</v>
      </c>
      <c r="D135" s="5">
        <v>30.4</v>
      </c>
      <c r="E135" s="5">
        <v>29.97</v>
      </c>
      <c r="F135" s="5">
        <v>29.53</v>
      </c>
      <c r="G135" s="5">
        <v>29.06</v>
      </c>
      <c r="H135" s="5">
        <v>28.56</v>
      </c>
      <c r="I135" s="6">
        <v>-1.4469129999999999</v>
      </c>
    </row>
    <row r="136" spans="1:9" ht="30" x14ac:dyDescent="0.25">
      <c r="A136" s="1" t="s">
        <v>34</v>
      </c>
      <c r="B136" s="5">
        <v>4.96</v>
      </c>
      <c r="C136" s="5">
        <v>5.0999999999999996</v>
      </c>
      <c r="D136" s="5">
        <v>5.22</v>
      </c>
      <c r="E136" s="5">
        <v>5.34</v>
      </c>
      <c r="F136" s="5">
        <v>5.45</v>
      </c>
      <c r="G136" s="5">
        <v>5.55</v>
      </c>
      <c r="H136" s="5">
        <v>5.64</v>
      </c>
      <c r="I136" s="6">
        <v>2.164396</v>
      </c>
    </row>
    <row r="137" spans="1:9" ht="30" x14ac:dyDescent="0.25">
      <c r="A137" s="1" t="s">
        <v>35</v>
      </c>
      <c r="B137" s="5">
        <v>10.59</v>
      </c>
      <c r="C137" s="5">
        <v>10.16</v>
      </c>
      <c r="D137" s="5">
        <v>9.7799999999999994</v>
      </c>
      <c r="E137" s="5">
        <v>9.4499999999999993</v>
      </c>
      <c r="F137" s="5">
        <v>9.17</v>
      </c>
      <c r="G137" s="5">
        <v>8.91</v>
      </c>
      <c r="H137" s="5">
        <v>8.68</v>
      </c>
      <c r="I137" s="6">
        <v>-3.2604730000000002</v>
      </c>
    </row>
    <row r="138" spans="1:9" x14ac:dyDescent="0.25">
      <c r="A138" s="1" t="s">
        <v>36</v>
      </c>
      <c r="B138" s="5">
        <v>7.11</v>
      </c>
      <c r="C138" s="5">
        <v>6.77</v>
      </c>
      <c r="D138" s="5">
        <v>6.44</v>
      </c>
      <c r="E138" s="5">
        <v>6.12</v>
      </c>
      <c r="F138" s="5">
        <v>5.82</v>
      </c>
      <c r="G138" s="5">
        <v>5.53</v>
      </c>
      <c r="H138" s="5">
        <v>5.26</v>
      </c>
      <c r="I138" s="6">
        <v>-4.8987939999999996</v>
      </c>
    </row>
    <row r="139" spans="1:9" x14ac:dyDescent="0.25">
      <c r="A139" s="1" t="s">
        <v>37</v>
      </c>
      <c r="B139" s="5">
        <v>0</v>
      </c>
      <c r="C139" s="5">
        <v>0</v>
      </c>
      <c r="D139" s="5">
        <v>0</v>
      </c>
      <c r="E139" s="5">
        <v>0</v>
      </c>
      <c r="F139" s="5">
        <v>0</v>
      </c>
      <c r="G139" s="5">
        <v>0</v>
      </c>
      <c r="H139" s="5">
        <v>0</v>
      </c>
      <c r="I139" s="7" t="s">
        <v>58</v>
      </c>
    </row>
    <row r="140" spans="1:9" x14ac:dyDescent="0.25">
      <c r="A140" s="1" t="s">
        <v>38</v>
      </c>
      <c r="B140" s="5">
        <v>13.43</v>
      </c>
      <c r="C140" s="5">
        <v>14.1</v>
      </c>
      <c r="D140" s="5">
        <v>14.76</v>
      </c>
      <c r="E140" s="5">
        <v>15.43</v>
      </c>
      <c r="F140" s="5">
        <v>16.07</v>
      </c>
      <c r="G140" s="5">
        <v>16.7</v>
      </c>
      <c r="H140" s="5">
        <v>17.32</v>
      </c>
      <c r="I140" s="6">
        <v>4.3306659999999999</v>
      </c>
    </row>
    <row r="141" spans="1:9" x14ac:dyDescent="0.25">
      <c r="A141" s="1" t="s">
        <v>39</v>
      </c>
      <c r="B141" s="5">
        <v>11.06</v>
      </c>
      <c r="C141" s="5">
        <v>9.8800000000000008</v>
      </c>
      <c r="D141" s="5">
        <v>9.42</v>
      </c>
      <c r="E141" s="5">
        <v>9.0500000000000007</v>
      </c>
      <c r="F141" s="5">
        <v>8.74</v>
      </c>
      <c r="G141" s="5">
        <v>8.49</v>
      </c>
      <c r="H141" s="5">
        <v>8.27</v>
      </c>
      <c r="I141" s="6">
        <v>-4.7295100000000003</v>
      </c>
    </row>
    <row r="142" spans="1:9" x14ac:dyDescent="0.25">
      <c r="A142" s="1" t="s">
        <v>40</v>
      </c>
      <c r="B142" s="5">
        <v>18.46</v>
      </c>
      <c r="C142" s="5">
        <v>19.07</v>
      </c>
      <c r="D142" s="5">
        <v>19.59</v>
      </c>
      <c r="E142" s="5">
        <v>19.95</v>
      </c>
      <c r="F142" s="5">
        <v>20.239999999999998</v>
      </c>
      <c r="G142" s="5">
        <v>20.46</v>
      </c>
      <c r="H142" s="5">
        <v>20.61</v>
      </c>
      <c r="I142" s="6">
        <v>1.8531310000000001</v>
      </c>
    </row>
    <row r="143" spans="1:9" x14ac:dyDescent="0.25">
      <c r="A143" s="1" t="s">
        <v>41</v>
      </c>
      <c r="B143" s="5">
        <v>1.79</v>
      </c>
      <c r="C143" s="5">
        <v>1.39</v>
      </c>
      <c r="D143" s="5">
        <v>1.1200000000000001</v>
      </c>
      <c r="E143" s="5">
        <v>0.9</v>
      </c>
      <c r="F143" s="5">
        <v>0.73</v>
      </c>
      <c r="G143" s="5">
        <v>0.57999999999999996</v>
      </c>
      <c r="H143" s="5">
        <v>0.47</v>
      </c>
      <c r="I143" s="6">
        <v>-19.978356000000002</v>
      </c>
    </row>
    <row r="144" spans="1:9" x14ac:dyDescent="0.25">
      <c r="A144" s="1" t="s">
        <v>42</v>
      </c>
      <c r="B144" s="5">
        <v>20.73</v>
      </c>
      <c r="C144" s="5">
        <v>20.63</v>
      </c>
      <c r="D144" s="5">
        <v>20.52</v>
      </c>
      <c r="E144" s="5">
        <v>20.38</v>
      </c>
      <c r="F144" s="5">
        <v>20.399999999999999</v>
      </c>
      <c r="G144" s="5">
        <v>20.38</v>
      </c>
      <c r="H144" s="5">
        <v>20.28</v>
      </c>
      <c r="I144" s="6">
        <v>-0.36511100000000002</v>
      </c>
    </row>
    <row r="145" spans="1:9" x14ac:dyDescent="0.25">
      <c r="A145" s="1" t="s">
        <v>43</v>
      </c>
      <c r="B145" s="5">
        <v>0</v>
      </c>
      <c r="C145" s="5">
        <v>0</v>
      </c>
      <c r="D145" s="5">
        <v>0</v>
      </c>
      <c r="E145" s="5">
        <v>0</v>
      </c>
      <c r="F145" s="5">
        <v>0</v>
      </c>
      <c r="G145" s="5">
        <v>0</v>
      </c>
      <c r="H145" s="5">
        <v>0</v>
      </c>
      <c r="I145" s="7" t="s">
        <v>58</v>
      </c>
    </row>
    <row r="146" spans="1:9" x14ac:dyDescent="0.25">
      <c r="A146" s="1" t="s">
        <v>44</v>
      </c>
      <c r="B146" s="5">
        <v>13.25</v>
      </c>
      <c r="C146" s="5">
        <v>13.37</v>
      </c>
      <c r="D146" s="5">
        <v>13.44</v>
      </c>
      <c r="E146" s="5">
        <v>13.65</v>
      </c>
      <c r="F146" s="5">
        <v>12.72</v>
      </c>
      <c r="G146" s="5">
        <v>12.79</v>
      </c>
      <c r="H146" s="5">
        <v>12.72</v>
      </c>
      <c r="I146" s="6">
        <v>-0.67805700000000002</v>
      </c>
    </row>
    <row r="147" spans="1:9" x14ac:dyDescent="0.25">
      <c r="A147" s="1" t="s">
        <v>45</v>
      </c>
      <c r="B147" s="5">
        <v>19.829999999999998</v>
      </c>
      <c r="C147" s="5">
        <v>20.67</v>
      </c>
      <c r="D147" s="5">
        <v>21.44</v>
      </c>
      <c r="E147" s="5">
        <v>21.99</v>
      </c>
      <c r="F147" s="5">
        <v>22.34</v>
      </c>
      <c r="G147" s="5">
        <v>22.56</v>
      </c>
      <c r="H147" s="5">
        <v>22.79</v>
      </c>
      <c r="I147" s="6">
        <v>2.3458570000000001</v>
      </c>
    </row>
    <row r="148" spans="1:9" x14ac:dyDescent="0.25">
      <c r="A148" s="1" t="s">
        <v>46</v>
      </c>
      <c r="B148" s="5">
        <v>5.38</v>
      </c>
      <c r="C148" s="5">
        <v>4.7300000000000004</v>
      </c>
      <c r="D148" s="5">
        <v>4.1900000000000004</v>
      </c>
      <c r="E148" s="5">
        <v>3.76</v>
      </c>
      <c r="F148" s="5">
        <v>3.42</v>
      </c>
      <c r="G148" s="5">
        <v>3.06</v>
      </c>
      <c r="H148" s="5">
        <v>2.81</v>
      </c>
      <c r="I148" s="6">
        <v>-10.259736</v>
      </c>
    </row>
    <row r="149" spans="1:9" x14ac:dyDescent="0.25">
      <c r="A149" s="1" t="s">
        <v>47</v>
      </c>
      <c r="B149" s="5">
        <v>34.53</v>
      </c>
      <c r="C149" s="5">
        <v>33.549999999999997</v>
      </c>
      <c r="D149" s="5">
        <v>32.64</v>
      </c>
      <c r="E149" s="5">
        <v>32.03</v>
      </c>
      <c r="F149" s="5">
        <v>31.73</v>
      </c>
      <c r="G149" s="5">
        <v>31.59</v>
      </c>
      <c r="H149" s="5">
        <v>31.52</v>
      </c>
      <c r="I149" s="6">
        <v>-1.5086090000000001</v>
      </c>
    </row>
    <row r="150" spans="1:9" x14ac:dyDescent="0.25">
      <c r="A150" s="1" t="s">
        <v>48</v>
      </c>
      <c r="B150" s="5">
        <v>0.25</v>
      </c>
      <c r="C150" s="5">
        <v>0.22</v>
      </c>
      <c r="D150" s="5">
        <v>0.2</v>
      </c>
      <c r="E150" s="5">
        <v>0.18</v>
      </c>
      <c r="F150" s="5">
        <v>0.18</v>
      </c>
      <c r="G150" s="5">
        <v>0.16</v>
      </c>
      <c r="H150" s="5">
        <v>0.15</v>
      </c>
      <c r="I150" s="6">
        <v>-8.1614100000000001</v>
      </c>
    </row>
    <row r="151" spans="1:9" x14ac:dyDescent="0.25">
      <c r="A151" s="1" t="s">
        <v>49</v>
      </c>
      <c r="B151" s="5">
        <v>0.92</v>
      </c>
      <c r="C151" s="5">
        <v>0.93</v>
      </c>
      <c r="D151" s="5">
        <v>0.93</v>
      </c>
      <c r="E151" s="5">
        <v>0.94</v>
      </c>
      <c r="F151" s="5">
        <v>0.94</v>
      </c>
      <c r="G151" s="5">
        <v>0.95</v>
      </c>
      <c r="H151" s="5">
        <v>0.95</v>
      </c>
      <c r="I151" s="6">
        <v>0.53623799999999999</v>
      </c>
    </row>
    <row r="152" spans="1:9" x14ac:dyDescent="0.25">
      <c r="A152" s="1" t="s">
        <v>50</v>
      </c>
      <c r="B152" s="5">
        <v>0</v>
      </c>
      <c r="C152" s="5">
        <v>0</v>
      </c>
      <c r="D152" s="5">
        <v>0</v>
      </c>
      <c r="E152" s="5">
        <v>0</v>
      </c>
      <c r="F152" s="5">
        <v>0</v>
      </c>
      <c r="G152" s="5">
        <v>0</v>
      </c>
      <c r="H152" s="5">
        <v>0</v>
      </c>
      <c r="I152" s="7" t="s">
        <v>58</v>
      </c>
    </row>
    <row r="153" spans="1:9" x14ac:dyDescent="0.25">
      <c r="A153" s="1" t="s">
        <v>51</v>
      </c>
      <c r="B153" s="5">
        <v>15.28</v>
      </c>
      <c r="C153" s="5">
        <v>15.04</v>
      </c>
      <c r="D153" s="5">
        <v>14.83</v>
      </c>
      <c r="E153" s="5">
        <v>14.65</v>
      </c>
      <c r="F153" s="5">
        <v>14.48</v>
      </c>
      <c r="G153" s="5">
        <v>14.3</v>
      </c>
      <c r="H153" s="5">
        <v>14.13</v>
      </c>
      <c r="I153" s="6">
        <v>-1.2956099999999999</v>
      </c>
    </row>
    <row r="154" spans="1:9" x14ac:dyDescent="0.25">
      <c r="A154" s="1" t="s">
        <v>52</v>
      </c>
      <c r="B154" s="5">
        <v>13.07</v>
      </c>
      <c r="C154" s="5">
        <v>11.11</v>
      </c>
      <c r="D154" s="5">
        <v>9.48</v>
      </c>
      <c r="E154" s="5">
        <v>8.08</v>
      </c>
      <c r="F154" s="5">
        <v>6.9</v>
      </c>
      <c r="G154" s="5">
        <v>5.89</v>
      </c>
      <c r="H154" s="5">
        <v>5.04</v>
      </c>
      <c r="I154" s="6">
        <v>-14.684915999999999</v>
      </c>
    </row>
    <row r="155" spans="1:9" x14ac:dyDescent="0.25">
      <c r="A155" s="1" t="s">
        <v>53</v>
      </c>
      <c r="B155" s="5">
        <v>0</v>
      </c>
      <c r="C155" s="5">
        <v>0</v>
      </c>
      <c r="D155" s="5">
        <v>0</v>
      </c>
      <c r="E155" s="5">
        <v>0</v>
      </c>
      <c r="F155" s="5">
        <v>0</v>
      </c>
      <c r="G155" s="5">
        <v>0</v>
      </c>
      <c r="H155" s="5">
        <v>0</v>
      </c>
      <c r="I155" s="7" t="s">
        <v>58</v>
      </c>
    </row>
    <row r="156" spans="1:9" x14ac:dyDescent="0.25">
      <c r="A156" s="1" t="s">
        <v>54</v>
      </c>
      <c r="B156" s="5">
        <v>15.81</v>
      </c>
      <c r="C156" s="5">
        <v>15.9</v>
      </c>
      <c r="D156" s="5">
        <v>15.96</v>
      </c>
      <c r="E156" s="5">
        <v>16.010000000000002</v>
      </c>
      <c r="F156" s="5">
        <v>16.05</v>
      </c>
      <c r="G156" s="5">
        <v>16.02</v>
      </c>
      <c r="H156" s="5">
        <v>17.12</v>
      </c>
      <c r="I156" s="6">
        <v>1.3355859999999999</v>
      </c>
    </row>
    <row r="157" spans="1:9" x14ac:dyDescent="0.25">
      <c r="A157" s="1" t="s">
        <v>55</v>
      </c>
      <c r="B157" s="5">
        <v>9.9499999999999993</v>
      </c>
      <c r="C157" s="5">
        <v>9.7899999999999991</v>
      </c>
      <c r="D157" s="5">
        <v>9.59</v>
      </c>
      <c r="E157" s="5">
        <v>9.32</v>
      </c>
      <c r="F157" s="5">
        <v>9.24</v>
      </c>
      <c r="G157" s="5">
        <v>9.1</v>
      </c>
      <c r="H157" s="5">
        <v>8.93</v>
      </c>
      <c r="I157" s="6">
        <v>-1.7864530000000001</v>
      </c>
    </row>
    <row r="158" spans="1:9" x14ac:dyDescent="0.25">
      <c r="A158" s="1" t="s">
        <v>56</v>
      </c>
      <c r="B158" s="5">
        <v>0</v>
      </c>
      <c r="C158" s="5">
        <v>0</v>
      </c>
      <c r="D158" s="5">
        <v>0</v>
      </c>
      <c r="E158" s="5">
        <v>0</v>
      </c>
      <c r="F158" s="5">
        <v>0</v>
      </c>
      <c r="G158" s="5">
        <v>0</v>
      </c>
      <c r="H158" s="5">
        <v>0</v>
      </c>
      <c r="I158" s="7" t="s">
        <v>58</v>
      </c>
    </row>
    <row r="159" spans="1:9" x14ac:dyDescent="0.25">
      <c r="A159" s="1" t="s">
        <v>57</v>
      </c>
      <c r="B159" s="7" t="s">
        <v>58</v>
      </c>
      <c r="C159" s="7" t="s">
        <v>58</v>
      </c>
      <c r="D159" s="7" t="s">
        <v>58</v>
      </c>
      <c r="E159" s="7" t="s">
        <v>58</v>
      </c>
      <c r="F159" s="7" t="s">
        <v>58</v>
      </c>
      <c r="G159" s="7" t="s">
        <v>58</v>
      </c>
      <c r="H159" s="7" t="s">
        <v>58</v>
      </c>
      <c r="I159" s="7" t="s">
        <v>58</v>
      </c>
    </row>
    <row r="160" spans="1:9" x14ac:dyDescent="0.25">
      <c r="A160" s="1" t="s">
        <v>59</v>
      </c>
      <c r="B160" s="5">
        <v>0</v>
      </c>
      <c r="C160" s="5">
        <v>0</v>
      </c>
      <c r="D160" s="5">
        <v>0</v>
      </c>
      <c r="E160" s="5">
        <v>0</v>
      </c>
      <c r="F160" s="5">
        <v>0</v>
      </c>
      <c r="G160" s="5">
        <v>0</v>
      </c>
      <c r="H160" s="5">
        <v>0</v>
      </c>
      <c r="I160" s="7" t="s">
        <v>58</v>
      </c>
    </row>
    <row r="161" spans="1:9" x14ac:dyDescent="0.25">
      <c r="A161" s="1" t="s">
        <v>60</v>
      </c>
      <c r="B161" s="5">
        <v>0.02</v>
      </c>
      <c r="C161" s="5">
        <v>0.02</v>
      </c>
      <c r="D161" s="5">
        <v>0.02</v>
      </c>
      <c r="E161" s="5">
        <v>0.01</v>
      </c>
      <c r="F161" s="5">
        <v>0.01</v>
      </c>
      <c r="G161" s="5">
        <v>0.01</v>
      </c>
      <c r="H161" s="5">
        <v>0.01</v>
      </c>
      <c r="I161" s="6">
        <v>-10.910128</v>
      </c>
    </row>
    <row r="162" spans="1:9" ht="45" x14ac:dyDescent="0.25">
      <c r="A162" s="1" t="s">
        <v>61</v>
      </c>
      <c r="B162" s="5">
        <v>15.14</v>
      </c>
      <c r="C162" s="5">
        <v>14.79</v>
      </c>
      <c r="D162" s="5">
        <v>14.49</v>
      </c>
      <c r="E162" s="5">
        <v>14.21</v>
      </c>
      <c r="F162" s="5">
        <v>13.9</v>
      </c>
      <c r="G162" s="5">
        <v>13.61</v>
      </c>
      <c r="H162" s="5">
        <v>13.32</v>
      </c>
      <c r="I162" s="6">
        <v>-2.111939</v>
      </c>
    </row>
    <row r="163" spans="1:9" x14ac:dyDescent="0.25">
      <c r="A163" s="1" t="s">
        <v>62</v>
      </c>
      <c r="B163" s="5">
        <v>1</v>
      </c>
      <c r="C163" s="5">
        <v>0.85</v>
      </c>
      <c r="D163" s="5">
        <v>0.74</v>
      </c>
      <c r="E163" s="5">
        <v>0.66</v>
      </c>
      <c r="F163" s="5">
        <v>0.59</v>
      </c>
      <c r="G163" s="5">
        <v>0.54</v>
      </c>
      <c r="H163" s="5">
        <v>0.49</v>
      </c>
      <c r="I163" s="6">
        <v>-11.2096</v>
      </c>
    </row>
    <row r="164" spans="1:9" x14ac:dyDescent="0.25">
      <c r="A164" s="1" t="s">
        <v>63</v>
      </c>
      <c r="B164" s="5">
        <v>0</v>
      </c>
      <c r="C164" s="5">
        <v>0</v>
      </c>
      <c r="D164" s="5">
        <v>0</v>
      </c>
      <c r="E164" s="5">
        <v>0</v>
      </c>
      <c r="F164" s="5">
        <v>0</v>
      </c>
      <c r="G164" s="5">
        <v>0</v>
      </c>
      <c r="H164" s="5">
        <v>0</v>
      </c>
      <c r="I164" s="7" t="s">
        <v>58</v>
      </c>
    </row>
    <row r="165" spans="1:9" x14ac:dyDescent="0.25">
      <c r="A165" s="1" t="s">
        <v>64</v>
      </c>
      <c r="B165" s="5">
        <v>0.93</v>
      </c>
      <c r="C165" s="5">
        <v>0.84</v>
      </c>
      <c r="D165" s="5">
        <v>0.77</v>
      </c>
      <c r="E165" s="5">
        <v>0.72</v>
      </c>
      <c r="F165" s="5">
        <v>0.68</v>
      </c>
      <c r="G165" s="5">
        <v>0.65</v>
      </c>
      <c r="H165" s="5">
        <v>0.63</v>
      </c>
      <c r="I165" s="6">
        <v>-6.2848940000000004</v>
      </c>
    </row>
    <row r="166" spans="1:9" x14ac:dyDescent="0.25">
      <c r="A166" s="1" t="s">
        <v>65</v>
      </c>
      <c r="B166" s="5">
        <v>0</v>
      </c>
      <c r="C166" s="5">
        <v>0</v>
      </c>
      <c r="D166" s="5">
        <v>0</v>
      </c>
      <c r="E166" s="5">
        <v>0</v>
      </c>
      <c r="F166" s="5">
        <v>0</v>
      </c>
      <c r="G166" s="5">
        <v>0</v>
      </c>
      <c r="H166" s="5">
        <v>0</v>
      </c>
      <c r="I166" s="7" t="s">
        <v>58</v>
      </c>
    </row>
    <row r="167" spans="1:9" x14ac:dyDescent="0.25">
      <c r="A167" s="1" t="s">
        <v>66</v>
      </c>
      <c r="B167" s="5">
        <v>17.84</v>
      </c>
      <c r="C167" s="5">
        <v>17.16</v>
      </c>
      <c r="D167" s="5">
        <v>16.55</v>
      </c>
      <c r="E167" s="5">
        <v>15.99</v>
      </c>
      <c r="F167" s="5">
        <v>15.48</v>
      </c>
      <c r="G167" s="5">
        <v>15.01</v>
      </c>
      <c r="H167" s="5">
        <v>14.58</v>
      </c>
      <c r="I167" s="6">
        <v>-3.30728</v>
      </c>
    </row>
    <row r="168" spans="1:9" ht="30" x14ac:dyDescent="0.25">
      <c r="A168" s="1" t="s">
        <v>67</v>
      </c>
      <c r="B168" s="5">
        <v>0.81</v>
      </c>
      <c r="C168" s="5">
        <v>0.91</v>
      </c>
      <c r="D168" s="5">
        <v>1.01</v>
      </c>
      <c r="E168" s="5">
        <v>1.1200000000000001</v>
      </c>
      <c r="F168" s="5">
        <v>1.23</v>
      </c>
      <c r="G168" s="5">
        <v>1.33</v>
      </c>
      <c r="H168" s="5">
        <v>1.44</v>
      </c>
      <c r="I168" s="6">
        <v>10.064242</v>
      </c>
    </row>
    <row r="169" spans="1:9" x14ac:dyDescent="0.25">
      <c r="A169" s="1" t="s">
        <v>68</v>
      </c>
      <c r="B169" s="7" t="s">
        <v>58</v>
      </c>
      <c r="C169" s="7" t="s">
        <v>58</v>
      </c>
      <c r="D169" s="7" t="s">
        <v>58</v>
      </c>
      <c r="E169" s="7" t="s">
        <v>58</v>
      </c>
      <c r="F169" s="7" t="s">
        <v>58</v>
      </c>
      <c r="G169" s="7" t="s">
        <v>58</v>
      </c>
      <c r="H169" s="7" t="s">
        <v>58</v>
      </c>
      <c r="I169" s="7" t="s">
        <v>58</v>
      </c>
    </row>
    <row r="170" spans="1:9" x14ac:dyDescent="0.25">
      <c r="A170" s="1" t="s">
        <v>69</v>
      </c>
      <c r="B170" s="5">
        <v>0</v>
      </c>
      <c r="C170" s="5">
        <v>0</v>
      </c>
      <c r="D170" s="5">
        <v>0</v>
      </c>
      <c r="E170" s="5">
        <v>0</v>
      </c>
      <c r="F170" s="5">
        <v>0</v>
      </c>
      <c r="G170" s="5">
        <v>0</v>
      </c>
      <c r="H170" s="5">
        <v>0</v>
      </c>
      <c r="I170" s="7" t="s">
        <v>58</v>
      </c>
    </row>
    <row r="171" spans="1:9" x14ac:dyDescent="0.25">
      <c r="A171" s="1" t="s">
        <v>70</v>
      </c>
      <c r="B171" s="5">
        <v>41.91</v>
      </c>
      <c r="C171" s="5">
        <v>41.75</v>
      </c>
      <c r="D171" s="5">
        <v>41.55</v>
      </c>
      <c r="E171" s="5">
        <v>41.32</v>
      </c>
      <c r="F171" s="5">
        <v>41.05</v>
      </c>
      <c r="G171" s="5">
        <v>40.880000000000003</v>
      </c>
      <c r="H171" s="5">
        <v>40.71</v>
      </c>
      <c r="I171" s="6">
        <v>-0.48300799999999999</v>
      </c>
    </row>
    <row r="172" spans="1:9" x14ac:dyDescent="0.25">
      <c r="A172" s="1" t="s">
        <v>71</v>
      </c>
      <c r="B172" s="5">
        <v>4.29</v>
      </c>
      <c r="C172" s="5">
        <v>4.08</v>
      </c>
      <c r="D172" s="5">
        <v>3.83</v>
      </c>
      <c r="E172" s="5">
        <v>3.64</v>
      </c>
      <c r="F172" s="5">
        <v>3.41</v>
      </c>
      <c r="G172" s="5">
        <v>3.22</v>
      </c>
      <c r="H172" s="5">
        <v>3.14</v>
      </c>
      <c r="I172" s="6">
        <v>-5.0681250000000002</v>
      </c>
    </row>
    <row r="173" spans="1:9" x14ac:dyDescent="0.25">
      <c r="A173" s="1" t="s">
        <v>72</v>
      </c>
      <c r="B173" s="5">
        <v>7.47</v>
      </c>
      <c r="C173" s="5">
        <v>8.16</v>
      </c>
      <c r="D173" s="5">
        <v>8.57</v>
      </c>
      <c r="E173" s="5">
        <v>9.11</v>
      </c>
      <c r="F173" s="5">
        <v>9.61</v>
      </c>
      <c r="G173" s="5">
        <v>9.7899999999999991</v>
      </c>
      <c r="H173" s="5">
        <v>10.199999999999999</v>
      </c>
      <c r="I173" s="6">
        <v>5.3286689999999997</v>
      </c>
    </row>
    <row r="174" spans="1:9" x14ac:dyDescent="0.25">
      <c r="A174" s="1" t="s">
        <v>73</v>
      </c>
      <c r="B174" s="7" t="s">
        <v>58</v>
      </c>
      <c r="C174" s="7" t="s">
        <v>58</v>
      </c>
      <c r="D174" s="7" t="s">
        <v>58</v>
      </c>
      <c r="E174" s="7" t="s">
        <v>58</v>
      </c>
      <c r="F174" s="7" t="s">
        <v>58</v>
      </c>
      <c r="G174" s="7" t="s">
        <v>58</v>
      </c>
      <c r="H174" s="7" t="s">
        <v>58</v>
      </c>
      <c r="I174" s="7" t="s">
        <v>58</v>
      </c>
    </row>
    <row r="175" spans="1:9" ht="30" x14ac:dyDescent="0.25">
      <c r="A175" s="1" t="s">
        <v>74</v>
      </c>
      <c r="B175" s="5">
        <v>54.58</v>
      </c>
      <c r="C175" s="5">
        <v>53.16</v>
      </c>
      <c r="D175" s="5">
        <v>51.85</v>
      </c>
      <c r="E175" s="5">
        <v>50.65</v>
      </c>
      <c r="F175" s="5">
        <v>49.65</v>
      </c>
      <c r="G175" s="5">
        <v>48.96</v>
      </c>
      <c r="H175" s="5">
        <v>48.48</v>
      </c>
      <c r="I175" s="6">
        <v>-1.955889</v>
      </c>
    </row>
    <row r="176" spans="1:9" x14ac:dyDescent="0.25">
      <c r="A176" s="1" t="s">
        <v>75</v>
      </c>
      <c r="B176" s="5">
        <v>15.76</v>
      </c>
      <c r="C176" s="5">
        <v>14.25</v>
      </c>
      <c r="D176" s="5">
        <v>12.9</v>
      </c>
      <c r="E176" s="5">
        <v>11.71</v>
      </c>
      <c r="F176" s="5">
        <v>10.67</v>
      </c>
      <c r="G176" s="5">
        <v>9.7799999999999994</v>
      </c>
      <c r="H176" s="5">
        <v>9.0299999999999994</v>
      </c>
      <c r="I176" s="6">
        <v>-8.8642880000000002</v>
      </c>
    </row>
    <row r="177" spans="1:9" x14ac:dyDescent="0.25">
      <c r="A177" s="1" t="s">
        <v>76</v>
      </c>
      <c r="B177" s="5">
        <v>0</v>
      </c>
      <c r="C177" s="5">
        <v>0</v>
      </c>
      <c r="D177" s="5">
        <v>0</v>
      </c>
      <c r="E177" s="5">
        <v>0</v>
      </c>
      <c r="F177" s="5">
        <v>0</v>
      </c>
      <c r="G177" s="5">
        <v>0</v>
      </c>
      <c r="H177" s="5">
        <v>0</v>
      </c>
      <c r="I177" s="7" t="s">
        <v>58</v>
      </c>
    </row>
    <row r="178" spans="1:9" ht="45" x14ac:dyDescent="0.25">
      <c r="A178" s="1" t="s">
        <v>77</v>
      </c>
      <c r="B178" s="5">
        <v>0.21</v>
      </c>
      <c r="C178" s="5">
        <v>0.2</v>
      </c>
      <c r="D178" s="5">
        <v>0.2</v>
      </c>
      <c r="E178" s="5">
        <v>0.2</v>
      </c>
      <c r="F178" s="5">
        <v>0.19</v>
      </c>
      <c r="G178" s="5">
        <v>0.19</v>
      </c>
      <c r="H178" s="5">
        <v>0.18</v>
      </c>
      <c r="I178" s="6">
        <v>-2.5364550000000001</v>
      </c>
    </row>
    <row r="179" spans="1:9" ht="45" x14ac:dyDescent="0.25">
      <c r="A179" s="1" t="s">
        <v>78</v>
      </c>
      <c r="B179" s="5">
        <v>7.51</v>
      </c>
      <c r="C179" s="5">
        <v>7.25</v>
      </c>
      <c r="D179" s="5">
        <v>7</v>
      </c>
      <c r="E179" s="5">
        <v>6.76</v>
      </c>
      <c r="F179" s="5">
        <v>6.53</v>
      </c>
      <c r="G179" s="5">
        <v>6.32</v>
      </c>
      <c r="H179" s="5">
        <v>6.11</v>
      </c>
      <c r="I179" s="6">
        <v>-3.3800340000000002</v>
      </c>
    </row>
    <row r="180" spans="1:9" ht="60" x14ac:dyDescent="0.25">
      <c r="A180" s="1" t="s">
        <v>79</v>
      </c>
      <c r="B180" s="7" t="s">
        <v>58</v>
      </c>
      <c r="C180" s="7" t="s">
        <v>58</v>
      </c>
      <c r="D180" s="7" t="s">
        <v>58</v>
      </c>
      <c r="E180" s="7" t="s">
        <v>58</v>
      </c>
      <c r="F180" s="7" t="s">
        <v>58</v>
      </c>
      <c r="G180" s="7" t="s">
        <v>58</v>
      </c>
      <c r="H180" s="7" t="s">
        <v>58</v>
      </c>
      <c r="I180" s="7" t="s">
        <v>58</v>
      </c>
    </row>
    <row r="181" spans="1:9" ht="45" x14ac:dyDescent="0.25">
      <c r="A181" s="1" t="s">
        <v>80</v>
      </c>
      <c r="B181" s="7" t="s">
        <v>58</v>
      </c>
      <c r="C181" s="7" t="s">
        <v>58</v>
      </c>
      <c r="D181" s="7" t="s">
        <v>58</v>
      </c>
      <c r="E181" s="7" t="s">
        <v>58</v>
      </c>
      <c r="F181" s="7" t="s">
        <v>58</v>
      </c>
      <c r="G181" s="7" t="s">
        <v>58</v>
      </c>
      <c r="H181" s="7" t="s">
        <v>58</v>
      </c>
      <c r="I181" s="7" t="s">
        <v>58</v>
      </c>
    </row>
    <row r="182" spans="1:9" ht="45" x14ac:dyDescent="0.25">
      <c r="A182" s="1" t="s">
        <v>81</v>
      </c>
      <c r="B182" s="5">
        <v>20.95</v>
      </c>
      <c r="C182" s="5">
        <v>21.02</v>
      </c>
      <c r="D182" s="5">
        <v>21.09</v>
      </c>
      <c r="E182" s="5">
        <v>21.15</v>
      </c>
      <c r="F182" s="5">
        <v>20.53</v>
      </c>
      <c r="G182" s="5">
        <v>20.170000000000002</v>
      </c>
      <c r="H182" s="5">
        <v>19.82</v>
      </c>
      <c r="I182" s="6">
        <v>-0.91986199999999996</v>
      </c>
    </row>
    <row r="183" spans="1:9" x14ac:dyDescent="0.25">
      <c r="A183" s="1" t="s">
        <v>82</v>
      </c>
      <c r="B183" s="5">
        <v>7.0000000000000007E-2</v>
      </c>
      <c r="C183" s="5">
        <v>0.06</v>
      </c>
      <c r="D183" s="5">
        <v>0.09</v>
      </c>
      <c r="E183" s="5">
        <v>0.1</v>
      </c>
      <c r="F183" s="5">
        <v>0.08</v>
      </c>
      <c r="G183" s="5">
        <v>0.08</v>
      </c>
      <c r="H183" s="5">
        <v>0.08</v>
      </c>
      <c r="I183" s="6">
        <v>2.2504729999999999</v>
      </c>
    </row>
    <row r="184" spans="1:9" x14ac:dyDescent="0.25">
      <c r="A184" s="1" t="s">
        <v>83</v>
      </c>
      <c r="B184" s="5">
        <v>0</v>
      </c>
      <c r="C184" s="5">
        <v>0</v>
      </c>
      <c r="D184" s="5">
        <v>0</v>
      </c>
      <c r="E184" s="5">
        <v>0</v>
      </c>
      <c r="F184" s="5">
        <v>0</v>
      </c>
      <c r="G184" s="5">
        <v>0</v>
      </c>
      <c r="H184" s="5">
        <v>0</v>
      </c>
      <c r="I184" s="7" t="s">
        <v>58</v>
      </c>
    </row>
    <row r="185" spans="1:9" x14ac:dyDescent="0.25">
      <c r="A185" s="1" t="s">
        <v>84</v>
      </c>
      <c r="B185" s="5">
        <v>43.5</v>
      </c>
      <c r="C185" s="5">
        <v>44.02</v>
      </c>
      <c r="D185" s="5">
        <v>44.41</v>
      </c>
      <c r="E185" s="5">
        <v>44.68</v>
      </c>
      <c r="F185" s="5">
        <v>44.83</v>
      </c>
      <c r="G185" s="5">
        <v>44.88</v>
      </c>
      <c r="H185" s="5">
        <v>44.84</v>
      </c>
      <c r="I185" s="6">
        <v>0.506942</v>
      </c>
    </row>
    <row r="186" spans="1:9" x14ac:dyDescent="0.25">
      <c r="A186" s="1" t="s">
        <v>85</v>
      </c>
      <c r="B186" s="5">
        <v>20.22</v>
      </c>
      <c r="C186" s="5">
        <v>21.9</v>
      </c>
      <c r="D186" s="5">
        <v>23.49</v>
      </c>
      <c r="E186" s="5">
        <v>25.11</v>
      </c>
      <c r="F186" s="5">
        <v>26.51</v>
      </c>
      <c r="G186" s="5">
        <v>27.71</v>
      </c>
      <c r="H186" s="5">
        <v>28.98</v>
      </c>
      <c r="I186" s="6">
        <v>6.1824820000000003</v>
      </c>
    </row>
    <row r="187" spans="1:9" x14ac:dyDescent="0.25">
      <c r="A187" s="1" t="s">
        <v>86</v>
      </c>
      <c r="B187" s="5">
        <v>12.3</v>
      </c>
      <c r="C187" s="5">
        <v>11.78</v>
      </c>
      <c r="D187" s="5">
        <v>11.34</v>
      </c>
      <c r="E187" s="5">
        <v>11.03</v>
      </c>
      <c r="F187" s="5">
        <v>10.77</v>
      </c>
      <c r="G187" s="5">
        <v>10.54</v>
      </c>
      <c r="H187" s="5">
        <v>10.34</v>
      </c>
      <c r="I187" s="6">
        <v>-2.8515440000000001</v>
      </c>
    </row>
    <row r="188" spans="1:9" x14ac:dyDescent="0.25">
      <c r="A188" s="1" t="s">
        <v>87</v>
      </c>
      <c r="B188" s="5">
        <v>1.96</v>
      </c>
      <c r="C188" s="5">
        <v>1.91</v>
      </c>
      <c r="D188" s="5">
        <v>1.87</v>
      </c>
      <c r="E188" s="5">
        <v>1.82</v>
      </c>
      <c r="F188" s="5">
        <v>1.78</v>
      </c>
      <c r="G188" s="5">
        <v>1.74</v>
      </c>
      <c r="H188" s="5">
        <v>1.7</v>
      </c>
      <c r="I188" s="6">
        <v>-2.3440279999999998</v>
      </c>
    </row>
    <row r="189" spans="1:9" x14ac:dyDescent="0.25">
      <c r="A189" s="1" t="s">
        <v>88</v>
      </c>
      <c r="B189" s="5">
        <v>16.37</v>
      </c>
      <c r="C189" s="5">
        <v>14.57</v>
      </c>
      <c r="D189" s="5">
        <v>13.05</v>
      </c>
      <c r="E189" s="5">
        <v>11.78</v>
      </c>
      <c r="F189" s="5">
        <v>10.68</v>
      </c>
      <c r="G189" s="5">
        <v>9.74</v>
      </c>
      <c r="H189" s="5">
        <v>8.92</v>
      </c>
      <c r="I189" s="6">
        <v>-9.6240869999999994</v>
      </c>
    </row>
    <row r="190" spans="1:9" x14ac:dyDescent="0.25">
      <c r="A190" s="1" t="s">
        <v>89</v>
      </c>
      <c r="B190" s="5">
        <v>22.61</v>
      </c>
      <c r="C190" s="5">
        <v>22.64</v>
      </c>
      <c r="D190" s="5">
        <v>22.63</v>
      </c>
      <c r="E190" s="5">
        <v>22.52</v>
      </c>
      <c r="F190" s="5">
        <v>22.37</v>
      </c>
      <c r="G190" s="5">
        <v>22.21</v>
      </c>
      <c r="H190" s="5">
        <v>22.1</v>
      </c>
      <c r="I190" s="6">
        <v>-0.379523</v>
      </c>
    </row>
    <row r="191" spans="1:9" x14ac:dyDescent="0.25">
      <c r="A191" s="1" t="s">
        <v>90</v>
      </c>
      <c r="B191" s="5">
        <v>39.659999999999997</v>
      </c>
      <c r="C191" s="5">
        <v>41.38</v>
      </c>
      <c r="D191" s="5">
        <v>43.03</v>
      </c>
      <c r="E191" s="5">
        <v>44.62</v>
      </c>
      <c r="F191" s="5">
        <v>46.15</v>
      </c>
      <c r="G191" s="5">
        <v>47.62</v>
      </c>
      <c r="H191" s="5">
        <v>49.03</v>
      </c>
      <c r="I191" s="6">
        <v>3.5980379999999998</v>
      </c>
    </row>
    <row r="192" spans="1:9" x14ac:dyDescent="0.25">
      <c r="A192" s="1" t="s">
        <v>91</v>
      </c>
      <c r="B192" s="5">
        <v>0</v>
      </c>
      <c r="C192" s="5">
        <v>0</v>
      </c>
      <c r="D192" s="5">
        <v>0</v>
      </c>
      <c r="E192" s="5">
        <v>0</v>
      </c>
      <c r="F192" s="5">
        <v>0</v>
      </c>
      <c r="G192" s="5">
        <v>0</v>
      </c>
      <c r="H192" s="5">
        <v>0</v>
      </c>
      <c r="I192" s="7" t="s">
        <v>58</v>
      </c>
    </row>
    <row r="193" spans="1:9" x14ac:dyDescent="0.25">
      <c r="A193" s="1" t="s">
        <v>92</v>
      </c>
      <c r="B193" s="5">
        <v>8.57</v>
      </c>
      <c r="C193" s="5">
        <v>7.95</v>
      </c>
      <c r="D193" s="5">
        <v>7.42</v>
      </c>
      <c r="E193" s="5">
        <v>6.93</v>
      </c>
      <c r="F193" s="5">
        <v>6.47</v>
      </c>
      <c r="G193" s="5">
        <v>6.05</v>
      </c>
      <c r="H193" s="5">
        <v>5.65</v>
      </c>
      <c r="I193" s="6">
        <v>-6.7079570000000004</v>
      </c>
    </row>
    <row r="194" spans="1:9" x14ac:dyDescent="0.25">
      <c r="A194" s="1" t="s">
        <v>93</v>
      </c>
      <c r="B194" s="5">
        <v>9.4499999999999993</v>
      </c>
      <c r="C194" s="5">
        <v>9.32</v>
      </c>
      <c r="D194" s="5">
        <v>9.2100000000000009</v>
      </c>
      <c r="E194" s="5">
        <v>9.11</v>
      </c>
      <c r="F194" s="5">
        <v>9.0299999999999994</v>
      </c>
      <c r="G194" s="5">
        <v>8.9499999999999993</v>
      </c>
      <c r="H194" s="5">
        <v>8.89</v>
      </c>
      <c r="I194" s="6">
        <v>-1.0129630000000001</v>
      </c>
    </row>
    <row r="195" spans="1:9" x14ac:dyDescent="0.25">
      <c r="A195" s="1" t="s">
        <v>94</v>
      </c>
      <c r="B195" s="5">
        <v>0</v>
      </c>
      <c r="C195" s="5">
        <v>0</v>
      </c>
      <c r="D195" s="5">
        <v>0</v>
      </c>
      <c r="E195" s="5">
        <v>0</v>
      </c>
      <c r="F195" s="5">
        <v>0</v>
      </c>
      <c r="G195" s="5">
        <v>0</v>
      </c>
      <c r="H195" s="5">
        <v>0</v>
      </c>
      <c r="I195" s="7" t="s">
        <v>58</v>
      </c>
    </row>
    <row r="196" spans="1:9" x14ac:dyDescent="0.25">
      <c r="A196" s="1" t="s">
        <v>95</v>
      </c>
      <c r="B196" s="5">
        <v>33.04</v>
      </c>
      <c r="C196" s="5">
        <v>32.619999999999997</v>
      </c>
      <c r="D196" s="5">
        <v>32.1</v>
      </c>
      <c r="E196" s="5">
        <v>31.55</v>
      </c>
      <c r="F196" s="5">
        <v>30.95</v>
      </c>
      <c r="G196" s="5">
        <v>30.3</v>
      </c>
      <c r="H196" s="5">
        <v>29.61</v>
      </c>
      <c r="I196" s="6">
        <v>-1.8101959999999999</v>
      </c>
    </row>
    <row r="197" spans="1:9" x14ac:dyDescent="0.25">
      <c r="A197" s="1" t="s">
        <v>96</v>
      </c>
      <c r="B197" s="5">
        <v>0</v>
      </c>
      <c r="C197" s="5">
        <v>0</v>
      </c>
      <c r="D197" s="5">
        <v>0</v>
      </c>
      <c r="E197" s="5">
        <v>0</v>
      </c>
      <c r="F197" s="5">
        <v>0</v>
      </c>
      <c r="G197" s="5">
        <v>0</v>
      </c>
      <c r="H197" s="5">
        <v>0</v>
      </c>
      <c r="I197" s="7" t="s">
        <v>58</v>
      </c>
    </row>
    <row r="198" spans="1:9" x14ac:dyDescent="0.25">
      <c r="A198" s="1" t="s">
        <v>97</v>
      </c>
      <c r="B198" s="5">
        <v>9.31</v>
      </c>
      <c r="C198" s="5">
        <v>9.56</v>
      </c>
      <c r="D198" s="5">
        <v>9.3000000000000007</v>
      </c>
      <c r="E198" s="5">
        <v>9.07</v>
      </c>
      <c r="F198" s="5">
        <v>8.86</v>
      </c>
      <c r="G198" s="5">
        <v>8.69</v>
      </c>
      <c r="H198" s="5">
        <v>8.5299999999999994</v>
      </c>
      <c r="I198" s="6">
        <v>-1.4477469999999999</v>
      </c>
    </row>
    <row r="199" spans="1:9" x14ac:dyDescent="0.25">
      <c r="A199" s="1" t="s">
        <v>98</v>
      </c>
      <c r="B199" s="5">
        <v>20.16</v>
      </c>
      <c r="C199" s="5">
        <v>19.57</v>
      </c>
      <c r="D199" s="5">
        <v>19.010000000000002</v>
      </c>
      <c r="E199" s="5">
        <v>18.46</v>
      </c>
      <c r="F199" s="5">
        <v>17.93</v>
      </c>
      <c r="G199" s="5">
        <v>17.43</v>
      </c>
      <c r="H199" s="5">
        <v>16.940000000000001</v>
      </c>
      <c r="I199" s="6">
        <v>-2.8587220000000002</v>
      </c>
    </row>
    <row r="200" spans="1:9" x14ac:dyDescent="0.25">
      <c r="A200" s="1" t="s">
        <v>99</v>
      </c>
      <c r="B200" s="5">
        <v>0</v>
      </c>
      <c r="C200" s="5">
        <v>0</v>
      </c>
      <c r="D200" s="5">
        <v>0</v>
      </c>
      <c r="E200" s="5">
        <v>0</v>
      </c>
      <c r="F200" s="5">
        <v>0</v>
      </c>
      <c r="G200" s="5">
        <v>0</v>
      </c>
      <c r="H200" s="5">
        <v>0</v>
      </c>
      <c r="I200" s="7" t="s">
        <v>58</v>
      </c>
    </row>
    <row r="201" spans="1:9" x14ac:dyDescent="0.25">
      <c r="A201" s="1" t="s">
        <v>100</v>
      </c>
      <c r="B201" s="5">
        <v>9.23</v>
      </c>
      <c r="C201" s="5">
        <v>8.43</v>
      </c>
      <c r="D201" s="5">
        <v>7.71</v>
      </c>
      <c r="E201" s="5">
        <v>7.05</v>
      </c>
      <c r="F201" s="5">
        <v>6.45</v>
      </c>
      <c r="G201" s="5">
        <v>5.9</v>
      </c>
      <c r="H201" s="5">
        <v>5.41</v>
      </c>
      <c r="I201" s="6">
        <v>-8.5186440000000001</v>
      </c>
    </row>
    <row r="202" spans="1:9" x14ac:dyDescent="0.25">
      <c r="A202" s="1" t="s">
        <v>101</v>
      </c>
      <c r="B202" s="5">
        <v>5.27</v>
      </c>
      <c r="C202" s="5">
        <v>4.74</v>
      </c>
      <c r="D202" s="5">
        <v>3.94</v>
      </c>
      <c r="E202" s="5">
        <v>3.68</v>
      </c>
      <c r="F202" s="5">
        <v>3.45</v>
      </c>
      <c r="G202" s="5">
        <v>3.24</v>
      </c>
      <c r="H202" s="5">
        <v>3.05</v>
      </c>
      <c r="I202" s="6">
        <v>-8.7117520000000006</v>
      </c>
    </row>
    <row r="203" spans="1:9" x14ac:dyDescent="0.25">
      <c r="A203" s="1" t="s">
        <v>102</v>
      </c>
      <c r="B203" s="5">
        <v>12.83</v>
      </c>
      <c r="C203" s="5">
        <v>12.53</v>
      </c>
      <c r="D203" s="5">
        <v>12.32</v>
      </c>
      <c r="E203" s="5">
        <v>12.15</v>
      </c>
      <c r="F203" s="5">
        <v>11.93</v>
      </c>
      <c r="G203" s="5">
        <v>11.75</v>
      </c>
      <c r="H203" s="5">
        <v>11.61</v>
      </c>
      <c r="I203" s="6">
        <v>-1.6515329999999999</v>
      </c>
    </row>
    <row r="204" spans="1:9" x14ac:dyDescent="0.25">
      <c r="A204" s="1" t="s">
        <v>103</v>
      </c>
      <c r="B204" s="5">
        <v>24.61</v>
      </c>
      <c r="C204" s="5">
        <v>23.91</v>
      </c>
      <c r="D204" s="5">
        <v>23.28</v>
      </c>
      <c r="E204" s="5">
        <v>22.69</v>
      </c>
      <c r="F204" s="5">
        <v>22.15</v>
      </c>
      <c r="G204" s="5">
        <v>21.66</v>
      </c>
      <c r="H204" s="5">
        <v>21.24</v>
      </c>
      <c r="I204" s="6">
        <v>-2.4245679999999998</v>
      </c>
    </row>
    <row r="205" spans="1:9" x14ac:dyDescent="0.25">
      <c r="A205" s="1" t="s">
        <v>104</v>
      </c>
      <c r="B205" s="5">
        <v>0</v>
      </c>
      <c r="C205" s="5">
        <v>0</v>
      </c>
      <c r="D205" s="5">
        <v>0</v>
      </c>
      <c r="E205" s="5">
        <v>0</v>
      </c>
      <c r="F205" s="5">
        <v>0</v>
      </c>
      <c r="G205" s="5">
        <v>0</v>
      </c>
      <c r="H205" s="5">
        <v>0</v>
      </c>
      <c r="I205" s="7" t="s">
        <v>58</v>
      </c>
    </row>
    <row r="206" spans="1:9" x14ac:dyDescent="0.25">
      <c r="A206" s="1" t="s">
        <v>105</v>
      </c>
      <c r="B206" s="5">
        <v>24.96</v>
      </c>
      <c r="C206" s="5">
        <v>25.9</v>
      </c>
      <c r="D206" s="5">
        <v>26.53</v>
      </c>
      <c r="E206" s="5">
        <v>27.33</v>
      </c>
      <c r="F206" s="5">
        <v>27.94</v>
      </c>
      <c r="G206" s="5">
        <v>28.39</v>
      </c>
      <c r="H206" s="5">
        <v>29.1</v>
      </c>
      <c r="I206" s="6">
        <v>2.5907179999999999</v>
      </c>
    </row>
    <row r="207" spans="1:9" x14ac:dyDescent="0.25">
      <c r="A207" s="1" t="s">
        <v>106</v>
      </c>
      <c r="B207" s="5">
        <v>0.04</v>
      </c>
      <c r="C207" s="5">
        <v>0.04</v>
      </c>
      <c r="D207" s="5">
        <v>0.03</v>
      </c>
      <c r="E207" s="5">
        <v>0.03</v>
      </c>
      <c r="F207" s="5">
        <v>0.03</v>
      </c>
      <c r="G207" s="5">
        <v>0.03</v>
      </c>
      <c r="H207" s="5">
        <v>0.02</v>
      </c>
      <c r="I207" s="6">
        <v>-10.910128</v>
      </c>
    </row>
    <row r="208" spans="1:9" ht="30" x14ac:dyDescent="0.25">
      <c r="A208" s="1" t="s">
        <v>107</v>
      </c>
      <c r="B208" s="5">
        <v>35.83</v>
      </c>
      <c r="C208" s="5">
        <v>36.25</v>
      </c>
      <c r="D208" s="5">
        <v>36.61</v>
      </c>
      <c r="E208" s="5">
        <v>36.909999999999997</v>
      </c>
      <c r="F208" s="5">
        <v>37.17</v>
      </c>
      <c r="G208" s="5">
        <v>37.380000000000003</v>
      </c>
      <c r="H208" s="5">
        <v>37.54</v>
      </c>
      <c r="I208" s="6">
        <v>0.78005199999999997</v>
      </c>
    </row>
    <row r="209" spans="1:9" x14ac:dyDescent="0.25">
      <c r="A209" s="1" t="s">
        <v>108</v>
      </c>
      <c r="B209" s="5">
        <v>10.6</v>
      </c>
      <c r="C209" s="5">
        <v>12.34</v>
      </c>
      <c r="D209" s="5">
        <v>14.12</v>
      </c>
      <c r="E209" s="5">
        <v>15.92</v>
      </c>
      <c r="F209" s="5">
        <v>17.690000000000001</v>
      </c>
      <c r="G209" s="5">
        <v>19.420000000000002</v>
      </c>
      <c r="H209" s="5">
        <v>21.19</v>
      </c>
      <c r="I209" s="6">
        <v>12.237379000000001</v>
      </c>
    </row>
    <row r="210" spans="1:9" ht="30" x14ac:dyDescent="0.25">
      <c r="A210" s="1" t="s">
        <v>109</v>
      </c>
      <c r="B210" s="5">
        <v>0</v>
      </c>
      <c r="C210" s="5">
        <v>0</v>
      </c>
      <c r="D210" s="5">
        <v>0</v>
      </c>
      <c r="E210" s="5">
        <v>0</v>
      </c>
      <c r="F210" s="5">
        <v>0</v>
      </c>
      <c r="G210" s="5">
        <v>0</v>
      </c>
      <c r="H210" s="5">
        <v>0</v>
      </c>
      <c r="I210" s="7" t="s">
        <v>58</v>
      </c>
    </row>
    <row r="211" spans="1:9" x14ac:dyDescent="0.25">
      <c r="A211" s="1" t="s">
        <v>110</v>
      </c>
      <c r="B211" s="5">
        <v>20.07</v>
      </c>
      <c r="C211" s="5">
        <v>20.23</v>
      </c>
      <c r="D211" s="5">
        <v>20.39</v>
      </c>
      <c r="E211" s="5">
        <v>20.51</v>
      </c>
      <c r="F211" s="5">
        <v>20.6</v>
      </c>
      <c r="G211" s="5">
        <v>20.66</v>
      </c>
      <c r="H211" s="5">
        <v>20.72</v>
      </c>
      <c r="I211" s="6">
        <v>0.53263400000000005</v>
      </c>
    </row>
    <row r="212" spans="1:9" x14ac:dyDescent="0.25">
      <c r="A212" s="1" t="s">
        <v>111</v>
      </c>
      <c r="B212" s="5">
        <v>0</v>
      </c>
      <c r="C212" s="5">
        <v>0</v>
      </c>
      <c r="D212" s="5">
        <v>0</v>
      </c>
      <c r="E212" s="5">
        <v>0</v>
      </c>
      <c r="F212" s="5">
        <v>0</v>
      </c>
      <c r="G212" s="5">
        <v>0</v>
      </c>
      <c r="H212" s="5">
        <v>0</v>
      </c>
      <c r="I212" s="7" t="s">
        <v>58</v>
      </c>
    </row>
    <row r="213" spans="1:9" x14ac:dyDescent="0.25">
      <c r="A213" s="1" t="s">
        <v>112</v>
      </c>
      <c r="B213" s="5">
        <v>55.37</v>
      </c>
      <c r="C213" s="5">
        <v>53.79</v>
      </c>
      <c r="D213" s="5">
        <v>52.33</v>
      </c>
      <c r="E213" s="5">
        <v>51.01</v>
      </c>
      <c r="F213" s="5">
        <v>49.9</v>
      </c>
      <c r="G213" s="5">
        <v>49.16</v>
      </c>
      <c r="H213" s="5">
        <v>48.66</v>
      </c>
      <c r="I213" s="6">
        <v>-2.1299980000000001</v>
      </c>
    </row>
    <row r="214" spans="1:9" x14ac:dyDescent="0.25">
      <c r="A214" s="1" t="s">
        <v>113</v>
      </c>
      <c r="B214" s="5">
        <v>6.18</v>
      </c>
      <c r="C214" s="5">
        <v>7.01</v>
      </c>
      <c r="D214" s="5">
        <v>7.91</v>
      </c>
      <c r="E214" s="5">
        <v>8.75</v>
      </c>
      <c r="F214" s="5">
        <v>9.5299999999999994</v>
      </c>
      <c r="G214" s="5">
        <v>10.24</v>
      </c>
      <c r="H214" s="5">
        <v>10.87</v>
      </c>
      <c r="I214" s="6">
        <v>9.8685799999999997</v>
      </c>
    </row>
    <row r="215" spans="1:9" x14ac:dyDescent="0.25">
      <c r="A215" s="1" t="s">
        <v>114</v>
      </c>
      <c r="B215" s="5">
        <v>2.46</v>
      </c>
      <c r="C215" s="5">
        <v>2.33</v>
      </c>
      <c r="D215" s="5">
        <v>2.21</v>
      </c>
      <c r="E215" s="5">
        <v>2.12</v>
      </c>
      <c r="F215" s="5">
        <v>2.0299999999999998</v>
      </c>
      <c r="G215" s="5">
        <v>1.95</v>
      </c>
      <c r="H215" s="5">
        <v>1.88</v>
      </c>
      <c r="I215" s="6">
        <v>-4.3825570000000003</v>
      </c>
    </row>
    <row r="216" spans="1:9" ht="30" x14ac:dyDescent="0.25">
      <c r="A216" s="1" t="s">
        <v>115</v>
      </c>
      <c r="B216" s="5">
        <v>14.41</v>
      </c>
      <c r="C216" s="5">
        <v>14.24</v>
      </c>
      <c r="D216" s="5">
        <v>14.07</v>
      </c>
      <c r="E216" s="5">
        <v>13.94</v>
      </c>
      <c r="F216" s="5">
        <v>13.85</v>
      </c>
      <c r="G216" s="5">
        <v>13.75</v>
      </c>
      <c r="H216" s="5">
        <v>13.65</v>
      </c>
      <c r="I216" s="6">
        <v>-0.89898299999999998</v>
      </c>
    </row>
    <row r="217" spans="1:9" x14ac:dyDescent="0.25">
      <c r="A217" s="1" t="s">
        <v>116</v>
      </c>
      <c r="B217" s="5">
        <v>0</v>
      </c>
      <c r="C217" s="5">
        <v>0</v>
      </c>
      <c r="D217" s="5">
        <v>0</v>
      </c>
      <c r="E217" s="5">
        <v>0</v>
      </c>
      <c r="F217" s="5">
        <v>0</v>
      </c>
      <c r="G217" s="5">
        <v>0</v>
      </c>
      <c r="H217" s="5">
        <v>0</v>
      </c>
      <c r="I217" s="7" t="s">
        <v>58</v>
      </c>
    </row>
    <row r="218" spans="1:9" x14ac:dyDescent="0.25">
      <c r="A218" s="1" t="s">
        <v>12</v>
      </c>
      <c r="B218" s="2"/>
      <c r="C218" s="2"/>
      <c r="D218" s="2"/>
      <c r="E218" s="2"/>
      <c r="F218" s="2"/>
      <c r="G218" s="2"/>
      <c r="H218" s="2"/>
      <c r="I218" s="2"/>
    </row>
    <row r="219" spans="1:9" ht="60" x14ac:dyDescent="0.25">
      <c r="A219" s="1" t="s">
        <v>118</v>
      </c>
      <c r="B219" s="2"/>
      <c r="C219" s="2"/>
      <c r="D219" s="2"/>
      <c r="E219" s="2"/>
      <c r="F219" s="2"/>
      <c r="G219" s="2"/>
      <c r="H219" s="2"/>
      <c r="I219" s="2"/>
    </row>
    <row r="220" spans="1:9" x14ac:dyDescent="0.25">
      <c r="A220" s="1" t="s">
        <v>14</v>
      </c>
      <c r="B220" s="5">
        <v>3.24</v>
      </c>
      <c r="C220" s="5">
        <v>0.86</v>
      </c>
      <c r="D220" s="5">
        <v>0.24</v>
      </c>
      <c r="E220" s="5">
        <v>0.02</v>
      </c>
      <c r="F220" s="5">
        <v>0</v>
      </c>
      <c r="G220" s="5">
        <v>0</v>
      </c>
      <c r="H220" s="5">
        <v>0</v>
      </c>
      <c r="I220" s="6">
        <v>-100</v>
      </c>
    </row>
    <row r="221" spans="1:9" ht="30" x14ac:dyDescent="0.25">
      <c r="A221" s="1" t="s">
        <v>15</v>
      </c>
      <c r="B221" s="5">
        <v>1.38</v>
      </c>
      <c r="C221" s="5">
        <v>1.27</v>
      </c>
      <c r="D221" s="5">
        <v>1.18</v>
      </c>
      <c r="E221" s="5">
        <v>1.1100000000000001</v>
      </c>
      <c r="F221" s="5">
        <v>1.06</v>
      </c>
      <c r="G221" s="5">
        <v>0.99</v>
      </c>
      <c r="H221" s="5">
        <v>0.94</v>
      </c>
      <c r="I221" s="6">
        <v>-6.1988580000000004</v>
      </c>
    </row>
    <row r="222" spans="1:9" x14ac:dyDescent="0.25">
      <c r="A222" s="1" t="s">
        <v>16</v>
      </c>
      <c r="B222" s="5">
        <v>5.3</v>
      </c>
      <c r="C222" s="5">
        <v>3.53</v>
      </c>
      <c r="D222" s="5">
        <v>2.82</v>
      </c>
      <c r="E222" s="5">
        <v>2.25</v>
      </c>
      <c r="F222" s="5">
        <v>1.79</v>
      </c>
      <c r="G222" s="5">
        <v>1.43</v>
      </c>
      <c r="H222" s="5">
        <v>1.17</v>
      </c>
      <c r="I222" s="6">
        <v>-22.258724000000001</v>
      </c>
    </row>
    <row r="223" spans="1:9" x14ac:dyDescent="0.25">
      <c r="A223" s="1" t="s">
        <v>17</v>
      </c>
      <c r="B223" s="5">
        <v>27.47</v>
      </c>
      <c r="C223" s="5">
        <v>26.32</v>
      </c>
      <c r="D223" s="5">
        <v>25.16</v>
      </c>
      <c r="E223" s="5">
        <v>23.99</v>
      </c>
      <c r="F223" s="5">
        <v>22.92</v>
      </c>
      <c r="G223" s="5">
        <v>21.78</v>
      </c>
      <c r="H223" s="5">
        <v>20.58</v>
      </c>
      <c r="I223" s="6">
        <v>-4.6989280000000004</v>
      </c>
    </row>
    <row r="224" spans="1:9" x14ac:dyDescent="0.25">
      <c r="A224" s="1" t="s">
        <v>18</v>
      </c>
      <c r="B224" s="5">
        <v>13.16</v>
      </c>
      <c r="C224" s="5">
        <v>13.03</v>
      </c>
      <c r="D224" s="5">
        <v>12.93</v>
      </c>
      <c r="E224" s="5">
        <v>12.88</v>
      </c>
      <c r="F224" s="5">
        <v>12.85</v>
      </c>
      <c r="G224" s="5">
        <v>12.71</v>
      </c>
      <c r="H224" s="5">
        <v>12.58</v>
      </c>
      <c r="I224" s="6">
        <v>-0.74841299999999999</v>
      </c>
    </row>
    <row r="225" spans="1:9" x14ac:dyDescent="0.25">
      <c r="A225" s="1" t="s">
        <v>19</v>
      </c>
      <c r="B225" s="5">
        <v>1.9</v>
      </c>
      <c r="C225" s="5">
        <v>1.78</v>
      </c>
      <c r="D225" s="5">
        <v>1.67</v>
      </c>
      <c r="E225" s="5">
        <v>1.56</v>
      </c>
      <c r="F225" s="5">
        <v>1.47</v>
      </c>
      <c r="G225" s="5">
        <v>1.37</v>
      </c>
      <c r="H225" s="5">
        <v>1.29</v>
      </c>
      <c r="I225" s="6">
        <v>-6.2496960000000001</v>
      </c>
    </row>
    <row r="226" spans="1:9" x14ac:dyDescent="0.25">
      <c r="A226" s="1" t="s">
        <v>20</v>
      </c>
      <c r="B226" s="5">
        <v>0</v>
      </c>
      <c r="C226" s="5">
        <v>0</v>
      </c>
      <c r="D226" s="5">
        <v>0</v>
      </c>
      <c r="E226" s="5">
        <v>0</v>
      </c>
      <c r="F226" s="5">
        <v>0</v>
      </c>
      <c r="G226" s="5">
        <v>0</v>
      </c>
      <c r="H226" s="5">
        <v>0</v>
      </c>
      <c r="I226" s="7" t="s">
        <v>58</v>
      </c>
    </row>
    <row r="227" spans="1:9" x14ac:dyDescent="0.25">
      <c r="A227" s="1" t="s">
        <v>21</v>
      </c>
      <c r="B227" s="5">
        <v>24.57</v>
      </c>
      <c r="C227" s="5">
        <v>19.21</v>
      </c>
      <c r="D227" s="5">
        <v>13.88</v>
      </c>
      <c r="E227" s="5">
        <v>10.35</v>
      </c>
      <c r="F227" s="5">
        <v>6.87</v>
      </c>
      <c r="G227" s="5">
        <v>3.43</v>
      </c>
      <c r="H227" s="5">
        <v>1.37</v>
      </c>
      <c r="I227" s="6">
        <v>-38.190879000000002</v>
      </c>
    </row>
    <row r="228" spans="1:9" x14ac:dyDescent="0.25">
      <c r="A228" s="1" t="s">
        <v>22</v>
      </c>
      <c r="B228" s="5">
        <v>1.92</v>
      </c>
      <c r="C228" s="5">
        <v>1.77</v>
      </c>
      <c r="D228" s="5">
        <v>1.65</v>
      </c>
      <c r="E228" s="5">
        <v>1.55</v>
      </c>
      <c r="F228" s="5">
        <v>1.46</v>
      </c>
      <c r="G228" s="5">
        <v>1.38</v>
      </c>
      <c r="H228" s="5">
        <v>1.31</v>
      </c>
      <c r="I228" s="6">
        <v>-6.1728889999999996</v>
      </c>
    </row>
    <row r="229" spans="1:9" x14ac:dyDescent="0.25">
      <c r="A229" s="1" t="s">
        <v>23</v>
      </c>
      <c r="B229" s="5">
        <v>0.9</v>
      </c>
      <c r="C229" s="5">
        <v>0.21</v>
      </c>
      <c r="D229" s="5">
        <v>7.0000000000000007E-2</v>
      </c>
      <c r="E229" s="5">
        <v>0.03</v>
      </c>
      <c r="F229" s="5">
        <v>0.01</v>
      </c>
      <c r="G229" s="5">
        <v>0</v>
      </c>
      <c r="H229" s="5">
        <v>0</v>
      </c>
      <c r="I229" s="6">
        <v>-100</v>
      </c>
    </row>
    <row r="230" spans="1:9" x14ac:dyDescent="0.25">
      <c r="A230" s="1" t="s">
        <v>24</v>
      </c>
      <c r="B230" s="5">
        <v>22.87</v>
      </c>
      <c r="C230" s="5">
        <v>20.73</v>
      </c>
      <c r="D230" s="5">
        <v>19.05</v>
      </c>
      <c r="E230" s="5">
        <v>17.62</v>
      </c>
      <c r="F230" s="5">
        <v>16.350000000000001</v>
      </c>
      <c r="G230" s="5">
        <v>15.15</v>
      </c>
      <c r="H230" s="5">
        <v>13.99</v>
      </c>
      <c r="I230" s="6">
        <v>-7.8648689999999997</v>
      </c>
    </row>
    <row r="231" spans="1:9" x14ac:dyDescent="0.25">
      <c r="A231" s="1" t="s">
        <v>25</v>
      </c>
      <c r="B231" s="5">
        <v>0.21</v>
      </c>
      <c r="C231" s="5">
        <v>0.21</v>
      </c>
      <c r="D231" s="5">
        <v>0.2</v>
      </c>
      <c r="E231" s="5">
        <v>0.2</v>
      </c>
      <c r="F231" s="5">
        <v>0.2</v>
      </c>
      <c r="G231" s="5">
        <v>0.19</v>
      </c>
      <c r="H231" s="5">
        <v>0.19</v>
      </c>
      <c r="I231" s="6">
        <v>-1.654223</v>
      </c>
    </row>
    <row r="232" spans="1:9" x14ac:dyDescent="0.25">
      <c r="A232" s="1" t="s">
        <v>26</v>
      </c>
      <c r="B232" s="5">
        <v>9.19</v>
      </c>
      <c r="C232" s="5">
        <v>7.83</v>
      </c>
      <c r="D232" s="5">
        <v>6.81</v>
      </c>
      <c r="E232" s="5">
        <v>6.05</v>
      </c>
      <c r="F232" s="5">
        <v>5.5</v>
      </c>
      <c r="G232" s="5">
        <v>5.0999999999999996</v>
      </c>
      <c r="H232" s="5">
        <v>4.79</v>
      </c>
      <c r="I232" s="6">
        <v>-10.290865</v>
      </c>
    </row>
    <row r="233" spans="1:9" x14ac:dyDescent="0.25">
      <c r="A233" s="1" t="s">
        <v>27</v>
      </c>
      <c r="B233" s="5">
        <v>0.21</v>
      </c>
      <c r="C233" s="5">
        <v>7.0000000000000007E-2</v>
      </c>
      <c r="D233" s="5">
        <v>0.03</v>
      </c>
      <c r="E233" s="5">
        <v>0</v>
      </c>
      <c r="F233" s="5">
        <v>0</v>
      </c>
      <c r="G233" s="5">
        <v>0</v>
      </c>
      <c r="H233" s="5">
        <v>0</v>
      </c>
      <c r="I233" s="6">
        <v>-100</v>
      </c>
    </row>
    <row r="234" spans="1:9" x14ac:dyDescent="0.25">
      <c r="A234" s="1" t="s">
        <v>28</v>
      </c>
      <c r="B234" s="5">
        <v>0.35</v>
      </c>
      <c r="C234" s="5">
        <v>0.27</v>
      </c>
      <c r="D234" s="5">
        <v>0.21</v>
      </c>
      <c r="E234" s="5">
        <v>0.18</v>
      </c>
      <c r="F234" s="5">
        <v>0.16</v>
      </c>
      <c r="G234" s="5">
        <v>0.12</v>
      </c>
      <c r="H234" s="5">
        <v>0.11</v>
      </c>
      <c r="I234" s="6">
        <v>-17.544283</v>
      </c>
    </row>
    <row r="235" spans="1:9" x14ac:dyDescent="0.25">
      <c r="A235" s="1" t="s">
        <v>29</v>
      </c>
      <c r="B235" s="5">
        <v>1.51</v>
      </c>
      <c r="C235" s="5">
        <v>1.24</v>
      </c>
      <c r="D235" s="5">
        <v>0.98</v>
      </c>
      <c r="E235" s="5">
        <v>0.76</v>
      </c>
      <c r="F235" s="5">
        <v>0.59</v>
      </c>
      <c r="G235" s="5">
        <v>0.46</v>
      </c>
      <c r="H235" s="5">
        <v>0.35</v>
      </c>
      <c r="I235" s="6">
        <v>-21.624224999999999</v>
      </c>
    </row>
    <row r="236" spans="1:9" x14ac:dyDescent="0.25">
      <c r="A236" s="1" t="s">
        <v>30</v>
      </c>
      <c r="B236" s="5">
        <v>2.0699999999999998</v>
      </c>
      <c r="C236" s="5">
        <v>0.81</v>
      </c>
      <c r="D236" s="5">
        <v>0.22</v>
      </c>
      <c r="E236" s="5">
        <v>0.03</v>
      </c>
      <c r="F236" s="5">
        <v>0</v>
      </c>
      <c r="G236" s="5">
        <v>0</v>
      </c>
      <c r="H236" s="5">
        <v>0</v>
      </c>
      <c r="I236" s="6">
        <v>-100</v>
      </c>
    </row>
    <row r="237" spans="1:9" x14ac:dyDescent="0.25">
      <c r="A237" s="1" t="s">
        <v>31</v>
      </c>
      <c r="B237" s="5">
        <v>38.729999999999997</v>
      </c>
      <c r="C237" s="5">
        <v>32.979999999999997</v>
      </c>
      <c r="D237" s="5">
        <v>27.32</v>
      </c>
      <c r="E237" s="5">
        <v>21.75</v>
      </c>
      <c r="F237" s="5">
        <v>16.79</v>
      </c>
      <c r="G237" s="5">
        <v>12.38</v>
      </c>
      <c r="H237" s="5">
        <v>8.4499999999999993</v>
      </c>
      <c r="I237" s="6">
        <v>-22.410753</v>
      </c>
    </row>
    <row r="238" spans="1:9" x14ac:dyDescent="0.25">
      <c r="A238" s="1" t="s">
        <v>32</v>
      </c>
      <c r="B238" s="5">
        <v>21.68</v>
      </c>
      <c r="C238" s="5">
        <v>20.95</v>
      </c>
      <c r="D238" s="5">
        <v>20.27</v>
      </c>
      <c r="E238" s="5">
        <v>19.63</v>
      </c>
      <c r="F238" s="5">
        <v>19.03</v>
      </c>
      <c r="G238" s="5">
        <v>18.47</v>
      </c>
      <c r="H238" s="5">
        <v>17.940000000000001</v>
      </c>
      <c r="I238" s="6">
        <v>-3.1066750000000001</v>
      </c>
    </row>
    <row r="239" spans="1:9" x14ac:dyDescent="0.25">
      <c r="A239" s="1" t="s">
        <v>33</v>
      </c>
      <c r="B239" s="5">
        <v>9.81</v>
      </c>
      <c r="C239" s="5">
        <v>8.83</v>
      </c>
      <c r="D239" s="5">
        <v>7.95</v>
      </c>
      <c r="E239" s="5">
        <v>7.17</v>
      </c>
      <c r="F239" s="5">
        <v>6.47</v>
      </c>
      <c r="G239" s="5">
        <v>5.84</v>
      </c>
      <c r="H239" s="5">
        <v>5.28</v>
      </c>
      <c r="I239" s="6">
        <v>-9.8094950000000001</v>
      </c>
    </row>
    <row r="240" spans="1:9" ht="30" x14ac:dyDescent="0.25">
      <c r="A240" s="1" t="s">
        <v>34</v>
      </c>
      <c r="B240" s="5">
        <v>5.76</v>
      </c>
      <c r="C240" s="5">
        <v>5.3</v>
      </c>
      <c r="D240" s="5">
        <v>4.93</v>
      </c>
      <c r="E240" s="5">
        <v>4.6500000000000004</v>
      </c>
      <c r="F240" s="5">
        <v>4.41</v>
      </c>
      <c r="G240" s="5">
        <v>4.22</v>
      </c>
      <c r="H240" s="5">
        <v>4.05</v>
      </c>
      <c r="I240" s="6">
        <v>-5.7013610000000003</v>
      </c>
    </row>
    <row r="241" spans="1:9" ht="30" x14ac:dyDescent="0.25">
      <c r="A241" s="1" t="s">
        <v>35</v>
      </c>
      <c r="B241" s="5">
        <v>9.91</v>
      </c>
      <c r="C241" s="5">
        <v>8.9</v>
      </c>
      <c r="D241" s="5">
        <v>8.1</v>
      </c>
      <c r="E241" s="5">
        <v>7.45</v>
      </c>
      <c r="F241" s="5">
        <v>6.9</v>
      </c>
      <c r="G241" s="5">
        <v>6.43</v>
      </c>
      <c r="H241" s="5">
        <v>6.01</v>
      </c>
      <c r="I241" s="6">
        <v>-7.9973919999999996</v>
      </c>
    </row>
    <row r="242" spans="1:9" x14ac:dyDescent="0.25">
      <c r="A242" s="1" t="s">
        <v>36</v>
      </c>
      <c r="B242" s="5">
        <v>0.78</v>
      </c>
      <c r="C242" s="5">
        <v>0.36</v>
      </c>
      <c r="D242" s="5">
        <v>0.17</v>
      </c>
      <c r="E242" s="5">
        <v>0.09</v>
      </c>
      <c r="F242" s="5">
        <v>0.04</v>
      </c>
      <c r="G242" s="5">
        <v>0.02</v>
      </c>
      <c r="H242" s="5">
        <v>0.01</v>
      </c>
      <c r="I242" s="6">
        <v>-51.621668</v>
      </c>
    </row>
    <row r="243" spans="1:9" x14ac:dyDescent="0.25">
      <c r="A243" s="1" t="s">
        <v>37</v>
      </c>
      <c r="B243" s="5">
        <v>49.73</v>
      </c>
      <c r="C243" s="5">
        <v>52.24</v>
      </c>
      <c r="D243" s="5">
        <v>54.2</v>
      </c>
      <c r="E243" s="5">
        <v>56.18</v>
      </c>
      <c r="F243" s="5">
        <v>57.63</v>
      </c>
      <c r="G243" s="5">
        <v>57.87</v>
      </c>
      <c r="H243" s="5">
        <v>58.11</v>
      </c>
      <c r="I243" s="6">
        <v>2.6294659999999999</v>
      </c>
    </row>
    <row r="244" spans="1:9" x14ac:dyDescent="0.25">
      <c r="A244" s="1" t="s">
        <v>38</v>
      </c>
      <c r="B244" s="5">
        <v>18.98</v>
      </c>
      <c r="C244" s="5">
        <v>19.600000000000001</v>
      </c>
      <c r="D244" s="5">
        <v>20.22</v>
      </c>
      <c r="E244" s="5">
        <v>20.84</v>
      </c>
      <c r="F244" s="5">
        <v>21.44</v>
      </c>
      <c r="G244" s="5">
        <v>22.03</v>
      </c>
      <c r="H244" s="5">
        <v>22.61</v>
      </c>
      <c r="I244" s="6">
        <v>2.9597289999999998</v>
      </c>
    </row>
    <row r="245" spans="1:9" x14ac:dyDescent="0.25">
      <c r="A245" s="1" t="s">
        <v>39</v>
      </c>
      <c r="B245" s="5">
        <v>11.29</v>
      </c>
      <c r="C245" s="5">
        <v>10.18</v>
      </c>
      <c r="D245" s="5">
        <v>8.9600000000000009</v>
      </c>
      <c r="E245" s="5">
        <v>7.85</v>
      </c>
      <c r="F245" s="5">
        <v>6.83</v>
      </c>
      <c r="G245" s="5">
        <v>5.91</v>
      </c>
      <c r="H245" s="5">
        <v>5.07</v>
      </c>
      <c r="I245" s="6">
        <v>-12.491078</v>
      </c>
    </row>
    <row r="246" spans="1:9" x14ac:dyDescent="0.25">
      <c r="A246" s="1" t="s">
        <v>40</v>
      </c>
      <c r="B246" s="5">
        <v>2.23</v>
      </c>
      <c r="C246" s="5">
        <v>1.33</v>
      </c>
      <c r="D246" s="5">
        <v>0.66</v>
      </c>
      <c r="E246" s="5">
        <v>0.2</v>
      </c>
      <c r="F246" s="5">
        <v>0</v>
      </c>
      <c r="G246" s="5">
        <v>0</v>
      </c>
      <c r="H246" s="5">
        <v>0</v>
      </c>
      <c r="I246" s="6">
        <v>-100</v>
      </c>
    </row>
    <row r="247" spans="1:9" x14ac:dyDescent="0.25">
      <c r="A247" s="1" t="s">
        <v>41</v>
      </c>
      <c r="B247" s="5">
        <v>22.55</v>
      </c>
      <c r="C247" s="5">
        <v>15.36</v>
      </c>
      <c r="D247" s="5">
        <v>9.3000000000000007</v>
      </c>
      <c r="E247" s="5">
        <v>4.24</v>
      </c>
      <c r="F247" s="5">
        <v>2.65</v>
      </c>
      <c r="G247" s="5">
        <v>1.51</v>
      </c>
      <c r="H247" s="5">
        <v>0.24</v>
      </c>
      <c r="I247" s="6">
        <v>-53.099502999999999</v>
      </c>
    </row>
    <row r="248" spans="1:9" x14ac:dyDescent="0.25">
      <c r="A248" s="1" t="s">
        <v>42</v>
      </c>
      <c r="B248" s="5">
        <v>57.56</v>
      </c>
      <c r="C248" s="5">
        <v>56.02</v>
      </c>
      <c r="D248" s="5">
        <v>54.63</v>
      </c>
      <c r="E248" s="5">
        <v>53.27</v>
      </c>
      <c r="F248" s="5">
        <v>51.92</v>
      </c>
      <c r="G248" s="5">
        <v>50.37</v>
      </c>
      <c r="H248" s="5">
        <v>48.6</v>
      </c>
      <c r="I248" s="6">
        <v>-2.7806799999999998</v>
      </c>
    </row>
    <row r="249" spans="1:9" x14ac:dyDescent="0.25">
      <c r="A249" s="1" t="s">
        <v>43</v>
      </c>
      <c r="B249" s="5">
        <v>90.31</v>
      </c>
      <c r="C249" s="5">
        <v>86.55</v>
      </c>
      <c r="D249" s="5">
        <v>82.73</v>
      </c>
      <c r="E249" s="5">
        <v>78.98</v>
      </c>
      <c r="F249" s="5">
        <v>75.48</v>
      </c>
      <c r="G249" s="5">
        <v>72.08</v>
      </c>
      <c r="H249" s="5">
        <v>69.09</v>
      </c>
      <c r="I249" s="6">
        <v>-4.3658010000000003</v>
      </c>
    </row>
    <row r="250" spans="1:9" x14ac:dyDescent="0.25">
      <c r="A250" s="1" t="s">
        <v>44</v>
      </c>
      <c r="B250" s="5">
        <v>3.41</v>
      </c>
      <c r="C250" s="5">
        <v>2.46</v>
      </c>
      <c r="D250" s="5">
        <v>1.79</v>
      </c>
      <c r="E250" s="5">
        <v>1.29</v>
      </c>
      <c r="F250" s="5">
        <v>0.94</v>
      </c>
      <c r="G250" s="5">
        <v>0.68</v>
      </c>
      <c r="H250" s="5">
        <v>0.49</v>
      </c>
      <c r="I250" s="6">
        <v>-27.627493000000001</v>
      </c>
    </row>
    <row r="251" spans="1:9" x14ac:dyDescent="0.25">
      <c r="A251" s="1" t="s">
        <v>45</v>
      </c>
      <c r="B251" s="5">
        <v>1.41</v>
      </c>
      <c r="C251" s="5">
        <v>1.39</v>
      </c>
      <c r="D251" s="5">
        <v>1.4</v>
      </c>
      <c r="E251" s="5">
        <v>1.37</v>
      </c>
      <c r="F251" s="5">
        <v>1.33</v>
      </c>
      <c r="G251" s="5">
        <v>1.28</v>
      </c>
      <c r="H251" s="5">
        <v>1.23</v>
      </c>
      <c r="I251" s="6">
        <v>-2.2505480000000002</v>
      </c>
    </row>
    <row r="252" spans="1:9" x14ac:dyDescent="0.25">
      <c r="A252" s="1" t="s">
        <v>46</v>
      </c>
      <c r="B252" s="5">
        <v>5.91</v>
      </c>
      <c r="C252" s="5">
        <v>4.99</v>
      </c>
      <c r="D252" s="5">
        <v>4.24</v>
      </c>
      <c r="E252" s="5">
        <v>3.55</v>
      </c>
      <c r="F252" s="5">
        <v>2.86</v>
      </c>
      <c r="G252" s="5">
        <v>2.38</v>
      </c>
      <c r="H252" s="5">
        <v>1.94</v>
      </c>
      <c r="I252" s="6">
        <v>-16.944376999999999</v>
      </c>
    </row>
    <row r="253" spans="1:9" x14ac:dyDescent="0.25">
      <c r="A253" s="1" t="s">
        <v>47</v>
      </c>
      <c r="B253" s="5">
        <v>6.56</v>
      </c>
      <c r="C253" s="5">
        <v>4.93</v>
      </c>
      <c r="D253" s="5">
        <v>3.96</v>
      </c>
      <c r="E253" s="5">
        <v>3.18</v>
      </c>
      <c r="F253" s="5">
        <v>2.54</v>
      </c>
      <c r="G253" s="5">
        <v>2.02</v>
      </c>
      <c r="H253" s="5">
        <v>1.6</v>
      </c>
      <c r="I253" s="6">
        <v>-20.955919000000002</v>
      </c>
    </row>
    <row r="254" spans="1:9" x14ac:dyDescent="0.25">
      <c r="A254" s="1" t="s">
        <v>48</v>
      </c>
      <c r="B254" s="5">
        <v>0.35</v>
      </c>
      <c r="C254" s="5">
        <v>0.3</v>
      </c>
      <c r="D254" s="5">
        <v>0.24</v>
      </c>
      <c r="E254" s="5">
        <v>0.19</v>
      </c>
      <c r="F254" s="5">
        <v>0.16</v>
      </c>
      <c r="G254" s="5">
        <v>0.12</v>
      </c>
      <c r="H254" s="5">
        <v>0.08</v>
      </c>
      <c r="I254" s="6">
        <v>-21.806559</v>
      </c>
    </row>
    <row r="255" spans="1:9" x14ac:dyDescent="0.25">
      <c r="A255" s="1" t="s">
        <v>49</v>
      </c>
      <c r="B255" s="5">
        <v>1.49</v>
      </c>
      <c r="C255" s="5">
        <v>1.22</v>
      </c>
      <c r="D255" s="5">
        <v>1.1299999999999999</v>
      </c>
      <c r="E255" s="5">
        <v>1.06</v>
      </c>
      <c r="F255" s="5">
        <v>1.01</v>
      </c>
      <c r="G255" s="5">
        <v>0.97</v>
      </c>
      <c r="H255" s="5">
        <v>0.94</v>
      </c>
      <c r="I255" s="6">
        <v>-7.3902029999999996</v>
      </c>
    </row>
    <row r="256" spans="1:9" x14ac:dyDescent="0.25">
      <c r="A256" s="1" t="s">
        <v>50</v>
      </c>
      <c r="B256" s="5">
        <v>4.18</v>
      </c>
      <c r="C256" s="5">
        <v>4.42</v>
      </c>
      <c r="D256" s="5">
        <v>4.68</v>
      </c>
      <c r="E256" s="5">
        <v>4.96</v>
      </c>
      <c r="F256" s="5">
        <v>5.25</v>
      </c>
      <c r="G256" s="5">
        <v>5.56</v>
      </c>
      <c r="H256" s="5">
        <v>5.74</v>
      </c>
      <c r="I256" s="6">
        <v>5.4279919999999997</v>
      </c>
    </row>
    <row r="257" spans="1:9" x14ac:dyDescent="0.25">
      <c r="A257" s="1" t="s">
        <v>51</v>
      </c>
      <c r="B257" s="5">
        <v>16.66</v>
      </c>
      <c r="C257" s="5">
        <v>13.91</v>
      </c>
      <c r="D257" s="5">
        <v>11.82</v>
      </c>
      <c r="E257" s="5">
        <v>10.24</v>
      </c>
      <c r="F257" s="5">
        <v>8.99</v>
      </c>
      <c r="G257" s="5">
        <v>8</v>
      </c>
      <c r="H257" s="5">
        <v>7.17</v>
      </c>
      <c r="I257" s="6">
        <v>-13.109154</v>
      </c>
    </row>
    <row r="258" spans="1:9" x14ac:dyDescent="0.25">
      <c r="A258" s="1" t="s">
        <v>52</v>
      </c>
      <c r="B258" s="5">
        <v>26.06</v>
      </c>
      <c r="C258" s="5">
        <v>20.38</v>
      </c>
      <c r="D258" s="5">
        <v>15.98</v>
      </c>
      <c r="E258" s="5">
        <v>12.53</v>
      </c>
      <c r="F258" s="5">
        <v>8.6</v>
      </c>
      <c r="G258" s="5">
        <v>5.91</v>
      </c>
      <c r="H258" s="5">
        <v>4.07</v>
      </c>
      <c r="I258" s="6">
        <v>-26.615670000000001</v>
      </c>
    </row>
    <row r="259" spans="1:9" x14ac:dyDescent="0.25">
      <c r="A259" s="1" t="s">
        <v>53</v>
      </c>
      <c r="B259" s="5">
        <v>38.29</v>
      </c>
      <c r="C259" s="5">
        <v>34.729999999999997</v>
      </c>
      <c r="D259" s="5">
        <v>32.04</v>
      </c>
      <c r="E259" s="5">
        <v>29.62</v>
      </c>
      <c r="F259" s="5">
        <v>27.47</v>
      </c>
      <c r="G259" s="5">
        <v>25.39</v>
      </c>
      <c r="H259" s="5">
        <v>23.85</v>
      </c>
      <c r="I259" s="6">
        <v>-7.5868370000000001</v>
      </c>
    </row>
    <row r="260" spans="1:9" x14ac:dyDescent="0.25">
      <c r="A260" s="1" t="s">
        <v>54</v>
      </c>
      <c r="B260" s="5">
        <v>12.65</v>
      </c>
      <c r="C260" s="5">
        <v>13.2</v>
      </c>
      <c r="D260" s="5">
        <v>13.77</v>
      </c>
      <c r="E260" s="5">
        <v>14.36</v>
      </c>
      <c r="F260" s="5">
        <v>14.97</v>
      </c>
      <c r="G260" s="5">
        <v>15.59</v>
      </c>
      <c r="H260" s="5">
        <v>16.03</v>
      </c>
      <c r="I260" s="6">
        <v>4.025665</v>
      </c>
    </row>
    <row r="261" spans="1:9" x14ac:dyDescent="0.25">
      <c r="A261" s="1" t="s">
        <v>55</v>
      </c>
      <c r="B261" s="5">
        <v>0.06</v>
      </c>
      <c r="C261" s="5">
        <v>0.05</v>
      </c>
      <c r="D261" s="5">
        <v>0.05</v>
      </c>
      <c r="E261" s="5">
        <v>0.04</v>
      </c>
      <c r="F261" s="5">
        <v>0.03</v>
      </c>
      <c r="G261" s="5">
        <v>0.03</v>
      </c>
      <c r="H261" s="5">
        <v>0.03</v>
      </c>
      <c r="I261" s="6">
        <v>-10.910128</v>
      </c>
    </row>
    <row r="262" spans="1:9" x14ac:dyDescent="0.25">
      <c r="A262" s="1" t="s">
        <v>56</v>
      </c>
      <c r="B262" s="5">
        <v>8.24</v>
      </c>
      <c r="C262" s="5">
        <v>7.9</v>
      </c>
      <c r="D262" s="5">
        <v>7.57</v>
      </c>
      <c r="E262" s="5">
        <v>7.26</v>
      </c>
      <c r="F262" s="5">
        <v>6.45</v>
      </c>
      <c r="G262" s="5">
        <v>5.74</v>
      </c>
      <c r="H262" s="5">
        <v>5.0999999999999996</v>
      </c>
      <c r="I262" s="6">
        <v>-7.6846699999999997</v>
      </c>
    </row>
    <row r="263" spans="1:9" x14ac:dyDescent="0.25">
      <c r="A263" s="1" t="s">
        <v>57</v>
      </c>
      <c r="B263" s="7" t="s">
        <v>58</v>
      </c>
      <c r="C263" s="7" t="s">
        <v>58</v>
      </c>
      <c r="D263" s="7" t="s">
        <v>58</v>
      </c>
      <c r="E263" s="7" t="s">
        <v>58</v>
      </c>
      <c r="F263" s="7" t="s">
        <v>58</v>
      </c>
      <c r="G263" s="7" t="s">
        <v>58</v>
      </c>
      <c r="H263" s="7" t="s">
        <v>58</v>
      </c>
      <c r="I263" s="7" t="s">
        <v>58</v>
      </c>
    </row>
    <row r="264" spans="1:9" x14ac:dyDescent="0.25">
      <c r="A264" s="1" t="s">
        <v>59</v>
      </c>
      <c r="B264" s="5">
        <v>7.15</v>
      </c>
      <c r="C264" s="5">
        <v>7.19</v>
      </c>
      <c r="D264" s="5">
        <v>7.33</v>
      </c>
      <c r="E264" s="5">
        <v>7.58</v>
      </c>
      <c r="F264" s="5">
        <v>7.69</v>
      </c>
      <c r="G264" s="5">
        <v>7.79</v>
      </c>
      <c r="H264" s="5">
        <v>7.9</v>
      </c>
      <c r="I264" s="6">
        <v>1.6764030000000001</v>
      </c>
    </row>
    <row r="265" spans="1:9" x14ac:dyDescent="0.25">
      <c r="A265" s="1" t="s">
        <v>60</v>
      </c>
      <c r="B265" s="5">
        <v>0.06</v>
      </c>
      <c r="C265" s="5">
        <v>0.05</v>
      </c>
      <c r="D265" s="5">
        <v>0.04</v>
      </c>
      <c r="E265" s="5">
        <v>0.03</v>
      </c>
      <c r="F265" s="5">
        <v>0.02</v>
      </c>
      <c r="G265" s="5">
        <v>0.02</v>
      </c>
      <c r="H265" s="5">
        <v>0.01</v>
      </c>
      <c r="I265" s="6">
        <v>-25.816362000000002</v>
      </c>
    </row>
    <row r="266" spans="1:9" ht="45" x14ac:dyDescent="0.25">
      <c r="A266" s="1" t="s">
        <v>61</v>
      </c>
      <c r="B266" s="5">
        <v>2.79</v>
      </c>
      <c r="C266" s="5">
        <v>1.93</v>
      </c>
      <c r="D266" s="5">
        <v>1.53</v>
      </c>
      <c r="E266" s="5">
        <v>1.29</v>
      </c>
      <c r="F266" s="5">
        <v>1.1499999999999999</v>
      </c>
      <c r="G266" s="5">
        <v>1.06</v>
      </c>
      <c r="H266" s="5">
        <v>1</v>
      </c>
      <c r="I266" s="6">
        <v>-15.718427</v>
      </c>
    </row>
    <row r="267" spans="1:9" x14ac:dyDescent="0.25">
      <c r="A267" s="1" t="s">
        <v>62</v>
      </c>
      <c r="B267" s="5">
        <v>8.6999999999999993</v>
      </c>
      <c r="C267" s="5">
        <v>8.2200000000000006</v>
      </c>
      <c r="D267" s="5">
        <v>7.73</v>
      </c>
      <c r="E267" s="5">
        <v>7.34</v>
      </c>
      <c r="F267" s="5">
        <v>7.02</v>
      </c>
      <c r="G267" s="5">
        <v>6.65</v>
      </c>
      <c r="H267" s="5">
        <v>6.23</v>
      </c>
      <c r="I267" s="6">
        <v>-5.4137230000000001</v>
      </c>
    </row>
    <row r="268" spans="1:9" x14ac:dyDescent="0.25">
      <c r="A268" s="1" t="s">
        <v>63</v>
      </c>
      <c r="B268" s="5">
        <v>58.42</v>
      </c>
      <c r="C268" s="5">
        <v>58.04</v>
      </c>
      <c r="D268" s="5">
        <v>57.52</v>
      </c>
      <c r="E268" s="5">
        <v>57</v>
      </c>
      <c r="F268" s="5">
        <v>56.51</v>
      </c>
      <c r="G268" s="5">
        <v>57.07</v>
      </c>
      <c r="H268" s="5">
        <v>57.16</v>
      </c>
      <c r="I268" s="6">
        <v>-0.36274000000000001</v>
      </c>
    </row>
    <row r="269" spans="1:9" x14ac:dyDescent="0.25">
      <c r="A269" s="1" t="s">
        <v>64</v>
      </c>
      <c r="B269" s="5">
        <v>6.37</v>
      </c>
      <c r="C269" s="5">
        <v>5.88</v>
      </c>
      <c r="D269" s="5">
        <v>5.34</v>
      </c>
      <c r="E269" s="5">
        <v>4.9000000000000004</v>
      </c>
      <c r="F269" s="5">
        <v>4.53</v>
      </c>
      <c r="G269" s="5">
        <v>4.22</v>
      </c>
      <c r="H269" s="5">
        <v>3.95</v>
      </c>
      <c r="I269" s="6">
        <v>-7.6558029999999997</v>
      </c>
    </row>
    <row r="270" spans="1:9" x14ac:dyDescent="0.25">
      <c r="A270" s="1" t="s">
        <v>65</v>
      </c>
      <c r="B270" s="5">
        <v>0.2</v>
      </c>
      <c r="C270" s="5">
        <v>0.01</v>
      </c>
      <c r="D270" s="5">
        <v>0</v>
      </c>
      <c r="E270" s="5">
        <v>0</v>
      </c>
      <c r="F270" s="5">
        <v>0</v>
      </c>
      <c r="G270" s="5">
        <v>0</v>
      </c>
      <c r="H270" s="5">
        <v>0</v>
      </c>
      <c r="I270" s="6">
        <v>-100</v>
      </c>
    </row>
    <row r="271" spans="1:9" x14ac:dyDescent="0.25">
      <c r="A271" s="1" t="s">
        <v>66</v>
      </c>
      <c r="B271" s="5">
        <v>3.2</v>
      </c>
      <c r="C271" s="5">
        <v>1.8</v>
      </c>
      <c r="D271" s="5">
        <v>0.87</v>
      </c>
      <c r="E271" s="5">
        <v>0.33</v>
      </c>
      <c r="F271" s="5">
        <v>0.09</v>
      </c>
      <c r="G271" s="5">
        <v>0.02</v>
      </c>
      <c r="H271" s="5">
        <v>0</v>
      </c>
      <c r="I271" s="6">
        <v>-100</v>
      </c>
    </row>
    <row r="272" spans="1:9" ht="30" x14ac:dyDescent="0.25">
      <c r="A272" s="1" t="s">
        <v>67</v>
      </c>
      <c r="B272" s="5">
        <v>6.45</v>
      </c>
      <c r="C272" s="5">
        <v>6.35</v>
      </c>
      <c r="D272" s="5">
        <v>6.22</v>
      </c>
      <c r="E272" s="5">
        <v>6.09</v>
      </c>
      <c r="F272" s="5">
        <v>5.91</v>
      </c>
      <c r="G272" s="5">
        <v>5.67</v>
      </c>
      <c r="H272" s="5">
        <v>5.41</v>
      </c>
      <c r="I272" s="6">
        <v>-2.887994</v>
      </c>
    </row>
    <row r="273" spans="1:9" x14ac:dyDescent="0.25">
      <c r="A273" s="1" t="s">
        <v>68</v>
      </c>
      <c r="B273" s="7" t="s">
        <v>58</v>
      </c>
      <c r="C273" s="7" t="s">
        <v>58</v>
      </c>
      <c r="D273" s="7" t="s">
        <v>58</v>
      </c>
      <c r="E273" s="7" t="s">
        <v>58</v>
      </c>
      <c r="F273" s="7" t="s">
        <v>58</v>
      </c>
      <c r="G273" s="7" t="s">
        <v>58</v>
      </c>
      <c r="H273" s="7" t="s">
        <v>58</v>
      </c>
      <c r="I273" s="7" t="s">
        <v>58</v>
      </c>
    </row>
    <row r="274" spans="1:9" x14ac:dyDescent="0.25">
      <c r="A274" s="1" t="s">
        <v>69</v>
      </c>
      <c r="B274" s="5">
        <v>0.11</v>
      </c>
      <c r="C274" s="5">
        <v>0.1</v>
      </c>
      <c r="D274" s="5">
        <v>0.1</v>
      </c>
      <c r="E274" s="5">
        <v>0.1</v>
      </c>
      <c r="F274" s="5">
        <v>0.1</v>
      </c>
      <c r="G274" s="5">
        <v>0.1</v>
      </c>
      <c r="H274" s="5">
        <v>0.1</v>
      </c>
      <c r="I274" s="6">
        <v>-1.5759529999999999</v>
      </c>
    </row>
    <row r="275" spans="1:9" x14ac:dyDescent="0.25">
      <c r="A275" s="1" t="s">
        <v>70</v>
      </c>
      <c r="B275" s="5">
        <v>11.34</v>
      </c>
      <c r="C275" s="5">
        <v>8.83</v>
      </c>
      <c r="D275" s="5">
        <v>6.63</v>
      </c>
      <c r="E275" s="5">
        <v>4.8899999999999997</v>
      </c>
      <c r="F275" s="5">
        <v>3.5</v>
      </c>
      <c r="G275" s="5">
        <v>2.64</v>
      </c>
      <c r="H275" s="5">
        <v>2.0299999999999998</v>
      </c>
      <c r="I275" s="6">
        <v>-24.927565999999999</v>
      </c>
    </row>
    <row r="276" spans="1:9" x14ac:dyDescent="0.25">
      <c r="A276" s="1" t="s">
        <v>71</v>
      </c>
      <c r="B276" s="5">
        <v>17.04</v>
      </c>
      <c r="C276" s="5">
        <v>14.94</v>
      </c>
      <c r="D276" s="5">
        <v>13.5</v>
      </c>
      <c r="E276" s="5">
        <v>12.4</v>
      </c>
      <c r="F276" s="5">
        <v>11.1</v>
      </c>
      <c r="G276" s="5">
        <v>10.14</v>
      </c>
      <c r="H276" s="5">
        <v>9.01</v>
      </c>
      <c r="I276" s="6">
        <v>-10.075948</v>
      </c>
    </row>
    <row r="277" spans="1:9" x14ac:dyDescent="0.25">
      <c r="A277" s="1" t="s">
        <v>72</v>
      </c>
      <c r="B277" s="5">
        <v>11.77</v>
      </c>
      <c r="C277" s="5">
        <v>12.02</v>
      </c>
      <c r="D277" s="5">
        <v>12.3</v>
      </c>
      <c r="E277" s="5">
        <v>12.25</v>
      </c>
      <c r="F277" s="5">
        <v>12.09</v>
      </c>
      <c r="G277" s="5">
        <v>12.32</v>
      </c>
      <c r="H277" s="5">
        <v>12.29</v>
      </c>
      <c r="I277" s="6">
        <v>0.72313499999999997</v>
      </c>
    </row>
    <row r="278" spans="1:9" x14ac:dyDescent="0.25">
      <c r="A278" s="1" t="s">
        <v>73</v>
      </c>
      <c r="B278" s="7" t="s">
        <v>58</v>
      </c>
      <c r="C278" s="7" t="s">
        <v>58</v>
      </c>
      <c r="D278" s="7" t="s">
        <v>58</v>
      </c>
      <c r="E278" s="7" t="s">
        <v>58</v>
      </c>
      <c r="F278" s="7" t="s">
        <v>58</v>
      </c>
      <c r="G278" s="7" t="s">
        <v>58</v>
      </c>
      <c r="H278" s="7" t="s">
        <v>58</v>
      </c>
      <c r="I278" s="7" t="s">
        <v>58</v>
      </c>
    </row>
    <row r="279" spans="1:9" ht="30" x14ac:dyDescent="0.25">
      <c r="A279" s="1" t="s">
        <v>74</v>
      </c>
      <c r="B279" s="5">
        <v>6.99</v>
      </c>
      <c r="C279" s="5">
        <v>5.2</v>
      </c>
      <c r="D279" s="5">
        <v>3.8</v>
      </c>
      <c r="E279" s="5">
        <v>2.98</v>
      </c>
      <c r="F279" s="5">
        <v>2.2999999999999998</v>
      </c>
      <c r="G279" s="5">
        <v>1.76</v>
      </c>
      <c r="H279" s="5">
        <v>1.41</v>
      </c>
      <c r="I279" s="6">
        <v>-23.418537000000001</v>
      </c>
    </row>
    <row r="280" spans="1:9" x14ac:dyDescent="0.25">
      <c r="A280" s="1" t="s">
        <v>75</v>
      </c>
      <c r="B280" s="5">
        <v>0.16</v>
      </c>
      <c r="C280" s="5">
        <v>0.05</v>
      </c>
      <c r="D280" s="5">
        <v>0.01</v>
      </c>
      <c r="E280" s="5">
        <v>0</v>
      </c>
      <c r="F280" s="5">
        <v>0</v>
      </c>
      <c r="G280" s="5">
        <v>0</v>
      </c>
      <c r="H280" s="5">
        <v>0</v>
      </c>
      <c r="I280" s="6">
        <v>-100</v>
      </c>
    </row>
    <row r="281" spans="1:9" x14ac:dyDescent="0.25">
      <c r="A281" s="1" t="s">
        <v>76</v>
      </c>
      <c r="B281" s="5">
        <v>12.42</v>
      </c>
      <c r="C281" s="5">
        <v>11.08</v>
      </c>
      <c r="D281" s="5">
        <v>10.1</v>
      </c>
      <c r="E281" s="5">
        <v>9.2200000000000006</v>
      </c>
      <c r="F281" s="5">
        <v>8.68</v>
      </c>
      <c r="G281" s="5">
        <v>8.18</v>
      </c>
      <c r="H281" s="5">
        <v>7.71</v>
      </c>
      <c r="I281" s="6">
        <v>-7.6389639999999996</v>
      </c>
    </row>
    <row r="282" spans="1:9" ht="45" x14ac:dyDescent="0.25">
      <c r="A282" s="1" t="s">
        <v>77</v>
      </c>
      <c r="B282" s="5">
        <v>14.53</v>
      </c>
      <c r="C282" s="5">
        <v>14.21</v>
      </c>
      <c r="D282" s="5">
        <v>13.77</v>
      </c>
      <c r="E282" s="5">
        <v>13.39</v>
      </c>
      <c r="F282" s="5">
        <v>12.96</v>
      </c>
      <c r="G282" s="5">
        <v>12.54</v>
      </c>
      <c r="H282" s="5">
        <v>12.16</v>
      </c>
      <c r="I282" s="6">
        <v>-2.9241220000000001</v>
      </c>
    </row>
    <row r="283" spans="1:9" ht="45" x14ac:dyDescent="0.25">
      <c r="A283" s="1" t="s">
        <v>78</v>
      </c>
      <c r="B283" s="5">
        <v>14.06</v>
      </c>
      <c r="C283" s="5">
        <v>12.84</v>
      </c>
      <c r="D283" s="5">
        <v>11.74</v>
      </c>
      <c r="E283" s="5">
        <v>10.76</v>
      </c>
      <c r="F283" s="5">
        <v>9.8699999999999992</v>
      </c>
      <c r="G283" s="5">
        <v>9.08</v>
      </c>
      <c r="H283" s="5">
        <v>8.3699999999999992</v>
      </c>
      <c r="I283" s="6">
        <v>-8.2815539999999999</v>
      </c>
    </row>
    <row r="284" spans="1:9" ht="60" x14ac:dyDescent="0.25">
      <c r="A284" s="1" t="s">
        <v>79</v>
      </c>
      <c r="B284" s="7" t="s">
        <v>58</v>
      </c>
      <c r="C284" s="7" t="s">
        <v>58</v>
      </c>
      <c r="D284" s="7" t="s">
        <v>58</v>
      </c>
      <c r="E284" s="7" t="s">
        <v>58</v>
      </c>
      <c r="F284" s="7" t="s">
        <v>58</v>
      </c>
      <c r="G284" s="7" t="s">
        <v>58</v>
      </c>
      <c r="H284" s="7" t="s">
        <v>58</v>
      </c>
      <c r="I284" s="7" t="s">
        <v>58</v>
      </c>
    </row>
    <row r="285" spans="1:9" ht="45" x14ac:dyDescent="0.25">
      <c r="A285" s="1" t="s">
        <v>80</v>
      </c>
      <c r="B285" s="7" t="s">
        <v>58</v>
      </c>
      <c r="C285" s="7" t="s">
        <v>58</v>
      </c>
      <c r="D285" s="7" t="s">
        <v>58</v>
      </c>
      <c r="E285" s="7" t="s">
        <v>58</v>
      </c>
      <c r="F285" s="7" t="s">
        <v>58</v>
      </c>
      <c r="G285" s="7" t="s">
        <v>58</v>
      </c>
      <c r="H285" s="7" t="s">
        <v>58</v>
      </c>
      <c r="I285" s="7" t="s">
        <v>58</v>
      </c>
    </row>
    <row r="286" spans="1:9" ht="45" x14ac:dyDescent="0.25">
      <c r="A286" s="1" t="s">
        <v>81</v>
      </c>
      <c r="B286" s="5">
        <v>17.2</v>
      </c>
      <c r="C286" s="5">
        <v>14.43</v>
      </c>
      <c r="D286" s="5">
        <v>11.86</v>
      </c>
      <c r="E286" s="5">
        <v>9.83</v>
      </c>
      <c r="F286" s="5">
        <v>9.44</v>
      </c>
      <c r="G286" s="5">
        <v>9.1</v>
      </c>
      <c r="H286" s="5">
        <v>8.7899999999999991</v>
      </c>
      <c r="I286" s="6">
        <v>-10.585063999999999</v>
      </c>
    </row>
    <row r="287" spans="1:9" x14ac:dyDescent="0.25">
      <c r="A287" s="1" t="s">
        <v>82</v>
      </c>
      <c r="B287" s="5">
        <v>4.2699999999999996</v>
      </c>
      <c r="C287" s="5">
        <v>4.1399999999999997</v>
      </c>
      <c r="D287" s="5">
        <v>4.13</v>
      </c>
      <c r="E287" s="5">
        <v>4.21</v>
      </c>
      <c r="F287" s="5">
        <v>4.22</v>
      </c>
      <c r="G287" s="5">
        <v>4.01</v>
      </c>
      <c r="H287" s="5">
        <v>3.81</v>
      </c>
      <c r="I287" s="6">
        <v>-1.881813</v>
      </c>
    </row>
    <row r="288" spans="1:9" x14ac:dyDescent="0.25">
      <c r="A288" s="1" t="s">
        <v>83</v>
      </c>
      <c r="B288" s="5">
        <v>36.44</v>
      </c>
      <c r="C288" s="5">
        <v>36.159999999999997</v>
      </c>
      <c r="D288" s="5">
        <v>35.49</v>
      </c>
      <c r="E288" s="5">
        <v>34.840000000000003</v>
      </c>
      <c r="F288" s="5">
        <v>33.93</v>
      </c>
      <c r="G288" s="5">
        <v>33.049999999999997</v>
      </c>
      <c r="H288" s="5">
        <v>32.19</v>
      </c>
      <c r="I288" s="6">
        <v>-2.0456409999999998</v>
      </c>
    </row>
    <row r="289" spans="1:9" x14ac:dyDescent="0.25">
      <c r="A289" s="1" t="s">
        <v>84</v>
      </c>
      <c r="B289" s="5">
        <v>7.0000000000000007E-2</v>
      </c>
      <c r="C289" s="5">
        <v>0.03</v>
      </c>
      <c r="D289" s="5">
        <v>0.02</v>
      </c>
      <c r="E289" s="5">
        <v>0.01</v>
      </c>
      <c r="F289" s="5">
        <v>0</v>
      </c>
      <c r="G289" s="5">
        <v>0</v>
      </c>
      <c r="H289" s="5">
        <v>0</v>
      </c>
      <c r="I289" s="6">
        <v>-100</v>
      </c>
    </row>
    <row r="290" spans="1:9" x14ac:dyDescent="0.25">
      <c r="A290" s="1" t="s">
        <v>85</v>
      </c>
      <c r="B290" s="5">
        <v>5.07</v>
      </c>
      <c r="C290" s="5">
        <v>5.03</v>
      </c>
      <c r="D290" s="5">
        <v>4.9800000000000004</v>
      </c>
      <c r="E290" s="5">
        <v>4.92</v>
      </c>
      <c r="F290" s="5">
        <v>4.84</v>
      </c>
      <c r="G290" s="5">
        <v>4.8499999999999996</v>
      </c>
      <c r="H290" s="5">
        <v>5.3</v>
      </c>
      <c r="I290" s="6">
        <v>0.742174</v>
      </c>
    </row>
    <row r="291" spans="1:9" x14ac:dyDescent="0.25">
      <c r="A291" s="1" t="s">
        <v>86</v>
      </c>
      <c r="B291" s="5">
        <v>0.13</v>
      </c>
      <c r="C291" s="5">
        <v>0.06</v>
      </c>
      <c r="D291" s="5">
        <v>0.02</v>
      </c>
      <c r="E291" s="5">
        <v>0.01</v>
      </c>
      <c r="F291" s="5">
        <v>0</v>
      </c>
      <c r="G291" s="5">
        <v>0</v>
      </c>
      <c r="H291" s="5">
        <v>0</v>
      </c>
      <c r="I291" s="6">
        <v>-100</v>
      </c>
    </row>
    <row r="292" spans="1:9" x14ac:dyDescent="0.25">
      <c r="A292" s="1" t="s">
        <v>87</v>
      </c>
      <c r="B292" s="5">
        <v>2.37</v>
      </c>
      <c r="C292" s="5">
        <v>2.13</v>
      </c>
      <c r="D292" s="5">
        <v>1.93</v>
      </c>
      <c r="E292" s="5">
        <v>1.77</v>
      </c>
      <c r="F292" s="5">
        <v>1.64</v>
      </c>
      <c r="G292" s="5">
        <v>1.54</v>
      </c>
      <c r="H292" s="5">
        <v>1.47</v>
      </c>
      <c r="I292" s="6">
        <v>-7.6518569999999997</v>
      </c>
    </row>
    <row r="293" spans="1:9" x14ac:dyDescent="0.25">
      <c r="A293" s="1" t="s">
        <v>88</v>
      </c>
      <c r="B293" s="5">
        <v>6.01</v>
      </c>
      <c r="C293" s="5">
        <v>4.91</v>
      </c>
      <c r="D293" s="5">
        <v>4.03</v>
      </c>
      <c r="E293" s="5">
        <v>3.32</v>
      </c>
      <c r="F293" s="5">
        <v>2.76</v>
      </c>
      <c r="G293" s="5">
        <v>2.2999999999999998</v>
      </c>
      <c r="H293" s="5">
        <v>1.93</v>
      </c>
      <c r="I293" s="6">
        <v>-17.247623999999998</v>
      </c>
    </row>
    <row r="294" spans="1:9" x14ac:dyDescent="0.25">
      <c r="A294" s="1" t="s">
        <v>89</v>
      </c>
      <c r="B294" s="5">
        <v>2.33</v>
      </c>
      <c r="C294" s="5">
        <v>2.2200000000000002</v>
      </c>
      <c r="D294" s="5">
        <v>2.14</v>
      </c>
      <c r="E294" s="5">
        <v>2.02</v>
      </c>
      <c r="F294" s="5">
        <v>1.91</v>
      </c>
      <c r="G294" s="5">
        <v>1.79</v>
      </c>
      <c r="H294" s="5">
        <v>1.67</v>
      </c>
      <c r="I294" s="6">
        <v>-5.3995009999999999</v>
      </c>
    </row>
    <row r="295" spans="1:9" x14ac:dyDescent="0.25">
      <c r="A295" s="1" t="s">
        <v>90</v>
      </c>
      <c r="B295" s="5">
        <v>9.89</v>
      </c>
      <c r="C295" s="5">
        <v>8.94</v>
      </c>
      <c r="D295" s="5">
        <v>8.1199999999999992</v>
      </c>
      <c r="E295" s="5">
        <v>7.42</v>
      </c>
      <c r="F295" s="5">
        <v>6.81</v>
      </c>
      <c r="G295" s="5">
        <v>6.29</v>
      </c>
      <c r="H295" s="5">
        <v>5.83</v>
      </c>
      <c r="I295" s="6">
        <v>-8.4316519999999997</v>
      </c>
    </row>
    <row r="296" spans="1:9" x14ac:dyDescent="0.25">
      <c r="A296" s="1" t="s">
        <v>91</v>
      </c>
      <c r="B296" s="5">
        <v>0</v>
      </c>
      <c r="C296" s="5">
        <v>0</v>
      </c>
      <c r="D296" s="5">
        <v>0</v>
      </c>
      <c r="E296" s="5">
        <v>0</v>
      </c>
      <c r="F296" s="5">
        <v>0</v>
      </c>
      <c r="G296" s="5">
        <v>0</v>
      </c>
      <c r="H296" s="5">
        <v>0</v>
      </c>
      <c r="I296" s="7" t="s">
        <v>58</v>
      </c>
    </row>
    <row r="297" spans="1:9" x14ac:dyDescent="0.25">
      <c r="A297" s="1" t="s">
        <v>92</v>
      </c>
      <c r="B297" s="5">
        <v>0.86</v>
      </c>
      <c r="C297" s="5">
        <v>0.26</v>
      </c>
      <c r="D297" s="5">
        <v>0.14000000000000001</v>
      </c>
      <c r="E297" s="5">
        <v>0.08</v>
      </c>
      <c r="F297" s="5">
        <v>0.06</v>
      </c>
      <c r="G297" s="5">
        <v>0.05</v>
      </c>
      <c r="H297" s="5">
        <v>0.04</v>
      </c>
      <c r="I297" s="6">
        <v>-40.030983999999997</v>
      </c>
    </row>
    <row r="298" spans="1:9" x14ac:dyDescent="0.25">
      <c r="A298" s="1" t="s">
        <v>93</v>
      </c>
      <c r="B298" s="5">
        <v>6.08</v>
      </c>
      <c r="C298" s="5">
        <v>5.38</v>
      </c>
      <c r="D298" s="5">
        <v>4.95</v>
      </c>
      <c r="E298" s="5">
        <v>4.6900000000000004</v>
      </c>
      <c r="F298" s="5">
        <v>4.54</v>
      </c>
      <c r="G298" s="5">
        <v>4.4400000000000004</v>
      </c>
      <c r="H298" s="5">
        <v>4.38</v>
      </c>
      <c r="I298" s="6">
        <v>-5.3192360000000001</v>
      </c>
    </row>
    <row r="299" spans="1:9" x14ac:dyDescent="0.25">
      <c r="A299" s="1" t="s">
        <v>94</v>
      </c>
      <c r="B299" s="5">
        <v>4.7</v>
      </c>
      <c r="C299" s="5">
        <v>3.99</v>
      </c>
      <c r="D299" s="5">
        <v>3.39</v>
      </c>
      <c r="E299" s="5">
        <v>2.88</v>
      </c>
      <c r="F299" s="5">
        <v>2.62</v>
      </c>
      <c r="G299" s="5">
        <v>2.38</v>
      </c>
      <c r="H299" s="5">
        <v>2.16</v>
      </c>
      <c r="I299" s="6">
        <v>-12.153193</v>
      </c>
    </row>
    <row r="300" spans="1:9" x14ac:dyDescent="0.25">
      <c r="A300" s="1" t="s">
        <v>95</v>
      </c>
      <c r="B300" s="5">
        <v>20.25</v>
      </c>
      <c r="C300" s="5">
        <v>19.38</v>
      </c>
      <c r="D300" s="5">
        <v>18.649999999999999</v>
      </c>
      <c r="E300" s="5">
        <v>17.95</v>
      </c>
      <c r="F300" s="5">
        <v>17.29</v>
      </c>
      <c r="G300" s="5">
        <v>16.670000000000002</v>
      </c>
      <c r="H300" s="5">
        <v>16.09</v>
      </c>
      <c r="I300" s="6">
        <v>-3.7600989999999999</v>
      </c>
    </row>
    <row r="301" spans="1:9" x14ac:dyDescent="0.25">
      <c r="A301" s="1" t="s">
        <v>96</v>
      </c>
      <c r="B301" s="5">
        <v>0</v>
      </c>
      <c r="C301" s="5">
        <v>0</v>
      </c>
      <c r="D301" s="5">
        <v>0</v>
      </c>
      <c r="E301" s="5">
        <v>0</v>
      </c>
      <c r="F301" s="5">
        <v>0</v>
      </c>
      <c r="G301" s="5">
        <v>0</v>
      </c>
      <c r="H301" s="5">
        <v>0</v>
      </c>
      <c r="I301" s="7" t="s">
        <v>58</v>
      </c>
    </row>
    <row r="302" spans="1:9" x14ac:dyDescent="0.25">
      <c r="A302" s="1" t="s">
        <v>97</v>
      </c>
      <c r="B302" s="5">
        <v>17.89</v>
      </c>
      <c r="C302" s="5">
        <v>16.079999999999998</v>
      </c>
      <c r="D302" s="5">
        <v>14.14</v>
      </c>
      <c r="E302" s="5">
        <v>12.39</v>
      </c>
      <c r="F302" s="5">
        <v>10.81</v>
      </c>
      <c r="G302" s="5">
        <v>9.39</v>
      </c>
      <c r="H302" s="5">
        <v>8.11</v>
      </c>
      <c r="I302" s="6">
        <v>-12.353398</v>
      </c>
    </row>
    <row r="303" spans="1:9" x14ac:dyDescent="0.25">
      <c r="A303" s="1" t="s">
        <v>98</v>
      </c>
      <c r="B303" s="5">
        <v>11.2</v>
      </c>
      <c r="C303" s="5">
        <v>8.86</v>
      </c>
      <c r="D303" s="5">
        <v>6.99</v>
      </c>
      <c r="E303" s="5">
        <v>5.5</v>
      </c>
      <c r="F303" s="5">
        <v>4.32</v>
      </c>
      <c r="G303" s="5">
        <v>3.37</v>
      </c>
      <c r="H303" s="5">
        <v>2.62</v>
      </c>
      <c r="I303" s="6">
        <v>-21.504057</v>
      </c>
    </row>
    <row r="304" spans="1:9" x14ac:dyDescent="0.25">
      <c r="A304" s="1" t="s">
        <v>99</v>
      </c>
      <c r="B304" s="5">
        <v>0.91</v>
      </c>
      <c r="C304" s="5">
        <v>0.78</v>
      </c>
      <c r="D304" s="5">
        <v>0.67</v>
      </c>
      <c r="E304" s="5">
        <v>0.57999999999999996</v>
      </c>
      <c r="F304" s="5">
        <v>0.56000000000000005</v>
      </c>
      <c r="G304" s="5">
        <v>0.53</v>
      </c>
      <c r="H304" s="5">
        <v>0.51</v>
      </c>
      <c r="I304" s="6">
        <v>-9.1995229999999992</v>
      </c>
    </row>
    <row r="305" spans="1:9" x14ac:dyDescent="0.25">
      <c r="A305" s="1" t="s">
        <v>100</v>
      </c>
      <c r="B305" s="5">
        <v>1.42</v>
      </c>
      <c r="C305" s="5">
        <v>1.26</v>
      </c>
      <c r="D305" s="5">
        <v>0.88</v>
      </c>
      <c r="E305" s="5">
        <v>0.68</v>
      </c>
      <c r="F305" s="5">
        <v>0.57999999999999996</v>
      </c>
      <c r="G305" s="5">
        <v>0.5</v>
      </c>
      <c r="H305" s="5">
        <v>0.42</v>
      </c>
      <c r="I305" s="6">
        <v>-18.374317999999999</v>
      </c>
    </row>
    <row r="306" spans="1:9" x14ac:dyDescent="0.25">
      <c r="A306" s="1" t="s">
        <v>101</v>
      </c>
      <c r="B306" s="5">
        <v>0.43</v>
      </c>
      <c r="C306" s="5">
        <v>0</v>
      </c>
      <c r="D306" s="5">
        <v>0</v>
      </c>
      <c r="E306" s="5">
        <v>0</v>
      </c>
      <c r="F306" s="5">
        <v>0</v>
      </c>
      <c r="G306" s="5">
        <v>0</v>
      </c>
      <c r="H306" s="5">
        <v>0</v>
      </c>
      <c r="I306" s="6">
        <v>-100</v>
      </c>
    </row>
    <row r="307" spans="1:9" x14ac:dyDescent="0.25">
      <c r="A307" s="1" t="s">
        <v>102</v>
      </c>
      <c r="B307" s="5">
        <v>0.98</v>
      </c>
      <c r="C307" s="5">
        <v>0.71</v>
      </c>
      <c r="D307" s="5">
        <v>0.51</v>
      </c>
      <c r="E307" s="5">
        <v>0.36</v>
      </c>
      <c r="F307" s="5">
        <v>0.25</v>
      </c>
      <c r="G307" s="5">
        <v>0.18</v>
      </c>
      <c r="H307" s="5">
        <v>0.13</v>
      </c>
      <c r="I307" s="6">
        <v>-28.585531</v>
      </c>
    </row>
    <row r="308" spans="1:9" x14ac:dyDescent="0.25">
      <c r="A308" s="1" t="s">
        <v>103</v>
      </c>
      <c r="B308" s="5">
        <v>43.56</v>
      </c>
      <c r="C308" s="5">
        <v>41.11</v>
      </c>
      <c r="D308" s="5">
        <v>39.17</v>
      </c>
      <c r="E308" s="5">
        <v>37.729999999999997</v>
      </c>
      <c r="F308" s="5">
        <v>35.89</v>
      </c>
      <c r="G308" s="5">
        <v>33.75</v>
      </c>
      <c r="H308" s="5">
        <v>32.11</v>
      </c>
      <c r="I308" s="6">
        <v>-4.9558470000000003</v>
      </c>
    </row>
    <row r="309" spans="1:9" x14ac:dyDescent="0.25">
      <c r="A309" s="1" t="s">
        <v>104</v>
      </c>
      <c r="B309" s="5">
        <v>4.54</v>
      </c>
      <c r="C309" s="5">
        <v>4.7300000000000004</v>
      </c>
      <c r="D309" s="5">
        <v>4.93</v>
      </c>
      <c r="E309" s="5">
        <v>5.14</v>
      </c>
      <c r="F309" s="5">
        <v>5.35</v>
      </c>
      <c r="G309" s="5">
        <v>5.58</v>
      </c>
      <c r="H309" s="5">
        <v>5.82</v>
      </c>
      <c r="I309" s="6">
        <v>4.2264280000000003</v>
      </c>
    </row>
    <row r="310" spans="1:9" x14ac:dyDescent="0.25">
      <c r="A310" s="1" t="s">
        <v>105</v>
      </c>
      <c r="B310" s="5">
        <v>2.4500000000000002</v>
      </c>
      <c r="C310" s="5">
        <v>2.19</v>
      </c>
      <c r="D310" s="5">
        <v>1.89</v>
      </c>
      <c r="E310" s="5">
        <v>1.7</v>
      </c>
      <c r="F310" s="5">
        <v>1.18</v>
      </c>
      <c r="G310" s="5">
        <v>0.82</v>
      </c>
      <c r="H310" s="5">
        <v>0.56999999999999995</v>
      </c>
      <c r="I310" s="6">
        <v>-21.575554</v>
      </c>
    </row>
    <row r="311" spans="1:9" x14ac:dyDescent="0.25">
      <c r="A311" s="1" t="s">
        <v>106</v>
      </c>
      <c r="B311" s="5">
        <v>0.76</v>
      </c>
      <c r="C311" s="5">
        <v>0.71</v>
      </c>
      <c r="D311" s="5">
        <v>0.65</v>
      </c>
      <c r="E311" s="5">
        <v>0.6</v>
      </c>
      <c r="F311" s="5">
        <v>0.54</v>
      </c>
      <c r="G311" s="5">
        <v>0.38</v>
      </c>
      <c r="H311" s="5">
        <v>0.3</v>
      </c>
      <c r="I311" s="6">
        <v>-14.351858</v>
      </c>
    </row>
    <row r="312" spans="1:9" ht="30" x14ac:dyDescent="0.25">
      <c r="A312" s="1" t="s">
        <v>107</v>
      </c>
      <c r="B312" s="5">
        <v>0</v>
      </c>
      <c r="C312" s="5">
        <v>0</v>
      </c>
      <c r="D312" s="5">
        <v>0</v>
      </c>
      <c r="E312" s="5">
        <v>0</v>
      </c>
      <c r="F312" s="5">
        <v>0</v>
      </c>
      <c r="G312" s="5">
        <v>0</v>
      </c>
      <c r="H312" s="5">
        <v>0</v>
      </c>
      <c r="I312" s="7" t="s">
        <v>58</v>
      </c>
    </row>
    <row r="313" spans="1:9" x14ac:dyDescent="0.25">
      <c r="A313" s="1" t="s">
        <v>108</v>
      </c>
      <c r="B313" s="5">
        <v>41.06</v>
      </c>
      <c r="C313" s="5">
        <v>39.15</v>
      </c>
      <c r="D313" s="5">
        <v>37.049999999999997</v>
      </c>
      <c r="E313" s="5">
        <v>34.729999999999997</v>
      </c>
      <c r="F313" s="5">
        <v>32.15</v>
      </c>
      <c r="G313" s="5">
        <v>29.29</v>
      </c>
      <c r="H313" s="5">
        <v>26.13</v>
      </c>
      <c r="I313" s="6">
        <v>-7.2558030000000002</v>
      </c>
    </row>
    <row r="314" spans="1:9" ht="30" x14ac:dyDescent="0.25">
      <c r="A314" s="1" t="s">
        <v>109</v>
      </c>
      <c r="B314" s="5">
        <v>1.42</v>
      </c>
      <c r="C314" s="5">
        <v>1.29</v>
      </c>
      <c r="D314" s="5">
        <v>1.17</v>
      </c>
      <c r="E314" s="5">
        <v>1.08</v>
      </c>
      <c r="F314" s="5">
        <v>1.01</v>
      </c>
      <c r="G314" s="5">
        <v>0.94</v>
      </c>
      <c r="H314" s="5">
        <v>0.87</v>
      </c>
      <c r="I314" s="6">
        <v>-7.8408449999999998</v>
      </c>
    </row>
    <row r="315" spans="1:9" x14ac:dyDescent="0.25">
      <c r="A315" s="1" t="s">
        <v>110</v>
      </c>
      <c r="B315" s="5">
        <v>59.86</v>
      </c>
      <c r="C315" s="5">
        <v>55.66</v>
      </c>
      <c r="D315" s="5">
        <v>51.25</v>
      </c>
      <c r="E315" s="5">
        <v>46.81</v>
      </c>
      <c r="F315" s="5">
        <v>42.01</v>
      </c>
      <c r="G315" s="5">
        <v>37.15</v>
      </c>
      <c r="H315" s="5">
        <v>31.77</v>
      </c>
      <c r="I315" s="6">
        <v>-10.019842000000001</v>
      </c>
    </row>
    <row r="316" spans="1:9" x14ac:dyDescent="0.25">
      <c r="A316" s="1" t="s">
        <v>111</v>
      </c>
      <c r="B316" s="5">
        <v>2.62</v>
      </c>
      <c r="C316" s="5">
        <v>0.32</v>
      </c>
      <c r="D316" s="5">
        <v>0</v>
      </c>
      <c r="E316" s="5">
        <v>0</v>
      </c>
      <c r="F316" s="5">
        <v>0</v>
      </c>
      <c r="G316" s="5">
        <v>0</v>
      </c>
      <c r="H316" s="5">
        <v>0</v>
      </c>
      <c r="I316" s="6">
        <v>-100</v>
      </c>
    </row>
    <row r="317" spans="1:9" x14ac:dyDescent="0.25">
      <c r="A317" s="1" t="s">
        <v>112</v>
      </c>
      <c r="B317" s="5">
        <v>6.72</v>
      </c>
      <c r="C317" s="5">
        <v>4.88</v>
      </c>
      <c r="D317" s="5">
        <v>3.44</v>
      </c>
      <c r="E317" s="5">
        <v>2.61</v>
      </c>
      <c r="F317" s="5">
        <v>1.9</v>
      </c>
      <c r="G317" s="5">
        <v>1.35</v>
      </c>
      <c r="H317" s="5">
        <v>0.99</v>
      </c>
      <c r="I317" s="6">
        <v>-27.326236000000002</v>
      </c>
    </row>
    <row r="318" spans="1:9" x14ac:dyDescent="0.25">
      <c r="A318" s="1" t="s">
        <v>113</v>
      </c>
      <c r="B318" s="5">
        <v>22.65</v>
      </c>
      <c r="C318" s="5">
        <v>20.09</v>
      </c>
      <c r="D318" s="5">
        <v>17.82</v>
      </c>
      <c r="E318" s="5">
        <v>15.81</v>
      </c>
      <c r="F318" s="5">
        <v>14.02</v>
      </c>
      <c r="G318" s="5">
        <v>12.43</v>
      </c>
      <c r="H318" s="5">
        <v>11.02</v>
      </c>
      <c r="I318" s="6">
        <v>-11.314579</v>
      </c>
    </row>
    <row r="319" spans="1:9" x14ac:dyDescent="0.25">
      <c r="A319" s="1" t="s">
        <v>114</v>
      </c>
      <c r="B319" s="5">
        <v>0.1</v>
      </c>
      <c r="C319" s="5">
        <v>7.0000000000000007E-2</v>
      </c>
      <c r="D319" s="5">
        <v>0.05</v>
      </c>
      <c r="E319" s="5">
        <v>0.03</v>
      </c>
      <c r="F319" s="5">
        <v>0.02</v>
      </c>
      <c r="G319" s="5">
        <v>0.01</v>
      </c>
      <c r="H319" s="5">
        <v>0.01</v>
      </c>
      <c r="I319" s="6">
        <v>-31.870792999999999</v>
      </c>
    </row>
    <row r="320" spans="1:9" ht="30" x14ac:dyDescent="0.25">
      <c r="A320" s="1" t="s">
        <v>115</v>
      </c>
      <c r="B320" s="5">
        <v>35.15</v>
      </c>
      <c r="C320" s="5">
        <v>31.96</v>
      </c>
      <c r="D320" s="5">
        <v>29.16</v>
      </c>
      <c r="E320" s="5">
        <v>26.66</v>
      </c>
      <c r="F320" s="5">
        <v>24.74</v>
      </c>
      <c r="G320" s="5">
        <v>22.9</v>
      </c>
      <c r="H320" s="5">
        <v>21.06</v>
      </c>
      <c r="I320" s="6">
        <v>-8.1831960000000006</v>
      </c>
    </row>
    <row r="321" spans="1:9" x14ac:dyDescent="0.25">
      <c r="A321" s="1" t="s">
        <v>116</v>
      </c>
      <c r="B321" s="5">
        <v>10.68</v>
      </c>
      <c r="C321" s="5">
        <v>10.98</v>
      </c>
      <c r="D321" s="5">
        <v>11.3</v>
      </c>
      <c r="E321" s="5">
        <v>11.62</v>
      </c>
      <c r="F321" s="5">
        <v>11.83</v>
      </c>
      <c r="G321" s="5">
        <v>12.05</v>
      </c>
      <c r="H321" s="5">
        <v>12.26</v>
      </c>
      <c r="I321" s="6">
        <v>2.3261270000000001</v>
      </c>
    </row>
    <row r="322" spans="1:9" x14ac:dyDescent="0.25">
      <c r="A322" s="1" t="s">
        <v>12</v>
      </c>
      <c r="B322" s="2"/>
      <c r="C322" s="2"/>
      <c r="D322" s="2"/>
      <c r="E322" s="2"/>
      <c r="F322" s="2"/>
      <c r="G322" s="2"/>
      <c r="H322" s="2"/>
      <c r="I322" s="2"/>
    </row>
    <row r="323" spans="1:9" ht="60" x14ac:dyDescent="0.25">
      <c r="A323" s="1" t="s">
        <v>119</v>
      </c>
      <c r="B323" s="2"/>
      <c r="C323" s="2"/>
      <c r="D323" s="2"/>
      <c r="E323" s="2"/>
      <c r="F323" s="2"/>
      <c r="G323" s="2"/>
      <c r="H323" s="2"/>
      <c r="I323" s="2"/>
    </row>
    <row r="324" spans="1:9" x14ac:dyDescent="0.25">
      <c r="A324" s="1" t="s">
        <v>14</v>
      </c>
      <c r="B324" s="5">
        <v>30.31</v>
      </c>
      <c r="C324" s="5">
        <v>34.6</v>
      </c>
      <c r="D324" s="5">
        <v>37.64</v>
      </c>
      <c r="E324" s="5">
        <v>39.03</v>
      </c>
      <c r="F324" s="5">
        <v>40.54</v>
      </c>
      <c r="G324" s="5">
        <v>42.64</v>
      </c>
      <c r="H324" s="5">
        <v>45.4</v>
      </c>
      <c r="I324" s="6">
        <v>6.9658100000000003</v>
      </c>
    </row>
    <row r="325" spans="1:9" ht="30" x14ac:dyDescent="0.25">
      <c r="A325" s="1" t="s">
        <v>15</v>
      </c>
      <c r="B325" s="5">
        <v>49.02</v>
      </c>
      <c r="C325" s="5">
        <v>50.06</v>
      </c>
      <c r="D325" s="5">
        <v>50.67</v>
      </c>
      <c r="E325" s="5">
        <v>51.26</v>
      </c>
      <c r="F325" s="5">
        <v>52.21</v>
      </c>
      <c r="G325" s="5">
        <v>52.97</v>
      </c>
      <c r="H325" s="5">
        <v>53.89</v>
      </c>
      <c r="I325" s="6">
        <v>1.591135</v>
      </c>
    </row>
    <row r="326" spans="1:9" x14ac:dyDescent="0.25">
      <c r="A326" s="1" t="s">
        <v>16</v>
      </c>
      <c r="B326" s="5">
        <v>70.41</v>
      </c>
      <c r="C326" s="5">
        <v>72.59</v>
      </c>
      <c r="D326" s="5">
        <v>73.86</v>
      </c>
      <c r="E326" s="5">
        <v>75.680000000000007</v>
      </c>
      <c r="F326" s="5">
        <v>77.37</v>
      </c>
      <c r="G326" s="5">
        <v>79.03</v>
      </c>
      <c r="H326" s="5">
        <v>80.36</v>
      </c>
      <c r="I326" s="6">
        <v>2.2274660000000002</v>
      </c>
    </row>
    <row r="327" spans="1:9" x14ac:dyDescent="0.25">
      <c r="A327" s="1" t="s">
        <v>17</v>
      </c>
      <c r="B327" s="5">
        <v>8.52</v>
      </c>
      <c r="C327" s="5">
        <v>10.43</v>
      </c>
      <c r="D327" s="5">
        <v>12.29</v>
      </c>
      <c r="E327" s="5">
        <v>14.28</v>
      </c>
      <c r="F327" s="5">
        <v>16.34</v>
      </c>
      <c r="G327" s="5">
        <v>18.420000000000002</v>
      </c>
      <c r="H327" s="5">
        <v>20.64</v>
      </c>
      <c r="I327" s="6">
        <v>15.889747</v>
      </c>
    </row>
    <row r="328" spans="1:9" x14ac:dyDescent="0.25">
      <c r="A328" s="1" t="s">
        <v>18</v>
      </c>
      <c r="B328" s="5">
        <v>11.32</v>
      </c>
      <c r="C328" s="5">
        <v>11.44</v>
      </c>
      <c r="D328" s="5">
        <v>11.46</v>
      </c>
      <c r="E328" s="5">
        <v>11.4</v>
      </c>
      <c r="F328" s="5">
        <v>11.28</v>
      </c>
      <c r="G328" s="5">
        <v>11.16</v>
      </c>
      <c r="H328" s="5">
        <v>11.04</v>
      </c>
      <c r="I328" s="6">
        <v>-0.41656399999999999</v>
      </c>
    </row>
    <row r="329" spans="1:9" x14ac:dyDescent="0.25">
      <c r="A329" s="1" t="s">
        <v>19</v>
      </c>
      <c r="B329" s="5">
        <v>89.05</v>
      </c>
      <c r="C329" s="5">
        <v>90.52</v>
      </c>
      <c r="D329" s="5">
        <v>90.88</v>
      </c>
      <c r="E329" s="5">
        <v>91.41</v>
      </c>
      <c r="F329" s="5">
        <v>91.93</v>
      </c>
      <c r="G329" s="5">
        <v>92.47</v>
      </c>
      <c r="H329" s="5">
        <v>93</v>
      </c>
      <c r="I329" s="6">
        <v>0.72598099999999999</v>
      </c>
    </row>
    <row r="330" spans="1:9" x14ac:dyDescent="0.25">
      <c r="A330" s="1" t="s">
        <v>20</v>
      </c>
      <c r="B330" s="5">
        <v>86.04</v>
      </c>
      <c r="C330" s="5">
        <v>86.22</v>
      </c>
      <c r="D330" s="5">
        <v>86.5</v>
      </c>
      <c r="E330" s="5">
        <v>86.86</v>
      </c>
      <c r="F330" s="5">
        <v>87.29</v>
      </c>
      <c r="G330" s="5">
        <v>87.99</v>
      </c>
      <c r="H330" s="5">
        <v>87.79</v>
      </c>
      <c r="I330" s="6">
        <v>0.33615200000000001</v>
      </c>
    </row>
    <row r="331" spans="1:9" x14ac:dyDescent="0.25">
      <c r="A331" s="1" t="s">
        <v>21</v>
      </c>
      <c r="B331" s="5">
        <v>14.09</v>
      </c>
      <c r="C331" s="5">
        <v>20.14</v>
      </c>
      <c r="D331" s="5">
        <v>26.26</v>
      </c>
      <c r="E331" s="5">
        <v>30.65</v>
      </c>
      <c r="F331" s="5">
        <v>34.92</v>
      </c>
      <c r="G331" s="5">
        <v>39.11</v>
      </c>
      <c r="H331" s="5">
        <v>41.95</v>
      </c>
      <c r="I331" s="6">
        <v>19.941689</v>
      </c>
    </row>
    <row r="332" spans="1:9" x14ac:dyDescent="0.25">
      <c r="A332" s="1" t="s">
        <v>22</v>
      </c>
      <c r="B332" s="5">
        <v>25.04</v>
      </c>
      <c r="C332" s="5">
        <v>26.53</v>
      </c>
      <c r="D332" s="5">
        <v>28.04</v>
      </c>
      <c r="E332" s="5">
        <v>29.54</v>
      </c>
      <c r="F332" s="5">
        <v>30.91</v>
      </c>
      <c r="G332" s="5">
        <v>32.229999999999997</v>
      </c>
      <c r="H332" s="5">
        <v>33.520000000000003</v>
      </c>
      <c r="I332" s="6">
        <v>4.9812200000000004</v>
      </c>
    </row>
    <row r="333" spans="1:9" x14ac:dyDescent="0.25">
      <c r="A333" s="1" t="s">
        <v>23</v>
      </c>
      <c r="B333" s="5">
        <v>48.06</v>
      </c>
      <c r="C333" s="5">
        <v>51.57</v>
      </c>
      <c r="D333" s="5">
        <v>54.33</v>
      </c>
      <c r="E333" s="5">
        <v>56.47</v>
      </c>
      <c r="F333" s="5">
        <v>58.08</v>
      </c>
      <c r="G333" s="5">
        <v>59.38</v>
      </c>
      <c r="H333" s="5">
        <v>60.25</v>
      </c>
      <c r="I333" s="6">
        <v>3.8394110000000001</v>
      </c>
    </row>
    <row r="334" spans="1:9" x14ac:dyDescent="0.25">
      <c r="A334" s="1" t="s">
        <v>24</v>
      </c>
      <c r="B334" s="5">
        <v>37.590000000000003</v>
      </c>
      <c r="C334" s="5">
        <v>42.42</v>
      </c>
      <c r="D334" s="5">
        <v>46.83</v>
      </c>
      <c r="E334" s="5">
        <v>50.88</v>
      </c>
      <c r="F334" s="5">
        <v>54.6</v>
      </c>
      <c r="G334" s="5">
        <v>58.05</v>
      </c>
      <c r="H334" s="5">
        <v>61.24</v>
      </c>
      <c r="I334" s="6">
        <v>8.4743720000000007</v>
      </c>
    </row>
    <row r="335" spans="1:9" x14ac:dyDescent="0.25">
      <c r="A335" s="1" t="s">
        <v>25</v>
      </c>
      <c r="B335" s="5">
        <v>6.7</v>
      </c>
      <c r="C335" s="5">
        <v>7.52</v>
      </c>
      <c r="D335" s="5">
        <v>8.4700000000000006</v>
      </c>
      <c r="E335" s="5">
        <v>9.5500000000000007</v>
      </c>
      <c r="F335" s="5">
        <v>10.4</v>
      </c>
      <c r="G335" s="5">
        <v>11.33</v>
      </c>
      <c r="H335" s="5">
        <v>11.78</v>
      </c>
      <c r="I335" s="6">
        <v>9.8613879999999998</v>
      </c>
    </row>
    <row r="336" spans="1:9" x14ac:dyDescent="0.25">
      <c r="A336" s="1" t="s">
        <v>26</v>
      </c>
      <c r="B336" s="5">
        <v>30.54</v>
      </c>
      <c r="C336" s="5">
        <v>32.200000000000003</v>
      </c>
      <c r="D336" s="5">
        <v>33.67</v>
      </c>
      <c r="E336" s="5">
        <v>34.79</v>
      </c>
      <c r="F336" s="5">
        <v>35.659999999999997</v>
      </c>
      <c r="G336" s="5">
        <v>36.409999999999997</v>
      </c>
      <c r="H336" s="5">
        <v>37.049999999999997</v>
      </c>
      <c r="I336" s="6">
        <v>3.2729370000000002</v>
      </c>
    </row>
    <row r="337" spans="1:9" x14ac:dyDescent="0.25">
      <c r="A337" s="1" t="s">
        <v>27</v>
      </c>
      <c r="B337" s="5">
        <v>53.41</v>
      </c>
      <c r="C337" s="5">
        <v>55.18</v>
      </c>
      <c r="D337" s="5">
        <v>57.66</v>
      </c>
      <c r="E337" s="5">
        <v>59.69</v>
      </c>
      <c r="F337" s="5">
        <v>61.47</v>
      </c>
      <c r="G337" s="5">
        <v>63.02</v>
      </c>
      <c r="H337" s="5">
        <v>64.25</v>
      </c>
      <c r="I337" s="6">
        <v>3.127643</v>
      </c>
    </row>
    <row r="338" spans="1:9" x14ac:dyDescent="0.25">
      <c r="A338" s="1" t="s">
        <v>28</v>
      </c>
      <c r="B338" s="5">
        <v>83.5</v>
      </c>
      <c r="C338" s="5">
        <v>84.09</v>
      </c>
      <c r="D338" s="5">
        <v>84.39</v>
      </c>
      <c r="E338" s="5">
        <v>84.86</v>
      </c>
      <c r="F338" s="5">
        <v>85.9</v>
      </c>
      <c r="G338" s="5">
        <v>86.66</v>
      </c>
      <c r="H338" s="5">
        <v>87.68</v>
      </c>
      <c r="I338" s="6">
        <v>0.81744300000000003</v>
      </c>
    </row>
    <row r="339" spans="1:9" x14ac:dyDescent="0.25">
      <c r="A339" s="1" t="s">
        <v>29</v>
      </c>
      <c r="B339" s="5">
        <v>17.68</v>
      </c>
      <c r="C339" s="5">
        <v>19.559999999999999</v>
      </c>
      <c r="D339" s="5">
        <v>20.99</v>
      </c>
      <c r="E339" s="5">
        <v>22.07</v>
      </c>
      <c r="F339" s="5">
        <v>22.84</v>
      </c>
      <c r="G339" s="5">
        <v>23.31</v>
      </c>
      <c r="H339" s="5">
        <v>23.5</v>
      </c>
      <c r="I339" s="6">
        <v>4.8570419999999999</v>
      </c>
    </row>
    <row r="340" spans="1:9" x14ac:dyDescent="0.25">
      <c r="A340" s="1" t="s">
        <v>30</v>
      </c>
      <c r="B340" s="5">
        <v>38.85</v>
      </c>
      <c r="C340" s="5">
        <v>47.24</v>
      </c>
      <c r="D340" s="5">
        <v>54.27</v>
      </c>
      <c r="E340" s="5">
        <v>59.81</v>
      </c>
      <c r="F340" s="5">
        <v>63.87</v>
      </c>
      <c r="G340" s="5">
        <v>66.17</v>
      </c>
      <c r="H340" s="5">
        <v>67.290000000000006</v>
      </c>
      <c r="I340" s="6">
        <v>9.5872220000000006</v>
      </c>
    </row>
    <row r="341" spans="1:9" x14ac:dyDescent="0.25">
      <c r="A341" s="1" t="s">
        <v>31</v>
      </c>
      <c r="B341" s="5">
        <v>23.89</v>
      </c>
      <c r="C341" s="5">
        <v>31.97</v>
      </c>
      <c r="D341" s="5">
        <v>39.71</v>
      </c>
      <c r="E341" s="5">
        <v>46.63</v>
      </c>
      <c r="F341" s="5">
        <v>52.8</v>
      </c>
      <c r="G341" s="5">
        <v>58.3</v>
      </c>
      <c r="H341" s="5">
        <v>63.18</v>
      </c>
      <c r="I341" s="6">
        <v>17.596368999999999</v>
      </c>
    </row>
    <row r="342" spans="1:9" x14ac:dyDescent="0.25">
      <c r="A342" s="1" t="s">
        <v>32</v>
      </c>
      <c r="B342" s="5">
        <v>20.92</v>
      </c>
      <c r="C342" s="5">
        <v>22.73</v>
      </c>
      <c r="D342" s="5">
        <v>24.49</v>
      </c>
      <c r="E342" s="5">
        <v>26.2</v>
      </c>
      <c r="F342" s="5">
        <v>27.86</v>
      </c>
      <c r="G342" s="5">
        <v>29.48</v>
      </c>
      <c r="H342" s="5">
        <v>31.06</v>
      </c>
      <c r="I342" s="6">
        <v>6.8087</v>
      </c>
    </row>
    <row r="343" spans="1:9" x14ac:dyDescent="0.25">
      <c r="A343" s="1" t="s">
        <v>33</v>
      </c>
      <c r="B343" s="5">
        <v>49.01</v>
      </c>
      <c r="C343" s="5">
        <v>50.72</v>
      </c>
      <c r="D343" s="5">
        <v>51.98</v>
      </c>
      <c r="E343" s="5">
        <v>53.22</v>
      </c>
      <c r="F343" s="5">
        <v>54.44</v>
      </c>
      <c r="G343" s="5">
        <v>55.63</v>
      </c>
      <c r="H343" s="5">
        <v>56.8</v>
      </c>
      <c r="I343" s="6">
        <v>2.489004</v>
      </c>
    </row>
    <row r="344" spans="1:9" ht="30" x14ac:dyDescent="0.25">
      <c r="A344" s="1" t="s">
        <v>34</v>
      </c>
      <c r="B344" s="5">
        <v>18.59</v>
      </c>
      <c r="C344" s="5">
        <v>19.46</v>
      </c>
      <c r="D344" s="5">
        <v>21.37</v>
      </c>
      <c r="E344" s="5">
        <v>23.18</v>
      </c>
      <c r="F344" s="5">
        <v>24.86</v>
      </c>
      <c r="G344" s="5">
        <v>26.29</v>
      </c>
      <c r="H344" s="5">
        <v>27.61</v>
      </c>
      <c r="I344" s="6">
        <v>6.8147359999999999</v>
      </c>
    </row>
    <row r="345" spans="1:9" ht="30" x14ac:dyDescent="0.25">
      <c r="A345" s="1" t="s">
        <v>35</v>
      </c>
      <c r="B345" s="5">
        <v>39.68</v>
      </c>
      <c r="C345" s="5">
        <v>43.09</v>
      </c>
      <c r="D345" s="5">
        <v>45.84</v>
      </c>
      <c r="E345" s="5">
        <v>48.35</v>
      </c>
      <c r="F345" s="5">
        <v>50.71</v>
      </c>
      <c r="G345" s="5">
        <v>52.98</v>
      </c>
      <c r="H345" s="5">
        <v>55.21</v>
      </c>
      <c r="I345" s="6">
        <v>5.6592880000000001</v>
      </c>
    </row>
    <row r="346" spans="1:9" x14ac:dyDescent="0.25">
      <c r="A346" s="1" t="s">
        <v>36</v>
      </c>
      <c r="B346" s="5">
        <v>48.49</v>
      </c>
      <c r="C346" s="5">
        <v>52.23</v>
      </c>
      <c r="D346" s="5">
        <v>55.79</v>
      </c>
      <c r="E346" s="5">
        <v>59.09</v>
      </c>
      <c r="F346" s="5">
        <v>62.16</v>
      </c>
      <c r="G346" s="5">
        <v>64.989999999999995</v>
      </c>
      <c r="H346" s="5">
        <v>67.56</v>
      </c>
      <c r="I346" s="6">
        <v>5.6832700000000003</v>
      </c>
    </row>
    <row r="347" spans="1:9" x14ac:dyDescent="0.25">
      <c r="A347" s="1" t="s">
        <v>37</v>
      </c>
      <c r="B347" s="5">
        <v>1.04</v>
      </c>
      <c r="C347" s="5">
        <v>1.5</v>
      </c>
      <c r="D347" s="5">
        <v>2.12</v>
      </c>
      <c r="E347" s="5">
        <v>2.96</v>
      </c>
      <c r="F347" s="5">
        <v>4.08</v>
      </c>
      <c r="G347" s="5">
        <v>5.58</v>
      </c>
      <c r="H347" s="5">
        <v>7.38</v>
      </c>
      <c r="I347" s="6">
        <v>38.623598999999999</v>
      </c>
    </row>
    <row r="348" spans="1:9" x14ac:dyDescent="0.25">
      <c r="A348" s="1" t="s">
        <v>38</v>
      </c>
      <c r="B348" s="5">
        <v>1.2</v>
      </c>
      <c r="C348" s="5">
        <v>1.27</v>
      </c>
      <c r="D348" s="5">
        <v>1.34</v>
      </c>
      <c r="E348" s="5">
        <v>1.41</v>
      </c>
      <c r="F348" s="5">
        <v>1.48</v>
      </c>
      <c r="G348" s="5">
        <v>1.54</v>
      </c>
      <c r="H348" s="5">
        <v>1.61</v>
      </c>
      <c r="I348" s="6">
        <v>5.0205060000000001</v>
      </c>
    </row>
    <row r="349" spans="1:9" x14ac:dyDescent="0.25">
      <c r="A349" s="1" t="s">
        <v>39</v>
      </c>
      <c r="B349" s="5">
        <v>38.6</v>
      </c>
      <c r="C349" s="5">
        <v>39.67</v>
      </c>
      <c r="D349" s="5">
        <v>40.9</v>
      </c>
      <c r="E349" s="5">
        <v>42.02</v>
      </c>
      <c r="F349" s="5">
        <v>43.03</v>
      </c>
      <c r="G349" s="5">
        <v>43.93</v>
      </c>
      <c r="H349" s="5">
        <v>44.75</v>
      </c>
      <c r="I349" s="6">
        <v>2.4945930000000001</v>
      </c>
    </row>
    <row r="350" spans="1:9" x14ac:dyDescent="0.25">
      <c r="A350" s="1" t="s">
        <v>40</v>
      </c>
      <c r="B350" s="5">
        <v>45.23</v>
      </c>
      <c r="C350" s="5">
        <v>47.07</v>
      </c>
      <c r="D350" s="5">
        <v>48.88</v>
      </c>
      <c r="E350" s="5">
        <v>50.52</v>
      </c>
      <c r="F350" s="5">
        <v>51.85</v>
      </c>
      <c r="G350" s="5">
        <v>53.05</v>
      </c>
      <c r="H350" s="5">
        <v>54.12</v>
      </c>
      <c r="I350" s="6">
        <v>3.035892</v>
      </c>
    </row>
    <row r="351" spans="1:9" x14ac:dyDescent="0.25">
      <c r="A351" s="1" t="s">
        <v>41</v>
      </c>
      <c r="B351" s="5">
        <v>76.31</v>
      </c>
      <c r="C351" s="5">
        <v>83.2</v>
      </c>
      <c r="D351" s="5">
        <v>88.9</v>
      </c>
      <c r="E351" s="5">
        <v>94.09</v>
      </c>
      <c r="F351" s="5">
        <v>95.88</v>
      </c>
      <c r="G351" s="5">
        <v>97.13</v>
      </c>
      <c r="H351" s="5">
        <v>98.13</v>
      </c>
      <c r="I351" s="6">
        <v>4.2805689999999998</v>
      </c>
    </row>
    <row r="352" spans="1:9" x14ac:dyDescent="0.25">
      <c r="A352" s="1" t="s">
        <v>42</v>
      </c>
      <c r="B352" s="5">
        <v>12.93</v>
      </c>
      <c r="C352" s="5">
        <v>15.15</v>
      </c>
      <c r="D352" s="5">
        <v>17.21</v>
      </c>
      <c r="E352" s="5">
        <v>19.170000000000002</v>
      </c>
      <c r="F352" s="5">
        <v>21.19</v>
      </c>
      <c r="G352" s="5">
        <v>23.29</v>
      </c>
      <c r="H352" s="5">
        <v>25.45</v>
      </c>
      <c r="I352" s="6">
        <v>11.947623</v>
      </c>
    </row>
    <row r="353" spans="1:9" x14ac:dyDescent="0.25">
      <c r="A353" s="1" t="s">
        <v>43</v>
      </c>
      <c r="B353" s="5">
        <v>13.3</v>
      </c>
      <c r="C353" s="5">
        <v>19.170000000000002</v>
      </c>
      <c r="D353" s="5">
        <v>25.72</v>
      </c>
      <c r="E353" s="5">
        <v>32.26</v>
      </c>
      <c r="F353" s="5">
        <v>37.950000000000003</v>
      </c>
      <c r="G353" s="5">
        <v>43.33</v>
      </c>
      <c r="H353" s="5">
        <v>47.91</v>
      </c>
      <c r="I353" s="6">
        <v>23.811910000000001</v>
      </c>
    </row>
    <row r="354" spans="1:9" x14ac:dyDescent="0.25">
      <c r="A354" s="1" t="s">
        <v>44</v>
      </c>
      <c r="B354" s="5">
        <v>6.46</v>
      </c>
      <c r="C354" s="5">
        <v>7.6</v>
      </c>
      <c r="D354" s="5">
        <v>8.9</v>
      </c>
      <c r="E354" s="5">
        <v>9.9600000000000009</v>
      </c>
      <c r="F354" s="5">
        <v>11.83</v>
      </c>
      <c r="G354" s="5">
        <v>12.62</v>
      </c>
      <c r="H354" s="5">
        <v>13.47</v>
      </c>
      <c r="I354" s="6">
        <v>13.028816000000001</v>
      </c>
    </row>
    <row r="355" spans="1:9" x14ac:dyDescent="0.25">
      <c r="A355" s="1" t="s">
        <v>45</v>
      </c>
      <c r="B355" s="5">
        <v>1.1299999999999999</v>
      </c>
      <c r="C355" s="5">
        <v>1.34</v>
      </c>
      <c r="D355" s="5">
        <v>1.57</v>
      </c>
      <c r="E355" s="5">
        <v>1.78</v>
      </c>
      <c r="F355" s="5">
        <v>2</v>
      </c>
      <c r="G355" s="5">
        <v>2.21</v>
      </c>
      <c r="H355" s="5">
        <v>2.42</v>
      </c>
      <c r="I355" s="6">
        <v>13.533185</v>
      </c>
    </row>
    <row r="356" spans="1:9" x14ac:dyDescent="0.25">
      <c r="A356" s="1" t="s">
        <v>46</v>
      </c>
      <c r="B356" s="5">
        <v>93</v>
      </c>
      <c r="C356" s="5">
        <v>94.29</v>
      </c>
      <c r="D356" s="5">
        <v>95.4</v>
      </c>
      <c r="E356" s="5">
        <v>96.25</v>
      </c>
      <c r="F356" s="5">
        <v>97.39</v>
      </c>
      <c r="G356" s="5">
        <v>98.35</v>
      </c>
      <c r="H356" s="5">
        <v>99.03</v>
      </c>
      <c r="I356" s="6">
        <v>1.052556</v>
      </c>
    </row>
    <row r="357" spans="1:9" x14ac:dyDescent="0.25">
      <c r="A357" s="1" t="s">
        <v>47</v>
      </c>
      <c r="B357" s="5">
        <v>39.61</v>
      </c>
      <c r="C357" s="5">
        <v>44.03</v>
      </c>
      <c r="D357" s="5">
        <v>47.28</v>
      </c>
      <c r="E357" s="5">
        <v>50.36</v>
      </c>
      <c r="F357" s="5">
        <v>53.13</v>
      </c>
      <c r="G357" s="5">
        <v>55.36</v>
      </c>
      <c r="H357" s="5">
        <v>57.16</v>
      </c>
      <c r="I357" s="6">
        <v>6.3035810000000003</v>
      </c>
    </row>
    <row r="358" spans="1:9" x14ac:dyDescent="0.25">
      <c r="A358" s="1" t="s">
        <v>48</v>
      </c>
      <c r="B358" s="5">
        <v>10.37</v>
      </c>
      <c r="C358" s="5">
        <v>11.46</v>
      </c>
      <c r="D358" s="5">
        <v>12.22</v>
      </c>
      <c r="E358" s="5">
        <v>12.74</v>
      </c>
      <c r="F358" s="5">
        <v>13.24</v>
      </c>
      <c r="G358" s="5">
        <v>13.67</v>
      </c>
      <c r="H358" s="5">
        <v>14.59</v>
      </c>
      <c r="I358" s="6">
        <v>5.8553360000000003</v>
      </c>
    </row>
    <row r="359" spans="1:9" x14ac:dyDescent="0.25">
      <c r="A359" s="1" t="s">
        <v>49</v>
      </c>
      <c r="B359" s="5">
        <v>19.66</v>
      </c>
      <c r="C359" s="5">
        <v>22.04</v>
      </c>
      <c r="D359" s="5">
        <v>23.01</v>
      </c>
      <c r="E359" s="5">
        <v>23.84</v>
      </c>
      <c r="F359" s="5">
        <v>25.95</v>
      </c>
      <c r="G359" s="5">
        <v>27.53</v>
      </c>
      <c r="H359" s="5">
        <v>27.88</v>
      </c>
      <c r="I359" s="6">
        <v>5.9948769999999998</v>
      </c>
    </row>
    <row r="360" spans="1:9" x14ac:dyDescent="0.25">
      <c r="A360" s="1" t="s">
        <v>50</v>
      </c>
      <c r="B360" s="5">
        <v>1.86</v>
      </c>
      <c r="C360" s="5">
        <v>2.2000000000000002</v>
      </c>
      <c r="D360" s="5">
        <v>2.6</v>
      </c>
      <c r="E360" s="5">
        <v>2.95</v>
      </c>
      <c r="F360" s="5">
        <v>3.34</v>
      </c>
      <c r="G360" s="5">
        <v>3.79</v>
      </c>
      <c r="H360" s="5">
        <v>4.3</v>
      </c>
      <c r="I360" s="6">
        <v>14.989782</v>
      </c>
    </row>
    <row r="361" spans="1:9" x14ac:dyDescent="0.25">
      <c r="A361" s="1" t="s">
        <v>51</v>
      </c>
      <c r="B361" s="5">
        <v>35.659999999999997</v>
      </c>
      <c r="C361" s="5">
        <v>40.28</v>
      </c>
      <c r="D361" s="5">
        <v>44.41</v>
      </c>
      <c r="E361" s="5">
        <v>48.13</v>
      </c>
      <c r="F361" s="5">
        <v>51.53</v>
      </c>
      <c r="G361" s="5">
        <v>54.49</v>
      </c>
      <c r="H361" s="5">
        <v>56.95</v>
      </c>
      <c r="I361" s="6">
        <v>8.1148620000000005</v>
      </c>
    </row>
    <row r="362" spans="1:9" x14ac:dyDescent="0.25">
      <c r="A362" s="1" t="s">
        <v>52</v>
      </c>
      <c r="B362" s="5">
        <v>57.43</v>
      </c>
      <c r="C362" s="5">
        <v>65.12</v>
      </c>
      <c r="D362" s="5">
        <v>71.319999999999993</v>
      </c>
      <c r="E362" s="5">
        <v>76.209999999999994</v>
      </c>
      <c r="F362" s="5">
        <v>81.44</v>
      </c>
      <c r="G362" s="5">
        <v>85.17</v>
      </c>
      <c r="H362" s="5">
        <v>87.93</v>
      </c>
      <c r="I362" s="6">
        <v>7.3576610000000002</v>
      </c>
    </row>
    <row r="363" spans="1:9" x14ac:dyDescent="0.25">
      <c r="A363" s="1" t="s">
        <v>53</v>
      </c>
      <c r="B363" s="5">
        <v>17.600000000000001</v>
      </c>
      <c r="C363" s="5">
        <v>21.1</v>
      </c>
      <c r="D363" s="5">
        <v>24.71</v>
      </c>
      <c r="E363" s="5">
        <v>28.12</v>
      </c>
      <c r="F363" s="5">
        <v>31.4</v>
      </c>
      <c r="G363" s="5">
        <v>34.840000000000003</v>
      </c>
      <c r="H363" s="5">
        <v>37.909999999999997</v>
      </c>
      <c r="I363" s="6">
        <v>13.642345000000001</v>
      </c>
    </row>
    <row r="364" spans="1:9" x14ac:dyDescent="0.25">
      <c r="A364" s="1" t="s">
        <v>54</v>
      </c>
      <c r="B364" s="5">
        <v>15.81</v>
      </c>
      <c r="C364" s="5">
        <v>16.739999999999998</v>
      </c>
      <c r="D364" s="5">
        <v>17.670000000000002</v>
      </c>
      <c r="E364" s="5">
        <v>18.559999999999999</v>
      </c>
      <c r="F364" s="5">
        <v>19.46</v>
      </c>
      <c r="G364" s="5">
        <v>20.36</v>
      </c>
      <c r="H364" s="5">
        <v>22.92</v>
      </c>
      <c r="I364" s="6">
        <v>6.3850150000000001</v>
      </c>
    </row>
    <row r="365" spans="1:9" x14ac:dyDescent="0.25">
      <c r="A365" s="1" t="s">
        <v>55</v>
      </c>
      <c r="B365" s="5">
        <v>67.290000000000006</v>
      </c>
      <c r="C365" s="5">
        <v>68.89</v>
      </c>
      <c r="D365" s="5">
        <v>70.2</v>
      </c>
      <c r="E365" s="5">
        <v>71.930000000000007</v>
      </c>
      <c r="F365" s="5">
        <v>73.81</v>
      </c>
      <c r="G365" s="5">
        <v>75.84</v>
      </c>
      <c r="H365" s="5">
        <v>77.53</v>
      </c>
      <c r="I365" s="6">
        <v>2.3889779999999998</v>
      </c>
    </row>
    <row r="366" spans="1:9" x14ac:dyDescent="0.25">
      <c r="A366" s="1" t="s">
        <v>56</v>
      </c>
      <c r="B366" s="5">
        <v>37.46</v>
      </c>
      <c r="C366" s="5">
        <v>41.46</v>
      </c>
      <c r="D366" s="5">
        <v>45.88</v>
      </c>
      <c r="E366" s="5">
        <v>49.42</v>
      </c>
      <c r="F366" s="5">
        <v>52.25</v>
      </c>
      <c r="G366" s="5">
        <v>55.25</v>
      </c>
      <c r="H366" s="5">
        <v>58.41</v>
      </c>
      <c r="I366" s="6">
        <v>7.6845109999999996</v>
      </c>
    </row>
    <row r="367" spans="1:9" x14ac:dyDescent="0.25">
      <c r="A367" s="1" t="s">
        <v>57</v>
      </c>
      <c r="B367" s="7" t="s">
        <v>58</v>
      </c>
      <c r="C367" s="7" t="s">
        <v>58</v>
      </c>
      <c r="D367" s="7" t="s">
        <v>58</v>
      </c>
      <c r="E367" s="7" t="s">
        <v>58</v>
      </c>
      <c r="F367" s="7" t="s">
        <v>58</v>
      </c>
      <c r="G367" s="7" t="s">
        <v>58</v>
      </c>
      <c r="H367" s="7" t="s">
        <v>58</v>
      </c>
      <c r="I367" s="7" t="s">
        <v>58</v>
      </c>
    </row>
    <row r="368" spans="1:9" x14ac:dyDescent="0.25">
      <c r="A368" s="1" t="s">
        <v>59</v>
      </c>
      <c r="B368" s="5">
        <v>16.7</v>
      </c>
      <c r="C368" s="5">
        <v>17.59</v>
      </c>
      <c r="D368" s="5">
        <v>18.559999999999999</v>
      </c>
      <c r="E368" s="5">
        <v>19.61</v>
      </c>
      <c r="F368" s="5">
        <v>21.17</v>
      </c>
      <c r="G368" s="5">
        <v>22.88</v>
      </c>
      <c r="H368" s="5">
        <v>23.32</v>
      </c>
      <c r="I368" s="6">
        <v>5.7228050000000001</v>
      </c>
    </row>
    <row r="369" spans="1:9" x14ac:dyDescent="0.25">
      <c r="A369" s="1" t="s">
        <v>60</v>
      </c>
      <c r="B369" s="5">
        <v>16.170000000000002</v>
      </c>
      <c r="C369" s="5">
        <v>17.25</v>
      </c>
      <c r="D369" s="5">
        <v>18.37</v>
      </c>
      <c r="E369" s="5">
        <v>19.510000000000002</v>
      </c>
      <c r="F369" s="5">
        <v>20.99</v>
      </c>
      <c r="G369" s="5">
        <v>22.35</v>
      </c>
      <c r="H369" s="5">
        <v>23.88</v>
      </c>
      <c r="I369" s="6">
        <v>6.713832</v>
      </c>
    </row>
    <row r="370" spans="1:9" ht="45" x14ac:dyDescent="0.25">
      <c r="A370" s="1" t="s">
        <v>61</v>
      </c>
      <c r="B370" s="5">
        <v>34.94</v>
      </c>
      <c r="C370" s="5">
        <v>38.28</v>
      </c>
      <c r="D370" s="5">
        <v>40.869999999999997</v>
      </c>
      <c r="E370" s="5">
        <v>42.82</v>
      </c>
      <c r="F370" s="5">
        <v>44.36</v>
      </c>
      <c r="G370" s="5">
        <v>45.61</v>
      </c>
      <c r="H370" s="5">
        <v>46.62</v>
      </c>
      <c r="I370" s="6">
        <v>4.9240139999999997</v>
      </c>
    </row>
    <row r="371" spans="1:9" x14ac:dyDescent="0.25">
      <c r="A371" s="1" t="s">
        <v>62</v>
      </c>
      <c r="B371" s="5">
        <v>45.11</v>
      </c>
      <c r="C371" s="5">
        <v>45.56</v>
      </c>
      <c r="D371" s="5">
        <v>46.11</v>
      </c>
      <c r="E371" s="5">
        <v>46.64</v>
      </c>
      <c r="F371" s="5">
        <v>47.16</v>
      </c>
      <c r="G371" s="5">
        <v>47.66</v>
      </c>
      <c r="H371" s="5">
        <v>48.15</v>
      </c>
      <c r="I371" s="6">
        <v>1.0928819999999999</v>
      </c>
    </row>
    <row r="372" spans="1:9" x14ac:dyDescent="0.25">
      <c r="A372" s="1" t="s">
        <v>63</v>
      </c>
      <c r="B372" s="5">
        <v>3.77</v>
      </c>
      <c r="C372" s="5">
        <v>4.63</v>
      </c>
      <c r="D372" s="5">
        <v>5.46</v>
      </c>
      <c r="E372" s="5">
        <v>6.43</v>
      </c>
      <c r="F372" s="5">
        <v>7.58</v>
      </c>
      <c r="G372" s="5">
        <v>9.31</v>
      </c>
      <c r="H372" s="5">
        <v>11.43</v>
      </c>
      <c r="I372" s="6">
        <v>20.305129999999998</v>
      </c>
    </row>
    <row r="373" spans="1:9" x14ac:dyDescent="0.25">
      <c r="A373" s="1" t="s">
        <v>64</v>
      </c>
      <c r="B373" s="5">
        <v>38.57</v>
      </c>
      <c r="C373" s="5">
        <v>37.770000000000003</v>
      </c>
      <c r="D373" s="5">
        <v>37.200000000000003</v>
      </c>
      <c r="E373" s="5">
        <v>36.700000000000003</v>
      </c>
      <c r="F373" s="5">
        <v>36.26</v>
      </c>
      <c r="G373" s="5">
        <v>35.869999999999997</v>
      </c>
      <c r="H373" s="5">
        <v>35.53</v>
      </c>
      <c r="I373" s="6">
        <v>-1.3589709999999999</v>
      </c>
    </row>
    <row r="374" spans="1:9" x14ac:dyDescent="0.25">
      <c r="A374" s="1" t="s">
        <v>65</v>
      </c>
      <c r="B374" s="5">
        <v>51.73</v>
      </c>
      <c r="C374" s="5">
        <v>54.09</v>
      </c>
      <c r="D374" s="5">
        <v>55.46</v>
      </c>
      <c r="E374" s="5">
        <v>56.24</v>
      </c>
      <c r="F374" s="5">
        <v>57.1</v>
      </c>
      <c r="G374" s="5">
        <v>57.91</v>
      </c>
      <c r="H374" s="5">
        <v>58.69</v>
      </c>
      <c r="I374" s="6">
        <v>2.1261450000000002</v>
      </c>
    </row>
    <row r="375" spans="1:9" x14ac:dyDescent="0.25">
      <c r="A375" s="1" t="s">
        <v>66</v>
      </c>
      <c r="B375" s="5">
        <v>44.18</v>
      </c>
      <c r="C375" s="5">
        <v>49.34</v>
      </c>
      <c r="D375" s="5">
        <v>52.99</v>
      </c>
      <c r="E375" s="5">
        <v>55.3</v>
      </c>
      <c r="F375" s="5">
        <v>56.57</v>
      </c>
      <c r="G375" s="5">
        <v>57.08</v>
      </c>
      <c r="H375" s="5">
        <v>57.07</v>
      </c>
      <c r="I375" s="6">
        <v>4.359108</v>
      </c>
    </row>
    <row r="376" spans="1:9" ht="30" x14ac:dyDescent="0.25">
      <c r="A376" s="1" t="s">
        <v>67</v>
      </c>
      <c r="B376" s="5">
        <v>4.2</v>
      </c>
      <c r="C376" s="5">
        <v>4.63</v>
      </c>
      <c r="D376" s="5">
        <v>5.0599999999999996</v>
      </c>
      <c r="E376" s="5">
        <v>5.47</v>
      </c>
      <c r="F376" s="5">
        <v>5.89</v>
      </c>
      <c r="G376" s="5">
        <v>6.29</v>
      </c>
      <c r="H376" s="5">
        <v>6.66</v>
      </c>
      <c r="I376" s="6">
        <v>7.9868379999999997</v>
      </c>
    </row>
    <row r="377" spans="1:9" x14ac:dyDescent="0.25">
      <c r="A377" s="1" t="s">
        <v>68</v>
      </c>
      <c r="B377" s="7" t="s">
        <v>58</v>
      </c>
      <c r="C377" s="7" t="s">
        <v>58</v>
      </c>
      <c r="D377" s="7" t="s">
        <v>58</v>
      </c>
      <c r="E377" s="7" t="s">
        <v>58</v>
      </c>
      <c r="F377" s="7" t="s">
        <v>58</v>
      </c>
      <c r="G377" s="7" t="s">
        <v>58</v>
      </c>
      <c r="H377" s="7" t="s">
        <v>58</v>
      </c>
      <c r="I377" s="7" t="s">
        <v>58</v>
      </c>
    </row>
    <row r="378" spans="1:9" x14ac:dyDescent="0.25">
      <c r="A378" s="1" t="s">
        <v>69</v>
      </c>
      <c r="B378" s="5">
        <v>9.52</v>
      </c>
      <c r="C378" s="5">
        <v>10.51</v>
      </c>
      <c r="D378" s="5">
        <v>11.47</v>
      </c>
      <c r="E378" s="5">
        <v>12.78</v>
      </c>
      <c r="F378" s="5">
        <v>13.96</v>
      </c>
      <c r="G378" s="5">
        <v>15.57</v>
      </c>
      <c r="H378" s="5">
        <v>17.21</v>
      </c>
      <c r="I378" s="6">
        <v>10.371594999999999</v>
      </c>
    </row>
    <row r="379" spans="1:9" x14ac:dyDescent="0.25">
      <c r="A379" s="1" t="s">
        <v>70</v>
      </c>
      <c r="B379" s="5">
        <v>39.049999999999997</v>
      </c>
      <c r="C379" s="5">
        <v>41.49</v>
      </c>
      <c r="D379" s="5">
        <v>43.63</v>
      </c>
      <c r="E379" s="5">
        <v>45.31</v>
      </c>
      <c r="F379" s="5">
        <v>46.58</v>
      </c>
      <c r="G379" s="5">
        <v>47.65</v>
      </c>
      <c r="H379" s="5">
        <v>48.4</v>
      </c>
      <c r="I379" s="6">
        <v>3.642382</v>
      </c>
    </row>
    <row r="380" spans="1:9" x14ac:dyDescent="0.25">
      <c r="A380" s="1" t="s">
        <v>71</v>
      </c>
      <c r="B380" s="5">
        <v>52.21</v>
      </c>
      <c r="C380" s="5">
        <v>53.79</v>
      </c>
      <c r="D380" s="5">
        <v>55.11</v>
      </c>
      <c r="E380" s="5">
        <v>56.59</v>
      </c>
      <c r="F380" s="5">
        <v>57.75</v>
      </c>
      <c r="G380" s="5">
        <v>59.03</v>
      </c>
      <c r="H380" s="5">
        <v>60.08</v>
      </c>
      <c r="I380" s="6">
        <v>2.3676430000000002</v>
      </c>
    </row>
    <row r="381" spans="1:9" x14ac:dyDescent="0.25">
      <c r="A381" s="1" t="s">
        <v>72</v>
      </c>
      <c r="B381" s="5">
        <v>0.52</v>
      </c>
      <c r="C381" s="5">
        <v>0.54</v>
      </c>
      <c r="D381" s="5">
        <v>0.6</v>
      </c>
      <c r="E381" s="5">
        <v>0.7</v>
      </c>
      <c r="F381" s="5">
        <v>0.78</v>
      </c>
      <c r="G381" s="5">
        <v>0.8</v>
      </c>
      <c r="H381" s="5">
        <v>0.86</v>
      </c>
      <c r="I381" s="6">
        <v>8.7466410000000003</v>
      </c>
    </row>
    <row r="382" spans="1:9" x14ac:dyDescent="0.25">
      <c r="A382" s="1" t="s">
        <v>73</v>
      </c>
      <c r="B382" s="7" t="s">
        <v>58</v>
      </c>
      <c r="C382" s="7" t="s">
        <v>58</v>
      </c>
      <c r="D382" s="7" t="s">
        <v>58</v>
      </c>
      <c r="E382" s="7" t="s">
        <v>58</v>
      </c>
      <c r="F382" s="7" t="s">
        <v>58</v>
      </c>
      <c r="G382" s="7" t="s">
        <v>58</v>
      </c>
      <c r="H382" s="7" t="s">
        <v>58</v>
      </c>
      <c r="I382" s="7" t="s">
        <v>58</v>
      </c>
    </row>
    <row r="383" spans="1:9" ht="30" x14ac:dyDescent="0.25">
      <c r="A383" s="1" t="s">
        <v>74</v>
      </c>
      <c r="B383" s="5">
        <v>18.62</v>
      </c>
      <c r="C383" s="5">
        <v>20.52</v>
      </c>
      <c r="D383" s="5">
        <v>22.42</v>
      </c>
      <c r="E383" s="5">
        <v>23.47</v>
      </c>
      <c r="F383" s="5">
        <v>24.22</v>
      </c>
      <c r="G383" s="5">
        <v>24.62</v>
      </c>
      <c r="H383" s="5">
        <v>24.91</v>
      </c>
      <c r="I383" s="6">
        <v>4.970116</v>
      </c>
    </row>
    <row r="384" spans="1:9" x14ac:dyDescent="0.25">
      <c r="A384" s="1" t="s">
        <v>75</v>
      </c>
      <c r="B384" s="5">
        <v>68.98</v>
      </c>
      <c r="C384" s="5">
        <v>71.290000000000006</v>
      </c>
      <c r="D384" s="5">
        <v>73.459999999999994</v>
      </c>
      <c r="E384" s="5">
        <v>75.489999999999995</v>
      </c>
      <c r="F384" s="5">
        <v>77.36</v>
      </c>
      <c r="G384" s="5">
        <v>78.97</v>
      </c>
      <c r="H384" s="5">
        <v>80.459999999999994</v>
      </c>
      <c r="I384" s="6">
        <v>2.5989239999999998</v>
      </c>
    </row>
    <row r="385" spans="1:9" x14ac:dyDescent="0.25">
      <c r="A385" s="1" t="s">
        <v>76</v>
      </c>
      <c r="B385" s="5">
        <v>34.5</v>
      </c>
      <c r="C385" s="5">
        <v>36.93</v>
      </c>
      <c r="D385" s="5">
        <v>38.799999999999997</v>
      </c>
      <c r="E385" s="5">
        <v>40.770000000000003</v>
      </c>
      <c r="F385" s="5">
        <v>42.85</v>
      </c>
      <c r="G385" s="5">
        <v>45.05</v>
      </c>
      <c r="H385" s="5">
        <v>47.36</v>
      </c>
      <c r="I385" s="6">
        <v>5.4222060000000001</v>
      </c>
    </row>
    <row r="386" spans="1:9" ht="45" x14ac:dyDescent="0.25">
      <c r="A386" s="1" t="s">
        <v>77</v>
      </c>
      <c r="B386" s="5">
        <v>11.63</v>
      </c>
      <c r="C386" s="5">
        <v>12.38</v>
      </c>
      <c r="D386" s="5">
        <v>13.21</v>
      </c>
      <c r="E386" s="5">
        <v>14.14</v>
      </c>
      <c r="F386" s="5">
        <v>16.53</v>
      </c>
      <c r="G386" s="5">
        <v>17.75</v>
      </c>
      <c r="H386" s="5">
        <v>19.05</v>
      </c>
      <c r="I386" s="6">
        <v>8.572343</v>
      </c>
    </row>
    <row r="387" spans="1:9" ht="45" x14ac:dyDescent="0.25">
      <c r="A387" s="1" t="s">
        <v>78</v>
      </c>
      <c r="B387" s="5">
        <v>30.47</v>
      </c>
      <c r="C387" s="5">
        <v>33.36</v>
      </c>
      <c r="D387" s="5">
        <v>36.049999999999997</v>
      </c>
      <c r="E387" s="5">
        <v>38.94</v>
      </c>
      <c r="F387" s="5">
        <v>42.08</v>
      </c>
      <c r="G387" s="5">
        <v>45.53</v>
      </c>
      <c r="H387" s="5">
        <v>49.33</v>
      </c>
      <c r="I387" s="6">
        <v>8.3610260000000007</v>
      </c>
    </row>
    <row r="388" spans="1:9" ht="60" x14ac:dyDescent="0.25">
      <c r="A388" s="1" t="s">
        <v>79</v>
      </c>
      <c r="B388" s="7" t="s">
        <v>58</v>
      </c>
      <c r="C388" s="7" t="s">
        <v>58</v>
      </c>
      <c r="D388" s="7" t="s">
        <v>58</v>
      </c>
      <c r="E388" s="7" t="s">
        <v>58</v>
      </c>
      <c r="F388" s="7" t="s">
        <v>58</v>
      </c>
      <c r="G388" s="7" t="s">
        <v>58</v>
      </c>
      <c r="H388" s="7" t="s">
        <v>58</v>
      </c>
      <c r="I388" s="7" t="s">
        <v>58</v>
      </c>
    </row>
    <row r="389" spans="1:9" ht="45" x14ac:dyDescent="0.25">
      <c r="A389" s="1" t="s">
        <v>80</v>
      </c>
      <c r="B389" s="7" t="s">
        <v>58</v>
      </c>
      <c r="C389" s="7" t="s">
        <v>58</v>
      </c>
      <c r="D389" s="7" t="s">
        <v>58</v>
      </c>
      <c r="E389" s="7" t="s">
        <v>58</v>
      </c>
      <c r="F389" s="7" t="s">
        <v>58</v>
      </c>
      <c r="G389" s="7" t="s">
        <v>58</v>
      </c>
      <c r="H389" s="7" t="s">
        <v>58</v>
      </c>
      <c r="I389" s="7" t="s">
        <v>58</v>
      </c>
    </row>
    <row r="390" spans="1:9" ht="45" x14ac:dyDescent="0.25">
      <c r="A390" s="1" t="s">
        <v>81</v>
      </c>
      <c r="B390" s="5">
        <v>55.36</v>
      </c>
      <c r="C390" s="5">
        <v>58.31</v>
      </c>
      <c r="D390" s="5">
        <v>60.96</v>
      </c>
      <c r="E390" s="5">
        <v>63.03</v>
      </c>
      <c r="F390" s="5">
        <v>64.09</v>
      </c>
      <c r="G390" s="5">
        <v>64.92</v>
      </c>
      <c r="H390" s="5">
        <v>65.72</v>
      </c>
      <c r="I390" s="6">
        <v>2.9003640000000002</v>
      </c>
    </row>
    <row r="391" spans="1:9" x14ac:dyDescent="0.25">
      <c r="A391" s="1" t="s">
        <v>82</v>
      </c>
      <c r="B391" s="5">
        <v>3.65</v>
      </c>
      <c r="C391" s="5">
        <v>4.83</v>
      </c>
      <c r="D391" s="5">
        <v>5.91</v>
      </c>
      <c r="E391" s="5">
        <v>7.19</v>
      </c>
      <c r="F391" s="5">
        <v>8.33</v>
      </c>
      <c r="G391" s="5">
        <v>9.5</v>
      </c>
      <c r="H391" s="5">
        <v>10.66</v>
      </c>
      <c r="I391" s="6">
        <v>19.557656000000001</v>
      </c>
    </row>
    <row r="392" spans="1:9" x14ac:dyDescent="0.25">
      <c r="A392" s="1" t="s">
        <v>83</v>
      </c>
      <c r="B392" s="5">
        <v>6.5</v>
      </c>
      <c r="C392" s="5">
        <v>7.38</v>
      </c>
      <c r="D392" s="5">
        <v>8.3800000000000008</v>
      </c>
      <c r="E392" s="5">
        <v>9.52</v>
      </c>
      <c r="F392" s="5">
        <v>10.4</v>
      </c>
      <c r="G392" s="5">
        <v>11.35</v>
      </c>
      <c r="H392" s="5">
        <v>12.38</v>
      </c>
      <c r="I392" s="6">
        <v>11.335727</v>
      </c>
    </row>
    <row r="393" spans="1:9" x14ac:dyDescent="0.25">
      <c r="A393" s="1" t="s">
        <v>84</v>
      </c>
      <c r="B393" s="5">
        <v>5.47</v>
      </c>
      <c r="C393" s="5">
        <v>6.44</v>
      </c>
      <c r="D393" s="5">
        <v>7.32</v>
      </c>
      <c r="E393" s="5">
        <v>8.1</v>
      </c>
      <c r="F393" s="5">
        <v>8.76</v>
      </c>
      <c r="G393" s="5">
        <v>9.3000000000000007</v>
      </c>
      <c r="H393" s="5">
        <v>9.73</v>
      </c>
      <c r="I393" s="6">
        <v>10.074719</v>
      </c>
    </row>
    <row r="394" spans="1:9" x14ac:dyDescent="0.25">
      <c r="A394" s="1" t="s">
        <v>85</v>
      </c>
      <c r="B394" s="5">
        <v>14.89</v>
      </c>
      <c r="C394" s="5">
        <v>16.21</v>
      </c>
      <c r="D394" s="5">
        <v>17.57</v>
      </c>
      <c r="E394" s="5">
        <v>18.84</v>
      </c>
      <c r="F394" s="5">
        <v>20</v>
      </c>
      <c r="G394" s="5">
        <v>21.3</v>
      </c>
      <c r="H394" s="5">
        <v>21.87</v>
      </c>
      <c r="I394" s="6">
        <v>6.6168089999999999</v>
      </c>
    </row>
    <row r="395" spans="1:9" x14ac:dyDescent="0.25">
      <c r="A395" s="1" t="s">
        <v>86</v>
      </c>
      <c r="B395" s="5">
        <v>24.26</v>
      </c>
      <c r="C395" s="5">
        <v>27.58</v>
      </c>
      <c r="D395" s="5">
        <v>30.65</v>
      </c>
      <c r="E395" s="5">
        <v>33.979999999999997</v>
      </c>
      <c r="F395" s="5">
        <v>37.47</v>
      </c>
      <c r="G395" s="5">
        <v>41.07</v>
      </c>
      <c r="H395" s="5">
        <v>44.73</v>
      </c>
      <c r="I395" s="6">
        <v>10.734942</v>
      </c>
    </row>
    <row r="396" spans="1:9" x14ac:dyDescent="0.25">
      <c r="A396" s="1" t="s">
        <v>87</v>
      </c>
      <c r="B396" s="5">
        <v>26.08</v>
      </c>
      <c r="C396" s="5">
        <v>32.450000000000003</v>
      </c>
      <c r="D396" s="5">
        <v>38.35</v>
      </c>
      <c r="E396" s="5">
        <v>41.62</v>
      </c>
      <c r="F396" s="5">
        <v>44.21</v>
      </c>
      <c r="G396" s="5">
        <v>46.7</v>
      </c>
      <c r="H396" s="5">
        <v>48.95</v>
      </c>
      <c r="I396" s="6">
        <v>11.064223999999999</v>
      </c>
    </row>
    <row r="397" spans="1:9" x14ac:dyDescent="0.25">
      <c r="A397" s="1" t="s">
        <v>88</v>
      </c>
      <c r="B397" s="5">
        <v>35.69</v>
      </c>
      <c r="C397" s="5">
        <v>40.97</v>
      </c>
      <c r="D397" s="5">
        <v>45.68</v>
      </c>
      <c r="E397" s="5">
        <v>49.98</v>
      </c>
      <c r="F397" s="5">
        <v>53.83</v>
      </c>
      <c r="G397" s="5">
        <v>57.28</v>
      </c>
      <c r="H397" s="5">
        <v>60.38</v>
      </c>
      <c r="I397" s="6">
        <v>9.1585509999999992</v>
      </c>
    </row>
    <row r="398" spans="1:9" x14ac:dyDescent="0.25">
      <c r="A398" s="1" t="s">
        <v>89</v>
      </c>
      <c r="B398" s="5">
        <v>59.45</v>
      </c>
      <c r="C398" s="5">
        <v>61.02</v>
      </c>
      <c r="D398" s="5">
        <v>62.43</v>
      </c>
      <c r="E398" s="5">
        <v>63.82</v>
      </c>
      <c r="F398" s="5">
        <v>65.099999999999994</v>
      </c>
      <c r="G398" s="5">
        <v>66.34</v>
      </c>
      <c r="H398" s="5">
        <v>67.650000000000006</v>
      </c>
      <c r="I398" s="6">
        <v>2.176885</v>
      </c>
    </row>
    <row r="399" spans="1:9" x14ac:dyDescent="0.25">
      <c r="A399" s="1" t="s">
        <v>90</v>
      </c>
      <c r="B399" s="5">
        <v>12.32</v>
      </c>
      <c r="C399" s="5">
        <v>13.71</v>
      </c>
      <c r="D399" s="5">
        <v>14.98</v>
      </c>
      <c r="E399" s="5">
        <v>16.12</v>
      </c>
      <c r="F399" s="5">
        <v>17.13</v>
      </c>
      <c r="G399" s="5">
        <v>18.03</v>
      </c>
      <c r="H399" s="5">
        <v>18.82</v>
      </c>
      <c r="I399" s="6">
        <v>7.3169079999999997</v>
      </c>
    </row>
    <row r="400" spans="1:9" x14ac:dyDescent="0.25">
      <c r="A400" s="1" t="s">
        <v>91</v>
      </c>
      <c r="B400" s="5">
        <v>93.18</v>
      </c>
      <c r="C400" s="5">
        <v>91.37</v>
      </c>
      <c r="D400" s="5">
        <v>91.81</v>
      </c>
      <c r="E400" s="5">
        <v>92.26</v>
      </c>
      <c r="F400" s="5">
        <v>92.71</v>
      </c>
      <c r="G400" s="5">
        <v>93.17</v>
      </c>
      <c r="H400" s="5">
        <v>93.26</v>
      </c>
      <c r="I400" s="6">
        <v>1.4304000000000001E-2</v>
      </c>
    </row>
    <row r="401" spans="1:9" x14ac:dyDescent="0.25">
      <c r="A401" s="1" t="s">
        <v>92</v>
      </c>
      <c r="B401" s="5">
        <v>72.88</v>
      </c>
      <c r="C401" s="5">
        <v>77.7</v>
      </c>
      <c r="D401" s="5">
        <v>80.31</v>
      </c>
      <c r="E401" s="5">
        <v>82.38</v>
      </c>
      <c r="F401" s="5">
        <v>84</v>
      </c>
      <c r="G401" s="5">
        <v>85.45</v>
      </c>
      <c r="H401" s="5">
        <v>86.74</v>
      </c>
      <c r="I401" s="6">
        <v>2.9441899999999999</v>
      </c>
    </row>
    <row r="402" spans="1:9" x14ac:dyDescent="0.25">
      <c r="A402" s="1" t="s">
        <v>93</v>
      </c>
      <c r="B402" s="5">
        <v>47.16</v>
      </c>
      <c r="C402" s="5">
        <v>50.41</v>
      </c>
      <c r="D402" s="5">
        <v>52.67</v>
      </c>
      <c r="E402" s="5">
        <v>54.46</v>
      </c>
      <c r="F402" s="5">
        <v>55.88</v>
      </c>
      <c r="G402" s="5">
        <v>57</v>
      </c>
      <c r="H402" s="5">
        <v>57.89</v>
      </c>
      <c r="I402" s="6">
        <v>3.4756809999999998</v>
      </c>
    </row>
    <row r="403" spans="1:9" x14ac:dyDescent="0.25">
      <c r="A403" s="1" t="s">
        <v>94</v>
      </c>
      <c r="B403" s="5">
        <v>42.56</v>
      </c>
      <c r="C403" s="5">
        <v>45.4</v>
      </c>
      <c r="D403" s="5">
        <v>47.98</v>
      </c>
      <c r="E403" s="5">
        <v>49.29</v>
      </c>
      <c r="F403" s="5">
        <v>50.63</v>
      </c>
      <c r="G403" s="5">
        <v>52.01</v>
      </c>
      <c r="H403" s="5">
        <v>52.92</v>
      </c>
      <c r="I403" s="6">
        <v>3.697838</v>
      </c>
    </row>
    <row r="404" spans="1:9" x14ac:dyDescent="0.25">
      <c r="A404" s="1" t="s">
        <v>95</v>
      </c>
      <c r="B404" s="5">
        <v>28.75</v>
      </c>
      <c r="C404" s="5">
        <v>30.46</v>
      </c>
      <c r="D404" s="5">
        <v>34.659999999999997</v>
      </c>
      <c r="E404" s="5">
        <v>36.880000000000003</v>
      </c>
      <c r="F404" s="5">
        <v>38.909999999999997</v>
      </c>
      <c r="G404" s="5">
        <v>40.76</v>
      </c>
      <c r="H404" s="5">
        <v>42.53</v>
      </c>
      <c r="I404" s="6">
        <v>6.7438650000000004</v>
      </c>
    </row>
    <row r="405" spans="1:9" x14ac:dyDescent="0.25">
      <c r="A405" s="1" t="s">
        <v>96</v>
      </c>
      <c r="B405" s="5">
        <v>99.8</v>
      </c>
      <c r="C405" s="5">
        <v>102.47</v>
      </c>
      <c r="D405" s="5">
        <v>102.13</v>
      </c>
      <c r="E405" s="5">
        <v>102.35</v>
      </c>
      <c r="F405" s="5">
        <v>101.91</v>
      </c>
      <c r="G405" s="5">
        <v>102.04</v>
      </c>
      <c r="H405" s="5">
        <v>102.17</v>
      </c>
      <c r="I405" s="6">
        <v>0.39193099999999997</v>
      </c>
    </row>
    <row r="406" spans="1:9" x14ac:dyDescent="0.25">
      <c r="A406" s="1" t="s">
        <v>97</v>
      </c>
      <c r="B406" s="5">
        <v>53.06</v>
      </c>
      <c r="C406" s="5">
        <v>60.24</v>
      </c>
      <c r="D406" s="5">
        <v>64.92</v>
      </c>
      <c r="E406" s="5">
        <v>68.7</v>
      </c>
      <c r="F406" s="5">
        <v>71.790000000000006</v>
      </c>
      <c r="G406" s="5">
        <v>74.3</v>
      </c>
      <c r="H406" s="5">
        <v>76.37</v>
      </c>
      <c r="I406" s="6">
        <v>6.2574180000000004</v>
      </c>
    </row>
    <row r="407" spans="1:9" x14ac:dyDescent="0.25">
      <c r="A407" s="1" t="s">
        <v>98</v>
      </c>
      <c r="B407" s="5">
        <v>50.59</v>
      </c>
      <c r="C407" s="5">
        <v>54</v>
      </c>
      <c r="D407" s="5">
        <v>57.19</v>
      </c>
      <c r="E407" s="5">
        <v>60.17</v>
      </c>
      <c r="F407" s="5">
        <v>62.96</v>
      </c>
      <c r="G407" s="5">
        <v>65.430000000000007</v>
      </c>
      <c r="H407" s="5">
        <v>67.61</v>
      </c>
      <c r="I407" s="6">
        <v>4.9520780000000002</v>
      </c>
    </row>
    <row r="408" spans="1:9" x14ac:dyDescent="0.25">
      <c r="A408" s="1" t="s">
        <v>99</v>
      </c>
      <c r="B408" s="5">
        <v>10.97</v>
      </c>
      <c r="C408" s="5">
        <v>13.56</v>
      </c>
      <c r="D408" s="5">
        <v>16.559999999999999</v>
      </c>
      <c r="E408" s="5">
        <v>20</v>
      </c>
      <c r="F408" s="5">
        <v>23.56</v>
      </c>
      <c r="G408" s="5">
        <v>26.57</v>
      </c>
      <c r="H408" s="5">
        <v>29.39</v>
      </c>
      <c r="I408" s="6">
        <v>17.850698000000001</v>
      </c>
    </row>
    <row r="409" spans="1:9" x14ac:dyDescent="0.25">
      <c r="A409" s="1" t="s">
        <v>100</v>
      </c>
      <c r="B409" s="5">
        <v>101.87</v>
      </c>
      <c r="C409" s="5">
        <v>102.98</v>
      </c>
      <c r="D409" s="5">
        <v>103.98</v>
      </c>
      <c r="E409" s="5">
        <v>104.73</v>
      </c>
      <c r="F409" s="5">
        <v>105.4</v>
      </c>
      <c r="G409" s="5">
        <v>106.33</v>
      </c>
      <c r="H409" s="5">
        <v>107.18</v>
      </c>
      <c r="I409" s="6">
        <v>0.85046600000000006</v>
      </c>
    </row>
    <row r="410" spans="1:9" x14ac:dyDescent="0.25">
      <c r="A410" s="1" t="s">
        <v>101</v>
      </c>
      <c r="B410" s="5">
        <v>75.95</v>
      </c>
      <c r="C410" s="5">
        <v>77.569999999999993</v>
      </c>
      <c r="D410" s="5">
        <v>78.8</v>
      </c>
      <c r="E410" s="5">
        <v>79.44</v>
      </c>
      <c r="F410" s="5">
        <v>79.989999999999995</v>
      </c>
      <c r="G410" s="5">
        <v>80.55</v>
      </c>
      <c r="H410" s="5">
        <v>81.12</v>
      </c>
      <c r="I410" s="6">
        <v>1.1036170000000001</v>
      </c>
    </row>
    <row r="411" spans="1:9" x14ac:dyDescent="0.25">
      <c r="A411" s="1" t="s">
        <v>102</v>
      </c>
      <c r="B411" s="5">
        <v>73.55</v>
      </c>
      <c r="C411" s="5">
        <v>75.53</v>
      </c>
      <c r="D411" s="5">
        <v>77.42</v>
      </c>
      <c r="E411" s="5">
        <v>78.959999999999994</v>
      </c>
      <c r="F411" s="5">
        <v>80.3</v>
      </c>
      <c r="G411" s="5">
        <v>81.430000000000007</v>
      </c>
      <c r="H411" s="5">
        <v>82.16</v>
      </c>
      <c r="I411" s="6">
        <v>1.8621780000000001</v>
      </c>
    </row>
    <row r="412" spans="1:9" x14ac:dyDescent="0.25">
      <c r="A412" s="1" t="s">
        <v>103</v>
      </c>
      <c r="B412" s="5">
        <v>34.33</v>
      </c>
      <c r="C412" s="5">
        <v>36.96</v>
      </c>
      <c r="D412" s="5">
        <v>39.090000000000003</v>
      </c>
      <c r="E412" s="5">
        <v>40.700000000000003</v>
      </c>
      <c r="F412" s="5">
        <v>42.64</v>
      </c>
      <c r="G412" s="5">
        <v>44.77</v>
      </c>
      <c r="H412" s="5">
        <v>46.4</v>
      </c>
      <c r="I412" s="6">
        <v>5.1495369999999996</v>
      </c>
    </row>
    <row r="413" spans="1:9" x14ac:dyDescent="0.25">
      <c r="A413" s="1" t="s">
        <v>104</v>
      </c>
      <c r="B413" s="5">
        <v>0.13</v>
      </c>
      <c r="C413" s="5">
        <v>0.14000000000000001</v>
      </c>
      <c r="D413" s="5">
        <v>0.16</v>
      </c>
      <c r="E413" s="5">
        <v>0.17</v>
      </c>
      <c r="F413" s="5">
        <v>0.19</v>
      </c>
      <c r="G413" s="5">
        <v>0.2</v>
      </c>
      <c r="H413" s="5">
        <v>0.22</v>
      </c>
      <c r="I413" s="6">
        <v>9.1641119999999994</v>
      </c>
    </row>
    <row r="414" spans="1:9" x14ac:dyDescent="0.25">
      <c r="A414" s="1" t="s">
        <v>105</v>
      </c>
      <c r="B414" s="5">
        <v>47.06</v>
      </c>
      <c r="C414" s="5">
        <v>47.76</v>
      </c>
      <c r="D414" s="5">
        <v>48.19</v>
      </c>
      <c r="E414" s="5">
        <v>48.65</v>
      </c>
      <c r="F414" s="5">
        <v>48.72</v>
      </c>
      <c r="G414" s="5">
        <v>49.21</v>
      </c>
      <c r="H414" s="5">
        <v>49.86</v>
      </c>
      <c r="I414" s="6">
        <v>0.967916</v>
      </c>
    </row>
    <row r="415" spans="1:9" x14ac:dyDescent="0.25">
      <c r="A415" s="1" t="s">
        <v>106</v>
      </c>
      <c r="B415" s="5">
        <v>46.16</v>
      </c>
      <c r="C415" s="5">
        <v>46.29</v>
      </c>
      <c r="D415" s="5">
        <v>46.46</v>
      </c>
      <c r="E415" s="5">
        <v>46.7</v>
      </c>
      <c r="F415" s="5">
        <v>46.94</v>
      </c>
      <c r="G415" s="5">
        <v>47.22</v>
      </c>
      <c r="H415" s="5">
        <v>47.6</v>
      </c>
      <c r="I415" s="6">
        <v>0.51329899999999995</v>
      </c>
    </row>
    <row r="416" spans="1:9" ht="30" x14ac:dyDescent="0.25">
      <c r="A416" s="1" t="s">
        <v>107</v>
      </c>
      <c r="B416" s="5">
        <v>38.92</v>
      </c>
      <c r="C416" s="5">
        <v>39.28</v>
      </c>
      <c r="D416" s="5">
        <v>39.619999999999997</v>
      </c>
      <c r="E416" s="5">
        <v>39.93</v>
      </c>
      <c r="F416" s="5">
        <v>40.21</v>
      </c>
      <c r="G416" s="5">
        <v>40.47</v>
      </c>
      <c r="H416" s="5">
        <v>40.71</v>
      </c>
      <c r="I416" s="6">
        <v>0.75224000000000002</v>
      </c>
    </row>
    <row r="417" spans="1:9" x14ac:dyDescent="0.25">
      <c r="A417" s="1" t="s">
        <v>108</v>
      </c>
      <c r="B417" s="5">
        <v>25.84</v>
      </c>
      <c r="C417" s="5">
        <v>28.59</v>
      </c>
      <c r="D417" s="5">
        <v>31.24</v>
      </c>
      <c r="E417" s="5">
        <v>33.75</v>
      </c>
      <c r="F417" s="5">
        <v>36.1</v>
      </c>
      <c r="G417" s="5">
        <v>38.26</v>
      </c>
      <c r="H417" s="5">
        <v>40.22</v>
      </c>
      <c r="I417" s="6">
        <v>7.6527000000000003</v>
      </c>
    </row>
    <row r="418" spans="1:9" ht="30" x14ac:dyDescent="0.25">
      <c r="A418" s="1" t="s">
        <v>109</v>
      </c>
      <c r="B418" s="5">
        <v>93.55</v>
      </c>
      <c r="C418" s="5">
        <v>94.19</v>
      </c>
      <c r="D418" s="5">
        <v>94.65</v>
      </c>
      <c r="E418" s="5">
        <v>95.21</v>
      </c>
      <c r="F418" s="5">
        <v>95.58</v>
      </c>
      <c r="G418" s="5">
        <v>95.95</v>
      </c>
      <c r="H418" s="5">
        <v>96.03</v>
      </c>
      <c r="I418" s="6">
        <v>0.437029</v>
      </c>
    </row>
    <row r="419" spans="1:9" x14ac:dyDescent="0.25">
      <c r="A419" s="1" t="s">
        <v>110</v>
      </c>
      <c r="B419" s="5">
        <v>19.170000000000002</v>
      </c>
      <c r="C419" s="5">
        <v>23.34</v>
      </c>
      <c r="D419" s="5">
        <v>27.76</v>
      </c>
      <c r="E419" s="5">
        <v>32.04</v>
      </c>
      <c r="F419" s="5">
        <v>36.69</v>
      </c>
      <c r="G419" s="5">
        <v>41.42</v>
      </c>
      <c r="H419" s="5">
        <v>46.67</v>
      </c>
      <c r="I419" s="6">
        <v>15.98521</v>
      </c>
    </row>
    <row r="420" spans="1:9" x14ac:dyDescent="0.25">
      <c r="A420" s="1" t="s">
        <v>111</v>
      </c>
      <c r="B420" s="5">
        <v>77.22</v>
      </c>
      <c r="C420" s="5">
        <v>79.39</v>
      </c>
      <c r="D420" s="5">
        <v>81.22</v>
      </c>
      <c r="E420" s="5">
        <v>82.59</v>
      </c>
      <c r="F420" s="5">
        <v>83.16</v>
      </c>
      <c r="G420" s="5">
        <v>83.25</v>
      </c>
      <c r="H420" s="5">
        <v>84.11</v>
      </c>
      <c r="I420" s="6">
        <v>1.4346429999999999</v>
      </c>
    </row>
    <row r="421" spans="1:9" x14ac:dyDescent="0.25">
      <c r="A421" s="1" t="s">
        <v>112</v>
      </c>
      <c r="B421" s="7" t="s">
        <v>58</v>
      </c>
      <c r="C421" s="7" t="s">
        <v>58</v>
      </c>
      <c r="D421" s="7" t="s">
        <v>58</v>
      </c>
      <c r="E421" s="7" t="s">
        <v>58</v>
      </c>
      <c r="F421" s="7" t="s">
        <v>58</v>
      </c>
      <c r="G421" s="7" t="s">
        <v>58</v>
      </c>
      <c r="H421" s="7" t="s">
        <v>58</v>
      </c>
      <c r="I421" s="7" t="s">
        <v>58</v>
      </c>
    </row>
    <row r="422" spans="1:9" x14ac:dyDescent="0.25">
      <c r="A422" s="1" t="s">
        <v>113</v>
      </c>
      <c r="B422" s="5">
        <v>0.66</v>
      </c>
      <c r="C422" s="5">
        <v>0.69</v>
      </c>
      <c r="D422" s="5">
        <v>0.71</v>
      </c>
      <c r="E422" s="5">
        <v>0.74</v>
      </c>
      <c r="F422" s="5">
        <v>0.77</v>
      </c>
      <c r="G422" s="5">
        <v>0.8</v>
      </c>
      <c r="H422" s="5">
        <v>0.83</v>
      </c>
      <c r="I422" s="6">
        <v>3.8936549999999999</v>
      </c>
    </row>
    <row r="423" spans="1:9" x14ac:dyDescent="0.25">
      <c r="A423" s="1" t="s">
        <v>114</v>
      </c>
      <c r="B423" s="5">
        <v>80.739999999999995</v>
      </c>
      <c r="C423" s="5">
        <v>81.180000000000007</v>
      </c>
      <c r="D423" s="5">
        <v>81.650000000000006</v>
      </c>
      <c r="E423" s="5">
        <v>82.39</v>
      </c>
      <c r="F423" s="5">
        <v>82.92</v>
      </c>
      <c r="G423" s="5">
        <v>83.35</v>
      </c>
      <c r="H423" s="5">
        <v>84.08</v>
      </c>
      <c r="I423" s="6">
        <v>0.67786400000000002</v>
      </c>
    </row>
    <row r="424" spans="1:9" ht="30" x14ac:dyDescent="0.25">
      <c r="A424" s="1" t="s">
        <v>115</v>
      </c>
      <c r="B424" s="5">
        <v>37.47</v>
      </c>
      <c r="C424" s="5">
        <v>41.12</v>
      </c>
      <c r="D424" s="5">
        <v>44.52</v>
      </c>
      <c r="E424" s="5">
        <v>47.59</v>
      </c>
      <c r="F424" s="5">
        <v>50.1</v>
      </c>
      <c r="G424" s="5">
        <v>52.53</v>
      </c>
      <c r="H424" s="5">
        <v>54.87</v>
      </c>
      <c r="I424" s="6">
        <v>6.563517</v>
      </c>
    </row>
    <row r="425" spans="1:9" x14ac:dyDescent="0.25">
      <c r="A425" s="1" t="s">
        <v>116</v>
      </c>
      <c r="B425" s="5">
        <v>0</v>
      </c>
      <c r="C425" s="5">
        <v>0</v>
      </c>
      <c r="D425" s="5">
        <v>0</v>
      </c>
      <c r="E425" s="5">
        <v>0</v>
      </c>
      <c r="F425" s="5">
        <v>0</v>
      </c>
      <c r="G425" s="5">
        <v>0</v>
      </c>
      <c r="H425" s="5">
        <v>0</v>
      </c>
      <c r="I425" s="7" t="s">
        <v>58</v>
      </c>
    </row>
    <row r="426" spans="1:9" x14ac:dyDescent="0.25">
      <c r="A426" s="1" t="s">
        <v>12</v>
      </c>
      <c r="B426" s="2"/>
      <c r="C426" s="2"/>
      <c r="D426" s="2"/>
      <c r="E426" s="2"/>
      <c r="F426" s="2"/>
      <c r="G426" s="2"/>
      <c r="H426" s="2"/>
      <c r="I426" s="2"/>
    </row>
    <row r="427" spans="1:9" ht="60" x14ac:dyDescent="0.25">
      <c r="A427" s="1" t="s">
        <v>120</v>
      </c>
      <c r="B427" s="2"/>
      <c r="C427" s="2"/>
      <c r="D427" s="2"/>
      <c r="E427" s="2"/>
      <c r="F427" s="2"/>
      <c r="G427" s="2"/>
      <c r="H427" s="2"/>
      <c r="I427" s="2"/>
    </row>
    <row r="428" spans="1:9" x14ac:dyDescent="0.25">
      <c r="A428" s="1" t="s">
        <v>14</v>
      </c>
      <c r="B428" s="5">
        <v>0.57999999999999996</v>
      </c>
      <c r="C428" s="5">
        <v>1.44</v>
      </c>
      <c r="D428" s="5">
        <v>1.45</v>
      </c>
      <c r="E428" s="5">
        <v>1.47</v>
      </c>
      <c r="F428" s="5">
        <v>1.49</v>
      </c>
      <c r="G428" s="5">
        <v>1.5</v>
      </c>
      <c r="H428" s="5">
        <v>1.52</v>
      </c>
      <c r="I428" s="6">
        <v>17.418339</v>
      </c>
    </row>
    <row r="429" spans="1:9" ht="30" x14ac:dyDescent="0.25">
      <c r="A429" s="1" t="s">
        <v>15</v>
      </c>
      <c r="B429" s="5">
        <v>0.02</v>
      </c>
      <c r="C429" s="5">
        <v>0.03</v>
      </c>
      <c r="D429" s="5">
        <v>0.03</v>
      </c>
      <c r="E429" s="5">
        <v>0.03</v>
      </c>
      <c r="F429" s="5">
        <v>0.03</v>
      </c>
      <c r="G429" s="5">
        <v>0.03</v>
      </c>
      <c r="H429" s="5">
        <v>0.03</v>
      </c>
      <c r="I429" s="6">
        <v>6.9913189999999998</v>
      </c>
    </row>
    <row r="430" spans="1:9" x14ac:dyDescent="0.25">
      <c r="A430" s="1" t="s">
        <v>16</v>
      </c>
      <c r="B430" s="5">
        <v>1.78</v>
      </c>
      <c r="C430" s="5">
        <v>1.8</v>
      </c>
      <c r="D430" s="5">
        <v>1.82</v>
      </c>
      <c r="E430" s="5">
        <v>1.84</v>
      </c>
      <c r="F430" s="5">
        <v>1.86</v>
      </c>
      <c r="G430" s="5">
        <v>1.89</v>
      </c>
      <c r="H430" s="5">
        <v>1.9</v>
      </c>
      <c r="I430" s="6">
        <v>1.093275</v>
      </c>
    </row>
    <row r="431" spans="1:9" x14ac:dyDescent="0.25">
      <c r="A431" s="1" t="s">
        <v>17</v>
      </c>
      <c r="B431" s="5">
        <v>0.02</v>
      </c>
      <c r="C431" s="5">
        <v>0.02</v>
      </c>
      <c r="D431" s="5">
        <v>0.02</v>
      </c>
      <c r="E431" s="5">
        <v>0.02</v>
      </c>
      <c r="F431" s="5">
        <v>0.02</v>
      </c>
      <c r="G431" s="5">
        <v>0.02</v>
      </c>
      <c r="H431" s="5">
        <v>0.02</v>
      </c>
      <c r="I431" s="6">
        <v>0</v>
      </c>
    </row>
    <row r="432" spans="1:9" x14ac:dyDescent="0.25">
      <c r="A432" s="1" t="s">
        <v>18</v>
      </c>
      <c r="B432" s="5">
        <v>0</v>
      </c>
      <c r="C432" s="5">
        <v>0</v>
      </c>
      <c r="D432" s="5">
        <v>0</v>
      </c>
      <c r="E432" s="5">
        <v>0</v>
      </c>
      <c r="F432" s="5">
        <v>0</v>
      </c>
      <c r="G432" s="5">
        <v>0</v>
      </c>
      <c r="H432" s="5">
        <v>0</v>
      </c>
      <c r="I432" s="7" t="s">
        <v>58</v>
      </c>
    </row>
    <row r="433" spans="1:9" x14ac:dyDescent="0.25">
      <c r="A433" s="1" t="s">
        <v>19</v>
      </c>
      <c r="B433" s="5">
        <v>0</v>
      </c>
      <c r="C433" s="5">
        <v>0</v>
      </c>
      <c r="D433" s="5">
        <v>0</v>
      </c>
      <c r="E433" s="5">
        <v>0</v>
      </c>
      <c r="F433" s="5">
        <v>0</v>
      </c>
      <c r="G433" s="5">
        <v>0</v>
      </c>
      <c r="H433" s="5">
        <v>0</v>
      </c>
      <c r="I433" s="7" t="s">
        <v>58</v>
      </c>
    </row>
    <row r="434" spans="1:9" x14ac:dyDescent="0.25">
      <c r="A434" s="1" t="s">
        <v>20</v>
      </c>
      <c r="B434" s="5">
        <v>0</v>
      </c>
      <c r="C434" s="5">
        <v>0</v>
      </c>
      <c r="D434" s="5">
        <v>0</v>
      </c>
      <c r="E434" s="5">
        <v>0</v>
      </c>
      <c r="F434" s="5">
        <v>0</v>
      </c>
      <c r="G434" s="5">
        <v>0</v>
      </c>
      <c r="H434" s="5">
        <v>0</v>
      </c>
      <c r="I434" s="7" t="s">
        <v>58</v>
      </c>
    </row>
    <row r="435" spans="1:9" x14ac:dyDescent="0.25">
      <c r="A435" s="1" t="s">
        <v>21</v>
      </c>
      <c r="B435" s="7" t="s">
        <v>58</v>
      </c>
      <c r="C435" s="7" t="s">
        <v>58</v>
      </c>
      <c r="D435" s="7" t="s">
        <v>58</v>
      </c>
      <c r="E435" s="7" t="s">
        <v>58</v>
      </c>
      <c r="F435" s="7" t="s">
        <v>58</v>
      </c>
      <c r="G435" s="7" t="s">
        <v>58</v>
      </c>
      <c r="H435" s="7" t="s">
        <v>58</v>
      </c>
      <c r="I435" s="7" t="s">
        <v>58</v>
      </c>
    </row>
    <row r="436" spans="1:9" x14ac:dyDescent="0.25">
      <c r="A436" s="1" t="s">
        <v>22</v>
      </c>
      <c r="B436" s="5">
        <v>0.08</v>
      </c>
      <c r="C436" s="5">
        <v>0.08</v>
      </c>
      <c r="D436" s="5">
        <v>0.08</v>
      </c>
      <c r="E436" s="5">
        <v>0.08</v>
      </c>
      <c r="F436" s="5">
        <v>0.08</v>
      </c>
      <c r="G436" s="5">
        <v>7.0000000000000007E-2</v>
      </c>
      <c r="H436" s="5">
        <v>7.0000000000000007E-2</v>
      </c>
      <c r="I436" s="6">
        <v>-2.2009409999999998</v>
      </c>
    </row>
    <row r="437" spans="1:9" x14ac:dyDescent="0.25">
      <c r="A437" s="1" t="s">
        <v>23</v>
      </c>
      <c r="B437" s="5">
        <v>0.3</v>
      </c>
      <c r="C437" s="5">
        <v>0.28999999999999998</v>
      </c>
      <c r="D437" s="5">
        <v>0.3</v>
      </c>
      <c r="E437" s="5">
        <v>0.31</v>
      </c>
      <c r="F437" s="5">
        <v>0.31</v>
      </c>
      <c r="G437" s="5">
        <v>0.31</v>
      </c>
      <c r="H437" s="5">
        <v>0.31</v>
      </c>
      <c r="I437" s="6">
        <v>0.54799299999999995</v>
      </c>
    </row>
    <row r="438" spans="1:9" x14ac:dyDescent="0.25">
      <c r="A438" s="1" t="s">
        <v>24</v>
      </c>
      <c r="B438" s="5">
        <v>0.02</v>
      </c>
      <c r="C438" s="5">
        <v>0.02</v>
      </c>
      <c r="D438" s="5">
        <v>0.02</v>
      </c>
      <c r="E438" s="5">
        <v>0.02</v>
      </c>
      <c r="F438" s="5">
        <v>0.02</v>
      </c>
      <c r="G438" s="5">
        <v>0.02</v>
      </c>
      <c r="H438" s="5">
        <v>0.02</v>
      </c>
      <c r="I438" s="6">
        <v>0</v>
      </c>
    </row>
    <row r="439" spans="1:9" x14ac:dyDescent="0.25">
      <c r="A439" s="1" t="s">
        <v>25</v>
      </c>
      <c r="B439" s="5">
        <v>0</v>
      </c>
      <c r="C439" s="5">
        <v>0</v>
      </c>
      <c r="D439" s="5">
        <v>0</v>
      </c>
      <c r="E439" s="5">
        <v>0</v>
      </c>
      <c r="F439" s="5">
        <v>0</v>
      </c>
      <c r="G439" s="5">
        <v>0</v>
      </c>
      <c r="H439" s="5">
        <v>0</v>
      </c>
      <c r="I439" s="7" t="s">
        <v>58</v>
      </c>
    </row>
    <row r="440" spans="1:9" x14ac:dyDescent="0.25">
      <c r="A440" s="1" t="s">
        <v>26</v>
      </c>
      <c r="B440" s="5">
        <v>1.29</v>
      </c>
      <c r="C440" s="5">
        <v>1.29</v>
      </c>
      <c r="D440" s="5">
        <v>1.28</v>
      </c>
      <c r="E440" s="5">
        <v>1.27</v>
      </c>
      <c r="F440" s="5">
        <v>1.26</v>
      </c>
      <c r="G440" s="5">
        <v>1.25</v>
      </c>
      <c r="H440" s="5">
        <v>1.24</v>
      </c>
      <c r="I440" s="6">
        <v>-0.65668199999999999</v>
      </c>
    </row>
    <row r="441" spans="1:9" x14ac:dyDescent="0.25">
      <c r="A441" s="1" t="s">
        <v>27</v>
      </c>
      <c r="B441" s="5">
        <v>0.47</v>
      </c>
      <c r="C441" s="5">
        <v>0.71</v>
      </c>
      <c r="D441" s="5">
        <v>0.71</v>
      </c>
      <c r="E441" s="5">
        <v>0.71</v>
      </c>
      <c r="F441" s="5">
        <v>0.71</v>
      </c>
      <c r="G441" s="5">
        <v>0.71</v>
      </c>
      <c r="H441" s="5">
        <v>0.71</v>
      </c>
      <c r="I441" s="6">
        <v>7.1174150000000003</v>
      </c>
    </row>
    <row r="442" spans="1:9" x14ac:dyDescent="0.25">
      <c r="A442" s="1" t="s">
        <v>28</v>
      </c>
      <c r="B442" s="5">
        <v>0</v>
      </c>
      <c r="C442" s="5">
        <v>0</v>
      </c>
      <c r="D442" s="5">
        <v>0</v>
      </c>
      <c r="E442" s="5">
        <v>0</v>
      </c>
      <c r="F442" s="5">
        <v>0</v>
      </c>
      <c r="G442" s="5">
        <v>0</v>
      </c>
      <c r="H442" s="5">
        <v>0</v>
      </c>
      <c r="I442" s="7" t="s">
        <v>58</v>
      </c>
    </row>
    <row r="443" spans="1:9" x14ac:dyDescent="0.25">
      <c r="A443" s="1" t="s">
        <v>29</v>
      </c>
      <c r="B443" s="5">
        <v>0.08</v>
      </c>
      <c r="C443" s="5">
        <v>0.06</v>
      </c>
      <c r="D443" s="5">
        <v>0.04</v>
      </c>
      <c r="E443" s="5">
        <v>0.03</v>
      </c>
      <c r="F443" s="5">
        <v>0.03</v>
      </c>
      <c r="G443" s="5">
        <v>0.02</v>
      </c>
      <c r="H443" s="5">
        <v>0.02</v>
      </c>
      <c r="I443" s="6">
        <v>-20.629947000000001</v>
      </c>
    </row>
    <row r="444" spans="1:9" x14ac:dyDescent="0.25">
      <c r="A444" s="1" t="s">
        <v>30</v>
      </c>
      <c r="B444" s="5">
        <v>0</v>
      </c>
      <c r="C444" s="5">
        <v>0</v>
      </c>
      <c r="D444" s="5">
        <v>0</v>
      </c>
      <c r="E444" s="5">
        <v>0</v>
      </c>
      <c r="F444" s="5">
        <v>0</v>
      </c>
      <c r="G444" s="5">
        <v>0</v>
      </c>
      <c r="H444" s="5">
        <v>0</v>
      </c>
      <c r="I444" s="7" t="s">
        <v>58</v>
      </c>
    </row>
    <row r="445" spans="1:9" x14ac:dyDescent="0.25">
      <c r="A445" s="1" t="s">
        <v>31</v>
      </c>
      <c r="B445" s="5">
        <v>0.26</v>
      </c>
      <c r="C445" s="5">
        <v>0.87</v>
      </c>
      <c r="D445" s="5">
        <v>0.87</v>
      </c>
      <c r="E445" s="5">
        <v>0.87</v>
      </c>
      <c r="F445" s="5">
        <v>0.87</v>
      </c>
      <c r="G445" s="5">
        <v>0.87</v>
      </c>
      <c r="H445" s="5">
        <v>0.87</v>
      </c>
      <c r="I445" s="6">
        <v>22.299396999999999</v>
      </c>
    </row>
    <row r="446" spans="1:9" x14ac:dyDescent="0.25">
      <c r="A446" s="1" t="s">
        <v>32</v>
      </c>
      <c r="B446" s="5">
        <v>0.01</v>
      </c>
      <c r="C446" s="5">
        <v>0.01</v>
      </c>
      <c r="D446" s="5">
        <v>0.01</v>
      </c>
      <c r="E446" s="5">
        <v>0.01</v>
      </c>
      <c r="F446" s="5">
        <v>0.01</v>
      </c>
      <c r="G446" s="5">
        <v>0.01</v>
      </c>
      <c r="H446" s="5">
        <v>0.01</v>
      </c>
      <c r="I446" s="6">
        <v>0</v>
      </c>
    </row>
    <row r="447" spans="1:9" x14ac:dyDescent="0.25">
      <c r="A447" s="1" t="s">
        <v>33</v>
      </c>
      <c r="B447" s="5">
        <v>0.02</v>
      </c>
      <c r="C447" s="5">
        <v>0.02</v>
      </c>
      <c r="D447" s="5">
        <v>0.03</v>
      </c>
      <c r="E447" s="5">
        <v>0.03</v>
      </c>
      <c r="F447" s="5">
        <v>0.03</v>
      </c>
      <c r="G447" s="5">
        <v>0.03</v>
      </c>
      <c r="H447" s="5">
        <v>0.03</v>
      </c>
      <c r="I447" s="6">
        <v>6.9913189999999998</v>
      </c>
    </row>
    <row r="448" spans="1:9" ht="30" x14ac:dyDescent="0.25">
      <c r="A448" s="1" t="s">
        <v>34</v>
      </c>
      <c r="B448" s="5">
        <v>0.82</v>
      </c>
      <c r="C448" s="5">
        <v>0.89</v>
      </c>
      <c r="D448" s="5">
        <v>0.97</v>
      </c>
      <c r="E448" s="5">
        <v>1.06</v>
      </c>
      <c r="F448" s="5">
        <v>1.1499999999999999</v>
      </c>
      <c r="G448" s="5">
        <v>1.25</v>
      </c>
      <c r="H448" s="5">
        <v>1.36</v>
      </c>
      <c r="I448" s="6">
        <v>8.7979830000000003</v>
      </c>
    </row>
    <row r="449" spans="1:9" ht="30" x14ac:dyDescent="0.25">
      <c r="A449" s="1" t="s">
        <v>35</v>
      </c>
      <c r="B449" s="5">
        <v>0.56000000000000005</v>
      </c>
      <c r="C449" s="5">
        <v>0.61</v>
      </c>
      <c r="D449" s="5">
        <v>0.61</v>
      </c>
      <c r="E449" s="5">
        <v>0.61</v>
      </c>
      <c r="F449" s="5">
        <v>0.62</v>
      </c>
      <c r="G449" s="5">
        <v>0.62</v>
      </c>
      <c r="H449" s="5">
        <v>0.61</v>
      </c>
      <c r="I449" s="6">
        <v>1.435576</v>
      </c>
    </row>
    <row r="450" spans="1:9" x14ac:dyDescent="0.25">
      <c r="A450" s="1" t="s">
        <v>36</v>
      </c>
      <c r="B450" s="5">
        <v>0.27</v>
      </c>
      <c r="C450" s="5">
        <v>0.27</v>
      </c>
      <c r="D450" s="5">
        <v>0.27</v>
      </c>
      <c r="E450" s="5">
        <v>0.27</v>
      </c>
      <c r="F450" s="5">
        <v>0.27</v>
      </c>
      <c r="G450" s="5">
        <v>0.27</v>
      </c>
      <c r="H450" s="5">
        <v>0.27</v>
      </c>
      <c r="I450" s="6">
        <v>0</v>
      </c>
    </row>
    <row r="451" spans="1:9" x14ac:dyDescent="0.25">
      <c r="A451" s="1" t="s">
        <v>37</v>
      </c>
      <c r="B451" s="5">
        <v>0.01</v>
      </c>
      <c r="C451" s="5">
        <v>0.01</v>
      </c>
      <c r="D451" s="5">
        <v>0.01</v>
      </c>
      <c r="E451" s="5">
        <v>0.01</v>
      </c>
      <c r="F451" s="5">
        <v>0.01</v>
      </c>
      <c r="G451" s="5">
        <v>0.01</v>
      </c>
      <c r="H451" s="5">
        <v>0.01</v>
      </c>
      <c r="I451" s="6">
        <v>0</v>
      </c>
    </row>
    <row r="452" spans="1:9" x14ac:dyDescent="0.25">
      <c r="A452" s="1" t="s">
        <v>38</v>
      </c>
      <c r="B452" s="5">
        <v>0.02</v>
      </c>
      <c r="C452" s="5">
        <v>0.02</v>
      </c>
      <c r="D452" s="5">
        <v>0.02</v>
      </c>
      <c r="E452" s="5">
        <v>0.02</v>
      </c>
      <c r="F452" s="5">
        <v>0.02</v>
      </c>
      <c r="G452" s="5">
        <v>0.02</v>
      </c>
      <c r="H452" s="5">
        <v>0.02</v>
      </c>
      <c r="I452" s="6">
        <v>0</v>
      </c>
    </row>
    <row r="453" spans="1:9" x14ac:dyDescent="0.25">
      <c r="A453" s="1" t="s">
        <v>39</v>
      </c>
      <c r="B453" s="5">
        <v>0</v>
      </c>
      <c r="C453" s="5">
        <v>0</v>
      </c>
      <c r="D453" s="5">
        <v>0</v>
      </c>
      <c r="E453" s="5">
        <v>0</v>
      </c>
      <c r="F453" s="5">
        <v>0</v>
      </c>
      <c r="G453" s="5">
        <v>0</v>
      </c>
      <c r="H453" s="5">
        <v>0</v>
      </c>
      <c r="I453" s="7" t="s">
        <v>58</v>
      </c>
    </row>
    <row r="454" spans="1:9" x14ac:dyDescent="0.25">
      <c r="A454" s="1" t="s">
        <v>40</v>
      </c>
      <c r="B454" s="5">
        <v>0</v>
      </c>
      <c r="C454" s="5">
        <v>0</v>
      </c>
      <c r="D454" s="5">
        <v>0</v>
      </c>
      <c r="E454" s="5">
        <v>0</v>
      </c>
      <c r="F454" s="5">
        <v>0</v>
      </c>
      <c r="G454" s="5">
        <v>0</v>
      </c>
      <c r="H454" s="5">
        <v>0</v>
      </c>
      <c r="I454" s="7" t="s">
        <v>58</v>
      </c>
    </row>
    <row r="455" spans="1:9" x14ac:dyDescent="0.25">
      <c r="A455" s="1" t="s">
        <v>41</v>
      </c>
      <c r="B455" s="5">
        <v>0.05</v>
      </c>
      <c r="C455" s="5">
        <v>0.05</v>
      </c>
      <c r="D455" s="5">
        <v>0.05</v>
      </c>
      <c r="E455" s="5">
        <v>0.04</v>
      </c>
      <c r="F455" s="5">
        <v>0.04</v>
      </c>
      <c r="G455" s="5">
        <v>0.04</v>
      </c>
      <c r="H455" s="5">
        <v>0.03</v>
      </c>
      <c r="I455" s="6">
        <v>-8.1614100000000001</v>
      </c>
    </row>
    <row r="456" spans="1:9" x14ac:dyDescent="0.25">
      <c r="A456" s="1" t="s">
        <v>42</v>
      </c>
      <c r="B456" s="5">
        <v>0.2</v>
      </c>
      <c r="C456" s="5">
        <v>0.43</v>
      </c>
      <c r="D456" s="5">
        <v>0.44</v>
      </c>
      <c r="E456" s="5">
        <v>0.44</v>
      </c>
      <c r="F456" s="5">
        <v>0.44</v>
      </c>
      <c r="G456" s="5">
        <v>0.44</v>
      </c>
      <c r="H456" s="5">
        <v>0.45</v>
      </c>
      <c r="I456" s="6">
        <v>14.471424000000001</v>
      </c>
    </row>
    <row r="457" spans="1:9" x14ac:dyDescent="0.25">
      <c r="A457" s="1" t="s">
        <v>43</v>
      </c>
      <c r="B457" s="5">
        <v>0.01</v>
      </c>
      <c r="C457" s="5">
        <v>0.01</v>
      </c>
      <c r="D457" s="5">
        <v>0.01</v>
      </c>
      <c r="E457" s="5">
        <v>0</v>
      </c>
      <c r="F457" s="5">
        <v>0</v>
      </c>
      <c r="G457" s="5">
        <v>0</v>
      </c>
      <c r="H457" s="5">
        <v>0</v>
      </c>
      <c r="I457" s="6">
        <v>-100</v>
      </c>
    </row>
    <row r="458" spans="1:9" x14ac:dyDescent="0.25">
      <c r="A458" s="1" t="s">
        <v>44</v>
      </c>
      <c r="B458" s="5">
        <v>0.55000000000000004</v>
      </c>
      <c r="C458" s="5">
        <v>0.66</v>
      </c>
      <c r="D458" s="5">
        <v>0.74</v>
      </c>
      <c r="E458" s="5">
        <v>0.79</v>
      </c>
      <c r="F458" s="5">
        <v>0.95</v>
      </c>
      <c r="G458" s="5">
        <v>1.07</v>
      </c>
      <c r="H458" s="5">
        <v>1.37</v>
      </c>
      <c r="I458" s="6">
        <v>16.428591999999998</v>
      </c>
    </row>
    <row r="459" spans="1:9" x14ac:dyDescent="0.25">
      <c r="A459" s="1" t="s">
        <v>45</v>
      </c>
      <c r="B459" s="5">
        <v>0.27</v>
      </c>
      <c r="C459" s="5">
        <v>0.3</v>
      </c>
      <c r="D459" s="5">
        <v>0.33</v>
      </c>
      <c r="E459" s="5">
        <v>0.36</v>
      </c>
      <c r="F459" s="5">
        <v>0.38</v>
      </c>
      <c r="G459" s="5">
        <v>0.4</v>
      </c>
      <c r="H459" s="5">
        <v>0.42</v>
      </c>
      <c r="I459" s="6">
        <v>7.6417919999999997</v>
      </c>
    </row>
    <row r="460" spans="1:9" x14ac:dyDescent="0.25">
      <c r="A460" s="1" t="s">
        <v>46</v>
      </c>
      <c r="B460" s="5">
        <v>0.04</v>
      </c>
      <c r="C460" s="5">
        <v>0.04</v>
      </c>
      <c r="D460" s="5">
        <v>0.04</v>
      </c>
      <c r="E460" s="5">
        <v>0.03</v>
      </c>
      <c r="F460" s="5">
        <v>0.03</v>
      </c>
      <c r="G460" s="5">
        <v>0.03</v>
      </c>
      <c r="H460" s="5">
        <v>0.02</v>
      </c>
      <c r="I460" s="6">
        <v>-10.910128</v>
      </c>
    </row>
    <row r="461" spans="1:9" x14ac:dyDescent="0.25">
      <c r="A461" s="1" t="s">
        <v>47</v>
      </c>
      <c r="B461" s="5">
        <v>0.05</v>
      </c>
      <c r="C461" s="5">
        <v>0.05</v>
      </c>
      <c r="D461" s="5">
        <v>0.05</v>
      </c>
      <c r="E461" s="5">
        <v>0.05</v>
      </c>
      <c r="F461" s="5">
        <v>0.05</v>
      </c>
      <c r="G461" s="5">
        <v>0.05</v>
      </c>
      <c r="H461" s="5">
        <v>0.05</v>
      </c>
      <c r="I461" s="6">
        <v>0</v>
      </c>
    </row>
    <row r="462" spans="1:9" x14ac:dyDescent="0.25">
      <c r="A462" s="1" t="s">
        <v>48</v>
      </c>
      <c r="B462" s="5">
        <v>0</v>
      </c>
      <c r="C462" s="5">
        <v>0</v>
      </c>
      <c r="D462" s="5">
        <v>0</v>
      </c>
      <c r="E462" s="5">
        <v>0</v>
      </c>
      <c r="F462" s="5">
        <v>0</v>
      </c>
      <c r="G462" s="5">
        <v>0</v>
      </c>
      <c r="H462" s="5">
        <v>0</v>
      </c>
      <c r="I462" s="7" t="s">
        <v>58</v>
      </c>
    </row>
    <row r="463" spans="1:9" x14ac:dyDescent="0.25">
      <c r="A463" s="1" t="s">
        <v>49</v>
      </c>
      <c r="B463" s="5">
        <v>0.01</v>
      </c>
      <c r="C463" s="5">
        <v>0.01</v>
      </c>
      <c r="D463" s="5">
        <v>0.01</v>
      </c>
      <c r="E463" s="5">
        <v>0.01</v>
      </c>
      <c r="F463" s="5">
        <v>0.01</v>
      </c>
      <c r="G463" s="5">
        <v>0.01</v>
      </c>
      <c r="H463" s="5">
        <v>0.01</v>
      </c>
      <c r="I463" s="6">
        <v>0</v>
      </c>
    </row>
    <row r="464" spans="1:9" x14ac:dyDescent="0.25">
      <c r="A464" s="1" t="s">
        <v>50</v>
      </c>
      <c r="B464" s="5">
        <v>0.17</v>
      </c>
      <c r="C464" s="5">
        <v>0.17</v>
      </c>
      <c r="D464" s="5">
        <v>0.18</v>
      </c>
      <c r="E464" s="5">
        <v>0.18</v>
      </c>
      <c r="F464" s="5">
        <v>0.18</v>
      </c>
      <c r="G464" s="5">
        <v>0.18</v>
      </c>
      <c r="H464" s="5">
        <v>0.18</v>
      </c>
      <c r="I464" s="6">
        <v>0.95719200000000004</v>
      </c>
    </row>
    <row r="465" spans="1:9" x14ac:dyDescent="0.25">
      <c r="A465" s="1" t="s">
        <v>51</v>
      </c>
      <c r="B465" s="5">
        <v>0.37</v>
      </c>
      <c r="C465" s="5">
        <v>0.37</v>
      </c>
      <c r="D465" s="5">
        <v>0.36</v>
      </c>
      <c r="E465" s="5">
        <v>0.36</v>
      </c>
      <c r="F465" s="5">
        <v>0.36</v>
      </c>
      <c r="G465" s="5">
        <v>0.35</v>
      </c>
      <c r="H465" s="5">
        <v>0.35</v>
      </c>
      <c r="I465" s="6">
        <v>-0.92188899999999996</v>
      </c>
    </row>
    <row r="466" spans="1:9" x14ac:dyDescent="0.25">
      <c r="A466" s="1" t="s">
        <v>52</v>
      </c>
      <c r="B466" s="5">
        <v>0</v>
      </c>
      <c r="C466" s="5">
        <v>0</v>
      </c>
      <c r="D466" s="5">
        <v>0</v>
      </c>
      <c r="E466" s="5">
        <v>0</v>
      </c>
      <c r="F466" s="5">
        <v>0</v>
      </c>
      <c r="G466" s="5">
        <v>0</v>
      </c>
      <c r="H466" s="5">
        <v>0</v>
      </c>
      <c r="I466" s="7" t="s">
        <v>58</v>
      </c>
    </row>
    <row r="467" spans="1:9" x14ac:dyDescent="0.25">
      <c r="A467" s="1" t="s">
        <v>53</v>
      </c>
      <c r="B467" s="5">
        <v>0</v>
      </c>
      <c r="C467" s="5">
        <v>0</v>
      </c>
      <c r="D467" s="5">
        <v>0</v>
      </c>
      <c r="E467" s="5">
        <v>0</v>
      </c>
      <c r="F467" s="5">
        <v>0</v>
      </c>
      <c r="G467" s="5">
        <v>0</v>
      </c>
      <c r="H467" s="5">
        <v>0</v>
      </c>
      <c r="I467" s="7" t="s">
        <v>58</v>
      </c>
    </row>
    <row r="468" spans="1:9" x14ac:dyDescent="0.25">
      <c r="A468" s="1" t="s">
        <v>54</v>
      </c>
      <c r="B468" s="5">
        <v>0</v>
      </c>
      <c r="C468" s="5">
        <v>0</v>
      </c>
      <c r="D468" s="5">
        <v>0</v>
      </c>
      <c r="E468" s="5">
        <v>0</v>
      </c>
      <c r="F468" s="5">
        <v>0</v>
      </c>
      <c r="G468" s="5">
        <v>0</v>
      </c>
      <c r="H468" s="5">
        <v>0</v>
      </c>
      <c r="I468" s="7" t="s">
        <v>58</v>
      </c>
    </row>
    <row r="469" spans="1:9" x14ac:dyDescent="0.25">
      <c r="A469" s="1" t="s">
        <v>55</v>
      </c>
      <c r="B469" s="5">
        <v>0</v>
      </c>
      <c r="C469" s="5">
        <v>0</v>
      </c>
      <c r="D469" s="5">
        <v>0</v>
      </c>
      <c r="E469" s="5">
        <v>0</v>
      </c>
      <c r="F469" s="5">
        <v>0</v>
      </c>
      <c r="G469" s="5">
        <v>0</v>
      </c>
      <c r="H469" s="5">
        <v>0</v>
      </c>
      <c r="I469" s="7" t="s">
        <v>58</v>
      </c>
    </row>
    <row r="470" spans="1:9" x14ac:dyDescent="0.25">
      <c r="A470" s="1" t="s">
        <v>56</v>
      </c>
      <c r="B470" s="5">
        <v>0</v>
      </c>
      <c r="C470" s="5">
        <v>0</v>
      </c>
      <c r="D470" s="5">
        <v>0</v>
      </c>
      <c r="E470" s="5">
        <v>0</v>
      </c>
      <c r="F470" s="5">
        <v>0</v>
      </c>
      <c r="G470" s="5">
        <v>0</v>
      </c>
      <c r="H470" s="5">
        <v>0</v>
      </c>
      <c r="I470" s="7" t="s">
        <v>58</v>
      </c>
    </row>
    <row r="471" spans="1:9" x14ac:dyDescent="0.25">
      <c r="A471" s="1" t="s">
        <v>57</v>
      </c>
      <c r="B471" s="7" t="s">
        <v>58</v>
      </c>
      <c r="C471" s="7" t="s">
        <v>58</v>
      </c>
      <c r="D471" s="7" t="s">
        <v>58</v>
      </c>
      <c r="E471" s="7" t="s">
        <v>58</v>
      </c>
      <c r="F471" s="7" t="s">
        <v>58</v>
      </c>
      <c r="G471" s="7" t="s">
        <v>58</v>
      </c>
      <c r="H471" s="7" t="s">
        <v>58</v>
      </c>
      <c r="I471" s="7" t="s">
        <v>58</v>
      </c>
    </row>
    <row r="472" spans="1:9" x14ac:dyDescent="0.25">
      <c r="A472" s="1" t="s">
        <v>59</v>
      </c>
      <c r="B472" s="5">
        <v>0.37</v>
      </c>
      <c r="C472" s="5">
        <v>0.36</v>
      </c>
      <c r="D472" s="5">
        <v>0.35</v>
      </c>
      <c r="E472" s="5">
        <v>0.34</v>
      </c>
      <c r="F472" s="5">
        <v>0.33</v>
      </c>
      <c r="G472" s="5">
        <v>0.32</v>
      </c>
      <c r="H472" s="5">
        <v>0.32</v>
      </c>
      <c r="I472" s="6">
        <v>-2.39066</v>
      </c>
    </row>
    <row r="473" spans="1:9" x14ac:dyDescent="0.25">
      <c r="A473" s="1" t="s">
        <v>60</v>
      </c>
      <c r="B473" s="5">
        <v>0</v>
      </c>
      <c r="C473" s="5">
        <v>0</v>
      </c>
      <c r="D473" s="5">
        <v>0</v>
      </c>
      <c r="E473" s="5">
        <v>0</v>
      </c>
      <c r="F473" s="5">
        <v>0</v>
      </c>
      <c r="G473" s="5">
        <v>0</v>
      </c>
      <c r="H473" s="5">
        <v>0</v>
      </c>
      <c r="I473" s="7" t="s">
        <v>58</v>
      </c>
    </row>
    <row r="474" spans="1:9" ht="45" x14ac:dyDescent="0.25">
      <c r="A474" s="1" t="s">
        <v>61</v>
      </c>
      <c r="B474" s="5">
        <v>0.27</v>
      </c>
      <c r="C474" s="5">
        <v>0.34</v>
      </c>
      <c r="D474" s="5">
        <v>0.35</v>
      </c>
      <c r="E474" s="5">
        <v>0.36</v>
      </c>
      <c r="F474" s="5">
        <v>0.38</v>
      </c>
      <c r="G474" s="5">
        <v>0.39</v>
      </c>
      <c r="H474" s="5">
        <v>0.42</v>
      </c>
      <c r="I474" s="6">
        <v>7.6417919999999997</v>
      </c>
    </row>
    <row r="475" spans="1:9" x14ac:dyDescent="0.25">
      <c r="A475" s="1" t="s">
        <v>62</v>
      </c>
      <c r="B475" s="5">
        <v>0.19</v>
      </c>
      <c r="C475" s="5">
        <v>0.53</v>
      </c>
      <c r="D475" s="5">
        <v>0.51</v>
      </c>
      <c r="E475" s="5">
        <v>0.49</v>
      </c>
      <c r="F475" s="5">
        <v>0.47</v>
      </c>
      <c r="G475" s="5">
        <v>0.44</v>
      </c>
      <c r="H475" s="5">
        <v>0.41</v>
      </c>
      <c r="I475" s="6">
        <v>13.676766000000001</v>
      </c>
    </row>
    <row r="476" spans="1:9" x14ac:dyDescent="0.25">
      <c r="A476" s="1" t="s">
        <v>63</v>
      </c>
      <c r="B476" s="5">
        <v>0.83</v>
      </c>
      <c r="C476" s="5">
        <v>0.81</v>
      </c>
      <c r="D476" s="5">
        <v>0.8</v>
      </c>
      <c r="E476" s="5">
        <v>0.79</v>
      </c>
      <c r="F476" s="5">
        <v>0.79</v>
      </c>
      <c r="G476" s="5">
        <v>0.79</v>
      </c>
      <c r="H476" s="5">
        <v>0.79</v>
      </c>
      <c r="I476" s="6">
        <v>-0.81983300000000003</v>
      </c>
    </row>
    <row r="477" spans="1:9" x14ac:dyDescent="0.25">
      <c r="A477" s="1" t="s">
        <v>64</v>
      </c>
      <c r="B477" s="5">
        <v>0.09</v>
      </c>
      <c r="C477" s="5">
        <v>0.06</v>
      </c>
      <c r="D477" s="5">
        <v>0.06</v>
      </c>
      <c r="E477" s="5">
        <v>0.06</v>
      </c>
      <c r="F477" s="5">
        <v>0.06</v>
      </c>
      <c r="G477" s="5">
        <v>0.05</v>
      </c>
      <c r="H477" s="5">
        <v>0.05</v>
      </c>
      <c r="I477" s="6">
        <v>-9.3318860000000008</v>
      </c>
    </row>
    <row r="478" spans="1:9" x14ac:dyDescent="0.25">
      <c r="A478" s="1" t="s">
        <v>65</v>
      </c>
      <c r="B478" s="5">
        <v>0.15</v>
      </c>
      <c r="C478" s="5">
        <v>0.16</v>
      </c>
      <c r="D478" s="5">
        <v>0.17</v>
      </c>
      <c r="E478" s="5">
        <v>0.19</v>
      </c>
      <c r="F478" s="5">
        <v>0.2</v>
      </c>
      <c r="G478" s="5">
        <v>0.22</v>
      </c>
      <c r="H478" s="5">
        <v>0.23</v>
      </c>
      <c r="I478" s="6">
        <v>7.3839629999999996</v>
      </c>
    </row>
    <row r="479" spans="1:9" x14ac:dyDescent="0.25">
      <c r="A479" s="1" t="s">
        <v>66</v>
      </c>
      <c r="B479" s="5">
        <v>0.22</v>
      </c>
      <c r="C479" s="5">
        <v>0.22</v>
      </c>
      <c r="D479" s="5">
        <v>0.22</v>
      </c>
      <c r="E479" s="5">
        <v>0.22</v>
      </c>
      <c r="F479" s="5">
        <v>0.22</v>
      </c>
      <c r="G479" s="5">
        <v>0.21</v>
      </c>
      <c r="H479" s="5">
        <v>0.21</v>
      </c>
      <c r="I479" s="6">
        <v>-0.77233600000000002</v>
      </c>
    </row>
    <row r="480" spans="1:9" ht="30" x14ac:dyDescent="0.25">
      <c r="A480" s="1" t="s">
        <v>67</v>
      </c>
      <c r="B480" s="5">
        <v>0.02</v>
      </c>
      <c r="C480" s="5">
        <v>0.02</v>
      </c>
      <c r="D480" s="5">
        <v>0.02</v>
      </c>
      <c r="E480" s="5">
        <v>0.02</v>
      </c>
      <c r="F480" s="5">
        <v>0.02</v>
      </c>
      <c r="G480" s="5">
        <v>0.02</v>
      </c>
      <c r="H480" s="5">
        <v>0.03</v>
      </c>
      <c r="I480" s="6">
        <v>6.9913189999999998</v>
      </c>
    </row>
    <row r="481" spans="1:9" x14ac:dyDescent="0.25">
      <c r="A481" s="1" t="s">
        <v>68</v>
      </c>
      <c r="B481" s="7" t="s">
        <v>58</v>
      </c>
      <c r="C481" s="7" t="s">
        <v>58</v>
      </c>
      <c r="D481" s="7" t="s">
        <v>58</v>
      </c>
      <c r="E481" s="7" t="s">
        <v>58</v>
      </c>
      <c r="F481" s="7" t="s">
        <v>58</v>
      </c>
      <c r="G481" s="7" t="s">
        <v>58</v>
      </c>
      <c r="H481" s="7" t="s">
        <v>58</v>
      </c>
      <c r="I481" s="7" t="s">
        <v>58</v>
      </c>
    </row>
    <row r="482" spans="1:9" x14ac:dyDescent="0.25">
      <c r="A482" s="1" t="s">
        <v>69</v>
      </c>
      <c r="B482" s="5">
        <v>0.01</v>
      </c>
      <c r="C482" s="5">
        <v>0.01</v>
      </c>
      <c r="D482" s="5">
        <v>0.01</v>
      </c>
      <c r="E482" s="5">
        <v>0.01</v>
      </c>
      <c r="F482" s="5">
        <v>0.01</v>
      </c>
      <c r="G482" s="5">
        <v>0.01</v>
      </c>
      <c r="H482" s="5">
        <v>0.01</v>
      </c>
      <c r="I482" s="6">
        <v>0</v>
      </c>
    </row>
    <row r="483" spans="1:9" x14ac:dyDescent="0.25">
      <c r="A483" s="1" t="s">
        <v>70</v>
      </c>
      <c r="B483" s="5">
        <v>0</v>
      </c>
      <c r="C483" s="5">
        <v>0</v>
      </c>
      <c r="D483" s="5">
        <v>0</v>
      </c>
      <c r="E483" s="5">
        <v>0</v>
      </c>
      <c r="F483" s="5">
        <v>0</v>
      </c>
      <c r="G483" s="5">
        <v>0</v>
      </c>
      <c r="H483" s="5">
        <v>0</v>
      </c>
      <c r="I483" s="7" t="s">
        <v>58</v>
      </c>
    </row>
    <row r="484" spans="1:9" x14ac:dyDescent="0.25">
      <c r="A484" s="1" t="s">
        <v>71</v>
      </c>
      <c r="B484" s="5">
        <v>2.1</v>
      </c>
      <c r="C484" s="5">
        <v>3.12</v>
      </c>
      <c r="D484" s="5">
        <v>3.16</v>
      </c>
      <c r="E484" s="5">
        <v>3.38</v>
      </c>
      <c r="F484" s="5">
        <v>3.52</v>
      </c>
      <c r="G484" s="5">
        <v>3.8</v>
      </c>
      <c r="H484" s="5">
        <v>4.07</v>
      </c>
      <c r="I484" s="6">
        <v>11.659545</v>
      </c>
    </row>
    <row r="485" spans="1:9" x14ac:dyDescent="0.25">
      <c r="A485" s="1" t="s">
        <v>72</v>
      </c>
      <c r="B485" s="5">
        <v>0.32</v>
      </c>
      <c r="C485" s="5">
        <v>0.28999999999999998</v>
      </c>
      <c r="D485" s="5">
        <v>0.26</v>
      </c>
      <c r="E485" s="5">
        <v>0.24</v>
      </c>
      <c r="F485" s="5">
        <v>0.21</v>
      </c>
      <c r="G485" s="5">
        <v>0.21</v>
      </c>
      <c r="H485" s="5">
        <v>0.2</v>
      </c>
      <c r="I485" s="6">
        <v>-7.53444</v>
      </c>
    </row>
    <row r="486" spans="1:9" x14ac:dyDescent="0.25">
      <c r="A486" s="1" t="s">
        <v>73</v>
      </c>
      <c r="B486" s="7" t="s">
        <v>58</v>
      </c>
      <c r="C486" s="7" t="s">
        <v>58</v>
      </c>
      <c r="D486" s="7" t="s">
        <v>58</v>
      </c>
      <c r="E486" s="7" t="s">
        <v>58</v>
      </c>
      <c r="F486" s="7" t="s">
        <v>58</v>
      </c>
      <c r="G486" s="7" t="s">
        <v>58</v>
      </c>
      <c r="H486" s="7" t="s">
        <v>58</v>
      </c>
      <c r="I486" s="7" t="s">
        <v>58</v>
      </c>
    </row>
    <row r="487" spans="1:9" ht="30" x14ac:dyDescent="0.25">
      <c r="A487" s="1" t="s">
        <v>74</v>
      </c>
      <c r="B487" s="5">
        <v>1.56</v>
      </c>
      <c r="C487" s="5">
        <v>2.09</v>
      </c>
      <c r="D487" s="5">
        <v>2.78</v>
      </c>
      <c r="E487" s="5">
        <v>3.24</v>
      </c>
      <c r="F487" s="5">
        <v>3.71</v>
      </c>
      <c r="G487" s="5">
        <v>4.26</v>
      </c>
      <c r="H487" s="5">
        <v>4.74</v>
      </c>
      <c r="I487" s="6">
        <v>20.348946000000002</v>
      </c>
    </row>
    <row r="488" spans="1:9" x14ac:dyDescent="0.25">
      <c r="A488" s="1" t="s">
        <v>75</v>
      </c>
      <c r="B488" s="5">
        <v>0.2</v>
      </c>
      <c r="C488" s="5">
        <v>0.25</v>
      </c>
      <c r="D488" s="5">
        <v>0.28000000000000003</v>
      </c>
      <c r="E488" s="5">
        <v>0.28999999999999998</v>
      </c>
      <c r="F488" s="5">
        <v>0.3</v>
      </c>
      <c r="G488" s="5">
        <v>0.31</v>
      </c>
      <c r="H488" s="5">
        <v>0.31</v>
      </c>
      <c r="I488" s="6">
        <v>7.5776240000000001</v>
      </c>
    </row>
    <row r="489" spans="1:9" x14ac:dyDescent="0.25">
      <c r="A489" s="1" t="s">
        <v>76</v>
      </c>
      <c r="B489" s="5">
        <v>0.61</v>
      </c>
      <c r="C489" s="5">
        <v>0.6</v>
      </c>
      <c r="D489" s="5">
        <v>0.57999999999999996</v>
      </c>
      <c r="E489" s="5">
        <v>0.56000000000000005</v>
      </c>
      <c r="F489" s="5">
        <v>0.55000000000000004</v>
      </c>
      <c r="G489" s="5">
        <v>0.53</v>
      </c>
      <c r="H489" s="5">
        <v>0.52</v>
      </c>
      <c r="I489" s="6">
        <v>-2.6254230000000001</v>
      </c>
    </row>
    <row r="490" spans="1:9" ht="45" x14ac:dyDescent="0.25">
      <c r="A490" s="1" t="s">
        <v>77</v>
      </c>
      <c r="B490" s="5">
        <v>0</v>
      </c>
      <c r="C490" s="5">
        <v>0</v>
      </c>
      <c r="D490" s="5">
        <v>0</v>
      </c>
      <c r="E490" s="5">
        <v>0</v>
      </c>
      <c r="F490" s="5">
        <v>0</v>
      </c>
      <c r="G490" s="5">
        <v>0</v>
      </c>
      <c r="H490" s="5">
        <v>0</v>
      </c>
      <c r="I490" s="7" t="s">
        <v>58</v>
      </c>
    </row>
    <row r="491" spans="1:9" ht="45" x14ac:dyDescent="0.25">
      <c r="A491" s="1" t="s">
        <v>78</v>
      </c>
      <c r="B491" s="5">
        <v>0</v>
      </c>
      <c r="C491" s="5">
        <v>0</v>
      </c>
      <c r="D491" s="5">
        <v>0</v>
      </c>
      <c r="E491" s="5">
        <v>0</v>
      </c>
      <c r="F491" s="5">
        <v>0</v>
      </c>
      <c r="G491" s="5">
        <v>0</v>
      </c>
      <c r="H491" s="5">
        <v>0</v>
      </c>
      <c r="I491" s="7" t="s">
        <v>58</v>
      </c>
    </row>
    <row r="492" spans="1:9" ht="60" x14ac:dyDescent="0.25">
      <c r="A492" s="1" t="s">
        <v>79</v>
      </c>
      <c r="B492" s="7" t="s">
        <v>58</v>
      </c>
      <c r="C492" s="7" t="s">
        <v>58</v>
      </c>
      <c r="D492" s="7" t="s">
        <v>58</v>
      </c>
      <c r="E492" s="7" t="s">
        <v>58</v>
      </c>
      <c r="F492" s="7" t="s">
        <v>58</v>
      </c>
      <c r="G492" s="7" t="s">
        <v>58</v>
      </c>
      <c r="H492" s="7" t="s">
        <v>58</v>
      </c>
      <c r="I492" s="7" t="s">
        <v>58</v>
      </c>
    </row>
    <row r="493" spans="1:9" ht="45" x14ac:dyDescent="0.25">
      <c r="A493" s="1" t="s">
        <v>80</v>
      </c>
      <c r="B493" s="7" t="s">
        <v>58</v>
      </c>
      <c r="C493" s="7" t="s">
        <v>58</v>
      </c>
      <c r="D493" s="7" t="s">
        <v>58</v>
      </c>
      <c r="E493" s="7" t="s">
        <v>58</v>
      </c>
      <c r="F493" s="7" t="s">
        <v>58</v>
      </c>
      <c r="G493" s="7" t="s">
        <v>58</v>
      </c>
      <c r="H493" s="7" t="s">
        <v>58</v>
      </c>
      <c r="I493" s="7" t="s">
        <v>58</v>
      </c>
    </row>
    <row r="494" spans="1:9" ht="45" x14ac:dyDescent="0.25">
      <c r="A494" s="1" t="s">
        <v>81</v>
      </c>
      <c r="B494" s="5">
        <v>0</v>
      </c>
      <c r="C494" s="5">
        <v>0</v>
      </c>
      <c r="D494" s="5">
        <v>0</v>
      </c>
      <c r="E494" s="5">
        <v>0</v>
      </c>
      <c r="F494" s="5">
        <v>0</v>
      </c>
      <c r="G494" s="5">
        <v>0</v>
      </c>
      <c r="H494" s="5">
        <v>0</v>
      </c>
      <c r="I494" s="7" t="s">
        <v>58</v>
      </c>
    </row>
    <row r="495" spans="1:9" x14ac:dyDescent="0.25">
      <c r="A495" s="1" t="s">
        <v>82</v>
      </c>
      <c r="B495" s="5">
        <v>0</v>
      </c>
      <c r="C495" s="5">
        <v>0</v>
      </c>
      <c r="D495" s="5">
        <v>0</v>
      </c>
      <c r="E495" s="5">
        <v>0</v>
      </c>
      <c r="F495" s="5">
        <v>0</v>
      </c>
      <c r="G495" s="5">
        <v>0</v>
      </c>
      <c r="H495" s="5">
        <v>0</v>
      </c>
      <c r="I495" s="7" t="s">
        <v>58</v>
      </c>
    </row>
    <row r="496" spans="1:9" x14ac:dyDescent="0.25">
      <c r="A496" s="1" t="s">
        <v>83</v>
      </c>
      <c r="B496" s="5">
        <v>0</v>
      </c>
      <c r="C496" s="5">
        <v>0</v>
      </c>
      <c r="D496" s="5">
        <v>0</v>
      </c>
      <c r="E496" s="5">
        <v>0</v>
      </c>
      <c r="F496" s="5">
        <v>0</v>
      </c>
      <c r="G496" s="5">
        <v>0</v>
      </c>
      <c r="H496" s="5">
        <v>0</v>
      </c>
      <c r="I496" s="7" t="s">
        <v>58</v>
      </c>
    </row>
    <row r="497" spans="1:9" x14ac:dyDescent="0.25">
      <c r="A497" s="1" t="s">
        <v>84</v>
      </c>
      <c r="B497" s="5">
        <v>0</v>
      </c>
      <c r="C497" s="5">
        <v>0</v>
      </c>
      <c r="D497" s="5">
        <v>0</v>
      </c>
      <c r="E497" s="5">
        <v>0</v>
      </c>
      <c r="F497" s="5">
        <v>0</v>
      </c>
      <c r="G497" s="5">
        <v>0</v>
      </c>
      <c r="H497" s="5">
        <v>0</v>
      </c>
      <c r="I497" s="7" t="s">
        <v>58</v>
      </c>
    </row>
    <row r="498" spans="1:9" x14ac:dyDescent="0.25">
      <c r="A498" s="1" t="s">
        <v>85</v>
      </c>
      <c r="B498" s="5">
        <v>0</v>
      </c>
      <c r="C498" s="5">
        <v>0</v>
      </c>
      <c r="D498" s="5">
        <v>0</v>
      </c>
      <c r="E498" s="5">
        <v>0</v>
      </c>
      <c r="F498" s="5">
        <v>0</v>
      </c>
      <c r="G498" s="5">
        <v>0</v>
      </c>
      <c r="H498" s="5">
        <v>0</v>
      </c>
      <c r="I498" s="7" t="s">
        <v>58</v>
      </c>
    </row>
    <row r="499" spans="1:9" x14ac:dyDescent="0.25">
      <c r="A499" s="1" t="s">
        <v>86</v>
      </c>
      <c r="B499" s="5">
        <v>0.28000000000000003</v>
      </c>
      <c r="C499" s="5">
        <v>0.32</v>
      </c>
      <c r="D499" s="5">
        <v>0.37</v>
      </c>
      <c r="E499" s="5">
        <v>0.43</v>
      </c>
      <c r="F499" s="5">
        <v>0.49</v>
      </c>
      <c r="G499" s="5">
        <v>0.56000000000000005</v>
      </c>
      <c r="H499" s="5">
        <v>0.63</v>
      </c>
      <c r="I499" s="6">
        <v>14.471424000000001</v>
      </c>
    </row>
    <row r="500" spans="1:9" x14ac:dyDescent="0.25">
      <c r="A500" s="1" t="s">
        <v>87</v>
      </c>
      <c r="B500" s="5">
        <v>0.22</v>
      </c>
      <c r="C500" s="5">
        <v>0.23</v>
      </c>
      <c r="D500" s="5">
        <v>0.24</v>
      </c>
      <c r="E500" s="5">
        <v>0.25</v>
      </c>
      <c r="F500" s="5">
        <v>0.25</v>
      </c>
      <c r="G500" s="5">
        <v>0.26</v>
      </c>
      <c r="H500" s="5">
        <v>0.26</v>
      </c>
      <c r="I500" s="6">
        <v>2.8233570000000001</v>
      </c>
    </row>
    <row r="501" spans="1:9" x14ac:dyDescent="0.25">
      <c r="A501" s="1" t="s">
        <v>88</v>
      </c>
      <c r="B501" s="5">
        <v>0</v>
      </c>
      <c r="C501" s="5">
        <v>0</v>
      </c>
      <c r="D501" s="5">
        <v>0</v>
      </c>
      <c r="E501" s="5">
        <v>0</v>
      </c>
      <c r="F501" s="5">
        <v>0</v>
      </c>
      <c r="G501" s="5">
        <v>0</v>
      </c>
      <c r="H501" s="5">
        <v>0</v>
      </c>
      <c r="I501" s="7" t="s">
        <v>58</v>
      </c>
    </row>
    <row r="502" spans="1:9" x14ac:dyDescent="0.25">
      <c r="A502" s="1" t="s">
        <v>89</v>
      </c>
      <c r="B502" s="5">
        <v>0.09</v>
      </c>
      <c r="C502" s="5">
        <v>0.09</v>
      </c>
      <c r="D502" s="5">
        <v>0.09</v>
      </c>
      <c r="E502" s="5">
        <v>0.09</v>
      </c>
      <c r="F502" s="5">
        <v>0.09</v>
      </c>
      <c r="G502" s="5">
        <v>0.09</v>
      </c>
      <c r="H502" s="5">
        <v>0.09</v>
      </c>
      <c r="I502" s="6">
        <v>0</v>
      </c>
    </row>
    <row r="503" spans="1:9" x14ac:dyDescent="0.25">
      <c r="A503" s="1" t="s">
        <v>90</v>
      </c>
      <c r="B503" s="5">
        <v>0.01</v>
      </c>
      <c r="C503" s="5">
        <v>0.01</v>
      </c>
      <c r="D503" s="5">
        <v>0.01</v>
      </c>
      <c r="E503" s="5">
        <v>0.01</v>
      </c>
      <c r="F503" s="5">
        <v>0.01</v>
      </c>
      <c r="G503" s="5">
        <v>0.01</v>
      </c>
      <c r="H503" s="5">
        <v>0.01</v>
      </c>
      <c r="I503" s="6">
        <v>0</v>
      </c>
    </row>
    <row r="504" spans="1:9" x14ac:dyDescent="0.25">
      <c r="A504" s="1" t="s">
        <v>91</v>
      </c>
      <c r="B504" s="5">
        <v>5.99</v>
      </c>
      <c r="C504" s="5">
        <v>5.87</v>
      </c>
      <c r="D504" s="5">
        <v>5.76</v>
      </c>
      <c r="E504" s="5">
        <v>5.68</v>
      </c>
      <c r="F504" s="5">
        <v>5.59</v>
      </c>
      <c r="G504" s="5">
        <v>5.54</v>
      </c>
      <c r="H504" s="5">
        <v>5.48</v>
      </c>
      <c r="I504" s="6">
        <v>-1.4721610000000001</v>
      </c>
    </row>
    <row r="505" spans="1:9" x14ac:dyDescent="0.25">
      <c r="A505" s="1" t="s">
        <v>92</v>
      </c>
      <c r="B505" s="5">
        <v>0</v>
      </c>
      <c r="C505" s="5">
        <v>0</v>
      </c>
      <c r="D505" s="5">
        <v>0</v>
      </c>
      <c r="E505" s="5">
        <v>0</v>
      </c>
      <c r="F505" s="5">
        <v>0</v>
      </c>
      <c r="G505" s="5">
        <v>0</v>
      </c>
      <c r="H505" s="5">
        <v>0</v>
      </c>
      <c r="I505" s="7" t="s">
        <v>58</v>
      </c>
    </row>
    <row r="506" spans="1:9" x14ac:dyDescent="0.25">
      <c r="A506" s="1" t="s">
        <v>93</v>
      </c>
      <c r="B506" s="5">
        <v>1.46</v>
      </c>
      <c r="C506" s="5">
        <v>1.57</v>
      </c>
      <c r="D506" s="5">
        <v>1.59</v>
      </c>
      <c r="E506" s="5">
        <v>1.61</v>
      </c>
      <c r="F506" s="5">
        <v>1.62</v>
      </c>
      <c r="G506" s="5">
        <v>1.62</v>
      </c>
      <c r="H506" s="5">
        <v>1.63</v>
      </c>
      <c r="I506" s="6">
        <v>1.852679</v>
      </c>
    </row>
    <row r="507" spans="1:9" x14ac:dyDescent="0.25">
      <c r="A507" s="1" t="s">
        <v>94</v>
      </c>
      <c r="B507" s="5">
        <v>0</v>
      </c>
      <c r="C507" s="5">
        <v>0</v>
      </c>
      <c r="D507" s="5">
        <v>0</v>
      </c>
      <c r="E507" s="5">
        <v>0</v>
      </c>
      <c r="F507" s="5">
        <v>0</v>
      </c>
      <c r="G507" s="5">
        <v>0</v>
      </c>
      <c r="H507" s="5">
        <v>0</v>
      </c>
      <c r="I507" s="7" t="s">
        <v>58</v>
      </c>
    </row>
    <row r="508" spans="1:9" x14ac:dyDescent="0.25">
      <c r="A508" s="1" t="s">
        <v>95</v>
      </c>
      <c r="B508" s="5">
        <v>0</v>
      </c>
      <c r="C508" s="5">
        <v>0</v>
      </c>
      <c r="D508" s="5">
        <v>0</v>
      </c>
      <c r="E508" s="5">
        <v>0</v>
      </c>
      <c r="F508" s="5">
        <v>0</v>
      </c>
      <c r="G508" s="5">
        <v>0</v>
      </c>
      <c r="H508" s="5">
        <v>0</v>
      </c>
      <c r="I508" s="7" t="s">
        <v>58</v>
      </c>
    </row>
    <row r="509" spans="1:9" x14ac:dyDescent="0.25">
      <c r="A509" s="1" t="s">
        <v>96</v>
      </c>
      <c r="B509" s="5">
        <v>0</v>
      </c>
      <c r="C509" s="5">
        <v>0</v>
      </c>
      <c r="D509" s="5">
        <v>0</v>
      </c>
      <c r="E509" s="5">
        <v>0</v>
      </c>
      <c r="F509" s="5">
        <v>0</v>
      </c>
      <c r="G509" s="5">
        <v>0</v>
      </c>
      <c r="H509" s="5">
        <v>0</v>
      </c>
      <c r="I509" s="7" t="s">
        <v>58</v>
      </c>
    </row>
    <row r="510" spans="1:9" x14ac:dyDescent="0.25">
      <c r="A510" s="1" t="s">
        <v>97</v>
      </c>
      <c r="B510" s="5">
        <v>0.04</v>
      </c>
      <c r="C510" s="5">
        <v>0.03</v>
      </c>
      <c r="D510" s="5">
        <v>0.03</v>
      </c>
      <c r="E510" s="5">
        <v>0.03</v>
      </c>
      <c r="F510" s="5">
        <v>0.03</v>
      </c>
      <c r="G510" s="5">
        <v>0.03</v>
      </c>
      <c r="H510" s="5">
        <v>0.03</v>
      </c>
      <c r="I510" s="6">
        <v>-4.6815709999999999</v>
      </c>
    </row>
    <row r="511" spans="1:9" x14ac:dyDescent="0.25">
      <c r="A511" s="1" t="s">
        <v>98</v>
      </c>
      <c r="B511" s="5">
        <v>0</v>
      </c>
      <c r="C511" s="5">
        <v>0</v>
      </c>
      <c r="D511" s="5">
        <v>0</v>
      </c>
      <c r="E511" s="5">
        <v>0</v>
      </c>
      <c r="F511" s="5">
        <v>0</v>
      </c>
      <c r="G511" s="5">
        <v>0</v>
      </c>
      <c r="H511" s="5">
        <v>0</v>
      </c>
      <c r="I511" s="7" t="s">
        <v>58</v>
      </c>
    </row>
    <row r="512" spans="1:9" x14ac:dyDescent="0.25">
      <c r="A512" s="1" t="s">
        <v>99</v>
      </c>
      <c r="B512" s="5">
        <v>0.1</v>
      </c>
      <c r="C512" s="5">
        <v>0.1</v>
      </c>
      <c r="D512" s="5">
        <v>0.11</v>
      </c>
      <c r="E512" s="5">
        <v>0.12</v>
      </c>
      <c r="F512" s="5">
        <v>0.14000000000000001</v>
      </c>
      <c r="G512" s="5">
        <v>0.15</v>
      </c>
      <c r="H512" s="5">
        <v>0.16</v>
      </c>
      <c r="I512" s="6">
        <v>8.1483749999999997</v>
      </c>
    </row>
    <row r="513" spans="1:9" x14ac:dyDescent="0.25">
      <c r="A513" s="1" t="s">
        <v>100</v>
      </c>
      <c r="B513" s="5">
        <v>0</v>
      </c>
      <c r="C513" s="5">
        <v>0</v>
      </c>
      <c r="D513" s="5">
        <v>0</v>
      </c>
      <c r="E513" s="5">
        <v>0</v>
      </c>
      <c r="F513" s="5">
        <v>0</v>
      </c>
      <c r="G513" s="5">
        <v>0</v>
      </c>
      <c r="H513" s="5">
        <v>0</v>
      </c>
      <c r="I513" s="7" t="s">
        <v>58</v>
      </c>
    </row>
    <row r="514" spans="1:9" x14ac:dyDescent="0.25">
      <c r="A514" s="1" t="s">
        <v>101</v>
      </c>
      <c r="B514" s="5">
        <v>0</v>
      </c>
      <c r="C514" s="5">
        <v>0</v>
      </c>
      <c r="D514" s="5">
        <v>0</v>
      </c>
      <c r="E514" s="5">
        <v>0</v>
      </c>
      <c r="F514" s="5">
        <v>0</v>
      </c>
      <c r="G514" s="5">
        <v>0</v>
      </c>
      <c r="H514" s="5">
        <v>0</v>
      </c>
      <c r="I514" s="7" t="s">
        <v>58</v>
      </c>
    </row>
    <row r="515" spans="1:9" x14ac:dyDescent="0.25">
      <c r="A515" s="1" t="s">
        <v>102</v>
      </c>
      <c r="B515" s="5">
        <v>0.01</v>
      </c>
      <c r="C515" s="5">
        <v>0.01</v>
      </c>
      <c r="D515" s="5">
        <v>0.01</v>
      </c>
      <c r="E515" s="5">
        <v>0.01</v>
      </c>
      <c r="F515" s="5">
        <v>0.01</v>
      </c>
      <c r="G515" s="5">
        <v>0.01</v>
      </c>
      <c r="H515" s="5">
        <v>0.01</v>
      </c>
      <c r="I515" s="6">
        <v>0</v>
      </c>
    </row>
    <row r="516" spans="1:9" x14ac:dyDescent="0.25">
      <c r="A516" s="1" t="s">
        <v>103</v>
      </c>
      <c r="B516" s="7" t="s">
        <v>58</v>
      </c>
      <c r="C516" s="7" t="s">
        <v>58</v>
      </c>
      <c r="D516" s="7" t="s">
        <v>58</v>
      </c>
      <c r="E516" s="7" t="s">
        <v>58</v>
      </c>
      <c r="F516" s="7" t="s">
        <v>58</v>
      </c>
      <c r="G516" s="7" t="s">
        <v>58</v>
      </c>
      <c r="H516" s="7" t="s">
        <v>58</v>
      </c>
      <c r="I516" s="7" t="s">
        <v>58</v>
      </c>
    </row>
    <row r="517" spans="1:9" x14ac:dyDescent="0.25">
      <c r="A517" s="1" t="s">
        <v>104</v>
      </c>
      <c r="B517" s="5">
        <v>0.4</v>
      </c>
      <c r="C517" s="5">
        <v>0.4</v>
      </c>
      <c r="D517" s="5">
        <v>0.39</v>
      </c>
      <c r="E517" s="5">
        <v>0.39</v>
      </c>
      <c r="F517" s="5">
        <v>0.42</v>
      </c>
      <c r="G517" s="5">
        <v>0.45</v>
      </c>
      <c r="H517" s="5">
        <v>0.49</v>
      </c>
      <c r="I517" s="6">
        <v>3.4401989999999998</v>
      </c>
    </row>
    <row r="518" spans="1:9" x14ac:dyDescent="0.25">
      <c r="A518" s="1" t="s">
        <v>105</v>
      </c>
      <c r="B518" s="5">
        <v>0</v>
      </c>
      <c r="C518" s="5">
        <v>0</v>
      </c>
      <c r="D518" s="5">
        <v>0</v>
      </c>
      <c r="E518" s="5">
        <v>0</v>
      </c>
      <c r="F518" s="5">
        <v>0</v>
      </c>
      <c r="G518" s="5">
        <v>0</v>
      </c>
      <c r="H518" s="5">
        <v>0</v>
      </c>
      <c r="I518" s="7" t="s">
        <v>58</v>
      </c>
    </row>
    <row r="519" spans="1:9" x14ac:dyDescent="0.25">
      <c r="A519" s="1" t="s">
        <v>106</v>
      </c>
      <c r="B519" s="5">
        <v>0.02</v>
      </c>
      <c r="C519" s="5">
        <v>0.02</v>
      </c>
      <c r="D519" s="5">
        <v>0.02</v>
      </c>
      <c r="E519" s="5">
        <v>0.01</v>
      </c>
      <c r="F519" s="5">
        <v>0.01</v>
      </c>
      <c r="G519" s="5">
        <v>0.01</v>
      </c>
      <c r="H519" s="5">
        <v>0.01</v>
      </c>
      <c r="I519" s="6">
        <v>-10.910128</v>
      </c>
    </row>
    <row r="520" spans="1:9" ht="30" x14ac:dyDescent="0.25">
      <c r="A520" s="1" t="s">
        <v>107</v>
      </c>
      <c r="B520" s="5">
        <v>0</v>
      </c>
      <c r="C520" s="5">
        <v>0</v>
      </c>
      <c r="D520" s="5">
        <v>0</v>
      </c>
      <c r="E520" s="5">
        <v>0</v>
      </c>
      <c r="F520" s="5">
        <v>0</v>
      </c>
      <c r="G520" s="5">
        <v>0</v>
      </c>
      <c r="H520" s="5">
        <v>0</v>
      </c>
      <c r="I520" s="7" t="s">
        <v>58</v>
      </c>
    </row>
    <row r="521" spans="1:9" x14ac:dyDescent="0.25">
      <c r="A521" s="1" t="s">
        <v>108</v>
      </c>
      <c r="B521" s="5">
        <v>0</v>
      </c>
      <c r="C521" s="5">
        <v>0</v>
      </c>
      <c r="D521" s="5">
        <v>0</v>
      </c>
      <c r="E521" s="5">
        <v>0</v>
      </c>
      <c r="F521" s="5">
        <v>0</v>
      </c>
      <c r="G521" s="5">
        <v>0</v>
      </c>
      <c r="H521" s="5">
        <v>0</v>
      </c>
      <c r="I521" s="7" t="s">
        <v>58</v>
      </c>
    </row>
    <row r="522" spans="1:9" ht="30" x14ac:dyDescent="0.25">
      <c r="A522" s="1" t="s">
        <v>109</v>
      </c>
      <c r="B522" s="5">
        <v>0</v>
      </c>
      <c r="C522" s="5">
        <v>0</v>
      </c>
      <c r="D522" s="5">
        <v>0</v>
      </c>
      <c r="E522" s="5">
        <v>0</v>
      </c>
      <c r="F522" s="5">
        <v>0</v>
      </c>
      <c r="G522" s="5">
        <v>0</v>
      </c>
      <c r="H522" s="5">
        <v>0</v>
      </c>
      <c r="I522" s="7" t="s">
        <v>58</v>
      </c>
    </row>
    <row r="523" spans="1:9" x14ac:dyDescent="0.25">
      <c r="A523" s="1" t="s">
        <v>110</v>
      </c>
      <c r="B523" s="5">
        <v>0.03</v>
      </c>
      <c r="C523" s="5">
        <v>0.04</v>
      </c>
      <c r="D523" s="5">
        <v>0.04</v>
      </c>
      <c r="E523" s="5">
        <v>0.04</v>
      </c>
      <c r="F523" s="5">
        <v>0.04</v>
      </c>
      <c r="G523" s="5">
        <v>0.04</v>
      </c>
      <c r="H523" s="5">
        <v>0.04</v>
      </c>
      <c r="I523" s="6">
        <v>4.9115060000000001</v>
      </c>
    </row>
    <row r="524" spans="1:9" x14ac:dyDescent="0.25">
      <c r="A524" s="1" t="s">
        <v>111</v>
      </c>
      <c r="B524" s="5">
        <v>0</v>
      </c>
      <c r="C524" s="5">
        <v>0</v>
      </c>
      <c r="D524" s="5">
        <v>0</v>
      </c>
      <c r="E524" s="5">
        <v>0</v>
      </c>
      <c r="F524" s="5">
        <v>0</v>
      </c>
      <c r="G524" s="5">
        <v>0</v>
      </c>
      <c r="H524" s="5">
        <v>0</v>
      </c>
      <c r="I524" s="7" t="s">
        <v>58</v>
      </c>
    </row>
    <row r="525" spans="1:9" x14ac:dyDescent="0.25">
      <c r="A525" s="1" t="s">
        <v>112</v>
      </c>
      <c r="B525" s="5">
        <v>1.59</v>
      </c>
      <c r="C525" s="5">
        <v>2.19</v>
      </c>
      <c r="D525" s="5">
        <v>2.96</v>
      </c>
      <c r="E525" s="5">
        <v>3.48</v>
      </c>
      <c r="F525" s="5">
        <v>4.01</v>
      </c>
      <c r="G525" s="5">
        <v>4.6399999999999997</v>
      </c>
      <c r="H525" s="5">
        <v>5.18</v>
      </c>
      <c r="I525" s="6">
        <v>21.755552000000002</v>
      </c>
    </row>
    <row r="526" spans="1:9" x14ac:dyDescent="0.25">
      <c r="A526" s="1" t="s">
        <v>113</v>
      </c>
      <c r="B526" s="5">
        <v>0.05</v>
      </c>
      <c r="C526" s="5">
        <v>0.05</v>
      </c>
      <c r="D526" s="5">
        <v>0.05</v>
      </c>
      <c r="E526" s="5">
        <v>0.05</v>
      </c>
      <c r="F526" s="5">
        <v>0.05</v>
      </c>
      <c r="G526" s="5">
        <v>0.05</v>
      </c>
      <c r="H526" s="5">
        <v>0.05</v>
      </c>
      <c r="I526" s="6">
        <v>0</v>
      </c>
    </row>
    <row r="527" spans="1:9" x14ac:dyDescent="0.25">
      <c r="A527" s="1" t="s">
        <v>114</v>
      </c>
      <c r="B527" s="5">
        <v>0</v>
      </c>
      <c r="C527" s="5">
        <v>0</v>
      </c>
      <c r="D527" s="5">
        <v>0</v>
      </c>
      <c r="E527" s="5">
        <v>0</v>
      </c>
      <c r="F527" s="5">
        <v>0</v>
      </c>
      <c r="G527" s="5">
        <v>0</v>
      </c>
      <c r="H527" s="5">
        <v>0</v>
      </c>
      <c r="I527" s="7" t="s">
        <v>58</v>
      </c>
    </row>
    <row r="528" spans="1:9" ht="30" x14ac:dyDescent="0.25">
      <c r="A528" s="1" t="s">
        <v>115</v>
      </c>
      <c r="B528" s="5">
        <v>7.0000000000000007E-2</v>
      </c>
      <c r="C528" s="5">
        <v>0.12</v>
      </c>
      <c r="D528" s="5">
        <v>0.12</v>
      </c>
      <c r="E528" s="5">
        <v>0.12</v>
      </c>
      <c r="F528" s="5">
        <v>0.11</v>
      </c>
      <c r="G528" s="5">
        <v>0.11</v>
      </c>
      <c r="H528" s="5">
        <v>0.11</v>
      </c>
      <c r="I528" s="6">
        <v>7.8240829999999999</v>
      </c>
    </row>
    <row r="529" spans="1:9" x14ac:dyDescent="0.25">
      <c r="A529" s="1" t="s">
        <v>116</v>
      </c>
      <c r="B529" s="5">
        <v>0.17</v>
      </c>
      <c r="C529" s="5">
        <v>0.18</v>
      </c>
      <c r="D529" s="5">
        <v>0.18</v>
      </c>
      <c r="E529" s="5">
        <v>0.18</v>
      </c>
      <c r="F529" s="5">
        <v>0.18</v>
      </c>
      <c r="G529" s="5">
        <v>0.17</v>
      </c>
      <c r="H529" s="5">
        <v>0.19</v>
      </c>
      <c r="I529" s="6">
        <v>1.871049</v>
      </c>
    </row>
    <row r="530" spans="1:9" x14ac:dyDescent="0.25">
      <c r="A530" s="1" t="s">
        <v>12</v>
      </c>
      <c r="B530" s="2"/>
      <c r="C530" s="2"/>
      <c r="D530" s="2"/>
      <c r="E530" s="2"/>
      <c r="F530" s="2"/>
      <c r="G530" s="2"/>
      <c r="H530" s="2"/>
      <c r="I530" s="2"/>
    </row>
    <row r="531" spans="1:9" ht="75" x14ac:dyDescent="0.25">
      <c r="A531" s="1" t="s">
        <v>121</v>
      </c>
      <c r="B531" s="2"/>
      <c r="C531" s="2"/>
      <c r="D531" s="2"/>
      <c r="E531" s="2"/>
      <c r="F531" s="2"/>
      <c r="G531" s="2"/>
      <c r="H531" s="2"/>
      <c r="I531" s="2"/>
    </row>
    <row r="532" spans="1:9" x14ac:dyDescent="0.25">
      <c r="A532" s="1" t="s">
        <v>14</v>
      </c>
      <c r="B532" s="5">
        <v>3.73</v>
      </c>
      <c r="C532" s="5">
        <v>4.01</v>
      </c>
      <c r="D532" s="5">
        <v>3.96</v>
      </c>
      <c r="E532" s="5">
        <v>3.92</v>
      </c>
      <c r="F532" s="5">
        <v>3.87</v>
      </c>
      <c r="G532" s="5">
        <v>3.83</v>
      </c>
      <c r="H532" s="5">
        <v>3.79</v>
      </c>
      <c r="I532" s="6">
        <v>0.26631700000000003</v>
      </c>
    </row>
    <row r="533" spans="1:9" ht="30" x14ac:dyDescent="0.25">
      <c r="A533" s="1" t="s">
        <v>15</v>
      </c>
      <c r="B533" s="5">
        <v>1.1599999999999999</v>
      </c>
      <c r="C533" s="5">
        <v>1.91</v>
      </c>
      <c r="D533" s="5">
        <v>2.0699999999999998</v>
      </c>
      <c r="E533" s="5">
        <v>2.16</v>
      </c>
      <c r="F533" s="5">
        <v>2.35</v>
      </c>
      <c r="G533" s="5">
        <v>2.5</v>
      </c>
      <c r="H533" s="5">
        <v>2.64</v>
      </c>
      <c r="I533" s="6">
        <v>14.689674999999999</v>
      </c>
    </row>
    <row r="534" spans="1:9" x14ac:dyDescent="0.25">
      <c r="A534" s="1" t="s">
        <v>16</v>
      </c>
      <c r="B534" s="5">
        <v>6.3</v>
      </c>
      <c r="C534" s="5">
        <v>7.53</v>
      </c>
      <c r="D534" s="5">
        <v>7.77</v>
      </c>
      <c r="E534" s="5">
        <v>8.02</v>
      </c>
      <c r="F534" s="5">
        <v>8.24</v>
      </c>
      <c r="G534" s="5">
        <v>8.4600000000000009</v>
      </c>
      <c r="H534" s="5">
        <v>8.65</v>
      </c>
      <c r="I534" s="6">
        <v>5.4255620000000002</v>
      </c>
    </row>
    <row r="535" spans="1:9" x14ac:dyDescent="0.25">
      <c r="A535" s="1" t="s">
        <v>17</v>
      </c>
      <c r="B535" s="5">
        <v>0.41</v>
      </c>
      <c r="C535" s="5">
        <v>0.41</v>
      </c>
      <c r="D535" s="5">
        <v>0.41</v>
      </c>
      <c r="E535" s="5">
        <v>0.41</v>
      </c>
      <c r="F535" s="5">
        <v>0.41</v>
      </c>
      <c r="G535" s="5">
        <v>0.41</v>
      </c>
      <c r="H535" s="5">
        <v>0.41</v>
      </c>
      <c r="I535" s="6">
        <v>0</v>
      </c>
    </row>
    <row r="536" spans="1:9" x14ac:dyDescent="0.25">
      <c r="A536" s="1" t="s">
        <v>18</v>
      </c>
      <c r="B536" s="5">
        <v>4.2</v>
      </c>
      <c r="C536" s="5">
        <v>4.01</v>
      </c>
      <c r="D536" s="5">
        <v>3.84</v>
      </c>
      <c r="E536" s="5">
        <v>3.68</v>
      </c>
      <c r="F536" s="5">
        <v>3.53</v>
      </c>
      <c r="G536" s="5">
        <v>3.5</v>
      </c>
      <c r="H536" s="5">
        <v>3.46</v>
      </c>
      <c r="I536" s="6">
        <v>-3.1786500000000002</v>
      </c>
    </row>
    <row r="537" spans="1:9" x14ac:dyDescent="0.25">
      <c r="A537" s="1" t="s">
        <v>19</v>
      </c>
      <c r="B537" s="5">
        <v>3.66</v>
      </c>
      <c r="C537" s="5">
        <v>3.47</v>
      </c>
      <c r="D537" s="5">
        <v>3.28</v>
      </c>
      <c r="E537" s="5">
        <v>3.11</v>
      </c>
      <c r="F537" s="5">
        <v>2.95</v>
      </c>
      <c r="G537" s="5">
        <v>2.79</v>
      </c>
      <c r="H537" s="5">
        <v>2.64</v>
      </c>
      <c r="I537" s="6">
        <v>-5.2991650000000003</v>
      </c>
    </row>
    <row r="538" spans="1:9" x14ac:dyDescent="0.25">
      <c r="A538" s="1" t="s">
        <v>20</v>
      </c>
      <c r="B538" s="5">
        <v>0.16</v>
      </c>
      <c r="C538" s="5">
        <v>0.15</v>
      </c>
      <c r="D538" s="5">
        <v>0.14000000000000001</v>
      </c>
      <c r="E538" s="5">
        <v>0.14000000000000001</v>
      </c>
      <c r="F538" s="5">
        <v>0.13</v>
      </c>
      <c r="G538" s="5">
        <v>0.12</v>
      </c>
      <c r="H538" s="5">
        <v>0.11</v>
      </c>
      <c r="I538" s="6">
        <v>-6.0538939999999997</v>
      </c>
    </row>
    <row r="539" spans="1:9" x14ac:dyDescent="0.25">
      <c r="A539" s="1" t="s">
        <v>21</v>
      </c>
      <c r="B539" s="5">
        <v>0.27</v>
      </c>
      <c r="C539" s="5">
        <v>0.27</v>
      </c>
      <c r="D539" s="5">
        <v>0.27</v>
      </c>
      <c r="E539" s="5">
        <v>0.27</v>
      </c>
      <c r="F539" s="5">
        <v>0.28000000000000003</v>
      </c>
      <c r="G539" s="5">
        <v>0.28000000000000003</v>
      </c>
      <c r="H539" s="5">
        <v>0.28000000000000003</v>
      </c>
      <c r="I539" s="6">
        <v>0.60796799999999995</v>
      </c>
    </row>
    <row r="540" spans="1:9" x14ac:dyDescent="0.25">
      <c r="A540" s="1" t="s">
        <v>22</v>
      </c>
      <c r="B540" s="5">
        <v>4.22</v>
      </c>
      <c r="C540" s="5">
        <v>4.3600000000000003</v>
      </c>
      <c r="D540" s="5">
        <v>4.45</v>
      </c>
      <c r="E540" s="5">
        <v>4.51</v>
      </c>
      <c r="F540" s="5">
        <v>4.53</v>
      </c>
      <c r="G540" s="5">
        <v>4.54</v>
      </c>
      <c r="H540" s="5">
        <v>4.54</v>
      </c>
      <c r="I540" s="6">
        <v>1.2256480000000001</v>
      </c>
    </row>
    <row r="541" spans="1:9" x14ac:dyDescent="0.25">
      <c r="A541" s="1" t="s">
        <v>23</v>
      </c>
      <c r="B541" s="5">
        <v>1.52</v>
      </c>
      <c r="C541" s="5">
        <v>1.37</v>
      </c>
      <c r="D541" s="5">
        <v>1.27</v>
      </c>
      <c r="E541" s="5">
        <v>1.19</v>
      </c>
      <c r="F541" s="5">
        <v>1.1200000000000001</v>
      </c>
      <c r="G541" s="5">
        <v>1.07</v>
      </c>
      <c r="H541" s="5">
        <v>1.02</v>
      </c>
      <c r="I541" s="6">
        <v>-6.4322689999999998</v>
      </c>
    </row>
    <row r="542" spans="1:9" x14ac:dyDescent="0.25">
      <c r="A542" s="1" t="s">
        <v>24</v>
      </c>
      <c r="B542" s="5">
        <v>0.04</v>
      </c>
      <c r="C542" s="5">
        <v>0.04</v>
      </c>
      <c r="D542" s="5">
        <v>0.04</v>
      </c>
      <c r="E542" s="5">
        <v>0.03</v>
      </c>
      <c r="F542" s="5">
        <v>0.03</v>
      </c>
      <c r="G542" s="5">
        <v>0.03</v>
      </c>
      <c r="H542" s="5">
        <v>0.03</v>
      </c>
      <c r="I542" s="6">
        <v>-4.6815709999999999</v>
      </c>
    </row>
    <row r="543" spans="1:9" x14ac:dyDescent="0.25">
      <c r="A543" s="1" t="s">
        <v>25</v>
      </c>
      <c r="B543" s="5">
        <v>4.7</v>
      </c>
      <c r="C543" s="5">
        <v>4.75</v>
      </c>
      <c r="D543" s="5">
        <v>4.79</v>
      </c>
      <c r="E543" s="5">
        <v>4.8499999999999996</v>
      </c>
      <c r="F543" s="5">
        <v>4.9000000000000004</v>
      </c>
      <c r="G543" s="5">
        <v>4.96</v>
      </c>
      <c r="H543" s="5">
        <v>5.0199999999999996</v>
      </c>
      <c r="I543" s="6">
        <v>1.1038380000000001</v>
      </c>
    </row>
    <row r="544" spans="1:9" x14ac:dyDescent="0.25">
      <c r="A544" s="1" t="s">
        <v>26</v>
      </c>
      <c r="B544" s="5">
        <v>4.9800000000000004</v>
      </c>
      <c r="C544" s="5">
        <v>4.97</v>
      </c>
      <c r="D544" s="5">
        <v>4.96</v>
      </c>
      <c r="E544" s="5">
        <v>4.95</v>
      </c>
      <c r="F544" s="5">
        <v>4.9400000000000004</v>
      </c>
      <c r="G544" s="5">
        <v>4.93</v>
      </c>
      <c r="H544" s="5">
        <v>4.92</v>
      </c>
      <c r="I544" s="6">
        <v>-0.201819</v>
      </c>
    </row>
    <row r="545" spans="1:9" x14ac:dyDescent="0.25">
      <c r="A545" s="1" t="s">
        <v>27</v>
      </c>
      <c r="B545" s="5">
        <v>0.85</v>
      </c>
      <c r="C545" s="5">
        <v>0.63</v>
      </c>
      <c r="D545" s="5">
        <v>0.49</v>
      </c>
      <c r="E545" s="5">
        <v>0.33</v>
      </c>
      <c r="F545" s="5">
        <v>0.28000000000000003</v>
      </c>
      <c r="G545" s="5">
        <v>0.24</v>
      </c>
      <c r="H545" s="5">
        <v>0.2</v>
      </c>
      <c r="I545" s="6">
        <v>-21.427873000000002</v>
      </c>
    </row>
    <row r="546" spans="1:9" x14ac:dyDescent="0.25">
      <c r="A546" s="1" t="s">
        <v>28</v>
      </c>
      <c r="B546" s="5">
        <v>0</v>
      </c>
      <c r="C546" s="5">
        <v>0</v>
      </c>
      <c r="D546" s="5">
        <v>0</v>
      </c>
      <c r="E546" s="5">
        <v>0</v>
      </c>
      <c r="F546" s="5">
        <v>0</v>
      </c>
      <c r="G546" s="5">
        <v>0</v>
      </c>
      <c r="H546" s="5">
        <v>0</v>
      </c>
      <c r="I546" s="7" t="s">
        <v>58</v>
      </c>
    </row>
    <row r="547" spans="1:9" x14ac:dyDescent="0.25">
      <c r="A547" s="1" t="s">
        <v>29</v>
      </c>
      <c r="B547" s="5">
        <v>1.74</v>
      </c>
      <c r="C547" s="5">
        <v>1.7</v>
      </c>
      <c r="D547" s="5">
        <v>1.66</v>
      </c>
      <c r="E547" s="5">
        <v>1.64</v>
      </c>
      <c r="F547" s="5">
        <v>1.62</v>
      </c>
      <c r="G547" s="5">
        <v>1.6</v>
      </c>
      <c r="H547" s="5">
        <v>1.59</v>
      </c>
      <c r="I547" s="6">
        <v>-1.491287</v>
      </c>
    </row>
    <row r="548" spans="1:9" x14ac:dyDescent="0.25">
      <c r="A548" s="1" t="s">
        <v>30</v>
      </c>
      <c r="B548" s="5">
        <v>1.94</v>
      </c>
      <c r="C548" s="5">
        <v>4.82</v>
      </c>
      <c r="D548" s="5">
        <v>6.2</v>
      </c>
      <c r="E548" s="5">
        <v>6.5</v>
      </c>
      <c r="F548" s="5">
        <v>6.5</v>
      </c>
      <c r="G548" s="5">
        <v>6.44</v>
      </c>
      <c r="H548" s="5">
        <v>6.37</v>
      </c>
      <c r="I548" s="6">
        <v>21.914759</v>
      </c>
    </row>
    <row r="549" spans="1:9" x14ac:dyDescent="0.25">
      <c r="A549" s="1" t="s">
        <v>31</v>
      </c>
      <c r="B549" s="5">
        <v>3.3</v>
      </c>
      <c r="C549" s="5">
        <v>3.89</v>
      </c>
      <c r="D549" s="5">
        <v>3.36</v>
      </c>
      <c r="E549" s="5">
        <v>2.91</v>
      </c>
      <c r="F549" s="5">
        <v>2.52</v>
      </c>
      <c r="G549" s="5">
        <v>2.1800000000000002</v>
      </c>
      <c r="H549" s="5">
        <v>1.88</v>
      </c>
      <c r="I549" s="6">
        <v>-8.9512509999999992</v>
      </c>
    </row>
    <row r="550" spans="1:9" x14ac:dyDescent="0.25">
      <c r="A550" s="1" t="s">
        <v>32</v>
      </c>
      <c r="B550" s="5">
        <v>24.7</v>
      </c>
      <c r="C550" s="5">
        <v>24.09</v>
      </c>
      <c r="D550" s="5">
        <v>23.23</v>
      </c>
      <c r="E550" s="5">
        <v>22.4</v>
      </c>
      <c r="F550" s="5">
        <v>21.61</v>
      </c>
      <c r="G550" s="5">
        <v>20.84</v>
      </c>
      <c r="H550" s="5">
        <v>20.09</v>
      </c>
      <c r="I550" s="6">
        <v>-3.38442</v>
      </c>
    </row>
    <row r="551" spans="1:9" x14ac:dyDescent="0.25">
      <c r="A551" s="1" t="s">
        <v>33</v>
      </c>
      <c r="B551" s="5">
        <v>0.52</v>
      </c>
      <c r="C551" s="5">
        <v>0.5</v>
      </c>
      <c r="D551" s="5">
        <v>0.49</v>
      </c>
      <c r="E551" s="5">
        <v>0.48</v>
      </c>
      <c r="F551" s="5">
        <v>0.49</v>
      </c>
      <c r="G551" s="5">
        <v>0.49</v>
      </c>
      <c r="H551" s="5">
        <v>0.51</v>
      </c>
      <c r="I551" s="6">
        <v>-0.32311200000000001</v>
      </c>
    </row>
    <row r="552" spans="1:9" ht="30" x14ac:dyDescent="0.25">
      <c r="A552" s="1" t="s">
        <v>34</v>
      </c>
      <c r="B552" s="5">
        <v>4.82</v>
      </c>
      <c r="C552" s="5">
        <v>4.84</v>
      </c>
      <c r="D552" s="5">
        <v>4.8499999999999996</v>
      </c>
      <c r="E552" s="5">
        <v>4.87</v>
      </c>
      <c r="F552" s="5">
        <v>4.9000000000000004</v>
      </c>
      <c r="G552" s="5">
        <v>4.9400000000000004</v>
      </c>
      <c r="H552" s="5">
        <v>4.9800000000000004</v>
      </c>
      <c r="I552" s="6">
        <v>0.54574999999999996</v>
      </c>
    </row>
    <row r="553" spans="1:9" ht="30" x14ac:dyDescent="0.25">
      <c r="A553" s="1" t="s">
        <v>35</v>
      </c>
      <c r="B553" s="5">
        <v>2.09</v>
      </c>
      <c r="C553" s="5">
        <v>1.97</v>
      </c>
      <c r="D553" s="5">
        <v>1.82</v>
      </c>
      <c r="E553" s="5">
        <v>1.68</v>
      </c>
      <c r="F553" s="5">
        <v>1.57</v>
      </c>
      <c r="G553" s="5">
        <v>1.46</v>
      </c>
      <c r="H553" s="5">
        <v>1.37</v>
      </c>
      <c r="I553" s="6">
        <v>-6.7971810000000001</v>
      </c>
    </row>
    <row r="554" spans="1:9" x14ac:dyDescent="0.25">
      <c r="A554" s="1" t="s">
        <v>36</v>
      </c>
      <c r="B554" s="5">
        <v>1.24</v>
      </c>
      <c r="C554" s="5">
        <v>1.02</v>
      </c>
      <c r="D554" s="5">
        <v>0.86</v>
      </c>
      <c r="E554" s="5">
        <v>0.73</v>
      </c>
      <c r="F554" s="5">
        <v>0.63</v>
      </c>
      <c r="G554" s="5">
        <v>0.56000000000000005</v>
      </c>
      <c r="H554" s="5">
        <v>0.5</v>
      </c>
      <c r="I554" s="6">
        <v>-14.047591000000001</v>
      </c>
    </row>
    <row r="555" spans="1:9" x14ac:dyDescent="0.25">
      <c r="A555" s="1" t="s">
        <v>37</v>
      </c>
      <c r="B555" s="5">
        <v>0.03</v>
      </c>
      <c r="C555" s="5">
        <v>0.03</v>
      </c>
      <c r="D555" s="5">
        <v>0.03</v>
      </c>
      <c r="E555" s="5">
        <v>0.02</v>
      </c>
      <c r="F555" s="5">
        <v>0.02</v>
      </c>
      <c r="G555" s="5">
        <v>0.02</v>
      </c>
      <c r="H555" s="5">
        <v>0.02</v>
      </c>
      <c r="I555" s="6">
        <v>-6.5344740000000003</v>
      </c>
    </row>
    <row r="556" spans="1:9" x14ac:dyDescent="0.25">
      <c r="A556" s="1" t="s">
        <v>38</v>
      </c>
      <c r="B556" s="5">
        <v>0</v>
      </c>
      <c r="C556" s="5">
        <v>0</v>
      </c>
      <c r="D556" s="5">
        <v>0</v>
      </c>
      <c r="E556" s="5">
        <v>0</v>
      </c>
      <c r="F556" s="5">
        <v>0</v>
      </c>
      <c r="G556" s="5">
        <v>0</v>
      </c>
      <c r="H556" s="5">
        <v>0</v>
      </c>
      <c r="I556" s="7" t="s">
        <v>58</v>
      </c>
    </row>
    <row r="557" spans="1:9" x14ac:dyDescent="0.25">
      <c r="A557" s="1" t="s">
        <v>39</v>
      </c>
      <c r="B557" s="5">
        <v>14.19</v>
      </c>
      <c r="C557" s="5">
        <v>15.04</v>
      </c>
      <c r="D557" s="5">
        <v>15.77</v>
      </c>
      <c r="E557" s="5">
        <v>16.38</v>
      </c>
      <c r="F557" s="5">
        <v>16.88</v>
      </c>
      <c r="G557" s="5">
        <v>17.28</v>
      </c>
      <c r="H557" s="5">
        <v>17.61</v>
      </c>
      <c r="I557" s="6">
        <v>3.6643650000000001</v>
      </c>
    </row>
    <row r="558" spans="1:9" x14ac:dyDescent="0.25">
      <c r="A558" s="1" t="s">
        <v>40</v>
      </c>
      <c r="B558" s="5">
        <v>1.41</v>
      </c>
      <c r="C558" s="5">
        <v>1.48</v>
      </c>
      <c r="D558" s="5">
        <v>1.55</v>
      </c>
      <c r="E558" s="5">
        <v>1.58</v>
      </c>
      <c r="F558" s="5">
        <v>1.59</v>
      </c>
      <c r="G558" s="5">
        <v>1.59</v>
      </c>
      <c r="H558" s="5">
        <v>1.6</v>
      </c>
      <c r="I558" s="6">
        <v>2.129251</v>
      </c>
    </row>
    <row r="559" spans="1:9" x14ac:dyDescent="0.25">
      <c r="A559" s="1" t="s">
        <v>41</v>
      </c>
      <c r="B559" s="5">
        <v>1.57</v>
      </c>
      <c r="C559" s="5">
        <v>1.64</v>
      </c>
      <c r="D559" s="5">
        <v>1.69</v>
      </c>
      <c r="E559" s="5">
        <v>1.75</v>
      </c>
      <c r="F559" s="5">
        <v>1.81</v>
      </c>
      <c r="G559" s="5">
        <v>1.87</v>
      </c>
      <c r="H559" s="5">
        <v>1.93</v>
      </c>
      <c r="I559" s="6">
        <v>3.5006179999999998</v>
      </c>
    </row>
    <row r="560" spans="1:9" x14ac:dyDescent="0.25">
      <c r="A560" s="1" t="s">
        <v>42</v>
      </c>
      <c r="B560" s="5">
        <v>2.2000000000000002</v>
      </c>
      <c r="C560" s="5">
        <v>1.98</v>
      </c>
      <c r="D560" s="5">
        <v>1.99</v>
      </c>
      <c r="E560" s="5">
        <v>2</v>
      </c>
      <c r="F560" s="5">
        <v>2.0099999999999998</v>
      </c>
      <c r="G560" s="5">
        <v>2.02</v>
      </c>
      <c r="H560" s="5">
        <v>2.0299999999999998</v>
      </c>
      <c r="I560" s="6">
        <v>-1.3314170000000001</v>
      </c>
    </row>
    <row r="561" spans="1:9" x14ac:dyDescent="0.25">
      <c r="A561" s="1" t="s">
        <v>43</v>
      </c>
      <c r="B561" s="5">
        <v>0.08</v>
      </c>
      <c r="C561" s="5">
        <v>0.09</v>
      </c>
      <c r="D561" s="5">
        <v>0.09</v>
      </c>
      <c r="E561" s="5">
        <v>0.09</v>
      </c>
      <c r="F561" s="5">
        <v>0.09</v>
      </c>
      <c r="G561" s="5">
        <v>0.09</v>
      </c>
      <c r="H561" s="5">
        <v>0.09</v>
      </c>
      <c r="I561" s="6">
        <v>1.982445</v>
      </c>
    </row>
    <row r="562" spans="1:9" x14ac:dyDescent="0.25">
      <c r="A562" s="1" t="s">
        <v>44</v>
      </c>
      <c r="B562" s="5">
        <v>1.65</v>
      </c>
      <c r="C562" s="5">
        <v>1.98</v>
      </c>
      <c r="D562" s="5">
        <v>2.16</v>
      </c>
      <c r="E562" s="5">
        <v>2.2999999999999998</v>
      </c>
      <c r="F562" s="5">
        <v>2.5499999999999998</v>
      </c>
      <c r="G562" s="5">
        <v>2.88</v>
      </c>
      <c r="H562" s="5">
        <v>3.07</v>
      </c>
      <c r="I562" s="6">
        <v>10.902773</v>
      </c>
    </row>
    <row r="563" spans="1:9" x14ac:dyDescent="0.25">
      <c r="A563" s="1" t="s">
        <v>45</v>
      </c>
      <c r="B563" s="5">
        <v>1.17</v>
      </c>
      <c r="C563" s="5">
        <v>1.19</v>
      </c>
      <c r="D563" s="5">
        <v>1.22</v>
      </c>
      <c r="E563" s="5">
        <v>1.23</v>
      </c>
      <c r="F563" s="5">
        <v>1.23</v>
      </c>
      <c r="G563" s="5">
        <v>1.23</v>
      </c>
      <c r="H563" s="5">
        <v>1.22</v>
      </c>
      <c r="I563" s="6">
        <v>0.69989000000000001</v>
      </c>
    </row>
    <row r="564" spans="1:9" x14ac:dyDescent="0.25">
      <c r="A564" s="1" t="s">
        <v>46</v>
      </c>
      <c r="B564" s="5">
        <v>0.19</v>
      </c>
      <c r="C564" s="5">
        <v>0.18</v>
      </c>
      <c r="D564" s="5">
        <v>0.17</v>
      </c>
      <c r="E564" s="5">
        <v>0.15</v>
      </c>
      <c r="F564" s="5">
        <v>0.14000000000000001</v>
      </c>
      <c r="G564" s="5">
        <v>0.12</v>
      </c>
      <c r="H564" s="5">
        <v>0.11</v>
      </c>
      <c r="I564" s="6">
        <v>-8.7065020000000004</v>
      </c>
    </row>
    <row r="565" spans="1:9" x14ac:dyDescent="0.25">
      <c r="A565" s="1" t="s">
        <v>47</v>
      </c>
      <c r="B565" s="5">
        <v>5.5</v>
      </c>
      <c r="C565" s="5">
        <v>3.91</v>
      </c>
      <c r="D565" s="5">
        <v>2.86</v>
      </c>
      <c r="E565" s="5">
        <v>1.9</v>
      </c>
      <c r="F565" s="5">
        <v>1.1000000000000001</v>
      </c>
      <c r="G565" s="5">
        <v>0.52</v>
      </c>
      <c r="H565" s="5">
        <v>0.18</v>
      </c>
      <c r="I565" s="6">
        <v>-43.443182</v>
      </c>
    </row>
    <row r="566" spans="1:9" x14ac:dyDescent="0.25">
      <c r="A566" s="1" t="s">
        <v>48</v>
      </c>
      <c r="B566" s="5">
        <v>1.54</v>
      </c>
      <c r="C566" s="5">
        <v>4.3</v>
      </c>
      <c r="D566" s="5">
        <v>4.83</v>
      </c>
      <c r="E566" s="5">
        <v>5.15</v>
      </c>
      <c r="F566" s="5">
        <v>5.8</v>
      </c>
      <c r="G566" s="5">
        <v>6.32</v>
      </c>
      <c r="H566" s="5">
        <v>6.81</v>
      </c>
      <c r="I566" s="6">
        <v>28.116302999999998</v>
      </c>
    </row>
    <row r="567" spans="1:9" x14ac:dyDescent="0.25">
      <c r="A567" s="1" t="s">
        <v>49</v>
      </c>
      <c r="B567" s="5">
        <v>0.09</v>
      </c>
      <c r="C567" s="5">
        <v>0.09</v>
      </c>
      <c r="D567" s="5">
        <v>0.09</v>
      </c>
      <c r="E567" s="5">
        <v>0.1</v>
      </c>
      <c r="F567" s="5">
        <v>0.1</v>
      </c>
      <c r="G567" s="5">
        <v>0.11</v>
      </c>
      <c r="H567" s="5">
        <v>0.11</v>
      </c>
      <c r="I567" s="6">
        <v>3.4010690000000001</v>
      </c>
    </row>
    <row r="568" spans="1:9" x14ac:dyDescent="0.25">
      <c r="A568" s="1" t="s">
        <v>50</v>
      </c>
      <c r="B568" s="5">
        <v>6.45</v>
      </c>
      <c r="C568" s="5">
        <v>7.75</v>
      </c>
      <c r="D568" s="5">
        <v>7.91</v>
      </c>
      <c r="E568" s="5">
        <v>8.07</v>
      </c>
      <c r="F568" s="5">
        <v>8.24</v>
      </c>
      <c r="G568" s="5">
        <v>8.4</v>
      </c>
      <c r="H568" s="5">
        <v>8.57</v>
      </c>
      <c r="I568" s="6">
        <v>4.850422</v>
      </c>
    </row>
    <row r="569" spans="1:9" x14ac:dyDescent="0.25">
      <c r="A569" s="1" t="s">
        <v>51</v>
      </c>
      <c r="B569" s="5">
        <v>4.3099999999999996</v>
      </c>
      <c r="C569" s="5">
        <v>4.59</v>
      </c>
      <c r="D569" s="5">
        <v>4.82</v>
      </c>
      <c r="E569" s="5">
        <v>5.01</v>
      </c>
      <c r="F569" s="5">
        <v>5.15</v>
      </c>
      <c r="G569" s="5">
        <v>5.23</v>
      </c>
      <c r="H569" s="5">
        <v>5.28</v>
      </c>
      <c r="I569" s="6">
        <v>3.4410150000000002</v>
      </c>
    </row>
    <row r="570" spans="1:9" x14ac:dyDescent="0.25">
      <c r="A570" s="1" t="s">
        <v>52</v>
      </c>
      <c r="B570" s="5">
        <v>0</v>
      </c>
      <c r="C570" s="5">
        <v>0</v>
      </c>
      <c r="D570" s="5">
        <v>0</v>
      </c>
      <c r="E570" s="5">
        <v>0</v>
      </c>
      <c r="F570" s="5">
        <v>0</v>
      </c>
      <c r="G570" s="5">
        <v>0</v>
      </c>
      <c r="H570" s="5">
        <v>0</v>
      </c>
      <c r="I570" s="7" t="s">
        <v>58</v>
      </c>
    </row>
    <row r="571" spans="1:9" x14ac:dyDescent="0.25">
      <c r="A571" s="1" t="s">
        <v>53</v>
      </c>
      <c r="B571" s="5">
        <v>7.19</v>
      </c>
      <c r="C571" s="5">
        <v>7.85</v>
      </c>
      <c r="D571" s="5">
        <v>8.4600000000000009</v>
      </c>
      <c r="E571" s="5">
        <v>9.07</v>
      </c>
      <c r="F571" s="5">
        <v>9.66</v>
      </c>
      <c r="G571" s="5">
        <v>10.23</v>
      </c>
      <c r="H571" s="5">
        <v>10.64</v>
      </c>
      <c r="I571" s="6">
        <v>6.7502230000000001</v>
      </c>
    </row>
    <row r="572" spans="1:9" x14ac:dyDescent="0.25">
      <c r="A572" s="1" t="s">
        <v>54</v>
      </c>
      <c r="B572" s="5">
        <v>0.24</v>
      </c>
      <c r="C572" s="5">
        <v>0.22</v>
      </c>
      <c r="D572" s="5">
        <v>0.21</v>
      </c>
      <c r="E572" s="5">
        <v>0.19</v>
      </c>
      <c r="F572" s="5">
        <v>0.18</v>
      </c>
      <c r="G572" s="5">
        <v>0.13</v>
      </c>
      <c r="H572" s="5">
        <v>0.11</v>
      </c>
      <c r="I572" s="6">
        <v>-12.192777</v>
      </c>
    </row>
    <row r="573" spans="1:9" x14ac:dyDescent="0.25">
      <c r="A573" s="1" t="s">
        <v>55</v>
      </c>
      <c r="B573" s="5">
        <v>7.62</v>
      </c>
      <c r="C573" s="5">
        <v>7.72</v>
      </c>
      <c r="D573" s="5">
        <v>7.8</v>
      </c>
      <c r="E573" s="5">
        <v>7.87</v>
      </c>
      <c r="F573" s="5">
        <v>7.93</v>
      </c>
      <c r="G573" s="5">
        <v>7.97</v>
      </c>
      <c r="H573" s="5">
        <v>8</v>
      </c>
      <c r="I573" s="6">
        <v>0.814384</v>
      </c>
    </row>
    <row r="574" spans="1:9" x14ac:dyDescent="0.25">
      <c r="A574" s="1" t="s">
        <v>56</v>
      </c>
      <c r="B574" s="5">
        <v>9.9600000000000009</v>
      </c>
      <c r="C574" s="5">
        <v>8.36</v>
      </c>
      <c r="D574" s="5">
        <v>7.44</v>
      </c>
      <c r="E574" s="5">
        <v>6.83</v>
      </c>
      <c r="F574" s="5">
        <v>6.28</v>
      </c>
      <c r="G574" s="5">
        <v>5.77</v>
      </c>
      <c r="H574" s="5">
        <v>5.53</v>
      </c>
      <c r="I574" s="6">
        <v>-9.3409910000000007</v>
      </c>
    </row>
    <row r="575" spans="1:9" x14ac:dyDescent="0.25">
      <c r="A575" s="1" t="s">
        <v>57</v>
      </c>
      <c r="B575" s="7" t="s">
        <v>58</v>
      </c>
      <c r="C575" s="7" t="s">
        <v>58</v>
      </c>
      <c r="D575" s="7" t="s">
        <v>58</v>
      </c>
      <c r="E575" s="7" t="s">
        <v>58</v>
      </c>
      <c r="F575" s="7" t="s">
        <v>58</v>
      </c>
      <c r="G575" s="7" t="s">
        <v>58</v>
      </c>
      <c r="H575" s="7" t="s">
        <v>58</v>
      </c>
      <c r="I575" s="7" t="s">
        <v>58</v>
      </c>
    </row>
    <row r="576" spans="1:9" x14ac:dyDescent="0.25">
      <c r="A576" s="1" t="s">
        <v>59</v>
      </c>
      <c r="B576" s="5">
        <v>15.22</v>
      </c>
      <c r="C576" s="5">
        <v>16.559999999999999</v>
      </c>
      <c r="D576" s="5">
        <v>18.05</v>
      </c>
      <c r="E576" s="5">
        <v>19.7</v>
      </c>
      <c r="F576" s="5">
        <v>21.54</v>
      </c>
      <c r="G576" s="5">
        <v>21.23</v>
      </c>
      <c r="H576" s="5">
        <v>20.96</v>
      </c>
      <c r="I576" s="6">
        <v>5.4782149999999996</v>
      </c>
    </row>
    <row r="577" spans="1:9" x14ac:dyDescent="0.25">
      <c r="A577" s="1" t="s">
        <v>60</v>
      </c>
      <c r="B577" s="5">
        <v>0.02</v>
      </c>
      <c r="C577" s="5">
        <v>0.02</v>
      </c>
      <c r="D577" s="5">
        <v>0.02</v>
      </c>
      <c r="E577" s="5">
        <v>0.02</v>
      </c>
      <c r="F577" s="5">
        <v>0.02</v>
      </c>
      <c r="G577" s="5">
        <v>0.02</v>
      </c>
      <c r="H577" s="5">
        <v>0.02</v>
      </c>
      <c r="I577" s="6">
        <v>0</v>
      </c>
    </row>
    <row r="578" spans="1:9" ht="45" x14ac:dyDescent="0.25">
      <c r="A578" s="1" t="s">
        <v>61</v>
      </c>
      <c r="B578" s="5">
        <v>1.78</v>
      </c>
      <c r="C578" s="5">
        <v>1.72</v>
      </c>
      <c r="D578" s="5">
        <v>1.66</v>
      </c>
      <c r="E578" s="5">
        <v>1.61</v>
      </c>
      <c r="F578" s="5">
        <v>1.57</v>
      </c>
      <c r="G578" s="5">
        <v>1.53</v>
      </c>
      <c r="H578" s="5">
        <v>1.51</v>
      </c>
      <c r="I578" s="6">
        <v>-2.7044839999999999</v>
      </c>
    </row>
    <row r="579" spans="1:9" x14ac:dyDescent="0.25">
      <c r="A579" s="1" t="s">
        <v>62</v>
      </c>
      <c r="B579" s="5">
        <v>0.8</v>
      </c>
      <c r="C579" s="5">
        <v>0.75</v>
      </c>
      <c r="D579" s="5">
        <v>0.72</v>
      </c>
      <c r="E579" s="5">
        <v>0.7</v>
      </c>
      <c r="F579" s="5">
        <v>0.68</v>
      </c>
      <c r="G579" s="5">
        <v>0.67</v>
      </c>
      <c r="H579" s="5">
        <v>0.65</v>
      </c>
      <c r="I579" s="6">
        <v>-3.4014600000000002</v>
      </c>
    </row>
    <row r="580" spans="1:9" x14ac:dyDescent="0.25">
      <c r="A580" s="1" t="s">
        <v>63</v>
      </c>
      <c r="B580" s="5">
        <v>4.75</v>
      </c>
      <c r="C580" s="5">
        <v>4.5199999999999996</v>
      </c>
      <c r="D580" s="5">
        <v>4.3099999999999996</v>
      </c>
      <c r="E580" s="5">
        <v>4.12</v>
      </c>
      <c r="F580" s="5">
        <v>4.01</v>
      </c>
      <c r="G580" s="5">
        <v>3.9</v>
      </c>
      <c r="H580" s="5">
        <v>3.79</v>
      </c>
      <c r="I580" s="6">
        <v>-3.6930559999999999</v>
      </c>
    </row>
    <row r="581" spans="1:9" x14ac:dyDescent="0.25">
      <c r="A581" s="1" t="s">
        <v>64</v>
      </c>
      <c r="B581" s="5">
        <v>1.66</v>
      </c>
      <c r="C581" s="5">
        <v>1.4</v>
      </c>
      <c r="D581" s="5">
        <v>1.22</v>
      </c>
      <c r="E581" s="5">
        <v>1.1000000000000001</v>
      </c>
      <c r="F581" s="5">
        <v>1</v>
      </c>
      <c r="G581" s="5">
        <v>0.93</v>
      </c>
      <c r="H581" s="5">
        <v>0.88</v>
      </c>
      <c r="I581" s="6">
        <v>-10.03731</v>
      </c>
    </row>
    <row r="582" spans="1:9" x14ac:dyDescent="0.25">
      <c r="A582" s="1" t="s">
        <v>65</v>
      </c>
      <c r="B582" s="5">
        <v>0.28000000000000003</v>
      </c>
      <c r="C582" s="5">
        <v>0.28000000000000003</v>
      </c>
      <c r="D582" s="5">
        <v>0.27</v>
      </c>
      <c r="E582" s="5">
        <v>0.25</v>
      </c>
      <c r="F582" s="5">
        <v>0.24</v>
      </c>
      <c r="G582" s="5">
        <v>0.23</v>
      </c>
      <c r="H582" s="5">
        <v>0.22</v>
      </c>
      <c r="I582" s="6">
        <v>-3.9396629999999999</v>
      </c>
    </row>
    <row r="583" spans="1:9" x14ac:dyDescent="0.25">
      <c r="A583" s="1" t="s">
        <v>66</v>
      </c>
      <c r="B583" s="5">
        <v>1.93</v>
      </c>
      <c r="C583" s="5">
        <v>1.72</v>
      </c>
      <c r="D583" s="5">
        <v>1.57</v>
      </c>
      <c r="E583" s="5">
        <v>1.45</v>
      </c>
      <c r="F583" s="5">
        <v>1.36</v>
      </c>
      <c r="G583" s="5">
        <v>1.29</v>
      </c>
      <c r="H583" s="5">
        <v>1.22</v>
      </c>
      <c r="I583" s="6">
        <v>-7.3596000000000004</v>
      </c>
    </row>
    <row r="584" spans="1:9" ht="30" x14ac:dyDescent="0.25">
      <c r="A584" s="1" t="s">
        <v>67</v>
      </c>
      <c r="B584" s="5">
        <v>0.36</v>
      </c>
      <c r="C584" s="5">
        <v>0.39</v>
      </c>
      <c r="D584" s="5">
        <v>0.41</v>
      </c>
      <c r="E584" s="5">
        <v>0.42</v>
      </c>
      <c r="F584" s="5">
        <v>0.44</v>
      </c>
      <c r="G584" s="5">
        <v>0.45</v>
      </c>
      <c r="H584" s="5">
        <v>0.46</v>
      </c>
      <c r="I584" s="6">
        <v>4.1699739999999998</v>
      </c>
    </row>
    <row r="585" spans="1:9" x14ac:dyDescent="0.25">
      <c r="A585" s="1" t="s">
        <v>68</v>
      </c>
      <c r="B585" s="7" t="s">
        <v>58</v>
      </c>
      <c r="C585" s="7" t="s">
        <v>58</v>
      </c>
      <c r="D585" s="7" t="s">
        <v>58</v>
      </c>
      <c r="E585" s="7" t="s">
        <v>58</v>
      </c>
      <c r="F585" s="7" t="s">
        <v>58</v>
      </c>
      <c r="G585" s="7" t="s">
        <v>58</v>
      </c>
      <c r="H585" s="7" t="s">
        <v>58</v>
      </c>
      <c r="I585" s="7" t="s">
        <v>58</v>
      </c>
    </row>
    <row r="586" spans="1:9" x14ac:dyDescent="0.25">
      <c r="A586" s="1" t="s">
        <v>69</v>
      </c>
      <c r="B586" s="5">
        <v>0.6</v>
      </c>
      <c r="C586" s="5">
        <v>0.59</v>
      </c>
      <c r="D586" s="5">
        <v>0.59</v>
      </c>
      <c r="E586" s="5">
        <v>0.57999999999999996</v>
      </c>
      <c r="F586" s="5">
        <v>0.57999999999999996</v>
      </c>
      <c r="G586" s="5">
        <v>0.56999999999999995</v>
      </c>
      <c r="H586" s="5">
        <v>0.56999999999999995</v>
      </c>
      <c r="I586" s="6">
        <v>-0.851244</v>
      </c>
    </row>
    <row r="587" spans="1:9" x14ac:dyDescent="0.25">
      <c r="A587" s="1" t="s">
        <v>70</v>
      </c>
      <c r="B587" s="5">
        <v>0.08</v>
      </c>
      <c r="C587" s="5">
        <v>0.14000000000000001</v>
      </c>
      <c r="D587" s="5">
        <v>0.23</v>
      </c>
      <c r="E587" s="5">
        <v>0.36</v>
      </c>
      <c r="F587" s="5">
        <v>0.55000000000000004</v>
      </c>
      <c r="G587" s="5">
        <v>0.69</v>
      </c>
      <c r="H587" s="5">
        <v>0.78</v>
      </c>
      <c r="I587" s="6">
        <v>46.161873999999997</v>
      </c>
    </row>
    <row r="588" spans="1:9" x14ac:dyDescent="0.25">
      <c r="A588" s="1" t="s">
        <v>71</v>
      </c>
      <c r="B588" s="5">
        <v>16.03</v>
      </c>
      <c r="C588" s="5">
        <v>16.21</v>
      </c>
      <c r="D588" s="5">
        <v>16.36</v>
      </c>
      <c r="E588" s="5">
        <v>16.57</v>
      </c>
      <c r="F588" s="5">
        <v>16.71</v>
      </c>
      <c r="G588" s="5">
        <v>16.75</v>
      </c>
      <c r="H588" s="5">
        <v>16.760000000000002</v>
      </c>
      <c r="I588" s="6">
        <v>0.74497999999999998</v>
      </c>
    </row>
    <row r="589" spans="1:9" x14ac:dyDescent="0.25">
      <c r="A589" s="1" t="s">
        <v>72</v>
      </c>
      <c r="B589" s="5">
        <v>3.87</v>
      </c>
      <c r="C589" s="5">
        <v>3.97</v>
      </c>
      <c r="D589" s="5">
        <v>4.09</v>
      </c>
      <c r="E589" s="5">
        <v>4.2</v>
      </c>
      <c r="F589" s="5">
        <v>4.2699999999999996</v>
      </c>
      <c r="G589" s="5">
        <v>4.3499999999999996</v>
      </c>
      <c r="H589" s="5">
        <v>4.41</v>
      </c>
      <c r="I589" s="6">
        <v>2.2008730000000001</v>
      </c>
    </row>
    <row r="590" spans="1:9" x14ac:dyDescent="0.25">
      <c r="A590" s="1" t="s">
        <v>73</v>
      </c>
      <c r="B590" s="7" t="s">
        <v>58</v>
      </c>
      <c r="C590" s="7" t="s">
        <v>58</v>
      </c>
      <c r="D590" s="7" t="s">
        <v>58</v>
      </c>
      <c r="E590" s="7" t="s">
        <v>58</v>
      </c>
      <c r="F590" s="7" t="s">
        <v>58</v>
      </c>
      <c r="G590" s="7" t="s">
        <v>58</v>
      </c>
      <c r="H590" s="7" t="s">
        <v>58</v>
      </c>
      <c r="I590" s="7" t="s">
        <v>58</v>
      </c>
    </row>
    <row r="591" spans="1:9" ht="30" x14ac:dyDescent="0.25">
      <c r="A591" s="1" t="s">
        <v>74</v>
      </c>
      <c r="B591" s="5">
        <v>8.17</v>
      </c>
      <c r="C591" s="5">
        <v>10.28</v>
      </c>
      <c r="D591" s="5">
        <v>12.16</v>
      </c>
      <c r="E591" s="5">
        <v>13.77</v>
      </c>
      <c r="F591" s="5">
        <v>15.27</v>
      </c>
      <c r="G591" s="5">
        <v>16.86</v>
      </c>
      <c r="H591" s="5">
        <v>17.48</v>
      </c>
      <c r="I591" s="6">
        <v>13.514994</v>
      </c>
    </row>
    <row r="592" spans="1:9" x14ac:dyDescent="0.25">
      <c r="A592" s="1" t="s">
        <v>75</v>
      </c>
      <c r="B592" s="5">
        <v>8.8000000000000007</v>
      </c>
      <c r="C592" s="5">
        <v>9.17</v>
      </c>
      <c r="D592" s="5">
        <v>9.34</v>
      </c>
      <c r="E592" s="5">
        <v>9.4600000000000009</v>
      </c>
      <c r="F592" s="5">
        <v>9.57</v>
      </c>
      <c r="G592" s="5">
        <v>9.64</v>
      </c>
      <c r="H592" s="5">
        <v>9.6999999999999993</v>
      </c>
      <c r="I592" s="6">
        <v>1.6361429999999999</v>
      </c>
    </row>
    <row r="593" spans="1:9" x14ac:dyDescent="0.25">
      <c r="A593" s="1" t="s">
        <v>76</v>
      </c>
      <c r="B593" s="5">
        <v>30.01</v>
      </c>
      <c r="C593" s="5">
        <v>30</v>
      </c>
      <c r="D593" s="5">
        <v>29.99</v>
      </c>
      <c r="E593" s="5">
        <v>29.99</v>
      </c>
      <c r="F593" s="5">
        <v>29.99</v>
      </c>
      <c r="G593" s="5">
        <v>30</v>
      </c>
      <c r="H593" s="5">
        <v>30.01</v>
      </c>
      <c r="I593" s="6">
        <v>0</v>
      </c>
    </row>
    <row r="594" spans="1:9" ht="45" x14ac:dyDescent="0.25">
      <c r="A594" s="1" t="s">
        <v>77</v>
      </c>
      <c r="B594" s="5">
        <v>2.44</v>
      </c>
      <c r="C594" s="5">
        <v>2.5</v>
      </c>
      <c r="D594" s="5">
        <v>2.54</v>
      </c>
      <c r="E594" s="5">
        <v>2.5499999999999998</v>
      </c>
      <c r="F594" s="5">
        <v>2.56</v>
      </c>
      <c r="G594" s="5">
        <v>2.5499999999999998</v>
      </c>
      <c r="H594" s="5">
        <v>2.52</v>
      </c>
      <c r="I594" s="6">
        <v>0.53912899999999997</v>
      </c>
    </row>
    <row r="595" spans="1:9" ht="45" x14ac:dyDescent="0.25">
      <c r="A595" s="1" t="s">
        <v>78</v>
      </c>
      <c r="B595" s="5">
        <v>0.81</v>
      </c>
      <c r="C595" s="5">
        <v>0.75</v>
      </c>
      <c r="D595" s="5">
        <v>0.7</v>
      </c>
      <c r="E595" s="5">
        <v>0.65</v>
      </c>
      <c r="F595" s="5">
        <v>0.61</v>
      </c>
      <c r="G595" s="5">
        <v>0.56999999999999995</v>
      </c>
      <c r="H595" s="5">
        <v>0.53</v>
      </c>
      <c r="I595" s="6">
        <v>-6.8251989999999996</v>
      </c>
    </row>
    <row r="596" spans="1:9" ht="60" x14ac:dyDescent="0.25">
      <c r="A596" s="1" t="s">
        <v>79</v>
      </c>
      <c r="B596" s="7" t="s">
        <v>58</v>
      </c>
      <c r="C596" s="7" t="s">
        <v>58</v>
      </c>
      <c r="D596" s="7" t="s">
        <v>58</v>
      </c>
      <c r="E596" s="7" t="s">
        <v>58</v>
      </c>
      <c r="F596" s="7" t="s">
        <v>58</v>
      </c>
      <c r="G596" s="7" t="s">
        <v>58</v>
      </c>
      <c r="H596" s="7" t="s">
        <v>58</v>
      </c>
      <c r="I596" s="7" t="s">
        <v>58</v>
      </c>
    </row>
    <row r="597" spans="1:9" ht="45" x14ac:dyDescent="0.25">
      <c r="A597" s="1" t="s">
        <v>80</v>
      </c>
      <c r="B597" s="7" t="s">
        <v>58</v>
      </c>
      <c r="C597" s="7" t="s">
        <v>58</v>
      </c>
      <c r="D597" s="7" t="s">
        <v>58</v>
      </c>
      <c r="E597" s="7" t="s">
        <v>58</v>
      </c>
      <c r="F597" s="7" t="s">
        <v>58</v>
      </c>
      <c r="G597" s="7" t="s">
        <v>58</v>
      </c>
      <c r="H597" s="7" t="s">
        <v>58</v>
      </c>
      <c r="I597" s="7" t="s">
        <v>58</v>
      </c>
    </row>
    <row r="598" spans="1:9" ht="45" x14ac:dyDescent="0.25">
      <c r="A598" s="1" t="s">
        <v>81</v>
      </c>
      <c r="B598" s="5">
        <v>1.81</v>
      </c>
      <c r="C598" s="5">
        <v>1.75</v>
      </c>
      <c r="D598" s="5">
        <v>1.7</v>
      </c>
      <c r="E598" s="5">
        <v>1.65</v>
      </c>
      <c r="F598" s="5">
        <v>1.61</v>
      </c>
      <c r="G598" s="5">
        <v>1.56</v>
      </c>
      <c r="H598" s="5">
        <v>1.52</v>
      </c>
      <c r="I598" s="6">
        <v>-2.8683350000000001</v>
      </c>
    </row>
    <row r="599" spans="1:9" x14ac:dyDescent="0.25">
      <c r="A599" s="1" t="s">
        <v>82</v>
      </c>
      <c r="B599" s="5">
        <v>1.8</v>
      </c>
      <c r="C599" s="5">
        <v>1.85</v>
      </c>
      <c r="D599" s="5">
        <v>1.88</v>
      </c>
      <c r="E599" s="5">
        <v>1.95</v>
      </c>
      <c r="F599" s="5">
        <v>1.96</v>
      </c>
      <c r="G599" s="5">
        <v>1.98</v>
      </c>
      <c r="H599" s="5">
        <v>2.0299999999999998</v>
      </c>
      <c r="I599" s="6">
        <v>2.0243699999999998</v>
      </c>
    </row>
    <row r="600" spans="1:9" x14ac:dyDescent="0.25">
      <c r="A600" s="1" t="s">
        <v>83</v>
      </c>
      <c r="B600" s="5">
        <v>1.29</v>
      </c>
      <c r="C600" s="5">
        <v>1.26</v>
      </c>
      <c r="D600" s="5">
        <v>1.23</v>
      </c>
      <c r="E600" s="5">
        <v>1.2</v>
      </c>
      <c r="F600" s="5">
        <v>1.1599999999999999</v>
      </c>
      <c r="G600" s="5">
        <v>1.1200000000000001</v>
      </c>
      <c r="H600" s="5">
        <v>1.0900000000000001</v>
      </c>
      <c r="I600" s="6">
        <v>-2.768691</v>
      </c>
    </row>
    <row r="601" spans="1:9" x14ac:dyDescent="0.25">
      <c r="A601" s="1" t="s">
        <v>84</v>
      </c>
      <c r="B601" s="5">
        <v>0.92</v>
      </c>
      <c r="C601" s="5">
        <v>0.89</v>
      </c>
      <c r="D601" s="5">
        <v>0.86</v>
      </c>
      <c r="E601" s="5">
        <v>0.84</v>
      </c>
      <c r="F601" s="5">
        <v>0.81</v>
      </c>
      <c r="G601" s="5">
        <v>0.79</v>
      </c>
      <c r="H601" s="5">
        <v>0.77</v>
      </c>
      <c r="I601" s="6">
        <v>-2.9228209999999999</v>
      </c>
    </row>
    <row r="602" spans="1:9" x14ac:dyDescent="0.25">
      <c r="A602" s="1" t="s">
        <v>85</v>
      </c>
      <c r="B602" s="5">
        <v>1.07</v>
      </c>
      <c r="C602" s="5">
        <v>1.02</v>
      </c>
      <c r="D602" s="5">
        <v>0.94</v>
      </c>
      <c r="E602" s="5">
        <v>0.85</v>
      </c>
      <c r="F602" s="5">
        <v>0.73</v>
      </c>
      <c r="G602" s="5">
        <v>0.47</v>
      </c>
      <c r="H602" s="5">
        <v>0.8</v>
      </c>
      <c r="I602" s="6">
        <v>-4.7311249999999996</v>
      </c>
    </row>
    <row r="603" spans="1:9" x14ac:dyDescent="0.25">
      <c r="A603" s="1" t="s">
        <v>86</v>
      </c>
      <c r="B603" s="5">
        <v>0.75</v>
      </c>
      <c r="C603" s="5">
        <v>0.61</v>
      </c>
      <c r="D603" s="5">
        <v>0.54</v>
      </c>
      <c r="E603" s="5">
        <v>0.5</v>
      </c>
      <c r="F603" s="5">
        <v>0.47</v>
      </c>
      <c r="G603" s="5">
        <v>0.45</v>
      </c>
      <c r="H603" s="5">
        <v>0.43</v>
      </c>
      <c r="I603" s="6">
        <v>-8.8546469999999999</v>
      </c>
    </row>
    <row r="604" spans="1:9" x14ac:dyDescent="0.25">
      <c r="A604" s="1" t="s">
        <v>87</v>
      </c>
      <c r="B604" s="5">
        <v>3.28</v>
      </c>
      <c r="C604" s="5">
        <v>2.23</v>
      </c>
      <c r="D604" s="5">
        <v>1.75</v>
      </c>
      <c r="E604" s="5">
        <v>1.52</v>
      </c>
      <c r="F604" s="5">
        <v>1.28</v>
      </c>
      <c r="G604" s="5">
        <v>1.0900000000000001</v>
      </c>
      <c r="H604" s="5">
        <v>0.92</v>
      </c>
      <c r="I604" s="6">
        <v>-19.093081000000002</v>
      </c>
    </row>
    <row r="605" spans="1:9" x14ac:dyDescent="0.25">
      <c r="A605" s="1" t="s">
        <v>88</v>
      </c>
      <c r="B605" s="5">
        <v>3.33</v>
      </c>
      <c r="C605" s="5">
        <v>2.93</v>
      </c>
      <c r="D605" s="5">
        <v>2.5499999999999998</v>
      </c>
      <c r="E605" s="5">
        <v>2.19</v>
      </c>
      <c r="F605" s="5">
        <v>1.85</v>
      </c>
      <c r="G605" s="5">
        <v>1.54</v>
      </c>
      <c r="H605" s="5">
        <v>1.25</v>
      </c>
      <c r="I605" s="6">
        <v>-15.066772</v>
      </c>
    </row>
    <row r="606" spans="1:9" x14ac:dyDescent="0.25">
      <c r="A606" s="1" t="s">
        <v>89</v>
      </c>
      <c r="B606" s="5">
        <v>5.66</v>
      </c>
      <c r="C606" s="5">
        <v>5.74</v>
      </c>
      <c r="D606" s="5">
        <v>5.8</v>
      </c>
      <c r="E606" s="5">
        <v>5.86</v>
      </c>
      <c r="F606" s="5">
        <v>5.92</v>
      </c>
      <c r="G606" s="5">
        <v>5.97</v>
      </c>
      <c r="H606" s="5">
        <v>6.03</v>
      </c>
      <c r="I606" s="6">
        <v>1.0609740000000001</v>
      </c>
    </row>
    <row r="607" spans="1:9" x14ac:dyDescent="0.25">
      <c r="A607" s="1" t="s">
        <v>90</v>
      </c>
      <c r="B607" s="5">
        <v>2.59</v>
      </c>
      <c r="C607" s="5">
        <v>2.85</v>
      </c>
      <c r="D607" s="5">
        <v>3.11</v>
      </c>
      <c r="E607" s="5">
        <v>3.37</v>
      </c>
      <c r="F607" s="5">
        <v>3.62</v>
      </c>
      <c r="G607" s="5">
        <v>3.87</v>
      </c>
      <c r="H607" s="5">
        <v>4.1100000000000003</v>
      </c>
      <c r="I607" s="6">
        <v>7.9999799999999999</v>
      </c>
    </row>
    <row r="608" spans="1:9" x14ac:dyDescent="0.25">
      <c r="A608" s="1" t="s">
        <v>91</v>
      </c>
      <c r="B608" s="5">
        <v>0</v>
      </c>
      <c r="C608" s="5">
        <v>0</v>
      </c>
      <c r="D608" s="5">
        <v>0</v>
      </c>
      <c r="E608" s="5">
        <v>0</v>
      </c>
      <c r="F608" s="5">
        <v>0</v>
      </c>
      <c r="G608" s="5">
        <v>0</v>
      </c>
      <c r="H608" s="5">
        <v>0</v>
      </c>
      <c r="I608" s="7" t="s">
        <v>58</v>
      </c>
    </row>
    <row r="609" spans="1:9" x14ac:dyDescent="0.25">
      <c r="A609" s="1" t="s">
        <v>92</v>
      </c>
      <c r="B609" s="5">
        <v>0.34</v>
      </c>
      <c r="C609" s="5">
        <v>0.53</v>
      </c>
      <c r="D609" s="5">
        <v>0.38</v>
      </c>
      <c r="E609" s="5">
        <v>0.33</v>
      </c>
      <c r="F609" s="5">
        <v>0.31</v>
      </c>
      <c r="G609" s="5">
        <v>0.3</v>
      </c>
      <c r="H609" s="5">
        <v>0.28999999999999998</v>
      </c>
      <c r="I609" s="6">
        <v>-2.6162459999999998</v>
      </c>
    </row>
    <row r="610" spans="1:9" x14ac:dyDescent="0.25">
      <c r="A610" s="1" t="s">
        <v>93</v>
      </c>
      <c r="B610" s="5">
        <v>0.66</v>
      </c>
      <c r="C610" s="5">
        <v>0.65</v>
      </c>
      <c r="D610" s="5">
        <v>0.64</v>
      </c>
      <c r="E610" s="5">
        <v>0.64</v>
      </c>
      <c r="F610" s="5">
        <v>0.64</v>
      </c>
      <c r="G610" s="5">
        <v>0.64</v>
      </c>
      <c r="H610" s="5">
        <v>0.63</v>
      </c>
      <c r="I610" s="6">
        <v>-0.77233600000000002</v>
      </c>
    </row>
    <row r="611" spans="1:9" x14ac:dyDescent="0.25">
      <c r="A611" s="1" t="s">
        <v>94</v>
      </c>
      <c r="B611" s="5">
        <v>0.52</v>
      </c>
      <c r="C611" s="5">
        <v>0.43</v>
      </c>
      <c r="D611" s="5">
        <v>0.37</v>
      </c>
      <c r="E611" s="5">
        <v>0.32</v>
      </c>
      <c r="F611" s="5">
        <v>0.28999999999999998</v>
      </c>
      <c r="G611" s="5">
        <v>0.27</v>
      </c>
      <c r="H611" s="5">
        <v>0.25</v>
      </c>
      <c r="I611" s="6">
        <v>-11.490589999999999</v>
      </c>
    </row>
    <row r="612" spans="1:9" x14ac:dyDescent="0.25">
      <c r="A612" s="1" t="s">
        <v>95</v>
      </c>
      <c r="B612" s="5">
        <v>3.35</v>
      </c>
      <c r="C612" s="5">
        <v>3.63</v>
      </c>
      <c r="D612" s="5">
        <v>3.48</v>
      </c>
      <c r="E612" s="5">
        <v>3.36</v>
      </c>
      <c r="F612" s="5">
        <v>3.25</v>
      </c>
      <c r="G612" s="5">
        <v>3.17</v>
      </c>
      <c r="H612" s="5">
        <v>3.1</v>
      </c>
      <c r="I612" s="6">
        <v>-1.284319</v>
      </c>
    </row>
    <row r="613" spans="1:9" x14ac:dyDescent="0.25">
      <c r="A613" s="1" t="s">
        <v>96</v>
      </c>
      <c r="B613" s="5">
        <v>0</v>
      </c>
      <c r="C613" s="5">
        <v>0</v>
      </c>
      <c r="D613" s="5">
        <v>0</v>
      </c>
      <c r="E613" s="5">
        <v>0</v>
      </c>
      <c r="F613" s="5">
        <v>0</v>
      </c>
      <c r="G613" s="5">
        <v>0</v>
      </c>
      <c r="H613" s="5">
        <v>0</v>
      </c>
      <c r="I613" s="7" t="s">
        <v>58</v>
      </c>
    </row>
    <row r="614" spans="1:9" x14ac:dyDescent="0.25">
      <c r="A614" s="1" t="s">
        <v>97</v>
      </c>
      <c r="B614" s="5">
        <v>11.92</v>
      </c>
      <c r="C614" s="5">
        <v>9.91</v>
      </c>
      <c r="D614" s="5">
        <v>8.15</v>
      </c>
      <c r="E614" s="5">
        <v>6.63</v>
      </c>
      <c r="F614" s="5">
        <v>5.33</v>
      </c>
      <c r="G614" s="5">
        <v>4.2300000000000004</v>
      </c>
      <c r="H614" s="5">
        <v>3.32</v>
      </c>
      <c r="I614" s="6">
        <v>-19.187792000000002</v>
      </c>
    </row>
    <row r="615" spans="1:9" x14ac:dyDescent="0.25">
      <c r="A615" s="1" t="s">
        <v>98</v>
      </c>
      <c r="B615" s="5">
        <v>0</v>
      </c>
      <c r="C615" s="5">
        <v>0</v>
      </c>
      <c r="D615" s="5">
        <v>0</v>
      </c>
      <c r="E615" s="5">
        <v>0</v>
      </c>
      <c r="F615" s="5">
        <v>0</v>
      </c>
      <c r="G615" s="5">
        <v>0</v>
      </c>
      <c r="H615" s="5">
        <v>0</v>
      </c>
      <c r="I615" s="7" t="s">
        <v>58</v>
      </c>
    </row>
    <row r="616" spans="1:9" x14ac:dyDescent="0.25">
      <c r="A616" s="1" t="s">
        <v>99</v>
      </c>
      <c r="B616" s="5">
        <v>1.48</v>
      </c>
      <c r="C616" s="5">
        <v>1.68</v>
      </c>
      <c r="D616" s="5">
        <v>1.9</v>
      </c>
      <c r="E616" s="5">
        <v>1.99</v>
      </c>
      <c r="F616" s="5">
        <v>2.09</v>
      </c>
      <c r="G616" s="5">
        <v>2.19</v>
      </c>
      <c r="H616" s="5">
        <v>2.29</v>
      </c>
      <c r="I616" s="6">
        <v>7.5463380000000004</v>
      </c>
    </row>
    <row r="617" spans="1:9" x14ac:dyDescent="0.25">
      <c r="A617" s="1" t="s">
        <v>100</v>
      </c>
      <c r="B617" s="5">
        <v>0</v>
      </c>
      <c r="C617" s="5">
        <v>0</v>
      </c>
      <c r="D617" s="5">
        <v>0</v>
      </c>
      <c r="E617" s="5">
        <v>0</v>
      </c>
      <c r="F617" s="5">
        <v>0</v>
      </c>
      <c r="G617" s="5">
        <v>0</v>
      </c>
      <c r="H617" s="5">
        <v>0</v>
      </c>
      <c r="I617" s="7" t="s">
        <v>58</v>
      </c>
    </row>
    <row r="618" spans="1:9" x14ac:dyDescent="0.25">
      <c r="A618" s="1" t="s">
        <v>101</v>
      </c>
      <c r="B618" s="5">
        <v>2.27</v>
      </c>
      <c r="C618" s="5">
        <v>2.35</v>
      </c>
      <c r="D618" s="5">
        <v>2.42</v>
      </c>
      <c r="E618" s="5">
        <v>2.5</v>
      </c>
      <c r="F618" s="5">
        <v>2.58</v>
      </c>
      <c r="G618" s="5">
        <v>2.67</v>
      </c>
      <c r="H618" s="5">
        <v>2.75</v>
      </c>
      <c r="I618" s="6">
        <v>3.248672</v>
      </c>
    </row>
    <row r="619" spans="1:9" x14ac:dyDescent="0.25">
      <c r="A619" s="1" t="s">
        <v>102</v>
      </c>
      <c r="B619" s="5">
        <v>0.13</v>
      </c>
      <c r="C619" s="5">
        <v>0.13</v>
      </c>
      <c r="D619" s="5">
        <v>0.13</v>
      </c>
      <c r="E619" s="5">
        <v>0.13</v>
      </c>
      <c r="F619" s="5">
        <v>0.13</v>
      </c>
      <c r="G619" s="5">
        <v>0.13</v>
      </c>
      <c r="H619" s="5">
        <v>0.13</v>
      </c>
      <c r="I619" s="6">
        <v>0</v>
      </c>
    </row>
    <row r="620" spans="1:9" x14ac:dyDescent="0.25">
      <c r="A620" s="1" t="s">
        <v>103</v>
      </c>
      <c r="B620" s="7" t="s">
        <v>58</v>
      </c>
      <c r="C620" s="7" t="s">
        <v>58</v>
      </c>
      <c r="D620" s="7" t="s">
        <v>58</v>
      </c>
      <c r="E620" s="7" t="s">
        <v>58</v>
      </c>
      <c r="F620" s="7" t="s">
        <v>58</v>
      </c>
      <c r="G620" s="7" t="s">
        <v>58</v>
      </c>
      <c r="H620" s="7" t="s">
        <v>58</v>
      </c>
      <c r="I620" s="7" t="s">
        <v>58</v>
      </c>
    </row>
    <row r="621" spans="1:9" x14ac:dyDescent="0.25">
      <c r="A621" s="1" t="s">
        <v>104</v>
      </c>
      <c r="B621" s="5">
        <v>0</v>
      </c>
      <c r="C621" s="5">
        <v>0</v>
      </c>
      <c r="D621" s="5">
        <v>0</v>
      </c>
      <c r="E621" s="5">
        <v>0</v>
      </c>
      <c r="F621" s="5">
        <v>0</v>
      </c>
      <c r="G621" s="5">
        <v>0</v>
      </c>
      <c r="H621" s="5">
        <v>0</v>
      </c>
      <c r="I621" s="7" t="s">
        <v>58</v>
      </c>
    </row>
    <row r="622" spans="1:9" x14ac:dyDescent="0.25">
      <c r="A622" s="1" t="s">
        <v>105</v>
      </c>
      <c r="B622" s="5">
        <v>0</v>
      </c>
      <c r="C622" s="5">
        <v>0</v>
      </c>
      <c r="D622" s="5">
        <v>0</v>
      </c>
      <c r="E622" s="5">
        <v>0</v>
      </c>
      <c r="F622" s="5">
        <v>0</v>
      </c>
      <c r="G622" s="5">
        <v>0</v>
      </c>
      <c r="H622" s="5">
        <v>0</v>
      </c>
      <c r="I622" s="7" t="s">
        <v>58</v>
      </c>
    </row>
    <row r="623" spans="1:9" x14ac:dyDescent="0.25">
      <c r="A623" s="1" t="s">
        <v>106</v>
      </c>
      <c r="B623" s="5">
        <v>0.02</v>
      </c>
      <c r="C623" s="5">
        <v>0.02</v>
      </c>
      <c r="D623" s="5">
        <v>0.02</v>
      </c>
      <c r="E623" s="5">
        <v>0.02</v>
      </c>
      <c r="F623" s="5">
        <v>0.02</v>
      </c>
      <c r="G623" s="5">
        <v>0.02</v>
      </c>
      <c r="H623" s="5">
        <v>0.01</v>
      </c>
      <c r="I623" s="6">
        <v>-10.910128</v>
      </c>
    </row>
    <row r="624" spans="1:9" ht="30" x14ac:dyDescent="0.25">
      <c r="A624" s="1" t="s">
        <v>107</v>
      </c>
      <c r="B624" s="5">
        <v>4.3</v>
      </c>
      <c r="C624" s="5">
        <v>4.2300000000000004</v>
      </c>
      <c r="D624" s="5">
        <v>4.17</v>
      </c>
      <c r="E624" s="5">
        <v>4.1100000000000003</v>
      </c>
      <c r="F624" s="5">
        <v>4.04</v>
      </c>
      <c r="G624" s="5">
        <v>3.98</v>
      </c>
      <c r="H624" s="5">
        <v>3.92</v>
      </c>
      <c r="I624" s="6">
        <v>-1.530227</v>
      </c>
    </row>
    <row r="625" spans="1:9" x14ac:dyDescent="0.25">
      <c r="A625" s="1" t="s">
        <v>108</v>
      </c>
      <c r="B625" s="5">
        <v>0.03</v>
      </c>
      <c r="C625" s="5">
        <v>0.03</v>
      </c>
      <c r="D625" s="5">
        <v>0.03</v>
      </c>
      <c r="E625" s="5">
        <v>0.03</v>
      </c>
      <c r="F625" s="5">
        <v>0.03</v>
      </c>
      <c r="G625" s="5">
        <v>0.03</v>
      </c>
      <c r="H625" s="5">
        <v>0.03</v>
      </c>
      <c r="I625" s="6">
        <v>0</v>
      </c>
    </row>
    <row r="626" spans="1:9" ht="30" x14ac:dyDescent="0.25">
      <c r="A626" s="1" t="s">
        <v>109</v>
      </c>
      <c r="B626" s="5">
        <v>0</v>
      </c>
      <c r="C626" s="5">
        <v>0</v>
      </c>
      <c r="D626" s="5">
        <v>0</v>
      </c>
      <c r="E626" s="5">
        <v>0</v>
      </c>
      <c r="F626" s="5">
        <v>0</v>
      </c>
      <c r="G626" s="5">
        <v>0</v>
      </c>
      <c r="H626" s="5">
        <v>0</v>
      </c>
      <c r="I626" s="7" t="s">
        <v>58</v>
      </c>
    </row>
    <row r="627" spans="1:9" x14ac:dyDescent="0.25">
      <c r="A627" s="1" t="s">
        <v>110</v>
      </c>
      <c r="B627" s="5">
        <v>0.1</v>
      </c>
      <c r="C627" s="5">
        <v>0.11</v>
      </c>
      <c r="D627" s="5">
        <v>0.12</v>
      </c>
      <c r="E627" s="5">
        <v>0.13</v>
      </c>
      <c r="F627" s="5">
        <v>0.14000000000000001</v>
      </c>
      <c r="G627" s="5">
        <v>0.15</v>
      </c>
      <c r="H627" s="5">
        <v>0.16</v>
      </c>
      <c r="I627" s="6">
        <v>8.1483749999999997</v>
      </c>
    </row>
    <row r="628" spans="1:9" x14ac:dyDescent="0.25">
      <c r="A628" s="1" t="s">
        <v>111</v>
      </c>
      <c r="B628" s="5">
        <v>8.2100000000000009</v>
      </c>
      <c r="C628" s="5">
        <v>8.9600000000000009</v>
      </c>
      <c r="D628" s="5">
        <v>9.69</v>
      </c>
      <c r="E628" s="5">
        <v>10.41</v>
      </c>
      <c r="F628" s="5">
        <v>11.11</v>
      </c>
      <c r="G628" s="5">
        <v>11.79</v>
      </c>
      <c r="H628" s="5">
        <v>12.59</v>
      </c>
      <c r="I628" s="6">
        <v>7.385859</v>
      </c>
    </row>
    <row r="629" spans="1:9" x14ac:dyDescent="0.25">
      <c r="A629" s="1" t="s">
        <v>112</v>
      </c>
      <c r="B629" s="5">
        <v>8.56</v>
      </c>
      <c r="C629" s="5">
        <v>10.92</v>
      </c>
      <c r="D629" s="5">
        <v>13.04</v>
      </c>
      <c r="E629" s="5">
        <v>14.85</v>
      </c>
      <c r="F629" s="5">
        <v>16.54</v>
      </c>
      <c r="G629" s="5">
        <v>18.329999999999998</v>
      </c>
      <c r="H629" s="5">
        <v>19.03</v>
      </c>
      <c r="I629" s="6">
        <v>14.242449000000001</v>
      </c>
    </row>
    <row r="630" spans="1:9" x14ac:dyDescent="0.25">
      <c r="A630" s="1" t="s">
        <v>113</v>
      </c>
      <c r="B630" s="5">
        <v>0.4</v>
      </c>
      <c r="C630" s="5">
        <v>0.4</v>
      </c>
      <c r="D630" s="5">
        <v>0.4</v>
      </c>
      <c r="E630" s="5">
        <v>0.4</v>
      </c>
      <c r="F630" s="5">
        <v>0.4</v>
      </c>
      <c r="G630" s="5">
        <v>0.4</v>
      </c>
      <c r="H630" s="5">
        <v>0.4</v>
      </c>
      <c r="I630" s="6">
        <v>0</v>
      </c>
    </row>
    <row r="631" spans="1:9" x14ac:dyDescent="0.25">
      <c r="A631" s="1" t="s">
        <v>114</v>
      </c>
      <c r="B631" s="5">
        <v>0</v>
      </c>
      <c r="C631" s="5">
        <v>0</v>
      </c>
      <c r="D631" s="5">
        <v>0</v>
      </c>
      <c r="E631" s="5">
        <v>0</v>
      </c>
      <c r="F631" s="5">
        <v>0</v>
      </c>
      <c r="G631" s="5">
        <v>0</v>
      </c>
      <c r="H631" s="5">
        <v>0</v>
      </c>
      <c r="I631" s="7" t="s">
        <v>58</v>
      </c>
    </row>
    <row r="632" spans="1:9" ht="30" x14ac:dyDescent="0.25">
      <c r="A632" s="1" t="s">
        <v>115</v>
      </c>
      <c r="B632" s="5">
        <v>2.29</v>
      </c>
      <c r="C632" s="5">
        <v>2.36</v>
      </c>
      <c r="D632" s="5">
        <v>2.48</v>
      </c>
      <c r="E632" s="5">
        <v>2.59</v>
      </c>
      <c r="F632" s="5">
        <v>2.7</v>
      </c>
      <c r="G632" s="5">
        <v>2.8</v>
      </c>
      <c r="H632" s="5">
        <v>2.88</v>
      </c>
      <c r="I632" s="6">
        <v>3.8945660000000002</v>
      </c>
    </row>
    <row r="633" spans="1:9" x14ac:dyDescent="0.25">
      <c r="A633" s="1" t="s">
        <v>116</v>
      </c>
      <c r="B633" s="5">
        <v>2.2000000000000002</v>
      </c>
      <c r="C633" s="5">
        <v>2.85</v>
      </c>
      <c r="D633" s="5">
        <v>3.71</v>
      </c>
      <c r="E633" s="5">
        <v>4.3499999999999996</v>
      </c>
      <c r="F633" s="5">
        <v>5.0999999999999996</v>
      </c>
      <c r="G633" s="5">
        <v>5.99</v>
      </c>
      <c r="H633" s="5">
        <v>7.02</v>
      </c>
      <c r="I633" s="6">
        <v>21.334900999999999</v>
      </c>
    </row>
    <row r="634" spans="1:9" x14ac:dyDescent="0.25">
      <c r="A634" s="1" t="s">
        <v>12</v>
      </c>
      <c r="B634" s="2"/>
      <c r="C634" s="2"/>
      <c r="D634" s="2"/>
      <c r="E634" s="2"/>
      <c r="F634" s="2"/>
      <c r="G634" s="2"/>
      <c r="H634" s="2"/>
      <c r="I634" s="2"/>
    </row>
    <row r="635" spans="1:9" ht="75" x14ac:dyDescent="0.25">
      <c r="A635" s="1" t="s">
        <v>122</v>
      </c>
      <c r="B635" s="2"/>
      <c r="C635" s="2"/>
      <c r="D635" s="2"/>
      <c r="E635" s="2"/>
      <c r="F635" s="2"/>
      <c r="G635" s="2"/>
      <c r="H635" s="2"/>
      <c r="I635" s="2"/>
    </row>
    <row r="636" spans="1:9" x14ac:dyDescent="0.25">
      <c r="A636" s="1" t="s">
        <v>14</v>
      </c>
      <c r="B636" s="5">
        <v>1.24</v>
      </c>
      <c r="C636" s="5">
        <v>1.23</v>
      </c>
      <c r="D636" s="5">
        <v>1.21</v>
      </c>
      <c r="E636" s="5">
        <v>1.2</v>
      </c>
      <c r="F636" s="5">
        <v>1.19</v>
      </c>
      <c r="G636" s="5">
        <v>1.18</v>
      </c>
      <c r="H636" s="5">
        <v>1.17</v>
      </c>
      <c r="I636" s="6">
        <v>-0.96378600000000003</v>
      </c>
    </row>
    <row r="637" spans="1:9" ht="30" x14ac:dyDescent="0.25">
      <c r="A637" s="1" t="s">
        <v>15</v>
      </c>
      <c r="B637" s="5">
        <v>0.39</v>
      </c>
      <c r="C637" s="5">
        <v>0.37</v>
      </c>
      <c r="D637" s="5">
        <v>0.34</v>
      </c>
      <c r="E637" s="5">
        <v>0.34</v>
      </c>
      <c r="F637" s="5">
        <v>0.32</v>
      </c>
      <c r="G637" s="5">
        <v>0.3</v>
      </c>
      <c r="H637" s="5">
        <v>0.26</v>
      </c>
      <c r="I637" s="6">
        <v>-6.5344740000000003</v>
      </c>
    </row>
    <row r="638" spans="1:9" x14ac:dyDescent="0.25">
      <c r="A638" s="1" t="s">
        <v>16</v>
      </c>
      <c r="B638" s="5">
        <v>0</v>
      </c>
      <c r="C638" s="5">
        <v>0</v>
      </c>
      <c r="D638" s="5">
        <v>0</v>
      </c>
      <c r="E638" s="5">
        <v>0</v>
      </c>
      <c r="F638" s="5">
        <v>0</v>
      </c>
      <c r="G638" s="5">
        <v>0</v>
      </c>
      <c r="H638" s="5">
        <v>0</v>
      </c>
      <c r="I638" s="7" t="s">
        <v>58</v>
      </c>
    </row>
    <row r="639" spans="1:9" x14ac:dyDescent="0.25">
      <c r="A639" s="1" t="s">
        <v>17</v>
      </c>
      <c r="B639" s="5">
        <v>0</v>
      </c>
      <c r="C639" s="5">
        <v>0</v>
      </c>
      <c r="D639" s="5">
        <v>0</v>
      </c>
      <c r="E639" s="5">
        <v>0</v>
      </c>
      <c r="F639" s="5">
        <v>0</v>
      </c>
      <c r="G639" s="5">
        <v>0</v>
      </c>
      <c r="H639" s="5">
        <v>0</v>
      </c>
      <c r="I639" s="7" t="s">
        <v>58</v>
      </c>
    </row>
    <row r="640" spans="1:9" x14ac:dyDescent="0.25">
      <c r="A640" s="1" t="s">
        <v>18</v>
      </c>
      <c r="B640" s="5">
        <v>0</v>
      </c>
      <c r="C640" s="5">
        <v>0</v>
      </c>
      <c r="D640" s="5">
        <v>0</v>
      </c>
      <c r="E640" s="5">
        <v>0</v>
      </c>
      <c r="F640" s="5">
        <v>0</v>
      </c>
      <c r="G640" s="5">
        <v>0</v>
      </c>
      <c r="H640" s="5">
        <v>0</v>
      </c>
      <c r="I640" s="7" t="s">
        <v>58</v>
      </c>
    </row>
    <row r="641" spans="1:9" x14ac:dyDescent="0.25">
      <c r="A641" s="1" t="s">
        <v>19</v>
      </c>
      <c r="B641" s="5">
        <v>0</v>
      </c>
      <c r="C641" s="5">
        <v>0</v>
      </c>
      <c r="D641" s="5">
        <v>0</v>
      </c>
      <c r="E641" s="5">
        <v>0</v>
      </c>
      <c r="F641" s="5">
        <v>0</v>
      </c>
      <c r="G641" s="5">
        <v>0</v>
      </c>
      <c r="H641" s="5">
        <v>0</v>
      </c>
      <c r="I641" s="7" t="s">
        <v>58</v>
      </c>
    </row>
    <row r="642" spans="1:9" x14ac:dyDescent="0.25">
      <c r="A642" s="1" t="s">
        <v>20</v>
      </c>
      <c r="B642" s="5">
        <v>0</v>
      </c>
      <c r="C642" s="5">
        <v>0</v>
      </c>
      <c r="D642" s="5">
        <v>0</v>
      </c>
      <c r="E642" s="5">
        <v>0</v>
      </c>
      <c r="F642" s="5">
        <v>0</v>
      </c>
      <c r="G642" s="5">
        <v>0</v>
      </c>
      <c r="H642" s="5">
        <v>0</v>
      </c>
      <c r="I642" s="7" t="s">
        <v>58</v>
      </c>
    </row>
    <row r="643" spans="1:9" x14ac:dyDescent="0.25">
      <c r="A643" s="1" t="s">
        <v>21</v>
      </c>
      <c r="B643" s="7" t="s">
        <v>58</v>
      </c>
      <c r="C643" s="7" t="s">
        <v>58</v>
      </c>
      <c r="D643" s="7" t="s">
        <v>58</v>
      </c>
      <c r="E643" s="7" t="s">
        <v>58</v>
      </c>
      <c r="F643" s="7" t="s">
        <v>58</v>
      </c>
      <c r="G643" s="7" t="s">
        <v>58</v>
      </c>
      <c r="H643" s="7" t="s">
        <v>58</v>
      </c>
      <c r="I643" s="7" t="s">
        <v>58</v>
      </c>
    </row>
    <row r="644" spans="1:9" x14ac:dyDescent="0.25">
      <c r="A644" s="1" t="s">
        <v>22</v>
      </c>
      <c r="B644" s="5">
        <v>0.03</v>
      </c>
      <c r="C644" s="5">
        <v>0.03</v>
      </c>
      <c r="D644" s="5">
        <v>0.04</v>
      </c>
      <c r="E644" s="5">
        <v>0.04</v>
      </c>
      <c r="F644" s="5">
        <v>0.04</v>
      </c>
      <c r="G644" s="5">
        <v>0.04</v>
      </c>
      <c r="H644" s="5">
        <v>0.04</v>
      </c>
      <c r="I644" s="6">
        <v>4.9115060000000001</v>
      </c>
    </row>
    <row r="645" spans="1:9" x14ac:dyDescent="0.25">
      <c r="A645" s="1" t="s">
        <v>23</v>
      </c>
      <c r="B645" s="5">
        <v>0</v>
      </c>
      <c r="C645" s="5">
        <v>0</v>
      </c>
      <c r="D645" s="5">
        <v>0</v>
      </c>
      <c r="E645" s="5">
        <v>0</v>
      </c>
      <c r="F645" s="5">
        <v>0</v>
      </c>
      <c r="G645" s="5">
        <v>0</v>
      </c>
      <c r="H645" s="5">
        <v>0</v>
      </c>
      <c r="I645" s="7" t="s">
        <v>58</v>
      </c>
    </row>
    <row r="646" spans="1:9" x14ac:dyDescent="0.25">
      <c r="A646" s="1" t="s">
        <v>24</v>
      </c>
      <c r="B646" s="5">
        <v>23.64</v>
      </c>
      <c r="C646" s="5">
        <v>22.4</v>
      </c>
      <c r="D646" s="5">
        <v>20.11</v>
      </c>
      <c r="E646" s="5">
        <v>18.059999999999999</v>
      </c>
      <c r="F646" s="5">
        <v>16.21</v>
      </c>
      <c r="G646" s="5">
        <v>14.55</v>
      </c>
      <c r="H646" s="5">
        <v>13.06</v>
      </c>
      <c r="I646" s="6">
        <v>-9.416461</v>
      </c>
    </row>
    <row r="647" spans="1:9" x14ac:dyDescent="0.25">
      <c r="A647" s="1" t="s">
        <v>25</v>
      </c>
      <c r="B647" s="5">
        <v>0</v>
      </c>
      <c r="C647" s="5">
        <v>0</v>
      </c>
      <c r="D647" s="5">
        <v>0</v>
      </c>
      <c r="E647" s="5">
        <v>0</v>
      </c>
      <c r="F647" s="5">
        <v>0</v>
      </c>
      <c r="G647" s="5">
        <v>0</v>
      </c>
      <c r="H647" s="5">
        <v>0</v>
      </c>
      <c r="I647" s="7" t="s">
        <v>58</v>
      </c>
    </row>
    <row r="648" spans="1:9" x14ac:dyDescent="0.25">
      <c r="A648" s="1" t="s">
        <v>26</v>
      </c>
      <c r="B648" s="5">
        <v>0.09</v>
      </c>
      <c r="C648" s="5">
        <v>0.09</v>
      </c>
      <c r="D648" s="5">
        <v>0.09</v>
      </c>
      <c r="E648" s="5">
        <v>0.09</v>
      </c>
      <c r="F648" s="5">
        <v>0.09</v>
      </c>
      <c r="G648" s="5">
        <v>0.09</v>
      </c>
      <c r="H648" s="5">
        <v>0.09</v>
      </c>
      <c r="I648" s="6">
        <v>0</v>
      </c>
    </row>
    <row r="649" spans="1:9" x14ac:dyDescent="0.25">
      <c r="A649" s="1" t="s">
        <v>27</v>
      </c>
      <c r="B649" s="5">
        <v>0</v>
      </c>
      <c r="C649" s="5">
        <v>0</v>
      </c>
      <c r="D649" s="5">
        <v>0</v>
      </c>
      <c r="E649" s="5">
        <v>0</v>
      </c>
      <c r="F649" s="5">
        <v>0</v>
      </c>
      <c r="G649" s="5">
        <v>0</v>
      </c>
      <c r="H649" s="5">
        <v>0</v>
      </c>
      <c r="I649" s="7" t="s">
        <v>58</v>
      </c>
    </row>
    <row r="650" spans="1:9" x14ac:dyDescent="0.25">
      <c r="A650" s="1" t="s">
        <v>28</v>
      </c>
      <c r="B650" s="5">
        <v>0.11</v>
      </c>
      <c r="C650" s="5">
        <v>0.09</v>
      </c>
      <c r="D650" s="5">
        <v>7.0000000000000007E-2</v>
      </c>
      <c r="E650" s="5">
        <v>0.05</v>
      </c>
      <c r="F650" s="5">
        <v>0.04</v>
      </c>
      <c r="G650" s="5">
        <v>0.04</v>
      </c>
      <c r="H650" s="5">
        <v>0.03</v>
      </c>
      <c r="I650" s="6">
        <v>-19.470545000000001</v>
      </c>
    </row>
    <row r="651" spans="1:9" x14ac:dyDescent="0.25">
      <c r="A651" s="1" t="s">
        <v>29</v>
      </c>
      <c r="B651" s="5">
        <v>0.1</v>
      </c>
      <c r="C651" s="5">
        <v>0.1</v>
      </c>
      <c r="D651" s="5">
        <v>0.11</v>
      </c>
      <c r="E651" s="5">
        <v>0.11</v>
      </c>
      <c r="F651" s="5">
        <v>0.11</v>
      </c>
      <c r="G651" s="5">
        <v>0.11</v>
      </c>
      <c r="H651" s="5">
        <v>0.11</v>
      </c>
      <c r="I651" s="6">
        <v>1.6011869999999999</v>
      </c>
    </row>
    <row r="652" spans="1:9" x14ac:dyDescent="0.25">
      <c r="A652" s="1" t="s">
        <v>30</v>
      </c>
      <c r="B652" s="5">
        <v>0</v>
      </c>
      <c r="C652" s="5">
        <v>0</v>
      </c>
      <c r="D652" s="5">
        <v>0</v>
      </c>
      <c r="E652" s="5">
        <v>0</v>
      </c>
      <c r="F652" s="5">
        <v>0</v>
      </c>
      <c r="G652" s="5">
        <v>0</v>
      </c>
      <c r="H652" s="5">
        <v>0</v>
      </c>
      <c r="I652" s="7" t="s">
        <v>58</v>
      </c>
    </row>
    <row r="653" spans="1:9" x14ac:dyDescent="0.25">
      <c r="A653" s="1" t="s">
        <v>31</v>
      </c>
      <c r="B653" s="5">
        <v>0.56999999999999995</v>
      </c>
      <c r="C653" s="5">
        <v>0.62</v>
      </c>
      <c r="D653" s="5">
        <v>0.59</v>
      </c>
      <c r="E653" s="5">
        <v>0.56000000000000005</v>
      </c>
      <c r="F653" s="5">
        <v>0.53</v>
      </c>
      <c r="G653" s="5">
        <v>0.51</v>
      </c>
      <c r="H653" s="5">
        <v>0.48</v>
      </c>
      <c r="I653" s="6">
        <v>-2.8235420000000002</v>
      </c>
    </row>
    <row r="654" spans="1:9" x14ac:dyDescent="0.25">
      <c r="A654" s="1" t="s">
        <v>32</v>
      </c>
      <c r="B654" s="5">
        <v>0.1</v>
      </c>
      <c r="C654" s="5">
        <v>0.1</v>
      </c>
      <c r="D654" s="5">
        <v>0.09</v>
      </c>
      <c r="E654" s="5">
        <v>0.09</v>
      </c>
      <c r="F654" s="5">
        <v>0.08</v>
      </c>
      <c r="G654" s="5">
        <v>0.08</v>
      </c>
      <c r="H654" s="5">
        <v>0.08</v>
      </c>
      <c r="I654" s="6">
        <v>-3.6507520000000002</v>
      </c>
    </row>
    <row r="655" spans="1:9" x14ac:dyDescent="0.25">
      <c r="A655" s="1" t="s">
        <v>33</v>
      </c>
      <c r="B655" s="5">
        <v>0</v>
      </c>
      <c r="C655" s="5">
        <v>0</v>
      </c>
      <c r="D655" s="5">
        <v>0</v>
      </c>
      <c r="E655" s="5">
        <v>0</v>
      </c>
      <c r="F655" s="5">
        <v>0</v>
      </c>
      <c r="G655" s="5">
        <v>0</v>
      </c>
      <c r="H655" s="5">
        <v>0</v>
      </c>
      <c r="I655" s="7" t="s">
        <v>58</v>
      </c>
    </row>
    <row r="656" spans="1:9" ht="30" x14ac:dyDescent="0.25">
      <c r="A656" s="1" t="s">
        <v>34</v>
      </c>
      <c r="B656" s="5">
        <v>0.01</v>
      </c>
      <c r="C656" s="5">
        <v>0.01</v>
      </c>
      <c r="D656" s="5">
        <v>0.01</v>
      </c>
      <c r="E656" s="5">
        <v>0.01</v>
      </c>
      <c r="F656" s="5">
        <v>0.01</v>
      </c>
      <c r="G656" s="5">
        <v>0.01</v>
      </c>
      <c r="H656" s="5">
        <v>0.01</v>
      </c>
      <c r="I656" s="6">
        <v>0</v>
      </c>
    </row>
    <row r="657" spans="1:9" ht="30" x14ac:dyDescent="0.25">
      <c r="A657" s="1" t="s">
        <v>35</v>
      </c>
      <c r="B657" s="5">
        <v>1.1200000000000001</v>
      </c>
      <c r="C657" s="5">
        <v>1.01</v>
      </c>
      <c r="D657" s="5">
        <v>0.91</v>
      </c>
      <c r="E657" s="5">
        <v>0.83</v>
      </c>
      <c r="F657" s="5">
        <v>0.75</v>
      </c>
      <c r="G657" s="5">
        <v>0.68</v>
      </c>
      <c r="H657" s="5">
        <v>0.62</v>
      </c>
      <c r="I657" s="6">
        <v>-9.3859359999999992</v>
      </c>
    </row>
    <row r="658" spans="1:9" x14ac:dyDescent="0.25">
      <c r="A658" s="1" t="s">
        <v>36</v>
      </c>
      <c r="B658" s="5">
        <v>0.06</v>
      </c>
      <c r="C658" s="5">
        <v>0.06</v>
      </c>
      <c r="D658" s="5">
        <v>0.06</v>
      </c>
      <c r="E658" s="5">
        <v>0.05</v>
      </c>
      <c r="F658" s="5">
        <v>0.05</v>
      </c>
      <c r="G658" s="5">
        <v>0.05</v>
      </c>
      <c r="H658" s="5">
        <v>0.05</v>
      </c>
      <c r="I658" s="6">
        <v>-2.992988</v>
      </c>
    </row>
    <row r="659" spans="1:9" x14ac:dyDescent="0.25">
      <c r="A659" s="1" t="s">
        <v>37</v>
      </c>
      <c r="B659" s="5">
        <v>0</v>
      </c>
      <c r="C659" s="5">
        <v>0</v>
      </c>
      <c r="D659" s="5">
        <v>0</v>
      </c>
      <c r="E659" s="5">
        <v>0</v>
      </c>
      <c r="F659" s="5">
        <v>0</v>
      </c>
      <c r="G659" s="5">
        <v>0</v>
      </c>
      <c r="H659" s="5">
        <v>0</v>
      </c>
      <c r="I659" s="7" t="s">
        <v>58</v>
      </c>
    </row>
    <row r="660" spans="1:9" x14ac:dyDescent="0.25">
      <c r="A660" s="1" t="s">
        <v>38</v>
      </c>
      <c r="B660" s="5">
        <v>0.09</v>
      </c>
      <c r="C660" s="5">
        <v>0.09</v>
      </c>
      <c r="D660" s="5">
        <v>0.1</v>
      </c>
      <c r="E660" s="5">
        <v>0.1</v>
      </c>
      <c r="F660" s="5">
        <v>0.1</v>
      </c>
      <c r="G660" s="5">
        <v>0.1</v>
      </c>
      <c r="H660" s="5">
        <v>0.1</v>
      </c>
      <c r="I660" s="6">
        <v>1.771517</v>
      </c>
    </row>
    <row r="661" spans="1:9" x14ac:dyDescent="0.25">
      <c r="A661" s="1" t="s">
        <v>39</v>
      </c>
      <c r="B661" s="5">
        <v>0.44</v>
      </c>
      <c r="C661" s="5">
        <v>0.46</v>
      </c>
      <c r="D661" s="5">
        <v>0.41</v>
      </c>
      <c r="E661" s="5">
        <v>0.37</v>
      </c>
      <c r="F661" s="5">
        <v>0.33</v>
      </c>
      <c r="G661" s="5">
        <v>0.3</v>
      </c>
      <c r="H661" s="5">
        <v>0.27</v>
      </c>
      <c r="I661" s="6">
        <v>-7.8167859999999996</v>
      </c>
    </row>
    <row r="662" spans="1:9" x14ac:dyDescent="0.25">
      <c r="A662" s="1" t="s">
        <v>40</v>
      </c>
      <c r="B662" s="5">
        <v>0.12</v>
      </c>
      <c r="C662" s="5">
        <v>0.12</v>
      </c>
      <c r="D662" s="5">
        <v>0.12</v>
      </c>
      <c r="E662" s="5">
        <v>0.12</v>
      </c>
      <c r="F662" s="5">
        <v>0.12</v>
      </c>
      <c r="G662" s="5">
        <v>0.12</v>
      </c>
      <c r="H662" s="5">
        <v>0.12</v>
      </c>
      <c r="I662" s="6">
        <v>0</v>
      </c>
    </row>
    <row r="663" spans="1:9" x14ac:dyDescent="0.25">
      <c r="A663" s="1" t="s">
        <v>41</v>
      </c>
      <c r="B663" s="7" t="s">
        <v>58</v>
      </c>
      <c r="C663" s="7" t="s">
        <v>58</v>
      </c>
      <c r="D663" s="7" t="s">
        <v>58</v>
      </c>
      <c r="E663" s="7" t="s">
        <v>58</v>
      </c>
      <c r="F663" s="7" t="s">
        <v>58</v>
      </c>
      <c r="G663" s="7" t="s">
        <v>58</v>
      </c>
      <c r="H663" s="7" t="s">
        <v>58</v>
      </c>
      <c r="I663" s="7" t="s">
        <v>58</v>
      </c>
    </row>
    <row r="664" spans="1:9" x14ac:dyDescent="0.25">
      <c r="A664" s="1" t="s">
        <v>42</v>
      </c>
      <c r="B664" s="7" t="s">
        <v>58</v>
      </c>
      <c r="C664" s="7" t="s">
        <v>58</v>
      </c>
      <c r="D664" s="7" t="s">
        <v>58</v>
      </c>
      <c r="E664" s="7" t="s">
        <v>58</v>
      </c>
      <c r="F664" s="7" t="s">
        <v>58</v>
      </c>
      <c r="G664" s="7" t="s">
        <v>58</v>
      </c>
      <c r="H664" s="7" t="s">
        <v>58</v>
      </c>
      <c r="I664" s="7" t="s">
        <v>58</v>
      </c>
    </row>
    <row r="665" spans="1:9" x14ac:dyDescent="0.25">
      <c r="A665" s="1" t="s">
        <v>43</v>
      </c>
      <c r="B665" s="5">
        <v>0.03</v>
      </c>
      <c r="C665" s="5">
        <v>0.03</v>
      </c>
      <c r="D665" s="5">
        <v>0.03</v>
      </c>
      <c r="E665" s="5">
        <v>0.02</v>
      </c>
      <c r="F665" s="5">
        <v>0.02</v>
      </c>
      <c r="G665" s="5">
        <v>0.02</v>
      </c>
      <c r="H665" s="5">
        <v>0.02</v>
      </c>
      <c r="I665" s="6">
        <v>-6.5344740000000003</v>
      </c>
    </row>
    <row r="666" spans="1:9" x14ac:dyDescent="0.25">
      <c r="A666" s="1" t="s">
        <v>44</v>
      </c>
      <c r="B666" s="5">
        <v>0</v>
      </c>
      <c r="C666" s="5">
        <v>0</v>
      </c>
      <c r="D666" s="5">
        <v>0</v>
      </c>
      <c r="E666" s="5">
        <v>0</v>
      </c>
      <c r="F666" s="5">
        <v>0</v>
      </c>
      <c r="G666" s="5">
        <v>0</v>
      </c>
      <c r="H666" s="5">
        <v>0</v>
      </c>
      <c r="I666" s="7" t="s">
        <v>58</v>
      </c>
    </row>
    <row r="667" spans="1:9" x14ac:dyDescent="0.25">
      <c r="A667" s="1" t="s">
        <v>45</v>
      </c>
      <c r="B667" s="5">
        <v>0.25</v>
      </c>
      <c r="C667" s="5">
        <v>0.36</v>
      </c>
      <c r="D667" s="5">
        <v>0.42</v>
      </c>
      <c r="E667" s="5">
        <v>0.5</v>
      </c>
      <c r="F667" s="5">
        <v>0.57999999999999996</v>
      </c>
      <c r="G667" s="5">
        <v>0.66</v>
      </c>
      <c r="H667" s="5">
        <v>0.74</v>
      </c>
      <c r="I667" s="6">
        <v>19.825326</v>
      </c>
    </row>
    <row r="668" spans="1:9" x14ac:dyDescent="0.25">
      <c r="A668" s="1" t="s">
        <v>46</v>
      </c>
      <c r="B668" s="5">
        <v>0.04</v>
      </c>
      <c r="C668" s="5">
        <v>0.03</v>
      </c>
      <c r="D668" s="5">
        <v>0.03</v>
      </c>
      <c r="E668" s="5">
        <v>0.03</v>
      </c>
      <c r="F668" s="5">
        <v>0.03</v>
      </c>
      <c r="G668" s="5">
        <v>0.02</v>
      </c>
      <c r="H668" s="5">
        <v>0.02</v>
      </c>
      <c r="I668" s="6">
        <v>-10.910128</v>
      </c>
    </row>
    <row r="669" spans="1:9" x14ac:dyDescent="0.25">
      <c r="A669" s="1" t="s">
        <v>47</v>
      </c>
      <c r="B669" s="5">
        <v>0</v>
      </c>
      <c r="C669" s="5">
        <v>0</v>
      </c>
      <c r="D669" s="5">
        <v>0</v>
      </c>
      <c r="E669" s="5">
        <v>0</v>
      </c>
      <c r="F669" s="5">
        <v>0</v>
      </c>
      <c r="G669" s="5">
        <v>0</v>
      </c>
      <c r="H669" s="5">
        <v>0</v>
      </c>
      <c r="I669" s="7" t="s">
        <v>58</v>
      </c>
    </row>
    <row r="670" spans="1:9" x14ac:dyDescent="0.25">
      <c r="A670" s="1" t="s">
        <v>48</v>
      </c>
      <c r="B670" s="5">
        <v>1.23</v>
      </c>
      <c r="C670" s="5">
        <v>1.2</v>
      </c>
      <c r="D670" s="5">
        <v>1.08</v>
      </c>
      <c r="E670" s="5">
        <v>1.1100000000000001</v>
      </c>
      <c r="F670" s="5">
        <v>1.05</v>
      </c>
      <c r="G670" s="5">
        <v>0.98</v>
      </c>
      <c r="H670" s="5">
        <v>0.87</v>
      </c>
      <c r="I670" s="6">
        <v>-5.6078910000000004</v>
      </c>
    </row>
    <row r="671" spans="1:9" x14ac:dyDescent="0.25">
      <c r="A671" s="1" t="s">
        <v>49</v>
      </c>
      <c r="B671" s="5">
        <v>0</v>
      </c>
      <c r="C671" s="5">
        <v>0</v>
      </c>
      <c r="D671" s="5">
        <v>0</v>
      </c>
      <c r="E671" s="5">
        <v>0</v>
      </c>
      <c r="F671" s="5">
        <v>0</v>
      </c>
      <c r="G671" s="5">
        <v>0</v>
      </c>
      <c r="H671" s="5">
        <v>0</v>
      </c>
      <c r="I671" s="7" t="s">
        <v>58</v>
      </c>
    </row>
    <row r="672" spans="1:9" x14ac:dyDescent="0.25">
      <c r="A672" s="1" t="s">
        <v>50</v>
      </c>
      <c r="B672" s="5">
        <v>0</v>
      </c>
      <c r="C672" s="5">
        <v>0</v>
      </c>
      <c r="D672" s="5">
        <v>0</v>
      </c>
      <c r="E672" s="5">
        <v>0</v>
      </c>
      <c r="F672" s="5">
        <v>0</v>
      </c>
      <c r="G672" s="5">
        <v>0</v>
      </c>
      <c r="H672" s="5">
        <v>0</v>
      </c>
      <c r="I672" s="7" t="s">
        <v>58</v>
      </c>
    </row>
    <row r="673" spans="1:9" x14ac:dyDescent="0.25">
      <c r="A673" s="1" t="s">
        <v>51</v>
      </c>
      <c r="B673" s="5">
        <v>0</v>
      </c>
      <c r="C673" s="5">
        <v>0</v>
      </c>
      <c r="D673" s="5">
        <v>0</v>
      </c>
      <c r="E673" s="5">
        <v>0</v>
      </c>
      <c r="F673" s="5">
        <v>0</v>
      </c>
      <c r="G673" s="5">
        <v>0</v>
      </c>
      <c r="H673" s="5">
        <v>0</v>
      </c>
      <c r="I673" s="7" t="s">
        <v>58</v>
      </c>
    </row>
    <row r="674" spans="1:9" x14ac:dyDescent="0.25">
      <c r="A674" s="1" t="s">
        <v>52</v>
      </c>
      <c r="B674" s="5">
        <v>0</v>
      </c>
      <c r="C674" s="5">
        <v>0</v>
      </c>
      <c r="D674" s="5">
        <v>0</v>
      </c>
      <c r="E674" s="5">
        <v>0</v>
      </c>
      <c r="F674" s="5">
        <v>0</v>
      </c>
      <c r="G674" s="5">
        <v>0</v>
      </c>
      <c r="H674" s="5">
        <v>0</v>
      </c>
      <c r="I674" s="7" t="s">
        <v>58</v>
      </c>
    </row>
    <row r="675" spans="1:9" x14ac:dyDescent="0.25">
      <c r="A675" s="1" t="s">
        <v>53</v>
      </c>
      <c r="B675" s="5">
        <v>0.01</v>
      </c>
      <c r="C675" s="5">
        <v>0.01</v>
      </c>
      <c r="D675" s="5">
        <v>0.01</v>
      </c>
      <c r="E675" s="5">
        <v>0.01</v>
      </c>
      <c r="F675" s="5">
        <v>0.01</v>
      </c>
      <c r="G675" s="5">
        <v>0.02</v>
      </c>
      <c r="H675" s="5">
        <v>0.02</v>
      </c>
      <c r="I675" s="6">
        <v>12.246205</v>
      </c>
    </row>
    <row r="676" spans="1:9" x14ac:dyDescent="0.25">
      <c r="A676" s="1" t="s">
        <v>54</v>
      </c>
      <c r="B676" s="5">
        <v>0</v>
      </c>
      <c r="C676" s="5">
        <v>0</v>
      </c>
      <c r="D676" s="5">
        <v>0</v>
      </c>
      <c r="E676" s="5">
        <v>0</v>
      </c>
      <c r="F676" s="5">
        <v>0</v>
      </c>
      <c r="G676" s="5">
        <v>0</v>
      </c>
      <c r="H676" s="5">
        <v>0</v>
      </c>
      <c r="I676" s="7" t="s">
        <v>58</v>
      </c>
    </row>
    <row r="677" spans="1:9" x14ac:dyDescent="0.25">
      <c r="A677" s="1" t="s">
        <v>55</v>
      </c>
      <c r="B677" s="5">
        <v>0</v>
      </c>
      <c r="C677" s="5">
        <v>0</v>
      </c>
      <c r="D677" s="5">
        <v>0</v>
      </c>
      <c r="E677" s="5">
        <v>0</v>
      </c>
      <c r="F677" s="5">
        <v>0</v>
      </c>
      <c r="G677" s="5">
        <v>0</v>
      </c>
      <c r="H677" s="5">
        <v>0</v>
      </c>
      <c r="I677" s="7" t="s">
        <v>58</v>
      </c>
    </row>
    <row r="678" spans="1:9" x14ac:dyDescent="0.25">
      <c r="A678" s="1" t="s">
        <v>56</v>
      </c>
      <c r="B678" s="5">
        <v>1.07</v>
      </c>
      <c r="C678" s="5">
        <v>1.0900000000000001</v>
      </c>
      <c r="D678" s="5">
        <v>1.1100000000000001</v>
      </c>
      <c r="E678" s="5">
        <v>1.1299999999999999</v>
      </c>
      <c r="F678" s="5">
        <v>1.1499999999999999</v>
      </c>
      <c r="G678" s="5">
        <v>1.17</v>
      </c>
      <c r="H678" s="5">
        <v>1.19</v>
      </c>
      <c r="I678" s="6">
        <v>1.787363</v>
      </c>
    </row>
    <row r="679" spans="1:9" x14ac:dyDescent="0.25">
      <c r="A679" s="1" t="s">
        <v>57</v>
      </c>
      <c r="B679" s="7" t="s">
        <v>58</v>
      </c>
      <c r="C679" s="7" t="s">
        <v>58</v>
      </c>
      <c r="D679" s="7" t="s">
        <v>58</v>
      </c>
      <c r="E679" s="7" t="s">
        <v>58</v>
      </c>
      <c r="F679" s="7" t="s">
        <v>58</v>
      </c>
      <c r="G679" s="7" t="s">
        <v>58</v>
      </c>
      <c r="H679" s="7" t="s">
        <v>58</v>
      </c>
      <c r="I679" s="7" t="s">
        <v>58</v>
      </c>
    </row>
    <row r="680" spans="1:9" x14ac:dyDescent="0.25">
      <c r="A680" s="1" t="s">
        <v>59</v>
      </c>
      <c r="B680" s="5">
        <v>0</v>
      </c>
      <c r="C680" s="5">
        <v>0</v>
      </c>
      <c r="D680" s="5">
        <v>0</v>
      </c>
      <c r="E680" s="5">
        <v>0</v>
      </c>
      <c r="F680" s="5">
        <v>0</v>
      </c>
      <c r="G680" s="5">
        <v>0</v>
      </c>
      <c r="H680" s="5">
        <v>0</v>
      </c>
      <c r="I680" s="7" t="s">
        <v>58</v>
      </c>
    </row>
    <row r="681" spans="1:9" x14ac:dyDescent="0.25">
      <c r="A681" s="1" t="s">
        <v>60</v>
      </c>
      <c r="B681" s="5">
        <v>0</v>
      </c>
      <c r="C681" s="5">
        <v>0</v>
      </c>
      <c r="D681" s="5">
        <v>0</v>
      </c>
      <c r="E681" s="5">
        <v>0</v>
      </c>
      <c r="F681" s="5">
        <v>0</v>
      </c>
      <c r="G681" s="5">
        <v>0</v>
      </c>
      <c r="H681" s="5">
        <v>0</v>
      </c>
      <c r="I681" s="7" t="s">
        <v>58</v>
      </c>
    </row>
    <row r="682" spans="1:9" ht="45" x14ac:dyDescent="0.25">
      <c r="A682" s="1" t="s">
        <v>61</v>
      </c>
      <c r="B682" s="5">
        <v>0.13</v>
      </c>
      <c r="C682" s="5">
        <v>0.13</v>
      </c>
      <c r="D682" s="5">
        <v>0.13</v>
      </c>
      <c r="E682" s="5">
        <v>0.13</v>
      </c>
      <c r="F682" s="5">
        <v>0.13</v>
      </c>
      <c r="G682" s="5">
        <v>0.13</v>
      </c>
      <c r="H682" s="5">
        <v>0.13</v>
      </c>
      <c r="I682" s="6">
        <v>0</v>
      </c>
    </row>
    <row r="683" spans="1:9" x14ac:dyDescent="0.25">
      <c r="A683" s="1" t="s">
        <v>62</v>
      </c>
      <c r="B683" s="5">
        <v>1.32</v>
      </c>
      <c r="C683" s="5">
        <v>1.23</v>
      </c>
      <c r="D683" s="5">
        <v>1.1100000000000001</v>
      </c>
      <c r="E683" s="5">
        <v>1.01</v>
      </c>
      <c r="F683" s="5">
        <v>0.93</v>
      </c>
      <c r="G683" s="5">
        <v>0.86</v>
      </c>
      <c r="H683" s="5">
        <v>0.79</v>
      </c>
      <c r="I683" s="6">
        <v>-8.2001030000000004</v>
      </c>
    </row>
    <row r="684" spans="1:9" x14ac:dyDescent="0.25">
      <c r="A684" s="1" t="s">
        <v>63</v>
      </c>
      <c r="B684" s="5">
        <v>0</v>
      </c>
      <c r="C684" s="5">
        <v>0</v>
      </c>
      <c r="D684" s="5">
        <v>0</v>
      </c>
      <c r="E684" s="5">
        <v>0</v>
      </c>
      <c r="F684" s="5">
        <v>0</v>
      </c>
      <c r="G684" s="5">
        <v>0</v>
      </c>
      <c r="H684" s="5">
        <v>0</v>
      </c>
      <c r="I684" s="7" t="s">
        <v>58</v>
      </c>
    </row>
    <row r="685" spans="1:9" x14ac:dyDescent="0.25">
      <c r="A685" s="1" t="s">
        <v>64</v>
      </c>
      <c r="B685" s="5">
        <v>0.17</v>
      </c>
      <c r="C685" s="5">
        <v>0.15</v>
      </c>
      <c r="D685" s="5">
        <v>0.13</v>
      </c>
      <c r="E685" s="5">
        <v>0.11</v>
      </c>
      <c r="F685" s="5">
        <v>0.1</v>
      </c>
      <c r="G685" s="5">
        <v>0.09</v>
      </c>
      <c r="H685" s="5">
        <v>0.08</v>
      </c>
      <c r="I685" s="6">
        <v>-11.805769</v>
      </c>
    </row>
    <row r="686" spans="1:9" x14ac:dyDescent="0.25">
      <c r="A686" s="1" t="s">
        <v>65</v>
      </c>
      <c r="B686" s="5">
        <v>0</v>
      </c>
      <c r="C686" s="5">
        <v>0</v>
      </c>
      <c r="D686" s="5">
        <v>0</v>
      </c>
      <c r="E686" s="5">
        <v>0</v>
      </c>
      <c r="F686" s="5">
        <v>0</v>
      </c>
      <c r="G686" s="5">
        <v>0</v>
      </c>
      <c r="H686" s="5">
        <v>0</v>
      </c>
      <c r="I686" s="7" t="s">
        <v>58</v>
      </c>
    </row>
    <row r="687" spans="1:9" x14ac:dyDescent="0.25">
      <c r="A687" s="1" t="s">
        <v>66</v>
      </c>
      <c r="B687" s="5">
        <v>0</v>
      </c>
      <c r="C687" s="5">
        <v>0</v>
      </c>
      <c r="D687" s="5">
        <v>0</v>
      </c>
      <c r="E687" s="5">
        <v>0</v>
      </c>
      <c r="F687" s="5">
        <v>0</v>
      </c>
      <c r="G687" s="5">
        <v>0</v>
      </c>
      <c r="H687" s="5">
        <v>0</v>
      </c>
      <c r="I687" s="7" t="s">
        <v>58</v>
      </c>
    </row>
    <row r="688" spans="1:9" ht="30" x14ac:dyDescent="0.25">
      <c r="A688" s="1" t="s">
        <v>67</v>
      </c>
      <c r="B688" s="5">
        <v>0.01</v>
      </c>
      <c r="C688" s="5">
        <v>0.01</v>
      </c>
      <c r="D688" s="5">
        <v>0.01</v>
      </c>
      <c r="E688" s="5">
        <v>0.01</v>
      </c>
      <c r="F688" s="5">
        <v>0.01</v>
      </c>
      <c r="G688" s="5">
        <v>0.01</v>
      </c>
      <c r="H688" s="5">
        <v>0.01</v>
      </c>
      <c r="I688" s="6">
        <v>0</v>
      </c>
    </row>
    <row r="689" spans="1:9" x14ac:dyDescent="0.25">
      <c r="A689" s="1" t="s">
        <v>68</v>
      </c>
      <c r="B689" s="7" t="s">
        <v>58</v>
      </c>
      <c r="C689" s="7" t="s">
        <v>58</v>
      </c>
      <c r="D689" s="7" t="s">
        <v>58</v>
      </c>
      <c r="E689" s="7" t="s">
        <v>58</v>
      </c>
      <c r="F689" s="7" t="s">
        <v>58</v>
      </c>
      <c r="G689" s="7" t="s">
        <v>58</v>
      </c>
      <c r="H689" s="7" t="s">
        <v>58</v>
      </c>
      <c r="I689" s="7" t="s">
        <v>58</v>
      </c>
    </row>
    <row r="690" spans="1:9" x14ac:dyDescent="0.25">
      <c r="A690" s="1" t="s">
        <v>69</v>
      </c>
      <c r="B690" s="5">
        <v>0</v>
      </c>
      <c r="C690" s="5">
        <v>0</v>
      </c>
      <c r="D690" s="5">
        <v>0</v>
      </c>
      <c r="E690" s="5">
        <v>0</v>
      </c>
      <c r="F690" s="5">
        <v>0</v>
      </c>
      <c r="G690" s="5">
        <v>0</v>
      </c>
      <c r="H690" s="5">
        <v>0</v>
      </c>
      <c r="I690" s="7" t="s">
        <v>58</v>
      </c>
    </row>
    <row r="691" spans="1:9" x14ac:dyDescent="0.25">
      <c r="A691" s="1" t="s">
        <v>70</v>
      </c>
      <c r="B691" s="7" t="s">
        <v>58</v>
      </c>
      <c r="C691" s="7" t="s">
        <v>58</v>
      </c>
      <c r="D691" s="7" t="s">
        <v>58</v>
      </c>
      <c r="E691" s="7" t="s">
        <v>58</v>
      </c>
      <c r="F691" s="7" t="s">
        <v>58</v>
      </c>
      <c r="G691" s="7" t="s">
        <v>58</v>
      </c>
      <c r="H691" s="7" t="s">
        <v>58</v>
      </c>
      <c r="I691" s="7" t="s">
        <v>58</v>
      </c>
    </row>
    <row r="692" spans="1:9" x14ac:dyDescent="0.25">
      <c r="A692" s="1" t="s">
        <v>71</v>
      </c>
      <c r="B692" s="5">
        <v>0</v>
      </c>
      <c r="C692" s="5">
        <v>0</v>
      </c>
      <c r="D692" s="5">
        <v>0</v>
      </c>
      <c r="E692" s="5">
        <v>0</v>
      </c>
      <c r="F692" s="5">
        <v>0</v>
      </c>
      <c r="G692" s="5">
        <v>0</v>
      </c>
      <c r="H692" s="5">
        <v>0</v>
      </c>
      <c r="I692" s="7" t="s">
        <v>58</v>
      </c>
    </row>
    <row r="693" spans="1:9" x14ac:dyDescent="0.25">
      <c r="A693" s="1" t="s">
        <v>72</v>
      </c>
      <c r="B693" s="5">
        <v>0.1</v>
      </c>
      <c r="C693" s="5">
        <v>0.11</v>
      </c>
      <c r="D693" s="5">
        <v>0.11</v>
      </c>
      <c r="E693" s="5">
        <v>0.11</v>
      </c>
      <c r="F693" s="5">
        <v>0.11</v>
      </c>
      <c r="G693" s="5">
        <v>0.11</v>
      </c>
      <c r="H693" s="5">
        <v>0.12</v>
      </c>
      <c r="I693" s="6">
        <v>3.0853320000000002</v>
      </c>
    </row>
    <row r="694" spans="1:9" x14ac:dyDescent="0.25">
      <c r="A694" s="1" t="s">
        <v>73</v>
      </c>
      <c r="B694" s="7" t="s">
        <v>58</v>
      </c>
      <c r="C694" s="7" t="s">
        <v>58</v>
      </c>
      <c r="D694" s="7" t="s">
        <v>58</v>
      </c>
      <c r="E694" s="7" t="s">
        <v>58</v>
      </c>
      <c r="F694" s="7" t="s">
        <v>58</v>
      </c>
      <c r="G694" s="7" t="s">
        <v>58</v>
      </c>
      <c r="H694" s="7" t="s">
        <v>58</v>
      </c>
      <c r="I694" s="7" t="s">
        <v>58</v>
      </c>
    </row>
    <row r="695" spans="1:9" ht="30" x14ac:dyDescent="0.25">
      <c r="A695" s="1" t="s">
        <v>74</v>
      </c>
      <c r="B695" s="5">
        <v>0.01</v>
      </c>
      <c r="C695" s="5">
        <v>0.01</v>
      </c>
      <c r="D695" s="5">
        <v>0.01</v>
      </c>
      <c r="E695" s="5">
        <v>0.01</v>
      </c>
      <c r="F695" s="5">
        <v>0.01</v>
      </c>
      <c r="G695" s="5">
        <v>0.01</v>
      </c>
      <c r="H695" s="5">
        <v>0.01</v>
      </c>
      <c r="I695" s="6">
        <v>0</v>
      </c>
    </row>
    <row r="696" spans="1:9" x14ac:dyDescent="0.25">
      <c r="A696" s="1" t="s">
        <v>75</v>
      </c>
      <c r="B696" s="5">
        <v>0.04</v>
      </c>
      <c r="C696" s="5">
        <v>0.04</v>
      </c>
      <c r="D696" s="5">
        <v>0.04</v>
      </c>
      <c r="E696" s="5">
        <v>0.04</v>
      </c>
      <c r="F696" s="5">
        <v>0.04</v>
      </c>
      <c r="G696" s="5">
        <v>0.04</v>
      </c>
      <c r="H696" s="5">
        <v>0.04</v>
      </c>
      <c r="I696" s="6">
        <v>0</v>
      </c>
    </row>
    <row r="697" spans="1:9" x14ac:dyDescent="0.25">
      <c r="A697" s="1" t="s">
        <v>76</v>
      </c>
      <c r="B697" s="5">
        <v>0</v>
      </c>
      <c r="C697" s="5">
        <v>0</v>
      </c>
      <c r="D697" s="5">
        <v>0</v>
      </c>
      <c r="E697" s="5">
        <v>0</v>
      </c>
      <c r="F697" s="5">
        <v>0</v>
      </c>
      <c r="G697" s="5">
        <v>0</v>
      </c>
      <c r="H697" s="5">
        <v>0</v>
      </c>
      <c r="I697" s="7" t="s">
        <v>58</v>
      </c>
    </row>
    <row r="698" spans="1:9" ht="45" x14ac:dyDescent="0.25">
      <c r="A698" s="1" t="s">
        <v>77</v>
      </c>
      <c r="B698" s="5">
        <v>0.01</v>
      </c>
      <c r="C698" s="5">
        <v>0.01</v>
      </c>
      <c r="D698" s="5">
        <v>0.01</v>
      </c>
      <c r="E698" s="5">
        <v>0.01</v>
      </c>
      <c r="F698" s="5">
        <v>0.01</v>
      </c>
      <c r="G698" s="5">
        <v>0.01</v>
      </c>
      <c r="H698" s="5">
        <v>0.01</v>
      </c>
      <c r="I698" s="6">
        <v>0</v>
      </c>
    </row>
    <row r="699" spans="1:9" ht="45" x14ac:dyDescent="0.25">
      <c r="A699" s="1" t="s">
        <v>78</v>
      </c>
      <c r="B699" s="5">
        <v>0.43</v>
      </c>
      <c r="C699" s="5">
        <v>0.4</v>
      </c>
      <c r="D699" s="5">
        <v>0.38</v>
      </c>
      <c r="E699" s="5">
        <v>0.35</v>
      </c>
      <c r="F699" s="5">
        <v>0.33</v>
      </c>
      <c r="G699" s="5">
        <v>0.32</v>
      </c>
      <c r="H699" s="5">
        <v>0.3</v>
      </c>
      <c r="I699" s="6">
        <v>-5.8235900000000003</v>
      </c>
    </row>
    <row r="700" spans="1:9" ht="60" x14ac:dyDescent="0.25">
      <c r="A700" s="1" t="s">
        <v>79</v>
      </c>
      <c r="B700" s="7" t="s">
        <v>58</v>
      </c>
      <c r="C700" s="7" t="s">
        <v>58</v>
      </c>
      <c r="D700" s="7" t="s">
        <v>58</v>
      </c>
      <c r="E700" s="7" t="s">
        <v>58</v>
      </c>
      <c r="F700" s="7" t="s">
        <v>58</v>
      </c>
      <c r="G700" s="7" t="s">
        <v>58</v>
      </c>
      <c r="H700" s="7" t="s">
        <v>58</v>
      </c>
      <c r="I700" s="7" t="s">
        <v>58</v>
      </c>
    </row>
    <row r="701" spans="1:9" ht="45" x14ac:dyDescent="0.25">
      <c r="A701" s="1" t="s">
        <v>80</v>
      </c>
      <c r="B701" s="7" t="s">
        <v>58</v>
      </c>
      <c r="C701" s="7" t="s">
        <v>58</v>
      </c>
      <c r="D701" s="7" t="s">
        <v>58</v>
      </c>
      <c r="E701" s="7" t="s">
        <v>58</v>
      </c>
      <c r="F701" s="7" t="s">
        <v>58</v>
      </c>
      <c r="G701" s="7" t="s">
        <v>58</v>
      </c>
      <c r="H701" s="7" t="s">
        <v>58</v>
      </c>
      <c r="I701" s="7" t="s">
        <v>58</v>
      </c>
    </row>
    <row r="702" spans="1:9" ht="45" x14ac:dyDescent="0.25">
      <c r="A702" s="1" t="s">
        <v>81</v>
      </c>
      <c r="B702" s="5">
        <v>0</v>
      </c>
      <c r="C702" s="5">
        <v>0</v>
      </c>
      <c r="D702" s="5">
        <v>0</v>
      </c>
      <c r="E702" s="5">
        <v>0</v>
      </c>
      <c r="F702" s="5">
        <v>0</v>
      </c>
      <c r="G702" s="5">
        <v>0</v>
      </c>
      <c r="H702" s="5">
        <v>0</v>
      </c>
      <c r="I702" s="7" t="s">
        <v>58</v>
      </c>
    </row>
    <row r="703" spans="1:9" x14ac:dyDescent="0.25">
      <c r="A703" s="1" t="s">
        <v>82</v>
      </c>
      <c r="B703" s="5">
        <v>0</v>
      </c>
      <c r="C703" s="5">
        <v>0</v>
      </c>
      <c r="D703" s="5">
        <v>0</v>
      </c>
      <c r="E703" s="5">
        <v>0</v>
      </c>
      <c r="F703" s="5">
        <v>0</v>
      </c>
      <c r="G703" s="5">
        <v>0</v>
      </c>
      <c r="H703" s="5">
        <v>0</v>
      </c>
      <c r="I703" s="7" t="s">
        <v>58</v>
      </c>
    </row>
    <row r="704" spans="1:9" x14ac:dyDescent="0.25">
      <c r="A704" s="1" t="s">
        <v>83</v>
      </c>
      <c r="B704" s="5">
        <v>0</v>
      </c>
      <c r="C704" s="5">
        <v>0</v>
      </c>
      <c r="D704" s="5">
        <v>0</v>
      </c>
      <c r="E704" s="5">
        <v>0</v>
      </c>
      <c r="F704" s="5">
        <v>0</v>
      </c>
      <c r="G704" s="5">
        <v>0</v>
      </c>
      <c r="H704" s="5">
        <v>0</v>
      </c>
      <c r="I704" s="7" t="s">
        <v>58</v>
      </c>
    </row>
    <row r="705" spans="1:9" x14ac:dyDescent="0.25">
      <c r="A705" s="1" t="s">
        <v>84</v>
      </c>
      <c r="B705" s="5">
        <v>2.4</v>
      </c>
      <c r="C705" s="5">
        <v>2.4</v>
      </c>
      <c r="D705" s="5">
        <v>2.4</v>
      </c>
      <c r="E705" s="5">
        <v>2.4</v>
      </c>
      <c r="F705" s="5">
        <v>2.4</v>
      </c>
      <c r="G705" s="5">
        <v>2.4</v>
      </c>
      <c r="H705" s="5">
        <v>2.4</v>
      </c>
      <c r="I705" s="6">
        <v>0</v>
      </c>
    </row>
    <row r="706" spans="1:9" x14ac:dyDescent="0.25">
      <c r="A706" s="1" t="s">
        <v>85</v>
      </c>
      <c r="B706" s="5">
        <v>0</v>
      </c>
      <c r="C706" s="5">
        <v>0</v>
      </c>
      <c r="D706" s="5">
        <v>0</v>
      </c>
      <c r="E706" s="5">
        <v>0</v>
      </c>
      <c r="F706" s="5">
        <v>0</v>
      </c>
      <c r="G706" s="5">
        <v>0</v>
      </c>
      <c r="H706" s="5">
        <v>0</v>
      </c>
      <c r="I706" s="7" t="s">
        <v>58</v>
      </c>
    </row>
    <row r="707" spans="1:9" x14ac:dyDescent="0.25">
      <c r="A707" s="1" t="s">
        <v>86</v>
      </c>
      <c r="B707" s="5">
        <v>0.03</v>
      </c>
      <c r="C707" s="5">
        <v>0.03</v>
      </c>
      <c r="D707" s="5">
        <v>0.03</v>
      </c>
      <c r="E707" s="5">
        <v>0.03</v>
      </c>
      <c r="F707" s="5">
        <v>0.03</v>
      </c>
      <c r="G707" s="5">
        <v>0.03</v>
      </c>
      <c r="H707" s="5">
        <v>0.03</v>
      </c>
      <c r="I707" s="6">
        <v>0</v>
      </c>
    </row>
    <row r="708" spans="1:9" x14ac:dyDescent="0.25">
      <c r="A708" s="1" t="s">
        <v>87</v>
      </c>
      <c r="B708" s="5">
        <v>0.02</v>
      </c>
      <c r="C708" s="5">
        <v>0.02</v>
      </c>
      <c r="D708" s="5">
        <v>0.02</v>
      </c>
      <c r="E708" s="5">
        <v>0.02</v>
      </c>
      <c r="F708" s="5">
        <v>0.02</v>
      </c>
      <c r="G708" s="5">
        <v>0.02</v>
      </c>
      <c r="H708" s="5">
        <v>0.02</v>
      </c>
      <c r="I708" s="6">
        <v>0</v>
      </c>
    </row>
    <row r="709" spans="1:9" x14ac:dyDescent="0.25">
      <c r="A709" s="1" t="s">
        <v>88</v>
      </c>
      <c r="B709" s="5">
        <v>2.75</v>
      </c>
      <c r="C709" s="5">
        <v>2.52</v>
      </c>
      <c r="D709" s="5">
        <v>2.29</v>
      </c>
      <c r="E709" s="5">
        <v>2.06</v>
      </c>
      <c r="F709" s="5">
        <v>1.84</v>
      </c>
      <c r="G709" s="5">
        <v>1.62</v>
      </c>
      <c r="H709" s="5">
        <v>1.41</v>
      </c>
      <c r="I709" s="6">
        <v>-10.536118999999999</v>
      </c>
    </row>
    <row r="710" spans="1:9" x14ac:dyDescent="0.25">
      <c r="A710" s="1" t="s">
        <v>89</v>
      </c>
      <c r="B710" s="5">
        <v>0</v>
      </c>
      <c r="C710" s="5">
        <v>0</v>
      </c>
      <c r="D710" s="5">
        <v>0</v>
      </c>
      <c r="E710" s="5">
        <v>0</v>
      </c>
      <c r="F710" s="5">
        <v>0</v>
      </c>
      <c r="G710" s="5">
        <v>0</v>
      </c>
      <c r="H710" s="5">
        <v>0</v>
      </c>
      <c r="I710" s="7" t="s">
        <v>58</v>
      </c>
    </row>
    <row r="711" spans="1:9" x14ac:dyDescent="0.25">
      <c r="A711" s="1" t="s">
        <v>90</v>
      </c>
      <c r="B711" s="5">
        <v>0</v>
      </c>
      <c r="C711" s="5">
        <v>0</v>
      </c>
      <c r="D711" s="5">
        <v>0</v>
      </c>
      <c r="E711" s="5">
        <v>0</v>
      </c>
      <c r="F711" s="5">
        <v>0</v>
      </c>
      <c r="G711" s="5">
        <v>0</v>
      </c>
      <c r="H711" s="5">
        <v>0</v>
      </c>
      <c r="I711" s="7" t="s">
        <v>58</v>
      </c>
    </row>
    <row r="712" spans="1:9" x14ac:dyDescent="0.25">
      <c r="A712" s="1" t="s">
        <v>91</v>
      </c>
      <c r="B712" s="5">
        <v>0</v>
      </c>
      <c r="C712" s="5">
        <v>0</v>
      </c>
      <c r="D712" s="5">
        <v>0</v>
      </c>
      <c r="E712" s="5">
        <v>0</v>
      </c>
      <c r="F712" s="5">
        <v>0</v>
      </c>
      <c r="G712" s="5">
        <v>0</v>
      </c>
      <c r="H712" s="5">
        <v>0</v>
      </c>
      <c r="I712" s="7" t="s">
        <v>58</v>
      </c>
    </row>
    <row r="713" spans="1:9" x14ac:dyDescent="0.25">
      <c r="A713" s="1" t="s">
        <v>92</v>
      </c>
      <c r="B713" s="5">
        <v>3.09</v>
      </c>
      <c r="C713" s="5">
        <v>1.85</v>
      </c>
      <c r="D713" s="5">
        <v>1.57</v>
      </c>
      <c r="E713" s="5">
        <v>1.34</v>
      </c>
      <c r="F713" s="5">
        <v>1.1299999999999999</v>
      </c>
      <c r="G713" s="5">
        <v>1.02</v>
      </c>
      <c r="H713" s="5">
        <v>0.92</v>
      </c>
      <c r="I713" s="6">
        <v>-18.284416</v>
      </c>
    </row>
    <row r="714" spans="1:9" x14ac:dyDescent="0.25">
      <c r="A714" s="1" t="s">
        <v>93</v>
      </c>
      <c r="B714" s="5">
        <v>0.01</v>
      </c>
      <c r="C714" s="5">
        <v>0.01</v>
      </c>
      <c r="D714" s="5">
        <v>0.01</v>
      </c>
      <c r="E714" s="5">
        <v>0.01</v>
      </c>
      <c r="F714" s="5">
        <v>0.01</v>
      </c>
      <c r="G714" s="5">
        <v>0.01</v>
      </c>
      <c r="H714" s="5">
        <v>0.01</v>
      </c>
      <c r="I714" s="6">
        <v>0</v>
      </c>
    </row>
    <row r="715" spans="1:9" x14ac:dyDescent="0.25">
      <c r="A715" s="1" t="s">
        <v>94</v>
      </c>
      <c r="B715" s="5">
        <v>0</v>
      </c>
      <c r="C715" s="5">
        <v>0</v>
      </c>
      <c r="D715" s="5">
        <v>0</v>
      </c>
      <c r="E715" s="5">
        <v>0</v>
      </c>
      <c r="F715" s="5">
        <v>0</v>
      </c>
      <c r="G715" s="5">
        <v>0</v>
      </c>
      <c r="H715" s="5">
        <v>0</v>
      </c>
      <c r="I715" s="7" t="s">
        <v>58</v>
      </c>
    </row>
    <row r="716" spans="1:9" x14ac:dyDescent="0.25">
      <c r="A716" s="1" t="s">
        <v>95</v>
      </c>
      <c r="B716" s="5">
        <v>0.43</v>
      </c>
      <c r="C716" s="5">
        <v>0.43</v>
      </c>
      <c r="D716" s="5">
        <v>0.41</v>
      </c>
      <c r="E716" s="5">
        <v>0.39</v>
      </c>
      <c r="F716" s="5">
        <v>0.37</v>
      </c>
      <c r="G716" s="5">
        <v>0.35</v>
      </c>
      <c r="H716" s="5">
        <v>0.33</v>
      </c>
      <c r="I716" s="6">
        <v>-4.3156489999999996</v>
      </c>
    </row>
    <row r="717" spans="1:9" x14ac:dyDescent="0.25">
      <c r="A717" s="1" t="s">
        <v>96</v>
      </c>
      <c r="B717" s="5">
        <v>0</v>
      </c>
      <c r="C717" s="5">
        <v>0</v>
      </c>
      <c r="D717" s="5">
        <v>0</v>
      </c>
      <c r="E717" s="5">
        <v>0</v>
      </c>
      <c r="F717" s="5">
        <v>0</v>
      </c>
      <c r="G717" s="5">
        <v>0</v>
      </c>
      <c r="H717" s="5">
        <v>0</v>
      </c>
      <c r="I717" s="7" t="s">
        <v>58</v>
      </c>
    </row>
    <row r="718" spans="1:9" x14ac:dyDescent="0.25">
      <c r="A718" s="1" t="s">
        <v>97</v>
      </c>
      <c r="B718" s="5">
        <v>7.0000000000000007E-2</v>
      </c>
      <c r="C718" s="5">
        <v>0.63</v>
      </c>
      <c r="D718" s="5">
        <v>0.6</v>
      </c>
      <c r="E718" s="5">
        <v>0.56999999999999995</v>
      </c>
      <c r="F718" s="5">
        <v>0.54</v>
      </c>
      <c r="G718" s="5">
        <v>0.51</v>
      </c>
      <c r="H718" s="5">
        <v>0.49</v>
      </c>
      <c r="I718" s="6">
        <v>38.308754999999998</v>
      </c>
    </row>
    <row r="719" spans="1:9" x14ac:dyDescent="0.25">
      <c r="A719" s="1" t="s">
        <v>98</v>
      </c>
      <c r="B719" s="5">
        <v>6.87</v>
      </c>
      <c r="C719" s="5">
        <v>6.7</v>
      </c>
      <c r="D719" s="5">
        <v>6.55</v>
      </c>
      <c r="E719" s="5">
        <v>6.39</v>
      </c>
      <c r="F719" s="5">
        <v>6.24</v>
      </c>
      <c r="G719" s="5">
        <v>6.1</v>
      </c>
      <c r="H719" s="5">
        <v>5.96</v>
      </c>
      <c r="I719" s="6">
        <v>-2.3404050000000001</v>
      </c>
    </row>
    <row r="720" spans="1:9" x14ac:dyDescent="0.25">
      <c r="A720" s="1" t="s">
        <v>99</v>
      </c>
      <c r="B720" s="5">
        <v>0.06</v>
      </c>
      <c r="C720" s="5">
        <v>0.06</v>
      </c>
      <c r="D720" s="5">
        <v>0.06</v>
      </c>
      <c r="E720" s="5">
        <v>0.06</v>
      </c>
      <c r="F720" s="5">
        <v>0.06</v>
      </c>
      <c r="G720" s="5">
        <v>0.06</v>
      </c>
      <c r="H720" s="5">
        <v>0.06</v>
      </c>
      <c r="I720" s="6">
        <v>0</v>
      </c>
    </row>
    <row r="721" spans="1:9" x14ac:dyDescent="0.25">
      <c r="A721" s="1" t="s">
        <v>100</v>
      </c>
      <c r="B721" s="5">
        <v>0</v>
      </c>
      <c r="C721" s="5">
        <v>0</v>
      </c>
      <c r="D721" s="5">
        <v>0</v>
      </c>
      <c r="E721" s="5">
        <v>0</v>
      </c>
      <c r="F721" s="5">
        <v>0</v>
      </c>
      <c r="G721" s="5">
        <v>0</v>
      </c>
      <c r="H721" s="5">
        <v>0</v>
      </c>
      <c r="I721" s="7" t="s">
        <v>58</v>
      </c>
    </row>
    <row r="722" spans="1:9" x14ac:dyDescent="0.25">
      <c r="A722" s="1" t="s">
        <v>101</v>
      </c>
      <c r="B722" s="5">
        <v>0.06</v>
      </c>
      <c r="C722" s="5">
        <v>0.06</v>
      </c>
      <c r="D722" s="5">
        <v>0.06</v>
      </c>
      <c r="E722" s="5">
        <v>0.06</v>
      </c>
      <c r="F722" s="5">
        <v>0.06</v>
      </c>
      <c r="G722" s="5">
        <v>0.05</v>
      </c>
      <c r="H722" s="5">
        <v>0.05</v>
      </c>
      <c r="I722" s="6">
        <v>-2.992988</v>
      </c>
    </row>
    <row r="723" spans="1:9" x14ac:dyDescent="0.25">
      <c r="A723" s="1" t="s">
        <v>102</v>
      </c>
      <c r="B723" s="5">
        <v>0</v>
      </c>
      <c r="C723" s="5">
        <v>0</v>
      </c>
      <c r="D723" s="5">
        <v>0</v>
      </c>
      <c r="E723" s="5">
        <v>0</v>
      </c>
      <c r="F723" s="5">
        <v>0</v>
      </c>
      <c r="G723" s="5">
        <v>0</v>
      </c>
      <c r="H723" s="5">
        <v>0</v>
      </c>
      <c r="I723" s="7" t="s">
        <v>58</v>
      </c>
    </row>
    <row r="724" spans="1:9" x14ac:dyDescent="0.25">
      <c r="A724" s="1" t="s">
        <v>103</v>
      </c>
      <c r="B724" s="5">
        <v>0.09</v>
      </c>
      <c r="C724" s="5">
        <v>0.09</v>
      </c>
      <c r="D724" s="5">
        <v>0.09</v>
      </c>
      <c r="E724" s="5">
        <v>0.09</v>
      </c>
      <c r="F724" s="5">
        <v>0.08</v>
      </c>
      <c r="G724" s="5">
        <v>0.08</v>
      </c>
      <c r="H724" s="5">
        <v>0.08</v>
      </c>
      <c r="I724" s="6">
        <v>-1.943908</v>
      </c>
    </row>
    <row r="725" spans="1:9" x14ac:dyDescent="0.25">
      <c r="A725" s="1" t="s">
        <v>104</v>
      </c>
      <c r="B725" s="5">
        <v>0</v>
      </c>
      <c r="C725" s="5">
        <v>0</v>
      </c>
      <c r="D725" s="5">
        <v>0</v>
      </c>
      <c r="E725" s="5">
        <v>0</v>
      </c>
      <c r="F725" s="5">
        <v>0</v>
      </c>
      <c r="G725" s="5">
        <v>0</v>
      </c>
      <c r="H725" s="5">
        <v>0</v>
      </c>
      <c r="I725" s="7" t="s">
        <v>58</v>
      </c>
    </row>
    <row r="726" spans="1:9" x14ac:dyDescent="0.25">
      <c r="A726" s="1" t="s">
        <v>105</v>
      </c>
      <c r="B726" s="5">
        <v>0.01</v>
      </c>
      <c r="C726" s="5">
        <v>0</v>
      </c>
      <c r="D726" s="5">
        <v>0</v>
      </c>
      <c r="E726" s="5">
        <v>0</v>
      </c>
      <c r="F726" s="5">
        <v>0</v>
      </c>
      <c r="G726" s="5">
        <v>0</v>
      </c>
      <c r="H726" s="5">
        <v>0</v>
      </c>
      <c r="I726" s="6">
        <v>-100</v>
      </c>
    </row>
    <row r="727" spans="1:9" x14ac:dyDescent="0.25">
      <c r="A727" s="1" t="s">
        <v>106</v>
      </c>
      <c r="B727" s="5">
        <v>0</v>
      </c>
      <c r="C727" s="5">
        <v>0</v>
      </c>
      <c r="D727" s="5">
        <v>0</v>
      </c>
      <c r="E727" s="5">
        <v>0</v>
      </c>
      <c r="F727" s="5">
        <v>0</v>
      </c>
      <c r="G727" s="5">
        <v>0</v>
      </c>
      <c r="H727" s="5">
        <v>0</v>
      </c>
      <c r="I727" s="7" t="s">
        <v>58</v>
      </c>
    </row>
    <row r="728" spans="1:9" ht="30" x14ac:dyDescent="0.25">
      <c r="A728" s="1" t="s">
        <v>107</v>
      </c>
      <c r="B728" s="5">
        <v>0</v>
      </c>
      <c r="C728" s="5">
        <v>0</v>
      </c>
      <c r="D728" s="5">
        <v>0</v>
      </c>
      <c r="E728" s="5">
        <v>0</v>
      </c>
      <c r="F728" s="5">
        <v>0</v>
      </c>
      <c r="G728" s="5">
        <v>0</v>
      </c>
      <c r="H728" s="5">
        <v>0</v>
      </c>
      <c r="I728" s="7" t="s">
        <v>58</v>
      </c>
    </row>
    <row r="729" spans="1:9" x14ac:dyDescent="0.25">
      <c r="A729" s="1" t="s">
        <v>108</v>
      </c>
      <c r="B729" s="5">
        <v>0</v>
      </c>
      <c r="C729" s="5">
        <v>0</v>
      </c>
      <c r="D729" s="5">
        <v>0</v>
      </c>
      <c r="E729" s="5">
        <v>0</v>
      </c>
      <c r="F729" s="5">
        <v>0</v>
      </c>
      <c r="G729" s="5">
        <v>0</v>
      </c>
      <c r="H729" s="5">
        <v>0</v>
      </c>
      <c r="I729" s="7" t="s">
        <v>58</v>
      </c>
    </row>
    <row r="730" spans="1:9" ht="30" x14ac:dyDescent="0.25">
      <c r="A730" s="1" t="s">
        <v>109</v>
      </c>
      <c r="B730" s="5">
        <v>0</v>
      </c>
      <c r="C730" s="5">
        <v>0</v>
      </c>
      <c r="D730" s="5">
        <v>0</v>
      </c>
      <c r="E730" s="5">
        <v>0</v>
      </c>
      <c r="F730" s="5">
        <v>0</v>
      </c>
      <c r="G730" s="5">
        <v>0</v>
      </c>
      <c r="H730" s="5">
        <v>0</v>
      </c>
      <c r="I730" s="7" t="s">
        <v>58</v>
      </c>
    </row>
    <row r="731" spans="1:9" x14ac:dyDescent="0.25">
      <c r="A731" s="1" t="s">
        <v>110</v>
      </c>
      <c r="B731" s="7" t="s">
        <v>58</v>
      </c>
      <c r="C731" s="7" t="s">
        <v>58</v>
      </c>
      <c r="D731" s="7" t="s">
        <v>58</v>
      </c>
      <c r="E731" s="7" t="s">
        <v>58</v>
      </c>
      <c r="F731" s="7" t="s">
        <v>58</v>
      </c>
      <c r="G731" s="7" t="s">
        <v>58</v>
      </c>
      <c r="H731" s="7" t="s">
        <v>58</v>
      </c>
      <c r="I731" s="7" t="s">
        <v>58</v>
      </c>
    </row>
    <row r="732" spans="1:9" x14ac:dyDescent="0.25">
      <c r="A732" s="1" t="s">
        <v>111</v>
      </c>
      <c r="B732" s="5">
        <v>0</v>
      </c>
      <c r="C732" s="5">
        <v>0</v>
      </c>
      <c r="D732" s="5">
        <v>0</v>
      </c>
      <c r="E732" s="5">
        <v>0</v>
      </c>
      <c r="F732" s="5">
        <v>0</v>
      </c>
      <c r="G732" s="5">
        <v>0</v>
      </c>
      <c r="H732" s="5">
        <v>0</v>
      </c>
      <c r="I732" s="7" t="s">
        <v>58</v>
      </c>
    </row>
    <row r="733" spans="1:9" x14ac:dyDescent="0.25">
      <c r="A733" s="1" t="s">
        <v>112</v>
      </c>
      <c r="B733" s="7" t="s">
        <v>58</v>
      </c>
      <c r="C733" s="7" t="s">
        <v>58</v>
      </c>
      <c r="D733" s="7" t="s">
        <v>58</v>
      </c>
      <c r="E733" s="7" t="s">
        <v>58</v>
      </c>
      <c r="F733" s="7" t="s">
        <v>58</v>
      </c>
      <c r="G733" s="7" t="s">
        <v>58</v>
      </c>
      <c r="H733" s="7" t="s">
        <v>58</v>
      </c>
      <c r="I733" s="7" t="s">
        <v>58</v>
      </c>
    </row>
    <row r="734" spans="1:9" x14ac:dyDescent="0.25">
      <c r="A734" s="1" t="s">
        <v>113</v>
      </c>
      <c r="B734" s="5">
        <v>0.21</v>
      </c>
      <c r="C734" s="5">
        <v>0.21</v>
      </c>
      <c r="D734" s="5">
        <v>0.21</v>
      </c>
      <c r="E734" s="5">
        <v>0.21</v>
      </c>
      <c r="F734" s="5">
        <v>0.22</v>
      </c>
      <c r="G734" s="5">
        <v>0.22</v>
      </c>
      <c r="H734" s="5">
        <v>0.22</v>
      </c>
      <c r="I734" s="6">
        <v>0.77834700000000001</v>
      </c>
    </row>
    <row r="735" spans="1:9" x14ac:dyDescent="0.25">
      <c r="A735" s="1" t="s">
        <v>114</v>
      </c>
      <c r="B735" s="5">
        <v>0.09</v>
      </c>
      <c r="C735" s="5">
        <v>0.1</v>
      </c>
      <c r="D735" s="5">
        <v>0.1</v>
      </c>
      <c r="E735" s="5">
        <v>0.11</v>
      </c>
      <c r="F735" s="5">
        <v>0.11</v>
      </c>
      <c r="G735" s="5">
        <v>0.12</v>
      </c>
      <c r="H735" s="5">
        <v>0.12</v>
      </c>
      <c r="I735" s="6">
        <v>4.9115060000000001</v>
      </c>
    </row>
    <row r="736" spans="1:9" ht="30" x14ac:dyDescent="0.25">
      <c r="A736" s="1" t="s">
        <v>115</v>
      </c>
      <c r="B736" s="5">
        <v>0.01</v>
      </c>
      <c r="C736" s="5">
        <v>0.01</v>
      </c>
      <c r="D736" s="5">
        <v>0.01</v>
      </c>
      <c r="E736" s="5">
        <v>0.01</v>
      </c>
      <c r="F736" s="5">
        <v>0.01</v>
      </c>
      <c r="G736" s="5">
        <v>0.01</v>
      </c>
      <c r="H736" s="5">
        <v>0.01</v>
      </c>
      <c r="I736" s="6">
        <v>0</v>
      </c>
    </row>
    <row r="737" spans="1:9" x14ac:dyDescent="0.25">
      <c r="A737" s="1" t="s">
        <v>116</v>
      </c>
      <c r="B737" s="5">
        <v>0</v>
      </c>
      <c r="C737" s="5">
        <v>0</v>
      </c>
      <c r="D737" s="5">
        <v>0</v>
      </c>
      <c r="E737" s="5">
        <v>0</v>
      </c>
      <c r="F737" s="5">
        <v>0</v>
      </c>
      <c r="G737" s="5">
        <v>0</v>
      </c>
      <c r="H737" s="5">
        <v>0</v>
      </c>
      <c r="I737" s="7" t="s">
        <v>58</v>
      </c>
    </row>
    <row r="738" spans="1:9" x14ac:dyDescent="0.25">
      <c r="A738" s="1" t="s">
        <v>12</v>
      </c>
      <c r="B738" s="2"/>
      <c r="C738" s="2"/>
      <c r="D738" s="2"/>
      <c r="E738" s="2"/>
      <c r="F738" s="2"/>
      <c r="G738" s="2"/>
      <c r="H738" s="2"/>
      <c r="I738" s="2"/>
    </row>
    <row r="739" spans="1:9" ht="60" x14ac:dyDescent="0.25">
      <c r="A739" s="1" t="s">
        <v>123</v>
      </c>
      <c r="B739" s="2"/>
      <c r="C739" s="2"/>
      <c r="D739" s="2"/>
      <c r="E739" s="2"/>
      <c r="F739" s="2"/>
      <c r="G739" s="2"/>
      <c r="H739" s="2"/>
      <c r="I739" s="2"/>
    </row>
    <row r="740" spans="1:9" x14ac:dyDescent="0.25">
      <c r="A740" s="1" t="s">
        <v>14</v>
      </c>
      <c r="B740" s="5">
        <v>47.22</v>
      </c>
      <c r="C740" s="5">
        <v>44.93</v>
      </c>
      <c r="D740" s="5">
        <v>43.5</v>
      </c>
      <c r="E740" s="5">
        <v>42.78</v>
      </c>
      <c r="F740" s="5">
        <v>41.87</v>
      </c>
      <c r="G740" s="5">
        <v>40.6</v>
      </c>
      <c r="H740" s="5">
        <v>39.03</v>
      </c>
      <c r="I740" s="6">
        <v>-3.1249150000000001</v>
      </c>
    </row>
    <row r="741" spans="1:9" ht="30" x14ac:dyDescent="0.25">
      <c r="A741" s="1" t="s">
        <v>15</v>
      </c>
      <c r="B741" s="5">
        <v>8.23</v>
      </c>
      <c r="C741" s="5">
        <v>7.85</v>
      </c>
      <c r="D741" s="5">
        <v>7.66</v>
      </c>
      <c r="E741" s="5">
        <v>7.45</v>
      </c>
      <c r="F741" s="5">
        <v>7.2</v>
      </c>
      <c r="G741" s="5">
        <v>7.02</v>
      </c>
      <c r="H741" s="5">
        <v>6.81</v>
      </c>
      <c r="I741" s="6">
        <v>-3.1072649999999999</v>
      </c>
    </row>
    <row r="742" spans="1:9" x14ac:dyDescent="0.25">
      <c r="A742" s="1" t="s">
        <v>16</v>
      </c>
      <c r="B742" s="5">
        <v>12.17</v>
      </c>
      <c r="C742" s="5">
        <v>9.5500000000000007</v>
      </c>
      <c r="D742" s="5">
        <v>7.61</v>
      </c>
      <c r="E742" s="5">
        <v>6</v>
      </c>
      <c r="F742" s="5">
        <v>4.6500000000000004</v>
      </c>
      <c r="G742" s="5">
        <v>4.13</v>
      </c>
      <c r="H742" s="5">
        <v>3.28</v>
      </c>
      <c r="I742" s="6">
        <v>-19.6294</v>
      </c>
    </row>
    <row r="743" spans="1:9" x14ac:dyDescent="0.25">
      <c r="A743" s="1" t="s">
        <v>17</v>
      </c>
      <c r="B743" s="5">
        <v>40.75</v>
      </c>
      <c r="C743" s="5">
        <v>40.549999999999997</v>
      </c>
      <c r="D743" s="5">
        <v>40.31</v>
      </c>
      <c r="E743" s="5">
        <v>39.950000000000003</v>
      </c>
      <c r="F743" s="5">
        <v>39.28</v>
      </c>
      <c r="G743" s="5">
        <v>38.67</v>
      </c>
      <c r="H743" s="5">
        <v>38.04</v>
      </c>
      <c r="I743" s="6">
        <v>-1.1404080000000001</v>
      </c>
    </row>
    <row r="744" spans="1:9" x14ac:dyDescent="0.25">
      <c r="A744" s="1" t="s">
        <v>18</v>
      </c>
      <c r="B744" s="5">
        <v>52.85</v>
      </c>
      <c r="C744" s="5">
        <v>52.67</v>
      </c>
      <c r="D744" s="5">
        <v>52.57</v>
      </c>
      <c r="E744" s="5">
        <v>52.54</v>
      </c>
      <c r="F744" s="5">
        <v>52.55</v>
      </c>
      <c r="G744" s="5">
        <v>52.55</v>
      </c>
      <c r="H744" s="5">
        <v>52.55</v>
      </c>
      <c r="I744" s="6">
        <v>-9.4832E-2</v>
      </c>
    </row>
    <row r="745" spans="1:9" x14ac:dyDescent="0.25">
      <c r="A745" s="1" t="s">
        <v>19</v>
      </c>
      <c r="B745" s="5">
        <v>0</v>
      </c>
      <c r="C745" s="5">
        <v>0</v>
      </c>
      <c r="D745" s="5">
        <v>0</v>
      </c>
      <c r="E745" s="5">
        <v>0</v>
      </c>
      <c r="F745" s="5">
        <v>0</v>
      </c>
      <c r="G745" s="5">
        <v>0</v>
      </c>
      <c r="H745" s="5">
        <v>0</v>
      </c>
      <c r="I745" s="7" t="s">
        <v>58</v>
      </c>
    </row>
    <row r="746" spans="1:9" x14ac:dyDescent="0.25">
      <c r="A746" s="1" t="s">
        <v>20</v>
      </c>
      <c r="B746" s="5">
        <v>0</v>
      </c>
      <c r="C746" s="5">
        <v>0</v>
      </c>
      <c r="D746" s="5">
        <v>0</v>
      </c>
      <c r="E746" s="5">
        <v>0</v>
      </c>
      <c r="F746" s="5">
        <v>0</v>
      </c>
      <c r="G746" s="5">
        <v>0</v>
      </c>
      <c r="H746" s="5">
        <v>0</v>
      </c>
      <c r="I746" s="7" t="s">
        <v>58</v>
      </c>
    </row>
    <row r="747" spans="1:9" x14ac:dyDescent="0.25">
      <c r="A747" s="1" t="s">
        <v>21</v>
      </c>
      <c r="B747" s="5">
        <v>55.63</v>
      </c>
      <c r="C747" s="5">
        <v>55.29</v>
      </c>
      <c r="D747" s="5">
        <v>54.83</v>
      </c>
      <c r="E747" s="5">
        <v>54.32</v>
      </c>
      <c r="F747" s="5">
        <v>53.85</v>
      </c>
      <c r="G747" s="5">
        <v>53.4</v>
      </c>
      <c r="H747" s="5">
        <v>52.93</v>
      </c>
      <c r="I747" s="6">
        <v>-0.82577699999999998</v>
      </c>
    </row>
    <row r="748" spans="1:9" x14ac:dyDescent="0.25">
      <c r="A748" s="1" t="s">
        <v>22</v>
      </c>
      <c r="B748" s="5">
        <v>7.86</v>
      </c>
      <c r="C748" s="5">
        <v>7.83</v>
      </c>
      <c r="D748" s="5">
        <v>7.79</v>
      </c>
      <c r="E748" s="5">
        <v>7.75</v>
      </c>
      <c r="F748" s="5">
        <v>7.74</v>
      </c>
      <c r="G748" s="5">
        <v>7.72</v>
      </c>
      <c r="H748" s="5">
        <v>7.7</v>
      </c>
      <c r="I748" s="6">
        <v>-0.34218500000000002</v>
      </c>
    </row>
    <row r="749" spans="1:9" x14ac:dyDescent="0.25">
      <c r="A749" s="1" t="s">
        <v>23</v>
      </c>
      <c r="B749" s="5">
        <v>17.170000000000002</v>
      </c>
      <c r="C749" s="5">
        <v>16.05</v>
      </c>
      <c r="D749" s="5">
        <v>14.98</v>
      </c>
      <c r="E749" s="5">
        <v>14.05</v>
      </c>
      <c r="F749" s="5">
        <v>13.21</v>
      </c>
      <c r="G749" s="5">
        <v>12.42</v>
      </c>
      <c r="H749" s="5">
        <v>11.7</v>
      </c>
      <c r="I749" s="6">
        <v>-6.1928530000000004</v>
      </c>
    </row>
    <row r="750" spans="1:9" x14ac:dyDescent="0.25">
      <c r="A750" s="1" t="s">
        <v>24</v>
      </c>
      <c r="B750" s="5">
        <v>9.1</v>
      </c>
      <c r="C750" s="5">
        <v>8.51</v>
      </c>
      <c r="D750" s="5">
        <v>8.1199999999999992</v>
      </c>
      <c r="E750" s="5">
        <v>7.8</v>
      </c>
      <c r="F750" s="5">
        <v>7.54</v>
      </c>
      <c r="G750" s="5">
        <v>7.32</v>
      </c>
      <c r="H750" s="5">
        <v>7.14</v>
      </c>
      <c r="I750" s="6">
        <v>-3.9620669999999998</v>
      </c>
    </row>
    <row r="751" spans="1:9" x14ac:dyDescent="0.25">
      <c r="A751" s="1" t="s">
        <v>25</v>
      </c>
      <c r="B751" s="5">
        <v>30.44</v>
      </c>
      <c r="C751" s="5">
        <v>28.87</v>
      </c>
      <c r="D751" s="5">
        <v>27.23</v>
      </c>
      <c r="E751" s="5">
        <v>25.57</v>
      </c>
      <c r="F751" s="5">
        <v>24.35</v>
      </c>
      <c r="G751" s="5">
        <v>23.15</v>
      </c>
      <c r="H751" s="5">
        <v>22.53</v>
      </c>
      <c r="I751" s="6">
        <v>-4.8914799999999996</v>
      </c>
    </row>
    <row r="752" spans="1:9" x14ac:dyDescent="0.25">
      <c r="A752" s="1" t="s">
        <v>26</v>
      </c>
      <c r="B752" s="5">
        <v>51.03</v>
      </c>
      <c r="C752" s="5">
        <v>50.85</v>
      </c>
      <c r="D752" s="5">
        <v>50.56</v>
      </c>
      <c r="E752" s="5">
        <v>50.3</v>
      </c>
      <c r="F752" s="5">
        <v>50.04</v>
      </c>
      <c r="G752" s="5">
        <v>49.75</v>
      </c>
      <c r="H752" s="5">
        <v>49.45</v>
      </c>
      <c r="I752" s="6">
        <v>-0.52282200000000001</v>
      </c>
    </row>
    <row r="753" spans="1:9" x14ac:dyDescent="0.25">
      <c r="A753" s="1" t="s">
        <v>27</v>
      </c>
      <c r="B753" s="5">
        <v>24.61</v>
      </c>
      <c r="C753" s="5">
        <v>22.48</v>
      </c>
      <c r="D753" s="5">
        <v>20.5</v>
      </c>
      <c r="E753" s="5">
        <v>18.95</v>
      </c>
      <c r="F753" s="5">
        <v>17.7</v>
      </c>
      <c r="G753" s="5">
        <v>16.72</v>
      </c>
      <c r="H753" s="5">
        <v>16</v>
      </c>
      <c r="I753" s="6">
        <v>-6.924639</v>
      </c>
    </row>
    <row r="754" spans="1:9" x14ac:dyDescent="0.25">
      <c r="A754" s="1" t="s">
        <v>28</v>
      </c>
      <c r="B754" s="5">
        <v>9.1999999999999993</v>
      </c>
      <c r="C754" s="5">
        <v>9.06</v>
      </c>
      <c r="D754" s="5">
        <v>9.01</v>
      </c>
      <c r="E754" s="5">
        <v>8.9</v>
      </c>
      <c r="F754" s="5">
        <v>8.7200000000000006</v>
      </c>
      <c r="G754" s="5">
        <v>8.61</v>
      </c>
      <c r="H754" s="5">
        <v>8.44</v>
      </c>
      <c r="I754" s="6">
        <v>-1.426744</v>
      </c>
    </row>
    <row r="755" spans="1:9" x14ac:dyDescent="0.25">
      <c r="A755" s="1" t="s">
        <v>29</v>
      </c>
      <c r="B755" s="5">
        <v>54.05</v>
      </c>
      <c r="C755" s="5">
        <v>51.44</v>
      </c>
      <c r="D755" s="5">
        <v>49.5</v>
      </c>
      <c r="E755" s="5">
        <v>47.98</v>
      </c>
      <c r="F755" s="5">
        <v>46.79</v>
      </c>
      <c r="G755" s="5">
        <v>45.89</v>
      </c>
      <c r="H755" s="5">
        <v>45.26</v>
      </c>
      <c r="I755" s="6">
        <v>-2.9147750000000001</v>
      </c>
    </row>
    <row r="756" spans="1:9" x14ac:dyDescent="0.25">
      <c r="A756" s="1" t="s">
        <v>30</v>
      </c>
      <c r="B756" s="5">
        <v>39.94</v>
      </c>
      <c r="C756" s="5">
        <v>31.76</v>
      </c>
      <c r="D756" s="5">
        <v>26.49</v>
      </c>
      <c r="E756" s="5">
        <v>23.08</v>
      </c>
      <c r="F756" s="5">
        <v>20.75</v>
      </c>
      <c r="G756" s="5">
        <v>19.23</v>
      </c>
      <c r="H756" s="5">
        <v>18.21</v>
      </c>
      <c r="I756" s="6">
        <v>-12.269558999999999</v>
      </c>
    </row>
    <row r="757" spans="1:9" x14ac:dyDescent="0.25">
      <c r="A757" s="1" t="s">
        <v>31</v>
      </c>
      <c r="B757" s="5">
        <v>14.35</v>
      </c>
      <c r="C757" s="5">
        <v>12.52</v>
      </c>
      <c r="D757" s="5">
        <v>12</v>
      </c>
      <c r="E757" s="5">
        <v>11.68</v>
      </c>
      <c r="F757" s="5">
        <v>11.44</v>
      </c>
      <c r="G757" s="5">
        <v>11.21</v>
      </c>
      <c r="H757" s="5">
        <v>10.99</v>
      </c>
      <c r="I757" s="6">
        <v>-4.348681</v>
      </c>
    </row>
    <row r="758" spans="1:9" x14ac:dyDescent="0.25">
      <c r="A758" s="1" t="s">
        <v>32</v>
      </c>
      <c r="B758" s="5">
        <v>16.350000000000001</v>
      </c>
      <c r="C758" s="5">
        <v>16.079999999999998</v>
      </c>
      <c r="D758" s="5">
        <v>15.88</v>
      </c>
      <c r="E758" s="5">
        <v>15.68</v>
      </c>
      <c r="F758" s="5">
        <v>15.5</v>
      </c>
      <c r="G758" s="5">
        <v>15.32</v>
      </c>
      <c r="H758" s="5">
        <v>15.16</v>
      </c>
      <c r="I758" s="6">
        <v>-1.2515609999999999</v>
      </c>
    </row>
    <row r="759" spans="1:9" x14ac:dyDescent="0.25">
      <c r="A759" s="1" t="s">
        <v>33</v>
      </c>
      <c r="B759" s="5">
        <v>34.42</v>
      </c>
      <c r="C759" s="5">
        <v>33.89</v>
      </c>
      <c r="D759" s="5">
        <v>33.46</v>
      </c>
      <c r="E759" s="5">
        <v>32.979999999999997</v>
      </c>
      <c r="F759" s="5">
        <v>32.46</v>
      </c>
      <c r="G759" s="5">
        <v>31.91</v>
      </c>
      <c r="H759" s="5">
        <v>31.33</v>
      </c>
      <c r="I759" s="6">
        <v>-1.5554699999999999</v>
      </c>
    </row>
    <row r="760" spans="1:9" ht="30" x14ac:dyDescent="0.25">
      <c r="A760" s="1" t="s">
        <v>34</v>
      </c>
      <c r="B760" s="5">
        <v>14.18</v>
      </c>
      <c r="C760" s="5">
        <v>14.33</v>
      </c>
      <c r="D760" s="5">
        <v>13.99</v>
      </c>
      <c r="E760" s="5">
        <v>13.66</v>
      </c>
      <c r="F760" s="5">
        <v>13.36</v>
      </c>
      <c r="G760" s="5">
        <v>13.13</v>
      </c>
      <c r="H760" s="5">
        <v>12.92</v>
      </c>
      <c r="I760" s="6">
        <v>-1.538969</v>
      </c>
    </row>
    <row r="761" spans="1:9" ht="30" x14ac:dyDescent="0.25">
      <c r="A761" s="1" t="s">
        <v>35</v>
      </c>
      <c r="B761" s="5">
        <v>16.57</v>
      </c>
      <c r="C761" s="5">
        <v>15.47</v>
      </c>
      <c r="D761" s="5">
        <v>14.6</v>
      </c>
      <c r="E761" s="5">
        <v>13.84</v>
      </c>
      <c r="F761" s="5">
        <v>13.16</v>
      </c>
      <c r="G761" s="5">
        <v>12.55</v>
      </c>
      <c r="H761" s="5">
        <v>11.98</v>
      </c>
      <c r="I761" s="6">
        <v>-5.2623990000000003</v>
      </c>
    </row>
    <row r="762" spans="1:9" x14ac:dyDescent="0.25">
      <c r="A762" s="1" t="s">
        <v>36</v>
      </c>
      <c r="B762" s="5">
        <v>12.27</v>
      </c>
      <c r="C762" s="5">
        <v>11.15</v>
      </c>
      <c r="D762" s="5">
        <v>10.130000000000001</v>
      </c>
      <c r="E762" s="5">
        <v>9.23</v>
      </c>
      <c r="F762" s="5">
        <v>8.44</v>
      </c>
      <c r="G762" s="5">
        <v>7.75</v>
      </c>
      <c r="H762" s="5">
        <v>7.14</v>
      </c>
      <c r="I762" s="6">
        <v>-8.6288809999999998</v>
      </c>
    </row>
    <row r="763" spans="1:9" x14ac:dyDescent="0.25">
      <c r="A763" s="1" t="s">
        <v>37</v>
      </c>
      <c r="B763" s="5">
        <v>0</v>
      </c>
      <c r="C763" s="5">
        <v>0</v>
      </c>
      <c r="D763" s="5">
        <v>0</v>
      </c>
      <c r="E763" s="5">
        <v>0</v>
      </c>
      <c r="F763" s="5">
        <v>0</v>
      </c>
      <c r="G763" s="5">
        <v>0</v>
      </c>
      <c r="H763" s="5">
        <v>0</v>
      </c>
      <c r="I763" s="7" t="s">
        <v>58</v>
      </c>
    </row>
    <row r="764" spans="1:9" x14ac:dyDescent="0.25">
      <c r="A764" s="1" t="s">
        <v>38</v>
      </c>
      <c r="B764" s="5">
        <v>39.82</v>
      </c>
      <c r="C764" s="5">
        <v>40.19</v>
      </c>
      <c r="D764" s="5">
        <v>40.520000000000003</v>
      </c>
      <c r="E764" s="5">
        <v>40.82</v>
      </c>
      <c r="F764" s="5">
        <v>41.09</v>
      </c>
      <c r="G764" s="5">
        <v>41.34</v>
      </c>
      <c r="H764" s="5">
        <v>41.58</v>
      </c>
      <c r="I764" s="6">
        <v>0.723437</v>
      </c>
    </row>
    <row r="765" spans="1:9" x14ac:dyDescent="0.25">
      <c r="A765" s="1" t="s">
        <v>39</v>
      </c>
      <c r="B765" s="5">
        <v>14.64</v>
      </c>
      <c r="C765" s="5">
        <v>13.13</v>
      </c>
      <c r="D765" s="5">
        <v>12.48</v>
      </c>
      <c r="E765" s="5">
        <v>11.96</v>
      </c>
      <c r="F765" s="5">
        <v>11.53</v>
      </c>
      <c r="G765" s="5">
        <v>11.18</v>
      </c>
      <c r="H765" s="5">
        <v>10.89</v>
      </c>
      <c r="I765" s="6">
        <v>-4.8122340000000001</v>
      </c>
    </row>
    <row r="766" spans="1:9" x14ac:dyDescent="0.25">
      <c r="A766" s="1" t="s">
        <v>40</v>
      </c>
      <c r="B766" s="5">
        <v>27.36</v>
      </c>
      <c r="C766" s="5">
        <v>27.61</v>
      </c>
      <c r="D766" s="5">
        <v>27.66</v>
      </c>
      <c r="E766" s="5">
        <v>27.56</v>
      </c>
      <c r="F766" s="5">
        <v>27.43</v>
      </c>
      <c r="G766" s="5">
        <v>27.2</v>
      </c>
      <c r="H766" s="5">
        <v>26.97</v>
      </c>
      <c r="I766" s="6">
        <v>-0.23899699999999999</v>
      </c>
    </row>
    <row r="767" spans="1:9" x14ac:dyDescent="0.25">
      <c r="A767" s="1" t="s">
        <v>41</v>
      </c>
      <c r="B767" s="5">
        <v>1.75</v>
      </c>
      <c r="C767" s="5">
        <v>1.37</v>
      </c>
      <c r="D767" s="5">
        <v>1.1100000000000001</v>
      </c>
      <c r="E767" s="5">
        <v>0.89</v>
      </c>
      <c r="F767" s="5">
        <v>0.72</v>
      </c>
      <c r="G767" s="5">
        <v>0.57999999999999996</v>
      </c>
      <c r="H767" s="5">
        <v>0.47</v>
      </c>
      <c r="I767" s="6">
        <v>-19.676375</v>
      </c>
    </row>
    <row r="768" spans="1:9" x14ac:dyDescent="0.25">
      <c r="A768" s="1" t="s">
        <v>42</v>
      </c>
      <c r="B768" s="5">
        <v>22.15</v>
      </c>
      <c r="C768" s="5">
        <v>21.9</v>
      </c>
      <c r="D768" s="5">
        <v>21.65</v>
      </c>
      <c r="E768" s="5">
        <v>21.39</v>
      </c>
      <c r="F768" s="5">
        <v>21.26</v>
      </c>
      <c r="G768" s="5">
        <v>21.12</v>
      </c>
      <c r="H768" s="5">
        <v>20.95</v>
      </c>
      <c r="I768" s="6">
        <v>-0.92401900000000003</v>
      </c>
    </row>
    <row r="769" spans="1:9" x14ac:dyDescent="0.25">
      <c r="A769" s="1" t="s">
        <v>43</v>
      </c>
      <c r="B769" s="5">
        <v>0</v>
      </c>
      <c r="C769" s="5">
        <v>0</v>
      </c>
      <c r="D769" s="5">
        <v>0</v>
      </c>
      <c r="E769" s="5">
        <v>0</v>
      </c>
      <c r="F769" s="5">
        <v>0</v>
      </c>
      <c r="G769" s="5">
        <v>0</v>
      </c>
      <c r="H769" s="5">
        <v>0</v>
      </c>
      <c r="I769" s="7" t="s">
        <v>58</v>
      </c>
    </row>
    <row r="770" spans="1:9" x14ac:dyDescent="0.25">
      <c r="A770" s="1" t="s">
        <v>44</v>
      </c>
      <c r="B770" s="5">
        <v>52.33</v>
      </c>
      <c r="C770" s="5">
        <v>51.29</v>
      </c>
      <c r="D770" s="5">
        <v>49.75</v>
      </c>
      <c r="E770" s="5">
        <v>48.75</v>
      </c>
      <c r="F770" s="5">
        <v>43.88</v>
      </c>
      <c r="G770" s="5">
        <v>42.56</v>
      </c>
      <c r="H770" s="5">
        <v>40.86</v>
      </c>
      <c r="I770" s="6">
        <v>-4.0397720000000001</v>
      </c>
    </row>
    <row r="771" spans="1:9" x14ac:dyDescent="0.25">
      <c r="A771" s="1" t="s">
        <v>45</v>
      </c>
      <c r="B771" s="5">
        <v>82.42</v>
      </c>
      <c r="C771" s="5">
        <v>81.86</v>
      </c>
      <c r="D771" s="5">
        <v>81.3</v>
      </c>
      <c r="E771" s="5">
        <v>80.739999999999995</v>
      </c>
      <c r="F771" s="5">
        <v>80.180000000000007</v>
      </c>
      <c r="G771" s="5">
        <v>79.62</v>
      </c>
      <c r="H771" s="5">
        <v>79.06</v>
      </c>
      <c r="I771" s="6">
        <v>-0.69128400000000001</v>
      </c>
    </row>
    <row r="772" spans="1:9" x14ac:dyDescent="0.25">
      <c r="A772" s="1" t="s">
        <v>46</v>
      </c>
      <c r="B772" s="5">
        <v>5.14</v>
      </c>
      <c r="C772" s="5">
        <v>4.54</v>
      </c>
      <c r="D772" s="5">
        <v>4.03</v>
      </c>
      <c r="E772" s="5">
        <v>3.63</v>
      </c>
      <c r="F772" s="5">
        <v>3.29</v>
      </c>
      <c r="G772" s="5">
        <v>2.95</v>
      </c>
      <c r="H772" s="5">
        <v>2.7</v>
      </c>
      <c r="I772" s="6">
        <v>-10.174403999999999</v>
      </c>
    </row>
    <row r="773" spans="1:9" x14ac:dyDescent="0.25">
      <c r="A773" s="1" t="s">
        <v>47</v>
      </c>
      <c r="B773" s="5">
        <v>40.04</v>
      </c>
      <c r="C773" s="5">
        <v>38.799999999999997</v>
      </c>
      <c r="D773" s="5">
        <v>37.61</v>
      </c>
      <c r="E773" s="5">
        <v>36.6</v>
      </c>
      <c r="F773" s="5">
        <v>35.83</v>
      </c>
      <c r="G773" s="5">
        <v>35.270000000000003</v>
      </c>
      <c r="H773" s="5">
        <v>34.82</v>
      </c>
      <c r="I773" s="6">
        <v>-2.3012250000000001</v>
      </c>
    </row>
    <row r="774" spans="1:9" x14ac:dyDescent="0.25">
      <c r="A774" s="1" t="s">
        <v>48</v>
      </c>
      <c r="B774" s="5">
        <v>1.82</v>
      </c>
      <c r="C774" s="5">
        <v>1.25</v>
      </c>
      <c r="D774" s="5">
        <v>1.0900000000000001</v>
      </c>
      <c r="E774" s="5">
        <v>0.94</v>
      </c>
      <c r="F774" s="5">
        <v>0.9</v>
      </c>
      <c r="G774" s="5">
        <v>0.76</v>
      </c>
      <c r="H774" s="5">
        <v>0.67</v>
      </c>
      <c r="I774" s="6">
        <v>-15.34215</v>
      </c>
    </row>
    <row r="775" spans="1:9" x14ac:dyDescent="0.25">
      <c r="A775" s="1" t="s">
        <v>49</v>
      </c>
      <c r="B775" s="5">
        <v>4.16</v>
      </c>
      <c r="C775" s="5">
        <v>3.82</v>
      </c>
      <c r="D775" s="5">
        <v>3.71</v>
      </c>
      <c r="E775" s="5">
        <v>3.62</v>
      </c>
      <c r="F775" s="5">
        <v>3.37</v>
      </c>
      <c r="G775" s="5">
        <v>3.2</v>
      </c>
      <c r="H775" s="5">
        <v>3.18</v>
      </c>
      <c r="I775" s="6">
        <v>-4.3784830000000001</v>
      </c>
    </row>
    <row r="776" spans="1:9" x14ac:dyDescent="0.25">
      <c r="A776" s="1" t="s">
        <v>50</v>
      </c>
      <c r="B776" s="5">
        <v>0</v>
      </c>
      <c r="C776" s="5">
        <v>0</v>
      </c>
      <c r="D776" s="5">
        <v>0</v>
      </c>
      <c r="E776" s="5">
        <v>0</v>
      </c>
      <c r="F776" s="5">
        <v>0</v>
      </c>
      <c r="G776" s="5">
        <v>0</v>
      </c>
      <c r="H776" s="5">
        <v>0</v>
      </c>
      <c r="I776" s="7" t="s">
        <v>58</v>
      </c>
    </row>
    <row r="777" spans="1:9" x14ac:dyDescent="0.25">
      <c r="A777" s="1" t="s">
        <v>51</v>
      </c>
      <c r="B777" s="5">
        <v>21.14</v>
      </c>
      <c r="C777" s="5">
        <v>20.27</v>
      </c>
      <c r="D777" s="5">
        <v>19.45</v>
      </c>
      <c r="E777" s="5">
        <v>18.690000000000001</v>
      </c>
      <c r="F777" s="5">
        <v>17.98</v>
      </c>
      <c r="G777" s="5">
        <v>17.37</v>
      </c>
      <c r="H777" s="5">
        <v>16.850000000000001</v>
      </c>
      <c r="I777" s="6">
        <v>-3.7097120000000001</v>
      </c>
    </row>
    <row r="778" spans="1:9" x14ac:dyDescent="0.25">
      <c r="A778" s="1" t="s">
        <v>52</v>
      </c>
      <c r="B778" s="5">
        <v>13.53</v>
      </c>
      <c r="C778" s="5">
        <v>11.5</v>
      </c>
      <c r="D778" s="5">
        <v>9.7899999999999991</v>
      </c>
      <c r="E778" s="5">
        <v>8.35</v>
      </c>
      <c r="F778" s="5">
        <v>7.11</v>
      </c>
      <c r="G778" s="5">
        <v>6.08</v>
      </c>
      <c r="H778" s="5">
        <v>5.19</v>
      </c>
      <c r="I778" s="6">
        <v>-14.759708</v>
      </c>
    </row>
    <row r="779" spans="1:9" x14ac:dyDescent="0.25">
      <c r="A779" s="1" t="s">
        <v>53</v>
      </c>
      <c r="B779" s="5">
        <v>0</v>
      </c>
      <c r="C779" s="5">
        <v>0</v>
      </c>
      <c r="D779" s="5">
        <v>0</v>
      </c>
      <c r="E779" s="5">
        <v>0</v>
      </c>
      <c r="F779" s="5">
        <v>0</v>
      </c>
      <c r="G779" s="5">
        <v>0</v>
      </c>
      <c r="H779" s="5">
        <v>0</v>
      </c>
      <c r="I779" s="7" t="s">
        <v>58</v>
      </c>
    </row>
    <row r="780" spans="1:9" x14ac:dyDescent="0.25">
      <c r="A780" s="1" t="s">
        <v>54</v>
      </c>
      <c r="B780" s="5">
        <v>35.520000000000003</v>
      </c>
      <c r="C780" s="5">
        <v>34.520000000000003</v>
      </c>
      <c r="D780" s="5">
        <v>33.53</v>
      </c>
      <c r="E780" s="5">
        <v>32.590000000000003</v>
      </c>
      <c r="F780" s="5">
        <v>31.67</v>
      </c>
      <c r="G780" s="5">
        <v>30.75</v>
      </c>
      <c r="H780" s="5">
        <v>30.47</v>
      </c>
      <c r="I780" s="6">
        <v>-2.5235020000000001</v>
      </c>
    </row>
    <row r="781" spans="1:9" x14ac:dyDescent="0.25">
      <c r="A781" s="1" t="s">
        <v>55</v>
      </c>
      <c r="B781" s="5">
        <v>11.72</v>
      </c>
      <c r="C781" s="5">
        <v>11.33</v>
      </c>
      <c r="D781" s="5">
        <v>10.94</v>
      </c>
      <c r="E781" s="5">
        <v>10.45</v>
      </c>
      <c r="F781" s="5">
        <v>10.15</v>
      </c>
      <c r="G781" s="5">
        <v>9.7899999999999991</v>
      </c>
      <c r="H781" s="5">
        <v>9.4499999999999993</v>
      </c>
      <c r="I781" s="6">
        <v>-3.5244270000000002</v>
      </c>
    </row>
    <row r="782" spans="1:9" x14ac:dyDescent="0.25">
      <c r="A782" s="1" t="s">
        <v>56</v>
      </c>
      <c r="B782" s="5">
        <v>0</v>
      </c>
      <c r="C782" s="5">
        <v>0</v>
      </c>
      <c r="D782" s="5">
        <v>0</v>
      </c>
      <c r="E782" s="5">
        <v>0</v>
      </c>
      <c r="F782" s="5">
        <v>0</v>
      </c>
      <c r="G782" s="5">
        <v>0</v>
      </c>
      <c r="H782" s="5">
        <v>0</v>
      </c>
      <c r="I782" s="7" t="s">
        <v>58</v>
      </c>
    </row>
    <row r="783" spans="1:9" x14ac:dyDescent="0.25">
      <c r="A783" s="1" t="s">
        <v>57</v>
      </c>
      <c r="B783" s="7" t="s">
        <v>58</v>
      </c>
      <c r="C783" s="7" t="s">
        <v>58</v>
      </c>
      <c r="D783" s="7" t="s">
        <v>58</v>
      </c>
      <c r="E783" s="7" t="s">
        <v>58</v>
      </c>
      <c r="F783" s="7" t="s">
        <v>58</v>
      </c>
      <c r="G783" s="7" t="s">
        <v>58</v>
      </c>
      <c r="H783" s="7" t="s">
        <v>58</v>
      </c>
      <c r="I783" s="7" t="s">
        <v>58</v>
      </c>
    </row>
    <row r="784" spans="1:9" x14ac:dyDescent="0.25">
      <c r="A784" s="1" t="s">
        <v>59</v>
      </c>
      <c r="B784" s="5">
        <v>0</v>
      </c>
      <c r="C784" s="5">
        <v>0</v>
      </c>
      <c r="D784" s="5">
        <v>0</v>
      </c>
      <c r="E784" s="5">
        <v>0</v>
      </c>
      <c r="F784" s="5">
        <v>0</v>
      </c>
      <c r="G784" s="5">
        <v>0</v>
      </c>
      <c r="H784" s="5">
        <v>0</v>
      </c>
      <c r="I784" s="7" t="s">
        <v>58</v>
      </c>
    </row>
    <row r="785" spans="1:9" x14ac:dyDescent="0.25">
      <c r="A785" s="1" t="s">
        <v>60</v>
      </c>
      <c r="B785" s="5">
        <v>0.12</v>
      </c>
      <c r="C785" s="5">
        <v>0.1</v>
      </c>
      <c r="D785" s="5">
        <v>0.08</v>
      </c>
      <c r="E785" s="5">
        <v>7.0000000000000007E-2</v>
      </c>
      <c r="F785" s="5">
        <v>0.06</v>
      </c>
      <c r="G785" s="5">
        <v>0.05</v>
      </c>
      <c r="H785" s="5">
        <v>0.04</v>
      </c>
      <c r="I785" s="6">
        <v>-16.731681999999999</v>
      </c>
    </row>
    <row r="786" spans="1:9" ht="45" x14ac:dyDescent="0.25">
      <c r="A786" s="1" t="s">
        <v>61</v>
      </c>
      <c r="B786" s="5">
        <v>27.5</v>
      </c>
      <c r="C786" s="5">
        <v>25.86</v>
      </c>
      <c r="D786" s="5">
        <v>24.54</v>
      </c>
      <c r="E786" s="5">
        <v>23.51</v>
      </c>
      <c r="F786" s="5">
        <v>22.61</v>
      </c>
      <c r="G786" s="5">
        <v>21.83</v>
      </c>
      <c r="H786" s="5">
        <v>21.15</v>
      </c>
      <c r="I786" s="6">
        <v>-4.2814129999999997</v>
      </c>
    </row>
    <row r="787" spans="1:9" x14ac:dyDescent="0.25">
      <c r="A787" s="1" t="s">
        <v>62</v>
      </c>
      <c r="B787" s="5">
        <v>1.75</v>
      </c>
      <c r="C787" s="5">
        <v>1.49</v>
      </c>
      <c r="D787" s="5">
        <v>1.31</v>
      </c>
      <c r="E787" s="5">
        <v>1.1599999999999999</v>
      </c>
      <c r="F787" s="5">
        <v>1.04</v>
      </c>
      <c r="G787" s="5">
        <v>0.94</v>
      </c>
      <c r="H787" s="5">
        <v>0.87</v>
      </c>
      <c r="I787" s="6">
        <v>-10.995177999999999</v>
      </c>
    </row>
    <row r="788" spans="1:9" x14ac:dyDescent="0.25">
      <c r="A788" s="1" t="s">
        <v>63</v>
      </c>
      <c r="B788" s="5">
        <v>0</v>
      </c>
      <c r="C788" s="5">
        <v>0</v>
      </c>
      <c r="D788" s="5">
        <v>0</v>
      </c>
      <c r="E788" s="5">
        <v>0</v>
      </c>
      <c r="F788" s="5">
        <v>0</v>
      </c>
      <c r="G788" s="5">
        <v>0</v>
      </c>
      <c r="H788" s="5">
        <v>0</v>
      </c>
      <c r="I788" s="7" t="s">
        <v>58</v>
      </c>
    </row>
    <row r="789" spans="1:9" x14ac:dyDescent="0.25">
      <c r="A789" s="1" t="s">
        <v>64</v>
      </c>
      <c r="B789" s="5">
        <v>1.94</v>
      </c>
      <c r="C789" s="5">
        <v>1.82</v>
      </c>
      <c r="D789" s="5">
        <v>1.72</v>
      </c>
      <c r="E789" s="5">
        <v>1.65</v>
      </c>
      <c r="F789" s="5">
        <v>1.6</v>
      </c>
      <c r="G789" s="5">
        <v>1.55</v>
      </c>
      <c r="H789" s="5">
        <v>1.52</v>
      </c>
      <c r="I789" s="6">
        <v>-3.9847299999999999</v>
      </c>
    </row>
    <row r="790" spans="1:9" x14ac:dyDescent="0.25">
      <c r="A790" s="1" t="s">
        <v>65</v>
      </c>
      <c r="B790" s="5">
        <v>0</v>
      </c>
      <c r="C790" s="5">
        <v>0</v>
      </c>
      <c r="D790" s="5">
        <v>0</v>
      </c>
      <c r="E790" s="5">
        <v>0</v>
      </c>
      <c r="F790" s="5">
        <v>0</v>
      </c>
      <c r="G790" s="5">
        <v>0</v>
      </c>
      <c r="H790" s="5">
        <v>0</v>
      </c>
      <c r="I790" s="7" t="s">
        <v>58</v>
      </c>
    </row>
    <row r="791" spans="1:9" x14ac:dyDescent="0.25">
      <c r="A791" s="1" t="s">
        <v>66</v>
      </c>
      <c r="B791" s="5">
        <v>26.49</v>
      </c>
      <c r="C791" s="5">
        <v>24.43</v>
      </c>
      <c r="D791" s="5">
        <v>22.93</v>
      </c>
      <c r="E791" s="5">
        <v>21.82</v>
      </c>
      <c r="F791" s="5">
        <v>21.01</v>
      </c>
      <c r="G791" s="5">
        <v>20.399999999999999</v>
      </c>
      <c r="H791" s="5">
        <v>19.940000000000001</v>
      </c>
      <c r="I791" s="6">
        <v>-4.6236860000000002</v>
      </c>
    </row>
    <row r="792" spans="1:9" ht="30" x14ac:dyDescent="0.25">
      <c r="A792" s="1" t="s">
        <v>67</v>
      </c>
      <c r="B792" s="5">
        <v>6.85</v>
      </c>
      <c r="C792" s="5">
        <v>7.4</v>
      </c>
      <c r="D792" s="5">
        <v>7.97</v>
      </c>
      <c r="E792" s="5">
        <v>8.5299999999999994</v>
      </c>
      <c r="F792" s="5">
        <v>9.09</v>
      </c>
      <c r="G792" s="5">
        <v>9.67</v>
      </c>
      <c r="H792" s="5">
        <v>10.28</v>
      </c>
      <c r="I792" s="6">
        <v>6.9999950000000002</v>
      </c>
    </row>
    <row r="793" spans="1:9" x14ac:dyDescent="0.25">
      <c r="A793" s="1" t="s">
        <v>68</v>
      </c>
      <c r="B793" s="7" t="s">
        <v>58</v>
      </c>
      <c r="C793" s="7" t="s">
        <v>58</v>
      </c>
      <c r="D793" s="7" t="s">
        <v>58</v>
      </c>
      <c r="E793" s="7" t="s">
        <v>58</v>
      </c>
      <c r="F793" s="7" t="s">
        <v>58</v>
      </c>
      <c r="G793" s="7" t="s">
        <v>58</v>
      </c>
      <c r="H793" s="7" t="s">
        <v>58</v>
      </c>
      <c r="I793" s="7" t="s">
        <v>58</v>
      </c>
    </row>
    <row r="794" spans="1:9" x14ac:dyDescent="0.25">
      <c r="A794" s="1" t="s">
        <v>69</v>
      </c>
      <c r="B794" s="5">
        <v>0</v>
      </c>
      <c r="C794" s="5">
        <v>0</v>
      </c>
      <c r="D794" s="5">
        <v>0</v>
      </c>
      <c r="E794" s="5">
        <v>0</v>
      </c>
      <c r="F794" s="5">
        <v>0</v>
      </c>
      <c r="G794" s="5">
        <v>0</v>
      </c>
      <c r="H794" s="5">
        <v>0</v>
      </c>
      <c r="I794" s="7" t="s">
        <v>58</v>
      </c>
    </row>
    <row r="795" spans="1:9" x14ac:dyDescent="0.25">
      <c r="A795" s="1" t="s">
        <v>70</v>
      </c>
      <c r="B795" s="5">
        <v>45.36</v>
      </c>
      <c r="C795" s="5">
        <v>45.27</v>
      </c>
      <c r="D795" s="5">
        <v>45.14</v>
      </c>
      <c r="E795" s="5">
        <v>44.97</v>
      </c>
      <c r="F795" s="5">
        <v>44.77</v>
      </c>
      <c r="G795" s="5">
        <v>44.5</v>
      </c>
      <c r="H795" s="5">
        <v>44.28</v>
      </c>
      <c r="I795" s="6">
        <v>-0.40082000000000001</v>
      </c>
    </row>
    <row r="796" spans="1:9" x14ac:dyDescent="0.25">
      <c r="A796" s="1" t="s">
        <v>71</v>
      </c>
      <c r="B796" s="5">
        <v>4.68</v>
      </c>
      <c r="C796" s="5">
        <v>4.43</v>
      </c>
      <c r="D796" s="5">
        <v>4.16</v>
      </c>
      <c r="E796" s="5">
        <v>3.93</v>
      </c>
      <c r="F796" s="5">
        <v>3.69</v>
      </c>
      <c r="G796" s="5">
        <v>3.47</v>
      </c>
      <c r="H796" s="5">
        <v>3.38</v>
      </c>
      <c r="I796" s="6">
        <v>-5.2792469999999998</v>
      </c>
    </row>
    <row r="797" spans="1:9" x14ac:dyDescent="0.25">
      <c r="A797" s="1" t="s">
        <v>72</v>
      </c>
      <c r="B797" s="5">
        <v>31.05</v>
      </c>
      <c r="C797" s="5">
        <v>32.54</v>
      </c>
      <c r="D797" s="5">
        <v>33.03</v>
      </c>
      <c r="E797" s="5">
        <v>34.26</v>
      </c>
      <c r="F797" s="5">
        <v>35.49</v>
      </c>
      <c r="G797" s="5">
        <v>35.49</v>
      </c>
      <c r="H797" s="5">
        <v>36.31</v>
      </c>
      <c r="I797" s="6">
        <v>2.6425519999999998</v>
      </c>
    </row>
    <row r="798" spans="1:9" x14ac:dyDescent="0.25">
      <c r="A798" s="1" t="s">
        <v>73</v>
      </c>
      <c r="B798" s="7" t="s">
        <v>58</v>
      </c>
      <c r="C798" s="7" t="s">
        <v>58</v>
      </c>
      <c r="D798" s="7" t="s">
        <v>58</v>
      </c>
      <c r="E798" s="7" t="s">
        <v>58</v>
      </c>
      <c r="F798" s="7" t="s">
        <v>58</v>
      </c>
      <c r="G798" s="7" t="s">
        <v>58</v>
      </c>
      <c r="H798" s="7" t="s">
        <v>58</v>
      </c>
      <c r="I798" s="7" t="s">
        <v>58</v>
      </c>
    </row>
    <row r="799" spans="1:9" ht="30" x14ac:dyDescent="0.25">
      <c r="A799" s="1" t="s">
        <v>74</v>
      </c>
      <c r="B799" s="5">
        <v>60.59</v>
      </c>
      <c r="C799" s="5">
        <v>58.24</v>
      </c>
      <c r="D799" s="5">
        <v>55.92</v>
      </c>
      <c r="E799" s="5">
        <v>53.84</v>
      </c>
      <c r="F799" s="5">
        <v>51.99</v>
      </c>
      <c r="G799" s="5">
        <v>50.27</v>
      </c>
      <c r="H799" s="5">
        <v>49.23</v>
      </c>
      <c r="I799" s="6">
        <v>-3.4012560000000001</v>
      </c>
    </row>
    <row r="800" spans="1:9" x14ac:dyDescent="0.25">
      <c r="A800" s="1" t="s">
        <v>75</v>
      </c>
      <c r="B800" s="5">
        <v>16.78</v>
      </c>
      <c r="C800" s="5">
        <v>14.99</v>
      </c>
      <c r="D800" s="5">
        <v>13.43</v>
      </c>
      <c r="E800" s="5">
        <v>12.07</v>
      </c>
      <c r="F800" s="5">
        <v>10.89</v>
      </c>
      <c r="G800" s="5">
        <v>9.9</v>
      </c>
      <c r="H800" s="5">
        <v>9.07</v>
      </c>
      <c r="I800" s="6">
        <v>-9.7454260000000001</v>
      </c>
    </row>
    <row r="801" spans="1:9" x14ac:dyDescent="0.25">
      <c r="A801" s="1" t="s">
        <v>76</v>
      </c>
      <c r="B801" s="5">
        <v>0</v>
      </c>
      <c r="C801" s="5">
        <v>0</v>
      </c>
      <c r="D801" s="5">
        <v>0</v>
      </c>
      <c r="E801" s="5">
        <v>0</v>
      </c>
      <c r="F801" s="5">
        <v>0</v>
      </c>
      <c r="G801" s="5">
        <v>0</v>
      </c>
      <c r="H801" s="5">
        <v>0</v>
      </c>
      <c r="I801" s="7" t="s">
        <v>58</v>
      </c>
    </row>
    <row r="802" spans="1:9" ht="45" x14ac:dyDescent="0.25">
      <c r="A802" s="1" t="s">
        <v>77</v>
      </c>
      <c r="B802" s="5">
        <v>0.73</v>
      </c>
      <c r="C802" s="5">
        <v>0.7</v>
      </c>
      <c r="D802" s="5">
        <v>0.67</v>
      </c>
      <c r="E802" s="5">
        <v>0.65</v>
      </c>
      <c r="F802" s="5">
        <v>0.59</v>
      </c>
      <c r="G802" s="5">
        <v>0.56000000000000005</v>
      </c>
      <c r="H802" s="5">
        <v>0.53</v>
      </c>
      <c r="I802" s="6">
        <v>-5.1962529999999996</v>
      </c>
    </row>
    <row r="803" spans="1:9" ht="45" x14ac:dyDescent="0.25">
      <c r="A803" s="1" t="s">
        <v>78</v>
      </c>
      <c r="B803" s="5">
        <v>14.09</v>
      </c>
      <c r="C803" s="5">
        <v>13.27</v>
      </c>
      <c r="D803" s="5">
        <v>12.52</v>
      </c>
      <c r="E803" s="5">
        <v>11.76</v>
      </c>
      <c r="F803" s="5">
        <v>11</v>
      </c>
      <c r="G803" s="5">
        <v>10.220000000000001</v>
      </c>
      <c r="H803" s="5">
        <v>9.4600000000000009</v>
      </c>
      <c r="I803" s="6">
        <v>-6.4242410000000003</v>
      </c>
    </row>
    <row r="804" spans="1:9" ht="60" x14ac:dyDescent="0.25">
      <c r="A804" s="1" t="s">
        <v>79</v>
      </c>
      <c r="B804" s="7" t="s">
        <v>58</v>
      </c>
      <c r="C804" s="7" t="s">
        <v>58</v>
      </c>
      <c r="D804" s="7" t="s">
        <v>58</v>
      </c>
      <c r="E804" s="7" t="s">
        <v>58</v>
      </c>
      <c r="F804" s="7" t="s">
        <v>58</v>
      </c>
      <c r="G804" s="7" t="s">
        <v>58</v>
      </c>
      <c r="H804" s="7" t="s">
        <v>58</v>
      </c>
      <c r="I804" s="7" t="s">
        <v>58</v>
      </c>
    </row>
    <row r="805" spans="1:9" ht="45" x14ac:dyDescent="0.25">
      <c r="A805" s="1" t="s">
        <v>80</v>
      </c>
      <c r="B805" s="7" t="s">
        <v>58</v>
      </c>
      <c r="C805" s="7" t="s">
        <v>58</v>
      </c>
      <c r="D805" s="7" t="s">
        <v>58</v>
      </c>
      <c r="E805" s="7" t="s">
        <v>58</v>
      </c>
      <c r="F805" s="7" t="s">
        <v>58</v>
      </c>
      <c r="G805" s="7" t="s">
        <v>58</v>
      </c>
      <c r="H805" s="7" t="s">
        <v>58</v>
      </c>
      <c r="I805" s="7" t="s">
        <v>58</v>
      </c>
    </row>
    <row r="806" spans="1:9" ht="45" x14ac:dyDescent="0.25">
      <c r="A806" s="1" t="s">
        <v>81</v>
      </c>
      <c r="B806" s="5">
        <v>21.98</v>
      </c>
      <c r="C806" s="5">
        <v>22.01</v>
      </c>
      <c r="D806" s="5">
        <v>22.06</v>
      </c>
      <c r="E806" s="5">
        <v>22.11</v>
      </c>
      <c r="F806" s="5">
        <v>21.46</v>
      </c>
      <c r="G806" s="5">
        <v>21.07</v>
      </c>
      <c r="H806" s="5">
        <v>20.68</v>
      </c>
      <c r="I806" s="6">
        <v>-1.010953</v>
      </c>
    </row>
    <row r="807" spans="1:9" x14ac:dyDescent="0.25">
      <c r="A807" s="1" t="s">
        <v>82</v>
      </c>
      <c r="B807" s="5">
        <v>0.73</v>
      </c>
      <c r="C807" s="5">
        <v>0.52</v>
      </c>
      <c r="D807" s="5">
        <v>0.75</v>
      </c>
      <c r="E807" s="5">
        <v>0.74</v>
      </c>
      <c r="F807" s="5">
        <v>0.53</v>
      </c>
      <c r="G807" s="5">
        <v>0.51</v>
      </c>
      <c r="H807" s="5">
        <v>0.5</v>
      </c>
      <c r="I807" s="6">
        <v>-6.112482</v>
      </c>
    </row>
    <row r="808" spans="1:9" x14ac:dyDescent="0.25">
      <c r="A808" s="1" t="s">
        <v>83</v>
      </c>
      <c r="B808" s="5">
        <v>0</v>
      </c>
      <c r="C808" s="5">
        <v>0</v>
      </c>
      <c r="D808" s="5">
        <v>0</v>
      </c>
      <c r="E808" s="5">
        <v>0</v>
      </c>
      <c r="F808" s="5">
        <v>0</v>
      </c>
      <c r="G808" s="5">
        <v>0</v>
      </c>
      <c r="H808" s="5">
        <v>0</v>
      </c>
      <c r="I808" s="7" t="s">
        <v>58</v>
      </c>
    </row>
    <row r="809" spans="1:9" x14ac:dyDescent="0.25">
      <c r="A809" s="1" t="s">
        <v>84</v>
      </c>
      <c r="B809" s="5">
        <v>83.07</v>
      </c>
      <c r="C809" s="5">
        <v>81.849999999999994</v>
      </c>
      <c r="D809" s="5">
        <v>80.73</v>
      </c>
      <c r="E809" s="5">
        <v>79.75</v>
      </c>
      <c r="F809" s="5">
        <v>78.91</v>
      </c>
      <c r="G809" s="5">
        <v>78.22</v>
      </c>
      <c r="H809" s="5">
        <v>77.67</v>
      </c>
      <c r="I809" s="6">
        <v>-1.113991</v>
      </c>
    </row>
    <row r="810" spans="1:9" x14ac:dyDescent="0.25">
      <c r="A810" s="1" t="s">
        <v>85</v>
      </c>
      <c r="B810" s="5">
        <v>49</v>
      </c>
      <c r="C810" s="5">
        <v>49.6</v>
      </c>
      <c r="D810" s="5">
        <v>50</v>
      </c>
      <c r="E810" s="5">
        <v>50.5</v>
      </c>
      <c r="F810" s="5">
        <v>50.9</v>
      </c>
      <c r="G810" s="5">
        <v>51</v>
      </c>
      <c r="H810" s="5">
        <v>50.9</v>
      </c>
      <c r="I810" s="6">
        <v>0.63605800000000001</v>
      </c>
    </row>
    <row r="811" spans="1:9" x14ac:dyDescent="0.25">
      <c r="A811" s="1" t="s">
        <v>86</v>
      </c>
      <c r="B811" s="5">
        <v>32.58</v>
      </c>
      <c r="C811" s="5">
        <v>29.16</v>
      </c>
      <c r="D811" s="5">
        <v>26.4</v>
      </c>
      <c r="E811" s="5">
        <v>23.99</v>
      </c>
      <c r="F811" s="5">
        <v>21.87</v>
      </c>
      <c r="G811" s="5">
        <v>20.02</v>
      </c>
      <c r="H811" s="5">
        <v>18.41</v>
      </c>
      <c r="I811" s="6">
        <v>-9.0749010000000006</v>
      </c>
    </row>
    <row r="812" spans="1:9" x14ac:dyDescent="0.25">
      <c r="A812" s="1" t="s">
        <v>87</v>
      </c>
      <c r="B812" s="5">
        <v>5.78</v>
      </c>
      <c r="C812" s="5">
        <v>4.91</v>
      </c>
      <c r="D812" s="5">
        <v>4.2300000000000004</v>
      </c>
      <c r="E812" s="5">
        <v>3.88</v>
      </c>
      <c r="F812" s="5">
        <v>3.62</v>
      </c>
      <c r="G812" s="5">
        <v>3.39</v>
      </c>
      <c r="H812" s="5">
        <v>3.19</v>
      </c>
      <c r="I812" s="6">
        <v>-9.4315069999999999</v>
      </c>
    </row>
    <row r="813" spans="1:9" x14ac:dyDescent="0.25">
      <c r="A813" s="1" t="s">
        <v>88</v>
      </c>
      <c r="B813" s="5">
        <v>25.52</v>
      </c>
      <c r="C813" s="5">
        <v>22.11</v>
      </c>
      <c r="D813" s="5">
        <v>19.3</v>
      </c>
      <c r="E813" s="5">
        <v>16.98</v>
      </c>
      <c r="F813" s="5">
        <v>15.05</v>
      </c>
      <c r="G813" s="5">
        <v>13.44</v>
      </c>
      <c r="H813" s="5">
        <v>12.08</v>
      </c>
      <c r="I813" s="6">
        <v>-11.719583</v>
      </c>
    </row>
    <row r="814" spans="1:9" x14ac:dyDescent="0.25">
      <c r="A814" s="1" t="s">
        <v>89</v>
      </c>
      <c r="B814" s="5">
        <v>25.08</v>
      </c>
      <c r="C814" s="5">
        <v>24.69</v>
      </c>
      <c r="D814" s="5">
        <v>24.31</v>
      </c>
      <c r="E814" s="5">
        <v>23.88</v>
      </c>
      <c r="F814" s="5">
        <v>23.45</v>
      </c>
      <c r="G814" s="5">
        <v>23.04</v>
      </c>
      <c r="H814" s="5">
        <v>22.66</v>
      </c>
      <c r="I814" s="6">
        <v>-1.676938</v>
      </c>
    </row>
    <row r="815" spans="1:9" x14ac:dyDescent="0.25">
      <c r="A815" s="1" t="s">
        <v>90</v>
      </c>
      <c r="B815" s="5">
        <v>61.52</v>
      </c>
      <c r="C815" s="5">
        <v>61.87</v>
      </c>
      <c r="D815" s="5">
        <v>62.14</v>
      </c>
      <c r="E815" s="5">
        <v>62.38</v>
      </c>
      <c r="F815" s="5">
        <v>62.6</v>
      </c>
      <c r="G815" s="5">
        <v>62.82</v>
      </c>
      <c r="H815" s="5">
        <v>63.03</v>
      </c>
      <c r="I815" s="6">
        <v>0.40495900000000001</v>
      </c>
    </row>
    <row r="816" spans="1:9" x14ac:dyDescent="0.25">
      <c r="A816" s="1" t="s">
        <v>91</v>
      </c>
      <c r="B816" s="5">
        <v>0</v>
      </c>
      <c r="C816" s="5">
        <v>0</v>
      </c>
      <c r="D816" s="5">
        <v>0</v>
      </c>
      <c r="E816" s="5">
        <v>0</v>
      </c>
      <c r="F816" s="5">
        <v>0</v>
      </c>
      <c r="G816" s="5">
        <v>0</v>
      </c>
      <c r="H816" s="5">
        <v>0</v>
      </c>
      <c r="I816" s="7" t="s">
        <v>58</v>
      </c>
    </row>
    <row r="817" spans="1:9" x14ac:dyDescent="0.25">
      <c r="A817" s="1" t="s">
        <v>92</v>
      </c>
      <c r="B817" s="5">
        <v>10</v>
      </c>
      <c r="C817" s="5">
        <v>9</v>
      </c>
      <c r="D817" s="5">
        <v>8.26</v>
      </c>
      <c r="E817" s="5">
        <v>7.61</v>
      </c>
      <c r="F817" s="5">
        <v>7.04</v>
      </c>
      <c r="G817" s="5">
        <v>6.51</v>
      </c>
      <c r="H817" s="5">
        <v>6.03</v>
      </c>
      <c r="I817" s="6">
        <v>-8.0850369999999998</v>
      </c>
    </row>
    <row r="818" spans="1:9" x14ac:dyDescent="0.25">
      <c r="A818" s="1" t="s">
        <v>93</v>
      </c>
      <c r="B818" s="5">
        <v>14.58</v>
      </c>
      <c r="C818" s="5">
        <v>13.85</v>
      </c>
      <c r="D818" s="5">
        <v>13.33</v>
      </c>
      <c r="E818" s="5">
        <v>12.92</v>
      </c>
      <c r="F818" s="5">
        <v>12.59</v>
      </c>
      <c r="G818" s="5">
        <v>12.32</v>
      </c>
      <c r="H818" s="5">
        <v>12.1</v>
      </c>
      <c r="I818" s="6">
        <v>-3.0596369999999999</v>
      </c>
    </row>
    <row r="819" spans="1:9" x14ac:dyDescent="0.25">
      <c r="A819" s="1" t="s">
        <v>94</v>
      </c>
      <c r="B819" s="5">
        <v>0</v>
      </c>
      <c r="C819" s="5">
        <v>0</v>
      </c>
      <c r="D819" s="5">
        <v>0</v>
      </c>
      <c r="E819" s="5">
        <v>0</v>
      </c>
      <c r="F819" s="5">
        <v>0</v>
      </c>
      <c r="G819" s="5">
        <v>0</v>
      </c>
      <c r="H819" s="5">
        <v>0</v>
      </c>
      <c r="I819" s="7" t="s">
        <v>58</v>
      </c>
    </row>
    <row r="820" spans="1:9" x14ac:dyDescent="0.25">
      <c r="A820" s="1" t="s">
        <v>95</v>
      </c>
      <c r="B820" s="5">
        <v>38.5</v>
      </c>
      <c r="C820" s="5">
        <v>37.700000000000003</v>
      </c>
      <c r="D820" s="5">
        <v>35.950000000000003</v>
      </c>
      <c r="E820" s="5">
        <v>35.01</v>
      </c>
      <c r="F820" s="5">
        <v>34.1</v>
      </c>
      <c r="G820" s="5">
        <v>33.21</v>
      </c>
      <c r="H820" s="5">
        <v>32.31</v>
      </c>
      <c r="I820" s="6">
        <v>-2.8790990000000001</v>
      </c>
    </row>
    <row r="821" spans="1:9" x14ac:dyDescent="0.25">
      <c r="A821" s="1" t="s">
        <v>96</v>
      </c>
      <c r="B821" s="5">
        <v>0</v>
      </c>
      <c r="C821" s="5">
        <v>0</v>
      </c>
      <c r="D821" s="5">
        <v>0</v>
      </c>
      <c r="E821" s="5">
        <v>0</v>
      </c>
      <c r="F821" s="5">
        <v>0</v>
      </c>
      <c r="G821" s="5">
        <v>0</v>
      </c>
      <c r="H821" s="5">
        <v>0</v>
      </c>
      <c r="I821" s="7" t="s">
        <v>58</v>
      </c>
    </row>
    <row r="822" spans="1:9" x14ac:dyDescent="0.25">
      <c r="A822" s="1" t="s">
        <v>97</v>
      </c>
      <c r="B822" s="5">
        <v>10.09</v>
      </c>
      <c r="C822" s="5">
        <v>9.91</v>
      </c>
      <c r="D822" s="5">
        <v>9.57</v>
      </c>
      <c r="E822" s="5">
        <v>9.31</v>
      </c>
      <c r="F822" s="5">
        <v>9.1</v>
      </c>
      <c r="G822" s="5">
        <v>8.94</v>
      </c>
      <c r="H822" s="5">
        <v>8.81</v>
      </c>
      <c r="I822" s="6">
        <v>-2.235589</v>
      </c>
    </row>
    <row r="823" spans="1:9" x14ac:dyDescent="0.25">
      <c r="A823" s="1" t="s">
        <v>98</v>
      </c>
      <c r="B823" s="5">
        <v>22.7</v>
      </c>
      <c r="C823" s="5">
        <v>21.96</v>
      </c>
      <c r="D823" s="5">
        <v>21.18</v>
      </c>
      <c r="E823" s="5">
        <v>20.39</v>
      </c>
      <c r="F823" s="5">
        <v>19.61</v>
      </c>
      <c r="G823" s="5">
        <v>18.88</v>
      </c>
      <c r="H823" s="5">
        <v>18.190000000000001</v>
      </c>
      <c r="I823" s="6">
        <v>-3.6242420000000002</v>
      </c>
    </row>
    <row r="824" spans="1:9" x14ac:dyDescent="0.25">
      <c r="A824" s="1" t="s">
        <v>99</v>
      </c>
      <c r="B824" s="5">
        <v>0</v>
      </c>
      <c r="C824" s="5">
        <v>0</v>
      </c>
      <c r="D824" s="5">
        <v>0</v>
      </c>
      <c r="E824" s="5">
        <v>0</v>
      </c>
      <c r="F824" s="5">
        <v>0</v>
      </c>
      <c r="G824" s="5">
        <v>0</v>
      </c>
      <c r="H824" s="5">
        <v>0</v>
      </c>
      <c r="I824" s="7" t="s">
        <v>58</v>
      </c>
    </row>
    <row r="825" spans="1:9" x14ac:dyDescent="0.25">
      <c r="A825" s="1" t="s">
        <v>100</v>
      </c>
      <c r="B825" s="5">
        <v>8.1999999999999993</v>
      </c>
      <c r="C825" s="5">
        <v>7.48</v>
      </c>
      <c r="D825" s="5">
        <v>6.85</v>
      </c>
      <c r="E825" s="5">
        <v>6.27</v>
      </c>
      <c r="F825" s="5">
        <v>5.74</v>
      </c>
      <c r="G825" s="5">
        <v>5.24</v>
      </c>
      <c r="H825" s="5">
        <v>4.78</v>
      </c>
      <c r="I825" s="6">
        <v>-8.602214</v>
      </c>
    </row>
    <row r="826" spans="1:9" x14ac:dyDescent="0.25">
      <c r="A826" s="1" t="s">
        <v>101</v>
      </c>
      <c r="B826" s="5">
        <v>6.27</v>
      </c>
      <c r="C826" s="5">
        <v>5.59</v>
      </c>
      <c r="D826" s="5">
        <v>4.62</v>
      </c>
      <c r="E826" s="5">
        <v>4.29</v>
      </c>
      <c r="F826" s="5">
        <v>4</v>
      </c>
      <c r="G826" s="5">
        <v>3.75</v>
      </c>
      <c r="H826" s="5">
        <v>3.51</v>
      </c>
      <c r="I826" s="6">
        <v>-9.2165680000000005</v>
      </c>
    </row>
    <row r="827" spans="1:9" x14ac:dyDescent="0.25">
      <c r="A827" s="1" t="s">
        <v>102</v>
      </c>
      <c r="B827" s="5">
        <v>14.66</v>
      </c>
      <c r="C827" s="5">
        <v>14.1</v>
      </c>
      <c r="D827" s="5">
        <v>13.63</v>
      </c>
      <c r="E827" s="5">
        <v>13.26</v>
      </c>
      <c r="F827" s="5">
        <v>12.88</v>
      </c>
      <c r="G827" s="5">
        <v>12.57</v>
      </c>
      <c r="H827" s="5">
        <v>12.35</v>
      </c>
      <c r="I827" s="6">
        <v>-2.817329</v>
      </c>
    </row>
    <row r="828" spans="1:9" x14ac:dyDescent="0.25">
      <c r="A828" s="1" t="s">
        <v>103</v>
      </c>
      <c r="B828" s="5">
        <v>23.99</v>
      </c>
      <c r="C828" s="5">
        <v>23.42</v>
      </c>
      <c r="D828" s="5">
        <v>22.91</v>
      </c>
      <c r="E828" s="5">
        <v>22.42</v>
      </c>
      <c r="F828" s="5">
        <v>21.98</v>
      </c>
      <c r="G828" s="5">
        <v>21.6</v>
      </c>
      <c r="H828" s="5">
        <v>21.28</v>
      </c>
      <c r="I828" s="6">
        <v>-1.9779990000000001</v>
      </c>
    </row>
    <row r="829" spans="1:9" x14ac:dyDescent="0.25">
      <c r="A829" s="1" t="s">
        <v>104</v>
      </c>
      <c r="B829" s="5">
        <v>0</v>
      </c>
      <c r="C829" s="5">
        <v>0</v>
      </c>
      <c r="D829" s="5">
        <v>0</v>
      </c>
      <c r="E829" s="5">
        <v>0</v>
      </c>
      <c r="F829" s="5">
        <v>0</v>
      </c>
      <c r="G829" s="5">
        <v>0</v>
      </c>
      <c r="H829" s="5">
        <v>0</v>
      </c>
      <c r="I829" s="7" t="s">
        <v>58</v>
      </c>
    </row>
    <row r="830" spans="1:9" x14ac:dyDescent="0.25">
      <c r="A830" s="1" t="s">
        <v>105</v>
      </c>
      <c r="B830" s="5">
        <v>33.51</v>
      </c>
      <c r="C830" s="5">
        <v>34.15</v>
      </c>
      <c r="D830" s="5">
        <v>34.619999999999997</v>
      </c>
      <c r="E830" s="5">
        <v>35.18</v>
      </c>
      <c r="F830" s="5">
        <v>35.89</v>
      </c>
      <c r="G830" s="5">
        <v>36.200000000000003</v>
      </c>
      <c r="H830" s="5">
        <v>36.590000000000003</v>
      </c>
      <c r="I830" s="6">
        <v>1.4763090000000001</v>
      </c>
    </row>
    <row r="831" spans="1:9" x14ac:dyDescent="0.25">
      <c r="A831" s="1" t="s">
        <v>106</v>
      </c>
      <c r="B831" s="5">
        <v>0.08</v>
      </c>
      <c r="C831" s="5">
        <v>7.0000000000000007E-2</v>
      </c>
      <c r="D831" s="5">
        <v>7.0000000000000007E-2</v>
      </c>
      <c r="E831" s="5">
        <v>0.06</v>
      </c>
      <c r="F831" s="5">
        <v>0.06</v>
      </c>
      <c r="G831" s="5">
        <v>0.05</v>
      </c>
      <c r="H831" s="5">
        <v>0.05</v>
      </c>
      <c r="I831" s="6">
        <v>-7.53444</v>
      </c>
    </row>
    <row r="832" spans="1:9" ht="30" x14ac:dyDescent="0.25">
      <c r="A832" s="1" t="s">
        <v>107</v>
      </c>
      <c r="B832" s="5">
        <v>45.33</v>
      </c>
      <c r="C832" s="5">
        <v>45.45</v>
      </c>
      <c r="D832" s="5">
        <v>45.54</v>
      </c>
      <c r="E832" s="5">
        <v>45.6</v>
      </c>
      <c r="F832" s="5">
        <v>45.65</v>
      </c>
      <c r="G832" s="5">
        <v>45.67</v>
      </c>
      <c r="H832" s="5">
        <v>45.68</v>
      </c>
      <c r="I832" s="6">
        <v>0.128274</v>
      </c>
    </row>
    <row r="833" spans="1:9" x14ac:dyDescent="0.25">
      <c r="A833" s="1" t="s">
        <v>108</v>
      </c>
      <c r="B833" s="5">
        <v>13.67</v>
      </c>
      <c r="C833" s="5">
        <v>15.4</v>
      </c>
      <c r="D833" s="5">
        <v>17.13</v>
      </c>
      <c r="E833" s="5">
        <v>18.850000000000001</v>
      </c>
      <c r="F833" s="5">
        <v>20.58</v>
      </c>
      <c r="G833" s="5">
        <v>22.32</v>
      </c>
      <c r="H833" s="5">
        <v>24.2</v>
      </c>
      <c r="I833" s="6">
        <v>9.9869459999999997</v>
      </c>
    </row>
    <row r="834" spans="1:9" ht="30" x14ac:dyDescent="0.25">
      <c r="A834" s="1" t="s">
        <v>109</v>
      </c>
      <c r="B834" s="5">
        <v>0</v>
      </c>
      <c r="C834" s="5">
        <v>0</v>
      </c>
      <c r="D834" s="5">
        <v>0</v>
      </c>
      <c r="E834" s="5">
        <v>0</v>
      </c>
      <c r="F834" s="5">
        <v>0</v>
      </c>
      <c r="G834" s="5">
        <v>0</v>
      </c>
      <c r="H834" s="5">
        <v>0</v>
      </c>
      <c r="I834" s="7" t="s">
        <v>58</v>
      </c>
    </row>
    <row r="835" spans="1:9" x14ac:dyDescent="0.25">
      <c r="A835" s="1" t="s">
        <v>110</v>
      </c>
      <c r="B835" s="5">
        <v>20.23</v>
      </c>
      <c r="C835" s="5">
        <v>20.350000000000001</v>
      </c>
      <c r="D835" s="5">
        <v>20.48</v>
      </c>
      <c r="E835" s="5">
        <v>20.6</v>
      </c>
      <c r="F835" s="5">
        <v>20.7</v>
      </c>
      <c r="G835" s="5">
        <v>20.78</v>
      </c>
      <c r="H835" s="5">
        <v>20.85</v>
      </c>
      <c r="I835" s="6">
        <v>0.50438899999999998</v>
      </c>
    </row>
    <row r="836" spans="1:9" x14ac:dyDescent="0.25">
      <c r="A836" s="1" t="s">
        <v>111</v>
      </c>
      <c r="B836" s="5">
        <v>0</v>
      </c>
      <c r="C836" s="5">
        <v>0</v>
      </c>
      <c r="D836" s="5">
        <v>0</v>
      </c>
      <c r="E836" s="5">
        <v>0</v>
      </c>
      <c r="F836" s="5">
        <v>0</v>
      </c>
      <c r="G836" s="5">
        <v>0</v>
      </c>
      <c r="H836" s="5">
        <v>0</v>
      </c>
      <c r="I836" s="7" t="s">
        <v>58</v>
      </c>
    </row>
    <row r="837" spans="1:9" x14ac:dyDescent="0.25">
      <c r="A837" s="1" t="s">
        <v>112</v>
      </c>
      <c r="B837" s="5">
        <v>61.8</v>
      </c>
      <c r="C837" s="5">
        <v>59.16</v>
      </c>
      <c r="D837" s="5">
        <v>56.58</v>
      </c>
      <c r="E837" s="5">
        <v>54.28</v>
      </c>
      <c r="F837" s="5">
        <v>52.22</v>
      </c>
      <c r="G837" s="5">
        <v>50.33</v>
      </c>
      <c r="H837" s="5">
        <v>49.21</v>
      </c>
      <c r="I837" s="6">
        <v>-3.7256010000000002</v>
      </c>
    </row>
    <row r="838" spans="1:9" x14ac:dyDescent="0.25">
      <c r="A838" s="1" t="s">
        <v>113</v>
      </c>
      <c r="B838" s="5">
        <v>20.5</v>
      </c>
      <c r="C838" s="5">
        <v>24.65</v>
      </c>
      <c r="D838" s="5">
        <v>29.18</v>
      </c>
      <c r="E838" s="5">
        <v>33.71</v>
      </c>
      <c r="F838" s="5">
        <v>38.159999999999997</v>
      </c>
      <c r="G838" s="5">
        <v>42.44</v>
      </c>
      <c r="H838" s="5">
        <v>46.5</v>
      </c>
      <c r="I838" s="6">
        <v>14.626011999999999</v>
      </c>
    </row>
    <row r="839" spans="1:9" x14ac:dyDescent="0.25">
      <c r="A839" s="1" t="s">
        <v>114</v>
      </c>
      <c r="B839" s="5">
        <v>2.94</v>
      </c>
      <c r="C839" s="5">
        <v>2.78</v>
      </c>
      <c r="D839" s="5">
        <v>2.64</v>
      </c>
      <c r="E839" s="5">
        <v>2.5</v>
      </c>
      <c r="F839" s="5">
        <v>2.38</v>
      </c>
      <c r="G839" s="5">
        <v>2.2799999999999998</v>
      </c>
      <c r="H839" s="5">
        <v>2.1800000000000002</v>
      </c>
      <c r="I839" s="6">
        <v>-4.862546</v>
      </c>
    </row>
    <row r="840" spans="1:9" ht="30" x14ac:dyDescent="0.25">
      <c r="A840" s="1" t="s">
        <v>115</v>
      </c>
      <c r="B840" s="5">
        <v>16.12</v>
      </c>
      <c r="C840" s="5">
        <v>15.86</v>
      </c>
      <c r="D840" s="5">
        <v>15.57</v>
      </c>
      <c r="E840" s="5">
        <v>15.34</v>
      </c>
      <c r="F840" s="5">
        <v>15.13</v>
      </c>
      <c r="G840" s="5">
        <v>14.93</v>
      </c>
      <c r="H840" s="5">
        <v>14.75</v>
      </c>
      <c r="I840" s="6">
        <v>-1.469392</v>
      </c>
    </row>
    <row r="841" spans="1:9" x14ac:dyDescent="0.25">
      <c r="A841" s="1" t="s">
        <v>116</v>
      </c>
      <c r="B841" s="5">
        <v>0</v>
      </c>
      <c r="C841" s="5">
        <v>0</v>
      </c>
      <c r="D841" s="5">
        <v>0</v>
      </c>
      <c r="E841" s="5">
        <v>0</v>
      </c>
      <c r="F841" s="5">
        <v>0</v>
      </c>
      <c r="G841" s="5">
        <v>0</v>
      </c>
      <c r="H841" s="5">
        <v>0</v>
      </c>
      <c r="I841" s="7" t="s">
        <v>58</v>
      </c>
    </row>
    <row r="842" spans="1:9" x14ac:dyDescent="0.25">
      <c r="A842" s="1" t="s">
        <v>12</v>
      </c>
      <c r="B842" s="2"/>
      <c r="C842" s="2"/>
      <c r="D842" s="2"/>
      <c r="E842" s="2"/>
      <c r="F842" s="2"/>
      <c r="G842" s="2"/>
      <c r="H842" s="2"/>
      <c r="I842" s="2"/>
    </row>
    <row r="843" spans="1:9" ht="60" x14ac:dyDescent="0.25">
      <c r="A843" s="1" t="s">
        <v>124</v>
      </c>
      <c r="B843" s="2"/>
      <c r="C843" s="2"/>
      <c r="D843" s="2"/>
      <c r="E843" s="2"/>
      <c r="F843" s="2"/>
      <c r="G843" s="2"/>
      <c r="H843" s="2"/>
      <c r="I843" s="2"/>
    </row>
    <row r="844" spans="1:9" x14ac:dyDescent="0.25">
      <c r="A844" s="1" t="s">
        <v>14</v>
      </c>
      <c r="B844" s="5">
        <v>4.38</v>
      </c>
      <c r="C844" s="5">
        <v>1.1200000000000001</v>
      </c>
      <c r="D844" s="5">
        <v>0.3</v>
      </c>
      <c r="E844" s="5">
        <v>0.03</v>
      </c>
      <c r="F844" s="5">
        <v>0</v>
      </c>
      <c r="G844" s="5">
        <v>0</v>
      </c>
      <c r="H844" s="5">
        <v>0</v>
      </c>
      <c r="I844" s="6">
        <v>-100</v>
      </c>
    </row>
    <row r="845" spans="1:9" ht="30" x14ac:dyDescent="0.25">
      <c r="A845" s="1" t="s">
        <v>15</v>
      </c>
      <c r="B845" s="5">
        <v>2.44</v>
      </c>
      <c r="C845" s="5">
        <v>2.1800000000000002</v>
      </c>
      <c r="D845" s="5">
        <v>2.0099999999999998</v>
      </c>
      <c r="E845" s="5">
        <v>1.88</v>
      </c>
      <c r="F845" s="5">
        <v>1.75</v>
      </c>
      <c r="G845" s="5">
        <v>1.62</v>
      </c>
      <c r="H845" s="5">
        <v>1.51</v>
      </c>
      <c r="I845" s="6">
        <v>-7.6866479999999999</v>
      </c>
    </row>
    <row r="846" spans="1:9" x14ac:dyDescent="0.25">
      <c r="A846" s="1" t="s">
        <v>16</v>
      </c>
      <c r="B846" s="5">
        <v>5.55</v>
      </c>
      <c r="C846" s="5">
        <v>3.74</v>
      </c>
      <c r="D846" s="5">
        <v>3.02</v>
      </c>
      <c r="E846" s="5">
        <v>2.41</v>
      </c>
      <c r="F846" s="5">
        <v>1.92</v>
      </c>
      <c r="G846" s="5">
        <v>1.51</v>
      </c>
      <c r="H846" s="5">
        <v>1.23</v>
      </c>
      <c r="I846" s="6">
        <v>-22.207924999999999</v>
      </c>
    </row>
    <row r="847" spans="1:9" x14ac:dyDescent="0.25">
      <c r="A847" s="1" t="s">
        <v>17</v>
      </c>
      <c r="B847" s="5">
        <v>44.69</v>
      </c>
      <c r="C847" s="5">
        <v>42.09</v>
      </c>
      <c r="D847" s="5">
        <v>39.64</v>
      </c>
      <c r="E847" s="5">
        <v>37.22</v>
      </c>
      <c r="F847" s="5">
        <v>35.07</v>
      </c>
      <c r="G847" s="5">
        <v>32.880000000000003</v>
      </c>
      <c r="H847" s="5">
        <v>30.61</v>
      </c>
      <c r="I847" s="6">
        <v>-6.1122719999999999</v>
      </c>
    </row>
    <row r="848" spans="1:9" x14ac:dyDescent="0.25">
      <c r="A848" s="1" t="s">
        <v>18</v>
      </c>
      <c r="B848" s="5">
        <v>21.64</v>
      </c>
      <c r="C848" s="5">
        <v>21.65</v>
      </c>
      <c r="D848" s="5">
        <v>21.72</v>
      </c>
      <c r="E848" s="5">
        <v>21.85</v>
      </c>
      <c r="F848" s="5">
        <v>22.04</v>
      </c>
      <c r="G848" s="5">
        <v>22.04</v>
      </c>
      <c r="H848" s="5">
        <v>22.04</v>
      </c>
      <c r="I848" s="6">
        <v>0.30572500000000002</v>
      </c>
    </row>
    <row r="849" spans="1:9" x14ac:dyDescent="0.25">
      <c r="A849" s="1" t="s">
        <v>19</v>
      </c>
      <c r="B849" s="5">
        <v>2.0099999999999998</v>
      </c>
      <c r="C849" s="5">
        <v>1.86</v>
      </c>
      <c r="D849" s="5">
        <v>1.74</v>
      </c>
      <c r="E849" s="5">
        <v>1.63</v>
      </c>
      <c r="F849" s="5">
        <v>1.52</v>
      </c>
      <c r="G849" s="5">
        <v>1.42</v>
      </c>
      <c r="H849" s="5">
        <v>1.33</v>
      </c>
      <c r="I849" s="6">
        <v>-6.6510870000000004</v>
      </c>
    </row>
    <row r="850" spans="1:9" x14ac:dyDescent="0.25">
      <c r="A850" s="1" t="s">
        <v>20</v>
      </c>
      <c r="B850" s="5">
        <v>0</v>
      </c>
      <c r="C850" s="5">
        <v>0</v>
      </c>
      <c r="D850" s="5">
        <v>0</v>
      </c>
      <c r="E850" s="5">
        <v>0</v>
      </c>
      <c r="F850" s="5">
        <v>0</v>
      </c>
      <c r="G850" s="5">
        <v>0</v>
      </c>
      <c r="H850" s="5">
        <v>0</v>
      </c>
      <c r="I850" s="7" t="s">
        <v>58</v>
      </c>
    </row>
    <row r="851" spans="1:9" x14ac:dyDescent="0.25">
      <c r="A851" s="1" t="s">
        <v>21</v>
      </c>
      <c r="B851" s="5">
        <v>28</v>
      </c>
      <c r="C851" s="5">
        <v>21.68</v>
      </c>
      <c r="D851" s="5">
        <v>15.51</v>
      </c>
      <c r="E851" s="5">
        <v>11.45</v>
      </c>
      <c r="F851" s="5">
        <v>7.53</v>
      </c>
      <c r="G851" s="5">
        <v>3.73</v>
      </c>
      <c r="H851" s="5">
        <v>1.48</v>
      </c>
      <c r="I851" s="6">
        <v>-38.739018999999999</v>
      </c>
    </row>
    <row r="852" spans="1:9" x14ac:dyDescent="0.25">
      <c r="A852" s="1" t="s">
        <v>22</v>
      </c>
      <c r="B852" s="5">
        <v>5.64</v>
      </c>
      <c r="C852" s="5">
        <v>4.99</v>
      </c>
      <c r="D852" s="5">
        <v>4.45</v>
      </c>
      <c r="E852" s="5">
        <v>4</v>
      </c>
      <c r="F852" s="5">
        <v>3.63</v>
      </c>
      <c r="G852" s="5">
        <v>3.32</v>
      </c>
      <c r="H852" s="5">
        <v>3.05</v>
      </c>
      <c r="I852" s="6">
        <v>-9.7383109999999995</v>
      </c>
    </row>
    <row r="853" spans="1:9" x14ac:dyDescent="0.25">
      <c r="A853" s="1" t="s">
        <v>23</v>
      </c>
      <c r="B853" s="5">
        <v>1.46</v>
      </c>
      <c r="C853" s="5">
        <v>0.34</v>
      </c>
      <c r="D853" s="5">
        <v>0.11</v>
      </c>
      <c r="E853" s="5">
        <v>0.05</v>
      </c>
      <c r="F853" s="5">
        <v>0.01</v>
      </c>
      <c r="G853" s="5">
        <v>0</v>
      </c>
      <c r="H853" s="5">
        <v>0</v>
      </c>
      <c r="I853" s="6">
        <v>-100</v>
      </c>
    </row>
    <row r="854" spans="1:9" x14ac:dyDescent="0.25">
      <c r="A854" s="1" t="s">
        <v>24</v>
      </c>
      <c r="B854" s="5">
        <v>24.7</v>
      </c>
      <c r="C854" s="5">
        <v>22.15</v>
      </c>
      <c r="D854" s="5">
        <v>20.34</v>
      </c>
      <c r="E854" s="5">
        <v>18.760000000000002</v>
      </c>
      <c r="F854" s="5">
        <v>17.329999999999998</v>
      </c>
      <c r="G854" s="5">
        <v>15.99</v>
      </c>
      <c r="H854" s="5">
        <v>14.7</v>
      </c>
      <c r="I854" s="6">
        <v>-8.2857690000000002</v>
      </c>
    </row>
    <row r="855" spans="1:9" x14ac:dyDescent="0.25">
      <c r="A855" s="1" t="s">
        <v>25</v>
      </c>
      <c r="B855" s="5">
        <v>1.27</v>
      </c>
      <c r="C855" s="5">
        <v>1.19</v>
      </c>
      <c r="D855" s="5">
        <v>1.1000000000000001</v>
      </c>
      <c r="E855" s="5">
        <v>1.02</v>
      </c>
      <c r="F855" s="5">
        <v>0.96</v>
      </c>
      <c r="G855" s="5">
        <v>0.9</v>
      </c>
      <c r="H855" s="5">
        <v>0.86</v>
      </c>
      <c r="I855" s="6">
        <v>-6.2907520000000003</v>
      </c>
    </row>
    <row r="856" spans="1:9" x14ac:dyDescent="0.25">
      <c r="A856" s="1" t="s">
        <v>26</v>
      </c>
      <c r="B856" s="5">
        <v>9.76</v>
      </c>
      <c r="C856" s="5">
        <v>8.3000000000000007</v>
      </c>
      <c r="D856" s="5">
        <v>7.19</v>
      </c>
      <c r="E856" s="5">
        <v>6.38</v>
      </c>
      <c r="F856" s="5">
        <v>5.79</v>
      </c>
      <c r="G856" s="5">
        <v>5.37</v>
      </c>
      <c r="H856" s="5">
        <v>5.03</v>
      </c>
      <c r="I856" s="6">
        <v>-10.459463</v>
      </c>
    </row>
    <row r="857" spans="1:9" x14ac:dyDescent="0.25">
      <c r="A857" s="1" t="s">
        <v>27</v>
      </c>
      <c r="B857" s="5">
        <v>0.28999999999999998</v>
      </c>
      <c r="C857" s="5">
        <v>0.1</v>
      </c>
      <c r="D857" s="5">
        <v>0.04</v>
      </c>
      <c r="E857" s="5">
        <v>0</v>
      </c>
      <c r="F857" s="5">
        <v>0</v>
      </c>
      <c r="G857" s="5">
        <v>0</v>
      </c>
      <c r="H857" s="5">
        <v>0</v>
      </c>
      <c r="I857" s="6">
        <v>-100</v>
      </c>
    </row>
    <row r="858" spans="1:9" x14ac:dyDescent="0.25">
      <c r="A858" s="1" t="s">
        <v>28</v>
      </c>
      <c r="B858" s="5">
        <v>0.38</v>
      </c>
      <c r="C858" s="5">
        <v>0.3</v>
      </c>
      <c r="D858" s="5">
        <v>0.23</v>
      </c>
      <c r="E858" s="5">
        <v>0.19</v>
      </c>
      <c r="F858" s="5">
        <v>0.17</v>
      </c>
      <c r="G858" s="5">
        <v>0.13</v>
      </c>
      <c r="H858" s="5">
        <v>0.12</v>
      </c>
      <c r="I858" s="6">
        <v>-17.478659</v>
      </c>
    </row>
    <row r="859" spans="1:9" x14ac:dyDescent="0.25">
      <c r="A859" s="1" t="s">
        <v>29</v>
      </c>
      <c r="B859" s="5">
        <v>3.29</v>
      </c>
      <c r="C859" s="5">
        <v>2.66</v>
      </c>
      <c r="D859" s="5">
        <v>2.08</v>
      </c>
      <c r="E859" s="5">
        <v>1.61</v>
      </c>
      <c r="F859" s="5">
        <v>1.25</v>
      </c>
      <c r="G859" s="5">
        <v>0.97</v>
      </c>
      <c r="H859" s="5">
        <v>0.75</v>
      </c>
      <c r="I859" s="6">
        <v>-21.841258</v>
      </c>
    </row>
    <row r="860" spans="1:9" x14ac:dyDescent="0.25">
      <c r="A860" s="1" t="s">
        <v>30</v>
      </c>
      <c r="B860" s="5">
        <v>2.9</v>
      </c>
      <c r="C860" s="5">
        <v>1.05</v>
      </c>
      <c r="D860" s="5">
        <v>0.27</v>
      </c>
      <c r="E860" s="5">
        <v>0.03</v>
      </c>
      <c r="F860" s="5">
        <v>0</v>
      </c>
      <c r="G860" s="5">
        <v>0</v>
      </c>
      <c r="H860" s="5">
        <v>0</v>
      </c>
      <c r="I860" s="6">
        <v>-100</v>
      </c>
    </row>
    <row r="861" spans="1:9" x14ac:dyDescent="0.25">
      <c r="A861" s="1" t="s">
        <v>31</v>
      </c>
      <c r="B861" s="5">
        <v>49.69</v>
      </c>
      <c r="C861" s="5">
        <v>41.02</v>
      </c>
      <c r="D861" s="5">
        <v>33.450000000000003</v>
      </c>
      <c r="E861" s="5">
        <v>26.41</v>
      </c>
      <c r="F861" s="5">
        <v>20.23</v>
      </c>
      <c r="G861" s="5">
        <v>14.81</v>
      </c>
      <c r="H861" s="5">
        <v>10.050000000000001</v>
      </c>
      <c r="I861" s="6">
        <v>-23.384582000000002</v>
      </c>
    </row>
    <row r="862" spans="1:9" x14ac:dyDescent="0.25">
      <c r="A862" s="1" t="s">
        <v>32</v>
      </c>
      <c r="B862" s="5">
        <v>26.9</v>
      </c>
      <c r="C862" s="5">
        <v>25.9</v>
      </c>
      <c r="D862" s="5">
        <v>25.04</v>
      </c>
      <c r="E862" s="5">
        <v>24.22</v>
      </c>
      <c r="F862" s="5">
        <v>23.44</v>
      </c>
      <c r="G862" s="5">
        <v>22.71</v>
      </c>
      <c r="H862" s="5">
        <v>22.01</v>
      </c>
      <c r="I862" s="6">
        <v>-3.288535</v>
      </c>
    </row>
    <row r="863" spans="1:9" x14ac:dyDescent="0.25">
      <c r="A863" s="1" t="s">
        <v>33</v>
      </c>
      <c r="B863" s="5">
        <v>10.84</v>
      </c>
      <c r="C863" s="5">
        <v>9.7100000000000009</v>
      </c>
      <c r="D863" s="5">
        <v>8.75</v>
      </c>
      <c r="E863" s="5">
        <v>7.89</v>
      </c>
      <c r="F863" s="5">
        <v>7.11</v>
      </c>
      <c r="G863" s="5">
        <v>6.42</v>
      </c>
      <c r="H863" s="5">
        <v>5.8</v>
      </c>
      <c r="I863" s="6">
        <v>-9.8982720000000004</v>
      </c>
    </row>
    <row r="864" spans="1:9" ht="30" x14ac:dyDescent="0.25">
      <c r="A864" s="1" t="s">
        <v>34</v>
      </c>
      <c r="B864" s="5">
        <v>16.48</v>
      </c>
      <c r="C864" s="5">
        <v>14.89</v>
      </c>
      <c r="D864" s="5">
        <v>13.21</v>
      </c>
      <c r="E864" s="5">
        <v>11.88</v>
      </c>
      <c r="F864" s="5">
        <v>10.82</v>
      </c>
      <c r="G864" s="5">
        <v>9.98</v>
      </c>
      <c r="H864" s="5">
        <v>9.2899999999999991</v>
      </c>
      <c r="I864" s="6">
        <v>-9.1113289999999996</v>
      </c>
    </row>
    <row r="865" spans="1:9" ht="30" x14ac:dyDescent="0.25">
      <c r="A865" s="1" t="s">
        <v>35</v>
      </c>
      <c r="B865" s="5">
        <v>15.52</v>
      </c>
      <c r="C865" s="5">
        <v>13.55</v>
      </c>
      <c r="D865" s="5">
        <v>12.09</v>
      </c>
      <c r="E865" s="5">
        <v>10.9</v>
      </c>
      <c r="F865" s="5">
        <v>9.91</v>
      </c>
      <c r="G865" s="5">
        <v>9.0500000000000007</v>
      </c>
      <c r="H865" s="5">
        <v>8.3000000000000007</v>
      </c>
      <c r="I865" s="6">
        <v>-9.9056139999999999</v>
      </c>
    </row>
    <row r="866" spans="1:9" x14ac:dyDescent="0.25">
      <c r="A866" s="1" t="s">
        <v>36</v>
      </c>
      <c r="B866" s="5">
        <v>1.34</v>
      </c>
      <c r="C866" s="5">
        <v>0.59</v>
      </c>
      <c r="D866" s="5">
        <v>0.27</v>
      </c>
      <c r="E866" s="5">
        <v>0.13</v>
      </c>
      <c r="F866" s="5">
        <v>0.06</v>
      </c>
      <c r="G866" s="5">
        <v>0.03</v>
      </c>
      <c r="H866" s="5">
        <v>0.02</v>
      </c>
      <c r="I866" s="6">
        <v>-50.380293000000002</v>
      </c>
    </row>
    <row r="867" spans="1:9" x14ac:dyDescent="0.25">
      <c r="A867" s="1" t="s">
        <v>37</v>
      </c>
      <c r="B867" s="5">
        <v>97.88</v>
      </c>
      <c r="C867" s="5">
        <v>97.13</v>
      </c>
      <c r="D867" s="5">
        <v>96.18</v>
      </c>
      <c r="E867" s="5">
        <v>94.94</v>
      </c>
      <c r="F867" s="5">
        <v>93.34</v>
      </c>
      <c r="G867" s="5">
        <v>91.17</v>
      </c>
      <c r="H867" s="5">
        <v>88.7</v>
      </c>
      <c r="I867" s="6">
        <v>-1.6279749999999999</v>
      </c>
    </row>
    <row r="868" spans="1:9" x14ac:dyDescent="0.25">
      <c r="A868" s="1" t="s">
        <v>38</v>
      </c>
      <c r="B868" s="5">
        <v>56.3</v>
      </c>
      <c r="C868" s="5">
        <v>55.87</v>
      </c>
      <c r="D868" s="5">
        <v>55.48</v>
      </c>
      <c r="E868" s="5">
        <v>55.14</v>
      </c>
      <c r="F868" s="5">
        <v>54.82</v>
      </c>
      <c r="G868" s="5">
        <v>54.53</v>
      </c>
      <c r="H868" s="5">
        <v>54.27</v>
      </c>
      <c r="I868" s="6">
        <v>-0.61017999999999994</v>
      </c>
    </row>
    <row r="869" spans="1:9" x14ac:dyDescent="0.25">
      <c r="A869" s="1" t="s">
        <v>39</v>
      </c>
      <c r="B869" s="5">
        <v>14.94</v>
      </c>
      <c r="C869" s="5">
        <v>13.53</v>
      </c>
      <c r="D869" s="5">
        <v>11.87</v>
      </c>
      <c r="E869" s="5">
        <v>10.37</v>
      </c>
      <c r="F869" s="5">
        <v>9.01</v>
      </c>
      <c r="G869" s="5">
        <v>7.79</v>
      </c>
      <c r="H869" s="5">
        <v>6.68</v>
      </c>
      <c r="I869" s="6">
        <v>-12.554463999999999</v>
      </c>
    </row>
    <row r="870" spans="1:9" x14ac:dyDescent="0.25">
      <c r="A870" s="1" t="s">
        <v>40</v>
      </c>
      <c r="B870" s="5">
        <v>3.31</v>
      </c>
      <c r="C870" s="5">
        <v>1.93</v>
      </c>
      <c r="D870" s="5">
        <v>0.94</v>
      </c>
      <c r="E870" s="5">
        <v>0.27</v>
      </c>
      <c r="F870" s="5">
        <v>0</v>
      </c>
      <c r="G870" s="5">
        <v>0</v>
      </c>
      <c r="H870" s="5">
        <v>0</v>
      </c>
      <c r="I870" s="6">
        <v>-100</v>
      </c>
    </row>
    <row r="871" spans="1:9" x14ac:dyDescent="0.25">
      <c r="A871" s="1" t="s">
        <v>41</v>
      </c>
      <c r="B871" s="5">
        <v>22.04</v>
      </c>
      <c r="C871" s="5">
        <v>15.12</v>
      </c>
      <c r="D871" s="5">
        <v>9.2100000000000009</v>
      </c>
      <c r="E871" s="5">
        <v>4.2</v>
      </c>
      <c r="F871" s="5">
        <v>2.62</v>
      </c>
      <c r="G871" s="5">
        <v>1.49</v>
      </c>
      <c r="H871" s="5">
        <v>0.23</v>
      </c>
      <c r="I871" s="6">
        <v>-53.253112000000002</v>
      </c>
    </row>
    <row r="872" spans="1:9" x14ac:dyDescent="0.25">
      <c r="A872" s="1" t="s">
        <v>42</v>
      </c>
      <c r="B872" s="5">
        <v>61.49</v>
      </c>
      <c r="C872" s="5">
        <v>59.47</v>
      </c>
      <c r="D872" s="5">
        <v>57.63</v>
      </c>
      <c r="E872" s="5">
        <v>55.92</v>
      </c>
      <c r="F872" s="5">
        <v>54.1</v>
      </c>
      <c r="G872" s="5">
        <v>52.2</v>
      </c>
      <c r="H872" s="5">
        <v>50.2</v>
      </c>
      <c r="I872" s="6">
        <v>-3.3244750000000001</v>
      </c>
    </row>
    <row r="873" spans="1:9" x14ac:dyDescent="0.25">
      <c r="A873" s="1" t="s">
        <v>43</v>
      </c>
      <c r="B873" s="5">
        <v>87.06</v>
      </c>
      <c r="C873" s="5">
        <v>81.77</v>
      </c>
      <c r="D873" s="5">
        <v>76.2</v>
      </c>
      <c r="E873" s="5">
        <v>70.92</v>
      </c>
      <c r="F873" s="5">
        <v>66.47</v>
      </c>
      <c r="G873" s="5">
        <v>62.39</v>
      </c>
      <c r="H873" s="5">
        <v>58.99</v>
      </c>
      <c r="I873" s="6">
        <v>-6.2812210000000004</v>
      </c>
    </row>
    <row r="874" spans="1:9" x14ac:dyDescent="0.25">
      <c r="A874" s="1" t="s">
        <v>44</v>
      </c>
      <c r="B874" s="5">
        <v>13.48</v>
      </c>
      <c r="C874" s="5">
        <v>9.44</v>
      </c>
      <c r="D874" s="5">
        <v>6.61</v>
      </c>
      <c r="E874" s="5">
        <v>4.63</v>
      </c>
      <c r="F874" s="5">
        <v>3.24</v>
      </c>
      <c r="G874" s="5">
        <v>2.27</v>
      </c>
      <c r="H874" s="5">
        <v>1.59</v>
      </c>
      <c r="I874" s="6">
        <v>-29.969933999999999</v>
      </c>
    </row>
    <row r="875" spans="1:9" x14ac:dyDescent="0.25">
      <c r="A875" s="1" t="s">
        <v>45</v>
      </c>
      <c r="B875" s="5">
        <v>5.85</v>
      </c>
      <c r="C875" s="5">
        <v>5.5</v>
      </c>
      <c r="D875" s="5">
        <v>5.3</v>
      </c>
      <c r="E875" s="5">
        <v>5.05</v>
      </c>
      <c r="F875" s="5">
        <v>4.79</v>
      </c>
      <c r="G875" s="5">
        <v>4.53</v>
      </c>
      <c r="H875" s="5">
        <v>4.28</v>
      </c>
      <c r="I875" s="6">
        <v>-5.0748449999999998</v>
      </c>
    </row>
    <row r="876" spans="1:9" x14ac:dyDescent="0.25">
      <c r="A876" s="1" t="s">
        <v>46</v>
      </c>
      <c r="B876" s="5">
        <v>5.65</v>
      </c>
      <c r="C876" s="5">
        <v>4.79</v>
      </c>
      <c r="D876" s="5">
        <v>4.08</v>
      </c>
      <c r="E876" s="5">
        <v>3.42</v>
      </c>
      <c r="F876" s="5">
        <v>2.76</v>
      </c>
      <c r="G876" s="5">
        <v>2.29</v>
      </c>
      <c r="H876" s="5">
        <v>1.87</v>
      </c>
      <c r="I876" s="6">
        <v>-16.830224999999999</v>
      </c>
    </row>
    <row r="877" spans="1:9" x14ac:dyDescent="0.25">
      <c r="A877" s="1" t="s">
        <v>47</v>
      </c>
      <c r="B877" s="5">
        <v>7.61</v>
      </c>
      <c r="C877" s="5">
        <v>5.7</v>
      </c>
      <c r="D877" s="5">
        <v>4.57</v>
      </c>
      <c r="E877" s="5">
        <v>3.63</v>
      </c>
      <c r="F877" s="5">
        <v>2.87</v>
      </c>
      <c r="G877" s="5">
        <v>2.2599999999999998</v>
      </c>
      <c r="H877" s="5">
        <v>1.77</v>
      </c>
      <c r="I877" s="6">
        <v>-21.579170000000001</v>
      </c>
    </row>
    <row r="878" spans="1:9" x14ac:dyDescent="0.25">
      <c r="A878" s="1" t="s">
        <v>48</v>
      </c>
      <c r="B878" s="5">
        <v>2.5099999999999998</v>
      </c>
      <c r="C878" s="5">
        <v>1.71</v>
      </c>
      <c r="D878" s="5">
        <v>1.27</v>
      </c>
      <c r="E878" s="5">
        <v>0.99</v>
      </c>
      <c r="F878" s="5">
        <v>0.78</v>
      </c>
      <c r="G878" s="5">
        <v>0.56000000000000005</v>
      </c>
      <c r="H878" s="5">
        <v>0.34</v>
      </c>
      <c r="I878" s="6">
        <v>-28.336030000000001</v>
      </c>
    </row>
    <row r="879" spans="1:9" x14ac:dyDescent="0.25">
      <c r="A879" s="1" t="s">
        <v>49</v>
      </c>
      <c r="B879" s="5">
        <v>6.72</v>
      </c>
      <c r="C879" s="5">
        <v>5.01</v>
      </c>
      <c r="D879" s="5">
        <v>4.49</v>
      </c>
      <c r="E879" s="5">
        <v>4.0999999999999996</v>
      </c>
      <c r="F879" s="5">
        <v>3.62</v>
      </c>
      <c r="G879" s="5">
        <v>3.29</v>
      </c>
      <c r="H879" s="5">
        <v>3.14</v>
      </c>
      <c r="I879" s="6">
        <v>-11.909976</v>
      </c>
    </row>
    <row r="880" spans="1:9" x14ac:dyDescent="0.25">
      <c r="A880" s="1" t="s">
        <v>50</v>
      </c>
      <c r="B880" s="5">
        <v>33</v>
      </c>
      <c r="C880" s="5">
        <v>30.39</v>
      </c>
      <c r="D880" s="5">
        <v>30.46</v>
      </c>
      <c r="E880" s="5">
        <v>30.69</v>
      </c>
      <c r="F880" s="5">
        <v>30.87</v>
      </c>
      <c r="G880" s="5">
        <v>31</v>
      </c>
      <c r="H880" s="5">
        <v>30.54</v>
      </c>
      <c r="I880" s="6">
        <v>-1.2828710000000001</v>
      </c>
    </row>
    <row r="881" spans="1:9" x14ac:dyDescent="0.25">
      <c r="A881" s="1" t="s">
        <v>51</v>
      </c>
      <c r="B881" s="5">
        <v>23.05</v>
      </c>
      <c r="C881" s="5">
        <v>18.75</v>
      </c>
      <c r="D881" s="5">
        <v>15.51</v>
      </c>
      <c r="E881" s="5">
        <v>13.06</v>
      </c>
      <c r="F881" s="5">
        <v>11.17</v>
      </c>
      <c r="G881" s="5">
        <v>9.7100000000000009</v>
      </c>
      <c r="H881" s="5">
        <v>8.5399999999999991</v>
      </c>
      <c r="I881" s="6">
        <v>-15.251668</v>
      </c>
    </row>
    <row r="882" spans="1:9" x14ac:dyDescent="0.25">
      <c r="A882" s="1" t="s">
        <v>52</v>
      </c>
      <c r="B882" s="5">
        <v>26.99</v>
      </c>
      <c r="C882" s="5">
        <v>21.09</v>
      </c>
      <c r="D882" s="5">
        <v>16.510000000000002</v>
      </c>
      <c r="E882" s="5">
        <v>12.94</v>
      </c>
      <c r="F882" s="5">
        <v>8.8699999999999992</v>
      </c>
      <c r="G882" s="5">
        <v>6.1</v>
      </c>
      <c r="H882" s="5">
        <v>4.1900000000000004</v>
      </c>
      <c r="I882" s="6">
        <v>-26.689105000000001</v>
      </c>
    </row>
    <row r="883" spans="1:9" x14ac:dyDescent="0.25">
      <c r="A883" s="1" t="s">
        <v>53</v>
      </c>
      <c r="B883" s="5">
        <v>60.69</v>
      </c>
      <c r="C883" s="5">
        <v>54.53</v>
      </c>
      <c r="D883" s="5">
        <v>49.12</v>
      </c>
      <c r="E883" s="5">
        <v>44.32</v>
      </c>
      <c r="F883" s="5">
        <v>40.08</v>
      </c>
      <c r="G883" s="5">
        <v>36.020000000000003</v>
      </c>
      <c r="H883" s="5">
        <v>32.93</v>
      </c>
      <c r="I883" s="6">
        <v>-9.6879369999999998</v>
      </c>
    </row>
    <row r="884" spans="1:9" x14ac:dyDescent="0.25">
      <c r="A884" s="1" t="s">
        <v>54</v>
      </c>
      <c r="B884" s="5">
        <v>28.42</v>
      </c>
      <c r="C884" s="5">
        <v>28.66</v>
      </c>
      <c r="D884" s="5">
        <v>28.92</v>
      </c>
      <c r="E884" s="5">
        <v>29.23</v>
      </c>
      <c r="F884" s="5">
        <v>29.54</v>
      </c>
      <c r="G884" s="5">
        <v>29.92</v>
      </c>
      <c r="H884" s="5">
        <v>28.54</v>
      </c>
      <c r="I884" s="6">
        <v>7.0249000000000006E-2</v>
      </c>
    </row>
    <row r="885" spans="1:9" x14ac:dyDescent="0.25">
      <c r="A885" s="1" t="s">
        <v>55</v>
      </c>
      <c r="B885" s="5">
        <v>7.0000000000000007E-2</v>
      </c>
      <c r="C885" s="5">
        <v>0.06</v>
      </c>
      <c r="D885" s="5">
        <v>0.05</v>
      </c>
      <c r="E885" s="5">
        <v>0.05</v>
      </c>
      <c r="F885" s="5">
        <v>0.04</v>
      </c>
      <c r="G885" s="5">
        <v>0.03</v>
      </c>
      <c r="H885" s="5">
        <v>0.03</v>
      </c>
      <c r="I885" s="6">
        <v>-13.169853</v>
      </c>
    </row>
    <row r="886" spans="1:9" x14ac:dyDescent="0.25">
      <c r="A886" s="1" t="s">
        <v>56</v>
      </c>
      <c r="B886" s="5">
        <v>14.53</v>
      </c>
      <c r="C886" s="5">
        <v>13.43</v>
      </c>
      <c r="D886" s="5">
        <v>12.21</v>
      </c>
      <c r="E886" s="5">
        <v>11.23</v>
      </c>
      <c r="F886" s="5">
        <v>9.76</v>
      </c>
      <c r="G886" s="5">
        <v>8.4499999999999993</v>
      </c>
      <c r="H886" s="5">
        <v>7.27</v>
      </c>
      <c r="I886" s="6">
        <v>-10.899912</v>
      </c>
    </row>
    <row r="887" spans="1:9" x14ac:dyDescent="0.25">
      <c r="A887" s="1" t="s">
        <v>57</v>
      </c>
      <c r="B887" s="7" t="s">
        <v>58</v>
      </c>
      <c r="C887" s="7" t="s">
        <v>58</v>
      </c>
      <c r="D887" s="7" t="s">
        <v>58</v>
      </c>
      <c r="E887" s="7" t="s">
        <v>58</v>
      </c>
      <c r="F887" s="7" t="s">
        <v>58</v>
      </c>
      <c r="G887" s="7" t="s">
        <v>58</v>
      </c>
      <c r="H887" s="7" t="s">
        <v>58</v>
      </c>
      <c r="I887" s="7" t="s">
        <v>58</v>
      </c>
    </row>
    <row r="888" spans="1:9" x14ac:dyDescent="0.25">
      <c r="A888" s="1" t="s">
        <v>59</v>
      </c>
      <c r="B888" s="5">
        <v>18.13</v>
      </c>
      <c r="C888" s="5">
        <v>17.239999999999998</v>
      </c>
      <c r="D888" s="5">
        <v>16.54</v>
      </c>
      <c r="E888" s="5">
        <v>16.059999999999999</v>
      </c>
      <c r="F888" s="5">
        <v>15.16</v>
      </c>
      <c r="G888" s="5">
        <v>14.91</v>
      </c>
      <c r="H888" s="5">
        <v>15.04</v>
      </c>
      <c r="I888" s="6">
        <v>-3.066252</v>
      </c>
    </row>
    <row r="889" spans="1:9" x14ac:dyDescent="0.25">
      <c r="A889" s="1" t="s">
        <v>60</v>
      </c>
      <c r="B889" s="5">
        <v>0.37</v>
      </c>
      <c r="C889" s="5">
        <v>0.27</v>
      </c>
      <c r="D889" s="5">
        <v>0.2</v>
      </c>
      <c r="E889" s="5">
        <v>0.15</v>
      </c>
      <c r="F889" s="5">
        <v>0.11</v>
      </c>
      <c r="G889" s="5">
        <v>0.08</v>
      </c>
      <c r="H889" s="5">
        <v>0.06</v>
      </c>
      <c r="I889" s="6">
        <v>-26.154349</v>
      </c>
    </row>
    <row r="890" spans="1:9" ht="45" x14ac:dyDescent="0.25">
      <c r="A890" s="1" t="s">
        <v>61</v>
      </c>
      <c r="B890" s="5">
        <v>5.07</v>
      </c>
      <c r="C890" s="5">
        <v>3.38</v>
      </c>
      <c r="D890" s="5">
        <v>2.6</v>
      </c>
      <c r="E890" s="5">
        <v>2.14</v>
      </c>
      <c r="F890" s="5">
        <v>1.87</v>
      </c>
      <c r="G890" s="5">
        <v>1.7</v>
      </c>
      <c r="H890" s="5">
        <v>1.58</v>
      </c>
      <c r="I890" s="6">
        <v>-17.660506999999999</v>
      </c>
    </row>
    <row r="891" spans="1:9" x14ac:dyDescent="0.25">
      <c r="A891" s="1" t="s">
        <v>62</v>
      </c>
      <c r="B891" s="5">
        <v>15.23</v>
      </c>
      <c r="C891" s="5">
        <v>14.39</v>
      </c>
      <c r="D891" s="5">
        <v>13.58</v>
      </c>
      <c r="E891" s="5">
        <v>12.91</v>
      </c>
      <c r="F891" s="5">
        <v>12.34</v>
      </c>
      <c r="G891" s="5">
        <v>11.7</v>
      </c>
      <c r="H891" s="5">
        <v>10.99</v>
      </c>
      <c r="I891" s="6">
        <v>-5.2928069999999998</v>
      </c>
    </row>
    <row r="892" spans="1:9" x14ac:dyDescent="0.25">
      <c r="A892" s="1" t="s">
        <v>63</v>
      </c>
      <c r="B892" s="5">
        <v>86.2</v>
      </c>
      <c r="C892" s="5">
        <v>85.35</v>
      </c>
      <c r="D892" s="5">
        <v>84.48</v>
      </c>
      <c r="E892" s="5">
        <v>83.4</v>
      </c>
      <c r="F892" s="5">
        <v>82.03</v>
      </c>
      <c r="G892" s="5">
        <v>80.31</v>
      </c>
      <c r="H892" s="5">
        <v>78.13</v>
      </c>
      <c r="I892" s="6">
        <v>-1.6249210000000001</v>
      </c>
    </row>
    <row r="893" spans="1:9" x14ac:dyDescent="0.25">
      <c r="A893" s="1" t="s">
        <v>64</v>
      </c>
      <c r="B893" s="5">
        <v>13.32</v>
      </c>
      <c r="C893" s="5">
        <v>12.75</v>
      </c>
      <c r="D893" s="5">
        <v>11.94</v>
      </c>
      <c r="E893" s="5">
        <v>11.24</v>
      </c>
      <c r="F893" s="5">
        <v>10.63</v>
      </c>
      <c r="G893" s="5">
        <v>10.09</v>
      </c>
      <c r="H893" s="5">
        <v>9.6199999999999992</v>
      </c>
      <c r="I893" s="6">
        <v>-5.2792469999999998</v>
      </c>
    </row>
    <row r="894" spans="1:9" x14ac:dyDescent="0.25">
      <c r="A894" s="1" t="s">
        <v>65</v>
      </c>
      <c r="B894" s="5">
        <v>0.39</v>
      </c>
      <c r="C894" s="5">
        <v>0.02</v>
      </c>
      <c r="D894" s="5">
        <v>0</v>
      </c>
      <c r="E894" s="5">
        <v>0</v>
      </c>
      <c r="F894" s="5">
        <v>0</v>
      </c>
      <c r="G894" s="5">
        <v>0</v>
      </c>
      <c r="H894" s="5">
        <v>0</v>
      </c>
      <c r="I894" s="6">
        <v>-100</v>
      </c>
    </row>
    <row r="895" spans="1:9" x14ac:dyDescent="0.25">
      <c r="A895" s="1" t="s">
        <v>66</v>
      </c>
      <c r="B895" s="5">
        <v>4.74</v>
      </c>
      <c r="C895" s="5">
        <v>2.57</v>
      </c>
      <c r="D895" s="5">
        <v>1.2</v>
      </c>
      <c r="E895" s="5">
        <v>0.45</v>
      </c>
      <c r="F895" s="5">
        <v>0.12</v>
      </c>
      <c r="G895" s="5">
        <v>0.02</v>
      </c>
      <c r="H895" s="5">
        <v>0</v>
      </c>
      <c r="I895" s="6">
        <v>-100</v>
      </c>
    </row>
    <row r="896" spans="1:9" ht="30" x14ac:dyDescent="0.25">
      <c r="A896" s="1" t="s">
        <v>67</v>
      </c>
      <c r="B896" s="5">
        <v>54.43</v>
      </c>
      <c r="C896" s="5">
        <v>51.6</v>
      </c>
      <c r="D896" s="5">
        <v>48.87</v>
      </c>
      <c r="E896" s="5">
        <v>46.35</v>
      </c>
      <c r="F896" s="5">
        <v>43.78</v>
      </c>
      <c r="G896" s="5">
        <v>41.16</v>
      </c>
      <c r="H896" s="5">
        <v>38.64</v>
      </c>
      <c r="I896" s="6">
        <v>-5.5504709999999999</v>
      </c>
    </row>
    <row r="897" spans="1:9" x14ac:dyDescent="0.25">
      <c r="A897" s="1" t="s">
        <v>68</v>
      </c>
      <c r="B897" s="7" t="s">
        <v>58</v>
      </c>
      <c r="C897" s="7" t="s">
        <v>58</v>
      </c>
      <c r="D897" s="7" t="s">
        <v>58</v>
      </c>
      <c r="E897" s="7" t="s">
        <v>58</v>
      </c>
      <c r="F897" s="7" t="s">
        <v>58</v>
      </c>
      <c r="G897" s="7" t="s">
        <v>58</v>
      </c>
      <c r="H897" s="7" t="s">
        <v>58</v>
      </c>
      <c r="I897" s="7" t="s">
        <v>58</v>
      </c>
    </row>
    <row r="898" spans="1:9" x14ac:dyDescent="0.25">
      <c r="A898" s="1" t="s">
        <v>69</v>
      </c>
      <c r="B898" s="5">
        <v>1.03</v>
      </c>
      <c r="C898" s="5">
        <v>0.93</v>
      </c>
      <c r="D898" s="5">
        <v>0.84</v>
      </c>
      <c r="E898" s="5">
        <v>0.75</v>
      </c>
      <c r="F898" s="5">
        <v>0.68</v>
      </c>
      <c r="G898" s="5">
        <v>0.6</v>
      </c>
      <c r="H898" s="5">
        <v>0.54</v>
      </c>
      <c r="I898" s="6">
        <v>-10.203497</v>
      </c>
    </row>
    <row r="899" spans="1:9" x14ac:dyDescent="0.25">
      <c r="A899" s="1" t="s">
        <v>70</v>
      </c>
      <c r="B899" s="5">
        <v>12.28</v>
      </c>
      <c r="C899" s="5">
        <v>9.58</v>
      </c>
      <c r="D899" s="5">
        <v>7.2</v>
      </c>
      <c r="E899" s="5">
        <v>5.32</v>
      </c>
      <c r="F899" s="5">
        <v>3.81</v>
      </c>
      <c r="G899" s="5">
        <v>2.87</v>
      </c>
      <c r="H899" s="5">
        <v>2.21</v>
      </c>
      <c r="I899" s="6">
        <v>-24.860958</v>
      </c>
    </row>
    <row r="900" spans="1:9" x14ac:dyDescent="0.25">
      <c r="A900" s="1" t="s">
        <v>71</v>
      </c>
      <c r="B900" s="5">
        <v>18.59</v>
      </c>
      <c r="C900" s="5">
        <v>16.21</v>
      </c>
      <c r="D900" s="5">
        <v>14.68</v>
      </c>
      <c r="E900" s="5">
        <v>13.4</v>
      </c>
      <c r="F900" s="5">
        <v>12</v>
      </c>
      <c r="G900" s="5">
        <v>10.91</v>
      </c>
      <c r="H900" s="5">
        <v>9.68</v>
      </c>
      <c r="I900" s="6">
        <v>-10.305463</v>
      </c>
    </row>
    <row r="901" spans="1:9" x14ac:dyDescent="0.25">
      <c r="A901" s="1" t="s">
        <v>72</v>
      </c>
      <c r="B901" s="5">
        <v>48.93</v>
      </c>
      <c r="C901" s="5">
        <v>47.91</v>
      </c>
      <c r="D901" s="5">
        <v>47.42</v>
      </c>
      <c r="E901" s="5">
        <v>46.04</v>
      </c>
      <c r="F901" s="5">
        <v>44.65</v>
      </c>
      <c r="G901" s="5">
        <v>44.65</v>
      </c>
      <c r="H901" s="5">
        <v>43.73</v>
      </c>
      <c r="I901" s="6">
        <v>-1.855181</v>
      </c>
    </row>
    <row r="902" spans="1:9" x14ac:dyDescent="0.25">
      <c r="A902" s="1" t="s">
        <v>73</v>
      </c>
      <c r="B902" s="7" t="s">
        <v>58</v>
      </c>
      <c r="C902" s="7" t="s">
        <v>58</v>
      </c>
      <c r="D902" s="7" t="s">
        <v>58</v>
      </c>
      <c r="E902" s="7" t="s">
        <v>58</v>
      </c>
      <c r="F902" s="7" t="s">
        <v>58</v>
      </c>
      <c r="G902" s="7" t="s">
        <v>58</v>
      </c>
      <c r="H902" s="7" t="s">
        <v>58</v>
      </c>
      <c r="I902" s="7" t="s">
        <v>58</v>
      </c>
    </row>
    <row r="903" spans="1:9" ht="30" x14ac:dyDescent="0.25">
      <c r="A903" s="1" t="s">
        <v>74</v>
      </c>
      <c r="B903" s="5">
        <v>7.76</v>
      </c>
      <c r="C903" s="5">
        <v>5.69</v>
      </c>
      <c r="D903" s="5">
        <v>4.0999999999999996</v>
      </c>
      <c r="E903" s="5">
        <v>3.17</v>
      </c>
      <c r="F903" s="5">
        <v>2.4</v>
      </c>
      <c r="G903" s="5">
        <v>1.81</v>
      </c>
      <c r="H903" s="5">
        <v>1.43</v>
      </c>
      <c r="I903" s="6">
        <v>-24.563929999999999</v>
      </c>
    </row>
    <row r="904" spans="1:9" x14ac:dyDescent="0.25">
      <c r="A904" s="1" t="s">
        <v>75</v>
      </c>
      <c r="B904" s="5">
        <v>0.17</v>
      </c>
      <c r="C904" s="5">
        <v>0.05</v>
      </c>
      <c r="D904" s="5">
        <v>0.01</v>
      </c>
      <c r="E904" s="5">
        <v>0</v>
      </c>
      <c r="F904" s="5">
        <v>0</v>
      </c>
      <c r="G904" s="5">
        <v>0</v>
      </c>
      <c r="H904" s="5">
        <v>0</v>
      </c>
      <c r="I904" s="6">
        <v>-100</v>
      </c>
    </row>
    <row r="905" spans="1:9" x14ac:dyDescent="0.25">
      <c r="A905" s="1" t="s">
        <v>76</v>
      </c>
      <c r="B905" s="5">
        <v>16.02</v>
      </c>
      <c r="C905" s="5">
        <v>14.1</v>
      </c>
      <c r="D905" s="5">
        <v>12.71</v>
      </c>
      <c r="E905" s="5">
        <v>11.44</v>
      </c>
      <c r="F905" s="5">
        <v>10.58</v>
      </c>
      <c r="G905" s="5">
        <v>9.77</v>
      </c>
      <c r="H905" s="5">
        <v>9</v>
      </c>
      <c r="I905" s="6">
        <v>-9.1628849999999993</v>
      </c>
    </row>
    <row r="906" spans="1:9" ht="45" x14ac:dyDescent="0.25">
      <c r="A906" s="1" t="s">
        <v>77</v>
      </c>
      <c r="B906" s="5">
        <v>50.39</v>
      </c>
      <c r="C906" s="5">
        <v>48.47</v>
      </c>
      <c r="D906" s="5">
        <v>46.32</v>
      </c>
      <c r="E906" s="5">
        <v>44.22</v>
      </c>
      <c r="F906" s="5">
        <v>40.17</v>
      </c>
      <c r="G906" s="5">
        <v>37.96</v>
      </c>
      <c r="H906" s="5">
        <v>35.85</v>
      </c>
      <c r="I906" s="6">
        <v>-5.5161749999999996</v>
      </c>
    </row>
    <row r="907" spans="1:9" ht="45" x14ac:dyDescent="0.25">
      <c r="A907" s="1" t="s">
        <v>78</v>
      </c>
      <c r="B907" s="5">
        <v>26.39</v>
      </c>
      <c r="C907" s="5">
        <v>23.51</v>
      </c>
      <c r="D907" s="5">
        <v>21.02</v>
      </c>
      <c r="E907" s="5">
        <v>18.72</v>
      </c>
      <c r="F907" s="5">
        <v>16.62</v>
      </c>
      <c r="G907" s="5">
        <v>14.69</v>
      </c>
      <c r="H907" s="5">
        <v>12.95</v>
      </c>
      <c r="I907" s="6">
        <v>-11.187984</v>
      </c>
    </row>
    <row r="908" spans="1:9" ht="60" x14ac:dyDescent="0.25">
      <c r="A908" s="1" t="s">
        <v>79</v>
      </c>
      <c r="B908" s="7" t="s">
        <v>58</v>
      </c>
      <c r="C908" s="7" t="s">
        <v>58</v>
      </c>
      <c r="D908" s="7" t="s">
        <v>58</v>
      </c>
      <c r="E908" s="7" t="s">
        <v>58</v>
      </c>
      <c r="F908" s="7" t="s">
        <v>58</v>
      </c>
      <c r="G908" s="7" t="s">
        <v>58</v>
      </c>
      <c r="H908" s="7" t="s">
        <v>58</v>
      </c>
      <c r="I908" s="7" t="s">
        <v>58</v>
      </c>
    </row>
    <row r="909" spans="1:9" ht="45" x14ac:dyDescent="0.25">
      <c r="A909" s="1" t="s">
        <v>80</v>
      </c>
      <c r="B909" s="7" t="s">
        <v>58</v>
      </c>
      <c r="C909" s="7" t="s">
        <v>58</v>
      </c>
      <c r="D909" s="7" t="s">
        <v>58</v>
      </c>
      <c r="E909" s="7" t="s">
        <v>58</v>
      </c>
      <c r="F909" s="7" t="s">
        <v>58</v>
      </c>
      <c r="G909" s="7" t="s">
        <v>58</v>
      </c>
      <c r="H909" s="7" t="s">
        <v>58</v>
      </c>
      <c r="I909" s="7" t="s">
        <v>58</v>
      </c>
    </row>
    <row r="910" spans="1:9" ht="45" x14ac:dyDescent="0.25">
      <c r="A910" s="1" t="s">
        <v>81</v>
      </c>
      <c r="B910" s="5">
        <v>18.05</v>
      </c>
      <c r="C910" s="5">
        <v>15.11</v>
      </c>
      <c r="D910" s="5">
        <v>12.4</v>
      </c>
      <c r="E910" s="5">
        <v>10.27</v>
      </c>
      <c r="F910" s="5">
        <v>9.8699999999999992</v>
      </c>
      <c r="G910" s="5">
        <v>9.51</v>
      </c>
      <c r="H910" s="5">
        <v>9.17</v>
      </c>
      <c r="I910" s="6">
        <v>-10.67315</v>
      </c>
    </row>
    <row r="911" spans="1:9" x14ac:dyDescent="0.25">
      <c r="A911" s="1" t="s">
        <v>82</v>
      </c>
      <c r="B911" s="5">
        <v>43.63</v>
      </c>
      <c r="C911" s="5">
        <v>38.03</v>
      </c>
      <c r="D911" s="5">
        <v>34.4</v>
      </c>
      <c r="E911" s="5">
        <v>31.33</v>
      </c>
      <c r="F911" s="5">
        <v>28.92</v>
      </c>
      <c r="G911" s="5">
        <v>25.75</v>
      </c>
      <c r="H911" s="5">
        <v>22.99</v>
      </c>
      <c r="I911" s="6">
        <v>-10.127748</v>
      </c>
    </row>
    <row r="912" spans="1:9" x14ac:dyDescent="0.25">
      <c r="A912" s="1" t="s">
        <v>83</v>
      </c>
      <c r="B912" s="5">
        <v>82.4</v>
      </c>
      <c r="C912" s="5">
        <v>80.709999999999994</v>
      </c>
      <c r="D912" s="5">
        <v>78.680000000000007</v>
      </c>
      <c r="E912" s="5">
        <v>76.459999999999994</v>
      </c>
      <c r="F912" s="5">
        <v>74.599999999999994</v>
      </c>
      <c r="G912" s="5">
        <v>72.61</v>
      </c>
      <c r="H912" s="5">
        <v>70.489999999999995</v>
      </c>
      <c r="I912" s="6">
        <v>-2.568352</v>
      </c>
    </row>
    <row r="913" spans="1:9" x14ac:dyDescent="0.25">
      <c r="A913" s="1" t="s">
        <v>84</v>
      </c>
      <c r="B913" s="5">
        <v>0.14000000000000001</v>
      </c>
      <c r="C913" s="5">
        <v>0.06</v>
      </c>
      <c r="D913" s="5">
        <v>0.03</v>
      </c>
      <c r="E913" s="5">
        <v>0.01</v>
      </c>
      <c r="F913" s="5">
        <v>0.01</v>
      </c>
      <c r="G913" s="5">
        <v>0</v>
      </c>
      <c r="H913" s="5">
        <v>0</v>
      </c>
      <c r="I913" s="6">
        <v>-100</v>
      </c>
    </row>
    <row r="914" spans="1:9" x14ac:dyDescent="0.25">
      <c r="A914" s="1" t="s">
        <v>85</v>
      </c>
      <c r="B914" s="5">
        <v>12.3</v>
      </c>
      <c r="C914" s="5">
        <v>11.4</v>
      </c>
      <c r="D914" s="5">
        <v>10.6</v>
      </c>
      <c r="E914" s="5">
        <v>9.9</v>
      </c>
      <c r="F914" s="5">
        <v>9.3000000000000007</v>
      </c>
      <c r="G914" s="5">
        <v>8.93</v>
      </c>
      <c r="H914" s="5">
        <v>9.3000000000000007</v>
      </c>
      <c r="I914" s="6">
        <v>-4.552848</v>
      </c>
    </row>
    <row r="915" spans="1:9" x14ac:dyDescent="0.25">
      <c r="A915" s="1" t="s">
        <v>86</v>
      </c>
      <c r="B915" s="5">
        <v>0.34</v>
      </c>
      <c r="C915" s="5">
        <v>0.15</v>
      </c>
      <c r="D915" s="5">
        <v>0.06</v>
      </c>
      <c r="E915" s="5">
        <v>0.02</v>
      </c>
      <c r="F915" s="5">
        <v>0</v>
      </c>
      <c r="G915" s="5">
        <v>0</v>
      </c>
      <c r="H915" s="5">
        <v>0</v>
      </c>
      <c r="I915" s="6">
        <v>-100</v>
      </c>
    </row>
    <row r="916" spans="1:9" x14ac:dyDescent="0.25">
      <c r="A916" s="1" t="s">
        <v>87</v>
      </c>
      <c r="B916" s="5">
        <v>6.99</v>
      </c>
      <c r="C916" s="5">
        <v>5.46</v>
      </c>
      <c r="D916" s="5">
        <v>4.38</v>
      </c>
      <c r="E916" s="5">
        <v>3.77</v>
      </c>
      <c r="F916" s="5">
        <v>3.33</v>
      </c>
      <c r="G916" s="5">
        <v>3</v>
      </c>
      <c r="H916" s="5">
        <v>2.75</v>
      </c>
      <c r="I916" s="6">
        <v>-14.399575</v>
      </c>
    </row>
    <row r="917" spans="1:9" x14ac:dyDescent="0.25">
      <c r="A917" s="1" t="s">
        <v>88</v>
      </c>
      <c r="B917" s="5">
        <v>9.3699999999999992</v>
      </c>
      <c r="C917" s="5">
        <v>7.45</v>
      </c>
      <c r="D917" s="5">
        <v>5.96</v>
      </c>
      <c r="E917" s="5">
        <v>4.79</v>
      </c>
      <c r="F917" s="5">
        <v>3.89</v>
      </c>
      <c r="G917" s="5">
        <v>3.17</v>
      </c>
      <c r="H917" s="5">
        <v>2.61</v>
      </c>
      <c r="I917" s="6">
        <v>-19.186579999999999</v>
      </c>
    </row>
    <row r="918" spans="1:9" x14ac:dyDescent="0.25">
      <c r="A918" s="1" t="s">
        <v>89</v>
      </c>
      <c r="B918" s="5">
        <v>2.58</v>
      </c>
      <c r="C918" s="5">
        <v>2.42</v>
      </c>
      <c r="D918" s="5">
        <v>2.29</v>
      </c>
      <c r="E918" s="5">
        <v>2.14</v>
      </c>
      <c r="F918" s="5">
        <v>2</v>
      </c>
      <c r="G918" s="5">
        <v>1.86</v>
      </c>
      <c r="H918" s="5">
        <v>1.71</v>
      </c>
      <c r="I918" s="6">
        <v>-6.6252610000000001</v>
      </c>
    </row>
    <row r="919" spans="1:9" x14ac:dyDescent="0.25">
      <c r="A919" s="1" t="s">
        <v>90</v>
      </c>
      <c r="B919" s="5">
        <v>15.34</v>
      </c>
      <c r="C919" s="5">
        <v>13.36</v>
      </c>
      <c r="D919" s="5">
        <v>11.72</v>
      </c>
      <c r="E919" s="5">
        <v>10.37</v>
      </c>
      <c r="F919" s="5">
        <v>9.24</v>
      </c>
      <c r="G919" s="5">
        <v>8.2899999999999991</v>
      </c>
      <c r="H919" s="5">
        <v>7.49</v>
      </c>
      <c r="I919" s="6">
        <v>-11.262046</v>
      </c>
    </row>
    <row r="920" spans="1:9" x14ac:dyDescent="0.25">
      <c r="A920" s="1" t="s">
        <v>91</v>
      </c>
      <c r="B920" s="5">
        <v>0</v>
      </c>
      <c r="C920" s="5">
        <v>0</v>
      </c>
      <c r="D920" s="5">
        <v>0</v>
      </c>
      <c r="E920" s="5">
        <v>0</v>
      </c>
      <c r="F920" s="5">
        <v>0</v>
      </c>
      <c r="G920" s="5">
        <v>0</v>
      </c>
      <c r="H920" s="5">
        <v>0</v>
      </c>
      <c r="I920" s="7" t="s">
        <v>58</v>
      </c>
    </row>
    <row r="921" spans="1:9" x14ac:dyDescent="0.25">
      <c r="A921" s="1" t="s">
        <v>92</v>
      </c>
      <c r="B921" s="5">
        <v>1</v>
      </c>
      <c r="C921" s="5">
        <v>0.3</v>
      </c>
      <c r="D921" s="5">
        <v>0.15</v>
      </c>
      <c r="E921" s="5">
        <v>0.09</v>
      </c>
      <c r="F921" s="5">
        <v>0.06</v>
      </c>
      <c r="G921" s="5">
        <v>0.05</v>
      </c>
      <c r="H921" s="5">
        <v>0.05</v>
      </c>
      <c r="I921" s="6">
        <v>-39.303776999999997</v>
      </c>
    </row>
    <row r="922" spans="1:9" x14ac:dyDescent="0.25">
      <c r="A922" s="1" t="s">
        <v>93</v>
      </c>
      <c r="B922" s="5">
        <v>9.3800000000000008</v>
      </c>
      <c r="C922" s="5">
        <v>7.99</v>
      </c>
      <c r="D922" s="5">
        <v>7.17</v>
      </c>
      <c r="E922" s="5">
        <v>6.66</v>
      </c>
      <c r="F922" s="5">
        <v>6.33</v>
      </c>
      <c r="G922" s="5">
        <v>6.11</v>
      </c>
      <c r="H922" s="5">
        <v>5.97</v>
      </c>
      <c r="I922" s="6">
        <v>-7.2539870000000004</v>
      </c>
    </row>
    <row r="923" spans="1:9" x14ac:dyDescent="0.25">
      <c r="A923" s="1" t="s">
        <v>94</v>
      </c>
      <c r="B923" s="5">
        <v>9.84</v>
      </c>
      <c r="C923" s="5">
        <v>8.01</v>
      </c>
      <c r="D923" s="5">
        <v>6.56</v>
      </c>
      <c r="E923" s="5">
        <v>5.49</v>
      </c>
      <c r="F923" s="5">
        <v>4.8899999999999997</v>
      </c>
      <c r="G923" s="5">
        <v>4.3499999999999996</v>
      </c>
      <c r="H923" s="5">
        <v>3.91</v>
      </c>
      <c r="I923" s="6">
        <v>-14.257342</v>
      </c>
    </row>
    <row r="924" spans="1:9" x14ac:dyDescent="0.25">
      <c r="A924" s="1" t="s">
        <v>95</v>
      </c>
      <c r="B924" s="5">
        <v>23.6</v>
      </c>
      <c r="C924" s="5">
        <v>22.4</v>
      </c>
      <c r="D924" s="5">
        <v>20.89</v>
      </c>
      <c r="E924" s="5">
        <v>19.91</v>
      </c>
      <c r="F924" s="5">
        <v>19.05</v>
      </c>
      <c r="G924" s="5">
        <v>18.27</v>
      </c>
      <c r="H924" s="5">
        <v>17.55</v>
      </c>
      <c r="I924" s="6">
        <v>-4.8166789999999997</v>
      </c>
    </row>
    <row r="925" spans="1:9" x14ac:dyDescent="0.25">
      <c r="A925" s="1" t="s">
        <v>96</v>
      </c>
      <c r="B925" s="5">
        <v>0</v>
      </c>
      <c r="C925" s="5">
        <v>0</v>
      </c>
      <c r="D925" s="5">
        <v>0</v>
      </c>
      <c r="E925" s="5">
        <v>0</v>
      </c>
      <c r="F925" s="5">
        <v>0</v>
      </c>
      <c r="G925" s="5">
        <v>0</v>
      </c>
      <c r="H925" s="5">
        <v>0</v>
      </c>
      <c r="I925" s="7" t="s">
        <v>58</v>
      </c>
    </row>
    <row r="926" spans="1:9" x14ac:dyDescent="0.25">
      <c r="A926" s="1" t="s">
        <v>97</v>
      </c>
      <c r="B926" s="5">
        <v>19.38</v>
      </c>
      <c r="C926" s="5">
        <v>16.670000000000002</v>
      </c>
      <c r="D926" s="5">
        <v>14.56</v>
      </c>
      <c r="E926" s="5">
        <v>12.72</v>
      </c>
      <c r="F926" s="5">
        <v>11.1</v>
      </c>
      <c r="G926" s="5">
        <v>9.66</v>
      </c>
      <c r="H926" s="5">
        <v>8.3699999999999992</v>
      </c>
      <c r="I926" s="6">
        <v>-13.058203000000001</v>
      </c>
    </row>
    <row r="927" spans="1:9" x14ac:dyDescent="0.25">
      <c r="A927" s="1" t="s">
        <v>98</v>
      </c>
      <c r="B927" s="5">
        <v>12.61</v>
      </c>
      <c r="C927" s="5">
        <v>9.94</v>
      </c>
      <c r="D927" s="5">
        <v>7.79</v>
      </c>
      <c r="E927" s="5">
        <v>6.08</v>
      </c>
      <c r="F927" s="5">
        <v>4.72</v>
      </c>
      <c r="G927" s="5">
        <v>3.65</v>
      </c>
      <c r="H927" s="5">
        <v>2.82</v>
      </c>
      <c r="I927" s="6">
        <v>-22.090754</v>
      </c>
    </row>
    <row r="928" spans="1:9" x14ac:dyDescent="0.25">
      <c r="A928" s="1" t="s">
        <v>99</v>
      </c>
      <c r="B928" s="5">
        <v>6.75</v>
      </c>
      <c r="C928" s="5">
        <v>4.84</v>
      </c>
      <c r="D928" s="5">
        <v>3.49</v>
      </c>
      <c r="E928" s="5">
        <v>2.54</v>
      </c>
      <c r="F928" s="5">
        <v>2.12</v>
      </c>
      <c r="G928" s="5">
        <v>1.81</v>
      </c>
      <c r="H928" s="5">
        <v>1.58</v>
      </c>
      <c r="I928" s="6">
        <v>-21.495922</v>
      </c>
    </row>
    <row r="929" spans="1:9" x14ac:dyDescent="0.25">
      <c r="A929" s="1" t="s">
        <v>100</v>
      </c>
      <c r="B929" s="5">
        <v>1.27</v>
      </c>
      <c r="C929" s="5">
        <v>1.1200000000000001</v>
      </c>
      <c r="D929" s="5">
        <v>0.78</v>
      </c>
      <c r="E929" s="5">
        <v>0.6</v>
      </c>
      <c r="F929" s="5">
        <v>0.51</v>
      </c>
      <c r="G929" s="5">
        <v>0.44</v>
      </c>
      <c r="H929" s="5">
        <v>0.37</v>
      </c>
      <c r="I929" s="6">
        <v>-18.579643000000001</v>
      </c>
    </row>
    <row r="930" spans="1:9" x14ac:dyDescent="0.25">
      <c r="A930" s="1" t="s">
        <v>101</v>
      </c>
      <c r="B930" s="5">
        <v>0.51</v>
      </c>
      <c r="C930" s="5">
        <v>0</v>
      </c>
      <c r="D930" s="5">
        <v>0</v>
      </c>
      <c r="E930" s="5">
        <v>0</v>
      </c>
      <c r="F930" s="5">
        <v>0</v>
      </c>
      <c r="G930" s="5">
        <v>0</v>
      </c>
      <c r="H930" s="5">
        <v>0</v>
      </c>
      <c r="I930" s="6">
        <v>-100</v>
      </c>
    </row>
    <row r="931" spans="1:9" x14ac:dyDescent="0.25">
      <c r="A931" s="1" t="s">
        <v>102</v>
      </c>
      <c r="B931" s="5">
        <v>1.1200000000000001</v>
      </c>
      <c r="C931" s="5">
        <v>0.8</v>
      </c>
      <c r="D931" s="5">
        <v>0.56999999999999995</v>
      </c>
      <c r="E931" s="5">
        <v>0.4</v>
      </c>
      <c r="F931" s="5">
        <v>0.27</v>
      </c>
      <c r="G931" s="5">
        <v>0.19</v>
      </c>
      <c r="H931" s="5">
        <v>0.14000000000000001</v>
      </c>
      <c r="I931" s="6">
        <v>-29.289321999999999</v>
      </c>
    </row>
    <row r="932" spans="1:9" x14ac:dyDescent="0.25">
      <c r="A932" s="1" t="s">
        <v>103</v>
      </c>
      <c r="B932" s="5">
        <v>42.46</v>
      </c>
      <c r="C932" s="5">
        <v>40.28</v>
      </c>
      <c r="D932" s="5">
        <v>38.54</v>
      </c>
      <c r="E932" s="5">
        <v>37.28</v>
      </c>
      <c r="F932" s="5">
        <v>35.619999999999997</v>
      </c>
      <c r="G932" s="5">
        <v>33.659999999999997</v>
      </c>
      <c r="H932" s="5">
        <v>32.159999999999997</v>
      </c>
      <c r="I932" s="6">
        <v>-4.5250719999999998</v>
      </c>
    </row>
    <row r="933" spans="1:9" x14ac:dyDescent="0.25">
      <c r="A933" s="1" t="s">
        <v>104</v>
      </c>
      <c r="B933" s="5">
        <v>89.51</v>
      </c>
      <c r="C933" s="5">
        <v>89.75</v>
      </c>
      <c r="D933" s="5">
        <v>89.98</v>
      </c>
      <c r="E933" s="5">
        <v>90.19</v>
      </c>
      <c r="F933" s="5">
        <v>89.75</v>
      </c>
      <c r="G933" s="5">
        <v>89.54</v>
      </c>
      <c r="H933" s="5">
        <v>89.18</v>
      </c>
      <c r="I933" s="6">
        <v>-6.1539999999999997E-2</v>
      </c>
    </row>
    <row r="934" spans="1:9" x14ac:dyDescent="0.25">
      <c r="A934" s="1" t="s">
        <v>105</v>
      </c>
      <c r="B934" s="5">
        <v>3.28</v>
      </c>
      <c r="C934" s="5">
        <v>2.89</v>
      </c>
      <c r="D934" s="5">
        <v>2.4700000000000002</v>
      </c>
      <c r="E934" s="5">
        <v>2.1800000000000002</v>
      </c>
      <c r="F934" s="5">
        <v>1.52</v>
      </c>
      <c r="G934" s="5">
        <v>1.05</v>
      </c>
      <c r="H934" s="5">
        <v>0.72</v>
      </c>
      <c r="I934" s="6">
        <v>-22.331824000000001</v>
      </c>
    </row>
    <row r="935" spans="1:9" x14ac:dyDescent="0.25">
      <c r="A935" s="1" t="s">
        <v>106</v>
      </c>
      <c r="B935" s="5">
        <v>1.62</v>
      </c>
      <c r="C935" s="5">
        <v>1.51</v>
      </c>
      <c r="D935" s="5">
        <v>1.39</v>
      </c>
      <c r="E935" s="5">
        <v>1.26</v>
      </c>
      <c r="F935" s="5">
        <v>1.1299999999999999</v>
      </c>
      <c r="G935" s="5">
        <v>0.79</v>
      </c>
      <c r="H935" s="5">
        <v>0.62</v>
      </c>
      <c r="I935" s="6">
        <v>-14.792182</v>
      </c>
    </row>
    <row r="936" spans="1:9" ht="30" x14ac:dyDescent="0.25">
      <c r="A936" s="1" t="s">
        <v>107</v>
      </c>
      <c r="B936" s="5">
        <v>0</v>
      </c>
      <c r="C936" s="5">
        <v>0</v>
      </c>
      <c r="D936" s="5">
        <v>0</v>
      </c>
      <c r="E936" s="5">
        <v>0</v>
      </c>
      <c r="F936" s="5">
        <v>0</v>
      </c>
      <c r="G936" s="5">
        <v>0</v>
      </c>
      <c r="H936" s="5">
        <v>0</v>
      </c>
      <c r="I936" s="7" t="s">
        <v>58</v>
      </c>
    </row>
    <row r="937" spans="1:9" x14ac:dyDescent="0.25">
      <c r="A937" s="1" t="s">
        <v>108</v>
      </c>
      <c r="B937" s="5">
        <v>52.95</v>
      </c>
      <c r="C937" s="5">
        <v>48.87</v>
      </c>
      <c r="D937" s="5">
        <v>44.94</v>
      </c>
      <c r="E937" s="5">
        <v>41.13</v>
      </c>
      <c r="F937" s="5">
        <v>37.4</v>
      </c>
      <c r="G937" s="5">
        <v>33.67</v>
      </c>
      <c r="H937" s="5">
        <v>29.84</v>
      </c>
      <c r="I937" s="6">
        <v>-9.1157120000000003</v>
      </c>
    </row>
    <row r="938" spans="1:9" ht="30" x14ac:dyDescent="0.25">
      <c r="A938" s="1" t="s">
        <v>109</v>
      </c>
      <c r="B938" s="5">
        <v>1.5</v>
      </c>
      <c r="C938" s="5">
        <v>1.35</v>
      </c>
      <c r="D938" s="5">
        <v>1.22</v>
      </c>
      <c r="E938" s="5">
        <v>1.1299999999999999</v>
      </c>
      <c r="F938" s="5">
        <v>1.04</v>
      </c>
      <c r="G938" s="5">
        <v>0.97</v>
      </c>
      <c r="H938" s="5">
        <v>0.9</v>
      </c>
      <c r="I938" s="6">
        <v>-8.1614100000000001</v>
      </c>
    </row>
    <row r="939" spans="1:9" x14ac:dyDescent="0.25">
      <c r="A939" s="1" t="s">
        <v>110</v>
      </c>
      <c r="B939" s="5">
        <v>60.32</v>
      </c>
      <c r="C939" s="5">
        <v>56.01</v>
      </c>
      <c r="D939" s="5">
        <v>51.48</v>
      </c>
      <c r="E939" s="5">
        <v>47.03</v>
      </c>
      <c r="F939" s="5">
        <v>42.23</v>
      </c>
      <c r="G939" s="5">
        <v>37.36</v>
      </c>
      <c r="H939" s="5">
        <v>31.98</v>
      </c>
      <c r="I939" s="6">
        <v>-10.035842000000001</v>
      </c>
    </row>
    <row r="940" spans="1:9" x14ac:dyDescent="0.25">
      <c r="A940" s="1" t="s">
        <v>111</v>
      </c>
      <c r="B940" s="5">
        <v>2.98</v>
      </c>
      <c r="C940" s="5">
        <v>0.36</v>
      </c>
      <c r="D940" s="5">
        <v>0</v>
      </c>
      <c r="E940" s="5">
        <v>0</v>
      </c>
      <c r="F940" s="5">
        <v>0</v>
      </c>
      <c r="G940" s="5">
        <v>0</v>
      </c>
      <c r="H940" s="5">
        <v>0</v>
      </c>
      <c r="I940" s="6">
        <v>-100</v>
      </c>
    </row>
    <row r="941" spans="1:9" x14ac:dyDescent="0.25">
      <c r="A941" s="1" t="s">
        <v>112</v>
      </c>
      <c r="B941" s="5">
        <v>7.5</v>
      </c>
      <c r="C941" s="5">
        <v>5.37</v>
      </c>
      <c r="D941" s="5">
        <v>3.72</v>
      </c>
      <c r="E941" s="5">
        <v>2.78</v>
      </c>
      <c r="F941" s="5">
        <v>1.99</v>
      </c>
      <c r="G941" s="5">
        <v>1.38</v>
      </c>
      <c r="H941" s="5">
        <v>1</v>
      </c>
      <c r="I941" s="6">
        <v>-28.524622999999998</v>
      </c>
    </row>
    <row r="942" spans="1:9" x14ac:dyDescent="0.25">
      <c r="A942" s="1" t="s">
        <v>113</v>
      </c>
      <c r="B942" s="5">
        <v>75.13</v>
      </c>
      <c r="C942" s="5">
        <v>70.63</v>
      </c>
      <c r="D942" s="5">
        <v>65.77</v>
      </c>
      <c r="E942" s="5">
        <v>60.9</v>
      </c>
      <c r="F942" s="5">
        <v>56.11</v>
      </c>
      <c r="G942" s="5">
        <v>51.5</v>
      </c>
      <c r="H942" s="5">
        <v>47.11</v>
      </c>
      <c r="I942" s="6">
        <v>-7.4840489999999997</v>
      </c>
    </row>
    <row r="943" spans="1:9" x14ac:dyDescent="0.25">
      <c r="A943" s="1" t="s">
        <v>114</v>
      </c>
      <c r="B943" s="5">
        <v>0.12</v>
      </c>
      <c r="C943" s="5">
        <v>0.08</v>
      </c>
      <c r="D943" s="5">
        <v>0.06</v>
      </c>
      <c r="E943" s="5">
        <v>0.04</v>
      </c>
      <c r="F943" s="5">
        <v>0.02</v>
      </c>
      <c r="G943" s="5">
        <v>0.02</v>
      </c>
      <c r="H943" s="5">
        <v>0.01</v>
      </c>
      <c r="I943" s="6">
        <v>-33.909891999999999</v>
      </c>
    </row>
    <row r="944" spans="1:9" ht="30" x14ac:dyDescent="0.25">
      <c r="A944" s="1" t="s">
        <v>115</v>
      </c>
      <c r="B944" s="5">
        <v>39.32</v>
      </c>
      <c r="C944" s="5">
        <v>35.58</v>
      </c>
      <c r="D944" s="5">
        <v>32.270000000000003</v>
      </c>
      <c r="E944" s="5">
        <v>29.32</v>
      </c>
      <c r="F944" s="5">
        <v>27.04</v>
      </c>
      <c r="G944" s="5">
        <v>24.86</v>
      </c>
      <c r="H944" s="5">
        <v>22.74</v>
      </c>
      <c r="I944" s="6">
        <v>-8.7226920000000003</v>
      </c>
    </row>
    <row r="945" spans="1:9" x14ac:dyDescent="0.25">
      <c r="A945" s="1" t="s">
        <v>116</v>
      </c>
      <c r="B945" s="5">
        <v>81.86</v>
      </c>
      <c r="C945" s="5">
        <v>78.38</v>
      </c>
      <c r="D945" s="5">
        <v>74.41</v>
      </c>
      <c r="E945" s="5">
        <v>71.959999999999994</v>
      </c>
      <c r="F945" s="5">
        <v>69.150000000000006</v>
      </c>
      <c r="G945" s="5">
        <v>66.17</v>
      </c>
      <c r="H945" s="5">
        <v>62.97</v>
      </c>
      <c r="I945" s="6">
        <v>-4.2783170000000004</v>
      </c>
    </row>
    <row r="946" spans="1:9" x14ac:dyDescent="0.25">
      <c r="A946" s="1" t="s">
        <v>12</v>
      </c>
      <c r="B946" s="2"/>
      <c r="C946" s="2"/>
      <c r="D946" s="2"/>
      <c r="E946" s="2"/>
      <c r="F946" s="2"/>
      <c r="G946" s="2"/>
      <c r="H946" s="2"/>
      <c r="I946" s="2"/>
    </row>
    <row r="947" spans="1:9" ht="60" x14ac:dyDescent="0.25">
      <c r="A947" s="1" t="s">
        <v>125</v>
      </c>
      <c r="B947" s="2"/>
      <c r="C947" s="2"/>
      <c r="D947" s="2"/>
      <c r="E947" s="2"/>
      <c r="F947" s="2"/>
      <c r="G947" s="2"/>
      <c r="H947" s="2"/>
      <c r="I947" s="2"/>
    </row>
    <row r="948" spans="1:9" x14ac:dyDescent="0.25">
      <c r="A948" s="1" t="s">
        <v>14</v>
      </c>
      <c r="B948" s="5">
        <v>40.92</v>
      </c>
      <c r="C948" s="5">
        <v>45.23</v>
      </c>
      <c r="D948" s="5">
        <v>47.78</v>
      </c>
      <c r="E948" s="5">
        <v>48.94</v>
      </c>
      <c r="F948" s="5">
        <v>50.05</v>
      </c>
      <c r="G948" s="5">
        <v>51.53</v>
      </c>
      <c r="H948" s="5">
        <v>53.36</v>
      </c>
      <c r="I948" s="6">
        <v>4.5233610000000004</v>
      </c>
    </row>
    <row r="949" spans="1:9" ht="30" x14ac:dyDescent="0.25">
      <c r="A949" s="1" t="s">
        <v>15</v>
      </c>
      <c r="B949" s="5">
        <v>86.55</v>
      </c>
      <c r="C949" s="5">
        <v>86</v>
      </c>
      <c r="D949" s="5">
        <v>86.21</v>
      </c>
      <c r="E949" s="5">
        <v>86.42</v>
      </c>
      <c r="F949" s="5">
        <v>86.58</v>
      </c>
      <c r="G949" s="5">
        <v>86.74</v>
      </c>
      <c r="H949" s="5">
        <v>86.94</v>
      </c>
      <c r="I949" s="6">
        <v>7.4959999999999999E-2</v>
      </c>
    </row>
    <row r="950" spans="1:9" x14ac:dyDescent="0.25">
      <c r="A950" s="1" t="s">
        <v>16</v>
      </c>
      <c r="B950" s="5">
        <v>73.81</v>
      </c>
      <c r="C950" s="5">
        <v>76.84</v>
      </c>
      <c r="D950" s="5">
        <v>79.099999999999994</v>
      </c>
      <c r="E950" s="5">
        <v>81.040000000000006</v>
      </c>
      <c r="F950" s="5">
        <v>82.64</v>
      </c>
      <c r="G950" s="5">
        <v>83.44</v>
      </c>
      <c r="H950" s="5">
        <v>84.42</v>
      </c>
      <c r="I950" s="6">
        <v>2.263744</v>
      </c>
    </row>
    <row r="951" spans="1:9" x14ac:dyDescent="0.25">
      <c r="A951" s="1" t="s">
        <v>17</v>
      </c>
      <c r="B951" s="5">
        <v>13.86</v>
      </c>
      <c r="C951" s="5">
        <v>16.670000000000002</v>
      </c>
      <c r="D951" s="5">
        <v>19.37</v>
      </c>
      <c r="E951" s="5">
        <v>22.15</v>
      </c>
      <c r="F951" s="5">
        <v>24.99</v>
      </c>
      <c r="G951" s="5">
        <v>27.81</v>
      </c>
      <c r="H951" s="5">
        <v>30.71</v>
      </c>
      <c r="I951" s="6">
        <v>14.178964000000001</v>
      </c>
    </row>
    <row r="952" spans="1:9" x14ac:dyDescent="0.25">
      <c r="A952" s="1" t="s">
        <v>18</v>
      </c>
      <c r="B952" s="5">
        <v>18.61</v>
      </c>
      <c r="C952" s="5">
        <v>19.010000000000002</v>
      </c>
      <c r="D952" s="5">
        <v>19.25</v>
      </c>
      <c r="E952" s="5">
        <v>19.36</v>
      </c>
      <c r="F952" s="5">
        <v>19.34</v>
      </c>
      <c r="G952" s="5">
        <v>19.34</v>
      </c>
      <c r="H952" s="5">
        <v>19.34</v>
      </c>
      <c r="I952" s="6">
        <v>0.64333399999999996</v>
      </c>
    </row>
    <row r="953" spans="1:9" x14ac:dyDescent="0.25">
      <c r="A953" s="1" t="s">
        <v>19</v>
      </c>
      <c r="B953" s="5">
        <v>94.12</v>
      </c>
      <c r="C953" s="5">
        <v>94.52</v>
      </c>
      <c r="D953" s="5">
        <v>94.83</v>
      </c>
      <c r="E953" s="5">
        <v>95.14</v>
      </c>
      <c r="F953" s="5">
        <v>95.42</v>
      </c>
      <c r="G953" s="5">
        <v>95.69</v>
      </c>
      <c r="H953" s="5">
        <v>95.95</v>
      </c>
      <c r="I953" s="6">
        <v>0.32146000000000002</v>
      </c>
    </row>
    <row r="954" spans="1:9" x14ac:dyDescent="0.25">
      <c r="A954" s="1" t="s">
        <v>20</v>
      </c>
      <c r="B954" s="5">
        <v>99.81</v>
      </c>
      <c r="C954" s="5">
        <v>99.82</v>
      </c>
      <c r="D954" s="5">
        <v>99.83</v>
      </c>
      <c r="E954" s="5">
        <v>99.84</v>
      </c>
      <c r="F954" s="5">
        <v>99.86</v>
      </c>
      <c r="G954" s="5">
        <v>99.87</v>
      </c>
      <c r="H954" s="5">
        <v>99.88</v>
      </c>
      <c r="I954" s="6">
        <v>1.1684999999999999E-2</v>
      </c>
    </row>
    <row r="955" spans="1:9" x14ac:dyDescent="0.25">
      <c r="A955" s="1" t="s">
        <v>21</v>
      </c>
      <c r="B955" s="5">
        <v>16.059999999999999</v>
      </c>
      <c r="C955" s="5">
        <v>22.72</v>
      </c>
      <c r="D955" s="5">
        <v>29.35</v>
      </c>
      <c r="E955" s="5">
        <v>33.93</v>
      </c>
      <c r="F955" s="5">
        <v>38.31</v>
      </c>
      <c r="G955" s="5">
        <v>42.56</v>
      </c>
      <c r="H955" s="5">
        <v>45.29</v>
      </c>
      <c r="I955" s="6">
        <v>18.861934999999999</v>
      </c>
    </row>
    <row r="956" spans="1:9" x14ac:dyDescent="0.25">
      <c r="A956" s="1" t="s">
        <v>22</v>
      </c>
      <c r="B956" s="5">
        <v>73.72</v>
      </c>
      <c r="C956" s="5">
        <v>74.61</v>
      </c>
      <c r="D956" s="5">
        <v>75.48</v>
      </c>
      <c r="E956" s="5">
        <v>76.31</v>
      </c>
      <c r="F956" s="5">
        <v>77.040000000000006</v>
      </c>
      <c r="G956" s="5">
        <v>77.739999999999995</v>
      </c>
      <c r="H956" s="5">
        <v>78.38</v>
      </c>
      <c r="I956" s="6">
        <v>1.0268139999999999</v>
      </c>
    </row>
    <row r="957" spans="1:9" x14ac:dyDescent="0.25">
      <c r="A957" s="1" t="s">
        <v>23</v>
      </c>
      <c r="B957" s="5">
        <v>78.39</v>
      </c>
      <c r="C957" s="5">
        <v>81</v>
      </c>
      <c r="D957" s="5">
        <v>82.52</v>
      </c>
      <c r="E957" s="5">
        <v>83.69</v>
      </c>
      <c r="F957" s="5">
        <v>84.69</v>
      </c>
      <c r="G957" s="5">
        <v>85.59</v>
      </c>
      <c r="H957" s="5">
        <v>86.39</v>
      </c>
      <c r="I957" s="6">
        <v>1.632779</v>
      </c>
    </row>
    <row r="958" spans="1:9" x14ac:dyDescent="0.25">
      <c r="A958" s="1" t="s">
        <v>24</v>
      </c>
      <c r="B958" s="5">
        <v>40.6</v>
      </c>
      <c r="C958" s="5">
        <v>45.33</v>
      </c>
      <c r="D958" s="5">
        <v>50.01</v>
      </c>
      <c r="E958" s="5">
        <v>54.16</v>
      </c>
      <c r="F958" s="5">
        <v>57.89</v>
      </c>
      <c r="G958" s="5">
        <v>61.27</v>
      </c>
      <c r="H958" s="5">
        <v>64.36</v>
      </c>
      <c r="I958" s="6">
        <v>7.9812459999999996</v>
      </c>
    </row>
    <row r="959" spans="1:9" x14ac:dyDescent="0.25">
      <c r="A959" s="1" t="s">
        <v>25</v>
      </c>
      <c r="B959" s="5">
        <v>40.119999999999997</v>
      </c>
      <c r="C959" s="5">
        <v>42.88</v>
      </c>
      <c r="D959" s="5">
        <v>45.76</v>
      </c>
      <c r="E959" s="5">
        <v>48.7</v>
      </c>
      <c r="F959" s="5">
        <v>50.76</v>
      </c>
      <c r="G959" s="5">
        <v>52.83</v>
      </c>
      <c r="H959" s="5">
        <v>53.72</v>
      </c>
      <c r="I959" s="6">
        <v>4.9854659999999997</v>
      </c>
    </row>
    <row r="960" spans="1:9" x14ac:dyDescent="0.25">
      <c r="A960" s="1" t="s">
        <v>26</v>
      </c>
      <c r="B960" s="5">
        <v>32.450000000000003</v>
      </c>
      <c r="C960" s="5">
        <v>34.119999999999997</v>
      </c>
      <c r="D960" s="5">
        <v>35.56</v>
      </c>
      <c r="E960" s="5">
        <v>36.67</v>
      </c>
      <c r="F960" s="5">
        <v>37.54</v>
      </c>
      <c r="G960" s="5">
        <v>38.28</v>
      </c>
      <c r="H960" s="5">
        <v>38.94</v>
      </c>
      <c r="I960" s="6">
        <v>3.0853320000000002</v>
      </c>
    </row>
    <row r="961" spans="1:9" x14ac:dyDescent="0.25">
      <c r="A961" s="1" t="s">
        <v>27</v>
      </c>
      <c r="B961" s="5">
        <v>73.28</v>
      </c>
      <c r="C961" s="5">
        <v>75.58</v>
      </c>
      <c r="D961" s="5">
        <v>77.84</v>
      </c>
      <c r="E961" s="5">
        <v>79.650000000000006</v>
      </c>
      <c r="F961" s="5">
        <v>80.98</v>
      </c>
      <c r="G961" s="5">
        <v>82.04</v>
      </c>
      <c r="H961" s="5">
        <v>82.81</v>
      </c>
      <c r="I961" s="6">
        <v>2.0585879999999999</v>
      </c>
    </row>
    <row r="962" spans="1:9" x14ac:dyDescent="0.25">
      <c r="A962" s="1" t="s">
        <v>28</v>
      </c>
      <c r="B962" s="5">
        <v>90.3</v>
      </c>
      <c r="C962" s="5">
        <v>90.55</v>
      </c>
      <c r="D962" s="5">
        <v>90.68</v>
      </c>
      <c r="E962" s="5">
        <v>90.85</v>
      </c>
      <c r="F962" s="5">
        <v>91.07</v>
      </c>
      <c r="G962" s="5">
        <v>91.22</v>
      </c>
      <c r="H962" s="5">
        <v>91.41</v>
      </c>
      <c r="I962" s="6">
        <v>0.20383100000000001</v>
      </c>
    </row>
    <row r="963" spans="1:9" x14ac:dyDescent="0.25">
      <c r="A963" s="1" t="s">
        <v>29</v>
      </c>
      <c r="B963" s="5">
        <v>38.47</v>
      </c>
      <c r="C963" s="5">
        <v>41.92</v>
      </c>
      <c r="D963" s="5">
        <v>44.56</v>
      </c>
      <c r="E963" s="5">
        <v>46.64</v>
      </c>
      <c r="F963" s="5">
        <v>48.25</v>
      </c>
      <c r="G963" s="5">
        <v>49.46</v>
      </c>
      <c r="H963" s="5">
        <v>50.33</v>
      </c>
      <c r="I963" s="6">
        <v>4.5805179999999996</v>
      </c>
    </row>
    <row r="964" spans="1:9" x14ac:dyDescent="0.25">
      <c r="A964" s="1" t="s">
        <v>30</v>
      </c>
      <c r="B964" s="5">
        <v>54.43</v>
      </c>
      <c r="C964" s="5">
        <v>60.98</v>
      </c>
      <c r="D964" s="5">
        <v>65.73</v>
      </c>
      <c r="E964" s="5">
        <v>69.349999999999994</v>
      </c>
      <c r="F964" s="5">
        <v>71.92</v>
      </c>
      <c r="G964" s="5">
        <v>73.599999999999994</v>
      </c>
      <c r="H964" s="5">
        <v>74.72</v>
      </c>
      <c r="I964" s="6">
        <v>5.4224459999999999</v>
      </c>
    </row>
    <row r="965" spans="1:9" x14ac:dyDescent="0.25">
      <c r="A965" s="1" t="s">
        <v>31</v>
      </c>
      <c r="B965" s="5">
        <v>30.65</v>
      </c>
      <c r="C965" s="5">
        <v>39.770000000000003</v>
      </c>
      <c r="D965" s="5">
        <v>48.64</v>
      </c>
      <c r="E965" s="5">
        <v>56.63</v>
      </c>
      <c r="F965" s="5">
        <v>63.61</v>
      </c>
      <c r="G965" s="5">
        <v>69.739999999999995</v>
      </c>
      <c r="H965" s="5">
        <v>75.12</v>
      </c>
      <c r="I965" s="6">
        <v>16.114782999999999</v>
      </c>
    </row>
    <row r="966" spans="1:9" x14ac:dyDescent="0.25">
      <c r="A966" s="1" t="s">
        <v>32</v>
      </c>
      <c r="B966" s="5">
        <v>25.96</v>
      </c>
      <c r="C966" s="5">
        <v>28.1</v>
      </c>
      <c r="D966" s="5">
        <v>30.25</v>
      </c>
      <c r="E966" s="5">
        <v>32.33</v>
      </c>
      <c r="F966" s="5">
        <v>34.32</v>
      </c>
      <c r="G966" s="5">
        <v>36.24</v>
      </c>
      <c r="H966" s="5">
        <v>38.090000000000003</v>
      </c>
      <c r="I966" s="6">
        <v>6.5984889999999998</v>
      </c>
    </row>
    <row r="967" spans="1:9" x14ac:dyDescent="0.25">
      <c r="A967" s="1" t="s">
        <v>33</v>
      </c>
      <c r="B967" s="5">
        <v>54.14</v>
      </c>
      <c r="C967" s="5">
        <v>55.82</v>
      </c>
      <c r="D967" s="5">
        <v>57.22</v>
      </c>
      <c r="E967" s="5">
        <v>58.57</v>
      </c>
      <c r="F967" s="5">
        <v>59.86</v>
      </c>
      <c r="G967" s="5">
        <v>61.1</v>
      </c>
      <c r="H967" s="5">
        <v>62.29</v>
      </c>
      <c r="I967" s="6">
        <v>2.364652</v>
      </c>
    </row>
    <row r="968" spans="1:9" ht="30" x14ac:dyDescent="0.25">
      <c r="A968" s="1" t="s">
        <v>34</v>
      </c>
      <c r="B968" s="5">
        <v>53.18</v>
      </c>
      <c r="C968" s="5">
        <v>54.68</v>
      </c>
      <c r="D968" s="5">
        <v>57.2</v>
      </c>
      <c r="E968" s="5">
        <v>59.28</v>
      </c>
      <c r="F968" s="5">
        <v>60.96</v>
      </c>
      <c r="G968" s="5">
        <v>62.23</v>
      </c>
      <c r="H968" s="5">
        <v>63.26</v>
      </c>
      <c r="I968" s="6">
        <v>2.9350960000000001</v>
      </c>
    </row>
    <row r="969" spans="1:9" ht="30" x14ac:dyDescent="0.25">
      <c r="A969" s="1" t="s">
        <v>35</v>
      </c>
      <c r="B969" s="5">
        <v>62.12</v>
      </c>
      <c r="C969" s="5">
        <v>65.64</v>
      </c>
      <c r="D969" s="5">
        <v>68.42</v>
      </c>
      <c r="E969" s="5">
        <v>70.78</v>
      </c>
      <c r="F969" s="5">
        <v>72.819999999999993</v>
      </c>
      <c r="G969" s="5">
        <v>74.61</v>
      </c>
      <c r="H969" s="5">
        <v>76.209999999999994</v>
      </c>
      <c r="I969" s="6">
        <v>3.4657840000000002</v>
      </c>
    </row>
    <row r="970" spans="1:9" x14ac:dyDescent="0.25">
      <c r="A970" s="1" t="s">
        <v>36</v>
      </c>
      <c r="B970" s="5">
        <v>83.67</v>
      </c>
      <c r="C970" s="5">
        <v>86.04</v>
      </c>
      <c r="D970" s="5">
        <v>87.74</v>
      </c>
      <c r="E970" s="5">
        <v>89.05</v>
      </c>
      <c r="F970" s="5">
        <v>90.11</v>
      </c>
      <c r="G970" s="5">
        <v>90.99</v>
      </c>
      <c r="H970" s="5">
        <v>91.73</v>
      </c>
      <c r="I970" s="6">
        <v>1.544624</v>
      </c>
    </row>
    <row r="971" spans="1:9" x14ac:dyDescent="0.25">
      <c r="A971" s="1" t="s">
        <v>37</v>
      </c>
      <c r="B971" s="5">
        <v>2.0499999999999998</v>
      </c>
      <c r="C971" s="5">
        <v>2.8</v>
      </c>
      <c r="D971" s="5">
        <v>3.76</v>
      </c>
      <c r="E971" s="5">
        <v>5.01</v>
      </c>
      <c r="F971" s="5">
        <v>6.61</v>
      </c>
      <c r="G971" s="5">
        <v>8.7799999999999994</v>
      </c>
      <c r="H971" s="5">
        <v>11.26</v>
      </c>
      <c r="I971" s="6">
        <v>32.830382</v>
      </c>
    </row>
    <row r="972" spans="1:9" x14ac:dyDescent="0.25">
      <c r="A972" s="1" t="s">
        <v>38</v>
      </c>
      <c r="B972" s="5">
        <v>3.57</v>
      </c>
      <c r="C972" s="5">
        <v>3.63</v>
      </c>
      <c r="D972" s="5">
        <v>3.68</v>
      </c>
      <c r="E972" s="5">
        <v>3.73</v>
      </c>
      <c r="F972" s="5">
        <v>3.78</v>
      </c>
      <c r="G972" s="5">
        <v>3.82</v>
      </c>
      <c r="H972" s="5">
        <v>3.86</v>
      </c>
      <c r="I972" s="6">
        <v>1.3102020000000001</v>
      </c>
    </row>
    <row r="973" spans="1:9" x14ac:dyDescent="0.25">
      <c r="A973" s="1" t="s">
        <v>39</v>
      </c>
      <c r="B973" s="5">
        <v>51.07</v>
      </c>
      <c r="C973" s="5">
        <v>52.74</v>
      </c>
      <c r="D973" s="5">
        <v>54.2</v>
      </c>
      <c r="E973" s="5">
        <v>55.54</v>
      </c>
      <c r="F973" s="5">
        <v>56.76</v>
      </c>
      <c r="G973" s="5">
        <v>57.87</v>
      </c>
      <c r="H973" s="5">
        <v>58.9</v>
      </c>
      <c r="I973" s="6">
        <v>2.4058830000000002</v>
      </c>
    </row>
    <row r="974" spans="1:9" x14ac:dyDescent="0.25">
      <c r="A974" s="1" t="s">
        <v>40</v>
      </c>
      <c r="B974" s="5">
        <v>67.05</v>
      </c>
      <c r="C974" s="5">
        <v>68.14</v>
      </c>
      <c r="D974" s="5">
        <v>69.040000000000006</v>
      </c>
      <c r="E974" s="5">
        <v>69.81</v>
      </c>
      <c r="F974" s="5">
        <v>70.260000000000005</v>
      </c>
      <c r="G974" s="5">
        <v>70.52</v>
      </c>
      <c r="H974" s="5">
        <v>70.790000000000006</v>
      </c>
      <c r="I974" s="6">
        <v>0.90875700000000004</v>
      </c>
    </row>
    <row r="975" spans="1:9" x14ac:dyDescent="0.25">
      <c r="A975" s="1" t="s">
        <v>41</v>
      </c>
      <c r="B975" s="5">
        <v>74.62</v>
      </c>
      <c r="C975" s="5">
        <v>81.849999999999994</v>
      </c>
      <c r="D975" s="5">
        <v>87.96</v>
      </c>
      <c r="E975" s="5">
        <v>93.13</v>
      </c>
      <c r="F975" s="5">
        <v>94.83</v>
      </c>
      <c r="G975" s="5">
        <v>96.05</v>
      </c>
      <c r="H975" s="5">
        <v>97.36</v>
      </c>
      <c r="I975" s="6">
        <v>4.5331939999999999</v>
      </c>
    </row>
    <row r="976" spans="1:9" x14ac:dyDescent="0.25">
      <c r="A976" s="1" t="s">
        <v>42</v>
      </c>
      <c r="B976" s="5">
        <v>13.81</v>
      </c>
      <c r="C976" s="5">
        <v>16.079999999999998</v>
      </c>
      <c r="D976" s="5">
        <v>18.16</v>
      </c>
      <c r="E976" s="5">
        <v>20.12</v>
      </c>
      <c r="F976" s="5">
        <v>22.09</v>
      </c>
      <c r="G976" s="5">
        <v>24.13</v>
      </c>
      <c r="H976" s="5">
        <v>26.29</v>
      </c>
      <c r="I976" s="6">
        <v>11.326738000000001</v>
      </c>
    </row>
    <row r="977" spans="1:9" x14ac:dyDescent="0.25">
      <c r="A977" s="1" t="s">
        <v>43</v>
      </c>
      <c r="B977" s="5">
        <v>12.82</v>
      </c>
      <c r="C977" s="5">
        <v>18.12</v>
      </c>
      <c r="D977" s="5">
        <v>23.69</v>
      </c>
      <c r="E977" s="5">
        <v>28.97</v>
      </c>
      <c r="F977" s="5">
        <v>33.42</v>
      </c>
      <c r="G977" s="5">
        <v>37.51</v>
      </c>
      <c r="H977" s="5">
        <v>40.909999999999997</v>
      </c>
      <c r="I977" s="6">
        <v>21.336158999999999</v>
      </c>
    </row>
    <row r="978" spans="1:9" x14ac:dyDescent="0.25">
      <c r="A978" s="1" t="s">
        <v>44</v>
      </c>
      <c r="B978" s="5">
        <v>25.5</v>
      </c>
      <c r="C978" s="5">
        <v>29.14</v>
      </c>
      <c r="D978" s="5">
        <v>32.93</v>
      </c>
      <c r="E978" s="5">
        <v>35.57</v>
      </c>
      <c r="F978" s="5">
        <v>40.799999999999997</v>
      </c>
      <c r="G978" s="5">
        <v>42.02</v>
      </c>
      <c r="H978" s="5">
        <v>43.28</v>
      </c>
      <c r="I978" s="6">
        <v>9.2172350000000005</v>
      </c>
    </row>
    <row r="979" spans="1:9" x14ac:dyDescent="0.25">
      <c r="A979" s="1" t="s">
        <v>45</v>
      </c>
      <c r="B979" s="5">
        <v>4.7</v>
      </c>
      <c r="C979" s="5">
        <v>5.32</v>
      </c>
      <c r="D979" s="5">
        <v>5.93</v>
      </c>
      <c r="E979" s="5">
        <v>6.55</v>
      </c>
      <c r="F979" s="5">
        <v>7.17</v>
      </c>
      <c r="G979" s="5">
        <v>7.79</v>
      </c>
      <c r="H979" s="5">
        <v>8.4</v>
      </c>
      <c r="I979" s="6">
        <v>10.161600999999999</v>
      </c>
    </row>
    <row r="980" spans="1:9" x14ac:dyDescent="0.25">
      <c r="A980" s="1" t="s">
        <v>46</v>
      </c>
      <c r="B980" s="5">
        <v>88.94</v>
      </c>
      <c r="C980" s="5">
        <v>90.43</v>
      </c>
      <c r="D980" s="5">
        <v>91.67</v>
      </c>
      <c r="E980" s="5">
        <v>92.75</v>
      </c>
      <c r="F980" s="5">
        <v>93.76</v>
      </c>
      <c r="G980" s="5">
        <v>94.6</v>
      </c>
      <c r="H980" s="5">
        <v>95.27</v>
      </c>
      <c r="I980" s="6">
        <v>1.1524730000000001</v>
      </c>
    </row>
    <row r="981" spans="1:9" x14ac:dyDescent="0.25">
      <c r="A981" s="1" t="s">
        <v>47</v>
      </c>
      <c r="B981" s="5">
        <v>45.92</v>
      </c>
      <c r="C981" s="5">
        <v>50.93</v>
      </c>
      <c r="D981" s="5">
        <v>54.48</v>
      </c>
      <c r="E981" s="5">
        <v>57.54</v>
      </c>
      <c r="F981" s="5">
        <v>60</v>
      </c>
      <c r="G981" s="5">
        <v>61.82</v>
      </c>
      <c r="H981" s="5">
        <v>63.15</v>
      </c>
      <c r="I981" s="6">
        <v>5.453722</v>
      </c>
    </row>
    <row r="982" spans="1:9" x14ac:dyDescent="0.25">
      <c r="A982" s="1" t="s">
        <v>48</v>
      </c>
      <c r="B982" s="5">
        <v>75.48</v>
      </c>
      <c r="C982" s="5">
        <v>65.59</v>
      </c>
      <c r="D982" s="5">
        <v>65.78</v>
      </c>
      <c r="E982" s="5">
        <v>65.78</v>
      </c>
      <c r="F982" s="5">
        <v>64.77</v>
      </c>
      <c r="G982" s="5">
        <v>64.34</v>
      </c>
      <c r="H982" s="5">
        <v>64.849999999999994</v>
      </c>
      <c r="I982" s="6">
        <v>-2.4981140000000002</v>
      </c>
    </row>
    <row r="983" spans="1:9" x14ac:dyDescent="0.25">
      <c r="A983" s="1" t="s">
        <v>49</v>
      </c>
      <c r="B983" s="5">
        <v>88.68</v>
      </c>
      <c r="C983" s="5">
        <v>90.76</v>
      </c>
      <c r="D983" s="5">
        <v>91.39</v>
      </c>
      <c r="E983" s="5">
        <v>91.86</v>
      </c>
      <c r="F983" s="5">
        <v>92.62</v>
      </c>
      <c r="G983" s="5">
        <v>93.12</v>
      </c>
      <c r="H983" s="5">
        <v>93.27</v>
      </c>
      <c r="I983" s="6">
        <v>0.84461600000000003</v>
      </c>
    </row>
    <row r="984" spans="1:9" x14ac:dyDescent="0.25">
      <c r="A984" s="1" t="s">
        <v>50</v>
      </c>
      <c r="B984" s="5">
        <v>14.7</v>
      </c>
      <c r="C984" s="5">
        <v>15.12</v>
      </c>
      <c r="D984" s="5">
        <v>16.93</v>
      </c>
      <c r="E984" s="5">
        <v>18.25</v>
      </c>
      <c r="F984" s="5">
        <v>19.66</v>
      </c>
      <c r="G984" s="5">
        <v>21.14</v>
      </c>
      <c r="H984" s="5">
        <v>22.87</v>
      </c>
      <c r="I984" s="6">
        <v>7.6444070000000002</v>
      </c>
    </row>
    <row r="985" spans="1:9" x14ac:dyDescent="0.25">
      <c r="A985" s="1" t="s">
        <v>51</v>
      </c>
      <c r="B985" s="5">
        <v>49.33</v>
      </c>
      <c r="C985" s="5">
        <v>54.3</v>
      </c>
      <c r="D985" s="5">
        <v>58.25</v>
      </c>
      <c r="E985" s="5">
        <v>61.4</v>
      </c>
      <c r="F985" s="5">
        <v>64.010000000000005</v>
      </c>
      <c r="G985" s="5">
        <v>66.150000000000006</v>
      </c>
      <c r="H985" s="5">
        <v>67.89</v>
      </c>
      <c r="I985" s="6">
        <v>5.4668029999999996</v>
      </c>
    </row>
    <row r="986" spans="1:9" x14ac:dyDescent="0.25">
      <c r="A986" s="1" t="s">
        <v>52</v>
      </c>
      <c r="B986" s="5">
        <v>59.48</v>
      </c>
      <c r="C986" s="5">
        <v>67.41</v>
      </c>
      <c r="D986" s="5">
        <v>73.69</v>
      </c>
      <c r="E986" s="5">
        <v>78.709999999999994</v>
      </c>
      <c r="F986" s="5">
        <v>84.01</v>
      </c>
      <c r="G986" s="5">
        <v>87.82</v>
      </c>
      <c r="H986" s="5">
        <v>90.62</v>
      </c>
      <c r="I986" s="6">
        <v>7.269317</v>
      </c>
    </row>
    <row r="987" spans="1:9" x14ac:dyDescent="0.25">
      <c r="A987" s="1" t="s">
        <v>53</v>
      </c>
      <c r="B987" s="5">
        <v>27.89</v>
      </c>
      <c r="C987" s="5">
        <v>33.130000000000003</v>
      </c>
      <c r="D987" s="5">
        <v>37.89</v>
      </c>
      <c r="E987" s="5">
        <v>42.08</v>
      </c>
      <c r="F987" s="5">
        <v>45.81</v>
      </c>
      <c r="G987" s="5">
        <v>49.44</v>
      </c>
      <c r="H987" s="5">
        <v>52.35</v>
      </c>
      <c r="I987" s="6">
        <v>11.065206999999999</v>
      </c>
    </row>
    <row r="988" spans="1:9" x14ac:dyDescent="0.25">
      <c r="A988" s="1" t="s">
        <v>54</v>
      </c>
      <c r="B988" s="5">
        <v>35.53</v>
      </c>
      <c r="C988" s="5">
        <v>36.340000000000003</v>
      </c>
      <c r="D988" s="5">
        <v>37.119999999999997</v>
      </c>
      <c r="E988" s="5">
        <v>37.79</v>
      </c>
      <c r="F988" s="5">
        <v>38.42</v>
      </c>
      <c r="G988" s="5">
        <v>39.090000000000003</v>
      </c>
      <c r="H988" s="5">
        <v>40.799999999999997</v>
      </c>
      <c r="I988" s="6">
        <v>2.3318500000000002</v>
      </c>
    </row>
    <row r="989" spans="1:9" x14ac:dyDescent="0.25">
      <c r="A989" s="1" t="s">
        <v>55</v>
      </c>
      <c r="B989" s="5">
        <v>79.23</v>
      </c>
      <c r="C989" s="5">
        <v>79.67</v>
      </c>
      <c r="D989" s="5">
        <v>80.099999999999994</v>
      </c>
      <c r="E989" s="5">
        <v>80.67</v>
      </c>
      <c r="F989" s="5">
        <v>81.099999999999994</v>
      </c>
      <c r="G989" s="5">
        <v>81.599999999999994</v>
      </c>
      <c r="H989" s="5">
        <v>82.06</v>
      </c>
      <c r="I989" s="6">
        <v>0.586642</v>
      </c>
    </row>
    <row r="990" spans="1:9" x14ac:dyDescent="0.25">
      <c r="A990" s="1" t="s">
        <v>56</v>
      </c>
      <c r="B990" s="5">
        <v>66.03</v>
      </c>
      <c r="C990" s="5">
        <v>70.5</v>
      </c>
      <c r="D990" s="5">
        <v>74</v>
      </c>
      <c r="E990" s="5">
        <v>76.45</v>
      </c>
      <c r="F990" s="5">
        <v>79.010000000000005</v>
      </c>
      <c r="G990" s="5">
        <v>81.33</v>
      </c>
      <c r="H990" s="5">
        <v>83.16</v>
      </c>
      <c r="I990" s="6">
        <v>3.9191370000000001</v>
      </c>
    </row>
    <row r="991" spans="1:9" x14ac:dyDescent="0.25">
      <c r="A991" s="1" t="s">
        <v>57</v>
      </c>
      <c r="B991" s="7" t="s">
        <v>58</v>
      </c>
      <c r="C991" s="7" t="s">
        <v>58</v>
      </c>
      <c r="D991" s="7" t="s">
        <v>58</v>
      </c>
      <c r="E991" s="7" t="s">
        <v>58</v>
      </c>
      <c r="F991" s="7" t="s">
        <v>58</v>
      </c>
      <c r="G991" s="7" t="s">
        <v>58</v>
      </c>
      <c r="H991" s="7" t="s">
        <v>58</v>
      </c>
      <c r="I991" s="7" t="s">
        <v>58</v>
      </c>
    </row>
    <row r="992" spans="1:9" x14ac:dyDescent="0.25">
      <c r="A992" s="1" t="s">
        <v>59</v>
      </c>
      <c r="B992" s="5">
        <v>42.34</v>
      </c>
      <c r="C992" s="5">
        <v>42.18</v>
      </c>
      <c r="D992" s="5">
        <v>41.9</v>
      </c>
      <c r="E992" s="5">
        <v>41.51</v>
      </c>
      <c r="F992" s="5">
        <v>41.73</v>
      </c>
      <c r="G992" s="5">
        <v>43.81</v>
      </c>
      <c r="H992" s="5">
        <v>44.43</v>
      </c>
      <c r="I992" s="6">
        <v>0.80627700000000002</v>
      </c>
    </row>
    <row r="993" spans="1:9" x14ac:dyDescent="0.25">
      <c r="A993" s="1" t="s">
        <v>60</v>
      </c>
      <c r="B993" s="5">
        <v>99.39</v>
      </c>
      <c r="C993" s="5">
        <v>99.51</v>
      </c>
      <c r="D993" s="5">
        <v>99.61</v>
      </c>
      <c r="E993" s="5">
        <v>99.68</v>
      </c>
      <c r="F993" s="5">
        <v>99.74</v>
      </c>
      <c r="G993" s="5">
        <v>99.78</v>
      </c>
      <c r="H993" s="5">
        <v>99.82</v>
      </c>
      <c r="I993" s="6">
        <v>7.1976999999999999E-2</v>
      </c>
    </row>
    <row r="994" spans="1:9" ht="45" x14ac:dyDescent="0.25">
      <c r="A994" s="1" t="s">
        <v>61</v>
      </c>
      <c r="B994" s="5">
        <v>63.48</v>
      </c>
      <c r="C994" s="5">
        <v>66.930000000000007</v>
      </c>
      <c r="D994" s="5">
        <v>69.23</v>
      </c>
      <c r="E994" s="5">
        <v>70.87</v>
      </c>
      <c r="F994" s="5">
        <v>72.150000000000006</v>
      </c>
      <c r="G994" s="5">
        <v>73.17</v>
      </c>
      <c r="H994" s="5">
        <v>74.010000000000005</v>
      </c>
      <c r="I994" s="6">
        <v>2.5909179999999998</v>
      </c>
    </row>
    <row r="995" spans="1:9" x14ac:dyDescent="0.25">
      <c r="A995" s="1" t="s">
        <v>62</v>
      </c>
      <c r="B995" s="5">
        <v>78.97</v>
      </c>
      <c r="C995" s="5">
        <v>79.73</v>
      </c>
      <c r="D995" s="5">
        <v>80.98</v>
      </c>
      <c r="E995" s="5">
        <v>82.04</v>
      </c>
      <c r="F995" s="5">
        <v>82.95</v>
      </c>
      <c r="G995" s="5">
        <v>83.89</v>
      </c>
      <c r="H995" s="5">
        <v>84.87</v>
      </c>
      <c r="I995" s="6">
        <v>1.2081170000000001</v>
      </c>
    </row>
    <row r="996" spans="1:9" x14ac:dyDescent="0.25">
      <c r="A996" s="1" t="s">
        <v>63</v>
      </c>
      <c r="B996" s="5">
        <v>5.57</v>
      </c>
      <c r="C996" s="5">
        <v>6.81</v>
      </c>
      <c r="D996" s="5">
        <v>8.02</v>
      </c>
      <c r="E996" s="5">
        <v>9.41</v>
      </c>
      <c r="F996" s="5">
        <v>11.01</v>
      </c>
      <c r="G996" s="5">
        <v>13.1</v>
      </c>
      <c r="H996" s="5">
        <v>15.62</v>
      </c>
      <c r="I996" s="6">
        <v>18.751099</v>
      </c>
    </row>
    <row r="997" spans="1:9" x14ac:dyDescent="0.25">
      <c r="A997" s="1" t="s">
        <v>64</v>
      </c>
      <c r="B997" s="5">
        <v>80.709999999999994</v>
      </c>
      <c r="C997" s="5">
        <v>81.94</v>
      </c>
      <c r="D997" s="5">
        <v>83.18</v>
      </c>
      <c r="E997" s="5">
        <v>84.21</v>
      </c>
      <c r="F997" s="5">
        <v>85.06</v>
      </c>
      <c r="G997" s="5">
        <v>85.78</v>
      </c>
      <c r="H997" s="5">
        <v>86.4</v>
      </c>
      <c r="I997" s="6">
        <v>1.1418900000000001</v>
      </c>
    </row>
    <row r="998" spans="1:9" x14ac:dyDescent="0.25">
      <c r="A998" s="1" t="s">
        <v>65</v>
      </c>
      <c r="B998" s="5">
        <v>98.78</v>
      </c>
      <c r="C998" s="5">
        <v>99.17</v>
      </c>
      <c r="D998" s="5">
        <v>99.21</v>
      </c>
      <c r="E998" s="5">
        <v>99.23</v>
      </c>
      <c r="F998" s="5">
        <v>99.23</v>
      </c>
      <c r="G998" s="5">
        <v>99.24</v>
      </c>
      <c r="H998" s="5">
        <v>99.24</v>
      </c>
      <c r="I998" s="6">
        <v>7.7463000000000004E-2</v>
      </c>
    </row>
    <row r="999" spans="1:9" x14ac:dyDescent="0.25">
      <c r="A999" s="1" t="s">
        <v>66</v>
      </c>
      <c r="B999" s="5">
        <v>65.569999999999993</v>
      </c>
      <c r="C999" s="5">
        <v>70.239999999999995</v>
      </c>
      <c r="D999" s="5">
        <v>73.400000000000006</v>
      </c>
      <c r="E999" s="5">
        <v>75.45</v>
      </c>
      <c r="F999" s="5">
        <v>76.739999999999995</v>
      </c>
      <c r="G999" s="5">
        <v>77.55</v>
      </c>
      <c r="H999" s="5">
        <v>78.09</v>
      </c>
      <c r="I999" s="6">
        <v>2.9552209999999999</v>
      </c>
    </row>
    <row r="1000" spans="1:9" ht="30" x14ac:dyDescent="0.25">
      <c r="A1000" s="1" t="s">
        <v>67</v>
      </c>
      <c r="B1000" s="5">
        <v>35.450000000000003</v>
      </c>
      <c r="C1000" s="5">
        <v>37.61</v>
      </c>
      <c r="D1000" s="5">
        <v>39.729999999999997</v>
      </c>
      <c r="E1000" s="5">
        <v>41.68</v>
      </c>
      <c r="F1000" s="5">
        <v>43.67</v>
      </c>
      <c r="G1000" s="5">
        <v>45.68</v>
      </c>
      <c r="H1000" s="5">
        <v>47.54</v>
      </c>
      <c r="I1000" s="6">
        <v>5.0123769999999999</v>
      </c>
    </row>
    <row r="1001" spans="1:9" x14ac:dyDescent="0.25">
      <c r="A1001" s="1" t="s">
        <v>68</v>
      </c>
      <c r="B1001" s="7" t="s">
        <v>58</v>
      </c>
      <c r="C1001" s="7" t="s">
        <v>58</v>
      </c>
      <c r="D1001" s="7" t="s">
        <v>58</v>
      </c>
      <c r="E1001" s="7" t="s">
        <v>58</v>
      </c>
      <c r="F1001" s="7" t="s">
        <v>58</v>
      </c>
      <c r="G1001" s="7" t="s">
        <v>58</v>
      </c>
      <c r="H1001" s="7" t="s">
        <v>58</v>
      </c>
      <c r="I1001" s="7" t="s">
        <v>58</v>
      </c>
    </row>
    <row r="1002" spans="1:9" x14ac:dyDescent="0.25">
      <c r="A1002" s="1" t="s">
        <v>69</v>
      </c>
      <c r="B1002" s="5">
        <v>93.06</v>
      </c>
      <c r="C1002" s="5">
        <v>93.73</v>
      </c>
      <c r="D1002" s="5">
        <v>94.28</v>
      </c>
      <c r="E1002" s="5">
        <v>94.88</v>
      </c>
      <c r="F1002" s="5">
        <v>95.34</v>
      </c>
      <c r="G1002" s="5">
        <v>95.84</v>
      </c>
      <c r="H1002" s="5">
        <v>96.25</v>
      </c>
      <c r="I1002" s="6">
        <v>0.56332300000000002</v>
      </c>
    </row>
    <row r="1003" spans="1:9" x14ac:dyDescent="0.25">
      <c r="A1003" s="1" t="s">
        <v>70</v>
      </c>
      <c r="B1003" s="5">
        <v>42.27</v>
      </c>
      <c r="C1003" s="5">
        <v>44.99</v>
      </c>
      <c r="D1003" s="5">
        <v>47.4</v>
      </c>
      <c r="E1003" s="5">
        <v>49.31</v>
      </c>
      <c r="F1003" s="5">
        <v>50.81</v>
      </c>
      <c r="G1003" s="5">
        <v>51.88</v>
      </c>
      <c r="H1003" s="5">
        <v>52.65</v>
      </c>
      <c r="I1003" s="6">
        <v>3.7276060000000002</v>
      </c>
    </row>
    <row r="1004" spans="1:9" x14ac:dyDescent="0.25">
      <c r="A1004" s="1" t="s">
        <v>71</v>
      </c>
      <c r="B1004" s="5">
        <v>56.95</v>
      </c>
      <c r="C1004" s="5">
        <v>58.37</v>
      </c>
      <c r="D1004" s="5">
        <v>59.94</v>
      </c>
      <c r="E1004" s="5">
        <v>61.13</v>
      </c>
      <c r="F1004" s="5">
        <v>62.45</v>
      </c>
      <c r="G1004" s="5">
        <v>63.51</v>
      </c>
      <c r="H1004" s="5">
        <v>64.56</v>
      </c>
      <c r="I1004" s="6">
        <v>2.1123569999999998</v>
      </c>
    </row>
    <row r="1005" spans="1:9" x14ac:dyDescent="0.25">
      <c r="A1005" s="1" t="s">
        <v>72</v>
      </c>
      <c r="B1005" s="5">
        <v>2.17</v>
      </c>
      <c r="C1005" s="5">
        <v>2.15</v>
      </c>
      <c r="D1005" s="5">
        <v>2.33</v>
      </c>
      <c r="E1005" s="5">
        <v>2.61</v>
      </c>
      <c r="F1005" s="5">
        <v>2.9</v>
      </c>
      <c r="G1005" s="5">
        <v>2.9</v>
      </c>
      <c r="H1005" s="5">
        <v>3.06</v>
      </c>
      <c r="I1005" s="6">
        <v>5.8953639999999998</v>
      </c>
    </row>
    <row r="1006" spans="1:9" x14ac:dyDescent="0.25">
      <c r="A1006" s="1" t="s">
        <v>73</v>
      </c>
      <c r="B1006" s="7" t="s">
        <v>58</v>
      </c>
      <c r="C1006" s="7" t="s">
        <v>58</v>
      </c>
      <c r="D1006" s="7" t="s">
        <v>58</v>
      </c>
      <c r="E1006" s="7" t="s">
        <v>58</v>
      </c>
      <c r="F1006" s="7" t="s">
        <v>58</v>
      </c>
      <c r="G1006" s="7" t="s">
        <v>58</v>
      </c>
      <c r="H1006" s="7" t="s">
        <v>58</v>
      </c>
      <c r="I1006" s="7" t="s">
        <v>58</v>
      </c>
    </row>
    <row r="1007" spans="1:9" ht="30" x14ac:dyDescent="0.25">
      <c r="A1007" s="1" t="s">
        <v>74</v>
      </c>
      <c r="B1007" s="5">
        <v>20.67</v>
      </c>
      <c r="C1007" s="5">
        <v>22.48</v>
      </c>
      <c r="D1007" s="5">
        <v>24.17</v>
      </c>
      <c r="E1007" s="5">
        <v>24.95</v>
      </c>
      <c r="F1007" s="5">
        <v>25.36</v>
      </c>
      <c r="G1007" s="5">
        <v>25.28</v>
      </c>
      <c r="H1007" s="5">
        <v>25.3</v>
      </c>
      <c r="I1007" s="6">
        <v>3.4260660000000001</v>
      </c>
    </row>
    <row r="1008" spans="1:9" x14ac:dyDescent="0.25">
      <c r="A1008" s="1" t="s">
        <v>75</v>
      </c>
      <c r="B1008" s="5">
        <v>73.42</v>
      </c>
      <c r="C1008" s="5">
        <v>75</v>
      </c>
      <c r="D1008" s="5">
        <v>76.5</v>
      </c>
      <c r="E1008" s="5">
        <v>77.819999999999993</v>
      </c>
      <c r="F1008" s="5">
        <v>78.98</v>
      </c>
      <c r="G1008" s="5">
        <v>79.98</v>
      </c>
      <c r="H1008" s="5">
        <v>80.84</v>
      </c>
      <c r="I1008" s="6">
        <v>1.6175349999999999</v>
      </c>
    </row>
    <row r="1009" spans="1:9" x14ac:dyDescent="0.25">
      <c r="A1009" s="1" t="s">
        <v>76</v>
      </c>
      <c r="B1009" s="5">
        <v>44.49</v>
      </c>
      <c r="C1009" s="5">
        <v>46.98</v>
      </c>
      <c r="D1009" s="5">
        <v>48.82</v>
      </c>
      <c r="E1009" s="5">
        <v>50.62</v>
      </c>
      <c r="F1009" s="5">
        <v>52.21</v>
      </c>
      <c r="G1009" s="5">
        <v>53.78</v>
      </c>
      <c r="H1009" s="5">
        <v>55.33</v>
      </c>
      <c r="I1009" s="6">
        <v>3.7010239999999999</v>
      </c>
    </row>
    <row r="1010" spans="1:9" ht="45" x14ac:dyDescent="0.25">
      <c r="A1010" s="1" t="s">
        <v>77</v>
      </c>
      <c r="B1010" s="5">
        <v>40.35</v>
      </c>
      <c r="C1010" s="5">
        <v>42.25</v>
      </c>
      <c r="D1010" s="5">
        <v>44.43</v>
      </c>
      <c r="E1010" s="5">
        <v>46.68</v>
      </c>
      <c r="F1010" s="5">
        <v>51.25</v>
      </c>
      <c r="G1010" s="5">
        <v>53.74</v>
      </c>
      <c r="H1010" s="5">
        <v>56.15</v>
      </c>
      <c r="I1010" s="6">
        <v>5.661727</v>
      </c>
    </row>
    <row r="1011" spans="1:9" ht="45" x14ac:dyDescent="0.25">
      <c r="A1011" s="1" t="s">
        <v>78</v>
      </c>
      <c r="B1011" s="5">
        <v>57.19</v>
      </c>
      <c r="C1011" s="5">
        <v>61.1</v>
      </c>
      <c r="D1011" s="5">
        <v>64.53</v>
      </c>
      <c r="E1011" s="5">
        <v>67.760000000000005</v>
      </c>
      <c r="F1011" s="5">
        <v>70.8</v>
      </c>
      <c r="G1011" s="5">
        <v>73.66</v>
      </c>
      <c r="H1011" s="5">
        <v>76.31</v>
      </c>
      <c r="I1011" s="6">
        <v>4.9244960000000004</v>
      </c>
    </row>
    <row r="1012" spans="1:9" ht="60" x14ac:dyDescent="0.25">
      <c r="A1012" s="1" t="s">
        <v>79</v>
      </c>
      <c r="B1012" s="7" t="s">
        <v>58</v>
      </c>
      <c r="C1012" s="7" t="s">
        <v>58</v>
      </c>
      <c r="D1012" s="7" t="s">
        <v>58</v>
      </c>
      <c r="E1012" s="7" t="s">
        <v>58</v>
      </c>
      <c r="F1012" s="7" t="s">
        <v>58</v>
      </c>
      <c r="G1012" s="7" t="s">
        <v>58</v>
      </c>
      <c r="H1012" s="7" t="s">
        <v>58</v>
      </c>
      <c r="I1012" s="7" t="s">
        <v>58</v>
      </c>
    </row>
    <row r="1013" spans="1:9" ht="45" x14ac:dyDescent="0.25">
      <c r="A1013" s="1" t="s">
        <v>80</v>
      </c>
      <c r="B1013" s="7" t="s">
        <v>58</v>
      </c>
      <c r="C1013" s="7" t="s">
        <v>58</v>
      </c>
      <c r="D1013" s="7" t="s">
        <v>58</v>
      </c>
      <c r="E1013" s="7" t="s">
        <v>58</v>
      </c>
      <c r="F1013" s="7" t="s">
        <v>58</v>
      </c>
      <c r="G1013" s="7" t="s">
        <v>58</v>
      </c>
      <c r="H1013" s="7" t="s">
        <v>58</v>
      </c>
      <c r="I1013" s="7" t="s">
        <v>58</v>
      </c>
    </row>
    <row r="1014" spans="1:9" ht="45" x14ac:dyDescent="0.25">
      <c r="A1014" s="1" t="s">
        <v>81</v>
      </c>
      <c r="B1014" s="5">
        <v>58.08</v>
      </c>
      <c r="C1014" s="5">
        <v>61.05</v>
      </c>
      <c r="D1014" s="5">
        <v>63.75</v>
      </c>
      <c r="E1014" s="5">
        <v>65.89</v>
      </c>
      <c r="F1014" s="5">
        <v>66.989999999999995</v>
      </c>
      <c r="G1014" s="5">
        <v>67.790000000000006</v>
      </c>
      <c r="H1014" s="5">
        <v>68.569999999999993</v>
      </c>
      <c r="I1014" s="6">
        <v>2.8058730000000001</v>
      </c>
    </row>
    <row r="1015" spans="1:9" x14ac:dyDescent="0.25">
      <c r="A1015" s="1" t="s">
        <v>82</v>
      </c>
      <c r="B1015" s="5">
        <v>37.25</v>
      </c>
      <c r="C1015" s="5">
        <v>44.44</v>
      </c>
      <c r="D1015" s="5">
        <v>49.17</v>
      </c>
      <c r="E1015" s="5">
        <v>53.46</v>
      </c>
      <c r="F1015" s="5">
        <v>57.11</v>
      </c>
      <c r="G1015" s="5">
        <v>61.03</v>
      </c>
      <c r="H1015" s="5">
        <v>64.27</v>
      </c>
      <c r="I1015" s="6">
        <v>9.5166970000000006</v>
      </c>
    </row>
    <row r="1016" spans="1:9" x14ac:dyDescent="0.25">
      <c r="A1016" s="1" t="s">
        <v>83</v>
      </c>
      <c r="B1016" s="5">
        <v>14.69</v>
      </c>
      <c r="C1016" s="5">
        <v>16.47</v>
      </c>
      <c r="D1016" s="5">
        <v>18.579999999999998</v>
      </c>
      <c r="E1016" s="5">
        <v>20.9</v>
      </c>
      <c r="F1016" s="5">
        <v>22.85</v>
      </c>
      <c r="G1016" s="5">
        <v>24.93</v>
      </c>
      <c r="H1016" s="5">
        <v>27.12</v>
      </c>
      <c r="I1016" s="6">
        <v>10.758734</v>
      </c>
    </row>
    <row r="1017" spans="1:9" x14ac:dyDescent="0.25">
      <c r="A1017" s="1" t="s">
        <v>84</v>
      </c>
      <c r="B1017" s="5">
        <v>10.45</v>
      </c>
      <c r="C1017" s="5">
        <v>11.97</v>
      </c>
      <c r="D1017" s="5">
        <v>13.31</v>
      </c>
      <c r="E1017" s="5">
        <v>14.46</v>
      </c>
      <c r="F1017" s="5">
        <v>15.43</v>
      </c>
      <c r="G1017" s="5">
        <v>16.22</v>
      </c>
      <c r="H1017" s="5">
        <v>16.850000000000001</v>
      </c>
      <c r="I1017" s="6">
        <v>8.2880669999999999</v>
      </c>
    </row>
    <row r="1018" spans="1:9" x14ac:dyDescent="0.25">
      <c r="A1018" s="1" t="s">
        <v>85</v>
      </c>
      <c r="B1018" s="5">
        <v>36.1</v>
      </c>
      <c r="C1018" s="5">
        <v>36.700000000000003</v>
      </c>
      <c r="D1018" s="5">
        <v>37.4</v>
      </c>
      <c r="E1018" s="5">
        <v>37.9</v>
      </c>
      <c r="F1018" s="5">
        <v>38.4</v>
      </c>
      <c r="G1018" s="5">
        <v>39.200000000000003</v>
      </c>
      <c r="H1018" s="5">
        <v>38.4</v>
      </c>
      <c r="I1018" s="6">
        <v>1.034727</v>
      </c>
    </row>
    <row r="1019" spans="1:9" x14ac:dyDescent="0.25">
      <c r="A1019" s="1" t="s">
        <v>86</v>
      </c>
      <c r="B1019" s="5">
        <v>64.290000000000006</v>
      </c>
      <c r="C1019" s="5">
        <v>68.3</v>
      </c>
      <c r="D1019" s="5">
        <v>71.349999999999994</v>
      </c>
      <c r="E1019" s="5">
        <v>73.91</v>
      </c>
      <c r="F1019" s="5">
        <v>76.11</v>
      </c>
      <c r="G1019" s="5">
        <v>78.010000000000005</v>
      </c>
      <c r="H1019" s="5">
        <v>79.650000000000006</v>
      </c>
      <c r="I1019" s="6">
        <v>3.6351450000000001</v>
      </c>
    </row>
    <row r="1020" spans="1:9" x14ac:dyDescent="0.25">
      <c r="A1020" s="1" t="s">
        <v>87</v>
      </c>
      <c r="B1020" s="5">
        <v>76.84</v>
      </c>
      <c r="C1020" s="5">
        <v>83.26</v>
      </c>
      <c r="D1020" s="5">
        <v>86.84</v>
      </c>
      <c r="E1020" s="5">
        <v>88.54</v>
      </c>
      <c r="F1020" s="5">
        <v>89.89</v>
      </c>
      <c r="G1020" s="5">
        <v>90.95</v>
      </c>
      <c r="H1020" s="5">
        <v>91.8</v>
      </c>
      <c r="I1020" s="6">
        <v>3.0091700000000001</v>
      </c>
    </row>
    <row r="1021" spans="1:9" x14ac:dyDescent="0.25">
      <c r="A1021" s="1" t="s">
        <v>88</v>
      </c>
      <c r="B1021" s="5">
        <v>55.63</v>
      </c>
      <c r="C1021" s="5">
        <v>62.16</v>
      </c>
      <c r="D1021" s="5">
        <v>67.569999999999993</v>
      </c>
      <c r="E1021" s="5">
        <v>72.08</v>
      </c>
      <c r="F1021" s="5">
        <v>75.849999999999994</v>
      </c>
      <c r="G1021" s="5">
        <v>79.03</v>
      </c>
      <c r="H1021" s="5">
        <v>81.709999999999994</v>
      </c>
      <c r="I1021" s="6">
        <v>6.6173029999999997</v>
      </c>
    </row>
    <row r="1022" spans="1:9" x14ac:dyDescent="0.25">
      <c r="A1022" s="1" t="s">
        <v>89</v>
      </c>
      <c r="B1022" s="5">
        <v>65.959999999999994</v>
      </c>
      <c r="C1022" s="5">
        <v>66.540000000000006</v>
      </c>
      <c r="D1022" s="5">
        <v>67.069999999999993</v>
      </c>
      <c r="E1022" s="5">
        <v>67.67</v>
      </c>
      <c r="F1022" s="5">
        <v>68.25</v>
      </c>
      <c r="G1022" s="5">
        <v>68.819999999999993</v>
      </c>
      <c r="H1022" s="5">
        <v>69.349999999999994</v>
      </c>
      <c r="I1022" s="6">
        <v>0.83879199999999998</v>
      </c>
    </row>
    <row r="1023" spans="1:9" x14ac:dyDescent="0.25">
      <c r="A1023" s="1" t="s">
        <v>90</v>
      </c>
      <c r="B1023" s="5">
        <v>19.11</v>
      </c>
      <c r="C1023" s="5">
        <v>20.5</v>
      </c>
      <c r="D1023" s="5">
        <v>21.63</v>
      </c>
      <c r="E1023" s="5">
        <v>22.53</v>
      </c>
      <c r="F1023" s="5">
        <v>23.24</v>
      </c>
      <c r="G1023" s="5">
        <v>23.78</v>
      </c>
      <c r="H1023" s="5">
        <v>24.19</v>
      </c>
      <c r="I1023" s="6">
        <v>4.0069910000000002</v>
      </c>
    </row>
    <row r="1024" spans="1:9" x14ac:dyDescent="0.25">
      <c r="A1024" s="1" t="s">
        <v>91</v>
      </c>
      <c r="B1024" s="5">
        <v>93.96</v>
      </c>
      <c r="C1024" s="5">
        <v>93.96</v>
      </c>
      <c r="D1024" s="5">
        <v>94.1</v>
      </c>
      <c r="E1024" s="5">
        <v>94.2</v>
      </c>
      <c r="F1024" s="5">
        <v>94.31</v>
      </c>
      <c r="G1024" s="5">
        <v>94.39</v>
      </c>
      <c r="H1024" s="5">
        <v>94.45</v>
      </c>
      <c r="I1024" s="6">
        <v>8.6728E-2</v>
      </c>
    </row>
    <row r="1025" spans="1:9" x14ac:dyDescent="0.25">
      <c r="A1025" s="1" t="s">
        <v>92</v>
      </c>
      <c r="B1025" s="5">
        <v>85</v>
      </c>
      <c r="C1025" s="5">
        <v>88</v>
      </c>
      <c r="D1025" s="5">
        <v>89.41</v>
      </c>
      <c r="E1025" s="5">
        <v>90.46</v>
      </c>
      <c r="F1025" s="5">
        <v>91.33</v>
      </c>
      <c r="G1025" s="5">
        <v>92.02</v>
      </c>
      <c r="H1025" s="5">
        <v>92.63</v>
      </c>
      <c r="I1025" s="6">
        <v>1.443009</v>
      </c>
    </row>
    <row r="1026" spans="1:9" x14ac:dyDescent="0.25">
      <c r="A1026" s="1" t="s">
        <v>93</v>
      </c>
      <c r="B1026" s="5">
        <v>72.760000000000005</v>
      </c>
      <c r="C1026" s="5">
        <v>74.86</v>
      </c>
      <c r="D1026" s="5">
        <v>76.25</v>
      </c>
      <c r="E1026" s="5">
        <v>77.23</v>
      </c>
      <c r="F1026" s="5">
        <v>77.930000000000007</v>
      </c>
      <c r="G1026" s="5">
        <v>78.45</v>
      </c>
      <c r="H1026" s="5">
        <v>78.83</v>
      </c>
      <c r="I1026" s="6">
        <v>1.3444119999999999</v>
      </c>
    </row>
    <row r="1027" spans="1:9" x14ac:dyDescent="0.25">
      <c r="A1027" s="1" t="s">
        <v>94</v>
      </c>
      <c r="B1027" s="5">
        <v>89.08</v>
      </c>
      <c r="C1027" s="5">
        <v>91.12</v>
      </c>
      <c r="D1027" s="5">
        <v>92.73</v>
      </c>
      <c r="E1027" s="5">
        <v>93.9</v>
      </c>
      <c r="F1027" s="5">
        <v>94.57</v>
      </c>
      <c r="G1027" s="5">
        <v>95.16</v>
      </c>
      <c r="H1027" s="5">
        <v>95.64</v>
      </c>
      <c r="I1027" s="6">
        <v>1.1913119999999999</v>
      </c>
    </row>
    <row r="1028" spans="1:9" x14ac:dyDescent="0.25">
      <c r="A1028" s="1" t="s">
        <v>95</v>
      </c>
      <c r="B1028" s="5">
        <v>33.5</v>
      </c>
      <c r="C1028" s="5">
        <v>35.200000000000003</v>
      </c>
      <c r="D1028" s="5">
        <v>38.81</v>
      </c>
      <c r="E1028" s="5">
        <v>40.92</v>
      </c>
      <c r="F1028" s="5">
        <v>42.87</v>
      </c>
      <c r="G1028" s="5">
        <v>44.67</v>
      </c>
      <c r="H1028" s="5">
        <v>46.4</v>
      </c>
      <c r="I1028" s="6">
        <v>5.5793200000000001</v>
      </c>
    </row>
    <row r="1029" spans="1:9" x14ac:dyDescent="0.25">
      <c r="A1029" s="1" t="s">
        <v>96</v>
      </c>
      <c r="B1029" s="5">
        <v>100</v>
      </c>
      <c r="C1029" s="5">
        <v>100</v>
      </c>
      <c r="D1029" s="5">
        <v>100</v>
      </c>
      <c r="E1029" s="5">
        <v>100</v>
      </c>
      <c r="F1029" s="5">
        <v>100</v>
      </c>
      <c r="G1029" s="5">
        <v>100</v>
      </c>
      <c r="H1029" s="5">
        <v>100</v>
      </c>
      <c r="I1029" s="6">
        <v>0</v>
      </c>
    </row>
    <row r="1030" spans="1:9" x14ac:dyDescent="0.25">
      <c r="A1030" s="1" t="s">
        <v>97</v>
      </c>
      <c r="B1030" s="5">
        <v>57.5</v>
      </c>
      <c r="C1030" s="5">
        <v>62.46</v>
      </c>
      <c r="D1030" s="5">
        <v>66.83</v>
      </c>
      <c r="E1030" s="5">
        <v>70.540000000000006</v>
      </c>
      <c r="F1030" s="5">
        <v>73.73</v>
      </c>
      <c r="G1030" s="5">
        <v>76.48</v>
      </c>
      <c r="H1030" s="5">
        <v>78.849999999999994</v>
      </c>
      <c r="I1030" s="6">
        <v>5.4036479999999996</v>
      </c>
    </row>
    <row r="1031" spans="1:9" x14ac:dyDescent="0.25">
      <c r="A1031" s="1" t="s">
        <v>98</v>
      </c>
      <c r="B1031" s="5">
        <v>56.96</v>
      </c>
      <c r="C1031" s="5">
        <v>60.58</v>
      </c>
      <c r="D1031" s="5">
        <v>63.73</v>
      </c>
      <c r="E1031" s="5">
        <v>66.47</v>
      </c>
      <c r="F1031" s="5">
        <v>68.84</v>
      </c>
      <c r="G1031" s="5">
        <v>70.86</v>
      </c>
      <c r="H1031" s="5">
        <v>72.599999999999994</v>
      </c>
      <c r="I1031" s="6">
        <v>4.1264609999999999</v>
      </c>
    </row>
    <row r="1032" spans="1:9" x14ac:dyDescent="0.25">
      <c r="A1032" s="1" t="s">
        <v>99</v>
      </c>
      <c r="B1032" s="5">
        <v>81.150000000000006</v>
      </c>
      <c r="C1032" s="5">
        <v>83.79</v>
      </c>
      <c r="D1032" s="5">
        <v>85.8</v>
      </c>
      <c r="E1032" s="5">
        <v>87.92</v>
      </c>
      <c r="F1032" s="5">
        <v>89.24</v>
      </c>
      <c r="G1032" s="5">
        <v>90.08</v>
      </c>
      <c r="H1032" s="5">
        <v>90.69</v>
      </c>
      <c r="I1032" s="6">
        <v>1.8697280000000001</v>
      </c>
    </row>
    <row r="1033" spans="1:9" x14ac:dyDescent="0.25">
      <c r="A1033" s="1" t="s">
        <v>100</v>
      </c>
      <c r="B1033" s="5">
        <v>90.53</v>
      </c>
      <c r="C1033" s="5">
        <v>91.4</v>
      </c>
      <c r="D1033" s="5">
        <v>92.37</v>
      </c>
      <c r="E1033" s="5">
        <v>93.13</v>
      </c>
      <c r="F1033" s="5">
        <v>93.75</v>
      </c>
      <c r="G1033" s="5">
        <v>94.32</v>
      </c>
      <c r="H1033" s="5">
        <v>94.84</v>
      </c>
      <c r="I1033" s="6">
        <v>0.77817800000000004</v>
      </c>
    </row>
    <row r="1034" spans="1:9" x14ac:dyDescent="0.25">
      <c r="A1034" s="1" t="s">
        <v>101</v>
      </c>
      <c r="B1034" s="5">
        <v>90.44</v>
      </c>
      <c r="C1034" s="5">
        <v>91.57</v>
      </c>
      <c r="D1034" s="5">
        <v>92.47</v>
      </c>
      <c r="E1034" s="5">
        <v>92.72</v>
      </c>
      <c r="F1034" s="5">
        <v>92.93</v>
      </c>
      <c r="G1034" s="5">
        <v>93.11</v>
      </c>
      <c r="H1034" s="5">
        <v>93.27</v>
      </c>
      <c r="I1034" s="6">
        <v>0.51485199999999998</v>
      </c>
    </row>
    <row r="1035" spans="1:9" x14ac:dyDescent="0.25">
      <c r="A1035" s="1" t="s">
        <v>102</v>
      </c>
      <c r="B1035" s="5">
        <v>84.06</v>
      </c>
      <c r="C1035" s="5">
        <v>84.94</v>
      </c>
      <c r="D1035" s="5">
        <v>85.65</v>
      </c>
      <c r="E1035" s="5">
        <v>86.19</v>
      </c>
      <c r="F1035" s="5">
        <v>86.69</v>
      </c>
      <c r="G1035" s="5">
        <v>87.09</v>
      </c>
      <c r="H1035" s="5">
        <v>87.37</v>
      </c>
      <c r="I1035" s="6">
        <v>0.64576199999999995</v>
      </c>
    </row>
    <row r="1036" spans="1:9" x14ac:dyDescent="0.25">
      <c r="A1036" s="1" t="s">
        <v>103</v>
      </c>
      <c r="B1036" s="5">
        <v>33.47</v>
      </c>
      <c r="C1036" s="5">
        <v>36.21</v>
      </c>
      <c r="D1036" s="5">
        <v>38.47</v>
      </c>
      <c r="E1036" s="5">
        <v>40.22</v>
      </c>
      <c r="F1036" s="5">
        <v>42.31</v>
      </c>
      <c r="G1036" s="5">
        <v>44.65</v>
      </c>
      <c r="H1036" s="5">
        <v>46.48</v>
      </c>
      <c r="I1036" s="6">
        <v>5.6254080000000002</v>
      </c>
    </row>
    <row r="1037" spans="1:9" x14ac:dyDescent="0.25">
      <c r="A1037" s="1" t="s">
        <v>104</v>
      </c>
      <c r="B1037" s="5">
        <v>2.6</v>
      </c>
      <c r="C1037" s="5">
        <v>2.74</v>
      </c>
      <c r="D1037" s="5">
        <v>2.88</v>
      </c>
      <c r="E1037" s="5">
        <v>3.04</v>
      </c>
      <c r="F1037" s="5">
        <v>3.17</v>
      </c>
      <c r="G1037" s="5">
        <v>3.27</v>
      </c>
      <c r="H1037" s="5">
        <v>3.36</v>
      </c>
      <c r="I1037" s="6">
        <v>4.3664680000000002</v>
      </c>
    </row>
    <row r="1038" spans="1:9" x14ac:dyDescent="0.25">
      <c r="A1038" s="1" t="s">
        <v>105</v>
      </c>
      <c r="B1038" s="5">
        <v>63.19</v>
      </c>
      <c r="C1038" s="5">
        <v>62.96</v>
      </c>
      <c r="D1038" s="5">
        <v>62.91</v>
      </c>
      <c r="E1038" s="5">
        <v>62.63</v>
      </c>
      <c r="F1038" s="5">
        <v>62.59</v>
      </c>
      <c r="G1038" s="5">
        <v>62.75</v>
      </c>
      <c r="H1038" s="5">
        <v>62.69</v>
      </c>
      <c r="I1038" s="6">
        <v>-0.13231399999999999</v>
      </c>
    </row>
    <row r="1039" spans="1:9" x14ac:dyDescent="0.25">
      <c r="A1039" s="1" t="s">
        <v>106</v>
      </c>
      <c r="B1039" s="5">
        <v>98.22</v>
      </c>
      <c r="C1039" s="5">
        <v>98.34</v>
      </c>
      <c r="D1039" s="5">
        <v>98.47</v>
      </c>
      <c r="E1039" s="5">
        <v>98.61</v>
      </c>
      <c r="F1039" s="5">
        <v>98.74</v>
      </c>
      <c r="G1039" s="5">
        <v>99.09</v>
      </c>
      <c r="H1039" s="5">
        <v>99.27</v>
      </c>
      <c r="I1039" s="6">
        <v>0.17738300000000001</v>
      </c>
    </row>
    <row r="1040" spans="1:9" ht="30" x14ac:dyDescent="0.25">
      <c r="A1040" s="1" t="s">
        <v>107</v>
      </c>
      <c r="B1040" s="5">
        <v>49.23</v>
      </c>
      <c r="C1040" s="5">
        <v>49.24</v>
      </c>
      <c r="D1040" s="5">
        <v>49.28</v>
      </c>
      <c r="E1040" s="5">
        <v>49.33</v>
      </c>
      <c r="F1040" s="5">
        <v>49.39</v>
      </c>
      <c r="G1040" s="5">
        <v>49.46</v>
      </c>
      <c r="H1040" s="5">
        <v>49.54</v>
      </c>
      <c r="I1040" s="6">
        <v>0.104675</v>
      </c>
    </row>
    <row r="1041" spans="1:9" x14ac:dyDescent="0.25">
      <c r="A1041" s="1" t="s">
        <v>108</v>
      </c>
      <c r="B1041" s="5">
        <v>33.33</v>
      </c>
      <c r="C1041" s="5">
        <v>35.69</v>
      </c>
      <c r="D1041" s="5">
        <v>37.89</v>
      </c>
      <c r="E1041" s="5">
        <v>39.979999999999997</v>
      </c>
      <c r="F1041" s="5">
        <v>41.99</v>
      </c>
      <c r="G1041" s="5">
        <v>43.98</v>
      </c>
      <c r="H1041" s="5">
        <v>45.94</v>
      </c>
      <c r="I1041" s="6">
        <v>5.4935590000000003</v>
      </c>
    </row>
    <row r="1042" spans="1:9" ht="30" x14ac:dyDescent="0.25">
      <c r="A1042" s="1" t="s">
        <v>109</v>
      </c>
      <c r="B1042" s="5">
        <v>98.5</v>
      </c>
      <c r="C1042" s="5">
        <v>98.65</v>
      </c>
      <c r="D1042" s="5">
        <v>98.78</v>
      </c>
      <c r="E1042" s="5">
        <v>98.87</v>
      </c>
      <c r="F1042" s="5">
        <v>98.96</v>
      </c>
      <c r="G1042" s="5">
        <v>99.03</v>
      </c>
      <c r="H1042" s="5">
        <v>99.1</v>
      </c>
      <c r="I1042" s="6">
        <v>0.10126599999999999</v>
      </c>
    </row>
    <row r="1043" spans="1:9" x14ac:dyDescent="0.25">
      <c r="A1043" s="1" t="s">
        <v>110</v>
      </c>
      <c r="B1043" s="5">
        <v>19.309999999999999</v>
      </c>
      <c r="C1043" s="5">
        <v>23.49</v>
      </c>
      <c r="D1043" s="5">
        <v>27.88</v>
      </c>
      <c r="E1043" s="5">
        <v>32.19</v>
      </c>
      <c r="F1043" s="5">
        <v>36.880000000000003</v>
      </c>
      <c r="G1043" s="5">
        <v>41.66</v>
      </c>
      <c r="H1043" s="5">
        <v>46.97</v>
      </c>
      <c r="I1043" s="6">
        <v>15.968413</v>
      </c>
    </row>
    <row r="1044" spans="1:9" x14ac:dyDescent="0.25">
      <c r="A1044" s="1" t="s">
        <v>111</v>
      </c>
      <c r="B1044" s="5">
        <v>87.69</v>
      </c>
      <c r="C1044" s="5">
        <v>89.54</v>
      </c>
      <c r="D1044" s="5">
        <v>89.34</v>
      </c>
      <c r="E1044" s="5">
        <v>88.81</v>
      </c>
      <c r="F1044" s="5">
        <v>88.22</v>
      </c>
      <c r="G1044" s="5">
        <v>87.59</v>
      </c>
      <c r="H1044" s="5">
        <v>86.98</v>
      </c>
      <c r="I1044" s="6">
        <v>-0.135403</v>
      </c>
    </row>
    <row r="1045" spans="1:9" x14ac:dyDescent="0.25">
      <c r="A1045" s="1" t="s">
        <v>112</v>
      </c>
      <c r="B1045" s="7" t="s">
        <v>58</v>
      </c>
      <c r="C1045" s="7" t="s">
        <v>58</v>
      </c>
      <c r="D1045" s="7" t="s">
        <v>58</v>
      </c>
      <c r="E1045" s="7" t="s">
        <v>58</v>
      </c>
      <c r="F1045" s="7" t="s">
        <v>58</v>
      </c>
      <c r="G1045" s="7" t="s">
        <v>58</v>
      </c>
      <c r="H1045" s="7" t="s">
        <v>58</v>
      </c>
      <c r="I1045" s="7" t="s">
        <v>58</v>
      </c>
    </row>
    <row r="1046" spans="1:9" x14ac:dyDescent="0.25">
      <c r="A1046" s="1" t="s">
        <v>113</v>
      </c>
      <c r="B1046" s="5">
        <v>2.19</v>
      </c>
      <c r="C1046" s="5">
        <v>2.41</v>
      </c>
      <c r="D1046" s="5">
        <v>2.63</v>
      </c>
      <c r="E1046" s="5">
        <v>2.86</v>
      </c>
      <c r="F1046" s="5">
        <v>3.08</v>
      </c>
      <c r="G1046" s="5">
        <v>3.32</v>
      </c>
      <c r="H1046" s="5">
        <v>3.57</v>
      </c>
      <c r="I1046" s="6">
        <v>8.4852469999999993</v>
      </c>
    </row>
    <row r="1047" spans="1:9" x14ac:dyDescent="0.25">
      <c r="A1047" s="1" t="s">
        <v>114</v>
      </c>
      <c r="B1047" s="5">
        <v>96.83</v>
      </c>
      <c r="C1047" s="5">
        <v>97.02</v>
      </c>
      <c r="D1047" s="5">
        <v>97.19</v>
      </c>
      <c r="E1047" s="5">
        <v>97.34</v>
      </c>
      <c r="F1047" s="5">
        <v>97.46</v>
      </c>
      <c r="G1047" s="5">
        <v>97.57</v>
      </c>
      <c r="H1047" s="5">
        <v>97.67</v>
      </c>
      <c r="I1047" s="6">
        <v>0.144063</v>
      </c>
    </row>
    <row r="1048" spans="1:9" ht="30" x14ac:dyDescent="0.25">
      <c r="A1048" s="1" t="s">
        <v>115</v>
      </c>
      <c r="B1048" s="5">
        <v>41.91</v>
      </c>
      <c r="C1048" s="5">
        <v>45.78</v>
      </c>
      <c r="D1048" s="5">
        <v>49.27</v>
      </c>
      <c r="E1048" s="5">
        <v>52.35</v>
      </c>
      <c r="F1048" s="5">
        <v>54.75</v>
      </c>
      <c r="G1048" s="5">
        <v>57.03</v>
      </c>
      <c r="H1048" s="5">
        <v>59.26</v>
      </c>
      <c r="I1048" s="6">
        <v>5.943422</v>
      </c>
    </row>
    <row r="1049" spans="1:9" x14ac:dyDescent="0.25">
      <c r="A1049" s="1" t="s">
        <v>116</v>
      </c>
      <c r="B1049" s="5">
        <v>0</v>
      </c>
      <c r="C1049" s="5">
        <v>0</v>
      </c>
      <c r="D1049" s="5">
        <v>0</v>
      </c>
      <c r="E1049" s="5">
        <v>0</v>
      </c>
      <c r="F1049" s="5">
        <v>0</v>
      </c>
      <c r="G1049" s="5">
        <v>0</v>
      </c>
      <c r="H1049" s="5">
        <v>0</v>
      </c>
      <c r="I1049" s="7" t="s">
        <v>58</v>
      </c>
    </row>
    <row r="1050" spans="1:9" x14ac:dyDescent="0.25">
      <c r="A1050" s="1" t="s">
        <v>12</v>
      </c>
      <c r="B1050" s="2"/>
      <c r="C1050" s="2"/>
      <c r="D1050" s="2"/>
      <c r="E1050" s="2"/>
      <c r="F1050" s="2"/>
      <c r="G1050" s="2"/>
      <c r="H1050" s="2"/>
      <c r="I1050" s="2"/>
    </row>
    <row r="1051" spans="1:9" ht="60" x14ac:dyDescent="0.25">
      <c r="A1051" s="1" t="s">
        <v>126</v>
      </c>
      <c r="B1051" s="2"/>
      <c r="C1051" s="2"/>
      <c r="D1051" s="2"/>
      <c r="E1051" s="2"/>
      <c r="F1051" s="2"/>
      <c r="G1051" s="2"/>
      <c r="H1051" s="2"/>
      <c r="I1051" s="2"/>
    </row>
    <row r="1052" spans="1:9" x14ac:dyDescent="0.25">
      <c r="A1052" s="1" t="s">
        <v>14</v>
      </c>
      <c r="B1052" s="5">
        <v>0.78</v>
      </c>
      <c r="C1052" s="5">
        <v>1.88</v>
      </c>
      <c r="D1052" s="5">
        <v>1.84</v>
      </c>
      <c r="E1052" s="5">
        <v>1.84</v>
      </c>
      <c r="F1052" s="5">
        <v>1.83</v>
      </c>
      <c r="G1052" s="5">
        <v>1.82</v>
      </c>
      <c r="H1052" s="5">
        <v>1.79</v>
      </c>
      <c r="I1052" s="6">
        <v>14.848784999999999</v>
      </c>
    </row>
    <row r="1053" spans="1:9" ht="30" x14ac:dyDescent="0.25">
      <c r="A1053" s="1" t="s">
        <v>15</v>
      </c>
      <c r="B1053" s="5">
        <v>0.04</v>
      </c>
      <c r="C1053" s="5">
        <v>0.04</v>
      </c>
      <c r="D1053" s="5">
        <v>0.04</v>
      </c>
      <c r="E1053" s="5">
        <v>0.04</v>
      </c>
      <c r="F1053" s="5">
        <v>0.04</v>
      </c>
      <c r="G1053" s="5">
        <v>0.04</v>
      </c>
      <c r="H1053" s="5">
        <v>0.04</v>
      </c>
      <c r="I1053" s="6">
        <v>0</v>
      </c>
    </row>
    <row r="1054" spans="1:9" x14ac:dyDescent="0.25">
      <c r="A1054" s="1" t="s">
        <v>16</v>
      </c>
      <c r="B1054" s="5">
        <v>1.86</v>
      </c>
      <c r="C1054" s="5">
        <v>1.9</v>
      </c>
      <c r="D1054" s="5">
        <v>1.95</v>
      </c>
      <c r="E1054" s="5">
        <v>1.97</v>
      </c>
      <c r="F1054" s="5">
        <v>1.99</v>
      </c>
      <c r="G1054" s="5">
        <v>1.99</v>
      </c>
      <c r="H1054" s="5">
        <v>2</v>
      </c>
      <c r="I1054" s="6">
        <v>1.2168559999999999</v>
      </c>
    </row>
    <row r="1055" spans="1:9" x14ac:dyDescent="0.25">
      <c r="A1055" s="1" t="s">
        <v>17</v>
      </c>
      <c r="B1055" s="5">
        <v>0.03</v>
      </c>
      <c r="C1055" s="5">
        <v>0.03</v>
      </c>
      <c r="D1055" s="5">
        <v>0.03</v>
      </c>
      <c r="E1055" s="5">
        <v>0.03</v>
      </c>
      <c r="F1055" s="5">
        <v>0.03</v>
      </c>
      <c r="G1055" s="5">
        <v>0.03</v>
      </c>
      <c r="H1055" s="5">
        <v>0.03</v>
      </c>
      <c r="I1055" s="6">
        <v>0</v>
      </c>
    </row>
    <row r="1056" spans="1:9" x14ac:dyDescent="0.25">
      <c r="A1056" s="1" t="s">
        <v>18</v>
      </c>
      <c r="B1056" s="5">
        <v>0</v>
      </c>
      <c r="C1056" s="5">
        <v>0</v>
      </c>
      <c r="D1056" s="5">
        <v>0</v>
      </c>
      <c r="E1056" s="5">
        <v>0</v>
      </c>
      <c r="F1056" s="5">
        <v>0</v>
      </c>
      <c r="G1056" s="5">
        <v>0</v>
      </c>
      <c r="H1056" s="5">
        <v>0</v>
      </c>
      <c r="I1056" s="7" t="s">
        <v>58</v>
      </c>
    </row>
    <row r="1057" spans="1:9" x14ac:dyDescent="0.25">
      <c r="A1057" s="1" t="s">
        <v>19</v>
      </c>
      <c r="B1057" s="5">
        <v>0</v>
      </c>
      <c r="C1057" s="5">
        <v>0</v>
      </c>
      <c r="D1057" s="5">
        <v>0</v>
      </c>
      <c r="E1057" s="5">
        <v>0</v>
      </c>
      <c r="F1057" s="5">
        <v>0</v>
      </c>
      <c r="G1057" s="5">
        <v>0</v>
      </c>
      <c r="H1057" s="5">
        <v>0</v>
      </c>
      <c r="I1057" s="7" t="s">
        <v>58</v>
      </c>
    </row>
    <row r="1058" spans="1:9" x14ac:dyDescent="0.25">
      <c r="A1058" s="1" t="s">
        <v>20</v>
      </c>
      <c r="B1058" s="5">
        <v>0</v>
      </c>
      <c r="C1058" s="5">
        <v>0</v>
      </c>
      <c r="D1058" s="5">
        <v>0</v>
      </c>
      <c r="E1058" s="5">
        <v>0</v>
      </c>
      <c r="F1058" s="5">
        <v>0</v>
      </c>
      <c r="G1058" s="5">
        <v>0</v>
      </c>
      <c r="H1058" s="5">
        <v>0</v>
      </c>
      <c r="I1058" s="7" t="s">
        <v>58</v>
      </c>
    </row>
    <row r="1059" spans="1:9" x14ac:dyDescent="0.25">
      <c r="A1059" s="1" t="s">
        <v>21</v>
      </c>
      <c r="B1059" s="7" t="s">
        <v>58</v>
      </c>
      <c r="C1059" s="7" t="s">
        <v>58</v>
      </c>
      <c r="D1059" s="7" t="s">
        <v>58</v>
      </c>
      <c r="E1059" s="7" t="s">
        <v>58</v>
      </c>
      <c r="F1059" s="7" t="s">
        <v>58</v>
      </c>
      <c r="G1059" s="7" t="s">
        <v>58</v>
      </c>
      <c r="H1059" s="7" t="s">
        <v>58</v>
      </c>
      <c r="I1059" s="7" t="s">
        <v>58</v>
      </c>
    </row>
    <row r="1060" spans="1:9" x14ac:dyDescent="0.25">
      <c r="A1060" s="1" t="s">
        <v>22</v>
      </c>
      <c r="B1060" s="5">
        <v>0.24</v>
      </c>
      <c r="C1060" s="5">
        <v>0.22</v>
      </c>
      <c r="D1060" s="5">
        <v>0.21</v>
      </c>
      <c r="E1060" s="5">
        <v>0.2</v>
      </c>
      <c r="F1060" s="5">
        <v>0.19</v>
      </c>
      <c r="G1060" s="5">
        <v>0.18</v>
      </c>
      <c r="H1060" s="5">
        <v>0.17</v>
      </c>
      <c r="I1060" s="6">
        <v>-5.5853010000000003</v>
      </c>
    </row>
    <row r="1061" spans="1:9" x14ac:dyDescent="0.25">
      <c r="A1061" s="1" t="s">
        <v>23</v>
      </c>
      <c r="B1061" s="5">
        <v>0.49</v>
      </c>
      <c r="C1061" s="5">
        <v>0.46</v>
      </c>
      <c r="D1061" s="5">
        <v>0.46</v>
      </c>
      <c r="E1061" s="5">
        <v>0.46</v>
      </c>
      <c r="F1061" s="5">
        <v>0.45</v>
      </c>
      <c r="G1061" s="5">
        <v>0.45</v>
      </c>
      <c r="H1061" s="5">
        <v>0.45</v>
      </c>
      <c r="I1061" s="6">
        <v>-1.4092720000000001</v>
      </c>
    </row>
    <row r="1062" spans="1:9" x14ac:dyDescent="0.25">
      <c r="A1062" s="1" t="s">
        <v>24</v>
      </c>
      <c r="B1062" s="5">
        <v>0.03</v>
      </c>
      <c r="C1062" s="5">
        <v>0.03</v>
      </c>
      <c r="D1062" s="5">
        <v>0.03</v>
      </c>
      <c r="E1062" s="5">
        <v>0.03</v>
      </c>
      <c r="F1062" s="5">
        <v>0.03</v>
      </c>
      <c r="G1062" s="5">
        <v>0.03</v>
      </c>
      <c r="H1062" s="5">
        <v>0.03</v>
      </c>
      <c r="I1062" s="6">
        <v>0</v>
      </c>
    </row>
    <row r="1063" spans="1:9" x14ac:dyDescent="0.25">
      <c r="A1063" s="1" t="s">
        <v>25</v>
      </c>
      <c r="B1063" s="5">
        <v>0</v>
      </c>
      <c r="C1063" s="5">
        <v>0</v>
      </c>
      <c r="D1063" s="5">
        <v>0</v>
      </c>
      <c r="E1063" s="5">
        <v>0</v>
      </c>
      <c r="F1063" s="5">
        <v>0</v>
      </c>
      <c r="G1063" s="5">
        <v>0</v>
      </c>
      <c r="H1063" s="5">
        <v>0</v>
      </c>
      <c r="I1063" s="7" t="s">
        <v>58</v>
      </c>
    </row>
    <row r="1064" spans="1:9" x14ac:dyDescent="0.25">
      <c r="A1064" s="1" t="s">
        <v>26</v>
      </c>
      <c r="B1064" s="5">
        <v>1.37</v>
      </c>
      <c r="C1064" s="5">
        <v>1.36</v>
      </c>
      <c r="D1064" s="5">
        <v>1.35</v>
      </c>
      <c r="E1064" s="5">
        <v>1.34</v>
      </c>
      <c r="F1064" s="5">
        <v>1.33</v>
      </c>
      <c r="G1064" s="5">
        <v>1.32</v>
      </c>
      <c r="H1064" s="5">
        <v>1.31</v>
      </c>
      <c r="I1064" s="6">
        <v>-0.74361500000000003</v>
      </c>
    </row>
    <row r="1065" spans="1:9" x14ac:dyDescent="0.25">
      <c r="A1065" s="1" t="s">
        <v>27</v>
      </c>
      <c r="B1065" s="5">
        <v>0.65</v>
      </c>
      <c r="C1065" s="5">
        <v>0.97</v>
      </c>
      <c r="D1065" s="5">
        <v>0.96</v>
      </c>
      <c r="E1065" s="5">
        <v>0.95</v>
      </c>
      <c r="F1065" s="5">
        <v>0.94</v>
      </c>
      <c r="G1065" s="5">
        <v>0.93</v>
      </c>
      <c r="H1065" s="5">
        <v>0.92</v>
      </c>
      <c r="I1065" s="6">
        <v>5.9609259999999997</v>
      </c>
    </row>
    <row r="1066" spans="1:9" x14ac:dyDescent="0.25">
      <c r="A1066" s="1" t="s">
        <v>28</v>
      </c>
      <c r="B1066" s="5">
        <v>0</v>
      </c>
      <c r="C1066" s="5">
        <v>0</v>
      </c>
      <c r="D1066" s="5">
        <v>0</v>
      </c>
      <c r="E1066" s="5">
        <v>0</v>
      </c>
      <c r="F1066" s="5">
        <v>0</v>
      </c>
      <c r="G1066" s="5">
        <v>0</v>
      </c>
      <c r="H1066" s="5">
        <v>0</v>
      </c>
      <c r="I1066" s="7" t="s">
        <v>58</v>
      </c>
    </row>
    <row r="1067" spans="1:9" x14ac:dyDescent="0.25">
      <c r="A1067" s="1" t="s">
        <v>29</v>
      </c>
      <c r="B1067" s="5">
        <v>0.18</v>
      </c>
      <c r="C1067" s="5">
        <v>0.13</v>
      </c>
      <c r="D1067" s="5">
        <v>0.09</v>
      </c>
      <c r="E1067" s="5">
        <v>7.0000000000000007E-2</v>
      </c>
      <c r="F1067" s="5">
        <v>0.05</v>
      </c>
      <c r="G1067" s="5">
        <v>0.04</v>
      </c>
      <c r="H1067" s="5">
        <v>0.03</v>
      </c>
      <c r="I1067" s="6">
        <v>-25.816362000000002</v>
      </c>
    </row>
    <row r="1068" spans="1:9" x14ac:dyDescent="0.25">
      <c r="A1068" s="1" t="s">
        <v>30</v>
      </c>
      <c r="B1068" s="5">
        <v>0</v>
      </c>
      <c r="C1068" s="5">
        <v>0</v>
      </c>
      <c r="D1068" s="5">
        <v>0</v>
      </c>
      <c r="E1068" s="5">
        <v>0</v>
      </c>
      <c r="F1068" s="5">
        <v>0</v>
      </c>
      <c r="G1068" s="5">
        <v>0</v>
      </c>
      <c r="H1068" s="5">
        <v>0</v>
      </c>
      <c r="I1068" s="7" t="s">
        <v>58</v>
      </c>
    </row>
    <row r="1069" spans="1:9" x14ac:dyDescent="0.25">
      <c r="A1069" s="1" t="s">
        <v>31</v>
      </c>
      <c r="B1069" s="5">
        <v>0.33</v>
      </c>
      <c r="C1069" s="5">
        <v>1.08</v>
      </c>
      <c r="D1069" s="5">
        <v>1.07</v>
      </c>
      <c r="E1069" s="5">
        <v>1.06</v>
      </c>
      <c r="F1069" s="5">
        <v>1.05</v>
      </c>
      <c r="G1069" s="5">
        <v>1.04</v>
      </c>
      <c r="H1069" s="5">
        <v>1.03</v>
      </c>
      <c r="I1069" s="6">
        <v>20.889119000000001</v>
      </c>
    </row>
    <row r="1070" spans="1:9" x14ac:dyDescent="0.25">
      <c r="A1070" s="1" t="s">
        <v>32</v>
      </c>
      <c r="B1070" s="5">
        <v>0.02</v>
      </c>
      <c r="C1070" s="5">
        <v>0.02</v>
      </c>
      <c r="D1070" s="5">
        <v>0.02</v>
      </c>
      <c r="E1070" s="5">
        <v>0.01</v>
      </c>
      <c r="F1070" s="5">
        <v>0.01</v>
      </c>
      <c r="G1070" s="5">
        <v>0.01</v>
      </c>
      <c r="H1070" s="5">
        <v>0.01</v>
      </c>
      <c r="I1070" s="6">
        <v>-10.910128</v>
      </c>
    </row>
    <row r="1071" spans="1:9" x14ac:dyDescent="0.25">
      <c r="A1071" s="1" t="s">
        <v>33</v>
      </c>
      <c r="B1071" s="5">
        <v>0.02</v>
      </c>
      <c r="C1071" s="5">
        <v>0.03</v>
      </c>
      <c r="D1071" s="5">
        <v>0.03</v>
      </c>
      <c r="E1071" s="5">
        <v>0.03</v>
      </c>
      <c r="F1071" s="5">
        <v>0.03</v>
      </c>
      <c r="G1071" s="5">
        <v>0.03</v>
      </c>
      <c r="H1071" s="5">
        <v>0.03</v>
      </c>
      <c r="I1071" s="6">
        <v>6.9913189999999998</v>
      </c>
    </row>
    <row r="1072" spans="1:9" ht="30" x14ac:dyDescent="0.25">
      <c r="A1072" s="1" t="s">
        <v>34</v>
      </c>
      <c r="B1072" s="5">
        <v>2.34</v>
      </c>
      <c r="C1072" s="5">
        <v>2.5</v>
      </c>
      <c r="D1072" s="5">
        <v>2.6</v>
      </c>
      <c r="E1072" s="5">
        <v>2.7</v>
      </c>
      <c r="F1072" s="5">
        <v>2.82</v>
      </c>
      <c r="G1072" s="5">
        <v>2.96</v>
      </c>
      <c r="H1072" s="5">
        <v>3.12</v>
      </c>
      <c r="I1072" s="6">
        <v>4.9115060000000001</v>
      </c>
    </row>
    <row r="1073" spans="1:9" ht="30" x14ac:dyDescent="0.25">
      <c r="A1073" s="1" t="s">
        <v>35</v>
      </c>
      <c r="B1073" s="5">
        <v>0.87</v>
      </c>
      <c r="C1073" s="5">
        <v>0.92</v>
      </c>
      <c r="D1073" s="5">
        <v>0.91</v>
      </c>
      <c r="E1073" s="5">
        <v>0.9</v>
      </c>
      <c r="F1073" s="5">
        <v>0.88</v>
      </c>
      <c r="G1073" s="5">
        <v>0.87</v>
      </c>
      <c r="H1073" s="5">
        <v>0.85</v>
      </c>
      <c r="I1073" s="6">
        <v>-0.38686399999999999</v>
      </c>
    </row>
    <row r="1074" spans="1:9" x14ac:dyDescent="0.25">
      <c r="A1074" s="1" t="s">
        <v>36</v>
      </c>
      <c r="B1074" s="5">
        <v>0.47</v>
      </c>
      <c r="C1074" s="5">
        <v>0.45</v>
      </c>
      <c r="D1074" s="5">
        <v>0.43</v>
      </c>
      <c r="E1074" s="5">
        <v>0.41</v>
      </c>
      <c r="F1074" s="5">
        <v>0.39</v>
      </c>
      <c r="G1074" s="5">
        <v>0.38</v>
      </c>
      <c r="H1074" s="5">
        <v>0.37</v>
      </c>
      <c r="I1074" s="6">
        <v>-3.9087200000000002</v>
      </c>
    </row>
    <row r="1075" spans="1:9" x14ac:dyDescent="0.25">
      <c r="A1075" s="1" t="s">
        <v>37</v>
      </c>
      <c r="B1075" s="5">
        <v>0.02</v>
      </c>
      <c r="C1075" s="5">
        <v>0.02</v>
      </c>
      <c r="D1075" s="5">
        <v>0.01</v>
      </c>
      <c r="E1075" s="5">
        <v>0.01</v>
      </c>
      <c r="F1075" s="5">
        <v>0.01</v>
      </c>
      <c r="G1075" s="5">
        <v>0.01</v>
      </c>
      <c r="H1075" s="5">
        <v>0.01</v>
      </c>
      <c r="I1075" s="6">
        <v>-10.910128</v>
      </c>
    </row>
    <row r="1076" spans="1:9" x14ac:dyDescent="0.25">
      <c r="A1076" s="1" t="s">
        <v>38</v>
      </c>
      <c r="B1076" s="5">
        <v>0.05</v>
      </c>
      <c r="C1076" s="5">
        <v>0.05</v>
      </c>
      <c r="D1076" s="5">
        <v>0.05</v>
      </c>
      <c r="E1076" s="5">
        <v>0.05</v>
      </c>
      <c r="F1076" s="5">
        <v>0.05</v>
      </c>
      <c r="G1076" s="5">
        <v>0.05</v>
      </c>
      <c r="H1076" s="5">
        <v>0.05</v>
      </c>
      <c r="I1076" s="6">
        <v>0</v>
      </c>
    </row>
    <row r="1077" spans="1:9" x14ac:dyDescent="0.25">
      <c r="A1077" s="1" t="s">
        <v>39</v>
      </c>
      <c r="B1077" s="5">
        <v>0</v>
      </c>
      <c r="C1077" s="5">
        <v>0</v>
      </c>
      <c r="D1077" s="5">
        <v>0</v>
      </c>
      <c r="E1077" s="5">
        <v>0</v>
      </c>
      <c r="F1077" s="5">
        <v>0</v>
      </c>
      <c r="G1077" s="5">
        <v>0</v>
      </c>
      <c r="H1077" s="5">
        <v>0</v>
      </c>
      <c r="I1077" s="7" t="s">
        <v>58</v>
      </c>
    </row>
    <row r="1078" spans="1:9" x14ac:dyDescent="0.25">
      <c r="A1078" s="1" t="s">
        <v>40</v>
      </c>
      <c r="B1078" s="5">
        <v>0</v>
      </c>
      <c r="C1078" s="5">
        <v>0</v>
      </c>
      <c r="D1078" s="5">
        <v>0</v>
      </c>
      <c r="E1078" s="5">
        <v>0</v>
      </c>
      <c r="F1078" s="5">
        <v>0</v>
      </c>
      <c r="G1078" s="5">
        <v>0</v>
      </c>
      <c r="H1078" s="5">
        <v>0</v>
      </c>
      <c r="I1078" s="7" t="s">
        <v>58</v>
      </c>
    </row>
    <row r="1079" spans="1:9" x14ac:dyDescent="0.25">
      <c r="A1079" s="1" t="s">
        <v>41</v>
      </c>
      <c r="B1079" s="5">
        <v>0.05</v>
      </c>
      <c r="C1079" s="5">
        <v>0.05</v>
      </c>
      <c r="D1079" s="5">
        <v>0.05</v>
      </c>
      <c r="E1079" s="5">
        <v>0.04</v>
      </c>
      <c r="F1079" s="5">
        <v>0.04</v>
      </c>
      <c r="G1079" s="5">
        <v>0.04</v>
      </c>
      <c r="H1079" s="5">
        <v>0.03</v>
      </c>
      <c r="I1079" s="6">
        <v>-8.1614100000000001</v>
      </c>
    </row>
    <row r="1080" spans="1:9" x14ac:dyDescent="0.25">
      <c r="A1080" s="1" t="s">
        <v>42</v>
      </c>
      <c r="B1080" s="5">
        <v>0.22</v>
      </c>
      <c r="C1080" s="5">
        <v>0.46</v>
      </c>
      <c r="D1080" s="5">
        <v>0.46</v>
      </c>
      <c r="E1080" s="5">
        <v>0.46</v>
      </c>
      <c r="F1080" s="5">
        <v>0.46</v>
      </c>
      <c r="G1080" s="5">
        <v>0.46</v>
      </c>
      <c r="H1080" s="5">
        <v>0.46</v>
      </c>
      <c r="I1080" s="6">
        <v>13.080883</v>
      </c>
    </row>
    <row r="1081" spans="1:9" x14ac:dyDescent="0.25">
      <c r="A1081" s="1" t="s">
        <v>43</v>
      </c>
      <c r="B1081" s="5">
        <v>0.01</v>
      </c>
      <c r="C1081" s="5">
        <v>0.01</v>
      </c>
      <c r="D1081" s="5">
        <v>0.01</v>
      </c>
      <c r="E1081" s="5">
        <v>0</v>
      </c>
      <c r="F1081" s="5">
        <v>0</v>
      </c>
      <c r="G1081" s="5">
        <v>0</v>
      </c>
      <c r="H1081" s="5">
        <v>0</v>
      </c>
      <c r="I1081" s="6">
        <v>-100</v>
      </c>
    </row>
    <row r="1082" spans="1:9" x14ac:dyDescent="0.25">
      <c r="A1082" s="1" t="s">
        <v>44</v>
      </c>
      <c r="B1082" s="5">
        <v>2.1800000000000002</v>
      </c>
      <c r="C1082" s="5">
        <v>2.52</v>
      </c>
      <c r="D1082" s="5">
        <v>2.72</v>
      </c>
      <c r="E1082" s="5">
        <v>2.83</v>
      </c>
      <c r="F1082" s="5">
        <v>3.29</v>
      </c>
      <c r="G1082" s="5">
        <v>3.56</v>
      </c>
      <c r="H1082" s="5">
        <v>4.41</v>
      </c>
      <c r="I1082" s="6">
        <v>12.459725000000001</v>
      </c>
    </row>
    <row r="1083" spans="1:9" x14ac:dyDescent="0.25">
      <c r="A1083" s="1" t="s">
        <v>45</v>
      </c>
      <c r="B1083" s="5">
        <v>1.1399999999999999</v>
      </c>
      <c r="C1083" s="5">
        <v>1.2</v>
      </c>
      <c r="D1083" s="5">
        <v>1.25</v>
      </c>
      <c r="E1083" s="5">
        <v>1.31</v>
      </c>
      <c r="F1083" s="5">
        <v>1.36</v>
      </c>
      <c r="G1083" s="5">
        <v>1.42</v>
      </c>
      <c r="H1083" s="5">
        <v>1.47</v>
      </c>
      <c r="I1083" s="6">
        <v>4.3282879999999997</v>
      </c>
    </row>
    <row r="1084" spans="1:9" x14ac:dyDescent="0.25">
      <c r="A1084" s="1" t="s">
        <v>46</v>
      </c>
      <c r="B1084" s="5">
        <v>0.04</v>
      </c>
      <c r="C1084" s="5">
        <v>0.04</v>
      </c>
      <c r="D1084" s="5">
        <v>0.03</v>
      </c>
      <c r="E1084" s="5">
        <v>0.03</v>
      </c>
      <c r="F1084" s="5">
        <v>0.03</v>
      </c>
      <c r="G1084" s="5">
        <v>0.03</v>
      </c>
      <c r="H1084" s="5">
        <v>0.02</v>
      </c>
      <c r="I1084" s="6">
        <v>-10.910128</v>
      </c>
    </row>
    <row r="1085" spans="1:9" x14ac:dyDescent="0.25">
      <c r="A1085" s="1" t="s">
        <v>47</v>
      </c>
      <c r="B1085" s="5">
        <v>0.06</v>
      </c>
      <c r="C1085" s="5">
        <v>0.06</v>
      </c>
      <c r="D1085" s="5">
        <v>0.06</v>
      </c>
      <c r="E1085" s="5">
        <v>0.06</v>
      </c>
      <c r="F1085" s="5">
        <v>0.06</v>
      </c>
      <c r="G1085" s="5">
        <v>0.06</v>
      </c>
      <c r="H1085" s="5">
        <v>0.06</v>
      </c>
      <c r="I1085" s="6">
        <v>0</v>
      </c>
    </row>
    <row r="1086" spans="1:9" x14ac:dyDescent="0.25">
      <c r="A1086" s="1" t="s">
        <v>48</v>
      </c>
      <c r="B1086" s="5">
        <v>0.01</v>
      </c>
      <c r="C1086" s="5">
        <v>0.01</v>
      </c>
      <c r="D1086" s="5">
        <v>0.01</v>
      </c>
      <c r="E1086" s="5">
        <v>0.01</v>
      </c>
      <c r="F1086" s="5">
        <v>0.01</v>
      </c>
      <c r="G1086" s="5">
        <v>0.01</v>
      </c>
      <c r="H1086" s="5">
        <v>0.01</v>
      </c>
      <c r="I1086" s="6">
        <v>0</v>
      </c>
    </row>
    <row r="1087" spans="1:9" x14ac:dyDescent="0.25">
      <c r="A1087" s="1" t="s">
        <v>49</v>
      </c>
      <c r="B1087" s="5">
        <v>0.05</v>
      </c>
      <c r="C1087" s="5">
        <v>0.04</v>
      </c>
      <c r="D1087" s="5">
        <v>0.04</v>
      </c>
      <c r="E1087" s="5">
        <v>0.04</v>
      </c>
      <c r="F1087" s="5">
        <v>0.03</v>
      </c>
      <c r="G1087" s="5">
        <v>0.02</v>
      </c>
      <c r="H1087" s="5">
        <v>0.02</v>
      </c>
      <c r="I1087" s="6">
        <v>-14.162578</v>
      </c>
    </row>
    <row r="1088" spans="1:9" x14ac:dyDescent="0.25">
      <c r="A1088" s="1" t="s">
        <v>50</v>
      </c>
      <c r="B1088" s="5">
        <v>1.34</v>
      </c>
      <c r="C1088" s="5">
        <v>1.2</v>
      </c>
      <c r="D1088" s="5">
        <v>1.1599999999999999</v>
      </c>
      <c r="E1088" s="5">
        <v>1.1200000000000001</v>
      </c>
      <c r="F1088" s="5">
        <v>1.08</v>
      </c>
      <c r="G1088" s="5">
        <v>1.02</v>
      </c>
      <c r="H1088" s="5">
        <v>0.97</v>
      </c>
      <c r="I1088" s="6">
        <v>-5.2430320000000004</v>
      </c>
    </row>
    <row r="1089" spans="1:9" x14ac:dyDescent="0.25">
      <c r="A1089" s="1" t="s">
        <v>51</v>
      </c>
      <c r="B1089" s="5">
        <v>0.51</v>
      </c>
      <c r="C1089" s="5">
        <v>0.49</v>
      </c>
      <c r="D1089" s="5">
        <v>0.48</v>
      </c>
      <c r="E1089" s="5">
        <v>0.46</v>
      </c>
      <c r="F1089" s="5">
        <v>0.44</v>
      </c>
      <c r="G1089" s="5">
        <v>0.43</v>
      </c>
      <c r="H1089" s="5">
        <v>0.42</v>
      </c>
      <c r="I1089" s="6">
        <v>-3.1841370000000002</v>
      </c>
    </row>
    <row r="1090" spans="1:9" x14ac:dyDescent="0.25">
      <c r="A1090" s="1" t="s">
        <v>52</v>
      </c>
      <c r="B1090" s="5">
        <v>0</v>
      </c>
      <c r="C1090" s="5">
        <v>0</v>
      </c>
      <c r="D1090" s="5">
        <v>0</v>
      </c>
      <c r="E1090" s="5">
        <v>0</v>
      </c>
      <c r="F1090" s="5">
        <v>0</v>
      </c>
      <c r="G1090" s="5">
        <v>0</v>
      </c>
      <c r="H1090" s="5">
        <v>0</v>
      </c>
      <c r="I1090" s="7" t="s">
        <v>58</v>
      </c>
    </row>
    <row r="1091" spans="1:9" x14ac:dyDescent="0.25">
      <c r="A1091" s="1" t="s">
        <v>53</v>
      </c>
      <c r="B1091" s="5">
        <v>0</v>
      </c>
      <c r="C1091" s="5">
        <v>0</v>
      </c>
      <c r="D1091" s="5">
        <v>0</v>
      </c>
      <c r="E1091" s="5">
        <v>0</v>
      </c>
      <c r="F1091" s="5">
        <v>0</v>
      </c>
      <c r="G1091" s="5">
        <v>0</v>
      </c>
      <c r="H1091" s="5">
        <v>0</v>
      </c>
      <c r="I1091" s="7" t="s">
        <v>58</v>
      </c>
    </row>
    <row r="1092" spans="1:9" x14ac:dyDescent="0.25">
      <c r="A1092" s="1" t="s">
        <v>54</v>
      </c>
      <c r="B1092" s="5">
        <v>0</v>
      </c>
      <c r="C1092" s="5">
        <v>0</v>
      </c>
      <c r="D1092" s="5">
        <v>0</v>
      </c>
      <c r="E1092" s="5">
        <v>0</v>
      </c>
      <c r="F1092" s="5">
        <v>0</v>
      </c>
      <c r="G1092" s="5">
        <v>0</v>
      </c>
      <c r="H1092" s="5">
        <v>0</v>
      </c>
      <c r="I1092" s="7" t="s">
        <v>58</v>
      </c>
    </row>
    <row r="1093" spans="1:9" x14ac:dyDescent="0.25">
      <c r="A1093" s="1" t="s">
        <v>55</v>
      </c>
      <c r="B1093" s="5">
        <v>0</v>
      </c>
      <c r="C1093" s="5">
        <v>0</v>
      </c>
      <c r="D1093" s="5">
        <v>0</v>
      </c>
      <c r="E1093" s="5">
        <v>0</v>
      </c>
      <c r="F1093" s="5">
        <v>0</v>
      </c>
      <c r="G1093" s="5">
        <v>0</v>
      </c>
      <c r="H1093" s="5">
        <v>0</v>
      </c>
      <c r="I1093" s="7" t="s">
        <v>58</v>
      </c>
    </row>
    <row r="1094" spans="1:9" x14ac:dyDescent="0.25">
      <c r="A1094" s="1" t="s">
        <v>56</v>
      </c>
      <c r="B1094" s="5">
        <v>0</v>
      </c>
      <c r="C1094" s="5">
        <v>0</v>
      </c>
      <c r="D1094" s="5">
        <v>0</v>
      </c>
      <c r="E1094" s="5">
        <v>0</v>
      </c>
      <c r="F1094" s="5">
        <v>0</v>
      </c>
      <c r="G1094" s="5">
        <v>0</v>
      </c>
      <c r="H1094" s="5">
        <v>0</v>
      </c>
      <c r="I1094" s="7" t="s">
        <v>58</v>
      </c>
    </row>
    <row r="1095" spans="1:9" x14ac:dyDescent="0.25">
      <c r="A1095" s="1" t="s">
        <v>57</v>
      </c>
      <c r="B1095" s="7" t="s">
        <v>58</v>
      </c>
      <c r="C1095" s="7" t="s">
        <v>58</v>
      </c>
      <c r="D1095" s="7" t="s">
        <v>58</v>
      </c>
      <c r="E1095" s="7" t="s">
        <v>58</v>
      </c>
      <c r="F1095" s="7" t="s">
        <v>58</v>
      </c>
      <c r="G1095" s="7" t="s">
        <v>58</v>
      </c>
      <c r="H1095" s="7" t="s">
        <v>58</v>
      </c>
      <c r="I1095" s="7" t="s">
        <v>58</v>
      </c>
    </row>
    <row r="1096" spans="1:9" x14ac:dyDescent="0.25">
      <c r="A1096" s="1" t="s">
        <v>59</v>
      </c>
      <c r="B1096" s="5">
        <v>0.95</v>
      </c>
      <c r="C1096" s="5">
        <v>0.87</v>
      </c>
      <c r="D1096" s="5">
        <v>0.8</v>
      </c>
      <c r="E1096" s="5">
        <v>0.72</v>
      </c>
      <c r="F1096" s="5">
        <v>0.66</v>
      </c>
      <c r="G1096" s="5">
        <v>0.62</v>
      </c>
      <c r="H1096" s="5">
        <v>0.61</v>
      </c>
      <c r="I1096" s="6">
        <v>-7.1173979999999997</v>
      </c>
    </row>
    <row r="1097" spans="1:9" x14ac:dyDescent="0.25">
      <c r="A1097" s="1" t="s">
        <v>60</v>
      </c>
      <c r="B1097" s="5">
        <v>0</v>
      </c>
      <c r="C1097" s="5">
        <v>0</v>
      </c>
      <c r="D1097" s="5">
        <v>0</v>
      </c>
      <c r="E1097" s="5">
        <v>0</v>
      </c>
      <c r="F1097" s="5">
        <v>0</v>
      </c>
      <c r="G1097" s="5">
        <v>0</v>
      </c>
      <c r="H1097" s="5">
        <v>0</v>
      </c>
      <c r="I1097" s="7" t="s">
        <v>58</v>
      </c>
    </row>
    <row r="1098" spans="1:9" ht="45" x14ac:dyDescent="0.25">
      <c r="A1098" s="1" t="s">
        <v>61</v>
      </c>
      <c r="B1098" s="5">
        <v>0.48</v>
      </c>
      <c r="C1098" s="5">
        <v>0.59</v>
      </c>
      <c r="D1098" s="5">
        <v>0.59</v>
      </c>
      <c r="E1098" s="5">
        <v>0.6</v>
      </c>
      <c r="F1098" s="5">
        <v>0.61</v>
      </c>
      <c r="G1098" s="5">
        <v>0.63</v>
      </c>
      <c r="H1098" s="5">
        <v>0.66</v>
      </c>
      <c r="I1098" s="6">
        <v>5.450939</v>
      </c>
    </row>
    <row r="1099" spans="1:9" x14ac:dyDescent="0.25">
      <c r="A1099" s="1" t="s">
        <v>62</v>
      </c>
      <c r="B1099" s="5">
        <v>0.34</v>
      </c>
      <c r="C1099" s="5">
        <v>0.93</v>
      </c>
      <c r="D1099" s="5">
        <v>0.9</v>
      </c>
      <c r="E1099" s="5">
        <v>0.87</v>
      </c>
      <c r="F1099" s="5">
        <v>0.83</v>
      </c>
      <c r="G1099" s="5">
        <v>0.78</v>
      </c>
      <c r="H1099" s="5">
        <v>0.73</v>
      </c>
      <c r="I1099" s="6">
        <v>13.581428000000001</v>
      </c>
    </row>
    <row r="1100" spans="1:9" x14ac:dyDescent="0.25">
      <c r="A1100" s="1" t="s">
        <v>63</v>
      </c>
      <c r="B1100" s="5">
        <v>1.22</v>
      </c>
      <c r="C1100" s="5">
        <v>1.2</v>
      </c>
      <c r="D1100" s="5">
        <v>1.17</v>
      </c>
      <c r="E1100" s="5">
        <v>1.1499999999999999</v>
      </c>
      <c r="F1100" s="5">
        <v>1.1399999999999999</v>
      </c>
      <c r="G1100" s="5">
        <v>1.1100000000000001</v>
      </c>
      <c r="H1100" s="5">
        <v>1.08</v>
      </c>
      <c r="I1100" s="6">
        <v>-2.0110009999999998</v>
      </c>
    </row>
    <row r="1101" spans="1:9" x14ac:dyDescent="0.25">
      <c r="A1101" s="1" t="s">
        <v>64</v>
      </c>
      <c r="B1101" s="5">
        <v>0.19</v>
      </c>
      <c r="C1101" s="5">
        <v>0.13</v>
      </c>
      <c r="D1101" s="5">
        <v>0.13</v>
      </c>
      <c r="E1101" s="5">
        <v>0.13</v>
      </c>
      <c r="F1101" s="5">
        <v>0.13</v>
      </c>
      <c r="G1101" s="5">
        <v>0.13</v>
      </c>
      <c r="H1101" s="5">
        <v>0.13</v>
      </c>
      <c r="I1101" s="6">
        <v>-6.1289610000000003</v>
      </c>
    </row>
    <row r="1102" spans="1:9" x14ac:dyDescent="0.25">
      <c r="A1102" s="1" t="s">
        <v>65</v>
      </c>
      <c r="B1102" s="5">
        <v>0.28999999999999998</v>
      </c>
      <c r="C1102" s="5">
        <v>0.3</v>
      </c>
      <c r="D1102" s="5">
        <v>0.31</v>
      </c>
      <c r="E1102" s="5">
        <v>0.33</v>
      </c>
      <c r="F1102" s="5">
        <v>0.35</v>
      </c>
      <c r="G1102" s="5">
        <v>0.37</v>
      </c>
      <c r="H1102" s="5">
        <v>0.39</v>
      </c>
      <c r="I1102" s="6">
        <v>5.0617029999999996</v>
      </c>
    </row>
    <row r="1103" spans="1:9" x14ac:dyDescent="0.25">
      <c r="A1103" s="1" t="s">
        <v>66</v>
      </c>
      <c r="B1103" s="5">
        <v>0.33</v>
      </c>
      <c r="C1103" s="5">
        <v>0.32</v>
      </c>
      <c r="D1103" s="5">
        <v>0.3</v>
      </c>
      <c r="E1103" s="5">
        <v>0.3</v>
      </c>
      <c r="F1103" s="5">
        <v>0.28999999999999998</v>
      </c>
      <c r="G1103" s="5">
        <v>0.28999999999999998</v>
      </c>
      <c r="H1103" s="5">
        <v>0.28999999999999998</v>
      </c>
      <c r="I1103" s="6">
        <v>-2.130506</v>
      </c>
    </row>
    <row r="1104" spans="1:9" ht="30" x14ac:dyDescent="0.25">
      <c r="A1104" s="1" t="s">
        <v>67</v>
      </c>
      <c r="B1104" s="5">
        <v>0.2</v>
      </c>
      <c r="C1104" s="5">
        <v>0.19</v>
      </c>
      <c r="D1104" s="5">
        <v>0.18</v>
      </c>
      <c r="E1104" s="5">
        <v>0.18</v>
      </c>
      <c r="F1104" s="5">
        <v>0.18</v>
      </c>
      <c r="G1104" s="5">
        <v>0.18</v>
      </c>
      <c r="H1104" s="5">
        <v>0.18</v>
      </c>
      <c r="I1104" s="6">
        <v>-1.7406809999999999</v>
      </c>
    </row>
    <row r="1105" spans="1:9" x14ac:dyDescent="0.25">
      <c r="A1105" s="1" t="s">
        <v>68</v>
      </c>
      <c r="B1105" s="7" t="s">
        <v>58</v>
      </c>
      <c r="C1105" s="7" t="s">
        <v>58</v>
      </c>
      <c r="D1105" s="7" t="s">
        <v>58</v>
      </c>
      <c r="E1105" s="7" t="s">
        <v>58</v>
      </c>
      <c r="F1105" s="7" t="s">
        <v>58</v>
      </c>
      <c r="G1105" s="7" t="s">
        <v>58</v>
      </c>
      <c r="H1105" s="7" t="s">
        <v>58</v>
      </c>
      <c r="I1105" s="7" t="s">
        <v>58</v>
      </c>
    </row>
    <row r="1106" spans="1:9" x14ac:dyDescent="0.25">
      <c r="A1106" s="1" t="s">
        <v>69</v>
      </c>
      <c r="B1106" s="5">
        <v>0.08</v>
      </c>
      <c r="C1106" s="5">
        <v>0.08</v>
      </c>
      <c r="D1106" s="5">
        <v>7.0000000000000007E-2</v>
      </c>
      <c r="E1106" s="5">
        <v>0.06</v>
      </c>
      <c r="F1106" s="5">
        <v>0.06</v>
      </c>
      <c r="G1106" s="5">
        <v>0.05</v>
      </c>
      <c r="H1106" s="5">
        <v>0.05</v>
      </c>
      <c r="I1106" s="6">
        <v>-7.53444</v>
      </c>
    </row>
    <row r="1107" spans="1:9" x14ac:dyDescent="0.25">
      <c r="A1107" s="1" t="s">
        <v>70</v>
      </c>
      <c r="B1107" s="5">
        <v>0.01</v>
      </c>
      <c r="C1107" s="5">
        <v>0</v>
      </c>
      <c r="D1107" s="5">
        <v>0</v>
      </c>
      <c r="E1107" s="5">
        <v>0</v>
      </c>
      <c r="F1107" s="5">
        <v>0</v>
      </c>
      <c r="G1107" s="5">
        <v>0</v>
      </c>
      <c r="H1107" s="5">
        <v>0</v>
      </c>
      <c r="I1107" s="6">
        <v>-100</v>
      </c>
    </row>
    <row r="1108" spans="1:9" x14ac:dyDescent="0.25">
      <c r="A1108" s="1" t="s">
        <v>71</v>
      </c>
      <c r="B1108" s="5">
        <v>2.29</v>
      </c>
      <c r="C1108" s="5">
        <v>3.39</v>
      </c>
      <c r="D1108" s="5">
        <v>3.43</v>
      </c>
      <c r="E1108" s="5">
        <v>3.65</v>
      </c>
      <c r="F1108" s="5">
        <v>3.8</v>
      </c>
      <c r="G1108" s="5">
        <v>4.08</v>
      </c>
      <c r="H1108" s="5">
        <v>4.37</v>
      </c>
      <c r="I1108" s="6">
        <v>11.371566</v>
      </c>
    </row>
    <row r="1109" spans="1:9" x14ac:dyDescent="0.25">
      <c r="A1109" s="1" t="s">
        <v>72</v>
      </c>
      <c r="B1109" s="5">
        <v>1.31</v>
      </c>
      <c r="C1109" s="5">
        <v>1.1499999999999999</v>
      </c>
      <c r="D1109" s="5">
        <v>1.02</v>
      </c>
      <c r="E1109" s="5">
        <v>0.89</v>
      </c>
      <c r="F1109" s="5">
        <v>0.76</v>
      </c>
      <c r="G1109" s="5">
        <v>0.76</v>
      </c>
      <c r="H1109" s="5">
        <v>0.7</v>
      </c>
      <c r="I1109" s="6">
        <v>-9.9180480000000006</v>
      </c>
    </row>
    <row r="1110" spans="1:9" x14ac:dyDescent="0.25">
      <c r="A1110" s="1" t="s">
        <v>73</v>
      </c>
      <c r="B1110" s="7" t="s">
        <v>58</v>
      </c>
      <c r="C1110" s="7" t="s">
        <v>58</v>
      </c>
      <c r="D1110" s="7" t="s">
        <v>58</v>
      </c>
      <c r="E1110" s="7" t="s">
        <v>58</v>
      </c>
      <c r="F1110" s="7" t="s">
        <v>58</v>
      </c>
      <c r="G1110" s="7" t="s">
        <v>58</v>
      </c>
      <c r="H1110" s="7" t="s">
        <v>58</v>
      </c>
      <c r="I1110" s="7" t="s">
        <v>58</v>
      </c>
    </row>
    <row r="1111" spans="1:9" ht="30" x14ac:dyDescent="0.25">
      <c r="A1111" s="1" t="s">
        <v>74</v>
      </c>
      <c r="B1111" s="5">
        <v>1.73</v>
      </c>
      <c r="C1111" s="5">
        <v>2.29</v>
      </c>
      <c r="D1111" s="5">
        <v>2.99</v>
      </c>
      <c r="E1111" s="5">
        <v>3.44</v>
      </c>
      <c r="F1111" s="5">
        <v>3.89</v>
      </c>
      <c r="G1111" s="5">
        <v>4.38</v>
      </c>
      <c r="H1111" s="5">
        <v>4.82</v>
      </c>
      <c r="I1111" s="6">
        <v>18.622432</v>
      </c>
    </row>
    <row r="1112" spans="1:9" x14ac:dyDescent="0.25">
      <c r="A1112" s="1" t="s">
        <v>75</v>
      </c>
      <c r="B1112" s="5">
        <v>0.21</v>
      </c>
      <c r="C1112" s="5">
        <v>0.26</v>
      </c>
      <c r="D1112" s="5">
        <v>0.28999999999999998</v>
      </c>
      <c r="E1112" s="5">
        <v>0.3</v>
      </c>
      <c r="F1112" s="5">
        <v>0.31</v>
      </c>
      <c r="G1112" s="5">
        <v>0.31</v>
      </c>
      <c r="H1112" s="5">
        <v>0.31</v>
      </c>
      <c r="I1112" s="6">
        <v>6.7063829999999998</v>
      </c>
    </row>
    <row r="1113" spans="1:9" x14ac:dyDescent="0.25">
      <c r="A1113" s="1" t="s">
        <v>76</v>
      </c>
      <c r="B1113" s="5">
        <v>0.79</v>
      </c>
      <c r="C1113" s="5">
        <v>0.76</v>
      </c>
      <c r="D1113" s="5">
        <v>0.73</v>
      </c>
      <c r="E1113" s="5">
        <v>0.7</v>
      </c>
      <c r="F1113" s="5">
        <v>0.67</v>
      </c>
      <c r="G1113" s="5">
        <v>0.64</v>
      </c>
      <c r="H1113" s="5">
        <v>0.6</v>
      </c>
      <c r="I1113" s="6">
        <v>-4.4815290000000001</v>
      </c>
    </row>
    <row r="1114" spans="1:9" ht="45" x14ac:dyDescent="0.25">
      <c r="A1114" s="1" t="s">
        <v>77</v>
      </c>
      <c r="B1114" s="5">
        <v>0</v>
      </c>
      <c r="C1114" s="5">
        <v>0</v>
      </c>
      <c r="D1114" s="5">
        <v>0</v>
      </c>
      <c r="E1114" s="5">
        <v>0</v>
      </c>
      <c r="F1114" s="5">
        <v>0</v>
      </c>
      <c r="G1114" s="5">
        <v>0</v>
      </c>
      <c r="H1114" s="5">
        <v>0</v>
      </c>
      <c r="I1114" s="7" t="s">
        <v>58</v>
      </c>
    </row>
    <row r="1115" spans="1:9" ht="45" x14ac:dyDescent="0.25">
      <c r="A1115" s="1" t="s">
        <v>78</v>
      </c>
      <c r="B1115" s="5">
        <v>0</v>
      </c>
      <c r="C1115" s="5">
        <v>0</v>
      </c>
      <c r="D1115" s="5">
        <v>0</v>
      </c>
      <c r="E1115" s="5">
        <v>0</v>
      </c>
      <c r="F1115" s="5">
        <v>0</v>
      </c>
      <c r="G1115" s="5">
        <v>0</v>
      </c>
      <c r="H1115" s="5">
        <v>0</v>
      </c>
      <c r="I1115" s="7" t="s">
        <v>58</v>
      </c>
    </row>
    <row r="1116" spans="1:9" ht="60" x14ac:dyDescent="0.25">
      <c r="A1116" s="1" t="s">
        <v>79</v>
      </c>
      <c r="B1116" s="7" t="s">
        <v>58</v>
      </c>
      <c r="C1116" s="7" t="s">
        <v>58</v>
      </c>
      <c r="D1116" s="7" t="s">
        <v>58</v>
      </c>
      <c r="E1116" s="7" t="s">
        <v>58</v>
      </c>
      <c r="F1116" s="7" t="s">
        <v>58</v>
      </c>
      <c r="G1116" s="7" t="s">
        <v>58</v>
      </c>
      <c r="H1116" s="7" t="s">
        <v>58</v>
      </c>
      <c r="I1116" s="7" t="s">
        <v>58</v>
      </c>
    </row>
    <row r="1117" spans="1:9" ht="45" x14ac:dyDescent="0.25">
      <c r="A1117" s="1" t="s">
        <v>80</v>
      </c>
      <c r="B1117" s="7" t="s">
        <v>58</v>
      </c>
      <c r="C1117" s="7" t="s">
        <v>58</v>
      </c>
      <c r="D1117" s="7" t="s">
        <v>58</v>
      </c>
      <c r="E1117" s="7" t="s">
        <v>58</v>
      </c>
      <c r="F1117" s="7" t="s">
        <v>58</v>
      </c>
      <c r="G1117" s="7" t="s">
        <v>58</v>
      </c>
      <c r="H1117" s="7" t="s">
        <v>58</v>
      </c>
      <c r="I1117" s="7" t="s">
        <v>58</v>
      </c>
    </row>
    <row r="1118" spans="1:9" ht="45" x14ac:dyDescent="0.25">
      <c r="A1118" s="1" t="s">
        <v>81</v>
      </c>
      <c r="B1118" s="5">
        <v>0</v>
      </c>
      <c r="C1118" s="5">
        <v>0</v>
      </c>
      <c r="D1118" s="5">
        <v>0</v>
      </c>
      <c r="E1118" s="5">
        <v>0</v>
      </c>
      <c r="F1118" s="5">
        <v>0</v>
      </c>
      <c r="G1118" s="5">
        <v>0</v>
      </c>
      <c r="H1118" s="5">
        <v>0</v>
      </c>
      <c r="I1118" s="7" t="s">
        <v>58</v>
      </c>
    </row>
    <row r="1119" spans="1:9" x14ac:dyDescent="0.25">
      <c r="A1119" s="1" t="s">
        <v>82</v>
      </c>
      <c r="B1119" s="5">
        <v>0</v>
      </c>
      <c r="C1119" s="5">
        <v>0</v>
      </c>
      <c r="D1119" s="5">
        <v>0</v>
      </c>
      <c r="E1119" s="5">
        <v>0</v>
      </c>
      <c r="F1119" s="5">
        <v>0</v>
      </c>
      <c r="G1119" s="5">
        <v>0</v>
      </c>
      <c r="H1119" s="5">
        <v>0</v>
      </c>
      <c r="I1119" s="7" t="s">
        <v>58</v>
      </c>
    </row>
    <row r="1120" spans="1:9" x14ac:dyDescent="0.25">
      <c r="A1120" s="1" t="s">
        <v>83</v>
      </c>
      <c r="B1120" s="5">
        <v>0</v>
      </c>
      <c r="C1120" s="5">
        <v>0</v>
      </c>
      <c r="D1120" s="5">
        <v>0</v>
      </c>
      <c r="E1120" s="5">
        <v>0</v>
      </c>
      <c r="F1120" s="5">
        <v>0</v>
      </c>
      <c r="G1120" s="5">
        <v>0</v>
      </c>
      <c r="H1120" s="5">
        <v>0</v>
      </c>
      <c r="I1120" s="7" t="s">
        <v>58</v>
      </c>
    </row>
    <row r="1121" spans="1:9" x14ac:dyDescent="0.25">
      <c r="A1121" s="1" t="s">
        <v>84</v>
      </c>
      <c r="B1121" s="5">
        <v>0</v>
      </c>
      <c r="C1121" s="5">
        <v>0</v>
      </c>
      <c r="D1121" s="5">
        <v>0</v>
      </c>
      <c r="E1121" s="5">
        <v>0</v>
      </c>
      <c r="F1121" s="5">
        <v>0</v>
      </c>
      <c r="G1121" s="5">
        <v>0</v>
      </c>
      <c r="H1121" s="5">
        <v>0</v>
      </c>
      <c r="I1121" s="7" t="s">
        <v>58</v>
      </c>
    </row>
    <row r="1122" spans="1:9" x14ac:dyDescent="0.25">
      <c r="A1122" s="1" t="s">
        <v>85</v>
      </c>
      <c r="B1122" s="5">
        <v>0</v>
      </c>
      <c r="C1122" s="5">
        <v>0</v>
      </c>
      <c r="D1122" s="5">
        <v>0</v>
      </c>
      <c r="E1122" s="5">
        <v>0</v>
      </c>
      <c r="F1122" s="5">
        <v>0</v>
      </c>
      <c r="G1122" s="5">
        <v>0</v>
      </c>
      <c r="H1122" s="5">
        <v>0</v>
      </c>
      <c r="I1122" s="7" t="s">
        <v>58</v>
      </c>
    </row>
    <row r="1123" spans="1:9" x14ac:dyDescent="0.25">
      <c r="A1123" s="1" t="s">
        <v>86</v>
      </c>
      <c r="B1123" s="5">
        <v>0.73</v>
      </c>
      <c r="C1123" s="5">
        <v>0.8</v>
      </c>
      <c r="D1123" s="5">
        <v>0.87</v>
      </c>
      <c r="E1123" s="5">
        <v>0.94</v>
      </c>
      <c r="F1123" s="5">
        <v>1</v>
      </c>
      <c r="G1123" s="5">
        <v>1.07</v>
      </c>
      <c r="H1123" s="5">
        <v>1.1299999999999999</v>
      </c>
      <c r="I1123" s="6">
        <v>7.5538420000000004</v>
      </c>
    </row>
    <row r="1124" spans="1:9" x14ac:dyDescent="0.25">
      <c r="A1124" s="1" t="s">
        <v>87</v>
      </c>
      <c r="B1124" s="5">
        <v>0.65</v>
      </c>
      <c r="C1124" s="5">
        <v>0.59</v>
      </c>
      <c r="D1124" s="5">
        <v>0.54</v>
      </c>
      <c r="E1124" s="5">
        <v>0.53</v>
      </c>
      <c r="F1124" s="5">
        <v>0.51</v>
      </c>
      <c r="G1124" s="5">
        <v>0.5</v>
      </c>
      <c r="H1124" s="5">
        <v>0.5</v>
      </c>
      <c r="I1124" s="6">
        <v>-4.2785120000000001</v>
      </c>
    </row>
    <row r="1125" spans="1:9" x14ac:dyDescent="0.25">
      <c r="A1125" s="1" t="s">
        <v>88</v>
      </c>
      <c r="B1125" s="5">
        <v>0</v>
      </c>
      <c r="C1125" s="5">
        <v>0</v>
      </c>
      <c r="D1125" s="5">
        <v>0</v>
      </c>
      <c r="E1125" s="5">
        <v>0</v>
      </c>
      <c r="F1125" s="5">
        <v>0</v>
      </c>
      <c r="G1125" s="5">
        <v>0</v>
      </c>
      <c r="H1125" s="5">
        <v>0</v>
      </c>
      <c r="I1125" s="7" t="s">
        <v>58</v>
      </c>
    </row>
    <row r="1126" spans="1:9" x14ac:dyDescent="0.25">
      <c r="A1126" s="1" t="s">
        <v>89</v>
      </c>
      <c r="B1126" s="5">
        <v>0.1</v>
      </c>
      <c r="C1126" s="5">
        <v>0.1</v>
      </c>
      <c r="D1126" s="5">
        <v>0.09</v>
      </c>
      <c r="E1126" s="5">
        <v>0.09</v>
      </c>
      <c r="F1126" s="5">
        <v>0.09</v>
      </c>
      <c r="G1126" s="5">
        <v>0.09</v>
      </c>
      <c r="H1126" s="5">
        <v>0.09</v>
      </c>
      <c r="I1126" s="6">
        <v>-1.7406809999999999</v>
      </c>
    </row>
    <row r="1127" spans="1:9" x14ac:dyDescent="0.25">
      <c r="A1127" s="1" t="s">
        <v>90</v>
      </c>
      <c r="B1127" s="5">
        <v>0.01</v>
      </c>
      <c r="C1127" s="5">
        <v>0.01</v>
      </c>
      <c r="D1127" s="5">
        <v>0.01</v>
      </c>
      <c r="E1127" s="5">
        <v>0.01</v>
      </c>
      <c r="F1127" s="5">
        <v>0.01</v>
      </c>
      <c r="G1127" s="5">
        <v>0.01</v>
      </c>
      <c r="H1127" s="5">
        <v>0.01</v>
      </c>
      <c r="I1127" s="6">
        <v>0</v>
      </c>
    </row>
    <row r="1128" spans="1:9" x14ac:dyDescent="0.25">
      <c r="A1128" s="1" t="s">
        <v>91</v>
      </c>
      <c r="B1128" s="5">
        <v>6.04</v>
      </c>
      <c r="C1128" s="5">
        <v>6.04</v>
      </c>
      <c r="D1128" s="5">
        <v>5.9</v>
      </c>
      <c r="E1128" s="5">
        <v>5.8</v>
      </c>
      <c r="F1128" s="5">
        <v>5.69</v>
      </c>
      <c r="G1128" s="5">
        <v>5.61</v>
      </c>
      <c r="H1128" s="5">
        <v>5.55</v>
      </c>
      <c r="I1128" s="6">
        <v>-1.4002060000000001</v>
      </c>
    </row>
    <row r="1129" spans="1:9" x14ac:dyDescent="0.25">
      <c r="A1129" s="1" t="s">
        <v>92</v>
      </c>
      <c r="B1129" s="5">
        <v>0</v>
      </c>
      <c r="C1129" s="5">
        <v>0</v>
      </c>
      <c r="D1129" s="5">
        <v>0</v>
      </c>
      <c r="E1129" s="5">
        <v>0</v>
      </c>
      <c r="F1129" s="5">
        <v>0</v>
      </c>
      <c r="G1129" s="5">
        <v>0</v>
      </c>
      <c r="H1129" s="5">
        <v>0</v>
      </c>
      <c r="I1129" s="7" t="s">
        <v>58</v>
      </c>
    </row>
    <row r="1130" spans="1:9" x14ac:dyDescent="0.25">
      <c r="A1130" s="1" t="s">
        <v>93</v>
      </c>
      <c r="B1130" s="5">
        <v>2.25</v>
      </c>
      <c r="C1130" s="5">
        <v>2.33</v>
      </c>
      <c r="D1130" s="5">
        <v>2.2999999999999998</v>
      </c>
      <c r="E1130" s="5">
        <v>2.2799999999999998</v>
      </c>
      <c r="F1130" s="5">
        <v>2.2599999999999998</v>
      </c>
      <c r="G1130" s="5">
        <v>2.2400000000000002</v>
      </c>
      <c r="H1130" s="5">
        <v>2.2200000000000002</v>
      </c>
      <c r="I1130" s="6">
        <v>-0.223467</v>
      </c>
    </row>
    <row r="1131" spans="1:9" x14ac:dyDescent="0.25">
      <c r="A1131" s="1" t="s">
        <v>94</v>
      </c>
      <c r="B1131" s="5">
        <v>0</v>
      </c>
      <c r="C1131" s="5">
        <v>0</v>
      </c>
      <c r="D1131" s="5">
        <v>0</v>
      </c>
      <c r="E1131" s="5">
        <v>0</v>
      </c>
      <c r="F1131" s="5">
        <v>0</v>
      </c>
      <c r="G1131" s="5">
        <v>0</v>
      </c>
      <c r="H1131" s="5">
        <v>0</v>
      </c>
      <c r="I1131" s="7" t="s">
        <v>58</v>
      </c>
    </row>
    <row r="1132" spans="1:9" x14ac:dyDescent="0.25">
      <c r="A1132" s="1" t="s">
        <v>95</v>
      </c>
      <c r="B1132" s="5">
        <v>0</v>
      </c>
      <c r="C1132" s="5">
        <v>0</v>
      </c>
      <c r="D1132" s="5">
        <v>0</v>
      </c>
      <c r="E1132" s="5">
        <v>0</v>
      </c>
      <c r="F1132" s="5">
        <v>0</v>
      </c>
      <c r="G1132" s="5">
        <v>0</v>
      </c>
      <c r="H1132" s="5">
        <v>0</v>
      </c>
      <c r="I1132" s="7" t="s">
        <v>58</v>
      </c>
    </row>
    <row r="1133" spans="1:9" x14ac:dyDescent="0.25">
      <c r="A1133" s="1" t="s">
        <v>96</v>
      </c>
      <c r="B1133" s="5">
        <v>0</v>
      </c>
      <c r="C1133" s="5">
        <v>0</v>
      </c>
      <c r="D1133" s="5">
        <v>0</v>
      </c>
      <c r="E1133" s="5">
        <v>0</v>
      </c>
      <c r="F1133" s="5">
        <v>0</v>
      </c>
      <c r="G1133" s="5">
        <v>0</v>
      </c>
      <c r="H1133" s="5">
        <v>0</v>
      </c>
      <c r="I1133" s="7" t="s">
        <v>58</v>
      </c>
    </row>
    <row r="1134" spans="1:9" x14ac:dyDescent="0.25">
      <c r="A1134" s="1" t="s">
        <v>97</v>
      </c>
      <c r="B1134" s="5">
        <v>0.04</v>
      </c>
      <c r="C1134" s="5">
        <v>0.03</v>
      </c>
      <c r="D1134" s="5">
        <v>0.03</v>
      </c>
      <c r="E1134" s="5">
        <v>0.03</v>
      </c>
      <c r="F1134" s="5">
        <v>0.03</v>
      </c>
      <c r="G1134" s="5">
        <v>0.03</v>
      </c>
      <c r="H1134" s="5">
        <v>0.03</v>
      </c>
      <c r="I1134" s="6">
        <v>-4.6815709999999999</v>
      </c>
    </row>
    <row r="1135" spans="1:9" x14ac:dyDescent="0.25">
      <c r="A1135" s="1" t="s">
        <v>98</v>
      </c>
      <c r="B1135" s="5">
        <v>0</v>
      </c>
      <c r="C1135" s="5">
        <v>0</v>
      </c>
      <c r="D1135" s="5">
        <v>0</v>
      </c>
      <c r="E1135" s="5">
        <v>0</v>
      </c>
      <c r="F1135" s="5">
        <v>0</v>
      </c>
      <c r="G1135" s="5">
        <v>0</v>
      </c>
      <c r="H1135" s="5">
        <v>0</v>
      </c>
      <c r="I1135" s="7" t="s">
        <v>58</v>
      </c>
    </row>
    <row r="1136" spans="1:9" x14ac:dyDescent="0.25">
      <c r="A1136" s="1" t="s">
        <v>99</v>
      </c>
      <c r="B1136" s="5">
        <v>0.71</v>
      </c>
      <c r="C1136" s="5">
        <v>0.62</v>
      </c>
      <c r="D1136" s="5">
        <v>0.55000000000000004</v>
      </c>
      <c r="E1136" s="5">
        <v>0.52</v>
      </c>
      <c r="F1136" s="5">
        <v>0.51</v>
      </c>
      <c r="G1136" s="5">
        <v>0.49</v>
      </c>
      <c r="H1136" s="5">
        <v>0.48</v>
      </c>
      <c r="I1136" s="6">
        <v>-6.3163470000000004</v>
      </c>
    </row>
    <row r="1137" spans="1:9" x14ac:dyDescent="0.25">
      <c r="A1137" s="1" t="s">
        <v>100</v>
      </c>
      <c r="B1137" s="5">
        <v>0</v>
      </c>
      <c r="C1137" s="5">
        <v>0</v>
      </c>
      <c r="D1137" s="5">
        <v>0</v>
      </c>
      <c r="E1137" s="5">
        <v>0</v>
      </c>
      <c r="F1137" s="5">
        <v>0</v>
      </c>
      <c r="G1137" s="5">
        <v>0</v>
      </c>
      <c r="H1137" s="5">
        <v>0</v>
      </c>
      <c r="I1137" s="7" t="s">
        <v>58</v>
      </c>
    </row>
    <row r="1138" spans="1:9" x14ac:dyDescent="0.25">
      <c r="A1138" s="1" t="s">
        <v>101</v>
      </c>
      <c r="B1138" s="5">
        <v>0</v>
      </c>
      <c r="C1138" s="5">
        <v>0</v>
      </c>
      <c r="D1138" s="5">
        <v>0</v>
      </c>
      <c r="E1138" s="5">
        <v>0</v>
      </c>
      <c r="F1138" s="5">
        <v>0</v>
      </c>
      <c r="G1138" s="5">
        <v>0</v>
      </c>
      <c r="H1138" s="5">
        <v>0</v>
      </c>
      <c r="I1138" s="7" t="s">
        <v>58</v>
      </c>
    </row>
    <row r="1139" spans="1:9" x14ac:dyDescent="0.25">
      <c r="A1139" s="1" t="s">
        <v>102</v>
      </c>
      <c r="B1139" s="5">
        <v>0.01</v>
      </c>
      <c r="C1139" s="5">
        <v>0.01</v>
      </c>
      <c r="D1139" s="5">
        <v>0.01</v>
      </c>
      <c r="E1139" s="5">
        <v>0.01</v>
      </c>
      <c r="F1139" s="5">
        <v>0.01</v>
      </c>
      <c r="G1139" s="5">
        <v>0.01</v>
      </c>
      <c r="H1139" s="5">
        <v>0.01</v>
      </c>
      <c r="I1139" s="6">
        <v>0</v>
      </c>
    </row>
    <row r="1140" spans="1:9" x14ac:dyDescent="0.25">
      <c r="A1140" s="1" t="s">
        <v>103</v>
      </c>
      <c r="B1140" s="7" t="s">
        <v>58</v>
      </c>
      <c r="C1140" s="7" t="s">
        <v>58</v>
      </c>
      <c r="D1140" s="7" t="s">
        <v>58</v>
      </c>
      <c r="E1140" s="7" t="s">
        <v>58</v>
      </c>
      <c r="F1140" s="7" t="s">
        <v>58</v>
      </c>
      <c r="G1140" s="7" t="s">
        <v>58</v>
      </c>
      <c r="H1140" s="7" t="s">
        <v>58</v>
      </c>
      <c r="I1140" s="7" t="s">
        <v>58</v>
      </c>
    </row>
    <row r="1141" spans="1:9" x14ac:dyDescent="0.25">
      <c r="A1141" s="1" t="s">
        <v>104</v>
      </c>
      <c r="B1141" s="5">
        <v>7.89</v>
      </c>
      <c r="C1141" s="5">
        <v>7.51</v>
      </c>
      <c r="D1141" s="5">
        <v>7.14</v>
      </c>
      <c r="E1141" s="5">
        <v>6.78</v>
      </c>
      <c r="F1141" s="5">
        <v>7.07</v>
      </c>
      <c r="G1141" s="5">
        <v>7.19</v>
      </c>
      <c r="H1141" s="5">
        <v>7.46</v>
      </c>
      <c r="I1141" s="6">
        <v>-0.92966400000000005</v>
      </c>
    </row>
    <row r="1142" spans="1:9" x14ac:dyDescent="0.25">
      <c r="A1142" s="1" t="s">
        <v>105</v>
      </c>
      <c r="B1142" s="5">
        <v>0</v>
      </c>
      <c r="C1142" s="5">
        <v>0</v>
      </c>
      <c r="D1142" s="5">
        <v>0</v>
      </c>
      <c r="E1142" s="5">
        <v>0</v>
      </c>
      <c r="F1142" s="5">
        <v>0</v>
      </c>
      <c r="G1142" s="5">
        <v>0</v>
      </c>
      <c r="H1142" s="5">
        <v>0</v>
      </c>
      <c r="I1142" s="7" t="s">
        <v>58</v>
      </c>
    </row>
    <row r="1143" spans="1:9" x14ac:dyDescent="0.25">
      <c r="A1143" s="1" t="s">
        <v>106</v>
      </c>
      <c r="B1143" s="5">
        <v>0.03</v>
      </c>
      <c r="C1143" s="5">
        <v>0.03</v>
      </c>
      <c r="D1143" s="5">
        <v>0.03</v>
      </c>
      <c r="E1143" s="5">
        <v>0.03</v>
      </c>
      <c r="F1143" s="5">
        <v>0.03</v>
      </c>
      <c r="G1143" s="5">
        <v>0.03</v>
      </c>
      <c r="H1143" s="5">
        <v>0.03</v>
      </c>
      <c r="I1143" s="6">
        <v>0</v>
      </c>
    </row>
    <row r="1144" spans="1:9" ht="30" x14ac:dyDescent="0.25">
      <c r="A1144" s="1" t="s">
        <v>107</v>
      </c>
      <c r="B1144" s="5">
        <v>0</v>
      </c>
      <c r="C1144" s="5">
        <v>0</v>
      </c>
      <c r="D1144" s="5">
        <v>0</v>
      </c>
      <c r="E1144" s="5">
        <v>0</v>
      </c>
      <c r="F1144" s="5">
        <v>0</v>
      </c>
      <c r="G1144" s="5">
        <v>0</v>
      </c>
      <c r="H1144" s="5">
        <v>0</v>
      </c>
      <c r="I1144" s="7" t="s">
        <v>58</v>
      </c>
    </row>
    <row r="1145" spans="1:9" x14ac:dyDescent="0.25">
      <c r="A1145" s="1" t="s">
        <v>108</v>
      </c>
      <c r="B1145" s="5">
        <v>0</v>
      </c>
      <c r="C1145" s="5">
        <v>0</v>
      </c>
      <c r="D1145" s="5">
        <v>0</v>
      </c>
      <c r="E1145" s="5">
        <v>0</v>
      </c>
      <c r="F1145" s="5">
        <v>0</v>
      </c>
      <c r="G1145" s="5">
        <v>0</v>
      </c>
      <c r="H1145" s="5">
        <v>0</v>
      </c>
      <c r="I1145" s="7" t="s">
        <v>58</v>
      </c>
    </row>
    <row r="1146" spans="1:9" ht="30" x14ac:dyDescent="0.25">
      <c r="A1146" s="1" t="s">
        <v>109</v>
      </c>
      <c r="B1146" s="5">
        <v>0</v>
      </c>
      <c r="C1146" s="5">
        <v>0</v>
      </c>
      <c r="D1146" s="5">
        <v>0</v>
      </c>
      <c r="E1146" s="5">
        <v>0</v>
      </c>
      <c r="F1146" s="5">
        <v>0</v>
      </c>
      <c r="G1146" s="5">
        <v>0</v>
      </c>
      <c r="H1146" s="5">
        <v>0</v>
      </c>
      <c r="I1146" s="7" t="s">
        <v>58</v>
      </c>
    </row>
    <row r="1147" spans="1:9" x14ac:dyDescent="0.25">
      <c r="A1147" s="1" t="s">
        <v>110</v>
      </c>
      <c r="B1147" s="5">
        <v>0.04</v>
      </c>
      <c r="C1147" s="5">
        <v>0.04</v>
      </c>
      <c r="D1147" s="5">
        <v>0.04</v>
      </c>
      <c r="E1147" s="5">
        <v>0.04</v>
      </c>
      <c r="F1147" s="5">
        <v>0.04</v>
      </c>
      <c r="G1147" s="5">
        <v>0.04</v>
      </c>
      <c r="H1147" s="5">
        <v>0.04</v>
      </c>
      <c r="I1147" s="6">
        <v>0</v>
      </c>
    </row>
    <row r="1148" spans="1:9" x14ac:dyDescent="0.25">
      <c r="A1148" s="1" t="s">
        <v>111</v>
      </c>
      <c r="B1148" s="5">
        <v>0</v>
      </c>
      <c r="C1148" s="5">
        <v>0</v>
      </c>
      <c r="D1148" s="5">
        <v>0</v>
      </c>
      <c r="E1148" s="5">
        <v>0</v>
      </c>
      <c r="F1148" s="5">
        <v>0</v>
      </c>
      <c r="G1148" s="5">
        <v>0</v>
      </c>
      <c r="H1148" s="5">
        <v>0</v>
      </c>
      <c r="I1148" s="7" t="s">
        <v>58</v>
      </c>
    </row>
    <row r="1149" spans="1:9" x14ac:dyDescent="0.25">
      <c r="A1149" s="1" t="s">
        <v>112</v>
      </c>
      <c r="B1149" s="5">
        <v>1.77</v>
      </c>
      <c r="C1149" s="5">
        <v>2.41</v>
      </c>
      <c r="D1149" s="5">
        <v>3.2</v>
      </c>
      <c r="E1149" s="5">
        <v>3.7</v>
      </c>
      <c r="F1149" s="5">
        <v>4.2</v>
      </c>
      <c r="G1149" s="5">
        <v>4.75</v>
      </c>
      <c r="H1149" s="5">
        <v>5.24</v>
      </c>
      <c r="I1149" s="6">
        <v>19.828375000000001</v>
      </c>
    </row>
    <row r="1150" spans="1:9" x14ac:dyDescent="0.25">
      <c r="A1150" s="1" t="s">
        <v>113</v>
      </c>
      <c r="B1150" s="5">
        <v>0.16</v>
      </c>
      <c r="C1150" s="5">
        <v>0.17</v>
      </c>
      <c r="D1150" s="5">
        <v>0.18</v>
      </c>
      <c r="E1150" s="5">
        <v>0.18</v>
      </c>
      <c r="F1150" s="5">
        <v>0.19</v>
      </c>
      <c r="G1150" s="5">
        <v>0.2</v>
      </c>
      <c r="H1150" s="5">
        <v>0.2</v>
      </c>
      <c r="I1150" s="6">
        <v>3.7890820000000001</v>
      </c>
    </row>
    <row r="1151" spans="1:9" x14ac:dyDescent="0.25">
      <c r="A1151" s="1" t="s">
        <v>114</v>
      </c>
      <c r="B1151" s="5">
        <v>0</v>
      </c>
      <c r="C1151" s="5">
        <v>0</v>
      </c>
      <c r="D1151" s="5">
        <v>0</v>
      </c>
      <c r="E1151" s="5">
        <v>0</v>
      </c>
      <c r="F1151" s="5">
        <v>0</v>
      </c>
      <c r="G1151" s="5">
        <v>0</v>
      </c>
      <c r="H1151" s="5">
        <v>0</v>
      </c>
      <c r="I1151" s="7" t="s">
        <v>58</v>
      </c>
    </row>
    <row r="1152" spans="1:9" ht="30" x14ac:dyDescent="0.25">
      <c r="A1152" s="1" t="s">
        <v>115</v>
      </c>
      <c r="B1152" s="5">
        <v>0.08</v>
      </c>
      <c r="C1152" s="5">
        <v>0.13</v>
      </c>
      <c r="D1152" s="5">
        <v>0.13</v>
      </c>
      <c r="E1152" s="5">
        <v>0.13</v>
      </c>
      <c r="F1152" s="5">
        <v>0.13</v>
      </c>
      <c r="G1152" s="5">
        <v>0.12</v>
      </c>
      <c r="H1152" s="5">
        <v>0.12</v>
      </c>
      <c r="I1152" s="6">
        <v>6.9913189999999998</v>
      </c>
    </row>
    <row r="1153" spans="1:9" x14ac:dyDescent="0.25">
      <c r="A1153" s="1" t="s">
        <v>116</v>
      </c>
      <c r="B1153" s="5">
        <v>1.32</v>
      </c>
      <c r="C1153" s="5">
        <v>1.26</v>
      </c>
      <c r="D1153" s="5">
        <v>1.18</v>
      </c>
      <c r="E1153" s="5">
        <v>1.1100000000000001</v>
      </c>
      <c r="F1153" s="5">
        <v>1.03</v>
      </c>
      <c r="G1153" s="5">
        <v>0.95</v>
      </c>
      <c r="H1153" s="5">
        <v>0.96</v>
      </c>
      <c r="I1153" s="6">
        <v>-5.1691700000000003</v>
      </c>
    </row>
    <row r="1154" spans="1:9" x14ac:dyDescent="0.25">
      <c r="A1154" s="1" t="s">
        <v>12</v>
      </c>
      <c r="B1154" s="2"/>
      <c r="C1154" s="2"/>
      <c r="D1154" s="2"/>
      <c r="E1154" s="2"/>
      <c r="F1154" s="2"/>
      <c r="G1154" s="2"/>
      <c r="H1154" s="2"/>
      <c r="I1154" s="2"/>
    </row>
    <row r="1155" spans="1:9" ht="75" x14ac:dyDescent="0.25">
      <c r="A1155" s="1" t="s">
        <v>127</v>
      </c>
      <c r="B1155" s="2"/>
      <c r="C1155" s="2"/>
      <c r="D1155" s="2"/>
      <c r="E1155" s="2"/>
      <c r="F1155" s="2"/>
      <c r="G1155" s="2"/>
      <c r="H1155" s="2"/>
      <c r="I1155" s="2"/>
    </row>
    <row r="1156" spans="1:9" x14ac:dyDescent="0.25">
      <c r="A1156" s="1" t="s">
        <v>14</v>
      </c>
      <c r="B1156" s="5">
        <v>5.03</v>
      </c>
      <c r="C1156" s="5">
        <v>5.24</v>
      </c>
      <c r="D1156" s="5">
        <v>5.03</v>
      </c>
      <c r="E1156" s="5">
        <v>4.91</v>
      </c>
      <c r="F1156" s="5">
        <v>4.78</v>
      </c>
      <c r="G1156" s="5">
        <v>4.63</v>
      </c>
      <c r="H1156" s="5">
        <v>4.45</v>
      </c>
      <c r="I1156" s="6">
        <v>-2.0212249999999998</v>
      </c>
    </row>
    <row r="1157" spans="1:9" ht="30" x14ac:dyDescent="0.25">
      <c r="A1157" s="1" t="s">
        <v>15</v>
      </c>
      <c r="B1157" s="5">
        <v>2.04</v>
      </c>
      <c r="C1157" s="5">
        <v>3.29</v>
      </c>
      <c r="D1157" s="5">
        <v>3.51</v>
      </c>
      <c r="E1157" s="5">
        <v>3.65</v>
      </c>
      <c r="F1157" s="5">
        <v>3.9</v>
      </c>
      <c r="G1157" s="5">
        <v>4.09</v>
      </c>
      <c r="H1157" s="5">
        <v>4.2699999999999996</v>
      </c>
      <c r="I1157" s="6">
        <v>13.100958</v>
      </c>
    </row>
    <row r="1158" spans="1:9" x14ac:dyDescent="0.25">
      <c r="A1158" s="1" t="s">
        <v>16</v>
      </c>
      <c r="B1158" s="5">
        <v>6.6</v>
      </c>
      <c r="C1158" s="5">
        <v>7.97</v>
      </c>
      <c r="D1158" s="5">
        <v>8.32</v>
      </c>
      <c r="E1158" s="5">
        <v>8.58</v>
      </c>
      <c r="F1158" s="5">
        <v>8.8000000000000007</v>
      </c>
      <c r="G1158" s="5">
        <v>8.93</v>
      </c>
      <c r="H1158" s="5">
        <v>9.08</v>
      </c>
      <c r="I1158" s="6">
        <v>5.4606199999999996</v>
      </c>
    </row>
    <row r="1159" spans="1:9" x14ac:dyDescent="0.25">
      <c r="A1159" s="1" t="s">
        <v>17</v>
      </c>
      <c r="B1159" s="5">
        <v>0.67</v>
      </c>
      <c r="C1159" s="5">
        <v>0.66</v>
      </c>
      <c r="D1159" s="5">
        <v>0.65</v>
      </c>
      <c r="E1159" s="5">
        <v>0.64</v>
      </c>
      <c r="F1159" s="5">
        <v>0.63</v>
      </c>
      <c r="G1159" s="5">
        <v>0.62</v>
      </c>
      <c r="H1159" s="5">
        <v>0.61</v>
      </c>
      <c r="I1159" s="6">
        <v>-1.5514840000000001</v>
      </c>
    </row>
    <row r="1160" spans="1:9" x14ac:dyDescent="0.25">
      <c r="A1160" s="1" t="s">
        <v>18</v>
      </c>
      <c r="B1160" s="5">
        <v>6.9</v>
      </c>
      <c r="C1160" s="5">
        <v>6.67</v>
      </c>
      <c r="D1160" s="5">
        <v>6.45</v>
      </c>
      <c r="E1160" s="5">
        <v>6.25</v>
      </c>
      <c r="F1160" s="5">
        <v>6.06</v>
      </c>
      <c r="G1160" s="5">
        <v>6.06</v>
      </c>
      <c r="H1160" s="5">
        <v>6.06</v>
      </c>
      <c r="I1160" s="6">
        <v>-2.1402909999999999</v>
      </c>
    </row>
    <row r="1161" spans="1:9" x14ac:dyDescent="0.25">
      <c r="A1161" s="1" t="s">
        <v>19</v>
      </c>
      <c r="B1161" s="5">
        <v>3.87</v>
      </c>
      <c r="C1161" s="5">
        <v>3.62</v>
      </c>
      <c r="D1161" s="5">
        <v>3.43</v>
      </c>
      <c r="E1161" s="5">
        <v>3.24</v>
      </c>
      <c r="F1161" s="5">
        <v>3.06</v>
      </c>
      <c r="G1161" s="5">
        <v>2.89</v>
      </c>
      <c r="H1161" s="5">
        <v>2.73</v>
      </c>
      <c r="I1161" s="6">
        <v>-5.649991</v>
      </c>
    </row>
    <row r="1162" spans="1:9" x14ac:dyDescent="0.25">
      <c r="A1162" s="1" t="s">
        <v>20</v>
      </c>
      <c r="B1162" s="5">
        <v>0.19</v>
      </c>
      <c r="C1162" s="5">
        <v>0.18</v>
      </c>
      <c r="D1162" s="5">
        <v>0.17</v>
      </c>
      <c r="E1162" s="5">
        <v>0.16</v>
      </c>
      <c r="F1162" s="5">
        <v>0.14000000000000001</v>
      </c>
      <c r="G1162" s="5">
        <v>0.13</v>
      </c>
      <c r="H1162" s="5">
        <v>0.12</v>
      </c>
      <c r="I1162" s="6">
        <v>-7.3729269999999998</v>
      </c>
    </row>
    <row r="1163" spans="1:9" x14ac:dyDescent="0.25">
      <c r="A1163" s="1" t="s">
        <v>21</v>
      </c>
      <c r="B1163" s="5">
        <v>0.3</v>
      </c>
      <c r="C1163" s="5">
        <v>0.3</v>
      </c>
      <c r="D1163" s="5">
        <v>0.3</v>
      </c>
      <c r="E1163" s="5">
        <v>0.3</v>
      </c>
      <c r="F1163" s="5">
        <v>0.3</v>
      </c>
      <c r="G1163" s="5">
        <v>0.3</v>
      </c>
      <c r="H1163" s="5">
        <v>0.3</v>
      </c>
      <c r="I1163" s="6">
        <v>0</v>
      </c>
    </row>
    <row r="1164" spans="1:9" x14ac:dyDescent="0.25">
      <c r="A1164" s="1" t="s">
        <v>22</v>
      </c>
      <c r="B1164" s="5">
        <v>12.44</v>
      </c>
      <c r="C1164" s="5">
        <v>12.25</v>
      </c>
      <c r="D1164" s="5">
        <v>11.98</v>
      </c>
      <c r="E1164" s="5">
        <v>11.64</v>
      </c>
      <c r="F1164" s="5">
        <v>11.3</v>
      </c>
      <c r="G1164" s="5">
        <v>10.95</v>
      </c>
      <c r="H1164" s="5">
        <v>10.61</v>
      </c>
      <c r="I1164" s="6">
        <v>-2.6171449999999998</v>
      </c>
    </row>
    <row r="1165" spans="1:9" x14ac:dyDescent="0.25">
      <c r="A1165" s="1" t="s">
        <v>23</v>
      </c>
      <c r="B1165" s="5">
        <v>2.48</v>
      </c>
      <c r="C1165" s="5">
        <v>2.16</v>
      </c>
      <c r="D1165" s="5">
        <v>1.93</v>
      </c>
      <c r="E1165" s="5">
        <v>1.76</v>
      </c>
      <c r="F1165" s="5">
        <v>1.63</v>
      </c>
      <c r="G1165" s="5">
        <v>1.54</v>
      </c>
      <c r="H1165" s="5">
        <v>1.46</v>
      </c>
      <c r="I1165" s="6">
        <v>-8.4517190000000006</v>
      </c>
    </row>
    <row r="1166" spans="1:9" x14ac:dyDescent="0.25">
      <c r="A1166" s="1" t="s">
        <v>24</v>
      </c>
      <c r="B1166" s="5">
        <v>0.04</v>
      </c>
      <c r="C1166" s="5">
        <v>0.04</v>
      </c>
      <c r="D1166" s="5">
        <v>0.04</v>
      </c>
      <c r="E1166" s="5">
        <v>0.04</v>
      </c>
      <c r="F1166" s="5">
        <v>0.04</v>
      </c>
      <c r="G1166" s="5">
        <v>0.03</v>
      </c>
      <c r="H1166" s="5">
        <v>0.03</v>
      </c>
      <c r="I1166" s="6">
        <v>-4.6815709999999999</v>
      </c>
    </row>
    <row r="1167" spans="1:9" x14ac:dyDescent="0.25">
      <c r="A1167" s="1" t="s">
        <v>25</v>
      </c>
      <c r="B1167" s="5">
        <v>28.17</v>
      </c>
      <c r="C1167" s="5">
        <v>27.06</v>
      </c>
      <c r="D1167" s="5">
        <v>25.91</v>
      </c>
      <c r="E1167" s="5">
        <v>24.71</v>
      </c>
      <c r="F1167" s="5">
        <v>23.93</v>
      </c>
      <c r="G1167" s="5">
        <v>23.12</v>
      </c>
      <c r="H1167" s="5">
        <v>22.88</v>
      </c>
      <c r="I1167" s="6">
        <v>-3.4071760000000002</v>
      </c>
    </row>
    <row r="1168" spans="1:9" x14ac:dyDescent="0.25">
      <c r="A1168" s="1" t="s">
        <v>26</v>
      </c>
      <c r="B1168" s="5">
        <v>5.29</v>
      </c>
      <c r="C1168" s="5">
        <v>5.27</v>
      </c>
      <c r="D1168" s="5">
        <v>5.24</v>
      </c>
      <c r="E1168" s="5">
        <v>5.22</v>
      </c>
      <c r="F1168" s="5">
        <v>5.2</v>
      </c>
      <c r="G1168" s="5">
        <v>5.19</v>
      </c>
      <c r="H1168" s="5">
        <v>5.17</v>
      </c>
      <c r="I1168" s="6">
        <v>-0.38169599999999998</v>
      </c>
    </row>
    <row r="1169" spans="1:9" x14ac:dyDescent="0.25">
      <c r="A1169" s="1" t="s">
        <v>27</v>
      </c>
      <c r="B1169" s="5">
        <v>1.17</v>
      </c>
      <c r="C1169" s="5">
        <v>0.87</v>
      </c>
      <c r="D1169" s="5">
        <v>0.66</v>
      </c>
      <c r="E1169" s="5">
        <v>0.45</v>
      </c>
      <c r="F1169" s="5">
        <v>0.37</v>
      </c>
      <c r="G1169" s="5">
        <v>0.31</v>
      </c>
      <c r="H1169" s="5">
        <v>0.26</v>
      </c>
      <c r="I1169" s="6">
        <v>-22.172827999999999</v>
      </c>
    </row>
    <row r="1170" spans="1:9" x14ac:dyDescent="0.25">
      <c r="A1170" s="1" t="s">
        <v>28</v>
      </c>
      <c r="B1170" s="5">
        <v>0</v>
      </c>
      <c r="C1170" s="5">
        <v>0</v>
      </c>
      <c r="D1170" s="5">
        <v>0</v>
      </c>
      <c r="E1170" s="5">
        <v>0</v>
      </c>
      <c r="F1170" s="5">
        <v>0</v>
      </c>
      <c r="G1170" s="5">
        <v>0</v>
      </c>
      <c r="H1170" s="5">
        <v>0</v>
      </c>
      <c r="I1170" s="7" t="s">
        <v>58</v>
      </c>
    </row>
    <row r="1171" spans="1:9" x14ac:dyDescent="0.25">
      <c r="A1171" s="1" t="s">
        <v>29</v>
      </c>
      <c r="B1171" s="5">
        <v>3.79</v>
      </c>
      <c r="C1171" s="5">
        <v>3.63</v>
      </c>
      <c r="D1171" s="5">
        <v>3.53</v>
      </c>
      <c r="E1171" s="5">
        <v>3.47</v>
      </c>
      <c r="F1171" s="5">
        <v>3.43</v>
      </c>
      <c r="G1171" s="5">
        <v>3.4</v>
      </c>
      <c r="H1171" s="5">
        <v>3.4</v>
      </c>
      <c r="I1171" s="6">
        <v>-1.7935639999999999</v>
      </c>
    </row>
    <row r="1172" spans="1:9" x14ac:dyDescent="0.25">
      <c r="A1172" s="1" t="s">
        <v>30</v>
      </c>
      <c r="B1172" s="5">
        <v>2.72</v>
      </c>
      <c r="C1172" s="5">
        <v>6.22</v>
      </c>
      <c r="D1172" s="5">
        <v>7.51</v>
      </c>
      <c r="E1172" s="5">
        <v>7.54</v>
      </c>
      <c r="F1172" s="5">
        <v>7.32</v>
      </c>
      <c r="G1172" s="5">
        <v>7.16</v>
      </c>
      <c r="H1172" s="5">
        <v>7.07</v>
      </c>
      <c r="I1172" s="6">
        <v>17.257802999999999</v>
      </c>
    </row>
    <row r="1173" spans="1:9" x14ac:dyDescent="0.25">
      <c r="A1173" s="1" t="s">
        <v>31</v>
      </c>
      <c r="B1173" s="5">
        <v>4.24</v>
      </c>
      <c r="C1173" s="5">
        <v>4.83</v>
      </c>
      <c r="D1173" s="5">
        <v>4.12</v>
      </c>
      <c r="E1173" s="5">
        <v>3.53</v>
      </c>
      <c r="F1173" s="5">
        <v>3.03</v>
      </c>
      <c r="G1173" s="5">
        <v>2.6</v>
      </c>
      <c r="H1173" s="5">
        <v>2.2400000000000002</v>
      </c>
      <c r="I1173" s="6">
        <v>-10.088820999999999</v>
      </c>
    </row>
    <row r="1174" spans="1:9" x14ac:dyDescent="0.25">
      <c r="A1174" s="1" t="s">
        <v>32</v>
      </c>
      <c r="B1174" s="5">
        <v>30.64</v>
      </c>
      <c r="C1174" s="5">
        <v>29.78</v>
      </c>
      <c r="D1174" s="5">
        <v>28.7</v>
      </c>
      <c r="E1174" s="5">
        <v>27.64</v>
      </c>
      <c r="F1174" s="5">
        <v>26.61</v>
      </c>
      <c r="G1174" s="5">
        <v>25.61</v>
      </c>
      <c r="H1174" s="5">
        <v>24.64</v>
      </c>
      <c r="I1174" s="6">
        <v>-3.5670790000000001</v>
      </c>
    </row>
    <row r="1175" spans="1:9" x14ac:dyDescent="0.25">
      <c r="A1175" s="1" t="s">
        <v>33</v>
      </c>
      <c r="B1175" s="5">
        <v>0.57999999999999996</v>
      </c>
      <c r="C1175" s="5">
        <v>0.55000000000000004</v>
      </c>
      <c r="D1175" s="5">
        <v>0.54</v>
      </c>
      <c r="E1175" s="5">
        <v>0.53</v>
      </c>
      <c r="F1175" s="5">
        <v>0.53</v>
      </c>
      <c r="G1175" s="5">
        <v>0.54</v>
      </c>
      <c r="H1175" s="5">
        <v>0.55000000000000004</v>
      </c>
      <c r="I1175" s="6">
        <v>-0.88125799999999999</v>
      </c>
    </row>
    <row r="1176" spans="1:9" ht="30" x14ac:dyDescent="0.25">
      <c r="A1176" s="1" t="s">
        <v>34</v>
      </c>
      <c r="B1176" s="5">
        <v>13.8</v>
      </c>
      <c r="C1176" s="5">
        <v>13.59</v>
      </c>
      <c r="D1176" s="5">
        <v>12.98</v>
      </c>
      <c r="E1176" s="5">
        <v>12.46</v>
      </c>
      <c r="F1176" s="5">
        <v>12.02</v>
      </c>
      <c r="G1176" s="5">
        <v>11.68</v>
      </c>
      <c r="H1176" s="5">
        <v>11.4</v>
      </c>
      <c r="I1176" s="6">
        <v>-3.13409</v>
      </c>
    </row>
    <row r="1177" spans="1:9" ht="30" x14ac:dyDescent="0.25">
      <c r="A1177" s="1" t="s">
        <v>35</v>
      </c>
      <c r="B1177" s="5">
        <v>3.28</v>
      </c>
      <c r="C1177" s="5">
        <v>2.99</v>
      </c>
      <c r="D1177" s="5">
        <v>2.71</v>
      </c>
      <c r="E1177" s="5">
        <v>2.4700000000000002</v>
      </c>
      <c r="F1177" s="5">
        <v>2.25</v>
      </c>
      <c r="G1177" s="5">
        <v>2.06</v>
      </c>
      <c r="H1177" s="5">
        <v>1.89</v>
      </c>
      <c r="I1177" s="6">
        <v>-8.7783350000000002</v>
      </c>
    </row>
    <row r="1178" spans="1:9" x14ac:dyDescent="0.25">
      <c r="A1178" s="1" t="s">
        <v>36</v>
      </c>
      <c r="B1178" s="5">
        <v>2.14</v>
      </c>
      <c r="C1178" s="5">
        <v>1.68</v>
      </c>
      <c r="D1178" s="5">
        <v>1.35</v>
      </c>
      <c r="E1178" s="5">
        <v>1.1000000000000001</v>
      </c>
      <c r="F1178" s="5">
        <v>0.92</v>
      </c>
      <c r="G1178" s="5">
        <v>0.78</v>
      </c>
      <c r="H1178" s="5">
        <v>0.67</v>
      </c>
      <c r="I1178" s="6">
        <v>-17.596909</v>
      </c>
    </row>
    <row r="1179" spans="1:9" x14ac:dyDescent="0.25">
      <c r="A1179" s="1" t="s">
        <v>37</v>
      </c>
      <c r="B1179" s="5">
        <v>0.06</v>
      </c>
      <c r="C1179" s="5">
        <v>0.05</v>
      </c>
      <c r="D1179" s="5">
        <v>0.04</v>
      </c>
      <c r="E1179" s="5">
        <v>0.04</v>
      </c>
      <c r="F1179" s="5">
        <v>0.04</v>
      </c>
      <c r="G1179" s="5">
        <v>0.04</v>
      </c>
      <c r="H1179" s="5">
        <v>0.03</v>
      </c>
      <c r="I1179" s="6">
        <v>-10.910128</v>
      </c>
    </row>
    <row r="1180" spans="1:9" x14ac:dyDescent="0.25">
      <c r="A1180" s="1" t="s">
        <v>38</v>
      </c>
      <c r="B1180" s="5">
        <v>0</v>
      </c>
      <c r="C1180" s="5">
        <v>0</v>
      </c>
      <c r="D1180" s="5">
        <v>0</v>
      </c>
      <c r="E1180" s="5">
        <v>0</v>
      </c>
      <c r="F1180" s="5">
        <v>0</v>
      </c>
      <c r="G1180" s="5">
        <v>0</v>
      </c>
      <c r="H1180" s="5">
        <v>0</v>
      </c>
      <c r="I1180" s="7" t="s">
        <v>58</v>
      </c>
    </row>
    <row r="1181" spans="1:9" x14ac:dyDescent="0.25">
      <c r="A1181" s="1" t="s">
        <v>39</v>
      </c>
      <c r="B1181" s="5">
        <v>18.77</v>
      </c>
      <c r="C1181" s="5">
        <v>20</v>
      </c>
      <c r="D1181" s="5">
        <v>20.9</v>
      </c>
      <c r="E1181" s="5">
        <v>21.65</v>
      </c>
      <c r="F1181" s="5">
        <v>22.27</v>
      </c>
      <c r="G1181" s="5">
        <v>22.77</v>
      </c>
      <c r="H1181" s="5">
        <v>23.18</v>
      </c>
      <c r="I1181" s="6">
        <v>3.5797500000000002</v>
      </c>
    </row>
    <row r="1182" spans="1:9" x14ac:dyDescent="0.25">
      <c r="A1182" s="1" t="s">
        <v>40</v>
      </c>
      <c r="B1182" s="5">
        <v>2.09</v>
      </c>
      <c r="C1182" s="5">
        <v>2.15</v>
      </c>
      <c r="D1182" s="5">
        <v>2.19</v>
      </c>
      <c r="E1182" s="5">
        <v>2.19</v>
      </c>
      <c r="F1182" s="5">
        <v>2.15</v>
      </c>
      <c r="G1182" s="5">
        <v>2.12</v>
      </c>
      <c r="H1182" s="5">
        <v>2.09</v>
      </c>
      <c r="I1182" s="6">
        <v>0</v>
      </c>
    </row>
    <row r="1183" spans="1:9" x14ac:dyDescent="0.25">
      <c r="A1183" s="1" t="s">
        <v>41</v>
      </c>
      <c r="B1183" s="5">
        <v>1.54</v>
      </c>
      <c r="C1183" s="5">
        <v>1.61</v>
      </c>
      <c r="D1183" s="5">
        <v>1.68</v>
      </c>
      <c r="E1183" s="5">
        <v>1.73</v>
      </c>
      <c r="F1183" s="5">
        <v>1.79</v>
      </c>
      <c r="G1183" s="5">
        <v>1.85</v>
      </c>
      <c r="H1183" s="5">
        <v>1.91</v>
      </c>
      <c r="I1183" s="6">
        <v>3.653851</v>
      </c>
    </row>
    <row r="1184" spans="1:9" x14ac:dyDescent="0.25">
      <c r="A1184" s="1" t="s">
        <v>42</v>
      </c>
      <c r="B1184" s="5">
        <v>2.34</v>
      </c>
      <c r="C1184" s="5">
        <v>2.1</v>
      </c>
      <c r="D1184" s="5">
        <v>2.1</v>
      </c>
      <c r="E1184" s="5">
        <v>2.1</v>
      </c>
      <c r="F1184" s="5">
        <v>2.09</v>
      </c>
      <c r="G1184" s="5">
        <v>2.09</v>
      </c>
      <c r="H1184" s="5">
        <v>2.1</v>
      </c>
      <c r="I1184" s="6">
        <v>-1.787393</v>
      </c>
    </row>
    <row r="1185" spans="1:9" x14ac:dyDescent="0.25">
      <c r="A1185" s="1" t="s">
        <v>43</v>
      </c>
      <c r="B1185" s="5">
        <v>0.08</v>
      </c>
      <c r="C1185" s="5">
        <v>0.08</v>
      </c>
      <c r="D1185" s="5">
        <v>0.08</v>
      </c>
      <c r="E1185" s="5">
        <v>0.08</v>
      </c>
      <c r="F1185" s="5">
        <v>0.08</v>
      </c>
      <c r="G1185" s="5">
        <v>0.08</v>
      </c>
      <c r="H1185" s="5">
        <v>0.08</v>
      </c>
      <c r="I1185" s="6">
        <v>0</v>
      </c>
    </row>
    <row r="1186" spans="1:9" x14ac:dyDescent="0.25">
      <c r="A1186" s="1" t="s">
        <v>44</v>
      </c>
      <c r="B1186" s="5">
        <v>6.5</v>
      </c>
      <c r="C1186" s="5">
        <v>7.61</v>
      </c>
      <c r="D1186" s="5">
        <v>7.99</v>
      </c>
      <c r="E1186" s="5">
        <v>8.23</v>
      </c>
      <c r="F1186" s="5">
        <v>8.8000000000000007</v>
      </c>
      <c r="G1186" s="5">
        <v>9.6</v>
      </c>
      <c r="H1186" s="5">
        <v>9.8699999999999992</v>
      </c>
      <c r="I1186" s="6">
        <v>7.2096720000000003</v>
      </c>
    </row>
    <row r="1187" spans="1:9" x14ac:dyDescent="0.25">
      <c r="A1187" s="1" t="s">
        <v>45</v>
      </c>
      <c r="B1187" s="5">
        <v>4.87</v>
      </c>
      <c r="C1187" s="5">
        <v>4.7300000000000004</v>
      </c>
      <c r="D1187" s="5">
        <v>4.6399999999999997</v>
      </c>
      <c r="E1187" s="5">
        <v>4.53</v>
      </c>
      <c r="F1187" s="5">
        <v>4.43</v>
      </c>
      <c r="G1187" s="5">
        <v>4.33</v>
      </c>
      <c r="H1187" s="5">
        <v>4.22</v>
      </c>
      <c r="I1187" s="6">
        <v>-2.3593679999999999</v>
      </c>
    </row>
    <row r="1188" spans="1:9" x14ac:dyDescent="0.25">
      <c r="A1188" s="1" t="s">
        <v>46</v>
      </c>
      <c r="B1188" s="5">
        <v>0.19</v>
      </c>
      <c r="C1188" s="5">
        <v>0.17</v>
      </c>
      <c r="D1188" s="5">
        <v>0.16</v>
      </c>
      <c r="E1188" s="5">
        <v>0.15</v>
      </c>
      <c r="F1188" s="5">
        <v>0.13</v>
      </c>
      <c r="G1188" s="5">
        <v>0.12</v>
      </c>
      <c r="H1188" s="5">
        <v>0.11</v>
      </c>
      <c r="I1188" s="6">
        <v>-8.7065020000000004</v>
      </c>
    </row>
    <row r="1189" spans="1:9" x14ac:dyDescent="0.25">
      <c r="A1189" s="1" t="s">
        <v>47</v>
      </c>
      <c r="B1189" s="5">
        <v>6.38</v>
      </c>
      <c r="C1189" s="5">
        <v>4.5199999999999996</v>
      </c>
      <c r="D1189" s="5">
        <v>3.29</v>
      </c>
      <c r="E1189" s="5">
        <v>2.17</v>
      </c>
      <c r="F1189" s="5">
        <v>1.24</v>
      </c>
      <c r="G1189" s="5">
        <v>0.57999999999999996</v>
      </c>
      <c r="H1189" s="5">
        <v>0.2</v>
      </c>
      <c r="I1189" s="6">
        <v>-43.847614</v>
      </c>
    </row>
    <row r="1190" spans="1:9" x14ac:dyDescent="0.25">
      <c r="A1190" s="1" t="s">
        <v>48</v>
      </c>
      <c r="B1190" s="5">
        <v>11.23</v>
      </c>
      <c r="C1190" s="5">
        <v>24.59</v>
      </c>
      <c r="D1190" s="5">
        <v>26.02</v>
      </c>
      <c r="E1190" s="5">
        <v>26.58</v>
      </c>
      <c r="F1190" s="5">
        <v>28.4</v>
      </c>
      <c r="G1190" s="5">
        <v>29.74</v>
      </c>
      <c r="H1190" s="5">
        <v>30.27</v>
      </c>
      <c r="I1190" s="6">
        <v>17.970144000000001</v>
      </c>
    </row>
    <row r="1191" spans="1:9" x14ac:dyDescent="0.25">
      <c r="A1191" s="1" t="s">
        <v>49</v>
      </c>
      <c r="B1191" s="5">
        <v>0.39</v>
      </c>
      <c r="C1191" s="5">
        <v>0.37</v>
      </c>
      <c r="D1191" s="5">
        <v>0.37</v>
      </c>
      <c r="E1191" s="5">
        <v>0.38</v>
      </c>
      <c r="F1191" s="5">
        <v>0.37</v>
      </c>
      <c r="G1191" s="5">
        <v>0.37</v>
      </c>
      <c r="H1191" s="5">
        <v>0.38</v>
      </c>
      <c r="I1191" s="6">
        <v>-0.43198900000000001</v>
      </c>
    </row>
    <row r="1192" spans="1:9" x14ac:dyDescent="0.25">
      <c r="A1192" s="1" t="s">
        <v>50</v>
      </c>
      <c r="B1192" s="5">
        <v>50.96</v>
      </c>
      <c r="C1192" s="5">
        <v>53.28</v>
      </c>
      <c r="D1192" s="5">
        <v>51.45</v>
      </c>
      <c r="E1192" s="5">
        <v>49.94</v>
      </c>
      <c r="F1192" s="5">
        <v>48.4</v>
      </c>
      <c r="G1192" s="5">
        <v>46.84</v>
      </c>
      <c r="H1192" s="5">
        <v>45.61</v>
      </c>
      <c r="I1192" s="6">
        <v>-1.8315859999999999</v>
      </c>
    </row>
    <row r="1193" spans="1:9" x14ac:dyDescent="0.25">
      <c r="A1193" s="1" t="s">
        <v>51</v>
      </c>
      <c r="B1193" s="5">
        <v>5.97</v>
      </c>
      <c r="C1193" s="5">
        <v>6.19</v>
      </c>
      <c r="D1193" s="5">
        <v>6.33</v>
      </c>
      <c r="E1193" s="5">
        <v>6.39</v>
      </c>
      <c r="F1193" s="5">
        <v>6.4</v>
      </c>
      <c r="G1193" s="5">
        <v>6.35</v>
      </c>
      <c r="H1193" s="5">
        <v>6.3</v>
      </c>
      <c r="I1193" s="6">
        <v>0.90074399999999999</v>
      </c>
    </row>
    <row r="1194" spans="1:9" x14ac:dyDescent="0.25">
      <c r="A1194" s="1" t="s">
        <v>52</v>
      </c>
      <c r="B1194" s="5">
        <v>0</v>
      </c>
      <c r="C1194" s="5">
        <v>0</v>
      </c>
      <c r="D1194" s="5">
        <v>0</v>
      </c>
      <c r="E1194" s="5">
        <v>0</v>
      </c>
      <c r="F1194" s="5">
        <v>0</v>
      </c>
      <c r="G1194" s="5">
        <v>0</v>
      </c>
      <c r="H1194" s="5">
        <v>0</v>
      </c>
      <c r="I1194" s="7" t="s">
        <v>58</v>
      </c>
    </row>
    <row r="1195" spans="1:9" x14ac:dyDescent="0.25">
      <c r="A1195" s="1" t="s">
        <v>53</v>
      </c>
      <c r="B1195" s="5">
        <v>11.4</v>
      </c>
      <c r="C1195" s="5">
        <v>12.32</v>
      </c>
      <c r="D1195" s="5">
        <v>12.97</v>
      </c>
      <c r="E1195" s="5">
        <v>13.58</v>
      </c>
      <c r="F1195" s="5">
        <v>14.09</v>
      </c>
      <c r="G1195" s="5">
        <v>14.51</v>
      </c>
      <c r="H1195" s="5">
        <v>14.69</v>
      </c>
      <c r="I1195" s="6">
        <v>4.3164559999999996</v>
      </c>
    </row>
    <row r="1196" spans="1:9" x14ac:dyDescent="0.25">
      <c r="A1196" s="1" t="s">
        <v>54</v>
      </c>
      <c r="B1196" s="5">
        <v>0.53</v>
      </c>
      <c r="C1196" s="5">
        <v>0.48</v>
      </c>
      <c r="D1196" s="5">
        <v>0.43</v>
      </c>
      <c r="E1196" s="5">
        <v>0.39</v>
      </c>
      <c r="F1196" s="5">
        <v>0.36</v>
      </c>
      <c r="G1196" s="5">
        <v>0.24</v>
      </c>
      <c r="H1196" s="5">
        <v>0.2</v>
      </c>
      <c r="I1196" s="6">
        <v>-14.992152000000001</v>
      </c>
    </row>
    <row r="1197" spans="1:9" x14ac:dyDescent="0.25">
      <c r="A1197" s="1" t="s">
        <v>55</v>
      </c>
      <c r="B1197" s="5">
        <v>8.9700000000000006</v>
      </c>
      <c r="C1197" s="5">
        <v>8.93</v>
      </c>
      <c r="D1197" s="5">
        <v>8.9</v>
      </c>
      <c r="E1197" s="5">
        <v>8.82</v>
      </c>
      <c r="F1197" s="5">
        <v>8.7100000000000009</v>
      </c>
      <c r="G1197" s="5">
        <v>8.58</v>
      </c>
      <c r="H1197" s="5">
        <v>8.4600000000000009</v>
      </c>
      <c r="I1197" s="6">
        <v>-0.97086499999999998</v>
      </c>
    </row>
    <row r="1198" spans="1:9" x14ac:dyDescent="0.25">
      <c r="A1198" s="1" t="s">
        <v>56</v>
      </c>
      <c r="B1198" s="5">
        <v>17.55</v>
      </c>
      <c r="C1198" s="5">
        <v>14.22</v>
      </c>
      <c r="D1198" s="5">
        <v>12</v>
      </c>
      <c r="E1198" s="5">
        <v>10.57</v>
      </c>
      <c r="F1198" s="5">
        <v>9.5</v>
      </c>
      <c r="G1198" s="5">
        <v>8.5</v>
      </c>
      <c r="H1198" s="5">
        <v>7.88</v>
      </c>
      <c r="I1198" s="6">
        <v>-12.493258000000001</v>
      </c>
    </row>
    <row r="1199" spans="1:9" x14ac:dyDescent="0.25">
      <c r="A1199" s="1" t="s">
        <v>57</v>
      </c>
      <c r="B1199" s="7" t="s">
        <v>58</v>
      </c>
      <c r="C1199" s="7" t="s">
        <v>58</v>
      </c>
      <c r="D1199" s="7" t="s">
        <v>58</v>
      </c>
      <c r="E1199" s="7" t="s">
        <v>58</v>
      </c>
      <c r="F1199" s="7" t="s">
        <v>58</v>
      </c>
      <c r="G1199" s="7" t="s">
        <v>58</v>
      </c>
      <c r="H1199" s="7" t="s">
        <v>58</v>
      </c>
      <c r="I1199" s="7" t="s">
        <v>58</v>
      </c>
    </row>
    <row r="1200" spans="1:9" x14ac:dyDescent="0.25">
      <c r="A1200" s="1" t="s">
        <v>59</v>
      </c>
      <c r="B1200" s="5">
        <v>38.58</v>
      </c>
      <c r="C1200" s="5">
        <v>39.71</v>
      </c>
      <c r="D1200" s="5">
        <v>40.76</v>
      </c>
      <c r="E1200" s="5">
        <v>41.71</v>
      </c>
      <c r="F1200" s="5">
        <v>42.46</v>
      </c>
      <c r="G1200" s="5">
        <v>40.659999999999997</v>
      </c>
      <c r="H1200" s="5">
        <v>39.92</v>
      </c>
      <c r="I1200" s="6">
        <v>0.57067999999999997</v>
      </c>
    </row>
    <row r="1201" spans="1:9" x14ac:dyDescent="0.25">
      <c r="A1201" s="1" t="s">
        <v>60</v>
      </c>
      <c r="B1201" s="5">
        <v>0.13</v>
      </c>
      <c r="C1201" s="5">
        <v>0.12</v>
      </c>
      <c r="D1201" s="5">
        <v>0.11</v>
      </c>
      <c r="E1201" s="5">
        <v>0.1</v>
      </c>
      <c r="F1201" s="5">
        <v>0.1</v>
      </c>
      <c r="G1201" s="5">
        <v>0.09</v>
      </c>
      <c r="H1201" s="5">
        <v>0.08</v>
      </c>
      <c r="I1201" s="6">
        <v>-7.773066</v>
      </c>
    </row>
    <row r="1202" spans="1:9" ht="45" x14ac:dyDescent="0.25">
      <c r="A1202" s="1" t="s">
        <v>61</v>
      </c>
      <c r="B1202" s="5">
        <v>3.23</v>
      </c>
      <c r="C1202" s="5">
        <v>3.01</v>
      </c>
      <c r="D1202" s="5">
        <v>2.81</v>
      </c>
      <c r="E1202" s="5">
        <v>2.66</v>
      </c>
      <c r="F1202" s="5">
        <v>2.5499999999999998</v>
      </c>
      <c r="G1202" s="5">
        <v>2.46</v>
      </c>
      <c r="H1202" s="5">
        <v>2.39</v>
      </c>
      <c r="I1202" s="6">
        <v>-4.8959020000000004</v>
      </c>
    </row>
    <row r="1203" spans="1:9" x14ac:dyDescent="0.25">
      <c r="A1203" s="1" t="s">
        <v>62</v>
      </c>
      <c r="B1203" s="5">
        <v>1.41</v>
      </c>
      <c r="C1203" s="5">
        <v>1.31</v>
      </c>
      <c r="D1203" s="5">
        <v>1.27</v>
      </c>
      <c r="E1203" s="5">
        <v>1.24</v>
      </c>
      <c r="F1203" s="5">
        <v>1.2</v>
      </c>
      <c r="G1203" s="5">
        <v>1.18</v>
      </c>
      <c r="H1203" s="5">
        <v>1.1499999999999999</v>
      </c>
      <c r="I1203" s="6">
        <v>-3.3400750000000001</v>
      </c>
    </row>
    <row r="1204" spans="1:9" x14ac:dyDescent="0.25">
      <c r="A1204" s="1" t="s">
        <v>63</v>
      </c>
      <c r="B1204" s="5">
        <v>7.01</v>
      </c>
      <c r="C1204" s="5">
        <v>6.64</v>
      </c>
      <c r="D1204" s="5">
        <v>6.33</v>
      </c>
      <c r="E1204" s="5">
        <v>6.03</v>
      </c>
      <c r="F1204" s="5">
        <v>5.82</v>
      </c>
      <c r="G1204" s="5">
        <v>5.48</v>
      </c>
      <c r="H1204" s="5">
        <v>5.18</v>
      </c>
      <c r="I1204" s="6">
        <v>-4.9172010000000004</v>
      </c>
    </row>
    <row r="1205" spans="1:9" x14ac:dyDescent="0.25">
      <c r="A1205" s="1" t="s">
        <v>64</v>
      </c>
      <c r="B1205" s="5">
        <v>3.48</v>
      </c>
      <c r="C1205" s="5">
        <v>3.04</v>
      </c>
      <c r="D1205" s="5">
        <v>2.74</v>
      </c>
      <c r="E1205" s="5">
        <v>2.52</v>
      </c>
      <c r="F1205" s="5">
        <v>2.35</v>
      </c>
      <c r="G1205" s="5">
        <v>2.23</v>
      </c>
      <c r="H1205" s="5">
        <v>2.14</v>
      </c>
      <c r="I1205" s="6">
        <v>-7.7841120000000004</v>
      </c>
    </row>
    <row r="1206" spans="1:9" x14ac:dyDescent="0.25">
      <c r="A1206" s="1" t="s">
        <v>65</v>
      </c>
      <c r="B1206" s="5">
        <v>0.54</v>
      </c>
      <c r="C1206" s="5">
        <v>0.51</v>
      </c>
      <c r="D1206" s="5">
        <v>0.48</v>
      </c>
      <c r="E1206" s="5">
        <v>0.44</v>
      </c>
      <c r="F1206" s="5">
        <v>0.42</v>
      </c>
      <c r="G1206" s="5">
        <v>0.39</v>
      </c>
      <c r="H1206" s="5">
        <v>0.37</v>
      </c>
      <c r="I1206" s="6">
        <v>-6.1066880000000001</v>
      </c>
    </row>
    <row r="1207" spans="1:9" x14ac:dyDescent="0.25">
      <c r="A1207" s="1" t="s">
        <v>66</v>
      </c>
      <c r="B1207" s="5">
        <v>2.86</v>
      </c>
      <c r="C1207" s="5">
        <v>2.4500000000000002</v>
      </c>
      <c r="D1207" s="5">
        <v>2.17</v>
      </c>
      <c r="E1207" s="5">
        <v>1.98</v>
      </c>
      <c r="F1207" s="5">
        <v>1.84</v>
      </c>
      <c r="G1207" s="5">
        <v>1.75</v>
      </c>
      <c r="H1207" s="5">
        <v>1.68</v>
      </c>
      <c r="I1207" s="6">
        <v>-8.4853670000000001</v>
      </c>
    </row>
    <row r="1208" spans="1:9" ht="30" x14ac:dyDescent="0.25">
      <c r="A1208" s="1" t="s">
        <v>67</v>
      </c>
      <c r="B1208" s="5">
        <v>3.01</v>
      </c>
      <c r="C1208" s="5">
        <v>3.15</v>
      </c>
      <c r="D1208" s="5">
        <v>3.2</v>
      </c>
      <c r="E1208" s="5">
        <v>3.2</v>
      </c>
      <c r="F1208" s="5">
        <v>3.23</v>
      </c>
      <c r="G1208" s="5">
        <v>3.26</v>
      </c>
      <c r="H1208" s="5">
        <v>3.32</v>
      </c>
      <c r="I1208" s="6">
        <v>1.6471640000000001</v>
      </c>
    </row>
    <row r="1209" spans="1:9" x14ac:dyDescent="0.25">
      <c r="A1209" s="1" t="s">
        <v>68</v>
      </c>
      <c r="B1209" s="7" t="s">
        <v>58</v>
      </c>
      <c r="C1209" s="7" t="s">
        <v>58</v>
      </c>
      <c r="D1209" s="7" t="s">
        <v>58</v>
      </c>
      <c r="E1209" s="7" t="s">
        <v>58</v>
      </c>
      <c r="F1209" s="7" t="s">
        <v>58</v>
      </c>
      <c r="G1209" s="7" t="s">
        <v>58</v>
      </c>
      <c r="H1209" s="7" t="s">
        <v>58</v>
      </c>
      <c r="I1209" s="7" t="s">
        <v>58</v>
      </c>
    </row>
    <row r="1210" spans="1:9" x14ac:dyDescent="0.25">
      <c r="A1210" s="1" t="s">
        <v>69</v>
      </c>
      <c r="B1210" s="5">
        <v>5.82</v>
      </c>
      <c r="C1210" s="5">
        <v>5.27</v>
      </c>
      <c r="D1210" s="5">
        <v>4.8099999999999996</v>
      </c>
      <c r="E1210" s="5">
        <v>4.3099999999999996</v>
      </c>
      <c r="F1210" s="5">
        <v>3.93</v>
      </c>
      <c r="G1210" s="5">
        <v>3.51</v>
      </c>
      <c r="H1210" s="5">
        <v>3.16</v>
      </c>
      <c r="I1210" s="6">
        <v>-9.6779019999999996</v>
      </c>
    </row>
    <row r="1211" spans="1:9" x14ac:dyDescent="0.25">
      <c r="A1211" s="1" t="s">
        <v>70</v>
      </c>
      <c r="B1211" s="5">
        <v>0.08</v>
      </c>
      <c r="C1211" s="5">
        <v>0.15</v>
      </c>
      <c r="D1211" s="5">
        <v>0.26</v>
      </c>
      <c r="E1211" s="5">
        <v>0.39</v>
      </c>
      <c r="F1211" s="5">
        <v>0.6</v>
      </c>
      <c r="G1211" s="5">
        <v>0.75</v>
      </c>
      <c r="H1211" s="5">
        <v>0.85</v>
      </c>
      <c r="I1211" s="6">
        <v>48.270524000000002</v>
      </c>
    </row>
    <row r="1212" spans="1:9" x14ac:dyDescent="0.25">
      <c r="A1212" s="1" t="s">
        <v>71</v>
      </c>
      <c r="B1212" s="5">
        <v>17.489999999999998</v>
      </c>
      <c r="C1212" s="5">
        <v>17.600000000000001</v>
      </c>
      <c r="D1212" s="5">
        <v>17.79</v>
      </c>
      <c r="E1212" s="5">
        <v>17.89</v>
      </c>
      <c r="F1212" s="5">
        <v>18.07</v>
      </c>
      <c r="G1212" s="5">
        <v>18.02</v>
      </c>
      <c r="H1212" s="5">
        <v>18.010000000000002</v>
      </c>
      <c r="I1212" s="6">
        <v>0.48949199999999998</v>
      </c>
    </row>
    <row r="1213" spans="1:9" x14ac:dyDescent="0.25">
      <c r="A1213" s="1" t="s">
        <v>72</v>
      </c>
      <c r="B1213" s="5">
        <v>16.100000000000001</v>
      </c>
      <c r="C1213" s="5">
        <v>15.83</v>
      </c>
      <c r="D1213" s="5">
        <v>15.78</v>
      </c>
      <c r="E1213" s="5">
        <v>15.78</v>
      </c>
      <c r="F1213" s="5">
        <v>15.78</v>
      </c>
      <c r="G1213" s="5">
        <v>15.78</v>
      </c>
      <c r="H1213" s="5">
        <v>15.68</v>
      </c>
      <c r="I1213" s="6">
        <v>-0.439585</v>
      </c>
    </row>
    <row r="1214" spans="1:9" x14ac:dyDescent="0.25">
      <c r="A1214" s="1" t="s">
        <v>73</v>
      </c>
      <c r="B1214" s="7" t="s">
        <v>58</v>
      </c>
      <c r="C1214" s="7" t="s">
        <v>58</v>
      </c>
      <c r="D1214" s="7" t="s">
        <v>58</v>
      </c>
      <c r="E1214" s="7" t="s">
        <v>58</v>
      </c>
      <c r="F1214" s="7" t="s">
        <v>58</v>
      </c>
      <c r="G1214" s="7" t="s">
        <v>58</v>
      </c>
      <c r="H1214" s="7" t="s">
        <v>58</v>
      </c>
      <c r="I1214" s="7" t="s">
        <v>58</v>
      </c>
    </row>
    <row r="1215" spans="1:9" ht="30" x14ac:dyDescent="0.25">
      <c r="A1215" s="1" t="s">
        <v>74</v>
      </c>
      <c r="B1215" s="5">
        <v>9.07</v>
      </c>
      <c r="C1215" s="5">
        <v>11.26</v>
      </c>
      <c r="D1215" s="5">
        <v>13.12</v>
      </c>
      <c r="E1215" s="5">
        <v>14.64</v>
      </c>
      <c r="F1215" s="5">
        <v>15.99</v>
      </c>
      <c r="G1215" s="5">
        <v>17.309999999999999</v>
      </c>
      <c r="H1215" s="5">
        <v>17.75</v>
      </c>
      <c r="I1215" s="6">
        <v>11.840349</v>
      </c>
    </row>
    <row r="1216" spans="1:9" x14ac:dyDescent="0.25">
      <c r="A1216" s="1" t="s">
        <v>75</v>
      </c>
      <c r="B1216" s="5">
        <v>9.3699999999999992</v>
      </c>
      <c r="C1216" s="5">
        <v>9.65</v>
      </c>
      <c r="D1216" s="5">
        <v>9.7200000000000006</v>
      </c>
      <c r="E1216" s="5">
        <v>9.76</v>
      </c>
      <c r="F1216" s="5">
        <v>9.77</v>
      </c>
      <c r="G1216" s="5">
        <v>9.77</v>
      </c>
      <c r="H1216" s="5">
        <v>9.74</v>
      </c>
      <c r="I1216" s="6">
        <v>0.64755499999999999</v>
      </c>
    </row>
    <row r="1217" spans="1:9" x14ac:dyDescent="0.25">
      <c r="A1217" s="1" t="s">
        <v>76</v>
      </c>
      <c r="B1217" s="5">
        <v>38.700000000000003</v>
      </c>
      <c r="C1217" s="5">
        <v>38.17</v>
      </c>
      <c r="D1217" s="5">
        <v>37.74</v>
      </c>
      <c r="E1217" s="5">
        <v>37.229999999999997</v>
      </c>
      <c r="F1217" s="5">
        <v>36.54</v>
      </c>
      <c r="G1217" s="5">
        <v>35.82</v>
      </c>
      <c r="H1217" s="5">
        <v>35.06</v>
      </c>
      <c r="I1217" s="6">
        <v>-1.6328339999999999</v>
      </c>
    </row>
    <row r="1218" spans="1:9" ht="45" x14ac:dyDescent="0.25">
      <c r="A1218" s="1" t="s">
        <v>77</v>
      </c>
      <c r="B1218" s="5">
        <v>8.48</v>
      </c>
      <c r="C1218" s="5">
        <v>8.5299999999999994</v>
      </c>
      <c r="D1218" s="5">
        <v>8.5299999999999994</v>
      </c>
      <c r="E1218" s="5">
        <v>8.42</v>
      </c>
      <c r="F1218" s="5">
        <v>7.95</v>
      </c>
      <c r="G1218" s="5">
        <v>7.71</v>
      </c>
      <c r="H1218" s="5">
        <v>7.44</v>
      </c>
      <c r="I1218" s="6">
        <v>-2.1570559999999999</v>
      </c>
    </row>
    <row r="1219" spans="1:9" ht="45" x14ac:dyDescent="0.25">
      <c r="A1219" s="1" t="s">
        <v>78</v>
      </c>
      <c r="B1219" s="5">
        <v>1.52</v>
      </c>
      <c r="C1219" s="5">
        <v>1.38</v>
      </c>
      <c r="D1219" s="5">
        <v>1.25</v>
      </c>
      <c r="E1219" s="5">
        <v>1.1399999999999999</v>
      </c>
      <c r="F1219" s="5">
        <v>1.02</v>
      </c>
      <c r="G1219" s="5">
        <v>0.92</v>
      </c>
      <c r="H1219" s="5">
        <v>0.82</v>
      </c>
      <c r="I1219" s="6">
        <v>-9.7746910000000007</v>
      </c>
    </row>
    <row r="1220" spans="1:9" ht="60" x14ac:dyDescent="0.25">
      <c r="A1220" s="1" t="s">
        <v>79</v>
      </c>
      <c r="B1220" s="7" t="s">
        <v>58</v>
      </c>
      <c r="C1220" s="7" t="s">
        <v>58</v>
      </c>
      <c r="D1220" s="7" t="s">
        <v>58</v>
      </c>
      <c r="E1220" s="7" t="s">
        <v>58</v>
      </c>
      <c r="F1220" s="7" t="s">
        <v>58</v>
      </c>
      <c r="G1220" s="7" t="s">
        <v>58</v>
      </c>
      <c r="H1220" s="7" t="s">
        <v>58</v>
      </c>
      <c r="I1220" s="7" t="s">
        <v>58</v>
      </c>
    </row>
    <row r="1221" spans="1:9" ht="45" x14ac:dyDescent="0.25">
      <c r="A1221" s="1" t="s">
        <v>80</v>
      </c>
      <c r="B1221" s="7" t="s">
        <v>58</v>
      </c>
      <c r="C1221" s="7" t="s">
        <v>58</v>
      </c>
      <c r="D1221" s="7" t="s">
        <v>58</v>
      </c>
      <c r="E1221" s="7" t="s">
        <v>58</v>
      </c>
      <c r="F1221" s="7" t="s">
        <v>58</v>
      </c>
      <c r="G1221" s="7" t="s">
        <v>58</v>
      </c>
      <c r="H1221" s="7" t="s">
        <v>58</v>
      </c>
      <c r="I1221" s="7" t="s">
        <v>58</v>
      </c>
    </row>
    <row r="1222" spans="1:9" ht="45" x14ac:dyDescent="0.25">
      <c r="A1222" s="1" t="s">
        <v>81</v>
      </c>
      <c r="B1222" s="5">
        <v>1.89</v>
      </c>
      <c r="C1222" s="5">
        <v>1.83</v>
      </c>
      <c r="D1222" s="5">
        <v>1.78</v>
      </c>
      <c r="E1222" s="5">
        <v>1.73</v>
      </c>
      <c r="F1222" s="5">
        <v>1.68</v>
      </c>
      <c r="G1222" s="5">
        <v>1.63</v>
      </c>
      <c r="H1222" s="5">
        <v>1.59</v>
      </c>
      <c r="I1222" s="6">
        <v>-2.8396170000000001</v>
      </c>
    </row>
    <row r="1223" spans="1:9" x14ac:dyDescent="0.25">
      <c r="A1223" s="1" t="s">
        <v>82</v>
      </c>
      <c r="B1223" s="5">
        <v>18.39</v>
      </c>
      <c r="C1223" s="5">
        <v>17.010000000000002</v>
      </c>
      <c r="D1223" s="5">
        <v>15.67</v>
      </c>
      <c r="E1223" s="5">
        <v>14.47</v>
      </c>
      <c r="F1223" s="5">
        <v>13.43</v>
      </c>
      <c r="G1223" s="5">
        <v>12.72</v>
      </c>
      <c r="H1223" s="5">
        <v>12.24</v>
      </c>
      <c r="I1223" s="6">
        <v>-6.5599030000000003</v>
      </c>
    </row>
    <row r="1224" spans="1:9" x14ac:dyDescent="0.25">
      <c r="A1224" s="1" t="s">
        <v>83</v>
      </c>
      <c r="B1224" s="5">
        <v>2.91</v>
      </c>
      <c r="C1224" s="5">
        <v>2.82</v>
      </c>
      <c r="D1224" s="5">
        <v>2.73</v>
      </c>
      <c r="E1224" s="5">
        <v>2.64</v>
      </c>
      <c r="F1224" s="5">
        <v>2.5499999999999998</v>
      </c>
      <c r="G1224" s="5">
        <v>2.46</v>
      </c>
      <c r="H1224" s="5">
        <v>2.39</v>
      </c>
      <c r="I1224" s="6">
        <v>-3.227754</v>
      </c>
    </row>
    <row r="1225" spans="1:9" x14ac:dyDescent="0.25">
      <c r="A1225" s="1" t="s">
        <v>84</v>
      </c>
      <c r="B1225" s="5">
        <v>1.75</v>
      </c>
      <c r="C1225" s="5">
        <v>1.66</v>
      </c>
      <c r="D1225" s="5">
        <v>1.57</v>
      </c>
      <c r="E1225" s="5">
        <v>1.5</v>
      </c>
      <c r="F1225" s="5">
        <v>1.43</v>
      </c>
      <c r="G1225" s="5">
        <v>1.38</v>
      </c>
      <c r="H1225" s="5">
        <v>1.33</v>
      </c>
      <c r="I1225" s="6">
        <v>-4.4709190000000003</v>
      </c>
    </row>
    <row r="1226" spans="1:9" x14ac:dyDescent="0.25">
      <c r="A1226" s="1" t="s">
        <v>85</v>
      </c>
      <c r="B1226" s="5">
        <v>2.6</v>
      </c>
      <c r="C1226" s="5">
        <v>2.2999999999999998</v>
      </c>
      <c r="D1226" s="5">
        <v>2</v>
      </c>
      <c r="E1226" s="5">
        <v>1.7</v>
      </c>
      <c r="F1226" s="5">
        <v>1.4</v>
      </c>
      <c r="G1226" s="5">
        <v>0.87</v>
      </c>
      <c r="H1226" s="5">
        <v>1.4</v>
      </c>
      <c r="I1226" s="6">
        <v>-9.8029259999999994</v>
      </c>
    </row>
    <row r="1227" spans="1:9" x14ac:dyDescent="0.25">
      <c r="A1227" s="1" t="s">
        <v>86</v>
      </c>
      <c r="B1227" s="5">
        <v>1.98</v>
      </c>
      <c r="C1227" s="5">
        <v>1.52</v>
      </c>
      <c r="D1227" s="5">
        <v>1.26</v>
      </c>
      <c r="E1227" s="5">
        <v>1.08</v>
      </c>
      <c r="F1227" s="5">
        <v>0.95</v>
      </c>
      <c r="G1227" s="5">
        <v>0.85</v>
      </c>
      <c r="H1227" s="5">
        <v>0.77</v>
      </c>
      <c r="I1227" s="6">
        <v>-14.564653</v>
      </c>
    </row>
    <row r="1228" spans="1:9" x14ac:dyDescent="0.25">
      <c r="A1228" s="1" t="s">
        <v>87</v>
      </c>
      <c r="B1228" s="5">
        <v>9.68</v>
      </c>
      <c r="C1228" s="5">
        <v>5.73</v>
      </c>
      <c r="D1228" s="5">
        <v>3.96</v>
      </c>
      <c r="E1228" s="5">
        <v>3.23</v>
      </c>
      <c r="F1228" s="5">
        <v>2.6</v>
      </c>
      <c r="G1228" s="5">
        <v>2.12</v>
      </c>
      <c r="H1228" s="5">
        <v>1.73</v>
      </c>
      <c r="I1228" s="6">
        <v>-24.948083</v>
      </c>
    </row>
    <row r="1229" spans="1:9" x14ac:dyDescent="0.25">
      <c r="A1229" s="1" t="s">
        <v>88</v>
      </c>
      <c r="B1229" s="5">
        <v>5.18</v>
      </c>
      <c r="C1229" s="5">
        <v>4.45</v>
      </c>
      <c r="D1229" s="5">
        <v>3.78</v>
      </c>
      <c r="E1229" s="5">
        <v>3.16</v>
      </c>
      <c r="F1229" s="5">
        <v>2.61</v>
      </c>
      <c r="G1229" s="5">
        <v>2.12</v>
      </c>
      <c r="H1229" s="5">
        <v>1.69</v>
      </c>
      <c r="I1229" s="6">
        <v>-17.029032000000001</v>
      </c>
    </row>
    <row r="1230" spans="1:9" x14ac:dyDescent="0.25">
      <c r="A1230" s="1" t="s">
        <v>89</v>
      </c>
      <c r="B1230" s="5">
        <v>6.28</v>
      </c>
      <c r="C1230" s="5">
        <v>6.26</v>
      </c>
      <c r="D1230" s="5">
        <v>6.24</v>
      </c>
      <c r="E1230" s="5">
        <v>6.22</v>
      </c>
      <c r="F1230" s="5">
        <v>6.2</v>
      </c>
      <c r="G1230" s="5">
        <v>6.19</v>
      </c>
      <c r="H1230" s="5">
        <v>6.18</v>
      </c>
      <c r="I1230" s="6">
        <v>-0.26717099999999999</v>
      </c>
    </row>
    <row r="1231" spans="1:9" x14ac:dyDescent="0.25">
      <c r="A1231" s="1" t="s">
        <v>90</v>
      </c>
      <c r="B1231" s="5">
        <v>4.0199999999999996</v>
      </c>
      <c r="C1231" s="5">
        <v>4.26</v>
      </c>
      <c r="D1231" s="5">
        <v>4.49</v>
      </c>
      <c r="E1231" s="5">
        <v>4.71</v>
      </c>
      <c r="F1231" s="5">
        <v>4.91</v>
      </c>
      <c r="G1231" s="5">
        <v>5.0999999999999996</v>
      </c>
      <c r="H1231" s="5">
        <v>5.29</v>
      </c>
      <c r="I1231" s="6">
        <v>4.681902</v>
      </c>
    </row>
    <row r="1232" spans="1:9" x14ac:dyDescent="0.25">
      <c r="A1232" s="1" t="s">
        <v>91</v>
      </c>
      <c r="B1232" s="5">
        <v>0</v>
      </c>
      <c r="C1232" s="5">
        <v>0</v>
      </c>
      <c r="D1232" s="5">
        <v>0</v>
      </c>
      <c r="E1232" s="5">
        <v>0</v>
      </c>
      <c r="F1232" s="5">
        <v>0</v>
      </c>
      <c r="G1232" s="5">
        <v>0</v>
      </c>
      <c r="H1232" s="5">
        <v>0</v>
      </c>
      <c r="I1232" s="7" t="s">
        <v>58</v>
      </c>
    </row>
    <row r="1233" spans="1:9" x14ac:dyDescent="0.25">
      <c r="A1233" s="1" t="s">
        <v>92</v>
      </c>
      <c r="B1233" s="5">
        <v>0.4</v>
      </c>
      <c r="C1233" s="5">
        <v>0.6</v>
      </c>
      <c r="D1233" s="5">
        <v>0.43</v>
      </c>
      <c r="E1233" s="5">
        <v>0.36</v>
      </c>
      <c r="F1233" s="5">
        <v>0.34</v>
      </c>
      <c r="G1233" s="5">
        <v>0.32</v>
      </c>
      <c r="H1233" s="5">
        <v>0.31</v>
      </c>
      <c r="I1233" s="6">
        <v>-4.1592320000000003</v>
      </c>
    </row>
    <row r="1234" spans="1:9" x14ac:dyDescent="0.25">
      <c r="A1234" s="1" t="s">
        <v>93</v>
      </c>
      <c r="B1234" s="5">
        <v>1.01</v>
      </c>
      <c r="C1234" s="5">
        <v>0.96</v>
      </c>
      <c r="D1234" s="5">
        <v>0.93</v>
      </c>
      <c r="E1234" s="5">
        <v>0.91</v>
      </c>
      <c r="F1234" s="5">
        <v>0.89</v>
      </c>
      <c r="G1234" s="5">
        <v>0.87</v>
      </c>
      <c r="H1234" s="5">
        <v>0.86</v>
      </c>
      <c r="I1234" s="6">
        <v>-2.6439720000000002</v>
      </c>
    </row>
    <row r="1235" spans="1:9" x14ac:dyDescent="0.25">
      <c r="A1235" s="1" t="s">
        <v>94</v>
      </c>
      <c r="B1235" s="5">
        <v>1.08</v>
      </c>
      <c r="C1235" s="5">
        <v>0.86</v>
      </c>
      <c r="D1235" s="5">
        <v>0.71</v>
      </c>
      <c r="E1235" s="5">
        <v>0.61</v>
      </c>
      <c r="F1235" s="5">
        <v>0.54</v>
      </c>
      <c r="G1235" s="5">
        <v>0.49</v>
      </c>
      <c r="H1235" s="5">
        <v>0.45</v>
      </c>
      <c r="I1235" s="6">
        <v>-13.576578</v>
      </c>
    </row>
    <row r="1236" spans="1:9" x14ac:dyDescent="0.25">
      <c r="A1236" s="1" t="s">
        <v>95</v>
      </c>
      <c r="B1236" s="5">
        <v>3.9</v>
      </c>
      <c r="C1236" s="5">
        <v>4.2</v>
      </c>
      <c r="D1236" s="5">
        <v>3.9</v>
      </c>
      <c r="E1236" s="5">
        <v>3.72</v>
      </c>
      <c r="F1236" s="5">
        <v>3.58</v>
      </c>
      <c r="G1236" s="5">
        <v>3.47</v>
      </c>
      <c r="H1236" s="5">
        <v>3.38</v>
      </c>
      <c r="I1236" s="6">
        <v>-2.3567969999999998</v>
      </c>
    </row>
    <row r="1237" spans="1:9" x14ac:dyDescent="0.25">
      <c r="A1237" s="1" t="s">
        <v>96</v>
      </c>
      <c r="B1237" s="5">
        <v>0</v>
      </c>
      <c r="C1237" s="5">
        <v>0</v>
      </c>
      <c r="D1237" s="5">
        <v>0</v>
      </c>
      <c r="E1237" s="5">
        <v>0</v>
      </c>
      <c r="F1237" s="5">
        <v>0</v>
      </c>
      <c r="G1237" s="5">
        <v>0</v>
      </c>
      <c r="H1237" s="5">
        <v>0</v>
      </c>
      <c r="I1237" s="7" t="s">
        <v>58</v>
      </c>
    </row>
    <row r="1238" spans="1:9" x14ac:dyDescent="0.25">
      <c r="A1238" s="1" t="s">
        <v>97</v>
      </c>
      <c r="B1238" s="5">
        <v>12.92</v>
      </c>
      <c r="C1238" s="5">
        <v>10.27</v>
      </c>
      <c r="D1238" s="5">
        <v>8.39</v>
      </c>
      <c r="E1238" s="5">
        <v>6.81</v>
      </c>
      <c r="F1238" s="5">
        <v>5.47</v>
      </c>
      <c r="G1238" s="5">
        <v>4.3600000000000003</v>
      </c>
      <c r="H1238" s="5">
        <v>3.42</v>
      </c>
      <c r="I1238" s="6">
        <v>-19.870222999999999</v>
      </c>
    </row>
    <row r="1239" spans="1:9" x14ac:dyDescent="0.25">
      <c r="A1239" s="1" t="s">
        <v>98</v>
      </c>
      <c r="B1239" s="5">
        <v>0</v>
      </c>
      <c r="C1239" s="5">
        <v>0</v>
      </c>
      <c r="D1239" s="5">
        <v>0</v>
      </c>
      <c r="E1239" s="5">
        <v>0</v>
      </c>
      <c r="F1239" s="5">
        <v>0</v>
      </c>
      <c r="G1239" s="5">
        <v>0</v>
      </c>
      <c r="H1239" s="5">
        <v>0</v>
      </c>
      <c r="I1239" s="7" t="s">
        <v>58</v>
      </c>
    </row>
    <row r="1240" spans="1:9" x14ac:dyDescent="0.25">
      <c r="A1240" s="1" t="s">
        <v>99</v>
      </c>
      <c r="B1240" s="5">
        <v>10.95</v>
      </c>
      <c r="C1240" s="5">
        <v>10.38</v>
      </c>
      <c r="D1240" s="5">
        <v>9.86</v>
      </c>
      <c r="E1240" s="5">
        <v>8.77</v>
      </c>
      <c r="F1240" s="5">
        <v>7.91</v>
      </c>
      <c r="G1240" s="5">
        <v>7.42</v>
      </c>
      <c r="H1240" s="5">
        <v>7.07</v>
      </c>
      <c r="I1240" s="6">
        <v>-7.0318440000000004</v>
      </c>
    </row>
    <row r="1241" spans="1:9" x14ac:dyDescent="0.25">
      <c r="A1241" s="1" t="s">
        <v>100</v>
      </c>
      <c r="B1241" s="5">
        <v>0</v>
      </c>
      <c r="C1241" s="5">
        <v>0</v>
      </c>
      <c r="D1241" s="5">
        <v>0</v>
      </c>
      <c r="E1241" s="5">
        <v>0</v>
      </c>
      <c r="F1241" s="5">
        <v>0</v>
      </c>
      <c r="G1241" s="5">
        <v>0</v>
      </c>
      <c r="H1241" s="5">
        <v>0</v>
      </c>
      <c r="I1241" s="7" t="s">
        <v>58</v>
      </c>
    </row>
    <row r="1242" spans="1:9" x14ac:dyDescent="0.25">
      <c r="A1242" s="1" t="s">
        <v>101</v>
      </c>
      <c r="B1242" s="5">
        <v>2.7</v>
      </c>
      <c r="C1242" s="5">
        <v>2.77</v>
      </c>
      <c r="D1242" s="5">
        <v>2.84</v>
      </c>
      <c r="E1242" s="5">
        <v>2.92</v>
      </c>
      <c r="F1242" s="5">
        <v>3</v>
      </c>
      <c r="G1242" s="5">
        <v>3.08</v>
      </c>
      <c r="H1242" s="5">
        <v>3.17</v>
      </c>
      <c r="I1242" s="6">
        <v>2.7107540000000001</v>
      </c>
    </row>
    <row r="1243" spans="1:9" x14ac:dyDescent="0.25">
      <c r="A1243" s="1" t="s">
        <v>102</v>
      </c>
      <c r="B1243" s="5">
        <v>0.15</v>
      </c>
      <c r="C1243" s="5">
        <v>0.14000000000000001</v>
      </c>
      <c r="D1243" s="5">
        <v>0.14000000000000001</v>
      </c>
      <c r="E1243" s="5">
        <v>0.14000000000000001</v>
      </c>
      <c r="F1243" s="5">
        <v>0.14000000000000001</v>
      </c>
      <c r="G1243" s="5">
        <v>0.14000000000000001</v>
      </c>
      <c r="H1243" s="5">
        <v>0.14000000000000001</v>
      </c>
      <c r="I1243" s="6">
        <v>-1.143295</v>
      </c>
    </row>
    <row r="1244" spans="1:9" x14ac:dyDescent="0.25">
      <c r="A1244" s="1" t="s">
        <v>103</v>
      </c>
      <c r="B1244" s="7" t="s">
        <v>58</v>
      </c>
      <c r="C1244" s="7" t="s">
        <v>58</v>
      </c>
      <c r="D1244" s="7" t="s">
        <v>58</v>
      </c>
      <c r="E1244" s="7" t="s">
        <v>58</v>
      </c>
      <c r="F1244" s="7" t="s">
        <v>58</v>
      </c>
      <c r="G1244" s="7" t="s">
        <v>58</v>
      </c>
      <c r="H1244" s="7" t="s">
        <v>58</v>
      </c>
      <c r="I1244" s="7" t="s">
        <v>58</v>
      </c>
    </row>
    <row r="1245" spans="1:9" x14ac:dyDescent="0.25">
      <c r="A1245" s="1" t="s">
        <v>104</v>
      </c>
      <c r="B1245" s="5">
        <v>0</v>
      </c>
      <c r="C1245" s="5">
        <v>0</v>
      </c>
      <c r="D1245" s="5">
        <v>0</v>
      </c>
      <c r="E1245" s="5">
        <v>0</v>
      </c>
      <c r="F1245" s="5">
        <v>0</v>
      </c>
      <c r="G1245" s="5">
        <v>0</v>
      </c>
      <c r="H1245" s="5">
        <v>0</v>
      </c>
      <c r="I1245" s="7" t="s">
        <v>58</v>
      </c>
    </row>
    <row r="1246" spans="1:9" x14ac:dyDescent="0.25">
      <c r="A1246" s="1" t="s">
        <v>105</v>
      </c>
      <c r="B1246" s="5">
        <v>0</v>
      </c>
      <c r="C1246" s="5">
        <v>0</v>
      </c>
      <c r="D1246" s="5">
        <v>0</v>
      </c>
      <c r="E1246" s="5">
        <v>0</v>
      </c>
      <c r="F1246" s="5">
        <v>0</v>
      </c>
      <c r="G1246" s="5">
        <v>0</v>
      </c>
      <c r="H1246" s="5">
        <v>0</v>
      </c>
      <c r="I1246" s="7" t="s">
        <v>58</v>
      </c>
    </row>
    <row r="1247" spans="1:9" x14ac:dyDescent="0.25">
      <c r="A1247" s="1" t="s">
        <v>106</v>
      </c>
      <c r="B1247" s="5">
        <v>0.04</v>
      </c>
      <c r="C1247" s="5">
        <v>0.04</v>
      </c>
      <c r="D1247" s="5">
        <v>0.04</v>
      </c>
      <c r="E1247" s="5">
        <v>0.03</v>
      </c>
      <c r="F1247" s="5">
        <v>0.03</v>
      </c>
      <c r="G1247" s="5">
        <v>0.03</v>
      </c>
      <c r="H1247" s="5">
        <v>0.03</v>
      </c>
      <c r="I1247" s="6">
        <v>-4.6815709999999999</v>
      </c>
    </row>
    <row r="1248" spans="1:9" ht="30" x14ac:dyDescent="0.25">
      <c r="A1248" s="1" t="s">
        <v>107</v>
      </c>
      <c r="B1248" s="5">
        <v>5.44</v>
      </c>
      <c r="C1248" s="5">
        <v>5.31</v>
      </c>
      <c r="D1248" s="5">
        <v>5.19</v>
      </c>
      <c r="E1248" s="5">
        <v>5.07</v>
      </c>
      <c r="F1248" s="5">
        <v>4.97</v>
      </c>
      <c r="G1248" s="5">
        <v>4.87</v>
      </c>
      <c r="H1248" s="5">
        <v>4.7699999999999996</v>
      </c>
      <c r="I1248" s="6">
        <v>-2.166728</v>
      </c>
    </row>
    <row r="1249" spans="1:9" x14ac:dyDescent="0.25">
      <c r="A1249" s="1" t="s">
        <v>108</v>
      </c>
      <c r="B1249" s="5">
        <v>0.04</v>
      </c>
      <c r="C1249" s="5">
        <v>0.04</v>
      </c>
      <c r="D1249" s="5">
        <v>0.03</v>
      </c>
      <c r="E1249" s="5">
        <v>0.03</v>
      </c>
      <c r="F1249" s="5">
        <v>0.03</v>
      </c>
      <c r="G1249" s="5">
        <v>0.03</v>
      </c>
      <c r="H1249" s="5">
        <v>0.03</v>
      </c>
      <c r="I1249" s="6">
        <v>-4.6815709999999999</v>
      </c>
    </row>
    <row r="1250" spans="1:9" ht="30" x14ac:dyDescent="0.25">
      <c r="A1250" s="1" t="s">
        <v>109</v>
      </c>
      <c r="B1250" s="5">
        <v>0</v>
      </c>
      <c r="C1250" s="5">
        <v>0</v>
      </c>
      <c r="D1250" s="5">
        <v>0</v>
      </c>
      <c r="E1250" s="5">
        <v>0</v>
      </c>
      <c r="F1250" s="5">
        <v>0</v>
      </c>
      <c r="G1250" s="5">
        <v>0</v>
      </c>
      <c r="H1250" s="5">
        <v>0</v>
      </c>
      <c r="I1250" s="7" t="s">
        <v>58</v>
      </c>
    </row>
    <row r="1251" spans="1:9" x14ac:dyDescent="0.25">
      <c r="A1251" s="1" t="s">
        <v>110</v>
      </c>
      <c r="B1251" s="5">
        <v>0.1</v>
      </c>
      <c r="C1251" s="5">
        <v>0.11</v>
      </c>
      <c r="D1251" s="5">
        <v>0.12</v>
      </c>
      <c r="E1251" s="5">
        <v>0.13</v>
      </c>
      <c r="F1251" s="5">
        <v>0.15</v>
      </c>
      <c r="G1251" s="5">
        <v>0.15</v>
      </c>
      <c r="H1251" s="5">
        <v>0.16</v>
      </c>
      <c r="I1251" s="6">
        <v>8.1483749999999997</v>
      </c>
    </row>
    <row r="1252" spans="1:9" x14ac:dyDescent="0.25">
      <c r="A1252" s="1" t="s">
        <v>111</v>
      </c>
      <c r="B1252" s="5">
        <v>9.33</v>
      </c>
      <c r="C1252" s="5">
        <v>10.11</v>
      </c>
      <c r="D1252" s="5">
        <v>10.66</v>
      </c>
      <c r="E1252" s="5">
        <v>11.19</v>
      </c>
      <c r="F1252" s="5">
        <v>11.78</v>
      </c>
      <c r="G1252" s="5">
        <v>12.41</v>
      </c>
      <c r="H1252" s="5">
        <v>13.02</v>
      </c>
      <c r="I1252" s="6">
        <v>5.7113350000000001</v>
      </c>
    </row>
    <row r="1253" spans="1:9" x14ac:dyDescent="0.25">
      <c r="A1253" s="1" t="s">
        <v>112</v>
      </c>
      <c r="B1253" s="5">
        <v>9.5500000000000007</v>
      </c>
      <c r="C1253" s="5">
        <v>12.01</v>
      </c>
      <c r="D1253" s="5">
        <v>14.1</v>
      </c>
      <c r="E1253" s="5">
        <v>15.8</v>
      </c>
      <c r="F1253" s="5">
        <v>17.309999999999999</v>
      </c>
      <c r="G1253" s="5">
        <v>18.760000000000002</v>
      </c>
      <c r="H1253" s="5">
        <v>19.25</v>
      </c>
      <c r="I1253" s="6">
        <v>12.392645</v>
      </c>
    </row>
    <row r="1254" spans="1:9" x14ac:dyDescent="0.25">
      <c r="A1254" s="1" t="s">
        <v>113</v>
      </c>
      <c r="B1254" s="5">
        <v>1.31</v>
      </c>
      <c r="C1254" s="5">
        <v>1.39</v>
      </c>
      <c r="D1254" s="5">
        <v>1.46</v>
      </c>
      <c r="E1254" s="5">
        <v>1.52</v>
      </c>
      <c r="F1254" s="5">
        <v>1.58</v>
      </c>
      <c r="G1254" s="5">
        <v>1.64</v>
      </c>
      <c r="H1254" s="5">
        <v>1.69</v>
      </c>
      <c r="I1254" s="6">
        <v>4.3364130000000003</v>
      </c>
    </row>
    <row r="1255" spans="1:9" x14ac:dyDescent="0.25">
      <c r="A1255" s="1" t="s">
        <v>114</v>
      </c>
      <c r="B1255" s="5">
        <v>0</v>
      </c>
      <c r="C1255" s="5">
        <v>0</v>
      </c>
      <c r="D1255" s="5">
        <v>0</v>
      </c>
      <c r="E1255" s="5">
        <v>0</v>
      </c>
      <c r="F1255" s="5">
        <v>0</v>
      </c>
      <c r="G1255" s="5">
        <v>0</v>
      </c>
      <c r="H1255" s="5">
        <v>0</v>
      </c>
      <c r="I1255" s="7" t="s">
        <v>58</v>
      </c>
    </row>
    <row r="1256" spans="1:9" ht="30" x14ac:dyDescent="0.25">
      <c r="A1256" s="1" t="s">
        <v>115</v>
      </c>
      <c r="B1256" s="5">
        <v>2.56</v>
      </c>
      <c r="C1256" s="5">
        <v>2.63</v>
      </c>
      <c r="D1256" s="5">
        <v>2.74</v>
      </c>
      <c r="E1256" s="5">
        <v>2.85</v>
      </c>
      <c r="F1256" s="5">
        <v>2.95</v>
      </c>
      <c r="G1256" s="5">
        <v>3.04</v>
      </c>
      <c r="H1256" s="5">
        <v>3.11</v>
      </c>
      <c r="I1256" s="6">
        <v>3.2967689999999998</v>
      </c>
    </row>
    <row r="1257" spans="1:9" x14ac:dyDescent="0.25">
      <c r="A1257" s="1" t="s">
        <v>116</v>
      </c>
      <c r="B1257" s="5">
        <v>16.82</v>
      </c>
      <c r="C1257" s="5">
        <v>20.36</v>
      </c>
      <c r="D1257" s="5">
        <v>24.42</v>
      </c>
      <c r="E1257" s="5">
        <v>26.93</v>
      </c>
      <c r="F1257" s="5">
        <v>29.82</v>
      </c>
      <c r="G1257" s="5">
        <v>32.880000000000003</v>
      </c>
      <c r="H1257" s="5">
        <v>36.06</v>
      </c>
      <c r="I1257" s="6">
        <v>13.553350999999999</v>
      </c>
    </row>
    <row r="1258" spans="1:9" x14ac:dyDescent="0.25">
      <c r="A1258" s="1" t="s">
        <v>12</v>
      </c>
      <c r="B1258" s="2"/>
      <c r="C1258" s="2"/>
      <c r="D1258" s="2"/>
      <c r="E1258" s="2"/>
      <c r="F1258" s="2"/>
      <c r="G1258" s="2"/>
      <c r="H1258" s="2"/>
      <c r="I1258" s="2"/>
    </row>
    <row r="1259" spans="1:9" ht="60" x14ac:dyDescent="0.25">
      <c r="A1259" s="1" t="s">
        <v>128</v>
      </c>
      <c r="B1259" s="2"/>
      <c r="C1259" s="2"/>
      <c r="D1259" s="2"/>
      <c r="E1259" s="2"/>
      <c r="F1259" s="2"/>
      <c r="G1259" s="2"/>
      <c r="H1259" s="2"/>
      <c r="I1259" s="2"/>
    </row>
    <row r="1260" spans="1:9" x14ac:dyDescent="0.25">
      <c r="A1260" s="1" t="s">
        <v>14</v>
      </c>
      <c r="B1260" s="5">
        <v>1.67</v>
      </c>
      <c r="C1260" s="5">
        <v>1.6</v>
      </c>
      <c r="D1260" s="5">
        <v>1.54</v>
      </c>
      <c r="E1260" s="5">
        <v>1.51</v>
      </c>
      <c r="F1260" s="5">
        <v>1.47</v>
      </c>
      <c r="G1260" s="5">
        <v>1.42</v>
      </c>
      <c r="H1260" s="5">
        <v>1.37</v>
      </c>
      <c r="I1260" s="6">
        <v>-3.2463519999999999</v>
      </c>
    </row>
    <row r="1261" spans="1:9" ht="30" x14ac:dyDescent="0.25">
      <c r="A1261" s="1" t="s">
        <v>15</v>
      </c>
      <c r="B1261" s="5">
        <v>0.69</v>
      </c>
      <c r="C1261" s="5">
        <v>0.64</v>
      </c>
      <c r="D1261" s="5">
        <v>0.56999999999999995</v>
      </c>
      <c r="E1261" s="5">
        <v>0.56999999999999995</v>
      </c>
      <c r="F1261" s="5">
        <v>0.53</v>
      </c>
      <c r="G1261" s="5">
        <v>0.48</v>
      </c>
      <c r="H1261" s="5">
        <v>0.43</v>
      </c>
      <c r="I1261" s="6">
        <v>-7.5791639999999996</v>
      </c>
    </row>
    <row r="1262" spans="1:9" x14ac:dyDescent="0.25">
      <c r="A1262" s="1" t="s">
        <v>16</v>
      </c>
      <c r="B1262" s="5">
        <v>0</v>
      </c>
      <c r="C1262" s="5">
        <v>0</v>
      </c>
      <c r="D1262" s="5">
        <v>0</v>
      </c>
      <c r="E1262" s="5">
        <v>0</v>
      </c>
      <c r="F1262" s="5">
        <v>0</v>
      </c>
      <c r="G1262" s="5">
        <v>0</v>
      </c>
      <c r="H1262" s="5">
        <v>0</v>
      </c>
      <c r="I1262" s="7" t="s">
        <v>58</v>
      </c>
    </row>
    <row r="1263" spans="1:9" x14ac:dyDescent="0.25">
      <c r="A1263" s="1" t="s">
        <v>17</v>
      </c>
      <c r="B1263" s="5">
        <v>0</v>
      </c>
      <c r="C1263" s="5">
        <v>0</v>
      </c>
      <c r="D1263" s="5">
        <v>0</v>
      </c>
      <c r="E1263" s="5">
        <v>0</v>
      </c>
      <c r="F1263" s="5">
        <v>0</v>
      </c>
      <c r="G1263" s="5">
        <v>0</v>
      </c>
      <c r="H1263" s="5">
        <v>0</v>
      </c>
      <c r="I1263" s="7" t="s">
        <v>58</v>
      </c>
    </row>
    <row r="1264" spans="1:9" x14ac:dyDescent="0.25">
      <c r="A1264" s="1" t="s">
        <v>18</v>
      </c>
      <c r="B1264" s="5">
        <v>0</v>
      </c>
      <c r="C1264" s="5">
        <v>0</v>
      </c>
      <c r="D1264" s="5">
        <v>0</v>
      </c>
      <c r="E1264" s="5">
        <v>0</v>
      </c>
      <c r="F1264" s="5">
        <v>0</v>
      </c>
      <c r="G1264" s="5">
        <v>0</v>
      </c>
      <c r="H1264" s="5">
        <v>0</v>
      </c>
      <c r="I1264" s="7" t="s">
        <v>58</v>
      </c>
    </row>
    <row r="1265" spans="1:9" x14ac:dyDescent="0.25">
      <c r="A1265" s="1" t="s">
        <v>19</v>
      </c>
      <c r="B1265" s="5">
        <v>0</v>
      </c>
      <c r="C1265" s="5">
        <v>0</v>
      </c>
      <c r="D1265" s="5">
        <v>0</v>
      </c>
      <c r="E1265" s="5">
        <v>0</v>
      </c>
      <c r="F1265" s="5">
        <v>0</v>
      </c>
      <c r="G1265" s="5">
        <v>0</v>
      </c>
      <c r="H1265" s="5">
        <v>0</v>
      </c>
      <c r="I1265" s="7" t="s">
        <v>58</v>
      </c>
    </row>
    <row r="1266" spans="1:9" x14ac:dyDescent="0.25">
      <c r="A1266" s="1" t="s">
        <v>20</v>
      </c>
      <c r="B1266" s="5">
        <v>0</v>
      </c>
      <c r="C1266" s="5">
        <v>0</v>
      </c>
      <c r="D1266" s="5">
        <v>0</v>
      </c>
      <c r="E1266" s="5">
        <v>0</v>
      </c>
      <c r="F1266" s="5">
        <v>0</v>
      </c>
      <c r="G1266" s="5">
        <v>0</v>
      </c>
      <c r="H1266" s="5">
        <v>0</v>
      </c>
      <c r="I1266" s="7" t="s">
        <v>58</v>
      </c>
    </row>
    <row r="1267" spans="1:9" x14ac:dyDescent="0.25">
      <c r="A1267" s="1" t="s">
        <v>21</v>
      </c>
      <c r="B1267" s="7" t="s">
        <v>58</v>
      </c>
      <c r="C1267" s="7" t="s">
        <v>58</v>
      </c>
      <c r="D1267" s="7" t="s">
        <v>58</v>
      </c>
      <c r="E1267" s="7" t="s">
        <v>58</v>
      </c>
      <c r="F1267" s="7" t="s">
        <v>58</v>
      </c>
      <c r="G1267" s="7" t="s">
        <v>58</v>
      </c>
      <c r="H1267" s="7" t="s">
        <v>58</v>
      </c>
      <c r="I1267" s="7" t="s">
        <v>58</v>
      </c>
    </row>
    <row r="1268" spans="1:9" x14ac:dyDescent="0.25">
      <c r="A1268" s="1" t="s">
        <v>22</v>
      </c>
      <c r="B1268" s="5">
        <v>0.1</v>
      </c>
      <c r="C1268" s="5">
        <v>0.1</v>
      </c>
      <c r="D1268" s="5">
        <v>0.1</v>
      </c>
      <c r="E1268" s="5">
        <v>0.09</v>
      </c>
      <c r="F1268" s="5">
        <v>0.09</v>
      </c>
      <c r="G1268" s="5">
        <v>0.09</v>
      </c>
      <c r="H1268" s="5">
        <v>0.09</v>
      </c>
      <c r="I1268" s="6">
        <v>-1.7406809999999999</v>
      </c>
    </row>
    <row r="1269" spans="1:9" x14ac:dyDescent="0.25">
      <c r="A1269" s="1" t="s">
        <v>23</v>
      </c>
      <c r="B1269" s="5">
        <v>0</v>
      </c>
      <c r="C1269" s="5">
        <v>0</v>
      </c>
      <c r="D1269" s="5">
        <v>0</v>
      </c>
      <c r="E1269" s="5">
        <v>0</v>
      </c>
      <c r="F1269" s="5">
        <v>0</v>
      </c>
      <c r="G1269" s="5">
        <v>0</v>
      </c>
      <c r="H1269" s="5">
        <v>0</v>
      </c>
      <c r="I1269" s="7" t="s">
        <v>58</v>
      </c>
    </row>
    <row r="1270" spans="1:9" x14ac:dyDescent="0.25">
      <c r="A1270" s="1" t="s">
        <v>24</v>
      </c>
      <c r="B1270" s="5">
        <v>25.53</v>
      </c>
      <c r="C1270" s="5">
        <v>23.94</v>
      </c>
      <c r="D1270" s="5">
        <v>21.48</v>
      </c>
      <c r="E1270" s="5">
        <v>19.22</v>
      </c>
      <c r="F1270" s="5">
        <v>17.18</v>
      </c>
      <c r="G1270" s="5">
        <v>15.36</v>
      </c>
      <c r="H1270" s="5">
        <v>13.73</v>
      </c>
      <c r="I1270" s="6">
        <v>-9.8214419999999993</v>
      </c>
    </row>
    <row r="1271" spans="1:9" x14ac:dyDescent="0.25">
      <c r="A1271" s="1" t="s">
        <v>25</v>
      </c>
      <c r="B1271" s="5">
        <v>0</v>
      </c>
      <c r="C1271" s="5">
        <v>0</v>
      </c>
      <c r="D1271" s="5">
        <v>0</v>
      </c>
      <c r="E1271" s="5">
        <v>0</v>
      </c>
      <c r="F1271" s="5">
        <v>0</v>
      </c>
      <c r="G1271" s="5">
        <v>0</v>
      </c>
      <c r="H1271" s="5">
        <v>0</v>
      </c>
      <c r="I1271" s="7" t="s">
        <v>58</v>
      </c>
    </row>
    <row r="1272" spans="1:9" x14ac:dyDescent="0.25">
      <c r="A1272" s="1" t="s">
        <v>26</v>
      </c>
      <c r="B1272" s="5">
        <v>0.1</v>
      </c>
      <c r="C1272" s="5">
        <v>0.1</v>
      </c>
      <c r="D1272" s="5">
        <v>0.1</v>
      </c>
      <c r="E1272" s="5">
        <v>0.1</v>
      </c>
      <c r="F1272" s="5">
        <v>0.09</v>
      </c>
      <c r="G1272" s="5">
        <v>0.09</v>
      </c>
      <c r="H1272" s="5">
        <v>0.09</v>
      </c>
      <c r="I1272" s="6">
        <v>-1.7406809999999999</v>
      </c>
    </row>
    <row r="1273" spans="1:9" x14ac:dyDescent="0.25">
      <c r="A1273" s="1" t="s">
        <v>27</v>
      </c>
      <c r="B1273" s="5">
        <v>0</v>
      </c>
      <c r="C1273" s="5">
        <v>0</v>
      </c>
      <c r="D1273" s="5">
        <v>0</v>
      </c>
      <c r="E1273" s="5">
        <v>0</v>
      </c>
      <c r="F1273" s="5">
        <v>0</v>
      </c>
      <c r="G1273" s="5">
        <v>0</v>
      </c>
      <c r="H1273" s="5">
        <v>0</v>
      </c>
      <c r="I1273" s="7" t="s">
        <v>58</v>
      </c>
    </row>
    <row r="1274" spans="1:9" x14ac:dyDescent="0.25">
      <c r="A1274" s="1" t="s">
        <v>28</v>
      </c>
      <c r="B1274" s="5">
        <v>0.12</v>
      </c>
      <c r="C1274" s="5">
        <v>0.09</v>
      </c>
      <c r="D1274" s="5">
        <v>0.08</v>
      </c>
      <c r="E1274" s="5">
        <v>0.06</v>
      </c>
      <c r="F1274" s="5">
        <v>0.04</v>
      </c>
      <c r="G1274" s="5">
        <v>0.04</v>
      </c>
      <c r="H1274" s="5">
        <v>0.03</v>
      </c>
      <c r="I1274" s="6">
        <v>-20.629947000000001</v>
      </c>
    </row>
    <row r="1275" spans="1:9" x14ac:dyDescent="0.25">
      <c r="A1275" s="1" t="s">
        <v>29</v>
      </c>
      <c r="B1275" s="5">
        <v>0.21</v>
      </c>
      <c r="C1275" s="5">
        <v>0.22</v>
      </c>
      <c r="D1275" s="5">
        <v>0.23</v>
      </c>
      <c r="E1275" s="5">
        <v>0.23</v>
      </c>
      <c r="F1275" s="5">
        <v>0.23</v>
      </c>
      <c r="G1275" s="5">
        <v>0.23</v>
      </c>
      <c r="H1275" s="5">
        <v>0.23</v>
      </c>
      <c r="I1275" s="6">
        <v>1.527749</v>
      </c>
    </row>
    <row r="1276" spans="1:9" x14ac:dyDescent="0.25">
      <c r="A1276" s="1" t="s">
        <v>30</v>
      </c>
      <c r="B1276" s="5">
        <v>0</v>
      </c>
      <c r="C1276" s="5">
        <v>0</v>
      </c>
      <c r="D1276" s="5">
        <v>0</v>
      </c>
      <c r="E1276" s="5">
        <v>0</v>
      </c>
      <c r="F1276" s="5">
        <v>0</v>
      </c>
      <c r="G1276" s="5">
        <v>0</v>
      </c>
      <c r="H1276" s="5">
        <v>0</v>
      </c>
      <c r="I1276" s="7" t="s">
        <v>58</v>
      </c>
    </row>
    <row r="1277" spans="1:9" x14ac:dyDescent="0.25">
      <c r="A1277" s="1" t="s">
        <v>31</v>
      </c>
      <c r="B1277" s="5">
        <v>0.74</v>
      </c>
      <c r="C1277" s="5">
        <v>0.78</v>
      </c>
      <c r="D1277" s="5">
        <v>0.73</v>
      </c>
      <c r="E1277" s="5">
        <v>0.68</v>
      </c>
      <c r="F1277" s="5">
        <v>0.64</v>
      </c>
      <c r="G1277" s="5">
        <v>0.61</v>
      </c>
      <c r="H1277" s="5">
        <v>0.56999999999999995</v>
      </c>
      <c r="I1277" s="6">
        <v>-4.2569650000000001</v>
      </c>
    </row>
    <row r="1278" spans="1:9" x14ac:dyDescent="0.25">
      <c r="A1278" s="1" t="s">
        <v>32</v>
      </c>
      <c r="B1278" s="5">
        <v>0.13</v>
      </c>
      <c r="C1278" s="5">
        <v>0.12</v>
      </c>
      <c r="D1278" s="5">
        <v>0.12</v>
      </c>
      <c r="E1278" s="5">
        <v>0.11</v>
      </c>
      <c r="F1278" s="5">
        <v>0.1</v>
      </c>
      <c r="G1278" s="5">
        <v>0.1</v>
      </c>
      <c r="H1278" s="5">
        <v>0.09</v>
      </c>
      <c r="I1278" s="6">
        <v>-5.9447169999999998</v>
      </c>
    </row>
    <row r="1279" spans="1:9" x14ac:dyDescent="0.25">
      <c r="A1279" s="1" t="s">
        <v>33</v>
      </c>
      <c r="B1279" s="5">
        <v>0</v>
      </c>
      <c r="C1279" s="5">
        <v>0</v>
      </c>
      <c r="D1279" s="5">
        <v>0</v>
      </c>
      <c r="E1279" s="5">
        <v>0</v>
      </c>
      <c r="F1279" s="5">
        <v>0</v>
      </c>
      <c r="G1279" s="5">
        <v>0</v>
      </c>
      <c r="H1279" s="5">
        <v>0</v>
      </c>
      <c r="I1279" s="7" t="s">
        <v>58</v>
      </c>
    </row>
    <row r="1280" spans="1:9" ht="30" x14ac:dyDescent="0.25">
      <c r="A1280" s="1" t="s">
        <v>34</v>
      </c>
      <c r="B1280" s="5">
        <v>0.02</v>
      </c>
      <c r="C1280" s="5">
        <v>0.02</v>
      </c>
      <c r="D1280" s="5">
        <v>0.02</v>
      </c>
      <c r="E1280" s="5">
        <v>0.02</v>
      </c>
      <c r="F1280" s="5">
        <v>0.02</v>
      </c>
      <c r="G1280" s="5">
        <v>0.02</v>
      </c>
      <c r="H1280" s="5">
        <v>0.02</v>
      </c>
      <c r="I1280" s="6">
        <v>0</v>
      </c>
    </row>
    <row r="1281" spans="1:9" ht="30" x14ac:dyDescent="0.25">
      <c r="A1281" s="1" t="s">
        <v>35</v>
      </c>
      <c r="B1281" s="5">
        <v>1.76</v>
      </c>
      <c r="C1281" s="5">
        <v>1.53</v>
      </c>
      <c r="D1281" s="5">
        <v>1.36</v>
      </c>
      <c r="E1281" s="5">
        <v>1.21</v>
      </c>
      <c r="F1281" s="5">
        <v>1.07</v>
      </c>
      <c r="G1281" s="5">
        <v>0.96</v>
      </c>
      <c r="H1281" s="5">
        <v>0.85</v>
      </c>
      <c r="I1281" s="6">
        <v>-11.423664</v>
      </c>
    </row>
    <row r="1282" spans="1:9" x14ac:dyDescent="0.25">
      <c r="A1282" s="1" t="s">
        <v>36</v>
      </c>
      <c r="B1282" s="5">
        <v>0.1</v>
      </c>
      <c r="C1282" s="5">
        <v>0.09</v>
      </c>
      <c r="D1282" s="5">
        <v>0.09</v>
      </c>
      <c r="E1282" s="5">
        <v>0.08</v>
      </c>
      <c r="F1282" s="5">
        <v>0.08</v>
      </c>
      <c r="G1282" s="5">
        <v>7.0000000000000007E-2</v>
      </c>
      <c r="H1282" s="5">
        <v>7.0000000000000007E-2</v>
      </c>
      <c r="I1282" s="6">
        <v>-5.7713419999999998</v>
      </c>
    </row>
    <row r="1283" spans="1:9" x14ac:dyDescent="0.25">
      <c r="A1283" s="1" t="s">
        <v>37</v>
      </c>
      <c r="B1283" s="5">
        <v>0</v>
      </c>
      <c r="C1283" s="5">
        <v>0</v>
      </c>
      <c r="D1283" s="5">
        <v>0</v>
      </c>
      <c r="E1283" s="5">
        <v>0</v>
      </c>
      <c r="F1283" s="5">
        <v>0</v>
      </c>
      <c r="G1283" s="5">
        <v>0</v>
      </c>
      <c r="H1283" s="5">
        <v>0</v>
      </c>
      <c r="I1283" s="7" t="s">
        <v>58</v>
      </c>
    </row>
    <row r="1284" spans="1:9" x14ac:dyDescent="0.25">
      <c r="A1284" s="1" t="s">
        <v>38</v>
      </c>
      <c r="B1284" s="5">
        <v>0.27</v>
      </c>
      <c r="C1284" s="5">
        <v>0.27</v>
      </c>
      <c r="D1284" s="5">
        <v>0.27</v>
      </c>
      <c r="E1284" s="5">
        <v>0.27</v>
      </c>
      <c r="F1284" s="5">
        <v>0.27</v>
      </c>
      <c r="G1284" s="5">
        <v>0.26</v>
      </c>
      <c r="H1284" s="5">
        <v>0.25</v>
      </c>
      <c r="I1284" s="6">
        <v>-1.2744930000000001</v>
      </c>
    </row>
    <row r="1285" spans="1:9" x14ac:dyDescent="0.25">
      <c r="A1285" s="1" t="s">
        <v>39</v>
      </c>
      <c r="B1285" s="5">
        <v>0.57999999999999996</v>
      </c>
      <c r="C1285" s="5">
        <v>0.61</v>
      </c>
      <c r="D1285" s="5">
        <v>0.54</v>
      </c>
      <c r="E1285" s="5">
        <v>0.49</v>
      </c>
      <c r="F1285" s="5">
        <v>0.43</v>
      </c>
      <c r="G1285" s="5">
        <v>0.39</v>
      </c>
      <c r="H1285" s="5">
        <v>0.35</v>
      </c>
      <c r="I1285" s="6">
        <v>-8.0736519999999992</v>
      </c>
    </row>
    <row r="1286" spans="1:9" x14ac:dyDescent="0.25">
      <c r="A1286" s="1" t="s">
        <v>40</v>
      </c>
      <c r="B1286" s="5">
        <v>0.18</v>
      </c>
      <c r="C1286" s="5">
        <v>0.18</v>
      </c>
      <c r="D1286" s="5">
        <v>0.17</v>
      </c>
      <c r="E1286" s="5">
        <v>0.16</v>
      </c>
      <c r="F1286" s="5">
        <v>0.16</v>
      </c>
      <c r="G1286" s="5">
        <v>0.16</v>
      </c>
      <c r="H1286" s="5">
        <v>0.15</v>
      </c>
      <c r="I1286" s="6">
        <v>-2.992988</v>
      </c>
    </row>
    <row r="1287" spans="1:9" x14ac:dyDescent="0.25">
      <c r="A1287" s="1" t="s">
        <v>41</v>
      </c>
      <c r="B1287" s="7" t="s">
        <v>58</v>
      </c>
      <c r="C1287" s="7" t="s">
        <v>58</v>
      </c>
      <c r="D1287" s="7" t="s">
        <v>58</v>
      </c>
      <c r="E1287" s="7" t="s">
        <v>58</v>
      </c>
      <c r="F1287" s="7" t="s">
        <v>58</v>
      </c>
      <c r="G1287" s="7" t="s">
        <v>58</v>
      </c>
      <c r="H1287" s="7" t="s">
        <v>58</v>
      </c>
      <c r="I1287" s="7" t="s">
        <v>58</v>
      </c>
    </row>
    <row r="1288" spans="1:9" x14ac:dyDescent="0.25">
      <c r="A1288" s="1" t="s">
        <v>42</v>
      </c>
      <c r="B1288" s="7" t="s">
        <v>58</v>
      </c>
      <c r="C1288" s="7" t="s">
        <v>58</v>
      </c>
      <c r="D1288" s="7" t="s">
        <v>58</v>
      </c>
      <c r="E1288" s="7" t="s">
        <v>58</v>
      </c>
      <c r="F1288" s="7" t="s">
        <v>58</v>
      </c>
      <c r="G1288" s="7" t="s">
        <v>58</v>
      </c>
      <c r="H1288" s="7" t="s">
        <v>58</v>
      </c>
      <c r="I1288" s="7" t="s">
        <v>58</v>
      </c>
    </row>
    <row r="1289" spans="1:9" x14ac:dyDescent="0.25">
      <c r="A1289" s="1" t="s">
        <v>43</v>
      </c>
      <c r="B1289" s="5">
        <v>0.03</v>
      </c>
      <c r="C1289" s="5">
        <v>0.03</v>
      </c>
      <c r="D1289" s="5">
        <v>0.02</v>
      </c>
      <c r="E1289" s="5">
        <v>0.02</v>
      </c>
      <c r="F1289" s="5">
        <v>0.02</v>
      </c>
      <c r="G1289" s="5">
        <v>0.02</v>
      </c>
      <c r="H1289" s="5">
        <v>0.02</v>
      </c>
      <c r="I1289" s="6">
        <v>-6.5344740000000003</v>
      </c>
    </row>
    <row r="1290" spans="1:9" x14ac:dyDescent="0.25">
      <c r="A1290" s="1" t="s">
        <v>44</v>
      </c>
      <c r="B1290" s="5">
        <v>0</v>
      </c>
      <c r="C1290" s="5">
        <v>0</v>
      </c>
      <c r="D1290" s="5">
        <v>0</v>
      </c>
      <c r="E1290" s="5">
        <v>0</v>
      </c>
      <c r="F1290" s="5">
        <v>0</v>
      </c>
      <c r="G1290" s="5">
        <v>0</v>
      </c>
      <c r="H1290" s="5">
        <v>0</v>
      </c>
      <c r="I1290" s="7" t="s">
        <v>58</v>
      </c>
    </row>
    <row r="1291" spans="1:9" x14ac:dyDescent="0.25">
      <c r="A1291" s="1" t="s">
        <v>45</v>
      </c>
      <c r="B1291" s="5">
        <v>1.03</v>
      </c>
      <c r="C1291" s="5">
        <v>1.41</v>
      </c>
      <c r="D1291" s="5">
        <v>1.58</v>
      </c>
      <c r="E1291" s="5">
        <v>1.82</v>
      </c>
      <c r="F1291" s="5">
        <v>2.0699999999999998</v>
      </c>
      <c r="G1291" s="5">
        <v>2.31</v>
      </c>
      <c r="H1291" s="5">
        <v>2.56</v>
      </c>
      <c r="I1291" s="6">
        <v>16.385922999999998</v>
      </c>
    </row>
    <row r="1292" spans="1:9" x14ac:dyDescent="0.25">
      <c r="A1292" s="1" t="s">
        <v>46</v>
      </c>
      <c r="B1292" s="5">
        <v>0.03</v>
      </c>
      <c r="C1292" s="5">
        <v>0.03</v>
      </c>
      <c r="D1292" s="5">
        <v>0.03</v>
      </c>
      <c r="E1292" s="5">
        <v>0.03</v>
      </c>
      <c r="F1292" s="5">
        <v>0.02</v>
      </c>
      <c r="G1292" s="5">
        <v>0.02</v>
      </c>
      <c r="H1292" s="5">
        <v>0.02</v>
      </c>
      <c r="I1292" s="6">
        <v>-6.5344740000000003</v>
      </c>
    </row>
    <row r="1293" spans="1:9" x14ac:dyDescent="0.25">
      <c r="A1293" s="1" t="s">
        <v>47</v>
      </c>
      <c r="B1293" s="5">
        <v>0</v>
      </c>
      <c r="C1293" s="5">
        <v>0</v>
      </c>
      <c r="D1293" s="5">
        <v>0</v>
      </c>
      <c r="E1293" s="5">
        <v>0</v>
      </c>
      <c r="F1293" s="5">
        <v>0</v>
      </c>
      <c r="G1293" s="5">
        <v>0</v>
      </c>
      <c r="H1293" s="5">
        <v>0</v>
      </c>
      <c r="I1293" s="7" t="s">
        <v>58</v>
      </c>
    </row>
    <row r="1294" spans="1:9" x14ac:dyDescent="0.25">
      <c r="A1294" s="1" t="s">
        <v>48</v>
      </c>
      <c r="B1294" s="5">
        <v>8.9499999999999993</v>
      </c>
      <c r="C1294" s="5">
        <v>6.85</v>
      </c>
      <c r="D1294" s="5">
        <v>5.84</v>
      </c>
      <c r="E1294" s="5">
        <v>5.71</v>
      </c>
      <c r="F1294" s="5">
        <v>5.15</v>
      </c>
      <c r="G1294" s="5">
        <v>4.5999999999999996</v>
      </c>
      <c r="H1294" s="5">
        <v>3.86</v>
      </c>
      <c r="I1294" s="6">
        <v>-13.078467</v>
      </c>
    </row>
    <row r="1295" spans="1:9" x14ac:dyDescent="0.25">
      <c r="A1295" s="1" t="s">
        <v>49</v>
      </c>
      <c r="B1295" s="5">
        <v>0</v>
      </c>
      <c r="C1295" s="5">
        <v>0</v>
      </c>
      <c r="D1295" s="5">
        <v>0</v>
      </c>
      <c r="E1295" s="5">
        <v>0</v>
      </c>
      <c r="F1295" s="5">
        <v>0</v>
      </c>
      <c r="G1295" s="5">
        <v>0</v>
      </c>
      <c r="H1295" s="5">
        <v>0</v>
      </c>
      <c r="I1295" s="7" t="s">
        <v>58</v>
      </c>
    </row>
    <row r="1296" spans="1:9" x14ac:dyDescent="0.25">
      <c r="A1296" s="1" t="s">
        <v>50</v>
      </c>
      <c r="B1296" s="5">
        <v>0</v>
      </c>
      <c r="C1296" s="5">
        <v>0</v>
      </c>
      <c r="D1296" s="5">
        <v>0</v>
      </c>
      <c r="E1296" s="5">
        <v>0</v>
      </c>
      <c r="F1296" s="5">
        <v>0</v>
      </c>
      <c r="G1296" s="5">
        <v>0</v>
      </c>
      <c r="H1296" s="5">
        <v>0</v>
      </c>
      <c r="I1296" s="7" t="s">
        <v>58</v>
      </c>
    </row>
    <row r="1297" spans="1:9" x14ac:dyDescent="0.25">
      <c r="A1297" s="1" t="s">
        <v>51</v>
      </c>
      <c r="B1297" s="5">
        <v>0</v>
      </c>
      <c r="C1297" s="5">
        <v>0</v>
      </c>
      <c r="D1297" s="5">
        <v>0</v>
      </c>
      <c r="E1297" s="5">
        <v>0</v>
      </c>
      <c r="F1297" s="5">
        <v>0</v>
      </c>
      <c r="G1297" s="5">
        <v>0</v>
      </c>
      <c r="H1297" s="5">
        <v>0</v>
      </c>
      <c r="I1297" s="7" t="s">
        <v>58</v>
      </c>
    </row>
    <row r="1298" spans="1:9" x14ac:dyDescent="0.25">
      <c r="A1298" s="1" t="s">
        <v>52</v>
      </c>
      <c r="B1298" s="5">
        <v>0</v>
      </c>
      <c r="C1298" s="5">
        <v>0</v>
      </c>
      <c r="D1298" s="5">
        <v>0</v>
      </c>
      <c r="E1298" s="5">
        <v>0</v>
      </c>
      <c r="F1298" s="5">
        <v>0</v>
      </c>
      <c r="G1298" s="5">
        <v>0</v>
      </c>
      <c r="H1298" s="5">
        <v>0</v>
      </c>
      <c r="I1298" s="7" t="s">
        <v>58</v>
      </c>
    </row>
    <row r="1299" spans="1:9" x14ac:dyDescent="0.25">
      <c r="A1299" s="1" t="s">
        <v>53</v>
      </c>
      <c r="B1299" s="5">
        <v>0.02</v>
      </c>
      <c r="C1299" s="5">
        <v>0.02</v>
      </c>
      <c r="D1299" s="5">
        <v>0.02</v>
      </c>
      <c r="E1299" s="5">
        <v>0.02</v>
      </c>
      <c r="F1299" s="5">
        <v>0.02</v>
      </c>
      <c r="G1299" s="5">
        <v>0.02</v>
      </c>
      <c r="H1299" s="5">
        <v>0.02</v>
      </c>
      <c r="I1299" s="6">
        <v>0</v>
      </c>
    </row>
    <row r="1300" spans="1:9" x14ac:dyDescent="0.25">
      <c r="A1300" s="1" t="s">
        <v>54</v>
      </c>
      <c r="B1300" s="5">
        <v>0</v>
      </c>
      <c r="C1300" s="5">
        <v>0</v>
      </c>
      <c r="D1300" s="5">
        <v>0</v>
      </c>
      <c r="E1300" s="5">
        <v>0</v>
      </c>
      <c r="F1300" s="5">
        <v>0</v>
      </c>
      <c r="G1300" s="5">
        <v>0</v>
      </c>
      <c r="H1300" s="5">
        <v>0</v>
      </c>
      <c r="I1300" s="7" t="s">
        <v>58</v>
      </c>
    </row>
    <row r="1301" spans="1:9" x14ac:dyDescent="0.25">
      <c r="A1301" s="1" t="s">
        <v>55</v>
      </c>
      <c r="B1301" s="5">
        <v>0</v>
      </c>
      <c r="C1301" s="5">
        <v>0</v>
      </c>
      <c r="D1301" s="5">
        <v>0</v>
      </c>
      <c r="E1301" s="5">
        <v>0</v>
      </c>
      <c r="F1301" s="5">
        <v>0</v>
      </c>
      <c r="G1301" s="5">
        <v>0</v>
      </c>
      <c r="H1301" s="5">
        <v>0</v>
      </c>
      <c r="I1301" s="7" t="s">
        <v>58</v>
      </c>
    </row>
    <row r="1302" spans="1:9" x14ac:dyDescent="0.25">
      <c r="A1302" s="1" t="s">
        <v>56</v>
      </c>
      <c r="B1302" s="5">
        <v>1.89</v>
      </c>
      <c r="C1302" s="5">
        <v>1.85</v>
      </c>
      <c r="D1302" s="5">
        <v>1.79</v>
      </c>
      <c r="E1302" s="5">
        <v>1.75</v>
      </c>
      <c r="F1302" s="5">
        <v>1.74</v>
      </c>
      <c r="G1302" s="5">
        <v>1.72</v>
      </c>
      <c r="H1302" s="5">
        <v>1.7</v>
      </c>
      <c r="I1302" s="6">
        <v>-1.750311</v>
      </c>
    </row>
    <row r="1303" spans="1:9" x14ac:dyDescent="0.25">
      <c r="A1303" s="1" t="s">
        <v>57</v>
      </c>
      <c r="B1303" s="7" t="s">
        <v>58</v>
      </c>
      <c r="C1303" s="7" t="s">
        <v>58</v>
      </c>
      <c r="D1303" s="7" t="s">
        <v>58</v>
      </c>
      <c r="E1303" s="7" t="s">
        <v>58</v>
      </c>
      <c r="F1303" s="7" t="s">
        <v>58</v>
      </c>
      <c r="G1303" s="7" t="s">
        <v>58</v>
      </c>
      <c r="H1303" s="7" t="s">
        <v>58</v>
      </c>
      <c r="I1303" s="7" t="s">
        <v>58</v>
      </c>
    </row>
    <row r="1304" spans="1:9" x14ac:dyDescent="0.25">
      <c r="A1304" s="1" t="s">
        <v>59</v>
      </c>
      <c r="B1304" s="5">
        <v>0</v>
      </c>
      <c r="C1304" s="5">
        <v>0</v>
      </c>
      <c r="D1304" s="5">
        <v>0</v>
      </c>
      <c r="E1304" s="5">
        <v>0</v>
      </c>
      <c r="F1304" s="5">
        <v>0</v>
      </c>
      <c r="G1304" s="5">
        <v>0</v>
      </c>
      <c r="H1304" s="5">
        <v>0</v>
      </c>
      <c r="I1304" s="7" t="s">
        <v>58</v>
      </c>
    </row>
    <row r="1305" spans="1:9" x14ac:dyDescent="0.25">
      <c r="A1305" s="1" t="s">
        <v>60</v>
      </c>
      <c r="B1305" s="5">
        <v>0</v>
      </c>
      <c r="C1305" s="5">
        <v>0</v>
      </c>
      <c r="D1305" s="5">
        <v>0</v>
      </c>
      <c r="E1305" s="5">
        <v>0</v>
      </c>
      <c r="F1305" s="5">
        <v>0</v>
      </c>
      <c r="G1305" s="5">
        <v>0</v>
      </c>
      <c r="H1305" s="5">
        <v>0</v>
      </c>
      <c r="I1305" s="7" t="s">
        <v>58</v>
      </c>
    </row>
    <row r="1306" spans="1:9" ht="45" x14ac:dyDescent="0.25">
      <c r="A1306" s="1" t="s">
        <v>61</v>
      </c>
      <c r="B1306" s="5">
        <v>0.24</v>
      </c>
      <c r="C1306" s="5">
        <v>0.23</v>
      </c>
      <c r="D1306" s="5">
        <v>0.22</v>
      </c>
      <c r="E1306" s="5">
        <v>0.22</v>
      </c>
      <c r="F1306" s="5">
        <v>0.21</v>
      </c>
      <c r="G1306" s="5">
        <v>0.21</v>
      </c>
      <c r="H1306" s="5">
        <v>0.2</v>
      </c>
      <c r="I1306" s="6">
        <v>-2.992988</v>
      </c>
    </row>
    <row r="1307" spans="1:9" x14ac:dyDescent="0.25">
      <c r="A1307" s="1" t="s">
        <v>62</v>
      </c>
      <c r="B1307" s="5">
        <v>2.2999999999999998</v>
      </c>
      <c r="C1307" s="5">
        <v>2.15</v>
      </c>
      <c r="D1307" s="5">
        <v>1.95</v>
      </c>
      <c r="E1307" s="5">
        <v>1.78</v>
      </c>
      <c r="F1307" s="5">
        <v>1.64</v>
      </c>
      <c r="G1307" s="5">
        <v>1.51</v>
      </c>
      <c r="H1307" s="5">
        <v>1.4</v>
      </c>
      <c r="I1307" s="6">
        <v>-7.9409049999999999</v>
      </c>
    </row>
    <row r="1308" spans="1:9" x14ac:dyDescent="0.25">
      <c r="A1308" s="1" t="s">
        <v>63</v>
      </c>
      <c r="B1308" s="5">
        <v>0</v>
      </c>
      <c r="C1308" s="5">
        <v>0</v>
      </c>
      <c r="D1308" s="5">
        <v>0</v>
      </c>
      <c r="E1308" s="5">
        <v>0</v>
      </c>
      <c r="F1308" s="5">
        <v>0</v>
      </c>
      <c r="G1308" s="5">
        <v>0</v>
      </c>
      <c r="H1308" s="5">
        <v>0</v>
      </c>
      <c r="I1308" s="7" t="s">
        <v>58</v>
      </c>
    </row>
    <row r="1309" spans="1:9" x14ac:dyDescent="0.25">
      <c r="A1309" s="1" t="s">
        <v>64</v>
      </c>
      <c r="B1309" s="5">
        <v>0.36</v>
      </c>
      <c r="C1309" s="5">
        <v>0.32</v>
      </c>
      <c r="D1309" s="5">
        <v>0.28000000000000003</v>
      </c>
      <c r="E1309" s="5">
        <v>0.25</v>
      </c>
      <c r="F1309" s="5">
        <v>0.23</v>
      </c>
      <c r="G1309" s="5">
        <v>0.21</v>
      </c>
      <c r="H1309" s="5">
        <v>0.19</v>
      </c>
      <c r="I1309" s="6">
        <v>-10.103693</v>
      </c>
    </row>
    <row r="1310" spans="1:9" x14ac:dyDescent="0.25">
      <c r="A1310" s="1" t="s">
        <v>65</v>
      </c>
      <c r="B1310" s="5">
        <v>0</v>
      </c>
      <c r="C1310" s="5">
        <v>0</v>
      </c>
      <c r="D1310" s="5">
        <v>0</v>
      </c>
      <c r="E1310" s="5">
        <v>0</v>
      </c>
      <c r="F1310" s="5">
        <v>0</v>
      </c>
      <c r="G1310" s="5">
        <v>0</v>
      </c>
      <c r="H1310" s="5">
        <v>0</v>
      </c>
      <c r="I1310" s="7" t="s">
        <v>58</v>
      </c>
    </row>
    <row r="1311" spans="1:9" x14ac:dyDescent="0.25">
      <c r="A1311" s="1" t="s">
        <v>66</v>
      </c>
      <c r="B1311" s="5">
        <v>0</v>
      </c>
      <c r="C1311" s="5">
        <v>0</v>
      </c>
      <c r="D1311" s="5">
        <v>0</v>
      </c>
      <c r="E1311" s="5">
        <v>0</v>
      </c>
      <c r="F1311" s="5">
        <v>0</v>
      </c>
      <c r="G1311" s="5">
        <v>0</v>
      </c>
      <c r="H1311" s="5">
        <v>0</v>
      </c>
      <c r="I1311" s="7" t="s">
        <v>58</v>
      </c>
    </row>
    <row r="1312" spans="1:9" ht="30" x14ac:dyDescent="0.25">
      <c r="A1312" s="1" t="s">
        <v>67</v>
      </c>
      <c r="B1312" s="5">
        <v>0.06</v>
      </c>
      <c r="C1312" s="5">
        <v>0.05</v>
      </c>
      <c r="D1312" s="5">
        <v>0.05</v>
      </c>
      <c r="E1312" s="5">
        <v>0.05</v>
      </c>
      <c r="F1312" s="5">
        <v>0.05</v>
      </c>
      <c r="G1312" s="5">
        <v>0.05</v>
      </c>
      <c r="H1312" s="5">
        <v>0.04</v>
      </c>
      <c r="I1312" s="6">
        <v>-6.5344740000000003</v>
      </c>
    </row>
    <row r="1313" spans="1:9" x14ac:dyDescent="0.25">
      <c r="A1313" s="1" t="s">
        <v>68</v>
      </c>
      <c r="B1313" s="7" t="s">
        <v>58</v>
      </c>
      <c r="C1313" s="7" t="s">
        <v>58</v>
      </c>
      <c r="D1313" s="7" t="s">
        <v>58</v>
      </c>
      <c r="E1313" s="7" t="s">
        <v>58</v>
      </c>
      <c r="F1313" s="7" t="s">
        <v>58</v>
      </c>
      <c r="G1313" s="7" t="s">
        <v>58</v>
      </c>
      <c r="H1313" s="7" t="s">
        <v>58</v>
      </c>
      <c r="I1313" s="7" t="s">
        <v>58</v>
      </c>
    </row>
    <row r="1314" spans="1:9" x14ac:dyDescent="0.25">
      <c r="A1314" s="1" t="s">
        <v>69</v>
      </c>
      <c r="B1314" s="5">
        <v>0</v>
      </c>
      <c r="C1314" s="5">
        <v>0</v>
      </c>
      <c r="D1314" s="5">
        <v>0</v>
      </c>
      <c r="E1314" s="5">
        <v>0</v>
      </c>
      <c r="F1314" s="5">
        <v>0</v>
      </c>
      <c r="G1314" s="5">
        <v>0</v>
      </c>
      <c r="H1314" s="5">
        <v>0</v>
      </c>
      <c r="I1314" s="7" t="s">
        <v>58</v>
      </c>
    </row>
    <row r="1315" spans="1:9" x14ac:dyDescent="0.25">
      <c r="A1315" s="1" t="s">
        <v>70</v>
      </c>
      <c r="B1315" s="7" t="s">
        <v>58</v>
      </c>
      <c r="C1315" s="7" t="s">
        <v>58</v>
      </c>
      <c r="D1315" s="7" t="s">
        <v>58</v>
      </c>
      <c r="E1315" s="7" t="s">
        <v>58</v>
      </c>
      <c r="F1315" s="7" t="s">
        <v>58</v>
      </c>
      <c r="G1315" s="7" t="s">
        <v>58</v>
      </c>
      <c r="H1315" s="7" t="s">
        <v>58</v>
      </c>
      <c r="I1315" s="7" t="s">
        <v>58</v>
      </c>
    </row>
    <row r="1316" spans="1:9" x14ac:dyDescent="0.25">
      <c r="A1316" s="1" t="s">
        <v>71</v>
      </c>
      <c r="B1316" s="5">
        <v>0</v>
      </c>
      <c r="C1316" s="5">
        <v>0</v>
      </c>
      <c r="D1316" s="5">
        <v>0</v>
      </c>
      <c r="E1316" s="5">
        <v>0</v>
      </c>
      <c r="F1316" s="5">
        <v>0</v>
      </c>
      <c r="G1316" s="5">
        <v>0</v>
      </c>
      <c r="H1316" s="5">
        <v>0</v>
      </c>
      <c r="I1316" s="7" t="s">
        <v>58</v>
      </c>
    </row>
    <row r="1317" spans="1:9" x14ac:dyDescent="0.25">
      <c r="A1317" s="1" t="s">
        <v>72</v>
      </c>
      <c r="B1317" s="5">
        <v>0.43</v>
      </c>
      <c r="C1317" s="5">
        <v>0.42</v>
      </c>
      <c r="D1317" s="5">
        <v>0.42</v>
      </c>
      <c r="E1317" s="5">
        <v>0.42</v>
      </c>
      <c r="F1317" s="5">
        <v>0.42</v>
      </c>
      <c r="G1317" s="5">
        <v>0.42</v>
      </c>
      <c r="H1317" s="5">
        <v>0.44</v>
      </c>
      <c r="I1317" s="6">
        <v>0.38389400000000001</v>
      </c>
    </row>
    <row r="1318" spans="1:9" x14ac:dyDescent="0.25">
      <c r="A1318" s="1" t="s">
        <v>73</v>
      </c>
      <c r="B1318" s="7" t="s">
        <v>58</v>
      </c>
      <c r="C1318" s="7" t="s">
        <v>58</v>
      </c>
      <c r="D1318" s="7" t="s">
        <v>58</v>
      </c>
      <c r="E1318" s="7" t="s">
        <v>58</v>
      </c>
      <c r="F1318" s="7" t="s">
        <v>58</v>
      </c>
      <c r="G1318" s="7" t="s">
        <v>58</v>
      </c>
      <c r="H1318" s="7" t="s">
        <v>58</v>
      </c>
      <c r="I1318" s="7" t="s">
        <v>58</v>
      </c>
    </row>
    <row r="1319" spans="1:9" ht="30" x14ac:dyDescent="0.25">
      <c r="A1319" s="1" t="s">
        <v>74</v>
      </c>
      <c r="B1319" s="5">
        <v>0.01</v>
      </c>
      <c r="C1319" s="5">
        <v>0.01</v>
      </c>
      <c r="D1319" s="5">
        <v>0.01</v>
      </c>
      <c r="E1319" s="5">
        <v>0.01</v>
      </c>
      <c r="F1319" s="5">
        <v>0.01</v>
      </c>
      <c r="G1319" s="5">
        <v>0.01</v>
      </c>
      <c r="H1319" s="5">
        <v>0.01</v>
      </c>
      <c r="I1319" s="6">
        <v>0</v>
      </c>
    </row>
    <row r="1320" spans="1:9" x14ac:dyDescent="0.25">
      <c r="A1320" s="1" t="s">
        <v>75</v>
      </c>
      <c r="B1320" s="5">
        <v>0.05</v>
      </c>
      <c r="C1320" s="5">
        <v>0.05</v>
      </c>
      <c r="D1320" s="5">
        <v>0.05</v>
      </c>
      <c r="E1320" s="5">
        <v>0.04</v>
      </c>
      <c r="F1320" s="5">
        <v>0.04</v>
      </c>
      <c r="G1320" s="5">
        <v>0.04</v>
      </c>
      <c r="H1320" s="5">
        <v>0.04</v>
      </c>
      <c r="I1320" s="6">
        <v>-3.6507520000000002</v>
      </c>
    </row>
    <row r="1321" spans="1:9" x14ac:dyDescent="0.25">
      <c r="A1321" s="1" t="s">
        <v>76</v>
      </c>
      <c r="B1321" s="5">
        <v>0</v>
      </c>
      <c r="C1321" s="5">
        <v>0</v>
      </c>
      <c r="D1321" s="5">
        <v>0</v>
      </c>
      <c r="E1321" s="5">
        <v>0</v>
      </c>
      <c r="F1321" s="5">
        <v>0</v>
      </c>
      <c r="G1321" s="5">
        <v>0</v>
      </c>
      <c r="H1321" s="5">
        <v>0</v>
      </c>
      <c r="I1321" s="7" t="s">
        <v>58</v>
      </c>
    </row>
    <row r="1322" spans="1:9" ht="45" x14ac:dyDescent="0.25">
      <c r="A1322" s="1" t="s">
        <v>77</v>
      </c>
      <c r="B1322" s="5">
        <v>0.04</v>
      </c>
      <c r="C1322" s="5">
        <v>0.04</v>
      </c>
      <c r="D1322" s="5">
        <v>0.04</v>
      </c>
      <c r="E1322" s="5">
        <v>0.04</v>
      </c>
      <c r="F1322" s="5">
        <v>0.03</v>
      </c>
      <c r="G1322" s="5">
        <v>0.03</v>
      </c>
      <c r="H1322" s="5">
        <v>0.03</v>
      </c>
      <c r="I1322" s="6">
        <v>-4.6815709999999999</v>
      </c>
    </row>
    <row r="1323" spans="1:9" ht="45" x14ac:dyDescent="0.25">
      <c r="A1323" s="1" t="s">
        <v>78</v>
      </c>
      <c r="B1323" s="5">
        <v>0.81</v>
      </c>
      <c r="C1323" s="5">
        <v>0.74</v>
      </c>
      <c r="D1323" s="5">
        <v>0.67</v>
      </c>
      <c r="E1323" s="5">
        <v>0.62</v>
      </c>
      <c r="F1323" s="5">
        <v>0.56000000000000005</v>
      </c>
      <c r="G1323" s="5">
        <v>0.51</v>
      </c>
      <c r="H1323" s="5">
        <v>0.46</v>
      </c>
      <c r="I1323" s="6">
        <v>-8.9991459999999996</v>
      </c>
    </row>
    <row r="1324" spans="1:9" ht="60" x14ac:dyDescent="0.25">
      <c r="A1324" s="1" t="s">
        <v>79</v>
      </c>
      <c r="B1324" s="7" t="s">
        <v>58</v>
      </c>
      <c r="C1324" s="7" t="s">
        <v>58</v>
      </c>
      <c r="D1324" s="7" t="s">
        <v>58</v>
      </c>
      <c r="E1324" s="7" t="s">
        <v>58</v>
      </c>
      <c r="F1324" s="7" t="s">
        <v>58</v>
      </c>
      <c r="G1324" s="7" t="s">
        <v>58</v>
      </c>
      <c r="H1324" s="7" t="s">
        <v>58</v>
      </c>
      <c r="I1324" s="7" t="s">
        <v>58</v>
      </c>
    </row>
    <row r="1325" spans="1:9" ht="45" x14ac:dyDescent="0.25">
      <c r="A1325" s="1" t="s">
        <v>80</v>
      </c>
      <c r="B1325" s="7" t="s">
        <v>58</v>
      </c>
      <c r="C1325" s="7" t="s">
        <v>58</v>
      </c>
      <c r="D1325" s="7" t="s">
        <v>58</v>
      </c>
      <c r="E1325" s="7" t="s">
        <v>58</v>
      </c>
      <c r="F1325" s="7" t="s">
        <v>58</v>
      </c>
      <c r="G1325" s="7" t="s">
        <v>58</v>
      </c>
      <c r="H1325" s="7" t="s">
        <v>58</v>
      </c>
      <c r="I1325" s="7" t="s">
        <v>58</v>
      </c>
    </row>
    <row r="1326" spans="1:9" ht="45" x14ac:dyDescent="0.25">
      <c r="A1326" s="1" t="s">
        <v>81</v>
      </c>
      <c r="B1326" s="5">
        <v>0</v>
      </c>
      <c r="C1326" s="5">
        <v>0</v>
      </c>
      <c r="D1326" s="5">
        <v>0</v>
      </c>
      <c r="E1326" s="5">
        <v>0</v>
      </c>
      <c r="F1326" s="5">
        <v>0</v>
      </c>
      <c r="G1326" s="5">
        <v>0</v>
      </c>
      <c r="H1326" s="5">
        <v>0</v>
      </c>
      <c r="I1326" s="7" t="s">
        <v>58</v>
      </c>
    </row>
    <row r="1327" spans="1:9" x14ac:dyDescent="0.25">
      <c r="A1327" s="1" t="s">
        <v>82</v>
      </c>
      <c r="B1327" s="5">
        <v>0</v>
      </c>
      <c r="C1327" s="5">
        <v>0</v>
      </c>
      <c r="D1327" s="5">
        <v>0</v>
      </c>
      <c r="E1327" s="5">
        <v>0</v>
      </c>
      <c r="F1327" s="5">
        <v>0</v>
      </c>
      <c r="G1327" s="5">
        <v>0</v>
      </c>
      <c r="H1327" s="5">
        <v>0</v>
      </c>
      <c r="I1327" s="7" t="s">
        <v>58</v>
      </c>
    </row>
    <row r="1328" spans="1:9" x14ac:dyDescent="0.25">
      <c r="A1328" s="1" t="s">
        <v>83</v>
      </c>
      <c r="B1328" s="5">
        <v>0</v>
      </c>
      <c r="C1328" s="5">
        <v>0</v>
      </c>
      <c r="D1328" s="5">
        <v>0</v>
      </c>
      <c r="E1328" s="5">
        <v>0</v>
      </c>
      <c r="F1328" s="5">
        <v>0</v>
      </c>
      <c r="G1328" s="5">
        <v>0</v>
      </c>
      <c r="H1328" s="5">
        <v>0</v>
      </c>
      <c r="I1328" s="7" t="s">
        <v>58</v>
      </c>
    </row>
    <row r="1329" spans="1:9" x14ac:dyDescent="0.25">
      <c r="A1329" s="1" t="s">
        <v>84</v>
      </c>
      <c r="B1329" s="5">
        <v>4.58</v>
      </c>
      <c r="C1329" s="5">
        <v>4.46</v>
      </c>
      <c r="D1329" s="5">
        <v>4.3600000000000003</v>
      </c>
      <c r="E1329" s="5">
        <v>4.28</v>
      </c>
      <c r="F1329" s="5">
        <v>4.22</v>
      </c>
      <c r="G1329" s="5">
        <v>4.18</v>
      </c>
      <c r="H1329" s="5">
        <v>4.1500000000000004</v>
      </c>
      <c r="I1329" s="6">
        <v>-1.6297509999999999</v>
      </c>
    </row>
    <row r="1330" spans="1:9" x14ac:dyDescent="0.25">
      <c r="A1330" s="1" t="s">
        <v>85</v>
      </c>
      <c r="B1330" s="5">
        <v>0</v>
      </c>
      <c r="C1330" s="5">
        <v>0</v>
      </c>
      <c r="D1330" s="5">
        <v>0</v>
      </c>
      <c r="E1330" s="5">
        <v>0</v>
      </c>
      <c r="F1330" s="5">
        <v>0</v>
      </c>
      <c r="G1330" s="5">
        <v>0</v>
      </c>
      <c r="H1330" s="5">
        <v>0</v>
      </c>
      <c r="I1330" s="7" t="s">
        <v>58</v>
      </c>
    </row>
    <row r="1331" spans="1:9" x14ac:dyDescent="0.25">
      <c r="A1331" s="1" t="s">
        <v>86</v>
      </c>
      <c r="B1331" s="5">
        <v>0.08</v>
      </c>
      <c r="C1331" s="5">
        <v>7.0000000000000007E-2</v>
      </c>
      <c r="D1331" s="5">
        <v>7.0000000000000007E-2</v>
      </c>
      <c r="E1331" s="5">
        <v>0.06</v>
      </c>
      <c r="F1331" s="5">
        <v>0.06</v>
      </c>
      <c r="G1331" s="5">
        <v>0.05</v>
      </c>
      <c r="H1331" s="5">
        <v>0.05</v>
      </c>
      <c r="I1331" s="6">
        <v>-7.53444</v>
      </c>
    </row>
    <row r="1332" spans="1:9" x14ac:dyDescent="0.25">
      <c r="A1332" s="1" t="s">
        <v>87</v>
      </c>
      <c r="B1332" s="5">
        <v>7.0000000000000007E-2</v>
      </c>
      <c r="C1332" s="5">
        <v>0.06</v>
      </c>
      <c r="D1332" s="5">
        <v>0.05</v>
      </c>
      <c r="E1332" s="5">
        <v>0.05</v>
      </c>
      <c r="F1332" s="5">
        <v>0.05</v>
      </c>
      <c r="G1332" s="5">
        <v>0.04</v>
      </c>
      <c r="H1332" s="5">
        <v>0.04</v>
      </c>
      <c r="I1332" s="6">
        <v>-8.9051849999999995</v>
      </c>
    </row>
    <row r="1333" spans="1:9" x14ac:dyDescent="0.25">
      <c r="A1333" s="1" t="s">
        <v>88</v>
      </c>
      <c r="B1333" s="5">
        <v>4.29</v>
      </c>
      <c r="C1333" s="5">
        <v>3.82</v>
      </c>
      <c r="D1333" s="5">
        <v>3.39</v>
      </c>
      <c r="E1333" s="5">
        <v>2.98</v>
      </c>
      <c r="F1333" s="5">
        <v>2.59</v>
      </c>
      <c r="G1333" s="5">
        <v>2.2400000000000002</v>
      </c>
      <c r="H1333" s="5">
        <v>1.91</v>
      </c>
      <c r="I1333" s="6">
        <v>-12.616517999999999</v>
      </c>
    </row>
    <row r="1334" spans="1:9" x14ac:dyDescent="0.25">
      <c r="A1334" s="1" t="s">
        <v>89</v>
      </c>
      <c r="B1334" s="5">
        <v>0</v>
      </c>
      <c r="C1334" s="5">
        <v>0</v>
      </c>
      <c r="D1334" s="5">
        <v>0</v>
      </c>
      <c r="E1334" s="5">
        <v>0</v>
      </c>
      <c r="F1334" s="5">
        <v>0</v>
      </c>
      <c r="G1334" s="5">
        <v>0</v>
      </c>
      <c r="H1334" s="5">
        <v>0</v>
      </c>
      <c r="I1334" s="7" t="s">
        <v>58</v>
      </c>
    </row>
    <row r="1335" spans="1:9" x14ac:dyDescent="0.25">
      <c r="A1335" s="1" t="s">
        <v>90</v>
      </c>
      <c r="B1335" s="5">
        <v>0</v>
      </c>
      <c r="C1335" s="5">
        <v>0</v>
      </c>
      <c r="D1335" s="5">
        <v>0</v>
      </c>
      <c r="E1335" s="5">
        <v>0</v>
      </c>
      <c r="F1335" s="5">
        <v>0</v>
      </c>
      <c r="G1335" s="5">
        <v>0</v>
      </c>
      <c r="H1335" s="5">
        <v>0</v>
      </c>
      <c r="I1335" s="7" t="s">
        <v>58</v>
      </c>
    </row>
    <row r="1336" spans="1:9" x14ac:dyDescent="0.25">
      <c r="A1336" s="1" t="s">
        <v>91</v>
      </c>
      <c r="B1336" s="5">
        <v>0</v>
      </c>
      <c r="C1336" s="5">
        <v>0</v>
      </c>
      <c r="D1336" s="5">
        <v>0</v>
      </c>
      <c r="E1336" s="5">
        <v>0</v>
      </c>
      <c r="F1336" s="5">
        <v>0</v>
      </c>
      <c r="G1336" s="5">
        <v>0</v>
      </c>
      <c r="H1336" s="5">
        <v>0</v>
      </c>
      <c r="I1336" s="7" t="s">
        <v>58</v>
      </c>
    </row>
    <row r="1337" spans="1:9" x14ac:dyDescent="0.25">
      <c r="A1337" s="1" t="s">
        <v>92</v>
      </c>
      <c r="B1337" s="5">
        <v>3.6</v>
      </c>
      <c r="C1337" s="5">
        <v>2.1</v>
      </c>
      <c r="D1337" s="5">
        <v>1.75</v>
      </c>
      <c r="E1337" s="5">
        <v>1.47</v>
      </c>
      <c r="F1337" s="5">
        <v>1.23</v>
      </c>
      <c r="G1337" s="5">
        <v>1.1000000000000001</v>
      </c>
      <c r="H1337" s="5">
        <v>0.98</v>
      </c>
      <c r="I1337" s="6">
        <v>-19.495418999999998</v>
      </c>
    </row>
    <row r="1338" spans="1:9" x14ac:dyDescent="0.25">
      <c r="A1338" s="1" t="s">
        <v>93</v>
      </c>
      <c r="B1338" s="5">
        <v>0.02</v>
      </c>
      <c r="C1338" s="5">
        <v>0.01</v>
      </c>
      <c r="D1338" s="5">
        <v>0.01</v>
      </c>
      <c r="E1338" s="5">
        <v>0.01</v>
      </c>
      <c r="F1338" s="5">
        <v>0.01</v>
      </c>
      <c r="G1338" s="5">
        <v>0.01</v>
      </c>
      <c r="H1338" s="5">
        <v>0.01</v>
      </c>
      <c r="I1338" s="6">
        <v>-10.910128</v>
      </c>
    </row>
    <row r="1339" spans="1:9" x14ac:dyDescent="0.25">
      <c r="A1339" s="1" t="s">
        <v>94</v>
      </c>
      <c r="B1339" s="5">
        <v>0</v>
      </c>
      <c r="C1339" s="5">
        <v>0</v>
      </c>
      <c r="D1339" s="5">
        <v>0</v>
      </c>
      <c r="E1339" s="5">
        <v>0</v>
      </c>
      <c r="F1339" s="5">
        <v>0</v>
      </c>
      <c r="G1339" s="5">
        <v>0</v>
      </c>
      <c r="H1339" s="5">
        <v>0</v>
      </c>
      <c r="I1339" s="7" t="s">
        <v>58</v>
      </c>
    </row>
    <row r="1340" spans="1:9" x14ac:dyDescent="0.25">
      <c r="A1340" s="1" t="s">
        <v>95</v>
      </c>
      <c r="B1340" s="5">
        <v>0.5</v>
      </c>
      <c r="C1340" s="5">
        <v>0.5</v>
      </c>
      <c r="D1340" s="5">
        <v>0.46</v>
      </c>
      <c r="E1340" s="5">
        <v>0.43</v>
      </c>
      <c r="F1340" s="5">
        <v>0.41</v>
      </c>
      <c r="G1340" s="5">
        <v>0.38</v>
      </c>
      <c r="H1340" s="5">
        <v>0.36</v>
      </c>
      <c r="I1340" s="6">
        <v>-5.3278840000000001</v>
      </c>
    </row>
    <row r="1341" spans="1:9" x14ac:dyDescent="0.25">
      <c r="A1341" s="1" t="s">
        <v>96</v>
      </c>
      <c r="B1341" s="5">
        <v>0</v>
      </c>
      <c r="C1341" s="5">
        <v>0</v>
      </c>
      <c r="D1341" s="5">
        <v>0</v>
      </c>
      <c r="E1341" s="5">
        <v>0</v>
      </c>
      <c r="F1341" s="5">
        <v>0</v>
      </c>
      <c r="G1341" s="5">
        <v>0</v>
      </c>
      <c r="H1341" s="5">
        <v>0</v>
      </c>
      <c r="I1341" s="7" t="s">
        <v>58</v>
      </c>
    </row>
    <row r="1342" spans="1:9" x14ac:dyDescent="0.25">
      <c r="A1342" s="1" t="s">
        <v>97</v>
      </c>
      <c r="B1342" s="5">
        <v>7.0000000000000007E-2</v>
      </c>
      <c r="C1342" s="5">
        <v>0.65</v>
      </c>
      <c r="D1342" s="5">
        <v>0.62</v>
      </c>
      <c r="E1342" s="5">
        <v>0.57999999999999996</v>
      </c>
      <c r="F1342" s="5">
        <v>0.56000000000000005</v>
      </c>
      <c r="G1342" s="5">
        <v>0.53</v>
      </c>
      <c r="H1342" s="5">
        <v>0.51</v>
      </c>
      <c r="I1342" s="6">
        <v>39.234017999999999</v>
      </c>
    </row>
    <row r="1343" spans="1:9" x14ac:dyDescent="0.25">
      <c r="A1343" s="1" t="s">
        <v>98</v>
      </c>
      <c r="B1343" s="5">
        <v>7.73</v>
      </c>
      <c r="C1343" s="5">
        <v>7.52</v>
      </c>
      <c r="D1343" s="5">
        <v>7.3</v>
      </c>
      <c r="E1343" s="5">
        <v>7.06</v>
      </c>
      <c r="F1343" s="5">
        <v>6.83</v>
      </c>
      <c r="G1343" s="5">
        <v>6.61</v>
      </c>
      <c r="H1343" s="5">
        <v>6.4</v>
      </c>
      <c r="I1343" s="6">
        <v>-3.0978500000000002</v>
      </c>
    </row>
    <row r="1344" spans="1:9" x14ac:dyDescent="0.25">
      <c r="A1344" s="1" t="s">
        <v>99</v>
      </c>
      <c r="B1344" s="5">
        <v>0.44</v>
      </c>
      <c r="C1344" s="5">
        <v>0.37</v>
      </c>
      <c r="D1344" s="5">
        <v>0.3</v>
      </c>
      <c r="E1344" s="5">
        <v>0.25</v>
      </c>
      <c r="F1344" s="5">
        <v>0.22</v>
      </c>
      <c r="G1344" s="5">
        <v>0.19</v>
      </c>
      <c r="H1344" s="5">
        <v>0.17</v>
      </c>
      <c r="I1344" s="6">
        <v>-14.657366</v>
      </c>
    </row>
    <row r="1345" spans="1:9" x14ac:dyDescent="0.25">
      <c r="A1345" s="1" t="s">
        <v>100</v>
      </c>
      <c r="B1345" s="5">
        <v>0</v>
      </c>
      <c r="C1345" s="5">
        <v>0</v>
      </c>
      <c r="D1345" s="5">
        <v>0</v>
      </c>
      <c r="E1345" s="5">
        <v>0</v>
      </c>
      <c r="F1345" s="5">
        <v>0</v>
      </c>
      <c r="G1345" s="5">
        <v>0</v>
      </c>
      <c r="H1345" s="5">
        <v>0</v>
      </c>
      <c r="I1345" s="7" t="s">
        <v>58</v>
      </c>
    </row>
    <row r="1346" spans="1:9" x14ac:dyDescent="0.25">
      <c r="A1346" s="1" t="s">
        <v>101</v>
      </c>
      <c r="B1346" s="5">
        <v>7.0000000000000007E-2</v>
      </c>
      <c r="C1346" s="5">
        <v>7.0000000000000007E-2</v>
      </c>
      <c r="D1346" s="5">
        <v>7.0000000000000007E-2</v>
      </c>
      <c r="E1346" s="5">
        <v>7.0000000000000007E-2</v>
      </c>
      <c r="F1346" s="5">
        <v>0.06</v>
      </c>
      <c r="G1346" s="5">
        <v>0.06</v>
      </c>
      <c r="H1346" s="5">
        <v>0.06</v>
      </c>
      <c r="I1346" s="6">
        <v>-2.5364550000000001</v>
      </c>
    </row>
    <row r="1347" spans="1:9" x14ac:dyDescent="0.25">
      <c r="A1347" s="1" t="s">
        <v>102</v>
      </c>
      <c r="B1347" s="5">
        <v>0</v>
      </c>
      <c r="C1347" s="5">
        <v>0</v>
      </c>
      <c r="D1347" s="5">
        <v>0</v>
      </c>
      <c r="E1347" s="5">
        <v>0</v>
      </c>
      <c r="F1347" s="5">
        <v>0</v>
      </c>
      <c r="G1347" s="5">
        <v>0</v>
      </c>
      <c r="H1347" s="5">
        <v>0</v>
      </c>
      <c r="I1347" s="7" t="s">
        <v>58</v>
      </c>
    </row>
    <row r="1348" spans="1:9" x14ac:dyDescent="0.25">
      <c r="A1348" s="1" t="s">
        <v>103</v>
      </c>
      <c r="B1348" s="5">
        <v>0.09</v>
      </c>
      <c r="C1348" s="5">
        <v>0.09</v>
      </c>
      <c r="D1348" s="5">
        <v>0.09</v>
      </c>
      <c r="E1348" s="5">
        <v>0.08</v>
      </c>
      <c r="F1348" s="5">
        <v>0.08</v>
      </c>
      <c r="G1348" s="5">
        <v>0.08</v>
      </c>
      <c r="H1348" s="5">
        <v>0.08</v>
      </c>
      <c r="I1348" s="6">
        <v>-1.943908</v>
      </c>
    </row>
    <row r="1349" spans="1:9" x14ac:dyDescent="0.25">
      <c r="A1349" s="1" t="s">
        <v>104</v>
      </c>
      <c r="B1349" s="5">
        <v>0</v>
      </c>
      <c r="C1349" s="5">
        <v>0</v>
      </c>
      <c r="D1349" s="5">
        <v>0</v>
      </c>
      <c r="E1349" s="5">
        <v>0</v>
      </c>
      <c r="F1349" s="5">
        <v>0</v>
      </c>
      <c r="G1349" s="5">
        <v>0</v>
      </c>
      <c r="H1349" s="5">
        <v>0</v>
      </c>
      <c r="I1349" s="7" t="s">
        <v>58</v>
      </c>
    </row>
    <row r="1350" spans="1:9" x14ac:dyDescent="0.25">
      <c r="A1350" s="1" t="s">
        <v>105</v>
      </c>
      <c r="B1350" s="5">
        <v>0.02</v>
      </c>
      <c r="C1350" s="5">
        <v>0</v>
      </c>
      <c r="D1350" s="5">
        <v>0</v>
      </c>
      <c r="E1350" s="5">
        <v>0</v>
      </c>
      <c r="F1350" s="5">
        <v>0</v>
      </c>
      <c r="G1350" s="5">
        <v>0</v>
      </c>
      <c r="H1350" s="5">
        <v>0</v>
      </c>
      <c r="I1350" s="6">
        <v>-100</v>
      </c>
    </row>
    <row r="1351" spans="1:9" x14ac:dyDescent="0.25">
      <c r="A1351" s="1" t="s">
        <v>106</v>
      </c>
      <c r="B1351" s="5">
        <v>0</v>
      </c>
      <c r="C1351" s="5">
        <v>0</v>
      </c>
      <c r="D1351" s="5">
        <v>0</v>
      </c>
      <c r="E1351" s="5">
        <v>0</v>
      </c>
      <c r="F1351" s="5">
        <v>0</v>
      </c>
      <c r="G1351" s="5">
        <v>0</v>
      </c>
      <c r="H1351" s="5">
        <v>0</v>
      </c>
      <c r="I1351" s="7" t="s">
        <v>58</v>
      </c>
    </row>
    <row r="1352" spans="1:9" ht="30" x14ac:dyDescent="0.25">
      <c r="A1352" s="1" t="s">
        <v>107</v>
      </c>
      <c r="B1352" s="5">
        <v>0</v>
      </c>
      <c r="C1352" s="5">
        <v>0</v>
      </c>
      <c r="D1352" s="5">
        <v>0</v>
      </c>
      <c r="E1352" s="5">
        <v>0</v>
      </c>
      <c r="F1352" s="5">
        <v>0</v>
      </c>
      <c r="G1352" s="5">
        <v>0</v>
      </c>
      <c r="H1352" s="5">
        <v>0</v>
      </c>
      <c r="I1352" s="7" t="s">
        <v>58</v>
      </c>
    </row>
    <row r="1353" spans="1:9" x14ac:dyDescent="0.25">
      <c r="A1353" s="1" t="s">
        <v>108</v>
      </c>
      <c r="B1353" s="5">
        <v>0</v>
      </c>
      <c r="C1353" s="5">
        <v>0</v>
      </c>
      <c r="D1353" s="5">
        <v>0</v>
      </c>
      <c r="E1353" s="5">
        <v>0</v>
      </c>
      <c r="F1353" s="5">
        <v>0</v>
      </c>
      <c r="G1353" s="5">
        <v>0</v>
      </c>
      <c r="H1353" s="5">
        <v>0</v>
      </c>
      <c r="I1353" s="7" t="s">
        <v>58</v>
      </c>
    </row>
    <row r="1354" spans="1:9" ht="30" x14ac:dyDescent="0.25">
      <c r="A1354" s="1" t="s">
        <v>109</v>
      </c>
      <c r="B1354" s="5">
        <v>0</v>
      </c>
      <c r="C1354" s="5">
        <v>0</v>
      </c>
      <c r="D1354" s="5">
        <v>0</v>
      </c>
      <c r="E1354" s="5">
        <v>0</v>
      </c>
      <c r="F1354" s="5">
        <v>0</v>
      </c>
      <c r="G1354" s="5">
        <v>0</v>
      </c>
      <c r="H1354" s="5">
        <v>0</v>
      </c>
      <c r="I1354" s="7" t="s">
        <v>58</v>
      </c>
    </row>
    <row r="1355" spans="1:9" x14ac:dyDescent="0.25">
      <c r="A1355" s="1" t="s">
        <v>110</v>
      </c>
      <c r="B1355" s="7" t="s">
        <v>58</v>
      </c>
      <c r="C1355" s="7" t="s">
        <v>58</v>
      </c>
      <c r="D1355" s="7" t="s">
        <v>58</v>
      </c>
      <c r="E1355" s="7" t="s">
        <v>58</v>
      </c>
      <c r="F1355" s="7" t="s">
        <v>58</v>
      </c>
      <c r="G1355" s="7" t="s">
        <v>58</v>
      </c>
      <c r="H1355" s="7" t="s">
        <v>58</v>
      </c>
      <c r="I1355" s="7" t="s">
        <v>58</v>
      </c>
    </row>
    <row r="1356" spans="1:9" x14ac:dyDescent="0.25">
      <c r="A1356" s="1" t="s">
        <v>111</v>
      </c>
      <c r="B1356" s="5">
        <v>0</v>
      </c>
      <c r="C1356" s="5">
        <v>0</v>
      </c>
      <c r="D1356" s="5">
        <v>0</v>
      </c>
      <c r="E1356" s="5">
        <v>0</v>
      </c>
      <c r="F1356" s="5">
        <v>0</v>
      </c>
      <c r="G1356" s="5">
        <v>0</v>
      </c>
      <c r="H1356" s="5">
        <v>0</v>
      </c>
      <c r="I1356" s="7" t="s">
        <v>58</v>
      </c>
    </row>
    <row r="1357" spans="1:9" x14ac:dyDescent="0.25">
      <c r="A1357" s="1" t="s">
        <v>112</v>
      </c>
      <c r="B1357" s="7" t="s">
        <v>58</v>
      </c>
      <c r="C1357" s="7" t="s">
        <v>58</v>
      </c>
      <c r="D1357" s="7" t="s">
        <v>58</v>
      </c>
      <c r="E1357" s="7" t="s">
        <v>58</v>
      </c>
      <c r="F1357" s="7" t="s">
        <v>58</v>
      </c>
      <c r="G1357" s="7" t="s">
        <v>58</v>
      </c>
      <c r="H1357" s="7" t="s">
        <v>58</v>
      </c>
      <c r="I1357" s="7" t="s">
        <v>58</v>
      </c>
    </row>
    <row r="1358" spans="1:9" x14ac:dyDescent="0.25">
      <c r="A1358" s="1" t="s">
        <v>113</v>
      </c>
      <c r="B1358" s="5">
        <v>0.7</v>
      </c>
      <c r="C1358" s="5">
        <v>0.75</v>
      </c>
      <c r="D1358" s="5">
        <v>0.79</v>
      </c>
      <c r="E1358" s="5">
        <v>0.83</v>
      </c>
      <c r="F1358" s="5">
        <v>0.86</v>
      </c>
      <c r="G1358" s="5">
        <v>0.9</v>
      </c>
      <c r="H1358" s="5">
        <v>0.93</v>
      </c>
      <c r="I1358" s="6">
        <v>4.8489659999999999</v>
      </c>
    </row>
    <row r="1359" spans="1:9" x14ac:dyDescent="0.25">
      <c r="A1359" s="1" t="s">
        <v>114</v>
      </c>
      <c r="B1359" s="5">
        <v>0.11</v>
      </c>
      <c r="C1359" s="5">
        <v>0.12</v>
      </c>
      <c r="D1359" s="5">
        <v>0.12</v>
      </c>
      <c r="E1359" s="5">
        <v>0.13</v>
      </c>
      <c r="F1359" s="5">
        <v>0.13</v>
      </c>
      <c r="G1359" s="5">
        <v>0.14000000000000001</v>
      </c>
      <c r="H1359" s="5">
        <v>0.14000000000000001</v>
      </c>
      <c r="I1359" s="6">
        <v>4.1012370000000002</v>
      </c>
    </row>
    <row r="1360" spans="1:9" ht="30" x14ac:dyDescent="0.25">
      <c r="A1360" s="1" t="s">
        <v>115</v>
      </c>
      <c r="B1360" s="5">
        <v>0.01</v>
      </c>
      <c r="C1360" s="5">
        <v>0.01</v>
      </c>
      <c r="D1360" s="5">
        <v>0.01</v>
      </c>
      <c r="E1360" s="5">
        <v>0.01</v>
      </c>
      <c r="F1360" s="5">
        <v>0.01</v>
      </c>
      <c r="G1360" s="5">
        <v>0.01</v>
      </c>
      <c r="H1360" s="5">
        <v>0.01</v>
      </c>
      <c r="I1360" s="6">
        <v>0</v>
      </c>
    </row>
    <row r="1361" spans="1:9" x14ac:dyDescent="0.25">
      <c r="A1361" s="1" t="s">
        <v>116</v>
      </c>
      <c r="B1361" s="5">
        <v>0</v>
      </c>
      <c r="C1361" s="5">
        <v>0</v>
      </c>
      <c r="D1361" s="5">
        <v>0</v>
      </c>
      <c r="E1361" s="5">
        <v>0</v>
      </c>
      <c r="F1361" s="5">
        <v>0</v>
      </c>
      <c r="G1361" s="5">
        <v>0</v>
      </c>
      <c r="H1361" s="5">
        <v>0</v>
      </c>
      <c r="I1361" s="7" t="s">
        <v>58</v>
      </c>
    </row>
    <row r="1362" spans="1:9" x14ac:dyDescent="0.25">
      <c r="A1362" s="1" t="s">
        <v>12</v>
      </c>
      <c r="B1362" s="2"/>
      <c r="C1362" s="2"/>
      <c r="D1362" s="2"/>
      <c r="E1362" s="2"/>
      <c r="F1362" s="2"/>
      <c r="G1362" s="2"/>
      <c r="H1362" s="2"/>
      <c r="I1362" s="2"/>
    </row>
    <row r="1363" spans="1:9" ht="45" x14ac:dyDescent="0.25">
      <c r="A1363" s="1" t="s">
        <v>129</v>
      </c>
      <c r="B1363" s="2"/>
      <c r="C1363" s="2"/>
      <c r="D1363" s="2"/>
      <c r="E1363" s="2"/>
      <c r="F1363" s="2"/>
      <c r="G1363" s="2"/>
      <c r="H1363" s="2"/>
      <c r="I1363" s="2"/>
    </row>
    <row r="1364" spans="1:9" x14ac:dyDescent="0.25">
      <c r="A1364" s="1" t="s">
        <v>14</v>
      </c>
      <c r="B1364" s="5">
        <v>17.36</v>
      </c>
      <c r="C1364" s="5">
        <v>18.579999999999998</v>
      </c>
      <c r="D1364" s="5">
        <v>17.34</v>
      </c>
      <c r="E1364" s="5">
        <v>17.010000000000002</v>
      </c>
      <c r="F1364" s="5">
        <v>16.55</v>
      </c>
      <c r="G1364" s="5">
        <v>16.440000000000001</v>
      </c>
      <c r="H1364" s="5">
        <v>17.22</v>
      </c>
      <c r="I1364" s="6">
        <v>-0.13486248258548494</v>
      </c>
    </row>
    <row r="1365" spans="1:9" ht="30" x14ac:dyDescent="0.25">
      <c r="A1365" s="1" t="s">
        <v>15</v>
      </c>
      <c r="B1365" s="5">
        <v>9.9</v>
      </c>
      <c r="C1365" s="5">
        <v>9.92</v>
      </c>
      <c r="D1365" s="5">
        <v>10.130000000000001</v>
      </c>
      <c r="E1365" s="5">
        <v>10.23</v>
      </c>
      <c r="F1365" s="5">
        <v>10.29</v>
      </c>
      <c r="G1365" s="5">
        <v>10.36</v>
      </c>
      <c r="H1365" s="5">
        <v>10.41</v>
      </c>
      <c r="I1365" s="6">
        <v>0.84071642866720975</v>
      </c>
    </row>
    <row r="1366" spans="1:9" x14ac:dyDescent="0.25">
      <c r="A1366" s="1" t="s">
        <v>16</v>
      </c>
      <c r="B1366" s="5">
        <v>35.479999999999997</v>
      </c>
      <c r="C1366" s="5">
        <v>34.65</v>
      </c>
      <c r="D1366" s="5">
        <v>34.659999999999997</v>
      </c>
      <c r="E1366" s="5">
        <v>34.81</v>
      </c>
      <c r="F1366" s="5">
        <v>34.99</v>
      </c>
      <c r="G1366" s="5">
        <v>35.15</v>
      </c>
      <c r="H1366" s="5">
        <v>35.32</v>
      </c>
      <c r="I1366" s="6">
        <v>-7.5301329401589179E-2</v>
      </c>
    </row>
    <row r="1367" spans="1:9" x14ac:dyDescent="0.25">
      <c r="A1367" s="1" t="s">
        <v>17</v>
      </c>
      <c r="B1367" s="5">
        <v>41.51</v>
      </c>
      <c r="C1367" s="5">
        <v>43.26</v>
      </c>
      <c r="D1367" s="5">
        <v>44.92</v>
      </c>
      <c r="E1367" s="5">
        <v>46.52</v>
      </c>
      <c r="F1367" s="5">
        <v>48.11</v>
      </c>
      <c r="G1367" s="5">
        <v>49.55</v>
      </c>
      <c r="H1367" s="5">
        <v>50.93</v>
      </c>
      <c r="I1367" s="6">
        <v>3.4673891581876726</v>
      </c>
    </row>
    <row r="1368" spans="1:9" x14ac:dyDescent="0.25">
      <c r="A1368" s="1" t="s">
        <v>18</v>
      </c>
      <c r="B1368" s="7" t="s">
        <v>58</v>
      </c>
      <c r="C1368" s="7" t="s">
        <v>58</v>
      </c>
      <c r="D1368" s="7" t="s">
        <v>58</v>
      </c>
      <c r="E1368" s="7" t="s">
        <v>58</v>
      </c>
      <c r="F1368" s="7" t="s">
        <v>58</v>
      </c>
      <c r="G1368" s="7" t="s">
        <v>58</v>
      </c>
      <c r="H1368" s="7" t="s">
        <v>58</v>
      </c>
      <c r="I1368" s="7" t="s">
        <v>58</v>
      </c>
    </row>
    <row r="1369" spans="1:9" x14ac:dyDescent="0.25">
      <c r="A1369" s="1" t="s">
        <v>19</v>
      </c>
      <c r="B1369" s="7" t="s">
        <v>58</v>
      </c>
      <c r="C1369" s="7" t="s">
        <v>58</v>
      </c>
      <c r="D1369" s="7" t="s">
        <v>58</v>
      </c>
      <c r="E1369" s="7" t="s">
        <v>58</v>
      </c>
      <c r="F1369" s="7" t="s">
        <v>58</v>
      </c>
      <c r="G1369" s="7" t="s">
        <v>58</v>
      </c>
      <c r="H1369" s="7" t="s">
        <v>58</v>
      </c>
      <c r="I1369" s="7" t="s">
        <v>58</v>
      </c>
    </row>
    <row r="1370" spans="1:9" x14ac:dyDescent="0.25">
      <c r="A1370" s="1" t="s">
        <v>20</v>
      </c>
      <c r="B1370" s="7" t="s">
        <v>58</v>
      </c>
      <c r="C1370" s="7" t="s">
        <v>58</v>
      </c>
      <c r="D1370" s="7" t="s">
        <v>58</v>
      </c>
      <c r="E1370" s="7" t="s">
        <v>58</v>
      </c>
      <c r="F1370" s="7" t="s">
        <v>58</v>
      </c>
      <c r="G1370" s="7" t="s">
        <v>58</v>
      </c>
      <c r="H1370" s="7" t="s">
        <v>58</v>
      </c>
      <c r="I1370" s="7" t="s">
        <v>58</v>
      </c>
    </row>
    <row r="1371" spans="1:9" x14ac:dyDescent="0.25">
      <c r="A1371" s="1" t="s">
        <v>21</v>
      </c>
      <c r="B1371" s="5">
        <v>40.340000000000003</v>
      </c>
      <c r="C1371" s="5">
        <v>41.71</v>
      </c>
      <c r="D1371" s="5">
        <v>43.41</v>
      </c>
      <c r="E1371" s="5">
        <v>44.96</v>
      </c>
      <c r="F1371" s="5">
        <v>46.49</v>
      </c>
      <c r="G1371" s="5">
        <v>48.01</v>
      </c>
      <c r="H1371" s="5">
        <v>49.36</v>
      </c>
      <c r="I1371" s="6">
        <v>3.4204785114914316</v>
      </c>
    </row>
    <row r="1372" spans="1:9" x14ac:dyDescent="0.25">
      <c r="A1372" s="1" t="s">
        <v>22</v>
      </c>
      <c r="B1372" s="7" t="s">
        <v>58</v>
      </c>
      <c r="C1372" s="7" t="s">
        <v>58</v>
      </c>
      <c r="D1372" s="7" t="s">
        <v>58</v>
      </c>
      <c r="E1372" s="7" t="s">
        <v>58</v>
      </c>
      <c r="F1372" s="7" t="s">
        <v>58</v>
      </c>
      <c r="G1372" s="7" t="s">
        <v>58</v>
      </c>
      <c r="H1372" s="7" t="s">
        <v>58</v>
      </c>
      <c r="I1372" s="7" t="s">
        <v>58</v>
      </c>
    </row>
    <row r="1373" spans="1:9" x14ac:dyDescent="0.25">
      <c r="A1373" s="1" t="s">
        <v>23</v>
      </c>
      <c r="B1373" s="5">
        <v>18.32</v>
      </c>
      <c r="C1373" s="5">
        <v>18.07</v>
      </c>
      <c r="D1373" s="5">
        <v>17.809999999999999</v>
      </c>
      <c r="E1373" s="5">
        <v>17.54</v>
      </c>
      <c r="F1373" s="5">
        <v>17.260000000000002</v>
      </c>
      <c r="G1373" s="5">
        <v>16.98</v>
      </c>
      <c r="H1373" s="5">
        <v>16.71</v>
      </c>
      <c r="I1373" s="6">
        <v>-1.5214081220837894</v>
      </c>
    </row>
    <row r="1374" spans="1:9" x14ac:dyDescent="0.25">
      <c r="A1374" s="1" t="s">
        <v>24</v>
      </c>
      <c r="B1374" s="7" t="s">
        <v>58</v>
      </c>
      <c r="C1374" s="7" t="s">
        <v>58</v>
      </c>
      <c r="D1374" s="7" t="s">
        <v>58</v>
      </c>
      <c r="E1374" s="7" t="s">
        <v>58</v>
      </c>
      <c r="F1374" s="7" t="s">
        <v>58</v>
      </c>
      <c r="G1374" s="7" t="s">
        <v>58</v>
      </c>
      <c r="H1374" s="7" t="s">
        <v>58</v>
      </c>
      <c r="I1374" s="7" t="s">
        <v>58</v>
      </c>
    </row>
    <row r="1375" spans="1:9" x14ac:dyDescent="0.25">
      <c r="A1375" s="1" t="s">
        <v>25</v>
      </c>
      <c r="B1375" s="5">
        <v>17.5</v>
      </c>
      <c r="C1375" s="5">
        <v>17.37</v>
      </c>
      <c r="D1375" s="5">
        <v>17.190000000000001</v>
      </c>
      <c r="E1375" s="5">
        <v>17.010000000000002</v>
      </c>
      <c r="F1375" s="5">
        <v>16.850000000000001</v>
      </c>
      <c r="G1375" s="5">
        <v>16.7</v>
      </c>
      <c r="H1375" s="5">
        <v>16.54</v>
      </c>
      <c r="I1375" s="6">
        <v>-0.935912673096162</v>
      </c>
    </row>
    <row r="1376" spans="1:9" x14ac:dyDescent="0.25">
      <c r="A1376" s="1" t="s">
        <v>26</v>
      </c>
      <c r="B1376" s="5">
        <v>54.77</v>
      </c>
      <c r="C1376" s="5">
        <v>54.37</v>
      </c>
      <c r="D1376" s="5">
        <v>54.01</v>
      </c>
      <c r="E1376" s="5">
        <v>53.81</v>
      </c>
      <c r="F1376" s="5">
        <v>53.79</v>
      </c>
      <c r="G1376" s="5">
        <v>53.87</v>
      </c>
      <c r="H1376" s="5">
        <v>53.96</v>
      </c>
      <c r="I1376" s="6">
        <v>-0.24801805000933541</v>
      </c>
    </row>
    <row r="1377" spans="1:9" x14ac:dyDescent="0.25">
      <c r="A1377" s="1" t="s">
        <v>27</v>
      </c>
      <c r="B1377" s="5">
        <v>16.3</v>
      </c>
      <c r="C1377" s="5">
        <v>16.95</v>
      </c>
      <c r="D1377" s="5">
        <v>17.510000000000002</v>
      </c>
      <c r="E1377" s="5">
        <v>18.04</v>
      </c>
      <c r="F1377" s="5">
        <v>18.559999999999999</v>
      </c>
      <c r="G1377" s="5">
        <v>19.079999999999998</v>
      </c>
      <c r="H1377" s="5">
        <v>19.59</v>
      </c>
      <c r="I1377" s="6">
        <v>3.1116663207706896</v>
      </c>
    </row>
    <row r="1378" spans="1:9" x14ac:dyDescent="0.25">
      <c r="A1378" s="1" t="s">
        <v>28</v>
      </c>
      <c r="B1378" s="5">
        <v>7.25</v>
      </c>
      <c r="C1378" s="5">
        <v>7.29</v>
      </c>
      <c r="D1378" s="5">
        <v>7.51</v>
      </c>
      <c r="E1378" s="5">
        <v>7.54</v>
      </c>
      <c r="F1378" s="5">
        <v>7.56</v>
      </c>
      <c r="G1378" s="5">
        <v>7.59</v>
      </c>
      <c r="H1378" s="5">
        <v>7.6</v>
      </c>
      <c r="I1378" s="6">
        <v>0.78887499087456625</v>
      </c>
    </row>
    <row r="1379" spans="1:9" x14ac:dyDescent="0.25">
      <c r="A1379" s="1" t="s">
        <v>29</v>
      </c>
      <c r="B1379" s="5">
        <v>14.06</v>
      </c>
      <c r="C1379" s="5">
        <v>13.56</v>
      </c>
      <c r="D1379" s="5">
        <v>13.09</v>
      </c>
      <c r="E1379" s="5">
        <v>12.64</v>
      </c>
      <c r="F1379" s="5">
        <v>12.17</v>
      </c>
      <c r="G1379" s="5">
        <v>11.68</v>
      </c>
      <c r="H1379" s="5">
        <v>11.18</v>
      </c>
      <c r="I1379" s="6">
        <v>-3.7480772544362773</v>
      </c>
    </row>
    <row r="1380" spans="1:9" x14ac:dyDescent="0.25">
      <c r="A1380" s="1" t="s">
        <v>30</v>
      </c>
      <c r="B1380" s="5">
        <v>30.08</v>
      </c>
      <c r="C1380" s="5">
        <v>30.43</v>
      </c>
      <c r="D1380" s="5">
        <v>29.56</v>
      </c>
      <c r="E1380" s="5">
        <v>28.5</v>
      </c>
      <c r="F1380" s="5">
        <v>27.97</v>
      </c>
      <c r="G1380" s="5">
        <v>27.89</v>
      </c>
      <c r="H1380" s="5">
        <v>28.19</v>
      </c>
      <c r="I1380" s="6">
        <v>-1.0757254746388001</v>
      </c>
    </row>
    <row r="1381" spans="1:9" x14ac:dyDescent="0.25">
      <c r="A1381" s="1" t="s">
        <v>31</v>
      </c>
      <c r="B1381" s="5">
        <v>18.39</v>
      </c>
      <c r="C1381" s="5">
        <v>18.25</v>
      </c>
      <c r="D1381" s="5">
        <v>18.11</v>
      </c>
      <c r="E1381" s="5">
        <v>18.010000000000002</v>
      </c>
      <c r="F1381" s="5">
        <v>17.91</v>
      </c>
      <c r="G1381" s="5">
        <v>17.829999999999998</v>
      </c>
      <c r="H1381" s="5">
        <v>17.77</v>
      </c>
      <c r="I1381" s="6">
        <v>-0.56995947353144505</v>
      </c>
    </row>
    <row r="1382" spans="1:9" x14ac:dyDescent="0.25">
      <c r="A1382" s="1" t="s">
        <v>32</v>
      </c>
      <c r="B1382" s="7" t="s">
        <v>58</v>
      </c>
      <c r="C1382" s="7" t="s">
        <v>58</v>
      </c>
      <c r="D1382" s="7" t="s">
        <v>58</v>
      </c>
      <c r="E1382" s="7" t="s">
        <v>58</v>
      </c>
      <c r="F1382" s="7" t="s">
        <v>58</v>
      </c>
      <c r="G1382" s="7" t="s">
        <v>58</v>
      </c>
      <c r="H1382" s="7" t="s">
        <v>58</v>
      </c>
      <c r="I1382" s="7" t="s">
        <v>58</v>
      </c>
    </row>
    <row r="1383" spans="1:9" x14ac:dyDescent="0.25">
      <c r="A1383" s="1" t="s">
        <v>33</v>
      </c>
      <c r="B1383" s="5">
        <v>33.11</v>
      </c>
      <c r="C1383" s="5">
        <v>34.04</v>
      </c>
      <c r="D1383" s="5">
        <v>34.97</v>
      </c>
      <c r="E1383" s="5">
        <v>35.909999999999997</v>
      </c>
      <c r="F1383" s="5">
        <v>36.89</v>
      </c>
      <c r="G1383" s="5">
        <v>37.89</v>
      </c>
      <c r="H1383" s="5">
        <v>38.909999999999997</v>
      </c>
      <c r="I1383" s="6">
        <v>2.7267799443083218</v>
      </c>
    </row>
    <row r="1384" spans="1:9" ht="30" x14ac:dyDescent="0.25">
      <c r="A1384" s="1" t="s">
        <v>34</v>
      </c>
      <c r="B1384" s="5">
        <v>19.47</v>
      </c>
      <c r="C1384" s="5">
        <v>19.260000000000002</v>
      </c>
      <c r="D1384" s="5">
        <v>18.97</v>
      </c>
      <c r="E1384" s="5">
        <v>18.850000000000001</v>
      </c>
      <c r="F1384" s="5">
        <v>18.71</v>
      </c>
      <c r="G1384" s="5">
        <v>18.579999999999998</v>
      </c>
      <c r="H1384" s="5">
        <v>18.45</v>
      </c>
      <c r="I1384" s="6">
        <v>-0.89283119331329264</v>
      </c>
    </row>
    <row r="1385" spans="1:9" ht="30" x14ac:dyDescent="0.25">
      <c r="A1385" s="1" t="s">
        <v>35</v>
      </c>
      <c r="B1385" s="7" t="s">
        <v>58</v>
      </c>
      <c r="C1385" s="7" t="s">
        <v>58</v>
      </c>
      <c r="D1385" s="7" t="s">
        <v>58</v>
      </c>
      <c r="E1385" s="7" t="s">
        <v>58</v>
      </c>
      <c r="F1385" s="7" t="s">
        <v>58</v>
      </c>
      <c r="G1385" s="7" t="s">
        <v>58</v>
      </c>
      <c r="H1385" s="7" t="s">
        <v>58</v>
      </c>
      <c r="I1385" s="7" t="s">
        <v>58</v>
      </c>
    </row>
    <row r="1386" spans="1:9" x14ac:dyDescent="0.25">
      <c r="A1386" s="1" t="s">
        <v>36</v>
      </c>
      <c r="B1386" s="7" t="s">
        <v>58</v>
      </c>
      <c r="C1386" s="7" t="s">
        <v>58</v>
      </c>
      <c r="D1386" s="7" t="s">
        <v>58</v>
      </c>
      <c r="E1386" s="7" t="s">
        <v>58</v>
      </c>
      <c r="F1386" s="7" t="s">
        <v>58</v>
      </c>
      <c r="G1386" s="7" t="s">
        <v>58</v>
      </c>
      <c r="H1386" s="7" t="s">
        <v>58</v>
      </c>
      <c r="I1386" s="7" t="s">
        <v>58</v>
      </c>
    </row>
    <row r="1387" spans="1:9" x14ac:dyDescent="0.25">
      <c r="A1387" s="1" t="s">
        <v>37</v>
      </c>
      <c r="B1387" s="7" t="s">
        <v>58</v>
      </c>
      <c r="C1387" s="7" t="s">
        <v>58</v>
      </c>
      <c r="D1387" s="7" t="s">
        <v>58</v>
      </c>
      <c r="E1387" s="7" t="s">
        <v>58</v>
      </c>
      <c r="F1387" s="7" t="s">
        <v>58</v>
      </c>
      <c r="G1387" s="7" t="s">
        <v>58</v>
      </c>
      <c r="H1387" s="7" t="s">
        <v>58</v>
      </c>
      <c r="I1387" s="7" t="s">
        <v>58</v>
      </c>
    </row>
    <row r="1388" spans="1:9" x14ac:dyDescent="0.25">
      <c r="A1388" s="1" t="s">
        <v>38</v>
      </c>
      <c r="B1388" s="7" t="s">
        <v>58</v>
      </c>
      <c r="C1388" s="7" t="s">
        <v>58</v>
      </c>
      <c r="D1388" s="7" t="s">
        <v>58</v>
      </c>
      <c r="E1388" s="7" t="s">
        <v>58</v>
      </c>
      <c r="F1388" s="7" t="s">
        <v>58</v>
      </c>
      <c r="G1388" s="7" t="s">
        <v>58</v>
      </c>
      <c r="H1388" s="7" t="s">
        <v>58</v>
      </c>
      <c r="I1388" s="7" t="s">
        <v>58</v>
      </c>
    </row>
    <row r="1389" spans="1:9" x14ac:dyDescent="0.25">
      <c r="A1389" s="1" t="s">
        <v>39</v>
      </c>
      <c r="B1389" s="7" t="s">
        <v>58</v>
      </c>
      <c r="C1389" s="7" t="s">
        <v>58</v>
      </c>
      <c r="D1389" s="7" t="s">
        <v>58</v>
      </c>
      <c r="E1389" s="7" t="s">
        <v>58</v>
      </c>
      <c r="F1389" s="7" t="s">
        <v>58</v>
      </c>
      <c r="G1389" s="7" t="s">
        <v>58</v>
      </c>
      <c r="H1389" s="7" t="s">
        <v>58</v>
      </c>
      <c r="I1389" s="7" t="s">
        <v>58</v>
      </c>
    </row>
    <row r="1390" spans="1:9" x14ac:dyDescent="0.25">
      <c r="A1390" s="1" t="s">
        <v>40</v>
      </c>
      <c r="B1390" s="5">
        <v>33.01</v>
      </c>
      <c r="C1390" s="5">
        <v>33.72</v>
      </c>
      <c r="D1390" s="5">
        <v>34.51</v>
      </c>
      <c r="E1390" s="5">
        <v>35.25</v>
      </c>
      <c r="F1390" s="5">
        <v>35.97</v>
      </c>
      <c r="G1390" s="5">
        <v>36.659999999999997</v>
      </c>
      <c r="H1390" s="5">
        <v>37.29</v>
      </c>
      <c r="I1390" s="6">
        <v>2.0526946440305283</v>
      </c>
    </row>
    <row r="1391" spans="1:9" x14ac:dyDescent="0.25">
      <c r="A1391" s="1" t="s">
        <v>41</v>
      </c>
      <c r="B1391" s="5">
        <v>22.87</v>
      </c>
      <c r="C1391" s="5">
        <v>23.53</v>
      </c>
      <c r="D1391" s="5">
        <v>24.18</v>
      </c>
      <c r="E1391" s="5">
        <v>24.85</v>
      </c>
      <c r="F1391" s="5">
        <v>25.26</v>
      </c>
      <c r="G1391" s="5">
        <v>25.64</v>
      </c>
      <c r="H1391" s="5">
        <v>25.97</v>
      </c>
      <c r="I1391" s="6">
        <v>2.1412019608186839</v>
      </c>
    </row>
    <row r="1392" spans="1:9" x14ac:dyDescent="0.25">
      <c r="A1392" s="1" t="s">
        <v>42</v>
      </c>
      <c r="B1392" s="5">
        <v>28.77</v>
      </c>
      <c r="C1392" s="5">
        <v>29.56</v>
      </c>
      <c r="D1392" s="5">
        <v>30.23</v>
      </c>
      <c r="E1392" s="5">
        <v>30.86</v>
      </c>
      <c r="F1392" s="5">
        <v>31.51</v>
      </c>
      <c r="G1392" s="5">
        <v>32.1</v>
      </c>
      <c r="H1392" s="5">
        <v>32.659999999999997</v>
      </c>
      <c r="I1392" s="6">
        <v>2.136127241084318</v>
      </c>
    </row>
    <row r="1393" spans="1:9" x14ac:dyDescent="0.25">
      <c r="A1393" s="1" t="s">
        <v>43</v>
      </c>
      <c r="B1393" s="5">
        <v>26.02</v>
      </c>
      <c r="C1393" s="5">
        <v>25.92</v>
      </c>
      <c r="D1393" s="5">
        <v>25.68</v>
      </c>
      <c r="E1393" s="5">
        <v>25.55</v>
      </c>
      <c r="F1393" s="5">
        <v>25.45</v>
      </c>
      <c r="G1393" s="5">
        <v>25.39</v>
      </c>
      <c r="H1393" s="5">
        <v>25.32</v>
      </c>
      <c r="I1393" s="6">
        <v>-0.45348324235486848</v>
      </c>
    </row>
    <row r="1394" spans="1:9" x14ac:dyDescent="0.25">
      <c r="A1394" s="1" t="s">
        <v>44</v>
      </c>
      <c r="B1394" s="5">
        <v>19.16</v>
      </c>
      <c r="C1394" s="5">
        <v>19.850000000000001</v>
      </c>
      <c r="D1394" s="5">
        <v>20.309999999999999</v>
      </c>
      <c r="E1394" s="5">
        <v>20.7</v>
      </c>
      <c r="F1394" s="5">
        <v>21.22</v>
      </c>
      <c r="G1394" s="5">
        <v>21.88</v>
      </c>
      <c r="H1394" s="5">
        <v>22.53</v>
      </c>
      <c r="I1394" s="6">
        <v>2.7371737915178995</v>
      </c>
    </row>
    <row r="1395" spans="1:9" x14ac:dyDescent="0.25">
      <c r="A1395" s="1" t="s">
        <v>45</v>
      </c>
      <c r="B1395" s="7" t="s">
        <v>58</v>
      </c>
      <c r="C1395" s="7" t="s">
        <v>58</v>
      </c>
      <c r="D1395" s="7" t="s">
        <v>58</v>
      </c>
      <c r="E1395" s="7" t="s">
        <v>58</v>
      </c>
      <c r="F1395" s="7" t="s">
        <v>58</v>
      </c>
      <c r="G1395" s="7" t="s">
        <v>58</v>
      </c>
      <c r="H1395" s="7" t="s">
        <v>58</v>
      </c>
      <c r="I1395" s="7" t="s">
        <v>58</v>
      </c>
    </row>
    <row r="1396" spans="1:9" x14ac:dyDescent="0.25">
      <c r="A1396" s="1" t="s">
        <v>46</v>
      </c>
      <c r="B1396" s="5">
        <v>24.54</v>
      </c>
      <c r="C1396" s="5">
        <v>24.54</v>
      </c>
      <c r="D1396" s="5">
        <v>24.9</v>
      </c>
      <c r="E1396" s="5">
        <v>24.85</v>
      </c>
      <c r="F1396" s="5">
        <v>25.01</v>
      </c>
      <c r="G1396" s="5">
        <v>25.33</v>
      </c>
      <c r="H1396" s="5">
        <v>25.7</v>
      </c>
      <c r="I1396" s="6">
        <v>0.77274626836798532</v>
      </c>
    </row>
    <row r="1397" spans="1:9" x14ac:dyDescent="0.25">
      <c r="A1397" s="1" t="s">
        <v>47</v>
      </c>
      <c r="B1397" s="7" t="s">
        <v>58</v>
      </c>
      <c r="C1397" s="7" t="s">
        <v>58</v>
      </c>
      <c r="D1397" s="7" t="s">
        <v>58</v>
      </c>
      <c r="E1397" s="7" t="s">
        <v>58</v>
      </c>
      <c r="F1397" s="7" t="s">
        <v>58</v>
      </c>
      <c r="G1397" s="7" t="s">
        <v>58</v>
      </c>
      <c r="H1397" s="7" t="s">
        <v>58</v>
      </c>
      <c r="I1397" s="7" t="s">
        <v>58</v>
      </c>
    </row>
    <row r="1398" spans="1:9" x14ac:dyDescent="0.25">
      <c r="A1398" s="1" t="s">
        <v>48</v>
      </c>
      <c r="B1398" s="5">
        <v>5.64</v>
      </c>
      <c r="C1398" s="5">
        <v>5.63</v>
      </c>
      <c r="D1398" s="5">
        <v>5.68</v>
      </c>
      <c r="E1398" s="5">
        <v>5.76</v>
      </c>
      <c r="F1398" s="5">
        <v>5.85</v>
      </c>
      <c r="G1398" s="5">
        <v>5.94</v>
      </c>
      <c r="H1398" s="5">
        <v>6.03</v>
      </c>
      <c r="I1398" s="6">
        <v>1.1206147906739794</v>
      </c>
    </row>
    <row r="1399" spans="1:9" x14ac:dyDescent="0.25">
      <c r="A1399" s="1" t="s">
        <v>49</v>
      </c>
      <c r="B1399" s="5">
        <v>11.23</v>
      </c>
      <c r="C1399" s="5">
        <v>11.7</v>
      </c>
      <c r="D1399" s="5">
        <v>12.14</v>
      </c>
      <c r="E1399" s="5">
        <v>12.25</v>
      </c>
      <c r="F1399" s="5">
        <v>12.56</v>
      </c>
      <c r="G1399" s="5">
        <v>12.97</v>
      </c>
      <c r="H1399" s="5">
        <v>13.16</v>
      </c>
      <c r="I1399" s="6">
        <v>2.678462157020034</v>
      </c>
    </row>
    <row r="1400" spans="1:9" x14ac:dyDescent="0.25">
      <c r="A1400" s="1" t="s">
        <v>50</v>
      </c>
      <c r="B1400" s="7" t="s">
        <v>58</v>
      </c>
      <c r="C1400" s="7" t="s">
        <v>58</v>
      </c>
      <c r="D1400" s="7" t="s">
        <v>58</v>
      </c>
      <c r="E1400" s="7" t="s">
        <v>58</v>
      </c>
      <c r="F1400" s="7" t="s">
        <v>58</v>
      </c>
      <c r="G1400" s="7" t="s">
        <v>58</v>
      </c>
      <c r="H1400" s="7" t="s">
        <v>58</v>
      </c>
      <c r="I1400" s="7" t="s">
        <v>58</v>
      </c>
    </row>
    <row r="1401" spans="1:9" x14ac:dyDescent="0.25">
      <c r="A1401" s="1" t="s">
        <v>51</v>
      </c>
      <c r="B1401" s="5">
        <v>41.52</v>
      </c>
      <c r="C1401" s="5">
        <v>41.99</v>
      </c>
      <c r="D1401" s="5">
        <v>42.18</v>
      </c>
      <c r="E1401" s="5">
        <v>42.45</v>
      </c>
      <c r="F1401" s="5">
        <v>42.65</v>
      </c>
      <c r="G1401" s="5">
        <v>42.88</v>
      </c>
      <c r="H1401" s="5">
        <v>43.11</v>
      </c>
      <c r="I1401" s="6">
        <v>0.62829470758181127</v>
      </c>
    </row>
    <row r="1402" spans="1:9" x14ac:dyDescent="0.25">
      <c r="A1402" s="1" t="s">
        <v>52</v>
      </c>
      <c r="B1402" s="7" t="s">
        <v>58</v>
      </c>
      <c r="C1402" s="7" t="s">
        <v>58</v>
      </c>
      <c r="D1402" s="7" t="s">
        <v>58</v>
      </c>
      <c r="E1402" s="7" t="s">
        <v>58</v>
      </c>
      <c r="F1402" s="7" t="s">
        <v>58</v>
      </c>
      <c r="G1402" s="7" t="s">
        <v>58</v>
      </c>
      <c r="H1402" s="7" t="s">
        <v>58</v>
      </c>
      <c r="I1402" s="7" t="s">
        <v>58</v>
      </c>
    </row>
    <row r="1403" spans="1:9" x14ac:dyDescent="0.25">
      <c r="A1403" s="1" t="s">
        <v>53</v>
      </c>
      <c r="B1403" s="5">
        <v>23.28</v>
      </c>
      <c r="C1403" s="5">
        <v>23.3</v>
      </c>
      <c r="D1403" s="5">
        <v>23.24</v>
      </c>
      <c r="E1403" s="5">
        <v>23.2</v>
      </c>
      <c r="F1403" s="5">
        <v>23.19</v>
      </c>
      <c r="G1403" s="5">
        <v>23.19</v>
      </c>
      <c r="H1403" s="5">
        <v>23.24</v>
      </c>
      <c r="I1403" s="6">
        <v>-2.8657407638943422E-2</v>
      </c>
    </row>
    <row r="1404" spans="1:9" x14ac:dyDescent="0.25">
      <c r="A1404" s="1" t="s">
        <v>54</v>
      </c>
      <c r="B1404" s="7" t="s">
        <v>58</v>
      </c>
      <c r="C1404" s="7" t="s">
        <v>58</v>
      </c>
      <c r="D1404" s="7" t="s">
        <v>58</v>
      </c>
      <c r="E1404" s="7" t="s">
        <v>58</v>
      </c>
      <c r="F1404" s="7" t="s">
        <v>58</v>
      </c>
      <c r="G1404" s="7" t="s">
        <v>58</v>
      </c>
      <c r="H1404" s="7" t="s">
        <v>58</v>
      </c>
      <c r="I1404" s="7" t="s">
        <v>58</v>
      </c>
    </row>
    <row r="1405" spans="1:9" x14ac:dyDescent="0.25">
      <c r="A1405" s="1" t="s">
        <v>55</v>
      </c>
      <c r="B1405" s="5">
        <v>24.21</v>
      </c>
      <c r="C1405" s="5">
        <v>24.58</v>
      </c>
      <c r="D1405" s="5">
        <v>24.66</v>
      </c>
      <c r="E1405" s="5">
        <v>25.29</v>
      </c>
      <c r="F1405" s="5">
        <v>25.54</v>
      </c>
      <c r="G1405" s="5">
        <v>25.83</v>
      </c>
      <c r="H1405" s="5">
        <v>26.18</v>
      </c>
      <c r="I1405" s="6">
        <v>1.3123701256418041</v>
      </c>
    </row>
    <row r="1406" spans="1:9" x14ac:dyDescent="0.25">
      <c r="A1406" s="1" t="s">
        <v>56</v>
      </c>
      <c r="B1406" s="7" t="s">
        <v>58</v>
      </c>
      <c r="C1406" s="7" t="s">
        <v>58</v>
      </c>
      <c r="D1406" s="7" t="s">
        <v>58</v>
      </c>
      <c r="E1406" s="7" t="s">
        <v>58</v>
      </c>
      <c r="F1406" s="7" t="s">
        <v>58</v>
      </c>
      <c r="G1406" s="7" t="s">
        <v>58</v>
      </c>
      <c r="H1406" s="7" t="s">
        <v>58</v>
      </c>
      <c r="I1406" s="7" t="s">
        <v>58</v>
      </c>
    </row>
    <row r="1407" spans="1:9" x14ac:dyDescent="0.25">
      <c r="A1407" s="1" t="s">
        <v>57</v>
      </c>
      <c r="B1407" s="7" t="s">
        <v>58</v>
      </c>
      <c r="C1407" s="7" t="s">
        <v>58</v>
      </c>
      <c r="D1407" s="7" t="s">
        <v>58</v>
      </c>
      <c r="E1407" s="7" t="s">
        <v>58</v>
      </c>
      <c r="F1407" s="7" t="s">
        <v>58</v>
      </c>
      <c r="G1407" s="7" t="s">
        <v>58</v>
      </c>
      <c r="H1407" s="7" t="s">
        <v>58</v>
      </c>
      <c r="I1407" s="7" t="s">
        <v>58</v>
      </c>
    </row>
    <row r="1408" spans="1:9" x14ac:dyDescent="0.25">
      <c r="A1408" s="1" t="s">
        <v>59</v>
      </c>
      <c r="B1408" s="7" t="s">
        <v>58</v>
      </c>
      <c r="C1408" s="7" t="s">
        <v>58</v>
      </c>
      <c r="D1408" s="7" t="s">
        <v>58</v>
      </c>
      <c r="E1408" s="7" t="s">
        <v>58</v>
      </c>
      <c r="F1408" s="7" t="s">
        <v>58</v>
      </c>
      <c r="G1408" s="7" t="s">
        <v>58</v>
      </c>
      <c r="H1408" s="7" t="s">
        <v>58</v>
      </c>
      <c r="I1408" s="7" t="s">
        <v>58</v>
      </c>
    </row>
    <row r="1409" spans="1:9" x14ac:dyDescent="0.25">
      <c r="A1409" s="1" t="s">
        <v>60</v>
      </c>
      <c r="B1409" s="5">
        <v>14.79</v>
      </c>
      <c r="C1409" s="5">
        <v>14.99</v>
      </c>
      <c r="D1409" s="5">
        <v>15.25</v>
      </c>
      <c r="E1409" s="5">
        <v>15.54</v>
      </c>
      <c r="F1409" s="5">
        <v>15.82</v>
      </c>
      <c r="G1409" s="5">
        <v>16.14</v>
      </c>
      <c r="H1409" s="5">
        <v>16.41</v>
      </c>
      <c r="I1409" s="6">
        <v>1.7474189467817425</v>
      </c>
    </row>
    <row r="1410" spans="1:9" ht="45" x14ac:dyDescent="0.25">
      <c r="A1410" s="1" t="s">
        <v>61</v>
      </c>
      <c r="B1410" s="7" t="s">
        <v>58</v>
      </c>
      <c r="C1410" s="7" t="s">
        <v>58</v>
      </c>
      <c r="D1410" s="7" t="s">
        <v>58</v>
      </c>
      <c r="E1410" s="7" t="s">
        <v>58</v>
      </c>
      <c r="F1410" s="7" t="s">
        <v>58</v>
      </c>
      <c r="G1410" s="7" t="s">
        <v>58</v>
      </c>
      <c r="H1410" s="7" t="s">
        <v>58</v>
      </c>
      <c r="I1410" s="7" t="s">
        <v>58</v>
      </c>
    </row>
    <row r="1411" spans="1:9" x14ac:dyDescent="0.25">
      <c r="A1411" s="1" t="s">
        <v>62</v>
      </c>
      <c r="B1411" s="7" t="s">
        <v>58</v>
      </c>
      <c r="C1411" s="7" t="s">
        <v>58</v>
      </c>
      <c r="D1411" s="7" t="s">
        <v>58</v>
      </c>
      <c r="E1411" s="7" t="s">
        <v>58</v>
      </c>
      <c r="F1411" s="7" t="s">
        <v>58</v>
      </c>
      <c r="G1411" s="7" t="s">
        <v>58</v>
      </c>
      <c r="H1411" s="7" t="s">
        <v>58</v>
      </c>
      <c r="I1411" s="7" t="s">
        <v>58</v>
      </c>
    </row>
    <row r="1412" spans="1:9" x14ac:dyDescent="0.25">
      <c r="A1412" s="1" t="s">
        <v>63</v>
      </c>
      <c r="B1412" s="7" t="s">
        <v>58</v>
      </c>
      <c r="C1412" s="7" t="s">
        <v>58</v>
      </c>
      <c r="D1412" s="7" t="s">
        <v>58</v>
      </c>
      <c r="E1412" s="7" t="s">
        <v>58</v>
      </c>
      <c r="F1412" s="7" t="s">
        <v>58</v>
      </c>
      <c r="G1412" s="7" t="s">
        <v>58</v>
      </c>
      <c r="H1412" s="7" t="s">
        <v>58</v>
      </c>
      <c r="I1412" s="7" t="s">
        <v>58</v>
      </c>
    </row>
    <row r="1413" spans="1:9" x14ac:dyDescent="0.25">
      <c r="A1413" s="1" t="s">
        <v>64</v>
      </c>
      <c r="B1413" s="7" t="s">
        <v>58</v>
      </c>
      <c r="C1413" s="7" t="s">
        <v>58</v>
      </c>
      <c r="D1413" s="7" t="s">
        <v>58</v>
      </c>
      <c r="E1413" s="7" t="s">
        <v>58</v>
      </c>
      <c r="F1413" s="7" t="s">
        <v>58</v>
      </c>
      <c r="G1413" s="7" t="s">
        <v>58</v>
      </c>
      <c r="H1413" s="7" t="s">
        <v>58</v>
      </c>
      <c r="I1413" s="7" t="s">
        <v>58</v>
      </c>
    </row>
    <row r="1414" spans="1:9" x14ac:dyDescent="0.25">
      <c r="A1414" s="1" t="s">
        <v>65</v>
      </c>
      <c r="B1414" s="5">
        <v>28.72</v>
      </c>
      <c r="C1414" s="5">
        <v>31.09</v>
      </c>
      <c r="D1414" s="5">
        <v>31.46</v>
      </c>
      <c r="E1414" s="5">
        <v>31.78</v>
      </c>
      <c r="F1414" s="5">
        <v>32.17</v>
      </c>
      <c r="G1414" s="5">
        <v>32.590000000000003</v>
      </c>
      <c r="H1414" s="5">
        <v>33.04</v>
      </c>
      <c r="I1414" s="6">
        <v>2.3629045514384606</v>
      </c>
    </row>
    <row r="1415" spans="1:9" x14ac:dyDescent="0.25">
      <c r="A1415" s="1" t="s">
        <v>66</v>
      </c>
      <c r="B1415" s="5">
        <v>21.79</v>
      </c>
      <c r="C1415" s="5">
        <v>22.44</v>
      </c>
      <c r="D1415" s="5">
        <v>23.15</v>
      </c>
      <c r="E1415" s="5">
        <v>23.87</v>
      </c>
      <c r="F1415" s="5">
        <v>24.48</v>
      </c>
      <c r="G1415" s="5">
        <v>24.94</v>
      </c>
      <c r="H1415" s="5">
        <v>25.29</v>
      </c>
      <c r="I1415" s="6">
        <v>2.5137057843706456</v>
      </c>
    </row>
    <row r="1416" spans="1:9" ht="30" x14ac:dyDescent="0.25">
      <c r="A1416" s="1" t="s">
        <v>67</v>
      </c>
      <c r="B1416" s="7" t="s">
        <v>58</v>
      </c>
      <c r="C1416" s="7" t="s">
        <v>58</v>
      </c>
      <c r="D1416" s="7" t="s">
        <v>58</v>
      </c>
      <c r="E1416" s="7" t="s">
        <v>58</v>
      </c>
      <c r="F1416" s="7" t="s">
        <v>58</v>
      </c>
      <c r="G1416" s="7" t="s">
        <v>58</v>
      </c>
      <c r="H1416" s="7" t="s">
        <v>58</v>
      </c>
      <c r="I1416" s="7" t="s">
        <v>58</v>
      </c>
    </row>
    <row r="1417" spans="1:9" x14ac:dyDescent="0.25">
      <c r="A1417" s="1" t="s">
        <v>68</v>
      </c>
      <c r="B1417" s="7" t="s">
        <v>58</v>
      </c>
      <c r="C1417" s="7" t="s">
        <v>58</v>
      </c>
      <c r="D1417" s="7" t="s">
        <v>58</v>
      </c>
      <c r="E1417" s="7" t="s">
        <v>58</v>
      </c>
      <c r="F1417" s="7" t="s">
        <v>58</v>
      </c>
      <c r="G1417" s="7" t="s">
        <v>58</v>
      </c>
      <c r="H1417" s="7" t="s">
        <v>58</v>
      </c>
      <c r="I1417" s="7" t="s">
        <v>58</v>
      </c>
    </row>
    <row r="1418" spans="1:9" x14ac:dyDescent="0.25">
      <c r="A1418" s="1" t="s">
        <v>69</v>
      </c>
      <c r="B1418" s="5">
        <v>6.22</v>
      </c>
      <c r="C1418" s="5">
        <v>6.24</v>
      </c>
      <c r="D1418" s="5">
        <v>6.59</v>
      </c>
      <c r="E1418" s="5">
        <v>6.94</v>
      </c>
      <c r="F1418" s="5">
        <v>7.22</v>
      </c>
      <c r="G1418" s="5">
        <v>7.38</v>
      </c>
      <c r="H1418" s="5">
        <v>7.35</v>
      </c>
      <c r="I1418" s="6">
        <v>2.8212373199741458</v>
      </c>
    </row>
    <row r="1419" spans="1:9" x14ac:dyDescent="0.25">
      <c r="A1419" s="1" t="s">
        <v>70</v>
      </c>
      <c r="B1419" s="5">
        <v>31.23</v>
      </c>
      <c r="C1419" s="5">
        <v>31.79</v>
      </c>
      <c r="D1419" s="5">
        <v>32.299999999999997</v>
      </c>
      <c r="E1419" s="5">
        <v>32.76</v>
      </c>
      <c r="F1419" s="5">
        <v>33.17</v>
      </c>
      <c r="G1419" s="5">
        <v>33.58</v>
      </c>
      <c r="H1419" s="5">
        <v>33.92</v>
      </c>
      <c r="I1419" s="6">
        <v>1.3866196084766136</v>
      </c>
    </row>
    <row r="1420" spans="1:9" x14ac:dyDescent="0.25">
      <c r="A1420" s="1" t="s">
        <v>71</v>
      </c>
      <c r="B1420" s="5">
        <v>43.99</v>
      </c>
      <c r="C1420" s="5">
        <v>43.14</v>
      </c>
      <c r="D1420" s="5">
        <v>42.19</v>
      </c>
      <c r="E1420" s="5">
        <v>41.25</v>
      </c>
      <c r="F1420" s="5">
        <v>40.340000000000003</v>
      </c>
      <c r="G1420" s="5">
        <v>39.450000000000003</v>
      </c>
      <c r="H1420" s="5">
        <v>38.57</v>
      </c>
      <c r="I1420" s="6">
        <v>-2.1676213655209109</v>
      </c>
    </row>
    <row r="1421" spans="1:9" x14ac:dyDescent="0.25">
      <c r="A1421" s="1" t="s">
        <v>72</v>
      </c>
      <c r="B1421" s="7" t="s">
        <v>58</v>
      </c>
      <c r="C1421" s="7" t="s">
        <v>58</v>
      </c>
      <c r="D1421" s="7" t="s">
        <v>58</v>
      </c>
      <c r="E1421" s="7" t="s">
        <v>58</v>
      </c>
      <c r="F1421" s="7" t="s">
        <v>58</v>
      </c>
      <c r="G1421" s="7" t="s">
        <v>58</v>
      </c>
      <c r="H1421" s="7" t="s">
        <v>58</v>
      </c>
      <c r="I1421" s="7" t="s">
        <v>58</v>
      </c>
    </row>
    <row r="1422" spans="1:9" x14ac:dyDescent="0.25">
      <c r="A1422" s="1" t="s">
        <v>73</v>
      </c>
      <c r="B1422" s="7" t="s">
        <v>58</v>
      </c>
      <c r="C1422" s="7" t="s">
        <v>58</v>
      </c>
      <c r="D1422" s="7" t="s">
        <v>58</v>
      </c>
      <c r="E1422" s="7" t="s">
        <v>58</v>
      </c>
      <c r="F1422" s="7" t="s">
        <v>58</v>
      </c>
      <c r="G1422" s="7" t="s">
        <v>58</v>
      </c>
      <c r="H1422" s="7" t="s">
        <v>58</v>
      </c>
      <c r="I1422" s="7" t="s">
        <v>58</v>
      </c>
    </row>
    <row r="1423" spans="1:9" ht="30" x14ac:dyDescent="0.25">
      <c r="A1423" s="1" t="s">
        <v>74</v>
      </c>
      <c r="B1423" s="7" t="s">
        <v>58</v>
      </c>
      <c r="C1423" s="7" t="s">
        <v>58</v>
      </c>
      <c r="D1423" s="7" t="s">
        <v>58</v>
      </c>
      <c r="E1423" s="7" t="s">
        <v>58</v>
      </c>
      <c r="F1423" s="7" t="s">
        <v>58</v>
      </c>
      <c r="G1423" s="7" t="s">
        <v>58</v>
      </c>
      <c r="H1423" s="7" t="s">
        <v>58</v>
      </c>
      <c r="I1423" s="7" t="s">
        <v>58</v>
      </c>
    </row>
    <row r="1424" spans="1:9" x14ac:dyDescent="0.25">
      <c r="A1424" s="1" t="s">
        <v>75</v>
      </c>
      <c r="B1424" s="5">
        <v>34.97</v>
      </c>
      <c r="C1424" s="5">
        <v>35.54</v>
      </c>
      <c r="D1424" s="5">
        <v>36.15</v>
      </c>
      <c r="E1424" s="5">
        <v>36.76</v>
      </c>
      <c r="F1424" s="5">
        <v>37.369999999999997</v>
      </c>
      <c r="G1424" s="5">
        <v>37.99</v>
      </c>
      <c r="H1424" s="5">
        <v>38.61</v>
      </c>
      <c r="I1424" s="6">
        <v>1.6640394220261312</v>
      </c>
    </row>
    <row r="1425" spans="1:9" x14ac:dyDescent="0.25">
      <c r="A1425" s="1" t="s">
        <v>76</v>
      </c>
      <c r="B1425" s="7" t="s">
        <v>58</v>
      </c>
      <c r="C1425" s="7" t="s">
        <v>58</v>
      </c>
      <c r="D1425" s="7" t="s">
        <v>58</v>
      </c>
      <c r="E1425" s="7" t="s">
        <v>58</v>
      </c>
      <c r="F1425" s="7" t="s">
        <v>58</v>
      </c>
      <c r="G1425" s="7" t="s">
        <v>58</v>
      </c>
      <c r="H1425" s="7" t="s">
        <v>58</v>
      </c>
      <c r="I1425" s="7" t="s">
        <v>58</v>
      </c>
    </row>
    <row r="1426" spans="1:9" ht="45" x14ac:dyDescent="0.25">
      <c r="A1426" s="1" t="s">
        <v>77</v>
      </c>
      <c r="B1426" s="5">
        <v>11.5</v>
      </c>
      <c r="C1426" s="5">
        <v>11.72</v>
      </c>
      <c r="D1426" s="5">
        <v>12</v>
      </c>
      <c r="E1426" s="5">
        <v>12.33</v>
      </c>
      <c r="F1426" s="5">
        <v>12.37</v>
      </c>
      <c r="G1426" s="5">
        <v>12.34</v>
      </c>
      <c r="H1426" s="5">
        <v>12.51</v>
      </c>
      <c r="I1426" s="6">
        <v>1.4129100235791503</v>
      </c>
    </row>
    <row r="1427" spans="1:9" ht="45" x14ac:dyDescent="0.25">
      <c r="A1427" s="1" t="s">
        <v>78</v>
      </c>
      <c r="B1427" s="7" t="s">
        <v>58</v>
      </c>
      <c r="C1427" s="7" t="s">
        <v>58</v>
      </c>
      <c r="D1427" s="7" t="s">
        <v>58</v>
      </c>
      <c r="E1427" s="7" t="s">
        <v>58</v>
      </c>
      <c r="F1427" s="7" t="s">
        <v>58</v>
      </c>
      <c r="G1427" s="7" t="s">
        <v>58</v>
      </c>
      <c r="H1427" s="7" t="s">
        <v>58</v>
      </c>
      <c r="I1427" s="7" t="s">
        <v>58</v>
      </c>
    </row>
    <row r="1428" spans="1:9" ht="60" x14ac:dyDescent="0.25">
      <c r="A1428" s="1" t="s">
        <v>79</v>
      </c>
      <c r="B1428" s="7" t="s">
        <v>58</v>
      </c>
      <c r="C1428" s="7" t="s">
        <v>58</v>
      </c>
      <c r="D1428" s="7" t="s">
        <v>58</v>
      </c>
      <c r="E1428" s="7" t="s">
        <v>58</v>
      </c>
      <c r="F1428" s="7" t="s">
        <v>58</v>
      </c>
      <c r="G1428" s="7" t="s">
        <v>58</v>
      </c>
      <c r="H1428" s="7" t="s">
        <v>58</v>
      </c>
      <c r="I1428" s="7" t="s">
        <v>58</v>
      </c>
    </row>
    <row r="1429" spans="1:9" ht="45" x14ac:dyDescent="0.25">
      <c r="A1429" s="1" t="s">
        <v>80</v>
      </c>
      <c r="B1429" s="7" t="s">
        <v>58</v>
      </c>
      <c r="C1429" s="7" t="s">
        <v>58</v>
      </c>
      <c r="D1429" s="7" t="s">
        <v>58</v>
      </c>
      <c r="E1429" s="7" t="s">
        <v>58</v>
      </c>
      <c r="F1429" s="7" t="s">
        <v>58</v>
      </c>
      <c r="G1429" s="7" t="s">
        <v>58</v>
      </c>
      <c r="H1429" s="7" t="s">
        <v>58</v>
      </c>
      <c r="I1429" s="7" t="s">
        <v>58</v>
      </c>
    </row>
    <row r="1430" spans="1:9" ht="45" x14ac:dyDescent="0.25">
      <c r="A1430" s="1" t="s">
        <v>81</v>
      </c>
      <c r="B1430" s="7" t="s">
        <v>58</v>
      </c>
      <c r="C1430" s="7" t="s">
        <v>58</v>
      </c>
      <c r="D1430" s="7" t="s">
        <v>58</v>
      </c>
      <c r="E1430" s="7" t="s">
        <v>58</v>
      </c>
      <c r="F1430" s="7" t="s">
        <v>58</v>
      </c>
      <c r="G1430" s="7" t="s">
        <v>58</v>
      </c>
      <c r="H1430" s="7" t="s">
        <v>58</v>
      </c>
      <c r="I1430" s="7" t="s">
        <v>58</v>
      </c>
    </row>
    <row r="1431" spans="1:9" x14ac:dyDescent="0.25">
      <c r="A1431" s="1" t="s">
        <v>82</v>
      </c>
      <c r="B1431" s="5">
        <v>6.81</v>
      </c>
      <c r="C1431" s="5">
        <v>6.98</v>
      </c>
      <c r="D1431" s="5">
        <v>7.12</v>
      </c>
      <c r="E1431" s="5">
        <v>7.29</v>
      </c>
      <c r="F1431" s="5">
        <v>7.48</v>
      </c>
      <c r="G1431" s="5">
        <v>7.64</v>
      </c>
      <c r="H1431" s="5">
        <v>7.8</v>
      </c>
      <c r="I1431" s="6">
        <v>2.287975200548531</v>
      </c>
    </row>
    <row r="1432" spans="1:9" x14ac:dyDescent="0.25">
      <c r="A1432" s="1" t="s">
        <v>83</v>
      </c>
      <c r="B1432" s="7" t="s">
        <v>58</v>
      </c>
      <c r="C1432" s="7" t="s">
        <v>58</v>
      </c>
      <c r="D1432" s="7" t="s">
        <v>58</v>
      </c>
      <c r="E1432" s="7" t="s">
        <v>58</v>
      </c>
      <c r="F1432" s="7" t="s">
        <v>58</v>
      </c>
      <c r="G1432" s="7" t="s">
        <v>58</v>
      </c>
      <c r="H1432" s="7" t="s">
        <v>58</v>
      </c>
      <c r="I1432" s="7" t="s">
        <v>58</v>
      </c>
    </row>
    <row r="1433" spans="1:9" x14ac:dyDescent="0.25">
      <c r="A1433" s="1" t="s">
        <v>84</v>
      </c>
      <c r="B1433" s="5">
        <v>34.03</v>
      </c>
      <c r="C1433" s="5">
        <v>33.82</v>
      </c>
      <c r="D1433" s="5">
        <v>33.74</v>
      </c>
      <c r="E1433" s="5">
        <v>33.659999999999997</v>
      </c>
      <c r="F1433" s="5">
        <v>33.590000000000003</v>
      </c>
      <c r="G1433" s="5">
        <v>33.520000000000003</v>
      </c>
      <c r="H1433" s="5">
        <v>33.46</v>
      </c>
      <c r="I1433" s="6">
        <v>-0.28113395882894965</v>
      </c>
    </row>
    <row r="1434" spans="1:9" x14ac:dyDescent="0.25">
      <c r="A1434" s="1" t="s">
        <v>85</v>
      </c>
      <c r="B1434" s="7" t="s">
        <v>58</v>
      </c>
      <c r="C1434" s="7" t="s">
        <v>58</v>
      </c>
      <c r="D1434" s="7" t="s">
        <v>58</v>
      </c>
      <c r="E1434" s="7" t="s">
        <v>58</v>
      </c>
      <c r="F1434" s="7" t="s">
        <v>58</v>
      </c>
      <c r="G1434" s="7" t="s">
        <v>58</v>
      </c>
      <c r="H1434" s="7" t="s">
        <v>58</v>
      </c>
      <c r="I1434" s="7" t="s">
        <v>58</v>
      </c>
    </row>
    <row r="1435" spans="1:9" x14ac:dyDescent="0.25">
      <c r="A1435" s="1" t="s">
        <v>86</v>
      </c>
      <c r="B1435" s="5">
        <v>23.13</v>
      </c>
      <c r="C1435" s="5">
        <v>22.84</v>
      </c>
      <c r="D1435" s="5">
        <v>22.41</v>
      </c>
      <c r="E1435" s="5">
        <v>22.03</v>
      </c>
      <c r="F1435" s="5">
        <v>21.63</v>
      </c>
      <c r="G1435" s="5">
        <v>21.23</v>
      </c>
      <c r="H1435" s="5">
        <v>20.78</v>
      </c>
      <c r="I1435" s="6">
        <v>-1.7698097735564189</v>
      </c>
    </row>
    <row r="1436" spans="1:9" x14ac:dyDescent="0.25">
      <c r="A1436" s="1" t="s">
        <v>87</v>
      </c>
      <c r="B1436" s="5">
        <v>19.29</v>
      </c>
      <c r="C1436" s="5">
        <v>19.55</v>
      </c>
      <c r="D1436" s="5">
        <v>19.52</v>
      </c>
      <c r="E1436" s="5">
        <v>19.53</v>
      </c>
      <c r="F1436" s="5">
        <v>19.62</v>
      </c>
      <c r="G1436" s="5">
        <v>19.73</v>
      </c>
      <c r="H1436" s="5">
        <v>19.84</v>
      </c>
      <c r="I1436" s="6">
        <v>0.46965401577725441</v>
      </c>
    </row>
    <row r="1437" spans="1:9" x14ac:dyDescent="0.25">
      <c r="A1437" s="1" t="s">
        <v>88</v>
      </c>
      <c r="B1437" s="5">
        <v>12.51</v>
      </c>
      <c r="C1437" s="5">
        <v>12.64</v>
      </c>
      <c r="D1437" s="5">
        <v>12.79</v>
      </c>
      <c r="E1437" s="5">
        <v>12.97</v>
      </c>
      <c r="F1437" s="5">
        <v>13.18</v>
      </c>
      <c r="G1437" s="5">
        <v>13.42</v>
      </c>
      <c r="H1437" s="5">
        <v>13.69</v>
      </c>
      <c r="I1437" s="6">
        <v>1.5136296559715934</v>
      </c>
    </row>
    <row r="1438" spans="1:9" x14ac:dyDescent="0.25">
      <c r="A1438" s="1" t="s">
        <v>89</v>
      </c>
      <c r="B1438" s="5">
        <v>27.87</v>
      </c>
      <c r="C1438" s="5">
        <v>27.7</v>
      </c>
      <c r="D1438" s="5">
        <v>27.96</v>
      </c>
      <c r="E1438" s="5">
        <v>28.24</v>
      </c>
      <c r="F1438" s="5">
        <v>28.51</v>
      </c>
      <c r="G1438" s="5">
        <v>28.8</v>
      </c>
      <c r="H1438" s="5">
        <v>29.08</v>
      </c>
      <c r="I1438" s="6">
        <v>0.71084477814993274</v>
      </c>
    </row>
    <row r="1439" spans="1:9" x14ac:dyDescent="0.25">
      <c r="A1439" s="1" t="s">
        <v>90</v>
      </c>
      <c r="B1439" s="7" t="s">
        <v>58</v>
      </c>
      <c r="C1439" s="7" t="s">
        <v>58</v>
      </c>
      <c r="D1439" s="7" t="s">
        <v>58</v>
      </c>
      <c r="E1439" s="7" t="s">
        <v>58</v>
      </c>
      <c r="F1439" s="7" t="s">
        <v>58</v>
      </c>
      <c r="G1439" s="7" t="s">
        <v>58</v>
      </c>
      <c r="H1439" s="7" t="s">
        <v>58</v>
      </c>
      <c r="I1439" s="7" t="s">
        <v>58</v>
      </c>
    </row>
    <row r="1440" spans="1:9" x14ac:dyDescent="0.25">
      <c r="A1440" s="1" t="s">
        <v>91</v>
      </c>
      <c r="B1440" s="7" t="s">
        <v>58</v>
      </c>
      <c r="C1440" s="7" t="s">
        <v>58</v>
      </c>
      <c r="D1440" s="7" t="s">
        <v>58</v>
      </c>
      <c r="E1440" s="7" t="s">
        <v>58</v>
      </c>
      <c r="F1440" s="7" t="s">
        <v>58</v>
      </c>
      <c r="G1440" s="7" t="s">
        <v>58</v>
      </c>
      <c r="H1440" s="7" t="s">
        <v>58</v>
      </c>
      <c r="I1440" s="7" t="s">
        <v>58</v>
      </c>
    </row>
    <row r="1441" spans="1:9" x14ac:dyDescent="0.25">
      <c r="A1441" s="1" t="s">
        <v>92</v>
      </c>
      <c r="B1441" s="7" t="s">
        <v>58</v>
      </c>
      <c r="C1441" s="7" t="s">
        <v>58</v>
      </c>
      <c r="D1441" s="7" t="s">
        <v>58</v>
      </c>
      <c r="E1441" s="7" t="s">
        <v>58</v>
      </c>
      <c r="F1441" s="7" t="s">
        <v>58</v>
      </c>
      <c r="G1441" s="7" t="s">
        <v>58</v>
      </c>
      <c r="H1441" s="7" t="s">
        <v>58</v>
      </c>
      <c r="I1441" s="7" t="s">
        <v>58</v>
      </c>
    </row>
    <row r="1442" spans="1:9" x14ac:dyDescent="0.25">
      <c r="A1442" s="1" t="s">
        <v>93</v>
      </c>
      <c r="B1442" s="7" t="s">
        <v>58</v>
      </c>
      <c r="C1442" s="7" t="s">
        <v>58</v>
      </c>
      <c r="D1442" s="7" t="s">
        <v>58</v>
      </c>
      <c r="E1442" s="7" t="s">
        <v>58</v>
      </c>
      <c r="F1442" s="7" t="s">
        <v>58</v>
      </c>
      <c r="G1442" s="7" t="s">
        <v>58</v>
      </c>
      <c r="H1442" s="7" t="s">
        <v>58</v>
      </c>
      <c r="I1442" s="7" t="s">
        <v>58</v>
      </c>
    </row>
    <row r="1443" spans="1:9" x14ac:dyDescent="0.25">
      <c r="A1443" s="1" t="s">
        <v>94</v>
      </c>
      <c r="B1443" s="7" t="s">
        <v>58</v>
      </c>
      <c r="C1443" s="7" t="s">
        <v>58</v>
      </c>
      <c r="D1443" s="7" t="s">
        <v>58</v>
      </c>
      <c r="E1443" s="7" t="s">
        <v>58</v>
      </c>
      <c r="F1443" s="7" t="s">
        <v>58</v>
      </c>
      <c r="G1443" s="7" t="s">
        <v>58</v>
      </c>
      <c r="H1443" s="7" t="s">
        <v>58</v>
      </c>
      <c r="I1443" s="7" t="s">
        <v>58</v>
      </c>
    </row>
    <row r="1444" spans="1:9" x14ac:dyDescent="0.25">
      <c r="A1444" s="1" t="s">
        <v>95</v>
      </c>
      <c r="B1444" s="7" t="s">
        <v>58</v>
      </c>
      <c r="C1444" s="7" t="s">
        <v>58</v>
      </c>
      <c r="D1444" s="7" t="s">
        <v>58</v>
      </c>
      <c r="E1444" s="7" t="s">
        <v>58</v>
      </c>
      <c r="F1444" s="7" t="s">
        <v>58</v>
      </c>
      <c r="G1444" s="7" t="s">
        <v>58</v>
      </c>
      <c r="H1444" s="7" t="s">
        <v>58</v>
      </c>
      <c r="I1444" s="7" t="s">
        <v>58</v>
      </c>
    </row>
    <row r="1445" spans="1:9" x14ac:dyDescent="0.25">
      <c r="A1445" s="1" t="s">
        <v>96</v>
      </c>
      <c r="B1445" s="5">
        <v>26.47</v>
      </c>
      <c r="C1445" s="5">
        <v>26.52</v>
      </c>
      <c r="D1445" s="5">
        <v>26.61</v>
      </c>
      <c r="E1445" s="5">
        <v>26.71</v>
      </c>
      <c r="F1445" s="5">
        <v>26.81</v>
      </c>
      <c r="G1445" s="5">
        <v>26.91</v>
      </c>
      <c r="H1445" s="5">
        <v>27.01</v>
      </c>
      <c r="I1445" s="6">
        <v>0.33715294569327536</v>
      </c>
    </row>
    <row r="1446" spans="1:9" x14ac:dyDescent="0.25">
      <c r="A1446" s="1" t="s">
        <v>97</v>
      </c>
      <c r="B1446" s="5">
        <v>0</v>
      </c>
      <c r="C1446" s="5">
        <v>0</v>
      </c>
      <c r="D1446" s="5">
        <v>0</v>
      </c>
      <c r="E1446" s="5">
        <v>0</v>
      </c>
      <c r="F1446" s="5">
        <v>0</v>
      </c>
      <c r="G1446" s="5">
        <v>0</v>
      </c>
      <c r="H1446" s="5">
        <v>0</v>
      </c>
      <c r="I1446" s="7" t="s">
        <v>58</v>
      </c>
    </row>
    <row r="1447" spans="1:9" x14ac:dyDescent="0.25">
      <c r="A1447" s="1" t="s">
        <v>98</v>
      </c>
      <c r="B1447" s="7" t="s">
        <v>58</v>
      </c>
      <c r="C1447" s="7" t="s">
        <v>58</v>
      </c>
      <c r="D1447" s="7" t="s">
        <v>58</v>
      </c>
      <c r="E1447" s="7" t="s">
        <v>58</v>
      </c>
      <c r="F1447" s="7" t="s">
        <v>58</v>
      </c>
      <c r="G1447" s="7" t="s">
        <v>58</v>
      </c>
      <c r="H1447" s="7" t="s">
        <v>58</v>
      </c>
      <c r="I1447" s="7" t="s">
        <v>58</v>
      </c>
    </row>
    <row r="1448" spans="1:9" x14ac:dyDescent="0.25">
      <c r="A1448" s="1" t="s">
        <v>99</v>
      </c>
      <c r="B1448" s="7" t="s">
        <v>58</v>
      </c>
      <c r="C1448" s="7" t="s">
        <v>58</v>
      </c>
      <c r="D1448" s="7" t="s">
        <v>58</v>
      </c>
      <c r="E1448" s="7" t="s">
        <v>58</v>
      </c>
      <c r="F1448" s="7" t="s">
        <v>58</v>
      </c>
      <c r="G1448" s="7" t="s">
        <v>58</v>
      </c>
      <c r="H1448" s="7" t="s">
        <v>58</v>
      </c>
      <c r="I1448" s="7" t="s">
        <v>58</v>
      </c>
    </row>
    <row r="1449" spans="1:9" x14ac:dyDescent="0.25">
      <c r="A1449" s="1" t="s">
        <v>100</v>
      </c>
      <c r="B1449" s="5">
        <v>12.82</v>
      </c>
      <c r="C1449" s="5">
        <v>12.71</v>
      </c>
      <c r="D1449" s="5">
        <v>14.14</v>
      </c>
      <c r="E1449" s="5">
        <v>14.28</v>
      </c>
      <c r="F1449" s="5">
        <v>14.39</v>
      </c>
      <c r="G1449" s="5">
        <v>14.42</v>
      </c>
      <c r="H1449" s="5">
        <v>14.53</v>
      </c>
      <c r="I1449" s="6">
        <v>2.1087433844318326</v>
      </c>
    </row>
    <row r="1450" spans="1:9" x14ac:dyDescent="0.25">
      <c r="A1450" s="1" t="s">
        <v>101</v>
      </c>
      <c r="B1450" s="5">
        <v>26.26</v>
      </c>
      <c r="C1450" s="5">
        <v>25.24</v>
      </c>
      <c r="D1450" s="5">
        <v>25.55</v>
      </c>
      <c r="E1450" s="5">
        <v>25.89</v>
      </c>
      <c r="F1450" s="5">
        <v>26.24</v>
      </c>
      <c r="G1450" s="5">
        <v>26.52</v>
      </c>
      <c r="H1450" s="5">
        <v>26.89</v>
      </c>
      <c r="I1450" s="6">
        <v>0.39590834477629677</v>
      </c>
    </row>
    <row r="1451" spans="1:9" x14ac:dyDescent="0.25">
      <c r="A1451" s="1" t="s">
        <v>102</v>
      </c>
      <c r="B1451" s="5">
        <v>22.33</v>
      </c>
      <c r="C1451" s="5">
        <v>22.48</v>
      </c>
      <c r="D1451" s="5">
        <v>22.7</v>
      </c>
      <c r="E1451" s="5">
        <v>22.95</v>
      </c>
      <c r="F1451" s="5">
        <v>23.21</v>
      </c>
      <c r="G1451" s="5">
        <v>23.49</v>
      </c>
      <c r="H1451" s="5">
        <v>23.77</v>
      </c>
      <c r="I1451" s="6">
        <v>1.0469966424369481</v>
      </c>
    </row>
    <row r="1452" spans="1:9" x14ac:dyDescent="0.25">
      <c r="A1452" s="1" t="s">
        <v>103</v>
      </c>
      <c r="B1452" s="5">
        <v>46.8</v>
      </c>
      <c r="C1452" s="5">
        <v>47.83</v>
      </c>
      <c r="D1452" s="5">
        <v>48.9</v>
      </c>
      <c r="E1452" s="5">
        <v>49.97</v>
      </c>
      <c r="F1452" s="5">
        <v>51.06</v>
      </c>
      <c r="G1452" s="5">
        <v>52.15</v>
      </c>
      <c r="H1452" s="5">
        <v>53.23</v>
      </c>
      <c r="I1452" s="6">
        <v>2.1688336436284095</v>
      </c>
    </row>
    <row r="1453" spans="1:9" x14ac:dyDescent="0.25">
      <c r="A1453" s="1" t="s">
        <v>104</v>
      </c>
      <c r="B1453" s="7" t="s">
        <v>58</v>
      </c>
      <c r="C1453" s="7" t="s">
        <v>58</v>
      </c>
      <c r="D1453" s="7" t="s">
        <v>58</v>
      </c>
      <c r="E1453" s="7" t="s">
        <v>58</v>
      </c>
      <c r="F1453" s="7" t="s">
        <v>58</v>
      </c>
      <c r="G1453" s="7" t="s">
        <v>58</v>
      </c>
      <c r="H1453" s="7" t="s">
        <v>58</v>
      </c>
      <c r="I1453" s="7" t="s">
        <v>58</v>
      </c>
    </row>
    <row r="1454" spans="1:9" x14ac:dyDescent="0.25">
      <c r="A1454" s="1" t="s">
        <v>105</v>
      </c>
      <c r="B1454" s="5">
        <v>12.81</v>
      </c>
      <c r="C1454" s="5">
        <v>12.93</v>
      </c>
      <c r="D1454" s="5">
        <v>13.12</v>
      </c>
      <c r="E1454" s="5">
        <v>13.33</v>
      </c>
      <c r="F1454" s="5">
        <v>13.52</v>
      </c>
      <c r="G1454" s="5">
        <v>13.72</v>
      </c>
      <c r="H1454" s="5">
        <v>13.92</v>
      </c>
      <c r="I1454" s="6">
        <v>1.3946446663417378</v>
      </c>
    </row>
    <row r="1455" spans="1:9" x14ac:dyDescent="0.25">
      <c r="A1455" s="1" t="s">
        <v>106</v>
      </c>
      <c r="B1455" s="5">
        <v>13.09</v>
      </c>
      <c r="C1455" s="5">
        <v>13.26</v>
      </c>
      <c r="D1455" s="5">
        <v>13.41</v>
      </c>
      <c r="E1455" s="5">
        <v>13.57</v>
      </c>
      <c r="F1455" s="5">
        <v>13.72</v>
      </c>
      <c r="G1455" s="5">
        <v>13.89</v>
      </c>
      <c r="H1455" s="5">
        <v>14.06</v>
      </c>
      <c r="I1455" s="6">
        <v>1.1985474744909519</v>
      </c>
    </row>
    <row r="1456" spans="1:9" ht="30" x14ac:dyDescent="0.25">
      <c r="A1456" s="1" t="s">
        <v>107</v>
      </c>
      <c r="B1456" s="5">
        <v>31.97</v>
      </c>
      <c r="C1456" s="5">
        <v>32.17</v>
      </c>
      <c r="D1456" s="5">
        <v>32.380000000000003</v>
      </c>
      <c r="E1456" s="5">
        <v>32.58</v>
      </c>
      <c r="F1456" s="5">
        <v>32.79</v>
      </c>
      <c r="G1456" s="5">
        <v>33.01</v>
      </c>
      <c r="H1456" s="5">
        <v>33.22</v>
      </c>
      <c r="I1456" s="6">
        <v>0.64128315692530968</v>
      </c>
    </row>
    <row r="1457" spans="1:9" x14ac:dyDescent="0.25">
      <c r="A1457" s="1" t="s">
        <v>108</v>
      </c>
      <c r="B1457" s="7" t="s">
        <v>58</v>
      </c>
      <c r="C1457" s="7" t="s">
        <v>58</v>
      </c>
      <c r="D1457" s="7" t="s">
        <v>58</v>
      </c>
      <c r="E1457" s="7" t="s">
        <v>58</v>
      </c>
      <c r="F1457" s="7" t="s">
        <v>58</v>
      </c>
      <c r="G1457" s="7" t="s">
        <v>58</v>
      </c>
      <c r="H1457" s="7" t="s">
        <v>58</v>
      </c>
      <c r="I1457" s="7" t="s">
        <v>58</v>
      </c>
    </row>
    <row r="1458" spans="1:9" ht="30" x14ac:dyDescent="0.25">
      <c r="A1458" s="1" t="s">
        <v>109</v>
      </c>
      <c r="B1458" s="7" t="s">
        <v>58</v>
      </c>
      <c r="C1458" s="7" t="s">
        <v>58</v>
      </c>
      <c r="D1458" s="7" t="s">
        <v>58</v>
      </c>
      <c r="E1458" s="7" t="s">
        <v>58</v>
      </c>
      <c r="F1458" s="7" t="s">
        <v>58</v>
      </c>
      <c r="G1458" s="7" t="s">
        <v>58</v>
      </c>
      <c r="H1458" s="7" t="s">
        <v>58</v>
      </c>
      <c r="I1458" s="7" t="s">
        <v>58</v>
      </c>
    </row>
    <row r="1459" spans="1:9" x14ac:dyDescent="0.25">
      <c r="A1459" s="1" t="s">
        <v>110</v>
      </c>
      <c r="B1459" s="5">
        <v>33.97</v>
      </c>
      <c r="C1459" s="5">
        <v>34.25</v>
      </c>
      <c r="D1459" s="5">
        <v>34.340000000000003</v>
      </c>
      <c r="E1459" s="5">
        <v>34.47</v>
      </c>
      <c r="F1459" s="5">
        <v>34.549999999999997</v>
      </c>
      <c r="G1459" s="5">
        <v>34.65</v>
      </c>
      <c r="H1459" s="5">
        <v>34.65</v>
      </c>
      <c r="I1459" s="6">
        <v>0.33087858975673345</v>
      </c>
    </row>
    <row r="1460" spans="1:9" x14ac:dyDescent="0.25">
      <c r="A1460" s="1" t="s">
        <v>111</v>
      </c>
      <c r="B1460" s="7" t="s">
        <v>58</v>
      </c>
      <c r="C1460" s="7" t="s">
        <v>58</v>
      </c>
      <c r="D1460" s="7" t="s">
        <v>58</v>
      </c>
      <c r="E1460" s="7" t="s">
        <v>58</v>
      </c>
      <c r="F1460" s="7" t="s">
        <v>58</v>
      </c>
      <c r="G1460" s="7" t="s">
        <v>58</v>
      </c>
      <c r="H1460" s="7" t="s">
        <v>58</v>
      </c>
      <c r="I1460" s="7" t="s">
        <v>58</v>
      </c>
    </row>
    <row r="1461" spans="1:9" x14ac:dyDescent="0.25">
      <c r="A1461" s="1" t="s">
        <v>112</v>
      </c>
      <c r="B1461" s="5">
        <v>66.31</v>
      </c>
      <c r="C1461" s="5">
        <v>66.569999999999993</v>
      </c>
      <c r="D1461" s="5">
        <v>66.349999999999994</v>
      </c>
      <c r="E1461" s="5">
        <v>66.650000000000006</v>
      </c>
      <c r="F1461" s="5">
        <v>67.47</v>
      </c>
      <c r="G1461" s="5">
        <v>68.62</v>
      </c>
      <c r="H1461" s="5">
        <v>69.77</v>
      </c>
      <c r="I1461" s="6">
        <v>0.85132672573036139</v>
      </c>
    </row>
    <row r="1462" spans="1:9" x14ac:dyDescent="0.25">
      <c r="A1462" s="1" t="s">
        <v>113</v>
      </c>
      <c r="B1462" s="7" t="s">
        <v>58</v>
      </c>
      <c r="C1462" s="7" t="s">
        <v>58</v>
      </c>
      <c r="D1462" s="7" t="s">
        <v>58</v>
      </c>
      <c r="E1462" s="7" t="s">
        <v>58</v>
      </c>
      <c r="F1462" s="7" t="s">
        <v>58</v>
      </c>
      <c r="G1462" s="7" t="s">
        <v>58</v>
      </c>
      <c r="H1462" s="7" t="s">
        <v>58</v>
      </c>
      <c r="I1462" s="7" t="s">
        <v>58</v>
      </c>
    </row>
    <row r="1463" spans="1:9" x14ac:dyDescent="0.25">
      <c r="A1463" s="1" t="s">
        <v>114</v>
      </c>
      <c r="B1463" s="5">
        <v>9.01</v>
      </c>
      <c r="C1463" s="5">
        <v>9.11</v>
      </c>
      <c r="D1463" s="5">
        <v>9.2200000000000006</v>
      </c>
      <c r="E1463" s="5">
        <v>9.31</v>
      </c>
      <c r="F1463" s="5">
        <v>9.4</v>
      </c>
      <c r="G1463" s="5">
        <v>9.49</v>
      </c>
      <c r="H1463" s="5">
        <v>9.58</v>
      </c>
      <c r="I1463" s="6">
        <v>1.0276194523133553</v>
      </c>
    </row>
    <row r="1464" spans="1:9" ht="30" x14ac:dyDescent="0.25">
      <c r="A1464" s="1" t="s">
        <v>115</v>
      </c>
      <c r="B1464" s="5">
        <v>28.69</v>
      </c>
      <c r="C1464" s="5">
        <v>29.09</v>
      </c>
      <c r="D1464" s="5">
        <v>29.54</v>
      </c>
      <c r="E1464" s="5">
        <v>30</v>
      </c>
      <c r="F1464" s="5">
        <v>30.4</v>
      </c>
      <c r="G1464" s="5">
        <v>30.78</v>
      </c>
      <c r="H1464" s="5">
        <v>31.13</v>
      </c>
      <c r="I1464" s="6">
        <v>1.3696846388026263</v>
      </c>
    </row>
    <row r="1465" spans="1:9" x14ac:dyDescent="0.25">
      <c r="A1465" s="1" t="s">
        <v>116</v>
      </c>
      <c r="B1465" s="7" t="s">
        <v>58</v>
      </c>
      <c r="C1465" s="7" t="s">
        <v>58</v>
      </c>
      <c r="D1465" s="7" t="s">
        <v>58</v>
      </c>
      <c r="E1465" s="7" t="s">
        <v>58</v>
      </c>
      <c r="F1465" s="7" t="s">
        <v>58</v>
      </c>
      <c r="G1465" s="7" t="s">
        <v>58</v>
      </c>
      <c r="H1465" s="7" t="s">
        <v>58</v>
      </c>
      <c r="I1465" s="7" t="s">
        <v>58</v>
      </c>
    </row>
    <row r="1466" spans="1:9" x14ac:dyDescent="0.25">
      <c r="A1466" s="1" t="s">
        <v>12</v>
      </c>
      <c r="B1466" s="2"/>
      <c r="C1466" s="2"/>
      <c r="D1466" s="2"/>
      <c r="E1466" s="2"/>
      <c r="F1466" s="2"/>
      <c r="G1466" s="2"/>
      <c r="H1466" s="2"/>
      <c r="I1466" s="2"/>
    </row>
    <row r="1467" spans="1:9" ht="45" x14ac:dyDescent="0.25">
      <c r="A1467" s="1" t="s">
        <v>130</v>
      </c>
      <c r="B1467" s="2"/>
      <c r="C1467" s="2"/>
      <c r="D1467" s="2"/>
      <c r="E1467" s="2"/>
      <c r="F1467" s="2"/>
      <c r="G1467" s="2"/>
      <c r="H1467" s="2"/>
      <c r="I1467" s="2"/>
    </row>
    <row r="1468" spans="1:9" x14ac:dyDescent="0.25">
      <c r="A1468" s="1" t="s">
        <v>14</v>
      </c>
      <c r="B1468" s="7" t="s">
        <v>58</v>
      </c>
      <c r="C1468" s="7" t="s">
        <v>58</v>
      </c>
      <c r="D1468" s="7" t="s">
        <v>58</v>
      </c>
      <c r="E1468" s="7" t="s">
        <v>58</v>
      </c>
      <c r="F1468" s="7" t="s">
        <v>58</v>
      </c>
      <c r="G1468" s="7" t="s">
        <v>58</v>
      </c>
      <c r="H1468" s="7" t="s">
        <v>58</v>
      </c>
      <c r="I1468" s="7" t="s">
        <v>58</v>
      </c>
    </row>
    <row r="1469" spans="1:9" ht="30" x14ac:dyDescent="0.25">
      <c r="A1469" s="1" t="s">
        <v>15</v>
      </c>
      <c r="B1469" s="5">
        <v>8.1999999999999993</v>
      </c>
      <c r="C1469" s="5">
        <v>8.15</v>
      </c>
      <c r="D1469" s="5">
        <v>8.26</v>
      </c>
      <c r="E1469" s="5">
        <v>8.27</v>
      </c>
      <c r="F1469" s="5">
        <v>8.27</v>
      </c>
      <c r="G1469" s="5">
        <v>8.2799999999999994</v>
      </c>
      <c r="H1469" s="5">
        <v>8.32</v>
      </c>
      <c r="I1469" s="6">
        <v>0.242428</v>
      </c>
    </row>
    <row r="1470" spans="1:9" x14ac:dyDescent="0.25">
      <c r="A1470" s="1" t="s">
        <v>16</v>
      </c>
      <c r="B1470" s="5">
        <v>32.65</v>
      </c>
      <c r="C1470" s="5">
        <v>31.08</v>
      </c>
      <c r="D1470" s="5">
        <v>30.34</v>
      </c>
      <c r="E1470" s="5">
        <v>31.9</v>
      </c>
      <c r="F1470" s="5">
        <v>31.23</v>
      </c>
      <c r="G1470" s="5">
        <v>30.72</v>
      </c>
      <c r="H1470" s="5">
        <v>31.72</v>
      </c>
      <c r="I1470" s="6">
        <v>-0.480466</v>
      </c>
    </row>
    <row r="1471" spans="1:9" x14ac:dyDescent="0.25">
      <c r="A1471" s="1" t="s">
        <v>17</v>
      </c>
      <c r="B1471" s="5">
        <v>42.34</v>
      </c>
      <c r="C1471" s="5">
        <v>42.97</v>
      </c>
      <c r="D1471" s="5">
        <v>43.6</v>
      </c>
      <c r="E1471" s="5">
        <v>44.2</v>
      </c>
      <c r="F1471" s="5">
        <v>44.77</v>
      </c>
      <c r="G1471" s="5">
        <v>45.21</v>
      </c>
      <c r="H1471" s="5">
        <v>45.53</v>
      </c>
      <c r="I1471" s="6">
        <v>1.218011</v>
      </c>
    </row>
    <row r="1472" spans="1:9" x14ac:dyDescent="0.25">
      <c r="A1472" s="1" t="s">
        <v>18</v>
      </c>
      <c r="B1472" s="7" t="s">
        <v>58</v>
      </c>
      <c r="C1472" s="7" t="s">
        <v>58</v>
      </c>
      <c r="D1472" s="7" t="s">
        <v>58</v>
      </c>
      <c r="E1472" s="7" t="s">
        <v>58</v>
      </c>
      <c r="F1472" s="7" t="s">
        <v>58</v>
      </c>
      <c r="G1472" s="7" t="s">
        <v>58</v>
      </c>
      <c r="H1472" s="7" t="s">
        <v>58</v>
      </c>
      <c r="I1472" s="7" t="s">
        <v>58</v>
      </c>
    </row>
    <row r="1473" spans="1:9" x14ac:dyDescent="0.25">
      <c r="A1473" s="1" t="s">
        <v>19</v>
      </c>
      <c r="B1473" s="7" t="s">
        <v>58</v>
      </c>
      <c r="C1473" s="7" t="s">
        <v>58</v>
      </c>
      <c r="D1473" s="7" t="s">
        <v>58</v>
      </c>
      <c r="E1473" s="7" t="s">
        <v>58</v>
      </c>
      <c r="F1473" s="7" t="s">
        <v>58</v>
      </c>
      <c r="G1473" s="7" t="s">
        <v>58</v>
      </c>
      <c r="H1473" s="7" t="s">
        <v>58</v>
      </c>
      <c r="I1473" s="7" t="s">
        <v>58</v>
      </c>
    </row>
    <row r="1474" spans="1:9" x14ac:dyDescent="0.25">
      <c r="A1474" s="1" t="s">
        <v>20</v>
      </c>
      <c r="B1474" s="7" t="s">
        <v>58</v>
      </c>
      <c r="C1474" s="7" t="s">
        <v>58</v>
      </c>
      <c r="D1474" s="7" t="s">
        <v>58</v>
      </c>
      <c r="E1474" s="7" t="s">
        <v>58</v>
      </c>
      <c r="F1474" s="7" t="s">
        <v>58</v>
      </c>
      <c r="G1474" s="7" t="s">
        <v>58</v>
      </c>
      <c r="H1474" s="7" t="s">
        <v>58</v>
      </c>
      <c r="I1474" s="7" t="s">
        <v>58</v>
      </c>
    </row>
    <row r="1475" spans="1:9" x14ac:dyDescent="0.25">
      <c r="A1475" s="1" t="s">
        <v>21</v>
      </c>
      <c r="B1475" s="5">
        <v>40.01</v>
      </c>
      <c r="C1475" s="5">
        <v>40.81</v>
      </c>
      <c r="D1475" s="5">
        <v>41.5</v>
      </c>
      <c r="E1475" s="5">
        <v>42.25</v>
      </c>
      <c r="F1475" s="5">
        <v>42.99</v>
      </c>
      <c r="G1475" s="5">
        <v>43.71</v>
      </c>
      <c r="H1475" s="5">
        <v>44.43</v>
      </c>
      <c r="I1475" s="6">
        <v>1.7617640000000001</v>
      </c>
    </row>
    <row r="1476" spans="1:9" x14ac:dyDescent="0.25">
      <c r="A1476" s="1" t="s">
        <v>22</v>
      </c>
      <c r="B1476" s="7" t="s">
        <v>58</v>
      </c>
      <c r="C1476" s="7" t="s">
        <v>58</v>
      </c>
      <c r="D1476" s="7" t="s">
        <v>58</v>
      </c>
      <c r="E1476" s="7" t="s">
        <v>58</v>
      </c>
      <c r="F1476" s="7" t="s">
        <v>58</v>
      </c>
      <c r="G1476" s="7" t="s">
        <v>58</v>
      </c>
      <c r="H1476" s="7" t="s">
        <v>58</v>
      </c>
      <c r="I1476" s="7" t="s">
        <v>58</v>
      </c>
    </row>
    <row r="1477" spans="1:9" x14ac:dyDescent="0.25">
      <c r="A1477" s="1" t="s">
        <v>23</v>
      </c>
      <c r="B1477" s="5">
        <v>13.49</v>
      </c>
      <c r="C1477" s="5">
        <v>13.33</v>
      </c>
      <c r="D1477" s="5">
        <v>13.04</v>
      </c>
      <c r="E1477" s="5">
        <v>12.83</v>
      </c>
      <c r="F1477" s="5">
        <v>12.66</v>
      </c>
      <c r="G1477" s="5">
        <v>12.56</v>
      </c>
      <c r="H1477" s="5">
        <v>12.54</v>
      </c>
      <c r="I1477" s="6">
        <v>-1.2097089999999999</v>
      </c>
    </row>
    <row r="1478" spans="1:9" x14ac:dyDescent="0.25">
      <c r="A1478" s="1" t="s">
        <v>24</v>
      </c>
      <c r="B1478" s="7" t="s">
        <v>58</v>
      </c>
      <c r="C1478" s="7" t="s">
        <v>58</v>
      </c>
      <c r="D1478" s="7" t="s">
        <v>58</v>
      </c>
      <c r="E1478" s="7" t="s">
        <v>58</v>
      </c>
      <c r="F1478" s="7" t="s">
        <v>58</v>
      </c>
      <c r="G1478" s="7" t="s">
        <v>58</v>
      </c>
      <c r="H1478" s="7" t="s">
        <v>58</v>
      </c>
      <c r="I1478" s="7" t="s">
        <v>58</v>
      </c>
    </row>
    <row r="1479" spans="1:9" x14ac:dyDescent="0.25">
      <c r="A1479" s="1" t="s">
        <v>25</v>
      </c>
      <c r="B1479" s="5">
        <v>18.25</v>
      </c>
      <c r="C1479" s="5">
        <v>17.920000000000002</v>
      </c>
      <c r="D1479" s="5">
        <v>17.53</v>
      </c>
      <c r="E1479" s="5">
        <v>17.12</v>
      </c>
      <c r="F1479" s="5">
        <v>16.739999999999998</v>
      </c>
      <c r="G1479" s="5">
        <v>16.39</v>
      </c>
      <c r="H1479" s="5">
        <v>16.04</v>
      </c>
      <c r="I1479" s="6">
        <v>-2.128349</v>
      </c>
    </row>
    <row r="1480" spans="1:9" x14ac:dyDescent="0.25">
      <c r="A1480" s="1" t="s">
        <v>26</v>
      </c>
      <c r="B1480" s="7" t="s">
        <v>58</v>
      </c>
      <c r="C1480" s="7" t="s">
        <v>58</v>
      </c>
      <c r="D1480" s="7" t="s">
        <v>58</v>
      </c>
      <c r="E1480" s="7" t="s">
        <v>58</v>
      </c>
      <c r="F1480" s="7" t="s">
        <v>58</v>
      </c>
      <c r="G1480" s="7" t="s">
        <v>58</v>
      </c>
      <c r="H1480" s="7" t="s">
        <v>58</v>
      </c>
      <c r="I1480" s="7" t="s">
        <v>58</v>
      </c>
    </row>
    <row r="1481" spans="1:9" x14ac:dyDescent="0.25">
      <c r="A1481" s="1" t="s">
        <v>27</v>
      </c>
      <c r="B1481" s="7" t="s">
        <v>58</v>
      </c>
      <c r="C1481" s="7" t="s">
        <v>58</v>
      </c>
      <c r="D1481" s="7" t="s">
        <v>58</v>
      </c>
      <c r="E1481" s="7" t="s">
        <v>58</v>
      </c>
      <c r="F1481" s="7" t="s">
        <v>58</v>
      </c>
      <c r="G1481" s="7" t="s">
        <v>58</v>
      </c>
      <c r="H1481" s="7" t="s">
        <v>58</v>
      </c>
      <c r="I1481" s="7" t="s">
        <v>58</v>
      </c>
    </row>
    <row r="1482" spans="1:9" x14ac:dyDescent="0.25">
      <c r="A1482" s="1" t="s">
        <v>28</v>
      </c>
      <c r="B1482" s="5">
        <v>5.0599999999999996</v>
      </c>
      <c r="C1482" s="5">
        <v>5.14</v>
      </c>
      <c r="D1482" s="5">
        <v>5.34</v>
      </c>
      <c r="E1482" s="5">
        <v>5.38</v>
      </c>
      <c r="F1482" s="5">
        <v>5.41</v>
      </c>
      <c r="G1482" s="5">
        <v>5.44</v>
      </c>
      <c r="H1482" s="5">
        <v>5.45</v>
      </c>
      <c r="I1482" s="6">
        <v>1.245174</v>
      </c>
    </row>
    <row r="1483" spans="1:9" x14ac:dyDescent="0.25">
      <c r="A1483" s="1" t="s">
        <v>29</v>
      </c>
      <c r="B1483" s="5">
        <v>9.9499999999999993</v>
      </c>
      <c r="C1483" s="5">
        <v>9.1</v>
      </c>
      <c r="D1483" s="5">
        <v>8.5299999999999994</v>
      </c>
      <c r="E1483" s="5">
        <v>8.25</v>
      </c>
      <c r="F1483" s="5">
        <v>8.1</v>
      </c>
      <c r="G1483" s="5">
        <v>7.97</v>
      </c>
      <c r="H1483" s="5">
        <v>7.83</v>
      </c>
      <c r="I1483" s="6">
        <v>-3.9148109999999998</v>
      </c>
    </row>
    <row r="1484" spans="1:9" x14ac:dyDescent="0.25">
      <c r="A1484" s="1" t="s">
        <v>30</v>
      </c>
      <c r="B1484" s="7" t="s">
        <v>58</v>
      </c>
      <c r="C1484" s="7" t="s">
        <v>58</v>
      </c>
      <c r="D1484" s="7" t="s">
        <v>58</v>
      </c>
      <c r="E1484" s="7" t="s">
        <v>58</v>
      </c>
      <c r="F1484" s="7" t="s">
        <v>58</v>
      </c>
      <c r="G1484" s="7" t="s">
        <v>58</v>
      </c>
      <c r="H1484" s="7" t="s">
        <v>58</v>
      </c>
      <c r="I1484" s="7" t="s">
        <v>58</v>
      </c>
    </row>
    <row r="1485" spans="1:9" x14ac:dyDescent="0.25">
      <c r="A1485" s="1" t="s">
        <v>31</v>
      </c>
      <c r="B1485" s="7" t="s">
        <v>58</v>
      </c>
      <c r="C1485" s="7" t="s">
        <v>58</v>
      </c>
      <c r="D1485" s="7" t="s">
        <v>58</v>
      </c>
      <c r="E1485" s="7" t="s">
        <v>58</v>
      </c>
      <c r="F1485" s="7" t="s">
        <v>58</v>
      </c>
      <c r="G1485" s="7" t="s">
        <v>58</v>
      </c>
      <c r="H1485" s="7" t="s">
        <v>58</v>
      </c>
      <c r="I1485" s="7" t="s">
        <v>58</v>
      </c>
    </row>
    <row r="1486" spans="1:9" x14ac:dyDescent="0.25">
      <c r="A1486" s="1" t="s">
        <v>32</v>
      </c>
      <c r="B1486" s="7" t="s">
        <v>58</v>
      </c>
      <c r="C1486" s="7" t="s">
        <v>58</v>
      </c>
      <c r="D1486" s="7" t="s">
        <v>58</v>
      </c>
      <c r="E1486" s="7" t="s">
        <v>58</v>
      </c>
      <c r="F1486" s="7" t="s">
        <v>58</v>
      </c>
      <c r="G1486" s="7" t="s">
        <v>58</v>
      </c>
      <c r="H1486" s="7" t="s">
        <v>58</v>
      </c>
      <c r="I1486" s="7" t="s">
        <v>58</v>
      </c>
    </row>
    <row r="1487" spans="1:9" x14ac:dyDescent="0.25">
      <c r="A1487" s="1" t="s">
        <v>33</v>
      </c>
      <c r="B1487" s="5">
        <v>21.49</v>
      </c>
      <c r="C1487" s="5">
        <v>22.42</v>
      </c>
      <c r="D1487" s="5">
        <v>23.34</v>
      </c>
      <c r="E1487" s="5">
        <v>24.24</v>
      </c>
      <c r="F1487" s="5">
        <v>25.14</v>
      </c>
      <c r="G1487" s="5">
        <v>26.04</v>
      </c>
      <c r="H1487" s="5">
        <v>26.94</v>
      </c>
      <c r="I1487" s="6">
        <v>3.8389280000000001</v>
      </c>
    </row>
    <row r="1488" spans="1:9" ht="30" x14ac:dyDescent="0.25">
      <c r="A1488" s="1" t="s">
        <v>34</v>
      </c>
      <c r="B1488" s="5">
        <v>17.12</v>
      </c>
      <c r="C1488" s="5">
        <v>16.37</v>
      </c>
      <c r="D1488" s="5">
        <v>15.88</v>
      </c>
      <c r="E1488" s="5">
        <v>15.59</v>
      </c>
      <c r="F1488" s="5">
        <v>15.31</v>
      </c>
      <c r="G1488" s="5">
        <v>15.05</v>
      </c>
      <c r="H1488" s="5">
        <v>14.79</v>
      </c>
      <c r="I1488" s="6">
        <v>-2.4087830000000001</v>
      </c>
    </row>
    <row r="1489" spans="1:9" ht="30" x14ac:dyDescent="0.25">
      <c r="A1489" s="1" t="s">
        <v>35</v>
      </c>
      <c r="B1489" s="7" t="s">
        <v>58</v>
      </c>
      <c r="C1489" s="7" t="s">
        <v>58</v>
      </c>
      <c r="D1489" s="7" t="s">
        <v>58</v>
      </c>
      <c r="E1489" s="7" t="s">
        <v>58</v>
      </c>
      <c r="F1489" s="7" t="s">
        <v>58</v>
      </c>
      <c r="G1489" s="7" t="s">
        <v>58</v>
      </c>
      <c r="H1489" s="7" t="s">
        <v>58</v>
      </c>
      <c r="I1489" s="7" t="s">
        <v>58</v>
      </c>
    </row>
    <row r="1490" spans="1:9" x14ac:dyDescent="0.25">
      <c r="A1490" s="1" t="s">
        <v>36</v>
      </c>
      <c r="B1490" s="7" t="s">
        <v>58</v>
      </c>
      <c r="C1490" s="7" t="s">
        <v>58</v>
      </c>
      <c r="D1490" s="7" t="s">
        <v>58</v>
      </c>
      <c r="E1490" s="7" t="s">
        <v>58</v>
      </c>
      <c r="F1490" s="7" t="s">
        <v>58</v>
      </c>
      <c r="G1490" s="7" t="s">
        <v>58</v>
      </c>
      <c r="H1490" s="7" t="s">
        <v>58</v>
      </c>
      <c r="I1490" s="7" t="s">
        <v>58</v>
      </c>
    </row>
    <row r="1491" spans="1:9" x14ac:dyDescent="0.25">
      <c r="A1491" s="1" t="s">
        <v>37</v>
      </c>
      <c r="B1491" s="7" t="s">
        <v>58</v>
      </c>
      <c r="C1491" s="7" t="s">
        <v>58</v>
      </c>
      <c r="D1491" s="7" t="s">
        <v>58</v>
      </c>
      <c r="E1491" s="7" t="s">
        <v>58</v>
      </c>
      <c r="F1491" s="7" t="s">
        <v>58</v>
      </c>
      <c r="G1491" s="7" t="s">
        <v>58</v>
      </c>
      <c r="H1491" s="7" t="s">
        <v>58</v>
      </c>
      <c r="I1491" s="7" t="s">
        <v>58</v>
      </c>
    </row>
    <row r="1492" spans="1:9" x14ac:dyDescent="0.25">
      <c r="A1492" s="1" t="s">
        <v>38</v>
      </c>
      <c r="B1492" s="7" t="s">
        <v>58</v>
      </c>
      <c r="C1492" s="7" t="s">
        <v>58</v>
      </c>
      <c r="D1492" s="7" t="s">
        <v>58</v>
      </c>
      <c r="E1492" s="7" t="s">
        <v>58</v>
      </c>
      <c r="F1492" s="7" t="s">
        <v>58</v>
      </c>
      <c r="G1492" s="7" t="s">
        <v>58</v>
      </c>
      <c r="H1492" s="7" t="s">
        <v>58</v>
      </c>
      <c r="I1492" s="7" t="s">
        <v>58</v>
      </c>
    </row>
    <row r="1493" spans="1:9" x14ac:dyDescent="0.25">
      <c r="A1493" s="1" t="s">
        <v>39</v>
      </c>
      <c r="B1493" s="7" t="s">
        <v>58</v>
      </c>
      <c r="C1493" s="7" t="s">
        <v>58</v>
      </c>
      <c r="D1493" s="7" t="s">
        <v>58</v>
      </c>
      <c r="E1493" s="7" t="s">
        <v>58</v>
      </c>
      <c r="F1493" s="7" t="s">
        <v>58</v>
      </c>
      <c r="G1493" s="7" t="s">
        <v>58</v>
      </c>
      <c r="H1493" s="7" t="s">
        <v>58</v>
      </c>
      <c r="I1493" s="7" t="s">
        <v>58</v>
      </c>
    </row>
    <row r="1494" spans="1:9" x14ac:dyDescent="0.25">
      <c r="A1494" s="1" t="s">
        <v>40</v>
      </c>
      <c r="B1494" s="5">
        <v>29.02</v>
      </c>
      <c r="C1494" s="5">
        <v>28.96</v>
      </c>
      <c r="D1494" s="5">
        <v>28.97</v>
      </c>
      <c r="E1494" s="5">
        <v>28.98</v>
      </c>
      <c r="F1494" s="5">
        <v>29.06</v>
      </c>
      <c r="G1494" s="5">
        <v>29.14</v>
      </c>
      <c r="H1494" s="5">
        <v>29.22</v>
      </c>
      <c r="I1494" s="6">
        <v>0.114535</v>
      </c>
    </row>
    <row r="1495" spans="1:9" x14ac:dyDescent="0.25">
      <c r="A1495" s="1" t="s">
        <v>41</v>
      </c>
      <c r="B1495" s="5">
        <v>23.45</v>
      </c>
      <c r="C1495" s="5">
        <v>23.45</v>
      </c>
      <c r="D1495" s="5">
        <v>24.04</v>
      </c>
      <c r="E1495" s="5">
        <v>24.22</v>
      </c>
      <c r="F1495" s="5">
        <v>24.4</v>
      </c>
      <c r="G1495" s="5">
        <v>24.57</v>
      </c>
      <c r="H1495" s="5">
        <v>24.76</v>
      </c>
      <c r="I1495" s="6">
        <v>0.91009899999999999</v>
      </c>
    </row>
    <row r="1496" spans="1:9" x14ac:dyDescent="0.25">
      <c r="A1496" s="1" t="s">
        <v>42</v>
      </c>
      <c r="B1496" s="5">
        <v>29.96</v>
      </c>
      <c r="C1496" s="5">
        <v>30.8</v>
      </c>
      <c r="D1496" s="5">
        <v>31.24</v>
      </c>
      <c r="E1496" s="5">
        <v>31.86</v>
      </c>
      <c r="F1496" s="5">
        <v>32.51</v>
      </c>
      <c r="G1496" s="5">
        <v>33.159999999999997</v>
      </c>
      <c r="H1496" s="5">
        <v>33.729999999999997</v>
      </c>
      <c r="I1496" s="6">
        <v>1.9950479999999999</v>
      </c>
    </row>
    <row r="1497" spans="1:9" x14ac:dyDescent="0.25">
      <c r="A1497" s="1" t="s">
        <v>43</v>
      </c>
      <c r="B1497" s="5">
        <v>0</v>
      </c>
      <c r="C1497" s="5">
        <v>0</v>
      </c>
      <c r="D1497" s="5">
        <v>0</v>
      </c>
      <c r="E1497" s="5">
        <v>0</v>
      </c>
      <c r="F1497" s="5">
        <v>0</v>
      </c>
      <c r="G1497" s="5">
        <v>0</v>
      </c>
      <c r="H1497" s="5">
        <v>0</v>
      </c>
      <c r="I1497" s="7" t="s">
        <v>58</v>
      </c>
    </row>
    <row r="1498" spans="1:9" x14ac:dyDescent="0.25">
      <c r="A1498" s="1" t="s">
        <v>44</v>
      </c>
      <c r="B1498" s="7" t="s">
        <v>58</v>
      </c>
      <c r="C1498" s="7" t="s">
        <v>58</v>
      </c>
      <c r="D1498" s="7" t="s">
        <v>58</v>
      </c>
      <c r="E1498" s="7" t="s">
        <v>58</v>
      </c>
      <c r="F1498" s="7" t="s">
        <v>58</v>
      </c>
      <c r="G1498" s="7" t="s">
        <v>58</v>
      </c>
      <c r="H1498" s="7" t="s">
        <v>58</v>
      </c>
      <c r="I1498" s="7" t="s">
        <v>58</v>
      </c>
    </row>
    <row r="1499" spans="1:9" x14ac:dyDescent="0.25">
      <c r="A1499" s="1" t="s">
        <v>45</v>
      </c>
      <c r="B1499" s="7" t="s">
        <v>58</v>
      </c>
      <c r="C1499" s="7" t="s">
        <v>58</v>
      </c>
      <c r="D1499" s="7" t="s">
        <v>58</v>
      </c>
      <c r="E1499" s="7" t="s">
        <v>58</v>
      </c>
      <c r="F1499" s="7" t="s">
        <v>58</v>
      </c>
      <c r="G1499" s="7" t="s">
        <v>58</v>
      </c>
      <c r="H1499" s="7" t="s">
        <v>58</v>
      </c>
      <c r="I1499" s="7" t="s">
        <v>58</v>
      </c>
    </row>
    <row r="1500" spans="1:9" x14ac:dyDescent="0.25">
      <c r="A1500" s="1" t="s">
        <v>46</v>
      </c>
      <c r="B1500" s="5">
        <v>11.9</v>
      </c>
      <c r="C1500" s="5">
        <v>11.96</v>
      </c>
      <c r="D1500" s="5">
        <v>12.1</v>
      </c>
      <c r="E1500" s="5">
        <v>11.94</v>
      </c>
      <c r="F1500" s="5">
        <v>12.01</v>
      </c>
      <c r="G1500" s="5">
        <v>12.18</v>
      </c>
      <c r="H1500" s="5">
        <v>12.28</v>
      </c>
      <c r="I1500" s="6">
        <v>0.52526700000000004</v>
      </c>
    </row>
    <row r="1501" spans="1:9" x14ac:dyDescent="0.25">
      <c r="A1501" s="1" t="s">
        <v>47</v>
      </c>
      <c r="B1501" s="7" t="s">
        <v>58</v>
      </c>
      <c r="C1501" s="7" t="s">
        <v>58</v>
      </c>
      <c r="D1501" s="7" t="s">
        <v>58</v>
      </c>
      <c r="E1501" s="7" t="s">
        <v>58</v>
      </c>
      <c r="F1501" s="7" t="s">
        <v>58</v>
      </c>
      <c r="G1501" s="7" t="s">
        <v>58</v>
      </c>
      <c r="H1501" s="7" t="s">
        <v>58</v>
      </c>
      <c r="I1501" s="7" t="s">
        <v>58</v>
      </c>
    </row>
    <row r="1502" spans="1:9" x14ac:dyDescent="0.25">
      <c r="A1502" s="1" t="s">
        <v>48</v>
      </c>
      <c r="B1502" s="5">
        <v>3.94</v>
      </c>
      <c r="C1502" s="5">
        <v>4.29</v>
      </c>
      <c r="D1502" s="5">
        <v>4.5999999999999996</v>
      </c>
      <c r="E1502" s="5">
        <v>4.8</v>
      </c>
      <c r="F1502" s="5">
        <v>5.01</v>
      </c>
      <c r="G1502" s="5">
        <v>5.25</v>
      </c>
      <c r="H1502" s="5">
        <v>5.46</v>
      </c>
      <c r="I1502" s="6">
        <v>5.5883659999999997</v>
      </c>
    </row>
    <row r="1503" spans="1:9" x14ac:dyDescent="0.25">
      <c r="A1503" s="1" t="s">
        <v>49</v>
      </c>
      <c r="B1503" s="5">
        <v>8.57</v>
      </c>
      <c r="C1503" s="5">
        <v>8.82</v>
      </c>
      <c r="D1503" s="5">
        <v>9.07</v>
      </c>
      <c r="E1503" s="5">
        <v>9.09</v>
      </c>
      <c r="F1503" s="5">
        <v>9.26</v>
      </c>
      <c r="G1503" s="5">
        <v>9.5</v>
      </c>
      <c r="H1503" s="5">
        <v>9.58</v>
      </c>
      <c r="I1503" s="6">
        <v>1.874177</v>
      </c>
    </row>
    <row r="1504" spans="1:9" x14ac:dyDescent="0.25">
      <c r="A1504" s="1" t="s">
        <v>50</v>
      </c>
      <c r="B1504" s="7" t="s">
        <v>58</v>
      </c>
      <c r="C1504" s="7" t="s">
        <v>58</v>
      </c>
      <c r="D1504" s="7" t="s">
        <v>58</v>
      </c>
      <c r="E1504" s="7" t="s">
        <v>58</v>
      </c>
      <c r="F1504" s="7" t="s">
        <v>58</v>
      </c>
      <c r="G1504" s="7" t="s">
        <v>58</v>
      </c>
      <c r="H1504" s="7" t="s">
        <v>58</v>
      </c>
      <c r="I1504" s="7" t="s">
        <v>58</v>
      </c>
    </row>
    <row r="1505" spans="1:9" x14ac:dyDescent="0.25">
      <c r="A1505" s="1" t="s">
        <v>51</v>
      </c>
      <c r="B1505" s="5">
        <v>44.45</v>
      </c>
      <c r="C1505" s="5">
        <v>44.3</v>
      </c>
      <c r="D1505" s="5">
        <v>44.52</v>
      </c>
      <c r="E1505" s="5">
        <v>44.78</v>
      </c>
      <c r="F1505" s="5">
        <v>44.67</v>
      </c>
      <c r="G1505" s="5">
        <v>44.72</v>
      </c>
      <c r="H1505" s="5">
        <v>44.89</v>
      </c>
      <c r="I1505" s="6">
        <v>0.164303</v>
      </c>
    </row>
    <row r="1506" spans="1:9" x14ac:dyDescent="0.25">
      <c r="A1506" s="1" t="s">
        <v>52</v>
      </c>
      <c r="B1506" s="7" t="s">
        <v>58</v>
      </c>
      <c r="C1506" s="7" t="s">
        <v>58</v>
      </c>
      <c r="D1506" s="7" t="s">
        <v>58</v>
      </c>
      <c r="E1506" s="7" t="s">
        <v>58</v>
      </c>
      <c r="F1506" s="7" t="s">
        <v>58</v>
      </c>
      <c r="G1506" s="7" t="s">
        <v>58</v>
      </c>
      <c r="H1506" s="7" t="s">
        <v>58</v>
      </c>
      <c r="I1506" s="7" t="s">
        <v>58</v>
      </c>
    </row>
    <row r="1507" spans="1:9" x14ac:dyDescent="0.25">
      <c r="A1507" s="1" t="s">
        <v>53</v>
      </c>
      <c r="B1507" s="5">
        <v>0</v>
      </c>
      <c r="C1507" s="5">
        <v>0</v>
      </c>
      <c r="D1507" s="5">
        <v>0</v>
      </c>
      <c r="E1507" s="5">
        <v>0</v>
      </c>
      <c r="F1507" s="5">
        <v>0</v>
      </c>
      <c r="G1507" s="5">
        <v>0</v>
      </c>
      <c r="H1507" s="5">
        <v>0</v>
      </c>
      <c r="I1507" s="7" t="s">
        <v>58</v>
      </c>
    </row>
    <row r="1508" spans="1:9" x14ac:dyDescent="0.25">
      <c r="A1508" s="1" t="s">
        <v>54</v>
      </c>
      <c r="B1508" s="7" t="s">
        <v>58</v>
      </c>
      <c r="C1508" s="7" t="s">
        <v>58</v>
      </c>
      <c r="D1508" s="7" t="s">
        <v>58</v>
      </c>
      <c r="E1508" s="7" t="s">
        <v>58</v>
      </c>
      <c r="F1508" s="7" t="s">
        <v>58</v>
      </c>
      <c r="G1508" s="7" t="s">
        <v>58</v>
      </c>
      <c r="H1508" s="7" t="s">
        <v>58</v>
      </c>
      <c r="I1508" s="7" t="s">
        <v>58</v>
      </c>
    </row>
    <row r="1509" spans="1:9" x14ac:dyDescent="0.25">
      <c r="A1509" s="1" t="s">
        <v>55</v>
      </c>
      <c r="B1509" s="5">
        <v>22.49</v>
      </c>
      <c r="C1509" s="5">
        <v>22.84</v>
      </c>
      <c r="D1509" s="5">
        <v>23.23</v>
      </c>
      <c r="E1509" s="5">
        <v>23.63</v>
      </c>
      <c r="F1509" s="5">
        <v>24</v>
      </c>
      <c r="G1509" s="5">
        <v>24.27</v>
      </c>
      <c r="H1509" s="5">
        <v>24.74</v>
      </c>
      <c r="I1509" s="6">
        <v>1.601871</v>
      </c>
    </row>
    <row r="1510" spans="1:9" x14ac:dyDescent="0.25">
      <c r="A1510" s="1" t="s">
        <v>56</v>
      </c>
      <c r="B1510" s="7" t="s">
        <v>58</v>
      </c>
      <c r="C1510" s="7" t="s">
        <v>58</v>
      </c>
      <c r="D1510" s="7" t="s">
        <v>58</v>
      </c>
      <c r="E1510" s="7" t="s">
        <v>58</v>
      </c>
      <c r="F1510" s="7" t="s">
        <v>58</v>
      </c>
      <c r="G1510" s="7" t="s">
        <v>58</v>
      </c>
      <c r="H1510" s="7" t="s">
        <v>58</v>
      </c>
      <c r="I1510" s="7" t="s">
        <v>58</v>
      </c>
    </row>
    <row r="1511" spans="1:9" x14ac:dyDescent="0.25">
      <c r="A1511" s="1" t="s">
        <v>57</v>
      </c>
      <c r="B1511" s="7" t="s">
        <v>58</v>
      </c>
      <c r="C1511" s="7" t="s">
        <v>58</v>
      </c>
      <c r="D1511" s="7" t="s">
        <v>58</v>
      </c>
      <c r="E1511" s="7" t="s">
        <v>58</v>
      </c>
      <c r="F1511" s="7" t="s">
        <v>58</v>
      </c>
      <c r="G1511" s="7" t="s">
        <v>58</v>
      </c>
      <c r="H1511" s="7" t="s">
        <v>58</v>
      </c>
      <c r="I1511" s="7" t="s">
        <v>58</v>
      </c>
    </row>
    <row r="1512" spans="1:9" x14ac:dyDescent="0.25">
      <c r="A1512" s="1" t="s">
        <v>59</v>
      </c>
      <c r="B1512" s="7" t="s">
        <v>58</v>
      </c>
      <c r="C1512" s="7" t="s">
        <v>58</v>
      </c>
      <c r="D1512" s="7" t="s">
        <v>58</v>
      </c>
      <c r="E1512" s="7" t="s">
        <v>58</v>
      </c>
      <c r="F1512" s="7" t="s">
        <v>58</v>
      </c>
      <c r="G1512" s="7" t="s">
        <v>58</v>
      </c>
      <c r="H1512" s="7" t="s">
        <v>58</v>
      </c>
      <c r="I1512" s="7" t="s">
        <v>58</v>
      </c>
    </row>
    <row r="1513" spans="1:9" x14ac:dyDescent="0.25">
      <c r="A1513" s="1" t="s">
        <v>60</v>
      </c>
      <c r="B1513" s="5">
        <v>11.25</v>
      </c>
      <c r="C1513" s="5">
        <v>11.23</v>
      </c>
      <c r="D1513" s="5">
        <v>11.25</v>
      </c>
      <c r="E1513" s="5">
        <v>11.3</v>
      </c>
      <c r="F1513" s="5">
        <v>11.32</v>
      </c>
      <c r="G1513" s="5">
        <v>11.38</v>
      </c>
      <c r="H1513" s="5">
        <v>11.4</v>
      </c>
      <c r="I1513" s="6">
        <v>0.220998</v>
      </c>
    </row>
    <row r="1514" spans="1:9" ht="45" x14ac:dyDescent="0.25">
      <c r="A1514" s="1" t="s">
        <v>61</v>
      </c>
      <c r="B1514" s="7" t="s">
        <v>58</v>
      </c>
      <c r="C1514" s="7" t="s">
        <v>58</v>
      </c>
      <c r="D1514" s="7" t="s">
        <v>58</v>
      </c>
      <c r="E1514" s="7" t="s">
        <v>58</v>
      </c>
      <c r="F1514" s="7" t="s">
        <v>58</v>
      </c>
      <c r="G1514" s="7" t="s">
        <v>58</v>
      </c>
      <c r="H1514" s="7" t="s">
        <v>58</v>
      </c>
      <c r="I1514" s="7" t="s">
        <v>58</v>
      </c>
    </row>
    <row r="1515" spans="1:9" x14ac:dyDescent="0.25">
      <c r="A1515" s="1" t="s">
        <v>62</v>
      </c>
      <c r="B1515" s="7" t="s">
        <v>58</v>
      </c>
      <c r="C1515" s="7" t="s">
        <v>58</v>
      </c>
      <c r="D1515" s="7" t="s">
        <v>58</v>
      </c>
      <c r="E1515" s="7" t="s">
        <v>58</v>
      </c>
      <c r="F1515" s="7" t="s">
        <v>58</v>
      </c>
      <c r="G1515" s="7" t="s">
        <v>58</v>
      </c>
      <c r="H1515" s="7" t="s">
        <v>58</v>
      </c>
      <c r="I1515" s="7" t="s">
        <v>58</v>
      </c>
    </row>
    <row r="1516" spans="1:9" x14ac:dyDescent="0.25">
      <c r="A1516" s="1" t="s">
        <v>63</v>
      </c>
      <c r="B1516" s="7" t="s">
        <v>58</v>
      </c>
      <c r="C1516" s="7" t="s">
        <v>58</v>
      </c>
      <c r="D1516" s="7" t="s">
        <v>58</v>
      </c>
      <c r="E1516" s="7" t="s">
        <v>58</v>
      </c>
      <c r="F1516" s="7" t="s">
        <v>58</v>
      </c>
      <c r="G1516" s="7" t="s">
        <v>58</v>
      </c>
      <c r="H1516" s="7" t="s">
        <v>58</v>
      </c>
      <c r="I1516" s="7" t="s">
        <v>58</v>
      </c>
    </row>
    <row r="1517" spans="1:9" x14ac:dyDescent="0.25">
      <c r="A1517" s="1" t="s">
        <v>64</v>
      </c>
      <c r="B1517" s="7" t="s">
        <v>58</v>
      </c>
      <c r="C1517" s="7" t="s">
        <v>58</v>
      </c>
      <c r="D1517" s="7" t="s">
        <v>58</v>
      </c>
      <c r="E1517" s="7" t="s">
        <v>58</v>
      </c>
      <c r="F1517" s="7" t="s">
        <v>58</v>
      </c>
      <c r="G1517" s="7" t="s">
        <v>58</v>
      </c>
      <c r="H1517" s="7" t="s">
        <v>58</v>
      </c>
      <c r="I1517" s="7" t="s">
        <v>58</v>
      </c>
    </row>
    <row r="1518" spans="1:9" x14ac:dyDescent="0.25">
      <c r="A1518" s="1" t="s">
        <v>65</v>
      </c>
      <c r="B1518" s="5">
        <v>0</v>
      </c>
      <c r="C1518" s="5">
        <v>0</v>
      </c>
      <c r="D1518" s="5">
        <v>0</v>
      </c>
      <c r="E1518" s="5">
        <v>0</v>
      </c>
      <c r="F1518" s="5">
        <v>0</v>
      </c>
      <c r="G1518" s="5">
        <v>0</v>
      </c>
      <c r="H1518" s="5">
        <v>0</v>
      </c>
      <c r="I1518" s="7" t="s">
        <v>58</v>
      </c>
    </row>
    <row r="1519" spans="1:9" x14ac:dyDescent="0.25">
      <c r="A1519" s="1" t="s">
        <v>66</v>
      </c>
      <c r="B1519" s="5">
        <v>18.36</v>
      </c>
      <c r="C1519" s="5">
        <v>19.61</v>
      </c>
      <c r="D1519" s="5">
        <v>20.67</v>
      </c>
      <c r="E1519" s="5">
        <v>21.73</v>
      </c>
      <c r="F1519" s="5">
        <v>22.77</v>
      </c>
      <c r="G1519" s="5">
        <v>23.77</v>
      </c>
      <c r="H1519" s="5">
        <v>24.81</v>
      </c>
      <c r="I1519" s="6">
        <v>5.1459010000000003</v>
      </c>
    </row>
    <row r="1520" spans="1:9" ht="30" x14ac:dyDescent="0.25">
      <c r="A1520" s="1" t="s">
        <v>67</v>
      </c>
      <c r="B1520" s="7" t="s">
        <v>58</v>
      </c>
      <c r="C1520" s="7" t="s">
        <v>58</v>
      </c>
      <c r="D1520" s="7" t="s">
        <v>58</v>
      </c>
      <c r="E1520" s="7" t="s">
        <v>58</v>
      </c>
      <c r="F1520" s="7" t="s">
        <v>58</v>
      </c>
      <c r="G1520" s="7" t="s">
        <v>58</v>
      </c>
      <c r="H1520" s="7" t="s">
        <v>58</v>
      </c>
      <c r="I1520" s="7" t="s">
        <v>58</v>
      </c>
    </row>
    <row r="1521" spans="1:9" x14ac:dyDescent="0.25">
      <c r="A1521" s="1" t="s">
        <v>68</v>
      </c>
      <c r="B1521" s="7" t="s">
        <v>58</v>
      </c>
      <c r="C1521" s="7" t="s">
        <v>58</v>
      </c>
      <c r="D1521" s="7" t="s">
        <v>58</v>
      </c>
      <c r="E1521" s="7" t="s">
        <v>58</v>
      </c>
      <c r="F1521" s="7" t="s">
        <v>58</v>
      </c>
      <c r="G1521" s="7" t="s">
        <v>58</v>
      </c>
      <c r="H1521" s="7" t="s">
        <v>58</v>
      </c>
      <c r="I1521" s="7" t="s">
        <v>58</v>
      </c>
    </row>
    <row r="1522" spans="1:9" x14ac:dyDescent="0.25">
      <c r="A1522" s="1" t="s">
        <v>69</v>
      </c>
      <c r="B1522" s="7" t="s">
        <v>58</v>
      </c>
      <c r="C1522" s="7" t="s">
        <v>58</v>
      </c>
      <c r="D1522" s="7" t="s">
        <v>58</v>
      </c>
      <c r="E1522" s="7" t="s">
        <v>58</v>
      </c>
      <c r="F1522" s="7" t="s">
        <v>58</v>
      </c>
      <c r="G1522" s="7" t="s">
        <v>58</v>
      </c>
      <c r="H1522" s="7" t="s">
        <v>58</v>
      </c>
      <c r="I1522" s="7" t="s">
        <v>58</v>
      </c>
    </row>
    <row r="1523" spans="1:9" x14ac:dyDescent="0.25">
      <c r="A1523" s="1" t="s">
        <v>70</v>
      </c>
      <c r="B1523" s="5">
        <v>27.22</v>
      </c>
      <c r="C1523" s="5">
        <v>27.52</v>
      </c>
      <c r="D1523" s="5">
        <v>27.8</v>
      </c>
      <c r="E1523" s="5">
        <v>28.09</v>
      </c>
      <c r="F1523" s="5">
        <v>28.37</v>
      </c>
      <c r="G1523" s="5">
        <v>28.66</v>
      </c>
      <c r="H1523" s="5">
        <v>28.95</v>
      </c>
      <c r="I1523" s="6">
        <v>1.032262</v>
      </c>
    </row>
    <row r="1524" spans="1:9" x14ac:dyDescent="0.25">
      <c r="A1524" s="1" t="s">
        <v>71</v>
      </c>
      <c r="B1524" s="5">
        <v>50.77</v>
      </c>
      <c r="C1524" s="5">
        <v>50</v>
      </c>
      <c r="D1524" s="5">
        <v>49.35</v>
      </c>
      <c r="E1524" s="5">
        <v>48.84</v>
      </c>
      <c r="F1524" s="5">
        <v>48.34</v>
      </c>
      <c r="G1524" s="5">
        <v>47.82</v>
      </c>
      <c r="H1524" s="5">
        <v>47.3</v>
      </c>
      <c r="I1524" s="6">
        <v>-1.1729879999999999</v>
      </c>
    </row>
    <row r="1525" spans="1:9" x14ac:dyDescent="0.25">
      <c r="A1525" s="1" t="s">
        <v>72</v>
      </c>
      <c r="B1525" s="7" t="s">
        <v>58</v>
      </c>
      <c r="C1525" s="7" t="s">
        <v>58</v>
      </c>
      <c r="D1525" s="7" t="s">
        <v>58</v>
      </c>
      <c r="E1525" s="7" t="s">
        <v>58</v>
      </c>
      <c r="F1525" s="7" t="s">
        <v>58</v>
      </c>
      <c r="G1525" s="7" t="s">
        <v>58</v>
      </c>
      <c r="H1525" s="7" t="s">
        <v>58</v>
      </c>
      <c r="I1525" s="7" t="s">
        <v>58</v>
      </c>
    </row>
    <row r="1526" spans="1:9" x14ac:dyDescent="0.25">
      <c r="A1526" s="1" t="s">
        <v>73</v>
      </c>
      <c r="B1526" s="7" t="s">
        <v>58</v>
      </c>
      <c r="C1526" s="7" t="s">
        <v>58</v>
      </c>
      <c r="D1526" s="7" t="s">
        <v>58</v>
      </c>
      <c r="E1526" s="7" t="s">
        <v>58</v>
      </c>
      <c r="F1526" s="7" t="s">
        <v>58</v>
      </c>
      <c r="G1526" s="7" t="s">
        <v>58</v>
      </c>
      <c r="H1526" s="7" t="s">
        <v>58</v>
      </c>
      <c r="I1526" s="7" t="s">
        <v>58</v>
      </c>
    </row>
    <row r="1527" spans="1:9" ht="30" x14ac:dyDescent="0.25">
      <c r="A1527" s="1" t="s">
        <v>74</v>
      </c>
      <c r="B1527" s="7" t="s">
        <v>58</v>
      </c>
      <c r="C1527" s="7" t="s">
        <v>58</v>
      </c>
      <c r="D1527" s="7" t="s">
        <v>58</v>
      </c>
      <c r="E1527" s="7" t="s">
        <v>58</v>
      </c>
      <c r="F1527" s="7" t="s">
        <v>58</v>
      </c>
      <c r="G1527" s="7" t="s">
        <v>58</v>
      </c>
      <c r="H1527" s="7" t="s">
        <v>58</v>
      </c>
      <c r="I1527" s="7" t="s">
        <v>58</v>
      </c>
    </row>
    <row r="1528" spans="1:9" x14ac:dyDescent="0.25">
      <c r="A1528" s="1" t="s">
        <v>75</v>
      </c>
      <c r="B1528" s="5">
        <v>27.5</v>
      </c>
      <c r="C1528" s="5">
        <v>27.8</v>
      </c>
      <c r="D1528" s="5">
        <v>28.12</v>
      </c>
      <c r="E1528" s="5">
        <v>28.44</v>
      </c>
      <c r="F1528" s="5">
        <v>28.79</v>
      </c>
      <c r="G1528" s="5">
        <v>29.17</v>
      </c>
      <c r="H1528" s="5">
        <v>29.59</v>
      </c>
      <c r="I1528" s="6">
        <v>1.228324</v>
      </c>
    </row>
    <row r="1529" spans="1:9" x14ac:dyDescent="0.25">
      <c r="A1529" s="1" t="s">
        <v>76</v>
      </c>
      <c r="B1529" s="7" t="s">
        <v>58</v>
      </c>
      <c r="C1529" s="7" t="s">
        <v>58</v>
      </c>
      <c r="D1529" s="7" t="s">
        <v>58</v>
      </c>
      <c r="E1529" s="7" t="s">
        <v>58</v>
      </c>
      <c r="F1529" s="7" t="s">
        <v>58</v>
      </c>
      <c r="G1529" s="7" t="s">
        <v>58</v>
      </c>
      <c r="H1529" s="7" t="s">
        <v>58</v>
      </c>
      <c r="I1529" s="7" t="s">
        <v>58</v>
      </c>
    </row>
    <row r="1530" spans="1:9" ht="45" x14ac:dyDescent="0.25">
      <c r="A1530" s="1" t="s">
        <v>77</v>
      </c>
      <c r="B1530" s="5">
        <v>118.54</v>
      </c>
      <c r="C1530" s="5">
        <v>123.91</v>
      </c>
      <c r="D1530" s="5">
        <v>128.63999999999999</v>
      </c>
      <c r="E1530" s="5">
        <v>134.13999999999999</v>
      </c>
      <c r="F1530" s="5">
        <v>140.07</v>
      </c>
      <c r="G1530" s="5">
        <v>146.34</v>
      </c>
      <c r="H1530" s="5">
        <v>154.78</v>
      </c>
      <c r="I1530" s="6">
        <v>4.5462160000000003</v>
      </c>
    </row>
    <row r="1531" spans="1:9" ht="45" x14ac:dyDescent="0.25">
      <c r="A1531" s="1" t="s">
        <v>78</v>
      </c>
      <c r="B1531" s="7" t="s">
        <v>58</v>
      </c>
      <c r="C1531" s="7" t="s">
        <v>58</v>
      </c>
      <c r="D1531" s="7" t="s">
        <v>58</v>
      </c>
      <c r="E1531" s="7" t="s">
        <v>58</v>
      </c>
      <c r="F1531" s="7" t="s">
        <v>58</v>
      </c>
      <c r="G1531" s="7" t="s">
        <v>58</v>
      </c>
      <c r="H1531" s="7" t="s">
        <v>58</v>
      </c>
      <c r="I1531" s="7" t="s">
        <v>58</v>
      </c>
    </row>
    <row r="1532" spans="1:9" ht="60" x14ac:dyDescent="0.25">
      <c r="A1532" s="1" t="s">
        <v>79</v>
      </c>
      <c r="B1532" s="7" t="s">
        <v>58</v>
      </c>
      <c r="C1532" s="7" t="s">
        <v>58</v>
      </c>
      <c r="D1532" s="7" t="s">
        <v>58</v>
      </c>
      <c r="E1532" s="7" t="s">
        <v>58</v>
      </c>
      <c r="F1532" s="7" t="s">
        <v>58</v>
      </c>
      <c r="G1532" s="7" t="s">
        <v>58</v>
      </c>
      <c r="H1532" s="7" t="s">
        <v>58</v>
      </c>
      <c r="I1532" s="7" t="s">
        <v>58</v>
      </c>
    </row>
    <row r="1533" spans="1:9" ht="45" x14ac:dyDescent="0.25">
      <c r="A1533" s="1" t="s">
        <v>80</v>
      </c>
      <c r="B1533" s="7" t="s">
        <v>58</v>
      </c>
      <c r="C1533" s="7" t="s">
        <v>58</v>
      </c>
      <c r="D1533" s="7" t="s">
        <v>58</v>
      </c>
      <c r="E1533" s="7" t="s">
        <v>58</v>
      </c>
      <c r="F1533" s="7" t="s">
        <v>58</v>
      </c>
      <c r="G1533" s="7" t="s">
        <v>58</v>
      </c>
      <c r="H1533" s="7" t="s">
        <v>58</v>
      </c>
      <c r="I1533" s="7" t="s">
        <v>58</v>
      </c>
    </row>
    <row r="1534" spans="1:9" ht="45" x14ac:dyDescent="0.25">
      <c r="A1534" s="1" t="s">
        <v>81</v>
      </c>
      <c r="B1534" s="7" t="s">
        <v>58</v>
      </c>
      <c r="C1534" s="7" t="s">
        <v>58</v>
      </c>
      <c r="D1534" s="7" t="s">
        <v>58</v>
      </c>
      <c r="E1534" s="7" t="s">
        <v>58</v>
      </c>
      <c r="F1534" s="7" t="s">
        <v>58</v>
      </c>
      <c r="G1534" s="7" t="s">
        <v>58</v>
      </c>
      <c r="H1534" s="7" t="s">
        <v>58</v>
      </c>
      <c r="I1534" s="7" t="s">
        <v>58</v>
      </c>
    </row>
    <row r="1535" spans="1:9" x14ac:dyDescent="0.25">
      <c r="A1535" s="1" t="s">
        <v>82</v>
      </c>
      <c r="B1535" s="5">
        <v>5.86</v>
      </c>
      <c r="C1535" s="5">
        <v>5.89</v>
      </c>
      <c r="D1535" s="5">
        <v>5.89</v>
      </c>
      <c r="E1535" s="5">
        <v>5.91</v>
      </c>
      <c r="F1535" s="5">
        <v>5.95</v>
      </c>
      <c r="G1535" s="5">
        <v>5.96</v>
      </c>
      <c r="H1535" s="5">
        <v>5.97</v>
      </c>
      <c r="I1535" s="6">
        <v>0.31043599999999999</v>
      </c>
    </row>
    <row r="1536" spans="1:9" x14ac:dyDescent="0.25">
      <c r="A1536" s="1" t="s">
        <v>83</v>
      </c>
      <c r="B1536" s="7" t="s">
        <v>58</v>
      </c>
      <c r="C1536" s="7" t="s">
        <v>58</v>
      </c>
      <c r="D1536" s="7" t="s">
        <v>58</v>
      </c>
      <c r="E1536" s="7" t="s">
        <v>58</v>
      </c>
      <c r="F1536" s="7" t="s">
        <v>58</v>
      </c>
      <c r="G1536" s="7" t="s">
        <v>58</v>
      </c>
      <c r="H1536" s="7" t="s">
        <v>58</v>
      </c>
      <c r="I1536" s="7" t="s">
        <v>58</v>
      </c>
    </row>
    <row r="1537" spans="1:9" x14ac:dyDescent="0.25">
      <c r="A1537" s="1" t="s">
        <v>84</v>
      </c>
      <c r="B1537" s="7" t="s">
        <v>58</v>
      </c>
      <c r="C1537" s="7" t="s">
        <v>58</v>
      </c>
      <c r="D1537" s="7" t="s">
        <v>58</v>
      </c>
      <c r="E1537" s="7" t="s">
        <v>58</v>
      </c>
      <c r="F1537" s="7" t="s">
        <v>58</v>
      </c>
      <c r="G1537" s="7" t="s">
        <v>58</v>
      </c>
      <c r="H1537" s="7" t="s">
        <v>58</v>
      </c>
      <c r="I1537" s="7" t="s">
        <v>58</v>
      </c>
    </row>
    <row r="1538" spans="1:9" x14ac:dyDescent="0.25">
      <c r="A1538" s="1" t="s">
        <v>85</v>
      </c>
      <c r="B1538" s="7" t="s">
        <v>58</v>
      </c>
      <c r="C1538" s="7" t="s">
        <v>58</v>
      </c>
      <c r="D1538" s="7" t="s">
        <v>58</v>
      </c>
      <c r="E1538" s="7" t="s">
        <v>58</v>
      </c>
      <c r="F1538" s="7" t="s">
        <v>58</v>
      </c>
      <c r="G1538" s="7" t="s">
        <v>58</v>
      </c>
      <c r="H1538" s="7" t="s">
        <v>58</v>
      </c>
      <c r="I1538" s="7" t="s">
        <v>58</v>
      </c>
    </row>
    <row r="1539" spans="1:9" x14ac:dyDescent="0.25">
      <c r="A1539" s="1" t="s">
        <v>86</v>
      </c>
      <c r="B1539" s="5">
        <v>15.75</v>
      </c>
      <c r="C1539" s="5">
        <v>14.58</v>
      </c>
      <c r="D1539" s="5">
        <v>13.65</v>
      </c>
      <c r="E1539" s="5">
        <v>13.07</v>
      </c>
      <c r="F1539" s="5">
        <v>12.56</v>
      </c>
      <c r="G1539" s="5">
        <v>12.11</v>
      </c>
      <c r="H1539" s="5">
        <v>11.67</v>
      </c>
      <c r="I1539" s="6">
        <v>-4.874187</v>
      </c>
    </row>
    <row r="1540" spans="1:9" x14ac:dyDescent="0.25">
      <c r="A1540" s="1" t="s">
        <v>87</v>
      </c>
      <c r="B1540" s="5">
        <v>10.38</v>
      </c>
      <c r="C1540" s="5">
        <v>10.18</v>
      </c>
      <c r="D1540" s="5">
        <v>9.91</v>
      </c>
      <c r="E1540" s="5">
        <v>9.75</v>
      </c>
      <c r="F1540" s="5">
        <v>9.7899999999999991</v>
      </c>
      <c r="G1540" s="5">
        <v>9.81</v>
      </c>
      <c r="H1540" s="5">
        <v>9.83</v>
      </c>
      <c r="I1540" s="6">
        <v>-0.90326200000000001</v>
      </c>
    </row>
    <row r="1541" spans="1:9" x14ac:dyDescent="0.25">
      <c r="A1541" s="1" t="s">
        <v>88</v>
      </c>
      <c r="B1541" s="7" t="s">
        <v>58</v>
      </c>
      <c r="C1541" s="7" t="s">
        <v>58</v>
      </c>
      <c r="D1541" s="7" t="s">
        <v>58</v>
      </c>
      <c r="E1541" s="7" t="s">
        <v>58</v>
      </c>
      <c r="F1541" s="7" t="s">
        <v>58</v>
      </c>
      <c r="G1541" s="7" t="s">
        <v>58</v>
      </c>
      <c r="H1541" s="7" t="s">
        <v>58</v>
      </c>
      <c r="I1541" s="7" t="s">
        <v>58</v>
      </c>
    </row>
    <row r="1542" spans="1:9" x14ac:dyDescent="0.25">
      <c r="A1542" s="1" t="s">
        <v>89</v>
      </c>
      <c r="B1542" s="5">
        <v>26.42</v>
      </c>
      <c r="C1542" s="5">
        <v>26.35</v>
      </c>
      <c r="D1542" s="5">
        <v>26.48</v>
      </c>
      <c r="E1542" s="5">
        <v>26.63</v>
      </c>
      <c r="F1542" s="5">
        <v>26.81</v>
      </c>
      <c r="G1542" s="5">
        <v>27.01</v>
      </c>
      <c r="H1542" s="5">
        <v>27.22</v>
      </c>
      <c r="I1542" s="6">
        <v>0.49841600000000003</v>
      </c>
    </row>
    <row r="1543" spans="1:9" x14ac:dyDescent="0.25">
      <c r="A1543" s="1" t="s">
        <v>90</v>
      </c>
      <c r="B1543" s="7" t="s">
        <v>58</v>
      </c>
      <c r="C1543" s="7" t="s">
        <v>58</v>
      </c>
      <c r="D1543" s="7" t="s">
        <v>58</v>
      </c>
      <c r="E1543" s="7" t="s">
        <v>58</v>
      </c>
      <c r="F1543" s="7" t="s">
        <v>58</v>
      </c>
      <c r="G1543" s="7" t="s">
        <v>58</v>
      </c>
      <c r="H1543" s="7" t="s">
        <v>58</v>
      </c>
      <c r="I1543" s="7" t="s">
        <v>58</v>
      </c>
    </row>
    <row r="1544" spans="1:9" x14ac:dyDescent="0.25">
      <c r="A1544" s="1" t="s">
        <v>91</v>
      </c>
      <c r="B1544" s="7" t="s">
        <v>58</v>
      </c>
      <c r="C1544" s="7" t="s">
        <v>58</v>
      </c>
      <c r="D1544" s="7" t="s">
        <v>58</v>
      </c>
      <c r="E1544" s="7" t="s">
        <v>58</v>
      </c>
      <c r="F1544" s="7" t="s">
        <v>58</v>
      </c>
      <c r="G1544" s="7" t="s">
        <v>58</v>
      </c>
      <c r="H1544" s="7" t="s">
        <v>58</v>
      </c>
      <c r="I1544" s="7" t="s">
        <v>58</v>
      </c>
    </row>
    <row r="1545" spans="1:9" x14ac:dyDescent="0.25">
      <c r="A1545" s="1" t="s">
        <v>92</v>
      </c>
      <c r="B1545" s="7" t="s">
        <v>58</v>
      </c>
      <c r="C1545" s="7" t="s">
        <v>58</v>
      </c>
      <c r="D1545" s="7" t="s">
        <v>58</v>
      </c>
      <c r="E1545" s="7" t="s">
        <v>58</v>
      </c>
      <c r="F1545" s="7" t="s">
        <v>58</v>
      </c>
      <c r="G1545" s="7" t="s">
        <v>58</v>
      </c>
      <c r="H1545" s="7" t="s">
        <v>58</v>
      </c>
      <c r="I1545" s="7" t="s">
        <v>58</v>
      </c>
    </row>
    <row r="1546" spans="1:9" x14ac:dyDescent="0.25">
      <c r="A1546" s="1" t="s">
        <v>93</v>
      </c>
      <c r="B1546" s="7" t="s">
        <v>58</v>
      </c>
      <c r="C1546" s="7" t="s">
        <v>58</v>
      </c>
      <c r="D1546" s="7" t="s">
        <v>58</v>
      </c>
      <c r="E1546" s="7" t="s">
        <v>58</v>
      </c>
      <c r="F1546" s="7" t="s">
        <v>58</v>
      </c>
      <c r="G1546" s="7" t="s">
        <v>58</v>
      </c>
      <c r="H1546" s="7" t="s">
        <v>58</v>
      </c>
      <c r="I1546" s="7" t="s">
        <v>58</v>
      </c>
    </row>
    <row r="1547" spans="1:9" x14ac:dyDescent="0.25">
      <c r="A1547" s="1" t="s">
        <v>94</v>
      </c>
      <c r="B1547" s="7" t="s">
        <v>58</v>
      </c>
      <c r="C1547" s="7" t="s">
        <v>58</v>
      </c>
      <c r="D1547" s="7" t="s">
        <v>58</v>
      </c>
      <c r="E1547" s="7" t="s">
        <v>58</v>
      </c>
      <c r="F1547" s="7" t="s">
        <v>58</v>
      </c>
      <c r="G1547" s="7" t="s">
        <v>58</v>
      </c>
      <c r="H1547" s="7" t="s">
        <v>58</v>
      </c>
      <c r="I1547" s="7" t="s">
        <v>58</v>
      </c>
    </row>
    <row r="1548" spans="1:9" x14ac:dyDescent="0.25">
      <c r="A1548" s="1" t="s">
        <v>95</v>
      </c>
      <c r="B1548" s="7" t="s">
        <v>58</v>
      </c>
      <c r="C1548" s="7" t="s">
        <v>58</v>
      </c>
      <c r="D1548" s="7" t="s">
        <v>58</v>
      </c>
      <c r="E1548" s="7" t="s">
        <v>58</v>
      </c>
      <c r="F1548" s="7" t="s">
        <v>58</v>
      </c>
      <c r="G1548" s="7" t="s">
        <v>58</v>
      </c>
      <c r="H1548" s="7" t="s">
        <v>58</v>
      </c>
      <c r="I1548" s="7" t="s">
        <v>58</v>
      </c>
    </row>
    <row r="1549" spans="1:9" x14ac:dyDescent="0.25">
      <c r="A1549" s="1" t="s">
        <v>96</v>
      </c>
      <c r="B1549" s="5">
        <v>0</v>
      </c>
      <c r="C1549" s="5">
        <v>0</v>
      </c>
      <c r="D1549" s="5">
        <v>0</v>
      </c>
      <c r="E1549" s="5">
        <v>0</v>
      </c>
      <c r="F1549" s="5">
        <v>0</v>
      </c>
      <c r="G1549" s="5">
        <v>0</v>
      </c>
      <c r="H1549" s="5">
        <v>0</v>
      </c>
      <c r="I1549" s="7" t="s">
        <v>58</v>
      </c>
    </row>
    <row r="1550" spans="1:9" x14ac:dyDescent="0.25">
      <c r="A1550" s="1" t="s">
        <v>97</v>
      </c>
      <c r="B1550" s="7" t="s">
        <v>58</v>
      </c>
      <c r="C1550" s="7" t="s">
        <v>58</v>
      </c>
      <c r="D1550" s="7" t="s">
        <v>58</v>
      </c>
      <c r="E1550" s="7" t="s">
        <v>58</v>
      </c>
      <c r="F1550" s="7" t="s">
        <v>58</v>
      </c>
      <c r="G1550" s="7" t="s">
        <v>58</v>
      </c>
      <c r="H1550" s="7" t="s">
        <v>58</v>
      </c>
      <c r="I1550" s="7" t="s">
        <v>58</v>
      </c>
    </row>
    <row r="1551" spans="1:9" x14ac:dyDescent="0.25">
      <c r="A1551" s="1" t="s">
        <v>98</v>
      </c>
      <c r="B1551" s="7" t="s">
        <v>58</v>
      </c>
      <c r="C1551" s="7" t="s">
        <v>58</v>
      </c>
      <c r="D1551" s="7" t="s">
        <v>58</v>
      </c>
      <c r="E1551" s="7" t="s">
        <v>58</v>
      </c>
      <c r="F1551" s="7" t="s">
        <v>58</v>
      </c>
      <c r="G1551" s="7" t="s">
        <v>58</v>
      </c>
      <c r="H1551" s="7" t="s">
        <v>58</v>
      </c>
      <c r="I1551" s="7" t="s">
        <v>58</v>
      </c>
    </row>
    <row r="1552" spans="1:9" x14ac:dyDescent="0.25">
      <c r="A1552" s="1" t="s">
        <v>99</v>
      </c>
      <c r="B1552" s="7" t="s">
        <v>58</v>
      </c>
      <c r="C1552" s="7" t="s">
        <v>58</v>
      </c>
      <c r="D1552" s="7" t="s">
        <v>58</v>
      </c>
      <c r="E1552" s="7" t="s">
        <v>58</v>
      </c>
      <c r="F1552" s="7" t="s">
        <v>58</v>
      </c>
      <c r="G1552" s="7" t="s">
        <v>58</v>
      </c>
      <c r="H1552" s="7" t="s">
        <v>58</v>
      </c>
      <c r="I1552" s="7" t="s">
        <v>58</v>
      </c>
    </row>
    <row r="1553" spans="1:9" x14ac:dyDescent="0.25">
      <c r="A1553" s="1" t="s">
        <v>100</v>
      </c>
      <c r="B1553" s="5">
        <v>6.92</v>
      </c>
      <c r="C1553" s="5">
        <v>6.69</v>
      </c>
      <c r="D1553" s="5">
        <v>7.29</v>
      </c>
      <c r="E1553" s="5">
        <v>7.34</v>
      </c>
      <c r="F1553" s="5">
        <v>7.29</v>
      </c>
      <c r="G1553" s="5">
        <v>7.28</v>
      </c>
      <c r="H1553" s="5">
        <v>7.2</v>
      </c>
      <c r="I1553" s="6">
        <v>0.66327800000000003</v>
      </c>
    </row>
    <row r="1554" spans="1:9" x14ac:dyDescent="0.25">
      <c r="A1554" s="1" t="s">
        <v>101</v>
      </c>
      <c r="B1554" s="5">
        <v>24.08</v>
      </c>
      <c r="C1554" s="5">
        <v>22.92</v>
      </c>
      <c r="D1554" s="5">
        <v>22.82</v>
      </c>
      <c r="E1554" s="5">
        <v>22.83</v>
      </c>
      <c r="F1554" s="5">
        <v>23.2</v>
      </c>
      <c r="G1554" s="5">
        <v>23.56</v>
      </c>
      <c r="H1554" s="5">
        <v>23.93</v>
      </c>
      <c r="I1554" s="6">
        <v>-0.104091</v>
      </c>
    </row>
    <row r="1555" spans="1:9" x14ac:dyDescent="0.25">
      <c r="A1555" s="1" t="s">
        <v>102</v>
      </c>
      <c r="B1555" s="5">
        <v>18.57</v>
      </c>
      <c r="C1555" s="5">
        <v>19.059999999999999</v>
      </c>
      <c r="D1555" s="5">
        <v>19.57</v>
      </c>
      <c r="E1555" s="5">
        <v>20.079999999999998</v>
      </c>
      <c r="F1555" s="5">
        <v>20.6</v>
      </c>
      <c r="G1555" s="5">
        <v>21.13</v>
      </c>
      <c r="H1555" s="5">
        <v>21.67</v>
      </c>
      <c r="I1555" s="6">
        <v>2.6064120000000002</v>
      </c>
    </row>
    <row r="1556" spans="1:9" x14ac:dyDescent="0.25">
      <c r="A1556" s="1" t="s">
        <v>103</v>
      </c>
      <c r="B1556" s="5">
        <v>48.7</v>
      </c>
      <c r="C1556" s="5">
        <v>49.93</v>
      </c>
      <c r="D1556" s="5">
        <v>51.2</v>
      </c>
      <c r="E1556" s="5">
        <v>52.43</v>
      </c>
      <c r="F1556" s="5">
        <v>53.68</v>
      </c>
      <c r="G1556" s="5">
        <v>54.96</v>
      </c>
      <c r="H1556" s="5">
        <v>56.25</v>
      </c>
      <c r="I1556" s="6">
        <v>2.4312</v>
      </c>
    </row>
    <row r="1557" spans="1:9" x14ac:dyDescent="0.25">
      <c r="A1557" s="1" t="s">
        <v>104</v>
      </c>
      <c r="B1557" s="7" t="s">
        <v>58</v>
      </c>
      <c r="C1557" s="7" t="s">
        <v>58</v>
      </c>
      <c r="D1557" s="7" t="s">
        <v>58</v>
      </c>
      <c r="E1557" s="7" t="s">
        <v>58</v>
      </c>
      <c r="F1557" s="7" t="s">
        <v>58</v>
      </c>
      <c r="G1557" s="7" t="s">
        <v>58</v>
      </c>
      <c r="H1557" s="7" t="s">
        <v>58</v>
      </c>
      <c r="I1557" s="7" t="s">
        <v>58</v>
      </c>
    </row>
    <row r="1558" spans="1:9" x14ac:dyDescent="0.25">
      <c r="A1558" s="1" t="s">
        <v>105</v>
      </c>
      <c r="B1558" s="5">
        <v>9.09</v>
      </c>
      <c r="C1558" s="5">
        <v>9.16</v>
      </c>
      <c r="D1558" s="5">
        <v>9.26</v>
      </c>
      <c r="E1558" s="5">
        <v>9.4</v>
      </c>
      <c r="F1558" s="5">
        <v>9.52</v>
      </c>
      <c r="G1558" s="5">
        <v>9.65</v>
      </c>
      <c r="H1558" s="5">
        <v>9.7799999999999994</v>
      </c>
      <c r="I1558" s="6">
        <v>1.2268749999999999</v>
      </c>
    </row>
    <row r="1559" spans="1:9" x14ac:dyDescent="0.25">
      <c r="A1559" s="1" t="s">
        <v>106</v>
      </c>
      <c r="B1559" s="5">
        <v>11.01</v>
      </c>
      <c r="C1559" s="5">
        <v>11.01</v>
      </c>
      <c r="D1559" s="5">
        <v>11.02</v>
      </c>
      <c r="E1559" s="5">
        <v>11</v>
      </c>
      <c r="F1559" s="5">
        <v>10.98</v>
      </c>
      <c r="G1559" s="5">
        <v>10.96</v>
      </c>
      <c r="H1559" s="5">
        <v>10.94</v>
      </c>
      <c r="I1559" s="6">
        <v>-0.10624599999999999</v>
      </c>
    </row>
    <row r="1560" spans="1:9" ht="30" x14ac:dyDescent="0.25">
      <c r="A1560" s="1" t="s">
        <v>107</v>
      </c>
      <c r="B1560" s="5">
        <v>13.82</v>
      </c>
      <c r="C1560" s="5">
        <v>13.9</v>
      </c>
      <c r="D1560" s="5">
        <v>13.97</v>
      </c>
      <c r="E1560" s="5">
        <v>14.04</v>
      </c>
      <c r="F1560" s="5">
        <v>14.1</v>
      </c>
      <c r="G1560" s="5">
        <v>14.15</v>
      </c>
      <c r="H1560" s="5">
        <v>14.2</v>
      </c>
      <c r="I1560" s="6">
        <v>0.45310899999999998</v>
      </c>
    </row>
    <row r="1561" spans="1:9" x14ac:dyDescent="0.25">
      <c r="A1561" s="1" t="s">
        <v>108</v>
      </c>
      <c r="B1561" s="7" t="s">
        <v>58</v>
      </c>
      <c r="C1561" s="7" t="s">
        <v>58</v>
      </c>
      <c r="D1561" s="7" t="s">
        <v>58</v>
      </c>
      <c r="E1561" s="7" t="s">
        <v>58</v>
      </c>
      <c r="F1561" s="7" t="s">
        <v>58</v>
      </c>
      <c r="G1561" s="7" t="s">
        <v>58</v>
      </c>
      <c r="H1561" s="7" t="s">
        <v>58</v>
      </c>
      <c r="I1561" s="7" t="s">
        <v>58</v>
      </c>
    </row>
    <row r="1562" spans="1:9" ht="30" x14ac:dyDescent="0.25">
      <c r="A1562" s="1" t="s">
        <v>109</v>
      </c>
      <c r="B1562" s="7" t="s">
        <v>58</v>
      </c>
      <c r="C1562" s="7" t="s">
        <v>58</v>
      </c>
      <c r="D1562" s="7" t="s">
        <v>58</v>
      </c>
      <c r="E1562" s="7" t="s">
        <v>58</v>
      </c>
      <c r="F1562" s="7" t="s">
        <v>58</v>
      </c>
      <c r="G1562" s="7" t="s">
        <v>58</v>
      </c>
      <c r="H1562" s="7" t="s">
        <v>58</v>
      </c>
      <c r="I1562" s="7" t="s">
        <v>58</v>
      </c>
    </row>
    <row r="1563" spans="1:9" x14ac:dyDescent="0.25">
      <c r="A1563" s="1" t="s">
        <v>110</v>
      </c>
      <c r="B1563" s="5">
        <v>34.49</v>
      </c>
      <c r="C1563" s="5">
        <v>34.369999999999997</v>
      </c>
      <c r="D1563" s="5">
        <v>34.15</v>
      </c>
      <c r="E1563" s="5">
        <v>33.86</v>
      </c>
      <c r="F1563" s="5">
        <v>33.47</v>
      </c>
      <c r="G1563" s="5">
        <v>33.020000000000003</v>
      </c>
      <c r="H1563" s="5">
        <v>32.520000000000003</v>
      </c>
      <c r="I1563" s="6">
        <v>-0.97544699999999995</v>
      </c>
    </row>
    <row r="1564" spans="1:9" x14ac:dyDescent="0.25">
      <c r="A1564" s="1" t="s">
        <v>111</v>
      </c>
      <c r="B1564" s="7" t="s">
        <v>58</v>
      </c>
      <c r="C1564" s="7" t="s">
        <v>58</v>
      </c>
      <c r="D1564" s="7" t="s">
        <v>58</v>
      </c>
      <c r="E1564" s="7" t="s">
        <v>58</v>
      </c>
      <c r="F1564" s="7" t="s">
        <v>58</v>
      </c>
      <c r="G1564" s="7" t="s">
        <v>58</v>
      </c>
      <c r="H1564" s="7" t="s">
        <v>58</v>
      </c>
      <c r="I1564" s="7" t="s">
        <v>58</v>
      </c>
    </row>
    <row r="1565" spans="1:9" x14ac:dyDescent="0.25">
      <c r="A1565" s="1" t="s">
        <v>112</v>
      </c>
      <c r="B1565" s="5">
        <v>45.49</v>
      </c>
      <c r="C1565" s="5">
        <v>43.87</v>
      </c>
      <c r="D1565" s="5">
        <v>41.14</v>
      </c>
      <c r="E1565" s="5">
        <v>39.01</v>
      </c>
      <c r="F1565" s="5">
        <v>37.51</v>
      </c>
      <c r="G1565" s="5">
        <v>36.47</v>
      </c>
      <c r="H1565" s="5">
        <v>35.76</v>
      </c>
      <c r="I1565" s="6">
        <v>-3.9316650000000002</v>
      </c>
    </row>
    <row r="1566" spans="1:9" x14ac:dyDescent="0.25">
      <c r="A1566" s="1" t="s">
        <v>113</v>
      </c>
      <c r="B1566" s="7" t="s">
        <v>58</v>
      </c>
      <c r="C1566" s="7" t="s">
        <v>58</v>
      </c>
      <c r="D1566" s="7" t="s">
        <v>58</v>
      </c>
      <c r="E1566" s="7" t="s">
        <v>58</v>
      </c>
      <c r="F1566" s="7" t="s">
        <v>58</v>
      </c>
      <c r="G1566" s="7" t="s">
        <v>58</v>
      </c>
      <c r="H1566" s="7" t="s">
        <v>58</v>
      </c>
      <c r="I1566" s="7" t="s">
        <v>58</v>
      </c>
    </row>
    <row r="1567" spans="1:9" x14ac:dyDescent="0.25">
      <c r="A1567" s="1" t="s">
        <v>114</v>
      </c>
      <c r="B1567" s="5">
        <v>8.25</v>
      </c>
      <c r="C1567" s="5">
        <v>8.26</v>
      </c>
      <c r="D1567" s="5">
        <v>8.27</v>
      </c>
      <c r="E1567" s="5">
        <v>8.27</v>
      </c>
      <c r="F1567" s="5">
        <v>8.27</v>
      </c>
      <c r="G1567" s="5">
        <v>8.26</v>
      </c>
      <c r="H1567" s="5">
        <v>8.26</v>
      </c>
      <c r="I1567" s="6">
        <v>2.0192000000000002E-2</v>
      </c>
    </row>
    <row r="1568" spans="1:9" ht="30" x14ac:dyDescent="0.25">
      <c r="A1568" s="1" t="s">
        <v>115</v>
      </c>
      <c r="B1568" s="5">
        <v>31.39</v>
      </c>
      <c r="C1568" s="5">
        <v>31.89</v>
      </c>
      <c r="D1568" s="5">
        <v>32.29</v>
      </c>
      <c r="E1568" s="5">
        <v>32.71</v>
      </c>
      <c r="F1568" s="5">
        <v>33.1</v>
      </c>
      <c r="G1568" s="5">
        <v>33.47</v>
      </c>
      <c r="H1568" s="5">
        <v>33.79</v>
      </c>
      <c r="I1568" s="6">
        <v>1.235495</v>
      </c>
    </row>
    <row r="1569" spans="1:9" x14ac:dyDescent="0.25">
      <c r="A1569" s="1" t="s">
        <v>116</v>
      </c>
      <c r="B1569" s="7" t="s">
        <v>58</v>
      </c>
      <c r="C1569" s="7" t="s">
        <v>58</v>
      </c>
      <c r="D1569" s="7" t="s">
        <v>58</v>
      </c>
      <c r="E1569" s="7" t="s">
        <v>58</v>
      </c>
      <c r="F1569" s="7" t="s">
        <v>58</v>
      </c>
      <c r="G1569" s="7" t="s">
        <v>58</v>
      </c>
      <c r="H1569" s="7" t="s">
        <v>58</v>
      </c>
      <c r="I1569" s="7" t="s">
        <v>58</v>
      </c>
    </row>
    <row r="1570" spans="1:9" x14ac:dyDescent="0.25">
      <c r="A1570" s="1" t="s">
        <v>12</v>
      </c>
      <c r="B1570" s="2"/>
      <c r="C1570" s="2"/>
      <c r="D1570" s="2"/>
      <c r="E1570" s="2"/>
      <c r="F1570" s="2"/>
      <c r="G1570" s="2"/>
      <c r="H1570" s="2"/>
      <c r="I1570" s="2"/>
    </row>
    <row r="1571" spans="1:9" ht="45" x14ac:dyDescent="0.25">
      <c r="A1571" s="1" t="s">
        <v>131</v>
      </c>
      <c r="B1571" s="2"/>
      <c r="C1571" s="2"/>
      <c r="D1571" s="2"/>
      <c r="E1571" s="2"/>
      <c r="F1571" s="2"/>
      <c r="G1571" s="2"/>
      <c r="H1571" s="2"/>
      <c r="I1571" s="2"/>
    </row>
    <row r="1572" spans="1:9" x14ac:dyDescent="0.25">
      <c r="A1572" s="1" t="s">
        <v>14</v>
      </c>
      <c r="B1572" s="7" t="s">
        <v>58</v>
      </c>
      <c r="C1572" s="7" t="s">
        <v>58</v>
      </c>
      <c r="D1572" s="7" t="s">
        <v>58</v>
      </c>
      <c r="E1572" s="7" t="s">
        <v>58</v>
      </c>
      <c r="F1572" s="7" t="s">
        <v>58</v>
      </c>
      <c r="G1572" s="7" t="s">
        <v>58</v>
      </c>
      <c r="H1572" s="7" t="s">
        <v>58</v>
      </c>
      <c r="I1572" s="7" t="s">
        <v>58</v>
      </c>
    </row>
    <row r="1573" spans="1:9" ht="30" x14ac:dyDescent="0.25">
      <c r="A1573" s="1" t="s">
        <v>15</v>
      </c>
      <c r="B1573" s="5">
        <v>5.33</v>
      </c>
      <c r="C1573" s="5">
        <v>4.82</v>
      </c>
      <c r="D1573" s="5">
        <v>4.59</v>
      </c>
      <c r="E1573" s="5">
        <v>4.41</v>
      </c>
      <c r="F1573" s="5">
        <v>4.25</v>
      </c>
      <c r="G1573" s="5">
        <v>4.1100000000000003</v>
      </c>
      <c r="H1573" s="5">
        <v>3.94</v>
      </c>
      <c r="I1573" s="6">
        <v>-4.9114620000000002</v>
      </c>
    </row>
    <row r="1574" spans="1:9" x14ac:dyDescent="0.25">
      <c r="A1574" s="1" t="s">
        <v>16</v>
      </c>
      <c r="B1574" s="5">
        <v>31.09</v>
      </c>
      <c r="C1574" s="5">
        <v>30.03</v>
      </c>
      <c r="D1574" s="5">
        <v>30.95</v>
      </c>
      <c r="E1574" s="5">
        <v>31.43</v>
      </c>
      <c r="F1574" s="5">
        <v>31.08</v>
      </c>
      <c r="G1574" s="5">
        <v>32</v>
      </c>
      <c r="H1574" s="5">
        <v>32.04</v>
      </c>
      <c r="I1574" s="6">
        <v>0.50290900000000005</v>
      </c>
    </row>
    <row r="1575" spans="1:9" x14ac:dyDescent="0.25">
      <c r="A1575" s="1" t="s">
        <v>17</v>
      </c>
      <c r="B1575" s="5">
        <v>31.88</v>
      </c>
      <c r="C1575" s="5">
        <v>32.71</v>
      </c>
      <c r="D1575" s="5">
        <v>33.57</v>
      </c>
      <c r="E1575" s="5">
        <v>34.51</v>
      </c>
      <c r="F1575" s="5">
        <v>35.64</v>
      </c>
      <c r="G1575" s="5">
        <v>36.76</v>
      </c>
      <c r="H1575" s="5">
        <v>38.01</v>
      </c>
      <c r="I1575" s="6">
        <v>2.9745560000000002</v>
      </c>
    </row>
    <row r="1576" spans="1:9" x14ac:dyDescent="0.25">
      <c r="A1576" s="1" t="s">
        <v>18</v>
      </c>
      <c r="B1576" s="7" t="s">
        <v>58</v>
      </c>
      <c r="C1576" s="7" t="s">
        <v>58</v>
      </c>
      <c r="D1576" s="7" t="s">
        <v>58</v>
      </c>
      <c r="E1576" s="7" t="s">
        <v>58</v>
      </c>
      <c r="F1576" s="7" t="s">
        <v>58</v>
      </c>
      <c r="G1576" s="7" t="s">
        <v>58</v>
      </c>
      <c r="H1576" s="7" t="s">
        <v>58</v>
      </c>
      <c r="I1576" s="7" t="s">
        <v>58</v>
      </c>
    </row>
    <row r="1577" spans="1:9" x14ac:dyDescent="0.25">
      <c r="A1577" s="1" t="s">
        <v>19</v>
      </c>
      <c r="B1577" s="7" t="s">
        <v>58</v>
      </c>
      <c r="C1577" s="7" t="s">
        <v>58</v>
      </c>
      <c r="D1577" s="7" t="s">
        <v>58</v>
      </c>
      <c r="E1577" s="7" t="s">
        <v>58</v>
      </c>
      <c r="F1577" s="7" t="s">
        <v>58</v>
      </c>
      <c r="G1577" s="7" t="s">
        <v>58</v>
      </c>
      <c r="H1577" s="7" t="s">
        <v>58</v>
      </c>
      <c r="I1577" s="7" t="s">
        <v>58</v>
      </c>
    </row>
    <row r="1578" spans="1:9" x14ac:dyDescent="0.25">
      <c r="A1578" s="1" t="s">
        <v>20</v>
      </c>
      <c r="B1578" s="7" t="s">
        <v>58</v>
      </c>
      <c r="C1578" s="7" t="s">
        <v>58</v>
      </c>
      <c r="D1578" s="7" t="s">
        <v>58</v>
      </c>
      <c r="E1578" s="7" t="s">
        <v>58</v>
      </c>
      <c r="F1578" s="7" t="s">
        <v>58</v>
      </c>
      <c r="G1578" s="7" t="s">
        <v>58</v>
      </c>
      <c r="H1578" s="7" t="s">
        <v>58</v>
      </c>
      <c r="I1578" s="7" t="s">
        <v>58</v>
      </c>
    </row>
    <row r="1579" spans="1:9" x14ac:dyDescent="0.25">
      <c r="A1579" s="1" t="s">
        <v>21</v>
      </c>
      <c r="B1579" s="5">
        <v>34.71</v>
      </c>
      <c r="C1579" s="5">
        <v>33.31</v>
      </c>
      <c r="D1579" s="5">
        <v>33.04</v>
      </c>
      <c r="E1579" s="5">
        <v>34.799999999999997</v>
      </c>
      <c r="F1579" s="5">
        <v>33.630000000000003</v>
      </c>
      <c r="G1579" s="5">
        <v>29.09</v>
      </c>
      <c r="H1579" s="5">
        <v>25.82</v>
      </c>
      <c r="I1579" s="6">
        <v>-4.811693</v>
      </c>
    </row>
    <row r="1580" spans="1:9" x14ac:dyDescent="0.25">
      <c r="A1580" s="1" t="s">
        <v>22</v>
      </c>
      <c r="B1580" s="7" t="s">
        <v>58</v>
      </c>
      <c r="C1580" s="7" t="s">
        <v>58</v>
      </c>
      <c r="D1580" s="7" t="s">
        <v>58</v>
      </c>
      <c r="E1580" s="7" t="s">
        <v>58</v>
      </c>
      <c r="F1580" s="7" t="s">
        <v>58</v>
      </c>
      <c r="G1580" s="7" t="s">
        <v>58</v>
      </c>
      <c r="H1580" s="7" t="s">
        <v>58</v>
      </c>
      <c r="I1580" s="7" t="s">
        <v>58</v>
      </c>
    </row>
    <row r="1581" spans="1:9" x14ac:dyDescent="0.25">
      <c r="A1581" s="1" t="s">
        <v>23</v>
      </c>
      <c r="B1581" s="5">
        <v>10.58</v>
      </c>
      <c r="C1581" s="5">
        <v>10.7</v>
      </c>
      <c r="D1581" s="5">
        <v>10.89</v>
      </c>
      <c r="E1581" s="5">
        <v>11.24</v>
      </c>
      <c r="F1581" s="5">
        <v>11.41</v>
      </c>
      <c r="G1581" s="5">
        <v>11.35</v>
      </c>
      <c r="H1581" s="5">
        <v>11.3</v>
      </c>
      <c r="I1581" s="6">
        <v>1.1033310000000001</v>
      </c>
    </row>
    <row r="1582" spans="1:9" x14ac:dyDescent="0.25">
      <c r="A1582" s="1" t="s">
        <v>24</v>
      </c>
      <c r="B1582" s="7" t="s">
        <v>58</v>
      </c>
      <c r="C1582" s="7" t="s">
        <v>58</v>
      </c>
      <c r="D1582" s="7" t="s">
        <v>58</v>
      </c>
      <c r="E1582" s="7" t="s">
        <v>58</v>
      </c>
      <c r="F1582" s="7" t="s">
        <v>58</v>
      </c>
      <c r="G1582" s="7" t="s">
        <v>58</v>
      </c>
      <c r="H1582" s="7" t="s">
        <v>58</v>
      </c>
      <c r="I1582" s="7" t="s">
        <v>58</v>
      </c>
    </row>
    <row r="1583" spans="1:9" x14ac:dyDescent="0.25">
      <c r="A1583" s="1" t="s">
        <v>25</v>
      </c>
      <c r="B1583" s="5">
        <v>9.65</v>
      </c>
      <c r="C1583" s="5">
        <v>9.5299999999999994</v>
      </c>
      <c r="D1583" s="5">
        <v>9.36</v>
      </c>
      <c r="E1583" s="5">
        <v>9.19</v>
      </c>
      <c r="F1583" s="5">
        <v>9.0299999999999994</v>
      </c>
      <c r="G1583" s="5">
        <v>8.89</v>
      </c>
      <c r="H1583" s="5">
        <v>8.74</v>
      </c>
      <c r="I1583" s="6">
        <v>-1.6372439999999999</v>
      </c>
    </row>
    <row r="1584" spans="1:9" x14ac:dyDescent="0.25">
      <c r="A1584" s="1" t="s">
        <v>26</v>
      </c>
      <c r="B1584" s="7" t="s">
        <v>58</v>
      </c>
      <c r="C1584" s="7" t="s">
        <v>58</v>
      </c>
      <c r="D1584" s="7" t="s">
        <v>58</v>
      </c>
      <c r="E1584" s="7" t="s">
        <v>58</v>
      </c>
      <c r="F1584" s="7" t="s">
        <v>58</v>
      </c>
      <c r="G1584" s="7" t="s">
        <v>58</v>
      </c>
      <c r="H1584" s="7" t="s">
        <v>58</v>
      </c>
      <c r="I1584" s="7" t="s">
        <v>58</v>
      </c>
    </row>
    <row r="1585" spans="1:9" x14ac:dyDescent="0.25">
      <c r="A1585" s="1" t="s">
        <v>27</v>
      </c>
      <c r="B1585" s="7" t="s">
        <v>58</v>
      </c>
      <c r="C1585" s="7" t="s">
        <v>58</v>
      </c>
      <c r="D1585" s="7" t="s">
        <v>58</v>
      </c>
      <c r="E1585" s="7" t="s">
        <v>58</v>
      </c>
      <c r="F1585" s="7" t="s">
        <v>58</v>
      </c>
      <c r="G1585" s="7" t="s">
        <v>58</v>
      </c>
      <c r="H1585" s="7" t="s">
        <v>58</v>
      </c>
      <c r="I1585" s="7" t="s">
        <v>58</v>
      </c>
    </row>
    <row r="1586" spans="1:9" x14ac:dyDescent="0.25">
      <c r="A1586" s="1" t="s">
        <v>28</v>
      </c>
      <c r="B1586" s="5">
        <v>4.41</v>
      </c>
      <c r="C1586" s="5">
        <v>4.4000000000000004</v>
      </c>
      <c r="D1586" s="5">
        <v>4.4800000000000004</v>
      </c>
      <c r="E1586" s="5">
        <v>4.45</v>
      </c>
      <c r="F1586" s="5">
        <v>4.4000000000000004</v>
      </c>
      <c r="G1586" s="5">
        <v>4.3499999999999996</v>
      </c>
      <c r="H1586" s="5">
        <v>4.3</v>
      </c>
      <c r="I1586" s="6">
        <v>-0.42010999999999998</v>
      </c>
    </row>
    <row r="1587" spans="1:9" x14ac:dyDescent="0.25">
      <c r="A1587" s="1" t="s">
        <v>29</v>
      </c>
      <c r="B1587" s="5">
        <v>11.41</v>
      </c>
      <c r="C1587" s="5">
        <v>10.93</v>
      </c>
      <c r="D1587" s="5">
        <v>10.83</v>
      </c>
      <c r="E1587" s="5">
        <v>10.66</v>
      </c>
      <c r="F1587" s="5">
        <v>10.210000000000001</v>
      </c>
      <c r="G1587" s="5">
        <v>10.16</v>
      </c>
      <c r="H1587" s="5">
        <v>10.06</v>
      </c>
      <c r="I1587" s="6">
        <v>-2.0768469999999999</v>
      </c>
    </row>
    <row r="1588" spans="1:9" x14ac:dyDescent="0.25">
      <c r="A1588" s="1" t="s">
        <v>30</v>
      </c>
      <c r="B1588" s="7" t="s">
        <v>58</v>
      </c>
      <c r="C1588" s="7" t="s">
        <v>58</v>
      </c>
      <c r="D1588" s="7" t="s">
        <v>58</v>
      </c>
      <c r="E1588" s="7" t="s">
        <v>58</v>
      </c>
      <c r="F1588" s="7" t="s">
        <v>58</v>
      </c>
      <c r="G1588" s="7" t="s">
        <v>58</v>
      </c>
      <c r="H1588" s="7" t="s">
        <v>58</v>
      </c>
      <c r="I1588" s="7" t="s">
        <v>58</v>
      </c>
    </row>
    <row r="1589" spans="1:9" x14ac:dyDescent="0.25">
      <c r="A1589" s="1" t="s">
        <v>31</v>
      </c>
      <c r="B1589" s="7" t="s">
        <v>58</v>
      </c>
      <c r="C1589" s="7" t="s">
        <v>58</v>
      </c>
      <c r="D1589" s="7" t="s">
        <v>58</v>
      </c>
      <c r="E1589" s="7" t="s">
        <v>58</v>
      </c>
      <c r="F1589" s="7" t="s">
        <v>58</v>
      </c>
      <c r="G1589" s="7" t="s">
        <v>58</v>
      </c>
      <c r="H1589" s="7" t="s">
        <v>58</v>
      </c>
      <c r="I1589" s="7" t="s">
        <v>58</v>
      </c>
    </row>
    <row r="1590" spans="1:9" x14ac:dyDescent="0.25">
      <c r="A1590" s="1" t="s">
        <v>32</v>
      </c>
      <c r="B1590" s="7" t="s">
        <v>58</v>
      </c>
      <c r="C1590" s="7" t="s">
        <v>58</v>
      </c>
      <c r="D1590" s="7" t="s">
        <v>58</v>
      </c>
      <c r="E1590" s="7" t="s">
        <v>58</v>
      </c>
      <c r="F1590" s="7" t="s">
        <v>58</v>
      </c>
      <c r="G1590" s="7" t="s">
        <v>58</v>
      </c>
      <c r="H1590" s="7" t="s">
        <v>58</v>
      </c>
      <c r="I1590" s="7" t="s">
        <v>58</v>
      </c>
    </row>
    <row r="1591" spans="1:9" x14ac:dyDescent="0.25">
      <c r="A1591" s="1" t="s">
        <v>33</v>
      </c>
      <c r="B1591" s="5">
        <v>23.93</v>
      </c>
      <c r="C1591" s="5">
        <v>22.78</v>
      </c>
      <c r="D1591" s="5">
        <v>21.75</v>
      </c>
      <c r="E1591" s="5">
        <v>20.84</v>
      </c>
      <c r="F1591" s="5">
        <v>20.010000000000002</v>
      </c>
      <c r="G1591" s="5">
        <v>19.260000000000002</v>
      </c>
      <c r="H1591" s="5">
        <v>18.54</v>
      </c>
      <c r="I1591" s="6">
        <v>-4.1641849999999998</v>
      </c>
    </row>
    <row r="1592" spans="1:9" ht="30" x14ac:dyDescent="0.25">
      <c r="A1592" s="1" t="s">
        <v>34</v>
      </c>
      <c r="B1592" s="5">
        <v>15.69</v>
      </c>
      <c r="C1592" s="5">
        <v>14.66</v>
      </c>
      <c r="D1592" s="5">
        <v>14.02</v>
      </c>
      <c r="E1592" s="5">
        <v>13.56</v>
      </c>
      <c r="F1592" s="5">
        <v>13.1</v>
      </c>
      <c r="G1592" s="5">
        <v>12.66</v>
      </c>
      <c r="H1592" s="5">
        <v>12.24</v>
      </c>
      <c r="I1592" s="6">
        <v>-4.0541020000000003</v>
      </c>
    </row>
    <row r="1593" spans="1:9" ht="30" x14ac:dyDescent="0.25">
      <c r="A1593" s="1" t="s">
        <v>35</v>
      </c>
      <c r="B1593" s="7" t="s">
        <v>58</v>
      </c>
      <c r="C1593" s="7" t="s">
        <v>58</v>
      </c>
      <c r="D1593" s="7" t="s">
        <v>58</v>
      </c>
      <c r="E1593" s="7" t="s">
        <v>58</v>
      </c>
      <c r="F1593" s="7" t="s">
        <v>58</v>
      </c>
      <c r="G1593" s="7" t="s">
        <v>58</v>
      </c>
      <c r="H1593" s="7" t="s">
        <v>58</v>
      </c>
      <c r="I1593" s="7" t="s">
        <v>58</v>
      </c>
    </row>
    <row r="1594" spans="1:9" x14ac:dyDescent="0.25">
      <c r="A1594" s="1" t="s">
        <v>36</v>
      </c>
      <c r="B1594" s="7" t="s">
        <v>58</v>
      </c>
      <c r="C1594" s="7" t="s">
        <v>58</v>
      </c>
      <c r="D1594" s="7" t="s">
        <v>58</v>
      </c>
      <c r="E1594" s="7" t="s">
        <v>58</v>
      </c>
      <c r="F1594" s="7" t="s">
        <v>58</v>
      </c>
      <c r="G1594" s="7" t="s">
        <v>58</v>
      </c>
      <c r="H1594" s="7" t="s">
        <v>58</v>
      </c>
      <c r="I1594" s="7" t="s">
        <v>58</v>
      </c>
    </row>
    <row r="1595" spans="1:9" x14ac:dyDescent="0.25">
      <c r="A1595" s="1" t="s">
        <v>37</v>
      </c>
      <c r="B1595" s="7" t="s">
        <v>58</v>
      </c>
      <c r="C1595" s="7" t="s">
        <v>58</v>
      </c>
      <c r="D1595" s="7" t="s">
        <v>58</v>
      </c>
      <c r="E1595" s="7" t="s">
        <v>58</v>
      </c>
      <c r="F1595" s="7" t="s">
        <v>58</v>
      </c>
      <c r="G1595" s="7" t="s">
        <v>58</v>
      </c>
      <c r="H1595" s="7" t="s">
        <v>58</v>
      </c>
      <c r="I1595" s="7" t="s">
        <v>58</v>
      </c>
    </row>
    <row r="1596" spans="1:9" x14ac:dyDescent="0.25">
      <c r="A1596" s="1" t="s">
        <v>38</v>
      </c>
      <c r="B1596" s="7" t="s">
        <v>58</v>
      </c>
      <c r="C1596" s="7" t="s">
        <v>58</v>
      </c>
      <c r="D1596" s="7" t="s">
        <v>58</v>
      </c>
      <c r="E1596" s="7" t="s">
        <v>58</v>
      </c>
      <c r="F1596" s="7" t="s">
        <v>58</v>
      </c>
      <c r="G1596" s="7" t="s">
        <v>58</v>
      </c>
      <c r="H1596" s="7" t="s">
        <v>58</v>
      </c>
      <c r="I1596" s="7" t="s">
        <v>58</v>
      </c>
    </row>
    <row r="1597" spans="1:9" x14ac:dyDescent="0.25">
      <c r="A1597" s="1" t="s">
        <v>39</v>
      </c>
      <c r="B1597" s="7" t="s">
        <v>58</v>
      </c>
      <c r="C1597" s="7" t="s">
        <v>58</v>
      </c>
      <c r="D1597" s="7" t="s">
        <v>58</v>
      </c>
      <c r="E1597" s="7" t="s">
        <v>58</v>
      </c>
      <c r="F1597" s="7" t="s">
        <v>58</v>
      </c>
      <c r="G1597" s="7" t="s">
        <v>58</v>
      </c>
      <c r="H1597" s="7" t="s">
        <v>58</v>
      </c>
      <c r="I1597" s="7" t="s">
        <v>58</v>
      </c>
    </row>
    <row r="1598" spans="1:9" x14ac:dyDescent="0.25">
      <c r="A1598" s="1" t="s">
        <v>40</v>
      </c>
      <c r="B1598" s="5">
        <v>17.7</v>
      </c>
      <c r="C1598" s="5">
        <v>14.89</v>
      </c>
      <c r="D1598" s="5">
        <v>13.1</v>
      </c>
      <c r="E1598" s="5">
        <v>8.98</v>
      </c>
      <c r="F1598" s="5">
        <v>0</v>
      </c>
      <c r="G1598" s="7" t="s">
        <v>58</v>
      </c>
      <c r="H1598" s="7" t="s">
        <v>58</v>
      </c>
      <c r="I1598" s="7" t="s">
        <v>58</v>
      </c>
    </row>
    <row r="1599" spans="1:9" x14ac:dyDescent="0.25">
      <c r="A1599" s="1" t="s">
        <v>41</v>
      </c>
      <c r="B1599" s="5">
        <v>16.690000000000001</v>
      </c>
      <c r="C1599" s="5">
        <v>16.09</v>
      </c>
      <c r="D1599" s="5">
        <v>15.24</v>
      </c>
      <c r="E1599" s="5">
        <v>12.9</v>
      </c>
      <c r="F1599" s="5">
        <v>15.85</v>
      </c>
      <c r="G1599" s="5">
        <v>15.1</v>
      </c>
      <c r="H1599" s="5">
        <v>6.55</v>
      </c>
      <c r="I1599" s="6">
        <v>-14.434735999999999</v>
      </c>
    </row>
    <row r="1600" spans="1:9" x14ac:dyDescent="0.25">
      <c r="A1600" s="1" t="s">
        <v>42</v>
      </c>
      <c r="B1600" s="5">
        <v>28.63</v>
      </c>
      <c r="C1600" s="5">
        <v>29.37</v>
      </c>
      <c r="D1600" s="5">
        <v>29.98</v>
      </c>
      <c r="E1600" s="5">
        <v>30.5</v>
      </c>
      <c r="F1600" s="5">
        <v>31.04</v>
      </c>
      <c r="G1600" s="5">
        <v>31.5</v>
      </c>
      <c r="H1600" s="5">
        <v>31.94</v>
      </c>
      <c r="I1600" s="6">
        <v>1.8401259999999999</v>
      </c>
    </row>
    <row r="1601" spans="1:9" x14ac:dyDescent="0.25">
      <c r="A1601" s="1" t="s">
        <v>43</v>
      </c>
      <c r="B1601" s="5">
        <v>25.88</v>
      </c>
      <c r="C1601" s="5">
        <v>25.92</v>
      </c>
      <c r="D1601" s="5">
        <v>25.91</v>
      </c>
      <c r="E1601" s="5">
        <v>25.93</v>
      </c>
      <c r="F1601" s="5">
        <v>25.94</v>
      </c>
      <c r="G1601" s="5">
        <v>25.95</v>
      </c>
      <c r="H1601" s="5">
        <v>25.96</v>
      </c>
      <c r="I1601" s="6">
        <v>5.1454E-2</v>
      </c>
    </row>
    <row r="1602" spans="1:9" x14ac:dyDescent="0.25">
      <c r="A1602" s="1" t="s">
        <v>44</v>
      </c>
      <c r="B1602" s="7" t="s">
        <v>58</v>
      </c>
      <c r="C1602" s="7" t="s">
        <v>58</v>
      </c>
      <c r="D1602" s="7" t="s">
        <v>58</v>
      </c>
      <c r="E1602" s="7" t="s">
        <v>58</v>
      </c>
      <c r="F1602" s="7" t="s">
        <v>58</v>
      </c>
      <c r="G1602" s="7" t="s">
        <v>58</v>
      </c>
      <c r="H1602" s="7" t="s">
        <v>58</v>
      </c>
      <c r="I1602" s="7" t="s">
        <v>58</v>
      </c>
    </row>
    <row r="1603" spans="1:9" x14ac:dyDescent="0.25">
      <c r="A1603" s="1" t="s">
        <v>45</v>
      </c>
      <c r="B1603" s="7" t="s">
        <v>58</v>
      </c>
      <c r="C1603" s="7" t="s">
        <v>58</v>
      </c>
      <c r="D1603" s="7" t="s">
        <v>58</v>
      </c>
      <c r="E1603" s="7" t="s">
        <v>58</v>
      </c>
      <c r="F1603" s="7" t="s">
        <v>58</v>
      </c>
      <c r="G1603" s="7" t="s">
        <v>58</v>
      </c>
      <c r="H1603" s="7" t="s">
        <v>58</v>
      </c>
      <c r="I1603" s="7" t="s">
        <v>58</v>
      </c>
    </row>
    <row r="1604" spans="1:9" x14ac:dyDescent="0.25">
      <c r="A1604" s="1" t="s">
        <v>46</v>
      </c>
      <c r="B1604" s="5">
        <v>13.67</v>
      </c>
      <c r="C1604" s="5">
        <v>13.27</v>
      </c>
      <c r="D1604" s="5">
        <v>13.32</v>
      </c>
      <c r="E1604" s="5">
        <v>13.2</v>
      </c>
      <c r="F1604" s="5">
        <v>13.19</v>
      </c>
      <c r="G1604" s="5">
        <v>13.23</v>
      </c>
      <c r="H1604" s="5">
        <v>13.2</v>
      </c>
      <c r="I1604" s="6">
        <v>-0.58141699999999996</v>
      </c>
    </row>
    <row r="1605" spans="1:9" x14ac:dyDescent="0.25">
      <c r="A1605" s="1" t="s">
        <v>47</v>
      </c>
      <c r="B1605" s="7" t="s">
        <v>58</v>
      </c>
      <c r="C1605" s="7" t="s">
        <v>58</v>
      </c>
      <c r="D1605" s="7" t="s">
        <v>58</v>
      </c>
      <c r="E1605" s="7" t="s">
        <v>58</v>
      </c>
      <c r="F1605" s="7" t="s">
        <v>58</v>
      </c>
      <c r="G1605" s="7" t="s">
        <v>58</v>
      </c>
      <c r="H1605" s="7" t="s">
        <v>58</v>
      </c>
      <c r="I1605" s="7" t="s">
        <v>58</v>
      </c>
    </row>
    <row r="1606" spans="1:9" x14ac:dyDescent="0.25">
      <c r="A1606" s="1" t="s">
        <v>48</v>
      </c>
      <c r="B1606" s="5">
        <v>3.12</v>
      </c>
      <c r="C1606" s="5">
        <v>3.38</v>
      </c>
      <c r="D1606" s="5">
        <v>3.62</v>
      </c>
      <c r="E1606" s="5">
        <v>3.76</v>
      </c>
      <c r="F1606" s="5">
        <v>3.92</v>
      </c>
      <c r="G1606" s="5">
        <v>4.0999999999999996</v>
      </c>
      <c r="H1606" s="5">
        <v>4.25</v>
      </c>
      <c r="I1606" s="6">
        <v>5.2864269999999998</v>
      </c>
    </row>
    <row r="1607" spans="1:9" x14ac:dyDescent="0.25">
      <c r="A1607" s="1" t="s">
        <v>49</v>
      </c>
      <c r="B1607" s="5">
        <v>7.34</v>
      </c>
      <c r="C1607" s="5">
        <v>7.48</v>
      </c>
      <c r="D1607" s="5">
        <v>7.61</v>
      </c>
      <c r="E1607" s="5">
        <v>7.56</v>
      </c>
      <c r="F1607" s="5">
        <v>7.62</v>
      </c>
      <c r="G1607" s="5">
        <v>7.74</v>
      </c>
      <c r="H1607" s="5">
        <v>7.73</v>
      </c>
      <c r="I1607" s="6">
        <v>0.86656699999999998</v>
      </c>
    </row>
    <row r="1608" spans="1:9" x14ac:dyDescent="0.25">
      <c r="A1608" s="1" t="s">
        <v>50</v>
      </c>
      <c r="B1608" s="7" t="s">
        <v>58</v>
      </c>
      <c r="C1608" s="7" t="s">
        <v>58</v>
      </c>
      <c r="D1608" s="7" t="s">
        <v>58</v>
      </c>
      <c r="E1608" s="7" t="s">
        <v>58</v>
      </c>
      <c r="F1608" s="7" t="s">
        <v>58</v>
      </c>
      <c r="G1608" s="7" t="s">
        <v>58</v>
      </c>
      <c r="H1608" s="7" t="s">
        <v>58</v>
      </c>
      <c r="I1608" s="7" t="s">
        <v>58</v>
      </c>
    </row>
    <row r="1609" spans="1:9" x14ac:dyDescent="0.25">
      <c r="A1609" s="1" t="s">
        <v>51</v>
      </c>
      <c r="B1609" s="5">
        <v>38.67</v>
      </c>
      <c r="C1609" s="5">
        <v>40.36</v>
      </c>
      <c r="D1609" s="5">
        <v>40.729999999999997</v>
      </c>
      <c r="E1609" s="5">
        <v>41.13</v>
      </c>
      <c r="F1609" s="5">
        <v>41.56</v>
      </c>
      <c r="G1609" s="5">
        <v>42</v>
      </c>
      <c r="H1609" s="5">
        <v>42.45</v>
      </c>
      <c r="I1609" s="6">
        <v>1.5665230000000001</v>
      </c>
    </row>
    <row r="1610" spans="1:9" x14ac:dyDescent="0.25">
      <c r="A1610" s="1" t="s">
        <v>52</v>
      </c>
      <c r="B1610" s="7" t="s">
        <v>58</v>
      </c>
      <c r="C1610" s="7" t="s">
        <v>58</v>
      </c>
      <c r="D1610" s="7" t="s">
        <v>58</v>
      </c>
      <c r="E1610" s="7" t="s">
        <v>58</v>
      </c>
      <c r="F1610" s="7" t="s">
        <v>58</v>
      </c>
      <c r="G1610" s="7" t="s">
        <v>58</v>
      </c>
      <c r="H1610" s="7" t="s">
        <v>58</v>
      </c>
      <c r="I1610" s="7" t="s">
        <v>58</v>
      </c>
    </row>
    <row r="1611" spans="1:9" x14ac:dyDescent="0.25">
      <c r="A1611" s="1" t="s">
        <v>53</v>
      </c>
      <c r="B1611" s="5">
        <v>26.21</v>
      </c>
      <c r="C1611" s="5">
        <v>26.54</v>
      </c>
      <c r="D1611" s="5">
        <v>26.75</v>
      </c>
      <c r="E1611" s="5">
        <v>26.97</v>
      </c>
      <c r="F1611" s="5">
        <v>27.19</v>
      </c>
      <c r="G1611" s="5">
        <v>27.4</v>
      </c>
      <c r="H1611" s="5">
        <v>27.6</v>
      </c>
      <c r="I1611" s="6">
        <v>0.86496499999999998</v>
      </c>
    </row>
    <row r="1612" spans="1:9" x14ac:dyDescent="0.25">
      <c r="A1612" s="1" t="s">
        <v>54</v>
      </c>
      <c r="B1612" s="7" t="s">
        <v>58</v>
      </c>
      <c r="C1612" s="7" t="s">
        <v>58</v>
      </c>
      <c r="D1612" s="7" t="s">
        <v>58</v>
      </c>
      <c r="E1612" s="7" t="s">
        <v>58</v>
      </c>
      <c r="F1612" s="7" t="s">
        <v>58</v>
      </c>
      <c r="G1612" s="7" t="s">
        <v>58</v>
      </c>
      <c r="H1612" s="7" t="s">
        <v>58</v>
      </c>
      <c r="I1612" s="7" t="s">
        <v>58</v>
      </c>
    </row>
    <row r="1613" spans="1:9" x14ac:dyDescent="0.25">
      <c r="A1613" s="1" t="s">
        <v>55</v>
      </c>
      <c r="B1613" s="5">
        <v>15.99</v>
      </c>
      <c r="C1613" s="5">
        <v>15.99</v>
      </c>
      <c r="D1613" s="5">
        <v>16.03</v>
      </c>
      <c r="E1613" s="5">
        <v>16.420000000000002</v>
      </c>
      <c r="F1613" s="5">
        <v>16.54</v>
      </c>
      <c r="G1613" s="5">
        <v>16.68</v>
      </c>
      <c r="H1613" s="5">
        <v>16.78</v>
      </c>
      <c r="I1613" s="6">
        <v>0.806975</v>
      </c>
    </row>
    <row r="1614" spans="1:9" x14ac:dyDescent="0.25">
      <c r="A1614" s="1" t="s">
        <v>56</v>
      </c>
      <c r="B1614" s="7" t="s">
        <v>58</v>
      </c>
      <c r="C1614" s="7" t="s">
        <v>58</v>
      </c>
      <c r="D1614" s="7" t="s">
        <v>58</v>
      </c>
      <c r="E1614" s="7" t="s">
        <v>58</v>
      </c>
      <c r="F1614" s="7" t="s">
        <v>58</v>
      </c>
      <c r="G1614" s="7" t="s">
        <v>58</v>
      </c>
      <c r="H1614" s="7" t="s">
        <v>58</v>
      </c>
      <c r="I1614" s="7" t="s">
        <v>58</v>
      </c>
    </row>
    <row r="1615" spans="1:9" x14ac:dyDescent="0.25">
      <c r="A1615" s="1" t="s">
        <v>57</v>
      </c>
      <c r="B1615" s="7" t="s">
        <v>58</v>
      </c>
      <c r="C1615" s="7" t="s">
        <v>58</v>
      </c>
      <c r="D1615" s="7" t="s">
        <v>58</v>
      </c>
      <c r="E1615" s="7" t="s">
        <v>58</v>
      </c>
      <c r="F1615" s="7" t="s">
        <v>58</v>
      </c>
      <c r="G1615" s="7" t="s">
        <v>58</v>
      </c>
      <c r="H1615" s="7" t="s">
        <v>58</v>
      </c>
      <c r="I1615" s="7" t="s">
        <v>58</v>
      </c>
    </row>
    <row r="1616" spans="1:9" x14ac:dyDescent="0.25">
      <c r="A1616" s="1" t="s">
        <v>59</v>
      </c>
      <c r="B1616" s="7" t="s">
        <v>58</v>
      </c>
      <c r="C1616" s="7" t="s">
        <v>58</v>
      </c>
      <c r="D1616" s="7" t="s">
        <v>58</v>
      </c>
      <c r="E1616" s="7" t="s">
        <v>58</v>
      </c>
      <c r="F1616" s="7" t="s">
        <v>58</v>
      </c>
      <c r="G1616" s="7" t="s">
        <v>58</v>
      </c>
      <c r="H1616" s="7" t="s">
        <v>58</v>
      </c>
      <c r="I1616" s="7" t="s">
        <v>58</v>
      </c>
    </row>
    <row r="1617" spans="1:9" x14ac:dyDescent="0.25">
      <c r="A1617" s="1" t="s">
        <v>60</v>
      </c>
      <c r="B1617" s="5">
        <v>13.48</v>
      </c>
      <c r="C1617" s="5">
        <v>13.53</v>
      </c>
      <c r="D1617" s="5">
        <v>13.62</v>
      </c>
      <c r="E1617" s="5">
        <v>13.74</v>
      </c>
      <c r="F1617" s="5">
        <v>13.85</v>
      </c>
      <c r="G1617" s="5">
        <v>13.98</v>
      </c>
      <c r="H1617" s="5">
        <v>14.08</v>
      </c>
      <c r="I1617" s="6">
        <v>0.72844399999999998</v>
      </c>
    </row>
    <row r="1618" spans="1:9" ht="45" x14ac:dyDescent="0.25">
      <c r="A1618" s="1" t="s">
        <v>61</v>
      </c>
      <c r="B1618" s="7" t="s">
        <v>58</v>
      </c>
      <c r="C1618" s="7" t="s">
        <v>58</v>
      </c>
      <c r="D1618" s="7" t="s">
        <v>58</v>
      </c>
      <c r="E1618" s="7" t="s">
        <v>58</v>
      </c>
      <c r="F1618" s="7" t="s">
        <v>58</v>
      </c>
      <c r="G1618" s="7" t="s">
        <v>58</v>
      </c>
      <c r="H1618" s="7" t="s">
        <v>58</v>
      </c>
      <c r="I1618" s="7" t="s">
        <v>58</v>
      </c>
    </row>
    <row r="1619" spans="1:9" x14ac:dyDescent="0.25">
      <c r="A1619" s="1" t="s">
        <v>62</v>
      </c>
      <c r="B1619" s="7" t="s">
        <v>58</v>
      </c>
      <c r="C1619" s="7" t="s">
        <v>58</v>
      </c>
      <c r="D1619" s="7" t="s">
        <v>58</v>
      </c>
      <c r="E1619" s="7" t="s">
        <v>58</v>
      </c>
      <c r="F1619" s="7" t="s">
        <v>58</v>
      </c>
      <c r="G1619" s="7" t="s">
        <v>58</v>
      </c>
      <c r="H1619" s="7" t="s">
        <v>58</v>
      </c>
      <c r="I1619" s="7" t="s">
        <v>58</v>
      </c>
    </row>
    <row r="1620" spans="1:9" x14ac:dyDescent="0.25">
      <c r="A1620" s="1" t="s">
        <v>63</v>
      </c>
      <c r="B1620" s="7" t="s">
        <v>58</v>
      </c>
      <c r="C1620" s="7" t="s">
        <v>58</v>
      </c>
      <c r="D1620" s="7" t="s">
        <v>58</v>
      </c>
      <c r="E1620" s="7" t="s">
        <v>58</v>
      </c>
      <c r="F1620" s="7" t="s">
        <v>58</v>
      </c>
      <c r="G1620" s="7" t="s">
        <v>58</v>
      </c>
      <c r="H1620" s="7" t="s">
        <v>58</v>
      </c>
      <c r="I1620" s="7" t="s">
        <v>58</v>
      </c>
    </row>
    <row r="1621" spans="1:9" x14ac:dyDescent="0.25">
      <c r="A1621" s="1" t="s">
        <v>64</v>
      </c>
      <c r="B1621" s="7" t="s">
        <v>58</v>
      </c>
      <c r="C1621" s="7" t="s">
        <v>58</v>
      </c>
      <c r="D1621" s="7" t="s">
        <v>58</v>
      </c>
      <c r="E1621" s="7" t="s">
        <v>58</v>
      </c>
      <c r="F1621" s="7" t="s">
        <v>58</v>
      </c>
      <c r="G1621" s="7" t="s">
        <v>58</v>
      </c>
      <c r="H1621" s="7" t="s">
        <v>58</v>
      </c>
      <c r="I1621" s="7" t="s">
        <v>58</v>
      </c>
    </row>
    <row r="1622" spans="1:9" x14ac:dyDescent="0.25">
      <c r="A1622" s="1" t="s">
        <v>65</v>
      </c>
      <c r="B1622" s="5">
        <v>21.31</v>
      </c>
      <c r="C1622" s="5">
        <v>22.96</v>
      </c>
      <c r="D1622" s="5">
        <v>0</v>
      </c>
      <c r="E1622" s="7" t="s">
        <v>58</v>
      </c>
      <c r="F1622" s="7" t="s">
        <v>58</v>
      </c>
      <c r="G1622" s="7" t="s">
        <v>58</v>
      </c>
      <c r="H1622" s="7" t="s">
        <v>58</v>
      </c>
      <c r="I1622" s="7" t="s">
        <v>58</v>
      </c>
    </row>
    <row r="1623" spans="1:9" x14ac:dyDescent="0.25">
      <c r="A1623" s="1" t="s">
        <v>66</v>
      </c>
      <c r="B1623" s="5">
        <v>19.989999999999998</v>
      </c>
      <c r="C1623" s="5">
        <v>19.670000000000002</v>
      </c>
      <c r="D1623" s="5">
        <v>19.309999999999999</v>
      </c>
      <c r="E1623" s="5">
        <v>18.940000000000001</v>
      </c>
      <c r="F1623" s="5">
        <v>18.57</v>
      </c>
      <c r="G1623" s="5">
        <v>18.2</v>
      </c>
      <c r="H1623" s="5">
        <v>17.84</v>
      </c>
      <c r="I1623" s="6">
        <v>-1.878614</v>
      </c>
    </row>
    <row r="1624" spans="1:9" ht="30" x14ac:dyDescent="0.25">
      <c r="A1624" s="1" t="s">
        <v>67</v>
      </c>
      <c r="B1624" s="7" t="s">
        <v>58</v>
      </c>
      <c r="C1624" s="7" t="s">
        <v>58</v>
      </c>
      <c r="D1624" s="7" t="s">
        <v>58</v>
      </c>
      <c r="E1624" s="7" t="s">
        <v>58</v>
      </c>
      <c r="F1624" s="7" t="s">
        <v>58</v>
      </c>
      <c r="G1624" s="7" t="s">
        <v>58</v>
      </c>
      <c r="H1624" s="7" t="s">
        <v>58</v>
      </c>
      <c r="I1624" s="7" t="s">
        <v>58</v>
      </c>
    </row>
    <row r="1625" spans="1:9" x14ac:dyDescent="0.25">
      <c r="A1625" s="1" t="s">
        <v>68</v>
      </c>
      <c r="B1625" s="7" t="s">
        <v>58</v>
      </c>
      <c r="C1625" s="7" t="s">
        <v>58</v>
      </c>
      <c r="D1625" s="7" t="s">
        <v>58</v>
      </c>
      <c r="E1625" s="7" t="s">
        <v>58</v>
      </c>
      <c r="F1625" s="7" t="s">
        <v>58</v>
      </c>
      <c r="G1625" s="7" t="s">
        <v>58</v>
      </c>
      <c r="H1625" s="7" t="s">
        <v>58</v>
      </c>
      <c r="I1625" s="7" t="s">
        <v>58</v>
      </c>
    </row>
    <row r="1626" spans="1:9" x14ac:dyDescent="0.25">
      <c r="A1626" s="1" t="s">
        <v>69</v>
      </c>
      <c r="B1626" s="5">
        <v>4.93</v>
      </c>
      <c r="C1626" s="5">
        <v>4.88</v>
      </c>
      <c r="D1626" s="5">
        <v>5.09</v>
      </c>
      <c r="E1626" s="5">
        <v>5.29</v>
      </c>
      <c r="F1626" s="5">
        <v>5.44</v>
      </c>
      <c r="G1626" s="5">
        <v>5.5</v>
      </c>
      <c r="H1626" s="5">
        <v>5.41</v>
      </c>
      <c r="I1626" s="6">
        <v>1.5605530000000001</v>
      </c>
    </row>
    <row r="1627" spans="1:9" x14ac:dyDescent="0.25">
      <c r="A1627" s="1" t="s">
        <v>70</v>
      </c>
      <c r="B1627" s="5">
        <v>27.77</v>
      </c>
      <c r="C1627" s="5">
        <v>27.46</v>
      </c>
      <c r="D1627" s="5">
        <v>27.31</v>
      </c>
      <c r="E1627" s="5">
        <v>27.37</v>
      </c>
      <c r="F1627" s="5">
        <v>27.49</v>
      </c>
      <c r="G1627" s="5">
        <v>28.74</v>
      </c>
      <c r="H1627" s="5">
        <v>29.53</v>
      </c>
      <c r="I1627" s="6">
        <v>1.029436</v>
      </c>
    </row>
    <row r="1628" spans="1:9" x14ac:dyDescent="0.25">
      <c r="A1628" s="1" t="s">
        <v>71</v>
      </c>
      <c r="B1628" s="5">
        <v>57.21</v>
      </c>
      <c r="C1628" s="5">
        <v>55.29</v>
      </c>
      <c r="D1628" s="5">
        <v>57.55</v>
      </c>
      <c r="E1628" s="5">
        <v>57.73</v>
      </c>
      <c r="F1628" s="5">
        <v>57.76</v>
      </c>
      <c r="G1628" s="5">
        <v>57.7</v>
      </c>
      <c r="H1628" s="5">
        <v>57.48</v>
      </c>
      <c r="I1628" s="6">
        <v>7.8503000000000003E-2</v>
      </c>
    </row>
    <row r="1629" spans="1:9" x14ac:dyDescent="0.25">
      <c r="A1629" s="1" t="s">
        <v>72</v>
      </c>
      <c r="B1629" s="7" t="s">
        <v>58</v>
      </c>
      <c r="C1629" s="7" t="s">
        <v>58</v>
      </c>
      <c r="D1629" s="7" t="s">
        <v>58</v>
      </c>
      <c r="E1629" s="7" t="s">
        <v>58</v>
      </c>
      <c r="F1629" s="7" t="s">
        <v>58</v>
      </c>
      <c r="G1629" s="7" t="s">
        <v>58</v>
      </c>
      <c r="H1629" s="7" t="s">
        <v>58</v>
      </c>
      <c r="I1629" s="7" t="s">
        <v>58</v>
      </c>
    </row>
    <row r="1630" spans="1:9" x14ac:dyDescent="0.25">
      <c r="A1630" s="1" t="s">
        <v>73</v>
      </c>
      <c r="B1630" s="7" t="s">
        <v>58</v>
      </c>
      <c r="C1630" s="7" t="s">
        <v>58</v>
      </c>
      <c r="D1630" s="7" t="s">
        <v>58</v>
      </c>
      <c r="E1630" s="7" t="s">
        <v>58</v>
      </c>
      <c r="F1630" s="7" t="s">
        <v>58</v>
      </c>
      <c r="G1630" s="7" t="s">
        <v>58</v>
      </c>
      <c r="H1630" s="7" t="s">
        <v>58</v>
      </c>
      <c r="I1630" s="7" t="s">
        <v>58</v>
      </c>
    </row>
    <row r="1631" spans="1:9" ht="30" x14ac:dyDescent="0.25">
      <c r="A1631" s="1" t="s">
        <v>74</v>
      </c>
      <c r="B1631" s="7" t="s">
        <v>58</v>
      </c>
      <c r="C1631" s="7" t="s">
        <v>58</v>
      </c>
      <c r="D1631" s="7" t="s">
        <v>58</v>
      </c>
      <c r="E1631" s="7" t="s">
        <v>58</v>
      </c>
      <c r="F1631" s="7" t="s">
        <v>58</v>
      </c>
      <c r="G1631" s="7" t="s">
        <v>58</v>
      </c>
      <c r="H1631" s="7" t="s">
        <v>58</v>
      </c>
      <c r="I1631" s="7" t="s">
        <v>58</v>
      </c>
    </row>
    <row r="1632" spans="1:9" x14ac:dyDescent="0.25">
      <c r="A1632" s="1" t="s">
        <v>75</v>
      </c>
      <c r="B1632" s="5">
        <v>35.11</v>
      </c>
      <c r="C1632" s="5">
        <v>34.93</v>
      </c>
      <c r="D1632" s="5">
        <v>35.549999999999997</v>
      </c>
      <c r="E1632" s="5">
        <v>36.24</v>
      </c>
      <c r="F1632" s="7" t="s">
        <v>58</v>
      </c>
      <c r="G1632" s="7" t="s">
        <v>58</v>
      </c>
      <c r="H1632" s="7" t="s">
        <v>58</v>
      </c>
      <c r="I1632" s="7" t="s">
        <v>58</v>
      </c>
    </row>
    <row r="1633" spans="1:9" x14ac:dyDescent="0.25">
      <c r="A1633" s="1" t="s">
        <v>76</v>
      </c>
      <c r="B1633" s="7" t="s">
        <v>58</v>
      </c>
      <c r="C1633" s="7" t="s">
        <v>58</v>
      </c>
      <c r="D1633" s="7" t="s">
        <v>58</v>
      </c>
      <c r="E1633" s="7" t="s">
        <v>58</v>
      </c>
      <c r="F1633" s="7" t="s">
        <v>58</v>
      </c>
      <c r="G1633" s="7" t="s">
        <v>58</v>
      </c>
      <c r="H1633" s="7" t="s">
        <v>58</v>
      </c>
      <c r="I1633" s="7" t="s">
        <v>58</v>
      </c>
    </row>
    <row r="1634" spans="1:9" ht="45" x14ac:dyDescent="0.25">
      <c r="A1634" s="1" t="s">
        <v>77</v>
      </c>
      <c r="B1634" s="5">
        <v>0.6</v>
      </c>
      <c r="C1634" s="5">
        <v>0.56999999999999995</v>
      </c>
      <c r="D1634" s="5">
        <v>0.56000000000000005</v>
      </c>
      <c r="E1634" s="5">
        <v>0.55000000000000004</v>
      </c>
      <c r="F1634" s="5">
        <v>0.54</v>
      </c>
      <c r="G1634" s="5">
        <v>0.53</v>
      </c>
      <c r="H1634" s="5">
        <v>0.52</v>
      </c>
      <c r="I1634" s="6">
        <v>-2.3567969999999998</v>
      </c>
    </row>
    <row r="1635" spans="1:9" ht="45" x14ac:dyDescent="0.25">
      <c r="A1635" s="1" t="s">
        <v>78</v>
      </c>
      <c r="B1635" s="7" t="s">
        <v>58</v>
      </c>
      <c r="C1635" s="7" t="s">
        <v>58</v>
      </c>
      <c r="D1635" s="7" t="s">
        <v>58</v>
      </c>
      <c r="E1635" s="7" t="s">
        <v>58</v>
      </c>
      <c r="F1635" s="7" t="s">
        <v>58</v>
      </c>
      <c r="G1635" s="7" t="s">
        <v>58</v>
      </c>
      <c r="H1635" s="7" t="s">
        <v>58</v>
      </c>
      <c r="I1635" s="7" t="s">
        <v>58</v>
      </c>
    </row>
    <row r="1636" spans="1:9" ht="60" x14ac:dyDescent="0.25">
      <c r="A1636" s="1" t="s">
        <v>79</v>
      </c>
      <c r="B1636" s="7" t="s">
        <v>58</v>
      </c>
      <c r="C1636" s="7" t="s">
        <v>58</v>
      </c>
      <c r="D1636" s="7" t="s">
        <v>58</v>
      </c>
      <c r="E1636" s="7" t="s">
        <v>58</v>
      </c>
      <c r="F1636" s="7" t="s">
        <v>58</v>
      </c>
      <c r="G1636" s="7" t="s">
        <v>58</v>
      </c>
      <c r="H1636" s="7" t="s">
        <v>58</v>
      </c>
      <c r="I1636" s="7" t="s">
        <v>58</v>
      </c>
    </row>
    <row r="1637" spans="1:9" ht="45" x14ac:dyDescent="0.25">
      <c r="A1637" s="1" t="s">
        <v>80</v>
      </c>
      <c r="B1637" s="7" t="s">
        <v>58</v>
      </c>
      <c r="C1637" s="7" t="s">
        <v>58</v>
      </c>
      <c r="D1637" s="7" t="s">
        <v>58</v>
      </c>
      <c r="E1637" s="7" t="s">
        <v>58</v>
      </c>
      <c r="F1637" s="7" t="s">
        <v>58</v>
      </c>
      <c r="G1637" s="7" t="s">
        <v>58</v>
      </c>
      <c r="H1637" s="7" t="s">
        <v>58</v>
      </c>
      <c r="I1637" s="7" t="s">
        <v>58</v>
      </c>
    </row>
    <row r="1638" spans="1:9" ht="45" x14ac:dyDescent="0.25">
      <c r="A1638" s="1" t="s">
        <v>81</v>
      </c>
      <c r="B1638" s="7" t="s">
        <v>58</v>
      </c>
      <c r="C1638" s="7" t="s">
        <v>58</v>
      </c>
      <c r="D1638" s="7" t="s">
        <v>58</v>
      </c>
      <c r="E1638" s="7" t="s">
        <v>58</v>
      </c>
      <c r="F1638" s="7" t="s">
        <v>58</v>
      </c>
      <c r="G1638" s="7" t="s">
        <v>58</v>
      </c>
      <c r="H1638" s="7" t="s">
        <v>58</v>
      </c>
      <c r="I1638" s="7" t="s">
        <v>58</v>
      </c>
    </row>
    <row r="1639" spans="1:9" x14ac:dyDescent="0.25">
      <c r="A1639" s="1" t="s">
        <v>82</v>
      </c>
      <c r="B1639" s="5">
        <v>7.02</v>
      </c>
      <c r="C1639" s="5">
        <v>7.1</v>
      </c>
      <c r="D1639" s="5">
        <v>7.13</v>
      </c>
      <c r="E1639" s="5">
        <v>7.19</v>
      </c>
      <c r="F1639" s="5">
        <v>7.27</v>
      </c>
      <c r="G1639" s="5">
        <v>7.33</v>
      </c>
      <c r="H1639" s="5">
        <v>7.38</v>
      </c>
      <c r="I1639" s="6">
        <v>0.83699000000000001</v>
      </c>
    </row>
    <row r="1640" spans="1:9" x14ac:dyDescent="0.25">
      <c r="A1640" s="1" t="s">
        <v>83</v>
      </c>
      <c r="B1640" s="7" t="s">
        <v>58</v>
      </c>
      <c r="C1640" s="7" t="s">
        <v>58</v>
      </c>
      <c r="D1640" s="7" t="s">
        <v>58</v>
      </c>
      <c r="E1640" s="7" t="s">
        <v>58</v>
      </c>
      <c r="F1640" s="7" t="s">
        <v>58</v>
      </c>
      <c r="G1640" s="7" t="s">
        <v>58</v>
      </c>
      <c r="H1640" s="7" t="s">
        <v>58</v>
      </c>
      <c r="I1640" s="7" t="s">
        <v>58</v>
      </c>
    </row>
    <row r="1641" spans="1:9" x14ac:dyDescent="0.25">
      <c r="A1641" s="1" t="s">
        <v>84</v>
      </c>
      <c r="B1641" s="7" t="s">
        <v>58</v>
      </c>
      <c r="C1641" s="7" t="s">
        <v>58</v>
      </c>
      <c r="D1641" s="7" t="s">
        <v>58</v>
      </c>
      <c r="E1641" s="7" t="s">
        <v>58</v>
      </c>
      <c r="F1641" s="7" t="s">
        <v>58</v>
      </c>
      <c r="G1641" s="7" t="s">
        <v>58</v>
      </c>
      <c r="H1641" s="7" t="s">
        <v>58</v>
      </c>
      <c r="I1641" s="7" t="s">
        <v>58</v>
      </c>
    </row>
    <row r="1642" spans="1:9" x14ac:dyDescent="0.25">
      <c r="A1642" s="1" t="s">
        <v>85</v>
      </c>
      <c r="B1642" s="7" t="s">
        <v>58</v>
      </c>
      <c r="C1642" s="7" t="s">
        <v>58</v>
      </c>
      <c r="D1642" s="7" t="s">
        <v>58</v>
      </c>
      <c r="E1642" s="7" t="s">
        <v>58</v>
      </c>
      <c r="F1642" s="7" t="s">
        <v>58</v>
      </c>
      <c r="G1642" s="7" t="s">
        <v>58</v>
      </c>
      <c r="H1642" s="7" t="s">
        <v>58</v>
      </c>
      <c r="I1642" s="7" t="s">
        <v>58</v>
      </c>
    </row>
    <row r="1643" spans="1:9" x14ac:dyDescent="0.25">
      <c r="A1643" s="1" t="s">
        <v>86</v>
      </c>
      <c r="B1643" s="5">
        <v>2.77</v>
      </c>
      <c r="C1643" s="5">
        <v>2.89</v>
      </c>
      <c r="D1643" s="5">
        <v>2.98</v>
      </c>
      <c r="E1643" s="5">
        <v>3.04</v>
      </c>
      <c r="F1643" s="5">
        <v>3.08</v>
      </c>
      <c r="G1643" s="5">
        <v>3.1</v>
      </c>
      <c r="H1643" s="5">
        <v>3.1</v>
      </c>
      <c r="I1643" s="6">
        <v>1.8936189999999999</v>
      </c>
    </row>
    <row r="1644" spans="1:9" x14ac:dyDescent="0.25">
      <c r="A1644" s="1" t="s">
        <v>87</v>
      </c>
      <c r="B1644" s="5">
        <v>15.4</v>
      </c>
      <c r="C1644" s="5">
        <v>15.18</v>
      </c>
      <c r="D1644" s="5">
        <v>14.82</v>
      </c>
      <c r="E1644" s="5">
        <v>14.61</v>
      </c>
      <c r="F1644" s="5">
        <v>14.53</v>
      </c>
      <c r="G1644" s="5">
        <v>14.47</v>
      </c>
      <c r="H1644" s="5">
        <v>14.43</v>
      </c>
      <c r="I1644" s="6">
        <v>-1.0784450000000001</v>
      </c>
    </row>
    <row r="1645" spans="1:9" x14ac:dyDescent="0.25">
      <c r="A1645" s="1" t="s">
        <v>88</v>
      </c>
      <c r="B1645" s="7" t="s">
        <v>58</v>
      </c>
      <c r="C1645" s="7" t="s">
        <v>58</v>
      </c>
      <c r="D1645" s="7" t="s">
        <v>58</v>
      </c>
      <c r="E1645" s="7" t="s">
        <v>58</v>
      </c>
      <c r="F1645" s="7" t="s">
        <v>58</v>
      </c>
      <c r="G1645" s="7" t="s">
        <v>58</v>
      </c>
      <c r="H1645" s="7" t="s">
        <v>58</v>
      </c>
      <c r="I1645" s="7" t="s">
        <v>58</v>
      </c>
    </row>
    <row r="1646" spans="1:9" x14ac:dyDescent="0.25">
      <c r="A1646" s="1" t="s">
        <v>89</v>
      </c>
      <c r="B1646" s="5">
        <v>24.56</v>
      </c>
      <c r="C1646" s="5">
        <v>24.71</v>
      </c>
      <c r="D1646" s="5">
        <v>24.92</v>
      </c>
      <c r="E1646" s="5">
        <v>25.12</v>
      </c>
      <c r="F1646" s="5">
        <v>25.31</v>
      </c>
      <c r="G1646" s="5">
        <v>25.49</v>
      </c>
      <c r="H1646" s="5">
        <v>25.66</v>
      </c>
      <c r="I1646" s="6">
        <v>0.73290999999999995</v>
      </c>
    </row>
    <row r="1647" spans="1:9" x14ac:dyDescent="0.25">
      <c r="A1647" s="1" t="s">
        <v>90</v>
      </c>
      <c r="B1647" s="7" t="s">
        <v>58</v>
      </c>
      <c r="C1647" s="7" t="s">
        <v>58</v>
      </c>
      <c r="D1647" s="7" t="s">
        <v>58</v>
      </c>
      <c r="E1647" s="7" t="s">
        <v>58</v>
      </c>
      <c r="F1647" s="7" t="s">
        <v>58</v>
      </c>
      <c r="G1647" s="7" t="s">
        <v>58</v>
      </c>
      <c r="H1647" s="7" t="s">
        <v>58</v>
      </c>
      <c r="I1647" s="7" t="s">
        <v>58</v>
      </c>
    </row>
    <row r="1648" spans="1:9" x14ac:dyDescent="0.25">
      <c r="A1648" s="1" t="s">
        <v>91</v>
      </c>
      <c r="B1648" s="7" t="s">
        <v>58</v>
      </c>
      <c r="C1648" s="7" t="s">
        <v>58</v>
      </c>
      <c r="D1648" s="7" t="s">
        <v>58</v>
      </c>
      <c r="E1648" s="7" t="s">
        <v>58</v>
      </c>
      <c r="F1648" s="7" t="s">
        <v>58</v>
      </c>
      <c r="G1648" s="7" t="s">
        <v>58</v>
      </c>
      <c r="H1648" s="7" t="s">
        <v>58</v>
      </c>
      <c r="I1648" s="7" t="s">
        <v>58</v>
      </c>
    </row>
    <row r="1649" spans="1:9" x14ac:dyDescent="0.25">
      <c r="A1649" s="1" t="s">
        <v>92</v>
      </c>
      <c r="B1649" s="7" t="s">
        <v>58</v>
      </c>
      <c r="C1649" s="7" t="s">
        <v>58</v>
      </c>
      <c r="D1649" s="7" t="s">
        <v>58</v>
      </c>
      <c r="E1649" s="7" t="s">
        <v>58</v>
      </c>
      <c r="F1649" s="7" t="s">
        <v>58</v>
      </c>
      <c r="G1649" s="7" t="s">
        <v>58</v>
      </c>
      <c r="H1649" s="7" t="s">
        <v>58</v>
      </c>
      <c r="I1649" s="7" t="s">
        <v>58</v>
      </c>
    </row>
    <row r="1650" spans="1:9" x14ac:dyDescent="0.25">
      <c r="A1650" s="1" t="s">
        <v>93</v>
      </c>
      <c r="B1650" s="7" t="s">
        <v>58</v>
      </c>
      <c r="C1650" s="7" t="s">
        <v>58</v>
      </c>
      <c r="D1650" s="7" t="s">
        <v>58</v>
      </c>
      <c r="E1650" s="7" t="s">
        <v>58</v>
      </c>
      <c r="F1650" s="7" t="s">
        <v>58</v>
      </c>
      <c r="G1650" s="7" t="s">
        <v>58</v>
      </c>
      <c r="H1650" s="7" t="s">
        <v>58</v>
      </c>
      <c r="I1650" s="7" t="s">
        <v>58</v>
      </c>
    </row>
    <row r="1651" spans="1:9" x14ac:dyDescent="0.25">
      <c r="A1651" s="1" t="s">
        <v>94</v>
      </c>
      <c r="B1651" s="7" t="s">
        <v>58</v>
      </c>
      <c r="C1651" s="7" t="s">
        <v>58</v>
      </c>
      <c r="D1651" s="7" t="s">
        <v>58</v>
      </c>
      <c r="E1651" s="7" t="s">
        <v>58</v>
      </c>
      <c r="F1651" s="7" t="s">
        <v>58</v>
      </c>
      <c r="G1651" s="7" t="s">
        <v>58</v>
      </c>
      <c r="H1651" s="7" t="s">
        <v>58</v>
      </c>
      <c r="I1651" s="7" t="s">
        <v>58</v>
      </c>
    </row>
    <row r="1652" spans="1:9" x14ac:dyDescent="0.25">
      <c r="A1652" s="1" t="s">
        <v>95</v>
      </c>
      <c r="B1652" s="7" t="s">
        <v>58</v>
      </c>
      <c r="C1652" s="7" t="s">
        <v>58</v>
      </c>
      <c r="D1652" s="7" t="s">
        <v>58</v>
      </c>
      <c r="E1652" s="7" t="s">
        <v>58</v>
      </c>
      <c r="F1652" s="7" t="s">
        <v>58</v>
      </c>
      <c r="G1652" s="7" t="s">
        <v>58</v>
      </c>
      <c r="H1652" s="7" t="s">
        <v>58</v>
      </c>
      <c r="I1652" s="7" t="s">
        <v>58</v>
      </c>
    </row>
    <row r="1653" spans="1:9" x14ac:dyDescent="0.25">
      <c r="A1653" s="1" t="s">
        <v>96</v>
      </c>
      <c r="B1653" s="5">
        <v>0</v>
      </c>
      <c r="C1653" s="5">
        <v>0</v>
      </c>
      <c r="D1653" s="5">
        <v>0</v>
      </c>
      <c r="E1653" s="5">
        <v>0</v>
      </c>
      <c r="F1653" s="5">
        <v>0</v>
      </c>
      <c r="G1653" s="5">
        <v>0</v>
      </c>
      <c r="H1653" s="5">
        <v>0</v>
      </c>
      <c r="I1653" s="7" t="s">
        <v>58</v>
      </c>
    </row>
    <row r="1654" spans="1:9" x14ac:dyDescent="0.25">
      <c r="A1654" s="1" t="s">
        <v>97</v>
      </c>
      <c r="B1654" s="7" t="s">
        <v>58</v>
      </c>
      <c r="C1654" s="7" t="s">
        <v>58</v>
      </c>
      <c r="D1654" s="7" t="s">
        <v>58</v>
      </c>
      <c r="E1654" s="7" t="s">
        <v>58</v>
      </c>
      <c r="F1654" s="7" t="s">
        <v>58</v>
      </c>
      <c r="G1654" s="7" t="s">
        <v>58</v>
      </c>
      <c r="H1654" s="7" t="s">
        <v>58</v>
      </c>
      <c r="I1654" s="7" t="s">
        <v>58</v>
      </c>
    </row>
    <row r="1655" spans="1:9" x14ac:dyDescent="0.25">
      <c r="A1655" s="1" t="s">
        <v>98</v>
      </c>
      <c r="B1655" s="7" t="s">
        <v>58</v>
      </c>
      <c r="C1655" s="7" t="s">
        <v>58</v>
      </c>
      <c r="D1655" s="7" t="s">
        <v>58</v>
      </c>
      <c r="E1655" s="7" t="s">
        <v>58</v>
      </c>
      <c r="F1655" s="7" t="s">
        <v>58</v>
      </c>
      <c r="G1655" s="7" t="s">
        <v>58</v>
      </c>
      <c r="H1655" s="7" t="s">
        <v>58</v>
      </c>
      <c r="I1655" s="7" t="s">
        <v>58</v>
      </c>
    </row>
    <row r="1656" spans="1:9" x14ac:dyDescent="0.25">
      <c r="A1656" s="1" t="s">
        <v>99</v>
      </c>
      <c r="B1656" s="7" t="s">
        <v>58</v>
      </c>
      <c r="C1656" s="7" t="s">
        <v>58</v>
      </c>
      <c r="D1656" s="7" t="s">
        <v>58</v>
      </c>
      <c r="E1656" s="7" t="s">
        <v>58</v>
      </c>
      <c r="F1656" s="7" t="s">
        <v>58</v>
      </c>
      <c r="G1656" s="7" t="s">
        <v>58</v>
      </c>
      <c r="H1656" s="7" t="s">
        <v>58</v>
      </c>
      <c r="I1656" s="7" t="s">
        <v>58</v>
      </c>
    </row>
    <row r="1657" spans="1:9" x14ac:dyDescent="0.25">
      <c r="A1657" s="1" t="s">
        <v>100</v>
      </c>
      <c r="B1657" s="5">
        <v>6.28</v>
      </c>
      <c r="C1657" s="5">
        <v>6.05</v>
      </c>
      <c r="D1657" s="5">
        <v>6.62</v>
      </c>
      <c r="E1657" s="5">
        <v>6.67</v>
      </c>
      <c r="F1657" s="5">
        <v>6.62</v>
      </c>
      <c r="G1657" s="5">
        <v>6.54</v>
      </c>
      <c r="H1657" s="5">
        <v>6.49</v>
      </c>
      <c r="I1657" s="6">
        <v>0.54971499999999995</v>
      </c>
    </row>
    <row r="1658" spans="1:9" x14ac:dyDescent="0.25">
      <c r="A1658" s="1" t="s">
        <v>101</v>
      </c>
      <c r="B1658" s="5">
        <v>26.5</v>
      </c>
      <c r="C1658" s="5">
        <v>25.42</v>
      </c>
      <c r="D1658" s="7" t="s">
        <v>58</v>
      </c>
      <c r="E1658" s="7" t="s">
        <v>58</v>
      </c>
      <c r="F1658" s="7" t="s">
        <v>58</v>
      </c>
      <c r="G1658" s="7" t="s">
        <v>58</v>
      </c>
      <c r="H1658" s="7" t="s">
        <v>58</v>
      </c>
      <c r="I1658" s="7" t="s">
        <v>58</v>
      </c>
    </row>
    <row r="1659" spans="1:9" x14ac:dyDescent="0.25">
      <c r="A1659" s="1" t="s">
        <v>102</v>
      </c>
      <c r="B1659" s="5">
        <v>40.409999999999997</v>
      </c>
      <c r="C1659" s="5">
        <v>40.57</v>
      </c>
      <c r="D1659" s="5">
        <v>40.74</v>
      </c>
      <c r="E1659" s="5">
        <v>40.909999999999997</v>
      </c>
      <c r="F1659" s="5">
        <v>41.07</v>
      </c>
      <c r="G1659" s="5">
        <v>41.24</v>
      </c>
      <c r="H1659" s="5">
        <v>41.42</v>
      </c>
      <c r="I1659" s="6">
        <v>0.41229100000000002</v>
      </c>
    </row>
    <row r="1660" spans="1:9" x14ac:dyDescent="0.25">
      <c r="A1660" s="1" t="s">
        <v>103</v>
      </c>
      <c r="B1660" s="5">
        <v>46.85</v>
      </c>
      <c r="C1660" s="5">
        <v>47.8</v>
      </c>
      <c r="D1660" s="5">
        <v>48.8</v>
      </c>
      <c r="E1660" s="5">
        <v>49.85</v>
      </c>
      <c r="F1660" s="5">
        <v>50.92</v>
      </c>
      <c r="G1660" s="5">
        <v>51.98</v>
      </c>
      <c r="H1660" s="5">
        <v>53.02</v>
      </c>
      <c r="I1660" s="6">
        <v>2.0833750000000002</v>
      </c>
    </row>
    <row r="1661" spans="1:9" x14ac:dyDescent="0.25">
      <c r="A1661" s="1" t="s">
        <v>104</v>
      </c>
      <c r="B1661" s="7" t="s">
        <v>58</v>
      </c>
      <c r="C1661" s="7" t="s">
        <v>58</v>
      </c>
      <c r="D1661" s="7" t="s">
        <v>58</v>
      </c>
      <c r="E1661" s="7" t="s">
        <v>58</v>
      </c>
      <c r="F1661" s="7" t="s">
        <v>58</v>
      </c>
      <c r="G1661" s="7" t="s">
        <v>58</v>
      </c>
      <c r="H1661" s="7" t="s">
        <v>58</v>
      </c>
      <c r="I1661" s="7" t="s">
        <v>58</v>
      </c>
    </row>
    <row r="1662" spans="1:9" x14ac:dyDescent="0.25">
      <c r="A1662" s="1" t="s">
        <v>105</v>
      </c>
      <c r="B1662" s="5">
        <v>4.09</v>
      </c>
      <c r="C1662" s="5">
        <v>4.0599999999999996</v>
      </c>
      <c r="D1662" s="5">
        <v>4.05</v>
      </c>
      <c r="E1662" s="5">
        <v>4.05</v>
      </c>
      <c r="F1662" s="5">
        <v>4.05</v>
      </c>
      <c r="G1662" s="5">
        <v>4.04</v>
      </c>
      <c r="H1662" s="5">
        <v>4.03</v>
      </c>
      <c r="I1662" s="6">
        <v>-0.246007</v>
      </c>
    </row>
    <row r="1663" spans="1:9" x14ac:dyDescent="0.25">
      <c r="A1663" s="1" t="s">
        <v>106</v>
      </c>
      <c r="B1663" s="5">
        <v>8.8800000000000008</v>
      </c>
      <c r="C1663" s="5">
        <v>8.92</v>
      </c>
      <c r="D1663" s="5">
        <v>8.98</v>
      </c>
      <c r="E1663" s="5">
        <v>9.01</v>
      </c>
      <c r="F1663" s="5">
        <v>9.0299999999999994</v>
      </c>
      <c r="G1663" s="5">
        <v>9.06</v>
      </c>
      <c r="H1663" s="5">
        <v>9.09</v>
      </c>
      <c r="I1663" s="6">
        <v>0.390316</v>
      </c>
    </row>
    <row r="1664" spans="1:9" ht="30" x14ac:dyDescent="0.25">
      <c r="A1664" s="1" t="s">
        <v>107</v>
      </c>
      <c r="B1664" s="5">
        <v>0</v>
      </c>
      <c r="C1664" s="5">
        <v>0</v>
      </c>
      <c r="D1664" s="5">
        <v>0</v>
      </c>
      <c r="E1664" s="5">
        <v>0</v>
      </c>
      <c r="F1664" s="5">
        <v>0</v>
      </c>
      <c r="G1664" s="5">
        <v>0</v>
      </c>
      <c r="H1664" s="5">
        <v>0</v>
      </c>
      <c r="I1664" s="7" t="s">
        <v>58</v>
      </c>
    </row>
    <row r="1665" spans="1:9" x14ac:dyDescent="0.25">
      <c r="A1665" s="1" t="s">
        <v>108</v>
      </c>
      <c r="B1665" s="7" t="s">
        <v>58</v>
      </c>
      <c r="C1665" s="7" t="s">
        <v>58</v>
      </c>
      <c r="D1665" s="7" t="s">
        <v>58</v>
      </c>
      <c r="E1665" s="7" t="s">
        <v>58</v>
      </c>
      <c r="F1665" s="7" t="s">
        <v>58</v>
      </c>
      <c r="G1665" s="7" t="s">
        <v>58</v>
      </c>
      <c r="H1665" s="7" t="s">
        <v>58</v>
      </c>
      <c r="I1665" s="7" t="s">
        <v>58</v>
      </c>
    </row>
    <row r="1666" spans="1:9" ht="30" x14ac:dyDescent="0.25">
      <c r="A1666" s="1" t="s">
        <v>109</v>
      </c>
      <c r="B1666" s="7" t="s">
        <v>58</v>
      </c>
      <c r="C1666" s="7" t="s">
        <v>58</v>
      </c>
      <c r="D1666" s="7" t="s">
        <v>58</v>
      </c>
      <c r="E1666" s="7" t="s">
        <v>58</v>
      </c>
      <c r="F1666" s="7" t="s">
        <v>58</v>
      </c>
      <c r="G1666" s="7" t="s">
        <v>58</v>
      </c>
      <c r="H1666" s="7" t="s">
        <v>58</v>
      </c>
      <c r="I1666" s="7" t="s">
        <v>58</v>
      </c>
    </row>
    <row r="1667" spans="1:9" x14ac:dyDescent="0.25">
      <c r="A1667" s="1" t="s">
        <v>110</v>
      </c>
      <c r="B1667" s="5">
        <v>32.42</v>
      </c>
      <c r="C1667" s="5">
        <v>33.14</v>
      </c>
      <c r="D1667" s="5">
        <v>33.67</v>
      </c>
      <c r="E1667" s="5">
        <v>34.26</v>
      </c>
      <c r="F1667" s="5">
        <v>34.549999999999997</v>
      </c>
      <c r="G1667" s="5">
        <v>34.92</v>
      </c>
      <c r="H1667" s="5">
        <v>34.880000000000003</v>
      </c>
      <c r="I1667" s="6">
        <v>1.2264280000000001</v>
      </c>
    </row>
    <row r="1668" spans="1:9" x14ac:dyDescent="0.25">
      <c r="A1668" s="1" t="s">
        <v>111</v>
      </c>
      <c r="B1668" s="7" t="s">
        <v>58</v>
      </c>
      <c r="C1668" s="7" t="s">
        <v>58</v>
      </c>
      <c r="D1668" s="7" t="s">
        <v>58</v>
      </c>
      <c r="E1668" s="7" t="s">
        <v>58</v>
      </c>
      <c r="F1668" s="7" t="s">
        <v>58</v>
      </c>
      <c r="G1668" s="7" t="s">
        <v>58</v>
      </c>
      <c r="H1668" s="7" t="s">
        <v>58</v>
      </c>
      <c r="I1668" s="7" t="s">
        <v>58</v>
      </c>
    </row>
    <row r="1669" spans="1:9" x14ac:dyDescent="0.25">
      <c r="A1669" s="1" t="s">
        <v>112</v>
      </c>
      <c r="B1669" s="7" t="s">
        <v>58</v>
      </c>
      <c r="C1669" s="7" t="s">
        <v>58</v>
      </c>
      <c r="D1669" s="7" t="s">
        <v>58</v>
      </c>
      <c r="E1669" s="7" t="s">
        <v>58</v>
      </c>
      <c r="F1669" s="7" t="s">
        <v>58</v>
      </c>
      <c r="G1669" s="7" t="s">
        <v>58</v>
      </c>
      <c r="H1669" s="7" t="s">
        <v>58</v>
      </c>
      <c r="I1669" s="7" t="s">
        <v>58</v>
      </c>
    </row>
    <row r="1670" spans="1:9" x14ac:dyDescent="0.25">
      <c r="A1670" s="1" t="s">
        <v>113</v>
      </c>
      <c r="B1670" s="7" t="s">
        <v>58</v>
      </c>
      <c r="C1670" s="7" t="s">
        <v>58</v>
      </c>
      <c r="D1670" s="7" t="s">
        <v>58</v>
      </c>
      <c r="E1670" s="7" t="s">
        <v>58</v>
      </c>
      <c r="F1670" s="7" t="s">
        <v>58</v>
      </c>
      <c r="G1670" s="7" t="s">
        <v>58</v>
      </c>
      <c r="H1670" s="7" t="s">
        <v>58</v>
      </c>
      <c r="I1670" s="7" t="s">
        <v>58</v>
      </c>
    </row>
    <row r="1671" spans="1:9" x14ac:dyDescent="0.25">
      <c r="A1671" s="1" t="s">
        <v>114</v>
      </c>
      <c r="B1671" s="5">
        <v>0</v>
      </c>
      <c r="C1671" s="5">
        <v>0</v>
      </c>
      <c r="D1671" s="5">
        <v>0</v>
      </c>
      <c r="E1671" s="5">
        <v>0</v>
      </c>
      <c r="F1671" s="5">
        <v>0</v>
      </c>
      <c r="G1671" s="5">
        <v>0</v>
      </c>
      <c r="H1671" s="5">
        <v>0</v>
      </c>
      <c r="I1671" s="7" t="s">
        <v>58</v>
      </c>
    </row>
    <row r="1672" spans="1:9" ht="30" x14ac:dyDescent="0.25">
      <c r="A1672" s="1" t="s">
        <v>115</v>
      </c>
      <c r="B1672" s="5">
        <v>28.24</v>
      </c>
      <c r="C1672" s="5">
        <v>29.03</v>
      </c>
      <c r="D1672" s="5">
        <v>29.78</v>
      </c>
      <c r="E1672" s="5">
        <v>30.56</v>
      </c>
      <c r="F1672" s="5">
        <v>31.3</v>
      </c>
      <c r="G1672" s="5">
        <v>31.74</v>
      </c>
      <c r="H1672" s="5">
        <v>32.049999999999997</v>
      </c>
      <c r="I1672" s="6">
        <v>2.1316989999999998</v>
      </c>
    </row>
    <row r="1673" spans="1:9" x14ac:dyDescent="0.25">
      <c r="A1673" s="1" t="s">
        <v>116</v>
      </c>
      <c r="B1673" s="7" t="s">
        <v>58</v>
      </c>
      <c r="C1673" s="7" t="s">
        <v>58</v>
      </c>
      <c r="D1673" s="7" t="s">
        <v>58</v>
      </c>
      <c r="E1673" s="7" t="s">
        <v>58</v>
      </c>
      <c r="F1673" s="7" t="s">
        <v>58</v>
      </c>
      <c r="G1673" s="7" t="s">
        <v>58</v>
      </c>
      <c r="H1673" s="7" t="s">
        <v>58</v>
      </c>
      <c r="I1673" s="7" t="s">
        <v>58</v>
      </c>
    </row>
    <row r="1674" spans="1:9" x14ac:dyDescent="0.25">
      <c r="A1674" s="1" t="s">
        <v>12</v>
      </c>
      <c r="B1674" s="2"/>
      <c r="C1674" s="2"/>
      <c r="D1674" s="2"/>
      <c r="E1674" s="2"/>
      <c r="F1674" s="2"/>
      <c r="G1674" s="2"/>
      <c r="H1674" s="2"/>
      <c r="I1674" s="2"/>
    </row>
    <row r="1675" spans="1:9" ht="45" x14ac:dyDescent="0.25">
      <c r="A1675" s="1" t="s">
        <v>132</v>
      </c>
      <c r="B1675" s="2"/>
      <c r="C1675" s="2"/>
      <c r="D1675" s="2"/>
      <c r="E1675" s="2"/>
      <c r="F1675" s="2"/>
      <c r="G1675" s="2"/>
      <c r="H1675" s="2"/>
      <c r="I1675" s="2"/>
    </row>
    <row r="1676" spans="1:9" x14ac:dyDescent="0.25">
      <c r="A1676" s="1" t="s">
        <v>14</v>
      </c>
      <c r="B1676" s="7" t="s">
        <v>58</v>
      </c>
      <c r="C1676" s="7" t="s">
        <v>58</v>
      </c>
      <c r="D1676" s="7" t="s">
        <v>58</v>
      </c>
      <c r="E1676" s="7" t="s">
        <v>58</v>
      </c>
      <c r="F1676" s="7" t="s">
        <v>58</v>
      </c>
      <c r="G1676" s="7" t="s">
        <v>58</v>
      </c>
      <c r="H1676" s="7" t="s">
        <v>58</v>
      </c>
      <c r="I1676" s="7" t="s">
        <v>58</v>
      </c>
    </row>
    <row r="1677" spans="1:9" ht="30" x14ac:dyDescent="0.25">
      <c r="A1677" s="1" t="s">
        <v>15</v>
      </c>
      <c r="B1677" s="5">
        <v>10.17</v>
      </c>
      <c r="C1677" s="5">
        <v>10.26</v>
      </c>
      <c r="D1677" s="5">
        <v>10.53</v>
      </c>
      <c r="E1677" s="5">
        <v>10.65</v>
      </c>
      <c r="F1677" s="5">
        <v>10.71</v>
      </c>
      <c r="G1677" s="5">
        <v>10.79</v>
      </c>
      <c r="H1677" s="5">
        <v>10.86</v>
      </c>
      <c r="I1677" s="6">
        <v>1.1000749999999999</v>
      </c>
    </row>
    <row r="1678" spans="1:9" x14ac:dyDescent="0.25">
      <c r="A1678" s="1" t="s">
        <v>16</v>
      </c>
      <c r="B1678" s="5">
        <v>37.31</v>
      </c>
      <c r="C1678" s="5">
        <v>36.340000000000003</v>
      </c>
      <c r="D1678" s="5">
        <v>36.22</v>
      </c>
      <c r="E1678" s="5">
        <v>36.14</v>
      </c>
      <c r="F1678" s="5">
        <v>36.36</v>
      </c>
      <c r="G1678" s="5">
        <v>36.479999999999997</v>
      </c>
      <c r="H1678" s="5">
        <v>36.53</v>
      </c>
      <c r="I1678" s="6">
        <v>-0.35150700000000001</v>
      </c>
    </row>
    <row r="1679" spans="1:9" x14ac:dyDescent="0.25">
      <c r="A1679" s="1" t="s">
        <v>17</v>
      </c>
      <c r="B1679" s="5">
        <v>76.569999999999993</v>
      </c>
      <c r="C1679" s="5">
        <v>75.92</v>
      </c>
      <c r="D1679" s="5">
        <v>75.260000000000005</v>
      </c>
      <c r="E1679" s="5">
        <v>74.7</v>
      </c>
      <c r="F1679" s="5">
        <v>74.16</v>
      </c>
      <c r="G1679" s="5">
        <v>73.63</v>
      </c>
      <c r="H1679" s="5">
        <v>73.150000000000006</v>
      </c>
      <c r="I1679" s="6">
        <v>-0.75866100000000003</v>
      </c>
    </row>
    <row r="1680" spans="1:9" x14ac:dyDescent="0.25">
      <c r="A1680" s="1" t="s">
        <v>18</v>
      </c>
      <c r="B1680" s="7" t="s">
        <v>58</v>
      </c>
      <c r="C1680" s="7" t="s">
        <v>58</v>
      </c>
      <c r="D1680" s="7" t="s">
        <v>58</v>
      </c>
      <c r="E1680" s="7" t="s">
        <v>58</v>
      </c>
      <c r="F1680" s="7" t="s">
        <v>58</v>
      </c>
      <c r="G1680" s="7" t="s">
        <v>58</v>
      </c>
      <c r="H1680" s="7" t="s">
        <v>58</v>
      </c>
      <c r="I1680" s="7" t="s">
        <v>58</v>
      </c>
    </row>
    <row r="1681" spans="1:9" x14ac:dyDescent="0.25">
      <c r="A1681" s="1" t="s">
        <v>19</v>
      </c>
      <c r="B1681" s="7" t="s">
        <v>58</v>
      </c>
      <c r="C1681" s="7" t="s">
        <v>58</v>
      </c>
      <c r="D1681" s="7" t="s">
        <v>58</v>
      </c>
      <c r="E1681" s="7" t="s">
        <v>58</v>
      </c>
      <c r="F1681" s="7" t="s">
        <v>58</v>
      </c>
      <c r="G1681" s="7" t="s">
        <v>58</v>
      </c>
      <c r="H1681" s="7" t="s">
        <v>58</v>
      </c>
      <c r="I1681" s="7" t="s">
        <v>58</v>
      </c>
    </row>
    <row r="1682" spans="1:9" x14ac:dyDescent="0.25">
      <c r="A1682" s="1" t="s">
        <v>20</v>
      </c>
      <c r="B1682" s="7" t="s">
        <v>58</v>
      </c>
      <c r="C1682" s="7" t="s">
        <v>58</v>
      </c>
      <c r="D1682" s="7" t="s">
        <v>58</v>
      </c>
      <c r="E1682" s="7" t="s">
        <v>58</v>
      </c>
      <c r="F1682" s="7" t="s">
        <v>58</v>
      </c>
      <c r="G1682" s="7" t="s">
        <v>58</v>
      </c>
      <c r="H1682" s="7" t="s">
        <v>58</v>
      </c>
      <c r="I1682" s="7" t="s">
        <v>58</v>
      </c>
    </row>
    <row r="1683" spans="1:9" x14ac:dyDescent="0.25">
      <c r="A1683" s="1" t="s">
        <v>21</v>
      </c>
      <c r="B1683" s="5">
        <v>54.48</v>
      </c>
      <c r="C1683" s="5">
        <v>55.24</v>
      </c>
      <c r="D1683" s="5">
        <v>55.01</v>
      </c>
      <c r="E1683" s="5">
        <v>54.13</v>
      </c>
      <c r="F1683" s="5">
        <v>55.25</v>
      </c>
      <c r="G1683" s="5">
        <v>56.49</v>
      </c>
      <c r="H1683" s="5">
        <v>56.86</v>
      </c>
      <c r="I1683" s="6">
        <v>0.71518599999999999</v>
      </c>
    </row>
    <row r="1684" spans="1:9" x14ac:dyDescent="0.25">
      <c r="A1684" s="1" t="s">
        <v>22</v>
      </c>
      <c r="B1684" s="7" t="s">
        <v>58</v>
      </c>
      <c r="C1684" s="7" t="s">
        <v>58</v>
      </c>
      <c r="D1684" s="7" t="s">
        <v>58</v>
      </c>
      <c r="E1684" s="7" t="s">
        <v>58</v>
      </c>
      <c r="F1684" s="7" t="s">
        <v>58</v>
      </c>
      <c r="G1684" s="7" t="s">
        <v>58</v>
      </c>
      <c r="H1684" s="7" t="s">
        <v>58</v>
      </c>
      <c r="I1684" s="7" t="s">
        <v>58</v>
      </c>
    </row>
    <row r="1685" spans="1:9" x14ac:dyDescent="0.25">
      <c r="A1685" s="1" t="s">
        <v>23</v>
      </c>
      <c r="B1685" s="5">
        <v>19.18</v>
      </c>
      <c r="C1685" s="5">
        <v>18.75</v>
      </c>
      <c r="D1685" s="5">
        <v>18.350000000000001</v>
      </c>
      <c r="E1685" s="5">
        <v>17.97</v>
      </c>
      <c r="F1685" s="5">
        <v>17.600000000000001</v>
      </c>
      <c r="G1685" s="5">
        <v>17.239999999999998</v>
      </c>
      <c r="H1685" s="5">
        <v>16.89</v>
      </c>
      <c r="I1685" s="6">
        <v>-2.0968100000000001</v>
      </c>
    </row>
    <row r="1686" spans="1:9" x14ac:dyDescent="0.25">
      <c r="A1686" s="1" t="s">
        <v>24</v>
      </c>
      <c r="B1686" s="7" t="s">
        <v>58</v>
      </c>
      <c r="C1686" s="7" t="s">
        <v>58</v>
      </c>
      <c r="D1686" s="7" t="s">
        <v>58</v>
      </c>
      <c r="E1686" s="7" t="s">
        <v>58</v>
      </c>
      <c r="F1686" s="7" t="s">
        <v>58</v>
      </c>
      <c r="G1686" s="7" t="s">
        <v>58</v>
      </c>
      <c r="H1686" s="7" t="s">
        <v>58</v>
      </c>
      <c r="I1686" s="7" t="s">
        <v>58</v>
      </c>
    </row>
    <row r="1687" spans="1:9" x14ac:dyDescent="0.25">
      <c r="A1687" s="1" t="s">
        <v>25</v>
      </c>
      <c r="B1687" s="5">
        <v>19.5</v>
      </c>
      <c r="C1687" s="5">
        <v>19.440000000000001</v>
      </c>
      <c r="D1687" s="5">
        <v>19.3</v>
      </c>
      <c r="E1687" s="5">
        <v>19.13</v>
      </c>
      <c r="F1687" s="5">
        <v>18.989999999999998</v>
      </c>
      <c r="G1687" s="5">
        <v>18.87</v>
      </c>
      <c r="H1687" s="5">
        <v>18.75</v>
      </c>
      <c r="I1687" s="6">
        <v>-0.65154699999999999</v>
      </c>
    </row>
    <row r="1688" spans="1:9" x14ac:dyDescent="0.25">
      <c r="A1688" s="1" t="s">
        <v>26</v>
      </c>
      <c r="B1688" s="7" t="s">
        <v>58</v>
      </c>
      <c r="C1688" s="7" t="s">
        <v>58</v>
      </c>
      <c r="D1688" s="7" t="s">
        <v>58</v>
      </c>
      <c r="E1688" s="7" t="s">
        <v>58</v>
      </c>
      <c r="F1688" s="7" t="s">
        <v>58</v>
      </c>
      <c r="G1688" s="7" t="s">
        <v>58</v>
      </c>
      <c r="H1688" s="7" t="s">
        <v>58</v>
      </c>
      <c r="I1688" s="7" t="s">
        <v>58</v>
      </c>
    </row>
    <row r="1689" spans="1:9" x14ac:dyDescent="0.25">
      <c r="A1689" s="1" t="s">
        <v>27</v>
      </c>
      <c r="B1689" s="7" t="s">
        <v>58</v>
      </c>
      <c r="C1689" s="7" t="s">
        <v>58</v>
      </c>
      <c r="D1689" s="7" t="s">
        <v>58</v>
      </c>
      <c r="E1689" s="7" t="s">
        <v>58</v>
      </c>
      <c r="F1689" s="7" t="s">
        <v>58</v>
      </c>
      <c r="G1689" s="7" t="s">
        <v>58</v>
      </c>
      <c r="H1689" s="7" t="s">
        <v>58</v>
      </c>
      <c r="I1689" s="7" t="s">
        <v>58</v>
      </c>
    </row>
    <row r="1690" spans="1:9" x14ac:dyDescent="0.25">
      <c r="A1690" s="1" t="s">
        <v>28</v>
      </c>
      <c r="B1690" s="5">
        <v>7.5</v>
      </c>
      <c r="C1690" s="5">
        <v>7.52</v>
      </c>
      <c r="D1690" s="5">
        <v>7.74</v>
      </c>
      <c r="E1690" s="5">
        <v>7.77</v>
      </c>
      <c r="F1690" s="5">
        <v>7.77</v>
      </c>
      <c r="G1690" s="5">
        <v>7.8</v>
      </c>
      <c r="H1690" s="5">
        <v>7.81</v>
      </c>
      <c r="I1690" s="6">
        <v>0.67731600000000003</v>
      </c>
    </row>
    <row r="1691" spans="1:9" x14ac:dyDescent="0.25">
      <c r="A1691" s="1" t="s">
        <v>29</v>
      </c>
      <c r="B1691" s="5">
        <v>19.63</v>
      </c>
      <c r="C1691" s="5">
        <v>18.670000000000002</v>
      </c>
      <c r="D1691" s="5">
        <v>17.649999999999999</v>
      </c>
      <c r="E1691" s="5">
        <v>16.57</v>
      </c>
      <c r="F1691" s="5">
        <v>15.48</v>
      </c>
      <c r="G1691" s="5">
        <v>14.45</v>
      </c>
      <c r="H1691" s="5">
        <v>13.48</v>
      </c>
      <c r="I1691" s="6">
        <v>-6.072031</v>
      </c>
    </row>
    <row r="1692" spans="1:9" x14ac:dyDescent="0.25">
      <c r="A1692" s="1" t="s">
        <v>30</v>
      </c>
      <c r="B1692" s="7" t="s">
        <v>58</v>
      </c>
      <c r="C1692" s="7" t="s">
        <v>58</v>
      </c>
      <c r="D1692" s="7" t="s">
        <v>58</v>
      </c>
      <c r="E1692" s="7" t="s">
        <v>58</v>
      </c>
      <c r="F1692" s="7" t="s">
        <v>58</v>
      </c>
      <c r="G1692" s="7" t="s">
        <v>58</v>
      </c>
      <c r="H1692" s="7" t="s">
        <v>58</v>
      </c>
      <c r="I1692" s="7" t="s">
        <v>58</v>
      </c>
    </row>
    <row r="1693" spans="1:9" x14ac:dyDescent="0.25">
      <c r="A1693" s="1" t="s">
        <v>31</v>
      </c>
      <c r="B1693" s="7" t="s">
        <v>58</v>
      </c>
      <c r="C1693" s="7" t="s">
        <v>58</v>
      </c>
      <c r="D1693" s="7" t="s">
        <v>58</v>
      </c>
      <c r="E1693" s="7" t="s">
        <v>58</v>
      </c>
      <c r="F1693" s="7" t="s">
        <v>58</v>
      </c>
      <c r="G1693" s="7" t="s">
        <v>58</v>
      </c>
      <c r="H1693" s="7" t="s">
        <v>58</v>
      </c>
      <c r="I1693" s="7" t="s">
        <v>58</v>
      </c>
    </row>
    <row r="1694" spans="1:9" x14ac:dyDescent="0.25">
      <c r="A1694" s="1" t="s">
        <v>32</v>
      </c>
      <c r="B1694" s="7" t="s">
        <v>58</v>
      </c>
      <c r="C1694" s="7" t="s">
        <v>58</v>
      </c>
      <c r="D1694" s="7" t="s">
        <v>58</v>
      </c>
      <c r="E1694" s="7" t="s">
        <v>58</v>
      </c>
      <c r="F1694" s="7" t="s">
        <v>58</v>
      </c>
      <c r="G1694" s="7" t="s">
        <v>58</v>
      </c>
      <c r="H1694" s="7" t="s">
        <v>58</v>
      </c>
      <c r="I1694" s="7" t="s">
        <v>58</v>
      </c>
    </row>
    <row r="1695" spans="1:9" x14ac:dyDescent="0.25">
      <c r="A1695" s="1" t="s">
        <v>33</v>
      </c>
      <c r="B1695" s="5">
        <v>42.75</v>
      </c>
      <c r="C1695" s="5">
        <v>43.43</v>
      </c>
      <c r="D1695" s="5">
        <v>44.13</v>
      </c>
      <c r="E1695" s="5">
        <v>44.85</v>
      </c>
      <c r="F1695" s="5">
        <v>45.59</v>
      </c>
      <c r="G1695" s="5">
        <v>46.36</v>
      </c>
      <c r="H1695" s="5">
        <v>47.15</v>
      </c>
      <c r="I1695" s="6">
        <v>1.6461490000000001</v>
      </c>
    </row>
    <row r="1696" spans="1:9" ht="30" x14ac:dyDescent="0.25">
      <c r="A1696" s="1" t="s">
        <v>34</v>
      </c>
      <c r="B1696" s="5">
        <v>23.81</v>
      </c>
      <c r="C1696" s="5">
        <v>23.27</v>
      </c>
      <c r="D1696" s="5">
        <v>22.85</v>
      </c>
      <c r="E1696" s="5">
        <v>22.54</v>
      </c>
      <c r="F1696" s="5">
        <v>22.26</v>
      </c>
      <c r="G1696" s="5">
        <v>22.04</v>
      </c>
      <c r="H1696" s="5">
        <v>21.86</v>
      </c>
      <c r="I1696" s="6">
        <v>-1.4140269999999999</v>
      </c>
    </row>
    <row r="1697" spans="1:9" ht="30" x14ac:dyDescent="0.25">
      <c r="A1697" s="1" t="s">
        <v>35</v>
      </c>
      <c r="B1697" s="7" t="s">
        <v>58</v>
      </c>
      <c r="C1697" s="7" t="s">
        <v>58</v>
      </c>
      <c r="D1697" s="7" t="s">
        <v>58</v>
      </c>
      <c r="E1697" s="7" t="s">
        <v>58</v>
      </c>
      <c r="F1697" s="7" t="s">
        <v>58</v>
      </c>
      <c r="G1697" s="7" t="s">
        <v>58</v>
      </c>
      <c r="H1697" s="7" t="s">
        <v>58</v>
      </c>
      <c r="I1697" s="7" t="s">
        <v>58</v>
      </c>
    </row>
    <row r="1698" spans="1:9" x14ac:dyDescent="0.25">
      <c r="A1698" s="1" t="s">
        <v>36</v>
      </c>
      <c r="B1698" s="7" t="s">
        <v>58</v>
      </c>
      <c r="C1698" s="7" t="s">
        <v>58</v>
      </c>
      <c r="D1698" s="7" t="s">
        <v>58</v>
      </c>
      <c r="E1698" s="7" t="s">
        <v>58</v>
      </c>
      <c r="F1698" s="7" t="s">
        <v>58</v>
      </c>
      <c r="G1698" s="7" t="s">
        <v>58</v>
      </c>
      <c r="H1698" s="7" t="s">
        <v>58</v>
      </c>
      <c r="I1698" s="7" t="s">
        <v>58</v>
      </c>
    </row>
    <row r="1699" spans="1:9" x14ac:dyDescent="0.25">
      <c r="A1699" s="1" t="s">
        <v>37</v>
      </c>
      <c r="B1699" s="7" t="s">
        <v>58</v>
      </c>
      <c r="C1699" s="7" t="s">
        <v>58</v>
      </c>
      <c r="D1699" s="7" t="s">
        <v>58</v>
      </c>
      <c r="E1699" s="7" t="s">
        <v>58</v>
      </c>
      <c r="F1699" s="7" t="s">
        <v>58</v>
      </c>
      <c r="G1699" s="7" t="s">
        <v>58</v>
      </c>
      <c r="H1699" s="7" t="s">
        <v>58</v>
      </c>
      <c r="I1699" s="7" t="s">
        <v>58</v>
      </c>
    </row>
    <row r="1700" spans="1:9" x14ac:dyDescent="0.25">
      <c r="A1700" s="1" t="s">
        <v>38</v>
      </c>
      <c r="B1700" s="7" t="s">
        <v>58</v>
      </c>
      <c r="C1700" s="7" t="s">
        <v>58</v>
      </c>
      <c r="D1700" s="7" t="s">
        <v>58</v>
      </c>
      <c r="E1700" s="7" t="s">
        <v>58</v>
      </c>
      <c r="F1700" s="7" t="s">
        <v>58</v>
      </c>
      <c r="G1700" s="7" t="s">
        <v>58</v>
      </c>
      <c r="H1700" s="7" t="s">
        <v>58</v>
      </c>
      <c r="I1700" s="7" t="s">
        <v>58</v>
      </c>
    </row>
    <row r="1701" spans="1:9" x14ac:dyDescent="0.25">
      <c r="A1701" s="1" t="s">
        <v>39</v>
      </c>
      <c r="B1701" s="7" t="s">
        <v>58</v>
      </c>
      <c r="C1701" s="7" t="s">
        <v>58</v>
      </c>
      <c r="D1701" s="7" t="s">
        <v>58</v>
      </c>
      <c r="E1701" s="7" t="s">
        <v>58</v>
      </c>
      <c r="F1701" s="7" t="s">
        <v>58</v>
      </c>
      <c r="G1701" s="7" t="s">
        <v>58</v>
      </c>
      <c r="H1701" s="7" t="s">
        <v>58</v>
      </c>
      <c r="I1701" s="7" t="s">
        <v>58</v>
      </c>
    </row>
    <row r="1702" spans="1:9" x14ac:dyDescent="0.25">
      <c r="A1702" s="1" t="s">
        <v>40</v>
      </c>
      <c r="B1702" s="5">
        <v>35.5</v>
      </c>
      <c r="C1702" s="5">
        <v>36.4</v>
      </c>
      <c r="D1702" s="5">
        <v>37.24</v>
      </c>
      <c r="E1702" s="5">
        <v>38.06</v>
      </c>
      <c r="F1702" s="5">
        <v>38.869999999999997</v>
      </c>
      <c r="G1702" s="5">
        <v>39.74</v>
      </c>
      <c r="H1702" s="5">
        <v>40.57</v>
      </c>
      <c r="I1702" s="6">
        <v>2.249873</v>
      </c>
    </row>
    <row r="1703" spans="1:9" x14ac:dyDescent="0.25">
      <c r="A1703" s="1" t="s">
        <v>41</v>
      </c>
      <c r="B1703" s="5">
        <v>25.56</v>
      </c>
      <c r="C1703" s="5">
        <v>25.74</v>
      </c>
      <c r="D1703" s="5">
        <v>25.89</v>
      </c>
      <c r="E1703" s="5">
        <v>26.18</v>
      </c>
      <c r="F1703" s="5">
        <v>26.05</v>
      </c>
      <c r="G1703" s="5">
        <v>26.32</v>
      </c>
      <c r="H1703" s="5">
        <v>26.61</v>
      </c>
      <c r="I1703" s="6">
        <v>0.67323</v>
      </c>
    </row>
    <row r="1704" spans="1:9" x14ac:dyDescent="0.25">
      <c r="A1704" s="1" t="s">
        <v>42</v>
      </c>
      <c r="B1704" s="5">
        <v>33.1</v>
      </c>
      <c r="C1704" s="5">
        <v>33.590000000000003</v>
      </c>
      <c r="D1704" s="5">
        <v>34.31</v>
      </c>
      <c r="E1704" s="5">
        <v>34.950000000000003</v>
      </c>
      <c r="F1704" s="5">
        <v>35.51</v>
      </c>
      <c r="G1704" s="5">
        <v>36.07</v>
      </c>
      <c r="H1704" s="5">
        <v>36.549999999999997</v>
      </c>
      <c r="I1704" s="6">
        <v>1.666194</v>
      </c>
    </row>
    <row r="1705" spans="1:9" x14ac:dyDescent="0.25">
      <c r="A1705" s="1" t="s">
        <v>43</v>
      </c>
      <c r="B1705" s="5">
        <v>26.99</v>
      </c>
      <c r="C1705" s="5">
        <v>25.82</v>
      </c>
      <c r="D1705" s="5">
        <v>24.78</v>
      </c>
      <c r="E1705" s="5">
        <v>24.46</v>
      </c>
      <c r="F1705" s="5">
        <v>24.34</v>
      </c>
      <c r="G1705" s="5">
        <v>24.34</v>
      </c>
      <c r="H1705" s="5">
        <v>24.3</v>
      </c>
      <c r="I1705" s="6">
        <v>-1.7346140000000001</v>
      </c>
    </row>
    <row r="1706" spans="1:9" x14ac:dyDescent="0.25">
      <c r="A1706" s="1" t="s">
        <v>44</v>
      </c>
      <c r="B1706" s="7" t="s">
        <v>58</v>
      </c>
      <c r="C1706" s="7" t="s">
        <v>58</v>
      </c>
      <c r="D1706" s="7" t="s">
        <v>58</v>
      </c>
      <c r="E1706" s="7" t="s">
        <v>58</v>
      </c>
      <c r="F1706" s="7" t="s">
        <v>58</v>
      </c>
      <c r="G1706" s="7" t="s">
        <v>58</v>
      </c>
      <c r="H1706" s="7" t="s">
        <v>58</v>
      </c>
      <c r="I1706" s="7" t="s">
        <v>58</v>
      </c>
    </row>
    <row r="1707" spans="1:9" x14ac:dyDescent="0.25">
      <c r="A1707" s="1" t="s">
        <v>45</v>
      </c>
      <c r="B1707" s="7" t="s">
        <v>58</v>
      </c>
      <c r="C1707" s="7" t="s">
        <v>58</v>
      </c>
      <c r="D1707" s="7" t="s">
        <v>58</v>
      </c>
      <c r="E1707" s="7" t="s">
        <v>58</v>
      </c>
      <c r="F1707" s="7" t="s">
        <v>58</v>
      </c>
      <c r="G1707" s="7" t="s">
        <v>58</v>
      </c>
      <c r="H1707" s="7" t="s">
        <v>58</v>
      </c>
      <c r="I1707" s="7" t="s">
        <v>58</v>
      </c>
    </row>
    <row r="1708" spans="1:9" x14ac:dyDescent="0.25">
      <c r="A1708" s="1" t="s">
        <v>46</v>
      </c>
      <c r="B1708" s="5">
        <v>26.15</v>
      </c>
      <c r="C1708" s="5">
        <v>25.92</v>
      </c>
      <c r="D1708" s="5">
        <v>26.1</v>
      </c>
      <c r="E1708" s="5">
        <v>25.9</v>
      </c>
      <c r="F1708" s="5">
        <v>25.92</v>
      </c>
      <c r="G1708" s="5">
        <v>26.12</v>
      </c>
      <c r="H1708" s="5">
        <v>26.4</v>
      </c>
      <c r="I1708" s="6">
        <v>0.15870600000000001</v>
      </c>
    </row>
    <row r="1709" spans="1:9" x14ac:dyDescent="0.25">
      <c r="A1709" s="1" t="s">
        <v>47</v>
      </c>
      <c r="B1709" s="7" t="s">
        <v>58</v>
      </c>
      <c r="C1709" s="7" t="s">
        <v>58</v>
      </c>
      <c r="D1709" s="7" t="s">
        <v>58</v>
      </c>
      <c r="E1709" s="7" t="s">
        <v>58</v>
      </c>
      <c r="F1709" s="7" t="s">
        <v>58</v>
      </c>
      <c r="G1709" s="7" t="s">
        <v>58</v>
      </c>
      <c r="H1709" s="7" t="s">
        <v>58</v>
      </c>
      <c r="I1709" s="7" t="s">
        <v>58</v>
      </c>
    </row>
    <row r="1710" spans="1:9" x14ac:dyDescent="0.25">
      <c r="A1710" s="1" t="s">
        <v>48</v>
      </c>
      <c r="B1710" s="5">
        <v>6.18</v>
      </c>
      <c r="C1710" s="5">
        <v>6.54</v>
      </c>
      <c r="D1710" s="5">
        <v>6.83</v>
      </c>
      <c r="E1710" s="5">
        <v>6.93</v>
      </c>
      <c r="F1710" s="5">
        <v>7.04</v>
      </c>
      <c r="G1710" s="5">
        <v>7.18</v>
      </c>
      <c r="H1710" s="5">
        <v>7.27</v>
      </c>
      <c r="I1710" s="6">
        <v>2.744281</v>
      </c>
    </row>
    <row r="1711" spans="1:9" x14ac:dyDescent="0.25">
      <c r="A1711" s="1" t="s">
        <v>49</v>
      </c>
      <c r="B1711" s="5">
        <v>11.73</v>
      </c>
      <c r="C1711" s="5">
        <v>12.13</v>
      </c>
      <c r="D1711" s="5">
        <v>12.53</v>
      </c>
      <c r="E1711" s="5">
        <v>12.62</v>
      </c>
      <c r="F1711" s="5">
        <v>12.92</v>
      </c>
      <c r="G1711" s="5">
        <v>13.31</v>
      </c>
      <c r="H1711" s="5">
        <v>13.5</v>
      </c>
      <c r="I1711" s="6">
        <v>2.3699819999999998</v>
      </c>
    </row>
    <row r="1712" spans="1:9" x14ac:dyDescent="0.25">
      <c r="A1712" s="1" t="s">
        <v>50</v>
      </c>
      <c r="B1712" s="7" t="s">
        <v>58</v>
      </c>
      <c r="C1712" s="7" t="s">
        <v>58</v>
      </c>
      <c r="D1712" s="7" t="s">
        <v>58</v>
      </c>
      <c r="E1712" s="7" t="s">
        <v>58</v>
      </c>
      <c r="F1712" s="7" t="s">
        <v>58</v>
      </c>
      <c r="G1712" s="7" t="s">
        <v>58</v>
      </c>
      <c r="H1712" s="7" t="s">
        <v>58</v>
      </c>
      <c r="I1712" s="7" t="s">
        <v>58</v>
      </c>
    </row>
    <row r="1713" spans="1:9" x14ac:dyDescent="0.25">
      <c r="A1713" s="1" t="s">
        <v>51</v>
      </c>
      <c r="B1713" s="5">
        <v>42.14</v>
      </c>
      <c r="C1713" s="5">
        <v>42.15</v>
      </c>
      <c r="D1713" s="5">
        <v>42.21</v>
      </c>
      <c r="E1713" s="5">
        <v>42.44</v>
      </c>
      <c r="F1713" s="5">
        <v>42.68</v>
      </c>
      <c r="G1713" s="5">
        <v>42.91</v>
      </c>
      <c r="H1713" s="5">
        <v>43.14</v>
      </c>
      <c r="I1713" s="6">
        <v>0.391652</v>
      </c>
    </row>
    <row r="1714" spans="1:9" x14ac:dyDescent="0.25">
      <c r="A1714" s="1" t="s">
        <v>52</v>
      </c>
      <c r="B1714" s="7" t="s">
        <v>58</v>
      </c>
      <c r="C1714" s="7" t="s">
        <v>58</v>
      </c>
      <c r="D1714" s="7" t="s">
        <v>58</v>
      </c>
      <c r="E1714" s="7" t="s">
        <v>58</v>
      </c>
      <c r="F1714" s="7" t="s">
        <v>58</v>
      </c>
      <c r="G1714" s="7" t="s">
        <v>58</v>
      </c>
      <c r="H1714" s="7" t="s">
        <v>58</v>
      </c>
      <c r="I1714" s="7" t="s">
        <v>58</v>
      </c>
    </row>
    <row r="1715" spans="1:9" x14ac:dyDescent="0.25">
      <c r="A1715" s="1" t="s">
        <v>53</v>
      </c>
      <c r="B1715" s="5">
        <v>25.98</v>
      </c>
      <c r="C1715" s="5">
        <v>26.25</v>
      </c>
      <c r="D1715" s="5">
        <v>26.4</v>
      </c>
      <c r="E1715" s="5">
        <v>26.51</v>
      </c>
      <c r="F1715" s="5">
        <v>26.64</v>
      </c>
      <c r="G1715" s="5">
        <v>26.79</v>
      </c>
      <c r="H1715" s="5">
        <v>26.95</v>
      </c>
      <c r="I1715" s="6">
        <v>0.61280800000000002</v>
      </c>
    </row>
    <row r="1716" spans="1:9" x14ac:dyDescent="0.25">
      <c r="A1716" s="1" t="s">
        <v>54</v>
      </c>
      <c r="B1716" s="7" t="s">
        <v>58</v>
      </c>
      <c r="C1716" s="7" t="s">
        <v>58</v>
      </c>
      <c r="D1716" s="7" t="s">
        <v>58</v>
      </c>
      <c r="E1716" s="7" t="s">
        <v>58</v>
      </c>
      <c r="F1716" s="7" t="s">
        <v>58</v>
      </c>
      <c r="G1716" s="7" t="s">
        <v>58</v>
      </c>
      <c r="H1716" s="7" t="s">
        <v>58</v>
      </c>
      <c r="I1716" s="7" t="s">
        <v>58</v>
      </c>
    </row>
    <row r="1717" spans="1:9" x14ac:dyDescent="0.25">
      <c r="A1717" s="1" t="s">
        <v>55</v>
      </c>
      <c r="B1717" s="5">
        <v>24.68</v>
      </c>
      <c r="C1717" s="5">
        <v>25.07</v>
      </c>
      <c r="D1717" s="5">
        <v>25.07</v>
      </c>
      <c r="E1717" s="5">
        <v>25.76</v>
      </c>
      <c r="F1717" s="5">
        <v>26.03</v>
      </c>
      <c r="G1717" s="5">
        <v>26.32</v>
      </c>
      <c r="H1717" s="5">
        <v>26.7</v>
      </c>
      <c r="I1717" s="6">
        <v>1.319806</v>
      </c>
    </row>
    <row r="1718" spans="1:9" x14ac:dyDescent="0.25">
      <c r="A1718" s="1" t="s">
        <v>56</v>
      </c>
      <c r="B1718" s="7" t="s">
        <v>58</v>
      </c>
      <c r="C1718" s="7" t="s">
        <v>58</v>
      </c>
      <c r="D1718" s="7" t="s">
        <v>58</v>
      </c>
      <c r="E1718" s="7" t="s">
        <v>58</v>
      </c>
      <c r="F1718" s="7" t="s">
        <v>58</v>
      </c>
      <c r="G1718" s="7" t="s">
        <v>58</v>
      </c>
      <c r="H1718" s="7" t="s">
        <v>58</v>
      </c>
      <c r="I1718" s="7" t="s">
        <v>58</v>
      </c>
    </row>
    <row r="1719" spans="1:9" x14ac:dyDescent="0.25">
      <c r="A1719" s="1" t="s">
        <v>57</v>
      </c>
      <c r="B1719" s="7" t="s">
        <v>58</v>
      </c>
      <c r="C1719" s="7" t="s">
        <v>58</v>
      </c>
      <c r="D1719" s="7" t="s">
        <v>58</v>
      </c>
      <c r="E1719" s="7" t="s">
        <v>58</v>
      </c>
      <c r="F1719" s="7" t="s">
        <v>58</v>
      </c>
      <c r="G1719" s="7" t="s">
        <v>58</v>
      </c>
      <c r="H1719" s="7" t="s">
        <v>58</v>
      </c>
      <c r="I1719" s="7" t="s">
        <v>58</v>
      </c>
    </row>
    <row r="1720" spans="1:9" x14ac:dyDescent="0.25">
      <c r="A1720" s="1" t="s">
        <v>59</v>
      </c>
      <c r="B1720" s="7" t="s">
        <v>58</v>
      </c>
      <c r="C1720" s="7" t="s">
        <v>58</v>
      </c>
      <c r="D1720" s="7" t="s">
        <v>58</v>
      </c>
      <c r="E1720" s="7" t="s">
        <v>58</v>
      </c>
      <c r="F1720" s="7" t="s">
        <v>58</v>
      </c>
      <c r="G1720" s="7" t="s">
        <v>58</v>
      </c>
      <c r="H1720" s="7" t="s">
        <v>58</v>
      </c>
      <c r="I1720" s="7" t="s">
        <v>58</v>
      </c>
    </row>
    <row r="1721" spans="1:9" x14ac:dyDescent="0.25">
      <c r="A1721" s="1" t="s">
        <v>60</v>
      </c>
      <c r="B1721" s="5">
        <v>14.81</v>
      </c>
      <c r="C1721" s="5">
        <v>15.01</v>
      </c>
      <c r="D1721" s="5">
        <v>15.26</v>
      </c>
      <c r="E1721" s="5">
        <v>15.56</v>
      </c>
      <c r="F1721" s="5">
        <v>15.83</v>
      </c>
      <c r="G1721" s="5">
        <v>16.149999999999999</v>
      </c>
      <c r="H1721" s="5">
        <v>16.420000000000002</v>
      </c>
      <c r="I1721" s="6">
        <v>1.734834</v>
      </c>
    </row>
    <row r="1722" spans="1:9" ht="45" x14ac:dyDescent="0.25">
      <c r="A1722" s="1" t="s">
        <v>61</v>
      </c>
      <c r="B1722" s="7" t="s">
        <v>58</v>
      </c>
      <c r="C1722" s="7" t="s">
        <v>58</v>
      </c>
      <c r="D1722" s="7" t="s">
        <v>58</v>
      </c>
      <c r="E1722" s="7" t="s">
        <v>58</v>
      </c>
      <c r="F1722" s="7" t="s">
        <v>58</v>
      </c>
      <c r="G1722" s="7" t="s">
        <v>58</v>
      </c>
      <c r="H1722" s="7" t="s">
        <v>58</v>
      </c>
      <c r="I1722" s="7" t="s">
        <v>58</v>
      </c>
    </row>
    <row r="1723" spans="1:9" x14ac:dyDescent="0.25">
      <c r="A1723" s="1" t="s">
        <v>62</v>
      </c>
      <c r="B1723" s="7" t="s">
        <v>58</v>
      </c>
      <c r="C1723" s="7" t="s">
        <v>58</v>
      </c>
      <c r="D1723" s="7" t="s">
        <v>58</v>
      </c>
      <c r="E1723" s="7" t="s">
        <v>58</v>
      </c>
      <c r="F1723" s="7" t="s">
        <v>58</v>
      </c>
      <c r="G1723" s="7" t="s">
        <v>58</v>
      </c>
      <c r="H1723" s="7" t="s">
        <v>58</v>
      </c>
      <c r="I1723" s="7" t="s">
        <v>58</v>
      </c>
    </row>
    <row r="1724" spans="1:9" x14ac:dyDescent="0.25">
      <c r="A1724" s="1" t="s">
        <v>63</v>
      </c>
      <c r="B1724" s="7" t="s">
        <v>58</v>
      </c>
      <c r="C1724" s="7" t="s">
        <v>58</v>
      </c>
      <c r="D1724" s="7" t="s">
        <v>58</v>
      </c>
      <c r="E1724" s="7" t="s">
        <v>58</v>
      </c>
      <c r="F1724" s="7" t="s">
        <v>58</v>
      </c>
      <c r="G1724" s="7" t="s">
        <v>58</v>
      </c>
      <c r="H1724" s="7" t="s">
        <v>58</v>
      </c>
      <c r="I1724" s="7" t="s">
        <v>58</v>
      </c>
    </row>
    <row r="1725" spans="1:9" x14ac:dyDescent="0.25">
      <c r="A1725" s="1" t="s">
        <v>64</v>
      </c>
      <c r="B1725" s="7" t="s">
        <v>58</v>
      </c>
      <c r="C1725" s="7" t="s">
        <v>58</v>
      </c>
      <c r="D1725" s="7" t="s">
        <v>58</v>
      </c>
      <c r="E1725" s="7" t="s">
        <v>58</v>
      </c>
      <c r="F1725" s="7" t="s">
        <v>58</v>
      </c>
      <c r="G1725" s="7" t="s">
        <v>58</v>
      </c>
      <c r="H1725" s="7" t="s">
        <v>58</v>
      </c>
      <c r="I1725" s="7" t="s">
        <v>58</v>
      </c>
    </row>
    <row r="1726" spans="1:9" x14ac:dyDescent="0.25">
      <c r="A1726" s="1" t="s">
        <v>65</v>
      </c>
      <c r="B1726" s="5">
        <v>28.84</v>
      </c>
      <c r="C1726" s="5">
        <v>31.14</v>
      </c>
      <c r="D1726" s="5">
        <v>31.5</v>
      </c>
      <c r="E1726" s="5">
        <v>31.81</v>
      </c>
      <c r="F1726" s="5">
        <v>32.200000000000003</v>
      </c>
      <c r="G1726" s="5">
        <v>32.61</v>
      </c>
      <c r="H1726" s="5">
        <v>33.06</v>
      </c>
      <c r="I1726" s="6">
        <v>2.3021120000000002</v>
      </c>
    </row>
    <row r="1727" spans="1:9" x14ac:dyDescent="0.25">
      <c r="A1727" s="1" t="s">
        <v>66</v>
      </c>
      <c r="B1727" s="5">
        <v>23.4</v>
      </c>
      <c r="C1727" s="5">
        <v>23.58</v>
      </c>
      <c r="D1727" s="5">
        <v>24.03</v>
      </c>
      <c r="E1727" s="5">
        <v>24.54</v>
      </c>
      <c r="F1727" s="5">
        <v>24.98</v>
      </c>
      <c r="G1727" s="5">
        <v>25.26</v>
      </c>
      <c r="H1727" s="5">
        <v>25.44</v>
      </c>
      <c r="I1727" s="6">
        <v>1.4028609999999999</v>
      </c>
    </row>
    <row r="1728" spans="1:9" ht="30" x14ac:dyDescent="0.25">
      <c r="A1728" s="1" t="s">
        <v>67</v>
      </c>
      <c r="B1728" s="7" t="s">
        <v>58</v>
      </c>
      <c r="C1728" s="7" t="s">
        <v>58</v>
      </c>
      <c r="D1728" s="7" t="s">
        <v>58</v>
      </c>
      <c r="E1728" s="7" t="s">
        <v>58</v>
      </c>
      <c r="F1728" s="7" t="s">
        <v>58</v>
      </c>
      <c r="G1728" s="7" t="s">
        <v>58</v>
      </c>
      <c r="H1728" s="7" t="s">
        <v>58</v>
      </c>
      <c r="I1728" s="7" t="s">
        <v>58</v>
      </c>
    </row>
    <row r="1729" spans="1:9" x14ac:dyDescent="0.25">
      <c r="A1729" s="1" t="s">
        <v>68</v>
      </c>
      <c r="B1729" s="7" t="s">
        <v>58</v>
      </c>
      <c r="C1729" s="7" t="s">
        <v>58</v>
      </c>
      <c r="D1729" s="7" t="s">
        <v>58</v>
      </c>
      <c r="E1729" s="7" t="s">
        <v>58</v>
      </c>
      <c r="F1729" s="7" t="s">
        <v>58</v>
      </c>
      <c r="G1729" s="7" t="s">
        <v>58</v>
      </c>
      <c r="H1729" s="7" t="s">
        <v>58</v>
      </c>
      <c r="I1729" s="7" t="s">
        <v>58</v>
      </c>
    </row>
    <row r="1730" spans="1:9" x14ac:dyDescent="0.25">
      <c r="A1730" s="1" t="s">
        <v>69</v>
      </c>
      <c r="B1730" s="5">
        <v>6.43</v>
      </c>
      <c r="C1730" s="5">
        <v>6.43</v>
      </c>
      <c r="D1730" s="5">
        <v>6.78</v>
      </c>
      <c r="E1730" s="5">
        <v>7.11</v>
      </c>
      <c r="F1730" s="5">
        <v>7.39</v>
      </c>
      <c r="G1730" s="5">
        <v>7.54</v>
      </c>
      <c r="H1730" s="5">
        <v>7.49</v>
      </c>
      <c r="I1730" s="6">
        <v>2.5758540000000001</v>
      </c>
    </row>
    <row r="1731" spans="1:9" x14ac:dyDescent="0.25">
      <c r="A1731" s="1" t="s">
        <v>70</v>
      </c>
      <c r="B1731" s="5">
        <v>36.840000000000003</v>
      </c>
      <c r="C1731" s="5">
        <v>37.299999999999997</v>
      </c>
      <c r="D1731" s="5">
        <v>37.61</v>
      </c>
      <c r="E1731" s="5">
        <v>37.82</v>
      </c>
      <c r="F1731" s="5">
        <v>38.01</v>
      </c>
      <c r="G1731" s="5">
        <v>38.229999999999997</v>
      </c>
      <c r="H1731" s="5">
        <v>38.450000000000003</v>
      </c>
      <c r="I1731" s="6">
        <v>0.71545499999999995</v>
      </c>
    </row>
    <row r="1732" spans="1:9" x14ac:dyDescent="0.25">
      <c r="A1732" s="1" t="s">
        <v>71</v>
      </c>
      <c r="B1732" s="5">
        <v>40.61</v>
      </c>
      <c r="C1732" s="5">
        <v>38.76</v>
      </c>
      <c r="D1732" s="5">
        <v>39.840000000000003</v>
      </c>
      <c r="E1732" s="5">
        <v>39.47</v>
      </c>
      <c r="F1732" s="5">
        <v>38.99</v>
      </c>
      <c r="G1732" s="5">
        <v>38.46</v>
      </c>
      <c r="H1732" s="5">
        <v>37.840000000000003</v>
      </c>
      <c r="I1732" s="6">
        <v>-1.170555</v>
      </c>
    </row>
    <row r="1733" spans="1:9" x14ac:dyDescent="0.25">
      <c r="A1733" s="1" t="s">
        <v>72</v>
      </c>
      <c r="B1733" s="7" t="s">
        <v>58</v>
      </c>
      <c r="C1733" s="7" t="s">
        <v>58</v>
      </c>
      <c r="D1733" s="7" t="s">
        <v>58</v>
      </c>
      <c r="E1733" s="7" t="s">
        <v>58</v>
      </c>
      <c r="F1733" s="7" t="s">
        <v>58</v>
      </c>
      <c r="G1733" s="7" t="s">
        <v>58</v>
      </c>
      <c r="H1733" s="7" t="s">
        <v>58</v>
      </c>
      <c r="I1733" s="7" t="s">
        <v>58</v>
      </c>
    </row>
    <row r="1734" spans="1:9" x14ac:dyDescent="0.25">
      <c r="A1734" s="1" t="s">
        <v>73</v>
      </c>
      <c r="B1734" s="7" t="s">
        <v>58</v>
      </c>
      <c r="C1734" s="7" t="s">
        <v>58</v>
      </c>
      <c r="D1734" s="7" t="s">
        <v>58</v>
      </c>
      <c r="E1734" s="7" t="s">
        <v>58</v>
      </c>
      <c r="F1734" s="7" t="s">
        <v>58</v>
      </c>
      <c r="G1734" s="7" t="s">
        <v>58</v>
      </c>
      <c r="H1734" s="7" t="s">
        <v>58</v>
      </c>
      <c r="I1734" s="7" t="s">
        <v>58</v>
      </c>
    </row>
    <row r="1735" spans="1:9" ht="30" x14ac:dyDescent="0.25">
      <c r="A1735" s="1" t="s">
        <v>74</v>
      </c>
      <c r="B1735" s="7" t="s">
        <v>58</v>
      </c>
      <c r="C1735" s="7" t="s">
        <v>58</v>
      </c>
      <c r="D1735" s="7" t="s">
        <v>58</v>
      </c>
      <c r="E1735" s="7" t="s">
        <v>58</v>
      </c>
      <c r="F1735" s="7" t="s">
        <v>58</v>
      </c>
      <c r="G1735" s="7" t="s">
        <v>58</v>
      </c>
      <c r="H1735" s="7" t="s">
        <v>58</v>
      </c>
      <c r="I1735" s="7" t="s">
        <v>58</v>
      </c>
    </row>
    <row r="1736" spans="1:9" x14ac:dyDescent="0.25">
      <c r="A1736" s="1" t="s">
        <v>75</v>
      </c>
      <c r="B1736" s="5">
        <v>37.44</v>
      </c>
      <c r="C1736" s="5">
        <v>37.86</v>
      </c>
      <c r="D1736" s="5">
        <v>38.35</v>
      </c>
      <c r="E1736" s="5">
        <v>38.85</v>
      </c>
      <c r="F1736" s="5">
        <v>39.36</v>
      </c>
      <c r="G1736" s="5">
        <v>39.880000000000003</v>
      </c>
      <c r="H1736" s="5">
        <v>40.43</v>
      </c>
      <c r="I1736" s="6">
        <v>1.288775</v>
      </c>
    </row>
    <row r="1737" spans="1:9" x14ac:dyDescent="0.25">
      <c r="A1737" s="1" t="s">
        <v>76</v>
      </c>
      <c r="B1737" s="7" t="s">
        <v>58</v>
      </c>
      <c r="C1737" s="7" t="s">
        <v>58</v>
      </c>
      <c r="D1737" s="7" t="s">
        <v>58</v>
      </c>
      <c r="E1737" s="7" t="s">
        <v>58</v>
      </c>
      <c r="F1737" s="7" t="s">
        <v>58</v>
      </c>
      <c r="G1737" s="7" t="s">
        <v>58</v>
      </c>
      <c r="H1737" s="7" t="s">
        <v>58</v>
      </c>
      <c r="I1737" s="7" t="s">
        <v>58</v>
      </c>
    </row>
    <row r="1738" spans="1:9" ht="45" x14ac:dyDescent="0.25">
      <c r="A1738" s="1" t="s">
        <v>77</v>
      </c>
      <c r="B1738" s="5">
        <v>25.15</v>
      </c>
      <c r="C1738" s="5">
        <v>24.74</v>
      </c>
      <c r="D1738" s="5">
        <v>24.24</v>
      </c>
      <c r="E1738" s="5">
        <v>23.77</v>
      </c>
      <c r="F1738" s="5">
        <v>22.24</v>
      </c>
      <c r="G1738" s="5">
        <v>20.79</v>
      </c>
      <c r="H1738" s="5">
        <v>20.190000000000001</v>
      </c>
      <c r="I1738" s="6">
        <v>-3.594964</v>
      </c>
    </row>
    <row r="1739" spans="1:9" ht="45" x14ac:dyDescent="0.25">
      <c r="A1739" s="1" t="s">
        <v>78</v>
      </c>
      <c r="B1739" s="7" t="s">
        <v>58</v>
      </c>
      <c r="C1739" s="7" t="s">
        <v>58</v>
      </c>
      <c r="D1739" s="7" t="s">
        <v>58</v>
      </c>
      <c r="E1739" s="7" t="s">
        <v>58</v>
      </c>
      <c r="F1739" s="7" t="s">
        <v>58</v>
      </c>
      <c r="G1739" s="7" t="s">
        <v>58</v>
      </c>
      <c r="H1739" s="7" t="s">
        <v>58</v>
      </c>
      <c r="I1739" s="7" t="s">
        <v>58</v>
      </c>
    </row>
    <row r="1740" spans="1:9" ht="60" x14ac:dyDescent="0.25">
      <c r="A1740" s="1" t="s">
        <v>79</v>
      </c>
      <c r="B1740" s="7" t="s">
        <v>58</v>
      </c>
      <c r="C1740" s="7" t="s">
        <v>58</v>
      </c>
      <c r="D1740" s="7" t="s">
        <v>58</v>
      </c>
      <c r="E1740" s="7" t="s">
        <v>58</v>
      </c>
      <c r="F1740" s="7" t="s">
        <v>58</v>
      </c>
      <c r="G1740" s="7" t="s">
        <v>58</v>
      </c>
      <c r="H1740" s="7" t="s">
        <v>58</v>
      </c>
      <c r="I1740" s="7" t="s">
        <v>58</v>
      </c>
    </row>
    <row r="1741" spans="1:9" ht="45" x14ac:dyDescent="0.25">
      <c r="A1741" s="1" t="s">
        <v>80</v>
      </c>
      <c r="B1741" s="7" t="s">
        <v>58</v>
      </c>
      <c r="C1741" s="7" t="s">
        <v>58</v>
      </c>
      <c r="D1741" s="7" t="s">
        <v>58</v>
      </c>
      <c r="E1741" s="7" t="s">
        <v>58</v>
      </c>
      <c r="F1741" s="7" t="s">
        <v>58</v>
      </c>
      <c r="G1741" s="7" t="s">
        <v>58</v>
      </c>
      <c r="H1741" s="7" t="s">
        <v>58</v>
      </c>
      <c r="I1741" s="7" t="s">
        <v>58</v>
      </c>
    </row>
    <row r="1742" spans="1:9" ht="45" x14ac:dyDescent="0.25">
      <c r="A1742" s="1" t="s">
        <v>81</v>
      </c>
      <c r="B1742" s="7" t="s">
        <v>58</v>
      </c>
      <c r="C1742" s="7" t="s">
        <v>58</v>
      </c>
      <c r="D1742" s="7" t="s">
        <v>58</v>
      </c>
      <c r="E1742" s="7" t="s">
        <v>58</v>
      </c>
      <c r="F1742" s="7" t="s">
        <v>58</v>
      </c>
      <c r="G1742" s="7" t="s">
        <v>58</v>
      </c>
      <c r="H1742" s="7" t="s">
        <v>58</v>
      </c>
      <c r="I1742" s="7" t="s">
        <v>58</v>
      </c>
    </row>
    <row r="1743" spans="1:9" x14ac:dyDescent="0.25">
      <c r="A1743" s="1" t="s">
        <v>82</v>
      </c>
      <c r="B1743" s="5">
        <v>7.72</v>
      </c>
      <c r="C1743" s="5">
        <v>7.87</v>
      </c>
      <c r="D1743" s="5">
        <v>7.99</v>
      </c>
      <c r="E1743" s="5">
        <v>8.14</v>
      </c>
      <c r="F1743" s="5">
        <v>8.31</v>
      </c>
      <c r="G1743" s="5">
        <v>8.4600000000000009</v>
      </c>
      <c r="H1743" s="5">
        <v>8.6</v>
      </c>
      <c r="I1743" s="6">
        <v>1.8154129999999999</v>
      </c>
    </row>
    <row r="1744" spans="1:9" x14ac:dyDescent="0.25">
      <c r="A1744" s="1" t="s">
        <v>83</v>
      </c>
      <c r="B1744" s="7" t="s">
        <v>58</v>
      </c>
      <c r="C1744" s="7" t="s">
        <v>58</v>
      </c>
      <c r="D1744" s="7" t="s">
        <v>58</v>
      </c>
      <c r="E1744" s="7" t="s">
        <v>58</v>
      </c>
      <c r="F1744" s="7" t="s">
        <v>58</v>
      </c>
      <c r="G1744" s="7" t="s">
        <v>58</v>
      </c>
      <c r="H1744" s="7" t="s">
        <v>58</v>
      </c>
      <c r="I1744" s="7" t="s">
        <v>58</v>
      </c>
    </row>
    <row r="1745" spans="1:9" x14ac:dyDescent="0.25">
      <c r="A1745" s="1" t="s">
        <v>84</v>
      </c>
      <c r="B1745" s="7" t="s">
        <v>58</v>
      </c>
      <c r="C1745" s="7" t="s">
        <v>58</v>
      </c>
      <c r="D1745" s="7" t="s">
        <v>58</v>
      </c>
      <c r="E1745" s="7" t="s">
        <v>58</v>
      </c>
      <c r="F1745" s="7" t="s">
        <v>58</v>
      </c>
      <c r="G1745" s="7" t="s">
        <v>58</v>
      </c>
      <c r="H1745" s="7" t="s">
        <v>58</v>
      </c>
      <c r="I1745" s="7" t="s">
        <v>58</v>
      </c>
    </row>
    <row r="1746" spans="1:9" x14ac:dyDescent="0.25">
      <c r="A1746" s="1" t="s">
        <v>85</v>
      </c>
      <c r="B1746" s="7" t="s">
        <v>58</v>
      </c>
      <c r="C1746" s="7" t="s">
        <v>58</v>
      </c>
      <c r="D1746" s="7" t="s">
        <v>58</v>
      </c>
      <c r="E1746" s="7" t="s">
        <v>58</v>
      </c>
      <c r="F1746" s="7" t="s">
        <v>58</v>
      </c>
      <c r="G1746" s="7" t="s">
        <v>58</v>
      </c>
      <c r="H1746" s="7" t="s">
        <v>58</v>
      </c>
      <c r="I1746" s="7" t="s">
        <v>58</v>
      </c>
    </row>
    <row r="1747" spans="1:9" x14ac:dyDescent="0.25">
      <c r="A1747" s="1" t="s">
        <v>86</v>
      </c>
      <c r="B1747" s="5">
        <v>27.97</v>
      </c>
      <c r="C1747" s="5">
        <v>26.88</v>
      </c>
      <c r="D1747" s="5">
        <v>26</v>
      </c>
      <c r="E1747" s="5">
        <v>25.2</v>
      </c>
      <c r="F1747" s="5">
        <v>24.44</v>
      </c>
      <c r="G1747" s="5">
        <v>23.72</v>
      </c>
      <c r="H1747" s="5">
        <v>23</v>
      </c>
      <c r="I1747" s="6">
        <v>-3.2080519999999999</v>
      </c>
    </row>
    <row r="1748" spans="1:9" x14ac:dyDescent="0.25">
      <c r="A1748" s="1" t="s">
        <v>87</v>
      </c>
      <c r="B1748" s="5">
        <v>21.16</v>
      </c>
      <c r="C1748" s="5">
        <v>20.97</v>
      </c>
      <c r="D1748" s="5">
        <v>20.56</v>
      </c>
      <c r="E1748" s="5">
        <v>20.39</v>
      </c>
      <c r="F1748" s="5">
        <v>20.37</v>
      </c>
      <c r="G1748" s="5">
        <v>20.39</v>
      </c>
      <c r="H1748" s="5">
        <v>20.43</v>
      </c>
      <c r="I1748" s="6">
        <v>-0.58342799999999995</v>
      </c>
    </row>
    <row r="1749" spans="1:9" x14ac:dyDescent="0.25">
      <c r="A1749" s="1" t="s">
        <v>88</v>
      </c>
      <c r="B1749" s="7" t="s">
        <v>58</v>
      </c>
      <c r="C1749" s="7" t="s">
        <v>58</v>
      </c>
      <c r="D1749" s="7" t="s">
        <v>58</v>
      </c>
      <c r="E1749" s="7" t="s">
        <v>58</v>
      </c>
      <c r="F1749" s="7" t="s">
        <v>58</v>
      </c>
      <c r="G1749" s="7" t="s">
        <v>58</v>
      </c>
      <c r="H1749" s="7" t="s">
        <v>58</v>
      </c>
      <c r="I1749" s="7" t="s">
        <v>58</v>
      </c>
    </row>
    <row r="1750" spans="1:9" x14ac:dyDescent="0.25">
      <c r="A1750" s="1" t="s">
        <v>89</v>
      </c>
      <c r="B1750" s="5">
        <v>28.73</v>
      </c>
      <c r="C1750" s="5">
        <v>28.64</v>
      </c>
      <c r="D1750" s="5">
        <v>28.96</v>
      </c>
      <c r="E1750" s="5">
        <v>29.27</v>
      </c>
      <c r="F1750" s="5">
        <v>29.58</v>
      </c>
      <c r="G1750" s="5">
        <v>29.89</v>
      </c>
      <c r="H1750" s="5">
        <v>30.19</v>
      </c>
      <c r="I1750" s="6">
        <v>0.82957000000000003</v>
      </c>
    </row>
    <row r="1751" spans="1:9" x14ac:dyDescent="0.25">
      <c r="A1751" s="1" t="s">
        <v>90</v>
      </c>
      <c r="B1751" s="7" t="s">
        <v>58</v>
      </c>
      <c r="C1751" s="7" t="s">
        <v>58</v>
      </c>
      <c r="D1751" s="7" t="s">
        <v>58</v>
      </c>
      <c r="E1751" s="7" t="s">
        <v>58</v>
      </c>
      <c r="F1751" s="7" t="s">
        <v>58</v>
      </c>
      <c r="G1751" s="7" t="s">
        <v>58</v>
      </c>
      <c r="H1751" s="7" t="s">
        <v>58</v>
      </c>
      <c r="I1751" s="7" t="s">
        <v>58</v>
      </c>
    </row>
    <row r="1752" spans="1:9" x14ac:dyDescent="0.25">
      <c r="A1752" s="1" t="s">
        <v>91</v>
      </c>
      <c r="B1752" s="7" t="s">
        <v>58</v>
      </c>
      <c r="C1752" s="7" t="s">
        <v>58</v>
      </c>
      <c r="D1752" s="7" t="s">
        <v>58</v>
      </c>
      <c r="E1752" s="7" t="s">
        <v>58</v>
      </c>
      <c r="F1752" s="7" t="s">
        <v>58</v>
      </c>
      <c r="G1752" s="7" t="s">
        <v>58</v>
      </c>
      <c r="H1752" s="7" t="s">
        <v>58</v>
      </c>
      <c r="I1752" s="7" t="s">
        <v>58</v>
      </c>
    </row>
    <row r="1753" spans="1:9" x14ac:dyDescent="0.25">
      <c r="A1753" s="1" t="s">
        <v>92</v>
      </c>
      <c r="B1753" s="7" t="s">
        <v>58</v>
      </c>
      <c r="C1753" s="7" t="s">
        <v>58</v>
      </c>
      <c r="D1753" s="7" t="s">
        <v>58</v>
      </c>
      <c r="E1753" s="7" t="s">
        <v>58</v>
      </c>
      <c r="F1753" s="7" t="s">
        <v>58</v>
      </c>
      <c r="G1753" s="7" t="s">
        <v>58</v>
      </c>
      <c r="H1753" s="7" t="s">
        <v>58</v>
      </c>
      <c r="I1753" s="7" t="s">
        <v>58</v>
      </c>
    </row>
    <row r="1754" spans="1:9" x14ac:dyDescent="0.25">
      <c r="A1754" s="1" t="s">
        <v>93</v>
      </c>
      <c r="B1754" s="7" t="s">
        <v>58</v>
      </c>
      <c r="C1754" s="7" t="s">
        <v>58</v>
      </c>
      <c r="D1754" s="7" t="s">
        <v>58</v>
      </c>
      <c r="E1754" s="7" t="s">
        <v>58</v>
      </c>
      <c r="F1754" s="7" t="s">
        <v>58</v>
      </c>
      <c r="G1754" s="7" t="s">
        <v>58</v>
      </c>
      <c r="H1754" s="7" t="s">
        <v>58</v>
      </c>
      <c r="I1754" s="7" t="s">
        <v>58</v>
      </c>
    </row>
    <row r="1755" spans="1:9" x14ac:dyDescent="0.25">
      <c r="A1755" s="1" t="s">
        <v>94</v>
      </c>
      <c r="B1755" s="7" t="s">
        <v>58</v>
      </c>
      <c r="C1755" s="7" t="s">
        <v>58</v>
      </c>
      <c r="D1755" s="7" t="s">
        <v>58</v>
      </c>
      <c r="E1755" s="7" t="s">
        <v>58</v>
      </c>
      <c r="F1755" s="7" t="s">
        <v>58</v>
      </c>
      <c r="G1755" s="7" t="s">
        <v>58</v>
      </c>
      <c r="H1755" s="7" t="s">
        <v>58</v>
      </c>
      <c r="I1755" s="7" t="s">
        <v>58</v>
      </c>
    </row>
    <row r="1756" spans="1:9" x14ac:dyDescent="0.25">
      <c r="A1756" s="1" t="s">
        <v>95</v>
      </c>
      <c r="B1756" s="7" t="s">
        <v>58</v>
      </c>
      <c r="C1756" s="7" t="s">
        <v>58</v>
      </c>
      <c r="D1756" s="7" t="s">
        <v>58</v>
      </c>
      <c r="E1756" s="7" t="s">
        <v>58</v>
      </c>
      <c r="F1756" s="7" t="s">
        <v>58</v>
      </c>
      <c r="G1756" s="7" t="s">
        <v>58</v>
      </c>
      <c r="H1756" s="7" t="s">
        <v>58</v>
      </c>
      <c r="I1756" s="7" t="s">
        <v>58</v>
      </c>
    </row>
    <row r="1757" spans="1:9" x14ac:dyDescent="0.25">
      <c r="A1757" s="1" t="s">
        <v>96</v>
      </c>
      <c r="B1757" s="5">
        <v>26.47</v>
      </c>
      <c r="C1757" s="5">
        <v>26.52</v>
      </c>
      <c r="D1757" s="5">
        <v>26.61</v>
      </c>
      <c r="E1757" s="5">
        <v>26.71</v>
      </c>
      <c r="F1757" s="5">
        <v>26.81</v>
      </c>
      <c r="G1757" s="5">
        <v>26.91</v>
      </c>
      <c r="H1757" s="5">
        <v>27.01</v>
      </c>
      <c r="I1757" s="6">
        <v>0.33715299999999998</v>
      </c>
    </row>
    <row r="1758" spans="1:9" x14ac:dyDescent="0.25">
      <c r="A1758" s="1" t="s">
        <v>97</v>
      </c>
      <c r="B1758" s="7" t="s">
        <v>58</v>
      </c>
      <c r="C1758" s="7" t="s">
        <v>58</v>
      </c>
      <c r="D1758" s="7" t="s">
        <v>58</v>
      </c>
      <c r="E1758" s="7" t="s">
        <v>58</v>
      </c>
      <c r="F1758" s="7" t="s">
        <v>58</v>
      </c>
      <c r="G1758" s="7" t="s">
        <v>58</v>
      </c>
      <c r="H1758" s="7" t="s">
        <v>58</v>
      </c>
      <c r="I1758" s="7" t="s">
        <v>58</v>
      </c>
    </row>
    <row r="1759" spans="1:9" x14ac:dyDescent="0.25">
      <c r="A1759" s="1" t="s">
        <v>98</v>
      </c>
      <c r="B1759" s="7" t="s">
        <v>58</v>
      </c>
      <c r="C1759" s="7" t="s">
        <v>58</v>
      </c>
      <c r="D1759" s="7" t="s">
        <v>58</v>
      </c>
      <c r="E1759" s="7" t="s">
        <v>58</v>
      </c>
      <c r="F1759" s="7" t="s">
        <v>58</v>
      </c>
      <c r="G1759" s="7" t="s">
        <v>58</v>
      </c>
      <c r="H1759" s="7" t="s">
        <v>58</v>
      </c>
      <c r="I1759" s="7" t="s">
        <v>58</v>
      </c>
    </row>
    <row r="1760" spans="1:9" x14ac:dyDescent="0.25">
      <c r="A1760" s="1" t="s">
        <v>99</v>
      </c>
      <c r="B1760" s="7" t="s">
        <v>58</v>
      </c>
      <c r="C1760" s="7" t="s">
        <v>58</v>
      </c>
      <c r="D1760" s="7" t="s">
        <v>58</v>
      </c>
      <c r="E1760" s="7" t="s">
        <v>58</v>
      </c>
      <c r="F1760" s="7" t="s">
        <v>58</v>
      </c>
      <c r="G1760" s="7" t="s">
        <v>58</v>
      </c>
      <c r="H1760" s="7" t="s">
        <v>58</v>
      </c>
      <c r="I1760" s="7" t="s">
        <v>58</v>
      </c>
    </row>
    <row r="1761" spans="1:9" x14ac:dyDescent="0.25">
      <c r="A1761" s="1" t="s">
        <v>100</v>
      </c>
      <c r="B1761" s="5">
        <v>13.48</v>
      </c>
      <c r="C1761" s="5">
        <v>13.32</v>
      </c>
      <c r="D1761" s="5">
        <v>14.75</v>
      </c>
      <c r="E1761" s="5">
        <v>14.83</v>
      </c>
      <c r="F1761" s="5">
        <v>14.89</v>
      </c>
      <c r="G1761" s="5">
        <v>14.88</v>
      </c>
      <c r="H1761" s="5">
        <v>14.95</v>
      </c>
      <c r="I1761" s="6">
        <v>1.740035</v>
      </c>
    </row>
    <row r="1762" spans="1:9" x14ac:dyDescent="0.25">
      <c r="A1762" s="1" t="s">
        <v>101</v>
      </c>
      <c r="B1762" s="5">
        <v>26.36</v>
      </c>
      <c r="C1762" s="5">
        <v>25.32</v>
      </c>
      <c r="D1762" s="5">
        <v>25.64</v>
      </c>
      <c r="E1762" s="5">
        <v>25.97</v>
      </c>
      <c r="F1762" s="5">
        <v>26.32</v>
      </c>
      <c r="G1762" s="5">
        <v>26.6</v>
      </c>
      <c r="H1762" s="5">
        <v>26.96</v>
      </c>
      <c r="I1762" s="6">
        <v>0.37581399999999998</v>
      </c>
    </row>
    <row r="1763" spans="1:9" x14ac:dyDescent="0.25">
      <c r="A1763" s="1" t="s">
        <v>102</v>
      </c>
      <c r="B1763" s="5">
        <v>22.76</v>
      </c>
      <c r="C1763" s="5">
        <v>22.9</v>
      </c>
      <c r="D1763" s="5">
        <v>23.11</v>
      </c>
      <c r="E1763" s="5">
        <v>23.34</v>
      </c>
      <c r="F1763" s="5">
        <v>23.58</v>
      </c>
      <c r="G1763" s="5">
        <v>23.83</v>
      </c>
      <c r="H1763" s="5">
        <v>24.08</v>
      </c>
      <c r="I1763" s="6">
        <v>0.94404500000000002</v>
      </c>
    </row>
    <row r="1764" spans="1:9" x14ac:dyDescent="0.25">
      <c r="A1764" s="1" t="s">
        <v>103</v>
      </c>
      <c r="B1764" s="5">
        <v>45.25</v>
      </c>
      <c r="C1764" s="5">
        <v>46.4</v>
      </c>
      <c r="D1764" s="5">
        <v>47.55</v>
      </c>
      <c r="E1764" s="5">
        <v>48.66</v>
      </c>
      <c r="F1764" s="5">
        <v>49.75</v>
      </c>
      <c r="G1764" s="5">
        <v>50.85</v>
      </c>
      <c r="H1764" s="5">
        <v>51.94</v>
      </c>
      <c r="I1764" s="6">
        <v>2.324719</v>
      </c>
    </row>
    <row r="1765" spans="1:9" x14ac:dyDescent="0.25">
      <c r="A1765" s="1" t="s">
        <v>104</v>
      </c>
      <c r="B1765" s="7" t="s">
        <v>58</v>
      </c>
      <c r="C1765" s="7" t="s">
        <v>58</v>
      </c>
      <c r="D1765" s="7" t="s">
        <v>58</v>
      </c>
      <c r="E1765" s="7" t="s">
        <v>58</v>
      </c>
      <c r="F1765" s="7" t="s">
        <v>58</v>
      </c>
      <c r="G1765" s="7" t="s">
        <v>58</v>
      </c>
      <c r="H1765" s="7" t="s">
        <v>58</v>
      </c>
      <c r="I1765" s="7" t="s">
        <v>58</v>
      </c>
    </row>
    <row r="1766" spans="1:9" x14ac:dyDescent="0.25">
      <c r="A1766" s="1" t="s">
        <v>105</v>
      </c>
      <c r="B1766" s="5">
        <v>15.26</v>
      </c>
      <c r="C1766" s="5">
        <v>15.38</v>
      </c>
      <c r="D1766" s="5">
        <v>15.62</v>
      </c>
      <c r="E1766" s="5">
        <v>15.86</v>
      </c>
      <c r="F1766" s="5">
        <v>16.059999999999999</v>
      </c>
      <c r="G1766" s="5">
        <v>16.260000000000002</v>
      </c>
      <c r="H1766" s="5">
        <v>16.47</v>
      </c>
      <c r="I1766" s="6">
        <v>1.2798799999999999</v>
      </c>
    </row>
    <row r="1767" spans="1:9" x14ac:dyDescent="0.25">
      <c r="A1767" s="1" t="s">
        <v>106</v>
      </c>
      <c r="B1767" s="5">
        <v>13.19</v>
      </c>
      <c r="C1767" s="5">
        <v>13.33</v>
      </c>
      <c r="D1767" s="5">
        <v>13.48</v>
      </c>
      <c r="E1767" s="5">
        <v>13.63</v>
      </c>
      <c r="F1767" s="5">
        <v>13.78</v>
      </c>
      <c r="G1767" s="5">
        <v>13.93</v>
      </c>
      <c r="H1767" s="5">
        <v>14.09</v>
      </c>
      <c r="I1767" s="6">
        <v>1.106179</v>
      </c>
    </row>
    <row r="1768" spans="1:9" ht="30" x14ac:dyDescent="0.25">
      <c r="A1768" s="1" t="s">
        <v>107</v>
      </c>
      <c r="B1768" s="5">
        <v>33.270000000000003</v>
      </c>
      <c r="C1768" s="5">
        <v>33.6</v>
      </c>
      <c r="D1768" s="5">
        <v>33.94</v>
      </c>
      <c r="E1768" s="5">
        <v>34.28</v>
      </c>
      <c r="F1768" s="5">
        <v>34.619999999999997</v>
      </c>
      <c r="G1768" s="5">
        <v>34.97</v>
      </c>
      <c r="H1768" s="5">
        <v>35.31</v>
      </c>
      <c r="I1768" s="6">
        <v>0.99677000000000004</v>
      </c>
    </row>
    <row r="1769" spans="1:9" x14ac:dyDescent="0.25">
      <c r="A1769" s="1" t="s">
        <v>108</v>
      </c>
      <c r="B1769" s="7" t="s">
        <v>58</v>
      </c>
      <c r="C1769" s="7" t="s">
        <v>58</v>
      </c>
      <c r="D1769" s="7" t="s">
        <v>58</v>
      </c>
      <c r="E1769" s="7" t="s">
        <v>58</v>
      </c>
      <c r="F1769" s="7" t="s">
        <v>58</v>
      </c>
      <c r="G1769" s="7" t="s">
        <v>58</v>
      </c>
      <c r="H1769" s="7" t="s">
        <v>58</v>
      </c>
      <c r="I1769" s="7" t="s">
        <v>58</v>
      </c>
    </row>
    <row r="1770" spans="1:9" ht="30" x14ac:dyDescent="0.25">
      <c r="A1770" s="1" t="s">
        <v>109</v>
      </c>
      <c r="B1770" s="7" t="s">
        <v>58</v>
      </c>
      <c r="C1770" s="7" t="s">
        <v>58</v>
      </c>
      <c r="D1770" s="7" t="s">
        <v>58</v>
      </c>
      <c r="E1770" s="7" t="s">
        <v>58</v>
      </c>
      <c r="F1770" s="7" t="s">
        <v>58</v>
      </c>
      <c r="G1770" s="7" t="s">
        <v>58</v>
      </c>
      <c r="H1770" s="7" t="s">
        <v>58</v>
      </c>
      <c r="I1770" s="7" t="s">
        <v>58</v>
      </c>
    </row>
    <row r="1771" spans="1:9" x14ac:dyDescent="0.25">
      <c r="A1771" s="1" t="s">
        <v>110</v>
      </c>
      <c r="B1771" s="5">
        <v>39.19</v>
      </c>
      <c r="C1771" s="5">
        <v>37.369999999999997</v>
      </c>
      <c r="D1771" s="5">
        <v>36.090000000000003</v>
      </c>
      <c r="E1771" s="5">
        <v>35.409999999999997</v>
      </c>
      <c r="F1771" s="5">
        <v>35.369999999999997</v>
      </c>
      <c r="G1771" s="5">
        <v>35.4</v>
      </c>
      <c r="H1771" s="5">
        <v>35.630000000000003</v>
      </c>
      <c r="I1771" s="6">
        <v>-1.574697</v>
      </c>
    </row>
    <row r="1772" spans="1:9" x14ac:dyDescent="0.25">
      <c r="A1772" s="1" t="s">
        <v>111</v>
      </c>
      <c r="B1772" s="7" t="s">
        <v>58</v>
      </c>
      <c r="C1772" s="7" t="s">
        <v>58</v>
      </c>
      <c r="D1772" s="7" t="s">
        <v>58</v>
      </c>
      <c r="E1772" s="7" t="s">
        <v>58</v>
      </c>
      <c r="F1772" s="7" t="s">
        <v>58</v>
      </c>
      <c r="G1772" s="7" t="s">
        <v>58</v>
      </c>
      <c r="H1772" s="7" t="s">
        <v>58</v>
      </c>
      <c r="I1772" s="7" t="s">
        <v>58</v>
      </c>
    </row>
    <row r="1773" spans="1:9" x14ac:dyDescent="0.25">
      <c r="A1773" s="1" t="s">
        <v>112</v>
      </c>
      <c r="B1773" s="7" t="s">
        <v>58</v>
      </c>
      <c r="C1773" s="7" t="s">
        <v>58</v>
      </c>
      <c r="D1773" s="7" t="s">
        <v>58</v>
      </c>
      <c r="E1773" s="7" t="s">
        <v>58</v>
      </c>
      <c r="F1773" s="7" t="s">
        <v>58</v>
      </c>
      <c r="G1773" s="7" t="s">
        <v>58</v>
      </c>
      <c r="H1773" s="7" t="s">
        <v>58</v>
      </c>
      <c r="I1773" s="7" t="s">
        <v>58</v>
      </c>
    </row>
    <row r="1774" spans="1:9" x14ac:dyDescent="0.25">
      <c r="A1774" s="1" t="s">
        <v>113</v>
      </c>
      <c r="B1774" s="7" t="s">
        <v>58</v>
      </c>
      <c r="C1774" s="7" t="s">
        <v>58</v>
      </c>
      <c r="D1774" s="7" t="s">
        <v>58</v>
      </c>
      <c r="E1774" s="7" t="s">
        <v>58</v>
      </c>
      <c r="F1774" s="7" t="s">
        <v>58</v>
      </c>
      <c r="G1774" s="7" t="s">
        <v>58</v>
      </c>
      <c r="H1774" s="7" t="s">
        <v>58</v>
      </c>
      <c r="I1774" s="7" t="s">
        <v>58</v>
      </c>
    </row>
    <row r="1775" spans="1:9" x14ac:dyDescent="0.25">
      <c r="A1775" s="1" t="s">
        <v>114</v>
      </c>
      <c r="B1775" s="5">
        <v>9.0500000000000007</v>
      </c>
      <c r="C1775" s="5">
        <v>9.15</v>
      </c>
      <c r="D1775" s="5">
        <v>9.26</v>
      </c>
      <c r="E1775" s="5">
        <v>9.35</v>
      </c>
      <c r="F1775" s="5">
        <v>9.44</v>
      </c>
      <c r="G1775" s="5">
        <v>9.5299999999999994</v>
      </c>
      <c r="H1775" s="5">
        <v>9.6199999999999992</v>
      </c>
      <c r="I1775" s="6">
        <v>1.023191</v>
      </c>
    </row>
    <row r="1776" spans="1:9" ht="30" x14ac:dyDescent="0.25">
      <c r="A1776" s="1" t="s">
        <v>115</v>
      </c>
      <c r="B1776" s="5">
        <v>29.41</v>
      </c>
      <c r="C1776" s="5">
        <v>29.46</v>
      </c>
      <c r="D1776" s="5">
        <v>29.79</v>
      </c>
      <c r="E1776" s="5">
        <v>30.15</v>
      </c>
      <c r="F1776" s="5">
        <v>30.46</v>
      </c>
      <c r="G1776" s="5">
        <v>30.92</v>
      </c>
      <c r="H1776" s="5">
        <v>31.38</v>
      </c>
      <c r="I1776" s="6">
        <v>1.0864590000000001</v>
      </c>
    </row>
    <row r="1777" spans="1:9" x14ac:dyDescent="0.25">
      <c r="A1777" s="1" t="s">
        <v>116</v>
      </c>
      <c r="B1777" s="7" t="s">
        <v>58</v>
      </c>
      <c r="C1777" s="7" t="s">
        <v>58</v>
      </c>
      <c r="D1777" s="7" t="s">
        <v>58</v>
      </c>
      <c r="E1777" s="7" t="s">
        <v>58</v>
      </c>
      <c r="F1777" s="7" t="s">
        <v>58</v>
      </c>
      <c r="G1777" s="7" t="s">
        <v>58</v>
      </c>
      <c r="H1777" s="7" t="s">
        <v>58</v>
      </c>
      <c r="I1777" s="7" t="s">
        <v>58</v>
      </c>
    </row>
    <row r="1778" spans="1:9" x14ac:dyDescent="0.25">
      <c r="A1778" s="1" t="s">
        <v>12</v>
      </c>
      <c r="B1778" s="2"/>
      <c r="C1778" s="2"/>
      <c r="D1778" s="2"/>
      <c r="E1778" s="2"/>
      <c r="F1778" s="2"/>
      <c r="G1778" s="2"/>
      <c r="H1778" s="2"/>
      <c r="I1778" s="2"/>
    </row>
    <row r="1779" spans="1:9" ht="60" x14ac:dyDescent="0.25">
      <c r="A1779" s="1" t="s">
        <v>133</v>
      </c>
      <c r="B1779" s="2"/>
      <c r="C1779" s="2"/>
      <c r="D1779" s="2"/>
      <c r="E1779" s="2"/>
      <c r="F1779" s="2"/>
      <c r="G1779" s="2"/>
      <c r="H1779" s="2"/>
      <c r="I1779" s="2"/>
    </row>
    <row r="1780" spans="1:9" x14ac:dyDescent="0.25">
      <c r="A1780" s="1" t="s">
        <v>14</v>
      </c>
      <c r="B1780" s="7" t="s">
        <v>58</v>
      </c>
      <c r="C1780" s="7" t="s">
        <v>58</v>
      </c>
      <c r="D1780" s="7" t="s">
        <v>58</v>
      </c>
      <c r="E1780" s="7" t="s">
        <v>58</v>
      </c>
      <c r="F1780" s="7" t="s">
        <v>58</v>
      </c>
      <c r="G1780" s="7" t="s">
        <v>58</v>
      </c>
      <c r="H1780" s="7" t="s">
        <v>58</v>
      </c>
      <c r="I1780" s="7" t="s">
        <v>58</v>
      </c>
    </row>
    <row r="1781" spans="1:9" ht="30" x14ac:dyDescent="0.25">
      <c r="A1781" s="1" t="s">
        <v>15</v>
      </c>
      <c r="B1781" s="5">
        <v>32.41109634</v>
      </c>
      <c r="C1781" s="5">
        <v>35.532923439999998</v>
      </c>
      <c r="D1781" s="5">
        <v>35.999408750000001</v>
      </c>
      <c r="E1781" s="5">
        <v>35.08518789</v>
      </c>
      <c r="F1781" s="5">
        <v>34.78547176</v>
      </c>
      <c r="G1781" s="5">
        <v>34.404434989999999</v>
      </c>
      <c r="H1781" s="5">
        <v>34.377814430000001</v>
      </c>
      <c r="I1781" s="6">
        <v>0.98667894568791326</v>
      </c>
    </row>
    <row r="1782" spans="1:9" x14ac:dyDescent="0.25">
      <c r="A1782" s="1" t="s">
        <v>16</v>
      </c>
      <c r="B1782" s="5">
        <v>19.933047389999999</v>
      </c>
      <c r="C1782" s="5">
        <v>19.898426789999998</v>
      </c>
      <c r="D1782" s="5">
        <v>20.208224560000001</v>
      </c>
      <c r="E1782" s="5">
        <v>19.783924349999999</v>
      </c>
      <c r="F1782" s="5">
        <v>20.135041919999999</v>
      </c>
      <c r="G1782" s="5">
        <v>20.155872070000001</v>
      </c>
      <c r="H1782" s="5">
        <v>20.60173399</v>
      </c>
      <c r="I1782" s="6">
        <v>0.55145191794476744</v>
      </c>
    </row>
    <row r="1783" spans="1:9" x14ac:dyDescent="0.25">
      <c r="A1783" s="1" t="s">
        <v>17</v>
      </c>
      <c r="B1783" s="5">
        <v>53.621271290000003</v>
      </c>
      <c r="C1783" s="5">
        <v>53.621271290000003</v>
      </c>
      <c r="D1783" s="5">
        <v>53.621271290000003</v>
      </c>
      <c r="E1783" s="5">
        <v>53.621271290000003</v>
      </c>
      <c r="F1783" s="5">
        <v>53.621271290000003</v>
      </c>
      <c r="G1783" s="5">
        <v>53.621271290000003</v>
      </c>
      <c r="H1783" s="5">
        <v>53.621271290000003</v>
      </c>
      <c r="I1783" s="6">
        <v>0</v>
      </c>
    </row>
    <row r="1784" spans="1:9" x14ac:dyDescent="0.25">
      <c r="A1784" s="1" t="s">
        <v>18</v>
      </c>
      <c r="B1784" s="7" t="s">
        <v>58</v>
      </c>
      <c r="C1784" s="7" t="s">
        <v>58</v>
      </c>
      <c r="D1784" s="7" t="s">
        <v>58</v>
      </c>
      <c r="E1784" s="7" t="s">
        <v>58</v>
      </c>
      <c r="F1784" s="7" t="s">
        <v>58</v>
      </c>
      <c r="G1784" s="7" t="s">
        <v>58</v>
      </c>
      <c r="H1784" s="7" t="s">
        <v>58</v>
      </c>
      <c r="I1784" s="7" t="s">
        <v>58</v>
      </c>
    </row>
    <row r="1785" spans="1:9" x14ac:dyDescent="0.25">
      <c r="A1785" s="1" t="s">
        <v>19</v>
      </c>
      <c r="B1785" s="7" t="s">
        <v>58</v>
      </c>
      <c r="C1785" s="7" t="s">
        <v>58</v>
      </c>
      <c r="D1785" s="7" t="s">
        <v>58</v>
      </c>
      <c r="E1785" s="7" t="s">
        <v>58</v>
      </c>
      <c r="F1785" s="7" t="s">
        <v>58</v>
      </c>
      <c r="G1785" s="7" t="s">
        <v>58</v>
      </c>
      <c r="H1785" s="7" t="s">
        <v>58</v>
      </c>
      <c r="I1785" s="7" t="s">
        <v>58</v>
      </c>
    </row>
    <row r="1786" spans="1:9" x14ac:dyDescent="0.25">
      <c r="A1786" s="1" t="s">
        <v>20</v>
      </c>
      <c r="B1786" s="7" t="s">
        <v>58</v>
      </c>
      <c r="C1786" s="7" t="s">
        <v>58</v>
      </c>
      <c r="D1786" s="7" t="s">
        <v>58</v>
      </c>
      <c r="E1786" s="7" t="s">
        <v>58</v>
      </c>
      <c r="F1786" s="7" t="s">
        <v>58</v>
      </c>
      <c r="G1786" s="7" t="s">
        <v>58</v>
      </c>
      <c r="H1786" s="7" t="s">
        <v>58</v>
      </c>
      <c r="I1786" s="7" t="s">
        <v>58</v>
      </c>
    </row>
    <row r="1787" spans="1:9" x14ac:dyDescent="0.25">
      <c r="A1787" s="1" t="s">
        <v>21</v>
      </c>
      <c r="B1787" s="5">
        <v>0</v>
      </c>
      <c r="C1787" s="5">
        <v>0</v>
      </c>
      <c r="D1787" s="5">
        <v>0</v>
      </c>
      <c r="E1787" s="5">
        <v>0</v>
      </c>
      <c r="F1787" s="5">
        <v>0</v>
      </c>
      <c r="G1787" s="5">
        <v>0</v>
      </c>
      <c r="H1787" s="5">
        <v>0</v>
      </c>
      <c r="I1787" s="7" t="s">
        <v>58</v>
      </c>
    </row>
    <row r="1788" spans="1:9" x14ac:dyDescent="0.25">
      <c r="A1788" s="1" t="s">
        <v>22</v>
      </c>
      <c r="B1788" s="7" t="s">
        <v>58</v>
      </c>
      <c r="C1788" s="7" t="s">
        <v>58</v>
      </c>
      <c r="D1788" s="7" t="s">
        <v>58</v>
      </c>
      <c r="E1788" s="7" t="s">
        <v>58</v>
      </c>
      <c r="F1788" s="7" t="s">
        <v>58</v>
      </c>
      <c r="G1788" s="7" t="s">
        <v>58</v>
      </c>
      <c r="H1788" s="7" t="s">
        <v>58</v>
      </c>
      <c r="I1788" s="7" t="s">
        <v>58</v>
      </c>
    </row>
    <row r="1789" spans="1:9" x14ac:dyDescent="0.25">
      <c r="A1789" s="1" t="s">
        <v>23</v>
      </c>
      <c r="B1789" s="5">
        <v>37.256226759999997</v>
      </c>
      <c r="C1789" s="5">
        <v>36.879087390000002</v>
      </c>
      <c r="D1789" s="5">
        <v>36.323708330000002</v>
      </c>
      <c r="E1789" s="5">
        <v>35.768870450000001</v>
      </c>
      <c r="F1789" s="5">
        <v>35.214572969999999</v>
      </c>
      <c r="G1789" s="5">
        <v>34.660814649999999</v>
      </c>
      <c r="H1789" s="5">
        <v>34.10758594</v>
      </c>
      <c r="I1789" s="6">
        <v>-1.4608786088074588</v>
      </c>
    </row>
    <row r="1790" spans="1:9" x14ac:dyDescent="0.25">
      <c r="A1790" s="1" t="s">
        <v>24</v>
      </c>
      <c r="B1790" s="7" t="s">
        <v>58</v>
      </c>
      <c r="C1790" s="7" t="s">
        <v>58</v>
      </c>
      <c r="D1790" s="7" t="s">
        <v>58</v>
      </c>
      <c r="E1790" s="7" t="s">
        <v>58</v>
      </c>
      <c r="F1790" s="7" t="s">
        <v>58</v>
      </c>
      <c r="G1790" s="7" t="s">
        <v>58</v>
      </c>
      <c r="H1790" s="7" t="s">
        <v>58</v>
      </c>
      <c r="I1790" s="7" t="s">
        <v>58</v>
      </c>
    </row>
    <row r="1791" spans="1:9" x14ac:dyDescent="0.25">
      <c r="A1791" s="1" t="s">
        <v>25</v>
      </c>
      <c r="B1791" s="7" t="s">
        <v>58</v>
      </c>
      <c r="C1791" s="7" t="s">
        <v>58</v>
      </c>
      <c r="D1791" s="7" t="s">
        <v>58</v>
      </c>
      <c r="E1791" s="7" t="s">
        <v>58</v>
      </c>
      <c r="F1791" s="7" t="s">
        <v>58</v>
      </c>
      <c r="G1791" s="7" t="s">
        <v>58</v>
      </c>
      <c r="H1791" s="7" t="s">
        <v>58</v>
      </c>
      <c r="I1791" s="7" t="s">
        <v>58</v>
      </c>
    </row>
    <row r="1792" spans="1:9" x14ac:dyDescent="0.25">
      <c r="A1792" s="1" t="s">
        <v>26</v>
      </c>
      <c r="B1792" s="7" t="s">
        <v>58</v>
      </c>
      <c r="C1792" s="7" t="s">
        <v>58</v>
      </c>
      <c r="D1792" s="7" t="s">
        <v>58</v>
      </c>
      <c r="E1792" s="7" t="s">
        <v>58</v>
      </c>
      <c r="F1792" s="7" t="s">
        <v>58</v>
      </c>
      <c r="G1792" s="7" t="s">
        <v>58</v>
      </c>
      <c r="H1792" s="7" t="s">
        <v>58</v>
      </c>
      <c r="I1792" s="7" t="s">
        <v>58</v>
      </c>
    </row>
    <row r="1793" spans="1:9" x14ac:dyDescent="0.25">
      <c r="A1793" s="1" t="s">
        <v>27</v>
      </c>
      <c r="B1793" s="7" t="s">
        <v>58</v>
      </c>
      <c r="C1793" s="7" t="s">
        <v>58</v>
      </c>
      <c r="D1793" s="7" t="s">
        <v>58</v>
      </c>
      <c r="E1793" s="7" t="s">
        <v>58</v>
      </c>
      <c r="F1793" s="7" t="s">
        <v>58</v>
      </c>
      <c r="G1793" s="7" t="s">
        <v>58</v>
      </c>
      <c r="H1793" s="7" t="s">
        <v>58</v>
      </c>
      <c r="I1793" s="7" t="s">
        <v>58</v>
      </c>
    </row>
    <row r="1794" spans="1:9" x14ac:dyDescent="0.25">
      <c r="A1794" s="1" t="s">
        <v>28</v>
      </c>
      <c r="B1794" s="7" t="s">
        <v>58</v>
      </c>
      <c r="C1794" s="7" t="s">
        <v>58</v>
      </c>
      <c r="D1794" s="7" t="s">
        <v>58</v>
      </c>
      <c r="E1794" s="7" t="s">
        <v>58</v>
      </c>
      <c r="F1794" s="7" t="s">
        <v>58</v>
      </c>
      <c r="G1794" s="7" t="s">
        <v>58</v>
      </c>
      <c r="H1794" s="7" t="s">
        <v>58</v>
      </c>
      <c r="I1794" s="7" t="s">
        <v>58</v>
      </c>
    </row>
    <row r="1795" spans="1:9" x14ac:dyDescent="0.25">
      <c r="A1795" s="1" t="s">
        <v>29</v>
      </c>
      <c r="B1795" s="7" t="s">
        <v>58</v>
      </c>
      <c r="C1795" s="7" t="s">
        <v>58</v>
      </c>
      <c r="D1795" s="7" t="s">
        <v>58</v>
      </c>
      <c r="E1795" s="7" t="s">
        <v>58</v>
      </c>
      <c r="F1795" s="7" t="s">
        <v>58</v>
      </c>
      <c r="G1795" s="7" t="s">
        <v>58</v>
      </c>
      <c r="H1795" s="7" t="s">
        <v>58</v>
      </c>
      <c r="I1795" s="7" t="s">
        <v>58</v>
      </c>
    </row>
    <row r="1796" spans="1:9" x14ac:dyDescent="0.25">
      <c r="A1796" s="1" t="s">
        <v>30</v>
      </c>
      <c r="B1796" s="7" t="s">
        <v>58</v>
      </c>
      <c r="C1796" s="7" t="s">
        <v>58</v>
      </c>
      <c r="D1796" s="7" t="s">
        <v>58</v>
      </c>
      <c r="E1796" s="7" t="s">
        <v>58</v>
      </c>
      <c r="F1796" s="7" t="s">
        <v>58</v>
      </c>
      <c r="G1796" s="7" t="s">
        <v>58</v>
      </c>
      <c r="H1796" s="7" t="s">
        <v>58</v>
      </c>
      <c r="I1796" s="7" t="s">
        <v>58</v>
      </c>
    </row>
    <row r="1797" spans="1:9" x14ac:dyDescent="0.25">
      <c r="A1797" s="1" t="s">
        <v>31</v>
      </c>
      <c r="B1797" s="7" t="s">
        <v>58</v>
      </c>
      <c r="C1797" s="7" t="s">
        <v>58</v>
      </c>
      <c r="D1797" s="7" t="s">
        <v>58</v>
      </c>
      <c r="E1797" s="7" t="s">
        <v>58</v>
      </c>
      <c r="F1797" s="7" t="s">
        <v>58</v>
      </c>
      <c r="G1797" s="7" t="s">
        <v>58</v>
      </c>
      <c r="H1797" s="7" t="s">
        <v>58</v>
      </c>
      <c r="I1797" s="7" t="s">
        <v>58</v>
      </c>
    </row>
    <row r="1798" spans="1:9" x14ac:dyDescent="0.25">
      <c r="A1798" s="1" t="s">
        <v>32</v>
      </c>
      <c r="B1798" s="7" t="s">
        <v>58</v>
      </c>
      <c r="C1798" s="7" t="s">
        <v>58</v>
      </c>
      <c r="D1798" s="7" t="s">
        <v>58</v>
      </c>
      <c r="E1798" s="7" t="s">
        <v>58</v>
      </c>
      <c r="F1798" s="7" t="s">
        <v>58</v>
      </c>
      <c r="G1798" s="7" t="s">
        <v>58</v>
      </c>
      <c r="H1798" s="7" t="s">
        <v>58</v>
      </c>
      <c r="I1798" s="7" t="s">
        <v>58</v>
      </c>
    </row>
    <row r="1799" spans="1:9" x14ac:dyDescent="0.25">
      <c r="A1799" s="1" t="s">
        <v>33</v>
      </c>
      <c r="B1799" s="5">
        <v>2.6028875999999999E-2</v>
      </c>
      <c r="C1799" s="5">
        <v>2.6112766999999999E-2</v>
      </c>
      <c r="D1799" s="5">
        <v>2.6505399999999998E-2</v>
      </c>
      <c r="E1799" s="5">
        <v>2.7697556000000002E-2</v>
      </c>
      <c r="F1799" s="5">
        <v>2.6257498000000001E-2</v>
      </c>
      <c r="G1799" s="5">
        <v>2.6779193999999999E-2</v>
      </c>
      <c r="H1799" s="5">
        <v>2.77401E-2</v>
      </c>
      <c r="I1799" s="6">
        <v>1.0668588279586055</v>
      </c>
    </row>
    <row r="1800" spans="1:9" ht="30" x14ac:dyDescent="0.25">
      <c r="A1800" s="1" t="s">
        <v>34</v>
      </c>
      <c r="B1800" s="7" t="s">
        <v>58</v>
      </c>
      <c r="C1800" s="7" t="s">
        <v>58</v>
      </c>
      <c r="D1800" s="7" t="s">
        <v>58</v>
      </c>
      <c r="E1800" s="7" t="s">
        <v>58</v>
      </c>
      <c r="F1800" s="7" t="s">
        <v>58</v>
      </c>
      <c r="G1800" s="7" t="s">
        <v>58</v>
      </c>
      <c r="H1800" s="7" t="s">
        <v>58</v>
      </c>
      <c r="I1800" s="7" t="s">
        <v>58</v>
      </c>
    </row>
    <row r="1801" spans="1:9" ht="30" x14ac:dyDescent="0.25">
      <c r="A1801" s="1" t="s">
        <v>35</v>
      </c>
      <c r="B1801" s="7" t="s">
        <v>58</v>
      </c>
      <c r="C1801" s="7" t="s">
        <v>58</v>
      </c>
      <c r="D1801" s="7" t="s">
        <v>58</v>
      </c>
      <c r="E1801" s="7" t="s">
        <v>58</v>
      </c>
      <c r="F1801" s="7" t="s">
        <v>58</v>
      </c>
      <c r="G1801" s="7" t="s">
        <v>58</v>
      </c>
      <c r="H1801" s="7" t="s">
        <v>58</v>
      </c>
      <c r="I1801" s="7" t="s">
        <v>58</v>
      </c>
    </row>
    <row r="1802" spans="1:9" x14ac:dyDescent="0.25">
      <c r="A1802" s="1" t="s">
        <v>36</v>
      </c>
      <c r="B1802" s="7" t="s">
        <v>58</v>
      </c>
      <c r="C1802" s="7" t="s">
        <v>58</v>
      </c>
      <c r="D1802" s="7" t="s">
        <v>58</v>
      </c>
      <c r="E1802" s="7" t="s">
        <v>58</v>
      </c>
      <c r="F1802" s="7" t="s">
        <v>58</v>
      </c>
      <c r="G1802" s="7" t="s">
        <v>58</v>
      </c>
      <c r="H1802" s="7" t="s">
        <v>58</v>
      </c>
      <c r="I1802" s="7" t="s">
        <v>58</v>
      </c>
    </row>
    <row r="1803" spans="1:9" x14ac:dyDescent="0.25">
      <c r="A1803" s="1" t="s">
        <v>37</v>
      </c>
      <c r="B1803" s="7" t="s">
        <v>58</v>
      </c>
      <c r="C1803" s="7" t="s">
        <v>58</v>
      </c>
      <c r="D1803" s="7" t="s">
        <v>58</v>
      </c>
      <c r="E1803" s="7" t="s">
        <v>58</v>
      </c>
      <c r="F1803" s="7" t="s">
        <v>58</v>
      </c>
      <c r="G1803" s="7" t="s">
        <v>58</v>
      </c>
      <c r="H1803" s="7" t="s">
        <v>58</v>
      </c>
      <c r="I1803" s="7" t="s">
        <v>58</v>
      </c>
    </row>
    <row r="1804" spans="1:9" x14ac:dyDescent="0.25">
      <c r="A1804" s="1" t="s">
        <v>38</v>
      </c>
      <c r="B1804" s="7" t="s">
        <v>58</v>
      </c>
      <c r="C1804" s="7" t="s">
        <v>58</v>
      </c>
      <c r="D1804" s="7" t="s">
        <v>58</v>
      </c>
      <c r="E1804" s="7" t="s">
        <v>58</v>
      </c>
      <c r="F1804" s="7" t="s">
        <v>58</v>
      </c>
      <c r="G1804" s="7" t="s">
        <v>58</v>
      </c>
      <c r="H1804" s="7" t="s">
        <v>58</v>
      </c>
      <c r="I1804" s="7" t="s">
        <v>58</v>
      </c>
    </row>
    <row r="1805" spans="1:9" x14ac:dyDescent="0.25">
      <c r="A1805" s="1" t="s">
        <v>39</v>
      </c>
      <c r="B1805" s="7" t="s">
        <v>58</v>
      </c>
      <c r="C1805" s="7" t="s">
        <v>58</v>
      </c>
      <c r="D1805" s="7" t="s">
        <v>58</v>
      </c>
      <c r="E1805" s="7" t="s">
        <v>58</v>
      </c>
      <c r="F1805" s="7" t="s">
        <v>58</v>
      </c>
      <c r="G1805" s="7" t="s">
        <v>58</v>
      </c>
      <c r="H1805" s="7" t="s">
        <v>58</v>
      </c>
      <c r="I1805" s="7" t="s">
        <v>58</v>
      </c>
    </row>
    <row r="1806" spans="1:9" x14ac:dyDescent="0.25">
      <c r="A1806" s="1" t="s">
        <v>40</v>
      </c>
      <c r="B1806" s="5">
        <v>33.688957379999998</v>
      </c>
      <c r="C1806" s="5">
        <v>34.025684669999997</v>
      </c>
      <c r="D1806" s="5">
        <v>34.364978409999999</v>
      </c>
      <c r="E1806" s="5">
        <v>34.709370010000001</v>
      </c>
      <c r="F1806" s="5">
        <v>35.057143359999998</v>
      </c>
      <c r="G1806" s="5">
        <v>35.407589780000002</v>
      </c>
      <c r="H1806" s="5">
        <v>0</v>
      </c>
      <c r="I1806" s="6">
        <v>-100</v>
      </c>
    </row>
    <row r="1807" spans="1:9" x14ac:dyDescent="0.25">
      <c r="A1807" s="1" t="s">
        <v>41</v>
      </c>
      <c r="B1807" s="7" t="s">
        <v>58</v>
      </c>
      <c r="C1807" s="7" t="s">
        <v>58</v>
      </c>
      <c r="D1807" s="7" t="s">
        <v>58</v>
      </c>
      <c r="E1807" s="7" t="s">
        <v>58</v>
      </c>
      <c r="F1807" s="7" t="s">
        <v>58</v>
      </c>
      <c r="G1807" s="7" t="s">
        <v>58</v>
      </c>
      <c r="H1807" s="7" t="s">
        <v>58</v>
      </c>
      <c r="I1807" s="7" t="s">
        <v>58</v>
      </c>
    </row>
    <row r="1808" spans="1:9" x14ac:dyDescent="0.25">
      <c r="A1808" s="1" t="s">
        <v>42</v>
      </c>
      <c r="B1808" s="7" t="s">
        <v>58</v>
      </c>
      <c r="C1808" s="7" t="s">
        <v>58</v>
      </c>
      <c r="D1808" s="7" t="s">
        <v>58</v>
      </c>
      <c r="E1808" s="7" t="s">
        <v>58</v>
      </c>
      <c r="F1808" s="7" t="s">
        <v>58</v>
      </c>
      <c r="G1808" s="7" t="s">
        <v>58</v>
      </c>
      <c r="H1808" s="7" t="s">
        <v>58</v>
      </c>
      <c r="I1808" s="7" t="s">
        <v>58</v>
      </c>
    </row>
    <row r="1809" spans="1:9" x14ac:dyDescent="0.25">
      <c r="A1809" s="1" t="s">
        <v>43</v>
      </c>
      <c r="B1809" s="7" t="s">
        <v>58</v>
      </c>
      <c r="C1809" s="7" t="s">
        <v>58</v>
      </c>
      <c r="D1809" s="7" t="s">
        <v>58</v>
      </c>
      <c r="E1809" s="7" t="s">
        <v>58</v>
      </c>
      <c r="F1809" s="7" t="s">
        <v>58</v>
      </c>
      <c r="G1809" s="7" t="s">
        <v>58</v>
      </c>
      <c r="H1809" s="7" t="s">
        <v>58</v>
      </c>
      <c r="I1809" s="7" t="s">
        <v>58</v>
      </c>
    </row>
    <row r="1810" spans="1:9" x14ac:dyDescent="0.25">
      <c r="A1810" s="1" t="s">
        <v>44</v>
      </c>
      <c r="B1810" s="7" t="s">
        <v>58</v>
      </c>
      <c r="C1810" s="7" t="s">
        <v>58</v>
      </c>
      <c r="D1810" s="7" t="s">
        <v>58</v>
      </c>
      <c r="E1810" s="7" t="s">
        <v>58</v>
      </c>
      <c r="F1810" s="7" t="s">
        <v>58</v>
      </c>
      <c r="G1810" s="7" t="s">
        <v>58</v>
      </c>
      <c r="H1810" s="7" t="s">
        <v>58</v>
      </c>
      <c r="I1810" s="7" t="s">
        <v>58</v>
      </c>
    </row>
    <row r="1811" spans="1:9" x14ac:dyDescent="0.25">
      <c r="A1811" s="1" t="s">
        <v>45</v>
      </c>
      <c r="B1811" s="7" t="s">
        <v>58</v>
      </c>
      <c r="C1811" s="7" t="s">
        <v>58</v>
      </c>
      <c r="D1811" s="7" t="s">
        <v>58</v>
      </c>
      <c r="E1811" s="7" t="s">
        <v>58</v>
      </c>
      <c r="F1811" s="7" t="s">
        <v>58</v>
      </c>
      <c r="G1811" s="7" t="s">
        <v>58</v>
      </c>
      <c r="H1811" s="7" t="s">
        <v>58</v>
      </c>
      <c r="I1811" s="7" t="s">
        <v>58</v>
      </c>
    </row>
    <row r="1812" spans="1:9" x14ac:dyDescent="0.25">
      <c r="A1812" s="1" t="s">
        <v>46</v>
      </c>
      <c r="B1812" s="5">
        <v>30.187673310000001</v>
      </c>
      <c r="C1812" s="5">
        <v>29.44574106</v>
      </c>
      <c r="D1812" s="5">
        <v>29.702215710000001</v>
      </c>
      <c r="E1812" s="5">
        <v>29.58173639</v>
      </c>
      <c r="F1812" s="5">
        <v>29.710979210000001</v>
      </c>
      <c r="G1812" s="5">
        <v>29.951696049999999</v>
      </c>
      <c r="H1812" s="5">
        <v>30.03157371</v>
      </c>
      <c r="I1812" s="6">
        <v>-8.636913531788748E-2</v>
      </c>
    </row>
    <row r="1813" spans="1:9" x14ac:dyDescent="0.25">
      <c r="A1813" s="1" t="s">
        <v>47</v>
      </c>
      <c r="B1813" s="7" t="s">
        <v>58</v>
      </c>
      <c r="C1813" s="7" t="s">
        <v>58</v>
      </c>
      <c r="D1813" s="7" t="s">
        <v>58</v>
      </c>
      <c r="E1813" s="7" t="s">
        <v>58</v>
      </c>
      <c r="F1813" s="7" t="s">
        <v>58</v>
      </c>
      <c r="G1813" s="7" t="s">
        <v>58</v>
      </c>
      <c r="H1813" s="7" t="s">
        <v>58</v>
      </c>
      <c r="I1813" s="7" t="s">
        <v>58</v>
      </c>
    </row>
    <row r="1814" spans="1:9" x14ac:dyDescent="0.25">
      <c r="A1814" s="1" t="s">
        <v>48</v>
      </c>
      <c r="B1814" s="5">
        <v>34.538163529999999</v>
      </c>
      <c r="C1814" s="5">
        <v>36.538197910000001</v>
      </c>
      <c r="D1814" s="5">
        <v>37.915654330000002</v>
      </c>
      <c r="E1814" s="5">
        <v>38.23871853</v>
      </c>
      <c r="F1814" s="5">
        <v>38.463444819999999</v>
      </c>
      <c r="G1814" s="5">
        <v>38.787992529999997</v>
      </c>
      <c r="H1814" s="5">
        <v>38.638253059999997</v>
      </c>
      <c r="I1814" s="6">
        <v>1.8872186402352442</v>
      </c>
    </row>
    <row r="1815" spans="1:9" x14ac:dyDescent="0.25">
      <c r="A1815" s="1" t="s">
        <v>49</v>
      </c>
      <c r="B1815" s="5">
        <v>15.339287519999999</v>
      </c>
      <c r="C1815" s="5">
        <v>15.86230772</v>
      </c>
      <c r="D1815" s="5">
        <v>15.81029549</v>
      </c>
      <c r="E1815" s="5">
        <v>16.064736280000002</v>
      </c>
      <c r="F1815" s="5">
        <v>16.044696330000001</v>
      </c>
      <c r="G1815" s="5">
        <v>15.68311692</v>
      </c>
      <c r="H1815" s="5">
        <v>15.55371047</v>
      </c>
      <c r="I1815" s="6">
        <v>0.23163246491118006</v>
      </c>
    </row>
    <row r="1816" spans="1:9" x14ac:dyDescent="0.25">
      <c r="A1816" s="1" t="s">
        <v>50</v>
      </c>
      <c r="B1816" s="7" t="s">
        <v>58</v>
      </c>
      <c r="C1816" s="7" t="s">
        <v>58</v>
      </c>
      <c r="D1816" s="7" t="s">
        <v>58</v>
      </c>
      <c r="E1816" s="7" t="s">
        <v>58</v>
      </c>
      <c r="F1816" s="7" t="s">
        <v>58</v>
      </c>
      <c r="G1816" s="7" t="s">
        <v>58</v>
      </c>
      <c r="H1816" s="7" t="s">
        <v>58</v>
      </c>
      <c r="I1816" s="7" t="s">
        <v>58</v>
      </c>
    </row>
    <row r="1817" spans="1:9" x14ac:dyDescent="0.25">
      <c r="A1817" s="1" t="s">
        <v>51</v>
      </c>
      <c r="B1817" s="5">
        <v>38.545858889999998</v>
      </c>
      <c r="C1817" s="5">
        <v>39.548051219999998</v>
      </c>
      <c r="D1817" s="5">
        <v>40.339012240000002</v>
      </c>
      <c r="E1817" s="5">
        <v>41.145792489999998</v>
      </c>
      <c r="F1817" s="5">
        <v>41.968708339999999</v>
      </c>
      <c r="G1817" s="5">
        <v>42.808082499999998</v>
      </c>
      <c r="H1817" s="5">
        <v>43.664244150000002</v>
      </c>
      <c r="I1817" s="6">
        <v>2.0997557765509933</v>
      </c>
    </row>
    <row r="1818" spans="1:9" x14ac:dyDescent="0.25">
      <c r="A1818" s="1" t="s">
        <v>52</v>
      </c>
      <c r="B1818" s="7" t="s">
        <v>58</v>
      </c>
      <c r="C1818" s="7" t="s">
        <v>58</v>
      </c>
      <c r="D1818" s="7" t="s">
        <v>58</v>
      </c>
      <c r="E1818" s="7" t="s">
        <v>58</v>
      </c>
      <c r="F1818" s="7" t="s">
        <v>58</v>
      </c>
      <c r="G1818" s="7" t="s">
        <v>58</v>
      </c>
      <c r="H1818" s="7" t="s">
        <v>58</v>
      </c>
      <c r="I1818" s="7" t="s">
        <v>58</v>
      </c>
    </row>
    <row r="1819" spans="1:9" x14ac:dyDescent="0.25">
      <c r="A1819" s="1" t="s">
        <v>53</v>
      </c>
      <c r="B1819" s="5">
        <v>2.4202257000000001E-2</v>
      </c>
      <c r="C1819" s="5">
        <v>2.4202257000000001E-2</v>
      </c>
      <c r="D1819" s="5">
        <v>2.4202257000000001E-2</v>
      </c>
      <c r="E1819" s="5">
        <v>2.4202257000000001E-2</v>
      </c>
      <c r="F1819" s="5">
        <v>50.787911999999999</v>
      </c>
      <c r="G1819" s="5">
        <v>40.162399200000003</v>
      </c>
      <c r="H1819" s="5">
        <v>38.136780600000002</v>
      </c>
      <c r="I1819" s="6">
        <v>241.12589909155525</v>
      </c>
    </row>
    <row r="1820" spans="1:9" x14ac:dyDescent="0.25">
      <c r="A1820" s="1" t="s">
        <v>54</v>
      </c>
      <c r="B1820" s="7" t="s">
        <v>58</v>
      </c>
      <c r="C1820" s="7" t="s">
        <v>58</v>
      </c>
      <c r="D1820" s="7" t="s">
        <v>58</v>
      </c>
      <c r="E1820" s="7" t="s">
        <v>58</v>
      </c>
      <c r="F1820" s="7" t="s">
        <v>58</v>
      </c>
      <c r="G1820" s="7" t="s">
        <v>58</v>
      </c>
      <c r="H1820" s="7" t="s">
        <v>58</v>
      </c>
      <c r="I1820" s="7" t="s">
        <v>58</v>
      </c>
    </row>
    <row r="1821" spans="1:9" x14ac:dyDescent="0.25">
      <c r="A1821" s="1" t="s">
        <v>55</v>
      </c>
      <c r="B1821" s="5">
        <v>40.163941960000002</v>
      </c>
      <c r="C1821" s="5">
        <v>40.586406959999998</v>
      </c>
      <c r="D1821" s="5">
        <v>41.485826340000003</v>
      </c>
      <c r="E1821" s="5">
        <v>42.717903900000003</v>
      </c>
      <c r="F1821" s="5">
        <v>43.371173319999997</v>
      </c>
      <c r="G1821" s="5">
        <v>44.384454089999998</v>
      </c>
      <c r="H1821" s="5">
        <v>45.067676460000001</v>
      </c>
      <c r="I1821" s="6">
        <v>1.9384767026318528</v>
      </c>
    </row>
    <row r="1822" spans="1:9" x14ac:dyDescent="0.25">
      <c r="A1822" s="1" t="s">
        <v>56</v>
      </c>
      <c r="B1822" s="7" t="s">
        <v>58</v>
      </c>
      <c r="C1822" s="7" t="s">
        <v>58</v>
      </c>
      <c r="D1822" s="7" t="s">
        <v>58</v>
      </c>
      <c r="E1822" s="7" t="s">
        <v>58</v>
      </c>
      <c r="F1822" s="7" t="s">
        <v>58</v>
      </c>
      <c r="G1822" s="7" t="s">
        <v>58</v>
      </c>
      <c r="H1822" s="7" t="s">
        <v>58</v>
      </c>
      <c r="I1822" s="7" t="s">
        <v>58</v>
      </c>
    </row>
    <row r="1823" spans="1:9" x14ac:dyDescent="0.25">
      <c r="A1823" s="1" t="s">
        <v>57</v>
      </c>
      <c r="B1823" s="7" t="s">
        <v>58</v>
      </c>
      <c r="C1823" s="7" t="s">
        <v>58</v>
      </c>
      <c r="D1823" s="7" t="s">
        <v>58</v>
      </c>
      <c r="E1823" s="7" t="s">
        <v>58</v>
      </c>
      <c r="F1823" s="7" t="s">
        <v>58</v>
      </c>
      <c r="G1823" s="7" t="s">
        <v>58</v>
      </c>
      <c r="H1823" s="7" t="s">
        <v>58</v>
      </c>
      <c r="I1823" s="7" t="s">
        <v>58</v>
      </c>
    </row>
    <row r="1824" spans="1:9" x14ac:dyDescent="0.25">
      <c r="A1824" s="1" t="s">
        <v>59</v>
      </c>
      <c r="B1824" s="7" t="s">
        <v>58</v>
      </c>
      <c r="C1824" s="7" t="s">
        <v>58</v>
      </c>
      <c r="D1824" s="7" t="s">
        <v>58</v>
      </c>
      <c r="E1824" s="7" t="s">
        <v>58</v>
      </c>
      <c r="F1824" s="7" t="s">
        <v>58</v>
      </c>
      <c r="G1824" s="7" t="s">
        <v>58</v>
      </c>
      <c r="H1824" s="7" t="s">
        <v>58</v>
      </c>
      <c r="I1824" s="7" t="s">
        <v>58</v>
      </c>
    </row>
    <row r="1825" spans="1:9" x14ac:dyDescent="0.25">
      <c r="A1825" s="1" t="s">
        <v>60</v>
      </c>
      <c r="B1825" s="7" t="s">
        <v>58</v>
      </c>
      <c r="C1825" s="7" t="s">
        <v>58</v>
      </c>
      <c r="D1825" s="7" t="s">
        <v>58</v>
      </c>
      <c r="E1825" s="7" t="s">
        <v>58</v>
      </c>
      <c r="F1825" s="7" t="s">
        <v>58</v>
      </c>
      <c r="G1825" s="7" t="s">
        <v>58</v>
      </c>
      <c r="H1825" s="7" t="s">
        <v>58</v>
      </c>
      <c r="I1825" s="7" t="s">
        <v>58</v>
      </c>
    </row>
    <row r="1826" spans="1:9" ht="45" x14ac:dyDescent="0.25">
      <c r="A1826" s="1" t="s">
        <v>61</v>
      </c>
      <c r="B1826" s="7" t="s">
        <v>58</v>
      </c>
      <c r="C1826" s="7" t="s">
        <v>58</v>
      </c>
      <c r="D1826" s="7" t="s">
        <v>58</v>
      </c>
      <c r="E1826" s="7" t="s">
        <v>58</v>
      </c>
      <c r="F1826" s="7" t="s">
        <v>58</v>
      </c>
      <c r="G1826" s="7" t="s">
        <v>58</v>
      </c>
      <c r="H1826" s="7" t="s">
        <v>58</v>
      </c>
      <c r="I1826" s="7" t="s">
        <v>58</v>
      </c>
    </row>
    <row r="1827" spans="1:9" x14ac:dyDescent="0.25">
      <c r="A1827" s="1" t="s">
        <v>62</v>
      </c>
      <c r="B1827" s="7" t="s">
        <v>58</v>
      </c>
      <c r="C1827" s="7" t="s">
        <v>58</v>
      </c>
      <c r="D1827" s="7" t="s">
        <v>58</v>
      </c>
      <c r="E1827" s="7" t="s">
        <v>58</v>
      </c>
      <c r="F1827" s="7" t="s">
        <v>58</v>
      </c>
      <c r="G1827" s="7" t="s">
        <v>58</v>
      </c>
      <c r="H1827" s="7" t="s">
        <v>58</v>
      </c>
      <c r="I1827" s="7" t="s">
        <v>58</v>
      </c>
    </row>
    <row r="1828" spans="1:9" x14ac:dyDescent="0.25">
      <c r="A1828" s="1" t="s">
        <v>63</v>
      </c>
      <c r="B1828" s="7" t="s">
        <v>58</v>
      </c>
      <c r="C1828" s="7" t="s">
        <v>58</v>
      </c>
      <c r="D1828" s="7" t="s">
        <v>58</v>
      </c>
      <c r="E1828" s="7" t="s">
        <v>58</v>
      </c>
      <c r="F1828" s="7" t="s">
        <v>58</v>
      </c>
      <c r="G1828" s="7" t="s">
        <v>58</v>
      </c>
      <c r="H1828" s="7" t="s">
        <v>58</v>
      </c>
      <c r="I1828" s="7" t="s">
        <v>58</v>
      </c>
    </row>
    <row r="1829" spans="1:9" x14ac:dyDescent="0.25">
      <c r="A1829" s="1" t="s">
        <v>64</v>
      </c>
      <c r="B1829" s="7" t="s">
        <v>58</v>
      </c>
      <c r="C1829" s="7" t="s">
        <v>58</v>
      </c>
      <c r="D1829" s="7" t="s">
        <v>58</v>
      </c>
      <c r="E1829" s="7" t="s">
        <v>58</v>
      </c>
      <c r="F1829" s="7" t="s">
        <v>58</v>
      </c>
      <c r="G1829" s="7" t="s">
        <v>58</v>
      </c>
      <c r="H1829" s="7" t="s">
        <v>58</v>
      </c>
      <c r="I1829" s="7" t="s">
        <v>58</v>
      </c>
    </row>
    <row r="1830" spans="1:9" x14ac:dyDescent="0.25">
      <c r="A1830" s="1" t="s">
        <v>65</v>
      </c>
      <c r="B1830" s="5">
        <v>33.789078170000003</v>
      </c>
      <c r="C1830" s="5">
        <v>33.704893650000002</v>
      </c>
      <c r="D1830" s="5">
        <v>33.6180758</v>
      </c>
      <c r="E1830" s="5">
        <v>0</v>
      </c>
      <c r="F1830" s="5">
        <v>0</v>
      </c>
      <c r="G1830" s="5">
        <v>0</v>
      </c>
      <c r="H1830" s="5">
        <v>0</v>
      </c>
      <c r="I1830" s="6">
        <v>-100</v>
      </c>
    </row>
    <row r="1831" spans="1:9" x14ac:dyDescent="0.25">
      <c r="A1831" s="1" t="s">
        <v>66</v>
      </c>
      <c r="B1831" s="5">
        <v>66.090065539999998</v>
      </c>
      <c r="C1831" s="5">
        <v>64.768471939999998</v>
      </c>
      <c r="D1831" s="5">
        <v>63.472972519999999</v>
      </c>
      <c r="E1831" s="5">
        <v>62.203419480000001</v>
      </c>
      <c r="F1831" s="5">
        <v>60.95962875</v>
      </c>
      <c r="G1831" s="5">
        <v>59.740401890000001</v>
      </c>
      <c r="H1831" s="5">
        <v>58.545589470000003</v>
      </c>
      <c r="I1831" s="6">
        <v>-1.999941842522257</v>
      </c>
    </row>
    <row r="1832" spans="1:9" ht="30" x14ac:dyDescent="0.25">
      <c r="A1832" s="1" t="s">
        <v>67</v>
      </c>
      <c r="B1832" s="7" t="s">
        <v>58</v>
      </c>
      <c r="C1832" s="7" t="s">
        <v>58</v>
      </c>
      <c r="D1832" s="7" t="s">
        <v>58</v>
      </c>
      <c r="E1832" s="7" t="s">
        <v>58</v>
      </c>
      <c r="F1832" s="7" t="s">
        <v>58</v>
      </c>
      <c r="G1832" s="7" t="s">
        <v>58</v>
      </c>
      <c r="H1832" s="7" t="s">
        <v>58</v>
      </c>
      <c r="I1832" s="7" t="s">
        <v>58</v>
      </c>
    </row>
    <row r="1833" spans="1:9" x14ac:dyDescent="0.25">
      <c r="A1833" s="1" t="s">
        <v>68</v>
      </c>
      <c r="B1833" s="7" t="s">
        <v>58</v>
      </c>
      <c r="C1833" s="7" t="s">
        <v>58</v>
      </c>
      <c r="D1833" s="7" t="s">
        <v>58</v>
      </c>
      <c r="E1833" s="7" t="s">
        <v>58</v>
      </c>
      <c r="F1833" s="7" t="s">
        <v>58</v>
      </c>
      <c r="G1833" s="7" t="s">
        <v>58</v>
      </c>
      <c r="H1833" s="7" t="s">
        <v>58</v>
      </c>
      <c r="I1833" s="7" t="s">
        <v>58</v>
      </c>
    </row>
    <row r="1834" spans="1:9" x14ac:dyDescent="0.25">
      <c r="A1834" s="1" t="s">
        <v>69</v>
      </c>
      <c r="B1834" s="5">
        <v>13.855679329999999</v>
      </c>
      <c r="C1834" s="5">
        <v>13.574118779999999</v>
      </c>
      <c r="D1834" s="5">
        <v>14.021602189999999</v>
      </c>
      <c r="E1834" s="5">
        <v>14.42405106</v>
      </c>
      <c r="F1834" s="5">
        <v>14.6905096</v>
      </c>
      <c r="G1834" s="5">
        <v>14.69734586</v>
      </c>
      <c r="H1834" s="5">
        <v>14.30719717</v>
      </c>
      <c r="I1834" s="6">
        <v>0.53588912220448037</v>
      </c>
    </row>
    <row r="1835" spans="1:9" x14ac:dyDescent="0.25">
      <c r="A1835" s="1" t="s">
        <v>70</v>
      </c>
      <c r="B1835" s="5">
        <v>0.02</v>
      </c>
      <c r="C1835" s="5">
        <v>0.02</v>
      </c>
      <c r="D1835" s="5">
        <v>0.02</v>
      </c>
      <c r="E1835" s="5">
        <v>0.02</v>
      </c>
      <c r="F1835" s="5">
        <v>0.02</v>
      </c>
      <c r="G1835" s="5">
        <v>0.02</v>
      </c>
      <c r="H1835" s="5">
        <v>0.02</v>
      </c>
      <c r="I1835" s="6">
        <v>0</v>
      </c>
    </row>
    <row r="1836" spans="1:9" x14ac:dyDescent="0.25">
      <c r="A1836" s="1" t="s">
        <v>71</v>
      </c>
      <c r="B1836" s="5">
        <v>80.151624999999996</v>
      </c>
      <c r="C1836" s="5">
        <v>77.741830780000001</v>
      </c>
      <c r="D1836" s="5">
        <v>74.806329180000006</v>
      </c>
      <c r="E1836" s="5">
        <v>72.180231390000003</v>
      </c>
      <c r="F1836" s="5">
        <v>69.639704249999994</v>
      </c>
      <c r="G1836" s="5">
        <v>67.158090869999995</v>
      </c>
      <c r="H1836" s="5">
        <v>64.758463879999994</v>
      </c>
      <c r="I1836" s="6">
        <v>-3.4918402446217467</v>
      </c>
    </row>
    <row r="1837" spans="1:9" x14ac:dyDescent="0.25">
      <c r="A1837" s="1" t="s">
        <v>72</v>
      </c>
      <c r="B1837" s="7" t="s">
        <v>58</v>
      </c>
      <c r="C1837" s="7" t="s">
        <v>58</v>
      </c>
      <c r="D1837" s="7" t="s">
        <v>58</v>
      </c>
      <c r="E1837" s="7" t="s">
        <v>58</v>
      </c>
      <c r="F1837" s="7" t="s">
        <v>58</v>
      </c>
      <c r="G1837" s="7" t="s">
        <v>58</v>
      </c>
      <c r="H1837" s="7" t="s">
        <v>58</v>
      </c>
      <c r="I1837" s="7" t="s">
        <v>58</v>
      </c>
    </row>
    <row r="1838" spans="1:9" x14ac:dyDescent="0.25">
      <c r="A1838" s="1" t="s">
        <v>73</v>
      </c>
      <c r="B1838" s="7" t="s">
        <v>58</v>
      </c>
      <c r="C1838" s="7" t="s">
        <v>58</v>
      </c>
      <c r="D1838" s="7" t="s">
        <v>58</v>
      </c>
      <c r="E1838" s="7" t="s">
        <v>58</v>
      </c>
      <c r="F1838" s="7" t="s">
        <v>58</v>
      </c>
      <c r="G1838" s="7" t="s">
        <v>58</v>
      </c>
      <c r="H1838" s="7" t="s">
        <v>58</v>
      </c>
      <c r="I1838" s="7" t="s">
        <v>58</v>
      </c>
    </row>
    <row r="1839" spans="1:9" ht="30" x14ac:dyDescent="0.25">
      <c r="A1839" s="1" t="s">
        <v>74</v>
      </c>
      <c r="B1839" s="7" t="s">
        <v>58</v>
      </c>
      <c r="C1839" s="7" t="s">
        <v>58</v>
      </c>
      <c r="D1839" s="7" t="s">
        <v>58</v>
      </c>
      <c r="E1839" s="7" t="s">
        <v>58</v>
      </c>
      <c r="F1839" s="7" t="s">
        <v>58</v>
      </c>
      <c r="G1839" s="7" t="s">
        <v>58</v>
      </c>
      <c r="H1839" s="7" t="s">
        <v>58</v>
      </c>
      <c r="I1839" s="7" t="s">
        <v>58</v>
      </c>
    </row>
    <row r="1840" spans="1:9" x14ac:dyDescent="0.25">
      <c r="A1840" s="1" t="s">
        <v>75</v>
      </c>
      <c r="B1840" s="5">
        <v>33.023708540000001</v>
      </c>
      <c r="C1840" s="5">
        <v>33.353589499999998</v>
      </c>
      <c r="D1840" s="5">
        <v>33.688957379999998</v>
      </c>
      <c r="E1840" s="5">
        <v>34.025684669999997</v>
      </c>
      <c r="F1840" s="5">
        <v>34.364978409999999</v>
      </c>
      <c r="G1840" s="5">
        <v>34.709370010000001</v>
      </c>
      <c r="H1840" s="5">
        <v>35.057143359999998</v>
      </c>
      <c r="I1840" s="6">
        <v>1.0008697539420908</v>
      </c>
    </row>
    <row r="1841" spans="1:9" x14ac:dyDescent="0.25">
      <c r="A1841" s="1" t="s">
        <v>76</v>
      </c>
      <c r="B1841" s="7" t="s">
        <v>58</v>
      </c>
      <c r="C1841" s="7" t="s">
        <v>58</v>
      </c>
      <c r="D1841" s="7" t="s">
        <v>58</v>
      </c>
      <c r="E1841" s="7" t="s">
        <v>58</v>
      </c>
      <c r="F1841" s="7" t="s">
        <v>58</v>
      </c>
      <c r="G1841" s="7" t="s">
        <v>58</v>
      </c>
      <c r="H1841" s="7" t="s">
        <v>58</v>
      </c>
      <c r="I1841" s="7" t="s">
        <v>58</v>
      </c>
    </row>
    <row r="1842" spans="1:9" ht="45" x14ac:dyDescent="0.25">
      <c r="A1842" s="1" t="s">
        <v>77</v>
      </c>
      <c r="B1842" s="7" t="s">
        <v>58</v>
      </c>
      <c r="C1842" s="7" t="s">
        <v>58</v>
      </c>
      <c r="D1842" s="7" t="s">
        <v>58</v>
      </c>
      <c r="E1842" s="7" t="s">
        <v>58</v>
      </c>
      <c r="F1842" s="7" t="s">
        <v>58</v>
      </c>
      <c r="G1842" s="7" t="s">
        <v>58</v>
      </c>
      <c r="H1842" s="7" t="s">
        <v>58</v>
      </c>
      <c r="I1842" s="7" t="s">
        <v>58</v>
      </c>
    </row>
    <row r="1843" spans="1:9" ht="45" x14ac:dyDescent="0.25">
      <c r="A1843" s="1" t="s">
        <v>78</v>
      </c>
      <c r="B1843" s="7" t="s">
        <v>58</v>
      </c>
      <c r="C1843" s="7" t="s">
        <v>58</v>
      </c>
      <c r="D1843" s="7" t="s">
        <v>58</v>
      </c>
      <c r="E1843" s="7" t="s">
        <v>58</v>
      </c>
      <c r="F1843" s="7" t="s">
        <v>58</v>
      </c>
      <c r="G1843" s="7" t="s">
        <v>58</v>
      </c>
      <c r="H1843" s="7" t="s">
        <v>58</v>
      </c>
      <c r="I1843" s="7" t="s">
        <v>58</v>
      </c>
    </row>
    <row r="1844" spans="1:9" ht="60" x14ac:dyDescent="0.25">
      <c r="A1844" s="1" t="s">
        <v>79</v>
      </c>
      <c r="B1844" s="7" t="s">
        <v>58</v>
      </c>
      <c r="C1844" s="7" t="s">
        <v>58</v>
      </c>
      <c r="D1844" s="7" t="s">
        <v>58</v>
      </c>
      <c r="E1844" s="7" t="s">
        <v>58</v>
      </c>
      <c r="F1844" s="7" t="s">
        <v>58</v>
      </c>
      <c r="G1844" s="7" t="s">
        <v>58</v>
      </c>
      <c r="H1844" s="7" t="s">
        <v>58</v>
      </c>
      <c r="I1844" s="7" t="s">
        <v>58</v>
      </c>
    </row>
    <row r="1845" spans="1:9" ht="45" x14ac:dyDescent="0.25">
      <c r="A1845" s="1" t="s">
        <v>80</v>
      </c>
      <c r="B1845" s="7" t="s">
        <v>58</v>
      </c>
      <c r="C1845" s="7" t="s">
        <v>58</v>
      </c>
      <c r="D1845" s="7" t="s">
        <v>58</v>
      </c>
      <c r="E1845" s="7" t="s">
        <v>58</v>
      </c>
      <c r="F1845" s="7" t="s">
        <v>58</v>
      </c>
      <c r="G1845" s="7" t="s">
        <v>58</v>
      </c>
      <c r="H1845" s="7" t="s">
        <v>58</v>
      </c>
      <c r="I1845" s="7" t="s">
        <v>58</v>
      </c>
    </row>
    <row r="1846" spans="1:9" ht="45" x14ac:dyDescent="0.25">
      <c r="A1846" s="1" t="s">
        <v>81</v>
      </c>
      <c r="B1846" s="7" t="s">
        <v>58</v>
      </c>
      <c r="C1846" s="7" t="s">
        <v>58</v>
      </c>
      <c r="D1846" s="7" t="s">
        <v>58</v>
      </c>
      <c r="E1846" s="7" t="s">
        <v>58</v>
      </c>
      <c r="F1846" s="7" t="s">
        <v>58</v>
      </c>
      <c r="G1846" s="7" t="s">
        <v>58</v>
      </c>
      <c r="H1846" s="7" t="s">
        <v>58</v>
      </c>
      <c r="I1846" s="7" t="s">
        <v>58</v>
      </c>
    </row>
    <row r="1847" spans="1:9" x14ac:dyDescent="0.25">
      <c r="A1847" s="1" t="s">
        <v>82</v>
      </c>
      <c r="B1847" s="7" t="s">
        <v>58</v>
      </c>
      <c r="C1847" s="7" t="s">
        <v>58</v>
      </c>
      <c r="D1847" s="7" t="s">
        <v>58</v>
      </c>
      <c r="E1847" s="7" t="s">
        <v>58</v>
      </c>
      <c r="F1847" s="7" t="s">
        <v>58</v>
      </c>
      <c r="G1847" s="7" t="s">
        <v>58</v>
      </c>
      <c r="H1847" s="7" t="s">
        <v>58</v>
      </c>
      <c r="I1847" s="7" t="s">
        <v>58</v>
      </c>
    </row>
    <row r="1848" spans="1:9" x14ac:dyDescent="0.25">
      <c r="A1848" s="1" t="s">
        <v>83</v>
      </c>
      <c r="B1848" s="7" t="s">
        <v>58</v>
      </c>
      <c r="C1848" s="7" t="s">
        <v>58</v>
      </c>
      <c r="D1848" s="7" t="s">
        <v>58</v>
      </c>
      <c r="E1848" s="7" t="s">
        <v>58</v>
      </c>
      <c r="F1848" s="7" t="s">
        <v>58</v>
      </c>
      <c r="G1848" s="7" t="s">
        <v>58</v>
      </c>
      <c r="H1848" s="7" t="s">
        <v>58</v>
      </c>
      <c r="I1848" s="7" t="s">
        <v>58</v>
      </c>
    </row>
    <row r="1849" spans="1:9" x14ac:dyDescent="0.25">
      <c r="A1849" s="1" t="s">
        <v>84</v>
      </c>
      <c r="B1849" s="7" t="s">
        <v>58</v>
      </c>
      <c r="C1849" s="7" t="s">
        <v>58</v>
      </c>
      <c r="D1849" s="7" t="s">
        <v>58</v>
      </c>
      <c r="E1849" s="7" t="s">
        <v>58</v>
      </c>
      <c r="F1849" s="7" t="s">
        <v>58</v>
      </c>
      <c r="G1849" s="7" t="s">
        <v>58</v>
      </c>
      <c r="H1849" s="7" t="s">
        <v>58</v>
      </c>
      <c r="I1849" s="7" t="s">
        <v>58</v>
      </c>
    </row>
    <row r="1850" spans="1:9" x14ac:dyDescent="0.25">
      <c r="A1850" s="1" t="s">
        <v>85</v>
      </c>
      <c r="B1850" s="7" t="s">
        <v>58</v>
      </c>
      <c r="C1850" s="7" t="s">
        <v>58</v>
      </c>
      <c r="D1850" s="7" t="s">
        <v>58</v>
      </c>
      <c r="E1850" s="7" t="s">
        <v>58</v>
      </c>
      <c r="F1850" s="7" t="s">
        <v>58</v>
      </c>
      <c r="G1850" s="7" t="s">
        <v>58</v>
      </c>
      <c r="H1850" s="7" t="s">
        <v>58</v>
      </c>
      <c r="I1850" s="7" t="s">
        <v>58</v>
      </c>
    </row>
    <row r="1851" spans="1:9" x14ac:dyDescent="0.25">
      <c r="A1851" s="1" t="s">
        <v>86</v>
      </c>
      <c r="B1851" s="7" t="s">
        <v>58</v>
      </c>
      <c r="C1851" s="7" t="s">
        <v>58</v>
      </c>
      <c r="D1851" s="7" t="s">
        <v>58</v>
      </c>
      <c r="E1851" s="7" t="s">
        <v>58</v>
      </c>
      <c r="F1851" s="7" t="s">
        <v>58</v>
      </c>
      <c r="G1851" s="7" t="s">
        <v>58</v>
      </c>
      <c r="H1851" s="7" t="s">
        <v>58</v>
      </c>
      <c r="I1851" s="7" t="s">
        <v>58</v>
      </c>
    </row>
    <row r="1852" spans="1:9" x14ac:dyDescent="0.25">
      <c r="A1852" s="1" t="s">
        <v>87</v>
      </c>
      <c r="B1852" s="5">
        <v>47.503721910000003</v>
      </c>
      <c r="C1852" s="5">
        <v>46.383935559999998</v>
      </c>
      <c r="D1852" s="5">
        <v>44.802737260000001</v>
      </c>
      <c r="E1852" s="5">
        <v>43.752894779999998</v>
      </c>
      <c r="F1852" s="5">
        <v>43.061013760000002</v>
      </c>
      <c r="G1852" s="5">
        <v>42.465524189999996</v>
      </c>
      <c r="H1852" s="5">
        <v>41.915184500000002</v>
      </c>
      <c r="I1852" s="6">
        <v>-2.0643919529382604</v>
      </c>
    </row>
    <row r="1853" spans="1:9" x14ac:dyDescent="0.25">
      <c r="A1853" s="1" t="s">
        <v>88</v>
      </c>
      <c r="B1853" s="7" t="s">
        <v>58</v>
      </c>
      <c r="C1853" s="7" t="s">
        <v>58</v>
      </c>
      <c r="D1853" s="7" t="s">
        <v>58</v>
      </c>
      <c r="E1853" s="7" t="s">
        <v>58</v>
      </c>
      <c r="F1853" s="7" t="s">
        <v>58</v>
      </c>
      <c r="G1853" s="7" t="s">
        <v>58</v>
      </c>
      <c r="H1853" s="7" t="s">
        <v>58</v>
      </c>
      <c r="I1853" s="7" t="s">
        <v>58</v>
      </c>
    </row>
    <row r="1854" spans="1:9" x14ac:dyDescent="0.25">
      <c r="A1854" s="1" t="s">
        <v>89</v>
      </c>
      <c r="B1854" s="5">
        <v>0</v>
      </c>
      <c r="C1854" s="5">
        <v>0</v>
      </c>
      <c r="D1854" s="5">
        <v>0</v>
      </c>
      <c r="E1854" s="5">
        <v>0</v>
      </c>
      <c r="F1854" s="5">
        <v>0</v>
      </c>
      <c r="G1854" s="5">
        <v>0</v>
      </c>
      <c r="H1854" s="5">
        <v>0</v>
      </c>
      <c r="I1854" s="7" t="s">
        <v>58</v>
      </c>
    </row>
    <row r="1855" spans="1:9" x14ac:dyDescent="0.25">
      <c r="A1855" s="1" t="s">
        <v>90</v>
      </c>
      <c r="B1855" s="7" t="s">
        <v>58</v>
      </c>
      <c r="C1855" s="7" t="s">
        <v>58</v>
      </c>
      <c r="D1855" s="7" t="s">
        <v>58</v>
      </c>
      <c r="E1855" s="7" t="s">
        <v>58</v>
      </c>
      <c r="F1855" s="7" t="s">
        <v>58</v>
      </c>
      <c r="G1855" s="7" t="s">
        <v>58</v>
      </c>
      <c r="H1855" s="7" t="s">
        <v>58</v>
      </c>
      <c r="I1855" s="7" t="s">
        <v>58</v>
      </c>
    </row>
    <row r="1856" spans="1:9" x14ac:dyDescent="0.25">
      <c r="A1856" s="1" t="s">
        <v>91</v>
      </c>
      <c r="B1856" s="7" t="s">
        <v>58</v>
      </c>
      <c r="C1856" s="7" t="s">
        <v>58</v>
      </c>
      <c r="D1856" s="7" t="s">
        <v>58</v>
      </c>
      <c r="E1856" s="7" t="s">
        <v>58</v>
      </c>
      <c r="F1856" s="7" t="s">
        <v>58</v>
      </c>
      <c r="G1856" s="7" t="s">
        <v>58</v>
      </c>
      <c r="H1856" s="7" t="s">
        <v>58</v>
      </c>
      <c r="I1856" s="7" t="s">
        <v>58</v>
      </c>
    </row>
    <row r="1857" spans="1:9" x14ac:dyDescent="0.25">
      <c r="A1857" s="1" t="s">
        <v>92</v>
      </c>
      <c r="B1857" s="7" t="s">
        <v>58</v>
      </c>
      <c r="C1857" s="7" t="s">
        <v>58</v>
      </c>
      <c r="D1857" s="7" t="s">
        <v>58</v>
      </c>
      <c r="E1857" s="7" t="s">
        <v>58</v>
      </c>
      <c r="F1857" s="7" t="s">
        <v>58</v>
      </c>
      <c r="G1857" s="7" t="s">
        <v>58</v>
      </c>
      <c r="H1857" s="7" t="s">
        <v>58</v>
      </c>
      <c r="I1857" s="7" t="s">
        <v>58</v>
      </c>
    </row>
    <row r="1858" spans="1:9" x14ac:dyDescent="0.25">
      <c r="A1858" s="1" t="s">
        <v>93</v>
      </c>
      <c r="B1858" s="7" t="s">
        <v>58</v>
      </c>
      <c r="C1858" s="7" t="s">
        <v>58</v>
      </c>
      <c r="D1858" s="7" t="s">
        <v>58</v>
      </c>
      <c r="E1858" s="7" t="s">
        <v>58</v>
      </c>
      <c r="F1858" s="7" t="s">
        <v>58</v>
      </c>
      <c r="G1858" s="7" t="s">
        <v>58</v>
      </c>
      <c r="H1858" s="7" t="s">
        <v>58</v>
      </c>
      <c r="I1858" s="7" t="s">
        <v>58</v>
      </c>
    </row>
    <row r="1859" spans="1:9" x14ac:dyDescent="0.25">
      <c r="A1859" s="1" t="s">
        <v>94</v>
      </c>
      <c r="B1859" s="7" t="s">
        <v>58</v>
      </c>
      <c r="C1859" s="7" t="s">
        <v>58</v>
      </c>
      <c r="D1859" s="7" t="s">
        <v>58</v>
      </c>
      <c r="E1859" s="7" t="s">
        <v>58</v>
      </c>
      <c r="F1859" s="7" t="s">
        <v>58</v>
      </c>
      <c r="G1859" s="7" t="s">
        <v>58</v>
      </c>
      <c r="H1859" s="7" t="s">
        <v>58</v>
      </c>
      <c r="I1859" s="7" t="s">
        <v>58</v>
      </c>
    </row>
    <row r="1860" spans="1:9" x14ac:dyDescent="0.25">
      <c r="A1860" s="1" t="s">
        <v>95</v>
      </c>
      <c r="B1860" s="7" t="s">
        <v>58</v>
      </c>
      <c r="C1860" s="7" t="s">
        <v>58</v>
      </c>
      <c r="D1860" s="7" t="s">
        <v>58</v>
      </c>
      <c r="E1860" s="7" t="s">
        <v>58</v>
      </c>
      <c r="F1860" s="7" t="s">
        <v>58</v>
      </c>
      <c r="G1860" s="7" t="s">
        <v>58</v>
      </c>
      <c r="H1860" s="7" t="s">
        <v>58</v>
      </c>
      <c r="I1860" s="7" t="s">
        <v>58</v>
      </c>
    </row>
    <row r="1861" spans="1:9" x14ac:dyDescent="0.25">
      <c r="A1861" s="1" t="s">
        <v>96</v>
      </c>
      <c r="B1861" s="7" t="s">
        <v>58</v>
      </c>
      <c r="C1861" s="7" t="s">
        <v>58</v>
      </c>
      <c r="D1861" s="7" t="s">
        <v>58</v>
      </c>
      <c r="E1861" s="7" t="s">
        <v>58</v>
      </c>
      <c r="F1861" s="7" t="s">
        <v>58</v>
      </c>
      <c r="G1861" s="7" t="s">
        <v>58</v>
      </c>
      <c r="H1861" s="7" t="s">
        <v>58</v>
      </c>
      <c r="I1861" s="7" t="s">
        <v>58</v>
      </c>
    </row>
    <row r="1862" spans="1:9" x14ac:dyDescent="0.25">
      <c r="A1862" s="1" t="s">
        <v>97</v>
      </c>
      <c r="B1862" s="7" t="s">
        <v>58</v>
      </c>
      <c r="C1862" s="7" t="s">
        <v>58</v>
      </c>
      <c r="D1862" s="7" t="s">
        <v>58</v>
      </c>
      <c r="E1862" s="7" t="s">
        <v>58</v>
      </c>
      <c r="F1862" s="7" t="s">
        <v>58</v>
      </c>
      <c r="G1862" s="7" t="s">
        <v>58</v>
      </c>
      <c r="H1862" s="7" t="s">
        <v>58</v>
      </c>
      <c r="I1862" s="7" t="s">
        <v>58</v>
      </c>
    </row>
    <row r="1863" spans="1:9" x14ac:dyDescent="0.25">
      <c r="A1863" s="1" t="s">
        <v>98</v>
      </c>
      <c r="B1863" s="7" t="s">
        <v>58</v>
      </c>
      <c r="C1863" s="7" t="s">
        <v>58</v>
      </c>
      <c r="D1863" s="7" t="s">
        <v>58</v>
      </c>
      <c r="E1863" s="7" t="s">
        <v>58</v>
      </c>
      <c r="F1863" s="7" t="s">
        <v>58</v>
      </c>
      <c r="G1863" s="7" t="s">
        <v>58</v>
      </c>
      <c r="H1863" s="7" t="s">
        <v>58</v>
      </c>
      <c r="I1863" s="7" t="s">
        <v>58</v>
      </c>
    </row>
    <row r="1864" spans="1:9" x14ac:dyDescent="0.25">
      <c r="A1864" s="1" t="s">
        <v>99</v>
      </c>
      <c r="B1864" s="7" t="s">
        <v>58</v>
      </c>
      <c r="C1864" s="7" t="s">
        <v>58</v>
      </c>
      <c r="D1864" s="7" t="s">
        <v>58</v>
      </c>
      <c r="E1864" s="7" t="s">
        <v>58</v>
      </c>
      <c r="F1864" s="7" t="s">
        <v>58</v>
      </c>
      <c r="G1864" s="7" t="s">
        <v>58</v>
      </c>
      <c r="H1864" s="7" t="s">
        <v>58</v>
      </c>
      <c r="I1864" s="7" t="s">
        <v>58</v>
      </c>
    </row>
    <row r="1865" spans="1:9" x14ac:dyDescent="0.25">
      <c r="A1865" s="1" t="s">
        <v>100</v>
      </c>
      <c r="B1865" s="7" t="s">
        <v>58</v>
      </c>
      <c r="C1865" s="7" t="s">
        <v>58</v>
      </c>
      <c r="D1865" s="7" t="s">
        <v>58</v>
      </c>
      <c r="E1865" s="7" t="s">
        <v>58</v>
      </c>
      <c r="F1865" s="7" t="s">
        <v>58</v>
      </c>
      <c r="G1865" s="7" t="s">
        <v>58</v>
      </c>
      <c r="H1865" s="7" t="s">
        <v>58</v>
      </c>
      <c r="I1865" s="7" t="s">
        <v>58</v>
      </c>
    </row>
    <row r="1866" spans="1:9" x14ac:dyDescent="0.25">
      <c r="A1866" s="1" t="s">
        <v>101</v>
      </c>
      <c r="B1866" s="7" t="s">
        <v>58</v>
      </c>
      <c r="C1866" s="7" t="s">
        <v>58</v>
      </c>
      <c r="D1866" s="7" t="s">
        <v>58</v>
      </c>
      <c r="E1866" s="7" t="s">
        <v>58</v>
      </c>
      <c r="F1866" s="7" t="s">
        <v>58</v>
      </c>
      <c r="G1866" s="7" t="s">
        <v>58</v>
      </c>
      <c r="H1866" s="7" t="s">
        <v>58</v>
      </c>
      <c r="I1866" s="7" t="s">
        <v>58</v>
      </c>
    </row>
    <row r="1867" spans="1:9" x14ac:dyDescent="0.25">
      <c r="A1867" s="1" t="s">
        <v>102</v>
      </c>
      <c r="B1867" s="7" t="s">
        <v>58</v>
      </c>
      <c r="C1867" s="7" t="s">
        <v>58</v>
      </c>
      <c r="D1867" s="7" t="s">
        <v>58</v>
      </c>
      <c r="E1867" s="7" t="s">
        <v>58</v>
      </c>
      <c r="F1867" s="7" t="s">
        <v>58</v>
      </c>
      <c r="G1867" s="7" t="s">
        <v>58</v>
      </c>
      <c r="H1867" s="7" t="s">
        <v>58</v>
      </c>
      <c r="I1867" s="7" t="s">
        <v>58</v>
      </c>
    </row>
    <row r="1868" spans="1:9" x14ac:dyDescent="0.25">
      <c r="A1868" s="1" t="s">
        <v>103</v>
      </c>
      <c r="B1868" s="7" t="s">
        <v>58</v>
      </c>
      <c r="C1868" s="7" t="s">
        <v>58</v>
      </c>
      <c r="D1868" s="7" t="s">
        <v>58</v>
      </c>
      <c r="E1868" s="7" t="s">
        <v>58</v>
      </c>
      <c r="F1868" s="7" t="s">
        <v>58</v>
      </c>
      <c r="G1868" s="7" t="s">
        <v>58</v>
      </c>
      <c r="H1868" s="7" t="s">
        <v>58</v>
      </c>
      <c r="I1868" s="7" t="s">
        <v>58</v>
      </c>
    </row>
    <row r="1869" spans="1:9" x14ac:dyDescent="0.25">
      <c r="A1869" s="1" t="s">
        <v>104</v>
      </c>
      <c r="B1869" s="7" t="s">
        <v>58</v>
      </c>
      <c r="C1869" s="7" t="s">
        <v>58</v>
      </c>
      <c r="D1869" s="7" t="s">
        <v>58</v>
      </c>
      <c r="E1869" s="7" t="s">
        <v>58</v>
      </c>
      <c r="F1869" s="7" t="s">
        <v>58</v>
      </c>
      <c r="G1869" s="7" t="s">
        <v>58</v>
      </c>
      <c r="H1869" s="7" t="s">
        <v>58</v>
      </c>
      <c r="I1869" s="7" t="s">
        <v>58</v>
      </c>
    </row>
    <row r="1870" spans="1:9" x14ac:dyDescent="0.25">
      <c r="A1870" s="1" t="s">
        <v>105</v>
      </c>
      <c r="B1870" s="7" t="s">
        <v>58</v>
      </c>
      <c r="C1870" s="7" t="s">
        <v>58</v>
      </c>
      <c r="D1870" s="7" t="s">
        <v>58</v>
      </c>
      <c r="E1870" s="7" t="s">
        <v>58</v>
      </c>
      <c r="F1870" s="7" t="s">
        <v>58</v>
      </c>
      <c r="G1870" s="7" t="s">
        <v>58</v>
      </c>
      <c r="H1870" s="7" t="s">
        <v>58</v>
      </c>
      <c r="I1870" s="7" t="s">
        <v>58</v>
      </c>
    </row>
    <row r="1871" spans="1:9" x14ac:dyDescent="0.25">
      <c r="A1871" s="1" t="s">
        <v>106</v>
      </c>
      <c r="B1871" s="5">
        <v>25.832041539999999</v>
      </c>
      <c r="C1871" s="5">
        <v>25.70768327</v>
      </c>
      <c r="D1871" s="5">
        <v>25.603566440000002</v>
      </c>
      <c r="E1871" s="5">
        <v>25.432115039999999</v>
      </c>
      <c r="F1871" s="5">
        <v>25.256901599999999</v>
      </c>
      <c r="G1871" s="5">
        <v>25.081323520000002</v>
      </c>
      <c r="H1871" s="5">
        <v>24.910982669999999</v>
      </c>
      <c r="I1871" s="6">
        <v>-0.6032872738214734</v>
      </c>
    </row>
    <row r="1872" spans="1:9" ht="30" x14ac:dyDescent="0.25">
      <c r="A1872" s="1" t="s">
        <v>107</v>
      </c>
      <c r="B1872" s="7" t="s">
        <v>58</v>
      </c>
      <c r="C1872" s="7" t="s">
        <v>58</v>
      </c>
      <c r="D1872" s="7" t="s">
        <v>58</v>
      </c>
      <c r="E1872" s="7" t="s">
        <v>58</v>
      </c>
      <c r="F1872" s="7" t="s">
        <v>58</v>
      </c>
      <c r="G1872" s="7" t="s">
        <v>58</v>
      </c>
      <c r="H1872" s="7" t="s">
        <v>58</v>
      </c>
      <c r="I1872" s="7" t="s">
        <v>58</v>
      </c>
    </row>
    <row r="1873" spans="1:9" x14ac:dyDescent="0.25">
      <c r="A1873" s="1" t="s">
        <v>108</v>
      </c>
      <c r="B1873" s="7" t="s">
        <v>58</v>
      </c>
      <c r="C1873" s="7" t="s">
        <v>58</v>
      </c>
      <c r="D1873" s="7" t="s">
        <v>58</v>
      </c>
      <c r="E1873" s="7" t="s">
        <v>58</v>
      </c>
      <c r="F1873" s="7" t="s">
        <v>58</v>
      </c>
      <c r="G1873" s="7" t="s">
        <v>58</v>
      </c>
      <c r="H1873" s="7" t="s">
        <v>58</v>
      </c>
      <c r="I1873" s="7" t="s">
        <v>58</v>
      </c>
    </row>
    <row r="1874" spans="1:9" ht="30" x14ac:dyDescent="0.25">
      <c r="A1874" s="1" t="s">
        <v>109</v>
      </c>
      <c r="B1874" s="7" t="s">
        <v>58</v>
      </c>
      <c r="C1874" s="7" t="s">
        <v>58</v>
      </c>
      <c r="D1874" s="7" t="s">
        <v>58</v>
      </c>
      <c r="E1874" s="7" t="s">
        <v>58</v>
      </c>
      <c r="F1874" s="7" t="s">
        <v>58</v>
      </c>
      <c r="G1874" s="7" t="s">
        <v>58</v>
      </c>
      <c r="H1874" s="7" t="s">
        <v>58</v>
      </c>
      <c r="I1874" s="7" t="s">
        <v>58</v>
      </c>
    </row>
    <row r="1875" spans="1:9" x14ac:dyDescent="0.25">
      <c r="A1875" s="1" t="s">
        <v>110</v>
      </c>
      <c r="B1875" s="7" t="s">
        <v>58</v>
      </c>
      <c r="C1875" s="7" t="s">
        <v>58</v>
      </c>
      <c r="D1875" s="7" t="s">
        <v>58</v>
      </c>
      <c r="E1875" s="7" t="s">
        <v>58</v>
      </c>
      <c r="F1875" s="7" t="s">
        <v>58</v>
      </c>
      <c r="G1875" s="7" t="s">
        <v>58</v>
      </c>
      <c r="H1875" s="7" t="s">
        <v>58</v>
      </c>
      <c r="I1875" s="7" t="s">
        <v>58</v>
      </c>
    </row>
    <row r="1876" spans="1:9" x14ac:dyDescent="0.25">
      <c r="A1876" s="1" t="s">
        <v>111</v>
      </c>
      <c r="B1876" s="7" t="s">
        <v>58</v>
      </c>
      <c r="C1876" s="7" t="s">
        <v>58</v>
      </c>
      <c r="D1876" s="7" t="s">
        <v>58</v>
      </c>
      <c r="E1876" s="7" t="s">
        <v>58</v>
      </c>
      <c r="F1876" s="7" t="s">
        <v>58</v>
      </c>
      <c r="G1876" s="7" t="s">
        <v>58</v>
      </c>
      <c r="H1876" s="7" t="s">
        <v>58</v>
      </c>
      <c r="I1876" s="7" t="s">
        <v>58</v>
      </c>
    </row>
    <row r="1877" spans="1:9" x14ac:dyDescent="0.25">
      <c r="A1877" s="1" t="s">
        <v>112</v>
      </c>
      <c r="B1877" s="7" t="s">
        <v>58</v>
      </c>
      <c r="C1877" s="7" t="s">
        <v>58</v>
      </c>
      <c r="D1877" s="7" t="s">
        <v>58</v>
      </c>
      <c r="E1877" s="7" t="s">
        <v>58</v>
      </c>
      <c r="F1877" s="7" t="s">
        <v>58</v>
      </c>
      <c r="G1877" s="7" t="s">
        <v>58</v>
      </c>
      <c r="H1877" s="7" t="s">
        <v>58</v>
      </c>
      <c r="I1877" s="7" t="s">
        <v>58</v>
      </c>
    </row>
    <row r="1878" spans="1:9" x14ac:dyDescent="0.25">
      <c r="A1878" s="1" t="s">
        <v>113</v>
      </c>
      <c r="B1878" s="7" t="s">
        <v>58</v>
      </c>
      <c r="C1878" s="7" t="s">
        <v>58</v>
      </c>
      <c r="D1878" s="7" t="s">
        <v>58</v>
      </c>
      <c r="E1878" s="7" t="s">
        <v>58</v>
      </c>
      <c r="F1878" s="7" t="s">
        <v>58</v>
      </c>
      <c r="G1878" s="7" t="s">
        <v>58</v>
      </c>
      <c r="H1878" s="7" t="s">
        <v>58</v>
      </c>
      <c r="I1878" s="7" t="s">
        <v>58</v>
      </c>
    </row>
    <row r="1879" spans="1:9" x14ac:dyDescent="0.25">
      <c r="A1879" s="1" t="s">
        <v>114</v>
      </c>
      <c r="B1879" s="5">
        <v>0</v>
      </c>
      <c r="C1879" s="5">
        <v>0</v>
      </c>
      <c r="D1879" s="5">
        <v>0</v>
      </c>
      <c r="E1879" s="5">
        <v>0</v>
      </c>
      <c r="F1879" s="5">
        <v>0</v>
      </c>
      <c r="G1879" s="5">
        <v>0</v>
      </c>
      <c r="H1879" s="5">
        <v>0</v>
      </c>
      <c r="I1879" s="7" t="s">
        <v>58</v>
      </c>
    </row>
    <row r="1880" spans="1:9" ht="30" x14ac:dyDescent="0.25">
      <c r="A1880" s="1" t="s">
        <v>115</v>
      </c>
      <c r="B1880" s="7" t="s">
        <v>58</v>
      </c>
      <c r="C1880" s="7" t="s">
        <v>58</v>
      </c>
      <c r="D1880" s="7" t="s">
        <v>58</v>
      </c>
      <c r="E1880" s="7" t="s">
        <v>58</v>
      </c>
      <c r="F1880" s="7" t="s">
        <v>58</v>
      </c>
      <c r="G1880" s="7" t="s">
        <v>58</v>
      </c>
      <c r="H1880" s="7" t="s">
        <v>58</v>
      </c>
      <c r="I1880" s="7" t="s">
        <v>58</v>
      </c>
    </row>
    <row r="1881" spans="1:9" x14ac:dyDescent="0.25">
      <c r="A1881" s="1" t="s">
        <v>116</v>
      </c>
      <c r="B1881" s="7" t="s">
        <v>58</v>
      </c>
      <c r="C1881" s="7" t="s">
        <v>58</v>
      </c>
      <c r="D1881" s="7" t="s">
        <v>58</v>
      </c>
      <c r="E1881" s="7" t="s">
        <v>58</v>
      </c>
      <c r="F1881" s="7" t="s">
        <v>58</v>
      </c>
      <c r="G1881" s="7" t="s">
        <v>58</v>
      </c>
      <c r="H1881" s="7" t="s">
        <v>58</v>
      </c>
      <c r="I1881" s="7" t="s">
        <v>58</v>
      </c>
    </row>
    <row r="1882" spans="1:9" x14ac:dyDescent="0.25">
      <c r="A1882" s="1" t="s">
        <v>12</v>
      </c>
      <c r="B1882" s="2"/>
      <c r="C1882" s="2"/>
      <c r="D1882" s="2"/>
      <c r="E1882" s="2"/>
      <c r="F1882" s="2"/>
      <c r="G1882" s="2"/>
      <c r="H1882" s="2"/>
      <c r="I1882" s="2"/>
    </row>
    <row r="1883" spans="1:9" ht="60" x14ac:dyDescent="0.25">
      <c r="A1883" s="1" t="s">
        <v>134</v>
      </c>
      <c r="B1883" s="2"/>
      <c r="C1883" s="2"/>
      <c r="D1883" s="2"/>
      <c r="E1883" s="2"/>
      <c r="F1883" s="2"/>
      <c r="G1883" s="2"/>
      <c r="H1883" s="2"/>
      <c r="I1883" s="2"/>
    </row>
    <row r="1884" spans="1:9" x14ac:dyDescent="0.25">
      <c r="A1884" s="1" t="s">
        <v>14</v>
      </c>
      <c r="B1884" s="7" t="s">
        <v>58</v>
      </c>
      <c r="C1884" s="7" t="s">
        <v>58</v>
      </c>
      <c r="D1884" s="7" t="s">
        <v>58</v>
      </c>
      <c r="E1884" s="7" t="s">
        <v>58</v>
      </c>
      <c r="F1884" s="7" t="s">
        <v>58</v>
      </c>
      <c r="G1884" s="7" t="s">
        <v>58</v>
      </c>
      <c r="H1884" s="7" t="s">
        <v>58</v>
      </c>
      <c r="I1884" s="7" t="s">
        <v>58</v>
      </c>
    </row>
    <row r="1885" spans="1:9" ht="30" x14ac:dyDescent="0.25">
      <c r="A1885" s="1" t="s">
        <v>15</v>
      </c>
      <c r="B1885" s="5">
        <v>12.92</v>
      </c>
      <c r="C1885" s="5">
        <v>9.3699999999999992</v>
      </c>
      <c r="D1885" s="5">
        <v>8.01</v>
      </c>
      <c r="E1885" s="5">
        <v>7.75</v>
      </c>
      <c r="F1885" s="5">
        <v>7.43</v>
      </c>
      <c r="G1885" s="5">
        <v>7.21</v>
      </c>
      <c r="H1885" s="5">
        <v>7.03</v>
      </c>
      <c r="I1885" s="6">
        <v>-9.6457049999999995</v>
      </c>
    </row>
    <row r="1886" spans="1:9" x14ac:dyDescent="0.25">
      <c r="A1886" s="1" t="s">
        <v>16</v>
      </c>
      <c r="B1886" s="5">
        <v>29.85</v>
      </c>
      <c r="C1886" s="5">
        <v>29.43</v>
      </c>
      <c r="D1886" s="5">
        <v>29.41</v>
      </c>
      <c r="E1886" s="5">
        <v>29.23</v>
      </c>
      <c r="F1886" s="5">
        <v>28.9</v>
      </c>
      <c r="G1886" s="5">
        <v>29.12</v>
      </c>
      <c r="H1886" s="5">
        <v>29.48</v>
      </c>
      <c r="I1886" s="6">
        <v>-0.20766399999999999</v>
      </c>
    </row>
    <row r="1887" spans="1:9" x14ac:dyDescent="0.25">
      <c r="A1887" s="1" t="s">
        <v>17</v>
      </c>
      <c r="B1887" s="5">
        <v>39.19</v>
      </c>
      <c r="C1887" s="5">
        <v>39.19</v>
      </c>
      <c r="D1887" s="5">
        <v>39.130000000000003</v>
      </c>
      <c r="E1887" s="5">
        <v>39.130000000000003</v>
      </c>
      <c r="F1887" s="5">
        <v>39.130000000000003</v>
      </c>
      <c r="G1887" s="5">
        <v>39.130000000000003</v>
      </c>
      <c r="H1887" s="5">
        <v>39.130000000000003</v>
      </c>
      <c r="I1887" s="6">
        <v>-2.5533E-2</v>
      </c>
    </row>
    <row r="1888" spans="1:9" x14ac:dyDescent="0.25">
      <c r="A1888" s="1" t="s">
        <v>18</v>
      </c>
      <c r="B1888" s="7" t="s">
        <v>58</v>
      </c>
      <c r="C1888" s="7" t="s">
        <v>58</v>
      </c>
      <c r="D1888" s="7" t="s">
        <v>58</v>
      </c>
      <c r="E1888" s="7" t="s">
        <v>58</v>
      </c>
      <c r="F1888" s="7" t="s">
        <v>58</v>
      </c>
      <c r="G1888" s="7" t="s">
        <v>58</v>
      </c>
      <c r="H1888" s="7" t="s">
        <v>58</v>
      </c>
      <c r="I1888" s="7" t="s">
        <v>58</v>
      </c>
    </row>
    <row r="1889" spans="1:9" x14ac:dyDescent="0.25">
      <c r="A1889" s="1" t="s">
        <v>19</v>
      </c>
      <c r="B1889" s="7" t="s">
        <v>58</v>
      </c>
      <c r="C1889" s="7" t="s">
        <v>58</v>
      </c>
      <c r="D1889" s="7" t="s">
        <v>58</v>
      </c>
      <c r="E1889" s="7" t="s">
        <v>58</v>
      </c>
      <c r="F1889" s="7" t="s">
        <v>58</v>
      </c>
      <c r="G1889" s="7" t="s">
        <v>58</v>
      </c>
      <c r="H1889" s="7" t="s">
        <v>58</v>
      </c>
      <c r="I1889" s="7" t="s">
        <v>58</v>
      </c>
    </row>
    <row r="1890" spans="1:9" x14ac:dyDescent="0.25">
      <c r="A1890" s="1" t="s">
        <v>20</v>
      </c>
      <c r="B1890" s="7" t="s">
        <v>58</v>
      </c>
      <c r="C1890" s="7" t="s">
        <v>58</v>
      </c>
      <c r="D1890" s="7" t="s">
        <v>58</v>
      </c>
      <c r="E1890" s="7" t="s">
        <v>58</v>
      </c>
      <c r="F1890" s="7" t="s">
        <v>58</v>
      </c>
      <c r="G1890" s="7" t="s">
        <v>58</v>
      </c>
      <c r="H1890" s="7" t="s">
        <v>58</v>
      </c>
      <c r="I1890" s="7" t="s">
        <v>58</v>
      </c>
    </row>
    <row r="1891" spans="1:9" x14ac:dyDescent="0.25">
      <c r="A1891" s="1" t="s">
        <v>21</v>
      </c>
      <c r="B1891" s="5">
        <v>28.18</v>
      </c>
      <c r="C1891" s="5">
        <v>28.39</v>
      </c>
      <c r="D1891" s="5">
        <v>28.44</v>
      </c>
      <c r="E1891" s="5">
        <v>28.66</v>
      </c>
      <c r="F1891" s="5">
        <v>28.76</v>
      </c>
      <c r="G1891" s="5">
        <v>28.87</v>
      </c>
      <c r="H1891" s="5">
        <v>28.97</v>
      </c>
      <c r="I1891" s="6">
        <v>0.461868</v>
      </c>
    </row>
    <row r="1892" spans="1:9" x14ac:dyDescent="0.25">
      <c r="A1892" s="1" t="s">
        <v>22</v>
      </c>
      <c r="B1892" s="7" t="s">
        <v>58</v>
      </c>
      <c r="C1892" s="7" t="s">
        <v>58</v>
      </c>
      <c r="D1892" s="7" t="s">
        <v>58</v>
      </c>
      <c r="E1892" s="7" t="s">
        <v>58</v>
      </c>
      <c r="F1892" s="7" t="s">
        <v>58</v>
      </c>
      <c r="G1892" s="7" t="s">
        <v>58</v>
      </c>
      <c r="H1892" s="7" t="s">
        <v>58</v>
      </c>
      <c r="I1892" s="7" t="s">
        <v>58</v>
      </c>
    </row>
    <row r="1893" spans="1:9" x14ac:dyDescent="0.25">
      <c r="A1893" s="1" t="s">
        <v>23</v>
      </c>
      <c r="B1893" s="5">
        <v>27.21</v>
      </c>
      <c r="C1893" s="5">
        <v>27.62</v>
      </c>
      <c r="D1893" s="5">
        <v>29.02</v>
      </c>
      <c r="E1893" s="5">
        <v>30.69</v>
      </c>
      <c r="F1893" s="5">
        <v>32.299999999999997</v>
      </c>
      <c r="G1893" s="5">
        <v>33.770000000000003</v>
      </c>
      <c r="H1893" s="5">
        <v>35.32</v>
      </c>
      <c r="I1893" s="6">
        <v>4.4436460000000002</v>
      </c>
    </row>
    <row r="1894" spans="1:9" x14ac:dyDescent="0.25">
      <c r="A1894" s="1" t="s">
        <v>24</v>
      </c>
      <c r="B1894" s="7" t="s">
        <v>58</v>
      </c>
      <c r="C1894" s="7" t="s">
        <v>58</v>
      </c>
      <c r="D1894" s="7" t="s">
        <v>58</v>
      </c>
      <c r="E1894" s="7" t="s">
        <v>58</v>
      </c>
      <c r="F1894" s="7" t="s">
        <v>58</v>
      </c>
      <c r="G1894" s="7" t="s">
        <v>58</v>
      </c>
      <c r="H1894" s="7" t="s">
        <v>58</v>
      </c>
      <c r="I1894" s="7" t="s">
        <v>58</v>
      </c>
    </row>
    <row r="1895" spans="1:9" x14ac:dyDescent="0.25">
      <c r="A1895" s="1" t="s">
        <v>25</v>
      </c>
      <c r="B1895" s="5">
        <v>14.33</v>
      </c>
      <c r="C1895" s="5">
        <v>14.01</v>
      </c>
      <c r="D1895" s="5">
        <v>13.63</v>
      </c>
      <c r="E1895" s="5">
        <v>13.25</v>
      </c>
      <c r="F1895" s="5">
        <v>12.89</v>
      </c>
      <c r="G1895" s="5">
        <v>12.55</v>
      </c>
      <c r="H1895" s="5">
        <v>12.23</v>
      </c>
      <c r="I1895" s="6">
        <v>-2.606484</v>
      </c>
    </row>
    <row r="1896" spans="1:9" x14ac:dyDescent="0.25">
      <c r="A1896" s="1" t="s">
        <v>26</v>
      </c>
      <c r="B1896" s="7" t="s">
        <v>58</v>
      </c>
      <c r="C1896" s="7" t="s">
        <v>58</v>
      </c>
      <c r="D1896" s="7" t="s">
        <v>58</v>
      </c>
      <c r="E1896" s="7" t="s">
        <v>58</v>
      </c>
      <c r="F1896" s="7" t="s">
        <v>58</v>
      </c>
      <c r="G1896" s="7" t="s">
        <v>58</v>
      </c>
      <c r="H1896" s="7" t="s">
        <v>58</v>
      </c>
      <c r="I1896" s="7" t="s">
        <v>58</v>
      </c>
    </row>
    <row r="1897" spans="1:9" x14ac:dyDescent="0.25">
      <c r="A1897" s="1" t="s">
        <v>27</v>
      </c>
      <c r="B1897" s="7" t="s">
        <v>58</v>
      </c>
      <c r="C1897" s="7" t="s">
        <v>58</v>
      </c>
      <c r="D1897" s="7" t="s">
        <v>58</v>
      </c>
      <c r="E1897" s="7" t="s">
        <v>58</v>
      </c>
      <c r="F1897" s="7" t="s">
        <v>58</v>
      </c>
      <c r="G1897" s="7" t="s">
        <v>58</v>
      </c>
      <c r="H1897" s="7" t="s">
        <v>58</v>
      </c>
      <c r="I1897" s="7" t="s">
        <v>58</v>
      </c>
    </row>
    <row r="1898" spans="1:9" x14ac:dyDescent="0.25">
      <c r="A1898" s="1" t="s">
        <v>28</v>
      </c>
      <c r="B1898" s="7" t="s">
        <v>58</v>
      </c>
      <c r="C1898" s="7" t="s">
        <v>58</v>
      </c>
      <c r="D1898" s="7" t="s">
        <v>58</v>
      </c>
      <c r="E1898" s="7" t="s">
        <v>58</v>
      </c>
      <c r="F1898" s="7" t="s">
        <v>58</v>
      </c>
      <c r="G1898" s="7" t="s">
        <v>58</v>
      </c>
      <c r="H1898" s="7" t="s">
        <v>58</v>
      </c>
      <c r="I1898" s="7" t="s">
        <v>58</v>
      </c>
    </row>
    <row r="1899" spans="1:9" x14ac:dyDescent="0.25">
      <c r="A1899" s="1" t="s">
        <v>29</v>
      </c>
      <c r="B1899" s="7" t="s">
        <v>58</v>
      </c>
      <c r="C1899" s="7" t="s">
        <v>58</v>
      </c>
      <c r="D1899" s="7" t="s">
        <v>58</v>
      </c>
      <c r="E1899" s="7" t="s">
        <v>58</v>
      </c>
      <c r="F1899" s="7" t="s">
        <v>58</v>
      </c>
      <c r="G1899" s="7" t="s">
        <v>58</v>
      </c>
      <c r="H1899" s="7" t="s">
        <v>58</v>
      </c>
      <c r="I1899" s="7" t="s">
        <v>58</v>
      </c>
    </row>
    <row r="1900" spans="1:9" x14ac:dyDescent="0.25">
      <c r="A1900" s="1" t="s">
        <v>30</v>
      </c>
      <c r="B1900" s="7" t="s">
        <v>58</v>
      </c>
      <c r="C1900" s="7" t="s">
        <v>58</v>
      </c>
      <c r="D1900" s="7" t="s">
        <v>58</v>
      </c>
      <c r="E1900" s="7" t="s">
        <v>58</v>
      </c>
      <c r="F1900" s="7" t="s">
        <v>58</v>
      </c>
      <c r="G1900" s="7" t="s">
        <v>58</v>
      </c>
      <c r="H1900" s="7" t="s">
        <v>58</v>
      </c>
      <c r="I1900" s="7" t="s">
        <v>58</v>
      </c>
    </row>
    <row r="1901" spans="1:9" x14ac:dyDescent="0.25">
      <c r="A1901" s="1" t="s">
        <v>31</v>
      </c>
      <c r="B1901" s="7" t="s">
        <v>58</v>
      </c>
      <c r="C1901" s="7" t="s">
        <v>58</v>
      </c>
      <c r="D1901" s="7" t="s">
        <v>58</v>
      </c>
      <c r="E1901" s="7" t="s">
        <v>58</v>
      </c>
      <c r="F1901" s="7" t="s">
        <v>58</v>
      </c>
      <c r="G1901" s="7" t="s">
        <v>58</v>
      </c>
      <c r="H1901" s="7" t="s">
        <v>58</v>
      </c>
      <c r="I1901" s="7" t="s">
        <v>58</v>
      </c>
    </row>
    <row r="1902" spans="1:9" x14ac:dyDescent="0.25">
      <c r="A1902" s="1" t="s">
        <v>32</v>
      </c>
      <c r="B1902" s="7" t="s">
        <v>58</v>
      </c>
      <c r="C1902" s="7" t="s">
        <v>58</v>
      </c>
      <c r="D1902" s="7" t="s">
        <v>58</v>
      </c>
      <c r="E1902" s="7" t="s">
        <v>58</v>
      </c>
      <c r="F1902" s="7" t="s">
        <v>58</v>
      </c>
      <c r="G1902" s="7" t="s">
        <v>58</v>
      </c>
      <c r="H1902" s="7" t="s">
        <v>58</v>
      </c>
      <c r="I1902" s="7" t="s">
        <v>58</v>
      </c>
    </row>
    <row r="1903" spans="1:9" x14ac:dyDescent="0.25">
      <c r="A1903" s="1" t="s">
        <v>33</v>
      </c>
      <c r="B1903" s="7" t="s">
        <v>58</v>
      </c>
      <c r="C1903" s="7" t="s">
        <v>58</v>
      </c>
      <c r="D1903" s="7" t="s">
        <v>58</v>
      </c>
      <c r="E1903" s="7" t="s">
        <v>58</v>
      </c>
      <c r="F1903" s="7" t="s">
        <v>58</v>
      </c>
      <c r="G1903" s="7" t="s">
        <v>58</v>
      </c>
      <c r="H1903" s="7" t="s">
        <v>58</v>
      </c>
      <c r="I1903" s="7" t="s">
        <v>58</v>
      </c>
    </row>
    <row r="1904" spans="1:9" ht="30" x14ac:dyDescent="0.25">
      <c r="A1904" s="1" t="s">
        <v>34</v>
      </c>
      <c r="B1904" s="7" t="s">
        <v>58</v>
      </c>
      <c r="C1904" s="7" t="s">
        <v>58</v>
      </c>
      <c r="D1904" s="7" t="s">
        <v>58</v>
      </c>
      <c r="E1904" s="7" t="s">
        <v>58</v>
      </c>
      <c r="F1904" s="7" t="s">
        <v>58</v>
      </c>
      <c r="G1904" s="7" t="s">
        <v>58</v>
      </c>
      <c r="H1904" s="7" t="s">
        <v>58</v>
      </c>
      <c r="I1904" s="7" t="s">
        <v>58</v>
      </c>
    </row>
    <row r="1905" spans="1:9" ht="30" x14ac:dyDescent="0.25">
      <c r="A1905" s="1" t="s">
        <v>35</v>
      </c>
      <c r="B1905" s="7" t="s">
        <v>58</v>
      </c>
      <c r="C1905" s="7" t="s">
        <v>58</v>
      </c>
      <c r="D1905" s="7" t="s">
        <v>58</v>
      </c>
      <c r="E1905" s="7" t="s">
        <v>58</v>
      </c>
      <c r="F1905" s="7" t="s">
        <v>58</v>
      </c>
      <c r="G1905" s="7" t="s">
        <v>58</v>
      </c>
      <c r="H1905" s="7" t="s">
        <v>58</v>
      </c>
      <c r="I1905" s="7" t="s">
        <v>58</v>
      </c>
    </row>
    <row r="1906" spans="1:9" x14ac:dyDescent="0.25">
      <c r="A1906" s="1" t="s">
        <v>36</v>
      </c>
      <c r="B1906" s="7" t="s">
        <v>58</v>
      </c>
      <c r="C1906" s="7" t="s">
        <v>58</v>
      </c>
      <c r="D1906" s="7" t="s">
        <v>58</v>
      </c>
      <c r="E1906" s="7" t="s">
        <v>58</v>
      </c>
      <c r="F1906" s="7" t="s">
        <v>58</v>
      </c>
      <c r="G1906" s="7" t="s">
        <v>58</v>
      </c>
      <c r="H1906" s="7" t="s">
        <v>58</v>
      </c>
      <c r="I1906" s="7" t="s">
        <v>58</v>
      </c>
    </row>
    <row r="1907" spans="1:9" x14ac:dyDescent="0.25">
      <c r="A1907" s="1" t="s">
        <v>37</v>
      </c>
      <c r="B1907" s="7" t="s">
        <v>58</v>
      </c>
      <c r="C1907" s="7" t="s">
        <v>58</v>
      </c>
      <c r="D1907" s="7" t="s">
        <v>58</v>
      </c>
      <c r="E1907" s="7" t="s">
        <v>58</v>
      </c>
      <c r="F1907" s="7" t="s">
        <v>58</v>
      </c>
      <c r="G1907" s="7" t="s">
        <v>58</v>
      </c>
      <c r="H1907" s="7" t="s">
        <v>58</v>
      </c>
      <c r="I1907" s="7" t="s">
        <v>58</v>
      </c>
    </row>
    <row r="1908" spans="1:9" x14ac:dyDescent="0.25">
      <c r="A1908" s="1" t="s">
        <v>38</v>
      </c>
      <c r="B1908" s="7" t="s">
        <v>58</v>
      </c>
      <c r="C1908" s="7" t="s">
        <v>58</v>
      </c>
      <c r="D1908" s="7" t="s">
        <v>58</v>
      </c>
      <c r="E1908" s="7" t="s">
        <v>58</v>
      </c>
      <c r="F1908" s="7" t="s">
        <v>58</v>
      </c>
      <c r="G1908" s="7" t="s">
        <v>58</v>
      </c>
      <c r="H1908" s="7" t="s">
        <v>58</v>
      </c>
      <c r="I1908" s="7" t="s">
        <v>58</v>
      </c>
    </row>
    <row r="1909" spans="1:9" x14ac:dyDescent="0.25">
      <c r="A1909" s="1" t="s">
        <v>39</v>
      </c>
      <c r="B1909" s="7" t="s">
        <v>58</v>
      </c>
      <c r="C1909" s="7" t="s">
        <v>58</v>
      </c>
      <c r="D1909" s="7" t="s">
        <v>58</v>
      </c>
      <c r="E1909" s="7" t="s">
        <v>58</v>
      </c>
      <c r="F1909" s="7" t="s">
        <v>58</v>
      </c>
      <c r="G1909" s="7" t="s">
        <v>58</v>
      </c>
      <c r="H1909" s="7" t="s">
        <v>58</v>
      </c>
      <c r="I1909" s="7" t="s">
        <v>58</v>
      </c>
    </row>
    <row r="1910" spans="1:9" x14ac:dyDescent="0.25">
      <c r="A1910" s="1" t="s">
        <v>40</v>
      </c>
      <c r="B1910" s="5">
        <v>33.549999999999997</v>
      </c>
      <c r="C1910" s="5">
        <v>33.21</v>
      </c>
      <c r="D1910" s="5">
        <v>32.880000000000003</v>
      </c>
      <c r="E1910" s="5">
        <v>32.549999999999997</v>
      </c>
      <c r="F1910" s="5">
        <v>32.229999999999997</v>
      </c>
      <c r="G1910" s="5">
        <v>31.9</v>
      </c>
      <c r="H1910" s="5">
        <v>31.59</v>
      </c>
      <c r="I1910" s="6">
        <v>-0.998255</v>
      </c>
    </row>
    <row r="1911" spans="1:9" x14ac:dyDescent="0.25">
      <c r="A1911" s="1" t="s">
        <v>41</v>
      </c>
      <c r="B1911" s="7" t="s">
        <v>58</v>
      </c>
      <c r="C1911" s="7" t="s">
        <v>58</v>
      </c>
      <c r="D1911" s="7" t="s">
        <v>58</v>
      </c>
      <c r="E1911" s="7" t="s">
        <v>58</v>
      </c>
      <c r="F1911" s="7" t="s">
        <v>58</v>
      </c>
      <c r="G1911" s="7" t="s">
        <v>58</v>
      </c>
      <c r="H1911" s="7" t="s">
        <v>58</v>
      </c>
      <c r="I1911" s="7" t="s">
        <v>58</v>
      </c>
    </row>
    <row r="1912" spans="1:9" x14ac:dyDescent="0.25">
      <c r="A1912" s="1" t="s">
        <v>42</v>
      </c>
      <c r="B1912" s="7" t="s">
        <v>58</v>
      </c>
      <c r="C1912" s="7" t="s">
        <v>58</v>
      </c>
      <c r="D1912" s="7" t="s">
        <v>58</v>
      </c>
      <c r="E1912" s="7" t="s">
        <v>58</v>
      </c>
      <c r="F1912" s="7" t="s">
        <v>58</v>
      </c>
      <c r="G1912" s="7" t="s">
        <v>58</v>
      </c>
      <c r="H1912" s="7" t="s">
        <v>58</v>
      </c>
      <c r="I1912" s="7" t="s">
        <v>58</v>
      </c>
    </row>
    <row r="1913" spans="1:9" x14ac:dyDescent="0.25">
      <c r="A1913" s="1" t="s">
        <v>43</v>
      </c>
      <c r="B1913" s="7" t="s">
        <v>58</v>
      </c>
      <c r="C1913" s="7" t="s">
        <v>58</v>
      </c>
      <c r="D1913" s="7" t="s">
        <v>58</v>
      </c>
      <c r="E1913" s="7" t="s">
        <v>58</v>
      </c>
      <c r="F1913" s="7" t="s">
        <v>58</v>
      </c>
      <c r="G1913" s="7" t="s">
        <v>58</v>
      </c>
      <c r="H1913" s="7" t="s">
        <v>58</v>
      </c>
      <c r="I1913" s="7" t="s">
        <v>58</v>
      </c>
    </row>
    <row r="1914" spans="1:9" x14ac:dyDescent="0.25">
      <c r="A1914" s="1" t="s">
        <v>44</v>
      </c>
      <c r="B1914" s="7" t="s">
        <v>58</v>
      </c>
      <c r="C1914" s="7" t="s">
        <v>58</v>
      </c>
      <c r="D1914" s="7" t="s">
        <v>58</v>
      </c>
      <c r="E1914" s="7" t="s">
        <v>58</v>
      </c>
      <c r="F1914" s="7" t="s">
        <v>58</v>
      </c>
      <c r="G1914" s="7" t="s">
        <v>58</v>
      </c>
      <c r="H1914" s="7" t="s">
        <v>58</v>
      </c>
      <c r="I1914" s="7" t="s">
        <v>58</v>
      </c>
    </row>
    <row r="1915" spans="1:9" x14ac:dyDescent="0.25">
      <c r="A1915" s="1" t="s">
        <v>45</v>
      </c>
      <c r="B1915" s="7" t="s">
        <v>58</v>
      </c>
      <c r="C1915" s="7" t="s">
        <v>58</v>
      </c>
      <c r="D1915" s="7" t="s">
        <v>58</v>
      </c>
      <c r="E1915" s="7" t="s">
        <v>58</v>
      </c>
      <c r="F1915" s="7" t="s">
        <v>58</v>
      </c>
      <c r="G1915" s="7" t="s">
        <v>58</v>
      </c>
      <c r="H1915" s="7" t="s">
        <v>58</v>
      </c>
      <c r="I1915" s="7" t="s">
        <v>58</v>
      </c>
    </row>
    <row r="1916" spans="1:9" x14ac:dyDescent="0.25">
      <c r="A1916" s="1" t="s">
        <v>46</v>
      </c>
      <c r="B1916" s="5">
        <v>3.8</v>
      </c>
      <c r="C1916" s="5">
        <v>3.65</v>
      </c>
      <c r="D1916" s="5">
        <v>3.63</v>
      </c>
      <c r="E1916" s="5">
        <v>3.56</v>
      </c>
      <c r="F1916" s="5">
        <v>3.52</v>
      </c>
      <c r="G1916" s="5">
        <v>3.5</v>
      </c>
      <c r="H1916" s="5">
        <v>3.45</v>
      </c>
      <c r="I1916" s="6">
        <v>-1.5975490000000001</v>
      </c>
    </row>
    <row r="1917" spans="1:9" x14ac:dyDescent="0.25">
      <c r="A1917" s="1" t="s">
        <v>47</v>
      </c>
      <c r="B1917" s="7" t="s">
        <v>58</v>
      </c>
      <c r="C1917" s="7" t="s">
        <v>58</v>
      </c>
      <c r="D1917" s="7" t="s">
        <v>58</v>
      </c>
      <c r="E1917" s="7" t="s">
        <v>58</v>
      </c>
      <c r="F1917" s="7" t="s">
        <v>58</v>
      </c>
      <c r="G1917" s="7" t="s">
        <v>58</v>
      </c>
      <c r="H1917" s="7" t="s">
        <v>58</v>
      </c>
      <c r="I1917" s="7" t="s">
        <v>58</v>
      </c>
    </row>
    <row r="1918" spans="1:9" x14ac:dyDescent="0.25">
      <c r="A1918" s="1" t="s">
        <v>48</v>
      </c>
      <c r="B1918" s="5">
        <v>2.52</v>
      </c>
      <c r="C1918" s="5">
        <v>2.75</v>
      </c>
      <c r="D1918" s="5">
        <v>2.91</v>
      </c>
      <c r="E1918" s="5">
        <v>2.97</v>
      </c>
      <c r="F1918" s="5">
        <v>3.05</v>
      </c>
      <c r="G1918" s="5">
        <v>3.17</v>
      </c>
      <c r="H1918" s="5">
        <v>3.31</v>
      </c>
      <c r="I1918" s="6">
        <v>4.6496810000000002</v>
      </c>
    </row>
    <row r="1919" spans="1:9" x14ac:dyDescent="0.25">
      <c r="A1919" s="1" t="s">
        <v>49</v>
      </c>
      <c r="B1919" s="5">
        <v>4.93</v>
      </c>
      <c r="C1919" s="5">
        <v>4.97</v>
      </c>
      <c r="D1919" s="5">
        <v>5.01</v>
      </c>
      <c r="E1919" s="5">
        <v>4.92</v>
      </c>
      <c r="F1919" s="5">
        <v>4.91</v>
      </c>
      <c r="G1919" s="5">
        <v>4.9400000000000004</v>
      </c>
      <c r="H1919" s="5">
        <v>4.8899999999999997</v>
      </c>
      <c r="I1919" s="6">
        <v>-0.135686</v>
      </c>
    </row>
    <row r="1920" spans="1:9" x14ac:dyDescent="0.25">
      <c r="A1920" s="1" t="s">
        <v>50</v>
      </c>
      <c r="B1920" s="7" t="s">
        <v>58</v>
      </c>
      <c r="C1920" s="7" t="s">
        <v>58</v>
      </c>
      <c r="D1920" s="7" t="s">
        <v>58</v>
      </c>
      <c r="E1920" s="7" t="s">
        <v>58</v>
      </c>
      <c r="F1920" s="7" t="s">
        <v>58</v>
      </c>
      <c r="G1920" s="7" t="s">
        <v>58</v>
      </c>
      <c r="H1920" s="7" t="s">
        <v>58</v>
      </c>
      <c r="I1920" s="7" t="s">
        <v>58</v>
      </c>
    </row>
    <row r="1921" spans="1:9" x14ac:dyDescent="0.25">
      <c r="A1921" s="1" t="s">
        <v>51</v>
      </c>
      <c r="B1921" s="5">
        <v>38.700000000000003</v>
      </c>
      <c r="C1921" s="5">
        <v>38.619999999999997</v>
      </c>
      <c r="D1921" s="5">
        <v>38.549999999999997</v>
      </c>
      <c r="E1921" s="5">
        <v>38.65</v>
      </c>
      <c r="F1921" s="5">
        <v>38.75</v>
      </c>
      <c r="G1921" s="5">
        <v>38.86</v>
      </c>
      <c r="H1921" s="5">
        <v>38.96</v>
      </c>
      <c r="I1921" s="6">
        <v>0.11166</v>
      </c>
    </row>
    <row r="1922" spans="1:9" x14ac:dyDescent="0.25">
      <c r="A1922" s="1" t="s">
        <v>52</v>
      </c>
      <c r="B1922" s="7" t="s">
        <v>58</v>
      </c>
      <c r="C1922" s="7" t="s">
        <v>58</v>
      </c>
      <c r="D1922" s="7" t="s">
        <v>58</v>
      </c>
      <c r="E1922" s="7" t="s">
        <v>58</v>
      </c>
      <c r="F1922" s="7" t="s">
        <v>58</v>
      </c>
      <c r="G1922" s="7" t="s">
        <v>58</v>
      </c>
      <c r="H1922" s="7" t="s">
        <v>58</v>
      </c>
      <c r="I1922" s="7" t="s">
        <v>58</v>
      </c>
    </row>
    <row r="1923" spans="1:9" x14ac:dyDescent="0.25">
      <c r="A1923" s="1" t="s">
        <v>53</v>
      </c>
      <c r="B1923" s="7" t="s">
        <v>58</v>
      </c>
      <c r="C1923" s="7" t="s">
        <v>58</v>
      </c>
      <c r="D1923" s="7" t="s">
        <v>58</v>
      </c>
      <c r="E1923" s="7" t="s">
        <v>58</v>
      </c>
      <c r="F1923" s="7" t="s">
        <v>58</v>
      </c>
      <c r="G1923" s="7" t="s">
        <v>58</v>
      </c>
      <c r="H1923" s="7" t="s">
        <v>58</v>
      </c>
      <c r="I1923" s="7" t="s">
        <v>58</v>
      </c>
    </row>
    <row r="1924" spans="1:9" x14ac:dyDescent="0.25">
      <c r="A1924" s="1" t="s">
        <v>54</v>
      </c>
      <c r="B1924" s="7" t="s">
        <v>58</v>
      </c>
      <c r="C1924" s="7" t="s">
        <v>58</v>
      </c>
      <c r="D1924" s="7" t="s">
        <v>58</v>
      </c>
      <c r="E1924" s="7" t="s">
        <v>58</v>
      </c>
      <c r="F1924" s="7" t="s">
        <v>58</v>
      </c>
      <c r="G1924" s="7" t="s">
        <v>58</v>
      </c>
      <c r="H1924" s="7" t="s">
        <v>58</v>
      </c>
      <c r="I1924" s="7" t="s">
        <v>58</v>
      </c>
    </row>
    <row r="1925" spans="1:9" x14ac:dyDescent="0.25">
      <c r="A1925" s="1" t="s">
        <v>55</v>
      </c>
      <c r="B1925" s="5">
        <v>22.48</v>
      </c>
      <c r="C1925" s="5">
        <v>22.53</v>
      </c>
      <c r="D1925" s="5">
        <v>22.87</v>
      </c>
      <c r="E1925" s="5">
        <v>23.08</v>
      </c>
      <c r="F1925" s="5">
        <v>22.86</v>
      </c>
      <c r="G1925" s="5">
        <v>23.05</v>
      </c>
      <c r="H1925" s="5">
        <v>22.87</v>
      </c>
      <c r="I1925" s="6">
        <v>0.287078</v>
      </c>
    </row>
    <row r="1926" spans="1:9" x14ac:dyDescent="0.25">
      <c r="A1926" s="1" t="s">
        <v>56</v>
      </c>
      <c r="B1926" s="7" t="s">
        <v>58</v>
      </c>
      <c r="C1926" s="7" t="s">
        <v>58</v>
      </c>
      <c r="D1926" s="7" t="s">
        <v>58</v>
      </c>
      <c r="E1926" s="7" t="s">
        <v>58</v>
      </c>
      <c r="F1926" s="7" t="s">
        <v>58</v>
      </c>
      <c r="G1926" s="7" t="s">
        <v>58</v>
      </c>
      <c r="H1926" s="7" t="s">
        <v>58</v>
      </c>
      <c r="I1926" s="7" t="s">
        <v>58</v>
      </c>
    </row>
    <row r="1927" spans="1:9" x14ac:dyDescent="0.25">
      <c r="A1927" s="1" t="s">
        <v>57</v>
      </c>
      <c r="B1927" s="7" t="s">
        <v>58</v>
      </c>
      <c r="C1927" s="7" t="s">
        <v>58</v>
      </c>
      <c r="D1927" s="7" t="s">
        <v>58</v>
      </c>
      <c r="E1927" s="7" t="s">
        <v>58</v>
      </c>
      <c r="F1927" s="7" t="s">
        <v>58</v>
      </c>
      <c r="G1927" s="7" t="s">
        <v>58</v>
      </c>
      <c r="H1927" s="7" t="s">
        <v>58</v>
      </c>
      <c r="I1927" s="7" t="s">
        <v>58</v>
      </c>
    </row>
    <row r="1928" spans="1:9" x14ac:dyDescent="0.25">
      <c r="A1928" s="1" t="s">
        <v>59</v>
      </c>
      <c r="B1928" s="7" t="s">
        <v>58</v>
      </c>
      <c r="C1928" s="7" t="s">
        <v>58</v>
      </c>
      <c r="D1928" s="7" t="s">
        <v>58</v>
      </c>
      <c r="E1928" s="7" t="s">
        <v>58</v>
      </c>
      <c r="F1928" s="7" t="s">
        <v>58</v>
      </c>
      <c r="G1928" s="7" t="s">
        <v>58</v>
      </c>
      <c r="H1928" s="7" t="s">
        <v>58</v>
      </c>
      <c r="I1928" s="7" t="s">
        <v>58</v>
      </c>
    </row>
    <row r="1929" spans="1:9" x14ac:dyDescent="0.25">
      <c r="A1929" s="1" t="s">
        <v>60</v>
      </c>
      <c r="B1929" s="5">
        <v>9.01</v>
      </c>
      <c r="C1929" s="5">
        <v>8.9499999999999993</v>
      </c>
      <c r="D1929" s="5">
        <v>8.92</v>
      </c>
      <c r="E1929" s="5">
        <v>8.91</v>
      </c>
      <c r="F1929" s="5">
        <v>8.89</v>
      </c>
      <c r="G1929" s="5">
        <v>8.89</v>
      </c>
      <c r="H1929" s="5">
        <v>8.86</v>
      </c>
      <c r="I1929" s="6">
        <v>-0.279414</v>
      </c>
    </row>
    <row r="1930" spans="1:9" ht="45" x14ac:dyDescent="0.25">
      <c r="A1930" s="1" t="s">
        <v>61</v>
      </c>
      <c r="B1930" s="7" t="s">
        <v>58</v>
      </c>
      <c r="C1930" s="7" t="s">
        <v>58</v>
      </c>
      <c r="D1930" s="7" t="s">
        <v>58</v>
      </c>
      <c r="E1930" s="7" t="s">
        <v>58</v>
      </c>
      <c r="F1930" s="7" t="s">
        <v>58</v>
      </c>
      <c r="G1930" s="7" t="s">
        <v>58</v>
      </c>
      <c r="H1930" s="7" t="s">
        <v>58</v>
      </c>
      <c r="I1930" s="7" t="s">
        <v>58</v>
      </c>
    </row>
    <row r="1931" spans="1:9" x14ac:dyDescent="0.25">
      <c r="A1931" s="1" t="s">
        <v>62</v>
      </c>
      <c r="B1931" s="7" t="s">
        <v>58</v>
      </c>
      <c r="C1931" s="7" t="s">
        <v>58</v>
      </c>
      <c r="D1931" s="7" t="s">
        <v>58</v>
      </c>
      <c r="E1931" s="7" t="s">
        <v>58</v>
      </c>
      <c r="F1931" s="7" t="s">
        <v>58</v>
      </c>
      <c r="G1931" s="7" t="s">
        <v>58</v>
      </c>
      <c r="H1931" s="7" t="s">
        <v>58</v>
      </c>
      <c r="I1931" s="7" t="s">
        <v>58</v>
      </c>
    </row>
    <row r="1932" spans="1:9" x14ac:dyDescent="0.25">
      <c r="A1932" s="1" t="s">
        <v>63</v>
      </c>
      <c r="B1932" s="7" t="s">
        <v>58</v>
      </c>
      <c r="C1932" s="7" t="s">
        <v>58</v>
      </c>
      <c r="D1932" s="7" t="s">
        <v>58</v>
      </c>
      <c r="E1932" s="7" t="s">
        <v>58</v>
      </c>
      <c r="F1932" s="7" t="s">
        <v>58</v>
      </c>
      <c r="G1932" s="7" t="s">
        <v>58</v>
      </c>
      <c r="H1932" s="7" t="s">
        <v>58</v>
      </c>
      <c r="I1932" s="7" t="s">
        <v>58</v>
      </c>
    </row>
    <row r="1933" spans="1:9" x14ac:dyDescent="0.25">
      <c r="A1933" s="1" t="s">
        <v>64</v>
      </c>
      <c r="B1933" s="7" t="s">
        <v>58</v>
      </c>
      <c r="C1933" s="7" t="s">
        <v>58</v>
      </c>
      <c r="D1933" s="7" t="s">
        <v>58</v>
      </c>
      <c r="E1933" s="7" t="s">
        <v>58</v>
      </c>
      <c r="F1933" s="7" t="s">
        <v>58</v>
      </c>
      <c r="G1933" s="7" t="s">
        <v>58</v>
      </c>
      <c r="H1933" s="7" t="s">
        <v>58</v>
      </c>
      <c r="I1933" s="7" t="s">
        <v>58</v>
      </c>
    </row>
    <row r="1934" spans="1:9" x14ac:dyDescent="0.25">
      <c r="A1934" s="1" t="s">
        <v>65</v>
      </c>
      <c r="B1934" s="5">
        <v>20.350000000000001</v>
      </c>
      <c r="C1934" s="5">
        <v>21.95</v>
      </c>
      <c r="D1934" s="5">
        <v>22.18</v>
      </c>
      <c r="E1934" s="5">
        <v>22.35</v>
      </c>
      <c r="F1934" s="5">
        <v>22.58</v>
      </c>
      <c r="G1934" s="5">
        <v>22.85</v>
      </c>
      <c r="H1934" s="5">
        <v>23.07</v>
      </c>
      <c r="I1934" s="6">
        <v>2.1128809999999998</v>
      </c>
    </row>
    <row r="1935" spans="1:9" x14ac:dyDescent="0.25">
      <c r="A1935" s="1" t="s">
        <v>66</v>
      </c>
      <c r="B1935" s="5">
        <v>20.239999999999998</v>
      </c>
      <c r="C1935" s="5">
        <v>19.98</v>
      </c>
      <c r="D1935" s="5">
        <v>19.760000000000002</v>
      </c>
      <c r="E1935" s="5">
        <v>19.600000000000001</v>
      </c>
      <c r="F1935" s="5">
        <v>19.45</v>
      </c>
      <c r="G1935" s="5">
        <v>19.18</v>
      </c>
      <c r="H1935" s="5">
        <v>18.899999999999999</v>
      </c>
      <c r="I1935" s="6">
        <v>-1.135157</v>
      </c>
    </row>
    <row r="1936" spans="1:9" ht="30" x14ac:dyDescent="0.25">
      <c r="A1936" s="1" t="s">
        <v>67</v>
      </c>
      <c r="B1936" s="7" t="s">
        <v>58</v>
      </c>
      <c r="C1936" s="7" t="s">
        <v>58</v>
      </c>
      <c r="D1936" s="7" t="s">
        <v>58</v>
      </c>
      <c r="E1936" s="7" t="s">
        <v>58</v>
      </c>
      <c r="F1936" s="7" t="s">
        <v>58</v>
      </c>
      <c r="G1936" s="7" t="s">
        <v>58</v>
      </c>
      <c r="H1936" s="7" t="s">
        <v>58</v>
      </c>
      <c r="I1936" s="7" t="s">
        <v>58</v>
      </c>
    </row>
    <row r="1937" spans="1:9" x14ac:dyDescent="0.25">
      <c r="A1937" s="1" t="s">
        <v>68</v>
      </c>
      <c r="B1937" s="7" t="s">
        <v>58</v>
      </c>
      <c r="C1937" s="7" t="s">
        <v>58</v>
      </c>
      <c r="D1937" s="7" t="s">
        <v>58</v>
      </c>
      <c r="E1937" s="7" t="s">
        <v>58</v>
      </c>
      <c r="F1937" s="7" t="s">
        <v>58</v>
      </c>
      <c r="G1937" s="7" t="s">
        <v>58</v>
      </c>
      <c r="H1937" s="7" t="s">
        <v>58</v>
      </c>
      <c r="I1937" s="7" t="s">
        <v>58</v>
      </c>
    </row>
    <row r="1938" spans="1:9" x14ac:dyDescent="0.25">
      <c r="A1938" s="1" t="s">
        <v>69</v>
      </c>
      <c r="B1938" s="5">
        <v>3.29</v>
      </c>
      <c r="C1938" s="5">
        <v>3.23</v>
      </c>
      <c r="D1938" s="5">
        <v>3.33</v>
      </c>
      <c r="E1938" s="5">
        <v>3.43</v>
      </c>
      <c r="F1938" s="5">
        <v>3.49</v>
      </c>
      <c r="G1938" s="5">
        <v>3.49</v>
      </c>
      <c r="H1938" s="5">
        <v>3.4</v>
      </c>
      <c r="I1938" s="6">
        <v>0.54963600000000001</v>
      </c>
    </row>
    <row r="1939" spans="1:9" x14ac:dyDescent="0.25">
      <c r="A1939" s="1" t="s">
        <v>70</v>
      </c>
      <c r="B1939" s="5">
        <v>33.520000000000003</v>
      </c>
      <c r="C1939" s="5">
        <v>33.520000000000003</v>
      </c>
      <c r="D1939" s="5">
        <v>33.520000000000003</v>
      </c>
      <c r="E1939" s="5">
        <v>32.020000000000003</v>
      </c>
      <c r="F1939" s="5">
        <v>32.020000000000003</v>
      </c>
      <c r="G1939" s="5">
        <v>29.26</v>
      </c>
      <c r="H1939" s="5">
        <v>28.18</v>
      </c>
      <c r="I1939" s="6">
        <v>-2.8507400000000001</v>
      </c>
    </row>
    <row r="1940" spans="1:9" x14ac:dyDescent="0.25">
      <c r="A1940" s="1" t="s">
        <v>71</v>
      </c>
      <c r="B1940" s="5">
        <v>37.229999999999997</v>
      </c>
      <c r="C1940" s="5">
        <v>35.26</v>
      </c>
      <c r="D1940" s="5">
        <v>35.97</v>
      </c>
      <c r="E1940" s="5">
        <v>35.36</v>
      </c>
      <c r="F1940" s="5">
        <v>34.67</v>
      </c>
      <c r="G1940" s="5">
        <v>33.94</v>
      </c>
      <c r="H1940" s="5">
        <v>33.14</v>
      </c>
      <c r="I1940" s="6">
        <v>-1.920876</v>
      </c>
    </row>
    <row r="1941" spans="1:9" x14ac:dyDescent="0.25">
      <c r="A1941" s="1" t="s">
        <v>72</v>
      </c>
      <c r="B1941" s="7" t="s">
        <v>58</v>
      </c>
      <c r="C1941" s="7" t="s">
        <v>58</v>
      </c>
      <c r="D1941" s="7" t="s">
        <v>58</v>
      </c>
      <c r="E1941" s="7" t="s">
        <v>58</v>
      </c>
      <c r="F1941" s="7" t="s">
        <v>58</v>
      </c>
      <c r="G1941" s="7" t="s">
        <v>58</v>
      </c>
      <c r="H1941" s="7" t="s">
        <v>58</v>
      </c>
      <c r="I1941" s="7" t="s">
        <v>58</v>
      </c>
    </row>
    <row r="1942" spans="1:9" x14ac:dyDescent="0.25">
      <c r="A1942" s="1" t="s">
        <v>73</v>
      </c>
      <c r="B1942" s="7" t="s">
        <v>58</v>
      </c>
      <c r="C1942" s="7" t="s">
        <v>58</v>
      </c>
      <c r="D1942" s="7" t="s">
        <v>58</v>
      </c>
      <c r="E1942" s="7" t="s">
        <v>58</v>
      </c>
      <c r="F1942" s="7" t="s">
        <v>58</v>
      </c>
      <c r="G1942" s="7" t="s">
        <v>58</v>
      </c>
      <c r="H1942" s="7" t="s">
        <v>58</v>
      </c>
      <c r="I1942" s="7" t="s">
        <v>58</v>
      </c>
    </row>
    <row r="1943" spans="1:9" ht="30" x14ac:dyDescent="0.25">
      <c r="A1943" s="1" t="s">
        <v>74</v>
      </c>
      <c r="B1943" s="7" t="s">
        <v>58</v>
      </c>
      <c r="C1943" s="7" t="s">
        <v>58</v>
      </c>
      <c r="D1943" s="7" t="s">
        <v>58</v>
      </c>
      <c r="E1943" s="7" t="s">
        <v>58</v>
      </c>
      <c r="F1943" s="7" t="s">
        <v>58</v>
      </c>
      <c r="G1943" s="7" t="s">
        <v>58</v>
      </c>
      <c r="H1943" s="7" t="s">
        <v>58</v>
      </c>
      <c r="I1943" s="7" t="s">
        <v>58</v>
      </c>
    </row>
    <row r="1944" spans="1:9" x14ac:dyDescent="0.25">
      <c r="A1944" s="1" t="s">
        <v>75</v>
      </c>
      <c r="B1944" s="5">
        <v>30.16</v>
      </c>
      <c r="C1944" s="5">
        <v>30.41</v>
      </c>
      <c r="D1944" s="5">
        <v>30.77</v>
      </c>
      <c r="E1944" s="5">
        <v>31.2</v>
      </c>
      <c r="F1944" s="5">
        <v>31.63</v>
      </c>
      <c r="G1944" s="5">
        <v>32.08</v>
      </c>
      <c r="H1944" s="5">
        <v>32.53</v>
      </c>
      <c r="I1944" s="6">
        <v>1.268751</v>
      </c>
    </row>
    <row r="1945" spans="1:9" x14ac:dyDescent="0.25">
      <c r="A1945" s="1" t="s">
        <v>76</v>
      </c>
      <c r="B1945" s="7" t="s">
        <v>58</v>
      </c>
      <c r="C1945" s="7" t="s">
        <v>58</v>
      </c>
      <c r="D1945" s="7" t="s">
        <v>58</v>
      </c>
      <c r="E1945" s="7" t="s">
        <v>58</v>
      </c>
      <c r="F1945" s="7" t="s">
        <v>58</v>
      </c>
      <c r="G1945" s="7" t="s">
        <v>58</v>
      </c>
      <c r="H1945" s="7" t="s">
        <v>58</v>
      </c>
      <c r="I1945" s="7" t="s">
        <v>58</v>
      </c>
    </row>
    <row r="1946" spans="1:9" ht="45" x14ac:dyDescent="0.25">
      <c r="A1946" s="1" t="s">
        <v>77</v>
      </c>
      <c r="B1946" s="7" t="s">
        <v>58</v>
      </c>
      <c r="C1946" s="7" t="s">
        <v>58</v>
      </c>
      <c r="D1946" s="7" t="s">
        <v>58</v>
      </c>
      <c r="E1946" s="7" t="s">
        <v>58</v>
      </c>
      <c r="F1946" s="7" t="s">
        <v>58</v>
      </c>
      <c r="G1946" s="7" t="s">
        <v>58</v>
      </c>
      <c r="H1946" s="7" t="s">
        <v>58</v>
      </c>
      <c r="I1946" s="7" t="s">
        <v>58</v>
      </c>
    </row>
    <row r="1947" spans="1:9" ht="45" x14ac:dyDescent="0.25">
      <c r="A1947" s="1" t="s">
        <v>78</v>
      </c>
      <c r="B1947" s="7" t="s">
        <v>58</v>
      </c>
      <c r="C1947" s="7" t="s">
        <v>58</v>
      </c>
      <c r="D1947" s="7" t="s">
        <v>58</v>
      </c>
      <c r="E1947" s="7" t="s">
        <v>58</v>
      </c>
      <c r="F1947" s="7" t="s">
        <v>58</v>
      </c>
      <c r="G1947" s="7" t="s">
        <v>58</v>
      </c>
      <c r="H1947" s="7" t="s">
        <v>58</v>
      </c>
      <c r="I1947" s="7" t="s">
        <v>58</v>
      </c>
    </row>
    <row r="1948" spans="1:9" ht="60" x14ac:dyDescent="0.25">
      <c r="A1948" s="1" t="s">
        <v>79</v>
      </c>
      <c r="B1948" s="7" t="s">
        <v>58</v>
      </c>
      <c r="C1948" s="7" t="s">
        <v>58</v>
      </c>
      <c r="D1948" s="7" t="s">
        <v>58</v>
      </c>
      <c r="E1948" s="7" t="s">
        <v>58</v>
      </c>
      <c r="F1948" s="7" t="s">
        <v>58</v>
      </c>
      <c r="G1948" s="7" t="s">
        <v>58</v>
      </c>
      <c r="H1948" s="7" t="s">
        <v>58</v>
      </c>
      <c r="I1948" s="7" t="s">
        <v>58</v>
      </c>
    </row>
    <row r="1949" spans="1:9" ht="45" x14ac:dyDescent="0.25">
      <c r="A1949" s="1" t="s">
        <v>80</v>
      </c>
      <c r="B1949" s="7" t="s">
        <v>58</v>
      </c>
      <c r="C1949" s="7" t="s">
        <v>58</v>
      </c>
      <c r="D1949" s="7" t="s">
        <v>58</v>
      </c>
      <c r="E1949" s="7" t="s">
        <v>58</v>
      </c>
      <c r="F1949" s="7" t="s">
        <v>58</v>
      </c>
      <c r="G1949" s="7" t="s">
        <v>58</v>
      </c>
      <c r="H1949" s="7" t="s">
        <v>58</v>
      </c>
      <c r="I1949" s="7" t="s">
        <v>58</v>
      </c>
    </row>
    <row r="1950" spans="1:9" ht="45" x14ac:dyDescent="0.25">
      <c r="A1950" s="1" t="s">
        <v>81</v>
      </c>
      <c r="B1950" s="7" t="s">
        <v>58</v>
      </c>
      <c r="C1950" s="7" t="s">
        <v>58</v>
      </c>
      <c r="D1950" s="7" t="s">
        <v>58</v>
      </c>
      <c r="E1950" s="7" t="s">
        <v>58</v>
      </c>
      <c r="F1950" s="7" t="s">
        <v>58</v>
      </c>
      <c r="G1950" s="7" t="s">
        <v>58</v>
      </c>
      <c r="H1950" s="7" t="s">
        <v>58</v>
      </c>
      <c r="I1950" s="7" t="s">
        <v>58</v>
      </c>
    </row>
    <row r="1951" spans="1:9" x14ac:dyDescent="0.25">
      <c r="A1951" s="1" t="s">
        <v>82</v>
      </c>
      <c r="B1951" s="5">
        <v>4.7</v>
      </c>
      <c r="C1951" s="5">
        <v>4.7</v>
      </c>
      <c r="D1951" s="5">
        <v>4.67</v>
      </c>
      <c r="E1951" s="5">
        <v>4.66</v>
      </c>
      <c r="F1951" s="5">
        <v>4.67</v>
      </c>
      <c r="G1951" s="5">
        <v>4.66</v>
      </c>
      <c r="H1951" s="5">
        <v>4.6399999999999997</v>
      </c>
      <c r="I1951" s="6">
        <v>-0.21390700000000001</v>
      </c>
    </row>
    <row r="1952" spans="1:9" x14ac:dyDescent="0.25">
      <c r="A1952" s="1" t="s">
        <v>83</v>
      </c>
      <c r="B1952" s="7" t="s">
        <v>58</v>
      </c>
      <c r="C1952" s="7" t="s">
        <v>58</v>
      </c>
      <c r="D1952" s="7" t="s">
        <v>58</v>
      </c>
      <c r="E1952" s="7" t="s">
        <v>58</v>
      </c>
      <c r="F1952" s="7" t="s">
        <v>58</v>
      </c>
      <c r="G1952" s="7" t="s">
        <v>58</v>
      </c>
      <c r="H1952" s="7" t="s">
        <v>58</v>
      </c>
      <c r="I1952" s="7" t="s">
        <v>58</v>
      </c>
    </row>
    <row r="1953" spans="1:9" x14ac:dyDescent="0.25">
      <c r="A1953" s="1" t="s">
        <v>84</v>
      </c>
      <c r="B1953" s="7" t="s">
        <v>58</v>
      </c>
      <c r="C1953" s="7" t="s">
        <v>58</v>
      </c>
      <c r="D1953" s="7" t="s">
        <v>58</v>
      </c>
      <c r="E1953" s="7" t="s">
        <v>58</v>
      </c>
      <c r="F1953" s="7" t="s">
        <v>58</v>
      </c>
      <c r="G1953" s="7" t="s">
        <v>58</v>
      </c>
      <c r="H1953" s="7" t="s">
        <v>58</v>
      </c>
      <c r="I1953" s="7" t="s">
        <v>58</v>
      </c>
    </row>
    <row r="1954" spans="1:9" x14ac:dyDescent="0.25">
      <c r="A1954" s="1" t="s">
        <v>85</v>
      </c>
      <c r="B1954" s="7" t="s">
        <v>58</v>
      </c>
      <c r="C1954" s="7" t="s">
        <v>58</v>
      </c>
      <c r="D1954" s="7" t="s">
        <v>58</v>
      </c>
      <c r="E1954" s="7" t="s">
        <v>58</v>
      </c>
      <c r="F1954" s="7" t="s">
        <v>58</v>
      </c>
      <c r="G1954" s="7" t="s">
        <v>58</v>
      </c>
      <c r="H1954" s="7" t="s">
        <v>58</v>
      </c>
      <c r="I1954" s="7" t="s">
        <v>58</v>
      </c>
    </row>
    <row r="1955" spans="1:9" x14ac:dyDescent="0.25">
      <c r="A1955" s="1" t="s">
        <v>86</v>
      </c>
      <c r="B1955" s="7" t="s">
        <v>58</v>
      </c>
      <c r="C1955" s="7" t="s">
        <v>58</v>
      </c>
      <c r="D1955" s="7" t="s">
        <v>58</v>
      </c>
      <c r="E1955" s="7" t="s">
        <v>58</v>
      </c>
      <c r="F1955" s="7" t="s">
        <v>58</v>
      </c>
      <c r="G1955" s="7" t="s">
        <v>58</v>
      </c>
      <c r="H1955" s="7" t="s">
        <v>58</v>
      </c>
      <c r="I1955" s="7" t="s">
        <v>58</v>
      </c>
    </row>
    <row r="1956" spans="1:9" x14ac:dyDescent="0.25">
      <c r="A1956" s="1" t="s">
        <v>87</v>
      </c>
      <c r="B1956" s="5">
        <v>12.72</v>
      </c>
      <c r="C1956" s="5">
        <v>12.42</v>
      </c>
      <c r="D1956" s="5">
        <v>12.01</v>
      </c>
      <c r="E1956" s="5">
        <v>11.76</v>
      </c>
      <c r="F1956" s="5">
        <v>11.6</v>
      </c>
      <c r="G1956" s="5">
        <v>11.48</v>
      </c>
      <c r="H1956" s="5">
        <v>11.38</v>
      </c>
      <c r="I1956" s="6">
        <v>-1.8381970000000001</v>
      </c>
    </row>
    <row r="1957" spans="1:9" x14ac:dyDescent="0.25">
      <c r="A1957" s="1" t="s">
        <v>88</v>
      </c>
      <c r="B1957" s="7" t="s">
        <v>58</v>
      </c>
      <c r="C1957" s="7" t="s">
        <v>58</v>
      </c>
      <c r="D1957" s="7" t="s">
        <v>58</v>
      </c>
      <c r="E1957" s="7" t="s">
        <v>58</v>
      </c>
      <c r="F1957" s="7" t="s">
        <v>58</v>
      </c>
      <c r="G1957" s="7" t="s">
        <v>58</v>
      </c>
      <c r="H1957" s="7" t="s">
        <v>58</v>
      </c>
      <c r="I1957" s="7" t="s">
        <v>58</v>
      </c>
    </row>
    <row r="1958" spans="1:9" x14ac:dyDescent="0.25">
      <c r="A1958" s="1" t="s">
        <v>89</v>
      </c>
      <c r="B1958" s="5">
        <v>0</v>
      </c>
      <c r="C1958" s="5">
        <v>0</v>
      </c>
      <c r="D1958" s="5">
        <v>0</v>
      </c>
      <c r="E1958" s="5">
        <v>0</v>
      </c>
      <c r="F1958" s="5">
        <v>0</v>
      </c>
      <c r="G1958" s="5">
        <v>0</v>
      </c>
      <c r="H1958" s="5">
        <v>0</v>
      </c>
      <c r="I1958" s="7" t="s">
        <v>58</v>
      </c>
    </row>
    <row r="1959" spans="1:9" x14ac:dyDescent="0.25">
      <c r="A1959" s="1" t="s">
        <v>90</v>
      </c>
      <c r="B1959" s="7" t="s">
        <v>58</v>
      </c>
      <c r="C1959" s="7" t="s">
        <v>58</v>
      </c>
      <c r="D1959" s="7" t="s">
        <v>58</v>
      </c>
      <c r="E1959" s="7" t="s">
        <v>58</v>
      </c>
      <c r="F1959" s="7" t="s">
        <v>58</v>
      </c>
      <c r="G1959" s="7" t="s">
        <v>58</v>
      </c>
      <c r="H1959" s="7" t="s">
        <v>58</v>
      </c>
      <c r="I1959" s="7" t="s">
        <v>58</v>
      </c>
    </row>
    <row r="1960" spans="1:9" x14ac:dyDescent="0.25">
      <c r="A1960" s="1" t="s">
        <v>91</v>
      </c>
      <c r="B1960" s="7" t="s">
        <v>58</v>
      </c>
      <c r="C1960" s="7" t="s">
        <v>58</v>
      </c>
      <c r="D1960" s="7" t="s">
        <v>58</v>
      </c>
      <c r="E1960" s="7" t="s">
        <v>58</v>
      </c>
      <c r="F1960" s="7" t="s">
        <v>58</v>
      </c>
      <c r="G1960" s="7" t="s">
        <v>58</v>
      </c>
      <c r="H1960" s="7" t="s">
        <v>58</v>
      </c>
      <c r="I1960" s="7" t="s">
        <v>58</v>
      </c>
    </row>
    <row r="1961" spans="1:9" x14ac:dyDescent="0.25">
      <c r="A1961" s="1" t="s">
        <v>92</v>
      </c>
      <c r="B1961" s="7" t="s">
        <v>58</v>
      </c>
      <c r="C1961" s="7" t="s">
        <v>58</v>
      </c>
      <c r="D1961" s="7" t="s">
        <v>58</v>
      </c>
      <c r="E1961" s="7" t="s">
        <v>58</v>
      </c>
      <c r="F1961" s="7" t="s">
        <v>58</v>
      </c>
      <c r="G1961" s="7" t="s">
        <v>58</v>
      </c>
      <c r="H1961" s="7" t="s">
        <v>58</v>
      </c>
      <c r="I1961" s="7" t="s">
        <v>58</v>
      </c>
    </row>
    <row r="1962" spans="1:9" x14ac:dyDescent="0.25">
      <c r="A1962" s="1" t="s">
        <v>93</v>
      </c>
      <c r="B1962" s="7" t="s">
        <v>58</v>
      </c>
      <c r="C1962" s="7" t="s">
        <v>58</v>
      </c>
      <c r="D1962" s="7" t="s">
        <v>58</v>
      </c>
      <c r="E1962" s="7" t="s">
        <v>58</v>
      </c>
      <c r="F1962" s="7" t="s">
        <v>58</v>
      </c>
      <c r="G1962" s="7" t="s">
        <v>58</v>
      </c>
      <c r="H1962" s="7" t="s">
        <v>58</v>
      </c>
      <c r="I1962" s="7" t="s">
        <v>58</v>
      </c>
    </row>
    <row r="1963" spans="1:9" x14ac:dyDescent="0.25">
      <c r="A1963" s="1" t="s">
        <v>94</v>
      </c>
      <c r="B1963" s="7" t="s">
        <v>58</v>
      </c>
      <c r="C1963" s="7" t="s">
        <v>58</v>
      </c>
      <c r="D1963" s="7" t="s">
        <v>58</v>
      </c>
      <c r="E1963" s="7" t="s">
        <v>58</v>
      </c>
      <c r="F1963" s="7" t="s">
        <v>58</v>
      </c>
      <c r="G1963" s="7" t="s">
        <v>58</v>
      </c>
      <c r="H1963" s="7" t="s">
        <v>58</v>
      </c>
      <c r="I1963" s="7" t="s">
        <v>58</v>
      </c>
    </row>
    <row r="1964" spans="1:9" x14ac:dyDescent="0.25">
      <c r="A1964" s="1" t="s">
        <v>95</v>
      </c>
      <c r="B1964" s="7" t="s">
        <v>58</v>
      </c>
      <c r="C1964" s="7" t="s">
        <v>58</v>
      </c>
      <c r="D1964" s="7" t="s">
        <v>58</v>
      </c>
      <c r="E1964" s="7" t="s">
        <v>58</v>
      </c>
      <c r="F1964" s="7" t="s">
        <v>58</v>
      </c>
      <c r="G1964" s="7" t="s">
        <v>58</v>
      </c>
      <c r="H1964" s="7" t="s">
        <v>58</v>
      </c>
      <c r="I1964" s="7" t="s">
        <v>58</v>
      </c>
    </row>
    <row r="1965" spans="1:9" x14ac:dyDescent="0.25">
      <c r="A1965" s="1" t="s">
        <v>96</v>
      </c>
      <c r="B1965" s="7" t="s">
        <v>58</v>
      </c>
      <c r="C1965" s="7" t="s">
        <v>58</v>
      </c>
      <c r="D1965" s="7" t="s">
        <v>58</v>
      </c>
      <c r="E1965" s="7" t="s">
        <v>58</v>
      </c>
      <c r="F1965" s="7" t="s">
        <v>58</v>
      </c>
      <c r="G1965" s="7" t="s">
        <v>58</v>
      </c>
      <c r="H1965" s="7" t="s">
        <v>58</v>
      </c>
      <c r="I1965" s="7" t="s">
        <v>58</v>
      </c>
    </row>
    <row r="1966" spans="1:9" x14ac:dyDescent="0.25">
      <c r="A1966" s="1" t="s">
        <v>97</v>
      </c>
      <c r="B1966" s="7" t="s">
        <v>58</v>
      </c>
      <c r="C1966" s="7" t="s">
        <v>58</v>
      </c>
      <c r="D1966" s="7" t="s">
        <v>58</v>
      </c>
      <c r="E1966" s="7" t="s">
        <v>58</v>
      </c>
      <c r="F1966" s="7" t="s">
        <v>58</v>
      </c>
      <c r="G1966" s="7" t="s">
        <v>58</v>
      </c>
      <c r="H1966" s="7" t="s">
        <v>58</v>
      </c>
      <c r="I1966" s="7" t="s">
        <v>58</v>
      </c>
    </row>
    <row r="1967" spans="1:9" x14ac:dyDescent="0.25">
      <c r="A1967" s="1" t="s">
        <v>98</v>
      </c>
      <c r="B1967" s="7" t="s">
        <v>58</v>
      </c>
      <c r="C1967" s="7" t="s">
        <v>58</v>
      </c>
      <c r="D1967" s="7" t="s">
        <v>58</v>
      </c>
      <c r="E1967" s="7" t="s">
        <v>58</v>
      </c>
      <c r="F1967" s="7" t="s">
        <v>58</v>
      </c>
      <c r="G1967" s="7" t="s">
        <v>58</v>
      </c>
      <c r="H1967" s="7" t="s">
        <v>58</v>
      </c>
      <c r="I1967" s="7" t="s">
        <v>58</v>
      </c>
    </row>
    <row r="1968" spans="1:9" x14ac:dyDescent="0.25">
      <c r="A1968" s="1" t="s">
        <v>99</v>
      </c>
      <c r="B1968" s="7" t="s">
        <v>58</v>
      </c>
      <c r="C1968" s="7" t="s">
        <v>58</v>
      </c>
      <c r="D1968" s="7" t="s">
        <v>58</v>
      </c>
      <c r="E1968" s="7" t="s">
        <v>58</v>
      </c>
      <c r="F1968" s="7" t="s">
        <v>58</v>
      </c>
      <c r="G1968" s="7" t="s">
        <v>58</v>
      </c>
      <c r="H1968" s="7" t="s">
        <v>58</v>
      </c>
      <c r="I1968" s="7" t="s">
        <v>58</v>
      </c>
    </row>
    <row r="1969" spans="1:9" x14ac:dyDescent="0.25">
      <c r="A1969" s="1" t="s">
        <v>100</v>
      </c>
      <c r="B1969" s="7" t="s">
        <v>58</v>
      </c>
      <c r="C1969" s="7" t="s">
        <v>58</v>
      </c>
      <c r="D1969" s="7" t="s">
        <v>58</v>
      </c>
      <c r="E1969" s="7" t="s">
        <v>58</v>
      </c>
      <c r="F1969" s="7" t="s">
        <v>58</v>
      </c>
      <c r="G1969" s="7" t="s">
        <v>58</v>
      </c>
      <c r="H1969" s="7" t="s">
        <v>58</v>
      </c>
      <c r="I1969" s="7" t="s">
        <v>58</v>
      </c>
    </row>
    <row r="1970" spans="1:9" x14ac:dyDescent="0.25">
      <c r="A1970" s="1" t="s">
        <v>101</v>
      </c>
      <c r="B1970" s="5">
        <v>28.54</v>
      </c>
      <c r="C1970" s="5">
        <v>27.44</v>
      </c>
      <c r="D1970" s="5">
        <v>27.56</v>
      </c>
      <c r="E1970" s="5">
        <v>27.67</v>
      </c>
      <c r="F1970" s="5">
        <v>27.78</v>
      </c>
      <c r="G1970" s="5">
        <v>27.89</v>
      </c>
      <c r="H1970" s="5">
        <v>28.01</v>
      </c>
      <c r="I1970" s="6">
        <v>-0.31192999999999999</v>
      </c>
    </row>
    <row r="1971" spans="1:9" x14ac:dyDescent="0.25">
      <c r="A1971" s="1" t="s">
        <v>102</v>
      </c>
      <c r="B1971" s="7" t="s">
        <v>58</v>
      </c>
      <c r="C1971" s="7" t="s">
        <v>58</v>
      </c>
      <c r="D1971" s="7" t="s">
        <v>58</v>
      </c>
      <c r="E1971" s="7" t="s">
        <v>58</v>
      </c>
      <c r="F1971" s="7" t="s">
        <v>58</v>
      </c>
      <c r="G1971" s="7" t="s">
        <v>58</v>
      </c>
      <c r="H1971" s="7" t="s">
        <v>58</v>
      </c>
      <c r="I1971" s="7" t="s">
        <v>58</v>
      </c>
    </row>
    <row r="1972" spans="1:9" x14ac:dyDescent="0.25">
      <c r="A1972" s="1" t="s">
        <v>103</v>
      </c>
      <c r="B1972" s="7" t="s">
        <v>58</v>
      </c>
      <c r="C1972" s="7" t="s">
        <v>58</v>
      </c>
      <c r="D1972" s="7" t="s">
        <v>58</v>
      </c>
      <c r="E1972" s="7" t="s">
        <v>58</v>
      </c>
      <c r="F1972" s="7" t="s">
        <v>58</v>
      </c>
      <c r="G1972" s="7" t="s">
        <v>58</v>
      </c>
      <c r="H1972" s="7" t="s">
        <v>58</v>
      </c>
      <c r="I1972" s="7" t="s">
        <v>58</v>
      </c>
    </row>
    <row r="1973" spans="1:9" x14ac:dyDescent="0.25">
      <c r="A1973" s="1" t="s">
        <v>104</v>
      </c>
      <c r="B1973" s="7" t="s">
        <v>58</v>
      </c>
      <c r="C1973" s="7" t="s">
        <v>58</v>
      </c>
      <c r="D1973" s="7" t="s">
        <v>58</v>
      </c>
      <c r="E1973" s="7" t="s">
        <v>58</v>
      </c>
      <c r="F1973" s="7" t="s">
        <v>58</v>
      </c>
      <c r="G1973" s="7" t="s">
        <v>58</v>
      </c>
      <c r="H1973" s="7" t="s">
        <v>58</v>
      </c>
      <c r="I1973" s="7" t="s">
        <v>58</v>
      </c>
    </row>
    <row r="1974" spans="1:9" x14ac:dyDescent="0.25">
      <c r="A1974" s="1" t="s">
        <v>105</v>
      </c>
      <c r="B1974" s="7" t="s">
        <v>58</v>
      </c>
      <c r="C1974" s="7" t="s">
        <v>58</v>
      </c>
      <c r="D1974" s="7" t="s">
        <v>58</v>
      </c>
      <c r="E1974" s="7" t="s">
        <v>58</v>
      </c>
      <c r="F1974" s="7" t="s">
        <v>58</v>
      </c>
      <c r="G1974" s="7" t="s">
        <v>58</v>
      </c>
      <c r="H1974" s="7" t="s">
        <v>58</v>
      </c>
      <c r="I1974" s="7" t="s">
        <v>58</v>
      </c>
    </row>
    <row r="1975" spans="1:9" x14ac:dyDescent="0.25">
      <c r="A1975" s="1" t="s">
        <v>106</v>
      </c>
      <c r="B1975" s="5">
        <v>7.32</v>
      </c>
      <c r="C1975" s="5">
        <v>7.4</v>
      </c>
      <c r="D1975" s="5">
        <v>7.48</v>
      </c>
      <c r="E1975" s="5">
        <v>7.54</v>
      </c>
      <c r="F1975" s="5">
        <v>7.59</v>
      </c>
      <c r="G1975" s="5">
        <v>7.65</v>
      </c>
      <c r="H1975" s="5">
        <v>7.71</v>
      </c>
      <c r="I1975" s="6">
        <v>0.86888399999999999</v>
      </c>
    </row>
    <row r="1976" spans="1:9" ht="30" x14ac:dyDescent="0.25">
      <c r="A1976" s="1" t="s">
        <v>107</v>
      </c>
      <c r="B1976" s="7" t="s">
        <v>58</v>
      </c>
      <c r="C1976" s="7" t="s">
        <v>58</v>
      </c>
      <c r="D1976" s="7" t="s">
        <v>58</v>
      </c>
      <c r="E1976" s="7" t="s">
        <v>58</v>
      </c>
      <c r="F1976" s="7" t="s">
        <v>58</v>
      </c>
      <c r="G1976" s="7" t="s">
        <v>58</v>
      </c>
      <c r="H1976" s="7" t="s">
        <v>58</v>
      </c>
      <c r="I1976" s="7" t="s">
        <v>58</v>
      </c>
    </row>
    <row r="1977" spans="1:9" x14ac:dyDescent="0.25">
      <c r="A1977" s="1" t="s">
        <v>108</v>
      </c>
      <c r="B1977" s="7" t="s">
        <v>58</v>
      </c>
      <c r="C1977" s="7" t="s">
        <v>58</v>
      </c>
      <c r="D1977" s="7" t="s">
        <v>58</v>
      </c>
      <c r="E1977" s="7" t="s">
        <v>58</v>
      </c>
      <c r="F1977" s="7" t="s">
        <v>58</v>
      </c>
      <c r="G1977" s="7" t="s">
        <v>58</v>
      </c>
      <c r="H1977" s="7" t="s">
        <v>58</v>
      </c>
      <c r="I1977" s="7" t="s">
        <v>58</v>
      </c>
    </row>
    <row r="1978" spans="1:9" ht="30" x14ac:dyDescent="0.25">
      <c r="A1978" s="1" t="s">
        <v>109</v>
      </c>
      <c r="B1978" s="7" t="s">
        <v>58</v>
      </c>
      <c r="C1978" s="7" t="s">
        <v>58</v>
      </c>
      <c r="D1978" s="7" t="s">
        <v>58</v>
      </c>
      <c r="E1978" s="7" t="s">
        <v>58</v>
      </c>
      <c r="F1978" s="7" t="s">
        <v>58</v>
      </c>
      <c r="G1978" s="7" t="s">
        <v>58</v>
      </c>
      <c r="H1978" s="7" t="s">
        <v>58</v>
      </c>
      <c r="I1978" s="7" t="s">
        <v>58</v>
      </c>
    </row>
    <row r="1979" spans="1:9" x14ac:dyDescent="0.25">
      <c r="A1979" s="1" t="s">
        <v>110</v>
      </c>
      <c r="B1979" s="7" t="s">
        <v>58</v>
      </c>
      <c r="C1979" s="7" t="s">
        <v>58</v>
      </c>
      <c r="D1979" s="7" t="s">
        <v>58</v>
      </c>
      <c r="E1979" s="7" t="s">
        <v>58</v>
      </c>
      <c r="F1979" s="7" t="s">
        <v>58</v>
      </c>
      <c r="G1979" s="7" t="s">
        <v>58</v>
      </c>
      <c r="H1979" s="7" t="s">
        <v>58</v>
      </c>
      <c r="I1979" s="7" t="s">
        <v>58</v>
      </c>
    </row>
    <row r="1980" spans="1:9" x14ac:dyDescent="0.25">
      <c r="A1980" s="1" t="s">
        <v>111</v>
      </c>
      <c r="B1980" s="7" t="s">
        <v>58</v>
      </c>
      <c r="C1980" s="7" t="s">
        <v>58</v>
      </c>
      <c r="D1980" s="7" t="s">
        <v>58</v>
      </c>
      <c r="E1980" s="7" t="s">
        <v>58</v>
      </c>
      <c r="F1980" s="7" t="s">
        <v>58</v>
      </c>
      <c r="G1980" s="7" t="s">
        <v>58</v>
      </c>
      <c r="H1980" s="7" t="s">
        <v>58</v>
      </c>
      <c r="I1980" s="7" t="s">
        <v>58</v>
      </c>
    </row>
    <row r="1981" spans="1:9" x14ac:dyDescent="0.25">
      <c r="A1981" s="1" t="s">
        <v>112</v>
      </c>
      <c r="B1981" s="7" t="s">
        <v>58</v>
      </c>
      <c r="C1981" s="7" t="s">
        <v>58</v>
      </c>
      <c r="D1981" s="7" t="s">
        <v>58</v>
      </c>
      <c r="E1981" s="7" t="s">
        <v>58</v>
      </c>
      <c r="F1981" s="7" t="s">
        <v>58</v>
      </c>
      <c r="G1981" s="7" t="s">
        <v>58</v>
      </c>
      <c r="H1981" s="7" t="s">
        <v>58</v>
      </c>
      <c r="I1981" s="7" t="s">
        <v>58</v>
      </c>
    </row>
    <row r="1982" spans="1:9" x14ac:dyDescent="0.25">
      <c r="A1982" s="1" t="s">
        <v>113</v>
      </c>
      <c r="B1982" s="7" t="s">
        <v>58</v>
      </c>
      <c r="C1982" s="7" t="s">
        <v>58</v>
      </c>
      <c r="D1982" s="7" t="s">
        <v>58</v>
      </c>
      <c r="E1982" s="7" t="s">
        <v>58</v>
      </c>
      <c r="F1982" s="7" t="s">
        <v>58</v>
      </c>
      <c r="G1982" s="7" t="s">
        <v>58</v>
      </c>
      <c r="H1982" s="7" t="s">
        <v>58</v>
      </c>
      <c r="I1982" s="7" t="s">
        <v>58</v>
      </c>
    </row>
    <row r="1983" spans="1:9" x14ac:dyDescent="0.25">
      <c r="A1983" s="1" t="s">
        <v>114</v>
      </c>
      <c r="B1983" s="5">
        <v>0</v>
      </c>
      <c r="C1983" s="5">
        <v>0</v>
      </c>
      <c r="D1983" s="5">
        <v>0</v>
      </c>
      <c r="E1983" s="5">
        <v>0</v>
      </c>
      <c r="F1983" s="5">
        <v>0</v>
      </c>
      <c r="G1983" s="5">
        <v>0</v>
      </c>
      <c r="H1983" s="5">
        <v>0</v>
      </c>
      <c r="I1983" s="7" t="s">
        <v>58</v>
      </c>
    </row>
    <row r="1984" spans="1:9" ht="30" x14ac:dyDescent="0.25">
      <c r="A1984" s="1" t="s">
        <v>115</v>
      </c>
      <c r="B1984" s="7" t="s">
        <v>58</v>
      </c>
      <c r="C1984" s="7" t="s">
        <v>58</v>
      </c>
      <c r="D1984" s="7" t="s">
        <v>58</v>
      </c>
      <c r="E1984" s="7" t="s">
        <v>58</v>
      </c>
      <c r="F1984" s="7" t="s">
        <v>58</v>
      </c>
      <c r="G1984" s="7" t="s">
        <v>58</v>
      </c>
      <c r="H1984" s="7" t="s">
        <v>58</v>
      </c>
      <c r="I1984" s="7" t="s">
        <v>58</v>
      </c>
    </row>
    <row r="1985" spans="1:13" x14ac:dyDescent="0.25">
      <c r="A1985" s="1" t="s">
        <v>116</v>
      </c>
      <c r="B1985" s="7" t="s">
        <v>58</v>
      </c>
      <c r="C1985" s="7" t="s">
        <v>58</v>
      </c>
      <c r="D1985" s="7" t="s">
        <v>58</v>
      </c>
      <c r="E1985" s="7" t="s">
        <v>58</v>
      </c>
      <c r="F1985" s="7" t="s">
        <v>58</v>
      </c>
      <c r="G1985" s="7" t="s">
        <v>58</v>
      </c>
      <c r="H1985" s="7" t="s">
        <v>58</v>
      </c>
      <c r="I1985" s="7" t="s">
        <v>58</v>
      </c>
    </row>
    <row r="1986" spans="1:13" x14ac:dyDescent="0.25">
      <c r="A1986" s="25"/>
      <c r="B1986" s="25"/>
      <c r="C1986" s="25"/>
      <c r="D1986" s="25"/>
      <c r="E1986" s="25"/>
      <c r="F1986" s="25"/>
      <c r="G1986" s="25"/>
      <c r="H1986" s="25"/>
      <c r="I1986" s="25"/>
      <c r="J1986" s="25"/>
      <c r="K1986" s="25"/>
      <c r="L1986" s="25"/>
      <c r="M1986" s="25"/>
    </row>
    <row r="1987" spans="1:13" x14ac:dyDescent="0.25">
      <c r="A1987" s="25"/>
      <c r="B1987" s="25"/>
      <c r="C1987" s="25"/>
      <c r="D1987" s="25"/>
      <c r="E1987" s="25"/>
      <c r="F1987" s="25"/>
      <c r="G1987" s="25"/>
      <c r="H1987" s="25"/>
      <c r="I1987" s="25"/>
      <c r="J1987" s="25"/>
      <c r="K1987" s="25"/>
      <c r="L1987" s="25"/>
      <c r="M1987" s="25"/>
    </row>
    <row r="1988" spans="1:13" ht="25.5" customHeight="1" x14ac:dyDescent="0.25">
      <c r="A1988" s="25" t="s">
        <v>135</v>
      </c>
      <c r="B1988" s="25"/>
      <c r="C1988" s="25"/>
      <c r="D1988" s="25"/>
      <c r="E1988" s="25"/>
      <c r="F1988" s="25"/>
      <c r="G1988" s="25"/>
      <c r="H1988" s="25"/>
      <c r="I1988" s="25"/>
      <c r="J1988" s="25"/>
      <c r="K1988" s="25"/>
      <c r="L1988" s="25"/>
      <c r="M1988" s="25"/>
    </row>
    <row r="1989" spans="1:13" ht="76.5" customHeight="1" x14ac:dyDescent="0.25">
      <c r="A1989" s="25" t="s">
        <v>136</v>
      </c>
      <c r="B1989" s="25"/>
      <c r="C1989" s="25"/>
      <c r="D1989" s="25"/>
      <c r="E1989" s="25"/>
      <c r="F1989" s="25"/>
      <c r="G1989" s="25"/>
      <c r="H1989" s="25"/>
      <c r="I1989" s="25"/>
      <c r="J1989" s="25"/>
      <c r="K1989" s="25"/>
      <c r="L1989" s="25"/>
      <c r="M1989" s="25"/>
    </row>
    <row r="1990" spans="1:13" ht="38.25" customHeight="1" x14ac:dyDescent="0.25">
      <c r="A1990" s="25" t="s">
        <v>137</v>
      </c>
      <c r="B1990" s="25"/>
      <c r="C1990" s="25"/>
      <c r="D1990" s="25"/>
      <c r="E1990" s="25"/>
      <c r="F1990" s="25"/>
      <c r="G1990" s="25"/>
      <c r="H1990" s="25"/>
      <c r="I1990" s="25"/>
      <c r="J1990" s="25"/>
      <c r="K1990" s="25"/>
      <c r="L1990" s="25"/>
      <c r="M1990" s="25"/>
    </row>
    <row r="1991" spans="1:13" ht="25.5" customHeight="1" x14ac:dyDescent="0.25">
      <c r="A1991" s="25" t="s">
        <v>138</v>
      </c>
      <c r="B1991" s="25"/>
      <c r="C1991" s="25"/>
      <c r="D1991" s="25"/>
      <c r="E1991" s="25"/>
      <c r="F1991" s="25"/>
      <c r="G1991" s="25"/>
      <c r="H1991" s="25"/>
      <c r="I1991" s="25"/>
      <c r="J1991" s="25"/>
      <c r="K1991" s="25"/>
      <c r="L1991" s="25"/>
      <c r="M1991" s="25"/>
    </row>
  </sheetData>
  <mergeCells count="9">
    <mergeCell ref="A1989:M1989"/>
    <mergeCell ref="A1990:M1990"/>
    <mergeCell ref="A1991:M1991"/>
    <mergeCell ref="A2:M2"/>
    <mergeCell ref="A1:D1"/>
    <mergeCell ref="A8:M8"/>
    <mergeCell ref="A1986:M1986"/>
    <mergeCell ref="A1987:M1987"/>
    <mergeCell ref="A1988:M1988"/>
  </mergeCells>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150"/>
  <sheetViews>
    <sheetView zoomScale="75" workbookViewId="0">
      <selection activeCell="K22" sqref="K22"/>
    </sheetView>
  </sheetViews>
  <sheetFormatPr defaultColWidth="8.85546875" defaultRowHeight="15" x14ac:dyDescent="0.25"/>
  <cols>
    <col min="1" max="13" width="16.140625" customWidth="1"/>
  </cols>
  <sheetData>
    <row r="1" spans="1:13" ht="39.950000000000003" customHeight="1" x14ac:dyDescent="0.25">
      <c r="A1" s="27"/>
      <c r="B1" s="27"/>
      <c r="C1" s="27"/>
      <c r="D1" s="27"/>
    </row>
    <row r="2" spans="1:13" ht="30" customHeight="1" x14ac:dyDescent="0.3">
      <c r="A2" s="26" t="s">
        <v>143</v>
      </c>
      <c r="B2" s="26"/>
      <c r="C2" s="26"/>
      <c r="D2" s="26"/>
      <c r="E2" s="26"/>
      <c r="F2" s="26"/>
      <c r="G2" s="26"/>
      <c r="H2" s="26"/>
      <c r="I2" s="26"/>
      <c r="J2" s="26"/>
      <c r="K2" s="26"/>
      <c r="L2" s="26"/>
      <c r="M2" s="26"/>
    </row>
    <row r="3" spans="1:13" x14ac:dyDescent="0.25">
      <c r="A3" s="2" t="s">
        <v>0</v>
      </c>
      <c r="B3" s="1"/>
    </row>
    <row r="4" spans="1:13" x14ac:dyDescent="0.25">
      <c r="A4" s="2" t="s">
        <v>1</v>
      </c>
      <c r="B4" s="1"/>
    </row>
    <row r="5" spans="1:13" x14ac:dyDescent="0.25">
      <c r="A5" s="2" t="s">
        <v>2</v>
      </c>
      <c r="B5" s="1"/>
    </row>
    <row r="6" spans="1:13" x14ac:dyDescent="0.25">
      <c r="A6" s="2" t="s">
        <v>3</v>
      </c>
      <c r="B6" s="1"/>
    </row>
    <row r="7" spans="1:13" x14ac:dyDescent="0.25">
      <c r="A7" s="25"/>
      <c r="B7" s="25"/>
      <c r="C7" s="25"/>
      <c r="D7" s="25"/>
      <c r="E7" s="25"/>
      <c r="F7" s="25"/>
      <c r="G7" s="25"/>
      <c r="H7" s="25"/>
      <c r="I7" s="25"/>
      <c r="J7" s="25"/>
      <c r="K7" s="25"/>
      <c r="L7" s="25"/>
      <c r="M7" s="25"/>
    </row>
    <row r="8" spans="1:13" ht="30" x14ac:dyDescent="0.25">
      <c r="A8" s="3"/>
      <c r="B8" s="4" t="s">
        <v>4</v>
      </c>
      <c r="C8" s="4" t="s">
        <v>5</v>
      </c>
      <c r="D8" s="4" t="s">
        <v>6</v>
      </c>
      <c r="E8" s="4" t="s">
        <v>7</v>
      </c>
      <c r="F8" s="4" t="s">
        <v>8</v>
      </c>
      <c r="G8" s="4" t="s">
        <v>9</v>
      </c>
      <c r="H8" s="4" t="s">
        <v>10</v>
      </c>
      <c r="I8" s="4" t="s">
        <v>11</v>
      </c>
    </row>
    <row r="9" spans="1:13" x14ac:dyDescent="0.25">
      <c r="A9" s="1" t="s">
        <v>12</v>
      </c>
      <c r="B9" s="2"/>
      <c r="C9" s="2"/>
      <c r="D9" s="2"/>
      <c r="E9" s="2"/>
      <c r="F9" s="2"/>
      <c r="G9" s="2"/>
      <c r="H9" s="2"/>
      <c r="I9" s="2"/>
    </row>
    <row r="10" spans="1:13" x14ac:dyDescent="0.25">
      <c r="A10" s="8" t="s">
        <v>14</v>
      </c>
      <c r="B10" s="2"/>
      <c r="C10" s="2"/>
      <c r="D10" s="2"/>
      <c r="E10" s="2"/>
      <c r="F10" s="2"/>
      <c r="G10" s="2"/>
      <c r="H10" s="2"/>
      <c r="I10" s="2"/>
    </row>
    <row r="11" spans="1:13" ht="60" x14ac:dyDescent="0.25">
      <c r="A11" s="1" t="s">
        <v>13</v>
      </c>
      <c r="B11" s="5">
        <v>74.069999999999993</v>
      </c>
      <c r="C11" s="5">
        <v>76.489999999999995</v>
      </c>
      <c r="D11" s="5">
        <v>78.77</v>
      </c>
      <c r="E11" s="5">
        <v>79.760000000000005</v>
      </c>
      <c r="F11" s="5">
        <v>81</v>
      </c>
      <c r="G11" s="5">
        <v>82.76</v>
      </c>
      <c r="H11" s="5">
        <v>85.08</v>
      </c>
      <c r="I11" s="6">
        <v>2.33657</v>
      </c>
    </row>
    <row r="12" spans="1:13" ht="60" x14ac:dyDescent="0.25">
      <c r="A12" s="1" t="s">
        <v>117</v>
      </c>
      <c r="B12" s="5">
        <v>34.979999999999997</v>
      </c>
      <c r="C12" s="5">
        <v>34.369999999999997</v>
      </c>
      <c r="D12" s="5">
        <v>34.26</v>
      </c>
      <c r="E12" s="5">
        <v>34.119999999999997</v>
      </c>
      <c r="F12" s="5">
        <v>33.909999999999997</v>
      </c>
      <c r="G12" s="5">
        <v>33.6</v>
      </c>
      <c r="H12" s="5">
        <v>33.21</v>
      </c>
      <c r="I12" s="6">
        <v>-0.86168999999999996</v>
      </c>
    </row>
    <row r="13" spans="1:13" ht="60" x14ac:dyDescent="0.25">
      <c r="A13" s="1" t="s">
        <v>118</v>
      </c>
      <c r="B13" s="5">
        <v>3.24</v>
      </c>
      <c r="C13" s="5">
        <v>0.86</v>
      </c>
      <c r="D13" s="5">
        <v>0.24</v>
      </c>
      <c r="E13" s="5">
        <v>0.02</v>
      </c>
      <c r="F13" s="5">
        <v>0</v>
      </c>
      <c r="G13" s="5">
        <v>0</v>
      </c>
      <c r="H13" s="5">
        <v>0</v>
      </c>
      <c r="I13" s="6">
        <v>-100</v>
      </c>
    </row>
    <row r="14" spans="1:13" ht="60" x14ac:dyDescent="0.25">
      <c r="A14" s="1" t="s">
        <v>119</v>
      </c>
      <c r="B14" s="5">
        <v>30.31</v>
      </c>
      <c r="C14" s="5">
        <v>34.6</v>
      </c>
      <c r="D14" s="5">
        <v>37.64</v>
      </c>
      <c r="E14" s="5">
        <v>39.03</v>
      </c>
      <c r="F14" s="5">
        <v>40.54</v>
      </c>
      <c r="G14" s="5">
        <v>42.64</v>
      </c>
      <c r="H14" s="5">
        <v>45.4</v>
      </c>
      <c r="I14" s="6">
        <v>6.9658100000000003</v>
      </c>
    </row>
    <row r="15" spans="1:13" ht="60" x14ac:dyDescent="0.25">
      <c r="A15" s="1" t="s">
        <v>120</v>
      </c>
      <c r="B15" s="5">
        <v>0.57999999999999996</v>
      </c>
      <c r="C15" s="5">
        <v>1.44</v>
      </c>
      <c r="D15" s="5">
        <v>1.45</v>
      </c>
      <c r="E15" s="5">
        <v>1.47</v>
      </c>
      <c r="F15" s="5">
        <v>1.49</v>
      </c>
      <c r="G15" s="5">
        <v>1.5</v>
      </c>
      <c r="H15" s="5">
        <v>1.52</v>
      </c>
      <c r="I15" s="6">
        <v>17.418339</v>
      </c>
    </row>
    <row r="16" spans="1:13" ht="75" x14ac:dyDescent="0.25">
      <c r="A16" s="1" t="s">
        <v>121</v>
      </c>
      <c r="B16" s="5">
        <v>3.73</v>
      </c>
      <c r="C16" s="5">
        <v>4.01</v>
      </c>
      <c r="D16" s="5">
        <v>3.96</v>
      </c>
      <c r="E16" s="5">
        <v>3.92</v>
      </c>
      <c r="F16" s="5">
        <v>3.87</v>
      </c>
      <c r="G16" s="5">
        <v>3.83</v>
      </c>
      <c r="H16" s="5">
        <v>3.79</v>
      </c>
      <c r="I16" s="6">
        <v>0.26631700000000003</v>
      </c>
    </row>
    <row r="17" spans="1:9" ht="75" x14ac:dyDescent="0.25">
      <c r="A17" s="1" t="s">
        <v>122</v>
      </c>
      <c r="B17" s="5">
        <v>1.24</v>
      </c>
      <c r="C17" s="5">
        <v>1.23</v>
      </c>
      <c r="D17" s="5">
        <v>1.21</v>
      </c>
      <c r="E17" s="5">
        <v>1.2</v>
      </c>
      <c r="F17" s="5">
        <v>1.19</v>
      </c>
      <c r="G17" s="5">
        <v>1.18</v>
      </c>
      <c r="H17" s="5">
        <v>1.17</v>
      </c>
      <c r="I17" s="6">
        <v>-0.96378600000000003</v>
      </c>
    </row>
    <row r="18" spans="1:9" ht="60" x14ac:dyDescent="0.25">
      <c r="A18" s="1" t="s">
        <v>123</v>
      </c>
      <c r="B18" s="5">
        <v>47.22</v>
      </c>
      <c r="C18" s="5">
        <v>44.93</v>
      </c>
      <c r="D18" s="5">
        <v>43.5</v>
      </c>
      <c r="E18" s="5">
        <v>42.78</v>
      </c>
      <c r="F18" s="5">
        <v>41.87</v>
      </c>
      <c r="G18" s="5">
        <v>40.6</v>
      </c>
      <c r="H18" s="5">
        <v>39.03</v>
      </c>
      <c r="I18" s="6">
        <v>-3.1249150000000001</v>
      </c>
    </row>
    <row r="19" spans="1:9" ht="60" x14ac:dyDescent="0.25">
      <c r="A19" s="1" t="s">
        <v>124</v>
      </c>
      <c r="B19" s="5">
        <v>4.38</v>
      </c>
      <c r="C19" s="5">
        <v>1.1200000000000001</v>
      </c>
      <c r="D19" s="5">
        <v>0.3</v>
      </c>
      <c r="E19" s="5">
        <v>0.03</v>
      </c>
      <c r="F19" s="5">
        <v>0</v>
      </c>
      <c r="G19" s="5">
        <v>0</v>
      </c>
      <c r="H19" s="5">
        <v>0</v>
      </c>
      <c r="I19" s="6">
        <v>-100</v>
      </c>
    </row>
    <row r="20" spans="1:9" ht="60" x14ac:dyDescent="0.25">
      <c r="A20" s="1" t="s">
        <v>125</v>
      </c>
      <c r="B20" s="5">
        <v>40.92</v>
      </c>
      <c r="C20" s="5">
        <v>45.23</v>
      </c>
      <c r="D20" s="5">
        <v>47.78</v>
      </c>
      <c r="E20" s="5">
        <v>48.94</v>
      </c>
      <c r="F20" s="5">
        <v>50.05</v>
      </c>
      <c r="G20" s="5">
        <v>51.53</v>
      </c>
      <c r="H20" s="5">
        <v>53.36</v>
      </c>
      <c r="I20" s="6">
        <v>4.5233610000000004</v>
      </c>
    </row>
    <row r="21" spans="1:9" ht="60" x14ac:dyDescent="0.25">
      <c r="A21" s="1" t="s">
        <v>126</v>
      </c>
      <c r="B21" s="5">
        <v>0.78</v>
      </c>
      <c r="C21" s="5">
        <v>1.88</v>
      </c>
      <c r="D21" s="5">
        <v>1.84</v>
      </c>
      <c r="E21" s="5">
        <v>1.84</v>
      </c>
      <c r="F21" s="5">
        <v>1.83</v>
      </c>
      <c r="G21" s="5">
        <v>1.82</v>
      </c>
      <c r="H21" s="5">
        <v>1.79</v>
      </c>
      <c r="I21" s="6">
        <v>14.848784999999999</v>
      </c>
    </row>
    <row r="22" spans="1:9" ht="75" x14ac:dyDescent="0.25">
      <c r="A22" s="1" t="s">
        <v>127</v>
      </c>
      <c r="B22" s="5">
        <v>5.03</v>
      </c>
      <c r="C22" s="5">
        <v>5.24</v>
      </c>
      <c r="D22" s="5">
        <v>5.03</v>
      </c>
      <c r="E22" s="5">
        <v>4.91</v>
      </c>
      <c r="F22" s="5">
        <v>4.78</v>
      </c>
      <c r="G22" s="5">
        <v>4.63</v>
      </c>
      <c r="H22" s="5">
        <v>4.45</v>
      </c>
      <c r="I22" s="6">
        <v>-2.0212249999999998</v>
      </c>
    </row>
    <row r="23" spans="1:9" ht="60" x14ac:dyDescent="0.25">
      <c r="A23" s="1" t="s">
        <v>128</v>
      </c>
      <c r="B23" s="5">
        <v>1.67</v>
      </c>
      <c r="C23" s="5">
        <v>1.6</v>
      </c>
      <c r="D23" s="5">
        <v>1.54</v>
      </c>
      <c r="E23" s="5">
        <v>1.51</v>
      </c>
      <c r="F23" s="5">
        <v>1.47</v>
      </c>
      <c r="G23" s="5">
        <v>1.42</v>
      </c>
      <c r="H23" s="5">
        <v>1.37</v>
      </c>
      <c r="I23" s="6">
        <v>-3.2463519999999999</v>
      </c>
    </row>
    <row r="24" spans="1:9" ht="45" x14ac:dyDescent="0.25">
      <c r="A24" s="1" t="s">
        <v>129</v>
      </c>
      <c r="B24" s="5">
        <v>17.36</v>
      </c>
      <c r="C24" s="5">
        <v>18.579999999999998</v>
      </c>
      <c r="D24" s="5">
        <v>17.34</v>
      </c>
      <c r="E24" s="5">
        <v>17.010000000000002</v>
      </c>
      <c r="F24" s="5">
        <v>16.55</v>
      </c>
      <c r="G24" s="5">
        <v>16.440000000000001</v>
      </c>
      <c r="H24" s="5">
        <v>17.22</v>
      </c>
      <c r="I24" s="6">
        <v>-0.13486248258548494</v>
      </c>
    </row>
    <row r="25" spans="1:9" ht="45" x14ac:dyDescent="0.25">
      <c r="A25" s="1" t="s">
        <v>140</v>
      </c>
      <c r="B25" s="7" t="s">
        <v>58</v>
      </c>
      <c r="C25" s="7" t="s">
        <v>58</v>
      </c>
      <c r="D25" s="7" t="s">
        <v>58</v>
      </c>
      <c r="E25" s="7" t="s">
        <v>58</v>
      </c>
      <c r="F25" s="7" t="s">
        <v>58</v>
      </c>
      <c r="G25" s="7" t="s">
        <v>58</v>
      </c>
      <c r="H25" s="7" t="s">
        <v>58</v>
      </c>
      <c r="I25" s="7" t="s">
        <v>58</v>
      </c>
    </row>
    <row r="26" spans="1:9" ht="45" x14ac:dyDescent="0.25">
      <c r="A26" s="1" t="s">
        <v>141</v>
      </c>
      <c r="B26" s="7" t="s">
        <v>58</v>
      </c>
      <c r="C26" s="7" t="s">
        <v>58</v>
      </c>
      <c r="D26" s="7" t="s">
        <v>58</v>
      </c>
      <c r="E26" s="7" t="s">
        <v>58</v>
      </c>
      <c r="F26" s="7" t="s">
        <v>58</v>
      </c>
      <c r="G26" s="7" t="s">
        <v>58</v>
      </c>
      <c r="H26" s="7" t="s">
        <v>58</v>
      </c>
      <c r="I26" s="7" t="s">
        <v>58</v>
      </c>
    </row>
    <row r="27" spans="1:9" ht="45" x14ac:dyDescent="0.25">
      <c r="A27" s="1" t="s">
        <v>142</v>
      </c>
      <c r="B27" s="7" t="s">
        <v>58</v>
      </c>
      <c r="C27" s="7" t="s">
        <v>58</v>
      </c>
      <c r="D27" s="7" t="s">
        <v>58</v>
      </c>
      <c r="E27" s="7" t="s">
        <v>58</v>
      </c>
      <c r="F27" s="7" t="s">
        <v>58</v>
      </c>
      <c r="G27" s="7" t="s">
        <v>58</v>
      </c>
      <c r="H27" s="7" t="s">
        <v>58</v>
      </c>
      <c r="I27" s="7" t="s">
        <v>58</v>
      </c>
    </row>
    <row r="28" spans="1:9" ht="60" x14ac:dyDescent="0.25">
      <c r="A28" s="1" t="s">
        <v>133</v>
      </c>
      <c r="B28" s="7" t="s">
        <v>58</v>
      </c>
      <c r="C28" s="7" t="s">
        <v>58</v>
      </c>
      <c r="D28" s="7" t="s">
        <v>58</v>
      </c>
      <c r="E28" s="7" t="s">
        <v>58</v>
      </c>
      <c r="F28" s="7" t="s">
        <v>58</v>
      </c>
      <c r="G28" s="7" t="s">
        <v>58</v>
      </c>
      <c r="H28" s="7" t="s">
        <v>58</v>
      </c>
      <c r="I28" s="7" t="s">
        <v>58</v>
      </c>
    </row>
    <row r="29" spans="1:9" ht="60" x14ac:dyDescent="0.25">
      <c r="A29" s="1" t="s">
        <v>134</v>
      </c>
      <c r="B29" s="7" t="s">
        <v>58</v>
      </c>
      <c r="C29" s="7" t="s">
        <v>58</v>
      </c>
      <c r="D29" s="7" t="s">
        <v>58</v>
      </c>
      <c r="E29" s="7" t="s">
        <v>58</v>
      </c>
      <c r="F29" s="7" t="s">
        <v>58</v>
      </c>
      <c r="G29" s="7" t="s">
        <v>58</v>
      </c>
      <c r="H29" s="7" t="s">
        <v>58</v>
      </c>
      <c r="I29" s="7" t="s">
        <v>58</v>
      </c>
    </row>
    <row r="30" spans="1:9" x14ac:dyDescent="0.25">
      <c r="A30" s="1" t="s">
        <v>12</v>
      </c>
      <c r="B30" s="2"/>
      <c r="C30" s="2"/>
      <c r="D30" s="2"/>
      <c r="E30" s="2"/>
      <c r="F30" s="2"/>
      <c r="G30" s="2"/>
      <c r="H30" s="2"/>
      <c r="I30" s="2"/>
    </row>
    <row r="31" spans="1:9" ht="30" x14ac:dyDescent="0.25">
      <c r="A31" s="8" t="s">
        <v>15</v>
      </c>
      <c r="B31" s="2"/>
      <c r="C31" s="2"/>
      <c r="D31" s="2"/>
      <c r="E31" s="2"/>
      <c r="F31" s="2"/>
      <c r="G31" s="2"/>
      <c r="H31" s="2"/>
      <c r="I31" s="2"/>
    </row>
    <row r="32" spans="1:9" ht="60" x14ac:dyDescent="0.25">
      <c r="A32" s="1" t="s">
        <v>13</v>
      </c>
      <c r="B32" s="5">
        <v>56.64</v>
      </c>
      <c r="C32" s="5">
        <v>58.22</v>
      </c>
      <c r="D32" s="5">
        <v>58.78</v>
      </c>
      <c r="E32" s="5">
        <v>59.32</v>
      </c>
      <c r="F32" s="5">
        <v>60.31</v>
      </c>
      <c r="G32" s="5">
        <v>61.07</v>
      </c>
      <c r="H32" s="5">
        <v>61.98</v>
      </c>
      <c r="I32" s="6">
        <v>1.5129360000000001</v>
      </c>
    </row>
    <row r="33" spans="1:9" ht="60" x14ac:dyDescent="0.25">
      <c r="A33" s="1" t="s">
        <v>117</v>
      </c>
      <c r="B33" s="5">
        <v>4.66</v>
      </c>
      <c r="C33" s="5">
        <v>4.57</v>
      </c>
      <c r="D33" s="5">
        <v>4.5</v>
      </c>
      <c r="E33" s="5">
        <v>4.42</v>
      </c>
      <c r="F33" s="5">
        <v>4.34</v>
      </c>
      <c r="G33" s="5">
        <v>4.29</v>
      </c>
      <c r="H33" s="5">
        <v>4.22</v>
      </c>
      <c r="I33" s="6">
        <v>-1.639418</v>
      </c>
    </row>
    <row r="34" spans="1:9" ht="60" x14ac:dyDescent="0.25">
      <c r="A34" s="1" t="s">
        <v>118</v>
      </c>
      <c r="B34" s="5">
        <v>1.38</v>
      </c>
      <c r="C34" s="5">
        <v>1.27</v>
      </c>
      <c r="D34" s="5">
        <v>1.18</v>
      </c>
      <c r="E34" s="5">
        <v>1.1100000000000001</v>
      </c>
      <c r="F34" s="5">
        <v>1.06</v>
      </c>
      <c r="G34" s="5">
        <v>0.99</v>
      </c>
      <c r="H34" s="5">
        <v>0.94</v>
      </c>
      <c r="I34" s="6">
        <v>-6.1988580000000004</v>
      </c>
    </row>
    <row r="35" spans="1:9" ht="60" x14ac:dyDescent="0.25">
      <c r="A35" s="1" t="s">
        <v>119</v>
      </c>
      <c r="B35" s="5">
        <v>49.02</v>
      </c>
      <c r="C35" s="5">
        <v>50.06</v>
      </c>
      <c r="D35" s="5">
        <v>50.67</v>
      </c>
      <c r="E35" s="5">
        <v>51.26</v>
      </c>
      <c r="F35" s="5">
        <v>52.21</v>
      </c>
      <c r="G35" s="5">
        <v>52.97</v>
      </c>
      <c r="H35" s="5">
        <v>53.89</v>
      </c>
      <c r="I35" s="6">
        <v>1.591135</v>
      </c>
    </row>
    <row r="36" spans="1:9" ht="60" x14ac:dyDescent="0.25">
      <c r="A36" s="1" t="s">
        <v>120</v>
      </c>
      <c r="B36" s="5">
        <v>0.02</v>
      </c>
      <c r="C36" s="5">
        <v>0.03</v>
      </c>
      <c r="D36" s="5">
        <v>0.03</v>
      </c>
      <c r="E36" s="5">
        <v>0.03</v>
      </c>
      <c r="F36" s="5">
        <v>0.03</v>
      </c>
      <c r="G36" s="5">
        <v>0.03</v>
      </c>
      <c r="H36" s="5">
        <v>0.03</v>
      </c>
      <c r="I36" s="6">
        <v>6.9913189999999998</v>
      </c>
    </row>
    <row r="37" spans="1:9" ht="75" x14ac:dyDescent="0.25">
      <c r="A37" s="1" t="s">
        <v>121</v>
      </c>
      <c r="B37" s="5">
        <v>1.1599999999999999</v>
      </c>
      <c r="C37" s="5">
        <v>1.91</v>
      </c>
      <c r="D37" s="5">
        <v>2.0699999999999998</v>
      </c>
      <c r="E37" s="5">
        <v>2.16</v>
      </c>
      <c r="F37" s="5">
        <v>2.35</v>
      </c>
      <c r="G37" s="5">
        <v>2.5</v>
      </c>
      <c r="H37" s="5">
        <v>2.64</v>
      </c>
      <c r="I37" s="6">
        <v>14.689674999999999</v>
      </c>
    </row>
    <row r="38" spans="1:9" ht="75" x14ac:dyDescent="0.25">
      <c r="A38" s="1" t="s">
        <v>122</v>
      </c>
      <c r="B38" s="5">
        <v>0.39</v>
      </c>
      <c r="C38" s="5">
        <v>0.37</v>
      </c>
      <c r="D38" s="5">
        <v>0.34</v>
      </c>
      <c r="E38" s="5">
        <v>0.34</v>
      </c>
      <c r="F38" s="5">
        <v>0.32</v>
      </c>
      <c r="G38" s="5">
        <v>0.3</v>
      </c>
      <c r="H38" s="5">
        <v>0.26</v>
      </c>
      <c r="I38" s="6">
        <v>-6.5344740000000003</v>
      </c>
    </row>
    <row r="39" spans="1:9" ht="60" x14ac:dyDescent="0.25">
      <c r="A39" s="1" t="s">
        <v>123</v>
      </c>
      <c r="B39" s="5">
        <v>8.23</v>
      </c>
      <c r="C39" s="5">
        <v>7.85</v>
      </c>
      <c r="D39" s="5">
        <v>7.66</v>
      </c>
      <c r="E39" s="5">
        <v>7.45</v>
      </c>
      <c r="F39" s="5">
        <v>7.2</v>
      </c>
      <c r="G39" s="5">
        <v>7.02</v>
      </c>
      <c r="H39" s="5">
        <v>6.81</v>
      </c>
      <c r="I39" s="6">
        <v>-3.1072649999999999</v>
      </c>
    </row>
    <row r="40" spans="1:9" ht="60" x14ac:dyDescent="0.25">
      <c r="A40" s="1" t="s">
        <v>124</v>
      </c>
      <c r="B40" s="5">
        <v>2.44</v>
      </c>
      <c r="C40" s="5">
        <v>2.1800000000000002</v>
      </c>
      <c r="D40" s="5">
        <v>2.0099999999999998</v>
      </c>
      <c r="E40" s="5">
        <v>1.88</v>
      </c>
      <c r="F40" s="5">
        <v>1.75</v>
      </c>
      <c r="G40" s="5">
        <v>1.62</v>
      </c>
      <c r="H40" s="5">
        <v>1.51</v>
      </c>
      <c r="I40" s="6">
        <v>-7.6866479999999999</v>
      </c>
    </row>
    <row r="41" spans="1:9" ht="60" x14ac:dyDescent="0.25">
      <c r="A41" s="1" t="s">
        <v>125</v>
      </c>
      <c r="B41" s="5">
        <v>86.55</v>
      </c>
      <c r="C41" s="5">
        <v>86</v>
      </c>
      <c r="D41" s="5">
        <v>86.21</v>
      </c>
      <c r="E41" s="5">
        <v>86.42</v>
      </c>
      <c r="F41" s="5">
        <v>86.58</v>
      </c>
      <c r="G41" s="5">
        <v>86.74</v>
      </c>
      <c r="H41" s="5">
        <v>86.94</v>
      </c>
      <c r="I41" s="6">
        <v>7.4959999999999999E-2</v>
      </c>
    </row>
    <row r="42" spans="1:9" ht="60" x14ac:dyDescent="0.25">
      <c r="A42" s="1" t="s">
        <v>126</v>
      </c>
      <c r="B42" s="5">
        <v>0.04</v>
      </c>
      <c r="C42" s="5">
        <v>0.04</v>
      </c>
      <c r="D42" s="5">
        <v>0.04</v>
      </c>
      <c r="E42" s="5">
        <v>0.04</v>
      </c>
      <c r="F42" s="5">
        <v>0.04</v>
      </c>
      <c r="G42" s="5">
        <v>0.04</v>
      </c>
      <c r="H42" s="5">
        <v>0.04</v>
      </c>
      <c r="I42" s="6">
        <v>0</v>
      </c>
    </row>
    <row r="43" spans="1:9" ht="75" x14ac:dyDescent="0.25">
      <c r="A43" s="1" t="s">
        <v>127</v>
      </c>
      <c r="B43" s="5">
        <v>2.04</v>
      </c>
      <c r="C43" s="5">
        <v>3.29</v>
      </c>
      <c r="D43" s="5">
        <v>3.51</v>
      </c>
      <c r="E43" s="5">
        <v>3.65</v>
      </c>
      <c r="F43" s="5">
        <v>3.9</v>
      </c>
      <c r="G43" s="5">
        <v>4.09</v>
      </c>
      <c r="H43" s="5">
        <v>4.2699999999999996</v>
      </c>
      <c r="I43" s="6">
        <v>13.100958</v>
      </c>
    </row>
    <row r="44" spans="1:9" ht="60" x14ac:dyDescent="0.25">
      <c r="A44" s="1" t="s">
        <v>128</v>
      </c>
      <c r="B44" s="5">
        <v>0.69</v>
      </c>
      <c r="C44" s="5">
        <v>0.64</v>
      </c>
      <c r="D44" s="5">
        <v>0.56999999999999995</v>
      </c>
      <c r="E44" s="5">
        <v>0.56999999999999995</v>
      </c>
      <c r="F44" s="5">
        <v>0.53</v>
      </c>
      <c r="G44" s="5">
        <v>0.48</v>
      </c>
      <c r="H44" s="5">
        <v>0.43</v>
      </c>
      <c r="I44" s="6">
        <v>-7.5791639999999996</v>
      </c>
    </row>
    <row r="45" spans="1:9" ht="45" x14ac:dyDescent="0.25">
      <c r="A45" s="1" t="s">
        <v>129</v>
      </c>
      <c r="B45" s="5">
        <v>9.9</v>
      </c>
      <c r="C45" s="5">
        <v>9.92</v>
      </c>
      <c r="D45" s="5">
        <v>10.130000000000001</v>
      </c>
      <c r="E45" s="5">
        <v>10.23</v>
      </c>
      <c r="F45" s="5">
        <v>10.29</v>
      </c>
      <c r="G45" s="5">
        <v>10.36</v>
      </c>
      <c r="H45" s="5">
        <v>10.41</v>
      </c>
      <c r="I45" s="6">
        <v>0.84071642866720975</v>
      </c>
    </row>
    <row r="46" spans="1:9" ht="45" x14ac:dyDescent="0.25">
      <c r="A46" s="1" t="s">
        <v>140</v>
      </c>
      <c r="B46" s="5">
        <v>8.1999999999999993</v>
      </c>
      <c r="C46" s="5">
        <v>8.15</v>
      </c>
      <c r="D46" s="5">
        <v>8.26</v>
      </c>
      <c r="E46" s="5">
        <v>8.27</v>
      </c>
      <c r="F46" s="5">
        <v>8.27</v>
      </c>
      <c r="G46" s="5">
        <v>8.2799999999999994</v>
      </c>
      <c r="H46" s="5">
        <v>8.32</v>
      </c>
      <c r="I46" s="6">
        <v>0.242428</v>
      </c>
    </row>
    <row r="47" spans="1:9" ht="45" x14ac:dyDescent="0.25">
      <c r="A47" s="1" t="s">
        <v>141</v>
      </c>
      <c r="B47" s="5">
        <v>5.33</v>
      </c>
      <c r="C47" s="5">
        <v>4.82</v>
      </c>
      <c r="D47" s="5">
        <v>4.59</v>
      </c>
      <c r="E47" s="5">
        <v>4.41</v>
      </c>
      <c r="F47" s="5">
        <v>4.25</v>
      </c>
      <c r="G47" s="5">
        <v>4.1100000000000003</v>
      </c>
      <c r="H47" s="5">
        <v>3.94</v>
      </c>
      <c r="I47" s="6">
        <v>-4.9114620000000002</v>
      </c>
    </row>
    <row r="48" spans="1:9" ht="45" x14ac:dyDescent="0.25">
      <c r="A48" s="1" t="s">
        <v>142</v>
      </c>
      <c r="B48" s="5">
        <v>10.17</v>
      </c>
      <c r="C48" s="5">
        <v>10.26</v>
      </c>
      <c r="D48" s="5">
        <v>10.53</v>
      </c>
      <c r="E48" s="5">
        <v>10.65</v>
      </c>
      <c r="F48" s="5">
        <v>10.71</v>
      </c>
      <c r="G48" s="5">
        <v>10.79</v>
      </c>
      <c r="H48" s="5">
        <v>10.86</v>
      </c>
      <c r="I48" s="6">
        <v>1.1000749999999999</v>
      </c>
    </row>
    <row r="49" spans="1:9" ht="60" x14ac:dyDescent="0.25">
      <c r="A49" s="1" t="s">
        <v>133</v>
      </c>
      <c r="B49" s="5">
        <v>32.41109634</v>
      </c>
      <c r="C49" s="5">
        <v>35.532923439999998</v>
      </c>
      <c r="D49" s="5">
        <v>35.999408750000001</v>
      </c>
      <c r="E49" s="5">
        <v>35.08518789</v>
      </c>
      <c r="F49" s="5">
        <v>34.78547176</v>
      </c>
      <c r="G49" s="5">
        <v>34.404434989999999</v>
      </c>
      <c r="H49" s="5">
        <v>34.377814430000001</v>
      </c>
      <c r="I49" s="6">
        <v>0.98667894568791326</v>
      </c>
    </row>
    <row r="50" spans="1:9" ht="60" x14ac:dyDescent="0.25">
      <c r="A50" s="1" t="s">
        <v>134</v>
      </c>
      <c r="B50" s="5">
        <v>12.92</v>
      </c>
      <c r="C50" s="5">
        <v>9.3699999999999992</v>
      </c>
      <c r="D50" s="5">
        <v>8.01</v>
      </c>
      <c r="E50" s="5">
        <v>7.75</v>
      </c>
      <c r="F50" s="5">
        <v>7.43</v>
      </c>
      <c r="G50" s="5">
        <v>7.21</v>
      </c>
      <c r="H50" s="5">
        <v>7.03</v>
      </c>
      <c r="I50" s="6">
        <v>-9.6457049999999995</v>
      </c>
    </row>
    <row r="51" spans="1:9" x14ac:dyDescent="0.25">
      <c r="A51" s="1" t="s">
        <v>12</v>
      </c>
      <c r="B51" s="2"/>
      <c r="C51" s="2"/>
      <c r="D51" s="2"/>
      <c r="E51" s="2"/>
      <c r="F51" s="2"/>
      <c r="G51" s="2"/>
      <c r="H51" s="2"/>
      <c r="I51" s="2"/>
    </row>
    <row r="52" spans="1:9" x14ac:dyDescent="0.25">
      <c r="A52" s="8" t="s">
        <v>16</v>
      </c>
      <c r="B52" s="2"/>
      <c r="C52" s="2"/>
      <c r="D52" s="2"/>
      <c r="E52" s="2"/>
      <c r="F52" s="2"/>
      <c r="G52" s="2"/>
      <c r="H52" s="2"/>
      <c r="I52" s="2"/>
    </row>
    <row r="53" spans="1:9" ht="60" x14ac:dyDescent="0.25">
      <c r="A53" s="1" t="s">
        <v>13</v>
      </c>
      <c r="B53" s="5">
        <v>95.39</v>
      </c>
      <c r="C53" s="5">
        <v>94.48</v>
      </c>
      <c r="D53" s="5">
        <v>93.38</v>
      </c>
      <c r="E53" s="5">
        <v>93.38</v>
      </c>
      <c r="F53" s="5">
        <v>93.62</v>
      </c>
      <c r="G53" s="5">
        <v>94.72</v>
      </c>
      <c r="H53" s="5">
        <v>95.2</v>
      </c>
      <c r="I53" s="6">
        <v>-3.3224999999999998E-2</v>
      </c>
    </row>
    <row r="54" spans="1:9" ht="60" x14ac:dyDescent="0.25">
      <c r="A54" s="1" t="s">
        <v>117</v>
      </c>
      <c r="B54" s="5">
        <v>11.61</v>
      </c>
      <c r="C54" s="5">
        <v>9.02</v>
      </c>
      <c r="D54" s="5">
        <v>7.11</v>
      </c>
      <c r="E54" s="5">
        <v>5.6</v>
      </c>
      <c r="F54" s="5">
        <v>4.3600000000000003</v>
      </c>
      <c r="G54" s="5">
        <v>3.91</v>
      </c>
      <c r="H54" s="5">
        <v>3.12</v>
      </c>
      <c r="I54" s="6">
        <v>-19.668281</v>
      </c>
    </row>
    <row r="55" spans="1:9" ht="60" x14ac:dyDescent="0.25">
      <c r="A55" s="1" t="s">
        <v>118</v>
      </c>
      <c r="B55" s="5">
        <v>5.3</v>
      </c>
      <c r="C55" s="5">
        <v>3.53</v>
      </c>
      <c r="D55" s="5">
        <v>2.82</v>
      </c>
      <c r="E55" s="5">
        <v>2.25</v>
      </c>
      <c r="F55" s="5">
        <v>1.79</v>
      </c>
      <c r="G55" s="5">
        <v>1.43</v>
      </c>
      <c r="H55" s="5">
        <v>1.17</v>
      </c>
      <c r="I55" s="6">
        <v>-22.258724000000001</v>
      </c>
    </row>
    <row r="56" spans="1:9" ht="60" x14ac:dyDescent="0.25">
      <c r="A56" s="1" t="s">
        <v>119</v>
      </c>
      <c r="B56" s="5">
        <v>70.41</v>
      </c>
      <c r="C56" s="5">
        <v>72.59</v>
      </c>
      <c r="D56" s="5">
        <v>73.86</v>
      </c>
      <c r="E56" s="5">
        <v>75.680000000000007</v>
      </c>
      <c r="F56" s="5">
        <v>77.37</v>
      </c>
      <c r="G56" s="5">
        <v>79.03</v>
      </c>
      <c r="H56" s="5">
        <v>80.36</v>
      </c>
      <c r="I56" s="6">
        <v>2.2274660000000002</v>
      </c>
    </row>
    <row r="57" spans="1:9" ht="60" x14ac:dyDescent="0.25">
      <c r="A57" s="1" t="s">
        <v>120</v>
      </c>
      <c r="B57" s="5">
        <v>1.78</v>
      </c>
      <c r="C57" s="5">
        <v>1.8</v>
      </c>
      <c r="D57" s="5">
        <v>1.82</v>
      </c>
      <c r="E57" s="5">
        <v>1.84</v>
      </c>
      <c r="F57" s="5">
        <v>1.86</v>
      </c>
      <c r="G57" s="5">
        <v>1.89</v>
      </c>
      <c r="H57" s="5">
        <v>1.9</v>
      </c>
      <c r="I57" s="6">
        <v>1.093275</v>
      </c>
    </row>
    <row r="58" spans="1:9" ht="75" x14ac:dyDescent="0.25">
      <c r="A58" s="1" t="s">
        <v>121</v>
      </c>
      <c r="B58" s="5">
        <v>6.3</v>
      </c>
      <c r="C58" s="5">
        <v>7.53</v>
      </c>
      <c r="D58" s="5">
        <v>7.77</v>
      </c>
      <c r="E58" s="5">
        <v>8.02</v>
      </c>
      <c r="F58" s="5">
        <v>8.24</v>
      </c>
      <c r="G58" s="5">
        <v>8.4600000000000009</v>
      </c>
      <c r="H58" s="5">
        <v>8.65</v>
      </c>
      <c r="I58" s="6">
        <v>5.4255620000000002</v>
      </c>
    </row>
    <row r="59" spans="1:9" ht="75" x14ac:dyDescent="0.25">
      <c r="A59" s="1" t="s">
        <v>122</v>
      </c>
      <c r="B59" s="5">
        <v>0</v>
      </c>
      <c r="C59" s="5">
        <v>0</v>
      </c>
      <c r="D59" s="5">
        <v>0</v>
      </c>
      <c r="E59" s="5">
        <v>0</v>
      </c>
      <c r="F59" s="5">
        <v>0</v>
      </c>
      <c r="G59" s="5">
        <v>0</v>
      </c>
      <c r="H59" s="5">
        <v>0</v>
      </c>
      <c r="I59" s="7" t="s">
        <v>58</v>
      </c>
    </row>
    <row r="60" spans="1:9" ht="60" x14ac:dyDescent="0.25">
      <c r="A60" s="1" t="s">
        <v>123</v>
      </c>
      <c r="B60" s="5">
        <v>12.17</v>
      </c>
      <c r="C60" s="5">
        <v>9.5500000000000007</v>
      </c>
      <c r="D60" s="5">
        <v>7.61</v>
      </c>
      <c r="E60" s="5">
        <v>6</v>
      </c>
      <c r="F60" s="5">
        <v>4.6500000000000004</v>
      </c>
      <c r="G60" s="5">
        <v>4.13</v>
      </c>
      <c r="H60" s="5">
        <v>3.28</v>
      </c>
      <c r="I60" s="6">
        <v>-19.6294</v>
      </c>
    </row>
    <row r="61" spans="1:9" ht="60" x14ac:dyDescent="0.25">
      <c r="A61" s="1" t="s">
        <v>124</v>
      </c>
      <c r="B61" s="5">
        <v>5.55</v>
      </c>
      <c r="C61" s="5">
        <v>3.74</v>
      </c>
      <c r="D61" s="5">
        <v>3.02</v>
      </c>
      <c r="E61" s="5">
        <v>2.41</v>
      </c>
      <c r="F61" s="5">
        <v>1.92</v>
      </c>
      <c r="G61" s="5">
        <v>1.51</v>
      </c>
      <c r="H61" s="5">
        <v>1.23</v>
      </c>
      <c r="I61" s="6">
        <v>-22.207924999999999</v>
      </c>
    </row>
    <row r="62" spans="1:9" ht="60" x14ac:dyDescent="0.25">
      <c r="A62" s="1" t="s">
        <v>125</v>
      </c>
      <c r="B62" s="5">
        <v>73.81</v>
      </c>
      <c r="C62" s="5">
        <v>76.84</v>
      </c>
      <c r="D62" s="5">
        <v>79.099999999999994</v>
      </c>
      <c r="E62" s="5">
        <v>81.040000000000006</v>
      </c>
      <c r="F62" s="5">
        <v>82.64</v>
      </c>
      <c r="G62" s="5">
        <v>83.44</v>
      </c>
      <c r="H62" s="5">
        <v>84.42</v>
      </c>
      <c r="I62" s="6">
        <v>2.263744</v>
      </c>
    </row>
    <row r="63" spans="1:9" ht="60" x14ac:dyDescent="0.25">
      <c r="A63" s="1" t="s">
        <v>126</v>
      </c>
      <c r="B63" s="5">
        <v>1.86</v>
      </c>
      <c r="C63" s="5">
        <v>1.9</v>
      </c>
      <c r="D63" s="5">
        <v>1.95</v>
      </c>
      <c r="E63" s="5">
        <v>1.97</v>
      </c>
      <c r="F63" s="5">
        <v>1.99</v>
      </c>
      <c r="G63" s="5">
        <v>1.99</v>
      </c>
      <c r="H63" s="5">
        <v>2</v>
      </c>
      <c r="I63" s="6">
        <v>1.2168559999999999</v>
      </c>
    </row>
    <row r="64" spans="1:9" ht="75" x14ac:dyDescent="0.25">
      <c r="A64" s="1" t="s">
        <v>127</v>
      </c>
      <c r="B64" s="5">
        <v>6.6</v>
      </c>
      <c r="C64" s="5">
        <v>7.97</v>
      </c>
      <c r="D64" s="5">
        <v>8.32</v>
      </c>
      <c r="E64" s="5">
        <v>8.58</v>
      </c>
      <c r="F64" s="5">
        <v>8.8000000000000007</v>
      </c>
      <c r="G64" s="5">
        <v>8.93</v>
      </c>
      <c r="H64" s="5">
        <v>9.08</v>
      </c>
      <c r="I64" s="6">
        <v>5.4606199999999996</v>
      </c>
    </row>
    <row r="65" spans="1:9" ht="60" x14ac:dyDescent="0.25">
      <c r="A65" s="1" t="s">
        <v>128</v>
      </c>
      <c r="B65" s="5">
        <v>0</v>
      </c>
      <c r="C65" s="5">
        <v>0</v>
      </c>
      <c r="D65" s="5">
        <v>0</v>
      </c>
      <c r="E65" s="5">
        <v>0</v>
      </c>
      <c r="F65" s="5">
        <v>0</v>
      </c>
      <c r="G65" s="5">
        <v>0</v>
      </c>
      <c r="H65" s="5">
        <v>0</v>
      </c>
      <c r="I65" s="7" t="s">
        <v>58</v>
      </c>
    </row>
    <row r="66" spans="1:9" ht="45" x14ac:dyDescent="0.25">
      <c r="A66" s="1" t="s">
        <v>129</v>
      </c>
      <c r="B66" s="5">
        <v>35.479999999999997</v>
      </c>
      <c r="C66" s="5">
        <v>34.65</v>
      </c>
      <c r="D66" s="5">
        <v>34.659999999999997</v>
      </c>
      <c r="E66" s="5">
        <v>34.81</v>
      </c>
      <c r="F66" s="5">
        <v>34.99</v>
      </c>
      <c r="G66" s="5">
        <v>35.15</v>
      </c>
      <c r="H66" s="5">
        <v>35.32</v>
      </c>
      <c r="I66" s="6">
        <v>-7.5301329401589179E-2</v>
      </c>
    </row>
    <row r="67" spans="1:9" ht="45" x14ac:dyDescent="0.25">
      <c r="A67" s="1" t="s">
        <v>140</v>
      </c>
      <c r="B67" s="5">
        <v>32.65</v>
      </c>
      <c r="C67" s="5">
        <v>31.08</v>
      </c>
      <c r="D67" s="5">
        <v>30.34</v>
      </c>
      <c r="E67" s="5">
        <v>31.9</v>
      </c>
      <c r="F67" s="5">
        <v>31.23</v>
      </c>
      <c r="G67" s="5">
        <v>30.72</v>
      </c>
      <c r="H67" s="5">
        <v>31.72</v>
      </c>
      <c r="I67" s="6">
        <v>-0.480466</v>
      </c>
    </row>
    <row r="68" spans="1:9" ht="45" x14ac:dyDescent="0.25">
      <c r="A68" s="1" t="s">
        <v>141</v>
      </c>
      <c r="B68" s="5">
        <v>31.09</v>
      </c>
      <c r="C68" s="5">
        <v>30.03</v>
      </c>
      <c r="D68" s="5">
        <v>30.95</v>
      </c>
      <c r="E68" s="5">
        <v>31.43</v>
      </c>
      <c r="F68" s="5">
        <v>31.08</v>
      </c>
      <c r="G68" s="5">
        <v>32</v>
      </c>
      <c r="H68" s="5">
        <v>32.04</v>
      </c>
      <c r="I68" s="6">
        <v>0.50290900000000005</v>
      </c>
    </row>
    <row r="69" spans="1:9" ht="45" x14ac:dyDescent="0.25">
      <c r="A69" s="1" t="s">
        <v>142</v>
      </c>
      <c r="B69" s="5">
        <v>37.31</v>
      </c>
      <c r="C69" s="5">
        <v>36.340000000000003</v>
      </c>
      <c r="D69" s="5">
        <v>36.22</v>
      </c>
      <c r="E69" s="5">
        <v>36.14</v>
      </c>
      <c r="F69" s="5">
        <v>36.36</v>
      </c>
      <c r="G69" s="5">
        <v>36.479999999999997</v>
      </c>
      <c r="H69" s="5">
        <v>36.53</v>
      </c>
      <c r="I69" s="6">
        <v>-0.35150700000000001</v>
      </c>
    </row>
    <row r="70" spans="1:9" ht="60" x14ac:dyDescent="0.25">
      <c r="A70" s="1" t="s">
        <v>133</v>
      </c>
      <c r="B70" s="5">
        <v>19.933047389999999</v>
      </c>
      <c r="C70" s="5">
        <v>19.898426789999998</v>
      </c>
      <c r="D70" s="5">
        <v>20.208224560000001</v>
      </c>
      <c r="E70" s="5">
        <v>19.783924349999999</v>
      </c>
      <c r="F70" s="5">
        <v>20.135041919999999</v>
      </c>
      <c r="G70" s="5">
        <v>20.155872070000001</v>
      </c>
      <c r="H70" s="5">
        <v>20.60173399</v>
      </c>
      <c r="I70" s="6">
        <v>0.55145191794476744</v>
      </c>
    </row>
    <row r="71" spans="1:9" ht="60" x14ac:dyDescent="0.25">
      <c r="A71" s="1" t="s">
        <v>134</v>
      </c>
      <c r="B71" s="5">
        <v>29.85</v>
      </c>
      <c r="C71" s="5">
        <v>29.43</v>
      </c>
      <c r="D71" s="5">
        <v>29.41</v>
      </c>
      <c r="E71" s="5">
        <v>29.23</v>
      </c>
      <c r="F71" s="5">
        <v>28.9</v>
      </c>
      <c r="G71" s="5">
        <v>29.12</v>
      </c>
      <c r="H71" s="5">
        <v>29.48</v>
      </c>
      <c r="I71" s="6">
        <v>-0.20766399999999999</v>
      </c>
    </row>
    <row r="72" spans="1:9" x14ac:dyDescent="0.25">
      <c r="A72" s="1" t="s">
        <v>12</v>
      </c>
      <c r="B72" s="2"/>
      <c r="C72" s="2"/>
      <c r="D72" s="2"/>
      <c r="E72" s="2"/>
      <c r="F72" s="2"/>
      <c r="G72" s="2"/>
      <c r="H72" s="2"/>
      <c r="I72" s="2"/>
    </row>
    <row r="73" spans="1:9" x14ac:dyDescent="0.25">
      <c r="A73" s="8" t="s">
        <v>17</v>
      </c>
      <c r="B73" s="2"/>
      <c r="C73" s="2"/>
      <c r="D73" s="2"/>
      <c r="E73" s="2"/>
      <c r="F73" s="2"/>
      <c r="G73" s="2"/>
      <c r="H73" s="2"/>
      <c r="I73" s="2"/>
    </row>
    <row r="74" spans="1:9" ht="60" x14ac:dyDescent="0.25">
      <c r="A74" s="1" t="s">
        <v>13</v>
      </c>
      <c r="B74" s="5">
        <v>61.48</v>
      </c>
      <c r="C74" s="5">
        <v>62.53</v>
      </c>
      <c r="D74" s="5">
        <v>63.46</v>
      </c>
      <c r="E74" s="5">
        <v>64.44</v>
      </c>
      <c r="F74" s="5">
        <v>65.37</v>
      </c>
      <c r="G74" s="5">
        <v>66.25</v>
      </c>
      <c r="H74" s="5">
        <v>67.22</v>
      </c>
      <c r="I74" s="6">
        <v>1.498769</v>
      </c>
    </row>
    <row r="75" spans="1:9" ht="60" x14ac:dyDescent="0.25">
      <c r="A75" s="1" t="s">
        <v>117</v>
      </c>
      <c r="B75" s="5">
        <v>25.05</v>
      </c>
      <c r="C75" s="5">
        <v>25.36</v>
      </c>
      <c r="D75" s="5">
        <v>25.58</v>
      </c>
      <c r="E75" s="5">
        <v>25.74</v>
      </c>
      <c r="F75" s="5">
        <v>25.68</v>
      </c>
      <c r="G75" s="5">
        <v>25.62</v>
      </c>
      <c r="H75" s="5">
        <v>25.57</v>
      </c>
      <c r="I75" s="6">
        <v>0.34301999999999999</v>
      </c>
    </row>
    <row r="76" spans="1:9" ht="60" x14ac:dyDescent="0.25">
      <c r="A76" s="1" t="s">
        <v>118</v>
      </c>
      <c r="B76" s="5">
        <v>27.47</v>
      </c>
      <c r="C76" s="5">
        <v>26.32</v>
      </c>
      <c r="D76" s="5">
        <v>25.16</v>
      </c>
      <c r="E76" s="5">
        <v>23.99</v>
      </c>
      <c r="F76" s="5">
        <v>22.92</v>
      </c>
      <c r="G76" s="5">
        <v>21.78</v>
      </c>
      <c r="H76" s="5">
        <v>20.58</v>
      </c>
      <c r="I76" s="6">
        <v>-4.6989280000000004</v>
      </c>
    </row>
    <row r="77" spans="1:9" ht="60" x14ac:dyDescent="0.25">
      <c r="A77" s="1" t="s">
        <v>119</v>
      </c>
      <c r="B77" s="5">
        <v>8.52</v>
      </c>
      <c r="C77" s="5">
        <v>10.43</v>
      </c>
      <c r="D77" s="5">
        <v>12.29</v>
      </c>
      <c r="E77" s="5">
        <v>14.28</v>
      </c>
      <c r="F77" s="5">
        <v>16.34</v>
      </c>
      <c r="G77" s="5">
        <v>18.420000000000002</v>
      </c>
      <c r="H77" s="5">
        <v>20.64</v>
      </c>
      <c r="I77" s="6">
        <v>15.889747</v>
      </c>
    </row>
    <row r="78" spans="1:9" ht="60" x14ac:dyDescent="0.25">
      <c r="A78" s="1" t="s">
        <v>120</v>
      </c>
      <c r="B78" s="5">
        <v>0.02</v>
      </c>
      <c r="C78" s="5">
        <v>0.02</v>
      </c>
      <c r="D78" s="5">
        <v>0.02</v>
      </c>
      <c r="E78" s="5">
        <v>0.02</v>
      </c>
      <c r="F78" s="5">
        <v>0.02</v>
      </c>
      <c r="G78" s="5">
        <v>0.02</v>
      </c>
      <c r="H78" s="5">
        <v>0.02</v>
      </c>
      <c r="I78" s="6">
        <v>0</v>
      </c>
    </row>
    <row r="79" spans="1:9" ht="75" x14ac:dyDescent="0.25">
      <c r="A79" s="1" t="s">
        <v>121</v>
      </c>
      <c r="B79" s="5">
        <v>0.41</v>
      </c>
      <c r="C79" s="5">
        <v>0.41</v>
      </c>
      <c r="D79" s="5">
        <v>0.41</v>
      </c>
      <c r="E79" s="5">
        <v>0.41</v>
      </c>
      <c r="F79" s="5">
        <v>0.41</v>
      </c>
      <c r="G79" s="5">
        <v>0.41</v>
      </c>
      <c r="H79" s="5">
        <v>0.41</v>
      </c>
      <c r="I79" s="6">
        <v>0</v>
      </c>
    </row>
    <row r="80" spans="1:9" ht="75" x14ac:dyDescent="0.25">
      <c r="A80" s="1" t="s">
        <v>122</v>
      </c>
      <c r="B80" s="5">
        <v>0</v>
      </c>
      <c r="C80" s="5">
        <v>0</v>
      </c>
      <c r="D80" s="5">
        <v>0</v>
      </c>
      <c r="E80" s="5">
        <v>0</v>
      </c>
      <c r="F80" s="5">
        <v>0</v>
      </c>
      <c r="G80" s="5">
        <v>0</v>
      </c>
      <c r="H80" s="5">
        <v>0</v>
      </c>
      <c r="I80" s="7" t="s">
        <v>58</v>
      </c>
    </row>
    <row r="81" spans="1:9" ht="60" x14ac:dyDescent="0.25">
      <c r="A81" s="1" t="s">
        <v>123</v>
      </c>
      <c r="B81" s="5">
        <v>40.75</v>
      </c>
      <c r="C81" s="5">
        <v>40.549999999999997</v>
      </c>
      <c r="D81" s="5">
        <v>40.31</v>
      </c>
      <c r="E81" s="5">
        <v>39.950000000000003</v>
      </c>
      <c r="F81" s="5">
        <v>39.28</v>
      </c>
      <c r="G81" s="5">
        <v>38.67</v>
      </c>
      <c r="H81" s="5">
        <v>38.04</v>
      </c>
      <c r="I81" s="6">
        <v>-1.1404080000000001</v>
      </c>
    </row>
    <row r="82" spans="1:9" ht="60" x14ac:dyDescent="0.25">
      <c r="A82" s="1" t="s">
        <v>124</v>
      </c>
      <c r="B82" s="5">
        <v>44.69</v>
      </c>
      <c r="C82" s="5">
        <v>42.09</v>
      </c>
      <c r="D82" s="5">
        <v>39.64</v>
      </c>
      <c r="E82" s="5">
        <v>37.22</v>
      </c>
      <c r="F82" s="5">
        <v>35.07</v>
      </c>
      <c r="G82" s="5">
        <v>32.880000000000003</v>
      </c>
      <c r="H82" s="5">
        <v>30.61</v>
      </c>
      <c r="I82" s="6">
        <v>-6.1122719999999999</v>
      </c>
    </row>
    <row r="83" spans="1:9" ht="60" x14ac:dyDescent="0.25">
      <c r="A83" s="1" t="s">
        <v>125</v>
      </c>
      <c r="B83" s="5">
        <v>13.86</v>
      </c>
      <c r="C83" s="5">
        <v>16.670000000000002</v>
      </c>
      <c r="D83" s="5">
        <v>19.37</v>
      </c>
      <c r="E83" s="5">
        <v>22.15</v>
      </c>
      <c r="F83" s="5">
        <v>24.99</v>
      </c>
      <c r="G83" s="5">
        <v>27.81</v>
      </c>
      <c r="H83" s="5">
        <v>30.71</v>
      </c>
      <c r="I83" s="6">
        <v>14.178964000000001</v>
      </c>
    </row>
    <row r="84" spans="1:9" ht="60" x14ac:dyDescent="0.25">
      <c r="A84" s="1" t="s">
        <v>126</v>
      </c>
      <c r="B84" s="5">
        <v>0.03</v>
      </c>
      <c r="C84" s="5">
        <v>0.03</v>
      </c>
      <c r="D84" s="5">
        <v>0.03</v>
      </c>
      <c r="E84" s="5">
        <v>0.03</v>
      </c>
      <c r="F84" s="5">
        <v>0.03</v>
      </c>
      <c r="G84" s="5">
        <v>0.03</v>
      </c>
      <c r="H84" s="5">
        <v>0.03</v>
      </c>
      <c r="I84" s="6">
        <v>0</v>
      </c>
    </row>
    <row r="85" spans="1:9" ht="75" x14ac:dyDescent="0.25">
      <c r="A85" s="1" t="s">
        <v>127</v>
      </c>
      <c r="B85" s="5">
        <v>0.67</v>
      </c>
      <c r="C85" s="5">
        <v>0.66</v>
      </c>
      <c r="D85" s="5">
        <v>0.65</v>
      </c>
      <c r="E85" s="5">
        <v>0.64</v>
      </c>
      <c r="F85" s="5">
        <v>0.63</v>
      </c>
      <c r="G85" s="5">
        <v>0.62</v>
      </c>
      <c r="H85" s="5">
        <v>0.61</v>
      </c>
      <c r="I85" s="6">
        <v>-1.5514840000000001</v>
      </c>
    </row>
    <row r="86" spans="1:9" ht="60" x14ac:dyDescent="0.25">
      <c r="A86" s="1" t="s">
        <v>128</v>
      </c>
      <c r="B86" s="5">
        <v>0</v>
      </c>
      <c r="C86" s="5">
        <v>0</v>
      </c>
      <c r="D86" s="5">
        <v>0</v>
      </c>
      <c r="E86" s="5">
        <v>0</v>
      </c>
      <c r="F86" s="5">
        <v>0</v>
      </c>
      <c r="G86" s="5">
        <v>0</v>
      </c>
      <c r="H86" s="5">
        <v>0</v>
      </c>
      <c r="I86" s="7" t="s">
        <v>58</v>
      </c>
    </row>
    <row r="87" spans="1:9" ht="45" x14ac:dyDescent="0.25">
      <c r="A87" s="1" t="s">
        <v>129</v>
      </c>
      <c r="B87" s="5">
        <v>41.51</v>
      </c>
      <c r="C87" s="5">
        <v>43.26</v>
      </c>
      <c r="D87" s="5">
        <v>44.92</v>
      </c>
      <c r="E87" s="5">
        <v>46.52</v>
      </c>
      <c r="F87" s="5">
        <v>48.11</v>
      </c>
      <c r="G87" s="5">
        <v>49.55</v>
      </c>
      <c r="H87" s="5">
        <v>50.93</v>
      </c>
      <c r="I87" s="6">
        <v>3.4673891581876726</v>
      </c>
    </row>
    <row r="88" spans="1:9" ht="45" x14ac:dyDescent="0.25">
      <c r="A88" s="1" t="s">
        <v>140</v>
      </c>
      <c r="B88" s="5">
        <v>42.34</v>
      </c>
      <c r="C88" s="5">
        <v>42.97</v>
      </c>
      <c r="D88" s="5">
        <v>43.6</v>
      </c>
      <c r="E88" s="5">
        <v>44.2</v>
      </c>
      <c r="F88" s="5">
        <v>44.77</v>
      </c>
      <c r="G88" s="5">
        <v>45.21</v>
      </c>
      <c r="H88" s="5">
        <v>45.53</v>
      </c>
      <c r="I88" s="6">
        <v>1.218011</v>
      </c>
    </row>
    <row r="89" spans="1:9" ht="45" x14ac:dyDescent="0.25">
      <c r="A89" s="1" t="s">
        <v>141</v>
      </c>
      <c r="B89" s="5">
        <v>31.88</v>
      </c>
      <c r="C89" s="5">
        <v>32.71</v>
      </c>
      <c r="D89" s="5">
        <v>33.57</v>
      </c>
      <c r="E89" s="5">
        <v>34.51</v>
      </c>
      <c r="F89" s="5">
        <v>35.64</v>
      </c>
      <c r="G89" s="5">
        <v>36.76</v>
      </c>
      <c r="H89" s="5">
        <v>38.01</v>
      </c>
      <c r="I89" s="6">
        <v>2.9745560000000002</v>
      </c>
    </row>
    <row r="90" spans="1:9" ht="45" x14ac:dyDescent="0.25">
      <c r="A90" s="1" t="s">
        <v>142</v>
      </c>
      <c r="B90" s="5">
        <v>76.569999999999993</v>
      </c>
      <c r="C90" s="5">
        <v>75.92</v>
      </c>
      <c r="D90" s="5">
        <v>75.260000000000005</v>
      </c>
      <c r="E90" s="5">
        <v>74.7</v>
      </c>
      <c r="F90" s="5">
        <v>74.16</v>
      </c>
      <c r="G90" s="5">
        <v>73.63</v>
      </c>
      <c r="H90" s="5">
        <v>73.150000000000006</v>
      </c>
      <c r="I90" s="6">
        <v>-0.75866100000000003</v>
      </c>
    </row>
    <row r="91" spans="1:9" ht="60" x14ac:dyDescent="0.25">
      <c r="A91" s="1" t="s">
        <v>133</v>
      </c>
      <c r="B91" s="5">
        <v>53.621271290000003</v>
      </c>
      <c r="C91" s="5">
        <v>53.621271290000003</v>
      </c>
      <c r="D91" s="5">
        <v>53.621271290000003</v>
      </c>
      <c r="E91" s="5">
        <v>53.621271290000003</v>
      </c>
      <c r="F91" s="5">
        <v>53.621271290000003</v>
      </c>
      <c r="G91" s="5">
        <v>53.621271290000003</v>
      </c>
      <c r="H91" s="5">
        <v>53.621271290000003</v>
      </c>
      <c r="I91" s="6">
        <v>0</v>
      </c>
    </row>
    <row r="92" spans="1:9" ht="60" x14ac:dyDescent="0.25">
      <c r="A92" s="1" t="s">
        <v>134</v>
      </c>
      <c r="B92" s="5">
        <v>39.19</v>
      </c>
      <c r="C92" s="5">
        <v>39.19</v>
      </c>
      <c r="D92" s="5">
        <v>39.130000000000003</v>
      </c>
      <c r="E92" s="5">
        <v>39.130000000000003</v>
      </c>
      <c r="F92" s="5">
        <v>39.130000000000003</v>
      </c>
      <c r="G92" s="5">
        <v>39.130000000000003</v>
      </c>
      <c r="H92" s="5">
        <v>39.130000000000003</v>
      </c>
      <c r="I92" s="6">
        <v>-2.5533E-2</v>
      </c>
    </row>
    <row r="93" spans="1:9" x14ac:dyDescent="0.25">
      <c r="A93" s="1" t="s">
        <v>12</v>
      </c>
      <c r="B93" s="2"/>
      <c r="C93" s="2"/>
      <c r="D93" s="2"/>
      <c r="E93" s="2"/>
      <c r="F93" s="2"/>
      <c r="G93" s="2"/>
      <c r="H93" s="2"/>
      <c r="I93" s="2"/>
    </row>
    <row r="94" spans="1:9" x14ac:dyDescent="0.25">
      <c r="A94" s="8" t="s">
        <v>18</v>
      </c>
      <c r="B94" s="2"/>
      <c r="C94" s="2"/>
      <c r="D94" s="2"/>
      <c r="E94" s="2"/>
      <c r="F94" s="2"/>
      <c r="G94" s="2"/>
      <c r="H94" s="2"/>
      <c r="I94" s="2"/>
    </row>
    <row r="95" spans="1:9" ht="60" x14ac:dyDescent="0.25">
      <c r="A95" s="1" t="s">
        <v>13</v>
      </c>
      <c r="B95" s="5">
        <v>60.84</v>
      </c>
      <c r="C95" s="5">
        <v>60.19</v>
      </c>
      <c r="D95" s="5">
        <v>59.54</v>
      </c>
      <c r="E95" s="5">
        <v>58.91</v>
      </c>
      <c r="F95" s="5">
        <v>58.3</v>
      </c>
      <c r="G95" s="5">
        <v>57.68</v>
      </c>
      <c r="H95" s="5">
        <v>57.08</v>
      </c>
      <c r="I95" s="6">
        <v>-1.057596</v>
      </c>
    </row>
    <row r="96" spans="1:9" ht="60" x14ac:dyDescent="0.25">
      <c r="A96" s="1" t="s">
        <v>117</v>
      </c>
      <c r="B96" s="5">
        <v>32.159999999999997</v>
      </c>
      <c r="C96" s="5">
        <v>31.7</v>
      </c>
      <c r="D96" s="5">
        <v>31.3</v>
      </c>
      <c r="E96" s="5">
        <v>30.95</v>
      </c>
      <c r="F96" s="5">
        <v>30.64</v>
      </c>
      <c r="G96" s="5">
        <v>30.31</v>
      </c>
      <c r="H96" s="5">
        <v>30</v>
      </c>
      <c r="I96" s="6">
        <v>-1.15208</v>
      </c>
    </row>
    <row r="97" spans="1:9" ht="60" x14ac:dyDescent="0.25">
      <c r="A97" s="1" t="s">
        <v>118</v>
      </c>
      <c r="B97" s="5">
        <v>13.16</v>
      </c>
      <c r="C97" s="5">
        <v>13.03</v>
      </c>
      <c r="D97" s="5">
        <v>12.93</v>
      </c>
      <c r="E97" s="5">
        <v>12.88</v>
      </c>
      <c r="F97" s="5">
        <v>12.85</v>
      </c>
      <c r="G97" s="5">
        <v>12.71</v>
      </c>
      <c r="H97" s="5">
        <v>12.58</v>
      </c>
      <c r="I97" s="6">
        <v>-0.74841299999999999</v>
      </c>
    </row>
    <row r="98" spans="1:9" ht="60" x14ac:dyDescent="0.25">
      <c r="A98" s="1" t="s">
        <v>119</v>
      </c>
      <c r="B98" s="5">
        <v>11.32</v>
      </c>
      <c r="C98" s="5">
        <v>11.44</v>
      </c>
      <c r="D98" s="5">
        <v>11.46</v>
      </c>
      <c r="E98" s="5">
        <v>11.4</v>
      </c>
      <c r="F98" s="5">
        <v>11.28</v>
      </c>
      <c r="G98" s="5">
        <v>11.16</v>
      </c>
      <c r="H98" s="5">
        <v>11.04</v>
      </c>
      <c r="I98" s="6">
        <v>-0.41656399999999999</v>
      </c>
    </row>
    <row r="99" spans="1:9" ht="60" x14ac:dyDescent="0.25">
      <c r="A99" s="1" t="s">
        <v>120</v>
      </c>
      <c r="B99" s="5">
        <v>0</v>
      </c>
      <c r="C99" s="5">
        <v>0</v>
      </c>
      <c r="D99" s="5">
        <v>0</v>
      </c>
      <c r="E99" s="5">
        <v>0</v>
      </c>
      <c r="F99" s="5">
        <v>0</v>
      </c>
      <c r="G99" s="5">
        <v>0</v>
      </c>
      <c r="H99" s="5">
        <v>0</v>
      </c>
      <c r="I99" s="7" t="s">
        <v>58</v>
      </c>
    </row>
    <row r="100" spans="1:9" ht="75" x14ac:dyDescent="0.25">
      <c r="A100" s="1" t="s">
        <v>121</v>
      </c>
      <c r="B100" s="5">
        <v>4.2</v>
      </c>
      <c r="C100" s="5">
        <v>4.01</v>
      </c>
      <c r="D100" s="5">
        <v>3.84</v>
      </c>
      <c r="E100" s="5">
        <v>3.68</v>
      </c>
      <c r="F100" s="5">
        <v>3.53</v>
      </c>
      <c r="G100" s="5">
        <v>3.5</v>
      </c>
      <c r="H100" s="5">
        <v>3.46</v>
      </c>
      <c r="I100" s="6">
        <v>-3.1786500000000002</v>
      </c>
    </row>
    <row r="101" spans="1:9" ht="75" x14ac:dyDescent="0.25">
      <c r="A101" s="1" t="s">
        <v>122</v>
      </c>
      <c r="B101" s="5">
        <v>0</v>
      </c>
      <c r="C101" s="5">
        <v>0</v>
      </c>
      <c r="D101" s="5">
        <v>0</v>
      </c>
      <c r="E101" s="5">
        <v>0</v>
      </c>
      <c r="F101" s="5">
        <v>0</v>
      </c>
      <c r="G101" s="5">
        <v>0</v>
      </c>
      <c r="H101" s="5">
        <v>0</v>
      </c>
      <c r="I101" s="7" t="s">
        <v>58</v>
      </c>
    </row>
    <row r="102" spans="1:9" ht="60" x14ac:dyDescent="0.25">
      <c r="A102" s="1" t="s">
        <v>123</v>
      </c>
      <c r="B102" s="5">
        <v>52.85</v>
      </c>
      <c r="C102" s="5">
        <v>52.67</v>
      </c>
      <c r="D102" s="5">
        <v>52.57</v>
      </c>
      <c r="E102" s="5">
        <v>52.54</v>
      </c>
      <c r="F102" s="5">
        <v>52.55</v>
      </c>
      <c r="G102" s="5">
        <v>52.55</v>
      </c>
      <c r="H102" s="5">
        <v>52.55</v>
      </c>
      <c r="I102" s="6">
        <v>-9.4832E-2</v>
      </c>
    </row>
    <row r="103" spans="1:9" ht="60" x14ac:dyDescent="0.25">
      <c r="A103" s="1" t="s">
        <v>124</v>
      </c>
      <c r="B103" s="5">
        <v>21.64</v>
      </c>
      <c r="C103" s="5">
        <v>21.65</v>
      </c>
      <c r="D103" s="5">
        <v>21.72</v>
      </c>
      <c r="E103" s="5">
        <v>21.85</v>
      </c>
      <c r="F103" s="5">
        <v>22.04</v>
      </c>
      <c r="G103" s="5">
        <v>22.04</v>
      </c>
      <c r="H103" s="5">
        <v>22.04</v>
      </c>
      <c r="I103" s="6">
        <v>0.30572500000000002</v>
      </c>
    </row>
    <row r="104" spans="1:9" ht="60" x14ac:dyDescent="0.25">
      <c r="A104" s="1" t="s">
        <v>125</v>
      </c>
      <c r="B104" s="5">
        <v>18.61</v>
      </c>
      <c r="C104" s="5">
        <v>19.010000000000002</v>
      </c>
      <c r="D104" s="5">
        <v>19.25</v>
      </c>
      <c r="E104" s="5">
        <v>19.36</v>
      </c>
      <c r="F104" s="5">
        <v>19.34</v>
      </c>
      <c r="G104" s="5">
        <v>19.34</v>
      </c>
      <c r="H104" s="5">
        <v>19.34</v>
      </c>
      <c r="I104" s="6">
        <v>0.64333399999999996</v>
      </c>
    </row>
    <row r="105" spans="1:9" ht="60" x14ac:dyDescent="0.25">
      <c r="A105" s="1" t="s">
        <v>126</v>
      </c>
      <c r="B105" s="5">
        <v>0</v>
      </c>
      <c r="C105" s="5">
        <v>0</v>
      </c>
      <c r="D105" s="5">
        <v>0</v>
      </c>
      <c r="E105" s="5">
        <v>0</v>
      </c>
      <c r="F105" s="5">
        <v>0</v>
      </c>
      <c r="G105" s="5">
        <v>0</v>
      </c>
      <c r="H105" s="5">
        <v>0</v>
      </c>
      <c r="I105" s="7" t="s">
        <v>58</v>
      </c>
    </row>
    <row r="106" spans="1:9" ht="75" x14ac:dyDescent="0.25">
      <c r="A106" s="1" t="s">
        <v>127</v>
      </c>
      <c r="B106" s="5">
        <v>6.9</v>
      </c>
      <c r="C106" s="5">
        <v>6.67</v>
      </c>
      <c r="D106" s="5">
        <v>6.45</v>
      </c>
      <c r="E106" s="5">
        <v>6.25</v>
      </c>
      <c r="F106" s="5">
        <v>6.06</v>
      </c>
      <c r="G106" s="5">
        <v>6.06</v>
      </c>
      <c r="H106" s="5">
        <v>6.06</v>
      </c>
      <c r="I106" s="6">
        <v>-2.1402909999999999</v>
      </c>
    </row>
    <row r="107" spans="1:9" ht="60" x14ac:dyDescent="0.25">
      <c r="A107" s="1" t="s">
        <v>128</v>
      </c>
      <c r="B107" s="5">
        <v>0</v>
      </c>
      <c r="C107" s="5">
        <v>0</v>
      </c>
      <c r="D107" s="5">
        <v>0</v>
      </c>
      <c r="E107" s="5">
        <v>0</v>
      </c>
      <c r="F107" s="5">
        <v>0</v>
      </c>
      <c r="G107" s="5">
        <v>0</v>
      </c>
      <c r="H107" s="5">
        <v>0</v>
      </c>
      <c r="I107" s="7" t="s">
        <v>58</v>
      </c>
    </row>
    <row r="108" spans="1:9" ht="45" x14ac:dyDescent="0.25">
      <c r="A108" s="1" t="s">
        <v>129</v>
      </c>
      <c r="B108" s="7" t="s">
        <v>58</v>
      </c>
      <c r="C108" s="7" t="s">
        <v>58</v>
      </c>
      <c r="D108" s="7" t="s">
        <v>58</v>
      </c>
      <c r="E108" s="7" t="s">
        <v>58</v>
      </c>
      <c r="F108" s="7" t="s">
        <v>58</v>
      </c>
      <c r="G108" s="7" t="s">
        <v>58</v>
      </c>
      <c r="H108" s="7" t="s">
        <v>58</v>
      </c>
      <c r="I108" s="7" t="s">
        <v>58</v>
      </c>
    </row>
    <row r="109" spans="1:9" ht="45" x14ac:dyDescent="0.25">
      <c r="A109" s="1" t="s">
        <v>140</v>
      </c>
      <c r="B109" s="7" t="s">
        <v>58</v>
      </c>
      <c r="C109" s="7" t="s">
        <v>58</v>
      </c>
      <c r="D109" s="7" t="s">
        <v>58</v>
      </c>
      <c r="E109" s="7" t="s">
        <v>58</v>
      </c>
      <c r="F109" s="7" t="s">
        <v>58</v>
      </c>
      <c r="G109" s="7" t="s">
        <v>58</v>
      </c>
      <c r="H109" s="7" t="s">
        <v>58</v>
      </c>
      <c r="I109" s="7" t="s">
        <v>58</v>
      </c>
    </row>
    <row r="110" spans="1:9" ht="45" x14ac:dyDescent="0.25">
      <c r="A110" s="1" t="s">
        <v>141</v>
      </c>
      <c r="B110" s="7" t="s">
        <v>58</v>
      </c>
      <c r="C110" s="7" t="s">
        <v>58</v>
      </c>
      <c r="D110" s="7" t="s">
        <v>58</v>
      </c>
      <c r="E110" s="7" t="s">
        <v>58</v>
      </c>
      <c r="F110" s="7" t="s">
        <v>58</v>
      </c>
      <c r="G110" s="7" t="s">
        <v>58</v>
      </c>
      <c r="H110" s="7" t="s">
        <v>58</v>
      </c>
      <c r="I110" s="7" t="s">
        <v>58</v>
      </c>
    </row>
    <row r="111" spans="1:9" ht="45" x14ac:dyDescent="0.25">
      <c r="A111" s="1" t="s">
        <v>142</v>
      </c>
      <c r="B111" s="7" t="s">
        <v>58</v>
      </c>
      <c r="C111" s="7" t="s">
        <v>58</v>
      </c>
      <c r="D111" s="7" t="s">
        <v>58</v>
      </c>
      <c r="E111" s="7" t="s">
        <v>58</v>
      </c>
      <c r="F111" s="7" t="s">
        <v>58</v>
      </c>
      <c r="G111" s="7" t="s">
        <v>58</v>
      </c>
      <c r="H111" s="7" t="s">
        <v>58</v>
      </c>
      <c r="I111" s="7" t="s">
        <v>58</v>
      </c>
    </row>
    <row r="112" spans="1:9" ht="60" x14ac:dyDescent="0.25">
      <c r="A112" s="1" t="s">
        <v>133</v>
      </c>
      <c r="B112" s="7" t="s">
        <v>58</v>
      </c>
      <c r="C112" s="7" t="s">
        <v>58</v>
      </c>
      <c r="D112" s="7" t="s">
        <v>58</v>
      </c>
      <c r="E112" s="7" t="s">
        <v>58</v>
      </c>
      <c r="F112" s="7" t="s">
        <v>58</v>
      </c>
      <c r="G112" s="7" t="s">
        <v>58</v>
      </c>
      <c r="H112" s="7" t="s">
        <v>58</v>
      </c>
      <c r="I112" s="7" t="s">
        <v>58</v>
      </c>
    </row>
    <row r="113" spans="1:9" ht="60" x14ac:dyDescent="0.25">
      <c r="A113" s="1" t="s">
        <v>134</v>
      </c>
      <c r="B113" s="7" t="s">
        <v>58</v>
      </c>
      <c r="C113" s="7" t="s">
        <v>58</v>
      </c>
      <c r="D113" s="7" t="s">
        <v>58</v>
      </c>
      <c r="E113" s="7" t="s">
        <v>58</v>
      </c>
      <c r="F113" s="7" t="s">
        <v>58</v>
      </c>
      <c r="G113" s="7" t="s">
        <v>58</v>
      </c>
      <c r="H113" s="7" t="s">
        <v>58</v>
      </c>
      <c r="I113" s="7" t="s">
        <v>58</v>
      </c>
    </row>
    <row r="114" spans="1:9" x14ac:dyDescent="0.25">
      <c r="A114" s="1" t="s">
        <v>12</v>
      </c>
      <c r="B114" s="2"/>
      <c r="C114" s="2"/>
      <c r="D114" s="2"/>
      <c r="E114" s="2"/>
      <c r="F114" s="2"/>
      <c r="G114" s="2"/>
      <c r="H114" s="2"/>
      <c r="I114" s="2"/>
    </row>
    <row r="115" spans="1:9" x14ac:dyDescent="0.25">
      <c r="A115" s="8" t="s">
        <v>19</v>
      </c>
      <c r="B115" s="2"/>
      <c r="C115" s="2"/>
      <c r="D115" s="2"/>
      <c r="E115" s="2"/>
      <c r="F115" s="2"/>
      <c r="G115" s="2"/>
      <c r="H115" s="2"/>
      <c r="I115" s="2"/>
    </row>
    <row r="116" spans="1:9" ht="60" x14ac:dyDescent="0.25">
      <c r="A116" s="1" t="s">
        <v>13</v>
      </c>
      <c r="B116" s="5">
        <v>94.61</v>
      </c>
      <c r="C116" s="5">
        <v>95.77</v>
      </c>
      <c r="D116" s="5">
        <v>95.83</v>
      </c>
      <c r="E116" s="5">
        <v>96.08</v>
      </c>
      <c r="F116" s="5">
        <v>96.34</v>
      </c>
      <c r="G116" s="5">
        <v>96.63</v>
      </c>
      <c r="H116" s="5">
        <v>96.93</v>
      </c>
      <c r="I116" s="6">
        <v>0.40458100000000002</v>
      </c>
    </row>
    <row r="117" spans="1:9" ht="60" x14ac:dyDescent="0.25">
      <c r="A117" s="1" t="s">
        <v>117</v>
      </c>
      <c r="B117" s="5">
        <v>0</v>
      </c>
      <c r="C117" s="5">
        <v>0</v>
      </c>
      <c r="D117" s="5">
        <v>0</v>
      </c>
      <c r="E117" s="5">
        <v>0</v>
      </c>
      <c r="F117" s="5">
        <v>0</v>
      </c>
      <c r="G117" s="5">
        <v>0</v>
      </c>
      <c r="H117" s="5">
        <v>0</v>
      </c>
      <c r="I117" s="7" t="s">
        <v>58</v>
      </c>
    </row>
    <row r="118" spans="1:9" ht="60" x14ac:dyDescent="0.25">
      <c r="A118" s="1" t="s">
        <v>118</v>
      </c>
      <c r="B118" s="5">
        <v>1.9</v>
      </c>
      <c r="C118" s="5">
        <v>1.78</v>
      </c>
      <c r="D118" s="5">
        <v>1.67</v>
      </c>
      <c r="E118" s="5">
        <v>1.56</v>
      </c>
      <c r="F118" s="5">
        <v>1.47</v>
      </c>
      <c r="G118" s="5">
        <v>1.37</v>
      </c>
      <c r="H118" s="5">
        <v>1.29</v>
      </c>
      <c r="I118" s="6">
        <v>-6.2496960000000001</v>
      </c>
    </row>
    <row r="119" spans="1:9" ht="60" x14ac:dyDescent="0.25">
      <c r="A119" s="1" t="s">
        <v>119</v>
      </c>
      <c r="B119" s="5">
        <v>89.05</v>
      </c>
      <c r="C119" s="5">
        <v>90.52</v>
      </c>
      <c r="D119" s="5">
        <v>90.88</v>
      </c>
      <c r="E119" s="5">
        <v>91.41</v>
      </c>
      <c r="F119" s="5">
        <v>91.93</v>
      </c>
      <c r="G119" s="5">
        <v>92.47</v>
      </c>
      <c r="H119" s="5">
        <v>93</v>
      </c>
      <c r="I119" s="6">
        <v>0.72598099999999999</v>
      </c>
    </row>
    <row r="120" spans="1:9" ht="60" x14ac:dyDescent="0.25">
      <c r="A120" s="1" t="s">
        <v>120</v>
      </c>
      <c r="B120" s="5">
        <v>0</v>
      </c>
      <c r="C120" s="5">
        <v>0</v>
      </c>
      <c r="D120" s="5">
        <v>0</v>
      </c>
      <c r="E120" s="5">
        <v>0</v>
      </c>
      <c r="F120" s="5">
        <v>0</v>
      </c>
      <c r="G120" s="5">
        <v>0</v>
      </c>
      <c r="H120" s="5">
        <v>0</v>
      </c>
      <c r="I120" s="7" t="s">
        <v>58</v>
      </c>
    </row>
    <row r="121" spans="1:9" ht="75" x14ac:dyDescent="0.25">
      <c r="A121" s="1" t="s">
        <v>121</v>
      </c>
      <c r="B121" s="5">
        <v>3.66</v>
      </c>
      <c r="C121" s="5">
        <v>3.47</v>
      </c>
      <c r="D121" s="5">
        <v>3.28</v>
      </c>
      <c r="E121" s="5">
        <v>3.11</v>
      </c>
      <c r="F121" s="5">
        <v>2.95</v>
      </c>
      <c r="G121" s="5">
        <v>2.79</v>
      </c>
      <c r="H121" s="5">
        <v>2.64</v>
      </c>
      <c r="I121" s="6">
        <v>-5.2991650000000003</v>
      </c>
    </row>
    <row r="122" spans="1:9" ht="75" x14ac:dyDescent="0.25">
      <c r="A122" s="1" t="s">
        <v>122</v>
      </c>
      <c r="B122" s="5">
        <v>0</v>
      </c>
      <c r="C122" s="5">
        <v>0</v>
      </c>
      <c r="D122" s="5">
        <v>0</v>
      </c>
      <c r="E122" s="5">
        <v>0</v>
      </c>
      <c r="F122" s="5">
        <v>0</v>
      </c>
      <c r="G122" s="5">
        <v>0</v>
      </c>
      <c r="H122" s="5">
        <v>0</v>
      </c>
      <c r="I122" s="7" t="s">
        <v>58</v>
      </c>
    </row>
    <row r="123" spans="1:9" ht="60" x14ac:dyDescent="0.25">
      <c r="A123" s="1" t="s">
        <v>123</v>
      </c>
      <c r="B123" s="5">
        <v>0</v>
      </c>
      <c r="C123" s="5">
        <v>0</v>
      </c>
      <c r="D123" s="5">
        <v>0</v>
      </c>
      <c r="E123" s="5">
        <v>0</v>
      </c>
      <c r="F123" s="5">
        <v>0</v>
      </c>
      <c r="G123" s="5">
        <v>0</v>
      </c>
      <c r="H123" s="5">
        <v>0</v>
      </c>
      <c r="I123" s="7" t="s">
        <v>58</v>
      </c>
    </row>
    <row r="124" spans="1:9" ht="60" x14ac:dyDescent="0.25">
      <c r="A124" s="1" t="s">
        <v>124</v>
      </c>
      <c r="B124" s="5">
        <v>2.0099999999999998</v>
      </c>
      <c r="C124" s="5">
        <v>1.86</v>
      </c>
      <c r="D124" s="5">
        <v>1.74</v>
      </c>
      <c r="E124" s="5">
        <v>1.63</v>
      </c>
      <c r="F124" s="5">
        <v>1.52</v>
      </c>
      <c r="G124" s="5">
        <v>1.42</v>
      </c>
      <c r="H124" s="5">
        <v>1.33</v>
      </c>
      <c r="I124" s="6">
        <v>-6.6510870000000004</v>
      </c>
    </row>
    <row r="125" spans="1:9" ht="60" x14ac:dyDescent="0.25">
      <c r="A125" s="1" t="s">
        <v>125</v>
      </c>
      <c r="B125" s="5">
        <v>94.12</v>
      </c>
      <c r="C125" s="5">
        <v>94.52</v>
      </c>
      <c r="D125" s="5">
        <v>94.83</v>
      </c>
      <c r="E125" s="5">
        <v>95.14</v>
      </c>
      <c r="F125" s="5">
        <v>95.42</v>
      </c>
      <c r="G125" s="5">
        <v>95.69</v>
      </c>
      <c r="H125" s="5">
        <v>95.95</v>
      </c>
      <c r="I125" s="6">
        <v>0.32146000000000002</v>
      </c>
    </row>
    <row r="126" spans="1:9" ht="60" x14ac:dyDescent="0.25">
      <c r="A126" s="1" t="s">
        <v>126</v>
      </c>
      <c r="B126" s="5">
        <v>0</v>
      </c>
      <c r="C126" s="5">
        <v>0</v>
      </c>
      <c r="D126" s="5">
        <v>0</v>
      </c>
      <c r="E126" s="5">
        <v>0</v>
      </c>
      <c r="F126" s="5">
        <v>0</v>
      </c>
      <c r="G126" s="5">
        <v>0</v>
      </c>
      <c r="H126" s="5">
        <v>0</v>
      </c>
      <c r="I126" s="7" t="s">
        <v>58</v>
      </c>
    </row>
    <row r="127" spans="1:9" ht="75" x14ac:dyDescent="0.25">
      <c r="A127" s="1" t="s">
        <v>127</v>
      </c>
      <c r="B127" s="5">
        <v>3.87</v>
      </c>
      <c r="C127" s="5">
        <v>3.62</v>
      </c>
      <c r="D127" s="5">
        <v>3.43</v>
      </c>
      <c r="E127" s="5">
        <v>3.24</v>
      </c>
      <c r="F127" s="5">
        <v>3.06</v>
      </c>
      <c r="G127" s="5">
        <v>2.89</v>
      </c>
      <c r="H127" s="5">
        <v>2.73</v>
      </c>
      <c r="I127" s="6">
        <v>-5.649991</v>
      </c>
    </row>
    <row r="128" spans="1:9" ht="60" x14ac:dyDescent="0.25">
      <c r="A128" s="1" t="s">
        <v>128</v>
      </c>
      <c r="B128" s="5">
        <v>0</v>
      </c>
      <c r="C128" s="5">
        <v>0</v>
      </c>
      <c r="D128" s="5">
        <v>0</v>
      </c>
      <c r="E128" s="5">
        <v>0</v>
      </c>
      <c r="F128" s="5">
        <v>0</v>
      </c>
      <c r="G128" s="5">
        <v>0</v>
      </c>
      <c r="H128" s="5">
        <v>0</v>
      </c>
      <c r="I128" s="7" t="s">
        <v>58</v>
      </c>
    </row>
    <row r="129" spans="1:9" ht="45" x14ac:dyDescent="0.25">
      <c r="A129" s="1" t="s">
        <v>129</v>
      </c>
      <c r="B129" s="7" t="s">
        <v>58</v>
      </c>
      <c r="C129" s="7" t="s">
        <v>58</v>
      </c>
      <c r="D129" s="7" t="s">
        <v>58</v>
      </c>
      <c r="E129" s="7" t="s">
        <v>58</v>
      </c>
      <c r="F129" s="7" t="s">
        <v>58</v>
      </c>
      <c r="G129" s="7" t="s">
        <v>58</v>
      </c>
      <c r="H129" s="7" t="s">
        <v>58</v>
      </c>
      <c r="I129" s="7" t="s">
        <v>58</v>
      </c>
    </row>
    <row r="130" spans="1:9" ht="45" x14ac:dyDescent="0.25">
      <c r="A130" s="1" t="s">
        <v>140</v>
      </c>
      <c r="B130" s="7" t="s">
        <v>58</v>
      </c>
      <c r="C130" s="7" t="s">
        <v>58</v>
      </c>
      <c r="D130" s="7" t="s">
        <v>58</v>
      </c>
      <c r="E130" s="7" t="s">
        <v>58</v>
      </c>
      <c r="F130" s="7" t="s">
        <v>58</v>
      </c>
      <c r="G130" s="7" t="s">
        <v>58</v>
      </c>
      <c r="H130" s="7" t="s">
        <v>58</v>
      </c>
      <c r="I130" s="7" t="s">
        <v>58</v>
      </c>
    </row>
    <row r="131" spans="1:9" ht="45" x14ac:dyDescent="0.25">
      <c r="A131" s="1" t="s">
        <v>141</v>
      </c>
      <c r="B131" s="7" t="s">
        <v>58</v>
      </c>
      <c r="C131" s="7" t="s">
        <v>58</v>
      </c>
      <c r="D131" s="7" t="s">
        <v>58</v>
      </c>
      <c r="E131" s="7" t="s">
        <v>58</v>
      </c>
      <c r="F131" s="7" t="s">
        <v>58</v>
      </c>
      <c r="G131" s="7" t="s">
        <v>58</v>
      </c>
      <c r="H131" s="7" t="s">
        <v>58</v>
      </c>
      <c r="I131" s="7" t="s">
        <v>58</v>
      </c>
    </row>
    <row r="132" spans="1:9" ht="45" x14ac:dyDescent="0.25">
      <c r="A132" s="1" t="s">
        <v>142</v>
      </c>
      <c r="B132" s="7" t="s">
        <v>58</v>
      </c>
      <c r="C132" s="7" t="s">
        <v>58</v>
      </c>
      <c r="D132" s="7" t="s">
        <v>58</v>
      </c>
      <c r="E132" s="7" t="s">
        <v>58</v>
      </c>
      <c r="F132" s="7" t="s">
        <v>58</v>
      </c>
      <c r="G132" s="7" t="s">
        <v>58</v>
      </c>
      <c r="H132" s="7" t="s">
        <v>58</v>
      </c>
      <c r="I132" s="7" t="s">
        <v>58</v>
      </c>
    </row>
    <row r="133" spans="1:9" ht="60" x14ac:dyDescent="0.25">
      <c r="A133" s="1" t="s">
        <v>133</v>
      </c>
      <c r="B133" s="7" t="s">
        <v>58</v>
      </c>
      <c r="C133" s="7" t="s">
        <v>58</v>
      </c>
      <c r="D133" s="7" t="s">
        <v>58</v>
      </c>
      <c r="E133" s="7" t="s">
        <v>58</v>
      </c>
      <c r="F133" s="7" t="s">
        <v>58</v>
      </c>
      <c r="G133" s="7" t="s">
        <v>58</v>
      </c>
      <c r="H133" s="7" t="s">
        <v>58</v>
      </c>
      <c r="I133" s="7" t="s">
        <v>58</v>
      </c>
    </row>
    <row r="134" spans="1:9" ht="60" x14ac:dyDescent="0.25">
      <c r="A134" s="1" t="s">
        <v>134</v>
      </c>
      <c r="B134" s="7" t="s">
        <v>58</v>
      </c>
      <c r="C134" s="7" t="s">
        <v>58</v>
      </c>
      <c r="D134" s="7" t="s">
        <v>58</v>
      </c>
      <c r="E134" s="7" t="s">
        <v>58</v>
      </c>
      <c r="F134" s="7" t="s">
        <v>58</v>
      </c>
      <c r="G134" s="7" t="s">
        <v>58</v>
      </c>
      <c r="H134" s="7" t="s">
        <v>58</v>
      </c>
      <c r="I134" s="7" t="s">
        <v>58</v>
      </c>
    </row>
    <row r="135" spans="1:9" x14ac:dyDescent="0.25">
      <c r="A135" s="1" t="s">
        <v>12</v>
      </c>
      <c r="B135" s="2"/>
      <c r="C135" s="2"/>
      <c r="D135" s="2"/>
      <c r="E135" s="2"/>
      <c r="F135" s="2"/>
      <c r="G135" s="2"/>
      <c r="H135" s="2"/>
      <c r="I135" s="2"/>
    </row>
    <row r="136" spans="1:9" x14ac:dyDescent="0.25">
      <c r="A136" s="8" t="s">
        <v>20</v>
      </c>
      <c r="B136" s="2"/>
      <c r="C136" s="2"/>
      <c r="D136" s="2"/>
      <c r="E136" s="2"/>
      <c r="F136" s="2"/>
      <c r="G136" s="2"/>
      <c r="H136" s="2"/>
      <c r="I136" s="2"/>
    </row>
    <row r="137" spans="1:9" ht="60" x14ac:dyDescent="0.25">
      <c r="A137" s="1" t="s">
        <v>13</v>
      </c>
      <c r="B137" s="5">
        <v>86.2</v>
      </c>
      <c r="C137" s="5">
        <v>86.37</v>
      </c>
      <c r="D137" s="5">
        <v>86.64</v>
      </c>
      <c r="E137" s="5">
        <v>87</v>
      </c>
      <c r="F137" s="5">
        <v>87.42</v>
      </c>
      <c r="G137" s="5">
        <v>88.11</v>
      </c>
      <c r="H137" s="5">
        <v>87.9</v>
      </c>
      <c r="I137" s="6">
        <v>0.32602399999999998</v>
      </c>
    </row>
    <row r="138" spans="1:9" ht="60" x14ac:dyDescent="0.25">
      <c r="A138" s="1" t="s">
        <v>117</v>
      </c>
      <c r="B138" s="5">
        <v>0</v>
      </c>
      <c r="C138" s="5">
        <v>0</v>
      </c>
      <c r="D138" s="5">
        <v>0</v>
      </c>
      <c r="E138" s="5">
        <v>0</v>
      </c>
      <c r="F138" s="5">
        <v>0</v>
      </c>
      <c r="G138" s="5">
        <v>0</v>
      </c>
      <c r="H138" s="5">
        <v>0</v>
      </c>
      <c r="I138" s="7" t="s">
        <v>58</v>
      </c>
    </row>
    <row r="139" spans="1:9" ht="60" x14ac:dyDescent="0.25">
      <c r="A139" s="1" t="s">
        <v>118</v>
      </c>
      <c r="B139" s="5">
        <v>0</v>
      </c>
      <c r="C139" s="5">
        <v>0</v>
      </c>
      <c r="D139" s="5">
        <v>0</v>
      </c>
      <c r="E139" s="5">
        <v>0</v>
      </c>
      <c r="F139" s="5">
        <v>0</v>
      </c>
      <c r="G139" s="5">
        <v>0</v>
      </c>
      <c r="H139" s="5">
        <v>0</v>
      </c>
      <c r="I139" s="7" t="s">
        <v>58</v>
      </c>
    </row>
    <row r="140" spans="1:9" ht="60" x14ac:dyDescent="0.25">
      <c r="A140" s="1" t="s">
        <v>119</v>
      </c>
      <c r="B140" s="5">
        <v>86.04</v>
      </c>
      <c r="C140" s="5">
        <v>86.22</v>
      </c>
      <c r="D140" s="5">
        <v>86.5</v>
      </c>
      <c r="E140" s="5">
        <v>86.86</v>
      </c>
      <c r="F140" s="5">
        <v>87.29</v>
      </c>
      <c r="G140" s="5">
        <v>87.99</v>
      </c>
      <c r="H140" s="5">
        <v>87.79</v>
      </c>
      <c r="I140" s="6">
        <v>0.33615200000000001</v>
      </c>
    </row>
    <row r="141" spans="1:9" ht="60" x14ac:dyDescent="0.25">
      <c r="A141" s="1" t="s">
        <v>120</v>
      </c>
      <c r="B141" s="5">
        <v>0</v>
      </c>
      <c r="C141" s="5">
        <v>0</v>
      </c>
      <c r="D141" s="5">
        <v>0</v>
      </c>
      <c r="E141" s="5">
        <v>0</v>
      </c>
      <c r="F141" s="5">
        <v>0</v>
      </c>
      <c r="G141" s="5">
        <v>0</v>
      </c>
      <c r="H141" s="5">
        <v>0</v>
      </c>
      <c r="I141" s="7" t="s">
        <v>58</v>
      </c>
    </row>
    <row r="142" spans="1:9" ht="75" x14ac:dyDescent="0.25">
      <c r="A142" s="1" t="s">
        <v>121</v>
      </c>
      <c r="B142" s="5">
        <v>0.16</v>
      </c>
      <c r="C142" s="5">
        <v>0.15</v>
      </c>
      <c r="D142" s="5">
        <v>0.14000000000000001</v>
      </c>
      <c r="E142" s="5">
        <v>0.14000000000000001</v>
      </c>
      <c r="F142" s="5">
        <v>0.13</v>
      </c>
      <c r="G142" s="5">
        <v>0.12</v>
      </c>
      <c r="H142" s="5">
        <v>0.11</v>
      </c>
      <c r="I142" s="6">
        <v>-6.0538939999999997</v>
      </c>
    </row>
    <row r="143" spans="1:9" ht="75" x14ac:dyDescent="0.25">
      <c r="A143" s="1" t="s">
        <v>122</v>
      </c>
      <c r="B143" s="5">
        <v>0</v>
      </c>
      <c r="C143" s="5">
        <v>0</v>
      </c>
      <c r="D143" s="5">
        <v>0</v>
      </c>
      <c r="E143" s="5">
        <v>0</v>
      </c>
      <c r="F143" s="5">
        <v>0</v>
      </c>
      <c r="G143" s="5">
        <v>0</v>
      </c>
      <c r="H143" s="5">
        <v>0</v>
      </c>
      <c r="I143" s="7" t="s">
        <v>58</v>
      </c>
    </row>
    <row r="144" spans="1:9" ht="60" x14ac:dyDescent="0.25">
      <c r="A144" s="1" t="s">
        <v>123</v>
      </c>
      <c r="B144" s="5">
        <v>0</v>
      </c>
      <c r="C144" s="5">
        <v>0</v>
      </c>
      <c r="D144" s="5">
        <v>0</v>
      </c>
      <c r="E144" s="5">
        <v>0</v>
      </c>
      <c r="F144" s="5">
        <v>0</v>
      </c>
      <c r="G144" s="5">
        <v>0</v>
      </c>
      <c r="H144" s="5">
        <v>0</v>
      </c>
      <c r="I144" s="7" t="s">
        <v>58</v>
      </c>
    </row>
    <row r="145" spans="1:9" ht="60" x14ac:dyDescent="0.25">
      <c r="A145" s="1" t="s">
        <v>124</v>
      </c>
      <c r="B145" s="5">
        <v>0</v>
      </c>
      <c r="C145" s="5">
        <v>0</v>
      </c>
      <c r="D145" s="5">
        <v>0</v>
      </c>
      <c r="E145" s="5">
        <v>0</v>
      </c>
      <c r="F145" s="5">
        <v>0</v>
      </c>
      <c r="G145" s="5">
        <v>0</v>
      </c>
      <c r="H145" s="5">
        <v>0</v>
      </c>
      <c r="I145" s="7" t="s">
        <v>58</v>
      </c>
    </row>
    <row r="146" spans="1:9" ht="60" x14ac:dyDescent="0.25">
      <c r="A146" s="1" t="s">
        <v>125</v>
      </c>
      <c r="B146" s="5">
        <v>99.81</v>
      </c>
      <c r="C146" s="5">
        <v>99.82</v>
      </c>
      <c r="D146" s="5">
        <v>99.83</v>
      </c>
      <c r="E146" s="5">
        <v>99.84</v>
      </c>
      <c r="F146" s="5">
        <v>99.86</v>
      </c>
      <c r="G146" s="5">
        <v>99.87</v>
      </c>
      <c r="H146" s="5">
        <v>99.88</v>
      </c>
      <c r="I146" s="6">
        <v>1.1684999999999999E-2</v>
      </c>
    </row>
    <row r="147" spans="1:9" ht="60" x14ac:dyDescent="0.25">
      <c r="A147" s="1" t="s">
        <v>126</v>
      </c>
      <c r="B147" s="5">
        <v>0</v>
      </c>
      <c r="C147" s="5">
        <v>0</v>
      </c>
      <c r="D147" s="5">
        <v>0</v>
      </c>
      <c r="E147" s="5">
        <v>0</v>
      </c>
      <c r="F147" s="5">
        <v>0</v>
      </c>
      <c r="G147" s="5">
        <v>0</v>
      </c>
      <c r="H147" s="5">
        <v>0</v>
      </c>
      <c r="I147" s="7" t="s">
        <v>58</v>
      </c>
    </row>
    <row r="148" spans="1:9" ht="75" x14ac:dyDescent="0.25">
      <c r="A148" s="1" t="s">
        <v>127</v>
      </c>
      <c r="B148" s="5">
        <v>0.19</v>
      </c>
      <c r="C148" s="5">
        <v>0.18</v>
      </c>
      <c r="D148" s="5">
        <v>0.17</v>
      </c>
      <c r="E148" s="5">
        <v>0.16</v>
      </c>
      <c r="F148" s="5">
        <v>0.14000000000000001</v>
      </c>
      <c r="G148" s="5">
        <v>0.13</v>
      </c>
      <c r="H148" s="5">
        <v>0.12</v>
      </c>
      <c r="I148" s="6">
        <v>-7.3729269999999998</v>
      </c>
    </row>
    <row r="149" spans="1:9" ht="60" x14ac:dyDescent="0.25">
      <c r="A149" s="1" t="s">
        <v>128</v>
      </c>
      <c r="B149" s="5">
        <v>0</v>
      </c>
      <c r="C149" s="5">
        <v>0</v>
      </c>
      <c r="D149" s="5">
        <v>0</v>
      </c>
      <c r="E149" s="5">
        <v>0</v>
      </c>
      <c r="F149" s="5">
        <v>0</v>
      </c>
      <c r="G149" s="5">
        <v>0</v>
      </c>
      <c r="H149" s="5">
        <v>0</v>
      </c>
      <c r="I149" s="7" t="s">
        <v>58</v>
      </c>
    </row>
    <row r="150" spans="1:9" ht="45" x14ac:dyDescent="0.25">
      <c r="A150" s="1" t="s">
        <v>129</v>
      </c>
      <c r="B150" s="7" t="s">
        <v>58</v>
      </c>
      <c r="C150" s="7" t="s">
        <v>58</v>
      </c>
      <c r="D150" s="7" t="s">
        <v>58</v>
      </c>
      <c r="E150" s="7" t="s">
        <v>58</v>
      </c>
      <c r="F150" s="7" t="s">
        <v>58</v>
      </c>
      <c r="G150" s="7" t="s">
        <v>58</v>
      </c>
      <c r="H150" s="7" t="s">
        <v>58</v>
      </c>
      <c r="I150" s="7" t="s">
        <v>58</v>
      </c>
    </row>
    <row r="151" spans="1:9" ht="45" x14ac:dyDescent="0.25">
      <c r="A151" s="1" t="s">
        <v>140</v>
      </c>
      <c r="B151" s="7" t="s">
        <v>58</v>
      </c>
      <c r="C151" s="7" t="s">
        <v>58</v>
      </c>
      <c r="D151" s="7" t="s">
        <v>58</v>
      </c>
      <c r="E151" s="7" t="s">
        <v>58</v>
      </c>
      <c r="F151" s="7" t="s">
        <v>58</v>
      </c>
      <c r="G151" s="7" t="s">
        <v>58</v>
      </c>
      <c r="H151" s="7" t="s">
        <v>58</v>
      </c>
      <c r="I151" s="7" t="s">
        <v>58</v>
      </c>
    </row>
    <row r="152" spans="1:9" ht="45" x14ac:dyDescent="0.25">
      <c r="A152" s="1" t="s">
        <v>141</v>
      </c>
      <c r="B152" s="7" t="s">
        <v>58</v>
      </c>
      <c r="C152" s="7" t="s">
        <v>58</v>
      </c>
      <c r="D152" s="7" t="s">
        <v>58</v>
      </c>
      <c r="E152" s="7" t="s">
        <v>58</v>
      </c>
      <c r="F152" s="7" t="s">
        <v>58</v>
      </c>
      <c r="G152" s="7" t="s">
        <v>58</v>
      </c>
      <c r="H152" s="7" t="s">
        <v>58</v>
      </c>
      <c r="I152" s="7" t="s">
        <v>58</v>
      </c>
    </row>
    <row r="153" spans="1:9" ht="45" x14ac:dyDescent="0.25">
      <c r="A153" s="1" t="s">
        <v>142</v>
      </c>
      <c r="B153" s="7" t="s">
        <v>58</v>
      </c>
      <c r="C153" s="7" t="s">
        <v>58</v>
      </c>
      <c r="D153" s="7" t="s">
        <v>58</v>
      </c>
      <c r="E153" s="7" t="s">
        <v>58</v>
      </c>
      <c r="F153" s="7" t="s">
        <v>58</v>
      </c>
      <c r="G153" s="7" t="s">
        <v>58</v>
      </c>
      <c r="H153" s="7" t="s">
        <v>58</v>
      </c>
      <c r="I153" s="7" t="s">
        <v>58</v>
      </c>
    </row>
    <row r="154" spans="1:9" ht="60" x14ac:dyDescent="0.25">
      <c r="A154" s="1" t="s">
        <v>133</v>
      </c>
      <c r="B154" s="7" t="s">
        <v>58</v>
      </c>
      <c r="C154" s="7" t="s">
        <v>58</v>
      </c>
      <c r="D154" s="7" t="s">
        <v>58</v>
      </c>
      <c r="E154" s="7" t="s">
        <v>58</v>
      </c>
      <c r="F154" s="7" t="s">
        <v>58</v>
      </c>
      <c r="G154" s="7" t="s">
        <v>58</v>
      </c>
      <c r="H154" s="7" t="s">
        <v>58</v>
      </c>
      <c r="I154" s="7" t="s">
        <v>58</v>
      </c>
    </row>
    <row r="155" spans="1:9" ht="60" x14ac:dyDescent="0.25">
      <c r="A155" s="1" t="s">
        <v>134</v>
      </c>
      <c r="B155" s="7" t="s">
        <v>58</v>
      </c>
      <c r="C155" s="7" t="s">
        <v>58</v>
      </c>
      <c r="D155" s="7" t="s">
        <v>58</v>
      </c>
      <c r="E155" s="7" t="s">
        <v>58</v>
      </c>
      <c r="F155" s="7" t="s">
        <v>58</v>
      </c>
      <c r="G155" s="7" t="s">
        <v>58</v>
      </c>
      <c r="H155" s="7" t="s">
        <v>58</v>
      </c>
      <c r="I155" s="7" t="s">
        <v>58</v>
      </c>
    </row>
    <row r="156" spans="1:9" x14ac:dyDescent="0.25">
      <c r="A156" s="1" t="s">
        <v>12</v>
      </c>
      <c r="B156" s="2"/>
      <c r="C156" s="2"/>
      <c r="D156" s="2"/>
      <c r="E156" s="2"/>
      <c r="F156" s="2"/>
      <c r="G156" s="2"/>
      <c r="H156" s="2"/>
      <c r="I156" s="2"/>
    </row>
    <row r="157" spans="1:9" x14ac:dyDescent="0.25">
      <c r="A157" s="8" t="s">
        <v>21</v>
      </c>
      <c r="B157" s="2"/>
      <c r="C157" s="2"/>
      <c r="D157" s="2"/>
      <c r="E157" s="2"/>
      <c r="F157" s="2"/>
      <c r="G157" s="2"/>
      <c r="H157" s="2"/>
      <c r="I157" s="2"/>
    </row>
    <row r="158" spans="1:9" ht="60" x14ac:dyDescent="0.25">
      <c r="A158" s="1" t="s">
        <v>13</v>
      </c>
      <c r="B158" s="5">
        <v>87.73</v>
      </c>
      <c r="C158" s="5">
        <v>88.62</v>
      </c>
      <c r="D158" s="5">
        <v>89.45</v>
      </c>
      <c r="E158" s="5">
        <v>90.33</v>
      </c>
      <c r="F158" s="5">
        <v>91.16</v>
      </c>
      <c r="G158" s="5">
        <v>91.89</v>
      </c>
      <c r="H158" s="5">
        <v>92.63</v>
      </c>
      <c r="I158" s="6">
        <v>0.90993400000000002</v>
      </c>
    </row>
    <row r="159" spans="1:9" ht="60" x14ac:dyDescent="0.25">
      <c r="A159" s="1" t="s">
        <v>117</v>
      </c>
      <c r="B159" s="5">
        <v>48.8</v>
      </c>
      <c r="C159" s="5">
        <v>49</v>
      </c>
      <c r="D159" s="5">
        <v>49.04</v>
      </c>
      <c r="E159" s="5">
        <v>49.07</v>
      </c>
      <c r="F159" s="5">
        <v>49.09</v>
      </c>
      <c r="G159" s="5">
        <v>49.07</v>
      </c>
      <c r="H159" s="5">
        <v>49.03</v>
      </c>
      <c r="I159" s="6">
        <v>7.8397999999999995E-2</v>
      </c>
    </row>
    <row r="160" spans="1:9" ht="60" x14ac:dyDescent="0.25">
      <c r="A160" s="1" t="s">
        <v>118</v>
      </c>
      <c r="B160" s="5">
        <v>24.57</v>
      </c>
      <c r="C160" s="5">
        <v>19.21</v>
      </c>
      <c r="D160" s="5">
        <v>13.88</v>
      </c>
      <c r="E160" s="5">
        <v>10.35</v>
      </c>
      <c r="F160" s="5">
        <v>6.87</v>
      </c>
      <c r="G160" s="5">
        <v>3.43</v>
      </c>
      <c r="H160" s="5">
        <v>1.37</v>
      </c>
      <c r="I160" s="6">
        <v>-38.190879000000002</v>
      </c>
    </row>
    <row r="161" spans="1:9" ht="60" x14ac:dyDescent="0.25">
      <c r="A161" s="1" t="s">
        <v>119</v>
      </c>
      <c r="B161" s="5">
        <v>14.09</v>
      </c>
      <c r="C161" s="5">
        <v>20.14</v>
      </c>
      <c r="D161" s="5">
        <v>26.26</v>
      </c>
      <c r="E161" s="5">
        <v>30.65</v>
      </c>
      <c r="F161" s="5">
        <v>34.92</v>
      </c>
      <c r="G161" s="5">
        <v>39.11</v>
      </c>
      <c r="H161" s="5">
        <v>41.95</v>
      </c>
      <c r="I161" s="6">
        <v>19.941689</v>
      </c>
    </row>
    <row r="162" spans="1:9" ht="60" x14ac:dyDescent="0.25">
      <c r="A162" s="1" t="s">
        <v>120</v>
      </c>
      <c r="B162" s="7" t="s">
        <v>58</v>
      </c>
      <c r="C162" s="7" t="s">
        <v>58</v>
      </c>
      <c r="D162" s="7" t="s">
        <v>58</v>
      </c>
      <c r="E162" s="7" t="s">
        <v>58</v>
      </c>
      <c r="F162" s="7" t="s">
        <v>58</v>
      </c>
      <c r="G162" s="7" t="s">
        <v>58</v>
      </c>
      <c r="H162" s="7" t="s">
        <v>58</v>
      </c>
      <c r="I162" s="7" t="s">
        <v>58</v>
      </c>
    </row>
    <row r="163" spans="1:9" ht="75" x14ac:dyDescent="0.25">
      <c r="A163" s="1" t="s">
        <v>121</v>
      </c>
      <c r="B163" s="5">
        <v>0.27</v>
      </c>
      <c r="C163" s="5">
        <v>0.27</v>
      </c>
      <c r="D163" s="5">
        <v>0.27</v>
      </c>
      <c r="E163" s="5">
        <v>0.27</v>
      </c>
      <c r="F163" s="5">
        <v>0.28000000000000003</v>
      </c>
      <c r="G163" s="5">
        <v>0.28000000000000003</v>
      </c>
      <c r="H163" s="5">
        <v>0.28000000000000003</v>
      </c>
      <c r="I163" s="6">
        <v>0.60796799999999995</v>
      </c>
    </row>
    <row r="164" spans="1:9" ht="75" x14ac:dyDescent="0.25">
      <c r="A164" s="1" t="s">
        <v>122</v>
      </c>
      <c r="B164" s="7" t="s">
        <v>58</v>
      </c>
      <c r="C164" s="7" t="s">
        <v>58</v>
      </c>
      <c r="D164" s="7" t="s">
        <v>58</v>
      </c>
      <c r="E164" s="7" t="s">
        <v>58</v>
      </c>
      <c r="F164" s="7" t="s">
        <v>58</v>
      </c>
      <c r="G164" s="7" t="s">
        <v>58</v>
      </c>
      <c r="H164" s="7" t="s">
        <v>58</v>
      </c>
      <c r="I164" s="7" t="s">
        <v>58</v>
      </c>
    </row>
    <row r="165" spans="1:9" ht="60" x14ac:dyDescent="0.25">
      <c r="A165" s="1" t="s">
        <v>123</v>
      </c>
      <c r="B165" s="5">
        <v>55.63</v>
      </c>
      <c r="C165" s="5">
        <v>55.29</v>
      </c>
      <c r="D165" s="5">
        <v>54.83</v>
      </c>
      <c r="E165" s="5">
        <v>54.32</v>
      </c>
      <c r="F165" s="5">
        <v>53.85</v>
      </c>
      <c r="G165" s="5">
        <v>53.4</v>
      </c>
      <c r="H165" s="5">
        <v>52.93</v>
      </c>
      <c r="I165" s="6">
        <v>-0.82577699999999998</v>
      </c>
    </row>
    <row r="166" spans="1:9" ht="60" x14ac:dyDescent="0.25">
      <c r="A166" s="1" t="s">
        <v>124</v>
      </c>
      <c r="B166" s="5">
        <v>28</v>
      </c>
      <c r="C166" s="5">
        <v>21.68</v>
      </c>
      <c r="D166" s="5">
        <v>15.51</v>
      </c>
      <c r="E166" s="5">
        <v>11.45</v>
      </c>
      <c r="F166" s="5">
        <v>7.53</v>
      </c>
      <c r="G166" s="5">
        <v>3.73</v>
      </c>
      <c r="H166" s="5">
        <v>1.48</v>
      </c>
      <c r="I166" s="6">
        <v>-38.739018999999999</v>
      </c>
    </row>
    <row r="167" spans="1:9" ht="60" x14ac:dyDescent="0.25">
      <c r="A167" s="1" t="s">
        <v>125</v>
      </c>
      <c r="B167" s="5">
        <v>16.059999999999999</v>
      </c>
      <c r="C167" s="5">
        <v>22.72</v>
      </c>
      <c r="D167" s="5">
        <v>29.35</v>
      </c>
      <c r="E167" s="5">
        <v>33.93</v>
      </c>
      <c r="F167" s="5">
        <v>38.31</v>
      </c>
      <c r="G167" s="5">
        <v>42.56</v>
      </c>
      <c r="H167" s="5">
        <v>45.29</v>
      </c>
      <c r="I167" s="6">
        <v>18.861934999999999</v>
      </c>
    </row>
    <row r="168" spans="1:9" ht="60" x14ac:dyDescent="0.25">
      <c r="A168" s="1" t="s">
        <v>126</v>
      </c>
      <c r="B168" s="7" t="s">
        <v>58</v>
      </c>
      <c r="C168" s="7" t="s">
        <v>58</v>
      </c>
      <c r="D168" s="7" t="s">
        <v>58</v>
      </c>
      <c r="E168" s="7" t="s">
        <v>58</v>
      </c>
      <c r="F168" s="7" t="s">
        <v>58</v>
      </c>
      <c r="G168" s="7" t="s">
        <v>58</v>
      </c>
      <c r="H168" s="7" t="s">
        <v>58</v>
      </c>
      <c r="I168" s="7" t="s">
        <v>58</v>
      </c>
    </row>
    <row r="169" spans="1:9" ht="75" x14ac:dyDescent="0.25">
      <c r="A169" s="1" t="s">
        <v>127</v>
      </c>
      <c r="B169" s="5">
        <v>0.3</v>
      </c>
      <c r="C169" s="5">
        <v>0.3</v>
      </c>
      <c r="D169" s="5">
        <v>0.3</v>
      </c>
      <c r="E169" s="5">
        <v>0.3</v>
      </c>
      <c r="F169" s="5">
        <v>0.3</v>
      </c>
      <c r="G169" s="5">
        <v>0.3</v>
      </c>
      <c r="H169" s="5">
        <v>0.3</v>
      </c>
      <c r="I169" s="6">
        <v>0</v>
      </c>
    </row>
    <row r="170" spans="1:9" ht="60" x14ac:dyDescent="0.25">
      <c r="A170" s="1" t="s">
        <v>128</v>
      </c>
      <c r="B170" s="7" t="s">
        <v>58</v>
      </c>
      <c r="C170" s="7" t="s">
        <v>58</v>
      </c>
      <c r="D170" s="7" t="s">
        <v>58</v>
      </c>
      <c r="E170" s="7" t="s">
        <v>58</v>
      </c>
      <c r="F170" s="7" t="s">
        <v>58</v>
      </c>
      <c r="G170" s="7" t="s">
        <v>58</v>
      </c>
      <c r="H170" s="7" t="s">
        <v>58</v>
      </c>
      <c r="I170" s="7" t="s">
        <v>58</v>
      </c>
    </row>
    <row r="171" spans="1:9" ht="45" x14ac:dyDescent="0.25">
      <c r="A171" s="1" t="s">
        <v>129</v>
      </c>
      <c r="B171" s="5">
        <v>40.340000000000003</v>
      </c>
      <c r="C171" s="5">
        <v>41.71</v>
      </c>
      <c r="D171" s="5">
        <v>43.41</v>
      </c>
      <c r="E171" s="5">
        <v>44.96</v>
      </c>
      <c r="F171" s="5">
        <v>46.49</v>
      </c>
      <c r="G171" s="5">
        <v>48.01</v>
      </c>
      <c r="H171" s="5">
        <v>49.36</v>
      </c>
      <c r="I171" s="6">
        <v>3.4204785114914316</v>
      </c>
    </row>
    <row r="172" spans="1:9" ht="45" x14ac:dyDescent="0.25">
      <c r="A172" s="1" t="s">
        <v>140</v>
      </c>
      <c r="B172" s="5">
        <v>40.01</v>
      </c>
      <c r="C172" s="5">
        <v>40.81</v>
      </c>
      <c r="D172" s="5">
        <v>41.5</v>
      </c>
      <c r="E172" s="5">
        <v>42.25</v>
      </c>
      <c r="F172" s="5">
        <v>42.99</v>
      </c>
      <c r="G172" s="5">
        <v>43.71</v>
      </c>
      <c r="H172" s="5">
        <v>44.43</v>
      </c>
      <c r="I172" s="6">
        <v>1.7617640000000001</v>
      </c>
    </row>
    <row r="173" spans="1:9" ht="45" x14ac:dyDescent="0.25">
      <c r="A173" s="1" t="s">
        <v>141</v>
      </c>
      <c r="B173" s="5">
        <v>34.71</v>
      </c>
      <c r="C173" s="5">
        <v>33.31</v>
      </c>
      <c r="D173" s="5">
        <v>33.04</v>
      </c>
      <c r="E173" s="5">
        <v>34.799999999999997</v>
      </c>
      <c r="F173" s="5">
        <v>33.630000000000003</v>
      </c>
      <c r="G173" s="5">
        <v>29.09</v>
      </c>
      <c r="H173" s="5">
        <v>25.82</v>
      </c>
      <c r="I173" s="6">
        <v>-4.811693</v>
      </c>
    </row>
    <row r="174" spans="1:9" ht="45" x14ac:dyDescent="0.25">
      <c r="A174" s="1" t="s">
        <v>142</v>
      </c>
      <c r="B174" s="5">
        <v>54.48</v>
      </c>
      <c r="C174" s="5">
        <v>55.24</v>
      </c>
      <c r="D174" s="5">
        <v>55.01</v>
      </c>
      <c r="E174" s="5">
        <v>54.13</v>
      </c>
      <c r="F174" s="5">
        <v>55.25</v>
      </c>
      <c r="G174" s="5">
        <v>56.49</v>
      </c>
      <c r="H174" s="5">
        <v>56.86</v>
      </c>
      <c r="I174" s="6">
        <v>0.71518599999999999</v>
      </c>
    </row>
    <row r="175" spans="1:9" ht="60" x14ac:dyDescent="0.25">
      <c r="A175" s="1" t="s">
        <v>133</v>
      </c>
      <c r="B175" s="5">
        <v>0</v>
      </c>
      <c r="C175" s="5">
        <v>0</v>
      </c>
      <c r="D175" s="5">
        <v>0</v>
      </c>
      <c r="E175" s="5">
        <v>0</v>
      </c>
      <c r="F175" s="5">
        <v>0</v>
      </c>
      <c r="G175" s="5">
        <v>0</v>
      </c>
      <c r="H175" s="5">
        <v>0</v>
      </c>
      <c r="I175" s="7" t="s">
        <v>58</v>
      </c>
    </row>
    <row r="176" spans="1:9" ht="60" x14ac:dyDescent="0.25">
      <c r="A176" s="1" t="s">
        <v>134</v>
      </c>
      <c r="B176" s="5">
        <v>28.18</v>
      </c>
      <c r="C176" s="5">
        <v>28.39</v>
      </c>
      <c r="D176" s="5">
        <v>28.44</v>
      </c>
      <c r="E176" s="5">
        <v>28.66</v>
      </c>
      <c r="F176" s="5">
        <v>28.76</v>
      </c>
      <c r="G176" s="5">
        <v>28.87</v>
      </c>
      <c r="H176" s="5">
        <v>28.97</v>
      </c>
      <c r="I176" s="6">
        <v>0.461868</v>
      </c>
    </row>
    <row r="177" spans="1:9" x14ac:dyDescent="0.25">
      <c r="A177" s="1" t="s">
        <v>12</v>
      </c>
      <c r="B177" s="2"/>
      <c r="C177" s="2"/>
      <c r="D177" s="2"/>
      <c r="E177" s="2"/>
      <c r="F177" s="2"/>
      <c r="G177" s="2"/>
      <c r="H177" s="2"/>
      <c r="I177" s="2"/>
    </row>
    <row r="178" spans="1:9" x14ac:dyDescent="0.25">
      <c r="A178" s="8" t="s">
        <v>22</v>
      </c>
      <c r="B178" s="2"/>
      <c r="C178" s="2"/>
      <c r="D178" s="2"/>
      <c r="E178" s="2"/>
      <c r="F178" s="2"/>
      <c r="G178" s="2"/>
      <c r="H178" s="2"/>
      <c r="I178" s="2"/>
    </row>
    <row r="179" spans="1:9" ht="60" x14ac:dyDescent="0.25">
      <c r="A179" s="1" t="s">
        <v>13</v>
      </c>
      <c r="B179" s="5">
        <v>33.96</v>
      </c>
      <c r="C179" s="5">
        <v>35.56</v>
      </c>
      <c r="D179" s="5">
        <v>37.15</v>
      </c>
      <c r="E179" s="5">
        <v>38.71</v>
      </c>
      <c r="F179" s="5">
        <v>40.11</v>
      </c>
      <c r="G179" s="5">
        <v>41.46</v>
      </c>
      <c r="H179" s="5">
        <v>42.77</v>
      </c>
      <c r="I179" s="6">
        <v>3.9190719999999999</v>
      </c>
    </row>
    <row r="180" spans="1:9" ht="60" x14ac:dyDescent="0.25">
      <c r="A180" s="1" t="s">
        <v>117</v>
      </c>
      <c r="B180" s="5">
        <v>2.67</v>
      </c>
      <c r="C180" s="5">
        <v>2.78</v>
      </c>
      <c r="D180" s="5">
        <v>2.9</v>
      </c>
      <c r="E180" s="5">
        <v>3</v>
      </c>
      <c r="F180" s="5">
        <v>3.1</v>
      </c>
      <c r="G180" s="5">
        <v>3.2</v>
      </c>
      <c r="H180" s="5">
        <v>3.29</v>
      </c>
      <c r="I180" s="6">
        <v>3.541417</v>
      </c>
    </row>
    <row r="181" spans="1:9" ht="60" x14ac:dyDescent="0.25">
      <c r="A181" s="1" t="s">
        <v>118</v>
      </c>
      <c r="B181" s="5">
        <v>1.92</v>
      </c>
      <c r="C181" s="5">
        <v>1.77</v>
      </c>
      <c r="D181" s="5">
        <v>1.65</v>
      </c>
      <c r="E181" s="5">
        <v>1.55</v>
      </c>
      <c r="F181" s="5">
        <v>1.46</v>
      </c>
      <c r="G181" s="5">
        <v>1.38</v>
      </c>
      <c r="H181" s="5">
        <v>1.31</v>
      </c>
      <c r="I181" s="6">
        <v>-6.1728889999999996</v>
      </c>
    </row>
    <row r="182" spans="1:9" ht="60" x14ac:dyDescent="0.25">
      <c r="A182" s="1" t="s">
        <v>119</v>
      </c>
      <c r="B182" s="5">
        <v>25.04</v>
      </c>
      <c r="C182" s="5">
        <v>26.53</v>
      </c>
      <c r="D182" s="5">
        <v>28.04</v>
      </c>
      <c r="E182" s="5">
        <v>29.54</v>
      </c>
      <c r="F182" s="5">
        <v>30.91</v>
      </c>
      <c r="G182" s="5">
        <v>32.229999999999997</v>
      </c>
      <c r="H182" s="5">
        <v>33.520000000000003</v>
      </c>
      <c r="I182" s="6">
        <v>4.9812200000000004</v>
      </c>
    </row>
    <row r="183" spans="1:9" ht="60" x14ac:dyDescent="0.25">
      <c r="A183" s="1" t="s">
        <v>120</v>
      </c>
      <c r="B183" s="5">
        <v>0.08</v>
      </c>
      <c r="C183" s="5">
        <v>0.08</v>
      </c>
      <c r="D183" s="5">
        <v>0.08</v>
      </c>
      <c r="E183" s="5">
        <v>0.08</v>
      </c>
      <c r="F183" s="5">
        <v>0.08</v>
      </c>
      <c r="G183" s="5">
        <v>7.0000000000000007E-2</v>
      </c>
      <c r="H183" s="5">
        <v>7.0000000000000007E-2</v>
      </c>
      <c r="I183" s="6">
        <v>-2.2009409999999998</v>
      </c>
    </row>
    <row r="184" spans="1:9" ht="75" x14ac:dyDescent="0.25">
      <c r="A184" s="1" t="s">
        <v>121</v>
      </c>
      <c r="B184" s="5">
        <v>4.22</v>
      </c>
      <c r="C184" s="5">
        <v>4.3600000000000003</v>
      </c>
      <c r="D184" s="5">
        <v>4.45</v>
      </c>
      <c r="E184" s="5">
        <v>4.51</v>
      </c>
      <c r="F184" s="5">
        <v>4.53</v>
      </c>
      <c r="G184" s="5">
        <v>4.54</v>
      </c>
      <c r="H184" s="5">
        <v>4.54</v>
      </c>
      <c r="I184" s="6">
        <v>1.2256480000000001</v>
      </c>
    </row>
    <row r="185" spans="1:9" ht="75" x14ac:dyDescent="0.25">
      <c r="A185" s="1" t="s">
        <v>122</v>
      </c>
      <c r="B185" s="5">
        <v>0.03</v>
      </c>
      <c r="C185" s="5">
        <v>0.03</v>
      </c>
      <c r="D185" s="5">
        <v>0.04</v>
      </c>
      <c r="E185" s="5">
        <v>0.04</v>
      </c>
      <c r="F185" s="5">
        <v>0.04</v>
      </c>
      <c r="G185" s="5">
        <v>0.04</v>
      </c>
      <c r="H185" s="5">
        <v>0.04</v>
      </c>
      <c r="I185" s="6">
        <v>4.9115060000000001</v>
      </c>
    </row>
    <row r="186" spans="1:9" ht="60" x14ac:dyDescent="0.25">
      <c r="A186" s="1" t="s">
        <v>123</v>
      </c>
      <c r="B186" s="5">
        <v>7.86</v>
      </c>
      <c r="C186" s="5">
        <v>7.83</v>
      </c>
      <c r="D186" s="5">
        <v>7.79</v>
      </c>
      <c r="E186" s="5">
        <v>7.75</v>
      </c>
      <c r="F186" s="5">
        <v>7.74</v>
      </c>
      <c r="G186" s="5">
        <v>7.72</v>
      </c>
      <c r="H186" s="5">
        <v>7.7</v>
      </c>
      <c r="I186" s="6">
        <v>-0.34218500000000002</v>
      </c>
    </row>
    <row r="187" spans="1:9" ht="60" x14ac:dyDescent="0.25">
      <c r="A187" s="1" t="s">
        <v>124</v>
      </c>
      <c r="B187" s="5">
        <v>5.64</v>
      </c>
      <c r="C187" s="5">
        <v>4.99</v>
      </c>
      <c r="D187" s="5">
        <v>4.45</v>
      </c>
      <c r="E187" s="5">
        <v>4</v>
      </c>
      <c r="F187" s="5">
        <v>3.63</v>
      </c>
      <c r="G187" s="5">
        <v>3.32</v>
      </c>
      <c r="H187" s="5">
        <v>3.05</v>
      </c>
      <c r="I187" s="6">
        <v>-9.7383109999999995</v>
      </c>
    </row>
    <row r="188" spans="1:9" ht="60" x14ac:dyDescent="0.25">
      <c r="A188" s="1" t="s">
        <v>125</v>
      </c>
      <c r="B188" s="5">
        <v>73.72</v>
      </c>
      <c r="C188" s="5">
        <v>74.61</v>
      </c>
      <c r="D188" s="5">
        <v>75.48</v>
      </c>
      <c r="E188" s="5">
        <v>76.31</v>
      </c>
      <c r="F188" s="5">
        <v>77.040000000000006</v>
      </c>
      <c r="G188" s="5">
        <v>77.739999999999995</v>
      </c>
      <c r="H188" s="5">
        <v>78.38</v>
      </c>
      <c r="I188" s="6">
        <v>1.0268139999999999</v>
      </c>
    </row>
    <row r="189" spans="1:9" ht="60" x14ac:dyDescent="0.25">
      <c r="A189" s="1" t="s">
        <v>126</v>
      </c>
      <c r="B189" s="5">
        <v>0.24</v>
      </c>
      <c r="C189" s="5">
        <v>0.22</v>
      </c>
      <c r="D189" s="5">
        <v>0.21</v>
      </c>
      <c r="E189" s="5">
        <v>0.2</v>
      </c>
      <c r="F189" s="5">
        <v>0.19</v>
      </c>
      <c r="G189" s="5">
        <v>0.18</v>
      </c>
      <c r="H189" s="5">
        <v>0.17</v>
      </c>
      <c r="I189" s="6">
        <v>-5.5853010000000003</v>
      </c>
    </row>
    <row r="190" spans="1:9" ht="75" x14ac:dyDescent="0.25">
      <c r="A190" s="1" t="s">
        <v>127</v>
      </c>
      <c r="B190" s="5">
        <v>12.44</v>
      </c>
      <c r="C190" s="5">
        <v>12.25</v>
      </c>
      <c r="D190" s="5">
        <v>11.98</v>
      </c>
      <c r="E190" s="5">
        <v>11.64</v>
      </c>
      <c r="F190" s="5">
        <v>11.3</v>
      </c>
      <c r="G190" s="5">
        <v>10.95</v>
      </c>
      <c r="H190" s="5">
        <v>10.61</v>
      </c>
      <c r="I190" s="6">
        <v>-2.6171449999999998</v>
      </c>
    </row>
    <row r="191" spans="1:9" ht="60" x14ac:dyDescent="0.25">
      <c r="A191" s="1" t="s">
        <v>128</v>
      </c>
      <c r="B191" s="5">
        <v>0.1</v>
      </c>
      <c r="C191" s="5">
        <v>0.1</v>
      </c>
      <c r="D191" s="5">
        <v>0.1</v>
      </c>
      <c r="E191" s="5">
        <v>0.09</v>
      </c>
      <c r="F191" s="5">
        <v>0.09</v>
      </c>
      <c r="G191" s="5">
        <v>0.09</v>
      </c>
      <c r="H191" s="5">
        <v>0.09</v>
      </c>
      <c r="I191" s="6">
        <v>-1.7406809999999999</v>
      </c>
    </row>
    <row r="192" spans="1:9" ht="45" x14ac:dyDescent="0.25">
      <c r="A192" s="1" t="s">
        <v>129</v>
      </c>
      <c r="B192" s="7" t="s">
        <v>58</v>
      </c>
      <c r="C192" s="7" t="s">
        <v>58</v>
      </c>
      <c r="D192" s="7" t="s">
        <v>58</v>
      </c>
      <c r="E192" s="7" t="s">
        <v>58</v>
      </c>
      <c r="F192" s="7" t="s">
        <v>58</v>
      </c>
      <c r="G192" s="7" t="s">
        <v>58</v>
      </c>
      <c r="H192" s="7" t="s">
        <v>58</v>
      </c>
      <c r="I192" s="7" t="s">
        <v>58</v>
      </c>
    </row>
    <row r="193" spans="1:9" ht="45" x14ac:dyDescent="0.25">
      <c r="A193" s="1" t="s">
        <v>140</v>
      </c>
      <c r="B193" s="7" t="s">
        <v>58</v>
      </c>
      <c r="C193" s="7" t="s">
        <v>58</v>
      </c>
      <c r="D193" s="7" t="s">
        <v>58</v>
      </c>
      <c r="E193" s="7" t="s">
        <v>58</v>
      </c>
      <c r="F193" s="7" t="s">
        <v>58</v>
      </c>
      <c r="G193" s="7" t="s">
        <v>58</v>
      </c>
      <c r="H193" s="7" t="s">
        <v>58</v>
      </c>
      <c r="I193" s="7" t="s">
        <v>58</v>
      </c>
    </row>
    <row r="194" spans="1:9" ht="45" x14ac:dyDescent="0.25">
      <c r="A194" s="1" t="s">
        <v>141</v>
      </c>
      <c r="B194" s="7" t="s">
        <v>58</v>
      </c>
      <c r="C194" s="7" t="s">
        <v>58</v>
      </c>
      <c r="D194" s="7" t="s">
        <v>58</v>
      </c>
      <c r="E194" s="7" t="s">
        <v>58</v>
      </c>
      <c r="F194" s="7" t="s">
        <v>58</v>
      </c>
      <c r="G194" s="7" t="s">
        <v>58</v>
      </c>
      <c r="H194" s="7" t="s">
        <v>58</v>
      </c>
      <c r="I194" s="7" t="s">
        <v>58</v>
      </c>
    </row>
    <row r="195" spans="1:9" ht="45" x14ac:dyDescent="0.25">
      <c r="A195" s="1" t="s">
        <v>142</v>
      </c>
      <c r="B195" s="7" t="s">
        <v>58</v>
      </c>
      <c r="C195" s="7" t="s">
        <v>58</v>
      </c>
      <c r="D195" s="7" t="s">
        <v>58</v>
      </c>
      <c r="E195" s="7" t="s">
        <v>58</v>
      </c>
      <c r="F195" s="7" t="s">
        <v>58</v>
      </c>
      <c r="G195" s="7" t="s">
        <v>58</v>
      </c>
      <c r="H195" s="7" t="s">
        <v>58</v>
      </c>
      <c r="I195" s="7" t="s">
        <v>58</v>
      </c>
    </row>
    <row r="196" spans="1:9" ht="60" x14ac:dyDescent="0.25">
      <c r="A196" s="1" t="s">
        <v>133</v>
      </c>
      <c r="B196" s="7" t="s">
        <v>58</v>
      </c>
      <c r="C196" s="7" t="s">
        <v>58</v>
      </c>
      <c r="D196" s="7" t="s">
        <v>58</v>
      </c>
      <c r="E196" s="7" t="s">
        <v>58</v>
      </c>
      <c r="F196" s="7" t="s">
        <v>58</v>
      </c>
      <c r="G196" s="7" t="s">
        <v>58</v>
      </c>
      <c r="H196" s="7" t="s">
        <v>58</v>
      </c>
      <c r="I196" s="7" t="s">
        <v>58</v>
      </c>
    </row>
    <row r="197" spans="1:9" ht="60" x14ac:dyDescent="0.25">
      <c r="A197" s="1" t="s">
        <v>134</v>
      </c>
      <c r="B197" s="7" t="s">
        <v>58</v>
      </c>
      <c r="C197" s="7" t="s">
        <v>58</v>
      </c>
      <c r="D197" s="7" t="s">
        <v>58</v>
      </c>
      <c r="E197" s="7" t="s">
        <v>58</v>
      </c>
      <c r="F197" s="7" t="s">
        <v>58</v>
      </c>
      <c r="G197" s="7" t="s">
        <v>58</v>
      </c>
      <c r="H197" s="7" t="s">
        <v>58</v>
      </c>
      <c r="I197" s="7" t="s">
        <v>58</v>
      </c>
    </row>
    <row r="198" spans="1:9" x14ac:dyDescent="0.25">
      <c r="A198" s="1" t="s">
        <v>12</v>
      </c>
      <c r="B198" s="2"/>
      <c r="C198" s="2"/>
      <c r="D198" s="2"/>
      <c r="E198" s="2"/>
      <c r="F198" s="2"/>
      <c r="G198" s="2"/>
      <c r="H198" s="2"/>
      <c r="I198" s="2"/>
    </row>
    <row r="199" spans="1:9" x14ac:dyDescent="0.25">
      <c r="A199" s="8" t="s">
        <v>23</v>
      </c>
      <c r="B199" s="2"/>
      <c r="C199" s="2"/>
      <c r="D199" s="2"/>
      <c r="E199" s="2"/>
      <c r="F199" s="2"/>
      <c r="G199" s="2"/>
      <c r="H199" s="2"/>
      <c r="I199" s="2"/>
    </row>
    <row r="200" spans="1:9" ht="60" x14ac:dyDescent="0.25">
      <c r="A200" s="1" t="s">
        <v>13</v>
      </c>
      <c r="B200" s="5">
        <v>61.31</v>
      </c>
      <c r="C200" s="5">
        <v>63.67</v>
      </c>
      <c r="D200" s="5">
        <v>65.84</v>
      </c>
      <c r="E200" s="5">
        <v>67.48</v>
      </c>
      <c r="F200" s="5">
        <v>68.58</v>
      </c>
      <c r="G200" s="5">
        <v>69.38</v>
      </c>
      <c r="H200" s="5">
        <v>69.739999999999995</v>
      </c>
      <c r="I200" s="6">
        <v>2.1704029999999999</v>
      </c>
    </row>
    <row r="201" spans="1:9" ht="60" x14ac:dyDescent="0.25">
      <c r="A201" s="1" t="s">
        <v>117</v>
      </c>
      <c r="B201" s="5">
        <v>10.53</v>
      </c>
      <c r="C201" s="5">
        <v>10.220000000000001</v>
      </c>
      <c r="D201" s="5">
        <v>9.86</v>
      </c>
      <c r="E201" s="5">
        <v>9.48</v>
      </c>
      <c r="F201" s="5">
        <v>9.06</v>
      </c>
      <c r="G201" s="5">
        <v>8.6199999999999992</v>
      </c>
      <c r="H201" s="5">
        <v>8.16</v>
      </c>
      <c r="I201" s="6">
        <v>-4.1607000000000003</v>
      </c>
    </row>
    <row r="202" spans="1:9" ht="60" x14ac:dyDescent="0.25">
      <c r="A202" s="1" t="s">
        <v>118</v>
      </c>
      <c r="B202" s="5">
        <v>0.9</v>
      </c>
      <c r="C202" s="5">
        <v>0.21</v>
      </c>
      <c r="D202" s="5">
        <v>7.0000000000000007E-2</v>
      </c>
      <c r="E202" s="5">
        <v>0.03</v>
      </c>
      <c r="F202" s="5">
        <v>0.01</v>
      </c>
      <c r="G202" s="5">
        <v>0</v>
      </c>
      <c r="H202" s="5">
        <v>0</v>
      </c>
      <c r="I202" s="6">
        <v>-100</v>
      </c>
    </row>
    <row r="203" spans="1:9" ht="60" x14ac:dyDescent="0.25">
      <c r="A203" s="1" t="s">
        <v>119</v>
      </c>
      <c r="B203" s="5">
        <v>48.06</v>
      </c>
      <c r="C203" s="5">
        <v>51.57</v>
      </c>
      <c r="D203" s="5">
        <v>54.33</v>
      </c>
      <c r="E203" s="5">
        <v>56.47</v>
      </c>
      <c r="F203" s="5">
        <v>58.08</v>
      </c>
      <c r="G203" s="5">
        <v>59.38</v>
      </c>
      <c r="H203" s="5">
        <v>60.25</v>
      </c>
      <c r="I203" s="6">
        <v>3.8394110000000001</v>
      </c>
    </row>
    <row r="204" spans="1:9" ht="60" x14ac:dyDescent="0.25">
      <c r="A204" s="1" t="s">
        <v>120</v>
      </c>
      <c r="B204" s="5">
        <v>0.3</v>
      </c>
      <c r="C204" s="5">
        <v>0.28999999999999998</v>
      </c>
      <c r="D204" s="5">
        <v>0.3</v>
      </c>
      <c r="E204" s="5">
        <v>0.31</v>
      </c>
      <c r="F204" s="5">
        <v>0.31</v>
      </c>
      <c r="G204" s="5">
        <v>0.31</v>
      </c>
      <c r="H204" s="5">
        <v>0.31</v>
      </c>
      <c r="I204" s="6">
        <v>0.54799299999999995</v>
      </c>
    </row>
    <row r="205" spans="1:9" ht="75" x14ac:dyDescent="0.25">
      <c r="A205" s="1" t="s">
        <v>121</v>
      </c>
      <c r="B205" s="5">
        <v>1.52</v>
      </c>
      <c r="C205" s="5">
        <v>1.37</v>
      </c>
      <c r="D205" s="5">
        <v>1.27</v>
      </c>
      <c r="E205" s="5">
        <v>1.19</v>
      </c>
      <c r="F205" s="5">
        <v>1.1200000000000001</v>
      </c>
      <c r="G205" s="5">
        <v>1.07</v>
      </c>
      <c r="H205" s="5">
        <v>1.02</v>
      </c>
      <c r="I205" s="6">
        <v>-6.4322689999999998</v>
      </c>
    </row>
    <row r="206" spans="1:9" ht="75" x14ac:dyDescent="0.25">
      <c r="A206" s="1" t="s">
        <v>122</v>
      </c>
      <c r="B206" s="5">
        <v>0</v>
      </c>
      <c r="C206" s="5">
        <v>0</v>
      </c>
      <c r="D206" s="5">
        <v>0</v>
      </c>
      <c r="E206" s="5">
        <v>0</v>
      </c>
      <c r="F206" s="5">
        <v>0</v>
      </c>
      <c r="G206" s="5">
        <v>0</v>
      </c>
      <c r="H206" s="5">
        <v>0</v>
      </c>
      <c r="I206" s="7" t="s">
        <v>58</v>
      </c>
    </row>
    <row r="207" spans="1:9" ht="60" x14ac:dyDescent="0.25">
      <c r="A207" s="1" t="s">
        <v>123</v>
      </c>
      <c r="B207" s="5">
        <v>17.170000000000002</v>
      </c>
      <c r="C207" s="5">
        <v>16.05</v>
      </c>
      <c r="D207" s="5">
        <v>14.98</v>
      </c>
      <c r="E207" s="5">
        <v>14.05</v>
      </c>
      <c r="F207" s="5">
        <v>13.21</v>
      </c>
      <c r="G207" s="5">
        <v>12.42</v>
      </c>
      <c r="H207" s="5">
        <v>11.7</v>
      </c>
      <c r="I207" s="6">
        <v>-6.1928530000000004</v>
      </c>
    </row>
    <row r="208" spans="1:9" ht="60" x14ac:dyDescent="0.25">
      <c r="A208" s="1" t="s">
        <v>124</v>
      </c>
      <c r="B208" s="5">
        <v>1.46</v>
      </c>
      <c r="C208" s="5">
        <v>0.34</v>
      </c>
      <c r="D208" s="5">
        <v>0.11</v>
      </c>
      <c r="E208" s="5">
        <v>0.05</v>
      </c>
      <c r="F208" s="5">
        <v>0.01</v>
      </c>
      <c r="G208" s="5">
        <v>0</v>
      </c>
      <c r="H208" s="5">
        <v>0</v>
      </c>
      <c r="I208" s="6">
        <v>-100</v>
      </c>
    </row>
    <row r="209" spans="1:9" ht="60" x14ac:dyDescent="0.25">
      <c r="A209" s="1" t="s">
        <v>125</v>
      </c>
      <c r="B209" s="5">
        <v>78.39</v>
      </c>
      <c r="C209" s="5">
        <v>81</v>
      </c>
      <c r="D209" s="5">
        <v>82.52</v>
      </c>
      <c r="E209" s="5">
        <v>83.69</v>
      </c>
      <c r="F209" s="5">
        <v>84.69</v>
      </c>
      <c r="G209" s="5">
        <v>85.59</v>
      </c>
      <c r="H209" s="5">
        <v>86.39</v>
      </c>
      <c r="I209" s="6">
        <v>1.632779</v>
      </c>
    </row>
    <row r="210" spans="1:9" ht="60" x14ac:dyDescent="0.25">
      <c r="A210" s="1" t="s">
        <v>126</v>
      </c>
      <c r="B210" s="5">
        <v>0.49</v>
      </c>
      <c r="C210" s="5">
        <v>0.46</v>
      </c>
      <c r="D210" s="5">
        <v>0.46</v>
      </c>
      <c r="E210" s="5">
        <v>0.46</v>
      </c>
      <c r="F210" s="5">
        <v>0.45</v>
      </c>
      <c r="G210" s="5">
        <v>0.45</v>
      </c>
      <c r="H210" s="5">
        <v>0.45</v>
      </c>
      <c r="I210" s="6">
        <v>-1.4092720000000001</v>
      </c>
    </row>
    <row r="211" spans="1:9" ht="75" x14ac:dyDescent="0.25">
      <c r="A211" s="1" t="s">
        <v>127</v>
      </c>
      <c r="B211" s="5">
        <v>2.48</v>
      </c>
      <c r="C211" s="5">
        <v>2.16</v>
      </c>
      <c r="D211" s="5">
        <v>1.93</v>
      </c>
      <c r="E211" s="5">
        <v>1.76</v>
      </c>
      <c r="F211" s="5">
        <v>1.63</v>
      </c>
      <c r="G211" s="5">
        <v>1.54</v>
      </c>
      <c r="H211" s="5">
        <v>1.46</v>
      </c>
      <c r="I211" s="6">
        <v>-8.4517190000000006</v>
      </c>
    </row>
    <row r="212" spans="1:9" ht="60" x14ac:dyDescent="0.25">
      <c r="A212" s="1" t="s">
        <v>128</v>
      </c>
      <c r="B212" s="5">
        <v>0</v>
      </c>
      <c r="C212" s="5">
        <v>0</v>
      </c>
      <c r="D212" s="5">
        <v>0</v>
      </c>
      <c r="E212" s="5">
        <v>0</v>
      </c>
      <c r="F212" s="5">
        <v>0</v>
      </c>
      <c r="G212" s="5">
        <v>0</v>
      </c>
      <c r="H212" s="5">
        <v>0</v>
      </c>
      <c r="I212" s="7" t="s">
        <v>58</v>
      </c>
    </row>
    <row r="213" spans="1:9" ht="45" x14ac:dyDescent="0.25">
      <c r="A213" s="1" t="s">
        <v>129</v>
      </c>
      <c r="B213" s="5">
        <v>18.32</v>
      </c>
      <c r="C213" s="5">
        <v>18.07</v>
      </c>
      <c r="D213" s="5">
        <v>17.809999999999999</v>
      </c>
      <c r="E213" s="5">
        <v>17.54</v>
      </c>
      <c r="F213" s="5">
        <v>17.260000000000002</v>
      </c>
      <c r="G213" s="5">
        <v>16.98</v>
      </c>
      <c r="H213" s="5">
        <v>16.71</v>
      </c>
      <c r="I213" s="6">
        <v>-1.5214081220837894</v>
      </c>
    </row>
    <row r="214" spans="1:9" ht="45" x14ac:dyDescent="0.25">
      <c r="A214" s="1" t="s">
        <v>140</v>
      </c>
      <c r="B214" s="5">
        <v>13.49</v>
      </c>
      <c r="C214" s="5">
        <v>13.33</v>
      </c>
      <c r="D214" s="5">
        <v>13.04</v>
      </c>
      <c r="E214" s="5">
        <v>12.83</v>
      </c>
      <c r="F214" s="5">
        <v>12.66</v>
      </c>
      <c r="G214" s="5">
        <v>12.56</v>
      </c>
      <c r="H214" s="5">
        <v>12.54</v>
      </c>
      <c r="I214" s="6">
        <v>-1.2097089999999999</v>
      </c>
    </row>
    <row r="215" spans="1:9" ht="45" x14ac:dyDescent="0.25">
      <c r="A215" s="1" t="s">
        <v>141</v>
      </c>
      <c r="B215" s="5">
        <v>10.58</v>
      </c>
      <c r="C215" s="5">
        <v>10.7</v>
      </c>
      <c r="D215" s="5">
        <v>10.89</v>
      </c>
      <c r="E215" s="5">
        <v>11.24</v>
      </c>
      <c r="F215" s="5">
        <v>11.41</v>
      </c>
      <c r="G215" s="5">
        <v>11.35</v>
      </c>
      <c r="H215" s="5">
        <v>11.3</v>
      </c>
      <c r="I215" s="6">
        <v>1.1033310000000001</v>
      </c>
    </row>
    <row r="216" spans="1:9" ht="45" x14ac:dyDescent="0.25">
      <c r="A216" s="1" t="s">
        <v>142</v>
      </c>
      <c r="B216" s="5">
        <v>19.18</v>
      </c>
      <c r="C216" s="5">
        <v>18.75</v>
      </c>
      <c r="D216" s="5">
        <v>18.350000000000001</v>
      </c>
      <c r="E216" s="5">
        <v>17.97</v>
      </c>
      <c r="F216" s="5">
        <v>17.600000000000001</v>
      </c>
      <c r="G216" s="5">
        <v>17.239999999999998</v>
      </c>
      <c r="H216" s="5">
        <v>16.89</v>
      </c>
      <c r="I216" s="6">
        <v>-2.0968100000000001</v>
      </c>
    </row>
    <row r="217" spans="1:9" ht="60" x14ac:dyDescent="0.25">
      <c r="A217" s="1" t="s">
        <v>133</v>
      </c>
      <c r="B217" s="5">
        <v>37.256226759999997</v>
      </c>
      <c r="C217" s="5">
        <v>36.879087390000002</v>
      </c>
      <c r="D217" s="5">
        <v>36.323708330000002</v>
      </c>
      <c r="E217" s="5">
        <v>35.768870450000001</v>
      </c>
      <c r="F217" s="5">
        <v>35.214572969999999</v>
      </c>
      <c r="G217" s="5">
        <v>34.660814649999999</v>
      </c>
      <c r="H217" s="5">
        <v>34.10758594</v>
      </c>
      <c r="I217" s="6">
        <v>-1.4608786088074588</v>
      </c>
    </row>
    <row r="218" spans="1:9" ht="60" x14ac:dyDescent="0.25">
      <c r="A218" s="1" t="s">
        <v>134</v>
      </c>
      <c r="B218" s="5">
        <v>27.21</v>
      </c>
      <c r="C218" s="5">
        <v>27.62</v>
      </c>
      <c r="D218" s="5">
        <v>29.02</v>
      </c>
      <c r="E218" s="5">
        <v>30.69</v>
      </c>
      <c r="F218" s="5">
        <v>32.299999999999997</v>
      </c>
      <c r="G218" s="5">
        <v>33.770000000000003</v>
      </c>
      <c r="H218" s="5">
        <v>35.32</v>
      </c>
      <c r="I218" s="6">
        <v>4.4436460000000002</v>
      </c>
    </row>
    <row r="219" spans="1:9" x14ac:dyDescent="0.25">
      <c r="A219" s="1" t="s">
        <v>12</v>
      </c>
      <c r="B219" s="2"/>
      <c r="C219" s="2"/>
      <c r="D219" s="2"/>
      <c r="E219" s="2"/>
      <c r="F219" s="2"/>
      <c r="G219" s="2"/>
      <c r="H219" s="2"/>
      <c r="I219" s="2"/>
    </row>
    <row r="220" spans="1:9" x14ac:dyDescent="0.25">
      <c r="A220" s="8" t="s">
        <v>24</v>
      </c>
      <c r="B220" s="2"/>
      <c r="C220" s="2"/>
      <c r="D220" s="2"/>
      <c r="E220" s="2"/>
      <c r="F220" s="2"/>
      <c r="G220" s="2"/>
      <c r="H220" s="2"/>
      <c r="I220" s="2"/>
    </row>
    <row r="221" spans="1:9" ht="60" x14ac:dyDescent="0.25">
      <c r="A221" s="1" t="s">
        <v>13</v>
      </c>
      <c r="B221" s="5">
        <v>92.59</v>
      </c>
      <c r="C221" s="5">
        <v>93.57</v>
      </c>
      <c r="D221" s="5">
        <v>93.65</v>
      </c>
      <c r="E221" s="5">
        <v>93.94</v>
      </c>
      <c r="F221" s="5">
        <v>94.32</v>
      </c>
      <c r="G221" s="5">
        <v>94.74</v>
      </c>
      <c r="H221" s="5">
        <v>95.15</v>
      </c>
      <c r="I221" s="6">
        <v>0.455592</v>
      </c>
    </row>
    <row r="222" spans="1:9" ht="60" x14ac:dyDescent="0.25">
      <c r="A222" s="1" t="s">
        <v>117</v>
      </c>
      <c r="B222" s="5">
        <v>8.43</v>
      </c>
      <c r="C222" s="5">
        <v>7.96</v>
      </c>
      <c r="D222" s="5">
        <v>7.6</v>
      </c>
      <c r="E222" s="5">
        <v>7.32</v>
      </c>
      <c r="F222" s="5">
        <v>7.11</v>
      </c>
      <c r="G222" s="5">
        <v>6.94</v>
      </c>
      <c r="H222" s="5">
        <v>6.8</v>
      </c>
      <c r="I222" s="6">
        <v>-3.517868</v>
      </c>
    </row>
    <row r="223" spans="1:9" ht="60" x14ac:dyDescent="0.25">
      <c r="A223" s="1" t="s">
        <v>118</v>
      </c>
      <c r="B223" s="5">
        <v>22.87</v>
      </c>
      <c r="C223" s="5">
        <v>20.73</v>
      </c>
      <c r="D223" s="5">
        <v>19.05</v>
      </c>
      <c r="E223" s="5">
        <v>17.62</v>
      </c>
      <c r="F223" s="5">
        <v>16.350000000000001</v>
      </c>
      <c r="G223" s="5">
        <v>15.15</v>
      </c>
      <c r="H223" s="5">
        <v>13.99</v>
      </c>
      <c r="I223" s="6">
        <v>-7.8648689999999997</v>
      </c>
    </row>
    <row r="224" spans="1:9" ht="60" x14ac:dyDescent="0.25">
      <c r="A224" s="1" t="s">
        <v>119</v>
      </c>
      <c r="B224" s="5">
        <v>37.590000000000003</v>
      </c>
      <c r="C224" s="5">
        <v>42.42</v>
      </c>
      <c r="D224" s="5">
        <v>46.83</v>
      </c>
      <c r="E224" s="5">
        <v>50.88</v>
      </c>
      <c r="F224" s="5">
        <v>54.6</v>
      </c>
      <c r="G224" s="5">
        <v>58.05</v>
      </c>
      <c r="H224" s="5">
        <v>61.24</v>
      </c>
      <c r="I224" s="6">
        <v>8.4743720000000007</v>
      </c>
    </row>
    <row r="225" spans="1:9" ht="60" x14ac:dyDescent="0.25">
      <c r="A225" s="1" t="s">
        <v>120</v>
      </c>
      <c r="B225" s="5">
        <v>0.02</v>
      </c>
      <c r="C225" s="5">
        <v>0.02</v>
      </c>
      <c r="D225" s="5">
        <v>0.02</v>
      </c>
      <c r="E225" s="5">
        <v>0.02</v>
      </c>
      <c r="F225" s="5">
        <v>0.02</v>
      </c>
      <c r="G225" s="5">
        <v>0.02</v>
      </c>
      <c r="H225" s="5">
        <v>0.02</v>
      </c>
      <c r="I225" s="6">
        <v>0</v>
      </c>
    </row>
    <row r="226" spans="1:9" ht="75" x14ac:dyDescent="0.25">
      <c r="A226" s="1" t="s">
        <v>121</v>
      </c>
      <c r="B226" s="5">
        <v>0.04</v>
      </c>
      <c r="C226" s="5">
        <v>0.04</v>
      </c>
      <c r="D226" s="5">
        <v>0.04</v>
      </c>
      <c r="E226" s="5">
        <v>0.03</v>
      </c>
      <c r="F226" s="5">
        <v>0.03</v>
      </c>
      <c r="G226" s="5">
        <v>0.03</v>
      </c>
      <c r="H226" s="5">
        <v>0.03</v>
      </c>
      <c r="I226" s="6">
        <v>-4.6815709999999999</v>
      </c>
    </row>
    <row r="227" spans="1:9" ht="75" x14ac:dyDescent="0.25">
      <c r="A227" s="1" t="s">
        <v>122</v>
      </c>
      <c r="B227" s="5">
        <v>23.64</v>
      </c>
      <c r="C227" s="5">
        <v>22.4</v>
      </c>
      <c r="D227" s="5">
        <v>20.11</v>
      </c>
      <c r="E227" s="5">
        <v>18.059999999999999</v>
      </c>
      <c r="F227" s="5">
        <v>16.21</v>
      </c>
      <c r="G227" s="5">
        <v>14.55</v>
      </c>
      <c r="H227" s="5">
        <v>13.06</v>
      </c>
      <c r="I227" s="6">
        <v>-9.416461</v>
      </c>
    </row>
    <row r="228" spans="1:9" ht="60" x14ac:dyDescent="0.25">
      <c r="A228" s="1" t="s">
        <v>123</v>
      </c>
      <c r="B228" s="5">
        <v>9.1</v>
      </c>
      <c r="C228" s="5">
        <v>8.51</v>
      </c>
      <c r="D228" s="5">
        <v>8.1199999999999992</v>
      </c>
      <c r="E228" s="5">
        <v>7.8</v>
      </c>
      <c r="F228" s="5">
        <v>7.54</v>
      </c>
      <c r="G228" s="5">
        <v>7.32</v>
      </c>
      <c r="H228" s="5">
        <v>7.14</v>
      </c>
      <c r="I228" s="6">
        <v>-3.9620669999999998</v>
      </c>
    </row>
    <row r="229" spans="1:9" ht="60" x14ac:dyDescent="0.25">
      <c r="A229" s="1" t="s">
        <v>124</v>
      </c>
      <c r="B229" s="5">
        <v>24.7</v>
      </c>
      <c r="C229" s="5">
        <v>22.15</v>
      </c>
      <c r="D229" s="5">
        <v>20.34</v>
      </c>
      <c r="E229" s="5">
        <v>18.760000000000002</v>
      </c>
      <c r="F229" s="5">
        <v>17.329999999999998</v>
      </c>
      <c r="G229" s="5">
        <v>15.99</v>
      </c>
      <c r="H229" s="5">
        <v>14.7</v>
      </c>
      <c r="I229" s="6">
        <v>-8.2857690000000002</v>
      </c>
    </row>
    <row r="230" spans="1:9" ht="60" x14ac:dyDescent="0.25">
      <c r="A230" s="1" t="s">
        <v>125</v>
      </c>
      <c r="B230" s="5">
        <v>40.6</v>
      </c>
      <c r="C230" s="5">
        <v>45.33</v>
      </c>
      <c r="D230" s="5">
        <v>50.01</v>
      </c>
      <c r="E230" s="5">
        <v>54.16</v>
      </c>
      <c r="F230" s="5">
        <v>57.89</v>
      </c>
      <c r="G230" s="5">
        <v>61.27</v>
      </c>
      <c r="H230" s="5">
        <v>64.36</v>
      </c>
      <c r="I230" s="6">
        <v>7.9812459999999996</v>
      </c>
    </row>
    <row r="231" spans="1:9" ht="60" x14ac:dyDescent="0.25">
      <c r="A231" s="1" t="s">
        <v>126</v>
      </c>
      <c r="B231" s="5">
        <v>0.03</v>
      </c>
      <c r="C231" s="5">
        <v>0.03</v>
      </c>
      <c r="D231" s="5">
        <v>0.03</v>
      </c>
      <c r="E231" s="5">
        <v>0.03</v>
      </c>
      <c r="F231" s="5">
        <v>0.03</v>
      </c>
      <c r="G231" s="5">
        <v>0.03</v>
      </c>
      <c r="H231" s="5">
        <v>0.03</v>
      </c>
      <c r="I231" s="6">
        <v>0</v>
      </c>
    </row>
    <row r="232" spans="1:9" ht="75" x14ac:dyDescent="0.25">
      <c r="A232" s="1" t="s">
        <v>127</v>
      </c>
      <c r="B232" s="5">
        <v>0.04</v>
      </c>
      <c r="C232" s="5">
        <v>0.04</v>
      </c>
      <c r="D232" s="5">
        <v>0.04</v>
      </c>
      <c r="E232" s="5">
        <v>0.04</v>
      </c>
      <c r="F232" s="5">
        <v>0.04</v>
      </c>
      <c r="G232" s="5">
        <v>0.03</v>
      </c>
      <c r="H232" s="5">
        <v>0.03</v>
      </c>
      <c r="I232" s="6">
        <v>-4.6815709999999999</v>
      </c>
    </row>
    <row r="233" spans="1:9" ht="60" x14ac:dyDescent="0.25">
      <c r="A233" s="1" t="s">
        <v>128</v>
      </c>
      <c r="B233" s="5">
        <v>25.53</v>
      </c>
      <c r="C233" s="5">
        <v>23.94</v>
      </c>
      <c r="D233" s="5">
        <v>21.48</v>
      </c>
      <c r="E233" s="5">
        <v>19.22</v>
      </c>
      <c r="F233" s="5">
        <v>17.18</v>
      </c>
      <c r="G233" s="5">
        <v>15.36</v>
      </c>
      <c r="H233" s="5">
        <v>13.73</v>
      </c>
      <c r="I233" s="6">
        <v>-9.8214419999999993</v>
      </c>
    </row>
    <row r="234" spans="1:9" ht="45" x14ac:dyDescent="0.25">
      <c r="A234" s="1" t="s">
        <v>129</v>
      </c>
      <c r="B234" s="7" t="s">
        <v>58</v>
      </c>
      <c r="C234" s="7" t="s">
        <v>58</v>
      </c>
      <c r="D234" s="7" t="s">
        <v>58</v>
      </c>
      <c r="E234" s="7" t="s">
        <v>58</v>
      </c>
      <c r="F234" s="7" t="s">
        <v>58</v>
      </c>
      <c r="G234" s="7" t="s">
        <v>58</v>
      </c>
      <c r="H234" s="7" t="s">
        <v>58</v>
      </c>
      <c r="I234" s="7" t="s">
        <v>58</v>
      </c>
    </row>
    <row r="235" spans="1:9" ht="45" x14ac:dyDescent="0.25">
      <c r="A235" s="1" t="s">
        <v>140</v>
      </c>
      <c r="B235" s="7" t="s">
        <v>58</v>
      </c>
      <c r="C235" s="7" t="s">
        <v>58</v>
      </c>
      <c r="D235" s="7" t="s">
        <v>58</v>
      </c>
      <c r="E235" s="7" t="s">
        <v>58</v>
      </c>
      <c r="F235" s="7" t="s">
        <v>58</v>
      </c>
      <c r="G235" s="7" t="s">
        <v>58</v>
      </c>
      <c r="H235" s="7" t="s">
        <v>58</v>
      </c>
      <c r="I235" s="7" t="s">
        <v>58</v>
      </c>
    </row>
    <row r="236" spans="1:9" ht="45" x14ac:dyDescent="0.25">
      <c r="A236" s="1" t="s">
        <v>141</v>
      </c>
      <c r="B236" s="7" t="s">
        <v>58</v>
      </c>
      <c r="C236" s="7" t="s">
        <v>58</v>
      </c>
      <c r="D236" s="7" t="s">
        <v>58</v>
      </c>
      <c r="E236" s="7" t="s">
        <v>58</v>
      </c>
      <c r="F236" s="7" t="s">
        <v>58</v>
      </c>
      <c r="G236" s="7" t="s">
        <v>58</v>
      </c>
      <c r="H236" s="7" t="s">
        <v>58</v>
      </c>
      <c r="I236" s="7" t="s">
        <v>58</v>
      </c>
    </row>
    <row r="237" spans="1:9" ht="45" x14ac:dyDescent="0.25">
      <c r="A237" s="1" t="s">
        <v>142</v>
      </c>
      <c r="B237" s="7" t="s">
        <v>58</v>
      </c>
      <c r="C237" s="7" t="s">
        <v>58</v>
      </c>
      <c r="D237" s="7" t="s">
        <v>58</v>
      </c>
      <c r="E237" s="7" t="s">
        <v>58</v>
      </c>
      <c r="F237" s="7" t="s">
        <v>58</v>
      </c>
      <c r="G237" s="7" t="s">
        <v>58</v>
      </c>
      <c r="H237" s="7" t="s">
        <v>58</v>
      </c>
      <c r="I237" s="7" t="s">
        <v>58</v>
      </c>
    </row>
    <row r="238" spans="1:9" ht="60" x14ac:dyDescent="0.25">
      <c r="A238" s="1" t="s">
        <v>133</v>
      </c>
      <c r="B238" s="7" t="s">
        <v>58</v>
      </c>
      <c r="C238" s="7" t="s">
        <v>58</v>
      </c>
      <c r="D238" s="7" t="s">
        <v>58</v>
      </c>
      <c r="E238" s="7" t="s">
        <v>58</v>
      </c>
      <c r="F238" s="7" t="s">
        <v>58</v>
      </c>
      <c r="G238" s="7" t="s">
        <v>58</v>
      </c>
      <c r="H238" s="7" t="s">
        <v>58</v>
      </c>
      <c r="I238" s="7" t="s">
        <v>58</v>
      </c>
    </row>
    <row r="239" spans="1:9" ht="60" x14ac:dyDescent="0.25">
      <c r="A239" s="1" t="s">
        <v>134</v>
      </c>
      <c r="B239" s="7" t="s">
        <v>58</v>
      </c>
      <c r="C239" s="7" t="s">
        <v>58</v>
      </c>
      <c r="D239" s="7" t="s">
        <v>58</v>
      </c>
      <c r="E239" s="7" t="s">
        <v>58</v>
      </c>
      <c r="F239" s="7" t="s">
        <v>58</v>
      </c>
      <c r="G239" s="7" t="s">
        <v>58</v>
      </c>
      <c r="H239" s="7" t="s">
        <v>58</v>
      </c>
      <c r="I239" s="7" t="s">
        <v>58</v>
      </c>
    </row>
    <row r="240" spans="1:9" x14ac:dyDescent="0.25">
      <c r="A240" s="1" t="s">
        <v>12</v>
      </c>
      <c r="B240" s="2"/>
      <c r="C240" s="2"/>
      <c r="D240" s="2"/>
      <c r="E240" s="2"/>
      <c r="F240" s="2"/>
      <c r="G240" s="2"/>
      <c r="H240" s="2"/>
      <c r="I240" s="2"/>
    </row>
    <row r="241" spans="1:9" x14ac:dyDescent="0.25">
      <c r="A241" s="8" t="s">
        <v>25</v>
      </c>
      <c r="B241" s="2"/>
      <c r="C241" s="2"/>
      <c r="D241" s="2"/>
      <c r="E241" s="2"/>
      <c r="F241" s="2"/>
      <c r="G241" s="2"/>
      <c r="H241" s="2"/>
      <c r="I241" s="2"/>
    </row>
    <row r="242" spans="1:9" ht="60" x14ac:dyDescent="0.25">
      <c r="A242" s="1" t="s">
        <v>13</v>
      </c>
      <c r="B242" s="5">
        <v>16.690000000000001</v>
      </c>
      <c r="C242" s="5">
        <v>17.54</v>
      </c>
      <c r="D242" s="5">
        <v>18.510000000000002</v>
      </c>
      <c r="E242" s="5">
        <v>19.61</v>
      </c>
      <c r="F242" s="5">
        <v>20.49</v>
      </c>
      <c r="G242" s="5">
        <v>21.44</v>
      </c>
      <c r="H242" s="5">
        <v>21.93</v>
      </c>
      <c r="I242" s="6">
        <v>4.6558999999999999</v>
      </c>
    </row>
    <row r="243" spans="1:9" ht="60" x14ac:dyDescent="0.25">
      <c r="A243" s="1" t="s">
        <v>117</v>
      </c>
      <c r="B243" s="5">
        <v>5.08</v>
      </c>
      <c r="C243" s="5">
        <v>5.0599999999999996</v>
      </c>
      <c r="D243" s="5">
        <v>5.04</v>
      </c>
      <c r="E243" s="5">
        <v>5.01</v>
      </c>
      <c r="F243" s="5">
        <v>4.99</v>
      </c>
      <c r="G243" s="5">
        <v>4.96</v>
      </c>
      <c r="H243" s="5">
        <v>4.9400000000000004</v>
      </c>
      <c r="I243" s="6">
        <v>-0.46468300000000001</v>
      </c>
    </row>
    <row r="244" spans="1:9" ht="60" x14ac:dyDescent="0.25">
      <c r="A244" s="1" t="s">
        <v>118</v>
      </c>
      <c r="B244" s="5">
        <v>0.21</v>
      </c>
      <c r="C244" s="5">
        <v>0.21</v>
      </c>
      <c r="D244" s="5">
        <v>0.2</v>
      </c>
      <c r="E244" s="5">
        <v>0.2</v>
      </c>
      <c r="F244" s="5">
        <v>0.2</v>
      </c>
      <c r="G244" s="5">
        <v>0.19</v>
      </c>
      <c r="H244" s="5">
        <v>0.19</v>
      </c>
      <c r="I244" s="6">
        <v>-1.654223</v>
      </c>
    </row>
    <row r="245" spans="1:9" ht="60" x14ac:dyDescent="0.25">
      <c r="A245" s="1" t="s">
        <v>119</v>
      </c>
      <c r="B245" s="5">
        <v>6.7</v>
      </c>
      <c r="C245" s="5">
        <v>7.52</v>
      </c>
      <c r="D245" s="5">
        <v>8.4700000000000006</v>
      </c>
      <c r="E245" s="5">
        <v>9.5500000000000007</v>
      </c>
      <c r="F245" s="5">
        <v>10.4</v>
      </c>
      <c r="G245" s="5">
        <v>11.33</v>
      </c>
      <c r="H245" s="5">
        <v>11.78</v>
      </c>
      <c r="I245" s="6">
        <v>9.8613879999999998</v>
      </c>
    </row>
    <row r="246" spans="1:9" ht="60" x14ac:dyDescent="0.25">
      <c r="A246" s="1" t="s">
        <v>120</v>
      </c>
      <c r="B246" s="5">
        <v>0</v>
      </c>
      <c r="C246" s="5">
        <v>0</v>
      </c>
      <c r="D246" s="5">
        <v>0</v>
      </c>
      <c r="E246" s="5">
        <v>0</v>
      </c>
      <c r="F246" s="5">
        <v>0</v>
      </c>
      <c r="G246" s="5">
        <v>0</v>
      </c>
      <c r="H246" s="5">
        <v>0</v>
      </c>
      <c r="I246" s="7" t="s">
        <v>58</v>
      </c>
    </row>
    <row r="247" spans="1:9" ht="75" x14ac:dyDescent="0.25">
      <c r="A247" s="1" t="s">
        <v>121</v>
      </c>
      <c r="B247" s="5">
        <v>4.7</v>
      </c>
      <c r="C247" s="5">
        <v>4.75</v>
      </c>
      <c r="D247" s="5">
        <v>4.79</v>
      </c>
      <c r="E247" s="5">
        <v>4.8499999999999996</v>
      </c>
      <c r="F247" s="5">
        <v>4.9000000000000004</v>
      </c>
      <c r="G247" s="5">
        <v>4.96</v>
      </c>
      <c r="H247" s="5">
        <v>5.0199999999999996</v>
      </c>
      <c r="I247" s="6">
        <v>1.1038380000000001</v>
      </c>
    </row>
    <row r="248" spans="1:9" ht="75" x14ac:dyDescent="0.25">
      <c r="A248" s="1" t="s">
        <v>122</v>
      </c>
      <c r="B248" s="5">
        <v>0</v>
      </c>
      <c r="C248" s="5">
        <v>0</v>
      </c>
      <c r="D248" s="5">
        <v>0</v>
      </c>
      <c r="E248" s="5">
        <v>0</v>
      </c>
      <c r="F248" s="5">
        <v>0</v>
      </c>
      <c r="G248" s="5">
        <v>0</v>
      </c>
      <c r="H248" s="5">
        <v>0</v>
      </c>
      <c r="I248" s="7" t="s">
        <v>58</v>
      </c>
    </row>
    <row r="249" spans="1:9" ht="60" x14ac:dyDescent="0.25">
      <c r="A249" s="1" t="s">
        <v>123</v>
      </c>
      <c r="B249" s="5">
        <v>30.44</v>
      </c>
      <c r="C249" s="5">
        <v>28.87</v>
      </c>
      <c r="D249" s="5">
        <v>27.23</v>
      </c>
      <c r="E249" s="5">
        <v>25.57</v>
      </c>
      <c r="F249" s="5">
        <v>24.35</v>
      </c>
      <c r="G249" s="5">
        <v>23.15</v>
      </c>
      <c r="H249" s="5">
        <v>22.53</v>
      </c>
      <c r="I249" s="6">
        <v>-4.8914799999999996</v>
      </c>
    </row>
    <row r="250" spans="1:9" ht="60" x14ac:dyDescent="0.25">
      <c r="A250" s="1" t="s">
        <v>124</v>
      </c>
      <c r="B250" s="5">
        <v>1.27</v>
      </c>
      <c r="C250" s="5">
        <v>1.19</v>
      </c>
      <c r="D250" s="5">
        <v>1.1000000000000001</v>
      </c>
      <c r="E250" s="5">
        <v>1.02</v>
      </c>
      <c r="F250" s="5">
        <v>0.96</v>
      </c>
      <c r="G250" s="5">
        <v>0.9</v>
      </c>
      <c r="H250" s="5">
        <v>0.86</v>
      </c>
      <c r="I250" s="6">
        <v>-6.2907520000000003</v>
      </c>
    </row>
    <row r="251" spans="1:9" ht="60" x14ac:dyDescent="0.25">
      <c r="A251" s="1" t="s">
        <v>125</v>
      </c>
      <c r="B251" s="5">
        <v>40.119999999999997</v>
      </c>
      <c r="C251" s="5">
        <v>42.88</v>
      </c>
      <c r="D251" s="5">
        <v>45.76</v>
      </c>
      <c r="E251" s="5">
        <v>48.7</v>
      </c>
      <c r="F251" s="5">
        <v>50.76</v>
      </c>
      <c r="G251" s="5">
        <v>52.83</v>
      </c>
      <c r="H251" s="5">
        <v>53.72</v>
      </c>
      <c r="I251" s="6">
        <v>4.9854659999999997</v>
      </c>
    </row>
    <row r="252" spans="1:9" ht="60" x14ac:dyDescent="0.25">
      <c r="A252" s="1" t="s">
        <v>126</v>
      </c>
      <c r="B252" s="5">
        <v>0</v>
      </c>
      <c r="C252" s="5">
        <v>0</v>
      </c>
      <c r="D252" s="5">
        <v>0</v>
      </c>
      <c r="E252" s="5">
        <v>0</v>
      </c>
      <c r="F252" s="5">
        <v>0</v>
      </c>
      <c r="G252" s="5">
        <v>0</v>
      </c>
      <c r="H252" s="5">
        <v>0</v>
      </c>
      <c r="I252" s="7" t="s">
        <v>58</v>
      </c>
    </row>
    <row r="253" spans="1:9" ht="75" x14ac:dyDescent="0.25">
      <c r="A253" s="1" t="s">
        <v>127</v>
      </c>
      <c r="B253" s="5">
        <v>28.17</v>
      </c>
      <c r="C253" s="5">
        <v>27.06</v>
      </c>
      <c r="D253" s="5">
        <v>25.91</v>
      </c>
      <c r="E253" s="5">
        <v>24.71</v>
      </c>
      <c r="F253" s="5">
        <v>23.93</v>
      </c>
      <c r="G253" s="5">
        <v>23.12</v>
      </c>
      <c r="H253" s="5">
        <v>22.88</v>
      </c>
      <c r="I253" s="6">
        <v>-3.4071760000000002</v>
      </c>
    </row>
    <row r="254" spans="1:9" ht="60" x14ac:dyDescent="0.25">
      <c r="A254" s="1" t="s">
        <v>128</v>
      </c>
      <c r="B254" s="5">
        <v>0</v>
      </c>
      <c r="C254" s="5">
        <v>0</v>
      </c>
      <c r="D254" s="5">
        <v>0</v>
      </c>
      <c r="E254" s="5">
        <v>0</v>
      </c>
      <c r="F254" s="5">
        <v>0</v>
      </c>
      <c r="G254" s="5">
        <v>0</v>
      </c>
      <c r="H254" s="5">
        <v>0</v>
      </c>
      <c r="I254" s="7" t="s">
        <v>58</v>
      </c>
    </row>
    <row r="255" spans="1:9" ht="45" x14ac:dyDescent="0.25">
      <c r="A255" s="1" t="s">
        <v>129</v>
      </c>
      <c r="B255" s="5">
        <v>17.5</v>
      </c>
      <c r="C255" s="5">
        <v>17.37</v>
      </c>
      <c r="D255" s="5">
        <v>17.190000000000001</v>
      </c>
      <c r="E255" s="5">
        <v>17.010000000000002</v>
      </c>
      <c r="F255" s="5">
        <v>16.850000000000001</v>
      </c>
      <c r="G255" s="5">
        <v>16.7</v>
      </c>
      <c r="H255" s="5">
        <v>16.54</v>
      </c>
      <c r="I255" s="6">
        <v>-0.935912673096162</v>
      </c>
    </row>
    <row r="256" spans="1:9" ht="45" x14ac:dyDescent="0.25">
      <c r="A256" s="1" t="s">
        <v>140</v>
      </c>
      <c r="B256" s="5">
        <v>18.25</v>
      </c>
      <c r="C256" s="5">
        <v>17.920000000000002</v>
      </c>
      <c r="D256" s="5">
        <v>17.53</v>
      </c>
      <c r="E256" s="5">
        <v>17.12</v>
      </c>
      <c r="F256" s="5">
        <v>16.739999999999998</v>
      </c>
      <c r="G256" s="5">
        <v>16.39</v>
      </c>
      <c r="H256" s="5">
        <v>16.04</v>
      </c>
      <c r="I256" s="6">
        <v>-2.128349</v>
      </c>
    </row>
    <row r="257" spans="1:9" ht="45" x14ac:dyDescent="0.25">
      <c r="A257" s="1" t="s">
        <v>141</v>
      </c>
      <c r="B257" s="5">
        <v>9.65</v>
      </c>
      <c r="C257" s="5">
        <v>9.5299999999999994</v>
      </c>
      <c r="D257" s="5">
        <v>9.36</v>
      </c>
      <c r="E257" s="5">
        <v>9.19</v>
      </c>
      <c r="F257" s="5">
        <v>9.0299999999999994</v>
      </c>
      <c r="G257" s="5">
        <v>8.89</v>
      </c>
      <c r="H257" s="5">
        <v>8.74</v>
      </c>
      <c r="I257" s="6">
        <v>-1.6372439999999999</v>
      </c>
    </row>
    <row r="258" spans="1:9" ht="45" x14ac:dyDescent="0.25">
      <c r="A258" s="1" t="s">
        <v>142</v>
      </c>
      <c r="B258" s="5">
        <v>19.5</v>
      </c>
      <c r="C258" s="5">
        <v>19.440000000000001</v>
      </c>
      <c r="D258" s="5">
        <v>19.3</v>
      </c>
      <c r="E258" s="5">
        <v>19.13</v>
      </c>
      <c r="F258" s="5">
        <v>18.989999999999998</v>
      </c>
      <c r="G258" s="5">
        <v>18.87</v>
      </c>
      <c r="H258" s="5">
        <v>18.75</v>
      </c>
      <c r="I258" s="6">
        <v>-0.65154699999999999</v>
      </c>
    </row>
    <row r="259" spans="1:9" ht="60" x14ac:dyDescent="0.25">
      <c r="A259" s="1" t="s">
        <v>133</v>
      </c>
      <c r="B259" s="7" t="s">
        <v>58</v>
      </c>
      <c r="C259" s="7" t="s">
        <v>58</v>
      </c>
      <c r="D259" s="7" t="s">
        <v>58</v>
      </c>
      <c r="E259" s="7" t="s">
        <v>58</v>
      </c>
      <c r="F259" s="7" t="s">
        <v>58</v>
      </c>
      <c r="G259" s="7" t="s">
        <v>58</v>
      </c>
      <c r="H259" s="7" t="s">
        <v>58</v>
      </c>
      <c r="I259" s="7" t="s">
        <v>58</v>
      </c>
    </row>
    <row r="260" spans="1:9" ht="60" x14ac:dyDescent="0.25">
      <c r="A260" s="1" t="s">
        <v>134</v>
      </c>
      <c r="B260" s="5">
        <v>14.33</v>
      </c>
      <c r="C260" s="5">
        <v>14.01</v>
      </c>
      <c r="D260" s="5">
        <v>13.63</v>
      </c>
      <c r="E260" s="5">
        <v>13.25</v>
      </c>
      <c r="F260" s="5">
        <v>12.89</v>
      </c>
      <c r="G260" s="5">
        <v>12.55</v>
      </c>
      <c r="H260" s="5">
        <v>12.23</v>
      </c>
      <c r="I260" s="6">
        <v>-2.606484</v>
      </c>
    </row>
    <row r="261" spans="1:9" x14ac:dyDescent="0.25">
      <c r="A261" s="1" t="s">
        <v>12</v>
      </c>
      <c r="B261" s="2"/>
      <c r="C261" s="2"/>
      <c r="D261" s="2"/>
      <c r="E261" s="2"/>
      <c r="F261" s="2"/>
      <c r="G261" s="2"/>
      <c r="H261" s="2"/>
      <c r="I261" s="2"/>
    </row>
    <row r="262" spans="1:9" x14ac:dyDescent="0.25">
      <c r="A262" s="8" t="s">
        <v>26</v>
      </c>
      <c r="B262" s="2"/>
      <c r="C262" s="2"/>
      <c r="D262" s="2"/>
      <c r="E262" s="2"/>
      <c r="F262" s="2"/>
      <c r="G262" s="2"/>
      <c r="H262" s="2"/>
      <c r="I262" s="2"/>
    </row>
    <row r="263" spans="1:9" ht="60" x14ac:dyDescent="0.25">
      <c r="A263" s="1" t="s">
        <v>13</v>
      </c>
      <c r="B263" s="5">
        <v>94.13</v>
      </c>
      <c r="C263" s="5">
        <v>94.36</v>
      </c>
      <c r="D263" s="5">
        <v>94.69</v>
      </c>
      <c r="E263" s="5">
        <v>94.89</v>
      </c>
      <c r="F263" s="5">
        <v>95</v>
      </c>
      <c r="G263" s="5">
        <v>95.09</v>
      </c>
      <c r="H263" s="5">
        <v>95.15</v>
      </c>
      <c r="I263" s="6">
        <v>0.17979100000000001</v>
      </c>
    </row>
    <row r="264" spans="1:9" ht="60" x14ac:dyDescent="0.25">
      <c r="A264" s="1" t="s">
        <v>117</v>
      </c>
      <c r="B264" s="5">
        <v>48.04</v>
      </c>
      <c r="C264" s="5">
        <v>47.99</v>
      </c>
      <c r="D264" s="5">
        <v>47.88</v>
      </c>
      <c r="E264" s="5">
        <v>47.73</v>
      </c>
      <c r="F264" s="5">
        <v>47.54</v>
      </c>
      <c r="G264" s="5">
        <v>47.31</v>
      </c>
      <c r="H264" s="5">
        <v>47.05</v>
      </c>
      <c r="I264" s="6">
        <v>-0.34645100000000001</v>
      </c>
    </row>
    <row r="265" spans="1:9" ht="60" x14ac:dyDescent="0.25">
      <c r="A265" s="1" t="s">
        <v>118</v>
      </c>
      <c r="B265" s="5">
        <v>9.19</v>
      </c>
      <c r="C265" s="5">
        <v>7.83</v>
      </c>
      <c r="D265" s="5">
        <v>6.81</v>
      </c>
      <c r="E265" s="5">
        <v>6.05</v>
      </c>
      <c r="F265" s="5">
        <v>5.5</v>
      </c>
      <c r="G265" s="5">
        <v>5.0999999999999996</v>
      </c>
      <c r="H265" s="5">
        <v>4.79</v>
      </c>
      <c r="I265" s="6">
        <v>-10.290865</v>
      </c>
    </row>
    <row r="266" spans="1:9" ht="60" x14ac:dyDescent="0.25">
      <c r="A266" s="1" t="s">
        <v>119</v>
      </c>
      <c r="B266" s="5">
        <v>30.54</v>
      </c>
      <c r="C266" s="5">
        <v>32.200000000000003</v>
      </c>
      <c r="D266" s="5">
        <v>33.67</v>
      </c>
      <c r="E266" s="5">
        <v>34.79</v>
      </c>
      <c r="F266" s="5">
        <v>35.659999999999997</v>
      </c>
      <c r="G266" s="5">
        <v>36.409999999999997</v>
      </c>
      <c r="H266" s="5">
        <v>37.049999999999997</v>
      </c>
      <c r="I266" s="6">
        <v>3.2729370000000002</v>
      </c>
    </row>
    <row r="267" spans="1:9" ht="60" x14ac:dyDescent="0.25">
      <c r="A267" s="1" t="s">
        <v>120</v>
      </c>
      <c r="B267" s="5">
        <v>1.29</v>
      </c>
      <c r="C267" s="5">
        <v>1.29</v>
      </c>
      <c r="D267" s="5">
        <v>1.28</v>
      </c>
      <c r="E267" s="5">
        <v>1.27</v>
      </c>
      <c r="F267" s="5">
        <v>1.26</v>
      </c>
      <c r="G267" s="5">
        <v>1.25</v>
      </c>
      <c r="H267" s="5">
        <v>1.24</v>
      </c>
      <c r="I267" s="6">
        <v>-0.65668199999999999</v>
      </c>
    </row>
    <row r="268" spans="1:9" ht="75" x14ac:dyDescent="0.25">
      <c r="A268" s="1" t="s">
        <v>121</v>
      </c>
      <c r="B268" s="5">
        <v>4.9800000000000004</v>
      </c>
      <c r="C268" s="5">
        <v>4.97</v>
      </c>
      <c r="D268" s="5">
        <v>4.96</v>
      </c>
      <c r="E268" s="5">
        <v>4.95</v>
      </c>
      <c r="F268" s="5">
        <v>4.9400000000000004</v>
      </c>
      <c r="G268" s="5">
        <v>4.93</v>
      </c>
      <c r="H268" s="5">
        <v>4.92</v>
      </c>
      <c r="I268" s="6">
        <v>-0.201819</v>
      </c>
    </row>
    <row r="269" spans="1:9" ht="75" x14ac:dyDescent="0.25">
      <c r="A269" s="1" t="s">
        <v>122</v>
      </c>
      <c r="B269" s="5">
        <v>0.09</v>
      </c>
      <c r="C269" s="5">
        <v>0.09</v>
      </c>
      <c r="D269" s="5">
        <v>0.09</v>
      </c>
      <c r="E269" s="5">
        <v>0.09</v>
      </c>
      <c r="F269" s="5">
        <v>0.09</v>
      </c>
      <c r="G269" s="5">
        <v>0.09</v>
      </c>
      <c r="H269" s="5">
        <v>0.09</v>
      </c>
      <c r="I269" s="6">
        <v>0</v>
      </c>
    </row>
    <row r="270" spans="1:9" ht="60" x14ac:dyDescent="0.25">
      <c r="A270" s="1" t="s">
        <v>123</v>
      </c>
      <c r="B270" s="5">
        <v>51.03</v>
      </c>
      <c r="C270" s="5">
        <v>50.85</v>
      </c>
      <c r="D270" s="5">
        <v>50.56</v>
      </c>
      <c r="E270" s="5">
        <v>50.3</v>
      </c>
      <c r="F270" s="5">
        <v>50.04</v>
      </c>
      <c r="G270" s="5">
        <v>49.75</v>
      </c>
      <c r="H270" s="5">
        <v>49.45</v>
      </c>
      <c r="I270" s="6">
        <v>-0.52282200000000001</v>
      </c>
    </row>
    <row r="271" spans="1:9" ht="60" x14ac:dyDescent="0.25">
      <c r="A271" s="1" t="s">
        <v>124</v>
      </c>
      <c r="B271" s="5">
        <v>9.76</v>
      </c>
      <c r="C271" s="5">
        <v>8.3000000000000007</v>
      </c>
      <c r="D271" s="5">
        <v>7.19</v>
      </c>
      <c r="E271" s="5">
        <v>6.38</v>
      </c>
      <c r="F271" s="5">
        <v>5.79</v>
      </c>
      <c r="G271" s="5">
        <v>5.37</v>
      </c>
      <c r="H271" s="5">
        <v>5.03</v>
      </c>
      <c r="I271" s="6">
        <v>-10.459463</v>
      </c>
    </row>
    <row r="272" spans="1:9" ht="60" x14ac:dyDescent="0.25">
      <c r="A272" s="1" t="s">
        <v>125</v>
      </c>
      <c r="B272" s="5">
        <v>32.450000000000003</v>
      </c>
      <c r="C272" s="5">
        <v>34.119999999999997</v>
      </c>
      <c r="D272" s="5">
        <v>35.56</v>
      </c>
      <c r="E272" s="5">
        <v>36.67</v>
      </c>
      <c r="F272" s="5">
        <v>37.54</v>
      </c>
      <c r="G272" s="5">
        <v>38.28</v>
      </c>
      <c r="H272" s="5">
        <v>38.94</v>
      </c>
      <c r="I272" s="6">
        <v>3.0853320000000002</v>
      </c>
    </row>
    <row r="273" spans="1:9" ht="60" x14ac:dyDescent="0.25">
      <c r="A273" s="1" t="s">
        <v>126</v>
      </c>
      <c r="B273" s="5">
        <v>1.37</v>
      </c>
      <c r="C273" s="5">
        <v>1.36</v>
      </c>
      <c r="D273" s="5">
        <v>1.35</v>
      </c>
      <c r="E273" s="5">
        <v>1.34</v>
      </c>
      <c r="F273" s="5">
        <v>1.33</v>
      </c>
      <c r="G273" s="5">
        <v>1.32</v>
      </c>
      <c r="H273" s="5">
        <v>1.31</v>
      </c>
      <c r="I273" s="6">
        <v>-0.74361500000000003</v>
      </c>
    </row>
    <row r="274" spans="1:9" ht="75" x14ac:dyDescent="0.25">
      <c r="A274" s="1" t="s">
        <v>127</v>
      </c>
      <c r="B274" s="5">
        <v>5.29</v>
      </c>
      <c r="C274" s="5">
        <v>5.27</v>
      </c>
      <c r="D274" s="5">
        <v>5.24</v>
      </c>
      <c r="E274" s="5">
        <v>5.22</v>
      </c>
      <c r="F274" s="5">
        <v>5.2</v>
      </c>
      <c r="G274" s="5">
        <v>5.19</v>
      </c>
      <c r="H274" s="5">
        <v>5.17</v>
      </c>
      <c r="I274" s="6">
        <v>-0.38169599999999998</v>
      </c>
    </row>
    <row r="275" spans="1:9" ht="60" x14ac:dyDescent="0.25">
      <c r="A275" s="1" t="s">
        <v>128</v>
      </c>
      <c r="B275" s="5">
        <v>0.1</v>
      </c>
      <c r="C275" s="5">
        <v>0.1</v>
      </c>
      <c r="D275" s="5">
        <v>0.1</v>
      </c>
      <c r="E275" s="5">
        <v>0.1</v>
      </c>
      <c r="F275" s="5">
        <v>0.09</v>
      </c>
      <c r="G275" s="5">
        <v>0.09</v>
      </c>
      <c r="H275" s="5">
        <v>0.09</v>
      </c>
      <c r="I275" s="6">
        <v>-1.7406809999999999</v>
      </c>
    </row>
    <row r="276" spans="1:9" ht="45" x14ac:dyDescent="0.25">
      <c r="A276" s="1" t="s">
        <v>129</v>
      </c>
      <c r="B276" s="5">
        <v>54.77</v>
      </c>
      <c r="C276" s="5">
        <v>54.37</v>
      </c>
      <c r="D276" s="5">
        <v>54.01</v>
      </c>
      <c r="E276" s="5">
        <v>53.81</v>
      </c>
      <c r="F276" s="5">
        <v>53.79</v>
      </c>
      <c r="G276" s="5">
        <v>53.87</v>
      </c>
      <c r="H276" s="5">
        <v>53.96</v>
      </c>
      <c r="I276" s="6">
        <v>-0.24801805000933541</v>
      </c>
    </row>
    <row r="277" spans="1:9" ht="45" x14ac:dyDescent="0.25">
      <c r="A277" s="1" t="s">
        <v>140</v>
      </c>
      <c r="B277" s="7" t="s">
        <v>58</v>
      </c>
      <c r="C277" s="7" t="s">
        <v>58</v>
      </c>
      <c r="D277" s="7" t="s">
        <v>58</v>
      </c>
      <c r="E277" s="7" t="s">
        <v>58</v>
      </c>
      <c r="F277" s="7" t="s">
        <v>58</v>
      </c>
      <c r="G277" s="7" t="s">
        <v>58</v>
      </c>
      <c r="H277" s="7" t="s">
        <v>58</v>
      </c>
      <c r="I277" s="7" t="s">
        <v>58</v>
      </c>
    </row>
    <row r="278" spans="1:9" ht="45" x14ac:dyDescent="0.25">
      <c r="A278" s="1" t="s">
        <v>141</v>
      </c>
      <c r="B278" s="7" t="s">
        <v>58</v>
      </c>
      <c r="C278" s="7" t="s">
        <v>58</v>
      </c>
      <c r="D278" s="7" t="s">
        <v>58</v>
      </c>
      <c r="E278" s="7" t="s">
        <v>58</v>
      </c>
      <c r="F278" s="7" t="s">
        <v>58</v>
      </c>
      <c r="G278" s="7" t="s">
        <v>58</v>
      </c>
      <c r="H278" s="7" t="s">
        <v>58</v>
      </c>
      <c r="I278" s="7" t="s">
        <v>58</v>
      </c>
    </row>
    <row r="279" spans="1:9" ht="45" x14ac:dyDescent="0.25">
      <c r="A279" s="1" t="s">
        <v>142</v>
      </c>
      <c r="B279" s="7" t="s">
        <v>58</v>
      </c>
      <c r="C279" s="7" t="s">
        <v>58</v>
      </c>
      <c r="D279" s="7" t="s">
        <v>58</v>
      </c>
      <c r="E279" s="7" t="s">
        <v>58</v>
      </c>
      <c r="F279" s="7" t="s">
        <v>58</v>
      </c>
      <c r="G279" s="7" t="s">
        <v>58</v>
      </c>
      <c r="H279" s="7" t="s">
        <v>58</v>
      </c>
      <c r="I279" s="7" t="s">
        <v>58</v>
      </c>
    </row>
    <row r="280" spans="1:9" ht="60" x14ac:dyDescent="0.25">
      <c r="A280" s="1" t="s">
        <v>133</v>
      </c>
      <c r="B280" s="7" t="s">
        <v>58</v>
      </c>
      <c r="C280" s="7" t="s">
        <v>58</v>
      </c>
      <c r="D280" s="7" t="s">
        <v>58</v>
      </c>
      <c r="E280" s="7" t="s">
        <v>58</v>
      </c>
      <c r="F280" s="7" t="s">
        <v>58</v>
      </c>
      <c r="G280" s="7" t="s">
        <v>58</v>
      </c>
      <c r="H280" s="7" t="s">
        <v>58</v>
      </c>
      <c r="I280" s="7" t="s">
        <v>58</v>
      </c>
    </row>
    <row r="281" spans="1:9" ht="60" x14ac:dyDescent="0.25">
      <c r="A281" s="1" t="s">
        <v>134</v>
      </c>
      <c r="B281" s="7" t="s">
        <v>58</v>
      </c>
      <c r="C281" s="7" t="s">
        <v>58</v>
      </c>
      <c r="D281" s="7" t="s">
        <v>58</v>
      </c>
      <c r="E281" s="7" t="s">
        <v>58</v>
      </c>
      <c r="F281" s="7" t="s">
        <v>58</v>
      </c>
      <c r="G281" s="7" t="s">
        <v>58</v>
      </c>
      <c r="H281" s="7" t="s">
        <v>58</v>
      </c>
      <c r="I281" s="7" t="s">
        <v>58</v>
      </c>
    </row>
    <row r="282" spans="1:9" x14ac:dyDescent="0.25">
      <c r="A282" s="1" t="s">
        <v>12</v>
      </c>
      <c r="B282" s="2"/>
      <c r="C282" s="2"/>
      <c r="D282" s="2"/>
      <c r="E282" s="2"/>
      <c r="F282" s="2"/>
      <c r="G282" s="2"/>
      <c r="H282" s="2"/>
      <c r="I282" s="2"/>
    </row>
    <row r="283" spans="1:9" x14ac:dyDescent="0.25">
      <c r="A283" s="8" t="s">
        <v>27</v>
      </c>
      <c r="B283" s="2"/>
      <c r="C283" s="2"/>
      <c r="D283" s="2"/>
      <c r="E283" s="2"/>
      <c r="F283" s="2"/>
      <c r="G283" s="2"/>
      <c r="H283" s="2"/>
      <c r="I283" s="2"/>
    </row>
    <row r="284" spans="1:9" ht="60" x14ac:dyDescent="0.25">
      <c r="A284" s="1" t="s">
        <v>13</v>
      </c>
      <c r="B284" s="5">
        <v>72.89</v>
      </c>
      <c r="C284" s="5">
        <v>73</v>
      </c>
      <c r="D284" s="5">
        <v>74.08</v>
      </c>
      <c r="E284" s="5">
        <v>74.94</v>
      </c>
      <c r="F284" s="5">
        <v>75.900000000000006</v>
      </c>
      <c r="G284" s="5">
        <v>76.819999999999993</v>
      </c>
      <c r="H284" s="5">
        <v>77.59</v>
      </c>
      <c r="I284" s="6">
        <v>1.046894</v>
      </c>
    </row>
    <row r="285" spans="1:9" ht="60" x14ac:dyDescent="0.25">
      <c r="A285" s="1" t="s">
        <v>117</v>
      </c>
      <c r="B285" s="5">
        <v>17.940000000000001</v>
      </c>
      <c r="C285" s="5">
        <v>16.41</v>
      </c>
      <c r="D285" s="5">
        <v>15.18</v>
      </c>
      <c r="E285" s="5">
        <v>14.2</v>
      </c>
      <c r="F285" s="5">
        <v>13.44</v>
      </c>
      <c r="G285" s="5">
        <v>12.85</v>
      </c>
      <c r="H285" s="5">
        <v>12.42</v>
      </c>
      <c r="I285" s="6">
        <v>-5.9447169999999998</v>
      </c>
    </row>
    <row r="286" spans="1:9" ht="60" x14ac:dyDescent="0.25">
      <c r="A286" s="1" t="s">
        <v>118</v>
      </c>
      <c r="B286" s="5">
        <v>0.21</v>
      </c>
      <c r="C286" s="5">
        <v>7.0000000000000007E-2</v>
      </c>
      <c r="D286" s="5">
        <v>0.03</v>
      </c>
      <c r="E286" s="5">
        <v>0</v>
      </c>
      <c r="F286" s="5">
        <v>0</v>
      </c>
      <c r="G286" s="5">
        <v>0</v>
      </c>
      <c r="H286" s="5">
        <v>0</v>
      </c>
      <c r="I286" s="6">
        <v>-100</v>
      </c>
    </row>
    <row r="287" spans="1:9" ht="60" x14ac:dyDescent="0.25">
      <c r="A287" s="1" t="s">
        <v>119</v>
      </c>
      <c r="B287" s="5">
        <v>53.41</v>
      </c>
      <c r="C287" s="5">
        <v>55.18</v>
      </c>
      <c r="D287" s="5">
        <v>57.66</v>
      </c>
      <c r="E287" s="5">
        <v>59.69</v>
      </c>
      <c r="F287" s="5">
        <v>61.47</v>
      </c>
      <c r="G287" s="5">
        <v>63.02</v>
      </c>
      <c r="H287" s="5">
        <v>64.25</v>
      </c>
      <c r="I287" s="6">
        <v>3.127643</v>
      </c>
    </row>
    <row r="288" spans="1:9" ht="60" x14ac:dyDescent="0.25">
      <c r="A288" s="1" t="s">
        <v>120</v>
      </c>
      <c r="B288" s="5">
        <v>0.47</v>
      </c>
      <c r="C288" s="5">
        <v>0.71</v>
      </c>
      <c r="D288" s="5">
        <v>0.71</v>
      </c>
      <c r="E288" s="5">
        <v>0.71</v>
      </c>
      <c r="F288" s="5">
        <v>0.71</v>
      </c>
      <c r="G288" s="5">
        <v>0.71</v>
      </c>
      <c r="H288" s="5">
        <v>0.71</v>
      </c>
      <c r="I288" s="6">
        <v>7.1174150000000003</v>
      </c>
    </row>
    <row r="289" spans="1:9" ht="75" x14ac:dyDescent="0.25">
      <c r="A289" s="1" t="s">
        <v>121</v>
      </c>
      <c r="B289" s="5">
        <v>0.85</v>
      </c>
      <c r="C289" s="5">
        <v>0.63</v>
      </c>
      <c r="D289" s="5">
        <v>0.49</v>
      </c>
      <c r="E289" s="5">
        <v>0.33</v>
      </c>
      <c r="F289" s="5">
        <v>0.28000000000000003</v>
      </c>
      <c r="G289" s="5">
        <v>0.24</v>
      </c>
      <c r="H289" s="5">
        <v>0.2</v>
      </c>
      <c r="I289" s="6">
        <v>-21.427873000000002</v>
      </c>
    </row>
    <row r="290" spans="1:9" ht="75" x14ac:dyDescent="0.25">
      <c r="A290" s="1" t="s">
        <v>122</v>
      </c>
      <c r="B290" s="5">
        <v>0</v>
      </c>
      <c r="C290" s="5">
        <v>0</v>
      </c>
      <c r="D290" s="5">
        <v>0</v>
      </c>
      <c r="E290" s="5">
        <v>0</v>
      </c>
      <c r="F290" s="5">
        <v>0</v>
      </c>
      <c r="G290" s="5">
        <v>0</v>
      </c>
      <c r="H290" s="5">
        <v>0</v>
      </c>
      <c r="I290" s="7" t="s">
        <v>58</v>
      </c>
    </row>
    <row r="291" spans="1:9" ht="60" x14ac:dyDescent="0.25">
      <c r="A291" s="1" t="s">
        <v>123</v>
      </c>
      <c r="B291" s="5">
        <v>24.61</v>
      </c>
      <c r="C291" s="5">
        <v>22.48</v>
      </c>
      <c r="D291" s="5">
        <v>20.5</v>
      </c>
      <c r="E291" s="5">
        <v>18.95</v>
      </c>
      <c r="F291" s="5">
        <v>17.7</v>
      </c>
      <c r="G291" s="5">
        <v>16.72</v>
      </c>
      <c r="H291" s="5">
        <v>16</v>
      </c>
      <c r="I291" s="6">
        <v>-6.924639</v>
      </c>
    </row>
    <row r="292" spans="1:9" ht="60" x14ac:dyDescent="0.25">
      <c r="A292" s="1" t="s">
        <v>124</v>
      </c>
      <c r="B292" s="5">
        <v>0.28999999999999998</v>
      </c>
      <c r="C292" s="5">
        <v>0.1</v>
      </c>
      <c r="D292" s="5">
        <v>0.04</v>
      </c>
      <c r="E292" s="5">
        <v>0</v>
      </c>
      <c r="F292" s="5">
        <v>0</v>
      </c>
      <c r="G292" s="5">
        <v>0</v>
      </c>
      <c r="H292" s="5">
        <v>0</v>
      </c>
      <c r="I292" s="6">
        <v>-100</v>
      </c>
    </row>
    <row r="293" spans="1:9" ht="60" x14ac:dyDescent="0.25">
      <c r="A293" s="1" t="s">
        <v>125</v>
      </c>
      <c r="B293" s="5">
        <v>73.28</v>
      </c>
      <c r="C293" s="5">
        <v>75.58</v>
      </c>
      <c r="D293" s="5">
        <v>77.84</v>
      </c>
      <c r="E293" s="5">
        <v>79.650000000000006</v>
      </c>
      <c r="F293" s="5">
        <v>80.98</v>
      </c>
      <c r="G293" s="5">
        <v>82.04</v>
      </c>
      <c r="H293" s="5">
        <v>82.81</v>
      </c>
      <c r="I293" s="6">
        <v>2.0585879999999999</v>
      </c>
    </row>
    <row r="294" spans="1:9" ht="60" x14ac:dyDescent="0.25">
      <c r="A294" s="1" t="s">
        <v>126</v>
      </c>
      <c r="B294" s="5">
        <v>0.65</v>
      </c>
      <c r="C294" s="5">
        <v>0.97</v>
      </c>
      <c r="D294" s="5">
        <v>0.96</v>
      </c>
      <c r="E294" s="5">
        <v>0.95</v>
      </c>
      <c r="F294" s="5">
        <v>0.94</v>
      </c>
      <c r="G294" s="5">
        <v>0.93</v>
      </c>
      <c r="H294" s="5">
        <v>0.92</v>
      </c>
      <c r="I294" s="6">
        <v>5.9609259999999997</v>
      </c>
    </row>
    <row r="295" spans="1:9" ht="75" x14ac:dyDescent="0.25">
      <c r="A295" s="1" t="s">
        <v>127</v>
      </c>
      <c r="B295" s="5">
        <v>1.17</v>
      </c>
      <c r="C295" s="5">
        <v>0.87</v>
      </c>
      <c r="D295" s="5">
        <v>0.66</v>
      </c>
      <c r="E295" s="5">
        <v>0.45</v>
      </c>
      <c r="F295" s="5">
        <v>0.37</v>
      </c>
      <c r="G295" s="5">
        <v>0.31</v>
      </c>
      <c r="H295" s="5">
        <v>0.26</v>
      </c>
      <c r="I295" s="6">
        <v>-22.172827999999999</v>
      </c>
    </row>
    <row r="296" spans="1:9" ht="60" x14ac:dyDescent="0.25">
      <c r="A296" s="1" t="s">
        <v>128</v>
      </c>
      <c r="B296" s="5">
        <v>0</v>
      </c>
      <c r="C296" s="5">
        <v>0</v>
      </c>
      <c r="D296" s="5">
        <v>0</v>
      </c>
      <c r="E296" s="5">
        <v>0</v>
      </c>
      <c r="F296" s="5">
        <v>0</v>
      </c>
      <c r="G296" s="5">
        <v>0</v>
      </c>
      <c r="H296" s="5">
        <v>0</v>
      </c>
      <c r="I296" s="7" t="s">
        <v>58</v>
      </c>
    </row>
    <row r="297" spans="1:9" ht="45" x14ac:dyDescent="0.25">
      <c r="A297" s="1" t="s">
        <v>129</v>
      </c>
      <c r="B297" s="5">
        <v>16.3</v>
      </c>
      <c r="C297" s="5">
        <v>16.95</v>
      </c>
      <c r="D297" s="5">
        <v>17.510000000000002</v>
      </c>
      <c r="E297" s="5">
        <v>18.04</v>
      </c>
      <c r="F297" s="5">
        <v>18.559999999999999</v>
      </c>
      <c r="G297" s="5">
        <v>19.079999999999998</v>
      </c>
      <c r="H297" s="5">
        <v>19.59</v>
      </c>
      <c r="I297" s="6">
        <v>3.1116663207706896</v>
      </c>
    </row>
    <row r="298" spans="1:9" ht="45" x14ac:dyDescent="0.25">
      <c r="A298" s="1" t="s">
        <v>140</v>
      </c>
      <c r="B298" s="7" t="s">
        <v>58</v>
      </c>
      <c r="C298" s="7" t="s">
        <v>58</v>
      </c>
      <c r="D298" s="7" t="s">
        <v>58</v>
      </c>
      <c r="E298" s="7" t="s">
        <v>58</v>
      </c>
      <c r="F298" s="7" t="s">
        <v>58</v>
      </c>
      <c r="G298" s="7" t="s">
        <v>58</v>
      </c>
      <c r="H298" s="7" t="s">
        <v>58</v>
      </c>
      <c r="I298" s="7" t="s">
        <v>58</v>
      </c>
    </row>
    <row r="299" spans="1:9" ht="45" x14ac:dyDescent="0.25">
      <c r="A299" s="1" t="s">
        <v>141</v>
      </c>
      <c r="B299" s="7" t="s">
        <v>58</v>
      </c>
      <c r="C299" s="7" t="s">
        <v>58</v>
      </c>
      <c r="D299" s="7" t="s">
        <v>58</v>
      </c>
      <c r="E299" s="7" t="s">
        <v>58</v>
      </c>
      <c r="F299" s="7" t="s">
        <v>58</v>
      </c>
      <c r="G299" s="7" t="s">
        <v>58</v>
      </c>
      <c r="H299" s="7" t="s">
        <v>58</v>
      </c>
      <c r="I299" s="7" t="s">
        <v>58</v>
      </c>
    </row>
    <row r="300" spans="1:9" ht="45" x14ac:dyDescent="0.25">
      <c r="A300" s="1" t="s">
        <v>142</v>
      </c>
      <c r="B300" s="7" t="s">
        <v>58</v>
      </c>
      <c r="C300" s="7" t="s">
        <v>58</v>
      </c>
      <c r="D300" s="7" t="s">
        <v>58</v>
      </c>
      <c r="E300" s="7" t="s">
        <v>58</v>
      </c>
      <c r="F300" s="7" t="s">
        <v>58</v>
      </c>
      <c r="G300" s="7" t="s">
        <v>58</v>
      </c>
      <c r="H300" s="7" t="s">
        <v>58</v>
      </c>
      <c r="I300" s="7" t="s">
        <v>58</v>
      </c>
    </row>
    <row r="301" spans="1:9" ht="60" x14ac:dyDescent="0.25">
      <c r="A301" s="1" t="s">
        <v>133</v>
      </c>
      <c r="B301" s="7" t="s">
        <v>58</v>
      </c>
      <c r="C301" s="7" t="s">
        <v>58</v>
      </c>
      <c r="D301" s="7" t="s">
        <v>58</v>
      </c>
      <c r="E301" s="7" t="s">
        <v>58</v>
      </c>
      <c r="F301" s="7" t="s">
        <v>58</v>
      </c>
      <c r="G301" s="7" t="s">
        <v>58</v>
      </c>
      <c r="H301" s="7" t="s">
        <v>58</v>
      </c>
      <c r="I301" s="7" t="s">
        <v>58</v>
      </c>
    </row>
    <row r="302" spans="1:9" ht="60" x14ac:dyDescent="0.25">
      <c r="A302" s="1" t="s">
        <v>134</v>
      </c>
      <c r="B302" s="7" t="s">
        <v>58</v>
      </c>
      <c r="C302" s="7" t="s">
        <v>58</v>
      </c>
      <c r="D302" s="7" t="s">
        <v>58</v>
      </c>
      <c r="E302" s="7" t="s">
        <v>58</v>
      </c>
      <c r="F302" s="7" t="s">
        <v>58</v>
      </c>
      <c r="G302" s="7" t="s">
        <v>58</v>
      </c>
      <c r="H302" s="7" t="s">
        <v>58</v>
      </c>
      <c r="I302" s="7" t="s">
        <v>58</v>
      </c>
    </row>
    <row r="303" spans="1:9" x14ac:dyDescent="0.25">
      <c r="A303" s="1" t="s">
        <v>12</v>
      </c>
      <c r="B303" s="2"/>
      <c r="C303" s="2"/>
      <c r="D303" s="2"/>
      <c r="E303" s="2"/>
      <c r="F303" s="2"/>
      <c r="G303" s="2"/>
      <c r="H303" s="2"/>
      <c r="I303" s="2"/>
    </row>
    <row r="304" spans="1:9" x14ac:dyDescent="0.25">
      <c r="A304" s="8" t="s">
        <v>28</v>
      </c>
      <c r="B304" s="2"/>
      <c r="C304" s="2"/>
      <c r="D304" s="2"/>
      <c r="E304" s="2"/>
      <c r="F304" s="2"/>
      <c r="G304" s="2"/>
      <c r="H304" s="2"/>
      <c r="I304" s="2"/>
    </row>
    <row r="305" spans="1:9" ht="60" x14ac:dyDescent="0.25">
      <c r="A305" s="1" t="s">
        <v>13</v>
      </c>
      <c r="B305" s="5">
        <v>92.48</v>
      </c>
      <c r="C305" s="5">
        <v>92.87</v>
      </c>
      <c r="D305" s="5">
        <v>93.06</v>
      </c>
      <c r="E305" s="5">
        <v>93.41</v>
      </c>
      <c r="F305" s="5">
        <v>94.32</v>
      </c>
      <c r="G305" s="5">
        <v>95</v>
      </c>
      <c r="H305" s="5">
        <v>95.93</v>
      </c>
      <c r="I305" s="6">
        <v>0.61230600000000002</v>
      </c>
    </row>
    <row r="306" spans="1:9" ht="60" x14ac:dyDescent="0.25">
      <c r="A306" s="1" t="s">
        <v>117</v>
      </c>
      <c r="B306" s="5">
        <v>8.51</v>
      </c>
      <c r="C306" s="5">
        <v>8.42</v>
      </c>
      <c r="D306" s="5">
        <v>8.39</v>
      </c>
      <c r="E306" s="5">
        <v>8.32</v>
      </c>
      <c r="F306" s="5">
        <v>8.2200000000000006</v>
      </c>
      <c r="G306" s="5">
        <v>8.18</v>
      </c>
      <c r="H306" s="5">
        <v>8.1</v>
      </c>
      <c r="I306" s="6">
        <v>-0.81958799999999998</v>
      </c>
    </row>
    <row r="307" spans="1:9" ht="60" x14ac:dyDescent="0.25">
      <c r="A307" s="1" t="s">
        <v>118</v>
      </c>
      <c r="B307" s="5">
        <v>0.35</v>
      </c>
      <c r="C307" s="5">
        <v>0.27</v>
      </c>
      <c r="D307" s="5">
        <v>0.21</v>
      </c>
      <c r="E307" s="5">
        <v>0.18</v>
      </c>
      <c r="F307" s="5">
        <v>0.16</v>
      </c>
      <c r="G307" s="5">
        <v>0.12</v>
      </c>
      <c r="H307" s="5">
        <v>0.11</v>
      </c>
      <c r="I307" s="6">
        <v>-17.544283</v>
      </c>
    </row>
    <row r="308" spans="1:9" ht="60" x14ac:dyDescent="0.25">
      <c r="A308" s="1" t="s">
        <v>119</v>
      </c>
      <c r="B308" s="5">
        <v>83.5</v>
      </c>
      <c r="C308" s="5">
        <v>84.09</v>
      </c>
      <c r="D308" s="5">
        <v>84.39</v>
      </c>
      <c r="E308" s="5">
        <v>84.86</v>
      </c>
      <c r="F308" s="5">
        <v>85.9</v>
      </c>
      <c r="G308" s="5">
        <v>86.66</v>
      </c>
      <c r="H308" s="5">
        <v>87.68</v>
      </c>
      <c r="I308" s="6">
        <v>0.81744300000000003</v>
      </c>
    </row>
    <row r="309" spans="1:9" ht="60" x14ac:dyDescent="0.25">
      <c r="A309" s="1" t="s">
        <v>120</v>
      </c>
      <c r="B309" s="5">
        <v>0</v>
      </c>
      <c r="C309" s="5">
        <v>0</v>
      </c>
      <c r="D309" s="5">
        <v>0</v>
      </c>
      <c r="E309" s="5">
        <v>0</v>
      </c>
      <c r="F309" s="5">
        <v>0</v>
      </c>
      <c r="G309" s="5">
        <v>0</v>
      </c>
      <c r="H309" s="5">
        <v>0</v>
      </c>
      <c r="I309" s="7" t="s">
        <v>58</v>
      </c>
    </row>
    <row r="310" spans="1:9" ht="75" x14ac:dyDescent="0.25">
      <c r="A310" s="1" t="s">
        <v>121</v>
      </c>
      <c r="B310" s="5">
        <v>0</v>
      </c>
      <c r="C310" s="5">
        <v>0</v>
      </c>
      <c r="D310" s="5">
        <v>0</v>
      </c>
      <c r="E310" s="5">
        <v>0</v>
      </c>
      <c r="F310" s="5">
        <v>0</v>
      </c>
      <c r="G310" s="5">
        <v>0</v>
      </c>
      <c r="H310" s="5">
        <v>0</v>
      </c>
      <c r="I310" s="7" t="s">
        <v>58</v>
      </c>
    </row>
    <row r="311" spans="1:9" ht="75" x14ac:dyDescent="0.25">
      <c r="A311" s="1" t="s">
        <v>122</v>
      </c>
      <c r="B311" s="5">
        <v>0.11</v>
      </c>
      <c r="C311" s="5">
        <v>0.09</v>
      </c>
      <c r="D311" s="5">
        <v>7.0000000000000007E-2</v>
      </c>
      <c r="E311" s="5">
        <v>0.05</v>
      </c>
      <c r="F311" s="5">
        <v>0.04</v>
      </c>
      <c r="G311" s="5">
        <v>0.04</v>
      </c>
      <c r="H311" s="5">
        <v>0.03</v>
      </c>
      <c r="I311" s="6">
        <v>-19.470545000000001</v>
      </c>
    </row>
    <row r="312" spans="1:9" ht="60" x14ac:dyDescent="0.25">
      <c r="A312" s="1" t="s">
        <v>123</v>
      </c>
      <c r="B312" s="5">
        <v>9.1999999999999993</v>
      </c>
      <c r="C312" s="5">
        <v>9.06</v>
      </c>
      <c r="D312" s="5">
        <v>9.01</v>
      </c>
      <c r="E312" s="5">
        <v>8.9</v>
      </c>
      <c r="F312" s="5">
        <v>8.7200000000000006</v>
      </c>
      <c r="G312" s="5">
        <v>8.61</v>
      </c>
      <c r="H312" s="5">
        <v>8.44</v>
      </c>
      <c r="I312" s="6">
        <v>-1.426744</v>
      </c>
    </row>
    <row r="313" spans="1:9" ht="60" x14ac:dyDescent="0.25">
      <c r="A313" s="1" t="s">
        <v>124</v>
      </c>
      <c r="B313" s="5">
        <v>0.38</v>
      </c>
      <c r="C313" s="5">
        <v>0.3</v>
      </c>
      <c r="D313" s="5">
        <v>0.23</v>
      </c>
      <c r="E313" s="5">
        <v>0.19</v>
      </c>
      <c r="F313" s="5">
        <v>0.17</v>
      </c>
      <c r="G313" s="5">
        <v>0.13</v>
      </c>
      <c r="H313" s="5">
        <v>0.12</v>
      </c>
      <c r="I313" s="6">
        <v>-17.478659</v>
      </c>
    </row>
    <row r="314" spans="1:9" ht="60" x14ac:dyDescent="0.25">
      <c r="A314" s="1" t="s">
        <v>125</v>
      </c>
      <c r="B314" s="5">
        <v>90.3</v>
      </c>
      <c r="C314" s="5">
        <v>90.55</v>
      </c>
      <c r="D314" s="5">
        <v>90.68</v>
      </c>
      <c r="E314" s="5">
        <v>90.85</v>
      </c>
      <c r="F314" s="5">
        <v>91.07</v>
      </c>
      <c r="G314" s="5">
        <v>91.22</v>
      </c>
      <c r="H314" s="5">
        <v>91.41</v>
      </c>
      <c r="I314" s="6">
        <v>0.20383100000000001</v>
      </c>
    </row>
    <row r="315" spans="1:9" ht="60" x14ac:dyDescent="0.25">
      <c r="A315" s="1" t="s">
        <v>126</v>
      </c>
      <c r="B315" s="5">
        <v>0</v>
      </c>
      <c r="C315" s="5">
        <v>0</v>
      </c>
      <c r="D315" s="5">
        <v>0</v>
      </c>
      <c r="E315" s="5">
        <v>0</v>
      </c>
      <c r="F315" s="5">
        <v>0</v>
      </c>
      <c r="G315" s="5">
        <v>0</v>
      </c>
      <c r="H315" s="5">
        <v>0</v>
      </c>
      <c r="I315" s="7" t="s">
        <v>58</v>
      </c>
    </row>
    <row r="316" spans="1:9" ht="75" x14ac:dyDescent="0.25">
      <c r="A316" s="1" t="s">
        <v>127</v>
      </c>
      <c r="B316" s="5">
        <v>0</v>
      </c>
      <c r="C316" s="5">
        <v>0</v>
      </c>
      <c r="D316" s="5">
        <v>0</v>
      </c>
      <c r="E316" s="5">
        <v>0</v>
      </c>
      <c r="F316" s="5">
        <v>0</v>
      </c>
      <c r="G316" s="5">
        <v>0</v>
      </c>
      <c r="H316" s="5">
        <v>0</v>
      </c>
      <c r="I316" s="7" t="s">
        <v>58</v>
      </c>
    </row>
    <row r="317" spans="1:9" ht="60" x14ac:dyDescent="0.25">
      <c r="A317" s="1" t="s">
        <v>128</v>
      </c>
      <c r="B317" s="5">
        <v>0.12</v>
      </c>
      <c r="C317" s="5">
        <v>0.09</v>
      </c>
      <c r="D317" s="5">
        <v>0.08</v>
      </c>
      <c r="E317" s="5">
        <v>0.06</v>
      </c>
      <c r="F317" s="5">
        <v>0.04</v>
      </c>
      <c r="G317" s="5">
        <v>0.04</v>
      </c>
      <c r="H317" s="5">
        <v>0.03</v>
      </c>
      <c r="I317" s="6">
        <v>-20.629947000000001</v>
      </c>
    </row>
    <row r="318" spans="1:9" ht="45" x14ac:dyDescent="0.25">
      <c r="A318" s="1" t="s">
        <v>129</v>
      </c>
      <c r="B318" s="5">
        <v>7.25</v>
      </c>
      <c r="C318" s="5">
        <v>7.29</v>
      </c>
      <c r="D318" s="5">
        <v>7.51</v>
      </c>
      <c r="E318" s="5">
        <v>7.54</v>
      </c>
      <c r="F318" s="5">
        <v>7.56</v>
      </c>
      <c r="G318" s="5">
        <v>7.59</v>
      </c>
      <c r="H318" s="5">
        <v>7.6</v>
      </c>
      <c r="I318" s="6">
        <v>0.78887499087456625</v>
      </c>
    </row>
    <row r="319" spans="1:9" ht="45" x14ac:dyDescent="0.25">
      <c r="A319" s="1" t="s">
        <v>140</v>
      </c>
      <c r="B319" s="5">
        <v>5.0599999999999996</v>
      </c>
      <c r="C319" s="5">
        <v>5.14</v>
      </c>
      <c r="D319" s="5">
        <v>5.34</v>
      </c>
      <c r="E319" s="5">
        <v>5.38</v>
      </c>
      <c r="F319" s="5">
        <v>5.41</v>
      </c>
      <c r="G319" s="5">
        <v>5.44</v>
      </c>
      <c r="H319" s="5">
        <v>5.45</v>
      </c>
      <c r="I319" s="6">
        <v>1.245174</v>
      </c>
    </row>
    <row r="320" spans="1:9" ht="45" x14ac:dyDescent="0.25">
      <c r="A320" s="1" t="s">
        <v>141</v>
      </c>
      <c r="B320" s="5">
        <v>4.41</v>
      </c>
      <c r="C320" s="5">
        <v>4.4000000000000004</v>
      </c>
      <c r="D320" s="5">
        <v>4.4800000000000004</v>
      </c>
      <c r="E320" s="5">
        <v>4.45</v>
      </c>
      <c r="F320" s="5">
        <v>4.4000000000000004</v>
      </c>
      <c r="G320" s="5">
        <v>4.3499999999999996</v>
      </c>
      <c r="H320" s="5">
        <v>4.3</v>
      </c>
      <c r="I320" s="6">
        <v>-0.42010999999999998</v>
      </c>
    </row>
    <row r="321" spans="1:9" ht="45" x14ac:dyDescent="0.25">
      <c r="A321" s="1" t="s">
        <v>142</v>
      </c>
      <c r="B321" s="5">
        <v>7.5</v>
      </c>
      <c r="C321" s="5">
        <v>7.52</v>
      </c>
      <c r="D321" s="5">
        <v>7.74</v>
      </c>
      <c r="E321" s="5">
        <v>7.77</v>
      </c>
      <c r="F321" s="5">
        <v>7.77</v>
      </c>
      <c r="G321" s="5">
        <v>7.8</v>
      </c>
      <c r="H321" s="5">
        <v>7.81</v>
      </c>
      <c r="I321" s="6">
        <v>0.67731600000000003</v>
      </c>
    </row>
    <row r="322" spans="1:9" ht="60" x14ac:dyDescent="0.25">
      <c r="A322" s="1" t="s">
        <v>133</v>
      </c>
      <c r="B322" s="7" t="s">
        <v>58</v>
      </c>
      <c r="C322" s="7" t="s">
        <v>58</v>
      </c>
      <c r="D322" s="7" t="s">
        <v>58</v>
      </c>
      <c r="E322" s="7" t="s">
        <v>58</v>
      </c>
      <c r="F322" s="7" t="s">
        <v>58</v>
      </c>
      <c r="G322" s="7" t="s">
        <v>58</v>
      </c>
      <c r="H322" s="7" t="s">
        <v>58</v>
      </c>
      <c r="I322" s="7" t="s">
        <v>58</v>
      </c>
    </row>
    <row r="323" spans="1:9" ht="60" x14ac:dyDescent="0.25">
      <c r="A323" s="1" t="s">
        <v>134</v>
      </c>
      <c r="B323" s="7" t="s">
        <v>58</v>
      </c>
      <c r="C323" s="7" t="s">
        <v>58</v>
      </c>
      <c r="D323" s="7" t="s">
        <v>58</v>
      </c>
      <c r="E323" s="7" t="s">
        <v>58</v>
      </c>
      <c r="F323" s="7" t="s">
        <v>58</v>
      </c>
      <c r="G323" s="7" t="s">
        <v>58</v>
      </c>
      <c r="H323" s="7" t="s">
        <v>58</v>
      </c>
      <c r="I323" s="7" t="s">
        <v>58</v>
      </c>
    </row>
    <row r="324" spans="1:9" x14ac:dyDescent="0.25">
      <c r="A324" s="1" t="s">
        <v>12</v>
      </c>
      <c r="B324" s="2"/>
      <c r="C324" s="2"/>
      <c r="D324" s="2"/>
      <c r="E324" s="2"/>
      <c r="F324" s="2"/>
      <c r="G324" s="2"/>
      <c r="H324" s="2"/>
      <c r="I324" s="2"/>
    </row>
    <row r="325" spans="1:9" x14ac:dyDescent="0.25">
      <c r="A325" s="8" t="s">
        <v>29</v>
      </c>
      <c r="B325" s="2"/>
      <c r="C325" s="2"/>
      <c r="D325" s="2"/>
      <c r="E325" s="2"/>
      <c r="F325" s="2"/>
      <c r="G325" s="2"/>
      <c r="H325" s="2"/>
      <c r="I325" s="2"/>
    </row>
    <row r="326" spans="1:9" ht="60" x14ac:dyDescent="0.25">
      <c r="A326" s="1" t="s">
        <v>13</v>
      </c>
      <c r="B326" s="5">
        <v>45.95</v>
      </c>
      <c r="C326" s="5">
        <v>46.67</v>
      </c>
      <c r="D326" s="5">
        <v>47.11</v>
      </c>
      <c r="E326" s="5">
        <v>47.33</v>
      </c>
      <c r="F326" s="5">
        <v>47.34</v>
      </c>
      <c r="G326" s="5">
        <v>47.12</v>
      </c>
      <c r="H326" s="5">
        <v>46.69</v>
      </c>
      <c r="I326" s="6">
        <v>0.26662400000000003</v>
      </c>
    </row>
    <row r="327" spans="1:9" ht="60" x14ac:dyDescent="0.25">
      <c r="A327" s="1" t="s">
        <v>117</v>
      </c>
      <c r="B327" s="5">
        <v>24.84</v>
      </c>
      <c r="C327" s="5">
        <v>24.01</v>
      </c>
      <c r="D327" s="5">
        <v>23.32</v>
      </c>
      <c r="E327" s="5">
        <v>22.71</v>
      </c>
      <c r="F327" s="5">
        <v>22.15</v>
      </c>
      <c r="G327" s="5">
        <v>21.62</v>
      </c>
      <c r="H327" s="5">
        <v>21.14</v>
      </c>
      <c r="I327" s="6">
        <v>-2.6523289999999999</v>
      </c>
    </row>
    <row r="328" spans="1:9" ht="60" x14ac:dyDescent="0.25">
      <c r="A328" s="1" t="s">
        <v>118</v>
      </c>
      <c r="B328" s="5">
        <v>1.51</v>
      </c>
      <c r="C328" s="5">
        <v>1.24</v>
      </c>
      <c r="D328" s="5">
        <v>0.98</v>
      </c>
      <c r="E328" s="5">
        <v>0.76</v>
      </c>
      <c r="F328" s="5">
        <v>0.59</v>
      </c>
      <c r="G328" s="5">
        <v>0.46</v>
      </c>
      <c r="H328" s="5">
        <v>0.35</v>
      </c>
      <c r="I328" s="6">
        <v>-21.624224999999999</v>
      </c>
    </row>
    <row r="329" spans="1:9" ht="60" x14ac:dyDescent="0.25">
      <c r="A329" s="1" t="s">
        <v>119</v>
      </c>
      <c r="B329" s="5">
        <v>17.68</v>
      </c>
      <c r="C329" s="5">
        <v>19.559999999999999</v>
      </c>
      <c r="D329" s="5">
        <v>20.99</v>
      </c>
      <c r="E329" s="5">
        <v>22.07</v>
      </c>
      <c r="F329" s="5">
        <v>22.84</v>
      </c>
      <c r="G329" s="5">
        <v>23.31</v>
      </c>
      <c r="H329" s="5">
        <v>23.5</v>
      </c>
      <c r="I329" s="6">
        <v>4.8570419999999999</v>
      </c>
    </row>
    <row r="330" spans="1:9" ht="60" x14ac:dyDescent="0.25">
      <c r="A330" s="1" t="s">
        <v>120</v>
      </c>
      <c r="B330" s="5">
        <v>0.08</v>
      </c>
      <c r="C330" s="5">
        <v>0.06</v>
      </c>
      <c r="D330" s="5">
        <v>0.04</v>
      </c>
      <c r="E330" s="5">
        <v>0.03</v>
      </c>
      <c r="F330" s="5">
        <v>0.03</v>
      </c>
      <c r="G330" s="5">
        <v>0.02</v>
      </c>
      <c r="H330" s="5">
        <v>0.02</v>
      </c>
      <c r="I330" s="6">
        <v>-20.629947000000001</v>
      </c>
    </row>
    <row r="331" spans="1:9" ht="75" x14ac:dyDescent="0.25">
      <c r="A331" s="1" t="s">
        <v>121</v>
      </c>
      <c r="B331" s="5">
        <v>1.74</v>
      </c>
      <c r="C331" s="5">
        <v>1.7</v>
      </c>
      <c r="D331" s="5">
        <v>1.66</v>
      </c>
      <c r="E331" s="5">
        <v>1.64</v>
      </c>
      <c r="F331" s="5">
        <v>1.62</v>
      </c>
      <c r="G331" s="5">
        <v>1.6</v>
      </c>
      <c r="H331" s="5">
        <v>1.59</v>
      </c>
      <c r="I331" s="6">
        <v>-1.491287</v>
      </c>
    </row>
    <row r="332" spans="1:9" ht="75" x14ac:dyDescent="0.25">
      <c r="A332" s="1" t="s">
        <v>122</v>
      </c>
      <c r="B332" s="5">
        <v>0.1</v>
      </c>
      <c r="C332" s="5">
        <v>0.1</v>
      </c>
      <c r="D332" s="5">
        <v>0.11</v>
      </c>
      <c r="E332" s="5">
        <v>0.11</v>
      </c>
      <c r="F332" s="5">
        <v>0.11</v>
      </c>
      <c r="G332" s="5">
        <v>0.11</v>
      </c>
      <c r="H332" s="5">
        <v>0.11</v>
      </c>
      <c r="I332" s="6">
        <v>1.6011869999999999</v>
      </c>
    </row>
    <row r="333" spans="1:9" ht="60" x14ac:dyDescent="0.25">
      <c r="A333" s="1" t="s">
        <v>123</v>
      </c>
      <c r="B333" s="5">
        <v>54.05</v>
      </c>
      <c r="C333" s="5">
        <v>51.44</v>
      </c>
      <c r="D333" s="5">
        <v>49.5</v>
      </c>
      <c r="E333" s="5">
        <v>47.98</v>
      </c>
      <c r="F333" s="5">
        <v>46.79</v>
      </c>
      <c r="G333" s="5">
        <v>45.89</v>
      </c>
      <c r="H333" s="5">
        <v>45.26</v>
      </c>
      <c r="I333" s="6">
        <v>-2.9147750000000001</v>
      </c>
    </row>
    <row r="334" spans="1:9" ht="60" x14ac:dyDescent="0.25">
      <c r="A334" s="1" t="s">
        <v>124</v>
      </c>
      <c r="B334" s="5">
        <v>3.29</v>
      </c>
      <c r="C334" s="5">
        <v>2.66</v>
      </c>
      <c r="D334" s="5">
        <v>2.08</v>
      </c>
      <c r="E334" s="5">
        <v>1.61</v>
      </c>
      <c r="F334" s="5">
        <v>1.25</v>
      </c>
      <c r="G334" s="5">
        <v>0.97</v>
      </c>
      <c r="H334" s="5">
        <v>0.75</v>
      </c>
      <c r="I334" s="6">
        <v>-21.841258</v>
      </c>
    </row>
    <row r="335" spans="1:9" ht="60" x14ac:dyDescent="0.25">
      <c r="A335" s="1" t="s">
        <v>125</v>
      </c>
      <c r="B335" s="5">
        <v>38.47</v>
      </c>
      <c r="C335" s="5">
        <v>41.92</v>
      </c>
      <c r="D335" s="5">
        <v>44.56</v>
      </c>
      <c r="E335" s="5">
        <v>46.64</v>
      </c>
      <c r="F335" s="5">
        <v>48.25</v>
      </c>
      <c r="G335" s="5">
        <v>49.46</v>
      </c>
      <c r="H335" s="5">
        <v>50.33</v>
      </c>
      <c r="I335" s="6">
        <v>4.5805179999999996</v>
      </c>
    </row>
    <row r="336" spans="1:9" ht="60" x14ac:dyDescent="0.25">
      <c r="A336" s="1" t="s">
        <v>126</v>
      </c>
      <c r="B336" s="5">
        <v>0.18</v>
      </c>
      <c r="C336" s="5">
        <v>0.13</v>
      </c>
      <c r="D336" s="5">
        <v>0.09</v>
      </c>
      <c r="E336" s="5">
        <v>7.0000000000000007E-2</v>
      </c>
      <c r="F336" s="5">
        <v>0.05</v>
      </c>
      <c r="G336" s="5">
        <v>0.04</v>
      </c>
      <c r="H336" s="5">
        <v>0.03</v>
      </c>
      <c r="I336" s="6">
        <v>-25.816362000000002</v>
      </c>
    </row>
    <row r="337" spans="1:9" ht="75" x14ac:dyDescent="0.25">
      <c r="A337" s="1" t="s">
        <v>127</v>
      </c>
      <c r="B337" s="5">
        <v>3.79</v>
      </c>
      <c r="C337" s="5">
        <v>3.63</v>
      </c>
      <c r="D337" s="5">
        <v>3.53</v>
      </c>
      <c r="E337" s="5">
        <v>3.47</v>
      </c>
      <c r="F337" s="5">
        <v>3.43</v>
      </c>
      <c r="G337" s="5">
        <v>3.4</v>
      </c>
      <c r="H337" s="5">
        <v>3.4</v>
      </c>
      <c r="I337" s="6">
        <v>-1.7935639999999999</v>
      </c>
    </row>
    <row r="338" spans="1:9" ht="60" x14ac:dyDescent="0.25">
      <c r="A338" s="1" t="s">
        <v>128</v>
      </c>
      <c r="B338" s="5">
        <v>0.21</v>
      </c>
      <c r="C338" s="5">
        <v>0.22</v>
      </c>
      <c r="D338" s="5">
        <v>0.23</v>
      </c>
      <c r="E338" s="5">
        <v>0.23</v>
      </c>
      <c r="F338" s="5">
        <v>0.23</v>
      </c>
      <c r="G338" s="5">
        <v>0.23</v>
      </c>
      <c r="H338" s="5">
        <v>0.23</v>
      </c>
      <c r="I338" s="6">
        <v>1.527749</v>
      </c>
    </row>
    <row r="339" spans="1:9" ht="45" x14ac:dyDescent="0.25">
      <c r="A339" s="1" t="s">
        <v>129</v>
      </c>
      <c r="B339" s="5">
        <v>14.06</v>
      </c>
      <c r="C339" s="5">
        <v>13.56</v>
      </c>
      <c r="D339" s="5">
        <v>13.09</v>
      </c>
      <c r="E339" s="5">
        <v>12.64</v>
      </c>
      <c r="F339" s="5">
        <v>12.17</v>
      </c>
      <c r="G339" s="5">
        <v>11.68</v>
      </c>
      <c r="H339" s="5">
        <v>11.18</v>
      </c>
      <c r="I339" s="6">
        <v>-3.7480772544362773</v>
      </c>
    </row>
    <row r="340" spans="1:9" ht="45" x14ac:dyDescent="0.25">
      <c r="A340" s="1" t="s">
        <v>140</v>
      </c>
      <c r="B340" s="5">
        <v>9.9499999999999993</v>
      </c>
      <c r="C340" s="5">
        <v>9.1</v>
      </c>
      <c r="D340" s="5">
        <v>8.5299999999999994</v>
      </c>
      <c r="E340" s="5">
        <v>8.25</v>
      </c>
      <c r="F340" s="5">
        <v>8.1</v>
      </c>
      <c r="G340" s="5">
        <v>7.97</v>
      </c>
      <c r="H340" s="5">
        <v>7.83</v>
      </c>
      <c r="I340" s="6">
        <v>-3.9148109999999998</v>
      </c>
    </row>
    <row r="341" spans="1:9" ht="45" x14ac:dyDescent="0.25">
      <c r="A341" s="1" t="s">
        <v>141</v>
      </c>
      <c r="B341" s="5">
        <v>11.41</v>
      </c>
      <c r="C341" s="5">
        <v>10.93</v>
      </c>
      <c r="D341" s="5">
        <v>10.83</v>
      </c>
      <c r="E341" s="5">
        <v>10.66</v>
      </c>
      <c r="F341" s="5">
        <v>10.210000000000001</v>
      </c>
      <c r="G341" s="5">
        <v>10.16</v>
      </c>
      <c r="H341" s="5">
        <v>10.06</v>
      </c>
      <c r="I341" s="6">
        <v>-2.0768469999999999</v>
      </c>
    </row>
    <row r="342" spans="1:9" ht="45" x14ac:dyDescent="0.25">
      <c r="A342" s="1" t="s">
        <v>142</v>
      </c>
      <c r="B342" s="5">
        <v>19.63</v>
      </c>
      <c r="C342" s="5">
        <v>18.670000000000002</v>
      </c>
      <c r="D342" s="5">
        <v>17.649999999999999</v>
      </c>
      <c r="E342" s="5">
        <v>16.57</v>
      </c>
      <c r="F342" s="5">
        <v>15.48</v>
      </c>
      <c r="G342" s="5">
        <v>14.45</v>
      </c>
      <c r="H342" s="5">
        <v>13.48</v>
      </c>
      <c r="I342" s="6">
        <v>-6.072031</v>
      </c>
    </row>
    <row r="343" spans="1:9" ht="60" x14ac:dyDescent="0.25">
      <c r="A343" s="1" t="s">
        <v>133</v>
      </c>
      <c r="B343" s="7" t="s">
        <v>58</v>
      </c>
      <c r="C343" s="7" t="s">
        <v>58</v>
      </c>
      <c r="D343" s="7" t="s">
        <v>58</v>
      </c>
      <c r="E343" s="7" t="s">
        <v>58</v>
      </c>
      <c r="F343" s="7" t="s">
        <v>58</v>
      </c>
      <c r="G343" s="7" t="s">
        <v>58</v>
      </c>
      <c r="H343" s="7" t="s">
        <v>58</v>
      </c>
      <c r="I343" s="7" t="s">
        <v>58</v>
      </c>
    </row>
    <row r="344" spans="1:9" ht="60" x14ac:dyDescent="0.25">
      <c r="A344" s="1" t="s">
        <v>134</v>
      </c>
      <c r="B344" s="7" t="s">
        <v>58</v>
      </c>
      <c r="C344" s="7" t="s">
        <v>58</v>
      </c>
      <c r="D344" s="7" t="s">
        <v>58</v>
      </c>
      <c r="E344" s="7" t="s">
        <v>58</v>
      </c>
      <c r="F344" s="7" t="s">
        <v>58</v>
      </c>
      <c r="G344" s="7" t="s">
        <v>58</v>
      </c>
      <c r="H344" s="7" t="s">
        <v>58</v>
      </c>
      <c r="I344" s="7" t="s">
        <v>58</v>
      </c>
    </row>
    <row r="345" spans="1:9" x14ac:dyDescent="0.25">
      <c r="A345" s="1" t="s">
        <v>12</v>
      </c>
      <c r="B345" s="2"/>
      <c r="C345" s="2"/>
      <c r="D345" s="2"/>
      <c r="E345" s="2"/>
      <c r="F345" s="2"/>
      <c r="G345" s="2"/>
      <c r="H345" s="2"/>
      <c r="I345" s="2"/>
    </row>
    <row r="346" spans="1:9" x14ac:dyDescent="0.25">
      <c r="A346" s="8" t="s">
        <v>30</v>
      </c>
      <c r="B346" s="2"/>
      <c r="C346" s="2"/>
      <c r="D346" s="2"/>
      <c r="E346" s="2"/>
      <c r="F346" s="2"/>
      <c r="G346" s="2"/>
      <c r="H346" s="2"/>
      <c r="I346" s="2"/>
    </row>
    <row r="347" spans="1:9" ht="60" x14ac:dyDescent="0.25">
      <c r="A347" s="1" t="s">
        <v>13</v>
      </c>
      <c r="B347" s="5">
        <v>71.38</v>
      </c>
      <c r="C347" s="5">
        <v>77.47</v>
      </c>
      <c r="D347" s="5">
        <v>82.56</v>
      </c>
      <c r="E347" s="5">
        <v>86.24</v>
      </c>
      <c r="F347" s="5">
        <v>88.81</v>
      </c>
      <c r="G347" s="5">
        <v>89.9</v>
      </c>
      <c r="H347" s="5">
        <v>90.05</v>
      </c>
      <c r="I347" s="6">
        <v>3.948413</v>
      </c>
    </row>
    <row r="348" spans="1:9" ht="60" x14ac:dyDescent="0.25">
      <c r="A348" s="1" t="s">
        <v>117</v>
      </c>
      <c r="B348" s="5">
        <v>28.51</v>
      </c>
      <c r="C348" s="5">
        <v>24.6</v>
      </c>
      <c r="D348" s="5">
        <v>21.87</v>
      </c>
      <c r="E348" s="5">
        <v>19.91</v>
      </c>
      <c r="F348" s="5">
        <v>18.43</v>
      </c>
      <c r="G348" s="5">
        <v>17.29</v>
      </c>
      <c r="H348" s="5">
        <v>16.399999999999999</v>
      </c>
      <c r="I348" s="6">
        <v>-8.8042840000000009</v>
      </c>
    </row>
    <row r="349" spans="1:9" ht="60" x14ac:dyDescent="0.25">
      <c r="A349" s="1" t="s">
        <v>118</v>
      </c>
      <c r="B349" s="5">
        <v>2.0699999999999998</v>
      </c>
      <c r="C349" s="5">
        <v>0.81</v>
      </c>
      <c r="D349" s="5">
        <v>0.22</v>
      </c>
      <c r="E349" s="5">
        <v>0.03</v>
      </c>
      <c r="F349" s="5">
        <v>0</v>
      </c>
      <c r="G349" s="5">
        <v>0</v>
      </c>
      <c r="H349" s="5">
        <v>0</v>
      </c>
      <c r="I349" s="6">
        <v>-100</v>
      </c>
    </row>
    <row r="350" spans="1:9" ht="60" x14ac:dyDescent="0.25">
      <c r="A350" s="1" t="s">
        <v>119</v>
      </c>
      <c r="B350" s="5">
        <v>38.85</v>
      </c>
      <c r="C350" s="5">
        <v>47.24</v>
      </c>
      <c r="D350" s="5">
        <v>54.27</v>
      </c>
      <c r="E350" s="5">
        <v>59.81</v>
      </c>
      <c r="F350" s="5">
        <v>63.87</v>
      </c>
      <c r="G350" s="5">
        <v>66.17</v>
      </c>
      <c r="H350" s="5">
        <v>67.290000000000006</v>
      </c>
      <c r="I350" s="6">
        <v>9.5872220000000006</v>
      </c>
    </row>
    <row r="351" spans="1:9" ht="60" x14ac:dyDescent="0.25">
      <c r="A351" s="1" t="s">
        <v>120</v>
      </c>
      <c r="B351" s="5">
        <v>0</v>
      </c>
      <c r="C351" s="5">
        <v>0</v>
      </c>
      <c r="D351" s="5">
        <v>0</v>
      </c>
      <c r="E351" s="5">
        <v>0</v>
      </c>
      <c r="F351" s="5">
        <v>0</v>
      </c>
      <c r="G351" s="5">
        <v>0</v>
      </c>
      <c r="H351" s="5">
        <v>0</v>
      </c>
      <c r="I351" s="7" t="s">
        <v>58</v>
      </c>
    </row>
    <row r="352" spans="1:9" ht="75" x14ac:dyDescent="0.25">
      <c r="A352" s="1" t="s">
        <v>121</v>
      </c>
      <c r="B352" s="5">
        <v>1.94</v>
      </c>
      <c r="C352" s="5">
        <v>4.82</v>
      </c>
      <c r="D352" s="5">
        <v>6.2</v>
      </c>
      <c r="E352" s="5">
        <v>6.5</v>
      </c>
      <c r="F352" s="5">
        <v>6.5</v>
      </c>
      <c r="G352" s="5">
        <v>6.44</v>
      </c>
      <c r="H352" s="5">
        <v>6.37</v>
      </c>
      <c r="I352" s="6">
        <v>21.914759</v>
      </c>
    </row>
    <row r="353" spans="1:9" ht="75" x14ac:dyDescent="0.25">
      <c r="A353" s="1" t="s">
        <v>122</v>
      </c>
      <c r="B353" s="5">
        <v>0</v>
      </c>
      <c r="C353" s="5">
        <v>0</v>
      </c>
      <c r="D353" s="5">
        <v>0</v>
      </c>
      <c r="E353" s="5">
        <v>0</v>
      </c>
      <c r="F353" s="5">
        <v>0</v>
      </c>
      <c r="G353" s="5">
        <v>0</v>
      </c>
      <c r="H353" s="5">
        <v>0</v>
      </c>
      <c r="I353" s="7" t="s">
        <v>58</v>
      </c>
    </row>
    <row r="354" spans="1:9" ht="60" x14ac:dyDescent="0.25">
      <c r="A354" s="1" t="s">
        <v>123</v>
      </c>
      <c r="B354" s="5">
        <v>39.94</v>
      </c>
      <c r="C354" s="5">
        <v>31.76</v>
      </c>
      <c r="D354" s="5">
        <v>26.49</v>
      </c>
      <c r="E354" s="5">
        <v>23.08</v>
      </c>
      <c r="F354" s="5">
        <v>20.75</v>
      </c>
      <c r="G354" s="5">
        <v>19.23</v>
      </c>
      <c r="H354" s="5">
        <v>18.21</v>
      </c>
      <c r="I354" s="6">
        <v>-12.269558999999999</v>
      </c>
    </row>
    <row r="355" spans="1:9" ht="60" x14ac:dyDescent="0.25">
      <c r="A355" s="1" t="s">
        <v>124</v>
      </c>
      <c r="B355" s="5">
        <v>2.9</v>
      </c>
      <c r="C355" s="5">
        <v>1.05</v>
      </c>
      <c r="D355" s="5">
        <v>0.27</v>
      </c>
      <c r="E355" s="5">
        <v>0.03</v>
      </c>
      <c r="F355" s="5">
        <v>0</v>
      </c>
      <c r="G355" s="5">
        <v>0</v>
      </c>
      <c r="H355" s="5">
        <v>0</v>
      </c>
      <c r="I355" s="6">
        <v>-100</v>
      </c>
    </row>
    <row r="356" spans="1:9" ht="60" x14ac:dyDescent="0.25">
      <c r="A356" s="1" t="s">
        <v>125</v>
      </c>
      <c r="B356" s="5">
        <v>54.43</v>
      </c>
      <c r="C356" s="5">
        <v>60.98</v>
      </c>
      <c r="D356" s="5">
        <v>65.73</v>
      </c>
      <c r="E356" s="5">
        <v>69.349999999999994</v>
      </c>
      <c r="F356" s="5">
        <v>71.92</v>
      </c>
      <c r="G356" s="5">
        <v>73.599999999999994</v>
      </c>
      <c r="H356" s="5">
        <v>74.72</v>
      </c>
      <c r="I356" s="6">
        <v>5.4224459999999999</v>
      </c>
    </row>
    <row r="357" spans="1:9" ht="60" x14ac:dyDescent="0.25">
      <c r="A357" s="1" t="s">
        <v>126</v>
      </c>
      <c r="B357" s="5">
        <v>0</v>
      </c>
      <c r="C357" s="5">
        <v>0</v>
      </c>
      <c r="D357" s="5">
        <v>0</v>
      </c>
      <c r="E357" s="5">
        <v>0</v>
      </c>
      <c r="F357" s="5">
        <v>0</v>
      </c>
      <c r="G357" s="5">
        <v>0</v>
      </c>
      <c r="H357" s="5">
        <v>0</v>
      </c>
      <c r="I357" s="7" t="s">
        <v>58</v>
      </c>
    </row>
    <row r="358" spans="1:9" ht="75" x14ac:dyDescent="0.25">
      <c r="A358" s="1" t="s">
        <v>127</v>
      </c>
      <c r="B358" s="5">
        <v>2.72</v>
      </c>
      <c r="C358" s="5">
        <v>6.22</v>
      </c>
      <c r="D358" s="5">
        <v>7.51</v>
      </c>
      <c r="E358" s="5">
        <v>7.54</v>
      </c>
      <c r="F358" s="5">
        <v>7.32</v>
      </c>
      <c r="G358" s="5">
        <v>7.16</v>
      </c>
      <c r="H358" s="5">
        <v>7.07</v>
      </c>
      <c r="I358" s="6">
        <v>17.257802999999999</v>
      </c>
    </row>
    <row r="359" spans="1:9" ht="60" x14ac:dyDescent="0.25">
      <c r="A359" s="1" t="s">
        <v>128</v>
      </c>
      <c r="B359" s="5">
        <v>0</v>
      </c>
      <c r="C359" s="5">
        <v>0</v>
      </c>
      <c r="D359" s="5">
        <v>0</v>
      </c>
      <c r="E359" s="5">
        <v>0</v>
      </c>
      <c r="F359" s="5">
        <v>0</v>
      </c>
      <c r="G359" s="5">
        <v>0</v>
      </c>
      <c r="H359" s="5">
        <v>0</v>
      </c>
      <c r="I359" s="7" t="s">
        <v>58</v>
      </c>
    </row>
    <row r="360" spans="1:9" ht="45" x14ac:dyDescent="0.25">
      <c r="A360" s="1" t="s">
        <v>129</v>
      </c>
      <c r="B360" s="5">
        <v>30.08</v>
      </c>
      <c r="C360" s="5">
        <v>30.43</v>
      </c>
      <c r="D360" s="5">
        <v>29.56</v>
      </c>
      <c r="E360" s="5">
        <v>28.5</v>
      </c>
      <c r="F360" s="5">
        <v>27.97</v>
      </c>
      <c r="G360" s="5">
        <v>27.89</v>
      </c>
      <c r="H360" s="5">
        <v>28.19</v>
      </c>
      <c r="I360" s="6">
        <v>-1.0757254746388001</v>
      </c>
    </row>
    <row r="361" spans="1:9" ht="45" x14ac:dyDescent="0.25">
      <c r="A361" s="1" t="s">
        <v>140</v>
      </c>
      <c r="B361" s="7" t="s">
        <v>58</v>
      </c>
      <c r="C361" s="7" t="s">
        <v>58</v>
      </c>
      <c r="D361" s="7" t="s">
        <v>58</v>
      </c>
      <c r="E361" s="7" t="s">
        <v>58</v>
      </c>
      <c r="F361" s="7" t="s">
        <v>58</v>
      </c>
      <c r="G361" s="7" t="s">
        <v>58</v>
      </c>
      <c r="H361" s="7" t="s">
        <v>58</v>
      </c>
      <c r="I361" s="7" t="s">
        <v>58</v>
      </c>
    </row>
    <row r="362" spans="1:9" ht="45" x14ac:dyDescent="0.25">
      <c r="A362" s="1" t="s">
        <v>141</v>
      </c>
      <c r="B362" s="7" t="s">
        <v>58</v>
      </c>
      <c r="C362" s="7" t="s">
        <v>58</v>
      </c>
      <c r="D362" s="7" t="s">
        <v>58</v>
      </c>
      <c r="E362" s="7" t="s">
        <v>58</v>
      </c>
      <c r="F362" s="7" t="s">
        <v>58</v>
      </c>
      <c r="G362" s="7" t="s">
        <v>58</v>
      </c>
      <c r="H362" s="7" t="s">
        <v>58</v>
      </c>
      <c r="I362" s="7" t="s">
        <v>58</v>
      </c>
    </row>
    <row r="363" spans="1:9" ht="45" x14ac:dyDescent="0.25">
      <c r="A363" s="1" t="s">
        <v>142</v>
      </c>
      <c r="B363" s="7" t="s">
        <v>58</v>
      </c>
      <c r="C363" s="7" t="s">
        <v>58</v>
      </c>
      <c r="D363" s="7" t="s">
        <v>58</v>
      </c>
      <c r="E363" s="7" t="s">
        <v>58</v>
      </c>
      <c r="F363" s="7" t="s">
        <v>58</v>
      </c>
      <c r="G363" s="7" t="s">
        <v>58</v>
      </c>
      <c r="H363" s="7" t="s">
        <v>58</v>
      </c>
      <c r="I363" s="7" t="s">
        <v>58</v>
      </c>
    </row>
    <row r="364" spans="1:9" ht="60" x14ac:dyDescent="0.25">
      <c r="A364" s="1" t="s">
        <v>133</v>
      </c>
      <c r="B364" s="7" t="s">
        <v>58</v>
      </c>
      <c r="C364" s="7" t="s">
        <v>58</v>
      </c>
      <c r="D364" s="7" t="s">
        <v>58</v>
      </c>
      <c r="E364" s="7" t="s">
        <v>58</v>
      </c>
      <c r="F364" s="7" t="s">
        <v>58</v>
      </c>
      <c r="G364" s="7" t="s">
        <v>58</v>
      </c>
      <c r="H364" s="7" t="s">
        <v>58</v>
      </c>
      <c r="I364" s="7" t="s">
        <v>58</v>
      </c>
    </row>
    <row r="365" spans="1:9" ht="60" x14ac:dyDescent="0.25">
      <c r="A365" s="1" t="s">
        <v>134</v>
      </c>
      <c r="B365" s="7" t="s">
        <v>58</v>
      </c>
      <c r="C365" s="7" t="s">
        <v>58</v>
      </c>
      <c r="D365" s="7" t="s">
        <v>58</v>
      </c>
      <c r="E365" s="7" t="s">
        <v>58</v>
      </c>
      <c r="F365" s="7" t="s">
        <v>58</v>
      </c>
      <c r="G365" s="7" t="s">
        <v>58</v>
      </c>
      <c r="H365" s="7" t="s">
        <v>58</v>
      </c>
      <c r="I365" s="7" t="s">
        <v>58</v>
      </c>
    </row>
    <row r="366" spans="1:9" x14ac:dyDescent="0.25">
      <c r="A366" s="1" t="s">
        <v>12</v>
      </c>
      <c r="B366" s="2"/>
      <c r="C366" s="2"/>
      <c r="D366" s="2"/>
      <c r="E366" s="2"/>
      <c r="F366" s="2"/>
      <c r="G366" s="2"/>
      <c r="H366" s="2"/>
      <c r="I366" s="2"/>
    </row>
    <row r="367" spans="1:9" x14ac:dyDescent="0.25">
      <c r="A367" s="8" t="s">
        <v>31</v>
      </c>
      <c r="B367" s="2"/>
      <c r="C367" s="2"/>
      <c r="D367" s="2"/>
      <c r="E367" s="2"/>
      <c r="F367" s="2"/>
      <c r="G367" s="2"/>
      <c r="H367" s="2"/>
      <c r="I367" s="2"/>
    </row>
    <row r="368" spans="1:9" ht="60" x14ac:dyDescent="0.25">
      <c r="A368" s="1" t="s">
        <v>13</v>
      </c>
      <c r="B368" s="5">
        <v>77.930000000000007</v>
      </c>
      <c r="C368" s="5">
        <v>80.39</v>
      </c>
      <c r="D368" s="5">
        <v>81.66</v>
      </c>
      <c r="E368" s="5">
        <v>82.34</v>
      </c>
      <c r="F368" s="5">
        <v>83</v>
      </c>
      <c r="G368" s="5">
        <v>83.59</v>
      </c>
      <c r="H368" s="5">
        <v>84.11</v>
      </c>
      <c r="I368" s="6">
        <v>1.2800309999999999</v>
      </c>
    </row>
    <row r="369" spans="1:9" ht="60" x14ac:dyDescent="0.25">
      <c r="A369" s="1" t="s">
        <v>117</v>
      </c>
      <c r="B369" s="5">
        <v>11.18</v>
      </c>
      <c r="C369" s="5">
        <v>10.06</v>
      </c>
      <c r="D369" s="5">
        <v>9.8000000000000007</v>
      </c>
      <c r="E369" s="5">
        <v>9.6199999999999992</v>
      </c>
      <c r="F369" s="5">
        <v>9.49</v>
      </c>
      <c r="G369" s="5">
        <v>9.3699999999999992</v>
      </c>
      <c r="H369" s="5">
        <v>9.24</v>
      </c>
      <c r="I369" s="6">
        <v>-3.1264919999999998</v>
      </c>
    </row>
    <row r="370" spans="1:9" ht="60" x14ac:dyDescent="0.25">
      <c r="A370" s="1" t="s">
        <v>118</v>
      </c>
      <c r="B370" s="5">
        <v>38.729999999999997</v>
      </c>
      <c r="C370" s="5">
        <v>32.979999999999997</v>
      </c>
      <c r="D370" s="5">
        <v>27.32</v>
      </c>
      <c r="E370" s="5">
        <v>21.75</v>
      </c>
      <c r="F370" s="5">
        <v>16.79</v>
      </c>
      <c r="G370" s="5">
        <v>12.38</v>
      </c>
      <c r="H370" s="5">
        <v>8.4499999999999993</v>
      </c>
      <c r="I370" s="6">
        <v>-22.410753</v>
      </c>
    </row>
    <row r="371" spans="1:9" ht="60" x14ac:dyDescent="0.25">
      <c r="A371" s="1" t="s">
        <v>119</v>
      </c>
      <c r="B371" s="5">
        <v>23.89</v>
      </c>
      <c r="C371" s="5">
        <v>31.97</v>
      </c>
      <c r="D371" s="5">
        <v>39.71</v>
      </c>
      <c r="E371" s="5">
        <v>46.63</v>
      </c>
      <c r="F371" s="5">
        <v>52.8</v>
      </c>
      <c r="G371" s="5">
        <v>58.3</v>
      </c>
      <c r="H371" s="5">
        <v>63.18</v>
      </c>
      <c r="I371" s="6">
        <v>17.596368999999999</v>
      </c>
    </row>
    <row r="372" spans="1:9" ht="60" x14ac:dyDescent="0.25">
      <c r="A372" s="1" t="s">
        <v>120</v>
      </c>
      <c r="B372" s="5">
        <v>0.26</v>
      </c>
      <c r="C372" s="5">
        <v>0.87</v>
      </c>
      <c r="D372" s="5">
        <v>0.87</v>
      </c>
      <c r="E372" s="5">
        <v>0.87</v>
      </c>
      <c r="F372" s="5">
        <v>0.87</v>
      </c>
      <c r="G372" s="5">
        <v>0.87</v>
      </c>
      <c r="H372" s="5">
        <v>0.87</v>
      </c>
      <c r="I372" s="6">
        <v>22.299396999999999</v>
      </c>
    </row>
    <row r="373" spans="1:9" ht="75" x14ac:dyDescent="0.25">
      <c r="A373" s="1" t="s">
        <v>121</v>
      </c>
      <c r="B373" s="5">
        <v>3.3</v>
      </c>
      <c r="C373" s="5">
        <v>3.89</v>
      </c>
      <c r="D373" s="5">
        <v>3.36</v>
      </c>
      <c r="E373" s="5">
        <v>2.91</v>
      </c>
      <c r="F373" s="5">
        <v>2.52</v>
      </c>
      <c r="G373" s="5">
        <v>2.1800000000000002</v>
      </c>
      <c r="H373" s="5">
        <v>1.88</v>
      </c>
      <c r="I373" s="6">
        <v>-8.9512509999999992</v>
      </c>
    </row>
    <row r="374" spans="1:9" ht="75" x14ac:dyDescent="0.25">
      <c r="A374" s="1" t="s">
        <v>122</v>
      </c>
      <c r="B374" s="5">
        <v>0.56999999999999995</v>
      </c>
      <c r="C374" s="5">
        <v>0.62</v>
      </c>
      <c r="D374" s="5">
        <v>0.59</v>
      </c>
      <c r="E374" s="5">
        <v>0.56000000000000005</v>
      </c>
      <c r="F374" s="5">
        <v>0.53</v>
      </c>
      <c r="G374" s="5">
        <v>0.51</v>
      </c>
      <c r="H374" s="5">
        <v>0.48</v>
      </c>
      <c r="I374" s="6">
        <v>-2.8235420000000002</v>
      </c>
    </row>
    <row r="375" spans="1:9" ht="60" x14ac:dyDescent="0.25">
      <c r="A375" s="1" t="s">
        <v>123</v>
      </c>
      <c r="B375" s="5">
        <v>14.35</v>
      </c>
      <c r="C375" s="5">
        <v>12.52</v>
      </c>
      <c r="D375" s="5">
        <v>12</v>
      </c>
      <c r="E375" s="5">
        <v>11.68</v>
      </c>
      <c r="F375" s="5">
        <v>11.44</v>
      </c>
      <c r="G375" s="5">
        <v>11.21</v>
      </c>
      <c r="H375" s="5">
        <v>10.99</v>
      </c>
      <c r="I375" s="6">
        <v>-4.348681</v>
      </c>
    </row>
    <row r="376" spans="1:9" ht="60" x14ac:dyDescent="0.25">
      <c r="A376" s="1" t="s">
        <v>124</v>
      </c>
      <c r="B376" s="5">
        <v>49.69</v>
      </c>
      <c r="C376" s="5">
        <v>41.02</v>
      </c>
      <c r="D376" s="5">
        <v>33.450000000000003</v>
      </c>
      <c r="E376" s="5">
        <v>26.41</v>
      </c>
      <c r="F376" s="5">
        <v>20.23</v>
      </c>
      <c r="G376" s="5">
        <v>14.81</v>
      </c>
      <c r="H376" s="5">
        <v>10.050000000000001</v>
      </c>
      <c r="I376" s="6">
        <v>-23.384582000000002</v>
      </c>
    </row>
    <row r="377" spans="1:9" ht="60" x14ac:dyDescent="0.25">
      <c r="A377" s="1" t="s">
        <v>125</v>
      </c>
      <c r="B377" s="5">
        <v>30.65</v>
      </c>
      <c r="C377" s="5">
        <v>39.770000000000003</v>
      </c>
      <c r="D377" s="5">
        <v>48.64</v>
      </c>
      <c r="E377" s="5">
        <v>56.63</v>
      </c>
      <c r="F377" s="5">
        <v>63.61</v>
      </c>
      <c r="G377" s="5">
        <v>69.739999999999995</v>
      </c>
      <c r="H377" s="5">
        <v>75.12</v>
      </c>
      <c r="I377" s="6">
        <v>16.114782999999999</v>
      </c>
    </row>
    <row r="378" spans="1:9" ht="60" x14ac:dyDescent="0.25">
      <c r="A378" s="1" t="s">
        <v>126</v>
      </c>
      <c r="B378" s="5">
        <v>0.33</v>
      </c>
      <c r="C378" s="5">
        <v>1.08</v>
      </c>
      <c r="D378" s="5">
        <v>1.07</v>
      </c>
      <c r="E378" s="5">
        <v>1.06</v>
      </c>
      <c r="F378" s="5">
        <v>1.05</v>
      </c>
      <c r="G378" s="5">
        <v>1.04</v>
      </c>
      <c r="H378" s="5">
        <v>1.03</v>
      </c>
      <c r="I378" s="6">
        <v>20.889119000000001</v>
      </c>
    </row>
    <row r="379" spans="1:9" ht="75" x14ac:dyDescent="0.25">
      <c r="A379" s="1" t="s">
        <v>127</v>
      </c>
      <c r="B379" s="5">
        <v>4.24</v>
      </c>
      <c r="C379" s="5">
        <v>4.83</v>
      </c>
      <c r="D379" s="5">
        <v>4.12</v>
      </c>
      <c r="E379" s="5">
        <v>3.53</v>
      </c>
      <c r="F379" s="5">
        <v>3.03</v>
      </c>
      <c r="G379" s="5">
        <v>2.6</v>
      </c>
      <c r="H379" s="5">
        <v>2.2400000000000002</v>
      </c>
      <c r="I379" s="6">
        <v>-10.088820999999999</v>
      </c>
    </row>
    <row r="380" spans="1:9" ht="60" x14ac:dyDescent="0.25">
      <c r="A380" s="1" t="s">
        <v>128</v>
      </c>
      <c r="B380" s="5">
        <v>0.74</v>
      </c>
      <c r="C380" s="5">
        <v>0.78</v>
      </c>
      <c r="D380" s="5">
        <v>0.73</v>
      </c>
      <c r="E380" s="5">
        <v>0.68</v>
      </c>
      <c r="F380" s="5">
        <v>0.64</v>
      </c>
      <c r="G380" s="5">
        <v>0.61</v>
      </c>
      <c r="H380" s="5">
        <v>0.56999999999999995</v>
      </c>
      <c r="I380" s="6">
        <v>-4.2569650000000001</v>
      </c>
    </row>
    <row r="381" spans="1:9" ht="45" x14ac:dyDescent="0.25">
      <c r="A381" s="1" t="s">
        <v>129</v>
      </c>
      <c r="B381" s="5">
        <v>18.39</v>
      </c>
      <c r="C381" s="5">
        <v>18.25</v>
      </c>
      <c r="D381" s="5">
        <v>18.11</v>
      </c>
      <c r="E381" s="5">
        <v>18.010000000000002</v>
      </c>
      <c r="F381" s="5">
        <v>17.91</v>
      </c>
      <c r="G381" s="5">
        <v>17.829999999999998</v>
      </c>
      <c r="H381" s="5">
        <v>17.77</v>
      </c>
      <c r="I381" s="6">
        <v>-0.56995947353144505</v>
      </c>
    </row>
    <row r="382" spans="1:9" ht="45" x14ac:dyDescent="0.25">
      <c r="A382" s="1" t="s">
        <v>140</v>
      </c>
      <c r="B382" s="7" t="s">
        <v>58</v>
      </c>
      <c r="C382" s="7" t="s">
        <v>58</v>
      </c>
      <c r="D382" s="7" t="s">
        <v>58</v>
      </c>
      <c r="E382" s="7" t="s">
        <v>58</v>
      </c>
      <c r="F382" s="7" t="s">
        <v>58</v>
      </c>
      <c r="G382" s="7" t="s">
        <v>58</v>
      </c>
      <c r="H382" s="7" t="s">
        <v>58</v>
      </c>
      <c r="I382" s="7" t="s">
        <v>58</v>
      </c>
    </row>
    <row r="383" spans="1:9" ht="45" x14ac:dyDescent="0.25">
      <c r="A383" s="1" t="s">
        <v>141</v>
      </c>
      <c r="B383" s="7" t="s">
        <v>58</v>
      </c>
      <c r="C383" s="7" t="s">
        <v>58</v>
      </c>
      <c r="D383" s="7" t="s">
        <v>58</v>
      </c>
      <c r="E383" s="7" t="s">
        <v>58</v>
      </c>
      <c r="F383" s="7" t="s">
        <v>58</v>
      </c>
      <c r="G383" s="7" t="s">
        <v>58</v>
      </c>
      <c r="H383" s="7" t="s">
        <v>58</v>
      </c>
      <c r="I383" s="7" t="s">
        <v>58</v>
      </c>
    </row>
    <row r="384" spans="1:9" ht="45" x14ac:dyDescent="0.25">
      <c r="A384" s="1" t="s">
        <v>142</v>
      </c>
      <c r="B384" s="7" t="s">
        <v>58</v>
      </c>
      <c r="C384" s="7" t="s">
        <v>58</v>
      </c>
      <c r="D384" s="7" t="s">
        <v>58</v>
      </c>
      <c r="E384" s="7" t="s">
        <v>58</v>
      </c>
      <c r="F384" s="7" t="s">
        <v>58</v>
      </c>
      <c r="G384" s="7" t="s">
        <v>58</v>
      </c>
      <c r="H384" s="7" t="s">
        <v>58</v>
      </c>
      <c r="I384" s="7" t="s">
        <v>58</v>
      </c>
    </row>
    <row r="385" spans="1:9" ht="60" x14ac:dyDescent="0.25">
      <c r="A385" s="1" t="s">
        <v>133</v>
      </c>
      <c r="B385" s="7" t="s">
        <v>58</v>
      </c>
      <c r="C385" s="7" t="s">
        <v>58</v>
      </c>
      <c r="D385" s="7" t="s">
        <v>58</v>
      </c>
      <c r="E385" s="7" t="s">
        <v>58</v>
      </c>
      <c r="F385" s="7" t="s">
        <v>58</v>
      </c>
      <c r="G385" s="7" t="s">
        <v>58</v>
      </c>
      <c r="H385" s="7" t="s">
        <v>58</v>
      </c>
      <c r="I385" s="7" t="s">
        <v>58</v>
      </c>
    </row>
    <row r="386" spans="1:9" ht="60" x14ac:dyDescent="0.25">
      <c r="A386" s="1" t="s">
        <v>134</v>
      </c>
      <c r="B386" s="7" t="s">
        <v>58</v>
      </c>
      <c r="C386" s="7" t="s">
        <v>58</v>
      </c>
      <c r="D386" s="7" t="s">
        <v>58</v>
      </c>
      <c r="E386" s="7" t="s">
        <v>58</v>
      </c>
      <c r="F386" s="7" t="s">
        <v>58</v>
      </c>
      <c r="G386" s="7" t="s">
        <v>58</v>
      </c>
      <c r="H386" s="7" t="s">
        <v>58</v>
      </c>
      <c r="I386" s="7" t="s">
        <v>58</v>
      </c>
    </row>
    <row r="387" spans="1:9" x14ac:dyDescent="0.25">
      <c r="A387" s="1" t="s">
        <v>12</v>
      </c>
      <c r="B387" s="2"/>
      <c r="C387" s="2"/>
      <c r="D387" s="2"/>
      <c r="E387" s="2"/>
      <c r="F387" s="2"/>
      <c r="G387" s="2"/>
      <c r="H387" s="2"/>
      <c r="I387" s="2"/>
    </row>
    <row r="388" spans="1:9" x14ac:dyDescent="0.25">
      <c r="A388" s="8" t="s">
        <v>32</v>
      </c>
      <c r="B388" s="2"/>
      <c r="C388" s="2"/>
      <c r="D388" s="2"/>
      <c r="E388" s="2"/>
      <c r="F388" s="2"/>
      <c r="G388" s="2"/>
      <c r="H388" s="2"/>
      <c r="I388" s="2"/>
    </row>
    <row r="389" spans="1:9" ht="60" x14ac:dyDescent="0.25">
      <c r="A389" s="1" t="s">
        <v>13</v>
      </c>
      <c r="B389" s="5">
        <v>80.59</v>
      </c>
      <c r="C389" s="5">
        <v>80.89</v>
      </c>
      <c r="D389" s="5">
        <v>80.95</v>
      </c>
      <c r="E389" s="5">
        <v>81.05</v>
      </c>
      <c r="F389" s="5">
        <v>81.180000000000007</v>
      </c>
      <c r="G389" s="5">
        <v>81.349999999999994</v>
      </c>
      <c r="H389" s="5">
        <v>81.540000000000006</v>
      </c>
      <c r="I389" s="6">
        <v>0.19550999999999999</v>
      </c>
    </row>
    <row r="390" spans="1:9" ht="60" x14ac:dyDescent="0.25">
      <c r="A390" s="1" t="s">
        <v>117</v>
      </c>
      <c r="B390" s="5">
        <v>13.18</v>
      </c>
      <c r="C390" s="5">
        <v>13.01</v>
      </c>
      <c r="D390" s="5">
        <v>12.85</v>
      </c>
      <c r="E390" s="5">
        <v>12.71</v>
      </c>
      <c r="F390" s="5">
        <v>12.58</v>
      </c>
      <c r="G390" s="5">
        <v>12.47</v>
      </c>
      <c r="H390" s="5">
        <v>12.36</v>
      </c>
      <c r="I390" s="6">
        <v>-1.0648740000000001</v>
      </c>
    </row>
    <row r="391" spans="1:9" ht="60" x14ac:dyDescent="0.25">
      <c r="A391" s="1" t="s">
        <v>118</v>
      </c>
      <c r="B391" s="5">
        <v>21.68</v>
      </c>
      <c r="C391" s="5">
        <v>20.95</v>
      </c>
      <c r="D391" s="5">
        <v>20.27</v>
      </c>
      <c r="E391" s="5">
        <v>19.63</v>
      </c>
      <c r="F391" s="5">
        <v>19.03</v>
      </c>
      <c r="G391" s="5">
        <v>18.47</v>
      </c>
      <c r="H391" s="5">
        <v>17.940000000000001</v>
      </c>
      <c r="I391" s="6">
        <v>-3.1066750000000001</v>
      </c>
    </row>
    <row r="392" spans="1:9" ht="60" x14ac:dyDescent="0.25">
      <c r="A392" s="1" t="s">
        <v>119</v>
      </c>
      <c r="B392" s="5">
        <v>20.92</v>
      </c>
      <c r="C392" s="5">
        <v>22.73</v>
      </c>
      <c r="D392" s="5">
        <v>24.49</v>
      </c>
      <c r="E392" s="5">
        <v>26.2</v>
      </c>
      <c r="F392" s="5">
        <v>27.86</v>
      </c>
      <c r="G392" s="5">
        <v>29.48</v>
      </c>
      <c r="H392" s="5">
        <v>31.06</v>
      </c>
      <c r="I392" s="6">
        <v>6.8087</v>
      </c>
    </row>
    <row r="393" spans="1:9" ht="60" x14ac:dyDescent="0.25">
      <c r="A393" s="1" t="s">
        <v>120</v>
      </c>
      <c r="B393" s="5">
        <v>0.01</v>
      </c>
      <c r="C393" s="5">
        <v>0.01</v>
      </c>
      <c r="D393" s="5">
        <v>0.01</v>
      </c>
      <c r="E393" s="5">
        <v>0.01</v>
      </c>
      <c r="F393" s="5">
        <v>0.01</v>
      </c>
      <c r="G393" s="5">
        <v>0.01</v>
      </c>
      <c r="H393" s="5">
        <v>0.01</v>
      </c>
      <c r="I393" s="6">
        <v>0</v>
      </c>
    </row>
    <row r="394" spans="1:9" ht="75" x14ac:dyDescent="0.25">
      <c r="A394" s="1" t="s">
        <v>121</v>
      </c>
      <c r="B394" s="5">
        <v>24.7</v>
      </c>
      <c r="C394" s="5">
        <v>24.09</v>
      </c>
      <c r="D394" s="5">
        <v>23.23</v>
      </c>
      <c r="E394" s="5">
        <v>22.4</v>
      </c>
      <c r="F394" s="5">
        <v>21.61</v>
      </c>
      <c r="G394" s="5">
        <v>20.84</v>
      </c>
      <c r="H394" s="5">
        <v>20.09</v>
      </c>
      <c r="I394" s="6">
        <v>-3.38442</v>
      </c>
    </row>
    <row r="395" spans="1:9" ht="75" x14ac:dyDescent="0.25">
      <c r="A395" s="1" t="s">
        <v>122</v>
      </c>
      <c r="B395" s="5">
        <v>0.1</v>
      </c>
      <c r="C395" s="5">
        <v>0.1</v>
      </c>
      <c r="D395" s="5">
        <v>0.09</v>
      </c>
      <c r="E395" s="5">
        <v>0.09</v>
      </c>
      <c r="F395" s="5">
        <v>0.08</v>
      </c>
      <c r="G395" s="5">
        <v>0.08</v>
      </c>
      <c r="H395" s="5">
        <v>0.08</v>
      </c>
      <c r="I395" s="6">
        <v>-3.6507520000000002</v>
      </c>
    </row>
    <row r="396" spans="1:9" ht="60" x14ac:dyDescent="0.25">
      <c r="A396" s="1" t="s">
        <v>123</v>
      </c>
      <c r="B396" s="5">
        <v>16.350000000000001</v>
      </c>
      <c r="C396" s="5">
        <v>16.079999999999998</v>
      </c>
      <c r="D396" s="5">
        <v>15.88</v>
      </c>
      <c r="E396" s="5">
        <v>15.68</v>
      </c>
      <c r="F396" s="5">
        <v>15.5</v>
      </c>
      <c r="G396" s="5">
        <v>15.32</v>
      </c>
      <c r="H396" s="5">
        <v>15.16</v>
      </c>
      <c r="I396" s="6">
        <v>-1.2515609999999999</v>
      </c>
    </row>
    <row r="397" spans="1:9" ht="60" x14ac:dyDescent="0.25">
      <c r="A397" s="1" t="s">
        <v>124</v>
      </c>
      <c r="B397" s="5">
        <v>26.9</v>
      </c>
      <c r="C397" s="5">
        <v>25.9</v>
      </c>
      <c r="D397" s="5">
        <v>25.04</v>
      </c>
      <c r="E397" s="5">
        <v>24.22</v>
      </c>
      <c r="F397" s="5">
        <v>23.44</v>
      </c>
      <c r="G397" s="5">
        <v>22.71</v>
      </c>
      <c r="H397" s="5">
        <v>22.01</v>
      </c>
      <c r="I397" s="6">
        <v>-3.288535</v>
      </c>
    </row>
    <row r="398" spans="1:9" ht="60" x14ac:dyDescent="0.25">
      <c r="A398" s="1" t="s">
        <v>125</v>
      </c>
      <c r="B398" s="5">
        <v>25.96</v>
      </c>
      <c r="C398" s="5">
        <v>28.1</v>
      </c>
      <c r="D398" s="5">
        <v>30.25</v>
      </c>
      <c r="E398" s="5">
        <v>32.33</v>
      </c>
      <c r="F398" s="5">
        <v>34.32</v>
      </c>
      <c r="G398" s="5">
        <v>36.24</v>
      </c>
      <c r="H398" s="5">
        <v>38.090000000000003</v>
      </c>
      <c r="I398" s="6">
        <v>6.5984889999999998</v>
      </c>
    </row>
    <row r="399" spans="1:9" ht="60" x14ac:dyDescent="0.25">
      <c r="A399" s="1" t="s">
        <v>126</v>
      </c>
      <c r="B399" s="5">
        <v>0.02</v>
      </c>
      <c r="C399" s="5">
        <v>0.02</v>
      </c>
      <c r="D399" s="5">
        <v>0.02</v>
      </c>
      <c r="E399" s="5">
        <v>0.01</v>
      </c>
      <c r="F399" s="5">
        <v>0.01</v>
      </c>
      <c r="G399" s="5">
        <v>0.01</v>
      </c>
      <c r="H399" s="5">
        <v>0.01</v>
      </c>
      <c r="I399" s="6">
        <v>-10.910128</v>
      </c>
    </row>
    <row r="400" spans="1:9" ht="75" x14ac:dyDescent="0.25">
      <c r="A400" s="1" t="s">
        <v>127</v>
      </c>
      <c r="B400" s="5">
        <v>30.64</v>
      </c>
      <c r="C400" s="5">
        <v>29.78</v>
      </c>
      <c r="D400" s="5">
        <v>28.7</v>
      </c>
      <c r="E400" s="5">
        <v>27.64</v>
      </c>
      <c r="F400" s="5">
        <v>26.61</v>
      </c>
      <c r="G400" s="5">
        <v>25.61</v>
      </c>
      <c r="H400" s="5">
        <v>24.64</v>
      </c>
      <c r="I400" s="6">
        <v>-3.5670790000000001</v>
      </c>
    </row>
    <row r="401" spans="1:9" ht="60" x14ac:dyDescent="0.25">
      <c r="A401" s="1" t="s">
        <v>128</v>
      </c>
      <c r="B401" s="5">
        <v>0.13</v>
      </c>
      <c r="C401" s="5">
        <v>0.12</v>
      </c>
      <c r="D401" s="5">
        <v>0.12</v>
      </c>
      <c r="E401" s="5">
        <v>0.11</v>
      </c>
      <c r="F401" s="5">
        <v>0.1</v>
      </c>
      <c r="G401" s="5">
        <v>0.1</v>
      </c>
      <c r="H401" s="5">
        <v>0.09</v>
      </c>
      <c r="I401" s="6">
        <v>-5.9447169999999998</v>
      </c>
    </row>
    <row r="402" spans="1:9" ht="45" x14ac:dyDescent="0.25">
      <c r="A402" s="1" t="s">
        <v>129</v>
      </c>
      <c r="B402" s="7" t="s">
        <v>58</v>
      </c>
      <c r="C402" s="7" t="s">
        <v>58</v>
      </c>
      <c r="D402" s="7" t="s">
        <v>58</v>
      </c>
      <c r="E402" s="7" t="s">
        <v>58</v>
      </c>
      <c r="F402" s="7" t="s">
        <v>58</v>
      </c>
      <c r="G402" s="7" t="s">
        <v>58</v>
      </c>
      <c r="H402" s="7" t="s">
        <v>58</v>
      </c>
      <c r="I402" s="7" t="s">
        <v>58</v>
      </c>
    </row>
    <row r="403" spans="1:9" ht="45" x14ac:dyDescent="0.25">
      <c r="A403" s="1" t="s">
        <v>140</v>
      </c>
      <c r="B403" s="7" t="s">
        <v>58</v>
      </c>
      <c r="C403" s="7" t="s">
        <v>58</v>
      </c>
      <c r="D403" s="7" t="s">
        <v>58</v>
      </c>
      <c r="E403" s="7" t="s">
        <v>58</v>
      </c>
      <c r="F403" s="7" t="s">
        <v>58</v>
      </c>
      <c r="G403" s="7" t="s">
        <v>58</v>
      </c>
      <c r="H403" s="7" t="s">
        <v>58</v>
      </c>
      <c r="I403" s="7" t="s">
        <v>58</v>
      </c>
    </row>
    <row r="404" spans="1:9" ht="45" x14ac:dyDescent="0.25">
      <c r="A404" s="1" t="s">
        <v>141</v>
      </c>
      <c r="B404" s="7" t="s">
        <v>58</v>
      </c>
      <c r="C404" s="7" t="s">
        <v>58</v>
      </c>
      <c r="D404" s="7" t="s">
        <v>58</v>
      </c>
      <c r="E404" s="7" t="s">
        <v>58</v>
      </c>
      <c r="F404" s="7" t="s">
        <v>58</v>
      </c>
      <c r="G404" s="7" t="s">
        <v>58</v>
      </c>
      <c r="H404" s="7" t="s">
        <v>58</v>
      </c>
      <c r="I404" s="7" t="s">
        <v>58</v>
      </c>
    </row>
    <row r="405" spans="1:9" ht="45" x14ac:dyDescent="0.25">
      <c r="A405" s="1" t="s">
        <v>142</v>
      </c>
      <c r="B405" s="7" t="s">
        <v>58</v>
      </c>
      <c r="C405" s="7" t="s">
        <v>58</v>
      </c>
      <c r="D405" s="7" t="s">
        <v>58</v>
      </c>
      <c r="E405" s="7" t="s">
        <v>58</v>
      </c>
      <c r="F405" s="7" t="s">
        <v>58</v>
      </c>
      <c r="G405" s="7" t="s">
        <v>58</v>
      </c>
      <c r="H405" s="7" t="s">
        <v>58</v>
      </c>
      <c r="I405" s="7" t="s">
        <v>58</v>
      </c>
    </row>
    <row r="406" spans="1:9" ht="60" x14ac:dyDescent="0.25">
      <c r="A406" s="1" t="s">
        <v>133</v>
      </c>
      <c r="B406" s="7" t="s">
        <v>58</v>
      </c>
      <c r="C406" s="7" t="s">
        <v>58</v>
      </c>
      <c r="D406" s="7" t="s">
        <v>58</v>
      </c>
      <c r="E406" s="7" t="s">
        <v>58</v>
      </c>
      <c r="F406" s="7" t="s">
        <v>58</v>
      </c>
      <c r="G406" s="7" t="s">
        <v>58</v>
      </c>
      <c r="H406" s="7" t="s">
        <v>58</v>
      </c>
      <c r="I406" s="7" t="s">
        <v>58</v>
      </c>
    </row>
    <row r="407" spans="1:9" ht="60" x14ac:dyDescent="0.25">
      <c r="A407" s="1" t="s">
        <v>134</v>
      </c>
      <c r="B407" s="7" t="s">
        <v>58</v>
      </c>
      <c r="C407" s="7" t="s">
        <v>58</v>
      </c>
      <c r="D407" s="7" t="s">
        <v>58</v>
      </c>
      <c r="E407" s="7" t="s">
        <v>58</v>
      </c>
      <c r="F407" s="7" t="s">
        <v>58</v>
      </c>
      <c r="G407" s="7" t="s">
        <v>58</v>
      </c>
      <c r="H407" s="7" t="s">
        <v>58</v>
      </c>
      <c r="I407" s="7" t="s">
        <v>58</v>
      </c>
    </row>
    <row r="408" spans="1:9" x14ac:dyDescent="0.25">
      <c r="A408" s="1" t="s">
        <v>12</v>
      </c>
      <c r="B408" s="2"/>
      <c r="C408" s="2"/>
      <c r="D408" s="2"/>
      <c r="E408" s="2"/>
      <c r="F408" s="2"/>
      <c r="G408" s="2"/>
      <c r="H408" s="2"/>
      <c r="I408" s="2"/>
    </row>
    <row r="409" spans="1:9" x14ac:dyDescent="0.25">
      <c r="A409" s="8" t="s">
        <v>33</v>
      </c>
      <c r="B409" s="2"/>
      <c r="C409" s="2"/>
      <c r="D409" s="2"/>
      <c r="E409" s="2"/>
      <c r="F409" s="2"/>
      <c r="G409" s="2"/>
      <c r="H409" s="2"/>
      <c r="I409" s="2"/>
    </row>
    <row r="410" spans="1:9" ht="60" x14ac:dyDescent="0.25">
      <c r="A410" s="1" t="s">
        <v>13</v>
      </c>
      <c r="B410" s="5">
        <v>90.54</v>
      </c>
      <c r="C410" s="5">
        <v>90.87</v>
      </c>
      <c r="D410" s="5">
        <v>90.85</v>
      </c>
      <c r="E410" s="5">
        <v>90.87</v>
      </c>
      <c r="F410" s="5">
        <v>90.95</v>
      </c>
      <c r="G410" s="5">
        <v>91.05</v>
      </c>
      <c r="H410" s="5">
        <v>91.18</v>
      </c>
      <c r="I410" s="6">
        <v>0.117466</v>
      </c>
    </row>
    <row r="411" spans="1:9" ht="60" x14ac:dyDescent="0.25">
      <c r="A411" s="1" t="s">
        <v>117</v>
      </c>
      <c r="B411" s="5">
        <v>31.17</v>
      </c>
      <c r="C411" s="5">
        <v>30.79</v>
      </c>
      <c r="D411" s="5">
        <v>30.4</v>
      </c>
      <c r="E411" s="5">
        <v>29.97</v>
      </c>
      <c r="F411" s="5">
        <v>29.53</v>
      </c>
      <c r="G411" s="5">
        <v>29.06</v>
      </c>
      <c r="H411" s="5">
        <v>28.56</v>
      </c>
      <c r="I411" s="6">
        <v>-1.4469129999999999</v>
      </c>
    </row>
    <row r="412" spans="1:9" ht="60" x14ac:dyDescent="0.25">
      <c r="A412" s="1" t="s">
        <v>118</v>
      </c>
      <c r="B412" s="5">
        <v>9.81</v>
      </c>
      <c r="C412" s="5">
        <v>8.83</v>
      </c>
      <c r="D412" s="5">
        <v>7.95</v>
      </c>
      <c r="E412" s="5">
        <v>7.17</v>
      </c>
      <c r="F412" s="5">
        <v>6.47</v>
      </c>
      <c r="G412" s="5">
        <v>5.84</v>
      </c>
      <c r="H412" s="5">
        <v>5.28</v>
      </c>
      <c r="I412" s="6">
        <v>-9.8094950000000001</v>
      </c>
    </row>
    <row r="413" spans="1:9" ht="60" x14ac:dyDescent="0.25">
      <c r="A413" s="1" t="s">
        <v>119</v>
      </c>
      <c r="B413" s="5">
        <v>49.01</v>
      </c>
      <c r="C413" s="5">
        <v>50.72</v>
      </c>
      <c r="D413" s="5">
        <v>51.98</v>
      </c>
      <c r="E413" s="5">
        <v>53.22</v>
      </c>
      <c r="F413" s="5">
        <v>54.44</v>
      </c>
      <c r="G413" s="5">
        <v>55.63</v>
      </c>
      <c r="H413" s="5">
        <v>56.8</v>
      </c>
      <c r="I413" s="6">
        <v>2.489004</v>
      </c>
    </row>
    <row r="414" spans="1:9" ht="60" x14ac:dyDescent="0.25">
      <c r="A414" s="1" t="s">
        <v>120</v>
      </c>
      <c r="B414" s="5">
        <v>0.02</v>
      </c>
      <c r="C414" s="5">
        <v>0.02</v>
      </c>
      <c r="D414" s="5">
        <v>0.03</v>
      </c>
      <c r="E414" s="5">
        <v>0.03</v>
      </c>
      <c r="F414" s="5">
        <v>0.03</v>
      </c>
      <c r="G414" s="5">
        <v>0.03</v>
      </c>
      <c r="H414" s="5">
        <v>0.03</v>
      </c>
      <c r="I414" s="6">
        <v>6.9913189999999998</v>
      </c>
    </row>
    <row r="415" spans="1:9" ht="75" x14ac:dyDescent="0.25">
      <c r="A415" s="1" t="s">
        <v>121</v>
      </c>
      <c r="B415" s="5">
        <v>0.52</v>
      </c>
      <c r="C415" s="5">
        <v>0.5</v>
      </c>
      <c r="D415" s="5">
        <v>0.49</v>
      </c>
      <c r="E415" s="5">
        <v>0.48</v>
      </c>
      <c r="F415" s="5">
        <v>0.49</v>
      </c>
      <c r="G415" s="5">
        <v>0.49</v>
      </c>
      <c r="H415" s="5">
        <v>0.51</v>
      </c>
      <c r="I415" s="6">
        <v>-0.32311200000000001</v>
      </c>
    </row>
    <row r="416" spans="1:9" ht="75" x14ac:dyDescent="0.25">
      <c r="A416" s="1" t="s">
        <v>122</v>
      </c>
      <c r="B416" s="5">
        <v>0</v>
      </c>
      <c r="C416" s="5">
        <v>0</v>
      </c>
      <c r="D416" s="5">
        <v>0</v>
      </c>
      <c r="E416" s="5">
        <v>0</v>
      </c>
      <c r="F416" s="5">
        <v>0</v>
      </c>
      <c r="G416" s="5">
        <v>0</v>
      </c>
      <c r="H416" s="5">
        <v>0</v>
      </c>
      <c r="I416" s="7" t="s">
        <v>58</v>
      </c>
    </row>
    <row r="417" spans="1:9" ht="60" x14ac:dyDescent="0.25">
      <c r="A417" s="1" t="s">
        <v>123</v>
      </c>
      <c r="B417" s="5">
        <v>34.42</v>
      </c>
      <c r="C417" s="5">
        <v>33.89</v>
      </c>
      <c r="D417" s="5">
        <v>33.46</v>
      </c>
      <c r="E417" s="5">
        <v>32.979999999999997</v>
      </c>
      <c r="F417" s="5">
        <v>32.46</v>
      </c>
      <c r="G417" s="5">
        <v>31.91</v>
      </c>
      <c r="H417" s="5">
        <v>31.33</v>
      </c>
      <c r="I417" s="6">
        <v>-1.5554699999999999</v>
      </c>
    </row>
    <row r="418" spans="1:9" ht="60" x14ac:dyDescent="0.25">
      <c r="A418" s="1" t="s">
        <v>124</v>
      </c>
      <c r="B418" s="5">
        <v>10.84</v>
      </c>
      <c r="C418" s="5">
        <v>9.7100000000000009</v>
      </c>
      <c r="D418" s="5">
        <v>8.75</v>
      </c>
      <c r="E418" s="5">
        <v>7.89</v>
      </c>
      <c r="F418" s="5">
        <v>7.11</v>
      </c>
      <c r="G418" s="5">
        <v>6.42</v>
      </c>
      <c r="H418" s="5">
        <v>5.8</v>
      </c>
      <c r="I418" s="6">
        <v>-9.8982720000000004</v>
      </c>
    </row>
    <row r="419" spans="1:9" ht="60" x14ac:dyDescent="0.25">
      <c r="A419" s="1" t="s">
        <v>125</v>
      </c>
      <c r="B419" s="5">
        <v>54.14</v>
      </c>
      <c r="C419" s="5">
        <v>55.82</v>
      </c>
      <c r="D419" s="5">
        <v>57.22</v>
      </c>
      <c r="E419" s="5">
        <v>58.57</v>
      </c>
      <c r="F419" s="5">
        <v>59.86</v>
      </c>
      <c r="G419" s="5">
        <v>61.1</v>
      </c>
      <c r="H419" s="5">
        <v>62.29</v>
      </c>
      <c r="I419" s="6">
        <v>2.364652</v>
      </c>
    </row>
    <row r="420" spans="1:9" ht="60" x14ac:dyDescent="0.25">
      <c r="A420" s="1" t="s">
        <v>126</v>
      </c>
      <c r="B420" s="5">
        <v>0.02</v>
      </c>
      <c r="C420" s="5">
        <v>0.03</v>
      </c>
      <c r="D420" s="5">
        <v>0.03</v>
      </c>
      <c r="E420" s="5">
        <v>0.03</v>
      </c>
      <c r="F420" s="5">
        <v>0.03</v>
      </c>
      <c r="G420" s="5">
        <v>0.03</v>
      </c>
      <c r="H420" s="5">
        <v>0.03</v>
      </c>
      <c r="I420" s="6">
        <v>6.9913189999999998</v>
      </c>
    </row>
    <row r="421" spans="1:9" ht="75" x14ac:dyDescent="0.25">
      <c r="A421" s="1" t="s">
        <v>127</v>
      </c>
      <c r="B421" s="5">
        <v>0.57999999999999996</v>
      </c>
      <c r="C421" s="5">
        <v>0.55000000000000004</v>
      </c>
      <c r="D421" s="5">
        <v>0.54</v>
      </c>
      <c r="E421" s="5">
        <v>0.53</v>
      </c>
      <c r="F421" s="5">
        <v>0.53</v>
      </c>
      <c r="G421" s="5">
        <v>0.54</v>
      </c>
      <c r="H421" s="5">
        <v>0.55000000000000004</v>
      </c>
      <c r="I421" s="6">
        <v>-0.88125799999999999</v>
      </c>
    </row>
    <row r="422" spans="1:9" ht="60" x14ac:dyDescent="0.25">
      <c r="A422" s="1" t="s">
        <v>128</v>
      </c>
      <c r="B422" s="5">
        <v>0</v>
      </c>
      <c r="C422" s="5">
        <v>0</v>
      </c>
      <c r="D422" s="5">
        <v>0</v>
      </c>
      <c r="E422" s="5">
        <v>0</v>
      </c>
      <c r="F422" s="5">
        <v>0</v>
      </c>
      <c r="G422" s="5">
        <v>0</v>
      </c>
      <c r="H422" s="5">
        <v>0</v>
      </c>
      <c r="I422" s="7" t="s">
        <v>58</v>
      </c>
    </row>
    <row r="423" spans="1:9" ht="45" x14ac:dyDescent="0.25">
      <c r="A423" s="1" t="s">
        <v>129</v>
      </c>
      <c r="B423" s="5">
        <v>33.11</v>
      </c>
      <c r="C423" s="5">
        <v>34.04</v>
      </c>
      <c r="D423" s="5">
        <v>34.97</v>
      </c>
      <c r="E423" s="5">
        <v>35.909999999999997</v>
      </c>
      <c r="F423" s="5">
        <v>36.89</v>
      </c>
      <c r="G423" s="5">
        <v>37.89</v>
      </c>
      <c r="H423" s="5">
        <v>38.909999999999997</v>
      </c>
      <c r="I423" s="6">
        <v>2.7267799443083218</v>
      </c>
    </row>
    <row r="424" spans="1:9" ht="45" x14ac:dyDescent="0.25">
      <c r="A424" s="1" t="s">
        <v>140</v>
      </c>
      <c r="B424" s="5">
        <v>21.49</v>
      </c>
      <c r="C424" s="5">
        <v>22.42</v>
      </c>
      <c r="D424" s="5">
        <v>23.34</v>
      </c>
      <c r="E424" s="5">
        <v>24.24</v>
      </c>
      <c r="F424" s="5">
        <v>25.14</v>
      </c>
      <c r="G424" s="5">
        <v>26.04</v>
      </c>
      <c r="H424" s="5">
        <v>26.94</v>
      </c>
      <c r="I424" s="6">
        <v>3.8389280000000001</v>
      </c>
    </row>
    <row r="425" spans="1:9" ht="45" x14ac:dyDescent="0.25">
      <c r="A425" s="1" t="s">
        <v>141</v>
      </c>
      <c r="B425" s="5">
        <v>23.93</v>
      </c>
      <c r="C425" s="5">
        <v>22.78</v>
      </c>
      <c r="D425" s="5">
        <v>21.75</v>
      </c>
      <c r="E425" s="5">
        <v>20.84</v>
      </c>
      <c r="F425" s="5">
        <v>20.010000000000002</v>
      </c>
      <c r="G425" s="5">
        <v>19.260000000000002</v>
      </c>
      <c r="H425" s="5">
        <v>18.54</v>
      </c>
      <c r="I425" s="6">
        <v>-4.1641849999999998</v>
      </c>
    </row>
    <row r="426" spans="1:9" ht="45" x14ac:dyDescent="0.25">
      <c r="A426" s="1" t="s">
        <v>142</v>
      </c>
      <c r="B426" s="5">
        <v>42.75</v>
      </c>
      <c r="C426" s="5">
        <v>43.43</v>
      </c>
      <c r="D426" s="5">
        <v>44.13</v>
      </c>
      <c r="E426" s="5">
        <v>44.85</v>
      </c>
      <c r="F426" s="5">
        <v>45.59</v>
      </c>
      <c r="G426" s="5">
        <v>46.36</v>
      </c>
      <c r="H426" s="5">
        <v>47.15</v>
      </c>
      <c r="I426" s="6">
        <v>1.6461490000000001</v>
      </c>
    </row>
    <row r="427" spans="1:9" ht="60" x14ac:dyDescent="0.25">
      <c r="A427" s="1" t="s">
        <v>133</v>
      </c>
      <c r="B427" s="5">
        <v>2.6028875999999999E-2</v>
      </c>
      <c r="C427" s="5">
        <v>2.6112766999999999E-2</v>
      </c>
      <c r="D427" s="5">
        <v>2.6505399999999998E-2</v>
      </c>
      <c r="E427" s="5">
        <v>2.7697556000000002E-2</v>
      </c>
      <c r="F427" s="5">
        <v>2.6257498000000001E-2</v>
      </c>
      <c r="G427" s="5">
        <v>2.6779193999999999E-2</v>
      </c>
      <c r="H427" s="5">
        <v>2.77401E-2</v>
      </c>
      <c r="I427" s="6">
        <v>1.0668588279586055</v>
      </c>
    </row>
    <row r="428" spans="1:9" ht="60" x14ac:dyDescent="0.25">
      <c r="A428" s="1" t="s">
        <v>134</v>
      </c>
      <c r="B428" s="7" t="s">
        <v>58</v>
      </c>
      <c r="C428" s="7" t="s">
        <v>58</v>
      </c>
      <c r="D428" s="7" t="s">
        <v>58</v>
      </c>
      <c r="E428" s="7" t="s">
        <v>58</v>
      </c>
      <c r="F428" s="7" t="s">
        <v>58</v>
      </c>
      <c r="G428" s="7" t="s">
        <v>58</v>
      </c>
      <c r="H428" s="7" t="s">
        <v>58</v>
      </c>
      <c r="I428" s="7" t="s">
        <v>58</v>
      </c>
    </row>
    <row r="429" spans="1:9" x14ac:dyDescent="0.25">
      <c r="A429" s="1" t="s">
        <v>12</v>
      </c>
      <c r="B429" s="2"/>
      <c r="C429" s="2"/>
      <c r="D429" s="2"/>
      <c r="E429" s="2"/>
      <c r="F429" s="2"/>
      <c r="G429" s="2"/>
      <c r="H429" s="2"/>
      <c r="I429" s="2"/>
    </row>
    <row r="430" spans="1:9" ht="30" x14ac:dyDescent="0.25">
      <c r="A430" s="8" t="s">
        <v>34</v>
      </c>
      <c r="B430" s="2"/>
      <c r="C430" s="2"/>
      <c r="D430" s="2"/>
      <c r="E430" s="2"/>
      <c r="F430" s="2"/>
      <c r="G430" s="2"/>
      <c r="H430" s="2"/>
      <c r="I430" s="2"/>
    </row>
    <row r="431" spans="1:9" ht="60" x14ac:dyDescent="0.25">
      <c r="A431" s="1" t="s">
        <v>13</v>
      </c>
      <c r="B431" s="5">
        <v>34.950000000000003</v>
      </c>
      <c r="C431" s="5">
        <v>35.590000000000003</v>
      </c>
      <c r="D431" s="5">
        <v>37.35</v>
      </c>
      <c r="E431" s="5">
        <v>39.1</v>
      </c>
      <c r="F431" s="5">
        <v>40.78</v>
      </c>
      <c r="G431" s="5">
        <v>42.25</v>
      </c>
      <c r="H431" s="5">
        <v>43.64</v>
      </c>
      <c r="I431" s="6">
        <v>3.7702650000000002</v>
      </c>
    </row>
    <row r="432" spans="1:9" ht="60" x14ac:dyDescent="0.25">
      <c r="A432" s="1" t="s">
        <v>117</v>
      </c>
      <c r="B432" s="5">
        <v>4.96</v>
      </c>
      <c r="C432" s="5">
        <v>5.0999999999999996</v>
      </c>
      <c r="D432" s="5">
        <v>5.22</v>
      </c>
      <c r="E432" s="5">
        <v>5.34</v>
      </c>
      <c r="F432" s="5">
        <v>5.45</v>
      </c>
      <c r="G432" s="5">
        <v>5.55</v>
      </c>
      <c r="H432" s="5">
        <v>5.64</v>
      </c>
      <c r="I432" s="6">
        <v>2.164396</v>
      </c>
    </row>
    <row r="433" spans="1:9" ht="60" x14ac:dyDescent="0.25">
      <c r="A433" s="1" t="s">
        <v>118</v>
      </c>
      <c r="B433" s="5">
        <v>5.76</v>
      </c>
      <c r="C433" s="5">
        <v>5.3</v>
      </c>
      <c r="D433" s="5">
        <v>4.93</v>
      </c>
      <c r="E433" s="5">
        <v>4.6500000000000004</v>
      </c>
      <c r="F433" s="5">
        <v>4.41</v>
      </c>
      <c r="G433" s="5">
        <v>4.22</v>
      </c>
      <c r="H433" s="5">
        <v>4.05</v>
      </c>
      <c r="I433" s="6">
        <v>-5.7013610000000003</v>
      </c>
    </row>
    <row r="434" spans="1:9" ht="60" x14ac:dyDescent="0.25">
      <c r="A434" s="1" t="s">
        <v>119</v>
      </c>
      <c r="B434" s="5">
        <v>18.59</v>
      </c>
      <c r="C434" s="5">
        <v>19.46</v>
      </c>
      <c r="D434" s="5">
        <v>21.37</v>
      </c>
      <c r="E434" s="5">
        <v>23.18</v>
      </c>
      <c r="F434" s="5">
        <v>24.86</v>
      </c>
      <c r="G434" s="5">
        <v>26.29</v>
      </c>
      <c r="H434" s="5">
        <v>27.61</v>
      </c>
      <c r="I434" s="6">
        <v>6.8147359999999999</v>
      </c>
    </row>
    <row r="435" spans="1:9" ht="60" x14ac:dyDescent="0.25">
      <c r="A435" s="1" t="s">
        <v>120</v>
      </c>
      <c r="B435" s="5">
        <v>0.82</v>
      </c>
      <c r="C435" s="5">
        <v>0.89</v>
      </c>
      <c r="D435" s="5">
        <v>0.97</v>
      </c>
      <c r="E435" s="5">
        <v>1.06</v>
      </c>
      <c r="F435" s="5">
        <v>1.1499999999999999</v>
      </c>
      <c r="G435" s="5">
        <v>1.25</v>
      </c>
      <c r="H435" s="5">
        <v>1.36</v>
      </c>
      <c r="I435" s="6">
        <v>8.7979830000000003</v>
      </c>
    </row>
    <row r="436" spans="1:9" ht="75" x14ac:dyDescent="0.25">
      <c r="A436" s="1" t="s">
        <v>121</v>
      </c>
      <c r="B436" s="5">
        <v>4.82</v>
      </c>
      <c r="C436" s="5">
        <v>4.84</v>
      </c>
      <c r="D436" s="5">
        <v>4.8499999999999996</v>
      </c>
      <c r="E436" s="5">
        <v>4.87</v>
      </c>
      <c r="F436" s="5">
        <v>4.9000000000000004</v>
      </c>
      <c r="G436" s="5">
        <v>4.9400000000000004</v>
      </c>
      <c r="H436" s="5">
        <v>4.9800000000000004</v>
      </c>
      <c r="I436" s="6">
        <v>0.54574999999999996</v>
      </c>
    </row>
    <row r="437" spans="1:9" ht="75" x14ac:dyDescent="0.25">
      <c r="A437" s="1" t="s">
        <v>122</v>
      </c>
      <c r="B437" s="5">
        <v>0.01</v>
      </c>
      <c r="C437" s="5">
        <v>0.01</v>
      </c>
      <c r="D437" s="5">
        <v>0.01</v>
      </c>
      <c r="E437" s="5">
        <v>0.01</v>
      </c>
      <c r="F437" s="5">
        <v>0.01</v>
      </c>
      <c r="G437" s="5">
        <v>0.01</v>
      </c>
      <c r="H437" s="5">
        <v>0.01</v>
      </c>
      <c r="I437" s="6">
        <v>0</v>
      </c>
    </row>
    <row r="438" spans="1:9" ht="60" x14ac:dyDescent="0.25">
      <c r="A438" s="1" t="s">
        <v>123</v>
      </c>
      <c r="B438" s="5">
        <v>14.18</v>
      </c>
      <c r="C438" s="5">
        <v>14.33</v>
      </c>
      <c r="D438" s="5">
        <v>13.99</v>
      </c>
      <c r="E438" s="5">
        <v>13.66</v>
      </c>
      <c r="F438" s="5">
        <v>13.36</v>
      </c>
      <c r="G438" s="5">
        <v>13.13</v>
      </c>
      <c r="H438" s="5">
        <v>12.92</v>
      </c>
      <c r="I438" s="6">
        <v>-1.538969</v>
      </c>
    </row>
    <row r="439" spans="1:9" ht="60" x14ac:dyDescent="0.25">
      <c r="A439" s="1" t="s">
        <v>124</v>
      </c>
      <c r="B439" s="5">
        <v>16.48</v>
      </c>
      <c r="C439" s="5">
        <v>14.89</v>
      </c>
      <c r="D439" s="5">
        <v>13.21</v>
      </c>
      <c r="E439" s="5">
        <v>11.88</v>
      </c>
      <c r="F439" s="5">
        <v>10.82</v>
      </c>
      <c r="G439" s="5">
        <v>9.98</v>
      </c>
      <c r="H439" s="5">
        <v>9.2899999999999991</v>
      </c>
      <c r="I439" s="6">
        <v>-9.1113289999999996</v>
      </c>
    </row>
    <row r="440" spans="1:9" ht="60" x14ac:dyDescent="0.25">
      <c r="A440" s="1" t="s">
        <v>125</v>
      </c>
      <c r="B440" s="5">
        <v>53.18</v>
      </c>
      <c r="C440" s="5">
        <v>54.68</v>
      </c>
      <c r="D440" s="5">
        <v>57.2</v>
      </c>
      <c r="E440" s="5">
        <v>59.28</v>
      </c>
      <c r="F440" s="5">
        <v>60.96</v>
      </c>
      <c r="G440" s="5">
        <v>62.23</v>
      </c>
      <c r="H440" s="5">
        <v>63.26</v>
      </c>
      <c r="I440" s="6">
        <v>2.9350960000000001</v>
      </c>
    </row>
    <row r="441" spans="1:9" ht="60" x14ac:dyDescent="0.25">
      <c r="A441" s="1" t="s">
        <v>126</v>
      </c>
      <c r="B441" s="5">
        <v>2.34</v>
      </c>
      <c r="C441" s="5">
        <v>2.5</v>
      </c>
      <c r="D441" s="5">
        <v>2.6</v>
      </c>
      <c r="E441" s="5">
        <v>2.7</v>
      </c>
      <c r="F441" s="5">
        <v>2.82</v>
      </c>
      <c r="G441" s="5">
        <v>2.96</v>
      </c>
      <c r="H441" s="5">
        <v>3.12</v>
      </c>
      <c r="I441" s="6">
        <v>4.9115060000000001</v>
      </c>
    </row>
    <row r="442" spans="1:9" ht="75" x14ac:dyDescent="0.25">
      <c r="A442" s="1" t="s">
        <v>127</v>
      </c>
      <c r="B442" s="5">
        <v>13.8</v>
      </c>
      <c r="C442" s="5">
        <v>13.59</v>
      </c>
      <c r="D442" s="5">
        <v>12.98</v>
      </c>
      <c r="E442" s="5">
        <v>12.46</v>
      </c>
      <c r="F442" s="5">
        <v>12.02</v>
      </c>
      <c r="G442" s="5">
        <v>11.68</v>
      </c>
      <c r="H442" s="5">
        <v>11.4</v>
      </c>
      <c r="I442" s="6">
        <v>-3.13409</v>
      </c>
    </row>
    <row r="443" spans="1:9" ht="60" x14ac:dyDescent="0.25">
      <c r="A443" s="1" t="s">
        <v>128</v>
      </c>
      <c r="B443" s="5">
        <v>0.02</v>
      </c>
      <c r="C443" s="5">
        <v>0.02</v>
      </c>
      <c r="D443" s="5">
        <v>0.02</v>
      </c>
      <c r="E443" s="5">
        <v>0.02</v>
      </c>
      <c r="F443" s="5">
        <v>0.02</v>
      </c>
      <c r="G443" s="5">
        <v>0.02</v>
      </c>
      <c r="H443" s="5">
        <v>0.02</v>
      </c>
      <c r="I443" s="6">
        <v>0</v>
      </c>
    </row>
    <row r="444" spans="1:9" ht="45" x14ac:dyDescent="0.25">
      <c r="A444" s="1" t="s">
        <v>129</v>
      </c>
      <c r="B444" s="5">
        <v>19.47</v>
      </c>
      <c r="C444" s="5">
        <v>19.260000000000002</v>
      </c>
      <c r="D444" s="5">
        <v>18.97</v>
      </c>
      <c r="E444" s="5">
        <v>18.850000000000001</v>
      </c>
      <c r="F444" s="5">
        <v>18.71</v>
      </c>
      <c r="G444" s="5">
        <v>18.579999999999998</v>
      </c>
      <c r="H444" s="5">
        <v>18.45</v>
      </c>
      <c r="I444" s="6">
        <v>-0.89283119331329264</v>
      </c>
    </row>
    <row r="445" spans="1:9" ht="45" x14ac:dyDescent="0.25">
      <c r="A445" s="1" t="s">
        <v>140</v>
      </c>
      <c r="B445" s="5">
        <v>17.12</v>
      </c>
      <c r="C445" s="5">
        <v>16.37</v>
      </c>
      <c r="D445" s="5">
        <v>15.88</v>
      </c>
      <c r="E445" s="5">
        <v>15.59</v>
      </c>
      <c r="F445" s="5">
        <v>15.31</v>
      </c>
      <c r="G445" s="5">
        <v>15.05</v>
      </c>
      <c r="H445" s="5">
        <v>14.79</v>
      </c>
      <c r="I445" s="6">
        <v>-2.4087830000000001</v>
      </c>
    </row>
    <row r="446" spans="1:9" ht="45" x14ac:dyDescent="0.25">
      <c r="A446" s="1" t="s">
        <v>141</v>
      </c>
      <c r="B446" s="5">
        <v>15.69</v>
      </c>
      <c r="C446" s="5">
        <v>14.66</v>
      </c>
      <c r="D446" s="5">
        <v>14.02</v>
      </c>
      <c r="E446" s="5">
        <v>13.56</v>
      </c>
      <c r="F446" s="5">
        <v>13.1</v>
      </c>
      <c r="G446" s="5">
        <v>12.66</v>
      </c>
      <c r="H446" s="5">
        <v>12.24</v>
      </c>
      <c r="I446" s="6">
        <v>-4.0541020000000003</v>
      </c>
    </row>
    <row r="447" spans="1:9" ht="45" x14ac:dyDescent="0.25">
      <c r="A447" s="1" t="s">
        <v>142</v>
      </c>
      <c r="B447" s="5">
        <v>23.81</v>
      </c>
      <c r="C447" s="5">
        <v>23.27</v>
      </c>
      <c r="D447" s="5">
        <v>22.85</v>
      </c>
      <c r="E447" s="5">
        <v>22.54</v>
      </c>
      <c r="F447" s="5">
        <v>22.26</v>
      </c>
      <c r="G447" s="5">
        <v>22.04</v>
      </c>
      <c r="H447" s="5">
        <v>21.86</v>
      </c>
      <c r="I447" s="6">
        <v>-1.4140269999999999</v>
      </c>
    </row>
    <row r="448" spans="1:9" ht="60" x14ac:dyDescent="0.25">
      <c r="A448" s="1" t="s">
        <v>133</v>
      </c>
      <c r="B448" s="7" t="s">
        <v>58</v>
      </c>
      <c r="C448" s="7" t="s">
        <v>58</v>
      </c>
      <c r="D448" s="7" t="s">
        <v>58</v>
      </c>
      <c r="E448" s="7" t="s">
        <v>58</v>
      </c>
      <c r="F448" s="7" t="s">
        <v>58</v>
      </c>
      <c r="G448" s="7" t="s">
        <v>58</v>
      </c>
      <c r="H448" s="7" t="s">
        <v>58</v>
      </c>
      <c r="I448" s="7" t="s">
        <v>58</v>
      </c>
    </row>
    <row r="449" spans="1:9" ht="60" x14ac:dyDescent="0.25">
      <c r="A449" s="1" t="s">
        <v>134</v>
      </c>
      <c r="B449" s="7" t="s">
        <v>58</v>
      </c>
      <c r="C449" s="7" t="s">
        <v>58</v>
      </c>
      <c r="D449" s="7" t="s">
        <v>58</v>
      </c>
      <c r="E449" s="7" t="s">
        <v>58</v>
      </c>
      <c r="F449" s="7" t="s">
        <v>58</v>
      </c>
      <c r="G449" s="7" t="s">
        <v>58</v>
      </c>
      <c r="H449" s="7" t="s">
        <v>58</v>
      </c>
      <c r="I449" s="7" t="s">
        <v>58</v>
      </c>
    </row>
    <row r="450" spans="1:9" x14ac:dyDescent="0.25">
      <c r="A450" s="1" t="s">
        <v>12</v>
      </c>
      <c r="B450" s="2"/>
      <c r="C450" s="2"/>
      <c r="D450" s="2"/>
      <c r="E450" s="2"/>
      <c r="F450" s="2"/>
      <c r="G450" s="2"/>
      <c r="H450" s="2"/>
      <c r="I450" s="2"/>
    </row>
    <row r="451" spans="1:9" ht="30" x14ac:dyDescent="0.25">
      <c r="A451" s="8" t="s">
        <v>35</v>
      </c>
      <c r="B451" s="2"/>
      <c r="C451" s="2"/>
      <c r="D451" s="2"/>
      <c r="E451" s="2"/>
      <c r="F451" s="2"/>
      <c r="G451" s="2"/>
      <c r="H451" s="2"/>
      <c r="I451" s="2"/>
    </row>
    <row r="452" spans="1:9" ht="60" x14ac:dyDescent="0.25">
      <c r="A452" s="1" t="s">
        <v>13</v>
      </c>
      <c r="B452" s="5">
        <v>63.88</v>
      </c>
      <c r="C452" s="5">
        <v>65.64</v>
      </c>
      <c r="D452" s="5">
        <v>67</v>
      </c>
      <c r="E452" s="5">
        <v>68.31</v>
      </c>
      <c r="F452" s="5">
        <v>69.64</v>
      </c>
      <c r="G452" s="5">
        <v>71</v>
      </c>
      <c r="H452" s="5">
        <v>72.44</v>
      </c>
      <c r="I452" s="6">
        <v>2.1179890000000001</v>
      </c>
    </row>
    <row r="453" spans="1:9" ht="60" x14ac:dyDescent="0.25">
      <c r="A453" s="1" t="s">
        <v>117</v>
      </c>
      <c r="B453" s="5">
        <v>10.59</v>
      </c>
      <c r="C453" s="5">
        <v>10.16</v>
      </c>
      <c r="D453" s="5">
        <v>9.7799999999999994</v>
      </c>
      <c r="E453" s="5">
        <v>9.4499999999999993</v>
      </c>
      <c r="F453" s="5">
        <v>9.17</v>
      </c>
      <c r="G453" s="5">
        <v>8.91</v>
      </c>
      <c r="H453" s="5">
        <v>8.68</v>
      </c>
      <c r="I453" s="6">
        <v>-3.2604730000000002</v>
      </c>
    </row>
    <row r="454" spans="1:9" ht="60" x14ac:dyDescent="0.25">
      <c r="A454" s="1" t="s">
        <v>118</v>
      </c>
      <c r="B454" s="5">
        <v>9.91</v>
      </c>
      <c r="C454" s="5">
        <v>8.9</v>
      </c>
      <c r="D454" s="5">
        <v>8.1</v>
      </c>
      <c r="E454" s="5">
        <v>7.45</v>
      </c>
      <c r="F454" s="5">
        <v>6.9</v>
      </c>
      <c r="G454" s="5">
        <v>6.43</v>
      </c>
      <c r="H454" s="5">
        <v>6.01</v>
      </c>
      <c r="I454" s="6">
        <v>-7.9973919999999996</v>
      </c>
    </row>
    <row r="455" spans="1:9" ht="60" x14ac:dyDescent="0.25">
      <c r="A455" s="1" t="s">
        <v>119</v>
      </c>
      <c r="B455" s="5">
        <v>39.68</v>
      </c>
      <c r="C455" s="5">
        <v>43.09</v>
      </c>
      <c r="D455" s="5">
        <v>45.84</v>
      </c>
      <c r="E455" s="5">
        <v>48.35</v>
      </c>
      <c r="F455" s="5">
        <v>50.71</v>
      </c>
      <c r="G455" s="5">
        <v>52.98</v>
      </c>
      <c r="H455" s="5">
        <v>55.21</v>
      </c>
      <c r="I455" s="6">
        <v>5.6592880000000001</v>
      </c>
    </row>
    <row r="456" spans="1:9" ht="60" x14ac:dyDescent="0.25">
      <c r="A456" s="1" t="s">
        <v>120</v>
      </c>
      <c r="B456" s="5">
        <v>0.56000000000000005</v>
      </c>
      <c r="C456" s="5">
        <v>0.61</v>
      </c>
      <c r="D456" s="5">
        <v>0.61</v>
      </c>
      <c r="E456" s="5">
        <v>0.61</v>
      </c>
      <c r="F456" s="5">
        <v>0.62</v>
      </c>
      <c r="G456" s="5">
        <v>0.62</v>
      </c>
      <c r="H456" s="5">
        <v>0.61</v>
      </c>
      <c r="I456" s="6">
        <v>1.435576</v>
      </c>
    </row>
    <row r="457" spans="1:9" ht="75" x14ac:dyDescent="0.25">
      <c r="A457" s="1" t="s">
        <v>121</v>
      </c>
      <c r="B457" s="5">
        <v>2.09</v>
      </c>
      <c r="C457" s="5">
        <v>1.97</v>
      </c>
      <c r="D457" s="5">
        <v>1.82</v>
      </c>
      <c r="E457" s="5">
        <v>1.68</v>
      </c>
      <c r="F457" s="5">
        <v>1.57</v>
      </c>
      <c r="G457" s="5">
        <v>1.46</v>
      </c>
      <c r="H457" s="5">
        <v>1.37</v>
      </c>
      <c r="I457" s="6">
        <v>-6.7971810000000001</v>
      </c>
    </row>
    <row r="458" spans="1:9" ht="75" x14ac:dyDescent="0.25">
      <c r="A458" s="1" t="s">
        <v>122</v>
      </c>
      <c r="B458" s="5">
        <v>1.1200000000000001</v>
      </c>
      <c r="C458" s="5">
        <v>1.01</v>
      </c>
      <c r="D458" s="5">
        <v>0.91</v>
      </c>
      <c r="E458" s="5">
        <v>0.83</v>
      </c>
      <c r="F458" s="5">
        <v>0.75</v>
      </c>
      <c r="G458" s="5">
        <v>0.68</v>
      </c>
      <c r="H458" s="5">
        <v>0.62</v>
      </c>
      <c r="I458" s="6">
        <v>-9.3859359999999992</v>
      </c>
    </row>
    <row r="459" spans="1:9" ht="60" x14ac:dyDescent="0.25">
      <c r="A459" s="1" t="s">
        <v>123</v>
      </c>
      <c r="B459" s="5">
        <v>16.57</v>
      </c>
      <c r="C459" s="5">
        <v>15.47</v>
      </c>
      <c r="D459" s="5">
        <v>14.6</v>
      </c>
      <c r="E459" s="5">
        <v>13.84</v>
      </c>
      <c r="F459" s="5">
        <v>13.16</v>
      </c>
      <c r="G459" s="5">
        <v>12.55</v>
      </c>
      <c r="H459" s="5">
        <v>11.98</v>
      </c>
      <c r="I459" s="6">
        <v>-5.2623990000000003</v>
      </c>
    </row>
    <row r="460" spans="1:9" ht="60" x14ac:dyDescent="0.25">
      <c r="A460" s="1" t="s">
        <v>124</v>
      </c>
      <c r="B460" s="5">
        <v>15.52</v>
      </c>
      <c r="C460" s="5">
        <v>13.55</v>
      </c>
      <c r="D460" s="5">
        <v>12.09</v>
      </c>
      <c r="E460" s="5">
        <v>10.9</v>
      </c>
      <c r="F460" s="5">
        <v>9.91</v>
      </c>
      <c r="G460" s="5">
        <v>9.0500000000000007</v>
      </c>
      <c r="H460" s="5">
        <v>8.3000000000000007</v>
      </c>
      <c r="I460" s="6">
        <v>-9.9056139999999999</v>
      </c>
    </row>
    <row r="461" spans="1:9" ht="60" x14ac:dyDescent="0.25">
      <c r="A461" s="1" t="s">
        <v>125</v>
      </c>
      <c r="B461" s="5">
        <v>62.12</v>
      </c>
      <c r="C461" s="5">
        <v>65.64</v>
      </c>
      <c r="D461" s="5">
        <v>68.42</v>
      </c>
      <c r="E461" s="5">
        <v>70.78</v>
      </c>
      <c r="F461" s="5">
        <v>72.819999999999993</v>
      </c>
      <c r="G461" s="5">
        <v>74.61</v>
      </c>
      <c r="H461" s="5">
        <v>76.209999999999994</v>
      </c>
      <c r="I461" s="6">
        <v>3.4657840000000002</v>
      </c>
    </row>
    <row r="462" spans="1:9" ht="60" x14ac:dyDescent="0.25">
      <c r="A462" s="1" t="s">
        <v>126</v>
      </c>
      <c r="B462" s="5">
        <v>0.87</v>
      </c>
      <c r="C462" s="5">
        <v>0.92</v>
      </c>
      <c r="D462" s="5">
        <v>0.91</v>
      </c>
      <c r="E462" s="5">
        <v>0.9</v>
      </c>
      <c r="F462" s="5">
        <v>0.88</v>
      </c>
      <c r="G462" s="5">
        <v>0.87</v>
      </c>
      <c r="H462" s="5">
        <v>0.85</v>
      </c>
      <c r="I462" s="6">
        <v>-0.38686399999999999</v>
      </c>
    </row>
    <row r="463" spans="1:9" ht="75" x14ac:dyDescent="0.25">
      <c r="A463" s="1" t="s">
        <v>127</v>
      </c>
      <c r="B463" s="5">
        <v>3.28</v>
      </c>
      <c r="C463" s="5">
        <v>2.99</v>
      </c>
      <c r="D463" s="5">
        <v>2.71</v>
      </c>
      <c r="E463" s="5">
        <v>2.4700000000000002</v>
      </c>
      <c r="F463" s="5">
        <v>2.25</v>
      </c>
      <c r="G463" s="5">
        <v>2.06</v>
      </c>
      <c r="H463" s="5">
        <v>1.89</v>
      </c>
      <c r="I463" s="6">
        <v>-8.7783350000000002</v>
      </c>
    </row>
    <row r="464" spans="1:9" ht="60" x14ac:dyDescent="0.25">
      <c r="A464" s="1" t="s">
        <v>128</v>
      </c>
      <c r="B464" s="5">
        <v>1.76</v>
      </c>
      <c r="C464" s="5">
        <v>1.53</v>
      </c>
      <c r="D464" s="5">
        <v>1.36</v>
      </c>
      <c r="E464" s="5">
        <v>1.21</v>
      </c>
      <c r="F464" s="5">
        <v>1.07</v>
      </c>
      <c r="G464" s="5">
        <v>0.96</v>
      </c>
      <c r="H464" s="5">
        <v>0.85</v>
      </c>
      <c r="I464" s="6">
        <v>-11.423664</v>
      </c>
    </row>
    <row r="465" spans="1:9" ht="45" x14ac:dyDescent="0.25">
      <c r="A465" s="1" t="s">
        <v>129</v>
      </c>
      <c r="B465" s="7" t="s">
        <v>58</v>
      </c>
      <c r="C465" s="7" t="s">
        <v>58</v>
      </c>
      <c r="D465" s="7" t="s">
        <v>58</v>
      </c>
      <c r="E465" s="7" t="s">
        <v>58</v>
      </c>
      <c r="F465" s="7" t="s">
        <v>58</v>
      </c>
      <c r="G465" s="7" t="s">
        <v>58</v>
      </c>
      <c r="H465" s="7" t="s">
        <v>58</v>
      </c>
      <c r="I465" s="7" t="s">
        <v>58</v>
      </c>
    </row>
    <row r="466" spans="1:9" ht="45" x14ac:dyDescent="0.25">
      <c r="A466" s="1" t="s">
        <v>140</v>
      </c>
      <c r="B466" s="7" t="s">
        <v>58</v>
      </c>
      <c r="C466" s="7" t="s">
        <v>58</v>
      </c>
      <c r="D466" s="7" t="s">
        <v>58</v>
      </c>
      <c r="E466" s="7" t="s">
        <v>58</v>
      </c>
      <c r="F466" s="7" t="s">
        <v>58</v>
      </c>
      <c r="G466" s="7" t="s">
        <v>58</v>
      </c>
      <c r="H466" s="7" t="s">
        <v>58</v>
      </c>
      <c r="I466" s="7" t="s">
        <v>58</v>
      </c>
    </row>
    <row r="467" spans="1:9" ht="45" x14ac:dyDescent="0.25">
      <c r="A467" s="1" t="s">
        <v>141</v>
      </c>
      <c r="B467" s="7" t="s">
        <v>58</v>
      </c>
      <c r="C467" s="7" t="s">
        <v>58</v>
      </c>
      <c r="D467" s="7" t="s">
        <v>58</v>
      </c>
      <c r="E467" s="7" t="s">
        <v>58</v>
      </c>
      <c r="F467" s="7" t="s">
        <v>58</v>
      </c>
      <c r="G467" s="7" t="s">
        <v>58</v>
      </c>
      <c r="H467" s="7" t="s">
        <v>58</v>
      </c>
      <c r="I467" s="7" t="s">
        <v>58</v>
      </c>
    </row>
    <row r="468" spans="1:9" ht="45" x14ac:dyDescent="0.25">
      <c r="A468" s="1" t="s">
        <v>142</v>
      </c>
      <c r="B468" s="7" t="s">
        <v>58</v>
      </c>
      <c r="C468" s="7" t="s">
        <v>58</v>
      </c>
      <c r="D468" s="7" t="s">
        <v>58</v>
      </c>
      <c r="E468" s="7" t="s">
        <v>58</v>
      </c>
      <c r="F468" s="7" t="s">
        <v>58</v>
      </c>
      <c r="G468" s="7" t="s">
        <v>58</v>
      </c>
      <c r="H468" s="7" t="s">
        <v>58</v>
      </c>
      <c r="I468" s="7" t="s">
        <v>58</v>
      </c>
    </row>
    <row r="469" spans="1:9" ht="60" x14ac:dyDescent="0.25">
      <c r="A469" s="1" t="s">
        <v>133</v>
      </c>
      <c r="B469" s="7" t="s">
        <v>58</v>
      </c>
      <c r="C469" s="7" t="s">
        <v>58</v>
      </c>
      <c r="D469" s="7" t="s">
        <v>58</v>
      </c>
      <c r="E469" s="7" t="s">
        <v>58</v>
      </c>
      <c r="F469" s="7" t="s">
        <v>58</v>
      </c>
      <c r="G469" s="7" t="s">
        <v>58</v>
      </c>
      <c r="H469" s="7" t="s">
        <v>58</v>
      </c>
      <c r="I469" s="7" t="s">
        <v>58</v>
      </c>
    </row>
    <row r="470" spans="1:9" ht="60" x14ac:dyDescent="0.25">
      <c r="A470" s="1" t="s">
        <v>134</v>
      </c>
      <c r="B470" s="7" t="s">
        <v>58</v>
      </c>
      <c r="C470" s="7" t="s">
        <v>58</v>
      </c>
      <c r="D470" s="7" t="s">
        <v>58</v>
      </c>
      <c r="E470" s="7" t="s">
        <v>58</v>
      </c>
      <c r="F470" s="7" t="s">
        <v>58</v>
      </c>
      <c r="G470" s="7" t="s">
        <v>58</v>
      </c>
      <c r="H470" s="7" t="s">
        <v>58</v>
      </c>
      <c r="I470" s="7" t="s">
        <v>58</v>
      </c>
    </row>
    <row r="471" spans="1:9" x14ac:dyDescent="0.25">
      <c r="A471" s="1" t="s">
        <v>12</v>
      </c>
      <c r="B471" s="2"/>
      <c r="C471" s="2"/>
      <c r="D471" s="2"/>
      <c r="E471" s="2"/>
      <c r="F471" s="2"/>
      <c r="G471" s="2"/>
      <c r="H471" s="2"/>
      <c r="I471" s="2"/>
    </row>
    <row r="472" spans="1:9" x14ac:dyDescent="0.25">
      <c r="A472" s="8" t="s">
        <v>36</v>
      </c>
      <c r="B472" s="2"/>
      <c r="C472" s="2"/>
      <c r="D472" s="2"/>
      <c r="E472" s="2"/>
      <c r="F472" s="2"/>
      <c r="G472" s="2"/>
      <c r="H472" s="2"/>
      <c r="I472" s="2"/>
    </row>
    <row r="473" spans="1:9" ht="60" x14ac:dyDescent="0.25">
      <c r="A473" s="1" t="s">
        <v>13</v>
      </c>
      <c r="B473" s="5">
        <v>57.96</v>
      </c>
      <c r="C473" s="5">
        <v>60.71</v>
      </c>
      <c r="D473" s="5">
        <v>63.59</v>
      </c>
      <c r="E473" s="5">
        <v>66.36</v>
      </c>
      <c r="F473" s="5">
        <v>68.989999999999995</v>
      </c>
      <c r="G473" s="5">
        <v>71.42</v>
      </c>
      <c r="H473" s="5">
        <v>73.650000000000006</v>
      </c>
      <c r="I473" s="6">
        <v>4.0736359999999996</v>
      </c>
    </row>
    <row r="474" spans="1:9" ht="60" x14ac:dyDescent="0.25">
      <c r="A474" s="1" t="s">
        <v>117</v>
      </c>
      <c r="B474" s="5">
        <v>7.11</v>
      </c>
      <c r="C474" s="5">
        <v>6.77</v>
      </c>
      <c r="D474" s="5">
        <v>6.44</v>
      </c>
      <c r="E474" s="5">
        <v>6.12</v>
      </c>
      <c r="F474" s="5">
        <v>5.82</v>
      </c>
      <c r="G474" s="5">
        <v>5.53</v>
      </c>
      <c r="H474" s="5">
        <v>5.26</v>
      </c>
      <c r="I474" s="6">
        <v>-4.8987939999999996</v>
      </c>
    </row>
    <row r="475" spans="1:9" ht="60" x14ac:dyDescent="0.25">
      <c r="A475" s="1" t="s">
        <v>118</v>
      </c>
      <c r="B475" s="5">
        <v>0.78</v>
      </c>
      <c r="C475" s="5">
        <v>0.36</v>
      </c>
      <c r="D475" s="5">
        <v>0.17</v>
      </c>
      <c r="E475" s="5">
        <v>0.09</v>
      </c>
      <c r="F475" s="5">
        <v>0.04</v>
      </c>
      <c r="G475" s="5">
        <v>0.02</v>
      </c>
      <c r="H475" s="5">
        <v>0.01</v>
      </c>
      <c r="I475" s="6">
        <v>-51.621668</v>
      </c>
    </row>
    <row r="476" spans="1:9" ht="60" x14ac:dyDescent="0.25">
      <c r="A476" s="1" t="s">
        <v>119</v>
      </c>
      <c r="B476" s="5">
        <v>48.49</v>
      </c>
      <c r="C476" s="5">
        <v>52.23</v>
      </c>
      <c r="D476" s="5">
        <v>55.79</v>
      </c>
      <c r="E476" s="5">
        <v>59.09</v>
      </c>
      <c r="F476" s="5">
        <v>62.16</v>
      </c>
      <c r="G476" s="5">
        <v>64.989999999999995</v>
      </c>
      <c r="H476" s="5">
        <v>67.56</v>
      </c>
      <c r="I476" s="6">
        <v>5.6832700000000003</v>
      </c>
    </row>
    <row r="477" spans="1:9" ht="60" x14ac:dyDescent="0.25">
      <c r="A477" s="1" t="s">
        <v>120</v>
      </c>
      <c r="B477" s="5">
        <v>0.27</v>
      </c>
      <c r="C477" s="5">
        <v>0.27</v>
      </c>
      <c r="D477" s="5">
        <v>0.27</v>
      </c>
      <c r="E477" s="5">
        <v>0.27</v>
      </c>
      <c r="F477" s="5">
        <v>0.27</v>
      </c>
      <c r="G477" s="5">
        <v>0.27</v>
      </c>
      <c r="H477" s="5">
        <v>0.27</v>
      </c>
      <c r="I477" s="6">
        <v>0</v>
      </c>
    </row>
    <row r="478" spans="1:9" ht="75" x14ac:dyDescent="0.25">
      <c r="A478" s="1" t="s">
        <v>121</v>
      </c>
      <c r="B478" s="5">
        <v>1.24</v>
      </c>
      <c r="C478" s="5">
        <v>1.02</v>
      </c>
      <c r="D478" s="5">
        <v>0.86</v>
      </c>
      <c r="E478" s="5">
        <v>0.73</v>
      </c>
      <c r="F478" s="5">
        <v>0.63</v>
      </c>
      <c r="G478" s="5">
        <v>0.56000000000000005</v>
      </c>
      <c r="H478" s="5">
        <v>0.5</v>
      </c>
      <c r="I478" s="6">
        <v>-14.047591000000001</v>
      </c>
    </row>
    <row r="479" spans="1:9" ht="75" x14ac:dyDescent="0.25">
      <c r="A479" s="1" t="s">
        <v>122</v>
      </c>
      <c r="B479" s="5">
        <v>0.06</v>
      </c>
      <c r="C479" s="5">
        <v>0.06</v>
      </c>
      <c r="D479" s="5">
        <v>0.06</v>
      </c>
      <c r="E479" s="5">
        <v>0.05</v>
      </c>
      <c r="F479" s="5">
        <v>0.05</v>
      </c>
      <c r="G479" s="5">
        <v>0.05</v>
      </c>
      <c r="H479" s="5">
        <v>0.05</v>
      </c>
      <c r="I479" s="6">
        <v>-2.992988</v>
      </c>
    </row>
    <row r="480" spans="1:9" ht="60" x14ac:dyDescent="0.25">
      <c r="A480" s="1" t="s">
        <v>123</v>
      </c>
      <c r="B480" s="5">
        <v>12.27</v>
      </c>
      <c r="C480" s="5">
        <v>11.15</v>
      </c>
      <c r="D480" s="5">
        <v>10.130000000000001</v>
      </c>
      <c r="E480" s="5">
        <v>9.23</v>
      </c>
      <c r="F480" s="5">
        <v>8.44</v>
      </c>
      <c r="G480" s="5">
        <v>7.75</v>
      </c>
      <c r="H480" s="5">
        <v>7.14</v>
      </c>
      <c r="I480" s="6">
        <v>-8.6288809999999998</v>
      </c>
    </row>
    <row r="481" spans="1:9" ht="60" x14ac:dyDescent="0.25">
      <c r="A481" s="1" t="s">
        <v>124</v>
      </c>
      <c r="B481" s="5">
        <v>1.34</v>
      </c>
      <c r="C481" s="5">
        <v>0.59</v>
      </c>
      <c r="D481" s="5">
        <v>0.27</v>
      </c>
      <c r="E481" s="5">
        <v>0.13</v>
      </c>
      <c r="F481" s="5">
        <v>0.06</v>
      </c>
      <c r="G481" s="5">
        <v>0.03</v>
      </c>
      <c r="H481" s="5">
        <v>0.02</v>
      </c>
      <c r="I481" s="6">
        <v>-50.380293000000002</v>
      </c>
    </row>
    <row r="482" spans="1:9" ht="60" x14ac:dyDescent="0.25">
      <c r="A482" s="1" t="s">
        <v>125</v>
      </c>
      <c r="B482" s="5">
        <v>83.67</v>
      </c>
      <c r="C482" s="5">
        <v>86.04</v>
      </c>
      <c r="D482" s="5">
        <v>87.74</v>
      </c>
      <c r="E482" s="5">
        <v>89.05</v>
      </c>
      <c r="F482" s="5">
        <v>90.11</v>
      </c>
      <c r="G482" s="5">
        <v>90.99</v>
      </c>
      <c r="H482" s="5">
        <v>91.73</v>
      </c>
      <c r="I482" s="6">
        <v>1.544624</v>
      </c>
    </row>
    <row r="483" spans="1:9" ht="60" x14ac:dyDescent="0.25">
      <c r="A483" s="1" t="s">
        <v>126</v>
      </c>
      <c r="B483" s="5">
        <v>0.47</v>
      </c>
      <c r="C483" s="5">
        <v>0.45</v>
      </c>
      <c r="D483" s="5">
        <v>0.43</v>
      </c>
      <c r="E483" s="5">
        <v>0.41</v>
      </c>
      <c r="F483" s="5">
        <v>0.39</v>
      </c>
      <c r="G483" s="5">
        <v>0.38</v>
      </c>
      <c r="H483" s="5">
        <v>0.37</v>
      </c>
      <c r="I483" s="6">
        <v>-3.9087200000000002</v>
      </c>
    </row>
    <row r="484" spans="1:9" ht="75" x14ac:dyDescent="0.25">
      <c r="A484" s="1" t="s">
        <v>127</v>
      </c>
      <c r="B484" s="5">
        <v>2.14</v>
      </c>
      <c r="C484" s="5">
        <v>1.68</v>
      </c>
      <c r="D484" s="5">
        <v>1.35</v>
      </c>
      <c r="E484" s="5">
        <v>1.1000000000000001</v>
      </c>
      <c r="F484" s="5">
        <v>0.92</v>
      </c>
      <c r="G484" s="5">
        <v>0.78</v>
      </c>
      <c r="H484" s="5">
        <v>0.67</v>
      </c>
      <c r="I484" s="6">
        <v>-17.596909</v>
      </c>
    </row>
    <row r="485" spans="1:9" ht="60" x14ac:dyDescent="0.25">
      <c r="A485" s="1" t="s">
        <v>128</v>
      </c>
      <c r="B485" s="5">
        <v>0.1</v>
      </c>
      <c r="C485" s="5">
        <v>0.09</v>
      </c>
      <c r="D485" s="5">
        <v>0.09</v>
      </c>
      <c r="E485" s="5">
        <v>0.08</v>
      </c>
      <c r="F485" s="5">
        <v>0.08</v>
      </c>
      <c r="G485" s="5">
        <v>7.0000000000000007E-2</v>
      </c>
      <c r="H485" s="5">
        <v>7.0000000000000007E-2</v>
      </c>
      <c r="I485" s="6">
        <v>-5.7713419999999998</v>
      </c>
    </row>
    <row r="486" spans="1:9" ht="45" x14ac:dyDescent="0.25">
      <c r="A486" s="1" t="s">
        <v>129</v>
      </c>
      <c r="B486" s="7" t="s">
        <v>58</v>
      </c>
      <c r="C486" s="7" t="s">
        <v>58</v>
      </c>
      <c r="D486" s="7" t="s">
        <v>58</v>
      </c>
      <c r="E486" s="7" t="s">
        <v>58</v>
      </c>
      <c r="F486" s="7" t="s">
        <v>58</v>
      </c>
      <c r="G486" s="7" t="s">
        <v>58</v>
      </c>
      <c r="H486" s="7" t="s">
        <v>58</v>
      </c>
      <c r="I486" s="7" t="s">
        <v>58</v>
      </c>
    </row>
    <row r="487" spans="1:9" ht="45" x14ac:dyDescent="0.25">
      <c r="A487" s="1" t="s">
        <v>140</v>
      </c>
      <c r="B487" s="7" t="s">
        <v>58</v>
      </c>
      <c r="C487" s="7" t="s">
        <v>58</v>
      </c>
      <c r="D487" s="7" t="s">
        <v>58</v>
      </c>
      <c r="E487" s="7" t="s">
        <v>58</v>
      </c>
      <c r="F487" s="7" t="s">
        <v>58</v>
      </c>
      <c r="G487" s="7" t="s">
        <v>58</v>
      </c>
      <c r="H487" s="7" t="s">
        <v>58</v>
      </c>
      <c r="I487" s="7" t="s">
        <v>58</v>
      </c>
    </row>
    <row r="488" spans="1:9" ht="45" x14ac:dyDescent="0.25">
      <c r="A488" s="1" t="s">
        <v>141</v>
      </c>
      <c r="B488" s="7" t="s">
        <v>58</v>
      </c>
      <c r="C488" s="7" t="s">
        <v>58</v>
      </c>
      <c r="D488" s="7" t="s">
        <v>58</v>
      </c>
      <c r="E488" s="7" t="s">
        <v>58</v>
      </c>
      <c r="F488" s="7" t="s">
        <v>58</v>
      </c>
      <c r="G488" s="7" t="s">
        <v>58</v>
      </c>
      <c r="H488" s="7" t="s">
        <v>58</v>
      </c>
      <c r="I488" s="7" t="s">
        <v>58</v>
      </c>
    </row>
    <row r="489" spans="1:9" ht="45" x14ac:dyDescent="0.25">
      <c r="A489" s="1" t="s">
        <v>142</v>
      </c>
      <c r="B489" s="7" t="s">
        <v>58</v>
      </c>
      <c r="C489" s="7" t="s">
        <v>58</v>
      </c>
      <c r="D489" s="7" t="s">
        <v>58</v>
      </c>
      <c r="E489" s="7" t="s">
        <v>58</v>
      </c>
      <c r="F489" s="7" t="s">
        <v>58</v>
      </c>
      <c r="G489" s="7" t="s">
        <v>58</v>
      </c>
      <c r="H489" s="7" t="s">
        <v>58</v>
      </c>
      <c r="I489" s="7" t="s">
        <v>58</v>
      </c>
    </row>
    <row r="490" spans="1:9" ht="60" x14ac:dyDescent="0.25">
      <c r="A490" s="1" t="s">
        <v>133</v>
      </c>
      <c r="B490" s="7" t="s">
        <v>58</v>
      </c>
      <c r="C490" s="7" t="s">
        <v>58</v>
      </c>
      <c r="D490" s="7" t="s">
        <v>58</v>
      </c>
      <c r="E490" s="7" t="s">
        <v>58</v>
      </c>
      <c r="F490" s="7" t="s">
        <v>58</v>
      </c>
      <c r="G490" s="7" t="s">
        <v>58</v>
      </c>
      <c r="H490" s="7" t="s">
        <v>58</v>
      </c>
      <c r="I490" s="7" t="s">
        <v>58</v>
      </c>
    </row>
    <row r="491" spans="1:9" ht="60" x14ac:dyDescent="0.25">
      <c r="A491" s="1" t="s">
        <v>134</v>
      </c>
      <c r="B491" s="7" t="s">
        <v>58</v>
      </c>
      <c r="C491" s="7" t="s">
        <v>58</v>
      </c>
      <c r="D491" s="7" t="s">
        <v>58</v>
      </c>
      <c r="E491" s="7" t="s">
        <v>58</v>
      </c>
      <c r="F491" s="7" t="s">
        <v>58</v>
      </c>
      <c r="G491" s="7" t="s">
        <v>58</v>
      </c>
      <c r="H491" s="7" t="s">
        <v>58</v>
      </c>
      <c r="I491" s="7" t="s">
        <v>58</v>
      </c>
    </row>
    <row r="492" spans="1:9" x14ac:dyDescent="0.25">
      <c r="A492" s="1" t="s">
        <v>12</v>
      </c>
      <c r="B492" s="2"/>
      <c r="C492" s="2"/>
      <c r="D492" s="2"/>
      <c r="E492" s="2"/>
      <c r="F492" s="2"/>
      <c r="G492" s="2"/>
      <c r="H492" s="2"/>
      <c r="I492" s="2"/>
    </row>
    <row r="493" spans="1:9" x14ac:dyDescent="0.25">
      <c r="A493" s="8" t="s">
        <v>37</v>
      </c>
      <c r="B493" s="2"/>
      <c r="C493" s="2"/>
      <c r="D493" s="2"/>
      <c r="E493" s="2"/>
      <c r="F493" s="2"/>
      <c r="G493" s="2"/>
      <c r="H493" s="2"/>
      <c r="I493" s="2"/>
    </row>
    <row r="494" spans="1:9" ht="60" x14ac:dyDescent="0.25">
      <c r="A494" s="1" t="s">
        <v>13</v>
      </c>
      <c r="B494" s="5">
        <v>50.81</v>
      </c>
      <c r="C494" s="5">
        <v>53.78</v>
      </c>
      <c r="D494" s="5">
        <v>56.35</v>
      </c>
      <c r="E494" s="5">
        <v>59.18</v>
      </c>
      <c r="F494" s="5">
        <v>61.75</v>
      </c>
      <c r="G494" s="5">
        <v>63.48</v>
      </c>
      <c r="H494" s="5">
        <v>65.510000000000005</v>
      </c>
      <c r="I494" s="6">
        <v>4.3261229999999999</v>
      </c>
    </row>
    <row r="495" spans="1:9" ht="60" x14ac:dyDescent="0.25">
      <c r="A495" s="1" t="s">
        <v>117</v>
      </c>
      <c r="B495" s="5">
        <v>0</v>
      </c>
      <c r="C495" s="5">
        <v>0</v>
      </c>
      <c r="D495" s="5">
        <v>0</v>
      </c>
      <c r="E495" s="5">
        <v>0</v>
      </c>
      <c r="F495" s="5">
        <v>0</v>
      </c>
      <c r="G495" s="5">
        <v>0</v>
      </c>
      <c r="H495" s="5">
        <v>0</v>
      </c>
      <c r="I495" s="7" t="s">
        <v>58</v>
      </c>
    </row>
    <row r="496" spans="1:9" ht="60" x14ac:dyDescent="0.25">
      <c r="A496" s="1" t="s">
        <v>118</v>
      </c>
      <c r="B496" s="5">
        <v>49.73</v>
      </c>
      <c r="C496" s="5">
        <v>52.24</v>
      </c>
      <c r="D496" s="5">
        <v>54.2</v>
      </c>
      <c r="E496" s="5">
        <v>56.18</v>
      </c>
      <c r="F496" s="5">
        <v>57.63</v>
      </c>
      <c r="G496" s="5">
        <v>57.87</v>
      </c>
      <c r="H496" s="5">
        <v>58.11</v>
      </c>
      <c r="I496" s="6">
        <v>2.6294659999999999</v>
      </c>
    </row>
    <row r="497" spans="1:9" ht="60" x14ac:dyDescent="0.25">
      <c r="A497" s="1" t="s">
        <v>119</v>
      </c>
      <c r="B497" s="5">
        <v>1.04</v>
      </c>
      <c r="C497" s="5">
        <v>1.5</v>
      </c>
      <c r="D497" s="5">
        <v>2.12</v>
      </c>
      <c r="E497" s="5">
        <v>2.96</v>
      </c>
      <c r="F497" s="5">
        <v>4.08</v>
      </c>
      <c r="G497" s="5">
        <v>5.58</v>
      </c>
      <c r="H497" s="5">
        <v>7.38</v>
      </c>
      <c r="I497" s="6">
        <v>38.623598999999999</v>
      </c>
    </row>
    <row r="498" spans="1:9" ht="60" x14ac:dyDescent="0.25">
      <c r="A498" s="1" t="s">
        <v>120</v>
      </c>
      <c r="B498" s="5">
        <v>0.01</v>
      </c>
      <c r="C498" s="5">
        <v>0.01</v>
      </c>
      <c r="D498" s="5">
        <v>0.01</v>
      </c>
      <c r="E498" s="5">
        <v>0.01</v>
      </c>
      <c r="F498" s="5">
        <v>0.01</v>
      </c>
      <c r="G498" s="5">
        <v>0.01</v>
      </c>
      <c r="H498" s="5">
        <v>0.01</v>
      </c>
      <c r="I498" s="6">
        <v>0</v>
      </c>
    </row>
    <row r="499" spans="1:9" ht="75" x14ac:dyDescent="0.25">
      <c r="A499" s="1" t="s">
        <v>121</v>
      </c>
      <c r="B499" s="5">
        <v>0.03</v>
      </c>
      <c r="C499" s="5">
        <v>0.03</v>
      </c>
      <c r="D499" s="5">
        <v>0.03</v>
      </c>
      <c r="E499" s="5">
        <v>0.02</v>
      </c>
      <c r="F499" s="5">
        <v>0.02</v>
      </c>
      <c r="G499" s="5">
        <v>0.02</v>
      </c>
      <c r="H499" s="5">
        <v>0.02</v>
      </c>
      <c r="I499" s="6">
        <v>-6.5344740000000003</v>
      </c>
    </row>
    <row r="500" spans="1:9" ht="75" x14ac:dyDescent="0.25">
      <c r="A500" s="1" t="s">
        <v>122</v>
      </c>
      <c r="B500" s="5">
        <v>0</v>
      </c>
      <c r="C500" s="5">
        <v>0</v>
      </c>
      <c r="D500" s="5">
        <v>0</v>
      </c>
      <c r="E500" s="5">
        <v>0</v>
      </c>
      <c r="F500" s="5">
        <v>0</v>
      </c>
      <c r="G500" s="5">
        <v>0</v>
      </c>
      <c r="H500" s="5">
        <v>0</v>
      </c>
      <c r="I500" s="7" t="s">
        <v>58</v>
      </c>
    </row>
    <row r="501" spans="1:9" ht="60" x14ac:dyDescent="0.25">
      <c r="A501" s="1" t="s">
        <v>123</v>
      </c>
      <c r="B501" s="5">
        <v>0</v>
      </c>
      <c r="C501" s="5">
        <v>0</v>
      </c>
      <c r="D501" s="5">
        <v>0</v>
      </c>
      <c r="E501" s="5">
        <v>0</v>
      </c>
      <c r="F501" s="5">
        <v>0</v>
      </c>
      <c r="G501" s="5">
        <v>0</v>
      </c>
      <c r="H501" s="5">
        <v>0</v>
      </c>
      <c r="I501" s="7" t="s">
        <v>58</v>
      </c>
    </row>
    <row r="502" spans="1:9" ht="60" x14ac:dyDescent="0.25">
      <c r="A502" s="1" t="s">
        <v>124</v>
      </c>
      <c r="B502" s="5">
        <v>97.88</v>
      </c>
      <c r="C502" s="5">
        <v>97.13</v>
      </c>
      <c r="D502" s="5">
        <v>96.18</v>
      </c>
      <c r="E502" s="5">
        <v>94.94</v>
      </c>
      <c r="F502" s="5">
        <v>93.34</v>
      </c>
      <c r="G502" s="5">
        <v>91.17</v>
      </c>
      <c r="H502" s="5">
        <v>88.7</v>
      </c>
      <c r="I502" s="6">
        <v>-1.6279749999999999</v>
      </c>
    </row>
    <row r="503" spans="1:9" ht="60" x14ac:dyDescent="0.25">
      <c r="A503" s="1" t="s">
        <v>125</v>
      </c>
      <c r="B503" s="5">
        <v>2.0499999999999998</v>
      </c>
      <c r="C503" s="5">
        <v>2.8</v>
      </c>
      <c r="D503" s="5">
        <v>3.76</v>
      </c>
      <c r="E503" s="5">
        <v>5.01</v>
      </c>
      <c r="F503" s="5">
        <v>6.61</v>
      </c>
      <c r="G503" s="5">
        <v>8.7799999999999994</v>
      </c>
      <c r="H503" s="5">
        <v>11.26</v>
      </c>
      <c r="I503" s="6">
        <v>32.830382</v>
      </c>
    </row>
    <row r="504" spans="1:9" ht="60" x14ac:dyDescent="0.25">
      <c r="A504" s="1" t="s">
        <v>126</v>
      </c>
      <c r="B504" s="5">
        <v>0.02</v>
      </c>
      <c r="C504" s="5">
        <v>0.02</v>
      </c>
      <c r="D504" s="5">
        <v>0.01</v>
      </c>
      <c r="E504" s="5">
        <v>0.01</v>
      </c>
      <c r="F504" s="5">
        <v>0.01</v>
      </c>
      <c r="G504" s="5">
        <v>0.01</v>
      </c>
      <c r="H504" s="5">
        <v>0.01</v>
      </c>
      <c r="I504" s="6">
        <v>-10.910128</v>
      </c>
    </row>
    <row r="505" spans="1:9" ht="75" x14ac:dyDescent="0.25">
      <c r="A505" s="1" t="s">
        <v>127</v>
      </c>
      <c r="B505" s="5">
        <v>0.06</v>
      </c>
      <c r="C505" s="5">
        <v>0.05</v>
      </c>
      <c r="D505" s="5">
        <v>0.04</v>
      </c>
      <c r="E505" s="5">
        <v>0.04</v>
      </c>
      <c r="F505" s="5">
        <v>0.04</v>
      </c>
      <c r="G505" s="5">
        <v>0.04</v>
      </c>
      <c r="H505" s="5">
        <v>0.03</v>
      </c>
      <c r="I505" s="6">
        <v>-10.910128</v>
      </c>
    </row>
    <row r="506" spans="1:9" ht="60" x14ac:dyDescent="0.25">
      <c r="A506" s="1" t="s">
        <v>128</v>
      </c>
      <c r="B506" s="5">
        <v>0</v>
      </c>
      <c r="C506" s="5">
        <v>0</v>
      </c>
      <c r="D506" s="5">
        <v>0</v>
      </c>
      <c r="E506" s="5">
        <v>0</v>
      </c>
      <c r="F506" s="5">
        <v>0</v>
      </c>
      <c r="G506" s="5">
        <v>0</v>
      </c>
      <c r="H506" s="5">
        <v>0</v>
      </c>
      <c r="I506" s="7" t="s">
        <v>58</v>
      </c>
    </row>
    <row r="507" spans="1:9" ht="45" x14ac:dyDescent="0.25">
      <c r="A507" s="1" t="s">
        <v>129</v>
      </c>
      <c r="B507" s="7" t="s">
        <v>58</v>
      </c>
      <c r="C507" s="7" t="s">
        <v>58</v>
      </c>
      <c r="D507" s="7" t="s">
        <v>58</v>
      </c>
      <c r="E507" s="7" t="s">
        <v>58</v>
      </c>
      <c r="F507" s="7" t="s">
        <v>58</v>
      </c>
      <c r="G507" s="7" t="s">
        <v>58</v>
      </c>
      <c r="H507" s="7" t="s">
        <v>58</v>
      </c>
      <c r="I507" s="7" t="s">
        <v>58</v>
      </c>
    </row>
    <row r="508" spans="1:9" ht="45" x14ac:dyDescent="0.25">
      <c r="A508" s="1" t="s">
        <v>140</v>
      </c>
      <c r="B508" s="7" t="s">
        <v>58</v>
      </c>
      <c r="C508" s="7" t="s">
        <v>58</v>
      </c>
      <c r="D508" s="7" t="s">
        <v>58</v>
      </c>
      <c r="E508" s="7" t="s">
        <v>58</v>
      </c>
      <c r="F508" s="7" t="s">
        <v>58</v>
      </c>
      <c r="G508" s="7" t="s">
        <v>58</v>
      </c>
      <c r="H508" s="7" t="s">
        <v>58</v>
      </c>
      <c r="I508" s="7" t="s">
        <v>58</v>
      </c>
    </row>
    <row r="509" spans="1:9" ht="45" x14ac:dyDescent="0.25">
      <c r="A509" s="1" t="s">
        <v>141</v>
      </c>
      <c r="B509" s="7" t="s">
        <v>58</v>
      </c>
      <c r="C509" s="7" t="s">
        <v>58</v>
      </c>
      <c r="D509" s="7" t="s">
        <v>58</v>
      </c>
      <c r="E509" s="7" t="s">
        <v>58</v>
      </c>
      <c r="F509" s="7" t="s">
        <v>58</v>
      </c>
      <c r="G509" s="7" t="s">
        <v>58</v>
      </c>
      <c r="H509" s="7" t="s">
        <v>58</v>
      </c>
      <c r="I509" s="7" t="s">
        <v>58</v>
      </c>
    </row>
    <row r="510" spans="1:9" ht="45" x14ac:dyDescent="0.25">
      <c r="A510" s="1" t="s">
        <v>142</v>
      </c>
      <c r="B510" s="7" t="s">
        <v>58</v>
      </c>
      <c r="C510" s="7" t="s">
        <v>58</v>
      </c>
      <c r="D510" s="7" t="s">
        <v>58</v>
      </c>
      <c r="E510" s="7" t="s">
        <v>58</v>
      </c>
      <c r="F510" s="7" t="s">
        <v>58</v>
      </c>
      <c r="G510" s="7" t="s">
        <v>58</v>
      </c>
      <c r="H510" s="7" t="s">
        <v>58</v>
      </c>
      <c r="I510" s="7" t="s">
        <v>58</v>
      </c>
    </row>
    <row r="511" spans="1:9" ht="60" x14ac:dyDescent="0.25">
      <c r="A511" s="1" t="s">
        <v>133</v>
      </c>
      <c r="B511" s="7" t="s">
        <v>58</v>
      </c>
      <c r="C511" s="7" t="s">
        <v>58</v>
      </c>
      <c r="D511" s="7" t="s">
        <v>58</v>
      </c>
      <c r="E511" s="7" t="s">
        <v>58</v>
      </c>
      <c r="F511" s="7" t="s">
        <v>58</v>
      </c>
      <c r="G511" s="7" t="s">
        <v>58</v>
      </c>
      <c r="H511" s="7" t="s">
        <v>58</v>
      </c>
      <c r="I511" s="7" t="s">
        <v>58</v>
      </c>
    </row>
    <row r="512" spans="1:9" ht="60" x14ac:dyDescent="0.25">
      <c r="A512" s="1" t="s">
        <v>134</v>
      </c>
      <c r="B512" s="7" t="s">
        <v>58</v>
      </c>
      <c r="C512" s="7" t="s">
        <v>58</v>
      </c>
      <c r="D512" s="7" t="s">
        <v>58</v>
      </c>
      <c r="E512" s="7" t="s">
        <v>58</v>
      </c>
      <c r="F512" s="7" t="s">
        <v>58</v>
      </c>
      <c r="G512" s="7" t="s">
        <v>58</v>
      </c>
      <c r="H512" s="7" t="s">
        <v>58</v>
      </c>
      <c r="I512" s="7" t="s">
        <v>58</v>
      </c>
    </row>
    <row r="513" spans="1:9" x14ac:dyDescent="0.25">
      <c r="A513" s="1" t="s">
        <v>12</v>
      </c>
      <c r="B513" s="2"/>
      <c r="C513" s="2"/>
      <c r="D513" s="2"/>
      <c r="E513" s="2"/>
      <c r="F513" s="2"/>
      <c r="G513" s="2"/>
      <c r="H513" s="2"/>
      <c r="I513" s="2"/>
    </row>
    <row r="514" spans="1:9" x14ac:dyDescent="0.25">
      <c r="A514" s="8" t="s">
        <v>38</v>
      </c>
      <c r="B514" s="2"/>
      <c r="C514" s="2"/>
      <c r="D514" s="2"/>
      <c r="E514" s="2"/>
      <c r="F514" s="2"/>
      <c r="G514" s="2"/>
      <c r="H514" s="2"/>
      <c r="I514" s="2"/>
    </row>
    <row r="515" spans="1:9" ht="60" x14ac:dyDescent="0.25">
      <c r="A515" s="1" t="s">
        <v>13</v>
      </c>
      <c r="B515" s="5">
        <v>33.72</v>
      </c>
      <c r="C515" s="5">
        <v>35.08</v>
      </c>
      <c r="D515" s="5">
        <v>36.44</v>
      </c>
      <c r="E515" s="5">
        <v>37.799999999999997</v>
      </c>
      <c r="F515" s="5">
        <v>39.119999999999997</v>
      </c>
      <c r="G515" s="5">
        <v>40.4</v>
      </c>
      <c r="H515" s="5">
        <v>41.66</v>
      </c>
      <c r="I515" s="6">
        <v>3.5870069999999998</v>
      </c>
    </row>
    <row r="516" spans="1:9" ht="60" x14ac:dyDescent="0.25">
      <c r="A516" s="1" t="s">
        <v>117</v>
      </c>
      <c r="B516" s="5">
        <v>13.43</v>
      </c>
      <c r="C516" s="5">
        <v>14.1</v>
      </c>
      <c r="D516" s="5">
        <v>14.76</v>
      </c>
      <c r="E516" s="5">
        <v>15.43</v>
      </c>
      <c r="F516" s="5">
        <v>16.07</v>
      </c>
      <c r="G516" s="5">
        <v>16.7</v>
      </c>
      <c r="H516" s="5">
        <v>17.32</v>
      </c>
      <c r="I516" s="6">
        <v>4.3306659999999999</v>
      </c>
    </row>
    <row r="517" spans="1:9" ht="60" x14ac:dyDescent="0.25">
      <c r="A517" s="1" t="s">
        <v>118</v>
      </c>
      <c r="B517" s="5">
        <v>18.98</v>
      </c>
      <c r="C517" s="5">
        <v>19.600000000000001</v>
      </c>
      <c r="D517" s="5">
        <v>20.22</v>
      </c>
      <c r="E517" s="5">
        <v>20.84</v>
      </c>
      <c r="F517" s="5">
        <v>21.44</v>
      </c>
      <c r="G517" s="5">
        <v>22.03</v>
      </c>
      <c r="H517" s="5">
        <v>22.61</v>
      </c>
      <c r="I517" s="6">
        <v>2.9597289999999998</v>
      </c>
    </row>
    <row r="518" spans="1:9" ht="60" x14ac:dyDescent="0.25">
      <c r="A518" s="1" t="s">
        <v>119</v>
      </c>
      <c r="B518" s="5">
        <v>1.2</v>
      </c>
      <c r="C518" s="5">
        <v>1.27</v>
      </c>
      <c r="D518" s="5">
        <v>1.34</v>
      </c>
      <c r="E518" s="5">
        <v>1.41</v>
      </c>
      <c r="F518" s="5">
        <v>1.48</v>
      </c>
      <c r="G518" s="5">
        <v>1.54</v>
      </c>
      <c r="H518" s="5">
        <v>1.61</v>
      </c>
      <c r="I518" s="6">
        <v>5.0205060000000001</v>
      </c>
    </row>
    <row r="519" spans="1:9" ht="60" x14ac:dyDescent="0.25">
      <c r="A519" s="1" t="s">
        <v>120</v>
      </c>
      <c r="B519" s="5">
        <v>0.02</v>
      </c>
      <c r="C519" s="5">
        <v>0.02</v>
      </c>
      <c r="D519" s="5">
        <v>0.02</v>
      </c>
      <c r="E519" s="5">
        <v>0.02</v>
      </c>
      <c r="F519" s="5">
        <v>0.02</v>
      </c>
      <c r="G519" s="5">
        <v>0.02</v>
      </c>
      <c r="H519" s="5">
        <v>0.02</v>
      </c>
      <c r="I519" s="6">
        <v>0</v>
      </c>
    </row>
    <row r="520" spans="1:9" ht="75" x14ac:dyDescent="0.25">
      <c r="A520" s="1" t="s">
        <v>121</v>
      </c>
      <c r="B520" s="5">
        <v>0</v>
      </c>
      <c r="C520" s="5">
        <v>0</v>
      </c>
      <c r="D520" s="5">
        <v>0</v>
      </c>
      <c r="E520" s="5">
        <v>0</v>
      </c>
      <c r="F520" s="5">
        <v>0</v>
      </c>
      <c r="G520" s="5">
        <v>0</v>
      </c>
      <c r="H520" s="5">
        <v>0</v>
      </c>
      <c r="I520" s="7" t="s">
        <v>58</v>
      </c>
    </row>
    <row r="521" spans="1:9" ht="75" x14ac:dyDescent="0.25">
      <c r="A521" s="1" t="s">
        <v>122</v>
      </c>
      <c r="B521" s="5">
        <v>0.09</v>
      </c>
      <c r="C521" s="5">
        <v>0.09</v>
      </c>
      <c r="D521" s="5">
        <v>0.1</v>
      </c>
      <c r="E521" s="5">
        <v>0.1</v>
      </c>
      <c r="F521" s="5">
        <v>0.1</v>
      </c>
      <c r="G521" s="5">
        <v>0.1</v>
      </c>
      <c r="H521" s="5">
        <v>0.1</v>
      </c>
      <c r="I521" s="6">
        <v>1.771517</v>
      </c>
    </row>
    <row r="522" spans="1:9" ht="60" x14ac:dyDescent="0.25">
      <c r="A522" s="1" t="s">
        <v>123</v>
      </c>
      <c r="B522" s="5">
        <v>39.82</v>
      </c>
      <c r="C522" s="5">
        <v>40.19</v>
      </c>
      <c r="D522" s="5">
        <v>40.520000000000003</v>
      </c>
      <c r="E522" s="5">
        <v>40.82</v>
      </c>
      <c r="F522" s="5">
        <v>41.09</v>
      </c>
      <c r="G522" s="5">
        <v>41.34</v>
      </c>
      <c r="H522" s="5">
        <v>41.58</v>
      </c>
      <c r="I522" s="6">
        <v>0.723437</v>
      </c>
    </row>
    <row r="523" spans="1:9" ht="60" x14ac:dyDescent="0.25">
      <c r="A523" s="1" t="s">
        <v>124</v>
      </c>
      <c r="B523" s="5">
        <v>56.3</v>
      </c>
      <c r="C523" s="5">
        <v>55.87</v>
      </c>
      <c r="D523" s="5">
        <v>55.48</v>
      </c>
      <c r="E523" s="5">
        <v>55.14</v>
      </c>
      <c r="F523" s="5">
        <v>54.82</v>
      </c>
      <c r="G523" s="5">
        <v>54.53</v>
      </c>
      <c r="H523" s="5">
        <v>54.27</v>
      </c>
      <c r="I523" s="6">
        <v>-0.61017999999999994</v>
      </c>
    </row>
    <row r="524" spans="1:9" ht="60" x14ac:dyDescent="0.25">
      <c r="A524" s="1" t="s">
        <v>125</v>
      </c>
      <c r="B524" s="5">
        <v>3.57</v>
      </c>
      <c r="C524" s="5">
        <v>3.63</v>
      </c>
      <c r="D524" s="5">
        <v>3.68</v>
      </c>
      <c r="E524" s="5">
        <v>3.73</v>
      </c>
      <c r="F524" s="5">
        <v>3.78</v>
      </c>
      <c r="G524" s="5">
        <v>3.82</v>
      </c>
      <c r="H524" s="5">
        <v>3.86</v>
      </c>
      <c r="I524" s="6">
        <v>1.3102020000000001</v>
      </c>
    </row>
    <row r="525" spans="1:9" ht="60" x14ac:dyDescent="0.25">
      <c r="A525" s="1" t="s">
        <v>126</v>
      </c>
      <c r="B525" s="5">
        <v>0.05</v>
      </c>
      <c r="C525" s="5">
        <v>0.05</v>
      </c>
      <c r="D525" s="5">
        <v>0.05</v>
      </c>
      <c r="E525" s="5">
        <v>0.05</v>
      </c>
      <c r="F525" s="5">
        <v>0.05</v>
      </c>
      <c r="G525" s="5">
        <v>0.05</v>
      </c>
      <c r="H525" s="5">
        <v>0.05</v>
      </c>
      <c r="I525" s="6">
        <v>0</v>
      </c>
    </row>
    <row r="526" spans="1:9" ht="75" x14ac:dyDescent="0.25">
      <c r="A526" s="1" t="s">
        <v>127</v>
      </c>
      <c r="B526" s="5">
        <v>0</v>
      </c>
      <c r="C526" s="5">
        <v>0</v>
      </c>
      <c r="D526" s="5">
        <v>0</v>
      </c>
      <c r="E526" s="5">
        <v>0</v>
      </c>
      <c r="F526" s="5">
        <v>0</v>
      </c>
      <c r="G526" s="5">
        <v>0</v>
      </c>
      <c r="H526" s="5">
        <v>0</v>
      </c>
      <c r="I526" s="7" t="s">
        <v>58</v>
      </c>
    </row>
    <row r="527" spans="1:9" ht="60" x14ac:dyDescent="0.25">
      <c r="A527" s="1" t="s">
        <v>128</v>
      </c>
      <c r="B527" s="5">
        <v>0.27</v>
      </c>
      <c r="C527" s="5">
        <v>0.27</v>
      </c>
      <c r="D527" s="5">
        <v>0.27</v>
      </c>
      <c r="E527" s="5">
        <v>0.27</v>
      </c>
      <c r="F527" s="5">
        <v>0.27</v>
      </c>
      <c r="G527" s="5">
        <v>0.26</v>
      </c>
      <c r="H527" s="5">
        <v>0.25</v>
      </c>
      <c r="I527" s="6">
        <v>-1.2744930000000001</v>
      </c>
    </row>
    <row r="528" spans="1:9" ht="45" x14ac:dyDescent="0.25">
      <c r="A528" s="1" t="s">
        <v>129</v>
      </c>
      <c r="B528" s="7" t="s">
        <v>58</v>
      </c>
      <c r="C528" s="7" t="s">
        <v>58</v>
      </c>
      <c r="D528" s="7" t="s">
        <v>58</v>
      </c>
      <c r="E528" s="7" t="s">
        <v>58</v>
      </c>
      <c r="F528" s="7" t="s">
        <v>58</v>
      </c>
      <c r="G528" s="7" t="s">
        <v>58</v>
      </c>
      <c r="H528" s="7" t="s">
        <v>58</v>
      </c>
      <c r="I528" s="7" t="s">
        <v>58</v>
      </c>
    </row>
    <row r="529" spans="1:9" ht="45" x14ac:dyDescent="0.25">
      <c r="A529" s="1" t="s">
        <v>140</v>
      </c>
      <c r="B529" s="7" t="s">
        <v>58</v>
      </c>
      <c r="C529" s="7" t="s">
        <v>58</v>
      </c>
      <c r="D529" s="7" t="s">
        <v>58</v>
      </c>
      <c r="E529" s="7" t="s">
        <v>58</v>
      </c>
      <c r="F529" s="7" t="s">
        <v>58</v>
      </c>
      <c r="G529" s="7" t="s">
        <v>58</v>
      </c>
      <c r="H529" s="7" t="s">
        <v>58</v>
      </c>
      <c r="I529" s="7" t="s">
        <v>58</v>
      </c>
    </row>
    <row r="530" spans="1:9" ht="45" x14ac:dyDescent="0.25">
      <c r="A530" s="1" t="s">
        <v>141</v>
      </c>
      <c r="B530" s="7" t="s">
        <v>58</v>
      </c>
      <c r="C530" s="7" t="s">
        <v>58</v>
      </c>
      <c r="D530" s="7" t="s">
        <v>58</v>
      </c>
      <c r="E530" s="7" t="s">
        <v>58</v>
      </c>
      <c r="F530" s="7" t="s">
        <v>58</v>
      </c>
      <c r="G530" s="7" t="s">
        <v>58</v>
      </c>
      <c r="H530" s="7" t="s">
        <v>58</v>
      </c>
      <c r="I530" s="7" t="s">
        <v>58</v>
      </c>
    </row>
    <row r="531" spans="1:9" ht="45" x14ac:dyDescent="0.25">
      <c r="A531" s="1" t="s">
        <v>142</v>
      </c>
      <c r="B531" s="7" t="s">
        <v>58</v>
      </c>
      <c r="C531" s="7" t="s">
        <v>58</v>
      </c>
      <c r="D531" s="7" t="s">
        <v>58</v>
      </c>
      <c r="E531" s="7" t="s">
        <v>58</v>
      </c>
      <c r="F531" s="7" t="s">
        <v>58</v>
      </c>
      <c r="G531" s="7" t="s">
        <v>58</v>
      </c>
      <c r="H531" s="7" t="s">
        <v>58</v>
      </c>
      <c r="I531" s="7" t="s">
        <v>58</v>
      </c>
    </row>
    <row r="532" spans="1:9" ht="60" x14ac:dyDescent="0.25">
      <c r="A532" s="1" t="s">
        <v>133</v>
      </c>
      <c r="B532" s="7" t="s">
        <v>58</v>
      </c>
      <c r="C532" s="7" t="s">
        <v>58</v>
      </c>
      <c r="D532" s="7" t="s">
        <v>58</v>
      </c>
      <c r="E532" s="7" t="s">
        <v>58</v>
      </c>
      <c r="F532" s="7" t="s">
        <v>58</v>
      </c>
      <c r="G532" s="7" t="s">
        <v>58</v>
      </c>
      <c r="H532" s="7" t="s">
        <v>58</v>
      </c>
      <c r="I532" s="7" t="s">
        <v>58</v>
      </c>
    </row>
    <row r="533" spans="1:9" ht="60" x14ac:dyDescent="0.25">
      <c r="A533" s="1" t="s">
        <v>134</v>
      </c>
      <c r="B533" s="7" t="s">
        <v>58</v>
      </c>
      <c r="C533" s="7" t="s">
        <v>58</v>
      </c>
      <c r="D533" s="7" t="s">
        <v>58</v>
      </c>
      <c r="E533" s="7" t="s">
        <v>58</v>
      </c>
      <c r="F533" s="7" t="s">
        <v>58</v>
      </c>
      <c r="G533" s="7" t="s">
        <v>58</v>
      </c>
      <c r="H533" s="7" t="s">
        <v>58</v>
      </c>
      <c r="I533" s="7" t="s">
        <v>58</v>
      </c>
    </row>
    <row r="534" spans="1:9" x14ac:dyDescent="0.25">
      <c r="A534" s="1" t="s">
        <v>12</v>
      </c>
      <c r="B534" s="2"/>
      <c r="C534" s="2"/>
      <c r="D534" s="2"/>
      <c r="E534" s="2"/>
      <c r="F534" s="2"/>
      <c r="G534" s="2"/>
      <c r="H534" s="2"/>
      <c r="I534" s="2"/>
    </row>
    <row r="535" spans="1:9" x14ac:dyDescent="0.25">
      <c r="A535" s="8" t="s">
        <v>39</v>
      </c>
      <c r="B535" s="2"/>
      <c r="C535" s="2"/>
      <c r="D535" s="2"/>
      <c r="E535" s="2"/>
      <c r="F535" s="2"/>
      <c r="G535" s="2"/>
      <c r="H535" s="2"/>
      <c r="I535" s="2"/>
    </row>
    <row r="536" spans="1:9" ht="60" x14ac:dyDescent="0.25">
      <c r="A536" s="1" t="s">
        <v>13</v>
      </c>
      <c r="B536" s="5">
        <v>75.58</v>
      </c>
      <c r="C536" s="5">
        <v>75.23</v>
      </c>
      <c r="D536" s="5">
        <v>75.45</v>
      </c>
      <c r="E536" s="5">
        <v>75.66</v>
      </c>
      <c r="F536" s="5">
        <v>75.81</v>
      </c>
      <c r="G536" s="5">
        <v>75.91</v>
      </c>
      <c r="H536" s="5">
        <v>75.959999999999994</v>
      </c>
      <c r="I536" s="6">
        <v>8.3621000000000001E-2</v>
      </c>
    </row>
    <row r="537" spans="1:9" ht="60" x14ac:dyDescent="0.25">
      <c r="A537" s="1" t="s">
        <v>117</v>
      </c>
      <c r="B537" s="5">
        <v>11.06</v>
      </c>
      <c r="C537" s="5">
        <v>9.8800000000000008</v>
      </c>
      <c r="D537" s="5">
        <v>9.42</v>
      </c>
      <c r="E537" s="5">
        <v>9.0500000000000007</v>
      </c>
      <c r="F537" s="5">
        <v>8.74</v>
      </c>
      <c r="G537" s="5">
        <v>8.49</v>
      </c>
      <c r="H537" s="5">
        <v>8.27</v>
      </c>
      <c r="I537" s="6">
        <v>-4.7295100000000003</v>
      </c>
    </row>
    <row r="538" spans="1:9" ht="60" x14ac:dyDescent="0.25">
      <c r="A538" s="1" t="s">
        <v>118</v>
      </c>
      <c r="B538" s="5">
        <v>11.29</v>
      </c>
      <c r="C538" s="5">
        <v>10.18</v>
      </c>
      <c r="D538" s="5">
        <v>8.9600000000000009</v>
      </c>
      <c r="E538" s="5">
        <v>7.85</v>
      </c>
      <c r="F538" s="5">
        <v>6.83</v>
      </c>
      <c r="G538" s="5">
        <v>5.91</v>
      </c>
      <c r="H538" s="5">
        <v>5.07</v>
      </c>
      <c r="I538" s="6">
        <v>-12.491078</v>
      </c>
    </row>
    <row r="539" spans="1:9" ht="60" x14ac:dyDescent="0.25">
      <c r="A539" s="1" t="s">
        <v>119</v>
      </c>
      <c r="B539" s="5">
        <v>38.6</v>
      </c>
      <c r="C539" s="5">
        <v>39.67</v>
      </c>
      <c r="D539" s="5">
        <v>40.9</v>
      </c>
      <c r="E539" s="5">
        <v>42.02</v>
      </c>
      <c r="F539" s="5">
        <v>43.03</v>
      </c>
      <c r="G539" s="5">
        <v>43.93</v>
      </c>
      <c r="H539" s="5">
        <v>44.75</v>
      </c>
      <c r="I539" s="6">
        <v>2.4945930000000001</v>
      </c>
    </row>
    <row r="540" spans="1:9" ht="60" x14ac:dyDescent="0.25">
      <c r="A540" s="1" t="s">
        <v>120</v>
      </c>
      <c r="B540" s="5">
        <v>0</v>
      </c>
      <c r="C540" s="5">
        <v>0</v>
      </c>
      <c r="D540" s="5">
        <v>0</v>
      </c>
      <c r="E540" s="5">
        <v>0</v>
      </c>
      <c r="F540" s="5">
        <v>0</v>
      </c>
      <c r="G540" s="5">
        <v>0</v>
      </c>
      <c r="H540" s="5">
        <v>0</v>
      </c>
      <c r="I540" s="7" t="s">
        <v>58</v>
      </c>
    </row>
    <row r="541" spans="1:9" ht="75" x14ac:dyDescent="0.25">
      <c r="A541" s="1" t="s">
        <v>121</v>
      </c>
      <c r="B541" s="5">
        <v>14.19</v>
      </c>
      <c r="C541" s="5">
        <v>15.04</v>
      </c>
      <c r="D541" s="5">
        <v>15.77</v>
      </c>
      <c r="E541" s="5">
        <v>16.38</v>
      </c>
      <c r="F541" s="5">
        <v>16.88</v>
      </c>
      <c r="G541" s="5">
        <v>17.28</v>
      </c>
      <c r="H541" s="5">
        <v>17.61</v>
      </c>
      <c r="I541" s="6">
        <v>3.6643650000000001</v>
      </c>
    </row>
    <row r="542" spans="1:9" ht="75" x14ac:dyDescent="0.25">
      <c r="A542" s="1" t="s">
        <v>122</v>
      </c>
      <c r="B542" s="5">
        <v>0.44</v>
      </c>
      <c r="C542" s="5">
        <v>0.46</v>
      </c>
      <c r="D542" s="5">
        <v>0.41</v>
      </c>
      <c r="E542" s="5">
        <v>0.37</v>
      </c>
      <c r="F542" s="5">
        <v>0.33</v>
      </c>
      <c r="G542" s="5">
        <v>0.3</v>
      </c>
      <c r="H542" s="5">
        <v>0.27</v>
      </c>
      <c r="I542" s="6">
        <v>-7.8167859999999996</v>
      </c>
    </row>
    <row r="543" spans="1:9" ht="60" x14ac:dyDescent="0.25">
      <c r="A543" s="1" t="s">
        <v>123</v>
      </c>
      <c r="B543" s="5">
        <v>14.64</v>
      </c>
      <c r="C543" s="5">
        <v>13.13</v>
      </c>
      <c r="D543" s="5">
        <v>12.48</v>
      </c>
      <c r="E543" s="5">
        <v>11.96</v>
      </c>
      <c r="F543" s="5">
        <v>11.53</v>
      </c>
      <c r="G543" s="5">
        <v>11.18</v>
      </c>
      <c r="H543" s="5">
        <v>10.89</v>
      </c>
      <c r="I543" s="6">
        <v>-4.8122340000000001</v>
      </c>
    </row>
    <row r="544" spans="1:9" ht="60" x14ac:dyDescent="0.25">
      <c r="A544" s="1" t="s">
        <v>124</v>
      </c>
      <c r="B544" s="5">
        <v>14.94</v>
      </c>
      <c r="C544" s="5">
        <v>13.53</v>
      </c>
      <c r="D544" s="5">
        <v>11.87</v>
      </c>
      <c r="E544" s="5">
        <v>10.37</v>
      </c>
      <c r="F544" s="5">
        <v>9.01</v>
      </c>
      <c r="G544" s="5">
        <v>7.79</v>
      </c>
      <c r="H544" s="5">
        <v>6.68</v>
      </c>
      <c r="I544" s="6">
        <v>-12.554463999999999</v>
      </c>
    </row>
    <row r="545" spans="1:9" ht="60" x14ac:dyDescent="0.25">
      <c r="A545" s="1" t="s">
        <v>125</v>
      </c>
      <c r="B545" s="5">
        <v>51.07</v>
      </c>
      <c r="C545" s="5">
        <v>52.74</v>
      </c>
      <c r="D545" s="5">
        <v>54.2</v>
      </c>
      <c r="E545" s="5">
        <v>55.54</v>
      </c>
      <c r="F545" s="5">
        <v>56.76</v>
      </c>
      <c r="G545" s="5">
        <v>57.87</v>
      </c>
      <c r="H545" s="5">
        <v>58.9</v>
      </c>
      <c r="I545" s="6">
        <v>2.4058830000000002</v>
      </c>
    </row>
    <row r="546" spans="1:9" ht="60" x14ac:dyDescent="0.25">
      <c r="A546" s="1" t="s">
        <v>126</v>
      </c>
      <c r="B546" s="5">
        <v>0</v>
      </c>
      <c r="C546" s="5">
        <v>0</v>
      </c>
      <c r="D546" s="5">
        <v>0</v>
      </c>
      <c r="E546" s="5">
        <v>0</v>
      </c>
      <c r="F546" s="5">
        <v>0</v>
      </c>
      <c r="G546" s="5">
        <v>0</v>
      </c>
      <c r="H546" s="5">
        <v>0</v>
      </c>
      <c r="I546" s="7" t="s">
        <v>58</v>
      </c>
    </row>
    <row r="547" spans="1:9" ht="75" x14ac:dyDescent="0.25">
      <c r="A547" s="1" t="s">
        <v>127</v>
      </c>
      <c r="B547" s="5">
        <v>18.77</v>
      </c>
      <c r="C547" s="5">
        <v>20</v>
      </c>
      <c r="D547" s="5">
        <v>20.9</v>
      </c>
      <c r="E547" s="5">
        <v>21.65</v>
      </c>
      <c r="F547" s="5">
        <v>22.27</v>
      </c>
      <c r="G547" s="5">
        <v>22.77</v>
      </c>
      <c r="H547" s="5">
        <v>23.18</v>
      </c>
      <c r="I547" s="6">
        <v>3.5797500000000002</v>
      </c>
    </row>
    <row r="548" spans="1:9" ht="60" x14ac:dyDescent="0.25">
      <c r="A548" s="1" t="s">
        <v>128</v>
      </c>
      <c r="B548" s="5">
        <v>0.57999999999999996</v>
      </c>
      <c r="C548" s="5">
        <v>0.61</v>
      </c>
      <c r="D548" s="5">
        <v>0.54</v>
      </c>
      <c r="E548" s="5">
        <v>0.49</v>
      </c>
      <c r="F548" s="5">
        <v>0.43</v>
      </c>
      <c r="G548" s="5">
        <v>0.39</v>
      </c>
      <c r="H548" s="5">
        <v>0.35</v>
      </c>
      <c r="I548" s="6">
        <v>-8.0736519999999992</v>
      </c>
    </row>
    <row r="549" spans="1:9" ht="45" x14ac:dyDescent="0.25">
      <c r="A549" s="1" t="s">
        <v>129</v>
      </c>
      <c r="B549" s="7" t="s">
        <v>58</v>
      </c>
      <c r="C549" s="7" t="s">
        <v>58</v>
      </c>
      <c r="D549" s="7" t="s">
        <v>58</v>
      </c>
      <c r="E549" s="7" t="s">
        <v>58</v>
      </c>
      <c r="F549" s="7" t="s">
        <v>58</v>
      </c>
      <c r="G549" s="7" t="s">
        <v>58</v>
      </c>
      <c r="H549" s="7" t="s">
        <v>58</v>
      </c>
      <c r="I549" s="7" t="s">
        <v>58</v>
      </c>
    </row>
    <row r="550" spans="1:9" ht="45" x14ac:dyDescent="0.25">
      <c r="A550" s="1" t="s">
        <v>140</v>
      </c>
      <c r="B550" s="7" t="s">
        <v>58</v>
      </c>
      <c r="C550" s="7" t="s">
        <v>58</v>
      </c>
      <c r="D550" s="7" t="s">
        <v>58</v>
      </c>
      <c r="E550" s="7" t="s">
        <v>58</v>
      </c>
      <c r="F550" s="7" t="s">
        <v>58</v>
      </c>
      <c r="G550" s="7" t="s">
        <v>58</v>
      </c>
      <c r="H550" s="7" t="s">
        <v>58</v>
      </c>
      <c r="I550" s="7" t="s">
        <v>58</v>
      </c>
    </row>
    <row r="551" spans="1:9" ht="45" x14ac:dyDescent="0.25">
      <c r="A551" s="1" t="s">
        <v>141</v>
      </c>
      <c r="B551" s="7" t="s">
        <v>58</v>
      </c>
      <c r="C551" s="7" t="s">
        <v>58</v>
      </c>
      <c r="D551" s="7" t="s">
        <v>58</v>
      </c>
      <c r="E551" s="7" t="s">
        <v>58</v>
      </c>
      <c r="F551" s="7" t="s">
        <v>58</v>
      </c>
      <c r="G551" s="7" t="s">
        <v>58</v>
      </c>
      <c r="H551" s="7" t="s">
        <v>58</v>
      </c>
      <c r="I551" s="7" t="s">
        <v>58</v>
      </c>
    </row>
    <row r="552" spans="1:9" ht="45" x14ac:dyDescent="0.25">
      <c r="A552" s="1" t="s">
        <v>142</v>
      </c>
      <c r="B552" s="7" t="s">
        <v>58</v>
      </c>
      <c r="C552" s="7" t="s">
        <v>58</v>
      </c>
      <c r="D552" s="7" t="s">
        <v>58</v>
      </c>
      <c r="E552" s="7" t="s">
        <v>58</v>
      </c>
      <c r="F552" s="7" t="s">
        <v>58</v>
      </c>
      <c r="G552" s="7" t="s">
        <v>58</v>
      </c>
      <c r="H552" s="7" t="s">
        <v>58</v>
      </c>
      <c r="I552" s="7" t="s">
        <v>58</v>
      </c>
    </row>
    <row r="553" spans="1:9" ht="60" x14ac:dyDescent="0.25">
      <c r="A553" s="1" t="s">
        <v>133</v>
      </c>
      <c r="B553" s="7" t="s">
        <v>58</v>
      </c>
      <c r="C553" s="7" t="s">
        <v>58</v>
      </c>
      <c r="D553" s="7" t="s">
        <v>58</v>
      </c>
      <c r="E553" s="7" t="s">
        <v>58</v>
      </c>
      <c r="F553" s="7" t="s">
        <v>58</v>
      </c>
      <c r="G553" s="7" t="s">
        <v>58</v>
      </c>
      <c r="H553" s="7" t="s">
        <v>58</v>
      </c>
      <c r="I553" s="7" t="s">
        <v>58</v>
      </c>
    </row>
    <row r="554" spans="1:9" ht="60" x14ac:dyDescent="0.25">
      <c r="A554" s="1" t="s">
        <v>134</v>
      </c>
      <c r="B554" s="7" t="s">
        <v>58</v>
      </c>
      <c r="C554" s="7" t="s">
        <v>58</v>
      </c>
      <c r="D554" s="7" t="s">
        <v>58</v>
      </c>
      <c r="E554" s="7" t="s">
        <v>58</v>
      </c>
      <c r="F554" s="7" t="s">
        <v>58</v>
      </c>
      <c r="G554" s="7" t="s">
        <v>58</v>
      </c>
      <c r="H554" s="7" t="s">
        <v>58</v>
      </c>
      <c r="I554" s="7" t="s">
        <v>58</v>
      </c>
    </row>
    <row r="555" spans="1:9" x14ac:dyDescent="0.25">
      <c r="A555" s="1" t="s">
        <v>12</v>
      </c>
      <c r="B555" s="2"/>
      <c r="C555" s="2"/>
      <c r="D555" s="2"/>
      <c r="E555" s="2"/>
      <c r="F555" s="2"/>
      <c r="G555" s="2"/>
      <c r="H555" s="2"/>
      <c r="I555" s="2"/>
    </row>
    <row r="556" spans="1:9" x14ac:dyDescent="0.25">
      <c r="A556" s="8" t="s">
        <v>40</v>
      </c>
      <c r="B556" s="2"/>
      <c r="C556" s="2"/>
      <c r="D556" s="2"/>
      <c r="E556" s="2"/>
      <c r="F556" s="2"/>
      <c r="G556" s="2"/>
      <c r="H556" s="2"/>
      <c r="I556" s="2"/>
    </row>
    <row r="557" spans="1:9" ht="60" x14ac:dyDescent="0.25">
      <c r="A557" s="1" t="s">
        <v>13</v>
      </c>
      <c r="B557" s="5">
        <v>67.459999999999994</v>
      </c>
      <c r="C557" s="5">
        <v>69.08</v>
      </c>
      <c r="D557" s="5">
        <v>70.8</v>
      </c>
      <c r="E557" s="5">
        <v>72.37</v>
      </c>
      <c r="F557" s="5">
        <v>73.790000000000006</v>
      </c>
      <c r="G557" s="5">
        <v>75.22</v>
      </c>
      <c r="H557" s="5">
        <v>76.45</v>
      </c>
      <c r="I557" s="6">
        <v>2.1069239999999998</v>
      </c>
    </row>
    <row r="558" spans="1:9" ht="60" x14ac:dyDescent="0.25">
      <c r="A558" s="1" t="s">
        <v>117</v>
      </c>
      <c r="B558" s="5">
        <v>18.46</v>
      </c>
      <c r="C558" s="5">
        <v>19.07</v>
      </c>
      <c r="D558" s="5">
        <v>19.59</v>
      </c>
      <c r="E558" s="5">
        <v>19.95</v>
      </c>
      <c r="F558" s="5">
        <v>20.239999999999998</v>
      </c>
      <c r="G558" s="5">
        <v>20.46</v>
      </c>
      <c r="H558" s="5">
        <v>20.61</v>
      </c>
      <c r="I558" s="6">
        <v>1.8531310000000001</v>
      </c>
    </row>
    <row r="559" spans="1:9" ht="60" x14ac:dyDescent="0.25">
      <c r="A559" s="1" t="s">
        <v>118</v>
      </c>
      <c r="B559" s="5">
        <v>2.23</v>
      </c>
      <c r="C559" s="5">
        <v>1.33</v>
      </c>
      <c r="D559" s="5">
        <v>0.66</v>
      </c>
      <c r="E559" s="5">
        <v>0.2</v>
      </c>
      <c r="F559" s="5">
        <v>0</v>
      </c>
      <c r="G559" s="5">
        <v>0</v>
      </c>
      <c r="H559" s="5">
        <v>0</v>
      </c>
      <c r="I559" s="6">
        <v>-100</v>
      </c>
    </row>
    <row r="560" spans="1:9" ht="60" x14ac:dyDescent="0.25">
      <c r="A560" s="1" t="s">
        <v>119</v>
      </c>
      <c r="B560" s="5">
        <v>45.23</v>
      </c>
      <c r="C560" s="5">
        <v>47.07</v>
      </c>
      <c r="D560" s="5">
        <v>48.88</v>
      </c>
      <c r="E560" s="5">
        <v>50.52</v>
      </c>
      <c r="F560" s="5">
        <v>51.85</v>
      </c>
      <c r="G560" s="5">
        <v>53.05</v>
      </c>
      <c r="H560" s="5">
        <v>54.12</v>
      </c>
      <c r="I560" s="6">
        <v>3.035892</v>
      </c>
    </row>
    <row r="561" spans="1:9" ht="60" x14ac:dyDescent="0.25">
      <c r="A561" s="1" t="s">
        <v>120</v>
      </c>
      <c r="B561" s="5">
        <v>0</v>
      </c>
      <c r="C561" s="5">
        <v>0</v>
      </c>
      <c r="D561" s="5">
        <v>0</v>
      </c>
      <c r="E561" s="5">
        <v>0</v>
      </c>
      <c r="F561" s="5">
        <v>0</v>
      </c>
      <c r="G561" s="5">
        <v>0</v>
      </c>
      <c r="H561" s="5">
        <v>0</v>
      </c>
      <c r="I561" s="7" t="s">
        <v>58</v>
      </c>
    </row>
    <row r="562" spans="1:9" ht="75" x14ac:dyDescent="0.25">
      <c r="A562" s="1" t="s">
        <v>121</v>
      </c>
      <c r="B562" s="5">
        <v>1.41</v>
      </c>
      <c r="C562" s="5">
        <v>1.48</v>
      </c>
      <c r="D562" s="5">
        <v>1.55</v>
      </c>
      <c r="E562" s="5">
        <v>1.58</v>
      </c>
      <c r="F562" s="5">
        <v>1.59</v>
      </c>
      <c r="G562" s="5">
        <v>1.59</v>
      </c>
      <c r="H562" s="5">
        <v>1.6</v>
      </c>
      <c r="I562" s="6">
        <v>2.129251</v>
      </c>
    </row>
    <row r="563" spans="1:9" ht="75" x14ac:dyDescent="0.25">
      <c r="A563" s="1" t="s">
        <v>122</v>
      </c>
      <c r="B563" s="5">
        <v>0.12</v>
      </c>
      <c r="C563" s="5">
        <v>0.12</v>
      </c>
      <c r="D563" s="5">
        <v>0.12</v>
      </c>
      <c r="E563" s="5">
        <v>0.12</v>
      </c>
      <c r="F563" s="5">
        <v>0.12</v>
      </c>
      <c r="G563" s="5">
        <v>0.12</v>
      </c>
      <c r="H563" s="5">
        <v>0.12</v>
      </c>
      <c r="I563" s="6">
        <v>0</v>
      </c>
    </row>
    <row r="564" spans="1:9" ht="60" x14ac:dyDescent="0.25">
      <c r="A564" s="1" t="s">
        <v>123</v>
      </c>
      <c r="B564" s="5">
        <v>27.36</v>
      </c>
      <c r="C564" s="5">
        <v>27.61</v>
      </c>
      <c r="D564" s="5">
        <v>27.66</v>
      </c>
      <c r="E564" s="5">
        <v>27.56</v>
      </c>
      <c r="F564" s="5">
        <v>27.43</v>
      </c>
      <c r="G564" s="5">
        <v>27.2</v>
      </c>
      <c r="H564" s="5">
        <v>26.97</v>
      </c>
      <c r="I564" s="6">
        <v>-0.23899699999999999</v>
      </c>
    </row>
    <row r="565" spans="1:9" ht="60" x14ac:dyDescent="0.25">
      <c r="A565" s="1" t="s">
        <v>124</v>
      </c>
      <c r="B565" s="5">
        <v>3.31</v>
      </c>
      <c r="C565" s="5">
        <v>1.93</v>
      </c>
      <c r="D565" s="5">
        <v>0.94</v>
      </c>
      <c r="E565" s="5">
        <v>0.27</v>
      </c>
      <c r="F565" s="5">
        <v>0</v>
      </c>
      <c r="G565" s="5">
        <v>0</v>
      </c>
      <c r="H565" s="5">
        <v>0</v>
      </c>
      <c r="I565" s="6">
        <v>-100</v>
      </c>
    </row>
    <row r="566" spans="1:9" ht="60" x14ac:dyDescent="0.25">
      <c r="A566" s="1" t="s">
        <v>125</v>
      </c>
      <c r="B566" s="5">
        <v>67.05</v>
      </c>
      <c r="C566" s="5">
        <v>68.14</v>
      </c>
      <c r="D566" s="5">
        <v>69.040000000000006</v>
      </c>
      <c r="E566" s="5">
        <v>69.81</v>
      </c>
      <c r="F566" s="5">
        <v>70.260000000000005</v>
      </c>
      <c r="G566" s="5">
        <v>70.52</v>
      </c>
      <c r="H566" s="5">
        <v>70.790000000000006</v>
      </c>
      <c r="I566" s="6">
        <v>0.90875700000000004</v>
      </c>
    </row>
    <row r="567" spans="1:9" ht="60" x14ac:dyDescent="0.25">
      <c r="A567" s="1" t="s">
        <v>126</v>
      </c>
      <c r="B567" s="5">
        <v>0</v>
      </c>
      <c r="C567" s="5">
        <v>0</v>
      </c>
      <c r="D567" s="5">
        <v>0</v>
      </c>
      <c r="E567" s="5">
        <v>0</v>
      </c>
      <c r="F567" s="5">
        <v>0</v>
      </c>
      <c r="G567" s="5">
        <v>0</v>
      </c>
      <c r="H567" s="5">
        <v>0</v>
      </c>
      <c r="I567" s="7" t="s">
        <v>58</v>
      </c>
    </row>
    <row r="568" spans="1:9" ht="75" x14ac:dyDescent="0.25">
      <c r="A568" s="1" t="s">
        <v>127</v>
      </c>
      <c r="B568" s="5">
        <v>2.09</v>
      </c>
      <c r="C568" s="5">
        <v>2.15</v>
      </c>
      <c r="D568" s="5">
        <v>2.19</v>
      </c>
      <c r="E568" s="5">
        <v>2.19</v>
      </c>
      <c r="F568" s="5">
        <v>2.15</v>
      </c>
      <c r="G568" s="5">
        <v>2.12</v>
      </c>
      <c r="H568" s="5">
        <v>2.09</v>
      </c>
      <c r="I568" s="6">
        <v>0</v>
      </c>
    </row>
    <row r="569" spans="1:9" ht="60" x14ac:dyDescent="0.25">
      <c r="A569" s="1" t="s">
        <v>128</v>
      </c>
      <c r="B569" s="5">
        <v>0.18</v>
      </c>
      <c r="C569" s="5">
        <v>0.18</v>
      </c>
      <c r="D569" s="5">
        <v>0.17</v>
      </c>
      <c r="E569" s="5">
        <v>0.16</v>
      </c>
      <c r="F569" s="5">
        <v>0.16</v>
      </c>
      <c r="G569" s="5">
        <v>0.16</v>
      </c>
      <c r="H569" s="5">
        <v>0.15</v>
      </c>
      <c r="I569" s="6">
        <v>-2.992988</v>
      </c>
    </row>
    <row r="570" spans="1:9" ht="45" x14ac:dyDescent="0.25">
      <c r="A570" s="1" t="s">
        <v>129</v>
      </c>
      <c r="B570" s="5">
        <v>33.01</v>
      </c>
      <c r="C570" s="5">
        <v>33.72</v>
      </c>
      <c r="D570" s="5">
        <v>34.51</v>
      </c>
      <c r="E570" s="5">
        <v>35.25</v>
      </c>
      <c r="F570" s="5">
        <v>35.97</v>
      </c>
      <c r="G570" s="5">
        <v>36.659999999999997</v>
      </c>
      <c r="H570" s="5">
        <v>37.29</v>
      </c>
      <c r="I570" s="6">
        <v>2.0526946440305283</v>
      </c>
    </row>
    <row r="571" spans="1:9" ht="45" x14ac:dyDescent="0.25">
      <c r="A571" s="1" t="s">
        <v>140</v>
      </c>
      <c r="B571" s="5">
        <v>29.02</v>
      </c>
      <c r="C571" s="5">
        <v>28.96</v>
      </c>
      <c r="D571" s="5">
        <v>28.97</v>
      </c>
      <c r="E571" s="5">
        <v>28.98</v>
      </c>
      <c r="F571" s="5">
        <v>29.06</v>
      </c>
      <c r="G571" s="5">
        <v>29.14</v>
      </c>
      <c r="H571" s="5">
        <v>29.22</v>
      </c>
      <c r="I571" s="6">
        <v>0.114535</v>
      </c>
    </row>
    <row r="572" spans="1:9" ht="45" x14ac:dyDescent="0.25">
      <c r="A572" s="1" t="s">
        <v>141</v>
      </c>
      <c r="B572" s="5">
        <v>17.7</v>
      </c>
      <c r="C572" s="5">
        <v>14.89</v>
      </c>
      <c r="D572" s="5">
        <v>13.1</v>
      </c>
      <c r="E572" s="5">
        <v>8.98</v>
      </c>
      <c r="F572" s="5">
        <v>0</v>
      </c>
      <c r="G572" s="7" t="s">
        <v>58</v>
      </c>
      <c r="H572" s="7" t="s">
        <v>58</v>
      </c>
      <c r="I572" s="7" t="s">
        <v>58</v>
      </c>
    </row>
    <row r="573" spans="1:9" ht="45" x14ac:dyDescent="0.25">
      <c r="A573" s="1" t="s">
        <v>142</v>
      </c>
      <c r="B573" s="5">
        <v>35.5</v>
      </c>
      <c r="C573" s="5">
        <v>36.4</v>
      </c>
      <c r="D573" s="5">
        <v>37.24</v>
      </c>
      <c r="E573" s="5">
        <v>38.06</v>
      </c>
      <c r="F573" s="5">
        <v>38.869999999999997</v>
      </c>
      <c r="G573" s="5">
        <v>39.74</v>
      </c>
      <c r="H573" s="5">
        <v>40.57</v>
      </c>
      <c r="I573" s="6">
        <v>2.249873</v>
      </c>
    </row>
    <row r="574" spans="1:9" ht="60" x14ac:dyDescent="0.25">
      <c r="A574" s="1" t="s">
        <v>133</v>
      </c>
      <c r="B574" s="5">
        <v>33.688957379999998</v>
      </c>
      <c r="C574" s="5">
        <v>34.025684669999997</v>
      </c>
      <c r="D574" s="5">
        <v>34.364978409999999</v>
      </c>
      <c r="E574" s="5">
        <v>34.709370010000001</v>
      </c>
      <c r="F574" s="5">
        <v>35.057143359999998</v>
      </c>
      <c r="G574" s="5">
        <v>35.407589780000002</v>
      </c>
      <c r="H574" s="5">
        <v>0</v>
      </c>
      <c r="I574" s="6">
        <v>-100</v>
      </c>
    </row>
    <row r="575" spans="1:9" ht="60" x14ac:dyDescent="0.25">
      <c r="A575" s="1" t="s">
        <v>134</v>
      </c>
      <c r="B575" s="5">
        <v>33.549999999999997</v>
      </c>
      <c r="C575" s="5">
        <v>33.21</v>
      </c>
      <c r="D575" s="5">
        <v>32.880000000000003</v>
      </c>
      <c r="E575" s="5">
        <v>32.549999999999997</v>
      </c>
      <c r="F575" s="5">
        <v>32.229999999999997</v>
      </c>
      <c r="G575" s="5">
        <v>31.9</v>
      </c>
      <c r="H575" s="5">
        <v>31.59</v>
      </c>
      <c r="I575" s="6">
        <v>-0.998255</v>
      </c>
    </row>
    <row r="576" spans="1:9" x14ac:dyDescent="0.25">
      <c r="A576" s="1" t="s">
        <v>12</v>
      </c>
      <c r="B576" s="2"/>
      <c r="C576" s="2"/>
      <c r="D576" s="2"/>
      <c r="E576" s="2"/>
      <c r="F576" s="2"/>
      <c r="G576" s="2"/>
      <c r="H576" s="2"/>
      <c r="I576" s="2"/>
    </row>
    <row r="577" spans="1:9" x14ac:dyDescent="0.25">
      <c r="A577" s="8" t="s">
        <v>41</v>
      </c>
      <c r="B577" s="2"/>
      <c r="C577" s="2"/>
      <c r="D577" s="2"/>
      <c r="E577" s="2"/>
      <c r="F577" s="2"/>
      <c r="G577" s="2"/>
      <c r="H577" s="2"/>
      <c r="I577" s="2"/>
    </row>
    <row r="578" spans="1:9" ht="60" x14ac:dyDescent="0.25">
      <c r="A578" s="1" t="s">
        <v>13</v>
      </c>
      <c r="B578" s="5">
        <v>102.28</v>
      </c>
      <c r="C578" s="5">
        <v>101.65</v>
      </c>
      <c r="D578" s="5">
        <v>101.07</v>
      </c>
      <c r="E578" s="5">
        <v>101.02</v>
      </c>
      <c r="F578" s="5">
        <v>101.1</v>
      </c>
      <c r="G578" s="5">
        <v>101.13</v>
      </c>
      <c r="H578" s="5">
        <v>100.79</v>
      </c>
      <c r="I578" s="6">
        <v>-0.244285</v>
      </c>
    </row>
    <row r="579" spans="1:9" ht="60" x14ac:dyDescent="0.25">
      <c r="A579" s="1" t="s">
        <v>117</v>
      </c>
      <c r="B579" s="5">
        <v>1.79</v>
      </c>
      <c r="C579" s="5">
        <v>1.39</v>
      </c>
      <c r="D579" s="5">
        <v>1.1200000000000001</v>
      </c>
      <c r="E579" s="5">
        <v>0.9</v>
      </c>
      <c r="F579" s="5">
        <v>0.73</v>
      </c>
      <c r="G579" s="5">
        <v>0.57999999999999996</v>
      </c>
      <c r="H579" s="5">
        <v>0.47</v>
      </c>
      <c r="I579" s="6">
        <v>-19.978356000000002</v>
      </c>
    </row>
    <row r="580" spans="1:9" ht="60" x14ac:dyDescent="0.25">
      <c r="A580" s="1" t="s">
        <v>118</v>
      </c>
      <c r="B580" s="5">
        <v>22.55</v>
      </c>
      <c r="C580" s="5">
        <v>15.36</v>
      </c>
      <c r="D580" s="5">
        <v>9.3000000000000007</v>
      </c>
      <c r="E580" s="5">
        <v>4.24</v>
      </c>
      <c r="F580" s="5">
        <v>2.65</v>
      </c>
      <c r="G580" s="5">
        <v>1.51</v>
      </c>
      <c r="H580" s="5">
        <v>0.24</v>
      </c>
      <c r="I580" s="6">
        <v>-53.099502999999999</v>
      </c>
    </row>
    <row r="581" spans="1:9" ht="60" x14ac:dyDescent="0.25">
      <c r="A581" s="1" t="s">
        <v>119</v>
      </c>
      <c r="B581" s="5">
        <v>76.31</v>
      </c>
      <c r="C581" s="5">
        <v>83.2</v>
      </c>
      <c r="D581" s="5">
        <v>88.9</v>
      </c>
      <c r="E581" s="5">
        <v>94.09</v>
      </c>
      <c r="F581" s="5">
        <v>95.88</v>
      </c>
      <c r="G581" s="5">
        <v>97.13</v>
      </c>
      <c r="H581" s="5">
        <v>98.13</v>
      </c>
      <c r="I581" s="6">
        <v>4.2805689999999998</v>
      </c>
    </row>
    <row r="582" spans="1:9" ht="60" x14ac:dyDescent="0.25">
      <c r="A582" s="1" t="s">
        <v>120</v>
      </c>
      <c r="B582" s="5">
        <v>0.05</v>
      </c>
      <c r="C582" s="5">
        <v>0.05</v>
      </c>
      <c r="D582" s="5">
        <v>0.05</v>
      </c>
      <c r="E582" s="5">
        <v>0.04</v>
      </c>
      <c r="F582" s="5">
        <v>0.04</v>
      </c>
      <c r="G582" s="5">
        <v>0.04</v>
      </c>
      <c r="H582" s="5">
        <v>0.03</v>
      </c>
      <c r="I582" s="6">
        <v>-8.1614100000000001</v>
      </c>
    </row>
    <row r="583" spans="1:9" ht="75" x14ac:dyDescent="0.25">
      <c r="A583" s="1" t="s">
        <v>121</v>
      </c>
      <c r="B583" s="5">
        <v>1.57</v>
      </c>
      <c r="C583" s="5">
        <v>1.64</v>
      </c>
      <c r="D583" s="5">
        <v>1.69</v>
      </c>
      <c r="E583" s="5">
        <v>1.75</v>
      </c>
      <c r="F583" s="5">
        <v>1.81</v>
      </c>
      <c r="G583" s="5">
        <v>1.87</v>
      </c>
      <c r="H583" s="5">
        <v>1.93</v>
      </c>
      <c r="I583" s="6">
        <v>3.5006179999999998</v>
      </c>
    </row>
    <row r="584" spans="1:9" ht="75" x14ac:dyDescent="0.25">
      <c r="A584" s="1" t="s">
        <v>122</v>
      </c>
      <c r="B584" s="7" t="s">
        <v>58</v>
      </c>
      <c r="C584" s="7" t="s">
        <v>58</v>
      </c>
      <c r="D584" s="7" t="s">
        <v>58</v>
      </c>
      <c r="E584" s="7" t="s">
        <v>58</v>
      </c>
      <c r="F584" s="7" t="s">
        <v>58</v>
      </c>
      <c r="G584" s="7" t="s">
        <v>58</v>
      </c>
      <c r="H584" s="7" t="s">
        <v>58</v>
      </c>
      <c r="I584" s="7" t="s">
        <v>58</v>
      </c>
    </row>
    <row r="585" spans="1:9" ht="60" x14ac:dyDescent="0.25">
      <c r="A585" s="1" t="s">
        <v>123</v>
      </c>
      <c r="B585" s="5">
        <v>1.75</v>
      </c>
      <c r="C585" s="5">
        <v>1.37</v>
      </c>
      <c r="D585" s="5">
        <v>1.1100000000000001</v>
      </c>
      <c r="E585" s="5">
        <v>0.89</v>
      </c>
      <c r="F585" s="5">
        <v>0.72</v>
      </c>
      <c r="G585" s="5">
        <v>0.57999999999999996</v>
      </c>
      <c r="H585" s="5">
        <v>0.47</v>
      </c>
      <c r="I585" s="6">
        <v>-19.676375</v>
      </c>
    </row>
    <row r="586" spans="1:9" ht="60" x14ac:dyDescent="0.25">
      <c r="A586" s="1" t="s">
        <v>124</v>
      </c>
      <c r="B586" s="5">
        <v>22.04</v>
      </c>
      <c r="C586" s="5">
        <v>15.12</v>
      </c>
      <c r="D586" s="5">
        <v>9.2100000000000009</v>
      </c>
      <c r="E586" s="5">
        <v>4.2</v>
      </c>
      <c r="F586" s="5">
        <v>2.62</v>
      </c>
      <c r="G586" s="5">
        <v>1.49</v>
      </c>
      <c r="H586" s="5">
        <v>0.23</v>
      </c>
      <c r="I586" s="6">
        <v>-53.253112000000002</v>
      </c>
    </row>
    <row r="587" spans="1:9" ht="60" x14ac:dyDescent="0.25">
      <c r="A587" s="1" t="s">
        <v>125</v>
      </c>
      <c r="B587" s="5">
        <v>74.62</v>
      </c>
      <c r="C587" s="5">
        <v>81.849999999999994</v>
      </c>
      <c r="D587" s="5">
        <v>87.96</v>
      </c>
      <c r="E587" s="5">
        <v>93.13</v>
      </c>
      <c r="F587" s="5">
        <v>94.83</v>
      </c>
      <c r="G587" s="5">
        <v>96.05</v>
      </c>
      <c r="H587" s="5">
        <v>97.36</v>
      </c>
      <c r="I587" s="6">
        <v>4.5331939999999999</v>
      </c>
    </row>
    <row r="588" spans="1:9" ht="60" x14ac:dyDescent="0.25">
      <c r="A588" s="1" t="s">
        <v>126</v>
      </c>
      <c r="B588" s="5">
        <v>0.05</v>
      </c>
      <c r="C588" s="5">
        <v>0.05</v>
      </c>
      <c r="D588" s="5">
        <v>0.05</v>
      </c>
      <c r="E588" s="5">
        <v>0.04</v>
      </c>
      <c r="F588" s="5">
        <v>0.04</v>
      </c>
      <c r="G588" s="5">
        <v>0.04</v>
      </c>
      <c r="H588" s="5">
        <v>0.03</v>
      </c>
      <c r="I588" s="6">
        <v>-8.1614100000000001</v>
      </c>
    </row>
    <row r="589" spans="1:9" ht="75" x14ac:dyDescent="0.25">
      <c r="A589" s="1" t="s">
        <v>127</v>
      </c>
      <c r="B589" s="5">
        <v>1.54</v>
      </c>
      <c r="C589" s="5">
        <v>1.61</v>
      </c>
      <c r="D589" s="5">
        <v>1.68</v>
      </c>
      <c r="E589" s="5">
        <v>1.73</v>
      </c>
      <c r="F589" s="5">
        <v>1.79</v>
      </c>
      <c r="G589" s="5">
        <v>1.85</v>
      </c>
      <c r="H589" s="5">
        <v>1.91</v>
      </c>
      <c r="I589" s="6">
        <v>3.653851</v>
      </c>
    </row>
    <row r="590" spans="1:9" ht="60" x14ac:dyDescent="0.25">
      <c r="A590" s="1" t="s">
        <v>128</v>
      </c>
      <c r="B590" s="7" t="s">
        <v>58</v>
      </c>
      <c r="C590" s="7" t="s">
        <v>58</v>
      </c>
      <c r="D590" s="7" t="s">
        <v>58</v>
      </c>
      <c r="E590" s="7" t="s">
        <v>58</v>
      </c>
      <c r="F590" s="7" t="s">
        <v>58</v>
      </c>
      <c r="G590" s="7" t="s">
        <v>58</v>
      </c>
      <c r="H590" s="7" t="s">
        <v>58</v>
      </c>
      <c r="I590" s="7" t="s">
        <v>58</v>
      </c>
    </row>
    <row r="591" spans="1:9" ht="45" x14ac:dyDescent="0.25">
      <c r="A591" s="1" t="s">
        <v>129</v>
      </c>
      <c r="B591" s="5">
        <v>22.87</v>
      </c>
      <c r="C591" s="5">
        <v>23.53</v>
      </c>
      <c r="D591" s="5">
        <v>24.18</v>
      </c>
      <c r="E591" s="5">
        <v>24.85</v>
      </c>
      <c r="F591" s="5">
        <v>25.26</v>
      </c>
      <c r="G591" s="5">
        <v>25.64</v>
      </c>
      <c r="H591" s="5">
        <v>25.97</v>
      </c>
      <c r="I591" s="6">
        <v>2.1412019608186839</v>
      </c>
    </row>
    <row r="592" spans="1:9" ht="45" x14ac:dyDescent="0.25">
      <c r="A592" s="1" t="s">
        <v>140</v>
      </c>
      <c r="B592" s="5">
        <v>23.45</v>
      </c>
      <c r="C592" s="5">
        <v>23.45</v>
      </c>
      <c r="D592" s="5">
        <v>24.04</v>
      </c>
      <c r="E592" s="5">
        <v>24.22</v>
      </c>
      <c r="F592" s="5">
        <v>24.4</v>
      </c>
      <c r="G592" s="5">
        <v>24.57</v>
      </c>
      <c r="H592" s="5">
        <v>24.76</v>
      </c>
      <c r="I592" s="6">
        <v>0.91009899999999999</v>
      </c>
    </row>
    <row r="593" spans="1:9" ht="45" x14ac:dyDescent="0.25">
      <c r="A593" s="1" t="s">
        <v>141</v>
      </c>
      <c r="B593" s="5">
        <v>16.690000000000001</v>
      </c>
      <c r="C593" s="5">
        <v>16.09</v>
      </c>
      <c r="D593" s="5">
        <v>15.24</v>
      </c>
      <c r="E593" s="5">
        <v>12.9</v>
      </c>
      <c r="F593" s="5">
        <v>15.85</v>
      </c>
      <c r="G593" s="5">
        <v>15.1</v>
      </c>
      <c r="H593" s="5">
        <v>6.55</v>
      </c>
      <c r="I593" s="6">
        <v>-14.434735999999999</v>
      </c>
    </row>
    <row r="594" spans="1:9" ht="45" x14ac:dyDescent="0.25">
      <c r="A594" s="1" t="s">
        <v>142</v>
      </c>
      <c r="B594" s="5">
        <v>25.56</v>
      </c>
      <c r="C594" s="5">
        <v>25.74</v>
      </c>
      <c r="D594" s="5">
        <v>25.89</v>
      </c>
      <c r="E594" s="5">
        <v>26.18</v>
      </c>
      <c r="F594" s="5">
        <v>26.05</v>
      </c>
      <c r="G594" s="5">
        <v>26.32</v>
      </c>
      <c r="H594" s="5">
        <v>26.61</v>
      </c>
      <c r="I594" s="6">
        <v>0.67323</v>
      </c>
    </row>
    <row r="595" spans="1:9" ht="60" x14ac:dyDescent="0.25">
      <c r="A595" s="1" t="s">
        <v>133</v>
      </c>
      <c r="B595" s="7" t="s">
        <v>58</v>
      </c>
      <c r="C595" s="7" t="s">
        <v>58</v>
      </c>
      <c r="D595" s="7" t="s">
        <v>58</v>
      </c>
      <c r="E595" s="7" t="s">
        <v>58</v>
      </c>
      <c r="F595" s="7" t="s">
        <v>58</v>
      </c>
      <c r="G595" s="7" t="s">
        <v>58</v>
      </c>
      <c r="H595" s="7" t="s">
        <v>58</v>
      </c>
      <c r="I595" s="7" t="s">
        <v>58</v>
      </c>
    </row>
    <row r="596" spans="1:9" ht="60" x14ac:dyDescent="0.25">
      <c r="A596" s="1" t="s">
        <v>134</v>
      </c>
      <c r="B596" s="7" t="s">
        <v>58</v>
      </c>
      <c r="C596" s="7" t="s">
        <v>58</v>
      </c>
      <c r="D596" s="7" t="s">
        <v>58</v>
      </c>
      <c r="E596" s="7" t="s">
        <v>58</v>
      </c>
      <c r="F596" s="7" t="s">
        <v>58</v>
      </c>
      <c r="G596" s="7" t="s">
        <v>58</v>
      </c>
      <c r="H596" s="7" t="s">
        <v>58</v>
      </c>
      <c r="I596" s="7" t="s">
        <v>58</v>
      </c>
    </row>
    <row r="597" spans="1:9" x14ac:dyDescent="0.25">
      <c r="A597" s="1" t="s">
        <v>12</v>
      </c>
      <c r="B597" s="2"/>
      <c r="C597" s="2"/>
      <c r="D597" s="2"/>
      <c r="E597" s="2"/>
      <c r="F597" s="2"/>
      <c r="G597" s="2"/>
      <c r="H597" s="2"/>
      <c r="I597" s="2"/>
    </row>
    <row r="598" spans="1:9" x14ac:dyDescent="0.25">
      <c r="A598" s="8" t="s">
        <v>42</v>
      </c>
      <c r="B598" s="2"/>
      <c r="C598" s="2"/>
      <c r="D598" s="2"/>
      <c r="E598" s="2"/>
      <c r="F598" s="2"/>
      <c r="G598" s="2"/>
      <c r="H598" s="2"/>
      <c r="I598" s="2"/>
    </row>
    <row r="599" spans="1:9" ht="60" x14ac:dyDescent="0.25">
      <c r="A599" s="1" t="s">
        <v>13</v>
      </c>
      <c r="B599" s="5">
        <v>93.62</v>
      </c>
      <c r="C599" s="5">
        <v>94.21</v>
      </c>
      <c r="D599" s="5">
        <v>94.79</v>
      </c>
      <c r="E599" s="5">
        <v>95.25</v>
      </c>
      <c r="F599" s="5">
        <v>95.96</v>
      </c>
      <c r="G599" s="5">
        <v>96.51</v>
      </c>
      <c r="H599" s="5">
        <v>96.8</v>
      </c>
      <c r="I599" s="6">
        <v>0.55826900000000002</v>
      </c>
    </row>
    <row r="600" spans="1:9" ht="60" x14ac:dyDescent="0.25">
      <c r="A600" s="1" t="s">
        <v>117</v>
      </c>
      <c r="B600" s="5">
        <v>20.73</v>
      </c>
      <c r="C600" s="5">
        <v>20.63</v>
      </c>
      <c r="D600" s="5">
        <v>20.52</v>
      </c>
      <c r="E600" s="5">
        <v>20.38</v>
      </c>
      <c r="F600" s="5">
        <v>20.399999999999999</v>
      </c>
      <c r="G600" s="5">
        <v>20.38</v>
      </c>
      <c r="H600" s="5">
        <v>20.28</v>
      </c>
      <c r="I600" s="6">
        <v>-0.36511100000000002</v>
      </c>
    </row>
    <row r="601" spans="1:9" ht="60" x14ac:dyDescent="0.25">
      <c r="A601" s="1" t="s">
        <v>118</v>
      </c>
      <c r="B601" s="5">
        <v>57.56</v>
      </c>
      <c r="C601" s="5">
        <v>56.02</v>
      </c>
      <c r="D601" s="5">
        <v>54.63</v>
      </c>
      <c r="E601" s="5">
        <v>53.27</v>
      </c>
      <c r="F601" s="5">
        <v>51.92</v>
      </c>
      <c r="G601" s="5">
        <v>50.37</v>
      </c>
      <c r="H601" s="5">
        <v>48.6</v>
      </c>
      <c r="I601" s="6">
        <v>-2.7806799999999998</v>
      </c>
    </row>
    <row r="602" spans="1:9" ht="60" x14ac:dyDescent="0.25">
      <c r="A602" s="1" t="s">
        <v>119</v>
      </c>
      <c r="B602" s="5">
        <v>12.93</v>
      </c>
      <c r="C602" s="5">
        <v>15.15</v>
      </c>
      <c r="D602" s="5">
        <v>17.21</v>
      </c>
      <c r="E602" s="5">
        <v>19.170000000000002</v>
      </c>
      <c r="F602" s="5">
        <v>21.19</v>
      </c>
      <c r="G602" s="5">
        <v>23.29</v>
      </c>
      <c r="H602" s="5">
        <v>25.45</v>
      </c>
      <c r="I602" s="6">
        <v>11.947623</v>
      </c>
    </row>
    <row r="603" spans="1:9" ht="60" x14ac:dyDescent="0.25">
      <c r="A603" s="1" t="s">
        <v>120</v>
      </c>
      <c r="B603" s="5">
        <v>0.2</v>
      </c>
      <c r="C603" s="5">
        <v>0.43</v>
      </c>
      <c r="D603" s="5">
        <v>0.44</v>
      </c>
      <c r="E603" s="5">
        <v>0.44</v>
      </c>
      <c r="F603" s="5">
        <v>0.44</v>
      </c>
      <c r="G603" s="5">
        <v>0.44</v>
      </c>
      <c r="H603" s="5">
        <v>0.45</v>
      </c>
      <c r="I603" s="6">
        <v>14.471424000000001</v>
      </c>
    </row>
    <row r="604" spans="1:9" ht="75" x14ac:dyDescent="0.25">
      <c r="A604" s="1" t="s">
        <v>121</v>
      </c>
      <c r="B604" s="5">
        <v>2.2000000000000002</v>
      </c>
      <c r="C604" s="5">
        <v>1.98</v>
      </c>
      <c r="D604" s="5">
        <v>1.99</v>
      </c>
      <c r="E604" s="5">
        <v>2</v>
      </c>
      <c r="F604" s="5">
        <v>2.0099999999999998</v>
      </c>
      <c r="G604" s="5">
        <v>2.02</v>
      </c>
      <c r="H604" s="5">
        <v>2.0299999999999998</v>
      </c>
      <c r="I604" s="6">
        <v>-1.3314170000000001</v>
      </c>
    </row>
    <row r="605" spans="1:9" ht="75" x14ac:dyDescent="0.25">
      <c r="A605" s="1" t="s">
        <v>122</v>
      </c>
      <c r="B605" s="7" t="s">
        <v>58</v>
      </c>
      <c r="C605" s="7" t="s">
        <v>58</v>
      </c>
      <c r="D605" s="7" t="s">
        <v>58</v>
      </c>
      <c r="E605" s="7" t="s">
        <v>58</v>
      </c>
      <c r="F605" s="7" t="s">
        <v>58</v>
      </c>
      <c r="G605" s="7" t="s">
        <v>58</v>
      </c>
      <c r="H605" s="7" t="s">
        <v>58</v>
      </c>
      <c r="I605" s="7" t="s">
        <v>58</v>
      </c>
    </row>
    <row r="606" spans="1:9" ht="60" x14ac:dyDescent="0.25">
      <c r="A606" s="1" t="s">
        <v>123</v>
      </c>
      <c r="B606" s="5">
        <v>22.15</v>
      </c>
      <c r="C606" s="5">
        <v>21.9</v>
      </c>
      <c r="D606" s="5">
        <v>21.65</v>
      </c>
      <c r="E606" s="5">
        <v>21.39</v>
      </c>
      <c r="F606" s="5">
        <v>21.26</v>
      </c>
      <c r="G606" s="5">
        <v>21.12</v>
      </c>
      <c r="H606" s="5">
        <v>20.95</v>
      </c>
      <c r="I606" s="6">
        <v>-0.92401900000000003</v>
      </c>
    </row>
    <row r="607" spans="1:9" ht="60" x14ac:dyDescent="0.25">
      <c r="A607" s="1" t="s">
        <v>124</v>
      </c>
      <c r="B607" s="5">
        <v>61.49</v>
      </c>
      <c r="C607" s="5">
        <v>59.47</v>
      </c>
      <c r="D607" s="5">
        <v>57.63</v>
      </c>
      <c r="E607" s="5">
        <v>55.92</v>
      </c>
      <c r="F607" s="5">
        <v>54.1</v>
      </c>
      <c r="G607" s="5">
        <v>52.2</v>
      </c>
      <c r="H607" s="5">
        <v>50.2</v>
      </c>
      <c r="I607" s="6">
        <v>-3.3244750000000001</v>
      </c>
    </row>
    <row r="608" spans="1:9" ht="60" x14ac:dyDescent="0.25">
      <c r="A608" s="1" t="s">
        <v>125</v>
      </c>
      <c r="B608" s="5">
        <v>13.81</v>
      </c>
      <c r="C608" s="5">
        <v>16.079999999999998</v>
      </c>
      <c r="D608" s="5">
        <v>18.16</v>
      </c>
      <c r="E608" s="5">
        <v>20.12</v>
      </c>
      <c r="F608" s="5">
        <v>22.09</v>
      </c>
      <c r="G608" s="5">
        <v>24.13</v>
      </c>
      <c r="H608" s="5">
        <v>26.29</v>
      </c>
      <c r="I608" s="6">
        <v>11.326738000000001</v>
      </c>
    </row>
    <row r="609" spans="1:9" ht="60" x14ac:dyDescent="0.25">
      <c r="A609" s="1" t="s">
        <v>126</v>
      </c>
      <c r="B609" s="5">
        <v>0.22</v>
      </c>
      <c r="C609" s="5">
        <v>0.46</v>
      </c>
      <c r="D609" s="5">
        <v>0.46</v>
      </c>
      <c r="E609" s="5">
        <v>0.46</v>
      </c>
      <c r="F609" s="5">
        <v>0.46</v>
      </c>
      <c r="G609" s="5">
        <v>0.46</v>
      </c>
      <c r="H609" s="5">
        <v>0.46</v>
      </c>
      <c r="I609" s="6">
        <v>13.080883</v>
      </c>
    </row>
    <row r="610" spans="1:9" ht="75" x14ac:dyDescent="0.25">
      <c r="A610" s="1" t="s">
        <v>127</v>
      </c>
      <c r="B610" s="5">
        <v>2.34</v>
      </c>
      <c r="C610" s="5">
        <v>2.1</v>
      </c>
      <c r="D610" s="5">
        <v>2.1</v>
      </c>
      <c r="E610" s="5">
        <v>2.1</v>
      </c>
      <c r="F610" s="5">
        <v>2.09</v>
      </c>
      <c r="G610" s="5">
        <v>2.09</v>
      </c>
      <c r="H610" s="5">
        <v>2.1</v>
      </c>
      <c r="I610" s="6">
        <v>-1.787393</v>
      </c>
    </row>
    <row r="611" spans="1:9" ht="60" x14ac:dyDescent="0.25">
      <c r="A611" s="1" t="s">
        <v>128</v>
      </c>
      <c r="B611" s="7" t="s">
        <v>58</v>
      </c>
      <c r="C611" s="7" t="s">
        <v>58</v>
      </c>
      <c r="D611" s="7" t="s">
        <v>58</v>
      </c>
      <c r="E611" s="7" t="s">
        <v>58</v>
      </c>
      <c r="F611" s="7" t="s">
        <v>58</v>
      </c>
      <c r="G611" s="7" t="s">
        <v>58</v>
      </c>
      <c r="H611" s="7" t="s">
        <v>58</v>
      </c>
      <c r="I611" s="7" t="s">
        <v>58</v>
      </c>
    </row>
    <row r="612" spans="1:9" ht="45" x14ac:dyDescent="0.25">
      <c r="A612" s="1" t="s">
        <v>129</v>
      </c>
      <c r="B612" s="5">
        <v>28.77</v>
      </c>
      <c r="C612" s="5">
        <v>29.56</v>
      </c>
      <c r="D612" s="5">
        <v>30.23</v>
      </c>
      <c r="E612" s="5">
        <v>30.86</v>
      </c>
      <c r="F612" s="5">
        <v>31.51</v>
      </c>
      <c r="G612" s="5">
        <v>32.1</v>
      </c>
      <c r="H612" s="5">
        <v>32.659999999999997</v>
      </c>
      <c r="I612" s="6">
        <v>2.136127241084318</v>
      </c>
    </row>
    <row r="613" spans="1:9" ht="45" x14ac:dyDescent="0.25">
      <c r="A613" s="1" t="s">
        <v>140</v>
      </c>
      <c r="B613" s="5">
        <v>29.96</v>
      </c>
      <c r="C613" s="5">
        <v>30.8</v>
      </c>
      <c r="D613" s="5">
        <v>31.24</v>
      </c>
      <c r="E613" s="5">
        <v>31.86</v>
      </c>
      <c r="F613" s="5">
        <v>32.51</v>
      </c>
      <c r="G613" s="5">
        <v>33.159999999999997</v>
      </c>
      <c r="H613" s="5">
        <v>33.729999999999997</v>
      </c>
      <c r="I613" s="6">
        <v>1.9950479999999999</v>
      </c>
    </row>
    <row r="614" spans="1:9" ht="45" x14ac:dyDescent="0.25">
      <c r="A614" s="1" t="s">
        <v>141</v>
      </c>
      <c r="B614" s="5">
        <v>28.63</v>
      </c>
      <c r="C614" s="5">
        <v>29.37</v>
      </c>
      <c r="D614" s="5">
        <v>29.98</v>
      </c>
      <c r="E614" s="5">
        <v>30.5</v>
      </c>
      <c r="F614" s="5">
        <v>31.04</v>
      </c>
      <c r="G614" s="5">
        <v>31.5</v>
      </c>
      <c r="H614" s="5">
        <v>31.94</v>
      </c>
      <c r="I614" s="6">
        <v>1.8401259999999999</v>
      </c>
    </row>
    <row r="615" spans="1:9" ht="45" x14ac:dyDescent="0.25">
      <c r="A615" s="1" t="s">
        <v>142</v>
      </c>
      <c r="B615" s="5">
        <v>33.1</v>
      </c>
      <c r="C615" s="5">
        <v>33.590000000000003</v>
      </c>
      <c r="D615" s="5">
        <v>34.31</v>
      </c>
      <c r="E615" s="5">
        <v>34.950000000000003</v>
      </c>
      <c r="F615" s="5">
        <v>35.51</v>
      </c>
      <c r="G615" s="5">
        <v>36.07</v>
      </c>
      <c r="H615" s="5">
        <v>36.549999999999997</v>
      </c>
      <c r="I615" s="6">
        <v>1.666194</v>
      </c>
    </row>
    <row r="616" spans="1:9" ht="60" x14ac:dyDescent="0.25">
      <c r="A616" s="1" t="s">
        <v>133</v>
      </c>
      <c r="B616" s="7" t="s">
        <v>58</v>
      </c>
      <c r="C616" s="7" t="s">
        <v>58</v>
      </c>
      <c r="D616" s="7" t="s">
        <v>58</v>
      </c>
      <c r="E616" s="7" t="s">
        <v>58</v>
      </c>
      <c r="F616" s="7" t="s">
        <v>58</v>
      </c>
      <c r="G616" s="7" t="s">
        <v>58</v>
      </c>
      <c r="H616" s="7" t="s">
        <v>58</v>
      </c>
      <c r="I616" s="7" t="s">
        <v>58</v>
      </c>
    </row>
    <row r="617" spans="1:9" ht="60" x14ac:dyDescent="0.25">
      <c r="A617" s="1" t="s">
        <v>134</v>
      </c>
      <c r="B617" s="7" t="s">
        <v>58</v>
      </c>
      <c r="C617" s="7" t="s">
        <v>58</v>
      </c>
      <c r="D617" s="7" t="s">
        <v>58</v>
      </c>
      <c r="E617" s="7" t="s">
        <v>58</v>
      </c>
      <c r="F617" s="7" t="s">
        <v>58</v>
      </c>
      <c r="G617" s="7" t="s">
        <v>58</v>
      </c>
      <c r="H617" s="7" t="s">
        <v>58</v>
      </c>
      <c r="I617" s="7" t="s">
        <v>58</v>
      </c>
    </row>
    <row r="618" spans="1:9" x14ac:dyDescent="0.25">
      <c r="A618" s="1" t="s">
        <v>12</v>
      </c>
      <c r="B618" s="2"/>
      <c r="C618" s="2"/>
      <c r="D618" s="2"/>
      <c r="E618" s="2"/>
      <c r="F618" s="2"/>
      <c r="G618" s="2"/>
      <c r="H618" s="2"/>
      <c r="I618" s="2"/>
    </row>
    <row r="619" spans="1:9" x14ac:dyDescent="0.25">
      <c r="A619" s="8" t="s">
        <v>43</v>
      </c>
      <c r="B619" s="2"/>
      <c r="C619" s="2"/>
      <c r="D619" s="2"/>
      <c r="E619" s="2"/>
      <c r="F619" s="2"/>
      <c r="G619" s="2"/>
      <c r="H619" s="2"/>
      <c r="I619" s="2"/>
    </row>
    <row r="620" spans="1:9" ht="60" x14ac:dyDescent="0.25">
      <c r="A620" s="1" t="s">
        <v>13</v>
      </c>
      <c r="B620" s="5">
        <v>103.73</v>
      </c>
      <c r="C620" s="5">
        <v>105.85</v>
      </c>
      <c r="D620" s="5">
        <v>108.58</v>
      </c>
      <c r="E620" s="5">
        <v>111.36</v>
      </c>
      <c r="F620" s="5">
        <v>113.55</v>
      </c>
      <c r="G620" s="5">
        <v>115.52</v>
      </c>
      <c r="H620" s="5">
        <v>117.12</v>
      </c>
      <c r="I620" s="6">
        <v>2.0440719999999999</v>
      </c>
    </row>
    <row r="621" spans="1:9" ht="60" x14ac:dyDescent="0.25">
      <c r="A621" s="1" t="s">
        <v>117</v>
      </c>
      <c r="B621" s="5">
        <v>0</v>
      </c>
      <c r="C621" s="5">
        <v>0</v>
      </c>
      <c r="D621" s="5">
        <v>0</v>
      </c>
      <c r="E621" s="5">
        <v>0</v>
      </c>
      <c r="F621" s="5">
        <v>0</v>
      </c>
      <c r="G621" s="5">
        <v>0</v>
      </c>
      <c r="H621" s="5">
        <v>0</v>
      </c>
      <c r="I621" s="7" t="s">
        <v>58</v>
      </c>
    </row>
    <row r="622" spans="1:9" ht="60" x14ac:dyDescent="0.25">
      <c r="A622" s="1" t="s">
        <v>118</v>
      </c>
      <c r="B622" s="5">
        <v>90.31</v>
      </c>
      <c r="C622" s="5">
        <v>86.55</v>
      </c>
      <c r="D622" s="5">
        <v>82.73</v>
      </c>
      <c r="E622" s="5">
        <v>78.98</v>
      </c>
      <c r="F622" s="5">
        <v>75.48</v>
      </c>
      <c r="G622" s="5">
        <v>72.08</v>
      </c>
      <c r="H622" s="5">
        <v>69.09</v>
      </c>
      <c r="I622" s="6">
        <v>-4.3658010000000003</v>
      </c>
    </row>
    <row r="623" spans="1:9" ht="60" x14ac:dyDescent="0.25">
      <c r="A623" s="1" t="s">
        <v>119</v>
      </c>
      <c r="B623" s="5">
        <v>13.3</v>
      </c>
      <c r="C623" s="5">
        <v>19.170000000000002</v>
      </c>
      <c r="D623" s="5">
        <v>25.72</v>
      </c>
      <c r="E623" s="5">
        <v>32.26</v>
      </c>
      <c r="F623" s="5">
        <v>37.950000000000003</v>
      </c>
      <c r="G623" s="5">
        <v>43.33</v>
      </c>
      <c r="H623" s="5">
        <v>47.91</v>
      </c>
      <c r="I623" s="6">
        <v>23.811910000000001</v>
      </c>
    </row>
    <row r="624" spans="1:9" ht="60" x14ac:dyDescent="0.25">
      <c r="A624" s="1" t="s">
        <v>120</v>
      </c>
      <c r="B624" s="5">
        <v>0.01</v>
      </c>
      <c r="C624" s="5">
        <v>0.01</v>
      </c>
      <c r="D624" s="5">
        <v>0.01</v>
      </c>
      <c r="E624" s="5">
        <v>0</v>
      </c>
      <c r="F624" s="5">
        <v>0</v>
      </c>
      <c r="G624" s="5">
        <v>0</v>
      </c>
      <c r="H624" s="5">
        <v>0</v>
      </c>
      <c r="I624" s="6">
        <v>-100</v>
      </c>
    </row>
    <row r="625" spans="1:9" ht="75" x14ac:dyDescent="0.25">
      <c r="A625" s="1" t="s">
        <v>121</v>
      </c>
      <c r="B625" s="5">
        <v>0.08</v>
      </c>
      <c r="C625" s="5">
        <v>0.09</v>
      </c>
      <c r="D625" s="5">
        <v>0.09</v>
      </c>
      <c r="E625" s="5">
        <v>0.09</v>
      </c>
      <c r="F625" s="5">
        <v>0.09</v>
      </c>
      <c r="G625" s="5">
        <v>0.09</v>
      </c>
      <c r="H625" s="5">
        <v>0.09</v>
      </c>
      <c r="I625" s="6">
        <v>1.982445</v>
      </c>
    </row>
    <row r="626" spans="1:9" ht="75" x14ac:dyDescent="0.25">
      <c r="A626" s="1" t="s">
        <v>122</v>
      </c>
      <c r="B626" s="5">
        <v>0.03</v>
      </c>
      <c r="C626" s="5">
        <v>0.03</v>
      </c>
      <c r="D626" s="5">
        <v>0.03</v>
      </c>
      <c r="E626" s="5">
        <v>0.02</v>
      </c>
      <c r="F626" s="5">
        <v>0.02</v>
      </c>
      <c r="G626" s="5">
        <v>0.02</v>
      </c>
      <c r="H626" s="5">
        <v>0.02</v>
      </c>
      <c r="I626" s="6">
        <v>-6.5344740000000003</v>
      </c>
    </row>
    <row r="627" spans="1:9" ht="60" x14ac:dyDescent="0.25">
      <c r="A627" s="1" t="s">
        <v>123</v>
      </c>
      <c r="B627" s="5">
        <v>0</v>
      </c>
      <c r="C627" s="5">
        <v>0</v>
      </c>
      <c r="D627" s="5">
        <v>0</v>
      </c>
      <c r="E627" s="5">
        <v>0</v>
      </c>
      <c r="F627" s="5">
        <v>0</v>
      </c>
      <c r="G627" s="5">
        <v>0</v>
      </c>
      <c r="H627" s="5">
        <v>0</v>
      </c>
      <c r="I627" s="7" t="s">
        <v>58</v>
      </c>
    </row>
    <row r="628" spans="1:9" ht="60" x14ac:dyDescent="0.25">
      <c r="A628" s="1" t="s">
        <v>124</v>
      </c>
      <c r="B628" s="5">
        <v>87.06</v>
      </c>
      <c r="C628" s="5">
        <v>81.77</v>
      </c>
      <c r="D628" s="5">
        <v>76.2</v>
      </c>
      <c r="E628" s="5">
        <v>70.92</v>
      </c>
      <c r="F628" s="5">
        <v>66.47</v>
      </c>
      <c r="G628" s="5">
        <v>62.39</v>
      </c>
      <c r="H628" s="5">
        <v>58.99</v>
      </c>
      <c r="I628" s="6">
        <v>-6.2812210000000004</v>
      </c>
    </row>
    <row r="629" spans="1:9" ht="60" x14ac:dyDescent="0.25">
      <c r="A629" s="1" t="s">
        <v>125</v>
      </c>
      <c r="B629" s="5">
        <v>12.82</v>
      </c>
      <c r="C629" s="5">
        <v>18.12</v>
      </c>
      <c r="D629" s="5">
        <v>23.69</v>
      </c>
      <c r="E629" s="5">
        <v>28.97</v>
      </c>
      <c r="F629" s="5">
        <v>33.42</v>
      </c>
      <c r="G629" s="5">
        <v>37.51</v>
      </c>
      <c r="H629" s="5">
        <v>40.909999999999997</v>
      </c>
      <c r="I629" s="6">
        <v>21.336158999999999</v>
      </c>
    </row>
    <row r="630" spans="1:9" ht="60" x14ac:dyDescent="0.25">
      <c r="A630" s="1" t="s">
        <v>126</v>
      </c>
      <c r="B630" s="5">
        <v>0.01</v>
      </c>
      <c r="C630" s="5">
        <v>0.01</v>
      </c>
      <c r="D630" s="5">
        <v>0.01</v>
      </c>
      <c r="E630" s="5">
        <v>0</v>
      </c>
      <c r="F630" s="5">
        <v>0</v>
      </c>
      <c r="G630" s="5">
        <v>0</v>
      </c>
      <c r="H630" s="5">
        <v>0</v>
      </c>
      <c r="I630" s="6">
        <v>-100</v>
      </c>
    </row>
    <row r="631" spans="1:9" ht="75" x14ac:dyDescent="0.25">
      <c r="A631" s="1" t="s">
        <v>127</v>
      </c>
      <c r="B631" s="5">
        <v>0.08</v>
      </c>
      <c r="C631" s="5">
        <v>0.08</v>
      </c>
      <c r="D631" s="5">
        <v>0.08</v>
      </c>
      <c r="E631" s="5">
        <v>0.08</v>
      </c>
      <c r="F631" s="5">
        <v>0.08</v>
      </c>
      <c r="G631" s="5">
        <v>0.08</v>
      </c>
      <c r="H631" s="5">
        <v>0.08</v>
      </c>
      <c r="I631" s="6">
        <v>0</v>
      </c>
    </row>
    <row r="632" spans="1:9" ht="60" x14ac:dyDescent="0.25">
      <c r="A632" s="1" t="s">
        <v>128</v>
      </c>
      <c r="B632" s="5">
        <v>0.03</v>
      </c>
      <c r="C632" s="5">
        <v>0.03</v>
      </c>
      <c r="D632" s="5">
        <v>0.02</v>
      </c>
      <c r="E632" s="5">
        <v>0.02</v>
      </c>
      <c r="F632" s="5">
        <v>0.02</v>
      </c>
      <c r="G632" s="5">
        <v>0.02</v>
      </c>
      <c r="H632" s="5">
        <v>0.02</v>
      </c>
      <c r="I632" s="6">
        <v>-6.5344740000000003</v>
      </c>
    </row>
    <row r="633" spans="1:9" ht="45" x14ac:dyDescent="0.25">
      <c r="A633" s="1" t="s">
        <v>129</v>
      </c>
      <c r="B633" s="5">
        <v>26.02</v>
      </c>
      <c r="C633" s="5">
        <v>25.92</v>
      </c>
      <c r="D633" s="5">
        <v>25.68</v>
      </c>
      <c r="E633" s="5">
        <v>25.55</v>
      </c>
      <c r="F633" s="5">
        <v>25.45</v>
      </c>
      <c r="G633" s="5">
        <v>25.39</v>
      </c>
      <c r="H633" s="5">
        <v>25.32</v>
      </c>
      <c r="I633" s="6">
        <v>-0.45348324235486848</v>
      </c>
    </row>
    <row r="634" spans="1:9" ht="45" x14ac:dyDescent="0.25">
      <c r="A634" s="1" t="s">
        <v>140</v>
      </c>
      <c r="B634" s="5">
        <v>0</v>
      </c>
      <c r="C634" s="5">
        <v>0</v>
      </c>
      <c r="D634" s="5">
        <v>0</v>
      </c>
      <c r="E634" s="5">
        <v>0</v>
      </c>
      <c r="F634" s="5">
        <v>0</v>
      </c>
      <c r="G634" s="5">
        <v>0</v>
      </c>
      <c r="H634" s="5">
        <v>0</v>
      </c>
      <c r="I634" s="7" t="s">
        <v>58</v>
      </c>
    </row>
    <row r="635" spans="1:9" ht="45" x14ac:dyDescent="0.25">
      <c r="A635" s="1" t="s">
        <v>141</v>
      </c>
      <c r="B635" s="5">
        <v>25.88</v>
      </c>
      <c r="C635" s="5">
        <v>25.92</v>
      </c>
      <c r="D635" s="5">
        <v>25.91</v>
      </c>
      <c r="E635" s="5">
        <v>25.93</v>
      </c>
      <c r="F635" s="5">
        <v>25.94</v>
      </c>
      <c r="G635" s="5">
        <v>25.95</v>
      </c>
      <c r="H635" s="5">
        <v>25.96</v>
      </c>
      <c r="I635" s="6">
        <v>5.1454E-2</v>
      </c>
    </row>
    <row r="636" spans="1:9" ht="45" x14ac:dyDescent="0.25">
      <c r="A636" s="1" t="s">
        <v>142</v>
      </c>
      <c r="B636" s="5">
        <v>26.99</v>
      </c>
      <c r="C636" s="5">
        <v>25.82</v>
      </c>
      <c r="D636" s="5">
        <v>24.78</v>
      </c>
      <c r="E636" s="5">
        <v>24.46</v>
      </c>
      <c r="F636" s="5">
        <v>24.34</v>
      </c>
      <c r="G636" s="5">
        <v>24.34</v>
      </c>
      <c r="H636" s="5">
        <v>24.3</v>
      </c>
      <c r="I636" s="6">
        <v>-1.7346140000000001</v>
      </c>
    </row>
    <row r="637" spans="1:9" ht="60" x14ac:dyDescent="0.25">
      <c r="A637" s="1" t="s">
        <v>133</v>
      </c>
      <c r="B637" s="7" t="s">
        <v>58</v>
      </c>
      <c r="C637" s="7" t="s">
        <v>58</v>
      </c>
      <c r="D637" s="7" t="s">
        <v>58</v>
      </c>
      <c r="E637" s="7" t="s">
        <v>58</v>
      </c>
      <c r="F637" s="7" t="s">
        <v>58</v>
      </c>
      <c r="G637" s="7" t="s">
        <v>58</v>
      </c>
      <c r="H637" s="7" t="s">
        <v>58</v>
      </c>
      <c r="I637" s="7" t="s">
        <v>58</v>
      </c>
    </row>
    <row r="638" spans="1:9" ht="60" x14ac:dyDescent="0.25">
      <c r="A638" s="1" t="s">
        <v>134</v>
      </c>
      <c r="B638" s="7" t="s">
        <v>58</v>
      </c>
      <c r="C638" s="7" t="s">
        <v>58</v>
      </c>
      <c r="D638" s="7" t="s">
        <v>58</v>
      </c>
      <c r="E638" s="7" t="s">
        <v>58</v>
      </c>
      <c r="F638" s="7" t="s">
        <v>58</v>
      </c>
      <c r="G638" s="7" t="s">
        <v>58</v>
      </c>
      <c r="H638" s="7" t="s">
        <v>58</v>
      </c>
      <c r="I638" s="7" t="s">
        <v>58</v>
      </c>
    </row>
    <row r="639" spans="1:9" x14ac:dyDescent="0.25">
      <c r="A639" s="1" t="s">
        <v>12</v>
      </c>
      <c r="B639" s="2"/>
      <c r="C639" s="2"/>
      <c r="D639" s="2"/>
      <c r="E639" s="2"/>
      <c r="F639" s="2"/>
      <c r="G639" s="2"/>
      <c r="H639" s="2"/>
      <c r="I639" s="2"/>
    </row>
    <row r="640" spans="1:9" x14ac:dyDescent="0.25">
      <c r="A640" s="8" t="s">
        <v>44</v>
      </c>
      <c r="B640" s="2"/>
      <c r="C640" s="2"/>
      <c r="D640" s="2"/>
      <c r="E640" s="2"/>
      <c r="F640" s="2"/>
      <c r="G640" s="2"/>
      <c r="H640" s="2"/>
      <c r="I640" s="2"/>
    </row>
    <row r="641" spans="1:9" ht="60" x14ac:dyDescent="0.25">
      <c r="A641" s="1" t="s">
        <v>13</v>
      </c>
      <c r="B641" s="5">
        <v>25.32</v>
      </c>
      <c r="C641" s="5">
        <v>26.08</v>
      </c>
      <c r="D641" s="5">
        <v>27.02</v>
      </c>
      <c r="E641" s="5">
        <v>27.99</v>
      </c>
      <c r="F641" s="5">
        <v>29</v>
      </c>
      <c r="G641" s="5">
        <v>30.04</v>
      </c>
      <c r="H641" s="5">
        <v>31.12</v>
      </c>
      <c r="I641" s="6">
        <v>3.4973700000000001</v>
      </c>
    </row>
    <row r="642" spans="1:9" ht="60" x14ac:dyDescent="0.25">
      <c r="A642" s="1" t="s">
        <v>117</v>
      </c>
      <c r="B642" s="5">
        <v>13.25</v>
      </c>
      <c r="C642" s="5">
        <v>13.37</v>
      </c>
      <c r="D642" s="5">
        <v>13.44</v>
      </c>
      <c r="E642" s="5">
        <v>13.65</v>
      </c>
      <c r="F642" s="5">
        <v>12.72</v>
      </c>
      <c r="G642" s="5">
        <v>12.79</v>
      </c>
      <c r="H642" s="5">
        <v>12.72</v>
      </c>
      <c r="I642" s="6">
        <v>-0.67805700000000002</v>
      </c>
    </row>
    <row r="643" spans="1:9" ht="60" x14ac:dyDescent="0.25">
      <c r="A643" s="1" t="s">
        <v>118</v>
      </c>
      <c r="B643" s="5">
        <v>3.41</v>
      </c>
      <c r="C643" s="5">
        <v>2.46</v>
      </c>
      <c r="D643" s="5">
        <v>1.79</v>
      </c>
      <c r="E643" s="5">
        <v>1.29</v>
      </c>
      <c r="F643" s="5">
        <v>0.94</v>
      </c>
      <c r="G643" s="5">
        <v>0.68</v>
      </c>
      <c r="H643" s="5">
        <v>0.49</v>
      </c>
      <c r="I643" s="6">
        <v>-27.627493000000001</v>
      </c>
    </row>
    <row r="644" spans="1:9" ht="60" x14ac:dyDescent="0.25">
      <c r="A644" s="1" t="s">
        <v>119</v>
      </c>
      <c r="B644" s="5">
        <v>6.46</v>
      </c>
      <c r="C644" s="5">
        <v>7.6</v>
      </c>
      <c r="D644" s="5">
        <v>8.9</v>
      </c>
      <c r="E644" s="5">
        <v>9.9600000000000009</v>
      </c>
      <c r="F644" s="5">
        <v>11.83</v>
      </c>
      <c r="G644" s="5">
        <v>12.62</v>
      </c>
      <c r="H644" s="5">
        <v>13.47</v>
      </c>
      <c r="I644" s="6">
        <v>13.028816000000001</v>
      </c>
    </row>
    <row r="645" spans="1:9" ht="60" x14ac:dyDescent="0.25">
      <c r="A645" s="1" t="s">
        <v>120</v>
      </c>
      <c r="B645" s="5">
        <v>0.55000000000000004</v>
      </c>
      <c r="C645" s="5">
        <v>0.66</v>
      </c>
      <c r="D645" s="5">
        <v>0.74</v>
      </c>
      <c r="E645" s="5">
        <v>0.79</v>
      </c>
      <c r="F645" s="5">
        <v>0.95</v>
      </c>
      <c r="G645" s="5">
        <v>1.07</v>
      </c>
      <c r="H645" s="5">
        <v>1.37</v>
      </c>
      <c r="I645" s="6">
        <v>16.428591999999998</v>
      </c>
    </row>
    <row r="646" spans="1:9" ht="75" x14ac:dyDescent="0.25">
      <c r="A646" s="1" t="s">
        <v>121</v>
      </c>
      <c r="B646" s="5">
        <v>1.65</v>
      </c>
      <c r="C646" s="5">
        <v>1.98</v>
      </c>
      <c r="D646" s="5">
        <v>2.16</v>
      </c>
      <c r="E646" s="5">
        <v>2.2999999999999998</v>
      </c>
      <c r="F646" s="5">
        <v>2.5499999999999998</v>
      </c>
      <c r="G646" s="5">
        <v>2.88</v>
      </c>
      <c r="H646" s="5">
        <v>3.07</v>
      </c>
      <c r="I646" s="6">
        <v>10.902773</v>
      </c>
    </row>
    <row r="647" spans="1:9" ht="75" x14ac:dyDescent="0.25">
      <c r="A647" s="1" t="s">
        <v>122</v>
      </c>
      <c r="B647" s="5">
        <v>0</v>
      </c>
      <c r="C647" s="5">
        <v>0</v>
      </c>
      <c r="D647" s="5">
        <v>0</v>
      </c>
      <c r="E647" s="5">
        <v>0</v>
      </c>
      <c r="F647" s="5">
        <v>0</v>
      </c>
      <c r="G647" s="5">
        <v>0</v>
      </c>
      <c r="H647" s="5">
        <v>0</v>
      </c>
      <c r="I647" s="7" t="s">
        <v>58</v>
      </c>
    </row>
    <row r="648" spans="1:9" ht="60" x14ac:dyDescent="0.25">
      <c r="A648" s="1" t="s">
        <v>123</v>
      </c>
      <c r="B648" s="5">
        <v>52.33</v>
      </c>
      <c r="C648" s="5">
        <v>51.29</v>
      </c>
      <c r="D648" s="5">
        <v>49.75</v>
      </c>
      <c r="E648" s="5">
        <v>48.75</v>
      </c>
      <c r="F648" s="5">
        <v>43.88</v>
      </c>
      <c r="G648" s="5">
        <v>42.56</v>
      </c>
      <c r="H648" s="5">
        <v>40.86</v>
      </c>
      <c r="I648" s="6">
        <v>-4.0397720000000001</v>
      </c>
    </row>
    <row r="649" spans="1:9" ht="60" x14ac:dyDescent="0.25">
      <c r="A649" s="1" t="s">
        <v>124</v>
      </c>
      <c r="B649" s="5">
        <v>13.48</v>
      </c>
      <c r="C649" s="5">
        <v>9.44</v>
      </c>
      <c r="D649" s="5">
        <v>6.61</v>
      </c>
      <c r="E649" s="5">
        <v>4.63</v>
      </c>
      <c r="F649" s="5">
        <v>3.24</v>
      </c>
      <c r="G649" s="5">
        <v>2.27</v>
      </c>
      <c r="H649" s="5">
        <v>1.59</v>
      </c>
      <c r="I649" s="6">
        <v>-29.969933999999999</v>
      </c>
    </row>
    <row r="650" spans="1:9" ht="60" x14ac:dyDescent="0.25">
      <c r="A650" s="1" t="s">
        <v>125</v>
      </c>
      <c r="B650" s="5">
        <v>25.5</v>
      </c>
      <c r="C650" s="5">
        <v>29.14</v>
      </c>
      <c r="D650" s="5">
        <v>32.93</v>
      </c>
      <c r="E650" s="5">
        <v>35.57</v>
      </c>
      <c r="F650" s="5">
        <v>40.799999999999997</v>
      </c>
      <c r="G650" s="5">
        <v>42.02</v>
      </c>
      <c r="H650" s="5">
        <v>43.28</v>
      </c>
      <c r="I650" s="6">
        <v>9.2172350000000005</v>
      </c>
    </row>
    <row r="651" spans="1:9" ht="60" x14ac:dyDescent="0.25">
      <c r="A651" s="1" t="s">
        <v>126</v>
      </c>
      <c r="B651" s="5">
        <v>2.1800000000000002</v>
      </c>
      <c r="C651" s="5">
        <v>2.52</v>
      </c>
      <c r="D651" s="5">
        <v>2.72</v>
      </c>
      <c r="E651" s="5">
        <v>2.83</v>
      </c>
      <c r="F651" s="5">
        <v>3.29</v>
      </c>
      <c r="G651" s="5">
        <v>3.56</v>
      </c>
      <c r="H651" s="5">
        <v>4.41</v>
      </c>
      <c r="I651" s="6">
        <v>12.459725000000001</v>
      </c>
    </row>
    <row r="652" spans="1:9" ht="75" x14ac:dyDescent="0.25">
      <c r="A652" s="1" t="s">
        <v>127</v>
      </c>
      <c r="B652" s="5">
        <v>6.5</v>
      </c>
      <c r="C652" s="5">
        <v>7.61</v>
      </c>
      <c r="D652" s="5">
        <v>7.99</v>
      </c>
      <c r="E652" s="5">
        <v>8.23</v>
      </c>
      <c r="F652" s="5">
        <v>8.8000000000000007</v>
      </c>
      <c r="G652" s="5">
        <v>9.6</v>
      </c>
      <c r="H652" s="5">
        <v>9.8699999999999992</v>
      </c>
      <c r="I652" s="6">
        <v>7.2096720000000003</v>
      </c>
    </row>
    <row r="653" spans="1:9" ht="60" x14ac:dyDescent="0.25">
      <c r="A653" s="1" t="s">
        <v>128</v>
      </c>
      <c r="B653" s="5">
        <v>0</v>
      </c>
      <c r="C653" s="5">
        <v>0</v>
      </c>
      <c r="D653" s="5">
        <v>0</v>
      </c>
      <c r="E653" s="5">
        <v>0</v>
      </c>
      <c r="F653" s="5">
        <v>0</v>
      </c>
      <c r="G653" s="5">
        <v>0</v>
      </c>
      <c r="H653" s="5">
        <v>0</v>
      </c>
      <c r="I653" s="7" t="s">
        <v>58</v>
      </c>
    </row>
    <row r="654" spans="1:9" ht="45" x14ac:dyDescent="0.25">
      <c r="A654" s="1" t="s">
        <v>129</v>
      </c>
      <c r="B654" s="5">
        <v>19.16</v>
      </c>
      <c r="C654" s="5">
        <v>19.850000000000001</v>
      </c>
      <c r="D654" s="5">
        <v>20.309999999999999</v>
      </c>
      <c r="E654" s="5">
        <v>20.7</v>
      </c>
      <c r="F654" s="5">
        <v>21.22</v>
      </c>
      <c r="G654" s="5">
        <v>21.88</v>
      </c>
      <c r="H654" s="5">
        <v>22.53</v>
      </c>
      <c r="I654" s="6">
        <v>2.7371737915178995</v>
      </c>
    </row>
    <row r="655" spans="1:9" ht="45" x14ac:dyDescent="0.25">
      <c r="A655" s="1" t="s">
        <v>140</v>
      </c>
      <c r="B655" s="7" t="s">
        <v>58</v>
      </c>
      <c r="C655" s="7" t="s">
        <v>58</v>
      </c>
      <c r="D655" s="7" t="s">
        <v>58</v>
      </c>
      <c r="E655" s="7" t="s">
        <v>58</v>
      </c>
      <c r="F655" s="7" t="s">
        <v>58</v>
      </c>
      <c r="G655" s="7" t="s">
        <v>58</v>
      </c>
      <c r="H655" s="7" t="s">
        <v>58</v>
      </c>
      <c r="I655" s="7" t="s">
        <v>58</v>
      </c>
    </row>
    <row r="656" spans="1:9" ht="45" x14ac:dyDescent="0.25">
      <c r="A656" s="1" t="s">
        <v>141</v>
      </c>
      <c r="B656" s="7" t="s">
        <v>58</v>
      </c>
      <c r="C656" s="7" t="s">
        <v>58</v>
      </c>
      <c r="D656" s="7" t="s">
        <v>58</v>
      </c>
      <c r="E656" s="7" t="s">
        <v>58</v>
      </c>
      <c r="F656" s="7" t="s">
        <v>58</v>
      </c>
      <c r="G656" s="7" t="s">
        <v>58</v>
      </c>
      <c r="H656" s="7" t="s">
        <v>58</v>
      </c>
      <c r="I656" s="7" t="s">
        <v>58</v>
      </c>
    </row>
    <row r="657" spans="1:9" ht="45" x14ac:dyDescent="0.25">
      <c r="A657" s="1" t="s">
        <v>142</v>
      </c>
      <c r="B657" s="7" t="s">
        <v>58</v>
      </c>
      <c r="C657" s="7" t="s">
        <v>58</v>
      </c>
      <c r="D657" s="7" t="s">
        <v>58</v>
      </c>
      <c r="E657" s="7" t="s">
        <v>58</v>
      </c>
      <c r="F657" s="7" t="s">
        <v>58</v>
      </c>
      <c r="G657" s="7" t="s">
        <v>58</v>
      </c>
      <c r="H657" s="7" t="s">
        <v>58</v>
      </c>
      <c r="I657" s="7" t="s">
        <v>58</v>
      </c>
    </row>
    <row r="658" spans="1:9" ht="60" x14ac:dyDescent="0.25">
      <c r="A658" s="1" t="s">
        <v>133</v>
      </c>
      <c r="B658" s="7" t="s">
        <v>58</v>
      </c>
      <c r="C658" s="7" t="s">
        <v>58</v>
      </c>
      <c r="D658" s="7" t="s">
        <v>58</v>
      </c>
      <c r="E658" s="7" t="s">
        <v>58</v>
      </c>
      <c r="F658" s="7" t="s">
        <v>58</v>
      </c>
      <c r="G658" s="7" t="s">
        <v>58</v>
      </c>
      <c r="H658" s="7" t="s">
        <v>58</v>
      </c>
      <c r="I658" s="7" t="s">
        <v>58</v>
      </c>
    </row>
    <row r="659" spans="1:9" ht="60" x14ac:dyDescent="0.25">
      <c r="A659" s="1" t="s">
        <v>134</v>
      </c>
      <c r="B659" s="7" t="s">
        <v>58</v>
      </c>
      <c r="C659" s="7" t="s">
        <v>58</v>
      </c>
      <c r="D659" s="7" t="s">
        <v>58</v>
      </c>
      <c r="E659" s="7" t="s">
        <v>58</v>
      </c>
      <c r="F659" s="7" t="s">
        <v>58</v>
      </c>
      <c r="G659" s="7" t="s">
        <v>58</v>
      </c>
      <c r="H659" s="7" t="s">
        <v>58</v>
      </c>
      <c r="I659" s="7" t="s">
        <v>58</v>
      </c>
    </row>
    <row r="660" spans="1:9" x14ac:dyDescent="0.25">
      <c r="A660" s="1" t="s">
        <v>12</v>
      </c>
      <c r="B660" s="2"/>
      <c r="C660" s="2"/>
      <c r="D660" s="2"/>
      <c r="E660" s="2"/>
      <c r="F660" s="2"/>
      <c r="G660" s="2"/>
      <c r="H660" s="2"/>
      <c r="I660" s="2"/>
    </row>
    <row r="661" spans="1:9" x14ac:dyDescent="0.25">
      <c r="A661" s="8" t="s">
        <v>45</v>
      </c>
      <c r="B661" s="2"/>
      <c r="C661" s="2"/>
      <c r="D661" s="2"/>
      <c r="E661" s="2"/>
      <c r="F661" s="2"/>
      <c r="G661" s="2"/>
      <c r="H661" s="2"/>
      <c r="I661" s="2"/>
    </row>
    <row r="662" spans="1:9" ht="60" x14ac:dyDescent="0.25">
      <c r="A662" s="1" t="s">
        <v>13</v>
      </c>
      <c r="B662" s="5">
        <v>24.06</v>
      </c>
      <c r="C662" s="5">
        <v>25.25</v>
      </c>
      <c r="D662" s="5">
        <v>26.38</v>
      </c>
      <c r="E662" s="5">
        <v>27.24</v>
      </c>
      <c r="F662" s="5">
        <v>27.86</v>
      </c>
      <c r="G662" s="5">
        <v>28.34</v>
      </c>
      <c r="H662" s="5">
        <v>28.83</v>
      </c>
      <c r="I662" s="6">
        <v>3.060324</v>
      </c>
    </row>
    <row r="663" spans="1:9" ht="60" x14ac:dyDescent="0.25">
      <c r="A663" s="1" t="s">
        <v>117</v>
      </c>
      <c r="B663" s="5">
        <v>19.829999999999998</v>
      </c>
      <c r="C663" s="5">
        <v>20.67</v>
      </c>
      <c r="D663" s="5">
        <v>21.44</v>
      </c>
      <c r="E663" s="5">
        <v>21.99</v>
      </c>
      <c r="F663" s="5">
        <v>22.34</v>
      </c>
      <c r="G663" s="5">
        <v>22.56</v>
      </c>
      <c r="H663" s="5">
        <v>22.79</v>
      </c>
      <c r="I663" s="6">
        <v>2.3458570000000001</v>
      </c>
    </row>
    <row r="664" spans="1:9" ht="60" x14ac:dyDescent="0.25">
      <c r="A664" s="1" t="s">
        <v>118</v>
      </c>
      <c r="B664" s="5">
        <v>1.41</v>
      </c>
      <c r="C664" s="5">
        <v>1.39</v>
      </c>
      <c r="D664" s="5">
        <v>1.4</v>
      </c>
      <c r="E664" s="5">
        <v>1.37</v>
      </c>
      <c r="F664" s="5">
        <v>1.33</v>
      </c>
      <c r="G664" s="5">
        <v>1.28</v>
      </c>
      <c r="H664" s="5">
        <v>1.23</v>
      </c>
      <c r="I664" s="6">
        <v>-2.2505480000000002</v>
      </c>
    </row>
    <row r="665" spans="1:9" ht="60" x14ac:dyDescent="0.25">
      <c r="A665" s="1" t="s">
        <v>119</v>
      </c>
      <c r="B665" s="5">
        <v>1.1299999999999999</v>
      </c>
      <c r="C665" s="5">
        <v>1.34</v>
      </c>
      <c r="D665" s="5">
        <v>1.57</v>
      </c>
      <c r="E665" s="5">
        <v>1.78</v>
      </c>
      <c r="F665" s="5">
        <v>2</v>
      </c>
      <c r="G665" s="5">
        <v>2.21</v>
      </c>
      <c r="H665" s="5">
        <v>2.42</v>
      </c>
      <c r="I665" s="6">
        <v>13.533185</v>
      </c>
    </row>
    <row r="666" spans="1:9" ht="60" x14ac:dyDescent="0.25">
      <c r="A666" s="1" t="s">
        <v>120</v>
      </c>
      <c r="B666" s="5">
        <v>0.27</v>
      </c>
      <c r="C666" s="5">
        <v>0.3</v>
      </c>
      <c r="D666" s="5">
        <v>0.33</v>
      </c>
      <c r="E666" s="5">
        <v>0.36</v>
      </c>
      <c r="F666" s="5">
        <v>0.38</v>
      </c>
      <c r="G666" s="5">
        <v>0.4</v>
      </c>
      <c r="H666" s="5">
        <v>0.42</v>
      </c>
      <c r="I666" s="6">
        <v>7.6417919999999997</v>
      </c>
    </row>
    <row r="667" spans="1:9" ht="75" x14ac:dyDescent="0.25">
      <c r="A667" s="1" t="s">
        <v>121</v>
      </c>
      <c r="B667" s="5">
        <v>1.17</v>
      </c>
      <c r="C667" s="5">
        <v>1.19</v>
      </c>
      <c r="D667" s="5">
        <v>1.22</v>
      </c>
      <c r="E667" s="5">
        <v>1.23</v>
      </c>
      <c r="F667" s="5">
        <v>1.23</v>
      </c>
      <c r="G667" s="5">
        <v>1.23</v>
      </c>
      <c r="H667" s="5">
        <v>1.22</v>
      </c>
      <c r="I667" s="6">
        <v>0.69989000000000001</v>
      </c>
    </row>
    <row r="668" spans="1:9" ht="75" x14ac:dyDescent="0.25">
      <c r="A668" s="1" t="s">
        <v>122</v>
      </c>
      <c r="B668" s="5">
        <v>0.25</v>
      </c>
      <c r="C668" s="5">
        <v>0.36</v>
      </c>
      <c r="D668" s="5">
        <v>0.42</v>
      </c>
      <c r="E668" s="5">
        <v>0.5</v>
      </c>
      <c r="F668" s="5">
        <v>0.57999999999999996</v>
      </c>
      <c r="G668" s="5">
        <v>0.66</v>
      </c>
      <c r="H668" s="5">
        <v>0.74</v>
      </c>
      <c r="I668" s="6">
        <v>19.825326</v>
      </c>
    </row>
    <row r="669" spans="1:9" ht="60" x14ac:dyDescent="0.25">
      <c r="A669" s="1" t="s">
        <v>123</v>
      </c>
      <c r="B669" s="5">
        <v>82.42</v>
      </c>
      <c r="C669" s="5">
        <v>81.86</v>
      </c>
      <c r="D669" s="5">
        <v>81.3</v>
      </c>
      <c r="E669" s="5">
        <v>80.739999999999995</v>
      </c>
      <c r="F669" s="5">
        <v>80.180000000000007</v>
      </c>
      <c r="G669" s="5">
        <v>79.62</v>
      </c>
      <c r="H669" s="5">
        <v>79.06</v>
      </c>
      <c r="I669" s="6">
        <v>-0.69128400000000001</v>
      </c>
    </row>
    <row r="670" spans="1:9" ht="60" x14ac:dyDescent="0.25">
      <c r="A670" s="1" t="s">
        <v>124</v>
      </c>
      <c r="B670" s="5">
        <v>5.85</v>
      </c>
      <c r="C670" s="5">
        <v>5.5</v>
      </c>
      <c r="D670" s="5">
        <v>5.3</v>
      </c>
      <c r="E670" s="5">
        <v>5.05</v>
      </c>
      <c r="F670" s="5">
        <v>4.79</v>
      </c>
      <c r="G670" s="5">
        <v>4.53</v>
      </c>
      <c r="H670" s="5">
        <v>4.28</v>
      </c>
      <c r="I670" s="6">
        <v>-5.0748449999999998</v>
      </c>
    </row>
    <row r="671" spans="1:9" ht="60" x14ac:dyDescent="0.25">
      <c r="A671" s="1" t="s">
        <v>125</v>
      </c>
      <c r="B671" s="5">
        <v>4.7</v>
      </c>
      <c r="C671" s="5">
        <v>5.32</v>
      </c>
      <c r="D671" s="5">
        <v>5.93</v>
      </c>
      <c r="E671" s="5">
        <v>6.55</v>
      </c>
      <c r="F671" s="5">
        <v>7.17</v>
      </c>
      <c r="G671" s="5">
        <v>7.79</v>
      </c>
      <c r="H671" s="5">
        <v>8.4</v>
      </c>
      <c r="I671" s="6">
        <v>10.161600999999999</v>
      </c>
    </row>
    <row r="672" spans="1:9" ht="60" x14ac:dyDescent="0.25">
      <c r="A672" s="1" t="s">
        <v>126</v>
      </c>
      <c r="B672" s="5">
        <v>1.1399999999999999</v>
      </c>
      <c r="C672" s="5">
        <v>1.2</v>
      </c>
      <c r="D672" s="5">
        <v>1.25</v>
      </c>
      <c r="E672" s="5">
        <v>1.31</v>
      </c>
      <c r="F672" s="5">
        <v>1.36</v>
      </c>
      <c r="G672" s="5">
        <v>1.42</v>
      </c>
      <c r="H672" s="5">
        <v>1.47</v>
      </c>
      <c r="I672" s="6">
        <v>4.3282879999999997</v>
      </c>
    </row>
    <row r="673" spans="1:9" ht="75" x14ac:dyDescent="0.25">
      <c r="A673" s="1" t="s">
        <v>127</v>
      </c>
      <c r="B673" s="5">
        <v>4.87</v>
      </c>
      <c r="C673" s="5">
        <v>4.7300000000000004</v>
      </c>
      <c r="D673" s="5">
        <v>4.6399999999999997</v>
      </c>
      <c r="E673" s="5">
        <v>4.53</v>
      </c>
      <c r="F673" s="5">
        <v>4.43</v>
      </c>
      <c r="G673" s="5">
        <v>4.33</v>
      </c>
      <c r="H673" s="5">
        <v>4.22</v>
      </c>
      <c r="I673" s="6">
        <v>-2.3593679999999999</v>
      </c>
    </row>
    <row r="674" spans="1:9" ht="60" x14ac:dyDescent="0.25">
      <c r="A674" s="1" t="s">
        <v>128</v>
      </c>
      <c r="B674" s="5">
        <v>1.03</v>
      </c>
      <c r="C674" s="5">
        <v>1.41</v>
      </c>
      <c r="D674" s="5">
        <v>1.58</v>
      </c>
      <c r="E674" s="5">
        <v>1.82</v>
      </c>
      <c r="F674" s="5">
        <v>2.0699999999999998</v>
      </c>
      <c r="G674" s="5">
        <v>2.31</v>
      </c>
      <c r="H674" s="5">
        <v>2.56</v>
      </c>
      <c r="I674" s="6">
        <v>16.385922999999998</v>
      </c>
    </row>
    <row r="675" spans="1:9" ht="45" x14ac:dyDescent="0.25">
      <c r="A675" s="1" t="s">
        <v>129</v>
      </c>
      <c r="B675" s="7" t="s">
        <v>58</v>
      </c>
      <c r="C675" s="7" t="s">
        <v>58</v>
      </c>
      <c r="D675" s="7" t="s">
        <v>58</v>
      </c>
      <c r="E675" s="7" t="s">
        <v>58</v>
      </c>
      <c r="F675" s="7" t="s">
        <v>58</v>
      </c>
      <c r="G675" s="7" t="s">
        <v>58</v>
      </c>
      <c r="H675" s="7" t="s">
        <v>58</v>
      </c>
      <c r="I675" s="7" t="s">
        <v>58</v>
      </c>
    </row>
    <row r="676" spans="1:9" ht="45" x14ac:dyDescent="0.25">
      <c r="A676" s="1" t="s">
        <v>140</v>
      </c>
      <c r="B676" s="7" t="s">
        <v>58</v>
      </c>
      <c r="C676" s="7" t="s">
        <v>58</v>
      </c>
      <c r="D676" s="7" t="s">
        <v>58</v>
      </c>
      <c r="E676" s="7" t="s">
        <v>58</v>
      </c>
      <c r="F676" s="7" t="s">
        <v>58</v>
      </c>
      <c r="G676" s="7" t="s">
        <v>58</v>
      </c>
      <c r="H676" s="7" t="s">
        <v>58</v>
      </c>
      <c r="I676" s="7" t="s">
        <v>58</v>
      </c>
    </row>
    <row r="677" spans="1:9" ht="45" x14ac:dyDescent="0.25">
      <c r="A677" s="1" t="s">
        <v>141</v>
      </c>
      <c r="B677" s="7" t="s">
        <v>58</v>
      </c>
      <c r="C677" s="7" t="s">
        <v>58</v>
      </c>
      <c r="D677" s="7" t="s">
        <v>58</v>
      </c>
      <c r="E677" s="7" t="s">
        <v>58</v>
      </c>
      <c r="F677" s="7" t="s">
        <v>58</v>
      </c>
      <c r="G677" s="7" t="s">
        <v>58</v>
      </c>
      <c r="H677" s="7" t="s">
        <v>58</v>
      </c>
      <c r="I677" s="7" t="s">
        <v>58</v>
      </c>
    </row>
    <row r="678" spans="1:9" ht="45" x14ac:dyDescent="0.25">
      <c r="A678" s="1" t="s">
        <v>142</v>
      </c>
      <c r="B678" s="7" t="s">
        <v>58</v>
      </c>
      <c r="C678" s="7" t="s">
        <v>58</v>
      </c>
      <c r="D678" s="7" t="s">
        <v>58</v>
      </c>
      <c r="E678" s="7" t="s">
        <v>58</v>
      </c>
      <c r="F678" s="7" t="s">
        <v>58</v>
      </c>
      <c r="G678" s="7" t="s">
        <v>58</v>
      </c>
      <c r="H678" s="7" t="s">
        <v>58</v>
      </c>
      <c r="I678" s="7" t="s">
        <v>58</v>
      </c>
    </row>
    <row r="679" spans="1:9" ht="60" x14ac:dyDescent="0.25">
      <c r="A679" s="1" t="s">
        <v>133</v>
      </c>
      <c r="B679" s="7" t="s">
        <v>58</v>
      </c>
      <c r="C679" s="7" t="s">
        <v>58</v>
      </c>
      <c r="D679" s="7" t="s">
        <v>58</v>
      </c>
      <c r="E679" s="7" t="s">
        <v>58</v>
      </c>
      <c r="F679" s="7" t="s">
        <v>58</v>
      </c>
      <c r="G679" s="7" t="s">
        <v>58</v>
      </c>
      <c r="H679" s="7" t="s">
        <v>58</v>
      </c>
      <c r="I679" s="7" t="s">
        <v>58</v>
      </c>
    </row>
    <row r="680" spans="1:9" ht="60" x14ac:dyDescent="0.25">
      <c r="A680" s="1" t="s">
        <v>134</v>
      </c>
      <c r="B680" s="7" t="s">
        <v>58</v>
      </c>
      <c r="C680" s="7" t="s">
        <v>58</v>
      </c>
      <c r="D680" s="7" t="s">
        <v>58</v>
      </c>
      <c r="E680" s="7" t="s">
        <v>58</v>
      </c>
      <c r="F680" s="7" t="s">
        <v>58</v>
      </c>
      <c r="G680" s="7" t="s">
        <v>58</v>
      </c>
      <c r="H680" s="7" t="s">
        <v>58</v>
      </c>
      <c r="I680" s="7" t="s">
        <v>58</v>
      </c>
    </row>
    <row r="681" spans="1:9" x14ac:dyDescent="0.25">
      <c r="A681" s="1" t="s">
        <v>12</v>
      </c>
      <c r="B681" s="2"/>
      <c r="C681" s="2"/>
      <c r="D681" s="2"/>
      <c r="E681" s="2"/>
      <c r="F681" s="2"/>
      <c r="G681" s="2"/>
      <c r="H681" s="2"/>
      <c r="I681" s="2"/>
    </row>
    <row r="682" spans="1:9" x14ac:dyDescent="0.25">
      <c r="A682" s="8" t="s">
        <v>46</v>
      </c>
      <c r="B682" s="2"/>
      <c r="C682" s="2"/>
      <c r="D682" s="2"/>
      <c r="E682" s="2"/>
      <c r="F682" s="2"/>
      <c r="G682" s="2"/>
      <c r="H682" s="2"/>
      <c r="I682" s="2"/>
    </row>
    <row r="683" spans="1:9" ht="60" x14ac:dyDescent="0.25">
      <c r="A683" s="1" t="s">
        <v>13</v>
      </c>
      <c r="B683" s="5">
        <v>104.56</v>
      </c>
      <c r="C683" s="5">
        <v>104.26</v>
      </c>
      <c r="D683" s="5">
        <v>104.07</v>
      </c>
      <c r="E683" s="5">
        <v>103.77</v>
      </c>
      <c r="F683" s="5">
        <v>103.87</v>
      </c>
      <c r="G683" s="5">
        <v>103.96</v>
      </c>
      <c r="H683" s="5">
        <v>103.94</v>
      </c>
      <c r="I683" s="6">
        <v>-9.9071999999999993E-2</v>
      </c>
    </row>
    <row r="684" spans="1:9" ht="60" x14ac:dyDescent="0.25">
      <c r="A684" s="1" t="s">
        <v>117</v>
      </c>
      <c r="B684" s="5">
        <v>5.38</v>
      </c>
      <c r="C684" s="5">
        <v>4.7300000000000004</v>
      </c>
      <c r="D684" s="5">
        <v>4.1900000000000004</v>
      </c>
      <c r="E684" s="5">
        <v>3.76</v>
      </c>
      <c r="F684" s="5">
        <v>3.42</v>
      </c>
      <c r="G684" s="5">
        <v>3.06</v>
      </c>
      <c r="H684" s="5">
        <v>2.81</v>
      </c>
      <c r="I684" s="6">
        <v>-10.259736</v>
      </c>
    </row>
    <row r="685" spans="1:9" ht="60" x14ac:dyDescent="0.25">
      <c r="A685" s="1" t="s">
        <v>118</v>
      </c>
      <c r="B685" s="5">
        <v>5.91</v>
      </c>
      <c r="C685" s="5">
        <v>4.99</v>
      </c>
      <c r="D685" s="5">
        <v>4.24</v>
      </c>
      <c r="E685" s="5">
        <v>3.55</v>
      </c>
      <c r="F685" s="5">
        <v>2.86</v>
      </c>
      <c r="G685" s="5">
        <v>2.38</v>
      </c>
      <c r="H685" s="5">
        <v>1.94</v>
      </c>
      <c r="I685" s="6">
        <v>-16.944376999999999</v>
      </c>
    </row>
    <row r="686" spans="1:9" ht="60" x14ac:dyDescent="0.25">
      <c r="A686" s="1" t="s">
        <v>119</v>
      </c>
      <c r="B686" s="5">
        <v>93</v>
      </c>
      <c r="C686" s="5">
        <v>94.29</v>
      </c>
      <c r="D686" s="5">
        <v>95.4</v>
      </c>
      <c r="E686" s="5">
        <v>96.25</v>
      </c>
      <c r="F686" s="5">
        <v>97.39</v>
      </c>
      <c r="G686" s="5">
        <v>98.35</v>
      </c>
      <c r="H686" s="5">
        <v>99.03</v>
      </c>
      <c r="I686" s="6">
        <v>1.052556</v>
      </c>
    </row>
    <row r="687" spans="1:9" ht="60" x14ac:dyDescent="0.25">
      <c r="A687" s="1" t="s">
        <v>120</v>
      </c>
      <c r="B687" s="5">
        <v>0.04</v>
      </c>
      <c r="C687" s="5">
        <v>0.04</v>
      </c>
      <c r="D687" s="5">
        <v>0.04</v>
      </c>
      <c r="E687" s="5">
        <v>0.03</v>
      </c>
      <c r="F687" s="5">
        <v>0.03</v>
      </c>
      <c r="G687" s="5">
        <v>0.03</v>
      </c>
      <c r="H687" s="5">
        <v>0.02</v>
      </c>
      <c r="I687" s="6">
        <v>-10.910128</v>
      </c>
    </row>
    <row r="688" spans="1:9" ht="75" x14ac:dyDescent="0.25">
      <c r="A688" s="1" t="s">
        <v>121</v>
      </c>
      <c r="B688" s="5">
        <v>0.19</v>
      </c>
      <c r="C688" s="5">
        <v>0.18</v>
      </c>
      <c r="D688" s="5">
        <v>0.17</v>
      </c>
      <c r="E688" s="5">
        <v>0.15</v>
      </c>
      <c r="F688" s="5">
        <v>0.14000000000000001</v>
      </c>
      <c r="G688" s="5">
        <v>0.12</v>
      </c>
      <c r="H688" s="5">
        <v>0.11</v>
      </c>
      <c r="I688" s="6">
        <v>-8.7065020000000004</v>
      </c>
    </row>
    <row r="689" spans="1:9" ht="75" x14ac:dyDescent="0.25">
      <c r="A689" s="1" t="s">
        <v>122</v>
      </c>
      <c r="B689" s="5">
        <v>0.04</v>
      </c>
      <c r="C689" s="5">
        <v>0.03</v>
      </c>
      <c r="D689" s="5">
        <v>0.03</v>
      </c>
      <c r="E689" s="5">
        <v>0.03</v>
      </c>
      <c r="F689" s="5">
        <v>0.03</v>
      </c>
      <c r="G689" s="5">
        <v>0.02</v>
      </c>
      <c r="H689" s="5">
        <v>0.02</v>
      </c>
      <c r="I689" s="6">
        <v>-10.910128</v>
      </c>
    </row>
    <row r="690" spans="1:9" ht="60" x14ac:dyDescent="0.25">
      <c r="A690" s="1" t="s">
        <v>123</v>
      </c>
      <c r="B690" s="5">
        <v>5.14</v>
      </c>
      <c r="C690" s="5">
        <v>4.54</v>
      </c>
      <c r="D690" s="5">
        <v>4.03</v>
      </c>
      <c r="E690" s="5">
        <v>3.63</v>
      </c>
      <c r="F690" s="5">
        <v>3.29</v>
      </c>
      <c r="G690" s="5">
        <v>2.95</v>
      </c>
      <c r="H690" s="5">
        <v>2.7</v>
      </c>
      <c r="I690" s="6">
        <v>-10.174403999999999</v>
      </c>
    </row>
    <row r="691" spans="1:9" ht="60" x14ac:dyDescent="0.25">
      <c r="A691" s="1" t="s">
        <v>124</v>
      </c>
      <c r="B691" s="5">
        <v>5.65</v>
      </c>
      <c r="C691" s="5">
        <v>4.79</v>
      </c>
      <c r="D691" s="5">
        <v>4.08</v>
      </c>
      <c r="E691" s="5">
        <v>3.42</v>
      </c>
      <c r="F691" s="5">
        <v>2.76</v>
      </c>
      <c r="G691" s="5">
        <v>2.29</v>
      </c>
      <c r="H691" s="5">
        <v>1.87</v>
      </c>
      <c r="I691" s="6">
        <v>-16.830224999999999</v>
      </c>
    </row>
    <row r="692" spans="1:9" ht="60" x14ac:dyDescent="0.25">
      <c r="A692" s="1" t="s">
        <v>125</v>
      </c>
      <c r="B692" s="5">
        <v>88.94</v>
      </c>
      <c r="C692" s="5">
        <v>90.43</v>
      </c>
      <c r="D692" s="5">
        <v>91.67</v>
      </c>
      <c r="E692" s="5">
        <v>92.75</v>
      </c>
      <c r="F692" s="5">
        <v>93.76</v>
      </c>
      <c r="G692" s="5">
        <v>94.6</v>
      </c>
      <c r="H692" s="5">
        <v>95.27</v>
      </c>
      <c r="I692" s="6">
        <v>1.1524730000000001</v>
      </c>
    </row>
    <row r="693" spans="1:9" ht="60" x14ac:dyDescent="0.25">
      <c r="A693" s="1" t="s">
        <v>126</v>
      </c>
      <c r="B693" s="5">
        <v>0.04</v>
      </c>
      <c r="C693" s="5">
        <v>0.04</v>
      </c>
      <c r="D693" s="5">
        <v>0.03</v>
      </c>
      <c r="E693" s="5">
        <v>0.03</v>
      </c>
      <c r="F693" s="5">
        <v>0.03</v>
      </c>
      <c r="G693" s="5">
        <v>0.03</v>
      </c>
      <c r="H693" s="5">
        <v>0.02</v>
      </c>
      <c r="I693" s="6">
        <v>-10.910128</v>
      </c>
    </row>
    <row r="694" spans="1:9" ht="75" x14ac:dyDescent="0.25">
      <c r="A694" s="1" t="s">
        <v>127</v>
      </c>
      <c r="B694" s="5">
        <v>0.19</v>
      </c>
      <c r="C694" s="5">
        <v>0.17</v>
      </c>
      <c r="D694" s="5">
        <v>0.16</v>
      </c>
      <c r="E694" s="5">
        <v>0.15</v>
      </c>
      <c r="F694" s="5">
        <v>0.13</v>
      </c>
      <c r="G694" s="5">
        <v>0.12</v>
      </c>
      <c r="H694" s="5">
        <v>0.11</v>
      </c>
      <c r="I694" s="6">
        <v>-8.7065020000000004</v>
      </c>
    </row>
    <row r="695" spans="1:9" ht="60" x14ac:dyDescent="0.25">
      <c r="A695" s="1" t="s">
        <v>128</v>
      </c>
      <c r="B695" s="5">
        <v>0.03</v>
      </c>
      <c r="C695" s="5">
        <v>0.03</v>
      </c>
      <c r="D695" s="5">
        <v>0.03</v>
      </c>
      <c r="E695" s="5">
        <v>0.03</v>
      </c>
      <c r="F695" s="5">
        <v>0.02</v>
      </c>
      <c r="G695" s="5">
        <v>0.02</v>
      </c>
      <c r="H695" s="5">
        <v>0.02</v>
      </c>
      <c r="I695" s="6">
        <v>-6.5344740000000003</v>
      </c>
    </row>
    <row r="696" spans="1:9" ht="45" x14ac:dyDescent="0.25">
      <c r="A696" s="1" t="s">
        <v>129</v>
      </c>
      <c r="B696" s="5">
        <v>24.54</v>
      </c>
      <c r="C696" s="5">
        <v>24.54</v>
      </c>
      <c r="D696" s="5">
        <v>24.9</v>
      </c>
      <c r="E696" s="5">
        <v>24.85</v>
      </c>
      <c r="F696" s="5">
        <v>25.01</v>
      </c>
      <c r="G696" s="5">
        <v>25.33</v>
      </c>
      <c r="H696" s="5">
        <v>25.7</v>
      </c>
      <c r="I696" s="6">
        <v>0.77274626836798532</v>
      </c>
    </row>
    <row r="697" spans="1:9" ht="45" x14ac:dyDescent="0.25">
      <c r="A697" s="1" t="s">
        <v>140</v>
      </c>
      <c r="B697" s="5">
        <v>11.9</v>
      </c>
      <c r="C697" s="5">
        <v>11.96</v>
      </c>
      <c r="D697" s="5">
        <v>12.1</v>
      </c>
      <c r="E697" s="5">
        <v>11.94</v>
      </c>
      <c r="F697" s="5">
        <v>12.01</v>
      </c>
      <c r="G697" s="5">
        <v>12.18</v>
      </c>
      <c r="H697" s="5">
        <v>12.28</v>
      </c>
      <c r="I697" s="6">
        <v>0.52526700000000004</v>
      </c>
    </row>
    <row r="698" spans="1:9" ht="45" x14ac:dyDescent="0.25">
      <c r="A698" s="1" t="s">
        <v>141</v>
      </c>
      <c r="B698" s="5">
        <v>13.67</v>
      </c>
      <c r="C698" s="5">
        <v>13.27</v>
      </c>
      <c r="D698" s="5">
        <v>13.32</v>
      </c>
      <c r="E698" s="5">
        <v>13.2</v>
      </c>
      <c r="F698" s="5">
        <v>13.19</v>
      </c>
      <c r="G698" s="5">
        <v>13.23</v>
      </c>
      <c r="H698" s="5">
        <v>13.2</v>
      </c>
      <c r="I698" s="6">
        <v>-0.58141699999999996</v>
      </c>
    </row>
    <row r="699" spans="1:9" ht="45" x14ac:dyDescent="0.25">
      <c r="A699" s="1" t="s">
        <v>142</v>
      </c>
      <c r="B699" s="5">
        <v>26.15</v>
      </c>
      <c r="C699" s="5">
        <v>25.92</v>
      </c>
      <c r="D699" s="5">
        <v>26.1</v>
      </c>
      <c r="E699" s="5">
        <v>25.9</v>
      </c>
      <c r="F699" s="5">
        <v>25.92</v>
      </c>
      <c r="G699" s="5">
        <v>26.12</v>
      </c>
      <c r="H699" s="5">
        <v>26.4</v>
      </c>
      <c r="I699" s="6">
        <v>0.15870600000000001</v>
      </c>
    </row>
    <row r="700" spans="1:9" ht="60" x14ac:dyDescent="0.25">
      <c r="A700" s="1" t="s">
        <v>133</v>
      </c>
      <c r="B700" s="5">
        <v>30.187673310000001</v>
      </c>
      <c r="C700" s="5">
        <v>29.44574106</v>
      </c>
      <c r="D700" s="5">
        <v>29.702215710000001</v>
      </c>
      <c r="E700" s="5">
        <v>29.58173639</v>
      </c>
      <c r="F700" s="5">
        <v>29.710979210000001</v>
      </c>
      <c r="G700" s="5">
        <v>29.951696049999999</v>
      </c>
      <c r="H700" s="5">
        <v>30.03157371</v>
      </c>
      <c r="I700" s="6">
        <v>-8.636913531788748E-2</v>
      </c>
    </row>
    <row r="701" spans="1:9" ht="60" x14ac:dyDescent="0.25">
      <c r="A701" s="1" t="s">
        <v>134</v>
      </c>
      <c r="B701" s="5">
        <v>3.8</v>
      </c>
      <c r="C701" s="5">
        <v>3.65</v>
      </c>
      <c r="D701" s="5">
        <v>3.63</v>
      </c>
      <c r="E701" s="5">
        <v>3.56</v>
      </c>
      <c r="F701" s="5">
        <v>3.52</v>
      </c>
      <c r="G701" s="5">
        <v>3.5</v>
      </c>
      <c r="H701" s="5">
        <v>3.45</v>
      </c>
      <c r="I701" s="6">
        <v>-1.5975490000000001</v>
      </c>
    </row>
    <row r="702" spans="1:9" x14ac:dyDescent="0.25">
      <c r="A702" s="1" t="s">
        <v>12</v>
      </c>
      <c r="B702" s="2"/>
      <c r="C702" s="2"/>
      <c r="D702" s="2"/>
      <c r="E702" s="2"/>
      <c r="F702" s="2"/>
      <c r="G702" s="2"/>
      <c r="H702" s="2"/>
      <c r="I702" s="2"/>
    </row>
    <row r="703" spans="1:9" x14ac:dyDescent="0.25">
      <c r="A703" s="8" t="s">
        <v>47</v>
      </c>
      <c r="B703" s="2"/>
      <c r="C703" s="2"/>
      <c r="D703" s="2"/>
      <c r="E703" s="2"/>
      <c r="F703" s="2"/>
      <c r="G703" s="2"/>
      <c r="H703" s="2"/>
      <c r="I703" s="2"/>
    </row>
    <row r="704" spans="1:9" ht="60" x14ac:dyDescent="0.25">
      <c r="A704" s="1" t="s">
        <v>13</v>
      </c>
      <c r="B704" s="5">
        <v>86.25</v>
      </c>
      <c r="C704" s="5">
        <v>86.46</v>
      </c>
      <c r="D704" s="5">
        <v>86.79</v>
      </c>
      <c r="E704" s="5">
        <v>87.51</v>
      </c>
      <c r="F704" s="5">
        <v>88.55</v>
      </c>
      <c r="G704" s="5">
        <v>89.55</v>
      </c>
      <c r="H704" s="5">
        <v>90.51</v>
      </c>
      <c r="I704" s="6">
        <v>0.80674199999999996</v>
      </c>
    </row>
    <row r="705" spans="1:9" ht="60" x14ac:dyDescent="0.25">
      <c r="A705" s="1" t="s">
        <v>117</v>
      </c>
      <c r="B705" s="5">
        <v>34.53</v>
      </c>
      <c r="C705" s="5">
        <v>33.549999999999997</v>
      </c>
      <c r="D705" s="5">
        <v>32.64</v>
      </c>
      <c r="E705" s="5">
        <v>32.03</v>
      </c>
      <c r="F705" s="5">
        <v>31.73</v>
      </c>
      <c r="G705" s="5">
        <v>31.59</v>
      </c>
      <c r="H705" s="5">
        <v>31.52</v>
      </c>
      <c r="I705" s="6">
        <v>-1.5086090000000001</v>
      </c>
    </row>
    <row r="706" spans="1:9" ht="60" x14ac:dyDescent="0.25">
      <c r="A706" s="1" t="s">
        <v>118</v>
      </c>
      <c r="B706" s="5">
        <v>6.56</v>
      </c>
      <c r="C706" s="5">
        <v>4.93</v>
      </c>
      <c r="D706" s="5">
        <v>3.96</v>
      </c>
      <c r="E706" s="5">
        <v>3.18</v>
      </c>
      <c r="F706" s="5">
        <v>2.54</v>
      </c>
      <c r="G706" s="5">
        <v>2.02</v>
      </c>
      <c r="H706" s="5">
        <v>1.6</v>
      </c>
      <c r="I706" s="6">
        <v>-20.955919000000002</v>
      </c>
    </row>
    <row r="707" spans="1:9" ht="60" x14ac:dyDescent="0.25">
      <c r="A707" s="1" t="s">
        <v>119</v>
      </c>
      <c r="B707" s="5">
        <v>39.61</v>
      </c>
      <c r="C707" s="5">
        <v>44.03</v>
      </c>
      <c r="D707" s="5">
        <v>47.28</v>
      </c>
      <c r="E707" s="5">
        <v>50.36</v>
      </c>
      <c r="F707" s="5">
        <v>53.13</v>
      </c>
      <c r="G707" s="5">
        <v>55.36</v>
      </c>
      <c r="H707" s="5">
        <v>57.16</v>
      </c>
      <c r="I707" s="6">
        <v>6.3035810000000003</v>
      </c>
    </row>
    <row r="708" spans="1:9" ht="60" x14ac:dyDescent="0.25">
      <c r="A708" s="1" t="s">
        <v>120</v>
      </c>
      <c r="B708" s="5">
        <v>0.05</v>
      </c>
      <c r="C708" s="5">
        <v>0.05</v>
      </c>
      <c r="D708" s="5">
        <v>0.05</v>
      </c>
      <c r="E708" s="5">
        <v>0.05</v>
      </c>
      <c r="F708" s="5">
        <v>0.05</v>
      </c>
      <c r="G708" s="5">
        <v>0.05</v>
      </c>
      <c r="H708" s="5">
        <v>0.05</v>
      </c>
      <c r="I708" s="6">
        <v>0</v>
      </c>
    </row>
    <row r="709" spans="1:9" ht="75" x14ac:dyDescent="0.25">
      <c r="A709" s="1" t="s">
        <v>121</v>
      </c>
      <c r="B709" s="5">
        <v>5.5</v>
      </c>
      <c r="C709" s="5">
        <v>3.91</v>
      </c>
      <c r="D709" s="5">
        <v>2.86</v>
      </c>
      <c r="E709" s="5">
        <v>1.9</v>
      </c>
      <c r="F709" s="5">
        <v>1.1000000000000001</v>
      </c>
      <c r="G709" s="5">
        <v>0.52</v>
      </c>
      <c r="H709" s="5">
        <v>0.18</v>
      </c>
      <c r="I709" s="6">
        <v>-43.443182</v>
      </c>
    </row>
    <row r="710" spans="1:9" ht="75" x14ac:dyDescent="0.25">
      <c r="A710" s="1" t="s">
        <v>122</v>
      </c>
      <c r="B710" s="5">
        <v>0</v>
      </c>
      <c r="C710" s="5">
        <v>0</v>
      </c>
      <c r="D710" s="5">
        <v>0</v>
      </c>
      <c r="E710" s="5">
        <v>0</v>
      </c>
      <c r="F710" s="5">
        <v>0</v>
      </c>
      <c r="G710" s="5">
        <v>0</v>
      </c>
      <c r="H710" s="5">
        <v>0</v>
      </c>
      <c r="I710" s="7" t="s">
        <v>58</v>
      </c>
    </row>
    <row r="711" spans="1:9" ht="60" x14ac:dyDescent="0.25">
      <c r="A711" s="1" t="s">
        <v>123</v>
      </c>
      <c r="B711" s="5">
        <v>40.04</v>
      </c>
      <c r="C711" s="5">
        <v>38.799999999999997</v>
      </c>
      <c r="D711" s="5">
        <v>37.61</v>
      </c>
      <c r="E711" s="5">
        <v>36.6</v>
      </c>
      <c r="F711" s="5">
        <v>35.83</v>
      </c>
      <c r="G711" s="5">
        <v>35.270000000000003</v>
      </c>
      <c r="H711" s="5">
        <v>34.82</v>
      </c>
      <c r="I711" s="6">
        <v>-2.3012250000000001</v>
      </c>
    </row>
    <row r="712" spans="1:9" ht="60" x14ac:dyDescent="0.25">
      <c r="A712" s="1" t="s">
        <v>124</v>
      </c>
      <c r="B712" s="5">
        <v>7.61</v>
      </c>
      <c r="C712" s="5">
        <v>5.7</v>
      </c>
      <c r="D712" s="5">
        <v>4.57</v>
      </c>
      <c r="E712" s="5">
        <v>3.63</v>
      </c>
      <c r="F712" s="5">
        <v>2.87</v>
      </c>
      <c r="G712" s="5">
        <v>2.2599999999999998</v>
      </c>
      <c r="H712" s="5">
        <v>1.77</v>
      </c>
      <c r="I712" s="6">
        <v>-21.579170000000001</v>
      </c>
    </row>
    <row r="713" spans="1:9" ht="60" x14ac:dyDescent="0.25">
      <c r="A713" s="1" t="s">
        <v>125</v>
      </c>
      <c r="B713" s="5">
        <v>45.92</v>
      </c>
      <c r="C713" s="5">
        <v>50.93</v>
      </c>
      <c r="D713" s="5">
        <v>54.48</v>
      </c>
      <c r="E713" s="5">
        <v>57.54</v>
      </c>
      <c r="F713" s="5">
        <v>60</v>
      </c>
      <c r="G713" s="5">
        <v>61.82</v>
      </c>
      <c r="H713" s="5">
        <v>63.15</v>
      </c>
      <c r="I713" s="6">
        <v>5.453722</v>
      </c>
    </row>
    <row r="714" spans="1:9" ht="60" x14ac:dyDescent="0.25">
      <c r="A714" s="1" t="s">
        <v>126</v>
      </c>
      <c r="B714" s="5">
        <v>0.06</v>
      </c>
      <c r="C714" s="5">
        <v>0.06</v>
      </c>
      <c r="D714" s="5">
        <v>0.06</v>
      </c>
      <c r="E714" s="5">
        <v>0.06</v>
      </c>
      <c r="F714" s="5">
        <v>0.06</v>
      </c>
      <c r="G714" s="5">
        <v>0.06</v>
      </c>
      <c r="H714" s="5">
        <v>0.06</v>
      </c>
      <c r="I714" s="6">
        <v>0</v>
      </c>
    </row>
    <row r="715" spans="1:9" ht="75" x14ac:dyDescent="0.25">
      <c r="A715" s="1" t="s">
        <v>127</v>
      </c>
      <c r="B715" s="5">
        <v>6.38</v>
      </c>
      <c r="C715" s="5">
        <v>4.5199999999999996</v>
      </c>
      <c r="D715" s="5">
        <v>3.29</v>
      </c>
      <c r="E715" s="5">
        <v>2.17</v>
      </c>
      <c r="F715" s="5">
        <v>1.24</v>
      </c>
      <c r="G715" s="5">
        <v>0.57999999999999996</v>
      </c>
      <c r="H715" s="5">
        <v>0.2</v>
      </c>
      <c r="I715" s="6">
        <v>-43.847614</v>
      </c>
    </row>
    <row r="716" spans="1:9" ht="60" x14ac:dyDescent="0.25">
      <c r="A716" s="1" t="s">
        <v>128</v>
      </c>
      <c r="B716" s="5">
        <v>0</v>
      </c>
      <c r="C716" s="5">
        <v>0</v>
      </c>
      <c r="D716" s="5">
        <v>0</v>
      </c>
      <c r="E716" s="5">
        <v>0</v>
      </c>
      <c r="F716" s="5">
        <v>0</v>
      </c>
      <c r="G716" s="5">
        <v>0</v>
      </c>
      <c r="H716" s="5">
        <v>0</v>
      </c>
      <c r="I716" s="7" t="s">
        <v>58</v>
      </c>
    </row>
    <row r="717" spans="1:9" ht="45" x14ac:dyDescent="0.25">
      <c r="A717" s="1" t="s">
        <v>129</v>
      </c>
      <c r="B717" s="7" t="s">
        <v>58</v>
      </c>
      <c r="C717" s="7" t="s">
        <v>58</v>
      </c>
      <c r="D717" s="7" t="s">
        <v>58</v>
      </c>
      <c r="E717" s="7" t="s">
        <v>58</v>
      </c>
      <c r="F717" s="7" t="s">
        <v>58</v>
      </c>
      <c r="G717" s="7" t="s">
        <v>58</v>
      </c>
      <c r="H717" s="7" t="s">
        <v>58</v>
      </c>
      <c r="I717" s="7" t="s">
        <v>58</v>
      </c>
    </row>
    <row r="718" spans="1:9" ht="45" x14ac:dyDescent="0.25">
      <c r="A718" s="1" t="s">
        <v>140</v>
      </c>
      <c r="B718" s="7" t="s">
        <v>58</v>
      </c>
      <c r="C718" s="7" t="s">
        <v>58</v>
      </c>
      <c r="D718" s="7" t="s">
        <v>58</v>
      </c>
      <c r="E718" s="7" t="s">
        <v>58</v>
      </c>
      <c r="F718" s="7" t="s">
        <v>58</v>
      </c>
      <c r="G718" s="7" t="s">
        <v>58</v>
      </c>
      <c r="H718" s="7" t="s">
        <v>58</v>
      </c>
      <c r="I718" s="7" t="s">
        <v>58</v>
      </c>
    </row>
    <row r="719" spans="1:9" ht="45" x14ac:dyDescent="0.25">
      <c r="A719" s="1" t="s">
        <v>141</v>
      </c>
      <c r="B719" s="7" t="s">
        <v>58</v>
      </c>
      <c r="C719" s="7" t="s">
        <v>58</v>
      </c>
      <c r="D719" s="7" t="s">
        <v>58</v>
      </c>
      <c r="E719" s="7" t="s">
        <v>58</v>
      </c>
      <c r="F719" s="7" t="s">
        <v>58</v>
      </c>
      <c r="G719" s="7" t="s">
        <v>58</v>
      </c>
      <c r="H719" s="7" t="s">
        <v>58</v>
      </c>
      <c r="I719" s="7" t="s">
        <v>58</v>
      </c>
    </row>
    <row r="720" spans="1:9" ht="45" x14ac:dyDescent="0.25">
      <c r="A720" s="1" t="s">
        <v>142</v>
      </c>
      <c r="B720" s="7" t="s">
        <v>58</v>
      </c>
      <c r="C720" s="7" t="s">
        <v>58</v>
      </c>
      <c r="D720" s="7" t="s">
        <v>58</v>
      </c>
      <c r="E720" s="7" t="s">
        <v>58</v>
      </c>
      <c r="F720" s="7" t="s">
        <v>58</v>
      </c>
      <c r="G720" s="7" t="s">
        <v>58</v>
      </c>
      <c r="H720" s="7" t="s">
        <v>58</v>
      </c>
      <c r="I720" s="7" t="s">
        <v>58</v>
      </c>
    </row>
    <row r="721" spans="1:9" ht="60" x14ac:dyDescent="0.25">
      <c r="A721" s="1" t="s">
        <v>133</v>
      </c>
      <c r="B721" s="7" t="s">
        <v>58</v>
      </c>
      <c r="C721" s="7" t="s">
        <v>58</v>
      </c>
      <c r="D721" s="7" t="s">
        <v>58</v>
      </c>
      <c r="E721" s="7" t="s">
        <v>58</v>
      </c>
      <c r="F721" s="7" t="s">
        <v>58</v>
      </c>
      <c r="G721" s="7" t="s">
        <v>58</v>
      </c>
      <c r="H721" s="7" t="s">
        <v>58</v>
      </c>
      <c r="I721" s="7" t="s">
        <v>58</v>
      </c>
    </row>
    <row r="722" spans="1:9" ht="60" x14ac:dyDescent="0.25">
      <c r="A722" s="1" t="s">
        <v>134</v>
      </c>
      <c r="B722" s="7" t="s">
        <v>58</v>
      </c>
      <c r="C722" s="7" t="s">
        <v>58</v>
      </c>
      <c r="D722" s="7" t="s">
        <v>58</v>
      </c>
      <c r="E722" s="7" t="s">
        <v>58</v>
      </c>
      <c r="F722" s="7" t="s">
        <v>58</v>
      </c>
      <c r="G722" s="7" t="s">
        <v>58</v>
      </c>
      <c r="H722" s="7" t="s">
        <v>58</v>
      </c>
      <c r="I722" s="7" t="s">
        <v>58</v>
      </c>
    </row>
    <row r="723" spans="1:9" x14ac:dyDescent="0.25">
      <c r="A723" s="1" t="s">
        <v>12</v>
      </c>
      <c r="B723" s="2"/>
      <c r="C723" s="2"/>
      <c r="D723" s="2"/>
      <c r="E723" s="2"/>
      <c r="F723" s="2"/>
      <c r="G723" s="2"/>
      <c r="H723" s="2"/>
      <c r="I723" s="2"/>
    </row>
    <row r="724" spans="1:9" x14ac:dyDescent="0.25">
      <c r="A724" s="8" t="s">
        <v>48</v>
      </c>
      <c r="B724" s="2"/>
      <c r="C724" s="2"/>
      <c r="D724" s="2"/>
      <c r="E724" s="2"/>
      <c r="F724" s="2"/>
      <c r="G724" s="2"/>
      <c r="H724" s="2"/>
      <c r="I724" s="2"/>
    </row>
    <row r="725" spans="1:9" ht="60" x14ac:dyDescent="0.25">
      <c r="A725" s="1" t="s">
        <v>13</v>
      </c>
      <c r="B725" s="5">
        <v>13.73</v>
      </c>
      <c r="C725" s="5">
        <v>17.48</v>
      </c>
      <c r="D725" s="5">
        <v>18.579999999999998</v>
      </c>
      <c r="E725" s="5">
        <v>19.37</v>
      </c>
      <c r="F725" s="5">
        <v>20.440000000000001</v>
      </c>
      <c r="G725" s="5">
        <v>21.24</v>
      </c>
      <c r="H725" s="5">
        <v>22.5</v>
      </c>
      <c r="I725" s="6">
        <v>8.5805399999999992</v>
      </c>
    </row>
    <row r="726" spans="1:9" ht="60" x14ac:dyDescent="0.25">
      <c r="A726" s="1" t="s">
        <v>117</v>
      </c>
      <c r="B726" s="5">
        <v>0.25</v>
      </c>
      <c r="C726" s="5">
        <v>0.22</v>
      </c>
      <c r="D726" s="5">
        <v>0.2</v>
      </c>
      <c r="E726" s="5">
        <v>0.18</v>
      </c>
      <c r="F726" s="5">
        <v>0.18</v>
      </c>
      <c r="G726" s="5">
        <v>0.16</v>
      </c>
      <c r="H726" s="5">
        <v>0.15</v>
      </c>
      <c r="I726" s="6">
        <v>-8.1614100000000001</v>
      </c>
    </row>
    <row r="727" spans="1:9" ht="60" x14ac:dyDescent="0.25">
      <c r="A727" s="1" t="s">
        <v>118</v>
      </c>
      <c r="B727" s="5">
        <v>0.35</v>
      </c>
      <c r="C727" s="5">
        <v>0.3</v>
      </c>
      <c r="D727" s="5">
        <v>0.24</v>
      </c>
      <c r="E727" s="5">
        <v>0.19</v>
      </c>
      <c r="F727" s="5">
        <v>0.16</v>
      </c>
      <c r="G727" s="5">
        <v>0.12</v>
      </c>
      <c r="H727" s="5">
        <v>0.08</v>
      </c>
      <c r="I727" s="6">
        <v>-21.806559</v>
      </c>
    </row>
    <row r="728" spans="1:9" ht="60" x14ac:dyDescent="0.25">
      <c r="A728" s="1" t="s">
        <v>119</v>
      </c>
      <c r="B728" s="5">
        <v>10.37</v>
      </c>
      <c r="C728" s="5">
        <v>11.46</v>
      </c>
      <c r="D728" s="5">
        <v>12.22</v>
      </c>
      <c r="E728" s="5">
        <v>12.74</v>
      </c>
      <c r="F728" s="5">
        <v>13.24</v>
      </c>
      <c r="G728" s="5">
        <v>13.67</v>
      </c>
      <c r="H728" s="5">
        <v>14.59</v>
      </c>
      <c r="I728" s="6">
        <v>5.8553360000000003</v>
      </c>
    </row>
    <row r="729" spans="1:9" ht="60" x14ac:dyDescent="0.25">
      <c r="A729" s="1" t="s">
        <v>120</v>
      </c>
      <c r="B729" s="5">
        <v>0</v>
      </c>
      <c r="C729" s="5">
        <v>0</v>
      </c>
      <c r="D729" s="5">
        <v>0</v>
      </c>
      <c r="E729" s="5">
        <v>0</v>
      </c>
      <c r="F729" s="5">
        <v>0</v>
      </c>
      <c r="G729" s="5">
        <v>0</v>
      </c>
      <c r="H729" s="5">
        <v>0</v>
      </c>
      <c r="I729" s="7" t="s">
        <v>58</v>
      </c>
    </row>
    <row r="730" spans="1:9" ht="75" x14ac:dyDescent="0.25">
      <c r="A730" s="1" t="s">
        <v>121</v>
      </c>
      <c r="B730" s="5">
        <v>1.54</v>
      </c>
      <c r="C730" s="5">
        <v>4.3</v>
      </c>
      <c r="D730" s="5">
        <v>4.83</v>
      </c>
      <c r="E730" s="5">
        <v>5.15</v>
      </c>
      <c r="F730" s="5">
        <v>5.8</v>
      </c>
      <c r="G730" s="5">
        <v>6.32</v>
      </c>
      <c r="H730" s="5">
        <v>6.81</v>
      </c>
      <c r="I730" s="6">
        <v>28.116302999999998</v>
      </c>
    </row>
    <row r="731" spans="1:9" ht="75" x14ac:dyDescent="0.25">
      <c r="A731" s="1" t="s">
        <v>122</v>
      </c>
      <c r="B731" s="5">
        <v>1.23</v>
      </c>
      <c r="C731" s="5">
        <v>1.2</v>
      </c>
      <c r="D731" s="5">
        <v>1.08</v>
      </c>
      <c r="E731" s="5">
        <v>1.1100000000000001</v>
      </c>
      <c r="F731" s="5">
        <v>1.05</v>
      </c>
      <c r="G731" s="5">
        <v>0.98</v>
      </c>
      <c r="H731" s="5">
        <v>0.87</v>
      </c>
      <c r="I731" s="6">
        <v>-5.6078910000000004</v>
      </c>
    </row>
    <row r="732" spans="1:9" ht="60" x14ac:dyDescent="0.25">
      <c r="A732" s="1" t="s">
        <v>123</v>
      </c>
      <c r="B732" s="5">
        <v>1.82</v>
      </c>
      <c r="C732" s="5">
        <v>1.25</v>
      </c>
      <c r="D732" s="5">
        <v>1.0900000000000001</v>
      </c>
      <c r="E732" s="5">
        <v>0.94</v>
      </c>
      <c r="F732" s="5">
        <v>0.9</v>
      </c>
      <c r="G732" s="5">
        <v>0.76</v>
      </c>
      <c r="H732" s="5">
        <v>0.67</v>
      </c>
      <c r="I732" s="6">
        <v>-15.34215</v>
      </c>
    </row>
    <row r="733" spans="1:9" ht="60" x14ac:dyDescent="0.25">
      <c r="A733" s="1" t="s">
        <v>124</v>
      </c>
      <c r="B733" s="5">
        <v>2.5099999999999998</v>
      </c>
      <c r="C733" s="5">
        <v>1.71</v>
      </c>
      <c r="D733" s="5">
        <v>1.27</v>
      </c>
      <c r="E733" s="5">
        <v>0.99</v>
      </c>
      <c r="F733" s="5">
        <v>0.78</v>
      </c>
      <c r="G733" s="5">
        <v>0.56000000000000005</v>
      </c>
      <c r="H733" s="5">
        <v>0.34</v>
      </c>
      <c r="I733" s="6">
        <v>-28.336030000000001</v>
      </c>
    </row>
    <row r="734" spans="1:9" ht="60" x14ac:dyDescent="0.25">
      <c r="A734" s="1" t="s">
        <v>125</v>
      </c>
      <c r="B734" s="5">
        <v>75.48</v>
      </c>
      <c r="C734" s="5">
        <v>65.59</v>
      </c>
      <c r="D734" s="5">
        <v>65.78</v>
      </c>
      <c r="E734" s="5">
        <v>65.78</v>
      </c>
      <c r="F734" s="5">
        <v>64.77</v>
      </c>
      <c r="G734" s="5">
        <v>64.34</v>
      </c>
      <c r="H734" s="5">
        <v>64.849999999999994</v>
      </c>
      <c r="I734" s="6">
        <v>-2.4981140000000002</v>
      </c>
    </row>
    <row r="735" spans="1:9" ht="60" x14ac:dyDescent="0.25">
      <c r="A735" s="1" t="s">
        <v>126</v>
      </c>
      <c r="B735" s="5">
        <v>0.01</v>
      </c>
      <c r="C735" s="5">
        <v>0.01</v>
      </c>
      <c r="D735" s="5">
        <v>0.01</v>
      </c>
      <c r="E735" s="5">
        <v>0.01</v>
      </c>
      <c r="F735" s="5">
        <v>0.01</v>
      </c>
      <c r="G735" s="5">
        <v>0.01</v>
      </c>
      <c r="H735" s="5">
        <v>0.01</v>
      </c>
      <c r="I735" s="6">
        <v>0</v>
      </c>
    </row>
    <row r="736" spans="1:9" ht="75" x14ac:dyDescent="0.25">
      <c r="A736" s="1" t="s">
        <v>127</v>
      </c>
      <c r="B736" s="5">
        <v>11.23</v>
      </c>
      <c r="C736" s="5">
        <v>24.59</v>
      </c>
      <c r="D736" s="5">
        <v>26.02</v>
      </c>
      <c r="E736" s="5">
        <v>26.58</v>
      </c>
      <c r="F736" s="5">
        <v>28.4</v>
      </c>
      <c r="G736" s="5">
        <v>29.74</v>
      </c>
      <c r="H736" s="5">
        <v>30.27</v>
      </c>
      <c r="I736" s="6">
        <v>17.970144000000001</v>
      </c>
    </row>
    <row r="737" spans="1:9" ht="60" x14ac:dyDescent="0.25">
      <c r="A737" s="1" t="s">
        <v>128</v>
      </c>
      <c r="B737" s="5">
        <v>8.9499999999999993</v>
      </c>
      <c r="C737" s="5">
        <v>6.85</v>
      </c>
      <c r="D737" s="5">
        <v>5.84</v>
      </c>
      <c r="E737" s="5">
        <v>5.71</v>
      </c>
      <c r="F737" s="5">
        <v>5.15</v>
      </c>
      <c r="G737" s="5">
        <v>4.5999999999999996</v>
      </c>
      <c r="H737" s="5">
        <v>3.86</v>
      </c>
      <c r="I737" s="6">
        <v>-13.078467</v>
      </c>
    </row>
    <row r="738" spans="1:9" ht="45" x14ac:dyDescent="0.25">
      <c r="A738" s="1" t="s">
        <v>129</v>
      </c>
      <c r="B738" s="5">
        <v>5.64</v>
      </c>
      <c r="C738" s="5">
        <v>5.63</v>
      </c>
      <c r="D738" s="5">
        <v>5.68</v>
      </c>
      <c r="E738" s="5">
        <v>5.76</v>
      </c>
      <c r="F738" s="5">
        <v>5.85</v>
      </c>
      <c r="G738" s="5">
        <v>5.94</v>
      </c>
      <c r="H738" s="5">
        <v>6.03</v>
      </c>
      <c r="I738" s="6">
        <v>1.1206147906739794</v>
      </c>
    </row>
    <row r="739" spans="1:9" ht="45" x14ac:dyDescent="0.25">
      <c r="A739" s="1" t="s">
        <v>140</v>
      </c>
      <c r="B739" s="5">
        <v>3.94</v>
      </c>
      <c r="C739" s="5">
        <v>4.29</v>
      </c>
      <c r="D739" s="5">
        <v>4.5999999999999996</v>
      </c>
      <c r="E739" s="5">
        <v>4.8</v>
      </c>
      <c r="F739" s="5">
        <v>5.01</v>
      </c>
      <c r="G739" s="5">
        <v>5.25</v>
      </c>
      <c r="H739" s="5">
        <v>5.46</v>
      </c>
      <c r="I739" s="6">
        <v>5.5883659999999997</v>
      </c>
    </row>
    <row r="740" spans="1:9" ht="45" x14ac:dyDescent="0.25">
      <c r="A740" s="1" t="s">
        <v>141</v>
      </c>
      <c r="B740" s="5">
        <v>3.12</v>
      </c>
      <c r="C740" s="5">
        <v>3.38</v>
      </c>
      <c r="D740" s="5">
        <v>3.62</v>
      </c>
      <c r="E740" s="5">
        <v>3.76</v>
      </c>
      <c r="F740" s="5">
        <v>3.92</v>
      </c>
      <c r="G740" s="5">
        <v>4.0999999999999996</v>
      </c>
      <c r="H740" s="5">
        <v>4.25</v>
      </c>
      <c r="I740" s="6">
        <v>5.2864269999999998</v>
      </c>
    </row>
    <row r="741" spans="1:9" ht="45" x14ac:dyDescent="0.25">
      <c r="A741" s="1" t="s">
        <v>142</v>
      </c>
      <c r="B741" s="5">
        <v>6.18</v>
      </c>
      <c r="C741" s="5">
        <v>6.54</v>
      </c>
      <c r="D741" s="5">
        <v>6.83</v>
      </c>
      <c r="E741" s="5">
        <v>6.93</v>
      </c>
      <c r="F741" s="5">
        <v>7.04</v>
      </c>
      <c r="G741" s="5">
        <v>7.18</v>
      </c>
      <c r="H741" s="5">
        <v>7.27</v>
      </c>
      <c r="I741" s="6">
        <v>2.744281</v>
      </c>
    </row>
    <row r="742" spans="1:9" ht="60" x14ac:dyDescent="0.25">
      <c r="A742" s="1" t="s">
        <v>133</v>
      </c>
      <c r="B742" s="5">
        <v>34.538163529999999</v>
      </c>
      <c r="C742" s="5">
        <v>36.538197910000001</v>
      </c>
      <c r="D742" s="5">
        <v>37.915654330000002</v>
      </c>
      <c r="E742" s="5">
        <v>38.23871853</v>
      </c>
      <c r="F742" s="5">
        <v>38.463444819999999</v>
      </c>
      <c r="G742" s="5">
        <v>38.787992529999997</v>
      </c>
      <c r="H742" s="5">
        <v>38.638253059999997</v>
      </c>
      <c r="I742" s="6">
        <v>1.8872186402352442</v>
      </c>
    </row>
    <row r="743" spans="1:9" ht="60" x14ac:dyDescent="0.25">
      <c r="A743" s="1" t="s">
        <v>134</v>
      </c>
      <c r="B743" s="5">
        <v>2.52</v>
      </c>
      <c r="C743" s="5">
        <v>2.75</v>
      </c>
      <c r="D743" s="5">
        <v>2.91</v>
      </c>
      <c r="E743" s="5">
        <v>2.97</v>
      </c>
      <c r="F743" s="5">
        <v>3.05</v>
      </c>
      <c r="G743" s="5">
        <v>3.17</v>
      </c>
      <c r="H743" s="5">
        <v>3.31</v>
      </c>
      <c r="I743" s="6">
        <v>4.6496810000000002</v>
      </c>
    </row>
    <row r="744" spans="1:9" x14ac:dyDescent="0.25">
      <c r="A744" s="1" t="s">
        <v>12</v>
      </c>
      <c r="B744" s="2"/>
      <c r="C744" s="2"/>
      <c r="D744" s="2"/>
      <c r="E744" s="2"/>
      <c r="F744" s="2"/>
      <c r="G744" s="2"/>
      <c r="H744" s="2"/>
      <c r="I744" s="2"/>
    </row>
    <row r="745" spans="1:9" x14ac:dyDescent="0.25">
      <c r="A745" s="8" t="s">
        <v>49</v>
      </c>
      <c r="B745" s="2"/>
      <c r="C745" s="2"/>
      <c r="D745" s="2"/>
      <c r="E745" s="2"/>
      <c r="F745" s="2"/>
      <c r="G745" s="2"/>
      <c r="H745" s="2"/>
      <c r="I745" s="2"/>
    </row>
    <row r="746" spans="1:9" ht="60" x14ac:dyDescent="0.25">
      <c r="A746" s="1" t="s">
        <v>13</v>
      </c>
      <c r="B746" s="5">
        <v>22.17</v>
      </c>
      <c r="C746" s="5">
        <v>24.28</v>
      </c>
      <c r="D746" s="5">
        <v>25.17</v>
      </c>
      <c r="E746" s="5">
        <v>25.95</v>
      </c>
      <c r="F746" s="5">
        <v>28.02</v>
      </c>
      <c r="G746" s="5">
        <v>29.57</v>
      </c>
      <c r="H746" s="5">
        <v>29.89</v>
      </c>
      <c r="I746" s="6">
        <v>5.1058050000000001</v>
      </c>
    </row>
    <row r="747" spans="1:9" ht="60" x14ac:dyDescent="0.25">
      <c r="A747" s="1" t="s">
        <v>117</v>
      </c>
      <c r="B747" s="5">
        <v>0.92</v>
      </c>
      <c r="C747" s="5">
        <v>0.93</v>
      </c>
      <c r="D747" s="5">
        <v>0.93</v>
      </c>
      <c r="E747" s="5">
        <v>0.94</v>
      </c>
      <c r="F747" s="5">
        <v>0.94</v>
      </c>
      <c r="G747" s="5">
        <v>0.95</v>
      </c>
      <c r="H747" s="5">
        <v>0.95</v>
      </c>
      <c r="I747" s="6">
        <v>0.53623799999999999</v>
      </c>
    </row>
    <row r="748" spans="1:9" ht="60" x14ac:dyDescent="0.25">
      <c r="A748" s="1" t="s">
        <v>118</v>
      </c>
      <c r="B748" s="5">
        <v>1.49</v>
      </c>
      <c r="C748" s="5">
        <v>1.22</v>
      </c>
      <c r="D748" s="5">
        <v>1.1299999999999999</v>
      </c>
      <c r="E748" s="5">
        <v>1.06</v>
      </c>
      <c r="F748" s="5">
        <v>1.01</v>
      </c>
      <c r="G748" s="5">
        <v>0.97</v>
      </c>
      <c r="H748" s="5">
        <v>0.94</v>
      </c>
      <c r="I748" s="6">
        <v>-7.3902029999999996</v>
      </c>
    </row>
    <row r="749" spans="1:9" ht="60" x14ac:dyDescent="0.25">
      <c r="A749" s="1" t="s">
        <v>119</v>
      </c>
      <c r="B749" s="5">
        <v>19.66</v>
      </c>
      <c r="C749" s="5">
        <v>22.04</v>
      </c>
      <c r="D749" s="5">
        <v>23.01</v>
      </c>
      <c r="E749" s="5">
        <v>23.84</v>
      </c>
      <c r="F749" s="5">
        <v>25.95</v>
      </c>
      <c r="G749" s="5">
        <v>27.53</v>
      </c>
      <c r="H749" s="5">
        <v>27.88</v>
      </c>
      <c r="I749" s="6">
        <v>5.9948769999999998</v>
      </c>
    </row>
    <row r="750" spans="1:9" ht="60" x14ac:dyDescent="0.25">
      <c r="A750" s="1" t="s">
        <v>120</v>
      </c>
      <c r="B750" s="5">
        <v>0.01</v>
      </c>
      <c r="C750" s="5">
        <v>0.01</v>
      </c>
      <c r="D750" s="5">
        <v>0.01</v>
      </c>
      <c r="E750" s="5">
        <v>0.01</v>
      </c>
      <c r="F750" s="5">
        <v>0.01</v>
      </c>
      <c r="G750" s="5">
        <v>0.01</v>
      </c>
      <c r="H750" s="5">
        <v>0.01</v>
      </c>
      <c r="I750" s="6">
        <v>0</v>
      </c>
    </row>
    <row r="751" spans="1:9" ht="75" x14ac:dyDescent="0.25">
      <c r="A751" s="1" t="s">
        <v>121</v>
      </c>
      <c r="B751" s="5">
        <v>0.09</v>
      </c>
      <c r="C751" s="5">
        <v>0.09</v>
      </c>
      <c r="D751" s="5">
        <v>0.09</v>
      </c>
      <c r="E751" s="5">
        <v>0.1</v>
      </c>
      <c r="F751" s="5">
        <v>0.1</v>
      </c>
      <c r="G751" s="5">
        <v>0.11</v>
      </c>
      <c r="H751" s="5">
        <v>0.11</v>
      </c>
      <c r="I751" s="6">
        <v>3.4010690000000001</v>
      </c>
    </row>
    <row r="752" spans="1:9" ht="75" x14ac:dyDescent="0.25">
      <c r="A752" s="1" t="s">
        <v>122</v>
      </c>
      <c r="B752" s="5">
        <v>0</v>
      </c>
      <c r="C752" s="5">
        <v>0</v>
      </c>
      <c r="D752" s="5">
        <v>0</v>
      </c>
      <c r="E752" s="5">
        <v>0</v>
      </c>
      <c r="F752" s="5">
        <v>0</v>
      </c>
      <c r="G752" s="5">
        <v>0</v>
      </c>
      <c r="H752" s="5">
        <v>0</v>
      </c>
      <c r="I752" s="7" t="s">
        <v>58</v>
      </c>
    </row>
    <row r="753" spans="1:9" ht="60" x14ac:dyDescent="0.25">
      <c r="A753" s="1" t="s">
        <v>123</v>
      </c>
      <c r="B753" s="5">
        <v>4.16</v>
      </c>
      <c r="C753" s="5">
        <v>3.82</v>
      </c>
      <c r="D753" s="5">
        <v>3.71</v>
      </c>
      <c r="E753" s="5">
        <v>3.62</v>
      </c>
      <c r="F753" s="5">
        <v>3.37</v>
      </c>
      <c r="G753" s="5">
        <v>3.2</v>
      </c>
      <c r="H753" s="5">
        <v>3.18</v>
      </c>
      <c r="I753" s="6">
        <v>-4.3784830000000001</v>
      </c>
    </row>
    <row r="754" spans="1:9" ht="60" x14ac:dyDescent="0.25">
      <c r="A754" s="1" t="s">
        <v>124</v>
      </c>
      <c r="B754" s="5">
        <v>6.72</v>
      </c>
      <c r="C754" s="5">
        <v>5.01</v>
      </c>
      <c r="D754" s="5">
        <v>4.49</v>
      </c>
      <c r="E754" s="5">
        <v>4.0999999999999996</v>
      </c>
      <c r="F754" s="5">
        <v>3.62</v>
      </c>
      <c r="G754" s="5">
        <v>3.29</v>
      </c>
      <c r="H754" s="5">
        <v>3.14</v>
      </c>
      <c r="I754" s="6">
        <v>-11.909976</v>
      </c>
    </row>
    <row r="755" spans="1:9" ht="60" x14ac:dyDescent="0.25">
      <c r="A755" s="1" t="s">
        <v>125</v>
      </c>
      <c r="B755" s="5">
        <v>88.68</v>
      </c>
      <c r="C755" s="5">
        <v>90.76</v>
      </c>
      <c r="D755" s="5">
        <v>91.39</v>
      </c>
      <c r="E755" s="5">
        <v>91.86</v>
      </c>
      <c r="F755" s="5">
        <v>92.62</v>
      </c>
      <c r="G755" s="5">
        <v>93.12</v>
      </c>
      <c r="H755" s="5">
        <v>93.27</v>
      </c>
      <c r="I755" s="6">
        <v>0.84461600000000003</v>
      </c>
    </row>
    <row r="756" spans="1:9" ht="60" x14ac:dyDescent="0.25">
      <c r="A756" s="1" t="s">
        <v>126</v>
      </c>
      <c r="B756" s="5">
        <v>0.05</v>
      </c>
      <c r="C756" s="5">
        <v>0.04</v>
      </c>
      <c r="D756" s="5">
        <v>0.04</v>
      </c>
      <c r="E756" s="5">
        <v>0.04</v>
      </c>
      <c r="F756" s="5">
        <v>0.03</v>
      </c>
      <c r="G756" s="5">
        <v>0.02</v>
      </c>
      <c r="H756" s="5">
        <v>0.02</v>
      </c>
      <c r="I756" s="6">
        <v>-14.162578</v>
      </c>
    </row>
    <row r="757" spans="1:9" ht="75" x14ac:dyDescent="0.25">
      <c r="A757" s="1" t="s">
        <v>127</v>
      </c>
      <c r="B757" s="5">
        <v>0.39</v>
      </c>
      <c r="C757" s="5">
        <v>0.37</v>
      </c>
      <c r="D757" s="5">
        <v>0.37</v>
      </c>
      <c r="E757" s="5">
        <v>0.38</v>
      </c>
      <c r="F757" s="5">
        <v>0.37</v>
      </c>
      <c r="G757" s="5">
        <v>0.37</v>
      </c>
      <c r="H757" s="5">
        <v>0.38</v>
      </c>
      <c r="I757" s="6">
        <v>-0.43198900000000001</v>
      </c>
    </row>
    <row r="758" spans="1:9" ht="60" x14ac:dyDescent="0.25">
      <c r="A758" s="1" t="s">
        <v>128</v>
      </c>
      <c r="B758" s="5">
        <v>0</v>
      </c>
      <c r="C758" s="5">
        <v>0</v>
      </c>
      <c r="D758" s="5">
        <v>0</v>
      </c>
      <c r="E758" s="5">
        <v>0</v>
      </c>
      <c r="F758" s="5">
        <v>0</v>
      </c>
      <c r="G758" s="5">
        <v>0</v>
      </c>
      <c r="H758" s="5">
        <v>0</v>
      </c>
      <c r="I758" s="7" t="s">
        <v>58</v>
      </c>
    </row>
    <row r="759" spans="1:9" ht="45" x14ac:dyDescent="0.25">
      <c r="A759" s="1" t="s">
        <v>129</v>
      </c>
      <c r="B759" s="5">
        <v>11.23</v>
      </c>
      <c r="C759" s="5">
        <v>11.7</v>
      </c>
      <c r="D759" s="5">
        <v>12.14</v>
      </c>
      <c r="E759" s="5">
        <v>12.25</v>
      </c>
      <c r="F759" s="5">
        <v>12.56</v>
      </c>
      <c r="G759" s="5">
        <v>12.97</v>
      </c>
      <c r="H759" s="5">
        <v>13.16</v>
      </c>
      <c r="I759" s="6">
        <v>2.678462157020034</v>
      </c>
    </row>
    <row r="760" spans="1:9" ht="45" x14ac:dyDescent="0.25">
      <c r="A760" s="1" t="s">
        <v>140</v>
      </c>
      <c r="B760" s="5">
        <v>8.57</v>
      </c>
      <c r="C760" s="5">
        <v>8.82</v>
      </c>
      <c r="D760" s="5">
        <v>9.07</v>
      </c>
      <c r="E760" s="5">
        <v>9.09</v>
      </c>
      <c r="F760" s="5">
        <v>9.26</v>
      </c>
      <c r="G760" s="5">
        <v>9.5</v>
      </c>
      <c r="H760" s="5">
        <v>9.58</v>
      </c>
      <c r="I760" s="6">
        <v>1.874177</v>
      </c>
    </row>
    <row r="761" spans="1:9" ht="45" x14ac:dyDescent="0.25">
      <c r="A761" s="1" t="s">
        <v>141</v>
      </c>
      <c r="B761" s="5">
        <v>7.34</v>
      </c>
      <c r="C761" s="5">
        <v>7.48</v>
      </c>
      <c r="D761" s="5">
        <v>7.61</v>
      </c>
      <c r="E761" s="5">
        <v>7.56</v>
      </c>
      <c r="F761" s="5">
        <v>7.62</v>
      </c>
      <c r="G761" s="5">
        <v>7.74</v>
      </c>
      <c r="H761" s="5">
        <v>7.73</v>
      </c>
      <c r="I761" s="6">
        <v>0.86656699999999998</v>
      </c>
    </row>
    <row r="762" spans="1:9" ht="45" x14ac:dyDescent="0.25">
      <c r="A762" s="1" t="s">
        <v>142</v>
      </c>
      <c r="B762" s="5">
        <v>11.73</v>
      </c>
      <c r="C762" s="5">
        <v>12.13</v>
      </c>
      <c r="D762" s="5">
        <v>12.53</v>
      </c>
      <c r="E762" s="5">
        <v>12.62</v>
      </c>
      <c r="F762" s="5">
        <v>12.92</v>
      </c>
      <c r="G762" s="5">
        <v>13.31</v>
      </c>
      <c r="H762" s="5">
        <v>13.5</v>
      </c>
      <c r="I762" s="6">
        <v>2.3699819999999998</v>
      </c>
    </row>
    <row r="763" spans="1:9" ht="60" x14ac:dyDescent="0.25">
      <c r="A763" s="1" t="s">
        <v>133</v>
      </c>
      <c r="B763" s="5">
        <v>15.339287519999999</v>
      </c>
      <c r="C763" s="5">
        <v>15.86230772</v>
      </c>
      <c r="D763" s="5">
        <v>15.81029549</v>
      </c>
      <c r="E763" s="5">
        <v>16.064736280000002</v>
      </c>
      <c r="F763" s="5">
        <v>16.044696330000001</v>
      </c>
      <c r="G763" s="5">
        <v>15.68311692</v>
      </c>
      <c r="H763" s="5">
        <v>15.55371047</v>
      </c>
      <c r="I763" s="6">
        <v>0.23163246491118006</v>
      </c>
    </row>
    <row r="764" spans="1:9" ht="60" x14ac:dyDescent="0.25">
      <c r="A764" s="1" t="s">
        <v>134</v>
      </c>
      <c r="B764" s="5">
        <v>4.93</v>
      </c>
      <c r="C764" s="5">
        <v>4.97</v>
      </c>
      <c r="D764" s="5">
        <v>5.01</v>
      </c>
      <c r="E764" s="5">
        <v>4.92</v>
      </c>
      <c r="F764" s="5">
        <v>4.91</v>
      </c>
      <c r="G764" s="5">
        <v>4.9400000000000004</v>
      </c>
      <c r="H764" s="5">
        <v>4.8899999999999997</v>
      </c>
      <c r="I764" s="6">
        <v>-0.135686</v>
      </c>
    </row>
    <row r="765" spans="1:9" x14ac:dyDescent="0.25">
      <c r="A765" s="1" t="s">
        <v>12</v>
      </c>
      <c r="B765" s="2"/>
      <c r="C765" s="2"/>
      <c r="D765" s="2"/>
      <c r="E765" s="2"/>
      <c r="F765" s="2"/>
      <c r="G765" s="2"/>
      <c r="H765" s="2"/>
      <c r="I765" s="2"/>
    </row>
    <row r="766" spans="1:9" x14ac:dyDescent="0.25">
      <c r="A766" s="8" t="s">
        <v>50</v>
      </c>
      <c r="B766" s="2"/>
      <c r="C766" s="2"/>
      <c r="D766" s="2"/>
      <c r="E766" s="2"/>
      <c r="F766" s="2"/>
      <c r="G766" s="2"/>
      <c r="H766" s="2"/>
      <c r="I766" s="2"/>
    </row>
    <row r="767" spans="1:9" ht="60" x14ac:dyDescent="0.25">
      <c r="A767" s="1" t="s">
        <v>13</v>
      </c>
      <c r="B767" s="5">
        <v>12.66</v>
      </c>
      <c r="C767" s="5">
        <v>14.55</v>
      </c>
      <c r="D767" s="5">
        <v>15.37</v>
      </c>
      <c r="E767" s="5">
        <v>16.16</v>
      </c>
      <c r="F767" s="5">
        <v>17.02</v>
      </c>
      <c r="G767" s="5">
        <v>17.940000000000001</v>
      </c>
      <c r="H767" s="5">
        <v>18.8</v>
      </c>
      <c r="I767" s="6">
        <v>6.8121580000000002</v>
      </c>
    </row>
    <row r="768" spans="1:9" ht="60" x14ac:dyDescent="0.25">
      <c r="A768" s="1" t="s">
        <v>117</v>
      </c>
      <c r="B768" s="5">
        <v>0</v>
      </c>
      <c r="C768" s="5">
        <v>0</v>
      </c>
      <c r="D768" s="5">
        <v>0</v>
      </c>
      <c r="E768" s="5">
        <v>0</v>
      </c>
      <c r="F768" s="5">
        <v>0</v>
      </c>
      <c r="G768" s="5">
        <v>0</v>
      </c>
      <c r="H768" s="5">
        <v>0</v>
      </c>
      <c r="I768" s="7" t="s">
        <v>58</v>
      </c>
    </row>
    <row r="769" spans="1:9" ht="60" x14ac:dyDescent="0.25">
      <c r="A769" s="1" t="s">
        <v>118</v>
      </c>
      <c r="B769" s="5">
        <v>4.18</v>
      </c>
      <c r="C769" s="5">
        <v>4.42</v>
      </c>
      <c r="D769" s="5">
        <v>4.68</v>
      </c>
      <c r="E769" s="5">
        <v>4.96</v>
      </c>
      <c r="F769" s="5">
        <v>5.25</v>
      </c>
      <c r="G769" s="5">
        <v>5.56</v>
      </c>
      <c r="H769" s="5">
        <v>5.74</v>
      </c>
      <c r="I769" s="6">
        <v>5.4279919999999997</v>
      </c>
    </row>
    <row r="770" spans="1:9" ht="60" x14ac:dyDescent="0.25">
      <c r="A770" s="1" t="s">
        <v>119</v>
      </c>
      <c r="B770" s="5">
        <v>1.86</v>
      </c>
      <c r="C770" s="5">
        <v>2.2000000000000002</v>
      </c>
      <c r="D770" s="5">
        <v>2.6</v>
      </c>
      <c r="E770" s="5">
        <v>2.95</v>
      </c>
      <c r="F770" s="5">
        <v>3.34</v>
      </c>
      <c r="G770" s="5">
        <v>3.79</v>
      </c>
      <c r="H770" s="5">
        <v>4.3</v>
      </c>
      <c r="I770" s="6">
        <v>14.989782</v>
      </c>
    </row>
    <row r="771" spans="1:9" ht="60" x14ac:dyDescent="0.25">
      <c r="A771" s="1" t="s">
        <v>120</v>
      </c>
      <c r="B771" s="5">
        <v>0.17</v>
      </c>
      <c r="C771" s="5">
        <v>0.17</v>
      </c>
      <c r="D771" s="5">
        <v>0.18</v>
      </c>
      <c r="E771" s="5">
        <v>0.18</v>
      </c>
      <c r="F771" s="5">
        <v>0.18</v>
      </c>
      <c r="G771" s="5">
        <v>0.18</v>
      </c>
      <c r="H771" s="5">
        <v>0.18</v>
      </c>
      <c r="I771" s="6">
        <v>0.95719200000000004</v>
      </c>
    </row>
    <row r="772" spans="1:9" ht="75" x14ac:dyDescent="0.25">
      <c r="A772" s="1" t="s">
        <v>121</v>
      </c>
      <c r="B772" s="5">
        <v>6.45</v>
      </c>
      <c r="C772" s="5">
        <v>7.75</v>
      </c>
      <c r="D772" s="5">
        <v>7.91</v>
      </c>
      <c r="E772" s="5">
        <v>8.07</v>
      </c>
      <c r="F772" s="5">
        <v>8.24</v>
      </c>
      <c r="G772" s="5">
        <v>8.4</v>
      </c>
      <c r="H772" s="5">
        <v>8.57</v>
      </c>
      <c r="I772" s="6">
        <v>4.850422</v>
      </c>
    </row>
    <row r="773" spans="1:9" ht="75" x14ac:dyDescent="0.25">
      <c r="A773" s="1" t="s">
        <v>122</v>
      </c>
      <c r="B773" s="5">
        <v>0</v>
      </c>
      <c r="C773" s="5">
        <v>0</v>
      </c>
      <c r="D773" s="5">
        <v>0</v>
      </c>
      <c r="E773" s="5">
        <v>0</v>
      </c>
      <c r="F773" s="5">
        <v>0</v>
      </c>
      <c r="G773" s="5">
        <v>0</v>
      </c>
      <c r="H773" s="5">
        <v>0</v>
      </c>
      <c r="I773" s="7" t="s">
        <v>58</v>
      </c>
    </row>
    <row r="774" spans="1:9" ht="60" x14ac:dyDescent="0.25">
      <c r="A774" s="1" t="s">
        <v>123</v>
      </c>
      <c r="B774" s="5">
        <v>0</v>
      </c>
      <c r="C774" s="5">
        <v>0</v>
      </c>
      <c r="D774" s="5">
        <v>0</v>
      </c>
      <c r="E774" s="5">
        <v>0</v>
      </c>
      <c r="F774" s="5">
        <v>0</v>
      </c>
      <c r="G774" s="5">
        <v>0</v>
      </c>
      <c r="H774" s="5">
        <v>0</v>
      </c>
      <c r="I774" s="7" t="s">
        <v>58</v>
      </c>
    </row>
    <row r="775" spans="1:9" ht="60" x14ac:dyDescent="0.25">
      <c r="A775" s="1" t="s">
        <v>124</v>
      </c>
      <c r="B775" s="5">
        <v>33</v>
      </c>
      <c r="C775" s="5">
        <v>30.39</v>
      </c>
      <c r="D775" s="5">
        <v>30.46</v>
      </c>
      <c r="E775" s="5">
        <v>30.69</v>
      </c>
      <c r="F775" s="5">
        <v>30.87</v>
      </c>
      <c r="G775" s="5">
        <v>31</v>
      </c>
      <c r="H775" s="5">
        <v>30.54</v>
      </c>
      <c r="I775" s="6">
        <v>-1.2828710000000001</v>
      </c>
    </row>
    <row r="776" spans="1:9" ht="60" x14ac:dyDescent="0.25">
      <c r="A776" s="1" t="s">
        <v>125</v>
      </c>
      <c r="B776" s="5">
        <v>14.7</v>
      </c>
      <c r="C776" s="5">
        <v>15.12</v>
      </c>
      <c r="D776" s="5">
        <v>16.93</v>
      </c>
      <c r="E776" s="5">
        <v>18.25</v>
      </c>
      <c r="F776" s="5">
        <v>19.66</v>
      </c>
      <c r="G776" s="5">
        <v>21.14</v>
      </c>
      <c r="H776" s="5">
        <v>22.87</v>
      </c>
      <c r="I776" s="6">
        <v>7.6444070000000002</v>
      </c>
    </row>
    <row r="777" spans="1:9" ht="60" x14ac:dyDescent="0.25">
      <c r="A777" s="1" t="s">
        <v>126</v>
      </c>
      <c r="B777" s="5">
        <v>1.34</v>
      </c>
      <c r="C777" s="5">
        <v>1.2</v>
      </c>
      <c r="D777" s="5">
        <v>1.1599999999999999</v>
      </c>
      <c r="E777" s="5">
        <v>1.1200000000000001</v>
      </c>
      <c r="F777" s="5">
        <v>1.08</v>
      </c>
      <c r="G777" s="5">
        <v>1.02</v>
      </c>
      <c r="H777" s="5">
        <v>0.97</v>
      </c>
      <c r="I777" s="6">
        <v>-5.2430320000000004</v>
      </c>
    </row>
    <row r="778" spans="1:9" ht="75" x14ac:dyDescent="0.25">
      <c r="A778" s="1" t="s">
        <v>127</v>
      </c>
      <c r="B778" s="5">
        <v>50.96</v>
      </c>
      <c r="C778" s="5">
        <v>53.28</v>
      </c>
      <c r="D778" s="5">
        <v>51.45</v>
      </c>
      <c r="E778" s="5">
        <v>49.94</v>
      </c>
      <c r="F778" s="5">
        <v>48.4</v>
      </c>
      <c r="G778" s="5">
        <v>46.84</v>
      </c>
      <c r="H778" s="5">
        <v>45.61</v>
      </c>
      <c r="I778" s="6">
        <v>-1.8315859999999999</v>
      </c>
    </row>
    <row r="779" spans="1:9" ht="60" x14ac:dyDescent="0.25">
      <c r="A779" s="1" t="s">
        <v>128</v>
      </c>
      <c r="B779" s="5">
        <v>0</v>
      </c>
      <c r="C779" s="5">
        <v>0</v>
      </c>
      <c r="D779" s="5">
        <v>0</v>
      </c>
      <c r="E779" s="5">
        <v>0</v>
      </c>
      <c r="F779" s="5">
        <v>0</v>
      </c>
      <c r="G779" s="5">
        <v>0</v>
      </c>
      <c r="H779" s="5">
        <v>0</v>
      </c>
      <c r="I779" s="7" t="s">
        <v>58</v>
      </c>
    </row>
    <row r="780" spans="1:9" ht="45" x14ac:dyDescent="0.25">
      <c r="A780" s="1" t="s">
        <v>129</v>
      </c>
      <c r="B780" s="7" t="s">
        <v>58</v>
      </c>
      <c r="C780" s="7" t="s">
        <v>58</v>
      </c>
      <c r="D780" s="7" t="s">
        <v>58</v>
      </c>
      <c r="E780" s="7" t="s">
        <v>58</v>
      </c>
      <c r="F780" s="7" t="s">
        <v>58</v>
      </c>
      <c r="G780" s="7" t="s">
        <v>58</v>
      </c>
      <c r="H780" s="7" t="s">
        <v>58</v>
      </c>
      <c r="I780" s="7" t="s">
        <v>58</v>
      </c>
    </row>
    <row r="781" spans="1:9" ht="45" x14ac:dyDescent="0.25">
      <c r="A781" s="1" t="s">
        <v>140</v>
      </c>
      <c r="B781" s="7" t="s">
        <v>58</v>
      </c>
      <c r="C781" s="7" t="s">
        <v>58</v>
      </c>
      <c r="D781" s="7" t="s">
        <v>58</v>
      </c>
      <c r="E781" s="7" t="s">
        <v>58</v>
      </c>
      <c r="F781" s="7" t="s">
        <v>58</v>
      </c>
      <c r="G781" s="7" t="s">
        <v>58</v>
      </c>
      <c r="H781" s="7" t="s">
        <v>58</v>
      </c>
      <c r="I781" s="7" t="s">
        <v>58</v>
      </c>
    </row>
    <row r="782" spans="1:9" ht="45" x14ac:dyDescent="0.25">
      <c r="A782" s="1" t="s">
        <v>141</v>
      </c>
      <c r="B782" s="7" t="s">
        <v>58</v>
      </c>
      <c r="C782" s="7" t="s">
        <v>58</v>
      </c>
      <c r="D782" s="7" t="s">
        <v>58</v>
      </c>
      <c r="E782" s="7" t="s">
        <v>58</v>
      </c>
      <c r="F782" s="7" t="s">
        <v>58</v>
      </c>
      <c r="G782" s="7" t="s">
        <v>58</v>
      </c>
      <c r="H782" s="7" t="s">
        <v>58</v>
      </c>
      <c r="I782" s="7" t="s">
        <v>58</v>
      </c>
    </row>
    <row r="783" spans="1:9" ht="45" x14ac:dyDescent="0.25">
      <c r="A783" s="1" t="s">
        <v>142</v>
      </c>
      <c r="B783" s="7" t="s">
        <v>58</v>
      </c>
      <c r="C783" s="7" t="s">
        <v>58</v>
      </c>
      <c r="D783" s="7" t="s">
        <v>58</v>
      </c>
      <c r="E783" s="7" t="s">
        <v>58</v>
      </c>
      <c r="F783" s="7" t="s">
        <v>58</v>
      </c>
      <c r="G783" s="7" t="s">
        <v>58</v>
      </c>
      <c r="H783" s="7" t="s">
        <v>58</v>
      </c>
      <c r="I783" s="7" t="s">
        <v>58</v>
      </c>
    </row>
    <row r="784" spans="1:9" ht="60" x14ac:dyDescent="0.25">
      <c r="A784" s="1" t="s">
        <v>133</v>
      </c>
      <c r="B784" s="7" t="s">
        <v>58</v>
      </c>
      <c r="C784" s="7" t="s">
        <v>58</v>
      </c>
      <c r="D784" s="7" t="s">
        <v>58</v>
      </c>
      <c r="E784" s="7" t="s">
        <v>58</v>
      </c>
      <c r="F784" s="7" t="s">
        <v>58</v>
      </c>
      <c r="G784" s="7" t="s">
        <v>58</v>
      </c>
      <c r="H784" s="7" t="s">
        <v>58</v>
      </c>
      <c r="I784" s="7" t="s">
        <v>58</v>
      </c>
    </row>
    <row r="785" spans="1:9" ht="60" x14ac:dyDescent="0.25">
      <c r="A785" s="1" t="s">
        <v>134</v>
      </c>
      <c r="B785" s="7" t="s">
        <v>58</v>
      </c>
      <c r="C785" s="7" t="s">
        <v>58</v>
      </c>
      <c r="D785" s="7" t="s">
        <v>58</v>
      </c>
      <c r="E785" s="7" t="s">
        <v>58</v>
      </c>
      <c r="F785" s="7" t="s">
        <v>58</v>
      </c>
      <c r="G785" s="7" t="s">
        <v>58</v>
      </c>
      <c r="H785" s="7" t="s">
        <v>58</v>
      </c>
      <c r="I785" s="7" t="s">
        <v>58</v>
      </c>
    </row>
    <row r="786" spans="1:9" x14ac:dyDescent="0.25">
      <c r="A786" s="1" t="s">
        <v>12</v>
      </c>
      <c r="B786" s="2"/>
      <c r="C786" s="2"/>
      <c r="D786" s="2"/>
      <c r="E786" s="2"/>
      <c r="F786" s="2"/>
      <c r="G786" s="2"/>
      <c r="H786" s="2"/>
      <c r="I786" s="2"/>
    </row>
    <row r="787" spans="1:9" x14ac:dyDescent="0.25">
      <c r="A787" s="8" t="s">
        <v>51</v>
      </c>
      <c r="B787" s="2"/>
      <c r="C787" s="2"/>
      <c r="D787" s="2"/>
      <c r="E787" s="2"/>
      <c r="F787" s="2"/>
      <c r="G787" s="2"/>
      <c r="H787" s="2"/>
      <c r="I787" s="2"/>
    </row>
    <row r="788" spans="1:9" ht="60" x14ac:dyDescent="0.25">
      <c r="A788" s="1" t="s">
        <v>13</v>
      </c>
      <c r="B788" s="5">
        <v>72.27</v>
      </c>
      <c r="C788" s="5">
        <v>74.19</v>
      </c>
      <c r="D788" s="5">
        <v>76.25</v>
      </c>
      <c r="E788" s="5">
        <v>78.39</v>
      </c>
      <c r="F788" s="5">
        <v>80.510000000000005</v>
      </c>
      <c r="G788" s="5">
        <v>82.37</v>
      </c>
      <c r="H788" s="5">
        <v>83.89</v>
      </c>
      <c r="I788" s="6">
        <v>2.5160879999999999</v>
      </c>
    </row>
    <row r="789" spans="1:9" ht="60" x14ac:dyDescent="0.25">
      <c r="A789" s="1" t="s">
        <v>117</v>
      </c>
      <c r="B789" s="5">
        <v>15.28</v>
      </c>
      <c r="C789" s="5">
        <v>15.04</v>
      </c>
      <c r="D789" s="5">
        <v>14.83</v>
      </c>
      <c r="E789" s="5">
        <v>14.65</v>
      </c>
      <c r="F789" s="5">
        <v>14.48</v>
      </c>
      <c r="G789" s="5">
        <v>14.3</v>
      </c>
      <c r="H789" s="5">
        <v>14.13</v>
      </c>
      <c r="I789" s="6">
        <v>-1.2956099999999999</v>
      </c>
    </row>
    <row r="790" spans="1:9" ht="60" x14ac:dyDescent="0.25">
      <c r="A790" s="1" t="s">
        <v>118</v>
      </c>
      <c r="B790" s="5">
        <v>16.66</v>
      </c>
      <c r="C790" s="5">
        <v>13.91</v>
      </c>
      <c r="D790" s="5">
        <v>11.82</v>
      </c>
      <c r="E790" s="5">
        <v>10.24</v>
      </c>
      <c r="F790" s="5">
        <v>8.99</v>
      </c>
      <c r="G790" s="5">
        <v>8</v>
      </c>
      <c r="H790" s="5">
        <v>7.17</v>
      </c>
      <c r="I790" s="6">
        <v>-13.109154</v>
      </c>
    </row>
    <row r="791" spans="1:9" ht="60" x14ac:dyDescent="0.25">
      <c r="A791" s="1" t="s">
        <v>119</v>
      </c>
      <c r="B791" s="5">
        <v>35.659999999999997</v>
      </c>
      <c r="C791" s="5">
        <v>40.28</v>
      </c>
      <c r="D791" s="5">
        <v>44.41</v>
      </c>
      <c r="E791" s="5">
        <v>48.13</v>
      </c>
      <c r="F791" s="5">
        <v>51.53</v>
      </c>
      <c r="G791" s="5">
        <v>54.49</v>
      </c>
      <c r="H791" s="5">
        <v>56.95</v>
      </c>
      <c r="I791" s="6">
        <v>8.1148620000000005</v>
      </c>
    </row>
    <row r="792" spans="1:9" ht="60" x14ac:dyDescent="0.25">
      <c r="A792" s="1" t="s">
        <v>120</v>
      </c>
      <c r="B792" s="5">
        <v>0.37</v>
      </c>
      <c r="C792" s="5">
        <v>0.37</v>
      </c>
      <c r="D792" s="5">
        <v>0.36</v>
      </c>
      <c r="E792" s="5">
        <v>0.36</v>
      </c>
      <c r="F792" s="5">
        <v>0.36</v>
      </c>
      <c r="G792" s="5">
        <v>0.35</v>
      </c>
      <c r="H792" s="5">
        <v>0.35</v>
      </c>
      <c r="I792" s="6">
        <v>-0.92188899999999996</v>
      </c>
    </row>
    <row r="793" spans="1:9" ht="75" x14ac:dyDescent="0.25">
      <c r="A793" s="1" t="s">
        <v>121</v>
      </c>
      <c r="B793" s="5">
        <v>4.3099999999999996</v>
      </c>
      <c r="C793" s="5">
        <v>4.59</v>
      </c>
      <c r="D793" s="5">
        <v>4.82</v>
      </c>
      <c r="E793" s="5">
        <v>5.01</v>
      </c>
      <c r="F793" s="5">
        <v>5.15</v>
      </c>
      <c r="G793" s="5">
        <v>5.23</v>
      </c>
      <c r="H793" s="5">
        <v>5.28</v>
      </c>
      <c r="I793" s="6">
        <v>3.4410150000000002</v>
      </c>
    </row>
    <row r="794" spans="1:9" ht="75" x14ac:dyDescent="0.25">
      <c r="A794" s="1" t="s">
        <v>122</v>
      </c>
      <c r="B794" s="5">
        <v>0</v>
      </c>
      <c r="C794" s="5">
        <v>0</v>
      </c>
      <c r="D794" s="5">
        <v>0</v>
      </c>
      <c r="E794" s="5">
        <v>0</v>
      </c>
      <c r="F794" s="5">
        <v>0</v>
      </c>
      <c r="G794" s="5">
        <v>0</v>
      </c>
      <c r="H794" s="5">
        <v>0</v>
      </c>
      <c r="I794" s="7" t="s">
        <v>58</v>
      </c>
    </row>
    <row r="795" spans="1:9" ht="60" x14ac:dyDescent="0.25">
      <c r="A795" s="1" t="s">
        <v>123</v>
      </c>
      <c r="B795" s="5">
        <v>21.14</v>
      </c>
      <c r="C795" s="5">
        <v>20.27</v>
      </c>
      <c r="D795" s="5">
        <v>19.45</v>
      </c>
      <c r="E795" s="5">
        <v>18.690000000000001</v>
      </c>
      <c r="F795" s="5">
        <v>17.98</v>
      </c>
      <c r="G795" s="5">
        <v>17.37</v>
      </c>
      <c r="H795" s="5">
        <v>16.850000000000001</v>
      </c>
      <c r="I795" s="6">
        <v>-3.7097120000000001</v>
      </c>
    </row>
    <row r="796" spans="1:9" ht="60" x14ac:dyDescent="0.25">
      <c r="A796" s="1" t="s">
        <v>124</v>
      </c>
      <c r="B796" s="5">
        <v>23.05</v>
      </c>
      <c r="C796" s="5">
        <v>18.75</v>
      </c>
      <c r="D796" s="5">
        <v>15.51</v>
      </c>
      <c r="E796" s="5">
        <v>13.06</v>
      </c>
      <c r="F796" s="5">
        <v>11.17</v>
      </c>
      <c r="G796" s="5">
        <v>9.7100000000000009</v>
      </c>
      <c r="H796" s="5">
        <v>8.5399999999999991</v>
      </c>
      <c r="I796" s="6">
        <v>-15.251668</v>
      </c>
    </row>
    <row r="797" spans="1:9" ht="60" x14ac:dyDescent="0.25">
      <c r="A797" s="1" t="s">
        <v>125</v>
      </c>
      <c r="B797" s="5">
        <v>49.33</v>
      </c>
      <c r="C797" s="5">
        <v>54.3</v>
      </c>
      <c r="D797" s="5">
        <v>58.25</v>
      </c>
      <c r="E797" s="5">
        <v>61.4</v>
      </c>
      <c r="F797" s="5">
        <v>64.010000000000005</v>
      </c>
      <c r="G797" s="5">
        <v>66.150000000000006</v>
      </c>
      <c r="H797" s="5">
        <v>67.89</v>
      </c>
      <c r="I797" s="6">
        <v>5.4668029999999996</v>
      </c>
    </row>
    <row r="798" spans="1:9" ht="60" x14ac:dyDescent="0.25">
      <c r="A798" s="1" t="s">
        <v>126</v>
      </c>
      <c r="B798" s="5">
        <v>0.51</v>
      </c>
      <c r="C798" s="5">
        <v>0.49</v>
      </c>
      <c r="D798" s="5">
        <v>0.48</v>
      </c>
      <c r="E798" s="5">
        <v>0.46</v>
      </c>
      <c r="F798" s="5">
        <v>0.44</v>
      </c>
      <c r="G798" s="5">
        <v>0.43</v>
      </c>
      <c r="H798" s="5">
        <v>0.42</v>
      </c>
      <c r="I798" s="6">
        <v>-3.1841370000000002</v>
      </c>
    </row>
    <row r="799" spans="1:9" ht="75" x14ac:dyDescent="0.25">
      <c r="A799" s="1" t="s">
        <v>127</v>
      </c>
      <c r="B799" s="5">
        <v>5.97</v>
      </c>
      <c r="C799" s="5">
        <v>6.19</v>
      </c>
      <c r="D799" s="5">
        <v>6.33</v>
      </c>
      <c r="E799" s="5">
        <v>6.39</v>
      </c>
      <c r="F799" s="5">
        <v>6.4</v>
      </c>
      <c r="G799" s="5">
        <v>6.35</v>
      </c>
      <c r="H799" s="5">
        <v>6.3</v>
      </c>
      <c r="I799" s="6">
        <v>0.90074399999999999</v>
      </c>
    </row>
    <row r="800" spans="1:9" ht="60" x14ac:dyDescent="0.25">
      <c r="A800" s="1" t="s">
        <v>128</v>
      </c>
      <c r="B800" s="5">
        <v>0</v>
      </c>
      <c r="C800" s="5">
        <v>0</v>
      </c>
      <c r="D800" s="5">
        <v>0</v>
      </c>
      <c r="E800" s="5">
        <v>0</v>
      </c>
      <c r="F800" s="5">
        <v>0</v>
      </c>
      <c r="G800" s="5">
        <v>0</v>
      </c>
      <c r="H800" s="5">
        <v>0</v>
      </c>
      <c r="I800" s="7" t="s">
        <v>58</v>
      </c>
    </row>
    <row r="801" spans="1:9" ht="45" x14ac:dyDescent="0.25">
      <c r="A801" s="1" t="s">
        <v>129</v>
      </c>
      <c r="B801" s="5">
        <v>41.52</v>
      </c>
      <c r="C801" s="5">
        <v>41.99</v>
      </c>
      <c r="D801" s="5">
        <v>42.18</v>
      </c>
      <c r="E801" s="5">
        <v>42.45</v>
      </c>
      <c r="F801" s="5">
        <v>42.65</v>
      </c>
      <c r="G801" s="5">
        <v>42.88</v>
      </c>
      <c r="H801" s="5">
        <v>43.11</v>
      </c>
      <c r="I801" s="6">
        <v>0.62829470758181127</v>
      </c>
    </row>
    <row r="802" spans="1:9" ht="45" x14ac:dyDescent="0.25">
      <c r="A802" s="1" t="s">
        <v>140</v>
      </c>
      <c r="B802" s="5">
        <v>44.45</v>
      </c>
      <c r="C802" s="5">
        <v>44.3</v>
      </c>
      <c r="D802" s="5">
        <v>44.52</v>
      </c>
      <c r="E802" s="5">
        <v>44.78</v>
      </c>
      <c r="F802" s="5">
        <v>44.67</v>
      </c>
      <c r="G802" s="5">
        <v>44.72</v>
      </c>
      <c r="H802" s="5">
        <v>44.89</v>
      </c>
      <c r="I802" s="6">
        <v>0.164303</v>
      </c>
    </row>
    <row r="803" spans="1:9" ht="45" x14ac:dyDescent="0.25">
      <c r="A803" s="1" t="s">
        <v>141</v>
      </c>
      <c r="B803" s="5">
        <v>38.67</v>
      </c>
      <c r="C803" s="5">
        <v>40.36</v>
      </c>
      <c r="D803" s="5">
        <v>40.729999999999997</v>
      </c>
      <c r="E803" s="5">
        <v>41.13</v>
      </c>
      <c r="F803" s="5">
        <v>41.56</v>
      </c>
      <c r="G803" s="5">
        <v>42</v>
      </c>
      <c r="H803" s="5">
        <v>42.45</v>
      </c>
      <c r="I803" s="6">
        <v>1.5665230000000001</v>
      </c>
    </row>
    <row r="804" spans="1:9" ht="45" x14ac:dyDescent="0.25">
      <c r="A804" s="1" t="s">
        <v>142</v>
      </c>
      <c r="B804" s="5">
        <v>42.14</v>
      </c>
      <c r="C804" s="5">
        <v>42.15</v>
      </c>
      <c r="D804" s="5">
        <v>42.21</v>
      </c>
      <c r="E804" s="5">
        <v>42.44</v>
      </c>
      <c r="F804" s="5">
        <v>42.68</v>
      </c>
      <c r="G804" s="5">
        <v>42.91</v>
      </c>
      <c r="H804" s="5">
        <v>43.14</v>
      </c>
      <c r="I804" s="6">
        <v>0.391652</v>
      </c>
    </row>
    <row r="805" spans="1:9" ht="60" x14ac:dyDescent="0.25">
      <c r="A805" s="1" t="s">
        <v>133</v>
      </c>
      <c r="B805" s="5">
        <v>38.545858889999998</v>
      </c>
      <c r="C805" s="5">
        <v>39.548051219999998</v>
      </c>
      <c r="D805" s="5">
        <v>40.339012240000002</v>
      </c>
      <c r="E805" s="5">
        <v>41.145792489999998</v>
      </c>
      <c r="F805" s="5">
        <v>41.968708339999999</v>
      </c>
      <c r="G805" s="5">
        <v>42.808082499999998</v>
      </c>
      <c r="H805" s="5">
        <v>43.664244150000002</v>
      </c>
      <c r="I805" s="6">
        <v>2.0997557765509933</v>
      </c>
    </row>
    <row r="806" spans="1:9" ht="60" x14ac:dyDescent="0.25">
      <c r="A806" s="1" t="s">
        <v>134</v>
      </c>
      <c r="B806" s="5">
        <v>38.700000000000003</v>
      </c>
      <c r="C806" s="5">
        <v>38.619999999999997</v>
      </c>
      <c r="D806" s="5">
        <v>38.549999999999997</v>
      </c>
      <c r="E806" s="5">
        <v>38.65</v>
      </c>
      <c r="F806" s="5">
        <v>38.75</v>
      </c>
      <c r="G806" s="5">
        <v>38.86</v>
      </c>
      <c r="H806" s="5">
        <v>38.96</v>
      </c>
      <c r="I806" s="6">
        <v>0.11166</v>
      </c>
    </row>
    <row r="807" spans="1:9" x14ac:dyDescent="0.25">
      <c r="A807" s="1" t="s">
        <v>12</v>
      </c>
      <c r="B807" s="2"/>
      <c r="C807" s="2"/>
      <c r="D807" s="2"/>
      <c r="E807" s="2"/>
      <c r="F807" s="2"/>
      <c r="G807" s="2"/>
      <c r="H807" s="2"/>
      <c r="I807" s="2"/>
    </row>
    <row r="808" spans="1:9" x14ac:dyDescent="0.25">
      <c r="A808" s="8" t="s">
        <v>52</v>
      </c>
      <c r="B808" s="2"/>
      <c r="C808" s="2"/>
      <c r="D808" s="2"/>
      <c r="E808" s="2"/>
      <c r="F808" s="2"/>
      <c r="G808" s="2"/>
      <c r="H808" s="2"/>
      <c r="I808" s="2"/>
    </row>
    <row r="809" spans="1:9" ht="60" x14ac:dyDescent="0.25">
      <c r="A809" s="1" t="s">
        <v>13</v>
      </c>
      <c r="B809" s="5">
        <v>96.55</v>
      </c>
      <c r="C809" s="5">
        <v>96.61</v>
      </c>
      <c r="D809" s="5">
        <v>96.78</v>
      </c>
      <c r="E809" s="5">
        <v>96.83</v>
      </c>
      <c r="F809" s="5">
        <v>96.94</v>
      </c>
      <c r="G809" s="5">
        <v>96.98</v>
      </c>
      <c r="H809" s="5">
        <v>97.03</v>
      </c>
      <c r="I809" s="6">
        <v>8.2687999999999998E-2</v>
      </c>
    </row>
    <row r="810" spans="1:9" ht="60" x14ac:dyDescent="0.25">
      <c r="A810" s="1" t="s">
        <v>117</v>
      </c>
      <c r="B810" s="5">
        <v>13.07</v>
      </c>
      <c r="C810" s="5">
        <v>11.11</v>
      </c>
      <c r="D810" s="5">
        <v>9.48</v>
      </c>
      <c r="E810" s="5">
        <v>8.08</v>
      </c>
      <c r="F810" s="5">
        <v>6.9</v>
      </c>
      <c r="G810" s="5">
        <v>5.89</v>
      </c>
      <c r="H810" s="5">
        <v>5.04</v>
      </c>
      <c r="I810" s="6">
        <v>-14.684915999999999</v>
      </c>
    </row>
    <row r="811" spans="1:9" ht="60" x14ac:dyDescent="0.25">
      <c r="A811" s="1" t="s">
        <v>118</v>
      </c>
      <c r="B811" s="5">
        <v>26.06</v>
      </c>
      <c r="C811" s="5">
        <v>20.38</v>
      </c>
      <c r="D811" s="5">
        <v>15.98</v>
      </c>
      <c r="E811" s="5">
        <v>12.53</v>
      </c>
      <c r="F811" s="5">
        <v>8.6</v>
      </c>
      <c r="G811" s="5">
        <v>5.91</v>
      </c>
      <c r="H811" s="5">
        <v>4.07</v>
      </c>
      <c r="I811" s="6">
        <v>-26.615670000000001</v>
      </c>
    </row>
    <row r="812" spans="1:9" ht="60" x14ac:dyDescent="0.25">
      <c r="A812" s="1" t="s">
        <v>119</v>
      </c>
      <c r="B812" s="5">
        <v>57.43</v>
      </c>
      <c r="C812" s="5">
        <v>65.12</v>
      </c>
      <c r="D812" s="5">
        <v>71.319999999999993</v>
      </c>
      <c r="E812" s="5">
        <v>76.209999999999994</v>
      </c>
      <c r="F812" s="5">
        <v>81.44</v>
      </c>
      <c r="G812" s="5">
        <v>85.17</v>
      </c>
      <c r="H812" s="5">
        <v>87.93</v>
      </c>
      <c r="I812" s="6">
        <v>7.3576610000000002</v>
      </c>
    </row>
    <row r="813" spans="1:9" ht="60" x14ac:dyDescent="0.25">
      <c r="A813" s="1" t="s">
        <v>120</v>
      </c>
      <c r="B813" s="5">
        <v>0</v>
      </c>
      <c r="C813" s="5">
        <v>0</v>
      </c>
      <c r="D813" s="5">
        <v>0</v>
      </c>
      <c r="E813" s="5">
        <v>0</v>
      </c>
      <c r="F813" s="5">
        <v>0</v>
      </c>
      <c r="G813" s="5">
        <v>0</v>
      </c>
      <c r="H813" s="5">
        <v>0</v>
      </c>
      <c r="I813" s="7" t="s">
        <v>58</v>
      </c>
    </row>
    <row r="814" spans="1:9" ht="75" x14ac:dyDescent="0.25">
      <c r="A814" s="1" t="s">
        <v>121</v>
      </c>
      <c r="B814" s="5">
        <v>0</v>
      </c>
      <c r="C814" s="5">
        <v>0</v>
      </c>
      <c r="D814" s="5">
        <v>0</v>
      </c>
      <c r="E814" s="5">
        <v>0</v>
      </c>
      <c r="F814" s="5">
        <v>0</v>
      </c>
      <c r="G814" s="5">
        <v>0</v>
      </c>
      <c r="H814" s="5">
        <v>0</v>
      </c>
      <c r="I814" s="7" t="s">
        <v>58</v>
      </c>
    </row>
    <row r="815" spans="1:9" ht="75" x14ac:dyDescent="0.25">
      <c r="A815" s="1" t="s">
        <v>122</v>
      </c>
      <c r="B815" s="5">
        <v>0</v>
      </c>
      <c r="C815" s="5">
        <v>0</v>
      </c>
      <c r="D815" s="5">
        <v>0</v>
      </c>
      <c r="E815" s="5">
        <v>0</v>
      </c>
      <c r="F815" s="5">
        <v>0</v>
      </c>
      <c r="G815" s="5">
        <v>0</v>
      </c>
      <c r="H815" s="5">
        <v>0</v>
      </c>
      <c r="I815" s="7" t="s">
        <v>58</v>
      </c>
    </row>
    <row r="816" spans="1:9" ht="60" x14ac:dyDescent="0.25">
      <c r="A816" s="1" t="s">
        <v>123</v>
      </c>
      <c r="B816" s="5">
        <v>13.53</v>
      </c>
      <c r="C816" s="5">
        <v>11.5</v>
      </c>
      <c r="D816" s="5">
        <v>9.7899999999999991</v>
      </c>
      <c r="E816" s="5">
        <v>8.35</v>
      </c>
      <c r="F816" s="5">
        <v>7.11</v>
      </c>
      <c r="G816" s="5">
        <v>6.08</v>
      </c>
      <c r="H816" s="5">
        <v>5.19</v>
      </c>
      <c r="I816" s="6">
        <v>-14.759708</v>
      </c>
    </row>
    <row r="817" spans="1:9" ht="60" x14ac:dyDescent="0.25">
      <c r="A817" s="1" t="s">
        <v>124</v>
      </c>
      <c r="B817" s="5">
        <v>26.99</v>
      </c>
      <c r="C817" s="5">
        <v>21.09</v>
      </c>
      <c r="D817" s="5">
        <v>16.510000000000002</v>
      </c>
      <c r="E817" s="5">
        <v>12.94</v>
      </c>
      <c r="F817" s="5">
        <v>8.8699999999999992</v>
      </c>
      <c r="G817" s="5">
        <v>6.1</v>
      </c>
      <c r="H817" s="5">
        <v>4.1900000000000004</v>
      </c>
      <c r="I817" s="6">
        <v>-26.689105000000001</v>
      </c>
    </row>
    <row r="818" spans="1:9" ht="60" x14ac:dyDescent="0.25">
      <c r="A818" s="1" t="s">
        <v>125</v>
      </c>
      <c r="B818" s="5">
        <v>59.48</v>
      </c>
      <c r="C818" s="5">
        <v>67.41</v>
      </c>
      <c r="D818" s="5">
        <v>73.69</v>
      </c>
      <c r="E818" s="5">
        <v>78.709999999999994</v>
      </c>
      <c r="F818" s="5">
        <v>84.01</v>
      </c>
      <c r="G818" s="5">
        <v>87.82</v>
      </c>
      <c r="H818" s="5">
        <v>90.62</v>
      </c>
      <c r="I818" s="6">
        <v>7.269317</v>
      </c>
    </row>
    <row r="819" spans="1:9" ht="60" x14ac:dyDescent="0.25">
      <c r="A819" s="1" t="s">
        <v>126</v>
      </c>
      <c r="B819" s="5">
        <v>0</v>
      </c>
      <c r="C819" s="5">
        <v>0</v>
      </c>
      <c r="D819" s="5">
        <v>0</v>
      </c>
      <c r="E819" s="5">
        <v>0</v>
      </c>
      <c r="F819" s="5">
        <v>0</v>
      </c>
      <c r="G819" s="5">
        <v>0</v>
      </c>
      <c r="H819" s="5">
        <v>0</v>
      </c>
      <c r="I819" s="7" t="s">
        <v>58</v>
      </c>
    </row>
    <row r="820" spans="1:9" ht="75" x14ac:dyDescent="0.25">
      <c r="A820" s="1" t="s">
        <v>127</v>
      </c>
      <c r="B820" s="5">
        <v>0</v>
      </c>
      <c r="C820" s="5">
        <v>0</v>
      </c>
      <c r="D820" s="5">
        <v>0</v>
      </c>
      <c r="E820" s="5">
        <v>0</v>
      </c>
      <c r="F820" s="5">
        <v>0</v>
      </c>
      <c r="G820" s="5">
        <v>0</v>
      </c>
      <c r="H820" s="5">
        <v>0</v>
      </c>
      <c r="I820" s="7" t="s">
        <v>58</v>
      </c>
    </row>
    <row r="821" spans="1:9" ht="60" x14ac:dyDescent="0.25">
      <c r="A821" s="1" t="s">
        <v>128</v>
      </c>
      <c r="B821" s="5">
        <v>0</v>
      </c>
      <c r="C821" s="5">
        <v>0</v>
      </c>
      <c r="D821" s="5">
        <v>0</v>
      </c>
      <c r="E821" s="5">
        <v>0</v>
      </c>
      <c r="F821" s="5">
        <v>0</v>
      </c>
      <c r="G821" s="5">
        <v>0</v>
      </c>
      <c r="H821" s="5">
        <v>0</v>
      </c>
      <c r="I821" s="7" t="s">
        <v>58</v>
      </c>
    </row>
    <row r="822" spans="1:9" ht="45" x14ac:dyDescent="0.25">
      <c r="A822" s="1" t="s">
        <v>129</v>
      </c>
      <c r="B822" s="7" t="s">
        <v>58</v>
      </c>
      <c r="C822" s="7" t="s">
        <v>58</v>
      </c>
      <c r="D822" s="7" t="s">
        <v>58</v>
      </c>
      <c r="E822" s="7" t="s">
        <v>58</v>
      </c>
      <c r="F822" s="7" t="s">
        <v>58</v>
      </c>
      <c r="G822" s="7" t="s">
        <v>58</v>
      </c>
      <c r="H822" s="7" t="s">
        <v>58</v>
      </c>
      <c r="I822" s="7" t="s">
        <v>58</v>
      </c>
    </row>
    <row r="823" spans="1:9" ht="45" x14ac:dyDescent="0.25">
      <c r="A823" s="1" t="s">
        <v>140</v>
      </c>
      <c r="B823" s="7" t="s">
        <v>58</v>
      </c>
      <c r="C823" s="7" t="s">
        <v>58</v>
      </c>
      <c r="D823" s="7" t="s">
        <v>58</v>
      </c>
      <c r="E823" s="7" t="s">
        <v>58</v>
      </c>
      <c r="F823" s="7" t="s">
        <v>58</v>
      </c>
      <c r="G823" s="7" t="s">
        <v>58</v>
      </c>
      <c r="H823" s="7" t="s">
        <v>58</v>
      </c>
      <c r="I823" s="7" t="s">
        <v>58</v>
      </c>
    </row>
    <row r="824" spans="1:9" ht="45" x14ac:dyDescent="0.25">
      <c r="A824" s="1" t="s">
        <v>141</v>
      </c>
      <c r="B824" s="7" t="s">
        <v>58</v>
      </c>
      <c r="C824" s="7" t="s">
        <v>58</v>
      </c>
      <c r="D824" s="7" t="s">
        <v>58</v>
      </c>
      <c r="E824" s="7" t="s">
        <v>58</v>
      </c>
      <c r="F824" s="7" t="s">
        <v>58</v>
      </c>
      <c r="G824" s="7" t="s">
        <v>58</v>
      </c>
      <c r="H824" s="7" t="s">
        <v>58</v>
      </c>
      <c r="I824" s="7" t="s">
        <v>58</v>
      </c>
    </row>
    <row r="825" spans="1:9" ht="45" x14ac:dyDescent="0.25">
      <c r="A825" s="1" t="s">
        <v>142</v>
      </c>
      <c r="B825" s="7" t="s">
        <v>58</v>
      </c>
      <c r="C825" s="7" t="s">
        <v>58</v>
      </c>
      <c r="D825" s="7" t="s">
        <v>58</v>
      </c>
      <c r="E825" s="7" t="s">
        <v>58</v>
      </c>
      <c r="F825" s="7" t="s">
        <v>58</v>
      </c>
      <c r="G825" s="7" t="s">
        <v>58</v>
      </c>
      <c r="H825" s="7" t="s">
        <v>58</v>
      </c>
      <c r="I825" s="7" t="s">
        <v>58</v>
      </c>
    </row>
    <row r="826" spans="1:9" ht="60" x14ac:dyDescent="0.25">
      <c r="A826" s="1" t="s">
        <v>133</v>
      </c>
      <c r="B826" s="7" t="s">
        <v>58</v>
      </c>
      <c r="C826" s="7" t="s">
        <v>58</v>
      </c>
      <c r="D826" s="7" t="s">
        <v>58</v>
      </c>
      <c r="E826" s="7" t="s">
        <v>58</v>
      </c>
      <c r="F826" s="7" t="s">
        <v>58</v>
      </c>
      <c r="G826" s="7" t="s">
        <v>58</v>
      </c>
      <c r="H826" s="7" t="s">
        <v>58</v>
      </c>
      <c r="I826" s="7" t="s">
        <v>58</v>
      </c>
    </row>
    <row r="827" spans="1:9" ht="60" x14ac:dyDescent="0.25">
      <c r="A827" s="1" t="s">
        <v>134</v>
      </c>
      <c r="B827" s="7" t="s">
        <v>58</v>
      </c>
      <c r="C827" s="7" t="s">
        <v>58</v>
      </c>
      <c r="D827" s="7" t="s">
        <v>58</v>
      </c>
      <c r="E827" s="7" t="s">
        <v>58</v>
      </c>
      <c r="F827" s="7" t="s">
        <v>58</v>
      </c>
      <c r="G827" s="7" t="s">
        <v>58</v>
      </c>
      <c r="H827" s="7" t="s">
        <v>58</v>
      </c>
      <c r="I827" s="7" t="s">
        <v>58</v>
      </c>
    </row>
    <row r="828" spans="1:9" x14ac:dyDescent="0.25">
      <c r="A828" s="1" t="s">
        <v>12</v>
      </c>
      <c r="B828" s="2"/>
      <c r="C828" s="2"/>
      <c r="D828" s="2"/>
      <c r="E828" s="2"/>
      <c r="F828" s="2"/>
      <c r="G828" s="2"/>
      <c r="H828" s="2"/>
      <c r="I828" s="2"/>
    </row>
    <row r="829" spans="1:9" x14ac:dyDescent="0.25">
      <c r="A829" s="8" t="s">
        <v>53</v>
      </c>
      <c r="B829" s="2"/>
      <c r="C829" s="2"/>
      <c r="D829" s="2"/>
      <c r="E829" s="2"/>
      <c r="F829" s="2"/>
      <c r="G829" s="2"/>
      <c r="H829" s="2"/>
      <c r="I829" s="2"/>
    </row>
    <row r="830" spans="1:9" ht="60" x14ac:dyDescent="0.25">
      <c r="A830" s="1" t="s">
        <v>13</v>
      </c>
      <c r="B830" s="5">
        <v>63.1</v>
      </c>
      <c r="C830" s="5">
        <v>63.69</v>
      </c>
      <c r="D830" s="5">
        <v>65.22</v>
      </c>
      <c r="E830" s="5">
        <v>66.819999999999993</v>
      </c>
      <c r="F830" s="5">
        <v>68.53</v>
      </c>
      <c r="G830" s="5">
        <v>70.47</v>
      </c>
      <c r="H830" s="5">
        <v>72.41</v>
      </c>
      <c r="I830" s="6">
        <v>2.320236</v>
      </c>
    </row>
    <row r="831" spans="1:9" ht="60" x14ac:dyDescent="0.25">
      <c r="A831" s="1" t="s">
        <v>117</v>
      </c>
      <c r="B831" s="5">
        <v>0</v>
      </c>
      <c r="C831" s="5">
        <v>0</v>
      </c>
      <c r="D831" s="5">
        <v>0</v>
      </c>
      <c r="E831" s="5">
        <v>0</v>
      </c>
      <c r="F831" s="5">
        <v>0</v>
      </c>
      <c r="G831" s="5">
        <v>0</v>
      </c>
      <c r="H831" s="5">
        <v>0</v>
      </c>
      <c r="I831" s="7" t="s">
        <v>58</v>
      </c>
    </row>
    <row r="832" spans="1:9" ht="60" x14ac:dyDescent="0.25">
      <c r="A832" s="1" t="s">
        <v>118</v>
      </c>
      <c r="B832" s="5">
        <v>38.29</v>
      </c>
      <c r="C832" s="5">
        <v>34.729999999999997</v>
      </c>
      <c r="D832" s="5">
        <v>32.04</v>
      </c>
      <c r="E832" s="5">
        <v>29.62</v>
      </c>
      <c r="F832" s="5">
        <v>27.47</v>
      </c>
      <c r="G832" s="5">
        <v>25.39</v>
      </c>
      <c r="H832" s="5">
        <v>23.85</v>
      </c>
      <c r="I832" s="6">
        <v>-7.5868370000000001</v>
      </c>
    </row>
    <row r="833" spans="1:9" ht="60" x14ac:dyDescent="0.25">
      <c r="A833" s="1" t="s">
        <v>119</v>
      </c>
      <c r="B833" s="5">
        <v>17.600000000000001</v>
      </c>
      <c r="C833" s="5">
        <v>21.1</v>
      </c>
      <c r="D833" s="5">
        <v>24.71</v>
      </c>
      <c r="E833" s="5">
        <v>28.12</v>
      </c>
      <c r="F833" s="5">
        <v>31.4</v>
      </c>
      <c r="G833" s="5">
        <v>34.840000000000003</v>
      </c>
      <c r="H833" s="5">
        <v>37.909999999999997</v>
      </c>
      <c r="I833" s="6">
        <v>13.642345000000001</v>
      </c>
    </row>
    <row r="834" spans="1:9" ht="60" x14ac:dyDescent="0.25">
      <c r="A834" s="1" t="s">
        <v>120</v>
      </c>
      <c r="B834" s="5">
        <v>0</v>
      </c>
      <c r="C834" s="5">
        <v>0</v>
      </c>
      <c r="D834" s="5">
        <v>0</v>
      </c>
      <c r="E834" s="5">
        <v>0</v>
      </c>
      <c r="F834" s="5">
        <v>0</v>
      </c>
      <c r="G834" s="5">
        <v>0</v>
      </c>
      <c r="H834" s="5">
        <v>0</v>
      </c>
      <c r="I834" s="7" t="s">
        <v>58</v>
      </c>
    </row>
    <row r="835" spans="1:9" ht="75" x14ac:dyDescent="0.25">
      <c r="A835" s="1" t="s">
        <v>121</v>
      </c>
      <c r="B835" s="5">
        <v>7.19</v>
      </c>
      <c r="C835" s="5">
        <v>7.85</v>
      </c>
      <c r="D835" s="5">
        <v>8.4600000000000009</v>
      </c>
      <c r="E835" s="5">
        <v>9.07</v>
      </c>
      <c r="F835" s="5">
        <v>9.66</v>
      </c>
      <c r="G835" s="5">
        <v>10.23</v>
      </c>
      <c r="H835" s="5">
        <v>10.64</v>
      </c>
      <c r="I835" s="6">
        <v>6.7502230000000001</v>
      </c>
    </row>
    <row r="836" spans="1:9" ht="75" x14ac:dyDescent="0.25">
      <c r="A836" s="1" t="s">
        <v>122</v>
      </c>
      <c r="B836" s="5">
        <v>0.01</v>
      </c>
      <c r="C836" s="5">
        <v>0.01</v>
      </c>
      <c r="D836" s="5">
        <v>0.01</v>
      </c>
      <c r="E836" s="5">
        <v>0.01</v>
      </c>
      <c r="F836" s="5">
        <v>0.01</v>
      </c>
      <c r="G836" s="5">
        <v>0.02</v>
      </c>
      <c r="H836" s="5">
        <v>0.02</v>
      </c>
      <c r="I836" s="6">
        <v>12.246205</v>
      </c>
    </row>
    <row r="837" spans="1:9" ht="60" x14ac:dyDescent="0.25">
      <c r="A837" s="1" t="s">
        <v>123</v>
      </c>
      <c r="B837" s="5">
        <v>0</v>
      </c>
      <c r="C837" s="5">
        <v>0</v>
      </c>
      <c r="D837" s="5">
        <v>0</v>
      </c>
      <c r="E837" s="5">
        <v>0</v>
      </c>
      <c r="F837" s="5">
        <v>0</v>
      </c>
      <c r="G837" s="5">
        <v>0</v>
      </c>
      <c r="H837" s="5">
        <v>0</v>
      </c>
      <c r="I837" s="7" t="s">
        <v>58</v>
      </c>
    </row>
    <row r="838" spans="1:9" ht="60" x14ac:dyDescent="0.25">
      <c r="A838" s="1" t="s">
        <v>124</v>
      </c>
      <c r="B838" s="5">
        <v>60.69</v>
      </c>
      <c r="C838" s="5">
        <v>54.53</v>
      </c>
      <c r="D838" s="5">
        <v>49.12</v>
      </c>
      <c r="E838" s="5">
        <v>44.32</v>
      </c>
      <c r="F838" s="5">
        <v>40.08</v>
      </c>
      <c r="G838" s="5">
        <v>36.020000000000003</v>
      </c>
      <c r="H838" s="5">
        <v>32.93</v>
      </c>
      <c r="I838" s="6">
        <v>-9.6879369999999998</v>
      </c>
    </row>
    <row r="839" spans="1:9" ht="60" x14ac:dyDescent="0.25">
      <c r="A839" s="1" t="s">
        <v>125</v>
      </c>
      <c r="B839" s="5">
        <v>27.89</v>
      </c>
      <c r="C839" s="5">
        <v>33.130000000000003</v>
      </c>
      <c r="D839" s="5">
        <v>37.89</v>
      </c>
      <c r="E839" s="5">
        <v>42.08</v>
      </c>
      <c r="F839" s="5">
        <v>45.81</v>
      </c>
      <c r="G839" s="5">
        <v>49.44</v>
      </c>
      <c r="H839" s="5">
        <v>52.35</v>
      </c>
      <c r="I839" s="6">
        <v>11.065206999999999</v>
      </c>
    </row>
    <row r="840" spans="1:9" ht="60" x14ac:dyDescent="0.25">
      <c r="A840" s="1" t="s">
        <v>126</v>
      </c>
      <c r="B840" s="5">
        <v>0</v>
      </c>
      <c r="C840" s="5">
        <v>0</v>
      </c>
      <c r="D840" s="5">
        <v>0</v>
      </c>
      <c r="E840" s="5">
        <v>0</v>
      </c>
      <c r="F840" s="5">
        <v>0</v>
      </c>
      <c r="G840" s="5">
        <v>0</v>
      </c>
      <c r="H840" s="5">
        <v>0</v>
      </c>
      <c r="I840" s="7" t="s">
        <v>58</v>
      </c>
    </row>
    <row r="841" spans="1:9" ht="75" x14ac:dyDescent="0.25">
      <c r="A841" s="1" t="s">
        <v>127</v>
      </c>
      <c r="B841" s="5">
        <v>11.4</v>
      </c>
      <c r="C841" s="5">
        <v>12.32</v>
      </c>
      <c r="D841" s="5">
        <v>12.97</v>
      </c>
      <c r="E841" s="5">
        <v>13.58</v>
      </c>
      <c r="F841" s="5">
        <v>14.09</v>
      </c>
      <c r="G841" s="5">
        <v>14.51</v>
      </c>
      <c r="H841" s="5">
        <v>14.69</v>
      </c>
      <c r="I841" s="6">
        <v>4.3164559999999996</v>
      </c>
    </row>
    <row r="842" spans="1:9" ht="60" x14ac:dyDescent="0.25">
      <c r="A842" s="1" t="s">
        <v>128</v>
      </c>
      <c r="B842" s="5">
        <v>0.02</v>
      </c>
      <c r="C842" s="5">
        <v>0.02</v>
      </c>
      <c r="D842" s="5">
        <v>0.02</v>
      </c>
      <c r="E842" s="5">
        <v>0.02</v>
      </c>
      <c r="F842" s="5">
        <v>0.02</v>
      </c>
      <c r="G842" s="5">
        <v>0.02</v>
      </c>
      <c r="H842" s="5">
        <v>0.02</v>
      </c>
      <c r="I842" s="6">
        <v>0</v>
      </c>
    </row>
    <row r="843" spans="1:9" ht="45" x14ac:dyDescent="0.25">
      <c r="A843" s="1" t="s">
        <v>129</v>
      </c>
      <c r="B843" s="5">
        <v>23.28</v>
      </c>
      <c r="C843" s="5">
        <v>23.3</v>
      </c>
      <c r="D843" s="5">
        <v>23.24</v>
      </c>
      <c r="E843" s="5">
        <v>23.2</v>
      </c>
      <c r="F843" s="5">
        <v>23.19</v>
      </c>
      <c r="G843" s="5">
        <v>23.19</v>
      </c>
      <c r="H843" s="5">
        <v>23.24</v>
      </c>
      <c r="I843" s="6">
        <v>-2.8657407638943422E-2</v>
      </c>
    </row>
    <row r="844" spans="1:9" ht="45" x14ac:dyDescent="0.25">
      <c r="A844" s="1" t="s">
        <v>140</v>
      </c>
      <c r="B844" s="5">
        <v>0</v>
      </c>
      <c r="C844" s="5">
        <v>0</v>
      </c>
      <c r="D844" s="5">
        <v>0</v>
      </c>
      <c r="E844" s="5">
        <v>0</v>
      </c>
      <c r="F844" s="5">
        <v>0</v>
      </c>
      <c r="G844" s="5">
        <v>0</v>
      </c>
      <c r="H844" s="5">
        <v>0</v>
      </c>
      <c r="I844" s="7" t="s">
        <v>58</v>
      </c>
    </row>
    <row r="845" spans="1:9" ht="45" x14ac:dyDescent="0.25">
      <c r="A845" s="1" t="s">
        <v>141</v>
      </c>
      <c r="B845" s="5">
        <v>26.21</v>
      </c>
      <c r="C845" s="5">
        <v>26.54</v>
      </c>
      <c r="D845" s="5">
        <v>26.75</v>
      </c>
      <c r="E845" s="5">
        <v>26.97</v>
      </c>
      <c r="F845" s="5">
        <v>27.19</v>
      </c>
      <c r="G845" s="5">
        <v>27.4</v>
      </c>
      <c r="H845" s="5">
        <v>27.6</v>
      </c>
      <c r="I845" s="6">
        <v>0.86496499999999998</v>
      </c>
    </row>
    <row r="846" spans="1:9" ht="45" x14ac:dyDescent="0.25">
      <c r="A846" s="1" t="s">
        <v>142</v>
      </c>
      <c r="B846" s="5">
        <v>25.98</v>
      </c>
      <c r="C846" s="5">
        <v>26.25</v>
      </c>
      <c r="D846" s="5">
        <v>26.4</v>
      </c>
      <c r="E846" s="5">
        <v>26.51</v>
      </c>
      <c r="F846" s="5">
        <v>26.64</v>
      </c>
      <c r="G846" s="5">
        <v>26.79</v>
      </c>
      <c r="H846" s="5">
        <v>26.95</v>
      </c>
      <c r="I846" s="6">
        <v>0.61280800000000002</v>
      </c>
    </row>
    <row r="847" spans="1:9" ht="60" x14ac:dyDescent="0.25">
      <c r="A847" s="1" t="s">
        <v>133</v>
      </c>
      <c r="B847" s="5">
        <v>2.4202257000000001E-2</v>
      </c>
      <c r="C847" s="5">
        <v>2.4202257000000001E-2</v>
      </c>
      <c r="D847" s="5">
        <v>2.4202257000000001E-2</v>
      </c>
      <c r="E847" s="5">
        <v>2.4202257000000001E-2</v>
      </c>
      <c r="F847" s="5">
        <v>50.787911999999999</v>
      </c>
      <c r="G847" s="5">
        <v>40.162399200000003</v>
      </c>
      <c r="H847" s="5">
        <v>38.136780600000002</v>
      </c>
      <c r="I847" s="6">
        <v>241.12589909155525</v>
      </c>
    </row>
    <row r="848" spans="1:9" ht="60" x14ac:dyDescent="0.25">
      <c r="A848" s="1" t="s">
        <v>134</v>
      </c>
      <c r="B848" s="7" t="s">
        <v>58</v>
      </c>
      <c r="C848" s="7" t="s">
        <v>58</v>
      </c>
      <c r="D848" s="7" t="s">
        <v>58</v>
      </c>
      <c r="E848" s="7" t="s">
        <v>58</v>
      </c>
      <c r="F848" s="7" t="s">
        <v>58</v>
      </c>
      <c r="G848" s="7" t="s">
        <v>58</v>
      </c>
      <c r="H848" s="7" t="s">
        <v>58</v>
      </c>
      <c r="I848" s="7" t="s">
        <v>58</v>
      </c>
    </row>
    <row r="849" spans="1:9" x14ac:dyDescent="0.25">
      <c r="A849" s="1" t="s">
        <v>12</v>
      </c>
      <c r="B849" s="2"/>
      <c r="C849" s="2"/>
      <c r="D849" s="2"/>
      <c r="E849" s="2"/>
      <c r="F849" s="2"/>
      <c r="G849" s="2"/>
      <c r="H849" s="2"/>
      <c r="I849" s="2"/>
    </row>
    <row r="850" spans="1:9" x14ac:dyDescent="0.25">
      <c r="A850" s="8" t="s">
        <v>54</v>
      </c>
      <c r="B850" s="2"/>
      <c r="C850" s="2"/>
      <c r="D850" s="2"/>
      <c r="E850" s="2"/>
      <c r="F850" s="2"/>
      <c r="G850" s="2"/>
      <c r="H850" s="2"/>
      <c r="I850" s="2"/>
    </row>
    <row r="851" spans="1:9" ht="60" x14ac:dyDescent="0.25">
      <c r="A851" s="1" t="s">
        <v>13</v>
      </c>
      <c r="B851" s="5">
        <v>44.5</v>
      </c>
      <c r="C851" s="5">
        <v>46.06</v>
      </c>
      <c r="D851" s="5">
        <v>47.61</v>
      </c>
      <c r="E851" s="5">
        <v>49.12</v>
      </c>
      <c r="F851" s="5">
        <v>50.66</v>
      </c>
      <c r="G851" s="5">
        <v>52.1</v>
      </c>
      <c r="H851" s="5">
        <v>56.18</v>
      </c>
      <c r="I851" s="6">
        <v>3.9609610000000002</v>
      </c>
    </row>
    <row r="852" spans="1:9" ht="60" x14ac:dyDescent="0.25">
      <c r="A852" s="1" t="s">
        <v>117</v>
      </c>
      <c r="B852" s="5">
        <v>15.81</v>
      </c>
      <c r="C852" s="5">
        <v>15.9</v>
      </c>
      <c r="D852" s="5">
        <v>15.96</v>
      </c>
      <c r="E852" s="5">
        <v>16.010000000000002</v>
      </c>
      <c r="F852" s="5">
        <v>16.05</v>
      </c>
      <c r="G852" s="5">
        <v>16.02</v>
      </c>
      <c r="H852" s="5">
        <v>17.12</v>
      </c>
      <c r="I852" s="6">
        <v>1.3355859999999999</v>
      </c>
    </row>
    <row r="853" spans="1:9" ht="60" x14ac:dyDescent="0.25">
      <c r="A853" s="1" t="s">
        <v>118</v>
      </c>
      <c r="B853" s="5">
        <v>12.65</v>
      </c>
      <c r="C853" s="5">
        <v>13.2</v>
      </c>
      <c r="D853" s="5">
        <v>13.77</v>
      </c>
      <c r="E853" s="5">
        <v>14.36</v>
      </c>
      <c r="F853" s="5">
        <v>14.97</v>
      </c>
      <c r="G853" s="5">
        <v>15.59</v>
      </c>
      <c r="H853" s="5">
        <v>16.03</v>
      </c>
      <c r="I853" s="6">
        <v>4.025665</v>
      </c>
    </row>
    <row r="854" spans="1:9" ht="60" x14ac:dyDescent="0.25">
      <c r="A854" s="1" t="s">
        <v>119</v>
      </c>
      <c r="B854" s="5">
        <v>15.81</v>
      </c>
      <c r="C854" s="5">
        <v>16.739999999999998</v>
      </c>
      <c r="D854" s="5">
        <v>17.670000000000002</v>
      </c>
      <c r="E854" s="5">
        <v>18.559999999999999</v>
      </c>
      <c r="F854" s="5">
        <v>19.46</v>
      </c>
      <c r="G854" s="5">
        <v>20.36</v>
      </c>
      <c r="H854" s="5">
        <v>22.92</v>
      </c>
      <c r="I854" s="6">
        <v>6.3850150000000001</v>
      </c>
    </row>
    <row r="855" spans="1:9" ht="60" x14ac:dyDescent="0.25">
      <c r="A855" s="1" t="s">
        <v>120</v>
      </c>
      <c r="B855" s="5">
        <v>0</v>
      </c>
      <c r="C855" s="5">
        <v>0</v>
      </c>
      <c r="D855" s="5">
        <v>0</v>
      </c>
      <c r="E855" s="5">
        <v>0</v>
      </c>
      <c r="F855" s="5">
        <v>0</v>
      </c>
      <c r="G855" s="5">
        <v>0</v>
      </c>
      <c r="H855" s="5">
        <v>0</v>
      </c>
      <c r="I855" s="7" t="s">
        <v>58</v>
      </c>
    </row>
    <row r="856" spans="1:9" ht="75" x14ac:dyDescent="0.25">
      <c r="A856" s="1" t="s">
        <v>121</v>
      </c>
      <c r="B856" s="5">
        <v>0.24</v>
      </c>
      <c r="C856" s="5">
        <v>0.22</v>
      </c>
      <c r="D856" s="5">
        <v>0.21</v>
      </c>
      <c r="E856" s="5">
        <v>0.19</v>
      </c>
      <c r="F856" s="5">
        <v>0.18</v>
      </c>
      <c r="G856" s="5">
        <v>0.13</v>
      </c>
      <c r="H856" s="5">
        <v>0.11</v>
      </c>
      <c r="I856" s="6">
        <v>-12.192777</v>
      </c>
    </row>
    <row r="857" spans="1:9" ht="75" x14ac:dyDescent="0.25">
      <c r="A857" s="1" t="s">
        <v>122</v>
      </c>
      <c r="B857" s="5">
        <v>0</v>
      </c>
      <c r="C857" s="5">
        <v>0</v>
      </c>
      <c r="D857" s="5">
        <v>0</v>
      </c>
      <c r="E857" s="5">
        <v>0</v>
      </c>
      <c r="F857" s="5">
        <v>0</v>
      </c>
      <c r="G857" s="5">
        <v>0</v>
      </c>
      <c r="H857" s="5">
        <v>0</v>
      </c>
      <c r="I857" s="7" t="s">
        <v>58</v>
      </c>
    </row>
    <row r="858" spans="1:9" ht="60" x14ac:dyDescent="0.25">
      <c r="A858" s="1" t="s">
        <v>123</v>
      </c>
      <c r="B858" s="5">
        <v>35.520000000000003</v>
      </c>
      <c r="C858" s="5">
        <v>34.520000000000003</v>
      </c>
      <c r="D858" s="5">
        <v>33.53</v>
      </c>
      <c r="E858" s="5">
        <v>32.590000000000003</v>
      </c>
      <c r="F858" s="5">
        <v>31.67</v>
      </c>
      <c r="G858" s="5">
        <v>30.75</v>
      </c>
      <c r="H858" s="5">
        <v>30.47</v>
      </c>
      <c r="I858" s="6">
        <v>-2.5235020000000001</v>
      </c>
    </row>
    <row r="859" spans="1:9" ht="60" x14ac:dyDescent="0.25">
      <c r="A859" s="1" t="s">
        <v>124</v>
      </c>
      <c r="B859" s="5">
        <v>28.42</v>
      </c>
      <c r="C859" s="5">
        <v>28.66</v>
      </c>
      <c r="D859" s="5">
        <v>28.92</v>
      </c>
      <c r="E859" s="5">
        <v>29.23</v>
      </c>
      <c r="F859" s="5">
        <v>29.54</v>
      </c>
      <c r="G859" s="5">
        <v>29.92</v>
      </c>
      <c r="H859" s="5">
        <v>28.54</v>
      </c>
      <c r="I859" s="6">
        <v>7.0249000000000006E-2</v>
      </c>
    </row>
    <row r="860" spans="1:9" ht="60" x14ac:dyDescent="0.25">
      <c r="A860" s="1" t="s">
        <v>125</v>
      </c>
      <c r="B860" s="5">
        <v>35.53</v>
      </c>
      <c r="C860" s="5">
        <v>36.340000000000003</v>
      </c>
      <c r="D860" s="5">
        <v>37.119999999999997</v>
      </c>
      <c r="E860" s="5">
        <v>37.79</v>
      </c>
      <c r="F860" s="5">
        <v>38.42</v>
      </c>
      <c r="G860" s="5">
        <v>39.090000000000003</v>
      </c>
      <c r="H860" s="5">
        <v>40.799999999999997</v>
      </c>
      <c r="I860" s="6">
        <v>2.3318500000000002</v>
      </c>
    </row>
    <row r="861" spans="1:9" ht="60" x14ac:dyDescent="0.25">
      <c r="A861" s="1" t="s">
        <v>126</v>
      </c>
      <c r="B861" s="5">
        <v>0</v>
      </c>
      <c r="C861" s="5">
        <v>0</v>
      </c>
      <c r="D861" s="5">
        <v>0</v>
      </c>
      <c r="E861" s="5">
        <v>0</v>
      </c>
      <c r="F861" s="5">
        <v>0</v>
      </c>
      <c r="G861" s="5">
        <v>0</v>
      </c>
      <c r="H861" s="5">
        <v>0</v>
      </c>
      <c r="I861" s="7" t="s">
        <v>58</v>
      </c>
    </row>
    <row r="862" spans="1:9" ht="75" x14ac:dyDescent="0.25">
      <c r="A862" s="1" t="s">
        <v>127</v>
      </c>
      <c r="B862" s="5">
        <v>0.53</v>
      </c>
      <c r="C862" s="5">
        <v>0.48</v>
      </c>
      <c r="D862" s="5">
        <v>0.43</v>
      </c>
      <c r="E862" s="5">
        <v>0.39</v>
      </c>
      <c r="F862" s="5">
        <v>0.36</v>
      </c>
      <c r="G862" s="5">
        <v>0.24</v>
      </c>
      <c r="H862" s="5">
        <v>0.2</v>
      </c>
      <c r="I862" s="6">
        <v>-14.992152000000001</v>
      </c>
    </row>
    <row r="863" spans="1:9" ht="60" x14ac:dyDescent="0.25">
      <c r="A863" s="1" t="s">
        <v>128</v>
      </c>
      <c r="B863" s="5">
        <v>0</v>
      </c>
      <c r="C863" s="5">
        <v>0</v>
      </c>
      <c r="D863" s="5">
        <v>0</v>
      </c>
      <c r="E863" s="5">
        <v>0</v>
      </c>
      <c r="F863" s="5">
        <v>0</v>
      </c>
      <c r="G863" s="5">
        <v>0</v>
      </c>
      <c r="H863" s="5">
        <v>0</v>
      </c>
      <c r="I863" s="7" t="s">
        <v>58</v>
      </c>
    </row>
    <row r="864" spans="1:9" ht="45" x14ac:dyDescent="0.25">
      <c r="A864" s="1" t="s">
        <v>129</v>
      </c>
      <c r="B864" s="7" t="s">
        <v>58</v>
      </c>
      <c r="C864" s="7" t="s">
        <v>58</v>
      </c>
      <c r="D864" s="7" t="s">
        <v>58</v>
      </c>
      <c r="E864" s="7" t="s">
        <v>58</v>
      </c>
      <c r="F864" s="7" t="s">
        <v>58</v>
      </c>
      <c r="G864" s="7" t="s">
        <v>58</v>
      </c>
      <c r="H864" s="7" t="s">
        <v>58</v>
      </c>
      <c r="I864" s="7" t="s">
        <v>58</v>
      </c>
    </row>
    <row r="865" spans="1:9" ht="45" x14ac:dyDescent="0.25">
      <c r="A865" s="1" t="s">
        <v>140</v>
      </c>
      <c r="B865" s="7" t="s">
        <v>58</v>
      </c>
      <c r="C865" s="7" t="s">
        <v>58</v>
      </c>
      <c r="D865" s="7" t="s">
        <v>58</v>
      </c>
      <c r="E865" s="7" t="s">
        <v>58</v>
      </c>
      <c r="F865" s="7" t="s">
        <v>58</v>
      </c>
      <c r="G865" s="7" t="s">
        <v>58</v>
      </c>
      <c r="H865" s="7" t="s">
        <v>58</v>
      </c>
      <c r="I865" s="7" t="s">
        <v>58</v>
      </c>
    </row>
    <row r="866" spans="1:9" ht="45" x14ac:dyDescent="0.25">
      <c r="A866" s="1" t="s">
        <v>141</v>
      </c>
      <c r="B866" s="7" t="s">
        <v>58</v>
      </c>
      <c r="C866" s="7" t="s">
        <v>58</v>
      </c>
      <c r="D866" s="7" t="s">
        <v>58</v>
      </c>
      <c r="E866" s="7" t="s">
        <v>58</v>
      </c>
      <c r="F866" s="7" t="s">
        <v>58</v>
      </c>
      <c r="G866" s="7" t="s">
        <v>58</v>
      </c>
      <c r="H866" s="7" t="s">
        <v>58</v>
      </c>
      <c r="I866" s="7" t="s">
        <v>58</v>
      </c>
    </row>
    <row r="867" spans="1:9" ht="45" x14ac:dyDescent="0.25">
      <c r="A867" s="1" t="s">
        <v>142</v>
      </c>
      <c r="B867" s="7" t="s">
        <v>58</v>
      </c>
      <c r="C867" s="7" t="s">
        <v>58</v>
      </c>
      <c r="D867" s="7" t="s">
        <v>58</v>
      </c>
      <c r="E867" s="7" t="s">
        <v>58</v>
      </c>
      <c r="F867" s="7" t="s">
        <v>58</v>
      </c>
      <c r="G867" s="7" t="s">
        <v>58</v>
      </c>
      <c r="H867" s="7" t="s">
        <v>58</v>
      </c>
      <c r="I867" s="7" t="s">
        <v>58</v>
      </c>
    </row>
    <row r="868" spans="1:9" ht="60" x14ac:dyDescent="0.25">
      <c r="A868" s="1" t="s">
        <v>133</v>
      </c>
      <c r="B868" s="7" t="s">
        <v>58</v>
      </c>
      <c r="C868" s="7" t="s">
        <v>58</v>
      </c>
      <c r="D868" s="7" t="s">
        <v>58</v>
      </c>
      <c r="E868" s="7" t="s">
        <v>58</v>
      </c>
      <c r="F868" s="7" t="s">
        <v>58</v>
      </c>
      <c r="G868" s="7" t="s">
        <v>58</v>
      </c>
      <c r="H868" s="7" t="s">
        <v>58</v>
      </c>
      <c r="I868" s="7" t="s">
        <v>58</v>
      </c>
    </row>
    <row r="869" spans="1:9" ht="60" x14ac:dyDescent="0.25">
      <c r="A869" s="1" t="s">
        <v>134</v>
      </c>
      <c r="B869" s="7" t="s">
        <v>58</v>
      </c>
      <c r="C869" s="7" t="s">
        <v>58</v>
      </c>
      <c r="D869" s="7" t="s">
        <v>58</v>
      </c>
      <c r="E869" s="7" t="s">
        <v>58</v>
      </c>
      <c r="F869" s="7" t="s">
        <v>58</v>
      </c>
      <c r="G869" s="7" t="s">
        <v>58</v>
      </c>
      <c r="H869" s="7" t="s">
        <v>58</v>
      </c>
      <c r="I869" s="7" t="s">
        <v>58</v>
      </c>
    </row>
    <row r="870" spans="1:9" x14ac:dyDescent="0.25">
      <c r="A870" s="1" t="s">
        <v>12</v>
      </c>
      <c r="B870" s="2"/>
      <c r="C870" s="2"/>
      <c r="D870" s="2"/>
      <c r="E870" s="2"/>
      <c r="F870" s="2"/>
      <c r="G870" s="2"/>
      <c r="H870" s="2"/>
      <c r="I870" s="2"/>
    </row>
    <row r="871" spans="1:9" x14ac:dyDescent="0.25">
      <c r="A871" s="8" t="s">
        <v>55</v>
      </c>
      <c r="B871" s="2"/>
      <c r="C871" s="2"/>
      <c r="D871" s="2"/>
      <c r="E871" s="2"/>
      <c r="F871" s="2"/>
      <c r="G871" s="2"/>
      <c r="H871" s="2"/>
      <c r="I871" s="2"/>
    </row>
    <row r="872" spans="1:9" ht="60" x14ac:dyDescent="0.25">
      <c r="A872" s="1" t="s">
        <v>13</v>
      </c>
      <c r="B872" s="5">
        <v>84.93</v>
      </c>
      <c r="C872" s="5">
        <v>86.46</v>
      </c>
      <c r="D872" s="5">
        <v>87.64</v>
      </c>
      <c r="E872" s="5">
        <v>89.17</v>
      </c>
      <c r="F872" s="5">
        <v>91.01</v>
      </c>
      <c r="G872" s="5">
        <v>92.94</v>
      </c>
      <c r="H872" s="5">
        <v>94.48</v>
      </c>
      <c r="I872" s="6">
        <v>1.7918780000000001</v>
      </c>
    </row>
    <row r="873" spans="1:9" ht="60" x14ac:dyDescent="0.25">
      <c r="A873" s="1" t="s">
        <v>117</v>
      </c>
      <c r="B873" s="5">
        <v>9.9499999999999993</v>
      </c>
      <c r="C873" s="5">
        <v>9.7899999999999991</v>
      </c>
      <c r="D873" s="5">
        <v>9.59</v>
      </c>
      <c r="E873" s="5">
        <v>9.32</v>
      </c>
      <c r="F873" s="5">
        <v>9.24</v>
      </c>
      <c r="G873" s="5">
        <v>9.1</v>
      </c>
      <c r="H873" s="5">
        <v>8.93</v>
      </c>
      <c r="I873" s="6">
        <v>-1.7864530000000001</v>
      </c>
    </row>
    <row r="874" spans="1:9" ht="60" x14ac:dyDescent="0.25">
      <c r="A874" s="1" t="s">
        <v>118</v>
      </c>
      <c r="B874" s="5">
        <v>0.06</v>
      </c>
      <c r="C874" s="5">
        <v>0.05</v>
      </c>
      <c r="D874" s="5">
        <v>0.05</v>
      </c>
      <c r="E874" s="5">
        <v>0.04</v>
      </c>
      <c r="F874" s="5">
        <v>0.03</v>
      </c>
      <c r="G874" s="5">
        <v>0.03</v>
      </c>
      <c r="H874" s="5">
        <v>0.03</v>
      </c>
      <c r="I874" s="6">
        <v>-10.910128</v>
      </c>
    </row>
    <row r="875" spans="1:9" ht="60" x14ac:dyDescent="0.25">
      <c r="A875" s="1" t="s">
        <v>119</v>
      </c>
      <c r="B875" s="5">
        <v>67.290000000000006</v>
      </c>
      <c r="C875" s="5">
        <v>68.89</v>
      </c>
      <c r="D875" s="5">
        <v>70.2</v>
      </c>
      <c r="E875" s="5">
        <v>71.930000000000007</v>
      </c>
      <c r="F875" s="5">
        <v>73.81</v>
      </c>
      <c r="G875" s="5">
        <v>75.84</v>
      </c>
      <c r="H875" s="5">
        <v>77.53</v>
      </c>
      <c r="I875" s="6">
        <v>2.3889779999999998</v>
      </c>
    </row>
    <row r="876" spans="1:9" ht="60" x14ac:dyDescent="0.25">
      <c r="A876" s="1" t="s">
        <v>120</v>
      </c>
      <c r="B876" s="5">
        <v>0</v>
      </c>
      <c r="C876" s="5">
        <v>0</v>
      </c>
      <c r="D876" s="5">
        <v>0</v>
      </c>
      <c r="E876" s="5">
        <v>0</v>
      </c>
      <c r="F876" s="5">
        <v>0</v>
      </c>
      <c r="G876" s="5">
        <v>0</v>
      </c>
      <c r="H876" s="5">
        <v>0</v>
      </c>
      <c r="I876" s="7" t="s">
        <v>58</v>
      </c>
    </row>
    <row r="877" spans="1:9" ht="75" x14ac:dyDescent="0.25">
      <c r="A877" s="1" t="s">
        <v>121</v>
      </c>
      <c r="B877" s="5">
        <v>7.62</v>
      </c>
      <c r="C877" s="5">
        <v>7.72</v>
      </c>
      <c r="D877" s="5">
        <v>7.8</v>
      </c>
      <c r="E877" s="5">
        <v>7.87</v>
      </c>
      <c r="F877" s="5">
        <v>7.93</v>
      </c>
      <c r="G877" s="5">
        <v>7.97</v>
      </c>
      <c r="H877" s="5">
        <v>8</v>
      </c>
      <c r="I877" s="6">
        <v>0.814384</v>
      </c>
    </row>
    <row r="878" spans="1:9" ht="75" x14ac:dyDescent="0.25">
      <c r="A878" s="1" t="s">
        <v>122</v>
      </c>
      <c r="B878" s="5">
        <v>0</v>
      </c>
      <c r="C878" s="5">
        <v>0</v>
      </c>
      <c r="D878" s="5">
        <v>0</v>
      </c>
      <c r="E878" s="5">
        <v>0</v>
      </c>
      <c r="F878" s="5">
        <v>0</v>
      </c>
      <c r="G878" s="5">
        <v>0</v>
      </c>
      <c r="H878" s="5">
        <v>0</v>
      </c>
      <c r="I878" s="7" t="s">
        <v>58</v>
      </c>
    </row>
    <row r="879" spans="1:9" ht="60" x14ac:dyDescent="0.25">
      <c r="A879" s="1" t="s">
        <v>123</v>
      </c>
      <c r="B879" s="5">
        <v>11.72</v>
      </c>
      <c r="C879" s="5">
        <v>11.33</v>
      </c>
      <c r="D879" s="5">
        <v>10.94</v>
      </c>
      <c r="E879" s="5">
        <v>10.45</v>
      </c>
      <c r="F879" s="5">
        <v>10.15</v>
      </c>
      <c r="G879" s="5">
        <v>9.7899999999999991</v>
      </c>
      <c r="H879" s="5">
        <v>9.4499999999999993</v>
      </c>
      <c r="I879" s="6">
        <v>-3.5244270000000002</v>
      </c>
    </row>
    <row r="880" spans="1:9" ht="60" x14ac:dyDescent="0.25">
      <c r="A880" s="1" t="s">
        <v>124</v>
      </c>
      <c r="B880" s="5">
        <v>7.0000000000000007E-2</v>
      </c>
      <c r="C880" s="5">
        <v>0.06</v>
      </c>
      <c r="D880" s="5">
        <v>0.05</v>
      </c>
      <c r="E880" s="5">
        <v>0.05</v>
      </c>
      <c r="F880" s="5">
        <v>0.04</v>
      </c>
      <c r="G880" s="5">
        <v>0.03</v>
      </c>
      <c r="H880" s="5">
        <v>0.03</v>
      </c>
      <c r="I880" s="6">
        <v>-13.169853</v>
      </c>
    </row>
    <row r="881" spans="1:9" ht="60" x14ac:dyDescent="0.25">
      <c r="A881" s="1" t="s">
        <v>125</v>
      </c>
      <c r="B881" s="5">
        <v>79.23</v>
      </c>
      <c r="C881" s="5">
        <v>79.67</v>
      </c>
      <c r="D881" s="5">
        <v>80.099999999999994</v>
      </c>
      <c r="E881" s="5">
        <v>80.67</v>
      </c>
      <c r="F881" s="5">
        <v>81.099999999999994</v>
      </c>
      <c r="G881" s="5">
        <v>81.599999999999994</v>
      </c>
      <c r="H881" s="5">
        <v>82.06</v>
      </c>
      <c r="I881" s="6">
        <v>0.586642</v>
      </c>
    </row>
    <row r="882" spans="1:9" ht="60" x14ac:dyDescent="0.25">
      <c r="A882" s="1" t="s">
        <v>126</v>
      </c>
      <c r="B882" s="5">
        <v>0</v>
      </c>
      <c r="C882" s="5">
        <v>0</v>
      </c>
      <c r="D882" s="5">
        <v>0</v>
      </c>
      <c r="E882" s="5">
        <v>0</v>
      </c>
      <c r="F882" s="5">
        <v>0</v>
      </c>
      <c r="G882" s="5">
        <v>0</v>
      </c>
      <c r="H882" s="5">
        <v>0</v>
      </c>
      <c r="I882" s="7" t="s">
        <v>58</v>
      </c>
    </row>
    <row r="883" spans="1:9" ht="75" x14ac:dyDescent="0.25">
      <c r="A883" s="1" t="s">
        <v>127</v>
      </c>
      <c r="B883" s="5">
        <v>8.9700000000000006</v>
      </c>
      <c r="C883" s="5">
        <v>8.93</v>
      </c>
      <c r="D883" s="5">
        <v>8.9</v>
      </c>
      <c r="E883" s="5">
        <v>8.82</v>
      </c>
      <c r="F883" s="5">
        <v>8.7100000000000009</v>
      </c>
      <c r="G883" s="5">
        <v>8.58</v>
      </c>
      <c r="H883" s="5">
        <v>8.4600000000000009</v>
      </c>
      <c r="I883" s="6">
        <v>-0.97086499999999998</v>
      </c>
    </row>
    <row r="884" spans="1:9" ht="60" x14ac:dyDescent="0.25">
      <c r="A884" s="1" t="s">
        <v>128</v>
      </c>
      <c r="B884" s="5">
        <v>0</v>
      </c>
      <c r="C884" s="5">
        <v>0</v>
      </c>
      <c r="D884" s="5">
        <v>0</v>
      </c>
      <c r="E884" s="5">
        <v>0</v>
      </c>
      <c r="F884" s="5">
        <v>0</v>
      </c>
      <c r="G884" s="5">
        <v>0</v>
      </c>
      <c r="H884" s="5">
        <v>0</v>
      </c>
      <c r="I884" s="7" t="s">
        <v>58</v>
      </c>
    </row>
    <row r="885" spans="1:9" ht="45" x14ac:dyDescent="0.25">
      <c r="A885" s="1" t="s">
        <v>129</v>
      </c>
      <c r="B885" s="5">
        <v>24.21</v>
      </c>
      <c r="C885" s="5">
        <v>24.58</v>
      </c>
      <c r="D885" s="5">
        <v>24.66</v>
      </c>
      <c r="E885" s="5">
        <v>25.29</v>
      </c>
      <c r="F885" s="5">
        <v>25.54</v>
      </c>
      <c r="G885" s="5">
        <v>25.83</v>
      </c>
      <c r="H885" s="5">
        <v>26.18</v>
      </c>
      <c r="I885" s="6">
        <v>1.3123701256418041</v>
      </c>
    </row>
    <row r="886" spans="1:9" ht="45" x14ac:dyDescent="0.25">
      <c r="A886" s="1" t="s">
        <v>140</v>
      </c>
      <c r="B886" s="5">
        <v>22.49</v>
      </c>
      <c r="C886" s="5">
        <v>22.84</v>
      </c>
      <c r="D886" s="5">
        <v>23.23</v>
      </c>
      <c r="E886" s="5">
        <v>23.63</v>
      </c>
      <c r="F886" s="5">
        <v>24</v>
      </c>
      <c r="G886" s="5">
        <v>24.27</v>
      </c>
      <c r="H886" s="5">
        <v>24.74</v>
      </c>
      <c r="I886" s="6">
        <v>1.601871</v>
      </c>
    </row>
    <row r="887" spans="1:9" ht="45" x14ac:dyDescent="0.25">
      <c r="A887" s="1" t="s">
        <v>141</v>
      </c>
      <c r="B887" s="5">
        <v>15.99</v>
      </c>
      <c r="C887" s="5">
        <v>15.99</v>
      </c>
      <c r="D887" s="5">
        <v>16.03</v>
      </c>
      <c r="E887" s="5">
        <v>16.420000000000002</v>
      </c>
      <c r="F887" s="5">
        <v>16.54</v>
      </c>
      <c r="G887" s="5">
        <v>16.68</v>
      </c>
      <c r="H887" s="5">
        <v>16.78</v>
      </c>
      <c r="I887" s="6">
        <v>0.806975</v>
      </c>
    </row>
    <row r="888" spans="1:9" ht="45" x14ac:dyDescent="0.25">
      <c r="A888" s="1" t="s">
        <v>142</v>
      </c>
      <c r="B888" s="5">
        <v>24.68</v>
      </c>
      <c r="C888" s="5">
        <v>25.07</v>
      </c>
      <c r="D888" s="5">
        <v>25.07</v>
      </c>
      <c r="E888" s="5">
        <v>25.76</v>
      </c>
      <c r="F888" s="5">
        <v>26.03</v>
      </c>
      <c r="G888" s="5">
        <v>26.32</v>
      </c>
      <c r="H888" s="5">
        <v>26.7</v>
      </c>
      <c r="I888" s="6">
        <v>1.319806</v>
      </c>
    </row>
    <row r="889" spans="1:9" ht="60" x14ac:dyDescent="0.25">
      <c r="A889" s="1" t="s">
        <v>133</v>
      </c>
      <c r="B889" s="5">
        <v>40.163941960000002</v>
      </c>
      <c r="C889" s="5">
        <v>40.586406959999998</v>
      </c>
      <c r="D889" s="5">
        <v>41.485826340000003</v>
      </c>
      <c r="E889" s="5">
        <v>42.717903900000003</v>
      </c>
      <c r="F889" s="5">
        <v>43.371173319999997</v>
      </c>
      <c r="G889" s="5">
        <v>44.384454089999998</v>
      </c>
      <c r="H889" s="5">
        <v>45.067676460000001</v>
      </c>
      <c r="I889" s="6">
        <v>1.9384767026318528</v>
      </c>
    </row>
    <row r="890" spans="1:9" ht="60" x14ac:dyDescent="0.25">
      <c r="A890" s="1" t="s">
        <v>134</v>
      </c>
      <c r="B890" s="5">
        <v>22.48</v>
      </c>
      <c r="C890" s="5">
        <v>22.53</v>
      </c>
      <c r="D890" s="5">
        <v>22.87</v>
      </c>
      <c r="E890" s="5">
        <v>23.08</v>
      </c>
      <c r="F890" s="5">
        <v>22.86</v>
      </c>
      <c r="G890" s="5">
        <v>23.05</v>
      </c>
      <c r="H890" s="5">
        <v>22.87</v>
      </c>
      <c r="I890" s="6">
        <v>0.287078</v>
      </c>
    </row>
    <row r="891" spans="1:9" x14ac:dyDescent="0.25">
      <c r="A891" s="1" t="s">
        <v>12</v>
      </c>
      <c r="B891" s="2"/>
      <c r="C891" s="2"/>
      <c r="D891" s="2"/>
      <c r="E891" s="2"/>
      <c r="F891" s="2"/>
      <c r="G891" s="2"/>
      <c r="H891" s="2"/>
      <c r="I891" s="2"/>
    </row>
    <row r="892" spans="1:9" x14ac:dyDescent="0.25">
      <c r="A892" s="8" t="s">
        <v>56</v>
      </c>
      <c r="B892" s="2"/>
      <c r="C892" s="2"/>
      <c r="D892" s="2"/>
      <c r="E892" s="2"/>
      <c r="F892" s="2"/>
      <c r="G892" s="2"/>
      <c r="H892" s="2"/>
      <c r="I892" s="2"/>
    </row>
    <row r="893" spans="1:9" ht="60" x14ac:dyDescent="0.25">
      <c r="A893" s="1" t="s">
        <v>13</v>
      </c>
      <c r="B893" s="5">
        <v>56.73</v>
      </c>
      <c r="C893" s="5">
        <v>58.81</v>
      </c>
      <c r="D893" s="5">
        <v>62</v>
      </c>
      <c r="E893" s="5">
        <v>64.64</v>
      </c>
      <c r="F893" s="5">
        <v>66.13</v>
      </c>
      <c r="G893" s="5">
        <v>67.930000000000007</v>
      </c>
      <c r="H893" s="5">
        <v>70.239999999999995</v>
      </c>
      <c r="I893" s="6">
        <v>3.6243820000000002</v>
      </c>
    </row>
    <row r="894" spans="1:9" ht="60" x14ac:dyDescent="0.25">
      <c r="A894" s="1" t="s">
        <v>117</v>
      </c>
      <c r="B894" s="5">
        <v>0</v>
      </c>
      <c r="C894" s="5">
        <v>0</v>
      </c>
      <c r="D894" s="5">
        <v>0</v>
      </c>
      <c r="E894" s="5">
        <v>0</v>
      </c>
      <c r="F894" s="5">
        <v>0</v>
      </c>
      <c r="G894" s="5">
        <v>0</v>
      </c>
      <c r="H894" s="5">
        <v>0</v>
      </c>
      <c r="I894" s="7" t="s">
        <v>58</v>
      </c>
    </row>
    <row r="895" spans="1:9" ht="60" x14ac:dyDescent="0.25">
      <c r="A895" s="1" t="s">
        <v>118</v>
      </c>
      <c r="B895" s="5">
        <v>8.24</v>
      </c>
      <c r="C895" s="5">
        <v>7.9</v>
      </c>
      <c r="D895" s="5">
        <v>7.57</v>
      </c>
      <c r="E895" s="5">
        <v>7.26</v>
      </c>
      <c r="F895" s="5">
        <v>6.45</v>
      </c>
      <c r="G895" s="5">
        <v>5.74</v>
      </c>
      <c r="H895" s="5">
        <v>5.0999999999999996</v>
      </c>
      <c r="I895" s="6">
        <v>-7.6846699999999997</v>
      </c>
    </row>
    <row r="896" spans="1:9" ht="60" x14ac:dyDescent="0.25">
      <c r="A896" s="1" t="s">
        <v>119</v>
      </c>
      <c r="B896" s="5">
        <v>37.46</v>
      </c>
      <c r="C896" s="5">
        <v>41.46</v>
      </c>
      <c r="D896" s="5">
        <v>45.88</v>
      </c>
      <c r="E896" s="5">
        <v>49.42</v>
      </c>
      <c r="F896" s="5">
        <v>52.25</v>
      </c>
      <c r="G896" s="5">
        <v>55.25</v>
      </c>
      <c r="H896" s="5">
        <v>58.41</v>
      </c>
      <c r="I896" s="6">
        <v>7.6845109999999996</v>
      </c>
    </row>
    <row r="897" spans="1:9" ht="60" x14ac:dyDescent="0.25">
      <c r="A897" s="1" t="s">
        <v>120</v>
      </c>
      <c r="B897" s="5">
        <v>0</v>
      </c>
      <c r="C897" s="5">
        <v>0</v>
      </c>
      <c r="D897" s="5">
        <v>0</v>
      </c>
      <c r="E897" s="5">
        <v>0</v>
      </c>
      <c r="F897" s="5">
        <v>0</v>
      </c>
      <c r="G897" s="5">
        <v>0</v>
      </c>
      <c r="H897" s="5">
        <v>0</v>
      </c>
      <c r="I897" s="7" t="s">
        <v>58</v>
      </c>
    </row>
    <row r="898" spans="1:9" ht="75" x14ac:dyDescent="0.25">
      <c r="A898" s="1" t="s">
        <v>121</v>
      </c>
      <c r="B898" s="5">
        <v>9.9600000000000009</v>
      </c>
      <c r="C898" s="5">
        <v>8.36</v>
      </c>
      <c r="D898" s="5">
        <v>7.44</v>
      </c>
      <c r="E898" s="5">
        <v>6.83</v>
      </c>
      <c r="F898" s="5">
        <v>6.28</v>
      </c>
      <c r="G898" s="5">
        <v>5.77</v>
      </c>
      <c r="H898" s="5">
        <v>5.53</v>
      </c>
      <c r="I898" s="6">
        <v>-9.3409910000000007</v>
      </c>
    </row>
    <row r="899" spans="1:9" ht="75" x14ac:dyDescent="0.25">
      <c r="A899" s="1" t="s">
        <v>122</v>
      </c>
      <c r="B899" s="5">
        <v>1.07</v>
      </c>
      <c r="C899" s="5">
        <v>1.0900000000000001</v>
      </c>
      <c r="D899" s="5">
        <v>1.1100000000000001</v>
      </c>
      <c r="E899" s="5">
        <v>1.1299999999999999</v>
      </c>
      <c r="F899" s="5">
        <v>1.1499999999999999</v>
      </c>
      <c r="G899" s="5">
        <v>1.17</v>
      </c>
      <c r="H899" s="5">
        <v>1.19</v>
      </c>
      <c r="I899" s="6">
        <v>1.787363</v>
      </c>
    </row>
    <row r="900" spans="1:9" ht="60" x14ac:dyDescent="0.25">
      <c r="A900" s="1" t="s">
        <v>123</v>
      </c>
      <c r="B900" s="5">
        <v>0</v>
      </c>
      <c r="C900" s="5">
        <v>0</v>
      </c>
      <c r="D900" s="5">
        <v>0</v>
      </c>
      <c r="E900" s="5">
        <v>0</v>
      </c>
      <c r="F900" s="5">
        <v>0</v>
      </c>
      <c r="G900" s="5">
        <v>0</v>
      </c>
      <c r="H900" s="5">
        <v>0</v>
      </c>
      <c r="I900" s="7" t="s">
        <v>58</v>
      </c>
    </row>
    <row r="901" spans="1:9" ht="60" x14ac:dyDescent="0.25">
      <c r="A901" s="1" t="s">
        <v>124</v>
      </c>
      <c r="B901" s="5">
        <v>14.53</v>
      </c>
      <c r="C901" s="5">
        <v>13.43</v>
      </c>
      <c r="D901" s="5">
        <v>12.21</v>
      </c>
      <c r="E901" s="5">
        <v>11.23</v>
      </c>
      <c r="F901" s="5">
        <v>9.76</v>
      </c>
      <c r="G901" s="5">
        <v>8.4499999999999993</v>
      </c>
      <c r="H901" s="5">
        <v>7.27</v>
      </c>
      <c r="I901" s="6">
        <v>-10.899912</v>
      </c>
    </row>
    <row r="902" spans="1:9" ht="60" x14ac:dyDescent="0.25">
      <c r="A902" s="1" t="s">
        <v>125</v>
      </c>
      <c r="B902" s="5">
        <v>66.03</v>
      </c>
      <c r="C902" s="5">
        <v>70.5</v>
      </c>
      <c r="D902" s="5">
        <v>74</v>
      </c>
      <c r="E902" s="5">
        <v>76.45</v>
      </c>
      <c r="F902" s="5">
        <v>79.010000000000005</v>
      </c>
      <c r="G902" s="5">
        <v>81.33</v>
      </c>
      <c r="H902" s="5">
        <v>83.16</v>
      </c>
      <c r="I902" s="6">
        <v>3.9191370000000001</v>
      </c>
    </row>
    <row r="903" spans="1:9" ht="60" x14ac:dyDescent="0.25">
      <c r="A903" s="1" t="s">
        <v>126</v>
      </c>
      <c r="B903" s="5">
        <v>0</v>
      </c>
      <c r="C903" s="5">
        <v>0</v>
      </c>
      <c r="D903" s="5">
        <v>0</v>
      </c>
      <c r="E903" s="5">
        <v>0</v>
      </c>
      <c r="F903" s="5">
        <v>0</v>
      </c>
      <c r="G903" s="5">
        <v>0</v>
      </c>
      <c r="H903" s="5">
        <v>0</v>
      </c>
      <c r="I903" s="7" t="s">
        <v>58</v>
      </c>
    </row>
    <row r="904" spans="1:9" ht="75" x14ac:dyDescent="0.25">
      <c r="A904" s="1" t="s">
        <v>127</v>
      </c>
      <c r="B904" s="5">
        <v>17.55</v>
      </c>
      <c r="C904" s="5">
        <v>14.22</v>
      </c>
      <c r="D904" s="5">
        <v>12</v>
      </c>
      <c r="E904" s="5">
        <v>10.57</v>
      </c>
      <c r="F904" s="5">
        <v>9.5</v>
      </c>
      <c r="G904" s="5">
        <v>8.5</v>
      </c>
      <c r="H904" s="5">
        <v>7.88</v>
      </c>
      <c r="I904" s="6">
        <v>-12.493258000000001</v>
      </c>
    </row>
    <row r="905" spans="1:9" ht="60" x14ac:dyDescent="0.25">
      <c r="A905" s="1" t="s">
        <v>128</v>
      </c>
      <c r="B905" s="5">
        <v>1.89</v>
      </c>
      <c r="C905" s="5">
        <v>1.85</v>
      </c>
      <c r="D905" s="5">
        <v>1.79</v>
      </c>
      <c r="E905" s="5">
        <v>1.75</v>
      </c>
      <c r="F905" s="5">
        <v>1.74</v>
      </c>
      <c r="G905" s="5">
        <v>1.72</v>
      </c>
      <c r="H905" s="5">
        <v>1.7</v>
      </c>
      <c r="I905" s="6">
        <v>-1.750311</v>
      </c>
    </row>
    <row r="906" spans="1:9" ht="45" x14ac:dyDescent="0.25">
      <c r="A906" s="1" t="s">
        <v>129</v>
      </c>
      <c r="B906" s="7" t="s">
        <v>58</v>
      </c>
      <c r="C906" s="7" t="s">
        <v>58</v>
      </c>
      <c r="D906" s="7" t="s">
        <v>58</v>
      </c>
      <c r="E906" s="7" t="s">
        <v>58</v>
      </c>
      <c r="F906" s="7" t="s">
        <v>58</v>
      </c>
      <c r="G906" s="7" t="s">
        <v>58</v>
      </c>
      <c r="H906" s="7" t="s">
        <v>58</v>
      </c>
      <c r="I906" s="7" t="s">
        <v>58</v>
      </c>
    </row>
    <row r="907" spans="1:9" ht="45" x14ac:dyDescent="0.25">
      <c r="A907" s="1" t="s">
        <v>140</v>
      </c>
      <c r="B907" s="7" t="s">
        <v>58</v>
      </c>
      <c r="C907" s="7" t="s">
        <v>58</v>
      </c>
      <c r="D907" s="7" t="s">
        <v>58</v>
      </c>
      <c r="E907" s="7" t="s">
        <v>58</v>
      </c>
      <c r="F907" s="7" t="s">
        <v>58</v>
      </c>
      <c r="G907" s="7" t="s">
        <v>58</v>
      </c>
      <c r="H907" s="7" t="s">
        <v>58</v>
      </c>
      <c r="I907" s="7" t="s">
        <v>58</v>
      </c>
    </row>
    <row r="908" spans="1:9" ht="45" x14ac:dyDescent="0.25">
      <c r="A908" s="1" t="s">
        <v>141</v>
      </c>
      <c r="B908" s="7" t="s">
        <v>58</v>
      </c>
      <c r="C908" s="7" t="s">
        <v>58</v>
      </c>
      <c r="D908" s="7" t="s">
        <v>58</v>
      </c>
      <c r="E908" s="7" t="s">
        <v>58</v>
      </c>
      <c r="F908" s="7" t="s">
        <v>58</v>
      </c>
      <c r="G908" s="7" t="s">
        <v>58</v>
      </c>
      <c r="H908" s="7" t="s">
        <v>58</v>
      </c>
      <c r="I908" s="7" t="s">
        <v>58</v>
      </c>
    </row>
    <row r="909" spans="1:9" ht="45" x14ac:dyDescent="0.25">
      <c r="A909" s="1" t="s">
        <v>142</v>
      </c>
      <c r="B909" s="7" t="s">
        <v>58</v>
      </c>
      <c r="C909" s="7" t="s">
        <v>58</v>
      </c>
      <c r="D909" s="7" t="s">
        <v>58</v>
      </c>
      <c r="E909" s="7" t="s">
        <v>58</v>
      </c>
      <c r="F909" s="7" t="s">
        <v>58</v>
      </c>
      <c r="G909" s="7" t="s">
        <v>58</v>
      </c>
      <c r="H909" s="7" t="s">
        <v>58</v>
      </c>
      <c r="I909" s="7" t="s">
        <v>58</v>
      </c>
    </row>
    <row r="910" spans="1:9" ht="60" x14ac:dyDescent="0.25">
      <c r="A910" s="1" t="s">
        <v>133</v>
      </c>
      <c r="B910" s="7" t="s">
        <v>58</v>
      </c>
      <c r="C910" s="7" t="s">
        <v>58</v>
      </c>
      <c r="D910" s="7" t="s">
        <v>58</v>
      </c>
      <c r="E910" s="7" t="s">
        <v>58</v>
      </c>
      <c r="F910" s="7" t="s">
        <v>58</v>
      </c>
      <c r="G910" s="7" t="s">
        <v>58</v>
      </c>
      <c r="H910" s="7" t="s">
        <v>58</v>
      </c>
      <c r="I910" s="7" t="s">
        <v>58</v>
      </c>
    </row>
    <row r="911" spans="1:9" ht="60" x14ac:dyDescent="0.25">
      <c r="A911" s="1" t="s">
        <v>134</v>
      </c>
      <c r="B911" s="7" t="s">
        <v>58</v>
      </c>
      <c r="C911" s="7" t="s">
        <v>58</v>
      </c>
      <c r="D911" s="7" t="s">
        <v>58</v>
      </c>
      <c r="E911" s="7" t="s">
        <v>58</v>
      </c>
      <c r="F911" s="7" t="s">
        <v>58</v>
      </c>
      <c r="G911" s="7" t="s">
        <v>58</v>
      </c>
      <c r="H911" s="7" t="s">
        <v>58</v>
      </c>
      <c r="I911" s="7" t="s">
        <v>58</v>
      </c>
    </row>
    <row r="912" spans="1:9" x14ac:dyDescent="0.25">
      <c r="A912" s="1" t="s">
        <v>12</v>
      </c>
      <c r="B912" s="2"/>
      <c r="C912" s="2"/>
      <c r="D912" s="2"/>
      <c r="E912" s="2"/>
      <c r="F912" s="2"/>
      <c r="G912" s="2"/>
      <c r="H912" s="2"/>
      <c r="I912" s="2"/>
    </row>
    <row r="913" spans="1:9" x14ac:dyDescent="0.25">
      <c r="A913" s="8" t="s">
        <v>57</v>
      </c>
      <c r="B913" s="2"/>
      <c r="C913" s="2"/>
      <c r="D913" s="2"/>
      <c r="E913" s="2"/>
      <c r="F913" s="2"/>
      <c r="G913" s="2"/>
      <c r="H913" s="2"/>
      <c r="I913" s="2"/>
    </row>
    <row r="914" spans="1:9" ht="60" x14ac:dyDescent="0.25">
      <c r="A914" s="1" t="s">
        <v>13</v>
      </c>
      <c r="B914" s="7" t="s">
        <v>58</v>
      </c>
      <c r="C914" s="7" t="s">
        <v>58</v>
      </c>
      <c r="D914" s="7" t="s">
        <v>58</v>
      </c>
      <c r="E914" s="7" t="s">
        <v>58</v>
      </c>
      <c r="F914" s="7" t="s">
        <v>58</v>
      </c>
      <c r="G914" s="7" t="s">
        <v>58</v>
      </c>
      <c r="H914" s="7" t="s">
        <v>58</v>
      </c>
      <c r="I914" s="7" t="s">
        <v>58</v>
      </c>
    </row>
    <row r="915" spans="1:9" ht="60" x14ac:dyDescent="0.25">
      <c r="A915" s="1" t="s">
        <v>117</v>
      </c>
      <c r="B915" s="7" t="s">
        <v>58</v>
      </c>
      <c r="C915" s="7" t="s">
        <v>58</v>
      </c>
      <c r="D915" s="7" t="s">
        <v>58</v>
      </c>
      <c r="E915" s="7" t="s">
        <v>58</v>
      </c>
      <c r="F915" s="7" t="s">
        <v>58</v>
      </c>
      <c r="G915" s="7" t="s">
        <v>58</v>
      </c>
      <c r="H915" s="7" t="s">
        <v>58</v>
      </c>
      <c r="I915" s="7" t="s">
        <v>58</v>
      </c>
    </row>
    <row r="916" spans="1:9" ht="60" x14ac:dyDescent="0.25">
      <c r="A916" s="1" t="s">
        <v>118</v>
      </c>
      <c r="B916" s="7" t="s">
        <v>58</v>
      </c>
      <c r="C916" s="7" t="s">
        <v>58</v>
      </c>
      <c r="D916" s="7" t="s">
        <v>58</v>
      </c>
      <c r="E916" s="7" t="s">
        <v>58</v>
      </c>
      <c r="F916" s="7" t="s">
        <v>58</v>
      </c>
      <c r="G916" s="7" t="s">
        <v>58</v>
      </c>
      <c r="H916" s="7" t="s">
        <v>58</v>
      </c>
      <c r="I916" s="7" t="s">
        <v>58</v>
      </c>
    </row>
    <row r="917" spans="1:9" ht="60" x14ac:dyDescent="0.25">
      <c r="A917" s="1" t="s">
        <v>119</v>
      </c>
      <c r="B917" s="7" t="s">
        <v>58</v>
      </c>
      <c r="C917" s="7" t="s">
        <v>58</v>
      </c>
      <c r="D917" s="7" t="s">
        <v>58</v>
      </c>
      <c r="E917" s="7" t="s">
        <v>58</v>
      </c>
      <c r="F917" s="7" t="s">
        <v>58</v>
      </c>
      <c r="G917" s="7" t="s">
        <v>58</v>
      </c>
      <c r="H917" s="7" t="s">
        <v>58</v>
      </c>
      <c r="I917" s="7" t="s">
        <v>58</v>
      </c>
    </row>
    <row r="918" spans="1:9" ht="60" x14ac:dyDescent="0.25">
      <c r="A918" s="1" t="s">
        <v>120</v>
      </c>
      <c r="B918" s="7" t="s">
        <v>58</v>
      </c>
      <c r="C918" s="7" t="s">
        <v>58</v>
      </c>
      <c r="D918" s="7" t="s">
        <v>58</v>
      </c>
      <c r="E918" s="7" t="s">
        <v>58</v>
      </c>
      <c r="F918" s="7" t="s">
        <v>58</v>
      </c>
      <c r="G918" s="7" t="s">
        <v>58</v>
      </c>
      <c r="H918" s="7" t="s">
        <v>58</v>
      </c>
      <c r="I918" s="7" t="s">
        <v>58</v>
      </c>
    </row>
    <row r="919" spans="1:9" ht="75" x14ac:dyDescent="0.25">
      <c r="A919" s="1" t="s">
        <v>121</v>
      </c>
      <c r="B919" s="7" t="s">
        <v>58</v>
      </c>
      <c r="C919" s="7" t="s">
        <v>58</v>
      </c>
      <c r="D919" s="7" t="s">
        <v>58</v>
      </c>
      <c r="E919" s="7" t="s">
        <v>58</v>
      </c>
      <c r="F919" s="7" t="s">
        <v>58</v>
      </c>
      <c r="G919" s="7" t="s">
        <v>58</v>
      </c>
      <c r="H919" s="7" t="s">
        <v>58</v>
      </c>
      <c r="I919" s="7" t="s">
        <v>58</v>
      </c>
    </row>
    <row r="920" spans="1:9" ht="75" x14ac:dyDescent="0.25">
      <c r="A920" s="1" t="s">
        <v>122</v>
      </c>
      <c r="B920" s="7" t="s">
        <v>58</v>
      </c>
      <c r="C920" s="7" t="s">
        <v>58</v>
      </c>
      <c r="D920" s="7" t="s">
        <v>58</v>
      </c>
      <c r="E920" s="7" t="s">
        <v>58</v>
      </c>
      <c r="F920" s="7" t="s">
        <v>58</v>
      </c>
      <c r="G920" s="7" t="s">
        <v>58</v>
      </c>
      <c r="H920" s="7" t="s">
        <v>58</v>
      </c>
      <c r="I920" s="7" t="s">
        <v>58</v>
      </c>
    </row>
    <row r="921" spans="1:9" ht="60" x14ac:dyDescent="0.25">
      <c r="A921" s="1" t="s">
        <v>123</v>
      </c>
      <c r="B921" s="7" t="s">
        <v>58</v>
      </c>
      <c r="C921" s="7" t="s">
        <v>58</v>
      </c>
      <c r="D921" s="7" t="s">
        <v>58</v>
      </c>
      <c r="E921" s="7" t="s">
        <v>58</v>
      </c>
      <c r="F921" s="7" t="s">
        <v>58</v>
      </c>
      <c r="G921" s="7" t="s">
        <v>58</v>
      </c>
      <c r="H921" s="7" t="s">
        <v>58</v>
      </c>
      <c r="I921" s="7" t="s">
        <v>58</v>
      </c>
    </row>
    <row r="922" spans="1:9" ht="60" x14ac:dyDescent="0.25">
      <c r="A922" s="1" t="s">
        <v>124</v>
      </c>
      <c r="B922" s="7" t="s">
        <v>58</v>
      </c>
      <c r="C922" s="7" t="s">
        <v>58</v>
      </c>
      <c r="D922" s="7" t="s">
        <v>58</v>
      </c>
      <c r="E922" s="7" t="s">
        <v>58</v>
      </c>
      <c r="F922" s="7" t="s">
        <v>58</v>
      </c>
      <c r="G922" s="7" t="s">
        <v>58</v>
      </c>
      <c r="H922" s="7" t="s">
        <v>58</v>
      </c>
      <c r="I922" s="7" t="s">
        <v>58</v>
      </c>
    </row>
    <row r="923" spans="1:9" ht="60" x14ac:dyDescent="0.25">
      <c r="A923" s="1" t="s">
        <v>125</v>
      </c>
      <c r="B923" s="7" t="s">
        <v>58</v>
      </c>
      <c r="C923" s="7" t="s">
        <v>58</v>
      </c>
      <c r="D923" s="7" t="s">
        <v>58</v>
      </c>
      <c r="E923" s="7" t="s">
        <v>58</v>
      </c>
      <c r="F923" s="7" t="s">
        <v>58</v>
      </c>
      <c r="G923" s="7" t="s">
        <v>58</v>
      </c>
      <c r="H923" s="7" t="s">
        <v>58</v>
      </c>
      <c r="I923" s="7" t="s">
        <v>58</v>
      </c>
    </row>
    <row r="924" spans="1:9" ht="60" x14ac:dyDescent="0.25">
      <c r="A924" s="1" t="s">
        <v>126</v>
      </c>
      <c r="B924" s="7" t="s">
        <v>58</v>
      </c>
      <c r="C924" s="7" t="s">
        <v>58</v>
      </c>
      <c r="D924" s="7" t="s">
        <v>58</v>
      </c>
      <c r="E924" s="7" t="s">
        <v>58</v>
      </c>
      <c r="F924" s="7" t="s">
        <v>58</v>
      </c>
      <c r="G924" s="7" t="s">
        <v>58</v>
      </c>
      <c r="H924" s="7" t="s">
        <v>58</v>
      </c>
      <c r="I924" s="7" t="s">
        <v>58</v>
      </c>
    </row>
    <row r="925" spans="1:9" ht="75" x14ac:dyDescent="0.25">
      <c r="A925" s="1" t="s">
        <v>127</v>
      </c>
      <c r="B925" s="7" t="s">
        <v>58</v>
      </c>
      <c r="C925" s="7" t="s">
        <v>58</v>
      </c>
      <c r="D925" s="7" t="s">
        <v>58</v>
      </c>
      <c r="E925" s="7" t="s">
        <v>58</v>
      </c>
      <c r="F925" s="7" t="s">
        <v>58</v>
      </c>
      <c r="G925" s="7" t="s">
        <v>58</v>
      </c>
      <c r="H925" s="7" t="s">
        <v>58</v>
      </c>
      <c r="I925" s="7" t="s">
        <v>58</v>
      </c>
    </row>
    <row r="926" spans="1:9" ht="60" x14ac:dyDescent="0.25">
      <c r="A926" s="1" t="s">
        <v>128</v>
      </c>
      <c r="B926" s="7" t="s">
        <v>58</v>
      </c>
      <c r="C926" s="7" t="s">
        <v>58</v>
      </c>
      <c r="D926" s="7" t="s">
        <v>58</v>
      </c>
      <c r="E926" s="7" t="s">
        <v>58</v>
      </c>
      <c r="F926" s="7" t="s">
        <v>58</v>
      </c>
      <c r="G926" s="7" t="s">
        <v>58</v>
      </c>
      <c r="H926" s="7" t="s">
        <v>58</v>
      </c>
      <c r="I926" s="7" t="s">
        <v>58</v>
      </c>
    </row>
    <row r="927" spans="1:9" ht="45" x14ac:dyDescent="0.25">
      <c r="A927" s="1" t="s">
        <v>129</v>
      </c>
      <c r="B927" s="7" t="s">
        <v>58</v>
      </c>
      <c r="C927" s="7" t="s">
        <v>58</v>
      </c>
      <c r="D927" s="7" t="s">
        <v>58</v>
      </c>
      <c r="E927" s="7" t="s">
        <v>58</v>
      </c>
      <c r="F927" s="7" t="s">
        <v>58</v>
      </c>
      <c r="G927" s="7" t="s">
        <v>58</v>
      </c>
      <c r="H927" s="7" t="s">
        <v>58</v>
      </c>
      <c r="I927" s="7" t="s">
        <v>58</v>
      </c>
    </row>
    <row r="928" spans="1:9" ht="45" x14ac:dyDescent="0.25">
      <c r="A928" s="1" t="s">
        <v>140</v>
      </c>
      <c r="B928" s="7" t="s">
        <v>58</v>
      </c>
      <c r="C928" s="7" t="s">
        <v>58</v>
      </c>
      <c r="D928" s="7" t="s">
        <v>58</v>
      </c>
      <c r="E928" s="7" t="s">
        <v>58</v>
      </c>
      <c r="F928" s="7" t="s">
        <v>58</v>
      </c>
      <c r="G928" s="7" t="s">
        <v>58</v>
      </c>
      <c r="H928" s="7" t="s">
        <v>58</v>
      </c>
      <c r="I928" s="7" t="s">
        <v>58</v>
      </c>
    </row>
    <row r="929" spans="1:9" ht="45" x14ac:dyDescent="0.25">
      <c r="A929" s="1" t="s">
        <v>141</v>
      </c>
      <c r="B929" s="7" t="s">
        <v>58</v>
      </c>
      <c r="C929" s="7" t="s">
        <v>58</v>
      </c>
      <c r="D929" s="7" t="s">
        <v>58</v>
      </c>
      <c r="E929" s="7" t="s">
        <v>58</v>
      </c>
      <c r="F929" s="7" t="s">
        <v>58</v>
      </c>
      <c r="G929" s="7" t="s">
        <v>58</v>
      </c>
      <c r="H929" s="7" t="s">
        <v>58</v>
      </c>
      <c r="I929" s="7" t="s">
        <v>58</v>
      </c>
    </row>
    <row r="930" spans="1:9" ht="45" x14ac:dyDescent="0.25">
      <c r="A930" s="1" t="s">
        <v>142</v>
      </c>
      <c r="B930" s="7" t="s">
        <v>58</v>
      </c>
      <c r="C930" s="7" t="s">
        <v>58</v>
      </c>
      <c r="D930" s="7" t="s">
        <v>58</v>
      </c>
      <c r="E930" s="7" t="s">
        <v>58</v>
      </c>
      <c r="F930" s="7" t="s">
        <v>58</v>
      </c>
      <c r="G930" s="7" t="s">
        <v>58</v>
      </c>
      <c r="H930" s="7" t="s">
        <v>58</v>
      </c>
      <c r="I930" s="7" t="s">
        <v>58</v>
      </c>
    </row>
    <row r="931" spans="1:9" ht="60" x14ac:dyDescent="0.25">
      <c r="A931" s="1" t="s">
        <v>133</v>
      </c>
      <c r="B931" s="7" t="s">
        <v>58</v>
      </c>
      <c r="C931" s="7" t="s">
        <v>58</v>
      </c>
      <c r="D931" s="7" t="s">
        <v>58</v>
      </c>
      <c r="E931" s="7" t="s">
        <v>58</v>
      </c>
      <c r="F931" s="7" t="s">
        <v>58</v>
      </c>
      <c r="G931" s="7" t="s">
        <v>58</v>
      </c>
      <c r="H931" s="7" t="s">
        <v>58</v>
      </c>
      <c r="I931" s="7" t="s">
        <v>58</v>
      </c>
    </row>
    <row r="932" spans="1:9" ht="60" x14ac:dyDescent="0.25">
      <c r="A932" s="1" t="s">
        <v>134</v>
      </c>
      <c r="B932" s="7" t="s">
        <v>58</v>
      </c>
      <c r="C932" s="7" t="s">
        <v>58</v>
      </c>
      <c r="D932" s="7" t="s">
        <v>58</v>
      </c>
      <c r="E932" s="7" t="s">
        <v>58</v>
      </c>
      <c r="F932" s="7" t="s">
        <v>58</v>
      </c>
      <c r="G932" s="7" t="s">
        <v>58</v>
      </c>
      <c r="H932" s="7" t="s">
        <v>58</v>
      </c>
      <c r="I932" s="7" t="s">
        <v>58</v>
      </c>
    </row>
    <row r="933" spans="1:9" x14ac:dyDescent="0.25">
      <c r="A933" s="1" t="s">
        <v>12</v>
      </c>
      <c r="B933" s="2"/>
      <c r="C933" s="2"/>
      <c r="D933" s="2"/>
      <c r="E933" s="2"/>
      <c r="F933" s="2"/>
      <c r="G933" s="2"/>
      <c r="H933" s="2"/>
      <c r="I933" s="2"/>
    </row>
    <row r="934" spans="1:9" x14ac:dyDescent="0.25">
      <c r="A934" s="8" t="s">
        <v>59</v>
      </c>
      <c r="B934" s="2"/>
      <c r="C934" s="2"/>
      <c r="D934" s="2"/>
      <c r="E934" s="2"/>
      <c r="F934" s="2"/>
      <c r="G934" s="2"/>
      <c r="H934" s="2"/>
      <c r="I934" s="2"/>
    </row>
    <row r="935" spans="1:9" ht="60" x14ac:dyDescent="0.25">
      <c r="A935" s="1" t="s">
        <v>13</v>
      </c>
      <c r="B935" s="5">
        <v>39.450000000000003</v>
      </c>
      <c r="C935" s="5">
        <v>41.71</v>
      </c>
      <c r="D935" s="5">
        <v>44.29</v>
      </c>
      <c r="E935" s="5">
        <v>47.24</v>
      </c>
      <c r="F935" s="5">
        <v>50.72</v>
      </c>
      <c r="G935" s="5">
        <v>52.22</v>
      </c>
      <c r="H935" s="5">
        <v>52.5</v>
      </c>
      <c r="I935" s="6">
        <v>4.8782379999999996</v>
      </c>
    </row>
    <row r="936" spans="1:9" ht="60" x14ac:dyDescent="0.25">
      <c r="A936" s="1" t="s">
        <v>117</v>
      </c>
      <c r="B936" s="5">
        <v>0</v>
      </c>
      <c r="C936" s="5">
        <v>0</v>
      </c>
      <c r="D936" s="5">
        <v>0</v>
      </c>
      <c r="E936" s="5">
        <v>0</v>
      </c>
      <c r="F936" s="5">
        <v>0</v>
      </c>
      <c r="G936" s="5">
        <v>0</v>
      </c>
      <c r="H936" s="5">
        <v>0</v>
      </c>
      <c r="I936" s="7" t="s">
        <v>58</v>
      </c>
    </row>
    <row r="937" spans="1:9" ht="60" x14ac:dyDescent="0.25">
      <c r="A937" s="1" t="s">
        <v>118</v>
      </c>
      <c r="B937" s="5">
        <v>7.15</v>
      </c>
      <c r="C937" s="5">
        <v>7.19</v>
      </c>
      <c r="D937" s="5">
        <v>7.33</v>
      </c>
      <c r="E937" s="5">
        <v>7.58</v>
      </c>
      <c r="F937" s="5">
        <v>7.69</v>
      </c>
      <c r="G937" s="5">
        <v>7.79</v>
      </c>
      <c r="H937" s="5">
        <v>7.9</v>
      </c>
      <c r="I937" s="6">
        <v>1.6764030000000001</v>
      </c>
    </row>
    <row r="938" spans="1:9" ht="60" x14ac:dyDescent="0.25">
      <c r="A938" s="1" t="s">
        <v>119</v>
      </c>
      <c r="B938" s="5">
        <v>16.7</v>
      </c>
      <c r="C938" s="5">
        <v>17.59</v>
      </c>
      <c r="D938" s="5">
        <v>18.559999999999999</v>
      </c>
      <c r="E938" s="5">
        <v>19.61</v>
      </c>
      <c r="F938" s="5">
        <v>21.17</v>
      </c>
      <c r="G938" s="5">
        <v>22.88</v>
      </c>
      <c r="H938" s="5">
        <v>23.32</v>
      </c>
      <c r="I938" s="6">
        <v>5.7228050000000001</v>
      </c>
    </row>
    <row r="939" spans="1:9" ht="60" x14ac:dyDescent="0.25">
      <c r="A939" s="1" t="s">
        <v>120</v>
      </c>
      <c r="B939" s="5">
        <v>0.37</v>
      </c>
      <c r="C939" s="5">
        <v>0.36</v>
      </c>
      <c r="D939" s="5">
        <v>0.35</v>
      </c>
      <c r="E939" s="5">
        <v>0.34</v>
      </c>
      <c r="F939" s="5">
        <v>0.33</v>
      </c>
      <c r="G939" s="5">
        <v>0.32</v>
      </c>
      <c r="H939" s="5">
        <v>0.32</v>
      </c>
      <c r="I939" s="6">
        <v>-2.39066</v>
      </c>
    </row>
    <row r="940" spans="1:9" ht="75" x14ac:dyDescent="0.25">
      <c r="A940" s="1" t="s">
        <v>121</v>
      </c>
      <c r="B940" s="5">
        <v>15.22</v>
      </c>
      <c r="C940" s="5">
        <v>16.559999999999999</v>
      </c>
      <c r="D940" s="5">
        <v>18.05</v>
      </c>
      <c r="E940" s="5">
        <v>19.7</v>
      </c>
      <c r="F940" s="5">
        <v>21.54</v>
      </c>
      <c r="G940" s="5">
        <v>21.23</v>
      </c>
      <c r="H940" s="5">
        <v>20.96</v>
      </c>
      <c r="I940" s="6">
        <v>5.4782149999999996</v>
      </c>
    </row>
    <row r="941" spans="1:9" ht="75" x14ac:dyDescent="0.25">
      <c r="A941" s="1" t="s">
        <v>122</v>
      </c>
      <c r="B941" s="5">
        <v>0</v>
      </c>
      <c r="C941" s="5">
        <v>0</v>
      </c>
      <c r="D941" s="5">
        <v>0</v>
      </c>
      <c r="E941" s="5">
        <v>0</v>
      </c>
      <c r="F941" s="5">
        <v>0</v>
      </c>
      <c r="G941" s="5">
        <v>0</v>
      </c>
      <c r="H941" s="5">
        <v>0</v>
      </c>
      <c r="I941" s="7" t="s">
        <v>58</v>
      </c>
    </row>
    <row r="942" spans="1:9" ht="60" x14ac:dyDescent="0.25">
      <c r="A942" s="1" t="s">
        <v>123</v>
      </c>
      <c r="B942" s="5">
        <v>0</v>
      </c>
      <c r="C942" s="5">
        <v>0</v>
      </c>
      <c r="D942" s="5">
        <v>0</v>
      </c>
      <c r="E942" s="5">
        <v>0</v>
      </c>
      <c r="F942" s="5">
        <v>0</v>
      </c>
      <c r="G942" s="5">
        <v>0</v>
      </c>
      <c r="H942" s="5">
        <v>0</v>
      </c>
      <c r="I942" s="7" t="s">
        <v>58</v>
      </c>
    </row>
    <row r="943" spans="1:9" ht="60" x14ac:dyDescent="0.25">
      <c r="A943" s="1" t="s">
        <v>124</v>
      </c>
      <c r="B943" s="5">
        <v>18.13</v>
      </c>
      <c r="C943" s="5">
        <v>17.239999999999998</v>
      </c>
      <c r="D943" s="5">
        <v>16.54</v>
      </c>
      <c r="E943" s="5">
        <v>16.059999999999999</v>
      </c>
      <c r="F943" s="5">
        <v>15.16</v>
      </c>
      <c r="G943" s="5">
        <v>14.91</v>
      </c>
      <c r="H943" s="5">
        <v>15.04</v>
      </c>
      <c r="I943" s="6">
        <v>-3.066252</v>
      </c>
    </row>
    <row r="944" spans="1:9" ht="60" x14ac:dyDescent="0.25">
      <c r="A944" s="1" t="s">
        <v>125</v>
      </c>
      <c r="B944" s="5">
        <v>42.34</v>
      </c>
      <c r="C944" s="5">
        <v>42.18</v>
      </c>
      <c r="D944" s="5">
        <v>41.9</v>
      </c>
      <c r="E944" s="5">
        <v>41.51</v>
      </c>
      <c r="F944" s="5">
        <v>41.73</v>
      </c>
      <c r="G944" s="5">
        <v>43.81</v>
      </c>
      <c r="H944" s="5">
        <v>44.43</v>
      </c>
      <c r="I944" s="6">
        <v>0.80627700000000002</v>
      </c>
    </row>
    <row r="945" spans="1:9" ht="60" x14ac:dyDescent="0.25">
      <c r="A945" s="1" t="s">
        <v>126</v>
      </c>
      <c r="B945" s="5">
        <v>0.95</v>
      </c>
      <c r="C945" s="5">
        <v>0.87</v>
      </c>
      <c r="D945" s="5">
        <v>0.8</v>
      </c>
      <c r="E945" s="5">
        <v>0.72</v>
      </c>
      <c r="F945" s="5">
        <v>0.66</v>
      </c>
      <c r="G945" s="5">
        <v>0.62</v>
      </c>
      <c r="H945" s="5">
        <v>0.61</v>
      </c>
      <c r="I945" s="6">
        <v>-7.1173979999999997</v>
      </c>
    </row>
    <row r="946" spans="1:9" ht="75" x14ac:dyDescent="0.25">
      <c r="A946" s="1" t="s">
        <v>127</v>
      </c>
      <c r="B946" s="5">
        <v>38.58</v>
      </c>
      <c r="C946" s="5">
        <v>39.71</v>
      </c>
      <c r="D946" s="5">
        <v>40.76</v>
      </c>
      <c r="E946" s="5">
        <v>41.71</v>
      </c>
      <c r="F946" s="5">
        <v>42.46</v>
      </c>
      <c r="G946" s="5">
        <v>40.659999999999997</v>
      </c>
      <c r="H946" s="5">
        <v>39.92</v>
      </c>
      <c r="I946" s="6">
        <v>0.57067999999999997</v>
      </c>
    </row>
    <row r="947" spans="1:9" ht="60" x14ac:dyDescent="0.25">
      <c r="A947" s="1" t="s">
        <v>128</v>
      </c>
      <c r="B947" s="5">
        <v>0</v>
      </c>
      <c r="C947" s="5">
        <v>0</v>
      </c>
      <c r="D947" s="5">
        <v>0</v>
      </c>
      <c r="E947" s="5">
        <v>0</v>
      </c>
      <c r="F947" s="5">
        <v>0</v>
      </c>
      <c r="G947" s="5">
        <v>0</v>
      </c>
      <c r="H947" s="5">
        <v>0</v>
      </c>
      <c r="I947" s="7" t="s">
        <v>58</v>
      </c>
    </row>
    <row r="948" spans="1:9" ht="45" x14ac:dyDescent="0.25">
      <c r="A948" s="1" t="s">
        <v>129</v>
      </c>
      <c r="B948" s="7" t="s">
        <v>58</v>
      </c>
      <c r="C948" s="7" t="s">
        <v>58</v>
      </c>
      <c r="D948" s="7" t="s">
        <v>58</v>
      </c>
      <c r="E948" s="7" t="s">
        <v>58</v>
      </c>
      <c r="F948" s="7" t="s">
        <v>58</v>
      </c>
      <c r="G948" s="7" t="s">
        <v>58</v>
      </c>
      <c r="H948" s="7" t="s">
        <v>58</v>
      </c>
      <c r="I948" s="7" t="s">
        <v>58</v>
      </c>
    </row>
    <row r="949" spans="1:9" ht="45" x14ac:dyDescent="0.25">
      <c r="A949" s="1" t="s">
        <v>140</v>
      </c>
      <c r="B949" s="7" t="s">
        <v>58</v>
      </c>
      <c r="C949" s="7" t="s">
        <v>58</v>
      </c>
      <c r="D949" s="7" t="s">
        <v>58</v>
      </c>
      <c r="E949" s="7" t="s">
        <v>58</v>
      </c>
      <c r="F949" s="7" t="s">
        <v>58</v>
      </c>
      <c r="G949" s="7" t="s">
        <v>58</v>
      </c>
      <c r="H949" s="7" t="s">
        <v>58</v>
      </c>
      <c r="I949" s="7" t="s">
        <v>58</v>
      </c>
    </row>
    <row r="950" spans="1:9" ht="45" x14ac:dyDescent="0.25">
      <c r="A950" s="1" t="s">
        <v>141</v>
      </c>
      <c r="B950" s="7" t="s">
        <v>58</v>
      </c>
      <c r="C950" s="7" t="s">
        <v>58</v>
      </c>
      <c r="D950" s="7" t="s">
        <v>58</v>
      </c>
      <c r="E950" s="7" t="s">
        <v>58</v>
      </c>
      <c r="F950" s="7" t="s">
        <v>58</v>
      </c>
      <c r="G950" s="7" t="s">
        <v>58</v>
      </c>
      <c r="H950" s="7" t="s">
        <v>58</v>
      </c>
      <c r="I950" s="7" t="s">
        <v>58</v>
      </c>
    </row>
    <row r="951" spans="1:9" ht="45" x14ac:dyDescent="0.25">
      <c r="A951" s="1" t="s">
        <v>142</v>
      </c>
      <c r="B951" s="7" t="s">
        <v>58</v>
      </c>
      <c r="C951" s="7" t="s">
        <v>58</v>
      </c>
      <c r="D951" s="7" t="s">
        <v>58</v>
      </c>
      <c r="E951" s="7" t="s">
        <v>58</v>
      </c>
      <c r="F951" s="7" t="s">
        <v>58</v>
      </c>
      <c r="G951" s="7" t="s">
        <v>58</v>
      </c>
      <c r="H951" s="7" t="s">
        <v>58</v>
      </c>
      <c r="I951" s="7" t="s">
        <v>58</v>
      </c>
    </row>
    <row r="952" spans="1:9" ht="60" x14ac:dyDescent="0.25">
      <c r="A952" s="1" t="s">
        <v>133</v>
      </c>
      <c r="B952" s="7" t="s">
        <v>58</v>
      </c>
      <c r="C952" s="7" t="s">
        <v>58</v>
      </c>
      <c r="D952" s="7" t="s">
        <v>58</v>
      </c>
      <c r="E952" s="7" t="s">
        <v>58</v>
      </c>
      <c r="F952" s="7" t="s">
        <v>58</v>
      </c>
      <c r="G952" s="7" t="s">
        <v>58</v>
      </c>
      <c r="H952" s="7" t="s">
        <v>58</v>
      </c>
      <c r="I952" s="7" t="s">
        <v>58</v>
      </c>
    </row>
    <row r="953" spans="1:9" ht="60" x14ac:dyDescent="0.25">
      <c r="A953" s="1" t="s">
        <v>134</v>
      </c>
      <c r="B953" s="7" t="s">
        <v>58</v>
      </c>
      <c r="C953" s="7" t="s">
        <v>58</v>
      </c>
      <c r="D953" s="7" t="s">
        <v>58</v>
      </c>
      <c r="E953" s="7" t="s">
        <v>58</v>
      </c>
      <c r="F953" s="7" t="s">
        <v>58</v>
      </c>
      <c r="G953" s="7" t="s">
        <v>58</v>
      </c>
      <c r="H953" s="7" t="s">
        <v>58</v>
      </c>
      <c r="I953" s="7" t="s">
        <v>58</v>
      </c>
    </row>
    <row r="954" spans="1:9" x14ac:dyDescent="0.25">
      <c r="A954" s="1" t="s">
        <v>12</v>
      </c>
      <c r="B954" s="2"/>
      <c r="C954" s="2"/>
      <c r="D954" s="2"/>
      <c r="E954" s="2"/>
      <c r="F954" s="2"/>
      <c r="G954" s="2"/>
      <c r="H954" s="2"/>
      <c r="I954" s="2"/>
    </row>
    <row r="955" spans="1:9" x14ac:dyDescent="0.25">
      <c r="A955" s="8" t="s">
        <v>60</v>
      </c>
      <c r="B955" s="2"/>
      <c r="C955" s="2"/>
      <c r="D955" s="2"/>
      <c r="E955" s="2"/>
      <c r="F955" s="2"/>
      <c r="G955" s="2"/>
      <c r="H955" s="2"/>
      <c r="I955" s="2"/>
    </row>
    <row r="956" spans="1:9" ht="60" x14ac:dyDescent="0.25">
      <c r="A956" s="1" t="s">
        <v>13</v>
      </c>
      <c r="B956" s="5">
        <v>16.27</v>
      </c>
      <c r="C956" s="5">
        <v>17.34</v>
      </c>
      <c r="D956" s="5">
        <v>18.440000000000001</v>
      </c>
      <c r="E956" s="5">
        <v>19.57</v>
      </c>
      <c r="F956" s="5">
        <v>21.04</v>
      </c>
      <c r="G956" s="5">
        <v>22.4</v>
      </c>
      <c r="H956" s="5">
        <v>23.92</v>
      </c>
      <c r="I956" s="6">
        <v>6.6339759999999997</v>
      </c>
    </row>
    <row r="957" spans="1:9" ht="60" x14ac:dyDescent="0.25">
      <c r="A957" s="1" t="s">
        <v>117</v>
      </c>
      <c r="B957" s="5">
        <v>0.02</v>
      </c>
      <c r="C957" s="5">
        <v>0.02</v>
      </c>
      <c r="D957" s="5">
        <v>0.02</v>
      </c>
      <c r="E957" s="5">
        <v>0.01</v>
      </c>
      <c r="F957" s="5">
        <v>0.01</v>
      </c>
      <c r="G957" s="5">
        <v>0.01</v>
      </c>
      <c r="H957" s="5">
        <v>0.01</v>
      </c>
      <c r="I957" s="6">
        <v>-10.910128</v>
      </c>
    </row>
    <row r="958" spans="1:9" ht="60" x14ac:dyDescent="0.25">
      <c r="A958" s="1" t="s">
        <v>118</v>
      </c>
      <c r="B958" s="5">
        <v>0.06</v>
      </c>
      <c r="C958" s="5">
        <v>0.05</v>
      </c>
      <c r="D958" s="5">
        <v>0.04</v>
      </c>
      <c r="E958" s="5">
        <v>0.03</v>
      </c>
      <c r="F958" s="5">
        <v>0.02</v>
      </c>
      <c r="G958" s="5">
        <v>0.02</v>
      </c>
      <c r="H958" s="5">
        <v>0.01</v>
      </c>
      <c r="I958" s="6">
        <v>-25.816362000000002</v>
      </c>
    </row>
    <row r="959" spans="1:9" ht="60" x14ac:dyDescent="0.25">
      <c r="A959" s="1" t="s">
        <v>119</v>
      </c>
      <c r="B959" s="5">
        <v>16.170000000000002</v>
      </c>
      <c r="C959" s="5">
        <v>17.25</v>
      </c>
      <c r="D959" s="5">
        <v>18.37</v>
      </c>
      <c r="E959" s="5">
        <v>19.510000000000002</v>
      </c>
      <c r="F959" s="5">
        <v>20.99</v>
      </c>
      <c r="G959" s="5">
        <v>22.35</v>
      </c>
      <c r="H959" s="5">
        <v>23.88</v>
      </c>
      <c r="I959" s="6">
        <v>6.713832</v>
      </c>
    </row>
    <row r="960" spans="1:9" ht="60" x14ac:dyDescent="0.25">
      <c r="A960" s="1" t="s">
        <v>120</v>
      </c>
      <c r="B960" s="5">
        <v>0</v>
      </c>
      <c r="C960" s="5">
        <v>0</v>
      </c>
      <c r="D960" s="5">
        <v>0</v>
      </c>
      <c r="E960" s="5">
        <v>0</v>
      </c>
      <c r="F960" s="5">
        <v>0</v>
      </c>
      <c r="G960" s="5">
        <v>0</v>
      </c>
      <c r="H960" s="5">
        <v>0</v>
      </c>
      <c r="I960" s="7" t="s">
        <v>58</v>
      </c>
    </row>
    <row r="961" spans="1:9" ht="75" x14ac:dyDescent="0.25">
      <c r="A961" s="1" t="s">
        <v>121</v>
      </c>
      <c r="B961" s="5">
        <v>0.02</v>
      </c>
      <c r="C961" s="5">
        <v>0.02</v>
      </c>
      <c r="D961" s="5">
        <v>0.02</v>
      </c>
      <c r="E961" s="5">
        <v>0.02</v>
      </c>
      <c r="F961" s="5">
        <v>0.02</v>
      </c>
      <c r="G961" s="5">
        <v>0.02</v>
      </c>
      <c r="H961" s="5">
        <v>0.02</v>
      </c>
      <c r="I961" s="6">
        <v>0</v>
      </c>
    </row>
    <row r="962" spans="1:9" ht="75" x14ac:dyDescent="0.25">
      <c r="A962" s="1" t="s">
        <v>122</v>
      </c>
      <c r="B962" s="5">
        <v>0</v>
      </c>
      <c r="C962" s="5">
        <v>0</v>
      </c>
      <c r="D962" s="5">
        <v>0</v>
      </c>
      <c r="E962" s="5">
        <v>0</v>
      </c>
      <c r="F962" s="5">
        <v>0</v>
      </c>
      <c r="G962" s="5">
        <v>0</v>
      </c>
      <c r="H962" s="5">
        <v>0</v>
      </c>
      <c r="I962" s="7" t="s">
        <v>58</v>
      </c>
    </row>
    <row r="963" spans="1:9" ht="60" x14ac:dyDescent="0.25">
      <c r="A963" s="1" t="s">
        <v>123</v>
      </c>
      <c r="B963" s="5">
        <v>0.12</v>
      </c>
      <c r="C963" s="5">
        <v>0.1</v>
      </c>
      <c r="D963" s="5">
        <v>0.08</v>
      </c>
      <c r="E963" s="5">
        <v>7.0000000000000007E-2</v>
      </c>
      <c r="F963" s="5">
        <v>0.06</v>
      </c>
      <c r="G963" s="5">
        <v>0.05</v>
      </c>
      <c r="H963" s="5">
        <v>0.04</v>
      </c>
      <c r="I963" s="6">
        <v>-16.731681999999999</v>
      </c>
    </row>
    <row r="964" spans="1:9" ht="60" x14ac:dyDescent="0.25">
      <c r="A964" s="1" t="s">
        <v>124</v>
      </c>
      <c r="B964" s="5">
        <v>0.37</v>
      </c>
      <c r="C964" s="5">
        <v>0.27</v>
      </c>
      <c r="D964" s="5">
        <v>0.2</v>
      </c>
      <c r="E964" s="5">
        <v>0.15</v>
      </c>
      <c r="F964" s="5">
        <v>0.11</v>
      </c>
      <c r="G964" s="5">
        <v>0.08</v>
      </c>
      <c r="H964" s="5">
        <v>0.06</v>
      </c>
      <c r="I964" s="6">
        <v>-26.154349</v>
      </c>
    </row>
    <row r="965" spans="1:9" ht="60" x14ac:dyDescent="0.25">
      <c r="A965" s="1" t="s">
        <v>125</v>
      </c>
      <c r="B965" s="5">
        <v>99.39</v>
      </c>
      <c r="C965" s="5">
        <v>99.51</v>
      </c>
      <c r="D965" s="5">
        <v>99.61</v>
      </c>
      <c r="E965" s="5">
        <v>99.68</v>
      </c>
      <c r="F965" s="5">
        <v>99.74</v>
      </c>
      <c r="G965" s="5">
        <v>99.78</v>
      </c>
      <c r="H965" s="5">
        <v>99.82</v>
      </c>
      <c r="I965" s="6">
        <v>7.1976999999999999E-2</v>
      </c>
    </row>
    <row r="966" spans="1:9" ht="60" x14ac:dyDescent="0.25">
      <c r="A966" s="1" t="s">
        <v>126</v>
      </c>
      <c r="B966" s="5">
        <v>0</v>
      </c>
      <c r="C966" s="5">
        <v>0</v>
      </c>
      <c r="D966" s="5">
        <v>0</v>
      </c>
      <c r="E966" s="5">
        <v>0</v>
      </c>
      <c r="F966" s="5">
        <v>0</v>
      </c>
      <c r="G966" s="5">
        <v>0</v>
      </c>
      <c r="H966" s="5">
        <v>0</v>
      </c>
      <c r="I966" s="7" t="s">
        <v>58</v>
      </c>
    </row>
    <row r="967" spans="1:9" ht="75" x14ac:dyDescent="0.25">
      <c r="A967" s="1" t="s">
        <v>127</v>
      </c>
      <c r="B967" s="5">
        <v>0.13</v>
      </c>
      <c r="C967" s="5">
        <v>0.12</v>
      </c>
      <c r="D967" s="5">
        <v>0.11</v>
      </c>
      <c r="E967" s="5">
        <v>0.1</v>
      </c>
      <c r="F967" s="5">
        <v>0.1</v>
      </c>
      <c r="G967" s="5">
        <v>0.09</v>
      </c>
      <c r="H967" s="5">
        <v>0.08</v>
      </c>
      <c r="I967" s="6">
        <v>-7.773066</v>
      </c>
    </row>
    <row r="968" spans="1:9" ht="60" x14ac:dyDescent="0.25">
      <c r="A968" s="1" t="s">
        <v>128</v>
      </c>
      <c r="B968" s="5">
        <v>0</v>
      </c>
      <c r="C968" s="5">
        <v>0</v>
      </c>
      <c r="D968" s="5">
        <v>0</v>
      </c>
      <c r="E968" s="5">
        <v>0</v>
      </c>
      <c r="F968" s="5">
        <v>0</v>
      </c>
      <c r="G968" s="5">
        <v>0</v>
      </c>
      <c r="H968" s="5">
        <v>0</v>
      </c>
      <c r="I968" s="7" t="s">
        <v>58</v>
      </c>
    </row>
    <row r="969" spans="1:9" ht="45" x14ac:dyDescent="0.25">
      <c r="A969" s="1" t="s">
        <v>129</v>
      </c>
      <c r="B969" s="5">
        <v>14.79</v>
      </c>
      <c r="C969" s="5">
        <v>14.99</v>
      </c>
      <c r="D969" s="5">
        <v>15.25</v>
      </c>
      <c r="E969" s="5">
        <v>15.54</v>
      </c>
      <c r="F969" s="5">
        <v>15.82</v>
      </c>
      <c r="G969" s="5">
        <v>16.14</v>
      </c>
      <c r="H969" s="5">
        <v>16.41</v>
      </c>
      <c r="I969" s="6">
        <v>1.7474189467817425</v>
      </c>
    </row>
    <row r="970" spans="1:9" ht="45" x14ac:dyDescent="0.25">
      <c r="A970" s="1" t="s">
        <v>140</v>
      </c>
      <c r="B970" s="5">
        <v>11.25</v>
      </c>
      <c r="C970" s="5">
        <v>11.23</v>
      </c>
      <c r="D970" s="5">
        <v>11.25</v>
      </c>
      <c r="E970" s="5">
        <v>11.3</v>
      </c>
      <c r="F970" s="5">
        <v>11.32</v>
      </c>
      <c r="G970" s="5">
        <v>11.38</v>
      </c>
      <c r="H970" s="5">
        <v>11.4</v>
      </c>
      <c r="I970" s="6">
        <v>0.220998</v>
      </c>
    </row>
    <row r="971" spans="1:9" ht="45" x14ac:dyDescent="0.25">
      <c r="A971" s="1" t="s">
        <v>141</v>
      </c>
      <c r="B971" s="5">
        <v>13.48</v>
      </c>
      <c r="C971" s="5">
        <v>13.53</v>
      </c>
      <c r="D971" s="5">
        <v>13.62</v>
      </c>
      <c r="E971" s="5">
        <v>13.74</v>
      </c>
      <c r="F971" s="5">
        <v>13.85</v>
      </c>
      <c r="G971" s="5">
        <v>13.98</v>
      </c>
      <c r="H971" s="5">
        <v>14.08</v>
      </c>
      <c r="I971" s="6">
        <v>0.72844399999999998</v>
      </c>
    </row>
    <row r="972" spans="1:9" ht="45" x14ac:dyDescent="0.25">
      <c r="A972" s="1" t="s">
        <v>142</v>
      </c>
      <c r="B972" s="5">
        <v>14.81</v>
      </c>
      <c r="C972" s="5">
        <v>15.01</v>
      </c>
      <c r="D972" s="5">
        <v>15.26</v>
      </c>
      <c r="E972" s="5">
        <v>15.56</v>
      </c>
      <c r="F972" s="5">
        <v>15.83</v>
      </c>
      <c r="G972" s="5">
        <v>16.149999999999999</v>
      </c>
      <c r="H972" s="5">
        <v>16.420000000000002</v>
      </c>
      <c r="I972" s="6">
        <v>1.734834</v>
      </c>
    </row>
    <row r="973" spans="1:9" ht="60" x14ac:dyDescent="0.25">
      <c r="A973" s="1" t="s">
        <v>133</v>
      </c>
      <c r="B973" s="7" t="s">
        <v>58</v>
      </c>
      <c r="C973" s="7" t="s">
        <v>58</v>
      </c>
      <c r="D973" s="7" t="s">
        <v>58</v>
      </c>
      <c r="E973" s="7" t="s">
        <v>58</v>
      </c>
      <c r="F973" s="7" t="s">
        <v>58</v>
      </c>
      <c r="G973" s="7" t="s">
        <v>58</v>
      </c>
      <c r="H973" s="7" t="s">
        <v>58</v>
      </c>
      <c r="I973" s="7" t="s">
        <v>58</v>
      </c>
    </row>
    <row r="974" spans="1:9" ht="60" x14ac:dyDescent="0.25">
      <c r="A974" s="1" t="s">
        <v>134</v>
      </c>
      <c r="B974" s="5">
        <v>9.01</v>
      </c>
      <c r="C974" s="5">
        <v>8.9499999999999993</v>
      </c>
      <c r="D974" s="5">
        <v>8.92</v>
      </c>
      <c r="E974" s="5">
        <v>8.91</v>
      </c>
      <c r="F974" s="5">
        <v>8.89</v>
      </c>
      <c r="G974" s="5">
        <v>8.89</v>
      </c>
      <c r="H974" s="5">
        <v>8.86</v>
      </c>
      <c r="I974" s="6">
        <v>-0.279414</v>
      </c>
    </row>
    <row r="975" spans="1:9" x14ac:dyDescent="0.25">
      <c r="A975" s="1" t="s">
        <v>12</v>
      </c>
      <c r="B975" s="2"/>
      <c r="C975" s="2"/>
      <c r="D975" s="2"/>
      <c r="E975" s="2"/>
      <c r="F975" s="2"/>
      <c r="G975" s="2"/>
      <c r="H975" s="2"/>
      <c r="I975" s="2"/>
    </row>
    <row r="976" spans="1:9" ht="45" x14ac:dyDescent="0.25">
      <c r="A976" s="8" t="s">
        <v>61</v>
      </c>
      <c r="B976" s="2"/>
      <c r="C976" s="2"/>
      <c r="D976" s="2"/>
      <c r="E976" s="2"/>
      <c r="F976" s="2"/>
      <c r="G976" s="2"/>
      <c r="H976" s="2"/>
      <c r="I976" s="2"/>
    </row>
    <row r="977" spans="1:9" ht="60" x14ac:dyDescent="0.25">
      <c r="A977" s="1" t="s">
        <v>13</v>
      </c>
      <c r="B977" s="5">
        <v>55.04</v>
      </c>
      <c r="C977" s="5">
        <v>57.2</v>
      </c>
      <c r="D977" s="5">
        <v>59.03</v>
      </c>
      <c r="E977" s="5">
        <v>60.42</v>
      </c>
      <c r="F977" s="5">
        <v>61.48</v>
      </c>
      <c r="G977" s="5">
        <v>62.34</v>
      </c>
      <c r="H977" s="5">
        <v>62.99</v>
      </c>
      <c r="I977" s="6">
        <v>2.2740680000000002</v>
      </c>
    </row>
    <row r="978" spans="1:9" ht="60" x14ac:dyDescent="0.25">
      <c r="A978" s="1" t="s">
        <v>117</v>
      </c>
      <c r="B978" s="5">
        <v>15.14</v>
      </c>
      <c r="C978" s="5">
        <v>14.79</v>
      </c>
      <c r="D978" s="5">
        <v>14.49</v>
      </c>
      <c r="E978" s="5">
        <v>14.21</v>
      </c>
      <c r="F978" s="5">
        <v>13.9</v>
      </c>
      <c r="G978" s="5">
        <v>13.61</v>
      </c>
      <c r="H978" s="5">
        <v>13.32</v>
      </c>
      <c r="I978" s="6">
        <v>-2.111939</v>
      </c>
    </row>
    <row r="979" spans="1:9" ht="60" x14ac:dyDescent="0.25">
      <c r="A979" s="1" t="s">
        <v>118</v>
      </c>
      <c r="B979" s="5">
        <v>2.79</v>
      </c>
      <c r="C979" s="5">
        <v>1.93</v>
      </c>
      <c r="D979" s="5">
        <v>1.53</v>
      </c>
      <c r="E979" s="5">
        <v>1.29</v>
      </c>
      <c r="F979" s="5">
        <v>1.1499999999999999</v>
      </c>
      <c r="G979" s="5">
        <v>1.06</v>
      </c>
      <c r="H979" s="5">
        <v>1</v>
      </c>
      <c r="I979" s="6">
        <v>-15.718427</v>
      </c>
    </row>
    <row r="980" spans="1:9" ht="60" x14ac:dyDescent="0.25">
      <c r="A980" s="1" t="s">
        <v>119</v>
      </c>
      <c r="B980" s="5">
        <v>34.94</v>
      </c>
      <c r="C980" s="5">
        <v>38.28</v>
      </c>
      <c r="D980" s="5">
        <v>40.869999999999997</v>
      </c>
      <c r="E980" s="5">
        <v>42.82</v>
      </c>
      <c r="F980" s="5">
        <v>44.36</v>
      </c>
      <c r="G980" s="5">
        <v>45.61</v>
      </c>
      <c r="H980" s="5">
        <v>46.62</v>
      </c>
      <c r="I980" s="6">
        <v>4.9240139999999997</v>
      </c>
    </row>
    <row r="981" spans="1:9" ht="60" x14ac:dyDescent="0.25">
      <c r="A981" s="1" t="s">
        <v>120</v>
      </c>
      <c r="B981" s="5">
        <v>0.27</v>
      </c>
      <c r="C981" s="5">
        <v>0.34</v>
      </c>
      <c r="D981" s="5">
        <v>0.35</v>
      </c>
      <c r="E981" s="5">
        <v>0.36</v>
      </c>
      <c r="F981" s="5">
        <v>0.38</v>
      </c>
      <c r="G981" s="5">
        <v>0.39</v>
      </c>
      <c r="H981" s="5">
        <v>0.42</v>
      </c>
      <c r="I981" s="6">
        <v>7.6417919999999997</v>
      </c>
    </row>
    <row r="982" spans="1:9" ht="75" x14ac:dyDescent="0.25">
      <c r="A982" s="1" t="s">
        <v>121</v>
      </c>
      <c r="B982" s="5">
        <v>1.78</v>
      </c>
      <c r="C982" s="5">
        <v>1.72</v>
      </c>
      <c r="D982" s="5">
        <v>1.66</v>
      </c>
      <c r="E982" s="5">
        <v>1.61</v>
      </c>
      <c r="F982" s="5">
        <v>1.57</v>
      </c>
      <c r="G982" s="5">
        <v>1.53</v>
      </c>
      <c r="H982" s="5">
        <v>1.51</v>
      </c>
      <c r="I982" s="6">
        <v>-2.7044839999999999</v>
      </c>
    </row>
    <row r="983" spans="1:9" ht="75" x14ac:dyDescent="0.25">
      <c r="A983" s="1" t="s">
        <v>122</v>
      </c>
      <c r="B983" s="5">
        <v>0.13</v>
      </c>
      <c r="C983" s="5">
        <v>0.13</v>
      </c>
      <c r="D983" s="5">
        <v>0.13</v>
      </c>
      <c r="E983" s="5">
        <v>0.13</v>
      </c>
      <c r="F983" s="5">
        <v>0.13</v>
      </c>
      <c r="G983" s="5">
        <v>0.13</v>
      </c>
      <c r="H983" s="5">
        <v>0.13</v>
      </c>
      <c r="I983" s="6">
        <v>0</v>
      </c>
    </row>
    <row r="984" spans="1:9" ht="60" x14ac:dyDescent="0.25">
      <c r="A984" s="1" t="s">
        <v>123</v>
      </c>
      <c r="B984" s="5">
        <v>27.5</v>
      </c>
      <c r="C984" s="5">
        <v>25.86</v>
      </c>
      <c r="D984" s="5">
        <v>24.54</v>
      </c>
      <c r="E984" s="5">
        <v>23.51</v>
      </c>
      <c r="F984" s="5">
        <v>22.61</v>
      </c>
      <c r="G984" s="5">
        <v>21.83</v>
      </c>
      <c r="H984" s="5">
        <v>21.15</v>
      </c>
      <c r="I984" s="6">
        <v>-4.2814129999999997</v>
      </c>
    </row>
    <row r="985" spans="1:9" ht="60" x14ac:dyDescent="0.25">
      <c r="A985" s="1" t="s">
        <v>124</v>
      </c>
      <c r="B985" s="5">
        <v>5.07</v>
      </c>
      <c r="C985" s="5">
        <v>3.38</v>
      </c>
      <c r="D985" s="5">
        <v>2.6</v>
      </c>
      <c r="E985" s="5">
        <v>2.14</v>
      </c>
      <c r="F985" s="5">
        <v>1.87</v>
      </c>
      <c r="G985" s="5">
        <v>1.7</v>
      </c>
      <c r="H985" s="5">
        <v>1.58</v>
      </c>
      <c r="I985" s="6">
        <v>-17.660506999999999</v>
      </c>
    </row>
    <row r="986" spans="1:9" ht="60" x14ac:dyDescent="0.25">
      <c r="A986" s="1" t="s">
        <v>125</v>
      </c>
      <c r="B986" s="5">
        <v>63.48</v>
      </c>
      <c r="C986" s="5">
        <v>66.930000000000007</v>
      </c>
      <c r="D986" s="5">
        <v>69.23</v>
      </c>
      <c r="E986" s="5">
        <v>70.87</v>
      </c>
      <c r="F986" s="5">
        <v>72.150000000000006</v>
      </c>
      <c r="G986" s="5">
        <v>73.17</v>
      </c>
      <c r="H986" s="5">
        <v>74.010000000000005</v>
      </c>
      <c r="I986" s="6">
        <v>2.5909179999999998</v>
      </c>
    </row>
    <row r="987" spans="1:9" ht="60" x14ac:dyDescent="0.25">
      <c r="A987" s="1" t="s">
        <v>126</v>
      </c>
      <c r="B987" s="5">
        <v>0.48</v>
      </c>
      <c r="C987" s="5">
        <v>0.59</v>
      </c>
      <c r="D987" s="5">
        <v>0.59</v>
      </c>
      <c r="E987" s="5">
        <v>0.6</v>
      </c>
      <c r="F987" s="5">
        <v>0.61</v>
      </c>
      <c r="G987" s="5">
        <v>0.63</v>
      </c>
      <c r="H987" s="5">
        <v>0.66</v>
      </c>
      <c r="I987" s="6">
        <v>5.450939</v>
      </c>
    </row>
    <row r="988" spans="1:9" ht="75" x14ac:dyDescent="0.25">
      <c r="A988" s="1" t="s">
        <v>127</v>
      </c>
      <c r="B988" s="5">
        <v>3.23</v>
      </c>
      <c r="C988" s="5">
        <v>3.01</v>
      </c>
      <c r="D988" s="5">
        <v>2.81</v>
      </c>
      <c r="E988" s="5">
        <v>2.66</v>
      </c>
      <c r="F988" s="5">
        <v>2.5499999999999998</v>
      </c>
      <c r="G988" s="5">
        <v>2.46</v>
      </c>
      <c r="H988" s="5">
        <v>2.39</v>
      </c>
      <c r="I988" s="6">
        <v>-4.8959020000000004</v>
      </c>
    </row>
    <row r="989" spans="1:9" ht="60" x14ac:dyDescent="0.25">
      <c r="A989" s="1" t="s">
        <v>128</v>
      </c>
      <c r="B989" s="5">
        <v>0.24</v>
      </c>
      <c r="C989" s="5">
        <v>0.23</v>
      </c>
      <c r="D989" s="5">
        <v>0.22</v>
      </c>
      <c r="E989" s="5">
        <v>0.22</v>
      </c>
      <c r="F989" s="5">
        <v>0.21</v>
      </c>
      <c r="G989" s="5">
        <v>0.21</v>
      </c>
      <c r="H989" s="5">
        <v>0.2</v>
      </c>
      <c r="I989" s="6">
        <v>-2.992988</v>
      </c>
    </row>
    <row r="990" spans="1:9" ht="45" x14ac:dyDescent="0.25">
      <c r="A990" s="1" t="s">
        <v>129</v>
      </c>
      <c r="B990" s="7" t="s">
        <v>58</v>
      </c>
      <c r="C990" s="7" t="s">
        <v>58</v>
      </c>
      <c r="D990" s="7" t="s">
        <v>58</v>
      </c>
      <c r="E990" s="7" t="s">
        <v>58</v>
      </c>
      <c r="F990" s="7" t="s">
        <v>58</v>
      </c>
      <c r="G990" s="7" t="s">
        <v>58</v>
      </c>
      <c r="H990" s="7" t="s">
        <v>58</v>
      </c>
      <c r="I990" s="7" t="s">
        <v>58</v>
      </c>
    </row>
    <row r="991" spans="1:9" ht="45" x14ac:dyDescent="0.25">
      <c r="A991" s="1" t="s">
        <v>140</v>
      </c>
      <c r="B991" s="7" t="s">
        <v>58</v>
      </c>
      <c r="C991" s="7" t="s">
        <v>58</v>
      </c>
      <c r="D991" s="7" t="s">
        <v>58</v>
      </c>
      <c r="E991" s="7" t="s">
        <v>58</v>
      </c>
      <c r="F991" s="7" t="s">
        <v>58</v>
      </c>
      <c r="G991" s="7" t="s">
        <v>58</v>
      </c>
      <c r="H991" s="7" t="s">
        <v>58</v>
      </c>
      <c r="I991" s="7" t="s">
        <v>58</v>
      </c>
    </row>
    <row r="992" spans="1:9" ht="45" x14ac:dyDescent="0.25">
      <c r="A992" s="1" t="s">
        <v>141</v>
      </c>
      <c r="B992" s="7" t="s">
        <v>58</v>
      </c>
      <c r="C992" s="7" t="s">
        <v>58</v>
      </c>
      <c r="D992" s="7" t="s">
        <v>58</v>
      </c>
      <c r="E992" s="7" t="s">
        <v>58</v>
      </c>
      <c r="F992" s="7" t="s">
        <v>58</v>
      </c>
      <c r="G992" s="7" t="s">
        <v>58</v>
      </c>
      <c r="H992" s="7" t="s">
        <v>58</v>
      </c>
      <c r="I992" s="7" t="s">
        <v>58</v>
      </c>
    </row>
    <row r="993" spans="1:9" ht="45" x14ac:dyDescent="0.25">
      <c r="A993" s="1" t="s">
        <v>142</v>
      </c>
      <c r="B993" s="7" t="s">
        <v>58</v>
      </c>
      <c r="C993" s="7" t="s">
        <v>58</v>
      </c>
      <c r="D993" s="7" t="s">
        <v>58</v>
      </c>
      <c r="E993" s="7" t="s">
        <v>58</v>
      </c>
      <c r="F993" s="7" t="s">
        <v>58</v>
      </c>
      <c r="G993" s="7" t="s">
        <v>58</v>
      </c>
      <c r="H993" s="7" t="s">
        <v>58</v>
      </c>
      <c r="I993" s="7" t="s">
        <v>58</v>
      </c>
    </row>
    <row r="994" spans="1:9" ht="60" x14ac:dyDescent="0.25">
      <c r="A994" s="1" t="s">
        <v>133</v>
      </c>
      <c r="B994" s="7" t="s">
        <v>58</v>
      </c>
      <c r="C994" s="7" t="s">
        <v>58</v>
      </c>
      <c r="D994" s="7" t="s">
        <v>58</v>
      </c>
      <c r="E994" s="7" t="s">
        <v>58</v>
      </c>
      <c r="F994" s="7" t="s">
        <v>58</v>
      </c>
      <c r="G994" s="7" t="s">
        <v>58</v>
      </c>
      <c r="H994" s="7" t="s">
        <v>58</v>
      </c>
      <c r="I994" s="7" t="s">
        <v>58</v>
      </c>
    </row>
    <row r="995" spans="1:9" ht="60" x14ac:dyDescent="0.25">
      <c r="A995" s="1" t="s">
        <v>134</v>
      </c>
      <c r="B995" s="7" t="s">
        <v>58</v>
      </c>
      <c r="C995" s="7" t="s">
        <v>58</v>
      </c>
      <c r="D995" s="7" t="s">
        <v>58</v>
      </c>
      <c r="E995" s="7" t="s">
        <v>58</v>
      </c>
      <c r="F995" s="7" t="s">
        <v>58</v>
      </c>
      <c r="G995" s="7" t="s">
        <v>58</v>
      </c>
      <c r="H995" s="7" t="s">
        <v>58</v>
      </c>
      <c r="I995" s="7" t="s">
        <v>58</v>
      </c>
    </row>
    <row r="996" spans="1:9" x14ac:dyDescent="0.25">
      <c r="A996" s="1" t="s">
        <v>12</v>
      </c>
      <c r="B996" s="2"/>
      <c r="C996" s="2"/>
      <c r="D996" s="2"/>
      <c r="E996" s="2"/>
      <c r="F996" s="2"/>
      <c r="G996" s="2"/>
      <c r="H996" s="2"/>
      <c r="I996" s="2"/>
    </row>
    <row r="997" spans="1:9" x14ac:dyDescent="0.25">
      <c r="A997" s="8" t="s">
        <v>62</v>
      </c>
      <c r="B997" s="2"/>
      <c r="C997" s="2"/>
      <c r="D997" s="2"/>
      <c r="E997" s="2"/>
      <c r="F997" s="2"/>
      <c r="G997" s="2"/>
      <c r="H997" s="2"/>
      <c r="I997" s="2"/>
    </row>
    <row r="998" spans="1:9" ht="60" x14ac:dyDescent="0.25">
      <c r="A998" s="1" t="s">
        <v>13</v>
      </c>
      <c r="B998" s="5">
        <v>57.13</v>
      </c>
      <c r="C998" s="5">
        <v>57.14</v>
      </c>
      <c r="D998" s="5">
        <v>56.94</v>
      </c>
      <c r="E998" s="5">
        <v>56.85</v>
      </c>
      <c r="F998" s="5">
        <v>56.85</v>
      </c>
      <c r="G998" s="5">
        <v>56.81</v>
      </c>
      <c r="H998" s="5">
        <v>56.73</v>
      </c>
      <c r="I998" s="6">
        <v>-0.117035</v>
      </c>
    </row>
    <row r="999" spans="1:9" ht="60" x14ac:dyDescent="0.25">
      <c r="A999" s="1" t="s">
        <v>117</v>
      </c>
      <c r="B999" s="5">
        <v>1</v>
      </c>
      <c r="C999" s="5">
        <v>0.85</v>
      </c>
      <c r="D999" s="5">
        <v>0.74</v>
      </c>
      <c r="E999" s="5">
        <v>0.66</v>
      </c>
      <c r="F999" s="5">
        <v>0.59</v>
      </c>
      <c r="G999" s="5">
        <v>0.54</v>
      </c>
      <c r="H999" s="5">
        <v>0.49</v>
      </c>
      <c r="I999" s="6">
        <v>-11.2096</v>
      </c>
    </row>
    <row r="1000" spans="1:9" ht="60" x14ac:dyDescent="0.25">
      <c r="A1000" s="1" t="s">
        <v>118</v>
      </c>
      <c r="B1000" s="5">
        <v>8.6999999999999993</v>
      </c>
      <c r="C1000" s="5">
        <v>8.2200000000000006</v>
      </c>
      <c r="D1000" s="5">
        <v>7.73</v>
      </c>
      <c r="E1000" s="5">
        <v>7.34</v>
      </c>
      <c r="F1000" s="5">
        <v>7.02</v>
      </c>
      <c r="G1000" s="5">
        <v>6.65</v>
      </c>
      <c r="H1000" s="5">
        <v>6.23</v>
      </c>
      <c r="I1000" s="6">
        <v>-5.4137230000000001</v>
      </c>
    </row>
    <row r="1001" spans="1:9" ht="60" x14ac:dyDescent="0.25">
      <c r="A1001" s="1" t="s">
        <v>119</v>
      </c>
      <c r="B1001" s="5">
        <v>45.11</v>
      </c>
      <c r="C1001" s="5">
        <v>45.56</v>
      </c>
      <c r="D1001" s="5">
        <v>46.11</v>
      </c>
      <c r="E1001" s="5">
        <v>46.64</v>
      </c>
      <c r="F1001" s="5">
        <v>47.16</v>
      </c>
      <c r="G1001" s="5">
        <v>47.66</v>
      </c>
      <c r="H1001" s="5">
        <v>48.15</v>
      </c>
      <c r="I1001" s="6">
        <v>1.0928819999999999</v>
      </c>
    </row>
    <row r="1002" spans="1:9" ht="60" x14ac:dyDescent="0.25">
      <c r="A1002" s="1" t="s">
        <v>120</v>
      </c>
      <c r="B1002" s="5">
        <v>0.19</v>
      </c>
      <c r="C1002" s="5">
        <v>0.53</v>
      </c>
      <c r="D1002" s="5">
        <v>0.51</v>
      </c>
      <c r="E1002" s="5">
        <v>0.49</v>
      </c>
      <c r="F1002" s="5">
        <v>0.47</v>
      </c>
      <c r="G1002" s="5">
        <v>0.44</v>
      </c>
      <c r="H1002" s="5">
        <v>0.41</v>
      </c>
      <c r="I1002" s="6">
        <v>13.676766000000001</v>
      </c>
    </row>
    <row r="1003" spans="1:9" ht="75" x14ac:dyDescent="0.25">
      <c r="A1003" s="1" t="s">
        <v>121</v>
      </c>
      <c r="B1003" s="5">
        <v>0.8</v>
      </c>
      <c r="C1003" s="5">
        <v>0.75</v>
      </c>
      <c r="D1003" s="5">
        <v>0.72</v>
      </c>
      <c r="E1003" s="5">
        <v>0.7</v>
      </c>
      <c r="F1003" s="5">
        <v>0.68</v>
      </c>
      <c r="G1003" s="5">
        <v>0.67</v>
      </c>
      <c r="H1003" s="5">
        <v>0.65</v>
      </c>
      <c r="I1003" s="6">
        <v>-3.4014600000000002</v>
      </c>
    </row>
    <row r="1004" spans="1:9" ht="75" x14ac:dyDescent="0.25">
      <c r="A1004" s="1" t="s">
        <v>122</v>
      </c>
      <c r="B1004" s="5">
        <v>1.32</v>
      </c>
      <c r="C1004" s="5">
        <v>1.23</v>
      </c>
      <c r="D1004" s="5">
        <v>1.1100000000000001</v>
      </c>
      <c r="E1004" s="5">
        <v>1.01</v>
      </c>
      <c r="F1004" s="5">
        <v>0.93</v>
      </c>
      <c r="G1004" s="5">
        <v>0.86</v>
      </c>
      <c r="H1004" s="5">
        <v>0.79</v>
      </c>
      <c r="I1004" s="6">
        <v>-8.2001030000000004</v>
      </c>
    </row>
    <row r="1005" spans="1:9" ht="60" x14ac:dyDescent="0.25">
      <c r="A1005" s="1" t="s">
        <v>123</v>
      </c>
      <c r="B1005" s="5">
        <v>1.75</v>
      </c>
      <c r="C1005" s="5">
        <v>1.49</v>
      </c>
      <c r="D1005" s="5">
        <v>1.31</v>
      </c>
      <c r="E1005" s="5">
        <v>1.1599999999999999</v>
      </c>
      <c r="F1005" s="5">
        <v>1.04</v>
      </c>
      <c r="G1005" s="5">
        <v>0.94</v>
      </c>
      <c r="H1005" s="5">
        <v>0.87</v>
      </c>
      <c r="I1005" s="6">
        <v>-10.995177999999999</v>
      </c>
    </row>
    <row r="1006" spans="1:9" ht="60" x14ac:dyDescent="0.25">
      <c r="A1006" s="1" t="s">
        <v>124</v>
      </c>
      <c r="B1006" s="5">
        <v>15.23</v>
      </c>
      <c r="C1006" s="5">
        <v>14.39</v>
      </c>
      <c r="D1006" s="5">
        <v>13.58</v>
      </c>
      <c r="E1006" s="5">
        <v>12.91</v>
      </c>
      <c r="F1006" s="5">
        <v>12.34</v>
      </c>
      <c r="G1006" s="5">
        <v>11.7</v>
      </c>
      <c r="H1006" s="5">
        <v>10.99</v>
      </c>
      <c r="I1006" s="6">
        <v>-5.2928069999999998</v>
      </c>
    </row>
    <row r="1007" spans="1:9" ht="60" x14ac:dyDescent="0.25">
      <c r="A1007" s="1" t="s">
        <v>125</v>
      </c>
      <c r="B1007" s="5">
        <v>78.97</v>
      </c>
      <c r="C1007" s="5">
        <v>79.73</v>
      </c>
      <c r="D1007" s="5">
        <v>80.98</v>
      </c>
      <c r="E1007" s="5">
        <v>82.04</v>
      </c>
      <c r="F1007" s="5">
        <v>82.95</v>
      </c>
      <c r="G1007" s="5">
        <v>83.89</v>
      </c>
      <c r="H1007" s="5">
        <v>84.87</v>
      </c>
      <c r="I1007" s="6">
        <v>1.2081170000000001</v>
      </c>
    </row>
    <row r="1008" spans="1:9" ht="60" x14ac:dyDescent="0.25">
      <c r="A1008" s="1" t="s">
        <v>126</v>
      </c>
      <c r="B1008" s="5">
        <v>0.34</v>
      </c>
      <c r="C1008" s="5">
        <v>0.93</v>
      </c>
      <c r="D1008" s="5">
        <v>0.9</v>
      </c>
      <c r="E1008" s="5">
        <v>0.87</v>
      </c>
      <c r="F1008" s="5">
        <v>0.83</v>
      </c>
      <c r="G1008" s="5">
        <v>0.78</v>
      </c>
      <c r="H1008" s="5">
        <v>0.73</v>
      </c>
      <c r="I1008" s="6">
        <v>13.581428000000001</v>
      </c>
    </row>
    <row r="1009" spans="1:9" ht="75" x14ac:dyDescent="0.25">
      <c r="A1009" s="1" t="s">
        <v>127</v>
      </c>
      <c r="B1009" s="5">
        <v>1.41</v>
      </c>
      <c r="C1009" s="5">
        <v>1.31</v>
      </c>
      <c r="D1009" s="5">
        <v>1.27</v>
      </c>
      <c r="E1009" s="5">
        <v>1.24</v>
      </c>
      <c r="F1009" s="5">
        <v>1.2</v>
      </c>
      <c r="G1009" s="5">
        <v>1.18</v>
      </c>
      <c r="H1009" s="5">
        <v>1.1499999999999999</v>
      </c>
      <c r="I1009" s="6">
        <v>-3.3400750000000001</v>
      </c>
    </row>
    <row r="1010" spans="1:9" ht="60" x14ac:dyDescent="0.25">
      <c r="A1010" s="1" t="s">
        <v>128</v>
      </c>
      <c r="B1010" s="5">
        <v>2.2999999999999998</v>
      </c>
      <c r="C1010" s="5">
        <v>2.15</v>
      </c>
      <c r="D1010" s="5">
        <v>1.95</v>
      </c>
      <c r="E1010" s="5">
        <v>1.78</v>
      </c>
      <c r="F1010" s="5">
        <v>1.64</v>
      </c>
      <c r="G1010" s="5">
        <v>1.51</v>
      </c>
      <c r="H1010" s="5">
        <v>1.4</v>
      </c>
      <c r="I1010" s="6">
        <v>-7.9409049999999999</v>
      </c>
    </row>
    <row r="1011" spans="1:9" ht="45" x14ac:dyDescent="0.25">
      <c r="A1011" s="1" t="s">
        <v>129</v>
      </c>
      <c r="B1011" s="7" t="s">
        <v>58</v>
      </c>
      <c r="C1011" s="7" t="s">
        <v>58</v>
      </c>
      <c r="D1011" s="7" t="s">
        <v>58</v>
      </c>
      <c r="E1011" s="7" t="s">
        <v>58</v>
      </c>
      <c r="F1011" s="7" t="s">
        <v>58</v>
      </c>
      <c r="G1011" s="7" t="s">
        <v>58</v>
      </c>
      <c r="H1011" s="7" t="s">
        <v>58</v>
      </c>
      <c r="I1011" s="7" t="s">
        <v>58</v>
      </c>
    </row>
    <row r="1012" spans="1:9" ht="45" x14ac:dyDescent="0.25">
      <c r="A1012" s="1" t="s">
        <v>140</v>
      </c>
      <c r="B1012" s="7" t="s">
        <v>58</v>
      </c>
      <c r="C1012" s="7" t="s">
        <v>58</v>
      </c>
      <c r="D1012" s="7" t="s">
        <v>58</v>
      </c>
      <c r="E1012" s="7" t="s">
        <v>58</v>
      </c>
      <c r="F1012" s="7" t="s">
        <v>58</v>
      </c>
      <c r="G1012" s="7" t="s">
        <v>58</v>
      </c>
      <c r="H1012" s="7" t="s">
        <v>58</v>
      </c>
      <c r="I1012" s="7" t="s">
        <v>58</v>
      </c>
    </row>
    <row r="1013" spans="1:9" ht="45" x14ac:dyDescent="0.25">
      <c r="A1013" s="1" t="s">
        <v>141</v>
      </c>
      <c r="B1013" s="7" t="s">
        <v>58</v>
      </c>
      <c r="C1013" s="7" t="s">
        <v>58</v>
      </c>
      <c r="D1013" s="7" t="s">
        <v>58</v>
      </c>
      <c r="E1013" s="7" t="s">
        <v>58</v>
      </c>
      <c r="F1013" s="7" t="s">
        <v>58</v>
      </c>
      <c r="G1013" s="7" t="s">
        <v>58</v>
      </c>
      <c r="H1013" s="7" t="s">
        <v>58</v>
      </c>
      <c r="I1013" s="7" t="s">
        <v>58</v>
      </c>
    </row>
    <row r="1014" spans="1:9" ht="45" x14ac:dyDescent="0.25">
      <c r="A1014" s="1" t="s">
        <v>142</v>
      </c>
      <c r="B1014" s="7" t="s">
        <v>58</v>
      </c>
      <c r="C1014" s="7" t="s">
        <v>58</v>
      </c>
      <c r="D1014" s="7" t="s">
        <v>58</v>
      </c>
      <c r="E1014" s="7" t="s">
        <v>58</v>
      </c>
      <c r="F1014" s="7" t="s">
        <v>58</v>
      </c>
      <c r="G1014" s="7" t="s">
        <v>58</v>
      </c>
      <c r="H1014" s="7" t="s">
        <v>58</v>
      </c>
      <c r="I1014" s="7" t="s">
        <v>58</v>
      </c>
    </row>
    <row r="1015" spans="1:9" ht="60" x14ac:dyDescent="0.25">
      <c r="A1015" s="1" t="s">
        <v>133</v>
      </c>
      <c r="B1015" s="7" t="s">
        <v>58</v>
      </c>
      <c r="C1015" s="7" t="s">
        <v>58</v>
      </c>
      <c r="D1015" s="7" t="s">
        <v>58</v>
      </c>
      <c r="E1015" s="7" t="s">
        <v>58</v>
      </c>
      <c r="F1015" s="7" t="s">
        <v>58</v>
      </c>
      <c r="G1015" s="7" t="s">
        <v>58</v>
      </c>
      <c r="H1015" s="7" t="s">
        <v>58</v>
      </c>
      <c r="I1015" s="7" t="s">
        <v>58</v>
      </c>
    </row>
    <row r="1016" spans="1:9" ht="60" x14ac:dyDescent="0.25">
      <c r="A1016" s="1" t="s">
        <v>134</v>
      </c>
      <c r="B1016" s="7" t="s">
        <v>58</v>
      </c>
      <c r="C1016" s="7" t="s">
        <v>58</v>
      </c>
      <c r="D1016" s="7" t="s">
        <v>58</v>
      </c>
      <c r="E1016" s="7" t="s">
        <v>58</v>
      </c>
      <c r="F1016" s="7" t="s">
        <v>58</v>
      </c>
      <c r="G1016" s="7" t="s">
        <v>58</v>
      </c>
      <c r="H1016" s="7" t="s">
        <v>58</v>
      </c>
      <c r="I1016" s="7" t="s">
        <v>58</v>
      </c>
    </row>
    <row r="1017" spans="1:9" x14ac:dyDescent="0.25">
      <c r="A1017" s="1" t="s">
        <v>12</v>
      </c>
      <c r="B1017" s="2"/>
      <c r="C1017" s="2"/>
      <c r="D1017" s="2"/>
      <c r="E1017" s="2"/>
      <c r="F1017" s="2"/>
      <c r="G1017" s="2"/>
      <c r="H1017" s="2"/>
      <c r="I1017" s="2"/>
    </row>
    <row r="1018" spans="1:9" x14ac:dyDescent="0.25">
      <c r="A1018" s="8" t="s">
        <v>63</v>
      </c>
      <c r="B1018" s="2"/>
      <c r="C1018" s="2"/>
      <c r="D1018" s="2"/>
      <c r="E1018" s="2"/>
      <c r="F1018" s="2"/>
      <c r="G1018" s="2"/>
      <c r="H1018" s="2"/>
      <c r="I1018" s="2"/>
    </row>
    <row r="1019" spans="1:9" ht="60" x14ac:dyDescent="0.25">
      <c r="A1019" s="1" t="s">
        <v>13</v>
      </c>
      <c r="B1019" s="5">
        <v>67.78</v>
      </c>
      <c r="C1019" s="5">
        <v>68</v>
      </c>
      <c r="D1019" s="5">
        <v>68.09</v>
      </c>
      <c r="E1019" s="5">
        <v>68.34</v>
      </c>
      <c r="F1019" s="5">
        <v>68.89</v>
      </c>
      <c r="G1019" s="5">
        <v>71.06</v>
      </c>
      <c r="H1019" s="5">
        <v>73.17</v>
      </c>
      <c r="I1019" s="6">
        <v>1.2834719999999999</v>
      </c>
    </row>
    <row r="1020" spans="1:9" ht="60" x14ac:dyDescent="0.25">
      <c r="A1020" s="1" t="s">
        <v>117</v>
      </c>
      <c r="B1020" s="5">
        <v>0</v>
      </c>
      <c r="C1020" s="5">
        <v>0</v>
      </c>
      <c r="D1020" s="5">
        <v>0</v>
      </c>
      <c r="E1020" s="5">
        <v>0</v>
      </c>
      <c r="F1020" s="5">
        <v>0</v>
      </c>
      <c r="G1020" s="5">
        <v>0</v>
      </c>
      <c r="H1020" s="5">
        <v>0</v>
      </c>
      <c r="I1020" s="7" t="s">
        <v>58</v>
      </c>
    </row>
    <row r="1021" spans="1:9" ht="60" x14ac:dyDescent="0.25">
      <c r="A1021" s="1" t="s">
        <v>118</v>
      </c>
      <c r="B1021" s="5">
        <v>58.42</v>
      </c>
      <c r="C1021" s="5">
        <v>58.04</v>
      </c>
      <c r="D1021" s="5">
        <v>57.52</v>
      </c>
      <c r="E1021" s="5">
        <v>57</v>
      </c>
      <c r="F1021" s="5">
        <v>56.51</v>
      </c>
      <c r="G1021" s="5">
        <v>57.07</v>
      </c>
      <c r="H1021" s="5">
        <v>57.16</v>
      </c>
      <c r="I1021" s="6">
        <v>-0.36274000000000001</v>
      </c>
    </row>
    <row r="1022" spans="1:9" ht="60" x14ac:dyDescent="0.25">
      <c r="A1022" s="1" t="s">
        <v>119</v>
      </c>
      <c r="B1022" s="5">
        <v>3.77</v>
      </c>
      <c r="C1022" s="5">
        <v>4.63</v>
      </c>
      <c r="D1022" s="5">
        <v>5.46</v>
      </c>
      <c r="E1022" s="5">
        <v>6.43</v>
      </c>
      <c r="F1022" s="5">
        <v>7.58</v>
      </c>
      <c r="G1022" s="5">
        <v>9.31</v>
      </c>
      <c r="H1022" s="5">
        <v>11.43</v>
      </c>
      <c r="I1022" s="6">
        <v>20.305129999999998</v>
      </c>
    </row>
    <row r="1023" spans="1:9" ht="60" x14ac:dyDescent="0.25">
      <c r="A1023" s="1" t="s">
        <v>120</v>
      </c>
      <c r="B1023" s="5">
        <v>0.83</v>
      </c>
      <c r="C1023" s="5">
        <v>0.81</v>
      </c>
      <c r="D1023" s="5">
        <v>0.8</v>
      </c>
      <c r="E1023" s="5">
        <v>0.79</v>
      </c>
      <c r="F1023" s="5">
        <v>0.79</v>
      </c>
      <c r="G1023" s="5">
        <v>0.79</v>
      </c>
      <c r="H1023" s="5">
        <v>0.79</v>
      </c>
      <c r="I1023" s="6">
        <v>-0.81983300000000003</v>
      </c>
    </row>
    <row r="1024" spans="1:9" ht="75" x14ac:dyDescent="0.25">
      <c r="A1024" s="1" t="s">
        <v>121</v>
      </c>
      <c r="B1024" s="5">
        <v>4.75</v>
      </c>
      <c r="C1024" s="5">
        <v>4.5199999999999996</v>
      </c>
      <c r="D1024" s="5">
        <v>4.3099999999999996</v>
      </c>
      <c r="E1024" s="5">
        <v>4.12</v>
      </c>
      <c r="F1024" s="5">
        <v>4.01</v>
      </c>
      <c r="G1024" s="5">
        <v>3.9</v>
      </c>
      <c r="H1024" s="5">
        <v>3.79</v>
      </c>
      <c r="I1024" s="6">
        <v>-3.6930559999999999</v>
      </c>
    </row>
    <row r="1025" spans="1:9" ht="75" x14ac:dyDescent="0.25">
      <c r="A1025" s="1" t="s">
        <v>122</v>
      </c>
      <c r="B1025" s="5">
        <v>0</v>
      </c>
      <c r="C1025" s="5">
        <v>0</v>
      </c>
      <c r="D1025" s="5">
        <v>0</v>
      </c>
      <c r="E1025" s="5">
        <v>0</v>
      </c>
      <c r="F1025" s="5">
        <v>0</v>
      </c>
      <c r="G1025" s="5">
        <v>0</v>
      </c>
      <c r="H1025" s="5">
        <v>0</v>
      </c>
      <c r="I1025" s="7" t="s">
        <v>58</v>
      </c>
    </row>
    <row r="1026" spans="1:9" ht="60" x14ac:dyDescent="0.25">
      <c r="A1026" s="1" t="s">
        <v>123</v>
      </c>
      <c r="B1026" s="5">
        <v>0</v>
      </c>
      <c r="C1026" s="5">
        <v>0</v>
      </c>
      <c r="D1026" s="5">
        <v>0</v>
      </c>
      <c r="E1026" s="5">
        <v>0</v>
      </c>
      <c r="F1026" s="5">
        <v>0</v>
      </c>
      <c r="G1026" s="5">
        <v>0</v>
      </c>
      <c r="H1026" s="5">
        <v>0</v>
      </c>
      <c r="I1026" s="7" t="s">
        <v>58</v>
      </c>
    </row>
    <row r="1027" spans="1:9" ht="60" x14ac:dyDescent="0.25">
      <c r="A1027" s="1" t="s">
        <v>124</v>
      </c>
      <c r="B1027" s="5">
        <v>86.2</v>
      </c>
      <c r="C1027" s="5">
        <v>85.35</v>
      </c>
      <c r="D1027" s="5">
        <v>84.48</v>
      </c>
      <c r="E1027" s="5">
        <v>83.4</v>
      </c>
      <c r="F1027" s="5">
        <v>82.03</v>
      </c>
      <c r="G1027" s="5">
        <v>80.31</v>
      </c>
      <c r="H1027" s="5">
        <v>78.13</v>
      </c>
      <c r="I1027" s="6">
        <v>-1.6249210000000001</v>
      </c>
    </row>
    <row r="1028" spans="1:9" ht="60" x14ac:dyDescent="0.25">
      <c r="A1028" s="1" t="s">
        <v>125</v>
      </c>
      <c r="B1028" s="5">
        <v>5.57</v>
      </c>
      <c r="C1028" s="5">
        <v>6.81</v>
      </c>
      <c r="D1028" s="5">
        <v>8.02</v>
      </c>
      <c r="E1028" s="5">
        <v>9.41</v>
      </c>
      <c r="F1028" s="5">
        <v>11.01</v>
      </c>
      <c r="G1028" s="5">
        <v>13.1</v>
      </c>
      <c r="H1028" s="5">
        <v>15.62</v>
      </c>
      <c r="I1028" s="6">
        <v>18.751099</v>
      </c>
    </row>
    <row r="1029" spans="1:9" ht="60" x14ac:dyDescent="0.25">
      <c r="A1029" s="1" t="s">
        <v>126</v>
      </c>
      <c r="B1029" s="5">
        <v>1.22</v>
      </c>
      <c r="C1029" s="5">
        <v>1.2</v>
      </c>
      <c r="D1029" s="5">
        <v>1.17</v>
      </c>
      <c r="E1029" s="5">
        <v>1.1499999999999999</v>
      </c>
      <c r="F1029" s="5">
        <v>1.1399999999999999</v>
      </c>
      <c r="G1029" s="5">
        <v>1.1100000000000001</v>
      </c>
      <c r="H1029" s="5">
        <v>1.08</v>
      </c>
      <c r="I1029" s="6">
        <v>-2.0110009999999998</v>
      </c>
    </row>
    <row r="1030" spans="1:9" ht="75" x14ac:dyDescent="0.25">
      <c r="A1030" s="1" t="s">
        <v>127</v>
      </c>
      <c r="B1030" s="5">
        <v>7.01</v>
      </c>
      <c r="C1030" s="5">
        <v>6.64</v>
      </c>
      <c r="D1030" s="5">
        <v>6.33</v>
      </c>
      <c r="E1030" s="5">
        <v>6.03</v>
      </c>
      <c r="F1030" s="5">
        <v>5.82</v>
      </c>
      <c r="G1030" s="5">
        <v>5.48</v>
      </c>
      <c r="H1030" s="5">
        <v>5.18</v>
      </c>
      <c r="I1030" s="6">
        <v>-4.9172010000000004</v>
      </c>
    </row>
    <row r="1031" spans="1:9" ht="60" x14ac:dyDescent="0.25">
      <c r="A1031" s="1" t="s">
        <v>128</v>
      </c>
      <c r="B1031" s="5">
        <v>0</v>
      </c>
      <c r="C1031" s="5">
        <v>0</v>
      </c>
      <c r="D1031" s="5">
        <v>0</v>
      </c>
      <c r="E1031" s="5">
        <v>0</v>
      </c>
      <c r="F1031" s="5">
        <v>0</v>
      </c>
      <c r="G1031" s="5">
        <v>0</v>
      </c>
      <c r="H1031" s="5">
        <v>0</v>
      </c>
      <c r="I1031" s="7" t="s">
        <v>58</v>
      </c>
    </row>
    <row r="1032" spans="1:9" ht="45" x14ac:dyDescent="0.25">
      <c r="A1032" s="1" t="s">
        <v>129</v>
      </c>
      <c r="B1032" s="7" t="s">
        <v>58</v>
      </c>
      <c r="C1032" s="7" t="s">
        <v>58</v>
      </c>
      <c r="D1032" s="7" t="s">
        <v>58</v>
      </c>
      <c r="E1032" s="7" t="s">
        <v>58</v>
      </c>
      <c r="F1032" s="7" t="s">
        <v>58</v>
      </c>
      <c r="G1032" s="7" t="s">
        <v>58</v>
      </c>
      <c r="H1032" s="7" t="s">
        <v>58</v>
      </c>
      <c r="I1032" s="7" t="s">
        <v>58</v>
      </c>
    </row>
    <row r="1033" spans="1:9" ht="45" x14ac:dyDescent="0.25">
      <c r="A1033" s="1" t="s">
        <v>140</v>
      </c>
      <c r="B1033" s="7" t="s">
        <v>58</v>
      </c>
      <c r="C1033" s="7" t="s">
        <v>58</v>
      </c>
      <c r="D1033" s="7" t="s">
        <v>58</v>
      </c>
      <c r="E1033" s="7" t="s">
        <v>58</v>
      </c>
      <c r="F1033" s="7" t="s">
        <v>58</v>
      </c>
      <c r="G1033" s="7" t="s">
        <v>58</v>
      </c>
      <c r="H1033" s="7" t="s">
        <v>58</v>
      </c>
      <c r="I1033" s="7" t="s">
        <v>58</v>
      </c>
    </row>
    <row r="1034" spans="1:9" ht="45" x14ac:dyDescent="0.25">
      <c r="A1034" s="1" t="s">
        <v>141</v>
      </c>
      <c r="B1034" s="7" t="s">
        <v>58</v>
      </c>
      <c r="C1034" s="7" t="s">
        <v>58</v>
      </c>
      <c r="D1034" s="7" t="s">
        <v>58</v>
      </c>
      <c r="E1034" s="7" t="s">
        <v>58</v>
      </c>
      <c r="F1034" s="7" t="s">
        <v>58</v>
      </c>
      <c r="G1034" s="7" t="s">
        <v>58</v>
      </c>
      <c r="H1034" s="7" t="s">
        <v>58</v>
      </c>
      <c r="I1034" s="7" t="s">
        <v>58</v>
      </c>
    </row>
    <row r="1035" spans="1:9" ht="45" x14ac:dyDescent="0.25">
      <c r="A1035" s="1" t="s">
        <v>142</v>
      </c>
      <c r="B1035" s="7" t="s">
        <v>58</v>
      </c>
      <c r="C1035" s="7" t="s">
        <v>58</v>
      </c>
      <c r="D1035" s="7" t="s">
        <v>58</v>
      </c>
      <c r="E1035" s="7" t="s">
        <v>58</v>
      </c>
      <c r="F1035" s="7" t="s">
        <v>58</v>
      </c>
      <c r="G1035" s="7" t="s">
        <v>58</v>
      </c>
      <c r="H1035" s="7" t="s">
        <v>58</v>
      </c>
      <c r="I1035" s="7" t="s">
        <v>58</v>
      </c>
    </row>
    <row r="1036" spans="1:9" ht="60" x14ac:dyDescent="0.25">
      <c r="A1036" s="1" t="s">
        <v>133</v>
      </c>
      <c r="B1036" s="7" t="s">
        <v>58</v>
      </c>
      <c r="C1036" s="7" t="s">
        <v>58</v>
      </c>
      <c r="D1036" s="7" t="s">
        <v>58</v>
      </c>
      <c r="E1036" s="7" t="s">
        <v>58</v>
      </c>
      <c r="F1036" s="7" t="s">
        <v>58</v>
      </c>
      <c r="G1036" s="7" t="s">
        <v>58</v>
      </c>
      <c r="H1036" s="7" t="s">
        <v>58</v>
      </c>
      <c r="I1036" s="7" t="s">
        <v>58</v>
      </c>
    </row>
    <row r="1037" spans="1:9" ht="60" x14ac:dyDescent="0.25">
      <c r="A1037" s="1" t="s">
        <v>134</v>
      </c>
      <c r="B1037" s="7" t="s">
        <v>58</v>
      </c>
      <c r="C1037" s="7" t="s">
        <v>58</v>
      </c>
      <c r="D1037" s="7" t="s">
        <v>58</v>
      </c>
      <c r="E1037" s="7" t="s">
        <v>58</v>
      </c>
      <c r="F1037" s="7" t="s">
        <v>58</v>
      </c>
      <c r="G1037" s="7" t="s">
        <v>58</v>
      </c>
      <c r="H1037" s="7" t="s">
        <v>58</v>
      </c>
      <c r="I1037" s="7" t="s">
        <v>58</v>
      </c>
    </row>
    <row r="1038" spans="1:9" x14ac:dyDescent="0.25">
      <c r="A1038" s="1" t="s">
        <v>12</v>
      </c>
      <c r="B1038" s="2"/>
      <c r="C1038" s="2"/>
      <c r="D1038" s="2"/>
      <c r="E1038" s="2"/>
      <c r="F1038" s="2"/>
      <c r="G1038" s="2"/>
      <c r="H1038" s="2"/>
      <c r="I1038" s="2"/>
    </row>
    <row r="1039" spans="1:9" x14ac:dyDescent="0.25">
      <c r="A1039" s="8" t="s">
        <v>64</v>
      </c>
      <c r="B1039" s="2"/>
      <c r="C1039" s="2"/>
      <c r="D1039" s="2"/>
      <c r="E1039" s="2"/>
      <c r="F1039" s="2"/>
      <c r="G1039" s="2"/>
      <c r="H1039" s="2"/>
      <c r="I1039" s="2"/>
    </row>
    <row r="1040" spans="1:9" ht="60" x14ac:dyDescent="0.25">
      <c r="A1040" s="1" t="s">
        <v>13</v>
      </c>
      <c r="B1040" s="5">
        <v>47.79</v>
      </c>
      <c r="C1040" s="5">
        <v>46.09</v>
      </c>
      <c r="D1040" s="5">
        <v>44.72</v>
      </c>
      <c r="E1040" s="5">
        <v>43.58</v>
      </c>
      <c r="F1040" s="5">
        <v>42.63</v>
      </c>
      <c r="G1040" s="5">
        <v>41.81</v>
      </c>
      <c r="H1040" s="5">
        <v>41.12</v>
      </c>
      <c r="I1040" s="6">
        <v>-2.4742389999999999</v>
      </c>
    </row>
    <row r="1041" spans="1:9" ht="60" x14ac:dyDescent="0.25">
      <c r="A1041" s="1" t="s">
        <v>117</v>
      </c>
      <c r="B1041" s="5">
        <v>0.93</v>
      </c>
      <c r="C1041" s="5">
        <v>0.84</v>
      </c>
      <c r="D1041" s="5">
        <v>0.77</v>
      </c>
      <c r="E1041" s="5">
        <v>0.72</v>
      </c>
      <c r="F1041" s="5">
        <v>0.68</v>
      </c>
      <c r="G1041" s="5">
        <v>0.65</v>
      </c>
      <c r="H1041" s="5">
        <v>0.63</v>
      </c>
      <c r="I1041" s="6">
        <v>-6.2848940000000004</v>
      </c>
    </row>
    <row r="1042" spans="1:9" ht="60" x14ac:dyDescent="0.25">
      <c r="A1042" s="1" t="s">
        <v>118</v>
      </c>
      <c r="B1042" s="5">
        <v>6.37</v>
      </c>
      <c r="C1042" s="5">
        <v>5.88</v>
      </c>
      <c r="D1042" s="5">
        <v>5.34</v>
      </c>
      <c r="E1042" s="5">
        <v>4.9000000000000004</v>
      </c>
      <c r="F1042" s="5">
        <v>4.53</v>
      </c>
      <c r="G1042" s="5">
        <v>4.22</v>
      </c>
      <c r="H1042" s="5">
        <v>3.95</v>
      </c>
      <c r="I1042" s="6">
        <v>-7.6558029999999997</v>
      </c>
    </row>
    <row r="1043" spans="1:9" ht="60" x14ac:dyDescent="0.25">
      <c r="A1043" s="1" t="s">
        <v>119</v>
      </c>
      <c r="B1043" s="5">
        <v>38.57</v>
      </c>
      <c r="C1043" s="5">
        <v>37.770000000000003</v>
      </c>
      <c r="D1043" s="5">
        <v>37.200000000000003</v>
      </c>
      <c r="E1043" s="5">
        <v>36.700000000000003</v>
      </c>
      <c r="F1043" s="5">
        <v>36.26</v>
      </c>
      <c r="G1043" s="5">
        <v>35.869999999999997</v>
      </c>
      <c r="H1043" s="5">
        <v>35.53</v>
      </c>
      <c r="I1043" s="6">
        <v>-1.3589709999999999</v>
      </c>
    </row>
    <row r="1044" spans="1:9" ht="60" x14ac:dyDescent="0.25">
      <c r="A1044" s="1" t="s">
        <v>120</v>
      </c>
      <c r="B1044" s="5">
        <v>0.09</v>
      </c>
      <c r="C1044" s="5">
        <v>0.06</v>
      </c>
      <c r="D1044" s="5">
        <v>0.06</v>
      </c>
      <c r="E1044" s="5">
        <v>0.06</v>
      </c>
      <c r="F1044" s="5">
        <v>0.06</v>
      </c>
      <c r="G1044" s="5">
        <v>0.05</v>
      </c>
      <c r="H1044" s="5">
        <v>0.05</v>
      </c>
      <c r="I1044" s="6">
        <v>-9.3318860000000008</v>
      </c>
    </row>
    <row r="1045" spans="1:9" ht="75" x14ac:dyDescent="0.25">
      <c r="A1045" s="1" t="s">
        <v>121</v>
      </c>
      <c r="B1045" s="5">
        <v>1.66</v>
      </c>
      <c r="C1045" s="5">
        <v>1.4</v>
      </c>
      <c r="D1045" s="5">
        <v>1.22</v>
      </c>
      <c r="E1045" s="5">
        <v>1.1000000000000001</v>
      </c>
      <c r="F1045" s="5">
        <v>1</v>
      </c>
      <c r="G1045" s="5">
        <v>0.93</v>
      </c>
      <c r="H1045" s="5">
        <v>0.88</v>
      </c>
      <c r="I1045" s="6">
        <v>-10.03731</v>
      </c>
    </row>
    <row r="1046" spans="1:9" ht="75" x14ac:dyDescent="0.25">
      <c r="A1046" s="1" t="s">
        <v>122</v>
      </c>
      <c r="B1046" s="5">
        <v>0.17</v>
      </c>
      <c r="C1046" s="5">
        <v>0.15</v>
      </c>
      <c r="D1046" s="5">
        <v>0.13</v>
      </c>
      <c r="E1046" s="5">
        <v>0.11</v>
      </c>
      <c r="F1046" s="5">
        <v>0.1</v>
      </c>
      <c r="G1046" s="5">
        <v>0.09</v>
      </c>
      <c r="H1046" s="5">
        <v>0.08</v>
      </c>
      <c r="I1046" s="6">
        <v>-11.805769</v>
      </c>
    </row>
    <row r="1047" spans="1:9" ht="60" x14ac:dyDescent="0.25">
      <c r="A1047" s="1" t="s">
        <v>123</v>
      </c>
      <c r="B1047" s="5">
        <v>1.94</v>
      </c>
      <c r="C1047" s="5">
        <v>1.82</v>
      </c>
      <c r="D1047" s="5">
        <v>1.72</v>
      </c>
      <c r="E1047" s="5">
        <v>1.65</v>
      </c>
      <c r="F1047" s="5">
        <v>1.6</v>
      </c>
      <c r="G1047" s="5">
        <v>1.55</v>
      </c>
      <c r="H1047" s="5">
        <v>1.52</v>
      </c>
      <c r="I1047" s="6">
        <v>-3.9847299999999999</v>
      </c>
    </row>
    <row r="1048" spans="1:9" ht="60" x14ac:dyDescent="0.25">
      <c r="A1048" s="1" t="s">
        <v>124</v>
      </c>
      <c r="B1048" s="5">
        <v>13.32</v>
      </c>
      <c r="C1048" s="5">
        <v>12.75</v>
      </c>
      <c r="D1048" s="5">
        <v>11.94</v>
      </c>
      <c r="E1048" s="5">
        <v>11.24</v>
      </c>
      <c r="F1048" s="5">
        <v>10.63</v>
      </c>
      <c r="G1048" s="5">
        <v>10.09</v>
      </c>
      <c r="H1048" s="5">
        <v>9.6199999999999992</v>
      </c>
      <c r="I1048" s="6">
        <v>-5.2792469999999998</v>
      </c>
    </row>
    <row r="1049" spans="1:9" ht="60" x14ac:dyDescent="0.25">
      <c r="A1049" s="1" t="s">
        <v>125</v>
      </c>
      <c r="B1049" s="5">
        <v>80.709999999999994</v>
      </c>
      <c r="C1049" s="5">
        <v>81.94</v>
      </c>
      <c r="D1049" s="5">
        <v>83.18</v>
      </c>
      <c r="E1049" s="5">
        <v>84.21</v>
      </c>
      <c r="F1049" s="5">
        <v>85.06</v>
      </c>
      <c r="G1049" s="5">
        <v>85.78</v>
      </c>
      <c r="H1049" s="5">
        <v>86.4</v>
      </c>
      <c r="I1049" s="6">
        <v>1.1418900000000001</v>
      </c>
    </row>
    <row r="1050" spans="1:9" ht="60" x14ac:dyDescent="0.25">
      <c r="A1050" s="1" t="s">
        <v>126</v>
      </c>
      <c r="B1050" s="5">
        <v>0.19</v>
      </c>
      <c r="C1050" s="5">
        <v>0.13</v>
      </c>
      <c r="D1050" s="5">
        <v>0.13</v>
      </c>
      <c r="E1050" s="5">
        <v>0.13</v>
      </c>
      <c r="F1050" s="5">
        <v>0.13</v>
      </c>
      <c r="G1050" s="5">
        <v>0.13</v>
      </c>
      <c r="H1050" s="5">
        <v>0.13</v>
      </c>
      <c r="I1050" s="6">
        <v>-6.1289610000000003</v>
      </c>
    </row>
    <row r="1051" spans="1:9" ht="75" x14ac:dyDescent="0.25">
      <c r="A1051" s="1" t="s">
        <v>127</v>
      </c>
      <c r="B1051" s="5">
        <v>3.48</v>
      </c>
      <c r="C1051" s="5">
        <v>3.04</v>
      </c>
      <c r="D1051" s="5">
        <v>2.74</v>
      </c>
      <c r="E1051" s="5">
        <v>2.52</v>
      </c>
      <c r="F1051" s="5">
        <v>2.35</v>
      </c>
      <c r="G1051" s="5">
        <v>2.23</v>
      </c>
      <c r="H1051" s="5">
        <v>2.14</v>
      </c>
      <c r="I1051" s="6">
        <v>-7.7841120000000004</v>
      </c>
    </row>
    <row r="1052" spans="1:9" ht="60" x14ac:dyDescent="0.25">
      <c r="A1052" s="1" t="s">
        <v>128</v>
      </c>
      <c r="B1052" s="5">
        <v>0.36</v>
      </c>
      <c r="C1052" s="5">
        <v>0.32</v>
      </c>
      <c r="D1052" s="5">
        <v>0.28000000000000003</v>
      </c>
      <c r="E1052" s="5">
        <v>0.25</v>
      </c>
      <c r="F1052" s="5">
        <v>0.23</v>
      </c>
      <c r="G1052" s="5">
        <v>0.21</v>
      </c>
      <c r="H1052" s="5">
        <v>0.19</v>
      </c>
      <c r="I1052" s="6">
        <v>-10.103693</v>
      </c>
    </row>
    <row r="1053" spans="1:9" ht="45" x14ac:dyDescent="0.25">
      <c r="A1053" s="1" t="s">
        <v>129</v>
      </c>
      <c r="B1053" s="7" t="s">
        <v>58</v>
      </c>
      <c r="C1053" s="7" t="s">
        <v>58</v>
      </c>
      <c r="D1053" s="7" t="s">
        <v>58</v>
      </c>
      <c r="E1053" s="7" t="s">
        <v>58</v>
      </c>
      <c r="F1053" s="7" t="s">
        <v>58</v>
      </c>
      <c r="G1053" s="7" t="s">
        <v>58</v>
      </c>
      <c r="H1053" s="7" t="s">
        <v>58</v>
      </c>
      <c r="I1053" s="7" t="s">
        <v>58</v>
      </c>
    </row>
    <row r="1054" spans="1:9" ht="45" x14ac:dyDescent="0.25">
      <c r="A1054" s="1" t="s">
        <v>140</v>
      </c>
      <c r="B1054" s="7" t="s">
        <v>58</v>
      </c>
      <c r="C1054" s="7" t="s">
        <v>58</v>
      </c>
      <c r="D1054" s="7" t="s">
        <v>58</v>
      </c>
      <c r="E1054" s="7" t="s">
        <v>58</v>
      </c>
      <c r="F1054" s="7" t="s">
        <v>58</v>
      </c>
      <c r="G1054" s="7" t="s">
        <v>58</v>
      </c>
      <c r="H1054" s="7" t="s">
        <v>58</v>
      </c>
      <c r="I1054" s="7" t="s">
        <v>58</v>
      </c>
    </row>
    <row r="1055" spans="1:9" ht="45" x14ac:dyDescent="0.25">
      <c r="A1055" s="1" t="s">
        <v>141</v>
      </c>
      <c r="B1055" s="7" t="s">
        <v>58</v>
      </c>
      <c r="C1055" s="7" t="s">
        <v>58</v>
      </c>
      <c r="D1055" s="7" t="s">
        <v>58</v>
      </c>
      <c r="E1055" s="7" t="s">
        <v>58</v>
      </c>
      <c r="F1055" s="7" t="s">
        <v>58</v>
      </c>
      <c r="G1055" s="7" t="s">
        <v>58</v>
      </c>
      <c r="H1055" s="7" t="s">
        <v>58</v>
      </c>
      <c r="I1055" s="7" t="s">
        <v>58</v>
      </c>
    </row>
    <row r="1056" spans="1:9" ht="45" x14ac:dyDescent="0.25">
      <c r="A1056" s="1" t="s">
        <v>142</v>
      </c>
      <c r="B1056" s="7" t="s">
        <v>58</v>
      </c>
      <c r="C1056" s="7" t="s">
        <v>58</v>
      </c>
      <c r="D1056" s="7" t="s">
        <v>58</v>
      </c>
      <c r="E1056" s="7" t="s">
        <v>58</v>
      </c>
      <c r="F1056" s="7" t="s">
        <v>58</v>
      </c>
      <c r="G1056" s="7" t="s">
        <v>58</v>
      </c>
      <c r="H1056" s="7" t="s">
        <v>58</v>
      </c>
      <c r="I1056" s="7" t="s">
        <v>58</v>
      </c>
    </row>
    <row r="1057" spans="1:9" ht="60" x14ac:dyDescent="0.25">
      <c r="A1057" s="1" t="s">
        <v>133</v>
      </c>
      <c r="B1057" s="7" t="s">
        <v>58</v>
      </c>
      <c r="C1057" s="7" t="s">
        <v>58</v>
      </c>
      <c r="D1057" s="7" t="s">
        <v>58</v>
      </c>
      <c r="E1057" s="7" t="s">
        <v>58</v>
      </c>
      <c r="F1057" s="7" t="s">
        <v>58</v>
      </c>
      <c r="G1057" s="7" t="s">
        <v>58</v>
      </c>
      <c r="H1057" s="7" t="s">
        <v>58</v>
      </c>
      <c r="I1057" s="7" t="s">
        <v>58</v>
      </c>
    </row>
    <row r="1058" spans="1:9" ht="60" x14ac:dyDescent="0.25">
      <c r="A1058" s="1" t="s">
        <v>134</v>
      </c>
      <c r="B1058" s="7" t="s">
        <v>58</v>
      </c>
      <c r="C1058" s="7" t="s">
        <v>58</v>
      </c>
      <c r="D1058" s="7" t="s">
        <v>58</v>
      </c>
      <c r="E1058" s="7" t="s">
        <v>58</v>
      </c>
      <c r="F1058" s="7" t="s">
        <v>58</v>
      </c>
      <c r="G1058" s="7" t="s">
        <v>58</v>
      </c>
      <c r="H1058" s="7" t="s">
        <v>58</v>
      </c>
      <c r="I1058" s="7" t="s">
        <v>58</v>
      </c>
    </row>
    <row r="1059" spans="1:9" x14ac:dyDescent="0.25">
      <c r="A1059" s="1" t="s">
        <v>12</v>
      </c>
      <c r="B1059" s="2"/>
      <c r="C1059" s="2"/>
      <c r="D1059" s="2"/>
      <c r="E1059" s="2"/>
      <c r="F1059" s="2"/>
      <c r="G1059" s="2"/>
      <c r="H1059" s="2"/>
      <c r="I1059" s="2"/>
    </row>
    <row r="1060" spans="1:9" x14ac:dyDescent="0.25">
      <c r="A1060" s="8" t="s">
        <v>65</v>
      </c>
      <c r="B1060" s="2"/>
      <c r="C1060" s="2"/>
      <c r="D1060" s="2"/>
      <c r="E1060" s="2"/>
      <c r="F1060" s="2"/>
      <c r="G1060" s="2"/>
      <c r="H1060" s="2"/>
      <c r="I1060" s="2"/>
    </row>
    <row r="1061" spans="1:9" ht="60" x14ac:dyDescent="0.25">
      <c r="A1061" s="1" t="s">
        <v>13</v>
      </c>
      <c r="B1061" s="5">
        <v>52.36</v>
      </c>
      <c r="C1061" s="5">
        <v>54.54</v>
      </c>
      <c r="D1061" s="5">
        <v>55.9</v>
      </c>
      <c r="E1061" s="5">
        <v>56.68</v>
      </c>
      <c r="F1061" s="5">
        <v>57.54</v>
      </c>
      <c r="G1061" s="5">
        <v>58.35</v>
      </c>
      <c r="H1061" s="5">
        <v>59.14</v>
      </c>
      <c r="I1061" s="6">
        <v>2.0501420000000001</v>
      </c>
    </row>
    <row r="1062" spans="1:9" ht="60" x14ac:dyDescent="0.25">
      <c r="A1062" s="1" t="s">
        <v>117</v>
      </c>
      <c r="B1062" s="5">
        <v>0</v>
      </c>
      <c r="C1062" s="5">
        <v>0</v>
      </c>
      <c r="D1062" s="5">
        <v>0</v>
      </c>
      <c r="E1062" s="5">
        <v>0</v>
      </c>
      <c r="F1062" s="5">
        <v>0</v>
      </c>
      <c r="G1062" s="5">
        <v>0</v>
      </c>
      <c r="H1062" s="5">
        <v>0</v>
      </c>
      <c r="I1062" s="7" t="s">
        <v>58</v>
      </c>
    </row>
    <row r="1063" spans="1:9" ht="60" x14ac:dyDescent="0.25">
      <c r="A1063" s="1" t="s">
        <v>118</v>
      </c>
      <c r="B1063" s="5">
        <v>0.2</v>
      </c>
      <c r="C1063" s="5">
        <v>0.01</v>
      </c>
      <c r="D1063" s="5">
        <v>0</v>
      </c>
      <c r="E1063" s="5">
        <v>0</v>
      </c>
      <c r="F1063" s="5">
        <v>0</v>
      </c>
      <c r="G1063" s="5">
        <v>0</v>
      </c>
      <c r="H1063" s="5">
        <v>0</v>
      </c>
      <c r="I1063" s="6">
        <v>-100</v>
      </c>
    </row>
    <row r="1064" spans="1:9" ht="60" x14ac:dyDescent="0.25">
      <c r="A1064" s="1" t="s">
        <v>119</v>
      </c>
      <c r="B1064" s="5">
        <v>51.73</v>
      </c>
      <c r="C1064" s="5">
        <v>54.09</v>
      </c>
      <c r="D1064" s="5">
        <v>55.46</v>
      </c>
      <c r="E1064" s="5">
        <v>56.24</v>
      </c>
      <c r="F1064" s="5">
        <v>57.1</v>
      </c>
      <c r="G1064" s="5">
        <v>57.91</v>
      </c>
      <c r="H1064" s="5">
        <v>58.69</v>
      </c>
      <c r="I1064" s="6">
        <v>2.1261450000000002</v>
      </c>
    </row>
    <row r="1065" spans="1:9" ht="60" x14ac:dyDescent="0.25">
      <c r="A1065" s="1" t="s">
        <v>120</v>
      </c>
      <c r="B1065" s="5">
        <v>0.15</v>
      </c>
      <c r="C1065" s="5">
        <v>0.16</v>
      </c>
      <c r="D1065" s="5">
        <v>0.17</v>
      </c>
      <c r="E1065" s="5">
        <v>0.19</v>
      </c>
      <c r="F1065" s="5">
        <v>0.2</v>
      </c>
      <c r="G1065" s="5">
        <v>0.22</v>
      </c>
      <c r="H1065" s="5">
        <v>0.23</v>
      </c>
      <c r="I1065" s="6">
        <v>7.3839629999999996</v>
      </c>
    </row>
    <row r="1066" spans="1:9" ht="75" x14ac:dyDescent="0.25">
      <c r="A1066" s="1" t="s">
        <v>121</v>
      </c>
      <c r="B1066" s="5">
        <v>0.28000000000000003</v>
      </c>
      <c r="C1066" s="5">
        <v>0.28000000000000003</v>
      </c>
      <c r="D1066" s="5">
        <v>0.27</v>
      </c>
      <c r="E1066" s="5">
        <v>0.25</v>
      </c>
      <c r="F1066" s="5">
        <v>0.24</v>
      </c>
      <c r="G1066" s="5">
        <v>0.23</v>
      </c>
      <c r="H1066" s="5">
        <v>0.22</v>
      </c>
      <c r="I1066" s="6">
        <v>-3.9396629999999999</v>
      </c>
    </row>
    <row r="1067" spans="1:9" ht="75" x14ac:dyDescent="0.25">
      <c r="A1067" s="1" t="s">
        <v>122</v>
      </c>
      <c r="B1067" s="5">
        <v>0</v>
      </c>
      <c r="C1067" s="5">
        <v>0</v>
      </c>
      <c r="D1067" s="5">
        <v>0</v>
      </c>
      <c r="E1067" s="5">
        <v>0</v>
      </c>
      <c r="F1067" s="5">
        <v>0</v>
      </c>
      <c r="G1067" s="5">
        <v>0</v>
      </c>
      <c r="H1067" s="5">
        <v>0</v>
      </c>
      <c r="I1067" s="7" t="s">
        <v>58</v>
      </c>
    </row>
    <row r="1068" spans="1:9" ht="60" x14ac:dyDescent="0.25">
      <c r="A1068" s="1" t="s">
        <v>123</v>
      </c>
      <c r="B1068" s="5">
        <v>0</v>
      </c>
      <c r="C1068" s="5">
        <v>0</v>
      </c>
      <c r="D1068" s="5">
        <v>0</v>
      </c>
      <c r="E1068" s="5">
        <v>0</v>
      </c>
      <c r="F1068" s="5">
        <v>0</v>
      </c>
      <c r="G1068" s="5">
        <v>0</v>
      </c>
      <c r="H1068" s="5">
        <v>0</v>
      </c>
      <c r="I1068" s="7" t="s">
        <v>58</v>
      </c>
    </row>
    <row r="1069" spans="1:9" ht="60" x14ac:dyDescent="0.25">
      <c r="A1069" s="1" t="s">
        <v>124</v>
      </c>
      <c r="B1069" s="5">
        <v>0.39</v>
      </c>
      <c r="C1069" s="5">
        <v>0.02</v>
      </c>
      <c r="D1069" s="5">
        <v>0</v>
      </c>
      <c r="E1069" s="5">
        <v>0</v>
      </c>
      <c r="F1069" s="5">
        <v>0</v>
      </c>
      <c r="G1069" s="5">
        <v>0</v>
      </c>
      <c r="H1069" s="5">
        <v>0</v>
      </c>
      <c r="I1069" s="6">
        <v>-100</v>
      </c>
    </row>
    <row r="1070" spans="1:9" ht="60" x14ac:dyDescent="0.25">
      <c r="A1070" s="1" t="s">
        <v>125</v>
      </c>
      <c r="B1070" s="5">
        <v>98.78</v>
      </c>
      <c r="C1070" s="5">
        <v>99.17</v>
      </c>
      <c r="D1070" s="5">
        <v>99.21</v>
      </c>
      <c r="E1070" s="5">
        <v>99.23</v>
      </c>
      <c r="F1070" s="5">
        <v>99.23</v>
      </c>
      <c r="G1070" s="5">
        <v>99.24</v>
      </c>
      <c r="H1070" s="5">
        <v>99.24</v>
      </c>
      <c r="I1070" s="6">
        <v>7.7463000000000004E-2</v>
      </c>
    </row>
    <row r="1071" spans="1:9" ht="60" x14ac:dyDescent="0.25">
      <c r="A1071" s="1" t="s">
        <v>126</v>
      </c>
      <c r="B1071" s="5">
        <v>0.28999999999999998</v>
      </c>
      <c r="C1071" s="5">
        <v>0.3</v>
      </c>
      <c r="D1071" s="5">
        <v>0.31</v>
      </c>
      <c r="E1071" s="5">
        <v>0.33</v>
      </c>
      <c r="F1071" s="5">
        <v>0.35</v>
      </c>
      <c r="G1071" s="5">
        <v>0.37</v>
      </c>
      <c r="H1071" s="5">
        <v>0.39</v>
      </c>
      <c r="I1071" s="6">
        <v>5.0617029999999996</v>
      </c>
    </row>
    <row r="1072" spans="1:9" ht="75" x14ac:dyDescent="0.25">
      <c r="A1072" s="1" t="s">
        <v>127</v>
      </c>
      <c r="B1072" s="5">
        <v>0.54</v>
      </c>
      <c r="C1072" s="5">
        <v>0.51</v>
      </c>
      <c r="D1072" s="5">
        <v>0.48</v>
      </c>
      <c r="E1072" s="5">
        <v>0.44</v>
      </c>
      <c r="F1072" s="5">
        <v>0.42</v>
      </c>
      <c r="G1072" s="5">
        <v>0.39</v>
      </c>
      <c r="H1072" s="5">
        <v>0.37</v>
      </c>
      <c r="I1072" s="6">
        <v>-6.1066880000000001</v>
      </c>
    </row>
    <row r="1073" spans="1:9" ht="60" x14ac:dyDescent="0.25">
      <c r="A1073" s="1" t="s">
        <v>128</v>
      </c>
      <c r="B1073" s="5">
        <v>0</v>
      </c>
      <c r="C1073" s="5">
        <v>0</v>
      </c>
      <c r="D1073" s="5">
        <v>0</v>
      </c>
      <c r="E1073" s="5">
        <v>0</v>
      </c>
      <c r="F1073" s="5">
        <v>0</v>
      </c>
      <c r="G1073" s="5">
        <v>0</v>
      </c>
      <c r="H1073" s="5">
        <v>0</v>
      </c>
      <c r="I1073" s="7" t="s">
        <v>58</v>
      </c>
    </row>
    <row r="1074" spans="1:9" ht="45" x14ac:dyDescent="0.25">
      <c r="A1074" s="1" t="s">
        <v>129</v>
      </c>
      <c r="B1074" s="5">
        <v>28.72</v>
      </c>
      <c r="C1074" s="5">
        <v>31.09</v>
      </c>
      <c r="D1074" s="5">
        <v>31.46</v>
      </c>
      <c r="E1074" s="5">
        <v>31.78</v>
      </c>
      <c r="F1074" s="5">
        <v>32.17</v>
      </c>
      <c r="G1074" s="5">
        <v>32.590000000000003</v>
      </c>
      <c r="H1074" s="5">
        <v>33.04</v>
      </c>
      <c r="I1074" s="6">
        <v>2.3629045514384606</v>
      </c>
    </row>
    <row r="1075" spans="1:9" ht="45" x14ac:dyDescent="0.25">
      <c r="A1075" s="1" t="s">
        <v>140</v>
      </c>
      <c r="B1075" s="5">
        <v>0</v>
      </c>
      <c r="C1075" s="5">
        <v>0</v>
      </c>
      <c r="D1075" s="5">
        <v>0</v>
      </c>
      <c r="E1075" s="5">
        <v>0</v>
      </c>
      <c r="F1075" s="5">
        <v>0</v>
      </c>
      <c r="G1075" s="5">
        <v>0</v>
      </c>
      <c r="H1075" s="5">
        <v>0</v>
      </c>
      <c r="I1075" s="7" t="s">
        <v>58</v>
      </c>
    </row>
    <row r="1076" spans="1:9" ht="45" x14ac:dyDescent="0.25">
      <c r="A1076" s="1" t="s">
        <v>141</v>
      </c>
      <c r="B1076" s="5">
        <v>21.31</v>
      </c>
      <c r="C1076" s="5">
        <v>22.96</v>
      </c>
      <c r="D1076" s="5">
        <v>0</v>
      </c>
      <c r="E1076" s="7" t="s">
        <v>58</v>
      </c>
      <c r="F1076" s="7" t="s">
        <v>58</v>
      </c>
      <c r="G1076" s="7" t="s">
        <v>58</v>
      </c>
      <c r="H1076" s="7" t="s">
        <v>58</v>
      </c>
      <c r="I1076" s="7" t="s">
        <v>58</v>
      </c>
    </row>
    <row r="1077" spans="1:9" ht="45" x14ac:dyDescent="0.25">
      <c r="A1077" s="1" t="s">
        <v>142</v>
      </c>
      <c r="B1077" s="5">
        <v>28.84</v>
      </c>
      <c r="C1077" s="5">
        <v>31.14</v>
      </c>
      <c r="D1077" s="5">
        <v>31.5</v>
      </c>
      <c r="E1077" s="5">
        <v>31.81</v>
      </c>
      <c r="F1077" s="5">
        <v>32.200000000000003</v>
      </c>
      <c r="G1077" s="5">
        <v>32.61</v>
      </c>
      <c r="H1077" s="5">
        <v>33.06</v>
      </c>
      <c r="I1077" s="6">
        <v>2.3021120000000002</v>
      </c>
    </row>
    <row r="1078" spans="1:9" ht="60" x14ac:dyDescent="0.25">
      <c r="A1078" s="1" t="s">
        <v>133</v>
      </c>
      <c r="B1078" s="5">
        <v>33.789078170000003</v>
      </c>
      <c r="C1078" s="5">
        <v>33.704893650000002</v>
      </c>
      <c r="D1078" s="5">
        <v>33.6180758</v>
      </c>
      <c r="E1078" s="5">
        <v>0</v>
      </c>
      <c r="F1078" s="5">
        <v>0</v>
      </c>
      <c r="G1078" s="5">
        <v>0</v>
      </c>
      <c r="H1078" s="5">
        <v>0</v>
      </c>
      <c r="I1078" s="6">
        <v>-100</v>
      </c>
    </row>
    <row r="1079" spans="1:9" ht="60" x14ac:dyDescent="0.25">
      <c r="A1079" s="1" t="s">
        <v>134</v>
      </c>
      <c r="B1079" s="5">
        <v>20.350000000000001</v>
      </c>
      <c r="C1079" s="5">
        <v>21.95</v>
      </c>
      <c r="D1079" s="5">
        <v>22.18</v>
      </c>
      <c r="E1079" s="5">
        <v>22.35</v>
      </c>
      <c r="F1079" s="5">
        <v>22.58</v>
      </c>
      <c r="G1079" s="5">
        <v>22.85</v>
      </c>
      <c r="H1079" s="5">
        <v>23.07</v>
      </c>
      <c r="I1079" s="6">
        <v>2.1128809999999998</v>
      </c>
    </row>
    <row r="1080" spans="1:9" x14ac:dyDescent="0.25">
      <c r="A1080" s="1" t="s">
        <v>12</v>
      </c>
      <c r="B1080" s="2"/>
      <c r="C1080" s="2"/>
      <c r="D1080" s="2"/>
      <c r="E1080" s="2"/>
      <c r="F1080" s="2"/>
      <c r="G1080" s="2"/>
      <c r="H1080" s="2"/>
      <c r="I1080" s="2"/>
    </row>
    <row r="1081" spans="1:9" x14ac:dyDescent="0.25">
      <c r="A1081" s="8" t="s">
        <v>66</v>
      </c>
      <c r="B1081" s="2"/>
      <c r="C1081" s="2"/>
      <c r="D1081" s="2"/>
      <c r="E1081" s="2"/>
      <c r="F1081" s="2"/>
      <c r="G1081" s="2"/>
      <c r="H1081" s="2"/>
      <c r="I1081" s="2"/>
    </row>
    <row r="1082" spans="1:9" ht="60" x14ac:dyDescent="0.25">
      <c r="A1082" s="1" t="s">
        <v>13</v>
      </c>
      <c r="B1082" s="5">
        <v>67.37</v>
      </c>
      <c r="C1082" s="5">
        <v>70.25</v>
      </c>
      <c r="D1082" s="5">
        <v>72.19</v>
      </c>
      <c r="E1082" s="5">
        <v>73.290000000000006</v>
      </c>
      <c r="F1082" s="5">
        <v>73.709999999999994</v>
      </c>
      <c r="G1082" s="5">
        <v>73.61</v>
      </c>
      <c r="H1082" s="5">
        <v>73.09</v>
      </c>
      <c r="I1082" s="6">
        <v>1.367461</v>
      </c>
    </row>
    <row r="1083" spans="1:9" ht="60" x14ac:dyDescent="0.25">
      <c r="A1083" s="1" t="s">
        <v>117</v>
      </c>
      <c r="B1083" s="5">
        <v>17.84</v>
      </c>
      <c r="C1083" s="5">
        <v>17.16</v>
      </c>
      <c r="D1083" s="5">
        <v>16.55</v>
      </c>
      <c r="E1083" s="5">
        <v>15.99</v>
      </c>
      <c r="F1083" s="5">
        <v>15.48</v>
      </c>
      <c r="G1083" s="5">
        <v>15.01</v>
      </c>
      <c r="H1083" s="5">
        <v>14.58</v>
      </c>
      <c r="I1083" s="6">
        <v>-3.30728</v>
      </c>
    </row>
    <row r="1084" spans="1:9" ht="60" x14ac:dyDescent="0.25">
      <c r="A1084" s="1" t="s">
        <v>118</v>
      </c>
      <c r="B1084" s="5">
        <v>3.2</v>
      </c>
      <c r="C1084" s="5">
        <v>1.8</v>
      </c>
      <c r="D1084" s="5">
        <v>0.87</v>
      </c>
      <c r="E1084" s="5">
        <v>0.33</v>
      </c>
      <c r="F1084" s="5">
        <v>0.09</v>
      </c>
      <c r="G1084" s="5">
        <v>0.02</v>
      </c>
      <c r="H1084" s="5">
        <v>0</v>
      </c>
      <c r="I1084" s="6">
        <v>-100</v>
      </c>
    </row>
    <row r="1085" spans="1:9" ht="60" x14ac:dyDescent="0.25">
      <c r="A1085" s="1" t="s">
        <v>119</v>
      </c>
      <c r="B1085" s="5">
        <v>44.18</v>
      </c>
      <c r="C1085" s="5">
        <v>49.34</v>
      </c>
      <c r="D1085" s="5">
        <v>52.99</v>
      </c>
      <c r="E1085" s="5">
        <v>55.3</v>
      </c>
      <c r="F1085" s="5">
        <v>56.57</v>
      </c>
      <c r="G1085" s="5">
        <v>57.08</v>
      </c>
      <c r="H1085" s="5">
        <v>57.07</v>
      </c>
      <c r="I1085" s="6">
        <v>4.359108</v>
      </c>
    </row>
    <row r="1086" spans="1:9" ht="60" x14ac:dyDescent="0.25">
      <c r="A1086" s="1" t="s">
        <v>120</v>
      </c>
      <c r="B1086" s="5">
        <v>0.22</v>
      </c>
      <c r="C1086" s="5">
        <v>0.22</v>
      </c>
      <c r="D1086" s="5">
        <v>0.22</v>
      </c>
      <c r="E1086" s="5">
        <v>0.22</v>
      </c>
      <c r="F1086" s="5">
        <v>0.22</v>
      </c>
      <c r="G1086" s="5">
        <v>0.21</v>
      </c>
      <c r="H1086" s="5">
        <v>0.21</v>
      </c>
      <c r="I1086" s="6">
        <v>-0.77233600000000002</v>
      </c>
    </row>
    <row r="1087" spans="1:9" ht="75" x14ac:dyDescent="0.25">
      <c r="A1087" s="1" t="s">
        <v>121</v>
      </c>
      <c r="B1087" s="5">
        <v>1.93</v>
      </c>
      <c r="C1087" s="5">
        <v>1.72</v>
      </c>
      <c r="D1087" s="5">
        <v>1.57</v>
      </c>
      <c r="E1087" s="5">
        <v>1.45</v>
      </c>
      <c r="F1087" s="5">
        <v>1.36</v>
      </c>
      <c r="G1087" s="5">
        <v>1.29</v>
      </c>
      <c r="H1087" s="5">
        <v>1.22</v>
      </c>
      <c r="I1087" s="6">
        <v>-7.3596000000000004</v>
      </c>
    </row>
    <row r="1088" spans="1:9" ht="75" x14ac:dyDescent="0.25">
      <c r="A1088" s="1" t="s">
        <v>122</v>
      </c>
      <c r="B1088" s="5">
        <v>0</v>
      </c>
      <c r="C1088" s="5">
        <v>0</v>
      </c>
      <c r="D1088" s="5">
        <v>0</v>
      </c>
      <c r="E1088" s="5">
        <v>0</v>
      </c>
      <c r="F1088" s="5">
        <v>0</v>
      </c>
      <c r="G1088" s="5">
        <v>0</v>
      </c>
      <c r="H1088" s="5">
        <v>0</v>
      </c>
      <c r="I1088" s="7" t="s">
        <v>58</v>
      </c>
    </row>
    <row r="1089" spans="1:9" ht="60" x14ac:dyDescent="0.25">
      <c r="A1089" s="1" t="s">
        <v>123</v>
      </c>
      <c r="B1089" s="5">
        <v>26.49</v>
      </c>
      <c r="C1089" s="5">
        <v>24.43</v>
      </c>
      <c r="D1089" s="5">
        <v>22.93</v>
      </c>
      <c r="E1089" s="5">
        <v>21.82</v>
      </c>
      <c r="F1089" s="5">
        <v>21.01</v>
      </c>
      <c r="G1089" s="5">
        <v>20.399999999999999</v>
      </c>
      <c r="H1089" s="5">
        <v>19.940000000000001</v>
      </c>
      <c r="I1089" s="6">
        <v>-4.6236860000000002</v>
      </c>
    </row>
    <row r="1090" spans="1:9" ht="60" x14ac:dyDescent="0.25">
      <c r="A1090" s="1" t="s">
        <v>124</v>
      </c>
      <c r="B1090" s="5">
        <v>4.74</v>
      </c>
      <c r="C1090" s="5">
        <v>2.57</v>
      </c>
      <c r="D1090" s="5">
        <v>1.2</v>
      </c>
      <c r="E1090" s="5">
        <v>0.45</v>
      </c>
      <c r="F1090" s="5">
        <v>0.12</v>
      </c>
      <c r="G1090" s="5">
        <v>0.02</v>
      </c>
      <c r="H1090" s="5">
        <v>0</v>
      </c>
      <c r="I1090" s="6">
        <v>-100</v>
      </c>
    </row>
    <row r="1091" spans="1:9" ht="60" x14ac:dyDescent="0.25">
      <c r="A1091" s="1" t="s">
        <v>125</v>
      </c>
      <c r="B1091" s="5">
        <v>65.569999999999993</v>
      </c>
      <c r="C1091" s="5">
        <v>70.239999999999995</v>
      </c>
      <c r="D1091" s="5">
        <v>73.400000000000006</v>
      </c>
      <c r="E1091" s="5">
        <v>75.45</v>
      </c>
      <c r="F1091" s="5">
        <v>76.739999999999995</v>
      </c>
      <c r="G1091" s="5">
        <v>77.55</v>
      </c>
      <c r="H1091" s="5">
        <v>78.09</v>
      </c>
      <c r="I1091" s="6">
        <v>2.9552209999999999</v>
      </c>
    </row>
    <row r="1092" spans="1:9" ht="60" x14ac:dyDescent="0.25">
      <c r="A1092" s="1" t="s">
        <v>126</v>
      </c>
      <c r="B1092" s="5">
        <v>0.33</v>
      </c>
      <c r="C1092" s="5">
        <v>0.32</v>
      </c>
      <c r="D1092" s="5">
        <v>0.3</v>
      </c>
      <c r="E1092" s="5">
        <v>0.3</v>
      </c>
      <c r="F1092" s="5">
        <v>0.28999999999999998</v>
      </c>
      <c r="G1092" s="5">
        <v>0.28999999999999998</v>
      </c>
      <c r="H1092" s="5">
        <v>0.28999999999999998</v>
      </c>
      <c r="I1092" s="6">
        <v>-2.130506</v>
      </c>
    </row>
    <row r="1093" spans="1:9" ht="75" x14ac:dyDescent="0.25">
      <c r="A1093" s="1" t="s">
        <v>127</v>
      </c>
      <c r="B1093" s="5">
        <v>2.86</v>
      </c>
      <c r="C1093" s="5">
        <v>2.4500000000000002</v>
      </c>
      <c r="D1093" s="5">
        <v>2.17</v>
      </c>
      <c r="E1093" s="5">
        <v>1.98</v>
      </c>
      <c r="F1093" s="5">
        <v>1.84</v>
      </c>
      <c r="G1093" s="5">
        <v>1.75</v>
      </c>
      <c r="H1093" s="5">
        <v>1.68</v>
      </c>
      <c r="I1093" s="6">
        <v>-8.4853670000000001</v>
      </c>
    </row>
    <row r="1094" spans="1:9" ht="60" x14ac:dyDescent="0.25">
      <c r="A1094" s="1" t="s">
        <v>128</v>
      </c>
      <c r="B1094" s="5">
        <v>0</v>
      </c>
      <c r="C1094" s="5">
        <v>0</v>
      </c>
      <c r="D1094" s="5">
        <v>0</v>
      </c>
      <c r="E1094" s="5">
        <v>0</v>
      </c>
      <c r="F1094" s="5">
        <v>0</v>
      </c>
      <c r="G1094" s="5">
        <v>0</v>
      </c>
      <c r="H1094" s="5">
        <v>0</v>
      </c>
      <c r="I1094" s="7" t="s">
        <v>58</v>
      </c>
    </row>
    <row r="1095" spans="1:9" ht="45" x14ac:dyDescent="0.25">
      <c r="A1095" s="1" t="s">
        <v>129</v>
      </c>
      <c r="B1095" s="5">
        <v>21.79</v>
      </c>
      <c r="C1095" s="5">
        <v>22.44</v>
      </c>
      <c r="D1095" s="5">
        <v>23.15</v>
      </c>
      <c r="E1095" s="5">
        <v>23.87</v>
      </c>
      <c r="F1095" s="5">
        <v>24.48</v>
      </c>
      <c r="G1095" s="5">
        <v>24.94</v>
      </c>
      <c r="H1095" s="5">
        <v>25.29</v>
      </c>
      <c r="I1095" s="6">
        <v>2.5137057843706456</v>
      </c>
    </row>
    <row r="1096" spans="1:9" ht="45" x14ac:dyDescent="0.25">
      <c r="A1096" s="1" t="s">
        <v>140</v>
      </c>
      <c r="B1096" s="5">
        <v>18.36</v>
      </c>
      <c r="C1096" s="5">
        <v>19.61</v>
      </c>
      <c r="D1096" s="5">
        <v>20.67</v>
      </c>
      <c r="E1096" s="5">
        <v>21.73</v>
      </c>
      <c r="F1096" s="5">
        <v>22.77</v>
      </c>
      <c r="G1096" s="5">
        <v>23.77</v>
      </c>
      <c r="H1096" s="5">
        <v>24.81</v>
      </c>
      <c r="I1096" s="6">
        <v>5.1459010000000003</v>
      </c>
    </row>
    <row r="1097" spans="1:9" ht="45" x14ac:dyDescent="0.25">
      <c r="A1097" s="1" t="s">
        <v>141</v>
      </c>
      <c r="B1097" s="5">
        <v>19.989999999999998</v>
      </c>
      <c r="C1097" s="5">
        <v>19.670000000000002</v>
      </c>
      <c r="D1097" s="5">
        <v>19.309999999999999</v>
      </c>
      <c r="E1097" s="5">
        <v>18.940000000000001</v>
      </c>
      <c r="F1097" s="5">
        <v>18.57</v>
      </c>
      <c r="G1097" s="5">
        <v>18.2</v>
      </c>
      <c r="H1097" s="5">
        <v>17.84</v>
      </c>
      <c r="I1097" s="6">
        <v>-1.878614</v>
      </c>
    </row>
    <row r="1098" spans="1:9" ht="45" x14ac:dyDescent="0.25">
      <c r="A1098" s="1" t="s">
        <v>142</v>
      </c>
      <c r="B1098" s="5">
        <v>23.4</v>
      </c>
      <c r="C1098" s="5">
        <v>23.58</v>
      </c>
      <c r="D1098" s="5">
        <v>24.03</v>
      </c>
      <c r="E1098" s="5">
        <v>24.54</v>
      </c>
      <c r="F1098" s="5">
        <v>24.98</v>
      </c>
      <c r="G1098" s="5">
        <v>25.26</v>
      </c>
      <c r="H1098" s="5">
        <v>25.44</v>
      </c>
      <c r="I1098" s="6">
        <v>1.4028609999999999</v>
      </c>
    </row>
    <row r="1099" spans="1:9" ht="60" x14ac:dyDescent="0.25">
      <c r="A1099" s="1" t="s">
        <v>133</v>
      </c>
      <c r="B1099" s="5">
        <v>66.090065539999998</v>
      </c>
      <c r="C1099" s="5">
        <v>64.768471939999998</v>
      </c>
      <c r="D1099" s="5">
        <v>63.472972519999999</v>
      </c>
      <c r="E1099" s="5">
        <v>62.203419480000001</v>
      </c>
      <c r="F1099" s="5">
        <v>60.95962875</v>
      </c>
      <c r="G1099" s="5">
        <v>59.740401890000001</v>
      </c>
      <c r="H1099" s="5">
        <v>58.545589470000003</v>
      </c>
      <c r="I1099" s="6">
        <v>-1.999941842522257</v>
      </c>
    </row>
    <row r="1100" spans="1:9" ht="60" x14ac:dyDescent="0.25">
      <c r="A1100" s="1" t="s">
        <v>134</v>
      </c>
      <c r="B1100" s="5">
        <v>20.239999999999998</v>
      </c>
      <c r="C1100" s="5">
        <v>19.98</v>
      </c>
      <c r="D1100" s="5">
        <v>19.760000000000002</v>
      </c>
      <c r="E1100" s="5">
        <v>19.600000000000001</v>
      </c>
      <c r="F1100" s="5">
        <v>19.45</v>
      </c>
      <c r="G1100" s="5">
        <v>19.18</v>
      </c>
      <c r="H1100" s="5">
        <v>18.899999999999999</v>
      </c>
      <c r="I1100" s="6">
        <v>-1.135157</v>
      </c>
    </row>
    <row r="1101" spans="1:9" x14ac:dyDescent="0.25">
      <c r="A1101" s="1" t="s">
        <v>12</v>
      </c>
      <c r="B1101" s="2"/>
      <c r="C1101" s="2"/>
      <c r="D1101" s="2"/>
      <c r="E1101" s="2"/>
      <c r="F1101" s="2"/>
      <c r="G1101" s="2"/>
      <c r="H1101" s="2"/>
      <c r="I1101" s="2"/>
    </row>
    <row r="1102" spans="1:9" ht="30" x14ac:dyDescent="0.25">
      <c r="A1102" s="8" t="s">
        <v>67</v>
      </c>
      <c r="B1102" s="2"/>
      <c r="C1102" s="2"/>
      <c r="D1102" s="2"/>
      <c r="E1102" s="2"/>
      <c r="F1102" s="2"/>
      <c r="G1102" s="2"/>
      <c r="H1102" s="2"/>
      <c r="I1102" s="2"/>
    </row>
    <row r="1103" spans="1:9" ht="60" x14ac:dyDescent="0.25">
      <c r="A1103" s="1" t="s">
        <v>13</v>
      </c>
      <c r="B1103" s="5">
        <v>11.84</v>
      </c>
      <c r="C1103" s="5">
        <v>12.3</v>
      </c>
      <c r="D1103" s="5">
        <v>12.72</v>
      </c>
      <c r="E1103" s="5">
        <v>13.13</v>
      </c>
      <c r="F1103" s="5">
        <v>13.49</v>
      </c>
      <c r="G1103" s="5">
        <v>13.76</v>
      </c>
      <c r="H1103" s="5">
        <v>14.01</v>
      </c>
      <c r="I1103" s="6">
        <v>2.8445</v>
      </c>
    </row>
    <row r="1104" spans="1:9" ht="60" x14ac:dyDescent="0.25">
      <c r="A1104" s="1" t="s">
        <v>117</v>
      </c>
      <c r="B1104" s="5">
        <v>0.81</v>
      </c>
      <c r="C1104" s="5">
        <v>0.91</v>
      </c>
      <c r="D1104" s="5">
        <v>1.01</v>
      </c>
      <c r="E1104" s="5">
        <v>1.1200000000000001</v>
      </c>
      <c r="F1104" s="5">
        <v>1.23</v>
      </c>
      <c r="G1104" s="5">
        <v>1.33</v>
      </c>
      <c r="H1104" s="5">
        <v>1.44</v>
      </c>
      <c r="I1104" s="6">
        <v>10.064242</v>
      </c>
    </row>
    <row r="1105" spans="1:9" ht="60" x14ac:dyDescent="0.25">
      <c r="A1105" s="1" t="s">
        <v>118</v>
      </c>
      <c r="B1105" s="5">
        <v>6.45</v>
      </c>
      <c r="C1105" s="5">
        <v>6.35</v>
      </c>
      <c r="D1105" s="5">
        <v>6.22</v>
      </c>
      <c r="E1105" s="5">
        <v>6.09</v>
      </c>
      <c r="F1105" s="5">
        <v>5.91</v>
      </c>
      <c r="G1105" s="5">
        <v>5.67</v>
      </c>
      <c r="H1105" s="5">
        <v>5.41</v>
      </c>
      <c r="I1105" s="6">
        <v>-2.887994</v>
      </c>
    </row>
    <row r="1106" spans="1:9" ht="60" x14ac:dyDescent="0.25">
      <c r="A1106" s="1" t="s">
        <v>119</v>
      </c>
      <c r="B1106" s="5">
        <v>4.2</v>
      </c>
      <c r="C1106" s="5">
        <v>4.63</v>
      </c>
      <c r="D1106" s="5">
        <v>5.0599999999999996</v>
      </c>
      <c r="E1106" s="5">
        <v>5.47</v>
      </c>
      <c r="F1106" s="5">
        <v>5.89</v>
      </c>
      <c r="G1106" s="5">
        <v>6.29</v>
      </c>
      <c r="H1106" s="5">
        <v>6.66</v>
      </c>
      <c r="I1106" s="6">
        <v>7.9868379999999997</v>
      </c>
    </row>
    <row r="1107" spans="1:9" ht="60" x14ac:dyDescent="0.25">
      <c r="A1107" s="1" t="s">
        <v>120</v>
      </c>
      <c r="B1107" s="5">
        <v>0.02</v>
      </c>
      <c r="C1107" s="5">
        <v>0.02</v>
      </c>
      <c r="D1107" s="5">
        <v>0.02</v>
      </c>
      <c r="E1107" s="5">
        <v>0.02</v>
      </c>
      <c r="F1107" s="5">
        <v>0.02</v>
      </c>
      <c r="G1107" s="5">
        <v>0.02</v>
      </c>
      <c r="H1107" s="5">
        <v>0.03</v>
      </c>
      <c r="I1107" s="6">
        <v>6.9913189999999998</v>
      </c>
    </row>
    <row r="1108" spans="1:9" ht="75" x14ac:dyDescent="0.25">
      <c r="A1108" s="1" t="s">
        <v>121</v>
      </c>
      <c r="B1108" s="5">
        <v>0.36</v>
      </c>
      <c r="C1108" s="5">
        <v>0.39</v>
      </c>
      <c r="D1108" s="5">
        <v>0.41</v>
      </c>
      <c r="E1108" s="5">
        <v>0.42</v>
      </c>
      <c r="F1108" s="5">
        <v>0.44</v>
      </c>
      <c r="G1108" s="5">
        <v>0.45</v>
      </c>
      <c r="H1108" s="5">
        <v>0.46</v>
      </c>
      <c r="I1108" s="6">
        <v>4.1699739999999998</v>
      </c>
    </row>
    <row r="1109" spans="1:9" ht="75" x14ac:dyDescent="0.25">
      <c r="A1109" s="1" t="s">
        <v>122</v>
      </c>
      <c r="B1109" s="5">
        <v>0.01</v>
      </c>
      <c r="C1109" s="5">
        <v>0.01</v>
      </c>
      <c r="D1109" s="5">
        <v>0.01</v>
      </c>
      <c r="E1109" s="5">
        <v>0.01</v>
      </c>
      <c r="F1109" s="5">
        <v>0.01</v>
      </c>
      <c r="G1109" s="5">
        <v>0.01</v>
      </c>
      <c r="H1109" s="5">
        <v>0.01</v>
      </c>
      <c r="I1109" s="6">
        <v>0</v>
      </c>
    </row>
    <row r="1110" spans="1:9" ht="60" x14ac:dyDescent="0.25">
      <c r="A1110" s="1" t="s">
        <v>123</v>
      </c>
      <c r="B1110" s="5">
        <v>6.85</v>
      </c>
      <c r="C1110" s="5">
        <v>7.4</v>
      </c>
      <c r="D1110" s="5">
        <v>7.97</v>
      </c>
      <c r="E1110" s="5">
        <v>8.5299999999999994</v>
      </c>
      <c r="F1110" s="5">
        <v>9.09</v>
      </c>
      <c r="G1110" s="5">
        <v>9.67</v>
      </c>
      <c r="H1110" s="5">
        <v>10.28</v>
      </c>
      <c r="I1110" s="6">
        <v>6.9999950000000002</v>
      </c>
    </row>
    <row r="1111" spans="1:9" ht="60" x14ac:dyDescent="0.25">
      <c r="A1111" s="1" t="s">
        <v>124</v>
      </c>
      <c r="B1111" s="5">
        <v>54.43</v>
      </c>
      <c r="C1111" s="5">
        <v>51.6</v>
      </c>
      <c r="D1111" s="5">
        <v>48.87</v>
      </c>
      <c r="E1111" s="5">
        <v>46.35</v>
      </c>
      <c r="F1111" s="5">
        <v>43.78</v>
      </c>
      <c r="G1111" s="5">
        <v>41.16</v>
      </c>
      <c r="H1111" s="5">
        <v>38.64</v>
      </c>
      <c r="I1111" s="6">
        <v>-5.5504709999999999</v>
      </c>
    </row>
    <row r="1112" spans="1:9" ht="60" x14ac:dyDescent="0.25">
      <c r="A1112" s="1" t="s">
        <v>125</v>
      </c>
      <c r="B1112" s="5">
        <v>35.450000000000003</v>
      </c>
      <c r="C1112" s="5">
        <v>37.61</v>
      </c>
      <c r="D1112" s="5">
        <v>39.729999999999997</v>
      </c>
      <c r="E1112" s="5">
        <v>41.68</v>
      </c>
      <c r="F1112" s="5">
        <v>43.67</v>
      </c>
      <c r="G1112" s="5">
        <v>45.68</v>
      </c>
      <c r="H1112" s="5">
        <v>47.54</v>
      </c>
      <c r="I1112" s="6">
        <v>5.0123769999999999</v>
      </c>
    </row>
    <row r="1113" spans="1:9" ht="60" x14ac:dyDescent="0.25">
      <c r="A1113" s="1" t="s">
        <v>126</v>
      </c>
      <c r="B1113" s="5">
        <v>0.2</v>
      </c>
      <c r="C1113" s="5">
        <v>0.19</v>
      </c>
      <c r="D1113" s="5">
        <v>0.18</v>
      </c>
      <c r="E1113" s="5">
        <v>0.18</v>
      </c>
      <c r="F1113" s="5">
        <v>0.18</v>
      </c>
      <c r="G1113" s="5">
        <v>0.18</v>
      </c>
      <c r="H1113" s="5">
        <v>0.18</v>
      </c>
      <c r="I1113" s="6">
        <v>-1.7406809999999999</v>
      </c>
    </row>
    <row r="1114" spans="1:9" ht="75" x14ac:dyDescent="0.25">
      <c r="A1114" s="1" t="s">
        <v>127</v>
      </c>
      <c r="B1114" s="5">
        <v>3.01</v>
      </c>
      <c r="C1114" s="5">
        <v>3.15</v>
      </c>
      <c r="D1114" s="5">
        <v>3.2</v>
      </c>
      <c r="E1114" s="5">
        <v>3.2</v>
      </c>
      <c r="F1114" s="5">
        <v>3.23</v>
      </c>
      <c r="G1114" s="5">
        <v>3.26</v>
      </c>
      <c r="H1114" s="5">
        <v>3.32</v>
      </c>
      <c r="I1114" s="6">
        <v>1.6471640000000001</v>
      </c>
    </row>
    <row r="1115" spans="1:9" ht="60" x14ac:dyDescent="0.25">
      <c r="A1115" s="1" t="s">
        <v>128</v>
      </c>
      <c r="B1115" s="5">
        <v>0.06</v>
      </c>
      <c r="C1115" s="5">
        <v>0.05</v>
      </c>
      <c r="D1115" s="5">
        <v>0.05</v>
      </c>
      <c r="E1115" s="5">
        <v>0.05</v>
      </c>
      <c r="F1115" s="5">
        <v>0.05</v>
      </c>
      <c r="G1115" s="5">
        <v>0.05</v>
      </c>
      <c r="H1115" s="5">
        <v>0.04</v>
      </c>
      <c r="I1115" s="6">
        <v>-6.5344740000000003</v>
      </c>
    </row>
    <row r="1116" spans="1:9" ht="45" x14ac:dyDescent="0.25">
      <c r="A1116" s="1" t="s">
        <v>129</v>
      </c>
      <c r="B1116" s="7" t="s">
        <v>58</v>
      </c>
      <c r="C1116" s="7" t="s">
        <v>58</v>
      </c>
      <c r="D1116" s="7" t="s">
        <v>58</v>
      </c>
      <c r="E1116" s="7" t="s">
        <v>58</v>
      </c>
      <c r="F1116" s="7" t="s">
        <v>58</v>
      </c>
      <c r="G1116" s="7" t="s">
        <v>58</v>
      </c>
      <c r="H1116" s="7" t="s">
        <v>58</v>
      </c>
      <c r="I1116" s="7" t="s">
        <v>58</v>
      </c>
    </row>
    <row r="1117" spans="1:9" ht="45" x14ac:dyDescent="0.25">
      <c r="A1117" s="1" t="s">
        <v>140</v>
      </c>
      <c r="B1117" s="7" t="s">
        <v>58</v>
      </c>
      <c r="C1117" s="7" t="s">
        <v>58</v>
      </c>
      <c r="D1117" s="7" t="s">
        <v>58</v>
      </c>
      <c r="E1117" s="7" t="s">
        <v>58</v>
      </c>
      <c r="F1117" s="7" t="s">
        <v>58</v>
      </c>
      <c r="G1117" s="7" t="s">
        <v>58</v>
      </c>
      <c r="H1117" s="7" t="s">
        <v>58</v>
      </c>
      <c r="I1117" s="7" t="s">
        <v>58</v>
      </c>
    </row>
    <row r="1118" spans="1:9" ht="45" x14ac:dyDescent="0.25">
      <c r="A1118" s="1" t="s">
        <v>141</v>
      </c>
      <c r="B1118" s="7" t="s">
        <v>58</v>
      </c>
      <c r="C1118" s="7" t="s">
        <v>58</v>
      </c>
      <c r="D1118" s="7" t="s">
        <v>58</v>
      </c>
      <c r="E1118" s="7" t="s">
        <v>58</v>
      </c>
      <c r="F1118" s="7" t="s">
        <v>58</v>
      </c>
      <c r="G1118" s="7" t="s">
        <v>58</v>
      </c>
      <c r="H1118" s="7" t="s">
        <v>58</v>
      </c>
      <c r="I1118" s="7" t="s">
        <v>58</v>
      </c>
    </row>
    <row r="1119" spans="1:9" ht="45" x14ac:dyDescent="0.25">
      <c r="A1119" s="1" t="s">
        <v>142</v>
      </c>
      <c r="B1119" s="7" t="s">
        <v>58</v>
      </c>
      <c r="C1119" s="7" t="s">
        <v>58</v>
      </c>
      <c r="D1119" s="7" t="s">
        <v>58</v>
      </c>
      <c r="E1119" s="7" t="s">
        <v>58</v>
      </c>
      <c r="F1119" s="7" t="s">
        <v>58</v>
      </c>
      <c r="G1119" s="7" t="s">
        <v>58</v>
      </c>
      <c r="H1119" s="7" t="s">
        <v>58</v>
      </c>
      <c r="I1119" s="7" t="s">
        <v>58</v>
      </c>
    </row>
    <row r="1120" spans="1:9" ht="60" x14ac:dyDescent="0.25">
      <c r="A1120" s="1" t="s">
        <v>133</v>
      </c>
      <c r="B1120" s="7" t="s">
        <v>58</v>
      </c>
      <c r="C1120" s="7" t="s">
        <v>58</v>
      </c>
      <c r="D1120" s="7" t="s">
        <v>58</v>
      </c>
      <c r="E1120" s="7" t="s">
        <v>58</v>
      </c>
      <c r="F1120" s="7" t="s">
        <v>58</v>
      </c>
      <c r="G1120" s="7" t="s">
        <v>58</v>
      </c>
      <c r="H1120" s="7" t="s">
        <v>58</v>
      </c>
      <c r="I1120" s="7" t="s">
        <v>58</v>
      </c>
    </row>
    <row r="1121" spans="1:9" ht="60" x14ac:dyDescent="0.25">
      <c r="A1121" s="1" t="s">
        <v>134</v>
      </c>
      <c r="B1121" s="7" t="s">
        <v>58</v>
      </c>
      <c r="C1121" s="7" t="s">
        <v>58</v>
      </c>
      <c r="D1121" s="7" t="s">
        <v>58</v>
      </c>
      <c r="E1121" s="7" t="s">
        <v>58</v>
      </c>
      <c r="F1121" s="7" t="s">
        <v>58</v>
      </c>
      <c r="G1121" s="7" t="s">
        <v>58</v>
      </c>
      <c r="H1121" s="7" t="s">
        <v>58</v>
      </c>
      <c r="I1121" s="7" t="s">
        <v>58</v>
      </c>
    </row>
    <row r="1122" spans="1:9" x14ac:dyDescent="0.25">
      <c r="A1122" s="1" t="s">
        <v>12</v>
      </c>
      <c r="B1122" s="2"/>
      <c r="C1122" s="2"/>
      <c r="D1122" s="2"/>
      <c r="E1122" s="2"/>
      <c r="F1122" s="2"/>
      <c r="G1122" s="2"/>
      <c r="H1122" s="2"/>
      <c r="I1122" s="2"/>
    </row>
    <row r="1123" spans="1:9" x14ac:dyDescent="0.25">
      <c r="A1123" s="8" t="s">
        <v>68</v>
      </c>
      <c r="B1123" s="2"/>
      <c r="C1123" s="2"/>
      <c r="D1123" s="2"/>
      <c r="E1123" s="2"/>
      <c r="F1123" s="2"/>
      <c r="G1123" s="2"/>
      <c r="H1123" s="2"/>
      <c r="I1123" s="2"/>
    </row>
    <row r="1124" spans="1:9" ht="60" x14ac:dyDescent="0.25">
      <c r="A1124" s="1" t="s">
        <v>13</v>
      </c>
      <c r="B1124" s="7" t="s">
        <v>58</v>
      </c>
      <c r="C1124" s="7" t="s">
        <v>58</v>
      </c>
      <c r="D1124" s="7" t="s">
        <v>58</v>
      </c>
      <c r="E1124" s="7" t="s">
        <v>58</v>
      </c>
      <c r="F1124" s="7" t="s">
        <v>58</v>
      </c>
      <c r="G1124" s="7" t="s">
        <v>58</v>
      </c>
      <c r="H1124" s="7" t="s">
        <v>58</v>
      </c>
      <c r="I1124" s="7" t="s">
        <v>58</v>
      </c>
    </row>
    <row r="1125" spans="1:9" ht="60" x14ac:dyDescent="0.25">
      <c r="A1125" s="1" t="s">
        <v>117</v>
      </c>
      <c r="B1125" s="7" t="s">
        <v>58</v>
      </c>
      <c r="C1125" s="7" t="s">
        <v>58</v>
      </c>
      <c r="D1125" s="7" t="s">
        <v>58</v>
      </c>
      <c r="E1125" s="7" t="s">
        <v>58</v>
      </c>
      <c r="F1125" s="7" t="s">
        <v>58</v>
      </c>
      <c r="G1125" s="7" t="s">
        <v>58</v>
      </c>
      <c r="H1125" s="7" t="s">
        <v>58</v>
      </c>
      <c r="I1125" s="7" t="s">
        <v>58</v>
      </c>
    </row>
    <row r="1126" spans="1:9" ht="60" x14ac:dyDescent="0.25">
      <c r="A1126" s="1" t="s">
        <v>118</v>
      </c>
      <c r="B1126" s="7" t="s">
        <v>58</v>
      </c>
      <c r="C1126" s="7" t="s">
        <v>58</v>
      </c>
      <c r="D1126" s="7" t="s">
        <v>58</v>
      </c>
      <c r="E1126" s="7" t="s">
        <v>58</v>
      </c>
      <c r="F1126" s="7" t="s">
        <v>58</v>
      </c>
      <c r="G1126" s="7" t="s">
        <v>58</v>
      </c>
      <c r="H1126" s="7" t="s">
        <v>58</v>
      </c>
      <c r="I1126" s="7" t="s">
        <v>58</v>
      </c>
    </row>
    <row r="1127" spans="1:9" ht="60" x14ac:dyDescent="0.25">
      <c r="A1127" s="1" t="s">
        <v>119</v>
      </c>
      <c r="B1127" s="7" t="s">
        <v>58</v>
      </c>
      <c r="C1127" s="7" t="s">
        <v>58</v>
      </c>
      <c r="D1127" s="7" t="s">
        <v>58</v>
      </c>
      <c r="E1127" s="7" t="s">
        <v>58</v>
      </c>
      <c r="F1127" s="7" t="s">
        <v>58</v>
      </c>
      <c r="G1127" s="7" t="s">
        <v>58</v>
      </c>
      <c r="H1127" s="7" t="s">
        <v>58</v>
      </c>
      <c r="I1127" s="7" t="s">
        <v>58</v>
      </c>
    </row>
    <row r="1128" spans="1:9" ht="60" x14ac:dyDescent="0.25">
      <c r="A1128" s="1" t="s">
        <v>120</v>
      </c>
      <c r="B1128" s="7" t="s">
        <v>58</v>
      </c>
      <c r="C1128" s="7" t="s">
        <v>58</v>
      </c>
      <c r="D1128" s="7" t="s">
        <v>58</v>
      </c>
      <c r="E1128" s="7" t="s">
        <v>58</v>
      </c>
      <c r="F1128" s="7" t="s">
        <v>58</v>
      </c>
      <c r="G1128" s="7" t="s">
        <v>58</v>
      </c>
      <c r="H1128" s="7" t="s">
        <v>58</v>
      </c>
      <c r="I1128" s="7" t="s">
        <v>58</v>
      </c>
    </row>
    <row r="1129" spans="1:9" ht="75" x14ac:dyDescent="0.25">
      <c r="A1129" s="1" t="s">
        <v>121</v>
      </c>
      <c r="B1129" s="7" t="s">
        <v>58</v>
      </c>
      <c r="C1129" s="7" t="s">
        <v>58</v>
      </c>
      <c r="D1129" s="7" t="s">
        <v>58</v>
      </c>
      <c r="E1129" s="7" t="s">
        <v>58</v>
      </c>
      <c r="F1129" s="7" t="s">
        <v>58</v>
      </c>
      <c r="G1129" s="7" t="s">
        <v>58</v>
      </c>
      <c r="H1129" s="7" t="s">
        <v>58</v>
      </c>
      <c r="I1129" s="7" t="s">
        <v>58</v>
      </c>
    </row>
    <row r="1130" spans="1:9" ht="75" x14ac:dyDescent="0.25">
      <c r="A1130" s="1" t="s">
        <v>122</v>
      </c>
      <c r="B1130" s="7" t="s">
        <v>58</v>
      </c>
      <c r="C1130" s="7" t="s">
        <v>58</v>
      </c>
      <c r="D1130" s="7" t="s">
        <v>58</v>
      </c>
      <c r="E1130" s="7" t="s">
        <v>58</v>
      </c>
      <c r="F1130" s="7" t="s">
        <v>58</v>
      </c>
      <c r="G1130" s="7" t="s">
        <v>58</v>
      </c>
      <c r="H1130" s="7" t="s">
        <v>58</v>
      </c>
      <c r="I1130" s="7" t="s">
        <v>58</v>
      </c>
    </row>
    <row r="1131" spans="1:9" ht="60" x14ac:dyDescent="0.25">
      <c r="A1131" s="1" t="s">
        <v>123</v>
      </c>
      <c r="B1131" s="7" t="s">
        <v>58</v>
      </c>
      <c r="C1131" s="7" t="s">
        <v>58</v>
      </c>
      <c r="D1131" s="7" t="s">
        <v>58</v>
      </c>
      <c r="E1131" s="7" t="s">
        <v>58</v>
      </c>
      <c r="F1131" s="7" t="s">
        <v>58</v>
      </c>
      <c r="G1131" s="7" t="s">
        <v>58</v>
      </c>
      <c r="H1131" s="7" t="s">
        <v>58</v>
      </c>
      <c r="I1131" s="7" t="s">
        <v>58</v>
      </c>
    </row>
    <row r="1132" spans="1:9" ht="60" x14ac:dyDescent="0.25">
      <c r="A1132" s="1" t="s">
        <v>124</v>
      </c>
      <c r="B1132" s="7" t="s">
        <v>58</v>
      </c>
      <c r="C1132" s="7" t="s">
        <v>58</v>
      </c>
      <c r="D1132" s="7" t="s">
        <v>58</v>
      </c>
      <c r="E1132" s="7" t="s">
        <v>58</v>
      </c>
      <c r="F1132" s="7" t="s">
        <v>58</v>
      </c>
      <c r="G1132" s="7" t="s">
        <v>58</v>
      </c>
      <c r="H1132" s="7" t="s">
        <v>58</v>
      </c>
      <c r="I1132" s="7" t="s">
        <v>58</v>
      </c>
    </row>
    <row r="1133" spans="1:9" ht="60" x14ac:dyDescent="0.25">
      <c r="A1133" s="1" t="s">
        <v>125</v>
      </c>
      <c r="B1133" s="7" t="s">
        <v>58</v>
      </c>
      <c r="C1133" s="7" t="s">
        <v>58</v>
      </c>
      <c r="D1133" s="7" t="s">
        <v>58</v>
      </c>
      <c r="E1133" s="7" t="s">
        <v>58</v>
      </c>
      <c r="F1133" s="7" t="s">
        <v>58</v>
      </c>
      <c r="G1133" s="7" t="s">
        <v>58</v>
      </c>
      <c r="H1133" s="7" t="s">
        <v>58</v>
      </c>
      <c r="I1133" s="7" t="s">
        <v>58</v>
      </c>
    </row>
    <row r="1134" spans="1:9" ht="60" x14ac:dyDescent="0.25">
      <c r="A1134" s="1" t="s">
        <v>126</v>
      </c>
      <c r="B1134" s="7" t="s">
        <v>58</v>
      </c>
      <c r="C1134" s="7" t="s">
        <v>58</v>
      </c>
      <c r="D1134" s="7" t="s">
        <v>58</v>
      </c>
      <c r="E1134" s="7" t="s">
        <v>58</v>
      </c>
      <c r="F1134" s="7" t="s">
        <v>58</v>
      </c>
      <c r="G1134" s="7" t="s">
        <v>58</v>
      </c>
      <c r="H1134" s="7" t="s">
        <v>58</v>
      </c>
      <c r="I1134" s="7" t="s">
        <v>58</v>
      </c>
    </row>
    <row r="1135" spans="1:9" ht="75" x14ac:dyDescent="0.25">
      <c r="A1135" s="1" t="s">
        <v>127</v>
      </c>
      <c r="B1135" s="7" t="s">
        <v>58</v>
      </c>
      <c r="C1135" s="7" t="s">
        <v>58</v>
      </c>
      <c r="D1135" s="7" t="s">
        <v>58</v>
      </c>
      <c r="E1135" s="7" t="s">
        <v>58</v>
      </c>
      <c r="F1135" s="7" t="s">
        <v>58</v>
      </c>
      <c r="G1135" s="7" t="s">
        <v>58</v>
      </c>
      <c r="H1135" s="7" t="s">
        <v>58</v>
      </c>
      <c r="I1135" s="7" t="s">
        <v>58</v>
      </c>
    </row>
    <row r="1136" spans="1:9" ht="60" x14ac:dyDescent="0.25">
      <c r="A1136" s="1" t="s">
        <v>128</v>
      </c>
      <c r="B1136" s="7" t="s">
        <v>58</v>
      </c>
      <c r="C1136" s="7" t="s">
        <v>58</v>
      </c>
      <c r="D1136" s="7" t="s">
        <v>58</v>
      </c>
      <c r="E1136" s="7" t="s">
        <v>58</v>
      </c>
      <c r="F1136" s="7" t="s">
        <v>58</v>
      </c>
      <c r="G1136" s="7" t="s">
        <v>58</v>
      </c>
      <c r="H1136" s="7" t="s">
        <v>58</v>
      </c>
      <c r="I1136" s="7" t="s">
        <v>58</v>
      </c>
    </row>
    <row r="1137" spans="1:9" ht="45" x14ac:dyDescent="0.25">
      <c r="A1137" s="1" t="s">
        <v>129</v>
      </c>
      <c r="B1137" s="7" t="s">
        <v>58</v>
      </c>
      <c r="C1137" s="7" t="s">
        <v>58</v>
      </c>
      <c r="D1137" s="7" t="s">
        <v>58</v>
      </c>
      <c r="E1137" s="7" t="s">
        <v>58</v>
      </c>
      <c r="F1137" s="7" t="s">
        <v>58</v>
      </c>
      <c r="G1137" s="7" t="s">
        <v>58</v>
      </c>
      <c r="H1137" s="7" t="s">
        <v>58</v>
      </c>
      <c r="I1137" s="7" t="s">
        <v>58</v>
      </c>
    </row>
    <row r="1138" spans="1:9" ht="45" x14ac:dyDescent="0.25">
      <c r="A1138" s="1" t="s">
        <v>140</v>
      </c>
      <c r="B1138" s="7" t="s">
        <v>58</v>
      </c>
      <c r="C1138" s="7" t="s">
        <v>58</v>
      </c>
      <c r="D1138" s="7" t="s">
        <v>58</v>
      </c>
      <c r="E1138" s="7" t="s">
        <v>58</v>
      </c>
      <c r="F1138" s="7" t="s">
        <v>58</v>
      </c>
      <c r="G1138" s="7" t="s">
        <v>58</v>
      </c>
      <c r="H1138" s="7" t="s">
        <v>58</v>
      </c>
      <c r="I1138" s="7" t="s">
        <v>58</v>
      </c>
    </row>
    <row r="1139" spans="1:9" ht="45" x14ac:dyDescent="0.25">
      <c r="A1139" s="1" t="s">
        <v>141</v>
      </c>
      <c r="B1139" s="7" t="s">
        <v>58</v>
      </c>
      <c r="C1139" s="7" t="s">
        <v>58</v>
      </c>
      <c r="D1139" s="7" t="s">
        <v>58</v>
      </c>
      <c r="E1139" s="7" t="s">
        <v>58</v>
      </c>
      <c r="F1139" s="7" t="s">
        <v>58</v>
      </c>
      <c r="G1139" s="7" t="s">
        <v>58</v>
      </c>
      <c r="H1139" s="7" t="s">
        <v>58</v>
      </c>
      <c r="I1139" s="7" t="s">
        <v>58</v>
      </c>
    </row>
    <row r="1140" spans="1:9" ht="45" x14ac:dyDescent="0.25">
      <c r="A1140" s="1" t="s">
        <v>142</v>
      </c>
      <c r="B1140" s="7" t="s">
        <v>58</v>
      </c>
      <c r="C1140" s="7" t="s">
        <v>58</v>
      </c>
      <c r="D1140" s="7" t="s">
        <v>58</v>
      </c>
      <c r="E1140" s="7" t="s">
        <v>58</v>
      </c>
      <c r="F1140" s="7" t="s">
        <v>58</v>
      </c>
      <c r="G1140" s="7" t="s">
        <v>58</v>
      </c>
      <c r="H1140" s="7" t="s">
        <v>58</v>
      </c>
      <c r="I1140" s="7" t="s">
        <v>58</v>
      </c>
    </row>
    <row r="1141" spans="1:9" ht="60" x14ac:dyDescent="0.25">
      <c r="A1141" s="1" t="s">
        <v>133</v>
      </c>
      <c r="B1141" s="7" t="s">
        <v>58</v>
      </c>
      <c r="C1141" s="7" t="s">
        <v>58</v>
      </c>
      <c r="D1141" s="7" t="s">
        <v>58</v>
      </c>
      <c r="E1141" s="7" t="s">
        <v>58</v>
      </c>
      <c r="F1141" s="7" t="s">
        <v>58</v>
      </c>
      <c r="G1141" s="7" t="s">
        <v>58</v>
      </c>
      <c r="H1141" s="7" t="s">
        <v>58</v>
      </c>
      <c r="I1141" s="7" t="s">
        <v>58</v>
      </c>
    </row>
    <row r="1142" spans="1:9" ht="60" x14ac:dyDescent="0.25">
      <c r="A1142" s="1" t="s">
        <v>134</v>
      </c>
      <c r="B1142" s="7" t="s">
        <v>58</v>
      </c>
      <c r="C1142" s="7" t="s">
        <v>58</v>
      </c>
      <c r="D1142" s="7" t="s">
        <v>58</v>
      </c>
      <c r="E1142" s="7" t="s">
        <v>58</v>
      </c>
      <c r="F1142" s="7" t="s">
        <v>58</v>
      </c>
      <c r="G1142" s="7" t="s">
        <v>58</v>
      </c>
      <c r="H1142" s="7" t="s">
        <v>58</v>
      </c>
      <c r="I1142" s="7" t="s">
        <v>58</v>
      </c>
    </row>
    <row r="1143" spans="1:9" x14ac:dyDescent="0.25">
      <c r="A1143" s="1" t="s">
        <v>12</v>
      </c>
      <c r="B1143" s="2"/>
      <c r="C1143" s="2"/>
      <c r="D1143" s="2"/>
      <c r="E1143" s="2"/>
      <c r="F1143" s="2"/>
      <c r="G1143" s="2"/>
      <c r="H1143" s="2"/>
      <c r="I1143" s="2"/>
    </row>
    <row r="1144" spans="1:9" x14ac:dyDescent="0.25">
      <c r="A1144" s="8" t="s">
        <v>69</v>
      </c>
      <c r="B1144" s="2"/>
      <c r="C1144" s="2"/>
      <c r="D1144" s="2"/>
      <c r="E1144" s="2"/>
      <c r="F1144" s="2"/>
      <c r="G1144" s="2"/>
      <c r="H1144" s="2"/>
      <c r="I1144" s="2"/>
    </row>
    <row r="1145" spans="1:9" ht="60" x14ac:dyDescent="0.25">
      <c r="A1145" s="1" t="s">
        <v>13</v>
      </c>
      <c r="B1145" s="5">
        <v>10.23</v>
      </c>
      <c r="C1145" s="5">
        <v>11.21</v>
      </c>
      <c r="D1145" s="5">
        <v>12.17</v>
      </c>
      <c r="E1145" s="5">
        <v>13.47</v>
      </c>
      <c r="F1145" s="5">
        <v>14.64</v>
      </c>
      <c r="G1145" s="5">
        <v>16.239999999999998</v>
      </c>
      <c r="H1145" s="5">
        <v>17.88</v>
      </c>
      <c r="I1145" s="6">
        <v>9.7527249999999999</v>
      </c>
    </row>
    <row r="1146" spans="1:9" ht="60" x14ac:dyDescent="0.25">
      <c r="A1146" s="1" t="s">
        <v>117</v>
      </c>
      <c r="B1146" s="5">
        <v>0</v>
      </c>
      <c r="C1146" s="5">
        <v>0</v>
      </c>
      <c r="D1146" s="5">
        <v>0</v>
      </c>
      <c r="E1146" s="5">
        <v>0</v>
      </c>
      <c r="F1146" s="5">
        <v>0</v>
      </c>
      <c r="G1146" s="5">
        <v>0</v>
      </c>
      <c r="H1146" s="5">
        <v>0</v>
      </c>
      <c r="I1146" s="7" t="s">
        <v>58</v>
      </c>
    </row>
    <row r="1147" spans="1:9" ht="60" x14ac:dyDescent="0.25">
      <c r="A1147" s="1" t="s">
        <v>118</v>
      </c>
      <c r="B1147" s="5">
        <v>0.11</v>
      </c>
      <c r="C1147" s="5">
        <v>0.1</v>
      </c>
      <c r="D1147" s="5">
        <v>0.1</v>
      </c>
      <c r="E1147" s="5">
        <v>0.1</v>
      </c>
      <c r="F1147" s="5">
        <v>0.1</v>
      </c>
      <c r="G1147" s="5">
        <v>0.1</v>
      </c>
      <c r="H1147" s="5">
        <v>0.1</v>
      </c>
      <c r="I1147" s="6">
        <v>-1.5759529999999999</v>
      </c>
    </row>
    <row r="1148" spans="1:9" ht="60" x14ac:dyDescent="0.25">
      <c r="A1148" s="1" t="s">
        <v>119</v>
      </c>
      <c r="B1148" s="5">
        <v>9.52</v>
      </c>
      <c r="C1148" s="5">
        <v>10.51</v>
      </c>
      <c r="D1148" s="5">
        <v>11.47</v>
      </c>
      <c r="E1148" s="5">
        <v>12.78</v>
      </c>
      <c r="F1148" s="5">
        <v>13.96</v>
      </c>
      <c r="G1148" s="5">
        <v>15.57</v>
      </c>
      <c r="H1148" s="5">
        <v>17.21</v>
      </c>
      <c r="I1148" s="6">
        <v>10.371594999999999</v>
      </c>
    </row>
    <row r="1149" spans="1:9" ht="60" x14ac:dyDescent="0.25">
      <c r="A1149" s="1" t="s">
        <v>120</v>
      </c>
      <c r="B1149" s="5">
        <v>0.01</v>
      </c>
      <c r="C1149" s="5">
        <v>0.01</v>
      </c>
      <c r="D1149" s="5">
        <v>0.01</v>
      </c>
      <c r="E1149" s="5">
        <v>0.01</v>
      </c>
      <c r="F1149" s="5">
        <v>0.01</v>
      </c>
      <c r="G1149" s="5">
        <v>0.01</v>
      </c>
      <c r="H1149" s="5">
        <v>0.01</v>
      </c>
      <c r="I1149" s="6">
        <v>0</v>
      </c>
    </row>
    <row r="1150" spans="1:9" ht="75" x14ac:dyDescent="0.25">
      <c r="A1150" s="1" t="s">
        <v>121</v>
      </c>
      <c r="B1150" s="5">
        <v>0.6</v>
      </c>
      <c r="C1150" s="5">
        <v>0.59</v>
      </c>
      <c r="D1150" s="5">
        <v>0.59</v>
      </c>
      <c r="E1150" s="5">
        <v>0.57999999999999996</v>
      </c>
      <c r="F1150" s="5">
        <v>0.57999999999999996</v>
      </c>
      <c r="G1150" s="5">
        <v>0.56999999999999995</v>
      </c>
      <c r="H1150" s="5">
        <v>0.56999999999999995</v>
      </c>
      <c r="I1150" s="6">
        <v>-0.851244</v>
      </c>
    </row>
    <row r="1151" spans="1:9" ht="75" x14ac:dyDescent="0.25">
      <c r="A1151" s="1" t="s">
        <v>122</v>
      </c>
      <c r="B1151" s="5">
        <v>0</v>
      </c>
      <c r="C1151" s="5">
        <v>0</v>
      </c>
      <c r="D1151" s="5">
        <v>0</v>
      </c>
      <c r="E1151" s="5">
        <v>0</v>
      </c>
      <c r="F1151" s="5">
        <v>0</v>
      </c>
      <c r="G1151" s="5">
        <v>0</v>
      </c>
      <c r="H1151" s="5">
        <v>0</v>
      </c>
      <c r="I1151" s="7" t="s">
        <v>58</v>
      </c>
    </row>
    <row r="1152" spans="1:9" ht="60" x14ac:dyDescent="0.25">
      <c r="A1152" s="1" t="s">
        <v>123</v>
      </c>
      <c r="B1152" s="5">
        <v>0</v>
      </c>
      <c r="C1152" s="5">
        <v>0</v>
      </c>
      <c r="D1152" s="5">
        <v>0</v>
      </c>
      <c r="E1152" s="5">
        <v>0</v>
      </c>
      <c r="F1152" s="5">
        <v>0</v>
      </c>
      <c r="G1152" s="5">
        <v>0</v>
      </c>
      <c r="H1152" s="5">
        <v>0</v>
      </c>
      <c r="I1152" s="7" t="s">
        <v>58</v>
      </c>
    </row>
    <row r="1153" spans="1:9" ht="60" x14ac:dyDescent="0.25">
      <c r="A1153" s="1" t="s">
        <v>124</v>
      </c>
      <c r="B1153" s="5">
        <v>1.03</v>
      </c>
      <c r="C1153" s="5">
        <v>0.93</v>
      </c>
      <c r="D1153" s="5">
        <v>0.84</v>
      </c>
      <c r="E1153" s="5">
        <v>0.75</v>
      </c>
      <c r="F1153" s="5">
        <v>0.68</v>
      </c>
      <c r="G1153" s="5">
        <v>0.6</v>
      </c>
      <c r="H1153" s="5">
        <v>0.54</v>
      </c>
      <c r="I1153" s="6">
        <v>-10.203497</v>
      </c>
    </row>
    <row r="1154" spans="1:9" ht="60" x14ac:dyDescent="0.25">
      <c r="A1154" s="1" t="s">
        <v>125</v>
      </c>
      <c r="B1154" s="5">
        <v>93.06</v>
      </c>
      <c r="C1154" s="5">
        <v>93.73</v>
      </c>
      <c r="D1154" s="5">
        <v>94.28</v>
      </c>
      <c r="E1154" s="5">
        <v>94.88</v>
      </c>
      <c r="F1154" s="5">
        <v>95.34</v>
      </c>
      <c r="G1154" s="5">
        <v>95.84</v>
      </c>
      <c r="H1154" s="5">
        <v>96.25</v>
      </c>
      <c r="I1154" s="6">
        <v>0.56332300000000002</v>
      </c>
    </row>
    <row r="1155" spans="1:9" ht="60" x14ac:dyDescent="0.25">
      <c r="A1155" s="1" t="s">
        <v>126</v>
      </c>
      <c r="B1155" s="5">
        <v>0.08</v>
      </c>
      <c r="C1155" s="5">
        <v>0.08</v>
      </c>
      <c r="D1155" s="5">
        <v>7.0000000000000007E-2</v>
      </c>
      <c r="E1155" s="5">
        <v>0.06</v>
      </c>
      <c r="F1155" s="5">
        <v>0.06</v>
      </c>
      <c r="G1155" s="5">
        <v>0.05</v>
      </c>
      <c r="H1155" s="5">
        <v>0.05</v>
      </c>
      <c r="I1155" s="6">
        <v>-7.53444</v>
      </c>
    </row>
    <row r="1156" spans="1:9" ht="75" x14ac:dyDescent="0.25">
      <c r="A1156" s="1" t="s">
        <v>127</v>
      </c>
      <c r="B1156" s="5">
        <v>5.82</v>
      </c>
      <c r="C1156" s="5">
        <v>5.27</v>
      </c>
      <c r="D1156" s="5">
        <v>4.8099999999999996</v>
      </c>
      <c r="E1156" s="5">
        <v>4.3099999999999996</v>
      </c>
      <c r="F1156" s="5">
        <v>3.93</v>
      </c>
      <c r="G1156" s="5">
        <v>3.51</v>
      </c>
      <c r="H1156" s="5">
        <v>3.16</v>
      </c>
      <c r="I1156" s="6">
        <v>-9.6779019999999996</v>
      </c>
    </row>
    <row r="1157" spans="1:9" ht="60" x14ac:dyDescent="0.25">
      <c r="A1157" s="1" t="s">
        <v>128</v>
      </c>
      <c r="B1157" s="5">
        <v>0</v>
      </c>
      <c r="C1157" s="5">
        <v>0</v>
      </c>
      <c r="D1157" s="5">
        <v>0</v>
      </c>
      <c r="E1157" s="5">
        <v>0</v>
      </c>
      <c r="F1157" s="5">
        <v>0</v>
      </c>
      <c r="G1157" s="5">
        <v>0</v>
      </c>
      <c r="H1157" s="5">
        <v>0</v>
      </c>
      <c r="I1157" s="7" t="s">
        <v>58</v>
      </c>
    </row>
    <row r="1158" spans="1:9" ht="45" x14ac:dyDescent="0.25">
      <c r="A1158" s="1" t="s">
        <v>129</v>
      </c>
      <c r="B1158" s="5">
        <v>6.22</v>
      </c>
      <c r="C1158" s="5">
        <v>6.24</v>
      </c>
      <c r="D1158" s="5">
        <v>6.59</v>
      </c>
      <c r="E1158" s="5">
        <v>6.94</v>
      </c>
      <c r="F1158" s="5">
        <v>7.22</v>
      </c>
      <c r="G1158" s="5">
        <v>7.38</v>
      </c>
      <c r="H1158" s="5">
        <v>7.35</v>
      </c>
      <c r="I1158" s="6">
        <v>2.8212373199741458</v>
      </c>
    </row>
    <row r="1159" spans="1:9" ht="45" x14ac:dyDescent="0.25">
      <c r="A1159" s="1" t="s">
        <v>140</v>
      </c>
      <c r="B1159" s="7" t="s">
        <v>58</v>
      </c>
      <c r="C1159" s="7" t="s">
        <v>58</v>
      </c>
      <c r="D1159" s="7" t="s">
        <v>58</v>
      </c>
      <c r="E1159" s="7" t="s">
        <v>58</v>
      </c>
      <c r="F1159" s="7" t="s">
        <v>58</v>
      </c>
      <c r="G1159" s="7" t="s">
        <v>58</v>
      </c>
      <c r="H1159" s="7" t="s">
        <v>58</v>
      </c>
      <c r="I1159" s="7" t="s">
        <v>58</v>
      </c>
    </row>
    <row r="1160" spans="1:9" ht="45" x14ac:dyDescent="0.25">
      <c r="A1160" s="1" t="s">
        <v>141</v>
      </c>
      <c r="B1160" s="5">
        <v>4.93</v>
      </c>
      <c r="C1160" s="5">
        <v>4.88</v>
      </c>
      <c r="D1160" s="5">
        <v>5.09</v>
      </c>
      <c r="E1160" s="5">
        <v>5.29</v>
      </c>
      <c r="F1160" s="5">
        <v>5.44</v>
      </c>
      <c r="G1160" s="5">
        <v>5.5</v>
      </c>
      <c r="H1160" s="5">
        <v>5.41</v>
      </c>
      <c r="I1160" s="6">
        <v>1.5605530000000001</v>
      </c>
    </row>
    <row r="1161" spans="1:9" ht="45" x14ac:dyDescent="0.25">
      <c r="A1161" s="1" t="s">
        <v>142</v>
      </c>
      <c r="B1161" s="5">
        <v>6.43</v>
      </c>
      <c r="C1161" s="5">
        <v>6.43</v>
      </c>
      <c r="D1161" s="5">
        <v>6.78</v>
      </c>
      <c r="E1161" s="5">
        <v>7.11</v>
      </c>
      <c r="F1161" s="5">
        <v>7.39</v>
      </c>
      <c r="G1161" s="5">
        <v>7.54</v>
      </c>
      <c r="H1161" s="5">
        <v>7.49</v>
      </c>
      <c r="I1161" s="6">
        <v>2.5758540000000001</v>
      </c>
    </row>
    <row r="1162" spans="1:9" ht="60" x14ac:dyDescent="0.25">
      <c r="A1162" s="1" t="s">
        <v>133</v>
      </c>
      <c r="B1162" s="5">
        <v>13.855679329999999</v>
      </c>
      <c r="C1162" s="5">
        <v>13.574118779999999</v>
      </c>
      <c r="D1162" s="5">
        <v>14.021602189999999</v>
      </c>
      <c r="E1162" s="5">
        <v>14.42405106</v>
      </c>
      <c r="F1162" s="5">
        <v>14.6905096</v>
      </c>
      <c r="G1162" s="5">
        <v>14.69734586</v>
      </c>
      <c r="H1162" s="5">
        <v>14.30719717</v>
      </c>
      <c r="I1162" s="6">
        <v>0.53588912220448037</v>
      </c>
    </row>
    <row r="1163" spans="1:9" ht="60" x14ac:dyDescent="0.25">
      <c r="A1163" s="1" t="s">
        <v>134</v>
      </c>
      <c r="B1163" s="5">
        <v>3.29</v>
      </c>
      <c r="C1163" s="5">
        <v>3.23</v>
      </c>
      <c r="D1163" s="5">
        <v>3.33</v>
      </c>
      <c r="E1163" s="5">
        <v>3.43</v>
      </c>
      <c r="F1163" s="5">
        <v>3.49</v>
      </c>
      <c r="G1163" s="5">
        <v>3.49</v>
      </c>
      <c r="H1163" s="5">
        <v>3.4</v>
      </c>
      <c r="I1163" s="6">
        <v>0.54963600000000001</v>
      </c>
    </row>
    <row r="1164" spans="1:9" x14ac:dyDescent="0.25">
      <c r="A1164" s="1" t="s">
        <v>12</v>
      </c>
      <c r="B1164" s="2"/>
      <c r="C1164" s="2"/>
      <c r="D1164" s="2"/>
      <c r="E1164" s="2"/>
      <c r="F1164" s="2"/>
      <c r="G1164" s="2"/>
      <c r="H1164" s="2"/>
      <c r="I1164" s="2"/>
    </row>
    <row r="1165" spans="1:9" x14ac:dyDescent="0.25">
      <c r="A1165" s="8" t="s">
        <v>70</v>
      </c>
      <c r="B1165" s="2"/>
      <c r="C1165" s="2"/>
      <c r="D1165" s="2"/>
      <c r="E1165" s="2"/>
      <c r="F1165" s="2"/>
      <c r="G1165" s="2"/>
      <c r="H1165" s="2"/>
      <c r="I1165" s="2"/>
    </row>
    <row r="1166" spans="1:9" ht="60" x14ac:dyDescent="0.25">
      <c r="A1166" s="1" t="s">
        <v>13</v>
      </c>
      <c r="B1166" s="5">
        <v>92.38</v>
      </c>
      <c r="C1166" s="5">
        <v>92.21</v>
      </c>
      <c r="D1166" s="5">
        <v>92.05</v>
      </c>
      <c r="E1166" s="5">
        <v>91.88</v>
      </c>
      <c r="F1166" s="5">
        <v>91.68</v>
      </c>
      <c r="G1166" s="5">
        <v>91.85</v>
      </c>
      <c r="H1166" s="5">
        <v>91.93</v>
      </c>
      <c r="I1166" s="6">
        <v>-8.1351999999999994E-2</v>
      </c>
    </row>
    <row r="1167" spans="1:9" ht="60" x14ac:dyDescent="0.25">
      <c r="A1167" s="1" t="s">
        <v>117</v>
      </c>
      <c r="B1167" s="5">
        <v>41.91</v>
      </c>
      <c r="C1167" s="5">
        <v>41.75</v>
      </c>
      <c r="D1167" s="5">
        <v>41.55</v>
      </c>
      <c r="E1167" s="5">
        <v>41.32</v>
      </c>
      <c r="F1167" s="5">
        <v>41.05</v>
      </c>
      <c r="G1167" s="5">
        <v>40.880000000000003</v>
      </c>
      <c r="H1167" s="5">
        <v>40.71</v>
      </c>
      <c r="I1167" s="6">
        <v>-0.48300799999999999</v>
      </c>
    </row>
    <row r="1168" spans="1:9" ht="60" x14ac:dyDescent="0.25">
      <c r="A1168" s="1" t="s">
        <v>118</v>
      </c>
      <c r="B1168" s="5">
        <v>11.34</v>
      </c>
      <c r="C1168" s="5">
        <v>8.83</v>
      </c>
      <c r="D1168" s="5">
        <v>6.63</v>
      </c>
      <c r="E1168" s="5">
        <v>4.8899999999999997</v>
      </c>
      <c r="F1168" s="5">
        <v>3.5</v>
      </c>
      <c r="G1168" s="5">
        <v>2.64</v>
      </c>
      <c r="H1168" s="5">
        <v>2.0299999999999998</v>
      </c>
      <c r="I1168" s="6">
        <v>-24.927565999999999</v>
      </c>
    </row>
    <row r="1169" spans="1:9" ht="60" x14ac:dyDescent="0.25">
      <c r="A1169" s="1" t="s">
        <v>119</v>
      </c>
      <c r="B1169" s="5">
        <v>39.049999999999997</v>
      </c>
      <c r="C1169" s="5">
        <v>41.49</v>
      </c>
      <c r="D1169" s="5">
        <v>43.63</v>
      </c>
      <c r="E1169" s="5">
        <v>45.31</v>
      </c>
      <c r="F1169" s="5">
        <v>46.58</v>
      </c>
      <c r="G1169" s="5">
        <v>47.65</v>
      </c>
      <c r="H1169" s="5">
        <v>48.4</v>
      </c>
      <c r="I1169" s="6">
        <v>3.642382</v>
      </c>
    </row>
    <row r="1170" spans="1:9" ht="60" x14ac:dyDescent="0.25">
      <c r="A1170" s="1" t="s">
        <v>120</v>
      </c>
      <c r="B1170" s="5">
        <v>0</v>
      </c>
      <c r="C1170" s="5">
        <v>0</v>
      </c>
      <c r="D1170" s="5">
        <v>0</v>
      </c>
      <c r="E1170" s="5">
        <v>0</v>
      </c>
      <c r="F1170" s="5">
        <v>0</v>
      </c>
      <c r="G1170" s="5">
        <v>0</v>
      </c>
      <c r="H1170" s="5">
        <v>0</v>
      </c>
      <c r="I1170" s="7" t="s">
        <v>58</v>
      </c>
    </row>
    <row r="1171" spans="1:9" ht="75" x14ac:dyDescent="0.25">
      <c r="A1171" s="1" t="s">
        <v>121</v>
      </c>
      <c r="B1171" s="5">
        <v>0.08</v>
      </c>
      <c r="C1171" s="5">
        <v>0.14000000000000001</v>
      </c>
      <c r="D1171" s="5">
        <v>0.23</v>
      </c>
      <c r="E1171" s="5">
        <v>0.36</v>
      </c>
      <c r="F1171" s="5">
        <v>0.55000000000000004</v>
      </c>
      <c r="G1171" s="5">
        <v>0.69</v>
      </c>
      <c r="H1171" s="5">
        <v>0.78</v>
      </c>
      <c r="I1171" s="6">
        <v>46.161873999999997</v>
      </c>
    </row>
    <row r="1172" spans="1:9" ht="75" x14ac:dyDescent="0.25">
      <c r="A1172" s="1" t="s">
        <v>122</v>
      </c>
      <c r="B1172" s="7" t="s">
        <v>58</v>
      </c>
      <c r="C1172" s="7" t="s">
        <v>58</v>
      </c>
      <c r="D1172" s="7" t="s">
        <v>58</v>
      </c>
      <c r="E1172" s="7" t="s">
        <v>58</v>
      </c>
      <c r="F1172" s="7" t="s">
        <v>58</v>
      </c>
      <c r="G1172" s="7" t="s">
        <v>58</v>
      </c>
      <c r="H1172" s="7" t="s">
        <v>58</v>
      </c>
      <c r="I1172" s="7" t="s">
        <v>58</v>
      </c>
    </row>
    <row r="1173" spans="1:9" ht="60" x14ac:dyDescent="0.25">
      <c r="A1173" s="1" t="s">
        <v>123</v>
      </c>
      <c r="B1173" s="5">
        <v>45.36</v>
      </c>
      <c r="C1173" s="5">
        <v>45.27</v>
      </c>
      <c r="D1173" s="5">
        <v>45.14</v>
      </c>
      <c r="E1173" s="5">
        <v>44.97</v>
      </c>
      <c r="F1173" s="5">
        <v>44.77</v>
      </c>
      <c r="G1173" s="5">
        <v>44.5</v>
      </c>
      <c r="H1173" s="5">
        <v>44.28</v>
      </c>
      <c r="I1173" s="6">
        <v>-0.40082000000000001</v>
      </c>
    </row>
    <row r="1174" spans="1:9" ht="60" x14ac:dyDescent="0.25">
      <c r="A1174" s="1" t="s">
        <v>124</v>
      </c>
      <c r="B1174" s="5">
        <v>12.28</v>
      </c>
      <c r="C1174" s="5">
        <v>9.58</v>
      </c>
      <c r="D1174" s="5">
        <v>7.2</v>
      </c>
      <c r="E1174" s="5">
        <v>5.32</v>
      </c>
      <c r="F1174" s="5">
        <v>3.81</v>
      </c>
      <c r="G1174" s="5">
        <v>2.87</v>
      </c>
      <c r="H1174" s="5">
        <v>2.21</v>
      </c>
      <c r="I1174" s="6">
        <v>-24.860958</v>
      </c>
    </row>
    <row r="1175" spans="1:9" ht="60" x14ac:dyDescent="0.25">
      <c r="A1175" s="1" t="s">
        <v>125</v>
      </c>
      <c r="B1175" s="5">
        <v>42.27</v>
      </c>
      <c r="C1175" s="5">
        <v>44.99</v>
      </c>
      <c r="D1175" s="5">
        <v>47.4</v>
      </c>
      <c r="E1175" s="5">
        <v>49.31</v>
      </c>
      <c r="F1175" s="5">
        <v>50.81</v>
      </c>
      <c r="G1175" s="5">
        <v>51.88</v>
      </c>
      <c r="H1175" s="5">
        <v>52.65</v>
      </c>
      <c r="I1175" s="6">
        <v>3.7276060000000002</v>
      </c>
    </row>
    <row r="1176" spans="1:9" ht="60" x14ac:dyDescent="0.25">
      <c r="A1176" s="1" t="s">
        <v>126</v>
      </c>
      <c r="B1176" s="5">
        <v>0.01</v>
      </c>
      <c r="C1176" s="5">
        <v>0</v>
      </c>
      <c r="D1176" s="5">
        <v>0</v>
      </c>
      <c r="E1176" s="5">
        <v>0</v>
      </c>
      <c r="F1176" s="5">
        <v>0</v>
      </c>
      <c r="G1176" s="5">
        <v>0</v>
      </c>
      <c r="H1176" s="5">
        <v>0</v>
      </c>
      <c r="I1176" s="6">
        <v>-100</v>
      </c>
    </row>
    <row r="1177" spans="1:9" ht="75" x14ac:dyDescent="0.25">
      <c r="A1177" s="1" t="s">
        <v>127</v>
      </c>
      <c r="B1177" s="5">
        <v>0.08</v>
      </c>
      <c r="C1177" s="5">
        <v>0.15</v>
      </c>
      <c r="D1177" s="5">
        <v>0.26</v>
      </c>
      <c r="E1177" s="5">
        <v>0.39</v>
      </c>
      <c r="F1177" s="5">
        <v>0.6</v>
      </c>
      <c r="G1177" s="5">
        <v>0.75</v>
      </c>
      <c r="H1177" s="5">
        <v>0.85</v>
      </c>
      <c r="I1177" s="6">
        <v>48.270524000000002</v>
      </c>
    </row>
    <row r="1178" spans="1:9" ht="60" x14ac:dyDescent="0.25">
      <c r="A1178" s="1" t="s">
        <v>128</v>
      </c>
      <c r="B1178" s="7" t="s">
        <v>58</v>
      </c>
      <c r="C1178" s="7" t="s">
        <v>58</v>
      </c>
      <c r="D1178" s="7" t="s">
        <v>58</v>
      </c>
      <c r="E1178" s="7" t="s">
        <v>58</v>
      </c>
      <c r="F1178" s="7" t="s">
        <v>58</v>
      </c>
      <c r="G1178" s="7" t="s">
        <v>58</v>
      </c>
      <c r="H1178" s="7" t="s">
        <v>58</v>
      </c>
      <c r="I1178" s="7" t="s">
        <v>58</v>
      </c>
    </row>
    <row r="1179" spans="1:9" ht="45" x14ac:dyDescent="0.25">
      <c r="A1179" s="1" t="s">
        <v>129</v>
      </c>
      <c r="B1179" s="5">
        <v>31.23</v>
      </c>
      <c r="C1179" s="5">
        <v>31.79</v>
      </c>
      <c r="D1179" s="5">
        <v>32.299999999999997</v>
      </c>
      <c r="E1179" s="5">
        <v>32.76</v>
      </c>
      <c r="F1179" s="5">
        <v>33.17</v>
      </c>
      <c r="G1179" s="5">
        <v>33.58</v>
      </c>
      <c r="H1179" s="5">
        <v>33.92</v>
      </c>
      <c r="I1179" s="6">
        <v>1.3866196084766136</v>
      </c>
    </row>
    <row r="1180" spans="1:9" ht="45" x14ac:dyDescent="0.25">
      <c r="A1180" s="1" t="s">
        <v>140</v>
      </c>
      <c r="B1180" s="5">
        <v>27.22</v>
      </c>
      <c r="C1180" s="5">
        <v>27.52</v>
      </c>
      <c r="D1180" s="5">
        <v>27.8</v>
      </c>
      <c r="E1180" s="5">
        <v>28.09</v>
      </c>
      <c r="F1180" s="5">
        <v>28.37</v>
      </c>
      <c r="G1180" s="5">
        <v>28.66</v>
      </c>
      <c r="H1180" s="5">
        <v>28.95</v>
      </c>
      <c r="I1180" s="6">
        <v>1.032262</v>
      </c>
    </row>
    <row r="1181" spans="1:9" ht="45" x14ac:dyDescent="0.25">
      <c r="A1181" s="1" t="s">
        <v>141</v>
      </c>
      <c r="B1181" s="5">
        <v>27.77</v>
      </c>
      <c r="C1181" s="5">
        <v>27.46</v>
      </c>
      <c r="D1181" s="5">
        <v>27.31</v>
      </c>
      <c r="E1181" s="5">
        <v>27.37</v>
      </c>
      <c r="F1181" s="5">
        <v>27.49</v>
      </c>
      <c r="G1181" s="5">
        <v>28.74</v>
      </c>
      <c r="H1181" s="5">
        <v>29.53</v>
      </c>
      <c r="I1181" s="6">
        <v>1.029436</v>
      </c>
    </row>
    <row r="1182" spans="1:9" ht="45" x14ac:dyDescent="0.25">
      <c r="A1182" s="1" t="s">
        <v>142</v>
      </c>
      <c r="B1182" s="5">
        <v>36.840000000000003</v>
      </c>
      <c r="C1182" s="5">
        <v>37.299999999999997</v>
      </c>
      <c r="D1182" s="5">
        <v>37.61</v>
      </c>
      <c r="E1182" s="5">
        <v>37.82</v>
      </c>
      <c r="F1182" s="5">
        <v>38.01</v>
      </c>
      <c r="G1182" s="5">
        <v>38.229999999999997</v>
      </c>
      <c r="H1182" s="5">
        <v>38.450000000000003</v>
      </c>
      <c r="I1182" s="6">
        <v>0.71545499999999995</v>
      </c>
    </row>
    <row r="1183" spans="1:9" ht="60" x14ac:dyDescent="0.25">
      <c r="A1183" s="1" t="s">
        <v>133</v>
      </c>
      <c r="B1183" s="5">
        <v>0.02</v>
      </c>
      <c r="C1183" s="5">
        <v>0.02</v>
      </c>
      <c r="D1183" s="5">
        <v>0.02</v>
      </c>
      <c r="E1183" s="5">
        <v>0.02</v>
      </c>
      <c r="F1183" s="5">
        <v>0.02</v>
      </c>
      <c r="G1183" s="5">
        <v>0.02</v>
      </c>
      <c r="H1183" s="5">
        <v>0.02</v>
      </c>
      <c r="I1183" s="6">
        <v>0</v>
      </c>
    </row>
    <row r="1184" spans="1:9" ht="60" x14ac:dyDescent="0.25">
      <c r="A1184" s="1" t="s">
        <v>134</v>
      </c>
      <c r="B1184" s="5">
        <v>33.520000000000003</v>
      </c>
      <c r="C1184" s="5">
        <v>33.520000000000003</v>
      </c>
      <c r="D1184" s="5">
        <v>33.520000000000003</v>
      </c>
      <c r="E1184" s="5">
        <v>32.020000000000003</v>
      </c>
      <c r="F1184" s="5">
        <v>32.020000000000003</v>
      </c>
      <c r="G1184" s="5">
        <v>29.26</v>
      </c>
      <c r="H1184" s="5">
        <v>28.18</v>
      </c>
      <c r="I1184" s="6">
        <v>-2.8507400000000001</v>
      </c>
    </row>
    <row r="1185" spans="1:9" x14ac:dyDescent="0.25">
      <c r="A1185" s="1" t="s">
        <v>12</v>
      </c>
      <c r="B1185" s="2"/>
      <c r="C1185" s="2"/>
      <c r="D1185" s="2"/>
      <c r="E1185" s="2"/>
      <c r="F1185" s="2"/>
      <c r="G1185" s="2"/>
      <c r="H1185" s="2"/>
      <c r="I1185" s="2"/>
    </row>
    <row r="1186" spans="1:9" x14ac:dyDescent="0.25">
      <c r="A1186" s="8" t="s">
        <v>71</v>
      </c>
      <c r="B1186" s="2"/>
      <c r="C1186" s="2"/>
      <c r="D1186" s="2"/>
      <c r="E1186" s="2"/>
      <c r="F1186" s="2"/>
      <c r="G1186" s="2"/>
      <c r="H1186" s="2"/>
      <c r="I1186" s="2"/>
    </row>
    <row r="1187" spans="1:9" ht="60" x14ac:dyDescent="0.25">
      <c r="A1187" s="1" t="s">
        <v>13</v>
      </c>
      <c r="B1187" s="5">
        <v>91.68</v>
      </c>
      <c r="C1187" s="5">
        <v>92.15</v>
      </c>
      <c r="D1187" s="5">
        <v>91.95</v>
      </c>
      <c r="E1187" s="5">
        <v>92.58</v>
      </c>
      <c r="F1187" s="5">
        <v>92.48</v>
      </c>
      <c r="G1187" s="5">
        <v>92.95</v>
      </c>
      <c r="H1187" s="5">
        <v>93.06</v>
      </c>
      <c r="I1187" s="6">
        <v>0.24931300000000001</v>
      </c>
    </row>
    <row r="1188" spans="1:9" ht="60" x14ac:dyDescent="0.25">
      <c r="A1188" s="1" t="s">
        <v>117</v>
      </c>
      <c r="B1188" s="5">
        <v>4.29</v>
      </c>
      <c r="C1188" s="5">
        <v>4.08</v>
      </c>
      <c r="D1188" s="5">
        <v>3.83</v>
      </c>
      <c r="E1188" s="5">
        <v>3.64</v>
      </c>
      <c r="F1188" s="5">
        <v>3.41</v>
      </c>
      <c r="G1188" s="5">
        <v>3.22</v>
      </c>
      <c r="H1188" s="5">
        <v>3.14</v>
      </c>
      <c r="I1188" s="6">
        <v>-5.0681250000000002</v>
      </c>
    </row>
    <row r="1189" spans="1:9" ht="60" x14ac:dyDescent="0.25">
      <c r="A1189" s="1" t="s">
        <v>118</v>
      </c>
      <c r="B1189" s="5">
        <v>17.04</v>
      </c>
      <c r="C1189" s="5">
        <v>14.94</v>
      </c>
      <c r="D1189" s="5">
        <v>13.5</v>
      </c>
      <c r="E1189" s="5">
        <v>12.4</v>
      </c>
      <c r="F1189" s="5">
        <v>11.1</v>
      </c>
      <c r="G1189" s="5">
        <v>10.14</v>
      </c>
      <c r="H1189" s="5">
        <v>9.01</v>
      </c>
      <c r="I1189" s="6">
        <v>-10.075948</v>
      </c>
    </row>
    <row r="1190" spans="1:9" ht="60" x14ac:dyDescent="0.25">
      <c r="A1190" s="1" t="s">
        <v>119</v>
      </c>
      <c r="B1190" s="5">
        <v>52.21</v>
      </c>
      <c r="C1190" s="5">
        <v>53.79</v>
      </c>
      <c r="D1190" s="5">
        <v>55.11</v>
      </c>
      <c r="E1190" s="5">
        <v>56.59</v>
      </c>
      <c r="F1190" s="5">
        <v>57.75</v>
      </c>
      <c r="G1190" s="5">
        <v>59.03</v>
      </c>
      <c r="H1190" s="5">
        <v>60.08</v>
      </c>
      <c r="I1190" s="6">
        <v>2.3676430000000002</v>
      </c>
    </row>
    <row r="1191" spans="1:9" ht="60" x14ac:dyDescent="0.25">
      <c r="A1191" s="1" t="s">
        <v>120</v>
      </c>
      <c r="B1191" s="5">
        <v>2.1</v>
      </c>
      <c r="C1191" s="5">
        <v>3.12</v>
      </c>
      <c r="D1191" s="5">
        <v>3.16</v>
      </c>
      <c r="E1191" s="5">
        <v>3.38</v>
      </c>
      <c r="F1191" s="5">
        <v>3.52</v>
      </c>
      <c r="G1191" s="5">
        <v>3.8</v>
      </c>
      <c r="H1191" s="5">
        <v>4.07</v>
      </c>
      <c r="I1191" s="6">
        <v>11.659545</v>
      </c>
    </row>
    <row r="1192" spans="1:9" ht="75" x14ac:dyDescent="0.25">
      <c r="A1192" s="1" t="s">
        <v>121</v>
      </c>
      <c r="B1192" s="5">
        <v>16.03</v>
      </c>
      <c r="C1192" s="5">
        <v>16.21</v>
      </c>
      <c r="D1192" s="5">
        <v>16.36</v>
      </c>
      <c r="E1192" s="5">
        <v>16.57</v>
      </c>
      <c r="F1192" s="5">
        <v>16.71</v>
      </c>
      <c r="G1192" s="5">
        <v>16.75</v>
      </c>
      <c r="H1192" s="5">
        <v>16.760000000000002</v>
      </c>
      <c r="I1192" s="6">
        <v>0.74497999999999998</v>
      </c>
    </row>
    <row r="1193" spans="1:9" ht="75" x14ac:dyDescent="0.25">
      <c r="A1193" s="1" t="s">
        <v>122</v>
      </c>
      <c r="B1193" s="5">
        <v>0</v>
      </c>
      <c r="C1193" s="5">
        <v>0</v>
      </c>
      <c r="D1193" s="5">
        <v>0</v>
      </c>
      <c r="E1193" s="5">
        <v>0</v>
      </c>
      <c r="F1193" s="5">
        <v>0</v>
      </c>
      <c r="G1193" s="5">
        <v>0</v>
      </c>
      <c r="H1193" s="5">
        <v>0</v>
      </c>
      <c r="I1193" s="7" t="s">
        <v>58</v>
      </c>
    </row>
    <row r="1194" spans="1:9" ht="60" x14ac:dyDescent="0.25">
      <c r="A1194" s="1" t="s">
        <v>123</v>
      </c>
      <c r="B1194" s="5">
        <v>4.68</v>
      </c>
      <c r="C1194" s="5">
        <v>4.43</v>
      </c>
      <c r="D1194" s="5">
        <v>4.16</v>
      </c>
      <c r="E1194" s="5">
        <v>3.93</v>
      </c>
      <c r="F1194" s="5">
        <v>3.69</v>
      </c>
      <c r="G1194" s="5">
        <v>3.47</v>
      </c>
      <c r="H1194" s="5">
        <v>3.38</v>
      </c>
      <c r="I1194" s="6">
        <v>-5.2792469999999998</v>
      </c>
    </row>
    <row r="1195" spans="1:9" ht="60" x14ac:dyDescent="0.25">
      <c r="A1195" s="1" t="s">
        <v>124</v>
      </c>
      <c r="B1195" s="5">
        <v>18.59</v>
      </c>
      <c r="C1195" s="5">
        <v>16.21</v>
      </c>
      <c r="D1195" s="5">
        <v>14.68</v>
      </c>
      <c r="E1195" s="5">
        <v>13.4</v>
      </c>
      <c r="F1195" s="5">
        <v>12</v>
      </c>
      <c r="G1195" s="5">
        <v>10.91</v>
      </c>
      <c r="H1195" s="5">
        <v>9.68</v>
      </c>
      <c r="I1195" s="6">
        <v>-10.305463</v>
      </c>
    </row>
    <row r="1196" spans="1:9" ht="60" x14ac:dyDescent="0.25">
      <c r="A1196" s="1" t="s">
        <v>125</v>
      </c>
      <c r="B1196" s="5">
        <v>56.95</v>
      </c>
      <c r="C1196" s="5">
        <v>58.37</v>
      </c>
      <c r="D1196" s="5">
        <v>59.94</v>
      </c>
      <c r="E1196" s="5">
        <v>61.13</v>
      </c>
      <c r="F1196" s="5">
        <v>62.45</v>
      </c>
      <c r="G1196" s="5">
        <v>63.51</v>
      </c>
      <c r="H1196" s="5">
        <v>64.56</v>
      </c>
      <c r="I1196" s="6">
        <v>2.1123569999999998</v>
      </c>
    </row>
    <row r="1197" spans="1:9" ht="60" x14ac:dyDescent="0.25">
      <c r="A1197" s="1" t="s">
        <v>126</v>
      </c>
      <c r="B1197" s="5">
        <v>2.29</v>
      </c>
      <c r="C1197" s="5">
        <v>3.39</v>
      </c>
      <c r="D1197" s="5">
        <v>3.43</v>
      </c>
      <c r="E1197" s="5">
        <v>3.65</v>
      </c>
      <c r="F1197" s="5">
        <v>3.8</v>
      </c>
      <c r="G1197" s="5">
        <v>4.08</v>
      </c>
      <c r="H1197" s="5">
        <v>4.37</v>
      </c>
      <c r="I1197" s="6">
        <v>11.371566</v>
      </c>
    </row>
    <row r="1198" spans="1:9" ht="75" x14ac:dyDescent="0.25">
      <c r="A1198" s="1" t="s">
        <v>127</v>
      </c>
      <c r="B1198" s="5">
        <v>17.489999999999998</v>
      </c>
      <c r="C1198" s="5">
        <v>17.600000000000001</v>
      </c>
      <c r="D1198" s="5">
        <v>17.79</v>
      </c>
      <c r="E1198" s="5">
        <v>17.89</v>
      </c>
      <c r="F1198" s="5">
        <v>18.07</v>
      </c>
      <c r="G1198" s="5">
        <v>18.02</v>
      </c>
      <c r="H1198" s="5">
        <v>18.010000000000002</v>
      </c>
      <c r="I1198" s="6">
        <v>0.48949199999999998</v>
      </c>
    </row>
    <row r="1199" spans="1:9" ht="60" x14ac:dyDescent="0.25">
      <c r="A1199" s="1" t="s">
        <v>128</v>
      </c>
      <c r="B1199" s="5">
        <v>0</v>
      </c>
      <c r="C1199" s="5">
        <v>0</v>
      </c>
      <c r="D1199" s="5">
        <v>0</v>
      </c>
      <c r="E1199" s="5">
        <v>0</v>
      </c>
      <c r="F1199" s="5">
        <v>0</v>
      </c>
      <c r="G1199" s="5">
        <v>0</v>
      </c>
      <c r="H1199" s="5">
        <v>0</v>
      </c>
      <c r="I1199" s="7" t="s">
        <v>58</v>
      </c>
    </row>
    <row r="1200" spans="1:9" ht="45" x14ac:dyDescent="0.25">
      <c r="A1200" s="1" t="s">
        <v>129</v>
      </c>
      <c r="B1200" s="5">
        <v>43.99</v>
      </c>
      <c r="C1200" s="5">
        <v>43.14</v>
      </c>
      <c r="D1200" s="5">
        <v>42.19</v>
      </c>
      <c r="E1200" s="5">
        <v>41.25</v>
      </c>
      <c r="F1200" s="5">
        <v>40.340000000000003</v>
      </c>
      <c r="G1200" s="5">
        <v>39.450000000000003</v>
      </c>
      <c r="H1200" s="5">
        <v>38.57</v>
      </c>
      <c r="I1200" s="6">
        <v>-2.1676213655209109</v>
      </c>
    </row>
    <row r="1201" spans="1:9" ht="45" x14ac:dyDescent="0.25">
      <c r="A1201" s="1" t="s">
        <v>140</v>
      </c>
      <c r="B1201" s="5">
        <v>50.77</v>
      </c>
      <c r="C1201" s="5">
        <v>50</v>
      </c>
      <c r="D1201" s="5">
        <v>49.35</v>
      </c>
      <c r="E1201" s="5">
        <v>48.84</v>
      </c>
      <c r="F1201" s="5">
        <v>48.34</v>
      </c>
      <c r="G1201" s="5">
        <v>47.82</v>
      </c>
      <c r="H1201" s="5">
        <v>47.3</v>
      </c>
      <c r="I1201" s="6">
        <v>-1.1729879999999999</v>
      </c>
    </row>
    <row r="1202" spans="1:9" ht="45" x14ac:dyDescent="0.25">
      <c r="A1202" s="1" t="s">
        <v>141</v>
      </c>
      <c r="B1202" s="5">
        <v>57.21</v>
      </c>
      <c r="C1202" s="5">
        <v>55.29</v>
      </c>
      <c r="D1202" s="5">
        <v>57.55</v>
      </c>
      <c r="E1202" s="5">
        <v>57.73</v>
      </c>
      <c r="F1202" s="5">
        <v>57.76</v>
      </c>
      <c r="G1202" s="5">
        <v>57.7</v>
      </c>
      <c r="H1202" s="5">
        <v>57.48</v>
      </c>
      <c r="I1202" s="6">
        <v>7.8503000000000003E-2</v>
      </c>
    </row>
    <row r="1203" spans="1:9" ht="45" x14ac:dyDescent="0.25">
      <c r="A1203" s="1" t="s">
        <v>142</v>
      </c>
      <c r="B1203" s="5">
        <v>40.61</v>
      </c>
      <c r="C1203" s="5">
        <v>38.76</v>
      </c>
      <c r="D1203" s="5">
        <v>39.840000000000003</v>
      </c>
      <c r="E1203" s="5">
        <v>39.47</v>
      </c>
      <c r="F1203" s="5">
        <v>38.99</v>
      </c>
      <c r="G1203" s="5">
        <v>38.46</v>
      </c>
      <c r="H1203" s="5">
        <v>37.840000000000003</v>
      </c>
      <c r="I1203" s="6">
        <v>-1.170555</v>
      </c>
    </row>
    <row r="1204" spans="1:9" ht="60" x14ac:dyDescent="0.25">
      <c r="A1204" s="1" t="s">
        <v>133</v>
      </c>
      <c r="B1204" s="5">
        <v>80.151624999999996</v>
      </c>
      <c r="C1204" s="5">
        <v>77.741830780000001</v>
      </c>
      <c r="D1204" s="5">
        <v>74.806329180000006</v>
      </c>
      <c r="E1204" s="5">
        <v>72.180231390000003</v>
      </c>
      <c r="F1204" s="5">
        <v>69.639704249999994</v>
      </c>
      <c r="G1204" s="5">
        <v>67.158090869999995</v>
      </c>
      <c r="H1204" s="5">
        <v>64.758463879999994</v>
      </c>
      <c r="I1204" s="6">
        <v>-3.4918402446217467</v>
      </c>
    </row>
    <row r="1205" spans="1:9" ht="60" x14ac:dyDescent="0.25">
      <c r="A1205" s="1" t="s">
        <v>134</v>
      </c>
      <c r="B1205" s="5">
        <v>37.229999999999997</v>
      </c>
      <c r="C1205" s="5">
        <v>35.26</v>
      </c>
      <c r="D1205" s="5">
        <v>35.97</v>
      </c>
      <c r="E1205" s="5">
        <v>35.36</v>
      </c>
      <c r="F1205" s="5">
        <v>34.67</v>
      </c>
      <c r="G1205" s="5">
        <v>33.94</v>
      </c>
      <c r="H1205" s="5">
        <v>33.14</v>
      </c>
      <c r="I1205" s="6">
        <v>-1.920876</v>
      </c>
    </row>
    <row r="1206" spans="1:9" x14ac:dyDescent="0.25">
      <c r="A1206" s="1" t="s">
        <v>12</v>
      </c>
      <c r="B1206" s="2"/>
      <c r="C1206" s="2"/>
      <c r="D1206" s="2"/>
      <c r="E1206" s="2"/>
      <c r="F1206" s="2"/>
      <c r="G1206" s="2"/>
      <c r="H1206" s="2"/>
      <c r="I1206" s="2"/>
    </row>
    <row r="1207" spans="1:9" x14ac:dyDescent="0.25">
      <c r="A1207" s="8" t="s">
        <v>72</v>
      </c>
      <c r="B1207" s="2"/>
      <c r="C1207" s="2"/>
      <c r="D1207" s="2"/>
      <c r="E1207" s="2"/>
      <c r="F1207" s="2"/>
      <c r="G1207" s="2"/>
      <c r="H1207" s="2"/>
      <c r="I1207" s="2"/>
    </row>
    <row r="1208" spans="1:9" ht="60" x14ac:dyDescent="0.25">
      <c r="A1208" s="1" t="s">
        <v>13</v>
      </c>
      <c r="B1208" s="5">
        <v>24.05</v>
      </c>
      <c r="C1208" s="5">
        <v>25.09</v>
      </c>
      <c r="D1208" s="5">
        <v>25.93</v>
      </c>
      <c r="E1208" s="5">
        <v>26.6</v>
      </c>
      <c r="F1208" s="5">
        <v>27.08</v>
      </c>
      <c r="G1208" s="5">
        <v>27.58</v>
      </c>
      <c r="H1208" s="5">
        <v>28.1</v>
      </c>
      <c r="I1208" s="6">
        <v>2.6278440000000001</v>
      </c>
    </row>
    <row r="1209" spans="1:9" ht="60" x14ac:dyDescent="0.25">
      <c r="A1209" s="1" t="s">
        <v>117</v>
      </c>
      <c r="B1209" s="5">
        <v>7.47</v>
      </c>
      <c r="C1209" s="5">
        <v>8.16</v>
      </c>
      <c r="D1209" s="5">
        <v>8.57</v>
      </c>
      <c r="E1209" s="5">
        <v>9.11</v>
      </c>
      <c r="F1209" s="5">
        <v>9.61</v>
      </c>
      <c r="G1209" s="5">
        <v>9.7899999999999991</v>
      </c>
      <c r="H1209" s="5">
        <v>10.199999999999999</v>
      </c>
      <c r="I1209" s="6">
        <v>5.3286689999999997</v>
      </c>
    </row>
    <row r="1210" spans="1:9" ht="60" x14ac:dyDescent="0.25">
      <c r="A1210" s="1" t="s">
        <v>118</v>
      </c>
      <c r="B1210" s="5">
        <v>11.77</v>
      </c>
      <c r="C1210" s="5">
        <v>12.02</v>
      </c>
      <c r="D1210" s="5">
        <v>12.3</v>
      </c>
      <c r="E1210" s="5">
        <v>12.25</v>
      </c>
      <c r="F1210" s="5">
        <v>12.09</v>
      </c>
      <c r="G1210" s="5">
        <v>12.32</v>
      </c>
      <c r="H1210" s="5">
        <v>12.29</v>
      </c>
      <c r="I1210" s="6">
        <v>0.72313499999999997</v>
      </c>
    </row>
    <row r="1211" spans="1:9" ht="60" x14ac:dyDescent="0.25">
      <c r="A1211" s="1" t="s">
        <v>119</v>
      </c>
      <c r="B1211" s="5">
        <v>0.52</v>
      </c>
      <c r="C1211" s="5">
        <v>0.54</v>
      </c>
      <c r="D1211" s="5">
        <v>0.6</v>
      </c>
      <c r="E1211" s="5">
        <v>0.7</v>
      </c>
      <c r="F1211" s="5">
        <v>0.78</v>
      </c>
      <c r="G1211" s="5">
        <v>0.8</v>
      </c>
      <c r="H1211" s="5">
        <v>0.86</v>
      </c>
      <c r="I1211" s="6">
        <v>8.7466410000000003</v>
      </c>
    </row>
    <row r="1212" spans="1:9" ht="60" x14ac:dyDescent="0.25">
      <c r="A1212" s="1" t="s">
        <v>120</v>
      </c>
      <c r="B1212" s="5">
        <v>0.32</v>
      </c>
      <c r="C1212" s="5">
        <v>0.28999999999999998</v>
      </c>
      <c r="D1212" s="5">
        <v>0.26</v>
      </c>
      <c r="E1212" s="5">
        <v>0.24</v>
      </c>
      <c r="F1212" s="5">
        <v>0.21</v>
      </c>
      <c r="G1212" s="5">
        <v>0.21</v>
      </c>
      <c r="H1212" s="5">
        <v>0.2</v>
      </c>
      <c r="I1212" s="6">
        <v>-7.53444</v>
      </c>
    </row>
    <row r="1213" spans="1:9" ht="75" x14ac:dyDescent="0.25">
      <c r="A1213" s="1" t="s">
        <v>121</v>
      </c>
      <c r="B1213" s="5">
        <v>3.87</v>
      </c>
      <c r="C1213" s="5">
        <v>3.97</v>
      </c>
      <c r="D1213" s="5">
        <v>4.09</v>
      </c>
      <c r="E1213" s="5">
        <v>4.2</v>
      </c>
      <c r="F1213" s="5">
        <v>4.2699999999999996</v>
      </c>
      <c r="G1213" s="5">
        <v>4.3499999999999996</v>
      </c>
      <c r="H1213" s="5">
        <v>4.41</v>
      </c>
      <c r="I1213" s="6">
        <v>2.2008730000000001</v>
      </c>
    </row>
    <row r="1214" spans="1:9" ht="75" x14ac:dyDescent="0.25">
      <c r="A1214" s="1" t="s">
        <v>122</v>
      </c>
      <c r="B1214" s="5">
        <v>0.1</v>
      </c>
      <c r="C1214" s="5">
        <v>0.11</v>
      </c>
      <c r="D1214" s="5">
        <v>0.11</v>
      </c>
      <c r="E1214" s="5">
        <v>0.11</v>
      </c>
      <c r="F1214" s="5">
        <v>0.11</v>
      </c>
      <c r="G1214" s="5">
        <v>0.11</v>
      </c>
      <c r="H1214" s="5">
        <v>0.12</v>
      </c>
      <c r="I1214" s="6">
        <v>3.0853320000000002</v>
      </c>
    </row>
    <row r="1215" spans="1:9" ht="60" x14ac:dyDescent="0.25">
      <c r="A1215" s="1" t="s">
        <v>123</v>
      </c>
      <c r="B1215" s="5">
        <v>31.05</v>
      </c>
      <c r="C1215" s="5">
        <v>32.54</v>
      </c>
      <c r="D1215" s="5">
        <v>33.03</v>
      </c>
      <c r="E1215" s="5">
        <v>34.26</v>
      </c>
      <c r="F1215" s="5">
        <v>35.49</v>
      </c>
      <c r="G1215" s="5">
        <v>35.49</v>
      </c>
      <c r="H1215" s="5">
        <v>36.31</v>
      </c>
      <c r="I1215" s="6">
        <v>2.6425519999999998</v>
      </c>
    </row>
    <row r="1216" spans="1:9" ht="60" x14ac:dyDescent="0.25">
      <c r="A1216" s="1" t="s">
        <v>124</v>
      </c>
      <c r="B1216" s="5">
        <v>48.93</v>
      </c>
      <c r="C1216" s="5">
        <v>47.91</v>
      </c>
      <c r="D1216" s="5">
        <v>47.42</v>
      </c>
      <c r="E1216" s="5">
        <v>46.04</v>
      </c>
      <c r="F1216" s="5">
        <v>44.65</v>
      </c>
      <c r="G1216" s="5">
        <v>44.65</v>
      </c>
      <c r="H1216" s="5">
        <v>43.73</v>
      </c>
      <c r="I1216" s="6">
        <v>-1.855181</v>
      </c>
    </row>
    <row r="1217" spans="1:9" ht="60" x14ac:dyDescent="0.25">
      <c r="A1217" s="1" t="s">
        <v>125</v>
      </c>
      <c r="B1217" s="5">
        <v>2.17</v>
      </c>
      <c r="C1217" s="5">
        <v>2.15</v>
      </c>
      <c r="D1217" s="5">
        <v>2.33</v>
      </c>
      <c r="E1217" s="5">
        <v>2.61</v>
      </c>
      <c r="F1217" s="5">
        <v>2.9</v>
      </c>
      <c r="G1217" s="5">
        <v>2.9</v>
      </c>
      <c r="H1217" s="5">
        <v>3.06</v>
      </c>
      <c r="I1217" s="6">
        <v>5.8953639999999998</v>
      </c>
    </row>
    <row r="1218" spans="1:9" ht="60" x14ac:dyDescent="0.25">
      <c r="A1218" s="1" t="s">
        <v>126</v>
      </c>
      <c r="B1218" s="5">
        <v>1.31</v>
      </c>
      <c r="C1218" s="5">
        <v>1.1499999999999999</v>
      </c>
      <c r="D1218" s="5">
        <v>1.02</v>
      </c>
      <c r="E1218" s="5">
        <v>0.89</v>
      </c>
      <c r="F1218" s="5">
        <v>0.76</v>
      </c>
      <c r="G1218" s="5">
        <v>0.76</v>
      </c>
      <c r="H1218" s="5">
        <v>0.7</v>
      </c>
      <c r="I1218" s="6">
        <v>-9.9180480000000006</v>
      </c>
    </row>
    <row r="1219" spans="1:9" ht="75" x14ac:dyDescent="0.25">
      <c r="A1219" s="1" t="s">
        <v>127</v>
      </c>
      <c r="B1219" s="5">
        <v>16.100000000000001</v>
      </c>
      <c r="C1219" s="5">
        <v>15.83</v>
      </c>
      <c r="D1219" s="5">
        <v>15.78</v>
      </c>
      <c r="E1219" s="5">
        <v>15.78</v>
      </c>
      <c r="F1219" s="5">
        <v>15.78</v>
      </c>
      <c r="G1219" s="5">
        <v>15.78</v>
      </c>
      <c r="H1219" s="5">
        <v>15.68</v>
      </c>
      <c r="I1219" s="6">
        <v>-0.439585</v>
      </c>
    </row>
    <row r="1220" spans="1:9" ht="60" x14ac:dyDescent="0.25">
      <c r="A1220" s="1" t="s">
        <v>128</v>
      </c>
      <c r="B1220" s="5">
        <v>0.43</v>
      </c>
      <c r="C1220" s="5">
        <v>0.42</v>
      </c>
      <c r="D1220" s="5">
        <v>0.42</v>
      </c>
      <c r="E1220" s="5">
        <v>0.42</v>
      </c>
      <c r="F1220" s="5">
        <v>0.42</v>
      </c>
      <c r="G1220" s="5">
        <v>0.42</v>
      </c>
      <c r="H1220" s="5">
        <v>0.44</v>
      </c>
      <c r="I1220" s="6">
        <v>0.38389400000000001</v>
      </c>
    </row>
    <row r="1221" spans="1:9" ht="45" x14ac:dyDescent="0.25">
      <c r="A1221" s="1" t="s">
        <v>129</v>
      </c>
      <c r="B1221" s="7" t="s">
        <v>58</v>
      </c>
      <c r="C1221" s="7" t="s">
        <v>58</v>
      </c>
      <c r="D1221" s="7" t="s">
        <v>58</v>
      </c>
      <c r="E1221" s="7" t="s">
        <v>58</v>
      </c>
      <c r="F1221" s="7" t="s">
        <v>58</v>
      </c>
      <c r="G1221" s="7" t="s">
        <v>58</v>
      </c>
      <c r="H1221" s="7" t="s">
        <v>58</v>
      </c>
      <c r="I1221" s="7" t="s">
        <v>58</v>
      </c>
    </row>
    <row r="1222" spans="1:9" ht="45" x14ac:dyDescent="0.25">
      <c r="A1222" s="1" t="s">
        <v>140</v>
      </c>
      <c r="B1222" s="7" t="s">
        <v>58</v>
      </c>
      <c r="C1222" s="7" t="s">
        <v>58</v>
      </c>
      <c r="D1222" s="7" t="s">
        <v>58</v>
      </c>
      <c r="E1222" s="7" t="s">
        <v>58</v>
      </c>
      <c r="F1222" s="7" t="s">
        <v>58</v>
      </c>
      <c r="G1222" s="7" t="s">
        <v>58</v>
      </c>
      <c r="H1222" s="7" t="s">
        <v>58</v>
      </c>
      <c r="I1222" s="7" t="s">
        <v>58</v>
      </c>
    </row>
    <row r="1223" spans="1:9" ht="45" x14ac:dyDescent="0.25">
      <c r="A1223" s="1" t="s">
        <v>141</v>
      </c>
      <c r="B1223" s="7" t="s">
        <v>58</v>
      </c>
      <c r="C1223" s="7" t="s">
        <v>58</v>
      </c>
      <c r="D1223" s="7" t="s">
        <v>58</v>
      </c>
      <c r="E1223" s="7" t="s">
        <v>58</v>
      </c>
      <c r="F1223" s="7" t="s">
        <v>58</v>
      </c>
      <c r="G1223" s="7" t="s">
        <v>58</v>
      </c>
      <c r="H1223" s="7" t="s">
        <v>58</v>
      </c>
      <c r="I1223" s="7" t="s">
        <v>58</v>
      </c>
    </row>
    <row r="1224" spans="1:9" ht="45" x14ac:dyDescent="0.25">
      <c r="A1224" s="1" t="s">
        <v>142</v>
      </c>
      <c r="B1224" s="7" t="s">
        <v>58</v>
      </c>
      <c r="C1224" s="7" t="s">
        <v>58</v>
      </c>
      <c r="D1224" s="7" t="s">
        <v>58</v>
      </c>
      <c r="E1224" s="7" t="s">
        <v>58</v>
      </c>
      <c r="F1224" s="7" t="s">
        <v>58</v>
      </c>
      <c r="G1224" s="7" t="s">
        <v>58</v>
      </c>
      <c r="H1224" s="7" t="s">
        <v>58</v>
      </c>
      <c r="I1224" s="7" t="s">
        <v>58</v>
      </c>
    </row>
    <row r="1225" spans="1:9" ht="60" x14ac:dyDescent="0.25">
      <c r="A1225" s="1" t="s">
        <v>133</v>
      </c>
      <c r="B1225" s="7" t="s">
        <v>58</v>
      </c>
      <c r="C1225" s="7" t="s">
        <v>58</v>
      </c>
      <c r="D1225" s="7" t="s">
        <v>58</v>
      </c>
      <c r="E1225" s="7" t="s">
        <v>58</v>
      </c>
      <c r="F1225" s="7" t="s">
        <v>58</v>
      </c>
      <c r="G1225" s="7" t="s">
        <v>58</v>
      </c>
      <c r="H1225" s="7" t="s">
        <v>58</v>
      </c>
      <c r="I1225" s="7" t="s">
        <v>58</v>
      </c>
    </row>
    <row r="1226" spans="1:9" ht="60" x14ac:dyDescent="0.25">
      <c r="A1226" s="1" t="s">
        <v>134</v>
      </c>
      <c r="B1226" s="7" t="s">
        <v>58</v>
      </c>
      <c r="C1226" s="7" t="s">
        <v>58</v>
      </c>
      <c r="D1226" s="7" t="s">
        <v>58</v>
      </c>
      <c r="E1226" s="7" t="s">
        <v>58</v>
      </c>
      <c r="F1226" s="7" t="s">
        <v>58</v>
      </c>
      <c r="G1226" s="7" t="s">
        <v>58</v>
      </c>
      <c r="H1226" s="7" t="s">
        <v>58</v>
      </c>
      <c r="I1226" s="7" t="s">
        <v>58</v>
      </c>
    </row>
    <row r="1227" spans="1:9" x14ac:dyDescent="0.25">
      <c r="A1227" s="1" t="s">
        <v>12</v>
      </c>
      <c r="B1227" s="2"/>
      <c r="C1227" s="2"/>
      <c r="D1227" s="2"/>
      <c r="E1227" s="2"/>
      <c r="F1227" s="2"/>
      <c r="G1227" s="2"/>
      <c r="H1227" s="2"/>
      <c r="I1227" s="2"/>
    </row>
    <row r="1228" spans="1:9" x14ac:dyDescent="0.25">
      <c r="A1228" s="8" t="s">
        <v>73</v>
      </c>
      <c r="B1228" s="2"/>
      <c r="C1228" s="2"/>
      <c r="D1228" s="2"/>
      <c r="E1228" s="2"/>
      <c r="F1228" s="2"/>
      <c r="G1228" s="2"/>
      <c r="H1228" s="2"/>
      <c r="I1228" s="2"/>
    </row>
    <row r="1229" spans="1:9" ht="60" x14ac:dyDescent="0.25">
      <c r="A1229" s="1" t="s">
        <v>13</v>
      </c>
      <c r="B1229" s="7" t="s">
        <v>58</v>
      </c>
      <c r="C1229" s="7" t="s">
        <v>58</v>
      </c>
      <c r="D1229" s="7" t="s">
        <v>58</v>
      </c>
      <c r="E1229" s="7" t="s">
        <v>58</v>
      </c>
      <c r="F1229" s="7" t="s">
        <v>58</v>
      </c>
      <c r="G1229" s="7" t="s">
        <v>58</v>
      </c>
      <c r="H1229" s="7" t="s">
        <v>58</v>
      </c>
      <c r="I1229" s="7" t="s">
        <v>58</v>
      </c>
    </row>
    <row r="1230" spans="1:9" ht="60" x14ac:dyDescent="0.25">
      <c r="A1230" s="1" t="s">
        <v>117</v>
      </c>
      <c r="B1230" s="7" t="s">
        <v>58</v>
      </c>
      <c r="C1230" s="7" t="s">
        <v>58</v>
      </c>
      <c r="D1230" s="7" t="s">
        <v>58</v>
      </c>
      <c r="E1230" s="7" t="s">
        <v>58</v>
      </c>
      <c r="F1230" s="7" t="s">
        <v>58</v>
      </c>
      <c r="G1230" s="7" t="s">
        <v>58</v>
      </c>
      <c r="H1230" s="7" t="s">
        <v>58</v>
      </c>
      <c r="I1230" s="7" t="s">
        <v>58</v>
      </c>
    </row>
    <row r="1231" spans="1:9" ht="60" x14ac:dyDescent="0.25">
      <c r="A1231" s="1" t="s">
        <v>118</v>
      </c>
      <c r="B1231" s="7" t="s">
        <v>58</v>
      </c>
      <c r="C1231" s="7" t="s">
        <v>58</v>
      </c>
      <c r="D1231" s="7" t="s">
        <v>58</v>
      </c>
      <c r="E1231" s="7" t="s">
        <v>58</v>
      </c>
      <c r="F1231" s="7" t="s">
        <v>58</v>
      </c>
      <c r="G1231" s="7" t="s">
        <v>58</v>
      </c>
      <c r="H1231" s="7" t="s">
        <v>58</v>
      </c>
      <c r="I1231" s="7" t="s">
        <v>58</v>
      </c>
    </row>
    <row r="1232" spans="1:9" ht="60" x14ac:dyDescent="0.25">
      <c r="A1232" s="1" t="s">
        <v>119</v>
      </c>
      <c r="B1232" s="7" t="s">
        <v>58</v>
      </c>
      <c r="C1232" s="7" t="s">
        <v>58</v>
      </c>
      <c r="D1232" s="7" t="s">
        <v>58</v>
      </c>
      <c r="E1232" s="7" t="s">
        <v>58</v>
      </c>
      <c r="F1232" s="7" t="s">
        <v>58</v>
      </c>
      <c r="G1232" s="7" t="s">
        <v>58</v>
      </c>
      <c r="H1232" s="7" t="s">
        <v>58</v>
      </c>
      <c r="I1232" s="7" t="s">
        <v>58</v>
      </c>
    </row>
    <row r="1233" spans="1:9" ht="60" x14ac:dyDescent="0.25">
      <c r="A1233" s="1" t="s">
        <v>120</v>
      </c>
      <c r="B1233" s="7" t="s">
        <v>58</v>
      </c>
      <c r="C1233" s="7" t="s">
        <v>58</v>
      </c>
      <c r="D1233" s="7" t="s">
        <v>58</v>
      </c>
      <c r="E1233" s="7" t="s">
        <v>58</v>
      </c>
      <c r="F1233" s="7" t="s">
        <v>58</v>
      </c>
      <c r="G1233" s="7" t="s">
        <v>58</v>
      </c>
      <c r="H1233" s="7" t="s">
        <v>58</v>
      </c>
      <c r="I1233" s="7" t="s">
        <v>58</v>
      </c>
    </row>
    <row r="1234" spans="1:9" ht="75" x14ac:dyDescent="0.25">
      <c r="A1234" s="1" t="s">
        <v>121</v>
      </c>
      <c r="B1234" s="7" t="s">
        <v>58</v>
      </c>
      <c r="C1234" s="7" t="s">
        <v>58</v>
      </c>
      <c r="D1234" s="7" t="s">
        <v>58</v>
      </c>
      <c r="E1234" s="7" t="s">
        <v>58</v>
      </c>
      <c r="F1234" s="7" t="s">
        <v>58</v>
      </c>
      <c r="G1234" s="7" t="s">
        <v>58</v>
      </c>
      <c r="H1234" s="7" t="s">
        <v>58</v>
      </c>
      <c r="I1234" s="7" t="s">
        <v>58</v>
      </c>
    </row>
    <row r="1235" spans="1:9" ht="75" x14ac:dyDescent="0.25">
      <c r="A1235" s="1" t="s">
        <v>122</v>
      </c>
      <c r="B1235" s="7" t="s">
        <v>58</v>
      </c>
      <c r="C1235" s="7" t="s">
        <v>58</v>
      </c>
      <c r="D1235" s="7" t="s">
        <v>58</v>
      </c>
      <c r="E1235" s="7" t="s">
        <v>58</v>
      </c>
      <c r="F1235" s="7" t="s">
        <v>58</v>
      </c>
      <c r="G1235" s="7" t="s">
        <v>58</v>
      </c>
      <c r="H1235" s="7" t="s">
        <v>58</v>
      </c>
      <c r="I1235" s="7" t="s">
        <v>58</v>
      </c>
    </row>
    <row r="1236" spans="1:9" ht="60" x14ac:dyDescent="0.25">
      <c r="A1236" s="1" t="s">
        <v>123</v>
      </c>
      <c r="B1236" s="7" t="s">
        <v>58</v>
      </c>
      <c r="C1236" s="7" t="s">
        <v>58</v>
      </c>
      <c r="D1236" s="7" t="s">
        <v>58</v>
      </c>
      <c r="E1236" s="7" t="s">
        <v>58</v>
      </c>
      <c r="F1236" s="7" t="s">
        <v>58</v>
      </c>
      <c r="G1236" s="7" t="s">
        <v>58</v>
      </c>
      <c r="H1236" s="7" t="s">
        <v>58</v>
      </c>
      <c r="I1236" s="7" t="s">
        <v>58</v>
      </c>
    </row>
    <row r="1237" spans="1:9" ht="60" x14ac:dyDescent="0.25">
      <c r="A1237" s="1" t="s">
        <v>124</v>
      </c>
      <c r="B1237" s="7" t="s">
        <v>58</v>
      </c>
      <c r="C1237" s="7" t="s">
        <v>58</v>
      </c>
      <c r="D1237" s="7" t="s">
        <v>58</v>
      </c>
      <c r="E1237" s="7" t="s">
        <v>58</v>
      </c>
      <c r="F1237" s="7" t="s">
        <v>58</v>
      </c>
      <c r="G1237" s="7" t="s">
        <v>58</v>
      </c>
      <c r="H1237" s="7" t="s">
        <v>58</v>
      </c>
      <c r="I1237" s="7" t="s">
        <v>58</v>
      </c>
    </row>
    <row r="1238" spans="1:9" ht="60" x14ac:dyDescent="0.25">
      <c r="A1238" s="1" t="s">
        <v>125</v>
      </c>
      <c r="B1238" s="7" t="s">
        <v>58</v>
      </c>
      <c r="C1238" s="7" t="s">
        <v>58</v>
      </c>
      <c r="D1238" s="7" t="s">
        <v>58</v>
      </c>
      <c r="E1238" s="7" t="s">
        <v>58</v>
      </c>
      <c r="F1238" s="7" t="s">
        <v>58</v>
      </c>
      <c r="G1238" s="7" t="s">
        <v>58</v>
      </c>
      <c r="H1238" s="7" t="s">
        <v>58</v>
      </c>
      <c r="I1238" s="7" t="s">
        <v>58</v>
      </c>
    </row>
    <row r="1239" spans="1:9" ht="60" x14ac:dyDescent="0.25">
      <c r="A1239" s="1" t="s">
        <v>126</v>
      </c>
      <c r="B1239" s="7" t="s">
        <v>58</v>
      </c>
      <c r="C1239" s="7" t="s">
        <v>58</v>
      </c>
      <c r="D1239" s="7" t="s">
        <v>58</v>
      </c>
      <c r="E1239" s="7" t="s">
        <v>58</v>
      </c>
      <c r="F1239" s="7" t="s">
        <v>58</v>
      </c>
      <c r="G1239" s="7" t="s">
        <v>58</v>
      </c>
      <c r="H1239" s="7" t="s">
        <v>58</v>
      </c>
      <c r="I1239" s="7" t="s">
        <v>58</v>
      </c>
    </row>
    <row r="1240" spans="1:9" ht="75" x14ac:dyDescent="0.25">
      <c r="A1240" s="1" t="s">
        <v>127</v>
      </c>
      <c r="B1240" s="7" t="s">
        <v>58</v>
      </c>
      <c r="C1240" s="7" t="s">
        <v>58</v>
      </c>
      <c r="D1240" s="7" t="s">
        <v>58</v>
      </c>
      <c r="E1240" s="7" t="s">
        <v>58</v>
      </c>
      <c r="F1240" s="7" t="s">
        <v>58</v>
      </c>
      <c r="G1240" s="7" t="s">
        <v>58</v>
      </c>
      <c r="H1240" s="7" t="s">
        <v>58</v>
      </c>
      <c r="I1240" s="7" t="s">
        <v>58</v>
      </c>
    </row>
    <row r="1241" spans="1:9" ht="60" x14ac:dyDescent="0.25">
      <c r="A1241" s="1" t="s">
        <v>128</v>
      </c>
      <c r="B1241" s="7" t="s">
        <v>58</v>
      </c>
      <c r="C1241" s="7" t="s">
        <v>58</v>
      </c>
      <c r="D1241" s="7" t="s">
        <v>58</v>
      </c>
      <c r="E1241" s="7" t="s">
        <v>58</v>
      </c>
      <c r="F1241" s="7" t="s">
        <v>58</v>
      </c>
      <c r="G1241" s="7" t="s">
        <v>58</v>
      </c>
      <c r="H1241" s="7" t="s">
        <v>58</v>
      </c>
      <c r="I1241" s="7" t="s">
        <v>58</v>
      </c>
    </row>
    <row r="1242" spans="1:9" ht="45" x14ac:dyDescent="0.25">
      <c r="A1242" s="1" t="s">
        <v>129</v>
      </c>
      <c r="B1242" s="7" t="s">
        <v>58</v>
      </c>
      <c r="C1242" s="7" t="s">
        <v>58</v>
      </c>
      <c r="D1242" s="7" t="s">
        <v>58</v>
      </c>
      <c r="E1242" s="7" t="s">
        <v>58</v>
      </c>
      <c r="F1242" s="7" t="s">
        <v>58</v>
      </c>
      <c r="G1242" s="7" t="s">
        <v>58</v>
      </c>
      <c r="H1242" s="7" t="s">
        <v>58</v>
      </c>
      <c r="I1242" s="7" t="s">
        <v>58</v>
      </c>
    </row>
    <row r="1243" spans="1:9" ht="45" x14ac:dyDescent="0.25">
      <c r="A1243" s="1" t="s">
        <v>140</v>
      </c>
      <c r="B1243" s="7" t="s">
        <v>58</v>
      </c>
      <c r="C1243" s="7" t="s">
        <v>58</v>
      </c>
      <c r="D1243" s="7" t="s">
        <v>58</v>
      </c>
      <c r="E1243" s="7" t="s">
        <v>58</v>
      </c>
      <c r="F1243" s="7" t="s">
        <v>58</v>
      </c>
      <c r="G1243" s="7" t="s">
        <v>58</v>
      </c>
      <c r="H1243" s="7" t="s">
        <v>58</v>
      </c>
      <c r="I1243" s="7" t="s">
        <v>58</v>
      </c>
    </row>
    <row r="1244" spans="1:9" ht="45" x14ac:dyDescent="0.25">
      <c r="A1244" s="1" t="s">
        <v>141</v>
      </c>
      <c r="B1244" s="7" t="s">
        <v>58</v>
      </c>
      <c r="C1244" s="7" t="s">
        <v>58</v>
      </c>
      <c r="D1244" s="7" t="s">
        <v>58</v>
      </c>
      <c r="E1244" s="7" t="s">
        <v>58</v>
      </c>
      <c r="F1244" s="7" t="s">
        <v>58</v>
      </c>
      <c r="G1244" s="7" t="s">
        <v>58</v>
      </c>
      <c r="H1244" s="7" t="s">
        <v>58</v>
      </c>
      <c r="I1244" s="7" t="s">
        <v>58</v>
      </c>
    </row>
    <row r="1245" spans="1:9" ht="45" x14ac:dyDescent="0.25">
      <c r="A1245" s="1" t="s">
        <v>142</v>
      </c>
      <c r="B1245" s="7" t="s">
        <v>58</v>
      </c>
      <c r="C1245" s="7" t="s">
        <v>58</v>
      </c>
      <c r="D1245" s="7" t="s">
        <v>58</v>
      </c>
      <c r="E1245" s="7" t="s">
        <v>58</v>
      </c>
      <c r="F1245" s="7" t="s">
        <v>58</v>
      </c>
      <c r="G1245" s="7" t="s">
        <v>58</v>
      </c>
      <c r="H1245" s="7" t="s">
        <v>58</v>
      </c>
      <c r="I1245" s="7" t="s">
        <v>58</v>
      </c>
    </row>
    <row r="1246" spans="1:9" ht="60" x14ac:dyDescent="0.25">
      <c r="A1246" s="1" t="s">
        <v>133</v>
      </c>
      <c r="B1246" s="7" t="s">
        <v>58</v>
      </c>
      <c r="C1246" s="7" t="s">
        <v>58</v>
      </c>
      <c r="D1246" s="7" t="s">
        <v>58</v>
      </c>
      <c r="E1246" s="7" t="s">
        <v>58</v>
      </c>
      <c r="F1246" s="7" t="s">
        <v>58</v>
      </c>
      <c r="G1246" s="7" t="s">
        <v>58</v>
      </c>
      <c r="H1246" s="7" t="s">
        <v>58</v>
      </c>
      <c r="I1246" s="7" t="s">
        <v>58</v>
      </c>
    </row>
    <row r="1247" spans="1:9" ht="60" x14ac:dyDescent="0.25">
      <c r="A1247" s="1" t="s">
        <v>134</v>
      </c>
      <c r="B1247" s="7" t="s">
        <v>58</v>
      </c>
      <c r="C1247" s="7" t="s">
        <v>58</v>
      </c>
      <c r="D1247" s="7" t="s">
        <v>58</v>
      </c>
      <c r="E1247" s="7" t="s">
        <v>58</v>
      </c>
      <c r="F1247" s="7" t="s">
        <v>58</v>
      </c>
      <c r="G1247" s="7" t="s">
        <v>58</v>
      </c>
      <c r="H1247" s="7" t="s">
        <v>58</v>
      </c>
      <c r="I1247" s="7" t="s">
        <v>58</v>
      </c>
    </row>
    <row r="1248" spans="1:9" x14ac:dyDescent="0.25">
      <c r="A1248" s="1" t="s">
        <v>12</v>
      </c>
      <c r="B1248" s="2"/>
      <c r="C1248" s="2"/>
      <c r="D1248" s="2"/>
      <c r="E1248" s="2"/>
      <c r="F1248" s="2"/>
      <c r="G1248" s="2"/>
      <c r="H1248" s="2"/>
      <c r="I1248" s="2"/>
    </row>
    <row r="1249" spans="1:9" ht="30" x14ac:dyDescent="0.25">
      <c r="A1249" s="8" t="s">
        <v>74</v>
      </c>
      <c r="B1249" s="2"/>
      <c r="C1249" s="2"/>
      <c r="D1249" s="2"/>
      <c r="E1249" s="2"/>
      <c r="F1249" s="2"/>
      <c r="G1249" s="2"/>
      <c r="H1249" s="2"/>
      <c r="I1249" s="2"/>
    </row>
    <row r="1250" spans="1:9" ht="60" x14ac:dyDescent="0.25">
      <c r="A1250" s="1" t="s">
        <v>13</v>
      </c>
      <c r="B1250" s="5">
        <v>90.08</v>
      </c>
      <c r="C1250" s="5">
        <v>91.29</v>
      </c>
      <c r="D1250" s="5">
        <v>92.72</v>
      </c>
      <c r="E1250" s="5">
        <v>94.08</v>
      </c>
      <c r="F1250" s="5">
        <v>95.5</v>
      </c>
      <c r="G1250" s="5">
        <v>97.4</v>
      </c>
      <c r="H1250" s="5">
        <v>98.47</v>
      </c>
      <c r="I1250" s="6">
        <v>1.4952989999999999</v>
      </c>
    </row>
    <row r="1251" spans="1:9" ht="60" x14ac:dyDescent="0.25">
      <c r="A1251" s="1" t="s">
        <v>117</v>
      </c>
      <c r="B1251" s="5">
        <v>54.58</v>
      </c>
      <c r="C1251" s="5">
        <v>53.16</v>
      </c>
      <c r="D1251" s="5">
        <v>51.85</v>
      </c>
      <c r="E1251" s="5">
        <v>50.65</v>
      </c>
      <c r="F1251" s="5">
        <v>49.65</v>
      </c>
      <c r="G1251" s="5">
        <v>48.96</v>
      </c>
      <c r="H1251" s="5">
        <v>48.48</v>
      </c>
      <c r="I1251" s="6">
        <v>-1.955889</v>
      </c>
    </row>
    <row r="1252" spans="1:9" ht="60" x14ac:dyDescent="0.25">
      <c r="A1252" s="1" t="s">
        <v>118</v>
      </c>
      <c r="B1252" s="5">
        <v>6.99</v>
      </c>
      <c r="C1252" s="5">
        <v>5.2</v>
      </c>
      <c r="D1252" s="5">
        <v>3.8</v>
      </c>
      <c r="E1252" s="5">
        <v>2.98</v>
      </c>
      <c r="F1252" s="5">
        <v>2.2999999999999998</v>
      </c>
      <c r="G1252" s="5">
        <v>1.76</v>
      </c>
      <c r="H1252" s="5">
        <v>1.41</v>
      </c>
      <c r="I1252" s="6">
        <v>-23.418537000000001</v>
      </c>
    </row>
    <row r="1253" spans="1:9" ht="60" x14ac:dyDescent="0.25">
      <c r="A1253" s="1" t="s">
        <v>119</v>
      </c>
      <c r="B1253" s="5">
        <v>18.62</v>
      </c>
      <c r="C1253" s="5">
        <v>20.52</v>
      </c>
      <c r="D1253" s="5">
        <v>22.42</v>
      </c>
      <c r="E1253" s="5">
        <v>23.47</v>
      </c>
      <c r="F1253" s="5">
        <v>24.22</v>
      </c>
      <c r="G1253" s="5">
        <v>24.62</v>
      </c>
      <c r="H1253" s="5">
        <v>24.91</v>
      </c>
      <c r="I1253" s="6">
        <v>4.970116</v>
      </c>
    </row>
    <row r="1254" spans="1:9" ht="60" x14ac:dyDescent="0.25">
      <c r="A1254" s="1" t="s">
        <v>120</v>
      </c>
      <c r="B1254" s="5">
        <v>1.56</v>
      </c>
      <c r="C1254" s="5">
        <v>2.09</v>
      </c>
      <c r="D1254" s="5">
        <v>2.78</v>
      </c>
      <c r="E1254" s="5">
        <v>3.24</v>
      </c>
      <c r="F1254" s="5">
        <v>3.71</v>
      </c>
      <c r="G1254" s="5">
        <v>4.26</v>
      </c>
      <c r="H1254" s="5">
        <v>4.74</v>
      </c>
      <c r="I1254" s="6">
        <v>20.348946000000002</v>
      </c>
    </row>
    <row r="1255" spans="1:9" ht="75" x14ac:dyDescent="0.25">
      <c r="A1255" s="1" t="s">
        <v>121</v>
      </c>
      <c r="B1255" s="5">
        <v>8.17</v>
      </c>
      <c r="C1255" s="5">
        <v>10.28</v>
      </c>
      <c r="D1255" s="5">
        <v>12.16</v>
      </c>
      <c r="E1255" s="5">
        <v>13.77</v>
      </c>
      <c r="F1255" s="5">
        <v>15.27</v>
      </c>
      <c r="G1255" s="5">
        <v>16.86</v>
      </c>
      <c r="H1255" s="5">
        <v>17.48</v>
      </c>
      <c r="I1255" s="6">
        <v>13.514994</v>
      </c>
    </row>
    <row r="1256" spans="1:9" ht="75" x14ac:dyDescent="0.25">
      <c r="A1256" s="1" t="s">
        <v>122</v>
      </c>
      <c r="B1256" s="5">
        <v>0.01</v>
      </c>
      <c r="C1256" s="5">
        <v>0.01</v>
      </c>
      <c r="D1256" s="5">
        <v>0.01</v>
      </c>
      <c r="E1256" s="5">
        <v>0.01</v>
      </c>
      <c r="F1256" s="5">
        <v>0.01</v>
      </c>
      <c r="G1256" s="5">
        <v>0.01</v>
      </c>
      <c r="H1256" s="5">
        <v>0.01</v>
      </c>
      <c r="I1256" s="6">
        <v>0</v>
      </c>
    </row>
    <row r="1257" spans="1:9" ht="60" x14ac:dyDescent="0.25">
      <c r="A1257" s="1" t="s">
        <v>123</v>
      </c>
      <c r="B1257" s="5">
        <v>60.59</v>
      </c>
      <c r="C1257" s="5">
        <v>58.24</v>
      </c>
      <c r="D1257" s="5">
        <v>55.92</v>
      </c>
      <c r="E1257" s="5">
        <v>53.84</v>
      </c>
      <c r="F1257" s="5">
        <v>51.99</v>
      </c>
      <c r="G1257" s="5">
        <v>50.27</v>
      </c>
      <c r="H1257" s="5">
        <v>49.23</v>
      </c>
      <c r="I1257" s="6">
        <v>-3.4012560000000001</v>
      </c>
    </row>
    <row r="1258" spans="1:9" ht="60" x14ac:dyDescent="0.25">
      <c r="A1258" s="1" t="s">
        <v>124</v>
      </c>
      <c r="B1258" s="5">
        <v>7.76</v>
      </c>
      <c r="C1258" s="5">
        <v>5.69</v>
      </c>
      <c r="D1258" s="5">
        <v>4.0999999999999996</v>
      </c>
      <c r="E1258" s="5">
        <v>3.17</v>
      </c>
      <c r="F1258" s="5">
        <v>2.4</v>
      </c>
      <c r="G1258" s="5">
        <v>1.81</v>
      </c>
      <c r="H1258" s="5">
        <v>1.43</v>
      </c>
      <c r="I1258" s="6">
        <v>-24.563929999999999</v>
      </c>
    </row>
    <row r="1259" spans="1:9" ht="60" x14ac:dyDescent="0.25">
      <c r="A1259" s="1" t="s">
        <v>125</v>
      </c>
      <c r="B1259" s="5">
        <v>20.67</v>
      </c>
      <c r="C1259" s="5">
        <v>22.48</v>
      </c>
      <c r="D1259" s="5">
        <v>24.17</v>
      </c>
      <c r="E1259" s="5">
        <v>24.95</v>
      </c>
      <c r="F1259" s="5">
        <v>25.36</v>
      </c>
      <c r="G1259" s="5">
        <v>25.28</v>
      </c>
      <c r="H1259" s="5">
        <v>25.3</v>
      </c>
      <c r="I1259" s="6">
        <v>3.4260660000000001</v>
      </c>
    </row>
    <row r="1260" spans="1:9" ht="60" x14ac:dyDescent="0.25">
      <c r="A1260" s="1" t="s">
        <v>126</v>
      </c>
      <c r="B1260" s="5">
        <v>1.73</v>
      </c>
      <c r="C1260" s="5">
        <v>2.29</v>
      </c>
      <c r="D1260" s="5">
        <v>2.99</v>
      </c>
      <c r="E1260" s="5">
        <v>3.44</v>
      </c>
      <c r="F1260" s="5">
        <v>3.89</v>
      </c>
      <c r="G1260" s="5">
        <v>4.38</v>
      </c>
      <c r="H1260" s="5">
        <v>4.82</v>
      </c>
      <c r="I1260" s="6">
        <v>18.622432</v>
      </c>
    </row>
    <row r="1261" spans="1:9" ht="75" x14ac:dyDescent="0.25">
      <c r="A1261" s="1" t="s">
        <v>127</v>
      </c>
      <c r="B1261" s="5">
        <v>9.07</v>
      </c>
      <c r="C1261" s="5">
        <v>11.26</v>
      </c>
      <c r="D1261" s="5">
        <v>13.12</v>
      </c>
      <c r="E1261" s="5">
        <v>14.64</v>
      </c>
      <c r="F1261" s="5">
        <v>15.99</v>
      </c>
      <c r="G1261" s="5">
        <v>17.309999999999999</v>
      </c>
      <c r="H1261" s="5">
        <v>17.75</v>
      </c>
      <c r="I1261" s="6">
        <v>11.840349</v>
      </c>
    </row>
    <row r="1262" spans="1:9" ht="60" x14ac:dyDescent="0.25">
      <c r="A1262" s="1" t="s">
        <v>128</v>
      </c>
      <c r="B1262" s="5">
        <v>0.01</v>
      </c>
      <c r="C1262" s="5">
        <v>0.01</v>
      </c>
      <c r="D1262" s="5">
        <v>0.01</v>
      </c>
      <c r="E1262" s="5">
        <v>0.01</v>
      </c>
      <c r="F1262" s="5">
        <v>0.01</v>
      </c>
      <c r="G1262" s="5">
        <v>0.01</v>
      </c>
      <c r="H1262" s="5">
        <v>0.01</v>
      </c>
      <c r="I1262" s="6">
        <v>0</v>
      </c>
    </row>
    <row r="1263" spans="1:9" ht="45" x14ac:dyDescent="0.25">
      <c r="A1263" s="1" t="s">
        <v>129</v>
      </c>
      <c r="B1263" s="7" t="s">
        <v>58</v>
      </c>
      <c r="C1263" s="7" t="s">
        <v>58</v>
      </c>
      <c r="D1263" s="7" t="s">
        <v>58</v>
      </c>
      <c r="E1263" s="7" t="s">
        <v>58</v>
      </c>
      <c r="F1263" s="7" t="s">
        <v>58</v>
      </c>
      <c r="G1263" s="7" t="s">
        <v>58</v>
      </c>
      <c r="H1263" s="7" t="s">
        <v>58</v>
      </c>
      <c r="I1263" s="7" t="s">
        <v>58</v>
      </c>
    </row>
    <row r="1264" spans="1:9" ht="45" x14ac:dyDescent="0.25">
      <c r="A1264" s="1" t="s">
        <v>140</v>
      </c>
      <c r="B1264" s="7" t="s">
        <v>58</v>
      </c>
      <c r="C1264" s="7" t="s">
        <v>58</v>
      </c>
      <c r="D1264" s="7" t="s">
        <v>58</v>
      </c>
      <c r="E1264" s="7" t="s">
        <v>58</v>
      </c>
      <c r="F1264" s="7" t="s">
        <v>58</v>
      </c>
      <c r="G1264" s="7" t="s">
        <v>58</v>
      </c>
      <c r="H1264" s="7" t="s">
        <v>58</v>
      </c>
      <c r="I1264" s="7" t="s">
        <v>58</v>
      </c>
    </row>
    <row r="1265" spans="1:9" ht="45" x14ac:dyDescent="0.25">
      <c r="A1265" s="1" t="s">
        <v>141</v>
      </c>
      <c r="B1265" s="7" t="s">
        <v>58</v>
      </c>
      <c r="C1265" s="7" t="s">
        <v>58</v>
      </c>
      <c r="D1265" s="7" t="s">
        <v>58</v>
      </c>
      <c r="E1265" s="7" t="s">
        <v>58</v>
      </c>
      <c r="F1265" s="7" t="s">
        <v>58</v>
      </c>
      <c r="G1265" s="7" t="s">
        <v>58</v>
      </c>
      <c r="H1265" s="7" t="s">
        <v>58</v>
      </c>
      <c r="I1265" s="7" t="s">
        <v>58</v>
      </c>
    </row>
    <row r="1266" spans="1:9" ht="45" x14ac:dyDescent="0.25">
      <c r="A1266" s="1" t="s">
        <v>142</v>
      </c>
      <c r="B1266" s="7" t="s">
        <v>58</v>
      </c>
      <c r="C1266" s="7" t="s">
        <v>58</v>
      </c>
      <c r="D1266" s="7" t="s">
        <v>58</v>
      </c>
      <c r="E1266" s="7" t="s">
        <v>58</v>
      </c>
      <c r="F1266" s="7" t="s">
        <v>58</v>
      </c>
      <c r="G1266" s="7" t="s">
        <v>58</v>
      </c>
      <c r="H1266" s="7" t="s">
        <v>58</v>
      </c>
      <c r="I1266" s="7" t="s">
        <v>58</v>
      </c>
    </row>
    <row r="1267" spans="1:9" ht="60" x14ac:dyDescent="0.25">
      <c r="A1267" s="1" t="s">
        <v>133</v>
      </c>
      <c r="B1267" s="7" t="s">
        <v>58</v>
      </c>
      <c r="C1267" s="7" t="s">
        <v>58</v>
      </c>
      <c r="D1267" s="7" t="s">
        <v>58</v>
      </c>
      <c r="E1267" s="7" t="s">
        <v>58</v>
      </c>
      <c r="F1267" s="7" t="s">
        <v>58</v>
      </c>
      <c r="G1267" s="7" t="s">
        <v>58</v>
      </c>
      <c r="H1267" s="7" t="s">
        <v>58</v>
      </c>
      <c r="I1267" s="7" t="s">
        <v>58</v>
      </c>
    </row>
    <row r="1268" spans="1:9" ht="60" x14ac:dyDescent="0.25">
      <c r="A1268" s="1" t="s">
        <v>134</v>
      </c>
      <c r="B1268" s="7" t="s">
        <v>58</v>
      </c>
      <c r="C1268" s="7" t="s">
        <v>58</v>
      </c>
      <c r="D1268" s="7" t="s">
        <v>58</v>
      </c>
      <c r="E1268" s="7" t="s">
        <v>58</v>
      </c>
      <c r="F1268" s="7" t="s">
        <v>58</v>
      </c>
      <c r="G1268" s="7" t="s">
        <v>58</v>
      </c>
      <c r="H1268" s="7" t="s">
        <v>58</v>
      </c>
      <c r="I1268" s="7" t="s">
        <v>58</v>
      </c>
    </row>
    <row r="1269" spans="1:9" x14ac:dyDescent="0.25">
      <c r="A1269" s="1" t="s">
        <v>12</v>
      </c>
      <c r="B1269" s="2"/>
      <c r="C1269" s="2"/>
      <c r="D1269" s="2"/>
      <c r="E1269" s="2"/>
      <c r="F1269" s="2"/>
      <c r="G1269" s="2"/>
      <c r="H1269" s="2"/>
      <c r="I1269" s="2"/>
    </row>
    <row r="1270" spans="1:9" x14ac:dyDescent="0.25">
      <c r="A1270" s="8" t="s">
        <v>75</v>
      </c>
      <c r="B1270" s="2"/>
      <c r="C1270" s="2"/>
      <c r="D1270" s="2"/>
      <c r="E1270" s="2"/>
      <c r="F1270" s="2"/>
      <c r="G1270" s="2"/>
      <c r="H1270" s="2"/>
      <c r="I1270" s="2"/>
    </row>
    <row r="1271" spans="1:9" ht="60" x14ac:dyDescent="0.25">
      <c r="A1271" s="1" t="s">
        <v>13</v>
      </c>
      <c r="B1271" s="5">
        <v>93.95</v>
      </c>
      <c r="C1271" s="5">
        <v>95.05</v>
      </c>
      <c r="D1271" s="5">
        <v>96.03</v>
      </c>
      <c r="E1271" s="5">
        <v>97</v>
      </c>
      <c r="F1271" s="5">
        <v>97.94</v>
      </c>
      <c r="G1271" s="5">
        <v>98.74</v>
      </c>
      <c r="H1271" s="5">
        <v>99.53</v>
      </c>
      <c r="I1271" s="6">
        <v>0.96624500000000002</v>
      </c>
    </row>
    <row r="1272" spans="1:9" ht="60" x14ac:dyDescent="0.25">
      <c r="A1272" s="1" t="s">
        <v>117</v>
      </c>
      <c r="B1272" s="5">
        <v>15.76</v>
      </c>
      <c r="C1272" s="5">
        <v>14.25</v>
      </c>
      <c r="D1272" s="5">
        <v>12.9</v>
      </c>
      <c r="E1272" s="5">
        <v>11.71</v>
      </c>
      <c r="F1272" s="5">
        <v>10.67</v>
      </c>
      <c r="G1272" s="5">
        <v>9.7799999999999994</v>
      </c>
      <c r="H1272" s="5">
        <v>9.0299999999999994</v>
      </c>
      <c r="I1272" s="6">
        <v>-8.8642880000000002</v>
      </c>
    </row>
    <row r="1273" spans="1:9" ht="60" x14ac:dyDescent="0.25">
      <c r="A1273" s="1" t="s">
        <v>118</v>
      </c>
      <c r="B1273" s="5">
        <v>0.16</v>
      </c>
      <c r="C1273" s="5">
        <v>0.05</v>
      </c>
      <c r="D1273" s="5">
        <v>0.01</v>
      </c>
      <c r="E1273" s="5">
        <v>0</v>
      </c>
      <c r="F1273" s="5">
        <v>0</v>
      </c>
      <c r="G1273" s="5">
        <v>0</v>
      </c>
      <c r="H1273" s="5">
        <v>0</v>
      </c>
      <c r="I1273" s="6">
        <v>-100</v>
      </c>
    </row>
    <row r="1274" spans="1:9" ht="60" x14ac:dyDescent="0.25">
      <c r="A1274" s="1" t="s">
        <v>119</v>
      </c>
      <c r="B1274" s="5">
        <v>68.98</v>
      </c>
      <c r="C1274" s="5">
        <v>71.290000000000006</v>
      </c>
      <c r="D1274" s="5">
        <v>73.459999999999994</v>
      </c>
      <c r="E1274" s="5">
        <v>75.489999999999995</v>
      </c>
      <c r="F1274" s="5">
        <v>77.36</v>
      </c>
      <c r="G1274" s="5">
        <v>78.97</v>
      </c>
      <c r="H1274" s="5">
        <v>80.459999999999994</v>
      </c>
      <c r="I1274" s="6">
        <v>2.5989239999999998</v>
      </c>
    </row>
    <row r="1275" spans="1:9" ht="60" x14ac:dyDescent="0.25">
      <c r="A1275" s="1" t="s">
        <v>120</v>
      </c>
      <c r="B1275" s="5">
        <v>0.2</v>
      </c>
      <c r="C1275" s="5">
        <v>0.25</v>
      </c>
      <c r="D1275" s="5">
        <v>0.28000000000000003</v>
      </c>
      <c r="E1275" s="5">
        <v>0.28999999999999998</v>
      </c>
      <c r="F1275" s="5">
        <v>0.3</v>
      </c>
      <c r="G1275" s="5">
        <v>0.31</v>
      </c>
      <c r="H1275" s="5">
        <v>0.31</v>
      </c>
      <c r="I1275" s="6">
        <v>7.5776240000000001</v>
      </c>
    </row>
    <row r="1276" spans="1:9" ht="75" x14ac:dyDescent="0.25">
      <c r="A1276" s="1" t="s">
        <v>121</v>
      </c>
      <c r="B1276" s="5">
        <v>8.8000000000000007</v>
      </c>
      <c r="C1276" s="5">
        <v>9.17</v>
      </c>
      <c r="D1276" s="5">
        <v>9.34</v>
      </c>
      <c r="E1276" s="5">
        <v>9.4600000000000009</v>
      </c>
      <c r="F1276" s="5">
        <v>9.57</v>
      </c>
      <c r="G1276" s="5">
        <v>9.64</v>
      </c>
      <c r="H1276" s="5">
        <v>9.6999999999999993</v>
      </c>
      <c r="I1276" s="6">
        <v>1.6361429999999999</v>
      </c>
    </row>
    <row r="1277" spans="1:9" ht="75" x14ac:dyDescent="0.25">
      <c r="A1277" s="1" t="s">
        <v>122</v>
      </c>
      <c r="B1277" s="5">
        <v>0.04</v>
      </c>
      <c r="C1277" s="5">
        <v>0.04</v>
      </c>
      <c r="D1277" s="5">
        <v>0.04</v>
      </c>
      <c r="E1277" s="5">
        <v>0.04</v>
      </c>
      <c r="F1277" s="5">
        <v>0.04</v>
      </c>
      <c r="G1277" s="5">
        <v>0.04</v>
      </c>
      <c r="H1277" s="5">
        <v>0.04</v>
      </c>
      <c r="I1277" s="6">
        <v>0</v>
      </c>
    </row>
    <row r="1278" spans="1:9" ht="60" x14ac:dyDescent="0.25">
      <c r="A1278" s="1" t="s">
        <v>123</v>
      </c>
      <c r="B1278" s="5">
        <v>16.78</v>
      </c>
      <c r="C1278" s="5">
        <v>14.99</v>
      </c>
      <c r="D1278" s="5">
        <v>13.43</v>
      </c>
      <c r="E1278" s="5">
        <v>12.07</v>
      </c>
      <c r="F1278" s="5">
        <v>10.89</v>
      </c>
      <c r="G1278" s="5">
        <v>9.9</v>
      </c>
      <c r="H1278" s="5">
        <v>9.07</v>
      </c>
      <c r="I1278" s="6">
        <v>-9.7454260000000001</v>
      </c>
    </row>
    <row r="1279" spans="1:9" ht="60" x14ac:dyDescent="0.25">
      <c r="A1279" s="1" t="s">
        <v>124</v>
      </c>
      <c r="B1279" s="5">
        <v>0.17</v>
      </c>
      <c r="C1279" s="5">
        <v>0.05</v>
      </c>
      <c r="D1279" s="5">
        <v>0.01</v>
      </c>
      <c r="E1279" s="5">
        <v>0</v>
      </c>
      <c r="F1279" s="5">
        <v>0</v>
      </c>
      <c r="G1279" s="5">
        <v>0</v>
      </c>
      <c r="H1279" s="5">
        <v>0</v>
      </c>
      <c r="I1279" s="6">
        <v>-100</v>
      </c>
    </row>
    <row r="1280" spans="1:9" ht="60" x14ac:dyDescent="0.25">
      <c r="A1280" s="1" t="s">
        <v>125</v>
      </c>
      <c r="B1280" s="5">
        <v>73.42</v>
      </c>
      <c r="C1280" s="5">
        <v>75</v>
      </c>
      <c r="D1280" s="5">
        <v>76.5</v>
      </c>
      <c r="E1280" s="5">
        <v>77.819999999999993</v>
      </c>
      <c r="F1280" s="5">
        <v>78.98</v>
      </c>
      <c r="G1280" s="5">
        <v>79.98</v>
      </c>
      <c r="H1280" s="5">
        <v>80.84</v>
      </c>
      <c r="I1280" s="6">
        <v>1.6175349999999999</v>
      </c>
    </row>
    <row r="1281" spans="1:9" ht="60" x14ac:dyDescent="0.25">
      <c r="A1281" s="1" t="s">
        <v>126</v>
      </c>
      <c r="B1281" s="5">
        <v>0.21</v>
      </c>
      <c r="C1281" s="5">
        <v>0.26</v>
      </c>
      <c r="D1281" s="5">
        <v>0.28999999999999998</v>
      </c>
      <c r="E1281" s="5">
        <v>0.3</v>
      </c>
      <c r="F1281" s="5">
        <v>0.31</v>
      </c>
      <c r="G1281" s="5">
        <v>0.31</v>
      </c>
      <c r="H1281" s="5">
        <v>0.31</v>
      </c>
      <c r="I1281" s="6">
        <v>6.7063829999999998</v>
      </c>
    </row>
    <row r="1282" spans="1:9" ht="75" x14ac:dyDescent="0.25">
      <c r="A1282" s="1" t="s">
        <v>127</v>
      </c>
      <c r="B1282" s="5">
        <v>9.3699999999999992</v>
      </c>
      <c r="C1282" s="5">
        <v>9.65</v>
      </c>
      <c r="D1282" s="5">
        <v>9.7200000000000006</v>
      </c>
      <c r="E1282" s="5">
        <v>9.76</v>
      </c>
      <c r="F1282" s="5">
        <v>9.77</v>
      </c>
      <c r="G1282" s="5">
        <v>9.77</v>
      </c>
      <c r="H1282" s="5">
        <v>9.74</v>
      </c>
      <c r="I1282" s="6">
        <v>0.64755499999999999</v>
      </c>
    </row>
    <row r="1283" spans="1:9" ht="60" x14ac:dyDescent="0.25">
      <c r="A1283" s="1" t="s">
        <v>128</v>
      </c>
      <c r="B1283" s="5">
        <v>0.05</v>
      </c>
      <c r="C1283" s="5">
        <v>0.05</v>
      </c>
      <c r="D1283" s="5">
        <v>0.05</v>
      </c>
      <c r="E1283" s="5">
        <v>0.04</v>
      </c>
      <c r="F1283" s="5">
        <v>0.04</v>
      </c>
      <c r="G1283" s="5">
        <v>0.04</v>
      </c>
      <c r="H1283" s="5">
        <v>0.04</v>
      </c>
      <c r="I1283" s="6">
        <v>-3.6507520000000002</v>
      </c>
    </row>
    <row r="1284" spans="1:9" ht="45" x14ac:dyDescent="0.25">
      <c r="A1284" s="1" t="s">
        <v>129</v>
      </c>
      <c r="B1284" s="5">
        <v>34.97</v>
      </c>
      <c r="C1284" s="5">
        <v>35.54</v>
      </c>
      <c r="D1284" s="5">
        <v>36.15</v>
      </c>
      <c r="E1284" s="5">
        <v>36.76</v>
      </c>
      <c r="F1284" s="5">
        <v>37.369999999999997</v>
      </c>
      <c r="G1284" s="5">
        <v>37.99</v>
      </c>
      <c r="H1284" s="5">
        <v>38.61</v>
      </c>
      <c r="I1284" s="6">
        <v>1.6640394220261312</v>
      </c>
    </row>
    <row r="1285" spans="1:9" ht="45" x14ac:dyDescent="0.25">
      <c r="A1285" s="1" t="s">
        <v>140</v>
      </c>
      <c r="B1285" s="5">
        <v>27.5</v>
      </c>
      <c r="C1285" s="5">
        <v>27.8</v>
      </c>
      <c r="D1285" s="5">
        <v>28.12</v>
      </c>
      <c r="E1285" s="5">
        <v>28.44</v>
      </c>
      <c r="F1285" s="5">
        <v>28.79</v>
      </c>
      <c r="G1285" s="5">
        <v>29.17</v>
      </c>
      <c r="H1285" s="5">
        <v>29.59</v>
      </c>
      <c r="I1285" s="6">
        <v>1.228324</v>
      </c>
    </row>
    <row r="1286" spans="1:9" ht="45" x14ac:dyDescent="0.25">
      <c r="A1286" s="1" t="s">
        <v>141</v>
      </c>
      <c r="B1286" s="5">
        <v>35.11</v>
      </c>
      <c r="C1286" s="5">
        <v>34.93</v>
      </c>
      <c r="D1286" s="5">
        <v>35.549999999999997</v>
      </c>
      <c r="E1286" s="5">
        <v>36.24</v>
      </c>
      <c r="F1286" s="7" t="s">
        <v>58</v>
      </c>
      <c r="G1286" s="7" t="s">
        <v>58</v>
      </c>
      <c r="H1286" s="7" t="s">
        <v>58</v>
      </c>
      <c r="I1286" s="7" t="s">
        <v>58</v>
      </c>
    </row>
    <row r="1287" spans="1:9" ht="45" x14ac:dyDescent="0.25">
      <c r="A1287" s="1" t="s">
        <v>142</v>
      </c>
      <c r="B1287" s="5">
        <v>37.44</v>
      </c>
      <c r="C1287" s="5">
        <v>37.86</v>
      </c>
      <c r="D1287" s="5">
        <v>38.35</v>
      </c>
      <c r="E1287" s="5">
        <v>38.85</v>
      </c>
      <c r="F1287" s="5">
        <v>39.36</v>
      </c>
      <c r="G1287" s="5">
        <v>39.880000000000003</v>
      </c>
      <c r="H1287" s="5">
        <v>40.43</v>
      </c>
      <c r="I1287" s="6">
        <v>1.288775</v>
      </c>
    </row>
    <row r="1288" spans="1:9" ht="60" x14ac:dyDescent="0.25">
      <c r="A1288" s="1" t="s">
        <v>133</v>
      </c>
      <c r="B1288" s="5">
        <v>33.023708540000001</v>
      </c>
      <c r="C1288" s="5">
        <v>33.353589499999998</v>
      </c>
      <c r="D1288" s="5">
        <v>33.688957379999998</v>
      </c>
      <c r="E1288" s="5">
        <v>34.025684669999997</v>
      </c>
      <c r="F1288" s="5">
        <v>34.364978409999999</v>
      </c>
      <c r="G1288" s="5">
        <v>34.709370010000001</v>
      </c>
      <c r="H1288" s="5">
        <v>35.057143359999998</v>
      </c>
      <c r="I1288" s="6">
        <v>1.0008697539420908</v>
      </c>
    </row>
    <row r="1289" spans="1:9" ht="60" x14ac:dyDescent="0.25">
      <c r="A1289" s="1" t="s">
        <v>134</v>
      </c>
      <c r="B1289" s="5">
        <v>30.16</v>
      </c>
      <c r="C1289" s="5">
        <v>30.41</v>
      </c>
      <c r="D1289" s="5">
        <v>30.77</v>
      </c>
      <c r="E1289" s="5">
        <v>31.2</v>
      </c>
      <c r="F1289" s="5">
        <v>31.63</v>
      </c>
      <c r="G1289" s="5">
        <v>32.08</v>
      </c>
      <c r="H1289" s="5">
        <v>32.53</v>
      </c>
      <c r="I1289" s="6">
        <v>1.268751</v>
      </c>
    </row>
    <row r="1290" spans="1:9" x14ac:dyDescent="0.25">
      <c r="A1290" s="1" t="s">
        <v>12</v>
      </c>
      <c r="B1290" s="2"/>
      <c r="C1290" s="2"/>
      <c r="D1290" s="2"/>
      <c r="E1290" s="2"/>
      <c r="F1290" s="2"/>
      <c r="G1290" s="2"/>
      <c r="H1290" s="2"/>
      <c r="I1290" s="2"/>
    </row>
    <row r="1291" spans="1:9" x14ac:dyDescent="0.25">
      <c r="A1291" s="8" t="s">
        <v>76</v>
      </c>
      <c r="B1291" s="2"/>
      <c r="C1291" s="2"/>
      <c r="D1291" s="2"/>
      <c r="E1291" s="2"/>
      <c r="F1291" s="2"/>
      <c r="G1291" s="2"/>
      <c r="H1291" s="2"/>
      <c r="I1291" s="2"/>
    </row>
    <row r="1292" spans="1:9" ht="60" x14ac:dyDescent="0.25">
      <c r="A1292" s="1" t="s">
        <v>13</v>
      </c>
      <c r="B1292" s="5">
        <v>77.55</v>
      </c>
      <c r="C1292" s="5">
        <v>78.599999999999994</v>
      </c>
      <c r="D1292" s="5">
        <v>79.47</v>
      </c>
      <c r="E1292" s="5">
        <v>80.540000000000006</v>
      </c>
      <c r="F1292" s="5">
        <v>82.07</v>
      </c>
      <c r="G1292" s="5">
        <v>83.76</v>
      </c>
      <c r="H1292" s="5">
        <v>85.6</v>
      </c>
      <c r="I1292" s="6">
        <v>1.659662</v>
      </c>
    </row>
    <row r="1293" spans="1:9" ht="60" x14ac:dyDescent="0.25">
      <c r="A1293" s="1" t="s">
        <v>117</v>
      </c>
      <c r="B1293" s="5">
        <v>0</v>
      </c>
      <c r="C1293" s="5">
        <v>0</v>
      </c>
      <c r="D1293" s="5">
        <v>0</v>
      </c>
      <c r="E1293" s="5">
        <v>0</v>
      </c>
      <c r="F1293" s="5">
        <v>0</v>
      </c>
      <c r="G1293" s="5">
        <v>0</v>
      </c>
      <c r="H1293" s="5">
        <v>0</v>
      </c>
      <c r="I1293" s="7" t="s">
        <v>58</v>
      </c>
    </row>
    <row r="1294" spans="1:9" ht="60" x14ac:dyDescent="0.25">
      <c r="A1294" s="1" t="s">
        <v>118</v>
      </c>
      <c r="B1294" s="5">
        <v>12.42</v>
      </c>
      <c r="C1294" s="5">
        <v>11.08</v>
      </c>
      <c r="D1294" s="5">
        <v>10.1</v>
      </c>
      <c r="E1294" s="5">
        <v>9.2200000000000006</v>
      </c>
      <c r="F1294" s="5">
        <v>8.68</v>
      </c>
      <c r="G1294" s="5">
        <v>8.18</v>
      </c>
      <c r="H1294" s="5">
        <v>7.71</v>
      </c>
      <c r="I1294" s="6">
        <v>-7.6389639999999996</v>
      </c>
    </row>
    <row r="1295" spans="1:9" ht="60" x14ac:dyDescent="0.25">
      <c r="A1295" s="1" t="s">
        <v>119</v>
      </c>
      <c r="B1295" s="5">
        <v>34.5</v>
      </c>
      <c r="C1295" s="5">
        <v>36.93</v>
      </c>
      <c r="D1295" s="5">
        <v>38.799999999999997</v>
      </c>
      <c r="E1295" s="5">
        <v>40.770000000000003</v>
      </c>
      <c r="F1295" s="5">
        <v>42.85</v>
      </c>
      <c r="G1295" s="5">
        <v>45.05</v>
      </c>
      <c r="H1295" s="5">
        <v>47.36</v>
      </c>
      <c r="I1295" s="6">
        <v>5.4222060000000001</v>
      </c>
    </row>
    <row r="1296" spans="1:9" ht="60" x14ac:dyDescent="0.25">
      <c r="A1296" s="1" t="s">
        <v>120</v>
      </c>
      <c r="B1296" s="5">
        <v>0.61</v>
      </c>
      <c r="C1296" s="5">
        <v>0.6</v>
      </c>
      <c r="D1296" s="5">
        <v>0.57999999999999996</v>
      </c>
      <c r="E1296" s="5">
        <v>0.56000000000000005</v>
      </c>
      <c r="F1296" s="5">
        <v>0.55000000000000004</v>
      </c>
      <c r="G1296" s="5">
        <v>0.53</v>
      </c>
      <c r="H1296" s="5">
        <v>0.52</v>
      </c>
      <c r="I1296" s="6">
        <v>-2.6254230000000001</v>
      </c>
    </row>
    <row r="1297" spans="1:9" ht="75" x14ac:dyDescent="0.25">
      <c r="A1297" s="1" t="s">
        <v>121</v>
      </c>
      <c r="B1297" s="5">
        <v>30.01</v>
      </c>
      <c r="C1297" s="5">
        <v>30</v>
      </c>
      <c r="D1297" s="5">
        <v>29.99</v>
      </c>
      <c r="E1297" s="5">
        <v>29.99</v>
      </c>
      <c r="F1297" s="5">
        <v>29.99</v>
      </c>
      <c r="G1297" s="5">
        <v>30</v>
      </c>
      <c r="H1297" s="5">
        <v>30.01</v>
      </c>
      <c r="I1297" s="6">
        <v>0</v>
      </c>
    </row>
    <row r="1298" spans="1:9" ht="75" x14ac:dyDescent="0.25">
      <c r="A1298" s="1" t="s">
        <v>122</v>
      </c>
      <c r="B1298" s="5">
        <v>0</v>
      </c>
      <c r="C1298" s="5">
        <v>0</v>
      </c>
      <c r="D1298" s="5">
        <v>0</v>
      </c>
      <c r="E1298" s="5">
        <v>0</v>
      </c>
      <c r="F1298" s="5">
        <v>0</v>
      </c>
      <c r="G1298" s="5">
        <v>0</v>
      </c>
      <c r="H1298" s="5">
        <v>0</v>
      </c>
      <c r="I1298" s="7" t="s">
        <v>58</v>
      </c>
    </row>
    <row r="1299" spans="1:9" ht="60" x14ac:dyDescent="0.25">
      <c r="A1299" s="1" t="s">
        <v>123</v>
      </c>
      <c r="B1299" s="5">
        <v>0</v>
      </c>
      <c r="C1299" s="5">
        <v>0</v>
      </c>
      <c r="D1299" s="5">
        <v>0</v>
      </c>
      <c r="E1299" s="5">
        <v>0</v>
      </c>
      <c r="F1299" s="5">
        <v>0</v>
      </c>
      <c r="G1299" s="5">
        <v>0</v>
      </c>
      <c r="H1299" s="5">
        <v>0</v>
      </c>
      <c r="I1299" s="7" t="s">
        <v>58</v>
      </c>
    </row>
    <row r="1300" spans="1:9" ht="60" x14ac:dyDescent="0.25">
      <c r="A1300" s="1" t="s">
        <v>124</v>
      </c>
      <c r="B1300" s="5">
        <v>16.02</v>
      </c>
      <c r="C1300" s="5">
        <v>14.1</v>
      </c>
      <c r="D1300" s="5">
        <v>12.71</v>
      </c>
      <c r="E1300" s="5">
        <v>11.44</v>
      </c>
      <c r="F1300" s="5">
        <v>10.58</v>
      </c>
      <c r="G1300" s="5">
        <v>9.77</v>
      </c>
      <c r="H1300" s="5">
        <v>9</v>
      </c>
      <c r="I1300" s="6">
        <v>-9.1628849999999993</v>
      </c>
    </row>
    <row r="1301" spans="1:9" ht="60" x14ac:dyDescent="0.25">
      <c r="A1301" s="1" t="s">
        <v>125</v>
      </c>
      <c r="B1301" s="5">
        <v>44.49</v>
      </c>
      <c r="C1301" s="5">
        <v>46.98</v>
      </c>
      <c r="D1301" s="5">
        <v>48.82</v>
      </c>
      <c r="E1301" s="5">
        <v>50.62</v>
      </c>
      <c r="F1301" s="5">
        <v>52.21</v>
      </c>
      <c r="G1301" s="5">
        <v>53.78</v>
      </c>
      <c r="H1301" s="5">
        <v>55.33</v>
      </c>
      <c r="I1301" s="6">
        <v>3.7010239999999999</v>
      </c>
    </row>
    <row r="1302" spans="1:9" ht="60" x14ac:dyDescent="0.25">
      <c r="A1302" s="1" t="s">
        <v>126</v>
      </c>
      <c r="B1302" s="5">
        <v>0.79</v>
      </c>
      <c r="C1302" s="5">
        <v>0.76</v>
      </c>
      <c r="D1302" s="5">
        <v>0.73</v>
      </c>
      <c r="E1302" s="5">
        <v>0.7</v>
      </c>
      <c r="F1302" s="5">
        <v>0.67</v>
      </c>
      <c r="G1302" s="5">
        <v>0.64</v>
      </c>
      <c r="H1302" s="5">
        <v>0.6</v>
      </c>
      <c r="I1302" s="6">
        <v>-4.4815290000000001</v>
      </c>
    </row>
    <row r="1303" spans="1:9" ht="75" x14ac:dyDescent="0.25">
      <c r="A1303" s="1" t="s">
        <v>127</v>
      </c>
      <c r="B1303" s="5">
        <v>38.700000000000003</v>
      </c>
      <c r="C1303" s="5">
        <v>38.17</v>
      </c>
      <c r="D1303" s="5">
        <v>37.74</v>
      </c>
      <c r="E1303" s="5">
        <v>37.229999999999997</v>
      </c>
      <c r="F1303" s="5">
        <v>36.54</v>
      </c>
      <c r="G1303" s="5">
        <v>35.82</v>
      </c>
      <c r="H1303" s="5">
        <v>35.06</v>
      </c>
      <c r="I1303" s="6">
        <v>-1.6328339999999999</v>
      </c>
    </row>
    <row r="1304" spans="1:9" ht="60" x14ac:dyDescent="0.25">
      <c r="A1304" s="1" t="s">
        <v>128</v>
      </c>
      <c r="B1304" s="5">
        <v>0</v>
      </c>
      <c r="C1304" s="5">
        <v>0</v>
      </c>
      <c r="D1304" s="5">
        <v>0</v>
      </c>
      <c r="E1304" s="5">
        <v>0</v>
      </c>
      <c r="F1304" s="5">
        <v>0</v>
      </c>
      <c r="G1304" s="5">
        <v>0</v>
      </c>
      <c r="H1304" s="5">
        <v>0</v>
      </c>
      <c r="I1304" s="7" t="s">
        <v>58</v>
      </c>
    </row>
    <row r="1305" spans="1:9" ht="45" x14ac:dyDescent="0.25">
      <c r="A1305" s="1" t="s">
        <v>129</v>
      </c>
      <c r="B1305" s="7" t="s">
        <v>58</v>
      </c>
      <c r="C1305" s="7" t="s">
        <v>58</v>
      </c>
      <c r="D1305" s="7" t="s">
        <v>58</v>
      </c>
      <c r="E1305" s="7" t="s">
        <v>58</v>
      </c>
      <c r="F1305" s="7" t="s">
        <v>58</v>
      </c>
      <c r="G1305" s="7" t="s">
        <v>58</v>
      </c>
      <c r="H1305" s="7" t="s">
        <v>58</v>
      </c>
      <c r="I1305" s="7" t="s">
        <v>58</v>
      </c>
    </row>
    <row r="1306" spans="1:9" ht="45" x14ac:dyDescent="0.25">
      <c r="A1306" s="1" t="s">
        <v>140</v>
      </c>
      <c r="B1306" s="7" t="s">
        <v>58</v>
      </c>
      <c r="C1306" s="7" t="s">
        <v>58</v>
      </c>
      <c r="D1306" s="7" t="s">
        <v>58</v>
      </c>
      <c r="E1306" s="7" t="s">
        <v>58</v>
      </c>
      <c r="F1306" s="7" t="s">
        <v>58</v>
      </c>
      <c r="G1306" s="7" t="s">
        <v>58</v>
      </c>
      <c r="H1306" s="7" t="s">
        <v>58</v>
      </c>
      <c r="I1306" s="7" t="s">
        <v>58</v>
      </c>
    </row>
    <row r="1307" spans="1:9" ht="45" x14ac:dyDescent="0.25">
      <c r="A1307" s="1" t="s">
        <v>141</v>
      </c>
      <c r="B1307" s="7" t="s">
        <v>58</v>
      </c>
      <c r="C1307" s="7" t="s">
        <v>58</v>
      </c>
      <c r="D1307" s="7" t="s">
        <v>58</v>
      </c>
      <c r="E1307" s="7" t="s">
        <v>58</v>
      </c>
      <c r="F1307" s="7" t="s">
        <v>58</v>
      </c>
      <c r="G1307" s="7" t="s">
        <v>58</v>
      </c>
      <c r="H1307" s="7" t="s">
        <v>58</v>
      </c>
      <c r="I1307" s="7" t="s">
        <v>58</v>
      </c>
    </row>
    <row r="1308" spans="1:9" ht="45" x14ac:dyDescent="0.25">
      <c r="A1308" s="1" t="s">
        <v>142</v>
      </c>
      <c r="B1308" s="7" t="s">
        <v>58</v>
      </c>
      <c r="C1308" s="7" t="s">
        <v>58</v>
      </c>
      <c r="D1308" s="7" t="s">
        <v>58</v>
      </c>
      <c r="E1308" s="7" t="s">
        <v>58</v>
      </c>
      <c r="F1308" s="7" t="s">
        <v>58</v>
      </c>
      <c r="G1308" s="7" t="s">
        <v>58</v>
      </c>
      <c r="H1308" s="7" t="s">
        <v>58</v>
      </c>
      <c r="I1308" s="7" t="s">
        <v>58</v>
      </c>
    </row>
    <row r="1309" spans="1:9" ht="60" x14ac:dyDescent="0.25">
      <c r="A1309" s="1" t="s">
        <v>133</v>
      </c>
      <c r="B1309" s="7" t="s">
        <v>58</v>
      </c>
      <c r="C1309" s="7" t="s">
        <v>58</v>
      </c>
      <c r="D1309" s="7" t="s">
        <v>58</v>
      </c>
      <c r="E1309" s="7" t="s">
        <v>58</v>
      </c>
      <c r="F1309" s="7" t="s">
        <v>58</v>
      </c>
      <c r="G1309" s="7" t="s">
        <v>58</v>
      </c>
      <c r="H1309" s="7" t="s">
        <v>58</v>
      </c>
      <c r="I1309" s="7" t="s">
        <v>58</v>
      </c>
    </row>
    <row r="1310" spans="1:9" ht="60" x14ac:dyDescent="0.25">
      <c r="A1310" s="1" t="s">
        <v>134</v>
      </c>
      <c r="B1310" s="7" t="s">
        <v>58</v>
      </c>
      <c r="C1310" s="7" t="s">
        <v>58</v>
      </c>
      <c r="D1310" s="7" t="s">
        <v>58</v>
      </c>
      <c r="E1310" s="7" t="s">
        <v>58</v>
      </c>
      <c r="F1310" s="7" t="s">
        <v>58</v>
      </c>
      <c r="G1310" s="7" t="s">
        <v>58</v>
      </c>
      <c r="H1310" s="7" t="s">
        <v>58</v>
      </c>
      <c r="I1310" s="7" t="s">
        <v>58</v>
      </c>
    </row>
    <row r="1311" spans="1:9" x14ac:dyDescent="0.25">
      <c r="A1311" s="1" t="s">
        <v>12</v>
      </c>
      <c r="B1311" s="2"/>
      <c r="C1311" s="2"/>
      <c r="D1311" s="2"/>
      <c r="E1311" s="2"/>
      <c r="F1311" s="2"/>
      <c r="G1311" s="2"/>
      <c r="H1311" s="2"/>
      <c r="I1311" s="2"/>
    </row>
    <row r="1312" spans="1:9" ht="45" x14ac:dyDescent="0.25">
      <c r="A1312" s="8" t="s">
        <v>77</v>
      </c>
      <c r="B1312" s="2"/>
      <c r="C1312" s="2"/>
      <c r="D1312" s="2"/>
      <c r="E1312" s="2"/>
      <c r="F1312" s="2"/>
      <c r="G1312" s="2"/>
      <c r="H1312" s="2"/>
      <c r="I1312" s="2"/>
    </row>
    <row r="1313" spans="1:9" ht="60" x14ac:dyDescent="0.25">
      <c r="A1313" s="1" t="s">
        <v>13</v>
      </c>
      <c r="B1313" s="5">
        <v>28.83</v>
      </c>
      <c r="C1313" s="5">
        <v>29.31</v>
      </c>
      <c r="D1313" s="5">
        <v>29.73</v>
      </c>
      <c r="E1313" s="5">
        <v>30.29</v>
      </c>
      <c r="F1313" s="5">
        <v>32.26</v>
      </c>
      <c r="G1313" s="5">
        <v>33.04</v>
      </c>
      <c r="H1313" s="5">
        <v>33.93</v>
      </c>
      <c r="I1313" s="6">
        <v>2.7519019999999998</v>
      </c>
    </row>
    <row r="1314" spans="1:9" ht="60" x14ac:dyDescent="0.25">
      <c r="A1314" s="1" t="s">
        <v>117</v>
      </c>
      <c r="B1314" s="5">
        <v>0.21</v>
      </c>
      <c r="C1314" s="5">
        <v>0.2</v>
      </c>
      <c r="D1314" s="5">
        <v>0.2</v>
      </c>
      <c r="E1314" s="5">
        <v>0.2</v>
      </c>
      <c r="F1314" s="5">
        <v>0.19</v>
      </c>
      <c r="G1314" s="5">
        <v>0.19</v>
      </c>
      <c r="H1314" s="5">
        <v>0.18</v>
      </c>
      <c r="I1314" s="6">
        <v>-2.5364550000000001</v>
      </c>
    </row>
    <row r="1315" spans="1:9" ht="60" x14ac:dyDescent="0.25">
      <c r="A1315" s="1" t="s">
        <v>118</v>
      </c>
      <c r="B1315" s="5">
        <v>14.53</v>
      </c>
      <c r="C1315" s="5">
        <v>14.21</v>
      </c>
      <c r="D1315" s="5">
        <v>13.77</v>
      </c>
      <c r="E1315" s="5">
        <v>13.39</v>
      </c>
      <c r="F1315" s="5">
        <v>12.96</v>
      </c>
      <c r="G1315" s="5">
        <v>12.54</v>
      </c>
      <c r="H1315" s="5">
        <v>12.16</v>
      </c>
      <c r="I1315" s="6">
        <v>-2.9241220000000001</v>
      </c>
    </row>
    <row r="1316" spans="1:9" ht="60" x14ac:dyDescent="0.25">
      <c r="A1316" s="1" t="s">
        <v>119</v>
      </c>
      <c r="B1316" s="5">
        <v>11.63</v>
      </c>
      <c r="C1316" s="5">
        <v>12.38</v>
      </c>
      <c r="D1316" s="5">
        <v>13.21</v>
      </c>
      <c r="E1316" s="5">
        <v>14.14</v>
      </c>
      <c r="F1316" s="5">
        <v>16.53</v>
      </c>
      <c r="G1316" s="5">
        <v>17.75</v>
      </c>
      <c r="H1316" s="5">
        <v>19.05</v>
      </c>
      <c r="I1316" s="6">
        <v>8.572343</v>
      </c>
    </row>
    <row r="1317" spans="1:9" ht="60" x14ac:dyDescent="0.25">
      <c r="A1317" s="1" t="s">
        <v>120</v>
      </c>
      <c r="B1317" s="5">
        <v>0</v>
      </c>
      <c r="C1317" s="5">
        <v>0</v>
      </c>
      <c r="D1317" s="5">
        <v>0</v>
      </c>
      <c r="E1317" s="5">
        <v>0</v>
      </c>
      <c r="F1317" s="5">
        <v>0</v>
      </c>
      <c r="G1317" s="5">
        <v>0</v>
      </c>
      <c r="H1317" s="5">
        <v>0</v>
      </c>
      <c r="I1317" s="7" t="s">
        <v>58</v>
      </c>
    </row>
    <row r="1318" spans="1:9" ht="75" x14ac:dyDescent="0.25">
      <c r="A1318" s="1" t="s">
        <v>121</v>
      </c>
      <c r="B1318" s="5">
        <v>2.44</v>
      </c>
      <c r="C1318" s="5">
        <v>2.5</v>
      </c>
      <c r="D1318" s="5">
        <v>2.54</v>
      </c>
      <c r="E1318" s="5">
        <v>2.5499999999999998</v>
      </c>
      <c r="F1318" s="5">
        <v>2.56</v>
      </c>
      <c r="G1318" s="5">
        <v>2.5499999999999998</v>
      </c>
      <c r="H1318" s="5">
        <v>2.52</v>
      </c>
      <c r="I1318" s="6">
        <v>0.53912899999999997</v>
      </c>
    </row>
    <row r="1319" spans="1:9" ht="75" x14ac:dyDescent="0.25">
      <c r="A1319" s="1" t="s">
        <v>122</v>
      </c>
      <c r="B1319" s="5">
        <v>0.01</v>
      </c>
      <c r="C1319" s="5">
        <v>0.01</v>
      </c>
      <c r="D1319" s="5">
        <v>0.01</v>
      </c>
      <c r="E1319" s="5">
        <v>0.01</v>
      </c>
      <c r="F1319" s="5">
        <v>0.01</v>
      </c>
      <c r="G1319" s="5">
        <v>0.01</v>
      </c>
      <c r="H1319" s="5">
        <v>0.01</v>
      </c>
      <c r="I1319" s="6">
        <v>0</v>
      </c>
    </row>
    <row r="1320" spans="1:9" ht="60" x14ac:dyDescent="0.25">
      <c r="A1320" s="1" t="s">
        <v>123</v>
      </c>
      <c r="B1320" s="5">
        <v>0.73</v>
      </c>
      <c r="C1320" s="5">
        <v>0.7</v>
      </c>
      <c r="D1320" s="5">
        <v>0.67</v>
      </c>
      <c r="E1320" s="5">
        <v>0.65</v>
      </c>
      <c r="F1320" s="5">
        <v>0.59</v>
      </c>
      <c r="G1320" s="5">
        <v>0.56000000000000005</v>
      </c>
      <c r="H1320" s="5">
        <v>0.53</v>
      </c>
      <c r="I1320" s="6">
        <v>-5.1962529999999996</v>
      </c>
    </row>
    <row r="1321" spans="1:9" ht="60" x14ac:dyDescent="0.25">
      <c r="A1321" s="1" t="s">
        <v>124</v>
      </c>
      <c r="B1321" s="5">
        <v>50.39</v>
      </c>
      <c r="C1321" s="5">
        <v>48.47</v>
      </c>
      <c r="D1321" s="5">
        <v>46.32</v>
      </c>
      <c r="E1321" s="5">
        <v>44.22</v>
      </c>
      <c r="F1321" s="5">
        <v>40.17</v>
      </c>
      <c r="G1321" s="5">
        <v>37.96</v>
      </c>
      <c r="H1321" s="5">
        <v>35.85</v>
      </c>
      <c r="I1321" s="6">
        <v>-5.5161749999999996</v>
      </c>
    </row>
    <row r="1322" spans="1:9" ht="60" x14ac:dyDescent="0.25">
      <c r="A1322" s="1" t="s">
        <v>125</v>
      </c>
      <c r="B1322" s="5">
        <v>40.35</v>
      </c>
      <c r="C1322" s="5">
        <v>42.25</v>
      </c>
      <c r="D1322" s="5">
        <v>44.43</v>
      </c>
      <c r="E1322" s="5">
        <v>46.68</v>
      </c>
      <c r="F1322" s="5">
        <v>51.25</v>
      </c>
      <c r="G1322" s="5">
        <v>53.74</v>
      </c>
      <c r="H1322" s="5">
        <v>56.15</v>
      </c>
      <c r="I1322" s="6">
        <v>5.661727</v>
      </c>
    </row>
    <row r="1323" spans="1:9" ht="60" x14ac:dyDescent="0.25">
      <c r="A1323" s="1" t="s">
        <v>126</v>
      </c>
      <c r="B1323" s="5">
        <v>0</v>
      </c>
      <c r="C1323" s="5">
        <v>0</v>
      </c>
      <c r="D1323" s="5">
        <v>0</v>
      </c>
      <c r="E1323" s="5">
        <v>0</v>
      </c>
      <c r="F1323" s="5">
        <v>0</v>
      </c>
      <c r="G1323" s="5">
        <v>0</v>
      </c>
      <c r="H1323" s="5">
        <v>0</v>
      </c>
      <c r="I1323" s="7" t="s">
        <v>58</v>
      </c>
    </row>
    <row r="1324" spans="1:9" ht="75" x14ac:dyDescent="0.25">
      <c r="A1324" s="1" t="s">
        <v>127</v>
      </c>
      <c r="B1324" s="5">
        <v>8.48</v>
      </c>
      <c r="C1324" s="5">
        <v>8.5299999999999994</v>
      </c>
      <c r="D1324" s="5">
        <v>8.5299999999999994</v>
      </c>
      <c r="E1324" s="5">
        <v>8.42</v>
      </c>
      <c r="F1324" s="5">
        <v>7.95</v>
      </c>
      <c r="G1324" s="5">
        <v>7.71</v>
      </c>
      <c r="H1324" s="5">
        <v>7.44</v>
      </c>
      <c r="I1324" s="6">
        <v>-2.1570559999999999</v>
      </c>
    </row>
    <row r="1325" spans="1:9" ht="60" x14ac:dyDescent="0.25">
      <c r="A1325" s="1" t="s">
        <v>128</v>
      </c>
      <c r="B1325" s="5">
        <v>0.04</v>
      </c>
      <c r="C1325" s="5">
        <v>0.04</v>
      </c>
      <c r="D1325" s="5">
        <v>0.04</v>
      </c>
      <c r="E1325" s="5">
        <v>0.04</v>
      </c>
      <c r="F1325" s="5">
        <v>0.03</v>
      </c>
      <c r="G1325" s="5">
        <v>0.03</v>
      </c>
      <c r="H1325" s="5">
        <v>0.03</v>
      </c>
      <c r="I1325" s="6">
        <v>-4.6815709999999999</v>
      </c>
    </row>
    <row r="1326" spans="1:9" ht="45" x14ac:dyDescent="0.25">
      <c r="A1326" s="1" t="s">
        <v>129</v>
      </c>
      <c r="B1326" s="5">
        <v>11.5</v>
      </c>
      <c r="C1326" s="5">
        <v>11.72</v>
      </c>
      <c r="D1326" s="5">
        <v>12</v>
      </c>
      <c r="E1326" s="5">
        <v>12.33</v>
      </c>
      <c r="F1326" s="5">
        <v>12.37</v>
      </c>
      <c r="G1326" s="5">
        <v>12.34</v>
      </c>
      <c r="H1326" s="5">
        <v>12.51</v>
      </c>
      <c r="I1326" s="6">
        <v>1.4129100235791503</v>
      </c>
    </row>
    <row r="1327" spans="1:9" ht="45" x14ac:dyDescent="0.25">
      <c r="A1327" s="1" t="s">
        <v>140</v>
      </c>
      <c r="B1327" s="5">
        <v>118.54</v>
      </c>
      <c r="C1327" s="5">
        <v>123.91</v>
      </c>
      <c r="D1327" s="5">
        <v>128.63999999999999</v>
      </c>
      <c r="E1327" s="5">
        <v>134.13999999999999</v>
      </c>
      <c r="F1327" s="5">
        <v>140.07</v>
      </c>
      <c r="G1327" s="5">
        <v>146.34</v>
      </c>
      <c r="H1327" s="5">
        <v>154.78</v>
      </c>
      <c r="I1327" s="6">
        <v>4.5462160000000003</v>
      </c>
    </row>
    <row r="1328" spans="1:9" ht="45" x14ac:dyDescent="0.25">
      <c r="A1328" s="1" t="s">
        <v>141</v>
      </c>
      <c r="B1328" s="5">
        <v>0.6</v>
      </c>
      <c r="C1328" s="5">
        <v>0.56999999999999995</v>
      </c>
      <c r="D1328" s="5">
        <v>0.56000000000000005</v>
      </c>
      <c r="E1328" s="5">
        <v>0.55000000000000004</v>
      </c>
      <c r="F1328" s="5">
        <v>0.54</v>
      </c>
      <c r="G1328" s="5">
        <v>0.53</v>
      </c>
      <c r="H1328" s="5">
        <v>0.52</v>
      </c>
      <c r="I1328" s="6">
        <v>-2.3567969999999998</v>
      </c>
    </row>
    <row r="1329" spans="1:9" ht="45" x14ac:dyDescent="0.25">
      <c r="A1329" s="1" t="s">
        <v>142</v>
      </c>
      <c r="B1329" s="5">
        <v>25.15</v>
      </c>
      <c r="C1329" s="5">
        <v>24.74</v>
      </c>
      <c r="D1329" s="5">
        <v>24.24</v>
      </c>
      <c r="E1329" s="5">
        <v>23.77</v>
      </c>
      <c r="F1329" s="5">
        <v>22.24</v>
      </c>
      <c r="G1329" s="5">
        <v>20.79</v>
      </c>
      <c r="H1329" s="5">
        <v>20.190000000000001</v>
      </c>
      <c r="I1329" s="6">
        <v>-3.594964</v>
      </c>
    </row>
    <row r="1330" spans="1:9" ht="60" x14ac:dyDescent="0.25">
      <c r="A1330" s="1" t="s">
        <v>133</v>
      </c>
      <c r="B1330" s="7" t="s">
        <v>58</v>
      </c>
      <c r="C1330" s="7" t="s">
        <v>58</v>
      </c>
      <c r="D1330" s="7" t="s">
        <v>58</v>
      </c>
      <c r="E1330" s="7" t="s">
        <v>58</v>
      </c>
      <c r="F1330" s="7" t="s">
        <v>58</v>
      </c>
      <c r="G1330" s="7" t="s">
        <v>58</v>
      </c>
      <c r="H1330" s="7" t="s">
        <v>58</v>
      </c>
      <c r="I1330" s="7" t="s">
        <v>58</v>
      </c>
    </row>
    <row r="1331" spans="1:9" ht="60" x14ac:dyDescent="0.25">
      <c r="A1331" s="1" t="s">
        <v>134</v>
      </c>
      <c r="B1331" s="7" t="s">
        <v>58</v>
      </c>
      <c r="C1331" s="7" t="s">
        <v>58</v>
      </c>
      <c r="D1331" s="7" t="s">
        <v>58</v>
      </c>
      <c r="E1331" s="7" t="s">
        <v>58</v>
      </c>
      <c r="F1331" s="7" t="s">
        <v>58</v>
      </c>
      <c r="G1331" s="7" t="s">
        <v>58</v>
      </c>
      <c r="H1331" s="7" t="s">
        <v>58</v>
      </c>
      <c r="I1331" s="7" t="s">
        <v>58</v>
      </c>
    </row>
    <row r="1332" spans="1:9" x14ac:dyDescent="0.25">
      <c r="A1332" s="1" t="s">
        <v>12</v>
      </c>
      <c r="B1332" s="2"/>
      <c r="C1332" s="2"/>
      <c r="D1332" s="2"/>
      <c r="E1332" s="2"/>
      <c r="F1332" s="2"/>
      <c r="G1332" s="2"/>
      <c r="H1332" s="2"/>
      <c r="I1332" s="2"/>
    </row>
    <row r="1333" spans="1:9" ht="45" x14ac:dyDescent="0.25">
      <c r="A1333" s="8" t="s">
        <v>78</v>
      </c>
      <c r="B1333" s="2"/>
      <c r="C1333" s="2"/>
      <c r="D1333" s="2"/>
      <c r="E1333" s="2"/>
      <c r="F1333" s="2"/>
      <c r="G1333" s="2"/>
      <c r="H1333" s="2"/>
      <c r="I1333" s="2"/>
    </row>
    <row r="1334" spans="1:9" ht="60" x14ac:dyDescent="0.25">
      <c r="A1334" s="1" t="s">
        <v>13</v>
      </c>
      <c r="B1334" s="5">
        <v>53.27</v>
      </c>
      <c r="C1334" s="5">
        <v>54.59</v>
      </c>
      <c r="D1334" s="5">
        <v>55.87</v>
      </c>
      <c r="E1334" s="5">
        <v>57.46</v>
      </c>
      <c r="F1334" s="5">
        <v>59.43</v>
      </c>
      <c r="G1334" s="5">
        <v>61.81</v>
      </c>
      <c r="H1334" s="5">
        <v>64.64</v>
      </c>
      <c r="I1334" s="6">
        <v>3.2768799999999998</v>
      </c>
    </row>
    <row r="1335" spans="1:9" ht="60" x14ac:dyDescent="0.25">
      <c r="A1335" s="1" t="s">
        <v>117</v>
      </c>
      <c r="B1335" s="5">
        <v>7.51</v>
      </c>
      <c r="C1335" s="5">
        <v>7.25</v>
      </c>
      <c r="D1335" s="5">
        <v>7</v>
      </c>
      <c r="E1335" s="5">
        <v>6.76</v>
      </c>
      <c r="F1335" s="5">
        <v>6.53</v>
      </c>
      <c r="G1335" s="5">
        <v>6.32</v>
      </c>
      <c r="H1335" s="5">
        <v>6.11</v>
      </c>
      <c r="I1335" s="6">
        <v>-3.3800340000000002</v>
      </c>
    </row>
    <row r="1336" spans="1:9" ht="60" x14ac:dyDescent="0.25">
      <c r="A1336" s="1" t="s">
        <v>118</v>
      </c>
      <c r="B1336" s="5">
        <v>14.06</v>
      </c>
      <c r="C1336" s="5">
        <v>12.84</v>
      </c>
      <c r="D1336" s="5">
        <v>11.74</v>
      </c>
      <c r="E1336" s="5">
        <v>10.76</v>
      </c>
      <c r="F1336" s="5">
        <v>9.8699999999999992</v>
      </c>
      <c r="G1336" s="5">
        <v>9.08</v>
      </c>
      <c r="H1336" s="5">
        <v>8.3699999999999992</v>
      </c>
      <c r="I1336" s="6">
        <v>-8.2815539999999999</v>
      </c>
    </row>
    <row r="1337" spans="1:9" ht="60" x14ac:dyDescent="0.25">
      <c r="A1337" s="1" t="s">
        <v>119</v>
      </c>
      <c r="B1337" s="5">
        <v>30.47</v>
      </c>
      <c r="C1337" s="5">
        <v>33.36</v>
      </c>
      <c r="D1337" s="5">
        <v>36.049999999999997</v>
      </c>
      <c r="E1337" s="5">
        <v>38.94</v>
      </c>
      <c r="F1337" s="5">
        <v>42.08</v>
      </c>
      <c r="G1337" s="5">
        <v>45.53</v>
      </c>
      <c r="H1337" s="5">
        <v>49.33</v>
      </c>
      <c r="I1337" s="6">
        <v>8.3610260000000007</v>
      </c>
    </row>
    <row r="1338" spans="1:9" ht="60" x14ac:dyDescent="0.25">
      <c r="A1338" s="1" t="s">
        <v>120</v>
      </c>
      <c r="B1338" s="5">
        <v>0</v>
      </c>
      <c r="C1338" s="5">
        <v>0</v>
      </c>
      <c r="D1338" s="5">
        <v>0</v>
      </c>
      <c r="E1338" s="5">
        <v>0</v>
      </c>
      <c r="F1338" s="5">
        <v>0</v>
      </c>
      <c r="G1338" s="5">
        <v>0</v>
      </c>
      <c r="H1338" s="5">
        <v>0</v>
      </c>
      <c r="I1338" s="7" t="s">
        <v>58</v>
      </c>
    </row>
    <row r="1339" spans="1:9" ht="75" x14ac:dyDescent="0.25">
      <c r="A1339" s="1" t="s">
        <v>121</v>
      </c>
      <c r="B1339" s="5">
        <v>0.81</v>
      </c>
      <c r="C1339" s="5">
        <v>0.75</v>
      </c>
      <c r="D1339" s="5">
        <v>0.7</v>
      </c>
      <c r="E1339" s="5">
        <v>0.65</v>
      </c>
      <c r="F1339" s="5">
        <v>0.61</v>
      </c>
      <c r="G1339" s="5">
        <v>0.56999999999999995</v>
      </c>
      <c r="H1339" s="5">
        <v>0.53</v>
      </c>
      <c r="I1339" s="6">
        <v>-6.8251989999999996</v>
      </c>
    </row>
    <row r="1340" spans="1:9" ht="75" x14ac:dyDescent="0.25">
      <c r="A1340" s="1" t="s">
        <v>122</v>
      </c>
      <c r="B1340" s="5">
        <v>0.43</v>
      </c>
      <c r="C1340" s="5">
        <v>0.4</v>
      </c>
      <c r="D1340" s="5">
        <v>0.38</v>
      </c>
      <c r="E1340" s="5">
        <v>0.35</v>
      </c>
      <c r="F1340" s="5">
        <v>0.33</v>
      </c>
      <c r="G1340" s="5">
        <v>0.32</v>
      </c>
      <c r="H1340" s="5">
        <v>0.3</v>
      </c>
      <c r="I1340" s="6">
        <v>-5.8235900000000003</v>
      </c>
    </row>
    <row r="1341" spans="1:9" ht="60" x14ac:dyDescent="0.25">
      <c r="A1341" s="1" t="s">
        <v>123</v>
      </c>
      <c r="B1341" s="5">
        <v>14.09</v>
      </c>
      <c r="C1341" s="5">
        <v>13.27</v>
      </c>
      <c r="D1341" s="5">
        <v>12.52</v>
      </c>
      <c r="E1341" s="5">
        <v>11.76</v>
      </c>
      <c r="F1341" s="5">
        <v>11</v>
      </c>
      <c r="G1341" s="5">
        <v>10.220000000000001</v>
      </c>
      <c r="H1341" s="5">
        <v>9.4600000000000009</v>
      </c>
      <c r="I1341" s="6">
        <v>-6.4242410000000003</v>
      </c>
    </row>
    <row r="1342" spans="1:9" ht="60" x14ac:dyDescent="0.25">
      <c r="A1342" s="1" t="s">
        <v>124</v>
      </c>
      <c r="B1342" s="5">
        <v>26.39</v>
      </c>
      <c r="C1342" s="5">
        <v>23.51</v>
      </c>
      <c r="D1342" s="5">
        <v>21.02</v>
      </c>
      <c r="E1342" s="5">
        <v>18.72</v>
      </c>
      <c r="F1342" s="5">
        <v>16.62</v>
      </c>
      <c r="G1342" s="5">
        <v>14.69</v>
      </c>
      <c r="H1342" s="5">
        <v>12.95</v>
      </c>
      <c r="I1342" s="6">
        <v>-11.187984</v>
      </c>
    </row>
    <row r="1343" spans="1:9" ht="60" x14ac:dyDescent="0.25">
      <c r="A1343" s="1" t="s">
        <v>125</v>
      </c>
      <c r="B1343" s="5">
        <v>57.19</v>
      </c>
      <c r="C1343" s="5">
        <v>61.1</v>
      </c>
      <c r="D1343" s="5">
        <v>64.53</v>
      </c>
      <c r="E1343" s="5">
        <v>67.760000000000005</v>
      </c>
      <c r="F1343" s="5">
        <v>70.8</v>
      </c>
      <c r="G1343" s="5">
        <v>73.66</v>
      </c>
      <c r="H1343" s="5">
        <v>76.31</v>
      </c>
      <c r="I1343" s="6">
        <v>4.9244960000000004</v>
      </c>
    </row>
    <row r="1344" spans="1:9" ht="60" x14ac:dyDescent="0.25">
      <c r="A1344" s="1" t="s">
        <v>126</v>
      </c>
      <c r="B1344" s="5">
        <v>0</v>
      </c>
      <c r="C1344" s="5">
        <v>0</v>
      </c>
      <c r="D1344" s="5">
        <v>0</v>
      </c>
      <c r="E1344" s="5">
        <v>0</v>
      </c>
      <c r="F1344" s="5">
        <v>0</v>
      </c>
      <c r="G1344" s="5">
        <v>0</v>
      </c>
      <c r="H1344" s="5">
        <v>0</v>
      </c>
      <c r="I1344" s="7" t="s">
        <v>58</v>
      </c>
    </row>
    <row r="1345" spans="1:9" ht="75" x14ac:dyDescent="0.25">
      <c r="A1345" s="1" t="s">
        <v>127</v>
      </c>
      <c r="B1345" s="5">
        <v>1.52</v>
      </c>
      <c r="C1345" s="5">
        <v>1.38</v>
      </c>
      <c r="D1345" s="5">
        <v>1.25</v>
      </c>
      <c r="E1345" s="5">
        <v>1.1399999999999999</v>
      </c>
      <c r="F1345" s="5">
        <v>1.02</v>
      </c>
      <c r="G1345" s="5">
        <v>0.92</v>
      </c>
      <c r="H1345" s="5">
        <v>0.82</v>
      </c>
      <c r="I1345" s="6">
        <v>-9.7746910000000007</v>
      </c>
    </row>
    <row r="1346" spans="1:9" ht="60" x14ac:dyDescent="0.25">
      <c r="A1346" s="1" t="s">
        <v>128</v>
      </c>
      <c r="B1346" s="5">
        <v>0.81</v>
      </c>
      <c r="C1346" s="5">
        <v>0.74</v>
      </c>
      <c r="D1346" s="5">
        <v>0.67</v>
      </c>
      <c r="E1346" s="5">
        <v>0.62</v>
      </c>
      <c r="F1346" s="5">
        <v>0.56000000000000005</v>
      </c>
      <c r="G1346" s="5">
        <v>0.51</v>
      </c>
      <c r="H1346" s="5">
        <v>0.46</v>
      </c>
      <c r="I1346" s="6">
        <v>-8.9991459999999996</v>
      </c>
    </row>
    <row r="1347" spans="1:9" ht="45" x14ac:dyDescent="0.25">
      <c r="A1347" s="1" t="s">
        <v>129</v>
      </c>
      <c r="B1347" s="7" t="s">
        <v>58</v>
      </c>
      <c r="C1347" s="7" t="s">
        <v>58</v>
      </c>
      <c r="D1347" s="7" t="s">
        <v>58</v>
      </c>
      <c r="E1347" s="7" t="s">
        <v>58</v>
      </c>
      <c r="F1347" s="7" t="s">
        <v>58</v>
      </c>
      <c r="G1347" s="7" t="s">
        <v>58</v>
      </c>
      <c r="H1347" s="7" t="s">
        <v>58</v>
      </c>
      <c r="I1347" s="7" t="s">
        <v>58</v>
      </c>
    </row>
    <row r="1348" spans="1:9" ht="45" x14ac:dyDescent="0.25">
      <c r="A1348" s="1" t="s">
        <v>140</v>
      </c>
      <c r="B1348" s="7" t="s">
        <v>58</v>
      </c>
      <c r="C1348" s="7" t="s">
        <v>58</v>
      </c>
      <c r="D1348" s="7" t="s">
        <v>58</v>
      </c>
      <c r="E1348" s="7" t="s">
        <v>58</v>
      </c>
      <c r="F1348" s="7" t="s">
        <v>58</v>
      </c>
      <c r="G1348" s="7" t="s">
        <v>58</v>
      </c>
      <c r="H1348" s="7" t="s">
        <v>58</v>
      </c>
      <c r="I1348" s="7" t="s">
        <v>58</v>
      </c>
    </row>
    <row r="1349" spans="1:9" ht="45" x14ac:dyDescent="0.25">
      <c r="A1349" s="1" t="s">
        <v>141</v>
      </c>
      <c r="B1349" s="7" t="s">
        <v>58</v>
      </c>
      <c r="C1349" s="7" t="s">
        <v>58</v>
      </c>
      <c r="D1349" s="7" t="s">
        <v>58</v>
      </c>
      <c r="E1349" s="7" t="s">
        <v>58</v>
      </c>
      <c r="F1349" s="7" t="s">
        <v>58</v>
      </c>
      <c r="G1349" s="7" t="s">
        <v>58</v>
      </c>
      <c r="H1349" s="7" t="s">
        <v>58</v>
      </c>
      <c r="I1349" s="7" t="s">
        <v>58</v>
      </c>
    </row>
    <row r="1350" spans="1:9" ht="45" x14ac:dyDescent="0.25">
      <c r="A1350" s="1" t="s">
        <v>142</v>
      </c>
      <c r="B1350" s="7" t="s">
        <v>58</v>
      </c>
      <c r="C1350" s="7" t="s">
        <v>58</v>
      </c>
      <c r="D1350" s="7" t="s">
        <v>58</v>
      </c>
      <c r="E1350" s="7" t="s">
        <v>58</v>
      </c>
      <c r="F1350" s="7" t="s">
        <v>58</v>
      </c>
      <c r="G1350" s="7" t="s">
        <v>58</v>
      </c>
      <c r="H1350" s="7" t="s">
        <v>58</v>
      </c>
      <c r="I1350" s="7" t="s">
        <v>58</v>
      </c>
    </row>
    <row r="1351" spans="1:9" ht="60" x14ac:dyDescent="0.25">
      <c r="A1351" s="1" t="s">
        <v>133</v>
      </c>
      <c r="B1351" s="7" t="s">
        <v>58</v>
      </c>
      <c r="C1351" s="7" t="s">
        <v>58</v>
      </c>
      <c r="D1351" s="7" t="s">
        <v>58</v>
      </c>
      <c r="E1351" s="7" t="s">
        <v>58</v>
      </c>
      <c r="F1351" s="7" t="s">
        <v>58</v>
      </c>
      <c r="G1351" s="7" t="s">
        <v>58</v>
      </c>
      <c r="H1351" s="7" t="s">
        <v>58</v>
      </c>
      <c r="I1351" s="7" t="s">
        <v>58</v>
      </c>
    </row>
    <row r="1352" spans="1:9" ht="60" x14ac:dyDescent="0.25">
      <c r="A1352" s="1" t="s">
        <v>134</v>
      </c>
      <c r="B1352" s="7" t="s">
        <v>58</v>
      </c>
      <c r="C1352" s="7" t="s">
        <v>58</v>
      </c>
      <c r="D1352" s="7" t="s">
        <v>58</v>
      </c>
      <c r="E1352" s="7" t="s">
        <v>58</v>
      </c>
      <c r="F1352" s="7" t="s">
        <v>58</v>
      </c>
      <c r="G1352" s="7" t="s">
        <v>58</v>
      </c>
      <c r="H1352" s="7" t="s">
        <v>58</v>
      </c>
      <c r="I1352" s="7" t="s">
        <v>58</v>
      </c>
    </row>
    <row r="1353" spans="1:9" x14ac:dyDescent="0.25">
      <c r="A1353" s="1" t="s">
        <v>12</v>
      </c>
      <c r="B1353" s="2"/>
      <c r="C1353" s="2"/>
      <c r="D1353" s="2"/>
      <c r="E1353" s="2"/>
      <c r="F1353" s="2"/>
      <c r="G1353" s="2"/>
      <c r="H1353" s="2"/>
      <c r="I1353" s="2"/>
    </row>
    <row r="1354" spans="1:9" ht="60" x14ac:dyDescent="0.25">
      <c r="A1354" s="8" t="s">
        <v>79</v>
      </c>
      <c r="B1354" s="2"/>
      <c r="C1354" s="2"/>
      <c r="D1354" s="2"/>
      <c r="E1354" s="2"/>
      <c r="F1354" s="2"/>
      <c r="G1354" s="2"/>
      <c r="H1354" s="2"/>
      <c r="I1354" s="2"/>
    </row>
    <row r="1355" spans="1:9" ht="60" x14ac:dyDescent="0.25">
      <c r="A1355" s="1" t="s">
        <v>13</v>
      </c>
      <c r="B1355" s="7" t="s">
        <v>58</v>
      </c>
      <c r="C1355" s="7" t="s">
        <v>58</v>
      </c>
      <c r="D1355" s="7" t="s">
        <v>58</v>
      </c>
      <c r="E1355" s="7" t="s">
        <v>58</v>
      </c>
      <c r="F1355" s="7" t="s">
        <v>58</v>
      </c>
      <c r="G1355" s="7" t="s">
        <v>58</v>
      </c>
      <c r="H1355" s="7" t="s">
        <v>58</v>
      </c>
      <c r="I1355" s="7" t="s">
        <v>58</v>
      </c>
    </row>
    <row r="1356" spans="1:9" ht="60" x14ac:dyDescent="0.25">
      <c r="A1356" s="1" t="s">
        <v>117</v>
      </c>
      <c r="B1356" s="7" t="s">
        <v>58</v>
      </c>
      <c r="C1356" s="7" t="s">
        <v>58</v>
      </c>
      <c r="D1356" s="7" t="s">
        <v>58</v>
      </c>
      <c r="E1356" s="7" t="s">
        <v>58</v>
      </c>
      <c r="F1356" s="7" t="s">
        <v>58</v>
      </c>
      <c r="G1356" s="7" t="s">
        <v>58</v>
      </c>
      <c r="H1356" s="7" t="s">
        <v>58</v>
      </c>
      <c r="I1356" s="7" t="s">
        <v>58</v>
      </c>
    </row>
    <row r="1357" spans="1:9" ht="60" x14ac:dyDescent="0.25">
      <c r="A1357" s="1" t="s">
        <v>118</v>
      </c>
      <c r="B1357" s="7" t="s">
        <v>58</v>
      </c>
      <c r="C1357" s="7" t="s">
        <v>58</v>
      </c>
      <c r="D1357" s="7" t="s">
        <v>58</v>
      </c>
      <c r="E1357" s="7" t="s">
        <v>58</v>
      </c>
      <c r="F1357" s="7" t="s">
        <v>58</v>
      </c>
      <c r="G1357" s="7" t="s">
        <v>58</v>
      </c>
      <c r="H1357" s="7" t="s">
        <v>58</v>
      </c>
      <c r="I1357" s="7" t="s">
        <v>58</v>
      </c>
    </row>
    <row r="1358" spans="1:9" ht="60" x14ac:dyDescent="0.25">
      <c r="A1358" s="1" t="s">
        <v>119</v>
      </c>
      <c r="B1358" s="7" t="s">
        <v>58</v>
      </c>
      <c r="C1358" s="7" t="s">
        <v>58</v>
      </c>
      <c r="D1358" s="7" t="s">
        <v>58</v>
      </c>
      <c r="E1358" s="7" t="s">
        <v>58</v>
      </c>
      <c r="F1358" s="7" t="s">
        <v>58</v>
      </c>
      <c r="G1358" s="7" t="s">
        <v>58</v>
      </c>
      <c r="H1358" s="7" t="s">
        <v>58</v>
      </c>
      <c r="I1358" s="7" t="s">
        <v>58</v>
      </c>
    </row>
    <row r="1359" spans="1:9" ht="60" x14ac:dyDescent="0.25">
      <c r="A1359" s="1" t="s">
        <v>120</v>
      </c>
      <c r="B1359" s="7" t="s">
        <v>58</v>
      </c>
      <c r="C1359" s="7" t="s">
        <v>58</v>
      </c>
      <c r="D1359" s="7" t="s">
        <v>58</v>
      </c>
      <c r="E1359" s="7" t="s">
        <v>58</v>
      </c>
      <c r="F1359" s="7" t="s">
        <v>58</v>
      </c>
      <c r="G1359" s="7" t="s">
        <v>58</v>
      </c>
      <c r="H1359" s="7" t="s">
        <v>58</v>
      </c>
      <c r="I1359" s="7" t="s">
        <v>58</v>
      </c>
    </row>
    <row r="1360" spans="1:9" ht="75" x14ac:dyDescent="0.25">
      <c r="A1360" s="1" t="s">
        <v>121</v>
      </c>
      <c r="B1360" s="7" t="s">
        <v>58</v>
      </c>
      <c r="C1360" s="7" t="s">
        <v>58</v>
      </c>
      <c r="D1360" s="7" t="s">
        <v>58</v>
      </c>
      <c r="E1360" s="7" t="s">
        <v>58</v>
      </c>
      <c r="F1360" s="7" t="s">
        <v>58</v>
      </c>
      <c r="G1360" s="7" t="s">
        <v>58</v>
      </c>
      <c r="H1360" s="7" t="s">
        <v>58</v>
      </c>
      <c r="I1360" s="7" t="s">
        <v>58</v>
      </c>
    </row>
    <row r="1361" spans="1:9" ht="75" x14ac:dyDescent="0.25">
      <c r="A1361" s="1" t="s">
        <v>122</v>
      </c>
      <c r="B1361" s="7" t="s">
        <v>58</v>
      </c>
      <c r="C1361" s="7" t="s">
        <v>58</v>
      </c>
      <c r="D1361" s="7" t="s">
        <v>58</v>
      </c>
      <c r="E1361" s="7" t="s">
        <v>58</v>
      </c>
      <c r="F1361" s="7" t="s">
        <v>58</v>
      </c>
      <c r="G1361" s="7" t="s">
        <v>58</v>
      </c>
      <c r="H1361" s="7" t="s">
        <v>58</v>
      </c>
      <c r="I1361" s="7" t="s">
        <v>58</v>
      </c>
    </row>
    <row r="1362" spans="1:9" ht="60" x14ac:dyDescent="0.25">
      <c r="A1362" s="1" t="s">
        <v>123</v>
      </c>
      <c r="B1362" s="7" t="s">
        <v>58</v>
      </c>
      <c r="C1362" s="7" t="s">
        <v>58</v>
      </c>
      <c r="D1362" s="7" t="s">
        <v>58</v>
      </c>
      <c r="E1362" s="7" t="s">
        <v>58</v>
      </c>
      <c r="F1362" s="7" t="s">
        <v>58</v>
      </c>
      <c r="G1362" s="7" t="s">
        <v>58</v>
      </c>
      <c r="H1362" s="7" t="s">
        <v>58</v>
      </c>
      <c r="I1362" s="7" t="s">
        <v>58</v>
      </c>
    </row>
    <row r="1363" spans="1:9" ht="60" x14ac:dyDescent="0.25">
      <c r="A1363" s="1" t="s">
        <v>124</v>
      </c>
      <c r="B1363" s="7" t="s">
        <v>58</v>
      </c>
      <c r="C1363" s="7" t="s">
        <v>58</v>
      </c>
      <c r="D1363" s="7" t="s">
        <v>58</v>
      </c>
      <c r="E1363" s="7" t="s">
        <v>58</v>
      </c>
      <c r="F1363" s="7" t="s">
        <v>58</v>
      </c>
      <c r="G1363" s="7" t="s">
        <v>58</v>
      </c>
      <c r="H1363" s="7" t="s">
        <v>58</v>
      </c>
      <c r="I1363" s="7" t="s">
        <v>58</v>
      </c>
    </row>
    <row r="1364" spans="1:9" ht="60" x14ac:dyDescent="0.25">
      <c r="A1364" s="1" t="s">
        <v>125</v>
      </c>
      <c r="B1364" s="7" t="s">
        <v>58</v>
      </c>
      <c r="C1364" s="7" t="s">
        <v>58</v>
      </c>
      <c r="D1364" s="7" t="s">
        <v>58</v>
      </c>
      <c r="E1364" s="7" t="s">
        <v>58</v>
      </c>
      <c r="F1364" s="7" t="s">
        <v>58</v>
      </c>
      <c r="G1364" s="7" t="s">
        <v>58</v>
      </c>
      <c r="H1364" s="7" t="s">
        <v>58</v>
      </c>
      <c r="I1364" s="7" t="s">
        <v>58</v>
      </c>
    </row>
    <row r="1365" spans="1:9" ht="60" x14ac:dyDescent="0.25">
      <c r="A1365" s="1" t="s">
        <v>126</v>
      </c>
      <c r="B1365" s="7" t="s">
        <v>58</v>
      </c>
      <c r="C1365" s="7" t="s">
        <v>58</v>
      </c>
      <c r="D1365" s="7" t="s">
        <v>58</v>
      </c>
      <c r="E1365" s="7" t="s">
        <v>58</v>
      </c>
      <c r="F1365" s="7" t="s">
        <v>58</v>
      </c>
      <c r="G1365" s="7" t="s">
        <v>58</v>
      </c>
      <c r="H1365" s="7" t="s">
        <v>58</v>
      </c>
      <c r="I1365" s="7" t="s">
        <v>58</v>
      </c>
    </row>
    <row r="1366" spans="1:9" ht="75" x14ac:dyDescent="0.25">
      <c r="A1366" s="1" t="s">
        <v>127</v>
      </c>
      <c r="B1366" s="7" t="s">
        <v>58</v>
      </c>
      <c r="C1366" s="7" t="s">
        <v>58</v>
      </c>
      <c r="D1366" s="7" t="s">
        <v>58</v>
      </c>
      <c r="E1366" s="7" t="s">
        <v>58</v>
      </c>
      <c r="F1366" s="7" t="s">
        <v>58</v>
      </c>
      <c r="G1366" s="7" t="s">
        <v>58</v>
      </c>
      <c r="H1366" s="7" t="s">
        <v>58</v>
      </c>
      <c r="I1366" s="7" t="s">
        <v>58</v>
      </c>
    </row>
    <row r="1367" spans="1:9" ht="60" x14ac:dyDescent="0.25">
      <c r="A1367" s="1" t="s">
        <v>128</v>
      </c>
      <c r="B1367" s="7" t="s">
        <v>58</v>
      </c>
      <c r="C1367" s="7" t="s">
        <v>58</v>
      </c>
      <c r="D1367" s="7" t="s">
        <v>58</v>
      </c>
      <c r="E1367" s="7" t="s">
        <v>58</v>
      </c>
      <c r="F1367" s="7" t="s">
        <v>58</v>
      </c>
      <c r="G1367" s="7" t="s">
        <v>58</v>
      </c>
      <c r="H1367" s="7" t="s">
        <v>58</v>
      </c>
      <c r="I1367" s="7" t="s">
        <v>58</v>
      </c>
    </row>
    <row r="1368" spans="1:9" ht="45" x14ac:dyDescent="0.25">
      <c r="A1368" s="1" t="s">
        <v>129</v>
      </c>
      <c r="B1368" s="7" t="s">
        <v>58</v>
      </c>
      <c r="C1368" s="7" t="s">
        <v>58</v>
      </c>
      <c r="D1368" s="7" t="s">
        <v>58</v>
      </c>
      <c r="E1368" s="7" t="s">
        <v>58</v>
      </c>
      <c r="F1368" s="7" t="s">
        <v>58</v>
      </c>
      <c r="G1368" s="7" t="s">
        <v>58</v>
      </c>
      <c r="H1368" s="7" t="s">
        <v>58</v>
      </c>
      <c r="I1368" s="7" t="s">
        <v>58</v>
      </c>
    </row>
    <row r="1369" spans="1:9" ht="45" x14ac:dyDescent="0.25">
      <c r="A1369" s="1" t="s">
        <v>140</v>
      </c>
      <c r="B1369" s="7" t="s">
        <v>58</v>
      </c>
      <c r="C1369" s="7" t="s">
        <v>58</v>
      </c>
      <c r="D1369" s="7" t="s">
        <v>58</v>
      </c>
      <c r="E1369" s="7" t="s">
        <v>58</v>
      </c>
      <c r="F1369" s="7" t="s">
        <v>58</v>
      </c>
      <c r="G1369" s="7" t="s">
        <v>58</v>
      </c>
      <c r="H1369" s="7" t="s">
        <v>58</v>
      </c>
      <c r="I1369" s="7" t="s">
        <v>58</v>
      </c>
    </row>
    <row r="1370" spans="1:9" ht="45" x14ac:dyDescent="0.25">
      <c r="A1370" s="1" t="s">
        <v>141</v>
      </c>
      <c r="B1370" s="7" t="s">
        <v>58</v>
      </c>
      <c r="C1370" s="7" t="s">
        <v>58</v>
      </c>
      <c r="D1370" s="7" t="s">
        <v>58</v>
      </c>
      <c r="E1370" s="7" t="s">
        <v>58</v>
      </c>
      <c r="F1370" s="7" t="s">
        <v>58</v>
      </c>
      <c r="G1370" s="7" t="s">
        <v>58</v>
      </c>
      <c r="H1370" s="7" t="s">
        <v>58</v>
      </c>
      <c r="I1370" s="7" t="s">
        <v>58</v>
      </c>
    </row>
    <row r="1371" spans="1:9" ht="45" x14ac:dyDescent="0.25">
      <c r="A1371" s="1" t="s">
        <v>142</v>
      </c>
      <c r="B1371" s="7" t="s">
        <v>58</v>
      </c>
      <c r="C1371" s="7" t="s">
        <v>58</v>
      </c>
      <c r="D1371" s="7" t="s">
        <v>58</v>
      </c>
      <c r="E1371" s="7" t="s">
        <v>58</v>
      </c>
      <c r="F1371" s="7" t="s">
        <v>58</v>
      </c>
      <c r="G1371" s="7" t="s">
        <v>58</v>
      </c>
      <c r="H1371" s="7" t="s">
        <v>58</v>
      </c>
      <c r="I1371" s="7" t="s">
        <v>58</v>
      </c>
    </row>
    <row r="1372" spans="1:9" ht="60" x14ac:dyDescent="0.25">
      <c r="A1372" s="1" t="s">
        <v>133</v>
      </c>
      <c r="B1372" s="7" t="s">
        <v>58</v>
      </c>
      <c r="C1372" s="7" t="s">
        <v>58</v>
      </c>
      <c r="D1372" s="7" t="s">
        <v>58</v>
      </c>
      <c r="E1372" s="7" t="s">
        <v>58</v>
      </c>
      <c r="F1372" s="7" t="s">
        <v>58</v>
      </c>
      <c r="G1372" s="7" t="s">
        <v>58</v>
      </c>
      <c r="H1372" s="7" t="s">
        <v>58</v>
      </c>
      <c r="I1372" s="7" t="s">
        <v>58</v>
      </c>
    </row>
    <row r="1373" spans="1:9" ht="60" x14ac:dyDescent="0.25">
      <c r="A1373" s="1" t="s">
        <v>134</v>
      </c>
      <c r="B1373" s="7" t="s">
        <v>58</v>
      </c>
      <c r="C1373" s="7" t="s">
        <v>58</v>
      </c>
      <c r="D1373" s="7" t="s">
        <v>58</v>
      </c>
      <c r="E1373" s="7" t="s">
        <v>58</v>
      </c>
      <c r="F1373" s="7" t="s">
        <v>58</v>
      </c>
      <c r="G1373" s="7" t="s">
        <v>58</v>
      </c>
      <c r="H1373" s="7" t="s">
        <v>58</v>
      </c>
      <c r="I1373" s="7" t="s">
        <v>58</v>
      </c>
    </row>
    <row r="1374" spans="1:9" x14ac:dyDescent="0.25">
      <c r="A1374" s="1" t="s">
        <v>12</v>
      </c>
      <c r="B1374" s="2"/>
      <c r="C1374" s="2"/>
      <c r="D1374" s="2"/>
      <c r="E1374" s="2"/>
      <c r="F1374" s="2"/>
      <c r="G1374" s="2"/>
      <c r="H1374" s="2"/>
      <c r="I1374" s="2"/>
    </row>
    <row r="1375" spans="1:9" ht="45" x14ac:dyDescent="0.25">
      <c r="A1375" s="8" t="s">
        <v>80</v>
      </c>
      <c r="B1375" s="2"/>
      <c r="C1375" s="2"/>
      <c r="D1375" s="2"/>
      <c r="E1375" s="2"/>
      <c r="F1375" s="2"/>
      <c r="G1375" s="2"/>
      <c r="H1375" s="2"/>
      <c r="I1375" s="2"/>
    </row>
    <row r="1376" spans="1:9" ht="60" x14ac:dyDescent="0.25">
      <c r="A1376" s="1" t="s">
        <v>13</v>
      </c>
      <c r="B1376" s="7" t="s">
        <v>58</v>
      </c>
      <c r="C1376" s="7" t="s">
        <v>58</v>
      </c>
      <c r="D1376" s="7" t="s">
        <v>58</v>
      </c>
      <c r="E1376" s="7" t="s">
        <v>58</v>
      </c>
      <c r="F1376" s="7" t="s">
        <v>58</v>
      </c>
      <c r="G1376" s="7" t="s">
        <v>58</v>
      </c>
      <c r="H1376" s="7" t="s">
        <v>58</v>
      </c>
      <c r="I1376" s="7" t="s">
        <v>58</v>
      </c>
    </row>
    <row r="1377" spans="1:9" ht="60" x14ac:dyDescent="0.25">
      <c r="A1377" s="1" t="s">
        <v>117</v>
      </c>
      <c r="B1377" s="7" t="s">
        <v>58</v>
      </c>
      <c r="C1377" s="7" t="s">
        <v>58</v>
      </c>
      <c r="D1377" s="7" t="s">
        <v>58</v>
      </c>
      <c r="E1377" s="7" t="s">
        <v>58</v>
      </c>
      <c r="F1377" s="7" t="s">
        <v>58</v>
      </c>
      <c r="G1377" s="7" t="s">
        <v>58</v>
      </c>
      <c r="H1377" s="7" t="s">
        <v>58</v>
      </c>
      <c r="I1377" s="7" t="s">
        <v>58</v>
      </c>
    </row>
    <row r="1378" spans="1:9" ht="60" x14ac:dyDescent="0.25">
      <c r="A1378" s="1" t="s">
        <v>118</v>
      </c>
      <c r="B1378" s="7" t="s">
        <v>58</v>
      </c>
      <c r="C1378" s="7" t="s">
        <v>58</v>
      </c>
      <c r="D1378" s="7" t="s">
        <v>58</v>
      </c>
      <c r="E1378" s="7" t="s">
        <v>58</v>
      </c>
      <c r="F1378" s="7" t="s">
        <v>58</v>
      </c>
      <c r="G1378" s="7" t="s">
        <v>58</v>
      </c>
      <c r="H1378" s="7" t="s">
        <v>58</v>
      </c>
      <c r="I1378" s="7" t="s">
        <v>58</v>
      </c>
    </row>
    <row r="1379" spans="1:9" ht="60" x14ac:dyDescent="0.25">
      <c r="A1379" s="1" t="s">
        <v>119</v>
      </c>
      <c r="B1379" s="7" t="s">
        <v>58</v>
      </c>
      <c r="C1379" s="7" t="s">
        <v>58</v>
      </c>
      <c r="D1379" s="7" t="s">
        <v>58</v>
      </c>
      <c r="E1379" s="7" t="s">
        <v>58</v>
      </c>
      <c r="F1379" s="7" t="s">
        <v>58</v>
      </c>
      <c r="G1379" s="7" t="s">
        <v>58</v>
      </c>
      <c r="H1379" s="7" t="s">
        <v>58</v>
      </c>
      <c r="I1379" s="7" t="s">
        <v>58</v>
      </c>
    </row>
    <row r="1380" spans="1:9" ht="60" x14ac:dyDescent="0.25">
      <c r="A1380" s="1" t="s">
        <v>120</v>
      </c>
      <c r="B1380" s="7" t="s">
        <v>58</v>
      </c>
      <c r="C1380" s="7" t="s">
        <v>58</v>
      </c>
      <c r="D1380" s="7" t="s">
        <v>58</v>
      </c>
      <c r="E1380" s="7" t="s">
        <v>58</v>
      </c>
      <c r="F1380" s="7" t="s">
        <v>58</v>
      </c>
      <c r="G1380" s="7" t="s">
        <v>58</v>
      </c>
      <c r="H1380" s="7" t="s">
        <v>58</v>
      </c>
      <c r="I1380" s="7" t="s">
        <v>58</v>
      </c>
    </row>
    <row r="1381" spans="1:9" ht="75" x14ac:dyDescent="0.25">
      <c r="A1381" s="1" t="s">
        <v>121</v>
      </c>
      <c r="B1381" s="7" t="s">
        <v>58</v>
      </c>
      <c r="C1381" s="7" t="s">
        <v>58</v>
      </c>
      <c r="D1381" s="7" t="s">
        <v>58</v>
      </c>
      <c r="E1381" s="7" t="s">
        <v>58</v>
      </c>
      <c r="F1381" s="7" t="s">
        <v>58</v>
      </c>
      <c r="G1381" s="7" t="s">
        <v>58</v>
      </c>
      <c r="H1381" s="7" t="s">
        <v>58</v>
      </c>
      <c r="I1381" s="7" t="s">
        <v>58</v>
      </c>
    </row>
    <row r="1382" spans="1:9" ht="75" x14ac:dyDescent="0.25">
      <c r="A1382" s="1" t="s">
        <v>122</v>
      </c>
      <c r="B1382" s="7" t="s">
        <v>58</v>
      </c>
      <c r="C1382" s="7" t="s">
        <v>58</v>
      </c>
      <c r="D1382" s="7" t="s">
        <v>58</v>
      </c>
      <c r="E1382" s="7" t="s">
        <v>58</v>
      </c>
      <c r="F1382" s="7" t="s">
        <v>58</v>
      </c>
      <c r="G1382" s="7" t="s">
        <v>58</v>
      </c>
      <c r="H1382" s="7" t="s">
        <v>58</v>
      </c>
      <c r="I1382" s="7" t="s">
        <v>58</v>
      </c>
    </row>
    <row r="1383" spans="1:9" ht="60" x14ac:dyDescent="0.25">
      <c r="A1383" s="1" t="s">
        <v>123</v>
      </c>
      <c r="B1383" s="7" t="s">
        <v>58</v>
      </c>
      <c r="C1383" s="7" t="s">
        <v>58</v>
      </c>
      <c r="D1383" s="7" t="s">
        <v>58</v>
      </c>
      <c r="E1383" s="7" t="s">
        <v>58</v>
      </c>
      <c r="F1383" s="7" t="s">
        <v>58</v>
      </c>
      <c r="G1383" s="7" t="s">
        <v>58</v>
      </c>
      <c r="H1383" s="7" t="s">
        <v>58</v>
      </c>
      <c r="I1383" s="7" t="s">
        <v>58</v>
      </c>
    </row>
    <row r="1384" spans="1:9" ht="60" x14ac:dyDescent="0.25">
      <c r="A1384" s="1" t="s">
        <v>124</v>
      </c>
      <c r="B1384" s="7" t="s">
        <v>58</v>
      </c>
      <c r="C1384" s="7" t="s">
        <v>58</v>
      </c>
      <c r="D1384" s="7" t="s">
        <v>58</v>
      </c>
      <c r="E1384" s="7" t="s">
        <v>58</v>
      </c>
      <c r="F1384" s="7" t="s">
        <v>58</v>
      </c>
      <c r="G1384" s="7" t="s">
        <v>58</v>
      </c>
      <c r="H1384" s="7" t="s">
        <v>58</v>
      </c>
      <c r="I1384" s="7" t="s">
        <v>58</v>
      </c>
    </row>
    <row r="1385" spans="1:9" ht="60" x14ac:dyDescent="0.25">
      <c r="A1385" s="1" t="s">
        <v>125</v>
      </c>
      <c r="B1385" s="7" t="s">
        <v>58</v>
      </c>
      <c r="C1385" s="7" t="s">
        <v>58</v>
      </c>
      <c r="D1385" s="7" t="s">
        <v>58</v>
      </c>
      <c r="E1385" s="7" t="s">
        <v>58</v>
      </c>
      <c r="F1385" s="7" t="s">
        <v>58</v>
      </c>
      <c r="G1385" s="7" t="s">
        <v>58</v>
      </c>
      <c r="H1385" s="7" t="s">
        <v>58</v>
      </c>
      <c r="I1385" s="7" t="s">
        <v>58</v>
      </c>
    </row>
    <row r="1386" spans="1:9" ht="60" x14ac:dyDescent="0.25">
      <c r="A1386" s="1" t="s">
        <v>126</v>
      </c>
      <c r="B1386" s="7" t="s">
        <v>58</v>
      </c>
      <c r="C1386" s="7" t="s">
        <v>58</v>
      </c>
      <c r="D1386" s="7" t="s">
        <v>58</v>
      </c>
      <c r="E1386" s="7" t="s">
        <v>58</v>
      </c>
      <c r="F1386" s="7" t="s">
        <v>58</v>
      </c>
      <c r="G1386" s="7" t="s">
        <v>58</v>
      </c>
      <c r="H1386" s="7" t="s">
        <v>58</v>
      </c>
      <c r="I1386" s="7" t="s">
        <v>58</v>
      </c>
    </row>
    <row r="1387" spans="1:9" ht="75" x14ac:dyDescent="0.25">
      <c r="A1387" s="1" t="s">
        <v>127</v>
      </c>
      <c r="B1387" s="7" t="s">
        <v>58</v>
      </c>
      <c r="C1387" s="7" t="s">
        <v>58</v>
      </c>
      <c r="D1387" s="7" t="s">
        <v>58</v>
      </c>
      <c r="E1387" s="7" t="s">
        <v>58</v>
      </c>
      <c r="F1387" s="7" t="s">
        <v>58</v>
      </c>
      <c r="G1387" s="7" t="s">
        <v>58</v>
      </c>
      <c r="H1387" s="7" t="s">
        <v>58</v>
      </c>
      <c r="I1387" s="7" t="s">
        <v>58</v>
      </c>
    </row>
    <row r="1388" spans="1:9" ht="60" x14ac:dyDescent="0.25">
      <c r="A1388" s="1" t="s">
        <v>128</v>
      </c>
      <c r="B1388" s="7" t="s">
        <v>58</v>
      </c>
      <c r="C1388" s="7" t="s">
        <v>58</v>
      </c>
      <c r="D1388" s="7" t="s">
        <v>58</v>
      </c>
      <c r="E1388" s="7" t="s">
        <v>58</v>
      </c>
      <c r="F1388" s="7" t="s">
        <v>58</v>
      </c>
      <c r="G1388" s="7" t="s">
        <v>58</v>
      </c>
      <c r="H1388" s="7" t="s">
        <v>58</v>
      </c>
      <c r="I1388" s="7" t="s">
        <v>58</v>
      </c>
    </row>
    <row r="1389" spans="1:9" ht="45" x14ac:dyDescent="0.25">
      <c r="A1389" s="1" t="s">
        <v>129</v>
      </c>
      <c r="B1389" s="7" t="s">
        <v>58</v>
      </c>
      <c r="C1389" s="7" t="s">
        <v>58</v>
      </c>
      <c r="D1389" s="7" t="s">
        <v>58</v>
      </c>
      <c r="E1389" s="7" t="s">
        <v>58</v>
      </c>
      <c r="F1389" s="7" t="s">
        <v>58</v>
      </c>
      <c r="G1389" s="7" t="s">
        <v>58</v>
      </c>
      <c r="H1389" s="7" t="s">
        <v>58</v>
      </c>
      <c r="I1389" s="7" t="s">
        <v>58</v>
      </c>
    </row>
    <row r="1390" spans="1:9" ht="45" x14ac:dyDescent="0.25">
      <c r="A1390" s="1" t="s">
        <v>140</v>
      </c>
      <c r="B1390" s="7" t="s">
        <v>58</v>
      </c>
      <c r="C1390" s="7" t="s">
        <v>58</v>
      </c>
      <c r="D1390" s="7" t="s">
        <v>58</v>
      </c>
      <c r="E1390" s="7" t="s">
        <v>58</v>
      </c>
      <c r="F1390" s="7" t="s">
        <v>58</v>
      </c>
      <c r="G1390" s="7" t="s">
        <v>58</v>
      </c>
      <c r="H1390" s="7" t="s">
        <v>58</v>
      </c>
      <c r="I1390" s="7" t="s">
        <v>58</v>
      </c>
    </row>
    <row r="1391" spans="1:9" ht="45" x14ac:dyDescent="0.25">
      <c r="A1391" s="1" t="s">
        <v>141</v>
      </c>
      <c r="B1391" s="7" t="s">
        <v>58</v>
      </c>
      <c r="C1391" s="7" t="s">
        <v>58</v>
      </c>
      <c r="D1391" s="7" t="s">
        <v>58</v>
      </c>
      <c r="E1391" s="7" t="s">
        <v>58</v>
      </c>
      <c r="F1391" s="7" t="s">
        <v>58</v>
      </c>
      <c r="G1391" s="7" t="s">
        <v>58</v>
      </c>
      <c r="H1391" s="7" t="s">
        <v>58</v>
      </c>
      <c r="I1391" s="7" t="s">
        <v>58</v>
      </c>
    </row>
    <row r="1392" spans="1:9" ht="45" x14ac:dyDescent="0.25">
      <c r="A1392" s="1" t="s">
        <v>142</v>
      </c>
      <c r="B1392" s="7" t="s">
        <v>58</v>
      </c>
      <c r="C1392" s="7" t="s">
        <v>58</v>
      </c>
      <c r="D1392" s="7" t="s">
        <v>58</v>
      </c>
      <c r="E1392" s="7" t="s">
        <v>58</v>
      </c>
      <c r="F1392" s="7" t="s">
        <v>58</v>
      </c>
      <c r="G1392" s="7" t="s">
        <v>58</v>
      </c>
      <c r="H1392" s="7" t="s">
        <v>58</v>
      </c>
      <c r="I1392" s="7" t="s">
        <v>58</v>
      </c>
    </row>
    <row r="1393" spans="1:9" ht="60" x14ac:dyDescent="0.25">
      <c r="A1393" s="1" t="s">
        <v>133</v>
      </c>
      <c r="B1393" s="7" t="s">
        <v>58</v>
      </c>
      <c r="C1393" s="7" t="s">
        <v>58</v>
      </c>
      <c r="D1393" s="7" t="s">
        <v>58</v>
      </c>
      <c r="E1393" s="7" t="s">
        <v>58</v>
      </c>
      <c r="F1393" s="7" t="s">
        <v>58</v>
      </c>
      <c r="G1393" s="7" t="s">
        <v>58</v>
      </c>
      <c r="H1393" s="7" t="s">
        <v>58</v>
      </c>
      <c r="I1393" s="7" t="s">
        <v>58</v>
      </c>
    </row>
    <row r="1394" spans="1:9" ht="60" x14ac:dyDescent="0.25">
      <c r="A1394" s="1" t="s">
        <v>134</v>
      </c>
      <c r="B1394" s="7" t="s">
        <v>58</v>
      </c>
      <c r="C1394" s="7" t="s">
        <v>58</v>
      </c>
      <c r="D1394" s="7" t="s">
        <v>58</v>
      </c>
      <c r="E1394" s="7" t="s">
        <v>58</v>
      </c>
      <c r="F1394" s="7" t="s">
        <v>58</v>
      </c>
      <c r="G1394" s="7" t="s">
        <v>58</v>
      </c>
      <c r="H1394" s="7" t="s">
        <v>58</v>
      </c>
      <c r="I1394" s="7" t="s">
        <v>58</v>
      </c>
    </row>
    <row r="1395" spans="1:9" x14ac:dyDescent="0.25">
      <c r="A1395" s="1" t="s">
        <v>12</v>
      </c>
      <c r="B1395" s="2"/>
      <c r="C1395" s="2"/>
      <c r="D1395" s="2"/>
      <c r="E1395" s="2"/>
      <c r="F1395" s="2"/>
      <c r="G1395" s="2"/>
      <c r="H1395" s="2"/>
      <c r="I1395" s="2"/>
    </row>
    <row r="1396" spans="1:9" ht="45" x14ac:dyDescent="0.25">
      <c r="A1396" s="8" t="s">
        <v>81</v>
      </c>
      <c r="B1396" s="2"/>
      <c r="C1396" s="2"/>
      <c r="D1396" s="2"/>
      <c r="E1396" s="2"/>
      <c r="F1396" s="2"/>
      <c r="G1396" s="2"/>
      <c r="H1396" s="2"/>
      <c r="I1396" s="2"/>
    </row>
    <row r="1397" spans="1:9" ht="60" x14ac:dyDescent="0.25">
      <c r="A1397" s="1" t="s">
        <v>13</v>
      </c>
      <c r="B1397" s="5">
        <v>95.31</v>
      </c>
      <c r="C1397" s="5">
        <v>95.52</v>
      </c>
      <c r="D1397" s="5">
        <v>95.61</v>
      </c>
      <c r="E1397" s="5">
        <v>95.65</v>
      </c>
      <c r="F1397" s="5">
        <v>95.67</v>
      </c>
      <c r="G1397" s="5">
        <v>95.76</v>
      </c>
      <c r="H1397" s="5">
        <v>95.85</v>
      </c>
      <c r="I1397" s="6">
        <v>9.4206999999999999E-2</v>
      </c>
    </row>
    <row r="1398" spans="1:9" ht="60" x14ac:dyDescent="0.25">
      <c r="A1398" s="1" t="s">
        <v>117</v>
      </c>
      <c r="B1398" s="5">
        <v>20.95</v>
      </c>
      <c r="C1398" s="5">
        <v>21.02</v>
      </c>
      <c r="D1398" s="5">
        <v>21.09</v>
      </c>
      <c r="E1398" s="5">
        <v>21.15</v>
      </c>
      <c r="F1398" s="5">
        <v>20.53</v>
      </c>
      <c r="G1398" s="5">
        <v>20.170000000000002</v>
      </c>
      <c r="H1398" s="5">
        <v>19.82</v>
      </c>
      <c r="I1398" s="6">
        <v>-0.91986199999999996</v>
      </c>
    </row>
    <row r="1399" spans="1:9" ht="60" x14ac:dyDescent="0.25">
      <c r="A1399" s="1" t="s">
        <v>118</v>
      </c>
      <c r="B1399" s="5">
        <v>17.2</v>
      </c>
      <c r="C1399" s="5">
        <v>14.43</v>
      </c>
      <c r="D1399" s="5">
        <v>11.86</v>
      </c>
      <c r="E1399" s="5">
        <v>9.83</v>
      </c>
      <c r="F1399" s="5">
        <v>9.44</v>
      </c>
      <c r="G1399" s="5">
        <v>9.1</v>
      </c>
      <c r="H1399" s="5">
        <v>8.7899999999999991</v>
      </c>
      <c r="I1399" s="6">
        <v>-10.585063999999999</v>
      </c>
    </row>
    <row r="1400" spans="1:9" ht="60" x14ac:dyDescent="0.25">
      <c r="A1400" s="1" t="s">
        <v>119</v>
      </c>
      <c r="B1400" s="5">
        <v>55.36</v>
      </c>
      <c r="C1400" s="5">
        <v>58.31</v>
      </c>
      <c r="D1400" s="5">
        <v>60.96</v>
      </c>
      <c r="E1400" s="5">
        <v>63.03</v>
      </c>
      <c r="F1400" s="5">
        <v>64.09</v>
      </c>
      <c r="G1400" s="5">
        <v>64.92</v>
      </c>
      <c r="H1400" s="5">
        <v>65.72</v>
      </c>
      <c r="I1400" s="6">
        <v>2.9003640000000002</v>
      </c>
    </row>
    <row r="1401" spans="1:9" ht="60" x14ac:dyDescent="0.25">
      <c r="A1401" s="1" t="s">
        <v>120</v>
      </c>
      <c r="B1401" s="5">
        <v>0</v>
      </c>
      <c r="C1401" s="5">
        <v>0</v>
      </c>
      <c r="D1401" s="5">
        <v>0</v>
      </c>
      <c r="E1401" s="5">
        <v>0</v>
      </c>
      <c r="F1401" s="5">
        <v>0</v>
      </c>
      <c r="G1401" s="5">
        <v>0</v>
      </c>
      <c r="H1401" s="5">
        <v>0</v>
      </c>
      <c r="I1401" s="7" t="s">
        <v>58</v>
      </c>
    </row>
    <row r="1402" spans="1:9" ht="75" x14ac:dyDescent="0.25">
      <c r="A1402" s="1" t="s">
        <v>121</v>
      </c>
      <c r="B1402" s="5">
        <v>1.81</v>
      </c>
      <c r="C1402" s="5">
        <v>1.75</v>
      </c>
      <c r="D1402" s="5">
        <v>1.7</v>
      </c>
      <c r="E1402" s="5">
        <v>1.65</v>
      </c>
      <c r="F1402" s="5">
        <v>1.61</v>
      </c>
      <c r="G1402" s="5">
        <v>1.56</v>
      </c>
      <c r="H1402" s="5">
        <v>1.52</v>
      </c>
      <c r="I1402" s="6">
        <v>-2.8683350000000001</v>
      </c>
    </row>
    <row r="1403" spans="1:9" ht="75" x14ac:dyDescent="0.25">
      <c r="A1403" s="1" t="s">
        <v>122</v>
      </c>
      <c r="B1403" s="5">
        <v>0</v>
      </c>
      <c r="C1403" s="5">
        <v>0</v>
      </c>
      <c r="D1403" s="5">
        <v>0</v>
      </c>
      <c r="E1403" s="5">
        <v>0</v>
      </c>
      <c r="F1403" s="5">
        <v>0</v>
      </c>
      <c r="G1403" s="5">
        <v>0</v>
      </c>
      <c r="H1403" s="5">
        <v>0</v>
      </c>
      <c r="I1403" s="7" t="s">
        <v>58</v>
      </c>
    </row>
    <row r="1404" spans="1:9" ht="60" x14ac:dyDescent="0.25">
      <c r="A1404" s="1" t="s">
        <v>123</v>
      </c>
      <c r="B1404" s="5">
        <v>21.98</v>
      </c>
      <c r="C1404" s="5">
        <v>22.01</v>
      </c>
      <c r="D1404" s="5">
        <v>22.06</v>
      </c>
      <c r="E1404" s="5">
        <v>22.11</v>
      </c>
      <c r="F1404" s="5">
        <v>21.46</v>
      </c>
      <c r="G1404" s="5">
        <v>21.07</v>
      </c>
      <c r="H1404" s="5">
        <v>20.68</v>
      </c>
      <c r="I1404" s="6">
        <v>-1.010953</v>
      </c>
    </row>
    <row r="1405" spans="1:9" ht="60" x14ac:dyDescent="0.25">
      <c r="A1405" s="1" t="s">
        <v>124</v>
      </c>
      <c r="B1405" s="5">
        <v>18.05</v>
      </c>
      <c r="C1405" s="5">
        <v>15.11</v>
      </c>
      <c r="D1405" s="5">
        <v>12.4</v>
      </c>
      <c r="E1405" s="5">
        <v>10.27</v>
      </c>
      <c r="F1405" s="5">
        <v>9.8699999999999992</v>
      </c>
      <c r="G1405" s="5">
        <v>9.51</v>
      </c>
      <c r="H1405" s="5">
        <v>9.17</v>
      </c>
      <c r="I1405" s="6">
        <v>-10.67315</v>
      </c>
    </row>
    <row r="1406" spans="1:9" ht="60" x14ac:dyDescent="0.25">
      <c r="A1406" s="1" t="s">
        <v>125</v>
      </c>
      <c r="B1406" s="5">
        <v>58.08</v>
      </c>
      <c r="C1406" s="5">
        <v>61.05</v>
      </c>
      <c r="D1406" s="5">
        <v>63.75</v>
      </c>
      <c r="E1406" s="5">
        <v>65.89</v>
      </c>
      <c r="F1406" s="5">
        <v>66.989999999999995</v>
      </c>
      <c r="G1406" s="5">
        <v>67.790000000000006</v>
      </c>
      <c r="H1406" s="5">
        <v>68.569999999999993</v>
      </c>
      <c r="I1406" s="6">
        <v>2.8058730000000001</v>
      </c>
    </row>
    <row r="1407" spans="1:9" ht="60" x14ac:dyDescent="0.25">
      <c r="A1407" s="1" t="s">
        <v>126</v>
      </c>
      <c r="B1407" s="5">
        <v>0</v>
      </c>
      <c r="C1407" s="5">
        <v>0</v>
      </c>
      <c r="D1407" s="5">
        <v>0</v>
      </c>
      <c r="E1407" s="5">
        <v>0</v>
      </c>
      <c r="F1407" s="5">
        <v>0</v>
      </c>
      <c r="G1407" s="5">
        <v>0</v>
      </c>
      <c r="H1407" s="5">
        <v>0</v>
      </c>
      <c r="I1407" s="7" t="s">
        <v>58</v>
      </c>
    </row>
    <row r="1408" spans="1:9" ht="75" x14ac:dyDescent="0.25">
      <c r="A1408" s="1" t="s">
        <v>127</v>
      </c>
      <c r="B1408" s="5">
        <v>1.89</v>
      </c>
      <c r="C1408" s="5">
        <v>1.83</v>
      </c>
      <c r="D1408" s="5">
        <v>1.78</v>
      </c>
      <c r="E1408" s="5">
        <v>1.73</v>
      </c>
      <c r="F1408" s="5">
        <v>1.68</v>
      </c>
      <c r="G1408" s="5">
        <v>1.63</v>
      </c>
      <c r="H1408" s="5">
        <v>1.59</v>
      </c>
      <c r="I1408" s="6">
        <v>-2.8396170000000001</v>
      </c>
    </row>
    <row r="1409" spans="1:9" ht="60" x14ac:dyDescent="0.25">
      <c r="A1409" s="1" t="s">
        <v>128</v>
      </c>
      <c r="B1409" s="5">
        <v>0</v>
      </c>
      <c r="C1409" s="5">
        <v>0</v>
      </c>
      <c r="D1409" s="5">
        <v>0</v>
      </c>
      <c r="E1409" s="5">
        <v>0</v>
      </c>
      <c r="F1409" s="5">
        <v>0</v>
      </c>
      <c r="G1409" s="5">
        <v>0</v>
      </c>
      <c r="H1409" s="5">
        <v>0</v>
      </c>
      <c r="I1409" s="7" t="s">
        <v>58</v>
      </c>
    </row>
    <row r="1410" spans="1:9" ht="45" x14ac:dyDescent="0.25">
      <c r="A1410" s="1" t="s">
        <v>129</v>
      </c>
      <c r="B1410" s="7" t="s">
        <v>58</v>
      </c>
      <c r="C1410" s="7" t="s">
        <v>58</v>
      </c>
      <c r="D1410" s="7" t="s">
        <v>58</v>
      </c>
      <c r="E1410" s="7" t="s">
        <v>58</v>
      </c>
      <c r="F1410" s="7" t="s">
        <v>58</v>
      </c>
      <c r="G1410" s="7" t="s">
        <v>58</v>
      </c>
      <c r="H1410" s="7" t="s">
        <v>58</v>
      </c>
      <c r="I1410" s="7" t="s">
        <v>58</v>
      </c>
    </row>
    <row r="1411" spans="1:9" ht="45" x14ac:dyDescent="0.25">
      <c r="A1411" s="1" t="s">
        <v>140</v>
      </c>
      <c r="B1411" s="7" t="s">
        <v>58</v>
      </c>
      <c r="C1411" s="7" t="s">
        <v>58</v>
      </c>
      <c r="D1411" s="7" t="s">
        <v>58</v>
      </c>
      <c r="E1411" s="7" t="s">
        <v>58</v>
      </c>
      <c r="F1411" s="7" t="s">
        <v>58</v>
      </c>
      <c r="G1411" s="7" t="s">
        <v>58</v>
      </c>
      <c r="H1411" s="7" t="s">
        <v>58</v>
      </c>
      <c r="I1411" s="7" t="s">
        <v>58</v>
      </c>
    </row>
    <row r="1412" spans="1:9" ht="45" x14ac:dyDescent="0.25">
      <c r="A1412" s="1" t="s">
        <v>141</v>
      </c>
      <c r="B1412" s="7" t="s">
        <v>58</v>
      </c>
      <c r="C1412" s="7" t="s">
        <v>58</v>
      </c>
      <c r="D1412" s="7" t="s">
        <v>58</v>
      </c>
      <c r="E1412" s="7" t="s">
        <v>58</v>
      </c>
      <c r="F1412" s="7" t="s">
        <v>58</v>
      </c>
      <c r="G1412" s="7" t="s">
        <v>58</v>
      </c>
      <c r="H1412" s="7" t="s">
        <v>58</v>
      </c>
      <c r="I1412" s="7" t="s">
        <v>58</v>
      </c>
    </row>
    <row r="1413" spans="1:9" ht="45" x14ac:dyDescent="0.25">
      <c r="A1413" s="1" t="s">
        <v>142</v>
      </c>
      <c r="B1413" s="7" t="s">
        <v>58</v>
      </c>
      <c r="C1413" s="7" t="s">
        <v>58</v>
      </c>
      <c r="D1413" s="7" t="s">
        <v>58</v>
      </c>
      <c r="E1413" s="7" t="s">
        <v>58</v>
      </c>
      <c r="F1413" s="7" t="s">
        <v>58</v>
      </c>
      <c r="G1413" s="7" t="s">
        <v>58</v>
      </c>
      <c r="H1413" s="7" t="s">
        <v>58</v>
      </c>
      <c r="I1413" s="7" t="s">
        <v>58</v>
      </c>
    </row>
    <row r="1414" spans="1:9" ht="60" x14ac:dyDescent="0.25">
      <c r="A1414" s="1" t="s">
        <v>133</v>
      </c>
      <c r="B1414" s="7" t="s">
        <v>58</v>
      </c>
      <c r="C1414" s="7" t="s">
        <v>58</v>
      </c>
      <c r="D1414" s="7" t="s">
        <v>58</v>
      </c>
      <c r="E1414" s="7" t="s">
        <v>58</v>
      </c>
      <c r="F1414" s="7" t="s">
        <v>58</v>
      </c>
      <c r="G1414" s="7" t="s">
        <v>58</v>
      </c>
      <c r="H1414" s="7" t="s">
        <v>58</v>
      </c>
      <c r="I1414" s="7" t="s">
        <v>58</v>
      </c>
    </row>
    <row r="1415" spans="1:9" ht="60" x14ac:dyDescent="0.25">
      <c r="A1415" s="1" t="s">
        <v>134</v>
      </c>
      <c r="B1415" s="7" t="s">
        <v>58</v>
      </c>
      <c r="C1415" s="7" t="s">
        <v>58</v>
      </c>
      <c r="D1415" s="7" t="s">
        <v>58</v>
      </c>
      <c r="E1415" s="7" t="s">
        <v>58</v>
      </c>
      <c r="F1415" s="7" t="s">
        <v>58</v>
      </c>
      <c r="G1415" s="7" t="s">
        <v>58</v>
      </c>
      <c r="H1415" s="7" t="s">
        <v>58</v>
      </c>
      <c r="I1415" s="7" t="s">
        <v>58</v>
      </c>
    </row>
    <row r="1416" spans="1:9" x14ac:dyDescent="0.25">
      <c r="A1416" s="1" t="s">
        <v>12</v>
      </c>
      <c r="B1416" s="2"/>
      <c r="C1416" s="2"/>
      <c r="D1416" s="2"/>
      <c r="E1416" s="2"/>
      <c r="F1416" s="2"/>
      <c r="G1416" s="2"/>
      <c r="H1416" s="2"/>
      <c r="I1416" s="2"/>
    </row>
    <row r="1417" spans="1:9" x14ac:dyDescent="0.25">
      <c r="A1417" s="8" t="s">
        <v>82</v>
      </c>
      <c r="B1417" s="2"/>
      <c r="C1417" s="2"/>
      <c r="D1417" s="2"/>
      <c r="E1417" s="2"/>
      <c r="F1417" s="2"/>
      <c r="G1417" s="2"/>
      <c r="H1417" s="2"/>
      <c r="I1417" s="2"/>
    </row>
    <row r="1418" spans="1:9" ht="60" x14ac:dyDescent="0.25">
      <c r="A1418" s="1" t="s">
        <v>13</v>
      </c>
      <c r="B1418" s="5">
        <v>9.7899999999999991</v>
      </c>
      <c r="C1418" s="5">
        <v>10.87</v>
      </c>
      <c r="D1418" s="5">
        <v>12.02</v>
      </c>
      <c r="E1418" s="5">
        <v>13.45</v>
      </c>
      <c r="F1418" s="5">
        <v>14.58</v>
      </c>
      <c r="G1418" s="5">
        <v>15.57</v>
      </c>
      <c r="H1418" s="5">
        <v>16.579999999999998</v>
      </c>
      <c r="I1418" s="6">
        <v>9.1776239999999998</v>
      </c>
    </row>
    <row r="1419" spans="1:9" ht="60" x14ac:dyDescent="0.25">
      <c r="A1419" s="1" t="s">
        <v>117</v>
      </c>
      <c r="B1419" s="5">
        <v>7.0000000000000007E-2</v>
      </c>
      <c r="C1419" s="5">
        <v>0.06</v>
      </c>
      <c r="D1419" s="5">
        <v>0.09</v>
      </c>
      <c r="E1419" s="5">
        <v>0.1</v>
      </c>
      <c r="F1419" s="5">
        <v>0.08</v>
      </c>
      <c r="G1419" s="5">
        <v>0.08</v>
      </c>
      <c r="H1419" s="5">
        <v>0.08</v>
      </c>
      <c r="I1419" s="6">
        <v>2.2504729999999999</v>
      </c>
    </row>
    <row r="1420" spans="1:9" ht="60" x14ac:dyDescent="0.25">
      <c r="A1420" s="1" t="s">
        <v>118</v>
      </c>
      <c r="B1420" s="5">
        <v>4.2699999999999996</v>
      </c>
      <c r="C1420" s="5">
        <v>4.1399999999999997</v>
      </c>
      <c r="D1420" s="5">
        <v>4.13</v>
      </c>
      <c r="E1420" s="5">
        <v>4.21</v>
      </c>
      <c r="F1420" s="5">
        <v>4.22</v>
      </c>
      <c r="G1420" s="5">
        <v>4.01</v>
      </c>
      <c r="H1420" s="5">
        <v>3.81</v>
      </c>
      <c r="I1420" s="6">
        <v>-1.881813</v>
      </c>
    </row>
    <row r="1421" spans="1:9" ht="60" x14ac:dyDescent="0.25">
      <c r="A1421" s="1" t="s">
        <v>119</v>
      </c>
      <c r="B1421" s="5">
        <v>3.65</v>
      </c>
      <c r="C1421" s="5">
        <v>4.83</v>
      </c>
      <c r="D1421" s="5">
        <v>5.91</v>
      </c>
      <c r="E1421" s="5">
        <v>7.19</v>
      </c>
      <c r="F1421" s="5">
        <v>8.33</v>
      </c>
      <c r="G1421" s="5">
        <v>9.5</v>
      </c>
      <c r="H1421" s="5">
        <v>10.66</v>
      </c>
      <c r="I1421" s="6">
        <v>19.557656000000001</v>
      </c>
    </row>
    <row r="1422" spans="1:9" ht="60" x14ac:dyDescent="0.25">
      <c r="A1422" s="1" t="s">
        <v>120</v>
      </c>
      <c r="B1422" s="5">
        <v>0</v>
      </c>
      <c r="C1422" s="5">
        <v>0</v>
      </c>
      <c r="D1422" s="5">
        <v>0</v>
      </c>
      <c r="E1422" s="5">
        <v>0</v>
      </c>
      <c r="F1422" s="5">
        <v>0</v>
      </c>
      <c r="G1422" s="5">
        <v>0</v>
      </c>
      <c r="H1422" s="5">
        <v>0</v>
      </c>
      <c r="I1422" s="7" t="s">
        <v>58</v>
      </c>
    </row>
    <row r="1423" spans="1:9" ht="75" x14ac:dyDescent="0.25">
      <c r="A1423" s="1" t="s">
        <v>121</v>
      </c>
      <c r="B1423" s="5">
        <v>1.8</v>
      </c>
      <c r="C1423" s="5">
        <v>1.85</v>
      </c>
      <c r="D1423" s="5">
        <v>1.88</v>
      </c>
      <c r="E1423" s="5">
        <v>1.95</v>
      </c>
      <c r="F1423" s="5">
        <v>1.96</v>
      </c>
      <c r="G1423" s="5">
        <v>1.98</v>
      </c>
      <c r="H1423" s="5">
        <v>2.0299999999999998</v>
      </c>
      <c r="I1423" s="6">
        <v>2.0243699999999998</v>
      </c>
    </row>
    <row r="1424" spans="1:9" ht="75" x14ac:dyDescent="0.25">
      <c r="A1424" s="1" t="s">
        <v>122</v>
      </c>
      <c r="B1424" s="5">
        <v>0</v>
      </c>
      <c r="C1424" s="5">
        <v>0</v>
      </c>
      <c r="D1424" s="5">
        <v>0</v>
      </c>
      <c r="E1424" s="5">
        <v>0</v>
      </c>
      <c r="F1424" s="5">
        <v>0</v>
      </c>
      <c r="G1424" s="5">
        <v>0</v>
      </c>
      <c r="H1424" s="5">
        <v>0</v>
      </c>
      <c r="I1424" s="7" t="s">
        <v>58</v>
      </c>
    </row>
    <row r="1425" spans="1:9" ht="60" x14ac:dyDescent="0.25">
      <c r="A1425" s="1" t="s">
        <v>123</v>
      </c>
      <c r="B1425" s="5">
        <v>0.73</v>
      </c>
      <c r="C1425" s="5">
        <v>0.52</v>
      </c>
      <c r="D1425" s="5">
        <v>0.75</v>
      </c>
      <c r="E1425" s="5">
        <v>0.74</v>
      </c>
      <c r="F1425" s="5">
        <v>0.53</v>
      </c>
      <c r="G1425" s="5">
        <v>0.51</v>
      </c>
      <c r="H1425" s="5">
        <v>0.5</v>
      </c>
      <c r="I1425" s="6">
        <v>-6.112482</v>
      </c>
    </row>
    <row r="1426" spans="1:9" ht="60" x14ac:dyDescent="0.25">
      <c r="A1426" s="1" t="s">
        <v>124</v>
      </c>
      <c r="B1426" s="5">
        <v>43.63</v>
      </c>
      <c r="C1426" s="5">
        <v>38.03</v>
      </c>
      <c r="D1426" s="5">
        <v>34.4</v>
      </c>
      <c r="E1426" s="5">
        <v>31.33</v>
      </c>
      <c r="F1426" s="5">
        <v>28.92</v>
      </c>
      <c r="G1426" s="5">
        <v>25.75</v>
      </c>
      <c r="H1426" s="5">
        <v>22.99</v>
      </c>
      <c r="I1426" s="6">
        <v>-10.127748</v>
      </c>
    </row>
    <row r="1427" spans="1:9" ht="60" x14ac:dyDescent="0.25">
      <c r="A1427" s="1" t="s">
        <v>125</v>
      </c>
      <c r="B1427" s="5">
        <v>37.25</v>
      </c>
      <c r="C1427" s="5">
        <v>44.44</v>
      </c>
      <c r="D1427" s="5">
        <v>49.17</v>
      </c>
      <c r="E1427" s="5">
        <v>53.46</v>
      </c>
      <c r="F1427" s="5">
        <v>57.11</v>
      </c>
      <c r="G1427" s="5">
        <v>61.03</v>
      </c>
      <c r="H1427" s="5">
        <v>64.27</v>
      </c>
      <c r="I1427" s="6">
        <v>9.5166970000000006</v>
      </c>
    </row>
    <row r="1428" spans="1:9" ht="60" x14ac:dyDescent="0.25">
      <c r="A1428" s="1" t="s">
        <v>126</v>
      </c>
      <c r="B1428" s="5">
        <v>0</v>
      </c>
      <c r="C1428" s="5">
        <v>0</v>
      </c>
      <c r="D1428" s="5">
        <v>0</v>
      </c>
      <c r="E1428" s="5">
        <v>0</v>
      </c>
      <c r="F1428" s="5">
        <v>0</v>
      </c>
      <c r="G1428" s="5">
        <v>0</v>
      </c>
      <c r="H1428" s="5">
        <v>0</v>
      </c>
      <c r="I1428" s="7" t="s">
        <v>58</v>
      </c>
    </row>
    <row r="1429" spans="1:9" ht="75" x14ac:dyDescent="0.25">
      <c r="A1429" s="1" t="s">
        <v>127</v>
      </c>
      <c r="B1429" s="5">
        <v>18.39</v>
      </c>
      <c r="C1429" s="5">
        <v>17.010000000000002</v>
      </c>
      <c r="D1429" s="5">
        <v>15.67</v>
      </c>
      <c r="E1429" s="5">
        <v>14.47</v>
      </c>
      <c r="F1429" s="5">
        <v>13.43</v>
      </c>
      <c r="G1429" s="5">
        <v>12.72</v>
      </c>
      <c r="H1429" s="5">
        <v>12.24</v>
      </c>
      <c r="I1429" s="6">
        <v>-6.5599030000000003</v>
      </c>
    </row>
    <row r="1430" spans="1:9" ht="60" x14ac:dyDescent="0.25">
      <c r="A1430" s="1" t="s">
        <v>128</v>
      </c>
      <c r="B1430" s="5">
        <v>0</v>
      </c>
      <c r="C1430" s="5">
        <v>0</v>
      </c>
      <c r="D1430" s="5">
        <v>0</v>
      </c>
      <c r="E1430" s="5">
        <v>0</v>
      </c>
      <c r="F1430" s="5">
        <v>0</v>
      </c>
      <c r="G1430" s="5">
        <v>0</v>
      </c>
      <c r="H1430" s="5">
        <v>0</v>
      </c>
      <c r="I1430" s="7" t="s">
        <v>58</v>
      </c>
    </row>
    <row r="1431" spans="1:9" ht="45" x14ac:dyDescent="0.25">
      <c r="A1431" s="1" t="s">
        <v>129</v>
      </c>
      <c r="B1431" s="5">
        <v>6.81</v>
      </c>
      <c r="C1431" s="5">
        <v>6.98</v>
      </c>
      <c r="D1431" s="5">
        <v>7.12</v>
      </c>
      <c r="E1431" s="5">
        <v>7.29</v>
      </c>
      <c r="F1431" s="5">
        <v>7.48</v>
      </c>
      <c r="G1431" s="5">
        <v>7.64</v>
      </c>
      <c r="H1431" s="5">
        <v>7.8</v>
      </c>
      <c r="I1431" s="6">
        <v>2.287975200548531</v>
      </c>
    </row>
    <row r="1432" spans="1:9" ht="45" x14ac:dyDescent="0.25">
      <c r="A1432" s="1" t="s">
        <v>140</v>
      </c>
      <c r="B1432" s="5">
        <v>5.86</v>
      </c>
      <c r="C1432" s="5">
        <v>5.89</v>
      </c>
      <c r="D1432" s="5">
        <v>5.89</v>
      </c>
      <c r="E1432" s="5">
        <v>5.91</v>
      </c>
      <c r="F1432" s="5">
        <v>5.95</v>
      </c>
      <c r="G1432" s="5">
        <v>5.96</v>
      </c>
      <c r="H1432" s="5">
        <v>5.97</v>
      </c>
      <c r="I1432" s="6">
        <v>0.31043599999999999</v>
      </c>
    </row>
    <row r="1433" spans="1:9" ht="45" x14ac:dyDescent="0.25">
      <c r="A1433" s="1" t="s">
        <v>141</v>
      </c>
      <c r="B1433" s="5">
        <v>7.02</v>
      </c>
      <c r="C1433" s="5">
        <v>7.1</v>
      </c>
      <c r="D1433" s="5">
        <v>7.13</v>
      </c>
      <c r="E1433" s="5">
        <v>7.19</v>
      </c>
      <c r="F1433" s="5">
        <v>7.27</v>
      </c>
      <c r="G1433" s="5">
        <v>7.33</v>
      </c>
      <c r="H1433" s="5">
        <v>7.38</v>
      </c>
      <c r="I1433" s="6">
        <v>0.83699000000000001</v>
      </c>
    </row>
    <row r="1434" spans="1:9" ht="45" x14ac:dyDescent="0.25">
      <c r="A1434" s="1" t="s">
        <v>142</v>
      </c>
      <c r="B1434" s="5">
        <v>7.72</v>
      </c>
      <c r="C1434" s="5">
        <v>7.87</v>
      </c>
      <c r="D1434" s="5">
        <v>7.99</v>
      </c>
      <c r="E1434" s="5">
        <v>8.14</v>
      </c>
      <c r="F1434" s="5">
        <v>8.31</v>
      </c>
      <c r="G1434" s="5">
        <v>8.4600000000000009</v>
      </c>
      <c r="H1434" s="5">
        <v>8.6</v>
      </c>
      <c r="I1434" s="6">
        <v>1.8154129999999999</v>
      </c>
    </row>
    <row r="1435" spans="1:9" ht="60" x14ac:dyDescent="0.25">
      <c r="A1435" s="1" t="s">
        <v>133</v>
      </c>
      <c r="B1435" s="7" t="s">
        <v>58</v>
      </c>
      <c r="C1435" s="7" t="s">
        <v>58</v>
      </c>
      <c r="D1435" s="7" t="s">
        <v>58</v>
      </c>
      <c r="E1435" s="7" t="s">
        <v>58</v>
      </c>
      <c r="F1435" s="7" t="s">
        <v>58</v>
      </c>
      <c r="G1435" s="7" t="s">
        <v>58</v>
      </c>
      <c r="H1435" s="7" t="s">
        <v>58</v>
      </c>
      <c r="I1435" s="7" t="s">
        <v>58</v>
      </c>
    </row>
    <row r="1436" spans="1:9" ht="60" x14ac:dyDescent="0.25">
      <c r="A1436" s="1" t="s">
        <v>134</v>
      </c>
      <c r="B1436" s="5">
        <v>4.7</v>
      </c>
      <c r="C1436" s="5">
        <v>4.7</v>
      </c>
      <c r="D1436" s="5">
        <v>4.67</v>
      </c>
      <c r="E1436" s="5">
        <v>4.66</v>
      </c>
      <c r="F1436" s="5">
        <v>4.67</v>
      </c>
      <c r="G1436" s="5">
        <v>4.66</v>
      </c>
      <c r="H1436" s="5">
        <v>4.6399999999999997</v>
      </c>
      <c r="I1436" s="6">
        <v>-0.21390700000000001</v>
      </c>
    </row>
    <row r="1437" spans="1:9" x14ac:dyDescent="0.25">
      <c r="A1437" s="1" t="s">
        <v>12</v>
      </c>
      <c r="B1437" s="2"/>
      <c r="C1437" s="2"/>
      <c r="D1437" s="2"/>
      <c r="E1437" s="2"/>
      <c r="F1437" s="2"/>
      <c r="G1437" s="2"/>
      <c r="H1437" s="2"/>
      <c r="I1437" s="2"/>
    </row>
    <row r="1438" spans="1:9" x14ac:dyDescent="0.25">
      <c r="A1438" s="8" t="s">
        <v>83</v>
      </c>
      <c r="B1438" s="2"/>
      <c r="C1438" s="2"/>
      <c r="D1438" s="2"/>
      <c r="E1438" s="2"/>
      <c r="F1438" s="2"/>
      <c r="G1438" s="2"/>
      <c r="H1438" s="2"/>
      <c r="I1438" s="2"/>
    </row>
    <row r="1439" spans="1:9" ht="60" x14ac:dyDescent="0.25">
      <c r="A1439" s="1" t="s">
        <v>13</v>
      </c>
      <c r="B1439" s="5">
        <v>44.23</v>
      </c>
      <c r="C1439" s="5">
        <v>44.81</v>
      </c>
      <c r="D1439" s="5">
        <v>45.11</v>
      </c>
      <c r="E1439" s="5">
        <v>45.57</v>
      </c>
      <c r="F1439" s="5">
        <v>45.49</v>
      </c>
      <c r="G1439" s="5">
        <v>45.52</v>
      </c>
      <c r="H1439" s="5">
        <v>45.67</v>
      </c>
      <c r="I1439" s="6">
        <v>0.53539999999999999</v>
      </c>
    </row>
    <row r="1440" spans="1:9" ht="60" x14ac:dyDescent="0.25">
      <c r="A1440" s="1" t="s">
        <v>117</v>
      </c>
      <c r="B1440" s="5">
        <v>0</v>
      </c>
      <c r="C1440" s="5">
        <v>0</v>
      </c>
      <c r="D1440" s="5">
        <v>0</v>
      </c>
      <c r="E1440" s="5">
        <v>0</v>
      </c>
      <c r="F1440" s="5">
        <v>0</v>
      </c>
      <c r="G1440" s="5">
        <v>0</v>
      </c>
      <c r="H1440" s="5">
        <v>0</v>
      </c>
      <c r="I1440" s="7" t="s">
        <v>58</v>
      </c>
    </row>
    <row r="1441" spans="1:9" ht="60" x14ac:dyDescent="0.25">
      <c r="A1441" s="1" t="s">
        <v>118</v>
      </c>
      <c r="B1441" s="5">
        <v>36.44</v>
      </c>
      <c r="C1441" s="5">
        <v>36.159999999999997</v>
      </c>
      <c r="D1441" s="5">
        <v>35.49</v>
      </c>
      <c r="E1441" s="5">
        <v>34.840000000000003</v>
      </c>
      <c r="F1441" s="5">
        <v>33.93</v>
      </c>
      <c r="G1441" s="5">
        <v>33.049999999999997</v>
      </c>
      <c r="H1441" s="5">
        <v>32.19</v>
      </c>
      <c r="I1441" s="6">
        <v>-2.0456409999999998</v>
      </c>
    </row>
    <row r="1442" spans="1:9" ht="60" x14ac:dyDescent="0.25">
      <c r="A1442" s="1" t="s">
        <v>119</v>
      </c>
      <c r="B1442" s="5">
        <v>6.5</v>
      </c>
      <c r="C1442" s="5">
        <v>7.38</v>
      </c>
      <c r="D1442" s="5">
        <v>8.3800000000000008</v>
      </c>
      <c r="E1442" s="5">
        <v>9.52</v>
      </c>
      <c r="F1442" s="5">
        <v>10.4</v>
      </c>
      <c r="G1442" s="5">
        <v>11.35</v>
      </c>
      <c r="H1442" s="5">
        <v>12.38</v>
      </c>
      <c r="I1442" s="6">
        <v>11.335727</v>
      </c>
    </row>
    <row r="1443" spans="1:9" ht="60" x14ac:dyDescent="0.25">
      <c r="A1443" s="1" t="s">
        <v>120</v>
      </c>
      <c r="B1443" s="5">
        <v>0</v>
      </c>
      <c r="C1443" s="5">
        <v>0</v>
      </c>
      <c r="D1443" s="5">
        <v>0</v>
      </c>
      <c r="E1443" s="5">
        <v>0</v>
      </c>
      <c r="F1443" s="5">
        <v>0</v>
      </c>
      <c r="G1443" s="5">
        <v>0</v>
      </c>
      <c r="H1443" s="5">
        <v>0</v>
      </c>
      <c r="I1443" s="7" t="s">
        <v>58</v>
      </c>
    </row>
    <row r="1444" spans="1:9" ht="75" x14ac:dyDescent="0.25">
      <c r="A1444" s="1" t="s">
        <v>121</v>
      </c>
      <c r="B1444" s="5">
        <v>1.29</v>
      </c>
      <c r="C1444" s="5">
        <v>1.26</v>
      </c>
      <c r="D1444" s="5">
        <v>1.23</v>
      </c>
      <c r="E1444" s="5">
        <v>1.2</v>
      </c>
      <c r="F1444" s="5">
        <v>1.1599999999999999</v>
      </c>
      <c r="G1444" s="5">
        <v>1.1200000000000001</v>
      </c>
      <c r="H1444" s="5">
        <v>1.0900000000000001</v>
      </c>
      <c r="I1444" s="6">
        <v>-2.768691</v>
      </c>
    </row>
    <row r="1445" spans="1:9" ht="75" x14ac:dyDescent="0.25">
      <c r="A1445" s="1" t="s">
        <v>122</v>
      </c>
      <c r="B1445" s="5">
        <v>0</v>
      </c>
      <c r="C1445" s="5">
        <v>0</v>
      </c>
      <c r="D1445" s="5">
        <v>0</v>
      </c>
      <c r="E1445" s="5">
        <v>0</v>
      </c>
      <c r="F1445" s="5">
        <v>0</v>
      </c>
      <c r="G1445" s="5">
        <v>0</v>
      </c>
      <c r="H1445" s="5">
        <v>0</v>
      </c>
      <c r="I1445" s="7" t="s">
        <v>58</v>
      </c>
    </row>
    <row r="1446" spans="1:9" ht="60" x14ac:dyDescent="0.25">
      <c r="A1446" s="1" t="s">
        <v>123</v>
      </c>
      <c r="B1446" s="5">
        <v>0</v>
      </c>
      <c r="C1446" s="5">
        <v>0</v>
      </c>
      <c r="D1446" s="5">
        <v>0</v>
      </c>
      <c r="E1446" s="5">
        <v>0</v>
      </c>
      <c r="F1446" s="5">
        <v>0</v>
      </c>
      <c r="G1446" s="5">
        <v>0</v>
      </c>
      <c r="H1446" s="5">
        <v>0</v>
      </c>
      <c r="I1446" s="7" t="s">
        <v>58</v>
      </c>
    </row>
    <row r="1447" spans="1:9" ht="60" x14ac:dyDescent="0.25">
      <c r="A1447" s="1" t="s">
        <v>124</v>
      </c>
      <c r="B1447" s="5">
        <v>82.4</v>
      </c>
      <c r="C1447" s="5">
        <v>80.709999999999994</v>
      </c>
      <c r="D1447" s="5">
        <v>78.680000000000007</v>
      </c>
      <c r="E1447" s="5">
        <v>76.459999999999994</v>
      </c>
      <c r="F1447" s="5">
        <v>74.599999999999994</v>
      </c>
      <c r="G1447" s="5">
        <v>72.61</v>
      </c>
      <c r="H1447" s="5">
        <v>70.489999999999995</v>
      </c>
      <c r="I1447" s="6">
        <v>-2.568352</v>
      </c>
    </row>
    <row r="1448" spans="1:9" ht="60" x14ac:dyDescent="0.25">
      <c r="A1448" s="1" t="s">
        <v>125</v>
      </c>
      <c r="B1448" s="5">
        <v>14.69</v>
      </c>
      <c r="C1448" s="5">
        <v>16.47</v>
      </c>
      <c r="D1448" s="5">
        <v>18.579999999999998</v>
      </c>
      <c r="E1448" s="5">
        <v>20.9</v>
      </c>
      <c r="F1448" s="5">
        <v>22.85</v>
      </c>
      <c r="G1448" s="5">
        <v>24.93</v>
      </c>
      <c r="H1448" s="5">
        <v>27.12</v>
      </c>
      <c r="I1448" s="6">
        <v>10.758734</v>
      </c>
    </row>
    <row r="1449" spans="1:9" ht="60" x14ac:dyDescent="0.25">
      <c r="A1449" s="1" t="s">
        <v>126</v>
      </c>
      <c r="B1449" s="5">
        <v>0</v>
      </c>
      <c r="C1449" s="5">
        <v>0</v>
      </c>
      <c r="D1449" s="5">
        <v>0</v>
      </c>
      <c r="E1449" s="5">
        <v>0</v>
      </c>
      <c r="F1449" s="5">
        <v>0</v>
      </c>
      <c r="G1449" s="5">
        <v>0</v>
      </c>
      <c r="H1449" s="5">
        <v>0</v>
      </c>
      <c r="I1449" s="7" t="s">
        <v>58</v>
      </c>
    </row>
    <row r="1450" spans="1:9" ht="75" x14ac:dyDescent="0.25">
      <c r="A1450" s="1" t="s">
        <v>127</v>
      </c>
      <c r="B1450" s="5">
        <v>2.91</v>
      </c>
      <c r="C1450" s="5">
        <v>2.82</v>
      </c>
      <c r="D1450" s="5">
        <v>2.73</v>
      </c>
      <c r="E1450" s="5">
        <v>2.64</v>
      </c>
      <c r="F1450" s="5">
        <v>2.5499999999999998</v>
      </c>
      <c r="G1450" s="5">
        <v>2.46</v>
      </c>
      <c r="H1450" s="5">
        <v>2.39</v>
      </c>
      <c r="I1450" s="6">
        <v>-3.227754</v>
      </c>
    </row>
    <row r="1451" spans="1:9" ht="60" x14ac:dyDescent="0.25">
      <c r="A1451" s="1" t="s">
        <v>128</v>
      </c>
      <c r="B1451" s="5">
        <v>0</v>
      </c>
      <c r="C1451" s="5">
        <v>0</v>
      </c>
      <c r="D1451" s="5">
        <v>0</v>
      </c>
      <c r="E1451" s="5">
        <v>0</v>
      </c>
      <c r="F1451" s="5">
        <v>0</v>
      </c>
      <c r="G1451" s="5">
        <v>0</v>
      </c>
      <c r="H1451" s="5">
        <v>0</v>
      </c>
      <c r="I1451" s="7" t="s">
        <v>58</v>
      </c>
    </row>
    <row r="1452" spans="1:9" ht="45" x14ac:dyDescent="0.25">
      <c r="A1452" s="1" t="s">
        <v>129</v>
      </c>
      <c r="B1452" s="7" t="s">
        <v>58</v>
      </c>
      <c r="C1452" s="7" t="s">
        <v>58</v>
      </c>
      <c r="D1452" s="7" t="s">
        <v>58</v>
      </c>
      <c r="E1452" s="7" t="s">
        <v>58</v>
      </c>
      <c r="F1452" s="7" t="s">
        <v>58</v>
      </c>
      <c r="G1452" s="7" t="s">
        <v>58</v>
      </c>
      <c r="H1452" s="7" t="s">
        <v>58</v>
      </c>
      <c r="I1452" s="7" t="s">
        <v>58</v>
      </c>
    </row>
    <row r="1453" spans="1:9" ht="45" x14ac:dyDescent="0.25">
      <c r="A1453" s="1" t="s">
        <v>140</v>
      </c>
      <c r="B1453" s="7" t="s">
        <v>58</v>
      </c>
      <c r="C1453" s="7" t="s">
        <v>58</v>
      </c>
      <c r="D1453" s="7" t="s">
        <v>58</v>
      </c>
      <c r="E1453" s="7" t="s">
        <v>58</v>
      </c>
      <c r="F1453" s="7" t="s">
        <v>58</v>
      </c>
      <c r="G1453" s="7" t="s">
        <v>58</v>
      </c>
      <c r="H1453" s="7" t="s">
        <v>58</v>
      </c>
      <c r="I1453" s="7" t="s">
        <v>58</v>
      </c>
    </row>
    <row r="1454" spans="1:9" ht="45" x14ac:dyDescent="0.25">
      <c r="A1454" s="1" t="s">
        <v>141</v>
      </c>
      <c r="B1454" s="7" t="s">
        <v>58</v>
      </c>
      <c r="C1454" s="7" t="s">
        <v>58</v>
      </c>
      <c r="D1454" s="7" t="s">
        <v>58</v>
      </c>
      <c r="E1454" s="7" t="s">
        <v>58</v>
      </c>
      <c r="F1454" s="7" t="s">
        <v>58</v>
      </c>
      <c r="G1454" s="7" t="s">
        <v>58</v>
      </c>
      <c r="H1454" s="7" t="s">
        <v>58</v>
      </c>
      <c r="I1454" s="7" t="s">
        <v>58</v>
      </c>
    </row>
    <row r="1455" spans="1:9" ht="45" x14ac:dyDescent="0.25">
      <c r="A1455" s="1" t="s">
        <v>142</v>
      </c>
      <c r="B1455" s="7" t="s">
        <v>58</v>
      </c>
      <c r="C1455" s="7" t="s">
        <v>58</v>
      </c>
      <c r="D1455" s="7" t="s">
        <v>58</v>
      </c>
      <c r="E1455" s="7" t="s">
        <v>58</v>
      </c>
      <c r="F1455" s="7" t="s">
        <v>58</v>
      </c>
      <c r="G1455" s="7" t="s">
        <v>58</v>
      </c>
      <c r="H1455" s="7" t="s">
        <v>58</v>
      </c>
      <c r="I1455" s="7" t="s">
        <v>58</v>
      </c>
    </row>
    <row r="1456" spans="1:9" ht="60" x14ac:dyDescent="0.25">
      <c r="A1456" s="1" t="s">
        <v>133</v>
      </c>
      <c r="B1456" s="7" t="s">
        <v>58</v>
      </c>
      <c r="C1456" s="7" t="s">
        <v>58</v>
      </c>
      <c r="D1456" s="7" t="s">
        <v>58</v>
      </c>
      <c r="E1456" s="7" t="s">
        <v>58</v>
      </c>
      <c r="F1456" s="7" t="s">
        <v>58</v>
      </c>
      <c r="G1456" s="7" t="s">
        <v>58</v>
      </c>
      <c r="H1456" s="7" t="s">
        <v>58</v>
      </c>
      <c r="I1456" s="7" t="s">
        <v>58</v>
      </c>
    </row>
    <row r="1457" spans="1:9" ht="60" x14ac:dyDescent="0.25">
      <c r="A1457" s="1" t="s">
        <v>134</v>
      </c>
      <c r="B1457" s="7" t="s">
        <v>58</v>
      </c>
      <c r="C1457" s="7" t="s">
        <v>58</v>
      </c>
      <c r="D1457" s="7" t="s">
        <v>58</v>
      </c>
      <c r="E1457" s="7" t="s">
        <v>58</v>
      </c>
      <c r="F1457" s="7" t="s">
        <v>58</v>
      </c>
      <c r="G1457" s="7" t="s">
        <v>58</v>
      </c>
      <c r="H1457" s="7" t="s">
        <v>58</v>
      </c>
      <c r="I1457" s="7" t="s">
        <v>58</v>
      </c>
    </row>
    <row r="1458" spans="1:9" x14ac:dyDescent="0.25">
      <c r="A1458" s="1" t="s">
        <v>12</v>
      </c>
      <c r="B1458" s="2"/>
      <c r="C1458" s="2"/>
      <c r="D1458" s="2"/>
      <c r="E1458" s="2"/>
      <c r="F1458" s="2"/>
      <c r="G1458" s="2"/>
      <c r="H1458" s="2"/>
      <c r="I1458" s="2"/>
    </row>
    <row r="1459" spans="1:9" x14ac:dyDescent="0.25">
      <c r="A1459" s="8" t="s">
        <v>84</v>
      </c>
      <c r="B1459" s="2"/>
      <c r="C1459" s="2"/>
      <c r="D1459" s="2"/>
      <c r="E1459" s="2"/>
      <c r="F1459" s="2"/>
      <c r="G1459" s="2"/>
      <c r="H1459" s="2"/>
      <c r="I1459" s="2"/>
    </row>
    <row r="1460" spans="1:9" ht="60" x14ac:dyDescent="0.25">
      <c r="A1460" s="1" t="s">
        <v>13</v>
      </c>
      <c r="B1460" s="5">
        <v>52.36</v>
      </c>
      <c r="C1460" s="5">
        <v>53.78</v>
      </c>
      <c r="D1460" s="5">
        <v>55.01</v>
      </c>
      <c r="E1460" s="5">
        <v>56.02</v>
      </c>
      <c r="F1460" s="5">
        <v>56.81</v>
      </c>
      <c r="G1460" s="5">
        <v>57.38</v>
      </c>
      <c r="H1460" s="5">
        <v>57.73</v>
      </c>
      <c r="I1460" s="6">
        <v>1.6405449999999999</v>
      </c>
    </row>
    <row r="1461" spans="1:9" ht="60" x14ac:dyDescent="0.25">
      <c r="A1461" s="1" t="s">
        <v>117</v>
      </c>
      <c r="B1461" s="5">
        <v>43.5</v>
      </c>
      <c r="C1461" s="5">
        <v>44.02</v>
      </c>
      <c r="D1461" s="5">
        <v>44.41</v>
      </c>
      <c r="E1461" s="5">
        <v>44.68</v>
      </c>
      <c r="F1461" s="5">
        <v>44.83</v>
      </c>
      <c r="G1461" s="5">
        <v>44.88</v>
      </c>
      <c r="H1461" s="5">
        <v>44.84</v>
      </c>
      <c r="I1461" s="6">
        <v>0.506942</v>
      </c>
    </row>
    <row r="1462" spans="1:9" ht="60" x14ac:dyDescent="0.25">
      <c r="A1462" s="1" t="s">
        <v>118</v>
      </c>
      <c r="B1462" s="5">
        <v>7.0000000000000007E-2</v>
      </c>
      <c r="C1462" s="5">
        <v>0.03</v>
      </c>
      <c r="D1462" s="5">
        <v>0.02</v>
      </c>
      <c r="E1462" s="5">
        <v>0.01</v>
      </c>
      <c r="F1462" s="5">
        <v>0</v>
      </c>
      <c r="G1462" s="5">
        <v>0</v>
      </c>
      <c r="H1462" s="5">
        <v>0</v>
      </c>
      <c r="I1462" s="6">
        <v>-100</v>
      </c>
    </row>
    <row r="1463" spans="1:9" ht="60" x14ac:dyDescent="0.25">
      <c r="A1463" s="1" t="s">
        <v>119</v>
      </c>
      <c r="B1463" s="5">
        <v>5.47</v>
      </c>
      <c r="C1463" s="5">
        <v>6.44</v>
      </c>
      <c r="D1463" s="5">
        <v>7.32</v>
      </c>
      <c r="E1463" s="5">
        <v>8.1</v>
      </c>
      <c r="F1463" s="5">
        <v>8.76</v>
      </c>
      <c r="G1463" s="5">
        <v>9.3000000000000007</v>
      </c>
      <c r="H1463" s="5">
        <v>9.73</v>
      </c>
      <c r="I1463" s="6">
        <v>10.074719</v>
      </c>
    </row>
    <row r="1464" spans="1:9" ht="60" x14ac:dyDescent="0.25">
      <c r="A1464" s="1" t="s">
        <v>120</v>
      </c>
      <c r="B1464" s="5">
        <v>0</v>
      </c>
      <c r="C1464" s="5">
        <v>0</v>
      </c>
      <c r="D1464" s="5">
        <v>0</v>
      </c>
      <c r="E1464" s="5">
        <v>0</v>
      </c>
      <c r="F1464" s="5">
        <v>0</v>
      </c>
      <c r="G1464" s="5">
        <v>0</v>
      </c>
      <c r="H1464" s="5">
        <v>0</v>
      </c>
      <c r="I1464" s="7" t="s">
        <v>58</v>
      </c>
    </row>
    <row r="1465" spans="1:9" ht="75" x14ac:dyDescent="0.25">
      <c r="A1465" s="1" t="s">
        <v>121</v>
      </c>
      <c r="B1465" s="5">
        <v>0.92</v>
      </c>
      <c r="C1465" s="5">
        <v>0.89</v>
      </c>
      <c r="D1465" s="5">
        <v>0.86</v>
      </c>
      <c r="E1465" s="5">
        <v>0.84</v>
      </c>
      <c r="F1465" s="5">
        <v>0.81</v>
      </c>
      <c r="G1465" s="5">
        <v>0.79</v>
      </c>
      <c r="H1465" s="5">
        <v>0.77</v>
      </c>
      <c r="I1465" s="6">
        <v>-2.9228209999999999</v>
      </c>
    </row>
    <row r="1466" spans="1:9" ht="75" x14ac:dyDescent="0.25">
      <c r="A1466" s="1" t="s">
        <v>122</v>
      </c>
      <c r="B1466" s="5">
        <v>2.4</v>
      </c>
      <c r="C1466" s="5">
        <v>2.4</v>
      </c>
      <c r="D1466" s="5">
        <v>2.4</v>
      </c>
      <c r="E1466" s="5">
        <v>2.4</v>
      </c>
      <c r="F1466" s="5">
        <v>2.4</v>
      </c>
      <c r="G1466" s="5">
        <v>2.4</v>
      </c>
      <c r="H1466" s="5">
        <v>2.4</v>
      </c>
      <c r="I1466" s="6">
        <v>0</v>
      </c>
    </row>
    <row r="1467" spans="1:9" ht="60" x14ac:dyDescent="0.25">
      <c r="A1467" s="1" t="s">
        <v>123</v>
      </c>
      <c r="B1467" s="5">
        <v>83.07</v>
      </c>
      <c r="C1467" s="5">
        <v>81.849999999999994</v>
      </c>
      <c r="D1467" s="5">
        <v>80.73</v>
      </c>
      <c r="E1467" s="5">
        <v>79.75</v>
      </c>
      <c r="F1467" s="5">
        <v>78.91</v>
      </c>
      <c r="G1467" s="5">
        <v>78.22</v>
      </c>
      <c r="H1467" s="5">
        <v>77.67</v>
      </c>
      <c r="I1467" s="6">
        <v>-1.113991</v>
      </c>
    </row>
    <row r="1468" spans="1:9" ht="60" x14ac:dyDescent="0.25">
      <c r="A1468" s="1" t="s">
        <v>124</v>
      </c>
      <c r="B1468" s="5">
        <v>0.14000000000000001</v>
      </c>
      <c r="C1468" s="5">
        <v>0.06</v>
      </c>
      <c r="D1468" s="5">
        <v>0.03</v>
      </c>
      <c r="E1468" s="5">
        <v>0.01</v>
      </c>
      <c r="F1468" s="5">
        <v>0.01</v>
      </c>
      <c r="G1468" s="5">
        <v>0</v>
      </c>
      <c r="H1468" s="5">
        <v>0</v>
      </c>
      <c r="I1468" s="6">
        <v>-100</v>
      </c>
    </row>
    <row r="1469" spans="1:9" ht="60" x14ac:dyDescent="0.25">
      <c r="A1469" s="1" t="s">
        <v>125</v>
      </c>
      <c r="B1469" s="5">
        <v>10.45</v>
      </c>
      <c r="C1469" s="5">
        <v>11.97</v>
      </c>
      <c r="D1469" s="5">
        <v>13.31</v>
      </c>
      <c r="E1469" s="5">
        <v>14.46</v>
      </c>
      <c r="F1469" s="5">
        <v>15.43</v>
      </c>
      <c r="G1469" s="5">
        <v>16.22</v>
      </c>
      <c r="H1469" s="5">
        <v>16.850000000000001</v>
      </c>
      <c r="I1469" s="6">
        <v>8.2880669999999999</v>
      </c>
    </row>
    <row r="1470" spans="1:9" ht="60" x14ac:dyDescent="0.25">
      <c r="A1470" s="1" t="s">
        <v>126</v>
      </c>
      <c r="B1470" s="5">
        <v>0</v>
      </c>
      <c r="C1470" s="5">
        <v>0</v>
      </c>
      <c r="D1470" s="5">
        <v>0</v>
      </c>
      <c r="E1470" s="5">
        <v>0</v>
      </c>
      <c r="F1470" s="5">
        <v>0</v>
      </c>
      <c r="G1470" s="5">
        <v>0</v>
      </c>
      <c r="H1470" s="5">
        <v>0</v>
      </c>
      <c r="I1470" s="7" t="s">
        <v>58</v>
      </c>
    </row>
    <row r="1471" spans="1:9" ht="75" x14ac:dyDescent="0.25">
      <c r="A1471" s="1" t="s">
        <v>127</v>
      </c>
      <c r="B1471" s="5">
        <v>1.75</v>
      </c>
      <c r="C1471" s="5">
        <v>1.66</v>
      </c>
      <c r="D1471" s="5">
        <v>1.57</v>
      </c>
      <c r="E1471" s="5">
        <v>1.5</v>
      </c>
      <c r="F1471" s="5">
        <v>1.43</v>
      </c>
      <c r="G1471" s="5">
        <v>1.38</v>
      </c>
      <c r="H1471" s="5">
        <v>1.33</v>
      </c>
      <c r="I1471" s="6">
        <v>-4.4709190000000003</v>
      </c>
    </row>
    <row r="1472" spans="1:9" ht="60" x14ac:dyDescent="0.25">
      <c r="A1472" s="1" t="s">
        <v>128</v>
      </c>
      <c r="B1472" s="5">
        <v>4.58</v>
      </c>
      <c r="C1472" s="5">
        <v>4.46</v>
      </c>
      <c r="D1472" s="5">
        <v>4.3600000000000003</v>
      </c>
      <c r="E1472" s="5">
        <v>4.28</v>
      </c>
      <c r="F1472" s="5">
        <v>4.22</v>
      </c>
      <c r="G1472" s="5">
        <v>4.18</v>
      </c>
      <c r="H1472" s="5">
        <v>4.1500000000000004</v>
      </c>
      <c r="I1472" s="6">
        <v>-1.6297509999999999</v>
      </c>
    </row>
    <row r="1473" spans="1:9" ht="45" x14ac:dyDescent="0.25">
      <c r="A1473" s="1" t="s">
        <v>129</v>
      </c>
      <c r="B1473" s="5">
        <v>34.03</v>
      </c>
      <c r="C1473" s="5">
        <v>33.82</v>
      </c>
      <c r="D1473" s="5">
        <v>33.74</v>
      </c>
      <c r="E1473" s="5">
        <v>33.659999999999997</v>
      </c>
      <c r="F1473" s="5">
        <v>33.590000000000003</v>
      </c>
      <c r="G1473" s="5">
        <v>33.520000000000003</v>
      </c>
      <c r="H1473" s="5">
        <v>33.46</v>
      </c>
      <c r="I1473" s="6">
        <v>-0.28113395882894965</v>
      </c>
    </row>
    <row r="1474" spans="1:9" ht="45" x14ac:dyDescent="0.25">
      <c r="A1474" s="1" t="s">
        <v>140</v>
      </c>
      <c r="B1474" s="7" t="s">
        <v>58</v>
      </c>
      <c r="C1474" s="7" t="s">
        <v>58</v>
      </c>
      <c r="D1474" s="7" t="s">
        <v>58</v>
      </c>
      <c r="E1474" s="7" t="s">
        <v>58</v>
      </c>
      <c r="F1474" s="7" t="s">
        <v>58</v>
      </c>
      <c r="G1474" s="7" t="s">
        <v>58</v>
      </c>
      <c r="H1474" s="7" t="s">
        <v>58</v>
      </c>
      <c r="I1474" s="7" t="s">
        <v>58</v>
      </c>
    </row>
    <row r="1475" spans="1:9" ht="45" x14ac:dyDescent="0.25">
      <c r="A1475" s="1" t="s">
        <v>141</v>
      </c>
      <c r="B1475" s="7" t="s">
        <v>58</v>
      </c>
      <c r="C1475" s="7" t="s">
        <v>58</v>
      </c>
      <c r="D1475" s="7" t="s">
        <v>58</v>
      </c>
      <c r="E1475" s="7" t="s">
        <v>58</v>
      </c>
      <c r="F1475" s="7" t="s">
        <v>58</v>
      </c>
      <c r="G1475" s="7" t="s">
        <v>58</v>
      </c>
      <c r="H1475" s="7" t="s">
        <v>58</v>
      </c>
      <c r="I1475" s="7" t="s">
        <v>58</v>
      </c>
    </row>
    <row r="1476" spans="1:9" ht="45" x14ac:dyDescent="0.25">
      <c r="A1476" s="1" t="s">
        <v>142</v>
      </c>
      <c r="B1476" s="7" t="s">
        <v>58</v>
      </c>
      <c r="C1476" s="7" t="s">
        <v>58</v>
      </c>
      <c r="D1476" s="7" t="s">
        <v>58</v>
      </c>
      <c r="E1476" s="7" t="s">
        <v>58</v>
      </c>
      <c r="F1476" s="7" t="s">
        <v>58</v>
      </c>
      <c r="G1476" s="7" t="s">
        <v>58</v>
      </c>
      <c r="H1476" s="7" t="s">
        <v>58</v>
      </c>
      <c r="I1476" s="7" t="s">
        <v>58</v>
      </c>
    </row>
    <row r="1477" spans="1:9" ht="60" x14ac:dyDescent="0.25">
      <c r="A1477" s="1" t="s">
        <v>133</v>
      </c>
      <c r="B1477" s="7" t="s">
        <v>58</v>
      </c>
      <c r="C1477" s="7" t="s">
        <v>58</v>
      </c>
      <c r="D1477" s="7" t="s">
        <v>58</v>
      </c>
      <c r="E1477" s="7" t="s">
        <v>58</v>
      </c>
      <c r="F1477" s="7" t="s">
        <v>58</v>
      </c>
      <c r="G1477" s="7" t="s">
        <v>58</v>
      </c>
      <c r="H1477" s="7" t="s">
        <v>58</v>
      </c>
      <c r="I1477" s="7" t="s">
        <v>58</v>
      </c>
    </row>
    <row r="1478" spans="1:9" ht="60" x14ac:dyDescent="0.25">
      <c r="A1478" s="1" t="s">
        <v>134</v>
      </c>
      <c r="B1478" s="7" t="s">
        <v>58</v>
      </c>
      <c r="C1478" s="7" t="s">
        <v>58</v>
      </c>
      <c r="D1478" s="7" t="s">
        <v>58</v>
      </c>
      <c r="E1478" s="7" t="s">
        <v>58</v>
      </c>
      <c r="F1478" s="7" t="s">
        <v>58</v>
      </c>
      <c r="G1478" s="7" t="s">
        <v>58</v>
      </c>
      <c r="H1478" s="7" t="s">
        <v>58</v>
      </c>
      <c r="I1478" s="7" t="s">
        <v>58</v>
      </c>
    </row>
    <row r="1479" spans="1:9" x14ac:dyDescent="0.25">
      <c r="A1479" s="1" t="s">
        <v>12</v>
      </c>
      <c r="B1479" s="2"/>
      <c r="C1479" s="2"/>
      <c r="D1479" s="2"/>
      <c r="E1479" s="2"/>
      <c r="F1479" s="2"/>
      <c r="G1479" s="2"/>
      <c r="H1479" s="2"/>
      <c r="I1479" s="2"/>
    </row>
    <row r="1480" spans="1:9" x14ac:dyDescent="0.25">
      <c r="A1480" s="8" t="s">
        <v>85</v>
      </c>
      <c r="B1480" s="2"/>
      <c r="C1480" s="2"/>
      <c r="D1480" s="2"/>
      <c r="E1480" s="2"/>
      <c r="F1480" s="2"/>
      <c r="G1480" s="2"/>
      <c r="H1480" s="2"/>
      <c r="I1480" s="2"/>
    </row>
    <row r="1481" spans="1:9" ht="60" x14ac:dyDescent="0.25">
      <c r="A1481" s="1" t="s">
        <v>13</v>
      </c>
      <c r="B1481" s="5">
        <v>41.26</v>
      </c>
      <c r="C1481" s="5">
        <v>44.16</v>
      </c>
      <c r="D1481" s="5">
        <v>46.98</v>
      </c>
      <c r="E1481" s="5">
        <v>49.71</v>
      </c>
      <c r="F1481" s="5">
        <v>52.08</v>
      </c>
      <c r="G1481" s="5">
        <v>54.32</v>
      </c>
      <c r="H1481" s="5">
        <v>56.94</v>
      </c>
      <c r="I1481" s="6">
        <v>5.5151219999999999</v>
      </c>
    </row>
    <row r="1482" spans="1:9" ht="60" x14ac:dyDescent="0.25">
      <c r="A1482" s="1" t="s">
        <v>117</v>
      </c>
      <c r="B1482" s="5">
        <v>20.22</v>
      </c>
      <c r="C1482" s="5">
        <v>21.9</v>
      </c>
      <c r="D1482" s="5">
        <v>23.49</v>
      </c>
      <c r="E1482" s="5">
        <v>25.11</v>
      </c>
      <c r="F1482" s="5">
        <v>26.51</v>
      </c>
      <c r="G1482" s="5">
        <v>27.71</v>
      </c>
      <c r="H1482" s="5">
        <v>28.98</v>
      </c>
      <c r="I1482" s="6">
        <v>6.1824820000000003</v>
      </c>
    </row>
    <row r="1483" spans="1:9" ht="60" x14ac:dyDescent="0.25">
      <c r="A1483" s="1" t="s">
        <v>118</v>
      </c>
      <c r="B1483" s="5">
        <v>5.07</v>
      </c>
      <c r="C1483" s="5">
        <v>5.03</v>
      </c>
      <c r="D1483" s="5">
        <v>4.9800000000000004</v>
      </c>
      <c r="E1483" s="5">
        <v>4.92</v>
      </c>
      <c r="F1483" s="5">
        <v>4.84</v>
      </c>
      <c r="G1483" s="5">
        <v>4.8499999999999996</v>
      </c>
      <c r="H1483" s="5">
        <v>5.3</v>
      </c>
      <c r="I1483" s="6">
        <v>0.742174</v>
      </c>
    </row>
    <row r="1484" spans="1:9" ht="60" x14ac:dyDescent="0.25">
      <c r="A1484" s="1" t="s">
        <v>119</v>
      </c>
      <c r="B1484" s="5">
        <v>14.89</v>
      </c>
      <c r="C1484" s="5">
        <v>16.21</v>
      </c>
      <c r="D1484" s="5">
        <v>17.57</v>
      </c>
      <c r="E1484" s="5">
        <v>18.84</v>
      </c>
      <c r="F1484" s="5">
        <v>20</v>
      </c>
      <c r="G1484" s="5">
        <v>21.3</v>
      </c>
      <c r="H1484" s="5">
        <v>21.87</v>
      </c>
      <c r="I1484" s="6">
        <v>6.6168089999999999</v>
      </c>
    </row>
    <row r="1485" spans="1:9" ht="60" x14ac:dyDescent="0.25">
      <c r="A1485" s="1" t="s">
        <v>120</v>
      </c>
      <c r="B1485" s="5">
        <v>0</v>
      </c>
      <c r="C1485" s="5">
        <v>0</v>
      </c>
      <c r="D1485" s="5">
        <v>0</v>
      </c>
      <c r="E1485" s="5">
        <v>0</v>
      </c>
      <c r="F1485" s="5">
        <v>0</v>
      </c>
      <c r="G1485" s="5">
        <v>0</v>
      </c>
      <c r="H1485" s="5">
        <v>0</v>
      </c>
      <c r="I1485" s="7" t="s">
        <v>58</v>
      </c>
    </row>
    <row r="1486" spans="1:9" ht="75" x14ac:dyDescent="0.25">
      <c r="A1486" s="1" t="s">
        <v>121</v>
      </c>
      <c r="B1486" s="5">
        <v>1.07</v>
      </c>
      <c r="C1486" s="5">
        <v>1.02</v>
      </c>
      <c r="D1486" s="5">
        <v>0.94</v>
      </c>
      <c r="E1486" s="5">
        <v>0.85</v>
      </c>
      <c r="F1486" s="5">
        <v>0.73</v>
      </c>
      <c r="G1486" s="5">
        <v>0.47</v>
      </c>
      <c r="H1486" s="5">
        <v>0.8</v>
      </c>
      <c r="I1486" s="6">
        <v>-4.7311249999999996</v>
      </c>
    </row>
    <row r="1487" spans="1:9" ht="75" x14ac:dyDescent="0.25">
      <c r="A1487" s="1" t="s">
        <v>122</v>
      </c>
      <c r="B1487" s="5">
        <v>0</v>
      </c>
      <c r="C1487" s="5">
        <v>0</v>
      </c>
      <c r="D1487" s="5">
        <v>0</v>
      </c>
      <c r="E1487" s="5">
        <v>0</v>
      </c>
      <c r="F1487" s="5">
        <v>0</v>
      </c>
      <c r="G1487" s="5">
        <v>0</v>
      </c>
      <c r="H1487" s="5">
        <v>0</v>
      </c>
      <c r="I1487" s="7" t="s">
        <v>58</v>
      </c>
    </row>
    <row r="1488" spans="1:9" ht="60" x14ac:dyDescent="0.25">
      <c r="A1488" s="1" t="s">
        <v>123</v>
      </c>
      <c r="B1488" s="5">
        <v>49</v>
      </c>
      <c r="C1488" s="5">
        <v>49.6</v>
      </c>
      <c r="D1488" s="5">
        <v>50</v>
      </c>
      <c r="E1488" s="5">
        <v>50.5</v>
      </c>
      <c r="F1488" s="5">
        <v>50.9</v>
      </c>
      <c r="G1488" s="5">
        <v>51</v>
      </c>
      <c r="H1488" s="5">
        <v>50.9</v>
      </c>
      <c r="I1488" s="6">
        <v>0.63605800000000001</v>
      </c>
    </row>
    <row r="1489" spans="1:9" ht="60" x14ac:dyDescent="0.25">
      <c r="A1489" s="1" t="s">
        <v>124</v>
      </c>
      <c r="B1489" s="5">
        <v>12.3</v>
      </c>
      <c r="C1489" s="5">
        <v>11.4</v>
      </c>
      <c r="D1489" s="5">
        <v>10.6</v>
      </c>
      <c r="E1489" s="5">
        <v>9.9</v>
      </c>
      <c r="F1489" s="5">
        <v>9.3000000000000007</v>
      </c>
      <c r="G1489" s="5">
        <v>8.93</v>
      </c>
      <c r="H1489" s="5">
        <v>9.3000000000000007</v>
      </c>
      <c r="I1489" s="6">
        <v>-4.552848</v>
      </c>
    </row>
    <row r="1490" spans="1:9" ht="60" x14ac:dyDescent="0.25">
      <c r="A1490" s="1" t="s">
        <v>125</v>
      </c>
      <c r="B1490" s="5">
        <v>36.1</v>
      </c>
      <c r="C1490" s="5">
        <v>36.700000000000003</v>
      </c>
      <c r="D1490" s="5">
        <v>37.4</v>
      </c>
      <c r="E1490" s="5">
        <v>37.9</v>
      </c>
      <c r="F1490" s="5">
        <v>38.4</v>
      </c>
      <c r="G1490" s="5">
        <v>39.200000000000003</v>
      </c>
      <c r="H1490" s="5">
        <v>38.4</v>
      </c>
      <c r="I1490" s="6">
        <v>1.034727</v>
      </c>
    </row>
    <row r="1491" spans="1:9" ht="60" x14ac:dyDescent="0.25">
      <c r="A1491" s="1" t="s">
        <v>126</v>
      </c>
      <c r="B1491" s="5">
        <v>0</v>
      </c>
      <c r="C1491" s="5">
        <v>0</v>
      </c>
      <c r="D1491" s="5">
        <v>0</v>
      </c>
      <c r="E1491" s="5">
        <v>0</v>
      </c>
      <c r="F1491" s="5">
        <v>0</v>
      </c>
      <c r="G1491" s="5">
        <v>0</v>
      </c>
      <c r="H1491" s="5">
        <v>0</v>
      </c>
      <c r="I1491" s="7" t="s">
        <v>58</v>
      </c>
    </row>
    <row r="1492" spans="1:9" ht="75" x14ac:dyDescent="0.25">
      <c r="A1492" s="1" t="s">
        <v>127</v>
      </c>
      <c r="B1492" s="5">
        <v>2.6</v>
      </c>
      <c r="C1492" s="5">
        <v>2.2999999999999998</v>
      </c>
      <c r="D1492" s="5">
        <v>2</v>
      </c>
      <c r="E1492" s="5">
        <v>1.7</v>
      </c>
      <c r="F1492" s="5">
        <v>1.4</v>
      </c>
      <c r="G1492" s="5">
        <v>0.87</v>
      </c>
      <c r="H1492" s="5">
        <v>1.4</v>
      </c>
      <c r="I1492" s="6">
        <v>-9.8029259999999994</v>
      </c>
    </row>
    <row r="1493" spans="1:9" ht="60" x14ac:dyDescent="0.25">
      <c r="A1493" s="1" t="s">
        <v>128</v>
      </c>
      <c r="B1493" s="5">
        <v>0</v>
      </c>
      <c r="C1493" s="5">
        <v>0</v>
      </c>
      <c r="D1493" s="5">
        <v>0</v>
      </c>
      <c r="E1493" s="5">
        <v>0</v>
      </c>
      <c r="F1493" s="5">
        <v>0</v>
      </c>
      <c r="G1493" s="5">
        <v>0</v>
      </c>
      <c r="H1493" s="5">
        <v>0</v>
      </c>
      <c r="I1493" s="7" t="s">
        <v>58</v>
      </c>
    </row>
    <row r="1494" spans="1:9" ht="45" x14ac:dyDescent="0.25">
      <c r="A1494" s="1" t="s">
        <v>129</v>
      </c>
      <c r="B1494" s="7" t="s">
        <v>58</v>
      </c>
      <c r="C1494" s="7" t="s">
        <v>58</v>
      </c>
      <c r="D1494" s="7" t="s">
        <v>58</v>
      </c>
      <c r="E1494" s="7" t="s">
        <v>58</v>
      </c>
      <c r="F1494" s="7" t="s">
        <v>58</v>
      </c>
      <c r="G1494" s="7" t="s">
        <v>58</v>
      </c>
      <c r="H1494" s="7" t="s">
        <v>58</v>
      </c>
      <c r="I1494" s="7" t="s">
        <v>58</v>
      </c>
    </row>
    <row r="1495" spans="1:9" ht="45" x14ac:dyDescent="0.25">
      <c r="A1495" s="1" t="s">
        <v>140</v>
      </c>
      <c r="B1495" s="7" t="s">
        <v>58</v>
      </c>
      <c r="C1495" s="7" t="s">
        <v>58</v>
      </c>
      <c r="D1495" s="7" t="s">
        <v>58</v>
      </c>
      <c r="E1495" s="7" t="s">
        <v>58</v>
      </c>
      <c r="F1495" s="7" t="s">
        <v>58</v>
      </c>
      <c r="G1495" s="7" t="s">
        <v>58</v>
      </c>
      <c r="H1495" s="7" t="s">
        <v>58</v>
      </c>
      <c r="I1495" s="7" t="s">
        <v>58</v>
      </c>
    </row>
    <row r="1496" spans="1:9" ht="45" x14ac:dyDescent="0.25">
      <c r="A1496" s="1" t="s">
        <v>141</v>
      </c>
      <c r="B1496" s="7" t="s">
        <v>58</v>
      </c>
      <c r="C1496" s="7" t="s">
        <v>58</v>
      </c>
      <c r="D1496" s="7" t="s">
        <v>58</v>
      </c>
      <c r="E1496" s="7" t="s">
        <v>58</v>
      </c>
      <c r="F1496" s="7" t="s">
        <v>58</v>
      </c>
      <c r="G1496" s="7" t="s">
        <v>58</v>
      </c>
      <c r="H1496" s="7" t="s">
        <v>58</v>
      </c>
      <c r="I1496" s="7" t="s">
        <v>58</v>
      </c>
    </row>
    <row r="1497" spans="1:9" ht="45" x14ac:dyDescent="0.25">
      <c r="A1497" s="1" t="s">
        <v>142</v>
      </c>
      <c r="B1497" s="7" t="s">
        <v>58</v>
      </c>
      <c r="C1497" s="7" t="s">
        <v>58</v>
      </c>
      <c r="D1497" s="7" t="s">
        <v>58</v>
      </c>
      <c r="E1497" s="7" t="s">
        <v>58</v>
      </c>
      <c r="F1497" s="7" t="s">
        <v>58</v>
      </c>
      <c r="G1497" s="7" t="s">
        <v>58</v>
      </c>
      <c r="H1497" s="7" t="s">
        <v>58</v>
      </c>
      <c r="I1497" s="7" t="s">
        <v>58</v>
      </c>
    </row>
    <row r="1498" spans="1:9" ht="60" x14ac:dyDescent="0.25">
      <c r="A1498" s="1" t="s">
        <v>133</v>
      </c>
      <c r="B1498" s="7" t="s">
        <v>58</v>
      </c>
      <c r="C1498" s="7" t="s">
        <v>58</v>
      </c>
      <c r="D1498" s="7" t="s">
        <v>58</v>
      </c>
      <c r="E1498" s="7" t="s">
        <v>58</v>
      </c>
      <c r="F1498" s="7" t="s">
        <v>58</v>
      </c>
      <c r="G1498" s="7" t="s">
        <v>58</v>
      </c>
      <c r="H1498" s="7" t="s">
        <v>58</v>
      </c>
      <c r="I1498" s="7" t="s">
        <v>58</v>
      </c>
    </row>
    <row r="1499" spans="1:9" ht="60" x14ac:dyDescent="0.25">
      <c r="A1499" s="1" t="s">
        <v>134</v>
      </c>
      <c r="B1499" s="7" t="s">
        <v>58</v>
      </c>
      <c r="C1499" s="7" t="s">
        <v>58</v>
      </c>
      <c r="D1499" s="7" t="s">
        <v>58</v>
      </c>
      <c r="E1499" s="7" t="s">
        <v>58</v>
      </c>
      <c r="F1499" s="7" t="s">
        <v>58</v>
      </c>
      <c r="G1499" s="7" t="s">
        <v>58</v>
      </c>
      <c r="H1499" s="7" t="s">
        <v>58</v>
      </c>
      <c r="I1499" s="7" t="s">
        <v>58</v>
      </c>
    </row>
    <row r="1500" spans="1:9" x14ac:dyDescent="0.25">
      <c r="A1500" s="1" t="s">
        <v>12</v>
      </c>
      <c r="B1500" s="2"/>
      <c r="C1500" s="2"/>
      <c r="D1500" s="2"/>
      <c r="E1500" s="2"/>
      <c r="F1500" s="2"/>
      <c r="G1500" s="2"/>
      <c r="H1500" s="2"/>
      <c r="I1500" s="2"/>
    </row>
    <row r="1501" spans="1:9" x14ac:dyDescent="0.25">
      <c r="A1501" s="8" t="s">
        <v>86</v>
      </c>
      <c r="B1501" s="2"/>
      <c r="C1501" s="2"/>
      <c r="D1501" s="2"/>
      <c r="E1501" s="2"/>
      <c r="F1501" s="2"/>
      <c r="G1501" s="2"/>
      <c r="H1501" s="2"/>
      <c r="I1501" s="2"/>
    </row>
    <row r="1502" spans="1:9" ht="60" x14ac:dyDescent="0.25">
      <c r="A1502" s="1" t="s">
        <v>13</v>
      </c>
      <c r="B1502" s="5">
        <v>37.74</v>
      </c>
      <c r="C1502" s="5">
        <v>40.380000000000003</v>
      </c>
      <c r="D1502" s="5">
        <v>42.96</v>
      </c>
      <c r="E1502" s="5">
        <v>45.97</v>
      </c>
      <c r="F1502" s="5">
        <v>49.23</v>
      </c>
      <c r="G1502" s="5">
        <v>52.65</v>
      </c>
      <c r="H1502" s="5">
        <v>56.16</v>
      </c>
      <c r="I1502" s="6">
        <v>6.8491</v>
      </c>
    </row>
    <row r="1503" spans="1:9" ht="60" x14ac:dyDescent="0.25">
      <c r="A1503" s="1" t="s">
        <v>117</v>
      </c>
      <c r="B1503" s="5">
        <v>12.3</v>
      </c>
      <c r="C1503" s="5">
        <v>11.78</v>
      </c>
      <c r="D1503" s="5">
        <v>11.34</v>
      </c>
      <c r="E1503" s="5">
        <v>11.03</v>
      </c>
      <c r="F1503" s="5">
        <v>10.77</v>
      </c>
      <c r="G1503" s="5">
        <v>10.54</v>
      </c>
      <c r="H1503" s="5">
        <v>10.34</v>
      </c>
      <c r="I1503" s="6">
        <v>-2.8515440000000001</v>
      </c>
    </row>
    <row r="1504" spans="1:9" ht="60" x14ac:dyDescent="0.25">
      <c r="A1504" s="1" t="s">
        <v>118</v>
      </c>
      <c r="B1504" s="5">
        <v>0.13</v>
      </c>
      <c r="C1504" s="5">
        <v>0.06</v>
      </c>
      <c r="D1504" s="5">
        <v>0.02</v>
      </c>
      <c r="E1504" s="5">
        <v>0.01</v>
      </c>
      <c r="F1504" s="5">
        <v>0</v>
      </c>
      <c r="G1504" s="5">
        <v>0</v>
      </c>
      <c r="H1504" s="5">
        <v>0</v>
      </c>
      <c r="I1504" s="6">
        <v>-100</v>
      </c>
    </row>
    <row r="1505" spans="1:9" ht="60" x14ac:dyDescent="0.25">
      <c r="A1505" s="1" t="s">
        <v>119</v>
      </c>
      <c r="B1505" s="5">
        <v>24.26</v>
      </c>
      <c r="C1505" s="5">
        <v>27.58</v>
      </c>
      <c r="D1505" s="5">
        <v>30.65</v>
      </c>
      <c r="E1505" s="5">
        <v>33.979999999999997</v>
      </c>
      <c r="F1505" s="5">
        <v>37.47</v>
      </c>
      <c r="G1505" s="5">
        <v>41.07</v>
      </c>
      <c r="H1505" s="5">
        <v>44.73</v>
      </c>
      <c r="I1505" s="6">
        <v>10.734942</v>
      </c>
    </row>
    <row r="1506" spans="1:9" ht="60" x14ac:dyDescent="0.25">
      <c r="A1506" s="1" t="s">
        <v>120</v>
      </c>
      <c r="B1506" s="5">
        <v>0.28000000000000003</v>
      </c>
      <c r="C1506" s="5">
        <v>0.32</v>
      </c>
      <c r="D1506" s="5">
        <v>0.37</v>
      </c>
      <c r="E1506" s="5">
        <v>0.43</v>
      </c>
      <c r="F1506" s="5">
        <v>0.49</v>
      </c>
      <c r="G1506" s="5">
        <v>0.56000000000000005</v>
      </c>
      <c r="H1506" s="5">
        <v>0.63</v>
      </c>
      <c r="I1506" s="6">
        <v>14.471424000000001</v>
      </c>
    </row>
    <row r="1507" spans="1:9" ht="75" x14ac:dyDescent="0.25">
      <c r="A1507" s="1" t="s">
        <v>121</v>
      </c>
      <c r="B1507" s="5">
        <v>0.75</v>
      </c>
      <c r="C1507" s="5">
        <v>0.61</v>
      </c>
      <c r="D1507" s="5">
        <v>0.54</v>
      </c>
      <c r="E1507" s="5">
        <v>0.5</v>
      </c>
      <c r="F1507" s="5">
        <v>0.47</v>
      </c>
      <c r="G1507" s="5">
        <v>0.45</v>
      </c>
      <c r="H1507" s="5">
        <v>0.43</v>
      </c>
      <c r="I1507" s="6">
        <v>-8.8546469999999999</v>
      </c>
    </row>
    <row r="1508" spans="1:9" ht="75" x14ac:dyDescent="0.25">
      <c r="A1508" s="1" t="s">
        <v>122</v>
      </c>
      <c r="B1508" s="5">
        <v>0.03</v>
      </c>
      <c r="C1508" s="5">
        <v>0.03</v>
      </c>
      <c r="D1508" s="5">
        <v>0.03</v>
      </c>
      <c r="E1508" s="5">
        <v>0.03</v>
      </c>
      <c r="F1508" s="5">
        <v>0.03</v>
      </c>
      <c r="G1508" s="5">
        <v>0.03</v>
      </c>
      <c r="H1508" s="5">
        <v>0.03</v>
      </c>
      <c r="I1508" s="6">
        <v>0</v>
      </c>
    </row>
    <row r="1509" spans="1:9" ht="60" x14ac:dyDescent="0.25">
      <c r="A1509" s="1" t="s">
        <v>123</v>
      </c>
      <c r="B1509" s="5">
        <v>32.58</v>
      </c>
      <c r="C1509" s="5">
        <v>29.16</v>
      </c>
      <c r="D1509" s="5">
        <v>26.4</v>
      </c>
      <c r="E1509" s="5">
        <v>23.99</v>
      </c>
      <c r="F1509" s="5">
        <v>21.87</v>
      </c>
      <c r="G1509" s="5">
        <v>20.02</v>
      </c>
      <c r="H1509" s="5">
        <v>18.41</v>
      </c>
      <c r="I1509" s="6">
        <v>-9.0749010000000006</v>
      </c>
    </row>
    <row r="1510" spans="1:9" ht="60" x14ac:dyDescent="0.25">
      <c r="A1510" s="1" t="s">
        <v>124</v>
      </c>
      <c r="B1510" s="5">
        <v>0.34</v>
      </c>
      <c r="C1510" s="5">
        <v>0.15</v>
      </c>
      <c r="D1510" s="5">
        <v>0.06</v>
      </c>
      <c r="E1510" s="5">
        <v>0.02</v>
      </c>
      <c r="F1510" s="5">
        <v>0</v>
      </c>
      <c r="G1510" s="5">
        <v>0</v>
      </c>
      <c r="H1510" s="5">
        <v>0</v>
      </c>
      <c r="I1510" s="6">
        <v>-100</v>
      </c>
    </row>
    <row r="1511" spans="1:9" ht="60" x14ac:dyDescent="0.25">
      <c r="A1511" s="1" t="s">
        <v>125</v>
      </c>
      <c r="B1511" s="5">
        <v>64.290000000000006</v>
      </c>
      <c r="C1511" s="5">
        <v>68.3</v>
      </c>
      <c r="D1511" s="5">
        <v>71.349999999999994</v>
      </c>
      <c r="E1511" s="5">
        <v>73.91</v>
      </c>
      <c r="F1511" s="5">
        <v>76.11</v>
      </c>
      <c r="G1511" s="5">
        <v>78.010000000000005</v>
      </c>
      <c r="H1511" s="5">
        <v>79.650000000000006</v>
      </c>
      <c r="I1511" s="6">
        <v>3.6351450000000001</v>
      </c>
    </row>
    <row r="1512" spans="1:9" ht="60" x14ac:dyDescent="0.25">
      <c r="A1512" s="1" t="s">
        <v>126</v>
      </c>
      <c r="B1512" s="5">
        <v>0.73</v>
      </c>
      <c r="C1512" s="5">
        <v>0.8</v>
      </c>
      <c r="D1512" s="5">
        <v>0.87</v>
      </c>
      <c r="E1512" s="5">
        <v>0.94</v>
      </c>
      <c r="F1512" s="5">
        <v>1</v>
      </c>
      <c r="G1512" s="5">
        <v>1.07</v>
      </c>
      <c r="H1512" s="5">
        <v>1.1299999999999999</v>
      </c>
      <c r="I1512" s="6">
        <v>7.5538420000000004</v>
      </c>
    </row>
    <row r="1513" spans="1:9" ht="75" x14ac:dyDescent="0.25">
      <c r="A1513" s="1" t="s">
        <v>127</v>
      </c>
      <c r="B1513" s="5">
        <v>1.98</v>
      </c>
      <c r="C1513" s="5">
        <v>1.52</v>
      </c>
      <c r="D1513" s="5">
        <v>1.26</v>
      </c>
      <c r="E1513" s="5">
        <v>1.08</v>
      </c>
      <c r="F1513" s="5">
        <v>0.95</v>
      </c>
      <c r="G1513" s="5">
        <v>0.85</v>
      </c>
      <c r="H1513" s="5">
        <v>0.77</v>
      </c>
      <c r="I1513" s="6">
        <v>-14.564653</v>
      </c>
    </row>
    <row r="1514" spans="1:9" ht="60" x14ac:dyDescent="0.25">
      <c r="A1514" s="1" t="s">
        <v>128</v>
      </c>
      <c r="B1514" s="5">
        <v>0.08</v>
      </c>
      <c r="C1514" s="5">
        <v>7.0000000000000007E-2</v>
      </c>
      <c r="D1514" s="5">
        <v>7.0000000000000007E-2</v>
      </c>
      <c r="E1514" s="5">
        <v>0.06</v>
      </c>
      <c r="F1514" s="5">
        <v>0.06</v>
      </c>
      <c r="G1514" s="5">
        <v>0.05</v>
      </c>
      <c r="H1514" s="5">
        <v>0.05</v>
      </c>
      <c r="I1514" s="6">
        <v>-7.53444</v>
      </c>
    </row>
    <row r="1515" spans="1:9" ht="45" x14ac:dyDescent="0.25">
      <c r="A1515" s="1" t="s">
        <v>129</v>
      </c>
      <c r="B1515" s="5">
        <v>23.13</v>
      </c>
      <c r="C1515" s="5">
        <v>22.84</v>
      </c>
      <c r="D1515" s="5">
        <v>22.41</v>
      </c>
      <c r="E1515" s="5">
        <v>22.03</v>
      </c>
      <c r="F1515" s="5">
        <v>21.63</v>
      </c>
      <c r="G1515" s="5">
        <v>21.23</v>
      </c>
      <c r="H1515" s="5">
        <v>20.78</v>
      </c>
      <c r="I1515" s="6">
        <v>-1.7698097735564189</v>
      </c>
    </row>
    <row r="1516" spans="1:9" ht="45" x14ac:dyDescent="0.25">
      <c r="A1516" s="1" t="s">
        <v>140</v>
      </c>
      <c r="B1516" s="5">
        <v>15.75</v>
      </c>
      <c r="C1516" s="5">
        <v>14.58</v>
      </c>
      <c r="D1516" s="5">
        <v>13.65</v>
      </c>
      <c r="E1516" s="5">
        <v>13.07</v>
      </c>
      <c r="F1516" s="5">
        <v>12.56</v>
      </c>
      <c r="G1516" s="5">
        <v>12.11</v>
      </c>
      <c r="H1516" s="5">
        <v>11.67</v>
      </c>
      <c r="I1516" s="6">
        <v>-4.874187</v>
      </c>
    </row>
    <row r="1517" spans="1:9" ht="45" x14ac:dyDescent="0.25">
      <c r="A1517" s="1" t="s">
        <v>141</v>
      </c>
      <c r="B1517" s="5">
        <v>2.77</v>
      </c>
      <c r="C1517" s="5">
        <v>2.89</v>
      </c>
      <c r="D1517" s="5">
        <v>2.98</v>
      </c>
      <c r="E1517" s="5">
        <v>3.04</v>
      </c>
      <c r="F1517" s="5">
        <v>3.08</v>
      </c>
      <c r="G1517" s="5">
        <v>3.1</v>
      </c>
      <c r="H1517" s="5">
        <v>3.1</v>
      </c>
      <c r="I1517" s="6">
        <v>1.8936189999999999</v>
      </c>
    </row>
    <row r="1518" spans="1:9" ht="45" x14ac:dyDescent="0.25">
      <c r="A1518" s="1" t="s">
        <v>142</v>
      </c>
      <c r="B1518" s="5">
        <v>27.97</v>
      </c>
      <c r="C1518" s="5">
        <v>26.88</v>
      </c>
      <c r="D1518" s="5">
        <v>26</v>
      </c>
      <c r="E1518" s="5">
        <v>25.2</v>
      </c>
      <c r="F1518" s="5">
        <v>24.44</v>
      </c>
      <c r="G1518" s="5">
        <v>23.72</v>
      </c>
      <c r="H1518" s="5">
        <v>23</v>
      </c>
      <c r="I1518" s="6">
        <v>-3.2080519999999999</v>
      </c>
    </row>
    <row r="1519" spans="1:9" ht="60" x14ac:dyDescent="0.25">
      <c r="A1519" s="1" t="s">
        <v>133</v>
      </c>
      <c r="B1519" s="7" t="s">
        <v>58</v>
      </c>
      <c r="C1519" s="7" t="s">
        <v>58</v>
      </c>
      <c r="D1519" s="7" t="s">
        <v>58</v>
      </c>
      <c r="E1519" s="7" t="s">
        <v>58</v>
      </c>
      <c r="F1519" s="7" t="s">
        <v>58</v>
      </c>
      <c r="G1519" s="7" t="s">
        <v>58</v>
      </c>
      <c r="H1519" s="7" t="s">
        <v>58</v>
      </c>
      <c r="I1519" s="7" t="s">
        <v>58</v>
      </c>
    </row>
    <row r="1520" spans="1:9" ht="60" x14ac:dyDescent="0.25">
      <c r="A1520" s="1" t="s">
        <v>134</v>
      </c>
      <c r="B1520" s="7" t="s">
        <v>58</v>
      </c>
      <c r="C1520" s="7" t="s">
        <v>58</v>
      </c>
      <c r="D1520" s="7" t="s">
        <v>58</v>
      </c>
      <c r="E1520" s="7" t="s">
        <v>58</v>
      </c>
      <c r="F1520" s="7" t="s">
        <v>58</v>
      </c>
      <c r="G1520" s="7" t="s">
        <v>58</v>
      </c>
      <c r="H1520" s="7" t="s">
        <v>58</v>
      </c>
      <c r="I1520" s="7" t="s">
        <v>58</v>
      </c>
    </row>
    <row r="1521" spans="1:9" x14ac:dyDescent="0.25">
      <c r="A1521" s="1" t="s">
        <v>12</v>
      </c>
      <c r="B1521" s="2"/>
      <c r="C1521" s="2"/>
      <c r="D1521" s="2"/>
      <c r="E1521" s="2"/>
      <c r="F1521" s="2"/>
      <c r="G1521" s="2"/>
      <c r="H1521" s="2"/>
      <c r="I1521" s="2"/>
    </row>
    <row r="1522" spans="1:9" x14ac:dyDescent="0.25">
      <c r="A1522" s="8" t="s">
        <v>87</v>
      </c>
      <c r="B1522" s="2"/>
      <c r="C1522" s="2"/>
      <c r="D1522" s="2"/>
      <c r="E1522" s="2"/>
      <c r="F1522" s="2"/>
      <c r="G1522" s="2"/>
      <c r="H1522" s="2"/>
      <c r="I1522" s="2"/>
    </row>
    <row r="1523" spans="1:9" ht="60" x14ac:dyDescent="0.25">
      <c r="A1523" s="1" t="s">
        <v>13</v>
      </c>
      <c r="B1523" s="5">
        <v>33.94</v>
      </c>
      <c r="C1523" s="5">
        <v>38.97</v>
      </c>
      <c r="D1523" s="5">
        <v>44.16</v>
      </c>
      <c r="E1523" s="5">
        <v>47.01</v>
      </c>
      <c r="F1523" s="5">
        <v>49.18</v>
      </c>
      <c r="G1523" s="5">
        <v>51.35</v>
      </c>
      <c r="H1523" s="5">
        <v>53.33</v>
      </c>
      <c r="I1523" s="6">
        <v>7.8226389999999997</v>
      </c>
    </row>
    <row r="1524" spans="1:9" ht="60" x14ac:dyDescent="0.25">
      <c r="A1524" s="1" t="s">
        <v>117</v>
      </c>
      <c r="B1524" s="5">
        <v>1.96</v>
      </c>
      <c r="C1524" s="5">
        <v>1.91</v>
      </c>
      <c r="D1524" s="5">
        <v>1.87</v>
      </c>
      <c r="E1524" s="5">
        <v>1.82</v>
      </c>
      <c r="F1524" s="5">
        <v>1.78</v>
      </c>
      <c r="G1524" s="5">
        <v>1.74</v>
      </c>
      <c r="H1524" s="5">
        <v>1.7</v>
      </c>
      <c r="I1524" s="6">
        <v>-2.3440279999999998</v>
      </c>
    </row>
    <row r="1525" spans="1:9" ht="60" x14ac:dyDescent="0.25">
      <c r="A1525" s="1" t="s">
        <v>118</v>
      </c>
      <c r="B1525" s="5">
        <v>2.37</v>
      </c>
      <c r="C1525" s="5">
        <v>2.13</v>
      </c>
      <c r="D1525" s="5">
        <v>1.93</v>
      </c>
      <c r="E1525" s="5">
        <v>1.77</v>
      </c>
      <c r="F1525" s="5">
        <v>1.64</v>
      </c>
      <c r="G1525" s="5">
        <v>1.54</v>
      </c>
      <c r="H1525" s="5">
        <v>1.47</v>
      </c>
      <c r="I1525" s="6">
        <v>-7.6518569999999997</v>
      </c>
    </row>
    <row r="1526" spans="1:9" ht="60" x14ac:dyDescent="0.25">
      <c r="A1526" s="1" t="s">
        <v>119</v>
      </c>
      <c r="B1526" s="5">
        <v>26.08</v>
      </c>
      <c r="C1526" s="5">
        <v>32.450000000000003</v>
      </c>
      <c r="D1526" s="5">
        <v>38.35</v>
      </c>
      <c r="E1526" s="5">
        <v>41.62</v>
      </c>
      <c r="F1526" s="5">
        <v>44.21</v>
      </c>
      <c r="G1526" s="5">
        <v>46.7</v>
      </c>
      <c r="H1526" s="5">
        <v>48.95</v>
      </c>
      <c r="I1526" s="6">
        <v>11.064223999999999</v>
      </c>
    </row>
    <row r="1527" spans="1:9" ht="60" x14ac:dyDescent="0.25">
      <c r="A1527" s="1" t="s">
        <v>120</v>
      </c>
      <c r="B1527" s="5">
        <v>0.22</v>
      </c>
      <c r="C1527" s="5">
        <v>0.23</v>
      </c>
      <c r="D1527" s="5">
        <v>0.24</v>
      </c>
      <c r="E1527" s="5">
        <v>0.25</v>
      </c>
      <c r="F1527" s="5">
        <v>0.25</v>
      </c>
      <c r="G1527" s="5">
        <v>0.26</v>
      </c>
      <c r="H1527" s="5">
        <v>0.26</v>
      </c>
      <c r="I1527" s="6">
        <v>2.8233570000000001</v>
      </c>
    </row>
    <row r="1528" spans="1:9" ht="75" x14ac:dyDescent="0.25">
      <c r="A1528" s="1" t="s">
        <v>121</v>
      </c>
      <c r="B1528" s="5">
        <v>3.28</v>
      </c>
      <c r="C1528" s="5">
        <v>2.23</v>
      </c>
      <c r="D1528" s="5">
        <v>1.75</v>
      </c>
      <c r="E1528" s="5">
        <v>1.52</v>
      </c>
      <c r="F1528" s="5">
        <v>1.28</v>
      </c>
      <c r="G1528" s="5">
        <v>1.0900000000000001</v>
      </c>
      <c r="H1528" s="5">
        <v>0.92</v>
      </c>
      <c r="I1528" s="6">
        <v>-19.093081000000002</v>
      </c>
    </row>
    <row r="1529" spans="1:9" ht="75" x14ac:dyDescent="0.25">
      <c r="A1529" s="1" t="s">
        <v>122</v>
      </c>
      <c r="B1529" s="5">
        <v>0.02</v>
      </c>
      <c r="C1529" s="5">
        <v>0.02</v>
      </c>
      <c r="D1529" s="5">
        <v>0.02</v>
      </c>
      <c r="E1529" s="5">
        <v>0.02</v>
      </c>
      <c r="F1529" s="5">
        <v>0.02</v>
      </c>
      <c r="G1529" s="5">
        <v>0.02</v>
      </c>
      <c r="H1529" s="5">
        <v>0.02</v>
      </c>
      <c r="I1529" s="6">
        <v>0</v>
      </c>
    </row>
    <row r="1530" spans="1:9" ht="60" x14ac:dyDescent="0.25">
      <c r="A1530" s="1" t="s">
        <v>123</v>
      </c>
      <c r="B1530" s="5">
        <v>5.78</v>
      </c>
      <c r="C1530" s="5">
        <v>4.91</v>
      </c>
      <c r="D1530" s="5">
        <v>4.2300000000000004</v>
      </c>
      <c r="E1530" s="5">
        <v>3.88</v>
      </c>
      <c r="F1530" s="5">
        <v>3.62</v>
      </c>
      <c r="G1530" s="5">
        <v>3.39</v>
      </c>
      <c r="H1530" s="5">
        <v>3.19</v>
      </c>
      <c r="I1530" s="6">
        <v>-9.4315069999999999</v>
      </c>
    </row>
    <row r="1531" spans="1:9" ht="60" x14ac:dyDescent="0.25">
      <c r="A1531" s="1" t="s">
        <v>124</v>
      </c>
      <c r="B1531" s="5">
        <v>6.99</v>
      </c>
      <c r="C1531" s="5">
        <v>5.46</v>
      </c>
      <c r="D1531" s="5">
        <v>4.38</v>
      </c>
      <c r="E1531" s="5">
        <v>3.77</v>
      </c>
      <c r="F1531" s="5">
        <v>3.33</v>
      </c>
      <c r="G1531" s="5">
        <v>3</v>
      </c>
      <c r="H1531" s="5">
        <v>2.75</v>
      </c>
      <c r="I1531" s="6">
        <v>-14.399575</v>
      </c>
    </row>
    <row r="1532" spans="1:9" ht="60" x14ac:dyDescent="0.25">
      <c r="A1532" s="1" t="s">
        <v>125</v>
      </c>
      <c r="B1532" s="5">
        <v>76.84</v>
      </c>
      <c r="C1532" s="5">
        <v>83.26</v>
      </c>
      <c r="D1532" s="5">
        <v>86.84</v>
      </c>
      <c r="E1532" s="5">
        <v>88.54</v>
      </c>
      <c r="F1532" s="5">
        <v>89.89</v>
      </c>
      <c r="G1532" s="5">
        <v>90.95</v>
      </c>
      <c r="H1532" s="5">
        <v>91.8</v>
      </c>
      <c r="I1532" s="6">
        <v>3.0091700000000001</v>
      </c>
    </row>
    <row r="1533" spans="1:9" ht="60" x14ac:dyDescent="0.25">
      <c r="A1533" s="1" t="s">
        <v>126</v>
      </c>
      <c r="B1533" s="5">
        <v>0.65</v>
      </c>
      <c r="C1533" s="5">
        <v>0.59</v>
      </c>
      <c r="D1533" s="5">
        <v>0.54</v>
      </c>
      <c r="E1533" s="5">
        <v>0.53</v>
      </c>
      <c r="F1533" s="5">
        <v>0.51</v>
      </c>
      <c r="G1533" s="5">
        <v>0.5</v>
      </c>
      <c r="H1533" s="5">
        <v>0.5</v>
      </c>
      <c r="I1533" s="6">
        <v>-4.2785120000000001</v>
      </c>
    </row>
    <row r="1534" spans="1:9" ht="75" x14ac:dyDescent="0.25">
      <c r="A1534" s="1" t="s">
        <v>127</v>
      </c>
      <c r="B1534" s="5">
        <v>9.68</v>
      </c>
      <c r="C1534" s="5">
        <v>5.73</v>
      </c>
      <c r="D1534" s="5">
        <v>3.96</v>
      </c>
      <c r="E1534" s="5">
        <v>3.23</v>
      </c>
      <c r="F1534" s="5">
        <v>2.6</v>
      </c>
      <c r="G1534" s="5">
        <v>2.12</v>
      </c>
      <c r="H1534" s="5">
        <v>1.73</v>
      </c>
      <c r="I1534" s="6">
        <v>-24.948083</v>
      </c>
    </row>
    <row r="1535" spans="1:9" ht="60" x14ac:dyDescent="0.25">
      <c r="A1535" s="1" t="s">
        <v>128</v>
      </c>
      <c r="B1535" s="5">
        <v>7.0000000000000007E-2</v>
      </c>
      <c r="C1535" s="5">
        <v>0.06</v>
      </c>
      <c r="D1535" s="5">
        <v>0.05</v>
      </c>
      <c r="E1535" s="5">
        <v>0.05</v>
      </c>
      <c r="F1535" s="5">
        <v>0.05</v>
      </c>
      <c r="G1535" s="5">
        <v>0.04</v>
      </c>
      <c r="H1535" s="5">
        <v>0.04</v>
      </c>
      <c r="I1535" s="6">
        <v>-8.9051849999999995</v>
      </c>
    </row>
    <row r="1536" spans="1:9" ht="45" x14ac:dyDescent="0.25">
      <c r="A1536" s="1" t="s">
        <v>129</v>
      </c>
      <c r="B1536" s="5">
        <v>19.29</v>
      </c>
      <c r="C1536" s="5">
        <v>19.55</v>
      </c>
      <c r="D1536" s="5">
        <v>19.52</v>
      </c>
      <c r="E1536" s="5">
        <v>19.53</v>
      </c>
      <c r="F1536" s="5">
        <v>19.62</v>
      </c>
      <c r="G1536" s="5">
        <v>19.73</v>
      </c>
      <c r="H1536" s="5">
        <v>19.84</v>
      </c>
      <c r="I1536" s="6">
        <v>0.46965401577725441</v>
      </c>
    </row>
    <row r="1537" spans="1:9" ht="45" x14ac:dyDescent="0.25">
      <c r="A1537" s="1" t="s">
        <v>140</v>
      </c>
      <c r="B1537" s="5">
        <v>10.38</v>
      </c>
      <c r="C1537" s="5">
        <v>10.18</v>
      </c>
      <c r="D1537" s="5">
        <v>9.91</v>
      </c>
      <c r="E1537" s="5">
        <v>9.75</v>
      </c>
      <c r="F1537" s="5">
        <v>9.7899999999999991</v>
      </c>
      <c r="G1537" s="5">
        <v>9.81</v>
      </c>
      <c r="H1537" s="5">
        <v>9.83</v>
      </c>
      <c r="I1537" s="6">
        <v>-0.90326200000000001</v>
      </c>
    </row>
    <row r="1538" spans="1:9" ht="45" x14ac:dyDescent="0.25">
      <c r="A1538" s="1" t="s">
        <v>141</v>
      </c>
      <c r="B1538" s="5">
        <v>15.4</v>
      </c>
      <c r="C1538" s="5">
        <v>15.18</v>
      </c>
      <c r="D1538" s="5">
        <v>14.82</v>
      </c>
      <c r="E1538" s="5">
        <v>14.61</v>
      </c>
      <c r="F1538" s="5">
        <v>14.53</v>
      </c>
      <c r="G1538" s="5">
        <v>14.47</v>
      </c>
      <c r="H1538" s="5">
        <v>14.43</v>
      </c>
      <c r="I1538" s="6">
        <v>-1.0784450000000001</v>
      </c>
    </row>
    <row r="1539" spans="1:9" ht="45" x14ac:dyDescent="0.25">
      <c r="A1539" s="1" t="s">
        <v>142</v>
      </c>
      <c r="B1539" s="5">
        <v>21.16</v>
      </c>
      <c r="C1539" s="5">
        <v>20.97</v>
      </c>
      <c r="D1539" s="5">
        <v>20.56</v>
      </c>
      <c r="E1539" s="5">
        <v>20.39</v>
      </c>
      <c r="F1539" s="5">
        <v>20.37</v>
      </c>
      <c r="G1539" s="5">
        <v>20.39</v>
      </c>
      <c r="H1539" s="5">
        <v>20.43</v>
      </c>
      <c r="I1539" s="6">
        <v>-0.58342799999999995</v>
      </c>
    </row>
    <row r="1540" spans="1:9" ht="60" x14ac:dyDescent="0.25">
      <c r="A1540" s="1" t="s">
        <v>133</v>
      </c>
      <c r="B1540" s="5">
        <v>47.503721910000003</v>
      </c>
      <c r="C1540" s="5">
        <v>46.383935559999998</v>
      </c>
      <c r="D1540" s="5">
        <v>44.802737260000001</v>
      </c>
      <c r="E1540" s="5">
        <v>43.752894779999998</v>
      </c>
      <c r="F1540" s="5">
        <v>43.061013760000002</v>
      </c>
      <c r="G1540" s="5">
        <v>42.465524189999996</v>
      </c>
      <c r="H1540" s="5">
        <v>41.915184500000002</v>
      </c>
      <c r="I1540" s="6">
        <v>-2.0643919529382604</v>
      </c>
    </row>
    <row r="1541" spans="1:9" ht="60" x14ac:dyDescent="0.25">
      <c r="A1541" s="1" t="s">
        <v>134</v>
      </c>
      <c r="B1541" s="5">
        <v>12.72</v>
      </c>
      <c r="C1541" s="5">
        <v>12.42</v>
      </c>
      <c r="D1541" s="5">
        <v>12.01</v>
      </c>
      <c r="E1541" s="5">
        <v>11.76</v>
      </c>
      <c r="F1541" s="5">
        <v>11.6</v>
      </c>
      <c r="G1541" s="5">
        <v>11.48</v>
      </c>
      <c r="H1541" s="5">
        <v>11.38</v>
      </c>
      <c r="I1541" s="6">
        <v>-1.8381970000000001</v>
      </c>
    </row>
    <row r="1542" spans="1:9" x14ac:dyDescent="0.25">
      <c r="A1542" s="1" t="s">
        <v>12</v>
      </c>
      <c r="B1542" s="2"/>
      <c r="C1542" s="2"/>
      <c r="D1542" s="2"/>
      <c r="E1542" s="2"/>
      <c r="F1542" s="2"/>
      <c r="G1542" s="2"/>
      <c r="H1542" s="2"/>
      <c r="I1542" s="2"/>
    </row>
    <row r="1543" spans="1:9" x14ac:dyDescent="0.25">
      <c r="A1543" s="8" t="s">
        <v>88</v>
      </c>
      <c r="B1543" s="2"/>
      <c r="C1543" s="2"/>
      <c r="D1543" s="2"/>
      <c r="E1543" s="2"/>
      <c r="F1543" s="2"/>
      <c r="G1543" s="2"/>
      <c r="H1543" s="2"/>
      <c r="I1543" s="2"/>
    </row>
    <row r="1544" spans="1:9" ht="60" x14ac:dyDescent="0.25">
      <c r="A1544" s="1" t="s">
        <v>13</v>
      </c>
      <c r="B1544" s="5">
        <v>64.150000000000006</v>
      </c>
      <c r="C1544" s="5">
        <v>65.91</v>
      </c>
      <c r="D1544" s="5">
        <v>67.599999999999994</v>
      </c>
      <c r="E1544" s="5">
        <v>69.34</v>
      </c>
      <c r="F1544" s="5">
        <v>70.97</v>
      </c>
      <c r="G1544" s="5">
        <v>72.48</v>
      </c>
      <c r="H1544" s="5">
        <v>73.89</v>
      </c>
      <c r="I1544" s="6">
        <v>2.3838599999999999</v>
      </c>
    </row>
    <row r="1545" spans="1:9" ht="60" x14ac:dyDescent="0.25">
      <c r="A1545" s="1" t="s">
        <v>117</v>
      </c>
      <c r="B1545" s="5">
        <v>16.37</v>
      </c>
      <c r="C1545" s="5">
        <v>14.57</v>
      </c>
      <c r="D1545" s="5">
        <v>13.05</v>
      </c>
      <c r="E1545" s="5">
        <v>11.78</v>
      </c>
      <c r="F1545" s="5">
        <v>10.68</v>
      </c>
      <c r="G1545" s="5">
        <v>9.74</v>
      </c>
      <c r="H1545" s="5">
        <v>8.92</v>
      </c>
      <c r="I1545" s="6">
        <v>-9.6240869999999994</v>
      </c>
    </row>
    <row r="1546" spans="1:9" ht="60" x14ac:dyDescent="0.25">
      <c r="A1546" s="1" t="s">
        <v>118</v>
      </c>
      <c r="B1546" s="5">
        <v>6.01</v>
      </c>
      <c r="C1546" s="5">
        <v>4.91</v>
      </c>
      <c r="D1546" s="5">
        <v>4.03</v>
      </c>
      <c r="E1546" s="5">
        <v>3.32</v>
      </c>
      <c r="F1546" s="5">
        <v>2.76</v>
      </c>
      <c r="G1546" s="5">
        <v>2.2999999999999998</v>
      </c>
      <c r="H1546" s="5">
        <v>1.93</v>
      </c>
      <c r="I1546" s="6">
        <v>-17.247623999999998</v>
      </c>
    </row>
    <row r="1547" spans="1:9" ht="60" x14ac:dyDescent="0.25">
      <c r="A1547" s="1" t="s">
        <v>119</v>
      </c>
      <c r="B1547" s="5">
        <v>35.69</v>
      </c>
      <c r="C1547" s="5">
        <v>40.97</v>
      </c>
      <c r="D1547" s="5">
        <v>45.68</v>
      </c>
      <c r="E1547" s="5">
        <v>49.98</v>
      </c>
      <c r="F1547" s="5">
        <v>53.83</v>
      </c>
      <c r="G1547" s="5">
        <v>57.28</v>
      </c>
      <c r="H1547" s="5">
        <v>60.38</v>
      </c>
      <c r="I1547" s="6">
        <v>9.1585509999999992</v>
      </c>
    </row>
    <row r="1548" spans="1:9" ht="60" x14ac:dyDescent="0.25">
      <c r="A1548" s="1" t="s">
        <v>120</v>
      </c>
      <c r="B1548" s="5">
        <v>0</v>
      </c>
      <c r="C1548" s="5">
        <v>0</v>
      </c>
      <c r="D1548" s="5">
        <v>0</v>
      </c>
      <c r="E1548" s="5">
        <v>0</v>
      </c>
      <c r="F1548" s="5">
        <v>0</v>
      </c>
      <c r="G1548" s="5">
        <v>0</v>
      </c>
      <c r="H1548" s="5">
        <v>0</v>
      </c>
      <c r="I1548" s="7" t="s">
        <v>58</v>
      </c>
    </row>
    <row r="1549" spans="1:9" ht="75" x14ac:dyDescent="0.25">
      <c r="A1549" s="1" t="s">
        <v>121</v>
      </c>
      <c r="B1549" s="5">
        <v>3.33</v>
      </c>
      <c r="C1549" s="5">
        <v>2.93</v>
      </c>
      <c r="D1549" s="5">
        <v>2.5499999999999998</v>
      </c>
      <c r="E1549" s="5">
        <v>2.19</v>
      </c>
      <c r="F1549" s="5">
        <v>1.85</v>
      </c>
      <c r="G1549" s="5">
        <v>1.54</v>
      </c>
      <c r="H1549" s="5">
        <v>1.25</v>
      </c>
      <c r="I1549" s="6">
        <v>-15.066772</v>
      </c>
    </row>
    <row r="1550" spans="1:9" ht="75" x14ac:dyDescent="0.25">
      <c r="A1550" s="1" t="s">
        <v>122</v>
      </c>
      <c r="B1550" s="5">
        <v>2.75</v>
      </c>
      <c r="C1550" s="5">
        <v>2.52</v>
      </c>
      <c r="D1550" s="5">
        <v>2.29</v>
      </c>
      <c r="E1550" s="5">
        <v>2.06</v>
      </c>
      <c r="F1550" s="5">
        <v>1.84</v>
      </c>
      <c r="G1550" s="5">
        <v>1.62</v>
      </c>
      <c r="H1550" s="5">
        <v>1.41</v>
      </c>
      <c r="I1550" s="6">
        <v>-10.536118999999999</v>
      </c>
    </row>
    <row r="1551" spans="1:9" ht="60" x14ac:dyDescent="0.25">
      <c r="A1551" s="1" t="s">
        <v>123</v>
      </c>
      <c r="B1551" s="5">
        <v>25.52</v>
      </c>
      <c r="C1551" s="5">
        <v>22.11</v>
      </c>
      <c r="D1551" s="5">
        <v>19.3</v>
      </c>
      <c r="E1551" s="5">
        <v>16.98</v>
      </c>
      <c r="F1551" s="5">
        <v>15.05</v>
      </c>
      <c r="G1551" s="5">
        <v>13.44</v>
      </c>
      <c r="H1551" s="5">
        <v>12.08</v>
      </c>
      <c r="I1551" s="6">
        <v>-11.719583</v>
      </c>
    </row>
    <row r="1552" spans="1:9" ht="60" x14ac:dyDescent="0.25">
      <c r="A1552" s="1" t="s">
        <v>124</v>
      </c>
      <c r="B1552" s="5">
        <v>9.3699999999999992</v>
      </c>
      <c r="C1552" s="5">
        <v>7.45</v>
      </c>
      <c r="D1552" s="5">
        <v>5.96</v>
      </c>
      <c r="E1552" s="5">
        <v>4.79</v>
      </c>
      <c r="F1552" s="5">
        <v>3.89</v>
      </c>
      <c r="G1552" s="5">
        <v>3.17</v>
      </c>
      <c r="H1552" s="5">
        <v>2.61</v>
      </c>
      <c r="I1552" s="6">
        <v>-19.186579999999999</v>
      </c>
    </row>
    <row r="1553" spans="1:9" ht="60" x14ac:dyDescent="0.25">
      <c r="A1553" s="1" t="s">
        <v>125</v>
      </c>
      <c r="B1553" s="5">
        <v>55.63</v>
      </c>
      <c r="C1553" s="5">
        <v>62.16</v>
      </c>
      <c r="D1553" s="5">
        <v>67.569999999999993</v>
      </c>
      <c r="E1553" s="5">
        <v>72.08</v>
      </c>
      <c r="F1553" s="5">
        <v>75.849999999999994</v>
      </c>
      <c r="G1553" s="5">
        <v>79.03</v>
      </c>
      <c r="H1553" s="5">
        <v>81.709999999999994</v>
      </c>
      <c r="I1553" s="6">
        <v>6.6173029999999997</v>
      </c>
    </row>
    <row r="1554" spans="1:9" ht="60" x14ac:dyDescent="0.25">
      <c r="A1554" s="1" t="s">
        <v>126</v>
      </c>
      <c r="B1554" s="5">
        <v>0</v>
      </c>
      <c r="C1554" s="5">
        <v>0</v>
      </c>
      <c r="D1554" s="5">
        <v>0</v>
      </c>
      <c r="E1554" s="5">
        <v>0</v>
      </c>
      <c r="F1554" s="5">
        <v>0</v>
      </c>
      <c r="G1554" s="5">
        <v>0</v>
      </c>
      <c r="H1554" s="5">
        <v>0</v>
      </c>
      <c r="I1554" s="7" t="s">
        <v>58</v>
      </c>
    </row>
    <row r="1555" spans="1:9" ht="75" x14ac:dyDescent="0.25">
      <c r="A1555" s="1" t="s">
        <v>127</v>
      </c>
      <c r="B1555" s="5">
        <v>5.18</v>
      </c>
      <c r="C1555" s="5">
        <v>4.45</v>
      </c>
      <c r="D1555" s="5">
        <v>3.78</v>
      </c>
      <c r="E1555" s="5">
        <v>3.16</v>
      </c>
      <c r="F1555" s="5">
        <v>2.61</v>
      </c>
      <c r="G1555" s="5">
        <v>2.12</v>
      </c>
      <c r="H1555" s="5">
        <v>1.69</v>
      </c>
      <c r="I1555" s="6">
        <v>-17.029032000000001</v>
      </c>
    </row>
    <row r="1556" spans="1:9" ht="60" x14ac:dyDescent="0.25">
      <c r="A1556" s="1" t="s">
        <v>128</v>
      </c>
      <c r="B1556" s="5">
        <v>4.29</v>
      </c>
      <c r="C1556" s="5">
        <v>3.82</v>
      </c>
      <c r="D1556" s="5">
        <v>3.39</v>
      </c>
      <c r="E1556" s="5">
        <v>2.98</v>
      </c>
      <c r="F1556" s="5">
        <v>2.59</v>
      </c>
      <c r="G1556" s="5">
        <v>2.2400000000000002</v>
      </c>
      <c r="H1556" s="5">
        <v>1.91</v>
      </c>
      <c r="I1556" s="6">
        <v>-12.616517999999999</v>
      </c>
    </row>
    <row r="1557" spans="1:9" ht="45" x14ac:dyDescent="0.25">
      <c r="A1557" s="1" t="s">
        <v>129</v>
      </c>
      <c r="B1557" s="5">
        <v>12.51</v>
      </c>
      <c r="C1557" s="5">
        <v>12.64</v>
      </c>
      <c r="D1557" s="5">
        <v>12.79</v>
      </c>
      <c r="E1557" s="5">
        <v>12.97</v>
      </c>
      <c r="F1557" s="5">
        <v>13.18</v>
      </c>
      <c r="G1557" s="5">
        <v>13.42</v>
      </c>
      <c r="H1557" s="5">
        <v>13.69</v>
      </c>
      <c r="I1557" s="6">
        <v>1.5136296559715934</v>
      </c>
    </row>
    <row r="1558" spans="1:9" ht="45" x14ac:dyDescent="0.25">
      <c r="A1558" s="1" t="s">
        <v>140</v>
      </c>
      <c r="B1558" s="7" t="s">
        <v>58</v>
      </c>
      <c r="C1558" s="7" t="s">
        <v>58</v>
      </c>
      <c r="D1558" s="7" t="s">
        <v>58</v>
      </c>
      <c r="E1558" s="7" t="s">
        <v>58</v>
      </c>
      <c r="F1558" s="7" t="s">
        <v>58</v>
      </c>
      <c r="G1558" s="7" t="s">
        <v>58</v>
      </c>
      <c r="H1558" s="7" t="s">
        <v>58</v>
      </c>
      <c r="I1558" s="7" t="s">
        <v>58</v>
      </c>
    </row>
    <row r="1559" spans="1:9" ht="45" x14ac:dyDescent="0.25">
      <c r="A1559" s="1" t="s">
        <v>141</v>
      </c>
      <c r="B1559" s="7" t="s">
        <v>58</v>
      </c>
      <c r="C1559" s="7" t="s">
        <v>58</v>
      </c>
      <c r="D1559" s="7" t="s">
        <v>58</v>
      </c>
      <c r="E1559" s="7" t="s">
        <v>58</v>
      </c>
      <c r="F1559" s="7" t="s">
        <v>58</v>
      </c>
      <c r="G1559" s="7" t="s">
        <v>58</v>
      </c>
      <c r="H1559" s="7" t="s">
        <v>58</v>
      </c>
      <c r="I1559" s="7" t="s">
        <v>58</v>
      </c>
    </row>
    <row r="1560" spans="1:9" ht="45" x14ac:dyDescent="0.25">
      <c r="A1560" s="1" t="s">
        <v>142</v>
      </c>
      <c r="B1560" s="7" t="s">
        <v>58</v>
      </c>
      <c r="C1560" s="7" t="s">
        <v>58</v>
      </c>
      <c r="D1560" s="7" t="s">
        <v>58</v>
      </c>
      <c r="E1560" s="7" t="s">
        <v>58</v>
      </c>
      <c r="F1560" s="7" t="s">
        <v>58</v>
      </c>
      <c r="G1560" s="7" t="s">
        <v>58</v>
      </c>
      <c r="H1560" s="7" t="s">
        <v>58</v>
      </c>
      <c r="I1560" s="7" t="s">
        <v>58</v>
      </c>
    </row>
    <row r="1561" spans="1:9" ht="60" x14ac:dyDescent="0.25">
      <c r="A1561" s="1" t="s">
        <v>133</v>
      </c>
      <c r="B1561" s="7" t="s">
        <v>58</v>
      </c>
      <c r="C1561" s="7" t="s">
        <v>58</v>
      </c>
      <c r="D1561" s="7" t="s">
        <v>58</v>
      </c>
      <c r="E1561" s="7" t="s">
        <v>58</v>
      </c>
      <c r="F1561" s="7" t="s">
        <v>58</v>
      </c>
      <c r="G1561" s="7" t="s">
        <v>58</v>
      </c>
      <c r="H1561" s="7" t="s">
        <v>58</v>
      </c>
      <c r="I1561" s="7" t="s">
        <v>58</v>
      </c>
    </row>
    <row r="1562" spans="1:9" ht="60" x14ac:dyDescent="0.25">
      <c r="A1562" s="1" t="s">
        <v>134</v>
      </c>
      <c r="B1562" s="7" t="s">
        <v>58</v>
      </c>
      <c r="C1562" s="7" t="s">
        <v>58</v>
      </c>
      <c r="D1562" s="7" t="s">
        <v>58</v>
      </c>
      <c r="E1562" s="7" t="s">
        <v>58</v>
      </c>
      <c r="F1562" s="7" t="s">
        <v>58</v>
      </c>
      <c r="G1562" s="7" t="s">
        <v>58</v>
      </c>
      <c r="H1562" s="7" t="s">
        <v>58</v>
      </c>
      <c r="I1562" s="7" t="s">
        <v>58</v>
      </c>
    </row>
    <row r="1563" spans="1:9" x14ac:dyDescent="0.25">
      <c r="A1563" s="1" t="s">
        <v>12</v>
      </c>
      <c r="B1563" s="2"/>
      <c r="C1563" s="2"/>
      <c r="D1563" s="2"/>
      <c r="E1563" s="2"/>
      <c r="F1563" s="2"/>
      <c r="G1563" s="2"/>
      <c r="H1563" s="2"/>
      <c r="I1563" s="2"/>
    </row>
    <row r="1564" spans="1:9" x14ac:dyDescent="0.25">
      <c r="A1564" s="8" t="s">
        <v>89</v>
      </c>
      <c r="B1564" s="2"/>
      <c r="C1564" s="2"/>
      <c r="D1564" s="2"/>
      <c r="E1564" s="2"/>
      <c r="F1564" s="2"/>
      <c r="G1564" s="2"/>
      <c r="H1564" s="2"/>
      <c r="I1564" s="2"/>
    </row>
    <row r="1565" spans="1:9" ht="60" x14ac:dyDescent="0.25">
      <c r="A1565" s="1" t="s">
        <v>13</v>
      </c>
      <c r="B1565" s="5">
        <v>90.13</v>
      </c>
      <c r="C1565" s="5">
        <v>91.71</v>
      </c>
      <c r="D1565" s="5">
        <v>93.09</v>
      </c>
      <c r="E1565" s="5">
        <v>94.31</v>
      </c>
      <c r="F1565" s="5">
        <v>95.39</v>
      </c>
      <c r="G1565" s="5">
        <v>96.4</v>
      </c>
      <c r="H1565" s="5">
        <v>97.55</v>
      </c>
      <c r="I1565" s="6">
        <v>1.327264</v>
      </c>
    </row>
    <row r="1566" spans="1:9" ht="60" x14ac:dyDescent="0.25">
      <c r="A1566" s="1" t="s">
        <v>117</v>
      </c>
      <c r="B1566" s="5">
        <v>22.61</v>
      </c>
      <c r="C1566" s="5">
        <v>22.64</v>
      </c>
      <c r="D1566" s="5">
        <v>22.63</v>
      </c>
      <c r="E1566" s="5">
        <v>22.52</v>
      </c>
      <c r="F1566" s="5">
        <v>22.37</v>
      </c>
      <c r="G1566" s="5">
        <v>22.21</v>
      </c>
      <c r="H1566" s="5">
        <v>22.1</v>
      </c>
      <c r="I1566" s="6">
        <v>-0.379523</v>
      </c>
    </row>
    <row r="1567" spans="1:9" ht="60" x14ac:dyDescent="0.25">
      <c r="A1567" s="1" t="s">
        <v>118</v>
      </c>
      <c r="B1567" s="5">
        <v>2.33</v>
      </c>
      <c r="C1567" s="5">
        <v>2.2200000000000002</v>
      </c>
      <c r="D1567" s="5">
        <v>2.14</v>
      </c>
      <c r="E1567" s="5">
        <v>2.02</v>
      </c>
      <c r="F1567" s="5">
        <v>1.91</v>
      </c>
      <c r="G1567" s="5">
        <v>1.79</v>
      </c>
      <c r="H1567" s="5">
        <v>1.67</v>
      </c>
      <c r="I1567" s="6">
        <v>-5.3995009999999999</v>
      </c>
    </row>
    <row r="1568" spans="1:9" ht="60" x14ac:dyDescent="0.25">
      <c r="A1568" s="1" t="s">
        <v>119</v>
      </c>
      <c r="B1568" s="5">
        <v>59.45</v>
      </c>
      <c r="C1568" s="5">
        <v>61.02</v>
      </c>
      <c r="D1568" s="5">
        <v>62.43</v>
      </c>
      <c r="E1568" s="5">
        <v>63.82</v>
      </c>
      <c r="F1568" s="5">
        <v>65.099999999999994</v>
      </c>
      <c r="G1568" s="5">
        <v>66.34</v>
      </c>
      <c r="H1568" s="5">
        <v>67.650000000000006</v>
      </c>
      <c r="I1568" s="6">
        <v>2.176885</v>
      </c>
    </row>
    <row r="1569" spans="1:9" ht="60" x14ac:dyDescent="0.25">
      <c r="A1569" s="1" t="s">
        <v>120</v>
      </c>
      <c r="B1569" s="5">
        <v>0.09</v>
      </c>
      <c r="C1569" s="5">
        <v>0.09</v>
      </c>
      <c r="D1569" s="5">
        <v>0.09</v>
      </c>
      <c r="E1569" s="5">
        <v>0.09</v>
      </c>
      <c r="F1569" s="5">
        <v>0.09</v>
      </c>
      <c r="G1569" s="5">
        <v>0.09</v>
      </c>
      <c r="H1569" s="5">
        <v>0.09</v>
      </c>
      <c r="I1569" s="6">
        <v>0</v>
      </c>
    </row>
    <row r="1570" spans="1:9" ht="75" x14ac:dyDescent="0.25">
      <c r="A1570" s="1" t="s">
        <v>121</v>
      </c>
      <c r="B1570" s="5">
        <v>5.66</v>
      </c>
      <c r="C1570" s="5">
        <v>5.74</v>
      </c>
      <c r="D1570" s="5">
        <v>5.8</v>
      </c>
      <c r="E1570" s="5">
        <v>5.86</v>
      </c>
      <c r="F1570" s="5">
        <v>5.92</v>
      </c>
      <c r="G1570" s="5">
        <v>5.97</v>
      </c>
      <c r="H1570" s="5">
        <v>6.03</v>
      </c>
      <c r="I1570" s="6">
        <v>1.0609740000000001</v>
      </c>
    </row>
    <row r="1571" spans="1:9" ht="75" x14ac:dyDescent="0.25">
      <c r="A1571" s="1" t="s">
        <v>122</v>
      </c>
      <c r="B1571" s="5">
        <v>0</v>
      </c>
      <c r="C1571" s="5">
        <v>0</v>
      </c>
      <c r="D1571" s="5">
        <v>0</v>
      </c>
      <c r="E1571" s="5">
        <v>0</v>
      </c>
      <c r="F1571" s="5">
        <v>0</v>
      </c>
      <c r="G1571" s="5">
        <v>0</v>
      </c>
      <c r="H1571" s="5">
        <v>0</v>
      </c>
      <c r="I1571" s="7" t="s">
        <v>58</v>
      </c>
    </row>
    <row r="1572" spans="1:9" ht="60" x14ac:dyDescent="0.25">
      <c r="A1572" s="1" t="s">
        <v>123</v>
      </c>
      <c r="B1572" s="5">
        <v>25.08</v>
      </c>
      <c r="C1572" s="5">
        <v>24.69</v>
      </c>
      <c r="D1572" s="5">
        <v>24.31</v>
      </c>
      <c r="E1572" s="5">
        <v>23.88</v>
      </c>
      <c r="F1572" s="5">
        <v>23.45</v>
      </c>
      <c r="G1572" s="5">
        <v>23.04</v>
      </c>
      <c r="H1572" s="5">
        <v>22.66</v>
      </c>
      <c r="I1572" s="6">
        <v>-1.676938</v>
      </c>
    </row>
    <row r="1573" spans="1:9" ht="60" x14ac:dyDescent="0.25">
      <c r="A1573" s="1" t="s">
        <v>124</v>
      </c>
      <c r="B1573" s="5">
        <v>2.58</v>
      </c>
      <c r="C1573" s="5">
        <v>2.42</v>
      </c>
      <c r="D1573" s="5">
        <v>2.29</v>
      </c>
      <c r="E1573" s="5">
        <v>2.14</v>
      </c>
      <c r="F1573" s="5">
        <v>2</v>
      </c>
      <c r="G1573" s="5">
        <v>1.86</v>
      </c>
      <c r="H1573" s="5">
        <v>1.71</v>
      </c>
      <c r="I1573" s="6">
        <v>-6.6252610000000001</v>
      </c>
    </row>
    <row r="1574" spans="1:9" ht="60" x14ac:dyDescent="0.25">
      <c r="A1574" s="1" t="s">
        <v>125</v>
      </c>
      <c r="B1574" s="5">
        <v>65.959999999999994</v>
      </c>
      <c r="C1574" s="5">
        <v>66.540000000000006</v>
      </c>
      <c r="D1574" s="5">
        <v>67.069999999999993</v>
      </c>
      <c r="E1574" s="5">
        <v>67.67</v>
      </c>
      <c r="F1574" s="5">
        <v>68.25</v>
      </c>
      <c r="G1574" s="5">
        <v>68.819999999999993</v>
      </c>
      <c r="H1574" s="5">
        <v>69.349999999999994</v>
      </c>
      <c r="I1574" s="6">
        <v>0.83879199999999998</v>
      </c>
    </row>
    <row r="1575" spans="1:9" ht="60" x14ac:dyDescent="0.25">
      <c r="A1575" s="1" t="s">
        <v>126</v>
      </c>
      <c r="B1575" s="5">
        <v>0.1</v>
      </c>
      <c r="C1575" s="5">
        <v>0.1</v>
      </c>
      <c r="D1575" s="5">
        <v>0.09</v>
      </c>
      <c r="E1575" s="5">
        <v>0.09</v>
      </c>
      <c r="F1575" s="5">
        <v>0.09</v>
      </c>
      <c r="G1575" s="5">
        <v>0.09</v>
      </c>
      <c r="H1575" s="5">
        <v>0.09</v>
      </c>
      <c r="I1575" s="6">
        <v>-1.7406809999999999</v>
      </c>
    </row>
    <row r="1576" spans="1:9" ht="75" x14ac:dyDescent="0.25">
      <c r="A1576" s="1" t="s">
        <v>127</v>
      </c>
      <c r="B1576" s="5">
        <v>6.28</v>
      </c>
      <c r="C1576" s="5">
        <v>6.26</v>
      </c>
      <c r="D1576" s="5">
        <v>6.24</v>
      </c>
      <c r="E1576" s="5">
        <v>6.22</v>
      </c>
      <c r="F1576" s="5">
        <v>6.2</v>
      </c>
      <c r="G1576" s="5">
        <v>6.19</v>
      </c>
      <c r="H1576" s="5">
        <v>6.18</v>
      </c>
      <c r="I1576" s="6">
        <v>-0.26717099999999999</v>
      </c>
    </row>
    <row r="1577" spans="1:9" ht="60" x14ac:dyDescent="0.25">
      <c r="A1577" s="1" t="s">
        <v>128</v>
      </c>
      <c r="B1577" s="5">
        <v>0</v>
      </c>
      <c r="C1577" s="5">
        <v>0</v>
      </c>
      <c r="D1577" s="5">
        <v>0</v>
      </c>
      <c r="E1577" s="5">
        <v>0</v>
      </c>
      <c r="F1577" s="5">
        <v>0</v>
      </c>
      <c r="G1577" s="5">
        <v>0</v>
      </c>
      <c r="H1577" s="5">
        <v>0</v>
      </c>
      <c r="I1577" s="7" t="s">
        <v>58</v>
      </c>
    </row>
    <row r="1578" spans="1:9" ht="45" x14ac:dyDescent="0.25">
      <c r="A1578" s="1" t="s">
        <v>129</v>
      </c>
      <c r="B1578" s="5">
        <v>27.87</v>
      </c>
      <c r="C1578" s="5">
        <v>27.7</v>
      </c>
      <c r="D1578" s="5">
        <v>27.96</v>
      </c>
      <c r="E1578" s="5">
        <v>28.24</v>
      </c>
      <c r="F1578" s="5">
        <v>28.51</v>
      </c>
      <c r="G1578" s="5">
        <v>28.8</v>
      </c>
      <c r="H1578" s="5">
        <v>29.08</v>
      </c>
      <c r="I1578" s="6">
        <v>0.71084477814993274</v>
      </c>
    </row>
    <row r="1579" spans="1:9" ht="45" x14ac:dyDescent="0.25">
      <c r="A1579" s="1" t="s">
        <v>140</v>
      </c>
      <c r="B1579" s="5">
        <v>26.42</v>
      </c>
      <c r="C1579" s="5">
        <v>26.35</v>
      </c>
      <c r="D1579" s="5">
        <v>26.48</v>
      </c>
      <c r="E1579" s="5">
        <v>26.63</v>
      </c>
      <c r="F1579" s="5">
        <v>26.81</v>
      </c>
      <c r="G1579" s="5">
        <v>27.01</v>
      </c>
      <c r="H1579" s="5">
        <v>27.22</v>
      </c>
      <c r="I1579" s="6">
        <v>0.49841600000000003</v>
      </c>
    </row>
    <row r="1580" spans="1:9" ht="45" x14ac:dyDescent="0.25">
      <c r="A1580" s="1" t="s">
        <v>141</v>
      </c>
      <c r="B1580" s="5">
        <v>24.56</v>
      </c>
      <c r="C1580" s="5">
        <v>24.71</v>
      </c>
      <c r="D1580" s="5">
        <v>24.92</v>
      </c>
      <c r="E1580" s="5">
        <v>25.12</v>
      </c>
      <c r="F1580" s="5">
        <v>25.31</v>
      </c>
      <c r="G1580" s="5">
        <v>25.49</v>
      </c>
      <c r="H1580" s="5">
        <v>25.66</v>
      </c>
      <c r="I1580" s="6">
        <v>0.73290999999999995</v>
      </c>
    </row>
    <row r="1581" spans="1:9" ht="45" x14ac:dyDescent="0.25">
      <c r="A1581" s="1" t="s">
        <v>142</v>
      </c>
      <c r="B1581" s="5">
        <v>28.73</v>
      </c>
      <c r="C1581" s="5">
        <v>28.64</v>
      </c>
      <c r="D1581" s="5">
        <v>28.96</v>
      </c>
      <c r="E1581" s="5">
        <v>29.27</v>
      </c>
      <c r="F1581" s="5">
        <v>29.58</v>
      </c>
      <c r="G1581" s="5">
        <v>29.89</v>
      </c>
      <c r="H1581" s="5">
        <v>30.19</v>
      </c>
      <c r="I1581" s="6">
        <v>0.82957000000000003</v>
      </c>
    </row>
    <row r="1582" spans="1:9" ht="60" x14ac:dyDescent="0.25">
      <c r="A1582" s="1" t="s">
        <v>133</v>
      </c>
      <c r="B1582" s="5">
        <v>0</v>
      </c>
      <c r="C1582" s="5">
        <v>0</v>
      </c>
      <c r="D1582" s="5">
        <v>0</v>
      </c>
      <c r="E1582" s="5">
        <v>0</v>
      </c>
      <c r="F1582" s="5">
        <v>0</v>
      </c>
      <c r="G1582" s="5">
        <v>0</v>
      </c>
      <c r="H1582" s="5">
        <v>0</v>
      </c>
      <c r="I1582" s="7" t="s">
        <v>58</v>
      </c>
    </row>
    <row r="1583" spans="1:9" ht="60" x14ac:dyDescent="0.25">
      <c r="A1583" s="1" t="s">
        <v>134</v>
      </c>
      <c r="B1583" s="5">
        <v>0</v>
      </c>
      <c r="C1583" s="5">
        <v>0</v>
      </c>
      <c r="D1583" s="5">
        <v>0</v>
      </c>
      <c r="E1583" s="5">
        <v>0</v>
      </c>
      <c r="F1583" s="5">
        <v>0</v>
      </c>
      <c r="G1583" s="5">
        <v>0</v>
      </c>
      <c r="H1583" s="5">
        <v>0</v>
      </c>
      <c r="I1583" s="7" t="s">
        <v>58</v>
      </c>
    </row>
    <row r="1584" spans="1:9" x14ac:dyDescent="0.25">
      <c r="A1584" s="1" t="s">
        <v>12</v>
      </c>
      <c r="B1584" s="2"/>
      <c r="C1584" s="2"/>
      <c r="D1584" s="2"/>
      <c r="E1584" s="2"/>
      <c r="F1584" s="2"/>
      <c r="G1584" s="2"/>
      <c r="H1584" s="2"/>
      <c r="I1584" s="2"/>
    </row>
    <row r="1585" spans="1:9" x14ac:dyDescent="0.25">
      <c r="A1585" s="8" t="s">
        <v>90</v>
      </c>
      <c r="B1585" s="2"/>
      <c r="C1585" s="2"/>
      <c r="D1585" s="2"/>
      <c r="E1585" s="2"/>
      <c r="F1585" s="2"/>
      <c r="G1585" s="2"/>
      <c r="H1585" s="2"/>
      <c r="I1585" s="2"/>
    </row>
    <row r="1586" spans="1:9" ht="60" x14ac:dyDescent="0.25">
      <c r="A1586" s="1" t="s">
        <v>13</v>
      </c>
      <c r="B1586" s="5">
        <v>64.48</v>
      </c>
      <c r="C1586" s="5">
        <v>66.88</v>
      </c>
      <c r="D1586" s="5">
        <v>69.239999999999995</v>
      </c>
      <c r="E1586" s="5">
        <v>71.53</v>
      </c>
      <c r="F1586" s="5">
        <v>73.72</v>
      </c>
      <c r="G1586" s="5">
        <v>75.81</v>
      </c>
      <c r="H1586" s="5">
        <v>77.8</v>
      </c>
      <c r="I1586" s="6">
        <v>3.179265</v>
      </c>
    </row>
    <row r="1587" spans="1:9" ht="60" x14ac:dyDescent="0.25">
      <c r="A1587" s="1" t="s">
        <v>117</v>
      </c>
      <c r="B1587" s="5">
        <v>39.659999999999997</v>
      </c>
      <c r="C1587" s="5">
        <v>41.38</v>
      </c>
      <c r="D1587" s="5">
        <v>43.03</v>
      </c>
      <c r="E1587" s="5">
        <v>44.62</v>
      </c>
      <c r="F1587" s="5">
        <v>46.15</v>
      </c>
      <c r="G1587" s="5">
        <v>47.62</v>
      </c>
      <c r="H1587" s="5">
        <v>49.03</v>
      </c>
      <c r="I1587" s="6">
        <v>3.5980379999999998</v>
      </c>
    </row>
    <row r="1588" spans="1:9" ht="60" x14ac:dyDescent="0.25">
      <c r="A1588" s="1" t="s">
        <v>118</v>
      </c>
      <c r="B1588" s="5">
        <v>9.89</v>
      </c>
      <c r="C1588" s="5">
        <v>8.94</v>
      </c>
      <c r="D1588" s="5">
        <v>8.1199999999999992</v>
      </c>
      <c r="E1588" s="5">
        <v>7.42</v>
      </c>
      <c r="F1588" s="5">
        <v>6.81</v>
      </c>
      <c r="G1588" s="5">
        <v>6.29</v>
      </c>
      <c r="H1588" s="5">
        <v>5.83</v>
      </c>
      <c r="I1588" s="6">
        <v>-8.4316519999999997</v>
      </c>
    </row>
    <row r="1589" spans="1:9" ht="60" x14ac:dyDescent="0.25">
      <c r="A1589" s="1" t="s">
        <v>119</v>
      </c>
      <c r="B1589" s="5">
        <v>12.32</v>
      </c>
      <c r="C1589" s="5">
        <v>13.71</v>
      </c>
      <c r="D1589" s="5">
        <v>14.98</v>
      </c>
      <c r="E1589" s="5">
        <v>16.12</v>
      </c>
      <c r="F1589" s="5">
        <v>17.13</v>
      </c>
      <c r="G1589" s="5">
        <v>18.03</v>
      </c>
      <c r="H1589" s="5">
        <v>18.82</v>
      </c>
      <c r="I1589" s="6">
        <v>7.3169079999999997</v>
      </c>
    </row>
    <row r="1590" spans="1:9" ht="60" x14ac:dyDescent="0.25">
      <c r="A1590" s="1" t="s">
        <v>120</v>
      </c>
      <c r="B1590" s="5">
        <v>0.01</v>
      </c>
      <c r="C1590" s="5">
        <v>0.01</v>
      </c>
      <c r="D1590" s="5">
        <v>0.01</v>
      </c>
      <c r="E1590" s="5">
        <v>0.01</v>
      </c>
      <c r="F1590" s="5">
        <v>0.01</v>
      </c>
      <c r="G1590" s="5">
        <v>0.01</v>
      </c>
      <c r="H1590" s="5">
        <v>0.01</v>
      </c>
      <c r="I1590" s="6">
        <v>0</v>
      </c>
    </row>
    <row r="1591" spans="1:9" ht="75" x14ac:dyDescent="0.25">
      <c r="A1591" s="1" t="s">
        <v>121</v>
      </c>
      <c r="B1591" s="5">
        <v>2.59</v>
      </c>
      <c r="C1591" s="5">
        <v>2.85</v>
      </c>
      <c r="D1591" s="5">
        <v>3.11</v>
      </c>
      <c r="E1591" s="5">
        <v>3.37</v>
      </c>
      <c r="F1591" s="5">
        <v>3.62</v>
      </c>
      <c r="G1591" s="5">
        <v>3.87</v>
      </c>
      <c r="H1591" s="5">
        <v>4.1100000000000003</v>
      </c>
      <c r="I1591" s="6">
        <v>7.9999799999999999</v>
      </c>
    </row>
    <row r="1592" spans="1:9" ht="75" x14ac:dyDescent="0.25">
      <c r="A1592" s="1" t="s">
        <v>122</v>
      </c>
      <c r="B1592" s="5">
        <v>0</v>
      </c>
      <c r="C1592" s="5">
        <v>0</v>
      </c>
      <c r="D1592" s="5">
        <v>0</v>
      </c>
      <c r="E1592" s="5">
        <v>0</v>
      </c>
      <c r="F1592" s="5">
        <v>0</v>
      </c>
      <c r="G1592" s="5">
        <v>0</v>
      </c>
      <c r="H1592" s="5">
        <v>0</v>
      </c>
      <c r="I1592" s="7" t="s">
        <v>58</v>
      </c>
    </row>
    <row r="1593" spans="1:9" ht="60" x14ac:dyDescent="0.25">
      <c r="A1593" s="1" t="s">
        <v>123</v>
      </c>
      <c r="B1593" s="5">
        <v>61.52</v>
      </c>
      <c r="C1593" s="5">
        <v>61.87</v>
      </c>
      <c r="D1593" s="5">
        <v>62.14</v>
      </c>
      <c r="E1593" s="5">
        <v>62.38</v>
      </c>
      <c r="F1593" s="5">
        <v>62.6</v>
      </c>
      <c r="G1593" s="5">
        <v>62.82</v>
      </c>
      <c r="H1593" s="5">
        <v>63.03</v>
      </c>
      <c r="I1593" s="6">
        <v>0.40495900000000001</v>
      </c>
    </row>
    <row r="1594" spans="1:9" ht="60" x14ac:dyDescent="0.25">
      <c r="A1594" s="1" t="s">
        <v>124</v>
      </c>
      <c r="B1594" s="5">
        <v>15.34</v>
      </c>
      <c r="C1594" s="5">
        <v>13.36</v>
      </c>
      <c r="D1594" s="5">
        <v>11.72</v>
      </c>
      <c r="E1594" s="5">
        <v>10.37</v>
      </c>
      <c r="F1594" s="5">
        <v>9.24</v>
      </c>
      <c r="G1594" s="5">
        <v>8.2899999999999991</v>
      </c>
      <c r="H1594" s="5">
        <v>7.49</v>
      </c>
      <c r="I1594" s="6">
        <v>-11.262046</v>
      </c>
    </row>
    <row r="1595" spans="1:9" ht="60" x14ac:dyDescent="0.25">
      <c r="A1595" s="1" t="s">
        <v>125</v>
      </c>
      <c r="B1595" s="5">
        <v>19.11</v>
      </c>
      <c r="C1595" s="5">
        <v>20.5</v>
      </c>
      <c r="D1595" s="5">
        <v>21.63</v>
      </c>
      <c r="E1595" s="5">
        <v>22.53</v>
      </c>
      <c r="F1595" s="5">
        <v>23.24</v>
      </c>
      <c r="G1595" s="5">
        <v>23.78</v>
      </c>
      <c r="H1595" s="5">
        <v>24.19</v>
      </c>
      <c r="I1595" s="6">
        <v>4.0069910000000002</v>
      </c>
    </row>
    <row r="1596" spans="1:9" ht="60" x14ac:dyDescent="0.25">
      <c r="A1596" s="1" t="s">
        <v>126</v>
      </c>
      <c r="B1596" s="5">
        <v>0.01</v>
      </c>
      <c r="C1596" s="5">
        <v>0.01</v>
      </c>
      <c r="D1596" s="5">
        <v>0.01</v>
      </c>
      <c r="E1596" s="5">
        <v>0.01</v>
      </c>
      <c r="F1596" s="5">
        <v>0.01</v>
      </c>
      <c r="G1596" s="5">
        <v>0.01</v>
      </c>
      <c r="H1596" s="5">
        <v>0.01</v>
      </c>
      <c r="I1596" s="6">
        <v>0</v>
      </c>
    </row>
    <row r="1597" spans="1:9" ht="75" x14ac:dyDescent="0.25">
      <c r="A1597" s="1" t="s">
        <v>127</v>
      </c>
      <c r="B1597" s="5">
        <v>4.0199999999999996</v>
      </c>
      <c r="C1597" s="5">
        <v>4.26</v>
      </c>
      <c r="D1597" s="5">
        <v>4.49</v>
      </c>
      <c r="E1597" s="5">
        <v>4.71</v>
      </c>
      <c r="F1597" s="5">
        <v>4.91</v>
      </c>
      <c r="G1597" s="5">
        <v>5.0999999999999996</v>
      </c>
      <c r="H1597" s="5">
        <v>5.29</v>
      </c>
      <c r="I1597" s="6">
        <v>4.681902</v>
      </c>
    </row>
    <row r="1598" spans="1:9" ht="60" x14ac:dyDescent="0.25">
      <c r="A1598" s="1" t="s">
        <v>128</v>
      </c>
      <c r="B1598" s="5">
        <v>0</v>
      </c>
      <c r="C1598" s="5">
        <v>0</v>
      </c>
      <c r="D1598" s="5">
        <v>0</v>
      </c>
      <c r="E1598" s="5">
        <v>0</v>
      </c>
      <c r="F1598" s="5">
        <v>0</v>
      </c>
      <c r="G1598" s="5">
        <v>0</v>
      </c>
      <c r="H1598" s="5">
        <v>0</v>
      </c>
      <c r="I1598" s="7" t="s">
        <v>58</v>
      </c>
    </row>
    <row r="1599" spans="1:9" ht="45" x14ac:dyDescent="0.25">
      <c r="A1599" s="1" t="s">
        <v>129</v>
      </c>
      <c r="B1599" s="7" t="s">
        <v>58</v>
      </c>
      <c r="C1599" s="7" t="s">
        <v>58</v>
      </c>
      <c r="D1599" s="7" t="s">
        <v>58</v>
      </c>
      <c r="E1599" s="7" t="s">
        <v>58</v>
      </c>
      <c r="F1599" s="7" t="s">
        <v>58</v>
      </c>
      <c r="G1599" s="7" t="s">
        <v>58</v>
      </c>
      <c r="H1599" s="7" t="s">
        <v>58</v>
      </c>
      <c r="I1599" s="7" t="s">
        <v>58</v>
      </c>
    </row>
    <row r="1600" spans="1:9" ht="45" x14ac:dyDescent="0.25">
      <c r="A1600" s="1" t="s">
        <v>140</v>
      </c>
      <c r="B1600" s="7" t="s">
        <v>58</v>
      </c>
      <c r="C1600" s="7" t="s">
        <v>58</v>
      </c>
      <c r="D1600" s="7" t="s">
        <v>58</v>
      </c>
      <c r="E1600" s="7" t="s">
        <v>58</v>
      </c>
      <c r="F1600" s="7" t="s">
        <v>58</v>
      </c>
      <c r="G1600" s="7" t="s">
        <v>58</v>
      </c>
      <c r="H1600" s="7" t="s">
        <v>58</v>
      </c>
      <c r="I1600" s="7" t="s">
        <v>58</v>
      </c>
    </row>
    <row r="1601" spans="1:9" ht="45" x14ac:dyDescent="0.25">
      <c r="A1601" s="1" t="s">
        <v>141</v>
      </c>
      <c r="B1601" s="7" t="s">
        <v>58</v>
      </c>
      <c r="C1601" s="7" t="s">
        <v>58</v>
      </c>
      <c r="D1601" s="7" t="s">
        <v>58</v>
      </c>
      <c r="E1601" s="7" t="s">
        <v>58</v>
      </c>
      <c r="F1601" s="7" t="s">
        <v>58</v>
      </c>
      <c r="G1601" s="7" t="s">
        <v>58</v>
      </c>
      <c r="H1601" s="7" t="s">
        <v>58</v>
      </c>
      <c r="I1601" s="7" t="s">
        <v>58</v>
      </c>
    </row>
    <row r="1602" spans="1:9" ht="45" x14ac:dyDescent="0.25">
      <c r="A1602" s="1" t="s">
        <v>142</v>
      </c>
      <c r="B1602" s="7" t="s">
        <v>58</v>
      </c>
      <c r="C1602" s="7" t="s">
        <v>58</v>
      </c>
      <c r="D1602" s="7" t="s">
        <v>58</v>
      </c>
      <c r="E1602" s="7" t="s">
        <v>58</v>
      </c>
      <c r="F1602" s="7" t="s">
        <v>58</v>
      </c>
      <c r="G1602" s="7" t="s">
        <v>58</v>
      </c>
      <c r="H1602" s="7" t="s">
        <v>58</v>
      </c>
      <c r="I1602" s="7" t="s">
        <v>58</v>
      </c>
    </row>
    <row r="1603" spans="1:9" ht="60" x14ac:dyDescent="0.25">
      <c r="A1603" s="1" t="s">
        <v>133</v>
      </c>
      <c r="B1603" s="7" t="s">
        <v>58</v>
      </c>
      <c r="C1603" s="7" t="s">
        <v>58</v>
      </c>
      <c r="D1603" s="7" t="s">
        <v>58</v>
      </c>
      <c r="E1603" s="7" t="s">
        <v>58</v>
      </c>
      <c r="F1603" s="7" t="s">
        <v>58</v>
      </c>
      <c r="G1603" s="7" t="s">
        <v>58</v>
      </c>
      <c r="H1603" s="7" t="s">
        <v>58</v>
      </c>
      <c r="I1603" s="7" t="s">
        <v>58</v>
      </c>
    </row>
    <row r="1604" spans="1:9" ht="60" x14ac:dyDescent="0.25">
      <c r="A1604" s="1" t="s">
        <v>134</v>
      </c>
      <c r="B1604" s="7" t="s">
        <v>58</v>
      </c>
      <c r="C1604" s="7" t="s">
        <v>58</v>
      </c>
      <c r="D1604" s="7" t="s">
        <v>58</v>
      </c>
      <c r="E1604" s="7" t="s">
        <v>58</v>
      </c>
      <c r="F1604" s="7" t="s">
        <v>58</v>
      </c>
      <c r="G1604" s="7" t="s">
        <v>58</v>
      </c>
      <c r="H1604" s="7" t="s">
        <v>58</v>
      </c>
      <c r="I1604" s="7" t="s">
        <v>58</v>
      </c>
    </row>
    <row r="1605" spans="1:9" x14ac:dyDescent="0.25">
      <c r="A1605" s="1" t="s">
        <v>12</v>
      </c>
      <c r="B1605" s="2"/>
      <c r="C1605" s="2"/>
      <c r="D1605" s="2"/>
      <c r="E1605" s="2"/>
      <c r="F1605" s="2"/>
      <c r="G1605" s="2"/>
      <c r="H1605" s="2"/>
      <c r="I1605" s="2"/>
    </row>
    <row r="1606" spans="1:9" x14ac:dyDescent="0.25">
      <c r="A1606" s="8" t="s">
        <v>91</v>
      </c>
      <c r="B1606" s="2"/>
      <c r="C1606" s="2"/>
      <c r="D1606" s="2"/>
      <c r="E1606" s="2"/>
      <c r="F1606" s="2"/>
      <c r="G1606" s="2"/>
      <c r="H1606" s="2"/>
      <c r="I1606" s="2"/>
    </row>
    <row r="1607" spans="1:9" ht="60" x14ac:dyDescent="0.25">
      <c r="A1607" s="1" t="s">
        <v>13</v>
      </c>
      <c r="B1607" s="5">
        <v>99.17</v>
      </c>
      <c r="C1607" s="5">
        <v>97.24</v>
      </c>
      <c r="D1607" s="5">
        <v>97.57</v>
      </c>
      <c r="E1607" s="5">
        <v>97.94</v>
      </c>
      <c r="F1607" s="5">
        <v>98.3</v>
      </c>
      <c r="G1607" s="5">
        <v>98.7</v>
      </c>
      <c r="H1607" s="5">
        <v>98.74</v>
      </c>
      <c r="I1607" s="6">
        <v>-7.2397000000000003E-2</v>
      </c>
    </row>
    <row r="1608" spans="1:9" ht="60" x14ac:dyDescent="0.25">
      <c r="A1608" s="1" t="s">
        <v>117</v>
      </c>
      <c r="B1608" s="5">
        <v>0</v>
      </c>
      <c r="C1608" s="5">
        <v>0</v>
      </c>
      <c r="D1608" s="5">
        <v>0</v>
      </c>
      <c r="E1608" s="5">
        <v>0</v>
      </c>
      <c r="F1608" s="5">
        <v>0</v>
      </c>
      <c r="G1608" s="5">
        <v>0</v>
      </c>
      <c r="H1608" s="5">
        <v>0</v>
      </c>
      <c r="I1608" s="7" t="s">
        <v>58</v>
      </c>
    </row>
    <row r="1609" spans="1:9" ht="60" x14ac:dyDescent="0.25">
      <c r="A1609" s="1" t="s">
        <v>118</v>
      </c>
      <c r="B1609" s="5">
        <v>0</v>
      </c>
      <c r="C1609" s="5">
        <v>0</v>
      </c>
      <c r="D1609" s="5">
        <v>0</v>
      </c>
      <c r="E1609" s="5">
        <v>0</v>
      </c>
      <c r="F1609" s="5">
        <v>0</v>
      </c>
      <c r="G1609" s="5">
        <v>0</v>
      </c>
      <c r="H1609" s="5">
        <v>0</v>
      </c>
      <c r="I1609" s="7" t="s">
        <v>58</v>
      </c>
    </row>
    <row r="1610" spans="1:9" ht="60" x14ac:dyDescent="0.25">
      <c r="A1610" s="1" t="s">
        <v>119</v>
      </c>
      <c r="B1610" s="5">
        <v>93.18</v>
      </c>
      <c r="C1610" s="5">
        <v>91.37</v>
      </c>
      <c r="D1610" s="5">
        <v>91.81</v>
      </c>
      <c r="E1610" s="5">
        <v>92.26</v>
      </c>
      <c r="F1610" s="5">
        <v>92.71</v>
      </c>
      <c r="G1610" s="5">
        <v>93.17</v>
      </c>
      <c r="H1610" s="5">
        <v>93.26</v>
      </c>
      <c r="I1610" s="6">
        <v>1.4304000000000001E-2</v>
      </c>
    </row>
    <row r="1611" spans="1:9" ht="60" x14ac:dyDescent="0.25">
      <c r="A1611" s="1" t="s">
        <v>120</v>
      </c>
      <c r="B1611" s="5">
        <v>5.99</v>
      </c>
      <c r="C1611" s="5">
        <v>5.87</v>
      </c>
      <c r="D1611" s="5">
        <v>5.76</v>
      </c>
      <c r="E1611" s="5">
        <v>5.68</v>
      </c>
      <c r="F1611" s="5">
        <v>5.59</v>
      </c>
      <c r="G1611" s="5">
        <v>5.54</v>
      </c>
      <c r="H1611" s="5">
        <v>5.48</v>
      </c>
      <c r="I1611" s="6">
        <v>-1.4721610000000001</v>
      </c>
    </row>
    <row r="1612" spans="1:9" ht="75" x14ac:dyDescent="0.25">
      <c r="A1612" s="1" t="s">
        <v>121</v>
      </c>
      <c r="B1612" s="5">
        <v>0</v>
      </c>
      <c r="C1612" s="5">
        <v>0</v>
      </c>
      <c r="D1612" s="5">
        <v>0</v>
      </c>
      <c r="E1612" s="5">
        <v>0</v>
      </c>
      <c r="F1612" s="5">
        <v>0</v>
      </c>
      <c r="G1612" s="5">
        <v>0</v>
      </c>
      <c r="H1612" s="5">
        <v>0</v>
      </c>
      <c r="I1612" s="7" t="s">
        <v>58</v>
      </c>
    </row>
    <row r="1613" spans="1:9" ht="75" x14ac:dyDescent="0.25">
      <c r="A1613" s="1" t="s">
        <v>122</v>
      </c>
      <c r="B1613" s="5">
        <v>0</v>
      </c>
      <c r="C1613" s="5">
        <v>0</v>
      </c>
      <c r="D1613" s="5">
        <v>0</v>
      </c>
      <c r="E1613" s="5">
        <v>0</v>
      </c>
      <c r="F1613" s="5">
        <v>0</v>
      </c>
      <c r="G1613" s="5">
        <v>0</v>
      </c>
      <c r="H1613" s="5">
        <v>0</v>
      </c>
      <c r="I1613" s="7" t="s">
        <v>58</v>
      </c>
    </row>
    <row r="1614" spans="1:9" ht="60" x14ac:dyDescent="0.25">
      <c r="A1614" s="1" t="s">
        <v>123</v>
      </c>
      <c r="B1614" s="5">
        <v>0</v>
      </c>
      <c r="C1614" s="5">
        <v>0</v>
      </c>
      <c r="D1614" s="5">
        <v>0</v>
      </c>
      <c r="E1614" s="5">
        <v>0</v>
      </c>
      <c r="F1614" s="5">
        <v>0</v>
      </c>
      <c r="G1614" s="5">
        <v>0</v>
      </c>
      <c r="H1614" s="5">
        <v>0</v>
      </c>
      <c r="I1614" s="7" t="s">
        <v>58</v>
      </c>
    </row>
    <row r="1615" spans="1:9" ht="60" x14ac:dyDescent="0.25">
      <c r="A1615" s="1" t="s">
        <v>124</v>
      </c>
      <c r="B1615" s="5">
        <v>0</v>
      </c>
      <c r="C1615" s="5">
        <v>0</v>
      </c>
      <c r="D1615" s="5">
        <v>0</v>
      </c>
      <c r="E1615" s="5">
        <v>0</v>
      </c>
      <c r="F1615" s="5">
        <v>0</v>
      </c>
      <c r="G1615" s="5">
        <v>0</v>
      </c>
      <c r="H1615" s="5">
        <v>0</v>
      </c>
      <c r="I1615" s="7" t="s">
        <v>58</v>
      </c>
    </row>
    <row r="1616" spans="1:9" ht="60" x14ac:dyDescent="0.25">
      <c r="A1616" s="1" t="s">
        <v>125</v>
      </c>
      <c r="B1616" s="5">
        <v>93.96</v>
      </c>
      <c r="C1616" s="5">
        <v>93.96</v>
      </c>
      <c r="D1616" s="5">
        <v>94.1</v>
      </c>
      <c r="E1616" s="5">
        <v>94.2</v>
      </c>
      <c r="F1616" s="5">
        <v>94.31</v>
      </c>
      <c r="G1616" s="5">
        <v>94.39</v>
      </c>
      <c r="H1616" s="5">
        <v>94.45</v>
      </c>
      <c r="I1616" s="6">
        <v>8.6728E-2</v>
      </c>
    </row>
    <row r="1617" spans="1:9" ht="60" x14ac:dyDescent="0.25">
      <c r="A1617" s="1" t="s">
        <v>126</v>
      </c>
      <c r="B1617" s="5">
        <v>6.04</v>
      </c>
      <c r="C1617" s="5">
        <v>6.04</v>
      </c>
      <c r="D1617" s="5">
        <v>5.9</v>
      </c>
      <c r="E1617" s="5">
        <v>5.8</v>
      </c>
      <c r="F1617" s="5">
        <v>5.69</v>
      </c>
      <c r="G1617" s="5">
        <v>5.61</v>
      </c>
      <c r="H1617" s="5">
        <v>5.55</v>
      </c>
      <c r="I1617" s="6">
        <v>-1.4002060000000001</v>
      </c>
    </row>
    <row r="1618" spans="1:9" ht="75" x14ac:dyDescent="0.25">
      <c r="A1618" s="1" t="s">
        <v>127</v>
      </c>
      <c r="B1618" s="5">
        <v>0</v>
      </c>
      <c r="C1618" s="5">
        <v>0</v>
      </c>
      <c r="D1618" s="5">
        <v>0</v>
      </c>
      <c r="E1618" s="5">
        <v>0</v>
      </c>
      <c r="F1618" s="5">
        <v>0</v>
      </c>
      <c r="G1618" s="5">
        <v>0</v>
      </c>
      <c r="H1618" s="5">
        <v>0</v>
      </c>
      <c r="I1618" s="7" t="s">
        <v>58</v>
      </c>
    </row>
    <row r="1619" spans="1:9" ht="60" x14ac:dyDescent="0.25">
      <c r="A1619" s="1" t="s">
        <v>128</v>
      </c>
      <c r="B1619" s="5">
        <v>0</v>
      </c>
      <c r="C1619" s="5">
        <v>0</v>
      </c>
      <c r="D1619" s="5">
        <v>0</v>
      </c>
      <c r="E1619" s="5">
        <v>0</v>
      </c>
      <c r="F1619" s="5">
        <v>0</v>
      </c>
      <c r="G1619" s="5">
        <v>0</v>
      </c>
      <c r="H1619" s="5">
        <v>0</v>
      </c>
      <c r="I1619" s="7" t="s">
        <v>58</v>
      </c>
    </row>
    <row r="1620" spans="1:9" ht="45" x14ac:dyDescent="0.25">
      <c r="A1620" s="1" t="s">
        <v>129</v>
      </c>
      <c r="B1620" s="7" t="s">
        <v>58</v>
      </c>
      <c r="C1620" s="7" t="s">
        <v>58</v>
      </c>
      <c r="D1620" s="7" t="s">
        <v>58</v>
      </c>
      <c r="E1620" s="7" t="s">
        <v>58</v>
      </c>
      <c r="F1620" s="7" t="s">
        <v>58</v>
      </c>
      <c r="G1620" s="7" t="s">
        <v>58</v>
      </c>
      <c r="H1620" s="7" t="s">
        <v>58</v>
      </c>
      <c r="I1620" s="7" t="s">
        <v>58</v>
      </c>
    </row>
    <row r="1621" spans="1:9" ht="45" x14ac:dyDescent="0.25">
      <c r="A1621" s="1" t="s">
        <v>140</v>
      </c>
      <c r="B1621" s="7" t="s">
        <v>58</v>
      </c>
      <c r="C1621" s="7" t="s">
        <v>58</v>
      </c>
      <c r="D1621" s="7" t="s">
        <v>58</v>
      </c>
      <c r="E1621" s="7" t="s">
        <v>58</v>
      </c>
      <c r="F1621" s="7" t="s">
        <v>58</v>
      </c>
      <c r="G1621" s="7" t="s">
        <v>58</v>
      </c>
      <c r="H1621" s="7" t="s">
        <v>58</v>
      </c>
      <c r="I1621" s="7" t="s">
        <v>58</v>
      </c>
    </row>
    <row r="1622" spans="1:9" ht="45" x14ac:dyDescent="0.25">
      <c r="A1622" s="1" t="s">
        <v>141</v>
      </c>
      <c r="B1622" s="7" t="s">
        <v>58</v>
      </c>
      <c r="C1622" s="7" t="s">
        <v>58</v>
      </c>
      <c r="D1622" s="7" t="s">
        <v>58</v>
      </c>
      <c r="E1622" s="7" t="s">
        <v>58</v>
      </c>
      <c r="F1622" s="7" t="s">
        <v>58</v>
      </c>
      <c r="G1622" s="7" t="s">
        <v>58</v>
      </c>
      <c r="H1622" s="7" t="s">
        <v>58</v>
      </c>
      <c r="I1622" s="7" t="s">
        <v>58</v>
      </c>
    </row>
    <row r="1623" spans="1:9" ht="45" x14ac:dyDescent="0.25">
      <c r="A1623" s="1" t="s">
        <v>142</v>
      </c>
      <c r="B1623" s="7" t="s">
        <v>58</v>
      </c>
      <c r="C1623" s="7" t="s">
        <v>58</v>
      </c>
      <c r="D1623" s="7" t="s">
        <v>58</v>
      </c>
      <c r="E1623" s="7" t="s">
        <v>58</v>
      </c>
      <c r="F1623" s="7" t="s">
        <v>58</v>
      </c>
      <c r="G1623" s="7" t="s">
        <v>58</v>
      </c>
      <c r="H1623" s="7" t="s">
        <v>58</v>
      </c>
      <c r="I1623" s="7" t="s">
        <v>58</v>
      </c>
    </row>
    <row r="1624" spans="1:9" ht="60" x14ac:dyDescent="0.25">
      <c r="A1624" s="1" t="s">
        <v>133</v>
      </c>
      <c r="B1624" s="7" t="s">
        <v>58</v>
      </c>
      <c r="C1624" s="7" t="s">
        <v>58</v>
      </c>
      <c r="D1624" s="7" t="s">
        <v>58</v>
      </c>
      <c r="E1624" s="7" t="s">
        <v>58</v>
      </c>
      <c r="F1624" s="7" t="s">
        <v>58</v>
      </c>
      <c r="G1624" s="7" t="s">
        <v>58</v>
      </c>
      <c r="H1624" s="7" t="s">
        <v>58</v>
      </c>
      <c r="I1624" s="7" t="s">
        <v>58</v>
      </c>
    </row>
    <row r="1625" spans="1:9" ht="60" x14ac:dyDescent="0.25">
      <c r="A1625" s="1" t="s">
        <v>134</v>
      </c>
      <c r="B1625" s="7" t="s">
        <v>58</v>
      </c>
      <c r="C1625" s="7" t="s">
        <v>58</v>
      </c>
      <c r="D1625" s="7" t="s">
        <v>58</v>
      </c>
      <c r="E1625" s="7" t="s">
        <v>58</v>
      </c>
      <c r="F1625" s="7" t="s">
        <v>58</v>
      </c>
      <c r="G1625" s="7" t="s">
        <v>58</v>
      </c>
      <c r="H1625" s="7" t="s">
        <v>58</v>
      </c>
      <c r="I1625" s="7" t="s">
        <v>58</v>
      </c>
    </row>
    <row r="1626" spans="1:9" x14ac:dyDescent="0.25">
      <c r="A1626" s="1" t="s">
        <v>12</v>
      </c>
      <c r="B1626" s="2"/>
      <c r="C1626" s="2"/>
      <c r="D1626" s="2"/>
      <c r="E1626" s="2"/>
      <c r="F1626" s="2"/>
      <c r="G1626" s="2"/>
      <c r="H1626" s="2"/>
      <c r="I1626" s="2"/>
    </row>
    <row r="1627" spans="1:9" x14ac:dyDescent="0.25">
      <c r="A1627" s="8" t="s">
        <v>92</v>
      </c>
      <c r="B1627" s="2"/>
      <c r="C1627" s="2"/>
      <c r="D1627" s="2"/>
      <c r="E1627" s="2"/>
      <c r="F1627" s="2"/>
      <c r="G1627" s="2"/>
      <c r="H1627" s="2"/>
      <c r="I1627" s="2"/>
    </row>
    <row r="1628" spans="1:9" ht="60" x14ac:dyDescent="0.25">
      <c r="A1628" s="1" t="s">
        <v>13</v>
      </c>
      <c r="B1628" s="5">
        <v>85.74</v>
      </c>
      <c r="C1628" s="5">
        <v>88.3</v>
      </c>
      <c r="D1628" s="5">
        <v>89.83</v>
      </c>
      <c r="E1628" s="5">
        <v>91.06</v>
      </c>
      <c r="F1628" s="5">
        <v>91.98</v>
      </c>
      <c r="G1628" s="5">
        <v>92.86</v>
      </c>
      <c r="H1628" s="5">
        <v>93.64</v>
      </c>
      <c r="I1628" s="6">
        <v>1.4798119999999999</v>
      </c>
    </row>
    <row r="1629" spans="1:9" ht="60" x14ac:dyDescent="0.25">
      <c r="A1629" s="1" t="s">
        <v>117</v>
      </c>
      <c r="B1629" s="5">
        <v>8.57</v>
      </c>
      <c r="C1629" s="5">
        <v>7.95</v>
      </c>
      <c r="D1629" s="5">
        <v>7.42</v>
      </c>
      <c r="E1629" s="5">
        <v>6.93</v>
      </c>
      <c r="F1629" s="5">
        <v>6.47</v>
      </c>
      <c r="G1629" s="5">
        <v>6.05</v>
      </c>
      <c r="H1629" s="5">
        <v>5.65</v>
      </c>
      <c r="I1629" s="6">
        <v>-6.7079570000000004</v>
      </c>
    </row>
    <row r="1630" spans="1:9" ht="60" x14ac:dyDescent="0.25">
      <c r="A1630" s="1" t="s">
        <v>118</v>
      </c>
      <c r="B1630" s="5">
        <v>0.86</v>
      </c>
      <c r="C1630" s="5">
        <v>0.26</v>
      </c>
      <c r="D1630" s="5">
        <v>0.14000000000000001</v>
      </c>
      <c r="E1630" s="5">
        <v>0.08</v>
      </c>
      <c r="F1630" s="5">
        <v>0.06</v>
      </c>
      <c r="G1630" s="5">
        <v>0.05</v>
      </c>
      <c r="H1630" s="5">
        <v>0.04</v>
      </c>
      <c r="I1630" s="6">
        <v>-40.030983999999997</v>
      </c>
    </row>
    <row r="1631" spans="1:9" ht="60" x14ac:dyDescent="0.25">
      <c r="A1631" s="1" t="s">
        <v>119</v>
      </c>
      <c r="B1631" s="5">
        <v>72.88</v>
      </c>
      <c r="C1631" s="5">
        <v>77.7</v>
      </c>
      <c r="D1631" s="5">
        <v>80.31</v>
      </c>
      <c r="E1631" s="5">
        <v>82.38</v>
      </c>
      <c r="F1631" s="5">
        <v>84</v>
      </c>
      <c r="G1631" s="5">
        <v>85.45</v>
      </c>
      <c r="H1631" s="5">
        <v>86.74</v>
      </c>
      <c r="I1631" s="6">
        <v>2.9441899999999999</v>
      </c>
    </row>
    <row r="1632" spans="1:9" ht="60" x14ac:dyDescent="0.25">
      <c r="A1632" s="1" t="s">
        <v>120</v>
      </c>
      <c r="B1632" s="5">
        <v>0</v>
      </c>
      <c r="C1632" s="5">
        <v>0</v>
      </c>
      <c r="D1632" s="5">
        <v>0</v>
      </c>
      <c r="E1632" s="5">
        <v>0</v>
      </c>
      <c r="F1632" s="5">
        <v>0</v>
      </c>
      <c r="G1632" s="5">
        <v>0</v>
      </c>
      <c r="H1632" s="5">
        <v>0</v>
      </c>
      <c r="I1632" s="7" t="s">
        <v>58</v>
      </c>
    </row>
    <row r="1633" spans="1:9" ht="75" x14ac:dyDescent="0.25">
      <c r="A1633" s="1" t="s">
        <v>121</v>
      </c>
      <c r="B1633" s="5">
        <v>0.34</v>
      </c>
      <c r="C1633" s="5">
        <v>0.53</v>
      </c>
      <c r="D1633" s="5">
        <v>0.38</v>
      </c>
      <c r="E1633" s="5">
        <v>0.33</v>
      </c>
      <c r="F1633" s="5">
        <v>0.31</v>
      </c>
      <c r="G1633" s="5">
        <v>0.3</v>
      </c>
      <c r="H1633" s="5">
        <v>0.28999999999999998</v>
      </c>
      <c r="I1633" s="6">
        <v>-2.6162459999999998</v>
      </c>
    </row>
    <row r="1634" spans="1:9" ht="75" x14ac:dyDescent="0.25">
      <c r="A1634" s="1" t="s">
        <v>122</v>
      </c>
      <c r="B1634" s="5">
        <v>3.09</v>
      </c>
      <c r="C1634" s="5">
        <v>1.85</v>
      </c>
      <c r="D1634" s="5">
        <v>1.57</v>
      </c>
      <c r="E1634" s="5">
        <v>1.34</v>
      </c>
      <c r="F1634" s="5">
        <v>1.1299999999999999</v>
      </c>
      <c r="G1634" s="5">
        <v>1.02</v>
      </c>
      <c r="H1634" s="5">
        <v>0.92</v>
      </c>
      <c r="I1634" s="6">
        <v>-18.284416</v>
      </c>
    </row>
    <row r="1635" spans="1:9" ht="60" x14ac:dyDescent="0.25">
      <c r="A1635" s="1" t="s">
        <v>123</v>
      </c>
      <c r="B1635" s="5">
        <v>10</v>
      </c>
      <c r="C1635" s="5">
        <v>9</v>
      </c>
      <c r="D1635" s="5">
        <v>8.26</v>
      </c>
      <c r="E1635" s="5">
        <v>7.61</v>
      </c>
      <c r="F1635" s="5">
        <v>7.04</v>
      </c>
      <c r="G1635" s="5">
        <v>6.51</v>
      </c>
      <c r="H1635" s="5">
        <v>6.03</v>
      </c>
      <c r="I1635" s="6">
        <v>-8.0850369999999998</v>
      </c>
    </row>
    <row r="1636" spans="1:9" ht="60" x14ac:dyDescent="0.25">
      <c r="A1636" s="1" t="s">
        <v>124</v>
      </c>
      <c r="B1636" s="5">
        <v>1</v>
      </c>
      <c r="C1636" s="5">
        <v>0.3</v>
      </c>
      <c r="D1636" s="5">
        <v>0.15</v>
      </c>
      <c r="E1636" s="5">
        <v>0.09</v>
      </c>
      <c r="F1636" s="5">
        <v>0.06</v>
      </c>
      <c r="G1636" s="5">
        <v>0.05</v>
      </c>
      <c r="H1636" s="5">
        <v>0.05</v>
      </c>
      <c r="I1636" s="6">
        <v>-39.303776999999997</v>
      </c>
    </row>
    <row r="1637" spans="1:9" ht="60" x14ac:dyDescent="0.25">
      <c r="A1637" s="1" t="s">
        <v>125</v>
      </c>
      <c r="B1637" s="5">
        <v>85</v>
      </c>
      <c r="C1637" s="5">
        <v>88</v>
      </c>
      <c r="D1637" s="5">
        <v>89.41</v>
      </c>
      <c r="E1637" s="5">
        <v>90.46</v>
      </c>
      <c r="F1637" s="5">
        <v>91.33</v>
      </c>
      <c r="G1637" s="5">
        <v>92.02</v>
      </c>
      <c r="H1637" s="5">
        <v>92.63</v>
      </c>
      <c r="I1637" s="6">
        <v>1.443009</v>
      </c>
    </row>
    <row r="1638" spans="1:9" ht="60" x14ac:dyDescent="0.25">
      <c r="A1638" s="1" t="s">
        <v>126</v>
      </c>
      <c r="B1638" s="5">
        <v>0</v>
      </c>
      <c r="C1638" s="5">
        <v>0</v>
      </c>
      <c r="D1638" s="5">
        <v>0</v>
      </c>
      <c r="E1638" s="5">
        <v>0</v>
      </c>
      <c r="F1638" s="5">
        <v>0</v>
      </c>
      <c r="G1638" s="5">
        <v>0</v>
      </c>
      <c r="H1638" s="5">
        <v>0</v>
      </c>
      <c r="I1638" s="7" t="s">
        <v>58</v>
      </c>
    </row>
    <row r="1639" spans="1:9" ht="75" x14ac:dyDescent="0.25">
      <c r="A1639" s="1" t="s">
        <v>127</v>
      </c>
      <c r="B1639" s="5">
        <v>0.4</v>
      </c>
      <c r="C1639" s="5">
        <v>0.6</v>
      </c>
      <c r="D1639" s="5">
        <v>0.43</v>
      </c>
      <c r="E1639" s="5">
        <v>0.36</v>
      </c>
      <c r="F1639" s="5">
        <v>0.34</v>
      </c>
      <c r="G1639" s="5">
        <v>0.32</v>
      </c>
      <c r="H1639" s="5">
        <v>0.31</v>
      </c>
      <c r="I1639" s="6">
        <v>-4.1592320000000003</v>
      </c>
    </row>
    <row r="1640" spans="1:9" ht="60" x14ac:dyDescent="0.25">
      <c r="A1640" s="1" t="s">
        <v>128</v>
      </c>
      <c r="B1640" s="5">
        <v>3.6</v>
      </c>
      <c r="C1640" s="5">
        <v>2.1</v>
      </c>
      <c r="D1640" s="5">
        <v>1.75</v>
      </c>
      <c r="E1640" s="5">
        <v>1.47</v>
      </c>
      <c r="F1640" s="5">
        <v>1.23</v>
      </c>
      <c r="G1640" s="5">
        <v>1.1000000000000001</v>
      </c>
      <c r="H1640" s="5">
        <v>0.98</v>
      </c>
      <c r="I1640" s="6">
        <v>-19.495418999999998</v>
      </c>
    </row>
    <row r="1641" spans="1:9" ht="45" x14ac:dyDescent="0.25">
      <c r="A1641" s="1" t="s">
        <v>129</v>
      </c>
      <c r="B1641" s="7" t="s">
        <v>58</v>
      </c>
      <c r="C1641" s="7" t="s">
        <v>58</v>
      </c>
      <c r="D1641" s="7" t="s">
        <v>58</v>
      </c>
      <c r="E1641" s="7" t="s">
        <v>58</v>
      </c>
      <c r="F1641" s="7" t="s">
        <v>58</v>
      </c>
      <c r="G1641" s="7" t="s">
        <v>58</v>
      </c>
      <c r="H1641" s="7" t="s">
        <v>58</v>
      </c>
      <c r="I1641" s="7" t="s">
        <v>58</v>
      </c>
    </row>
    <row r="1642" spans="1:9" ht="45" x14ac:dyDescent="0.25">
      <c r="A1642" s="1" t="s">
        <v>140</v>
      </c>
      <c r="B1642" s="7" t="s">
        <v>58</v>
      </c>
      <c r="C1642" s="7" t="s">
        <v>58</v>
      </c>
      <c r="D1642" s="7" t="s">
        <v>58</v>
      </c>
      <c r="E1642" s="7" t="s">
        <v>58</v>
      </c>
      <c r="F1642" s="7" t="s">
        <v>58</v>
      </c>
      <c r="G1642" s="7" t="s">
        <v>58</v>
      </c>
      <c r="H1642" s="7" t="s">
        <v>58</v>
      </c>
      <c r="I1642" s="7" t="s">
        <v>58</v>
      </c>
    </row>
    <row r="1643" spans="1:9" ht="45" x14ac:dyDescent="0.25">
      <c r="A1643" s="1" t="s">
        <v>141</v>
      </c>
      <c r="B1643" s="7" t="s">
        <v>58</v>
      </c>
      <c r="C1643" s="7" t="s">
        <v>58</v>
      </c>
      <c r="D1643" s="7" t="s">
        <v>58</v>
      </c>
      <c r="E1643" s="7" t="s">
        <v>58</v>
      </c>
      <c r="F1643" s="7" t="s">
        <v>58</v>
      </c>
      <c r="G1643" s="7" t="s">
        <v>58</v>
      </c>
      <c r="H1643" s="7" t="s">
        <v>58</v>
      </c>
      <c r="I1643" s="7" t="s">
        <v>58</v>
      </c>
    </row>
    <row r="1644" spans="1:9" ht="45" x14ac:dyDescent="0.25">
      <c r="A1644" s="1" t="s">
        <v>142</v>
      </c>
      <c r="B1644" s="7" t="s">
        <v>58</v>
      </c>
      <c r="C1644" s="7" t="s">
        <v>58</v>
      </c>
      <c r="D1644" s="7" t="s">
        <v>58</v>
      </c>
      <c r="E1644" s="7" t="s">
        <v>58</v>
      </c>
      <c r="F1644" s="7" t="s">
        <v>58</v>
      </c>
      <c r="G1644" s="7" t="s">
        <v>58</v>
      </c>
      <c r="H1644" s="7" t="s">
        <v>58</v>
      </c>
      <c r="I1644" s="7" t="s">
        <v>58</v>
      </c>
    </row>
    <row r="1645" spans="1:9" ht="60" x14ac:dyDescent="0.25">
      <c r="A1645" s="1" t="s">
        <v>133</v>
      </c>
      <c r="B1645" s="7" t="s">
        <v>58</v>
      </c>
      <c r="C1645" s="7" t="s">
        <v>58</v>
      </c>
      <c r="D1645" s="7" t="s">
        <v>58</v>
      </c>
      <c r="E1645" s="7" t="s">
        <v>58</v>
      </c>
      <c r="F1645" s="7" t="s">
        <v>58</v>
      </c>
      <c r="G1645" s="7" t="s">
        <v>58</v>
      </c>
      <c r="H1645" s="7" t="s">
        <v>58</v>
      </c>
      <c r="I1645" s="7" t="s">
        <v>58</v>
      </c>
    </row>
    <row r="1646" spans="1:9" ht="60" x14ac:dyDescent="0.25">
      <c r="A1646" s="1" t="s">
        <v>134</v>
      </c>
      <c r="B1646" s="7" t="s">
        <v>58</v>
      </c>
      <c r="C1646" s="7" t="s">
        <v>58</v>
      </c>
      <c r="D1646" s="7" t="s">
        <v>58</v>
      </c>
      <c r="E1646" s="7" t="s">
        <v>58</v>
      </c>
      <c r="F1646" s="7" t="s">
        <v>58</v>
      </c>
      <c r="G1646" s="7" t="s">
        <v>58</v>
      </c>
      <c r="H1646" s="7" t="s">
        <v>58</v>
      </c>
      <c r="I1646" s="7" t="s">
        <v>58</v>
      </c>
    </row>
    <row r="1647" spans="1:9" x14ac:dyDescent="0.25">
      <c r="A1647" s="1" t="s">
        <v>12</v>
      </c>
      <c r="B1647" s="2"/>
      <c r="C1647" s="2"/>
      <c r="D1647" s="2"/>
      <c r="E1647" s="2"/>
      <c r="F1647" s="2"/>
      <c r="G1647" s="2"/>
      <c r="H1647" s="2"/>
      <c r="I1647" s="2"/>
    </row>
    <row r="1648" spans="1:9" x14ac:dyDescent="0.25">
      <c r="A1648" s="8" t="s">
        <v>93</v>
      </c>
      <c r="B1648" s="2"/>
      <c r="C1648" s="2"/>
      <c r="D1648" s="2"/>
      <c r="E1648" s="2"/>
      <c r="F1648" s="2"/>
      <c r="G1648" s="2"/>
      <c r="H1648" s="2"/>
      <c r="I1648" s="2"/>
    </row>
    <row r="1649" spans="1:9" ht="60" x14ac:dyDescent="0.25">
      <c r="A1649" s="1" t="s">
        <v>13</v>
      </c>
      <c r="B1649" s="5">
        <v>64.81</v>
      </c>
      <c r="C1649" s="5">
        <v>67.33</v>
      </c>
      <c r="D1649" s="5">
        <v>69.069999999999993</v>
      </c>
      <c r="E1649" s="5">
        <v>70.52</v>
      </c>
      <c r="F1649" s="5">
        <v>71.709999999999994</v>
      </c>
      <c r="G1649" s="5">
        <v>72.67</v>
      </c>
      <c r="H1649" s="5">
        <v>73.430000000000007</v>
      </c>
      <c r="I1649" s="6">
        <v>2.1030190000000002</v>
      </c>
    </row>
    <row r="1650" spans="1:9" ht="60" x14ac:dyDescent="0.25">
      <c r="A1650" s="1" t="s">
        <v>117</v>
      </c>
      <c r="B1650" s="5">
        <v>9.4499999999999993</v>
      </c>
      <c r="C1650" s="5">
        <v>9.32</v>
      </c>
      <c r="D1650" s="5">
        <v>9.2100000000000009</v>
      </c>
      <c r="E1650" s="5">
        <v>9.11</v>
      </c>
      <c r="F1650" s="5">
        <v>9.0299999999999994</v>
      </c>
      <c r="G1650" s="5">
        <v>8.9499999999999993</v>
      </c>
      <c r="H1650" s="5">
        <v>8.89</v>
      </c>
      <c r="I1650" s="6">
        <v>-1.0129630000000001</v>
      </c>
    </row>
    <row r="1651" spans="1:9" ht="60" x14ac:dyDescent="0.25">
      <c r="A1651" s="1" t="s">
        <v>118</v>
      </c>
      <c r="B1651" s="5">
        <v>6.08</v>
      </c>
      <c r="C1651" s="5">
        <v>5.38</v>
      </c>
      <c r="D1651" s="5">
        <v>4.95</v>
      </c>
      <c r="E1651" s="5">
        <v>4.6900000000000004</v>
      </c>
      <c r="F1651" s="5">
        <v>4.54</v>
      </c>
      <c r="G1651" s="5">
        <v>4.4400000000000004</v>
      </c>
      <c r="H1651" s="5">
        <v>4.38</v>
      </c>
      <c r="I1651" s="6">
        <v>-5.3192360000000001</v>
      </c>
    </row>
    <row r="1652" spans="1:9" ht="60" x14ac:dyDescent="0.25">
      <c r="A1652" s="1" t="s">
        <v>119</v>
      </c>
      <c r="B1652" s="5">
        <v>47.16</v>
      </c>
      <c r="C1652" s="5">
        <v>50.41</v>
      </c>
      <c r="D1652" s="5">
        <v>52.67</v>
      </c>
      <c r="E1652" s="5">
        <v>54.46</v>
      </c>
      <c r="F1652" s="5">
        <v>55.88</v>
      </c>
      <c r="G1652" s="5">
        <v>57</v>
      </c>
      <c r="H1652" s="5">
        <v>57.89</v>
      </c>
      <c r="I1652" s="6">
        <v>3.4756809999999998</v>
      </c>
    </row>
    <row r="1653" spans="1:9" ht="60" x14ac:dyDescent="0.25">
      <c r="A1653" s="1" t="s">
        <v>120</v>
      </c>
      <c r="B1653" s="5">
        <v>1.46</v>
      </c>
      <c r="C1653" s="5">
        <v>1.57</v>
      </c>
      <c r="D1653" s="5">
        <v>1.59</v>
      </c>
      <c r="E1653" s="5">
        <v>1.61</v>
      </c>
      <c r="F1653" s="5">
        <v>1.62</v>
      </c>
      <c r="G1653" s="5">
        <v>1.62</v>
      </c>
      <c r="H1653" s="5">
        <v>1.63</v>
      </c>
      <c r="I1653" s="6">
        <v>1.852679</v>
      </c>
    </row>
    <row r="1654" spans="1:9" ht="75" x14ac:dyDescent="0.25">
      <c r="A1654" s="1" t="s">
        <v>121</v>
      </c>
      <c r="B1654" s="5">
        <v>0.66</v>
      </c>
      <c r="C1654" s="5">
        <v>0.65</v>
      </c>
      <c r="D1654" s="5">
        <v>0.64</v>
      </c>
      <c r="E1654" s="5">
        <v>0.64</v>
      </c>
      <c r="F1654" s="5">
        <v>0.64</v>
      </c>
      <c r="G1654" s="5">
        <v>0.64</v>
      </c>
      <c r="H1654" s="5">
        <v>0.63</v>
      </c>
      <c r="I1654" s="6">
        <v>-0.77233600000000002</v>
      </c>
    </row>
    <row r="1655" spans="1:9" ht="75" x14ac:dyDescent="0.25">
      <c r="A1655" s="1" t="s">
        <v>122</v>
      </c>
      <c r="B1655" s="5">
        <v>0.01</v>
      </c>
      <c r="C1655" s="5">
        <v>0.01</v>
      </c>
      <c r="D1655" s="5">
        <v>0.01</v>
      </c>
      <c r="E1655" s="5">
        <v>0.01</v>
      </c>
      <c r="F1655" s="5">
        <v>0.01</v>
      </c>
      <c r="G1655" s="5">
        <v>0.01</v>
      </c>
      <c r="H1655" s="5">
        <v>0.01</v>
      </c>
      <c r="I1655" s="6">
        <v>0</v>
      </c>
    </row>
    <row r="1656" spans="1:9" ht="60" x14ac:dyDescent="0.25">
      <c r="A1656" s="1" t="s">
        <v>123</v>
      </c>
      <c r="B1656" s="5">
        <v>14.58</v>
      </c>
      <c r="C1656" s="5">
        <v>13.85</v>
      </c>
      <c r="D1656" s="5">
        <v>13.33</v>
      </c>
      <c r="E1656" s="5">
        <v>12.92</v>
      </c>
      <c r="F1656" s="5">
        <v>12.59</v>
      </c>
      <c r="G1656" s="5">
        <v>12.32</v>
      </c>
      <c r="H1656" s="5">
        <v>12.1</v>
      </c>
      <c r="I1656" s="6">
        <v>-3.0596369999999999</v>
      </c>
    </row>
    <row r="1657" spans="1:9" ht="60" x14ac:dyDescent="0.25">
      <c r="A1657" s="1" t="s">
        <v>124</v>
      </c>
      <c r="B1657" s="5">
        <v>9.3800000000000008</v>
      </c>
      <c r="C1657" s="5">
        <v>7.99</v>
      </c>
      <c r="D1657" s="5">
        <v>7.17</v>
      </c>
      <c r="E1657" s="5">
        <v>6.66</v>
      </c>
      <c r="F1657" s="5">
        <v>6.33</v>
      </c>
      <c r="G1657" s="5">
        <v>6.11</v>
      </c>
      <c r="H1657" s="5">
        <v>5.97</v>
      </c>
      <c r="I1657" s="6">
        <v>-7.2539870000000004</v>
      </c>
    </row>
    <row r="1658" spans="1:9" ht="60" x14ac:dyDescent="0.25">
      <c r="A1658" s="1" t="s">
        <v>125</v>
      </c>
      <c r="B1658" s="5">
        <v>72.760000000000005</v>
      </c>
      <c r="C1658" s="5">
        <v>74.86</v>
      </c>
      <c r="D1658" s="5">
        <v>76.25</v>
      </c>
      <c r="E1658" s="5">
        <v>77.23</v>
      </c>
      <c r="F1658" s="5">
        <v>77.930000000000007</v>
      </c>
      <c r="G1658" s="5">
        <v>78.45</v>
      </c>
      <c r="H1658" s="5">
        <v>78.83</v>
      </c>
      <c r="I1658" s="6">
        <v>1.3444119999999999</v>
      </c>
    </row>
    <row r="1659" spans="1:9" ht="60" x14ac:dyDescent="0.25">
      <c r="A1659" s="1" t="s">
        <v>126</v>
      </c>
      <c r="B1659" s="5">
        <v>2.25</v>
      </c>
      <c r="C1659" s="5">
        <v>2.33</v>
      </c>
      <c r="D1659" s="5">
        <v>2.2999999999999998</v>
      </c>
      <c r="E1659" s="5">
        <v>2.2799999999999998</v>
      </c>
      <c r="F1659" s="5">
        <v>2.2599999999999998</v>
      </c>
      <c r="G1659" s="5">
        <v>2.2400000000000002</v>
      </c>
      <c r="H1659" s="5">
        <v>2.2200000000000002</v>
      </c>
      <c r="I1659" s="6">
        <v>-0.223467</v>
      </c>
    </row>
    <row r="1660" spans="1:9" ht="75" x14ac:dyDescent="0.25">
      <c r="A1660" s="1" t="s">
        <v>127</v>
      </c>
      <c r="B1660" s="5">
        <v>1.01</v>
      </c>
      <c r="C1660" s="5">
        <v>0.96</v>
      </c>
      <c r="D1660" s="5">
        <v>0.93</v>
      </c>
      <c r="E1660" s="5">
        <v>0.91</v>
      </c>
      <c r="F1660" s="5">
        <v>0.89</v>
      </c>
      <c r="G1660" s="5">
        <v>0.87</v>
      </c>
      <c r="H1660" s="5">
        <v>0.86</v>
      </c>
      <c r="I1660" s="6">
        <v>-2.6439720000000002</v>
      </c>
    </row>
    <row r="1661" spans="1:9" ht="60" x14ac:dyDescent="0.25">
      <c r="A1661" s="1" t="s">
        <v>128</v>
      </c>
      <c r="B1661" s="5">
        <v>0.02</v>
      </c>
      <c r="C1661" s="5">
        <v>0.01</v>
      </c>
      <c r="D1661" s="5">
        <v>0.01</v>
      </c>
      <c r="E1661" s="5">
        <v>0.01</v>
      </c>
      <c r="F1661" s="5">
        <v>0.01</v>
      </c>
      <c r="G1661" s="5">
        <v>0.01</v>
      </c>
      <c r="H1661" s="5">
        <v>0.01</v>
      </c>
      <c r="I1661" s="6">
        <v>-10.910128</v>
      </c>
    </row>
    <row r="1662" spans="1:9" ht="45" x14ac:dyDescent="0.25">
      <c r="A1662" s="1" t="s">
        <v>129</v>
      </c>
      <c r="B1662" s="7" t="s">
        <v>58</v>
      </c>
      <c r="C1662" s="7" t="s">
        <v>58</v>
      </c>
      <c r="D1662" s="7" t="s">
        <v>58</v>
      </c>
      <c r="E1662" s="7" t="s">
        <v>58</v>
      </c>
      <c r="F1662" s="7" t="s">
        <v>58</v>
      </c>
      <c r="G1662" s="7" t="s">
        <v>58</v>
      </c>
      <c r="H1662" s="7" t="s">
        <v>58</v>
      </c>
      <c r="I1662" s="7" t="s">
        <v>58</v>
      </c>
    </row>
    <row r="1663" spans="1:9" ht="45" x14ac:dyDescent="0.25">
      <c r="A1663" s="1" t="s">
        <v>140</v>
      </c>
      <c r="B1663" s="7" t="s">
        <v>58</v>
      </c>
      <c r="C1663" s="7" t="s">
        <v>58</v>
      </c>
      <c r="D1663" s="7" t="s">
        <v>58</v>
      </c>
      <c r="E1663" s="7" t="s">
        <v>58</v>
      </c>
      <c r="F1663" s="7" t="s">
        <v>58</v>
      </c>
      <c r="G1663" s="7" t="s">
        <v>58</v>
      </c>
      <c r="H1663" s="7" t="s">
        <v>58</v>
      </c>
      <c r="I1663" s="7" t="s">
        <v>58</v>
      </c>
    </row>
    <row r="1664" spans="1:9" ht="45" x14ac:dyDescent="0.25">
      <c r="A1664" s="1" t="s">
        <v>141</v>
      </c>
      <c r="B1664" s="7" t="s">
        <v>58</v>
      </c>
      <c r="C1664" s="7" t="s">
        <v>58</v>
      </c>
      <c r="D1664" s="7" t="s">
        <v>58</v>
      </c>
      <c r="E1664" s="7" t="s">
        <v>58</v>
      </c>
      <c r="F1664" s="7" t="s">
        <v>58</v>
      </c>
      <c r="G1664" s="7" t="s">
        <v>58</v>
      </c>
      <c r="H1664" s="7" t="s">
        <v>58</v>
      </c>
      <c r="I1664" s="7" t="s">
        <v>58</v>
      </c>
    </row>
    <row r="1665" spans="1:9" ht="45" x14ac:dyDescent="0.25">
      <c r="A1665" s="1" t="s">
        <v>142</v>
      </c>
      <c r="B1665" s="7" t="s">
        <v>58</v>
      </c>
      <c r="C1665" s="7" t="s">
        <v>58</v>
      </c>
      <c r="D1665" s="7" t="s">
        <v>58</v>
      </c>
      <c r="E1665" s="7" t="s">
        <v>58</v>
      </c>
      <c r="F1665" s="7" t="s">
        <v>58</v>
      </c>
      <c r="G1665" s="7" t="s">
        <v>58</v>
      </c>
      <c r="H1665" s="7" t="s">
        <v>58</v>
      </c>
      <c r="I1665" s="7" t="s">
        <v>58</v>
      </c>
    </row>
    <row r="1666" spans="1:9" ht="60" x14ac:dyDescent="0.25">
      <c r="A1666" s="1" t="s">
        <v>133</v>
      </c>
      <c r="B1666" s="7" t="s">
        <v>58</v>
      </c>
      <c r="C1666" s="7" t="s">
        <v>58</v>
      </c>
      <c r="D1666" s="7" t="s">
        <v>58</v>
      </c>
      <c r="E1666" s="7" t="s">
        <v>58</v>
      </c>
      <c r="F1666" s="7" t="s">
        <v>58</v>
      </c>
      <c r="G1666" s="7" t="s">
        <v>58</v>
      </c>
      <c r="H1666" s="7" t="s">
        <v>58</v>
      </c>
      <c r="I1666" s="7" t="s">
        <v>58</v>
      </c>
    </row>
    <row r="1667" spans="1:9" ht="60" x14ac:dyDescent="0.25">
      <c r="A1667" s="1" t="s">
        <v>134</v>
      </c>
      <c r="B1667" s="7" t="s">
        <v>58</v>
      </c>
      <c r="C1667" s="7" t="s">
        <v>58</v>
      </c>
      <c r="D1667" s="7" t="s">
        <v>58</v>
      </c>
      <c r="E1667" s="7" t="s">
        <v>58</v>
      </c>
      <c r="F1667" s="7" t="s">
        <v>58</v>
      </c>
      <c r="G1667" s="7" t="s">
        <v>58</v>
      </c>
      <c r="H1667" s="7" t="s">
        <v>58</v>
      </c>
      <c r="I1667" s="7" t="s">
        <v>58</v>
      </c>
    </row>
    <row r="1668" spans="1:9" x14ac:dyDescent="0.25">
      <c r="A1668" s="1" t="s">
        <v>12</v>
      </c>
      <c r="B1668" s="2"/>
      <c r="C1668" s="2"/>
      <c r="D1668" s="2"/>
      <c r="E1668" s="2"/>
      <c r="F1668" s="2"/>
      <c r="G1668" s="2"/>
      <c r="H1668" s="2"/>
      <c r="I1668" s="2"/>
    </row>
    <row r="1669" spans="1:9" x14ac:dyDescent="0.25">
      <c r="A1669" s="8" t="s">
        <v>94</v>
      </c>
      <c r="B1669" s="2"/>
      <c r="C1669" s="2"/>
      <c r="D1669" s="2"/>
      <c r="E1669" s="2"/>
      <c r="F1669" s="2"/>
      <c r="G1669" s="2"/>
      <c r="H1669" s="2"/>
      <c r="I1669" s="2"/>
    </row>
    <row r="1670" spans="1:9" ht="60" x14ac:dyDescent="0.25">
      <c r="A1670" s="1" t="s">
        <v>13</v>
      </c>
      <c r="B1670" s="5">
        <v>47.77</v>
      </c>
      <c r="C1670" s="5">
        <v>49.82</v>
      </c>
      <c r="D1670" s="5">
        <v>51.74</v>
      </c>
      <c r="E1670" s="5">
        <v>52.49</v>
      </c>
      <c r="F1670" s="5">
        <v>53.54</v>
      </c>
      <c r="G1670" s="5">
        <v>54.66</v>
      </c>
      <c r="H1670" s="5">
        <v>55.33</v>
      </c>
      <c r="I1670" s="6">
        <v>2.4788489999999999</v>
      </c>
    </row>
    <row r="1671" spans="1:9" ht="60" x14ac:dyDescent="0.25">
      <c r="A1671" s="1" t="s">
        <v>117</v>
      </c>
      <c r="B1671" s="5">
        <v>0</v>
      </c>
      <c r="C1671" s="5">
        <v>0</v>
      </c>
      <c r="D1671" s="5">
        <v>0</v>
      </c>
      <c r="E1671" s="5">
        <v>0</v>
      </c>
      <c r="F1671" s="5">
        <v>0</v>
      </c>
      <c r="G1671" s="5">
        <v>0</v>
      </c>
      <c r="H1671" s="5">
        <v>0</v>
      </c>
      <c r="I1671" s="7" t="s">
        <v>58</v>
      </c>
    </row>
    <row r="1672" spans="1:9" ht="60" x14ac:dyDescent="0.25">
      <c r="A1672" s="1" t="s">
        <v>118</v>
      </c>
      <c r="B1672" s="5">
        <v>4.7</v>
      </c>
      <c r="C1672" s="5">
        <v>3.99</v>
      </c>
      <c r="D1672" s="5">
        <v>3.39</v>
      </c>
      <c r="E1672" s="5">
        <v>2.88</v>
      </c>
      <c r="F1672" s="5">
        <v>2.62</v>
      </c>
      <c r="G1672" s="5">
        <v>2.38</v>
      </c>
      <c r="H1672" s="5">
        <v>2.16</v>
      </c>
      <c r="I1672" s="6">
        <v>-12.153193</v>
      </c>
    </row>
    <row r="1673" spans="1:9" ht="60" x14ac:dyDescent="0.25">
      <c r="A1673" s="1" t="s">
        <v>119</v>
      </c>
      <c r="B1673" s="5">
        <v>42.56</v>
      </c>
      <c r="C1673" s="5">
        <v>45.4</v>
      </c>
      <c r="D1673" s="5">
        <v>47.98</v>
      </c>
      <c r="E1673" s="5">
        <v>49.29</v>
      </c>
      <c r="F1673" s="5">
        <v>50.63</v>
      </c>
      <c r="G1673" s="5">
        <v>52.01</v>
      </c>
      <c r="H1673" s="5">
        <v>52.92</v>
      </c>
      <c r="I1673" s="6">
        <v>3.697838</v>
      </c>
    </row>
    <row r="1674" spans="1:9" ht="60" x14ac:dyDescent="0.25">
      <c r="A1674" s="1" t="s">
        <v>120</v>
      </c>
      <c r="B1674" s="5">
        <v>0</v>
      </c>
      <c r="C1674" s="5">
        <v>0</v>
      </c>
      <c r="D1674" s="5">
        <v>0</v>
      </c>
      <c r="E1674" s="5">
        <v>0</v>
      </c>
      <c r="F1674" s="5">
        <v>0</v>
      </c>
      <c r="G1674" s="5">
        <v>0</v>
      </c>
      <c r="H1674" s="5">
        <v>0</v>
      </c>
      <c r="I1674" s="7" t="s">
        <v>58</v>
      </c>
    </row>
    <row r="1675" spans="1:9" ht="75" x14ac:dyDescent="0.25">
      <c r="A1675" s="1" t="s">
        <v>121</v>
      </c>
      <c r="B1675" s="5">
        <v>0.52</v>
      </c>
      <c r="C1675" s="5">
        <v>0.43</v>
      </c>
      <c r="D1675" s="5">
        <v>0.37</v>
      </c>
      <c r="E1675" s="5">
        <v>0.32</v>
      </c>
      <c r="F1675" s="5">
        <v>0.28999999999999998</v>
      </c>
      <c r="G1675" s="5">
        <v>0.27</v>
      </c>
      <c r="H1675" s="5">
        <v>0.25</v>
      </c>
      <c r="I1675" s="6">
        <v>-11.490589999999999</v>
      </c>
    </row>
    <row r="1676" spans="1:9" ht="75" x14ac:dyDescent="0.25">
      <c r="A1676" s="1" t="s">
        <v>122</v>
      </c>
      <c r="B1676" s="5">
        <v>0</v>
      </c>
      <c r="C1676" s="5">
        <v>0</v>
      </c>
      <c r="D1676" s="5">
        <v>0</v>
      </c>
      <c r="E1676" s="5">
        <v>0</v>
      </c>
      <c r="F1676" s="5">
        <v>0</v>
      </c>
      <c r="G1676" s="5">
        <v>0</v>
      </c>
      <c r="H1676" s="5">
        <v>0</v>
      </c>
      <c r="I1676" s="7" t="s">
        <v>58</v>
      </c>
    </row>
    <row r="1677" spans="1:9" ht="60" x14ac:dyDescent="0.25">
      <c r="A1677" s="1" t="s">
        <v>123</v>
      </c>
      <c r="B1677" s="5">
        <v>0</v>
      </c>
      <c r="C1677" s="5">
        <v>0</v>
      </c>
      <c r="D1677" s="5">
        <v>0</v>
      </c>
      <c r="E1677" s="5">
        <v>0</v>
      </c>
      <c r="F1677" s="5">
        <v>0</v>
      </c>
      <c r="G1677" s="5">
        <v>0</v>
      </c>
      <c r="H1677" s="5">
        <v>0</v>
      </c>
      <c r="I1677" s="7" t="s">
        <v>58</v>
      </c>
    </row>
    <row r="1678" spans="1:9" ht="60" x14ac:dyDescent="0.25">
      <c r="A1678" s="1" t="s">
        <v>124</v>
      </c>
      <c r="B1678" s="5">
        <v>9.84</v>
      </c>
      <c r="C1678" s="5">
        <v>8.01</v>
      </c>
      <c r="D1678" s="5">
        <v>6.56</v>
      </c>
      <c r="E1678" s="5">
        <v>5.49</v>
      </c>
      <c r="F1678" s="5">
        <v>4.8899999999999997</v>
      </c>
      <c r="G1678" s="5">
        <v>4.3499999999999996</v>
      </c>
      <c r="H1678" s="5">
        <v>3.91</v>
      </c>
      <c r="I1678" s="6">
        <v>-14.257342</v>
      </c>
    </row>
    <row r="1679" spans="1:9" ht="60" x14ac:dyDescent="0.25">
      <c r="A1679" s="1" t="s">
        <v>125</v>
      </c>
      <c r="B1679" s="5">
        <v>89.08</v>
      </c>
      <c r="C1679" s="5">
        <v>91.12</v>
      </c>
      <c r="D1679" s="5">
        <v>92.73</v>
      </c>
      <c r="E1679" s="5">
        <v>93.9</v>
      </c>
      <c r="F1679" s="5">
        <v>94.57</v>
      </c>
      <c r="G1679" s="5">
        <v>95.16</v>
      </c>
      <c r="H1679" s="5">
        <v>95.64</v>
      </c>
      <c r="I1679" s="6">
        <v>1.1913119999999999</v>
      </c>
    </row>
    <row r="1680" spans="1:9" ht="60" x14ac:dyDescent="0.25">
      <c r="A1680" s="1" t="s">
        <v>126</v>
      </c>
      <c r="B1680" s="5">
        <v>0</v>
      </c>
      <c r="C1680" s="5">
        <v>0</v>
      </c>
      <c r="D1680" s="5">
        <v>0</v>
      </c>
      <c r="E1680" s="5">
        <v>0</v>
      </c>
      <c r="F1680" s="5">
        <v>0</v>
      </c>
      <c r="G1680" s="5">
        <v>0</v>
      </c>
      <c r="H1680" s="5">
        <v>0</v>
      </c>
      <c r="I1680" s="7" t="s">
        <v>58</v>
      </c>
    </row>
    <row r="1681" spans="1:9" ht="75" x14ac:dyDescent="0.25">
      <c r="A1681" s="1" t="s">
        <v>127</v>
      </c>
      <c r="B1681" s="5">
        <v>1.08</v>
      </c>
      <c r="C1681" s="5">
        <v>0.86</v>
      </c>
      <c r="D1681" s="5">
        <v>0.71</v>
      </c>
      <c r="E1681" s="5">
        <v>0.61</v>
      </c>
      <c r="F1681" s="5">
        <v>0.54</v>
      </c>
      <c r="G1681" s="5">
        <v>0.49</v>
      </c>
      <c r="H1681" s="5">
        <v>0.45</v>
      </c>
      <c r="I1681" s="6">
        <v>-13.576578</v>
      </c>
    </row>
    <row r="1682" spans="1:9" ht="60" x14ac:dyDescent="0.25">
      <c r="A1682" s="1" t="s">
        <v>128</v>
      </c>
      <c r="B1682" s="5">
        <v>0</v>
      </c>
      <c r="C1682" s="5">
        <v>0</v>
      </c>
      <c r="D1682" s="5">
        <v>0</v>
      </c>
      <c r="E1682" s="5">
        <v>0</v>
      </c>
      <c r="F1682" s="5">
        <v>0</v>
      </c>
      <c r="G1682" s="5">
        <v>0</v>
      </c>
      <c r="H1682" s="5">
        <v>0</v>
      </c>
      <c r="I1682" s="7" t="s">
        <v>58</v>
      </c>
    </row>
    <row r="1683" spans="1:9" ht="45" x14ac:dyDescent="0.25">
      <c r="A1683" s="1" t="s">
        <v>129</v>
      </c>
      <c r="B1683" s="7" t="s">
        <v>58</v>
      </c>
      <c r="C1683" s="7" t="s">
        <v>58</v>
      </c>
      <c r="D1683" s="7" t="s">
        <v>58</v>
      </c>
      <c r="E1683" s="7" t="s">
        <v>58</v>
      </c>
      <c r="F1683" s="7" t="s">
        <v>58</v>
      </c>
      <c r="G1683" s="7" t="s">
        <v>58</v>
      </c>
      <c r="H1683" s="7" t="s">
        <v>58</v>
      </c>
      <c r="I1683" s="7" t="s">
        <v>58</v>
      </c>
    </row>
    <row r="1684" spans="1:9" ht="45" x14ac:dyDescent="0.25">
      <c r="A1684" s="1" t="s">
        <v>140</v>
      </c>
      <c r="B1684" s="7" t="s">
        <v>58</v>
      </c>
      <c r="C1684" s="7" t="s">
        <v>58</v>
      </c>
      <c r="D1684" s="7" t="s">
        <v>58</v>
      </c>
      <c r="E1684" s="7" t="s">
        <v>58</v>
      </c>
      <c r="F1684" s="7" t="s">
        <v>58</v>
      </c>
      <c r="G1684" s="7" t="s">
        <v>58</v>
      </c>
      <c r="H1684" s="7" t="s">
        <v>58</v>
      </c>
      <c r="I1684" s="7" t="s">
        <v>58</v>
      </c>
    </row>
    <row r="1685" spans="1:9" ht="45" x14ac:dyDescent="0.25">
      <c r="A1685" s="1" t="s">
        <v>141</v>
      </c>
      <c r="B1685" s="7" t="s">
        <v>58</v>
      </c>
      <c r="C1685" s="7" t="s">
        <v>58</v>
      </c>
      <c r="D1685" s="7" t="s">
        <v>58</v>
      </c>
      <c r="E1685" s="7" t="s">
        <v>58</v>
      </c>
      <c r="F1685" s="7" t="s">
        <v>58</v>
      </c>
      <c r="G1685" s="7" t="s">
        <v>58</v>
      </c>
      <c r="H1685" s="7" t="s">
        <v>58</v>
      </c>
      <c r="I1685" s="7" t="s">
        <v>58</v>
      </c>
    </row>
    <row r="1686" spans="1:9" ht="45" x14ac:dyDescent="0.25">
      <c r="A1686" s="1" t="s">
        <v>142</v>
      </c>
      <c r="B1686" s="7" t="s">
        <v>58</v>
      </c>
      <c r="C1686" s="7" t="s">
        <v>58</v>
      </c>
      <c r="D1686" s="7" t="s">
        <v>58</v>
      </c>
      <c r="E1686" s="7" t="s">
        <v>58</v>
      </c>
      <c r="F1686" s="7" t="s">
        <v>58</v>
      </c>
      <c r="G1686" s="7" t="s">
        <v>58</v>
      </c>
      <c r="H1686" s="7" t="s">
        <v>58</v>
      </c>
      <c r="I1686" s="7" t="s">
        <v>58</v>
      </c>
    </row>
    <row r="1687" spans="1:9" ht="60" x14ac:dyDescent="0.25">
      <c r="A1687" s="1" t="s">
        <v>133</v>
      </c>
      <c r="B1687" s="7" t="s">
        <v>58</v>
      </c>
      <c r="C1687" s="7" t="s">
        <v>58</v>
      </c>
      <c r="D1687" s="7" t="s">
        <v>58</v>
      </c>
      <c r="E1687" s="7" t="s">
        <v>58</v>
      </c>
      <c r="F1687" s="7" t="s">
        <v>58</v>
      </c>
      <c r="G1687" s="7" t="s">
        <v>58</v>
      </c>
      <c r="H1687" s="7" t="s">
        <v>58</v>
      </c>
      <c r="I1687" s="7" t="s">
        <v>58</v>
      </c>
    </row>
    <row r="1688" spans="1:9" ht="60" x14ac:dyDescent="0.25">
      <c r="A1688" s="1" t="s">
        <v>134</v>
      </c>
      <c r="B1688" s="7" t="s">
        <v>58</v>
      </c>
      <c r="C1688" s="7" t="s">
        <v>58</v>
      </c>
      <c r="D1688" s="7" t="s">
        <v>58</v>
      </c>
      <c r="E1688" s="7" t="s">
        <v>58</v>
      </c>
      <c r="F1688" s="7" t="s">
        <v>58</v>
      </c>
      <c r="G1688" s="7" t="s">
        <v>58</v>
      </c>
      <c r="H1688" s="7" t="s">
        <v>58</v>
      </c>
      <c r="I1688" s="7" t="s">
        <v>58</v>
      </c>
    </row>
    <row r="1689" spans="1:9" x14ac:dyDescent="0.25">
      <c r="A1689" s="1" t="s">
        <v>12</v>
      </c>
      <c r="B1689" s="2"/>
      <c r="C1689" s="2"/>
      <c r="D1689" s="2"/>
      <c r="E1689" s="2"/>
      <c r="F1689" s="2"/>
      <c r="G1689" s="2"/>
      <c r="H1689" s="2"/>
      <c r="I1689" s="2"/>
    </row>
    <row r="1690" spans="1:9" x14ac:dyDescent="0.25">
      <c r="A1690" s="8" t="s">
        <v>95</v>
      </c>
      <c r="B1690" s="2"/>
      <c r="C1690" s="2"/>
      <c r="D1690" s="2"/>
      <c r="E1690" s="2"/>
      <c r="F1690" s="2"/>
      <c r="G1690" s="2"/>
      <c r="H1690" s="2"/>
      <c r="I1690" s="2"/>
    </row>
    <row r="1691" spans="1:9" ht="60" x14ac:dyDescent="0.25">
      <c r="A1691" s="1" t="s">
        <v>13</v>
      </c>
      <c r="B1691" s="5">
        <v>85.81</v>
      </c>
      <c r="C1691" s="5">
        <v>86.52</v>
      </c>
      <c r="D1691" s="5">
        <v>89.3</v>
      </c>
      <c r="E1691" s="5">
        <v>90.12</v>
      </c>
      <c r="F1691" s="5">
        <v>90.76</v>
      </c>
      <c r="G1691" s="5">
        <v>91.25</v>
      </c>
      <c r="H1691" s="5">
        <v>91.66</v>
      </c>
      <c r="I1691" s="6">
        <v>1.1052390000000001</v>
      </c>
    </row>
    <row r="1692" spans="1:9" ht="60" x14ac:dyDescent="0.25">
      <c r="A1692" s="1" t="s">
        <v>117</v>
      </c>
      <c r="B1692" s="5">
        <v>33.04</v>
      </c>
      <c r="C1692" s="5">
        <v>32.619999999999997</v>
      </c>
      <c r="D1692" s="5">
        <v>32.1</v>
      </c>
      <c r="E1692" s="5">
        <v>31.55</v>
      </c>
      <c r="F1692" s="5">
        <v>30.95</v>
      </c>
      <c r="G1692" s="5">
        <v>30.3</v>
      </c>
      <c r="H1692" s="5">
        <v>29.61</v>
      </c>
      <c r="I1692" s="6">
        <v>-1.8101959999999999</v>
      </c>
    </row>
    <row r="1693" spans="1:9" ht="60" x14ac:dyDescent="0.25">
      <c r="A1693" s="1" t="s">
        <v>118</v>
      </c>
      <c r="B1693" s="5">
        <v>20.25</v>
      </c>
      <c r="C1693" s="5">
        <v>19.38</v>
      </c>
      <c r="D1693" s="5">
        <v>18.649999999999999</v>
      </c>
      <c r="E1693" s="5">
        <v>17.95</v>
      </c>
      <c r="F1693" s="5">
        <v>17.29</v>
      </c>
      <c r="G1693" s="5">
        <v>16.670000000000002</v>
      </c>
      <c r="H1693" s="5">
        <v>16.09</v>
      </c>
      <c r="I1693" s="6">
        <v>-3.7600989999999999</v>
      </c>
    </row>
    <row r="1694" spans="1:9" ht="60" x14ac:dyDescent="0.25">
      <c r="A1694" s="1" t="s">
        <v>119</v>
      </c>
      <c r="B1694" s="5">
        <v>28.75</v>
      </c>
      <c r="C1694" s="5">
        <v>30.46</v>
      </c>
      <c r="D1694" s="5">
        <v>34.659999999999997</v>
      </c>
      <c r="E1694" s="5">
        <v>36.880000000000003</v>
      </c>
      <c r="F1694" s="5">
        <v>38.909999999999997</v>
      </c>
      <c r="G1694" s="5">
        <v>40.76</v>
      </c>
      <c r="H1694" s="5">
        <v>42.53</v>
      </c>
      <c r="I1694" s="6">
        <v>6.7438650000000004</v>
      </c>
    </row>
    <row r="1695" spans="1:9" ht="60" x14ac:dyDescent="0.25">
      <c r="A1695" s="1" t="s">
        <v>120</v>
      </c>
      <c r="B1695" s="5">
        <v>0</v>
      </c>
      <c r="C1695" s="5">
        <v>0</v>
      </c>
      <c r="D1695" s="5">
        <v>0</v>
      </c>
      <c r="E1695" s="5">
        <v>0</v>
      </c>
      <c r="F1695" s="5">
        <v>0</v>
      </c>
      <c r="G1695" s="5">
        <v>0</v>
      </c>
      <c r="H1695" s="5">
        <v>0</v>
      </c>
      <c r="I1695" s="7" t="s">
        <v>58</v>
      </c>
    </row>
    <row r="1696" spans="1:9" ht="75" x14ac:dyDescent="0.25">
      <c r="A1696" s="1" t="s">
        <v>121</v>
      </c>
      <c r="B1696" s="5">
        <v>3.35</v>
      </c>
      <c r="C1696" s="5">
        <v>3.63</v>
      </c>
      <c r="D1696" s="5">
        <v>3.48</v>
      </c>
      <c r="E1696" s="5">
        <v>3.36</v>
      </c>
      <c r="F1696" s="5">
        <v>3.25</v>
      </c>
      <c r="G1696" s="5">
        <v>3.17</v>
      </c>
      <c r="H1696" s="5">
        <v>3.1</v>
      </c>
      <c r="I1696" s="6">
        <v>-1.284319</v>
      </c>
    </row>
    <row r="1697" spans="1:9" ht="75" x14ac:dyDescent="0.25">
      <c r="A1697" s="1" t="s">
        <v>122</v>
      </c>
      <c r="B1697" s="5">
        <v>0.43</v>
      </c>
      <c r="C1697" s="5">
        <v>0.43</v>
      </c>
      <c r="D1697" s="5">
        <v>0.41</v>
      </c>
      <c r="E1697" s="5">
        <v>0.39</v>
      </c>
      <c r="F1697" s="5">
        <v>0.37</v>
      </c>
      <c r="G1697" s="5">
        <v>0.35</v>
      </c>
      <c r="H1697" s="5">
        <v>0.33</v>
      </c>
      <c r="I1697" s="6">
        <v>-4.3156489999999996</v>
      </c>
    </row>
    <row r="1698" spans="1:9" ht="60" x14ac:dyDescent="0.25">
      <c r="A1698" s="1" t="s">
        <v>123</v>
      </c>
      <c r="B1698" s="5">
        <v>38.5</v>
      </c>
      <c r="C1698" s="5">
        <v>37.700000000000003</v>
      </c>
      <c r="D1698" s="5">
        <v>35.950000000000003</v>
      </c>
      <c r="E1698" s="5">
        <v>35.01</v>
      </c>
      <c r="F1698" s="5">
        <v>34.1</v>
      </c>
      <c r="G1698" s="5">
        <v>33.21</v>
      </c>
      <c r="H1698" s="5">
        <v>32.31</v>
      </c>
      <c r="I1698" s="6">
        <v>-2.8790990000000001</v>
      </c>
    </row>
    <row r="1699" spans="1:9" ht="60" x14ac:dyDescent="0.25">
      <c r="A1699" s="1" t="s">
        <v>124</v>
      </c>
      <c r="B1699" s="5">
        <v>23.6</v>
      </c>
      <c r="C1699" s="5">
        <v>22.4</v>
      </c>
      <c r="D1699" s="5">
        <v>20.89</v>
      </c>
      <c r="E1699" s="5">
        <v>19.91</v>
      </c>
      <c r="F1699" s="5">
        <v>19.05</v>
      </c>
      <c r="G1699" s="5">
        <v>18.27</v>
      </c>
      <c r="H1699" s="5">
        <v>17.55</v>
      </c>
      <c r="I1699" s="6">
        <v>-4.8166789999999997</v>
      </c>
    </row>
    <row r="1700" spans="1:9" ht="60" x14ac:dyDescent="0.25">
      <c r="A1700" s="1" t="s">
        <v>125</v>
      </c>
      <c r="B1700" s="5">
        <v>33.5</v>
      </c>
      <c r="C1700" s="5">
        <v>35.200000000000003</v>
      </c>
      <c r="D1700" s="5">
        <v>38.81</v>
      </c>
      <c r="E1700" s="5">
        <v>40.92</v>
      </c>
      <c r="F1700" s="5">
        <v>42.87</v>
      </c>
      <c r="G1700" s="5">
        <v>44.67</v>
      </c>
      <c r="H1700" s="5">
        <v>46.4</v>
      </c>
      <c r="I1700" s="6">
        <v>5.5793200000000001</v>
      </c>
    </row>
    <row r="1701" spans="1:9" ht="60" x14ac:dyDescent="0.25">
      <c r="A1701" s="1" t="s">
        <v>126</v>
      </c>
      <c r="B1701" s="5">
        <v>0</v>
      </c>
      <c r="C1701" s="5">
        <v>0</v>
      </c>
      <c r="D1701" s="5">
        <v>0</v>
      </c>
      <c r="E1701" s="5">
        <v>0</v>
      </c>
      <c r="F1701" s="5">
        <v>0</v>
      </c>
      <c r="G1701" s="5">
        <v>0</v>
      </c>
      <c r="H1701" s="5">
        <v>0</v>
      </c>
      <c r="I1701" s="7" t="s">
        <v>58</v>
      </c>
    </row>
    <row r="1702" spans="1:9" ht="75" x14ac:dyDescent="0.25">
      <c r="A1702" s="1" t="s">
        <v>127</v>
      </c>
      <c r="B1702" s="5">
        <v>3.9</v>
      </c>
      <c r="C1702" s="5">
        <v>4.2</v>
      </c>
      <c r="D1702" s="5">
        <v>3.9</v>
      </c>
      <c r="E1702" s="5">
        <v>3.72</v>
      </c>
      <c r="F1702" s="5">
        <v>3.58</v>
      </c>
      <c r="G1702" s="5">
        <v>3.47</v>
      </c>
      <c r="H1702" s="5">
        <v>3.38</v>
      </c>
      <c r="I1702" s="6">
        <v>-2.3567969999999998</v>
      </c>
    </row>
    <row r="1703" spans="1:9" ht="60" x14ac:dyDescent="0.25">
      <c r="A1703" s="1" t="s">
        <v>128</v>
      </c>
      <c r="B1703" s="5">
        <v>0.5</v>
      </c>
      <c r="C1703" s="5">
        <v>0.5</v>
      </c>
      <c r="D1703" s="5">
        <v>0.46</v>
      </c>
      <c r="E1703" s="5">
        <v>0.43</v>
      </c>
      <c r="F1703" s="5">
        <v>0.41</v>
      </c>
      <c r="G1703" s="5">
        <v>0.38</v>
      </c>
      <c r="H1703" s="5">
        <v>0.36</v>
      </c>
      <c r="I1703" s="6">
        <v>-5.3278840000000001</v>
      </c>
    </row>
    <row r="1704" spans="1:9" ht="45" x14ac:dyDescent="0.25">
      <c r="A1704" s="1" t="s">
        <v>129</v>
      </c>
      <c r="B1704" s="7" t="s">
        <v>58</v>
      </c>
      <c r="C1704" s="7" t="s">
        <v>58</v>
      </c>
      <c r="D1704" s="7" t="s">
        <v>58</v>
      </c>
      <c r="E1704" s="7" t="s">
        <v>58</v>
      </c>
      <c r="F1704" s="7" t="s">
        <v>58</v>
      </c>
      <c r="G1704" s="7" t="s">
        <v>58</v>
      </c>
      <c r="H1704" s="7" t="s">
        <v>58</v>
      </c>
      <c r="I1704" s="7" t="s">
        <v>58</v>
      </c>
    </row>
    <row r="1705" spans="1:9" ht="45" x14ac:dyDescent="0.25">
      <c r="A1705" s="1" t="s">
        <v>140</v>
      </c>
      <c r="B1705" s="7" t="s">
        <v>58</v>
      </c>
      <c r="C1705" s="7" t="s">
        <v>58</v>
      </c>
      <c r="D1705" s="7" t="s">
        <v>58</v>
      </c>
      <c r="E1705" s="7" t="s">
        <v>58</v>
      </c>
      <c r="F1705" s="7" t="s">
        <v>58</v>
      </c>
      <c r="G1705" s="7" t="s">
        <v>58</v>
      </c>
      <c r="H1705" s="7" t="s">
        <v>58</v>
      </c>
      <c r="I1705" s="7" t="s">
        <v>58</v>
      </c>
    </row>
    <row r="1706" spans="1:9" ht="45" x14ac:dyDescent="0.25">
      <c r="A1706" s="1" t="s">
        <v>141</v>
      </c>
      <c r="B1706" s="7" t="s">
        <v>58</v>
      </c>
      <c r="C1706" s="7" t="s">
        <v>58</v>
      </c>
      <c r="D1706" s="7" t="s">
        <v>58</v>
      </c>
      <c r="E1706" s="7" t="s">
        <v>58</v>
      </c>
      <c r="F1706" s="7" t="s">
        <v>58</v>
      </c>
      <c r="G1706" s="7" t="s">
        <v>58</v>
      </c>
      <c r="H1706" s="7" t="s">
        <v>58</v>
      </c>
      <c r="I1706" s="7" t="s">
        <v>58</v>
      </c>
    </row>
    <row r="1707" spans="1:9" ht="45" x14ac:dyDescent="0.25">
      <c r="A1707" s="1" t="s">
        <v>142</v>
      </c>
      <c r="B1707" s="7" t="s">
        <v>58</v>
      </c>
      <c r="C1707" s="7" t="s">
        <v>58</v>
      </c>
      <c r="D1707" s="7" t="s">
        <v>58</v>
      </c>
      <c r="E1707" s="7" t="s">
        <v>58</v>
      </c>
      <c r="F1707" s="7" t="s">
        <v>58</v>
      </c>
      <c r="G1707" s="7" t="s">
        <v>58</v>
      </c>
      <c r="H1707" s="7" t="s">
        <v>58</v>
      </c>
      <c r="I1707" s="7" t="s">
        <v>58</v>
      </c>
    </row>
    <row r="1708" spans="1:9" ht="60" x14ac:dyDescent="0.25">
      <c r="A1708" s="1" t="s">
        <v>133</v>
      </c>
      <c r="B1708" s="7" t="s">
        <v>58</v>
      </c>
      <c r="C1708" s="7" t="s">
        <v>58</v>
      </c>
      <c r="D1708" s="7" t="s">
        <v>58</v>
      </c>
      <c r="E1708" s="7" t="s">
        <v>58</v>
      </c>
      <c r="F1708" s="7" t="s">
        <v>58</v>
      </c>
      <c r="G1708" s="7" t="s">
        <v>58</v>
      </c>
      <c r="H1708" s="7" t="s">
        <v>58</v>
      </c>
      <c r="I1708" s="7" t="s">
        <v>58</v>
      </c>
    </row>
    <row r="1709" spans="1:9" ht="60" x14ac:dyDescent="0.25">
      <c r="A1709" s="1" t="s">
        <v>134</v>
      </c>
      <c r="B1709" s="7" t="s">
        <v>58</v>
      </c>
      <c r="C1709" s="7" t="s">
        <v>58</v>
      </c>
      <c r="D1709" s="7" t="s">
        <v>58</v>
      </c>
      <c r="E1709" s="7" t="s">
        <v>58</v>
      </c>
      <c r="F1709" s="7" t="s">
        <v>58</v>
      </c>
      <c r="G1709" s="7" t="s">
        <v>58</v>
      </c>
      <c r="H1709" s="7" t="s">
        <v>58</v>
      </c>
      <c r="I1709" s="7" t="s">
        <v>58</v>
      </c>
    </row>
    <row r="1710" spans="1:9" x14ac:dyDescent="0.25">
      <c r="A1710" s="1" t="s">
        <v>12</v>
      </c>
      <c r="B1710" s="2"/>
      <c r="C1710" s="2"/>
      <c r="D1710" s="2"/>
      <c r="E1710" s="2"/>
      <c r="F1710" s="2"/>
      <c r="G1710" s="2"/>
      <c r="H1710" s="2"/>
      <c r="I1710" s="2"/>
    </row>
    <row r="1711" spans="1:9" x14ac:dyDescent="0.25">
      <c r="A1711" s="8" t="s">
        <v>96</v>
      </c>
      <c r="B1711" s="2"/>
      <c r="C1711" s="2"/>
      <c r="D1711" s="2"/>
      <c r="E1711" s="2"/>
      <c r="F1711" s="2"/>
      <c r="G1711" s="2"/>
      <c r="H1711" s="2"/>
      <c r="I1711" s="2"/>
    </row>
    <row r="1712" spans="1:9" ht="60" x14ac:dyDescent="0.25">
      <c r="A1712" s="1" t="s">
        <v>13</v>
      </c>
      <c r="B1712" s="5">
        <v>99.8</v>
      </c>
      <c r="C1712" s="5">
        <v>102.47</v>
      </c>
      <c r="D1712" s="5">
        <v>102.13</v>
      </c>
      <c r="E1712" s="5">
        <v>102.35</v>
      </c>
      <c r="F1712" s="5">
        <v>101.91</v>
      </c>
      <c r="G1712" s="5">
        <v>102.04</v>
      </c>
      <c r="H1712" s="5">
        <v>102.17</v>
      </c>
      <c r="I1712" s="6">
        <v>0.39193099999999997</v>
      </c>
    </row>
    <row r="1713" spans="1:9" ht="60" x14ac:dyDescent="0.25">
      <c r="A1713" s="1" t="s">
        <v>117</v>
      </c>
      <c r="B1713" s="5">
        <v>0</v>
      </c>
      <c r="C1713" s="5">
        <v>0</v>
      </c>
      <c r="D1713" s="5">
        <v>0</v>
      </c>
      <c r="E1713" s="5">
        <v>0</v>
      </c>
      <c r="F1713" s="5">
        <v>0</v>
      </c>
      <c r="G1713" s="5">
        <v>0</v>
      </c>
      <c r="H1713" s="5">
        <v>0</v>
      </c>
      <c r="I1713" s="7" t="s">
        <v>58</v>
      </c>
    </row>
    <row r="1714" spans="1:9" ht="60" x14ac:dyDescent="0.25">
      <c r="A1714" s="1" t="s">
        <v>118</v>
      </c>
      <c r="B1714" s="5">
        <v>0</v>
      </c>
      <c r="C1714" s="5">
        <v>0</v>
      </c>
      <c r="D1714" s="5">
        <v>0</v>
      </c>
      <c r="E1714" s="5">
        <v>0</v>
      </c>
      <c r="F1714" s="5">
        <v>0</v>
      </c>
      <c r="G1714" s="5">
        <v>0</v>
      </c>
      <c r="H1714" s="5">
        <v>0</v>
      </c>
      <c r="I1714" s="7" t="s">
        <v>58</v>
      </c>
    </row>
    <row r="1715" spans="1:9" ht="60" x14ac:dyDescent="0.25">
      <c r="A1715" s="1" t="s">
        <v>119</v>
      </c>
      <c r="B1715" s="5">
        <v>99.8</v>
      </c>
      <c r="C1715" s="5">
        <v>102.47</v>
      </c>
      <c r="D1715" s="5">
        <v>102.13</v>
      </c>
      <c r="E1715" s="5">
        <v>102.35</v>
      </c>
      <c r="F1715" s="5">
        <v>101.91</v>
      </c>
      <c r="G1715" s="5">
        <v>102.04</v>
      </c>
      <c r="H1715" s="5">
        <v>102.17</v>
      </c>
      <c r="I1715" s="6">
        <v>0.39193099999999997</v>
      </c>
    </row>
    <row r="1716" spans="1:9" ht="60" x14ac:dyDescent="0.25">
      <c r="A1716" s="1" t="s">
        <v>120</v>
      </c>
      <c r="B1716" s="5">
        <v>0</v>
      </c>
      <c r="C1716" s="5">
        <v>0</v>
      </c>
      <c r="D1716" s="5">
        <v>0</v>
      </c>
      <c r="E1716" s="5">
        <v>0</v>
      </c>
      <c r="F1716" s="5">
        <v>0</v>
      </c>
      <c r="G1716" s="5">
        <v>0</v>
      </c>
      <c r="H1716" s="5">
        <v>0</v>
      </c>
      <c r="I1716" s="7" t="s">
        <v>58</v>
      </c>
    </row>
    <row r="1717" spans="1:9" ht="75" x14ac:dyDescent="0.25">
      <c r="A1717" s="1" t="s">
        <v>121</v>
      </c>
      <c r="B1717" s="5">
        <v>0</v>
      </c>
      <c r="C1717" s="5">
        <v>0</v>
      </c>
      <c r="D1717" s="5">
        <v>0</v>
      </c>
      <c r="E1717" s="5">
        <v>0</v>
      </c>
      <c r="F1717" s="5">
        <v>0</v>
      </c>
      <c r="G1717" s="5">
        <v>0</v>
      </c>
      <c r="H1717" s="5">
        <v>0</v>
      </c>
      <c r="I1717" s="7" t="s">
        <v>58</v>
      </c>
    </row>
    <row r="1718" spans="1:9" ht="75" x14ac:dyDescent="0.25">
      <c r="A1718" s="1" t="s">
        <v>122</v>
      </c>
      <c r="B1718" s="5">
        <v>0</v>
      </c>
      <c r="C1718" s="5">
        <v>0</v>
      </c>
      <c r="D1718" s="5">
        <v>0</v>
      </c>
      <c r="E1718" s="5">
        <v>0</v>
      </c>
      <c r="F1718" s="5">
        <v>0</v>
      </c>
      <c r="G1718" s="5">
        <v>0</v>
      </c>
      <c r="H1718" s="5">
        <v>0</v>
      </c>
      <c r="I1718" s="7" t="s">
        <v>58</v>
      </c>
    </row>
    <row r="1719" spans="1:9" ht="60" x14ac:dyDescent="0.25">
      <c r="A1719" s="1" t="s">
        <v>123</v>
      </c>
      <c r="B1719" s="5">
        <v>0</v>
      </c>
      <c r="C1719" s="5">
        <v>0</v>
      </c>
      <c r="D1719" s="5">
        <v>0</v>
      </c>
      <c r="E1719" s="5">
        <v>0</v>
      </c>
      <c r="F1719" s="5">
        <v>0</v>
      </c>
      <c r="G1719" s="5">
        <v>0</v>
      </c>
      <c r="H1719" s="5">
        <v>0</v>
      </c>
      <c r="I1719" s="7" t="s">
        <v>58</v>
      </c>
    </row>
    <row r="1720" spans="1:9" ht="60" x14ac:dyDescent="0.25">
      <c r="A1720" s="1" t="s">
        <v>124</v>
      </c>
      <c r="B1720" s="5">
        <v>0</v>
      </c>
      <c r="C1720" s="5">
        <v>0</v>
      </c>
      <c r="D1720" s="5">
        <v>0</v>
      </c>
      <c r="E1720" s="5">
        <v>0</v>
      </c>
      <c r="F1720" s="5">
        <v>0</v>
      </c>
      <c r="G1720" s="5">
        <v>0</v>
      </c>
      <c r="H1720" s="5">
        <v>0</v>
      </c>
      <c r="I1720" s="7" t="s">
        <v>58</v>
      </c>
    </row>
    <row r="1721" spans="1:9" ht="60" x14ac:dyDescent="0.25">
      <c r="A1721" s="1" t="s">
        <v>125</v>
      </c>
      <c r="B1721" s="5">
        <v>100</v>
      </c>
      <c r="C1721" s="5">
        <v>100</v>
      </c>
      <c r="D1721" s="5">
        <v>100</v>
      </c>
      <c r="E1721" s="5">
        <v>100</v>
      </c>
      <c r="F1721" s="5">
        <v>100</v>
      </c>
      <c r="G1721" s="5">
        <v>100</v>
      </c>
      <c r="H1721" s="5">
        <v>100</v>
      </c>
      <c r="I1721" s="6">
        <v>0</v>
      </c>
    </row>
    <row r="1722" spans="1:9" ht="60" x14ac:dyDescent="0.25">
      <c r="A1722" s="1" t="s">
        <v>126</v>
      </c>
      <c r="B1722" s="5">
        <v>0</v>
      </c>
      <c r="C1722" s="5">
        <v>0</v>
      </c>
      <c r="D1722" s="5">
        <v>0</v>
      </c>
      <c r="E1722" s="5">
        <v>0</v>
      </c>
      <c r="F1722" s="5">
        <v>0</v>
      </c>
      <c r="G1722" s="5">
        <v>0</v>
      </c>
      <c r="H1722" s="5">
        <v>0</v>
      </c>
      <c r="I1722" s="7" t="s">
        <v>58</v>
      </c>
    </row>
    <row r="1723" spans="1:9" ht="75" x14ac:dyDescent="0.25">
      <c r="A1723" s="1" t="s">
        <v>127</v>
      </c>
      <c r="B1723" s="5">
        <v>0</v>
      </c>
      <c r="C1723" s="5">
        <v>0</v>
      </c>
      <c r="D1723" s="5">
        <v>0</v>
      </c>
      <c r="E1723" s="5">
        <v>0</v>
      </c>
      <c r="F1723" s="5">
        <v>0</v>
      </c>
      <c r="G1723" s="5">
        <v>0</v>
      </c>
      <c r="H1723" s="5">
        <v>0</v>
      </c>
      <c r="I1723" s="7" t="s">
        <v>58</v>
      </c>
    </row>
    <row r="1724" spans="1:9" ht="60" x14ac:dyDescent="0.25">
      <c r="A1724" s="1" t="s">
        <v>128</v>
      </c>
      <c r="B1724" s="5">
        <v>0</v>
      </c>
      <c r="C1724" s="5">
        <v>0</v>
      </c>
      <c r="D1724" s="5">
        <v>0</v>
      </c>
      <c r="E1724" s="5">
        <v>0</v>
      </c>
      <c r="F1724" s="5">
        <v>0</v>
      </c>
      <c r="G1724" s="5">
        <v>0</v>
      </c>
      <c r="H1724" s="5">
        <v>0</v>
      </c>
      <c r="I1724" s="7" t="s">
        <v>58</v>
      </c>
    </row>
    <row r="1725" spans="1:9" ht="45" x14ac:dyDescent="0.25">
      <c r="A1725" s="1" t="s">
        <v>129</v>
      </c>
      <c r="B1725" s="5">
        <v>26.47</v>
      </c>
      <c r="C1725" s="5">
        <v>26.52</v>
      </c>
      <c r="D1725" s="5">
        <v>26.61</v>
      </c>
      <c r="E1725" s="5">
        <v>26.71</v>
      </c>
      <c r="F1725" s="5">
        <v>26.81</v>
      </c>
      <c r="G1725" s="5">
        <v>26.91</v>
      </c>
      <c r="H1725" s="5">
        <v>27.01</v>
      </c>
      <c r="I1725" s="6">
        <v>0.33715294569327536</v>
      </c>
    </row>
    <row r="1726" spans="1:9" ht="45" x14ac:dyDescent="0.25">
      <c r="A1726" s="1" t="s">
        <v>140</v>
      </c>
      <c r="B1726" s="5">
        <v>0</v>
      </c>
      <c r="C1726" s="5">
        <v>0</v>
      </c>
      <c r="D1726" s="5">
        <v>0</v>
      </c>
      <c r="E1726" s="5">
        <v>0</v>
      </c>
      <c r="F1726" s="5">
        <v>0</v>
      </c>
      <c r="G1726" s="5">
        <v>0</v>
      </c>
      <c r="H1726" s="5">
        <v>0</v>
      </c>
      <c r="I1726" s="7" t="s">
        <v>58</v>
      </c>
    </row>
    <row r="1727" spans="1:9" ht="45" x14ac:dyDescent="0.25">
      <c r="A1727" s="1" t="s">
        <v>141</v>
      </c>
      <c r="B1727" s="5">
        <v>0</v>
      </c>
      <c r="C1727" s="5">
        <v>0</v>
      </c>
      <c r="D1727" s="5">
        <v>0</v>
      </c>
      <c r="E1727" s="5">
        <v>0</v>
      </c>
      <c r="F1727" s="5">
        <v>0</v>
      </c>
      <c r="G1727" s="5">
        <v>0</v>
      </c>
      <c r="H1727" s="5">
        <v>0</v>
      </c>
      <c r="I1727" s="7" t="s">
        <v>58</v>
      </c>
    </row>
    <row r="1728" spans="1:9" ht="45" x14ac:dyDescent="0.25">
      <c r="A1728" s="1" t="s">
        <v>142</v>
      </c>
      <c r="B1728" s="5">
        <v>26.47</v>
      </c>
      <c r="C1728" s="5">
        <v>26.52</v>
      </c>
      <c r="D1728" s="5">
        <v>26.61</v>
      </c>
      <c r="E1728" s="5">
        <v>26.71</v>
      </c>
      <c r="F1728" s="5">
        <v>26.81</v>
      </c>
      <c r="G1728" s="5">
        <v>26.91</v>
      </c>
      <c r="H1728" s="5">
        <v>27.01</v>
      </c>
      <c r="I1728" s="6">
        <v>0.33715299999999998</v>
      </c>
    </row>
    <row r="1729" spans="1:9" ht="60" x14ac:dyDescent="0.25">
      <c r="A1729" s="1" t="s">
        <v>133</v>
      </c>
      <c r="B1729" s="7" t="s">
        <v>58</v>
      </c>
      <c r="C1729" s="7" t="s">
        <v>58</v>
      </c>
      <c r="D1729" s="7" t="s">
        <v>58</v>
      </c>
      <c r="E1729" s="7" t="s">
        <v>58</v>
      </c>
      <c r="F1729" s="7" t="s">
        <v>58</v>
      </c>
      <c r="G1729" s="7" t="s">
        <v>58</v>
      </c>
      <c r="H1729" s="7" t="s">
        <v>58</v>
      </c>
      <c r="I1729" s="7" t="s">
        <v>58</v>
      </c>
    </row>
    <row r="1730" spans="1:9" ht="60" x14ac:dyDescent="0.25">
      <c r="A1730" s="1" t="s">
        <v>134</v>
      </c>
      <c r="B1730" s="7" t="s">
        <v>58</v>
      </c>
      <c r="C1730" s="7" t="s">
        <v>58</v>
      </c>
      <c r="D1730" s="7" t="s">
        <v>58</v>
      </c>
      <c r="E1730" s="7" t="s">
        <v>58</v>
      </c>
      <c r="F1730" s="7" t="s">
        <v>58</v>
      </c>
      <c r="G1730" s="7" t="s">
        <v>58</v>
      </c>
      <c r="H1730" s="7" t="s">
        <v>58</v>
      </c>
      <c r="I1730" s="7" t="s">
        <v>58</v>
      </c>
    </row>
    <row r="1731" spans="1:9" x14ac:dyDescent="0.25">
      <c r="A1731" s="1" t="s">
        <v>12</v>
      </c>
      <c r="B1731" s="2"/>
      <c r="C1731" s="2"/>
      <c r="D1731" s="2"/>
      <c r="E1731" s="2"/>
      <c r="F1731" s="2"/>
      <c r="G1731" s="2"/>
      <c r="H1731" s="2"/>
      <c r="I1731" s="2"/>
    </row>
    <row r="1732" spans="1:9" x14ac:dyDescent="0.25">
      <c r="A1732" s="8" t="s">
        <v>97</v>
      </c>
      <c r="B1732" s="2"/>
      <c r="C1732" s="2"/>
      <c r="D1732" s="2"/>
      <c r="E1732" s="2"/>
      <c r="F1732" s="2"/>
      <c r="G1732" s="2"/>
      <c r="H1732" s="2"/>
      <c r="I1732" s="2"/>
    </row>
    <row r="1733" spans="1:9" ht="60" x14ac:dyDescent="0.25">
      <c r="A1733" s="1" t="s">
        <v>13</v>
      </c>
      <c r="B1733" s="5">
        <v>92.28</v>
      </c>
      <c r="C1733" s="5">
        <v>96.45</v>
      </c>
      <c r="D1733" s="5">
        <v>97.15</v>
      </c>
      <c r="E1733" s="5">
        <v>97.39</v>
      </c>
      <c r="F1733" s="5">
        <v>97.37</v>
      </c>
      <c r="G1733" s="5">
        <v>97.16</v>
      </c>
      <c r="H1733" s="5">
        <v>96.85</v>
      </c>
      <c r="I1733" s="6">
        <v>0.80885300000000004</v>
      </c>
    </row>
    <row r="1734" spans="1:9" ht="60" x14ac:dyDescent="0.25">
      <c r="A1734" s="1" t="s">
        <v>117</v>
      </c>
      <c r="B1734" s="5">
        <v>9.31</v>
      </c>
      <c r="C1734" s="5">
        <v>9.56</v>
      </c>
      <c r="D1734" s="5">
        <v>9.3000000000000007</v>
      </c>
      <c r="E1734" s="5">
        <v>9.07</v>
      </c>
      <c r="F1734" s="5">
        <v>8.86</v>
      </c>
      <c r="G1734" s="5">
        <v>8.69</v>
      </c>
      <c r="H1734" s="5">
        <v>8.5299999999999994</v>
      </c>
      <c r="I1734" s="6">
        <v>-1.4477469999999999</v>
      </c>
    </row>
    <row r="1735" spans="1:9" ht="60" x14ac:dyDescent="0.25">
      <c r="A1735" s="1" t="s">
        <v>118</v>
      </c>
      <c r="B1735" s="5">
        <v>17.89</v>
      </c>
      <c r="C1735" s="5">
        <v>16.079999999999998</v>
      </c>
      <c r="D1735" s="5">
        <v>14.14</v>
      </c>
      <c r="E1735" s="5">
        <v>12.39</v>
      </c>
      <c r="F1735" s="5">
        <v>10.81</v>
      </c>
      <c r="G1735" s="5">
        <v>9.39</v>
      </c>
      <c r="H1735" s="5">
        <v>8.11</v>
      </c>
      <c r="I1735" s="6">
        <v>-12.353398</v>
      </c>
    </row>
    <row r="1736" spans="1:9" ht="60" x14ac:dyDescent="0.25">
      <c r="A1736" s="1" t="s">
        <v>119</v>
      </c>
      <c r="B1736" s="5">
        <v>53.06</v>
      </c>
      <c r="C1736" s="5">
        <v>60.24</v>
      </c>
      <c r="D1736" s="5">
        <v>64.92</v>
      </c>
      <c r="E1736" s="5">
        <v>68.7</v>
      </c>
      <c r="F1736" s="5">
        <v>71.790000000000006</v>
      </c>
      <c r="G1736" s="5">
        <v>74.3</v>
      </c>
      <c r="H1736" s="5">
        <v>76.37</v>
      </c>
      <c r="I1736" s="6">
        <v>6.2574180000000004</v>
      </c>
    </row>
    <row r="1737" spans="1:9" ht="60" x14ac:dyDescent="0.25">
      <c r="A1737" s="1" t="s">
        <v>120</v>
      </c>
      <c r="B1737" s="5">
        <v>0.04</v>
      </c>
      <c r="C1737" s="5">
        <v>0.03</v>
      </c>
      <c r="D1737" s="5">
        <v>0.03</v>
      </c>
      <c r="E1737" s="5">
        <v>0.03</v>
      </c>
      <c r="F1737" s="5">
        <v>0.03</v>
      </c>
      <c r="G1737" s="5">
        <v>0.03</v>
      </c>
      <c r="H1737" s="5">
        <v>0.03</v>
      </c>
      <c r="I1737" s="6">
        <v>-4.6815709999999999</v>
      </c>
    </row>
    <row r="1738" spans="1:9" ht="75" x14ac:dyDescent="0.25">
      <c r="A1738" s="1" t="s">
        <v>121</v>
      </c>
      <c r="B1738" s="5">
        <v>11.92</v>
      </c>
      <c r="C1738" s="5">
        <v>9.91</v>
      </c>
      <c r="D1738" s="5">
        <v>8.15</v>
      </c>
      <c r="E1738" s="5">
        <v>6.63</v>
      </c>
      <c r="F1738" s="5">
        <v>5.33</v>
      </c>
      <c r="G1738" s="5">
        <v>4.2300000000000004</v>
      </c>
      <c r="H1738" s="5">
        <v>3.32</v>
      </c>
      <c r="I1738" s="6">
        <v>-19.187792000000002</v>
      </c>
    </row>
    <row r="1739" spans="1:9" ht="75" x14ac:dyDescent="0.25">
      <c r="A1739" s="1" t="s">
        <v>122</v>
      </c>
      <c r="B1739" s="5">
        <v>7.0000000000000007E-2</v>
      </c>
      <c r="C1739" s="5">
        <v>0.63</v>
      </c>
      <c r="D1739" s="5">
        <v>0.6</v>
      </c>
      <c r="E1739" s="5">
        <v>0.56999999999999995</v>
      </c>
      <c r="F1739" s="5">
        <v>0.54</v>
      </c>
      <c r="G1739" s="5">
        <v>0.51</v>
      </c>
      <c r="H1739" s="5">
        <v>0.49</v>
      </c>
      <c r="I1739" s="6">
        <v>38.308754999999998</v>
      </c>
    </row>
    <row r="1740" spans="1:9" ht="60" x14ac:dyDescent="0.25">
      <c r="A1740" s="1" t="s">
        <v>123</v>
      </c>
      <c r="B1740" s="5">
        <v>10.09</v>
      </c>
      <c r="C1740" s="5">
        <v>9.91</v>
      </c>
      <c r="D1740" s="5">
        <v>9.57</v>
      </c>
      <c r="E1740" s="5">
        <v>9.31</v>
      </c>
      <c r="F1740" s="5">
        <v>9.1</v>
      </c>
      <c r="G1740" s="5">
        <v>8.94</v>
      </c>
      <c r="H1740" s="5">
        <v>8.81</v>
      </c>
      <c r="I1740" s="6">
        <v>-2.235589</v>
      </c>
    </row>
    <row r="1741" spans="1:9" ht="60" x14ac:dyDescent="0.25">
      <c r="A1741" s="1" t="s">
        <v>124</v>
      </c>
      <c r="B1741" s="5">
        <v>19.38</v>
      </c>
      <c r="C1741" s="5">
        <v>16.670000000000002</v>
      </c>
      <c r="D1741" s="5">
        <v>14.56</v>
      </c>
      <c r="E1741" s="5">
        <v>12.72</v>
      </c>
      <c r="F1741" s="5">
        <v>11.1</v>
      </c>
      <c r="G1741" s="5">
        <v>9.66</v>
      </c>
      <c r="H1741" s="5">
        <v>8.3699999999999992</v>
      </c>
      <c r="I1741" s="6">
        <v>-13.058203000000001</v>
      </c>
    </row>
    <row r="1742" spans="1:9" ht="60" x14ac:dyDescent="0.25">
      <c r="A1742" s="1" t="s">
        <v>125</v>
      </c>
      <c r="B1742" s="5">
        <v>57.5</v>
      </c>
      <c r="C1742" s="5">
        <v>62.46</v>
      </c>
      <c r="D1742" s="5">
        <v>66.83</v>
      </c>
      <c r="E1742" s="5">
        <v>70.540000000000006</v>
      </c>
      <c r="F1742" s="5">
        <v>73.73</v>
      </c>
      <c r="G1742" s="5">
        <v>76.48</v>
      </c>
      <c r="H1742" s="5">
        <v>78.849999999999994</v>
      </c>
      <c r="I1742" s="6">
        <v>5.4036479999999996</v>
      </c>
    </row>
    <row r="1743" spans="1:9" ht="60" x14ac:dyDescent="0.25">
      <c r="A1743" s="1" t="s">
        <v>126</v>
      </c>
      <c r="B1743" s="5">
        <v>0.04</v>
      </c>
      <c r="C1743" s="5">
        <v>0.03</v>
      </c>
      <c r="D1743" s="5">
        <v>0.03</v>
      </c>
      <c r="E1743" s="5">
        <v>0.03</v>
      </c>
      <c r="F1743" s="5">
        <v>0.03</v>
      </c>
      <c r="G1743" s="5">
        <v>0.03</v>
      </c>
      <c r="H1743" s="5">
        <v>0.03</v>
      </c>
      <c r="I1743" s="6">
        <v>-4.6815709999999999</v>
      </c>
    </row>
    <row r="1744" spans="1:9" ht="75" x14ac:dyDescent="0.25">
      <c r="A1744" s="1" t="s">
        <v>127</v>
      </c>
      <c r="B1744" s="5">
        <v>12.92</v>
      </c>
      <c r="C1744" s="5">
        <v>10.27</v>
      </c>
      <c r="D1744" s="5">
        <v>8.39</v>
      </c>
      <c r="E1744" s="5">
        <v>6.81</v>
      </c>
      <c r="F1744" s="5">
        <v>5.47</v>
      </c>
      <c r="G1744" s="5">
        <v>4.3600000000000003</v>
      </c>
      <c r="H1744" s="5">
        <v>3.42</v>
      </c>
      <c r="I1744" s="6">
        <v>-19.870222999999999</v>
      </c>
    </row>
    <row r="1745" spans="1:9" ht="60" x14ac:dyDescent="0.25">
      <c r="A1745" s="1" t="s">
        <v>128</v>
      </c>
      <c r="B1745" s="5">
        <v>7.0000000000000007E-2</v>
      </c>
      <c r="C1745" s="5">
        <v>0.65</v>
      </c>
      <c r="D1745" s="5">
        <v>0.62</v>
      </c>
      <c r="E1745" s="5">
        <v>0.57999999999999996</v>
      </c>
      <c r="F1745" s="5">
        <v>0.56000000000000005</v>
      </c>
      <c r="G1745" s="5">
        <v>0.53</v>
      </c>
      <c r="H1745" s="5">
        <v>0.51</v>
      </c>
      <c r="I1745" s="6">
        <v>39.234017999999999</v>
      </c>
    </row>
    <row r="1746" spans="1:9" ht="45" x14ac:dyDescent="0.25">
      <c r="A1746" s="1" t="s">
        <v>129</v>
      </c>
      <c r="B1746" s="5">
        <v>0</v>
      </c>
      <c r="C1746" s="5">
        <v>0</v>
      </c>
      <c r="D1746" s="5">
        <v>0</v>
      </c>
      <c r="E1746" s="5">
        <v>0</v>
      </c>
      <c r="F1746" s="5">
        <v>0</v>
      </c>
      <c r="G1746" s="5">
        <v>0</v>
      </c>
      <c r="H1746" s="5">
        <v>0</v>
      </c>
      <c r="I1746" s="7" t="s">
        <v>58</v>
      </c>
    </row>
    <row r="1747" spans="1:9" ht="45" x14ac:dyDescent="0.25">
      <c r="A1747" s="1" t="s">
        <v>140</v>
      </c>
      <c r="B1747" s="7" t="s">
        <v>58</v>
      </c>
      <c r="C1747" s="7" t="s">
        <v>58</v>
      </c>
      <c r="D1747" s="7" t="s">
        <v>58</v>
      </c>
      <c r="E1747" s="7" t="s">
        <v>58</v>
      </c>
      <c r="F1747" s="7" t="s">
        <v>58</v>
      </c>
      <c r="G1747" s="7" t="s">
        <v>58</v>
      </c>
      <c r="H1747" s="7" t="s">
        <v>58</v>
      </c>
      <c r="I1747" s="7" t="s">
        <v>58</v>
      </c>
    </row>
    <row r="1748" spans="1:9" ht="45" x14ac:dyDescent="0.25">
      <c r="A1748" s="1" t="s">
        <v>141</v>
      </c>
      <c r="B1748" s="7" t="s">
        <v>58</v>
      </c>
      <c r="C1748" s="7" t="s">
        <v>58</v>
      </c>
      <c r="D1748" s="7" t="s">
        <v>58</v>
      </c>
      <c r="E1748" s="7" t="s">
        <v>58</v>
      </c>
      <c r="F1748" s="7" t="s">
        <v>58</v>
      </c>
      <c r="G1748" s="7" t="s">
        <v>58</v>
      </c>
      <c r="H1748" s="7" t="s">
        <v>58</v>
      </c>
      <c r="I1748" s="7" t="s">
        <v>58</v>
      </c>
    </row>
    <row r="1749" spans="1:9" ht="45" x14ac:dyDescent="0.25">
      <c r="A1749" s="1" t="s">
        <v>142</v>
      </c>
      <c r="B1749" s="7" t="s">
        <v>58</v>
      </c>
      <c r="C1749" s="7" t="s">
        <v>58</v>
      </c>
      <c r="D1749" s="7" t="s">
        <v>58</v>
      </c>
      <c r="E1749" s="7" t="s">
        <v>58</v>
      </c>
      <c r="F1749" s="7" t="s">
        <v>58</v>
      </c>
      <c r="G1749" s="7" t="s">
        <v>58</v>
      </c>
      <c r="H1749" s="7" t="s">
        <v>58</v>
      </c>
      <c r="I1749" s="7" t="s">
        <v>58</v>
      </c>
    </row>
    <row r="1750" spans="1:9" ht="60" x14ac:dyDescent="0.25">
      <c r="A1750" s="1" t="s">
        <v>133</v>
      </c>
      <c r="B1750" s="7" t="s">
        <v>58</v>
      </c>
      <c r="C1750" s="7" t="s">
        <v>58</v>
      </c>
      <c r="D1750" s="7" t="s">
        <v>58</v>
      </c>
      <c r="E1750" s="7" t="s">
        <v>58</v>
      </c>
      <c r="F1750" s="7" t="s">
        <v>58</v>
      </c>
      <c r="G1750" s="7" t="s">
        <v>58</v>
      </c>
      <c r="H1750" s="7" t="s">
        <v>58</v>
      </c>
      <c r="I1750" s="7" t="s">
        <v>58</v>
      </c>
    </row>
    <row r="1751" spans="1:9" ht="60" x14ac:dyDescent="0.25">
      <c r="A1751" s="1" t="s">
        <v>134</v>
      </c>
      <c r="B1751" s="7" t="s">
        <v>58</v>
      </c>
      <c r="C1751" s="7" t="s">
        <v>58</v>
      </c>
      <c r="D1751" s="7" t="s">
        <v>58</v>
      </c>
      <c r="E1751" s="7" t="s">
        <v>58</v>
      </c>
      <c r="F1751" s="7" t="s">
        <v>58</v>
      </c>
      <c r="G1751" s="7" t="s">
        <v>58</v>
      </c>
      <c r="H1751" s="7" t="s">
        <v>58</v>
      </c>
      <c r="I1751" s="7" t="s">
        <v>58</v>
      </c>
    </row>
    <row r="1752" spans="1:9" x14ac:dyDescent="0.25">
      <c r="A1752" s="1" t="s">
        <v>12</v>
      </c>
      <c r="B1752" s="2"/>
      <c r="C1752" s="2"/>
      <c r="D1752" s="2"/>
      <c r="E1752" s="2"/>
      <c r="F1752" s="2"/>
      <c r="G1752" s="2"/>
      <c r="H1752" s="2"/>
      <c r="I1752" s="2"/>
    </row>
    <row r="1753" spans="1:9" x14ac:dyDescent="0.25">
      <c r="A1753" s="8" t="s">
        <v>98</v>
      </c>
      <c r="B1753" s="2"/>
      <c r="C1753" s="2"/>
      <c r="D1753" s="2"/>
      <c r="E1753" s="2"/>
      <c r="F1753" s="2"/>
      <c r="G1753" s="2"/>
      <c r="H1753" s="2"/>
      <c r="I1753" s="2"/>
    </row>
    <row r="1754" spans="1:9" ht="60" x14ac:dyDescent="0.25">
      <c r="A1754" s="1" t="s">
        <v>13</v>
      </c>
      <c r="B1754" s="5">
        <v>88.82</v>
      </c>
      <c r="C1754" s="5">
        <v>89.13</v>
      </c>
      <c r="D1754" s="5">
        <v>89.73</v>
      </c>
      <c r="E1754" s="5">
        <v>90.53</v>
      </c>
      <c r="F1754" s="5">
        <v>91.46</v>
      </c>
      <c r="G1754" s="5">
        <v>92.33</v>
      </c>
      <c r="H1754" s="5">
        <v>93.12</v>
      </c>
      <c r="I1754" s="6">
        <v>0.79106500000000002</v>
      </c>
    </row>
    <row r="1755" spans="1:9" ht="60" x14ac:dyDescent="0.25">
      <c r="A1755" s="1" t="s">
        <v>117</v>
      </c>
      <c r="B1755" s="5">
        <v>20.16</v>
      </c>
      <c r="C1755" s="5">
        <v>19.57</v>
      </c>
      <c r="D1755" s="5">
        <v>19.010000000000002</v>
      </c>
      <c r="E1755" s="5">
        <v>18.46</v>
      </c>
      <c r="F1755" s="5">
        <v>17.93</v>
      </c>
      <c r="G1755" s="5">
        <v>17.43</v>
      </c>
      <c r="H1755" s="5">
        <v>16.940000000000001</v>
      </c>
      <c r="I1755" s="6">
        <v>-2.8587220000000002</v>
      </c>
    </row>
    <row r="1756" spans="1:9" ht="60" x14ac:dyDescent="0.25">
      <c r="A1756" s="1" t="s">
        <v>118</v>
      </c>
      <c r="B1756" s="5">
        <v>11.2</v>
      </c>
      <c r="C1756" s="5">
        <v>8.86</v>
      </c>
      <c r="D1756" s="5">
        <v>6.99</v>
      </c>
      <c r="E1756" s="5">
        <v>5.5</v>
      </c>
      <c r="F1756" s="5">
        <v>4.32</v>
      </c>
      <c r="G1756" s="5">
        <v>3.37</v>
      </c>
      <c r="H1756" s="5">
        <v>2.62</v>
      </c>
      <c r="I1756" s="6">
        <v>-21.504057</v>
      </c>
    </row>
    <row r="1757" spans="1:9" ht="60" x14ac:dyDescent="0.25">
      <c r="A1757" s="1" t="s">
        <v>119</v>
      </c>
      <c r="B1757" s="5">
        <v>50.59</v>
      </c>
      <c r="C1757" s="5">
        <v>54</v>
      </c>
      <c r="D1757" s="5">
        <v>57.19</v>
      </c>
      <c r="E1757" s="5">
        <v>60.17</v>
      </c>
      <c r="F1757" s="5">
        <v>62.96</v>
      </c>
      <c r="G1757" s="5">
        <v>65.430000000000007</v>
      </c>
      <c r="H1757" s="5">
        <v>67.61</v>
      </c>
      <c r="I1757" s="6">
        <v>4.9520780000000002</v>
      </c>
    </row>
    <row r="1758" spans="1:9" ht="60" x14ac:dyDescent="0.25">
      <c r="A1758" s="1" t="s">
        <v>120</v>
      </c>
      <c r="B1758" s="5">
        <v>0</v>
      </c>
      <c r="C1758" s="5">
        <v>0</v>
      </c>
      <c r="D1758" s="5">
        <v>0</v>
      </c>
      <c r="E1758" s="5">
        <v>0</v>
      </c>
      <c r="F1758" s="5">
        <v>0</v>
      </c>
      <c r="G1758" s="5">
        <v>0</v>
      </c>
      <c r="H1758" s="5">
        <v>0</v>
      </c>
      <c r="I1758" s="7" t="s">
        <v>58</v>
      </c>
    </row>
    <row r="1759" spans="1:9" ht="75" x14ac:dyDescent="0.25">
      <c r="A1759" s="1" t="s">
        <v>121</v>
      </c>
      <c r="B1759" s="5">
        <v>0</v>
      </c>
      <c r="C1759" s="5">
        <v>0</v>
      </c>
      <c r="D1759" s="5">
        <v>0</v>
      </c>
      <c r="E1759" s="5">
        <v>0</v>
      </c>
      <c r="F1759" s="5">
        <v>0</v>
      </c>
      <c r="G1759" s="5">
        <v>0</v>
      </c>
      <c r="H1759" s="5">
        <v>0</v>
      </c>
      <c r="I1759" s="7" t="s">
        <v>58</v>
      </c>
    </row>
    <row r="1760" spans="1:9" ht="75" x14ac:dyDescent="0.25">
      <c r="A1760" s="1" t="s">
        <v>122</v>
      </c>
      <c r="B1760" s="5">
        <v>6.87</v>
      </c>
      <c r="C1760" s="5">
        <v>6.7</v>
      </c>
      <c r="D1760" s="5">
        <v>6.55</v>
      </c>
      <c r="E1760" s="5">
        <v>6.39</v>
      </c>
      <c r="F1760" s="5">
        <v>6.24</v>
      </c>
      <c r="G1760" s="5">
        <v>6.1</v>
      </c>
      <c r="H1760" s="5">
        <v>5.96</v>
      </c>
      <c r="I1760" s="6">
        <v>-2.3404050000000001</v>
      </c>
    </row>
    <row r="1761" spans="1:9" ht="60" x14ac:dyDescent="0.25">
      <c r="A1761" s="1" t="s">
        <v>123</v>
      </c>
      <c r="B1761" s="5">
        <v>22.7</v>
      </c>
      <c r="C1761" s="5">
        <v>21.96</v>
      </c>
      <c r="D1761" s="5">
        <v>21.18</v>
      </c>
      <c r="E1761" s="5">
        <v>20.39</v>
      </c>
      <c r="F1761" s="5">
        <v>19.61</v>
      </c>
      <c r="G1761" s="5">
        <v>18.88</v>
      </c>
      <c r="H1761" s="5">
        <v>18.190000000000001</v>
      </c>
      <c r="I1761" s="6">
        <v>-3.6242420000000002</v>
      </c>
    </row>
    <row r="1762" spans="1:9" ht="60" x14ac:dyDescent="0.25">
      <c r="A1762" s="1" t="s">
        <v>124</v>
      </c>
      <c r="B1762" s="5">
        <v>12.61</v>
      </c>
      <c r="C1762" s="5">
        <v>9.94</v>
      </c>
      <c r="D1762" s="5">
        <v>7.79</v>
      </c>
      <c r="E1762" s="5">
        <v>6.08</v>
      </c>
      <c r="F1762" s="5">
        <v>4.72</v>
      </c>
      <c r="G1762" s="5">
        <v>3.65</v>
      </c>
      <c r="H1762" s="5">
        <v>2.82</v>
      </c>
      <c r="I1762" s="6">
        <v>-22.090754</v>
      </c>
    </row>
    <row r="1763" spans="1:9" ht="60" x14ac:dyDescent="0.25">
      <c r="A1763" s="1" t="s">
        <v>125</v>
      </c>
      <c r="B1763" s="5">
        <v>56.96</v>
      </c>
      <c r="C1763" s="5">
        <v>60.58</v>
      </c>
      <c r="D1763" s="5">
        <v>63.73</v>
      </c>
      <c r="E1763" s="5">
        <v>66.47</v>
      </c>
      <c r="F1763" s="5">
        <v>68.84</v>
      </c>
      <c r="G1763" s="5">
        <v>70.86</v>
      </c>
      <c r="H1763" s="5">
        <v>72.599999999999994</v>
      </c>
      <c r="I1763" s="6">
        <v>4.1264609999999999</v>
      </c>
    </row>
    <row r="1764" spans="1:9" ht="60" x14ac:dyDescent="0.25">
      <c r="A1764" s="1" t="s">
        <v>126</v>
      </c>
      <c r="B1764" s="5">
        <v>0</v>
      </c>
      <c r="C1764" s="5">
        <v>0</v>
      </c>
      <c r="D1764" s="5">
        <v>0</v>
      </c>
      <c r="E1764" s="5">
        <v>0</v>
      </c>
      <c r="F1764" s="5">
        <v>0</v>
      </c>
      <c r="G1764" s="5">
        <v>0</v>
      </c>
      <c r="H1764" s="5">
        <v>0</v>
      </c>
      <c r="I1764" s="7" t="s">
        <v>58</v>
      </c>
    </row>
    <row r="1765" spans="1:9" ht="75" x14ac:dyDescent="0.25">
      <c r="A1765" s="1" t="s">
        <v>127</v>
      </c>
      <c r="B1765" s="5">
        <v>0</v>
      </c>
      <c r="C1765" s="5">
        <v>0</v>
      </c>
      <c r="D1765" s="5">
        <v>0</v>
      </c>
      <c r="E1765" s="5">
        <v>0</v>
      </c>
      <c r="F1765" s="5">
        <v>0</v>
      </c>
      <c r="G1765" s="5">
        <v>0</v>
      </c>
      <c r="H1765" s="5">
        <v>0</v>
      </c>
      <c r="I1765" s="7" t="s">
        <v>58</v>
      </c>
    </row>
    <row r="1766" spans="1:9" ht="60" x14ac:dyDescent="0.25">
      <c r="A1766" s="1" t="s">
        <v>128</v>
      </c>
      <c r="B1766" s="5">
        <v>7.73</v>
      </c>
      <c r="C1766" s="5">
        <v>7.52</v>
      </c>
      <c r="D1766" s="5">
        <v>7.3</v>
      </c>
      <c r="E1766" s="5">
        <v>7.06</v>
      </c>
      <c r="F1766" s="5">
        <v>6.83</v>
      </c>
      <c r="G1766" s="5">
        <v>6.61</v>
      </c>
      <c r="H1766" s="5">
        <v>6.4</v>
      </c>
      <c r="I1766" s="6">
        <v>-3.0978500000000002</v>
      </c>
    </row>
    <row r="1767" spans="1:9" ht="45" x14ac:dyDescent="0.25">
      <c r="A1767" s="1" t="s">
        <v>129</v>
      </c>
      <c r="B1767" s="7" t="s">
        <v>58</v>
      </c>
      <c r="C1767" s="7" t="s">
        <v>58</v>
      </c>
      <c r="D1767" s="7" t="s">
        <v>58</v>
      </c>
      <c r="E1767" s="7" t="s">
        <v>58</v>
      </c>
      <c r="F1767" s="7" t="s">
        <v>58</v>
      </c>
      <c r="G1767" s="7" t="s">
        <v>58</v>
      </c>
      <c r="H1767" s="7" t="s">
        <v>58</v>
      </c>
      <c r="I1767" s="7" t="s">
        <v>58</v>
      </c>
    </row>
    <row r="1768" spans="1:9" ht="45" x14ac:dyDescent="0.25">
      <c r="A1768" s="1" t="s">
        <v>140</v>
      </c>
      <c r="B1768" s="7" t="s">
        <v>58</v>
      </c>
      <c r="C1768" s="7" t="s">
        <v>58</v>
      </c>
      <c r="D1768" s="7" t="s">
        <v>58</v>
      </c>
      <c r="E1768" s="7" t="s">
        <v>58</v>
      </c>
      <c r="F1768" s="7" t="s">
        <v>58</v>
      </c>
      <c r="G1768" s="7" t="s">
        <v>58</v>
      </c>
      <c r="H1768" s="7" t="s">
        <v>58</v>
      </c>
      <c r="I1768" s="7" t="s">
        <v>58</v>
      </c>
    </row>
    <row r="1769" spans="1:9" ht="45" x14ac:dyDescent="0.25">
      <c r="A1769" s="1" t="s">
        <v>141</v>
      </c>
      <c r="B1769" s="7" t="s">
        <v>58</v>
      </c>
      <c r="C1769" s="7" t="s">
        <v>58</v>
      </c>
      <c r="D1769" s="7" t="s">
        <v>58</v>
      </c>
      <c r="E1769" s="7" t="s">
        <v>58</v>
      </c>
      <c r="F1769" s="7" t="s">
        <v>58</v>
      </c>
      <c r="G1769" s="7" t="s">
        <v>58</v>
      </c>
      <c r="H1769" s="7" t="s">
        <v>58</v>
      </c>
      <c r="I1769" s="7" t="s">
        <v>58</v>
      </c>
    </row>
    <row r="1770" spans="1:9" ht="45" x14ac:dyDescent="0.25">
      <c r="A1770" s="1" t="s">
        <v>142</v>
      </c>
      <c r="B1770" s="7" t="s">
        <v>58</v>
      </c>
      <c r="C1770" s="7" t="s">
        <v>58</v>
      </c>
      <c r="D1770" s="7" t="s">
        <v>58</v>
      </c>
      <c r="E1770" s="7" t="s">
        <v>58</v>
      </c>
      <c r="F1770" s="7" t="s">
        <v>58</v>
      </c>
      <c r="G1770" s="7" t="s">
        <v>58</v>
      </c>
      <c r="H1770" s="7" t="s">
        <v>58</v>
      </c>
      <c r="I1770" s="7" t="s">
        <v>58</v>
      </c>
    </row>
    <row r="1771" spans="1:9" ht="60" x14ac:dyDescent="0.25">
      <c r="A1771" s="1" t="s">
        <v>133</v>
      </c>
      <c r="B1771" s="7" t="s">
        <v>58</v>
      </c>
      <c r="C1771" s="7" t="s">
        <v>58</v>
      </c>
      <c r="D1771" s="7" t="s">
        <v>58</v>
      </c>
      <c r="E1771" s="7" t="s">
        <v>58</v>
      </c>
      <c r="F1771" s="7" t="s">
        <v>58</v>
      </c>
      <c r="G1771" s="7" t="s">
        <v>58</v>
      </c>
      <c r="H1771" s="7" t="s">
        <v>58</v>
      </c>
      <c r="I1771" s="7" t="s">
        <v>58</v>
      </c>
    </row>
    <row r="1772" spans="1:9" ht="60" x14ac:dyDescent="0.25">
      <c r="A1772" s="1" t="s">
        <v>134</v>
      </c>
      <c r="B1772" s="7" t="s">
        <v>58</v>
      </c>
      <c r="C1772" s="7" t="s">
        <v>58</v>
      </c>
      <c r="D1772" s="7" t="s">
        <v>58</v>
      </c>
      <c r="E1772" s="7" t="s">
        <v>58</v>
      </c>
      <c r="F1772" s="7" t="s">
        <v>58</v>
      </c>
      <c r="G1772" s="7" t="s">
        <v>58</v>
      </c>
      <c r="H1772" s="7" t="s">
        <v>58</v>
      </c>
      <c r="I1772" s="7" t="s">
        <v>58</v>
      </c>
    </row>
    <row r="1773" spans="1:9" x14ac:dyDescent="0.25">
      <c r="A1773" s="1" t="s">
        <v>12</v>
      </c>
      <c r="B1773" s="2"/>
      <c r="C1773" s="2"/>
      <c r="D1773" s="2"/>
      <c r="E1773" s="2"/>
      <c r="F1773" s="2"/>
      <c r="G1773" s="2"/>
      <c r="H1773" s="2"/>
      <c r="I1773" s="2"/>
    </row>
    <row r="1774" spans="1:9" x14ac:dyDescent="0.25">
      <c r="A1774" s="8" t="s">
        <v>99</v>
      </c>
      <c r="B1774" s="2"/>
      <c r="C1774" s="2"/>
      <c r="D1774" s="2"/>
      <c r="E1774" s="2"/>
      <c r="F1774" s="2"/>
      <c r="G1774" s="2"/>
      <c r="H1774" s="2"/>
      <c r="I1774" s="2"/>
    </row>
    <row r="1775" spans="1:9" ht="60" x14ac:dyDescent="0.25">
      <c r="A1775" s="1" t="s">
        <v>13</v>
      </c>
      <c r="B1775" s="5">
        <v>13.52</v>
      </c>
      <c r="C1775" s="5">
        <v>16.18</v>
      </c>
      <c r="D1775" s="5">
        <v>19.309999999999999</v>
      </c>
      <c r="E1775" s="5">
        <v>22.75</v>
      </c>
      <c r="F1775" s="5">
        <v>26.39</v>
      </c>
      <c r="G1775" s="5">
        <v>29.5</v>
      </c>
      <c r="H1775" s="5">
        <v>32.409999999999997</v>
      </c>
      <c r="I1775" s="6">
        <v>15.686776999999999</v>
      </c>
    </row>
    <row r="1776" spans="1:9" ht="60" x14ac:dyDescent="0.25">
      <c r="A1776" s="1" t="s">
        <v>117</v>
      </c>
      <c r="B1776" s="5">
        <v>0</v>
      </c>
      <c r="C1776" s="5">
        <v>0</v>
      </c>
      <c r="D1776" s="5">
        <v>0</v>
      </c>
      <c r="E1776" s="5">
        <v>0</v>
      </c>
      <c r="F1776" s="5">
        <v>0</v>
      </c>
      <c r="G1776" s="5">
        <v>0</v>
      </c>
      <c r="H1776" s="5">
        <v>0</v>
      </c>
      <c r="I1776" s="7" t="s">
        <v>58</v>
      </c>
    </row>
    <row r="1777" spans="1:9" ht="60" x14ac:dyDescent="0.25">
      <c r="A1777" s="1" t="s">
        <v>118</v>
      </c>
      <c r="B1777" s="5">
        <v>0.91</v>
      </c>
      <c r="C1777" s="5">
        <v>0.78</v>
      </c>
      <c r="D1777" s="5">
        <v>0.67</v>
      </c>
      <c r="E1777" s="5">
        <v>0.57999999999999996</v>
      </c>
      <c r="F1777" s="5">
        <v>0.56000000000000005</v>
      </c>
      <c r="G1777" s="5">
        <v>0.53</v>
      </c>
      <c r="H1777" s="5">
        <v>0.51</v>
      </c>
      <c r="I1777" s="6">
        <v>-9.1995229999999992</v>
      </c>
    </row>
    <row r="1778" spans="1:9" ht="60" x14ac:dyDescent="0.25">
      <c r="A1778" s="1" t="s">
        <v>119</v>
      </c>
      <c r="B1778" s="5">
        <v>10.97</v>
      </c>
      <c r="C1778" s="5">
        <v>13.56</v>
      </c>
      <c r="D1778" s="5">
        <v>16.559999999999999</v>
      </c>
      <c r="E1778" s="5">
        <v>20</v>
      </c>
      <c r="F1778" s="5">
        <v>23.56</v>
      </c>
      <c r="G1778" s="5">
        <v>26.57</v>
      </c>
      <c r="H1778" s="5">
        <v>29.39</v>
      </c>
      <c r="I1778" s="6">
        <v>17.850698000000001</v>
      </c>
    </row>
    <row r="1779" spans="1:9" ht="60" x14ac:dyDescent="0.25">
      <c r="A1779" s="1" t="s">
        <v>120</v>
      </c>
      <c r="B1779" s="5">
        <v>0.1</v>
      </c>
      <c r="C1779" s="5">
        <v>0.1</v>
      </c>
      <c r="D1779" s="5">
        <v>0.11</v>
      </c>
      <c r="E1779" s="5">
        <v>0.12</v>
      </c>
      <c r="F1779" s="5">
        <v>0.14000000000000001</v>
      </c>
      <c r="G1779" s="5">
        <v>0.15</v>
      </c>
      <c r="H1779" s="5">
        <v>0.16</v>
      </c>
      <c r="I1779" s="6">
        <v>8.1483749999999997</v>
      </c>
    </row>
    <row r="1780" spans="1:9" ht="75" x14ac:dyDescent="0.25">
      <c r="A1780" s="1" t="s">
        <v>121</v>
      </c>
      <c r="B1780" s="5">
        <v>1.48</v>
      </c>
      <c r="C1780" s="5">
        <v>1.68</v>
      </c>
      <c r="D1780" s="5">
        <v>1.9</v>
      </c>
      <c r="E1780" s="5">
        <v>1.99</v>
      </c>
      <c r="F1780" s="5">
        <v>2.09</v>
      </c>
      <c r="G1780" s="5">
        <v>2.19</v>
      </c>
      <c r="H1780" s="5">
        <v>2.29</v>
      </c>
      <c r="I1780" s="6">
        <v>7.5463380000000004</v>
      </c>
    </row>
    <row r="1781" spans="1:9" ht="75" x14ac:dyDescent="0.25">
      <c r="A1781" s="1" t="s">
        <v>122</v>
      </c>
      <c r="B1781" s="5">
        <v>0.06</v>
      </c>
      <c r="C1781" s="5">
        <v>0.06</v>
      </c>
      <c r="D1781" s="5">
        <v>0.06</v>
      </c>
      <c r="E1781" s="5">
        <v>0.06</v>
      </c>
      <c r="F1781" s="5">
        <v>0.06</v>
      </c>
      <c r="G1781" s="5">
        <v>0.06</v>
      </c>
      <c r="H1781" s="5">
        <v>0.06</v>
      </c>
      <c r="I1781" s="6">
        <v>0</v>
      </c>
    </row>
    <row r="1782" spans="1:9" ht="60" x14ac:dyDescent="0.25">
      <c r="A1782" s="1" t="s">
        <v>123</v>
      </c>
      <c r="B1782" s="5">
        <v>0</v>
      </c>
      <c r="C1782" s="5">
        <v>0</v>
      </c>
      <c r="D1782" s="5">
        <v>0</v>
      </c>
      <c r="E1782" s="5">
        <v>0</v>
      </c>
      <c r="F1782" s="5">
        <v>0</v>
      </c>
      <c r="G1782" s="5">
        <v>0</v>
      </c>
      <c r="H1782" s="5">
        <v>0</v>
      </c>
      <c r="I1782" s="7" t="s">
        <v>58</v>
      </c>
    </row>
    <row r="1783" spans="1:9" ht="60" x14ac:dyDescent="0.25">
      <c r="A1783" s="1" t="s">
        <v>124</v>
      </c>
      <c r="B1783" s="5">
        <v>6.75</v>
      </c>
      <c r="C1783" s="5">
        <v>4.84</v>
      </c>
      <c r="D1783" s="5">
        <v>3.49</v>
      </c>
      <c r="E1783" s="5">
        <v>2.54</v>
      </c>
      <c r="F1783" s="5">
        <v>2.12</v>
      </c>
      <c r="G1783" s="5">
        <v>1.81</v>
      </c>
      <c r="H1783" s="5">
        <v>1.58</v>
      </c>
      <c r="I1783" s="6">
        <v>-21.495922</v>
      </c>
    </row>
    <row r="1784" spans="1:9" ht="60" x14ac:dyDescent="0.25">
      <c r="A1784" s="1" t="s">
        <v>125</v>
      </c>
      <c r="B1784" s="5">
        <v>81.150000000000006</v>
      </c>
      <c r="C1784" s="5">
        <v>83.79</v>
      </c>
      <c r="D1784" s="5">
        <v>85.8</v>
      </c>
      <c r="E1784" s="5">
        <v>87.92</v>
      </c>
      <c r="F1784" s="5">
        <v>89.24</v>
      </c>
      <c r="G1784" s="5">
        <v>90.08</v>
      </c>
      <c r="H1784" s="5">
        <v>90.69</v>
      </c>
      <c r="I1784" s="6">
        <v>1.8697280000000001</v>
      </c>
    </row>
    <row r="1785" spans="1:9" ht="60" x14ac:dyDescent="0.25">
      <c r="A1785" s="1" t="s">
        <v>126</v>
      </c>
      <c r="B1785" s="5">
        <v>0.71</v>
      </c>
      <c r="C1785" s="5">
        <v>0.62</v>
      </c>
      <c r="D1785" s="5">
        <v>0.55000000000000004</v>
      </c>
      <c r="E1785" s="5">
        <v>0.52</v>
      </c>
      <c r="F1785" s="5">
        <v>0.51</v>
      </c>
      <c r="G1785" s="5">
        <v>0.49</v>
      </c>
      <c r="H1785" s="5">
        <v>0.48</v>
      </c>
      <c r="I1785" s="6">
        <v>-6.3163470000000004</v>
      </c>
    </row>
    <row r="1786" spans="1:9" ht="75" x14ac:dyDescent="0.25">
      <c r="A1786" s="1" t="s">
        <v>127</v>
      </c>
      <c r="B1786" s="5">
        <v>10.95</v>
      </c>
      <c r="C1786" s="5">
        <v>10.38</v>
      </c>
      <c r="D1786" s="5">
        <v>9.86</v>
      </c>
      <c r="E1786" s="5">
        <v>8.77</v>
      </c>
      <c r="F1786" s="5">
        <v>7.91</v>
      </c>
      <c r="G1786" s="5">
        <v>7.42</v>
      </c>
      <c r="H1786" s="5">
        <v>7.07</v>
      </c>
      <c r="I1786" s="6">
        <v>-7.0318440000000004</v>
      </c>
    </row>
    <row r="1787" spans="1:9" ht="60" x14ac:dyDescent="0.25">
      <c r="A1787" s="1" t="s">
        <v>128</v>
      </c>
      <c r="B1787" s="5">
        <v>0.44</v>
      </c>
      <c r="C1787" s="5">
        <v>0.37</v>
      </c>
      <c r="D1787" s="5">
        <v>0.3</v>
      </c>
      <c r="E1787" s="5">
        <v>0.25</v>
      </c>
      <c r="F1787" s="5">
        <v>0.22</v>
      </c>
      <c r="G1787" s="5">
        <v>0.19</v>
      </c>
      <c r="H1787" s="5">
        <v>0.17</v>
      </c>
      <c r="I1787" s="6">
        <v>-14.657366</v>
      </c>
    </row>
    <row r="1788" spans="1:9" ht="45" x14ac:dyDescent="0.25">
      <c r="A1788" s="1" t="s">
        <v>129</v>
      </c>
      <c r="B1788" s="7" t="s">
        <v>58</v>
      </c>
      <c r="C1788" s="7" t="s">
        <v>58</v>
      </c>
      <c r="D1788" s="7" t="s">
        <v>58</v>
      </c>
      <c r="E1788" s="7" t="s">
        <v>58</v>
      </c>
      <c r="F1788" s="7" t="s">
        <v>58</v>
      </c>
      <c r="G1788" s="7" t="s">
        <v>58</v>
      </c>
      <c r="H1788" s="7" t="s">
        <v>58</v>
      </c>
      <c r="I1788" s="7" t="s">
        <v>58</v>
      </c>
    </row>
    <row r="1789" spans="1:9" ht="45" x14ac:dyDescent="0.25">
      <c r="A1789" s="1" t="s">
        <v>140</v>
      </c>
      <c r="B1789" s="7" t="s">
        <v>58</v>
      </c>
      <c r="C1789" s="7" t="s">
        <v>58</v>
      </c>
      <c r="D1789" s="7" t="s">
        <v>58</v>
      </c>
      <c r="E1789" s="7" t="s">
        <v>58</v>
      </c>
      <c r="F1789" s="7" t="s">
        <v>58</v>
      </c>
      <c r="G1789" s="7" t="s">
        <v>58</v>
      </c>
      <c r="H1789" s="7" t="s">
        <v>58</v>
      </c>
      <c r="I1789" s="7" t="s">
        <v>58</v>
      </c>
    </row>
    <row r="1790" spans="1:9" ht="45" x14ac:dyDescent="0.25">
      <c r="A1790" s="1" t="s">
        <v>141</v>
      </c>
      <c r="B1790" s="7" t="s">
        <v>58</v>
      </c>
      <c r="C1790" s="7" t="s">
        <v>58</v>
      </c>
      <c r="D1790" s="7" t="s">
        <v>58</v>
      </c>
      <c r="E1790" s="7" t="s">
        <v>58</v>
      </c>
      <c r="F1790" s="7" t="s">
        <v>58</v>
      </c>
      <c r="G1790" s="7" t="s">
        <v>58</v>
      </c>
      <c r="H1790" s="7" t="s">
        <v>58</v>
      </c>
      <c r="I1790" s="7" t="s">
        <v>58</v>
      </c>
    </row>
    <row r="1791" spans="1:9" ht="45" x14ac:dyDescent="0.25">
      <c r="A1791" s="1" t="s">
        <v>142</v>
      </c>
      <c r="B1791" s="7" t="s">
        <v>58</v>
      </c>
      <c r="C1791" s="7" t="s">
        <v>58</v>
      </c>
      <c r="D1791" s="7" t="s">
        <v>58</v>
      </c>
      <c r="E1791" s="7" t="s">
        <v>58</v>
      </c>
      <c r="F1791" s="7" t="s">
        <v>58</v>
      </c>
      <c r="G1791" s="7" t="s">
        <v>58</v>
      </c>
      <c r="H1791" s="7" t="s">
        <v>58</v>
      </c>
      <c r="I1791" s="7" t="s">
        <v>58</v>
      </c>
    </row>
    <row r="1792" spans="1:9" ht="60" x14ac:dyDescent="0.25">
      <c r="A1792" s="1" t="s">
        <v>133</v>
      </c>
      <c r="B1792" s="7" t="s">
        <v>58</v>
      </c>
      <c r="C1792" s="7" t="s">
        <v>58</v>
      </c>
      <c r="D1792" s="7" t="s">
        <v>58</v>
      </c>
      <c r="E1792" s="7" t="s">
        <v>58</v>
      </c>
      <c r="F1792" s="7" t="s">
        <v>58</v>
      </c>
      <c r="G1792" s="7" t="s">
        <v>58</v>
      </c>
      <c r="H1792" s="7" t="s">
        <v>58</v>
      </c>
      <c r="I1792" s="7" t="s">
        <v>58</v>
      </c>
    </row>
    <row r="1793" spans="1:9" ht="60" x14ac:dyDescent="0.25">
      <c r="A1793" s="1" t="s">
        <v>134</v>
      </c>
      <c r="B1793" s="7" t="s">
        <v>58</v>
      </c>
      <c r="C1793" s="7" t="s">
        <v>58</v>
      </c>
      <c r="D1793" s="7" t="s">
        <v>58</v>
      </c>
      <c r="E1793" s="7" t="s">
        <v>58</v>
      </c>
      <c r="F1793" s="7" t="s">
        <v>58</v>
      </c>
      <c r="G1793" s="7" t="s">
        <v>58</v>
      </c>
      <c r="H1793" s="7" t="s">
        <v>58</v>
      </c>
      <c r="I1793" s="7" t="s">
        <v>58</v>
      </c>
    </row>
    <row r="1794" spans="1:9" x14ac:dyDescent="0.25">
      <c r="A1794" s="1" t="s">
        <v>12</v>
      </c>
      <c r="B1794" s="2"/>
      <c r="C1794" s="2"/>
      <c r="D1794" s="2"/>
      <c r="E1794" s="2"/>
      <c r="F1794" s="2"/>
      <c r="G1794" s="2"/>
      <c r="H1794" s="2"/>
      <c r="I1794" s="2"/>
    </row>
    <row r="1795" spans="1:9" x14ac:dyDescent="0.25">
      <c r="A1795" s="8" t="s">
        <v>100</v>
      </c>
      <c r="B1795" s="2"/>
      <c r="C1795" s="2"/>
      <c r="D1795" s="2"/>
      <c r="E1795" s="2"/>
      <c r="F1795" s="2"/>
      <c r="G1795" s="2"/>
      <c r="H1795" s="2"/>
      <c r="I1795" s="2"/>
    </row>
    <row r="1796" spans="1:9" ht="60" x14ac:dyDescent="0.25">
      <c r="A1796" s="1" t="s">
        <v>13</v>
      </c>
      <c r="B1796" s="5">
        <v>112.52</v>
      </c>
      <c r="C1796" s="5">
        <v>112.67</v>
      </c>
      <c r="D1796" s="5">
        <v>112.57</v>
      </c>
      <c r="E1796" s="5">
        <v>112.46</v>
      </c>
      <c r="F1796" s="5">
        <v>112.44</v>
      </c>
      <c r="G1796" s="5">
        <v>112.73</v>
      </c>
      <c r="H1796" s="5">
        <v>113.01</v>
      </c>
      <c r="I1796" s="6">
        <v>7.2447999999999999E-2</v>
      </c>
    </row>
    <row r="1797" spans="1:9" ht="60" x14ac:dyDescent="0.25">
      <c r="A1797" s="1" t="s">
        <v>117</v>
      </c>
      <c r="B1797" s="5">
        <v>9.23</v>
      </c>
      <c r="C1797" s="5">
        <v>8.43</v>
      </c>
      <c r="D1797" s="5">
        <v>7.71</v>
      </c>
      <c r="E1797" s="5">
        <v>7.05</v>
      </c>
      <c r="F1797" s="5">
        <v>6.45</v>
      </c>
      <c r="G1797" s="5">
        <v>5.9</v>
      </c>
      <c r="H1797" s="5">
        <v>5.41</v>
      </c>
      <c r="I1797" s="6">
        <v>-8.5186440000000001</v>
      </c>
    </row>
    <row r="1798" spans="1:9" ht="60" x14ac:dyDescent="0.25">
      <c r="A1798" s="1" t="s">
        <v>118</v>
      </c>
      <c r="B1798" s="5">
        <v>1.42</v>
      </c>
      <c r="C1798" s="5">
        <v>1.26</v>
      </c>
      <c r="D1798" s="5">
        <v>0.88</v>
      </c>
      <c r="E1798" s="5">
        <v>0.68</v>
      </c>
      <c r="F1798" s="5">
        <v>0.57999999999999996</v>
      </c>
      <c r="G1798" s="5">
        <v>0.5</v>
      </c>
      <c r="H1798" s="5">
        <v>0.42</v>
      </c>
      <c r="I1798" s="6">
        <v>-18.374317999999999</v>
      </c>
    </row>
    <row r="1799" spans="1:9" ht="60" x14ac:dyDescent="0.25">
      <c r="A1799" s="1" t="s">
        <v>119</v>
      </c>
      <c r="B1799" s="5">
        <v>101.87</v>
      </c>
      <c r="C1799" s="5">
        <v>102.98</v>
      </c>
      <c r="D1799" s="5">
        <v>103.98</v>
      </c>
      <c r="E1799" s="5">
        <v>104.73</v>
      </c>
      <c r="F1799" s="5">
        <v>105.4</v>
      </c>
      <c r="G1799" s="5">
        <v>106.33</v>
      </c>
      <c r="H1799" s="5">
        <v>107.18</v>
      </c>
      <c r="I1799" s="6">
        <v>0.85046600000000006</v>
      </c>
    </row>
    <row r="1800" spans="1:9" ht="60" x14ac:dyDescent="0.25">
      <c r="A1800" s="1" t="s">
        <v>120</v>
      </c>
      <c r="B1800" s="5">
        <v>0</v>
      </c>
      <c r="C1800" s="5">
        <v>0</v>
      </c>
      <c r="D1800" s="5">
        <v>0</v>
      </c>
      <c r="E1800" s="5">
        <v>0</v>
      </c>
      <c r="F1800" s="5">
        <v>0</v>
      </c>
      <c r="G1800" s="5">
        <v>0</v>
      </c>
      <c r="H1800" s="5">
        <v>0</v>
      </c>
      <c r="I1800" s="7" t="s">
        <v>58</v>
      </c>
    </row>
    <row r="1801" spans="1:9" ht="75" x14ac:dyDescent="0.25">
      <c r="A1801" s="1" t="s">
        <v>121</v>
      </c>
      <c r="B1801" s="5">
        <v>0</v>
      </c>
      <c r="C1801" s="5">
        <v>0</v>
      </c>
      <c r="D1801" s="5">
        <v>0</v>
      </c>
      <c r="E1801" s="5">
        <v>0</v>
      </c>
      <c r="F1801" s="5">
        <v>0</v>
      </c>
      <c r="G1801" s="5">
        <v>0</v>
      </c>
      <c r="H1801" s="5">
        <v>0</v>
      </c>
      <c r="I1801" s="7" t="s">
        <v>58</v>
      </c>
    </row>
    <row r="1802" spans="1:9" ht="75" x14ac:dyDescent="0.25">
      <c r="A1802" s="1" t="s">
        <v>122</v>
      </c>
      <c r="B1802" s="5">
        <v>0</v>
      </c>
      <c r="C1802" s="5">
        <v>0</v>
      </c>
      <c r="D1802" s="5">
        <v>0</v>
      </c>
      <c r="E1802" s="5">
        <v>0</v>
      </c>
      <c r="F1802" s="5">
        <v>0</v>
      </c>
      <c r="G1802" s="5">
        <v>0</v>
      </c>
      <c r="H1802" s="5">
        <v>0</v>
      </c>
      <c r="I1802" s="7" t="s">
        <v>58</v>
      </c>
    </row>
    <row r="1803" spans="1:9" ht="60" x14ac:dyDescent="0.25">
      <c r="A1803" s="1" t="s">
        <v>123</v>
      </c>
      <c r="B1803" s="5">
        <v>8.1999999999999993</v>
      </c>
      <c r="C1803" s="5">
        <v>7.48</v>
      </c>
      <c r="D1803" s="5">
        <v>6.85</v>
      </c>
      <c r="E1803" s="5">
        <v>6.27</v>
      </c>
      <c r="F1803" s="5">
        <v>5.74</v>
      </c>
      <c r="G1803" s="5">
        <v>5.24</v>
      </c>
      <c r="H1803" s="5">
        <v>4.78</v>
      </c>
      <c r="I1803" s="6">
        <v>-8.602214</v>
      </c>
    </row>
    <row r="1804" spans="1:9" ht="60" x14ac:dyDescent="0.25">
      <c r="A1804" s="1" t="s">
        <v>124</v>
      </c>
      <c r="B1804" s="5">
        <v>1.27</v>
      </c>
      <c r="C1804" s="5">
        <v>1.1200000000000001</v>
      </c>
      <c r="D1804" s="5">
        <v>0.78</v>
      </c>
      <c r="E1804" s="5">
        <v>0.6</v>
      </c>
      <c r="F1804" s="5">
        <v>0.51</v>
      </c>
      <c r="G1804" s="5">
        <v>0.44</v>
      </c>
      <c r="H1804" s="5">
        <v>0.37</v>
      </c>
      <c r="I1804" s="6">
        <v>-18.579643000000001</v>
      </c>
    </row>
    <row r="1805" spans="1:9" ht="60" x14ac:dyDescent="0.25">
      <c r="A1805" s="1" t="s">
        <v>125</v>
      </c>
      <c r="B1805" s="5">
        <v>90.53</v>
      </c>
      <c r="C1805" s="5">
        <v>91.4</v>
      </c>
      <c r="D1805" s="5">
        <v>92.37</v>
      </c>
      <c r="E1805" s="5">
        <v>93.13</v>
      </c>
      <c r="F1805" s="5">
        <v>93.75</v>
      </c>
      <c r="G1805" s="5">
        <v>94.32</v>
      </c>
      <c r="H1805" s="5">
        <v>94.84</v>
      </c>
      <c r="I1805" s="6">
        <v>0.77817800000000004</v>
      </c>
    </row>
    <row r="1806" spans="1:9" ht="60" x14ac:dyDescent="0.25">
      <c r="A1806" s="1" t="s">
        <v>126</v>
      </c>
      <c r="B1806" s="5">
        <v>0</v>
      </c>
      <c r="C1806" s="5">
        <v>0</v>
      </c>
      <c r="D1806" s="5">
        <v>0</v>
      </c>
      <c r="E1806" s="5">
        <v>0</v>
      </c>
      <c r="F1806" s="5">
        <v>0</v>
      </c>
      <c r="G1806" s="5">
        <v>0</v>
      </c>
      <c r="H1806" s="5">
        <v>0</v>
      </c>
      <c r="I1806" s="7" t="s">
        <v>58</v>
      </c>
    </row>
    <row r="1807" spans="1:9" ht="75" x14ac:dyDescent="0.25">
      <c r="A1807" s="1" t="s">
        <v>127</v>
      </c>
      <c r="B1807" s="5">
        <v>0</v>
      </c>
      <c r="C1807" s="5">
        <v>0</v>
      </c>
      <c r="D1807" s="5">
        <v>0</v>
      </c>
      <c r="E1807" s="5">
        <v>0</v>
      </c>
      <c r="F1807" s="5">
        <v>0</v>
      </c>
      <c r="G1807" s="5">
        <v>0</v>
      </c>
      <c r="H1807" s="5">
        <v>0</v>
      </c>
      <c r="I1807" s="7" t="s">
        <v>58</v>
      </c>
    </row>
    <row r="1808" spans="1:9" ht="60" x14ac:dyDescent="0.25">
      <c r="A1808" s="1" t="s">
        <v>128</v>
      </c>
      <c r="B1808" s="5">
        <v>0</v>
      </c>
      <c r="C1808" s="5">
        <v>0</v>
      </c>
      <c r="D1808" s="5">
        <v>0</v>
      </c>
      <c r="E1808" s="5">
        <v>0</v>
      </c>
      <c r="F1808" s="5">
        <v>0</v>
      </c>
      <c r="G1808" s="5">
        <v>0</v>
      </c>
      <c r="H1808" s="5">
        <v>0</v>
      </c>
      <c r="I1808" s="7" t="s">
        <v>58</v>
      </c>
    </row>
    <row r="1809" spans="1:9" ht="45" x14ac:dyDescent="0.25">
      <c r="A1809" s="1" t="s">
        <v>129</v>
      </c>
      <c r="B1809" s="5">
        <v>12.82</v>
      </c>
      <c r="C1809" s="5">
        <v>12.71</v>
      </c>
      <c r="D1809" s="5">
        <v>14.14</v>
      </c>
      <c r="E1809" s="5">
        <v>14.28</v>
      </c>
      <c r="F1809" s="5">
        <v>14.39</v>
      </c>
      <c r="G1809" s="5">
        <v>14.42</v>
      </c>
      <c r="H1809" s="5">
        <v>14.53</v>
      </c>
      <c r="I1809" s="6">
        <v>2.1087433844318326</v>
      </c>
    </row>
    <row r="1810" spans="1:9" ht="45" x14ac:dyDescent="0.25">
      <c r="A1810" s="1" t="s">
        <v>140</v>
      </c>
      <c r="B1810" s="5">
        <v>6.92</v>
      </c>
      <c r="C1810" s="5">
        <v>6.69</v>
      </c>
      <c r="D1810" s="5">
        <v>7.29</v>
      </c>
      <c r="E1810" s="5">
        <v>7.34</v>
      </c>
      <c r="F1810" s="5">
        <v>7.29</v>
      </c>
      <c r="G1810" s="5">
        <v>7.28</v>
      </c>
      <c r="H1810" s="5">
        <v>7.2</v>
      </c>
      <c r="I1810" s="6">
        <v>0.66327800000000003</v>
      </c>
    </row>
    <row r="1811" spans="1:9" ht="45" x14ac:dyDescent="0.25">
      <c r="A1811" s="1" t="s">
        <v>141</v>
      </c>
      <c r="B1811" s="5">
        <v>6.28</v>
      </c>
      <c r="C1811" s="5">
        <v>6.05</v>
      </c>
      <c r="D1811" s="5">
        <v>6.62</v>
      </c>
      <c r="E1811" s="5">
        <v>6.67</v>
      </c>
      <c r="F1811" s="5">
        <v>6.62</v>
      </c>
      <c r="G1811" s="5">
        <v>6.54</v>
      </c>
      <c r="H1811" s="5">
        <v>6.49</v>
      </c>
      <c r="I1811" s="6">
        <v>0.54971499999999995</v>
      </c>
    </row>
    <row r="1812" spans="1:9" ht="45" x14ac:dyDescent="0.25">
      <c r="A1812" s="1" t="s">
        <v>142</v>
      </c>
      <c r="B1812" s="5">
        <v>13.48</v>
      </c>
      <c r="C1812" s="5">
        <v>13.32</v>
      </c>
      <c r="D1812" s="5">
        <v>14.75</v>
      </c>
      <c r="E1812" s="5">
        <v>14.83</v>
      </c>
      <c r="F1812" s="5">
        <v>14.89</v>
      </c>
      <c r="G1812" s="5">
        <v>14.88</v>
      </c>
      <c r="H1812" s="5">
        <v>14.95</v>
      </c>
      <c r="I1812" s="6">
        <v>1.740035</v>
      </c>
    </row>
    <row r="1813" spans="1:9" ht="60" x14ac:dyDescent="0.25">
      <c r="A1813" s="1" t="s">
        <v>133</v>
      </c>
      <c r="B1813" s="7" t="s">
        <v>58</v>
      </c>
      <c r="C1813" s="7" t="s">
        <v>58</v>
      </c>
      <c r="D1813" s="7" t="s">
        <v>58</v>
      </c>
      <c r="E1813" s="7" t="s">
        <v>58</v>
      </c>
      <c r="F1813" s="7" t="s">
        <v>58</v>
      </c>
      <c r="G1813" s="7" t="s">
        <v>58</v>
      </c>
      <c r="H1813" s="7" t="s">
        <v>58</v>
      </c>
      <c r="I1813" s="7" t="s">
        <v>58</v>
      </c>
    </row>
    <row r="1814" spans="1:9" ht="60" x14ac:dyDescent="0.25">
      <c r="A1814" s="1" t="s">
        <v>134</v>
      </c>
      <c r="B1814" s="7" t="s">
        <v>58</v>
      </c>
      <c r="C1814" s="7" t="s">
        <v>58</v>
      </c>
      <c r="D1814" s="7" t="s">
        <v>58</v>
      </c>
      <c r="E1814" s="7" t="s">
        <v>58</v>
      </c>
      <c r="F1814" s="7" t="s">
        <v>58</v>
      </c>
      <c r="G1814" s="7" t="s">
        <v>58</v>
      </c>
      <c r="H1814" s="7" t="s">
        <v>58</v>
      </c>
      <c r="I1814" s="7" t="s">
        <v>58</v>
      </c>
    </row>
    <row r="1815" spans="1:9" x14ac:dyDescent="0.25">
      <c r="A1815" s="1" t="s">
        <v>12</v>
      </c>
      <c r="B1815" s="2"/>
      <c r="C1815" s="2"/>
      <c r="D1815" s="2"/>
      <c r="E1815" s="2"/>
      <c r="F1815" s="2"/>
      <c r="G1815" s="2"/>
      <c r="H1815" s="2"/>
      <c r="I1815" s="2"/>
    </row>
    <row r="1816" spans="1:9" x14ac:dyDescent="0.25">
      <c r="A1816" s="8" t="s">
        <v>101</v>
      </c>
      <c r="B1816" s="2"/>
      <c r="C1816" s="2"/>
      <c r="D1816" s="2"/>
      <c r="E1816" s="2"/>
      <c r="F1816" s="2"/>
      <c r="G1816" s="2"/>
      <c r="H1816" s="2"/>
      <c r="I1816" s="2"/>
    </row>
    <row r="1817" spans="1:9" ht="60" x14ac:dyDescent="0.25">
      <c r="A1817" s="1" t="s">
        <v>13</v>
      </c>
      <c r="B1817" s="5">
        <v>83.98</v>
      </c>
      <c r="C1817" s="5">
        <v>84.71</v>
      </c>
      <c r="D1817" s="5">
        <v>85.23</v>
      </c>
      <c r="E1817" s="5">
        <v>85.67</v>
      </c>
      <c r="F1817" s="5">
        <v>86.08</v>
      </c>
      <c r="G1817" s="5">
        <v>86.51</v>
      </c>
      <c r="H1817" s="5">
        <v>86.98</v>
      </c>
      <c r="I1817" s="6">
        <v>0.58670699999999998</v>
      </c>
    </row>
    <row r="1818" spans="1:9" ht="60" x14ac:dyDescent="0.25">
      <c r="A1818" s="1" t="s">
        <v>117</v>
      </c>
      <c r="B1818" s="5">
        <v>5.27</v>
      </c>
      <c r="C1818" s="5">
        <v>4.74</v>
      </c>
      <c r="D1818" s="5">
        <v>3.94</v>
      </c>
      <c r="E1818" s="5">
        <v>3.68</v>
      </c>
      <c r="F1818" s="5">
        <v>3.45</v>
      </c>
      <c r="G1818" s="5">
        <v>3.24</v>
      </c>
      <c r="H1818" s="5">
        <v>3.05</v>
      </c>
      <c r="I1818" s="6">
        <v>-8.7117520000000006</v>
      </c>
    </row>
    <row r="1819" spans="1:9" ht="60" x14ac:dyDescent="0.25">
      <c r="A1819" s="1" t="s">
        <v>118</v>
      </c>
      <c r="B1819" s="5">
        <v>0.43</v>
      </c>
      <c r="C1819" s="5">
        <v>0</v>
      </c>
      <c r="D1819" s="5">
        <v>0</v>
      </c>
      <c r="E1819" s="5">
        <v>0</v>
      </c>
      <c r="F1819" s="5">
        <v>0</v>
      </c>
      <c r="G1819" s="5">
        <v>0</v>
      </c>
      <c r="H1819" s="5">
        <v>0</v>
      </c>
      <c r="I1819" s="6">
        <v>-100</v>
      </c>
    </row>
    <row r="1820" spans="1:9" ht="60" x14ac:dyDescent="0.25">
      <c r="A1820" s="1" t="s">
        <v>119</v>
      </c>
      <c r="B1820" s="5">
        <v>75.95</v>
      </c>
      <c r="C1820" s="5">
        <v>77.569999999999993</v>
      </c>
      <c r="D1820" s="5">
        <v>78.8</v>
      </c>
      <c r="E1820" s="5">
        <v>79.44</v>
      </c>
      <c r="F1820" s="5">
        <v>79.989999999999995</v>
      </c>
      <c r="G1820" s="5">
        <v>80.55</v>
      </c>
      <c r="H1820" s="5">
        <v>81.12</v>
      </c>
      <c r="I1820" s="6">
        <v>1.1036170000000001</v>
      </c>
    </row>
    <row r="1821" spans="1:9" ht="60" x14ac:dyDescent="0.25">
      <c r="A1821" s="1" t="s">
        <v>120</v>
      </c>
      <c r="B1821" s="5">
        <v>0</v>
      </c>
      <c r="C1821" s="5">
        <v>0</v>
      </c>
      <c r="D1821" s="5">
        <v>0</v>
      </c>
      <c r="E1821" s="5">
        <v>0</v>
      </c>
      <c r="F1821" s="5">
        <v>0</v>
      </c>
      <c r="G1821" s="5">
        <v>0</v>
      </c>
      <c r="H1821" s="5">
        <v>0</v>
      </c>
      <c r="I1821" s="7" t="s">
        <v>58</v>
      </c>
    </row>
    <row r="1822" spans="1:9" ht="75" x14ac:dyDescent="0.25">
      <c r="A1822" s="1" t="s">
        <v>121</v>
      </c>
      <c r="B1822" s="5">
        <v>2.27</v>
      </c>
      <c r="C1822" s="5">
        <v>2.35</v>
      </c>
      <c r="D1822" s="5">
        <v>2.42</v>
      </c>
      <c r="E1822" s="5">
        <v>2.5</v>
      </c>
      <c r="F1822" s="5">
        <v>2.58</v>
      </c>
      <c r="G1822" s="5">
        <v>2.67</v>
      </c>
      <c r="H1822" s="5">
        <v>2.75</v>
      </c>
      <c r="I1822" s="6">
        <v>3.248672</v>
      </c>
    </row>
    <row r="1823" spans="1:9" ht="75" x14ac:dyDescent="0.25">
      <c r="A1823" s="1" t="s">
        <v>122</v>
      </c>
      <c r="B1823" s="5">
        <v>0.06</v>
      </c>
      <c r="C1823" s="5">
        <v>0.06</v>
      </c>
      <c r="D1823" s="5">
        <v>0.06</v>
      </c>
      <c r="E1823" s="5">
        <v>0.06</v>
      </c>
      <c r="F1823" s="5">
        <v>0.06</v>
      </c>
      <c r="G1823" s="5">
        <v>0.05</v>
      </c>
      <c r="H1823" s="5">
        <v>0.05</v>
      </c>
      <c r="I1823" s="6">
        <v>-2.992988</v>
      </c>
    </row>
    <row r="1824" spans="1:9" ht="60" x14ac:dyDescent="0.25">
      <c r="A1824" s="1" t="s">
        <v>123</v>
      </c>
      <c r="B1824" s="5">
        <v>6.27</v>
      </c>
      <c r="C1824" s="5">
        <v>5.59</v>
      </c>
      <c r="D1824" s="5">
        <v>4.62</v>
      </c>
      <c r="E1824" s="5">
        <v>4.29</v>
      </c>
      <c r="F1824" s="5">
        <v>4</v>
      </c>
      <c r="G1824" s="5">
        <v>3.75</v>
      </c>
      <c r="H1824" s="5">
        <v>3.51</v>
      </c>
      <c r="I1824" s="6">
        <v>-9.2165680000000005</v>
      </c>
    </row>
    <row r="1825" spans="1:9" ht="60" x14ac:dyDescent="0.25">
      <c r="A1825" s="1" t="s">
        <v>124</v>
      </c>
      <c r="B1825" s="5">
        <v>0.51</v>
      </c>
      <c r="C1825" s="5">
        <v>0</v>
      </c>
      <c r="D1825" s="5">
        <v>0</v>
      </c>
      <c r="E1825" s="5">
        <v>0</v>
      </c>
      <c r="F1825" s="5">
        <v>0</v>
      </c>
      <c r="G1825" s="5">
        <v>0</v>
      </c>
      <c r="H1825" s="5">
        <v>0</v>
      </c>
      <c r="I1825" s="6">
        <v>-100</v>
      </c>
    </row>
    <row r="1826" spans="1:9" ht="60" x14ac:dyDescent="0.25">
      <c r="A1826" s="1" t="s">
        <v>125</v>
      </c>
      <c r="B1826" s="5">
        <v>90.44</v>
      </c>
      <c r="C1826" s="5">
        <v>91.57</v>
      </c>
      <c r="D1826" s="5">
        <v>92.47</v>
      </c>
      <c r="E1826" s="5">
        <v>92.72</v>
      </c>
      <c r="F1826" s="5">
        <v>92.93</v>
      </c>
      <c r="G1826" s="5">
        <v>93.11</v>
      </c>
      <c r="H1826" s="5">
        <v>93.27</v>
      </c>
      <c r="I1826" s="6">
        <v>0.51485199999999998</v>
      </c>
    </row>
    <row r="1827" spans="1:9" ht="60" x14ac:dyDescent="0.25">
      <c r="A1827" s="1" t="s">
        <v>126</v>
      </c>
      <c r="B1827" s="5">
        <v>0</v>
      </c>
      <c r="C1827" s="5">
        <v>0</v>
      </c>
      <c r="D1827" s="5">
        <v>0</v>
      </c>
      <c r="E1827" s="5">
        <v>0</v>
      </c>
      <c r="F1827" s="5">
        <v>0</v>
      </c>
      <c r="G1827" s="5">
        <v>0</v>
      </c>
      <c r="H1827" s="5">
        <v>0</v>
      </c>
      <c r="I1827" s="7" t="s">
        <v>58</v>
      </c>
    </row>
    <row r="1828" spans="1:9" ht="75" x14ac:dyDescent="0.25">
      <c r="A1828" s="1" t="s">
        <v>127</v>
      </c>
      <c r="B1828" s="5">
        <v>2.7</v>
      </c>
      <c r="C1828" s="5">
        <v>2.77</v>
      </c>
      <c r="D1828" s="5">
        <v>2.84</v>
      </c>
      <c r="E1828" s="5">
        <v>2.92</v>
      </c>
      <c r="F1828" s="5">
        <v>3</v>
      </c>
      <c r="G1828" s="5">
        <v>3.08</v>
      </c>
      <c r="H1828" s="5">
        <v>3.17</v>
      </c>
      <c r="I1828" s="6">
        <v>2.7107540000000001</v>
      </c>
    </row>
    <row r="1829" spans="1:9" ht="60" x14ac:dyDescent="0.25">
      <c r="A1829" s="1" t="s">
        <v>128</v>
      </c>
      <c r="B1829" s="5">
        <v>7.0000000000000007E-2</v>
      </c>
      <c r="C1829" s="5">
        <v>7.0000000000000007E-2</v>
      </c>
      <c r="D1829" s="5">
        <v>7.0000000000000007E-2</v>
      </c>
      <c r="E1829" s="5">
        <v>7.0000000000000007E-2</v>
      </c>
      <c r="F1829" s="5">
        <v>0.06</v>
      </c>
      <c r="G1829" s="5">
        <v>0.06</v>
      </c>
      <c r="H1829" s="5">
        <v>0.06</v>
      </c>
      <c r="I1829" s="6">
        <v>-2.5364550000000001</v>
      </c>
    </row>
    <row r="1830" spans="1:9" ht="45" x14ac:dyDescent="0.25">
      <c r="A1830" s="1" t="s">
        <v>129</v>
      </c>
      <c r="B1830" s="5">
        <v>26.26</v>
      </c>
      <c r="C1830" s="5">
        <v>25.24</v>
      </c>
      <c r="D1830" s="5">
        <v>25.55</v>
      </c>
      <c r="E1830" s="5">
        <v>25.89</v>
      </c>
      <c r="F1830" s="5">
        <v>26.24</v>
      </c>
      <c r="G1830" s="5">
        <v>26.52</v>
      </c>
      <c r="H1830" s="5">
        <v>26.89</v>
      </c>
      <c r="I1830" s="6">
        <v>0.39590834477629677</v>
      </c>
    </row>
    <row r="1831" spans="1:9" ht="45" x14ac:dyDescent="0.25">
      <c r="A1831" s="1" t="s">
        <v>140</v>
      </c>
      <c r="B1831" s="5">
        <v>24.08</v>
      </c>
      <c r="C1831" s="5">
        <v>22.92</v>
      </c>
      <c r="D1831" s="5">
        <v>22.82</v>
      </c>
      <c r="E1831" s="5">
        <v>22.83</v>
      </c>
      <c r="F1831" s="5">
        <v>23.2</v>
      </c>
      <c r="G1831" s="5">
        <v>23.56</v>
      </c>
      <c r="H1831" s="5">
        <v>23.93</v>
      </c>
      <c r="I1831" s="6">
        <v>-0.104091</v>
      </c>
    </row>
    <row r="1832" spans="1:9" ht="45" x14ac:dyDescent="0.25">
      <c r="A1832" s="1" t="s">
        <v>141</v>
      </c>
      <c r="B1832" s="5">
        <v>26.5</v>
      </c>
      <c r="C1832" s="5">
        <v>25.42</v>
      </c>
      <c r="D1832" s="7" t="s">
        <v>58</v>
      </c>
      <c r="E1832" s="7" t="s">
        <v>58</v>
      </c>
      <c r="F1832" s="7" t="s">
        <v>58</v>
      </c>
      <c r="G1832" s="7" t="s">
        <v>58</v>
      </c>
      <c r="H1832" s="7" t="s">
        <v>58</v>
      </c>
      <c r="I1832" s="7" t="s">
        <v>58</v>
      </c>
    </row>
    <row r="1833" spans="1:9" ht="45" x14ac:dyDescent="0.25">
      <c r="A1833" s="1" t="s">
        <v>142</v>
      </c>
      <c r="B1833" s="5">
        <v>26.36</v>
      </c>
      <c r="C1833" s="5">
        <v>25.32</v>
      </c>
      <c r="D1833" s="5">
        <v>25.64</v>
      </c>
      <c r="E1833" s="5">
        <v>25.97</v>
      </c>
      <c r="F1833" s="5">
        <v>26.32</v>
      </c>
      <c r="G1833" s="5">
        <v>26.6</v>
      </c>
      <c r="H1833" s="5">
        <v>26.96</v>
      </c>
      <c r="I1833" s="6">
        <v>0.37581399999999998</v>
      </c>
    </row>
    <row r="1834" spans="1:9" ht="60" x14ac:dyDescent="0.25">
      <c r="A1834" s="1" t="s">
        <v>133</v>
      </c>
      <c r="B1834" s="7" t="s">
        <v>58</v>
      </c>
      <c r="C1834" s="7" t="s">
        <v>58</v>
      </c>
      <c r="D1834" s="7" t="s">
        <v>58</v>
      </c>
      <c r="E1834" s="7" t="s">
        <v>58</v>
      </c>
      <c r="F1834" s="7" t="s">
        <v>58</v>
      </c>
      <c r="G1834" s="7" t="s">
        <v>58</v>
      </c>
      <c r="H1834" s="7" t="s">
        <v>58</v>
      </c>
      <c r="I1834" s="7" t="s">
        <v>58</v>
      </c>
    </row>
    <row r="1835" spans="1:9" ht="60" x14ac:dyDescent="0.25">
      <c r="A1835" s="1" t="s">
        <v>134</v>
      </c>
      <c r="B1835" s="5">
        <v>28.54</v>
      </c>
      <c r="C1835" s="5">
        <v>27.44</v>
      </c>
      <c r="D1835" s="5">
        <v>27.56</v>
      </c>
      <c r="E1835" s="5">
        <v>27.67</v>
      </c>
      <c r="F1835" s="5">
        <v>27.78</v>
      </c>
      <c r="G1835" s="5">
        <v>27.89</v>
      </c>
      <c r="H1835" s="5">
        <v>28.01</v>
      </c>
      <c r="I1835" s="6">
        <v>-0.31192999999999999</v>
      </c>
    </row>
    <row r="1836" spans="1:9" x14ac:dyDescent="0.25">
      <c r="A1836" s="1" t="s">
        <v>12</v>
      </c>
      <c r="B1836" s="2"/>
      <c r="C1836" s="2"/>
      <c r="D1836" s="2"/>
      <c r="E1836" s="2"/>
      <c r="F1836" s="2"/>
      <c r="G1836" s="2"/>
      <c r="H1836" s="2"/>
      <c r="I1836" s="2"/>
    </row>
    <row r="1837" spans="1:9" x14ac:dyDescent="0.25">
      <c r="A1837" s="8" t="s">
        <v>102</v>
      </c>
      <c r="B1837" s="2"/>
      <c r="C1837" s="2"/>
      <c r="D1837" s="2"/>
      <c r="E1837" s="2"/>
      <c r="F1837" s="2"/>
      <c r="G1837" s="2"/>
      <c r="H1837" s="2"/>
      <c r="I1837" s="2"/>
    </row>
    <row r="1838" spans="1:9" ht="60" x14ac:dyDescent="0.25">
      <c r="A1838" s="1" t="s">
        <v>13</v>
      </c>
      <c r="B1838" s="5">
        <v>87.51</v>
      </c>
      <c r="C1838" s="5">
        <v>88.92</v>
      </c>
      <c r="D1838" s="5">
        <v>90.39</v>
      </c>
      <c r="E1838" s="5">
        <v>91.62</v>
      </c>
      <c r="F1838" s="5">
        <v>92.63</v>
      </c>
      <c r="G1838" s="5">
        <v>93.5</v>
      </c>
      <c r="H1838" s="5">
        <v>94.04</v>
      </c>
      <c r="I1838" s="6">
        <v>1.2066749999999999</v>
      </c>
    </row>
    <row r="1839" spans="1:9" ht="60" x14ac:dyDescent="0.25">
      <c r="A1839" s="1" t="s">
        <v>117</v>
      </c>
      <c r="B1839" s="5">
        <v>12.83</v>
      </c>
      <c r="C1839" s="5">
        <v>12.53</v>
      </c>
      <c r="D1839" s="5">
        <v>12.32</v>
      </c>
      <c r="E1839" s="5">
        <v>12.15</v>
      </c>
      <c r="F1839" s="5">
        <v>11.93</v>
      </c>
      <c r="G1839" s="5">
        <v>11.75</v>
      </c>
      <c r="H1839" s="5">
        <v>11.61</v>
      </c>
      <c r="I1839" s="6">
        <v>-1.6515329999999999</v>
      </c>
    </row>
    <row r="1840" spans="1:9" ht="60" x14ac:dyDescent="0.25">
      <c r="A1840" s="1" t="s">
        <v>118</v>
      </c>
      <c r="B1840" s="5">
        <v>0.98</v>
      </c>
      <c r="C1840" s="5">
        <v>0.71</v>
      </c>
      <c r="D1840" s="5">
        <v>0.51</v>
      </c>
      <c r="E1840" s="5">
        <v>0.36</v>
      </c>
      <c r="F1840" s="5">
        <v>0.25</v>
      </c>
      <c r="G1840" s="5">
        <v>0.18</v>
      </c>
      <c r="H1840" s="5">
        <v>0.13</v>
      </c>
      <c r="I1840" s="6">
        <v>-28.585531</v>
      </c>
    </row>
    <row r="1841" spans="1:9" ht="60" x14ac:dyDescent="0.25">
      <c r="A1841" s="1" t="s">
        <v>119</v>
      </c>
      <c r="B1841" s="5">
        <v>73.55</v>
      </c>
      <c r="C1841" s="5">
        <v>75.53</v>
      </c>
      <c r="D1841" s="5">
        <v>77.42</v>
      </c>
      <c r="E1841" s="5">
        <v>78.959999999999994</v>
      </c>
      <c r="F1841" s="5">
        <v>80.3</v>
      </c>
      <c r="G1841" s="5">
        <v>81.430000000000007</v>
      </c>
      <c r="H1841" s="5">
        <v>82.16</v>
      </c>
      <c r="I1841" s="6">
        <v>1.8621780000000001</v>
      </c>
    </row>
    <row r="1842" spans="1:9" ht="60" x14ac:dyDescent="0.25">
      <c r="A1842" s="1" t="s">
        <v>120</v>
      </c>
      <c r="B1842" s="5">
        <v>0.01</v>
      </c>
      <c r="C1842" s="5">
        <v>0.01</v>
      </c>
      <c r="D1842" s="5">
        <v>0.01</v>
      </c>
      <c r="E1842" s="5">
        <v>0.01</v>
      </c>
      <c r="F1842" s="5">
        <v>0.01</v>
      </c>
      <c r="G1842" s="5">
        <v>0.01</v>
      </c>
      <c r="H1842" s="5">
        <v>0.01</v>
      </c>
      <c r="I1842" s="6">
        <v>0</v>
      </c>
    </row>
    <row r="1843" spans="1:9" ht="75" x14ac:dyDescent="0.25">
      <c r="A1843" s="1" t="s">
        <v>121</v>
      </c>
      <c r="B1843" s="5">
        <v>0.13</v>
      </c>
      <c r="C1843" s="5">
        <v>0.13</v>
      </c>
      <c r="D1843" s="5">
        <v>0.13</v>
      </c>
      <c r="E1843" s="5">
        <v>0.13</v>
      </c>
      <c r="F1843" s="5">
        <v>0.13</v>
      </c>
      <c r="G1843" s="5">
        <v>0.13</v>
      </c>
      <c r="H1843" s="5">
        <v>0.13</v>
      </c>
      <c r="I1843" s="6">
        <v>0</v>
      </c>
    </row>
    <row r="1844" spans="1:9" ht="75" x14ac:dyDescent="0.25">
      <c r="A1844" s="1" t="s">
        <v>122</v>
      </c>
      <c r="B1844" s="5">
        <v>0</v>
      </c>
      <c r="C1844" s="5">
        <v>0</v>
      </c>
      <c r="D1844" s="5">
        <v>0</v>
      </c>
      <c r="E1844" s="5">
        <v>0</v>
      </c>
      <c r="F1844" s="5">
        <v>0</v>
      </c>
      <c r="G1844" s="5">
        <v>0</v>
      </c>
      <c r="H1844" s="5">
        <v>0</v>
      </c>
      <c r="I1844" s="7" t="s">
        <v>58</v>
      </c>
    </row>
    <row r="1845" spans="1:9" ht="60" x14ac:dyDescent="0.25">
      <c r="A1845" s="1" t="s">
        <v>123</v>
      </c>
      <c r="B1845" s="5">
        <v>14.66</v>
      </c>
      <c r="C1845" s="5">
        <v>14.1</v>
      </c>
      <c r="D1845" s="5">
        <v>13.63</v>
      </c>
      <c r="E1845" s="5">
        <v>13.26</v>
      </c>
      <c r="F1845" s="5">
        <v>12.88</v>
      </c>
      <c r="G1845" s="5">
        <v>12.57</v>
      </c>
      <c r="H1845" s="5">
        <v>12.35</v>
      </c>
      <c r="I1845" s="6">
        <v>-2.817329</v>
      </c>
    </row>
    <row r="1846" spans="1:9" ht="60" x14ac:dyDescent="0.25">
      <c r="A1846" s="1" t="s">
        <v>124</v>
      </c>
      <c r="B1846" s="5">
        <v>1.1200000000000001</v>
      </c>
      <c r="C1846" s="5">
        <v>0.8</v>
      </c>
      <c r="D1846" s="5">
        <v>0.56999999999999995</v>
      </c>
      <c r="E1846" s="5">
        <v>0.4</v>
      </c>
      <c r="F1846" s="5">
        <v>0.27</v>
      </c>
      <c r="G1846" s="5">
        <v>0.19</v>
      </c>
      <c r="H1846" s="5">
        <v>0.14000000000000001</v>
      </c>
      <c r="I1846" s="6">
        <v>-29.289321999999999</v>
      </c>
    </row>
    <row r="1847" spans="1:9" ht="60" x14ac:dyDescent="0.25">
      <c r="A1847" s="1" t="s">
        <v>125</v>
      </c>
      <c r="B1847" s="5">
        <v>84.06</v>
      </c>
      <c r="C1847" s="5">
        <v>84.94</v>
      </c>
      <c r="D1847" s="5">
        <v>85.65</v>
      </c>
      <c r="E1847" s="5">
        <v>86.19</v>
      </c>
      <c r="F1847" s="5">
        <v>86.69</v>
      </c>
      <c r="G1847" s="5">
        <v>87.09</v>
      </c>
      <c r="H1847" s="5">
        <v>87.37</v>
      </c>
      <c r="I1847" s="6">
        <v>0.64576199999999995</v>
      </c>
    </row>
    <row r="1848" spans="1:9" ht="60" x14ac:dyDescent="0.25">
      <c r="A1848" s="1" t="s">
        <v>126</v>
      </c>
      <c r="B1848" s="5">
        <v>0.01</v>
      </c>
      <c r="C1848" s="5">
        <v>0.01</v>
      </c>
      <c r="D1848" s="5">
        <v>0.01</v>
      </c>
      <c r="E1848" s="5">
        <v>0.01</v>
      </c>
      <c r="F1848" s="5">
        <v>0.01</v>
      </c>
      <c r="G1848" s="5">
        <v>0.01</v>
      </c>
      <c r="H1848" s="5">
        <v>0.01</v>
      </c>
      <c r="I1848" s="6">
        <v>0</v>
      </c>
    </row>
    <row r="1849" spans="1:9" ht="75" x14ac:dyDescent="0.25">
      <c r="A1849" s="1" t="s">
        <v>127</v>
      </c>
      <c r="B1849" s="5">
        <v>0.15</v>
      </c>
      <c r="C1849" s="5">
        <v>0.14000000000000001</v>
      </c>
      <c r="D1849" s="5">
        <v>0.14000000000000001</v>
      </c>
      <c r="E1849" s="5">
        <v>0.14000000000000001</v>
      </c>
      <c r="F1849" s="5">
        <v>0.14000000000000001</v>
      </c>
      <c r="G1849" s="5">
        <v>0.14000000000000001</v>
      </c>
      <c r="H1849" s="5">
        <v>0.14000000000000001</v>
      </c>
      <c r="I1849" s="6">
        <v>-1.143295</v>
      </c>
    </row>
    <row r="1850" spans="1:9" ht="60" x14ac:dyDescent="0.25">
      <c r="A1850" s="1" t="s">
        <v>128</v>
      </c>
      <c r="B1850" s="5">
        <v>0</v>
      </c>
      <c r="C1850" s="5">
        <v>0</v>
      </c>
      <c r="D1850" s="5">
        <v>0</v>
      </c>
      <c r="E1850" s="5">
        <v>0</v>
      </c>
      <c r="F1850" s="5">
        <v>0</v>
      </c>
      <c r="G1850" s="5">
        <v>0</v>
      </c>
      <c r="H1850" s="5">
        <v>0</v>
      </c>
      <c r="I1850" s="7" t="s">
        <v>58</v>
      </c>
    </row>
    <row r="1851" spans="1:9" ht="45" x14ac:dyDescent="0.25">
      <c r="A1851" s="1" t="s">
        <v>129</v>
      </c>
      <c r="B1851" s="5">
        <v>22.33</v>
      </c>
      <c r="C1851" s="5">
        <v>22.48</v>
      </c>
      <c r="D1851" s="5">
        <v>22.7</v>
      </c>
      <c r="E1851" s="5">
        <v>22.95</v>
      </c>
      <c r="F1851" s="5">
        <v>23.21</v>
      </c>
      <c r="G1851" s="5">
        <v>23.49</v>
      </c>
      <c r="H1851" s="5">
        <v>23.77</v>
      </c>
      <c r="I1851" s="6">
        <v>1.0469966424369481</v>
      </c>
    </row>
    <row r="1852" spans="1:9" ht="45" x14ac:dyDescent="0.25">
      <c r="A1852" s="1" t="s">
        <v>140</v>
      </c>
      <c r="B1852" s="5">
        <v>18.57</v>
      </c>
      <c r="C1852" s="5">
        <v>19.059999999999999</v>
      </c>
      <c r="D1852" s="5">
        <v>19.57</v>
      </c>
      <c r="E1852" s="5">
        <v>20.079999999999998</v>
      </c>
      <c r="F1852" s="5">
        <v>20.6</v>
      </c>
      <c r="G1852" s="5">
        <v>21.13</v>
      </c>
      <c r="H1852" s="5">
        <v>21.67</v>
      </c>
      <c r="I1852" s="6">
        <v>2.6064120000000002</v>
      </c>
    </row>
    <row r="1853" spans="1:9" ht="45" x14ac:dyDescent="0.25">
      <c r="A1853" s="1" t="s">
        <v>141</v>
      </c>
      <c r="B1853" s="5">
        <v>40.409999999999997</v>
      </c>
      <c r="C1853" s="5">
        <v>40.57</v>
      </c>
      <c r="D1853" s="5">
        <v>40.74</v>
      </c>
      <c r="E1853" s="5">
        <v>40.909999999999997</v>
      </c>
      <c r="F1853" s="5">
        <v>41.07</v>
      </c>
      <c r="G1853" s="5">
        <v>41.24</v>
      </c>
      <c r="H1853" s="5">
        <v>41.42</v>
      </c>
      <c r="I1853" s="6">
        <v>0.41229100000000002</v>
      </c>
    </row>
    <row r="1854" spans="1:9" ht="45" x14ac:dyDescent="0.25">
      <c r="A1854" s="1" t="s">
        <v>142</v>
      </c>
      <c r="B1854" s="5">
        <v>22.76</v>
      </c>
      <c r="C1854" s="5">
        <v>22.9</v>
      </c>
      <c r="D1854" s="5">
        <v>23.11</v>
      </c>
      <c r="E1854" s="5">
        <v>23.34</v>
      </c>
      <c r="F1854" s="5">
        <v>23.58</v>
      </c>
      <c r="G1854" s="5">
        <v>23.83</v>
      </c>
      <c r="H1854" s="5">
        <v>24.08</v>
      </c>
      <c r="I1854" s="6">
        <v>0.94404500000000002</v>
      </c>
    </row>
    <row r="1855" spans="1:9" ht="60" x14ac:dyDescent="0.25">
      <c r="A1855" s="1" t="s">
        <v>133</v>
      </c>
      <c r="B1855" s="7" t="s">
        <v>58</v>
      </c>
      <c r="C1855" s="7" t="s">
        <v>58</v>
      </c>
      <c r="D1855" s="7" t="s">
        <v>58</v>
      </c>
      <c r="E1855" s="7" t="s">
        <v>58</v>
      </c>
      <c r="F1855" s="7" t="s">
        <v>58</v>
      </c>
      <c r="G1855" s="7" t="s">
        <v>58</v>
      </c>
      <c r="H1855" s="7" t="s">
        <v>58</v>
      </c>
      <c r="I1855" s="7" t="s">
        <v>58</v>
      </c>
    </row>
    <row r="1856" spans="1:9" ht="60" x14ac:dyDescent="0.25">
      <c r="A1856" s="1" t="s">
        <v>134</v>
      </c>
      <c r="B1856" s="7" t="s">
        <v>58</v>
      </c>
      <c r="C1856" s="7" t="s">
        <v>58</v>
      </c>
      <c r="D1856" s="7" t="s">
        <v>58</v>
      </c>
      <c r="E1856" s="7" t="s">
        <v>58</v>
      </c>
      <c r="F1856" s="7" t="s">
        <v>58</v>
      </c>
      <c r="G1856" s="7" t="s">
        <v>58</v>
      </c>
      <c r="H1856" s="7" t="s">
        <v>58</v>
      </c>
      <c r="I1856" s="7" t="s">
        <v>58</v>
      </c>
    </row>
    <row r="1857" spans="1:9" x14ac:dyDescent="0.25">
      <c r="A1857" s="1" t="s">
        <v>12</v>
      </c>
      <c r="B1857" s="2"/>
      <c r="C1857" s="2"/>
      <c r="D1857" s="2"/>
      <c r="E1857" s="2"/>
      <c r="F1857" s="2"/>
      <c r="G1857" s="2"/>
      <c r="H1857" s="2"/>
      <c r="I1857" s="2"/>
    </row>
    <row r="1858" spans="1:9" x14ac:dyDescent="0.25">
      <c r="A1858" s="8" t="s">
        <v>103</v>
      </c>
      <c r="B1858" s="2"/>
      <c r="C1858" s="2"/>
      <c r="D1858" s="2"/>
      <c r="E1858" s="2"/>
      <c r="F1858" s="2"/>
      <c r="G1858" s="2"/>
      <c r="H1858" s="2"/>
      <c r="I1858" s="2"/>
    </row>
    <row r="1859" spans="1:9" ht="60" x14ac:dyDescent="0.25">
      <c r="A1859" s="1" t="s">
        <v>13</v>
      </c>
      <c r="B1859" s="5">
        <v>102.59</v>
      </c>
      <c r="C1859" s="5">
        <v>102.07</v>
      </c>
      <c r="D1859" s="5">
        <v>101.62</v>
      </c>
      <c r="E1859" s="5">
        <v>101.2</v>
      </c>
      <c r="F1859" s="5">
        <v>100.76</v>
      </c>
      <c r="G1859" s="5">
        <v>100.27</v>
      </c>
      <c r="H1859" s="5">
        <v>99.84</v>
      </c>
      <c r="I1859" s="6">
        <v>-0.45183499999999999</v>
      </c>
    </row>
    <row r="1860" spans="1:9" ht="60" x14ac:dyDescent="0.25">
      <c r="A1860" s="1" t="s">
        <v>117</v>
      </c>
      <c r="B1860" s="5">
        <v>24.61</v>
      </c>
      <c r="C1860" s="5">
        <v>23.91</v>
      </c>
      <c r="D1860" s="5">
        <v>23.28</v>
      </c>
      <c r="E1860" s="5">
        <v>22.69</v>
      </c>
      <c r="F1860" s="5">
        <v>22.15</v>
      </c>
      <c r="G1860" s="5">
        <v>21.66</v>
      </c>
      <c r="H1860" s="5">
        <v>21.24</v>
      </c>
      <c r="I1860" s="6">
        <v>-2.4245679999999998</v>
      </c>
    </row>
    <row r="1861" spans="1:9" ht="60" x14ac:dyDescent="0.25">
      <c r="A1861" s="1" t="s">
        <v>118</v>
      </c>
      <c r="B1861" s="5">
        <v>43.56</v>
      </c>
      <c r="C1861" s="5">
        <v>41.11</v>
      </c>
      <c r="D1861" s="5">
        <v>39.17</v>
      </c>
      <c r="E1861" s="5">
        <v>37.729999999999997</v>
      </c>
      <c r="F1861" s="5">
        <v>35.89</v>
      </c>
      <c r="G1861" s="5">
        <v>33.75</v>
      </c>
      <c r="H1861" s="5">
        <v>32.11</v>
      </c>
      <c r="I1861" s="6">
        <v>-4.9558470000000003</v>
      </c>
    </row>
    <row r="1862" spans="1:9" ht="60" x14ac:dyDescent="0.25">
      <c r="A1862" s="1" t="s">
        <v>119</v>
      </c>
      <c r="B1862" s="5">
        <v>34.33</v>
      </c>
      <c r="C1862" s="5">
        <v>36.96</v>
      </c>
      <c r="D1862" s="5">
        <v>39.090000000000003</v>
      </c>
      <c r="E1862" s="5">
        <v>40.700000000000003</v>
      </c>
      <c r="F1862" s="5">
        <v>42.64</v>
      </c>
      <c r="G1862" s="5">
        <v>44.77</v>
      </c>
      <c r="H1862" s="5">
        <v>46.4</v>
      </c>
      <c r="I1862" s="6">
        <v>5.1495369999999996</v>
      </c>
    </row>
    <row r="1863" spans="1:9" ht="60" x14ac:dyDescent="0.25">
      <c r="A1863" s="1" t="s">
        <v>120</v>
      </c>
      <c r="B1863" s="7" t="s">
        <v>58</v>
      </c>
      <c r="C1863" s="7" t="s">
        <v>58</v>
      </c>
      <c r="D1863" s="7" t="s">
        <v>58</v>
      </c>
      <c r="E1863" s="7" t="s">
        <v>58</v>
      </c>
      <c r="F1863" s="7" t="s">
        <v>58</v>
      </c>
      <c r="G1863" s="7" t="s">
        <v>58</v>
      </c>
      <c r="H1863" s="7" t="s">
        <v>58</v>
      </c>
      <c r="I1863" s="7" t="s">
        <v>58</v>
      </c>
    </row>
    <row r="1864" spans="1:9" ht="75" x14ac:dyDescent="0.25">
      <c r="A1864" s="1" t="s">
        <v>121</v>
      </c>
      <c r="B1864" s="7" t="s">
        <v>58</v>
      </c>
      <c r="C1864" s="7" t="s">
        <v>58</v>
      </c>
      <c r="D1864" s="7" t="s">
        <v>58</v>
      </c>
      <c r="E1864" s="7" t="s">
        <v>58</v>
      </c>
      <c r="F1864" s="7" t="s">
        <v>58</v>
      </c>
      <c r="G1864" s="7" t="s">
        <v>58</v>
      </c>
      <c r="H1864" s="7" t="s">
        <v>58</v>
      </c>
      <c r="I1864" s="7" t="s">
        <v>58</v>
      </c>
    </row>
    <row r="1865" spans="1:9" ht="75" x14ac:dyDescent="0.25">
      <c r="A1865" s="1" t="s">
        <v>122</v>
      </c>
      <c r="B1865" s="5">
        <v>0.09</v>
      </c>
      <c r="C1865" s="5">
        <v>0.09</v>
      </c>
      <c r="D1865" s="5">
        <v>0.09</v>
      </c>
      <c r="E1865" s="5">
        <v>0.09</v>
      </c>
      <c r="F1865" s="5">
        <v>0.08</v>
      </c>
      <c r="G1865" s="5">
        <v>0.08</v>
      </c>
      <c r="H1865" s="5">
        <v>0.08</v>
      </c>
      <c r="I1865" s="6">
        <v>-1.943908</v>
      </c>
    </row>
    <row r="1866" spans="1:9" ht="60" x14ac:dyDescent="0.25">
      <c r="A1866" s="1" t="s">
        <v>123</v>
      </c>
      <c r="B1866" s="5">
        <v>23.99</v>
      </c>
      <c r="C1866" s="5">
        <v>23.42</v>
      </c>
      <c r="D1866" s="5">
        <v>22.91</v>
      </c>
      <c r="E1866" s="5">
        <v>22.42</v>
      </c>
      <c r="F1866" s="5">
        <v>21.98</v>
      </c>
      <c r="G1866" s="5">
        <v>21.6</v>
      </c>
      <c r="H1866" s="5">
        <v>21.28</v>
      </c>
      <c r="I1866" s="6">
        <v>-1.9779990000000001</v>
      </c>
    </row>
    <row r="1867" spans="1:9" ht="60" x14ac:dyDescent="0.25">
      <c r="A1867" s="1" t="s">
        <v>124</v>
      </c>
      <c r="B1867" s="5">
        <v>42.46</v>
      </c>
      <c r="C1867" s="5">
        <v>40.28</v>
      </c>
      <c r="D1867" s="5">
        <v>38.54</v>
      </c>
      <c r="E1867" s="5">
        <v>37.28</v>
      </c>
      <c r="F1867" s="5">
        <v>35.619999999999997</v>
      </c>
      <c r="G1867" s="5">
        <v>33.659999999999997</v>
      </c>
      <c r="H1867" s="5">
        <v>32.159999999999997</v>
      </c>
      <c r="I1867" s="6">
        <v>-4.5250719999999998</v>
      </c>
    </row>
    <row r="1868" spans="1:9" ht="60" x14ac:dyDescent="0.25">
      <c r="A1868" s="1" t="s">
        <v>125</v>
      </c>
      <c r="B1868" s="5">
        <v>33.47</v>
      </c>
      <c r="C1868" s="5">
        <v>36.21</v>
      </c>
      <c r="D1868" s="5">
        <v>38.47</v>
      </c>
      <c r="E1868" s="5">
        <v>40.22</v>
      </c>
      <c r="F1868" s="5">
        <v>42.31</v>
      </c>
      <c r="G1868" s="5">
        <v>44.65</v>
      </c>
      <c r="H1868" s="5">
        <v>46.48</v>
      </c>
      <c r="I1868" s="6">
        <v>5.6254080000000002</v>
      </c>
    </row>
    <row r="1869" spans="1:9" ht="60" x14ac:dyDescent="0.25">
      <c r="A1869" s="1" t="s">
        <v>126</v>
      </c>
      <c r="B1869" s="7" t="s">
        <v>58</v>
      </c>
      <c r="C1869" s="7" t="s">
        <v>58</v>
      </c>
      <c r="D1869" s="7" t="s">
        <v>58</v>
      </c>
      <c r="E1869" s="7" t="s">
        <v>58</v>
      </c>
      <c r="F1869" s="7" t="s">
        <v>58</v>
      </c>
      <c r="G1869" s="7" t="s">
        <v>58</v>
      </c>
      <c r="H1869" s="7" t="s">
        <v>58</v>
      </c>
      <c r="I1869" s="7" t="s">
        <v>58</v>
      </c>
    </row>
    <row r="1870" spans="1:9" ht="75" x14ac:dyDescent="0.25">
      <c r="A1870" s="1" t="s">
        <v>127</v>
      </c>
      <c r="B1870" s="7" t="s">
        <v>58</v>
      </c>
      <c r="C1870" s="7" t="s">
        <v>58</v>
      </c>
      <c r="D1870" s="7" t="s">
        <v>58</v>
      </c>
      <c r="E1870" s="7" t="s">
        <v>58</v>
      </c>
      <c r="F1870" s="7" t="s">
        <v>58</v>
      </c>
      <c r="G1870" s="7" t="s">
        <v>58</v>
      </c>
      <c r="H1870" s="7" t="s">
        <v>58</v>
      </c>
      <c r="I1870" s="7" t="s">
        <v>58</v>
      </c>
    </row>
    <row r="1871" spans="1:9" ht="60" x14ac:dyDescent="0.25">
      <c r="A1871" s="1" t="s">
        <v>128</v>
      </c>
      <c r="B1871" s="5">
        <v>0.09</v>
      </c>
      <c r="C1871" s="5">
        <v>0.09</v>
      </c>
      <c r="D1871" s="5">
        <v>0.09</v>
      </c>
      <c r="E1871" s="5">
        <v>0.08</v>
      </c>
      <c r="F1871" s="5">
        <v>0.08</v>
      </c>
      <c r="G1871" s="5">
        <v>0.08</v>
      </c>
      <c r="H1871" s="5">
        <v>0.08</v>
      </c>
      <c r="I1871" s="6">
        <v>-1.943908</v>
      </c>
    </row>
    <row r="1872" spans="1:9" ht="45" x14ac:dyDescent="0.25">
      <c r="A1872" s="1" t="s">
        <v>129</v>
      </c>
      <c r="B1872" s="5">
        <v>46.8</v>
      </c>
      <c r="C1872" s="5">
        <v>47.83</v>
      </c>
      <c r="D1872" s="5">
        <v>48.9</v>
      </c>
      <c r="E1872" s="5">
        <v>49.97</v>
      </c>
      <c r="F1872" s="5">
        <v>51.06</v>
      </c>
      <c r="G1872" s="5">
        <v>52.15</v>
      </c>
      <c r="H1872" s="5">
        <v>53.23</v>
      </c>
      <c r="I1872" s="6">
        <v>2.1688336436284095</v>
      </c>
    </row>
    <row r="1873" spans="1:9" ht="45" x14ac:dyDescent="0.25">
      <c r="A1873" s="1" t="s">
        <v>140</v>
      </c>
      <c r="B1873" s="5">
        <v>48.7</v>
      </c>
      <c r="C1873" s="5">
        <v>49.93</v>
      </c>
      <c r="D1873" s="5">
        <v>51.2</v>
      </c>
      <c r="E1873" s="5">
        <v>52.43</v>
      </c>
      <c r="F1873" s="5">
        <v>53.68</v>
      </c>
      <c r="G1873" s="5">
        <v>54.96</v>
      </c>
      <c r="H1873" s="5">
        <v>56.25</v>
      </c>
      <c r="I1873" s="6">
        <v>2.4312</v>
      </c>
    </row>
    <row r="1874" spans="1:9" ht="45" x14ac:dyDescent="0.25">
      <c r="A1874" s="1" t="s">
        <v>141</v>
      </c>
      <c r="B1874" s="5">
        <v>46.85</v>
      </c>
      <c r="C1874" s="5">
        <v>47.8</v>
      </c>
      <c r="D1874" s="5">
        <v>48.8</v>
      </c>
      <c r="E1874" s="5">
        <v>49.85</v>
      </c>
      <c r="F1874" s="5">
        <v>50.92</v>
      </c>
      <c r="G1874" s="5">
        <v>51.98</v>
      </c>
      <c r="H1874" s="5">
        <v>53.02</v>
      </c>
      <c r="I1874" s="6">
        <v>2.0833750000000002</v>
      </c>
    </row>
    <row r="1875" spans="1:9" ht="45" x14ac:dyDescent="0.25">
      <c r="A1875" s="1" t="s">
        <v>142</v>
      </c>
      <c r="B1875" s="5">
        <v>45.25</v>
      </c>
      <c r="C1875" s="5">
        <v>46.4</v>
      </c>
      <c r="D1875" s="5">
        <v>47.55</v>
      </c>
      <c r="E1875" s="5">
        <v>48.66</v>
      </c>
      <c r="F1875" s="5">
        <v>49.75</v>
      </c>
      <c r="G1875" s="5">
        <v>50.85</v>
      </c>
      <c r="H1875" s="5">
        <v>51.94</v>
      </c>
      <c r="I1875" s="6">
        <v>2.324719</v>
      </c>
    </row>
    <row r="1876" spans="1:9" ht="60" x14ac:dyDescent="0.25">
      <c r="A1876" s="1" t="s">
        <v>133</v>
      </c>
      <c r="B1876" s="7" t="s">
        <v>58</v>
      </c>
      <c r="C1876" s="7" t="s">
        <v>58</v>
      </c>
      <c r="D1876" s="7" t="s">
        <v>58</v>
      </c>
      <c r="E1876" s="7" t="s">
        <v>58</v>
      </c>
      <c r="F1876" s="7" t="s">
        <v>58</v>
      </c>
      <c r="G1876" s="7" t="s">
        <v>58</v>
      </c>
      <c r="H1876" s="7" t="s">
        <v>58</v>
      </c>
      <c r="I1876" s="7" t="s">
        <v>58</v>
      </c>
    </row>
    <row r="1877" spans="1:9" ht="60" x14ac:dyDescent="0.25">
      <c r="A1877" s="1" t="s">
        <v>134</v>
      </c>
      <c r="B1877" s="7" t="s">
        <v>58</v>
      </c>
      <c r="C1877" s="7" t="s">
        <v>58</v>
      </c>
      <c r="D1877" s="7" t="s">
        <v>58</v>
      </c>
      <c r="E1877" s="7" t="s">
        <v>58</v>
      </c>
      <c r="F1877" s="7" t="s">
        <v>58</v>
      </c>
      <c r="G1877" s="7" t="s">
        <v>58</v>
      </c>
      <c r="H1877" s="7" t="s">
        <v>58</v>
      </c>
      <c r="I1877" s="7" t="s">
        <v>58</v>
      </c>
    </row>
    <row r="1878" spans="1:9" x14ac:dyDescent="0.25">
      <c r="A1878" s="1" t="s">
        <v>12</v>
      </c>
      <c r="B1878" s="2"/>
      <c r="C1878" s="2"/>
      <c r="D1878" s="2"/>
      <c r="E1878" s="2"/>
      <c r="F1878" s="2"/>
      <c r="G1878" s="2"/>
      <c r="H1878" s="2"/>
      <c r="I1878" s="2"/>
    </row>
    <row r="1879" spans="1:9" x14ac:dyDescent="0.25">
      <c r="A1879" s="8" t="s">
        <v>104</v>
      </c>
      <c r="B1879" s="2"/>
      <c r="C1879" s="2"/>
      <c r="D1879" s="2"/>
      <c r="E1879" s="2"/>
      <c r="F1879" s="2"/>
      <c r="G1879" s="2"/>
      <c r="H1879" s="2"/>
      <c r="I1879" s="2"/>
    </row>
    <row r="1880" spans="1:9" ht="60" x14ac:dyDescent="0.25">
      <c r="A1880" s="1" t="s">
        <v>13</v>
      </c>
      <c r="B1880" s="5">
        <v>5.07</v>
      </c>
      <c r="C1880" s="5">
        <v>5.27</v>
      </c>
      <c r="D1880" s="5">
        <v>5.48</v>
      </c>
      <c r="E1880" s="5">
        <v>5.7</v>
      </c>
      <c r="F1880" s="5">
        <v>5.97</v>
      </c>
      <c r="G1880" s="5">
        <v>6.23</v>
      </c>
      <c r="H1880" s="5">
        <v>6.52</v>
      </c>
      <c r="I1880" s="6">
        <v>4.2813410000000003</v>
      </c>
    </row>
    <row r="1881" spans="1:9" ht="60" x14ac:dyDescent="0.25">
      <c r="A1881" s="1" t="s">
        <v>117</v>
      </c>
      <c r="B1881" s="5">
        <v>0</v>
      </c>
      <c r="C1881" s="5">
        <v>0</v>
      </c>
      <c r="D1881" s="5">
        <v>0</v>
      </c>
      <c r="E1881" s="5">
        <v>0</v>
      </c>
      <c r="F1881" s="5">
        <v>0</v>
      </c>
      <c r="G1881" s="5">
        <v>0</v>
      </c>
      <c r="H1881" s="5">
        <v>0</v>
      </c>
      <c r="I1881" s="7" t="s">
        <v>58</v>
      </c>
    </row>
    <row r="1882" spans="1:9" ht="60" x14ac:dyDescent="0.25">
      <c r="A1882" s="1" t="s">
        <v>118</v>
      </c>
      <c r="B1882" s="5">
        <v>4.54</v>
      </c>
      <c r="C1882" s="5">
        <v>4.7300000000000004</v>
      </c>
      <c r="D1882" s="5">
        <v>4.93</v>
      </c>
      <c r="E1882" s="5">
        <v>5.14</v>
      </c>
      <c r="F1882" s="5">
        <v>5.35</v>
      </c>
      <c r="G1882" s="5">
        <v>5.58</v>
      </c>
      <c r="H1882" s="5">
        <v>5.82</v>
      </c>
      <c r="I1882" s="6">
        <v>4.2264280000000003</v>
      </c>
    </row>
    <row r="1883" spans="1:9" ht="60" x14ac:dyDescent="0.25">
      <c r="A1883" s="1" t="s">
        <v>119</v>
      </c>
      <c r="B1883" s="5">
        <v>0.13</v>
      </c>
      <c r="C1883" s="5">
        <v>0.14000000000000001</v>
      </c>
      <c r="D1883" s="5">
        <v>0.16</v>
      </c>
      <c r="E1883" s="5">
        <v>0.17</v>
      </c>
      <c r="F1883" s="5">
        <v>0.19</v>
      </c>
      <c r="G1883" s="5">
        <v>0.2</v>
      </c>
      <c r="H1883" s="5">
        <v>0.22</v>
      </c>
      <c r="I1883" s="6">
        <v>9.1641119999999994</v>
      </c>
    </row>
    <row r="1884" spans="1:9" ht="60" x14ac:dyDescent="0.25">
      <c r="A1884" s="1" t="s">
        <v>120</v>
      </c>
      <c r="B1884" s="5">
        <v>0.4</v>
      </c>
      <c r="C1884" s="5">
        <v>0.4</v>
      </c>
      <c r="D1884" s="5">
        <v>0.39</v>
      </c>
      <c r="E1884" s="5">
        <v>0.39</v>
      </c>
      <c r="F1884" s="5">
        <v>0.42</v>
      </c>
      <c r="G1884" s="5">
        <v>0.45</v>
      </c>
      <c r="H1884" s="5">
        <v>0.49</v>
      </c>
      <c r="I1884" s="6">
        <v>3.4401989999999998</v>
      </c>
    </row>
    <row r="1885" spans="1:9" ht="75" x14ac:dyDescent="0.25">
      <c r="A1885" s="1" t="s">
        <v>121</v>
      </c>
      <c r="B1885" s="5">
        <v>0</v>
      </c>
      <c r="C1885" s="5">
        <v>0</v>
      </c>
      <c r="D1885" s="5">
        <v>0</v>
      </c>
      <c r="E1885" s="5">
        <v>0</v>
      </c>
      <c r="F1885" s="5">
        <v>0</v>
      </c>
      <c r="G1885" s="5">
        <v>0</v>
      </c>
      <c r="H1885" s="5">
        <v>0</v>
      </c>
      <c r="I1885" s="7" t="s">
        <v>58</v>
      </c>
    </row>
    <row r="1886" spans="1:9" ht="75" x14ac:dyDescent="0.25">
      <c r="A1886" s="1" t="s">
        <v>122</v>
      </c>
      <c r="B1886" s="5">
        <v>0</v>
      </c>
      <c r="C1886" s="5">
        <v>0</v>
      </c>
      <c r="D1886" s="5">
        <v>0</v>
      </c>
      <c r="E1886" s="5">
        <v>0</v>
      </c>
      <c r="F1886" s="5">
        <v>0</v>
      </c>
      <c r="G1886" s="5">
        <v>0</v>
      </c>
      <c r="H1886" s="5">
        <v>0</v>
      </c>
      <c r="I1886" s="7" t="s">
        <v>58</v>
      </c>
    </row>
    <row r="1887" spans="1:9" ht="60" x14ac:dyDescent="0.25">
      <c r="A1887" s="1" t="s">
        <v>123</v>
      </c>
      <c r="B1887" s="5">
        <v>0</v>
      </c>
      <c r="C1887" s="5">
        <v>0</v>
      </c>
      <c r="D1887" s="5">
        <v>0</v>
      </c>
      <c r="E1887" s="5">
        <v>0</v>
      </c>
      <c r="F1887" s="5">
        <v>0</v>
      </c>
      <c r="G1887" s="5">
        <v>0</v>
      </c>
      <c r="H1887" s="5">
        <v>0</v>
      </c>
      <c r="I1887" s="7" t="s">
        <v>58</v>
      </c>
    </row>
    <row r="1888" spans="1:9" ht="60" x14ac:dyDescent="0.25">
      <c r="A1888" s="1" t="s">
        <v>124</v>
      </c>
      <c r="B1888" s="5">
        <v>89.51</v>
      </c>
      <c r="C1888" s="5">
        <v>89.75</v>
      </c>
      <c r="D1888" s="5">
        <v>89.98</v>
      </c>
      <c r="E1888" s="5">
        <v>90.19</v>
      </c>
      <c r="F1888" s="5">
        <v>89.75</v>
      </c>
      <c r="G1888" s="5">
        <v>89.54</v>
      </c>
      <c r="H1888" s="5">
        <v>89.18</v>
      </c>
      <c r="I1888" s="6">
        <v>-6.1539999999999997E-2</v>
      </c>
    </row>
    <row r="1889" spans="1:9" ht="60" x14ac:dyDescent="0.25">
      <c r="A1889" s="1" t="s">
        <v>125</v>
      </c>
      <c r="B1889" s="5">
        <v>2.6</v>
      </c>
      <c r="C1889" s="5">
        <v>2.74</v>
      </c>
      <c r="D1889" s="5">
        <v>2.88</v>
      </c>
      <c r="E1889" s="5">
        <v>3.04</v>
      </c>
      <c r="F1889" s="5">
        <v>3.17</v>
      </c>
      <c r="G1889" s="5">
        <v>3.27</v>
      </c>
      <c r="H1889" s="5">
        <v>3.36</v>
      </c>
      <c r="I1889" s="6">
        <v>4.3664680000000002</v>
      </c>
    </row>
    <row r="1890" spans="1:9" ht="60" x14ac:dyDescent="0.25">
      <c r="A1890" s="1" t="s">
        <v>126</v>
      </c>
      <c r="B1890" s="5">
        <v>7.89</v>
      </c>
      <c r="C1890" s="5">
        <v>7.51</v>
      </c>
      <c r="D1890" s="5">
        <v>7.14</v>
      </c>
      <c r="E1890" s="5">
        <v>6.78</v>
      </c>
      <c r="F1890" s="5">
        <v>7.07</v>
      </c>
      <c r="G1890" s="5">
        <v>7.19</v>
      </c>
      <c r="H1890" s="5">
        <v>7.46</v>
      </c>
      <c r="I1890" s="6">
        <v>-0.92966400000000005</v>
      </c>
    </row>
    <row r="1891" spans="1:9" ht="75" x14ac:dyDescent="0.25">
      <c r="A1891" s="1" t="s">
        <v>127</v>
      </c>
      <c r="B1891" s="5">
        <v>0</v>
      </c>
      <c r="C1891" s="5">
        <v>0</v>
      </c>
      <c r="D1891" s="5">
        <v>0</v>
      </c>
      <c r="E1891" s="5">
        <v>0</v>
      </c>
      <c r="F1891" s="5">
        <v>0</v>
      </c>
      <c r="G1891" s="5">
        <v>0</v>
      </c>
      <c r="H1891" s="5">
        <v>0</v>
      </c>
      <c r="I1891" s="7" t="s">
        <v>58</v>
      </c>
    </row>
    <row r="1892" spans="1:9" ht="60" x14ac:dyDescent="0.25">
      <c r="A1892" s="1" t="s">
        <v>128</v>
      </c>
      <c r="B1892" s="5">
        <v>0</v>
      </c>
      <c r="C1892" s="5">
        <v>0</v>
      </c>
      <c r="D1892" s="5">
        <v>0</v>
      </c>
      <c r="E1892" s="5">
        <v>0</v>
      </c>
      <c r="F1892" s="5">
        <v>0</v>
      </c>
      <c r="G1892" s="5">
        <v>0</v>
      </c>
      <c r="H1892" s="5">
        <v>0</v>
      </c>
      <c r="I1892" s="7" t="s">
        <v>58</v>
      </c>
    </row>
    <row r="1893" spans="1:9" ht="45" x14ac:dyDescent="0.25">
      <c r="A1893" s="1" t="s">
        <v>129</v>
      </c>
      <c r="B1893" s="7" t="s">
        <v>58</v>
      </c>
      <c r="C1893" s="7" t="s">
        <v>58</v>
      </c>
      <c r="D1893" s="7" t="s">
        <v>58</v>
      </c>
      <c r="E1893" s="7" t="s">
        <v>58</v>
      </c>
      <c r="F1893" s="7" t="s">
        <v>58</v>
      </c>
      <c r="G1893" s="7" t="s">
        <v>58</v>
      </c>
      <c r="H1893" s="7" t="s">
        <v>58</v>
      </c>
      <c r="I1893" s="7" t="s">
        <v>58</v>
      </c>
    </row>
    <row r="1894" spans="1:9" ht="45" x14ac:dyDescent="0.25">
      <c r="A1894" s="1" t="s">
        <v>140</v>
      </c>
      <c r="B1894" s="7" t="s">
        <v>58</v>
      </c>
      <c r="C1894" s="7" t="s">
        <v>58</v>
      </c>
      <c r="D1894" s="7" t="s">
        <v>58</v>
      </c>
      <c r="E1894" s="7" t="s">
        <v>58</v>
      </c>
      <c r="F1894" s="7" t="s">
        <v>58</v>
      </c>
      <c r="G1894" s="7" t="s">
        <v>58</v>
      </c>
      <c r="H1894" s="7" t="s">
        <v>58</v>
      </c>
      <c r="I1894" s="7" t="s">
        <v>58</v>
      </c>
    </row>
    <row r="1895" spans="1:9" ht="45" x14ac:dyDescent="0.25">
      <c r="A1895" s="1" t="s">
        <v>141</v>
      </c>
      <c r="B1895" s="7" t="s">
        <v>58</v>
      </c>
      <c r="C1895" s="7" t="s">
        <v>58</v>
      </c>
      <c r="D1895" s="7" t="s">
        <v>58</v>
      </c>
      <c r="E1895" s="7" t="s">
        <v>58</v>
      </c>
      <c r="F1895" s="7" t="s">
        <v>58</v>
      </c>
      <c r="G1895" s="7" t="s">
        <v>58</v>
      </c>
      <c r="H1895" s="7" t="s">
        <v>58</v>
      </c>
      <c r="I1895" s="7" t="s">
        <v>58</v>
      </c>
    </row>
    <row r="1896" spans="1:9" ht="45" x14ac:dyDescent="0.25">
      <c r="A1896" s="1" t="s">
        <v>142</v>
      </c>
      <c r="B1896" s="7" t="s">
        <v>58</v>
      </c>
      <c r="C1896" s="7" t="s">
        <v>58</v>
      </c>
      <c r="D1896" s="7" t="s">
        <v>58</v>
      </c>
      <c r="E1896" s="7" t="s">
        <v>58</v>
      </c>
      <c r="F1896" s="7" t="s">
        <v>58</v>
      </c>
      <c r="G1896" s="7" t="s">
        <v>58</v>
      </c>
      <c r="H1896" s="7" t="s">
        <v>58</v>
      </c>
      <c r="I1896" s="7" t="s">
        <v>58</v>
      </c>
    </row>
    <row r="1897" spans="1:9" ht="60" x14ac:dyDescent="0.25">
      <c r="A1897" s="1" t="s">
        <v>133</v>
      </c>
      <c r="B1897" s="7" t="s">
        <v>58</v>
      </c>
      <c r="C1897" s="7" t="s">
        <v>58</v>
      </c>
      <c r="D1897" s="7" t="s">
        <v>58</v>
      </c>
      <c r="E1897" s="7" t="s">
        <v>58</v>
      </c>
      <c r="F1897" s="7" t="s">
        <v>58</v>
      </c>
      <c r="G1897" s="7" t="s">
        <v>58</v>
      </c>
      <c r="H1897" s="7" t="s">
        <v>58</v>
      </c>
      <c r="I1897" s="7" t="s">
        <v>58</v>
      </c>
    </row>
    <row r="1898" spans="1:9" ht="60" x14ac:dyDescent="0.25">
      <c r="A1898" s="1" t="s">
        <v>134</v>
      </c>
      <c r="B1898" s="7" t="s">
        <v>58</v>
      </c>
      <c r="C1898" s="7" t="s">
        <v>58</v>
      </c>
      <c r="D1898" s="7" t="s">
        <v>58</v>
      </c>
      <c r="E1898" s="7" t="s">
        <v>58</v>
      </c>
      <c r="F1898" s="7" t="s">
        <v>58</v>
      </c>
      <c r="G1898" s="7" t="s">
        <v>58</v>
      </c>
      <c r="H1898" s="7" t="s">
        <v>58</v>
      </c>
      <c r="I1898" s="7" t="s">
        <v>58</v>
      </c>
    </row>
    <row r="1899" spans="1:9" x14ac:dyDescent="0.25">
      <c r="A1899" s="1" t="s">
        <v>12</v>
      </c>
      <c r="B1899" s="2"/>
      <c r="C1899" s="2"/>
      <c r="D1899" s="2"/>
      <c r="E1899" s="2"/>
      <c r="F1899" s="2"/>
      <c r="G1899" s="2"/>
      <c r="H1899" s="2"/>
      <c r="I1899" s="2"/>
    </row>
    <row r="1900" spans="1:9" x14ac:dyDescent="0.25">
      <c r="A1900" s="8" t="s">
        <v>105</v>
      </c>
      <c r="B1900" s="2"/>
      <c r="C1900" s="2"/>
      <c r="D1900" s="2"/>
      <c r="E1900" s="2"/>
      <c r="F1900" s="2"/>
      <c r="G1900" s="2"/>
      <c r="H1900" s="2"/>
      <c r="I1900" s="2"/>
    </row>
    <row r="1901" spans="1:9" ht="60" x14ac:dyDescent="0.25">
      <c r="A1901" s="1" t="s">
        <v>13</v>
      </c>
      <c r="B1901" s="5">
        <v>74.47</v>
      </c>
      <c r="C1901" s="5">
        <v>75.86</v>
      </c>
      <c r="D1901" s="5">
        <v>76.61</v>
      </c>
      <c r="E1901" s="5">
        <v>77.680000000000007</v>
      </c>
      <c r="F1901" s="5">
        <v>77.84</v>
      </c>
      <c r="G1901" s="5">
        <v>78.42</v>
      </c>
      <c r="H1901" s="5">
        <v>79.53</v>
      </c>
      <c r="I1901" s="6">
        <v>1.1016570000000001</v>
      </c>
    </row>
    <row r="1902" spans="1:9" ht="60" x14ac:dyDescent="0.25">
      <c r="A1902" s="1" t="s">
        <v>117</v>
      </c>
      <c r="B1902" s="5">
        <v>24.96</v>
      </c>
      <c r="C1902" s="5">
        <v>25.9</v>
      </c>
      <c r="D1902" s="5">
        <v>26.53</v>
      </c>
      <c r="E1902" s="5">
        <v>27.33</v>
      </c>
      <c r="F1902" s="5">
        <v>27.94</v>
      </c>
      <c r="G1902" s="5">
        <v>28.39</v>
      </c>
      <c r="H1902" s="5">
        <v>29.1</v>
      </c>
      <c r="I1902" s="6">
        <v>2.5907179999999999</v>
      </c>
    </row>
    <row r="1903" spans="1:9" ht="60" x14ac:dyDescent="0.25">
      <c r="A1903" s="1" t="s">
        <v>118</v>
      </c>
      <c r="B1903" s="5">
        <v>2.4500000000000002</v>
      </c>
      <c r="C1903" s="5">
        <v>2.19</v>
      </c>
      <c r="D1903" s="5">
        <v>1.89</v>
      </c>
      <c r="E1903" s="5">
        <v>1.7</v>
      </c>
      <c r="F1903" s="5">
        <v>1.18</v>
      </c>
      <c r="G1903" s="5">
        <v>0.82</v>
      </c>
      <c r="H1903" s="5">
        <v>0.56999999999999995</v>
      </c>
      <c r="I1903" s="6">
        <v>-21.575554</v>
      </c>
    </row>
    <row r="1904" spans="1:9" ht="60" x14ac:dyDescent="0.25">
      <c r="A1904" s="1" t="s">
        <v>119</v>
      </c>
      <c r="B1904" s="5">
        <v>47.06</v>
      </c>
      <c r="C1904" s="5">
        <v>47.76</v>
      </c>
      <c r="D1904" s="5">
        <v>48.19</v>
      </c>
      <c r="E1904" s="5">
        <v>48.65</v>
      </c>
      <c r="F1904" s="5">
        <v>48.72</v>
      </c>
      <c r="G1904" s="5">
        <v>49.21</v>
      </c>
      <c r="H1904" s="5">
        <v>49.86</v>
      </c>
      <c r="I1904" s="6">
        <v>0.967916</v>
      </c>
    </row>
    <row r="1905" spans="1:9" ht="60" x14ac:dyDescent="0.25">
      <c r="A1905" s="1" t="s">
        <v>120</v>
      </c>
      <c r="B1905" s="5">
        <v>0</v>
      </c>
      <c r="C1905" s="5">
        <v>0</v>
      </c>
      <c r="D1905" s="5">
        <v>0</v>
      </c>
      <c r="E1905" s="5">
        <v>0</v>
      </c>
      <c r="F1905" s="5">
        <v>0</v>
      </c>
      <c r="G1905" s="5">
        <v>0</v>
      </c>
      <c r="H1905" s="5">
        <v>0</v>
      </c>
      <c r="I1905" s="7" t="s">
        <v>58</v>
      </c>
    </row>
    <row r="1906" spans="1:9" ht="75" x14ac:dyDescent="0.25">
      <c r="A1906" s="1" t="s">
        <v>121</v>
      </c>
      <c r="B1906" s="5">
        <v>0</v>
      </c>
      <c r="C1906" s="5">
        <v>0</v>
      </c>
      <c r="D1906" s="5">
        <v>0</v>
      </c>
      <c r="E1906" s="5">
        <v>0</v>
      </c>
      <c r="F1906" s="5">
        <v>0</v>
      </c>
      <c r="G1906" s="5">
        <v>0</v>
      </c>
      <c r="H1906" s="5">
        <v>0</v>
      </c>
      <c r="I1906" s="7" t="s">
        <v>58</v>
      </c>
    </row>
    <row r="1907" spans="1:9" ht="75" x14ac:dyDescent="0.25">
      <c r="A1907" s="1" t="s">
        <v>122</v>
      </c>
      <c r="B1907" s="5">
        <v>0.01</v>
      </c>
      <c r="C1907" s="5">
        <v>0</v>
      </c>
      <c r="D1907" s="5">
        <v>0</v>
      </c>
      <c r="E1907" s="5">
        <v>0</v>
      </c>
      <c r="F1907" s="5">
        <v>0</v>
      </c>
      <c r="G1907" s="5">
        <v>0</v>
      </c>
      <c r="H1907" s="5">
        <v>0</v>
      </c>
      <c r="I1907" s="6">
        <v>-100</v>
      </c>
    </row>
    <row r="1908" spans="1:9" ht="60" x14ac:dyDescent="0.25">
      <c r="A1908" s="1" t="s">
        <v>123</v>
      </c>
      <c r="B1908" s="5">
        <v>33.51</v>
      </c>
      <c r="C1908" s="5">
        <v>34.15</v>
      </c>
      <c r="D1908" s="5">
        <v>34.619999999999997</v>
      </c>
      <c r="E1908" s="5">
        <v>35.18</v>
      </c>
      <c r="F1908" s="5">
        <v>35.89</v>
      </c>
      <c r="G1908" s="5">
        <v>36.200000000000003</v>
      </c>
      <c r="H1908" s="5">
        <v>36.590000000000003</v>
      </c>
      <c r="I1908" s="6">
        <v>1.4763090000000001</v>
      </c>
    </row>
    <row r="1909" spans="1:9" ht="60" x14ac:dyDescent="0.25">
      <c r="A1909" s="1" t="s">
        <v>124</v>
      </c>
      <c r="B1909" s="5">
        <v>3.28</v>
      </c>
      <c r="C1909" s="5">
        <v>2.89</v>
      </c>
      <c r="D1909" s="5">
        <v>2.4700000000000002</v>
      </c>
      <c r="E1909" s="5">
        <v>2.1800000000000002</v>
      </c>
      <c r="F1909" s="5">
        <v>1.52</v>
      </c>
      <c r="G1909" s="5">
        <v>1.05</v>
      </c>
      <c r="H1909" s="5">
        <v>0.72</v>
      </c>
      <c r="I1909" s="6">
        <v>-22.331824000000001</v>
      </c>
    </row>
    <row r="1910" spans="1:9" ht="60" x14ac:dyDescent="0.25">
      <c r="A1910" s="1" t="s">
        <v>125</v>
      </c>
      <c r="B1910" s="5">
        <v>63.19</v>
      </c>
      <c r="C1910" s="5">
        <v>62.96</v>
      </c>
      <c r="D1910" s="5">
        <v>62.91</v>
      </c>
      <c r="E1910" s="5">
        <v>62.63</v>
      </c>
      <c r="F1910" s="5">
        <v>62.59</v>
      </c>
      <c r="G1910" s="5">
        <v>62.75</v>
      </c>
      <c r="H1910" s="5">
        <v>62.69</v>
      </c>
      <c r="I1910" s="6">
        <v>-0.13231399999999999</v>
      </c>
    </row>
    <row r="1911" spans="1:9" ht="60" x14ac:dyDescent="0.25">
      <c r="A1911" s="1" t="s">
        <v>126</v>
      </c>
      <c r="B1911" s="5">
        <v>0</v>
      </c>
      <c r="C1911" s="5">
        <v>0</v>
      </c>
      <c r="D1911" s="5">
        <v>0</v>
      </c>
      <c r="E1911" s="5">
        <v>0</v>
      </c>
      <c r="F1911" s="5">
        <v>0</v>
      </c>
      <c r="G1911" s="5">
        <v>0</v>
      </c>
      <c r="H1911" s="5">
        <v>0</v>
      </c>
      <c r="I1911" s="7" t="s">
        <v>58</v>
      </c>
    </row>
    <row r="1912" spans="1:9" ht="75" x14ac:dyDescent="0.25">
      <c r="A1912" s="1" t="s">
        <v>127</v>
      </c>
      <c r="B1912" s="5">
        <v>0</v>
      </c>
      <c r="C1912" s="5">
        <v>0</v>
      </c>
      <c r="D1912" s="5">
        <v>0</v>
      </c>
      <c r="E1912" s="5">
        <v>0</v>
      </c>
      <c r="F1912" s="5">
        <v>0</v>
      </c>
      <c r="G1912" s="5">
        <v>0</v>
      </c>
      <c r="H1912" s="5">
        <v>0</v>
      </c>
      <c r="I1912" s="7" t="s">
        <v>58</v>
      </c>
    </row>
    <row r="1913" spans="1:9" ht="60" x14ac:dyDescent="0.25">
      <c r="A1913" s="1" t="s">
        <v>128</v>
      </c>
      <c r="B1913" s="5">
        <v>0.02</v>
      </c>
      <c r="C1913" s="5">
        <v>0</v>
      </c>
      <c r="D1913" s="5">
        <v>0</v>
      </c>
      <c r="E1913" s="5">
        <v>0</v>
      </c>
      <c r="F1913" s="5">
        <v>0</v>
      </c>
      <c r="G1913" s="5">
        <v>0</v>
      </c>
      <c r="H1913" s="5">
        <v>0</v>
      </c>
      <c r="I1913" s="6">
        <v>-100</v>
      </c>
    </row>
    <row r="1914" spans="1:9" ht="45" x14ac:dyDescent="0.25">
      <c r="A1914" s="1" t="s">
        <v>129</v>
      </c>
      <c r="B1914" s="5">
        <v>12.81</v>
      </c>
      <c r="C1914" s="5">
        <v>12.93</v>
      </c>
      <c r="D1914" s="5">
        <v>13.12</v>
      </c>
      <c r="E1914" s="5">
        <v>13.33</v>
      </c>
      <c r="F1914" s="5">
        <v>13.52</v>
      </c>
      <c r="G1914" s="5">
        <v>13.72</v>
      </c>
      <c r="H1914" s="5">
        <v>13.92</v>
      </c>
      <c r="I1914" s="6">
        <v>1.3946446663417378</v>
      </c>
    </row>
    <row r="1915" spans="1:9" ht="45" x14ac:dyDescent="0.25">
      <c r="A1915" s="1" t="s">
        <v>140</v>
      </c>
      <c r="B1915" s="5">
        <v>9.09</v>
      </c>
      <c r="C1915" s="5">
        <v>9.16</v>
      </c>
      <c r="D1915" s="5">
        <v>9.26</v>
      </c>
      <c r="E1915" s="5">
        <v>9.4</v>
      </c>
      <c r="F1915" s="5">
        <v>9.52</v>
      </c>
      <c r="G1915" s="5">
        <v>9.65</v>
      </c>
      <c r="H1915" s="5">
        <v>9.7799999999999994</v>
      </c>
      <c r="I1915" s="6">
        <v>1.2268749999999999</v>
      </c>
    </row>
    <row r="1916" spans="1:9" ht="45" x14ac:dyDescent="0.25">
      <c r="A1916" s="1" t="s">
        <v>141</v>
      </c>
      <c r="B1916" s="5">
        <v>4.09</v>
      </c>
      <c r="C1916" s="5">
        <v>4.0599999999999996</v>
      </c>
      <c r="D1916" s="5">
        <v>4.05</v>
      </c>
      <c r="E1916" s="5">
        <v>4.05</v>
      </c>
      <c r="F1916" s="5">
        <v>4.05</v>
      </c>
      <c r="G1916" s="5">
        <v>4.04</v>
      </c>
      <c r="H1916" s="5">
        <v>4.03</v>
      </c>
      <c r="I1916" s="6">
        <v>-0.246007</v>
      </c>
    </row>
    <row r="1917" spans="1:9" ht="45" x14ac:dyDescent="0.25">
      <c r="A1917" s="1" t="s">
        <v>142</v>
      </c>
      <c r="B1917" s="5">
        <v>15.26</v>
      </c>
      <c r="C1917" s="5">
        <v>15.38</v>
      </c>
      <c r="D1917" s="5">
        <v>15.62</v>
      </c>
      <c r="E1917" s="5">
        <v>15.86</v>
      </c>
      <c r="F1917" s="5">
        <v>16.059999999999999</v>
      </c>
      <c r="G1917" s="5">
        <v>16.260000000000002</v>
      </c>
      <c r="H1917" s="5">
        <v>16.47</v>
      </c>
      <c r="I1917" s="6">
        <v>1.2798799999999999</v>
      </c>
    </row>
    <row r="1918" spans="1:9" ht="60" x14ac:dyDescent="0.25">
      <c r="A1918" s="1" t="s">
        <v>133</v>
      </c>
      <c r="B1918" s="7" t="s">
        <v>58</v>
      </c>
      <c r="C1918" s="7" t="s">
        <v>58</v>
      </c>
      <c r="D1918" s="7" t="s">
        <v>58</v>
      </c>
      <c r="E1918" s="7" t="s">
        <v>58</v>
      </c>
      <c r="F1918" s="7" t="s">
        <v>58</v>
      </c>
      <c r="G1918" s="7" t="s">
        <v>58</v>
      </c>
      <c r="H1918" s="7" t="s">
        <v>58</v>
      </c>
      <c r="I1918" s="7" t="s">
        <v>58</v>
      </c>
    </row>
    <row r="1919" spans="1:9" ht="60" x14ac:dyDescent="0.25">
      <c r="A1919" s="1" t="s">
        <v>134</v>
      </c>
      <c r="B1919" s="7" t="s">
        <v>58</v>
      </c>
      <c r="C1919" s="7" t="s">
        <v>58</v>
      </c>
      <c r="D1919" s="7" t="s">
        <v>58</v>
      </c>
      <c r="E1919" s="7" t="s">
        <v>58</v>
      </c>
      <c r="F1919" s="7" t="s">
        <v>58</v>
      </c>
      <c r="G1919" s="7" t="s">
        <v>58</v>
      </c>
      <c r="H1919" s="7" t="s">
        <v>58</v>
      </c>
      <c r="I1919" s="7" t="s">
        <v>58</v>
      </c>
    </row>
    <row r="1920" spans="1:9" x14ac:dyDescent="0.25">
      <c r="A1920" s="1" t="s">
        <v>12</v>
      </c>
      <c r="B1920" s="2"/>
      <c r="C1920" s="2"/>
      <c r="D1920" s="2"/>
      <c r="E1920" s="2"/>
      <c r="F1920" s="2"/>
      <c r="G1920" s="2"/>
      <c r="H1920" s="2"/>
      <c r="I1920" s="2"/>
    </row>
    <row r="1921" spans="1:9" x14ac:dyDescent="0.25">
      <c r="A1921" s="8" t="s">
        <v>106</v>
      </c>
      <c r="B1921" s="2"/>
      <c r="C1921" s="2"/>
      <c r="D1921" s="2"/>
      <c r="E1921" s="2"/>
      <c r="F1921" s="2"/>
      <c r="G1921" s="2"/>
      <c r="H1921" s="2"/>
      <c r="I1921" s="2"/>
    </row>
    <row r="1922" spans="1:9" ht="60" x14ac:dyDescent="0.25">
      <c r="A1922" s="1" t="s">
        <v>13</v>
      </c>
      <c r="B1922" s="5">
        <v>47</v>
      </c>
      <c r="C1922" s="5">
        <v>47.07</v>
      </c>
      <c r="D1922" s="5">
        <v>47.18</v>
      </c>
      <c r="E1922" s="5">
        <v>47.36</v>
      </c>
      <c r="F1922" s="5">
        <v>47.54</v>
      </c>
      <c r="G1922" s="5">
        <v>47.65</v>
      </c>
      <c r="H1922" s="5">
        <v>47.95</v>
      </c>
      <c r="I1922" s="6">
        <v>0.33407700000000001</v>
      </c>
    </row>
    <row r="1923" spans="1:9" ht="60" x14ac:dyDescent="0.25">
      <c r="A1923" s="1" t="s">
        <v>117</v>
      </c>
      <c r="B1923" s="5">
        <v>0.04</v>
      </c>
      <c r="C1923" s="5">
        <v>0.04</v>
      </c>
      <c r="D1923" s="5">
        <v>0.03</v>
      </c>
      <c r="E1923" s="5">
        <v>0.03</v>
      </c>
      <c r="F1923" s="5">
        <v>0.03</v>
      </c>
      <c r="G1923" s="5">
        <v>0.03</v>
      </c>
      <c r="H1923" s="5">
        <v>0.02</v>
      </c>
      <c r="I1923" s="6">
        <v>-10.910128</v>
      </c>
    </row>
    <row r="1924" spans="1:9" ht="60" x14ac:dyDescent="0.25">
      <c r="A1924" s="1" t="s">
        <v>118</v>
      </c>
      <c r="B1924" s="5">
        <v>0.76</v>
      </c>
      <c r="C1924" s="5">
        <v>0.71</v>
      </c>
      <c r="D1924" s="5">
        <v>0.65</v>
      </c>
      <c r="E1924" s="5">
        <v>0.6</v>
      </c>
      <c r="F1924" s="5">
        <v>0.54</v>
      </c>
      <c r="G1924" s="5">
        <v>0.38</v>
      </c>
      <c r="H1924" s="5">
        <v>0.3</v>
      </c>
      <c r="I1924" s="6">
        <v>-14.351858</v>
      </c>
    </row>
    <row r="1925" spans="1:9" ht="60" x14ac:dyDescent="0.25">
      <c r="A1925" s="1" t="s">
        <v>119</v>
      </c>
      <c r="B1925" s="5">
        <v>46.16</v>
      </c>
      <c r="C1925" s="5">
        <v>46.29</v>
      </c>
      <c r="D1925" s="5">
        <v>46.46</v>
      </c>
      <c r="E1925" s="5">
        <v>46.7</v>
      </c>
      <c r="F1925" s="5">
        <v>46.94</v>
      </c>
      <c r="G1925" s="5">
        <v>47.22</v>
      </c>
      <c r="H1925" s="5">
        <v>47.6</v>
      </c>
      <c r="I1925" s="6">
        <v>0.51329899999999995</v>
      </c>
    </row>
    <row r="1926" spans="1:9" ht="60" x14ac:dyDescent="0.25">
      <c r="A1926" s="1" t="s">
        <v>120</v>
      </c>
      <c r="B1926" s="5">
        <v>0.02</v>
      </c>
      <c r="C1926" s="5">
        <v>0.02</v>
      </c>
      <c r="D1926" s="5">
        <v>0.02</v>
      </c>
      <c r="E1926" s="5">
        <v>0.01</v>
      </c>
      <c r="F1926" s="5">
        <v>0.01</v>
      </c>
      <c r="G1926" s="5">
        <v>0.01</v>
      </c>
      <c r="H1926" s="5">
        <v>0.01</v>
      </c>
      <c r="I1926" s="6">
        <v>-10.910128</v>
      </c>
    </row>
    <row r="1927" spans="1:9" ht="75" x14ac:dyDescent="0.25">
      <c r="A1927" s="1" t="s">
        <v>121</v>
      </c>
      <c r="B1927" s="5">
        <v>0.02</v>
      </c>
      <c r="C1927" s="5">
        <v>0.02</v>
      </c>
      <c r="D1927" s="5">
        <v>0.02</v>
      </c>
      <c r="E1927" s="5">
        <v>0.02</v>
      </c>
      <c r="F1927" s="5">
        <v>0.02</v>
      </c>
      <c r="G1927" s="5">
        <v>0.02</v>
      </c>
      <c r="H1927" s="5">
        <v>0.01</v>
      </c>
      <c r="I1927" s="6">
        <v>-10.910128</v>
      </c>
    </row>
    <row r="1928" spans="1:9" ht="75" x14ac:dyDescent="0.25">
      <c r="A1928" s="1" t="s">
        <v>122</v>
      </c>
      <c r="B1928" s="5">
        <v>0</v>
      </c>
      <c r="C1928" s="5">
        <v>0</v>
      </c>
      <c r="D1928" s="5">
        <v>0</v>
      </c>
      <c r="E1928" s="5">
        <v>0</v>
      </c>
      <c r="F1928" s="5">
        <v>0</v>
      </c>
      <c r="G1928" s="5">
        <v>0</v>
      </c>
      <c r="H1928" s="5">
        <v>0</v>
      </c>
      <c r="I1928" s="7" t="s">
        <v>58</v>
      </c>
    </row>
    <row r="1929" spans="1:9" ht="60" x14ac:dyDescent="0.25">
      <c r="A1929" s="1" t="s">
        <v>123</v>
      </c>
      <c r="B1929" s="5">
        <v>0.08</v>
      </c>
      <c r="C1929" s="5">
        <v>7.0000000000000007E-2</v>
      </c>
      <c r="D1929" s="5">
        <v>7.0000000000000007E-2</v>
      </c>
      <c r="E1929" s="5">
        <v>0.06</v>
      </c>
      <c r="F1929" s="5">
        <v>0.06</v>
      </c>
      <c r="G1929" s="5">
        <v>0.05</v>
      </c>
      <c r="H1929" s="5">
        <v>0.05</v>
      </c>
      <c r="I1929" s="6">
        <v>-7.53444</v>
      </c>
    </row>
    <row r="1930" spans="1:9" ht="60" x14ac:dyDescent="0.25">
      <c r="A1930" s="1" t="s">
        <v>124</v>
      </c>
      <c r="B1930" s="5">
        <v>1.62</v>
      </c>
      <c r="C1930" s="5">
        <v>1.51</v>
      </c>
      <c r="D1930" s="5">
        <v>1.39</v>
      </c>
      <c r="E1930" s="5">
        <v>1.26</v>
      </c>
      <c r="F1930" s="5">
        <v>1.1299999999999999</v>
      </c>
      <c r="G1930" s="5">
        <v>0.79</v>
      </c>
      <c r="H1930" s="5">
        <v>0.62</v>
      </c>
      <c r="I1930" s="6">
        <v>-14.792182</v>
      </c>
    </row>
    <row r="1931" spans="1:9" ht="60" x14ac:dyDescent="0.25">
      <c r="A1931" s="1" t="s">
        <v>125</v>
      </c>
      <c r="B1931" s="5">
        <v>98.22</v>
      </c>
      <c r="C1931" s="5">
        <v>98.34</v>
      </c>
      <c r="D1931" s="5">
        <v>98.47</v>
      </c>
      <c r="E1931" s="5">
        <v>98.61</v>
      </c>
      <c r="F1931" s="5">
        <v>98.74</v>
      </c>
      <c r="G1931" s="5">
        <v>99.09</v>
      </c>
      <c r="H1931" s="5">
        <v>99.27</v>
      </c>
      <c r="I1931" s="6">
        <v>0.17738300000000001</v>
      </c>
    </row>
    <row r="1932" spans="1:9" ht="60" x14ac:dyDescent="0.25">
      <c r="A1932" s="1" t="s">
        <v>126</v>
      </c>
      <c r="B1932" s="5">
        <v>0.03</v>
      </c>
      <c r="C1932" s="5">
        <v>0.03</v>
      </c>
      <c r="D1932" s="5">
        <v>0.03</v>
      </c>
      <c r="E1932" s="5">
        <v>0.03</v>
      </c>
      <c r="F1932" s="5">
        <v>0.03</v>
      </c>
      <c r="G1932" s="5">
        <v>0.03</v>
      </c>
      <c r="H1932" s="5">
        <v>0.03</v>
      </c>
      <c r="I1932" s="6">
        <v>0</v>
      </c>
    </row>
    <row r="1933" spans="1:9" ht="75" x14ac:dyDescent="0.25">
      <c r="A1933" s="1" t="s">
        <v>127</v>
      </c>
      <c r="B1933" s="5">
        <v>0.04</v>
      </c>
      <c r="C1933" s="5">
        <v>0.04</v>
      </c>
      <c r="D1933" s="5">
        <v>0.04</v>
      </c>
      <c r="E1933" s="5">
        <v>0.03</v>
      </c>
      <c r="F1933" s="5">
        <v>0.03</v>
      </c>
      <c r="G1933" s="5">
        <v>0.03</v>
      </c>
      <c r="H1933" s="5">
        <v>0.03</v>
      </c>
      <c r="I1933" s="6">
        <v>-4.6815709999999999</v>
      </c>
    </row>
    <row r="1934" spans="1:9" ht="60" x14ac:dyDescent="0.25">
      <c r="A1934" s="1" t="s">
        <v>128</v>
      </c>
      <c r="B1934" s="5">
        <v>0</v>
      </c>
      <c r="C1934" s="5">
        <v>0</v>
      </c>
      <c r="D1934" s="5">
        <v>0</v>
      </c>
      <c r="E1934" s="5">
        <v>0</v>
      </c>
      <c r="F1934" s="5">
        <v>0</v>
      </c>
      <c r="G1934" s="5">
        <v>0</v>
      </c>
      <c r="H1934" s="5">
        <v>0</v>
      </c>
      <c r="I1934" s="7" t="s">
        <v>58</v>
      </c>
    </row>
    <row r="1935" spans="1:9" ht="45" x14ac:dyDescent="0.25">
      <c r="A1935" s="1" t="s">
        <v>129</v>
      </c>
      <c r="B1935" s="5">
        <v>13.09</v>
      </c>
      <c r="C1935" s="5">
        <v>13.26</v>
      </c>
      <c r="D1935" s="5">
        <v>13.41</v>
      </c>
      <c r="E1935" s="5">
        <v>13.57</v>
      </c>
      <c r="F1935" s="5">
        <v>13.72</v>
      </c>
      <c r="G1935" s="5">
        <v>13.89</v>
      </c>
      <c r="H1935" s="5">
        <v>14.06</v>
      </c>
      <c r="I1935" s="6">
        <v>1.1985474744909519</v>
      </c>
    </row>
    <row r="1936" spans="1:9" ht="45" x14ac:dyDescent="0.25">
      <c r="A1936" s="1" t="s">
        <v>140</v>
      </c>
      <c r="B1936" s="5">
        <v>11.01</v>
      </c>
      <c r="C1936" s="5">
        <v>11.01</v>
      </c>
      <c r="D1936" s="5">
        <v>11.02</v>
      </c>
      <c r="E1936" s="5">
        <v>11</v>
      </c>
      <c r="F1936" s="5">
        <v>10.98</v>
      </c>
      <c r="G1936" s="5">
        <v>10.96</v>
      </c>
      <c r="H1936" s="5">
        <v>10.94</v>
      </c>
      <c r="I1936" s="6">
        <v>-0.10624599999999999</v>
      </c>
    </row>
    <row r="1937" spans="1:9" ht="45" x14ac:dyDescent="0.25">
      <c r="A1937" s="1" t="s">
        <v>141</v>
      </c>
      <c r="B1937" s="5">
        <v>8.8800000000000008</v>
      </c>
      <c r="C1937" s="5">
        <v>8.92</v>
      </c>
      <c r="D1937" s="5">
        <v>8.98</v>
      </c>
      <c r="E1937" s="5">
        <v>9.01</v>
      </c>
      <c r="F1937" s="5">
        <v>9.0299999999999994</v>
      </c>
      <c r="G1937" s="5">
        <v>9.06</v>
      </c>
      <c r="H1937" s="5">
        <v>9.09</v>
      </c>
      <c r="I1937" s="6">
        <v>0.390316</v>
      </c>
    </row>
    <row r="1938" spans="1:9" ht="45" x14ac:dyDescent="0.25">
      <c r="A1938" s="1" t="s">
        <v>142</v>
      </c>
      <c r="B1938" s="5">
        <v>13.19</v>
      </c>
      <c r="C1938" s="5">
        <v>13.33</v>
      </c>
      <c r="D1938" s="5">
        <v>13.48</v>
      </c>
      <c r="E1938" s="5">
        <v>13.63</v>
      </c>
      <c r="F1938" s="5">
        <v>13.78</v>
      </c>
      <c r="G1938" s="5">
        <v>13.93</v>
      </c>
      <c r="H1938" s="5">
        <v>14.09</v>
      </c>
      <c r="I1938" s="6">
        <v>1.106179</v>
      </c>
    </row>
    <row r="1939" spans="1:9" ht="60" x14ac:dyDescent="0.25">
      <c r="A1939" s="1" t="s">
        <v>133</v>
      </c>
      <c r="B1939" s="5">
        <v>25.832041539999999</v>
      </c>
      <c r="C1939" s="5">
        <v>25.70768327</v>
      </c>
      <c r="D1939" s="5">
        <v>25.603566440000002</v>
      </c>
      <c r="E1939" s="5">
        <v>25.432115039999999</v>
      </c>
      <c r="F1939" s="5">
        <v>25.256901599999999</v>
      </c>
      <c r="G1939" s="5">
        <v>25.081323520000002</v>
      </c>
      <c r="H1939" s="5">
        <v>24.910982669999999</v>
      </c>
      <c r="I1939" s="6">
        <v>-0.6032872738214734</v>
      </c>
    </row>
    <row r="1940" spans="1:9" ht="60" x14ac:dyDescent="0.25">
      <c r="A1940" s="1" t="s">
        <v>134</v>
      </c>
      <c r="B1940" s="5">
        <v>7.32</v>
      </c>
      <c r="C1940" s="5">
        <v>7.4</v>
      </c>
      <c r="D1940" s="5">
        <v>7.48</v>
      </c>
      <c r="E1940" s="5">
        <v>7.54</v>
      </c>
      <c r="F1940" s="5">
        <v>7.59</v>
      </c>
      <c r="G1940" s="5">
        <v>7.65</v>
      </c>
      <c r="H1940" s="5">
        <v>7.71</v>
      </c>
      <c r="I1940" s="6">
        <v>0.86888399999999999</v>
      </c>
    </row>
    <row r="1941" spans="1:9" x14ac:dyDescent="0.25">
      <c r="A1941" s="1" t="s">
        <v>12</v>
      </c>
      <c r="B1941" s="2"/>
      <c r="C1941" s="2"/>
      <c r="D1941" s="2"/>
      <c r="E1941" s="2"/>
      <c r="F1941" s="2"/>
      <c r="G1941" s="2"/>
      <c r="H1941" s="2"/>
      <c r="I1941" s="2"/>
    </row>
    <row r="1942" spans="1:9" ht="30" x14ac:dyDescent="0.25">
      <c r="A1942" s="8" t="s">
        <v>107</v>
      </c>
      <c r="B1942" s="2"/>
      <c r="C1942" s="2"/>
      <c r="D1942" s="2"/>
      <c r="E1942" s="2"/>
      <c r="F1942" s="2"/>
      <c r="G1942" s="2"/>
      <c r="H1942" s="2"/>
      <c r="I1942" s="2"/>
    </row>
    <row r="1943" spans="1:9" ht="60" x14ac:dyDescent="0.25">
      <c r="A1943" s="1" t="s">
        <v>13</v>
      </c>
      <c r="B1943" s="5">
        <v>79.05</v>
      </c>
      <c r="C1943" s="5">
        <v>79.77</v>
      </c>
      <c r="D1943" s="5">
        <v>80.400000000000006</v>
      </c>
      <c r="E1943" s="5">
        <v>80.95</v>
      </c>
      <c r="F1943" s="5">
        <v>81.42</v>
      </c>
      <c r="G1943" s="5">
        <v>81.83</v>
      </c>
      <c r="H1943" s="5">
        <v>82.17</v>
      </c>
      <c r="I1943" s="6">
        <v>0.64724700000000002</v>
      </c>
    </row>
    <row r="1944" spans="1:9" ht="60" x14ac:dyDescent="0.25">
      <c r="A1944" s="1" t="s">
        <v>117</v>
      </c>
      <c r="B1944" s="5">
        <v>35.83</v>
      </c>
      <c r="C1944" s="5">
        <v>36.25</v>
      </c>
      <c r="D1944" s="5">
        <v>36.61</v>
      </c>
      <c r="E1944" s="5">
        <v>36.909999999999997</v>
      </c>
      <c r="F1944" s="5">
        <v>37.17</v>
      </c>
      <c r="G1944" s="5">
        <v>37.380000000000003</v>
      </c>
      <c r="H1944" s="5">
        <v>37.54</v>
      </c>
      <c r="I1944" s="6">
        <v>0.78005199999999997</v>
      </c>
    </row>
    <row r="1945" spans="1:9" ht="60" x14ac:dyDescent="0.25">
      <c r="A1945" s="1" t="s">
        <v>118</v>
      </c>
      <c r="B1945" s="5">
        <v>0</v>
      </c>
      <c r="C1945" s="5">
        <v>0</v>
      </c>
      <c r="D1945" s="5">
        <v>0</v>
      </c>
      <c r="E1945" s="5">
        <v>0</v>
      </c>
      <c r="F1945" s="5">
        <v>0</v>
      </c>
      <c r="G1945" s="5">
        <v>0</v>
      </c>
      <c r="H1945" s="5">
        <v>0</v>
      </c>
      <c r="I1945" s="7" t="s">
        <v>58</v>
      </c>
    </row>
    <row r="1946" spans="1:9" ht="60" x14ac:dyDescent="0.25">
      <c r="A1946" s="1" t="s">
        <v>119</v>
      </c>
      <c r="B1946" s="5">
        <v>38.92</v>
      </c>
      <c r="C1946" s="5">
        <v>39.28</v>
      </c>
      <c r="D1946" s="5">
        <v>39.619999999999997</v>
      </c>
      <c r="E1946" s="5">
        <v>39.93</v>
      </c>
      <c r="F1946" s="5">
        <v>40.21</v>
      </c>
      <c r="G1946" s="5">
        <v>40.47</v>
      </c>
      <c r="H1946" s="5">
        <v>40.71</v>
      </c>
      <c r="I1946" s="6">
        <v>0.75224000000000002</v>
      </c>
    </row>
    <row r="1947" spans="1:9" ht="60" x14ac:dyDescent="0.25">
      <c r="A1947" s="1" t="s">
        <v>120</v>
      </c>
      <c r="B1947" s="5">
        <v>0</v>
      </c>
      <c r="C1947" s="5">
        <v>0</v>
      </c>
      <c r="D1947" s="5">
        <v>0</v>
      </c>
      <c r="E1947" s="5">
        <v>0</v>
      </c>
      <c r="F1947" s="5">
        <v>0</v>
      </c>
      <c r="G1947" s="5">
        <v>0</v>
      </c>
      <c r="H1947" s="5">
        <v>0</v>
      </c>
      <c r="I1947" s="7" t="s">
        <v>58</v>
      </c>
    </row>
    <row r="1948" spans="1:9" ht="75" x14ac:dyDescent="0.25">
      <c r="A1948" s="1" t="s">
        <v>121</v>
      </c>
      <c r="B1948" s="5">
        <v>4.3</v>
      </c>
      <c r="C1948" s="5">
        <v>4.2300000000000004</v>
      </c>
      <c r="D1948" s="5">
        <v>4.17</v>
      </c>
      <c r="E1948" s="5">
        <v>4.1100000000000003</v>
      </c>
      <c r="F1948" s="5">
        <v>4.04</v>
      </c>
      <c r="G1948" s="5">
        <v>3.98</v>
      </c>
      <c r="H1948" s="5">
        <v>3.92</v>
      </c>
      <c r="I1948" s="6">
        <v>-1.530227</v>
      </c>
    </row>
    <row r="1949" spans="1:9" ht="75" x14ac:dyDescent="0.25">
      <c r="A1949" s="1" t="s">
        <v>122</v>
      </c>
      <c r="B1949" s="5">
        <v>0</v>
      </c>
      <c r="C1949" s="5">
        <v>0</v>
      </c>
      <c r="D1949" s="5">
        <v>0</v>
      </c>
      <c r="E1949" s="5">
        <v>0</v>
      </c>
      <c r="F1949" s="5">
        <v>0</v>
      </c>
      <c r="G1949" s="5">
        <v>0</v>
      </c>
      <c r="H1949" s="5">
        <v>0</v>
      </c>
      <c r="I1949" s="7" t="s">
        <v>58</v>
      </c>
    </row>
    <row r="1950" spans="1:9" ht="60" x14ac:dyDescent="0.25">
      <c r="A1950" s="1" t="s">
        <v>123</v>
      </c>
      <c r="B1950" s="5">
        <v>45.33</v>
      </c>
      <c r="C1950" s="5">
        <v>45.45</v>
      </c>
      <c r="D1950" s="5">
        <v>45.54</v>
      </c>
      <c r="E1950" s="5">
        <v>45.6</v>
      </c>
      <c r="F1950" s="5">
        <v>45.65</v>
      </c>
      <c r="G1950" s="5">
        <v>45.67</v>
      </c>
      <c r="H1950" s="5">
        <v>45.68</v>
      </c>
      <c r="I1950" s="6">
        <v>0.128274</v>
      </c>
    </row>
    <row r="1951" spans="1:9" ht="60" x14ac:dyDescent="0.25">
      <c r="A1951" s="1" t="s">
        <v>124</v>
      </c>
      <c r="B1951" s="5">
        <v>0</v>
      </c>
      <c r="C1951" s="5">
        <v>0</v>
      </c>
      <c r="D1951" s="5">
        <v>0</v>
      </c>
      <c r="E1951" s="5">
        <v>0</v>
      </c>
      <c r="F1951" s="5">
        <v>0</v>
      </c>
      <c r="G1951" s="5">
        <v>0</v>
      </c>
      <c r="H1951" s="5">
        <v>0</v>
      </c>
      <c r="I1951" s="7" t="s">
        <v>58</v>
      </c>
    </row>
    <row r="1952" spans="1:9" ht="60" x14ac:dyDescent="0.25">
      <c r="A1952" s="1" t="s">
        <v>125</v>
      </c>
      <c r="B1952" s="5">
        <v>49.23</v>
      </c>
      <c r="C1952" s="5">
        <v>49.24</v>
      </c>
      <c r="D1952" s="5">
        <v>49.28</v>
      </c>
      <c r="E1952" s="5">
        <v>49.33</v>
      </c>
      <c r="F1952" s="5">
        <v>49.39</v>
      </c>
      <c r="G1952" s="5">
        <v>49.46</v>
      </c>
      <c r="H1952" s="5">
        <v>49.54</v>
      </c>
      <c r="I1952" s="6">
        <v>0.104675</v>
      </c>
    </row>
    <row r="1953" spans="1:9" ht="60" x14ac:dyDescent="0.25">
      <c r="A1953" s="1" t="s">
        <v>126</v>
      </c>
      <c r="B1953" s="5">
        <v>0</v>
      </c>
      <c r="C1953" s="5">
        <v>0</v>
      </c>
      <c r="D1953" s="5">
        <v>0</v>
      </c>
      <c r="E1953" s="5">
        <v>0</v>
      </c>
      <c r="F1953" s="5">
        <v>0</v>
      </c>
      <c r="G1953" s="5">
        <v>0</v>
      </c>
      <c r="H1953" s="5">
        <v>0</v>
      </c>
      <c r="I1953" s="7" t="s">
        <v>58</v>
      </c>
    </row>
    <row r="1954" spans="1:9" ht="75" x14ac:dyDescent="0.25">
      <c r="A1954" s="1" t="s">
        <v>127</v>
      </c>
      <c r="B1954" s="5">
        <v>5.44</v>
      </c>
      <c r="C1954" s="5">
        <v>5.31</v>
      </c>
      <c r="D1954" s="5">
        <v>5.19</v>
      </c>
      <c r="E1954" s="5">
        <v>5.07</v>
      </c>
      <c r="F1954" s="5">
        <v>4.97</v>
      </c>
      <c r="G1954" s="5">
        <v>4.87</v>
      </c>
      <c r="H1954" s="5">
        <v>4.7699999999999996</v>
      </c>
      <c r="I1954" s="6">
        <v>-2.166728</v>
      </c>
    </row>
    <row r="1955" spans="1:9" ht="60" x14ac:dyDescent="0.25">
      <c r="A1955" s="1" t="s">
        <v>128</v>
      </c>
      <c r="B1955" s="5">
        <v>0</v>
      </c>
      <c r="C1955" s="5">
        <v>0</v>
      </c>
      <c r="D1955" s="5">
        <v>0</v>
      </c>
      <c r="E1955" s="5">
        <v>0</v>
      </c>
      <c r="F1955" s="5">
        <v>0</v>
      </c>
      <c r="G1955" s="5">
        <v>0</v>
      </c>
      <c r="H1955" s="5">
        <v>0</v>
      </c>
      <c r="I1955" s="7" t="s">
        <v>58</v>
      </c>
    </row>
    <row r="1956" spans="1:9" ht="45" x14ac:dyDescent="0.25">
      <c r="A1956" s="1" t="s">
        <v>129</v>
      </c>
      <c r="B1956" s="5">
        <v>31.97</v>
      </c>
      <c r="C1956" s="5">
        <v>32.17</v>
      </c>
      <c r="D1956" s="5">
        <v>32.380000000000003</v>
      </c>
      <c r="E1956" s="5">
        <v>32.58</v>
      </c>
      <c r="F1956" s="5">
        <v>32.79</v>
      </c>
      <c r="G1956" s="5">
        <v>33.01</v>
      </c>
      <c r="H1956" s="5">
        <v>33.22</v>
      </c>
      <c r="I1956" s="6">
        <v>0.64128315692530968</v>
      </c>
    </row>
    <row r="1957" spans="1:9" ht="45" x14ac:dyDescent="0.25">
      <c r="A1957" s="1" t="s">
        <v>140</v>
      </c>
      <c r="B1957" s="5">
        <v>13.82</v>
      </c>
      <c r="C1957" s="5">
        <v>13.9</v>
      </c>
      <c r="D1957" s="5">
        <v>13.97</v>
      </c>
      <c r="E1957" s="5">
        <v>14.04</v>
      </c>
      <c r="F1957" s="5">
        <v>14.1</v>
      </c>
      <c r="G1957" s="5">
        <v>14.15</v>
      </c>
      <c r="H1957" s="5">
        <v>14.2</v>
      </c>
      <c r="I1957" s="6">
        <v>0.45310899999999998</v>
      </c>
    </row>
    <row r="1958" spans="1:9" ht="45" x14ac:dyDescent="0.25">
      <c r="A1958" s="1" t="s">
        <v>141</v>
      </c>
      <c r="B1958" s="5">
        <v>0</v>
      </c>
      <c r="C1958" s="5">
        <v>0</v>
      </c>
      <c r="D1958" s="5">
        <v>0</v>
      </c>
      <c r="E1958" s="5">
        <v>0</v>
      </c>
      <c r="F1958" s="5">
        <v>0</v>
      </c>
      <c r="G1958" s="5">
        <v>0</v>
      </c>
      <c r="H1958" s="5">
        <v>0</v>
      </c>
      <c r="I1958" s="7" t="s">
        <v>58</v>
      </c>
    </row>
    <row r="1959" spans="1:9" ht="45" x14ac:dyDescent="0.25">
      <c r="A1959" s="1" t="s">
        <v>142</v>
      </c>
      <c r="B1959" s="5">
        <v>33.270000000000003</v>
      </c>
      <c r="C1959" s="5">
        <v>33.6</v>
      </c>
      <c r="D1959" s="5">
        <v>33.94</v>
      </c>
      <c r="E1959" s="5">
        <v>34.28</v>
      </c>
      <c r="F1959" s="5">
        <v>34.619999999999997</v>
      </c>
      <c r="G1959" s="5">
        <v>34.97</v>
      </c>
      <c r="H1959" s="5">
        <v>35.31</v>
      </c>
      <c r="I1959" s="6">
        <v>0.99677000000000004</v>
      </c>
    </row>
    <row r="1960" spans="1:9" ht="60" x14ac:dyDescent="0.25">
      <c r="A1960" s="1" t="s">
        <v>133</v>
      </c>
      <c r="B1960" s="7" t="s">
        <v>58</v>
      </c>
      <c r="C1960" s="7" t="s">
        <v>58</v>
      </c>
      <c r="D1960" s="7" t="s">
        <v>58</v>
      </c>
      <c r="E1960" s="7" t="s">
        <v>58</v>
      </c>
      <c r="F1960" s="7" t="s">
        <v>58</v>
      </c>
      <c r="G1960" s="7" t="s">
        <v>58</v>
      </c>
      <c r="H1960" s="7" t="s">
        <v>58</v>
      </c>
      <c r="I1960" s="7" t="s">
        <v>58</v>
      </c>
    </row>
    <row r="1961" spans="1:9" ht="60" x14ac:dyDescent="0.25">
      <c r="A1961" s="1" t="s">
        <v>134</v>
      </c>
      <c r="B1961" s="7" t="s">
        <v>58</v>
      </c>
      <c r="C1961" s="7" t="s">
        <v>58</v>
      </c>
      <c r="D1961" s="7" t="s">
        <v>58</v>
      </c>
      <c r="E1961" s="7" t="s">
        <v>58</v>
      </c>
      <c r="F1961" s="7" t="s">
        <v>58</v>
      </c>
      <c r="G1961" s="7" t="s">
        <v>58</v>
      </c>
      <c r="H1961" s="7" t="s">
        <v>58</v>
      </c>
      <c r="I1961" s="7" t="s">
        <v>58</v>
      </c>
    </row>
    <row r="1962" spans="1:9" x14ac:dyDescent="0.25">
      <c r="A1962" s="1" t="s">
        <v>12</v>
      </c>
      <c r="B1962" s="2"/>
      <c r="C1962" s="2"/>
      <c r="D1962" s="2"/>
      <c r="E1962" s="2"/>
      <c r="F1962" s="2"/>
      <c r="G1962" s="2"/>
      <c r="H1962" s="2"/>
      <c r="I1962" s="2"/>
    </row>
    <row r="1963" spans="1:9" x14ac:dyDescent="0.25">
      <c r="A1963" s="8" t="s">
        <v>108</v>
      </c>
      <c r="B1963" s="2"/>
      <c r="C1963" s="2"/>
      <c r="D1963" s="2"/>
      <c r="E1963" s="2"/>
      <c r="F1963" s="2"/>
      <c r="G1963" s="2"/>
      <c r="H1963" s="2"/>
      <c r="I1963" s="2"/>
    </row>
    <row r="1964" spans="1:9" ht="60" x14ac:dyDescent="0.25">
      <c r="A1964" s="1" t="s">
        <v>13</v>
      </c>
      <c r="B1964" s="5">
        <v>77.53</v>
      </c>
      <c r="C1964" s="5">
        <v>80.11</v>
      </c>
      <c r="D1964" s="5">
        <v>82.44</v>
      </c>
      <c r="E1964" s="5">
        <v>84.43</v>
      </c>
      <c r="F1964" s="5">
        <v>85.97</v>
      </c>
      <c r="G1964" s="5">
        <v>87</v>
      </c>
      <c r="H1964" s="5">
        <v>87.57</v>
      </c>
      <c r="I1964" s="6">
        <v>2.0502940000000001</v>
      </c>
    </row>
    <row r="1965" spans="1:9" ht="60" x14ac:dyDescent="0.25">
      <c r="A1965" s="1" t="s">
        <v>117</v>
      </c>
      <c r="B1965" s="5">
        <v>10.6</v>
      </c>
      <c r="C1965" s="5">
        <v>12.34</v>
      </c>
      <c r="D1965" s="5">
        <v>14.12</v>
      </c>
      <c r="E1965" s="5">
        <v>15.92</v>
      </c>
      <c r="F1965" s="5">
        <v>17.690000000000001</v>
      </c>
      <c r="G1965" s="5">
        <v>19.420000000000002</v>
      </c>
      <c r="H1965" s="5">
        <v>21.19</v>
      </c>
      <c r="I1965" s="6">
        <v>12.237379000000001</v>
      </c>
    </row>
    <row r="1966" spans="1:9" ht="60" x14ac:dyDescent="0.25">
      <c r="A1966" s="1" t="s">
        <v>118</v>
      </c>
      <c r="B1966" s="5">
        <v>41.06</v>
      </c>
      <c r="C1966" s="5">
        <v>39.15</v>
      </c>
      <c r="D1966" s="5">
        <v>37.049999999999997</v>
      </c>
      <c r="E1966" s="5">
        <v>34.729999999999997</v>
      </c>
      <c r="F1966" s="5">
        <v>32.15</v>
      </c>
      <c r="G1966" s="5">
        <v>29.29</v>
      </c>
      <c r="H1966" s="5">
        <v>26.13</v>
      </c>
      <c r="I1966" s="6">
        <v>-7.2558030000000002</v>
      </c>
    </row>
    <row r="1967" spans="1:9" ht="60" x14ac:dyDescent="0.25">
      <c r="A1967" s="1" t="s">
        <v>119</v>
      </c>
      <c r="B1967" s="5">
        <v>25.84</v>
      </c>
      <c r="C1967" s="5">
        <v>28.59</v>
      </c>
      <c r="D1967" s="5">
        <v>31.24</v>
      </c>
      <c r="E1967" s="5">
        <v>33.75</v>
      </c>
      <c r="F1967" s="5">
        <v>36.1</v>
      </c>
      <c r="G1967" s="5">
        <v>38.26</v>
      </c>
      <c r="H1967" s="5">
        <v>40.22</v>
      </c>
      <c r="I1967" s="6">
        <v>7.6527000000000003</v>
      </c>
    </row>
    <row r="1968" spans="1:9" ht="60" x14ac:dyDescent="0.25">
      <c r="A1968" s="1" t="s">
        <v>120</v>
      </c>
      <c r="B1968" s="5">
        <v>0</v>
      </c>
      <c r="C1968" s="5">
        <v>0</v>
      </c>
      <c r="D1968" s="5">
        <v>0</v>
      </c>
      <c r="E1968" s="5">
        <v>0</v>
      </c>
      <c r="F1968" s="5">
        <v>0</v>
      </c>
      <c r="G1968" s="5">
        <v>0</v>
      </c>
      <c r="H1968" s="5">
        <v>0</v>
      </c>
      <c r="I1968" s="7" t="s">
        <v>58</v>
      </c>
    </row>
    <row r="1969" spans="1:9" ht="75" x14ac:dyDescent="0.25">
      <c r="A1969" s="1" t="s">
        <v>121</v>
      </c>
      <c r="B1969" s="5">
        <v>0.03</v>
      </c>
      <c r="C1969" s="5">
        <v>0.03</v>
      </c>
      <c r="D1969" s="5">
        <v>0.03</v>
      </c>
      <c r="E1969" s="5">
        <v>0.03</v>
      </c>
      <c r="F1969" s="5">
        <v>0.03</v>
      </c>
      <c r="G1969" s="5">
        <v>0.03</v>
      </c>
      <c r="H1969" s="5">
        <v>0.03</v>
      </c>
      <c r="I1969" s="6">
        <v>0</v>
      </c>
    </row>
    <row r="1970" spans="1:9" ht="75" x14ac:dyDescent="0.25">
      <c r="A1970" s="1" t="s">
        <v>122</v>
      </c>
      <c r="B1970" s="5">
        <v>0</v>
      </c>
      <c r="C1970" s="5">
        <v>0</v>
      </c>
      <c r="D1970" s="5">
        <v>0</v>
      </c>
      <c r="E1970" s="5">
        <v>0</v>
      </c>
      <c r="F1970" s="5">
        <v>0</v>
      </c>
      <c r="G1970" s="5">
        <v>0</v>
      </c>
      <c r="H1970" s="5">
        <v>0</v>
      </c>
      <c r="I1970" s="7" t="s">
        <v>58</v>
      </c>
    </row>
    <row r="1971" spans="1:9" ht="60" x14ac:dyDescent="0.25">
      <c r="A1971" s="1" t="s">
        <v>123</v>
      </c>
      <c r="B1971" s="5">
        <v>13.67</v>
      </c>
      <c r="C1971" s="5">
        <v>15.4</v>
      </c>
      <c r="D1971" s="5">
        <v>17.13</v>
      </c>
      <c r="E1971" s="5">
        <v>18.850000000000001</v>
      </c>
      <c r="F1971" s="5">
        <v>20.58</v>
      </c>
      <c r="G1971" s="5">
        <v>22.32</v>
      </c>
      <c r="H1971" s="5">
        <v>24.2</v>
      </c>
      <c r="I1971" s="6">
        <v>9.9869459999999997</v>
      </c>
    </row>
    <row r="1972" spans="1:9" ht="60" x14ac:dyDescent="0.25">
      <c r="A1972" s="1" t="s">
        <v>124</v>
      </c>
      <c r="B1972" s="5">
        <v>52.95</v>
      </c>
      <c r="C1972" s="5">
        <v>48.87</v>
      </c>
      <c r="D1972" s="5">
        <v>44.94</v>
      </c>
      <c r="E1972" s="5">
        <v>41.13</v>
      </c>
      <c r="F1972" s="5">
        <v>37.4</v>
      </c>
      <c r="G1972" s="5">
        <v>33.67</v>
      </c>
      <c r="H1972" s="5">
        <v>29.84</v>
      </c>
      <c r="I1972" s="6">
        <v>-9.1157120000000003</v>
      </c>
    </row>
    <row r="1973" spans="1:9" ht="60" x14ac:dyDescent="0.25">
      <c r="A1973" s="1" t="s">
        <v>125</v>
      </c>
      <c r="B1973" s="5">
        <v>33.33</v>
      </c>
      <c r="C1973" s="5">
        <v>35.69</v>
      </c>
      <c r="D1973" s="5">
        <v>37.89</v>
      </c>
      <c r="E1973" s="5">
        <v>39.979999999999997</v>
      </c>
      <c r="F1973" s="5">
        <v>41.99</v>
      </c>
      <c r="G1973" s="5">
        <v>43.98</v>
      </c>
      <c r="H1973" s="5">
        <v>45.94</v>
      </c>
      <c r="I1973" s="6">
        <v>5.4935590000000003</v>
      </c>
    </row>
    <row r="1974" spans="1:9" ht="60" x14ac:dyDescent="0.25">
      <c r="A1974" s="1" t="s">
        <v>126</v>
      </c>
      <c r="B1974" s="5">
        <v>0</v>
      </c>
      <c r="C1974" s="5">
        <v>0</v>
      </c>
      <c r="D1974" s="5">
        <v>0</v>
      </c>
      <c r="E1974" s="5">
        <v>0</v>
      </c>
      <c r="F1974" s="5">
        <v>0</v>
      </c>
      <c r="G1974" s="5">
        <v>0</v>
      </c>
      <c r="H1974" s="5">
        <v>0</v>
      </c>
      <c r="I1974" s="7" t="s">
        <v>58</v>
      </c>
    </row>
    <row r="1975" spans="1:9" ht="75" x14ac:dyDescent="0.25">
      <c r="A1975" s="1" t="s">
        <v>127</v>
      </c>
      <c r="B1975" s="5">
        <v>0.04</v>
      </c>
      <c r="C1975" s="5">
        <v>0.04</v>
      </c>
      <c r="D1975" s="5">
        <v>0.03</v>
      </c>
      <c r="E1975" s="5">
        <v>0.03</v>
      </c>
      <c r="F1975" s="5">
        <v>0.03</v>
      </c>
      <c r="G1975" s="5">
        <v>0.03</v>
      </c>
      <c r="H1975" s="5">
        <v>0.03</v>
      </c>
      <c r="I1975" s="6">
        <v>-4.6815709999999999</v>
      </c>
    </row>
    <row r="1976" spans="1:9" ht="60" x14ac:dyDescent="0.25">
      <c r="A1976" s="1" t="s">
        <v>128</v>
      </c>
      <c r="B1976" s="5">
        <v>0</v>
      </c>
      <c r="C1976" s="5">
        <v>0</v>
      </c>
      <c r="D1976" s="5">
        <v>0</v>
      </c>
      <c r="E1976" s="5">
        <v>0</v>
      </c>
      <c r="F1976" s="5">
        <v>0</v>
      </c>
      <c r="G1976" s="5">
        <v>0</v>
      </c>
      <c r="H1976" s="5">
        <v>0</v>
      </c>
      <c r="I1976" s="7" t="s">
        <v>58</v>
      </c>
    </row>
    <row r="1977" spans="1:9" ht="45" x14ac:dyDescent="0.25">
      <c r="A1977" s="1" t="s">
        <v>129</v>
      </c>
      <c r="B1977" s="7" t="s">
        <v>58</v>
      </c>
      <c r="C1977" s="7" t="s">
        <v>58</v>
      </c>
      <c r="D1977" s="7" t="s">
        <v>58</v>
      </c>
      <c r="E1977" s="7" t="s">
        <v>58</v>
      </c>
      <c r="F1977" s="7" t="s">
        <v>58</v>
      </c>
      <c r="G1977" s="7" t="s">
        <v>58</v>
      </c>
      <c r="H1977" s="7" t="s">
        <v>58</v>
      </c>
      <c r="I1977" s="7" t="s">
        <v>58</v>
      </c>
    </row>
    <row r="1978" spans="1:9" ht="45" x14ac:dyDescent="0.25">
      <c r="A1978" s="1" t="s">
        <v>140</v>
      </c>
      <c r="B1978" s="7" t="s">
        <v>58</v>
      </c>
      <c r="C1978" s="7" t="s">
        <v>58</v>
      </c>
      <c r="D1978" s="7" t="s">
        <v>58</v>
      </c>
      <c r="E1978" s="7" t="s">
        <v>58</v>
      </c>
      <c r="F1978" s="7" t="s">
        <v>58</v>
      </c>
      <c r="G1978" s="7" t="s">
        <v>58</v>
      </c>
      <c r="H1978" s="7" t="s">
        <v>58</v>
      </c>
      <c r="I1978" s="7" t="s">
        <v>58</v>
      </c>
    </row>
    <row r="1979" spans="1:9" ht="45" x14ac:dyDescent="0.25">
      <c r="A1979" s="1" t="s">
        <v>141</v>
      </c>
      <c r="B1979" s="7" t="s">
        <v>58</v>
      </c>
      <c r="C1979" s="7" t="s">
        <v>58</v>
      </c>
      <c r="D1979" s="7" t="s">
        <v>58</v>
      </c>
      <c r="E1979" s="7" t="s">
        <v>58</v>
      </c>
      <c r="F1979" s="7" t="s">
        <v>58</v>
      </c>
      <c r="G1979" s="7" t="s">
        <v>58</v>
      </c>
      <c r="H1979" s="7" t="s">
        <v>58</v>
      </c>
      <c r="I1979" s="7" t="s">
        <v>58</v>
      </c>
    </row>
    <row r="1980" spans="1:9" ht="45" x14ac:dyDescent="0.25">
      <c r="A1980" s="1" t="s">
        <v>142</v>
      </c>
      <c r="B1980" s="7" t="s">
        <v>58</v>
      </c>
      <c r="C1980" s="7" t="s">
        <v>58</v>
      </c>
      <c r="D1980" s="7" t="s">
        <v>58</v>
      </c>
      <c r="E1980" s="7" t="s">
        <v>58</v>
      </c>
      <c r="F1980" s="7" t="s">
        <v>58</v>
      </c>
      <c r="G1980" s="7" t="s">
        <v>58</v>
      </c>
      <c r="H1980" s="7" t="s">
        <v>58</v>
      </c>
      <c r="I1980" s="7" t="s">
        <v>58</v>
      </c>
    </row>
    <row r="1981" spans="1:9" ht="60" x14ac:dyDescent="0.25">
      <c r="A1981" s="1" t="s">
        <v>133</v>
      </c>
      <c r="B1981" s="7" t="s">
        <v>58</v>
      </c>
      <c r="C1981" s="7" t="s">
        <v>58</v>
      </c>
      <c r="D1981" s="7" t="s">
        <v>58</v>
      </c>
      <c r="E1981" s="7" t="s">
        <v>58</v>
      </c>
      <c r="F1981" s="7" t="s">
        <v>58</v>
      </c>
      <c r="G1981" s="7" t="s">
        <v>58</v>
      </c>
      <c r="H1981" s="7" t="s">
        <v>58</v>
      </c>
      <c r="I1981" s="7" t="s">
        <v>58</v>
      </c>
    </row>
    <row r="1982" spans="1:9" ht="60" x14ac:dyDescent="0.25">
      <c r="A1982" s="1" t="s">
        <v>134</v>
      </c>
      <c r="B1982" s="7" t="s">
        <v>58</v>
      </c>
      <c r="C1982" s="7" t="s">
        <v>58</v>
      </c>
      <c r="D1982" s="7" t="s">
        <v>58</v>
      </c>
      <c r="E1982" s="7" t="s">
        <v>58</v>
      </c>
      <c r="F1982" s="7" t="s">
        <v>58</v>
      </c>
      <c r="G1982" s="7" t="s">
        <v>58</v>
      </c>
      <c r="H1982" s="7" t="s">
        <v>58</v>
      </c>
      <c r="I1982" s="7" t="s">
        <v>58</v>
      </c>
    </row>
    <row r="1983" spans="1:9" x14ac:dyDescent="0.25">
      <c r="A1983" s="1" t="s">
        <v>12</v>
      </c>
      <c r="B1983" s="2"/>
      <c r="C1983" s="2"/>
      <c r="D1983" s="2"/>
      <c r="E1983" s="2"/>
      <c r="F1983" s="2"/>
      <c r="G1983" s="2"/>
      <c r="H1983" s="2"/>
      <c r="I1983" s="2"/>
    </row>
    <row r="1984" spans="1:9" ht="30" x14ac:dyDescent="0.25">
      <c r="A1984" s="8" t="s">
        <v>109</v>
      </c>
      <c r="B1984" s="2"/>
      <c r="C1984" s="2"/>
      <c r="D1984" s="2"/>
      <c r="E1984" s="2"/>
      <c r="F1984" s="2"/>
      <c r="G1984" s="2"/>
      <c r="H1984" s="2"/>
      <c r="I1984" s="2"/>
    </row>
    <row r="1985" spans="1:9" ht="60" x14ac:dyDescent="0.25">
      <c r="A1985" s="1" t="s">
        <v>13</v>
      </c>
      <c r="B1985" s="5">
        <v>94.97</v>
      </c>
      <c r="C1985" s="5">
        <v>95.48</v>
      </c>
      <c r="D1985" s="5">
        <v>95.82</v>
      </c>
      <c r="E1985" s="5">
        <v>96.29</v>
      </c>
      <c r="F1985" s="5">
        <v>96.58</v>
      </c>
      <c r="G1985" s="5">
        <v>96.89</v>
      </c>
      <c r="H1985" s="5">
        <v>96.89</v>
      </c>
      <c r="I1985" s="6">
        <v>0.33414500000000003</v>
      </c>
    </row>
    <row r="1986" spans="1:9" ht="60" x14ac:dyDescent="0.25">
      <c r="A1986" s="1" t="s">
        <v>117</v>
      </c>
      <c r="B1986" s="5">
        <v>0</v>
      </c>
      <c r="C1986" s="5">
        <v>0</v>
      </c>
      <c r="D1986" s="5">
        <v>0</v>
      </c>
      <c r="E1986" s="5">
        <v>0</v>
      </c>
      <c r="F1986" s="5">
        <v>0</v>
      </c>
      <c r="G1986" s="5">
        <v>0</v>
      </c>
      <c r="H1986" s="5">
        <v>0</v>
      </c>
      <c r="I1986" s="7" t="s">
        <v>58</v>
      </c>
    </row>
    <row r="1987" spans="1:9" ht="60" x14ac:dyDescent="0.25">
      <c r="A1987" s="1" t="s">
        <v>118</v>
      </c>
      <c r="B1987" s="5">
        <v>1.42</v>
      </c>
      <c r="C1987" s="5">
        <v>1.29</v>
      </c>
      <c r="D1987" s="5">
        <v>1.17</v>
      </c>
      <c r="E1987" s="5">
        <v>1.08</v>
      </c>
      <c r="F1987" s="5">
        <v>1.01</v>
      </c>
      <c r="G1987" s="5">
        <v>0.94</v>
      </c>
      <c r="H1987" s="5">
        <v>0.87</v>
      </c>
      <c r="I1987" s="6">
        <v>-7.8408449999999998</v>
      </c>
    </row>
    <row r="1988" spans="1:9" ht="60" x14ac:dyDescent="0.25">
      <c r="A1988" s="1" t="s">
        <v>119</v>
      </c>
      <c r="B1988" s="5">
        <v>93.55</v>
      </c>
      <c r="C1988" s="5">
        <v>94.19</v>
      </c>
      <c r="D1988" s="5">
        <v>94.65</v>
      </c>
      <c r="E1988" s="5">
        <v>95.21</v>
      </c>
      <c r="F1988" s="5">
        <v>95.58</v>
      </c>
      <c r="G1988" s="5">
        <v>95.95</v>
      </c>
      <c r="H1988" s="5">
        <v>96.03</v>
      </c>
      <c r="I1988" s="6">
        <v>0.437029</v>
      </c>
    </row>
    <row r="1989" spans="1:9" ht="60" x14ac:dyDescent="0.25">
      <c r="A1989" s="1" t="s">
        <v>120</v>
      </c>
      <c r="B1989" s="5">
        <v>0</v>
      </c>
      <c r="C1989" s="5">
        <v>0</v>
      </c>
      <c r="D1989" s="5">
        <v>0</v>
      </c>
      <c r="E1989" s="5">
        <v>0</v>
      </c>
      <c r="F1989" s="5">
        <v>0</v>
      </c>
      <c r="G1989" s="5">
        <v>0</v>
      </c>
      <c r="H1989" s="5">
        <v>0</v>
      </c>
      <c r="I1989" s="7" t="s">
        <v>58</v>
      </c>
    </row>
    <row r="1990" spans="1:9" ht="75" x14ac:dyDescent="0.25">
      <c r="A1990" s="1" t="s">
        <v>121</v>
      </c>
      <c r="B1990" s="5">
        <v>0</v>
      </c>
      <c r="C1990" s="5">
        <v>0</v>
      </c>
      <c r="D1990" s="5">
        <v>0</v>
      </c>
      <c r="E1990" s="5">
        <v>0</v>
      </c>
      <c r="F1990" s="5">
        <v>0</v>
      </c>
      <c r="G1990" s="5">
        <v>0</v>
      </c>
      <c r="H1990" s="5">
        <v>0</v>
      </c>
      <c r="I1990" s="7" t="s">
        <v>58</v>
      </c>
    </row>
    <row r="1991" spans="1:9" ht="75" x14ac:dyDescent="0.25">
      <c r="A1991" s="1" t="s">
        <v>122</v>
      </c>
      <c r="B1991" s="5">
        <v>0</v>
      </c>
      <c r="C1991" s="5">
        <v>0</v>
      </c>
      <c r="D1991" s="5">
        <v>0</v>
      </c>
      <c r="E1991" s="5">
        <v>0</v>
      </c>
      <c r="F1991" s="5">
        <v>0</v>
      </c>
      <c r="G1991" s="5">
        <v>0</v>
      </c>
      <c r="H1991" s="5">
        <v>0</v>
      </c>
      <c r="I1991" s="7" t="s">
        <v>58</v>
      </c>
    </row>
    <row r="1992" spans="1:9" ht="60" x14ac:dyDescent="0.25">
      <c r="A1992" s="1" t="s">
        <v>123</v>
      </c>
      <c r="B1992" s="5">
        <v>0</v>
      </c>
      <c r="C1992" s="5">
        <v>0</v>
      </c>
      <c r="D1992" s="5">
        <v>0</v>
      </c>
      <c r="E1992" s="5">
        <v>0</v>
      </c>
      <c r="F1992" s="5">
        <v>0</v>
      </c>
      <c r="G1992" s="5">
        <v>0</v>
      </c>
      <c r="H1992" s="5">
        <v>0</v>
      </c>
      <c r="I1992" s="7" t="s">
        <v>58</v>
      </c>
    </row>
    <row r="1993" spans="1:9" ht="60" x14ac:dyDescent="0.25">
      <c r="A1993" s="1" t="s">
        <v>124</v>
      </c>
      <c r="B1993" s="5">
        <v>1.5</v>
      </c>
      <c r="C1993" s="5">
        <v>1.35</v>
      </c>
      <c r="D1993" s="5">
        <v>1.22</v>
      </c>
      <c r="E1993" s="5">
        <v>1.1299999999999999</v>
      </c>
      <c r="F1993" s="5">
        <v>1.04</v>
      </c>
      <c r="G1993" s="5">
        <v>0.97</v>
      </c>
      <c r="H1993" s="5">
        <v>0.9</v>
      </c>
      <c r="I1993" s="6">
        <v>-8.1614100000000001</v>
      </c>
    </row>
    <row r="1994" spans="1:9" ht="60" x14ac:dyDescent="0.25">
      <c r="A1994" s="1" t="s">
        <v>125</v>
      </c>
      <c r="B1994" s="5">
        <v>98.5</v>
      </c>
      <c r="C1994" s="5">
        <v>98.65</v>
      </c>
      <c r="D1994" s="5">
        <v>98.78</v>
      </c>
      <c r="E1994" s="5">
        <v>98.87</v>
      </c>
      <c r="F1994" s="5">
        <v>98.96</v>
      </c>
      <c r="G1994" s="5">
        <v>99.03</v>
      </c>
      <c r="H1994" s="5">
        <v>99.1</v>
      </c>
      <c r="I1994" s="6">
        <v>0.10126599999999999</v>
      </c>
    </row>
    <row r="1995" spans="1:9" ht="60" x14ac:dyDescent="0.25">
      <c r="A1995" s="1" t="s">
        <v>126</v>
      </c>
      <c r="B1995" s="5">
        <v>0</v>
      </c>
      <c r="C1995" s="5">
        <v>0</v>
      </c>
      <c r="D1995" s="5">
        <v>0</v>
      </c>
      <c r="E1995" s="5">
        <v>0</v>
      </c>
      <c r="F1995" s="5">
        <v>0</v>
      </c>
      <c r="G1995" s="5">
        <v>0</v>
      </c>
      <c r="H1995" s="5">
        <v>0</v>
      </c>
      <c r="I1995" s="7" t="s">
        <v>58</v>
      </c>
    </row>
    <row r="1996" spans="1:9" ht="75" x14ac:dyDescent="0.25">
      <c r="A1996" s="1" t="s">
        <v>127</v>
      </c>
      <c r="B1996" s="5">
        <v>0</v>
      </c>
      <c r="C1996" s="5">
        <v>0</v>
      </c>
      <c r="D1996" s="5">
        <v>0</v>
      </c>
      <c r="E1996" s="5">
        <v>0</v>
      </c>
      <c r="F1996" s="5">
        <v>0</v>
      </c>
      <c r="G1996" s="5">
        <v>0</v>
      </c>
      <c r="H1996" s="5">
        <v>0</v>
      </c>
      <c r="I1996" s="7" t="s">
        <v>58</v>
      </c>
    </row>
    <row r="1997" spans="1:9" ht="60" x14ac:dyDescent="0.25">
      <c r="A1997" s="1" t="s">
        <v>128</v>
      </c>
      <c r="B1997" s="5">
        <v>0</v>
      </c>
      <c r="C1997" s="5">
        <v>0</v>
      </c>
      <c r="D1997" s="5">
        <v>0</v>
      </c>
      <c r="E1997" s="5">
        <v>0</v>
      </c>
      <c r="F1997" s="5">
        <v>0</v>
      </c>
      <c r="G1997" s="5">
        <v>0</v>
      </c>
      <c r="H1997" s="5">
        <v>0</v>
      </c>
      <c r="I1997" s="7" t="s">
        <v>58</v>
      </c>
    </row>
    <row r="1998" spans="1:9" ht="45" x14ac:dyDescent="0.25">
      <c r="A1998" s="1" t="s">
        <v>129</v>
      </c>
      <c r="B1998" s="7" t="s">
        <v>58</v>
      </c>
      <c r="C1998" s="7" t="s">
        <v>58</v>
      </c>
      <c r="D1998" s="7" t="s">
        <v>58</v>
      </c>
      <c r="E1998" s="7" t="s">
        <v>58</v>
      </c>
      <c r="F1998" s="7" t="s">
        <v>58</v>
      </c>
      <c r="G1998" s="7" t="s">
        <v>58</v>
      </c>
      <c r="H1998" s="7" t="s">
        <v>58</v>
      </c>
      <c r="I1998" s="7" t="s">
        <v>58</v>
      </c>
    </row>
    <row r="1999" spans="1:9" ht="45" x14ac:dyDescent="0.25">
      <c r="A1999" s="1" t="s">
        <v>140</v>
      </c>
      <c r="B1999" s="7" t="s">
        <v>58</v>
      </c>
      <c r="C1999" s="7" t="s">
        <v>58</v>
      </c>
      <c r="D1999" s="7" t="s">
        <v>58</v>
      </c>
      <c r="E1999" s="7" t="s">
        <v>58</v>
      </c>
      <c r="F1999" s="7" t="s">
        <v>58</v>
      </c>
      <c r="G1999" s="7" t="s">
        <v>58</v>
      </c>
      <c r="H1999" s="7" t="s">
        <v>58</v>
      </c>
      <c r="I1999" s="7" t="s">
        <v>58</v>
      </c>
    </row>
    <row r="2000" spans="1:9" ht="45" x14ac:dyDescent="0.25">
      <c r="A2000" s="1" t="s">
        <v>141</v>
      </c>
      <c r="B2000" s="7" t="s">
        <v>58</v>
      </c>
      <c r="C2000" s="7" t="s">
        <v>58</v>
      </c>
      <c r="D2000" s="7" t="s">
        <v>58</v>
      </c>
      <c r="E2000" s="7" t="s">
        <v>58</v>
      </c>
      <c r="F2000" s="7" t="s">
        <v>58</v>
      </c>
      <c r="G2000" s="7" t="s">
        <v>58</v>
      </c>
      <c r="H2000" s="7" t="s">
        <v>58</v>
      </c>
      <c r="I2000" s="7" t="s">
        <v>58</v>
      </c>
    </row>
    <row r="2001" spans="1:9" ht="45" x14ac:dyDescent="0.25">
      <c r="A2001" s="1" t="s">
        <v>142</v>
      </c>
      <c r="B2001" s="7" t="s">
        <v>58</v>
      </c>
      <c r="C2001" s="7" t="s">
        <v>58</v>
      </c>
      <c r="D2001" s="7" t="s">
        <v>58</v>
      </c>
      <c r="E2001" s="7" t="s">
        <v>58</v>
      </c>
      <c r="F2001" s="7" t="s">
        <v>58</v>
      </c>
      <c r="G2001" s="7" t="s">
        <v>58</v>
      </c>
      <c r="H2001" s="7" t="s">
        <v>58</v>
      </c>
      <c r="I2001" s="7" t="s">
        <v>58</v>
      </c>
    </row>
    <row r="2002" spans="1:9" ht="60" x14ac:dyDescent="0.25">
      <c r="A2002" s="1" t="s">
        <v>133</v>
      </c>
      <c r="B2002" s="7" t="s">
        <v>58</v>
      </c>
      <c r="C2002" s="7" t="s">
        <v>58</v>
      </c>
      <c r="D2002" s="7" t="s">
        <v>58</v>
      </c>
      <c r="E2002" s="7" t="s">
        <v>58</v>
      </c>
      <c r="F2002" s="7" t="s">
        <v>58</v>
      </c>
      <c r="G2002" s="7" t="s">
        <v>58</v>
      </c>
      <c r="H2002" s="7" t="s">
        <v>58</v>
      </c>
      <c r="I2002" s="7" t="s">
        <v>58</v>
      </c>
    </row>
    <row r="2003" spans="1:9" ht="60" x14ac:dyDescent="0.25">
      <c r="A2003" s="1" t="s">
        <v>134</v>
      </c>
      <c r="B2003" s="7" t="s">
        <v>58</v>
      </c>
      <c r="C2003" s="7" t="s">
        <v>58</v>
      </c>
      <c r="D2003" s="7" t="s">
        <v>58</v>
      </c>
      <c r="E2003" s="7" t="s">
        <v>58</v>
      </c>
      <c r="F2003" s="7" t="s">
        <v>58</v>
      </c>
      <c r="G2003" s="7" t="s">
        <v>58</v>
      </c>
      <c r="H2003" s="7" t="s">
        <v>58</v>
      </c>
      <c r="I2003" s="7" t="s">
        <v>58</v>
      </c>
    </row>
    <row r="2004" spans="1:9" x14ac:dyDescent="0.25">
      <c r="A2004" s="1" t="s">
        <v>12</v>
      </c>
      <c r="B2004" s="2"/>
      <c r="C2004" s="2"/>
      <c r="D2004" s="2"/>
      <c r="E2004" s="2"/>
      <c r="F2004" s="2"/>
      <c r="G2004" s="2"/>
      <c r="H2004" s="2"/>
      <c r="I2004" s="2"/>
    </row>
    <row r="2005" spans="1:9" x14ac:dyDescent="0.25">
      <c r="A2005" s="8" t="s">
        <v>110</v>
      </c>
      <c r="B2005" s="2"/>
      <c r="C2005" s="2"/>
      <c r="D2005" s="2"/>
      <c r="E2005" s="2"/>
      <c r="F2005" s="2"/>
      <c r="G2005" s="2"/>
      <c r="H2005" s="2"/>
      <c r="I2005" s="2"/>
    </row>
    <row r="2006" spans="1:9" ht="60" x14ac:dyDescent="0.25">
      <c r="A2006" s="1" t="s">
        <v>13</v>
      </c>
      <c r="B2006" s="5">
        <v>99.24</v>
      </c>
      <c r="C2006" s="5">
        <v>99.37</v>
      </c>
      <c r="D2006" s="5">
        <v>99.55</v>
      </c>
      <c r="E2006" s="5">
        <v>99.53</v>
      </c>
      <c r="F2006" s="5">
        <v>99.48</v>
      </c>
      <c r="G2006" s="5">
        <v>99.42</v>
      </c>
      <c r="H2006" s="5">
        <v>99.37</v>
      </c>
      <c r="I2006" s="6">
        <v>2.1821E-2</v>
      </c>
    </row>
    <row r="2007" spans="1:9" ht="60" x14ac:dyDescent="0.25">
      <c r="A2007" s="1" t="s">
        <v>117</v>
      </c>
      <c r="B2007" s="5">
        <v>20.07</v>
      </c>
      <c r="C2007" s="5">
        <v>20.23</v>
      </c>
      <c r="D2007" s="5">
        <v>20.39</v>
      </c>
      <c r="E2007" s="5">
        <v>20.51</v>
      </c>
      <c r="F2007" s="5">
        <v>20.6</v>
      </c>
      <c r="G2007" s="5">
        <v>20.66</v>
      </c>
      <c r="H2007" s="5">
        <v>20.72</v>
      </c>
      <c r="I2007" s="6">
        <v>0.53263400000000005</v>
      </c>
    </row>
    <row r="2008" spans="1:9" ht="60" x14ac:dyDescent="0.25">
      <c r="A2008" s="1" t="s">
        <v>118</v>
      </c>
      <c r="B2008" s="5">
        <v>59.86</v>
      </c>
      <c r="C2008" s="5">
        <v>55.66</v>
      </c>
      <c r="D2008" s="5">
        <v>51.25</v>
      </c>
      <c r="E2008" s="5">
        <v>46.81</v>
      </c>
      <c r="F2008" s="5">
        <v>42.01</v>
      </c>
      <c r="G2008" s="5">
        <v>37.15</v>
      </c>
      <c r="H2008" s="5">
        <v>31.77</v>
      </c>
      <c r="I2008" s="6">
        <v>-10.019842000000001</v>
      </c>
    </row>
    <row r="2009" spans="1:9" ht="60" x14ac:dyDescent="0.25">
      <c r="A2009" s="1" t="s">
        <v>119</v>
      </c>
      <c r="B2009" s="5">
        <v>19.170000000000002</v>
      </c>
      <c r="C2009" s="5">
        <v>23.34</v>
      </c>
      <c r="D2009" s="5">
        <v>27.76</v>
      </c>
      <c r="E2009" s="5">
        <v>32.04</v>
      </c>
      <c r="F2009" s="5">
        <v>36.69</v>
      </c>
      <c r="G2009" s="5">
        <v>41.42</v>
      </c>
      <c r="H2009" s="5">
        <v>46.67</v>
      </c>
      <c r="I2009" s="6">
        <v>15.98521</v>
      </c>
    </row>
    <row r="2010" spans="1:9" ht="60" x14ac:dyDescent="0.25">
      <c r="A2010" s="1" t="s">
        <v>120</v>
      </c>
      <c r="B2010" s="5">
        <v>0.03</v>
      </c>
      <c r="C2010" s="5">
        <v>0.04</v>
      </c>
      <c r="D2010" s="5">
        <v>0.04</v>
      </c>
      <c r="E2010" s="5">
        <v>0.04</v>
      </c>
      <c r="F2010" s="5">
        <v>0.04</v>
      </c>
      <c r="G2010" s="5">
        <v>0.04</v>
      </c>
      <c r="H2010" s="5">
        <v>0.04</v>
      </c>
      <c r="I2010" s="6">
        <v>4.9115060000000001</v>
      </c>
    </row>
    <row r="2011" spans="1:9" ht="75" x14ac:dyDescent="0.25">
      <c r="A2011" s="1" t="s">
        <v>121</v>
      </c>
      <c r="B2011" s="5">
        <v>0.1</v>
      </c>
      <c r="C2011" s="5">
        <v>0.11</v>
      </c>
      <c r="D2011" s="5">
        <v>0.12</v>
      </c>
      <c r="E2011" s="5">
        <v>0.13</v>
      </c>
      <c r="F2011" s="5">
        <v>0.14000000000000001</v>
      </c>
      <c r="G2011" s="5">
        <v>0.15</v>
      </c>
      <c r="H2011" s="5">
        <v>0.16</v>
      </c>
      <c r="I2011" s="6">
        <v>8.1483749999999997</v>
      </c>
    </row>
    <row r="2012" spans="1:9" ht="75" x14ac:dyDescent="0.25">
      <c r="A2012" s="1" t="s">
        <v>122</v>
      </c>
      <c r="B2012" s="7" t="s">
        <v>58</v>
      </c>
      <c r="C2012" s="7" t="s">
        <v>58</v>
      </c>
      <c r="D2012" s="7" t="s">
        <v>58</v>
      </c>
      <c r="E2012" s="7" t="s">
        <v>58</v>
      </c>
      <c r="F2012" s="7" t="s">
        <v>58</v>
      </c>
      <c r="G2012" s="7" t="s">
        <v>58</v>
      </c>
      <c r="H2012" s="7" t="s">
        <v>58</v>
      </c>
      <c r="I2012" s="7" t="s">
        <v>58</v>
      </c>
    </row>
    <row r="2013" spans="1:9" ht="60" x14ac:dyDescent="0.25">
      <c r="A2013" s="1" t="s">
        <v>123</v>
      </c>
      <c r="B2013" s="5">
        <v>20.23</v>
      </c>
      <c r="C2013" s="5">
        <v>20.350000000000001</v>
      </c>
      <c r="D2013" s="5">
        <v>20.48</v>
      </c>
      <c r="E2013" s="5">
        <v>20.6</v>
      </c>
      <c r="F2013" s="5">
        <v>20.7</v>
      </c>
      <c r="G2013" s="5">
        <v>20.78</v>
      </c>
      <c r="H2013" s="5">
        <v>20.85</v>
      </c>
      <c r="I2013" s="6">
        <v>0.50438899999999998</v>
      </c>
    </row>
    <row r="2014" spans="1:9" ht="60" x14ac:dyDescent="0.25">
      <c r="A2014" s="1" t="s">
        <v>124</v>
      </c>
      <c r="B2014" s="5">
        <v>60.32</v>
      </c>
      <c r="C2014" s="5">
        <v>56.01</v>
      </c>
      <c r="D2014" s="5">
        <v>51.48</v>
      </c>
      <c r="E2014" s="5">
        <v>47.03</v>
      </c>
      <c r="F2014" s="5">
        <v>42.23</v>
      </c>
      <c r="G2014" s="5">
        <v>37.36</v>
      </c>
      <c r="H2014" s="5">
        <v>31.98</v>
      </c>
      <c r="I2014" s="6">
        <v>-10.035842000000001</v>
      </c>
    </row>
    <row r="2015" spans="1:9" ht="60" x14ac:dyDescent="0.25">
      <c r="A2015" s="1" t="s">
        <v>125</v>
      </c>
      <c r="B2015" s="5">
        <v>19.309999999999999</v>
      </c>
      <c r="C2015" s="5">
        <v>23.49</v>
      </c>
      <c r="D2015" s="5">
        <v>27.88</v>
      </c>
      <c r="E2015" s="5">
        <v>32.19</v>
      </c>
      <c r="F2015" s="5">
        <v>36.880000000000003</v>
      </c>
      <c r="G2015" s="5">
        <v>41.66</v>
      </c>
      <c r="H2015" s="5">
        <v>46.97</v>
      </c>
      <c r="I2015" s="6">
        <v>15.968413</v>
      </c>
    </row>
    <row r="2016" spans="1:9" ht="60" x14ac:dyDescent="0.25">
      <c r="A2016" s="1" t="s">
        <v>126</v>
      </c>
      <c r="B2016" s="5">
        <v>0.04</v>
      </c>
      <c r="C2016" s="5">
        <v>0.04</v>
      </c>
      <c r="D2016" s="5">
        <v>0.04</v>
      </c>
      <c r="E2016" s="5">
        <v>0.04</v>
      </c>
      <c r="F2016" s="5">
        <v>0.04</v>
      </c>
      <c r="G2016" s="5">
        <v>0.04</v>
      </c>
      <c r="H2016" s="5">
        <v>0.04</v>
      </c>
      <c r="I2016" s="6">
        <v>0</v>
      </c>
    </row>
    <row r="2017" spans="1:9" ht="75" x14ac:dyDescent="0.25">
      <c r="A2017" s="1" t="s">
        <v>127</v>
      </c>
      <c r="B2017" s="5">
        <v>0.1</v>
      </c>
      <c r="C2017" s="5">
        <v>0.11</v>
      </c>
      <c r="D2017" s="5">
        <v>0.12</v>
      </c>
      <c r="E2017" s="5">
        <v>0.13</v>
      </c>
      <c r="F2017" s="5">
        <v>0.15</v>
      </c>
      <c r="G2017" s="5">
        <v>0.15</v>
      </c>
      <c r="H2017" s="5">
        <v>0.16</v>
      </c>
      <c r="I2017" s="6">
        <v>8.1483749999999997</v>
      </c>
    </row>
    <row r="2018" spans="1:9" ht="60" x14ac:dyDescent="0.25">
      <c r="A2018" s="1" t="s">
        <v>128</v>
      </c>
      <c r="B2018" s="7" t="s">
        <v>58</v>
      </c>
      <c r="C2018" s="7" t="s">
        <v>58</v>
      </c>
      <c r="D2018" s="7" t="s">
        <v>58</v>
      </c>
      <c r="E2018" s="7" t="s">
        <v>58</v>
      </c>
      <c r="F2018" s="7" t="s">
        <v>58</v>
      </c>
      <c r="G2018" s="7" t="s">
        <v>58</v>
      </c>
      <c r="H2018" s="7" t="s">
        <v>58</v>
      </c>
      <c r="I2018" s="7" t="s">
        <v>58</v>
      </c>
    </row>
    <row r="2019" spans="1:9" ht="45" x14ac:dyDescent="0.25">
      <c r="A2019" s="1" t="s">
        <v>129</v>
      </c>
      <c r="B2019" s="5">
        <v>33.97</v>
      </c>
      <c r="C2019" s="5">
        <v>34.25</v>
      </c>
      <c r="D2019" s="5">
        <v>34.340000000000003</v>
      </c>
      <c r="E2019" s="5">
        <v>34.47</v>
      </c>
      <c r="F2019" s="5">
        <v>34.549999999999997</v>
      </c>
      <c r="G2019" s="5">
        <v>34.65</v>
      </c>
      <c r="H2019" s="5">
        <v>34.65</v>
      </c>
      <c r="I2019" s="6">
        <v>0.33087858975673345</v>
      </c>
    </row>
    <row r="2020" spans="1:9" ht="45" x14ac:dyDescent="0.25">
      <c r="A2020" s="1" t="s">
        <v>140</v>
      </c>
      <c r="B2020" s="5">
        <v>34.49</v>
      </c>
      <c r="C2020" s="5">
        <v>34.369999999999997</v>
      </c>
      <c r="D2020" s="5">
        <v>34.15</v>
      </c>
      <c r="E2020" s="5">
        <v>33.86</v>
      </c>
      <c r="F2020" s="5">
        <v>33.47</v>
      </c>
      <c r="G2020" s="5">
        <v>33.020000000000003</v>
      </c>
      <c r="H2020" s="5">
        <v>32.520000000000003</v>
      </c>
      <c r="I2020" s="6">
        <v>-0.97544699999999995</v>
      </c>
    </row>
    <row r="2021" spans="1:9" ht="45" x14ac:dyDescent="0.25">
      <c r="A2021" s="1" t="s">
        <v>141</v>
      </c>
      <c r="B2021" s="5">
        <v>32.42</v>
      </c>
      <c r="C2021" s="5">
        <v>33.14</v>
      </c>
      <c r="D2021" s="5">
        <v>33.67</v>
      </c>
      <c r="E2021" s="5">
        <v>34.26</v>
      </c>
      <c r="F2021" s="5">
        <v>34.549999999999997</v>
      </c>
      <c r="G2021" s="5">
        <v>34.92</v>
      </c>
      <c r="H2021" s="5">
        <v>34.880000000000003</v>
      </c>
      <c r="I2021" s="6">
        <v>1.2264280000000001</v>
      </c>
    </row>
    <row r="2022" spans="1:9" ht="45" x14ac:dyDescent="0.25">
      <c r="A2022" s="1" t="s">
        <v>142</v>
      </c>
      <c r="B2022" s="5">
        <v>39.19</v>
      </c>
      <c r="C2022" s="5">
        <v>37.369999999999997</v>
      </c>
      <c r="D2022" s="5">
        <v>36.090000000000003</v>
      </c>
      <c r="E2022" s="5">
        <v>35.409999999999997</v>
      </c>
      <c r="F2022" s="5">
        <v>35.369999999999997</v>
      </c>
      <c r="G2022" s="5">
        <v>35.4</v>
      </c>
      <c r="H2022" s="5">
        <v>35.630000000000003</v>
      </c>
      <c r="I2022" s="6">
        <v>-1.574697</v>
      </c>
    </row>
    <row r="2023" spans="1:9" ht="60" x14ac:dyDescent="0.25">
      <c r="A2023" s="1" t="s">
        <v>133</v>
      </c>
      <c r="B2023" s="7" t="s">
        <v>58</v>
      </c>
      <c r="C2023" s="7" t="s">
        <v>58</v>
      </c>
      <c r="D2023" s="7" t="s">
        <v>58</v>
      </c>
      <c r="E2023" s="7" t="s">
        <v>58</v>
      </c>
      <c r="F2023" s="7" t="s">
        <v>58</v>
      </c>
      <c r="G2023" s="7" t="s">
        <v>58</v>
      </c>
      <c r="H2023" s="7" t="s">
        <v>58</v>
      </c>
      <c r="I2023" s="7" t="s">
        <v>58</v>
      </c>
    </row>
    <row r="2024" spans="1:9" ht="60" x14ac:dyDescent="0.25">
      <c r="A2024" s="1" t="s">
        <v>134</v>
      </c>
      <c r="B2024" s="7" t="s">
        <v>58</v>
      </c>
      <c r="C2024" s="7" t="s">
        <v>58</v>
      </c>
      <c r="D2024" s="7" t="s">
        <v>58</v>
      </c>
      <c r="E2024" s="7" t="s">
        <v>58</v>
      </c>
      <c r="F2024" s="7" t="s">
        <v>58</v>
      </c>
      <c r="G2024" s="7" t="s">
        <v>58</v>
      </c>
      <c r="H2024" s="7" t="s">
        <v>58</v>
      </c>
      <c r="I2024" s="7" t="s">
        <v>58</v>
      </c>
    </row>
    <row r="2025" spans="1:9" x14ac:dyDescent="0.25">
      <c r="A2025" s="1" t="s">
        <v>12</v>
      </c>
      <c r="B2025" s="2"/>
      <c r="C2025" s="2"/>
      <c r="D2025" s="2"/>
      <c r="E2025" s="2"/>
      <c r="F2025" s="2"/>
      <c r="G2025" s="2"/>
      <c r="H2025" s="2"/>
      <c r="I2025" s="2"/>
    </row>
    <row r="2026" spans="1:9" x14ac:dyDescent="0.25">
      <c r="A2026" s="8" t="s">
        <v>111</v>
      </c>
      <c r="B2026" s="2"/>
      <c r="C2026" s="2"/>
      <c r="D2026" s="2"/>
      <c r="E2026" s="2"/>
      <c r="F2026" s="2"/>
      <c r="G2026" s="2"/>
      <c r="H2026" s="2"/>
      <c r="I2026" s="2"/>
    </row>
    <row r="2027" spans="1:9" ht="60" x14ac:dyDescent="0.25">
      <c r="A2027" s="1" t="s">
        <v>13</v>
      </c>
      <c r="B2027" s="5">
        <v>88.06</v>
      </c>
      <c r="C2027" s="5">
        <v>88.66</v>
      </c>
      <c r="D2027" s="5">
        <v>90.91</v>
      </c>
      <c r="E2027" s="5">
        <v>93</v>
      </c>
      <c r="F2027" s="5">
        <v>94.27</v>
      </c>
      <c r="G2027" s="5">
        <v>95.05</v>
      </c>
      <c r="H2027" s="5">
        <v>96.71</v>
      </c>
      <c r="I2027" s="6">
        <v>1.5738970000000001</v>
      </c>
    </row>
    <row r="2028" spans="1:9" ht="60" x14ac:dyDescent="0.25">
      <c r="A2028" s="1" t="s">
        <v>117</v>
      </c>
      <c r="B2028" s="5">
        <v>0</v>
      </c>
      <c r="C2028" s="5">
        <v>0</v>
      </c>
      <c r="D2028" s="5">
        <v>0</v>
      </c>
      <c r="E2028" s="5">
        <v>0</v>
      </c>
      <c r="F2028" s="5">
        <v>0</v>
      </c>
      <c r="G2028" s="5">
        <v>0</v>
      </c>
      <c r="H2028" s="5">
        <v>0</v>
      </c>
      <c r="I2028" s="7" t="s">
        <v>58</v>
      </c>
    </row>
    <row r="2029" spans="1:9" ht="60" x14ac:dyDescent="0.25">
      <c r="A2029" s="1" t="s">
        <v>118</v>
      </c>
      <c r="B2029" s="5">
        <v>2.62</v>
      </c>
      <c r="C2029" s="5">
        <v>0.32</v>
      </c>
      <c r="D2029" s="5">
        <v>0</v>
      </c>
      <c r="E2029" s="5">
        <v>0</v>
      </c>
      <c r="F2029" s="5">
        <v>0</v>
      </c>
      <c r="G2029" s="5">
        <v>0</v>
      </c>
      <c r="H2029" s="5">
        <v>0</v>
      </c>
      <c r="I2029" s="6">
        <v>-100</v>
      </c>
    </row>
    <row r="2030" spans="1:9" ht="60" x14ac:dyDescent="0.25">
      <c r="A2030" s="1" t="s">
        <v>119</v>
      </c>
      <c r="B2030" s="5">
        <v>77.22</v>
      </c>
      <c r="C2030" s="5">
        <v>79.39</v>
      </c>
      <c r="D2030" s="5">
        <v>81.22</v>
      </c>
      <c r="E2030" s="5">
        <v>82.59</v>
      </c>
      <c r="F2030" s="5">
        <v>83.16</v>
      </c>
      <c r="G2030" s="5">
        <v>83.25</v>
      </c>
      <c r="H2030" s="5">
        <v>84.11</v>
      </c>
      <c r="I2030" s="6">
        <v>1.4346429999999999</v>
      </c>
    </row>
    <row r="2031" spans="1:9" ht="60" x14ac:dyDescent="0.25">
      <c r="A2031" s="1" t="s">
        <v>120</v>
      </c>
      <c r="B2031" s="5">
        <v>0</v>
      </c>
      <c r="C2031" s="5">
        <v>0</v>
      </c>
      <c r="D2031" s="5">
        <v>0</v>
      </c>
      <c r="E2031" s="5">
        <v>0</v>
      </c>
      <c r="F2031" s="5">
        <v>0</v>
      </c>
      <c r="G2031" s="5">
        <v>0</v>
      </c>
      <c r="H2031" s="5">
        <v>0</v>
      </c>
      <c r="I2031" s="7" t="s">
        <v>58</v>
      </c>
    </row>
    <row r="2032" spans="1:9" ht="75" x14ac:dyDescent="0.25">
      <c r="A2032" s="1" t="s">
        <v>121</v>
      </c>
      <c r="B2032" s="5">
        <v>8.2100000000000009</v>
      </c>
      <c r="C2032" s="5">
        <v>8.9600000000000009</v>
      </c>
      <c r="D2032" s="5">
        <v>9.69</v>
      </c>
      <c r="E2032" s="5">
        <v>10.41</v>
      </c>
      <c r="F2032" s="5">
        <v>11.11</v>
      </c>
      <c r="G2032" s="5">
        <v>11.79</v>
      </c>
      <c r="H2032" s="5">
        <v>12.59</v>
      </c>
      <c r="I2032" s="6">
        <v>7.385859</v>
      </c>
    </row>
    <row r="2033" spans="1:9" ht="75" x14ac:dyDescent="0.25">
      <c r="A2033" s="1" t="s">
        <v>122</v>
      </c>
      <c r="B2033" s="5">
        <v>0</v>
      </c>
      <c r="C2033" s="5">
        <v>0</v>
      </c>
      <c r="D2033" s="5">
        <v>0</v>
      </c>
      <c r="E2033" s="5">
        <v>0</v>
      </c>
      <c r="F2033" s="5">
        <v>0</v>
      </c>
      <c r="G2033" s="5">
        <v>0</v>
      </c>
      <c r="H2033" s="5">
        <v>0</v>
      </c>
      <c r="I2033" s="7" t="s">
        <v>58</v>
      </c>
    </row>
    <row r="2034" spans="1:9" ht="60" x14ac:dyDescent="0.25">
      <c r="A2034" s="1" t="s">
        <v>123</v>
      </c>
      <c r="B2034" s="5">
        <v>0</v>
      </c>
      <c r="C2034" s="5">
        <v>0</v>
      </c>
      <c r="D2034" s="5">
        <v>0</v>
      </c>
      <c r="E2034" s="5">
        <v>0</v>
      </c>
      <c r="F2034" s="5">
        <v>0</v>
      </c>
      <c r="G2034" s="5">
        <v>0</v>
      </c>
      <c r="H2034" s="5">
        <v>0</v>
      </c>
      <c r="I2034" s="7" t="s">
        <v>58</v>
      </c>
    </row>
    <row r="2035" spans="1:9" ht="60" x14ac:dyDescent="0.25">
      <c r="A2035" s="1" t="s">
        <v>124</v>
      </c>
      <c r="B2035" s="5">
        <v>2.98</v>
      </c>
      <c r="C2035" s="5">
        <v>0.36</v>
      </c>
      <c r="D2035" s="5">
        <v>0</v>
      </c>
      <c r="E2035" s="5">
        <v>0</v>
      </c>
      <c r="F2035" s="5">
        <v>0</v>
      </c>
      <c r="G2035" s="5">
        <v>0</v>
      </c>
      <c r="H2035" s="5">
        <v>0</v>
      </c>
      <c r="I2035" s="6">
        <v>-100</v>
      </c>
    </row>
    <row r="2036" spans="1:9" ht="60" x14ac:dyDescent="0.25">
      <c r="A2036" s="1" t="s">
        <v>125</v>
      </c>
      <c r="B2036" s="5">
        <v>87.69</v>
      </c>
      <c r="C2036" s="5">
        <v>89.54</v>
      </c>
      <c r="D2036" s="5">
        <v>89.34</v>
      </c>
      <c r="E2036" s="5">
        <v>88.81</v>
      </c>
      <c r="F2036" s="5">
        <v>88.22</v>
      </c>
      <c r="G2036" s="5">
        <v>87.59</v>
      </c>
      <c r="H2036" s="5">
        <v>86.98</v>
      </c>
      <c r="I2036" s="6">
        <v>-0.135403</v>
      </c>
    </row>
    <row r="2037" spans="1:9" ht="60" x14ac:dyDescent="0.25">
      <c r="A2037" s="1" t="s">
        <v>126</v>
      </c>
      <c r="B2037" s="5">
        <v>0</v>
      </c>
      <c r="C2037" s="5">
        <v>0</v>
      </c>
      <c r="D2037" s="5">
        <v>0</v>
      </c>
      <c r="E2037" s="5">
        <v>0</v>
      </c>
      <c r="F2037" s="5">
        <v>0</v>
      </c>
      <c r="G2037" s="5">
        <v>0</v>
      </c>
      <c r="H2037" s="5">
        <v>0</v>
      </c>
      <c r="I2037" s="7" t="s">
        <v>58</v>
      </c>
    </row>
    <row r="2038" spans="1:9" ht="75" x14ac:dyDescent="0.25">
      <c r="A2038" s="1" t="s">
        <v>127</v>
      </c>
      <c r="B2038" s="5">
        <v>9.33</v>
      </c>
      <c r="C2038" s="5">
        <v>10.11</v>
      </c>
      <c r="D2038" s="5">
        <v>10.66</v>
      </c>
      <c r="E2038" s="5">
        <v>11.19</v>
      </c>
      <c r="F2038" s="5">
        <v>11.78</v>
      </c>
      <c r="G2038" s="5">
        <v>12.41</v>
      </c>
      <c r="H2038" s="5">
        <v>13.02</v>
      </c>
      <c r="I2038" s="6">
        <v>5.7113350000000001</v>
      </c>
    </row>
    <row r="2039" spans="1:9" ht="60" x14ac:dyDescent="0.25">
      <c r="A2039" s="1" t="s">
        <v>128</v>
      </c>
      <c r="B2039" s="5">
        <v>0</v>
      </c>
      <c r="C2039" s="5">
        <v>0</v>
      </c>
      <c r="D2039" s="5">
        <v>0</v>
      </c>
      <c r="E2039" s="5">
        <v>0</v>
      </c>
      <c r="F2039" s="5">
        <v>0</v>
      </c>
      <c r="G2039" s="5">
        <v>0</v>
      </c>
      <c r="H2039" s="5">
        <v>0</v>
      </c>
      <c r="I2039" s="7" t="s">
        <v>58</v>
      </c>
    </row>
    <row r="2040" spans="1:9" ht="45" x14ac:dyDescent="0.25">
      <c r="A2040" s="1" t="s">
        <v>129</v>
      </c>
      <c r="B2040" s="7" t="s">
        <v>58</v>
      </c>
      <c r="C2040" s="7" t="s">
        <v>58</v>
      </c>
      <c r="D2040" s="7" t="s">
        <v>58</v>
      </c>
      <c r="E2040" s="7" t="s">
        <v>58</v>
      </c>
      <c r="F2040" s="7" t="s">
        <v>58</v>
      </c>
      <c r="G2040" s="7" t="s">
        <v>58</v>
      </c>
      <c r="H2040" s="7" t="s">
        <v>58</v>
      </c>
      <c r="I2040" s="7" t="s">
        <v>58</v>
      </c>
    </row>
    <row r="2041" spans="1:9" ht="45" x14ac:dyDescent="0.25">
      <c r="A2041" s="1" t="s">
        <v>140</v>
      </c>
      <c r="B2041" s="7" t="s">
        <v>58</v>
      </c>
      <c r="C2041" s="7" t="s">
        <v>58</v>
      </c>
      <c r="D2041" s="7" t="s">
        <v>58</v>
      </c>
      <c r="E2041" s="7" t="s">
        <v>58</v>
      </c>
      <c r="F2041" s="7" t="s">
        <v>58</v>
      </c>
      <c r="G2041" s="7" t="s">
        <v>58</v>
      </c>
      <c r="H2041" s="7" t="s">
        <v>58</v>
      </c>
      <c r="I2041" s="7" t="s">
        <v>58</v>
      </c>
    </row>
    <row r="2042" spans="1:9" ht="45" x14ac:dyDescent="0.25">
      <c r="A2042" s="1" t="s">
        <v>141</v>
      </c>
      <c r="B2042" s="7" t="s">
        <v>58</v>
      </c>
      <c r="C2042" s="7" t="s">
        <v>58</v>
      </c>
      <c r="D2042" s="7" t="s">
        <v>58</v>
      </c>
      <c r="E2042" s="7" t="s">
        <v>58</v>
      </c>
      <c r="F2042" s="7" t="s">
        <v>58</v>
      </c>
      <c r="G2042" s="7" t="s">
        <v>58</v>
      </c>
      <c r="H2042" s="7" t="s">
        <v>58</v>
      </c>
      <c r="I2042" s="7" t="s">
        <v>58</v>
      </c>
    </row>
    <row r="2043" spans="1:9" ht="45" x14ac:dyDescent="0.25">
      <c r="A2043" s="1" t="s">
        <v>142</v>
      </c>
      <c r="B2043" s="7" t="s">
        <v>58</v>
      </c>
      <c r="C2043" s="7" t="s">
        <v>58</v>
      </c>
      <c r="D2043" s="7" t="s">
        <v>58</v>
      </c>
      <c r="E2043" s="7" t="s">
        <v>58</v>
      </c>
      <c r="F2043" s="7" t="s">
        <v>58</v>
      </c>
      <c r="G2043" s="7" t="s">
        <v>58</v>
      </c>
      <c r="H2043" s="7" t="s">
        <v>58</v>
      </c>
      <c r="I2043" s="7" t="s">
        <v>58</v>
      </c>
    </row>
    <row r="2044" spans="1:9" ht="60" x14ac:dyDescent="0.25">
      <c r="A2044" s="1" t="s">
        <v>133</v>
      </c>
      <c r="B2044" s="7" t="s">
        <v>58</v>
      </c>
      <c r="C2044" s="7" t="s">
        <v>58</v>
      </c>
      <c r="D2044" s="7" t="s">
        <v>58</v>
      </c>
      <c r="E2044" s="7" t="s">
        <v>58</v>
      </c>
      <c r="F2044" s="7" t="s">
        <v>58</v>
      </c>
      <c r="G2044" s="7" t="s">
        <v>58</v>
      </c>
      <c r="H2044" s="7" t="s">
        <v>58</v>
      </c>
      <c r="I2044" s="7" t="s">
        <v>58</v>
      </c>
    </row>
    <row r="2045" spans="1:9" ht="60" x14ac:dyDescent="0.25">
      <c r="A2045" s="1" t="s">
        <v>134</v>
      </c>
      <c r="B2045" s="7" t="s">
        <v>58</v>
      </c>
      <c r="C2045" s="7" t="s">
        <v>58</v>
      </c>
      <c r="D2045" s="7" t="s">
        <v>58</v>
      </c>
      <c r="E2045" s="7" t="s">
        <v>58</v>
      </c>
      <c r="F2045" s="7" t="s">
        <v>58</v>
      </c>
      <c r="G2045" s="7" t="s">
        <v>58</v>
      </c>
      <c r="H2045" s="7" t="s">
        <v>58</v>
      </c>
      <c r="I2045" s="7" t="s">
        <v>58</v>
      </c>
    </row>
    <row r="2046" spans="1:9" x14ac:dyDescent="0.25">
      <c r="A2046" s="1" t="s">
        <v>12</v>
      </c>
      <c r="B2046" s="2"/>
      <c r="C2046" s="2"/>
      <c r="D2046" s="2"/>
      <c r="E2046" s="2"/>
      <c r="F2046" s="2"/>
      <c r="G2046" s="2"/>
      <c r="H2046" s="2"/>
      <c r="I2046" s="2"/>
    </row>
    <row r="2047" spans="1:9" x14ac:dyDescent="0.25">
      <c r="A2047" s="8" t="s">
        <v>112</v>
      </c>
      <c r="B2047" s="2"/>
      <c r="C2047" s="2"/>
      <c r="D2047" s="2"/>
      <c r="E2047" s="2"/>
      <c r="F2047" s="2"/>
      <c r="G2047" s="2"/>
      <c r="H2047" s="2"/>
      <c r="I2047" s="2"/>
    </row>
    <row r="2048" spans="1:9" ht="60" x14ac:dyDescent="0.25">
      <c r="A2048" s="1" t="s">
        <v>13</v>
      </c>
      <c r="B2048" s="5">
        <v>89.59</v>
      </c>
      <c r="C2048" s="5">
        <v>90.92</v>
      </c>
      <c r="D2048" s="5">
        <v>92.48</v>
      </c>
      <c r="E2048" s="5">
        <v>93.98</v>
      </c>
      <c r="F2048" s="5">
        <v>95.56</v>
      </c>
      <c r="G2048" s="5">
        <v>97.68</v>
      </c>
      <c r="H2048" s="5">
        <v>98.88</v>
      </c>
      <c r="I2048" s="6">
        <v>1.657983</v>
      </c>
    </row>
    <row r="2049" spans="1:9" ht="60" x14ac:dyDescent="0.25">
      <c r="A2049" s="1" t="s">
        <v>117</v>
      </c>
      <c r="B2049" s="5">
        <v>55.37</v>
      </c>
      <c r="C2049" s="5">
        <v>53.79</v>
      </c>
      <c r="D2049" s="5">
        <v>52.33</v>
      </c>
      <c r="E2049" s="5">
        <v>51.01</v>
      </c>
      <c r="F2049" s="5">
        <v>49.9</v>
      </c>
      <c r="G2049" s="5">
        <v>49.16</v>
      </c>
      <c r="H2049" s="5">
        <v>48.66</v>
      </c>
      <c r="I2049" s="6">
        <v>-2.1299980000000001</v>
      </c>
    </row>
    <row r="2050" spans="1:9" ht="60" x14ac:dyDescent="0.25">
      <c r="A2050" s="1" t="s">
        <v>118</v>
      </c>
      <c r="B2050" s="5">
        <v>6.72</v>
      </c>
      <c r="C2050" s="5">
        <v>4.88</v>
      </c>
      <c r="D2050" s="5">
        <v>3.44</v>
      </c>
      <c r="E2050" s="5">
        <v>2.61</v>
      </c>
      <c r="F2050" s="5">
        <v>1.9</v>
      </c>
      <c r="G2050" s="5">
        <v>1.35</v>
      </c>
      <c r="H2050" s="5">
        <v>0.99</v>
      </c>
      <c r="I2050" s="6">
        <v>-27.326236000000002</v>
      </c>
    </row>
    <row r="2051" spans="1:9" ht="60" x14ac:dyDescent="0.25">
      <c r="A2051" s="1" t="s">
        <v>119</v>
      </c>
      <c r="B2051" s="7" t="s">
        <v>58</v>
      </c>
      <c r="C2051" s="7" t="s">
        <v>58</v>
      </c>
      <c r="D2051" s="7" t="s">
        <v>58</v>
      </c>
      <c r="E2051" s="7" t="s">
        <v>58</v>
      </c>
      <c r="F2051" s="7" t="s">
        <v>58</v>
      </c>
      <c r="G2051" s="7" t="s">
        <v>58</v>
      </c>
      <c r="H2051" s="7" t="s">
        <v>58</v>
      </c>
      <c r="I2051" s="7" t="s">
        <v>58</v>
      </c>
    </row>
    <row r="2052" spans="1:9" ht="60" x14ac:dyDescent="0.25">
      <c r="A2052" s="1" t="s">
        <v>120</v>
      </c>
      <c r="B2052" s="5">
        <v>1.59</v>
      </c>
      <c r="C2052" s="5">
        <v>2.19</v>
      </c>
      <c r="D2052" s="5">
        <v>2.96</v>
      </c>
      <c r="E2052" s="5">
        <v>3.48</v>
      </c>
      <c r="F2052" s="5">
        <v>4.01</v>
      </c>
      <c r="G2052" s="5">
        <v>4.6399999999999997</v>
      </c>
      <c r="H2052" s="5">
        <v>5.18</v>
      </c>
      <c r="I2052" s="6">
        <v>21.755552000000002</v>
      </c>
    </row>
    <row r="2053" spans="1:9" ht="75" x14ac:dyDescent="0.25">
      <c r="A2053" s="1" t="s">
        <v>121</v>
      </c>
      <c r="B2053" s="5">
        <v>8.56</v>
      </c>
      <c r="C2053" s="5">
        <v>10.92</v>
      </c>
      <c r="D2053" s="5">
        <v>13.04</v>
      </c>
      <c r="E2053" s="5">
        <v>14.85</v>
      </c>
      <c r="F2053" s="5">
        <v>16.54</v>
      </c>
      <c r="G2053" s="5">
        <v>18.329999999999998</v>
      </c>
      <c r="H2053" s="5">
        <v>19.03</v>
      </c>
      <c r="I2053" s="6">
        <v>14.242449000000001</v>
      </c>
    </row>
    <row r="2054" spans="1:9" ht="75" x14ac:dyDescent="0.25">
      <c r="A2054" s="1" t="s">
        <v>122</v>
      </c>
      <c r="B2054" s="7" t="s">
        <v>58</v>
      </c>
      <c r="C2054" s="7" t="s">
        <v>58</v>
      </c>
      <c r="D2054" s="7" t="s">
        <v>58</v>
      </c>
      <c r="E2054" s="7" t="s">
        <v>58</v>
      </c>
      <c r="F2054" s="7" t="s">
        <v>58</v>
      </c>
      <c r="G2054" s="7" t="s">
        <v>58</v>
      </c>
      <c r="H2054" s="7" t="s">
        <v>58</v>
      </c>
      <c r="I2054" s="7" t="s">
        <v>58</v>
      </c>
    </row>
    <row r="2055" spans="1:9" ht="60" x14ac:dyDescent="0.25">
      <c r="A2055" s="1" t="s">
        <v>123</v>
      </c>
      <c r="B2055" s="5">
        <v>61.8</v>
      </c>
      <c r="C2055" s="5">
        <v>59.16</v>
      </c>
      <c r="D2055" s="5">
        <v>56.58</v>
      </c>
      <c r="E2055" s="5">
        <v>54.28</v>
      </c>
      <c r="F2055" s="5">
        <v>52.22</v>
      </c>
      <c r="G2055" s="5">
        <v>50.33</v>
      </c>
      <c r="H2055" s="5">
        <v>49.21</v>
      </c>
      <c r="I2055" s="6">
        <v>-3.7256010000000002</v>
      </c>
    </row>
    <row r="2056" spans="1:9" ht="60" x14ac:dyDescent="0.25">
      <c r="A2056" s="1" t="s">
        <v>124</v>
      </c>
      <c r="B2056" s="5">
        <v>7.5</v>
      </c>
      <c r="C2056" s="5">
        <v>5.37</v>
      </c>
      <c r="D2056" s="5">
        <v>3.72</v>
      </c>
      <c r="E2056" s="5">
        <v>2.78</v>
      </c>
      <c r="F2056" s="5">
        <v>1.99</v>
      </c>
      <c r="G2056" s="5">
        <v>1.38</v>
      </c>
      <c r="H2056" s="5">
        <v>1</v>
      </c>
      <c r="I2056" s="6">
        <v>-28.524622999999998</v>
      </c>
    </row>
    <row r="2057" spans="1:9" ht="60" x14ac:dyDescent="0.25">
      <c r="A2057" s="1" t="s">
        <v>125</v>
      </c>
      <c r="B2057" s="7" t="s">
        <v>58</v>
      </c>
      <c r="C2057" s="7" t="s">
        <v>58</v>
      </c>
      <c r="D2057" s="7" t="s">
        <v>58</v>
      </c>
      <c r="E2057" s="7" t="s">
        <v>58</v>
      </c>
      <c r="F2057" s="7" t="s">
        <v>58</v>
      </c>
      <c r="G2057" s="7" t="s">
        <v>58</v>
      </c>
      <c r="H2057" s="7" t="s">
        <v>58</v>
      </c>
      <c r="I2057" s="7" t="s">
        <v>58</v>
      </c>
    </row>
    <row r="2058" spans="1:9" ht="60" x14ac:dyDescent="0.25">
      <c r="A2058" s="1" t="s">
        <v>126</v>
      </c>
      <c r="B2058" s="5">
        <v>1.77</v>
      </c>
      <c r="C2058" s="5">
        <v>2.41</v>
      </c>
      <c r="D2058" s="5">
        <v>3.2</v>
      </c>
      <c r="E2058" s="5">
        <v>3.7</v>
      </c>
      <c r="F2058" s="5">
        <v>4.2</v>
      </c>
      <c r="G2058" s="5">
        <v>4.75</v>
      </c>
      <c r="H2058" s="5">
        <v>5.24</v>
      </c>
      <c r="I2058" s="6">
        <v>19.828375000000001</v>
      </c>
    </row>
    <row r="2059" spans="1:9" ht="75" x14ac:dyDescent="0.25">
      <c r="A2059" s="1" t="s">
        <v>127</v>
      </c>
      <c r="B2059" s="5">
        <v>9.5500000000000007</v>
      </c>
      <c r="C2059" s="5">
        <v>12.01</v>
      </c>
      <c r="D2059" s="5">
        <v>14.1</v>
      </c>
      <c r="E2059" s="5">
        <v>15.8</v>
      </c>
      <c r="F2059" s="5">
        <v>17.309999999999999</v>
      </c>
      <c r="G2059" s="5">
        <v>18.760000000000002</v>
      </c>
      <c r="H2059" s="5">
        <v>19.25</v>
      </c>
      <c r="I2059" s="6">
        <v>12.392645</v>
      </c>
    </row>
    <row r="2060" spans="1:9" ht="60" x14ac:dyDescent="0.25">
      <c r="A2060" s="1" t="s">
        <v>128</v>
      </c>
      <c r="B2060" s="7" t="s">
        <v>58</v>
      </c>
      <c r="C2060" s="7" t="s">
        <v>58</v>
      </c>
      <c r="D2060" s="7" t="s">
        <v>58</v>
      </c>
      <c r="E2060" s="7" t="s">
        <v>58</v>
      </c>
      <c r="F2060" s="7" t="s">
        <v>58</v>
      </c>
      <c r="G2060" s="7" t="s">
        <v>58</v>
      </c>
      <c r="H2060" s="7" t="s">
        <v>58</v>
      </c>
      <c r="I2060" s="7" t="s">
        <v>58</v>
      </c>
    </row>
    <row r="2061" spans="1:9" ht="45" x14ac:dyDescent="0.25">
      <c r="A2061" s="1" t="s">
        <v>129</v>
      </c>
      <c r="B2061" s="5">
        <v>66.31</v>
      </c>
      <c r="C2061" s="5">
        <v>66.569999999999993</v>
      </c>
      <c r="D2061" s="5">
        <v>66.349999999999994</v>
      </c>
      <c r="E2061" s="5">
        <v>66.650000000000006</v>
      </c>
      <c r="F2061" s="5">
        <v>67.47</v>
      </c>
      <c r="G2061" s="5">
        <v>68.62</v>
      </c>
      <c r="H2061" s="5">
        <v>69.77</v>
      </c>
      <c r="I2061" s="6">
        <v>0.85132672573036139</v>
      </c>
    </row>
    <row r="2062" spans="1:9" ht="45" x14ac:dyDescent="0.25">
      <c r="A2062" s="1" t="s">
        <v>140</v>
      </c>
      <c r="B2062" s="5">
        <v>45.49</v>
      </c>
      <c r="C2062" s="5">
        <v>43.87</v>
      </c>
      <c r="D2062" s="5">
        <v>41.14</v>
      </c>
      <c r="E2062" s="5">
        <v>39.01</v>
      </c>
      <c r="F2062" s="5">
        <v>37.51</v>
      </c>
      <c r="G2062" s="5">
        <v>36.47</v>
      </c>
      <c r="H2062" s="5">
        <v>35.76</v>
      </c>
      <c r="I2062" s="6">
        <v>-3.9316650000000002</v>
      </c>
    </row>
    <row r="2063" spans="1:9" ht="45" x14ac:dyDescent="0.25">
      <c r="A2063" s="1" t="s">
        <v>141</v>
      </c>
      <c r="B2063" s="7" t="s">
        <v>58</v>
      </c>
      <c r="C2063" s="7" t="s">
        <v>58</v>
      </c>
      <c r="D2063" s="7" t="s">
        <v>58</v>
      </c>
      <c r="E2063" s="7" t="s">
        <v>58</v>
      </c>
      <c r="F2063" s="7" t="s">
        <v>58</v>
      </c>
      <c r="G2063" s="7" t="s">
        <v>58</v>
      </c>
      <c r="H2063" s="7" t="s">
        <v>58</v>
      </c>
      <c r="I2063" s="7" t="s">
        <v>58</v>
      </c>
    </row>
    <row r="2064" spans="1:9" ht="45" x14ac:dyDescent="0.25">
      <c r="A2064" s="1" t="s">
        <v>142</v>
      </c>
      <c r="B2064" s="7" t="s">
        <v>58</v>
      </c>
      <c r="C2064" s="7" t="s">
        <v>58</v>
      </c>
      <c r="D2064" s="7" t="s">
        <v>58</v>
      </c>
      <c r="E2064" s="7" t="s">
        <v>58</v>
      </c>
      <c r="F2064" s="7" t="s">
        <v>58</v>
      </c>
      <c r="G2064" s="7" t="s">
        <v>58</v>
      </c>
      <c r="H2064" s="7" t="s">
        <v>58</v>
      </c>
      <c r="I2064" s="7" t="s">
        <v>58</v>
      </c>
    </row>
    <row r="2065" spans="1:9" ht="60" x14ac:dyDescent="0.25">
      <c r="A2065" s="1" t="s">
        <v>133</v>
      </c>
      <c r="B2065" s="7" t="s">
        <v>58</v>
      </c>
      <c r="C2065" s="7" t="s">
        <v>58</v>
      </c>
      <c r="D2065" s="7" t="s">
        <v>58</v>
      </c>
      <c r="E2065" s="7" t="s">
        <v>58</v>
      </c>
      <c r="F2065" s="7" t="s">
        <v>58</v>
      </c>
      <c r="G2065" s="7" t="s">
        <v>58</v>
      </c>
      <c r="H2065" s="7" t="s">
        <v>58</v>
      </c>
      <c r="I2065" s="7" t="s">
        <v>58</v>
      </c>
    </row>
    <row r="2066" spans="1:9" ht="60" x14ac:dyDescent="0.25">
      <c r="A2066" s="1" t="s">
        <v>134</v>
      </c>
      <c r="B2066" s="7" t="s">
        <v>58</v>
      </c>
      <c r="C2066" s="7" t="s">
        <v>58</v>
      </c>
      <c r="D2066" s="7" t="s">
        <v>58</v>
      </c>
      <c r="E2066" s="7" t="s">
        <v>58</v>
      </c>
      <c r="F2066" s="7" t="s">
        <v>58</v>
      </c>
      <c r="G2066" s="7" t="s">
        <v>58</v>
      </c>
      <c r="H2066" s="7" t="s">
        <v>58</v>
      </c>
      <c r="I2066" s="7" t="s">
        <v>58</v>
      </c>
    </row>
    <row r="2067" spans="1:9" x14ac:dyDescent="0.25">
      <c r="A2067" s="1" t="s">
        <v>12</v>
      </c>
      <c r="B2067" s="2"/>
      <c r="C2067" s="2"/>
      <c r="D2067" s="2"/>
      <c r="E2067" s="2"/>
      <c r="F2067" s="2"/>
      <c r="G2067" s="2"/>
      <c r="H2067" s="2"/>
      <c r="I2067" s="2"/>
    </row>
    <row r="2068" spans="1:9" x14ac:dyDescent="0.25">
      <c r="A2068" s="8" t="s">
        <v>113</v>
      </c>
      <c r="B2068" s="2"/>
      <c r="C2068" s="2"/>
      <c r="D2068" s="2"/>
      <c r="E2068" s="2"/>
      <c r="F2068" s="2"/>
      <c r="G2068" s="2"/>
      <c r="H2068" s="2"/>
      <c r="I2068" s="2"/>
    </row>
    <row r="2069" spans="1:9" ht="60" x14ac:dyDescent="0.25">
      <c r="A2069" s="1" t="s">
        <v>13</v>
      </c>
      <c r="B2069" s="5">
        <v>30.15</v>
      </c>
      <c r="C2069" s="5">
        <v>28.45</v>
      </c>
      <c r="D2069" s="5">
        <v>27.1</v>
      </c>
      <c r="E2069" s="5">
        <v>25.95</v>
      </c>
      <c r="F2069" s="5">
        <v>24.98</v>
      </c>
      <c r="G2069" s="5">
        <v>24.13</v>
      </c>
      <c r="H2069" s="5">
        <v>23.39</v>
      </c>
      <c r="I2069" s="6">
        <v>-4.1430030000000002</v>
      </c>
    </row>
    <row r="2070" spans="1:9" ht="60" x14ac:dyDescent="0.25">
      <c r="A2070" s="1" t="s">
        <v>117</v>
      </c>
      <c r="B2070" s="5">
        <v>6.18</v>
      </c>
      <c r="C2070" s="5">
        <v>7.01</v>
      </c>
      <c r="D2070" s="5">
        <v>7.91</v>
      </c>
      <c r="E2070" s="5">
        <v>8.75</v>
      </c>
      <c r="F2070" s="5">
        <v>9.5299999999999994</v>
      </c>
      <c r="G2070" s="5">
        <v>10.24</v>
      </c>
      <c r="H2070" s="5">
        <v>10.87</v>
      </c>
      <c r="I2070" s="6">
        <v>9.8685799999999997</v>
      </c>
    </row>
    <row r="2071" spans="1:9" ht="60" x14ac:dyDescent="0.25">
      <c r="A2071" s="1" t="s">
        <v>118</v>
      </c>
      <c r="B2071" s="5">
        <v>22.65</v>
      </c>
      <c r="C2071" s="5">
        <v>20.09</v>
      </c>
      <c r="D2071" s="5">
        <v>17.82</v>
      </c>
      <c r="E2071" s="5">
        <v>15.81</v>
      </c>
      <c r="F2071" s="5">
        <v>14.02</v>
      </c>
      <c r="G2071" s="5">
        <v>12.43</v>
      </c>
      <c r="H2071" s="5">
        <v>11.02</v>
      </c>
      <c r="I2071" s="6">
        <v>-11.314579</v>
      </c>
    </row>
    <row r="2072" spans="1:9" ht="60" x14ac:dyDescent="0.25">
      <c r="A2072" s="1" t="s">
        <v>119</v>
      </c>
      <c r="B2072" s="5">
        <v>0.66</v>
      </c>
      <c r="C2072" s="5">
        <v>0.69</v>
      </c>
      <c r="D2072" s="5">
        <v>0.71</v>
      </c>
      <c r="E2072" s="5">
        <v>0.74</v>
      </c>
      <c r="F2072" s="5">
        <v>0.77</v>
      </c>
      <c r="G2072" s="5">
        <v>0.8</v>
      </c>
      <c r="H2072" s="5">
        <v>0.83</v>
      </c>
      <c r="I2072" s="6">
        <v>3.8936549999999999</v>
      </c>
    </row>
    <row r="2073" spans="1:9" ht="60" x14ac:dyDescent="0.25">
      <c r="A2073" s="1" t="s">
        <v>120</v>
      </c>
      <c r="B2073" s="5">
        <v>0.05</v>
      </c>
      <c r="C2073" s="5">
        <v>0.05</v>
      </c>
      <c r="D2073" s="5">
        <v>0.05</v>
      </c>
      <c r="E2073" s="5">
        <v>0.05</v>
      </c>
      <c r="F2073" s="5">
        <v>0.05</v>
      </c>
      <c r="G2073" s="5">
        <v>0.05</v>
      </c>
      <c r="H2073" s="5">
        <v>0.05</v>
      </c>
      <c r="I2073" s="6">
        <v>0</v>
      </c>
    </row>
    <row r="2074" spans="1:9" ht="75" x14ac:dyDescent="0.25">
      <c r="A2074" s="1" t="s">
        <v>121</v>
      </c>
      <c r="B2074" s="5">
        <v>0.4</v>
      </c>
      <c r="C2074" s="5">
        <v>0.4</v>
      </c>
      <c r="D2074" s="5">
        <v>0.4</v>
      </c>
      <c r="E2074" s="5">
        <v>0.4</v>
      </c>
      <c r="F2074" s="5">
        <v>0.4</v>
      </c>
      <c r="G2074" s="5">
        <v>0.4</v>
      </c>
      <c r="H2074" s="5">
        <v>0.4</v>
      </c>
      <c r="I2074" s="6">
        <v>0</v>
      </c>
    </row>
    <row r="2075" spans="1:9" ht="75" x14ac:dyDescent="0.25">
      <c r="A2075" s="1" t="s">
        <v>122</v>
      </c>
      <c r="B2075" s="5">
        <v>0.21</v>
      </c>
      <c r="C2075" s="5">
        <v>0.21</v>
      </c>
      <c r="D2075" s="5">
        <v>0.21</v>
      </c>
      <c r="E2075" s="5">
        <v>0.21</v>
      </c>
      <c r="F2075" s="5">
        <v>0.22</v>
      </c>
      <c r="G2075" s="5">
        <v>0.22</v>
      </c>
      <c r="H2075" s="5">
        <v>0.22</v>
      </c>
      <c r="I2075" s="6">
        <v>0.77834700000000001</v>
      </c>
    </row>
    <row r="2076" spans="1:9" ht="60" x14ac:dyDescent="0.25">
      <c r="A2076" s="1" t="s">
        <v>123</v>
      </c>
      <c r="B2076" s="5">
        <v>20.5</v>
      </c>
      <c r="C2076" s="5">
        <v>24.65</v>
      </c>
      <c r="D2076" s="5">
        <v>29.18</v>
      </c>
      <c r="E2076" s="5">
        <v>33.71</v>
      </c>
      <c r="F2076" s="5">
        <v>38.159999999999997</v>
      </c>
      <c r="G2076" s="5">
        <v>42.44</v>
      </c>
      <c r="H2076" s="5">
        <v>46.5</v>
      </c>
      <c r="I2076" s="6">
        <v>14.626011999999999</v>
      </c>
    </row>
    <row r="2077" spans="1:9" ht="60" x14ac:dyDescent="0.25">
      <c r="A2077" s="1" t="s">
        <v>124</v>
      </c>
      <c r="B2077" s="5">
        <v>75.13</v>
      </c>
      <c r="C2077" s="5">
        <v>70.63</v>
      </c>
      <c r="D2077" s="5">
        <v>65.77</v>
      </c>
      <c r="E2077" s="5">
        <v>60.9</v>
      </c>
      <c r="F2077" s="5">
        <v>56.11</v>
      </c>
      <c r="G2077" s="5">
        <v>51.5</v>
      </c>
      <c r="H2077" s="5">
        <v>47.11</v>
      </c>
      <c r="I2077" s="6">
        <v>-7.4840489999999997</v>
      </c>
    </row>
    <row r="2078" spans="1:9" ht="60" x14ac:dyDescent="0.25">
      <c r="A2078" s="1" t="s">
        <v>125</v>
      </c>
      <c r="B2078" s="5">
        <v>2.19</v>
      </c>
      <c r="C2078" s="5">
        <v>2.41</v>
      </c>
      <c r="D2078" s="5">
        <v>2.63</v>
      </c>
      <c r="E2078" s="5">
        <v>2.86</v>
      </c>
      <c r="F2078" s="5">
        <v>3.08</v>
      </c>
      <c r="G2078" s="5">
        <v>3.32</v>
      </c>
      <c r="H2078" s="5">
        <v>3.57</v>
      </c>
      <c r="I2078" s="6">
        <v>8.4852469999999993</v>
      </c>
    </row>
    <row r="2079" spans="1:9" ht="60" x14ac:dyDescent="0.25">
      <c r="A2079" s="1" t="s">
        <v>126</v>
      </c>
      <c r="B2079" s="5">
        <v>0.16</v>
      </c>
      <c r="C2079" s="5">
        <v>0.17</v>
      </c>
      <c r="D2079" s="5">
        <v>0.18</v>
      </c>
      <c r="E2079" s="5">
        <v>0.18</v>
      </c>
      <c r="F2079" s="5">
        <v>0.19</v>
      </c>
      <c r="G2079" s="5">
        <v>0.2</v>
      </c>
      <c r="H2079" s="5">
        <v>0.2</v>
      </c>
      <c r="I2079" s="6">
        <v>3.7890820000000001</v>
      </c>
    </row>
    <row r="2080" spans="1:9" ht="75" x14ac:dyDescent="0.25">
      <c r="A2080" s="1" t="s">
        <v>127</v>
      </c>
      <c r="B2080" s="5">
        <v>1.31</v>
      </c>
      <c r="C2080" s="5">
        <v>1.39</v>
      </c>
      <c r="D2080" s="5">
        <v>1.46</v>
      </c>
      <c r="E2080" s="5">
        <v>1.52</v>
      </c>
      <c r="F2080" s="5">
        <v>1.58</v>
      </c>
      <c r="G2080" s="5">
        <v>1.64</v>
      </c>
      <c r="H2080" s="5">
        <v>1.69</v>
      </c>
      <c r="I2080" s="6">
        <v>4.3364130000000003</v>
      </c>
    </row>
    <row r="2081" spans="1:9" ht="60" x14ac:dyDescent="0.25">
      <c r="A2081" s="1" t="s">
        <v>128</v>
      </c>
      <c r="B2081" s="5">
        <v>0.7</v>
      </c>
      <c r="C2081" s="5">
        <v>0.75</v>
      </c>
      <c r="D2081" s="5">
        <v>0.79</v>
      </c>
      <c r="E2081" s="5">
        <v>0.83</v>
      </c>
      <c r="F2081" s="5">
        <v>0.86</v>
      </c>
      <c r="G2081" s="5">
        <v>0.9</v>
      </c>
      <c r="H2081" s="5">
        <v>0.93</v>
      </c>
      <c r="I2081" s="6">
        <v>4.8489659999999999</v>
      </c>
    </row>
    <row r="2082" spans="1:9" ht="45" x14ac:dyDescent="0.25">
      <c r="A2082" s="1" t="s">
        <v>129</v>
      </c>
      <c r="B2082" s="7" t="s">
        <v>58</v>
      </c>
      <c r="C2082" s="7" t="s">
        <v>58</v>
      </c>
      <c r="D2082" s="7" t="s">
        <v>58</v>
      </c>
      <c r="E2082" s="7" t="s">
        <v>58</v>
      </c>
      <c r="F2082" s="7" t="s">
        <v>58</v>
      </c>
      <c r="G2082" s="7" t="s">
        <v>58</v>
      </c>
      <c r="H2082" s="7" t="s">
        <v>58</v>
      </c>
      <c r="I2082" s="7" t="s">
        <v>58</v>
      </c>
    </row>
    <row r="2083" spans="1:9" ht="45" x14ac:dyDescent="0.25">
      <c r="A2083" s="1" t="s">
        <v>140</v>
      </c>
      <c r="B2083" s="7" t="s">
        <v>58</v>
      </c>
      <c r="C2083" s="7" t="s">
        <v>58</v>
      </c>
      <c r="D2083" s="7" t="s">
        <v>58</v>
      </c>
      <c r="E2083" s="7" t="s">
        <v>58</v>
      </c>
      <c r="F2083" s="7" t="s">
        <v>58</v>
      </c>
      <c r="G2083" s="7" t="s">
        <v>58</v>
      </c>
      <c r="H2083" s="7" t="s">
        <v>58</v>
      </c>
      <c r="I2083" s="7" t="s">
        <v>58</v>
      </c>
    </row>
    <row r="2084" spans="1:9" ht="45" x14ac:dyDescent="0.25">
      <c r="A2084" s="1" t="s">
        <v>141</v>
      </c>
      <c r="B2084" s="7" t="s">
        <v>58</v>
      </c>
      <c r="C2084" s="7" t="s">
        <v>58</v>
      </c>
      <c r="D2084" s="7" t="s">
        <v>58</v>
      </c>
      <c r="E2084" s="7" t="s">
        <v>58</v>
      </c>
      <c r="F2084" s="7" t="s">
        <v>58</v>
      </c>
      <c r="G2084" s="7" t="s">
        <v>58</v>
      </c>
      <c r="H2084" s="7" t="s">
        <v>58</v>
      </c>
      <c r="I2084" s="7" t="s">
        <v>58</v>
      </c>
    </row>
    <row r="2085" spans="1:9" ht="45" x14ac:dyDescent="0.25">
      <c r="A2085" s="1" t="s">
        <v>142</v>
      </c>
      <c r="B2085" s="7" t="s">
        <v>58</v>
      </c>
      <c r="C2085" s="7" t="s">
        <v>58</v>
      </c>
      <c r="D2085" s="7" t="s">
        <v>58</v>
      </c>
      <c r="E2085" s="7" t="s">
        <v>58</v>
      </c>
      <c r="F2085" s="7" t="s">
        <v>58</v>
      </c>
      <c r="G2085" s="7" t="s">
        <v>58</v>
      </c>
      <c r="H2085" s="7" t="s">
        <v>58</v>
      </c>
      <c r="I2085" s="7" t="s">
        <v>58</v>
      </c>
    </row>
    <row r="2086" spans="1:9" ht="60" x14ac:dyDescent="0.25">
      <c r="A2086" s="1" t="s">
        <v>133</v>
      </c>
      <c r="B2086" s="7" t="s">
        <v>58</v>
      </c>
      <c r="C2086" s="7" t="s">
        <v>58</v>
      </c>
      <c r="D2086" s="7" t="s">
        <v>58</v>
      </c>
      <c r="E2086" s="7" t="s">
        <v>58</v>
      </c>
      <c r="F2086" s="7" t="s">
        <v>58</v>
      </c>
      <c r="G2086" s="7" t="s">
        <v>58</v>
      </c>
      <c r="H2086" s="7" t="s">
        <v>58</v>
      </c>
      <c r="I2086" s="7" t="s">
        <v>58</v>
      </c>
    </row>
    <row r="2087" spans="1:9" ht="60" x14ac:dyDescent="0.25">
      <c r="A2087" s="1" t="s">
        <v>134</v>
      </c>
      <c r="B2087" s="7" t="s">
        <v>58</v>
      </c>
      <c r="C2087" s="7" t="s">
        <v>58</v>
      </c>
      <c r="D2087" s="7" t="s">
        <v>58</v>
      </c>
      <c r="E2087" s="7" t="s">
        <v>58</v>
      </c>
      <c r="F2087" s="7" t="s">
        <v>58</v>
      </c>
      <c r="G2087" s="7" t="s">
        <v>58</v>
      </c>
      <c r="H2087" s="7" t="s">
        <v>58</v>
      </c>
      <c r="I2087" s="7" t="s">
        <v>58</v>
      </c>
    </row>
    <row r="2088" spans="1:9" x14ac:dyDescent="0.25">
      <c r="A2088" s="1" t="s">
        <v>12</v>
      </c>
      <c r="B2088" s="2"/>
      <c r="C2088" s="2"/>
      <c r="D2088" s="2"/>
      <c r="E2088" s="2"/>
      <c r="F2088" s="2"/>
      <c r="G2088" s="2"/>
      <c r="H2088" s="2"/>
      <c r="I2088" s="2"/>
    </row>
    <row r="2089" spans="1:9" x14ac:dyDescent="0.25">
      <c r="A2089" s="8" t="s">
        <v>114</v>
      </c>
      <c r="B2089" s="2"/>
      <c r="C2089" s="2"/>
      <c r="D2089" s="2"/>
      <c r="E2089" s="2"/>
      <c r="F2089" s="2"/>
      <c r="G2089" s="2"/>
      <c r="H2089" s="2"/>
      <c r="I2089" s="2"/>
    </row>
    <row r="2090" spans="1:9" ht="60" x14ac:dyDescent="0.25">
      <c r="A2090" s="1" t="s">
        <v>13</v>
      </c>
      <c r="B2090" s="5">
        <v>83.39</v>
      </c>
      <c r="C2090" s="5">
        <v>83.68</v>
      </c>
      <c r="D2090" s="5">
        <v>84.02</v>
      </c>
      <c r="E2090" s="5">
        <v>84.65</v>
      </c>
      <c r="F2090" s="5">
        <v>85.08</v>
      </c>
      <c r="G2090" s="5">
        <v>85.43</v>
      </c>
      <c r="H2090" s="5">
        <v>86.09</v>
      </c>
      <c r="I2090" s="6">
        <v>0.53249400000000002</v>
      </c>
    </row>
    <row r="2091" spans="1:9" ht="60" x14ac:dyDescent="0.25">
      <c r="A2091" s="1" t="s">
        <v>117</v>
      </c>
      <c r="B2091" s="5">
        <v>2.46</v>
      </c>
      <c r="C2091" s="5">
        <v>2.33</v>
      </c>
      <c r="D2091" s="5">
        <v>2.21</v>
      </c>
      <c r="E2091" s="5">
        <v>2.12</v>
      </c>
      <c r="F2091" s="5">
        <v>2.0299999999999998</v>
      </c>
      <c r="G2091" s="5">
        <v>1.95</v>
      </c>
      <c r="H2091" s="5">
        <v>1.88</v>
      </c>
      <c r="I2091" s="6">
        <v>-4.3825570000000003</v>
      </c>
    </row>
    <row r="2092" spans="1:9" ht="60" x14ac:dyDescent="0.25">
      <c r="A2092" s="1" t="s">
        <v>118</v>
      </c>
      <c r="B2092" s="5">
        <v>0.1</v>
      </c>
      <c r="C2092" s="5">
        <v>7.0000000000000007E-2</v>
      </c>
      <c r="D2092" s="5">
        <v>0.05</v>
      </c>
      <c r="E2092" s="5">
        <v>0.03</v>
      </c>
      <c r="F2092" s="5">
        <v>0.02</v>
      </c>
      <c r="G2092" s="5">
        <v>0.01</v>
      </c>
      <c r="H2092" s="5">
        <v>0.01</v>
      </c>
      <c r="I2092" s="6">
        <v>-31.870792999999999</v>
      </c>
    </row>
    <row r="2093" spans="1:9" ht="60" x14ac:dyDescent="0.25">
      <c r="A2093" s="1" t="s">
        <v>119</v>
      </c>
      <c r="B2093" s="5">
        <v>80.739999999999995</v>
      </c>
      <c r="C2093" s="5">
        <v>81.180000000000007</v>
      </c>
      <c r="D2093" s="5">
        <v>81.650000000000006</v>
      </c>
      <c r="E2093" s="5">
        <v>82.39</v>
      </c>
      <c r="F2093" s="5">
        <v>82.92</v>
      </c>
      <c r="G2093" s="5">
        <v>83.35</v>
      </c>
      <c r="H2093" s="5">
        <v>84.08</v>
      </c>
      <c r="I2093" s="6">
        <v>0.67786400000000002</v>
      </c>
    </row>
    <row r="2094" spans="1:9" ht="60" x14ac:dyDescent="0.25">
      <c r="A2094" s="1" t="s">
        <v>120</v>
      </c>
      <c r="B2094" s="5">
        <v>0</v>
      </c>
      <c r="C2094" s="5">
        <v>0</v>
      </c>
      <c r="D2094" s="5">
        <v>0</v>
      </c>
      <c r="E2094" s="5">
        <v>0</v>
      </c>
      <c r="F2094" s="5">
        <v>0</v>
      </c>
      <c r="G2094" s="5">
        <v>0</v>
      </c>
      <c r="H2094" s="5">
        <v>0</v>
      </c>
      <c r="I2094" s="7" t="s">
        <v>58</v>
      </c>
    </row>
    <row r="2095" spans="1:9" ht="75" x14ac:dyDescent="0.25">
      <c r="A2095" s="1" t="s">
        <v>121</v>
      </c>
      <c r="B2095" s="5">
        <v>0</v>
      </c>
      <c r="C2095" s="5">
        <v>0</v>
      </c>
      <c r="D2095" s="5">
        <v>0</v>
      </c>
      <c r="E2095" s="5">
        <v>0</v>
      </c>
      <c r="F2095" s="5">
        <v>0</v>
      </c>
      <c r="G2095" s="5">
        <v>0</v>
      </c>
      <c r="H2095" s="5">
        <v>0</v>
      </c>
      <c r="I2095" s="7" t="s">
        <v>58</v>
      </c>
    </row>
    <row r="2096" spans="1:9" ht="75" x14ac:dyDescent="0.25">
      <c r="A2096" s="1" t="s">
        <v>122</v>
      </c>
      <c r="B2096" s="5">
        <v>0.09</v>
      </c>
      <c r="C2096" s="5">
        <v>0.1</v>
      </c>
      <c r="D2096" s="5">
        <v>0.1</v>
      </c>
      <c r="E2096" s="5">
        <v>0.11</v>
      </c>
      <c r="F2096" s="5">
        <v>0.11</v>
      </c>
      <c r="G2096" s="5">
        <v>0.12</v>
      </c>
      <c r="H2096" s="5">
        <v>0.12</v>
      </c>
      <c r="I2096" s="6">
        <v>4.9115060000000001</v>
      </c>
    </row>
    <row r="2097" spans="1:9" ht="60" x14ac:dyDescent="0.25">
      <c r="A2097" s="1" t="s">
        <v>123</v>
      </c>
      <c r="B2097" s="5">
        <v>2.94</v>
      </c>
      <c r="C2097" s="5">
        <v>2.78</v>
      </c>
      <c r="D2097" s="5">
        <v>2.64</v>
      </c>
      <c r="E2097" s="5">
        <v>2.5</v>
      </c>
      <c r="F2097" s="5">
        <v>2.38</v>
      </c>
      <c r="G2097" s="5">
        <v>2.2799999999999998</v>
      </c>
      <c r="H2097" s="5">
        <v>2.1800000000000002</v>
      </c>
      <c r="I2097" s="6">
        <v>-4.862546</v>
      </c>
    </row>
    <row r="2098" spans="1:9" ht="60" x14ac:dyDescent="0.25">
      <c r="A2098" s="1" t="s">
        <v>124</v>
      </c>
      <c r="B2098" s="5">
        <v>0.12</v>
      </c>
      <c r="C2098" s="5">
        <v>0.08</v>
      </c>
      <c r="D2098" s="5">
        <v>0.06</v>
      </c>
      <c r="E2098" s="5">
        <v>0.04</v>
      </c>
      <c r="F2098" s="5">
        <v>0.02</v>
      </c>
      <c r="G2098" s="5">
        <v>0.02</v>
      </c>
      <c r="H2098" s="5">
        <v>0.01</v>
      </c>
      <c r="I2098" s="6">
        <v>-33.909891999999999</v>
      </c>
    </row>
    <row r="2099" spans="1:9" ht="60" x14ac:dyDescent="0.25">
      <c r="A2099" s="1" t="s">
        <v>125</v>
      </c>
      <c r="B2099" s="5">
        <v>96.83</v>
      </c>
      <c r="C2099" s="5">
        <v>97.02</v>
      </c>
      <c r="D2099" s="5">
        <v>97.19</v>
      </c>
      <c r="E2099" s="5">
        <v>97.34</v>
      </c>
      <c r="F2099" s="5">
        <v>97.46</v>
      </c>
      <c r="G2099" s="5">
        <v>97.57</v>
      </c>
      <c r="H2099" s="5">
        <v>97.67</v>
      </c>
      <c r="I2099" s="6">
        <v>0.144063</v>
      </c>
    </row>
    <row r="2100" spans="1:9" ht="60" x14ac:dyDescent="0.25">
      <c r="A2100" s="1" t="s">
        <v>126</v>
      </c>
      <c r="B2100" s="5">
        <v>0</v>
      </c>
      <c r="C2100" s="5">
        <v>0</v>
      </c>
      <c r="D2100" s="5">
        <v>0</v>
      </c>
      <c r="E2100" s="5">
        <v>0</v>
      </c>
      <c r="F2100" s="5">
        <v>0</v>
      </c>
      <c r="G2100" s="5">
        <v>0</v>
      </c>
      <c r="H2100" s="5">
        <v>0</v>
      </c>
      <c r="I2100" s="7" t="s">
        <v>58</v>
      </c>
    </row>
    <row r="2101" spans="1:9" ht="75" x14ac:dyDescent="0.25">
      <c r="A2101" s="1" t="s">
        <v>127</v>
      </c>
      <c r="B2101" s="5">
        <v>0</v>
      </c>
      <c r="C2101" s="5">
        <v>0</v>
      </c>
      <c r="D2101" s="5">
        <v>0</v>
      </c>
      <c r="E2101" s="5">
        <v>0</v>
      </c>
      <c r="F2101" s="5">
        <v>0</v>
      </c>
      <c r="G2101" s="5">
        <v>0</v>
      </c>
      <c r="H2101" s="5">
        <v>0</v>
      </c>
      <c r="I2101" s="7" t="s">
        <v>58</v>
      </c>
    </row>
    <row r="2102" spans="1:9" ht="60" x14ac:dyDescent="0.25">
      <c r="A2102" s="1" t="s">
        <v>128</v>
      </c>
      <c r="B2102" s="5">
        <v>0.11</v>
      </c>
      <c r="C2102" s="5">
        <v>0.12</v>
      </c>
      <c r="D2102" s="5">
        <v>0.12</v>
      </c>
      <c r="E2102" s="5">
        <v>0.13</v>
      </c>
      <c r="F2102" s="5">
        <v>0.13</v>
      </c>
      <c r="G2102" s="5">
        <v>0.14000000000000001</v>
      </c>
      <c r="H2102" s="5">
        <v>0.14000000000000001</v>
      </c>
      <c r="I2102" s="6">
        <v>4.1012370000000002</v>
      </c>
    </row>
    <row r="2103" spans="1:9" ht="45" x14ac:dyDescent="0.25">
      <c r="A2103" s="1" t="s">
        <v>129</v>
      </c>
      <c r="B2103" s="5">
        <v>9.01</v>
      </c>
      <c r="C2103" s="5">
        <v>9.11</v>
      </c>
      <c r="D2103" s="5">
        <v>9.2200000000000006</v>
      </c>
      <c r="E2103" s="5">
        <v>9.31</v>
      </c>
      <c r="F2103" s="5">
        <v>9.4</v>
      </c>
      <c r="G2103" s="5">
        <v>9.49</v>
      </c>
      <c r="H2103" s="5">
        <v>9.58</v>
      </c>
      <c r="I2103" s="6">
        <v>1.0276194523133553</v>
      </c>
    </row>
    <row r="2104" spans="1:9" ht="45" x14ac:dyDescent="0.25">
      <c r="A2104" s="1" t="s">
        <v>140</v>
      </c>
      <c r="B2104" s="5">
        <v>8.25</v>
      </c>
      <c r="C2104" s="5">
        <v>8.26</v>
      </c>
      <c r="D2104" s="5">
        <v>8.27</v>
      </c>
      <c r="E2104" s="5">
        <v>8.27</v>
      </c>
      <c r="F2104" s="5">
        <v>8.27</v>
      </c>
      <c r="G2104" s="5">
        <v>8.26</v>
      </c>
      <c r="H2104" s="5">
        <v>8.26</v>
      </c>
      <c r="I2104" s="6">
        <v>2.0192000000000002E-2</v>
      </c>
    </row>
    <row r="2105" spans="1:9" ht="45" x14ac:dyDescent="0.25">
      <c r="A2105" s="1" t="s">
        <v>141</v>
      </c>
      <c r="B2105" s="5">
        <v>0</v>
      </c>
      <c r="C2105" s="5">
        <v>0</v>
      </c>
      <c r="D2105" s="5">
        <v>0</v>
      </c>
      <c r="E2105" s="5">
        <v>0</v>
      </c>
      <c r="F2105" s="5">
        <v>0</v>
      </c>
      <c r="G2105" s="5">
        <v>0</v>
      </c>
      <c r="H2105" s="5">
        <v>0</v>
      </c>
      <c r="I2105" s="7" t="s">
        <v>58</v>
      </c>
    </row>
    <row r="2106" spans="1:9" ht="45" x14ac:dyDescent="0.25">
      <c r="A2106" s="1" t="s">
        <v>142</v>
      </c>
      <c r="B2106" s="5">
        <v>9.0500000000000007</v>
      </c>
      <c r="C2106" s="5">
        <v>9.15</v>
      </c>
      <c r="D2106" s="5">
        <v>9.26</v>
      </c>
      <c r="E2106" s="5">
        <v>9.35</v>
      </c>
      <c r="F2106" s="5">
        <v>9.44</v>
      </c>
      <c r="G2106" s="5">
        <v>9.5299999999999994</v>
      </c>
      <c r="H2106" s="5">
        <v>9.6199999999999992</v>
      </c>
      <c r="I2106" s="6">
        <v>1.023191</v>
      </c>
    </row>
    <row r="2107" spans="1:9" ht="60" x14ac:dyDescent="0.25">
      <c r="A2107" s="1" t="s">
        <v>133</v>
      </c>
      <c r="B2107" s="5">
        <v>0</v>
      </c>
      <c r="C2107" s="5">
        <v>0</v>
      </c>
      <c r="D2107" s="5">
        <v>0</v>
      </c>
      <c r="E2107" s="5">
        <v>0</v>
      </c>
      <c r="F2107" s="5">
        <v>0</v>
      </c>
      <c r="G2107" s="5">
        <v>0</v>
      </c>
      <c r="H2107" s="5">
        <v>0</v>
      </c>
      <c r="I2107" s="7" t="s">
        <v>58</v>
      </c>
    </row>
    <row r="2108" spans="1:9" ht="60" x14ac:dyDescent="0.25">
      <c r="A2108" s="1" t="s">
        <v>134</v>
      </c>
      <c r="B2108" s="5">
        <v>0</v>
      </c>
      <c r="C2108" s="5">
        <v>0</v>
      </c>
      <c r="D2108" s="5">
        <v>0</v>
      </c>
      <c r="E2108" s="5">
        <v>0</v>
      </c>
      <c r="F2108" s="5">
        <v>0</v>
      </c>
      <c r="G2108" s="5">
        <v>0</v>
      </c>
      <c r="H2108" s="5">
        <v>0</v>
      </c>
      <c r="I2108" s="7" t="s">
        <v>58</v>
      </c>
    </row>
    <row r="2109" spans="1:9" x14ac:dyDescent="0.25">
      <c r="A2109" s="1" t="s">
        <v>12</v>
      </c>
      <c r="B2109" s="2"/>
      <c r="C2109" s="2"/>
      <c r="D2109" s="2"/>
      <c r="E2109" s="2"/>
      <c r="F2109" s="2"/>
      <c r="G2109" s="2"/>
      <c r="H2109" s="2"/>
      <c r="I2109" s="2"/>
    </row>
    <row r="2110" spans="1:9" ht="30" x14ac:dyDescent="0.25">
      <c r="A2110" s="8" t="s">
        <v>115</v>
      </c>
      <c r="B2110" s="2"/>
      <c r="C2110" s="2"/>
      <c r="D2110" s="2"/>
      <c r="E2110" s="2"/>
      <c r="F2110" s="2"/>
      <c r="G2110" s="2"/>
      <c r="H2110" s="2"/>
      <c r="I2110" s="2"/>
    </row>
    <row r="2111" spans="1:9" ht="60" x14ac:dyDescent="0.25">
      <c r="A2111" s="1" t="s">
        <v>13</v>
      </c>
      <c r="B2111" s="5">
        <v>89.4</v>
      </c>
      <c r="C2111" s="5">
        <v>89.81</v>
      </c>
      <c r="D2111" s="5">
        <v>90.34</v>
      </c>
      <c r="E2111" s="5">
        <v>90.9</v>
      </c>
      <c r="F2111" s="5">
        <v>91.52</v>
      </c>
      <c r="G2111" s="5">
        <v>92.11</v>
      </c>
      <c r="H2111" s="5">
        <v>92.58</v>
      </c>
      <c r="I2111" s="6">
        <v>0.58424100000000001</v>
      </c>
    </row>
    <row r="2112" spans="1:9" ht="60" x14ac:dyDescent="0.25">
      <c r="A2112" s="1" t="s">
        <v>117</v>
      </c>
      <c r="B2112" s="5">
        <v>14.41</v>
      </c>
      <c r="C2112" s="5">
        <v>14.24</v>
      </c>
      <c r="D2112" s="5">
        <v>14.07</v>
      </c>
      <c r="E2112" s="5">
        <v>13.94</v>
      </c>
      <c r="F2112" s="5">
        <v>13.85</v>
      </c>
      <c r="G2112" s="5">
        <v>13.75</v>
      </c>
      <c r="H2112" s="5">
        <v>13.65</v>
      </c>
      <c r="I2112" s="6">
        <v>-0.89898299999999998</v>
      </c>
    </row>
    <row r="2113" spans="1:9" ht="60" x14ac:dyDescent="0.25">
      <c r="A2113" s="1" t="s">
        <v>118</v>
      </c>
      <c r="B2113" s="5">
        <v>35.15</v>
      </c>
      <c r="C2113" s="5">
        <v>31.96</v>
      </c>
      <c r="D2113" s="5">
        <v>29.16</v>
      </c>
      <c r="E2113" s="5">
        <v>26.66</v>
      </c>
      <c r="F2113" s="5">
        <v>24.74</v>
      </c>
      <c r="G2113" s="5">
        <v>22.9</v>
      </c>
      <c r="H2113" s="5">
        <v>21.06</v>
      </c>
      <c r="I2113" s="6">
        <v>-8.1831960000000006</v>
      </c>
    </row>
    <row r="2114" spans="1:9" ht="60" x14ac:dyDescent="0.25">
      <c r="A2114" s="1" t="s">
        <v>119</v>
      </c>
      <c r="B2114" s="5">
        <v>37.47</v>
      </c>
      <c r="C2114" s="5">
        <v>41.12</v>
      </c>
      <c r="D2114" s="5">
        <v>44.52</v>
      </c>
      <c r="E2114" s="5">
        <v>47.59</v>
      </c>
      <c r="F2114" s="5">
        <v>50.1</v>
      </c>
      <c r="G2114" s="5">
        <v>52.53</v>
      </c>
      <c r="H2114" s="5">
        <v>54.87</v>
      </c>
      <c r="I2114" s="6">
        <v>6.563517</v>
      </c>
    </row>
    <row r="2115" spans="1:9" ht="60" x14ac:dyDescent="0.25">
      <c r="A2115" s="1" t="s">
        <v>120</v>
      </c>
      <c r="B2115" s="5">
        <v>7.0000000000000007E-2</v>
      </c>
      <c r="C2115" s="5">
        <v>0.12</v>
      </c>
      <c r="D2115" s="5">
        <v>0.12</v>
      </c>
      <c r="E2115" s="5">
        <v>0.12</v>
      </c>
      <c r="F2115" s="5">
        <v>0.11</v>
      </c>
      <c r="G2115" s="5">
        <v>0.11</v>
      </c>
      <c r="H2115" s="5">
        <v>0.11</v>
      </c>
      <c r="I2115" s="6">
        <v>7.8240829999999999</v>
      </c>
    </row>
    <row r="2116" spans="1:9" ht="75" x14ac:dyDescent="0.25">
      <c r="A2116" s="1" t="s">
        <v>121</v>
      </c>
      <c r="B2116" s="5">
        <v>2.29</v>
      </c>
      <c r="C2116" s="5">
        <v>2.36</v>
      </c>
      <c r="D2116" s="5">
        <v>2.48</v>
      </c>
      <c r="E2116" s="5">
        <v>2.59</v>
      </c>
      <c r="F2116" s="5">
        <v>2.7</v>
      </c>
      <c r="G2116" s="5">
        <v>2.8</v>
      </c>
      <c r="H2116" s="5">
        <v>2.88</v>
      </c>
      <c r="I2116" s="6">
        <v>3.8945660000000002</v>
      </c>
    </row>
    <row r="2117" spans="1:9" ht="75" x14ac:dyDescent="0.25">
      <c r="A2117" s="1" t="s">
        <v>122</v>
      </c>
      <c r="B2117" s="5">
        <v>0.01</v>
      </c>
      <c r="C2117" s="5">
        <v>0.01</v>
      </c>
      <c r="D2117" s="5">
        <v>0.01</v>
      </c>
      <c r="E2117" s="5">
        <v>0.01</v>
      </c>
      <c r="F2117" s="5">
        <v>0.01</v>
      </c>
      <c r="G2117" s="5">
        <v>0.01</v>
      </c>
      <c r="H2117" s="5">
        <v>0.01</v>
      </c>
      <c r="I2117" s="6">
        <v>0</v>
      </c>
    </row>
    <row r="2118" spans="1:9" ht="60" x14ac:dyDescent="0.25">
      <c r="A2118" s="1" t="s">
        <v>123</v>
      </c>
      <c r="B2118" s="5">
        <v>16.12</v>
      </c>
      <c r="C2118" s="5">
        <v>15.86</v>
      </c>
      <c r="D2118" s="5">
        <v>15.57</v>
      </c>
      <c r="E2118" s="5">
        <v>15.34</v>
      </c>
      <c r="F2118" s="5">
        <v>15.13</v>
      </c>
      <c r="G2118" s="5">
        <v>14.93</v>
      </c>
      <c r="H2118" s="5">
        <v>14.75</v>
      </c>
      <c r="I2118" s="6">
        <v>-1.469392</v>
      </c>
    </row>
    <row r="2119" spans="1:9" ht="60" x14ac:dyDescent="0.25">
      <c r="A2119" s="1" t="s">
        <v>124</v>
      </c>
      <c r="B2119" s="5">
        <v>39.32</v>
      </c>
      <c r="C2119" s="5">
        <v>35.58</v>
      </c>
      <c r="D2119" s="5">
        <v>32.270000000000003</v>
      </c>
      <c r="E2119" s="5">
        <v>29.32</v>
      </c>
      <c r="F2119" s="5">
        <v>27.04</v>
      </c>
      <c r="G2119" s="5">
        <v>24.86</v>
      </c>
      <c r="H2119" s="5">
        <v>22.74</v>
      </c>
      <c r="I2119" s="6">
        <v>-8.7226920000000003</v>
      </c>
    </row>
    <row r="2120" spans="1:9" ht="60" x14ac:dyDescent="0.25">
      <c r="A2120" s="1" t="s">
        <v>125</v>
      </c>
      <c r="B2120" s="5">
        <v>41.91</v>
      </c>
      <c r="C2120" s="5">
        <v>45.78</v>
      </c>
      <c r="D2120" s="5">
        <v>49.27</v>
      </c>
      <c r="E2120" s="5">
        <v>52.35</v>
      </c>
      <c r="F2120" s="5">
        <v>54.75</v>
      </c>
      <c r="G2120" s="5">
        <v>57.03</v>
      </c>
      <c r="H2120" s="5">
        <v>59.26</v>
      </c>
      <c r="I2120" s="6">
        <v>5.943422</v>
      </c>
    </row>
    <row r="2121" spans="1:9" ht="60" x14ac:dyDescent="0.25">
      <c r="A2121" s="1" t="s">
        <v>126</v>
      </c>
      <c r="B2121" s="5">
        <v>0.08</v>
      </c>
      <c r="C2121" s="5">
        <v>0.13</v>
      </c>
      <c r="D2121" s="5">
        <v>0.13</v>
      </c>
      <c r="E2121" s="5">
        <v>0.13</v>
      </c>
      <c r="F2121" s="5">
        <v>0.13</v>
      </c>
      <c r="G2121" s="5">
        <v>0.12</v>
      </c>
      <c r="H2121" s="5">
        <v>0.12</v>
      </c>
      <c r="I2121" s="6">
        <v>6.9913189999999998</v>
      </c>
    </row>
    <row r="2122" spans="1:9" ht="75" x14ac:dyDescent="0.25">
      <c r="A2122" s="1" t="s">
        <v>127</v>
      </c>
      <c r="B2122" s="5">
        <v>2.56</v>
      </c>
      <c r="C2122" s="5">
        <v>2.63</v>
      </c>
      <c r="D2122" s="5">
        <v>2.74</v>
      </c>
      <c r="E2122" s="5">
        <v>2.85</v>
      </c>
      <c r="F2122" s="5">
        <v>2.95</v>
      </c>
      <c r="G2122" s="5">
        <v>3.04</v>
      </c>
      <c r="H2122" s="5">
        <v>3.11</v>
      </c>
      <c r="I2122" s="6">
        <v>3.2967689999999998</v>
      </c>
    </row>
    <row r="2123" spans="1:9" ht="60" x14ac:dyDescent="0.25">
      <c r="A2123" s="1" t="s">
        <v>128</v>
      </c>
      <c r="B2123" s="5">
        <v>0.01</v>
      </c>
      <c r="C2123" s="5">
        <v>0.01</v>
      </c>
      <c r="D2123" s="5">
        <v>0.01</v>
      </c>
      <c r="E2123" s="5">
        <v>0.01</v>
      </c>
      <c r="F2123" s="5">
        <v>0.01</v>
      </c>
      <c r="G2123" s="5">
        <v>0.01</v>
      </c>
      <c r="H2123" s="5">
        <v>0.01</v>
      </c>
      <c r="I2123" s="6">
        <v>0</v>
      </c>
    </row>
    <row r="2124" spans="1:9" ht="45" x14ac:dyDescent="0.25">
      <c r="A2124" s="1" t="s">
        <v>129</v>
      </c>
      <c r="B2124" s="5">
        <v>28.69</v>
      </c>
      <c r="C2124" s="5">
        <v>29.09</v>
      </c>
      <c r="D2124" s="5">
        <v>29.54</v>
      </c>
      <c r="E2124" s="5">
        <v>30</v>
      </c>
      <c r="F2124" s="5">
        <v>30.4</v>
      </c>
      <c r="G2124" s="5">
        <v>30.78</v>
      </c>
      <c r="H2124" s="5">
        <v>31.13</v>
      </c>
      <c r="I2124" s="6">
        <v>1.3696846388026263</v>
      </c>
    </row>
    <row r="2125" spans="1:9" ht="45" x14ac:dyDescent="0.25">
      <c r="A2125" s="1" t="s">
        <v>140</v>
      </c>
      <c r="B2125" s="5">
        <v>31.39</v>
      </c>
      <c r="C2125" s="5">
        <v>31.89</v>
      </c>
      <c r="D2125" s="5">
        <v>32.29</v>
      </c>
      <c r="E2125" s="5">
        <v>32.71</v>
      </c>
      <c r="F2125" s="5">
        <v>33.1</v>
      </c>
      <c r="G2125" s="5">
        <v>33.47</v>
      </c>
      <c r="H2125" s="5">
        <v>33.79</v>
      </c>
      <c r="I2125" s="6">
        <v>1.235495</v>
      </c>
    </row>
    <row r="2126" spans="1:9" ht="45" x14ac:dyDescent="0.25">
      <c r="A2126" s="1" t="s">
        <v>141</v>
      </c>
      <c r="B2126" s="5">
        <v>28.24</v>
      </c>
      <c r="C2126" s="5">
        <v>29.03</v>
      </c>
      <c r="D2126" s="5">
        <v>29.78</v>
      </c>
      <c r="E2126" s="5">
        <v>30.56</v>
      </c>
      <c r="F2126" s="5">
        <v>31.3</v>
      </c>
      <c r="G2126" s="5">
        <v>31.74</v>
      </c>
      <c r="H2126" s="5">
        <v>32.049999999999997</v>
      </c>
      <c r="I2126" s="6">
        <v>2.1316989999999998</v>
      </c>
    </row>
    <row r="2127" spans="1:9" ht="45" x14ac:dyDescent="0.25">
      <c r="A2127" s="1" t="s">
        <v>142</v>
      </c>
      <c r="B2127" s="5">
        <v>29.41</v>
      </c>
      <c r="C2127" s="5">
        <v>29.46</v>
      </c>
      <c r="D2127" s="5">
        <v>29.79</v>
      </c>
      <c r="E2127" s="5">
        <v>30.15</v>
      </c>
      <c r="F2127" s="5">
        <v>30.46</v>
      </c>
      <c r="G2127" s="5">
        <v>30.92</v>
      </c>
      <c r="H2127" s="5">
        <v>31.38</v>
      </c>
      <c r="I2127" s="6">
        <v>1.0864590000000001</v>
      </c>
    </row>
    <row r="2128" spans="1:9" ht="60" x14ac:dyDescent="0.25">
      <c r="A2128" s="1" t="s">
        <v>133</v>
      </c>
      <c r="B2128" s="7" t="s">
        <v>58</v>
      </c>
      <c r="C2128" s="7" t="s">
        <v>58</v>
      </c>
      <c r="D2128" s="7" t="s">
        <v>58</v>
      </c>
      <c r="E2128" s="7" t="s">
        <v>58</v>
      </c>
      <c r="F2128" s="7" t="s">
        <v>58</v>
      </c>
      <c r="G2128" s="7" t="s">
        <v>58</v>
      </c>
      <c r="H2128" s="7" t="s">
        <v>58</v>
      </c>
      <c r="I2128" s="7" t="s">
        <v>58</v>
      </c>
    </row>
    <row r="2129" spans="1:9" ht="60" x14ac:dyDescent="0.25">
      <c r="A2129" s="1" t="s">
        <v>134</v>
      </c>
      <c r="B2129" s="7" t="s">
        <v>58</v>
      </c>
      <c r="C2129" s="7" t="s">
        <v>58</v>
      </c>
      <c r="D2129" s="7" t="s">
        <v>58</v>
      </c>
      <c r="E2129" s="7" t="s">
        <v>58</v>
      </c>
      <c r="F2129" s="7" t="s">
        <v>58</v>
      </c>
      <c r="G2129" s="7" t="s">
        <v>58</v>
      </c>
      <c r="H2129" s="7" t="s">
        <v>58</v>
      </c>
      <c r="I2129" s="7" t="s">
        <v>58</v>
      </c>
    </row>
    <row r="2130" spans="1:9" x14ac:dyDescent="0.25">
      <c r="A2130" s="1" t="s">
        <v>12</v>
      </c>
      <c r="B2130" s="2"/>
      <c r="C2130" s="2"/>
      <c r="D2130" s="2"/>
      <c r="E2130" s="2"/>
      <c r="F2130" s="2"/>
      <c r="G2130" s="2"/>
      <c r="H2130" s="2"/>
      <c r="I2130" s="2"/>
    </row>
    <row r="2131" spans="1:9" x14ac:dyDescent="0.25">
      <c r="A2131" s="8" t="s">
        <v>116</v>
      </c>
      <c r="B2131" s="2"/>
      <c r="C2131" s="2"/>
      <c r="D2131" s="2"/>
      <c r="E2131" s="2"/>
      <c r="F2131" s="2"/>
      <c r="G2131" s="2"/>
      <c r="H2131" s="2"/>
      <c r="I2131" s="2"/>
    </row>
    <row r="2132" spans="1:9" ht="60" x14ac:dyDescent="0.25">
      <c r="A2132" s="1" t="s">
        <v>13</v>
      </c>
      <c r="B2132" s="5">
        <v>13.05</v>
      </c>
      <c r="C2132" s="5">
        <v>14.01</v>
      </c>
      <c r="D2132" s="5">
        <v>15.18</v>
      </c>
      <c r="E2132" s="5">
        <v>16.149999999999999</v>
      </c>
      <c r="F2132" s="5">
        <v>17.11</v>
      </c>
      <c r="G2132" s="5">
        <v>18.2</v>
      </c>
      <c r="H2132" s="5">
        <v>19.47</v>
      </c>
      <c r="I2132" s="6">
        <v>6.8954550000000001</v>
      </c>
    </row>
    <row r="2133" spans="1:9" ht="60" x14ac:dyDescent="0.25">
      <c r="A2133" s="1" t="s">
        <v>117</v>
      </c>
      <c r="B2133" s="5">
        <v>0</v>
      </c>
      <c r="C2133" s="5">
        <v>0</v>
      </c>
      <c r="D2133" s="5">
        <v>0</v>
      </c>
      <c r="E2133" s="5">
        <v>0</v>
      </c>
      <c r="F2133" s="5">
        <v>0</v>
      </c>
      <c r="G2133" s="5">
        <v>0</v>
      </c>
      <c r="H2133" s="5">
        <v>0</v>
      </c>
      <c r="I2133" s="7" t="s">
        <v>58</v>
      </c>
    </row>
    <row r="2134" spans="1:9" ht="60" x14ac:dyDescent="0.25">
      <c r="A2134" s="1" t="s">
        <v>118</v>
      </c>
      <c r="B2134" s="5">
        <v>10.68</v>
      </c>
      <c r="C2134" s="5">
        <v>10.98</v>
      </c>
      <c r="D2134" s="5">
        <v>11.3</v>
      </c>
      <c r="E2134" s="5">
        <v>11.62</v>
      </c>
      <c r="F2134" s="5">
        <v>11.83</v>
      </c>
      <c r="G2134" s="5">
        <v>12.05</v>
      </c>
      <c r="H2134" s="5">
        <v>12.26</v>
      </c>
      <c r="I2134" s="6">
        <v>2.3261270000000001</v>
      </c>
    </row>
    <row r="2135" spans="1:9" ht="60" x14ac:dyDescent="0.25">
      <c r="A2135" s="1" t="s">
        <v>119</v>
      </c>
      <c r="B2135" s="5">
        <v>0</v>
      </c>
      <c r="C2135" s="5">
        <v>0</v>
      </c>
      <c r="D2135" s="5">
        <v>0</v>
      </c>
      <c r="E2135" s="5">
        <v>0</v>
      </c>
      <c r="F2135" s="5">
        <v>0</v>
      </c>
      <c r="G2135" s="5">
        <v>0</v>
      </c>
      <c r="H2135" s="5">
        <v>0</v>
      </c>
      <c r="I2135" s="7" t="s">
        <v>58</v>
      </c>
    </row>
    <row r="2136" spans="1:9" ht="60" x14ac:dyDescent="0.25">
      <c r="A2136" s="1" t="s">
        <v>120</v>
      </c>
      <c r="B2136" s="5">
        <v>0.17</v>
      </c>
      <c r="C2136" s="5">
        <v>0.18</v>
      </c>
      <c r="D2136" s="5">
        <v>0.18</v>
      </c>
      <c r="E2136" s="5">
        <v>0.18</v>
      </c>
      <c r="F2136" s="5">
        <v>0.18</v>
      </c>
      <c r="G2136" s="5">
        <v>0.17</v>
      </c>
      <c r="H2136" s="5">
        <v>0.19</v>
      </c>
      <c r="I2136" s="6">
        <v>1.871049</v>
      </c>
    </row>
    <row r="2137" spans="1:9" ht="75" x14ac:dyDescent="0.25">
      <c r="A2137" s="1" t="s">
        <v>121</v>
      </c>
      <c r="B2137" s="5">
        <v>2.2000000000000002</v>
      </c>
      <c r="C2137" s="5">
        <v>2.85</v>
      </c>
      <c r="D2137" s="5">
        <v>3.71</v>
      </c>
      <c r="E2137" s="5">
        <v>4.3499999999999996</v>
      </c>
      <c r="F2137" s="5">
        <v>5.0999999999999996</v>
      </c>
      <c r="G2137" s="5">
        <v>5.99</v>
      </c>
      <c r="H2137" s="5">
        <v>7.02</v>
      </c>
      <c r="I2137" s="6">
        <v>21.334900999999999</v>
      </c>
    </row>
    <row r="2138" spans="1:9" ht="75" x14ac:dyDescent="0.25">
      <c r="A2138" s="1" t="s">
        <v>122</v>
      </c>
      <c r="B2138" s="5">
        <v>0</v>
      </c>
      <c r="C2138" s="5">
        <v>0</v>
      </c>
      <c r="D2138" s="5">
        <v>0</v>
      </c>
      <c r="E2138" s="5">
        <v>0</v>
      </c>
      <c r="F2138" s="5">
        <v>0</v>
      </c>
      <c r="G2138" s="5">
        <v>0</v>
      </c>
      <c r="H2138" s="5">
        <v>0</v>
      </c>
      <c r="I2138" s="7" t="s">
        <v>58</v>
      </c>
    </row>
    <row r="2139" spans="1:9" ht="60" x14ac:dyDescent="0.25">
      <c r="A2139" s="1" t="s">
        <v>123</v>
      </c>
      <c r="B2139" s="5">
        <v>0</v>
      </c>
      <c r="C2139" s="5">
        <v>0</v>
      </c>
      <c r="D2139" s="5">
        <v>0</v>
      </c>
      <c r="E2139" s="5">
        <v>0</v>
      </c>
      <c r="F2139" s="5">
        <v>0</v>
      </c>
      <c r="G2139" s="5">
        <v>0</v>
      </c>
      <c r="H2139" s="5">
        <v>0</v>
      </c>
      <c r="I2139" s="7" t="s">
        <v>58</v>
      </c>
    </row>
    <row r="2140" spans="1:9" ht="60" x14ac:dyDescent="0.25">
      <c r="A2140" s="1" t="s">
        <v>124</v>
      </c>
      <c r="B2140" s="5">
        <v>81.86</v>
      </c>
      <c r="C2140" s="5">
        <v>78.38</v>
      </c>
      <c r="D2140" s="5">
        <v>74.41</v>
      </c>
      <c r="E2140" s="5">
        <v>71.959999999999994</v>
      </c>
      <c r="F2140" s="5">
        <v>69.150000000000006</v>
      </c>
      <c r="G2140" s="5">
        <v>66.17</v>
      </c>
      <c r="H2140" s="5">
        <v>62.97</v>
      </c>
      <c r="I2140" s="6">
        <v>-4.2783170000000004</v>
      </c>
    </row>
    <row r="2141" spans="1:9" ht="60" x14ac:dyDescent="0.25">
      <c r="A2141" s="1" t="s">
        <v>125</v>
      </c>
      <c r="B2141" s="5">
        <v>0</v>
      </c>
      <c r="C2141" s="5">
        <v>0</v>
      </c>
      <c r="D2141" s="5">
        <v>0</v>
      </c>
      <c r="E2141" s="5">
        <v>0</v>
      </c>
      <c r="F2141" s="5">
        <v>0</v>
      </c>
      <c r="G2141" s="5">
        <v>0</v>
      </c>
      <c r="H2141" s="5">
        <v>0</v>
      </c>
      <c r="I2141" s="7" t="s">
        <v>58</v>
      </c>
    </row>
    <row r="2142" spans="1:9" ht="60" x14ac:dyDescent="0.25">
      <c r="A2142" s="1" t="s">
        <v>126</v>
      </c>
      <c r="B2142" s="5">
        <v>1.32</v>
      </c>
      <c r="C2142" s="5">
        <v>1.26</v>
      </c>
      <c r="D2142" s="5">
        <v>1.18</v>
      </c>
      <c r="E2142" s="5">
        <v>1.1100000000000001</v>
      </c>
      <c r="F2142" s="5">
        <v>1.03</v>
      </c>
      <c r="G2142" s="5">
        <v>0.95</v>
      </c>
      <c r="H2142" s="5">
        <v>0.96</v>
      </c>
      <c r="I2142" s="6">
        <v>-5.1691700000000003</v>
      </c>
    </row>
    <row r="2143" spans="1:9" ht="75" x14ac:dyDescent="0.25">
      <c r="A2143" s="1" t="s">
        <v>127</v>
      </c>
      <c r="B2143" s="5">
        <v>16.82</v>
      </c>
      <c r="C2143" s="5">
        <v>20.36</v>
      </c>
      <c r="D2143" s="5">
        <v>24.42</v>
      </c>
      <c r="E2143" s="5">
        <v>26.93</v>
      </c>
      <c r="F2143" s="5">
        <v>29.82</v>
      </c>
      <c r="G2143" s="5">
        <v>32.880000000000003</v>
      </c>
      <c r="H2143" s="5">
        <v>36.06</v>
      </c>
      <c r="I2143" s="6">
        <v>13.553350999999999</v>
      </c>
    </row>
    <row r="2144" spans="1:9" ht="60" x14ac:dyDescent="0.25">
      <c r="A2144" s="1" t="s">
        <v>128</v>
      </c>
      <c r="B2144" s="5">
        <v>0</v>
      </c>
      <c r="C2144" s="5">
        <v>0</v>
      </c>
      <c r="D2144" s="5">
        <v>0</v>
      </c>
      <c r="E2144" s="5">
        <v>0</v>
      </c>
      <c r="F2144" s="5">
        <v>0</v>
      </c>
      <c r="G2144" s="5">
        <v>0</v>
      </c>
      <c r="H2144" s="5">
        <v>0</v>
      </c>
      <c r="I2144" s="7" t="s">
        <v>58</v>
      </c>
    </row>
    <row r="2145" spans="1:9" ht="45" x14ac:dyDescent="0.25">
      <c r="A2145" s="1" t="s">
        <v>129</v>
      </c>
      <c r="B2145" s="7" t="s">
        <v>58</v>
      </c>
      <c r="C2145" s="7" t="s">
        <v>58</v>
      </c>
      <c r="D2145" s="7" t="s">
        <v>58</v>
      </c>
      <c r="E2145" s="7" t="s">
        <v>58</v>
      </c>
      <c r="F2145" s="7" t="s">
        <v>58</v>
      </c>
      <c r="G2145" s="7" t="s">
        <v>58</v>
      </c>
      <c r="H2145" s="7" t="s">
        <v>58</v>
      </c>
      <c r="I2145" s="7" t="s">
        <v>58</v>
      </c>
    </row>
    <row r="2146" spans="1:9" ht="45" x14ac:dyDescent="0.25">
      <c r="A2146" s="1" t="s">
        <v>140</v>
      </c>
      <c r="B2146" s="7" t="s">
        <v>58</v>
      </c>
      <c r="C2146" s="7" t="s">
        <v>58</v>
      </c>
      <c r="D2146" s="7" t="s">
        <v>58</v>
      </c>
      <c r="E2146" s="7" t="s">
        <v>58</v>
      </c>
      <c r="F2146" s="7" t="s">
        <v>58</v>
      </c>
      <c r="G2146" s="7" t="s">
        <v>58</v>
      </c>
      <c r="H2146" s="7" t="s">
        <v>58</v>
      </c>
      <c r="I2146" s="7" t="s">
        <v>58</v>
      </c>
    </row>
    <row r="2147" spans="1:9" ht="45" x14ac:dyDescent="0.25">
      <c r="A2147" s="1" t="s">
        <v>141</v>
      </c>
      <c r="B2147" s="7" t="s">
        <v>58</v>
      </c>
      <c r="C2147" s="7" t="s">
        <v>58</v>
      </c>
      <c r="D2147" s="7" t="s">
        <v>58</v>
      </c>
      <c r="E2147" s="7" t="s">
        <v>58</v>
      </c>
      <c r="F2147" s="7" t="s">
        <v>58</v>
      </c>
      <c r="G2147" s="7" t="s">
        <v>58</v>
      </c>
      <c r="H2147" s="7" t="s">
        <v>58</v>
      </c>
      <c r="I2147" s="7" t="s">
        <v>58</v>
      </c>
    </row>
    <row r="2148" spans="1:9" ht="45" x14ac:dyDescent="0.25">
      <c r="A2148" s="1" t="s">
        <v>142</v>
      </c>
      <c r="B2148" s="7" t="s">
        <v>58</v>
      </c>
      <c r="C2148" s="7" t="s">
        <v>58</v>
      </c>
      <c r="D2148" s="7" t="s">
        <v>58</v>
      </c>
      <c r="E2148" s="7" t="s">
        <v>58</v>
      </c>
      <c r="F2148" s="7" t="s">
        <v>58</v>
      </c>
      <c r="G2148" s="7" t="s">
        <v>58</v>
      </c>
      <c r="H2148" s="7" t="s">
        <v>58</v>
      </c>
      <c r="I2148" s="7" t="s">
        <v>58</v>
      </c>
    </row>
    <row r="2149" spans="1:9" ht="60" x14ac:dyDescent="0.25">
      <c r="A2149" s="1" t="s">
        <v>133</v>
      </c>
      <c r="B2149" s="7" t="s">
        <v>58</v>
      </c>
      <c r="C2149" s="7" t="s">
        <v>58</v>
      </c>
      <c r="D2149" s="7" t="s">
        <v>58</v>
      </c>
      <c r="E2149" s="7" t="s">
        <v>58</v>
      </c>
      <c r="F2149" s="7" t="s">
        <v>58</v>
      </c>
      <c r="G2149" s="7" t="s">
        <v>58</v>
      </c>
      <c r="H2149" s="7" t="s">
        <v>58</v>
      </c>
      <c r="I2149" s="7" t="s">
        <v>58</v>
      </c>
    </row>
    <row r="2150" spans="1:9" ht="60" x14ac:dyDescent="0.25">
      <c r="A2150" s="1" t="s">
        <v>134</v>
      </c>
      <c r="B2150" s="7" t="s">
        <v>58</v>
      </c>
      <c r="C2150" s="7" t="s">
        <v>58</v>
      </c>
      <c r="D2150" s="7" t="s">
        <v>58</v>
      </c>
      <c r="E2150" s="7" t="s">
        <v>58</v>
      </c>
      <c r="F2150" s="7" t="s">
        <v>58</v>
      </c>
      <c r="G2150" s="7" t="s">
        <v>58</v>
      </c>
      <c r="H2150" s="7" t="s">
        <v>58</v>
      </c>
      <c r="I2150" s="7" t="s">
        <v>58</v>
      </c>
    </row>
  </sheetData>
  <mergeCells count="3">
    <mergeCell ref="A1:D1"/>
    <mergeCell ref="A7:M7"/>
    <mergeCell ref="A2:M2"/>
  </mergeCells>
  <pageMargins left="0.75" right="0.75" top="1" bottom="1" header="0.5" footer="0.5"/>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77148-840E-3D41-A9A2-E4D1CFD9E3D4}">
  <dimension ref="A1:E256"/>
  <sheetViews>
    <sheetView topLeftCell="A7" workbookViewId="0">
      <selection activeCell="E3" sqref="E3"/>
    </sheetView>
  </sheetViews>
  <sheetFormatPr defaultColWidth="10.85546875" defaultRowHeight="15.75" x14ac:dyDescent="0.25"/>
  <cols>
    <col min="1" max="1" width="10.85546875" style="10"/>
    <col min="2" max="2" width="52.140625" style="10" bestFit="1" customWidth="1"/>
    <col min="3" max="3" width="28.28515625" style="10" bestFit="1" customWidth="1"/>
    <col min="4" max="4" width="35.28515625" style="10" bestFit="1" customWidth="1"/>
    <col min="5" max="16384" width="10.85546875" style="10"/>
  </cols>
  <sheetData>
    <row r="1" spans="1:5" x14ac:dyDescent="0.25">
      <c r="A1" s="10" t="s">
        <v>598</v>
      </c>
      <c r="B1" s="10" t="s">
        <v>597</v>
      </c>
      <c r="C1" s="10" t="s">
        <v>596</v>
      </c>
      <c r="D1" s="10" t="s">
        <v>595</v>
      </c>
    </row>
    <row r="2" spans="1:5" x14ac:dyDescent="0.25">
      <c r="A2" s="10" t="s">
        <v>594</v>
      </c>
      <c r="B2" s="10" t="s">
        <v>593</v>
      </c>
      <c r="C2" s="10" t="s">
        <v>222</v>
      </c>
    </row>
    <row r="3" spans="1:5" x14ac:dyDescent="0.25">
      <c r="A3" s="10" t="s">
        <v>592</v>
      </c>
      <c r="B3" s="10" t="s">
        <v>591</v>
      </c>
      <c r="C3" s="10" t="s">
        <v>164</v>
      </c>
      <c r="D3" s="10" t="s">
        <v>163</v>
      </c>
      <c r="E3" s="10">
        <f>COUNTIF(C:C, "Available")</f>
        <v>164</v>
      </c>
    </row>
    <row r="4" spans="1:5" x14ac:dyDescent="0.25">
      <c r="A4" s="10" t="s">
        <v>590</v>
      </c>
      <c r="B4" s="10" t="s">
        <v>589</v>
      </c>
      <c r="C4" s="10" t="s">
        <v>155</v>
      </c>
    </row>
    <row r="5" spans="1:5" x14ac:dyDescent="0.25">
      <c r="A5" s="10" t="s">
        <v>588</v>
      </c>
      <c r="B5" s="10" t="s">
        <v>587</v>
      </c>
      <c r="C5" s="10" t="s">
        <v>164</v>
      </c>
      <c r="D5" s="10" t="s">
        <v>163</v>
      </c>
    </row>
    <row r="6" spans="1:5" x14ac:dyDescent="0.25">
      <c r="A6" s="10" t="s">
        <v>586</v>
      </c>
      <c r="B6" s="10" t="s">
        <v>585</v>
      </c>
      <c r="C6" s="10" t="s">
        <v>155</v>
      </c>
    </row>
    <row r="7" spans="1:5" x14ac:dyDescent="0.25">
      <c r="A7" s="10" t="s">
        <v>584</v>
      </c>
      <c r="B7" s="10" t="s">
        <v>583</v>
      </c>
      <c r="C7" s="10" t="s">
        <v>164</v>
      </c>
      <c r="D7" s="10" t="s">
        <v>163</v>
      </c>
    </row>
    <row r="8" spans="1:5" x14ac:dyDescent="0.25">
      <c r="A8" s="10" t="s">
        <v>582</v>
      </c>
      <c r="B8" s="10" t="s">
        <v>581</v>
      </c>
      <c r="C8" s="10" t="s">
        <v>164</v>
      </c>
      <c r="D8" s="10" t="s">
        <v>167</v>
      </c>
    </row>
    <row r="9" spans="1:5" x14ac:dyDescent="0.25">
      <c r="A9" s="10" t="s">
        <v>580</v>
      </c>
      <c r="B9" s="10" t="s">
        <v>579</v>
      </c>
      <c r="C9" s="10" t="s">
        <v>164</v>
      </c>
      <c r="D9" s="10" t="s">
        <v>167</v>
      </c>
    </row>
    <row r="10" spans="1:5" x14ac:dyDescent="0.25">
      <c r="A10" s="10" t="s">
        <v>578</v>
      </c>
      <c r="B10" s="10" t="s">
        <v>577</v>
      </c>
      <c r="C10" s="10" t="s">
        <v>155</v>
      </c>
    </row>
    <row r="11" spans="1:5" x14ac:dyDescent="0.25">
      <c r="A11" s="10" t="s">
        <v>576</v>
      </c>
      <c r="B11" s="10" t="s">
        <v>575</v>
      </c>
      <c r="C11" s="10" t="s">
        <v>155</v>
      </c>
    </row>
    <row r="12" spans="1:5" x14ac:dyDescent="0.25">
      <c r="A12" s="10" t="s">
        <v>574</v>
      </c>
      <c r="B12" s="10" t="s">
        <v>14</v>
      </c>
      <c r="C12" s="10" t="s">
        <v>155</v>
      </c>
    </row>
    <row r="13" spans="1:5" x14ac:dyDescent="0.25">
      <c r="A13" s="10" t="s">
        <v>573</v>
      </c>
      <c r="B13" s="10" t="s">
        <v>572</v>
      </c>
      <c r="C13" s="10" t="s">
        <v>155</v>
      </c>
    </row>
    <row r="14" spans="1:5" x14ac:dyDescent="0.25">
      <c r="A14" s="10" t="s">
        <v>571</v>
      </c>
      <c r="B14" s="10" t="s">
        <v>570</v>
      </c>
      <c r="C14" s="10" t="s">
        <v>164</v>
      </c>
      <c r="D14" s="10" t="s">
        <v>167</v>
      </c>
    </row>
    <row r="15" spans="1:5" x14ac:dyDescent="0.25">
      <c r="A15" s="10" t="s">
        <v>569</v>
      </c>
      <c r="B15" s="10" t="s">
        <v>16</v>
      </c>
      <c r="C15" s="10" t="s">
        <v>155</v>
      </c>
    </row>
    <row r="16" spans="1:5" x14ac:dyDescent="0.25">
      <c r="A16" s="10" t="s">
        <v>568</v>
      </c>
      <c r="B16" s="10" t="s">
        <v>17</v>
      </c>
      <c r="C16" s="10" t="s">
        <v>155</v>
      </c>
    </row>
    <row r="17" spans="1:4" x14ac:dyDescent="0.25">
      <c r="A17" s="10" t="s">
        <v>567</v>
      </c>
      <c r="B17" s="10" t="s">
        <v>566</v>
      </c>
      <c r="C17" s="10" t="s">
        <v>155</v>
      </c>
    </row>
    <row r="18" spans="1:4" x14ac:dyDescent="0.25">
      <c r="A18" s="10" t="s">
        <v>565</v>
      </c>
      <c r="B18" s="10" t="s">
        <v>18</v>
      </c>
      <c r="C18" s="10" t="s">
        <v>155</v>
      </c>
    </row>
    <row r="19" spans="1:4" x14ac:dyDescent="0.25">
      <c r="A19" s="10" t="s">
        <v>564</v>
      </c>
      <c r="B19" s="10" t="s">
        <v>19</v>
      </c>
      <c r="C19" s="10" t="s">
        <v>155</v>
      </c>
    </row>
    <row r="20" spans="1:4" x14ac:dyDescent="0.25">
      <c r="A20" s="10" t="s">
        <v>563</v>
      </c>
      <c r="B20" s="10" t="s">
        <v>562</v>
      </c>
      <c r="C20" s="10" t="s">
        <v>155</v>
      </c>
    </row>
    <row r="21" spans="1:4" x14ac:dyDescent="0.25">
      <c r="A21" s="10" t="s">
        <v>561</v>
      </c>
      <c r="B21" s="10" t="s">
        <v>20</v>
      </c>
      <c r="C21" s="10" t="s">
        <v>155</v>
      </c>
    </row>
    <row r="22" spans="1:4" x14ac:dyDescent="0.25">
      <c r="A22" s="10" t="s">
        <v>560</v>
      </c>
      <c r="B22" s="10" t="s">
        <v>559</v>
      </c>
      <c r="C22" s="10" t="s">
        <v>222</v>
      </c>
    </row>
    <row r="23" spans="1:4" x14ac:dyDescent="0.25">
      <c r="A23" s="10" t="s">
        <v>558</v>
      </c>
      <c r="B23" s="10" t="s">
        <v>21</v>
      </c>
      <c r="C23" s="10" t="s">
        <v>155</v>
      </c>
    </row>
    <row r="24" spans="1:4" x14ac:dyDescent="0.25">
      <c r="A24" s="10" t="s">
        <v>557</v>
      </c>
      <c r="B24" s="10" t="s">
        <v>556</v>
      </c>
      <c r="C24" s="10" t="s">
        <v>164</v>
      </c>
      <c r="D24" s="10" t="s">
        <v>167</v>
      </c>
    </row>
    <row r="25" spans="1:4" x14ac:dyDescent="0.25">
      <c r="A25" s="10" t="s">
        <v>555</v>
      </c>
      <c r="B25" s="10" t="s">
        <v>554</v>
      </c>
      <c r="C25" s="10" t="s">
        <v>155</v>
      </c>
    </row>
    <row r="26" spans="1:4" x14ac:dyDescent="0.25">
      <c r="A26" s="10" t="s">
        <v>553</v>
      </c>
      <c r="B26" s="10" t="s">
        <v>552</v>
      </c>
      <c r="C26" s="10" t="s">
        <v>164</v>
      </c>
      <c r="D26" s="10" t="s">
        <v>167</v>
      </c>
    </row>
    <row r="27" spans="1:4" x14ac:dyDescent="0.25">
      <c r="A27" s="10" t="s">
        <v>551</v>
      </c>
      <c r="B27" s="10" t="s">
        <v>550</v>
      </c>
      <c r="C27" s="10" t="s">
        <v>155</v>
      </c>
    </row>
    <row r="28" spans="1:4" x14ac:dyDescent="0.25">
      <c r="A28" s="10" t="s">
        <v>549</v>
      </c>
      <c r="B28" s="10" t="s">
        <v>548</v>
      </c>
      <c r="C28" s="10" t="s">
        <v>155</v>
      </c>
    </row>
    <row r="29" spans="1:4" x14ac:dyDescent="0.25">
      <c r="A29" s="10" t="s">
        <v>547</v>
      </c>
      <c r="B29" s="10" t="s">
        <v>546</v>
      </c>
      <c r="C29" s="10" t="s">
        <v>164</v>
      </c>
      <c r="D29" s="10" t="s">
        <v>167</v>
      </c>
    </row>
    <row r="30" spans="1:4" x14ac:dyDescent="0.25">
      <c r="A30" s="10" t="s">
        <v>545</v>
      </c>
      <c r="B30" s="10" t="s">
        <v>544</v>
      </c>
      <c r="C30" s="10" t="s">
        <v>155</v>
      </c>
    </row>
    <row r="31" spans="1:4" x14ac:dyDescent="0.25">
      <c r="A31" s="10" t="s">
        <v>543</v>
      </c>
      <c r="B31" s="10" t="s">
        <v>542</v>
      </c>
      <c r="C31" s="10" t="s">
        <v>155</v>
      </c>
    </row>
    <row r="32" spans="1:4" x14ac:dyDescent="0.25">
      <c r="A32" s="10" t="s">
        <v>541</v>
      </c>
      <c r="B32" s="10" t="s">
        <v>23</v>
      </c>
      <c r="C32" s="10" t="s">
        <v>155</v>
      </c>
    </row>
    <row r="33" spans="1:4" x14ac:dyDescent="0.25">
      <c r="A33" s="10" t="s">
        <v>540</v>
      </c>
      <c r="B33" s="10" t="s">
        <v>539</v>
      </c>
      <c r="C33" s="10" t="s">
        <v>164</v>
      </c>
      <c r="D33" s="10" t="s">
        <v>163</v>
      </c>
    </row>
    <row r="34" spans="1:4" x14ac:dyDescent="0.25">
      <c r="A34" s="10" t="s">
        <v>538</v>
      </c>
      <c r="B34" s="10" t="s">
        <v>537</v>
      </c>
      <c r="C34" s="10" t="s">
        <v>164</v>
      </c>
      <c r="D34" s="10" t="s">
        <v>172</v>
      </c>
    </row>
    <row r="35" spans="1:4" x14ac:dyDescent="0.25">
      <c r="A35" s="10" t="s">
        <v>536</v>
      </c>
      <c r="B35" s="10" t="s">
        <v>24</v>
      </c>
      <c r="C35" s="10" t="s">
        <v>155</v>
      </c>
    </row>
    <row r="36" spans="1:4" x14ac:dyDescent="0.25">
      <c r="A36" s="10" t="s">
        <v>535</v>
      </c>
      <c r="B36" s="10" t="s">
        <v>534</v>
      </c>
      <c r="C36" s="10" t="s">
        <v>164</v>
      </c>
      <c r="D36" s="10" t="s">
        <v>167</v>
      </c>
    </row>
    <row r="37" spans="1:4" x14ac:dyDescent="0.25">
      <c r="A37" s="10" t="s">
        <v>533</v>
      </c>
      <c r="B37" s="10" t="s">
        <v>532</v>
      </c>
      <c r="C37" s="10" t="s">
        <v>155</v>
      </c>
    </row>
    <row r="38" spans="1:4" x14ac:dyDescent="0.25">
      <c r="A38" s="10" t="s">
        <v>531</v>
      </c>
      <c r="B38" s="10" t="s">
        <v>530</v>
      </c>
      <c r="C38" s="10" t="s">
        <v>155</v>
      </c>
    </row>
    <row r="39" spans="1:4" x14ac:dyDescent="0.25">
      <c r="A39" s="10" t="s">
        <v>529</v>
      </c>
      <c r="B39" s="10" t="s">
        <v>25</v>
      </c>
      <c r="C39" s="10" t="s">
        <v>164</v>
      </c>
      <c r="D39" s="10" t="s">
        <v>167</v>
      </c>
    </row>
    <row r="40" spans="1:4" x14ac:dyDescent="0.25">
      <c r="A40" s="10" t="s">
        <v>528</v>
      </c>
      <c r="B40" s="10" t="s">
        <v>527</v>
      </c>
      <c r="C40" s="10" t="s">
        <v>164</v>
      </c>
      <c r="D40" s="10" t="s">
        <v>167</v>
      </c>
    </row>
    <row r="41" spans="1:4" x14ac:dyDescent="0.25">
      <c r="A41" s="10" t="s">
        <v>526</v>
      </c>
      <c r="B41" s="10" t="s">
        <v>26</v>
      </c>
      <c r="C41" s="10" t="s">
        <v>155</v>
      </c>
    </row>
    <row r="42" spans="1:4" x14ac:dyDescent="0.25">
      <c r="A42" s="10" t="s">
        <v>525</v>
      </c>
      <c r="B42" s="10" t="s">
        <v>524</v>
      </c>
      <c r="C42" s="10" t="s">
        <v>155</v>
      </c>
    </row>
    <row r="43" spans="1:4" x14ac:dyDescent="0.25">
      <c r="A43" s="10" t="s">
        <v>523</v>
      </c>
      <c r="B43" s="10" t="s">
        <v>522</v>
      </c>
      <c r="C43" s="10" t="s">
        <v>155</v>
      </c>
    </row>
    <row r="44" spans="1:4" x14ac:dyDescent="0.25">
      <c r="A44" s="10" t="s">
        <v>521</v>
      </c>
      <c r="B44" s="10" t="s">
        <v>520</v>
      </c>
      <c r="C44" s="10" t="s">
        <v>155</v>
      </c>
    </row>
    <row r="45" spans="1:4" x14ac:dyDescent="0.25">
      <c r="A45" s="10" t="s">
        <v>519</v>
      </c>
      <c r="B45" s="10" t="s">
        <v>518</v>
      </c>
      <c r="C45" s="10" t="s">
        <v>155</v>
      </c>
    </row>
    <row r="46" spans="1:4" x14ac:dyDescent="0.25">
      <c r="A46" s="10" t="s">
        <v>517</v>
      </c>
      <c r="B46" s="10" t="s">
        <v>27</v>
      </c>
      <c r="C46" s="10" t="s">
        <v>155</v>
      </c>
    </row>
    <row r="47" spans="1:4" x14ac:dyDescent="0.25">
      <c r="A47" s="10" t="s">
        <v>516</v>
      </c>
      <c r="B47" s="10" t="s">
        <v>28</v>
      </c>
      <c r="C47" s="10" t="s">
        <v>222</v>
      </c>
    </row>
    <row r="48" spans="1:4" x14ac:dyDescent="0.25">
      <c r="A48" s="10" t="s">
        <v>515</v>
      </c>
      <c r="B48" s="10" t="s">
        <v>514</v>
      </c>
      <c r="C48" s="10" t="s">
        <v>155</v>
      </c>
    </row>
    <row r="49" spans="1:4" x14ac:dyDescent="0.25">
      <c r="A49" s="10" t="s">
        <v>513</v>
      </c>
      <c r="B49" s="10" t="s">
        <v>512</v>
      </c>
      <c r="C49" s="10" t="s">
        <v>164</v>
      </c>
      <c r="D49" s="10" t="s">
        <v>163</v>
      </c>
    </row>
    <row r="50" spans="1:4" x14ac:dyDescent="0.25">
      <c r="A50" s="10" t="s">
        <v>511</v>
      </c>
      <c r="B50" s="10" t="s">
        <v>510</v>
      </c>
      <c r="C50" s="10" t="s">
        <v>155</v>
      </c>
    </row>
    <row r="51" spans="1:4" x14ac:dyDescent="0.25">
      <c r="A51" s="10" t="s">
        <v>509</v>
      </c>
      <c r="B51" s="10" t="s">
        <v>29</v>
      </c>
      <c r="C51" s="10" t="s">
        <v>155</v>
      </c>
    </row>
    <row r="52" spans="1:4" x14ac:dyDescent="0.25">
      <c r="A52" s="10" t="s">
        <v>508</v>
      </c>
      <c r="B52" s="10" t="s">
        <v>507</v>
      </c>
      <c r="C52" s="10" t="s">
        <v>164</v>
      </c>
      <c r="D52" s="10" t="s">
        <v>167</v>
      </c>
    </row>
    <row r="53" spans="1:4" x14ac:dyDescent="0.25">
      <c r="A53" s="10" t="s">
        <v>506</v>
      </c>
      <c r="B53" s="10" t="s">
        <v>505</v>
      </c>
      <c r="C53" s="10" t="s">
        <v>164</v>
      </c>
      <c r="D53" s="10" t="s">
        <v>167</v>
      </c>
    </row>
    <row r="54" spans="1:4" x14ac:dyDescent="0.25">
      <c r="A54" s="10" t="s">
        <v>504</v>
      </c>
      <c r="B54" s="10" t="s">
        <v>503</v>
      </c>
      <c r="C54" s="10" t="s">
        <v>155</v>
      </c>
    </row>
    <row r="55" spans="1:4" x14ac:dyDescent="0.25">
      <c r="A55" s="10" t="s">
        <v>502</v>
      </c>
      <c r="B55" s="10" t="s">
        <v>501</v>
      </c>
      <c r="C55" s="10" t="s">
        <v>155</v>
      </c>
    </row>
    <row r="56" spans="1:4" x14ac:dyDescent="0.25">
      <c r="A56" s="10" t="s">
        <v>500</v>
      </c>
      <c r="B56" s="10" t="s">
        <v>30</v>
      </c>
      <c r="C56" s="10" t="s">
        <v>155</v>
      </c>
    </row>
    <row r="57" spans="1:4" x14ac:dyDescent="0.25">
      <c r="A57" s="10" t="s">
        <v>499</v>
      </c>
      <c r="B57" s="10" t="s">
        <v>31</v>
      </c>
      <c r="C57" s="10" t="s">
        <v>155</v>
      </c>
    </row>
    <row r="58" spans="1:4" x14ac:dyDescent="0.25">
      <c r="A58" s="10" t="s">
        <v>498</v>
      </c>
      <c r="B58" s="10" t="s">
        <v>497</v>
      </c>
      <c r="C58" s="10" t="s">
        <v>164</v>
      </c>
    </row>
    <row r="59" spans="1:4" x14ac:dyDescent="0.25">
      <c r="A59" s="10" t="s">
        <v>496</v>
      </c>
      <c r="B59" s="10" t="s">
        <v>495</v>
      </c>
      <c r="C59" s="10" t="s">
        <v>164</v>
      </c>
      <c r="D59" s="10" t="s">
        <v>167</v>
      </c>
    </row>
    <row r="60" spans="1:4" x14ac:dyDescent="0.25">
      <c r="A60" s="10" t="s">
        <v>494</v>
      </c>
      <c r="B60" s="10" t="s">
        <v>493</v>
      </c>
      <c r="C60" s="10" t="s">
        <v>186</v>
      </c>
    </row>
    <row r="61" spans="1:4" x14ac:dyDescent="0.25">
      <c r="A61" s="10" t="s">
        <v>492</v>
      </c>
      <c r="B61" s="10" t="s">
        <v>32</v>
      </c>
      <c r="C61" s="10" t="s">
        <v>155</v>
      </c>
    </row>
    <row r="62" spans="1:4" x14ac:dyDescent="0.25">
      <c r="A62" s="10" t="s">
        <v>491</v>
      </c>
      <c r="B62" s="10" t="s">
        <v>490</v>
      </c>
      <c r="C62" s="10" t="s">
        <v>164</v>
      </c>
      <c r="D62" s="10" t="s">
        <v>167</v>
      </c>
    </row>
    <row r="63" spans="1:4" x14ac:dyDescent="0.25">
      <c r="A63" s="10" t="s">
        <v>489</v>
      </c>
      <c r="B63" s="10" t="s">
        <v>33</v>
      </c>
      <c r="C63" s="10" t="s">
        <v>155</v>
      </c>
    </row>
    <row r="64" spans="1:4" x14ac:dyDescent="0.25">
      <c r="A64" s="10" t="s">
        <v>488</v>
      </c>
      <c r="B64" s="10" t="s">
        <v>487</v>
      </c>
      <c r="C64" s="10" t="s">
        <v>164</v>
      </c>
      <c r="D64" s="10" t="s">
        <v>163</v>
      </c>
    </row>
    <row r="65" spans="1:4" x14ac:dyDescent="0.25">
      <c r="A65" s="10" t="s">
        <v>486</v>
      </c>
      <c r="B65" s="10" t="s">
        <v>485</v>
      </c>
      <c r="C65" s="10" t="s">
        <v>155</v>
      </c>
    </row>
    <row r="66" spans="1:4" x14ac:dyDescent="0.25">
      <c r="A66" s="10" t="s">
        <v>484</v>
      </c>
      <c r="B66" s="10" t="s">
        <v>34</v>
      </c>
      <c r="C66" s="10" t="s">
        <v>155</v>
      </c>
    </row>
    <row r="67" spans="1:4" x14ac:dyDescent="0.25">
      <c r="A67" s="10" t="s">
        <v>483</v>
      </c>
      <c r="B67" s="10" t="s">
        <v>36</v>
      </c>
      <c r="C67" s="10" t="s">
        <v>155</v>
      </c>
    </row>
    <row r="68" spans="1:4" x14ac:dyDescent="0.25">
      <c r="A68" s="10" t="s">
        <v>482</v>
      </c>
      <c r="B68" s="10" t="s">
        <v>37</v>
      </c>
      <c r="C68" s="10" t="s">
        <v>241</v>
      </c>
    </row>
    <row r="69" spans="1:4" x14ac:dyDescent="0.25">
      <c r="A69" s="10" t="s">
        <v>481</v>
      </c>
      <c r="B69" s="10" t="s">
        <v>38</v>
      </c>
      <c r="C69" s="10" t="s">
        <v>155</v>
      </c>
    </row>
    <row r="70" spans="1:4" x14ac:dyDescent="0.25">
      <c r="A70" s="10" t="s">
        <v>480</v>
      </c>
      <c r="B70" s="10" t="s">
        <v>479</v>
      </c>
      <c r="C70" s="10" t="s">
        <v>164</v>
      </c>
      <c r="D70" s="10" t="s">
        <v>167</v>
      </c>
    </row>
    <row r="71" spans="1:4" x14ac:dyDescent="0.25">
      <c r="A71" s="10" t="s">
        <v>478</v>
      </c>
      <c r="B71" s="10" t="s">
        <v>477</v>
      </c>
      <c r="C71" s="10" t="s">
        <v>164</v>
      </c>
      <c r="D71" s="10" t="s">
        <v>163</v>
      </c>
    </row>
    <row r="72" spans="1:4" x14ac:dyDescent="0.25">
      <c r="A72" s="10" t="s">
        <v>476</v>
      </c>
      <c r="B72" s="10" t="s">
        <v>39</v>
      </c>
      <c r="C72" s="10" t="s">
        <v>155</v>
      </c>
    </row>
    <row r="73" spans="1:4" x14ac:dyDescent="0.25">
      <c r="A73" s="10" t="s">
        <v>475</v>
      </c>
      <c r="B73" s="10" t="s">
        <v>474</v>
      </c>
      <c r="C73" s="10" t="s">
        <v>155</v>
      </c>
    </row>
    <row r="74" spans="1:4" x14ac:dyDescent="0.25">
      <c r="A74" s="10" t="s">
        <v>473</v>
      </c>
      <c r="B74" s="10" t="s">
        <v>472</v>
      </c>
      <c r="C74" s="10" t="s">
        <v>164</v>
      </c>
      <c r="D74" s="10" t="s">
        <v>163</v>
      </c>
    </row>
    <row r="75" spans="1:4" x14ac:dyDescent="0.25">
      <c r="A75" s="10" t="s">
        <v>471</v>
      </c>
      <c r="B75" s="10" t="s">
        <v>470</v>
      </c>
      <c r="C75" s="10" t="s">
        <v>155</v>
      </c>
    </row>
    <row r="76" spans="1:4" x14ac:dyDescent="0.25">
      <c r="A76" s="10" t="s">
        <v>469</v>
      </c>
      <c r="B76" s="10" t="s">
        <v>468</v>
      </c>
      <c r="C76" s="10" t="s">
        <v>155</v>
      </c>
    </row>
    <row r="77" spans="1:4" x14ac:dyDescent="0.25">
      <c r="A77" s="10" t="s">
        <v>467</v>
      </c>
      <c r="B77" s="10" t="s">
        <v>466</v>
      </c>
      <c r="C77" s="10" t="s">
        <v>155</v>
      </c>
    </row>
    <row r="78" spans="1:4" x14ac:dyDescent="0.25">
      <c r="A78" s="10" t="s">
        <v>465</v>
      </c>
      <c r="B78" s="10" t="s">
        <v>40</v>
      </c>
      <c r="C78" s="10" t="s">
        <v>155</v>
      </c>
    </row>
    <row r="79" spans="1:4" x14ac:dyDescent="0.25">
      <c r="A79" s="10" t="s">
        <v>464</v>
      </c>
      <c r="B79" s="10" t="s">
        <v>41</v>
      </c>
      <c r="C79" s="10" t="s">
        <v>155</v>
      </c>
    </row>
    <row r="80" spans="1:4" x14ac:dyDescent="0.25">
      <c r="A80" s="10" t="s">
        <v>463</v>
      </c>
      <c r="B80" s="10" t="s">
        <v>462</v>
      </c>
      <c r="C80" s="10" t="s">
        <v>155</v>
      </c>
    </row>
    <row r="81" spans="1:4" x14ac:dyDescent="0.25">
      <c r="A81" s="10" t="s">
        <v>461</v>
      </c>
      <c r="B81" s="10" t="s">
        <v>460</v>
      </c>
      <c r="C81" s="10" t="s">
        <v>164</v>
      </c>
      <c r="D81" s="10" t="s">
        <v>167</v>
      </c>
    </row>
    <row r="82" spans="1:4" x14ac:dyDescent="0.25">
      <c r="A82" s="10" t="s">
        <v>459</v>
      </c>
      <c r="B82" s="10" t="s">
        <v>458</v>
      </c>
      <c r="C82" s="10" t="s">
        <v>164</v>
      </c>
      <c r="D82" s="10" t="s">
        <v>163</v>
      </c>
    </row>
    <row r="83" spans="1:4" x14ac:dyDescent="0.25">
      <c r="A83" s="10" t="s">
        <v>457</v>
      </c>
      <c r="B83" s="10" t="s">
        <v>456</v>
      </c>
      <c r="C83" s="10" t="s">
        <v>164</v>
      </c>
      <c r="D83" s="10" t="s">
        <v>167</v>
      </c>
    </row>
    <row r="84" spans="1:4" x14ac:dyDescent="0.25">
      <c r="A84" s="10" t="s">
        <v>455</v>
      </c>
      <c r="B84" s="10" t="s">
        <v>454</v>
      </c>
      <c r="C84" s="10" t="s">
        <v>164</v>
      </c>
      <c r="D84" s="10" t="s">
        <v>167</v>
      </c>
    </row>
    <row r="85" spans="1:4" x14ac:dyDescent="0.25">
      <c r="A85" s="10" t="s">
        <v>453</v>
      </c>
      <c r="B85" s="10" t="s">
        <v>452</v>
      </c>
      <c r="C85" s="10" t="s">
        <v>186</v>
      </c>
    </row>
    <row r="86" spans="1:4" x14ac:dyDescent="0.25">
      <c r="A86" s="10" t="s">
        <v>451</v>
      </c>
      <c r="B86" s="10" t="s">
        <v>42</v>
      </c>
      <c r="C86" s="10" t="s">
        <v>155</v>
      </c>
    </row>
    <row r="87" spans="1:4" x14ac:dyDescent="0.25">
      <c r="A87" s="10" t="s">
        <v>450</v>
      </c>
      <c r="B87" s="10" t="s">
        <v>449</v>
      </c>
      <c r="C87" s="10" t="s">
        <v>155</v>
      </c>
    </row>
    <row r="88" spans="1:4" x14ac:dyDescent="0.25">
      <c r="A88" s="10" t="s">
        <v>448</v>
      </c>
      <c r="B88" s="10" t="s">
        <v>447</v>
      </c>
      <c r="C88" s="10" t="s">
        <v>155</v>
      </c>
    </row>
    <row r="89" spans="1:4" x14ac:dyDescent="0.25">
      <c r="A89" s="10" t="s">
        <v>446</v>
      </c>
      <c r="B89" s="10" t="s">
        <v>43</v>
      </c>
      <c r="C89" s="10" t="s">
        <v>155</v>
      </c>
    </row>
    <row r="90" spans="1:4" x14ac:dyDescent="0.25">
      <c r="A90" s="10" t="s">
        <v>445</v>
      </c>
      <c r="B90" s="10" t="s">
        <v>444</v>
      </c>
      <c r="C90" s="10" t="s">
        <v>164</v>
      </c>
      <c r="D90" s="10" t="s">
        <v>163</v>
      </c>
    </row>
    <row r="91" spans="1:4" x14ac:dyDescent="0.25">
      <c r="A91" s="10" t="s">
        <v>443</v>
      </c>
      <c r="B91" s="10" t="s">
        <v>442</v>
      </c>
      <c r="C91" s="10" t="s">
        <v>164</v>
      </c>
      <c r="D91" s="10" t="s">
        <v>167</v>
      </c>
    </row>
    <row r="92" spans="1:4" x14ac:dyDescent="0.25">
      <c r="A92" s="10" t="s">
        <v>441</v>
      </c>
      <c r="B92" s="10" t="s">
        <v>440</v>
      </c>
      <c r="C92" s="10" t="s">
        <v>155</v>
      </c>
    </row>
    <row r="93" spans="1:4" x14ac:dyDescent="0.25">
      <c r="A93" s="10" t="s">
        <v>439</v>
      </c>
      <c r="B93" s="10" t="s">
        <v>438</v>
      </c>
      <c r="C93" s="10" t="s">
        <v>155</v>
      </c>
    </row>
    <row r="94" spans="1:4" x14ac:dyDescent="0.25">
      <c r="A94" s="10" t="s">
        <v>437</v>
      </c>
      <c r="B94" s="10" t="s">
        <v>44</v>
      </c>
      <c r="C94" s="10" t="s">
        <v>155</v>
      </c>
    </row>
    <row r="95" spans="1:4" x14ac:dyDescent="0.25">
      <c r="A95" s="10" t="s">
        <v>436</v>
      </c>
      <c r="B95" s="10" t="s">
        <v>435</v>
      </c>
      <c r="C95" s="10" t="s">
        <v>155</v>
      </c>
    </row>
    <row r="96" spans="1:4" x14ac:dyDescent="0.25">
      <c r="A96" s="10" t="s">
        <v>434</v>
      </c>
      <c r="B96" s="10" t="s">
        <v>433</v>
      </c>
      <c r="C96" s="10" t="s">
        <v>164</v>
      </c>
      <c r="D96" s="10" t="s">
        <v>167</v>
      </c>
    </row>
    <row r="97" spans="1:4" x14ac:dyDescent="0.25">
      <c r="A97" s="10" t="s">
        <v>432</v>
      </c>
      <c r="B97" s="10" t="s">
        <v>431</v>
      </c>
      <c r="C97" s="10" t="s">
        <v>155</v>
      </c>
    </row>
    <row r="98" spans="1:4" x14ac:dyDescent="0.25">
      <c r="A98" s="10" t="s">
        <v>430</v>
      </c>
      <c r="B98" s="10" t="s">
        <v>429</v>
      </c>
      <c r="C98" s="10" t="s">
        <v>155</v>
      </c>
    </row>
    <row r="99" spans="1:4" x14ac:dyDescent="0.25">
      <c r="A99" s="10" t="s">
        <v>428</v>
      </c>
      <c r="B99" s="10" t="s">
        <v>427</v>
      </c>
      <c r="C99" s="10" t="s">
        <v>155</v>
      </c>
    </row>
    <row r="100" spans="1:4" x14ac:dyDescent="0.25">
      <c r="A100" s="10" t="s">
        <v>426</v>
      </c>
      <c r="B100" s="10" t="s">
        <v>425</v>
      </c>
      <c r="C100" s="10" t="s">
        <v>155</v>
      </c>
    </row>
    <row r="101" spans="1:4" x14ac:dyDescent="0.25">
      <c r="A101" s="10" t="s">
        <v>424</v>
      </c>
      <c r="B101" s="10" t="s">
        <v>423</v>
      </c>
      <c r="C101" s="10" t="s">
        <v>164</v>
      </c>
      <c r="D101" s="10" t="s">
        <v>163</v>
      </c>
    </row>
    <row r="102" spans="1:4" x14ac:dyDescent="0.25">
      <c r="A102" s="10" t="s">
        <v>422</v>
      </c>
      <c r="B102" s="10" t="s">
        <v>45</v>
      </c>
      <c r="C102" s="10" t="s">
        <v>155</v>
      </c>
    </row>
    <row r="103" spans="1:4" x14ac:dyDescent="0.25">
      <c r="A103" s="10" t="s">
        <v>421</v>
      </c>
      <c r="B103" s="10" t="s">
        <v>46</v>
      </c>
      <c r="C103" s="10" t="s">
        <v>222</v>
      </c>
    </row>
    <row r="104" spans="1:4" x14ac:dyDescent="0.25">
      <c r="A104" s="10" t="s">
        <v>420</v>
      </c>
      <c r="B104" s="10" t="s">
        <v>47</v>
      </c>
      <c r="C104" s="10" t="s">
        <v>155</v>
      </c>
    </row>
    <row r="105" spans="1:4" x14ac:dyDescent="0.25">
      <c r="A105" s="10" t="s">
        <v>419</v>
      </c>
      <c r="B105" s="10" t="s">
        <v>418</v>
      </c>
      <c r="C105" s="10" t="s">
        <v>155</v>
      </c>
    </row>
    <row r="106" spans="1:4" x14ac:dyDescent="0.25">
      <c r="A106" s="10" t="s">
        <v>417</v>
      </c>
      <c r="B106" s="10" t="s">
        <v>48</v>
      </c>
      <c r="C106" s="10" t="s">
        <v>214</v>
      </c>
    </row>
    <row r="107" spans="1:4" x14ac:dyDescent="0.25">
      <c r="A107" s="10" t="s">
        <v>416</v>
      </c>
      <c r="B107" s="10" t="s">
        <v>415</v>
      </c>
      <c r="C107" s="10" t="s">
        <v>164</v>
      </c>
      <c r="D107" s="10" t="s">
        <v>414</v>
      </c>
    </row>
    <row r="108" spans="1:4" x14ac:dyDescent="0.25">
      <c r="A108" s="10" t="s">
        <v>413</v>
      </c>
      <c r="B108" s="10" t="s">
        <v>49</v>
      </c>
      <c r="C108" s="10" t="s">
        <v>155</v>
      </c>
    </row>
    <row r="109" spans="1:4" x14ac:dyDescent="0.25">
      <c r="A109" s="10" t="s">
        <v>412</v>
      </c>
      <c r="B109" s="10" t="s">
        <v>411</v>
      </c>
      <c r="C109" s="10" t="s">
        <v>164</v>
      </c>
    </row>
    <row r="110" spans="1:4" x14ac:dyDescent="0.25">
      <c r="A110" s="10" t="s">
        <v>410</v>
      </c>
      <c r="B110" s="10" t="s">
        <v>50</v>
      </c>
      <c r="C110" s="10" t="s">
        <v>164</v>
      </c>
      <c r="D110" s="10" t="s">
        <v>163</v>
      </c>
    </row>
    <row r="111" spans="1:4" x14ac:dyDescent="0.25">
      <c r="A111" s="10" t="s">
        <v>409</v>
      </c>
      <c r="B111" s="10" t="s">
        <v>51</v>
      </c>
      <c r="C111" s="10" t="s">
        <v>155</v>
      </c>
    </row>
    <row r="112" spans="1:4" x14ac:dyDescent="0.25">
      <c r="A112" s="10" t="s">
        <v>408</v>
      </c>
      <c r="B112" s="10" t="s">
        <v>407</v>
      </c>
      <c r="C112" s="10" t="s">
        <v>155</v>
      </c>
    </row>
    <row r="113" spans="1:4" x14ac:dyDescent="0.25">
      <c r="A113" s="10" t="s">
        <v>406</v>
      </c>
      <c r="B113" s="10" t="s">
        <v>52</v>
      </c>
      <c r="C113" s="10" t="s">
        <v>155</v>
      </c>
    </row>
    <row r="114" spans="1:4" x14ac:dyDescent="0.25">
      <c r="A114" s="10" t="s">
        <v>405</v>
      </c>
      <c r="B114" s="10" t="s">
        <v>53</v>
      </c>
      <c r="C114" s="10" t="s">
        <v>155</v>
      </c>
    </row>
    <row r="115" spans="1:4" x14ac:dyDescent="0.25">
      <c r="A115" s="10" t="s">
        <v>404</v>
      </c>
      <c r="B115" s="10" t="s">
        <v>54</v>
      </c>
      <c r="C115" s="10" t="s">
        <v>155</v>
      </c>
    </row>
    <row r="116" spans="1:4" x14ac:dyDescent="0.25">
      <c r="A116" s="10" t="s">
        <v>403</v>
      </c>
      <c r="B116" s="10" t="s">
        <v>402</v>
      </c>
      <c r="C116" s="10" t="s">
        <v>164</v>
      </c>
      <c r="D116" s="10" t="s">
        <v>401</v>
      </c>
    </row>
    <row r="117" spans="1:4" x14ac:dyDescent="0.25">
      <c r="A117" s="10" t="s">
        <v>400</v>
      </c>
      <c r="B117" s="10" t="s">
        <v>55</v>
      </c>
      <c r="C117" s="10" t="s">
        <v>155</v>
      </c>
    </row>
    <row r="118" spans="1:4" x14ac:dyDescent="0.25">
      <c r="A118" s="10" t="s">
        <v>399</v>
      </c>
      <c r="B118" s="10" t="s">
        <v>398</v>
      </c>
      <c r="C118" s="10" t="s">
        <v>155</v>
      </c>
    </row>
    <row r="119" spans="1:4" x14ac:dyDescent="0.25">
      <c r="A119" s="10" t="s">
        <v>397</v>
      </c>
      <c r="B119" s="10" t="s">
        <v>56</v>
      </c>
      <c r="C119" s="10" t="s">
        <v>155</v>
      </c>
    </row>
    <row r="120" spans="1:4" x14ac:dyDescent="0.25">
      <c r="A120" s="10" t="s">
        <v>396</v>
      </c>
      <c r="B120" s="10" t="s">
        <v>395</v>
      </c>
      <c r="C120" s="10" t="s">
        <v>155</v>
      </c>
    </row>
    <row r="121" spans="1:4" x14ac:dyDescent="0.25">
      <c r="A121" s="10" t="s">
        <v>394</v>
      </c>
      <c r="B121" s="10" t="s">
        <v>57</v>
      </c>
      <c r="C121" s="10" t="s">
        <v>155</v>
      </c>
    </row>
    <row r="122" spans="1:4" x14ac:dyDescent="0.25">
      <c r="A122" s="10" t="s">
        <v>393</v>
      </c>
      <c r="B122" s="10" t="s">
        <v>392</v>
      </c>
      <c r="C122" s="10" t="s">
        <v>155</v>
      </c>
    </row>
    <row r="123" spans="1:4" x14ac:dyDescent="0.25">
      <c r="A123" s="10" t="s">
        <v>391</v>
      </c>
      <c r="B123" s="10" t="s">
        <v>390</v>
      </c>
      <c r="C123" s="10" t="s">
        <v>222</v>
      </c>
    </row>
    <row r="124" spans="1:4" x14ac:dyDescent="0.25">
      <c r="A124" s="10" t="s">
        <v>389</v>
      </c>
      <c r="B124" s="10" t="s">
        <v>388</v>
      </c>
      <c r="C124" s="10" t="s">
        <v>155</v>
      </c>
    </row>
    <row r="125" spans="1:4" x14ac:dyDescent="0.25">
      <c r="A125" s="10" t="s">
        <v>387</v>
      </c>
      <c r="B125" s="10" t="s">
        <v>386</v>
      </c>
      <c r="C125" s="10" t="s">
        <v>155</v>
      </c>
    </row>
    <row r="126" spans="1:4" x14ac:dyDescent="0.25">
      <c r="A126" s="10" t="s">
        <v>385</v>
      </c>
      <c r="B126" s="10" t="s">
        <v>59</v>
      </c>
      <c r="C126" s="10" t="s">
        <v>155</v>
      </c>
    </row>
    <row r="127" spans="1:4" x14ac:dyDescent="0.25">
      <c r="A127" s="10" t="s">
        <v>384</v>
      </c>
      <c r="B127" s="10" t="s">
        <v>383</v>
      </c>
      <c r="C127" s="10" t="s">
        <v>155</v>
      </c>
    </row>
    <row r="128" spans="1:4" x14ac:dyDescent="0.25">
      <c r="A128" s="10" t="s">
        <v>382</v>
      </c>
      <c r="B128" s="10" t="s">
        <v>381</v>
      </c>
      <c r="C128" s="10" t="s">
        <v>164</v>
      </c>
      <c r="D128" s="10" t="s">
        <v>167</v>
      </c>
    </row>
    <row r="129" spans="1:4" x14ac:dyDescent="0.25">
      <c r="A129" s="10" t="s">
        <v>380</v>
      </c>
      <c r="B129" s="10" t="s">
        <v>62</v>
      </c>
      <c r="C129" s="10" t="s">
        <v>155</v>
      </c>
    </row>
    <row r="130" spans="1:4" x14ac:dyDescent="0.25">
      <c r="A130" s="10" t="s">
        <v>379</v>
      </c>
      <c r="B130" s="10" t="s">
        <v>63</v>
      </c>
      <c r="C130" s="10" t="s">
        <v>164</v>
      </c>
      <c r="D130" s="10" t="s">
        <v>163</v>
      </c>
    </row>
    <row r="131" spans="1:4" x14ac:dyDescent="0.25">
      <c r="A131" s="10" t="s">
        <v>378</v>
      </c>
      <c r="B131" s="10" t="s">
        <v>377</v>
      </c>
      <c r="C131" s="10" t="s">
        <v>155</v>
      </c>
    </row>
    <row r="132" spans="1:4" x14ac:dyDescent="0.25">
      <c r="A132" s="10" t="s">
        <v>376</v>
      </c>
      <c r="B132" s="10" t="s">
        <v>375</v>
      </c>
      <c r="C132" s="10" t="s">
        <v>155</v>
      </c>
    </row>
    <row r="133" spans="1:4" x14ac:dyDescent="0.25">
      <c r="A133" s="10" t="s">
        <v>374</v>
      </c>
      <c r="B133" s="10" t="s">
        <v>373</v>
      </c>
      <c r="C133" s="10" t="s">
        <v>164</v>
      </c>
      <c r="D133" s="10" t="s">
        <v>163</v>
      </c>
    </row>
    <row r="134" spans="1:4" x14ac:dyDescent="0.25">
      <c r="A134" s="10" t="s">
        <v>372</v>
      </c>
      <c r="B134" s="10" t="s">
        <v>371</v>
      </c>
      <c r="C134" s="10" t="s">
        <v>155</v>
      </c>
    </row>
    <row r="135" spans="1:4" x14ac:dyDescent="0.25">
      <c r="A135" s="10" t="s">
        <v>370</v>
      </c>
      <c r="B135" s="10" t="s">
        <v>64</v>
      </c>
      <c r="C135" s="10" t="s">
        <v>155</v>
      </c>
    </row>
    <row r="136" spans="1:4" x14ac:dyDescent="0.25">
      <c r="A136" s="10" t="s">
        <v>369</v>
      </c>
      <c r="B136" s="10" t="s">
        <v>368</v>
      </c>
      <c r="C136" s="10" t="s">
        <v>155</v>
      </c>
    </row>
    <row r="137" spans="1:4" x14ac:dyDescent="0.25">
      <c r="A137" s="10" t="s">
        <v>367</v>
      </c>
      <c r="B137" s="10" t="s">
        <v>366</v>
      </c>
      <c r="C137" s="10" t="s">
        <v>222</v>
      </c>
    </row>
    <row r="138" spans="1:4" x14ac:dyDescent="0.25">
      <c r="A138" s="10" t="s">
        <v>365</v>
      </c>
      <c r="B138" s="10" t="s">
        <v>364</v>
      </c>
      <c r="C138" s="10" t="s">
        <v>155</v>
      </c>
    </row>
    <row r="139" spans="1:4" x14ac:dyDescent="0.25">
      <c r="A139" s="10" t="s">
        <v>363</v>
      </c>
      <c r="B139" s="10" t="s">
        <v>362</v>
      </c>
      <c r="C139" s="10" t="s">
        <v>155</v>
      </c>
    </row>
    <row r="140" spans="1:4" x14ac:dyDescent="0.25">
      <c r="A140" s="10" t="s">
        <v>361</v>
      </c>
      <c r="B140" s="10" t="s">
        <v>65</v>
      </c>
      <c r="C140" s="10" t="s">
        <v>155</v>
      </c>
    </row>
    <row r="141" spans="1:4" x14ac:dyDescent="0.25">
      <c r="A141" s="10" t="s">
        <v>360</v>
      </c>
      <c r="B141" s="10" t="s">
        <v>359</v>
      </c>
      <c r="C141" s="10" t="s">
        <v>155</v>
      </c>
    </row>
    <row r="142" spans="1:4" x14ac:dyDescent="0.25">
      <c r="A142" s="10" t="s">
        <v>358</v>
      </c>
      <c r="B142" s="10" t="s">
        <v>357</v>
      </c>
      <c r="C142" s="10" t="s">
        <v>164</v>
      </c>
      <c r="D142" s="10" t="s">
        <v>167</v>
      </c>
    </row>
    <row r="143" spans="1:4" x14ac:dyDescent="0.25">
      <c r="A143" s="10" t="s">
        <v>356</v>
      </c>
      <c r="B143" s="10" t="s">
        <v>355</v>
      </c>
      <c r="C143" s="10" t="s">
        <v>155</v>
      </c>
    </row>
    <row r="144" spans="1:4" x14ac:dyDescent="0.25">
      <c r="A144" s="10" t="s">
        <v>354</v>
      </c>
      <c r="B144" s="10" t="s">
        <v>353</v>
      </c>
      <c r="C144" s="10" t="s">
        <v>155</v>
      </c>
    </row>
    <row r="145" spans="1:4" x14ac:dyDescent="0.25">
      <c r="A145" s="10" t="s">
        <v>352</v>
      </c>
      <c r="B145" s="10" t="s">
        <v>351</v>
      </c>
      <c r="C145" s="10" t="s">
        <v>155</v>
      </c>
    </row>
    <row r="146" spans="1:4" x14ac:dyDescent="0.25">
      <c r="A146" s="10" t="s">
        <v>350</v>
      </c>
      <c r="B146" s="10" t="s">
        <v>349</v>
      </c>
      <c r="C146" s="10" t="s">
        <v>164</v>
      </c>
      <c r="D146" s="10" t="s">
        <v>167</v>
      </c>
    </row>
    <row r="147" spans="1:4" x14ac:dyDescent="0.25">
      <c r="A147" s="10" t="s">
        <v>348</v>
      </c>
      <c r="B147" s="10" t="s">
        <v>347</v>
      </c>
      <c r="C147" s="10" t="s">
        <v>164</v>
      </c>
      <c r="D147" s="10" t="s">
        <v>167</v>
      </c>
    </row>
    <row r="148" spans="1:4" x14ac:dyDescent="0.25">
      <c r="A148" s="10" t="s">
        <v>346</v>
      </c>
      <c r="B148" s="10" t="s">
        <v>345</v>
      </c>
      <c r="C148" s="10" t="s">
        <v>155</v>
      </c>
    </row>
    <row r="149" spans="1:4" x14ac:dyDescent="0.25">
      <c r="A149" s="10" t="s">
        <v>344</v>
      </c>
      <c r="B149" s="10" t="s">
        <v>66</v>
      </c>
      <c r="C149" s="10" t="s">
        <v>155</v>
      </c>
    </row>
    <row r="150" spans="1:4" x14ac:dyDescent="0.25">
      <c r="A150" s="10" t="s">
        <v>343</v>
      </c>
      <c r="B150" s="10" t="s">
        <v>342</v>
      </c>
      <c r="C150" s="10" t="s">
        <v>155</v>
      </c>
    </row>
    <row r="151" spans="1:4" x14ac:dyDescent="0.25">
      <c r="A151" s="10" t="s">
        <v>341</v>
      </c>
      <c r="B151" s="10" t="s">
        <v>340</v>
      </c>
      <c r="C151" s="10" t="s">
        <v>155</v>
      </c>
    </row>
    <row r="152" spans="1:4" x14ac:dyDescent="0.25">
      <c r="A152" s="10" t="s">
        <v>339</v>
      </c>
      <c r="B152" s="10" t="s">
        <v>338</v>
      </c>
      <c r="C152" s="10" t="s">
        <v>164</v>
      </c>
      <c r="D152" s="10" t="s">
        <v>163</v>
      </c>
    </row>
    <row r="153" spans="1:4" x14ac:dyDescent="0.25">
      <c r="A153" s="10" t="s">
        <v>337</v>
      </c>
      <c r="B153" s="10" t="s">
        <v>336</v>
      </c>
      <c r="C153" s="10" t="s">
        <v>155</v>
      </c>
    </row>
    <row r="154" spans="1:4" x14ac:dyDescent="0.25">
      <c r="A154" s="10" t="s">
        <v>335</v>
      </c>
      <c r="B154" s="10" t="s">
        <v>334</v>
      </c>
      <c r="C154" s="10" t="s">
        <v>164</v>
      </c>
      <c r="D154" s="10" t="s">
        <v>167</v>
      </c>
    </row>
    <row r="155" spans="1:4" x14ac:dyDescent="0.25">
      <c r="A155" s="10" t="s">
        <v>333</v>
      </c>
      <c r="B155" s="10" t="s">
        <v>332</v>
      </c>
      <c r="C155" s="10" t="s">
        <v>155</v>
      </c>
    </row>
    <row r="156" spans="1:4" x14ac:dyDescent="0.25">
      <c r="A156" s="10" t="s">
        <v>331</v>
      </c>
      <c r="B156" s="10" t="s">
        <v>68</v>
      </c>
      <c r="C156" s="10" t="s">
        <v>241</v>
      </c>
    </row>
    <row r="157" spans="1:4" x14ac:dyDescent="0.25">
      <c r="A157" s="10" t="s">
        <v>330</v>
      </c>
      <c r="B157" s="10" t="s">
        <v>329</v>
      </c>
      <c r="C157" s="10" t="s">
        <v>155</v>
      </c>
    </row>
    <row r="158" spans="1:4" x14ac:dyDescent="0.25">
      <c r="A158" s="10" t="s">
        <v>328</v>
      </c>
      <c r="B158" s="10" t="s">
        <v>69</v>
      </c>
      <c r="C158" s="10" t="s">
        <v>164</v>
      </c>
      <c r="D158" s="10" t="s">
        <v>163</v>
      </c>
    </row>
    <row r="159" spans="1:4" x14ac:dyDescent="0.25">
      <c r="A159" s="10" t="s">
        <v>58</v>
      </c>
      <c r="B159" s="10" t="s">
        <v>327</v>
      </c>
      <c r="C159" s="10" t="s">
        <v>164</v>
      </c>
      <c r="D159" s="10" t="s">
        <v>167</v>
      </c>
    </row>
    <row r="160" spans="1:4" x14ac:dyDescent="0.25">
      <c r="A160" s="10" t="s">
        <v>326</v>
      </c>
      <c r="B160" s="10" t="s">
        <v>325</v>
      </c>
      <c r="C160" s="10" t="s">
        <v>155</v>
      </c>
    </row>
    <row r="161" spans="1:4" x14ac:dyDescent="0.25">
      <c r="A161" s="10" t="s">
        <v>324</v>
      </c>
      <c r="B161" s="10" t="s">
        <v>323</v>
      </c>
      <c r="C161" s="10" t="s">
        <v>241</v>
      </c>
    </row>
    <row r="162" spans="1:4" x14ac:dyDescent="0.25">
      <c r="A162" s="10" t="s">
        <v>322</v>
      </c>
      <c r="B162" s="10" t="s">
        <v>70</v>
      </c>
      <c r="C162" s="10" t="s">
        <v>155</v>
      </c>
    </row>
    <row r="163" spans="1:4" x14ac:dyDescent="0.25">
      <c r="A163" s="10" t="s">
        <v>321</v>
      </c>
      <c r="B163" s="10" t="s">
        <v>320</v>
      </c>
      <c r="C163" s="10" t="s">
        <v>164</v>
      </c>
      <c r="D163" s="10" t="s">
        <v>163</v>
      </c>
    </row>
    <row r="164" spans="1:4" x14ac:dyDescent="0.25">
      <c r="A164" s="10" t="s">
        <v>319</v>
      </c>
      <c r="B164" s="10" t="s">
        <v>71</v>
      </c>
      <c r="C164" s="10" t="s">
        <v>155</v>
      </c>
    </row>
    <row r="165" spans="1:4" x14ac:dyDescent="0.25">
      <c r="A165" s="10" t="s">
        <v>318</v>
      </c>
      <c r="B165" s="10" t="s">
        <v>72</v>
      </c>
      <c r="C165" s="10" t="s">
        <v>164</v>
      </c>
      <c r="D165" s="10" t="s">
        <v>163</v>
      </c>
    </row>
    <row r="166" spans="1:4" x14ac:dyDescent="0.25">
      <c r="A166" s="10" t="s">
        <v>317</v>
      </c>
      <c r="B166" s="10" t="s">
        <v>316</v>
      </c>
      <c r="C166" s="10" t="s">
        <v>155</v>
      </c>
    </row>
    <row r="167" spans="1:4" x14ac:dyDescent="0.25">
      <c r="A167" s="10" t="s">
        <v>315</v>
      </c>
      <c r="B167" s="10" t="s">
        <v>73</v>
      </c>
      <c r="C167" s="10" t="s">
        <v>155</v>
      </c>
    </row>
    <row r="168" spans="1:4" x14ac:dyDescent="0.25">
      <c r="A168" s="10" t="s">
        <v>314</v>
      </c>
      <c r="B168" s="10" t="s">
        <v>313</v>
      </c>
      <c r="C168" s="10" t="s">
        <v>155</v>
      </c>
    </row>
    <row r="169" spans="1:4" x14ac:dyDescent="0.25">
      <c r="A169" s="10" t="s">
        <v>312</v>
      </c>
      <c r="B169" s="10" t="s">
        <v>311</v>
      </c>
      <c r="C169" s="10" t="s">
        <v>155</v>
      </c>
    </row>
    <row r="170" spans="1:4" x14ac:dyDescent="0.25">
      <c r="A170" s="10" t="s">
        <v>310</v>
      </c>
      <c r="B170" s="10" t="s">
        <v>309</v>
      </c>
      <c r="C170" s="10" t="s">
        <v>155</v>
      </c>
    </row>
    <row r="171" spans="1:4" x14ac:dyDescent="0.25">
      <c r="A171" s="10" t="s">
        <v>308</v>
      </c>
      <c r="B171" s="10" t="s">
        <v>307</v>
      </c>
      <c r="C171" s="10" t="s">
        <v>155</v>
      </c>
    </row>
    <row r="172" spans="1:4" x14ac:dyDescent="0.25">
      <c r="A172" s="10" t="s">
        <v>306</v>
      </c>
      <c r="B172" s="10" t="s">
        <v>75</v>
      </c>
      <c r="C172" s="10" t="s">
        <v>155</v>
      </c>
    </row>
    <row r="173" spans="1:4" x14ac:dyDescent="0.25">
      <c r="A173" s="10" t="s">
        <v>305</v>
      </c>
      <c r="B173" s="10" t="s">
        <v>76</v>
      </c>
      <c r="C173" s="10" t="s">
        <v>155</v>
      </c>
    </row>
    <row r="174" spans="1:4" x14ac:dyDescent="0.25">
      <c r="A174" s="10" t="s">
        <v>304</v>
      </c>
      <c r="B174" s="10" t="s">
        <v>82</v>
      </c>
      <c r="C174" s="10" t="s">
        <v>214</v>
      </c>
    </row>
    <row r="175" spans="1:4" x14ac:dyDescent="0.25">
      <c r="A175" s="10" t="s">
        <v>303</v>
      </c>
      <c r="B175" s="10" t="s">
        <v>302</v>
      </c>
      <c r="C175" s="10" t="s">
        <v>164</v>
      </c>
      <c r="D175" s="10" t="s">
        <v>167</v>
      </c>
    </row>
    <row r="176" spans="1:4" x14ac:dyDescent="0.25">
      <c r="A176" s="10" t="s">
        <v>301</v>
      </c>
      <c r="B176" s="10" t="s">
        <v>300</v>
      </c>
      <c r="C176" s="10" t="s">
        <v>164</v>
      </c>
      <c r="D176" s="10" t="s">
        <v>163</v>
      </c>
    </row>
    <row r="177" spans="1:3" x14ac:dyDescent="0.25">
      <c r="A177" s="10" t="s">
        <v>299</v>
      </c>
      <c r="B177" s="10" t="s">
        <v>84</v>
      </c>
      <c r="C177" s="10" t="s">
        <v>155</v>
      </c>
    </row>
    <row r="178" spans="1:3" x14ac:dyDescent="0.25">
      <c r="A178" s="10" t="s">
        <v>298</v>
      </c>
      <c r="B178" s="10" t="s">
        <v>297</v>
      </c>
      <c r="C178" s="10" t="s">
        <v>155</v>
      </c>
    </row>
    <row r="179" spans="1:3" x14ac:dyDescent="0.25">
      <c r="A179" s="10" t="s">
        <v>296</v>
      </c>
      <c r="B179" s="10" t="s">
        <v>85</v>
      </c>
      <c r="C179" s="10" t="s">
        <v>155</v>
      </c>
    </row>
    <row r="180" spans="1:3" x14ac:dyDescent="0.25">
      <c r="A180" s="10" t="s">
        <v>295</v>
      </c>
      <c r="B180" s="10" t="s">
        <v>86</v>
      </c>
      <c r="C180" s="10" t="s">
        <v>155</v>
      </c>
    </row>
    <row r="181" spans="1:3" x14ac:dyDescent="0.25">
      <c r="A181" s="10" t="s">
        <v>294</v>
      </c>
      <c r="B181" s="10" t="s">
        <v>87</v>
      </c>
      <c r="C181" s="10" t="s">
        <v>155</v>
      </c>
    </row>
    <row r="182" spans="1:3" x14ac:dyDescent="0.25">
      <c r="A182" s="10" t="s">
        <v>293</v>
      </c>
      <c r="B182" s="10" t="s">
        <v>292</v>
      </c>
      <c r="C182" s="10" t="s">
        <v>155</v>
      </c>
    </row>
    <row r="183" spans="1:3" x14ac:dyDescent="0.25">
      <c r="A183" s="10" t="s">
        <v>291</v>
      </c>
      <c r="B183" s="10" t="s">
        <v>88</v>
      </c>
      <c r="C183" s="10" t="s">
        <v>155</v>
      </c>
    </row>
    <row r="184" spans="1:3" x14ac:dyDescent="0.25">
      <c r="A184" s="10" t="s">
        <v>290</v>
      </c>
      <c r="B184" s="10" t="s">
        <v>89</v>
      </c>
      <c r="C184" s="10" t="s">
        <v>155</v>
      </c>
    </row>
    <row r="185" spans="1:3" x14ac:dyDescent="0.25">
      <c r="A185" s="10" t="s">
        <v>289</v>
      </c>
      <c r="B185" s="10" t="s">
        <v>90</v>
      </c>
      <c r="C185" s="10" t="s">
        <v>155</v>
      </c>
    </row>
    <row r="186" spans="1:3" x14ac:dyDescent="0.25">
      <c r="A186" s="10" t="s">
        <v>288</v>
      </c>
      <c r="B186" s="10" t="s">
        <v>91</v>
      </c>
      <c r="C186" s="10" t="s">
        <v>155</v>
      </c>
    </row>
    <row r="187" spans="1:3" x14ac:dyDescent="0.25">
      <c r="A187" s="10" t="s">
        <v>287</v>
      </c>
      <c r="B187" s="10" t="s">
        <v>92</v>
      </c>
      <c r="C187" s="10" t="s">
        <v>155</v>
      </c>
    </row>
    <row r="188" spans="1:3" x14ac:dyDescent="0.25">
      <c r="A188" s="10" t="s">
        <v>286</v>
      </c>
      <c r="B188" s="10" t="s">
        <v>285</v>
      </c>
      <c r="C188" s="10" t="s">
        <v>222</v>
      </c>
    </row>
    <row r="189" spans="1:3" x14ac:dyDescent="0.25">
      <c r="A189" s="10" t="s">
        <v>284</v>
      </c>
      <c r="B189" s="10" t="s">
        <v>283</v>
      </c>
      <c r="C189" s="10" t="s">
        <v>155</v>
      </c>
    </row>
    <row r="190" spans="1:3" x14ac:dyDescent="0.25">
      <c r="A190" s="10" t="s">
        <v>282</v>
      </c>
      <c r="B190" s="10" t="s">
        <v>281</v>
      </c>
      <c r="C190" s="10" t="s">
        <v>155</v>
      </c>
    </row>
    <row r="191" spans="1:3" x14ac:dyDescent="0.25">
      <c r="A191" s="10" t="s">
        <v>280</v>
      </c>
      <c r="B191" s="10" t="s">
        <v>279</v>
      </c>
      <c r="C191" s="10" t="s">
        <v>155</v>
      </c>
    </row>
    <row r="192" spans="1:3" x14ac:dyDescent="0.25">
      <c r="A192" s="10" t="s">
        <v>278</v>
      </c>
      <c r="B192" s="10" t="s">
        <v>277</v>
      </c>
      <c r="C192" s="10" t="s">
        <v>155</v>
      </c>
    </row>
    <row r="193" spans="1:4" x14ac:dyDescent="0.25">
      <c r="A193" s="10" t="s">
        <v>276</v>
      </c>
      <c r="B193" s="10" t="s">
        <v>275</v>
      </c>
      <c r="C193" s="10" t="s">
        <v>164</v>
      </c>
      <c r="D193" s="10" t="s">
        <v>167</v>
      </c>
    </row>
    <row r="194" spans="1:4" x14ac:dyDescent="0.25">
      <c r="A194" s="10" t="s">
        <v>274</v>
      </c>
      <c r="B194" s="10" t="s">
        <v>273</v>
      </c>
      <c r="C194" s="10" t="s">
        <v>164</v>
      </c>
      <c r="D194" s="10" t="s">
        <v>167</v>
      </c>
    </row>
    <row r="195" spans="1:4" x14ac:dyDescent="0.25">
      <c r="A195" s="10" t="s">
        <v>272</v>
      </c>
      <c r="B195" s="10" t="s">
        <v>271</v>
      </c>
      <c r="C195" s="10" t="s">
        <v>155</v>
      </c>
    </row>
    <row r="196" spans="1:4" x14ac:dyDescent="0.25">
      <c r="A196" s="10" t="s">
        <v>270</v>
      </c>
      <c r="B196" s="10" t="s">
        <v>269</v>
      </c>
      <c r="C196" s="10" t="s">
        <v>155</v>
      </c>
    </row>
    <row r="197" spans="1:4" x14ac:dyDescent="0.25">
      <c r="A197" s="10" t="s">
        <v>268</v>
      </c>
      <c r="B197" s="10" t="s">
        <v>267</v>
      </c>
      <c r="C197" s="10" t="s">
        <v>155</v>
      </c>
    </row>
    <row r="198" spans="1:4" x14ac:dyDescent="0.25">
      <c r="A198" s="10" t="s">
        <v>266</v>
      </c>
      <c r="B198" s="10" t="s">
        <v>265</v>
      </c>
      <c r="C198" s="10" t="s">
        <v>155</v>
      </c>
    </row>
    <row r="199" spans="1:4" x14ac:dyDescent="0.25">
      <c r="A199" s="10" t="s">
        <v>264</v>
      </c>
      <c r="B199" s="10" t="s">
        <v>263</v>
      </c>
      <c r="C199" s="10" t="s">
        <v>164</v>
      </c>
      <c r="D199" s="10" t="s">
        <v>163</v>
      </c>
    </row>
    <row r="200" spans="1:4" x14ac:dyDescent="0.25">
      <c r="A200" s="10" t="s">
        <v>262</v>
      </c>
      <c r="B200" s="10" t="s">
        <v>261</v>
      </c>
      <c r="C200" s="10" t="s">
        <v>155</v>
      </c>
    </row>
    <row r="201" spans="1:4" x14ac:dyDescent="0.25">
      <c r="A201" s="10" t="s">
        <v>260</v>
      </c>
      <c r="B201" s="10" t="s">
        <v>94</v>
      </c>
      <c r="C201" s="10" t="s">
        <v>164</v>
      </c>
      <c r="D201" s="10" t="s">
        <v>172</v>
      </c>
    </row>
    <row r="202" spans="1:4" x14ac:dyDescent="0.25">
      <c r="A202" s="10" t="s">
        <v>259</v>
      </c>
      <c r="B202" s="10" t="s">
        <v>258</v>
      </c>
      <c r="C202" s="10" t="s">
        <v>155</v>
      </c>
    </row>
    <row r="203" spans="1:4" x14ac:dyDescent="0.25">
      <c r="A203" s="10" t="s">
        <v>257</v>
      </c>
      <c r="B203" s="10" t="s">
        <v>95</v>
      </c>
      <c r="C203" s="10" t="s">
        <v>164</v>
      </c>
      <c r="D203" s="10" t="s">
        <v>167</v>
      </c>
    </row>
    <row r="204" spans="1:4" x14ac:dyDescent="0.25">
      <c r="A204" s="10" t="s">
        <v>256</v>
      </c>
      <c r="B204" s="10" t="s">
        <v>255</v>
      </c>
      <c r="C204" s="10" t="s">
        <v>164</v>
      </c>
      <c r="D204" s="10" t="s">
        <v>167</v>
      </c>
    </row>
    <row r="205" spans="1:4" x14ac:dyDescent="0.25">
      <c r="A205" s="10" t="s">
        <v>254</v>
      </c>
      <c r="B205" s="10" t="s">
        <v>253</v>
      </c>
      <c r="C205" s="10" t="s">
        <v>155</v>
      </c>
    </row>
    <row r="206" spans="1:4" x14ac:dyDescent="0.25">
      <c r="A206" s="10" t="s">
        <v>252</v>
      </c>
      <c r="B206" s="10" t="s">
        <v>96</v>
      </c>
      <c r="C206" s="10" t="s">
        <v>155</v>
      </c>
    </row>
    <row r="207" spans="1:4" x14ac:dyDescent="0.25">
      <c r="A207" s="10" t="s">
        <v>251</v>
      </c>
      <c r="B207" s="10" t="s">
        <v>250</v>
      </c>
      <c r="C207" s="10" t="s">
        <v>155</v>
      </c>
    </row>
    <row r="208" spans="1:4" x14ac:dyDescent="0.25">
      <c r="A208" s="10" t="s">
        <v>249</v>
      </c>
      <c r="B208" s="10" t="s">
        <v>97</v>
      </c>
      <c r="C208" s="10" t="s">
        <v>155</v>
      </c>
    </row>
    <row r="209" spans="1:4" x14ac:dyDescent="0.25">
      <c r="A209" s="10" t="s">
        <v>248</v>
      </c>
      <c r="B209" s="10" t="s">
        <v>98</v>
      </c>
      <c r="C209" s="10" t="s">
        <v>155</v>
      </c>
    </row>
    <row r="210" spans="1:4" x14ac:dyDescent="0.25">
      <c r="A210" s="10" t="s">
        <v>247</v>
      </c>
      <c r="B210" s="10" t="s">
        <v>246</v>
      </c>
      <c r="C210" s="10" t="s">
        <v>155</v>
      </c>
    </row>
    <row r="211" spans="1:4" x14ac:dyDescent="0.25">
      <c r="A211" s="10" t="s">
        <v>245</v>
      </c>
      <c r="B211" s="10" t="s">
        <v>244</v>
      </c>
      <c r="C211" s="10" t="s">
        <v>155</v>
      </c>
    </row>
    <row r="212" spans="1:4" x14ac:dyDescent="0.25">
      <c r="A212" s="10" t="s">
        <v>243</v>
      </c>
      <c r="B212" s="10" t="s">
        <v>242</v>
      </c>
      <c r="C212" s="10" t="s">
        <v>241</v>
      </c>
    </row>
    <row r="213" spans="1:4" x14ac:dyDescent="0.25">
      <c r="A213" s="10" t="s">
        <v>240</v>
      </c>
      <c r="B213" s="10" t="s">
        <v>99</v>
      </c>
      <c r="C213" s="10" t="s">
        <v>164</v>
      </c>
      <c r="D213" s="10" t="s">
        <v>163</v>
      </c>
    </row>
    <row r="214" spans="1:4" x14ac:dyDescent="0.25">
      <c r="A214" s="10" t="s">
        <v>239</v>
      </c>
      <c r="B214" s="10" t="s">
        <v>238</v>
      </c>
      <c r="C214" s="10" t="s">
        <v>155</v>
      </c>
    </row>
    <row r="215" spans="1:4" x14ac:dyDescent="0.25">
      <c r="A215" s="10" t="s">
        <v>237</v>
      </c>
      <c r="B215" s="10" t="s">
        <v>236</v>
      </c>
      <c r="C215" s="10" t="s">
        <v>155</v>
      </c>
    </row>
    <row r="216" spans="1:4" x14ac:dyDescent="0.25">
      <c r="A216" s="10" t="s">
        <v>235</v>
      </c>
      <c r="B216" s="10" t="s">
        <v>101</v>
      </c>
      <c r="C216" s="10" t="s">
        <v>155</v>
      </c>
    </row>
    <row r="217" spans="1:4" x14ac:dyDescent="0.25">
      <c r="A217" s="10" t="s">
        <v>234</v>
      </c>
      <c r="B217" s="10" t="s">
        <v>233</v>
      </c>
      <c r="C217" s="10" t="s">
        <v>155</v>
      </c>
    </row>
    <row r="218" spans="1:4" x14ac:dyDescent="0.25">
      <c r="A218" s="10" t="s">
        <v>232</v>
      </c>
      <c r="B218" s="10" t="s">
        <v>231</v>
      </c>
      <c r="C218" s="10" t="s">
        <v>164</v>
      </c>
      <c r="D218" s="10" t="s">
        <v>163</v>
      </c>
    </row>
    <row r="219" spans="1:4" x14ac:dyDescent="0.25">
      <c r="A219" s="10" t="s">
        <v>230</v>
      </c>
      <c r="B219" s="10" t="s">
        <v>229</v>
      </c>
      <c r="C219" s="10" t="s">
        <v>164</v>
      </c>
      <c r="D219" s="10" t="s">
        <v>167</v>
      </c>
    </row>
    <row r="220" spans="1:4" x14ac:dyDescent="0.25">
      <c r="A220" s="10" t="s">
        <v>228</v>
      </c>
      <c r="B220" s="10" t="s">
        <v>227</v>
      </c>
      <c r="C220" s="10" t="s">
        <v>155</v>
      </c>
    </row>
    <row r="221" spans="1:4" x14ac:dyDescent="0.25">
      <c r="A221" s="10" t="s">
        <v>226</v>
      </c>
      <c r="B221" s="10" t="s">
        <v>102</v>
      </c>
      <c r="C221" s="10" t="s">
        <v>155</v>
      </c>
    </row>
    <row r="222" spans="1:4" x14ac:dyDescent="0.25">
      <c r="A222" s="10" t="s">
        <v>225</v>
      </c>
      <c r="B222" s="10" t="s">
        <v>103</v>
      </c>
      <c r="C222" s="10" t="s">
        <v>155</v>
      </c>
    </row>
    <row r="223" spans="1:4" x14ac:dyDescent="0.25">
      <c r="A223" s="10" t="s">
        <v>224</v>
      </c>
      <c r="B223" s="10" t="s">
        <v>223</v>
      </c>
      <c r="C223" s="10" t="s">
        <v>222</v>
      </c>
    </row>
    <row r="224" spans="1:4" x14ac:dyDescent="0.25">
      <c r="A224" s="10" t="s">
        <v>221</v>
      </c>
      <c r="B224" s="10" t="s">
        <v>220</v>
      </c>
      <c r="C224" s="10" t="s">
        <v>164</v>
      </c>
      <c r="D224" s="10" t="s">
        <v>163</v>
      </c>
    </row>
    <row r="225" spans="1:4" x14ac:dyDescent="0.25">
      <c r="A225" s="10" t="s">
        <v>219</v>
      </c>
      <c r="B225" s="10" t="s">
        <v>218</v>
      </c>
      <c r="C225" s="10" t="s">
        <v>155</v>
      </c>
    </row>
    <row r="226" spans="1:4" x14ac:dyDescent="0.25">
      <c r="A226" s="10" t="s">
        <v>217</v>
      </c>
      <c r="B226" s="10" t="s">
        <v>216</v>
      </c>
      <c r="C226" s="10" t="s">
        <v>164</v>
      </c>
      <c r="D226" s="10" t="s">
        <v>167</v>
      </c>
    </row>
    <row r="227" spans="1:4" x14ac:dyDescent="0.25">
      <c r="A227" s="10" t="s">
        <v>215</v>
      </c>
      <c r="B227" s="10" t="s">
        <v>106</v>
      </c>
      <c r="C227" s="10" t="s">
        <v>214</v>
      </c>
    </row>
    <row r="228" spans="1:4" x14ac:dyDescent="0.25">
      <c r="A228" s="10" t="s">
        <v>213</v>
      </c>
      <c r="B228" s="10" t="s">
        <v>212</v>
      </c>
      <c r="C228" s="10" t="s">
        <v>155</v>
      </c>
    </row>
    <row r="229" spans="1:4" x14ac:dyDescent="0.25">
      <c r="A229" s="10" t="s">
        <v>211</v>
      </c>
      <c r="B229" s="10" t="s">
        <v>210</v>
      </c>
      <c r="C229" s="10" t="s">
        <v>164</v>
      </c>
      <c r="D229" s="10" t="s">
        <v>167</v>
      </c>
    </row>
    <row r="230" spans="1:4" x14ac:dyDescent="0.25">
      <c r="A230" s="10" t="s">
        <v>209</v>
      </c>
      <c r="B230" s="10" t="s">
        <v>208</v>
      </c>
      <c r="C230" s="10" t="s">
        <v>164</v>
      </c>
      <c r="D230" s="10" t="s">
        <v>167</v>
      </c>
    </row>
    <row r="231" spans="1:4" x14ac:dyDescent="0.25">
      <c r="A231" s="10" t="s">
        <v>207</v>
      </c>
      <c r="B231" s="10" t="s">
        <v>206</v>
      </c>
      <c r="C231" s="10" t="s">
        <v>155</v>
      </c>
    </row>
    <row r="232" spans="1:4" x14ac:dyDescent="0.25">
      <c r="A232" s="10" t="s">
        <v>205</v>
      </c>
      <c r="B232" s="10" t="s">
        <v>107</v>
      </c>
      <c r="C232" s="10" t="s">
        <v>155</v>
      </c>
    </row>
    <row r="233" spans="1:4" x14ac:dyDescent="0.25">
      <c r="A233" s="10" t="s">
        <v>204</v>
      </c>
      <c r="B233" s="10" t="s">
        <v>203</v>
      </c>
      <c r="C233" s="10" t="s">
        <v>164</v>
      </c>
      <c r="D233" s="10" t="s">
        <v>167</v>
      </c>
    </row>
    <row r="234" spans="1:4" x14ac:dyDescent="0.25">
      <c r="A234" s="10" t="s">
        <v>202</v>
      </c>
      <c r="B234" s="10" t="s">
        <v>201</v>
      </c>
      <c r="C234" s="10" t="s">
        <v>164</v>
      </c>
      <c r="D234" s="10" t="s">
        <v>167</v>
      </c>
    </row>
    <row r="235" spans="1:4" x14ac:dyDescent="0.25">
      <c r="A235" s="10" t="s">
        <v>200</v>
      </c>
      <c r="B235" s="10" t="s">
        <v>199</v>
      </c>
      <c r="C235" s="10" t="s">
        <v>164</v>
      </c>
      <c r="D235" s="10" t="s">
        <v>167</v>
      </c>
    </row>
    <row r="236" spans="1:4" x14ac:dyDescent="0.25">
      <c r="A236" s="10" t="s">
        <v>198</v>
      </c>
      <c r="B236" s="10" t="s">
        <v>197</v>
      </c>
      <c r="C236" s="10" t="s">
        <v>155</v>
      </c>
    </row>
    <row r="237" spans="1:4" x14ac:dyDescent="0.25">
      <c r="A237" s="10" t="s">
        <v>196</v>
      </c>
      <c r="B237" s="10" t="s">
        <v>195</v>
      </c>
      <c r="C237" s="10" t="s">
        <v>164</v>
      </c>
      <c r="D237" s="10" t="s">
        <v>172</v>
      </c>
    </row>
    <row r="238" spans="1:4" x14ac:dyDescent="0.25">
      <c r="A238" s="10" t="s">
        <v>194</v>
      </c>
      <c r="B238" s="10" t="s">
        <v>193</v>
      </c>
      <c r="C238" s="10" t="s">
        <v>155</v>
      </c>
    </row>
    <row r="239" spans="1:4" x14ac:dyDescent="0.25">
      <c r="A239" s="10" t="s">
        <v>192</v>
      </c>
      <c r="B239" s="10" t="s">
        <v>191</v>
      </c>
      <c r="C239" s="10" t="s">
        <v>155</v>
      </c>
    </row>
    <row r="240" spans="1:4" x14ac:dyDescent="0.25">
      <c r="A240" s="10" t="s">
        <v>190</v>
      </c>
      <c r="B240" s="10" t="s">
        <v>189</v>
      </c>
      <c r="C240" s="10" t="s">
        <v>164</v>
      </c>
      <c r="D240" s="10" t="s">
        <v>167</v>
      </c>
    </row>
    <row r="241" spans="1:4" x14ac:dyDescent="0.25">
      <c r="A241" s="10" t="s">
        <v>188</v>
      </c>
      <c r="B241" s="10" t="s">
        <v>187</v>
      </c>
      <c r="C241" s="10" t="s">
        <v>186</v>
      </c>
    </row>
    <row r="242" spans="1:4" x14ac:dyDescent="0.25">
      <c r="A242" s="10" t="s">
        <v>185</v>
      </c>
      <c r="B242" s="10" t="s">
        <v>109</v>
      </c>
      <c r="C242" s="10" t="s">
        <v>155</v>
      </c>
    </row>
    <row r="243" spans="1:4" x14ac:dyDescent="0.25">
      <c r="A243" s="10" t="s">
        <v>184</v>
      </c>
      <c r="B243" s="10" t="s">
        <v>110</v>
      </c>
      <c r="C243" s="10" t="s">
        <v>155</v>
      </c>
    </row>
    <row r="244" spans="1:4" x14ac:dyDescent="0.25">
      <c r="A244" s="10" t="s">
        <v>183</v>
      </c>
      <c r="B244" s="10" t="s">
        <v>182</v>
      </c>
      <c r="C244" s="10" t="s">
        <v>155</v>
      </c>
    </row>
    <row r="245" spans="1:4" x14ac:dyDescent="0.25">
      <c r="A245" s="10" t="s">
        <v>181</v>
      </c>
      <c r="B245" s="10" t="s">
        <v>111</v>
      </c>
      <c r="C245" s="10" t="s">
        <v>155</v>
      </c>
    </row>
    <row r="246" spans="1:4" x14ac:dyDescent="0.25">
      <c r="A246" s="10" t="s">
        <v>180</v>
      </c>
      <c r="B246" s="10" t="s">
        <v>179</v>
      </c>
      <c r="C246" s="10" t="s">
        <v>164</v>
      </c>
      <c r="D246" s="10" t="s">
        <v>167</v>
      </c>
    </row>
    <row r="247" spans="1:4" x14ac:dyDescent="0.25">
      <c r="A247" s="10" t="s">
        <v>178</v>
      </c>
      <c r="B247" s="10" t="s">
        <v>177</v>
      </c>
      <c r="C247" s="10" t="s">
        <v>155</v>
      </c>
    </row>
    <row r="248" spans="1:4" x14ac:dyDescent="0.25">
      <c r="A248" s="10" t="s">
        <v>176</v>
      </c>
      <c r="B248" s="10" t="s">
        <v>175</v>
      </c>
      <c r="C248" s="10" t="s">
        <v>155</v>
      </c>
    </row>
    <row r="249" spans="1:4" x14ac:dyDescent="0.25">
      <c r="A249" s="10" t="s">
        <v>174</v>
      </c>
      <c r="B249" s="10" t="s">
        <v>173</v>
      </c>
      <c r="C249" s="10" t="s">
        <v>164</v>
      </c>
      <c r="D249" s="10" t="s">
        <v>172</v>
      </c>
    </row>
    <row r="250" spans="1:4" x14ac:dyDescent="0.25">
      <c r="A250" s="10" t="s">
        <v>171</v>
      </c>
      <c r="B250" s="10" t="s">
        <v>170</v>
      </c>
      <c r="C250" s="10" t="s">
        <v>164</v>
      </c>
      <c r="D250" s="10" t="s">
        <v>167</v>
      </c>
    </row>
    <row r="251" spans="1:4" x14ac:dyDescent="0.25">
      <c r="A251" s="10" t="s">
        <v>169</v>
      </c>
      <c r="B251" s="10" t="s">
        <v>168</v>
      </c>
      <c r="C251" s="10" t="s">
        <v>164</v>
      </c>
      <c r="D251" s="10" t="s">
        <v>167</v>
      </c>
    </row>
    <row r="252" spans="1:4" x14ac:dyDescent="0.25">
      <c r="A252" s="10" t="s">
        <v>166</v>
      </c>
      <c r="B252" s="10" t="s">
        <v>165</v>
      </c>
      <c r="C252" s="10" t="s">
        <v>164</v>
      </c>
      <c r="D252" s="10" t="s">
        <v>163</v>
      </c>
    </row>
    <row r="253" spans="1:4" x14ac:dyDescent="0.25">
      <c r="A253" s="10" t="s">
        <v>162</v>
      </c>
      <c r="B253" s="10" t="s">
        <v>116</v>
      </c>
      <c r="C253" s="10" t="s">
        <v>155</v>
      </c>
    </row>
    <row r="254" spans="1:4" x14ac:dyDescent="0.25">
      <c r="A254" s="10" t="s">
        <v>161</v>
      </c>
      <c r="B254" s="10" t="s">
        <v>160</v>
      </c>
      <c r="C254" s="10" t="s">
        <v>155</v>
      </c>
    </row>
    <row r="255" spans="1:4" x14ac:dyDescent="0.25">
      <c r="A255" s="10" t="s">
        <v>159</v>
      </c>
      <c r="B255" s="10" t="s">
        <v>158</v>
      </c>
      <c r="C255" s="10" t="s">
        <v>155</v>
      </c>
    </row>
    <row r="256" spans="1:4" x14ac:dyDescent="0.25">
      <c r="A256" s="10" t="s">
        <v>157</v>
      </c>
      <c r="B256" s="10" t="s">
        <v>156</v>
      </c>
      <c r="C256" s="10" t="s">
        <v>155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7C2BD-A9A1-F147-9938-894DFAA672C5}">
  <dimension ref="A1:I97"/>
  <sheetViews>
    <sheetView zoomScale="85" zoomScaleNormal="85" workbookViewId="0">
      <selection activeCell="E19" sqref="E19"/>
    </sheetView>
  </sheetViews>
  <sheetFormatPr defaultColWidth="11.42578125" defaultRowHeight="15" x14ac:dyDescent="0.25"/>
  <cols>
    <col min="1" max="1" width="15" customWidth="1"/>
    <col min="2" max="2" width="36.7109375" customWidth="1"/>
    <col min="3" max="3" width="16.7109375" customWidth="1"/>
    <col min="4" max="4" width="18.28515625" customWidth="1"/>
    <col min="5" max="9" width="25" customWidth="1"/>
  </cols>
  <sheetData>
    <row r="1" spans="1:9" ht="18.75" x14ac:dyDescent="0.3">
      <c r="A1" s="11" t="s">
        <v>599</v>
      </c>
      <c r="B1" s="11"/>
      <c r="C1" s="11"/>
      <c r="D1" s="11"/>
      <c r="E1" s="11"/>
      <c r="F1" s="11"/>
      <c r="G1" s="11"/>
      <c r="H1" s="11"/>
    </row>
    <row r="2" spans="1:9" x14ac:dyDescent="0.25">
      <c r="A2" s="12" t="s">
        <v>600</v>
      </c>
    </row>
    <row r="4" spans="1:9" ht="15.75" thickBot="1" x14ac:dyDescent="0.3">
      <c r="A4" s="18" t="s">
        <v>601</v>
      </c>
      <c r="B4" s="18" t="s">
        <v>602</v>
      </c>
      <c r="C4" s="18" t="s">
        <v>603</v>
      </c>
      <c r="D4" s="18" t="s">
        <v>604</v>
      </c>
      <c r="E4" s="18" t="s">
        <v>605</v>
      </c>
      <c r="F4" s="18" t="s">
        <v>606</v>
      </c>
      <c r="G4" s="18" t="s">
        <v>607</v>
      </c>
      <c r="H4" s="18" t="s">
        <v>608</v>
      </c>
      <c r="I4" s="19" t="s">
        <v>615</v>
      </c>
    </row>
    <row r="5" spans="1:9" x14ac:dyDescent="0.25">
      <c r="A5" s="14" t="s">
        <v>609</v>
      </c>
      <c r="B5" s="14"/>
      <c r="C5" s="14"/>
      <c r="D5" s="14"/>
      <c r="E5" s="14"/>
      <c r="F5" s="14"/>
      <c r="G5" s="14"/>
      <c r="H5" s="14"/>
      <c r="I5" s="14"/>
    </row>
    <row r="6" spans="1:9" x14ac:dyDescent="0.25">
      <c r="B6" t="s">
        <v>16</v>
      </c>
      <c r="C6" t="str">
        <f>INDEX('starlink countries list'!$C$2:$C$256,MATCH($B6,'starlink countries list'!$B$2:$B$256,0))</f>
        <v>Available</v>
      </c>
      <c r="D6" t="s">
        <v>16</v>
      </c>
      <c r="E6" s="15">
        <f>INDEX('Population and Broadband subs'!$D$12:$D$113,MATCH($D6,'Population and Broadband subs'!$A$12:$A$113,0))</f>
        <v>27230000</v>
      </c>
      <c r="F6" s="15">
        <f>INDEX('Population and Broadband subs'!$D$324:$D$425,MATCH($D6,'Population and Broadband subs'!$A$324:$A$425,0))</f>
        <v>7982893</v>
      </c>
      <c r="G6" s="16">
        <f>INDEX('penetration and ARPU'!$D$12:$D$113,MATCH($D6,'penetration and ARPU'!$A$12:$A$113,0))</f>
        <v>93.38</v>
      </c>
      <c r="H6" s="17">
        <f>INDEX('penetration and ARPU'!$D$1364:$D$1465,MATCH($D6,'penetration and ARPU'!$A$1364:$A$1465,0))</f>
        <v>34.659999999999997</v>
      </c>
      <c r="I6" s="17">
        <f>IFERROR(INDEX('penetration and ARPU'!$D$1780:$D$1881,MATCH($D6,'penetration and ARPU'!$A$1780:$A$1881,0)),"n/a")</f>
        <v>20.208224560000001</v>
      </c>
    </row>
    <row r="7" spans="1:9" x14ac:dyDescent="0.25">
      <c r="B7" t="s">
        <v>25</v>
      </c>
      <c r="C7" t="str">
        <f>INDEX('starlink countries list'!$C$2:$C$256,MATCH($B7,'starlink countries list'!$B$2:$B$256,0))</f>
        <v>Coming Soon</v>
      </c>
      <c r="D7" t="s">
        <v>25</v>
      </c>
      <c r="E7" s="15">
        <f>INDEX('Population and Broadband subs'!$D$12:$D$113,MATCH($D7,'Population and Broadband subs'!$A$12:$A$113,0))</f>
        <v>17427953</v>
      </c>
      <c r="F7" s="15">
        <f>INDEX('Population and Broadband subs'!$D$324:$D$425,MATCH($D7,'Population and Broadband subs'!$A$324:$A$425,0))</f>
        <v>760035</v>
      </c>
      <c r="G7" s="16">
        <f>INDEX('penetration and ARPU'!$D$12:$D$113,MATCH($D7,'penetration and ARPU'!$A$12:$A$113,0))</f>
        <v>18.510000000000002</v>
      </c>
      <c r="H7" s="17">
        <f>INDEX('penetration and ARPU'!$D$1364:$D$1465,MATCH($D7,'penetration and ARPU'!$A$1364:$A$1465,0))</f>
        <v>17.190000000000001</v>
      </c>
      <c r="I7" s="17" t="str">
        <f>IFERROR(INDEX('penetration and ARPU'!$D$1780:$D$1881,MATCH($D7,'penetration and ARPU'!$A$1780:$A$1881,0)),"n/a")</f>
        <v>NA</v>
      </c>
    </row>
    <row r="8" spans="1:9" x14ac:dyDescent="0.25">
      <c r="B8" t="s">
        <v>49</v>
      </c>
      <c r="C8" t="str">
        <f>INDEX('starlink countries list'!$C$2:$C$256,MATCH($B8,'starlink countries list'!$B$2:$B$256,0))</f>
        <v>Available</v>
      </c>
      <c r="D8" t="s">
        <v>49</v>
      </c>
      <c r="E8" s="15">
        <f>INDEX('Population and Broadband subs'!$D$12:$D$113,MATCH($D8,'Population and Broadband subs'!$A$12:$A$113,0))</f>
        <v>287148600</v>
      </c>
      <c r="F8" s="15">
        <f>INDEX('Population and Broadband subs'!$D$324:$D$425,MATCH($D8,'Population and Broadband subs'!$A$324:$A$425,0))</f>
        <v>18616010</v>
      </c>
      <c r="G8" s="16">
        <f>INDEX('penetration and ARPU'!$D$12:$D$113,MATCH($D8,'penetration and ARPU'!$A$12:$A$113,0))</f>
        <v>25.17</v>
      </c>
      <c r="H8" s="17">
        <f>INDEX('penetration and ARPU'!$D$1364:$D$1465,MATCH($D8,'penetration and ARPU'!$A$1364:$A$1465,0))</f>
        <v>12.14</v>
      </c>
      <c r="I8" s="17">
        <f>IFERROR(INDEX('penetration and ARPU'!$D$1780:$D$1881,MATCH($D8,'penetration and ARPU'!$A$1780:$A$1881,0)),"n/a")</f>
        <v>15.81029549</v>
      </c>
    </row>
    <row r="9" spans="1:9" x14ac:dyDescent="0.25">
      <c r="B9" t="s">
        <v>55</v>
      </c>
      <c r="C9" t="str">
        <f>INDEX('starlink countries list'!$C$2:$C$256,MATCH($B9,'starlink countries list'!$B$2:$B$256,0))</f>
        <v>Available</v>
      </c>
      <c r="D9" t="s">
        <v>55</v>
      </c>
      <c r="E9" s="15">
        <f>INDEX('Population and Broadband subs'!$D$12:$D$113,MATCH($D9,'Population and Broadband subs'!$A$12:$A$113,0))</f>
        <v>123400000</v>
      </c>
      <c r="F9" s="15">
        <f>INDEX('Population and Broadband subs'!$D$324:$D$425,MATCH($D9,'Population and Broadband subs'!$A$324:$A$425,0))</f>
        <v>53909050</v>
      </c>
      <c r="G9" s="16">
        <f>INDEX('penetration and ARPU'!$D$12:$D$113,MATCH($D9,'penetration and ARPU'!$A$12:$A$113,0))</f>
        <v>87.64</v>
      </c>
      <c r="H9" s="17">
        <f>INDEX('penetration and ARPU'!$D$1364:$D$1465,MATCH($D9,'penetration and ARPU'!$A$1364:$A$1465,0))</f>
        <v>24.66</v>
      </c>
      <c r="I9" s="17">
        <f>IFERROR(INDEX('penetration and ARPU'!$D$1780:$D$1881,MATCH($D9,'penetration and ARPU'!$A$1780:$A$1881,0)),"n/a")</f>
        <v>41.485826340000003</v>
      </c>
    </row>
    <row r="10" spans="1:9" x14ac:dyDescent="0.25">
      <c r="B10" t="s">
        <v>388</v>
      </c>
      <c r="C10" t="str">
        <f>INDEX('starlink countries list'!$C$2:$C$256,MATCH($B10,'starlink countries list'!$B$2:$B$256,0))</f>
        <v>Available</v>
      </c>
      <c r="D10" t="s">
        <v>100</v>
      </c>
      <c r="E10" s="15">
        <f>INDEX('Population and Broadband subs'!$D$12:$D$113,MATCH($D10,'Population and Broadband subs'!$A$12:$A$113,0))</f>
        <v>51320000</v>
      </c>
      <c r="F10" s="15">
        <f>INDEX('Population and Broadband subs'!$D$324:$D$425,MATCH($D10,'Population and Broadband subs'!$A$324:$A$425,0))</f>
        <v>25060177</v>
      </c>
      <c r="G10" s="16">
        <f>INDEX('penetration and ARPU'!$D$12:$D$113,MATCH($D10,'penetration and ARPU'!$A$12:$A$113,0))</f>
        <v>112.57</v>
      </c>
      <c r="H10" s="17">
        <f>INDEX('penetration and ARPU'!$D$1364:$D$1465,MATCH($D10,'penetration and ARPU'!$A$1364:$A$1465,0))</f>
        <v>14.14</v>
      </c>
      <c r="I10" s="17" t="str">
        <f>IFERROR(INDEX('penetration and ARPU'!$D$1780:$D$1881,MATCH($D10,'penetration and ARPU'!$A$1780:$A$1881,0)),"n/a")</f>
        <v>NA</v>
      </c>
    </row>
    <row r="11" spans="1:9" x14ac:dyDescent="0.25">
      <c r="B11" t="s">
        <v>381</v>
      </c>
      <c r="C11" t="str">
        <f>INDEX('starlink countries list'!$C$2:$C$256,MATCH($B11,'starlink countries list'!$B$2:$B$256,0))</f>
        <v>Coming Soon</v>
      </c>
      <c r="D11" t="s">
        <v>60</v>
      </c>
      <c r="E11" s="15">
        <f>INDEX('Population and Broadband subs'!$D$12:$D$113,MATCH($D11,'Population and Broadband subs'!$A$12:$A$113,0))</f>
        <v>7914207</v>
      </c>
      <c r="F11" s="15">
        <f>INDEX('Population and Broadband subs'!$D$324:$D$425,MATCH($D11,'Population and Broadband subs'!$A$324:$A$425,0))</f>
        <v>271294</v>
      </c>
      <c r="G11" s="16">
        <f>INDEX('penetration and ARPU'!$D$12:$D$113,MATCH($D11,'penetration and ARPU'!$A$12:$A$113,0))</f>
        <v>18.440000000000001</v>
      </c>
      <c r="H11" s="17">
        <f>INDEX('penetration and ARPU'!$D$1364:$D$1465,MATCH($D11,'penetration and ARPU'!$A$1364:$A$1465,0))</f>
        <v>15.25</v>
      </c>
      <c r="I11" s="17" t="str">
        <f>IFERROR(INDEX('penetration and ARPU'!$D$1780:$D$1881,MATCH($D11,'penetration and ARPU'!$A$1780:$A$1881,0)),"n/a")</f>
        <v>NA</v>
      </c>
    </row>
    <row r="12" spans="1:9" x14ac:dyDescent="0.25">
      <c r="B12" t="s">
        <v>65</v>
      </c>
      <c r="C12" t="str">
        <f>INDEX('starlink countries list'!$C$2:$C$256,MATCH($B12,'starlink countries list'!$B$2:$B$256,0))</f>
        <v>Available</v>
      </c>
      <c r="D12" t="s">
        <v>65</v>
      </c>
      <c r="E12" s="15">
        <f>INDEX('Population and Broadband subs'!$D$12:$D$113,MATCH($D12,'Population and Broadband subs'!$A$12:$A$113,0))</f>
        <v>36120000</v>
      </c>
      <c r="F12" s="15">
        <f>INDEX('Population and Broadband subs'!$D$324:$D$425,MATCH($D12,'Population and Broadband subs'!$A$324:$A$425,0))</f>
        <v>5273631</v>
      </c>
      <c r="G12" s="16">
        <f>INDEX('penetration and ARPU'!$D$12:$D$113,MATCH($D12,'penetration and ARPU'!$A$12:$A$113,0))</f>
        <v>55.9</v>
      </c>
      <c r="H12" s="17">
        <f>INDEX('penetration and ARPU'!$D$1364:$D$1465,MATCH($D12,'penetration and ARPU'!$A$1364:$A$1465,0))</f>
        <v>31.46</v>
      </c>
      <c r="I12" s="17">
        <f>IFERROR(INDEX('penetration and ARPU'!$D$1780:$D$1881,MATCH($D12,'penetration and ARPU'!$A$1780:$A$1881,0)),"n/a")</f>
        <v>33.6180758</v>
      </c>
    </row>
    <row r="13" spans="1:9" x14ac:dyDescent="0.25">
      <c r="B13" t="s">
        <v>69</v>
      </c>
      <c r="C13" t="str">
        <f>INDEX('starlink countries list'!$C$2:$C$256,MATCH($B13,'starlink countries list'!$B$2:$B$256,0))</f>
        <v>Coming Soon</v>
      </c>
      <c r="D13" t="s">
        <v>69</v>
      </c>
      <c r="E13" s="15">
        <f>INDEX('Population and Broadband subs'!$D$12:$D$113,MATCH($D13,'Population and Broadband subs'!$A$12:$A$113,0))</f>
        <v>55649307</v>
      </c>
      <c r="F13" s="15">
        <f>INDEX('Population and Broadband subs'!$D$324:$D$425,MATCH($D13,'Population and Broadband subs'!$A$324:$A$425,0))</f>
        <v>1440690</v>
      </c>
      <c r="G13" s="16">
        <f>INDEX('penetration and ARPU'!$D$12:$D$113,MATCH($D13,'penetration and ARPU'!$A$12:$A$113,0))</f>
        <v>12.17</v>
      </c>
      <c r="H13" s="17">
        <f>INDEX('penetration and ARPU'!$D$1364:$D$1465,MATCH($D13,'penetration and ARPU'!$A$1364:$A$1465,0))</f>
        <v>6.59</v>
      </c>
      <c r="I13" s="17">
        <f>IFERROR(INDEX('penetration and ARPU'!$D$1780:$D$1881,MATCH($D13,'penetration and ARPU'!$A$1780:$A$1881,0)),"n/a")</f>
        <v>14.021602189999999</v>
      </c>
    </row>
    <row r="14" spans="1:9" x14ac:dyDescent="0.25">
      <c r="B14" t="s">
        <v>71</v>
      </c>
      <c r="C14" t="str">
        <f>INDEX('starlink countries list'!$C$2:$C$256,MATCH($B14,'starlink countries list'!$B$2:$B$256,0))</f>
        <v>Available</v>
      </c>
      <c r="D14" t="s">
        <v>71</v>
      </c>
      <c r="E14" s="15">
        <f>INDEX('Population and Broadband subs'!$D$12:$D$113,MATCH($D14,'Population and Broadband subs'!$A$12:$A$113,0))</f>
        <v>5290000</v>
      </c>
      <c r="F14" s="15">
        <f>INDEX('Population and Broadband subs'!$D$324:$D$425,MATCH($D14,'Population and Broadband subs'!$A$324:$A$425,0))</f>
        <v>1648032</v>
      </c>
      <c r="G14" s="16">
        <f>INDEX('penetration and ARPU'!$D$12:$D$113,MATCH($D14,'penetration and ARPU'!$A$12:$A$113,0))</f>
        <v>91.95</v>
      </c>
      <c r="H14" s="17">
        <f>INDEX('penetration and ARPU'!$D$1364:$D$1465,MATCH($D14,'penetration and ARPU'!$A$1364:$A$1465,0))</f>
        <v>42.19</v>
      </c>
      <c r="I14" s="17">
        <f>IFERROR(INDEX('penetration and ARPU'!$D$1780:$D$1881,MATCH($D14,'penetration and ARPU'!$A$1780:$A$1881,0)),"n/a")</f>
        <v>74.806329180000006</v>
      </c>
    </row>
    <row r="15" spans="1:9" x14ac:dyDescent="0.25">
      <c r="B15" t="s">
        <v>87</v>
      </c>
      <c r="C15" t="str">
        <f>INDEX('starlink countries list'!$C$2:$C$256,MATCH($B15,'starlink countries list'!$B$2:$B$256,0))</f>
        <v>Available</v>
      </c>
      <c r="D15" t="s">
        <v>87</v>
      </c>
      <c r="E15" s="15">
        <f>INDEX('Population and Broadband subs'!$D$12:$D$113,MATCH($D15,'Population and Broadband subs'!$A$12:$A$113,0))</f>
        <v>119850000</v>
      </c>
      <c r="F15" s="15">
        <f>INDEX('Population and Broadband subs'!$D$324:$D$425,MATCH($D15,'Population and Broadband subs'!$A$324:$A$425,0))</f>
        <v>12651229</v>
      </c>
      <c r="G15" s="16">
        <f>INDEX('penetration and ARPU'!$D$12:$D$113,MATCH($D15,'penetration and ARPU'!$A$12:$A$113,0))</f>
        <v>44.16</v>
      </c>
      <c r="H15" s="17">
        <f>INDEX('penetration and ARPU'!$D$1364:$D$1465,MATCH($D15,'penetration and ARPU'!$A$1364:$A$1465,0))</f>
        <v>19.52</v>
      </c>
      <c r="I15" s="17">
        <f>IFERROR(INDEX('penetration and ARPU'!$D$1780:$D$1881,MATCH($D15,'penetration and ARPU'!$A$1780:$A$1881,0)),"n/a")</f>
        <v>44.802737260000001</v>
      </c>
    </row>
    <row r="16" spans="1:9" x14ac:dyDescent="0.25">
      <c r="B16" t="s">
        <v>96</v>
      </c>
      <c r="C16" t="str">
        <f>INDEX('starlink countries list'!$C$2:$C$256,MATCH($B16,'starlink countries list'!$B$2:$B$256,0))</f>
        <v>Available</v>
      </c>
      <c r="D16" t="s">
        <v>96</v>
      </c>
      <c r="E16" s="15">
        <f>INDEX('Population and Broadband subs'!$D$12:$D$113,MATCH($D16,'Population and Broadband subs'!$A$12:$A$113,0))</f>
        <v>5860000</v>
      </c>
      <c r="F16" s="15">
        <f>INDEX('Population and Broadband subs'!$D$324:$D$425,MATCH($D16,'Population and Broadband subs'!$A$324:$A$425,0))</f>
        <v>1527944</v>
      </c>
      <c r="G16" s="16">
        <f>INDEX('penetration and ARPU'!$D$12:$D$113,MATCH($D16,'penetration and ARPU'!$A$12:$A$113,0))</f>
        <v>102.13</v>
      </c>
      <c r="H16" s="17">
        <f>INDEX('penetration and ARPU'!$D$1364:$D$1465,MATCH($D16,'penetration and ARPU'!$A$1364:$A$1465,0))</f>
        <v>26.61</v>
      </c>
      <c r="I16" s="17" t="str">
        <f>IFERROR(INDEX('penetration and ARPU'!$D$1780:$D$1881,MATCH($D16,'penetration and ARPU'!$A$1780:$A$1881,0)),"n/a")</f>
        <v>NA</v>
      </c>
    </row>
    <row r="17" spans="1:9" x14ac:dyDescent="0.25">
      <c r="B17" t="s">
        <v>220</v>
      </c>
      <c r="C17" t="str">
        <f>INDEX('starlink countries list'!$C$2:$C$256,MATCH($B17,'starlink countries list'!$B$2:$B$256,0))</f>
        <v>Coming Soon</v>
      </c>
      <c r="D17" t="s">
        <v>105</v>
      </c>
      <c r="E17" s="15">
        <f>INDEX('Population and Broadband subs'!$D$12:$D$113,MATCH($D17,'Population and Broadband subs'!$A$12:$A$113,0))</f>
        <v>23340000</v>
      </c>
      <c r="F17" s="15">
        <f>INDEX('Population and Broadband subs'!$D$324:$D$425,MATCH($D17,'Population and Broadband subs'!$A$324:$A$425,0))</f>
        <v>7347276</v>
      </c>
      <c r="G17" s="16">
        <f>INDEX('penetration and ARPU'!$D$12:$D$113,MATCH($D17,'penetration and ARPU'!$A$12:$A$113,0))</f>
        <v>76.61</v>
      </c>
      <c r="H17" s="17">
        <f>INDEX('penetration and ARPU'!$D$1364:$D$1465,MATCH($D17,'penetration and ARPU'!$A$1364:$A$1465,0))</f>
        <v>13.12</v>
      </c>
      <c r="I17" s="17" t="str">
        <f>IFERROR(INDEX('penetration and ARPU'!$D$1780:$D$1881,MATCH($D17,'penetration and ARPU'!$A$1780:$A$1881,0)),"n/a")</f>
        <v>NA</v>
      </c>
    </row>
    <row r="18" spans="1:9" x14ac:dyDescent="0.25">
      <c r="B18" t="s">
        <v>173</v>
      </c>
      <c r="C18" t="str">
        <f>INDEX('starlink countries list'!$C$2:$C$256,MATCH($B18,'starlink countries list'!$B$2:$B$256,0))</f>
        <v>Coming Soon</v>
      </c>
      <c r="D18" t="s">
        <v>114</v>
      </c>
      <c r="E18" s="15">
        <f>INDEX('Population and Broadband subs'!$D$12:$D$113,MATCH($D18,'Population and Broadband subs'!$A$12:$A$113,0))</f>
        <v>101800000</v>
      </c>
      <c r="F18" s="15">
        <f>INDEX('Population and Broadband subs'!$D$324:$D$425,MATCH($D18,'Population and Broadband subs'!$A$324:$A$425,0))</f>
        <v>24897638</v>
      </c>
      <c r="G18" s="16">
        <f>INDEX('penetration and ARPU'!$D$12:$D$113,MATCH($D18,'penetration and ARPU'!$A$12:$A$113,0))</f>
        <v>84.02</v>
      </c>
      <c r="H18" s="17">
        <f>INDEX('penetration and ARPU'!$D$1364:$D$1465,MATCH($D18,'penetration and ARPU'!$A$1364:$A$1465,0))</f>
        <v>9.2200000000000006</v>
      </c>
      <c r="I18" s="17">
        <f>IFERROR(INDEX('penetration and ARPU'!$D$1780:$D$1881,MATCH($D18,'penetration and ARPU'!$A$1780:$A$1881,0)),"n/a")</f>
        <v>0</v>
      </c>
    </row>
    <row r="20" spans="1:9" x14ac:dyDescent="0.25">
      <c r="A20" s="14" t="s">
        <v>610</v>
      </c>
      <c r="B20" s="14"/>
      <c r="C20" s="14"/>
      <c r="D20" s="14"/>
      <c r="E20" s="14"/>
      <c r="F20" s="14"/>
      <c r="G20" s="14"/>
      <c r="H20" s="14"/>
      <c r="I20" s="14"/>
    </row>
    <row r="21" spans="1:9" x14ac:dyDescent="0.25">
      <c r="B21" t="s">
        <v>24</v>
      </c>
      <c r="C21" t="str">
        <f>INDEX('starlink countries list'!$C$2:$C$256,MATCH($B21,'starlink countries list'!$B$2:$B$256,0))</f>
        <v>Available</v>
      </c>
      <c r="D21" t="s">
        <v>24</v>
      </c>
      <c r="E21" s="15">
        <f>INDEX('Population and Broadband subs'!$D$12:$D$113,MATCH($D21,'Population and Broadband subs'!$A$12:$A$113,0))</f>
        <v>6630000</v>
      </c>
      <c r="F21" s="15">
        <f>INDEX('Population and Broadband subs'!$D$324:$D$425,MATCH($D21,'Population and Broadband subs'!$A$324:$A$425,0))</f>
        <v>2686193</v>
      </c>
      <c r="G21" s="16">
        <f>INDEX('penetration and ARPU'!$D$12:$D$113,MATCH($D21,'penetration and ARPU'!$A$12:$A$113,0))</f>
        <v>93.65</v>
      </c>
      <c r="H21" s="17" t="str">
        <f>INDEX('penetration and ARPU'!$D$1364:$D$1465,MATCH($D21,'penetration and ARPU'!$A$1364:$A$1465,0))</f>
        <v>NA</v>
      </c>
      <c r="I21" s="17" t="str">
        <f>IFERROR(INDEX('penetration and ARPU'!$D$1780:$D$1881,MATCH($D21,'penetration and ARPU'!$A$1780:$A$1881,0)),"n/a")</f>
        <v>NA</v>
      </c>
    </row>
    <row r="22" spans="1:9" x14ac:dyDescent="0.25">
      <c r="B22" t="s">
        <v>31</v>
      </c>
      <c r="C22" t="str">
        <f>INDEX('starlink countries list'!$C$2:$C$256,MATCH($B22,'starlink countries list'!$B$2:$B$256,0))</f>
        <v>Available</v>
      </c>
      <c r="D22" t="s">
        <v>31</v>
      </c>
      <c r="E22" s="15">
        <f>INDEX('Population and Broadband subs'!$D$12:$D$113,MATCH($D22,'Population and Broadband subs'!$A$12:$A$113,0))</f>
        <v>3940000</v>
      </c>
      <c r="F22" s="15">
        <f>INDEX('Population and Broadband subs'!$D$324:$D$425,MATCH($D22,'Population and Broadband subs'!$A$324:$A$425,0))</f>
        <v>1204292</v>
      </c>
      <c r="G22" s="16">
        <f>INDEX('penetration and ARPU'!$D$12:$D$113,MATCH($D22,'penetration and ARPU'!$A$12:$A$113,0))</f>
        <v>81.66</v>
      </c>
      <c r="H22" s="17">
        <f>INDEX('penetration and ARPU'!$D$1364:$D$1465,MATCH($D22,'penetration and ARPU'!$A$1364:$A$1465,0))</f>
        <v>18.11</v>
      </c>
      <c r="I22" s="17" t="str">
        <f>IFERROR(INDEX('penetration and ARPU'!$D$1780:$D$1881,MATCH($D22,'penetration and ARPU'!$A$1780:$A$1881,0)),"n/a")</f>
        <v>NA</v>
      </c>
    </row>
    <row r="23" spans="1:9" x14ac:dyDescent="0.25">
      <c r="B23" t="s">
        <v>32</v>
      </c>
      <c r="C23" t="str">
        <f>INDEX('starlink countries list'!$C$2:$C$256,MATCH($B23,'starlink countries list'!$B$2:$B$256,0))</f>
        <v>Available</v>
      </c>
      <c r="D23" t="s">
        <v>32</v>
      </c>
      <c r="E23" s="15">
        <f>INDEX('Population and Broadband subs'!$D$12:$D$113,MATCH($D23,'Population and Broadband subs'!$A$12:$A$113,0))</f>
        <v>10530000</v>
      </c>
      <c r="F23" s="15">
        <f>INDEX('Population and Broadband subs'!$D$324:$D$425,MATCH($D23,'Population and Broadband subs'!$A$324:$A$425,0))</f>
        <v>3720133</v>
      </c>
      <c r="G23" s="16">
        <f>INDEX('penetration and ARPU'!$D$12:$D$113,MATCH($D23,'penetration and ARPU'!$A$12:$A$113,0))</f>
        <v>80.95</v>
      </c>
      <c r="H23" s="17" t="str">
        <f>INDEX('penetration and ARPU'!$D$1364:$D$1465,MATCH($D23,'penetration and ARPU'!$A$1364:$A$1465,0))</f>
        <v>NA</v>
      </c>
      <c r="I23" s="17" t="str">
        <f>IFERROR(INDEX('penetration and ARPU'!$D$1780:$D$1881,MATCH($D23,'penetration and ARPU'!$A$1780:$A$1881,0)),"n/a")</f>
        <v>NA</v>
      </c>
    </row>
    <row r="24" spans="1:9" x14ac:dyDescent="0.25">
      <c r="B24" t="s">
        <v>39</v>
      </c>
      <c r="C24" t="str">
        <f>INDEX('starlink countries list'!$C$2:$C$256,MATCH($B24,'starlink countries list'!$B$2:$B$256,0))</f>
        <v>Available</v>
      </c>
      <c r="D24" t="s">
        <v>39</v>
      </c>
      <c r="E24" s="15">
        <f>INDEX('Population and Broadband subs'!$D$12:$D$113,MATCH($D24,'Population and Broadband subs'!$A$12:$A$113,0))</f>
        <v>1330000</v>
      </c>
      <c r="F24" s="15">
        <f>INDEX('Population and Broadband subs'!$D$324:$D$425,MATCH($D24,'Population and Broadband subs'!$A$324:$A$425,0))</f>
        <v>498071</v>
      </c>
      <c r="G24" s="16">
        <f>INDEX('penetration and ARPU'!$D$12:$D$113,MATCH($D24,'penetration and ARPU'!$A$12:$A$113,0))</f>
        <v>75.45</v>
      </c>
      <c r="H24" s="17" t="str">
        <f>INDEX('penetration and ARPU'!$D$1364:$D$1465,MATCH($D24,'penetration and ARPU'!$A$1364:$A$1465,0))</f>
        <v>NA</v>
      </c>
      <c r="I24" s="17" t="str">
        <f>IFERROR(INDEX('penetration and ARPU'!$D$1780:$D$1881,MATCH($D24,'penetration and ARPU'!$A$1780:$A$1881,0)),"n/a")</f>
        <v>NA</v>
      </c>
    </row>
    <row r="25" spans="1:9" x14ac:dyDescent="0.25">
      <c r="B25" t="s">
        <v>47</v>
      </c>
      <c r="C25" t="str">
        <f>INDEX('starlink countries list'!$C$2:$C$256,MATCH($B25,'starlink countries list'!$B$2:$B$256,0))</f>
        <v>Available</v>
      </c>
      <c r="D25" t="s">
        <v>47</v>
      </c>
      <c r="E25" s="15">
        <f>INDEX('Population and Broadband subs'!$D$12:$D$113,MATCH($D25,'Population and Broadband subs'!$A$12:$A$113,0))</f>
        <v>9590000</v>
      </c>
      <c r="F25" s="15">
        <f>INDEX('Population and Broadband subs'!$D$324:$D$425,MATCH($D25,'Population and Broadband subs'!$A$324:$A$425,0))</f>
        <v>3508829</v>
      </c>
      <c r="G25" s="16">
        <f>INDEX('penetration and ARPU'!$D$12:$D$113,MATCH($D25,'penetration and ARPU'!$A$12:$A$113,0))</f>
        <v>86.79</v>
      </c>
      <c r="H25" s="17" t="str">
        <f>INDEX('penetration and ARPU'!$D$1364:$D$1465,MATCH($D25,'penetration and ARPU'!$A$1364:$A$1465,0))</f>
        <v>NA</v>
      </c>
      <c r="I25" s="17" t="str">
        <f>IFERROR(INDEX('penetration and ARPU'!$D$1780:$D$1881,MATCH($D25,'penetration and ARPU'!$A$1780:$A$1881,0)),"n/a")</f>
        <v>NA</v>
      </c>
    </row>
    <row r="26" spans="1:9" x14ac:dyDescent="0.25">
      <c r="B26" t="s">
        <v>62</v>
      </c>
      <c r="C26" t="str">
        <f>INDEX('starlink countries list'!$C$2:$C$256,MATCH($B26,'starlink countries list'!$B$2:$B$256,0))</f>
        <v>Available</v>
      </c>
      <c r="D26" t="s">
        <v>62</v>
      </c>
      <c r="E26" s="15">
        <f>INDEX('Population and Broadband subs'!$D$12:$D$113,MATCH($D26,'Population and Broadband subs'!$A$12:$A$113,0))</f>
        <v>1840000</v>
      </c>
      <c r="F26" s="15">
        <f>INDEX('Population and Broadband subs'!$D$324:$D$425,MATCH($D26,'Population and Broadband subs'!$A$324:$A$425,0))</f>
        <v>479552</v>
      </c>
      <c r="G26" s="16">
        <f>INDEX('penetration and ARPU'!$D$12:$D$113,MATCH($D26,'penetration and ARPU'!$A$12:$A$113,0))</f>
        <v>56.94</v>
      </c>
      <c r="H26" s="17" t="str">
        <f>INDEX('penetration and ARPU'!$D$1364:$D$1465,MATCH($D26,'penetration and ARPU'!$A$1364:$A$1465,0))</f>
        <v>NA</v>
      </c>
      <c r="I26" s="17" t="str">
        <f>IFERROR(INDEX('penetration and ARPU'!$D$1780:$D$1881,MATCH($D26,'penetration and ARPU'!$A$1780:$A$1881,0)),"n/a")</f>
        <v>NA</v>
      </c>
    </row>
    <row r="27" spans="1:9" x14ac:dyDescent="0.25">
      <c r="B27" t="s">
        <v>64</v>
      </c>
      <c r="C27" t="str">
        <f>INDEX('starlink countries list'!$C$2:$C$256,MATCH($B27,'starlink countries list'!$B$2:$B$256,0))</f>
        <v>Available</v>
      </c>
      <c r="D27" t="s">
        <v>64</v>
      </c>
      <c r="E27" s="15">
        <f>INDEX('Population and Broadband subs'!$D$12:$D$113,MATCH($D27,'Population and Broadband subs'!$A$12:$A$113,0))</f>
        <v>2650000</v>
      </c>
      <c r="F27" s="15">
        <f>INDEX('Population and Broadband subs'!$D$324:$D$425,MATCH($D27,'Population and Broadband subs'!$A$324:$A$425,0))</f>
        <v>779389</v>
      </c>
      <c r="G27" s="16">
        <f>INDEX('penetration and ARPU'!$D$12:$D$113,MATCH($D27,'penetration and ARPU'!$A$12:$A$113,0))</f>
        <v>44.72</v>
      </c>
      <c r="H27" s="17" t="str">
        <f>INDEX('penetration and ARPU'!$D$1364:$D$1465,MATCH($D27,'penetration and ARPU'!$A$1364:$A$1465,0))</f>
        <v>NA</v>
      </c>
      <c r="I27" s="17" t="str">
        <f>IFERROR(INDEX('penetration and ARPU'!$D$1780:$D$1881,MATCH($D27,'penetration and ARPU'!$A$1780:$A$1881,0)),"n/a")</f>
        <v>NA</v>
      </c>
    </row>
    <row r="28" spans="1:9" x14ac:dyDescent="0.25">
      <c r="B28" t="s">
        <v>88</v>
      </c>
      <c r="C28" t="str">
        <f>INDEX('starlink countries list'!$C$2:$C$256,MATCH($B28,'starlink countries list'!$B$2:$B$256,0))</f>
        <v>Available</v>
      </c>
      <c r="D28" t="s">
        <v>88</v>
      </c>
      <c r="E28" s="15">
        <f>INDEX('Population and Broadband subs'!$D$12:$D$113,MATCH($D28,'Population and Broadband subs'!$A$12:$A$113,0))</f>
        <v>37420000</v>
      </c>
      <c r="F28" s="15">
        <f>INDEX('Population and Broadband subs'!$D$324:$D$425,MATCH($D28,'Population and Broadband subs'!$A$324:$A$425,0))</f>
        <v>10421021</v>
      </c>
      <c r="G28" s="16">
        <f>INDEX('penetration and ARPU'!$D$12:$D$113,MATCH($D28,'penetration and ARPU'!$A$12:$A$113,0))</f>
        <v>67.599999999999994</v>
      </c>
      <c r="H28" s="17">
        <f>INDEX('penetration and ARPU'!$D$1364:$D$1465,MATCH($D28,'penetration and ARPU'!$A$1364:$A$1465,0))</f>
        <v>12.79</v>
      </c>
      <c r="I28" s="17" t="str">
        <f>IFERROR(INDEX('penetration and ARPU'!$D$1780:$D$1881,MATCH($D28,'penetration and ARPU'!$A$1780:$A$1881,0)),"n/a")</f>
        <v>NA</v>
      </c>
    </row>
    <row r="29" spans="1:9" x14ac:dyDescent="0.25">
      <c r="B29" t="s">
        <v>92</v>
      </c>
      <c r="C29" t="str">
        <f>INDEX('starlink countries list'!$C$2:$C$256,MATCH($B29,'starlink countries list'!$B$2:$B$256,0))</f>
        <v>Available</v>
      </c>
      <c r="D29" t="s">
        <v>92</v>
      </c>
      <c r="E29" s="15">
        <f>INDEX('Population and Broadband subs'!$D$12:$D$113,MATCH($D29,'Population and Broadband subs'!$A$12:$A$113,0))</f>
        <v>18800000</v>
      </c>
      <c r="F29" s="15">
        <f>INDEX('Population and Broadband subs'!$D$324:$D$425,MATCH($D29,'Population and Broadband subs'!$A$324:$A$425,0))</f>
        <v>7148437</v>
      </c>
      <c r="G29" s="16">
        <f>INDEX('penetration and ARPU'!$D$12:$D$113,MATCH($D29,'penetration and ARPU'!$A$12:$A$113,0))</f>
        <v>89.83</v>
      </c>
      <c r="H29" s="17" t="str">
        <f>INDEX('penetration and ARPU'!$D$1364:$D$1465,MATCH($D29,'penetration and ARPU'!$A$1364:$A$1465,0))</f>
        <v>NA</v>
      </c>
      <c r="I29" s="17" t="str">
        <f>IFERROR(INDEX('penetration and ARPU'!$D$1780:$D$1881,MATCH($D29,'penetration and ARPU'!$A$1780:$A$1881,0)),"n/a")</f>
        <v>NA</v>
      </c>
    </row>
    <row r="30" spans="1:9" x14ac:dyDescent="0.25">
      <c r="B30" t="s">
        <v>95</v>
      </c>
      <c r="C30" t="str">
        <f>INDEX('starlink countries list'!$C$2:$C$256,MATCH($B30,'starlink countries list'!$B$2:$B$256,0))</f>
        <v>Coming Soon</v>
      </c>
      <c r="D30" t="s">
        <v>95</v>
      </c>
      <c r="E30" s="15">
        <f>INDEX('Population and Broadband subs'!$D$12:$D$113,MATCH($D30,'Population and Broadband subs'!$A$12:$A$113,0))</f>
        <v>6490000</v>
      </c>
      <c r="F30" s="15">
        <f>INDEX('Population and Broadband subs'!$D$324:$D$425,MATCH($D30,'Population and Broadband subs'!$A$324:$A$425,0))</f>
        <v>2293279</v>
      </c>
      <c r="G30" s="16">
        <f>INDEX('penetration and ARPU'!$D$12:$D$113,MATCH($D30,'penetration and ARPU'!$A$12:$A$113,0))</f>
        <v>89.3</v>
      </c>
      <c r="H30" s="17" t="str">
        <f>INDEX('penetration and ARPU'!$D$1364:$D$1465,MATCH($D30,'penetration and ARPU'!$A$1364:$A$1465,0))</f>
        <v>NA</v>
      </c>
      <c r="I30" s="17" t="str">
        <f>IFERROR(INDEX('penetration and ARPU'!$D$1780:$D$1881,MATCH($D30,'penetration and ARPU'!$A$1780:$A$1881,0)),"n/a")</f>
        <v>NA</v>
      </c>
    </row>
    <row r="31" spans="1:9" x14ac:dyDescent="0.25">
      <c r="B31" t="s">
        <v>97</v>
      </c>
      <c r="C31" t="str">
        <f>INDEX('starlink countries list'!$C$2:$C$256,MATCH($B31,'starlink countries list'!$B$2:$B$256,0))</f>
        <v>Available</v>
      </c>
      <c r="D31" t="s">
        <v>97</v>
      </c>
      <c r="E31" s="15">
        <f>INDEX('Population and Broadband subs'!$D$12:$D$113,MATCH($D31,'Population and Broadband subs'!$A$12:$A$113,0))</f>
        <v>5440000</v>
      </c>
      <c r="F31" s="15">
        <f>INDEX('Population and Broadband subs'!$D$324:$D$425,MATCH($D31,'Population and Broadband subs'!$A$324:$A$425,0))</f>
        <v>1759589</v>
      </c>
      <c r="G31" s="16">
        <f>INDEX('penetration and ARPU'!$D$12:$D$113,MATCH($D31,'penetration and ARPU'!$A$12:$A$113,0))</f>
        <v>97.15</v>
      </c>
      <c r="H31" s="17">
        <f>INDEX('penetration and ARPU'!$D$1364:$D$1465,MATCH($D31,'penetration and ARPU'!$A$1364:$A$1465,0))</f>
        <v>0</v>
      </c>
      <c r="I31" s="17" t="str">
        <f>IFERROR(INDEX('penetration and ARPU'!$D$1780:$D$1881,MATCH($D31,'penetration and ARPU'!$A$1780:$A$1881,0)),"n/a")</f>
        <v>NA</v>
      </c>
    </row>
    <row r="32" spans="1:9" x14ac:dyDescent="0.25">
      <c r="B32" t="s">
        <v>98</v>
      </c>
      <c r="C32" t="str">
        <f>INDEX('starlink countries list'!$C$2:$C$256,MATCH($B32,'starlink countries list'!$B$2:$B$256,0))</f>
        <v>Available</v>
      </c>
      <c r="D32" t="s">
        <v>98</v>
      </c>
      <c r="E32" s="15">
        <f>INDEX('Population and Broadband subs'!$D$12:$D$113,MATCH($D32,'Population and Broadband subs'!$A$12:$A$113,0))</f>
        <v>2120000</v>
      </c>
      <c r="F32" s="15">
        <f>INDEX('Population and Broadband subs'!$D$324:$D$425,MATCH($D32,'Population and Broadband subs'!$A$324:$A$425,0))</f>
        <v>773555</v>
      </c>
      <c r="G32" s="16">
        <f>INDEX('penetration and ARPU'!$D$12:$D$113,MATCH($D32,'penetration and ARPU'!$A$12:$A$113,0))</f>
        <v>89.73</v>
      </c>
      <c r="H32" s="17" t="str">
        <f>INDEX('penetration and ARPU'!$D$1364:$D$1465,MATCH($D32,'penetration and ARPU'!$A$1364:$A$1465,0))</f>
        <v>NA</v>
      </c>
      <c r="I32" s="17" t="str">
        <f>IFERROR(INDEX('penetration and ARPU'!$D$1780:$D$1881,MATCH($D32,'penetration and ARPU'!$A$1780:$A$1881,0)),"n/a")</f>
        <v>NA</v>
      </c>
    </row>
    <row r="33" spans="1:9" x14ac:dyDescent="0.25">
      <c r="B33" t="s">
        <v>108</v>
      </c>
      <c r="C33" t="str">
        <f>INDEX('starlink countries list'!$C$2:$C$256,MATCH("T*rkiye",'starlink countries list'!$B$2:$B$256,0))</f>
        <v>Coming Soon</v>
      </c>
      <c r="D33" t="s">
        <v>108</v>
      </c>
      <c r="E33" s="15">
        <f>INDEX('Population and Broadband subs'!$D$12:$D$113,MATCH($D33,'Population and Broadband subs'!$A$12:$A$113,0))</f>
        <v>87930000</v>
      </c>
      <c r="F33" s="15">
        <f>INDEX('Population and Broadband subs'!$D$324:$D$425,MATCH($D33,'Population and Broadband subs'!$A$324:$A$425,0))</f>
        <v>24574121</v>
      </c>
      <c r="G33" s="16">
        <f>INDEX('penetration and ARPU'!$D$12:$D$113,MATCH($D33,'penetration and ARPU'!$A$12:$A$113,0))</f>
        <v>82.44</v>
      </c>
      <c r="H33" s="17" t="str">
        <f>INDEX('penetration and ARPU'!$D$1364:$D$1465,MATCH($D33,'penetration and ARPU'!$A$1364:$A$1465,0))</f>
        <v>NA</v>
      </c>
      <c r="I33" s="17" t="str">
        <f>IFERROR(INDEX('penetration and ARPU'!$D$1780:$D$1881,MATCH($D33,'penetration and ARPU'!$A$1780:$A$1881,0)),"n/a")</f>
        <v>NA</v>
      </c>
    </row>
    <row r="35" spans="1:9" x14ac:dyDescent="0.25">
      <c r="A35" s="14" t="s">
        <v>611</v>
      </c>
      <c r="B35" s="14"/>
      <c r="C35" s="14"/>
      <c r="D35" s="14"/>
      <c r="E35" s="14"/>
      <c r="F35" s="14"/>
      <c r="G35" s="14"/>
      <c r="H35" s="14"/>
      <c r="I35" s="14"/>
    </row>
    <row r="36" spans="1:9" x14ac:dyDescent="0.25">
      <c r="B36" t="s">
        <v>14</v>
      </c>
      <c r="C36" t="str">
        <f>INDEX('starlink countries list'!$C$2:$C$256,MATCH($B36,'starlink countries list'!$B$2:$B$256,0))</f>
        <v>Available</v>
      </c>
      <c r="D36" t="s">
        <v>14</v>
      </c>
      <c r="E36" s="15">
        <f>INDEX('Population and Broadband subs'!$D$12:$D$113,MATCH($D36,'Population and Broadband subs'!$A$12:$A$113,0))</f>
        <v>46000000</v>
      </c>
      <c r="F36" s="15">
        <f>INDEX('Population and Broadband subs'!$D$324:$D$425,MATCH($D36,'Population and Broadband subs'!$A$324:$A$425,0))</f>
        <v>12739593</v>
      </c>
      <c r="G36" s="16">
        <f>INDEX('penetration and ARPU'!$D$12:$D$113,MATCH($D36,'penetration and ARPU'!$A$12:$A$113,0))</f>
        <v>78.77</v>
      </c>
      <c r="H36" s="17">
        <f>INDEX('penetration and ARPU'!$D$1364:$D$1465,MATCH($D36,'penetration and ARPU'!$A$1364:$A$1465,0))</f>
        <v>17.34</v>
      </c>
      <c r="I36" s="17" t="str">
        <f>IFERROR(INDEX('penetration and ARPU'!$D$1780:$D$1881,MATCH($D36,'penetration and ARPU'!$A$1780:$A$1881,0)),"n/a")</f>
        <v>NA</v>
      </c>
    </row>
    <row r="37" spans="1:9" x14ac:dyDescent="0.25">
      <c r="B37" t="s">
        <v>18</v>
      </c>
      <c r="C37" t="str">
        <f>INDEX('starlink countries list'!$C$2:$C$256,MATCH($B37,'starlink countries list'!$B$2:$B$256,0))</f>
        <v>Available</v>
      </c>
      <c r="D37" t="s">
        <v>18</v>
      </c>
      <c r="E37" s="15">
        <f>INDEX('Population and Broadband subs'!$D$12:$D$113,MATCH($D37,'Population and Broadband subs'!$A$12:$A$113,0))</f>
        <v>429905</v>
      </c>
      <c r="F37" s="15">
        <f>INDEX('Population and Broadband subs'!$D$324:$D$425,MATCH($D37,'Population and Broadband subs'!$A$324:$A$425,0))</f>
        <v>77435</v>
      </c>
      <c r="G37" s="16">
        <f>INDEX('penetration and ARPU'!$D$12:$D$113,MATCH($D37,'penetration and ARPU'!$A$12:$A$113,0))</f>
        <v>59.54</v>
      </c>
      <c r="H37" s="17" t="str">
        <f>INDEX('penetration and ARPU'!$D$1364:$D$1465,MATCH($D37,'penetration and ARPU'!$A$1364:$A$1465,0))</f>
        <v>NA</v>
      </c>
      <c r="I37" s="17" t="str">
        <f>IFERROR(INDEX('penetration and ARPU'!$D$1780:$D$1881,MATCH($D37,'penetration and ARPU'!$A$1780:$A$1881,0)),"n/a")</f>
        <v>NA</v>
      </c>
    </row>
    <row r="38" spans="1:9" x14ac:dyDescent="0.25">
      <c r="B38" t="s">
        <v>20</v>
      </c>
      <c r="C38" t="str">
        <f>INDEX('starlink countries list'!$C$2:$C$256,MATCH($B38,'starlink countries list'!$B$2:$B$256,0))</f>
        <v>Available</v>
      </c>
      <c r="D38" t="s">
        <v>20</v>
      </c>
      <c r="E38" s="15">
        <f>INDEX('Population and Broadband subs'!$D$12:$D$113,MATCH($D38,'Population and Broadband subs'!$A$12:$A$113,0))</f>
        <v>291453</v>
      </c>
      <c r="F38" s="15">
        <f>INDEX('Population and Broadband subs'!$D$324:$D$425,MATCH($D38,'Population and Broadband subs'!$A$324:$A$425,0))</f>
        <v>97018</v>
      </c>
      <c r="G38" s="16">
        <f>INDEX('penetration and ARPU'!$D$12:$D$113,MATCH($D38,'penetration and ARPU'!$A$12:$A$113,0))</f>
        <v>86.64</v>
      </c>
      <c r="H38" s="17" t="str">
        <f>INDEX('penetration and ARPU'!$D$1364:$D$1465,MATCH($D38,'penetration and ARPU'!$A$1364:$A$1465,0))</f>
        <v>NA</v>
      </c>
      <c r="I38" s="17" t="str">
        <f>IFERROR(INDEX('penetration and ARPU'!$D$1780:$D$1881,MATCH($D38,'penetration and ARPU'!$A$1780:$A$1881,0)),"n/a")</f>
        <v>NA</v>
      </c>
    </row>
    <row r="39" spans="1:9" x14ac:dyDescent="0.25">
      <c r="B39" t="s">
        <v>548</v>
      </c>
      <c r="C39" t="str">
        <f>INDEX('starlink countries list'!$C$2:$C$256,MATCH($B39,'starlink countries list'!$B$2:$B$256,0))</f>
        <v>Available</v>
      </c>
      <c r="D39" t="s">
        <v>22</v>
      </c>
      <c r="E39" s="15">
        <f>INDEX('Population and Broadband subs'!$D$12:$D$113,MATCH($D39,'Population and Broadband subs'!$A$12:$A$113,0))</f>
        <v>12630000</v>
      </c>
      <c r="F39" s="15">
        <f>INDEX('Population and Broadband subs'!$D$324:$D$425,MATCH($D39,'Population and Broadband subs'!$A$324:$A$425,0))</f>
        <v>1589668</v>
      </c>
      <c r="G39" s="16">
        <f>INDEX('penetration and ARPU'!$D$12:$D$113,MATCH($D39,'penetration and ARPU'!$A$12:$A$113,0))</f>
        <v>37.15</v>
      </c>
      <c r="H39" s="17" t="str">
        <f>INDEX('penetration and ARPU'!$D$1364:$D$1465,MATCH($D39,'penetration and ARPU'!$A$1364:$A$1465,0))</f>
        <v>NA</v>
      </c>
      <c r="I39" s="17" t="str">
        <f>IFERROR(INDEX('penetration and ARPU'!$D$1780:$D$1881,MATCH($D39,'penetration and ARPU'!$A$1780:$A$1881,0)),"n/a")</f>
        <v>NA</v>
      </c>
    </row>
    <row r="40" spans="1:9" x14ac:dyDescent="0.25">
      <c r="B40" t="s">
        <v>23</v>
      </c>
      <c r="C40" t="str">
        <f>INDEX('starlink countries list'!$C$2:$C$256,MATCH($B40,'starlink countries list'!$B$2:$B$256,0))</f>
        <v>Available</v>
      </c>
      <c r="D40" t="s">
        <v>23</v>
      </c>
      <c r="E40" s="15">
        <f>INDEX('Population and Broadband subs'!$D$12:$D$113,MATCH($D40,'Population and Broadband subs'!$A$12:$A$113,0))</f>
        <v>213560000</v>
      </c>
      <c r="F40" s="15">
        <f>INDEX('Population and Broadband subs'!$D$324:$D$425,MATCH($D40,'Population and Broadband subs'!$A$324:$A$425,0))</f>
        <v>50287033</v>
      </c>
      <c r="G40" s="16">
        <f>INDEX('penetration and ARPU'!$D$12:$D$113,MATCH($D40,'penetration and ARPU'!$A$12:$A$113,0))</f>
        <v>65.84</v>
      </c>
      <c r="H40" s="17">
        <f>INDEX('penetration and ARPU'!$D$1364:$D$1465,MATCH($D40,'penetration and ARPU'!$A$1364:$A$1465,0))</f>
        <v>17.809999999999999</v>
      </c>
      <c r="I40" s="17">
        <f>IFERROR(INDEX('penetration and ARPU'!$D$1780:$D$1881,MATCH($D40,'penetration and ARPU'!$A$1780:$A$1881,0)),"n/a")</f>
        <v>36.323708330000002</v>
      </c>
    </row>
    <row r="41" spans="1:9" x14ac:dyDescent="0.25">
      <c r="B41" t="s">
        <v>27</v>
      </c>
      <c r="C41" t="str">
        <f>INDEX('starlink countries list'!$C$2:$C$256,MATCH($B41,'starlink countries list'!$B$2:$B$256,0))</f>
        <v>Available</v>
      </c>
      <c r="D41" t="s">
        <v>27</v>
      </c>
      <c r="E41" s="15">
        <f>INDEX('Population and Broadband subs'!$D$12:$D$113,MATCH($D41,'Population and Broadband subs'!$A$12:$A$113,0))</f>
        <v>19950000</v>
      </c>
      <c r="F41" s="15">
        <f>INDEX('Population and Broadband subs'!$D$324:$D$425,MATCH($D41,'Population and Broadband subs'!$A$324:$A$425,0))</f>
        <v>4553468</v>
      </c>
      <c r="G41" s="16">
        <f>INDEX('penetration and ARPU'!$D$12:$D$113,MATCH($D41,'penetration and ARPU'!$A$12:$A$113,0))</f>
        <v>74.08</v>
      </c>
      <c r="H41" s="17">
        <f>INDEX('penetration and ARPU'!$D$1364:$D$1465,MATCH($D41,'penetration and ARPU'!$A$1364:$A$1465,0))</f>
        <v>17.510000000000002</v>
      </c>
      <c r="I41" s="17" t="str">
        <f>IFERROR(INDEX('penetration and ARPU'!$D$1780:$D$1881,MATCH($D41,'penetration and ARPU'!$A$1780:$A$1881,0)),"n/a")</f>
        <v>NA</v>
      </c>
    </row>
    <row r="42" spans="1:9" x14ac:dyDescent="0.25">
      <c r="B42" t="s">
        <v>29</v>
      </c>
      <c r="C42" t="str">
        <f>INDEX('starlink countries list'!$C$2:$C$256,MATCH($B42,'starlink countries list'!$B$2:$B$256,0))</f>
        <v>Available</v>
      </c>
      <c r="D42" t="s">
        <v>29</v>
      </c>
      <c r="E42" s="15">
        <f>INDEX('Population and Broadband subs'!$D$12:$D$113,MATCH($D42,'Population and Broadband subs'!$A$12:$A$113,0))</f>
        <v>52900000</v>
      </c>
      <c r="F42" s="15">
        <f>INDEX('Population and Broadband subs'!$D$324:$D$425,MATCH($D42,'Population and Broadband subs'!$A$324:$A$425,0))</f>
        <v>9074736</v>
      </c>
      <c r="G42" s="16">
        <f>INDEX('penetration and ARPU'!$D$12:$D$113,MATCH($D42,'penetration and ARPU'!$A$12:$A$113,0))</f>
        <v>47.11</v>
      </c>
      <c r="H42" s="17">
        <f>INDEX('penetration and ARPU'!$D$1364:$D$1465,MATCH($D42,'penetration and ARPU'!$A$1364:$A$1465,0))</f>
        <v>13.09</v>
      </c>
      <c r="I42" s="17" t="str">
        <f>IFERROR(INDEX('penetration and ARPU'!$D$1780:$D$1881,MATCH($D42,'penetration and ARPU'!$A$1780:$A$1881,0)),"n/a")</f>
        <v>NA</v>
      </c>
    </row>
    <row r="43" spans="1:9" x14ac:dyDescent="0.25">
      <c r="B43" t="s">
        <v>30</v>
      </c>
      <c r="C43" t="str">
        <f>INDEX('starlink countries list'!$C$2:$C$256,MATCH($B43,'starlink countries list'!$B$2:$B$256,0))</f>
        <v>Available</v>
      </c>
      <c r="D43" t="s">
        <v>30</v>
      </c>
      <c r="E43" s="15">
        <f>INDEX('Population and Broadband subs'!$D$12:$D$113,MATCH($D43,'Population and Broadband subs'!$A$12:$A$113,0))</f>
        <v>5170000</v>
      </c>
      <c r="F43" s="15">
        <f>INDEX('Population and Broadband subs'!$D$324:$D$425,MATCH($D43,'Population and Broadband subs'!$A$324:$A$425,0))</f>
        <v>1423540</v>
      </c>
      <c r="G43" s="16">
        <f>INDEX('penetration and ARPU'!$D$12:$D$113,MATCH($D43,'penetration and ARPU'!$A$12:$A$113,0))</f>
        <v>82.56</v>
      </c>
      <c r="H43" s="17">
        <f>INDEX('penetration and ARPU'!$D$1364:$D$1465,MATCH($D43,'penetration and ARPU'!$A$1364:$A$1465,0))</f>
        <v>29.56</v>
      </c>
      <c r="I43" s="17" t="str">
        <f>IFERROR(INDEX('penetration and ARPU'!$D$1780:$D$1881,MATCH($D43,'penetration and ARPU'!$A$1780:$A$1881,0)),"n/a")</f>
        <v>NA</v>
      </c>
    </row>
    <row r="44" spans="1:9" x14ac:dyDescent="0.25">
      <c r="B44" t="s">
        <v>34</v>
      </c>
      <c r="C44" t="str">
        <f>INDEX('starlink countries list'!$C$2:$C$256,MATCH($B44,'starlink countries list'!$B$2:$B$256,0))</f>
        <v>Available</v>
      </c>
      <c r="D44" t="s">
        <v>34</v>
      </c>
      <c r="E44" s="15">
        <f>INDEX('Population and Broadband subs'!$D$12:$D$113,MATCH($D44,'Population and Broadband subs'!$A$12:$A$113,0))</f>
        <v>10954360</v>
      </c>
      <c r="F44" s="15">
        <f>INDEX('Population and Broadband subs'!$D$324:$D$425,MATCH($D44,'Population and Broadband subs'!$A$324:$A$425,0))</f>
        <v>1375487</v>
      </c>
      <c r="G44" s="16">
        <f>INDEX('penetration and ARPU'!$D$12:$D$113,MATCH($D44,'penetration and ARPU'!$A$12:$A$113,0))</f>
        <v>37.35</v>
      </c>
      <c r="H44" s="17">
        <f>INDEX('penetration and ARPU'!$D$1364:$D$1465,MATCH($D44,'penetration and ARPU'!$A$1364:$A$1465,0))</f>
        <v>18.97</v>
      </c>
      <c r="I44" s="17" t="str">
        <f>IFERROR(INDEX('penetration and ARPU'!$D$1780:$D$1881,MATCH($D44,'penetration and ARPU'!$A$1780:$A$1881,0)),"n/a")</f>
        <v>NA</v>
      </c>
    </row>
    <row r="45" spans="1:9" x14ac:dyDescent="0.25">
      <c r="B45" t="s">
        <v>36</v>
      </c>
      <c r="C45" t="str">
        <f>INDEX('starlink countries list'!$C$2:$C$256,MATCH($B45,'starlink countries list'!$B$2:$B$256,0))</f>
        <v>Available</v>
      </c>
      <c r="D45" t="s">
        <v>36</v>
      </c>
      <c r="E45" s="15">
        <f>INDEX('Population and Broadband subs'!$D$12:$D$113,MATCH($D45,'Population and Broadband subs'!$A$12:$A$113,0))</f>
        <v>18440</v>
      </c>
      <c r="F45" s="15">
        <f>INDEX('Population and Broadband subs'!$D$324:$D$425,MATCH($D45,'Population and Broadband subs'!$A$324:$A$425,0))</f>
        <v>3409422</v>
      </c>
      <c r="G45" s="16">
        <f>INDEX('penetration and ARPU'!$D$12:$D$113,MATCH($D45,'penetration and ARPU'!$A$12:$A$113,0))</f>
        <v>63.59</v>
      </c>
      <c r="H45" s="17" t="str">
        <f>INDEX('penetration and ARPU'!$D$1364:$D$1465,MATCH($D45,'penetration and ARPU'!$A$1364:$A$1465,0))</f>
        <v>NA</v>
      </c>
      <c r="I45" s="17" t="str">
        <f>IFERROR(INDEX('penetration and ARPU'!$D$1780:$D$1881,MATCH($D45,'penetration and ARPU'!$A$1780:$A$1881,0)),"n/a")</f>
        <v>NA</v>
      </c>
    </row>
    <row r="46" spans="1:9" x14ac:dyDescent="0.25">
      <c r="B46" t="s">
        <v>38</v>
      </c>
      <c r="C46" t="str">
        <f>INDEX('starlink countries list'!$C$2:$C$256,MATCH($B46,'starlink countries list'!$B$2:$B$256,0))</f>
        <v>Available</v>
      </c>
      <c r="D46" t="s">
        <v>38</v>
      </c>
      <c r="E46" s="15">
        <f>INDEX('Population and Broadband subs'!$D$12:$D$113,MATCH($D46,'Population and Broadband subs'!$A$12:$A$113,0))</f>
        <v>6390000</v>
      </c>
      <c r="F46" s="15">
        <f>INDEX('Population and Broadband subs'!$D$324:$D$425,MATCH($D46,'Population and Broadband subs'!$A$324:$A$425,0))</f>
        <v>769790</v>
      </c>
      <c r="G46" s="16">
        <f>INDEX('penetration and ARPU'!$D$12:$D$113,MATCH($D46,'penetration and ARPU'!$A$12:$A$113,0))</f>
        <v>36.44</v>
      </c>
      <c r="H46" s="17" t="str">
        <f>INDEX('penetration and ARPU'!$D$1364:$D$1465,MATCH($D46,'penetration and ARPU'!$A$1364:$A$1465,0))</f>
        <v>NA</v>
      </c>
      <c r="I46" s="17" t="str">
        <f>IFERROR(INDEX('penetration and ARPU'!$D$1780:$D$1881,MATCH($D46,'penetration and ARPU'!$A$1780:$A$1881,0)),"n/a")</f>
        <v>NA</v>
      </c>
    </row>
    <row r="47" spans="1:9" x14ac:dyDescent="0.25">
      <c r="B47" t="s">
        <v>44</v>
      </c>
      <c r="C47" t="str">
        <f>INDEX('starlink countries list'!$C$2:$C$256,MATCH($B47,'starlink countries list'!$B$2:$B$256,0))</f>
        <v>Available</v>
      </c>
      <c r="D47" t="s">
        <v>44</v>
      </c>
      <c r="E47" s="15">
        <f>INDEX('Population and Broadband subs'!$D$12:$D$113,MATCH($D47,'Population and Broadband subs'!$A$12:$A$113,0))</f>
        <v>18970000</v>
      </c>
      <c r="F47" s="15">
        <f>INDEX('Population and Broadband subs'!$D$324:$D$425,MATCH($D47,'Population and Broadband subs'!$A$324:$A$425,0))</f>
        <v>1123968</v>
      </c>
      <c r="G47" s="16">
        <f>INDEX('penetration and ARPU'!$D$12:$D$113,MATCH($D47,'penetration and ARPU'!$A$12:$A$113,0))</f>
        <v>27.02</v>
      </c>
      <c r="H47" s="17">
        <f>INDEX('penetration and ARPU'!$D$1364:$D$1465,MATCH($D47,'penetration and ARPU'!$A$1364:$A$1465,0))</f>
        <v>20.309999999999999</v>
      </c>
      <c r="I47" s="17" t="str">
        <f>IFERROR(INDEX('penetration and ARPU'!$D$1780:$D$1881,MATCH($D47,'penetration and ARPU'!$A$1780:$A$1881,0)),"n/a")</f>
        <v>NA</v>
      </c>
    </row>
    <row r="48" spans="1:9" x14ac:dyDescent="0.25">
      <c r="B48" t="s">
        <v>45</v>
      </c>
      <c r="C48" t="str">
        <f>INDEX('starlink countries list'!$C$2:$C$256,MATCH($B48,'starlink countries list'!$B$2:$B$256,0))</f>
        <v>Available</v>
      </c>
      <c r="D48" t="s">
        <v>45</v>
      </c>
      <c r="E48" s="15">
        <f>INDEX('Population and Broadband subs'!$D$12:$D$113,MATCH($D48,'Population and Broadband subs'!$A$12:$A$113,0))</f>
        <v>10741653</v>
      </c>
      <c r="F48" s="15">
        <f>INDEX('Population and Broadband subs'!$D$324:$D$425,MATCH($D48,'Population and Broadband subs'!$A$324:$A$425,0))</f>
        <v>624353</v>
      </c>
      <c r="G48" s="16">
        <f>INDEX('penetration and ARPU'!$D$12:$D$113,MATCH($D48,'penetration and ARPU'!$A$12:$A$113,0))</f>
        <v>26.38</v>
      </c>
      <c r="H48" s="17" t="str">
        <f>INDEX('penetration and ARPU'!$D$1364:$D$1465,MATCH($D48,'penetration and ARPU'!$A$1364:$A$1465,0))</f>
        <v>NA</v>
      </c>
      <c r="I48" s="17" t="str">
        <f>IFERROR(INDEX('penetration and ARPU'!$D$1780:$D$1881,MATCH($D48,'penetration and ARPU'!$A$1780:$A$1881,0)),"n/a")</f>
        <v>NA</v>
      </c>
    </row>
    <row r="49" spans="1:9" x14ac:dyDescent="0.25">
      <c r="B49" t="s">
        <v>54</v>
      </c>
      <c r="C49" t="str">
        <f>INDEX('starlink countries list'!$C$2:$C$256,MATCH($B49,'starlink countries list'!$B$2:$B$256,0))</f>
        <v>Available</v>
      </c>
      <c r="D49" t="s">
        <v>54</v>
      </c>
      <c r="E49" s="15">
        <f>INDEX('Population and Broadband subs'!$D$12:$D$113,MATCH($D49,'Population and Broadband subs'!$A$12:$A$113,0))</f>
        <v>2706848</v>
      </c>
      <c r="F49" s="15">
        <f>INDEX('Population and Broadband subs'!$D$324:$D$425,MATCH($D49,'Population and Broadband subs'!$A$324:$A$425,0))</f>
        <v>442093</v>
      </c>
      <c r="G49" s="16">
        <f>INDEX('penetration and ARPU'!$D$12:$D$113,MATCH($D49,'penetration and ARPU'!$A$12:$A$113,0))</f>
        <v>47.61</v>
      </c>
      <c r="H49" s="17" t="str">
        <f>INDEX('penetration and ARPU'!$D$1364:$D$1465,MATCH($D49,'penetration and ARPU'!$A$1364:$A$1465,0))</f>
        <v>NA</v>
      </c>
      <c r="I49" s="17" t="str">
        <f>IFERROR(INDEX('penetration and ARPU'!$D$1780:$D$1881,MATCH($D49,'penetration and ARPU'!$A$1780:$A$1881,0)),"n/a")</f>
        <v>NA</v>
      </c>
    </row>
    <row r="50" spans="1:9" x14ac:dyDescent="0.25">
      <c r="B50" t="s">
        <v>66</v>
      </c>
      <c r="C50" t="str">
        <f>INDEX('starlink countries list'!$C$2:$C$256,MATCH($B50,'starlink countries list'!$B$2:$B$256,0))</f>
        <v>Available</v>
      </c>
      <c r="D50" t="s">
        <v>66</v>
      </c>
      <c r="E50" s="15">
        <f>INDEX('Population and Broadband subs'!$D$12:$D$113,MATCH($D50,'Population and Broadband subs'!$A$12:$A$113,0))</f>
        <v>133000000</v>
      </c>
      <c r="F50" s="15">
        <f>INDEX('Population and Broadband subs'!$D$324:$D$425,MATCH($D50,'Population and Broadband subs'!$A$324:$A$425,0))</f>
        <v>28942909</v>
      </c>
      <c r="G50" s="16">
        <f>INDEX('penetration and ARPU'!$D$12:$D$113,MATCH($D50,'penetration and ARPU'!$A$12:$A$113,0))</f>
        <v>72.19</v>
      </c>
      <c r="H50" s="17">
        <f>INDEX('penetration and ARPU'!$D$1364:$D$1465,MATCH($D50,'penetration and ARPU'!$A$1364:$A$1465,0))</f>
        <v>23.15</v>
      </c>
      <c r="I50" s="17">
        <f>IFERROR(INDEX('penetration and ARPU'!$D$1780:$D$1881,MATCH($D50,'penetration and ARPU'!$A$1780:$A$1881,0)),"n/a")</f>
        <v>63.472972519999999</v>
      </c>
    </row>
    <row r="51" spans="1:9" x14ac:dyDescent="0.25">
      <c r="B51" t="s">
        <v>72</v>
      </c>
      <c r="C51" t="str">
        <f>INDEX('starlink countries list'!$C$2:$C$256,MATCH($B51,'starlink countries list'!$B$2:$B$256,0))</f>
        <v>Coming Soon</v>
      </c>
      <c r="D51" t="s">
        <v>72</v>
      </c>
      <c r="E51" s="15">
        <f>INDEX('Population and Broadband subs'!$D$12:$D$113,MATCH($D51,'Population and Broadband subs'!$A$12:$A$113,0))</f>
        <v>7069293</v>
      </c>
      <c r="F51" s="15">
        <f>INDEX('Population and Broadband subs'!$D$324:$D$425,MATCH($D51,'Population and Broadband subs'!$A$324:$A$425,0))</f>
        <v>460549</v>
      </c>
      <c r="G51" s="16">
        <f>INDEX('penetration and ARPU'!$D$12:$D$113,MATCH($D51,'penetration and ARPU'!$A$12:$A$113,0))</f>
        <v>25.93</v>
      </c>
      <c r="H51" s="17" t="str">
        <f>INDEX('penetration and ARPU'!$D$1364:$D$1465,MATCH($D51,'penetration and ARPU'!$A$1364:$A$1465,0))</f>
        <v>NA</v>
      </c>
      <c r="I51" s="17" t="str">
        <f>IFERROR(INDEX('penetration and ARPU'!$D$1780:$D$1881,MATCH($D51,'penetration and ARPU'!$A$1780:$A$1881,0)),"n/a")</f>
        <v>NA</v>
      </c>
    </row>
    <row r="52" spans="1:9" x14ac:dyDescent="0.25">
      <c r="B52" t="s">
        <v>84</v>
      </c>
      <c r="C52" t="str">
        <f>INDEX('starlink countries list'!$C$2:$C$256,MATCH($B52,'starlink countries list'!$B$2:$B$256,0))</f>
        <v>Available</v>
      </c>
      <c r="D52" t="s">
        <v>84</v>
      </c>
      <c r="E52" s="15">
        <f>INDEX('Population and Broadband subs'!$D$12:$D$113,MATCH($D52,'Population and Broadband subs'!$A$12:$A$113,0))</f>
        <v>4726701</v>
      </c>
      <c r="F52" s="15">
        <f>INDEX('Population and Broadband subs'!$D$324:$D$425,MATCH($D52,'Population and Broadband subs'!$A$324:$A$425,0))</f>
        <v>758854</v>
      </c>
      <c r="G52" s="16">
        <f>INDEX('penetration and ARPU'!$D$12:$D$113,MATCH($D52,'penetration and ARPU'!$A$12:$A$113,0))</f>
        <v>55.01</v>
      </c>
      <c r="H52" s="17">
        <f>INDEX('penetration and ARPU'!$D$1364:$D$1465,MATCH($D52,'penetration and ARPU'!$A$1364:$A$1465,0))</f>
        <v>33.74</v>
      </c>
      <c r="I52" s="17" t="str">
        <f>IFERROR(INDEX('penetration and ARPU'!$D$1780:$D$1881,MATCH($D52,'penetration and ARPU'!$A$1780:$A$1881,0)),"n/a")</f>
        <v>NA</v>
      </c>
    </row>
    <row r="53" spans="1:9" x14ac:dyDescent="0.25">
      <c r="B53" t="s">
        <v>85</v>
      </c>
      <c r="C53" t="str">
        <f>INDEX('starlink countries list'!$C$2:$C$256,MATCH($B53,'starlink countries list'!$B$2:$B$256,0))</f>
        <v>Available</v>
      </c>
      <c r="D53" t="s">
        <v>85</v>
      </c>
      <c r="E53" s="15">
        <f>INDEX('Population and Broadband subs'!$D$12:$D$113,MATCH($D53,'Population and Broadband subs'!$A$12:$A$113,0))</f>
        <v>7670000</v>
      </c>
      <c r="F53" s="15">
        <f>INDEX('Population and Broadband subs'!$D$324:$D$425,MATCH($D53,'Population and Broadband subs'!$A$324:$A$425,0))</f>
        <v>985165</v>
      </c>
      <c r="G53" s="16">
        <f>INDEX('penetration and ARPU'!$D$12:$D$113,MATCH($D53,'penetration and ARPU'!$A$12:$A$113,0))</f>
        <v>46.98</v>
      </c>
      <c r="H53" s="17" t="str">
        <f>INDEX('penetration and ARPU'!$D$1364:$D$1465,MATCH($D53,'penetration and ARPU'!$A$1364:$A$1465,0))</f>
        <v>NA</v>
      </c>
      <c r="I53" s="17" t="str">
        <f>IFERROR(INDEX('penetration and ARPU'!$D$1780:$D$1881,MATCH($D53,'penetration and ARPU'!$A$1780:$A$1881,0)),"n/a")</f>
        <v>NA</v>
      </c>
    </row>
    <row r="54" spans="1:9" x14ac:dyDescent="0.25">
      <c r="B54" t="s">
        <v>86</v>
      </c>
      <c r="C54" t="str">
        <f>INDEX('starlink countries list'!$C$2:$C$256,MATCH($B54,'starlink countries list'!$B$2:$B$256,0))</f>
        <v>Available</v>
      </c>
      <c r="D54" t="s">
        <v>86</v>
      </c>
      <c r="E54" s="15">
        <f>INDEX('Population and Broadband subs'!$D$12:$D$113,MATCH($D54,'Population and Broadband subs'!$A$12:$A$113,0))</f>
        <v>35350000</v>
      </c>
      <c r="F54" s="15">
        <f>INDEX('Population and Broadband subs'!$D$324:$D$425,MATCH($D54,'Population and Broadband subs'!$A$324:$A$425,0))</f>
        <v>4362939</v>
      </c>
      <c r="G54" s="16">
        <f>INDEX('penetration and ARPU'!$D$12:$D$113,MATCH($D54,'penetration and ARPU'!$A$12:$A$113,0))</f>
        <v>42.96</v>
      </c>
      <c r="H54" s="17">
        <f>INDEX('penetration and ARPU'!$D$1364:$D$1465,MATCH($D54,'penetration and ARPU'!$A$1364:$A$1465,0))</f>
        <v>22.41</v>
      </c>
      <c r="I54" s="17" t="str">
        <f>IFERROR(INDEX('penetration and ARPU'!$D$1780:$D$1881,MATCH($D54,'penetration and ARPU'!$A$1780:$A$1881,0)),"n/a")</f>
        <v>NA</v>
      </c>
    </row>
    <row r="55" spans="1:9" x14ac:dyDescent="0.25">
      <c r="B55" t="s">
        <v>90</v>
      </c>
      <c r="C55" t="str">
        <f>INDEX('starlink countries list'!$C$2:$C$256,MATCH($B55,'starlink countries list'!$B$2:$B$256,0))</f>
        <v>Available</v>
      </c>
      <c r="D55" t="s">
        <v>90</v>
      </c>
      <c r="E55" s="15">
        <f>INDEX('Population and Broadband subs'!$D$12:$D$113,MATCH($D55,'Population and Broadband subs'!$A$12:$A$113,0))</f>
        <v>2934892</v>
      </c>
      <c r="F55" s="15">
        <f>INDEX('Population and Broadband subs'!$D$324:$D$425,MATCH($D55,'Population and Broadband subs'!$A$324:$A$425,0))</f>
        <v>776984</v>
      </c>
      <c r="G55" s="16">
        <f>INDEX('penetration and ARPU'!$D$12:$D$113,MATCH($D55,'penetration and ARPU'!$A$12:$A$113,0))</f>
        <v>69.239999999999995</v>
      </c>
      <c r="H55" s="17" t="str">
        <f>INDEX('penetration and ARPU'!$D$1364:$D$1465,MATCH($D55,'penetration and ARPU'!$A$1364:$A$1465,0))</f>
        <v>NA</v>
      </c>
      <c r="I55" s="17" t="str">
        <f>IFERROR(INDEX('penetration and ARPU'!$D$1780:$D$1881,MATCH($D55,'penetration and ARPU'!$A$1780:$A$1881,0)),"n/a")</f>
        <v>NA</v>
      </c>
    </row>
    <row r="56" spans="1:9" x14ac:dyDescent="0.25">
      <c r="B56" t="s">
        <v>107</v>
      </c>
      <c r="C56" t="str">
        <f>INDEX('starlink countries list'!$C$2:$C$256,MATCH($B56,'starlink countries list'!$B$2:$B$256,0))</f>
        <v>Available</v>
      </c>
      <c r="D56" t="s">
        <v>107</v>
      </c>
      <c r="E56" s="15">
        <f>INDEX('Population and Broadband subs'!$D$12:$D$113,MATCH($D56,'Population and Broadband subs'!$A$12:$A$113,0))</f>
        <v>1415646</v>
      </c>
      <c r="F56" s="15">
        <f>INDEX('Population and Broadband subs'!$D$324:$D$425,MATCH($D56,'Population and Broadband subs'!$A$324:$A$425,0))</f>
        <v>352991</v>
      </c>
      <c r="G56" s="16">
        <f>INDEX('penetration and ARPU'!$D$12:$D$113,MATCH($D56,'penetration and ARPU'!$A$12:$A$113,0))</f>
        <v>80.400000000000006</v>
      </c>
      <c r="H56" s="17">
        <f>INDEX('penetration and ARPU'!$D$1364:$D$1465,MATCH($D56,'penetration and ARPU'!$A$1364:$A$1465,0))</f>
        <v>32.380000000000003</v>
      </c>
      <c r="I56" s="17" t="str">
        <f>IFERROR(INDEX('penetration and ARPU'!$D$1780:$D$1881,MATCH($D56,'penetration and ARPU'!$A$1780:$A$1881,0)),"n/a")</f>
        <v>NA</v>
      </c>
    </row>
    <row r="57" spans="1:9" x14ac:dyDescent="0.25">
      <c r="B57" t="s">
        <v>111</v>
      </c>
      <c r="C57" t="str">
        <f>INDEX('starlink countries list'!$C$2:$C$256,MATCH($B57,'starlink countries list'!$B$2:$B$256,0))</f>
        <v>Available</v>
      </c>
      <c r="D57" t="s">
        <v>111</v>
      </c>
      <c r="E57" s="15">
        <f>INDEX('Population and Broadband subs'!$D$12:$D$113,MATCH($D57,'Population and Broadband subs'!$A$12:$A$113,0))</f>
        <v>3380000</v>
      </c>
      <c r="F57" s="15">
        <f>INDEX('Population and Broadband subs'!$D$324:$D$425,MATCH($D57,'Population and Broadband subs'!$A$324:$A$425,0))</f>
        <v>1214855</v>
      </c>
      <c r="G57" s="16">
        <f>INDEX('penetration and ARPU'!$D$12:$D$113,MATCH($D57,'penetration and ARPU'!$A$12:$A$113,0))</f>
        <v>90.91</v>
      </c>
      <c r="H57" s="17" t="str">
        <f>INDEX('penetration and ARPU'!$D$1364:$D$1465,MATCH($D57,'penetration and ARPU'!$A$1364:$A$1465,0))</f>
        <v>NA</v>
      </c>
      <c r="I57" s="17" t="str">
        <f>IFERROR(INDEX('penetration and ARPU'!$D$1780:$D$1881,MATCH($D57,'penetration and ARPU'!$A$1780:$A$1881,0)),"n/a")</f>
        <v>NA</v>
      </c>
    </row>
    <row r="58" spans="1:9" x14ac:dyDescent="0.25">
      <c r="B58" t="s">
        <v>175</v>
      </c>
      <c r="C58" t="str">
        <f>INDEX('starlink countries list'!$C$2:$C$256,MATCH($B58,'starlink countries list'!$B$2:$B$256,0))</f>
        <v>Available</v>
      </c>
      <c r="D58" t="s">
        <v>113</v>
      </c>
      <c r="E58" s="15">
        <f>INDEX('Population and Broadband subs'!$D$12:$D$113,MATCH($D58,'Population and Broadband subs'!$A$12:$A$113,0))</f>
        <v>30420000</v>
      </c>
      <c r="F58" s="15">
        <f>INDEX('Population and Broadband subs'!$D$324:$D$425,MATCH($D58,'Population and Broadband subs'!$A$324:$A$425,0))</f>
        <v>2033761</v>
      </c>
      <c r="G58" s="16">
        <f>INDEX('penetration and ARPU'!$D$12:$D$113,MATCH($D58,'penetration and ARPU'!$A$12:$A$113,0))</f>
        <v>27.1</v>
      </c>
      <c r="H58" s="17" t="str">
        <f>INDEX('penetration and ARPU'!$D$1364:$D$1465,MATCH($D58,'penetration and ARPU'!$A$1364:$A$1465,0))</f>
        <v>NA</v>
      </c>
      <c r="I58" s="17" t="str">
        <f>IFERROR(INDEX('penetration and ARPU'!$D$1780:$D$1881,MATCH($D58,'penetration and ARPU'!$A$1780:$A$1881,0)),"n/a")</f>
        <v>NA</v>
      </c>
    </row>
    <row r="60" spans="1:9" x14ac:dyDescent="0.25">
      <c r="A60" s="14" t="s">
        <v>612</v>
      </c>
      <c r="B60" s="14"/>
      <c r="C60" s="14"/>
      <c r="D60" s="14"/>
      <c r="E60" s="14"/>
      <c r="F60" s="14"/>
      <c r="G60" s="14"/>
      <c r="H60" s="14"/>
      <c r="I60" s="14"/>
    </row>
    <row r="61" spans="1:9" x14ac:dyDescent="0.25">
      <c r="B61" t="s">
        <v>19</v>
      </c>
      <c r="C61" t="str">
        <f>INDEX('starlink countries list'!$C$2:$C$256,MATCH($B61,'starlink countries list'!$B$2:$B$256,0))</f>
        <v>Available</v>
      </c>
      <c r="D61" t="s">
        <v>19</v>
      </c>
      <c r="E61" s="15">
        <f>INDEX('Population and Broadband subs'!$D$12:$D$113,MATCH($D61,'Population and Broadband subs'!$A$12:$A$113,0))</f>
        <v>1720000</v>
      </c>
      <c r="F61" s="15">
        <f>INDEX('Population and Broadband subs'!$D$324:$D$425,MATCH($D61,'Population and Broadband subs'!$A$324:$A$425,0))</f>
        <v>173714</v>
      </c>
      <c r="G61" s="16">
        <f>INDEX('penetration and ARPU'!$D$12:$D$113,MATCH($D61,'penetration and ARPU'!$A$12:$A$113,0))</f>
        <v>95.83</v>
      </c>
      <c r="H61" s="17" t="str">
        <f>INDEX('penetration and ARPU'!$D$1364:$D$1465,MATCH($D61,'penetration and ARPU'!$A$1364:$A$1465,0))</f>
        <v>NA</v>
      </c>
      <c r="I61" s="17" t="str">
        <f>IFERROR(INDEX('penetration and ARPU'!$D$1780:$D$1881,MATCH($D61,'penetration and ARPU'!$A$1780:$A$1881,0)),"n/a")</f>
        <v>NA</v>
      </c>
    </row>
    <row r="62" spans="1:9" x14ac:dyDescent="0.25">
      <c r="B62" t="s">
        <v>50</v>
      </c>
      <c r="C62" t="str">
        <f>INDEX('starlink countries list'!$C$2:$C$256,MATCH($B62,'starlink countries list'!$B$2:$B$256,0))</f>
        <v>Coming Soon</v>
      </c>
      <c r="D62" t="s">
        <v>50</v>
      </c>
      <c r="E62" s="15">
        <f>INDEX('Population and Broadband subs'!$D$12:$D$113,MATCH($D62,'Population and Broadband subs'!$A$12:$A$113,0))</f>
        <v>45920000</v>
      </c>
      <c r="F62" s="15">
        <f>INDEX('Population and Broadband subs'!$D$324:$D$425,MATCH($D62,'Population and Broadband subs'!$A$324:$A$425,0))</f>
        <v>1058822</v>
      </c>
      <c r="G62" s="16">
        <f>INDEX('penetration and ARPU'!$D$12:$D$113,MATCH($D62,'penetration and ARPU'!$A$12:$A$113,0))</f>
        <v>15.37</v>
      </c>
      <c r="H62" s="17" t="str">
        <f>INDEX('penetration and ARPU'!$D$1364:$D$1465,MATCH($D62,'penetration and ARPU'!$A$1364:$A$1465,0))</f>
        <v>NA</v>
      </c>
      <c r="I62" s="17" t="str">
        <f>IFERROR(INDEX('penetration and ARPU'!$D$1780:$D$1881,MATCH($D62,'penetration and ARPU'!$A$1780:$A$1881,0)),"n/a")</f>
        <v>NA</v>
      </c>
    </row>
    <row r="63" spans="1:9" x14ac:dyDescent="0.25">
      <c r="B63" t="s">
        <v>52</v>
      </c>
      <c r="C63" t="str">
        <f>INDEX('starlink countries list'!$C$2:$C$256,MATCH($B63,'starlink countries list'!$B$2:$B$256,0))</f>
        <v>Available</v>
      </c>
      <c r="D63" t="s">
        <v>52</v>
      </c>
      <c r="E63" s="15">
        <f>INDEX('Population and Broadband subs'!$D$12:$D$113,MATCH($D63,'Population and Broadband subs'!$A$12:$A$113,0))</f>
        <v>9590000</v>
      </c>
      <c r="F63" s="15">
        <f>INDEX('Population and Broadband subs'!$D$324:$D$425,MATCH($D63,'Population and Broadband subs'!$A$324:$A$425,0))</f>
        <v>3055052</v>
      </c>
      <c r="G63" s="16">
        <f>INDEX('penetration and ARPU'!$D$12:$D$113,MATCH($D63,'penetration and ARPU'!$A$12:$A$113,0))</f>
        <v>96.78</v>
      </c>
      <c r="H63" s="17" t="str">
        <f>INDEX('penetration and ARPU'!$D$1364:$D$1465,MATCH($D63,'penetration and ARPU'!$A$1364:$A$1465,0))</f>
        <v>NA</v>
      </c>
      <c r="I63" s="17" t="str">
        <f>IFERROR(INDEX('penetration and ARPU'!$D$1780:$D$1881,MATCH($D63,'penetration and ARPU'!$A$1780:$A$1881,0)),"n/a")</f>
        <v>NA</v>
      </c>
    </row>
    <row r="64" spans="1:9" x14ac:dyDescent="0.25">
      <c r="B64" t="s">
        <v>56</v>
      </c>
      <c r="C64" t="str">
        <f>INDEX('starlink countries list'!$C$2:$C$256,MATCH($B64,'starlink countries list'!$B$2:$B$256,0))</f>
        <v>Available</v>
      </c>
      <c r="D64" t="s">
        <v>56</v>
      </c>
      <c r="E64" s="15">
        <f>INDEX('Population and Broadband subs'!$D$12:$D$113,MATCH($D64,'Population and Broadband subs'!$A$12:$A$113,0))</f>
        <v>12250000</v>
      </c>
      <c r="F64" s="15">
        <f>INDEX('Population and Broadband subs'!$D$324:$D$425,MATCH($D64,'Population and Broadband subs'!$A$324:$A$425,0))</f>
        <v>913699</v>
      </c>
      <c r="G64" s="16">
        <f>INDEX('penetration and ARPU'!$D$12:$D$113,MATCH($D64,'penetration and ARPU'!$A$12:$A$113,0))</f>
        <v>62</v>
      </c>
      <c r="H64" s="17" t="str">
        <f>INDEX('penetration and ARPU'!$D$1364:$D$1465,MATCH($D64,'penetration and ARPU'!$A$1364:$A$1465,0))</f>
        <v>NA</v>
      </c>
      <c r="I64" s="17" t="str">
        <f>IFERROR(INDEX('penetration and ARPU'!$D$1780:$D$1881,MATCH($D64,'penetration and ARPU'!$A$1780:$A$1881,0)),"n/a")</f>
        <v>NA</v>
      </c>
    </row>
    <row r="65" spans="1:9" x14ac:dyDescent="0.25">
      <c r="B65" t="s">
        <v>57</v>
      </c>
      <c r="C65" t="str">
        <f>INDEX('starlink countries list'!$C$2:$C$256,MATCH($B65,'starlink countries list'!$B$2:$B$256,0))</f>
        <v>Available</v>
      </c>
      <c r="D65" t="s">
        <v>57</v>
      </c>
      <c r="E65" s="15" t="str">
        <f>INDEX('Population and Broadband subs'!$D$12:$D$113,MATCH($D65,'Population and Broadband subs'!$A$12:$A$113,0))</f>
        <v>NA</v>
      </c>
      <c r="F65" s="15" t="str">
        <f>INDEX('Population and Broadband subs'!$D$324:$D$425,MATCH($D65,'Population and Broadband subs'!$A$324:$A$425,0))</f>
        <v>NA</v>
      </c>
      <c r="G65" s="16" t="str">
        <f>INDEX('penetration and ARPU'!$D$12:$D$113,MATCH($D65,'penetration and ARPU'!$A$12:$A$113,0))</f>
        <v>NA</v>
      </c>
      <c r="H65" s="17" t="str">
        <f>INDEX('penetration and ARPU'!$D$1364:$D$1465,MATCH($D65,'penetration and ARPU'!$A$1364:$A$1465,0))</f>
        <v>NA</v>
      </c>
      <c r="I65" s="17" t="str">
        <f>IFERROR(INDEX('penetration and ARPU'!$D$1780:$D$1881,MATCH($D65,'penetration and ARPU'!$A$1780:$A$1881,0)),"n/a")</f>
        <v>NA</v>
      </c>
    </row>
    <row r="66" spans="1:9" x14ac:dyDescent="0.25">
      <c r="B66" t="s">
        <v>59</v>
      </c>
      <c r="C66" t="str">
        <f>INDEX('starlink countries list'!$C$2:$C$256,MATCH($B66,'starlink countries list'!$B$2:$B$256,0))</f>
        <v>Available</v>
      </c>
      <c r="D66" t="s">
        <v>59</v>
      </c>
      <c r="E66" s="15">
        <f>INDEX('Population and Broadband subs'!$D$12:$D$113,MATCH($D66,'Population and Broadband subs'!$A$12:$A$113,0))</f>
        <v>4780000</v>
      </c>
      <c r="F66" s="15">
        <f>INDEX('Population and Broadband subs'!$D$324:$D$425,MATCH($D66,'Population and Broadband subs'!$A$324:$A$425,0))</f>
        <v>507062</v>
      </c>
      <c r="G66" s="16">
        <f>INDEX('penetration and ARPU'!$D$12:$D$113,MATCH($D66,'penetration and ARPU'!$A$12:$A$113,0))</f>
        <v>44.29</v>
      </c>
      <c r="H66" s="17" t="str">
        <f>INDEX('penetration and ARPU'!$D$1364:$D$1465,MATCH($D66,'penetration and ARPU'!$A$1364:$A$1465,0))</f>
        <v>NA</v>
      </c>
      <c r="I66" s="17" t="str">
        <f>IFERROR(INDEX('penetration and ARPU'!$D$1780:$D$1881,MATCH($D66,'penetration and ARPU'!$A$1780:$A$1881,0)),"n/a")</f>
        <v>NA</v>
      </c>
    </row>
    <row r="67" spans="1:9" x14ac:dyDescent="0.25">
      <c r="B67" t="s">
        <v>63</v>
      </c>
      <c r="C67" t="str">
        <f>INDEX('starlink countries list'!$C$2:$C$256,MATCH($B67,'starlink countries list'!$B$2:$B$256,0))</f>
        <v>Coming Soon</v>
      </c>
      <c r="D67" t="s">
        <v>63</v>
      </c>
      <c r="E67" s="15">
        <f>INDEX('Population and Broadband subs'!$D$12:$D$113,MATCH($D67,'Population and Broadband subs'!$A$12:$A$113,0))</f>
        <v>6890000</v>
      </c>
      <c r="F67" s="15">
        <f>INDEX('Population and Broadband subs'!$D$324:$D$425,MATCH($D67,'Population and Broadband subs'!$A$324:$A$425,0))</f>
        <v>1012746</v>
      </c>
      <c r="G67" s="16">
        <f>INDEX('penetration and ARPU'!$D$12:$D$113,MATCH($D67,'penetration and ARPU'!$A$12:$A$113,0))</f>
        <v>68.09</v>
      </c>
      <c r="H67" s="17" t="str">
        <f>INDEX('penetration and ARPU'!$D$1364:$D$1465,MATCH($D67,'penetration and ARPU'!$A$1364:$A$1465,0))</f>
        <v>NA</v>
      </c>
      <c r="I67" s="17" t="str">
        <f>IFERROR(INDEX('penetration and ARPU'!$D$1780:$D$1881,MATCH($D67,'penetration and ARPU'!$A$1780:$A$1881,0)),"n/a")</f>
        <v>NA</v>
      </c>
    </row>
    <row r="68" spans="1:9" x14ac:dyDescent="0.25">
      <c r="B68" t="s">
        <v>73</v>
      </c>
      <c r="C68" t="str">
        <f>INDEX('starlink countries list'!$C$2:$C$256,MATCH($B68,'starlink countries list'!$B$2:$B$256,0))</f>
        <v>Available</v>
      </c>
      <c r="D68" t="s">
        <v>73</v>
      </c>
      <c r="E68" s="15" t="str">
        <f>INDEX('Population and Broadband subs'!$D$12:$D$113,MATCH($D68,'Population and Broadband subs'!$A$12:$A$113,0))</f>
        <v>NA</v>
      </c>
      <c r="F68" s="15" t="str">
        <f>INDEX('Population and Broadband subs'!$D$324:$D$425,MATCH($D68,'Population and Broadband subs'!$A$324:$A$425,0))</f>
        <v>NA</v>
      </c>
      <c r="G68" s="16" t="str">
        <f>INDEX('penetration and ARPU'!$D$12:$D$113,MATCH($D68,'penetration and ARPU'!$A$12:$A$113,0))</f>
        <v>NA</v>
      </c>
      <c r="H68" s="17" t="str">
        <f>INDEX('penetration and ARPU'!$D$1364:$D$1465,MATCH($D68,'penetration and ARPU'!$A$1364:$A$1465,0))</f>
        <v>NA</v>
      </c>
      <c r="I68" s="17" t="str">
        <f>IFERROR(INDEX('penetration and ARPU'!$D$1780:$D$1881,MATCH($D68,'penetration and ARPU'!$A$1780:$A$1881,0)),"n/a")</f>
        <v>NA</v>
      </c>
    </row>
    <row r="69" spans="1:9" x14ac:dyDescent="0.25">
      <c r="B69" t="s">
        <v>76</v>
      </c>
      <c r="C69" t="str">
        <f>INDEX('starlink countries list'!$C$2:$C$256,MATCH($B69,'starlink countries list'!$B$2:$B$256,0))</f>
        <v>Available</v>
      </c>
      <c r="D69" t="s">
        <v>76</v>
      </c>
      <c r="E69" s="15">
        <f>INDEX('Population and Broadband subs'!$D$12:$D$113,MATCH($D69,'Population and Broadband subs'!$A$12:$A$113,0))</f>
        <v>4880000</v>
      </c>
      <c r="F69" s="15">
        <f>INDEX('Population and Broadband subs'!$D$324:$D$425,MATCH($D69,'Population and Broadband subs'!$A$324:$A$425,0))</f>
        <v>601338</v>
      </c>
      <c r="G69" s="16">
        <f>INDEX('penetration and ARPU'!$D$12:$D$113,MATCH($D69,'penetration and ARPU'!$A$12:$A$113,0))</f>
        <v>79.47</v>
      </c>
      <c r="H69" s="17" t="str">
        <f>INDEX('penetration and ARPU'!$D$1364:$D$1465,MATCH($D69,'penetration and ARPU'!$A$1364:$A$1465,0))</f>
        <v>NA</v>
      </c>
      <c r="I69" s="17" t="str">
        <f>IFERROR(INDEX('penetration and ARPU'!$D$1780:$D$1881,MATCH($D69,'penetration and ARPU'!$A$1780:$A$1881,0)),"n/a")</f>
        <v>NA</v>
      </c>
    </row>
    <row r="70" spans="1:9" x14ac:dyDescent="0.25">
      <c r="B70" t="s">
        <v>300</v>
      </c>
      <c r="C70" t="str">
        <f>INDEX('starlink countries list'!$C$2:$C$256,MATCH($B70,'starlink countries list'!$B$2:$B$256,0))</f>
        <v>Coming Soon</v>
      </c>
      <c r="D70" t="s">
        <v>83</v>
      </c>
      <c r="E70" s="15">
        <f>INDEX('Population and Broadband subs'!$D$12:$D$113,MATCH($D70,'Population and Broadband subs'!$A$12:$A$113,0))</f>
        <v>5841654</v>
      </c>
      <c r="F70" s="15">
        <f>INDEX('Population and Broadband subs'!$D$324:$D$425,MATCH($D70,'Population and Broadband subs'!$A$324:$A$425,0))</f>
        <v>552351</v>
      </c>
      <c r="G70" s="16">
        <f>INDEX('penetration and ARPU'!$D$12:$D$113,MATCH($D70,'penetration and ARPU'!$A$12:$A$113,0))</f>
        <v>45.11</v>
      </c>
      <c r="H70" s="17" t="str">
        <f>INDEX('penetration and ARPU'!$D$1364:$D$1465,MATCH($D70,'penetration and ARPU'!$A$1364:$A$1465,0))</f>
        <v>NA</v>
      </c>
      <c r="I70" s="17" t="str">
        <f>IFERROR(INDEX('penetration and ARPU'!$D$1780:$D$1881,MATCH($D70,'penetration and ARPU'!$A$1780:$A$1881,0)),"n/a")</f>
        <v>NA</v>
      </c>
    </row>
    <row r="71" spans="1:9" x14ac:dyDescent="0.25">
      <c r="B71" t="s">
        <v>91</v>
      </c>
      <c r="C71" t="str">
        <f>INDEX('starlink countries list'!$C$2:$C$256,MATCH($B71,'starlink countries list'!$B$2:$B$256,0))</f>
        <v>Available</v>
      </c>
      <c r="D71" t="s">
        <v>91</v>
      </c>
      <c r="E71" s="15">
        <f>INDEX('Population and Broadband subs'!$D$12:$D$113,MATCH($D71,'Population and Broadband subs'!$A$12:$A$113,0))</f>
        <v>2780000</v>
      </c>
      <c r="F71" s="15">
        <f>INDEX('Population and Broadband subs'!$D$324:$D$425,MATCH($D71,'Population and Broadband subs'!$A$324:$A$425,0))</f>
        <v>333304</v>
      </c>
      <c r="G71" s="16">
        <f>INDEX('penetration and ARPU'!$D$12:$D$113,MATCH($D71,'penetration and ARPU'!$A$12:$A$113,0))</f>
        <v>97.57</v>
      </c>
      <c r="H71" s="17" t="str">
        <f>INDEX('penetration and ARPU'!$D$1364:$D$1465,MATCH($D71,'penetration and ARPU'!$A$1364:$A$1465,0))</f>
        <v>NA</v>
      </c>
      <c r="I71" s="17" t="str">
        <f>IFERROR(INDEX('penetration and ARPU'!$D$1780:$D$1881,MATCH($D71,'penetration and ARPU'!$A$1780:$A$1881,0)),"n/a")</f>
        <v>NA</v>
      </c>
    </row>
    <row r="72" spans="1:9" x14ac:dyDescent="0.25">
      <c r="B72" t="s">
        <v>94</v>
      </c>
      <c r="C72" t="str">
        <f>INDEX('starlink countries list'!$C$2:$C$256,MATCH($B72,'starlink countries list'!$B$2:$B$256,0))</f>
        <v>Coming Soon</v>
      </c>
      <c r="D72" t="s">
        <v>94</v>
      </c>
      <c r="E72" s="15">
        <f>INDEX('Population and Broadband subs'!$D$12:$D$113,MATCH($D72,'Population and Broadband subs'!$A$12:$A$113,0))</f>
        <v>39850000</v>
      </c>
      <c r="F72" s="15">
        <f>INDEX('Population and Broadband subs'!$D$324:$D$425,MATCH($D72,'Population and Broadband subs'!$A$324:$A$425,0))</f>
        <v>3210751</v>
      </c>
      <c r="G72" s="16">
        <f>INDEX('penetration and ARPU'!$D$12:$D$113,MATCH($D72,'penetration and ARPU'!$A$12:$A$113,0))</f>
        <v>51.74</v>
      </c>
      <c r="H72" s="17" t="str">
        <f>INDEX('penetration and ARPU'!$D$1364:$D$1465,MATCH($D72,'penetration and ARPU'!$A$1364:$A$1465,0))</f>
        <v>NA</v>
      </c>
      <c r="I72" s="17" t="str">
        <f>IFERROR(INDEX('penetration and ARPU'!$D$1780:$D$1881,MATCH($D72,'penetration and ARPU'!$A$1780:$A$1881,0)),"n/a")</f>
        <v>NA</v>
      </c>
    </row>
    <row r="73" spans="1:9" x14ac:dyDescent="0.25">
      <c r="B73" t="s">
        <v>99</v>
      </c>
      <c r="C73" t="str">
        <f>INDEX('starlink countries list'!$C$2:$C$256,MATCH($B73,'starlink countries list'!$B$2:$B$256,0))</f>
        <v>Coming Soon</v>
      </c>
      <c r="D73" t="s">
        <v>99</v>
      </c>
      <c r="E73" s="15">
        <f>INDEX('Population and Broadband subs'!$D$12:$D$113,MATCH($D73,'Population and Broadband subs'!$A$12:$A$113,0))</f>
        <v>62310000</v>
      </c>
      <c r="F73" s="15">
        <f>INDEX('Population and Broadband subs'!$D$324:$D$425,MATCH($D73,'Population and Broadband subs'!$A$324:$A$425,0))</f>
        <v>3920135</v>
      </c>
      <c r="G73" s="16">
        <f>INDEX('penetration and ARPU'!$D$12:$D$113,MATCH($D73,'penetration and ARPU'!$A$12:$A$113,0))</f>
        <v>19.309999999999999</v>
      </c>
      <c r="H73" s="17" t="str">
        <f>INDEX('penetration and ARPU'!$D$1364:$D$1465,MATCH($D73,'penetration and ARPU'!$A$1364:$A$1465,0))</f>
        <v>NA</v>
      </c>
      <c r="I73" s="17" t="str">
        <f>IFERROR(INDEX('penetration and ARPU'!$D$1780:$D$1881,MATCH($D73,'penetration and ARPU'!$A$1780:$A$1881,0)),"n/a")</f>
        <v>NA</v>
      </c>
    </row>
    <row r="74" spans="1:9" x14ac:dyDescent="0.25">
      <c r="B74" t="s">
        <v>109</v>
      </c>
      <c r="C74" t="str">
        <f>INDEX('starlink countries list'!$C$2:$C$256,MATCH($B74,'starlink countries list'!$B$2:$B$256,0))</f>
        <v>Available</v>
      </c>
      <c r="D74" t="s">
        <v>109</v>
      </c>
      <c r="E74" s="15">
        <f>INDEX('Population and Broadband subs'!$D$12:$D$113,MATCH($D74,'Population and Broadband subs'!$A$12:$A$113,0))</f>
        <v>9740000</v>
      </c>
      <c r="F74" s="15">
        <f>INDEX('Population and Broadband subs'!$D$324:$D$425,MATCH($D74,'Population and Broadband subs'!$A$324:$A$425,0))</f>
        <v>2061157</v>
      </c>
      <c r="G74" s="16">
        <f>INDEX('penetration and ARPU'!$D$12:$D$113,MATCH($D74,'penetration and ARPU'!$A$12:$A$113,0))</f>
        <v>95.82</v>
      </c>
      <c r="H74" s="17" t="str">
        <f>INDEX('penetration and ARPU'!$D$1364:$D$1465,MATCH($D74,'penetration and ARPU'!$A$1364:$A$1465,0))</f>
        <v>NA</v>
      </c>
      <c r="I74" s="17" t="str">
        <f>IFERROR(INDEX('penetration and ARPU'!$D$1780:$D$1881,MATCH($D74,'penetration and ARPU'!$A$1780:$A$1881,0)),"n/a")</f>
        <v>NA</v>
      </c>
    </row>
    <row r="75" spans="1:9" x14ac:dyDescent="0.25">
      <c r="B75" t="s">
        <v>116</v>
      </c>
      <c r="C75" t="str">
        <f>INDEX('starlink countries list'!$C$2:$C$256,MATCH($B75,'starlink countries list'!$B$2:$B$256,0))</f>
        <v>Available</v>
      </c>
      <c r="D75" t="s">
        <v>116</v>
      </c>
      <c r="E75" s="15">
        <f>INDEX('Population and Broadband subs'!$D$12:$D$113,MATCH($D75,'Population and Broadband subs'!$A$12:$A$113,0))</f>
        <v>34800000</v>
      </c>
      <c r="F75" s="15">
        <f>INDEX('Population and Broadband subs'!$D$324:$D$425,MATCH($D75,'Population and Broadband subs'!$A$324:$A$425,0))</f>
        <v>884735</v>
      </c>
      <c r="G75" s="16">
        <f>INDEX('penetration and ARPU'!$D$12:$D$113,MATCH($D75,'penetration and ARPU'!$A$12:$A$113,0))</f>
        <v>15.18</v>
      </c>
      <c r="H75" s="17" t="str">
        <f>INDEX('penetration and ARPU'!$D$1364:$D$1465,MATCH($D75,'penetration and ARPU'!$A$1364:$A$1465,0))</f>
        <v>NA</v>
      </c>
      <c r="I75" s="17" t="str">
        <f>IFERROR(INDEX('penetration and ARPU'!$D$1780:$D$1881,MATCH($D75,'penetration and ARPU'!$A$1780:$A$1881,0)),"n/a")</f>
        <v>NA</v>
      </c>
    </row>
    <row r="77" spans="1:9" x14ac:dyDescent="0.25">
      <c r="A77" s="14" t="s">
        <v>613</v>
      </c>
      <c r="B77" s="14"/>
      <c r="C77" s="14"/>
      <c r="D77" s="14"/>
      <c r="E77" s="14"/>
      <c r="F77" s="14"/>
      <c r="G77" s="14"/>
      <c r="H77" s="14"/>
      <c r="I77" s="14"/>
    </row>
    <row r="78" spans="1:9" x14ac:dyDescent="0.25">
      <c r="B78" t="s">
        <v>26</v>
      </c>
      <c r="C78" t="str">
        <f>INDEX('starlink countries list'!$C$2:$C$256,MATCH($B78,'starlink countries list'!$B$2:$B$256,0))</f>
        <v>Available</v>
      </c>
      <c r="D78" t="s">
        <v>26</v>
      </c>
      <c r="E78" s="15">
        <f>INDEX('Population and Broadband subs'!$D$12:$D$113,MATCH($D78,'Population and Broadband subs'!$A$12:$A$113,0))</f>
        <v>40470000</v>
      </c>
      <c r="F78" s="15">
        <f>INDEX('Population and Broadband subs'!$D$324:$D$425,MATCH($D78,'Population and Broadband subs'!$A$324:$A$425,0))</f>
        <v>15805471</v>
      </c>
      <c r="G78" s="16">
        <f>INDEX('penetration and ARPU'!$D$12:$D$113,MATCH($D78,'penetration and ARPU'!$A$12:$A$113,0))</f>
        <v>94.69</v>
      </c>
      <c r="H78" s="17">
        <f>INDEX('penetration and ARPU'!$D$1364:$D$1465,MATCH($D78,'penetration and ARPU'!$A$1364:$A$1465,0))</f>
        <v>54.01</v>
      </c>
      <c r="I78" s="17" t="str">
        <f>IFERROR(INDEX('penetration and ARPU'!$D$1780:$D$1881,MATCH($D78,'penetration and ARPU'!$A$1780:$A$1881,0)),"n/a")</f>
        <v>NA</v>
      </c>
    </row>
    <row r="79" spans="1:9" x14ac:dyDescent="0.25">
      <c r="B79" t="s">
        <v>182</v>
      </c>
      <c r="C79" t="str">
        <f>INDEX('starlink countries list'!$C$2:$C$256,MATCH($B79,'starlink countries list'!$B$2:$B$256,0))</f>
        <v>Available</v>
      </c>
      <c r="D79" t="s">
        <v>112</v>
      </c>
      <c r="E79" s="15">
        <f>INDEX('Population and Broadband subs'!$D$12:$D$113,MATCH($D79,'Population and Broadband subs'!$A$12:$A$113,0))</f>
        <v>343500000</v>
      </c>
      <c r="F79" s="15">
        <f>INDEX('Population and Broadband subs'!$D$324:$D$425,MATCH($D79,'Population and Broadband subs'!$A$324:$A$425,0))</f>
        <v>127205436</v>
      </c>
      <c r="G79" s="16">
        <f>INDEX('penetration and ARPU'!$D$12:$D$113,MATCH($D79,'penetration and ARPU'!$A$12:$A$113,0))</f>
        <v>92.48</v>
      </c>
      <c r="H79" s="17">
        <f>INDEX('penetration and ARPU'!$D$1364:$D$1465,MATCH($D79,'penetration and ARPU'!$A$1364:$A$1465,0))</f>
        <v>66.349999999999994</v>
      </c>
      <c r="I79" s="17" t="str">
        <f>IFERROR(INDEX('penetration and ARPU'!$D$1780:$D$1881,MATCH($D79,'penetration and ARPU'!$A$1780:$A$1881,0)),"n/a")</f>
        <v>NA</v>
      </c>
    </row>
    <row r="81" spans="1:9" x14ac:dyDescent="0.25">
      <c r="A81" s="14" t="s">
        <v>614</v>
      </c>
      <c r="B81" s="14"/>
      <c r="C81" s="14"/>
      <c r="D81" s="14"/>
      <c r="E81" s="14"/>
      <c r="F81" s="14"/>
      <c r="G81" s="14"/>
      <c r="H81" s="14"/>
      <c r="I81" s="14"/>
    </row>
    <row r="82" spans="1:9" x14ac:dyDescent="0.25">
      <c r="B82" t="s">
        <v>17</v>
      </c>
      <c r="C82" t="str">
        <f>INDEX('starlink countries list'!$C$2:$C$256,MATCH($B82,'starlink countries list'!$B$2:$B$256,0))</f>
        <v>Available</v>
      </c>
      <c r="D82" t="s">
        <v>17</v>
      </c>
      <c r="E82" s="15">
        <f>INDEX('Population and Broadband subs'!$D$12:$D$113,MATCH($D82,'Population and Broadband subs'!$A$12:$A$113,0))</f>
        <v>8790000</v>
      </c>
      <c r="F82" s="15">
        <f>INDEX('Population and Broadband subs'!$D$324:$D$425,MATCH($D82,'Population and Broadband subs'!$A$324:$A$425,0))</f>
        <v>2634020</v>
      </c>
      <c r="G82" s="16">
        <f>INDEX('penetration and ARPU'!$D$12:$D$113,MATCH($D82,'penetration and ARPU'!$A$12:$A$113,0))</f>
        <v>63.46</v>
      </c>
      <c r="H82" s="17">
        <f>INDEX('penetration and ARPU'!$D$1364:$D$1465,MATCH($D82,'penetration and ARPU'!$A$1364:$A$1465,0))</f>
        <v>44.92</v>
      </c>
      <c r="I82" s="17">
        <f>IFERROR(INDEX('penetration and ARPU'!$D$1780:$D$1881,MATCH($D82,'penetration and ARPU'!$A$1780:$A$1881,0)),"n/a")</f>
        <v>53.621271290000003</v>
      </c>
    </row>
    <row r="83" spans="1:9" x14ac:dyDescent="0.25">
      <c r="B83" t="s">
        <v>21</v>
      </c>
      <c r="C83" t="str">
        <f>INDEX('starlink countries list'!$C$2:$C$256,MATCH($B83,'starlink countries list'!$B$2:$B$256,0))</f>
        <v>Available</v>
      </c>
      <c r="D83" t="s">
        <v>21</v>
      </c>
      <c r="E83" s="15">
        <f>INDEX('Population and Broadband subs'!$D$12:$D$113,MATCH($D83,'Population and Broadband subs'!$A$12:$A$113,0))</f>
        <v>11770000</v>
      </c>
      <c r="F83" s="15">
        <f>INDEX('Population and Broadband subs'!$D$324:$D$425,MATCH($D83,'Population and Broadband subs'!$A$324:$A$425,0))</f>
        <v>4615777</v>
      </c>
      <c r="G83" s="16">
        <f>INDEX('penetration and ARPU'!$D$12:$D$113,MATCH($D83,'penetration and ARPU'!$A$12:$A$113,0))</f>
        <v>89.45</v>
      </c>
      <c r="H83" s="17">
        <f>INDEX('penetration and ARPU'!$D$1364:$D$1465,MATCH($D83,'penetration and ARPU'!$A$1364:$A$1465,0))</f>
        <v>43.41</v>
      </c>
      <c r="I83" s="17">
        <f>IFERROR(INDEX('penetration and ARPU'!$D$1780:$D$1881,MATCH($D83,'penetration and ARPU'!$A$1780:$A$1881,0)),"n/a")</f>
        <v>0</v>
      </c>
    </row>
    <row r="84" spans="1:9" x14ac:dyDescent="0.25">
      <c r="B84" t="s">
        <v>33</v>
      </c>
      <c r="C84" t="str">
        <f>INDEX('starlink countries list'!$C$2:$C$256,MATCH($B84,'starlink countries list'!$B$2:$B$256,0))</f>
        <v>Available</v>
      </c>
      <c r="D84" t="s">
        <v>33</v>
      </c>
      <c r="E84" s="15">
        <f>INDEX('Population and Broadband subs'!$D$12:$D$113,MATCH($D84,'Population and Broadband subs'!$A$12:$A$113,0))</f>
        <v>6000000</v>
      </c>
      <c r="F84" s="15">
        <f>INDEX('Population and Broadband subs'!$D$324:$D$425,MATCH($D84,'Population and Broadband subs'!$A$324:$A$425,0))</f>
        <v>2608646</v>
      </c>
      <c r="G84" s="16">
        <f>INDEX('penetration and ARPU'!$D$12:$D$113,MATCH($D84,'penetration and ARPU'!$A$12:$A$113,0))</f>
        <v>90.85</v>
      </c>
      <c r="H84" s="17">
        <f>INDEX('penetration and ARPU'!$D$1364:$D$1465,MATCH($D84,'penetration and ARPU'!$A$1364:$A$1465,0))</f>
        <v>34.97</v>
      </c>
      <c r="I84" s="17">
        <f>IFERROR(INDEX('penetration and ARPU'!$D$1780:$D$1881,MATCH($D84,'penetration and ARPU'!$A$1780:$A$1881,0)),"n/a")</f>
        <v>2.6505399999999998E-2</v>
      </c>
    </row>
    <row r="85" spans="1:9" x14ac:dyDescent="0.25">
      <c r="B85" t="s">
        <v>40</v>
      </c>
      <c r="C85" t="str">
        <f>INDEX('starlink countries list'!$C$2:$C$256,MATCH($B85,'starlink countries list'!$B$2:$B$256,0))</f>
        <v>Available</v>
      </c>
      <c r="D85" t="s">
        <v>40</v>
      </c>
      <c r="E85" s="15">
        <f>INDEX('Population and Broadband subs'!$D$12:$D$113,MATCH($D85,'Population and Broadband subs'!$A$12:$A$113,0))</f>
        <v>5557511</v>
      </c>
      <c r="F85" s="15">
        <f>INDEX('Population and Broadband subs'!$D$324:$D$425,MATCH($D85,'Population and Broadband subs'!$A$324:$A$425,0))</f>
        <v>2015946</v>
      </c>
      <c r="G85" s="16">
        <f>INDEX('penetration and ARPU'!$D$12:$D$113,MATCH($D85,'penetration and ARPU'!$A$12:$A$113,0))</f>
        <v>70.8</v>
      </c>
      <c r="H85" s="17">
        <f>INDEX('penetration and ARPU'!$D$1364:$D$1465,MATCH($D85,'penetration and ARPU'!$A$1364:$A$1465,0))</f>
        <v>34.51</v>
      </c>
      <c r="I85" s="17">
        <f>IFERROR(INDEX('penetration and ARPU'!$D$1780:$D$1881,MATCH($D85,'penetration and ARPU'!$A$1780:$A$1881,0)),"n/a")</f>
        <v>34.364978409999999</v>
      </c>
    </row>
    <row r="86" spans="1:9" x14ac:dyDescent="0.25">
      <c r="B86" t="s">
        <v>41</v>
      </c>
      <c r="C86" t="str">
        <f>INDEX('starlink countries list'!$C$2:$C$256,MATCH($B86,'starlink countries list'!$B$2:$B$256,0))</f>
        <v>Available</v>
      </c>
      <c r="D86" t="s">
        <v>41</v>
      </c>
      <c r="E86" s="15">
        <f>INDEX('Population and Broadband subs'!$D$12:$D$113,MATCH($D86,'Population and Broadband subs'!$A$12:$A$113,0))</f>
        <v>65120000</v>
      </c>
      <c r="F86" s="15">
        <f>INDEX('Population and Broadband subs'!$D$324:$D$425,MATCH($D86,'Population and Broadband subs'!$A$324:$A$425,0))</f>
        <v>31850439</v>
      </c>
      <c r="G86" s="16">
        <f>INDEX('penetration and ARPU'!$D$12:$D$113,MATCH($D86,'penetration and ARPU'!$A$12:$A$113,0))</f>
        <v>101.07</v>
      </c>
      <c r="H86" s="17">
        <f>INDEX('penetration and ARPU'!$D$1364:$D$1465,MATCH($D86,'penetration and ARPU'!$A$1364:$A$1465,0))</f>
        <v>24.18</v>
      </c>
      <c r="I86" s="17" t="str">
        <f>IFERROR(INDEX('penetration and ARPU'!$D$1780:$D$1881,MATCH($D86,'penetration and ARPU'!$A$1780:$A$1881,0)),"n/a")</f>
        <v>NA</v>
      </c>
    </row>
    <row r="87" spans="1:9" x14ac:dyDescent="0.25">
      <c r="B87" t="s">
        <v>42</v>
      </c>
      <c r="C87" t="str">
        <f>INDEX('starlink countries list'!$C$2:$C$256,MATCH($B87,'starlink countries list'!$B$2:$B$256,0))</f>
        <v>Available</v>
      </c>
      <c r="D87" t="s">
        <v>42</v>
      </c>
      <c r="E87" s="15">
        <f>INDEX('Population and Broadband subs'!$D$12:$D$113,MATCH($D87,'Population and Broadband subs'!$A$12:$A$113,0))</f>
        <v>83640000</v>
      </c>
      <c r="F87" s="15">
        <f>INDEX('Population and Broadband subs'!$D$324:$D$425,MATCH($D87,'Population and Broadband subs'!$A$324:$A$425,0))</f>
        <v>38986381</v>
      </c>
      <c r="G87" s="16">
        <f>INDEX('penetration and ARPU'!$D$12:$D$113,MATCH($D87,'penetration and ARPU'!$A$12:$A$113,0))</f>
        <v>94.79</v>
      </c>
      <c r="H87" s="17">
        <f>INDEX('penetration and ARPU'!$D$1364:$D$1465,MATCH($D87,'penetration and ARPU'!$A$1364:$A$1465,0))</f>
        <v>30.23</v>
      </c>
      <c r="I87" s="17" t="str">
        <f>IFERROR(INDEX('penetration and ARPU'!$D$1780:$D$1881,MATCH($D87,'penetration and ARPU'!$A$1780:$A$1881,0)),"n/a")</f>
        <v>NA</v>
      </c>
    </row>
    <row r="88" spans="1:9" x14ac:dyDescent="0.25">
      <c r="B88" t="s">
        <v>43</v>
      </c>
      <c r="C88" t="str">
        <f>INDEX('starlink countries list'!$C$2:$C$256,MATCH($B88,'starlink countries list'!$B$2:$B$256,0))</f>
        <v>Available</v>
      </c>
      <c r="D88" t="s">
        <v>43</v>
      </c>
      <c r="E88" s="15">
        <f>INDEX('Population and Broadband subs'!$D$12:$D$113,MATCH($D88,'Population and Broadband subs'!$A$12:$A$113,0))</f>
        <v>10100000</v>
      </c>
      <c r="F88" s="15">
        <f>INDEX('Population and Broadband subs'!$D$324:$D$425,MATCH($D88,'Population and Broadband subs'!$A$324:$A$425,0))</f>
        <v>4870934</v>
      </c>
      <c r="G88" s="16">
        <f>INDEX('penetration and ARPU'!$D$12:$D$113,MATCH($D88,'penetration and ARPU'!$A$12:$A$113,0))</f>
        <v>108.58</v>
      </c>
      <c r="H88" s="17">
        <f>INDEX('penetration and ARPU'!$D$1364:$D$1465,MATCH($D88,'penetration and ARPU'!$A$1364:$A$1465,0))</f>
        <v>25.68</v>
      </c>
      <c r="I88" s="17" t="str">
        <f>IFERROR(INDEX('penetration and ARPU'!$D$1780:$D$1881,MATCH($D88,'penetration and ARPU'!$A$1780:$A$1881,0)),"n/a")</f>
        <v>NA</v>
      </c>
    </row>
    <row r="89" spans="1:9" x14ac:dyDescent="0.25">
      <c r="B89" t="s">
        <v>51</v>
      </c>
      <c r="C89" t="str">
        <f>INDEX('starlink countries list'!$C$2:$C$256,MATCH($B89,'starlink countries list'!$B$2:$B$256,0))</f>
        <v>Available</v>
      </c>
      <c r="D89" t="s">
        <v>51</v>
      </c>
      <c r="E89" s="15">
        <f>INDEX('Population and Broadband subs'!$D$12:$D$113,MATCH($D89,'Population and Broadband subs'!$A$12:$A$113,0))</f>
        <v>5140000</v>
      </c>
      <c r="F89" s="15">
        <f>INDEX('Population and Broadband subs'!$D$324:$D$425,MATCH($D89,'Population and Broadband subs'!$A$324:$A$425,0))</f>
        <v>1639373</v>
      </c>
      <c r="G89" s="16">
        <f>INDEX('penetration and ARPU'!$D$12:$D$113,MATCH($D89,'penetration and ARPU'!$A$12:$A$113,0))</f>
        <v>76.25</v>
      </c>
      <c r="H89" s="17">
        <f>INDEX('penetration and ARPU'!$D$1364:$D$1465,MATCH($D89,'penetration and ARPU'!$A$1364:$A$1465,0))</f>
        <v>42.18</v>
      </c>
      <c r="I89" s="17">
        <f>IFERROR(INDEX('penetration and ARPU'!$D$1780:$D$1881,MATCH($D89,'penetration and ARPU'!$A$1780:$A$1881,0)),"n/a")</f>
        <v>40.339012240000002</v>
      </c>
    </row>
    <row r="90" spans="1:9" x14ac:dyDescent="0.25">
      <c r="B90" t="s">
        <v>53</v>
      </c>
      <c r="C90" t="str">
        <f>INDEX('starlink countries list'!$C$2:$C$256,MATCH($B90,'starlink countries list'!$B$2:$B$256,0))</f>
        <v>Available</v>
      </c>
      <c r="D90" t="s">
        <v>53</v>
      </c>
      <c r="E90" s="15">
        <f>INDEX('Population and Broadband subs'!$D$12:$D$113,MATCH($D90,'Population and Broadband subs'!$A$12:$A$113,0))</f>
        <v>58845703</v>
      </c>
      <c r="F90" s="15">
        <f>INDEX('Population and Broadband subs'!$D$324:$D$425,MATCH($D90,'Population and Broadband subs'!$A$324:$A$425,0))</f>
        <v>17088965</v>
      </c>
      <c r="G90" s="16">
        <f>INDEX('penetration and ARPU'!$D$12:$D$113,MATCH($D90,'penetration and ARPU'!$A$12:$A$113,0))</f>
        <v>65.22</v>
      </c>
      <c r="H90" s="17">
        <f>INDEX('penetration and ARPU'!$D$1364:$D$1465,MATCH($D90,'penetration and ARPU'!$A$1364:$A$1465,0))</f>
        <v>23.24</v>
      </c>
      <c r="I90" s="17">
        <f>IFERROR(INDEX('penetration and ARPU'!$D$1780:$D$1881,MATCH($D90,'penetration and ARPU'!$A$1780:$A$1881,0)),"n/a")</f>
        <v>2.4202257000000001E-2</v>
      </c>
    </row>
    <row r="91" spans="1:9" x14ac:dyDescent="0.25">
      <c r="B91" t="s">
        <v>70</v>
      </c>
      <c r="C91" t="str">
        <f>INDEX('starlink countries list'!$C$2:$C$256,MATCH($B91,'starlink countries list'!$B$2:$B$256,0))</f>
        <v>Available</v>
      </c>
      <c r="D91" t="s">
        <v>70</v>
      </c>
      <c r="E91" s="15">
        <f>INDEX('Population and Broadband subs'!$D$12:$D$113,MATCH($D91,'Population and Broadband subs'!$A$12:$A$113,0))</f>
        <v>17770000</v>
      </c>
      <c r="F91" s="15">
        <f>INDEX('Population and Broadband subs'!$D$324:$D$425,MATCH($D91,'Population and Broadband subs'!$A$324:$A$425,0))</f>
        <v>7823481</v>
      </c>
      <c r="G91" s="16">
        <f>INDEX('penetration and ARPU'!$D$12:$D$113,MATCH($D91,'penetration and ARPU'!$A$12:$A$113,0))</f>
        <v>92.05</v>
      </c>
      <c r="H91" s="17">
        <f>INDEX('penetration and ARPU'!$D$1364:$D$1465,MATCH($D91,'penetration and ARPU'!$A$1364:$A$1465,0))</f>
        <v>32.299999999999997</v>
      </c>
      <c r="I91" s="17">
        <f>IFERROR(INDEX('penetration and ARPU'!$D$1780:$D$1881,MATCH($D91,'penetration and ARPU'!$A$1780:$A$1881,0)),"n/a")</f>
        <v>0.02</v>
      </c>
    </row>
    <row r="92" spans="1:9" x14ac:dyDescent="0.25">
      <c r="B92" t="s">
        <v>75</v>
      </c>
      <c r="C92" t="str">
        <f>INDEX('starlink countries list'!$C$2:$C$256,MATCH($B92,'starlink countries list'!$B$2:$B$256,0))</f>
        <v>Available</v>
      </c>
      <c r="D92" t="s">
        <v>75</v>
      </c>
      <c r="E92" s="15">
        <f>INDEX('Population and Broadband subs'!$D$12:$D$113,MATCH($D92,'Population and Broadband subs'!$A$12:$A$113,0))</f>
        <v>5590000</v>
      </c>
      <c r="F92" s="15">
        <f>INDEX('Population and Broadband subs'!$D$324:$D$425,MATCH($D92,'Population and Broadband subs'!$A$324:$A$425,0))</f>
        <v>2533755</v>
      </c>
      <c r="G92" s="16">
        <f>INDEX('penetration and ARPU'!$D$12:$D$113,MATCH($D92,'penetration and ARPU'!$A$12:$A$113,0))</f>
        <v>96.03</v>
      </c>
      <c r="H92" s="17">
        <f>INDEX('penetration and ARPU'!$D$1364:$D$1465,MATCH($D92,'penetration and ARPU'!$A$1364:$A$1465,0))</f>
        <v>36.15</v>
      </c>
      <c r="I92" s="17">
        <f>IFERROR(INDEX('penetration and ARPU'!$D$1780:$D$1881,MATCH($D92,'penetration and ARPU'!$A$1780:$A$1881,0)),"n/a")</f>
        <v>33.688957379999998</v>
      </c>
    </row>
    <row r="93" spans="1:9" x14ac:dyDescent="0.25">
      <c r="B93" t="s">
        <v>89</v>
      </c>
      <c r="C93" t="str">
        <f>INDEX('starlink countries list'!$C$2:$C$256,MATCH($B93,'starlink countries list'!$B$2:$B$256,0))</f>
        <v>Available</v>
      </c>
      <c r="D93" t="s">
        <v>89</v>
      </c>
      <c r="E93" s="15">
        <f>INDEX('Population and Broadband subs'!$D$12:$D$113,MATCH($D93,'Population and Broadband subs'!$A$12:$A$113,0))</f>
        <v>10172106</v>
      </c>
      <c r="F93" s="15">
        <f>INDEX('Population and Broadband subs'!$D$324:$D$425,MATCH($D93,'Population and Broadband subs'!$A$324:$A$425,0))</f>
        <v>4137809</v>
      </c>
      <c r="G93" s="16">
        <f>INDEX('penetration and ARPU'!$D$12:$D$113,MATCH($D93,'penetration and ARPU'!$A$12:$A$113,0))</f>
        <v>93.09</v>
      </c>
      <c r="H93" s="17">
        <f>INDEX('penetration and ARPU'!$D$1364:$D$1465,MATCH($D93,'penetration and ARPU'!$A$1364:$A$1465,0))</f>
        <v>27.96</v>
      </c>
      <c r="I93" s="17">
        <f>IFERROR(INDEX('penetration and ARPU'!$D$1780:$D$1881,MATCH($D93,'penetration and ARPU'!$A$1780:$A$1881,0)),"n/a")</f>
        <v>0</v>
      </c>
    </row>
    <row r="94" spans="1:9" x14ac:dyDescent="0.25">
      <c r="B94" t="s">
        <v>101</v>
      </c>
      <c r="C94" t="str">
        <f>INDEX('starlink countries list'!$C$2:$C$256,MATCH($B94,'starlink countries list'!$B$2:$B$256,0))</f>
        <v>Available</v>
      </c>
      <c r="D94" t="s">
        <v>101</v>
      </c>
      <c r="E94" s="15">
        <f>INDEX('Population and Broadband subs'!$D$12:$D$113,MATCH($D94,'Population and Broadband subs'!$A$12:$A$113,0))</f>
        <v>47850000</v>
      </c>
      <c r="F94" s="15">
        <f>INDEX('Population and Broadband subs'!$D$324:$D$425,MATCH($D94,'Population and Broadband subs'!$A$324:$A$425,0))</f>
        <v>17355679</v>
      </c>
      <c r="G94" s="16">
        <f>INDEX('penetration and ARPU'!$D$12:$D$113,MATCH($D94,'penetration and ARPU'!$A$12:$A$113,0))</f>
        <v>85.23</v>
      </c>
      <c r="H94" s="17">
        <f>INDEX('penetration and ARPU'!$D$1364:$D$1465,MATCH($D94,'penetration and ARPU'!$A$1364:$A$1465,0))</f>
        <v>25.55</v>
      </c>
      <c r="I94" s="17" t="str">
        <f>IFERROR(INDEX('penetration and ARPU'!$D$1780:$D$1881,MATCH($D94,'penetration and ARPU'!$A$1780:$A$1881,0)),"n/a")</f>
        <v>NA</v>
      </c>
    </row>
    <row r="95" spans="1:9" x14ac:dyDescent="0.25">
      <c r="B95" t="s">
        <v>102</v>
      </c>
      <c r="C95" t="str">
        <f>INDEX('starlink countries list'!$C$2:$C$256,MATCH($B95,'starlink countries list'!$B$2:$B$256,0))</f>
        <v>Available</v>
      </c>
      <c r="D95" t="s">
        <v>102</v>
      </c>
      <c r="E95" s="15">
        <f>INDEX('Population and Broadband subs'!$D$12:$D$113,MATCH($D95,'Population and Broadband subs'!$A$12:$A$113,0))</f>
        <v>10790000</v>
      </c>
      <c r="F95" s="15">
        <f>INDEX('Population and Broadband subs'!$D$324:$D$425,MATCH($D95,'Population and Broadband subs'!$A$324:$A$425,0))</f>
        <v>4517052</v>
      </c>
      <c r="G95" s="16">
        <f>INDEX('penetration and ARPU'!$D$12:$D$113,MATCH($D95,'penetration and ARPU'!$A$12:$A$113,0))</f>
        <v>90.39</v>
      </c>
      <c r="H95" s="17">
        <f>INDEX('penetration and ARPU'!$D$1364:$D$1465,MATCH($D95,'penetration and ARPU'!$A$1364:$A$1465,0))</f>
        <v>22.7</v>
      </c>
      <c r="I95" s="17" t="str">
        <f>IFERROR(INDEX('penetration and ARPU'!$D$1780:$D$1881,MATCH($D95,'penetration and ARPU'!$A$1780:$A$1881,0)),"n/a")</f>
        <v>NA</v>
      </c>
    </row>
    <row r="96" spans="1:9" x14ac:dyDescent="0.25">
      <c r="B96" t="s">
        <v>103</v>
      </c>
      <c r="C96" t="str">
        <f>INDEX('starlink countries list'!$C$2:$C$256,MATCH($B96,'starlink countries list'!$B$2:$B$256,0))</f>
        <v>Available</v>
      </c>
      <c r="D96" t="s">
        <v>103</v>
      </c>
      <c r="E96" s="15">
        <f>INDEX('Population and Broadband subs'!$D$12:$D$113,MATCH($D96,'Population and Broadband subs'!$A$12:$A$113,0))</f>
        <v>8960000</v>
      </c>
      <c r="F96" s="15">
        <f>INDEX('Population and Broadband subs'!$D$324:$D$425,MATCH($D96,'Population and Broadband subs'!$A$324:$A$425,0))</f>
        <v>4183899</v>
      </c>
      <c r="G96" s="16">
        <f>INDEX('penetration and ARPU'!$D$12:$D$113,MATCH($D96,'penetration and ARPU'!$A$12:$A$113,0))</f>
        <v>101.62</v>
      </c>
      <c r="H96" s="17">
        <f>INDEX('penetration and ARPU'!$D$1364:$D$1465,MATCH($D96,'penetration and ARPU'!$A$1364:$A$1465,0))</f>
        <v>48.9</v>
      </c>
      <c r="I96" s="17" t="str">
        <f>IFERROR(INDEX('penetration and ARPU'!$D$1780:$D$1881,MATCH($D96,'penetration and ARPU'!$A$1780:$A$1881,0)),"n/a")</f>
        <v>NA</v>
      </c>
    </row>
    <row r="97" spans="2:9" x14ac:dyDescent="0.25">
      <c r="B97" t="s">
        <v>110</v>
      </c>
      <c r="C97" t="str">
        <f>INDEX('starlink countries list'!$C$2:$C$256,MATCH($B97,'starlink countries list'!$B$2:$B$256,0))</f>
        <v>Available</v>
      </c>
      <c r="D97" t="s">
        <v>110</v>
      </c>
      <c r="E97" s="15">
        <f>INDEX('Population and Broadband subs'!$D$12:$D$113,MATCH($D97,'Population and Broadband subs'!$A$12:$A$113,0))</f>
        <v>69930000</v>
      </c>
      <c r="F97" s="15">
        <f>INDEX('Population and Broadband subs'!$D$324:$D$425,MATCH($D97,'Population and Broadband subs'!$A$324:$A$425,0))</f>
        <v>28792315</v>
      </c>
      <c r="G97" s="16">
        <f>INDEX('penetration and ARPU'!$D$12:$D$113,MATCH($D97,'penetration and ARPU'!$A$12:$A$113,0))</f>
        <v>99.55</v>
      </c>
      <c r="H97" s="17">
        <f>INDEX('penetration and ARPU'!$D$1364:$D$1465,MATCH($D97,'penetration and ARPU'!$A$1364:$A$1465,0))</f>
        <v>34.340000000000003</v>
      </c>
      <c r="I97" s="17" t="str">
        <f>IFERROR(INDEX('penetration and ARPU'!$D$1780:$D$1881,MATCH($D97,'penetration and ARPU'!$A$1780:$A$1881,0)),"n/a")</f>
        <v>NA</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80B35-12BE-DF48-903D-5043E5D32EB3}">
  <dimension ref="A1:J81"/>
  <sheetViews>
    <sheetView topLeftCell="A48" zoomScale="75" workbookViewId="0">
      <selection activeCell="V41" sqref="V41"/>
    </sheetView>
  </sheetViews>
  <sheetFormatPr defaultColWidth="11.42578125" defaultRowHeight="15" x14ac:dyDescent="0.25"/>
  <sheetData>
    <row r="1" spans="1:10" x14ac:dyDescent="0.25">
      <c r="A1" s="13" t="s">
        <v>602</v>
      </c>
      <c r="B1" s="13" t="s">
        <v>605</v>
      </c>
      <c r="C1" s="13" t="s">
        <v>616</v>
      </c>
      <c r="D1" s="13" t="s">
        <v>617</v>
      </c>
      <c r="E1" s="13" t="s">
        <v>618</v>
      </c>
      <c r="F1" s="13" t="s">
        <v>608</v>
      </c>
      <c r="H1" s="13" t="s">
        <v>618</v>
      </c>
      <c r="I1" s="13" t="s">
        <v>607</v>
      </c>
      <c r="J1" s="13" t="s">
        <v>608</v>
      </c>
    </row>
    <row r="2" spans="1:10" x14ac:dyDescent="0.25">
      <c r="A2" t="str">
        <f>'Starlink countries with data'!B6</f>
        <v>Australia</v>
      </c>
      <c r="B2" s="20">
        <f>'Starlink countries with data'!E6</f>
        <v>27230000</v>
      </c>
      <c r="C2" s="21">
        <f>'Starlink countries with data'!G6</f>
        <v>93.38</v>
      </c>
      <c r="D2" s="22">
        <f t="shared" ref="D2:D33" si="0">B2/1000000</f>
        <v>27.23</v>
      </c>
      <c r="E2" t="str">
        <f>INDEX('starlink countries list'!$A$2:$A$256,MATCH(A2,'starlink countries list'!$B$2:$B$256,0))</f>
        <v>AU</v>
      </c>
      <c r="F2" s="17">
        <f>IFERROR(INDEX('Starlink countries with data'!$H$6:$H$97,MATCH($A2,'Starlink countries with data'!$B$6:$B$97,0)),"NA")</f>
        <v>34.659999999999997</v>
      </c>
      <c r="H2" t="str">
        <f t="shared" ref="H2:H14" si="1">E2</f>
        <v>AU</v>
      </c>
      <c r="I2" s="21">
        <f t="shared" ref="I2:I14" si="2">C2</f>
        <v>93.38</v>
      </c>
      <c r="J2" s="17">
        <f t="shared" ref="J2:J14" si="3">F2</f>
        <v>34.659999999999997</v>
      </c>
    </row>
    <row r="3" spans="1:10" x14ac:dyDescent="0.25">
      <c r="A3" t="str">
        <f>'Starlink countries with data'!B7</f>
        <v>Cambodia</v>
      </c>
      <c r="B3" s="20">
        <f>'Starlink countries with data'!E7</f>
        <v>17427953</v>
      </c>
      <c r="C3" s="21">
        <f>'Starlink countries with data'!G7</f>
        <v>18.510000000000002</v>
      </c>
      <c r="D3" s="22">
        <f t="shared" si="0"/>
        <v>17.427952999999999</v>
      </c>
      <c r="E3" t="str">
        <f>INDEX('starlink countries list'!$A$2:$A$256,MATCH(A3,'starlink countries list'!$B$2:$B$256,0))</f>
        <v>KH</v>
      </c>
      <c r="F3" s="17">
        <f>IFERROR(INDEX('Starlink countries with data'!$H$6:$H$97,MATCH($A3,'Starlink countries with data'!$B$6:$B$97,0)),"NA")</f>
        <v>17.190000000000001</v>
      </c>
      <c r="H3" t="str">
        <f t="shared" si="1"/>
        <v>KH</v>
      </c>
      <c r="I3" s="21">
        <f t="shared" si="2"/>
        <v>18.510000000000002</v>
      </c>
      <c r="J3" s="17">
        <f t="shared" si="3"/>
        <v>17.190000000000001</v>
      </c>
    </row>
    <row r="4" spans="1:10" x14ac:dyDescent="0.25">
      <c r="A4" t="str">
        <f>'Starlink countries with data'!B8</f>
        <v>Indonesia</v>
      </c>
      <c r="B4" s="20">
        <f>'Starlink countries with data'!E8</f>
        <v>287148600</v>
      </c>
      <c r="C4" s="21">
        <f>'Starlink countries with data'!G8</f>
        <v>25.17</v>
      </c>
      <c r="D4" s="22">
        <f t="shared" si="0"/>
        <v>287.14859999999999</v>
      </c>
      <c r="E4" t="str">
        <f>INDEX('starlink countries list'!$A$2:$A$256,MATCH(A4,'starlink countries list'!$B$2:$B$256,0))</f>
        <v>ID</v>
      </c>
      <c r="F4" s="17">
        <f>IFERROR(INDEX('Starlink countries with data'!$H$6:$H$97,MATCH($A4,'Starlink countries with data'!$B$6:$B$97,0)),"NA")</f>
        <v>12.14</v>
      </c>
      <c r="H4" t="str">
        <f t="shared" si="1"/>
        <v>ID</v>
      </c>
      <c r="I4" s="21">
        <f t="shared" si="2"/>
        <v>25.17</v>
      </c>
      <c r="J4" s="17">
        <f t="shared" si="3"/>
        <v>12.14</v>
      </c>
    </row>
    <row r="5" spans="1:10" x14ac:dyDescent="0.25">
      <c r="A5" t="str">
        <f>'Starlink countries with data'!B9</f>
        <v>Japan</v>
      </c>
      <c r="B5" s="20">
        <f>'Starlink countries with data'!E9</f>
        <v>123400000</v>
      </c>
      <c r="C5" s="21">
        <f>'Starlink countries with data'!G9</f>
        <v>87.64</v>
      </c>
      <c r="D5" s="22">
        <f t="shared" si="0"/>
        <v>123.4</v>
      </c>
      <c r="E5" t="str">
        <f>INDEX('starlink countries list'!$A$2:$A$256,MATCH(A5,'starlink countries list'!$B$2:$B$256,0))</f>
        <v>JP</v>
      </c>
      <c r="F5" s="17">
        <f>IFERROR(INDEX('Starlink countries with data'!$H$6:$H$97,MATCH($A5,'Starlink countries with data'!$B$6:$B$97,0)),"NA")</f>
        <v>24.66</v>
      </c>
      <c r="H5" t="str">
        <f t="shared" si="1"/>
        <v>JP</v>
      </c>
      <c r="I5" s="21">
        <f t="shared" si="2"/>
        <v>87.64</v>
      </c>
      <c r="J5" s="17">
        <f t="shared" si="3"/>
        <v>24.66</v>
      </c>
    </row>
    <row r="6" spans="1:10" x14ac:dyDescent="0.25">
      <c r="A6" t="str">
        <f>'Starlink countries with data'!B10</f>
        <v>Korea, Republic of</v>
      </c>
      <c r="B6" s="20">
        <f>'Starlink countries with data'!E10</f>
        <v>51320000</v>
      </c>
      <c r="C6" s="21">
        <f>'Starlink countries with data'!G10</f>
        <v>112.57</v>
      </c>
      <c r="D6" s="22">
        <f t="shared" si="0"/>
        <v>51.32</v>
      </c>
      <c r="E6" t="str">
        <f>INDEX('starlink countries list'!$A$2:$A$256,MATCH(A6,'starlink countries list'!$B$2:$B$256,0))</f>
        <v>KR</v>
      </c>
      <c r="F6" s="17">
        <f>IFERROR(INDEX('Starlink countries with data'!$H$6:$H$97,MATCH($A6,'Starlink countries with data'!$B$6:$B$97,0)),"NA")</f>
        <v>14.14</v>
      </c>
      <c r="H6" t="str">
        <f t="shared" si="1"/>
        <v>KR</v>
      </c>
      <c r="I6" s="21">
        <f t="shared" si="2"/>
        <v>112.57</v>
      </c>
      <c r="J6" s="17">
        <f t="shared" si="3"/>
        <v>14.14</v>
      </c>
    </row>
    <row r="7" spans="1:10" x14ac:dyDescent="0.25">
      <c r="A7" t="str">
        <f>'Starlink countries with data'!B11</f>
        <v>Lao People's Democratic Republic</v>
      </c>
      <c r="B7" s="20">
        <f>'Starlink countries with data'!E11</f>
        <v>7914207</v>
      </c>
      <c r="C7" s="21">
        <f>'Starlink countries with data'!G11</f>
        <v>18.440000000000001</v>
      </c>
      <c r="D7" s="22">
        <f t="shared" si="0"/>
        <v>7.9142070000000002</v>
      </c>
      <c r="E7" t="str">
        <f>INDEX('starlink countries list'!$A$2:$A$256,MATCH(A7,'starlink countries list'!$B$2:$B$256,0))</f>
        <v>LA</v>
      </c>
      <c r="F7" s="17">
        <f>IFERROR(INDEX('Starlink countries with data'!$H$6:$H$97,MATCH($A7,'Starlink countries with data'!$B$6:$B$97,0)),"NA")</f>
        <v>15.25</v>
      </c>
      <c r="H7" t="str">
        <f t="shared" si="1"/>
        <v>LA</v>
      </c>
      <c r="I7" s="21">
        <f t="shared" si="2"/>
        <v>18.440000000000001</v>
      </c>
      <c r="J7" s="17">
        <f t="shared" si="3"/>
        <v>15.25</v>
      </c>
    </row>
    <row r="8" spans="1:10" x14ac:dyDescent="0.25">
      <c r="A8" t="str">
        <f>'Starlink countries with data'!B12</f>
        <v>Malaysia</v>
      </c>
      <c r="B8" s="20">
        <f>'Starlink countries with data'!E12</f>
        <v>36120000</v>
      </c>
      <c r="C8" s="21">
        <f>'Starlink countries with data'!G12</f>
        <v>55.9</v>
      </c>
      <c r="D8" s="22">
        <f t="shared" si="0"/>
        <v>36.119999999999997</v>
      </c>
      <c r="E8" t="str">
        <f>INDEX('starlink countries list'!$A$2:$A$256,MATCH(A8,'starlink countries list'!$B$2:$B$256,0))</f>
        <v>MY</v>
      </c>
      <c r="F8" s="17">
        <f>IFERROR(INDEX('Starlink countries with data'!$H$6:$H$97,MATCH($A8,'Starlink countries with data'!$B$6:$B$97,0)),"NA")</f>
        <v>31.46</v>
      </c>
      <c r="H8" t="str">
        <f t="shared" si="1"/>
        <v>MY</v>
      </c>
      <c r="I8" s="21">
        <f t="shared" si="2"/>
        <v>55.9</v>
      </c>
      <c r="J8" s="17">
        <f t="shared" si="3"/>
        <v>31.46</v>
      </c>
    </row>
    <row r="9" spans="1:10" x14ac:dyDescent="0.25">
      <c r="A9" t="str">
        <f>'Starlink countries with data'!B13</f>
        <v>Myanmar</v>
      </c>
      <c r="B9" s="20">
        <f>'Starlink countries with data'!E13</f>
        <v>55649307</v>
      </c>
      <c r="C9" s="21">
        <f>'Starlink countries with data'!G13</f>
        <v>12.17</v>
      </c>
      <c r="D9" s="22">
        <f t="shared" si="0"/>
        <v>55.649307</v>
      </c>
      <c r="E9" t="str">
        <f>INDEX('starlink countries list'!$A$2:$A$256,MATCH(A9,'starlink countries list'!$B$2:$B$256,0))</f>
        <v>MM</v>
      </c>
      <c r="F9" s="17">
        <f>IFERROR(INDEX('Starlink countries with data'!$H$6:$H$97,MATCH($A9,'Starlink countries with data'!$B$6:$B$97,0)),"NA")</f>
        <v>6.59</v>
      </c>
      <c r="H9" t="str">
        <f t="shared" si="1"/>
        <v>MM</v>
      </c>
      <c r="I9" s="21">
        <f t="shared" si="2"/>
        <v>12.17</v>
      </c>
      <c r="J9" s="17">
        <f t="shared" si="3"/>
        <v>6.59</v>
      </c>
    </row>
    <row r="10" spans="1:10" x14ac:dyDescent="0.25">
      <c r="A10" t="str">
        <f>'Starlink countries with data'!B14</f>
        <v>New Zealand</v>
      </c>
      <c r="B10" s="20">
        <f>'Starlink countries with data'!E14</f>
        <v>5290000</v>
      </c>
      <c r="C10" s="21">
        <f>'Starlink countries with data'!G14</f>
        <v>91.95</v>
      </c>
      <c r="D10" s="22">
        <f t="shared" si="0"/>
        <v>5.29</v>
      </c>
      <c r="E10" t="str">
        <f>INDEX('starlink countries list'!$A$2:$A$256,MATCH(A10,'starlink countries list'!$B$2:$B$256,0))</f>
        <v>NZ</v>
      </c>
      <c r="F10" s="17">
        <f>IFERROR(INDEX('Starlink countries with data'!$H$6:$H$97,MATCH($A10,'Starlink countries with data'!$B$6:$B$97,0)),"NA")</f>
        <v>42.19</v>
      </c>
      <c r="H10" t="str">
        <f t="shared" si="1"/>
        <v>NZ</v>
      </c>
      <c r="I10" s="21">
        <f t="shared" si="2"/>
        <v>91.95</v>
      </c>
      <c r="J10" s="17">
        <f t="shared" si="3"/>
        <v>42.19</v>
      </c>
    </row>
    <row r="11" spans="1:10" x14ac:dyDescent="0.25">
      <c r="A11" t="str">
        <f>'Starlink countries with data'!B15</f>
        <v>Philippines</v>
      </c>
      <c r="B11" s="20">
        <f>'Starlink countries with data'!E15</f>
        <v>119850000</v>
      </c>
      <c r="C11" s="21">
        <f>'Starlink countries with data'!G15</f>
        <v>44.16</v>
      </c>
      <c r="D11" s="22">
        <f t="shared" si="0"/>
        <v>119.85</v>
      </c>
      <c r="E11" t="str">
        <f>INDEX('starlink countries list'!$A$2:$A$256,MATCH(A11,'starlink countries list'!$B$2:$B$256,0))</f>
        <v>PH</v>
      </c>
      <c r="F11" s="17">
        <f>IFERROR(INDEX('Starlink countries with data'!$H$6:$H$97,MATCH($A11,'Starlink countries with data'!$B$6:$B$97,0)),"NA")</f>
        <v>19.52</v>
      </c>
      <c r="H11" t="str">
        <f t="shared" si="1"/>
        <v>PH</v>
      </c>
      <c r="I11" s="21">
        <f t="shared" si="2"/>
        <v>44.16</v>
      </c>
      <c r="J11" s="17">
        <f t="shared" si="3"/>
        <v>19.52</v>
      </c>
    </row>
    <row r="12" spans="1:10" x14ac:dyDescent="0.25">
      <c r="A12" t="str">
        <f>'Starlink countries with data'!B16</f>
        <v>Singapore</v>
      </c>
      <c r="B12" s="20">
        <f>'Starlink countries with data'!E16</f>
        <v>5860000</v>
      </c>
      <c r="C12" s="21">
        <f>'Starlink countries with data'!G16</f>
        <v>102.13</v>
      </c>
      <c r="D12" s="22">
        <f t="shared" si="0"/>
        <v>5.86</v>
      </c>
      <c r="E12" t="str">
        <f>INDEX('starlink countries list'!$A$2:$A$256,MATCH(A12,'starlink countries list'!$B$2:$B$256,0))</f>
        <v>SG</v>
      </c>
      <c r="F12" s="17">
        <f>IFERROR(INDEX('Starlink countries with data'!$H$6:$H$97,MATCH($A12,'Starlink countries with data'!$B$6:$B$97,0)),"NA")</f>
        <v>26.61</v>
      </c>
      <c r="H12" t="str">
        <f t="shared" si="1"/>
        <v>SG</v>
      </c>
      <c r="I12" s="21">
        <f t="shared" si="2"/>
        <v>102.13</v>
      </c>
      <c r="J12" s="17">
        <f t="shared" si="3"/>
        <v>26.61</v>
      </c>
    </row>
    <row r="13" spans="1:10" x14ac:dyDescent="0.25">
      <c r="A13" t="str">
        <f>'Starlink countries with data'!B17</f>
        <v>Taiwan, Province of China</v>
      </c>
      <c r="B13" s="20">
        <f>'Starlink countries with data'!E17</f>
        <v>23340000</v>
      </c>
      <c r="C13" s="21">
        <f>'Starlink countries with data'!G17</f>
        <v>76.61</v>
      </c>
      <c r="D13" s="22">
        <f t="shared" si="0"/>
        <v>23.34</v>
      </c>
      <c r="E13" t="str">
        <f>INDEX('starlink countries list'!$A$2:$A$256,MATCH(A13,'starlink countries list'!$B$2:$B$256,0))</f>
        <v>TW</v>
      </c>
      <c r="F13" s="17">
        <f>IFERROR(INDEX('Starlink countries with data'!$H$6:$H$97,MATCH($A13,'Starlink countries with data'!$B$6:$B$97,0)),"NA")</f>
        <v>13.12</v>
      </c>
      <c r="H13" t="str">
        <f t="shared" si="1"/>
        <v>TW</v>
      </c>
      <c r="I13" s="21">
        <f t="shared" si="2"/>
        <v>76.61</v>
      </c>
      <c r="J13" s="17">
        <f t="shared" si="3"/>
        <v>13.12</v>
      </c>
    </row>
    <row r="14" spans="1:10" x14ac:dyDescent="0.25">
      <c r="A14" t="str">
        <f>'Starlink countries with data'!B18</f>
        <v>Viet Nam</v>
      </c>
      <c r="B14" s="20">
        <f>'Starlink countries with data'!E18</f>
        <v>101800000</v>
      </c>
      <c r="C14" s="21">
        <f>'Starlink countries with data'!G18</f>
        <v>84.02</v>
      </c>
      <c r="D14" s="22">
        <f t="shared" si="0"/>
        <v>101.8</v>
      </c>
      <c r="E14" t="str">
        <f>INDEX('starlink countries list'!$A$2:$A$256,MATCH(A14,'starlink countries list'!$B$2:$B$256,0))</f>
        <v>VN</v>
      </c>
      <c r="F14" s="17">
        <f>IFERROR(INDEX('Starlink countries with data'!$H$6:$H$97,MATCH($A14,'Starlink countries with data'!$B$6:$B$97,0)),"NA")</f>
        <v>9.2200000000000006</v>
      </c>
      <c r="H14" t="str">
        <f t="shared" si="1"/>
        <v>VN</v>
      </c>
      <c r="I14" s="21">
        <f t="shared" si="2"/>
        <v>84.02</v>
      </c>
      <c r="J14" s="17">
        <f t="shared" si="3"/>
        <v>9.2200000000000006</v>
      </c>
    </row>
    <row r="15" spans="1:10" x14ac:dyDescent="0.25">
      <c r="A15" t="str">
        <f>'Starlink countries with data'!B21</f>
        <v>Bulgaria</v>
      </c>
      <c r="B15" s="20">
        <f>'Starlink countries with data'!E21</f>
        <v>6630000</v>
      </c>
      <c r="C15" s="21">
        <f>'Starlink countries with data'!G21</f>
        <v>93.65</v>
      </c>
      <c r="D15" s="22">
        <f t="shared" si="0"/>
        <v>6.63</v>
      </c>
      <c r="E15" t="str">
        <f>INDEX('starlink countries list'!$A$2:$A$256,MATCH(A15,'starlink countries list'!$B$2:$B$256,0))</f>
        <v>BG</v>
      </c>
      <c r="F15" s="17" t="str">
        <f>IFERROR(INDEX('Starlink countries with data'!$H$6:$H$97,MATCH($A15,'Starlink countries with data'!$B$6:$B$97,0)),"NA")</f>
        <v>NA</v>
      </c>
      <c r="H15" t="str">
        <f>E16</f>
        <v>HR</v>
      </c>
      <c r="I15" s="21">
        <f>C16</f>
        <v>81.66</v>
      </c>
      <c r="J15" s="17">
        <f>F16</f>
        <v>18.11</v>
      </c>
    </row>
    <row r="16" spans="1:10" x14ac:dyDescent="0.25">
      <c r="A16" t="str">
        <f>'Starlink countries with data'!B22</f>
        <v>Croatia</v>
      </c>
      <c r="B16" s="20">
        <f>'Starlink countries with data'!E22</f>
        <v>3940000</v>
      </c>
      <c r="C16" s="21">
        <f>'Starlink countries with data'!G22</f>
        <v>81.66</v>
      </c>
      <c r="D16" s="22">
        <f t="shared" si="0"/>
        <v>3.94</v>
      </c>
      <c r="E16" t="str">
        <f>INDEX('starlink countries list'!$A$2:$A$256,MATCH(A16,'starlink countries list'!$B$2:$B$256,0))</f>
        <v>HR</v>
      </c>
      <c r="F16" s="17">
        <f>IFERROR(INDEX('Starlink countries with data'!$H$6:$H$97,MATCH($A16,'Starlink countries with data'!$B$6:$B$97,0)),"NA")</f>
        <v>18.11</v>
      </c>
      <c r="H16" t="str">
        <f>E22</f>
        <v>PL</v>
      </c>
      <c r="I16" s="21">
        <f>C22</f>
        <v>67.599999999999994</v>
      </c>
      <c r="J16" s="17">
        <f>F22</f>
        <v>12.79</v>
      </c>
    </row>
    <row r="17" spans="1:10" x14ac:dyDescent="0.25">
      <c r="A17" t="str">
        <f>'Starlink countries with data'!B23</f>
        <v>Czechia</v>
      </c>
      <c r="B17" s="20">
        <f>'Starlink countries with data'!E23</f>
        <v>10530000</v>
      </c>
      <c r="C17" s="21">
        <f>'Starlink countries with data'!G23</f>
        <v>80.95</v>
      </c>
      <c r="D17" s="22">
        <f t="shared" si="0"/>
        <v>10.53</v>
      </c>
      <c r="E17" t="str">
        <f>INDEX('starlink countries list'!$A$2:$A$256,MATCH(A17,'starlink countries list'!$B$2:$B$256,0))</f>
        <v>CZ</v>
      </c>
      <c r="F17" s="17" t="str">
        <f>IFERROR(INDEX('Starlink countries with data'!$H$6:$H$97,MATCH($A17,'Starlink countries with data'!$B$6:$B$97,0)),"NA")</f>
        <v>NA</v>
      </c>
      <c r="H17" t="str">
        <f>E28</f>
        <v>AR</v>
      </c>
      <c r="I17" s="21">
        <f>C28</f>
        <v>78.77</v>
      </c>
      <c r="J17" s="17">
        <f>F28</f>
        <v>17.34</v>
      </c>
    </row>
    <row r="18" spans="1:10" x14ac:dyDescent="0.25">
      <c r="A18" t="str">
        <f>'Starlink countries with data'!B24</f>
        <v>Estonia</v>
      </c>
      <c r="B18" s="20">
        <f>'Starlink countries with data'!E24</f>
        <v>1330000</v>
      </c>
      <c r="C18" s="21">
        <f>'Starlink countries with data'!G24</f>
        <v>75.45</v>
      </c>
      <c r="D18" s="22">
        <f t="shared" si="0"/>
        <v>1.33</v>
      </c>
      <c r="E18" t="str">
        <f>INDEX('starlink countries list'!$A$2:$A$256,MATCH(A18,'starlink countries list'!$B$2:$B$256,0))</f>
        <v>EE</v>
      </c>
      <c r="F18" s="17" t="str">
        <f>IFERROR(INDEX('Starlink countries with data'!$H$6:$H$97,MATCH($A18,'Starlink countries with data'!$B$6:$B$97,0)),"NA")</f>
        <v>NA</v>
      </c>
      <c r="H18" t="str">
        <f>E32</f>
        <v>BR</v>
      </c>
      <c r="I18" s="21">
        <f>C32</f>
        <v>65.84</v>
      </c>
      <c r="J18" s="17">
        <f>F32</f>
        <v>17.809999999999999</v>
      </c>
    </row>
    <row r="19" spans="1:10" x14ac:dyDescent="0.25">
      <c r="A19" t="str">
        <f>'Starlink countries with data'!B25</f>
        <v>Hungary</v>
      </c>
      <c r="B19" s="20">
        <f>'Starlink countries with data'!E25</f>
        <v>9590000</v>
      </c>
      <c r="C19" s="21">
        <f>'Starlink countries with data'!G25</f>
        <v>86.79</v>
      </c>
      <c r="D19" s="22">
        <f t="shared" si="0"/>
        <v>9.59</v>
      </c>
      <c r="E19" t="str">
        <f>INDEX('starlink countries list'!$A$2:$A$256,MATCH(A19,'starlink countries list'!$B$2:$B$256,0))</f>
        <v>HU</v>
      </c>
      <c r="F19" s="17" t="str">
        <f>IFERROR(INDEX('Starlink countries with data'!$H$6:$H$97,MATCH($A19,'Starlink countries with data'!$B$6:$B$97,0)),"NA")</f>
        <v>NA</v>
      </c>
      <c r="H19" t="str">
        <f>E33</f>
        <v>CL</v>
      </c>
      <c r="I19" s="21">
        <f>C33</f>
        <v>74.08</v>
      </c>
      <c r="J19" s="17">
        <f>F33</f>
        <v>17.510000000000002</v>
      </c>
    </row>
    <row r="20" spans="1:10" x14ac:dyDescent="0.25">
      <c r="A20" t="str">
        <f>'Starlink countries with data'!B26</f>
        <v>Latvia</v>
      </c>
      <c r="B20" s="20">
        <f>'Starlink countries with data'!E26</f>
        <v>1840000</v>
      </c>
      <c r="C20" s="21">
        <f>'Starlink countries with data'!G26</f>
        <v>56.94</v>
      </c>
      <c r="D20" s="22">
        <f t="shared" si="0"/>
        <v>1.84</v>
      </c>
      <c r="E20" t="str">
        <f>INDEX('starlink countries list'!$A$2:$A$256,MATCH(A20,'starlink countries list'!$B$2:$B$256,0))</f>
        <v>LV</v>
      </c>
      <c r="F20" s="17" t="str">
        <f>IFERROR(INDEX('Starlink countries with data'!$H$6:$H$97,MATCH($A20,'Starlink countries with data'!$B$6:$B$97,0)),"NA")</f>
        <v>NA</v>
      </c>
      <c r="H20" t="str">
        <f>E34</f>
        <v>CO</v>
      </c>
      <c r="I20" s="21">
        <f>C34</f>
        <v>47.11</v>
      </c>
      <c r="J20" s="17">
        <f>F34</f>
        <v>13.09</v>
      </c>
    </row>
    <row r="21" spans="1:10" x14ac:dyDescent="0.25">
      <c r="A21" t="str">
        <f>'Starlink countries with data'!B27</f>
        <v>Lithuania</v>
      </c>
      <c r="B21" s="20">
        <f>'Starlink countries with data'!E27</f>
        <v>2650000</v>
      </c>
      <c r="C21" s="21">
        <f>'Starlink countries with data'!G27</f>
        <v>44.72</v>
      </c>
      <c r="D21" s="22">
        <f t="shared" si="0"/>
        <v>2.65</v>
      </c>
      <c r="E21" t="str">
        <f>INDEX('starlink countries list'!$A$2:$A$256,MATCH(A21,'starlink countries list'!$B$2:$B$256,0))</f>
        <v>LT</v>
      </c>
      <c r="F21" s="17" t="str">
        <f>IFERROR(INDEX('Starlink countries with data'!$H$6:$H$97,MATCH($A21,'Starlink countries with data'!$B$6:$B$97,0)),"NA")</f>
        <v>NA</v>
      </c>
      <c r="H21" t="str">
        <f>E35</f>
        <v>CR</v>
      </c>
      <c r="I21" s="21">
        <f>C35</f>
        <v>82.56</v>
      </c>
      <c r="J21" s="17">
        <f>F35</f>
        <v>29.56</v>
      </c>
    </row>
    <row r="22" spans="1:10" x14ac:dyDescent="0.25">
      <c r="A22" t="str">
        <f>'Starlink countries with data'!B28</f>
        <v>Poland</v>
      </c>
      <c r="B22" s="20">
        <f>'Starlink countries with data'!E28</f>
        <v>37420000</v>
      </c>
      <c r="C22" s="21">
        <f>'Starlink countries with data'!G28</f>
        <v>67.599999999999994</v>
      </c>
      <c r="D22" s="22">
        <f t="shared" si="0"/>
        <v>37.42</v>
      </c>
      <c r="E22" t="str">
        <f>INDEX('starlink countries list'!$A$2:$A$256,MATCH(A22,'starlink countries list'!$B$2:$B$256,0))</f>
        <v>PL</v>
      </c>
      <c r="F22" s="17">
        <f>IFERROR(INDEX('Starlink countries with data'!$H$6:$H$97,MATCH($A22,'Starlink countries with data'!$B$6:$B$97,0)),"NA")</f>
        <v>12.79</v>
      </c>
      <c r="H22" t="str">
        <f>E36</f>
        <v>DO</v>
      </c>
      <c r="I22" s="21">
        <f>C36</f>
        <v>37.35</v>
      </c>
      <c r="J22" s="17">
        <f>F36</f>
        <v>18.97</v>
      </c>
    </row>
    <row r="23" spans="1:10" x14ac:dyDescent="0.25">
      <c r="A23" t="str">
        <f>'Starlink countries with data'!B29</f>
        <v>Romania</v>
      </c>
      <c r="B23" s="20">
        <f>'Starlink countries with data'!E29</f>
        <v>18800000</v>
      </c>
      <c r="C23" s="21">
        <f>'Starlink countries with data'!G29</f>
        <v>89.83</v>
      </c>
      <c r="D23" s="22">
        <f t="shared" si="0"/>
        <v>18.8</v>
      </c>
      <c r="E23" t="str">
        <f>INDEX('starlink countries list'!$A$2:$A$256,MATCH(A23,'starlink countries list'!$B$2:$B$256,0))</f>
        <v>RO</v>
      </c>
      <c r="F23" s="17" t="str">
        <f>IFERROR(INDEX('Starlink countries with data'!$H$6:$H$97,MATCH($A23,'Starlink countries with data'!$B$6:$B$97,0)),"NA")</f>
        <v>NA</v>
      </c>
      <c r="H23" t="str">
        <f>E39</f>
        <v>GT</v>
      </c>
      <c r="I23" s="21">
        <f>C39</f>
        <v>27.02</v>
      </c>
      <c r="J23" s="17">
        <f>F39</f>
        <v>20.309999999999999</v>
      </c>
    </row>
    <row r="24" spans="1:10" x14ac:dyDescent="0.25">
      <c r="A24" t="str">
        <f>'Starlink countries with data'!B30</f>
        <v>Serbia</v>
      </c>
      <c r="B24" s="20">
        <f>'Starlink countries with data'!E30</f>
        <v>6490000</v>
      </c>
      <c r="C24" s="21">
        <f>'Starlink countries with data'!G30</f>
        <v>89.3</v>
      </c>
      <c r="D24" s="22">
        <f t="shared" si="0"/>
        <v>6.49</v>
      </c>
      <c r="E24" t="str">
        <f>INDEX('starlink countries list'!$A$2:$A$256,MATCH(A24,'starlink countries list'!$B$2:$B$256,0))</f>
        <v>RS</v>
      </c>
      <c r="F24" s="17" t="str">
        <f>IFERROR(INDEX('Starlink countries with data'!$H$6:$H$97,MATCH($A24,'Starlink countries with data'!$B$6:$B$97,0)),"NA")</f>
        <v>NA</v>
      </c>
      <c r="H24" t="str">
        <f>E42</f>
        <v>MX</v>
      </c>
      <c r="I24" s="21">
        <f>C42</f>
        <v>72.19</v>
      </c>
      <c r="J24" s="17">
        <f>F42</f>
        <v>23.15</v>
      </c>
    </row>
    <row r="25" spans="1:10" x14ac:dyDescent="0.25">
      <c r="A25" t="str">
        <f>'Starlink countries with data'!B31</f>
        <v>Slovakia</v>
      </c>
      <c r="B25" s="20">
        <f>'Starlink countries with data'!E31</f>
        <v>5440000</v>
      </c>
      <c r="C25" s="21">
        <f>'Starlink countries with data'!G31</f>
        <v>97.15</v>
      </c>
      <c r="D25" s="22">
        <f t="shared" si="0"/>
        <v>5.44</v>
      </c>
      <c r="E25" t="str">
        <f>INDEX('starlink countries list'!$A$2:$A$256,MATCH(A25,'starlink countries list'!$B$2:$B$256,0))</f>
        <v>SK</v>
      </c>
      <c r="F25" s="17">
        <f>IFERROR(INDEX('Starlink countries with data'!$H$6:$H$97,MATCH($A25,'Starlink countries with data'!$B$6:$B$97,0)),"NA")</f>
        <v>0</v>
      </c>
      <c r="H25" t="str">
        <f>E44</f>
        <v>PA</v>
      </c>
      <c r="I25" s="21">
        <f>C44</f>
        <v>55.01</v>
      </c>
      <c r="J25" s="17">
        <f>F44</f>
        <v>33.74</v>
      </c>
    </row>
    <row r="26" spans="1:10" x14ac:dyDescent="0.25">
      <c r="A26" t="str">
        <f>'Starlink countries with data'!B32</f>
        <v>Slovenia</v>
      </c>
      <c r="B26" s="20">
        <f>'Starlink countries with data'!E32</f>
        <v>2120000</v>
      </c>
      <c r="C26" s="21">
        <f>'Starlink countries with data'!G32</f>
        <v>89.73</v>
      </c>
      <c r="D26" s="22">
        <f t="shared" si="0"/>
        <v>2.12</v>
      </c>
      <c r="E26" t="str">
        <f>INDEX('starlink countries list'!$A$2:$A$256,MATCH(A26,'starlink countries list'!$B$2:$B$256,0))</f>
        <v>SI</v>
      </c>
      <c r="F26" s="17" t="str">
        <f>IFERROR(INDEX('Starlink countries with data'!$H$6:$H$97,MATCH($A26,'Starlink countries with data'!$B$6:$B$97,0)),"NA")</f>
        <v>NA</v>
      </c>
      <c r="H26" t="str">
        <f>E46</f>
        <v>PE</v>
      </c>
      <c r="I26" s="21">
        <f>C46</f>
        <v>42.96</v>
      </c>
      <c r="J26" s="17">
        <f>F46</f>
        <v>22.41</v>
      </c>
    </row>
    <row r="27" spans="1:10" x14ac:dyDescent="0.25">
      <c r="A27" t="str">
        <f>'Starlink countries with data'!B33</f>
        <v>Türkiye</v>
      </c>
      <c r="B27" s="20">
        <f>'Starlink countries with data'!E33</f>
        <v>87930000</v>
      </c>
      <c r="C27" s="21">
        <f>'Starlink countries with data'!G33</f>
        <v>82.44</v>
      </c>
      <c r="D27" s="22">
        <f t="shared" si="0"/>
        <v>87.93</v>
      </c>
      <c r="E27" t="str">
        <f>INDEX('starlink countries list'!$A$2:$A$256,MATCH("T*rkiye",'starlink countries list'!$B$2:$B$256,0))</f>
        <v>TR</v>
      </c>
      <c r="F27" s="17" t="str">
        <f>IFERROR(INDEX('Starlink countries with data'!$H$6:$H$97,MATCH($A27,'Starlink countries with data'!$B$6:$B$97,0)),"NA")</f>
        <v>NA</v>
      </c>
      <c r="H27" t="str">
        <f>E48</f>
        <v>TT</v>
      </c>
      <c r="I27" s="21">
        <f>C48</f>
        <v>80.400000000000006</v>
      </c>
      <c r="J27" s="17">
        <f>F48</f>
        <v>32.380000000000003</v>
      </c>
    </row>
    <row r="28" spans="1:10" x14ac:dyDescent="0.25">
      <c r="A28" t="str">
        <f>'Starlink countries with data'!B36</f>
        <v>Argentina</v>
      </c>
      <c r="B28" s="20">
        <f>'Starlink countries with data'!E36</f>
        <v>46000000</v>
      </c>
      <c r="C28" s="21">
        <f>'Starlink countries with data'!G36</f>
        <v>78.77</v>
      </c>
      <c r="D28" s="22">
        <f t="shared" si="0"/>
        <v>46</v>
      </c>
      <c r="E28" t="str">
        <f>INDEX('starlink countries list'!$A$2:$A$256,MATCH(A28,'starlink countries list'!$B$2:$B$256,0))</f>
        <v>AR</v>
      </c>
      <c r="F28" s="17">
        <f>IFERROR(INDEX('Starlink countries with data'!$H$6:$H$97,MATCH($A28,'Starlink countries with data'!$B$6:$B$97,0)),"NA")</f>
        <v>17.34</v>
      </c>
      <c r="H28" t="str">
        <f t="shared" ref="H28:H45" si="4">E64</f>
        <v>CA</v>
      </c>
      <c r="I28" s="21">
        <f t="shared" ref="I28:I45" si="5">C64</f>
        <v>94.69</v>
      </c>
      <c r="J28" s="17">
        <f t="shared" ref="J28:J45" si="6">F64</f>
        <v>54.01</v>
      </c>
    </row>
    <row r="29" spans="1:10" x14ac:dyDescent="0.25">
      <c r="A29" t="str">
        <f>'Starlink countries with data'!B37</f>
        <v>Bahamas</v>
      </c>
      <c r="B29" s="20">
        <f>'Starlink countries with data'!E37</f>
        <v>429905</v>
      </c>
      <c r="C29" s="21">
        <f>'Starlink countries with data'!G37</f>
        <v>59.54</v>
      </c>
      <c r="D29" s="22">
        <f t="shared" si="0"/>
        <v>0.42990499999999998</v>
      </c>
      <c r="E29" t="str">
        <f>INDEX('starlink countries list'!$A$2:$A$256,MATCH(A29,'starlink countries list'!$B$2:$B$256,0))</f>
        <v>BS</v>
      </c>
      <c r="F29" s="17" t="str">
        <f>IFERROR(INDEX('Starlink countries with data'!$H$6:$H$97,MATCH($A29,'Starlink countries with data'!$B$6:$B$97,0)),"NA")</f>
        <v>NA</v>
      </c>
      <c r="H29" t="str">
        <f t="shared" si="4"/>
        <v>US</v>
      </c>
      <c r="I29" s="21">
        <f t="shared" si="5"/>
        <v>92.48</v>
      </c>
      <c r="J29" s="17">
        <f t="shared" si="6"/>
        <v>66.349999999999994</v>
      </c>
    </row>
    <row r="30" spans="1:10" x14ac:dyDescent="0.25">
      <c r="A30" t="str">
        <f>'Starlink countries with data'!B38</f>
        <v>Barbados</v>
      </c>
      <c r="B30" s="20">
        <f>'Starlink countries with data'!E38</f>
        <v>291453</v>
      </c>
      <c r="C30" s="21">
        <f>'Starlink countries with data'!G38</f>
        <v>86.64</v>
      </c>
      <c r="D30" s="22">
        <f t="shared" si="0"/>
        <v>0.29145300000000002</v>
      </c>
      <c r="E30" t="str">
        <f>INDEX('starlink countries list'!$A$2:$A$256,MATCH(A30,'starlink countries list'!$B$2:$B$256,0))</f>
        <v>BB</v>
      </c>
      <c r="F30" s="17" t="str">
        <f>IFERROR(INDEX('Starlink countries with data'!$H$6:$H$97,MATCH($A30,'Starlink countries with data'!$B$6:$B$97,0)),"NA")</f>
        <v>NA</v>
      </c>
      <c r="H30" t="str">
        <f t="shared" si="4"/>
        <v>AT</v>
      </c>
      <c r="I30" s="21">
        <f t="shared" si="5"/>
        <v>63.46</v>
      </c>
      <c r="J30" s="17">
        <f t="shared" si="6"/>
        <v>44.92</v>
      </c>
    </row>
    <row r="31" spans="1:10" x14ac:dyDescent="0.25">
      <c r="A31" t="str">
        <f>'Starlink countries with data'!B39</f>
        <v>Bolivia, Plurinational State of</v>
      </c>
      <c r="B31" s="20">
        <f>'Starlink countries with data'!E39</f>
        <v>12630000</v>
      </c>
      <c r="C31" s="21">
        <f>'Starlink countries with data'!G39</f>
        <v>37.15</v>
      </c>
      <c r="D31" s="22">
        <f t="shared" si="0"/>
        <v>12.63</v>
      </c>
      <c r="E31" t="str">
        <f>INDEX('starlink countries list'!$A$2:$A$256,MATCH(A31,'starlink countries list'!$B$2:$B$256,0))</f>
        <v>BO</v>
      </c>
      <c r="F31" s="17" t="str">
        <f>IFERROR(INDEX('Starlink countries with data'!$H$6:$H$97,MATCH($A31,'Starlink countries with data'!$B$6:$B$97,0)),"NA")</f>
        <v>NA</v>
      </c>
      <c r="H31" t="str">
        <f t="shared" si="4"/>
        <v>BE</v>
      </c>
      <c r="I31" s="21">
        <f t="shared" si="5"/>
        <v>89.45</v>
      </c>
      <c r="J31" s="17">
        <f t="shared" si="6"/>
        <v>43.41</v>
      </c>
    </row>
    <row r="32" spans="1:10" x14ac:dyDescent="0.25">
      <c r="A32" t="str">
        <f>'Starlink countries with data'!B40</f>
        <v>Brazil</v>
      </c>
      <c r="B32" s="20">
        <f>'Starlink countries with data'!E40</f>
        <v>213560000</v>
      </c>
      <c r="C32" s="21">
        <f>'Starlink countries with data'!G40</f>
        <v>65.84</v>
      </c>
      <c r="D32" s="22">
        <f t="shared" si="0"/>
        <v>213.56</v>
      </c>
      <c r="E32" t="str">
        <f>INDEX('starlink countries list'!$A$2:$A$256,MATCH(A32,'starlink countries list'!$B$2:$B$256,0))</f>
        <v>BR</v>
      </c>
      <c r="F32" s="17">
        <f>IFERROR(INDEX('Starlink countries with data'!$H$6:$H$97,MATCH($A32,'Starlink countries with data'!$B$6:$B$97,0)),"NA")</f>
        <v>17.809999999999999</v>
      </c>
      <c r="H32" t="str">
        <f t="shared" si="4"/>
        <v>DK</v>
      </c>
      <c r="I32" s="21">
        <f t="shared" si="5"/>
        <v>90.85</v>
      </c>
      <c r="J32" s="17">
        <f t="shared" si="6"/>
        <v>34.97</v>
      </c>
    </row>
    <row r="33" spans="1:10" x14ac:dyDescent="0.25">
      <c r="A33" t="str">
        <f>'Starlink countries with data'!B41</f>
        <v>Chile</v>
      </c>
      <c r="B33" s="20">
        <f>'Starlink countries with data'!E41</f>
        <v>19950000</v>
      </c>
      <c r="C33" s="21">
        <f>'Starlink countries with data'!G41</f>
        <v>74.08</v>
      </c>
      <c r="D33" s="22">
        <f t="shared" si="0"/>
        <v>19.95</v>
      </c>
      <c r="E33" t="str">
        <f>INDEX('starlink countries list'!$A$2:$A$256,MATCH(A33,'starlink countries list'!$B$2:$B$256,0))</f>
        <v>CL</v>
      </c>
      <c r="F33" s="17">
        <f>IFERROR(INDEX('Starlink countries with data'!$H$6:$H$97,MATCH($A33,'Starlink countries with data'!$B$6:$B$97,0)),"NA")</f>
        <v>17.510000000000002</v>
      </c>
      <c r="H33" t="str">
        <f t="shared" si="4"/>
        <v>FI</v>
      </c>
      <c r="I33" s="21">
        <f t="shared" si="5"/>
        <v>70.8</v>
      </c>
      <c r="J33" s="17">
        <f t="shared" si="6"/>
        <v>34.51</v>
      </c>
    </row>
    <row r="34" spans="1:10" x14ac:dyDescent="0.25">
      <c r="A34" t="str">
        <f>'Starlink countries with data'!B42</f>
        <v>Colombia</v>
      </c>
      <c r="B34" s="20">
        <f>'Starlink countries with data'!E42</f>
        <v>52900000</v>
      </c>
      <c r="C34" s="21">
        <f>'Starlink countries with data'!G42</f>
        <v>47.11</v>
      </c>
      <c r="D34" s="22">
        <f t="shared" ref="D34:D65" si="7">B34/1000000</f>
        <v>52.9</v>
      </c>
      <c r="E34" t="str">
        <f>INDEX('starlink countries list'!$A$2:$A$256,MATCH(A34,'starlink countries list'!$B$2:$B$256,0))</f>
        <v>CO</v>
      </c>
      <c r="F34" s="17">
        <f>IFERROR(INDEX('Starlink countries with data'!$H$6:$H$97,MATCH($A34,'Starlink countries with data'!$B$6:$B$97,0)),"NA")</f>
        <v>13.09</v>
      </c>
      <c r="H34" t="str">
        <f t="shared" si="4"/>
        <v>FR</v>
      </c>
      <c r="I34" s="21">
        <f t="shared" si="5"/>
        <v>101.07</v>
      </c>
      <c r="J34" s="17">
        <f t="shared" si="6"/>
        <v>24.18</v>
      </c>
    </row>
    <row r="35" spans="1:10" x14ac:dyDescent="0.25">
      <c r="A35" t="str">
        <f>'Starlink countries with data'!B43</f>
        <v>Costa Rica</v>
      </c>
      <c r="B35" s="20">
        <f>'Starlink countries with data'!E43</f>
        <v>5170000</v>
      </c>
      <c r="C35" s="21">
        <f>'Starlink countries with data'!G43</f>
        <v>82.56</v>
      </c>
      <c r="D35" s="22">
        <f t="shared" si="7"/>
        <v>5.17</v>
      </c>
      <c r="E35" t="str">
        <f>INDEX('starlink countries list'!$A$2:$A$256,MATCH(A35,'starlink countries list'!$B$2:$B$256,0))</f>
        <v>CR</v>
      </c>
      <c r="F35" s="17">
        <f>IFERROR(INDEX('Starlink countries with data'!$H$6:$H$97,MATCH($A35,'Starlink countries with data'!$B$6:$B$97,0)),"NA")</f>
        <v>29.56</v>
      </c>
      <c r="H35" t="str">
        <f t="shared" si="4"/>
        <v>DE</v>
      </c>
      <c r="I35" s="21">
        <f t="shared" si="5"/>
        <v>94.79</v>
      </c>
      <c r="J35" s="17">
        <f t="shared" si="6"/>
        <v>30.23</v>
      </c>
    </row>
    <row r="36" spans="1:10" x14ac:dyDescent="0.25">
      <c r="A36" t="str">
        <f>'Starlink countries with data'!B44</f>
        <v>Dominican Republic</v>
      </c>
      <c r="B36" s="20">
        <f>'Starlink countries with data'!E44</f>
        <v>10954360</v>
      </c>
      <c r="C36" s="21">
        <f>'Starlink countries with data'!G44</f>
        <v>37.35</v>
      </c>
      <c r="D36" s="22">
        <f t="shared" si="7"/>
        <v>10.954359999999999</v>
      </c>
      <c r="E36" t="str">
        <f>INDEX('starlink countries list'!$A$2:$A$256,MATCH(A36,'starlink countries list'!$B$2:$B$256,0))</f>
        <v>DO</v>
      </c>
      <c r="F36" s="17">
        <f>IFERROR(INDEX('Starlink countries with data'!$H$6:$H$97,MATCH($A36,'Starlink countries with data'!$B$6:$B$97,0)),"NA")</f>
        <v>18.97</v>
      </c>
      <c r="H36" t="str">
        <f t="shared" si="4"/>
        <v>GR</v>
      </c>
      <c r="I36" s="21">
        <f t="shared" si="5"/>
        <v>108.58</v>
      </c>
      <c r="J36" s="17">
        <f t="shared" si="6"/>
        <v>25.68</v>
      </c>
    </row>
    <row r="37" spans="1:10" x14ac:dyDescent="0.25">
      <c r="A37" t="str">
        <f>'Starlink countries with data'!B45</f>
        <v>Ecuador</v>
      </c>
      <c r="B37" s="20">
        <f>'Starlink countries with data'!E45</f>
        <v>18440</v>
      </c>
      <c r="C37" s="21">
        <f>'Starlink countries with data'!G45</f>
        <v>63.59</v>
      </c>
      <c r="D37" s="22">
        <f t="shared" si="7"/>
        <v>1.8440000000000002E-2</v>
      </c>
      <c r="E37" t="str">
        <f>INDEX('starlink countries list'!$A$2:$A$256,MATCH(A37,'starlink countries list'!$B$2:$B$256,0))</f>
        <v>EC</v>
      </c>
      <c r="F37" s="17" t="str">
        <f>IFERROR(INDEX('Starlink countries with data'!$H$6:$H$97,MATCH($A37,'Starlink countries with data'!$B$6:$B$97,0)),"NA")</f>
        <v>NA</v>
      </c>
      <c r="H37" t="str">
        <f t="shared" si="4"/>
        <v>IE</v>
      </c>
      <c r="I37" s="21">
        <f t="shared" si="5"/>
        <v>76.25</v>
      </c>
      <c r="J37" s="17">
        <f t="shared" si="6"/>
        <v>42.18</v>
      </c>
    </row>
    <row r="38" spans="1:10" x14ac:dyDescent="0.25">
      <c r="A38" t="str">
        <f>'Starlink countries with data'!B46</f>
        <v>El Salvador</v>
      </c>
      <c r="B38" s="20">
        <f>'Starlink countries with data'!E46</f>
        <v>6390000</v>
      </c>
      <c r="C38" s="21">
        <f>'Starlink countries with data'!G46</f>
        <v>36.44</v>
      </c>
      <c r="D38" s="22">
        <f t="shared" si="7"/>
        <v>6.39</v>
      </c>
      <c r="E38" t="str">
        <f>INDEX('starlink countries list'!$A$2:$A$256,MATCH(A38,'starlink countries list'!$B$2:$B$256,0))</f>
        <v>SV</v>
      </c>
      <c r="F38" s="17" t="str">
        <f>IFERROR(INDEX('Starlink countries with data'!$H$6:$H$97,MATCH($A38,'Starlink countries with data'!$B$6:$B$97,0)),"NA")</f>
        <v>NA</v>
      </c>
      <c r="H38" t="str">
        <f t="shared" si="4"/>
        <v>IT</v>
      </c>
      <c r="I38" s="21">
        <f t="shared" si="5"/>
        <v>65.22</v>
      </c>
      <c r="J38" s="17">
        <f t="shared" si="6"/>
        <v>23.24</v>
      </c>
    </row>
    <row r="39" spans="1:10" x14ac:dyDescent="0.25">
      <c r="A39" t="str">
        <f>'Starlink countries with data'!B47</f>
        <v>Guatemala</v>
      </c>
      <c r="B39" s="20">
        <f>'Starlink countries with data'!E47</f>
        <v>18970000</v>
      </c>
      <c r="C39" s="21">
        <f>'Starlink countries with data'!G47</f>
        <v>27.02</v>
      </c>
      <c r="D39" s="22">
        <f t="shared" si="7"/>
        <v>18.97</v>
      </c>
      <c r="E39" t="str">
        <f>INDEX('starlink countries list'!$A$2:$A$256,MATCH(A39,'starlink countries list'!$B$2:$B$256,0))</f>
        <v>GT</v>
      </c>
      <c r="F39" s="17">
        <f>IFERROR(INDEX('Starlink countries with data'!$H$6:$H$97,MATCH($A39,'Starlink countries with data'!$B$6:$B$97,0)),"NA")</f>
        <v>20.309999999999999</v>
      </c>
      <c r="H39" t="str">
        <f t="shared" si="4"/>
        <v>NL</v>
      </c>
      <c r="I39" s="21">
        <f t="shared" si="5"/>
        <v>92.05</v>
      </c>
      <c r="J39" s="17">
        <f t="shared" si="6"/>
        <v>32.299999999999997</v>
      </c>
    </row>
    <row r="40" spans="1:10" x14ac:dyDescent="0.25">
      <c r="A40" t="str">
        <f>'Starlink countries with data'!B48</f>
        <v>Honduras</v>
      </c>
      <c r="B40" s="20">
        <f>'Starlink countries with data'!E48</f>
        <v>10741653</v>
      </c>
      <c r="C40" s="21">
        <f>'Starlink countries with data'!G48</f>
        <v>26.38</v>
      </c>
      <c r="D40" s="22">
        <f t="shared" si="7"/>
        <v>10.741652999999999</v>
      </c>
      <c r="E40" t="str">
        <f>INDEX('starlink countries list'!$A$2:$A$256,MATCH(A40,'starlink countries list'!$B$2:$B$256,0))</f>
        <v>HN</v>
      </c>
      <c r="F40" s="17" t="str">
        <f>IFERROR(INDEX('Starlink countries with data'!$H$6:$H$97,MATCH($A40,'Starlink countries with data'!$B$6:$B$97,0)),"NA")</f>
        <v>NA</v>
      </c>
      <c r="H40" t="str">
        <f t="shared" si="4"/>
        <v>NO</v>
      </c>
      <c r="I40" s="21">
        <f t="shared" si="5"/>
        <v>96.03</v>
      </c>
      <c r="J40" s="17">
        <f t="shared" si="6"/>
        <v>36.15</v>
      </c>
    </row>
    <row r="41" spans="1:10" x14ac:dyDescent="0.25">
      <c r="A41" t="str">
        <f>'Starlink countries with data'!B49</f>
        <v>Jamaica</v>
      </c>
      <c r="B41" s="20">
        <f>'Starlink countries with data'!E49</f>
        <v>2706848</v>
      </c>
      <c r="C41" s="21">
        <f>'Starlink countries with data'!G49</f>
        <v>47.61</v>
      </c>
      <c r="D41" s="22">
        <f t="shared" si="7"/>
        <v>2.7068479999999999</v>
      </c>
      <c r="E41" t="str">
        <f>INDEX('starlink countries list'!$A$2:$A$256,MATCH(A41,'starlink countries list'!$B$2:$B$256,0))</f>
        <v>JM</v>
      </c>
      <c r="F41" s="17" t="str">
        <f>IFERROR(INDEX('Starlink countries with data'!$H$6:$H$97,MATCH($A41,'Starlink countries with data'!$B$6:$B$97,0)),"NA")</f>
        <v>NA</v>
      </c>
      <c r="H41" t="str">
        <f t="shared" si="4"/>
        <v>PT</v>
      </c>
      <c r="I41" s="21">
        <f t="shared" si="5"/>
        <v>93.09</v>
      </c>
      <c r="J41" s="17">
        <f t="shared" si="6"/>
        <v>27.96</v>
      </c>
    </row>
    <row r="42" spans="1:10" x14ac:dyDescent="0.25">
      <c r="A42" t="str">
        <f>'Starlink countries with data'!B50</f>
        <v>Mexico</v>
      </c>
      <c r="B42" s="20">
        <f>'Starlink countries with data'!E50</f>
        <v>133000000</v>
      </c>
      <c r="C42" s="21">
        <f>'Starlink countries with data'!G50</f>
        <v>72.19</v>
      </c>
      <c r="D42" s="22">
        <f t="shared" si="7"/>
        <v>133</v>
      </c>
      <c r="E42" t="str">
        <f>INDEX('starlink countries list'!$A$2:$A$256,MATCH(A42,'starlink countries list'!$B$2:$B$256,0))</f>
        <v>MX</v>
      </c>
      <c r="F42" s="17">
        <f>IFERROR(INDEX('Starlink countries with data'!$H$6:$H$97,MATCH($A42,'Starlink countries with data'!$B$6:$B$97,0)),"NA")</f>
        <v>23.15</v>
      </c>
      <c r="H42" t="str">
        <f t="shared" si="4"/>
        <v>ES</v>
      </c>
      <c r="I42" s="21">
        <f t="shared" si="5"/>
        <v>85.23</v>
      </c>
      <c r="J42" s="17">
        <f t="shared" si="6"/>
        <v>25.55</v>
      </c>
    </row>
    <row r="43" spans="1:10" x14ac:dyDescent="0.25">
      <c r="A43" t="str">
        <f>'Starlink countries with data'!B51</f>
        <v>Nicaragua</v>
      </c>
      <c r="B43" s="20">
        <f>'Starlink countries with data'!E51</f>
        <v>7069293</v>
      </c>
      <c r="C43" s="21">
        <f>'Starlink countries with data'!G51</f>
        <v>25.93</v>
      </c>
      <c r="D43" s="22">
        <f t="shared" si="7"/>
        <v>7.069293</v>
      </c>
      <c r="E43" t="str">
        <f>INDEX('starlink countries list'!$A$2:$A$256,MATCH(A43,'starlink countries list'!$B$2:$B$256,0))</f>
        <v>NI</v>
      </c>
      <c r="F43" s="17" t="str">
        <f>IFERROR(INDEX('Starlink countries with data'!$H$6:$H$97,MATCH($A43,'Starlink countries with data'!$B$6:$B$97,0)),"NA")</f>
        <v>NA</v>
      </c>
      <c r="H43" t="str">
        <f t="shared" si="4"/>
        <v>SE</v>
      </c>
      <c r="I43" s="21">
        <f t="shared" si="5"/>
        <v>90.39</v>
      </c>
      <c r="J43" s="17">
        <f t="shared" si="6"/>
        <v>22.7</v>
      </c>
    </row>
    <row r="44" spans="1:10" x14ac:dyDescent="0.25">
      <c r="A44" t="str">
        <f>'Starlink countries with data'!B52</f>
        <v>Panama</v>
      </c>
      <c r="B44" s="20">
        <f>'Starlink countries with data'!E52</f>
        <v>4726701</v>
      </c>
      <c r="C44" s="21">
        <f>'Starlink countries with data'!G52</f>
        <v>55.01</v>
      </c>
      <c r="D44" s="22">
        <f t="shared" si="7"/>
        <v>4.7267010000000003</v>
      </c>
      <c r="E44" t="str">
        <f>INDEX('starlink countries list'!$A$2:$A$256,MATCH(A44,'starlink countries list'!$B$2:$B$256,0))</f>
        <v>PA</v>
      </c>
      <c r="F44" s="17">
        <f>IFERROR(INDEX('Starlink countries with data'!$H$6:$H$97,MATCH($A44,'Starlink countries with data'!$B$6:$B$97,0)),"NA")</f>
        <v>33.74</v>
      </c>
      <c r="H44" t="str">
        <f t="shared" si="4"/>
        <v>CH</v>
      </c>
      <c r="I44" s="21">
        <f t="shared" si="5"/>
        <v>101.62</v>
      </c>
      <c r="J44" s="17">
        <f t="shared" si="6"/>
        <v>48.9</v>
      </c>
    </row>
    <row r="45" spans="1:10" x14ac:dyDescent="0.25">
      <c r="A45" t="str">
        <f>'Starlink countries with data'!B53</f>
        <v>Paraguay</v>
      </c>
      <c r="B45" s="20">
        <f>'Starlink countries with data'!E53</f>
        <v>7670000</v>
      </c>
      <c r="C45" s="21">
        <f>'Starlink countries with data'!G53</f>
        <v>46.98</v>
      </c>
      <c r="D45" s="22">
        <f t="shared" si="7"/>
        <v>7.67</v>
      </c>
      <c r="E45" t="str">
        <f>INDEX('starlink countries list'!$A$2:$A$256,MATCH(A45,'starlink countries list'!$B$2:$B$256,0))</f>
        <v>PY</v>
      </c>
      <c r="F45" s="17" t="str">
        <f>IFERROR(INDEX('Starlink countries with data'!$H$6:$H$97,MATCH($A45,'Starlink countries with data'!$B$6:$B$97,0)),"NA")</f>
        <v>NA</v>
      </c>
      <c r="H45" t="str">
        <f t="shared" si="4"/>
        <v>GB</v>
      </c>
      <c r="I45" s="21">
        <f t="shared" si="5"/>
        <v>99.55</v>
      </c>
      <c r="J45" s="17">
        <f t="shared" si="6"/>
        <v>34.340000000000003</v>
      </c>
    </row>
    <row r="46" spans="1:10" x14ac:dyDescent="0.25">
      <c r="A46" t="str">
        <f>'Starlink countries with data'!B54</f>
        <v>Peru</v>
      </c>
      <c r="B46" s="20">
        <f>'Starlink countries with data'!E54</f>
        <v>35350000</v>
      </c>
      <c r="C46" s="21">
        <f>'Starlink countries with data'!G54</f>
        <v>42.96</v>
      </c>
      <c r="D46" s="22">
        <f t="shared" si="7"/>
        <v>35.35</v>
      </c>
      <c r="E46" t="str">
        <f>INDEX('starlink countries list'!$A$2:$A$256,MATCH(A46,'starlink countries list'!$B$2:$B$256,0))</f>
        <v>PE</v>
      </c>
      <c r="F46" s="17">
        <f>IFERROR(INDEX('Starlink countries with data'!$H$6:$H$97,MATCH($A46,'Starlink countries with data'!$B$6:$B$97,0)),"NA")</f>
        <v>22.41</v>
      </c>
    </row>
    <row r="47" spans="1:10" x14ac:dyDescent="0.25">
      <c r="A47" t="str">
        <f>'Starlink countries with data'!B55</f>
        <v>Puerto Rico</v>
      </c>
      <c r="B47" s="20">
        <f>'Starlink countries with data'!E55</f>
        <v>2934892</v>
      </c>
      <c r="C47" s="21">
        <f>'Starlink countries with data'!G55</f>
        <v>69.239999999999995</v>
      </c>
      <c r="D47" s="22">
        <f t="shared" si="7"/>
        <v>2.9348920000000001</v>
      </c>
      <c r="E47" t="str">
        <f>INDEX('starlink countries list'!$A$2:$A$256,MATCH(A47,'starlink countries list'!$B$2:$B$256,0))</f>
        <v>PR</v>
      </c>
      <c r="F47" s="17" t="str">
        <f>IFERROR(INDEX('Starlink countries with data'!$H$6:$H$97,MATCH($A47,'Starlink countries with data'!$B$6:$B$97,0)),"NA")</f>
        <v>NA</v>
      </c>
    </row>
    <row r="48" spans="1:10" x14ac:dyDescent="0.25">
      <c r="A48" t="str">
        <f>'Starlink countries with data'!B56</f>
        <v>Trinidad and Tobago</v>
      </c>
      <c r="B48" s="20">
        <f>'Starlink countries with data'!E56</f>
        <v>1415646</v>
      </c>
      <c r="C48" s="21">
        <f>'Starlink countries with data'!G56</f>
        <v>80.400000000000006</v>
      </c>
      <c r="D48" s="22">
        <f t="shared" si="7"/>
        <v>1.415646</v>
      </c>
      <c r="E48" t="str">
        <f>INDEX('starlink countries list'!$A$2:$A$256,MATCH(A48,'starlink countries list'!$B$2:$B$256,0))</f>
        <v>TT</v>
      </c>
      <c r="F48" s="17">
        <f>IFERROR(INDEX('Starlink countries with data'!$H$6:$H$97,MATCH($A48,'Starlink countries with data'!$B$6:$B$97,0)),"NA")</f>
        <v>32.380000000000003</v>
      </c>
    </row>
    <row r="49" spans="1:6" x14ac:dyDescent="0.25">
      <c r="A49" t="str">
        <f>'Starlink countries with data'!B57</f>
        <v>Uruguay</v>
      </c>
      <c r="B49" s="20">
        <f>'Starlink countries with data'!E57</f>
        <v>3380000</v>
      </c>
      <c r="C49" s="21">
        <f>'Starlink countries with data'!G57</f>
        <v>90.91</v>
      </c>
      <c r="D49" s="22">
        <f t="shared" si="7"/>
        <v>3.38</v>
      </c>
      <c r="E49" t="str">
        <f>INDEX('starlink countries list'!$A$2:$A$256,MATCH(A49,'starlink countries list'!$B$2:$B$256,0))</f>
        <v>UY</v>
      </c>
      <c r="F49" s="17" t="str">
        <f>IFERROR(INDEX('Starlink countries with data'!$H$6:$H$97,MATCH($A49,'Starlink countries with data'!$B$6:$B$97,0)),"NA")</f>
        <v>NA</v>
      </c>
    </row>
    <row r="50" spans="1:6" x14ac:dyDescent="0.25">
      <c r="A50" t="str">
        <f>'Starlink countries with data'!B58</f>
        <v>Venezuela, Bolivarian Republic of</v>
      </c>
      <c r="B50" s="20">
        <f>'Starlink countries with data'!E58</f>
        <v>30420000</v>
      </c>
      <c r="C50" s="21">
        <f>'Starlink countries with data'!G58</f>
        <v>27.1</v>
      </c>
      <c r="D50" s="22">
        <f t="shared" si="7"/>
        <v>30.42</v>
      </c>
      <c r="E50" t="str">
        <f>INDEX('starlink countries list'!$A$2:$A$256,MATCH(A50,'starlink countries list'!$B$2:$B$256,0))</f>
        <v>VE</v>
      </c>
      <c r="F50" s="17" t="str">
        <f>IFERROR(INDEX('Starlink countries with data'!$H$6:$H$97,MATCH($A50,'Starlink countries with data'!$B$6:$B$97,0)),"NA")</f>
        <v>NA</v>
      </c>
    </row>
    <row r="51" spans="1:6" x14ac:dyDescent="0.25">
      <c r="A51" t="str">
        <f>'Starlink countries with data'!B61</f>
        <v>Bahrain</v>
      </c>
      <c r="B51" s="20">
        <f>'Starlink countries with data'!E61</f>
        <v>1720000</v>
      </c>
      <c r="C51" s="21">
        <f>'Starlink countries with data'!G61</f>
        <v>95.83</v>
      </c>
      <c r="D51" s="22">
        <f t="shared" si="7"/>
        <v>1.72</v>
      </c>
      <c r="E51" t="str">
        <f>INDEX('starlink countries list'!$A$2:$A$256,MATCH(A51,'starlink countries list'!$B$2:$B$256,0))</f>
        <v>BH</v>
      </c>
      <c r="F51" s="17" t="str">
        <f>IFERROR(INDEX('Starlink countries with data'!$H$6:$H$97,MATCH($A51,'Starlink countries with data'!$B$6:$B$97,0)),"NA")</f>
        <v>NA</v>
      </c>
    </row>
    <row r="52" spans="1:6" x14ac:dyDescent="0.25">
      <c r="A52" t="str">
        <f>'Starlink countries with data'!B62</f>
        <v>Iraq</v>
      </c>
      <c r="B52" s="20">
        <f>'Starlink countries with data'!E62</f>
        <v>45920000</v>
      </c>
      <c r="C52" s="21">
        <f>'Starlink countries with data'!G62</f>
        <v>15.37</v>
      </c>
      <c r="D52" s="22">
        <f t="shared" si="7"/>
        <v>45.92</v>
      </c>
      <c r="E52" t="str">
        <f>INDEX('starlink countries list'!$A$2:$A$256,MATCH(A52,'starlink countries list'!$B$2:$B$256,0))</f>
        <v>IQ</v>
      </c>
      <c r="F52" s="17" t="str">
        <f>IFERROR(INDEX('Starlink countries with data'!$H$6:$H$97,MATCH($A52,'Starlink countries with data'!$B$6:$B$97,0)),"NA")</f>
        <v>NA</v>
      </c>
    </row>
    <row r="53" spans="1:6" x14ac:dyDescent="0.25">
      <c r="A53" t="str">
        <f>'Starlink countries with data'!B63</f>
        <v>Israel</v>
      </c>
      <c r="B53" s="20">
        <f>'Starlink countries with data'!E63</f>
        <v>9590000</v>
      </c>
      <c r="C53" s="21">
        <f>'Starlink countries with data'!G63</f>
        <v>96.78</v>
      </c>
      <c r="D53" s="22">
        <f t="shared" si="7"/>
        <v>9.59</v>
      </c>
      <c r="E53" t="str">
        <f>INDEX('starlink countries list'!$A$2:$A$256,MATCH(A53,'starlink countries list'!$B$2:$B$256,0))</f>
        <v>IL</v>
      </c>
      <c r="F53" s="17" t="str">
        <f>IFERROR(INDEX('Starlink countries with data'!$H$6:$H$97,MATCH($A53,'Starlink countries with data'!$B$6:$B$97,0)),"NA")</f>
        <v>NA</v>
      </c>
    </row>
    <row r="54" spans="1:6" x14ac:dyDescent="0.25">
      <c r="A54" t="str">
        <f>'Starlink countries with data'!B64</f>
        <v>Jordan</v>
      </c>
      <c r="B54" s="20">
        <f>'Starlink countries with data'!E64</f>
        <v>12250000</v>
      </c>
      <c r="C54" s="21">
        <f>'Starlink countries with data'!G64</f>
        <v>62</v>
      </c>
      <c r="D54" s="22">
        <f t="shared" si="7"/>
        <v>12.25</v>
      </c>
      <c r="E54" t="str">
        <f>INDEX('starlink countries list'!$A$2:$A$256,MATCH(A54,'starlink countries list'!$B$2:$B$256,0))</f>
        <v>JO</v>
      </c>
      <c r="F54" s="17" t="str">
        <f>IFERROR(INDEX('Starlink countries with data'!$H$6:$H$97,MATCH($A54,'Starlink countries with data'!$B$6:$B$97,0)),"NA")</f>
        <v>NA</v>
      </c>
    </row>
    <row r="55" spans="1:6" x14ac:dyDescent="0.25">
      <c r="A55" t="str">
        <f>'Starlink countries with data'!B66</f>
        <v>Kuwait</v>
      </c>
      <c r="B55" s="20">
        <f>'Starlink countries with data'!E66</f>
        <v>4780000</v>
      </c>
      <c r="C55" s="21">
        <f>'Starlink countries with data'!G66</f>
        <v>44.29</v>
      </c>
      <c r="D55" s="22">
        <f t="shared" si="7"/>
        <v>4.78</v>
      </c>
      <c r="E55" t="str">
        <f>INDEX('starlink countries list'!$A$2:$A$256,MATCH(A55,'starlink countries list'!$B$2:$B$256,0))</f>
        <v>KW</v>
      </c>
      <c r="F55" s="17" t="str">
        <f>IFERROR(INDEX('Starlink countries with data'!$H$6:$H$97,MATCH($A55,'Starlink countries with data'!$B$6:$B$97,0)),"NA")</f>
        <v>NA</v>
      </c>
    </row>
    <row r="56" spans="1:6" x14ac:dyDescent="0.25">
      <c r="A56" t="str">
        <f>'Starlink countries with data'!B67</f>
        <v>Lebanon</v>
      </c>
      <c r="B56" s="20">
        <f>'Starlink countries with data'!E67</f>
        <v>6890000</v>
      </c>
      <c r="C56" s="21">
        <f>'Starlink countries with data'!G67</f>
        <v>68.09</v>
      </c>
      <c r="D56" s="22">
        <f t="shared" si="7"/>
        <v>6.89</v>
      </c>
      <c r="E56" t="str">
        <f>INDEX('starlink countries list'!$A$2:$A$256,MATCH(A56,'starlink countries list'!$B$2:$B$256,0))</f>
        <v>LB</v>
      </c>
      <c r="F56" s="17" t="str">
        <f>IFERROR(INDEX('Starlink countries with data'!$H$6:$H$97,MATCH($A56,'Starlink countries with data'!$B$6:$B$97,0)),"NA")</f>
        <v>NA</v>
      </c>
    </row>
    <row r="57" spans="1:6" x14ac:dyDescent="0.25">
      <c r="A57" t="str">
        <f>'Starlink countries with data'!B69</f>
        <v>Oman</v>
      </c>
      <c r="B57" s="20">
        <f>'Starlink countries with data'!E69</f>
        <v>4880000</v>
      </c>
      <c r="C57" s="21">
        <f>'Starlink countries with data'!G69</f>
        <v>79.47</v>
      </c>
      <c r="D57" s="22">
        <f t="shared" si="7"/>
        <v>4.88</v>
      </c>
      <c r="E57" t="str">
        <f>INDEX('starlink countries list'!$A$2:$A$256,MATCH(A57,'starlink countries list'!$B$2:$B$256,0))</f>
        <v>OM</v>
      </c>
      <c r="F57" s="17" t="str">
        <f>IFERROR(INDEX('Starlink countries with data'!$H$6:$H$97,MATCH($A57,'Starlink countries with data'!$B$6:$B$97,0)),"NA")</f>
        <v>NA</v>
      </c>
    </row>
    <row r="58" spans="1:6" x14ac:dyDescent="0.25">
      <c r="A58" t="str">
        <f>'Starlink countries with data'!B70</f>
        <v>Palestinian Territories</v>
      </c>
      <c r="B58" s="20">
        <f>'Starlink countries with data'!E70</f>
        <v>5841654</v>
      </c>
      <c r="C58" s="21">
        <f>'Starlink countries with data'!G70</f>
        <v>45.11</v>
      </c>
      <c r="D58" s="22">
        <f t="shared" si="7"/>
        <v>5.8416540000000001</v>
      </c>
      <c r="E58" t="str">
        <f>INDEX('starlink countries list'!$A$2:$A$256,MATCH(A58,'starlink countries list'!$B$2:$B$256,0))</f>
        <v>PS</v>
      </c>
      <c r="F58" s="17" t="str">
        <f>IFERROR(INDEX('Starlink countries with data'!$H$6:$H$97,MATCH($A58,'Starlink countries with data'!$B$6:$B$97,0)),"NA")</f>
        <v>NA</v>
      </c>
    </row>
    <row r="59" spans="1:6" x14ac:dyDescent="0.25">
      <c r="A59" t="str">
        <f>'Starlink countries with data'!B71</f>
        <v>Qatar</v>
      </c>
      <c r="B59" s="20">
        <f>'Starlink countries with data'!E71</f>
        <v>2780000</v>
      </c>
      <c r="C59" s="21">
        <f>'Starlink countries with data'!G71</f>
        <v>97.57</v>
      </c>
      <c r="D59" s="22">
        <f t="shared" si="7"/>
        <v>2.78</v>
      </c>
      <c r="E59" t="str">
        <f>INDEX('starlink countries list'!$A$2:$A$256,MATCH(A59,'starlink countries list'!$B$2:$B$256,0))</f>
        <v>QA</v>
      </c>
      <c r="F59" s="17" t="str">
        <f>IFERROR(INDEX('Starlink countries with data'!$H$6:$H$97,MATCH($A59,'Starlink countries with data'!$B$6:$B$97,0)),"NA")</f>
        <v>NA</v>
      </c>
    </row>
    <row r="60" spans="1:6" x14ac:dyDescent="0.25">
      <c r="A60" t="str">
        <f>'Starlink countries with data'!B72</f>
        <v>Saudi Arabia</v>
      </c>
      <c r="B60" s="20">
        <f>'Starlink countries with data'!E72</f>
        <v>39850000</v>
      </c>
      <c r="C60" s="21">
        <f>'Starlink countries with data'!G72</f>
        <v>51.74</v>
      </c>
      <c r="D60" s="22">
        <f t="shared" si="7"/>
        <v>39.85</v>
      </c>
      <c r="E60" t="str">
        <f>INDEX('starlink countries list'!$A$2:$A$256,MATCH(A60,'starlink countries list'!$B$2:$B$256,0))</f>
        <v>SA</v>
      </c>
      <c r="F60" s="17" t="str">
        <f>IFERROR(INDEX('Starlink countries with data'!$H$6:$H$97,MATCH($A60,'Starlink countries with data'!$B$6:$B$97,0)),"NA")</f>
        <v>NA</v>
      </c>
    </row>
    <row r="61" spans="1:6" x14ac:dyDescent="0.25">
      <c r="A61" t="str">
        <f>'Starlink countries with data'!B73</f>
        <v>South Africa</v>
      </c>
      <c r="B61" s="20">
        <f>'Starlink countries with data'!E73</f>
        <v>62310000</v>
      </c>
      <c r="C61" s="21">
        <f>'Starlink countries with data'!G73</f>
        <v>19.309999999999999</v>
      </c>
      <c r="D61" s="22">
        <f t="shared" si="7"/>
        <v>62.31</v>
      </c>
      <c r="E61" t="str">
        <f>INDEX('starlink countries list'!$A$2:$A$256,MATCH(A61,'starlink countries list'!$B$2:$B$256,0))</f>
        <v>ZA</v>
      </c>
      <c r="F61" s="17" t="str">
        <f>IFERROR(INDEX('Starlink countries with data'!$H$6:$H$97,MATCH($A61,'Starlink countries with data'!$B$6:$B$97,0)),"NA")</f>
        <v>NA</v>
      </c>
    </row>
    <row r="62" spans="1:6" x14ac:dyDescent="0.25">
      <c r="A62" t="str">
        <f>'Starlink countries with data'!B74</f>
        <v>United Arab Emirates</v>
      </c>
      <c r="B62" s="20">
        <f>'Starlink countries with data'!E74</f>
        <v>9740000</v>
      </c>
      <c r="C62" s="21">
        <f>'Starlink countries with data'!G74</f>
        <v>95.82</v>
      </c>
      <c r="D62" s="22">
        <f t="shared" si="7"/>
        <v>9.74</v>
      </c>
      <c r="E62" t="str">
        <f>INDEX('starlink countries list'!$A$2:$A$256,MATCH(A62,'starlink countries list'!$B$2:$B$256,0))</f>
        <v>AE</v>
      </c>
      <c r="F62" s="17" t="str">
        <f>IFERROR(INDEX('Starlink countries with data'!$H$6:$H$97,MATCH($A62,'Starlink countries with data'!$B$6:$B$97,0)),"NA")</f>
        <v>NA</v>
      </c>
    </row>
    <row r="63" spans="1:6" x14ac:dyDescent="0.25">
      <c r="A63" t="str">
        <f>'Starlink countries with data'!B75</f>
        <v>Yemen</v>
      </c>
      <c r="B63" s="20">
        <f>'Starlink countries with data'!E75</f>
        <v>34800000</v>
      </c>
      <c r="C63" s="21">
        <f>'Starlink countries with data'!G75</f>
        <v>15.18</v>
      </c>
      <c r="D63" s="22">
        <f t="shared" si="7"/>
        <v>34.799999999999997</v>
      </c>
      <c r="E63" t="str">
        <f>INDEX('starlink countries list'!$A$2:$A$256,MATCH(A63,'starlink countries list'!$B$2:$B$256,0))</f>
        <v>YE</v>
      </c>
      <c r="F63" s="17" t="str">
        <f>IFERROR(INDEX('Starlink countries with data'!$H$6:$H$97,MATCH($A63,'Starlink countries with data'!$B$6:$B$97,0)),"NA")</f>
        <v>NA</v>
      </c>
    </row>
    <row r="64" spans="1:6" x14ac:dyDescent="0.25">
      <c r="A64" t="str">
        <f>'Starlink countries with data'!B78</f>
        <v>Canada</v>
      </c>
      <c r="B64" s="20">
        <f>'Starlink countries with data'!E78</f>
        <v>40470000</v>
      </c>
      <c r="C64" s="21">
        <f>'Starlink countries with data'!G78</f>
        <v>94.69</v>
      </c>
      <c r="D64" s="22">
        <f t="shared" si="7"/>
        <v>40.47</v>
      </c>
      <c r="E64" t="str">
        <f>INDEX('starlink countries list'!$A$2:$A$256,MATCH(A64,'starlink countries list'!$B$2:$B$256,0))</f>
        <v>CA</v>
      </c>
      <c r="F64" s="17">
        <f>IFERROR(INDEX('Starlink countries with data'!$H$6:$H$97,MATCH($A64,'Starlink countries with data'!$B$6:$B$97,0)),"NA")</f>
        <v>54.01</v>
      </c>
    </row>
    <row r="65" spans="1:6" x14ac:dyDescent="0.25">
      <c r="A65" t="str">
        <f>'Starlink countries with data'!B79</f>
        <v>United States</v>
      </c>
      <c r="B65" s="20">
        <f>'Starlink countries with data'!E79</f>
        <v>343500000</v>
      </c>
      <c r="C65" s="21">
        <f>'Starlink countries with data'!G79</f>
        <v>92.48</v>
      </c>
      <c r="D65" s="22">
        <f t="shared" si="7"/>
        <v>343.5</v>
      </c>
      <c r="E65" t="str">
        <f>INDEX('starlink countries list'!$A$2:$A$256,MATCH(A65,'starlink countries list'!$B$2:$B$256,0))</f>
        <v>US</v>
      </c>
      <c r="F65" s="17">
        <f>IFERROR(INDEX('Starlink countries with data'!$H$6:$H$97,MATCH($A65,'Starlink countries with data'!$B$6:$B$97,0)),"NA")</f>
        <v>66.349999999999994</v>
      </c>
    </row>
    <row r="66" spans="1:6" x14ac:dyDescent="0.25">
      <c r="A66" t="str">
        <f>'Starlink countries with data'!B82</f>
        <v>Austria</v>
      </c>
      <c r="B66" s="20">
        <f>'Starlink countries with data'!E82</f>
        <v>8790000</v>
      </c>
      <c r="C66" s="21">
        <f>'Starlink countries with data'!G82</f>
        <v>63.46</v>
      </c>
      <c r="D66" s="22">
        <f t="shared" ref="D66:D81" si="8">B66/1000000</f>
        <v>8.7899999999999991</v>
      </c>
      <c r="E66" t="str">
        <f>INDEX('starlink countries list'!$A$2:$A$256,MATCH(A66,'starlink countries list'!$B$2:$B$256,0))</f>
        <v>AT</v>
      </c>
      <c r="F66" s="17">
        <f>IFERROR(INDEX('Starlink countries with data'!$H$6:$H$97,MATCH($A66,'Starlink countries with data'!$B$6:$B$97,0)),"NA")</f>
        <v>44.92</v>
      </c>
    </row>
    <row r="67" spans="1:6" x14ac:dyDescent="0.25">
      <c r="A67" t="str">
        <f>'Starlink countries with data'!B83</f>
        <v>Belgium</v>
      </c>
      <c r="B67" s="20">
        <f>'Starlink countries with data'!E83</f>
        <v>11770000</v>
      </c>
      <c r="C67" s="21">
        <f>'Starlink countries with data'!G83</f>
        <v>89.45</v>
      </c>
      <c r="D67" s="22">
        <f t="shared" si="8"/>
        <v>11.77</v>
      </c>
      <c r="E67" t="str">
        <f>INDEX('starlink countries list'!$A$2:$A$256,MATCH(A67,'starlink countries list'!$B$2:$B$256,0))</f>
        <v>BE</v>
      </c>
      <c r="F67" s="17">
        <f>IFERROR(INDEX('Starlink countries with data'!$H$6:$H$97,MATCH($A67,'Starlink countries with data'!$B$6:$B$97,0)),"NA")</f>
        <v>43.41</v>
      </c>
    </row>
    <row r="68" spans="1:6" x14ac:dyDescent="0.25">
      <c r="A68" t="str">
        <f>'Starlink countries with data'!B84</f>
        <v>Denmark</v>
      </c>
      <c r="B68" s="20">
        <f>'Starlink countries with data'!E84</f>
        <v>6000000</v>
      </c>
      <c r="C68" s="21">
        <f>'Starlink countries with data'!G84</f>
        <v>90.85</v>
      </c>
      <c r="D68" s="22">
        <f t="shared" si="8"/>
        <v>6</v>
      </c>
      <c r="E68" t="str">
        <f>INDEX('starlink countries list'!$A$2:$A$256,MATCH(A68,'starlink countries list'!$B$2:$B$256,0))</f>
        <v>DK</v>
      </c>
      <c r="F68" s="17">
        <f>IFERROR(INDEX('Starlink countries with data'!$H$6:$H$97,MATCH($A68,'Starlink countries with data'!$B$6:$B$97,0)),"NA")</f>
        <v>34.97</v>
      </c>
    </row>
    <row r="69" spans="1:6" x14ac:dyDescent="0.25">
      <c r="A69" t="str">
        <f>'Starlink countries with data'!B85</f>
        <v>Finland</v>
      </c>
      <c r="B69" s="20">
        <f>'Starlink countries with data'!E85</f>
        <v>5557511</v>
      </c>
      <c r="C69" s="21">
        <f>'Starlink countries with data'!G85</f>
        <v>70.8</v>
      </c>
      <c r="D69" s="22">
        <f t="shared" si="8"/>
        <v>5.5575109999999999</v>
      </c>
      <c r="E69" t="str">
        <f>INDEX('starlink countries list'!$A$2:$A$256,MATCH(A69,'starlink countries list'!$B$2:$B$256,0))</f>
        <v>FI</v>
      </c>
      <c r="F69" s="17">
        <f>IFERROR(INDEX('Starlink countries with data'!$H$6:$H$97,MATCH($A69,'Starlink countries with data'!$B$6:$B$97,0)),"NA")</f>
        <v>34.51</v>
      </c>
    </row>
    <row r="70" spans="1:6" x14ac:dyDescent="0.25">
      <c r="A70" t="str">
        <f>'Starlink countries with data'!B86</f>
        <v>France</v>
      </c>
      <c r="B70" s="20">
        <f>'Starlink countries with data'!E86</f>
        <v>65120000</v>
      </c>
      <c r="C70" s="21">
        <f>'Starlink countries with data'!G86</f>
        <v>101.07</v>
      </c>
      <c r="D70" s="22">
        <f t="shared" si="8"/>
        <v>65.12</v>
      </c>
      <c r="E70" t="str">
        <f>INDEX('starlink countries list'!$A$2:$A$256,MATCH(A70,'starlink countries list'!$B$2:$B$256,0))</f>
        <v>FR</v>
      </c>
      <c r="F70" s="17">
        <f>IFERROR(INDEX('Starlink countries with data'!$H$6:$H$97,MATCH($A70,'Starlink countries with data'!$B$6:$B$97,0)),"NA")</f>
        <v>24.18</v>
      </c>
    </row>
    <row r="71" spans="1:6" x14ac:dyDescent="0.25">
      <c r="A71" t="str">
        <f>'Starlink countries with data'!B87</f>
        <v>Germany</v>
      </c>
      <c r="B71" s="20">
        <f>'Starlink countries with data'!E87</f>
        <v>83640000</v>
      </c>
      <c r="C71" s="21">
        <f>'Starlink countries with data'!G87</f>
        <v>94.79</v>
      </c>
      <c r="D71" s="22">
        <f t="shared" si="8"/>
        <v>83.64</v>
      </c>
      <c r="E71" t="str">
        <f>INDEX('starlink countries list'!$A$2:$A$256,MATCH(A71,'starlink countries list'!$B$2:$B$256,0))</f>
        <v>DE</v>
      </c>
      <c r="F71" s="17">
        <f>IFERROR(INDEX('Starlink countries with data'!$H$6:$H$97,MATCH($A71,'Starlink countries with data'!$B$6:$B$97,0)),"NA")</f>
        <v>30.23</v>
      </c>
    </row>
    <row r="72" spans="1:6" x14ac:dyDescent="0.25">
      <c r="A72" t="str">
        <f>'Starlink countries with data'!B88</f>
        <v>Greece</v>
      </c>
      <c r="B72" s="20">
        <f>'Starlink countries with data'!E88</f>
        <v>10100000</v>
      </c>
      <c r="C72" s="21">
        <f>'Starlink countries with data'!G88</f>
        <v>108.58</v>
      </c>
      <c r="D72" s="22">
        <f t="shared" si="8"/>
        <v>10.1</v>
      </c>
      <c r="E72" t="str">
        <f>INDEX('starlink countries list'!$A$2:$A$256,MATCH(A72,'starlink countries list'!$B$2:$B$256,0))</f>
        <v>GR</v>
      </c>
      <c r="F72" s="17">
        <f>IFERROR(INDEX('Starlink countries with data'!$H$6:$H$97,MATCH($A72,'Starlink countries with data'!$B$6:$B$97,0)),"NA")</f>
        <v>25.68</v>
      </c>
    </row>
    <row r="73" spans="1:6" x14ac:dyDescent="0.25">
      <c r="A73" t="str">
        <f>'Starlink countries with data'!B89</f>
        <v>Ireland</v>
      </c>
      <c r="B73" s="20">
        <f>'Starlink countries with data'!E89</f>
        <v>5140000</v>
      </c>
      <c r="C73" s="21">
        <f>'Starlink countries with data'!G89</f>
        <v>76.25</v>
      </c>
      <c r="D73" s="22">
        <f t="shared" si="8"/>
        <v>5.14</v>
      </c>
      <c r="E73" t="str">
        <f>INDEX('starlink countries list'!$A$2:$A$256,MATCH(A73,'starlink countries list'!$B$2:$B$256,0))</f>
        <v>IE</v>
      </c>
      <c r="F73" s="17">
        <f>IFERROR(INDEX('Starlink countries with data'!$H$6:$H$97,MATCH($A73,'Starlink countries with data'!$B$6:$B$97,0)),"NA")</f>
        <v>42.18</v>
      </c>
    </row>
    <row r="74" spans="1:6" x14ac:dyDescent="0.25">
      <c r="A74" t="str">
        <f>'Starlink countries with data'!B90</f>
        <v>Italy</v>
      </c>
      <c r="B74" s="20">
        <f>'Starlink countries with data'!E90</f>
        <v>58845703</v>
      </c>
      <c r="C74" s="21">
        <f>'Starlink countries with data'!G90</f>
        <v>65.22</v>
      </c>
      <c r="D74" s="22">
        <f t="shared" si="8"/>
        <v>58.845703</v>
      </c>
      <c r="E74" t="str">
        <f>INDEX('starlink countries list'!$A$2:$A$256,MATCH(A74,'starlink countries list'!$B$2:$B$256,0))</f>
        <v>IT</v>
      </c>
      <c r="F74" s="17">
        <f>IFERROR(INDEX('Starlink countries with data'!$H$6:$H$97,MATCH($A74,'Starlink countries with data'!$B$6:$B$97,0)),"NA")</f>
        <v>23.24</v>
      </c>
    </row>
    <row r="75" spans="1:6" x14ac:dyDescent="0.25">
      <c r="A75" t="str">
        <f>'Starlink countries with data'!B91</f>
        <v>Netherlands</v>
      </c>
      <c r="B75" s="20">
        <f>'Starlink countries with data'!E91</f>
        <v>17770000</v>
      </c>
      <c r="C75" s="21">
        <f>'Starlink countries with data'!G91</f>
        <v>92.05</v>
      </c>
      <c r="D75" s="22">
        <f t="shared" si="8"/>
        <v>17.77</v>
      </c>
      <c r="E75" t="str">
        <f>INDEX('starlink countries list'!$A$2:$A$256,MATCH(A75,'starlink countries list'!$B$2:$B$256,0))</f>
        <v>NL</v>
      </c>
      <c r="F75" s="17">
        <f>IFERROR(INDEX('Starlink countries with data'!$H$6:$H$97,MATCH($A75,'Starlink countries with data'!$B$6:$B$97,0)),"NA")</f>
        <v>32.299999999999997</v>
      </c>
    </row>
    <row r="76" spans="1:6" x14ac:dyDescent="0.25">
      <c r="A76" t="str">
        <f>'Starlink countries with data'!B92</f>
        <v>Norway</v>
      </c>
      <c r="B76" s="20">
        <f>'Starlink countries with data'!E92</f>
        <v>5590000</v>
      </c>
      <c r="C76" s="21">
        <f>'Starlink countries with data'!G92</f>
        <v>96.03</v>
      </c>
      <c r="D76" s="22">
        <f t="shared" si="8"/>
        <v>5.59</v>
      </c>
      <c r="E76" t="str">
        <f>INDEX('starlink countries list'!$A$2:$A$256,MATCH(A76,'starlink countries list'!$B$2:$B$256,0))</f>
        <v>NO</v>
      </c>
      <c r="F76" s="17">
        <f>IFERROR(INDEX('Starlink countries with data'!$H$6:$H$97,MATCH($A76,'Starlink countries with data'!$B$6:$B$97,0)),"NA")</f>
        <v>36.15</v>
      </c>
    </row>
    <row r="77" spans="1:6" x14ac:dyDescent="0.25">
      <c r="A77" t="str">
        <f>'Starlink countries with data'!B93</f>
        <v>Portugal</v>
      </c>
      <c r="B77" s="20">
        <f>'Starlink countries with data'!E93</f>
        <v>10172106</v>
      </c>
      <c r="C77" s="21">
        <f>'Starlink countries with data'!G93</f>
        <v>93.09</v>
      </c>
      <c r="D77" s="22">
        <f t="shared" si="8"/>
        <v>10.172105999999999</v>
      </c>
      <c r="E77" t="str">
        <f>INDEX('starlink countries list'!$A$2:$A$256,MATCH(A77,'starlink countries list'!$B$2:$B$256,0))</f>
        <v>PT</v>
      </c>
      <c r="F77" s="17">
        <f>IFERROR(INDEX('Starlink countries with data'!$H$6:$H$97,MATCH($A77,'Starlink countries with data'!$B$6:$B$97,0)),"NA")</f>
        <v>27.96</v>
      </c>
    </row>
    <row r="78" spans="1:6" x14ac:dyDescent="0.25">
      <c r="A78" t="str">
        <f>'Starlink countries with data'!B94</f>
        <v>Spain</v>
      </c>
      <c r="B78" s="20">
        <f>'Starlink countries with data'!E94</f>
        <v>47850000</v>
      </c>
      <c r="C78" s="21">
        <f>'Starlink countries with data'!G94</f>
        <v>85.23</v>
      </c>
      <c r="D78" s="22">
        <f t="shared" si="8"/>
        <v>47.85</v>
      </c>
      <c r="E78" t="str">
        <f>INDEX('starlink countries list'!$A$2:$A$256,MATCH(A78,'starlink countries list'!$B$2:$B$256,0))</f>
        <v>ES</v>
      </c>
      <c r="F78" s="17">
        <f>IFERROR(INDEX('Starlink countries with data'!$H$6:$H$97,MATCH($A78,'Starlink countries with data'!$B$6:$B$97,0)),"NA")</f>
        <v>25.55</v>
      </c>
    </row>
    <row r="79" spans="1:6" x14ac:dyDescent="0.25">
      <c r="A79" t="str">
        <f>'Starlink countries with data'!B95</f>
        <v>Sweden</v>
      </c>
      <c r="B79" s="20">
        <f>'Starlink countries with data'!E95</f>
        <v>10790000</v>
      </c>
      <c r="C79" s="21">
        <f>'Starlink countries with data'!G95</f>
        <v>90.39</v>
      </c>
      <c r="D79" s="22">
        <f t="shared" si="8"/>
        <v>10.79</v>
      </c>
      <c r="E79" t="str">
        <f>INDEX('starlink countries list'!$A$2:$A$256,MATCH(A79,'starlink countries list'!$B$2:$B$256,0))</f>
        <v>SE</v>
      </c>
      <c r="F79" s="17">
        <f>IFERROR(INDEX('Starlink countries with data'!$H$6:$H$97,MATCH($A79,'Starlink countries with data'!$B$6:$B$97,0)),"NA")</f>
        <v>22.7</v>
      </c>
    </row>
    <row r="80" spans="1:6" x14ac:dyDescent="0.25">
      <c r="A80" t="str">
        <f>'Starlink countries with data'!B96</f>
        <v>Switzerland</v>
      </c>
      <c r="B80" s="20">
        <f>'Starlink countries with data'!E96</f>
        <v>8960000</v>
      </c>
      <c r="C80" s="21">
        <f>'Starlink countries with data'!G96</f>
        <v>101.62</v>
      </c>
      <c r="D80" s="22">
        <f t="shared" si="8"/>
        <v>8.9600000000000009</v>
      </c>
      <c r="E80" t="str">
        <f>INDEX('starlink countries list'!$A$2:$A$256,MATCH(A80,'starlink countries list'!$B$2:$B$256,0))</f>
        <v>CH</v>
      </c>
      <c r="F80" s="17">
        <f>IFERROR(INDEX('Starlink countries with data'!$H$6:$H$97,MATCH($A80,'Starlink countries with data'!$B$6:$B$97,0)),"NA")</f>
        <v>48.9</v>
      </c>
    </row>
    <row r="81" spans="1:6" x14ac:dyDescent="0.25">
      <c r="A81" t="str">
        <f>'Starlink countries with data'!B97</f>
        <v>United Kingdom</v>
      </c>
      <c r="B81" s="20">
        <f>'Starlink countries with data'!E97</f>
        <v>69930000</v>
      </c>
      <c r="C81" s="21">
        <f>'Starlink countries with data'!G97</f>
        <v>99.55</v>
      </c>
      <c r="D81" s="22">
        <f t="shared" si="8"/>
        <v>69.930000000000007</v>
      </c>
      <c r="E81" t="str">
        <f>INDEX('starlink countries list'!$A$2:$A$256,MATCH(A81,'starlink countries list'!$B$2:$B$256,0))</f>
        <v>GB</v>
      </c>
      <c r="F81" s="17">
        <f>IFERROR(INDEX('Starlink countries with data'!$H$6:$H$97,MATCH($A81,'Starlink countries with data'!$B$6:$B$97,0)),"NA")</f>
        <v>34.340000000000003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58983-0DD0-DA4A-A92B-46B6C4EA6AD3}">
  <dimension ref="A1:Z97"/>
  <sheetViews>
    <sheetView zoomScale="85" zoomScaleNormal="85" workbookViewId="0">
      <pane xSplit="1" ySplit="4" topLeftCell="B56" activePane="bottomRight" state="frozen"/>
      <selection pane="topRight" activeCell="B1" sqref="B1"/>
      <selection pane="bottomLeft" activeCell="A5" sqref="A5"/>
      <selection pane="bottomRight" activeCell="N62" sqref="N62"/>
    </sheetView>
  </sheetViews>
  <sheetFormatPr defaultColWidth="11.42578125" defaultRowHeight="15" outlineLevelCol="1" x14ac:dyDescent="0.25"/>
  <cols>
    <col min="1" max="1" width="15" customWidth="1"/>
    <col min="2" max="2" width="38.140625" customWidth="1"/>
    <col min="3" max="3" width="18.28515625" customWidth="1" outlineLevel="1"/>
    <col min="4" max="4" width="21.7109375" customWidth="1"/>
    <col min="5" max="16" width="18.28515625" customWidth="1"/>
    <col min="17" max="17" width="16.7109375" customWidth="1"/>
    <col min="18" max="23" width="16.7109375" customWidth="1" outlineLevel="1"/>
    <col min="25" max="25" width="21.7109375" customWidth="1"/>
    <col min="26" max="26" width="16.7109375" customWidth="1"/>
  </cols>
  <sheetData>
    <row r="1" spans="1:26" ht="18.75" x14ac:dyDescent="0.3">
      <c r="A1" s="11" t="s">
        <v>619</v>
      </c>
    </row>
    <row r="2" spans="1:26" x14ac:dyDescent="0.25">
      <c r="A2" s="12" t="s">
        <v>620</v>
      </c>
    </row>
    <row r="3" spans="1:26" x14ac:dyDescent="0.25">
      <c r="Y3" s="13" t="s">
        <v>641</v>
      </c>
    </row>
    <row r="4" spans="1:26" ht="15.75" thickBot="1" x14ac:dyDescent="0.3">
      <c r="A4" s="18" t="s">
        <v>601</v>
      </c>
      <c r="B4" s="18" t="s">
        <v>602</v>
      </c>
      <c r="C4" s="18" t="s">
        <v>604</v>
      </c>
      <c r="D4" s="18" t="s">
        <v>621</v>
      </c>
      <c r="E4" s="18" t="s">
        <v>622</v>
      </c>
      <c r="F4" s="18" t="s">
        <v>623</v>
      </c>
      <c r="G4" s="18" t="s">
        <v>624</v>
      </c>
      <c r="H4" s="18" t="s">
        <v>625</v>
      </c>
      <c r="I4" s="18" t="s">
        <v>626</v>
      </c>
      <c r="J4" s="18" t="s">
        <v>627</v>
      </c>
      <c r="K4" s="18" t="s">
        <v>628</v>
      </c>
      <c r="L4" s="18" t="s">
        <v>629</v>
      </c>
      <c r="M4" s="18" t="s">
        <v>630</v>
      </c>
      <c r="N4" s="18" t="s">
        <v>631</v>
      </c>
      <c r="O4" s="18" t="s">
        <v>632</v>
      </c>
      <c r="P4" s="18" t="s">
        <v>633</v>
      </c>
      <c r="Q4" s="19" t="s">
        <v>634</v>
      </c>
      <c r="R4" s="19" t="s">
        <v>635</v>
      </c>
      <c r="S4" s="19" t="s">
        <v>636</v>
      </c>
      <c r="T4" s="19" t="s">
        <v>637</v>
      </c>
      <c r="U4" s="19" t="s">
        <v>638</v>
      </c>
      <c r="V4" s="19" t="s">
        <v>639</v>
      </c>
      <c r="W4" s="19" t="s">
        <v>640</v>
      </c>
      <c r="Y4" s="19" t="s">
        <v>642</v>
      </c>
      <c r="Z4" s="19" t="s">
        <v>643</v>
      </c>
    </row>
    <row r="5" spans="1:26" ht="14.25" customHeight="1" x14ac:dyDescent="0.25">
      <c r="A5" s="14" t="s">
        <v>609</v>
      </c>
      <c r="B5" s="14"/>
      <c r="C5" s="14"/>
      <c r="D5" s="14"/>
      <c r="E5" s="14"/>
      <c r="F5" s="14"/>
      <c r="G5" s="14"/>
      <c r="H5" s="14"/>
      <c r="I5" s="14"/>
      <c r="J5" s="14"/>
      <c r="K5" s="14"/>
      <c r="L5" s="14"/>
      <c r="M5" s="14"/>
      <c r="N5" s="14"/>
      <c r="O5" s="14"/>
      <c r="P5" s="14"/>
      <c r="Q5" s="14"/>
      <c r="R5" s="14"/>
      <c r="S5" s="14"/>
      <c r="T5" s="14"/>
      <c r="U5" s="14"/>
      <c r="V5" s="14"/>
      <c r="W5" s="14"/>
      <c r="Y5" t="s">
        <v>635</v>
      </c>
      <c r="Z5">
        <f t="shared" ref="Z5:Z10" si="0">COUNTIF($Q$6:$Q$97,Y5)</f>
        <v>11</v>
      </c>
    </row>
    <row r="6" spans="1:26" x14ac:dyDescent="0.25">
      <c r="B6" t="str">
        <f>'Starlink countries with data'!B6</f>
        <v>Australia</v>
      </c>
      <c r="C6" t="str">
        <f>'Starlink countries with data'!D6</f>
        <v>Australia</v>
      </c>
      <c r="D6" s="15">
        <f>INDEX('Population and Broadband subs'!$D$324:$D$425,MATCH($C6,'Population and Broadband subs'!$A$324:$A$425,0))</f>
        <v>7982893</v>
      </c>
      <c r="E6" s="15">
        <f>INDEX('Population and Broadband subs'!$D$428:$D$529,MATCH($C6,'Population and Broadband subs'!$A$428:$A$529,0))</f>
        <v>607830</v>
      </c>
      <c r="F6" s="23">
        <f>IFERROR(E6/$D6,"NA")</f>
        <v>7.614156922809813E-2</v>
      </c>
      <c r="G6" s="15">
        <f>INDEX('Population and Broadband subs'!$D$532:$D$633,MATCH($C6,'Population and Broadband subs'!$A$532:$A$633,0))</f>
        <v>241129</v>
      </c>
      <c r="H6" s="23">
        <f>IFERROR(G6/$D6,"NA")</f>
        <v>3.0205716148268554E-2</v>
      </c>
      <c r="I6" s="15">
        <f>INDEX('Population and Broadband subs'!$D$636:$D$737,MATCH($C6,'Population and Broadband subs'!$A$636:$A$737,0))</f>
        <v>6314151</v>
      </c>
      <c r="J6" s="23">
        <f>IFERROR(I6/$D6,"NA")</f>
        <v>0.79096024461307446</v>
      </c>
      <c r="K6" s="15">
        <f>INDEX('Population and Broadband subs'!$D$740:$D$841,MATCH($C6,'Population and Broadband subs'!$A$740:$A$841,0))</f>
        <v>155524</v>
      </c>
      <c r="L6" s="23">
        <f>IFERROR(K6/$D6,"NA")</f>
        <v>1.9482160164241209E-2</v>
      </c>
      <c r="M6" s="15">
        <f>INDEX('Population and Broadband subs'!$D$844:$D$945,MATCH($C6,'Population and Broadband subs'!$A$844:$A$945,0))</f>
        <v>664259</v>
      </c>
      <c r="N6" s="23">
        <f>IFERROR(M6/$D6,"NA")</f>
        <v>8.3210309846317623E-2</v>
      </c>
      <c r="O6" s="15">
        <f>INDEX('Population and Broadband subs'!$D$948:$D$1049,MATCH($C6,'Population and Broadband subs'!$A$948:$A$1049,0))</f>
        <v>0</v>
      </c>
      <c r="P6" s="23">
        <f>IFERROR(O6/$D6,"NA")</f>
        <v>0</v>
      </c>
      <c r="Q6" t="str">
        <f>IF(COUNT(R6:W6)=0,"NA",INDEX($R$4:$W$4,MATCH(MAX(R6:W6),R6:W6,0)))</f>
        <v>Fiber</v>
      </c>
      <c r="R6" s="23">
        <f>F6</f>
        <v>7.614156922809813E-2</v>
      </c>
      <c r="S6" s="23">
        <f>H6</f>
        <v>3.0205716148268554E-2</v>
      </c>
      <c r="T6" s="23">
        <f>J6</f>
        <v>0.79096024461307446</v>
      </c>
      <c r="U6" s="23">
        <f>L6</f>
        <v>1.9482160164241209E-2</v>
      </c>
      <c r="V6" s="23">
        <f>N6</f>
        <v>8.3210309846317623E-2</v>
      </c>
      <c r="W6" s="23">
        <f>P6</f>
        <v>0</v>
      </c>
      <c r="Y6" t="s">
        <v>636</v>
      </c>
      <c r="Z6">
        <f t="shared" si="0"/>
        <v>12</v>
      </c>
    </row>
    <row r="7" spans="1:26" x14ac:dyDescent="0.25">
      <c r="B7" t="str">
        <f>'Starlink countries with data'!B7</f>
        <v>Cambodia</v>
      </c>
      <c r="C7" t="str">
        <f>'Starlink countries with data'!D7</f>
        <v>Cambodia</v>
      </c>
      <c r="D7" s="15">
        <f>INDEX('Population and Broadband subs'!$D$324:$D$425,MATCH($C7,'Population and Broadband subs'!$A$324:$A$425,0))</f>
        <v>760035</v>
      </c>
      <c r="E7" s="15">
        <f>INDEX('Population and Broadband subs'!$D$428:$D$529,MATCH($C7,'Population and Broadband subs'!$A$428:$A$529,0))</f>
        <v>206933</v>
      </c>
      <c r="F7" s="23">
        <f t="shared" ref="F7:F18" si="1">IFERROR(E7/$D7,"NA")</f>
        <v>0.27226772451268694</v>
      </c>
      <c r="G7" s="15">
        <f>INDEX('Population and Broadband subs'!$D$532:$D$633,MATCH($C7,'Population and Broadband subs'!$A$532:$A$633,0))</f>
        <v>8389</v>
      </c>
      <c r="H7" s="23">
        <f t="shared" ref="H7:H18" si="2">IFERROR(G7/$D7,"NA")</f>
        <v>1.1037649581927149E-2</v>
      </c>
      <c r="I7" s="15">
        <f>INDEX('Population and Broadband subs'!$D$636:$D$737,MATCH($C7,'Population and Broadband subs'!$A$636:$A$737,0))</f>
        <v>347805</v>
      </c>
      <c r="J7" s="23">
        <f t="shared" ref="J7:J18" si="3">IFERROR(I7/$D7,"NA")</f>
        <v>0.45761708342378971</v>
      </c>
      <c r="K7" s="15">
        <f>INDEX('Population and Broadband subs'!$D$740:$D$841,MATCH($C7,'Population and Broadband subs'!$A$740:$A$841,0))</f>
        <v>0</v>
      </c>
      <c r="L7" s="23">
        <f t="shared" ref="L7:L18" si="4">IFERROR(K7/$D7,"NA")</f>
        <v>0</v>
      </c>
      <c r="M7" s="15">
        <f>INDEX('Population and Broadband subs'!$D$844:$D$945,MATCH($C7,'Population and Broadband subs'!$A$844:$A$945,0))</f>
        <v>196909</v>
      </c>
      <c r="N7" s="23">
        <f t="shared" ref="N7:N18" si="5">IFERROR(M7/$D7,"NA")</f>
        <v>0.25907885821047716</v>
      </c>
      <c r="O7" s="15">
        <f>INDEX('Population and Broadband subs'!$D$948:$D$1049,MATCH($C7,'Population and Broadband subs'!$A$948:$A$1049,0))</f>
        <v>0</v>
      </c>
      <c r="P7" s="23">
        <f t="shared" ref="P7:P18" si="6">IFERROR(O7/$D7,"NA")</f>
        <v>0</v>
      </c>
      <c r="Q7" t="str">
        <f t="shared" ref="Q7:Q18" si="7">IF(COUNT(R7:W7)=0,"NA",INDEX($R$4:$W$4,MATCH(MAX(R7:W7),R7:W7,0)))</f>
        <v>Fiber</v>
      </c>
      <c r="R7" s="23">
        <f t="shared" ref="R7:R18" si="8">F7</f>
        <v>0.27226772451268694</v>
      </c>
      <c r="S7" s="23">
        <f t="shared" ref="S7:S18" si="9">H7</f>
        <v>1.1037649581927149E-2</v>
      </c>
      <c r="T7" s="23">
        <f t="shared" ref="T7:T18" si="10">J7</f>
        <v>0.45761708342378971</v>
      </c>
      <c r="U7" s="23">
        <f t="shared" ref="U7:U18" si="11">L7</f>
        <v>0</v>
      </c>
      <c r="V7" s="23">
        <f t="shared" ref="V7:V18" si="12">N7</f>
        <v>0.25907885821047716</v>
      </c>
      <c r="W7" s="23">
        <f t="shared" ref="W7:W18" si="13">P7</f>
        <v>0</v>
      </c>
      <c r="Y7" t="s">
        <v>637</v>
      </c>
      <c r="Z7">
        <f t="shared" si="0"/>
        <v>56</v>
      </c>
    </row>
    <row r="8" spans="1:26" x14ac:dyDescent="0.25">
      <c r="B8" t="str">
        <f>'Starlink countries with data'!B8</f>
        <v>Indonesia</v>
      </c>
      <c r="C8" t="str">
        <f>'Starlink countries with data'!D8</f>
        <v>Indonesia</v>
      </c>
      <c r="D8" s="15">
        <f>INDEX('Population and Broadband subs'!$D$324:$D$425,MATCH($C8,'Population and Broadband subs'!$A$324:$A$425,0))</f>
        <v>18616010</v>
      </c>
      <c r="E8" s="15">
        <f>INDEX('Population and Broadband subs'!$D$428:$D$529,MATCH($C8,'Population and Broadband subs'!$A$428:$A$529,0))</f>
        <v>690123</v>
      </c>
      <c r="F8" s="23">
        <f t="shared" si="1"/>
        <v>3.7071477722669895E-2</v>
      </c>
      <c r="G8" s="15">
        <f>INDEX('Population and Broadband subs'!$D$532:$D$633,MATCH($C8,'Population and Broadband subs'!$A$532:$A$633,0))</f>
        <v>835959</v>
      </c>
      <c r="H8" s="23">
        <f t="shared" si="2"/>
        <v>4.4905379831661027E-2</v>
      </c>
      <c r="I8" s="15">
        <f>INDEX('Population and Broadband subs'!$D$636:$D$737,MATCH($C8,'Population and Broadband subs'!$A$636:$A$737,0))</f>
        <v>17012819</v>
      </c>
      <c r="J8" s="23">
        <f t="shared" si="3"/>
        <v>0.91388106259074853</v>
      </c>
      <c r="K8" s="15">
        <f>INDEX('Population and Broadband subs'!$D$740:$D$841,MATCH($C8,'Population and Broadband subs'!$A$740:$A$841,0))</f>
        <v>7348</v>
      </c>
      <c r="L8" s="23">
        <f t="shared" si="4"/>
        <v>3.9471401229371921E-4</v>
      </c>
      <c r="M8" s="15">
        <f>INDEX('Population and Broadband subs'!$D$844:$D$945,MATCH($C8,'Population and Broadband subs'!$A$844:$A$945,0))</f>
        <v>69760</v>
      </c>
      <c r="N8" s="23">
        <f t="shared" si="5"/>
        <v>3.7473121254232244E-3</v>
      </c>
      <c r="O8" s="15">
        <f>INDEX('Population and Broadband subs'!$D$948:$D$1049,MATCH($C8,'Population and Broadband subs'!$A$948:$A$1049,0))</f>
        <v>0</v>
      </c>
      <c r="P8" s="23">
        <f t="shared" si="6"/>
        <v>0</v>
      </c>
      <c r="Q8" t="str">
        <f t="shared" si="7"/>
        <v>Fiber</v>
      </c>
      <c r="R8" s="23">
        <f t="shared" si="8"/>
        <v>3.7071477722669895E-2</v>
      </c>
      <c r="S8" s="23">
        <f t="shared" si="9"/>
        <v>4.4905379831661027E-2</v>
      </c>
      <c r="T8" s="23">
        <f t="shared" si="10"/>
        <v>0.91388106259074853</v>
      </c>
      <c r="U8" s="23">
        <f t="shared" si="11"/>
        <v>3.9471401229371921E-4</v>
      </c>
      <c r="V8" s="23">
        <f t="shared" si="12"/>
        <v>3.7473121254232244E-3</v>
      </c>
      <c r="W8" s="23">
        <f t="shared" si="13"/>
        <v>0</v>
      </c>
      <c r="Y8" t="s">
        <v>638</v>
      </c>
      <c r="Z8">
        <f t="shared" si="0"/>
        <v>0</v>
      </c>
    </row>
    <row r="9" spans="1:26" x14ac:dyDescent="0.25">
      <c r="B9" t="str">
        <f>'Starlink countries with data'!B9</f>
        <v>Japan</v>
      </c>
      <c r="C9" t="str">
        <f>'Starlink countries with data'!D9</f>
        <v>Japan</v>
      </c>
      <c r="D9" s="15">
        <f>INDEX('Population and Broadband subs'!$D$324:$D$425,MATCH($C9,'Population and Broadband subs'!$A$324:$A$425,0))</f>
        <v>53909050</v>
      </c>
      <c r="E9" s="15">
        <f>INDEX('Population and Broadband subs'!$D$428:$D$529,MATCH($C9,'Population and Broadband subs'!$A$428:$A$529,0))</f>
        <v>5899658</v>
      </c>
      <c r="F9" s="23">
        <f t="shared" si="1"/>
        <v>0.10943724662185662</v>
      </c>
      <c r="G9" s="15">
        <f>INDEX('Population and Broadband subs'!$D$532:$D$633,MATCH($C9,'Population and Broadband subs'!$A$532:$A$633,0))</f>
        <v>28861</v>
      </c>
      <c r="H9" s="23">
        <f t="shared" si="2"/>
        <v>5.3536465584164443E-4</v>
      </c>
      <c r="I9" s="15">
        <f>INDEX('Population and Broadband subs'!$D$636:$D$737,MATCH($C9,'Population and Broadband subs'!$A$636:$A$737,0))</f>
        <v>43180175</v>
      </c>
      <c r="J9" s="23">
        <f t="shared" si="3"/>
        <v>0.80098193160517572</v>
      </c>
      <c r="K9" s="15">
        <f>INDEX('Population and Broadband subs'!$D$740:$D$841,MATCH($C9,'Population and Broadband subs'!$A$740:$A$841,0))</f>
        <v>2195</v>
      </c>
      <c r="L9" s="23">
        <f t="shared" si="4"/>
        <v>4.0716725670365182E-5</v>
      </c>
      <c r="M9" s="15">
        <f>INDEX('Population and Broadband subs'!$D$844:$D$945,MATCH($C9,'Population and Broadband subs'!$A$844:$A$945,0))</f>
        <v>4798162</v>
      </c>
      <c r="N9" s="23">
        <f t="shared" si="5"/>
        <v>8.9004758941216733E-2</v>
      </c>
      <c r="O9" s="15">
        <f>INDEX('Population and Broadband subs'!$D$948:$D$1049,MATCH($C9,'Population and Broadband subs'!$A$948:$A$1049,0))</f>
        <v>0</v>
      </c>
      <c r="P9" s="23">
        <f t="shared" si="6"/>
        <v>0</v>
      </c>
      <c r="Q9" t="str">
        <f t="shared" si="7"/>
        <v>Fiber</v>
      </c>
      <c r="R9" s="23">
        <f t="shared" si="8"/>
        <v>0.10943724662185662</v>
      </c>
      <c r="S9" s="23">
        <f t="shared" si="9"/>
        <v>5.3536465584164443E-4</v>
      </c>
      <c r="T9" s="23">
        <f t="shared" si="10"/>
        <v>0.80098193160517572</v>
      </c>
      <c r="U9" s="23">
        <f t="shared" si="11"/>
        <v>4.0716725670365182E-5</v>
      </c>
      <c r="V9" s="23">
        <f t="shared" si="12"/>
        <v>8.9004758941216733E-2</v>
      </c>
      <c r="W9" s="23">
        <f t="shared" si="13"/>
        <v>0</v>
      </c>
      <c r="Y9" t="s">
        <v>639</v>
      </c>
      <c r="Z9">
        <f t="shared" si="0"/>
        <v>1</v>
      </c>
    </row>
    <row r="10" spans="1:26" x14ac:dyDescent="0.25">
      <c r="B10" t="str">
        <f>'Starlink countries with data'!B10</f>
        <v>Korea, Republic of</v>
      </c>
      <c r="C10" t="str">
        <f>'Starlink countries with data'!D10</f>
        <v>South Korea</v>
      </c>
      <c r="D10" s="15">
        <f>INDEX('Population and Broadband subs'!$D$324:$D$425,MATCH($C10,'Population and Broadband subs'!$A$324:$A$425,0))</f>
        <v>25060177</v>
      </c>
      <c r="E10" s="15">
        <f>INDEX('Population and Broadband subs'!$D$428:$D$529,MATCH($C10,'Population and Broadband subs'!$A$428:$A$529,0))</f>
        <v>1716155</v>
      </c>
      <c r="F10" s="23">
        <f t="shared" si="1"/>
        <v>6.8481359888240209E-2</v>
      </c>
      <c r="G10" s="15">
        <f>INDEX('Population and Broadband subs'!$D$532:$D$633,MATCH($C10,'Population and Broadband subs'!$A$532:$A$633,0))</f>
        <v>195475</v>
      </c>
      <c r="H10" s="23">
        <f t="shared" si="2"/>
        <v>7.8002242362454188E-3</v>
      </c>
      <c r="I10" s="15">
        <f>INDEX('Population and Broadband subs'!$D$636:$D$737,MATCH($C10,'Population and Broadband subs'!$A$636:$A$737,0))</f>
        <v>23148548</v>
      </c>
      <c r="J10" s="23">
        <f t="shared" si="3"/>
        <v>0.92371845577946232</v>
      </c>
      <c r="K10" s="15">
        <f>INDEX('Population and Broadband subs'!$D$740:$D$841,MATCH($C10,'Population and Broadband subs'!$A$740:$A$841,0))</f>
        <v>0</v>
      </c>
      <c r="L10" s="23">
        <f t="shared" si="4"/>
        <v>0</v>
      </c>
      <c r="M10" s="15">
        <f>INDEX('Population and Broadband subs'!$D$844:$D$945,MATCH($C10,'Population and Broadband subs'!$A$844:$A$945,0))</f>
        <v>0</v>
      </c>
      <c r="N10" s="23">
        <f t="shared" si="5"/>
        <v>0</v>
      </c>
      <c r="O10" s="15">
        <f>INDEX('Population and Broadband subs'!$D$948:$D$1049,MATCH($C10,'Population and Broadband subs'!$A$948:$A$1049,0))</f>
        <v>0</v>
      </c>
      <c r="P10" s="23">
        <f t="shared" si="6"/>
        <v>0</v>
      </c>
      <c r="Q10" t="str">
        <f t="shared" si="7"/>
        <v>Fiber</v>
      </c>
      <c r="R10" s="23">
        <f t="shared" si="8"/>
        <v>6.8481359888240209E-2</v>
      </c>
      <c r="S10" s="23">
        <f t="shared" si="9"/>
        <v>7.8002242362454188E-3</v>
      </c>
      <c r="T10" s="23">
        <f t="shared" si="10"/>
        <v>0.92371845577946232</v>
      </c>
      <c r="U10" s="23">
        <f t="shared" si="11"/>
        <v>0</v>
      </c>
      <c r="V10" s="23">
        <f t="shared" si="12"/>
        <v>0</v>
      </c>
      <c r="W10" s="23">
        <f t="shared" si="13"/>
        <v>0</v>
      </c>
      <c r="Y10" t="s">
        <v>640</v>
      </c>
      <c r="Z10">
        <f t="shared" si="0"/>
        <v>0</v>
      </c>
    </row>
    <row r="11" spans="1:26" x14ac:dyDescent="0.25">
      <c r="B11" t="str">
        <f>'Starlink countries with data'!B11</f>
        <v>Lao People's Democratic Republic</v>
      </c>
      <c r="C11" t="str">
        <f>'Starlink countries with data'!D11</f>
        <v>Laos</v>
      </c>
      <c r="D11" s="15">
        <f>INDEX('Population and Broadband subs'!$D$324:$D$425,MATCH($C11,'Population and Broadband subs'!$A$324:$A$425,0))</f>
        <v>271294</v>
      </c>
      <c r="E11" s="15">
        <f>INDEX('Population and Broadband subs'!$D$428:$D$529,MATCH($C11,'Population and Broadband subs'!$A$428:$A$529,0))</f>
        <v>221</v>
      </c>
      <c r="F11" s="23">
        <f t="shared" si="1"/>
        <v>8.146144035621871E-4</v>
      </c>
      <c r="G11" s="15">
        <f>INDEX('Population and Broadband subs'!$D$532:$D$633,MATCH($C11,'Population and Broadband subs'!$A$532:$A$633,0))</f>
        <v>551</v>
      </c>
      <c r="H11" s="23">
        <f t="shared" si="2"/>
        <v>2.0310069518677154E-3</v>
      </c>
      <c r="I11" s="15">
        <f>INDEX('Population and Broadband subs'!$D$636:$D$737,MATCH($C11,'Population and Broadband subs'!$A$636:$A$737,0))</f>
        <v>270224</v>
      </c>
      <c r="J11" s="23">
        <f t="shared" si="3"/>
        <v>0.9960559393130699</v>
      </c>
      <c r="K11" s="15">
        <f>INDEX('Population and Broadband subs'!$D$740:$D$841,MATCH($C11,'Population and Broadband subs'!$A$740:$A$841,0))</f>
        <v>0</v>
      </c>
      <c r="L11" s="23">
        <f t="shared" si="4"/>
        <v>0</v>
      </c>
      <c r="M11" s="15">
        <f>INDEX('Population and Broadband subs'!$D$844:$D$945,MATCH($C11,'Population and Broadband subs'!$A$844:$A$945,0))</f>
        <v>299</v>
      </c>
      <c r="N11" s="23">
        <f t="shared" si="5"/>
        <v>1.1021253695253121E-3</v>
      </c>
      <c r="O11" s="15">
        <f>INDEX('Population and Broadband subs'!$D$948:$D$1049,MATCH($C11,'Population and Broadband subs'!$A$948:$A$1049,0))</f>
        <v>0</v>
      </c>
      <c r="P11" s="23">
        <f t="shared" si="6"/>
        <v>0</v>
      </c>
      <c r="Q11" t="str">
        <f t="shared" si="7"/>
        <v>Fiber</v>
      </c>
      <c r="R11" s="23">
        <f t="shared" si="8"/>
        <v>8.146144035621871E-4</v>
      </c>
      <c r="S11" s="23">
        <f t="shared" si="9"/>
        <v>2.0310069518677154E-3</v>
      </c>
      <c r="T11" s="23">
        <f t="shared" si="10"/>
        <v>0.9960559393130699</v>
      </c>
      <c r="U11" s="23">
        <f t="shared" si="11"/>
        <v>0</v>
      </c>
      <c r="V11" s="23">
        <f t="shared" si="12"/>
        <v>1.1021253695253121E-3</v>
      </c>
      <c r="W11" s="23">
        <f t="shared" si="13"/>
        <v>0</v>
      </c>
      <c r="Y11" t="s">
        <v>644</v>
      </c>
      <c r="Z11">
        <f>COUNTIF($Q$6:$Q$97,"NA")</f>
        <v>2</v>
      </c>
    </row>
    <row r="12" spans="1:26" x14ac:dyDescent="0.25">
      <c r="B12" t="str">
        <f>'Starlink countries with data'!B12</f>
        <v>Malaysia</v>
      </c>
      <c r="C12" t="str">
        <f>'Starlink countries with data'!D12</f>
        <v>Malaysia</v>
      </c>
      <c r="D12" s="15">
        <f>INDEX('Population and Broadband subs'!$D$324:$D$425,MATCH($C12,'Population and Broadband subs'!$A$324:$A$425,0))</f>
        <v>5273631</v>
      </c>
      <c r="E12" s="15">
        <f>INDEX('Population and Broadband subs'!$D$428:$D$529,MATCH($C12,'Population and Broadband subs'!$A$428:$A$529,0))</f>
        <v>0</v>
      </c>
      <c r="F12" s="23">
        <f t="shared" si="1"/>
        <v>0</v>
      </c>
      <c r="G12" s="15">
        <f>INDEX('Population and Broadband subs'!$D$532:$D$633,MATCH($C12,'Population and Broadband subs'!$A$532:$A$633,0))</f>
        <v>0</v>
      </c>
      <c r="H12" s="23">
        <f t="shared" si="2"/>
        <v>0</v>
      </c>
      <c r="I12" s="15">
        <f>INDEX('Population and Broadband subs'!$D$636:$D$737,MATCH($C12,'Population and Broadband subs'!$A$636:$A$737,0))</f>
        <v>5232033</v>
      </c>
      <c r="J12" s="23">
        <f t="shared" si="3"/>
        <v>0.99211207610088759</v>
      </c>
      <c r="K12" s="15">
        <f>INDEX('Population and Broadband subs'!$D$740:$D$841,MATCH($C12,'Population and Broadband subs'!$A$740:$A$841,0))</f>
        <v>16505</v>
      </c>
      <c r="L12" s="23">
        <f t="shared" si="4"/>
        <v>3.129722197097218E-3</v>
      </c>
      <c r="M12" s="15">
        <f>INDEX('Population and Broadband subs'!$D$844:$D$945,MATCH($C12,'Population and Broadband subs'!$A$844:$A$945,0))</f>
        <v>25094</v>
      </c>
      <c r="N12" s="23">
        <f t="shared" si="5"/>
        <v>4.7583913246869187E-3</v>
      </c>
      <c r="O12" s="15">
        <f>INDEX('Population and Broadband subs'!$D$948:$D$1049,MATCH($C12,'Population and Broadband subs'!$A$948:$A$1049,0))</f>
        <v>0</v>
      </c>
      <c r="P12" s="23">
        <f t="shared" si="6"/>
        <v>0</v>
      </c>
      <c r="Q12" t="str">
        <f t="shared" si="7"/>
        <v>Fiber</v>
      </c>
      <c r="R12" s="23">
        <f t="shared" si="8"/>
        <v>0</v>
      </c>
      <c r="S12" s="23">
        <f t="shared" si="9"/>
        <v>0</v>
      </c>
      <c r="T12" s="23">
        <f t="shared" si="10"/>
        <v>0.99211207610088759</v>
      </c>
      <c r="U12" s="23">
        <f t="shared" si="11"/>
        <v>3.129722197097218E-3</v>
      </c>
      <c r="V12" s="23">
        <f t="shared" si="12"/>
        <v>4.7583913246869187E-3</v>
      </c>
      <c r="W12" s="23">
        <f t="shared" si="13"/>
        <v>0</v>
      </c>
    </row>
    <row r="13" spans="1:26" x14ac:dyDescent="0.25">
      <c r="B13" t="str">
        <f>'Starlink countries with data'!B13</f>
        <v>Myanmar</v>
      </c>
      <c r="C13" t="str">
        <f>'Starlink countries with data'!D13</f>
        <v>Myanmar</v>
      </c>
      <c r="D13" s="15">
        <f>INDEX('Population and Broadband subs'!$D$324:$D$425,MATCH($C13,'Population and Broadband subs'!$A$324:$A$425,0))</f>
        <v>1440690</v>
      </c>
      <c r="E13" s="15">
        <f>INDEX('Population and Broadband subs'!$D$428:$D$529,MATCH($C13,'Population and Broadband subs'!$A$428:$A$529,0))</f>
        <v>0</v>
      </c>
      <c r="F13" s="23">
        <f t="shared" si="1"/>
        <v>0</v>
      </c>
      <c r="G13" s="15">
        <f>INDEX('Population and Broadband subs'!$D$532:$D$633,MATCH($C13,'Population and Broadband subs'!$A$532:$A$633,0))</f>
        <v>12117</v>
      </c>
      <c r="H13" s="23">
        <f t="shared" si="2"/>
        <v>8.4105532765549832E-3</v>
      </c>
      <c r="I13" s="15">
        <f>INDEX('Population and Broadband subs'!$D$636:$D$737,MATCH($C13,'Population and Broadband subs'!$A$636:$A$737,0))</f>
        <v>1358307</v>
      </c>
      <c r="J13" s="23">
        <f t="shared" si="3"/>
        <v>0.94281698352872578</v>
      </c>
      <c r="K13" s="15">
        <f>INDEX('Population and Broadband subs'!$D$740:$D$841,MATCH($C13,'Population and Broadband subs'!$A$740:$A$841,0))</f>
        <v>992</v>
      </c>
      <c r="L13" s="23">
        <f t="shared" si="4"/>
        <v>6.8855895438991034E-4</v>
      </c>
      <c r="M13" s="15">
        <f>INDEX('Population and Broadband subs'!$D$844:$D$945,MATCH($C13,'Population and Broadband subs'!$A$844:$A$945,0))</f>
        <v>69275</v>
      </c>
      <c r="N13" s="23">
        <f t="shared" si="5"/>
        <v>4.8084598352178473E-2</v>
      </c>
      <c r="O13" s="15">
        <f>INDEX('Population and Broadband subs'!$D$948:$D$1049,MATCH($C13,'Population and Broadband subs'!$A$948:$A$1049,0))</f>
        <v>0</v>
      </c>
      <c r="P13" s="23">
        <f t="shared" si="6"/>
        <v>0</v>
      </c>
      <c r="Q13" t="str">
        <f t="shared" si="7"/>
        <v>Fiber</v>
      </c>
      <c r="R13" s="23">
        <f t="shared" si="8"/>
        <v>0</v>
      </c>
      <c r="S13" s="23">
        <f t="shared" si="9"/>
        <v>8.4105532765549832E-3</v>
      </c>
      <c r="T13" s="23">
        <f t="shared" si="10"/>
        <v>0.94281698352872578</v>
      </c>
      <c r="U13" s="23">
        <f t="shared" si="11"/>
        <v>6.8855895438991034E-4</v>
      </c>
      <c r="V13" s="23">
        <f t="shared" si="12"/>
        <v>4.8084598352178473E-2</v>
      </c>
      <c r="W13" s="23">
        <f t="shared" si="13"/>
        <v>0</v>
      </c>
    </row>
    <row r="14" spans="1:26" x14ac:dyDescent="0.25">
      <c r="B14" t="str">
        <f>'Starlink countries with data'!B14</f>
        <v>New Zealand</v>
      </c>
      <c r="C14" t="str">
        <f>'Starlink countries with data'!D14</f>
        <v>New Zealand</v>
      </c>
      <c r="D14" s="15">
        <f>INDEX('Population and Broadband subs'!$D$324:$D$425,MATCH($C14,'Population and Broadband subs'!$A$324:$A$425,0))</f>
        <v>1648032</v>
      </c>
      <c r="E14" s="15">
        <f>INDEX('Population and Broadband subs'!$D$428:$D$529,MATCH($C14,'Population and Broadband subs'!$A$428:$A$529,0))</f>
        <v>68583</v>
      </c>
      <c r="F14" s="23">
        <f t="shared" si="1"/>
        <v>4.1615089998252461E-2</v>
      </c>
      <c r="G14" s="15">
        <f>INDEX('Population and Broadband subs'!$D$532:$D$633,MATCH($C14,'Population and Broadband subs'!$A$532:$A$633,0))</f>
        <v>241939</v>
      </c>
      <c r="H14" s="23">
        <f t="shared" si="2"/>
        <v>0.14680479505252325</v>
      </c>
      <c r="I14" s="15">
        <f>INDEX('Population and Broadband subs'!$D$636:$D$737,MATCH($C14,'Population and Broadband subs'!$A$636:$A$737,0))</f>
        <v>987788</v>
      </c>
      <c r="J14" s="23">
        <f t="shared" si="3"/>
        <v>0.59937428399448556</v>
      </c>
      <c r="K14" s="15">
        <f>INDEX('Population and Broadband subs'!$D$740:$D$841,MATCH($C14,'Population and Broadband subs'!$A$740:$A$841,0))</f>
        <v>56600</v>
      </c>
      <c r="L14" s="23">
        <f t="shared" si="4"/>
        <v>3.4343993320518046E-2</v>
      </c>
      <c r="M14" s="15">
        <f>INDEX('Population and Broadband subs'!$D$844:$D$945,MATCH($C14,'Population and Broadband subs'!$A$844:$A$945,0))</f>
        <v>293123</v>
      </c>
      <c r="N14" s="23">
        <f t="shared" si="5"/>
        <v>0.17786244441855498</v>
      </c>
      <c r="O14" s="15">
        <f>INDEX('Population and Broadband subs'!$D$948:$D$1049,MATCH($C14,'Population and Broadband subs'!$A$948:$A$1049,0))</f>
        <v>0</v>
      </c>
      <c r="P14" s="23">
        <f t="shared" si="6"/>
        <v>0</v>
      </c>
      <c r="Q14" t="str">
        <f t="shared" si="7"/>
        <v>Fiber</v>
      </c>
      <c r="R14" s="23">
        <f t="shared" si="8"/>
        <v>4.1615089998252461E-2</v>
      </c>
      <c r="S14" s="23">
        <f t="shared" si="9"/>
        <v>0.14680479505252325</v>
      </c>
      <c r="T14" s="23">
        <f t="shared" si="10"/>
        <v>0.59937428399448556</v>
      </c>
      <c r="U14" s="23">
        <f t="shared" si="11"/>
        <v>3.4343993320518046E-2</v>
      </c>
      <c r="V14" s="23">
        <f t="shared" si="12"/>
        <v>0.17786244441855498</v>
      </c>
      <c r="W14" s="23">
        <f t="shared" si="13"/>
        <v>0</v>
      </c>
    </row>
    <row r="15" spans="1:26" x14ac:dyDescent="0.25">
      <c r="B15" t="str">
        <f>'Starlink countries with data'!B15</f>
        <v>Philippines</v>
      </c>
      <c r="C15" t="str">
        <f>'Starlink countries with data'!D15</f>
        <v>Philippines</v>
      </c>
      <c r="D15" s="15">
        <f>INDEX('Population and Broadband subs'!$D$324:$D$425,MATCH($C15,'Population and Broadband subs'!$A$324:$A$425,0))</f>
        <v>12651229</v>
      </c>
      <c r="E15" s="15">
        <f>INDEX('Population and Broadband subs'!$D$428:$D$529,MATCH($C15,'Population and Broadband subs'!$A$428:$A$529,0))</f>
        <v>534734</v>
      </c>
      <c r="F15" s="23">
        <f t="shared" si="1"/>
        <v>4.2267356001539455E-2</v>
      </c>
      <c r="G15" s="15">
        <f>INDEX('Population and Broadband subs'!$D$532:$D$633,MATCH($C15,'Population and Broadband subs'!$A$532:$A$633,0))</f>
        <v>554119</v>
      </c>
      <c r="H15" s="23">
        <f t="shared" si="2"/>
        <v>4.3799618203101055E-2</v>
      </c>
      <c r="I15" s="15">
        <f>INDEX('Population and Broadband subs'!$D$636:$D$737,MATCH($C15,'Population and Broadband subs'!$A$636:$A$737,0))</f>
        <v>10986596</v>
      </c>
      <c r="J15" s="23">
        <f t="shared" si="3"/>
        <v>0.86842124192044901</v>
      </c>
      <c r="K15" s="15">
        <f>INDEX('Population and Broadband subs'!$D$740:$D$841,MATCH($C15,'Population and Broadband subs'!$A$740:$A$841,0))</f>
        <v>68402</v>
      </c>
      <c r="L15" s="23">
        <f t="shared" si="4"/>
        <v>5.4067474393199267E-3</v>
      </c>
      <c r="M15" s="15">
        <f>INDEX('Population and Broadband subs'!$D$844:$D$945,MATCH($C15,'Population and Broadband subs'!$A$844:$A$945,0))</f>
        <v>500988</v>
      </c>
      <c r="N15" s="23">
        <f t="shared" si="5"/>
        <v>3.959994716718826E-2</v>
      </c>
      <c r="O15" s="15">
        <f>INDEX('Population and Broadband subs'!$D$948:$D$1049,MATCH($C15,'Population and Broadband subs'!$A$948:$A$1049,0))</f>
        <v>6390</v>
      </c>
      <c r="P15" s="23">
        <f t="shared" si="6"/>
        <v>5.05089268402303E-4</v>
      </c>
      <c r="Q15" t="str">
        <f t="shared" si="7"/>
        <v>Fiber</v>
      </c>
      <c r="R15" s="23">
        <f t="shared" si="8"/>
        <v>4.2267356001539455E-2</v>
      </c>
      <c r="S15" s="23">
        <f t="shared" si="9"/>
        <v>4.3799618203101055E-2</v>
      </c>
      <c r="T15" s="23">
        <f t="shared" si="10"/>
        <v>0.86842124192044901</v>
      </c>
      <c r="U15" s="23">
        <f t="shared" si="11"/>
        <v>5.4067474393199267E-3</v>
      </c>
      <c r="V15" s="23">
        <f t="shared" si="12"/>
        <v>3.959994716718826E-2</v>
      </c>
      <c r="W15" s="23">
        <f t="shared" si="13"/>
        <v>5.05089268402303E-4</v>
      </c>
    </row>
    <row r="16" spans="1:26" x14ac:dyDescent="0.25">
      <c r="B16" t="str">
        <f>'Starlink countries with data'!B16</f>
        <v>Singapore</v>
      </c>
      <c r="C16" t="str">
        <f>'Starlink countries with data'!D16</f>
        <v>Singapore</v>
      </c>
      <c r="D16" s="15">
        <f>INDEX('Population and Broadband subs'!$D$324:$D$425,MATCH($C16,'Population and Broadband subs'!$A$324:$A$425,0))</f>
        <v>1527944</v>
      </c>
      <c r="E16" s="15">
        <f>INDEX('Population and Broadband subs'!$D$428:$D$529,MATCH($C16,'Population and Broadband subs'!$A$428:$A$529,0))</f>
        <v>0</v>
      </c>
      <c r="F16" s="23">
        <f t="shared" si="1"/>
        <v>0</v>
      </c>
      <c r="G16" s="15">
        <f>INDEX('Population and Broadband subs'!$D$532:$D$633,MATCH($C16,'Population and Broadband subs'!$A$532:$A$633,0))</f>
        <v>0</v>
      </c>
      <c r="H16" s="23">
        <f t="shared" si="2"/>
        <v>0</v>
      </c>
      <c r="I16" s="15">
        <f>INDEX('Population and Broadband subs'!$D$636:$D$737,MATCH($C16,'Population and Broadband subs'!$A$636:$A$737,0))</f>
        <v>1527944</v>
      </c>
      <c r="J16" s="23">
        <f t="shared" si="3"/>
        <v>1</v>
      </c>
      <c r="K16" s="15">
        <f>INDEX('Population and Broadband subs'!$D$740:$D$841,MATCH($C16,'Population and Broadband subs'!$A$740:$A$841,0))</f>
        <v>0</v>
      </c>
      <c r="L16" s="23">
        <f t="shared" si="4"/>
        <v>0</v>
      </c>
      <c r="M16" s="15">
        <f>INDEX('Population and Broadband subs'!$D$844:$D$945,MATCH($C16,'Population and Broadband subs'!$A$844:$A$945,0))</f>
        <v>0</v>
      </c>
      <c r="N16" s="23">
        <f t="shared" si="5"/>
        <v>0</v>
      </c>
      <c r="O16" s="15">
        <f>INDEX('Population and Broadband subs'!$D$948:$D$1049,MATCH($C16,'Population and Broadband subs'!$A$948:$A$1049,0))</f>
        <v>0</v>
      </c>
      <c r="P16" s="23">
        <f t="shared" si="6"/>
        <v>0</v>
      </c>
      <c r="Q16" t="str">
        <f t="shared" si="7"/>
        <v>Fiber</v>
      </c>
      <c r="R16" s="23">
        <f t="shared" si="8"/>
        <v>0</v>
      </c>
      <c r="S16" s="23">
        <f t="shared" si="9"/>
        <v>0</v>
      </c>
      <c r="T16" s="23">
        <f t="shared" si="10"/>
        <v>1</v>
      </c>
      <c r="U16" s="23">
        <f t="shared" si="11"/>
        <v>0</v>
      </c>
      <c r="V16" s="23">
        <f t="shared" si="12"/>
        <v>0</v>
      </c>
      <c r="W16" s="23">
        <f t="shared" si="13"/>
        <v>0</v>
      </c>
    </row>
    <row r="17" spans="1:23" x14ac:dyDescent="0.25">
      <c r="B17" t="str">
        <f>'Starlink countries with data'!B17</f>
        <v>Taiwan, Province of China</v>
      </c>
      <c r="C17" t="str">
        <f>'Starlink countries with data'!D17</f>
        <v>Taiwan</v>
      </c>
      <c r="D17" s="15">
        <f>INDEX('Population and Broadband subs'!$D$324:$D$425,MATCH($C17,'Population and Broadband subs'!$A$324:$A$425,0))</f>
        <v>7347276</v>
      </c>
      <c r="E17" s="15">
        <f>INDEX('Population and Broadband subs'!$D$428:$D$529,MATCH($C17,'Population and Broadband subs'!$A$428:$A$529,0))</f>
        <v>2543760</v>
      </c>
      <c r="F17" s="23">
        <f t="shared" si="1"/>
        <v>0.3462181085888158</v>
      </c>
      <c r="G17" s="15">
        <f>INDEX('Population and Broadband subs'!$D$532:$D$633,MATCH($C17,'Population and Broadband subs'!$A$532:$A$633,0))</f>
        <v>181630</v>
      </c>
      <c r="H17" s="23">
        <f t="shared" si="2"/>
        <v>2.4720726429767984E-2</v>
      </c>
      <c r="I17" s="15">
        <f>INDEX('Population and Broadband subs'!$D$636:$D$737,MATCH($C17,'Population and Broadband subs'!$A$636:$A$737,0))</f>
        <v>4621886</v>
      </c>
      <c r="J17" s="23">
        <f t="shared" si="3"/>
        <v>0.62906116498141629</v>
      </c>
      <c r="K17" s="15">
        <f>INDEX('Population and Broadband subs'!$D$740:$D$841,MATCH($C17,'Population and Broadband subs'!$A$740:$A$841,0))</f>
        <v>0</v>
      </c>
      <c r="L17" s="23">
        <f t="shared" si="4"/>
        <v>0</v>
      </c>
      <c r="M17" s="15">
        <f>INDEX('Population and Broadband subs'!$D$844:$D$945,MATCH($C17,'Population and Broadband subs'!$A$844:$A$945,0))</f>
        <v>0</v>
      </c>
      <c r="N17" s="23">
        <f t="shared" si="5"/>
        <v>0</v>
      </c>
      <c r="O17" s="15">
        <f>INDEX('Population and Broadband subs'!$D$948:$D$1049,MATCH($C17,'Population and Broadband subs'!$A$948:$A$1049,0))</f>
        <v>0</v>
      </c>
      <c r="P17" s="23">
        <f t="shared" si="6"/>
        <v>0</v>
      </c>
      <c r="Q17" t="str">
        <f t="shared" si="7"/>
        <v>Fiber</v>
      </c>
      <c r="R17" s="23">
        <f t="shared" si="8"/>
        <v>0.3462181085888158</v>
      </c>
      <c r="S17" s="23">
        <f t="shared" si="9"/>
        <v>2.4720726429767984E-2</v>
      </c>
      <c r="T17" s="23">
        <f t="shared" si="10"/>
        <v>0.62906116498141629</v>
      </c>
      <c r="U17" s="23">
        <f t="shared" si="11"/>
        <v>0</v>
      </c>
      <c r="V17" s="23">
        <f t="shared" si="12"/>
        <v>0</v>
      </c>
      <c r="W17" s="23">
        <f t="shared" si="13"/>
        <v>0</v>
      </c>
    </row>
    <row r="18" spans="1:23" x14ac:dyDescent="0.25">
      <c r="B18" t="str">
        <f>'Starlink countries with data'!B18</f>
        <v>Viet Nam</v>
      </c>
      <c r="C18" t="str">
        <f>'Starlink countries with data'!D18</f>
        <v>Vietnam</v>
      </c>
      <c r="D18" s="15">
        <f>INDEX('Population and Broadband subs'!$D$324:$D$425,MATCH($C18,'Population and Broadband subs'!$A$324:$A$425,0))</f>
        <v>24897638</v>
      </c>
      <c r="E18" s="15">
        <f>INDEX('Population and Broadband subs'!$D$428:$D$529,MATCH($C18,'Population and Broadband subs'!$A$428:$A$529,0))</f>
        <v>656390</v>
      </c>
      <c r="F18" s="23">
        <f t="shared" si="1"/>
        <v>2.6363545007763386E-2</v>
      </c>
      <c r="G18" s="15">
        <f>INDEX('Population and Broadband subs'!$D$532:$D$633,MATCH($C18,'Population and Broadband subs'!$A$532:$A$633,0))</f>
        <v>14182</v>
      </c>
      <c r="H18" s="23">
        <f t="shared" si="2"/>
        <v>5.6961226603101866E-4</v>
      </c>
      <c r="I18" s="15">
        <f>INDEX('Population and Broadband subs'!$D$636:$D$737,MATCH($C18,'Population and Broadband subs'!$A$636:$A$737,0))</f>
        <v>24197131</v>
      </c>
      <c r="J18" s="23">
        <f t="shared" si="3"/>
        <v>0.9718645198391912</v>
      </c>
      <c r="K18" s="15">
        <f>INDEX('Population and Broadband subs'!$D$740:$D$841,MATCH($C18,'Population and Broadband subs'!$A$740:$A$841,0))</f>
        <v>0</v>
      </c>
      <c r="L18" s="23">
        <f t="shared" si="4"/>
        <v>0</v>
      </c>
      <c r="M18" s="15">
        <f>INDEX('Population and Broadband subs'!$D$844:$D$945,MATCH($C18,'Population and Broadband subs'!$A$844:$A$945,0))</f>
        <v>0</v>
      </c>
      <c r="N18" s="23">
        <f t="shared" si="5"/>
        <v>0</v>
      </c>
      <c r="O18" s="15">
        <f>INDEX('Population and Broadband subs'!$D$948:$D$1049,MATCH($C18,'Population and Broadband subs'!$A$948:$A$1049,0))</f>
        <v>29935</v>
      </c>
      <c r="P18" s="23">
        <f t="shared" si="6"/>
        <v>1.2023228870144229E-3</v>
      </c>
      <c r="Q18" t="str">
        <f t="shared" si="7"/>
        <v>Fiber</v>
      </c>
      <c r="R18" s="23">
        <f t="shared" si="8"/>
        <v>2.6363545007763386E-2</v>
      </c>
      <c r="S18" s="23">
        <f t="shared" si="9"/>
        <v>5.6961226603101866E-4</v>
      </c>
      <c r="T18" s="23">
        <f t="shared" si="10"/>
        <v>0.9718645198391912</v>
      </c>
      <c r="U18" s="23">
        <f t="shared" si="11"/>
        <v>0</v>
      </c>
      <c r="V18" s="23">
        <f t="shared" si="12"/>
        <v>0</v>
      </c>
      <c r="W18" s="23">
        <f t="shared" si="13"/>
        <v>1.2023228870144229E-3</v>
      </c>
    </row>
    <row r="19" spans="1:23" x14ac:dyDescent="0.25">
      <c r="R19" s="23"/>
      <c r="S19" s="23"/>
      <c r="T19" s="23"/>
      <c r="U19" s="23"/>
      <c r="V19" s="23"/>
      <c r="W19" s="23"/>
    </row>
    <row r="20" spans="1:23" x14ac:dyDescent="0.25">
      <c r="A20" s="14" t="s">
        <v>610</v>
      </c>
      <c r="B20" s="14"/>
      <c r="C20" s="14"/>
      <c r="D20" s="14"/>
      <c r="E20" s="14"/>
      <c r="F20" s="14"/>
      <c r="G20" s="14"/>
      <c r="H20" s="14"/>
      <c r="I20" s="14"/>
      <c r="J20" s="14"/>
      <c r="K20" s="14"/>
      <c r="L20" s="14"/>
      <c r="M20" s="14"/>
      <c r="N20" s="14"/>
      <c r="O20" s="14"/>
      <c r="P20" s="14"/>
      <c r="Q20" s="14"/>
      <c r="R20" s="24"/>
      <c r="S20" s="24"/>
      <c r="T20" s="24"/>
      <c r="U20" s="24"/>
      <c r="V20" s="24"/>
      <c r="W20" s="24"/>
    </row>
    <row r="21" spans="1:23" x14ac:dyDescent="0.25">
      <c r="B21" t="str">
        <f>'Starlink countries with data'!B21</f>
        <v>Bulgaria</v>
      </c>
      <c r="C21" t="str">
        <f>'Starlink countries with data'!D21</f>
        <v>Bulgaria</v>
      </c>
      <c r="D21" s="15">
        <f>INDEX('Population and Broadband subs'!$D$324:$D$425,MATCH($C21,'Population and Broadband subs'!$A$324:$A$425,0))</f>
        <v>2686193</v>
      </c>
      <c r="E21" s="15">
        <f>INDEX('Population and Broadband subs'!$D$428:$D$529,MATCH($C21,'Population and Broadband subs'!$A$428:$A$529,0))</f>
        <v>218037</v>
      </c>
      <c r="F21" s="23">
        <f t="shared" ref="F21:F33" si="14">IFERROR(E21/$D21,"NA")</f>
        <v>8.1169521326278485E-2</v>
      </c>
      <c r="G21" s="15">
        <f>INDEX('Population and Broadband subs'!$D$532:$D$633,MATCH($C21,'Population and Broadband subs'!$A$532:$A$633,0))</f>
        <v>546314</v>
      </c>
      <c r="H21" s="23">
        <f t="shared" ref="H21:H33" si="15">IFERROR(G21/$D21,"NA")</f>
        <v>0.20337853609178491</v>
      </c>
      <c r="I21" s="15">
        <f>INDEX('Population and Broadband subs'!$D$636:$D$737,MATCH($C21,'Population and Broadband subs'!$A$636:$A$737,0))</f>
        <v>1343251</v>
      </c>
      <c r="J21" s="23">
        <f t="shared" ref="J21:J33" si="16">IFERROR(I21/$D21,"NA")</f>
        <v>0.50005751634376239</v>
      </c>
      <c r="K21" s="15">
        <f>INDEX('Population and Broadband subs'!$D$740:$D$841,MATCH($C21,'Population and Broadband subs'!$A$740:$A$841,0))</f>
        <v>699</v>
      </c>
      <c r="L21" s="23">
        <f t="shared" ref="L21:L33" si="17">IFERROR(K21/$D21,"NA")</f>
        <v>2.6021957469176635E-4</v>
      </c>
      <c r="M21" s="15">
        <f>INDEX('Population and Broadband subs'!$D$844:$D$945,MATCH($C21,'Population and Broadband subs'!$A$844:$A$945,0))</f>
        <v>1015</v>
      </c>
      <c r="N21" s="23">
        <f t="shared" ref="N21:N33" si="18">IFERROR(M21/$D21,"NA")</f>
        <v>3.7785818070406707E-4</v>
      </c>
      <c r="O21" s="15">
        <f>INDEX('Population and Broadband subs'!$D$948:$D$1049,MATCH($C21,'Population and Broadband subs'!$A$948:$A$1049,0))</f>
        <v>576877</v>
      </c>
      <c r="P21" s="23">
        <f t="shared" ref="P21:P33" si="19">IFERROR(O21/$D21,"NA")</f>
        <v>0.21475634848277841</v>
      </c>
      <c r="Q21" t="str">
        <f t="shared" ref="Q21:Q33" si="20">IF(COUNT(R21:W21)=0,"NA",INDEX($R$4:$W$4,MATCH(MAX(R21:W21),R21:W21,0)))</f>
        <v>Fiber</v>
      </c>
      <c r="R21" s="23">
        <f t="shared" ref="R21:R33" si="21">F21</f>
        <v>8.1169521326278485E-2</v>
      </c>
      <c r="S21" s="23">
        <f t="shared" ref="S21:S33" si="22">H21</f>
        <v>0.20337853609178491</v>
      </c>
      <c r="T21" s="23">
        <f t="shared" ref="T21:T33" si="23">J21</f>
        <v>0.50005751634376239</v>
      </c>
      <c r="U21" s="23">
        <f t="shared" ref="U21:U33" si="24">L21</f>
        <v>2.6021957469176635E-4</v>
      </c>
      <c r="V21" s="23">
        <f t="shared" ref="V21:V33" si="25">N21</f>
        <v>3.7785818070406707E-4</v>
      </c>
      <c r="W21" s="23">
        <f t="shared" ref="W21:W33" si="26">P21</f>
        <v>0.21475634848277841</v>
      </c>
    </row>
    <row r="22" spans="1:23" x14ac:dyDescent="0.25">
      <c r="B22" t="str">
        <f>'Starlink countries with data'!B22</f>
        <v>Croatia</v>
      </c>
      <c r="C22" t="str">
        <f>'Starlink countries with data'!D22</f>
        <v>Croatia</v>
      </c>
      <c r="D22" s="15">
        <f>INDEX('Population and Broadband subs'!$D$324:$D$425,MATCH($C22,'Population and Broadband subs'!$A$324:$A$425,0))</f>
        <v>1204292</v>
      </c>
      <c r="E22" s="15">
        <f>INDEX('Population and Broadband subs'!$D$428:$D$529,MATCH($C22,'Population and Broadband subs'!$A$428:$A$529,0))</f>
        <v>144545</v>
      </c>
      <c r="F22" s="23">
        <f t="shared" si="14"/>
        <v>0.12002487768747115</v>
      </c>
      <c r="G22" s="15">
        <f>INDEX('Population and Broadband subs'!$D$532:$D$633,MATCH($C22,'Population and Broadband subs'!$A$532:$A$633,0))</f>
        <v>402870</v>
      </c>
      <c r="H22" s="23">
        <f t="shared" si="15"/>
        <v>0.33452850305407661</v>
      </c>
      <c r="I22" s="15">
        <f>INDEX('Population and Broadband subs'!$D$636:$D$737,MATCH($C22,'Population and Broadband subs'!$A$636:$A$737,0))</f>
        <v>585722</v>
      </c>
      <c r="J22" s="23">
        <f t="shared" si="16"/>
        <v>0.48636211151448322</v>
      </c>
      <c r="K22" s="15">
        <f>INDEX('Population and Broadband subs'!$D$740:$D$841,MATCH($C22,'Population and Broadband subs'!$A$740:$A$841,0))</f>
        <v>12839</v>
      </c>
      <c r="L22" s="23">
        <f t="shared" si="17"/>
        <v>1.066103569566185E-2</v>
      </c>
      <c r="M22" s="15">
        <f>INDEX('Population and Broadband subs'!$D$844:$D$945,MATCH($C22,'Population and Broadband subs'!$A$844:$A$945,0))</f>
        <v>49572</v>
      </c>
      <c r="N22" s="23">
        <f t="shared" si="18"/>
        <v>4.1162774476621949E-2</v>
      </c>
      <c r="O22" s="15">
        <f>INDEX('Population and Broadband subs'!$D$948:$D$1049,MATCH($C22,'Population and Broadband subs'!$A$948:$A$1049,0))</f>
        <v>8745</v>
      </c>
      <c r="P22" s="23">
        <f t="shared" si="19"/>
        <v>7.261527935085511E-3</v>
      </c>
      <c r="Q22" t="str">
        <f t="shared" si="20"/>
        <v>Fiber</v>
      </c>
      <c r="R22" s="23">
        <f t="shared" si="21"/>
        <v>0.12002487768747115</v>
      </c>
      <c r="S22" s="23">
        <f t="shared" si="22"/>
        <v>0.33452850305407661</v>
      </c>
      <c r="T22" s="23">
        <f t="shared" si="23"/>
        <v>0.48636211151448322</v>
      </c>
      <c r="U22" s="23">
        <f t="shared" si="24"/>
        <v>1.066103569566185E-2</v>
      </c>
      <c r="V22" s="23">
        <f t="shared" si="25"/>
        <v>4.1162774476621949E-2</v>
      </c>
      <c r="W22" s="23">
        <f t="shared" si="26"/>
        <v>7.261527935085511E-3</v>
      </c>
    </row>
    <row r="23" spans="1:23" x14ac:dyDescent="0.25">
      <c r="B23" t="str">
        <f>'Starlink countries with data'!B23</f>
        <v>Czechia</v>
      </c>
      <c r="C23" t="str">
        <f>'Starlink countries with data'!D23</f>
        <v>Czechia</v>
      </c>
      <c r="D23" s="15">
        <f>INDEX('Population and Broadband subs'!$D$324:$D$425,MATCH($C23,'Population and Broadband subs'!$A$324:$A$425,0))</f>
        <v>3720133</v>
      </c>
      <c r="E23" s="15">
        <f>INDEX('Population and Broadband subs'!$D$428:$D$529,MATCH($C23,'Population and Broadband subs'!$A$428:$A$529,0))</f>
        <v>590642</v>
      </c>
      <c r="F23" s="23">
        <f t="shared" si="14"/>
        <v>0.15876905476228942</v>
      </c>
      <c r="G23" s="15">
        <f>INDEX('Population and Broadband subs'!$D$532:$D$633,MATCH($C23,'Population and Broadband subs'!$A$532:$A$633,0))</f>
        <v>931443</v>
      </c>
      <c r="H23" s="23">
        <f t="shared" si="15"/>
        <v>0.25037895150522843</v>
      </c>
      <c r="I23" s="15">
        <f>INDEX('Population and Broadband subs'!$D$636:$D$737,MATCH($C23,'Population and Broadband subs'!$A$636:$A$737,0))</f>
        <v>1125520</v>
      </c>
      <c r="J23" s="23">
        <f t="shared" si="16"/>
        <v>0.30254832286910172</v>
      </c>
      <c r="K23" s="15">
        <f>INDEX('Population and Broadband subs'!$D$740:$D$841,MATCH($C23,'Population and Broadband subs'!$A$740:$A$841,0))</f>
        <v>570</v>
      </c>
      <c r="L23" s="23">
        <f t="shared" si="17"/>
        <v>1.5322032841298954E-4</v>
      </c>
      <c r="M23" s="15">
        <f>INDEX('Population and Broadband subs'!$D$844:$D$945,MATCH($C23,'Population and Broadband subs'!$A$844:$A$945,0))</f>
        <v>1067650</v>
      </c>
      <c r="N23" s="23">
        <f t="shared" si="18"/>
        <v>0.28699242742127767</v>
      </c>
      <c r="O23" s="15">
        <f>INDEX('Population and Broadband subs'!$D$948:$D$1049,MATCH($C23,'Population and Broadband subs'!$A$948:$A$1049,0))</f>
        <v>4308</v>
      </c>
      <c r="P23" s="23">
        <f t="shared" si="19"/>
        <v>1.1580231136897525E-3</v>
      </c>
      <c r="Q23" t="str">
        <f t="shared" si="20"/>
        <v>Fiber</v>
      </c>
      <c r="R23" s="23">
        <f t="shared" si="21"/>
        <v>0.15876905476228942</v>
      </c>
      <c r="S23" s="23">
        <f t="shared" si="22"/>
        <v>0.25037895150522843</v>
      </c>
      <c r="T23" s="23">
        <f t="shared" si="23"/>
        <v>0.30254832286910172</v>
      </c>
      <c r="U23" s="23">
        <f t="shared" si="24"/>
        <v>1.5322032841298954E-4</v>
      </c>
      <c r="V23" s="23">
        <f t="shared" si="25"/>
        <v>0.28699242742127767</v>
      </c>
      <c r="W23" s="23">
        <f t="shared" si="26"/>
        <v>1.1580231136897525E-3</v>
      </c>
    </row>
    <row r="24" spans="1:23" x14ac:dyDescent="0.25">
      <c r="B24" t="str">
        <f>'Starlink countries with data'!B24</f>
        <v>Estonia</v>
      </c>
      <c r="C24" t="str">
        <f>'Starlink countries with data'!D24</f>
        <v>Estonia</v>
      </c>
      <c r="D24" s="15">
        <f>INDEX('Population and Broadband subs'!$D$324:$D$425,MATCH($C24,'Population and Broadband subs'!$A$324:$A$425,0))</f>
        <v>498071</v>
      </c>
      <c r="E24" s="15">
        <f>INDEX('Population and Broadband subs'!$D$428:$D$529,MATCH($C24,'Population and Broadband subs'!$A$428:$A$529,0))</f>
        <v>62172</v>
      </c>
      <c r="F24" s="23">
        <f t="shared" si="14"/>
        <v>0.12482557707636061</v>
      </c>
      <c r="G24" s="15">
        <f>INDEX('Population and Broadband subs'!$D$532:$D$633,MATCH($C24,'Population and Broadband subs'!$A$532:$A$633,0))</f>
        <v>59120</v>
      </c>
      <c r="H24" s="23">
        <f t="shared" si="15"/>
        <v>0.1186979366395554</v>
      </c>
      <c r="I24" s="15">
        <f>INDEX('Population and Broadband subs'!$D$636:$D$737,MATCH($C24,'Population and Broadband subs'!$A$636:$A$737,0))</f>
        <v>269970</v>
      </c>
      <c r="J24" s="23">
        <f t="shared" si="16"/>
        <v>0.54203115620062203</v>
      </c>
      <c r="K24" s="15">
        <f>INDEX('Population and Broadband subs'!$D$740:$D$841,MATCH($C24,'Population and Broadband subs'!$A$740:$A$841,0))</f>
        <v>0</v>
      </c>
      <c r="L24" s="23">
        <f t="shared" si="17"/>
        <v>0</v>
      </c>
      <c r="M24" s="15">
        <f>INDEX('Population and Broadband subs'!$D$844:$D$945,MATCH($C24,'Population and Broadband subs'!$A$844:$A$945,0))</f>
        <v>104110</v>
      </c>
      <c r="N24" s="23">
        <f t="shared" si="18"/>
        <v>0.20902642394357432</v>
      </c>
      <c r="O24" s="15">
        <f>INDEX('Population and Broadband subs'!$D$948:$D$1049,MATCH($C24,'Population and Broadband subs'!$A$948:$A$1049,0))</f>
        <v>2700</v>
      </c>
      <c r="P24" s="23">
        <f t="shared" si="19"/>
        <v>5.4209138857713056E-3</v>
      </c>
      <c r="Q24" t="str">
        <f t="shared" si="20"/>
        <v>Fiber</v>
      </c>
      <c r="R24" s="23">
        <f t="shared" si="21"/>
        <v>0.12482557707636061</v>
      </c>
      <c r="S24" s="23">
        <f t="shared" si="22"/>
        <v>0.1186979366395554</v>
      </c>
      <c r="T24" s="23">
        <f t="shared" si="23"/>
        <v>0.54203115620062203</v>
      </c>
      <c r="U24" s="23">
        <f t="shared" si="24"/>
        <v>0</v>
      </c>
      <c r="V24" s="23">
        <f t="shared" si="25"/>
        <v>0.20902642394357432</v>
      </c>
      <c r="W24" s="23">
        <f t="shared" si="26"/>
        <v>5.4209138857713056E-3</v>
      </c>
    </row>
    <row r="25" spans="1:23" x14ac:dyDescent="0.25">
      <c r="B25" t="str">
        <f>'Starlink countries with data'!B25</f>
        <v>Hungary</v>
      </c>
      <c r="C25" t="str">
        <f>'Starlink countries with data'!D25</f>
        <v>Hungary</v>
      </c>
      <c r="D25" s="15">
        <f>INDEX('Population and Broadband subs'!$D$324:$D$425,MATCH($C25,'Population and Broadband subs'!$A$324:$A$425,0))</f>
        <v>3508829</v>
      </c>
      <c r="E25" s="15">
        <f>INDEX('Population and Broadband subs'!$D$428:$D$529,MATCH($C25,'Population and Broadband subs'!$A$428:$A$529,0))</f>
        <v>1319629</v>
      </c>
      <c r="F25" s="23">
        <f t="shared" si="14"/>
        <v>0.37608814792627399</v>
      </c>
      <c r="G25" s="15">
        <f>INDEX('Population and Broadband subs'!$D$532:$D$633,MATCH($C25,'Population and Broadband subs'!$A$532:$A$633,0))</f>
        <v>160214</v>
      </c>
      <c r="H25" s="23">
        <f t="shared" si="15"/>
        <v>4.5660247336077077E-2</v>
      </c>
      <c r="I25" s="15">
        <f>INDEX('Population and Broadband subs'!$D$636:$D$737,MATCH($C25,'Population and Broadband subs'!$A$636:$A$737,0))</f>
        <v>1911457</v>
      </c>
      <c r="J25" s="23">
        <f t="shared" si="16"/>
        <v>0.54475638453740549</v>
      </c>
      <c r="K25" s="15">
        <f>INDEX('Population and Broadband subs'!$D$740:$D$841,MATCH($C25,'Population and Broadband subs'!$A$740:$A$841,0))</f>
        <v>2058</v>
      </c>
      <c r="L25" s="23">
        <f t="shared" si="17"/>
        <v>5.8652046024471407E-4</v>
      </c>
      <c r="M25" s="15">
        <f>INDEX('Population and Broadband subs'!$D$844:$D$945,MATCH($C25,'Population and Broadband subs'!$A$844:$A$945,0))</f>
        <v>115472</v>
      </c>
      <c r="N25" s="23">
        <f t="shared" si="18"/>
        <v>3.2908984735363279E-2</v>
      </c>
      <c r="O25" s="15">
        <f>INDEX('Population and Broadband subs'!$D$948:$D$1049,MATCH($C25,'Population and Broadband subs'!$A$948:$A$1049,0))</f>
        <v>0</v>
      </c>
      <c r="P25" s="23">
        <f t="shared" si="19"/>
        <v>0</v>
      </c>
      <c r="Q25" t="str">
        <f t="shared" si="20"/>
        <v>Fiber</v>
      </c>
      <c r="R25" s="23">
        <f t="shared" si="21"/>
        <v>0.37608814792627399</v>
      </c>
      <c r="S25" s="23">
        <f t="shared" si="22"/>
        <v>4.5660247336077077E-2</v>
      </c>
      <c r="T25" s="23">
        <f t="shared" si="23"/>
        <v>0.54475638453740549</v>
      </c>
      <c r="U25" s="23">
        <f t="shared" si="24"/>
        <v>5.8652046024471407E-4</v>
      </c>
      <c r="V25" s="23">
        <f t="shared" si="25"/>
        <v>3.2908984735363279E-2</v>
      </c>
      <c r="W25" s="23">
        <f t="shared" si="26"/>
        <v>0</v>
      </c>
    </row>
    <row r="26" spans="1:23" x14ac:dyDescent="0.25">
      <c r="B26" t="str">
        <f>'Starlink countries with data'!B26</f>
        <v>Latvia</v>
      </c>
      <c r="C26" t="str">
        <f>'Starlink countries with data'!D26</f>
        <v>Latvia</v>
      </c>
      <c r="D26" s="15">
        <f>INDEX('Population and Broadband subs'!$D$324:$D$425,MATCH($C26,'Population and Broadband subs'!$A$324:$A$425,0))</f>
        <v>479552</v>
      </c>
      <c r="E26" s="15">
        <f>INDEX('Population and Broadband subs'!$D$428:$D$529,MATCH($C26,'Population and Broadband subs'!$A$428:$A$529,0))</f>
        <v>6272</v>
      </c>
      <c r="F26" s="23">
        <f t="shared" si="14"/>
        <v>1.307887361537435E-2</v>
      </c>
      <c r="G26" s="15">
        <f>INDEX('Population and Broadband subs'!$D$532:$D$633,MATCH($C26,'Population and Broadband subs'!$A$532:$A$633,0))</f>
        <v>65133</v>
      </c>
      <c r="H26" s="23">
        <f t="shared" si="15"/>
        <v>0.13582051581476046</v>
      </c>
      <c r="I26" s="15">
        <f>INDEX('Population and Broadband subs'!$D$636:$D$737,MATCH($C26,'Population and Broadband subs'!$A$636:$A$737,0))</f>
        <v>388350</v>
      </c>
      <c r="J26" s="23">
        <f t="shared" si="16"/>
        <v>0.80981833044174567</v>
      </c>
      <c r="K26" s="15">
        <f>INDEX('Population and Broadband subs'!$D$740:$D$841,MATCH($C26,'Population and Broadband subs'!$A$740:$A$841,0))</f>
        <v>4329</v>
      </c>
      <c r="L26" s="23">
        <f t="shared" si="17"/>
        <v>9.0271753636727604E-3</v>
      </c>
      <c r="M26" s="15">
        <f>INDEX('Population and Broadband subs'!$D$844:$D$945,MATCH($C26,'Population and Broadband subs'!$A$844:$A$945,0))</f>
        <v>6098</v>
      </c>
      <c r="N26" s="23">
        <f t="shared" si="18"/>
        <v>1.2716034965968237E-2</v>
      </c>
      <c r="O26" s="15">
        <f>INDEX('Population and Broadband subs'!$D$948:$D$1049,MATCH($C26,'Population and Broadband subs'!$A$948:$A$1049,0))</f>
        <v>9371</v>
      </c>
      <c r="P26" s="23">
        <f t="shared" si="19"/>
        <v>1.9541155078072869E-2</v>
      </c>
      <c r="Q26" t="str">
        <f t="shared" si="20"/>
        <v>Fiber</v>
      </c>
      <c r="R26" s="23">
        <f t="shared" si="21"/>
        <v>1.307887361537435E-2</v>
      </c>
      <c r="S26" s="23">
        <f t="shared" si="22"/>
        <v>0.13582051581476046</v>
      </c>
      <c r="T26" s="23">
        <f t="shared" si="23"/>
        <v>0.80981833044174567</v>
      </c>
      <c r="U26" s="23">
        <f t="shared" si="24"/>
        <v>9.0271753636727604E-3</v>
      </c>
      <c r="V26" s="23">
        <f t="shared" si="25"/>
        <v>1.2716034965968237E-2</v>
      </c>
      <c r="W26" s="23">
        <f t="shared" si="26"/>
        <v>1.9541155078072869E-2</v>
      </c>
    </row>
    <row r="27" spans="1:23" x14ac:dyDescent="0.25">
      <c r="B27" t="str">
        <f>'Starlink countries with data'!B27</f>
        <v>Lithuania</v>
      </c>
      <c r="C27" t="str">
        <f>'Starlink countries with data'!D27</f>
        <v>Lithuania</v>
      </c>
      <c r="D27" s="15">
        <f>INDEX('Population and Broadband subs'!$D$324:$D$425,MATCH($C27,'Population and Broadband subs'!$A$324:$A$425,0))</f>
        <v>779389</v>
      </c>
      <c r="E27" s="15">
        <f>INDEX('Population and Broadband subs'!$D$428:$D$529,MATCH($C27,'Population and Broadband subs'!$A$428:$A$529,0))</f>
        <v>13444</v>
      </c>
      <c r="F27" s="23">
        <f t="shared" si="14"/>
        <v>1.7249409473318201E-2</v>
      </c>
      <c r="G27" s="15">
        <f>INDEX('Population and Broadband subs'!$D$532:$D$633,MATCH($C27,'Population and Broadband subs'!$A$532:$A$633,0))</f>
        <v>93086</v>
      </c>
      <c r="H27" s="23">
        <f t="shared" si="15"/>
        <v>0.11943458273083146</v>
      </c>
      <c r="I27" s="15">
        <f>INDEX('Population and Broadband subs'!$D$636:$D$737,MATCH($C27,'Population and Broadband subs'!$A$636:$A$737,0))</f>
        <v>648328</v>
      </c>
      <c r="J27" s="23">
        <f t="shared" si="16"/>
        <v>0.83184135264931891</v>
      </c>
      <c r="K27" s="15">
        <f>INDEX('Population and Broadband subs'!$D$740:$D$841,MATCH($C27,'Population and Broadband subs'!$A$740:$A$841,0))</f>
        <v>1000</v>
      </c>
      <c r="L27" s="23">
        <f t="shared" si="17"/>
        <v>1.2830563428531836E-3</v>
      </c>
      <c r="M27" s="15">
        <f>INDEX('Population and Broadband subs'!$D$844:$D$945,MATCH($C27,'Population and Broadband subs'!$A$844:$A$945,0))</f>
        <v>21339</v>
      </c>
      <c r="N27" s="23">
        <f t="shared" si="18"/>
        <v>2.7379139300144087E-2</v>
      </c>
      <c r="O27" s="15">
        <f>INDEX('Population and Broadband subs'!$D$948:$D$1049,MATCH($C27,'Population and Broadband subs'!$A$948:$A$1049,0))</f>
        <v>2193</v>
      </c>
      <c r="P27" s="23">
        <f t="shared" si="19"/>
        <v>2.813742559877032E-3</v>
      </c>
      <c r="Q27" t="str">
        <f t="shared" si="20"/>
        <v>Fiber</v>
      </c>
      <c r="R27" s="23">
        <f t="shared" si="21"/>
        <v>1.7249409473318201E-2</v>
      </c>
      <c r="S27" s="23">
        <f t="shared" si="22"/>
        <v>0.11943458273083146</v>
      </c>
      <c r="T27" s="23">
        <f t="shared" si="23"/>
        <v>0.83184135264931891</v>
      </c>
      <c r="U27" s="23">
        <f t="shared" si="24"/>
        <v>1.2830563428531836E-3</v>
      </c>
      <c r="V27" s="23">
        <f t="shared" si="25"/>
        <v>2.7379139300144087E-2</v>
      </c>
      <c r="W27" s="23">
        <f t="shared" si="26"/>
        <v>2.813742559877032E-3</v>
      </c>
    </row>
    <row r="28" spans="1:23" x14ac:dyDescent="0.25">
      <c r="B28" t="str">
        <f>'Starlink countries with data'!B28</f>
        <v>Poland</v>
      </c>
      <c r="C28" t="str">
        <f>'Starlink countries with data'!D28</f>
        <v>Poland</v>
      </c>
      <c r="D28" s="15">
        <f>INDEX('Population and Broadband subs'!$D$324:$D$425,MATCH($C28,'Population and Broadband subs'!$A$324:$A$425,0))</f>
        <v>10421021</v>
      </c>
      <c r="E28" s="15">
        <f>INDEX('Population and Broadband subs'!$D$428:$D$529,MATCH($C28,'Population and Broadband subs'!$A$428:$A$529,0))</f>
        <v>2011696</v>
      </c>
      <c r="F28" s="23">
        <f t="shared" si="14"/>
        <v>0.19304212130462073</v>
      </c>
      <c r="G28" s="15">
        <f>INDEX('Population and Broadband subs'!$D$532:$D$633,MATCH($C28,'Population and Broadband subs'!$A$532:$A$633,0))</f>
        <v>620976</v>
      </c>
      <c r="H28" s="23">
        <f t="shared" si="15"/>
        <v>5.9588786933641148E-2</v>
      </c>
      <c r="I28" s="15">
        <f>INDEX('Population and Broadband subs'!$D$636:$D$737,MATCH($C28,'Population and Broadband subs'!$A$636:$A$737,0))</f>
        <v>7041858</v>
      </c>
      <c r="J28" s="23">
        <f t="shared" si="16"/>
        <v>0.67573589958220026</v>
      </c>
      <c r="K28" s="15">
        <f>INDEX('Population and Broadband subs'!$D$740:$D$841,MATCH($C28,'Population and Broadband subs'!$A$740:$A$841,0))</f>
        <v>0</v>
      </c>
      <c r="L28" s="23">
        <f t="shared" si="17"/>
        <v>0</v>
      </c>
      <c r="M28" s="15">
        <f>INDEX('Population and Broadband subs'!$D$844:$D$945,MATCH($C28,'Population and Broadband subs'!$A$844:$A$945,0))</f>
        <v>393474</v>
      </c>
      <c r="N28" s="23">
        <f t="shared" si="18"/>
        <v>3.7757720668636981E-2</v>
      </c>
      <c r="O28" s="15">
        <f>INDEX('Population and Broadband subs'!$D$948:$D$1049,MATCH($C28,'Population and Broadband subs'!$A$948:$A$1049,0))</f>
        <v>353018</v>
      </c>
      <c r="P28" s="23">
        <f t="shared" si="19"/>
        <v>3.3875567470788133E-2</v>
      </c>
      <c r="Q28" t="str">
        <f t="shared" si="20"/>
        <v>Fiber</v>
      </c>
      <c r="R28" s="23">
        <f t="shared" si="21"/>
        <v>0.19304212130462073</v>
      </c>
      <c r="S28" s="23">
        <f t="shared" si="22"/>
        <v>5.9588786933641148E-2</v>
      </c>
      <c r="T28" s="23">
        <f t="shared" si="23"/>
        <v>0.67573589958220026</v>
      </c>
      <c r="U28" s="23">
        <f t="shared" si="24"/>
        <v>0</v>
      </c>
      <c r="V28" s="23">
        <f t="shared" si="25"/>
        <v>3.7757720668636981E-2</v>
      </c>
      <c r="W28" s="23">
        <f t="shared" si="26"/>
        <v>3.3875567470788133E-2</v>
      </c>
    </row>
    <row r="29" spans="1:23" x14ac:dyDescent="0.25">
      <c r="B29" t="str">
        <f>'Starlink countries with data'!B29</f>
        <v>Romania</v>
      </c>
      <c r="C29" t="str">
        <f>'Starlink countries with data'!D29</f>
        <v>Romania</v>
      </c>
      <c r="D29" s="15">
        <f>INDEX('Population and Broadband subs'!$D$324:$D$425,MATCH($C29,'Population and Broadband subs'!$A$324:$A$425,0))</f>
        <v>7148437</v>
      </c>
      <c r="E29" s="15">
        <f>INDEX('Population and Broadband subs'!$D$428:$D$529,MATCH($C29,'Population and Broadband subs'!$A$428:$A$529,0))</f>
        <v>590633</v>
      </c>
      <c r="F29" s="23">
        <f t="shared" si="14"/>
        <v>8.2624075724525514E-2</v>
      </c>
      <c r="G29" s="15">
        <f>INDEX('Population and Broadband subs'!$D$532:$D$633,MATCH($C29,'Population and Broadband subs'!$A$532:$A$633,0))</f>
        <v>10785</v>
      </c>
      <c r="H29" s="23">
        <f t="shared" si="15"/>
        <v>1.5087214170034652E-3</v>
      </c>
      <c r="I29" s="15">
        <f>INDEX('Population and Broadband subs'!$D$636:$D$737,MATCH($C29,'Population and Broadband subs'!$A$636:$A$737,0))</f>
        <v>6391145</v>
      </c>
      <c r="J29" s="23">
        <f t="shared" si="16"/>
        <v>0.89406187674312576</v>
      </c>
      <c r="K29" s="15">
        <f>INDEX('Population and Broadband subs'!$D$740:$D$841,MATCH($C29,'Population and Broadband subs'!$A$740:$A$841,0))</f>
        <v>0</v>
      </c>
      <c r="L29" s="23">
        <f t="shared" si="17"/>
        <v>0</v>
      </c>
      <c r="M29" s="15">
        <f>INDEX('Population and Broadband subs'!$D$844:$D$945,MATCH($C29,'Population and Broadband subs'!$A$844:$A$945,0))</f>
        <v>30602</v>
      </c>
      <c r="N29" s="23">
        <f t="shared" si="18"/>
        <v>4.2809358185572598E-3</v>
      </c>
      <c r="O29" s="15">
        <f>INDEX('Population and Broadband subs'!$D$948:$D$1049,MATCH($C29,'Population and Broadband subs'!$A$948:$A$1049,0))</f>
        <v>125271</v>
      </c>
      <c r="P29" s="23">
        <f t="shared" si="19"/>
        <v>1.7524250406067789E-2</v>
      </c>
      <c r="Q29" t="str">
        <f t="shared" si="20"/>
        <v>Fiber</v>
      </c>
      <c r="R29" s="23">
        <f t="shared" si="21"/>
        <v>8.2624075724525514E-2</v>
      </c>
      <c r="S29" s="23">
        <f t="shared" si="22"/>
        <v>1.5087214170034652E-3</v>
      </c>
      <c r="T29" s="23">
        <f t="shared" si="23"/>
        <v>0.89406187674312576</v>
      </c>
      <c r="U29" s="23">
        <f t="shared" si="24"/>
        <v>0</v>
      </c>
      <c r="V29" s="23">
        <f t="shared" si="25"/>
        <v>4.2809358185572598E-3</v>
      </c>
      <c r="W29" s="23">
        <f t="shared" si="26"/>
        <v>1.7524250406067789E-2</v>
      </c>
    </row>
    <row r="30" spans="1:23" x14ac:dyDescent="0.25">
      <c r="B30" t="str">
        <f>'Starlink countries with data'!B30</f>
        <v>Serbia</v>
      </c>
      <c r="C30" t="str">
        <f>'Starlink countries with data'!D30</f>
        <v>Serbia</v>
      </c>
      <c r="D30" s="15">
        <f>INDEX('Population and Broadband subs'!$D$324:$D$425,MATCH($C30,'Population and Broadband subs'!$A$324:$A$425,0))</f>
        <v>2293279</v>
      </c>
      <c r="E30" s="15">
        <f>INDEX('Population and Broadband subs'!$D$428:$D$529,MATCH($C30,'Population and Broadband subs'!$A$428:$A$529,0))</f>
        <v>824360</v>
      </c>
      <c r="F30" s="23">
        <f t="shared" si="14"/>
        <v>0.3594678187869858</v>
      </c>
      <c r="G30" s="15">
        <f>INDEX('Population and Broadband subs'!$D$532:$D$633,MATCH($C30,'Population and Broadband subs'!$A$532:$A$633,0))</f>
        <v>479028</v>
      </c>
      <c r="H30" s="23">
        <f t="shared" si="15"/>
        <v>0.20888343720934086</v>
      </c>
      <c r="I30" s="15">
        <f>INDEX('Population and Broadband subs'!$D$636:$D$737,MATCH($C30,'Population and Broadband subs'!$A$636:$A$737,0))</f>
        <v>889967</v>
      </c>
      <c r="J30" s="23">
        <f t="shared" si="16"/>
        <v>0.38807620006113519</v>
      </c>
      <c r="K30" s="15">
        <f>INDEX('Population and Broadband subs'!$D$740:$D$841,MATCH($C30,'Population and Broadband subs'!$A$740:$A$841,0))</f>
        <v>0</v>
      </c>
      <c r="L30" s="23">
        <f t="shared" si="17"/>
        <v>0</v>
      </c>
      <c r="M30" s="15">
        <f>INDEX('Population and Broadband subs'!$D$844:$D$945,MATCH($C30,'Population and Broadband subs'!$A$844:$A$945,0))</f>
        <v>89379</v>
      </c>
      <c r="N30" s="23">
        <f t="shared" si="18"/>
        <v>3.8974324537049354E-2</v>
      </c>
      <c r="O30" s="15">
        <f>INDEX('Population and Broadband subs'!$D$948:$D$1049,MATCH($C30,'Population and Broadband subs'!$A$948:$A$1049,0))</f>
        <v>10545</v>
      </c>
      <c r="P30" s="23">
        <f t="shared" si="19"/>
        <v>4.598219405488822E-3</v>
      </c>
      <c r="Q30" t="str">
        <f t="shared" si="20"/>
        <v>Fiber</v>
      </c>
      <c r="R30" s="23">
        <f t="shared" si="21"/>
        <v>0.3594678187869858</v>
      </c>
      <c r="S30" s="23">
        <f t="shared" si="22"/>
        <v>0.20888343720934086</v>
      </c>
      <c r="T30" s="23">
        <f t="shared" si="23"/>
        <v>0.38807620006113519</v>
      </c>
      <c r="U30" s="23">
        <f t="shared" si="24"/>
        <v>0</v>
      </c>
      <c r="V30" s="23">
        <f t="shared" si="25"/>
        <v>3.8974324537049354E-2</v>
      </c>
      <c r="W30" s="23">
        <f t="shared" si="26"/>
        <v>4.598219405488822E-3</v>
      </c>
    </row>
    <row r="31" spans="1:23" x14ac:dyDescent="0.25">
      <c r="B31" t="str">
        <f>'Starlink countries with data'!B31</f>
        <v>Slovakia</v>
      </c>
      <c r="C31" t="str">
        <f>'Starlink countries with data'!D31</f>
        <v>Slovakia</v>
      </c>
      <c r="D31" s="15">
        <f>INDEX('Population and Broadband subs'!$D$324:$D$425,MATCH($C31,'Population and Broadband subs'!$A$324:$A$425,0))</f>
        <v>1759589</v>
      </c>
      <c r="E31" s="15">
        <f>INDEX('Population and Broadband subs'!$D$428:$D$529,MATCH($C31,'Population and Broadband subs'!$A$428:$A$529,0))</f>
        <v>168441</v>
      </c>
      <c r="F31" s="23">
        <f t="shared" si="14"/>
        <v>9.5727468175806962E-2</v>
      </c>
      <c r="G31" s="15">
        <f>INDEX('Population and Broadband subs'!$D$532:$D$633,MATCH($C31,'Population and Broadband subs'!$A$532:$A$633,0))</f>
        <v>256158</v>
      </c>
      <c r="H31" s="23">
        <f t="shared" si="15"/>
        <v>0.14557831402674148</v>
      </c>
      <c r="I31" s="15">
        <f>INDEX('Population and Broadband subs'!$D$636:$D$737,MATCH($C31,'Population and Broadband subs'!$A$636:$A$737,0))</f>
        <v>1175913</v>
      </c>
      <c r="J31" s="23">
        <f t="shared" si="16"/>
        <v>0.66828844690436229</v>
      </c>
      <c r="K31" s="15">
        <f>INDEX('Population and Broadband subs'!$D$740:$D$841,MATCH($C31,'Population and Broadband subs'!$A$740:$A$841,0))</f>
        <v>604</v>
      </c>
      <c r="L31" s="23">
        <f t="shared" si="17"/>
        <v>3.4326197765500923E-4</v>
      </c>
      <c r="M31" s="15">
        <f>INDEX('Population and Broadband subs'!$D$844:$D$945,MATCH($C31,'Population and Broadband subs'!$A$844:$A$945,0))</f>
        <v>147650</v>
      </c>
      <c r="N31" s="23">
        <f t="shared" si="18"/>
        <v>8.3911640729738599E-2</v>
      </c>
      <c r="O31" s="15">
        <f>INDEX('Population and Broadband subs'!$D$948:$D$1049,MATCH($C31,'Population and Broadband subs'!$A$948:$A$1049,0))</f>
        <v>10824</v>
      </c>
      <c r="P31" s="23">
        <f t="shared" si="19"/>
        <v>6.151436500228178E-3</v>
      </c>
      <c r="Q31" t="str">
        <f t="shared" si="20"/>
        <v>Fiber</v>
      </c>
      <c r="R31" s="23">
        <f t="shared" si="21"/>
        <v>9.5727468175806962E-2</v>
      </c>
      <c r="S31" s="23">
        <f t="shared" si="22"/>
        <v>0.14557831402674148</v>
      </c>
      <c r="T31" s="23">
        <f t="shared" si="23"/>
        <v>0.66828844690436229</v>
      </c>
      <c r="U31" s="23">
        <f t="shared" si="24"/>
        <v>3.4326197765500923E-4</v>
      </c>
      <c r="V31" s="23">
        <f t="shared" si="25"/>
        <v>8.3911640729738599E-2</v>
      </c>
      <c r="W31" s="23">
        <f t="shared" si="26"/>
        <v>6.151436500228178E-3</v>
      </c>
    </row>
    <row r="32" spans="1:23" x14ac:dyDescent="0.25">
      <c r="B32" t="str">
        <f>'Starlink countries with data'!B32</f>
        <v>Slovenia</v>
      </c>
      <c r="C32" t="str">
        <f>'Starlink countries with data'!D32</f>
        <v>Slovenia</v>
      </c>
      <c r="D32" s="15">
        <f>INDEX('Population and Broadband subs'!$D$324:$D$425,MATCH($C32,'Population and Broadband subs'!$A$324:$A$425,0))</f>
        <v>773555</v>
      </c>
      <c r="E32" s="15">
        <f>INDEX('Population and Broadband subs'!$D$428:$D$529,MATCH($C32,'Population and Broadband subs'!$A$428:$A$529,0))</f>
        <v>163841</v>
      </c>
      <c r="F32" s="23">
        <f t="shared" si="14"/>
        <v>0.21180265139518198</v>
      </c>
      <c r="G32" s="15">
        <f>INDEX('Population and Broadband subs'!$D$532:$D$633,MATCH($C32,'Population and Broadband subs'!$A$532:$A$633,0))</f>
        <v>60261</v>
      </c>
      <c r="H32" s="23">
        <f t="shared" si="15"/>
        <v>7.7901377406907071E-2</v>
      </c>
      <c r="I32" s="15">
        <f>INDEX('Population and Broadband subs'!$D$636:$D$737,MATCH($C32,'Population and Broadband subs'!$A$636:$A$737,0))</f>
        <v>493006</v>
      </c>
      <c r="J32" s="23">
        <f t="shared" si="16"/>
        <v>0.63732507707919928</v>
      </c>
      <c r="K32" s="15">
        <f>INDEX('Population and Broadband subs'!$D$740:$D$841,MATCH($C32,'Population and Broadband subs'!$A$740:$A$841,0))</f>
        <v>0</v>
      </c>
      <c r="L32" s="23">
        <f t="shared" si="17"/>
        <v>0</v>
      </c>
      <c r="M32" s="15">
        <f>INDEX('Population and Broadband subs'!$D$844:$D$945,MATCH($C32,'Population and Broadband subs'!$A$844:$A$945,0))</f>
        <v>0</v>
      </c>
      <c r="N32" s="23">
        <f t="shared" si="18"/>
        <v>0</v>
      </c>
      <c r="O32" s="15">
        <f>INDEX('Population and Broadband subs'!$D$948:$D$1049,MATCH($C32,'Population and Broadband subs'!$A$948:$A$1049,0))</f>
        <v>56447</v>
      </c>
      <c r="P32" s="23">
        <f t="shared" si="19"/>
        <v>7.297089411871166E-2</v>
      </c>
      <c r="Q32" t="str">
        <f t="shared" si="20"/>
        <v>Fiber</v>
      </c>
      <c r="R32" s="23">
        <f t="shared" si="21"/>
        <v>0.21180265139518198</v>
      </c>
      <c r="S32" s="23">
        <f t="shared" si="22"/>
        <v>7.7901377406907071E-2</v>
      </c>
      <c r="T32" s="23">
        <f t="shared" si="23"/>
        <v>0.63732507707919928</v>
      </c>
      <c r="U32" s="23">
        <f t="shared" si="24"/>
        <v>0</v>
      </c>
      <c r="V32" s="23">
        <f t="shared" si="25"/>
        <v>0</v>
      </c>
      <c r="W32" s="23">
        <f t="shared" si="26"/>
        <v>7.297089411871166E-2</v>
      </c>
    </row>
    <row r="33" spans="1:23" x14ac:dyDescent="0.25">
      <c r="B33" t="str">
        <f>'Starlink countries with data'!B33</f>
        <v>Türkiye</v>
      </c>
      <c r="C33" t="str">
        <f>'Starlink countries with data'!D33</f>
        <v>Türkiye</v>
      </c>
      <c r="D33" s="15">
        <f>INDEX('Population and Broadband subs'!$D$324:$D$425,MATCH($C33,'Population and Broadband subs'!$A$324:$A$425,0))</f>
        <v>24574121</v>
      </c>
      <c r="E33" s="15">
        <f>INDEX('Population and Broadband subs'!$D$428:$D$529,MATCH($C33,'Population and Broadband subs'!$A$428:$A$529,0))</f>
        <v>4209580</v>
      </c>
      <c r="F33" s="23">
        <f t="shared" si="14"/>
        <v>0.17130134583450615</v>
      </c>
      <c r="G33" s="15">
        <f>INDEX('Population and Broadband subs'!$D$532:$D$633,MATCH($C33,'Population and Broadband subs'!$A$532:$A$633,0))</f>
        <v>11043672</v>
      </c>
      <c r="H33" s="23">
        <f t="shared" si="15"/>
        <v>0.44940252389902369</v>
      </c>
      <c r="I33" s="15">
        <f>INDEX('Population and Broadband subs'!$D$636:$D$737,MATCH($C33,'Population and Broadband subs'!$A$636:$A$737,0))</f>
        <v>9312321</v>
      </c>
      <c r="J33" s="23">
        <f t="shared" si="16"/>
        <v>0.37894828466092439</v>
      </c>
      <c r="K33" s="15">
        <f>INDEX('Population and Broadband subs'!$D$740:$D$841,MATCH($C33,'Population and Broadband subs'!$A$740:$A$841,0))</f>
        <v>0</v>
      </c>
      <c r="L33" s="23">
        <f t="shared" si="17"/>
        <v>0</v>
      </c>
      <c r="M33" s="15">
        <f>INDEX('Population and Broadband subs'!$D$844:$D$945,MATCH($C33,'Population and Broadband subs'!$A$844:$A$945,0))</f>
        <v>8548</v>
      </c>
      <c r="N33" s="23">
        <f t="shared" si="18"/>
        <v>3.4784560554576907E-4</v>
      </c>
      <c r="O33" s="15">
        <f>INDEX('Population and Broadband subs'!$D$948:$D$1049,MATCH($C33,'Population and Broadband subs'!$A$948:$A$1049,0))</f>
        <v>0</v>
      </c>
      <c r="P33" s="23">
        <f t="shared" si="19"/>
        <v>0</v>
      </c>
      <c r="Q33" t="str">
        <f t="shared" si="20"/>
        <v>DSL</v>
      </c>
      <c r="R33" s="23">
        <f t="shared" si="21"/>
        <v>0.17130134583450615</v>
      </c>
      <c r="S33" s="23">
        <f t="shared" si="22"/>
        <v>0.44940252389902369</v>
      </c>
      <c r="T33" s="23">
        <f t="shared" si="23"/>
        <v>0.37894828466092439</v>
      </c>
      <c r="U33" s="23">
        <f t="shared" si="24"/>
        <v>0</v>
      </c>
      <c r="V33" s="23">
        <f t="shared" si="25"/>
        <v>3.4784560554576907E-4</v>
      </c>
      <c r="W33" s="23">
        <f t="shared" si="26"/>
        <v>0</v>
      </c>
    </row>
    <row r="34" spans="1:23" x14ac:dyDescent="0.25">
      <c r="R34" s="23"/>
      <c r="S34" s="23"/>
      <c r="T34" s="23"/>
      <c r="U34" s="23"/>
      <c r="V34" s="23"/>
      <c r="W34" s="23"/>
    </row>
    <row r="35" spans="1:23" x14ac:dyDescent="0.25">
      <c r="A35" s="14" t="s">
        <v>611</v>
      </c>
      <c r="B35" s="14"/>
      <c r="C35" s="14"/>
      <c r="D35" s="14"/>
      <c r="E35" s="14"/>
      <c r="F35" s="14"/>
      <c r="G35" s="14"/>
      <c r="H35" s="14"/>
      <c r="I35" s="14"/>
      <c r="J35" s="14"/>
      <c r="K35" s="14"/>
      <c r="L35" s="14"/>
      <c r="M35" s="14"/>
      <c r="N35" s="14"/>
      <c r="O35" s="14"/>
      <c r="P35" s="14"/>
      <c r="Q35" s="14"/>
      <c r="R35" s="24"/>
      <c r="S35" s="24"/>
      <c r="T35" s="24"/>
      <c r="U35" s="24"/>
      <c r="V35" s="24"/>
      <c r="W35" s="24"/>
    </row>
    <row r="36" spans="1:23" x14ac:dyDescent="0.25">
      <c r="B36" t="str">
        <f>'Starlink countries with data'!B36</f>
        <v>Argentina</v>
      </c>
      <c r="C36" t="str">
        <f>'Starlink countries with data'!D36</f>
        <v>Argentina</v>
      </c>
      <c r="D36" s="15">
        <f>INDEX('Population and Broadband subs'!$D$324:$D$425,MATCH($C36,'Population and Broadband subs'!$A$324:$A$425,0))</f>
        <v>12739593</v>
      </c>
      <c r="E36" s="15">
        <f>INDEX('Population and Broadband subs'!$D$428:$D$529,MATCH($C36,'Population and Broadband subs'!$A$428:$A$529,0))</f>
        <v>5541236</v>
      </c>
      <c r="F36" s="23">
        <f t="shared" ref="F36:F58" si="27">IFERROR(E36/$D36,"NA")</f>
        <v>0.43496177625140769</v>
      </c>
      <c r="G36" s="15">
        <f>INDEX('Population and Broadband subs'!$D$532:$D$633,MATCH($C36,'Population and Broadband subs'!$A$532:$A$633,0))</f>
        <v>38702</v>
      </c>
      <c r="H36" s="23">
        <f t="shared" ref="H36:H58" si="28">IFERROR(G36/$D36,"NA")</f>
        <v>3.0379306466069992E-3</v>
      </c>
      <c r="I36" s="15">
        <f>INDEX('Population and Broadband subs'!$D$636:$D$737,MATCH($C36,'Population and Broadband subs'!$A$636:$A$737,0))</f>
        <v>6087234</v>
      </c>
      <c r="J36" s="23">
        <f t="shared" ref="J36:J58" si="29">IFERROR(I36/$D36,"NA")</f>
        <v>0.47782013130246781</v>
      </c>
      <c r="K36" s="15">
        <f>INDEX('Population and Broadband subs'!$D$740:$D$841,MATCH($C36,'Population and Broadband subs'!$A$740:$A$841,0))</f>
        <v>235023</v>
      </c>
      <c r="L36" s="23">
        <f t="shared" ref="L36:L58" si="30">IFERROR(K36/$D36,"NA")</f>
        <v>1.8448234570759049E-2</v>
      </c>
      <c r="M36" s="15">
        <f>INDEX('Population and Broadband subs'!$D$844:$D$945,MATCH($C36,'Population and Broadband subs'!$A$844:$A$945,0))</f>
        <v>640943</v>
      </c>
      <c r="N36" s="23">
        <f t="shared" ref="N36:N58" si="31">IFERROR(M36/$D36,"NA")</f>
        <v>5.0311104915204123E-2</v>
      </c>
      <c r="O36" s="15">
        <f>INDEX('Population and Broadband subs'!$D$948:$D$1049,MATCH($C36,'Population and Broadband subs'!$A$948:$A$1049,0))</f>
        <v>196456</v>
      </c>
      <c r="P36" s="23">
        <f t="shared" ref="P36:P58" si="32">IFERROR(O36/$D36,"NA")</f>
        <v>1.5420900808997587E-2</v>
      </c>
      <c r="Q36" t="str">
        <f t="shared" ref="Q36:Q58" si="33">IF(COUNT(R36:W36)=0,"NA",INDEX($R$4:$W$4,MATCH(MAX(R36:W36),R36:W36,0)))</f>
        <v>Fiber</v>
      </c>
      <c r="R36" s="23">
        <f t="shared" ref="R36:R58" si="34">F36</f>
        <v>0.43496177625140769</v>
      </c>
      <c r="S36" s="23">
        <f t="shared" ref="S36:S58" si="35">H36</f>
        <v>3.0379306466069992E-3</v>
      </c>
      <c r="T36" s="23">
        <f t="shared" ref="T36:T58" si="36">J36</f>
        <v>0.47782013130246781</v>
      </c>
      <c r="U36" s="23">
        <f t="shared" ref="U36:U58" si="37">L36</f>
        <v>1.8448234570759049E-2</v>
      </c>
      <c r="V36" s="23">
        <f t="shared" ref="V36:V58" si="38">N36</f>
        <v>5.0311104915204123E-2</v>
      </c>
      <c r="W36" s="23">
        <f t="shared" ref="W36:W58" si="39">P36</f>
        <v>1.5420900808997587E-2</v>
      </c>
    </row>
    <row r="37" spans="1:23" x14ac:dyDescent="0.25">
      <c r="B37" t="str">
        <f>'Starlink countries with data'!B37</f>
        <v>Bahamas</v>
      </c>
      <c r="C37" t="str">
        <f>'Starlink countries with data'!D37</f>
        <v>Bahamas</v>
      </c>
      <c r="D37" s="15">
        <f>INDEX('Population and Broadband subs'!$D$324:$D$425,MATCH($C37,'Population and Broadband subs'!$A$324:$A$425,0))</f>
        <v>77435</v>
      </c>
      <c r="E37" s="15">
        <f>INDEX('Population and Broadband subs'!$D$428:$D$529,MATCH($C37,'Population and Broadband subs'!$A$428:$A$529,0))</f>
        <v>40708</v>
      </c>
      <c r="F37" s="23">
        <f t="shared" si="27"/>
        <v>0.52570543036094786</v>
      </c>
      <c r="G37" s="15">
        <f>INDEX('Population and Broadband subs'!$D$532:$D$633,MATCH($C37,'Population and Broadband subs'!$A$532:$A$633,0))</f>
        <v>16821</v>
      </c>
      <c r="H37" s="23">
        <f t="shared" si="28"/>
        <v>0.21722735197262219</v>
      </c>
      <c r="I37" s="15">
        <f>INDEX('Population and Broadband subs'!$D$636:$D$737,MATCH($C37,'Population and Broadband subs'!$A$636:$A$737,0))</f>
        <v>14909</v>
      </c>
      <c r="J37" s="23">
        <f t="shared" si="29"/>
        <v>0.19253567508232711</v>
      </c>
      <c r="K37" s="15">
        <f>INDEX('Population and Broadband subs'!$D$740:$D$841,MATCH($C37,'Population and Broadband subs'!$A$740:$A$841,0))</f>
        <v>0</v>
      </c>
      <c r="L37" s="23">
        <f t="shared" si="30"/>
        <v>0</v>
      </c>
      <c r="M37" s="15">
        <f>INDEX('Population and Broadband subs'!$D$844:$D$945,MATCH($C37,'Population and Broadband subs'!$A$844:$A$945,0))</f>
        <v>4997</v>
      </c>
      <c r="N37" s="23">
        <f t="shared" si="31"/>
        <v>6.4531542584102791E-2</v>
      </c>
      <c r="O37" s="15">
        <f>INDEX('Population and Broadband subs'!$D$948:$D$1049,MATCH($C37,'Population and Broadband subs'!$A$948:$A$1049,0))</f>
        <v>0</v>
      </c>
      <c r="P37" s="23">
        <f t="shared" si="32"/>
        <v>0</v>
      </c>
      <c r="Q37" t="str">
        <f t="shared" si="33"/>
        <v>Cable</v>
      </c>
      <c r="R37" s="23">
        <f t="shared" si="34"/>
        <v>0.52570543036094786</v>
      </c>
      <c r="S37" s="23">
        <f t="shared" si="35"/>
        <v>0.21722735197262219</v>
      </c>
      <c r="T37" s="23">
        <f t="shared" si="36"/>
        <v>0.19253567508232711</v>
      </c>
      <c r="U37" s="23">
        <f t="shared" si="37"/>
        <v>0</v>
      </c>
      <c r="V37" s="23">
        <f t="shared" si="38"/>
        <v>6.4531542584102791E-2</v>
      </c>
      <c r="W37" s="23">
        <f t="shared" si="39"/>
        <v>0</v>
      </c>
    </row>
    <row r="38" spans="1:23" x14ac:dyDescent="0.25">
      <c r="B38" t="str">
        <f>'Starlink countries with data'!B38</f>
        <v>Barbados</v>
      </c>
      <c r="C38" t="str">
        <f>'Starlink countries with data'!D38</f>
        <v>Barbados</v>
      </c>
      <c r="D38" s="15">
        <f>INDEX('Population and Broadband subs'!$D$324:$D$425,MATCH($C38,'Population and Broadband subs'!$A$324:$A$425,0))</f>
        <v>97018</v>
      </c>
      <c r="E38" s="15">
        <f>INDEX('Population and Broadband subs'!$D$428:$D$529,MATCH($C38,'Population and Broadband subs'!$A$428:$A$529,0))</f>
        <v>0</v>
      </c>
      <c r="F38" s="23">
        <f t="shared" si="27"/>
        <v>0</v>
      </c>
      <c r="G38" s="15">
        <f>INDEX('Population and Broadband subs'!$D$532:$D$633,MATCH($C38,'Population and Broadband subs'!$A$532:$A$633,0))</f>
        <v>0</v>
      </c>
      <c r="H38" s="23">
        <f t="shared" si="28"/>
        <v>0</v>
      </c>
      <c r="I38" s="15">
        <f>INDEX('Population and Broadband subs'!$D$636:$D$737,MATCH($C38,'Population and Broadband subs'!$A$636:$A$737,0))</f>
        <v>96857</v>
      </c>
      <c r="J38" s="23">
        <f t="shared" si="29"/>
        <v>0.99834051413139835</v>
      </c>
      <c r="K38" s="15">
        <f>INDEX('Population and Broadband subs'!$D$740:$D$841,MATCH($C38,'Population and Broadband subs'!$A$740:$A$841,0))</f>
        <v>0</v>
      </c>
      <c r="L38" s="23">
        <f t="shared" si="30"/>
        <v>0</v>
      </c>
      <c r="M38" s="15">
        <f>INDEX('Population and Broadband subs'!$D$844:$D$945,MATCH($C38,'Population and Broadband subs'!$A$844:$A$945,0))</f>
        <v>161</v>
      </c>
      <c r="N38" s="23">
        <f t="shared" si="31"/>
        <v>1.6594858686017028E-3</v>
      </c>
      <c r="O38" s="15">
        <f>INDEX('Population and Broadband subs'!$D$948:$D$1049,MATCH($C38,'Population and Broadband subs'!$A$948:$A$1049,0))</f>
        <v>0</v>
      </c>
      <c r="P38" s="23">
        <f t="shared" si="32"/>
        <v>0</v>
      </c>
      <c r="Q38" t="str">
        <f t="shared" si="33"/>
        <v>Fiber</v>
      </c>
      <c r="R38" s="23">
        <f t="shared" si="34"/>
        <v>0</v>
      </c>
      <c r="S38" s="23">
        <f t="shared" si="35"/>
        <v>0</v>
      </c>
      <c r="T38" s="23">
        <f t="shared" si="36"/>
        <v>0.99834051413139835</v>
      </c>
      <c r="U38" s="23">
        <f t="shared" si="37"/>
        <v>0</v>
      </c>
      <c r="V38" s="23">
        <f t="shared" si="38"/>
        <v>1.6594858686017028E-3</v>
      </c>
      <c r="W38" s="23">
        <f t="shared" si="39"/>
        <v>0</v>
      </c>
    </row>
    <row r="39" spans="1:23" x14ac:dyDescent="0.25">
      <c r="B39" t="str">
        <f>'Starlink countries with data'!B39</f>
        <v>Bolivia, Plurinational State of</v>
      </c>
      <c r="C39" t="str">
        <f>'Starlink countries with data'!D39</f>
        <v>Bolivia</v>
      </c>
      <c r="D39" s="15">
        <f>INDEX('Population and Broadband subs'!$D$324:$D$425,MATCH($C39,'Population and Broadband subs'!$A$324:$A$425,0))</f>
        <v>1589668</v>
      </c>
      <c r="E39" s="15">
        <f>INDEX('Population and Broadband subs'!$D$428:$D$529,MATCH($C39,'Population and Broadband subs'!$A$428:$A$529,0))</f>
        <v>123890</v>
      </c>
      <c r="F39" s="23">
        <f t="shared" si="27"/>
        <v>7.7934512111963006E-2</v>
      </c>
      <c r="G39" s="15">
        <f>INDEX('Population and Broadband subs'!$D$532:$D$633,MATCH($C39,'Population and Broadband subs'!$A$532:$A$633,0))</f>
        <v>70743</v>
      </c>
      <c r="H39" s="23">
        <f t="shared" si="28"/>
        <v>4.4501745018456683E-2</v>
      </c>
      <c r="I39" s="15">
        <f>INDEX('Population and Broadband subs'!$D$636:$D$737,MATCH($C39,'Population and Broadband subs'!$A$636:$A$737,0))</f>
        <v>1199806</v>
      </c>
      <c r="J39" s="23">
        <f t="shared" si="29"/>
        <v>0.75475256468646279</v>
      </c>
      <c r="K39" s="15">
        <f>INDEX('Population and Broadband subs'!$D$740:$D$841,MATCH($C39,'Population and Broadband subs'!$A$740:$A$841,0))</f>
        <v>3348</v>
      </c>
      <c r="L39" s="23">
        <f t="shared" si="30"/>
        <v>2.1061001416648006E-3</v>
      </c>
      <c r="M39" s="15">
        <f>INDEX('Population and Broadband subs'!$D$844:$D$945,MATCH($C39,'Population and Broadband subs'!$A$844:$A$945,0))</f>
        <v>190363</v>
      </c>
      <c r="N39" s="23">
        <f t="shared" si="31"/>
        <v>0.11975016166897742</v>
      </c>
      <c r="O39" s="15">
        <f>INDEX('Population and Broadband subs'!$D$948:$D$1049,MATCH($C39,'Population and Broadband subs'!$A$948:$A$1049,0))</f>
        <v>1518</v>
      </c>
      <c r="P39" s="23">
        <f t="shared" si="32"/>
        <v>9.5491637247525896E-4</v>
      </c>
      <c r="Q39" t="str">
        <f t="shared" si="33"/>
        <v>Fiber</v>
      </c>
      <c r="R39" s="23">
        <f t="shared" si="34"/>
        <v>7.7934512111963006E-2</v>
      </c>
      <c r="S39" s="23">
        <f t="shared" si="35"/>
        <v>4.4501745018456683E-2</v>
      </c>
      <c r="T39" s="23">
        <f t="shared" si="36"/>
        <v>0.75475256468646279</v>
      </c>
      <c r="U39" s="23">
        <f t="shared" si="37"/>
        <v>2.1061001416648006E-3</v>
      </c>
      <c r="V39" s="23">
        <f t="shared" si="38"/>
        <v>0.11975016166897742</v>
      </c>
      <c r="W39" s="23">
        <f t="shared" si="39"/>
        <v>9.5491637247525896E-4</v>
      </c>
    </row>
    <row r="40" spans="1:23" x14ac:dyDescent="0.25">
      <c r="B40" t="str">
        <f>'Starlink countries with data'!B40</f>
        <v>Brazil</v>
      </c>
      <c r="C40" t="str">
        <f>'Starlink countries with data'!D40</f>
        <v>Brazil</v>
      </c>
      <c r="D40" s="15">
        <f>INDEX('Population and Broadband subs'!$D$324:$D$425,MATCH($C40,'Population and Broadband subs'!$A$324:$A$425,0))</f>
        <v>50287033</v>
      </c>
      <c r="E40" s="15">
        <f>INDEX('Population and Broadband subs'!$D$428:$D$529,MATCH($C40,'Population and Broadband subs'!$A$428:$A$529,0))</f>
        <v>7534252</v>
      </c>
      <c r="F40" s="23">
        <f t="shared" si="27"/>
        <v>0.14982494592592091</v>
      </c>
      <c r="G40" s="15">
        <f>INDEX('Population and Broadband subs'!$D$532:$D$633,MATCH($C40,'Population and Broadband subs'!$A$532:$A$633,0))</f>
        <v>54966</v>
      </c>
      <c r="H40" s="23">
        <f t="shared" si="28"/>
        <v>1.0930451991470645E-3</v>
      </c>
      <c r="I40" s="15">
        <f>INDEX('Population and Broadband subs'!$D$636:$D$737,MATCH($C40,'Population and Broadband subs'!$A$636:$A$737,0))</f>
        <v>41498526</v>
      </c>
      <c r="J40" s="23">
        <f t="shared" si="29"/>
        <v>0.82523313713895186</v>
      </c>
      <c r="K40" s="15">
        <f>INDEX('Population and Broadband subs'!$D$740:$D$841,MATCH($C40,'Population and Broadband subs'!$A$740:$A$841,0))</f>
        <v>230456</v>
      </c>
      <c r="L40" s="23">
        <f t="shared" si="30"/>
        <v>4.5828116365505198E-3</v>
      </c>
      <c r="M40" s="15">
        <f>INDEX('Population and Broadband subs'!$D$844:$D$945,MATCH($C40,'Population and Broadband subs'!$A$844:$A$945,0))</f>
        <v>968833</v>
      </c>
      <c r="N40" s="23">
        <f t="shared" si="31"/>
        <v>1.9266060099429608E-2</v>
      </c>
      <c r="O40" s="15">
        <f>INDEX('Population and Broadband subs'!$D$948:$D$1049,MATCH($C40,'Population and Broadband subs'!$A$948:$A$1049,0))</f>
        <v>0</v>
      </c>
      <c r="P40" s="23">
        <f t="shared" si="32"/>
        <v>0</v>
      </c>
      <c r="Q40" t="str">
        <f t="shared" si="33"/>
        <v>Fiber</v>
      </c>
      <c r="R40" s="23">
        <f t="shared" si="34"/>
        <v>0.14982494592592091</v>
      </c>
      <c r="S40" s="23">
        <f t="shared" si="35"/>
        <v>1.0930451991470645E-3</v>
      </c>
      <c r="T40" s="23">
        <f t="shared" si="36"/>
        <v>0.82523313713895186</v>
      </c>
      <c r="U40" s="23">
        <f t="shared" si="37"/>
        <v>4.5828116365505198E-3</v>
      </c>
      <c r="V40" s="23">
        <f t="shared" si="38"/>
        <v>1.9266060099429608E-2</v>
      </c>
      <c r="W40" s="23">
        <f t="shared" si="39"/>
        <v>0</v>
      </c>
    </row>
    <row r="41" spans="1:23" x14ac:dyDescent="0.25">
      <c r="B41" t="str">
        <f>'Starlink countries with data'!B41</f>
        <v>Chile</v>
      </c>
      <c r="C41" t="str">
        <f>'Starlink countries with data'!D41</f>
        <v>Chile</v>
      </c>
      <c r="D41" s="15">
        <f>INDEX('Population and Broadband subs'!$D$324:$D$425,MATCH($C41,'Population and Broadband subs'!$A$324:$A$425,0))</f>
        <v>4553468</v>
      </c>
      <c r="E41" s="15">
        <f>INDEX('Population and Broadband subs'!$D$428:$D$529,MATCH($C41,'Population and Broadband subs'!$A$428:$A$529,0))</f>
        <v>933242</v>
      </c>
      <c r="F41" s="23">
        <f t="shared" si="27"/>
        <v>0.20495191796670142</v>
      </c>
      <c r="G41" s="15">
        <f>INDEX('Population and Broadband subs'!$D$532:$D$633,MATCH($C41,'Population and Broadband subs'!$A$532:$A$633,0))</f>
        <v>2019</v>
      </c>
      <c r="H41" s="23">
        <f t="shared" si="28"/>
        <v>4.4339830652153478E-4</v>
      </c>
      <c r="I41" s="15">
        <f>INDEX('Population and Broadband subs'!$D$636:$D$737,MATCH($C41,'Population and Broadband subs'!$A$636:$A$737,0))</f>
        <v>3544398</v>
      </c>
      <c r="J41" s="23">
        <f t="shared" si="29"/>
        <v>0.77839528025671867</v>
      </c>
      <c r="K41" s="15">
        <f>INDEX('Population and Broadband subs'!$D$740:$D$841,MATCH($C41,'Population and Broadband subs'!$A$740:$A$841,0))</f>
        <v>43775</v>
      </c>
      <c r="L41" s="23">
        <f t="shared" si="30"/>
        <v>9.6135516929074724E-3</v>
      </c>
      <c r="M41" s="15">
        <f>INDEX('Population and Broadband subs'!$D$844:$D$945,MATCH($C41,'Population and Broadband subs'!$A$844:$A$945,0))</f>
        <v>30034</v>
      </c>
      <c r="N41" s="23">
        <f t="shared" si="31"/>
        <v>6.5958517771509536E-3</v>
      </c>
      <c r="O41" s="15">
        <f>INDEX('Population and Broadband subs'!$D$948:$D$1049,MATCH($C41,'Population and Broadband subs'!$A$948:$A$1049,0))</f>
        <v>0</v>
      </c>
      <c r="P41" s="23">
        <f t="shared" si="32"/>
        <v>0</v>
      </c>
      <c r="Q41" t="str">
        <f t="shared" si="33"/>
        <v>Fiber</v>
      </c>
      <c r="R41" s="23">
        <f t="shared" si="34"/>
        <v>0.20495191796670142</v>
      </c>
      <c r="S41" s="23">
        <f t="shared" si="35"/>
        <v>4.4339830652153478E-4</v>
      </c>
      <c r="T41" s="23">
        <f t="shared" si="36"/>
        <v>0.77839528025671867</v>
      </c>
      <c r="U41" s="23">
        <f t="shared" si="37"/>
        <v>9.6135516929074724E-3</v>
      </c>
      <c r="V41" s="23">
        <f t="shared" si="38"/>
        <v>6.5958517771509536E-3</v>
      </c>
      <c r="W41" s="23">
        <f t="shared" si="39"/>
        <v>0</v>
      </c>
    </row>
    <row r="42" spans="1:23" x14ac:dyDescent="0.25">
      <c r="B42" t="str">
        <f>'Starlink countries with data'!B42</f>
        <v>Colombia</v>
      </c>
      <c r="C42" t="str">
        <f>'Starlink countries with data'!D42</f>
        <v>Colombia</v>
      </c>
      <c r="D42" s="15">
        <f>INDEX('Population and Broadband subs'!$D$324:$D$425,MATCH($C42,'Population and Broadband subs'!$A$324:$A$425,0))</f>
        <v>9074736</v>
      </c>
      <c r="E42" s="15">
        <f>INDEX('Population and Broadband subs'!$D$428:$D$529,MATCH($C42,'Population and Broadband subs'!$A$428:$A$529,0))</f>
        <v>4492403</v>
      </c>
      <c r="F42" s="23">
        <f t="shared" si="27"/>
        <v>0.49504503491892216</v>
      </c>
      <c r="G42" s="15">
        <f>INDEX('Population and Broadband subs'!$D$532:$D$633,MATCH($C42,'Population and Broadband subs'!$A$532:$A$633,0))</f>
        <v>188602</v>
      </c>
      <c r="H42" s="23">
        <f t="shared" si="28"/>
        <v>2.0783194133691604E-2</v>
      </c>
      <c r="I42" s="15">
        <f>INDEX('Population and Broadband subs'!$D$636:$D$737,MATCH($C42,'Population and Broadband subs'!$A$636:$A$737,0))</f>
        <v>4043830</v>
      </c>
      <c r="J42" s="23">
        <f t="shared" si="29"/>
        <v>0.44561406524663638</v>
      </c>
      <c r="K42" s="15">
        <f>INDEX('Population and Broadband subs'!$D$740:$D$841,MATCH($C42,'Population and Broadband subs'!$A$740:$A$841,0))</f>
        <v>8459</v>
      </c>
      <c r="L42" s="23">
        <f t="shared" si="30"/>
        <v>9.3214832916351507E-4</v>
      </c>
      <c r="M42" s="15">
        <f>INDEX('Population and Broadband subs'!$D$844:$D$945,MATCH($C42,'Population and Broadband subs'!$A$844:$A$945,0))</f>
        <v>320675</v>
      </c>
      <c r="N42" s="23">
        <f t="shared" si="31"/>
        <v>3.5337116143103225E-2</v>
      </c>
      <c r="O42" s="15">
        <f>INDEX('Population and Broadband subs'!$D$948:$D$1049,MATCH($C42,'Population and Broadband subs'!$A$948:$A$1049,0))</f>
        <v>20767</v>
      </c>
      <c r="P42" s="23">
        <f t="shared" si="32"/>
        <v>2.2884412284831204E-3</v>
      </c>
      <c r="Q42" t="str">
        <f t="shared" si="33"/>
        <v>Cable</v>
      </c>
      <c r="R42" s="23">
        <f t="shared" si="34"/>
        <v>0.49504503491892216</v>
      </c>
      <c r="S42" s="23">
        <f t="shared" si="35"/>
        <v>2.0783194133691604E-2</v>
      </c>
      <c r="T42" s="23">
        <f t="shared" si="36"/>
        <v>0.44561406524663638</v>
      </c>
      <c r="U42" s="23">
        <f t="shared" si="37"/>
        <v>9.3214832916351507E-4</v>
      </c>
      <c r="V42" s="23">
        <f t="shared" si="38"/>
        <v>3.5337116143103225E-2</v>
      </c>
      <c r="W42" s="23">
        <f t="shared" si="39"/>
        <v>2.2884412284831204E-3</v>
      </c>
    </row>
    <row r="43" spans="1:23" x14ac:dyDescent="0.25">
      <c r="B43" t="str">
        <f>'Starlink countries with data'!B43</f>
        <v>Costa Rica</v>
      </c>
      <c r="C43" t="str">
        <f>'Starlink countries with data'!D43</f>
        <v>Costa Rica</v>
      </c>
      <c r="D43" s="15">
        <f>INDEX('Population and Broadband subs'!$D$324:$D$425,MATCH($C43,'Population and Broadband subs'!$A$324:$A$425,0))</f>
        <v>1423540</v>
      </c>
      <c r="E43" s="15">
        <f>INDEX('Population and Broadband subs'!$D$428:$D$529,MATCH($C43,'Population and Broadband subs'!$A$428:$A$529,0))</f>
        <v>377097</v>
      </c>
      <c r="F43" s="23">
        <f t="shared" si="27"/>
        <v>0.26490088090253872</v>
      </c>
      <c r="G43" s="15">
        <f>INDEX('Population and Broadband subs'!$D$532:$D$633,MATCH($C43,'Population and Broadband subs'!$A$532:$A$633,0))</f>
        <v>3805</v>
      </c>
      <c r="H43" s="23">
        <f t="shared" si="28"/>
        <v>2.6729140031189849E-3</v>
      </c>
      <c r="I43" s="15">
        <f>INDEX('Population and Broadband subs'!$D$636:$D$737,MATCH($C43,'Population and Broadband subs'!$A$636:$A$737,0))</f>
        <v>935738</v>
      </c>
      <c r="J43" s="23">
        <f t="shared" si="29"/>
        <v>0.65733172232603232</v>
      </c>
      <c r="K43" s="15">
        <f>INDEX('Population and Broadband subs'!$D$740:$D$841,MATCH($C43,'Population and Broadband subs'!$A$740:$A$841,0))</f>
        <v>0</v>
      </c>
      <c r="L43" s="23">
        <f t="shared" si="30"/>
        <v>0</v>
      </c>
      <c r="M43" s="15">
        <f>INDEX('Population and Broadband subs'!$D$844:$D$945,MATCH($C43,'Population and Broadband subs'!$A$844:$A$945,0))</f>
        <v>106900</v>
      </c>
      <c r="N43" s="23">
        <f t="shared" si="31"/>
        <v>7.5094482768309989E-2</v>
      </c>
      <c r="O43" s="15">
        <f>INDEX('Population and Broadband subs'!$D$948:$D$1049,MATCH($C43,'Population and Broadband subs'!$A$948:$A$1049,0))</f>
        <v>0</v>
      </c>
      <c r="P43" s="23">
        <f t="shared" si="32"/>
        <v>0</v>
      </c>
      <c r="Q43" t="str">
        <f t="shared" si="33"/>
        <v>Fiber</v>
      </c>
      <c r="R43" s="23">
        <f t="shared" si="34"/>
        <v>0.26490088090253872</v>
      </c>
      <c r="S43" s="23">
        <f t="shared" si="35"/>
        <v>2.6729140031189849E-3</v>
      </c>
      <c r="T43" s="23">
        <f t="shared" si="36"/>
        <v>0.65733172232603232</v>
      </c>
      <c r="U43" s="23">
        <f t="shared" si="37"/>
        <v>0</v>
      </c>
      <c r="V43" s="23">
        <f t="shared" si="38"/>
        <v>7.5094482768309989E-2</v>
      </c>
      <c r="W43" s="23">
        <f t="shared" si="39"/>
        <v>0</v>
      </c>
    </row>
    <row r="44" spans="1:23" x14ac:dyDescent="0.25">
      <c r="B44" t="str">
        <f>'Starlink countries with data'!B44</f>
        <v>Dominican Republic</v>
      </c>
      <c r="C44" t="str">
        <f>'Starlink countries with data'!D44</f>
        <v>Dominican Republic</v>
      </c>
      <c r="D44" s="15">
        <f>INDEX('Population and Broadband subs'!$D$324:$D$425,MATCH($C44,'Population and Broadband subs'!$A$324:$A$425,0))</f>
        <v>1375487</v>
      </c>
      <c r="E44" s="15">
        <f>INDEX('Population and Broadband subs'!$D$428:$D$529,MATCH($C44,'Population and Broadband subs'!$A$428:$A$529,0))</f>
        <v>192365</v>
      </c>
      <c r="F44" s="23">
        <f t="shared" si="27"/>
        <v>0.13985228504522398</v>
      </c>
      <c r="G44" s="15">
        <f>INDEX('Population and Broadband subs'!$D$532:$D$633,MATCH($C44,'Population and Broadband subs'!$A$532:$A$633,0))</f>
        <v>181721</v>
      </c>
      <c r="H44" s="23">
        <f t="shared" si="28"/>
        <v>0.13211393491905049</v>
      </c>
      <c r="I44" s="15">
        <f>INDEX('Population and Broadband subs'!$D$636:$D$737,MATCH($C44,'Population and Broadband subs'!$A$636:$A$737,0))</f>
        <v>786824</v>
      </c>
      <c r="J44" s="23">
        <f t="shared" si="29"/>
        <v>0.57203303266406735</v>
      </c>
      <c r="K44" s="15">
        <f>INDEX('Population and Broadband subs'!$D$740:$D$841,MATCH($C44,'Population and Broadband subs'!$A$740:$A$841,0))</f>
        <v>35719</v>
      </c>
      <c r="L44" s="23">
        <f t="shared" si="30"/>
        <v>2.5968257060953685E-2</v>
      </c>
      <c r="M44" s="15">
        <f>INDEX('Population and Broadband subs'!$D$844:$D$945,MATCH($C44,'Population and Broadband subs'!$A$844:$A$945,0))</f>
        <v>178586</v>
      </c>
      <c r="N44" s="23">
        <f t="shared" si="31"/>
        <v>0.12983474216768315</v>
      </c>
      <c r="O44" s="15">
        <f>INDEX('Population and Broadband subs'!$D$948:$D$1049,MATCH($C44,'Population and Broadband subs'!$A$948:$A$1049,0))</f>
        <v>272</v>
      </c>
      <c r="P44" s="23">
        <f t="shared" si="32"/>
        <v>1.9774814302134445E-4</v>
      </c>
      <c r="Q44" t="str">
        <f t="shared" si="33"/>
        <v>Fiber</v>
      </c>
      <c r="R44" s="23">
        <f t="shared" si="34"/>
        <v>0.13985228504522398</v>
      </c>
      <c r="S44" s="23">
        <f t="shared" si="35"/>
        <v>0.13211393491905049</v>
      </c>
      <c r="T44" s="23">
        <f t="shared" si="36"/>
        <v>0.57203303266406735</v>
      </c>
      <c r="U44" s="23">
        <f t="shared" si="37"/>
        <v>2.5968257060953685E-2</v>
      </c>
      <c r="V44" s="23">
        <f t="shared" si="38"/>
        <v>0.12983474216768315</v>
      </c>
      <c r="W44" s="23">
        <f t="shared" si="39"/>
        <v>1.9774814302134445E-4</v>
      </c>
    </row>
    <row r="45" spans="1:23" x14ac:dyDescent="0.25">
      <c r="B45" t="str">
        <f>'Starlink countries with data'!B45</f>
        <v>Ecuador</v>
      </c>
      <c r="C45" t="str">
        <f>'Starlink countries with data'!D45</f>
        <v>Ecuador</v>
      </c>
      <c r="D45" s="15">
        <f>INDEX('Population and Broadband subs'!$D$324:$D$425,MATCH($C45,'Population and Broadband subs'!$A$324:$A$425,0))</f>
        <v>3409422</v>
      </c>
      <c r="E45" s="15">
        <f>INDEX('Population and Broadband subs'!$D$428:$D$529,MATCH($C45,'Population and Broadband subs'!$A$428:$A$529,0))</f>
        <v>345361</v>
      </c>
      <c r="F45" s="23">
        <f t="shared" si="27"/>
        <v>0.10129605546042701</v>
      </c>
      <c r="G45" s="15">
        <f>INDEX('Population and Broadband subs'!$D$532:$D$633,MATCH($C45,'Population and Broadband subs'!$A$532:$A$633,0))</f>
        <v>9144</v>
      </c>
      <c r="H45" s="23">
        <f t="shared" si="28"/>
        <v>2.6819795261484205E-3</v>
      </c>
      <c r="I45" s="15">
        <f>INDEX('Population and Broadband subs'!$D$636:$D$737,MATCH($C45,'Population and Broadband subs'!$A$636:$A$737,0))</f>
        <v>2991319</v>
      </c>
      <c r="J45" s="23">
        <f t="shared" si="29"/>
        <v>0.87736836331788792</v>
      </c>
      <c r="K45" s="15">
        <f>INDEX('Population and Broadband subs'!$D$740:$D$841,MATCH($C45,'Population and Broadband subs'!$A$740:$A$841,0))</f>
        <v>14589</v>
      </c>
      <c r="L45" s="23">
        <f t="shared" si="30"/>
        <v>4.2790244211482181E-3</v>
      </c>
      <c r="M45" s="15">
        <f>INDEX('Population and Broadband subs'!$D$844:$D$945,MATCH($C45,'Population and Broadband subs'!$A$844:$A$945,0))</f>
        <v>46023</v>
      </c>
      <c r="N45" s="23">
        <f t="shared" si="31"/>
        <v>1.3498768999554763E-2</v>
      </c>
      <c r="O45" s="15">
        <f>INDEX('Population and Broadband subs'!$D$948:$D$1049,MATCH($C45,'Population and Broadband subs'!$A$948:$A$1049,0))</f>
        <v>2986</v>
      </c>
      <c r="P45" s="23">
        <f t="shared" si="32"/>
        <v>8.7580827483368148E-4</v>
      </c>
      <c r="Q45" t="str">
        <f t="shared" si="33"/>
        <v>Fiber</v>
      </c>
      <c r="R45" s="23">
        <f t="shared" si="34"/>
        <v>0.10129605546042701</v>
      </c>
      <c r="S45" s="23">
        <f t="shared" si="35"/>
        <v>2.6819795261484205E-3</v>
      </c>
      <c r="T45" s="23">
        <f t="shared" si="36"/>
        <v>0.87736836331788792</v>
      </c>
      <c r="U45" s="23">
        <f t="shared" si="37"/>
        <v>4.2790244211482181E-3</v>
      </c>
      <c r="V45" s="23">
        <f t="shared" si="38"/>
        <v>1.3498768999554763E-2</v>
      </c>
      <c r="W45" s="23">
        <f t="shared" si="39"/>
        <v>8.7580827483368148E-4</v>
      </c>
    </row>
    <row r="46" spans="1:23" x14ac:dyDescent="0.25">
      <c r="B46" t="str">
        <f>'Starlink countries with data'!B46</f>
        <v>El Salvador</v>
      </c>
      <c r="C46" t="str">
        <f>'Starlink countries with data'!D46</f>
        <v>El Salvador</v>
      </c>
      <c r="D46" s="15">
        <f>INDEX('Population and Broadband subs'!$D$324:$D$425,MATCH($C46,'Population and Broadband subs'!$A$324:$A$425,0))</f>
        <v>769790</v>
      </c>
      <c r="E46" s="15">
        <f>INDEX('Population and Broadband subs'!$D$428:$D$529,MATCH($C46,'Population and Broadband subs'!$A$428:$A$529,0))</f>
        <v>311898</v>
      </c>
      <c r="F46" s="23">
        <f t="shared" si="27"/>
        <v>0.40517283934579562</v>
      </c>
      <c r="G46" s="15">
        <f>INDEX('Population and Broadband subs'!$D$532:$D$633,MATCH($C46,'Population and Broadband subs'!$A$532:$A$633,0))</f>
        <v>427117</v>
      </c>
      <c r="H46" s="23">
        <f t="shared" si="28"/>
        <v>0.55484872497694171</v>
      </c>
      <c r="I46" s="15">
        <f>INDEX('Population and Broadband subs'!$D$636:$D$737,MATCH($C46,'Population and Broadband subs'!$A$636:$A$737,0))</f>
        <v>28345</v>
      </c>
      <c r="J46" s="23">
        <f t="shared" si="29"/>
        <v>3.6821730601852454E-2</v>
      </c>
      <c r="K46" s="15">
        <f>INDEX('Population and Broadband subs'!$D$740:$D$841,MATCH($C46,'Population and Broadband subs'!$A$740:$A$841,0))</f>
        <v>371</v>
      </c>
      <c r="L46" s="23">
        <f t="shared" si="30"/>
        <v>4.819496226243521E-4</v>
      </c>
      <c r="M46" s="15">
        <f>INDEX('Population and Broadband subs'!$D$844:$D$945,MATCH($C46,'Population and Broadband subs'!$A$844:$A$945,0))</f>
        <v>0</v>
      </c>
      <c r="N46" s="23">
        <f t="shared" si="31"/>
        <v>0</v>
      </c>
      <c r="O46" s="15">
        <f>INDEX('Population and Broadband subs'!$D$948:$D$1049,MATCH($C46,'Population and Broadband subs'!$A$948:$A$1049,0))</f>
        <v>2059</v>
      </c>
      <c r="P46" s="23">
        <f t="shared" si="32"/>
        <v>2.6747554527858249E-3</v>
      </c>
      <c r="Q46" t="str">
        <f t="shared" si="33"/>
        <v>DSL</v>
      </c>
      <c r="R46" s="23">
        <f t="shared" si="34"/>
        <v>0.40517283934579562</v>
      </c>
      <c r="S46" s="23">
        <f t="shared" si="35"/>
        <v>0.55484872497694171</v>
      </c>
      <c r="T46" s="23">
        <f t="shared" si="36"/>
        <v>3.6821730601852454E-2</v>
      </c>
      <c r="U46" s="23">
        <f t="shared" si="37"/>
        <v>4.819496226243521E-4</v>
      </c>
      <c r="V46" s="23">
        <f t="shared" si="38"/>
        <v>0</v>
      </c>
      <c r="W46" s="23">
        <f t="shared" si="39"/>
        <v>2.6747554527858249E-3</v>
      </c>
    </row>
    <row r="47" spans="1:23" x14ac:dyDescent="0.25">
      <c r="B47" t="str">
        <f>'Starlink countries with data'!B47</f>
        <v>Guatemala</v>
      </c>
      <c r="C47" t="str">
        <f>'Starlink countries with data'!D47</f>
        <v>Guatemala</v>
      </c>
      <c r="D47" s="15">
        <f>INDEX('Population and Broadband subs'!$D$324:$D$425,MATCH($C47,'Population and Broadband subs'!$A$324:$A$425,0))</f>
        <v>1123968</v>
      </c>
      <c r="E47" s="15">
        <f>INDEX('Population and Broadband subs'!$D$428:$D$529,MATCH($C47,'Population and Broadband subs'!$A$428:$A$529,0))</f>
        <v>559135</v>
      </c>
      <c r="F47" s="23">
        <f t="shared" si="27"/>
        <v>0.49746523032684203</v>
      </c>
      <c r="G47" s="15">
        <f>INDEX('Population and Broadband subs'!$D$532:$D$633,MATCH($C47,'Population and Broadband subs'!$A$532:$A$633,0))</f>
        <v>74266</v>
      </c>
      <c r="H47" s="23">
        <f t="shared" si="28"/>
        <v>6.6074834870743657E-2</v>
      </c>
      <c r="I47" s="15">
        <f>INDEX('Population and Broadband subs'!$D$636:$D$737,MATCH($C47,'Population and Broadband subs'!$A$636:$A$737,0))</f>
        <v>370159</v>
      </c>
      <c r="J47" s="23">
        <f t="shared" si="29"/>
        <v>0.3293323297460426</v>
      </c>
      <c r="K47" s="15">
        <f>INDEX('Population and Broadband subs'!$D$740:$D$841,MATCH($C47,'Population and Broadband subs'!$A$740:$A$841,0))</f>
        <v>30617</v>
      </c>
      <c r="L47" s="23">
        <f t="shared" si="30"/>
        <v>2.7240099362259424E-2</v>
      </c>
      <c r="M47" s="15">
        <f>INDEX('Population and Broadband subs'!$D$844:$D$945,MATCH($C47,'Population and Broadband subs'!$A$844:$A$945,0))</f>
        <v>89791</v>
      </c>
      <c r="N47" s="23">
        <f t="shared" si="31"/>
        <v>7.9887505694112293E-2</v>
      </c>
      <c r="O47" s="15">
        <f>INDEX('Population and Broadband subs'!$D$948:$D$1049,MATCH($C47,'Population and Broadband subs'!$A$948:$A$1049,0))</f>
        <v>0</v>
      </c>
      <c r="P47" s="23">
        <f t="shared" si="32"/>
        <v>0</v>
      </c>
      <c r="Q47" t="str">
        <f t="shared" si="33"/>
        <v>Cable</v>
      </c>
      <c r="R47" s="23">
        <f t="shared" si="34"/>
        <v>0.49746523032684203</v>
      </c>
      <c r="S47" s="23">
        <f t="shared" si="35"/>
        <v>6.6074834870743657E-2</v>
      </c>
      <c r="T47" s="23">
        <f t="shared" si="36"/>
        <v>0.3293323297460426</v>
      </c>
      <c r="U47" s="23">
        <f t="shared" si="37"/>
        <v>2.7240099362259424E-2</v>
      </c>
      <c r="V47" s="23">
        <f t="shared" si="38"/>
        <v>7.9887505694112293E-2</v>
      </c>
      <c r="W47" s="23">
        <f t="shared" si="39"/>
        <v>0</v>
      </c>
    </row>
    <row r="48" spans="1:23" x14ac:dyDescent="0.25">
      <c r="B48" t="str">
        <f>'Starlink countries with data'!B48</f>
        <v>Honduras</v>
      </c>
      <c r="C48" t="str">
        <f>'Starlink countries with data'!D48</f>
        <v>Honduras</v>
      </c>
      <c r="D48" s="15">
        <f>INDEX('Population and Broadband subs'!$D$324:$D$425,MATCH($C48,'Population and Broadband subs'!$A$324:$A$425,0))</f>
        <v>624353</v>
      </c>
      <c r="E48" s="15">
        <f>INDEX('Population and Broadband subs'!$D$428:$D$529,MATCH($C48,'Population and Broadband subs'!$A$428:$A$529,0))</f>
        <v>507593</v>
      </c>
      <c r="F48" s="23">
        <f t="shared" si="27"/>
        <v>0.81299040767001995</v>
      </c>
      <c r="G48" s="15">
        <f>INDEX('Population and Broadband subs'!$D$532:$D$633,MATCH($C48,'Population and Broadband subs'!$A$532:$A$633,0))</f>
        <v>33101</v>
      </c>
      <c r="H48" s="23">
        <f t="shared" si="28"/>
        <v>5.3016482662852582E-2</v>
      </c>
      <c r="I48" s="15">
        <f>INDEX('Population and Broadband subs'!$D$636:$D$737,MATCH($C48,'Population and Broadband subs'!$A$636:$A$737,0))</f>
        <v>37050</v>
      </c>
      <c r="J48" s="23">
        <f t="shared" si="29"/>
        <v>5.9341430248593341E-2</v>
      </c>
      <c r="K48" s="15">
        <f>INDEX('Population and Broadband subs'!$D$740:$D$841,MATCH($C48,'Population and Broadband subs'!$A$740:$A$841,0))</f>
        <v>7820</v>
      </c>
      <c r="L48" s="23">
        <f t="shared" si="30"/>
        <v>1.2524965844642374E-2</v>
      </c>
      <c r="M48" s="15">
        <f>INDEX('Population and Broadband subs'!$D$844:$D$945,MATCH($C48,'Population and Broadband subs'!$A$844:$A$945,0))</f>
        <v>28947</v>
      </c>
      <c r="N48" s="23">
        <f t="shared" si="31"/>
        <v>4.6363195179649971E-2</v>
      </c>
      <c r="O48" s="15">
        <f>INDEX('Population and Broadband subs'!$D$948:$D$1049,MATCH($C48,'Population and Broadband subs'!$A$948:$A$1049,0))</f>
        <v>9842</v>
      </c>
      <c r="P48" s="23">
        <f t="shared" si="32"/>
        <v>1.576351839424172E-2</v>
      </c>
      <c r="Q48" t="str">
        <f t="shared" si="33"/>
        <v>Cable</v>
      </c>
      <c r="R48" s="23">
        <f t="shared" si="34"/>
        <v>0.81299040767001995</v>
      </c>
      <c r="S48" s="23">
        <f t="shared" si="35"/>
        <v>5.3016482662852582E-2</v>
      </c>
      <c r="T48" s="23">
        <f t="shared" si="36"/>
        <v>5.9341430248593341E-2</v>
      </c>
      <c r="U48" s="23">
        <f t="shared" si="37"/>
        <v>1.2524965844642374E-2</v>
      </c>
      <c r="V48" s="23">
        <f t="shared" si="38"/>
        <v>4.6363195179649971E-2</v>
      </c>
      <c r="W48" s="23">
        <f t="shared" si="39"/>
        <v>1.576351839424172E-2</v>
      </c>
    </row>
    <row r="49" spans="1:23" x14ac:dyDescent="0.25">
      <c r="B49" t="str">
        <f>'Starlink countries with data'!B49</f>
        <v>Jamaica</v>
      </c>
      <c r="C49" t="str">
        <f>'Starlink countries with data'!D49</f>
        <v>Jamaica</v>
      </c>
      <c r="D49" s="15">
        <f>INDEX('Population and Broadband subs'!$D$324:$D$425,MATCH($C49,'Population and Broadband subs'!$A$324:$A$425,0))</f>
        <v>442093</v>
      </c>
      <c r="E49" s="15">
        <f>INDEX('Population and Broadband subs'!$D$428:$D$529,MATCH($C49,'Population and Broadband subs'!$A$428:$A$529,0))</f>
        <v>148236</v>
      </c>
      <c r="F49" s="23">
        <f t="shared" si="27"/>
        <v>0.33530501500815441</v>
      </c>
      <c r="G49" s="15">
        <f>INDEX('Population and Broadband subs'!$D$532:$D$633,MATCH($C49,'Population and Broadband subs'!$A$532:$A$633,0))</f>
        <v>127852</v>
      </c>
      <c r="H49" s="23">
        <f t="shared" si="28"/>
        <v>0.28919706939490109</v>
      </c>
      <c r="I49" s="15">
        <f>INDEX('Population and Broadband subs'!$D$636:$D$737,MATCH($C49,'Population and Broadband subs'!$A$636:$A$737,0))</f>
        <v>164096</v>
      </c>
      <c r="J49" s="23">
        <f t="shared" si="29"/>
        <v>0.37117981963071117</v>
      </c>
      <c r="K49" s="15">
        <f>INDEX('Population and Broadband subs'!$D$740:$D$841,MATCH($C49,'Population and Broadband subs'!$A$740:$A$841,0))</f>
        <v>0</v>
      </c>
      <c r="L49" s="23">
        <f t="shared" si="30"/>
        <v>0</v>
      </c>
      <c r="M49" s="15">
        <f>INDEX('Population and Broadband subs'!$D$844:$D$945,MATCH($C49,'Population and Broadband subs'!$A$844:$A$945,0))</f>
        <v>1909</v>
      </c>
      <c r="N49" s="23">
        <f t="shared" si="31"/>
        <v>4.3180959662333495E-3</v>
      </c>
      <c r="O49" s="15">
        <f>INDEX('Population and Broadband subs'!$D$948:$D$1049,MATCH($C49,'Population and Broadband subs'!$A$948:$A$1049,0))</f>
        <v>0</v>
      </c>
      <c r="P49" s="23">
        <f t="shared" si="32"/>
        <v>0</v>
      </c>
      <c r="Q49" t="str">
        <f t="shared" si="33"/>
        <v>Fiber</v>
      </c>
      <c r="R49" s="23">
        <f t="shared" si="34"/>
        <v>0.33530501500815441</v>
      </c>
      <c r="S49" s="23">
        <f t="shared" si="35"/>
        <v>0.28919706939490109</v>
      </c>
      <c r="T49" s="23">
        <f t="shared" si="36"/>
        <v>0.37117981963071117</v>
      </c>
      <c r="U49" s="23">
        <f t="shared" si="37"/>
        <v>0</v>
      </c>
      <c r="V49" s="23">
        <f t="shared" si="38"/>
        <v>4.3180959662333495E-3</v>
      </c>
      <c r="W49" s="23">
        <f t="shared" si="39"/>
        <v>0</v>
      </c>
    </row>
    <row r="50" spans="1:23" x14ac:dyDescent="0.25">
      <c r="B50" t="str">
        <f>'Starlink countries with data'!B50</f>
        <v>Mexico</v>
      </c>
      <c r="C50" t="str">
        <f>'Starlink countries with data'!D50</f>
        <v>Mexico</v>
      </c>
      <c r="D50" s="15">
        <f>INDEX('Population and Broadband subs'!$D$324:$D$425,MATCH($C50,'Population and Broadband subs'!$A$324:$A$425,0))</f>
        <v>28942909</v>
      </c>
      <c r="E50" s="15">
        <f>INDEX('Population and Broadband subs'!$D$428:$D$529,MATCH($C50,'Population and Broadband subs'!$A$428:$A$529,0))</f>
        <v>6635818</v>
      </c>
      <c r="F50" s="23">
        <f t="shared" si="27"/>
        <v>0.22927266917088396</v>
      </c>
      <c r="G50" s="15">
        <f>INDEX('Population and Broadband subs'!$D$532:$D$633,MATCH($C50,'Population and Broadband subs'!$A$532:$A$633,0))</f>
        <v>347390</v>
      </c>
      <c r="H50" s="23">
        <f t="shared" si="28"/>
        <v>1.2002594486960519E-2</v>
      </c>
      <c r="I50" s="15">
        <f>INDEX('Population and Broadband subs'!$D$636:$D$737,MATCH($C50,'Population and Broadband subs'!$A$636:$A$737,0))</f>
        <v>21243708</v>
      </c>
      <c r="J50" s="23">
        <f t="shared" si="29"/>
        <v>0.73398662173176854</v>
      </c>
      <c r="K50" s="15">
        <f>INDEX('Population and Broadband subs'!$D$740:$D$841,MATCH($C50,'Population and Broadband subs'!$A$740:$A$841,0))</f>
        <v>88166</v>
      </c>
      <c r="L50" s="23">
        <f t="shared" si="30"/>
        <v>3.0462038214610701E-3</v>
      </c>
      <c r="M50" s="15">
        <f>INDEX('Population and Broadband subs'!$D$844:$D$945,MATCH($C50,'Population and Broadband subs'!$A$844:$A$945,0))</f>
        <v>627827</v>
      </c>
      <c r="N50" s="23">
        <f t="shared" si="31"/>
        <v>2.1691910788925881E-2</v>
      </c>
      <c r="O50" s="15">
        <f>INDEX('Population and Broadband subs'!$D$948:$D$1049,MATCH($C50,'Population and Broadband subs'!$A$948:$A$1049,0))</f>
        <v>0</v>
      </c>
      <c r="P50" s="23">
        <f t="shared" si="32"/>
        <v>0</v>
      </c>
      <c r="Q50" t="str">
        <f t="shared" si="33"/>
        <v>Fiber</v>
      </c>
      <c r="R50" s="23">
        <f t="shared" si="34"/>
        <v>0.22927266917088396</v>
      </c>
      <c r="S50" s="23">
        <f t="shared" si="35"/>
        <v>1.2002594486960519E-2</v>
      </c>
      <c r="T50" s="23">
        <f t="shared" si="36"/>
        <v>0.73398662173176854</v>
      </c>
      <c r="U50" s="23">
        <f t="shared" si="37"/>
        <v>3.0462038214610701E-3</v>
      </c>
      <c r="V50" s="23">
        <f t="shared" si="38"/>
        <v>2.1691910788925881E-2</v>
      </c>
      <c r="W50" s="23">
        <f t="shared" si="39"/>
        <v>0</v>
      </c>
    </row>
    <row r="51" spans="1:23" x14ac:dyDescent="0.25">
      <c r="B51" t="str">
        <f>'Starlink countries with data'!B51</f>
        <v>Nicaragua</v>
      </c>
      <c r="C51" t="str">
        <f>'Starlink countries with data'!D51</f>
        <v>Nicaragua</v>
      </c>
      <c r="D51" s="15">
        <f>INDEX('Population and Broadband subs'!$D$324:$D$425,MATCH($C51,'Population and Broadband subs'!$A$324:$A$425,0))</f>
        <v>460549</v>
      </c>
      <c r="E51" s="15">
        <f>INDEX('Population and Broadband subs'!$D$428:$D$529,MATCH($C51,'Population and Broadband subs'!$A$428:$A$529,0))</f>
        <v>152140</v>
      </c>
      <c r="F51" s="23">
        <f t="shared" si="27"/>
        <v>0.33034487101263926</v>
      </c>
      <c r="G51" s="15">
        <f>INDEX('Population and Broadband subs'!$D$532:$D$633,MATCH($C51,'Population and Broadband subs'!$A$532:$A$633,0))</f>
        <v>218389</v>
      </c>
      <c r="H51" s="23">
        <f t="shared" si="28"/>
        <v>0.47419275690534557</v>
      </c>
      <c r="I51" s="15">
        <f>INDEX('Population and Broadband subs'!$D$636:$D$737,MATCH($C51,'Population and Broadband subs'!$A$636:$A$737,0))</f>
        <v>10742</v>
      </c>
      <c r="J51" s="23">
        <f t="shared" si="29"/>
        <v>2.3324336824094721E-2</v>
      </c>
      <c r="K51" s="15">
        <f>INDEX('Population and Broadband subs'!$D$740:$D$841,MATCH($C51,'Population and Broadband subs'!$A$740:$A$841,0))</f>
        <v>4677</v>
      </c>
      <c r="L51" s="23">
        <f t="shared" si="30"/>
        <v>1.0155271208926737E-2</v>
      </c>
      <c r="M51" s="15">
        <f>INDEX('Population and Broadband subs'!$D$844:$D$945,MATCH($C51,'Population and Broadband subs'!$A$844:$A$945,0))</f>
        <v>72685</v>
      </c>
      <c r="N51" s="23">
        <f t="shared" si="31"/>
        <v>0.1578225118282745</v>
      </c>
      <c r="O51" s="15">
        <f>INDEX('Population and Broadband subs'!$D$948:$D$1049,MATCH($C51,'Population and Broadband subs'!$A$948:$A$1049,0))</f>
        <v>1916</v>
      </c>
      <c r="P51" s="23">
        <f t="shared" si="32"/>
        <v>4.1602522207191848E-3</v>
      </c>
      <c r="Q51" t="str">
        <f t="shared" si="33"/>
        <v>DSL</v>
      </c>
      <c r="R51" s="23">
        <f t="shared" si="34"/>
        <v>0.33034487101263926</v>
      </c>
      <c r="S51" s="23">
        <f t="shared" si="35"/>
        <v>0.47419275690534557</v>
      </c>
      <c r="T51" s="23">
        <f t="shared" si="36"/>
        <v>2.3324336824094721E-2</v>
      </c>
      <c r="U51" s="23">
        <f t="shared" si="37"/>
        <v>1.0155271208926737E-2</v>
      </c>
      <c r="V51" s="23">
        <f t="shared" si="38"/>
        <v>0.1578225118282745</v>
      </c>
      <c r="W51" s="23">
        <f t="shared" si="39"/>
        <v>4.1602522207191848E-3</v>
      </c>
    </row>
    <row r="52" spans="1:23" x14ac:dyDescent="0.25">
      <c r="B52" t="str">
        <f>'Starlink countries with data'!B52</f>
        <v>Panama</v>
      </c>
      <c r="C52" t="str">
        <f>'Starlink countries with data'!D52</f>
        <v>Panama</v>
      </c>
      <c r="D52" s="15">
        <f>INDEX('Population and Broadband subs'!$D$324:$D$425,MATCH($C52,'Population and Broadband subs'!$A$324:$A$425,0))</f>
        <v>758854</v>
      </c>
      <c r="E52" s="15">
        <f>INDEX('Population and Broadband subs'!$D$428:$D$529,MATCH($C52,'Population and Broadband subs'!$A$428:$A$529,0))</f>
        <v>612587</v>
      </c>
      <c r="F52" s="23">
        <f t="shared" si="27"/>
        <v>0.80725277853183874</v>
      </c>
      <c r="G52" s="15">
        <f>INDEX('Population and Broadband subs'!$D$532:$D$633,MATCH($C52,'Population and Broadband subs'!$A$532:$A$633,0))</f>
        <v>230</v>
      </c>
      <c r="H52" s="23">
        <f t="shared" si="28"/>
        <v>3.0308860465913073E-4</v>
      </c>
      <c r="I52" s="15">
        <f>INDEX('Population and Broadband subs'!$D$636:$D$737,MATCH($C52,'Population and Broadband subs'!$A$636:$A$737,0))</f>
        <v>101026</v>
      </c>
      <c r="J52" s="23">
        <f t="shared" si="29"/>
        <v>0.13312969293171018</v>
      </c>
      <c r="K52" s="15">
        <f>INDEX('Population and Broadband subs'!$D$740:$D$841,MATCH($C52,'Population and Broadband subs'!$A$740:$A$841,0))</f>
        <v>0</v>
      </c>
      <c r="L52" s="23">
        <f t="shared" si="30"/>
        <v>0</v>
      </c>
      <c r="M52" s="15">
        <f>INDEX('Population and Broadband subs'!$D$844:$D$945,MATCH($C52,'Population and Broadband subs'!$A$844:$A$945,0))</f>
        <v>11927</v>
      </c>
      <c r="N52" s="23">
        <f t="shared" si="31"/>
        <v>1.5717120816388923E-2</v>
      </c>
      <c r="O52" s="15">
        <f>INDEX('Population and Broadband subs'!$D$948:$D$1049,MATCH($C52,'Population and Broadband subs'!$A$948:$A$1049,0))</f>
        <v>33086</v>
      </c>
      <c r="P52" s="23">
        <f t="shared" si="32"/>
        <v>4.3599954668486957E-2</v>
      </c>
      <c r="Q52" t="str">
        <f t="shared" si="33"/>
        <v>Cable</v>
      </c>
      <c r="R52" s="23">
        <f t="shared" si="34"/>
        <v>0.80725277853183874</v>
      </c>
      <c r="S52" s="23">
        <f t="shared" si="35"/>
        <v>3.0308860465913073E-4</v>
      </c>
      <c r="T52" s="23">
        <f t="shared" si="36"/>
        <v>0.13312969293171018</v>
      </c>
      <c r="U52" s="23">
        <f t="shared" si="37"/>
        <v>0</v>
      </c>
      <c r="V52" s="23">
        <f t="shared" si="38"/>
        <v>1.5717120816388923E-2</v>
      </c>
      <c r="W52" s="23">
        <f t="shared" si="39"/>
        <v>4.3599954668486957E-2</v>
      </c>
    </row>
    <row r="53" spans="1:23" x14ac:dyDescent="0.25">
      <c r="B53" t="str">
        <f>'Starlink countries with data'!B53</f>
        <v>Paraguay</v>
      </c>
      <c r="C53" t="str">
        <f>'Starlink countries with data'!D53</f>
        <v>Paraguay</v>
      </c>
      <c r="D53" s="15">
        <f>INDEX('Population and Broadband subs'!$D$324:$D$425,MATCH($C53,'Population and Broadband subs'!$A$324:$A$425,0))</f>
        <v>985165</v>
      </c>
      <c r="E53" s="15">
        <f>INDEX('Population and Broadband subs'!$D$428:$D$529,MATCH($C53,'Population and Broadband subs'!$A$428:$A$529,0))</f>
        <v>492583</v>
      </c>
      <c r="F53" s="23">
        <f t="shared" si="27"/>
        <v>0.50000050752919567</v>
      </c>
      <c r="G53" s="15">
        <f>INDEX('Population and Broadband subs'!$D$532:$D$633,MATCH($C53,'Population and Broadband subs'!$A$532:$A$633,0))</f>
        <v>104427</v>
      </c>
      <c r="H53" s="23">
        <f t="shared" si="28"/>
        <v>0.1059995026213883</v>
      </c>
      <c r="I53" s="15">
        <f>INDEX('Population and Broadband subs'!$D$636:$D$737,MATCH($C53,'Population and Broadband subs'!$A$636:$A$737,0))</f>
        <v>368452</v>
      </c>
      <c r="J53" s="23">
        <f t="shared" si="29"/>
        <v>0.37400029436693344</v>
      </c>
      <c r="K53" s="15">
        <f>INDEX('Population and Broadband subs'!$D$740:$D$841,MATCH($C53,'Population and Broadband subs'!$A$740:$A$841,0))</f>
        <v>0</v>
      </c>
      <c r="L53" s="23">
        <f t="shared" si="30"/>
        <v>0</v>
      </c>
      <c r="M53" s="15">
        <f>INDEX('Population and Broadband subs'!$D$844:$D$945,MATCH($C53,'Population and Broadband subs'!$A$844:$A$945,0))</f>
        <v>19703</v>
      </c>
      <c r="N53" s="23">
        <f t="shared" si="31"/>
        <v>1.9999695482482628E-2</v>
      </c>
      <c r="O53" s="15">
        <f>INDEX('Population and Broadband subs'!$D$948:$D$1049,MATCH($C53,'Population and Broadband subs'!$A$948:$A$1049,0))</f>
        <v>0</v>
      </c>
      <c r="P53" s="23">
        <f t="shared" si="32"/>
        <v>0</v>
      </c>
      <c r="Q53" t="str">
        <f t="shared" si="33"/>
        <v>Cable</v>
      </c>
      <c r="R53" s="23">
        <f t="shared" si="34"/>
        <v>0.50000050752919567</v>
      </c>
      <c r="S53" s="23">
        <f t="shared" si="35"/>
        <v>0.1059995026213883</v>
      </c>
      <c r="T53" s="23">
        <f t="shared" si="36"/>
        <v>0.37400029436693344</v>
      </c>
      <c r="U53" s="23">
        <f t="shared" si="37"/>
        <v>0</v>
      </c>
      <c r="V53" s="23">
        <f t="shared" si="38"/>
        <v>1.9999695482482628E-2</v>
      </c>
      <c r="W53" s="23">
        <f t="shared" si="39"/>
        <v>0</v>
      </c>
    </row>
    <row r="54" spans="1:23" x14ac:dyDescent="0.25">
      <c r="B54" t="str">
        <f>'Starlink countries with data'!B54</f>
        <v>Peru</v>
      </c>
      <c r="C54" t="str">
        <f>'Starlink countries with data'!D54</f>
        <v>Peru</v>
      </c>
      <c r="D54" s="15">
        <f>INDEX('Population and Broadband subs'!$D$324:$D$425,MATCH($C54,'Population and Broadband subs'!$A$324:$A$425,0))</f>
        <v>4362939</v>
      </c>
      <c r="E54" s="15">
        <f>INDEX('Population and Broadband subs'!$D$428:$D$529,MATCH($C54,'Population and Broadband subs'!$A$428:$A$529,0))</f>
        <v>1151763</v>
      </c>
      <c r="F54" s="23">
        <f t="shared" si="27"/>
        <v>0.26398787606244323</v>
      </c>
      <c r="G54" s="15">
        <f>INDEX('Population and Broadband subs'!$D$532:$D$633,MATCH($C54,'Population and Broadband subs'!$A$532:$A$633,0))</f>
        <v>2455</v>
      </c>
      <c r="H54" s="23">
        <f t="shared" si="28"/>
        <v>5.6269409221627897E-4</v>
      </c>
      <c r="I54" s="15">
        <f>INDEX('Population and Broadband subs'!$D$636:$D$737,MATCH($C54,'Population and Broadband subs'!$A$636:$A$737,0))</f>
        <v>3112864</v>
      </c>
      <c r="J54" s="23">
        <f t="shared" si="29"/>
        <v>0.71347868947972914</v>
      </c>
      <c r="K54" s="15">
        <f>INDEX('Population and Broadband subs'!$D$740:$D$841,MATCH($C54,'Population and Broadband subs'!$A$740:$A$841,0))</f>
        <v>37914</v>
      </c>
      <c r="L54" s="23">
        <f t="shared" si="30"/>
        <v>8.6900137728260704E-3</v>
      </c>
      <c r="M54" s="15">
        <f>INDEX('Population and Broadband subs'!$D$844:$D$945,MATCH($C54,'Population and Broadband subs'!$A$844:$A$945,0))</f>
        <v>54927</v>
      </c>
      <c r="N54" s="23">
        <f t="shared" si="31"/>
        <v>1.258944945139045E-2</v>
      </c>
      <c r="O54" s="15">
        <f>INDEX('Population and Broadband subs'!$D$948:$D$1049,MATCH($C54,'Population and Broadband subs'!$A$948:$A$1049,0))</f>
        <v>3016</v>
      </c>
      <c r="P54" s="23">
        <f t="shared" si="32"/>
        <v>6.9127714139482588E-4</v>
      </c>
      <c r="Q54" t="str">
        <f t="shared" si="33"/>
        <v>Fiber</v>
      </c>
      <c r="R54" s="23">
        <f t="shared" si="34"/>
        <v>0.26398787606244323</v>
      </c>
      <c r="S54" s="23">
        <f t="shared" si="35"/>
        <v>5.6269409221627897E-4</v>
      </c>
      <c r="T54" s="23">
        <f t="shared" si="36"/>
        <v>0.71347868947972914</v>
      </c>
      <c r="U54" s="23">
        <f t="shared" si="37"/>
        <v>8.6900137728260704E-3</v>
      </c>
      <c r="V54" s="23">
        <f t="shared" si="38"/>
        <v>1.258944945139045E-2</v>
      </c>
      <c r="W54" s="23">
        <f t="shared" si="39"/>
        <v>6.9127714139482588E-4</v>
      </c>
    </row>
    <row r="55" spans="1:23" x14ac:dyDescent="0.25">
      <c r="B55" t="str">
        <f>'Starlink countries with data'!B55</f>
        <v>Puerto Rico</v>
      </c>
      <c r="C55" t="str">
        <f>'Starlink countries with data'!D55</f>
        <v>Puerto Rico</v>
      </c>
      <c r="D55" s="15">
        <f>INDEX('Population and Broadband subs'!$D$324:$D$425,MATCH($C55,'Population and Broadband subs'!$A$324:$A$425,0))</f>
        <v>776984</v>
      </c>
      <c r="E55" s="15">
        <f>INDEX('Population and Broadband subs'!$D$428:$D$529,MATCH($C55,'Population and Broadband subs'!$A$428:$A$529,0))</f>
        <v>482854</v>
      </c>
      <c r="F55" s="23">
        <f t="shared" si="27"/>
        <v>0.62144651627317937</v>
      </c>
      <c r="G55" s="15">
        <f>INDEX('Population and Broadband subs'!$D$532:$D$633,MATCH($C55,'Population and Broadband subs'!$A$532:$A$633,0))</f>
        <v>91088</v>
      </c>
      <c r="H55" s="23">
        <f t="shared" si="28"/>
        <v>0.11723278729034317</v>
      </c>
      <c r="I55" s="15">
        <f>INDEX('Population and Broadband subs'!$D$636:$D$737,MATCH($C55,'Population and Broadband subs'!$A$636:$A$737,0))</f>
        <v>168089</v>
      </c>
      <c r="J55" s="23">
        <f t="shared" si="29"/>
        <v>0.21633521410994305</v>
      </c>
      <c r="K55" s="15">
        <f>INDEX('Population and Broadband subs'!$D$740:$D$841,MATCH($C55,'Population and Broadband subs'!$A$740:$A$841,0))</f>
        <v>67</v>
      </c>
      <c r="L55" s="23">
        <f t="shared" si="30"/>
        <v>8.623086189677008E-5</v>
      </c>
      <c r="M55" s="15">
        <f>INDEX('Population and Broadband subs'!$D$844:$D$945,MATCH($C55,'Population and Broadband subs'!$A$844:$A$945,0))</f>
        <v>34886</v>
      </c>
      <c r="N55" s="23">
        <f t="shared" si="31"/>
        <v>4.4899251464637621E-2</v>
      </c>
      <c r="O55" s="15">
        <f>INDEX('Population and Broadband subs'!$D$948:$D$1049,MATCH($C55,'Population and Broadband subs'!$A$948:$A$1049,0))</f>
        <v>0</v>
      </c>
      <c r="P55" s="23">
        <f t="shared" si="32"/>
        <v>0</v>
      </c>
      <c r="Q55" t="str">
        <f t="shared" si="33"/>
        <v>Cable</v>
      </c>
      <c r="R55" s="23">
        <f t="shared" si="34"/>
        <v>0.62144651627317937</v>
      </c>
      <c r="S55" s="23">
        <f t="shared" si="35"/>
        <v>0.11723278729034317</v>
      </c>
      <c r="T55" s="23">
        <f t="shared" si="36"/>
        <v>0.21633521410994305</v>
      </c>
      <c r="U55" s="23">
        <f t="shared" si="37"/>
        <v>8.623086189677008E-5</v>
      </c>
      <c r="V55" s="23">
        <f t="shared" si="38"/>
        <v>4.4899251464637621E-2</v>
      </c>
      <c r="W55" s="23">
        <f t="shared" si="39"/>
        <v>0</v>
      </c>
    </row>
    <row r="56" spans="1:23" x14ac:dyDescent="0.25">
      <c r="B56" t="str">
        <f>'Starlink countries with data'!B56</f>
        <v>Trinidad and Tobago</v>
      </c>
      <c r="C56" t="str">
        <f>'Starlink countries with data'!D56</f>
        <v>Trinidad and Tobago</v>
      </c>
      <c r="D56" s="15">
        <f>INDEX('Population and Broadband subs'!$D$324:$D$425,MATCH($C56,'Population and Broadband subs'!$A$324:$A$425,0))</f>
        <v>352991</v>
      </c>
      <c r="E56" s="15">
        <f>INDEX('Population and Broadband subs'!$D$428:$D$529,MATCH($C56,'Population and Broadband subs'!$A$428:$A$529,0))</f>
        <v>160741</v>
      </c>
      <c r="F56" s="23">
        <f t="shared" si="27"/>
        <v>0.45536855047295821</v>
      </c>
      <c r="G56" s="15">
        <f>INDEX('Population and Broadband subs'!$D$532:$D$633,MATCH($C56,'Population and Broadband subs'!$A$532:$A$633,0))</f>
        <v>0</v>
      </c>
      <c r="H56" s="23">
        <f t="shared" si="28"/>
        <v>0</v>
      </c>
      <c r="I56" s="15">
        <f>INDEX('Population and Broadband subs'!$D$636:$D$737,MATCH($C56,'Population and Broadband subs'!$A$636:$A$737,0))</f>
        <v>173943</v>
      </c>
      <c r="J56" s="23">
        <f t="shared" si="29"/>
        <v>0.49276893745166306</v>
      </c>
      <c r="K56" s="15">
        <f>INDEX('Population and Broadband subs'!$D$740:$D$841,MATCH($C56,'Population and Broadband subs'!$A$740:$A$841,0))</f>
        <v>0</v>
      </c>
      <c r="L56" s="23">
        <f t="shared" si="30"/>
        <v>0</v>
      </c>
      <c r="M56" s="15">
        <f>INDEX('Population and Broadband subs'!$D$844:$D$945,MATCH($C56,'Population and Broadband subs'!$A$844:$A$945,0))</f>
        <v>18307</v>
      </c>
      <c r="N56" s="23">
        <f t="shared" si="31"/>
        <v>5.1862512075378696E-2</v>
      </c>
      <c r="O56" s="15">
        <f>INDEX('Population and Broadband subs'!$D$948:$D$1049,MATCH($C56,'Population and Broadband subs'!$A$948:$A$1049,0))</f>
        <v>0</v>
      </c>
      <c r="P56" s="23">
        <f t="shared" si="32"/>
        <v>0</v>
      </c>
      <c r="Q56" t="str">
        <f t="shared" si="33"/>
        <v>Fiber</v>
      </c>
      <c r="R56" s="23">
        <f t="shared" si="34"/>
        <v>0.45536855047295821</v>
      </c>
      <c r="S56" s="23">
        <f t="shared" si="35"/>
        <v>0</v>
      </c>
      <c r="T56" s="23">
        <f t="shared" si="36"/>
        <v>0.49276893745166306</v>
      </c>
      <c r="U56" s="23">
        <f t="shared" si="37"/>
        <v>0</v>
      </c>
      <c r="V56" s="23">
        <f t="shared" si="38"/>
        <v>5.1862512075378696E-2</v>
      </c>
      <c r="W56" s="23">
        <f t="shared" si="39"/>
        <v>0</v>
      </c>
    </row>
    <row r="57" spans="1:23" x14ac:dyDescent="0.25">
      <c r="B57" t="str">
        <f>'Starlink countries with data'!B57</f>
        <v>Uruguay</v>
      </c>
      <c r="C57" t="str">
        <f>'Starlink countries with data'!D57</f>
        <v>Uruguay</v>
      </c>
      <c r="D57" s="15">
        <f>INDEX('Population and Broadband subs'!$D$324:$D$425,MATCH($C57,'Population and Broadband subs'!$A$324:$A$425,0))</f>
        <v>1214855</v>
      </c>
      <c r="E57" s="15">
        <f>INDEX('Population and Broadband subs'!$D$428:$D$529,MATCH($C57,'Population and Broadband subs'!$A$428:$A$529,0))</f>
        <v>0</v>
      </c>
      <c r="F57" s="23">
        <f t="shared" si="27"/>
        <v>0</v>
      </c>
      <c r="G57" s="15">
        <f>INDEX('Population and Broadband subs'!$D$532:$D$633,MATCH($C57,'Population and Broadband subs'!$A$532:$A$633,0))</f>
        <v>0</v>
      </c>
      <c r="H57" s="23">
        <f t="shared" si="28"/>
        <v>0</v>
      </c>
      <c r="I57" s="15">
        <f>INDEX('Population and Broadband subs'!$D$636:$D$737,MATCH($C57,'Population and Broadband subs'!$A$636:$A$737,0))</f>
        <v>1085355</v>
      </c>
      <c r="J57" s="23">
        <f t="shared" si="29"/>
        <v>0.89340291639743019</v>
      </c>
      <c r="K57" s="15">
        <f>INDEX('Population and Broadband subs'!$D$740:$D$841,MATCH($C57,'Population and Broadband subs'!$A$740:$A$841,0))</f>
        <v>0</v>
      </c>
      <c r="L57" s="23">
        <f t="shared" si="30"/>
        <v>0</v>
      </c>
      <c r="M57" s="15">
        <f>INDEX('Population and Broadband subs'!$D$844:$D$945,MATCH($C57,'Population and Broadband subs'!$A$844:$A$945,0))</f>
        <v>129500</v>
      </c>
      <c r="N57" s="23">
        <f t="shared" si="31"/>
        <v>0.10659708360256985</v>
      </c>
      <c r="O57" s="15">
        <f>INDEX('Population and Broadband subs'!$D$948:$D$1049,MATCH($C57,'Population and Broadband subs'!$A$948:$A$1049,0))</f>
        <v>0</v>
      </c>
      <c r="P57" s="23">
        <f t="shared" si="32"/>
        <v>0</v>
      </c>
      <c r="Q57" t="str">
        <f t="shared" si="33"/>
        <v>Fiber</v>
      </c>
      <c r="R57" s="23">
        <f t="shared" si="34"/>
        <v>0</v>
      </c>
      <c r="S57" s="23">
        <f t="shared" si="35"/>
        <v>0</v>
      </c>
      <c r="T57" s="23">
        <f t="shared" si="36"/>
        <v>0.89340291639743019</v>
      </c>
      <c r="U57" s="23">
        <f t="shared" si="37"/>
        <v>0</v>
      </c>
      <c r="V57" s="23">
        <f t="shared" si="38"/>
        <v>0.10659708360256985</v>
      </c>
      <c r="W57" s="23">
        <f t="shared" si="39"/>
        <v>0</v>
      </c>
    </row>
    <row r="58" spans="1:23" x14ac:dyDescent="0.25">
      <c r="B58" t="str">
        <f>'Starlink countries with data'!B58</f>
        <v>Venezuela, Bolivarian Republic of</v>
      </c>
      <c r="C58" t="str">
        <f>'Starlink countries with data'!D58</f>
        <v>Venezuela</v>
      </c>
      <c r="D58" s="15">
        <f>INDEX('Population and Broadband subs'!$D$324:$D$425,MATCH($C58,'Population and Broadband subs'!$A$324:$A$425,0))</f>
        <v>2033761</v>
      </c>
      <c r="E58" s="15">
        <f>INDEX('Population and Broadband subs'!$D$428:$D$529,MATCH($C58,'Population and Broadband subs'!$A$428:$A$529,0))</f>
        <v>593357</v>
      </c>
      <c r="F58" s="23">
        <f t="shared" si="27"/>
        <v>0.2917535541295167</v>
      </c>
      <c r="G58" s="15">
        <f>INDEX('Population and Broadband subs'!$D$532:$D$633,MATCH($C58,'Population and Broadband subs'!$A$532:$A$633,0))</f>
        <v>1337569</v>
      </c>
      <c r="H58" s="23">
        <f t="shared" si="28"/>
        <v>0.65768249071547735</v>
      </c>
      <c r="I58" s="15">
        <f>INDEX('Population and Broadband subs'!$D$636:$D$737,MATCH($C58,'Population and Broadband subs'!$A$636:$A$737,0))</f>
        <v>53525</v>
      </c>
      <c r="J58" s="23">
        <f t="shared" si="29"/>
        <v>2.631823503351672E-2</v>
      </c>
      <c r="K58" s="15">
        <f>INDEX('Population and Broadband subs'!$D$740:$D$841,MATCH($C58,'Population and Broadband subs'!$A$740:$A$841,0))</f>
        <v>3617</v>
      </c>
      <c r="L58" s="23">
        <f t="shared" si="30"/>
        <v>1.7784783954456792E-3</v>
      </c>
      <c r="M58" s="15">
        <f>INDEX('Population and Broadband subs'!$D$844:$D$945,MATCH($C58,'Population and Broadband subs'!$A$844:$A$945,0))</f>
        <v>29653</v>
      </c>
      <c r="N58" s="23">
        <f t="shared" si="31"/>
        <v>1.4580375963547339E-2</v>
      </c>
      <c r="O58" s="15">
        <f>INDEX('Population and Broadband subs'!$D$948:$D$1049,MATCH($C58,'Population and Broadband subs'!$A$948:$A$1049,0))</f>
        <v>16040</v>
      </c>
      <c r="P58" s="23">
        <f t="shared" si="32"/>
        <v>7.8868657624961824E-3</v>
      </c>
      <c r="Q58" t="str">
        <f t="shared" si="33"/>
        <v>DSL</v>
      </c>
      <c r="R58" s="23">
        <f t="shared" si="34"/>
        <v>0.2917535541295167</v>
      </c>
      <c r="S58" s="23">
        <f t="shared" si="35"/>
        <v>0.65768249071547735</v>
      </c>
      <c r="T58" s="23">
        <f t="shared" si="36"/>
        <v>2.631823503351672E-2</v>
      </c>
      <c r="U58" s="23">
        <f t="shared" si="37"/>
        <v>1.7784783954456792E-3</v>
      </c>
      <c r="V58" s="23">
        <f t="shared" si="38"/>
        <v>1.4580375963547339E-2</v>
      </c>
      <c r="W58" s="23">
        <f t="shared" si="39"/>
        <v>7.8868657624961824E-3</v>
      </c>
    </row>
    <row r="59" spans="1:23" x14ac:dyDescent="0.25">
      <c r="R59" s="23"/>
      <c r="S59" s="23"/>
      <c r="T59" s="23"/>
      <c r="U59" s="23"/>
      <c r="V59" s="23"/>
      <c r="W59" s="23"/>
    </row>
    <row r="60" spans="1:23" x14ac:dyDescent="0.25">
      <c r="A60" s="14" t="s">
        <v>612</v>
      </c>
      <c r="B60" s="14"/>
      <c r="C60" s="14"/>
      <c r="D60" s="14"/>
      <c r="E60" s="14"/>
      <c r="F60" s="14"/>
      <c r="G60" s="14"/>
      <c r="H60" s="14"/>
      <c r="I60" s="14"/>
      <c r="J60" s="14"/>
      <c r="K60" s="14"/>
      <c r="L60" s="14"/>
      <c r="M60" s="14"/>
      <c r="N60" s="14"/>
      <c r="O60" s="14"/>
      <c r="P60" s="14"/>
      <c r="Q60" s="14"/>
      <c r="R60" s="24"/>
      <c r="S60" s="24"/>
      <c r="T60" s="24"/>
      <c r="U60" s="24"/>
      <c r="V60" s="24"/>
      <c r="W60" s="24"/>
    </row>
    <row r="61" spans="1:23" x14ac:dyDescent="0.25">
      <c r="B61" t="str">
        <f>'Starlink countries with data'!B61</f>
        <v>Bahrain</v>
      </c>
      <c r="C61" t="str">
        <f>'Starlink countries with data'!D61</f>
        <v>Bahrain</v>
      </c>
      <c r="D61" s="15">
        <f>INDEX('Population and Broadband subs'!$D$324:$D$425,MATCH($C61,'Population and Broadband subs'!$A$324:$A$425,0))</f>
        <v>173714</v>
      </c>
      <c r="E61" s="15">
        <f>INDEX('Population and Broadband subs'!$D$428:$D$529,MATCH($C61,'Population and Broadband subs'!$A$428:$A$529,0))</f>
        <v>0</v>
      </c>
      <c r="F61" s="23">
        <f t="shared" ref="F61:F75" si="40">IFERROR(E61/$D61,"NA")</f>
        <v>0</v>
      </c>
      <c r="G61" s="15">
        <f>INDEX('Population and Broadband subs'!$D$532:$D$633,MATCH($C61,'Population and Broadband subs'!$A$532:$A$633,0))</f>
        <v>3024</v>
      </c>
      <c r="H61" s="23">
        <f t="shared" ref="H61:H75" si="41">IFERROR(G61/$D61,"NA")</f>
        <v>1.7407923368295015E-2</v>
      </c>
      <c r="I61" s="15">
        <f>INDEX('Population and Broadband subs'!$D$636:$D$737,MATCH($C61,'Population and Broadband subs'!$A$636:$A$737,0))</f>
        <v>164739</v>
      </c>
      <c r="J61" s="23">
        <f t="shared" ref="J61:J75" si="42">IFERROR(I61/$D61,"NA")</f>
        <v>0.9483346189714128</v>
      </c>
      <c r="K61" s="15">
        <f>INDEX('Population and Broadband subs'!$D$740:$D$841,MATCH($C61,'Population and Broadband subs'!$A$740:$A$841,0))</f>
        <v>0</v>
      </c>
      <c r="L61" s="23">
        <f t="shared" ref="L61:L75" si="43">IFERROR(K61/$D61,"NA")</f>
        <v>0</v>
      </c>
      <c r="M61" s="15">
        <f>INDEX('Population and Broadband subs'!$D$844:$D$945,MATCH($C61,'Population and Broadband subs'!$A$844:$A$945,0))</f>
        <v>5951</v>
      </c>
      <c r="N61" s="23">
        <f t="shared" ref="N61:N75" si="44">IFERROR(M61/$D61,"NA")</f>
        <v>3.4257457660292201E-2</v>
      </c>
      <c r="O61" s="15">
        <f>INDEX('Population and Broadband subs'!$D$948:$D$1049,MATCH($C61,'Population and Broadband subs'!$A$948:$A$1049,0))</f>
        <v>0</v>
      </c>
      <c r="P61" s="23">
        <f t="shared" ref="P61:P75" si="45">IFERROR(O61/$D61,"NA")</f>
        <v>0</v>
      </c>
      <c r="Q61" t="str">
        <f t="shared" ref="Q61:Q75" si="46">IF(COUNT(R61:W61)=0,"NA",INDEX($R$4:$W$4,MATCH(MAX(R61:W61),R61:W61,0)))</f>
        <v>Fiber</v>
      </c>
      <c r="R61" s="23">
        <f t="shared" ref="R61:R75" si="47">F61</f>
        <v>0</v>
      </c>
      <c r="S61" s="23">
        <f t="shared" ref="S61:S75" si="48">H61</f>
        <v>1.7407923368295015E-2</v>
      </c>
      <c r="T61" s="23">
        <f t="shared" ref="T61:T75" si="49">J61</f>
        <v>0.9483346189714128</v>
      </c>
      <c r="U61" s="23">
        <f t="shared" ref="U61:U75" si="50">L61</f>
        <v>0</v>
      </c>
      <c r="V61" s="23">
        <f t="shared" ref="V61:V75" si="51">N61</f>
        <v>3.4257457660292201E-2</v>
      </c>
      <c r="W61" s="23">
        <f t="shared" ref="W61:W75" si="52">P61</f>
        <v>0</v>
      </c>
    </row>
    <row r="62" spans="1:23" x14ac:dyDescent="0.25">
      <c r="B62" t="str">
        <f>'Starlink countries with data'!B62</f>
        <v>Iraq</v>
      </c>
      <c r="C62" t="str">
        <f>'Starlink countries with data'!D62</f>
        <v>Iraq</v>
      </c>
      <c r="D62" s="15">
        <f>INDEX('Population and Broadband subs'!$D$324:$D$425,MATCH($C62,'Population and Broadband subs'!$A$324:$A$425,0))</f>
        <v>1058822</v>
      </c>
      <c r="E62" s="15">
        <f>INDEX('Population and Broadband subs'!$D$428:$D$529,MATCH($C62,'Population and Broadband subs'!$A$428:$A$529,0))</f>
        <v>0</v>
      </c>
      <c r="F62" s="23">
        <f t="shared" si="40"/>
        <v>0</v>
      </c>
      <c r="G62" s="15">
        <f>INDEX('Population and Broadband subs'!$D$532:$D$633,MATCH($C62,'Population and Broadband subs'!$A$532:$A$633,0))</f>
        <v>322536</v>
      </c>
      <c r="H62" s="23">
        <f t="shared" si="41"/>
        <v>0.30461777333678369</v>
      </c>
      <c r="I62" s="15">
        <f>INDEX('Population and Broadband subs'!$D$636:$D$737,MATCH($C62,'Population and Broadband subs'!$A$636:$A$737,0))</f>
        <v>179231</v>
      </c>
      <c r="J62" s="23">
        <f t="shared" si="42"/>
        <v>0.16927396672906306</v>
      </c>
      <c r="K62" s="15">
        <f>INDEX('Population and Broadband subs'!$D$740:$D$841,MATCH($C62,'Population and Broadband subs'!$A$740:$A$841,0))</f>
        <v>12284</v>
      </c>
      <c r="L62" s="23">
        <f t="shared" si="43"/>
        <v>1.1601572313382231E-2</v>
      </c>
      <c r="M62" s="15">
        <f>INDEX('Population and Broadband subs'!$D$844:$D$945,MATCH($C62,'Population and Broadband subs'!$A$844:$A$945,0))</f>
        <v>544771</v>
      </c>
      <c r="N62" s="23">
        <f t="shared" si="44"/>
        <v>0.51450668762077101</v>
      </c>
      <c r="O62" s="15">
        <f>INDEX('Population and Broadband subs'!$D$948:$D$1049,MATCH($C62,'Population and Broadband subs'!$A$948:$A$1049,0))</f>
        <v>0</v>
      </c>
      <c r="P62" s="23">
        <f t="shared" si="45"/>
        <v>0</v>
      </c>
      <c r="Q62" t="str">
        <f t="shared" si="46"/>
        <v>Fixed Wireless</v>
      </c>
      <c r="R62" s="23">
        <f t="shared" si="47"/>
        <v>0</v>
      </c>
      <c r="S62" s="23">
        <f t="shared" si="48"/>
        <v>0.30461777333678369</v>
      </c>
      <c r="T62" s="23">
        <f t="shared" si="49"/>
        <v>0.16927396672906306</v>
      </c>
      <c r="U62" s="23">
        <f t="shared" si="50"/>
        <v>1.1601572313382231E-2</v>
      </c>
      <c r="V62" s="23">
        <f t="shared" si="51"/>
        <v>0.51450668762077101</v>
      </c>
      <c r="W62" s="23">
        <f t="shared" si="52"/>
        <v>0</v>
      </c>
    </row>
    <row r="63" spans="1:23" x14ac:dyDescent="0.25">
      <c r="B63" t="str">
        <f>'Starlink countries with data'!B63</f>
        <v>Israel</v>
      </c>
      <c r="C63" t="str">
        <f>'Starlink countries with data'!D63</f>
        <v>Israel</v>
      </c>
      <c r="D63" s="15">
        <f>INDEX('Population and Broadband subs'!$D$324:$D$425,MATCH($C63,'Population and Broadband subs'!$A$324:$A$425,0))</f>
        <v>3055052</v>
      </c>
      <c r="E63" s="15">
        <f>INDEX('Population and Broadband subs'!$D$428:$D$529,MATCH($C63,'Population and Broadband subs'!$A$428:$A$529,0))</f>
        <v>299202</v>
      </c>
      <c r="F63" s="23">
        <f t="shared" si="40"/>
        <v>9.7936794529192961E-2</v>
      </c>
      <c r="G63" s="15">
        <f>INDEX('Population and Broadband subs'!$D$532:$D$633,MATCH($C63,'Population and Broadband subs'!$A$532:$A$633,0))</f>
        <v>504504</v>
      </c>
      <c r="H63" s="23">
        <f t="shared" si="41"/>
        <v>0.16513761467889909</v>
      </c>
      <c r="I63" s="15">
        <f>INDEX('Population and Broadband subs'!$D$636:$D$737,MATCH($C63,'Population and Broadband subs'!$A$636:$A$737,0))</f>
        <v>2251346</v>
      </c>
      <c r="J63" s="23">
        <f t="shared" si="42"/>
        <v>0.736925590791908</v>
      </c>
      <c r="K63" s="15">
        <f>INDEX('Population and Broadband subs'!$D$740:$D$841,MATCH($C63,'Population and Broadband subs'!$A$740:$A$841,0))</f>
        <v>0</v>
      </c>
      <c r="L63" s="23">
        <f t="shared" si="43"/>
        <v>0</v>
      </c>
      <c r="M63" s="15">
        <f>INDEX('Population and Broadband subs'!$D$844:$D$945,MATCH($C63,'Population and Broadband subs'!$A$844:$A$945,0))</f>
        <v>0</v>
      </c>
      <c r="N63" s="23">
        <f t="shared" si="44"/>
        <v>0</v>
      </c>
      <c r="O63" s="15">
        <f>INDEX('Population and Broadband subs'!$D$948:$D$1049,MATCH($C63,'Population and Broadband subs'!$A$948:$A$1049,0))</f>
        <v>0</v>
      </c>
      <c r="P63" s="23">
        <f t="shared" si="45"/>
        <v>0</v>
      </c>
      <c r="Q63" t="str">
        <f t="shared" si="46"/>
        <v>Fiber</v>
      </c>
      <c r="R63" s="23">
        <f t="shared" si="47"/>
        <v>9.7936794529192961E-2</v>
      </c>
      <c r="S63" s="23">
        <f t="shared" si="48"/>
        <v>0.16513761467889909</v>
      </c>
      <c r="T63" s="23">
        <f t="shared" si="49"/>
        <v>0.736925590791908</v>
      </c>
      <c r="U63" s="23">
        <f t="shared" si="50"/>
        <v>0</v>
      </c>
      <c r="V63" s="23">
        <f t="shared" si="51"/>
        <v>0</v>
      </c>
      <c r="W63" s="23">
        <f t="shared" si="52"/>
        <v>0</v>
      </c>
    </row>
    <row r="64" spans="1:23" x14ac:dyDescent="0.25">
      <c r="B64" t="str">
        <f>'Starlink countries with data'!B64</f>
        <v>Jordan</v>
      </c>
      <c r="C64" t="str">
        <f>'Starlink countries with data'!D64</f>
        <v>Jordan</v>
      </c>
      <c r="D64" s="15">
        <f>INDEX('Population and Broadband subs'!$D$324:$D$425,MATCH($C64,'Population and Broadband subs'!$A$324:$A$425,0))</f>
        <v>913699</v>
      </c>
      <c r="E64" s="15">
        <f>INDEX('Population and Broadband subs'!$D$428:$D$529,MATCH($C64,'Population and Broadband subs'!$A$428:$A$529,0))</f>
        <v>0</v>
      </c>
      <c r="F64" s="23">
        <f t="shared" si="40"/>
        <v>0</v>
      </c>
      <c r="G64" s="15">
        <f>INDEX('Population and Broadband subs'!$D$532:$D$633,MATCH($C64,'Population and Broadband subs'!$A$532:$A$633,0))</f>
        <v>111566</v>
      </c>
      <c r="H64" s="23">
        <f t="shared" si="41"/>
        <v>0.12210366871365734</v>
      </c>
      <c r="I64" s="15">
        <f>INDEX('Population and Broadband subs'!$D$636:$D$737,MATCH($C64,'Population and Broadband subs'!$A$636:$A$737,0))</f>
        <v>676176</v>
      </c>
      <c r="J64" s="23">
        <f t="shared" si="42"/>
        <v>0.74004239908328673</v>
      </c>
      <c r="K64" s="15">
        <f>INDEX('Population and Broadband subs'!$D$740:$D$841,MATCH($C64,'Population and Broadband subs'!$A$740:$A$841,0))</f>
        <v>0</v>
      </c>
      <c r="L64" s="23">
        <f t="shared" si="43"/>
        <v>0</v>
      </c>
      <c r="M64" s="15">
        <f>INDEX('Population and Broadband subs'!$D$844:$D$945,MATCH($C64,'Population and Broadband subs'!$A$844:$A$945,0))</f>
        <v>109599</v>
      </c>
      <c r="N64" s="23">
        <f t="shared" si="44"/>
        <v>0.1199508809794035</v>
      </c>
      <c r="O64" s="15">
        <f>INDEX('Population and Broadband subs'!$D$948:$D$1049,MATCH($C64,'Population and Broadband subs'!$A$948:$A$1049,0))</f>
        <v>16357</v>
      </c>
      <c r="P64" s="23">
        <f t="shared" si="45"/>
        <v>1.7901956771321847E-2</v>
      </c>
      <c r="Q64" t="str">
        <f t="shared" si="46"/>
        <v>Fiber</v>
      </c>
      <c r="R64" s="23">
        <f t="shared" si="47"/>
        <v>0</v>
      </c>
      <c r="S64" s="23">
        <f t="shared" si="48"/>
        <v>0.12210366871365734</v>
      </c>
      <c r="T64" s="23">
        <f t="shared" si="49"/>
        <v>0.74004239908328673</v>
      </c>
      <c r="U64" s="23">
        <f t="shared" si="50"/>
        <v>0</v>
      </c>
      <c r="V64" s="23">
        <f t="shared" si="51"/>
        <v>0.1199508809794035</v>
      </c>
      <c r="W64" s="23">
        <f t="shared" si="52"/>
        <v>1.7901956771321847E-2</v>
      </c>
    </row>
    <row r="65" spans="1:23" x14ac:dyDescent="0.25">
      <c r="B65" t="str">
        <f>'Starlink countries with data'!B65</f>
        <v>Kenya</v>
      </c>
      <c r="C65" t="str">
        <f>'Starlink countries with data'!D65</f>
        <v>Kenya</v>
      </c>
      <c r="D65" s="15" t="str">
        <f>INDEX('Population and Broadband subs'!$D$324:$D$425,MATCH($C65,'Population and Broadband subs'!$A$324:$A$425,0))</f>
        <v>NA</v>
      </c>
      <c r="E65" s="15" t="str">
        <f>INDEX('Population and Broadband subs'!$D$428:$D$529,MATCH($C65,'Population and Broadband subs'!$A$428:$A$529,0))</f>
        <v>NA</v>
      </c>
      <c r="F65" s="23" t="str">
        <f t="shared" si="40"/>
        <v>NA</v>
      </c>
      <c r="G65" s="15" t="str">
        <f>INDEX('Population and Broadband subs'!$D$532:$D$633,MATCH($C65,'Population and Broadband subs'!$A$532:$A$633,0))</f>
        <v>NA</v>
      </c>
      <c r="H65" s="23" t="str">
        <f t="shared" si="41"/>
        <v>NA</v>
      </c>
      <c r="I65" s="15" t="str">
        <f>INDEX('Population and Broadband subs'!$D$636:$D$737,MATCH($C65,'Population and Broadband subs'!$A$636:$A$737,0))</f>
        <v>NA</v>
      </c>
      <c r="J65" s="23" t="str">
        <f t="shared" si="42"/>
        <v>NA</v>
      </c>
      <c r="K65" s="15" t="str">
        <f>INDEX('Population and Broadband subs'!$D$740:$D$841,MATCH($C65,'Population and Broadband subs'!$A$740:$A$841,0))</f>
        <v>NA</v>
      </c>
      <c r="L65" s="23" t="str">
        <f t="shared" si="43"/>
        <v>NA</v>
      </c>
      <c r="M65" s="15" t="str">
        <f>INDEX('Population and Broadband subs'!$D$844:$D$945,MATCH($C65,'Population and Broadband subs'!$A$844:$A$945,0))</f>
        <v>NA</v>
      </c>
      <c r="N65" s="23" t="str">
        <f t="shared" si="44"/>
        <v>NA</v>
      </c>
      <c r="O65" s="15" t="str">
        <f>INDEX('Population and Broadband subs'!$D$948:$D$1049,MATCH($C65,'Population and Broadband subs'!$A$948:$A$1049,0))</f>
        <v>NA</v>
      </c>
      <c r="P65" s="23" t="str">
        <f t="shared" si="45"/>
        <v>NA</v>
      </c>
      <c r="Q65" t="str">
        <f t="shared" si="46"/>
        <v>NA</v>
      </c>
      <c r="R65" s="23" t="str">
        <f t="shared" si="47"/>
        <v>NA</v>
      </c>
      <c r="S65" s="23" t="str">
        <f t="shared" si="48"/>
        <v>NA</v>
      </c>
      <c r="T65" s="23" t="str">
        <f t="shared" si="49"/>
        <v>NA</v>
      </c>
      <c r="U65" s="23" t="str">
        <f t="shared" si="50"/>
        <v>NA</v>
      </c>
      <c r="V65" s="23" t="str">
        <f t="shared" si="51"/>
        <v>NA</v>
      </c>
      <c r="W65" s="23" t="str">
        <f t="shared" si="52"/>
        <v>NA</v>
      </c>
    </row>
    <row r="66" spans="1:23" x14ac:dyDescent="0.25">
      <c r="B66" t="str">
        <f>'Starlink countries with data'!B66</f>
        <v>Kuwait</v>
      </c>
      <c r="C66" t="str">
        <f>'Starlink countries with data'!D66</f>
        <v>Kuwait</v>
      </c>
      <c r="D66" s="15">
        <f>INDEX('Population and Broadband subs'!$D$324:$D$425,MATCH($C66,'Population and Broadband subs'!$A$324:$A$425,0))</f>
        <v>507062</v>
      </c>
      <c r="E66" s="15">
        <f>INDEX('Population and Broadband subs'!$D$428:$D$529,MATCH($C66,'Population and Broadband subs'!$A$428:$A$529,0))</f>
        <v>0</v>
      </c>
      <c r="F66" s="23">
        <f t="shared" si="40"/>
        <v>0</v>
      </c>
      <c r="G66" s="15">
        <f>INDEX('Population and Broadband subs'!$D$532:$D$633,MATCH($C66,'Population and Broadband subs'!$A$532:$A$633,0))</f>
        <v>83891</v>
      </c>
      <c r="H66" s="23">
        <f t="shared" si="41"/>
        <v>0.16544525127104773</v>
      </c>
      <c r="I66" s="15">
        <f>INDEX('Population and Broadband subs'!$D$636:$D$737,MATCH($C66,'Population and Broadband subs'!$A$636:$A$737,0))</f>
        <v>212476</v>
      </c>
      <c r="J66" s="23">
        <f t="shared" si="42"/>
        <v>0.41903356985930712</v>
      </c>
      <c r="K66" s="15">
        <f>INDEX('Population and Broadband subs'!$D$740:$D$841,MATCH($C66,'Population and Broadband subs'!$A$740:$A$841,0))</f>
        <v>4031</v>
      </c>
      <c r="L66" s="23">
        <f t="shared" si="43"/>
        <v>7.9497181804197518E-3</v>
      </c>
      <c r="M66" s="15">
        <f>INDEX('Population and Broadband subs'!$D$844:$D$945,MATCH($C66,'Population and Broadband subs'!$A$844:$A$945,0))</f>
        <v>206664</v>
      </c>
      <c r="N66" s="23">
        <f t="shared" si="44"/>
        <v>0.4075714606892254</v>
      </c>
      <c r="O66" s="15">
        <f>INDEX('Population and Broadband subs'!$D$948:$D$1049,MATCH($C66,'Population and Broadband subs'!$A$948:$A$1049,0))</f>
        <v>0</v>
      </c>
      <c r="P66" s="23">
        <f t="shared" si="45"/>
        <v>0</v>
      </c>
      <c r="Q66" t="str">
        <f t="shared" si="46"/>
        <v>Fiber</v>
      </c>
      <c r="R66" s="23">
        <f t="shared" si="47"/>
        <v>0</v>
      </c>
      <c r="S66" s="23">
        <f t="shared" si="48"/>
        <v>0.16544525127104773</v>
      </c>
      <c r="T66" s="23">
        <f t="shared" si="49"/>
        <v>0.41903356985930712</v>
      </c>
      <c r="U66" s="23">
        <f t="shared" si="50"/>
        <v>7.9497181804197518E-3</v>
      </c>
      <c r="V66" s="23">
        <f t="shared" si="51"/>
        <v>0.4075714606892254</v>
      </c>
      <c r="W66" s="23">
        <f t="shared" si="52"/>
        <v>0</v>
      </c>
    </row>
    <row r="67" spans="1:23" x14ac:dyDescent="0.25">
      <c r="B67" t="str">
        <f>'Starlink countries with data'!B67</f>
        <v>Lebanon</v>
      </c>
      <c r="C67" t="str">
        <f>'Starlink countries with data'!D67</f>
        <v>Lebanon</v>
      </c>
      <c r="D67" s="15">
        <f>INDEX('Population and Broadband subs'!$D$324:$D$425,MATCH($C67,'Population and Broadband subs'!$A$324:$A$425,0))</f>
        <v>1012746</v>
      </c>
      <c r="E67" s="15">
        <f>INDEX('Population and Broadband subs'!$D$428:$D$529,MATCH($C67,'Population and Broadband subs'!$A$428:$A$529,0))</f>
        <v>0</v>
      </c>
      <c r="F67" s="23">
        <f t="shared" si="40"/>
        <v>0</v>
      </c>
      <c r="G67" s="15">
        <f>INDEX('Population and Broadband subs'!$D$532:$D$633,MATCH($C67,'Population and Broadband subs'!$A$532:$A$633,0))</f>
        <v>855547</v>
      </c>
      <c r="H67" s="23">
        <f t="shared" si="41"/>
        <v>0.84477944124193038</v>
      </c>
      <c r="I67" s="15">
        <f>INDEX('Population and Broadband subs'!$D$636:$D$737,MATCH($C67,'Population and Broadband subs'!$A$636:$A$737,0))</f>
        <v>81205</v>
      </c>
      <c r="J67" s="23">
        <f t="shared" si="42"/>
        <v>8.0182987639546344E-2</v>
      </c>
      <c r="K67" s="15">
        <f>INDEX('Population and Broadband subs'!$D$740:$D$841,MATCH($C67,'Population and Broadband subs'!$A$740:$A$841,0))</f>
        <v>11898</v>
      </c>
      <c r="L67" s="23">
        <f t="shared" si="43"/>
        <v>1.1748256719848808E-2</v>
      </c>
      <c r="M67" s="15">
        <f>INDEX('Population and Broadband subs'!$D$844:$D$945,MATCH($C67,'Population and Broadband subs'!$A$844:$A$945,0))</f>
        <v>64096</v>
      </c>
      <c r="N67" s="23">
        <f t="shared" si="44"/>
        <v>6.3289314398674495E-2</v>
      </c>
      <c r="O67" s="15">
        <f>INDEX('Population and Broadband subs'!$D$948:$D$1049,MATCH($C67,'Population and Broadband subs'!$A$948:$A$1049,0))</f>
        <v>0</v>
      </c>
      <c r="P67" s="23">
        <f t="shared" si="45"/>
        <v>0</v>
      </c>
      <c r="Q67" t="str">
        <f t="shared" si="46"/>
        <v>DSL</v>
      </c>
      <c r="R67" s="23">
        <f t="shared" si="47"/>
        <v>0</v>
      </c>
      <c r="S67" s="23">
        <f t="shared" si="48"/>
        <v>0.84477944124193038</v>
      </c>
      <c r="T67" s="23">
        <f t="shared" si="49"/>
        <v>8.0182987639546344E-2</v>
      </c>
      <c r="U67" s="23">
        <f t="shared" si="50"/>
        <v>1.1748256719848808E-2</v>
      </c>
      <c r="V67" s="23">
        <f t="shared" si="51"/>
        <v>6.3289314398674495E-2</v>
      </c>
      <c r="W67" s="23">
        <f t="shared" si="52"/>
        <v>0</v>
      </c>
    </row>
    <row r="68" spans="1:23" x14ac:dyDescent="0.25">
      <c r="B68" t="str">
        <f>'Starlink countries with data'!B68</f>
        <v>Nigeria</v>
      </c>
      <c r="C68" t="str">
        <f>'Starlink countries with data'!D68</f>
        <v>Nigeria</v>
      </c>
      <c r="D68" s="15" t="str">
        <f>INDEX('Population and Broadband subs'!$D$324:$D$425,MATCH($C68,'Population and Broadband subs'!$A$324:$A$425,0))</f>
        <v>NA</v>
      </c>
      <c r="E68" s="15" t="str">
        <f>INDEX('Population and Broadband subs'!$D$428:$D$529,MATCH($C68,'Population and Broadband subs'!$A$428:$A$529,0))</f>
        <v>NA</v>
      </c>
      <c r="F68" s="23" t="str">
        <f t="shared" si="40"/>
        <v>NA</v>
      </c>
      <c r="G68" s="15" t="str">
        <f>INDEX('Population and Broadband subs'!$D$532:$D$633,MATCH($C68,'Population and Broadband subs'!$A$532:$A$633,0))</f>
        <v>NA</v>
      </c>
      <c r="H68" s="23" t="str">
        <f t="shared" si="41"/>
        <v>NA</v>
      </c>
      <c r="I68" s="15" t="str">
        <f>INDEX('Population and Broadband subs'!$D$636:$D$737,MATCH($C68,'Population and Broadband subs'!$A$636:$A$737,0))</f>
        <v>NA</v>
      </c>
      <c r="J68" s="23" t="str">
        <f t="shared" si="42"/>
        <v>NA</v>
      </c>
      <c r="K68" s="15" t="str">
        <f>INDEX('Population and Broadband subs'!$D$740:$D$841,MATCH($C68,'Population and Broadband subs'!$A$740:$A$841,0))</f>
        <v>NA</v>
      </c>
      <c r="L68" s="23" t="str">
        <f t="shared" si="43"/>
        <v>NA</v>
      </c>
      <c r="M68" s="15" t="str">
        <f>INDEX('Population and Broadband subs'!$D$844:$D$945,MATCH($C68,'Population and Broadband subs'!$A$844:$A$945,0))</f>
        <v>NA</v>
      </c>
      <c r="N68" s="23" t="str">
        <f t="shared" si="44"/>
        <v>NA</v>
      </c>
      <c r="O68" s="15" t="str">
        <f>INDEX('Population and Broadband subs'!$D$948:$D$1049,MATCH($C68,'Population and Broadband subs'!$A$948:$A$1049,0))</f>
        <v>NA</v>
      </c>
      <c r="P68" s="23" t="str">
        <f t="shared" si="45"/>
        <v>NA</v>
      </c>
      <c r="Q68" t="str">
        <f t="shared" si="46"/>
        <v>NA</v>
      </c>
      <c r="R68" s="23" t="str">
        <f t="shared" si="47"/>
        <v>NA</v>
      </c>
      <c r="S68" s="23" t="str">
        <f t="shared" si="48"/>
        <v>NA</v>
      </c>
      <c r="T68" s="23" t="str">
        <f t="shared" si="49"/>
        <v>NA</v>
      </c>
      <c r="U68" s="23" t="str">
        <f t="shared" si="50"/>
        <v>NA</v>
      </c>
      <c r="V68" s="23" t="str">
        <f t="shared" si="51"/>
        <v>NA</v>
      </c>
      <c r="W68" s="23" t="str">
        <f t="shared" si="52"/>
        <v>NA</v>
      </c>
    </row>
    <row r="69" spans="1:23" x14ac:dyDescent="0.25">
      <c r="B69" t="str">
        <f>'Starlink countries with data'!B69</f>
        <v>Oman</v>
      </c>
      <c r="C69" t="str">
        <f>'Starlink countries with data'!D69</f>
        <v>Oman</v>
      </c>
      <c r="D69" s="15">
        <f>INDEX('Population and Broadband subs'!$D$324:$D$425,MATCH($C69,'Population and Broadband subs'!$A$324:$A$425,0))</f>
        <v>601338</v>
      </c>
      <c r="E69" s="15">
        <f>INDEX('Population and Broadband subs'!$D$428:$D$529,MATCH($C69,'Population and Broadband subs'!$A$428:$A$529,0))</f>
        <v>0</v>
      </c>
      <c r="F69" s="23">
        <f t="shared" si="40"/>
        <v>0</v>
      </c>
      <c r="G69" s="15">
        <f>INDEX('Population and Broadband subs'!$D$532:$D$633,MATCH($C69,'Population and Broadband subs'!$A$532:$A$633,0))</f>
        <v>76459</v>
      </c>
      <c r="H69" s="23">
        <f t="shared" si="41"/>
        <v>0.12714812634491751</v>
      </c>
      <c r="I69" s="15">
        <f>INDEX('Population and Broadband subs'!$D$636:$D$737,MATCH($C69,'Population and Broadband subs'!$A$636:$A$737,0))</f>
        <v>293561</v>
      </c>
      <c r="J69" s="23">
        <f t="shared" si="42"/>
        <v>0.4881796926187934</v>
      </c>
      <c r="K69" s="15">
        <f>INDEX('Population and Broadband subs'!$D$740:$D$841,MATCH($C69,'Population and Broadband subs'!$A$740:$A$841,0))</f>
        <v>4388</v>
      </c>
      <c r="L69" s="23">
        <f t="shared" si="43"/>
        <v>7.2970608875540877E-3</v>
      </c>
      <c r="M69" s="15">
        <f>INDEX('Population and Broadband subs'!$D$844:$D$945,MATCH($C69,'Population and Broadband subs'!$A$844:$A$945,0))</f>
        <v>226931</v>
      </c>
      <c r="N69" s="23">
        <f t="shared" si="44"/>
        <v>0.37737678310700473</v>
      </c>
      <c r="O69" s="15">
        <f>INDEX('Population and Broadband subs'!$D$948:$D$1049,MATCH($C69,'Population and Broadband subs'!$A$948:$A$1049,0))</f>
        <v>0</v>
      </c>
      <c r="P69" s="23">
        <f t="shared" si="45"/>
        <v>0</v>
      </c>
      <c r="Q69" t="str">
        <f t="shared" si="46"/>
        <v>Fiber</v>
      </c>
      <c r="R69" s="23">
        <f t="shared" si="47"/>
        <v>0</v>
      </c>
      <c r="S69" s="23">
        <f t="shared" si="48"/>
        <v>0.12714812634491751</v>
      </c>
      <c r="T69" s="23">
        <f t="shared" si="49"/>
        <v>0.4881796926187934</v>
      </c>
      <c r="U69" s="23">
        <f t="shared" si="50"/>
        <v>7.2970608875540877E-3</v>
      </c>
      <c r="V69" s="23">
        <f t="shared" si="51"/>
        <v>0.37737678310700473</v>
      </c>
      <c r="W69" s="23">
        <f t="shared" si="52"/>
        <v>0</v>
      </c>
    </row>
    <row r="70" spans="1:23" x14ac:dyDescent="0.25">
      <c r="B70" t="str">
        <f>'Starlink countries with data'!B70</f>
        <v>Palestinian Territories</v>
      </c>
      <c r="C70" t="str">
        <f>'Starlink countries with data'!D70</f>
        <v>Palestine</v>
      </c>
      <c r="D70" s="15">
        <f>INDEX('Population and Broadband subs'!$D$324:$D$425,MATCH($C70,'Population and Broadband subs'!$A$324:$A$425,0))</f>
        <v>552351</v>
      </c>
      <c r="E70" s="15">
        <f>INDEX('Population and Broadband subs'!$D$428:$D$529,MATCH($C70,'Population and Broadband subs'!$A$428:$A$529,0))</f>
        <v>0</v>
      </c>
      <c r="F70" s="23">
        <f t="shared" si="40"/>
        <v>0</v>
      </c>
      <c r="G70" s="15">
        <f>INDEX('Population and Broadband subs'!$D$532:$D$633,MATCH($C70,'Population and Broadband subs'!$A$532:$A$633,0))</f>
        <v>434600</v>
      </c>
      <c r="H70" s="23">
        <f t="shared" si="41"/>
        <v>0.78681852662527996</v>
      </c>
      <c r="I70" s="15">
        <f>INDEX('Population and Broadband subs'!$D$636:$D$737,MATCH($C70,'Population and Broadband subs'!$A$636:$A$737,0))</f>
        <v>102654</v>
      </c>
      <c r="J70" s="23">
        <f t="shared" si="42"/>
        <v>0.18584921544452712</v>
      </c>
      <c r="K70" s="15">
        <f>INDEX('Population and Broadband subs'!$D$740:$D$841,MATCH($C70,'Population and Broadband subs'!$A$740:$A$841,0))</f>
        <v>0</v>
      </c>
      <c r="L70" s="23">
        <f t="shared" si="43"/>
        <v>0</v>
      </c>
      <c r="M70" s="15">
        <f>INDEX('Population and Broadband subs'!$D$844:$D$945,MATCH($C70,'Population and Broadband subs'!$A$844:$A$945,0))</f>
        <v>15097</v>
      </c>
      <c r="N70" s="23">
        <f t="shared" si="44"/>
        <v>2.7332257930192939E-2</v>
      </c>
      <c r="O70" s="15">
        <f>INDEX('Population and Broadband subs'!$D$948:$D$1049,MATCH($C70,'Population and Broadband subs'!$A$948:$A$1049,0))</f>
        <v>0</v>
      </c>
      <c r="P70" s="23">
        <f t="shared" si="45"/>
        <v>0</v>
      </c>
      <c r="Q70" t="str">
        <f t="shared" si="46"/>
        <v>DSL</v>
      </c>
      <c r="R70" s="23">
        <f t="shared" si="47"/>
        <v>0</v>
      </c>
      <c r="S70" s="23">
        <f t="shared" si="48"/>
        <v>0.78681852662527996</v>
      </c>
      <c r="T70" s="23">
        <f t="shared" si="49"/>
        <v>0.18584921544452712</v>
      </c>
      <c r="U70" s="23">
        <f t="shared" si="50"/>
        <v>0</v>
      </c>
      <c r="V70" s="23">
        <f t="shared" si="51"/>
        <v>2.7332257930192939E-2</v>
      </c>
      <c r="W70" s="23">
        <f t="shared" si="52"/>
        <v>0</v>
      </c>
    </row>
    <row r="71" spans="1:23" x14ac:dyDescent="0.25">
      <c r="B71" t="str">
        <f>'Starlink countries with data'!B71</f>
        <v>Qatar</v>
      </c>
      <c r="C71" t="str">
        <f>'Starlink countries with data'!D71</f>
        <v>Qatar</v>
      </c>
      <c r="D71" s="15">
        <f>INDEX('Population and Broadband subs'!$D$324:$D$425,MATCH($C71,'Population and Broadband subs'!$A$324:$A$425,0))</f>
        <v>333304</v>
      </c>
      <c r="E71" s="15">
        <f>INDEX('Population and Broadband subs'!$D$428:$D$529,MATCH($C71,'Population and Broadband subs'!$A$428:$A$529,0))</f>
        <v>0</v>
      </c>
      <c r="F71" s="23">
        <f t="shared" si="40"/>
        <v>0</v>
      </c>
      <c r="G71" s="15">
        <f>INDEX('Population and Broadband subs'!$D$532:$D$633,MATCH($C71,'Population and Broadband subs'!$A$532:$A$633,0))</f>
        <v>0</v>
      </c>
      <c r="H71" s="23">
        <f t="shared" si="41"/>
        <v>0</v>
      </c>
      <c r="I71" s="15">
        <f>INDEX('Population and Broadband subs'!$D$636:$D$737,MATCH($C71,'Population and Broadband subs'!$A$636:$A$737,0))</f>
        <v>313628</v>
      </c>
      <c r="J71" s="23">
        <f t="shared" si="42"/>
        <v>0.94096680507884689</v>
      </c>
      <c r="K71" s="15">
        <f>INDEX('Population and Broadband subs'!$D$740:$D$841,MATCH($C71,'Population and Broadband subs'!$A$740:$A$841,0))</f>
        <v>19676</v>
      </c>
      <c r="L71" s="23">
        <f t="shared" si="43"/>
        <v>5.9033194921153061E-2</v>
      </c>
      <c r="M71" s="15">
        <f>INDEX('Population and Broadband subs'!$D$844:$D$945,MATCH($C71,'Population and Broadband subs'!$A$844:$A$945,0))</f>
        <v>0</v>
      </c>
      <c r="N71" s="23">
        <f t="shared" si="44"/>
        <v>0</v>
      </c>
      <c r="O71" s="15">
        <f>INDEX('Population and Broadband subs'!$D$948:$D$1049,MATCH($C71,'Population and Broadband subs'!$A$948:$A$1049,0))</f>
        <v>0</v>
      </c>
      <c r="P71" s="23">
        <f t="shared" si="45"/>
        <v>0</v>
      </c>
      <c r="Q71" t="str">
        <f t="shared" si="46"/>
        <v>Fiber</v>
      </c>
      <c r="R71" s="23">
        <f t="shared" si="47"/>
        <v>0</v>
      </c>
      <c r="S71" s="23">
        <f t="shared" si="48"/>
        <v>0</v>
      </c>
      <c r="T71" s="23">
        <f t="shared" si="49"/>
        <v>0.94096680507884689</v>
      </c>
      <c r="U71" s="23">
        <f t="shared" si="50"/>
        <v>5.9033194921153061E-2</v>
      </c>
      <c r="V71" s="23">
        <f t="shared" si="51"/>
        <v>0</v>
      </c>
      <c r="W71" s="23">
        <f t="shared" si="52"/>
        <v>0</v>
      </c>
    </row>
    <row r="72" spans="1:23" x14ac:dyDescent="0.25">
      <c r="B72" t="str">
        <f>'Starlink countries with data'!B72</f>
        <v>Saudi Arabia</v>
      </c>
      <c r="C72" t="str">
        <f>'Starlink countries with data'!D72</f>
        <v>Saudi Arabia</v>
      </c>
      <c r="D72" s="15">
        <f>INDEX('Population and Broadband subs'!$D$324:$D$425,MATCH($C72,'Population and Broadband subs'!$A$324:$A$425,0))</f>
        <v>3210751</v>
      </c>
      <c r="E72" s="15">
        <f>INDEX('Population and Broadband subs'!$D$428:$D$529,MATCH($C72,'Population and Broadband subs'!$A$428:$A$529,0))</f>
        <v>0</v>
      </c>
      <c r="F72" s="23">
        <f t="shared" si="40"/>
        <v>0</v>
      </c>
      <c r="G72" s="15">
        <f>INDEX('Population and Broadband subs'!$D$532:$D$633,MATCH($C72,'Population and Broadband subs'!$A$532:$A$633,0))</f>
        <v>210489</v>
      </c>
      <c r="H72" s="23">
        <f t="shared" si="41"/>
        <v>6.5557559586526648E-2</v>
      </c>
      <c r="I72" s="15">
        <f>INDEX('Population and Broadband subs'!$D$636:$D$737,MATCH($C72,'Population and Broadband subs'!$A$636:$A$737,0))</f>
        <v>2977489</v>
      </c>
      <c r="J72" s="23">
        <f t="shared" si="42"/>
        <v>0.92734970728032162</v>
      </c>
      <c r="K72" s="15">
        <f>INDEX('Population and Broadband subs'!$D$740:$D$841,MATCH($C72,'Population and Broadband subs'!$A$740:$A$841,0))</f>
        <v>0</v>
      </c>
      <c r="L72" s="23">
        <f t="shared" si="43"/>
        <v>0</v>
      </c>
      <c r="M72" s="15">
        <f>INDEX('Population and Broadband subs'!$D$844:$D$945,MATCH($C72,'Population and Broadband subs'!$A$844:$A$945,0))</f>
        <v>22773</v>
      </c>
      <c r="N72" s="23">
        <f t="shared" si="44"/>
        <v>7.092733133151714E-3</v>
      </c>
      <c r="O72" s="15">
        <f>INDEX('Population and Broadband subs'!$D$948:$D$1049,MATCH($C72,'Population and Broadband subs'!$A$948:$A$1049,0))</f>
        <v>0</v>
      </c>
      <c r="P72" s="23">
        <f t="shared" si="45"/>
        <v>0</v>
      </c>
      <c r="Q72" t="str">
        <f t="shared" si="46"/>
        <v>Fiber</v>
      </c>
      <c r="R72" s="23">
        <f t="shared" si="47"/>
        <v>0</v>
      </c>
      <c r="S72" s="23">
        <f t="shared" si="48"/>
        <v>6.5557559586526648E-2</v>
      </c>
      <c r="T72" s="23">
        <f t="shared" si="49"/>
        <v>0.92734970728032162</v>
      </c>
      <c r="U72" s="23">
        <f t="shared" si="50"/>
        <v>0</v>
      </c>
      <c r="V72" s="23">
        <f t="shared" si="51"/>
        <v>7.092733133151714E-3</v>
      </c>
      <c r="W72" s="23">
        <f t="shared" si="52"/>
        <v>0</v>
      </c>
    </row>
    <row r="73" spans="1:23" x14ac:dyDescent="0.25">
      <c r="B73" t="str">
        <f>'Starlink countries with data'!B73</f>
        <v>South Africa</v>
      </c>
      <c r="C73" t="str">
        <f>'Starlink countries with data'!D73</f>
        <v>South Africa</v>
      </c>
      <c r="D73" s="15">
        <f>INDEX('Population and Broadband subs'!$D$324:$D$425,MATCH($C73,'Population and Broadband subs'!$A$324:$A$425,0))</f>
        <v>3920135</v>
      </c>
      <c r="E73" s="15">
        <f>INDEX('Population and Broadband subs'!$D$428:$D$529,MATCH($C73,'Population and Broadband subs'!$A$428:$A$529,0))</f>
        <v>0</v>
      </c>
      <c r="F73" s="23">
        <f t="shared" si="40"/>
        <v>0</v>
      </c>
      <c r="G73" s="15">
        <f>INDEX('Population and Broadband subs'!$D$532:$D$633,MATCH($C73,'Population and Broadband subs'!$A$532:$A$633,0))</f>
        <v>136649</v>
      </c>
      <c r="H73" s="23">
        <f t="shared" si="41"/>
        <v>3.4858238300466693E-2</v>
      </c>
      <c r="I73" s="15">
        <f>INDEX('Population and Broadband subs'!$D$636:$D$737,MATCH($C73,'Population and Broadband subs'!$A$636:$A$737,0))</f>
        <v>3363437</v>
      </c>
      <c r="J73" s="23">
        <f t="shared" si="42"/>
        <v>0.85799009472888055</v>
      </c>
      <c r="K73" s="15">
        <f>INDEX('Population and Broadband subs'!$D$740:$D$841,MATCH($C73,'Population and Broadband subs'!$A$740:$A$841,0))</f>
        <v>21633</v>
      </c>
      <c r="L73" s="23">
        <f t="shared" si="43"/>
        <v>5.5184324009249679E-3</v>
      </c>
      <c r="M73" s="15">
        <f>INDEX('Population and Broadband subs'!$D$844:$D$945,MATCH($C73,'Population and Broadband subs'!$A$844:$A$945,0))</f>
        <v>386510</v>
      </c>
      <c r="N73" s="23">
        <f t="shared" si="44"/>
        <v>9.8596094267161719E-2</v>
      </c>
      <c r="O73" s="15">
        <f>INDEX('Population and Broadband subs'!$D$948:$D$1049,MATCH($C73,'Population and Broadband subs'!$A$948:$A$1049,0))</f>
        <v>11906</v>
      </c>
      <c r="P73" s="23">
        <f t="shared" si="45"/>
        <v>3.0371403025661104E-3</v>
      </c>
      <c r="Q73" t="str">
        <f t="shared" si="46"/>
        <v>Fiber</v>
      </c>
      <c r="R73" s="23">
        <f t="shared" si="47"/>
        <v>0</v>
      </c>
      <c r="S73" s="23">
        <f t="shared" si="48"/>
        <v>3.4858238300466693E-2</v>
      </c>
      <c r="T73" s="23">
        <f t="shared" si="49"/>
        <v>0.85799009472888055</v>
      </c>
      <c r="U73" s="23">
        <f t="shared" si="50"/>
        <v>5.5184324009249679E-3</v>
      </c>
      <c r="V73" s="23">
        <f t="shared" si="51"/>
        <v>9.8596094267161719E-2</v>
      </c>
      <c r="W73" s="23">
        <f t="shared" si="52"/>
        <v>3.0371403025661104E-3</v>
      </c>
    </row>
    <row r="74" spans="1:23" x14ac:dyDescent="0.25">
      <c r="B74" t="str">
        <f>'Starlink countries with data'!B74</f>
        <v>United Arab Emirates</v>
      </c>
      <c r="C74" t="str">
        <f>'Starlink countries with data'!D74</f>
        <v>United Arab Emirates</v>
      </c>
      <c r="D74" s="15">
        <f>INDEX('Population and Broadband subs'!$D$324:$D$425,MATCH($C74,'Population and Broadband subs'!$A$324:$A$425,0))</f>
        <v>2061157</v>
      </c>
      <c r="E74" s="15">
        <f>INDEX('Population and Broadband subs'!$D$428:$D$529,MATCH($C74,'Population and Broadband subs'!$A$428:$A$529,0))</f>
        <v>0</v>
      </c>
      <c r="F74" s="23">
        <f t="shared" si="40"/>
        <v>0</v>
      </c>
      <c r="G74" s="15">
        <f>INDEX('Population and Broadband subs'!$D$532:$D$633,MATCH($C74,'Population and Broadband subs'!$A$532:$A$633,0))</f>
        <v>25143</v>
      </c>
      <c r="H74" s="23">
        <f t="shared" si="41"/>
        <v>1.2198488518827048E-2</v>
      </c>
      <c r="I74" s="15">
        <f>INDEX('Population and Broadband subs'!$D$636:$D$737,MATCH($C74,'Population and Broadband subs'!$A$636:$A$737,0))</f>
        <v>2036014</v>
      </c>
      <c r="J74" s="23">
        <f t="shared" si="42"/>
        <v>0.9878015114811729</v>
      </c>
      <c r="K74" s="15">
        <f>INDEX('Population and Broadband subs'!$D$740:$D$841,MATCH($C74,'Population and Broadband subs'!$A$740:$A$841,0))</f>
        <v>0</v>
      </c>
      <c r="L74" s="23">
        <f t="shared" si="43"/>
        <v>0</v>
      </c>
      <c r="M74" s="15">
        <f>INDEX('Population and Broadband subs'!$D$844:$D$945,MATCH($C74,'Population and Broadband subs'!$A$844:$A$945,0))</f>
        <v>0</v>
      </c>
      <c r="N74" s="23">
        <f t="shared" si="44"/>
        <v>0</v>
      </c>
      <c r="O74" s="15">
        <f>INDEX('Population and Broadband subs'!$D$948:$D$1049,MATCH($C74,'Population and Broadband subs'!$A$948:$A$1049,0))</f>
        <v>0</v>
      </c>
      <c r="P74" s="23">
        <f t="shared" si="45"/>
        <v>0</v>
      </c>
      <c r="Q74" t="str">
        <f t="shared" si="46"/>
        <v>Fiber</v>
      </c>
      <c r="R74" s="23">
        <f t="shared" si="47"/>
        <v>0</v>
      </c>
      <c r="S74" s="23">
        <f t="shared" si="48"/>
        <v>1.2198488518827048E-2</v>
      </c>
      <c r="T74" s="23">
        <f t="shared" si="49"/>
        <v>0.9878015114811729</v>
      </c>
      <c r="U74" s="23">
        <f t="shared" si="50"/>
        <v>0</v>
      </c>
      <c r="V74" s="23">
        <f t="shared" si="51"/>
        <v>0</v>
      </c>
      <c r="W74" s="23">
        <f t="shared" si="52"/>
        <v>0</v>
      </c>
    </row>
    <row r="75" spans="1:23" x14ac:dyDescent="0.25">
      <c r="B75" t="str">
        <f>'Starlink countries with data'!B75</f>
        <v>Yemen</v>
      </c>
      <c r="C75" t="str">
        <f>'Starlink countries with data'!D75</f>
        <v>Yemen</v>
      </c>
      <c r="D75" s="15">
        <f>INDEX('Population and Broadband subs'!$D$324:$D$425,MATCH($C75,'Population and Broadband subs'!$A$324:$A$425,0))</f>
        <v>884735</v>
      </c>
      <c r="E75" s="15">
        <f>INDEX('Population and Broadband subs'!$D$428:$D$529,MATCH($C75,'Population and Broadband subs'!$A$428:$A$529,0))</f>
        <v>0</v>
      </c>
      <c r="F75" s="23">
        <f t="shared" si="40"/>
        <v>0</v>
      </c>
      <c r="G75" s="15">
        <f>INDEX('Population and Broadband subs'!$D$532:$D$633,MATCH($C75,'Population and Broadband subs'!$A$532:$A$633,0))</f>
        <v>658290</v>
      </c>
      <c r="H75" s="23">
        <f t="shared" si="41"/>
        <v>0.74405330409670689</v>
      </c>
      <c r="I75" s="15">
        <f>INDEX('Population and Broadband subs'!$D$636:$D$737,MATCH($C75,'Population and Broadband subs'!$A$636:$A$737,0))</f>
        <v>0</v>
      </c>
      <c r="J75" s="23">
        <f t="shared" si="42"/>
        <v>0</v>
      </c>
      <c r="K75" s="15">
        <f>INDEX('Population and Broadband subs'!$D$740:$D$841,MATCH($C75,'Population and Broadband subs'!$A$740:$A$841,0))</f>
        <v>10420</v>
      </c>
      <c r="L75" s="23">
        <f t="shared" si="43"/>
        <v>1.177753790683086E-2</v>
      </c>
      <c r="M75" s="15">
        <f>INDEX('Population and Broadband subs'!$D$844:$D$945,MATCH($C75,'Population and Broadband subs'!$A$844:$A$945,0))</f>
        <v>216024</v>
      </c>
      <c r="N75" s="23">
        <f t="shared" si="44"/>
        <v>0.24416802771451337</v>
      </c>
      <c r="O75" s="15">
        <f>INDEX('Population and Broadband subs'!$D$948:$D$1049,MATCH($C75,'Population and Broadband subs'!$A$948:$A$1049,0))</f>
        <v>0</v>
      </c>
      <c r="P75" s="23">
        <f t="shared" si="45"/>
        <v>0</v>
      </c>
      <c r="Q75" t="str">
        <f t="shared" si="46"/>
        <v>DSL</v>
      </c>
      <c r="R75" s="23">
        <f t="shared" si="47"/>
        <v>0</v>
      </c>
      <c r="S75" s="23">
        <f t="shared" si="48"/>
        <v>0.74405330409670689</v>
      </c>
      <c r="T75" s="23">
        <f t="shared" si="49"/>
        <v>0</v>
      </c>
      <c r="U75" s="23">
        <f t="shared" si="50"/>
        <v>1.177753790683086E-2</v>
      </c>
      <c r="V75" s="23">
        <f t="shared" si="51"/>
        <v>0.24416802771451337</v>
      </c>
      <c r="W75" s="23">
        <f t="shared" si="52"/>
        <v>0</v>
      </c>
    </row>
    <row r="76" spans="1:23" x14ac:dyDescent="0.25">
      <c r="R76" s="23"/>
      <c r="S76" s="23"/>
      <c r="T76" s="23"/>
      <c r="U76" s="23"/>
      <c r="V76" s="23"/>
      <c r="W76" s="23"/>
    </row>
    <row r="77" spans="1:23" x14ac:dyDescent="0.25">
      <c r="A77" s="14" t="s">
        <v>613</v>
      </c>
      <c r="B77" s="14"/>
      <c r="C77" s="14"/>
      <c r="D77" s="14"/>
      <c r="E77" s="14"/>
      <c r="F77" s="14"/>
      <c r="G77" s="14"/>
      <c r="H77" s="14"/>
      <c r="I77" s="14"/>
      <c r="J77" s="14"/>
      <c r="K77" s="14"/>
      <c r="L77" s="14"/>
      <c r="M77" s="14"/>
      <c r="N77" s="14"/>
      <c r="O77" s="14"/>
      <c r="P77" s="14"/>
      <c r="Q77" s="14"/>
      <c r="R77" s="24"/>
      <c r="S77" s="24"/>
      <c r="T77" s="24"/>
      <c r="U77" s="24"/>
      <c r="V77" s="24"/>
      <c r="W77" s="24"/>
    </row>
    <row r="78" spans="1:23" x14ac:dyDescent="0.25">
      <c r="B78" t="str">
        <f>'Starlink countries with data'!B78</f>
        <v>Canada</v>
      </c>
      <c r="C78" t="str">
        <f>'Starlink countries with data'!D78</f>
        <v>Canada</v>
      </c>
      <c r="D78" s="15">
        <f>INDEX('Population and Broadband subs'!$D$324:$D$425,MATCH($C78,'Population and Broadband subs'!$A$324:$A$425,0))</f>
        <v>15805471</v>
      </c>
      <c r="E78" s="15">
        <f>INDEX('Population and Broadband subs'!$D$428:$D$529,MATCH($C78,'Population and Broadband subs'!$A$428:$A$529,0))</f>
        <v>7991883</v>
      </c>
      <c r="F78" s="23">
        <f t="shared" ref="F78:F79" si="53">IFERROR(E78/$D78,"NA")</f>
        <v>0.50564029379447151</v>
      </c>
      <c r="G78" s="15">
        <f>INDEX('Population and Broadband subs'!$D$532:$D$633,MATCH($C78,'Population and Broadband subs'!$A$532:$A$633,0))</f>
        <v>1136174</v>
      </c>
      <c r="H78" s="23">
        <f t="shared" ref="H78:H79" si="54">IFERROR(G78/$D78,"NA")</f>
        <v>7.1884855566784436E-2</v>
      </c>
      <c r="I78" s="15">
        <f>INDEX('Population and Broadband subs'!$D$636:$D$737,MATCH($C78,'Population and Broadband subs'!$A$636:$A$737,0))</f>
        <v>5620667</v>
      </c>
      <c r="J78" s="23">
        <f t="shared" ref="J78:J79" si="55">IFERROR(I78/$D78,"NA")</f>
        <v>0.35561528030388972</v>
      </c>
      <c r="K78" s="15">
        <f>INDEX('Population and Broadband subs'!$D$740:$D$841,MATCH($C78,'Population and Broadband subs'!$A$740:$A$841,0))</f>
        <v>213412</v>
      </c>
      <c r="L78" s="23">
        <f t="shared" ref="L78:L79" si="56">IFERROR(K78/$D78,"NA")</f>
        <v>1.3502413183384411E-2</v>
      </c>
      <c r="M78" s="15">
        <f>INDEX('Population and Broadband subs'!$D$844:$D$945,MATCH($C78,'Population and Broadband subs'!$A$844:$A$945,0))</f>
        <v>828092</v>
      </c>
      <c r="N78" s="23">
        <f t="shared" ref="N78:N79" si="57">IFERROR(M78/$D78,"NA")</f>
        <v>5.239274425925048E-2</v>
      </c>
      <c r="O78" s="15">
        <f>INDEX('Population and Broadband subs'!$D$948:$D$1049,MATCH($C78,'Population and Broadband subs'!$A$948:$A$1049,0))</f>
        <v>15244</v>
      </c>
      <c r="P78" s="23">
        <f t="shared" ref="P78:P79" si="58">IFERROR(O78/$D78,"NA")</f>
        <v>9.644761614506774E-4</v>
      </c>
      <c r="Q78" t="str">
        <f t="shared" ref="Q78:Q79" si="59">IF(COUNT(R78:W78)=0,"NA",INDEX($R$4:$W$4,MATCH(MAX(R78:W78),R78:W78,0)))</f>
        <v>Cable</v>
      </c>
      <c r="R78" s="23">
        <f t="shared" ref="R78:R79" si="60">F78</f>
        <v>0.50564029379447151</v>
      </c>
      <c r="S78" s="23">
        <f t="shared" ref="S78:S79" si="61">H78</f>
        <v>7.1884855566784436E-2</v>
      </c>
      <c r="T78" s="23">
        <f t="shared" ref="T78:T79" si="62">J78</f>
        <v>0.35561528030388972</v>
      </c>
      <c r="U78" s="23">
        <f t="shared" ref="U78:U79" si="63">L78</f>
        <v>1.3502413183384411E-2</v>
      </c>
      <c r="V78" s="23">
        <f t="shared" ref="V78:V79" si="64">N78</f>
        <v>5.239274425925048E-2</v>
      </c>
      <c r="W78" s="23">
        <f t="shared" ref="W78:W79" si="65">P78</f>
        <v>9.644761614506774E-4</v>
      </c>
    </row>
    <row r="79" spans="1:23" x14ac:dyDescent="0.25">
      <c r="B79" t="str">
        <f>'Starlink countries with data'!B79</f>
        <v>United States</v>
      </c>
      <c r="C79" t="str">
        <f>'Starlink countries with data'!D79</f>
        <v>USA</v>
      </c>
      <c r="D79" s="15">
        <f>INDEX('Population and Broadband subs'!$D$324:$D$425,MATCH($C79,'Population and Broadband subs'!$A$324:$A$425,0))</f>
        <v>127205436</v>
      </c>
      <c r="E79" s="15">
        <f>INDEX('Population and Broadband subs'!$D$428:$D$529,MATCH($C79,'Population and Broadband subs'!$A$428:$A$529,0))</f>
        <v>71974141</v>
      </c>
      <c r="F79" s="23">
        <f t="shared" si="53"/>
        <v>0.56581026144197166</v>
      </c>
      <c r="G79" s="15">
        <f>INDEX('Population and Broadband subs'!$D$532:$D$633,MATCH($C79,'Population and Broadband subs'!$A$532:$A$633,0))</f>
        <v>4725709</v>
      </c>
      <c r="H79" s="23">
        <f t="shared" si="54"/>
        <v>3.7150212668584384E-2</v>
      </c>
      <c r="I79" s="15" t="str">
        <f>INDEX('Population and Broadband subs'!$D$636:$D$737,MATCH($C79,'Population and Broadband subs'!$A$636:$A$737,0))</f>
        <v>NA</v>
      </c>
      <c r="J79" s="23" t="str">
        <f t="shared" si="55"/>
        <v>NA</v>
      </c>
      <c r="K79" s="15">
        <f>INDEX('Population and Broadband subs'!$D$740:$D$841,MATCH($C79,'Population and Broadband subs'!$A$740:$A$841,0))</f>
        <v>4067743</v>
      </c>
      <c r="L79" s="23">
        <f t="shared" si="56"/>
        <v>3.1977745039134961E-2</v>
      </c>
      <c r="M79" s="15">
        <f>INDEX('Population and Broadband subs'!$D$844:$D$945,MATCH($C79,'Population and Broadband subs'!$A$844:$A$945,0))</f>
        <v>17933458</v>
      </c>
      <c r="N79" s="23">
        <f t="shared" si="57"/>
        <v>0.14098028011947539</v>
      </c>
      <c r="O79" s="15" t="str">
        <f>INDEX('Population and Broadband subs'!$D$948:$D$1049,MATCH($C79,'Population and Broadband subs'!$A$948:$A$1049,0))</f>
        <v>NA</v>
      </c>
      <c r="P79" s="23" t="str">
        <f t="shared" si="58"/>
        <v>NA</v>
      </c>
      <c r="Q79" t="str">
        <f t="shared" si="59"/>
        <v>Cable</v>
      </c>
      <c r="R79" s="23">
        <f t="shared" si="60"/>
        <v>0.56581026144197166</v>
      </c>
      <c r="S79" s="23">
        <f t="shared" si="61"/>
        <v>3.7150212668584384E-2</v>
      </c>
      <c r="T79" s="23" t="str">
        <f t="shared" si="62"/>
        <v>NA</v>
      </c>
      <c r="U79" s="23">
        <f t="shared" si="63"/>
        <v>3.1977745039134961E-2</v>
      </c>
      <c r="V79" s="23">
        <f t="shared" si="64"/>
        <v>0.14098028011947539</v>
      </c>
      <c r="W79" s="23" t="str">
        <f t="shared" si="65"/>
        <v>NA</v>
      </c>
    </row>
    <row r="80" spans="1:23" x14ac:dyDescent="0.25">
      <c r="R80" s="23"/>
      <c r="S80" s="23"/>
      <c r="T80" s="23"/>
      <c r="U80" s="23"/>
      <c r="V80" s="23"/>
      <c r="W80" s="23"/>
    </row>
    <row r="81" spans="1:23" x14ac:dyDescent="0.25">
      <c r="A81" s="14" t="s">
        <v>614</v>
      </c>
      <c r="B81" s="14"/>
      <c r="C81" s="14"/>
      <c r="D81" s="14"/>
      <c r="E81" s="14"/>
      <c r="F81" s="14"/>
      <c r="G81" s="14"/>
      <c r="H81" s="14"/>
      <c r="I81" s="14"/>
      <c r="J81" s="14"/>
      <c r="K81" s="14"/>
      <c r="L81" s="14"/>
      <c r="M81" s="14"/>
      <c r="N81" s="14"/>
      <c r="O81" s="14"/>
      <c r="P81" s="14"/>
      <c r="Q81" s="14"/>
      <c r="R81" s="24"/>
      <c r="S81" s="24"/>
      <c r="T81" s="24"/>
      <c r="U81" s="24"/>
      <c r="V81" s="24"/>
      <c r="W81" s="24"/>
    </row>
    <row r="82" spans="1:23" x14ac:dyDescent="0.25">
      <c r="B82" t="str">
        <f>'Starlink countries with data'!B82</f>
        <v>Austria</v>
      </c>
      <c r="C82" t="str">
        <f>'Starlink countries with data'!D82</f>
        <v>Austria</v>
      </c>
      <c r="D82" s="15">
        <f>INDEX('Population and Broadband subs'!$D$324:$D$425,MATCH($C82,'Population and Broadband subs'!$A$324:$A$425,0))</f>
        <v>2634020</v>
      </c>
      <c r="E82" s="15">
        <f>INDEX('Population and Broadband subs'!$D$428:$D$529,MATCH($C82,'Population and Broadband subs'!$A$428:$A$529,0))</f>
        <v>1061740</v>
      </c>
      <c r="F82" s="23">
        <f t="shared" ref="F82:F97" si="66">IFERROR(E82/$D82,"NA")</f>
        <v>0.40308729622402262</v>
      </c>
      <c r="G82" s="15">
        <f>INDEX('Population and Broadband subs'!$D$532:$D$633,MATCH($C82,'Population and Broadband subs'!$A$532:$A$633,0))</f>
        <v>1044170</v>
      </c>
      <c r="H82" s="23">
        <f t="shared" ref="H82:H97" si="67">IFERROR(G82/$D82,"NA")</f>
        <v>0.39641688369868111</v>
      </c>
      <c r="I82" s="15">
        <f>INDEX('Population and Broadband subs'!$D$636:$D$737,MATCH($C82,'Population and Broadband subs'!$A$636:$A$737,0))</f>
        <v>510171</v>
      </c>
      <c r="J82" s="23">
        <f t="shared" ref="J82:J97" si="68">IFERROR(I82/$D82,"NA")</f>
        <v>0.19368531749948747</v>
      </c>
      <c r="K82" s="15">
        <f>INDEX('Population and Broadband subs'!$D$740:$D$841,MATCH($C82,'Population and Broadband subs'!$A$740:$A$841,0))</f>
        <v>765</v>
      </c>
      <c r="L82" s="23">
        <f t="shared" ref="L82:L97" si="69">IFERROR(K82/$D82,"NA")</f>
        <v>2.9043059657861365E-4</v>
      </c>
      <c r="M82" s="15">
        <f>INDEX('Population and Broadband subs'!$D$844:$D$945,MATCH($C82,'Population and Broadband subs'!$A$844:$A$945,0))</f>
        <v>17175</v>
      </c>
      <c r="N82" s="23">
        <f t="shared" ref="N82:N97" si="70">IFERROR(M82/$D82,"NA")</f>
        <v>6.520451629068876E-3</v>
      </c>
      <c r="O82" s="15">
        <f>INDEX('Population and Broadband subs'!$D$948:$D$1049,MATCH($C82,'Population and Broadband subs'!$A$948:$A$1049,0))</f>
        <v>0</v>
      </c>
      <c r="P82" s="23">
        <f t="shared" ref="P82:P97" si="71">IFERROR(O82/$D82,"NA")</f>
        <v>0</v>
      </c>
      <c r="Q82" t="str">
        <f t="shared" ref="Q82:Q97" si="72">IF(COUNT(R82:W82)=0,"NA",INDEX($R$4:$W$4,MATCH(MAX(R82:W82),R82:W82,0)))</f>
        <v>Cable</v>
      </c>
      <c r="R82" s="23">
        <f t="shared" ref="R82:R97" si="73">F82</f>
        <v>0.40308729622402262</v>
      </c>
      <c r="S82" s="23">
        <f t="shared" ref="S82:S97" si="74">H82</f>
        <v>0.39641688369868111</v>
      </c>
      <c r="T82" s="23">
        <f t="shared" ref="T82:T97" si="75">J82</f>
        <v>0.19368531749948747</v>
      </c>
      <c r="U82" s="23">
        <f t="shared" ref="U82:U97" si="76">L82</f>
        <v>2.9043059657861365E-4</v>
      </c>
      <c r="V82" s="23">
        <f t="shared" ref="V82:V97" si="77">N82</f>
        <v>6.520451629068876E-3</v>
      </c>
      <c r="W82" s="23">
        <f t="shared" ref="W82:W97" si="78">P82</f>
        <v>0</v>
      </c>
    </row>
    <row r="83" spans="1:23" x14ac:dyDescent="0.25">
      <c r="B83" t="str">
        <f>'Starlink countries with data'!B83</f>
        <v>Belgium</v>
      </c>
      <c r="C83" t="str">
        <f>'Starlink countries with data'!D83</f>
        <v>Belgium</v>
      </c>
      <c r="D83" s="15">
        <f>INDEX('Population and Broadband subs'!$D$324:$D$425,MATCH($C83,'Population and Broadband subs'!$A$324:$A$425,0))</f>
        <v>4615777</v>
      </c>
      <c r="E83" s="15">
        <f>INDEX('Population and Broadband subs'!$D$428:$D$529,MATCH($C83,'Population and Broadband subs'!$A$428:$A$529,0))</f>
        <v>2530652</v>
      </c>
      <c r="F83" s="23">
        <f t="shared" si="66"/>
        <v>0.54826132198327604</v>
      </c>
      <c r="G83" s="15">
        <f>INDEX('Population and Broadband subs'!$D$532:$D$633,MATCH($C83,'Population and Broadband subs'!$A$532:$A$633,0))</f>
        <v>716130</v>
      </c>
      <c r="H83" s="23">
        <f t="shared" si="67"/>
        <v>0.15514830980786118</v>
      </c>
      <c r="I83" s="15">
        <f>INDEX('Population and Broadband subs'!$D$636:$D$737,MATCH($C83,'Population and Broadband subs'!$A$636:$A$737,0))</f>
        <v>1354946</v>
      </c>
      <c r="J83" s="23">
        <f t="shared" si="68"/>
        <v>0.29354667697334597</v>
      </c>
      <c r="K83" s="15" t="str">
        <f>INDEX('Population and Broadband subs'!$D$740:$D$841,MATCH($C83,'Population and Broadband subs'!$A$740:$A$841,0))</f>
        <v>NA</v>
      </c>
      <c r="L83" s="23" t="str">
        <f t="shared" si="69"/>
        <v>NA</v>
      </c>
      <c r="M83" s="15">
        <f>INDEX('Population and Broadband subs'!$D$844:$D$945,MATCH($C83,'Population and Broadband subs'!$A$844:$A$945,0))</f>
        <v>14050</v>
      </c>
      <c r="N83" s="23">
        <f t="shared" si="70"/>
        <v>3.0439078837647487E-3</v>
      </c>
      <c r="O83" s="15" t="str">
        <f>INDEX('Population and Broadband subs'!$D$948:$D$1049,MATCH($C83,'Population and Broadband subs'!$A$948:$A$1049,0))</f>
        <v>NA</v>
      </c>
      <c r="P83" s="23" t="str">
        <f t="shared" si="71"/>
        <v>NA</v>
      </c>
      <c r="Q83" t="str">
        <f t="shared" si="72"/>
        <v>Cable</v>
      </c>
      <c r="R83" s="23">
        <f t="shared" si="73"/>
        <v>0.54826132198327604</v>
      </c>
      <c r="S83" s="23">
        <f t="shared" si="74"/>
        <v>0.15514830980786118</v>
      </c>
      <c r="T83" s="23">
        <f t="shared" si="75"/>
        <v>0.29354667697334597</v>
      </c>
      <c r="U83" s="23" t="str">
        <f t="shared" si="76"/>
        <v>NA</v>
      </c>
      <c r="V83" s="23">
        <f t="shared" si="77"/>
        <v>3.0439078837647487E-3</v>
      </c>
      <c r="W83" s="23" t="str">
        <f t="shared" si="78"/>
        <v>NA</v>
      </c>
    </row>
    <row r="84" spans="1:23" x14ac:dyDescent="0.25">
      <c r="B84" t="str">
        <f>'Starlink countries with data'!B84</f>
        <v>Denmark</v>
      </c>
      <c r="C84" t="str">
        <f>'Starlink countries with data'!D84</f>
        <v>Denmark</v>
      </c>
      <c r="D84" s="15">
        <f>INDEX('Population and Broadband subs'!$D$324:$D$425,MATCH($C84,'Population and Broadband subs'!$A$324:$A$425,0))</f>
        <v>2608646</v>
      </c>
      <c r="E84" s="15">
        <f>INDEX('Population and Broadband subs'!$D$428:$D$529,MATCH($C84,'Population and Broadband subs'!$A$428:$A$529,0))</f>
        <v>872835</v>
      </c>
      <c r="F84" s="23">
        <f t="shared" si="66"/>
        <v>0.33459311842235395</v>
      </c>
      <c r="G84" s="15">
        <f>INDEX('Population and Broadband subs'!$D$532:$D$633,MATCH($C84,'Population and Broadband subs'!$A$532:$A$633,0))</f>
        <v>228251</v>
      </c>
      <c r="H84" s="23">
        <f t="shared" si="67"/>
        <v>8.7497882043021558E-2</v>
      </c>
      <c r="I84" s="15">
        <f>INDEX('Population and Broadband subs'!$D$636:$D$737,MATCH($C84,'Population and Broadband subs'!$A$636:$A$737,0))</f>
        <v>1492681</v>
      </c>
      <c r="J84" s="23">
        <f t="shared" si="68"/>
        <v>0.57220527430705426</v>
      </c>
      <c r="K84" s="15">
        <f>INDEX('Population and Broadband subs'!$D$740:$D$841,MATCH($C84,'Population and Broadband subs'!$A$740:$A$841,0))</f>
        <v>720</v>
      </c>
      <c r="L84" s="23">
        <f t="shared" si="69"/>
        <v>2.7600525329998782E-4</v>
      </c>
      <c r="M84" s="15">
        <f>INDEX('Population and Broadband subs'!$D$844:$D$945,MATCH($C84,'Population and Broadband subs'!$A$844:$A$945,0))</f>
        <v>14094</v>
      </c>
      <c r="N84" s="23">
        <f t="shared" si="70"/>
        <v>5.4028028333472618E-3</v>
      </c>
      <c r="O84" s="15">
        <f>INDEX('Population and Broadband subs'!$D$948:$D$1049,MATCH($C84,'Population and Broadband subs'!$A$948:$A$1049,0))</f>
        <v>65</v>
      </c>
      <c r="P84" s="23">
        <f t="shared" si="71"/>
        <v>2.4917140922915565E-5</v>
      </c>
      <c r="Q84" t="str">
        <f t="shared" si="72"/>
        <v>Fiber</v>
      </c>
      <c r="R84" s="23">
        <f t="shared" si="73"/>
        <v>0.33459311842235395</v>
      </c>
      <c r="S84" s="23">
        <f t="shared" si="74"/>
        <v>8.7497882043021558E-2</v>
      </c>
      <c r="T84" s="23">
        <f t="shared" si="75"/>
        <v>0.57220527430705426</v>
      </c>
      <c r="U84" s="23">
        <f t="shared" si="76"/>
        <v>2.7600525329998782E-4</v>
      </c>
      <c r="V84" s="23">
        <f t="shared" si="77"/>
        <v>5.4028028333472618E-3</v>
      </c>
      <c r="W84" s="23">
        <f t="shared" si="78"/>
        <v>2.4917140922915565E-5</v>
      </c>
    </row>
    <row r="85" spans="1:23" x14ac:dyDescent="0.25">
      <c r="B85" t="str">
        <f>'Starlink countries with data'!B85</f>
        <v>Finland</v>
      </c>
      <c r="C85" t="str">
        <f>'Starlink countries with data'!D85</f>
        <v>Finland</v>
      </c>
      <c r="D85" s="15">
        <f>INDEX('Population and Broadband subs'!$D$324:$D$425,MATCH($C85,'Population and Broadband subs'!$A$324:$A$425,0))</f>
        <v>2015946</v>
      </c>
      <c r="E85" s="15">
        <f>INDEX('Population and Broadband subs'!$D$428:$D$529,MATCH($C85,'Population and Broadband subs'!$A$428:$A$529,0))</f>
        <v>557701</v>
      </c>
      <c r="F85" s="23">
        <f t="shared" si="66"/>
        <v>0.27664481092251481</v>
      </c>
      <c r="G85" s="15">
        <f>INDEX('Population and Broadband subs'!$D$532:$D$633,MATCH($C85,'Population and Broadband subs'!$A$532:$A$633,0))</f>
        <v>18883</v>
      </c>
      <c r="H85" s="23">
        <f t="shared" si="67"/>
        <v>9.3668183572377436E-3</v>
      </c>
      <c r="I85" s="15">
        <f>INDEX('Population and Broadband subs'!$D$636:$D$737,MATCH($C85,'Population and Broadband subs'!$A$636:$A$737,0))</f>
        <v>1391878</v>
      </c>
      <c r="J85" s="23">
        <f t="shared" si="68"/>
        <v>0.69043416837554183</v>
      </c>
      <c r="K85" s="15">
        <f>INDEX('Population and Broadband subs'!$D$740:$D$841,MATCH($C85,'Population and Broadband subs'!$A$740:$A$841,0))</f>
        <v>0</v>
      </c>
      <c r="L85" s="23">
        <f t="shared" si="69"/>
        <v>0</v>
      </c>
      <c r="M85" s="15">
        <f>INDEX('Population and Broadband subs'!$D$844:$D$945,MATCH($C85,'Population and Broadband subs'!$A$844:$A$945,0))</f>
        <v>44066</v>
      </c>
      <c r="N85" s="23">
        <f t="shared" si="70"/>
        <v>2.1858720422074797E-2</v>
      </c>
      <c r="O85" s="15">
        <f>INDEX('Population and Broadband subs'!$D$948:$D$1049,MATCH($C85,'Population and Broadband subs'!$A$948:$A$1049,0))</f>
        <v>3418</v>
      </c>
      <c r="P85" s="23">
        <f t="shared" si="71"/>
        <v>1.6954819226308641E-3</v>
      </c>
      <c r="Q85" t="str">
        <f t="shared" si="72"/>
        <v>Fiber</v>
      </c>
      <c r="R85" s="23">
        <f t="shared" si="73"/>
        <v>0.27664481092251481</v>
      </c>
      <c r="S85" s="23">
        <f t="shared" si="74"/>
        <v>9.3668183572377436E-3</v>
      </c>
      <c r="T85" s="23">
        <f t="shared" si="75"/>
        <v>0.69043416837554183</v>
      </c>
      <c r="U85" s="23">
        <f t="shared" si="76"/>
        <v>0</v>
      </c>
      <c r="V85" s="23">
        <f t="shared" si="77"/>
        <v>2.1858720422074797E-2</v>
      </c>
      <c r="W85" s="23">
        <f t="shared" si="78"/>
        <v>1.6954819226308641E-3</v>
      </c>
    </row>
    <row r="86" spans="1:23" x14ac:dyDescent="0.25">
      <c r="B86" t="str">
        <f>'Starlink countries with data'!B86</f>
        <v>France</v>
      </c>
      <c r="C86" t="str">
        <f>'Starlink countries with data'!D86</f>
        <v>France</v>
      </c>
      <c r="D86" s="15">
        <f>INDEX('Population and Broadband subs'!$D$324:$D$425,MATCH($C86,'Population and Broadband subs'!$A$324:$A$425,0))</f>
        <v>31850439</v>
      </c>
      <c r="E86" s="15">
        <f>INDEX('Population and Broadband subs'!$D$428:$D$529,MATCH($C86,'Population and Broadband subs'!$A$428:$A$529,0))</f>
        <v>353379</v>
      </c>
      <c r="F86" s="23">
        <f t="shared" si="66"/>
        <v>1.1094949115144064E-2</v>
      </c>
      <c r="G86" s="15">
        <f>INDEX('Population and Broadband subs'!$D$532:$D$633,MATCH($C86,'Population and Broadband subs'!$A$532:$A$633,0))</f>
        <v>2931950</v>
      </c>
      <c r="H86" s="23">
        <f t="shared" si="67"/>
        <v>9.2053676246032279E-2</v>
      </c>
      <c r="I86" s="15">
        <f>INDEX('Population and Broadband subs'!$D$636:$D$737,MATCH($C86,'Population and Broadband subs'!$A$636:$A$737,0))</f>
        <v>28016659</v>
      </c>
      <c r="J86" s="23">
        <f t="shared" si="68"/>
        <v>0.87963180036545174</v>
      </c>
      <c r="K86" s="15">
        <f>INDEX('Population and Broadband subs'!$D$740:$D$841,MATCH($C86,'Population and Broadband subs'!$A$740:$A$841,0))</f>
        <v>14558</v>
      </c>
      <c r="L86" s="23">
        <f t="shared" si="69"/>
        <v>4.5707376278235915E-4</v>
      </c>
      <c r="M86" s="15">
        <f>INDEX('Population and Broadband subs'!$D$844:$D$945,MATCH($C86,'Population and Broadband subs'!$A$844:$A$945,0))</f>
        <v>533894</v>
      </c>
      <c r="N86" s="23">
        <f t="shared" si="70"/>
        <v>1.676253190733101E-2</v>
      </c>
      <c r="O86" s="15" t="str">
        <f>INDEX('Population and Broadband subs'!$D$948:$D$1049,MATCH($C86,'Population and Broadband subs'!$A$948:$A$1049,0))</f>
        <v>NA</v>
      </c>
      <c r="P86" s="23" t="str">
        <f t="shared" si="71"/>
        <v>NA</v>
      </c>
      <c r="Q86" t="str">
        <f t="shared" si="72"/>
        <v>Fiber</v>
      </c>
      <c r="R86" s="23">
        <f t="shared" si="73"/>
        <v>1.1094949115144064E-2</v>
      </c>
      <c r="S86" s="23">
        <f t="shared" si="74"/>
        <v>9.2053676246032279E-2</v>
      </c>
      <c r="T86" s="23">
        <f t="shared" si="75"/>
        <v>0.87963180036545174</v>
      </c>
      <c r="U86" s="23">
        <f t="shared" si="76"/>
        <v>4.5707376278235915E-4</v>
      </c>
      <c r="V86" s="23">
        <f t="shared" si="77"/>
        <v>1.676253190733101E-2</v>
      </c>
      <c r="W86" s="23" t="str">
        <f t="shared" si="78"/>
        <v>NA</v>
      </c>
    </row>
    <row r="87" spans="1:23" x14ac:dyDescent="0.25">
      <c r="B87" t="str">
        <f>'Starlink countries with data'!B87</f>
        <v>Germany</v>
      </c>
      <c r="C87" t="str">
        <f>'Starlink countries with data'!D87</f>
        <v>Germany</v>
      </c>
      <c r="D87" s="15">
        <f>INDEX('Population and Broadband subs'!$D$324:$D$425,MATCH($C87,'Population and Broadband subs'!$A$324:$A$425,0))</f>
        <v>38986381</v>
      </c>
      <c r="E87" s="15">
        <f>INDEX('Population and Broadband subs'!$D$428:$D$529,MATCH($C87,'Population and Broadband subs'!$A$428:$A$529,0))</f>
        <v>8439802</v>
      </c>
      <c r="F87" s="23">
        <f t="shared" si="66"/>
        <v>0.21648077568420623</v>
      </c>
      <c r="G87" s="15">
        <f>INDEX('Population and Broadband subs'!$D$532:$D$633,MATCH($C87,'Population and Broadband subs'!$A$532:$A$633,0))</f>
        <v>22469452</v>
      </c>
      <c r="H87" s="23">
        <f t="shared" si="67"/>
        <v>0.57634105612418862</v>
      </c>
      <c r="I87" s="15">
        <f>INDEX('Population and Broadband subs'!$D$636:$D$737,MATCH($C87,'Population and Broadband subs'!$A$636:$A$737,0))</f>
        <v>7080317</v>
      </c>
      <c r="J87" s="23">
        <f t="shared" si="68"/>
        <v>0.18161000889002751</v>
      </c>
      <c r="K87" s="15">
        <f>INDEX('Population and Broadband subs'!$D$740:$D$841,MATCH($C87,'Population and Broadband subs'!$A$740:$A$841,0))</f>
        <v>179426</v>
      </c>
      <c r="L87" s="23">
        <f t="shared" si="69"/>
        <v>4.6022738042805255E-3</v>
      </c>
      <c r="M87" s="15">
        <f>INDEX('Population and Broadband subs'!$D$844:$D$945,MATCH($C87,'Population and Broadband subs'!$A$844:$A$945,0))</f>
        <v>817384</v>
      </c>
      <c r="N87" s="23">
        <f t="shared" si="70"/>
        <v>2.096588549729712E-2</v>
      </c>
      <c r="O87" s="15" t="str">
        <f>INDEX('Population and Broadband subs'!$D$948:$D$1049,MATCH($C87,'Population and Broadband subs'!$A$948:$A$1049,0))</f>
        <v>NA</v>
      </c>
      <c r="P87" s="23" t="str">
        <f t="shared" si="71"/>
        <v>NA</v>
      </c>
      <c r="Q87" t="str">
        <f t="shared" si="72"/>
        <v>DSL</v>
      </c>
      <c r="R87" s="23">
        <f t="shared" si="73"/>
        <v>0.21648077568420623</v>
      </c>
      <c r="S87" s="23">
        <f t="shared" si="74"/>
        <v>0.57634105612418862</v>
      </c>
      <c r="T87" s="23">
        <f t="shared" si="75"/>
        <v>0.18161000889002751</v>
      </c>
      <c r="U87" s="23">
        <f t="shared" si="76"/>
        <v>4.6022738042805255E-3</v>
      </c>
      <c r="V87" s="23">
        <f t="shared" si="77"/>
        <v>2.096588549729712E-2</v>
      </c>
      <c r="W87" s="23" t="str">
        <f t="shared" si="78"/>
        <v>NA</v>
      </c>
    </row>
    <row r="88" spans="1:23" x14ac:dyDescent="0.25">
      <c r="B88" t="str">
        <f>'Starlink countries with data'!B88</f>
        <v>Greece</v>
      </c>
      <c r="C88" t="str">
        <f>'Starlink countries with data'!D88</f>
        <v>Greece</v>
      </c>
      <c r="D88" s="15">
        <f>INDEX('Population and Broadband subs'!$D$324:$D$425,MATCH($C88,'Population and Broadband subs'!$A$324:$A$425,0))</f>
        <v>4870934</v>
      </c>
      <c r="E88" s="15">
        <f>INDEX('Population and Broadband subs'!$D$428:$D$529,MATCH($C88,'Population and Broadband subs'!$A$428:$A$529,0))</f>
        <v>0</v>
      </c>
      <c r="F88" s="23">
        <f t="shared" si="66"/>
        <v>0</v>
      </c>
      <c r="G88" s="15">
        <f>INDEX('Population and Broadband subs'!$D$532:$D$633,MATCH($C88,'Population and Broadband subs'!$A$532:$A$633,0))</f>
        <v>3711608</v>
      </c>
      <c r="H88" s="23">
        <f t="shared" si="67"/>
        <v>0.76199102677227815</v>
      </c>
      <c r="I88" s="15">
        <f>INDEX('Population and Broadband subs'!$D$636:$D$737,MATCH($C88,'Population and Broadband subs'!$A$636:$A$737,0))</f>
        <v>1154008</v>
      </c>
      <c r="J88" s="23">
        <f t="shared" si="68"/>
        <v>0.23691719083034177</v>
      </c>
      <c r="K88" s="15">
        <f>INDEX('Population and Broadband subs'!$D$740:$D$841,MATCH($C88,'Population and Broadband subs'!$A$740:$A$841,0))</f>
        <v>249</v>
      </c>
      <c r="L88" s="23">
        <f t="shared" si="69"/>
        <v>5.111955941098771E-5</v>
      </c>
      <c r="M88" s="15">
        <f>INDEX('Population and Broadband subs'!$D$844:$D$945,MATCH($C88,'Population and Broadband subs'!$A$844:$A$945,0))</f>
        <v>3943</v>
      </c>
      <c r="N88" s="23">
        <f t="shared" si="70"/>
        <v>8.0949567372499813E-4</v>
      </c>
      <c r="O88" s="15">
        <f>INDEX('Population and Broadband subs'!$D$948:$D$1049,MATCH($C88,'Population and Broadband subs'!$A$948:$A$1049,0))</f>
        <v>1128</v>
      </c>
      <c r="P88" s="23">
        <f t="shared" si="71"/>
        <v>2.3157776311483587E-4</v>
      </c>
      <c r="Q88" t="str">
        <f t="shared" si="72"/>
        <v>DSL</v>
      </c>
      <c r="R88" s="23">
        <f t="shared" si="73"/>
        <v>0</v>
      </c>
      <c r="S88" s="23">
        <f t="shared" si="74"/>
        <v>0.76199102677227815</v>
      </c>
      <c r="T88" s="23">
        <f t="shared" si="75"/>
        <v>0.23691719083034177</v>
      </c>
      <c r="U88" s="23">
        <f t="shared" si="76"/>
        <v>5.111955941098771E-5</v>
      </c>
      <c r="V88" s="23">
        <f t="shared" si="77"/>
        <v>8.0949567372499813E-4</v>
      </c>
      <c r="W88" s="23">
        <f t="shared" si="78"/>
        <v>2.3157776311483587E-4</v>
      </c>
    </row>
    <row r="89" spans="1:23" x14ac:dyDescent="0.25">
      <c r="B89" t="str">
        <f>'Starlink countries with data'!B89</f>
        <v>Ireland</v>
      </c>
      <c r="C89" t="str">
        <f>'Starlink countries with data'!D89</f>
        <v>Ireland</v>
      </c>
      <c r="D89" s="15">
        <f>INDEX('Population and Broadband subs'!$D$324:$D$425,MATCH($C89,'Population and Broadband subs'!$A$324:$A$425,0))</f>
        <v>1639373</v>
      </c>
      <c r="E89" s="15">
        <f>INDEX('Population and Broadband subs'!$D$428:$D$529,MATCH($C89,'Population and Broadband subs'!$A$428:$A$529,0))</f>
        <v>318824</v>
      </c>
      <c r="F89" s="23">
        <f t="shared" si="66"/>
        <v>0.19447923077908444</v>
      </c>
      <c r="G89" s="15">
        <f>INDEX('Population and Broadband subs'!$D$532:$D$633,MATCH($C89,'Population and Broadband subs'!$A$532:$A$633,0))</f>
        <v>254201</v>
      </c>
      <c r="H89" s="23">
        <f t="shared" si="67"/>
        <v>0.15505989180009674</v>
      </c>
      <c r="I89" s="15">
        <f>INDEX('Population and Broadband subs'!$D$636:$D$737,MATCH($C89,'Population and Broadband subs'!$A$636:$A$737,0))</f>
        <v>954854</v>
      </c>
      <c r="J89" s="23">
        <f t="shared" si="68"/>
        <v>0.58245072963870947</v>
      </c>
      <c r="K89" s="15">
        <f>INDEX('Population and Broadband subs'!$D$740:$D$841,MATCH($C89,'Population and Broadband subs'!$A$740:$A$841,0))</f>
        <v>7794</v>
      </c>
      <c r="L89" s="23">
        <f t="shared" si="69"/>
        <v>4.7542566578807873E-3</v>
      </c>
      <c r="M89" s="15">
        <f>INDEX('Population and Broadband subs'!$D$844:$D$945,MATCH($C89,'Population and Broadband subs'!$A$844:$A$945,0))</f>
        <v>103699</v>
      </c>
      <c r="N89" s="23">
        <f t="shared" si="70"/>
        <v>6.3255281134921709E-2</v>
      </c>
      <c r="O89" s="15">
        <f>INDEX('Population and Broadband subs'!$D$948:$D$1049,MATCH($C89,'Population and Broadband subs'!$A$948:$A$1049,0))</f>
        <v>0</v>
      </c>
      <c r="P89" s="23">
        <f t="shared" si="71"/>
        <v>0</v>
      </c>
      <c r="Q89" t="str">
        <f t="shared" si="72"/>
        <v>Fiber</v>
      </c>
      <c r="R89" s="23">
        <f t="shared" si="73"/>
        <v>0.19447923077908444</v>
      </c>
      <c r="S89" s="23">
        <f t="shared" si="74"/>
        <v>0.15505989180009674</v>
      </c>
      <c r="T89" s="23">
        <f t="shared" si="75"/>
        <v>0.58245072963870947</v>
      </c>
      <c r="U89" s="23">
        <f t="shared" si="76"/>
        <v>4.7542566578807873E-3</v>
      </c>
      <c r="V89" s="23">
        <f t="shared" si="77"/>
        <v>6.3255281134921709E-2</v>
      </c>
      <c r="W89" s="23">
        <f t="shared" si="78"/>
        <v>0</v>
      </c>
    </row>
    <row r="90" spans="1:23" x14ac:dyDescent="0.25">
      <c r="B90" t="str">
        <f>'Starlink countries with data'!B90</f>
        <v>Italy</v>
      </c>
      <c r="C90" t="str">
        <f>'Starlink countries with data'!D90</f>
        <v>Italy</v>
      </c>
      <c r="D90" s="15">
        <f>INDEX('Population and Broadband subs'!$D$324:$D$425,MATCH($C90,'Population and Broadband subs'!$A$324:$A$425,0))</f>
        <v>17088965</v>
      </c>
      <c r="E90" s="15">
        <f>INDEX('Population and Broadband subs'!$D$428:$D$529,MATCH($C90,'Population and Broadband subs'!$A$428:$A$529,0))</f>
        <v>0</v>
      </c>
      <c r="F90" s="23">
        <f t="shared" si="66"/>
        <v>0</v>
      </c>
      <c r="G90" s="15">
        <f>INDEX('Population and Broadband subs'!$D$532:$D$633,MATCH($C90,'Population and Broadband subs'!$A$532:$A$633,0))</f>
        <v>8393612</v>
      </c>
      <c r="H90" s="23">
        <f t="shared" si="67"/>
        <v>0.49117146649899512</v>
      </c>
      <c r="I90" s="15">
        <f>INDEX('Population and Broadband subs'!$D$636:$D$737,MATCH($C90,'Population and Broadband subs'!$A$636:$A$737,0))</f>
        <v>6475522</v>
      </c>
      <c r="J90" s="23">
        <f t="shared" si="68"/>
        <v>0.3789300288226935</v>
      </c>
      <c r="K90" s="15">
        <f>INDEX('Population and Broadband subs'!$D$740:$D$841,MATCH($C90,'Population and Broadband subs'!$A$740:$A$841,0))</f>
        <v>0</v>
      </c>
      <c r="L90" s="23">
        <f t="shared" si="69"/>
        <v>0</v>
      </c>
      <c r="M90" s="15">
        <f>INDEX('Population and Broadband subs'!$D$844:$D$945,MATCH($C90,'Population and Broadband subs'!$A$844:$A$945,0))</f>
        <v>2216197</v>
      </c>
      <c r="N90" s="23">
        <f t="shared" si="70"/>
        <v>0.12968585282958917</v>
      </c>
      <c r="O90" s="15">
        <f>INDEX('Population and Broadband subs'!$D$948:$D$1049,MATCH($C90,'Population and Broadband subs'!$A$948:$A$1049,0))</f>
        <v>3635</v>
      </c>
      <c r="P90" s="23">
        <f t="shared" si="71"/>
        <v>2.1271036601690037E-4</v>
      </c>
      <c r="Q90" t="str">
        <f t="shared" si="72"/>
        <v>DSL</v>
      </c>
      <c r="R90" s="23">
        <f t="shared" si="73"/>
        <v>0</v>
      </c>
      <c r="S90" s="23">
        <f t="shared" si="74"/>
        <v>0.49117146649899512</v>
      </c>
      <c r="T90" s="23">
        <f t="shared" si="75"/>
        <v>0.3789300288226935</v>
      </c>
      <c r="U90" s="23">
        <f t="shared" si="76"/>
        <v>0</v>
      </c>
      <c r="V90" s="23">
        <f t="shared" si="77"/>
        <v>0.12968585282958917</v>
      </c>
      <c r="W90" s="23">
        <f t="shared" si="78"/>
        <v>2.1271036601690037E-4</v>
      </c>
    </row>
    <row r="91" spans="1:23" x14ac:dyDescent="0.25">
      <c r="B91" t="str">
        <f>'Starlink countries with data'!B91</f>
        <v>Netherlands</v>
      </c>
      <c r="C91" t="str">
        <f>'Starlink countries with data'!D91</f>
        <v>Netherlands</v>
      </c>
      <c r="D91" s="15">
        <f>INDEX('Population and Broadband subs'!$D$324:$D$425,MATCH($C91,'Population and Broadband subs'!$A$324:$A$425,0))</f>
        <v>7823481</v>
      </c>
      <c r="E91" s="15">
        <f>INDEX('Population and Broadband subs'!$D$428:$D$529,MATCH($C91,'Population and Broadband subs'!$A$428:$A$529,0))</f>
        <v>3531524</v>
      </c>
      <c r="F91" s="23">
        <f t="shared" si="66"/>
        <v>0.45140059776460123</v>
      </c>
      <c r="G91" s="15">
        <f>INDEX('Population and Broadband subs'!$D$532:$D$633,MATCH($C91,'Population and Broadband subs'!$A$532:$A$633,0))</f>
        <v>563673</v>
      </c>
      <c r="H91" s="23">
        <f t="shared" si="67"/>
        <v>7.2048874407696528E-2</v>
      </c>
      <c r="I91" s="15">
        <f>INDEX('Population and Broadband subs'!$D$636:$D$737,MATCH($C91,'Population and Broadband subs'!$A$636:$A$737,0))</f>
        <v>3708037</v>
      </c>
      <c r="J91" s="23">
        <f t="shared" si="68"/>
        <v>0.47396254940735461</v>
      </c>
      <c r="K91" s="15">
        <f>INDEX('Population and Broadband subs'!$D$740:$D$841,MATCH($C91,'Population and Broadband subs'!$A$740:$A$841,0))</f>
        <v>285</v>
      </c>
      <c r="L91" s="23">
        <f t="shared" si="69"/>
        <v>3.6428796848870726E-5</v>
      </c>
      <c r="M91" s="15">
        <f>INDEX('Population and Broadband subs'!$D$844:$D$945,MATCH($C91,'Population and Broadband subs'!$A$844:$A$945,0))</f>
        <v>19962</v>
      </c>
      <c r="N91" s="23">
        <f t="shared" si="70"/>
        <v>2.5515496234987979E-3</v>
      </c>
      <c r="O91" s="15" t="str">
        <f>INDEX('Population and Broadband subs'!$D$948:$D$1049,MATCH($C91,'Population and Broadband subs'!$A$948:$A$1049,0))</f>
        <v>NA</v>
      </c>
      <c r="P91" s="23" t="str">
        <f t="shared" si="71"/>
        <v>NA</v>
      </c>
      <c r="Q91" t="str">
        <f t="shared" si="72"/>
        <v>Fiber</v>
      </c>
      <c r="R91" s="23">
        <f t="shared" si="73"/>
        <v>0.45140059776460123</v>
      </c>
      <c r="S91" s="23">
        <f t="shared" si="74"/>
        <v>7.2048874407696528E-2</v>
      </c>
      <c r="T91" s="23">
        <f t="shared" si="75"/>
        <v>0.47396254940735461</v>
      </c>
      <c r="U91" s="23">
        <f t="shared" si="76"/>
        <v>3.6428796848870726E-5</v>
      </c>
      <c r="V91" s="23">
        <f t="shared" si="77"/>
        <v>2.5515496234987979E-3</v>
      </c>
      <c r="W91" s="23" t="str">
        <f t="shared" si="78"/>
        <v>NA</v>
      </c>
    </row>
    <row r="92" spans="1:23" x14ac:dyDescent="0.25">
      <c r="B92" t="str">
        <f>'Starlink countries with data'!B92</f>
        <v>Norway</v>
      </c>
      <c r="C92" t="str">
        <f>'Starlink countries with data'!D92</f>
        <v>Norway</v>
      </c>
      <c r="D92" s="15">
        <f>INDEX('Population and Broadband subs'!$D$324:$D$425,MATCH($C92,'Population and Broadband subs'!$A$324:$A$425,0))</f>
        <v>2533755</v>
      </c>
      <c r="E92" s="15">
        <f>INDEX('Population and Broadband subs'!$D$428:$D$529,MATCH($C92,'Population and Broadband subs'!$A$428:$A$529,0))</f>
        <v>340400</v>
      </c>
      <c r="F92" s="23">
        <f t="shared" si="66"/>
        <v>0.13434605950456929</v>
      </c>
      <c r="G92" s="15">
        <f>INDEX('Population and Broadband subs'!$D$532:$D$633,MATCH($C92,'Population and Broadband subs'!$A$532:$A$633,0))</f>
        <v>329</v>
      </c>
      <c r="H92" s="23">
        <f t="shared" si="67"/>
        <v>1.2984680839307668E-4</v>
      </c>
      <c r="I92" s="15">
        <f>INDEX('Population and Broadband subs'!$D$636:$D$737,MATCH($C92,'Population and Broadband subs'!$A$636:$A$737,0))</f>
        <v>1938252</v>
      </c>
      <c r="J92" s="23">
        <f t="shared" si="68"/>
        <v>0.76497214608357955</v>
      </c>
      <c r="K92" s="15">
        <f>INDEX('Population and Broadband subs'!$D$740:$D$841,MATCH($C92,'Population and Broadband subs'!$A$740:$A$841,0))</f>
        <v>7329</v>
      </c>
      <c r="L92" s="23">
        <f t="shared" si="69"/>
        <v>2.8925448593096017E-3</v>
      </c>
      <c r="M92" s="15">
        <f>INDEX('Population and Broadband subs'!$D$844:$D$945,MATCH($C92,'Population and Broadband subs'!$A$844:$A$945,0))</f>
        <v>246299</v>
      </c>
      <c r="N92" s="23">
        <f t="shared" si="70"/>
        <v>9.7207109606098463E-2</v>
      </c>
      <c r="O92" s="15">
        <f>INDEX('Population and Broadband subs'!$D$948:$D$1049,MATCH($C92,'Population and Broadband subs'!$A$948:$A$1049,0))</f>
        <v>1146</v>
      </c>
      <c r="P92" s="23">
        <f t="shared" si="71"/>
        <v>4.5229313805004827E-4</v>
      </c>
      <c r="Q92" t="str">
        <f t="shared" si="72"/>
        <v>Fiber</v>
      </c>
      <c r="R92" s="23">
        <f t="shared" si="73"/>
        <v>0.13434605950456929</v>
      </c>
      <c r="S92" s="23">
        <f t="shared" si="74"/>
        <v>1.2984680839307668E-4</v>
      </c>
      <c r="T92" s="23">
        <f t="shared" si="75"/>
        <v>0.76497214608357955</v>
      </c>
      <c r="U92" s="23">
        <f t="shared" si="76"/>
        <v>2.8925448593096017E-3</v>
      </c>
      <c r="V92" s="23">
        <f t="shared" si="77"/>
        <v>9.7207109606098463E-2</v>
      </c>
      <c r="W92" s="23">
        <f t="shared" si="78"/>
        <v>4.5229313805004827E-4</v>
      </c>
    </row>
    <row r="93" spans="1:23" x14ac:dyDescent="0.25">
      <c r="B93" t="str">
        <f>'Starlink countries with data'!B93</f>
        <v>Portugal</v>
      </c>
      <c r="C93" t="str">
        <f>'Starlink countries with data'!D93</f>
        <v>Portugal</v>
      </c>
      <c r="D93" s="15">
        <f>INDEX('Population and Broadband subs'!$D$324:$D$425,MATCH($C93,'Population and Broadband subs'!$A$324:$A$425,0))</f>
        <v>4137809</v>
      </c>
      <c r="E93" s="15">
        <f>INDEX('Population and Broadband subs'!$D$428:$D$529,MATCH($C93,'Population and Broadband subs'!$A$428:$A$529,0))</f>
        <v>1005855</v>
      </c>
      <c r="F93" s="23">
        <f t="shared" si="66"/>
        <v>0.24308879409368581</v>
      </c>
      <c r="G93" s="15">
        <f>INDEX('Population and Broadband subs'!$D$532:$D$633,MATCH($C93,'Population and Broadband subs'!$A$532:$A$633,0))</f>
        <v>94957</v>
      </c>
      <c r="H93" s="23">
        <f t="shared" si="67"/>
        <v>2.2948618459672741E-2</v>
      </c>
      <c r="I93" s="15">
        <f>INDEX('Population and Broadband subs'!$D$636:$D$737,MATCH($C93,'Population and Broadband subs'!$A$636:$A$737,0))</f>
        <v>2775065</v>
      </c>
      <c r="J93" s="23">
        <f t="shared" si="68"/>
        <v>0.67066048722886917</v>
      </c>
      <c r="K93" s="15">
        <f>INDEX('Population and Broadband subs'!$D$740:$D$841,MATCH($C93,'Population and Broadband subs'!$A$740:$A$841,0))</f>
        <v>3929</v>
      </c>
      <c r="L93" s="23">
        <f t="shared" si="69"/>
        <v>9.4953633674246438E-4</v>
      </c>
      <c r="M93" s="15">
        <f>INDEX('Population and Broadband subs'!$D$844:$D$945,MATCH($C93,'Population and Broadband subs'!$A$844:$A$945,0))</f>
        <v>258002</v>
      </c>
      <c r="N93" s="23">
        <f t="shared" si="70"/>
        <v>6.2352322207235765E-2</v>
      </c>
      <c r="O93" s="15">
        <f>INDEX('Population and Broadband subs'!$D$948:$D$1049,MATCH($C93,'Population and Broadband subs'!$A$948:$A$1049,0))</f>
        <v>0</v>
      </c>
      <c r="P93" s="23">
        <f t="shared" si="71"/>
        <v>0</v>
      </c>
      <c r="Q93" t="str">
        <f t="shared" si="72"/>
        <v>Fiber</v>
      </c>
      <c r="R93" s="23">
        <f t="shared" si="73"/>
        <v>0.24308879409368581</v>
      </c>
      <c r="S93" s="23">
        <f t="shared" si="74"/>
        <v>2.2948618459672741E-2</v>
      </c>
      <c r="T93" s="23">
        <f t="shared" si="75"/>
        <v>0.67066048722886917</v>
      </c>
      <c r="U93" s="23">
        <f t="shared" si="76"/>
        <v>9.4953633674246438E-4</v>
      </c>
      <c r="V93" s="23">
        <f t="shared" si="77"/>
        <v>6.2352322207235765E-2</v>
      </c>
      <c r="W93" s="23">
        <f t="shared" si="78"/>
        <v>0</v>
      </c>
    </row>
    <row r="94" spans="1:23" x14ac:dyDescent="0.25">
      <c r="B94" t="str">
        <f>'Starlink countries with data'!B94</f>
        <v>Spain</v>
      </c>
      <c r="C94" t="str">
        <f>'Starlink countries with data'!D94</f>
        <v>Spain</v>
      </c>
      <c r="D94" s="15">
        <f>INDEX('Population and Broadband subs'!$D$324:$D$425,MATCH($C94,'Population and Broadband subs'!$A$324:$A$425,0))</f>
        <v>17355679</v>
      </c>
      <c r="E94" s="15">
        <f>INDEX('Population and Broadband subs'!$D$428:$D$529,MATCH($C94,'Population and Broadband subs'!$A$428:$A$529,0))</f>
        <v>802173</v>
      </c>
      <c r="F94" s="23">
        <f t="shared" si="66"/>
        <v>4.6219626440429096E-2</v>
      </c>
      <c r="G94" s="15">
        <f>INDEX('Population and Broadband subs'!$D$532:$D$633,MATCH($C94,'Population and Broadband subs'!$A$532:$A$633,0))</f>
        <v>0</v>
      </c>
      <c r="H94" s="23">
        <f t="shared" si="67"/>
        <v>0</v>
      </c>
      <c r="I94" s="15">
        <f>INDEX('Population and Broadband subs'!$D$636:$D$737,MATCH($C94,'Population and Broadband subs'!$A$636:$A$737,0))</f>
        <v>16047937</v>
      </c>
      <c r="J94" s="23">
        <f t="shared" si="68"/>
        <v>0.92465048472030398</v>
      </c>
      <c r="K94" s="15">
        <f>INDEX('Population and Broadband subs'!$D$740:$D$841,MATCH($C94,'Population and Broadband subs'!$A$740:$A$841,0))</f>
        <v>0</v>
      </c>
      <c r="L94" s="23">
        <f t="shared" si="69"/>
        <v>0</v>
      </c>
      <c r="M94" s="15">
        <f>INDEX('Population and Broadband subs'!$D$844:$D$945,MATCH($C94,'Population and Broadband subs'!$A$844:$A$945,0))</f>
        <v>493606</v>
      </c>
      <c r="N94" s="23">
        <f t="shared" si="70"/>
        <v>2.8440604369324878E-2</v>
      </c>
      <c r="O94" s="15">
        <f>INDEX('Population and Broadband subs'!$D$948:$D$1049,MATCH($C94,'Population and Broadband subs'!$A$948:$A$1049,0))</f>
        <v>11963</v>
      </c>
      <c r="P94" s="23">
        <f t="shared" si="71"/>
        <v>6.8928446994208641E-4</v>
      </c>
      <c r="Q94" t="str">
        <f t="shared" si="72"/>
        <v>Fiber</v>
      </c>
      <c r="R94" s="23">
        <f t="shared" si="73"/>
        <v>4.6219626440429096E-2</v>
      </c>
      <c r="S94" s="23">
        <f t="shared" si="74"/>
        <v>0</v>
      </c>
      <c r="T94" s="23">
        <f t="shared" si="75"/>
        <v>0.92465048472030398</v>
      </c>
      <c r="U94" s="23">
        <f t="shared" si="76"/>
        <v>0</v>
      </c>
      <c r="V94" s="23">
        <f t="shared" si="77"/>
        <v>2.8440604369324878E-2</v>
      </c>
      <c r="W94" s="23">
        <f t="shared" si="78"/>
        <v>6.8928446994208641E-4</v>
      </c>
    </row>
    <row r="95" spans="1:23" x14ac:dyDescent="0.25">
      <c r="B95" t="str">
        <f>'Starlink countries with data'!B95</f>
        <v>Sweden</v>
      </c>
      <c r="C95" t="str">
        <f>'Starlink countries with data'!D95</f>
        <v>Sweden</v>
      </c>
      <c r="D95" s="15">
        <f>INDEX('Population and Broadband subs'!$D$324:$D$425,MATCH($C95,'Population and Broadband subs'!$A$324:$A$425,0))</f>
        <v>4517052</v>
      </c>
      <c r="E95" s="15">
        <f>INDEX('Population and Broadband subs'!$D$428:$D$529,MATCH($C95,'Population and Broadband subs'!$A$428:$A$529,0))</f>
        <v>615726</v>
      </c>
      <c r="F95" s="23">
        <f t="shared" si="66"/>
        <v>0.13631147040149194</v>
      </c>
      <c r="G95" s="15">
        <f>INDEX('Population and Broadband subs'!$D$532:$D$633,MATCH($C95,'Population and Broadband subs'!$A$532:$A$633,0))</f>
        <v>25645</v>
      </c>
      <c r="H95" s="23">
        <f t="shared" si="67"/>
        <v>5.677375420960396E-3</v>
      </c>
      <c r="I95" s="15">
        <f>INDEX('Population and Broadband subs'!$D$636:$D$737,MATCH($C95,'Population and Broadband subs'!$A$636:$A$737,0))</f>
        <v>3868642</v>
      </c>
      <c r="J95" s="23">
        <f t="shared" si="68"/>
        <v>0.85645283693878216</v>
      </c>
      <c r="K95" s="15">
        <f>INDEX('Population and Broadband subs'!$D$740:$D$841,MATCH($C95,'Population and Broadband subs'!$A$740:$A$841,0))</f>
        <v>483</v>
      </c>
      <c r="L95" s="23">
        <f t="shared" si="69"/>
        <v>1.06928146941855E-4</v>
      </c>
      <c r="M95" s="15">
        <f>INDEX('Population and Broadband subs'!$D$844:$D$945,MATCH($C95,'Population and Broadband subs'!$A$844:$A$945,0))</f>
        <v>6492</v>
      </c>
      <c r="N95" s="23">
        <f t="shared" si="70"/>
        <v>1.4372205588954921E-3</v>
      </c>
      <c r="O95" s="15">
        <f>INDEX('Population and Broadband subs'!$D$948:$D$1049,MATCH($C95,'Population and Broadband subs'!$A$948:$A$1049,0))</f>
        <v>64</v>
      </c>
      <c r="P95" s="23">
        <f t="shared" si="71"/>
        <v>1.4168532928113291E-5</v>
      </c>
      <c r="Q95" t="str">
        <f t="shared" si="72"/>
        <v>Fiber</v>
      </c>
      <c r="R95" s="23">
        <f t="shared" si="73"/>
        <v>0.13631147040149194</v>
      </c>
      <c r="S95" s="23">
        <f t="shared" si="74"/>
        <v>5.677375420960396E-3</v>
      </c>
      <c r="T95" s="23">
        <f t="shared" si="75"/>
        <v>0.85645283693878216</v>
      </c>
      <c r="U95" s="23">
        <f t="shared" si="76"/>
        <v>1.06928146941855E-4</v>
      </c>
      <c r="V95" s="23">
        <f t="shared" si="77"/>
        <v>1.4372205588954921E-3</v>
      </c>
      <c r="W95" s="23">
        <f t="shared" si="78"/>
        <v>1.4168532928113291E-5</v>
      </c>
    </row>
    <row r="96" spans="1:23" x14ac:dyDescent="0.25">
      <c r="B96" t="str">
        <f>'Starlink countries with data'!B96</f>
        <v>Switzerland</v>
      </c>
      <c r="C96" t="str">
        <f>'Starlink countries with data'!D96</f>
        <v>Switzerland</v>
      </c>
      <c r="D96" s="15">
        <f>INDEX('Population and Broadband subs'!$D$324:$D$425,MATCH($C96,'Population and Broadband subs'!$A$324:$A$425,0))</f>
        <v>4183899</v>
      </c>
      <c r="E96" s="15">
        <f>INDEX('Population and Broadband subs'!$D$428:$D$529,MATCH($C96,'Population and Broadband subs'!$A$428:$A$529,0))</f>
        <v>958324</v>
      </c>
      <c r="F96" s="23">
        <f t="shared" si="66"/>
        <v>0.22905046226020273</v>
      </c>
      <c r="G96" s="15">
        <f>INDEX('Population and Broadband subs'!$D$532:$D$633,MATCH($C96,'Population and Broadband subs'!$A$532:$A$633,0))</f>
        <v>1612555</v>
      </c>
      <c r="H96" s="23">
        <f t="shared" si="67"/>
        <v>0.38541919869480595</v>
      </c>
      <c r="I96" s="15">
        <f>INDEX('Population and Broadband subs'!$D$636:$D$737,MATCH($C96,'Population and Broadband subs'!$A$636:$A$737,0))</f>
        <v>1609461</v>
      </c>
      <c r="J96" s="23">
        <f t="shared" si="68"/>
        <v>0.38467969709593852</v>
      </c>
      <c r="K96" s="15" t="str">
        <f>INDEX('Population and Broadband subs'!$D$740:$D$841,MATCH($C96,'Population and Broadband subs'!$A$740:$A$841,0))</f>
        <v>NA</v>
      </c>
      <c r="L96" s="23" t="str">
        <f t="shared" si="69"/>
        <v>NA</v>
      </c>
      <c r="M96" s="15" t="str">
        <f>INDEX('Population and Broadband subs'!$D$844:$D$945,MATCH($C96,'Population and Broadband subs'!$A$844:$A$945,0))</f>
        <v>NA</v>
      </c>
      <c r="N96" s="23" t="str">
        <f t="shared" si="70"/>
        <v>NA</v>
      </c>
      <c r="O96" s="15">
        <f>INDEX('Population and Broadband subs'!$D$948:$D$1049,MATCH($C96,'Population and Broadband subs'!$A$948:$A$1049,0))</f>
        <v>3560</v>
      </c>
      <c r="P96" s="23">
        <f t="shared" si="71"/>
        <v>8.5088096055856036E-4</v>
      </c>
      <c r="Q96" t="str">
        <f t="shared" si="72"/>
        <v>DSL</v>
      </c>
      <c r="R96" s="23">
        <f t="shared" si="73"/>
        <v>0.22905046226020273</v>
      </c>
      <c r="S96" s="23">
        <f t="shared" si="74"/>
        <v>0.38541919869480595</v>
      </c>
      <c r="T96" s="23">
        <f t="shared" si="75"/>
        <v>0.38467969709593852</v>
      </c>
      <c r="U96" s="23" t="str">
        <f t="shared" si="76"/>
        <v>NA</v>
      </c>
      <c r="V96" s="23" t="str">
        <f t="shared" si="77"/>
        <v>NA</v>
      </c>
      <c r="W96" s="23">
        <f t="shared" si="78"/>
        <v>8.5088096055856036E-4</v>
      </c>
    </row>
    <row r="97" spans="2:23" x14ac:dyDescent="0.25">
      <c r="B97" t="str">
        <f>'Starlink countries with data'!B97</f>
        <v>United Kingdom</v>
      </c>
      <c r="C97" t="str">
        <f>'Starlink countries with data'!D97</f>
        <v>United Kingdom</v>
      </c>
      <c r="D97" s="15">
        <f>INDEX('Population and Broadband subs'!$D$324:$D$425,MATCH($C97,'Population and Broadband subs'!$A$324:$A$425,0))</f>
        <v>28792315</v>
      </c>
      <c r="E97" s="15">
        <f>INDEX('Population and Broadband subs'!$D$428:$D$529,MATCH($C97,'Population and Broadband subs'!$A$428:$A$529,0))</f>
        <v>5896068</v>
      </c>
      <c r="F97" s="23">
        <f t="shared" si="66"/>
        <v>0.20477922667906348</v>
      </c>
      <c r="G97" s="15">
        <f>INDEX('Population and Broadband subs'!$D$532:$D$633,MATCH($C97,'Population and Broadband subs'!$A$532:$A$633,0))</f>
        <v>14822734</v>
      </c>
      <c r="H97" s="23">
        <f t="shared" si="67"/>
        <v>0.51481563743658676</v>
      </c>
      <c r="I97" s="15">
        <f>INDEX('Population and Broadband subs'!$D$636:$D$737,MATCH($C97,'Population and Broadband subs'!$A$636:$A$737,0))</f>
        <v>8028277</v>
      </c>
      <c r="J97" s="23">
        <f t="shared" si="68"/>
        <v>0.27883402220349424</v>
      </c>
      <c r="K97" s="15">
        <f>INDEX('Population and Broadband subs'!$D$740:$D$841,MATCH($C97,'Population and Broadband subs'!$A$740:$A$841,0))</f>
        <v>10533</v>
      </c>
      <c r="L97" s="23">
        <f t="shared" si="69"/>
        <v>3.6582678398732442E-4</v>
      </c>
      <c r="M97" s="15">
        <f>INDEX('Population and Broadband subs'!$D$844:$D$945,MATCH($C97,'Population and Broadband subs'!$A$844:$A$945,0))</f>
        <v>34703</v>
      </c>
      <c r="N97" s="23">
        <f t="shared" si="70"/>
        <v>1.2052868968681399E-3</v>
      </c>
      <c r="O97" s="15" t="str">
        <f>INDEX('Population and Broadband subs'!$D$948:$D$1049,MATCH($C97,'Population and Broadband subs'!$A$948:$A$1049,0))</f>
        <v>NA</v>
      </c>
      <c r="P97" s="23" t="str">
        <f t="shared" si="71"/>
        <v>NA</v>
      </c>
      <c r="Q97" t="str">
        <f t="shared" si="72"/>
        <v>DSL</v>
      </c>
      <c r="R97" s="23">
        <f t="shared" si="73"/>
        <v>0.20477922667906348</v>
      </c>
      <c r="S97" s="23">
        <f t="shared" si="74"/>
        <v>0.51481563743658676</v>
      </c>
      <c r="T97" s="23">
        <f t="shared" si="75"/>
        <v>0.27883402220349424</v>
      </c>
      <c r="U97" s="23">
        <f t="shared" si="76"/>
        <v>3.6582678398732442E-4</v>
      </c>
      <c r="V97" s="23">
        <f t="shared" si="77"/>
        <v>1.2052868968681399E-3</v>
      </c>
      <c r="W97" s="23" t="str">
        <f t="shared" si="78"/>
        <v>NA</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300B9-A707-42CF-B5FE-97A1FFCA5A73}">
  <dimension ref="A1:A373"/>
  <sheetViews>
    <sheetView tabSelected="1" topLeftCell="A191" zoomScale="70" zoomScaleNormal="70" workbookViewId="0">
      <selection activeCell="J214" sqref="J214"/>
    </sheetView>
  </sheetViews>
  <sheetFormatPr defaultRowHeight="15" x14ac:dyDescent="0.25"/>
  <cols>
    <col min="1" max="1" width="35.85546875" bestFit="1" customWidth="1"/>
  </cols>
  <sheetData>
    <row r="1" spans="1:1" ht="15.75" x14ac:dyDescent="0.25">
      <c r="A1" s="28" t="s">
        <v>613</v>
      </c>
    </row>
    <row r="2" spans="1:1" x14ac:dyDescent="0.25">
      <c r="A2" s="29" t="s">
        <v>645</v>
      </c>
    </row>
    <row r="3" spans="1:1" x14ac:dyDescent="0.25">
      <c r="A3" s="30" t="s">
        <v>646</v>
      </c>
    </row>
    <row r="4" spans="1:1" x14ac:dyDescent="0.25">
      <c r="A4" s="29" t="s">
        <v>647</v>
      </c>
    </row>
    <row r="5" spans="1:1" x14ac:dyDescent="0.25">
      <c r="A5" s="30" t="s">
        <v>648</v>
      </c>
    </row>
    <row r="6" spans="1:1" ht="15.75" x14ac:dyDescent="0.25">
      <c r="A6" s="28" t="s">
        <v>649</v>
      </c>
    </row>
    <row r="7" spans="1:1" x14ac:dyDescent="0.25">
      <c r="A7" s="29" t="s">
        <v>650</v>
      </c>
    </row>
    <row r="8" spans="1:1" x14ac:dyDescent="0.25">
      <c r="A8" s="30" t="s">
        <v>646</v>
      </c>
    </row>
    <row r="9" spans="1:1" x14ac:dyDescent="0.25">
      <c r="A9" s="29" t="s">
        <v>651</v>
      </c>
    </row>
    <row r="10" spans="1:1" x14ac:dyDescent="0.25">
      <c r="A10" s="30" t="s">
        <v>646</v>
      </c>
    </row>
    <row r="11" spans="1:1" x14ac:dyDescent="0.25">
      <c r="A11" s="29" t="s">
        <v>652</v>
      </c>
    </row>
    <row r="12" spans="1:1" x14ac:dyDescent="0.25">
      <c r="A12" s="30" t="s">
        <v>653</v>
      </c>
    </row>
    <row r="13" spans="1:1" x14ac:dyDescent="0.25">
      <c r="A13" s="29" t="s">
        <v>654</v>
      </c>
    </row>
    <row r="14" spans="1:1" x14ac:dyDescent="0.25">
      <c r="A14" s="30" t="s">
        <v>655</v>
      </c>
    </row>
    <row r="15" spans="1:1" x14ac:dyDescent="0.25">
      <c r="A15" s="29" t="s">
        <v>656</v>
      </c>
    </row>
    <row r="16" spans="1:1" x14ac:dyDescent="0.25">
      <c r="A16" s="30" t="s">
        <v>646</v>
      </c>
    </row>
    <row r="17" spans="1:1" x14ac:dyDescent="0.25">
      <c r="A17" s="29" t="s">
        <v>657</v>
      </c>
    </row>
    <row r="18" spans="1:1" x14ac:dyDescent="0.25">
      <c r="A18" s="30" t="s">
        <v>646</v>
      </c>
    </row>
    <row r="19" spans="1:1" x14ac:dyDescent="0.25">
      <c r="A19" s="29" t="s">
        <v>658</v>
      </c>
    </row>
    <row r="20" spans="1:1" x14ac:dyDescent="0.25">
      <c r="A20" s="30" t="s">
        <v>653</v>
      </c>
    </row>
    <row r="21" spans="1:1" x14ac:dyDescent="0.25">
      <c r="A21" s="29" t="s">
        <v>659</v>
      </c>
    </row>
    <row r="22" spans="1:1" x14ac:dyDescent="0.25">
      <c r="A22" s="30" t="s">
        <v>660</v>
      </c>
    </row>
    <row r="23" spans="1:1" x14ac:dyDescent="0.25">
      <c r="A23" s="29" t="s">
        <v>661</v>
      </c>
    </row>
    <row r="24" spans="1:1" x14ac:dyDescent="0.25">
      <c r="A24" s="30" t="s">
        <v>646</v>
      </c>
    </row>
    <row r="25" spans="1:1" x14ac:dyDescent="0.25">
      <c r="A25" s="29" t="s">
        <v>662</v>
      </c>
    </row>
    <row r="26" spans="1:1" x14ac:dyDescent="0.25">
      <c r="A26" s="30" t="s">
        <v>653</v>
      </c>
    </row>
    <row r="27" spans="1:1" x14ac:dyDescent="0.25">
      <c r="A27" s="29" t="s">
        <v>663</v>
      </c>
    </row>
    <row r="28" spans="1:1" x14ac:dyDescent="0.25">
      <c r="A28" s="30" t="s">
        <v>653</v>
      </c>
    </row>
    <row r="29" spans="1:1" x14ac:dyDescent="0.25">
      <c r="A29" s="29" t="s">
        <v>664</v>
      </c>
    </row>
    <row r="30" spans="1:1" x14ac:dyDescent="0.25">
      <c r="A30" s="30" t="s">
        <v>653</v>
      </c>
    </row>
    <row r="31" spans="1:1" x14ac:dyDescent="0.25">
      <c r="A31" s="29" t="s">
        <v>665</v>
      </c>
    </row>
    <row r="32" spans="1:1" x14ac:dyDescent="0.25">
      <c r="A32" s="30" t="s">
        <v>648</v>
      </c>
    </row>
    <row r="33" spans="1:1" x14ac:dyDescent="0.25">
      <c r="A33" s="29" t="s">
        <v>666</v>
      </c>
    </row>
    <row r="34" spans="1:1" x14ac:dyDescent="0.25">
      <c r="A34" s="30" t="s">
        <v>653</v>
      </c>
    </row>
    <row r="35" spans="1:1" x14ac:dyDescent="0.25">
      <c r="A35" s="29" t="s">
        <v>667</v>
      </c>
    </row>
    <row r="36" spans="1:1" x14ac:dyDescent="0.25">
      <c r="A36" s="30" t="s">
        <v>653</v>
      </c>
    </row>
    <row r="37" spans="1:1" x14ac:dyDescent="0.25">
      <c r="A37" s="29" t="s">
        <v>668</v>
      </c>
    </row>
    <row r="38" spans="1:1" x14ac:dyDescent="0.25">
      <c r="A38" s="30" t="s">
        <v>669</v>
      </c>
    </row>
    <row r="39" spans="1:1" x14ac:dyDescent="0.25">
      <c r="A39" s="29" t="s">
        <v>670</v>
      </c>
    </row>
    <row r="40" spans="1:1" x14ac:dyDescent="0.25">
      <c r="A40" s="30" t="s">
        <v>646</v>
      </c>
    </row>
    <row r="41" spans="1:1" x14ac:dyDescent="0.25">
      <c r="A41" s="29" t="s">
        <v>671</v>
      </c>
    </row>
    <row r="42" spans="1:1" x14ac:dyDescent="0.25">
      <c r="A42" s="30" t="s">
        <v>672</v>
      </c>
    </row>
    <row r="43" spans="1:1" x14ac:dyDescent="0.25">
      <c r="A43" s="29" t="s">
        <v>673</v>
      </c>
    </row>
    <row r="44" spans="1:1" x14ac:dyDescent="0.25">
      <c r="A44" s="30" t="s">
        <v>653</v>
      </c>
    </row>
    <row r="45" spans="1:1" x14ac:dyDescent="0.25">
      <c r="A45" s="29" t="s">
        <v>674</v>
      </c>
    </row>
    <row r="46" spans="1:1" x14ac:dyDescent="0.25">
      <c r="A46" s="30" t="s">
        <v>646</v>
      </c>
    </row>
    <row r="47" spans="1:1" x14ac:dyDescent="0.25">
      <c r="A47" s="29" t="s">
        <v>675</v>
      </c>
    </row>
    <row r="48" spans="1:1" x14ac:dyDescent="0.25">
      <c r="A48" s="30" t="s">
        <v>672</v>
      </c>
    </row>
    <row r="49" spans="1:1" x14ac:dyDescent="0.25">
      <c r="A49" s="29" t="s">
        <v>676</v>
      </c>
    </row>
    <row r="50" spans="1:1" x14ac:dyDescent="0.25">
      <c r="A50" s="30" t="s">
        <v>672</v>
      </c>
    </row>
    <row r="51" spans="1:1" x14ac:dyDescent="0.25">
      <c r="A51" s="29" t="s">
        <v>677</v>
      </c>
    </row>
    <row r="52" spans="1:1" x14ac:dyDescent="0.25">
      <c r="A52" s="30" t="s">
        <v>653</v>
      </c>
    </row>
    <row r="53" spans="1:1" x14ac:dyDescent="0.25">
      <c r="A53" s="29" t="s">
        <v>678</v>
      </c>
    </row>
    <row r="54" spans="1:1" x14ac:dyDescent="0.25">
      <c r="A54" s="30" t="s">
        <v>646</v>
      </c>
    </row>
    <row r="55" spans="1:1" x14ac:dyDescent="0.25">
      <c r="A55" s="29" t="s">
        <v>679</v>
      </c>
    </row>
    <row r="56" spans="1:1" x14ac:dyDescent="0.25">
      <c r="A56" s="30" t="s">
        <v>672</v>
      </c>
    </row>
    <row r="57" spans="1:1" x14ac:dyDescent="0.25">
      <c r="A57" s="29" t="s">
        <v>680</v>
      </c>
    </row>
    <row r="58" spans="1:1" x14ac:dyDescent="0.25">
      <c r="A58" s="30" t="s">
        <v>653</v>
      </c>
    </row>
    <row r="59" spans="1:1" x14ac:dyDescent="0.25">
      <c r="A59" s="29" t="s">
        <v>681</v>
      </c>
    </row>
    <row r="60" spans="1:1" x14ac:dyDescent="0.25">
      <c r="A60" s="30" t="s">
        <v>646</v>
      </c>
    </row>
    <row r="61" spans="1:1" x14ac:dyDescent="0.25">
      <c r="A61" s="29" t="s">
        <v>682</v>
      </c>
    </row>
    <row r="62" spans="1:1" x14ac:dyDescent="0.25">
      <c r="A62" s="30" t="s">
        <v>653</v>
      </c>
    </row>
    <row r="63" spans="1:1" x14ac:dyDescent="0.25">
      <c r="A63" s="29" t="s">
        <v>683</v>
      </c>
    </row>
    <row r="64" spans="1:1" x14ac:dyDescent="0.25">
      <c r="A64" s="30" t="s">
        <v>653</v>
      </c>
    </row>
    <row r="65" spans="1:1" x14ac:dyDescent="0.25">
      <c r="A65" s="29" t="s">
        <v>684</v>
      </c>
    </row>
    <row r="66" spans="1:1" x14ac:dyDescent="0.25">
      <c r="A66" s="30" t="s">
        <v>653</v>
      </c>
    </row>
    <row r="67" spans="1:1" x14ac:dyDescent="0.25">
      <c r="A67" s="29" t="s">
        <v>685</v>
      </c>
    </row>
    <row r="68" spans="1:1" x14ac:dyDescent="0.25">
      <c r="A68" s="30" t="s">
        <v>669</v>
      </c>
    </row>
    <row r="69" spans="1:1" x14ac:dyDescent="0.25">
      <c r="A69" s="29" t="s">
        <v>686</v>
      </c>
    </row>
    <row r="70" spans="1:1" x14ac:dyDescent="0.25">
      <c r="A70" s="30" t="s">
        <v>653</v>
      </c>
    </row>
    <row r="71" spans="1:1" x14ac:dyDescent="0.25">
      <c r="A71" s="29" t="s">
        <v>687</v>
      </c>
    </row>
    <row r="72" spans="1:1" x14ac:dyDescent="0.25">
      <c r="A72" s="30" t="s">
        <v>688</v>
      </c>
    </row>
    <row r="73" spans="1:1" x14ac:dyDescent="0.25">
      <c r="A73" s="29" t="s">
        <v>689</v>
      </c>
    </row>
    <row r="74" spans="1:1" x14ac:dyDescent="0.25">
      <c r="A74" s="30" t="s">
        <v>672</v>
      </c>
    </row>
    <row r="75" spans="1:1" x14ac:dyDescent="0.25">
      <c r="A75" s="29" t="s">
        <v>690</v>
      </c>
    </row>
    <row r="76" spans="1:1" x14ac:dyDescent="0.25">
      <c r="A76" s="30" t="s">
        <v>646</v>
      </c>
    </row>
    <row r="77" spans="1:1" x14ac:dyDescent="0.25">
      <c r="A77" s="29" t="s">
        <v>691</v>
      </c>
    </row>
    <row r="78" spans="1:1" x14ac:dyDescent="0.25">
      <c r="A78" s="30" t="s">
        <v>646</v>
      </c>
    </row>
    <row r="79" spans="1:1" x14ac:dyDescent="0.25">
      <c r="A79" s="29" t="s">
        <v>692</v>
      </c>
    </row>
    <row r="80" spans="1:1" x14ac:dyDescent="0.25">
      <c r="A80" s="30" t="s">
        <v>693</v>
      </c>
    </row>
    <row r="81" spans="1:1" x14ac:dyDescent="0.25">
      <c r="A81" s="29" t="s">
        <v>694</v>
      </c>
    </row>
    <row r="82" spans="1:1" x14ac:dyDescent="0.25">
      <c r="A82" s="30" t="s">
        <v>646</v>
      </c>
    </row>
    <row r="83" spans="1:1" x14ac:dyDescent="0.25">
      <c r="A83" s="29" t="s">
        <v>695</v>
      </c>
    </row>
    <row r="84" spans="1:1" x14ac:dyDescent="0.25">
      <c r="A84" s="30" t="s">
        <v>646</v>
      </c>
    </row>
    <row r="85" spans="1:1" x14ac:dyDescent="0.25">
      <c r="A85" s="29" t="s">
        <v>696</v>
      </c>
    </row>
    <row r="86" spans="1:1" x14ac:dyDescent="0.25">
      <c r="A86" s="30" t="s">
        <v>653</v>
      </c>
    </row>
    <row r="87" spans="1:1" x14ac:dyDescent="0.25">
      <c r="A87" s="29" t="s">
        <v>697</v>
      </c>
    </row>
    <row r="88" spans="1:1" x14ac:dyDescent="0.25">
      <c r="A88" s="30" t="s">
        <v>646</v>
      </c>
    </row>
    <row r="89" spans="1:1" x14ac:dyDescent="0.25">
      <c r="A89" s="29" t="s">
        <v>698</v>
      </c>
    </row>
    <row r="90" spans="1:1" x14ac:dyDescent="0.25">
      <c r="A90" s="30" t="s">
        <v>653</v>
      </c>
    </row>
    <row r="91" spans="1:1" ht="15.75" x14ac:dyDescent="0.25">
      <c r="A91" s="28" t="s">
        <v>699</v>
      </c>
    </row>
    <row r="92" spans="1:1" x14ac:dyDescent="0.25">
      <c r="A92" s="29" t="s">
        <v>700</v>
      </c>
    </row>
    <row r="93" spans="1:1" x14ac:dyDescent="0.25">
      <c r="A93" s="30" t="s">
        <v>646</v>
      </c>
    </row>
    <row r="94" spans="1:1" x14ac:dyDescent="0.25">
      <c r="A94" s="29" t="s">
        <v>701</v>
      </c>
    </row>
    <row r="95" spans="1:1" x14ac:dyDescent="0.25">
      <c r="A95" s="30" t="s">
        <v>702</v>
      </c>
    </row>
    <row r="96" spans="1:1" x14ac:dyDescent="0.25">
      <c r="A96" s="29" t="s">
        <v>703</v>
      </c>
    </row>
    <row r="97" spans="1:1" x14ac:dyDescent="0.25">
      <c r="A97" s="30" t="s">
        <v>646</v>
      </c>
    </row>
    <row r="98" spans="1:1" x14ac:dyDescent="0.25">
      <c r="A98" s="29" t="s">
        <v>704</v>
      </c>
    </row>
    <row r="99" spans="1:1" x14ac:dyDescent="0.25">
      <c r="A99" s="30" t="s">
        <v>646</v>
      </c>
    </row>
    <row r="100" spans="1:1" x14ac:dyDescent="0.25">
      <c r="A100" s="29" t="s">
        <v>705</v>
      </c>
    </row>
    <row r="101" spans="1:1" x14ac:dyDescent="0.25">
      <c r="A101" s="30" t="s">
        <v>646</v>
      </c>
    </row>
    <row r="102" spans="1:1" x14ac:dyDescent="0.25">
      <c r="A102" s="29" t="s">
        <v>706</v>
      </c>
    </row>
    <row r="103" spans="1:1" x14ac:dyDescent="0.25">
      <c r="A103" s="30" t="s">
        <v>707</v>
      </c>
    </row>
    <row r="104" spans="1:1" x14ac:dyDescent="0.25">
      <c r="A104" s="29" t="s">
        <v>708</v>
      </c>
    </row>
    <row r="105" spans="1:1" x14ac:dyDescent="0.25">
      <c r="A105" s="30" t="s">
        <v>709</v>
      </c>
    </row>
    <row r="106" spans="1:1" x14ac:dyDescent="0.25">
      <c r="A106" s="29" t="s">
        <v>710</v>
      </c>
    </row>
    <row r="107" spans="1:1" x14ac:dyDescent="0.25">
      <c r="A107" s="30" t="s">
        <v>646</v>
      </c>
    </row>
    <row r="108" spans="1:1" x14ac:dyDescent="0.25">
      <c r="A108" s="29" t="s">
        <v>711</v>
      </c>
    </row>
    <row r="109" spans="1:1" x14ac:dyDescent="0.25">
      <c r="A109" s="30" t="s">
        <v>712</v>
      </c>
    </row>
    <row r="110" spans="1:1" x14ac:dyDescent="0.25">
      <c r="A110" s="29" t="s">
        <v>713</v>
      </c>
    </row>
    <row r="111" spans="1:1" x14ac:dyDescent="0.25">
      <c r="A111" s="30" t="s">
        <v>709</v>
      </c>
    </row>
    <row r="112" spans="1:1" x14ac:dyDescent="0.25">
      <c r="A112" s="29" t="s">
        <v>714</v>
      </c>
    </row>
    <row r="113" spans="1:1" x14ac:dyDescent="0.25">
      <c r="A113" s="30" t="s">
        <v>653</v>
      </c>
    </row>
    <row r="114" spans="1:1" x14ac:dyDescent="0.25">
      <c r="A114" s="29" t="s">
        <v>715</v>
      </c>
    </row>
    <row r="115" spans="1:1" x14ac:dyDescent="0.25">
      <c r="A115" s="30" t="s">
        <v>646</v>
      </c>
    </row>
    <row r="116" spans="1:1" x14ac:dyDescent="0.25">
      <c r="A116" s="29" t="s">
        <v>716</v>
      </c>
    </row>
    <row r="117" spans="1:1" x14ac:dyDescent="0.25">
      <c r="A117" s="30" t="s">
        <v>646</v>
      </c>
    </row>
    <row r="118" spans="1:1" x14ac:dyDescent="0.25">
      <c r="A118" s="29" t="s">
        <v>717</v>
      </c>
    </row>
    <row r="119" spans="1:1" x14ac:dyDescent="0.25">
      <c r="A119" s="30" t="s">
        <v>672</v>
      </c>
    </row>
    <row r="120" spans="1:1" x14ac:dyDescent="0.25">
      <c r="A120" s="29" t="s">
        <v>718</v>
      </c>
    </row>
    <row r="121" spans="1:1" x14ac:dyDescent="0.25">
      <c r="A121" s="30" t="s">
        <v>646</v>
      </c>
    </row>
    <row r="122" spans="1:1" x14ac:dyDescent="0.25">
      <c r="A122" s="29" t="s">
        <v>719</v>
      </c>
    </row>
    <row r="123" spans="1:1" x14ac:dyDescent="0.25">
      <c r="A123" s="30" t="s">
        <v>646</v>
      </c>
    </row>
    <row r="124" spans="1:1" x14ac:dyDescent="0.25">
      <c r="A124" s="29" t="s">
        <v>720</v>
      </c>
    </row>
    <row r="125" spans="1:1" x14ac:dyDescent="0.25">
      <c r="A125" s="30" t="s">
        <v>646</v>
      </c>
    </row>
    <row r="126" spans="1:1" x14ac:dyDescent="0.25">
      <c r="A126" s="29" t="s">
        <v>721</v>
      </c>
    </row>
    <row r="127" spans="1:1" x14ac:dyDescent="0.25">
      <c r="A127" s="30" t="s">
        <v>646</v>
      </c>
    </row>
    <row r="128" spans="1:1" x14ac:dyDescent="0.25">
      <c r="A128" s="29" t="s">
        <v>722</v>
      </c>
    </row>
    <row r="129" spans="1:1" x14ac:dyDescent="0.25">
      <c r="A129" s="30" t="s">
        <v>646</v>
      </c>
    </row>
    <row r="130" spans="1:1" x14ac:dyDescent="0.25">
      <c r="A130" s="29" t="s">
        <v>723</v>
      </c>
    </row>
    <row r="131" spans="1:1" x14ac:dyDescent="0.25">
      <c r="A131" s="30" t="s">
        <v>724</v>
      </c>
    </row>
    <row r="132" spans="1:1" x14ac:dyDescent="0.25">
      <c r="A132" s="29" t="s">
        <v>725</v>
      </c>
    </row>
    <row r="133" spans="1:1" x14ac:dyDescent="0.25">
      <c r="A133" s="30" t="s">
        <v>646</v>
      </c>
    </row>
    <row r="134" spans="1:1" x14ac:dyDescent="0.25">
      <c r="A134" s="29" t="s">
        <v>726</v>
      </c>
    </row>
    <row r="135" spans="1:1" x14ac:dyDescent="0.25">
      <c r="A135" s="30" t="s">
        <v>646</v>
      </c>
    </row>
    <row r="136" spans="1:1" x14ac:dyDescent="0.25">
      <c r="A136" s="29" t="s">
        <v>727</v>
      </c>
    </row>
    <row r="137" spans="1:1" x14ac:dyDescent="0.25">
      <c r="A137" s="30" t="s">
        <v>646</v>
      </c>
    </row>
    <row r="138" spans="1:1" x14ac:dyDescent="0.25">
      <c r="A138" s="29" t="s">
        <v>728</v>
      </c>
    </row>
    <row r="139" spans="1:1" x14ac:dyDescent="0.25">
      <c r="A139" s="30" t="s">
        <v>729</v>
      </c>
    </row>
    <row r="140" spans="1:1" x14ac:dyDescent="0.25">
      <c r="A140" s="29" t="s">
        <v>730</v>
      </c>
    </row>
    <row r="141" spans="1:1" x14ac:dyDescent="0.25">
      <c r="A141" s="30" t="s">
        <v>646</v>
      </c>
    </row>
    <row r="142" spans="1:1" x14ac:dyDescent="0.25">
      <c r="A142" s="29" t="s">
        <v>731</v>
      </c>
    </row>
    <row r="143" spans="1:1" x14ac:dyDescent="0.25">
      <c r="A143" s="30" t="s">
        <v>646</v>
      </c>
    </row>
    <row r="144" spans="1:1" x14ac:dyDescent="0.25">
      <c r="A144" s="29" t="s">
        <v>732</v>
      </c>
    </row>
    <row r="145" spans="1:1" x14ac:dyDescent="0.25">
      <c r="A145" s="30" t="s">
        <v>733</v>
      </c>
    </row>
    <row r="146" spans="1:1" x14ac:dyDescent="0.25">
      <c r="A146" s="29" t="s">
        <v>734</v>
      </c>
    </row>
    <row r="147" spans="1:1" x14ac:dyDescent="0.25">
      <c r="A147" s="30" t="s">
        <v>646</v>
      </c>
    </row>
    <row r="148" spans="1:1" x14ac:dyDescent="0.25">
      <c r="A148" s="29" t="s">
        <v>735</v>
      </c>
    </row>
    <row r="149" spans="1:1" x14ac:dyDescent="0.25">
      <c r="A149" s="30" t="s">
        <v>693</v>
      </c>
    </row>
    <row r="150" spans="1:1" x14ac:dyDescent="0.25">
      <c r="A150" s="29" t="s">
        <v>736</v>
      </c>
    </row>
    <row r="151" spans="1:1" x14ac:dyDescent="0.25">
      <c r="A151" s="30" t="s">
        <v>737</v>
      </c>
    </row>
    <row r="152" spans="1:1" x14ac:dyDescent="0.25">
      <c r="A152" s="29" t="s">
        <v>738</v>
      </c>
    </row>
    <row r="153" spans="1:1" x14ac:dyDescent="0.25">
      <c r="A153" s="30" t="s">
        <v>712</v>
      </c>
    </row>
    <row r="154" spans="1:1" x14ac:dyDescent="0.25">
      <c r="A154" s="29" t="s">
        <v>739</v>
      </c>
    </row>
    <row r="155" spans="1:1" x14ac:dyDescent="0.25">
      <c r="A155" s="30" t="s">
        <v>740</v>
      </c>
    </row>
    <row r="156" spans="1:1" x14ac:dyDescent="0.25">
      <c r="A156" s="29" t="s">
        <v>741</v>
      </c>
    </row>
    <row r="157" spans="1:1" x14ac:dyDescent="0.25">
      <c r="A157" s="30" t="s">
        <v>655</v>
      </c>
    </row>
    <row r="158" spans="1:1" x14ac:dyDescent="0.25">
      <c r="A158" s="29" t="s">
        <v>742</v>
      </c>
    </row>
    <row r="159" spans="1:1" x14ac:dyDescent="0.25">
      <c r="A159" s="30" t="s">
        <v>743</v>
      </c>
    </row>
    <row r="160" spans="1:1" x14ac:dyDescent="0.25">
      <c r="A160" s="29" t="s">
        <v>744</v>
      </c>
    </row>
    <row r="161" spans="1:1" x14ac:dyDescent="0.25">
      <c r="A161" s="30" t="s">
        <v>646</v>
      </c>
    </row>
    <row r="162" spans="1:1" x14ac:dyDescent="0.25">
      <c r="A162" s="29" t="s">
        <v>745</v>
      </c>
    </row>
    <row r="163" spans="1:1" x14ac:dyDescent="0.25">
      <c r="A163" s="30" t="s">
        <v>646</v>
      </c>
    </row>
    <row r="164" spans="1:1" x14ac:dyDescent="0.25">
      <c r="A164" s="29" t="s">
        <v>746</v>
      </c>
    </row>
    <row r="165" spans="1:1" x14ac:dyDescent="0.25">
      <c r="A165" s="30" t="s">
        <v>646</v>
      </c>
    </row>
    <row r="166" spans="1:1" x14ac:dyDescent="0.25">
      <c r="A166" s="29" t="s">
        <v>747</v>
      </c>
    </row>
    <row r="167" spans="1:1" x14ac:dyDescent="0.25">
      <c r="A167" s="30" t="s">
        <v>748</v>
      </c>
    </row>
    <row r="168" spans="1:1" x14ac:dyDescent="0.25">
      <c r="A168" s="29" t="s">
        <v>749</v>
      </c>
    </row>
    <row r="169" spans="1:1" x14ac:dyDescent="0.25">
      <c r="A169" s="30" t="s">
        <v>750</v>
      </c>
    </row>
    <row r="170" spans="1:1" x14ac:dyDescent="0.25">
      <c r="A170" s="29" t="s">
        <v>751</v>
      </c>
    </row>
    <row r="171" spans="1:1" x14ac:dyDescent="0.25">
      <c r="A171" s="30" t="s">
        <v>646</v>
      </c>
    </row>
    <row r="172" spans="1:1" x14ac:dyDescent="0.25">
      <c r="A172" s="29" t="s">
        <v>752</v>
      </c>
    </row>
    <row r="173" spans="1:1" x14ac:dyDescent="0.25">
      <c r="A173" s="30" t="s">
        <v>753</v>
      </c>
    </row>
    <row r="174" spans="1:1" x14ac:dyDescent="0.25">
      <c r="A174" s="29" t="s">
        <v>754</v>
      </c>
    </row>
    <row r="175" spans="1:1" x14ac:dyDescent="0.25">
      <c r="A175" s="30" t="s">
        <v>646</v>
      </c>
    </row>
    <row r="176" spans="1:1" ht="15.75" x14ac:dyDescent="0.25">
      <c r="A176" s="28" t="s">
        <v>755</v>
      </c>
    </row>
    <row r="177" spans="1:1" x14ac:dyDescent="0.25">
      <c r="A177" s="29" t="s">
        <v>756</v>
      </c>
    </row>
    <row r="178" spans="1:1" x14ac:dyDescent="0.25">
      <c r="A178" s="30" t="s">
        <v>646</v>
      </c>
    </row>
    <row r="179" spans="1:1" x14ac:dyDescent="0.25">
      <c r="A179" s="29" t="s">
        <v>757</v>
      </c>
    </row>
    <row r="180" spans="1:1" x14ac:dyDescent="0.25">
      <c r="A180" s="30" t="s">
        <v>646</v>
      </c>
    </row>
    <row r="181" spans="1:1" x14ac:dyDescent="0.25">
      <c r="A181" s="29" t="s">
        <v>758</v>
      </c>
    </row>
    <row r="182" spans="1:1" x14ac:dyDescent="0.25">
      <c r="A182" s="30" t="s">
        <v>646</v>
      </c>
    </row>
    <row r="183" spans="1:1" x14ac:dyDescent="0.25">
      <c r="A183" s="29" t="s">
        <v>759</v>
      </c>
    </row>
    <row r="184" spans="1:1" x14ac:dyDescent="0.25">
      <c r="A184" s="30" t="s">
        <v>646</v>
      </c>
    </row>
    <row r="185" spans="1:1" x14ac:dyDescent="0.25">
      <c r="A185" s="29" t="s">
        <v>760</v>
      </c>
    </row>
    <row r="186" spans="1:1" x14ac:dyDescent="0.25">
      <c r="A186" s="30" t="s">
        <v>761</v>
      </c>
    </row>
    <row r="187" spans="1:1" x14ac:dyDescent="0.25">
      <c r="A187" s="29" t="s">
        <v>762</v>
      </c>
    </row>
    <row r="188" spans="1:1" x14ac:dyDescent="0.25">
      <c r="A188" s="30" t="s">
        <v>763</v>
      </c>
    </row>
    <row r="189" spans="1:1" x14ac:dyDescent="0.25">
      <c r="A189" s="29" t="s">
        <v>764</v>
      </c>
    </row>
    <row r="190" spans="1:1" x14ac:dyDescent="0.25">
      <c r="A190" s="30" t="s">
        <v>765</v>
      </c>
    </row>
    <row r="191" spans="1:1" x14ac:dyDescent="0.25">
      <c r="A191" s="29" t="s">
        <v>766</v>
      </c>
    </row>
    <row r="192" spans="1:1" x14ac:dyDescent="0.25">
      <c r="A192" s="30" t="s">
        <v>646</v>
      </c>
    </row>
    <row r="193" spans="1:1" x14ac:dyDescent="0.25">
      <c r="A193" s="29" t="s">
        <v>767</v>
      </c>
    </row>
    <row r="194" spans="1:1" x14ac:dyDescent="0.25">
      <c r="A194" s="30" t="s">
        <v>646</v>
      </c>
    </row>
    <row r="195" spans="1:1" x14ac:dyDescent="0.25">
      <c r="A195" s="29" t="s">
        <v>768</v>
      </c>
    </row>
    <row r="196" spans="1:1" x14ac:dyDescent="0.25">
      <c r="A196" s="30" t="s">
        <v>646</v>
      </c>
    </row>
    <row r="197" spans="1:1" x14ac:dyDescent="0.25">
      <c r="A197" s="29" t="s">
        <v>769</v>
      </c>
    </row>
    <row r="198" spans="1:1" x14ac:dyDescent="0.25">
      <c r="A198" s="30" t="s">
        <v>646</v>
      </c>
    </row>
    <row r="199" spans="1:1" x14ac:dyDescent="0.25">
      <c r="A199" s="29" t="s">
        <v>770</v>
      </c>
    </row>
    <row r="200" spans="1:1" x14ac:dyDescent="0.25">
      <c r="A200" s="30" t="s">
        <v>646</v>
      </c>
    </row>
    <row r="201" spans="1:1" x14ac:dyDescent="0.25">
      <c r="A201" s="29" t="s">
        <v>771</v>
      </c>
    </row>
    <row r="202" spans="1:1" x14ac:dyDescent="0.25">
      <c r="A202" s="30" t="s">
        <v>772</v>
      </c>
    </row>
    <row r="203" spans="1:1" x14ac:dyDescent="0.25">
      <c r="A203" s="29" t="s">
        <v>773</v>
      </c>
    </row>
    <row r="204" spans="1:1" x14ac:dyDescent="0.25">
      <c r="A204" s="30" t="s">
        <v>774</v>
      </c>
    </row>
    <row r="205" spans="1:1" x14ac:dyDescent="0.25">
      <c r="A205" s="29" t="s">
        <v>775</v>
      </c>
    </row>
    <row r="206" spans="1:1" x14ac:dyDescent="0.25">
      <c r="A206" s="30" t="s">
        <v>776</v>
      </c>
    </row>
    <row r="207" spans="1:1" x14ac:dyDescent="0.25">
      <c r="A207" s="29" t="s">
        <v>777</v>
      </c>
    </row>
    <row r="208" spans="1:1" x14ac:dyDescent="0.25">
      <c r="A208" s="30" t="s">
        <v>761</v>
      </c>
    </row>
    <row r="209" spans="1:1" x14ac:dyDescent="0.25">
      <c r="A209" s="29" t="s">
        <v>778</v>
      </c>
    </row>
    <row r="210" spans="1:1" x14ac:dyDescent="0.25">
      <c r="A210" s="30" t="s">
        <v>779</v>
      </c>
    </row>
    <row r="211" spans="1:1" x14ac:dyDescent="0.25">
      <c r="A211" s="29" t="s">
        <v>780</v>
      </c>
    </row>
    <row r="212" spans="1:1" x14ac:dyDescent="0.25">
      <c r="A212" s="30" t="s">
        <v>646</v>
      </c>
    </row>
    <row r="213" spans="1:1" x14ac:dyDescent="0.25">
      <c r="A213" s="29" t="s">
        <v>781</v>
      </c>
    </row>
    <row r="214" spans="1:1" x14ac:dyDescent="0.25">
      <c r="A214" s="30" t="s">
        <v>782</v>
      </c>
    </row>
    <row r="215" spans="1:1" x14ac:dyDescent="0.25">
      <c r="A215" s="29" t="s">
        <v>783</v>
      </c>
    </row>
    <row r="216" spans="1:1" x14ac:dyDescent="0.25">
      <c r="A216" s="30" t="s">
        <v>761</v>
      </c>
    </row>
    <row r="217" spans="1:1" x14ac:dyDescent="0.25">
      <c r="A217" s="29" t="s">
        <v>784</v>
      </c>
    </row>
    <row r="218" spans="1:1" x14ac:dyDescent="0.25">
      <c r="A218" s="30" t="s">
        <v>785</v>
      </c>
    </row>
    <row r="219" spans="1:1" x14ac:dyDescent="0.25">
      <c r="A219" s="29" t="s">
        <v>786</v>
      </c>
    </row>
    <row r="220" spans="1:1" x14ac:dyDescent="0.25">
      <c r="A220" s="30" t="s">
        <v>776</v>
      </c>
    </row>
    <row r="221" spans="1:1" x14ac:dyDescent="0.25">
      <c r="A221" s="29" t="s">
        <v>787</v>
      </c>
    </row>
    <row r="222" spans="1:1" x14ac:dyDescent="0.25">
      <c r="A222" s="30" t="s">
        <v>788</v>
      </c>
    </row>
    <row r="223" spans="1:1" x14ac:dyDescent="0.25">
      <c r="A223" s="29" t="s">
        <v>789</v>
      </c>
    </row>
    <row r="224" spans="1:1" x14ac:dyDescent="0.25">
      <c r="A224" s="30" t="s">
        <v>646</v>
      </c>
    </row>
    <row r="225" spans="1:1" x14ac:dyDescent="0.25">
      <c r="A225" s="29" t="s">
        <v>790</v>
      </c>
    </row>
    <row r="226" spans="1:1" x14ac:dyDescent="0.25">
      <c r="A226" s="30" t="s">
        <v>646</v>
      </c>
    </row>
    <row r="227" spans="1:1" x14ac:dyDescent="0.25">
      <c r="A227" s="29" t="s">
        <v>791</v>
      </c>
    </row>
    <row r="228" spans="1:1" x14ac:dyDescent="0.25">
      <c r="A228" s="30" t="s">
        <v>646</v>
      </c>
    </row>
    <row r="229" spans="1:1" x14ac:dyDescent="0.25">
      <c r="A229" s="29" t="s">
        <v>792</v>
      </c>
    </row>
    <row r="230" spans="1:1" x14ac:dyDescent="0.25">
      <c r="A230" s="30" t="s">
        <v>793</v>
      </c>
    </row>
    <row r="231" spans="1:1" x14ac:dyDescent="0.25">
      <c r="A231" s="29" t="s">
        <v>794</v>
      </c>
    </row>
    <row r="232" spans="1:1" x14ac:dyDescent="0.25">
      <c r="A232" s="30" t="s">
        <v>646</v>
      </c>
    </row>
    <row r="233" spans="1:1" x14ac:dyDescent="0.25">
      <c r="A233" s="29" t="s">
        <v>795</v>
      </c>
    </row>
    <row r="234" spans="1:1" x14ac:dyDescent="0.25">
      <c r="A234" s="30" t="s">
        <v>646</v>
      </c>
    </row>
    <row r="235" spans="1:1" x14ac:dyDescent="0.25">
      <c r="A235" s="29" t="s">
        <v>796</v>
      </c>
    </row>
    <row r="236" spans="1:1" x14ac:dyDescent="0.25">
      <c r="A236" s="30" t="s">
        <v>646</v>
      </c>
    </row>
    <row r="237" spans="1:1" x14ac:dyDescent="0.25">
      <c r="A237" s="29" t="s">
        <v>797</v>
      </c>
    </row>
    <row r="238" spans="1:1" x14ac:dyDescent="0.25">
      <c r="A238" s="30" t="s">
        <v>798</v>
      </c>
    </row>
    <row r="239" spans="1:1" x14ac:dyDescent="0.25">
      <c r="A239" s="29" t="s">
        <v>799</v>
      </c>
    </row>
    <row r="240" spans="1:1" x14ac:dyDescent="0.25">
      <c r="A240" s="30" t="s">
        <v>646</v>
      </c>
    </row>
    <row r="241" spans="1:1" x14ac:dyDescent="0.25">
      <c r="A241" s="29" t="s">
        <v>800</v>
      </c>
    </row>
    <row r="242" spans="1:1" x14ac:dyDescent="0.25">
      <c r="A242" s="30" t="s">
        <v>646</v>
      </c>
    </row>
    <row r="243" spans="1:1" x14ac:dyDescent="0.25">
      <c r="A243" s="29" t="s">
        <v>801</v>
      </c>
    </row>
    <row r="244" spans="1:1" x14ac:dyDescent="0.25">
      <c r="A244" s="30" t="s">
        <v>761</v>
      </c>
    </row>
    <row r="245" spans="1:1" x14ac:dyDescent="0.25">
      <c r="A245" s="29" t="s">
        <v>802</v>
      </c>
    </row>
    <row r="246" spans="1:1" x14ac:dyDescent="0.25">
      <c r="A246" s="30" t="s">
        <v>761</v>
      </c>
    </row>
    <row r="247" spans="1:1" x14ac:dyDescent="0.25">
      <c r="A247" s="29" t="s">
        <v>803</v>
      </c>
    </row>
    <row r="248" spans="1:1" x14ac:dyDescent="0.25">
      <c r="A248" s="30" t="s">
        <v>804</v>
      </c>
    </row>
    <row r="249" spans="1:1" x14ac:dyDescent="0.25">
      <c r="A249" s="29" t="s">
        <v>805</v>
      </c>
    </row>
    <row r="250" spans="1:1" x14ac:dyDescent="0.25">
      <c r="A250" s="30" t="s">
        <v>646</v>
      </c>
    </row>
    <row r="251" spans="1:1" x14ac:dyDescent="0.25">
      <c r="A251" s="29" t="s">
        <v>806</v>
      </c>
    </row>
    <row r="252" spans="1:1" x14ac:dyDescent="0.25">
      <c r="A252" s="30" t="s">
        <v>761</v>
      </c>
    </row>
    <row r="253" spans="1:1" x14ac:dyDescent="0.25">
      <c r="A253" s="29" t="s">
        <v>807</v>
      </c>
    </row>
    <row r="254" spans="1:1" x14ac:dyDescent="0.25">
      <c r="A254" s="30" t="s">
        <v>646</v>
      </c>
    </row>
    <row r="255" spans="1:1" x14ac:dyDescent="0.25">
      <c r="A255" s="29" t="s">
        <v>808</v>
      </c>
    </row>
    <row r="256" spans="1:1" x14ac:dyDescent="0.25">
      <c r="A256" s="30" t="s">
        <v>809</v>
      </c>
    </row>
    <row r="257" spans="1:1" x14ac:dyDescent="0.25">
      <c r="A257" s="29" t="s">
        <v>810</v>
      </c>
    </row>
    <row r="258" spans="1:1" x14ac:dyDescent="0.25">
      <c r="A258" s="30" t="s">
        <v>646</v>
      </c>
    </row>
    <row r="259" spans="1:1" x14ac:dyDescent="0.25">
      <c r="A259" s="29" t="s">
        <v>811</v>
      </c>
    </row>
    <row r="260" spans="1:1" x14ac:dyDescent="0.25">
      <c r="A260" s="30" t="s">
        <v>812</v>
      </c>
    </row>
    <row r="261" spans="1:1" x14ac:dyDescent="0.25">
      <c r="A261" s="29" t="s">
        <v>813</v>
      </c>
    </row>
    <row r="262" spans="1:1" x14ac:dyDescent="0.25">
      <c r="A262" s="30" t="s">
        <v>814</v>
      </c>
    </row>
    <row r="263" spans="1:1" x14ac:dyDescent="0.25">
      <c r="A263" s="29" t="s">
        <v>815</v>
      </c>
    </row>
    <row r="264" spans="1:1" x14ac:dyDescent="0.25">
      <c r="A264" s="30" t="s">
        <v>816</v>
      </c>
    </row>
    <row r="265" spans="1:1" x14ac:dyDescent="0.25">
      <c r="A265" s="29" t="s">
        <v>817</v>
      </c>
    </row>
    <row r="266" spans="1:1" x14ac:dyDescent="0.25">
      <c r="A266" s="30" t="s">
        <v>655</v>
      </c>
    </row>
    <row r="267" spans="1:1" x14ac:dyDescent="0.25">
      <c r="A267" s="29" t="s">
        <v>818</v>
      </c>
    </row>
    <row r="268" spans="1:1" x14ac:dyDescent="0.25">
      <c r="A268" s="30" t="s">
        <v>646</v>
      </c>
    </row>
    <row r="269" spans="1:1" x14ac:dyDescent="0.25">
      <c r="A269" s="29" t="s">
        <v>819</v>
      </c>
    </row>
    <row r="270" spans="1:1" x14ac:dyDescent="0.25">
      <c r="A270" s="30" t="s">
        <v>646</v>
      </c>
    </row>
    <row r="271" spans="1:1" x14ac:dyDescent="0.25">
      <c r="A271" s="29" t="s">
        <v>820</v>
      </c>
    </row>
    <row r="272" spans="1:1" x14ac:dyDescent="0.25">
      <c r="A272" s="30" t="s">
        <v>646</v>
      </c>
    </row>
    <row r="273" spans="1:1" x14ac:dyDescent="0.25">
      <c r="A273" s="29" t="s">
        <v>821</v>
      </c>
    </row>
    <row r="274" spans="1:1" x14ac:dyDescent="0.25">
      <c r="A274" s="30" t="s">
        <v>646</v>
      </c>
    </row>
    <row r="275" spans="1:1" x14ac:dyDescent="0.25">
      <c r="A275" s="29" t="s">
        <v>822</v>
      </c>
    </row>
    <row r="276" spans="1:1" x14ac:dyDescent="0.25">
      <c r="A276" s="30" t="s">
        <v>761</v>
      </c>
    </row>
    <row r="277" spans="1:1" x14ac:dyDescent="0.25">
      <c r="A277" s="29" t="s">
        <v>823</v>
      </c>
    </row>
    <row r="278" spans="1:1" x14ac:dyDescent="0.25">
      <c r="A278" s="30" t="s">
        <v>646</v>
      </c>
    </row>
    <row r="279" spans="1:1" x14ac:dyDescent="0.25">
      <c r="A279" s="29" t="s">
        <v>824</v>
      </c>
    </row>
    <row r="280" spans="1:1" x14ac:dyDescent="0.25">
      <c r="A280" s="30" t="s">
        <v>646</v>
      </c>
    </row>
    <row r="281" spans="1:1" x14ac:dyDescent="0.25">
      <c r="A281" s="29" t="s">
        <v>825</v>
      </c>
    </row>
    <row r="282" spans="1:1" x14ac:dyDescent="0.25">
      <c r="A282" s="30" t="s">
        <v>826</v>
      </c>
    </row>
    <row r="283" spans="1:1" x14ac:dyDescent="0.25">
      <c r="A283" s="29" t="s">
        <v>827</v>
      </c>
    </row>
    <row r="284" spans="1:1" x14ac:dyDescent="0.25">
      <c r="A284" s="30" t="s">
        <v>761</v>
      </c>
    </row>
    <row r="285" spans="1:1" ht="15.75" x14ac:dyDescent="0.25">
      <c r="A285" s="28" t="s">
        <v>828</v>
      </c>
    </row>
    <row r="286" spans="1:1" x14ac:dyDescent="0.25">
      <c r="A286" s="29" t="s">
        <v>829</v>
      </c>
    </row>
    <row r="287" spans="1:1" x14ac:dyDescent="0.25">
      <c r="A287" s="30" t="s">
        <v>776</v>
      </c>
    </row>
    <row r="288" spans="1:1" x14ac:dyDescent="0.25">
      <c r="A288" s="29" t="s">
        <v>830</v>
      </c>
    </row>
    <row r="289" spans="1:1" x14ac:dyDescent="0.25">
      <c r="A289" s="30" t="s">
        <v>655</v>
      </c>
    </row>
    <row r="290" spans="1:1" x14ac:dyDescent="0.25">
      <c r="A290" s="29" t="s">
        <v>831</v>
      </c>
    </row>
    <row r="291" spans="1:1" x14ac:dyDescent="0.25">
      <c r="A291" s="30" t="s">
        <v>672</v>
      </c>
    </row>
    <row r="292" spans="1:1" x14ac:dyDescent="0.25">
      <c r="A292" s="29" t="s">
        <v>832</v>
      </c>
    </row>
    <row r="293" spans="1:1" x14ac:dyDescent="0.25">
      <c r="A293" s="30" t="s">
        <v>646</v>
      </c>
    </row>
    <row r="294" spans="1:1" x14ac:dyDescent="0.25">
      <c r="A294" s="29" t="s">
        <v>833</v>
      </c>
    </row>
    <row r="295" spans="1:1" x14ac:dyDescent="0.25">
      <c r="A295" s="30" t="s">
        <v>834</v>
      </c>
    </row>
    <row r="296" spans="1:1" x14ac:dyDescent="0.25">
      <c r="A296" s="29" t="s">
        <v>835</v>
      </c>
    </row>
    <row r="297" spans="1:1" x14ac:dyDescent="0.25">
      <c r="A297" s="30" t="s">
        <v>655</v>
      </c>
    </row>
    <row r="298" spans="1:1" x14ac:dyDescent="0.25">
      <c r="A298" s="29" t="s">
        <v>836</v>
      </c>
    </row>
    <row r="299" spans="1:1" x14ac:dyDescent="0.25">
      <c r="A299" s="30" t="s">
        <v>672</v>
      </c>
    </row>
    <row r="300" spans="1:1" x14ac:dyDescent="0.25">
      <c r="A300" s="29" t="s">
        <v>837</v>
      </c>
    </row>
    <row r="301" spans="1:1" x14ac:dyDescent="0.25">
      <c r="A301" s="30" t="s">
        <v>838</v>
      </c>
    </row>
    <row r="302" spans="1:1" x14ac:dyDescent="0.25">
      <c r="A302" s="29" t="s">
        <v>839</v>
      </c>
    </row>
    <row r="303" spans="1:1" x14ac:dyDescent="0.25">
      <c r="A303" s="30" t="s">
        <v>840</v>
      </c>
    </row>
    <row r="304" spans="1:1" x14ac:dyDescent="0.25">
      <c r="A304" s="29" t="s">
        <v>841</v>
      </c>
    </row>
    <row r="305" spans="1:1" x14ac:dyDescent="0.25">
      <c r="A305" s="30" t="s">
        <v>646</v>
      </c>
    </row>
    <row r="306" spans="1:1" x14ac:dyDescent="0.25">
      <c r="A306" s="29" t="s">
        <v>842</v>
      </c>
    </row>
    <row r="307" spans="1:1" x14ac:dyDescent="0.25">
      <c r="A307" s="30" t="s">
        <v>672</v>
      </c>
    </row>
    <row r="308" spans="1:1" x14ac:dyDescent="0.25">
      <c r="A308" s="29" t="s">
        <v>843</v>
      </c>
    </row>
    <row r="309" spans="1:1" x14ac:dyDescent="0.25">
      <c r="A309" s="30" t="s">
        <v>646</v>
      </c>
    </row>
    <row r="310" spans="1:1" x14ac:dyDescent="0.25">
      <c r="A310" s="29" t="s">
        <v>844</v>
      </c>
    </row>
    <row r="311" spans="1:1" x14ac:dyDescent="0.25">
      <c r="A311" s="30" t="s">
        <v>646</v>
      </c>
    </row>
    <row r="312" spans="1:1" x14ac:dyDescent="0.25">
      <c r="A312" s="29" t="s">
        <v>845</v>
      </c>
    </row>
    <row r="313" spans="1:1" x14ac:dyDescent="0.25">
      <c r="A313" s="30" t="s">
        <v>646</v>
      </c>
    </row>
    <row r="314" spans="1:1" x14ac:dyDescent="0.25">
      <c r="A314" s="29" t="s">
        <v>846</v>
      </c>
    </row>
    <row r="315" spans="1:1" x14ac:dyDescent="0.25">
      <c r="A315" s="30" t="s">
        <v>653</v>
      </c>
    </row>
    <row r="316" spans="1:1" x14ac:dyDescent="0.25">
      <c r="A316" s="29" t="s">
        <v>847</v>
      </c>
    </row>
    <row r="317" spans="1:1" x14ac:dyDescent="0.25">
      <c r="A317" s="30" t="s">
        <v>655</v>
      </c>
    </row>
    <row r="318" spans="1:1" x14ac:dyDescent="0.25">
      <c r="A318" s="29" t="s">
        <v>848</v>
      </c>
    </row>
    <row r="319" spans="1:1" x14ac:dyDescent="0.25">
      <c r="A319" s="30" t="s">
        <v>672</v>
      </c>
    </row>
    <row r="320" spans="1:1" x14ac:dyDescent="0.25">
      <c r="A320" s="29" t="s">
        <v>849</v>
      </c>
    </row>
    <row r="321" spans="1:1" x14ac:dyDescent="0.25">
      <c r="A321" s="30" t="s">
        <v>850</v>
      </c>
    </row>
    <row r="322" spans="1:1" x14ac:dyDescent="0.25">
      <c r="A322" s="29" t="s">
        <v>851</v>
      </c>
    </row>
    <row r="323" spans="1:1" x14ac:dyDescent="0.25">
      <c r="A323" s="30" t="s">
        <v>672</v>
      </c>
    </row>
    <row r="324" spans="1:1" x14ac:dyDescent="0.25">
      <c r="A324" s="29" t="s">
        <v>852</v>
      </c>
    </row>
    <row r="325" spans="1:1" x14ac:dyDescent="0.25">
      <c r="A325" s="30" t="s">
        <v>646</v>
      </c>
    </row>
    <row r="326" spans="1:1" x14ac:dyDescent="0.25">
      <c r="A326" s="29" t="s">
        <v>853</v>
      </c>
    </row>
    <row r="327" spans="1:1" x14ac:dyDescent="0.25">
      <c r="A327" s="30" t="s">
        <v>646</v>
      </c>
    </row>
    <row r="328" spans="1:1" x14ac:dyDescent="0.25">
      <c r="A328" s="29" t="s">
        <v>854</v>
      </c>
    </row>
    <row r="329" spans="1:1" x14ac:dyDescent="0.25">
      <c r="A329" s="30" t="s">
        <v>672</v>
      </c>
    </row>
    <row r="330" spans="1:1" x14ac:dyDescent="0.25">
      <c r="A330" s="29" t="s">
        <v>855</v>
      </c>
    </row>
    <row r="331" spans="1:1" x14ac:dyDescent="0.25">
      <c r="A331" s="30" t="s">
        <v>856</v>
      </c>
    </row>
    <row r="332" spans="1:1" x14ac:dyDescent="0.25">
      <c r="A332" s="29" t="s">
        <v>857</v>
      </c>
    </row>
    <row r="333" spans="1:1" x14ac:dyDescent="0.25">
      <c r="A333" s="30" t="s">
        <v>655</v>
      </c>
    </row>
    <row r="334" spans="1:1" x14ac:dyDescent="0.25">
      <c r="A334" s="29" t="s">
        <v>858</v>
      </c>
    </row>
    <row r="335" spans="1:1" x14ac:dyDescent="0.25">
      <c r="A335" s="30" t="s">
        <v>646</v>
      </c>
    </row>
    <row r="336" spans="1:1" x14ac:dyDescent="0.25">
      <c r="A336" s="29" t="s">
        <v>859</v>
      </c>
    </row>
    <row r="337" spans="1:1" x14ac:dyDescent="0.25">
      <c r="A337" s="30" t="s">
        <v>672</v>
      </c>
    </row>
    <row r="338" spans="1:1" x14ac:dyDescent="0.25">
      <c r="A338" s="29" t="s">
        <v>860</v>
      </c>
    </row>
    <row r="339" spans="1:1" x14ac:dyDescent="0.25">
      <c r="A339" s="30" t="s">
        <v>672</v>
      </c>
    </row>
    <row r="340" spans="1:1" x14ac:dyDescent="0.25">
      <c r="A340" s="29" t="s">
        <v>861</v>
      </c>
    </row>
    <row r="341" spans="1:1" x14ac:dyDescent="0.25">
      <c r="A341" s="30" t="s">
        <v>646</v>
      </c>
    </row>
    <row r="342" spans="1:1" x14ac:dyDescent="0.25">
      <c r="A342" s="29" t="s">
        <v>862</v>
      </c>
    </row>
    <row r="343" spans="1:1" x14ac:dyDescent="0.25">
      <c r="A343" s="30" t="s">
        <v>672</v>
      </c>
    </row>
    <row r="344" spans="1:1" x14ac:dyDescent="0.25">
      <c r="A344" s="29" t="s">
        <v>863</v>
      </c>
    </row>
    <row r="345" spans="1:1" x14ac:dyDescent="0.25">
      <c r="A345" s="30" t="s">
        <v>646</v>
      </c>
    </row>
    <row r="346" spans="1:1" x14ac:dyDescent="0.25">
      <c r="A346" s="29" t="s">
        <v>864</v>
      </c>
    </row>
    <row r="347" spans="1:1" x14ac:dyDescent="0.25">
      <c r="A347" s="30" t="s">
        <v>834</v>
      </c>
    </row>
    <row r="348" spans="1:1" x14ac:dyDescent="0.25">
      <c r="A348" s="29" t="s">
        <v>865</v>
      </c>
    </row>
    <row r="349" spans="1:1" x14ac:dyDescent="0.25">
      <c r="A349" s="30" t="s">
        <v>655</v>
      </c>
    </row>
    <row r="350" spans="1:1" x14ac:dyDescent="0.25">
      <c r="A350" s="29" t="s">
        <v>866</v>
      </c>
    </row>
    <row r="351" spans="1:1" x14ac:dyDescent="0.25">
      <c r="A351" s="30" t="s">
        <v>672</v>
      </c>
    </row>
    <row r="352" spans="1:1" x14ac:dyDescent="0.25">
      <c r="A352" s="29" t="s">
        <v>867</v>
      </c>
    </row>
    <row r="353" spans="1:1" x14ac:dyDescent="0.25">
      <c r="A353" s="30" t="s">
        <v>672</v>
      </c>
    </row>
    <row r="354" spans="1:1" x14ac:dyDescent="0.25">
      <c r="A354" s="29" t="s">
        <v>868</v>
      </c>
    </row>
    <row r="355" spans="1:1" x14ac:dyDescent="0.25">
      <c r="A355" s="31" t="s">
        <v>646</v>
      </c>
    </row>
    <row r="356" spans="1:1" x14ac:dyDescent="0.25">
      <c r="A356" s="29" t="s">
        <v>869</v>
      </c>
    </row>
    <row r="357" spans="1:1" x14ac:dyDescent="0.25">
      <c r="A357" s="30" t="s">
        <v>646</v>
      </c>
    </row>
    <row r="358" spans="1:1" x14ac:dyDescent="0.25">
      <c r="A358" s="29" t="s">
        <v>870</v>
      </c>
    </row>
    <row r="359" spans="1:1" x14ac:dyDescent="0.25">
      <c r="A359" s="30" t="s">
        <v>646</v>
      </c>
    </row>
    <row r="360" spans="1:1" x14ac:dyDescent="0.25">
      <c r="A360" s="29" t="s">
        <v>871</v>
      </c>
    </row>
    <row r="361" spans="1:1" x14ac:dyDescent="0.25">
      <c r="A361" s="30" t="s">
        <v>776</v>
      </c>
    </row>
    <row r="362" spans="1:1" x14ac:dyDescent="0.25">
      <c r="A362" s="29" t="s">
        <v>872</v>
      </c>
    </row>
    <row r="363" spans="1:1" x14ac:dyDescent="0.25">
      <c r="A363" s="30" t="s">
        <v>850</v>
      </c>
    </row>
    <row r="364" spans="1:1" x14ac:dyDescent="0.25">
      <c r="A364" s="29" t="s">
        <v>873</v>
      </c>
    </row>
    <row r="365" spans="1:1" x14ac:dyDescent="0.25">
      <c r="A365" s="30" t="s">
        <v>672</v>
      </c>
    </row>
    <row r="366" spans="1:1" x14ac:dyDescent="0.25">
      <c r="A366" s="29" t="s">
        <v>874</v>
      </c>
    </row>
    <row r="367" spans="1:1" x14ac:dyDescent="0.25">
      <c r="A367" s="30" t="s">
        <v>672</v>
      </c>
    </row>
    <row r="368" spans="1:1" x14ac:dyDescent="0.25">
      <c r="A368" s="29" t="s">
        <v>875</v>
      </c>
    </row>
    <row r="369" spans="1:1" x14ac:dyDescent="0.25">
      <c r="A369" s="30" t="s">
        <v>646</v>
      </c>
    </row>
    <row r="370" spans="1:1" x14ac:dyDescent="0.25">
      <c r="A370" s="29" t="s">
        <v>876</v>
      </c>
    </row>
    <row r="371" spans="1:1" x14ac:dyDescent="0.25">
      <c r="A371" s="30" t="s">
        <v>646</v>
      </c>
    </row>
    <row r="372" spans="1:1" x14ac:dyDescent="0.25">
      <c r="A372" s="29" t="s">
        <v>877</v>
      </c>
    </row>
    <row r="373" spans="1:1" x14ac:dyDescent="0.25">
      <c r="A373" s="30" t="s">
        <v>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9</vt:i4>
      </vt:variant>
    </vt:vector>
  </HeadingPairs>
  <TitlesOfParts>
    <vt:vector size="9" baseType="lpstr">
      <vt:lpstr>Population and Broadband subs</vt:lpstr>
      <vt:lpstr>Pop and BB subs by market</vt:lpstr>
      <vt:lpstr>penetration and ARPU</vt:lpstr>
      <vt:lpstr>Penetration and ARPU by market</vt:lpstr>
      <vt:lpstr>starlink countries list</vt:lpstr>
      <vt:lpstr>Starlink countries with data</vt:lpstr>
      <vt:lpstr>Population vs Penetration</vt:lpstr>
      <vt:lpstr>Technology Market Share</vt:lpstr>
      <vt:lpstr>Sheet1</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Chung</dc:creator>
  <cp:keywords/>
  <dc:description/>
  <cp:lastModifiedBy>Andrew Chung</cp:lastModifiedBy>
  <dcterms:created xsi:type="dcterms:W3CDTF">2026-07-14T17:21:15Z</dcterms:created>
  <dcterms:modified xsi:type="dcterms:W3CDTF">2026-08-17T19:06:47Z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
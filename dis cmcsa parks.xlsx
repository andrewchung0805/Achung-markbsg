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FA8B0B0-E659-4CA4-9BAD-430951D46229}" xr6:coauthVersionLast="47" xr6:coauthVersionMax="47" xr10:uidLastSave="{00000000-0000-0000-0000-000000000000}"/>
  <bookViews>
    <workbookView xWindow="-108" yWindow="-108" windowWidth="23256" windowHeight="12576" activeTab="2" xr2:uid="{855AEB56-72C8-4AA4-B28F-7B690426B57F}"/>
  </bookViews>
  <sheets>
    <sheet name="DIS Experience" sheetId="2" r:id="rId1"/>
    <sheet name="CMCSA Segments" sheetId="1" r:id="rId2"/>
    <sheet name="CMCSA vs DIS Parks" sheetId="3" r:id="rId3"/>
  </sheets>
  <externalReferences>
    <externalReference r:id="rId4"/>
    <externalReference r:id="rId5"/>
  </externalReferences>
  <definedNames>
    <definedName name="__123Graph_BHISTSALES" localSheetId="0" hidden="1">#REF!</definedName>
    <definedName name="__123Graph_BHISTSALES" hidden="1">#REF!</definedName>
    <definedName name="__123Graph_LBL_BHISTSALES" localSheetId="0" hidden="1">#REF!</definedName>
    <definedName name="__123Graph_LBL_BHISTSALES" hidden="1">#REF!</definedName>
    <definedName name="__123Graph_XHISTSALES" localSheetId="0" hidden="1">#REF!</definedName>
    <definedName name="__123Graph_XHISTSALES" hidden="1">#REF!</definedName>
    <definedName name="__APW_RESTORE_DATA1__" localSheetId="0" hidden="1">#REF!</definedName>
    <definedName name="__APW_RESTORE_DATA1__" hidden="1">#REF!</definedName>
    <definedName name="__APW_RESTORE_DATA126__" localSheetId="0" hidden="1">#REF!,#REF!,#REF!,#REF!,#REF!,#REF!,#REF!,#REF!,#REF!,#REF!,#REF!,#REF!,#REF!,#REF!,#REF!,#REF!</definedName>
    <definedName name="__APW_RESTORE_DATA126__" hidden="1">#REF!,#REF!,#REF!,#REF!,#REF!,#REF!,#REF!,#REF!,#REF!,#REF!,#REF!,#REF!,#REF!,#REF!,#REF!,#REF!</definedName>
    <definedName name="__APW_RESTORE_DATA127__" localSheetId="0" hidden="1">#REF!,#REF!,#REF!,#REF!,#REF!,#REF!,#REF!,#REF!,#REF!,#REF!,#REF!,#REF!,#REF!,#REF!,#REF!,#REF!</definedName>
    <definedName name="__APW_RESTORE_DATA127__" hidden="1">#REF!,#REF!,#REF!,#REF!,#REF!,#REF!,#REF!,#REF!,#REF!,#REF!,#REF!,#REF!,#REF!,#REF!,#REF!,#REF!</definedName>
    <definedName name="__APW_RESTORE_DATA128__" localSheetId="0" hidden="1">#REF!,#REF!,#REF!,#REF!,#REF!,#REF!,#REF!,#REF!,#REF!,#REF!,#REF!,#REF!,#REF!,#REF!,#REF!,#REF!</definedName>
    <definedName name="__APW_RESTORE_DATA128__" hidden="1">#REF!,#REF!,#REF!,#REF!,#REF!,#REF!,#REF!,#REF!,#REF!,#REF!,#REF!,#REF!,#REF!,#REF!,#REF!,#REF!</definedName>
    <definedName name="__APW_RESTORE_DATA129__" localSheetId="0" hidden="1">#REF!,#REF!,#REF!,#REF!,#REF!,#REF!,#REF!,#REF!,#REF!,#REF!,#REF!,#REF!,#REF!,#REF!,#REF!,#REF!</definedName>
    <definedName name="__APW_RESTORE_DATA129__" hidden="1">#REF!,#REF!,#REF!,#REF!,#REF!,#REF!,#REF!,#REF!,#REF!,#REF!,#REF!,#REF!,#REF!,#REF!,#REF!,#REF!</definedName>
    <definedName name="__APW_RESTORE_DATA130__" localSheetId="0" hidden="1">#REF!,#REF!,#REF!,#REF!,#REF!,#REF!,#REF!,#REF!,#REF!,#REF!,#REF!,#REF!,#REF!,#REF!,#REF!,#REF!</definedName>
    <definedName name="__APW_RESTORE_DATA130__" hidden="1">#REF!,#REF!,#REF!,#REF!,#REF!,#REF!,#REF!,#REF!,#REF!,#REF!,#REF!,#REF!,#REF!,#REF!,#REF!,#REF!</definedName>
    <definedName name="__APW_RESTORE_DATA131__" localSheetId="0" hidden="1">#REF!,#REF!,#REF!,#REF!,#REF!,#REF!,#REF!,#REF!,#REF!,#REF!,#REF!,#REF!,#REF!,#REF!,#REF!,#REF!</definedName>
    <definedName name="__APW_RESTORE_DATA131__" hidden="1">#REF!,#REF!,#REF!,#REF!,#REF!,#REF!,#REF!,#REF!,#REF!,#REF!,#REF!,#REF!,#REF!,#REF!,#REF!,#REF!</definedName>
    <definedName name="__APW_RESTORE_DATA132__" localSheetId="0" hidden="1">#REF!,#REF!,#REF!,#REF!,#REF!,#REF!,#REF!,#REF!,#REF!,#REF!,#REF!,#REF!,#REF!,#REF!,#REF!</definedName>
    <definedName name="__APW_RESTORE_DATA132__" hidden="1">#REF!,#REF!,#REF!,#REF!,#REF!,#REF!,#REF!,#REF!,#REF!,#REF!,#REF!,#REF!,#REF!,#REF!,#REF!</definedName>
    <definedName name="__APW_RESTORE_DATA133__" localSheetId="0" hidden="1">#REF!,#REF!,#REF!,#REF!,#REF!,#REF!,#REF!,#REF!,#REF!,#REF!,#REF!,#REF!,#REF!,#REF!,#REF!</definedName>
    <definedName name="__APW_RESTORE_DATA133__" hidden="1">#REF!,#REF!,#REF!,#REF!,#REF!,#REF!,#REF!,#REF!,#REF!,#REF!,#REF!,#REF!,#REF!,#REF!,#REF!</definedName>
    <definedName name="__APW_RESTORE_DATA134__" localSheetId="0" hidden="1">#REF!,#REF!,#REF!,#REF!,#REF!,#REF!,#REF!,#REF!,#REF!,#REF!,#REF!,#REF!,#REF!,#REF!,#REF!</definedName>
    <definedName name="__APW_RESTORE_DATA134__" hidden="1">#REF!,#REF!,#REF!,#REF!,#REF!,#REF!,#REF!,#REF!,#REF!,#REF!,#REF!,#REF!,#REF!,#REF!,#REF!</definedName>
    <definedName name="__APW_RESTORE_DATA135__" localSheetId="0" hidden="1">#REF!</definedName>
    <definedName name="__APW_RESTORE_DATA135__" hidden="1">#REF!</definedName>
    <definedName name="__APW_RESTORE_DATA136__" localSheetId="0" hidden="1">#REF!,#REF!,#REF!,#REF!,#REF!,#REF!,#REF!,#REF!,#REF!,#REF!,#REF!,#REF!,#REF!,#REF!,#REF!,#REF!</definedName>
    <definedName name="__APW_RESTORE_DATA136__" hidden="1">#REF!,#REF!,#REF!,#REF!,#REF!,#REF!,#REF!,#REF!,#REF!,#REF!,#REF!,#REF!,#REF!,#REF!,#REF!,#REF!</definedName>
    <definedName name="__APW_RESTORE_DATA137__" localSheetId="0" hidden="1">#REF!,#REF!,#REF!,#REF!,#REF!,#REF!,#REF!,#REF!,#REF!,#REF!,#REF!,#REF!,#REF!,#REF!,#REF!,#REF!</definedName>
    <definedName name="__APW_RESTORE_DATA137__" hidden="1">#REF!,#REF!,#REF!,#REF!,#REF!,#REF!,#REF!,#REF!,#REF!,#REF!,#REF!,#REF!,#REF!,#REF!,#REF!,#REF!</definedName>
    <definedName name="__APW_RESTORE_DATA138__" localSheetId="0" hidden="1">#REF!,#REF!,#REF!,#REF!,#REF!,#REF!,#REF!,#REF!,#REF!,#REF!,#REF!,#REF!,#REF!,#REF!,#REF!,#REF!</definedName>
    <definedName name="__APW_RESTORE_DATA138__" hidden="1">#REF!,#REF!,#REF!,#REF!,#REF!,#REF!,#REF!,#REF!,#REF!,#REF!,#REF!,#REF!,#REF!,#REF!,#REF!,#REF!</definedName>
    <definedName name="__APW_RESTORE_DATA139__" localSheetId="0" hidden="1">#REF!,#REF!,#REF!,#REF!,#REF!,#REF!,#REF!,#REF!,#REF!,#REF!,#REF!,#REF!,#REF!,#REF!,#REF!,#REF!</definedName>
    <definedName name="__APW_RESTORE_DATA139__" hidden="1">#REF!,#REF!,#REF!,#REF!,#REF!,#REF!,#REF!,#REF!,#REF!,#REF!,#REF!,#REF!,#REF!,#REF!,#REF!,#REF!</definedName>
    <definedName name="__APW_RESTORE_DATA140__" localSheetId="0" hidden="1">#REF!,#REF!,#REF!,#REF!,#REF!,#REF!,#REF!,#REF!,#REF!,#REF!,#REF!,#REF!,#REF!,#REF!,#REF!,#REF!</definedName>
    <definedName name="__APW_RESTORE_DATA140__" hidden="1">#REF!,#REF!,#REF!,#REF!,#REF!,#REF!,#REF!,#REF!,#REF!,#REF!,#REF!,#REF!,#REF!,#REF!,#REF!,#REF!</definedName>
    <definedName name="__APW_RESTORE_DATA141__" localSheetId="0" hidden="1">#REF!,#REF!,#REF!,#REF!,#REF!,#REF!,#REF!,#REF!,#REF!,#REF!,#REF!,#REF!,#REF!,#REF!,#REF!,#REF!</definedName>
    <definedName name="__APW_RESTORE_DATA141__" hidden="1">#REF!,#REF!,#REF!,#REF!,#REF!,#REF!,#REF!,#REF!,#REF!,#REF!,#REF!,#REF!,#REF!,#REF!,#REF!,#REF!</definedName>
    <definedName name="__APW_RESTORE_DATA142__" localSheetId="0" hidden="1">#REF!,#REF!,#REF!,#REF!,#REF!,#REF!,#REF!,#REF!,#REF!,#REF!,#REF!,#REF!,#REF!,#REF!,#REF!</definedName>
    <definedName name="__APW_RESTORE_DATA142__" hidden="1">#REF!,#REF!,#REF!,#REF!,#REF!,#REF!,#REF!,#REF!,#REF!,#REF!,#REF!,#REF!,#REF!,#REF!,#REF!</definedName>
    <definedName name="__APW_RESTORE_DATA143__" localSheetId="0" hidden="1">#REF!,#REF!,#REF!,#REF!,#REF!,#REF!,#REF!,#REF!,#REF!,#REF!,#REF!,#REF!,#REF!,#REF!,#REF!</definedName>
    <definedName name="__APW_RESTORE_DATA143__" hidden="1">#REF!,#REF!,#REF!,#REF!,#REF!,#REF!,#REF!,#REF!,#REF!,#REF!,#REF!,#REF!,#REF!,#REF!,#REF!</definedName>
    <definedName name="__APW_RESTORE_DATA144__" localSheetId="0" hidden="1">#REF!,#REF!,#REF!,#REF!,#REF!,#REF!,#REF!,#REF!,#REF!,#REF!,#REF!,#REF!,#REF!,#REF!,#REF!</definedName>
    <definedName name="__APW_RESTORE_DATA144__" hidden="1">#REF!,#REF!,#REF!,#REF!,#REF!,#REF!,#REF!,#REF!,#REF!,#REF!,#REF!,#REF!,#REF!,#REF!,#REF!</definedName>
    <definedName name="__APW_RESTORE_DATA145__" localSheetId="0" hidden="1">#REF!</definedName>
    <definedName name="__APW_RESTORE_DATA145__" hidden="1">#REF!</definedName>
    <definedName name="__APW_RESTORE_DATA2__" localSheetId="0" hidden="1">#REF!</definedName>
    <definedName name="__APW_RESTORE_DATA2__" hidden="1">#REF!</definedName>
    <definedName name="__FDS_HYPERLINK_TOGGLE_STATE__" hidden="1">"ON"</definedName>
    <definedName name="__FDS_UNIQUE_RANGE_ID_GENERATOR_COUNTER">1</definedName>
    <definedName name="_bdm.36490b912bef4697b11e6aa31a3dc78d.edm" localSheetId="0" hidden="1">#REF!</definedName>
    <definedName name="_bdm.36490b912bef4697b11e6aa31a3dc78d.edm" hidden="1">#REF!</definedName>
    <definedName name="_bdm.6c4611c799e7439ca2d37fa8d1e02633.edm" localSheetId="0" hidden="1">#REF!</definedName>
    <definedName name="_bdm.6c4611c799e7439ca2d37fa8d1e02633.edm" hidden="1">#REF!</definedName>
    <definedName name="_bdm.7af948c1737749ba8c767789e2793a3d.edm" localSheetId="0" hidden="1">#REF!</definedName>
    <definedName name="_bdm.7af948c1737749ba8c767789e2793a3d.edm" hidden="1">#REF!</definedName>
    <definedName name="_bdm.a095f95abc20418f87caa7a4e46b033a.edm" localSheetId="0" hidden="1">#REF!</definedName>
    <definedName name="_bdm.a095f95abc20418f87caa7a4e46b033a.edm" hidden="1">#REF!</definedName>
    <definedName name="_bdm.a6f4ca0dd0bf4916b572150fe5d640aa.edm" localSheetId="0" hidden="1">#REF!</definedName>
    <definedName name="_bdm.a6f4ca0dd0bf4916b572150fe5d640aa.edm" hidden="1">#REF!</definedName>
    <definedName name="_bdm.d68d496c80ac4628a5af8ca636dc5327.edm" localSheetId="0" hidden="1">#REF!</definedName>
    <definedName name="_bdm.d68d496c80ac4628a5af8ca636dc5327.edm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nscount" hidden="1">1</definedName>
    <definedName name="AS2DocOpenMode" hidden="1">"AS2DocumentEdit"</definedName>
    <definedName name="AS2NamedRange" hidden="1">3</definedName>
    <definedName name="BLPH1" localSheetId="0" hidden="1">#REF!</definedName>
    <definedName name="BLPH1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#REF!</definedName>
    <definedName name="BLPH4" hidden="1">#REF!</definedName>
    <definedName name="BLPH5" localSheetId="0" hidden="1">#REF!</definedName>
    <definedName name="BLPH5" hidden="1">#REF!</definedName>
    <definedName name="chargeoff" localSheetId="0" hidden="1">{"FTSE100","COMPANIES",TRUE}</definedName>
    <definedName name="chargeoff" hidden="1">{"FTSE100","COMPANIES",TRUE}</definedName>
    <definedName name="CIQWBGuid" hidden="1">"a40bbe62-36c2-4aed-981f-f02b58ff5aa8"</definedName>
    <definedName name="dsaf" localSheetId="0" hidden="1">{"one",#N/A,FALSE,"cf";"two",#N/A,FALSE,"cf"}</definedName>
    <definedName name="dsaf" hidden="1">{"one",#N/A,FALSE,"cf";"two",#N/A,FALSE,"cf"}</definedName>
    <definedName name="ef" localSheetId="0" hidden="1">{#N/A,#N/A,FALSE,"Aging Summary";#N/A,#N/A,FALSE,"Ratio Analysis";#N/A,#N/A,FALSE,"Test 120 Day Accts";#N/A,#N/A,FALSE,"Tickmarks"}</definedName>
    <definedName name="ef" hidden="1">{#N/A,#N/A,FALSE,"Aging Summary";#N/A,#N/A,FALSE,"Ratio Analysis";#N/A,#N/A,FALSE,"Test 120 Day Accts";#N/A,#N/A,FALSE,"Tickmarks"}</definedName>
    <definedName name="esnrc100c1_values" localSheetId="0" hidden="1">{"FTSE100","COMPANIES",TRUE}</definedName>
    <definedName name="esnrc100c1_values" hidden="1">{"FTSE100","COMPANIES",TRUE}</definedName>
    <definedName name="esnrc33c1_values" localSheetId="0" hidden="1">{"EUMOT","COMPANIES",TRUE}</definedName>
    <definedName name="esnrc33c1_values" hidden="1">{"EUMOT","COMPANIES",TRUE}</definedName>
    <definedName name="esnrc56c1_values" localSheetId="0" hidden="1">{"ASCONGRP","COMPANIES",TRUE}</definedName>
    <definedName name="esnrc56c1_values" hidden="1">{"ASCONGRP","COMPANIES",TRUE}</definedName>
    <definedName name="esnrc63c1_values" localSheetId="0" hidden="1">{"EUUTIGRP","COMPANIES",TRUE}</definedName>
    <definedName name="esnrc63c1_values" hidden="1">{"EUUTIGRP","COMPANIES",TRUE}</definedName>
    <definedName name="esnrc91c1_values" localSheetId="0" hidden="1">{"EUUTI","COMPANIES",TRUE}</definedName>
    <definedName name="esnrc91c1_values" hidden="1">{"EUUTI","COMPANIES",TRUE}</definedName>
    <definedName name="HTML_CodePage" hidden="1">1252</definedName>
    <definedName name="HTML_Control" localSheetId="0" hidden="1">{"'2.1'!$E$2:$O$37"}</definedName>
    <definedName name="HTML_Control" hidden="1">{"'2.1'!$E$2:$O$37"}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"G:\framemaker\PubHTML\worldcellular99\charts\2_1.htm"</definedName>
    <definedName name="HTML_Title" hidden="1">"Chapter 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ASH_OPER_ACT_OR_EST" hidden="1">"c4164"</definedName>
    <definedName name="IQ_CCE_FDIC" hidden="1">"c6296"</definedName>
    <definedName name="IQ_CH" hidden="1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AINT_CAPEX_ACT_OR_EST" hidden="1">"c4458"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42450.610625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NED55" hidden="1">1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IQB_BOOKMARK_COUNT" hidden="1">1</definedName>
    <definedName name="IQRC35" hidden="1">"$C$36:$C$45"</definedName>
    <definedName name="is" localSheetId="0">#REF!</definedName>
    <definedName name="is">#REF!</definedName>
    <definedName name="limcount" hidden="1">1</definedName>
    <definedName name="new_name" localSheetId="0" hidden="1">{#N/A,#N/A,FALSE,"Aging Summary";#N/A,#N/A,FALSE,"Ratio Analysis";#N/A,#N/A,FALSE,"Test 120 Day Accts";#N/A,#N/A,FALSE,"Tickmarks"}</definedName>
    <definedName name="new_name" hidden="1">{#N/A,#N/A,FALSE,"Aging Summary";#N/A,#N/A,FALSE,"Ratio Analysis";#N/A,#N/A,FALSE,"Test 120 Day Accts";#N/A,#N/A,FALSE,"Tickmarks"}</definedName>
    <definedName name="sdfa" localSheetId="0" hidden="1">{"FTSE100","COMPANIES",TRUE}</definedName>
    <definedName name="sdfa" hidden="1">{"FTSE100","COMPANIES",TRUE}</definedName>
    <definedName name="sencount" hidden="1">5</definedName>
    <definedName name="sencount2" hidden="1">2</definedName>
    <definedName name="sh" localSheetId="0">#REF!</definedName>
    <definedName name="sh">#REF!</definedName>
    <definedName name="solver_adj" localSheetId="0" hidden="1">#REF!</definedName>
    <definedName name="solver_adj" hidden="1">#REF!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3</definedName>
    <definedName name="solver_val" hidden="1">49</definedName>
    <definedName name="test2" localSheetId="0" hidden="1">#REF!</definedName>
    <definedName name="test2" hidden="1">#REF!</definedName>
    <definedName name="test3" localSheetId="0" hidden="1">{"EUMOT","COMPANIES",TRUE}</definedName>
    <definedName name="test3" hidden="1">{"EUMOT","COMPANIES",TRUE}</definedName>
    <definedName name="test4" localSheetId="0" hidden="1">{"ASCONGRP","COMPANIES",TRUE}</definedName>
    <definedName name="test4" hidden="1">{"ASCONGRP","COMPANIES",TRUE}</definedName>
    <definedName name="test5" localSheetId="0" hidden="1">{"EUUTIGRP","COMPANIES",TRUE}</definedName>
    <definedName name="test5" hidden="1">{"EUUTIGRP","COMPANIES",TRUE}</definedName>
    <definedName name="test6" localSheetId="0" hidden="1">{"EUUTI","COMPANIES",TRUE}</definedName>
    <definedName name="test6" hidden="1">{"EUUTI","COMPANIES",TRUE}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cf." localSheetId="0" hidden="1">{"one",#N/A,FALSE,"cf";"two",#N/A,FALSE,"cf"}</definedName>
    <definedName name="wrn.cf." hidden="1">{"one",#N/A,FALSE,"cf";"two",#N/A,FALSE,"cf"}</definedName>
    <definedName name="wrn.euro." localSheetId="0" hidden="1">{#N/A,#N/A,FALSE,"Austria"}</definedName>
    <definedName name="wrn.euro." hidden="1">{#N/A,#N/A,FALSE,"Austria"}</definedName>
    <definedName name="zz" localSheetId="0" hidden="1">{"'MObitel Pricing'!$B$2:$G$12","'MObitel Pricing'!$G$15"}</definedName>
    <definedName name="zz" hidden="1">{"'MObitel Pricing'!$B$2:$G$12","'MObitel Pricing'!$G$15"}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D13" i="3"/>
  <c r="G13" i="3"/>
  <c r="H13" i="3"/>
  <c r="J13" i="3"/>
  <c r="K13" i="3"/>
  <c r="L13" i="3"/>
  <c r="P18" i="3"/>
  <c r="O18" i="3"/>
  <c r="N18" i="3"/>
  <c r="L18" i="3"/>
  <c r="K18" i="3"/>
  <c r="H18" i="3"/>
  <c r="G18" i="3"/>
  <c r="P17" i="3"/>
  <c r="O17" i="3"/>
  <c r="N17" i="3"/>
  <c r="L17" i="3"/>
  <c r="K17" i="3"/>
  <c r="H17" i="3"/>
  <c r="G17" i="3"/>
  <c r="M16" i="3"/>
  <c r="L16" i="3"/>
  <c r="K16" i="3"/>
  <c r="J16" i="3"/>
  <c r="I16" i="3"/>
  <c r="H16" i="3"/>
  <c r="G16" i="3"/>
  <c r="L12" i="3"/>
  <c r="K12" i="3"/>
  <c r="J12" i="3"/>
  <c r="H12" i="3"/>
  <c r="G12" i="3"/>
  <c r="D12" i="3"/>
  <c r="C12" i="3"/>
  <c r="P8" i="3"/>
  <c r="O8" i="3"/>
  <c r="N8" i="3"/>
  <c r="L8" i="3"/>
  <c r="K8" i="3"/>
  <c r="J8" i="3"/>
  <c r="H8" i="3"/>
  <c r="G8" i="3"/>
  <c r="D8" i="3"/>
  <c r="D14" i="3" s="1"/>
  <c r="C8" i="3"/>
  <c r="C14" i="3" s="1"/>
  <c r="F16" i="3"/>
  <c r="Q10" i="3"/>
  <c r="M10" i="3"/>
  <c r="I10" i="3"/>
  <c r="F10" i="3"/>
  <c r="E10" i="3"/>
  <c r="B10" i="3"/>
  <c r="Q9" i="3"/>
  <c r="M9" i="3"/>
  <c r="I9" i="3"/>
  <c r="F9" i="3"/>
  <c r="E9" i="3"/>
  <c r="B9" i="3"/>
  <c r="Q7" i="3"/>
  <c r="M7" i="3"/>
  <c r="I7" i="3"/>
  <c r="F7" i="3"/>
  <c r="E7" i="3"/>
  <c r="B7" i="3"/>
  <c r="Q6" i="3"/>
  <c r="M6" i="3"/>
  <c r="I6" i="3"/>
  <c r="F6" i="3"/>
  <c r="E6" i="3"/>
  <c r="E12" i="3" s="1"/>
  <c r="B6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V13" i="3" s="1"/>
  <c r="U5" i="3"/>
  <c r="U13" i="3" s="1"/>
  <c r="T5" i="3"/>
  <c r="T13" i="3" s="1"/>
  <c r="S5" i="3"/>
  <c r="S13" i="3" s="1"/>
  <c r="R5" i="3"/>
  <c r="R13" i="3" s="1"/>
  <c r="Q5" i="3"/>
  <c r="P5" i="3"/>
  <c r="O5" i="3"/>
  <c r="N5" i="3"/>
  <c r="S75" i="2"/>
  <c r="R75" i="2"/>
  <c r="P75" i="2"/>
  <c r="O75" i="2"/>
  <c r="N75" i="2"/>
  <c r="L75" i="2"/>
  <c r="K75" i="2"/>
  <c r="J75" i="2"/>
  <c r="H75" i="2"/>
  <c r="G75" i="2"/>
  <c r="F75" i="2"/>
  <c r="E75" i="2"/>
  <c r="D75" i="2"/>
  <c r="C75" i="2"/>
  <c r="B75" i="2"/>
  <c r="S74" i="2"/>
  <c r="R74" i="2"/>
  <c r="P74" i="2"/>
  <c r="O74" i="2"/>
  <c r="N74" i="2"/>
  <c r="L74" i="2"/>
  <c r="K74" i="2"/>
  <c r="J74" i="2"/>
  <c r="H74" i="2"/>
  <c r="G74" i="2"/>
  <c r="F74" i="2"/>
  <c r="E74" i="2"/>
  <c r="D74" i="2"/>
  <c r="C74" i="2"/>
  <c r="B74" i="2"/>
  <c r="S73" i="2"/>
  <c r="R73" i="2"/>
  <c r="P73" i="2"/>
  <c r="O73" i="2"/>
  <c r="N73" i="2"/>
  <c r="L73" i="2"/>
  <c r="K73" i="2"/>
  <c r="J73" i="2"/>
  <c r="H73" i="2"/>
  <c r="G73" i="2"/>
  <c r="F73" i="2"/>
  <c r="E73" i="2"/>
  <c r="D73" i="2"/>
  <c r="C73" i="2"/>
  <c r="B73" i="2"/>
  <c r="S72" i="2"/>
  <c r="R72" i="2"/>
  <c r="P72" i="2"/>
  <c r="O72" i="2"/>
  <c r="N72" i="2"/>
  <c r="L72" i="2"/>
  <c r="K72" i="2"/>
  <c r="J72" i="2"/>
  <c r="H72" i="2"/>
  <c r="G72" i="2"/>
  <c r="F72" i="2"/>
  <c r="E72" i="2"/>
  <c r="D72" i="2"/>
  <c r="C72" i="2"/>
  <c r="B72" i="2"/>
  <c r="R66" i="2"/>
  <c r="Y62" i="2"/>
  <c r="X62" i="2"/>
  <c r="W62" i="2"/>
  <c r="V62" i="2"/>
  <c r="U62" i="2"/>
  <c r="T62" i="2"/>
  <c r="S62" i="2"/>
  <c r="R62" i="2"/>
  <c r="Q62" i="2"/>
  <c r="P62" i="2"/>
  <c r="O62" i="2"/>
  <c r="V58" i="2"/>
  <c r="W58" i="2" s="1"/>
  <c r="X58" i="2" s="1"/>
  <c r="AE55" i="2"/>
  <c r="AD55" i="2"/>
  <c r="AC55" i="2"/>
  <c r="S55" i="2"/>
  <c r="R55" i="2"/>
  <c r="P55" i="2"/>
  <c r="O55" i="2"/>
  <c r="N55" i="2"/>
  <c r="M55" i="2"/>
  <c r="L55" i="2"/>
  <c r="K55" i="2"/>
  <c r="J55" i="2"/>
  <c r="I55" i="2"/>
  <c r="H55" i="2"/>
  <c r="G55" i="2"/>
  <c r="E55" i="2"/>
  <c r="D55" i="2"/>
  <c r="C55" i="2"/>
  <c r="B55" i="2"/>
  <c r="AE54" i="2"/>
  <c r="AD54" i="2"/>
  <c r="AC54" i="2"/>
  <c r="S54" i="2"/>
  <c r="R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E53" i="2"/>
  <c r="AD53" i="2"/>
  <c r="AC53" i="2"/>
  <c r="S53" i="2"/>
  <c r="R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E49" i="2"/>
  <c r="AD49" i="2"/>
  <c r="AC49" i="2"/>
  <c r="S49" i="2"/>
  <c r="R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E48" i="2"/>
  <c r="AD48" i="2"/>
  <c r="AC48" i="2"/>
  <c r="S48" i="2"/>
  <c r="R48" i="2"/>
  <c r="P48" i="2"/>
  <c r="O48" i="2"/>
  <c r="N48" i="2"/>
  <c r="M48" i="2"/>
  <c r="L48" i="2"/>
  <c r="K48" i="2"/>
  <c r="J48" i="2"/>
  <c r="H48" i="2"/>
  <c r="G48" i="2"/>
  <c r="F48" i="2"/>
  <c r="E48" i="2"/>
  <c r="D48" i="2"/>
  <c r="C48" i="2"/>
  <c r="B48" i="2"/>
  <c r="AE47" i="2"/>
  <c r="AD47" i="2"/>
  <c r="AC47" i="2"/>
  <c r="S47" i="2"/>
  <c r="R47" i="2"/>
  <c r="P47" i="2"/>
  <c r="O47" i="2"/>
  <c r="N47" i="2"/>
  <c r="M47" i="2"/>
  <c r="L47" i="2"/>
  <c r="K47" i="2"/>
  <c r="J47" i="2"/>
  <c r="H47" i="2"/>
  <c r="G47" i="2"/>
  <c r="F47" i="2"/>
  <c r="E47" i="2"/>
  <c r="D47" i="2"/>
  <c r="C47" i="2"/>
  <c r="B47" i="2"/>
  <c r="V21" i="2"/>
  <c r="W21" i="2" s="1"/>
  <c r="X21" i="2" s="1"/>
  <c r="AE12" i="2"/>
  <c r="AD12" i="2"/>
  <c r="AC12" i="2"/>
  <c r="P12" i="2"/>
  <c r="O12" i="2"/>
  <c r="N12" i="2"/>
  <c r="L12" i="2"/>
  <c r="K12" i="2"/>
  <c r="J12" i="2"/>
  <c r="H12" i="2"/>
  <c r="G12" i="2"/>
  <c r="F12" i="2"/>
  <c r="E12" i="2"/>
  <c r="D12" i="2"/>
  <c r="C12" i="2"/>
  <c r="B12" i="2"/>
  <c r="AE11" i="2"/>
  <c r="AD11" i="2"/>
  <c r="AC11" i="2"/>
  <c r="S11" i="2"/>
  <c r="R11" i="2"/>
  <c r="P11" i="2"/>
  <c r="O11" i="2"/>
  <c r="N11" i="2"/>
  <c r="L11" i="2"/>
  <c r="K11" i="2"/>
  <c r="J11" i="2"/>
  <c r="H11" i="2"/>
  <c r="G11" i="2"/>
  <c r="F11" i="2"/>
  <c r="E11" i="2"/>
  <c r="D11" i="2"/>
  <c r="C11" i="2"/>
  <c r="B11" i="2"/>
  <c r="AE10" i="2"/>
  <c r="AD10" i="2"/>
  <c r="AC10" i="2"/>
  <c r="S10" i="2"/>
  <c r="R10" i="2"/>
  <c r="P10" i="2"/>
  <c r="O10" i="2"/>
  <c r="N10" i="2"/>
  <c r="L10" i="2"/>
  <c r="K10" i="2"/>
  <c r="J10" i="2"/>
  <c r="H10" i="2"/>
  <c r="G10" i="2"/>
  <c r="F10" i="2"/>
  <c r="E10" i="2"/>
  <c r="D10" i="2"/>
  <c r="C10" i="2"/>
  <c r="B10" i="2"/>
  <c r="AE9" i="2"/>
  <c r="AD9" i="2"/>
  <c r="AC9" i="2"/>
  <c r="S9" i="2"/>
  <c r="R9" i="2"/>
  <c r="P9" i="2"/>
  <c r="O9" i="2"/>
  <c r="N9" i="2"/>
  <c r="L9" i="2"/>
  <c r="K9" i="2"/>
  <c r="J9" i="2"/>
  <c r="H9" i="2"/>
  <c r="G9" i="2"/>
  <c r="F9" i="2"/>
  <c r="E9" i="2"/>
  <c r="D9" i="2"/>
  <c r="C9" i="2"/>
  <c r="B9" i="2"/>
  <c r="AE7" i="2"/>
  <c r="AD7" i="2"/>
  <c r="AC7" i="2"/>
  <c r="S7" i="2"/>
  <c r="R7" i="2"/>
  <c r="P7" i="2"/>
  <c r="O7" i="2"/>
  <c r="N7" i="2"/>
  <c r="L7" i="2"/>
  <c r="K7" i="2"/>
  <c r="J7" i="2"/>
  <c r="H7" i="2"/>
  <c r="G7" i="2"/>
  <c r="F7" i="2"/>
  <c r="E7" i="2"/>
  <c r="D7" i="2"/>
  <c r="C7" i="2"/>
  <c r="B7" i="2"/>
  <c r="AE6" i="2"/>
  <c r="AD6" i="2"/>
  <c r="AC6" i="2"/>
  <c r="S6" i="2"/>
  <c r="AI9" i="3" s="1"/>
  <c r="R6" i="2"/>
  <c r="AH9" i="3" s="1"/>
  <c r="P6" i="2"/>
  <c r="AF9" i="3" s="1"/>
  <c r="O6" i="2"/>
  <c r="AE9" i="3" s="1"/>
  <c r="N6" i="2"/>
  <c r="AD9" i="3" s="1"/>
  <c r="L6" i="2"/>
  <c r="AB9" i="3" s="1"/>
  <c r="K6" i="2"/>
  <c r="AA9" i="3" s="1"/>
  <c r="J6" i="2"/>
  <c r="Z9" i="3" s="1"/>
  <c r="H6" i="2"/>
  <c r="X9" i="3" s="1"/>
  <c r="G6" i="2"/>
  <c r="W9" i="3" s="1"/>
  <c r="F6" i="2"/>
  <c r="V9" i="3" s="1"/>
  <c r="E6" i="2"/>
  <c r="U9" i="3" s="1"/>
  <c r="D6" i="2"/>
  <c r="T9" i="3" s="1"/>
  <c r="C6" i="2"/>
  <c r="S9" i="3" s="1"/>
  <c r="B6" i="2"/>
  <c r="R9" i="3" s="1"/>
  <c r="AE5" i="2"/>
  <c r="AD5" i="2"/>
  <c r="AC5" i="2"/>
  <c r="S5" i="2"/>
  <c r="AI7" i="3" s="1"/>
  <c r="R5" i="2"/>
  <c r="AH7" i="3" s="1"/>
  <c r="P5" i="2"/>
  <c r="AF7" i="3" s="1"/>
  <c r="O5" i="2"/>
  <c r="AE7" i="3" s="1"/>
  <c r="N5" i="2"/>
  <c r="AD7" i="3" s="1"/>
  <c r="L5" i="2"/>
  <c r="AB7" i="3" s="1"/>
  <c r="K5" i="2"/>
  <c r="AA7" i="3" s="1"/>
  <c r="J5" i="2"/>
  <c r="Z7" i="3" s="1"/>
  <c r="H5" i="2"/>
  <c r="X7" i="3" s="1"/>
  <c r="G5" i="2"/>
  <c r="W7" i="3" s="1"/>
  <c r="F5" i="2"/>
  <c r="V7" i="3" s="1"/>
  <c r="E5" i="2"/>
  <c r="U7" i="3" s="1"/>
  <c r="D5" i="2"/>
  <c r="T7" i="3" s="1"/>
  <c r="T18" i="3" s="1"/>
  <c r="C5" i="2"/>
  <c r="S7" i="3" s="1"/>
  <c r="S18" i="3" s="1"/>
  <c r="B5" i="2"/>
  <c r="R7" i="3" s="1"/>
  <c r="R18" i="3" s="1"/>
  <c r="AE4" i="2"/>
  <c r="AD4" i="2"/>
  <c r="AC4" i="2"/>
  <c r="S4" i="2"/>
  <c r="R4" i="2"/>
  <c r="P4" i="2"/>
  <c r="O4" i="2"/>
  <c r="N4" i="2"/>
  <c r="N57" i="2" s="1"/>
  <c r="L4" i="2"/>
  <c r="L57" i="2" s="1"/>
  <c r="K4" i="2"/>
  <c r="K57" i="2" s="1"/>
  <c r="J4" i="2"/>
  <c r="J57" i="2" s="1"/>
  <c r="H4" i="2"/>
  <c r="H57" i="2" s="1"/>
  <c r="G4" i="2"/>
  <c r="G57" i="2" s="1"/>
  <c r="F4" i="2"/>
  <c r="F57" i="2" s="1"/>
  <c r="E4" i="2"/>
  <c r="E57" i="2" s="1"/>
  <c r="E63" i="2" s="1"/>
  <c r="D4" i="2"/>
  <c r="D57" i="2" s="1"/>
  <c r="D63" i="2" s="1"/>
  <c r="C4" i="2"/>
  <c r="C57" i="2" s="1"/>
  <c r="C63" i="2" s="1"/>
  <c r="B4" i="2"/>
  <c r="B57" i="2" s="1"/>
  <c r="AE3" i="2"/>
  <c r="AD3" i="2"/>
  <c r="AC3" i="2"/>
  <c r="S3" i="2"/>
  <c r="AI6" i="3" s="1"/>
  <c r="R3" i="2"/>
  <c r="AH6" i="3" s="1"/>
  <c r="P3" i="2"/>
  <c r="AF6" i="3" s="1"/>
  <c r="O3" i="2"/>
  <c r="AE6" i="3" s="1"/>
  <c r="N3" i="2"/>
  <c r="AD6" i="3" s="1"/>
  <c r="L3" i="2"/>
  <c r="AB6" i="3" s="1"/>
  <c r="K3" i="2"/>
  <c r="AA6" i="3" s="1"/>
  <c r="J3" i="2"/>
  <c r="Z6" i="3" s="1"/>
  <c r="H3" i="2"/>
  <c r="X6" i="3" s="1"/>
  <c r="G3" i="2"/>
  <c r="W6" i="3" s="1"/>
  <c r="F3" i="2"/>
  <c r="V6" i="3" s="1"/>
  <c r="E3" i="2"/>
  <c r="U6" i="3" s="1"/>
  <c r="D3" i="2"/>
  <c r="T6" i="3" s="1"/>
  <c r="C3" i="2"/>
  <c r="S6" i="3" s="1"/>
  <c r="S17" i="3" s="1"/>
  <c r="B3" i="2"/>
  <c r="R6" i="3" s="1"/>
  <c r="R17" i="3" s="1"/>
  <c r="Y1" i="2"/>
  <c r="X1" i="2"/>
  <c r="W1" i="2"/>
  <c r="V1" i="2"/>
  <c r="M1" i="2"/>
  <c r="L1" i="2"/>
  <c r="K1" i="2"/>
  <c r="O1" i="2" s="1"/>
  <c r="J1" i="2"/>
  <c r="N1" i="2" s="1"/>
  <c r="AD386" i="1"/>
  <c r="AC386" i="1"/>
  <c r="AB386" i="1"/>
  <c r="AA386" i="1"/>
  <c r="Q386" i="1"/>
  <c r="P386" i="1"/>
  <c r="O386" i="1"/>
  <c r="M386" i="1"/>
  <c r="N386" i="1" s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S370" i="1"/>
  <c r="R370" i="1"/>
  <c r="X369" i="1"/>
  <c r="W369" i="1"/>
  <c r="V369" i="1"/>
  <c r="U369" i="1"/>
  <c r="T369" i="1"/>
  <c r="R369" i="1"/>
  <c r="V368" i="1"/>
  <c r="U368" i="1"/>
  <c r="T368" i="1"/>
  <c r="S368" i="1"/>
  <c r="R368" i="1"/>
  <c r="Q368" i="1"/>
  <c r="P368" i="1"/>
  <c r="O368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X331" i="1"/>
  <c r="X370" i="1" s="1"/>
  <c r="W331" i="1"/>
  <c r="W370" i="1" s="1"/>
  <c r="V331" i="1"/>
  <c r="V370" i="1" s="1"/>
  <c r="U331" i="1"/>
  <c r="U370" i="1" s="1"/>
  <c r="T331" i="1"/>
  <c r="T370" i="1" s="1"/>
  <c r="Q331" i="1"/>
  <c r="Q370" i="1" s="1"/>
  <c r="P331" i="1"/>
  <c r="P370" i="1" s="1"/>
  <c r="O331" i="1"/>
  <c r="O370" i="1" s="1"/>
  <c r="N331" i="1"/>
  <c r="N370" i="1" s="1"/>
  <c r="M331" i="1"/>
  <c r="M370" i="1" s="1"/>
  <c r="L331" i="1"/>
  <c r="L370" i="1" s="1"/>
  <c r="K331" i="1"/>
  <c r="K370" i="1" s="1"/>
  <c r="J331" i="1"/>
  <c r="J370" i="1" s="1"/>
  <c r="I331" i="1"/>
  <c r="I370" i="1" s="1"/>
  <c r="H331" i="1"/>
  <c r="H370" i="1" s="1"/>
  <c r="G331" i="1"/>
  <c r="G370" i="1" s="1"/>
  <c r="F331" i="1"/>
  <c r="F370" i="1" s="1"/>
  <c r="E331" i="1"/>
  <c r="E370" i="1" s="1"/>
  <c r="D331" i="1"/>
  <c r="D370" i="1" s="1"/>
  <c r="C331" i="1"/>
  <c r="C370" i="1" s="1"/>
  <c r="X320" i="1"/>
  <c r="W320" i="1"/>
  <c r="V320" i="1"/>
  <c r="U320" i="1"/>
  <c r="T320" i="1"/>
  <c r="S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R286" i="1"/>
  <c r="Q286" i="1"/>
  <c r="P286" i="1"/>
  <c r="O286" i="1"/>
  <c r="P289" i="1" s="1"/>
  <c r="N286" i="1"/>
  <c r="O289" i="1" s="1"/>
  <c r="M286" i="1"/>
  <c r="L286" i="1"/>
  <c r="M289" i="1" s="1"/>
  <c r="K286" i="1"/>
  <c r="J286" i="1"/>
  <c r="K289" i="1" s="1"/>
  <c r="I286" i="1"/>
  <c r="H286" i="1"/>
  <c r="G286" i="1"/>
  <c r="H289" i="1" s="1"/>
  <c r="F286" i="1"/>
  <c r="G289" i="1" s="1"/>
  <c r="E286" i="1"/>
  <c r="F289" i="1" s="1"/>
  <c r="D286" i="1"/>
  <c r="E289" i="1" s="1"/>
  <c r="C286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AD250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AD246" i="1"/>
  <c r="X201" i="1"/>
  <c r="W201" i="1"/>
  <c r="L201" i="1"/>
  <c r="K201" i="1"/>
  <c r="J201" i="1"/>
  <c r="I201" i="1"/>
  <c r="H201" i="1"/>
  <c r="G201" i="1"/>
  <c r="F201" i="1"/>
  <c r="E201" i="1"/>
  <c r="D201" i="1"/>
  <c r="C201" i="1"/>
  <c r="L192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V173" i="1"/>
  <c r="U173" i="1"/>
  <c r="T173" i="1"/>
  <c r="S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V167" i="1"/>
  <c r="U167" i="1"/>
  <c r="T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V162" i="1"/>
  <c r="U162" i="1"/>
  <c r="T162" i="1"/>
  <c r="S162" i="1"/>
  <c r="R162" i="1"/>
  <c r="Q162" i="1"/>
  <c r="P162" i="1"/>
  <c r="O162" i="1"/>
  <c r="N162" i="1"/>
  <c r="M162" i="1"/>
  <c r="M158" i="1" s="1"/>
  <c r="L162" i="1"/>
  <c r="K162" i="1"/>
  <c r="J162" i="1"/>
  <c r="J158" i="1" s="1"/>
  <c r="I162" i="1"/>
  <c r="H162" i="1"/>
  <c r="G162" i="1"/>
  <c r="G158" i="1" s="1"/>
  <c r="F162" i="1"/>
  <c r="E162" i="1"/>
  <c r="D162" i="1"/>
  <c r="C162" i="1"/>
  <c r="S158" i="1"/>
  <c r="N158" i="1"/>
  <c r="L158" i="1"/>
  <c r="K158" i="1"/>
  <c r="I158" i="1"/>
  <c r="F158" i="1"/>
  <c r="E158" i="1"/>
  <c r="D158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AE127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V114" i="1"/>
  <c r="U114" i="1"/>
  <c r="T114" i="1"/>
  <c r="S114" i="1"/>
  <c r="R114" i="1"/>
  <c r="R108" i="1" s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V109" i="1"/>
  <c r="U109" i="1"/>
  <c r="T109" i="1"/>
  <c r="S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AE105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R49" i="1"/>
  <c r="C48" i="1"/>
  <c r="S40" i="1"/>
  <c r="S47" i="1" s="1"/>
  <c r="S49" i="1" s="1"/>
  <c r="R40" i="1"/>
  <c r="Q40" i="1"/>
  <c r="Q47" i="1" s="1"/>
  <c r="Q49" i="1" s="1"/>
  <c r="P40" i="1"/>
  <c r="P47" i="1" s="1"/>
  <c r="P49" i="1" s="1"/>
  <c r="O40" i="1"/>
  <c r="O47" i="1" s="1"/>
  <c r="O49" i="1" s="1"/>
  <c r="N40" i="1"/>
  <c r="N47" i="1" s="1"/>
  <c r="N49" i="1" s="1"/>
  <c r="M40" i="1"/>
  <c r="M47" i="1" s="1"/>
  <c r="M49" i="1" s="1"/>
  <c r="L40" i="1"/>
  <c r="L47" i="1" s="1"/>
  <c r="L49" i="1" s="1"/>
  <c r="K40" i="1"/>
  <c r="K47" i="1" s="1"/>
  <c r="K49" i="1" s="1"/>
  <c r="J40" i="1"/>
  <c r="J47" i="1" s="1"/>
  <c r="J49" i="1" s="1"/>
  <c r="I40" i="1"/>
  <c r="I47" i="1" s="1"/>
  <c r="I49" i="1" s="1"/>
  <c r="H40" i="1"/>
  <c r="H47" i="1" s="1"/>
  <c r="H49" i="1" s="1"/>
  <c r="G40" i="1"/>
  <c r="G47" i="1" s="1"/>
  <c r="G49" i="1" s="1"/>
  <c r="F40" i="1"/>
  <c r="F47" i="1" s="1"/>
  <c r="F49" i="1" s="1"/>
  <c r="E40" i="1"/>
  <c r="E47" i="1" s="1"/>
  <c r="E49" i="1" s="1"/>
  <c r="D40" i="1"/>
  <c r="D47" i="1" s="1"/>
  <c r="D49" i="1" s="1"/>
  <c r="C40" i="1"/>
  <c r="R36" i="1"/>
  <c r="C35" i="1"/>
  <c r="V27" i="1"/>
  <c r="V34" i="1" s="1"/>
  <c r="V36" i="1" s="1"/>
  <c r="U27" i="1"/>
  <c r="U34" i="1" s="1"/>
  <c r="U36" i="1" s="1"/>
  <c r="T27" i="1"/>
  <c r="T34" i="1" s="1"/>
  <c r="T36" i="1" s="1"/>
  <c r="S27" i="1"/>
  <c r="S34" i="1" s="1"/>
  <c r="S36" i="1" s="1"/>
  <c r="R27" i="1"/>
  <c r="Q27" i="1"/>
  <c r="Q34" i="1" s="1"/>
  <c r="Q36" i="1" s="1"/>
  <c r="P27" i="1"/>
  <c r="P34" i="1" s="1"/>
  <c r="P36" i="1" s="1"/>
  <c r="O27" i="1"/>
  <c r="O34" i="1" s="1"/>
  <c r="O36" i="1" s="1"/>
  <c r="N27" i="1"/>
  <c r="N34" i="1" s="1"/>
  <c r="N36" i="1" s="1"/>
  <c r="M27" i="1"/>
  <c r="M34" i="1" s="1"/>
  <c r="M36" i="1" s="1"/>
  <c r="L27" i="1"/>
  <c r="L34" i="1" s="1"/>
  <c r="L36" i="1" s="1"/>
  <c r="K27" i="1"/>
  <c r="K34" i="1" s="1"/>
  <c r="K36" i="1" s="1"/>
  <c r="J27" i="1"/>
  <c r="J34" i="1" s="1"/>
  <c r="J36" i="1" s="1"/>
  <c r="I27" i="1"/>
  <c r="I34" i="1" s="1"/>
  <c r="I36" i="1" s="1"/>
  <c r="H27" i="1"/>
  <c r="H34" i="1" s="1"/>
  <c r="H36" i="1" s="1"/>
  <c r="G27" i="1"/>
  <c r="G34" i="1" s="1"/>
  <c r="G36" i="1" s="1"/>
  <c r="F27" i="1"/>
  <c r="F34" i="1" s="1"/>
  <c r="F36" i="1" s="1"/>
  <c r="E27" i="1"/>
  <c r="E34" i="1" s="1"/>
  <c r="E36" i="1" s="1"/>
  <c r="D27" i="1"/>
  <c r="D34" i="1" s="1"/>
  <c r="D36" i="1" s="1"/>
  <c r="C27" i="1"/>
  <c r="C22" i="1"/>
  <c r="V18" i="1"/>
  <c r="U18" i="1"/>
  <c r="T18" i="1"/>
  <c r="S18" i="1"/>
  <c r="R18" i="1"/>
  <c r="Q18" i="1"/>
  <c r="P18" i="1"/>
  <c r="O18" i="1"/>
  <c r="X15" i="1"/>
  <c r="X12" i="1" s="1"/>
  <c r="X21" i="1" s="1"/>
  <c r="X23" i="1" s="1"/>
  <c r="W13" i="1"/>
  <c r="W15" i="1" s="1"/>
  <c r="W12" i="1" s="1"/>
  <c r="W21" i="1" s="1"/>
  <c r="W23" i="1" s="1"/>
  <c r="V13" i="1"/>
  <c r="V15" i="1" s="1"/>
  <c r="V12" i="1" s="1"/>
  <c r="U13" i="1"/>
  <c r="U15" i="1" s="1"/>
  <c r="U12" i="1" s="1"/>
  <c r="T13" i="1"/>
  <c r="T15" i="1" s="1"/>
  <c r="T12" i="1" s="1"/>
  <c r="S13" i="1"/>
  <c r="S15" i="1" s="1"/>
  <c r="S12" i="1" s="1"/>
  <c r="R13" i="1"/>
  <c r="R15" i="1" s="1"/>
  <c r="R12" i="1" s="1"/>
  <c r="Q13" i="1"/>
  <c r="Q15" i="1" s="1"/>
  <c r="Q12" i="1" s="1"/>
  <c r="P13" i="1"/>
  <c r="P15" i="1" s="1"/>
  <c r="P12" i="1" s="1"/>
  <c r="O13" i="1"/>
  <c r="O15" i="1" s="1"/>
  <c r="O12" i="1" s="1"/>
  <c r="N12" i="1"/>
  <c r="N21" i="1" s="1"/>
  <c r="N23" i="1" s="1"/>
  <c r="M12" i="1"/>
  <c r="M21" i="1" s="1"/>
  <c r="M23" i="1" s="1"/>
  <c r="L12" i="1"/>
  <c r="L21" i="1" s="1"/>
  <c r="L23" i="1" s="1"/>
  <c r="K12" i="1"/>
  <c r="K21" i="1" s="1"/>
  <c r="K23" i="1" s="1"/>
  <c r="J12" i="1"/>
  <c r="J21" i="1" s="1"/>
  <c r="J23" i="1" s="1"/>
  <c r="I12" i="1"/>
  <c r="I21" i="1" s="1"/>
  <c r="I23" i="1" s="1"/>
  <c r="H12" i="1"/>
  <c r="H21" i="1" s="1"/>
  <c r="H23" i="1" s="1"/>
  <c r="G12" i="1"/>
  <c r="G21" i="1" s="1"/>
  <c r="G23" i="1" s="1"/>
  <c r="F12" i="1"/>
  <c r="F21" i="1" s="1"/>
  <c r="F23" i="1" s="1"/>
  <c r="E12" i="1"/>
  <c r="E21" i="1" s="1"/>
  <c r="E23" i="1" s="1"/>
  <c r="D12" i="1"/>
  <c r="D21" i="1" s="1"/>
  <c r="D23" i="1" s="1"/>
  <c r="C12" i="1"/>
  <c r="K5" i="1"/>
  <c r="G5" i="1"/>
  <c r="C5" i="1"/>
  <c r="L4" i="1"/>
  <c r="H4" i="1"/>
  <c r="D4" i="1"/>
  <c r="G2" i="1"/>
  <c r="K2" i="1" s="1"/>
  <c r="D2" i="1"/>
  <c r="G1" i="1"/>
  <c r="K1" i="1" s="1"/>
  <c r="D1" i="1"/>
  <c r="AI13" i="3" l="1"/>
  <c r="AH13" i="3"/>
  <c r="AF13" i="3"/>
  <c r="AE13" i="3"/>
  <c r="AD13" i="3"/>
  <c r="AB13" i="3"/>
  <c r="AA13" i="3"/>
  <c r="Z13" i="3"/>
  <c r="X13" i="3"/>
  <c r="W13" i="3"/>
  <c r="M13" i="3"/>
  <c r="I13" i="3"/>
  <c r="F13" i="3"/>
  <c r="E13" i="3"/>
  <c r="B13" i="3"/>
  <c r="Q289" i="1"/>
  <c r="Q16" i="3"/>
  <c r="Q13" i="3"/>
  <c r="P16" i="3"/>
  <c r="P13" i="3"/>
  <c r="O16" i="3"/>
  <c r="O13" i="3"/>
  <c r="N16" i="3"/>
  <c r="N13" i="3"/>
  <c r="B12" i="3"/>
  <c r="W17" i="3"/>
  <c r="V17" i="3"/>
  <c r="J289" i="1"/>
  <c r="Z17" i="3"/>
  <c r="AB17" i="3"/>
  <c r="AA17" i="3"/>
  <c r="Z16" i="3"/>
  <c r="AI17" i="3"/>
  <c r="AH17" i="3"/>
  <c r="AF17" i="3"/>
  <c r="AE17" i="3"/>
  <c r="AD17" i="3"/>
  <c r="X17" i="3"/>
  <c r="T17" i="3"/>
  <c r="AA16" i="3"/>
  <c r="N289" i="1"/>
  <c r="AF16" i="3"/>
  <c r="V16" i="3"/>
  <c r="AI18" i="3"/>
  <c r="AH18" i="3"/>
  <c r="AF18" i="3"/>
  <c r="AE18" i="3"/>
  <c r="AD18" i="3"/>
  <c r="AB18" i="3"/>
  <c r="AA18" i="3"/>
  <c r="Z18" i="3"/>
  <c r="X18" i="3"/>
  <c r="W18" i="3"/>
  <c r="V18" i="3"/>
  <c r="AG16" i="3"/>
  <c r="AD16" i="3"/>
  <c r="AC16" i="3"/>
  <c r="W16" i="3"/>
  <c r="T16" i="3"/>
  <c r="AE16" i="3"/>
  <c r="Y16" i="3"/>
  <c r="S16" i="3"/>
  <c r="AH16" i="3"/>
  <c r="X16" i="3"/>
  <c r="R16" i="3"/>
  <c r="AB16" i="3"/>
  <c r="U16" i="3"/>
  <c r="P19" i="3"/>
  <c r="O19" i="3"/>
  <c r="N19" i="3"/>
  <c r="AI16" i="3"/>
  <c r="L14" i="3"/>
  <c r="L19" i="3"/>
  <c r="K14" i="3"/>
  <c r="K19" i="3"/>
  <c r="J14" i="3"/>
  <c r="H14" i="3"/>
  <c r="H19" i="3"/>
  <c r="G14" i="3"/>
  <c r="G19" i="3"/>
  <c r="U18" i="3"/>
  <c r="Q18" i="3"/>
  <c r="M18" i="3"/>
  <c r="I18" i="3"/>
  <c r="J18" i="3"/>
  <c r="U17" i="3"/>
  <c r="Q17" i="3"/>
  <c r="M12" i="3"/>
  <c r="M17" i="3"/>
  <c r="I12" i="3"/>
  <c r="I17" i="3"/>
  <c r="F12" i="3"/>
  <c r="J17" i="3"/>
  <c r="Q8" i="3"/>
  <c r="Q14" i="3" s="1"/>
  <c r="M8" i="3"/>
  <c r="I8" i="3"/>
  <c r="F8" i="3"/>
  <c r="E8" i="3"/>
  <c r="E14" i="3" s="1"/>
  <c r="H76" i="2"/>
  <c r="G76" i="2"/>
  <c r="F76" i="2"/>
  <c r="X86" i="1"/>
  <c r="X6" i="1" s="1"/>
  <c r="W86" i="1"/>
  <c r="W6" i="1" s="1"/>
  <c r="V86" i="1"/>
  <c r="U86" i="1"/>
  <c r="T86" i="1"/>
  <c r="S86" i="1"/>
  <c r="R86" i="1"/>
  <c r="Q86" i="1"/>
  <c r="P86" i="1"/>
  <c r="O86" i="1"/>
  <c r="N86" i="1"/>
  <c r="N6" i="1" s="1"/>
  <c r="AI12" i="3"/>
  <c r="AH12" i="3"/>
  <c r="AF12" i="3"/>
  <c r="AE12" i="3"/>
  <c r="AD12" i="3"/>
  <c r="AB12" i="3"/>
  <c r="AA12" i="3"/>
  <c r="Z12" i="3"/>
  <c r="X12" i="3"/>
  <c r="W12" i="3"/>
  <c r="V12" i="3"/>
  <c r="U12" i="3"/>
  <c r="T12" i="3"/>
  <c r="S12" i="3"/>
  <c r="R12" i="3"/>
  <c r="Q12" i="3"/>
  <c r="P14" i="3"/>
  <c r="P12" i="3"/>
  <c r="O14" i="3"/>
  <c r="O12" i="3"/>
  <c r="N14" i="3"/>
  <c r="N12" i="3"/>
  <c r="F18" i="3"/>
  <c r="F17" i="3"/>
  <c r="M86" i="1"/>
  <c r="M6" i="1" s="1"/>
  <c r="B8" i="3"/>
  <c r="L86" i="1"/>
  <c r="L6" i="1" s="1"/>
  <c r="K86" i="1"/>
  <c r="K6" i="1" s="1"/>
  <c r="J86" i="1"/>
  <c r="J6" i="1" s="1"/>
  <c r="L289" i="1"/>
  <c r="H86" i="1"/>
  <c r="H6" i="1" s="1"/>
  <c r="G86" i="1"/>
  <c r="G6" i="1" s="1"/>
  <c r="X129" i="1"/>
  <c r="X195" i="1" s="1"/>
  <c r="W129" i="1"/>
  <c r="W195" i="1" s="1"/>
  <c r="F86" i="1"/>
  <c r="F6" i="1" s="1"/>
  <c r="M52" i="2"/>
  <c r="V129" i="1"/>
  <c r="V195" i="1" s="1"/>
  <c r="L52" i="2"/>
  <c r="H158" i="1"/>
  <c r="K52" i="2"/>
  <c r="U129" i="1"/>
  <c r="U195" i="1" s="1"/>
  <c r="T129" i="1"/>
  <c r="T195" i="1" s="1"/>
  <c r="E86" i="1"/>
  <c r="E6" i="1" s="1"/>
  <c r="S129" i="1"/>
  <c r="S195" i="1" s="1"/>
  <c r="D86" i="1"/>
  <c r="D6" i="1" s="1"/>
  <c r="R129" i="1"/>
  <c r="R195" i="1" s="1"/>
  <c r="Q129" i="1"/>
  <c r="Q195" i="1" s="1"/>
  <c r="J52" i="2"/>
  <c r="P129" i="1"/>
  <c r="P195" i="1" s="1"/>
  <c r="I52" i="2"/>
  <c r="H52" i="2"/>
  <c r="O129" i="1"/>
  <c r="O195" i="1" s="1"/>
  <c r="I86" i="1"/>
  <c r="I6" i="1" s="1"/>
  <c r="G52" i="2"/>
  <c r="N129" i="1"/>
  <c r="N195" i="1" s="1"/>
  <c r="E52" i="2"/>
  <c r="D52" i="2"/>
  <c r="C52" i="2"/>
  <c r="B52" i="2"/>
  <c r="M129" i="1"/>
  <c r="M195" i="1" s="1"/>
  <c r="L129" i="1"/>
  <c r="L195" i="1" s="1"/>
  <c r="K129" i="1"/>
  <c r="K195" i="1" s="1"/>
  <c r="I289" i="1"/>
  <c r="R386" i="1"/>
  <c r="C158" i="1"/>
  <c r="J129" i="1"/>
  <c r="J195" i="1" s="1"/>
  <c r="C86" i="1"/>
  <c r="I129" i="1"/>
  <c r="I195" i="1" s="1"/>
  <c r="AC46" i="2"/>
  <c r="AD46" i="2"/>
  <c r="AE46" i="2"/>
  <c r="H129" i="1"/>
  <c r="H195" i="1" s="1"/>
  <c r="G129" i="1"/>
  <c r="G195" i="1" s="1"/>
  <c r="F129" i="1"/>
  <c r="F195" i="1" s="1"/>
  <c r="E129" i="1"/>
  <c r="E195" i="1" s="1"/>
  <c r="D129" i="1"/>
  <c r="D195" i="1" s="1"/>
  <c r="C129" i="1"/>
  <c r="C195" i="1" s="1"/>
  <c r="S57" i="2"/>
  <c r="R57" i="2"/>
  <c r="P57" i="2"/>
  <c r="O57" i="2"/>
  <c r="P108" i="1"/>
  <c r="O108" i="1"/>
  <c r="N108" i="1"/>
  <c r="M108" i="1"/>
  <c r="L108" i="1"/>
  <c r="K108" i="1"/>
  <c r="J108" i="1"/>
  <c r="I108" i="1"/>
  <c r="H108" i="1"/>
  <c r="G108" i="1"/>
  <c r="F108" i="1"/>
  <c r="X196" i="1"/>
  <c r="X368" i="1" s="1"/>
  <c r="W196" i="1"/>
  <c r="W368" i="1" s="1"/>
  <c r="V196" i="1"/>
  <c r="U196" i="1"/>
  <c r="T196" i="1"/>
  <c r="S196" i="1"/>
  <c r="R196" i="1"/>
  <c r="Q196" i="1"/>
  <c r="P196" i="1"/>
  <c r="E108" i="1"/>
  <c r="D108" i="1"/>
  <c r="C108" i="1"/>
  <c r="AE28" i="2"/>
  <c r="F21" i="2"/>
  <c r="V108" i="1"/>
  <c r="U108" i="1"/>
  <c r="T108" i="1"/>
  <c r="Q108" i="1"/>
  <c r="Q290" i="1"/>
  <c r="O290" i="1"/>
  <c r="N290" i="1"/>
  <c r="M290" i="1"/>
  <c r="L290" i="1"/>
  <c r="K290" i="1"/>
  <c r="J290" i="1"/>
  <c r="H290" i="1"/>
  <c r="F290" i="1"/>
  <c r="P290" i="1"/>
  <c r="I290" i="1"/>
  <c r="G290" i="1"/>
  <c r="F27" i="2"/>
  <c r="O196" i="1"/>
  <c r="R82" i="2"/>
  <c r="P82" i="2"/>
  <c r="L82" i="2"/>
  <c r="J82" i="2"/>
  <c r="R81" i="2"/>
  <c r="P81" i="2"/>
  <c r="N81" i="2"/>
  <c r="K81" i="2"/>
  <c r="S80" i="2"/>
  <c r="O80" i="2"/>
  <c r="L80" i="2"/>
  <c r="J80" i="2"/>
  <c r="AD52" i="2"/>
  <c r="AC52" i="2"/>
  <c r="S52" i="2"/>
  <c r="R52" i="2"/>
  <c r="O52" i="2"/>
  <c r="S28" i="2"/>
  <c r="P28" i="2"/>
  <c r="N28" i="2"/>
  <c r="J28" i="2"/>
  <c r="G28" i="2"/>
  <c r="K27" i="2"/>
  <c r="H27" i="2"/>
  <c r="E34" i="2"/>
  <c r="B34" i="2"/>
  <c r="E33" i="2"/>
  <c r="C33" i="2"/>
  <c r="B33" i="2"/>
  <c r="E32" i="2"/>
  <c r="B32" i="2"/>
  <c r="E31" i="2"/>
  <c r="B31" i="2"/>
  <c r="H21" i="2"/>
  <c r="S82" i="2"/>
  <c r="O82" i="2"/>
  <c r="N82" i="2"/>
  <c r="K82" i="2"/>
  <c r="S81" i="2"/>
  <c r="O81" i="2"/>
  <c r="L81" i="2"/>
  <c r="J81" i="2"/>
  <c r="R80" i="2"/>
  <c r="P80" i="2"/>
  <c r="N80" i="2"/>
  <c r="K80" i="2"/>
  <c r="AE52" i="2"/>
  <c r="P52" i="2"/>
  <c r="N52" i="2"/>
  <c r="AD28" i="2"/>
  <c r="R28" i="2"/>
  <c r="O28" i="2"/>
  <c r="L28" i="2"/>
  <c r="K28" i="2"/>
  <c r="H28" i="2"/>
  <c r="F28" i="2"/>
  <c r="L27" i="2"/>
  <c r="J27" i="2"/>
  <c r="G27" i="2"/>
  <c r="AE26" i="2"/>
  <c r="AD26" i="2"/>
  <c r="S26" i="2"/>
  <c r="R26" i="2"/>
  <c r="P26" i="2"/>
  <c r="O26" i="2"/>
  <c r="N26" i="2"/>
  <c r="D34" i="2"/>
  <c r="C34" i="2"/>
  <c r="D33" i="2"/>
  <c r="D32" i="2"/>
  <c r="C32" i="2"/>
  <c r="D31" i="2"/>
  <c r="C31" i="2"/>
  <c r="G21" i="2"/>
  <c r="S79" i="2"/>
  <c r="S76" i="2"/>
  <c r="R79" i="2"/>
  <c r="R76" i="2"/>
  <c r="P79" i="2"/>
  <c r="P76" i="2"/>
  <c r="O79" i="2"/>
  <c r="O76" i="2"/>
  <c r="N79" i="2"/>
  <c r="N76" i="2"/>
  <c r="L79" i="2"/>
  <c r="L76" i="2"/>
  <c r="K79" i="2"/>
  <c r="K76" i="2"/>
  <c r="J79" i="2"/>
  <c r="J76" i="2"/>
  <c r="R67" i="2"/>
  <c r="S66" i="2"/>
  <c r="Q67" i="2"/>
  <c r="P67" i="2"/>
  <c r="O67" i="2"/>
  <c r="N58" i="2"/>
  <c r="N63" i="2"/>
  <c r="L63" i="2"/>
  <c r="L58" i="2"/>
  <c r="K58" i="2"/>
  <c r="K63" i="2"/>
  <c r="J63" i="2"/>
  <c r="J58" i="2"/>
  <c r="H63" i="2"/>
  <c r="H64" i="2" s="1"/>
  <c r="H58" i="2"/>
  <c r="G63" i="2"/>
  <c r="G64" i="2" s="1"/>
  <c r="G58" i="2"/>
  <c r="F63" i="2"/>
  <c r="F58" i="2"/>
  <c r="B63" i="2"/>
  <c r="AE27" i="2"/>
  <c r="AD27" i="2"/>
  <c r="S27" i="2"/>
  <c r="R27" i="2"/>
  <c r="P27" i="2"/>
  <c r="O27" i="2"/>
  <c r="N27" i="2"/>
  <c r="L26" i="2"/>
  <c r="K26" i="2"/>
  <c r="J26" i="2"/>
  <c r="H26" i="2"/>
  <c r="G26" i="2"/>
  <c r="F26" i="2"/>
  <c r="AE25" i="2"/>
  <c r="AE34" i="2"/>
  <c r="AD34" i="2"/>
  <c r="AD25" i="2"/>
  <c r="AC34" i="2"/>
  <c r="S25" i="2"/>
  <c r="S34" i="2"/>
  <c r="T34" i="2" s="1"/>
  <c r="R25" i="2"/>
  <c r="R34" i="2"/>
  <c r="P25" i="2"/>
  <c r="P34" i="2"/>
  <c r="O25" i="2"/>
  <c r="O34" i="2"/>
  <c r="N25" i="2"/>
  <c r="N34" i="2"/>
  <c r="L25" i="2"/>
  <c r="L34" i="2"/>
  <c r="K34" i="2"/>
  <c r="K25" i="2"/>
  <c r="J25" i="2"/>
  <c r="J34" i="2"/>
  <c r="H25" i="2"/>
  <c r="H34" i="2"/>
  <c r="G34" i="2"/>
  <c r="G25" i="2"/>
  <c r="F34" i="2"/>
  <c r="F25" i="2"/>
  <c r="AE24" i="2"/>
  <c r="AE33" i="2"/>
  <c r="AD24" i="2"/>
  <c r="AD33" i="2"/>
  <c r="AC33" i="2"/>
  <c r="S24" i="2"/>
  <c r="S33" i="2"/>
  <c r="W33" i="2" s="1"/>
  <c r="R33" i="2"/>
  <c r="V33" i="2" s="1"/>
  <c r="R24" i="2"/>
  <c r="P33" i="2"/>
  <c r="T33" i="2" s="1"/>
  <c r="P24" i="2"/>
  <c r="O33" i="2"/>
  <c r="O24" i="2"/>
  <c r="N24" i="2"/>
  <c r="N33" i="2"/>
  <c r="L24" i="2"/>
  <c r="L33" i="2"/>
  <c r="K24" i="2"/>
  <c r="K33" i="2"/>
  <c r="J24" i="2"/>
  <c r="J33" i="2"/>
  <c r="H24" i="2"/>
  <c r="H33" i="2"/>
  <c r="G24" i="2"/>
  <c r="G33" i="2"/>
  <c r="F33" i="2"/>
  <c r="F24" i="2"/>
  <c r="AE23" i="2"/>
  <c r="AE32" i="2"/>
  <c r="AD23" i="2"/>
  <c r="AD32" i="2"/>
  <c r="AC32" i="2"/>
  <c r="S23" i="2"/>
  <c r="S32" i="2"/>
  <c r="W32" i="2" s="1"/>
  <c r="R32" i="2"/>
  <c r="V32" i="2" s="1"/>
  <c r="R23" i="2"/>
  <c r="P23" i="2"/>
  <c r="P32" i="2"/>
  <c r="T32" i="2" s="1"/>
  <c r="O32" i="2"/>
  <c r="O23" i="2"/>
  <c r="N23" i="2"/>
  <c r="N32" i="2"/>
  <c r="L23" i="2"/>
  <c r="L32" i="2"/>
  <c r="K23" i="2"/>
  <c r="K32" i="2"/>
  <c r="J23" i="2"/>
  <c r="J32" i="2"/>
  <c r="H23" i="2"/>
  <c r="H32" i="2"/>
  <c r="G23" i="2"/>
  <c r="G32" i="2"/>
  <c r="F32" i="2"/>
  <c r="F23" i="2"/>
  <c r="AE31" i="2"/>
  <c r="AE22" i="2"/>
  <c r="AD31" i="2"/>
  <c r="AD22" i="2"/>
  <c r="AC31" i="2"/>
  <c r="S22" i="2"/>
  <c r="S31" i="2"/>
  <c r="R31" i="2"/>
  <c r="R22" i="2"/>
  <c r="P22" i="2"/>
  <c r="P31" i="2"/>
  <c r="O22" i="2"/>
  <c r="O31" i="2"/>
  <c r="N22" i="2"/>
  <c r="N31" i="2"/>
  <c r="L22" i="2"/>
  <c r="L31" i="2"/>
  <c r="K31" i="2"/>
  <c r="K22" i="2"/>
  <c r="J31" i="2"/>
  <c r="J22" i="2"/>
  <c r="H31" i="2"/>
  <c r="H22" i="2"/>
  <c r="G31" i="2"/>
  <c r="G22" i="2"/>
  <c r="F31" i="2"/>
  <c r="F22" i="2"/>
  <c r="AE8" i="2"/>
  <c r="AE39" i="2" s="1"/>
  <c r="AE21" i="2"/>
  <c r="AD8" i="2"/>
  <c r="AD39" i="2" s="1"/>
  <c r="AD21" i="2"/>
  <c r="AC8" i="2"/>
  <c r="AC39" i="2" s="1"/>
  <c r="S21" i="2"/>
  <c r="S8" i="2"/>
  <c r="W3" i="2"/>
  <c r="R21" i="2"/>
  <c r="V3" i="2"/>
  <c r="R8" i="2"/>
  <c r="T3" i="2"/>
  <c r="P21" i="2"/>
  <c r="P8" i="2"/>
  <c r="O8" i="2"/>
  <c r="O21" i="2"/>
  <c r="N21" i="2"/>
  <c r="N8" i="2"/>
  <c r="L21" i="2"/>
  <c r="L8" i="2"/>
  <c r="K21" i="2"/>
  <c r="K8" i="2"/>
  <c r="J21" i="2"/>
  <c r="J8" i="2"/>
  <c r="P1" i="2"/>
  <c r="AG12" i="2"/>
  <c r="E290" i="1"/>
  <c r="D290" i="1"/>
  <c r="V21" i="1"/>
  <c r="V23" i="1" s="1"/>
  <c r="U21" i="1"/>
  <c r="U23" i="1" s="1"/>
  <c r="T21" i="1"/>
  <c r="T23" i="1" s="1"/>
  <c r="S21" i="1"/>
  <c r="S23" i="1" s="1"/>
  <c r="R21" i="1"/>
  <c r="R23" i="1" s="1"/>
  <c r="Q21" i="1"/>
  <c r="Q23" i="1" s="1"/>
  <c r="P21" i="1"/>
  <c r="P23" i="1" s="1"/>
  <c r="O21" i="1"/>
  <c r="O23" i="1" s="1"/>
  <c r="V158" i="1"/>
  <c r="U158" i="1"/>
  <c r="T158" i="1"/>
  <c r="R158" i="1"/>
  <c r="Q158" i="1"/>
  <c r="P158" i="1"/>
  <c r="O158" i="1"/>
  <c r="S325" i="1"/>
  <c r="S369" i="1" s="1"/>
  <c r="Q325" i="1"/>
  <c r="Q369" i="1" s="1"/>
  <c r="Q376" i="1" s="1"/>
  <c r="P325" i="1"/>
  <c r="P369" i="1" s="1"/>
  <c r="P376" i="1" s="1"/>
  <c r="O325" i="1"/>
  <c r="O369" i="1" s="1"/>
  <c r="O376" i="1" s="1"/>
  <c r="N325" i="1"/>
  <c r="N369" i="1" s="1"/>
  <c r="N335" i="1"/>
  <c r="N321" i="1"/>
  <c r="M335" i="1"/>
  <c r="M325" i="1"/>
  <c r="M369" i="1" s="1"/>
  <c r="M321" i="1"/>
  <c r="L325" i="1"/>
  <c r="L369" i="1" s="1"/>
  <c r="L335" i="1"/>
  <c r="L321" i="1"/>
  <c r="K325" i="1"/>
  <c r="K369" i="1" s="1"/>
  <c r="K335" i="1"/>
  <c r="K321" i="1"/>
  <c r="J325" i="1"/>
  <c r="J369" i="1" s="1"/>
  <c r="J335" i="1"/>
  <c r="J321" i="1"/>
  <c r="I325" i="1"/>
  <c r="I369" i="1" s="1"/>
  <c r="I335" i="1"/>
  <c r="I321" i="1"/>
  <c r="H335" i="1"/>
  <c r="H325" i="1"/>
  <c r="H369" i="1" s="1"/>
  <c r="H321" i="1"/>
  <c r="G325" i="1"/>
  <c r="G369" i="1" s="1"/>
  <c r="G335" i="1"/>
  <c r="G321" i="1"/>
  <c r="F335" i="1"/>
  <c r="F325" i="1"/>
  <c r="F369" i="1" s="1"/>
  <c r="F321" i="1"/>
  <c r="E335" i="1"/>
  <c r="E321" i="1"/>
  <c r="E325" i="1"/>
  <c r="E369" i="1" s="1"/>
  <c r="D321" i="1"/>
  <c r="D335" i="1"/>
  <c r="D325" i="1"/>
  <c r="D369" i="1" s="1"/>
  <c r="C325" i="1"/>
  <c r="C369" i="1" s="1"/>
  <c r="C335" i="1"/>
  <c r="C289" i="1"/>
  <c r="D289" i="1"/>
  <c r="C290" i="1"/>
  <c r="N196" i="1"/>
  <c r="N368" i="1" s="1"/>
  <c r="N253" i="1"/>
  <c r="N334" i="1"/>
  <c r="M196" i="1"/>
  <c r="M368" i="1" s="1"/>
  <c r="M253" i="1"/>
  <c r="M334" i="1"/>
  <c r="L196" i="1"/>
  <c r="L368" i="1" s="1"/>
  <c r="L334" i="1"/>
  <c r="L253" i="1"/>
  <c r="K196" i="1"/>
  <c r="K368" i="1" s="1"/>
  <c r="K253" i="1"/>
  <c r="K334" i="1"/>
  <c r="J196" i="1"/>
  <c r="J368" i="1" s="1"/>
  <c r="J253" i="1"/>
  <c r="J334" i="1"/>
  <c r="I196" i="1"/>
  <c r="I368" i="1" s="1"/>
  <c r="I253" i="1"/>
  <c r="I334" i="1"/>
  <c r="H196" i="1"/>
  <c r="H368" i="1" s="1"/>
  <c r="H253" i="1"/>
  <c r="H334" i="1"/>
  <c r="G196" i="1"/>
  <c r="G368" i="1" s="1"/>
  <c r="G253" i="1"/>
  <c r="G334" i="1"/>
  <c r="F253" i="1"/>
  <c r="F334" i="1"/>
  <c r="F196" i="1"/>
  <c r="F368" i="1" s="1"/>
  <c r="E196" i="1"/>
  <c r="E368" i="1" s="1"/>
  <c r="E253" i="1"/>
  <c r="E334" i="1"/>
  <c r="D334" i="1"/>
  <c r="D196" i="1"/>
  <c r="D368" i="1" s="1"/>
  <c r="D253" i="1"/>
  <c r="C334" i="1"/>
  <c r="C196" i="1"/>
  <c r="C253" i="1"/>
  <c r="C47" i="1"/>
  <c r="C34" i="1"/>
  <c r="N252" i="1"/>
  <c r="M252" i="1"/>
  <c r="L252" i="1"/>
  <c r="K252" i="1"/>
  <c r="J252" i="1"/>
  <c r="I252" i="1"/>
  <c r="H252" i="1"/>
  <c r="G252" i="1"/>
  <c r="F252" i="1"/>
  <c r="E252" i="1"/>
  <c r="D252" i="1"/>
  <c r="C21" i="1"/>
  <c r="L5" i="1"/>
  <c r="M4" i="1"/>
  <c r="H5" i="1"/>
  <c r="I4" i="1"/>
  <c r="D5" i="1"/>
  <c r="E4" i="1"/>
  <c r="H2" i="1"/>
  <c r="L2" i="1" s="1"/>
  <c r="E2" i="1"/>
  <c r="H1" i="1"/>
  <c r="L1" i="1" s="1"/>
  <c r="E1" i="1"/>
  <c r="X321" i="1"/>
  <c r="W321" i="1"/>
  <c r="Q19" i="3" l="1"/>
  <c r="M14" i="3"/>
  <c r="M19" i="3"/>
  <c r="I14" i="3"/>
  <c r="I19" i="3"/>
  <c r="F14" i="3"/>
  <c r="J19" i="3"/>
  <c r="B14" i="3"/>
  <c r="F19" i="3"/>
  <c r="S39" i="2"/>
  <c r="W39" i="2" s="1"/>
  <c r="AI10" i="3"/>
  <c r="AI8" i="3" s="1"/>
  <c r="R39" i="2"/>
  <c r="V39" i="2" s="1"/>
  <c r="AH10" i="3"/>
  <c r="AH8" i="3" s="1"/>
  <c r="P39" i="2"/>
  <c r="T39" i="2" s="1"/>
  <c r="X39" i="2" s="1"/>
  <c r="AF10" i="3"/>
  <c r="AF8" i="3" s="1"/>
  <c r="O39" i="2"/>
  <c r="AE10" i="3"/>
  <c r="AE8" i="3" s="1"/>
  <c r="N39" i="2"/>
  <c r="AD10" i="3"/>
  <c r="AD8" i="3" s="1"/>
  <c r="L38" i="2"/>
  <c r="AB10" i="3"/>
  <c r="AB8" i="3" s="1"/>
  <c r="K38" i="2"/>
  <c r="AA10" i="3"/>
  <c r="AA8" i="3" s="1"/>
  <c r="J38" i="2"/>
  <c r="Z10" i="3"/>
  <c r="Z8" i="3" s="1"/>
  <c r="V321" i="1"/>
  <c r="V6" i="1"/>
  <c r="U321" i="1"/>
  <c r="U6" i="1"/>
  <c r="T321" i="1"/>
  <c r="T6" i="1"/>
  <c r="S321" i="1"/>
  <c r="S6" i="1"/>
  <c r="Q321" i="1"/>
  <c r="Q6" i="1"/>
  <c r="P321" i="1"/>
  <c r="P6" i="1"/>
  <c r="O321" i="1"/>
  <c r="O6" i="1"/>
  <c r="S63" i="2"/>
  <c r="W57" i="2"/>
  <c r="W63" i="2" s="1"/>
  <c r="S58" i="2"/>
  <c r="R63" i="2"/>
  <c r="R64" i="2" s="1"/>
  <c r="R58" i="2"/>
  <c r="V57" i="2"/>
  <c r="V63" i="2" s="1"/>
  <c r="P63" i="2"/>
  <c r="P64" i="2" s="1"/>
  <c r="P58" i="2"/>
  <c r="T57" i="2"/>
  <c r="O58" i="2"/>
  <c r="O63" i="2"/>
  <c r="O64" i="2" s="1"/>
  <c r="AG60" i="2"/>
  <c r="AF61" i="2"/>
  <c r="AG61" i="2"/>
  <c r="AF12" i="2"/>
  <c r="AE62" i="2"/>
  <c r="AF62" i="2"/>
  <c r="AB63" i="2"/>
  <c r="AE61" i="2"/>
  <c r="AE67" i="2"/>
  <c r="AB57" i="2"/>
  <c r="R321" i="1"/>
  <c r="R6" i="1"/>
  <c r="T66" i="2"/>
  <c r="S67" i="2"/>
  <c r="N64" i="2"/>
  <c r="J64" i="2"/>
  <c r="F64" i="2"/>
  <c r="U34" i="2"/>
  <c r="T7" i="2"/>
  <c r="X33" i="2"/>
  <c r="T6" i="2"/>
  <c r="X32" i="2"/>
  <c r="T5" i="2"/>
  <c r="AE13" i="2"/>
  <c r="AE20" i="2"/>
  <c r="AE38" i="2"/>
  <c r="AE40" i="2"/>
  <c r="AD13" i="2"/>
  <c r="AD20" i="2"/>
  <c r="AD38" i="2"/>
  <c r="AD40" i="2"/>
  <c r="AC13" i="2"/>
  <c r="AC38" i="2"/>
  <c r="AC40" i="2"/>
  <c r="S13" i="2"/>
  <c r="S20" i="2"/>
  <c r="S38" i="2"/>
  <c r="W38" i="2" s="1"/>
  <c r="S40" i="2"/>
  <c r="R13" i="2"/>
  <c r="R20" i="2"/>
  <c r="R38" i="2"/>
  <c r="V38" i="2" s="1"/>
  <c r="R40" i="2"/>
  <c r="X3" i="2"/>
  <c r="P13" i="2"/>
  <c r="P20" i="2"/>
  <c r="P38" i="2"/>
  <c r="T38" i="2" s="1"/>
  <c r="X38" i="2" s="1"/>
  <c r="P40" i="2"/>
  <c r="O13" i="2"/>
  <c r="O20" i="2"/>
  <c r="O38" i="2"/>
  <c r="O40" i="2"/>
  <c r="N13" i="2"/>
  <c r="N20" i="2"/>
  <c r="N38" i="2"/>
  <c r="N40" i="2"/>
  <c r="L13" i="2"/>
  <c r="L39" i="2"/>
  <c r="L40" i="2"/>
  <c r="K13" i="2"/>
  <c r="K39" i="2"/>
  <c r="K40" i="2"/>
  <c r="J13" i="2"/>
  <c r="J39" i="2"/>
  <c r="J40" i="2"/>
  <c r="AE59" i="2"/>
  <c r="AF59" i="2"/>
  <c r="AG59" i="2"/>
  <c r="AE60" i="2"/>
  <c r="AF60" i="2"/>
  <c r="L64" i="2"/>
  <c r="K64" i="2"/>
  <c r="W6" i="2"/>
  <c r="W24" i="2" s="1"/>
  <c r="V6" i="2"/>
  <c r="W5" i="2"/>
  <c r="W23" i="2" s="1"/>
  <c r="V5" i="2"/>
  <c r="AG62" i="2"/>
  <c r="G376" i="1"/>
  <c r="G337" i="1"/>
  <c r="F337" i="1"/>
  <c r="N376" i="1"/>
  <c r="N337" i="1"/>
  <c r="M376" i="1"/>
  <c r="M337" i="1"/>
  <c r="L376" i="1"/>
  <c r="L337" i="1"/>
  <c r="K376" i="1"/>
  <c r="K337" i="1"/>
  <c r="J376" i="1"/>
  <c r="J337" i="1"/>
  <c r="I376" i="1"/>
  <c r="I337" i="1"/>
  <c r="H376" i="1"/>
  <c r="H337" i="1"/>
  <c r="C337" i="1"/>
  <c r="C368" i="1"/>
  <c r="C49" i="1"/>
  <c r="C36" i="1"/>
  <c r="C23" i="1"/>
  <c r="N4" i="1"/>
  <c r="N5" i="1" s="1"/>
  <c r="M5" i="1"/>
  <c r="J4" i="1"/>
  <c r="J5" i="1" s="1"/>
  <c r="I5" i="1"/>
  <c r="F4" i="1"/>
  <c r="F5" i="1" s="1"/>
  <c r="E5" i="1"/>
  <c r="F2" i="1"/>
  <c r="J2" i="1" s="1"/>
  <c r="N2" i="1" s="1"/>
  <c r="I2" i="1"/>
  <c r="M2" i="1" s="1"/>
  <c r="F1" i="1"/>
  <c r="I1" i="1"/>
  <c r="M1" i="1" s="1"/>
  <c r="F376" i="1"/>
  <c r="E376" i="1"/>
  <c r="E337" i="1"/>
  <c r="D337" i="1"/>
  <c r="D376" i="1"/>
  <c r="AI14" i="3" l="1"/>
  <c r="AI19" i="3"/>
  <c r="AH14" i="3"/>
  <c r="AH19" i="3"/>
  <c r="AF14" i="3"/>
  <c r="AF19" i="3"/>
  <c r="AE14" i="3"/>
  <c r="AE19" i="3"/>
  <c r="AD14" i="3"/>
  <c r="AD19" i="3"/>
  <c r="AB14" i="3"/>
  <c r="AA14" i="3"/>
  <c r="Z14" i="3"/>
  <c r="S64" i="2"/>
  <c r="W4" i="2"/>
  <c r="W22" i="2" s="1"/>
  <c r="W64" i="2"/>
  <c r="V4" i="2"/>
  <c r="V22" i="2" s="1"/>
  <c r="V64" i="2"/>
  <c r="T63" i="2"/>
  <c r="X57" i="2"/>
  <c r="X63" i="2" s="1"/>
  <c r="X6" i="2"/>
  <c r="X24" i="2" s="1"/>
  <c r="X5" i="2"/>
  <c r="X23" i="2" s="1"/>
  <c r="U66" i="2"/>
  <c r="T67" i="2"/>
  <c r="V34" i="2"/>
  <c r="T25" i="2"/>
  <c r="T23" i="2"/>
  <c r="AE14" i="2"/>
  <c r="AE15" i="2"/>
  <c r="AE16" i="2"/>
  <c r="AE17" i="2" s="1"/>
  <c r="AE68" i="2"/>
  <c r="AD14" i="2"/>
  <c r="AD15" i="2"/>
  <c r="AD16" i="2"/>
  <c r="AD17" i="2" s="1"/>
  <c r="AD68" i="2"/>
  <c r="AC14" i="2"/>
  <c r="AC16" i="2"/>
  <c r="AC17" i="2" s="1"/>
  <c r="AC68" i="2"/>
  <c r="S14" i="2"/>
  <c r="S15" i="2"/>
  <c r="S16" i="2"/>
  <c r="S17" i="2" s="1"/>
  <c r="S68" i="2"/>
  <c r="R14" i="2"/>
  <c r="R15" i="2"/>
  <c r="R16" i="2"/>
  <c r="R17" i="2" s="1"/>
  <c r="R68" i="2"/>
  <c r="P14" i="2"/>
  <c r="P15" i="2"/>
  <c r="P16" i="2"/>
  <c r="P17" i="2" s="1"/>
  <c r="P68" i="2"/>
  <c r="O14" i="2"/>
  <c r="O15" i="2"/>
  <c r="O16" i="2"/>
  <c r="O17" i="2" s="1"/>
  <c r="O68" i="2"/>
  <c r="N14" i="2"/>
  <c r="N15" i="2"/>
  <c r="N16" i="2"/>
  <c r="N17" i="2" s="1"/>
  <c r="N68" i="2"/>
  <c r="L14" i="2"/>
  <c r="L16" i="2"/>
  <c r="L17" i="2" s="1"/>
  <c r="L68" i="2"/>
  <c r="K14" i="2"/>
  <c r="K16" i="2"/>
  <c r="K17" i="2" s="1"/>
  <c r="K68" i="2"/>
  <c r="J14" i="2"/>
  <c r="J16" i="2"/>
  <c r="J17" i="2" s="1"/>
  <c r="J68" i="2"/>
  <c r="V24" i="2"/>
  <c r="T24" i="2"/>
  <c r="V23" i="2"/>
  <c r="C376" i="1"/>
  <c r="C321" i="1"/>
  <c r="C252" i="1"/>
  <c r="C6" i="1"/>
  <c r="J1" i="1"/>
  <c r="T4" i="2" l="1"/>
  <c r="T64" i="2"/>
  <c r="X4" i="2"/>
  <c r="X64" i="2"/>
  <c r="P69" i="2"/>
  <c r="V66" i="2"/>
  <c r="U67" i="2"/>
  <c r="AF67" i="2" s="1"/>
  <c r="T8" i="2"/>
  <c r="T22" i="2"/>
  <c r="W34" i="2"/>
  <c r="V7" i="2"/>
  <c r="AE69" i="2"/>
  <c r="AD69" i="2"/>
  <c r="S69" i="2"/>
  <c r="R69" i="2"/>
  <c r="O69" i="2"/>
  <c r="N69" i="2"/>
  <c r="X22" i="2"/>
  <c r="AA49" i="1"/>
  <c r="AA196" i="1"/>
  <c r="AA34" i="1"/>
  <c r="AA21" i="1"/>
  <c r="AB160" i="1"/>
  <c r="AA47" i="1"/>
  <c r="AA334" i="1"/>
  <c r="AA36" i="1"/>
  <c r="AB46" i="1"/>
  <c r="AB317" i="1"/>
  <c r="AA27" i="1"/>
  <c r="AB162" i="1"/>
  <c r="AB302" i="1"/>
  <c r="AB316" i="1"/>
  <c r="AA318" i="1"/>
  <c r="AA335" i="1"/>
  <c r="AA287" i="1"/>
  <c r="AA286" i="1"/>
  <c r="AB281" i="1"/>
  <c r="AA187" i="1"/>
  <c r="AA182" i="1"/>
  <c r="AB181" i="1"/>
  <c r="AB104" i="1"/>
  <c r="AB102" i="1"/>
  <c r="AA74" i="1"/>
  <c r="AB71" i="1"/>
  <c r="AA70" i="1"/>
  <c r="AB69" i="1"/>
  <c r="AA66" i="1"/>
  <c r="AB45" i="1"/>
  <c r="AB12" i="1"/>
  <c r="AA13" i="1"/>
  <c r="AB13" i="1"/>
  <c r="AA14" i="1"/>
  <c r="AB14" i="1"/>
  <c r="AA328" i="1"/>
  <c r="AB328" i="1"/>
  <c r="AC328" i="1"/>
  <c r="AA329" i="1"/>
  <c r="AB329" i="1"/>
  <c r="AA17" i="1"/>
  <c r="AB17" i="1"/>
  <c r="AA18" i="1"/>
  <c r="AB18" i="1"/>
  <c r="AA19" i="1"/>
  <c r="AB19" i="1"/>
  <c r="AA20" i="1"/>
  <c r="AB20" i="1"/>
  <c r="AC329" i="1"/>
  <c r="AA330" i="1"/>
  <c r="AB330" i="1"/>
  <c r="AC330" i="1"/>
  <c r="AA30" i="1"/>
  <c r="AB30" i="1"/>
  <c r="AA31" i="1"/>
  <c r="AB31" i="1"/>
  <c r="AA32" i="1"/>
  <c r="AB32" i="1"/>
  <c r="AA33" i="1"/>
  <c r="AB33" i="1"/>
  <c r="AC336" i="1"/>
  <c r="AB368" i="1"/>
  <c r="AB369" i="1"/>
  <c r="AB370" i="1"/>
  <c r="AA371" i="1"/>
  <c r="AB371" i="1"/>
  <c r="AA125" i="1"/>
  <c r="AB125" i="1"/>
  <c r="AA126" i="1"/>
  <c r="AB126" i="1"/>
  <c r="AA127" i="1"/>
  <c r="AB127" i="1"/>
  <c r="AA380" i="1"/>
  <c r="AB129" i="1"/>
  <c r="AA130" i="1"/>
  <c r="AB130" i="1"/>
  <c r="AA131" i="1"/>
  <c r="AB131" i="1"/>
  <c r="AA132" i="1"/>
  <c r="AB132" i="1"/>
  <c r="AB380" i="1"/>
  <c r="AB133" i="1"/>
  <c r="AA135" i="1"/>
  <c r="AB135" i="1"/>
  <c r="AA136" i="1"/>
  <c r="AB136" i="1"/>
  <c r="AA137" i="1"/>
  <c r="AB137" i="1"/>
  <c r="AB138" i="1"/>
  <c r="AA140" i="1"/>
  <c r="AB140" i="1"/>
  <c r="AA161" i="1"/>
  <c r="AA164" i="1"/>
  <c r="AB165" i="1"/>
  <c r="AB123" i="1"/>
  <c r="AA311" i="1"/>
  <c r="AA319" i="1"/>
  <c r="AA40" i="1"/>
  <c r="AB306" i="1"/>
  <c r="AC317" i="1"/>
  <c r="AB294" i="1"/>
  <c r="AB285" i="1"/>
  <c r="AB284" i="1"/>
  <c r="AA281" i="1"/>
  <c r="AB280" i="1"/>
  <c r="AB277" i="1"/>
  <c r="AA277" i="1"/>
  <c r="AB274" i="1"/>
  <c r="AA274" i="1"/>
  <c r="AB273" i="1"/>
  <c r="AA273" i="1"/>
  <c r="AB270" i="1"/>
  <c r="AA270" i="1"/>
  <c r="AB269" i="1"/>
  <c r="AA269" i="1"/>
  <c r="AB266" i="1"/>
  <c r="AA266" i="1"/>
  <c r="AB265" i="1"/>
  <c r="AA265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45" i="1"/>
  <c r="AB120" i="1"/>
  <c r="AA316" i="1"/>
  <c r="AA51" i="1"/>
  <c r="AB299" i="1"/>
  <c r="AB311" i="1"/>
  <c r="AA101" i="1"/>
  <c r="AB293" i="1"/>
  <c r="AA285" i="1"/>
  <c r="AA284" i="1"/>
  <c r="AA280" i="1"/>
  <c r="AB188" i="1"/>
  <c r="AA184" i="1"/>
  <c r="AB183" i="1"/>
  <c r="AB178" i="1"/>
  <c r="AA178" i="1"/>
  <c r="AB177" i="1"/>
  <c r="AA177" i="1"/>
  <c r="AB176" i="1"/>
  <c r="AA176" i="1"/>
  <c r="AB175" i="1"/>
  <c r="AA175" i="1"/>
  <c r="AB174" i="1"/>
  <c r="AA174" i="1"/>
  <c r="AB173" i="1"/>
  <c r="AB171" i="1"/>
  <c r="AA171" i="1"/>
  <c r="AB170" i="1"/>
  <c r="AA170" i="1"/>
  <c r="AB169" i="1"/>
  <c r="AA169" i="1"/>
  <c r="AB167" i="1"/>
  <c r="AA167" i="1"/>
  <c r="AB59" i="1"/>
  <c r="AA58" i="1"/>
  <c r="AB57" i="1"/>
  <c r="AA56" i="1"/>
  <c r="AB53" i="1"/>
  <c r="AA52" i="1"/>
  <c r="AB51" i="1"/>
  <c r="AB47" i="1"/>
  <c r="AB116" i="1"/>
  <c r="AB124" i="1"/>
  <c r="AC319" i="1"/>
  <c r="AA64" i="1"/>
  <c r="AB166" i="1"/>
  <c r="AA303" i="1"/>
  <c r="AB310" i="1"/>
  <c r="AA317" i="1"/>
  <c r="AB319" i="1"/>
  <c r="AB287" i="1"/>
  <c r="AB286" i="1"/>
  <c r="AA283" i="1"/>
  <c r="AB282" i="1"/>
  <c r="AB184" i="1"/>
  <c r="AB182" i="1"/>
  <c r="AB105" i="1"/>
  <c r="AA104" i="1"/>
  <c r="AA103" i="1"/>
  <c r="AB101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B91" i="1"/>
  <c r="AA91" i="1"/>
  <c r="AB90" i="1"/>
  <c r="AA90" i="1"/>
  <c r="AB89" i="1"/>
  <c r="AA89" i="1"/>
  <c r="AB88" i="1"/>
  <c r="AA88" i="1"/>
  <c r="AA46" i="1"/>
  <c r="AA124" i="1"/>
  <c r="AC316" i="1"/>
  <c r="AC318" i="1"/>
  <c r="AA12" i="1"/>
  <c r="AA165" i="1"/>
  <c r="AB307" i="1"/>
  <c r="AB318" i="1"/>
  <c r="AA195" i="1"/>
  <c r="AA369" i="1"/>
  <c r="AA294" i="1"/>
  <c r="AA293" i="1"/>
  <c r="AB283" i="1"/>
  <c r="AA282" i="1"/>
  <c r="AA188" i="1"/>
  <c r="AB187" i="1"/>
  <c r="AA181" i="1"/>
  <c r="AB108" i="1"/>
  <c r="AA105" i="1"/>
  <c r="AB103" i="1"/>
  <c r="AA102" i="1"/>
  <c r="AA75" i="1"/>
  <c r="AB74" i="1"/>
  <c r="AA71" i="1"/>
  <c r="AB70" i="1"/>
  <c r="AB66" i="1"/>
  <c r="AB65" i="1"/>
  <c r="AA65" i="1"/>
  <c r="AB64" i="1"/>
  <c r="AB62" i="1"/>
  <c r="AB61" i="1"/>
  <c r="AA61" i="1"/>
  <c r="AB60" i="1"/>
  <c r="AA60" i="1"/>
  <c r="AA59" i="1"/>
  <c r="AB58" i="1"/>
  <c r="AA57" i="1"/>
  <c r="AB56" i="1"/>
  <c r="AA53" i="1"/>
  <c r="AB52" i="1"/>
  <c r="AB49" i="1"/>
  <c r="AB48" i="1"/>
  <c r="N1" i="1"/>
  <c r="AA6" i="1"/>
  <c r="AA368" i="1"/>
  <c r="AA23" i="1"/>
  <c r="AB334" i="1"/>
  <c r="AC334" i="1"/>
  <c r="AB335" i="1"/>
  <c r="AB21" i="1"/>
  <c r="AC335" i="1"/>
  <c r="AB22" i="1"/>
  <c r="AB23" i="1"/>
  <c r="AB336" i="1"/>
  <c r="AB27" i="1"/>
  <c r="AA28" i="1"/>
  <c r="AB28" i="1"/>
  <c r="AA29" i="1"/>
  <c r="AB375" i="1"/>
  <c r="AB379" i="1"/>
  <c r="AA117" i="1"/>
  <c r="AA374" i="1"/>
  <c r="AB141" i="1"/>
  <c r="AA146" i="1"/>
  <c r="AB158" i="1"/>
  <c r="AA160" i="1"/>
  <c r="AB374" i="1"/>
  <c r="AA142" i="1"/>
  <c r="AB117" i="1"/>
  <c r="AA118" i="1"/>
  <c r="AB118" i="1"/>
  <c r="AA119" i="1"/>
  <c r="AB119" i="1"/>
  <c r="AA120" i="1"/>
  <c r="AA373" i="1"/>
  <c r="AA141" i="1"/>
  <c r="AB142" i="1"/>
  <c r="AA145" i="1"/>
  <c r="AB146" i="1"/>
  <c r="AA148" i="1"/>
  <c r="AB149" i="1"/>
  <c r="AA152" i="1"/>
  <c r="AA153" i="1"/>
  <c r="AB154" i="1"/>
  <c r="AA383" i="1"/>
  <c r="AA159" i="1"/>
  <c r="AB373" i="1"/>
  <c r="AB145" i="1"/>
  <c r="AB147" i="1"/>
  <c r="AA149" i="1"/>
  <c r="AB148" i="1"/>
  <c r="AA92" i="1"/>
  <c r="AA123" i="1"/>
  <c r="AA129" i="1"/>
  <c r="AA158" i="1"/>
  <c r="AA183" i="1"/>
  <c r="AA336" i="1"/>
  <c r="AA80" i="1"/>
  <c r="AA109" i="1"/>
  <c r="AA138" i="1"/>
  <c r="AA173" i="1"/>
  <c r="AA62" i="1"/>
  <c r="AA69" i="1"/>
  <c r="AA82" i="1"/>
  <c r="AA144" i="1"/>
  <c r="AA86" i="1"/>
  <c r="AA108" i="1"/>
  <c r="AA154" i="1"/>
  <c r="AA22" i="1"/>
  <c r="AA35" i="1"/>
  <c r="AA48" i="1"/>
  <c r="AA87" i="1"/>
  <c r="AA114" i="1"/>
  <c r="AA133" i="1"/>
  <c r="AA162" i="1"/>
  <c r="AA201" i="1"/>
  <c r="AA370" i="1"/>
  <c r="AB75" i="1"/>
  <c r="AA76" i="1"/>
  <c r="AB76" i="1"/>
  <c r="AA77" i="1"/>
  <c r="AB77" i="1"/>
  <c r="AA78" i="1"/>
  <c r="AB78" i="1"/>
  <c r="AA79" i="1"/>
  <c r="AB79" i="1"/>
  <c r="AB80" i="1"/>
  <c r="AB82" i="1"/>
  <c r="AA83" i="1"/>
  <c r="AB83" i="1"/>
  <c r="AA192" i="1"/>
  <c r="AB159" i="1"/>
  <c r="AA84" i="1"/>
  <c r="AB84" i="1"/>
  <c r="AB86" i="1"/>
  <c r="AB87" i="1"/>
  <c r="AB109" i="1"/>
  <c r="AA110" i="1"/>
  <c r="AB110" i="1"/>
  <c r="AA111" i="1"/>
  <c r="AB111" i="1"/>
  <c r="AA112" i="1"/>
  <c r="AB112" i="1"/>
  <c r="AA113" i="1"/>
  <c r="AB113" i="1"/>
  <c r="AB114" i="1"/>
  <c r="AA115" i="1"/>
  <c r="AB115" i="1"/>
  <c r="AA116" i="1"/>
  <c r="AA189" i="1"/>
  <c r="AB189" i="1"/>
  <c r="AA191" i="1"/>
  <c r="AB191" i="1"/>
  <c r="AB192" i="1"/>
  <c r="AB383" i="1"/>
  <c r="AA193" i="1"/>
  <c r="AB193" i="1"/>
  <c r="AB195" i="1"/>
  <c r="AB196" i="1"/>
  <c r="AA199" i="1"/>
  <c r="AB199" i="1"/>
  <c r="AA200" i="1"/>
  <c r="AB200" i="1"/>
  <c r="AB201" i="1"/>
  <c r="AA240" i="1"/>
  <c r="AB240" i="1"/>
  <c r="AA243" i="1"/>
  <c r="AA310" i="1"/>
  <c r="AA307" i="1"/>
  <c r="AA306" i="1"/>
  <c r="AB303" i="1"/>
  <c r="AA302" i="1"/>
  <c r="AA299" i="1"/>
  <c r="AA166" i="1"/>
  <c r="AB164" i="1"/>
  <c r="AB161" i="1"/>
  <c r="AB298" i="1"/>
  <c r="AA298" i="1"/>
  <c r="AB324" i="1"/>
  <c r="AC323" i="1"/>
  <c r="AA155" i="1"/>
  <c r="AB297" i="1"/>
  <c r="AA297" i="1"/>
  <c r="AB296" i="1"/>
  <c r="AA296" i="1"/>
  <c r="AB295" i="1"/>
  <c r="AA295" i="1"/>
  <c r="AB44" i="1"/>
  <c r="AA44" i="1"/>
  <c r="AB43" i="1"/>
  <c r="AA43" i="1"/>
  <c r="AB42" i="1"/>
  <c r="AA42" i="1"/>
  <c r="AB41" i="1"/>
  <c r="AA41" i="1"/>
  <c r="AB40" i="1"/>
  <c r="AB36" i="1"/>
  <c r="AB35" i="1"/>
  <c r="AB372" i="1"/>
  <c r="AB34" i="1"/>
  <c r="AA372" i="1"/>
  <c r="AB6" i="1"/>
  <c r="AC324" i="1"/>
  <c r="AA324" i="1"/>
  <c r="AB323" i="1"/>
  <c r="AA323" i="1"/>
  <c r="AB144" i="1"/>
  <c r="AA147" i="1"/>
  <c r="AB29" i="1"/>
  <c r="AA379" i="1"/>
  <c r="AB152" i="1"/>
  <c r="AB153" i="1"/>
  <c r="AB155" i="1"/>
  <c r="AA375" i="1"/>
  <c r="AE330" i="1" l="1"/>
  <c r="AD331" i="1"/>
  <c r="AE331" i="1"/>
  <c r="AC21" i="1"/>
  <c r="W66" i="2"/>
  <c r="V67" i="2"/>
  <c r="T20" i="2"/>
  <c r="T11" i="2"/>
  <c r="T10" i="2"/>
  <c r="T9" i="2"/>
  <c r="T13" i="2" s="1"/>
  <c r="X34" i="2"/>
  <c r="W7" i="2"/>
  <c r="V8" i="2"/>
  <c r="V25" i="2"/>
  <c r="AA289" i="1"/>
  <c r="AA290" i="1"/>
  <c r="AB290" i="1"/>
  <c r="AE173" i="1"/>
  <c r="AD171" i="1"/>
  <c r="AC171" i="1"/>
  <c r="AA253" i="1"/>
  <c r="AE380" i="1"/>
  <c r="AD158" i="1"/>
  <c r="AC19" i="1"/>
  <c r="AD19" i="1"/>
  <c r="AE19" i="1"/>
  <c r="AC20" i="1"/>
  <c r="AD20" i="1"/>
  <c r="AE20" i="1"/>
  <c r="AD329" i="1"/>
  <c r="AE329" i="1"/>
  <c r="AD330" i="1"/>
  <c r="AD29" i="1"/>
  <c r="AE29" i="1"/>
  <c r="AC30" i="1"/>
  <c r="AD30" i="1"/>
  <c r="AE30" i="1"/>
  <c r="AC31" i="1"/>
  <c r="AD31" i="1"/>
  <c r="AE31" i="1"/>
  <c r="AD259" i="1"/>
  <c r="AD317" i="1"/>
  <c r="AC161" i="1"/>
  <c r="AD165" i="1"/>
  <c r="AE310" i="1"/>
  <c r="AE319" i="1"/>
  <c r="AC293" i="1"/>
  <c r="AC297" i="1" s="1"/>
  <c r="AE286" i="1"/>
  <c r="AD282" i="1"/>
  <c r="AE277" i="1"/>
  <c r="AD277" i="1"/>
  <c r="AC277" i="1"/>
  <c r="AC273" i="1"/>
  <c r="AC274" i="1" s="1"/>
  <c r="AE269" i="1"/>
  <c r="AD269" i="1"/>
  <c r="AC269" i="1"/>
  <c r="AC270" i="1" s="1"/>
  <c r="AE265" i="1"/>
  <c r="AD265" i="1"/>
  <c r="AC265" i="1"/>
  <c r="AC266" i="1" s="1"/>
  <c r="AE259" i="1"/>
  <c r="AD258" i="1"/>
  <c r="AC257" i="1"/>
  <c r="AC261" i="1" s="1"/>
  <c r="AD256" i="1"/>
  <c r="AE249" i="1"/>
  <c r="AD249" i="1"/>
  <c r="AC249" i="1"/>
  <c r="AC250" i="1" s="1"/>
  <c r="AC247" i="1"/>
  <c r="AC248" i="1" s="1"/>
  <c r="AE245" i="1"/>
  <c r="AD245" i="1"/>
  <c r="AC245" i="1"/>
  <c r="AC246" i="1" s="1"/>
  <c r="AE243" i="1"/>
  <c r="AD243" i="1"/>
  <c r="AC243" i="1"/>
  <c r="AC244" i="1" s="1"/>
  <c r="AD123" i="1"/>
  <c r="AE317" i="1"/>
  <c r="AD320" i="1"/>
  <c r="AE162" i="1"/>
  <c r="AD306" i="1"/>
  <c r="AD318" i="1"/>
  <c r="AD294" i="1"/>
  <c r="AD286" i="1"/>
  <c r="AC282" i="1"/>
  <c r="AC187" i="1"/>
  <c r="AD184" i="1"/>
  <c r="AC182" i="1"/>
  <c r="AD181" i="1"/>
  <c r="AC178" i="1"/>
  <c r="AE177" i="1"/>
  <c r="AD177" i="1"/>
  <c r="AC177" i="1"/>
  <c r="AE176" i="1"/>
  <c r="AD176" i="1"/>
  <c r="AC176" i="1"/>
  <c r="AE175" i="1"/>
  <c r="AD175" i="1"/>
  <c r="AC175" i="1"/>
  <c r="AE174" i="1"/>
  <c r="AD174" i="1"/>
  <c r="AC174" i="1"/>
  <c r="AD170" i="1"/>
  <c r="AC170" i="1"/>
  <c r="AE169" i="1"/>
  <c r="AD169" i="1"/>
  <c r="AC169" i="1"/>
  <c r="AE167" i="1"/>
  <c r="AD167" i="1"/>
  <c r="AC167" i="1"/>
  <c r="AD59" i="1"/>
  <c r="AE58" i="1"/>
  <c r="AC58" i="1"/>
  <c r="AD57" i="1"/>
  <c r="AE56" i="1"/>
  <c r="AC56" i="1"/>
  <c r="AD53" i="1"/>
  <c r="AE52" i="1"/>
  <c r="AC52" i="1"/>
  <c r="AD51" i="1"/>
  <c r="AC49" i="1"/>
  <c r="AC48" i="1"/>
  <c r="AD47" i="1"/>
  <c r="AD45" i="1"/>
  <c r="AE120" i="1"/>
  <c r="AE316" i="1"/>
  <c r="AC164" i="1"/>
  <c r="AE294" i="1"/>
  <c r="AE293" i="1"/>
  <c r="AD284" i="1"/>
  <c r="AD280" i="1"/>
  <c r="AD188" i="1"/>
  <c r="AD187" i="1"/>
  <c r="AE184" i="1"/>
  <c r="AC183" i="1"/>
  <c r="AC181" i="1"/>
  <c r="AD178" i="1"/>
  <c r="AC108" i="1"/>
  <c r="AD104" i="1"/>
  <c r="AC103" i="1"/>
  <c r="AC102" i="1"/>
  <c r="AE101" i="1"/>
  <c r="AC101" i="1"/>
  <c r="AE98" i="1"/>
  <c r="AD98" i="1"/>
  <c r="AC98" i="1"/>
  <c r="AE97" i="1"/>
  <c r="AD97" i="1"/>
  <c r="AC97" i="1"/>
  <c r="AE96" i="1"/>
  <c r="AD96" i="1"/>
  <c r="AC96" i="1"/>
  <c r="AE95" i="1"/>
  <c r="AD95" i="1"/>
  <c r="AC95" i="1"/>
  <c r="AE94" i="1"/>
  <c r="AD94" i="1"/>
  <c r="AC94" i="1"/>
  <c r="AE93" i="1"/>
  <c r="AD93" i="1"/>
  <c r="AC93" i="1"/>
  <c r="AE92" i="1"/>
  <c r="AD92" i="1"/>
  <c r="AC92" i="1"/>
  <c r="AE91" i="1"/>
  <c r="AD91" i="1"/>
  <c r="AC91" i="1"/>
  <c r="AE90" i="1"/>
  <c r="AD90" i="1"/>
  <c r="AC90" i="1"/>
  <c r="AE75" i="1"/>
  <c r="AC76" i="1"/>
  <c r="AD195" i="1"/>
  <c r="AE195" i="1"/>
  <c r="AC196" i="1"/>
  <c r="AD196" i="1"/>
  <c r="AE196" i="1"/>
  <c r="AC199" i="1"/>
  <c r="AD199" i="1"/>
  <c r="AE199" i="1"/>
  <c r="AC200" i="1"/>
  <c r="AD200" i="1"/>
  <c r="AE200" i="1"/>
  <c r="AC201" i="1"/>
  <c r="AD201" i="1"/>
  <c r="AE201" i="1"/>
  <c r="AC240" i="1"/>
  <c r="AD240" i="1"/>
  <c r="AE240" i="1"/>
  <c r="AC310" i="1"/>
  <c r="AC311" i="1" s="1"/>
  <c r="AC306" i="1"/>
  <c r="AC307" i="1" s="1"/>
  <c r="AE302" i="1"/>
  <c r="AC302" i="1"/>
  <c r="AC303" i="1" s="1"/>
  <c r="AE256" i="1"/>
  <c r="AE116" i="1"/>
  <c r="AC158" i="1"/>
  <c r="AC160" i="1"/>
  <c r="AE374" i="1"/>
  <c r="AE141" i="1"/>
  <c r="AD144" i="1"/>
  <c r="AD146" i="1"/>
  <c r="AC148" i="1"/>
  <c r="AC383" i="1"/>
  <c r="AC159" i="1"/>
  <c r="AC373" i="1"/>
  <c r="AD142" i="1"/>
  <c r="AC146" i="1"/>
  <c r="AE149" i="1"/>
  <c r="AD381" i="1"/>
  <c r="AC259" i="1"/>
  <c r="AE258" i="1"/>
  <c r="AC258" i="1"/>
  <c r="AC256" i="1"/>
  <c r="AC260" i="1" s="1"/>
  <c r="AE170" i="1"/>
  <c r="AD75" i="1"/>
  <c r="AB381" i="1"/>
  <c r="AC337" i="1"/>
  <c r="AD173" i="1"/>
  <c r="AC173" i="1"/>
  <c r="AE171" i="1"/>
  <c r="AC75" i="1"/>
  <c r="AB320" i="1"/>
  <c r="AA337" i="1"/>
  <c r="AA331" i="1"/>
  <c r="AB331" i="1"/>
  <c r="AC331" i="1"/>
  <c r="AB376" i="1"/>
  <c r="AA381" i="1"/>
  <c r="AC320" i="1"/>
  <c r="AB253" i="1"/>
  <c r="AB289" i="1"/>
  <c r="AA376" i="1"/>
  <c r="AA252" i="1"/>
  <c r="AB337" i="1"/>
  <c r="AB252" i="1"/>
  <c r="AA320" i="1"/>
  <c r="AD159" i="1"/>
  <c r="AC44" i="1"/>
  <c r="AE379" i="1"/>
  <c r="AD310" i="1"/>
  <c r="AE318" i="1"/>
  <c r="AE306" i="1"/>
  <c r="AD319" i="1"/>
  <c r="AC294" i="1"/>
  <c r="AD293" i="1"/>
  <c r="AC284" i="1"/>
  <c r="AE282" i="1"/>
  <c r="AC280" i="1"/>
  <c r="AC188" i="1"/>
  <c r="AE187" i="1"/>
  <c r="AE183" i="1"/>
  <c r="AE182" i="1"/>
  <c r="AE178" i="1"/>
  <c r="AD108" i="1"/>
  <c r="AC105" i="1"/>
  <c r="AE104" i="1"/>
  <c r="AD103" i="1"/>
  <c r="AE102" i="1"/>
  <c r="AD101" i="1"/>
  <c r="AE74" i="1"/>
  <c r="AC74" i="1"/>
  <c r="AD71" i="1"/>
  <c r="AE70" i="1"/>
  <c r="AC70" i="1"/>
  <c r="AD69" i="1"/>
  <c r="AD66" i="1"/>
  <c r="AD46" i="1"/>
  <c r="AC123" i="1"/>
  <c r="AD6" i="1"/>
  <c r="AE6" i="1"/>
  <c r="AE324" i="1"/>
  <c r="AC12" i="1"/>
  <c r="AD12" i="1"/>
  <c r="AE12" i="1"/>
  <c r="AC13" i="1"/>
  <c r="AD13" i="1"/>
  <c r="AE13" i="1"/>
  <c r="AC14" i="1"/>
  <c r="AD14" i="1"/>
  <c r="AE14" i="1"/>
  <c r="AD325" i="1"/>
  <c r="AE325" i="1"/>
  <c r="AD328" i="1"/>
  <c r="AE328" i="1"/>
  <c r="AD15" i="1"/>
  <c r="AE15" i="1"/>
  <c r="AD16" i="1"/>
  <c r="AE16" i="1"/>
  <c r="AC17" i="1"/>
  <c r="AD17" i="1"/>
  <c r="AE17" i="1"/>
  <c r="AC18" i="1"/>
  <c r="AD18" i="1"/>
  <c r="AE18" i="1"/>
  <c r="AC32" i="1"/>
  <c r="AD32" i="1"/>
  <c r="AE32" i="1"/>
  <c r="AC33" i="1"/>
  <c r="AD33" i="1"/>
  <c r="AE33" i="1"/>
  <c r="AC368" i="1"/>
  <c r="AD368" i="1"/>
  <c r="AE368" i="1"/>
  <c r="AC369" i="1"/>
  <c r="AD369" i="1"/>
  <c r="AE369" i="1"/>
  <c r="AC370" i="1"/>
  <c r="AD370" i="1"/>
  <c r="AE370" i="1"/>
  <c r="AC371" i="1"/>
  <c r="AD371" i="1"/>
  <c r="AC45" i="1"/>
  <c r="AC120" i="1"/>
  <c r="AE123" i="1"/>
  <c r="AC124" i="1"/>
  <c r="AD124" i="1"/>
  <c r="AE124" i="1"/>
  <c r="AC125" i="1"/>
  <c r="AD125" i="1"/>
  <c r="AE125" i="1"/>
  <c r="AC126" i="1"/>
  <c r="AD126" i="1"/>
  <c r="AE126" i="1"/>
  <c r="AC127" i="1"/>
  <c r="AC129" i="1"/>
  <c r="AD129" i="1"/>
  <c r="AE129" i="1"/>
  <c r="AC130" i="1"/>
  <c r="AD130" i="1"/>
  <c r="AE130" i="1"/>
  <c r="AC131" i="1"/>
  <c r="AD131" i="1"/>
  <c r="AE131" i="1"/>
  <c r="AC132" i="1"/>
  <c r="AD132" i="1"/>
  <c r="AE132" i="1"/>
  <c r="AC133" i="1"/>
  <c r="AD133" i="1"/>
  <c r="AE133" i="1"/>
  <c r="AC135" i="1"/>
  <c r="AD135" i="1"/>
  <c r="AE135" i="1"/>
  <c r="AC136" i="1"/>
  <c r="AD136" i="1"/>
  <c r="AE136" i="1"/>
  <c r="AC137" i="1"/>
  <c r="AD137" i="1"/>
  <c r="AE137" i="1"/>
  <c r="AC380" i="1"/>
  <c r="AC138" i="1"/>
  <c r="AD138" i="1"/>
  <c r="AE138" i="1"/>
  <c r="AC140" i="1"/>
  <c r="AD140" i="1"/>
  <c r="AE140" i="1"/>
  <c r="AD161" i="1"/>
  <c r="AC162" i="1"/>
  <c r="AD164" i="1"/>
  <c r="AE165" i="1"/>
  <c r="AD44" i="1"/>
  <c r="AC46" i="1"/>
  <c r="AE89" i="1"/>
  <c r="AD89" i="1"/>
  <c r="AC89" i="1"/>
  <c r="AE88" i="1"/>
  <c r="AD88" i="1"/>
  <c r="AC88" i="1"/>
  <c r="AE87" i="1"/>
  <c r="AD87" i="1"/>
  <c r="AC87" i="1"/>
  <c r="AD120" i="1"/>
  <c r="AE160" i="1"/>
  <c r="AD302" i="1"/>
  <c r="AD316" i="1"/>
  <c r="AC286" i="1"/>
  <c r="AE284" i="1"/>
  <c r="AE280" i="1"/>
  <c r="AE188" i="1"/>
  <c r="AC184" i="1"/>
  <c r="AD183" i="1"/>
  <c r="AD182" i="1"/>
  <c r="AE181" i="1"/>
  <c r="AE108" i="1"/>
  <c r="AC104" i="1"/>
  <c r="AE103" i="1"/>
  <c r="AD102" i="1"/>
  <c r="AD74" i="1"/>
  <c r="AE71" i="1"/>
  <c r="AC71" i="1"/>
  <c r="AD70" i="1"/>
  <c r="AE69" i="1"/>
  <c r="AC69" i="1"/>
  <c r="AE66" i="1"/>
  <c r="AC66" i="1"/>
  <c r="AE65" i="1"/>
  <c r="AD65" i="1"/>
  <c r="AC65" i="1"/>
  <c r="AE64" i="1"/>
  <c r="AD64" i="1"/>
  <c r="AC64" i="1"/>
  <c r="AE62" i="1"/>
  <c r="AD62" i="1"/>
  <c r="AC62" i="1"/>
  <c r="AE61" i="1"/>
  <c r="AD61" i="1"/>
  <c r="AC61" i="1"/>
  <c r="AE60" i="1"/>
  <c r="AD60" i="1"/>
  <c r="AC60" i="1"/>
  <c r="AE59" i="1"/>
  <c r="AC59" i="1"/>
  <c r="AD58" i="1"/>
  <c r="AE57" i="1"/>
  <c r="AC57" i="1"/>
  <c r="AD56" i="1"/>
  <c r="AE53" i="1"/>
  <c r="AC53" i="1"/>
  <c r="AD52" i="1"/>
  <c r="AE51" i="1"/>
  <c r="AC51" i="1"/>
  <c r="AD49" i="1"/>
  <c r="AD48" i="1"/>
  <c r="AC47" i="1"/>
  <c r="AD21" i="1"/>
  <c r="AE21" i="1"/>
  <c r="AC22" i="1"/>
  <c r="AD22" i="1"/>
  <c r="AE22" i="1"/>
  <c r="AC23" i="1"/>
  <c r="AD23" i="1"/>
  <c r="AE23" i="1"/>
  <c r="AC27" i="1"/>
  <c r="AD27" i="1"/>
  <c r="AD28" i="1"/>
  <c r="AC29" i="1"/>
  <c r="AD373" i="1"/>
  <c r="AE376" i="1"/>
  <c r="AD379" i="1"/>
  <c r="AD116" i="1"/>
  <c r="AE159" i="1"/>
  <c r="AD380" i="1"/>
  <c r="AE147" i="1"/>
  <c r="AD149" i="1"/>
  <c r="AE153" i="1"/>
  <c r="AE155" i="1"/>
  <c r="AE145" i="1"/>
  <c r="AC149" i="1"/>
  <c r="AD155" i="1"/>
  <c r="AC117" i="1"/>
  <c r="AD117" i="1"/>
  <c r="AE117" i="1"/>
  <c r="AC118" i="1"/>
  <c r="AD118" i="1"/>
  <c r="AE118" i="1"/>
  <c r="AC119" i="1"/>
  <c r="AD119" i="1"/>
  <c r="AE119" i="1"/>
  <c r="AD372" i="1"/>
  <c r="AE373" i="1"/>
  <c r="AD374" i="1"/>
  <c r="AD375" i="1"/>
  <c r="AD141" i="1"/>
  <c r="AE142" i="1"/>
  <c r="AC144" i="1"/>
  <c r="AD145" i="1"/>
  <c r="AE146" i="1"/>
  <c r="AC147" i="1"/>
  <c r="AD148" i="1"/>
  <c r="AC152" i="1"/>
  <c r="AD153" i="1"/>
  <c r="AE154" i="1"/>
  <c r="AC155" i="1"/>
  <c r="AC381" i="1"/>
  <c r="AD383" i="1"/>
  <c r="AC375" i="1"/>
  <c r="AC142" i="1"/>
  <c r="AE152" i="1"/>
  <c r="AC154" i="1"/>
  <c r="AE381" i="1"/>
  <c r="AE158" i="1"/>
  <c r="AD160" i="1"/>
  <c r="AE375" i="1"/>
  <c r="AE144" i="1"/>
  <c r="AD76" i="1"/>
  <c r="AE76" i="1"/>
  <c r="AC77" i="1"/>
  <c r="AD77" i="1"/>
  <c r="AE77" i="1"/>
  <c r="AC78" i="1"/>
  <c r="AD78" i="1"/>
  <c r="AE78" i="1"/>
  <c r="AC79" i="1"/>
  <c r="AD79" i="1"/>
  <c r="AE79" i="1"/>
  <c r="AC80" i="1"/>
  <c r="AD80" i="1"/>
  <c r="AE80" i="1"/>
  <c r="AC82" i="1"/>
  <c r="AD82" i="1"/>
  <c r="AE82" i="1"/>
  <c r="AD191" i="1"/>
  <c r="AD147" i="1"/>
  <c r="AD154" i="1"/>
  <c r="AC83" i="1"/>
  <c r="AD83" i="1"/>
  <c r="AE83" i="1"/>
  <c r="AC84" i="1"/>
  <c r="AD84" i="1"/>
  <c r="AE84" i="1"/>
  <c r="AC86" i="1"/>
  <c r="AD86" i="1"/>
  <c r="AE86" i="1"/>
  <c r="AC109" i="1"/>
  <c r="AD109" i="1"/>
  <c r="AE109" i="1"/>
  <c r="AC110" i="1"/>
  <c r="AD110" i="1"/>
  <c r="AE110" i="1"/>
  <c r="AC111" i="1"/>
  <c r="AD111" i="1"/>
  <c r="AE111" i="1"/>
  <c r="AC112" i="1"/>
  <c r="AD112" i="1"/>
  <c r="AE112" i="1"/>
  <c r="AC113" i="1"/>
  <c r="AD113" i="1"/>
  <c r="AE113" i="1"/>
  <c r="AC114" i="1"/>
  <c r="AD114" i="1"/>
  <c r="AE114" i="1"/>
  <c r="AC115" i="1"/>
  <c r="AD115" i="1"/>
  <c r="AE115" i="1"/>
  <c r="AC189" i="1"/>
  <c r="AD189" i="1"/>
  <c r="AE189" i="1"/>
  <c r="AC191" i="1"/>
  <c r="AE191" i="1"/>
  <c r="AD152" i="1"/>
  <c r="AC192" i="1"/>
  <c r="AD192" i="1"/>
  <c r="AE192" i="1"/>
  <c r="AC193" i="1"/>
  <c r="AD193" i="1"/>
  <c r="AE193" i="1"/>
  <c r="AC195" i="1"/>
  <c r="AC165" i="1"/>
  <c r="AE164" i="1"/>
  <c r="AD162" i="1"/>
  <c r="AE161" i="1"/>
  <c r="AE323" i="1"/>
  <c r="AC141" i="1"/>
  <c r="AC145" i="1"/>
  <c r="AE148" i="1"/>
  <c r="AE296" i="1"/>
  <c r="AD296" i="1"/>
  <c r="AC296" i="1"/>
  <c r="AE295" i="1"/>
  <c r="AD295" i="1"/>
  <c r="AC295" i="1"/>
  <c r="AE166" i="1"/>
  <c r="AD166" i="1"/>
  <c r="AC166" i="1"/>
  <c r="AD43" i="1"/>
  <c r="AC43" i="1"/>
  <c r="AD42" i="1"/>
  <c r="AC42" i="1"/>
  <c r="AD41" i="1"/>
  <c r="AC41" i="1"/>
  <c r="AD40" i="1"/>
  <c r="AC40" i="1"/>
  <c r="AC372" i="1"/>
  <c r="AE36" i="1"/>
  <c r="AD36" i="1"/>
  <c r="AC36" i="1"/>
  <c r="AE35" i="1"/>
  <c r="AD35" i="1"/>
  <c r="AC35" i="1"/>
  <c r="AE34" i="1"/>
  <c r="AD34" i="1"/>
  <c r="AC34" i="1"/>
  <c r="AE371" i="1"/>
  <c r="AC6" i="1"/>
  <c r="AD324" i="1"/>
  <c r="AD323" i="1"/>
  <c r="AC153" i="1"/>
  <c r="AE383" i="1"/>
  <c r="AE320" i="1"/>
  <c r="AE27" i="1"/>
  <c r="AC28" i="1"/>
  <c r="AE28" i="1"/>
  <c r="AE372" i="1"/>
  <c r="AC374" i="1"/>
  <c r="AD376" i="1"/>
  <c r="AC379" i="1"/>
  <c r="AC116" i="1"/>
  <c r="AE270" i="1" l="1"/>
  <c r="AD270" i="1"/>
  <c r="X66" i="2"/>
  <c r="W67" i="2"/>
  <c r="T14" i="2"/>
  <c r="T15" i="2"/>
  <c r="T16" i="2"/>
  <c r="T17" i="2" s="1"/>
  <c r="T68" i="2"/>
  <c r="T69" i="2" s="1"/>
  <c r="T28" i="2"/>
  <c r="T27" i="2"/>
  <c r="T26" i="2"/>
  <c r="Y34" i="2"/>
  <c r="X7" i="2"/>
  <c r="W8" i="2"/>
  <c r="W25" i="2"/>
  <c r="V9" i="2"/>
  <c r="V10" i="2"/>
  <c r="V11" i="2"/>
  <c r="V20" i="2"/>
  <c r="AE287" i="1"/>
  <c r="AD307" i="1"/>
  <c r="AE298" i="1"/>
  <c r="AE290" i="1"/>
  <c r="AC252" i="1"/>
  <c r="AE266" i="1"/>
  <c r="AD266" i="1"/>
  <c r="AC262" i="1"/>
  <c r="AE250" i="1"/>
  <c r="AE246" i="1"/>
  <c r="AE244" i="1"/>
  <c r="AD244" i="1"/>
  <c r="AE307" i="1"/>
  <c r="AE283" i="1"/>
  <c r="AE285" i="1"/>
  <c r="AE281" i="1"/>
  <c r="AC253" i="1"/>
  <c r="AE289" i="1"/>
  <c r="AD289" i="1"/>
  <c r="AC289" i="1"/>
  <c r="AD321" i="1"/>
  <c r="AE260" i="1"/>
  <c r="AD260" i="1"/>
  <c r="AD283" i="1"/>
  <c r="AC283" i="1"/>
  <c r="AB325" i="1"/>
  <c r="AB321" i="1"/>
  <c r="AC325" i="1"/>
  <c r="AC321" i="1"/>
  <c r="AA325" i="1"/>
  <c r="AA321" i="1"/>
  <c r="AE311" i="1"/>
  <c r="AD311" i="1"/>
  <c r="AD298" i="1"/>
  <c r="AC298" i="1"/>
  <c r="AC299" i="1" s="1"/>
  <c r="AE297" i="1"/>
  <c r="AD297" i="1"/>
  <c r="AD285" i="1"/>
  <c r="AC285" i="1"/>
  <c r="AD281" i="1"/>
  <c r="AC281" i="1"/>
  <c r="AE303" i="1"/>
  <c r="AD303" i="1"/>
  <c r="AD287" i="1"/>
  <c r="AC290" i="1"/>
  <c r="AC287" i="1"/>
  <c r="AC376" i="1"/>
  <c r="AD290" i="1"/>
  <c r="AE321" i="1"/>
  <c r="V13" i="2" l="1"/>
  <c r="V16" i="2" s="1"/>
  <c r="V17" i="2" s="1"/>
  <c r="Y66" i="2"/>
  <c r="Y67" i="2" s="1"/>
  <c r="X67" i="2"/>
  <c r="X8" i="2"/>
  <c r="X25" i="2"/>
  <c r="W9" i="2"/>
  <c r="W10" i="2"/>
  <c r="W27" i="2" s="1"/>
  <c r="W11" i="2"/>
  <c r="W28" i="2" s="1"/>
  <c r="W20" i="2"/>
  <c r="V26" i="2"/>
  <c r="V27" i="2"/>
  <c r="V28" i="2"/>
  <c r="AE299" i="1"/>
  <c r="AD299" i="1"/>
  <c r="AG67" i="2" l="1"/>
  <c r="V68" i="2"/>
  <c r="V69" i="2" s="1"/>
  <c r="V15" i="2"/>
  <c r="V14" i="2"/>
  <c r="X9" i="2"/>
  <c r="X10" i="2"/>
  <c r="X11" i="2"/>
  <c r="X20" i="2"/>
  <c r="W26" i="2"/>
  <c r="W13" i="2"/>
  <c r="X26" i="2" l="1"/>
  <c r="X13" i="2"/>
  <c r="X15" i="2" s="1"/>
  <c r="X27" i="2"/>
  <c r="X28" i="2"/>
  <c r="W68" i="2"/>
  <c r="W69" i="2" s="1"/>
  <c r="W16" i="2"/>
  <c r="W17" i="2" s="1"/>
  <c r="W15" i="2"/>
  <c r="W14" i="2"/>
  <c r="X14" i="2" l="1"/>
  <c r="X16" i="2"/>
  <c r="X17" i="2" s="1"/>
  <c r="X68" i="2"/>
  <c r="X69" i="2" s="1"/>
  <c r="S46" i="2" l="1"/>
  <c r="Q3" i="2" l="1"/>
  <c r="AG6" i="3" s="1"/>
  <c r="Q4" i="2"/>
  <c r="Q5" i="2"/>
  <c r="AG7" i="3" s="1"/>
  <c r="Q6" i="2"/>
  <c r="AG9" i="3" s="1"/>
  <c r="Q7" i="2"/>
  <c r="Q9" i="2"/>
  <c r="Q10" i="2"/>
  <c r="Q11" i="2"/>
  <c r="Q47" i="2"/>
  <c r="Q48" i="2"/>
  <c r="Q49" i="2"/>
  <c r="Q53" i="2"/>
  <c r="Q54" i="2"/>
  <c r="Q55" i="2"/>
  <c r="Q72" i="2"/>
  <c r="Q73" i="2"/>
  <c r="Q74" i="2"/>
  <c r="Q75" i="2"/>
  <c r="AG13" i="3" l="1"/>
  <c r="AG12" i="3"/>
  <c r="R46" i="2"/>
  <c r="U3" i="2"/>
  <c r="Q8" i="2"/>
  <c r="AG10" i="3" s="1"/>
  <c r="AG8" i="3" s="1"/>
  <c r="Q31" i="2"/>
  <c r="Q57" i="2"/>
  <c r="Q32" i="2"/>
  <c r="U32" i="2" s="1"/>
  <c r="Q33" i="2"/>
  <c r="U33" i="2" s="1"/>
  <c r="Q34" i="2"/>
  <c r="Q76" i="2"/>
  <c r="Q52" i="2"/>
  <c r="Q46" i="2"/>
  <c r="AG14" i="3" l="1"/>
  <c r="Q38" i="2"/>
  <c r="U38" i="2" s="1"/>
  <c r="Y38" i="2" s="1"/>
  <c r="Q39" i="2"/>
  <c r="U39" i="2" s="1"/>
  <c r="Y39" i="2" s="1"/>
  <c r="Q40" i="2"/>
  <c r="U7" i="2"/>
  <c r="AF3" i="2"/>
  <c r="Y3" i="2"/>
  <c r="Q13" i="2"/>
  <c r="AE57" i="2"/>
  <c r="Q63" i="2"/>
  <c r="U57" i="2"/>
  <c r="Y32" i="2"/>
  <c r="U5" i="2"/>
  <c r="Y33" i="2"/>
  <c r="U6" i="2"/>
  <c r="Y5" i="2" l="1"/>
  <c r="Y6" i="2"/>
  <c r="AF7" i="2"/>
  <c r="U25" i="2"/>
  <c r="AF21" i="2"/>
  <c r="Y7" i="2"/>
  <c r="AG3" i="2"/>
  <c r="Q14" i="2"/>
  <c r="Q16" i="2"/>
  <c r="Q17" i="2" s="1"/>
  <c r="Q68" i="2"/>
  <c r="AE63" i="2"/>
  <c r="AF57" i="2"/>
  <c r="AF58" i="2" s="1"/>
  <c r="U63" i="2"/>
  <c r="Y57" i="2"/>
  <c r="AF5" i="2"/>
  <c r="U23" i="2"/>
  <c r="AF6" i="2"/>
  <c r="U24" i="2"/>
  <c r="Y23" i="2" l="1"/>
  <c r="AG5" i="2"/>
  <c r="Y24" i="2"/>
  <c r="AG6" i="2"/>
  <c r="AF25" i="2"/>
  <c r="AF34" i="2"/>
  <c r="AG7" i="2"/>
  <c r="Y25" i="2"/>
  <c r="AG21" i="2"/>
  <c r="AF63" i="2"/>
  <c r="AF64" i="2" s="1"/>
  <c r="U4" i="2"/>
  <c r="U64" i="2"/>
  <c r="AG57" i="2"/>
  <c r="AG58" i="2" s="1"/>
  <c r="Y63" i="2"/>
  <c r="AF23" i="2"/>
  <c r="AF32" i="2"/>
  <c r="AF33" i="2"/>
  <c r="AF24" i="2"/>
  <c r="AG32" i="2" l="1"/>
  <c r="AG23" i="2"/>
  <c r="AG24" i="2"/>
  <c r="AG33" i="2"/>
  <c r="AG25" i="2"/>
  <c r="AG34" i="2"/>
  <c r="U8" i="2"/>
  <c r="AF4" i="2"/>
  <c r="U22" i="2"/>
  <c r="AG63" i="2"/>
  <c r="AG64" i="2" s="1"/>
  <c r="Y4" i="2"/>
  <c r="Y64" i="2"/>
  <c r="U20" i="2" l="1"/>
  <c r="U11" i="2"/>
  <c r="U10" i="2"/>
  <c r="U9" i="2"/>
  <c r="AF8" i="2"/>
  <c r="AF22" i="2"/>
  <c r="AF31" i="2"/>
  <c r="Y8" i="2"/>
  <c r="AG4" i="2"/>
  <c r="Y22" i="2"/>
  <c r="U13" i="2" l="1"/>
  <c r="AF11" i="2"/>
  <c r="U28" i="2"/>
  <c r="AF10" i="2"/>
  <c r="U27" i="2"/>
  <c r="AF9" i="2"/>
  <c r="U26" i="2"/>
  <c r="AF20" i="2"/>
  <c r="Y20" i="2"/>
  <c r="Y11" i="2"/>
  <c r="Y10" i="2"/>
  <c r="Y9" i="2"/>
  <c r="AG8" i="2"/>
  <c r="AG31" i="2"/>
  <c r="AG22" i="2"/>
  <c r="U16" i="2" l="1"/>
  <c r="U17" i="2" s="1"/>
  <c r="U15" i="2"/>
  <c r="AF13" i="2"/>
  <c r="U68" i="2"/>
  <c r="U69" i="2" s="1"/>
  <c r="U14" i="2"/>
  <c r="Y13" i="2"/>
  <c r="AF28" i="2"/>
  <c r="AF40" i="2"/>
  <c r="AF27" i="2"/>
  <c r="AF39" i="2"/>
  <c r="AF26" i="2"/>
  <c r="AF38" i="2"/>
  <c r="AG11" i="2"/>
  <c r="Y28" i="2"/>
  <c r="AG10" i="2"/>
  <c r="Y27" i="2"/>
  <c r="AG9" i="2"/>
  <c r="Y26" i="2"/>
  <c r="AG20" i="2"/>
  <c r="AF14" i="2" l="1"/>
  <c r="AF15" i="2"/>
  <c r="AF16" i="2"/>
  <c r="AF17" i="2" s="1"/>
  <c r="AF68" i="2"/>
  <c r="AF69" i="2" s="1"/>
  <c r="AG13" i="2"/>
  <c r="AG14" i="2" s="1"/>
  <c r="Y14" i="2"/>
  <c r="Y16" i="2"/>
  <c r="Y17" i="2" s="1"/>
  <c r="Y68" i="2"/>
  <c r="Y69" i="2" s="1"/>
  <c r="Y15" i="2"/>
  <c r="AG40" i="2"/>
  <c r="AG28" i="2"/>
  <c r="AG39" i="2"/>
  <c r="AG27" i="2"/>
  <c r="AG38" i="2"/>
  <c r="AG26" i="2"/>
  <c r="AG15" i="2" l="1"/>
  <c r="AG16" i="2"/>
  <c r="AG17" i="2" s="1"/>
  <c r="AG68" i="2"/>
  <c r="AG69" i="2" s="1"/>
  <c r="P46" i="2" l="1"/>
  <c r="I75" i="2" l="1"/>
  <c r="I74" i="2"/>
  <c r="I73" i="2"/>
  <c r="I72" i="2"/>
  <c r="O46" i="2"/>
  <c r="I76" i="2" l="1"/>
  <c r="N46" i="2" l="1"/>
  <c r="M75" i="2" l="1"/>
  <c r="M74" i="2"/>
  <c r="M73" i="2"/>
  <c r="M72" i="2"/>
  <c r="M12" i="2"/>
  <c r="M11" i="2"/>
  <c r="M10" i="2"/>
  <c r="M9" i="2"/>
  <c r="M7" i="2"/>
  <c r="M6" i="2"/>
  <c r="AC9" i="3" s="1"/>
  <c r="M5" i="2"/>
  <c r="AC7" i="3" s="1"/>
  <c r="M4" i="2"/>
  <c r="M3" i="2"/>
  <c r="AC6" i="3" s="1"/>
  <c r="M46" i="2"/>
  <c r="AC13" i="3" l="1"/>
  <c r="AG18" i="3"/>
  <c r="AC12" i="3"/>
  <c r="AG17" i="3"/>
  <c r="Q82" i="2"/>
  <c r="M82" i="2"/>
  <c r="Q81" i="2"/>
  <c r="M81" i="2"/>
  <c r="Q80" i="2"/>
  <c r="M80" i="2"/>
  <c r="Q79" i="2"/>
  <c r="M76" i="2"/>
  <c r="M79" i="2"/>
  <c r="Q28" i="2"/>
  <c r="Q27" i="2"/>
  <c r="Q26" i="2"/>
  <c r="Q25" i="2"/>
  <c r="M34" i="2"/>
  <c r="Q24" i="2"/>
  <c r="M33" i="2"/>
  <c r="Q23" i="2"/>
  <c r="M32" i="2"/>
  <c r="Q22" i="2"/>
  <c r="M57" i="2"/>
  <c r="M31" i="2"/>
  <c r="Q21" i="2"/>
  <c r="M8" i="2"/>
  <c r="AC10" i="3" s="1"/>
  <c r="AC8" i="3" s="1"/>
  <c r="AC14" i="3" l="1"/>
  <c r="AG19" i="3"/>
  <c r="Q58" i="2"/>
  <c r="AD57" i="2"/>
  <c r="M63" i="2"/>
  <c r="Q20" i="2"/>
  <c r="M13" i="2"/>
  <c r="M40" i="2"/>
  <c r="M39" i="2"/>
  <c r="M38" i="2"/>
  <c r="AE58" i="2" l="1"/>
  <c r="Q64" i="2"/>
  <c r="AD63" i="2"/>
  <c r="Q15" i="2"/>
  <c r="M14" i="2"/>
  <c r="M16" i="2"/>
  <c r="M17" i="2" s="1"/>
  <c r="M68" i="2"/>
  <c r="AE64" i="2" l="1"/>
  <c r="Q69" i="2"/>
  <c r="L46" i="2" l="1"/>
  <c r="K46" i="2" l="1"/>
  <c r="I48" i="2" l="1"/>
  <c r="I47" i="2"/>
  <c r="F46" i="2"/>
  <c r="G46" i="2"/>
  <c r="H46" i="2"/>
  <c r="J46" i="2" l="1"/>
  <c r="I46" i="2"/>
  <c r="I12" i="2" l="1"/>
  <c r="I11" i="2"/>
  <c r="I10" i="2"/>
  <c r="I9" i="2"/>
  <c r="I7" i="2"/>
  <c r="I6" i="2"/>
  <c r="Y9" i="3" s="1"/>
  <c r="I5" i="2"/>
  <c r="Y7" i="3" s="1"/>
  <c r="Y13" i="3" s="1"/>
  <c r="I4" i="2"/>
  <c r="I3" i="2"/>
  <c r="Y6" i="3" s="1"/>
  <c r="C27" i="3" l="1"/>
  <c r="C28" i="3" a="1"/>
  <c r="B27" i="3"/>
  <c r="B28" i="3" a="1"/>
  <c r="Y18" i="3"/>
  <c r="AC18" i="3"/>
  <c r="Y12" i="3"/>
  <c r="Y17" i="3"/>
  <c r="B30" i="3" s="1" a="1"/>
  <c r="AC17" i="3"/>
  <c r="M28" i="2"/>
  <c r="I28" i="2"/>
  <c r="M27" i="2"/>
  <c r="I27" i="2"/>
  <c r="M26" i="2"/>
  <c r="I26" i="2"/>
  <c r="M25" i="2"/>
  <c r="I25" i="2"/>
  <c r="I34" i="2"/>
  <c r="M24" i="2"/>
  <c r="I33" i="2"/>
  <c r="I24" i="2"/>
  <c r="M23" i="2"/>
  <c r="I23" i="2"/>
  <c r="I32" i="2"/>
  <c r="M22" i="2"/>
  <c r="I22" i="2"/>
  <c r="I31" i="2"/>
  <c r="I57" i="2"/>
  <c r="M21" i="2"/>
  <c r="I21" i="2"/>
  <c r="C30" i="3" l="1" a="1"/>
  <c r="C29" i="3"/>
  <c r="B29" i="3"/>
  <c r="C25" i="3"/>
  <c r="C26" i="3" a="1"/>
  <c r="B25" i="3"/>
  <c r="B26" i="3" a="1"/>
  <c r="M58" i="2"/>
  <c r="AC57" i="2"/>
  <c r="I58" i="2"/>
  <c r="I63" i="2"/>
  <c r="AD58" i="2" l="1"/>
  <c r="AC58" i="2"/>
  <c r="M64" i="2"/>
  <c r="AC63" i="2"/>
  <c r="I64" i="2"/>
  <c r="AD64" i="2" l="1"/>
  <c r="AC64" i="2"/>
  <c r="B46" i="2" l="1"/>
  <c r="B8" i="2"/>
  <c r="R10" i="3" s="1"/>
  <c r="R8" i="3" s="1"/>
  <c r="F8" i="2"/>
  <c r="V10" i="3" s="1"/>
  <c r="V8" i="3" s="1"/>
  <c r="R14" i="3" l="1"/>
  <c r="R19" i="3"/>
  <c r="V14" i="3"/>
  <c r="V19" i="3"/>
  <c r="Z19" i="3"/>
  <c r="AB55" i="2"/>
  <c r="AB54" i="2"/>
  <c r="AB53" i="2"/>
  <c r="AB49" i="2"/>
  <c r="AB48" i="2"/>
  <c r="AB47" i="2"/>
  <c r="AB46" i="2" s="1"/>
  <c r="AB12" i="2"/>
  <c r="AB11" i="2"/>
  <c r="AB10" i="2"/>
  <c r="AB9" i="2"/>
  <c r="AB7" i="2"/>
  <c r="AB6" i="2"/>
  <c r="AB5" i="2"/>
  <c r="AB4" i="2"/>
  <c r="AB3" i="2"/>
  <c r="E46" i="2"/>
  <c r="D46" i="2"/>
  <c r="C46" i="2"/>
  <c r="E8" i="2"/>
  <c r="U10" i="3" s="1"/>
  <c r="U8" i="3" s="1"/>
  <c r="D8" i="2"/>
  <c r="T10" i="3" s="1"/>
  <c r="T8" i="3" s="1"/>
  <c r="C8" i="2"/>
  <c r="S10" i="3" s="1"/>
  <c r="S8" i="3" s="1"/>
  <c r="B38" i="2"/>
  <c r="B39" i="2"/>
  <c r="B40" i="2"/>
  <c r="H8" i="2"/>
  <c r="X10" i="3" s="1"/>
  <c r="X8" i="3" s="1"/>
  <c r="G8" i="2"/>
  <c r="W10" i="3" s="1"/>
  <c r="W8" i="3" s="1"/>
  <c r="J20" i="2"/>
  <c r="F38" i="2"/>
  <c r="F20" i="2"/>
  <c r="F39" i="2"/>
  <c r="F40" i="2"/>
  <c r="F13" i="2"/>
  <c r="AB52" i="2" l="1"/>
  <c r="U14" i="3"/>
  <c r="U19" i="3"/>
  <c r="T14" i="3"/>
  <c r="T19" i="3"/>
  <c r="S14" i="3"/>
  <c r="S19" i="3"/>
  <c r="X14" i="3"/>
  <c r="X19" i="3"/>
  <c r="AB19" i="3"/>
  <c r="W14" i="3"/>
  <c r="W19" i="3"/>
  <c r="AA19" i="3"/>
  <c r="AC28" i="2"/>
  <c r="AC27" i="2"/>
  <c r="AC26" i="2"/>
  <c r="AC25" i="2"/>
  <c r="AB34" i="2"/>
  <c r="AC24" i="2"/>
  <c r="AB33" i="2"/>
  <c r="AC23" i="2"/>
  <c r="AB32" i="2"/>
  <c r="AC22" i="2"/>
  <c r="AB31" i="2"/>
  <c r="AC21" i="2"/>
  <c r="AB8" i="2"/>
  <c r="E13" i="2"/>
  <c r="E38" i="2"/>
  <c r="E39" i="2"/>
  <c r="E40" i="2"/>
  <c r="D13" i="2"/>
  <c r="D38" i="2"/>
  <c r="D39" i="2"/>
  <c r="D40" i="2"/>
  <c r="C38" i="2"/>
  <c r="C39" i="2"/>
  <c r="C40" i="2"/>
  <c r="H13" i="2"/>
  <c r="L20" i="2"/>
  <c r="H38" i="2"/>
  <c r="H20" i="2"/>
  <c r="H39" i="2"/>
  <c r="H40" i="2"/>
  <c r="K20" i="2"/>
  <c r="G38" i="2"/>
  <c r="G20" i="2"/>
  <c r="G39" i="2"/>
  <c r="G40" i="2"/>
  <c r="J15" i="2"/>
  <c r="F14" i="2"/>
  <c r="F16" i="2"/>
  <c r="F17" i="2" s="1"/>
  <c r="F68" i="2"/>
  <c r="I8" i="2"/>
  <c r="Y10" i="3" s="1"/>
  <c r="Y8" i="3" s="1"/>
  <c r="B13" i="2"/>
  <c r="F15" i="2" s="1"/>
  <c r="C13" i="2"/>
  <c r="G13" i="2"/>
  <c r="D27" i="3" l="1"/>
  <c r="D28" i="3" a="1"/>
  <c r="Y14" i="3"/>
  <c r="Y19" i="3"/>
  <c r="AC19" i="3"/>
  <c r="AC20" i="2"/>
  <c r="AB13" i="2"/>
  <c r="E14" i="2"/>
  <c r="E16" i="2"/>
  <c r="E17" i="2" s="1"/>
  <c r="E68" i="2"/>
  <c r="D14" i="2"/>
  <c r="D16" i="2"/>
  <c r="D17" i="2" s="1"/>
  <c r="D68" i="2"/>
  <c r="L15" i="2"/>
  <c r="H14" i="2"/>
  <c r="H15" i="2"/>
  <c r="H16" i="2"/>
  <c r="H17" i="2" s="1"/>
  <c r="H68" i="2"/>
  <c r="J69" i="2"/>
  <c r="I38" i="2"/>
  <c r="I39" i="2"/>
  <c r="I40" i="2"/>
  <c r="M20" i="2"/>
  <c r="I20" i="2"/>
  <c r="B14" i="2"/>
  <c r="B16" i="2"/>
  <c r="B17" i="2" s="1"/>
  <c r="B68" i="2"/>
  <c r="F69" i="2" s="1"/>
  <c r="C14" i="2"/>
  <c r="C16" i="2"/>
  <c r="C17" i="2" s="1"/>
  <c r="C68" i="2"/>
  <c r="K15" i="2"/>
  <c r="G14" i="2"/>
  <c r="G15" i="2"/>
  <c r="G16" i="2"/>
  <c r="G17" i="2" s="1"/>
  <c r="G68" i="2"/>
  <c r="AB40" i="2"/>
  <c r="AB39" i="2"/>
  <c r="AB38" i="2"/>
  <c r="I13" i="2"/>
  <c r="D29" i="3" l="1"/>
  <c r="D30" i="3" a="1"/>
  <c r="D25" i="3"/>
  <c r="D26" i="3" a="1"/>
  <c r="AC15" i="2"/>
  <c r="AB14" i="2"/>
  <c r="AB16" i="2"/>
  <c r="AB17" i="2" s="1"/>
  <c r="AB68" i="2"/>
  <c r="AC69" i="2" s="1"/>
  <c r="L69" i="2"/>
  <c r="H69" i="2"/>
  <c r="K69" i="2"/>
  <c r="G69" i="2"/>
  <c r="M15" i="2"/>
  <c r="I14" i="2"/>
  <c r="I15" i="2"/>
  <c r="I16" i="2"/>
  <c r="I17" i="2" s="1"/>
  <c r="I68" i="2"/>
  <c r="M69" i="2" l="1"/>
  <c r="I69" i="2"/>
  <c r="F55" i="2" l="1"/>
  <c r="F5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CHUNG Andrew MarkBsgResAso</author>
    <author>Rathgeber, Divon</author>
    <author>Divon RATHGEBER</author>
    <author>tc={E0E79798-4775-4E74-B817-B53B8650C259}</author>
    <author>tc={0041E4C8-7A58-4452-A4A7-75171A2D2C21}</author>
    <author>tc={C9B03CB3-F088-4846-8E96-EEDD9C2C68FC}</author>
    <author>tc={AC87ED78-D134-45C6-AB49-84A36E3099FB}</author>
    <author>tc={03DB13AA-8326-44B8-8117-7A2C8E0FFB37}</author>
    <author>tc={14426AA7-0B37-4F1E-9261-84B76EEABAA6}</author>
    <author>tc={F131D577-3232-4D79-98B5-809C92D54BBD}</author>
    <author>tc={7EC47173-73F0-4730-817C-921CB7C69F1E}</author>
    <author>tc={2B91C050-1CE2-41BA-BC44-B797B7423C97}</author>
    <author>tc={B60561BA-7C72-4E5E-A1A7-AF9C53060525}</author>
    <author>tc={E03E077E-32BF-4420-8878-B459DCF28A75}</author>
    <author>tc={1F167B07-5729-4933-AE2F-16A3C3343019}</author>
    <author>tc={4EBED54B-9931-4431-8D3A-70BDBC54D10F}</author>
    <author>tc={ADA08DA7-4A04-4394-B332-3DAFDFAC7911}</author>
  </authors>
  <commentList>
    <comment ref="U3" authorId="0" shapeId="0" xr:uid="{FF93C5FF-D88D-4F3F-84BF-CB6401775BDF}">
      <text>
        <r>
          <rPr>
            <b/>
            <sz val="9"/>
            <color indexed="81"/>
            <rFont val="Tahoma"/>
            <family val="2"/>
          </rPr>
          <t>CHUNG Andrew</t>
        </r>
      </text>
    </comment>
    <comment ref="A7" authorId="1" shapeId="0" xr:uid="{ADE01114-2D25-4A5D-981C-AACFC1B5DD57}">
      <text>
        <r>
          <rPr>
            <b/>
            <sz val="9"/>
            <color indexed="81"/>
            <rFont val="Tahoma"/>
            <family val="2"/>
          </rPr>
          <t>Rathgeber, Divon:</t>
        </r>
        <r>
          <rPr>
            <sz val="9"/>
            <color indexed="81"/>
            <rFont val="Tahoma"/>
            <family val="2"/>
          </rPr>
          <t xml:space="preserve">
Royalty from Disney Tokyo</t>
        </r>
      </text>
    </comment>
    <comment ref="M8" authorId="2" shapeId="0" xr:uid="{17DF2CC2-3F7F-4676-8C76-D8587BAA7438}">
      <text>
        <r>
          <rPr>
            <b/>
            <sz val="9"/>
            <color indexed="81"/>
            <rFont val="Tahoma"/>
            <family val="2"/>
          </rPr>
          <t>Divon RATHGEBER:</t>
        </r>
        <r>
          <rPr>
            <sz val="9"/>
            <color indexed="81"/>
            <rFont val="Tahoma"/>
            <family val="2"/>
          </rPr>
          <t xml:space="preserve">
company guided to flat
</t>
        </r>
      </text>
    </comment>
    <comment ref="U8" authorId="0" shapeId="0" xr:uid="{245EB8E0-3E4D-4534-BD8A-DF227CD4E6DC}">
      <text>
        <r>
          <rPr>
            <b/>
            <sz val="9"/>
            <color indexed="81"/>
            <rFont val="Tahoma"/>
            <family val="2"/>
          </rPr>
          <t xml:space="preserve">CHUNG Andrew </t>
        </r>
        <r>
          <rPr>
            <sz val="9"/>
            <color indexed="81"/>
            <rFont val="Tahoma"/>
            <family val="2"/>
          </rPr>
          <t>Without the 53rd week effect, total Q4 revenue would be ~9.6B</t>
        </r>
      </text>
    </comment>
    <comment ref="N9" authorId="3" shapeId="0" xr:uid="{E0E79798-4775-4E74-B817-B53B8650C259}">
      <text>
        <t>[Threaded comment]
Your version of Excel allows you to read this threaded comment; however, any edits to it will get removed if the file is opened in a newer version of Excel. Learn more: https://go.microsoft.com/fwlink/?linkid=870924
Comment:
    $130M impact from Hurricanes, $90M from pre-launch costs at cruise lines</t>
      </text>
    </comment>
    <comment ref="O9" authorId="4" shapeId="0" xr:uid="{0041E4C8-7A58-4452-A4A7-75171A2D2C21}">
      <text>
        <t>[Threaded comment]
Your version of Excel allows you to read this threaded comment; however, any edits to it will get removed if the file is opened in a newer version of Excel. Learn more: https://go.microsoft.com/fwlink/?linkid=870924
Comment:
    $40M cruise pre opening expenses</t>
      </text>
    </comment>
    <comment ref="P9" authorId="5" shapeId="0" xr:uid="{C9B03CB3-F088-4846-8E96-EEDD9C2C68FC}">
      <text>
        <t>[Threaded comment]
Your version of Excel allows you to read this threaded comment; however, any edits to it will get removed if the file is opened in a newer version of Excel. Learn more: https://go.microsoft.com/fwlink/?linkid=870924
Comment:
    $40M pre opening costs for cruise</t>
      </text>
    </comment>
    <comment ref="Q9" authorId="6" shapeId="0" xr:uid="{AC87ED78-D134-45C6-AB49-84A36E3099FB}">
      <text>
        <t>[Threaded comment]
Your version of Excel allows you to read this threaded comment; however, any edits to it will get removed if the file is opened in a newer version of Excel. Learn more: https://go.microsoft.com/fwlink/?linkid=870924
Comment:
    $50M pre opening costs for cruise</t>
      </text>
    </comment>
    <comment ref="M13" authorId="2" shapeId="0" xr:uid="{16E3D388-D289-4B11-972B-00C2207F4E45}">
      <text>
        <r>
          <rPr>
            <b/>
            <sz val="9"/>
            <color indexed="81"/>
            <rFont val="Tahoma"/>
            <family val="2"/>
          </rPr>
          <t>Divon RATHGEBER:</t>
        </r>
        <r>
          <rPr>
            <sz val="9"/>
            <color indexed="81"/>
            <rFont val="Tahoma"/>
            <family val="2"/>
          </rPr>
          <t xml:space="preserve">
OI to be down mid single digits</t>
        </r>
      </text>
    </comment>
    <comment ref="R13" authorId="7" shapeId="0" xr:uid="{03DB13AA-8326-44B8-8117-7A2C8E0FFB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Pre-opening expenses and dry dock expenses of approximately $90M compared to 1Q25
</t>
      </text>
    </comment>
    <comment ref="AE15" authorId="8" shapeId="0" xr:uid="{14426AA7-0B37-4F1E-9261-84B76EEABAA6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to 6-8%
Reply:
    Updated to higher range of that in FY25Q2
Reply:
    Updated to 8%</t>
      </text>
    </comment>
    <comment ref="AF15" authorId="9" shapeId="0" xr:uid="{F131D577-3232-4D79-98B5-809C92D54BBD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to be HSD</t>
      </text>
    </comment>
    <comment ref="O21" authorId="10" shapeId="0" xr:uid="{7EC47173-73F0-4730-817C-921CB7C69F1E}">
      <text>
        <t>[Threaded comment]
Your version of Excel allows you to read this threaded comment; however, any edits to it will get removed if the file is opened in a newer version of Excel. Learn more: https://go.microsoft.com/fwlink/?linkid=870924
Comment:
    4% higher avg. per capita ticket revenue and 1% higher attendance</t>
      </text>
    </comment>
    <comment ref="U21" authorId="0" shapeId="0" xr:uid="{15CCF385-A79A-475E-82C8-A738F31B0D8E}">
      <text>
        <r>
          <rPr>
            <b/>
            <sz val="9"/>
            <color indexed="81"/>
            <rFont val="Tahoma"/>
            <family val="2"/>
          </rPr>
          <t xml:space="preserve">CHUNG Andrew:
53rd Week
</t>
        </r>
      </text>
    </comment>
    <comment ref="Y21" authorId="0" shapeId="0" xr:uid="{73080730-2BDE-47C8-9EBA-4DBF1EFC88D5}">
      <text>
        <r>
          <rPr>
            <b/>
            <sz val="9"/>
            <color indexed="81"/>
            <rFont val="Tahoma"/>
            <family val="2"/>
          </rPr>
          <t>CHUNG Andrew MarkBsgResAso:</t>
        </r>
        <r>
          <rPr>
            <sz val="9"/>
            <color indexed="81"/>
            <rFont val="Tahoma"/>
            <family val="2"/>
          </rPr>
          <t xml:space="preserve">
lapping 53rd week</t>
        </r>
      </text>
    </comment>
    <comment ref="O22" authorId="11" shapeId="0" xr:uid="{2B91C050-1CE2-41BA-BC44-B797B7423C97}">
      <text>
        <t>[Threaded comment]
Your version of Excel allows you to read this threaded comment; however, any edits to it will get removed if the file is opened in a newer version of Excel. Learn more: https://go.microsoft.com/fwlink/?linkid=870924
Comment:
    6% from additional passenger cruise days (from Treasure launch), 2% higher unit sales at Disney Vacation Club, 2% increase in occupied hotel room nights, 1% higher avg daily hotel room rates</t>
      </text>
    </comment>
    <comment ref="O23" authorId="12" shapeId="0" xr:uid="{B60561BA-7C72-4E5E-A1A7-AF9C53060525}">
      <text>
        <t>[Threaded comment]
Your version of Excel allows you to read this threaded comment; however, any edits to it will get removed if the file is opened in a newer version of Excel. Learn more: https://go.microsoft.com/fwlink/?linkid=870924
Comment:
    2% from higher avg guest spending and 1% from volumes</t>
      </text>
    </comment>
    <comment ref="O24" authorId="13" shapeId="0" xr:uid="{E03E077E-32BF-4420-8878-B459DCF28A75}">
      <text>
        <t>[Threaded comment]
Your version of Excel allows you to read this threaded comment; however, any edits to it will get removed if the file is opened in a newer version of Excel. Learn more: https://go.microsoft.com/fwlink/?linkid=870924
Comment:
    7% increase in merchandise licensing (including benefit from release of licensed game Marvel Rivals), offset by 2% FX headwind</t>
      </text>
    </comment>
    <comment ref="O31" authorId="14" shapeId="0" xr:uid="{1F167B07-5729-4933-AE2F-16A3C3343019}">
      <text>
        <t>[Threaded comment]
Your version of Excel allows you to read this threaded comment; however, any edits to it will get removed if the file is opened in a newer version of Excel. Learn more: https://go.microsoft.com/fwlink/?linkid=870924
Comment:
    Took out cruise revenue</t>
      </text>
    </comment>
    <comment ref="O39" authorId="15" shapeId="0" xr:uid="{4EBED54B-9931-4431-8D3A-70BDBC54D10F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 marketing costs</t>
      </text>
    </comment>
    <comment ref="U58" authorId="0" shapeId="0" xr:uid="{19E8F645-34B7-49B6-8AC7-D53ED16FD1FD}">
      <text>
        <r>
          <rPr>
            <b/>
            <sz val="9"/>
            <color indexed="81"/>
            <rFont val="Tahoma"/>
            <family val="2"/>
          </rPr>
          <t xml:space="preserve">CHUNG Andrew:
53rd week
</t>
        </r>
      </text>
    </comment>
    <comment ref="Y58" authorId="0" shapeId="0" xr:uid="{845A40B8-1215-4C19-9B1A-244E78931650}">
      <text>
        <r>
          <rPr>
            <b/>
            <sz val="9"/>
            <color indexed="81"/>
            <rFont val="Tahoma"/>
            <family val="2"/>
          </rPr>
          <t>CHUNG Andrew:
Lapping 53rd week</t>
        </r>
      </text>
    </comment>
    <comment ref="O59" authorId="16" shapeId="0" xr:uid="{ADA08DA7-4A04-4394-B332-3DAFDFAC7911}">
      <text>
        <t>[Threaded comment]
Your version of Excel allows you to read this threaded comment; however, any edits to it will get removed if the file is opened in a newer version of Excel. Learn more: https://go.microsoft.com/fwlink/?linkid=870924
Comment:
    6% from additional passenger cruise days (from Treasure launch)
Reply:
    Implies about 55% occupancy rate based on our side model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BORUCHOWICZ</author>
    <author>CHUNG Andrew MarkBsgResAso</author>
    <author>BORUCHOWICZ Martin MarkBsgResAso</author>
    <author>tc={E2177FC6-7D05-4BE3-8DE0-19F7F97C6427}</author>
    <author>tc={78BA721F-1DD1-483F-AF2C-A8A20ED04C5F}</author>
  </authors>
  <commentList>
    <comment ref="K13" authorId="0" shapeId="0" xr:uid="{5E7F8601-4C62-43CF-869D-64B1DF7088C7}">
      <text>
        <r>
          <rPr>
            <b/>
            <sz val="9"/>
            <color indexed="81"/>
            <rFont val="Tahoma"/>
            <family val="2"/>
          </rPr>
          <t>Recasted on 1Q25</t>
        </r>
      </text>
    </comment>
    <comment ref="O13" authorId="1" shapeId="0" xr:uid="{77ED873B-5CA4-4ABF-BF22-30369796A2E0}">
      <text>
        <r>
          <rPr>
            <b/>
            <sz val="9"/>
            <color indexed="81"/>
            <rFont val="Tahoma"/>
            <family val="2"/>
          </rPr>
          <t>CHUNG Andrew MarkBsgResAso:</t>
        </r>
        <r>
          <rPr>
            <sz val="9"/>
            <color indexed="81"/>
            <rFont val="Tahoma"/>
            <family val="2"/>
          </rPr>
          <t xml:space="preserve">
recasted in 1Q26</t>
        </r>
      </text>
    </comment>
    <comment ref="K17" authorId="0" shapeId="0" xr:uid="{A70B0AD9-F4FB-49CC-9CDC-39E6480EC271}">
      <text>
        <r>
          <rPr>
            <b/>
            <sz val="9"/>
            <color indexed="81"/>
            <rFont val="Tahoma"/>
            <family val="2"/>
          </rPr>
          <t>Recasted on 1Q25</t>
        </r>
      </text>
    </comment>
    <comment ref="K18" authorId="0" shapeId="0" xr:uid="{A1218EDE-99F1-4D2C-A8AA-E2016D6B3E56}">
      <text>
        <r>
          <rPr>
            <b/>
            <sz val="9"/>
            <color indexed="81"/>
            <rFont val="Tahoma"/>
            <family val="2"/>
          </rPr>
          <t>Recasted on 1Q25</t>
        </r>
      </text>
    </comment>
    <comment ref="K28" authorId="0" shapeId="0" xr:uid="{220F533A-EAF9-428E-B9D5-E1A664838E6A}">
      <text>
        <r>
          <rPr>
            <b/>
            <sz val="9"/>
            <color indexed="81"/>
            <rFont val="Tahoma"/>
            <family val="2"/>
          </rPr>
          <t>Recasted on 1Q25</t>
        </r>
      </text>
    </comment>
    <comment ref="K30" authorId="0" shapeId="0" xr:uid="{2905132E-0850-415C-80AE-A233D9071914}">
      <text>
        <r>
          <rPr>
            <b/>
            <sz val="9"/>
            <color indexed="81"/>
            <rFont val="Tahoma"/>
            <family val="2"/>
          </rPr>
          <t>Recasted on 1Q25</t>
        </r>
      </text>
    </comment>
    <comment ref="K31" authorId="0" shapeId="0" xr:uid="{48A9BF81-EB9A-4CE2-B57F-F217210A6746}">
      <text>
        <r>
          <rPr>
            <b/>
            <sz val="9"/>
            <color indexed="81"/>
            <rFont val="Tahoma"/>
            <family val="2"/>
          </rPr>
          <t>Recasted on 1Q25</t>
        </r>
      </text>
    </comment>
    <comment ref="B240" authorId="2" shapeId="0" xr:uid="{F86BA8B5-4027-45F9-8DBF-24631C57A40D}">
      <text>
        <r>
          <rPr>
            <b/>
            <sz val="9"/>
            <color indexed="81"/>
            <rFont val="Tahoma"/>
            <family val="2"/>
          </rPr>
          <t>Formerly Domestic Homes &amp; Businesses Passed</t>
        </r>
      </text>
    </comment>
    <comment ref="Q250" authorId="3" shapeId="0" xr:uid="{E2177FC6-7D05-4BE3-8DE0-19F7F97C6427}">
      <text>
        <t>[Threaded comment]
Your version of Excel allows you to read this threaded comment; however, any edits to it will get removed if the file is opened in a newer version of Excel. Learn more: https://go.microsoft.com/fwlink/?linkid=870924
Comment:
    Ex. ACP would be +67K</t>
      </text>
    </comment>
    <comment ref="B259" authorId="2" shapeId="0" xr:uid="{EA38622C-56B1-49F8-A02B-485F822BA8CD}">
      <text>
        <r>
          <rPr>
            <b/>
            <sz val="9"/>
            <color indexed="81"/>
            <rFont val="Tahoma"/>
            <family val="2"/>
          </rPr>
          <t>Formerly Total Domestic BB Penetration of Homes &amp; Businesses Passed</t>
        </r>
      </text>
    </comment>
    <comment ref="Q287" authorId="4" shapeId="0" xr:uid="{78BA721F-1DD1-483F-AF2C-A8A20ED04C5F}">
      <text>
        <t>[Threaded comment]
Your version of Excel allows you to read this threaded comment; however, any edits to it will get removed if the file is opened in a newer version of Excel. Learn more: https://go.microsoft.com/fwlink/?linkid=870924
Comment:
    Ex. ACP would be +67K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42056F5B-FD58-4266-BB0F-DB680D52BB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Q4 2017 earnings release (8-K Ex. 99.1), Theme Parks segment revenue Q4 2017, https://www.sec.gov/Archives/edgar/data/0001166691/000110465918003683/a18-3600_1ex99d1.htm</t>
        </r>
      </text>
    </comment>
    <comment ref="C5" authorId="0" shapeId="0" xr:uid="{E63C781C-35AA-4407-B685-62ADABF499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Q1 2019 Form 10-Q (Q1 2018 comparative), https://www.sec.gov/Archives/edgar/data/1166691/000116669119000010/Financial_Report.xlsx</t>
        </r>
      </text>
    </comment>
    <comment ref="D5" authorId="0" shapeId="0" xr:uid="{8796CF13-A086-4119-B991-9443981278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Q2 2019 Form 10-Q (Q2 2018 comparative), https://www.sec.gov/Archives/edgar/data/1166691/000116669119000015/cmcsa-6302019x10q.htm</t>
        </r>
      </text>
    </comment>
    <comment ref="E5" authorId="0" shapeId="0" xr:uid="{AE9DD7B4-1716-4CB9-AE30-9840333BC7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Q3 2019 Form 10-Q (Q3 2018 comparative), https://www.sec.gov/Archives/edgar/data/1166691/000116669119000020/cmcsa-9302019x10q.htm</t>
        </r>
      </text>
    </comment>
    <comment ref="F5" authorId="0" shapeId="0" xr:uid="{69728CF3-AF7D-48C4-A9B6-2B33E9C34F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Q4 2019 earnings release (8-K Ex. 99.1; Q4 2018 comparative), https://www.sec.gov/Archives/edgar/data/0001166691/000116669120000003/ex991-12312019.htm</t>
        </r>
      </text>
    </comment>
    <comment ref="G5" authorId="0" shapeId="0" xr:uid="{496C99DD-E561-4DA2-A569-592CB3D6F1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Q1 2019 Form 10-Q, https://www.sec.gov/Archives/edgar/data/1166691/000116669119000010/Financial_Report.xlsx</t>
        </r>
      </text>
    </comment>
    <comment ref="H5" authorId="0" shapeId="0" xr:uid="{BCBB0724-6890-44A3-92E9-0E5DF2574C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Q2 2019 Form 10-Q, https://www.sec.gov/Archives/edgar/data/1166691/000116669119000015/cmcsa-6302019x10q.htm</t>
        </r>
      </text>
    </comment>
    <comment ref="I5" authorId="0" shapeId="0" xr:uid="{B201B5CF-E8BE-448F-8318-26AD4E17B6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Q3 2019 Form 10-Q, https://www.sec.gov/Archives/edgar/data/1166691/000116669119000020/cmcsa-9302019x10q.htm</t>
        </r>
      </text>
    </comment>
    <comment ref="J5" authorId="0" shapeId="0" xr:uid="{204CFB37-3A14-4A16-A469-FBB1001D1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Q4 2019 earnings release (8-K Ex. 99.1), https://www.sec.gov/Archives/edgar/data/0001166691/000116669120000003/ex991-12312019.htm</t>
        </r>
      </text>
    </comment>
    <comment ref="K5" authorId="0" shapeId="0" xr:uid="{BB55038A-85B4-4F2F-AB91-EC21528B6E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Q1 2020 Form 10-Q, https://www.sec.gov/Archives/edgar/data/1166691/000116669120000017/Financial_Report.xlsx</t>
        </r>
      </text>
    </comment>
    <comment ref="L5" authorId="0" shapeId="0" xr:uid="{D2C82224-5064-4BE2-B1E4-8F08A48694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Q2 2020 Form 10-Q, https://www.sec.gov/Archives/edgar/data/1166691/000116669120000024/cmcsa-6302020x10q.htm</t>
        </r>
      </text>
    </comment>
    <comment ref="M5" authorId="0" shapeId="0" xr:uid="{5F8C2C57-19CB-4822-B549-00D9C4DE5F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Q3 2020 Form 10-Q, https://www.sec.gov/Archives/edgar/data/1166691/000116669120000032/cmcsa-20200930.htm</t>
        </r>
      </text>
    </comment>
    <comment ref="N5" authorId="0" shapeId="0" xr:uid="{7D734899-690F-4DD2-A7D4-B237E3D699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Q4 2020 derived: FY2020 Theme Parks revenue (cell L41, Comcast 2020 10-K) less Q1-Q3 2020.</t>
        </r>
      </text>
    </comment>
    <comment ref="B6" authorId="0" shapeId="0" xr:uid="{C5A7E4D4-1ADC-4ED1-8B5E-15F34E3AE1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FQ1 FY18 derived: H1 FY18 (B37) less FQ2 FY18 (C6). Pre-ASC 606 basis.</t>
        </r>
      </text>
    </comment>
    <comment ref="C6" authorId="0" shapeId="0" xr:uid="{64A949DB-4092-411D-AA7D-3E52B27805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(quarter ended 3/31/2018 comparative), https://www.sec.gov/Archives/edgar/data/1744489/000174448919000100/fy2019q210qdoc.htm</t>
        </r>
      </text>
    </comment>
    <comment ref="D6" authorId="0" shapeId="0" xr:uid="{C3CA1414-1467-4D54-815D-E37301E9E2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(quarter ended 6/30/2018 comparative), https://www.sec.gov/Archives/edgar/data/1744489/000174448919000167/fy2019q310qdoc.htm</t>
        </r>
      </text>
    </comment>
    <comment ref="E6" authorId="0" shapeId="0" xr:uid="{9982760F-A1BA-4B3A-BE8F-EBABF6A897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FY18 derived: FY2018 (D37) less 9M FY18 (C37).</t>
        </r>
      </text>
    </comment>
    <comment ref="F6" authorId="0" shapeId="0" xr:uid="{48A94125-1F81-4BCA-B370-1130B5C56C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FQ1 FY19 derived: H1 FY19 (E37) less FQ2 FY19 (G6).</t>
        </r>
      </text>
    </comment>
    <comment ref="G6" authorId="0" shapeId="0" xr:uid="{4486F939-D8AE-465F-ADDF-6D2F2EC536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(quarter ended 3/30/2019), https://www.sec.gov/Archives/edgar/data/1744489/000174448919000100/fy2019q210qdoc.htm</t>
        </r>
      </text>
    </comment>
    <comment ref="H6" authorId="0" shapeId="0" xr:uid="{62237627-1397-4449-8A7B-A45DEFAA3E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(quarter ended 6/29/2019), https://www.sec.gov/Archives/edgar/data/1744489/000174448919000167/fy2019q310qdoc.htm</t>
        </r>
      </text>
    </comment>
    <comment ref="I6" authorId="0" shapeId="0" xr:uid="{E96F9D6C-5C9E-4948-9F8F-2712E6C5A1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FY19 derived: FY2019 (G37) less 9M FY19 (F37).</t>
        </r>
      </text>
    </comment>
    <comment ref="J6" authorId="0" shapeId="0" xr:uid="{E24407B4-19E7-42E6-883F-C5A1205686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Q1 10-Q (quarter ended 12/28/2019 comparative), https://www.sec.gov/Archives/edgar/data/1744489/000174448921000047/dis-20210102.htm</t>
        </r>
      </text>
    </comment>
    <comment ref="K6" authorId="0" shapeId="0" xr:uid="{76277BFC-062F-4B08-9303-E8EEA968E6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Q2 10-Q (quarter ended 3/28/2020 comparative), https://www.sec.gov/Archives/edgar/data/1744489/000174448921000108/dis-20210403.htm</t>
        </r>
      </text>
    </comment>
    <comment ref="L6" authorId="0" shapeId="0" xr:uid="{2493B560-4C1A-480B-A6FB-C9538B7076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(quarter ended 6/27/2020 comparative), https://www.sec.gov/Archives/edgar/data/1744489/000174448921000181/dis-20210703.htm</t>
        </r>
      </text>
    </comment>
    <comment ref="M6" authorId="0" shapeId="0" xr:uid="{A7546CE9-9464-498B-A1B2-3D32DEAD23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FY20 derived: FY2020 (I37) less 9M FY20 (H37).</t>
        </r>
      </text>
    </comment>
    <comment ref="N6" authorId="0" shapeId="0" xr:uid="{859577E0-0C84-404B-8AA2-9CD2F8DA7F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Q1 10-Q (quarter ended 1/2/2021), https://www.sec.gov/Archives/edgar/data/1744489/000174448921000047/dis-20210102.htm</t>
        </r>
      </text>
    </comment>
    <comment ref="O6" authorId="0" shapeId="0" xr:uid="{B8B3AF04-0D24-4491-8252-48CEB959BB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Q2 10-Q (quarter ended 4/3/2021), https://www.sec.gov/Archives/edgar/data/1744489/000174448921000108/dis-20210403.htm</t>
        </r>
      </text>
    </comment>
    <comment ref="P6" authorId="0" shapeId="0" xr:uid="{1955C351-1A4F-4E1E-A34A-1E290F82B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(quarter ended 7/3/2021), https://www.sec.gov/Archives/edgar/data/1744489/000174448921000181/dis-20210703.htm</t>
        </r>
      </text>
    </comment>
    <comment ref="Q6" authorId="0" shapeId="0" xr:uid="{C9A11CE5-12AB-427D-AA74-FFF4F41D1E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FY21 derived: FY2021 (K37) less 9M FY21 (J37).</t>
        </r>
      </text>
    </comment>
    <comment ref="B7" authorId="0" shapeId="0" xr:uid="{5BA3B682-9A82-4E1F-A048-EA0F2722B0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FQ1 FY18 derived: H1 FY18 (B38) less FQ2 FY18 (C7). Pre-ASC 606 basis.</t>
        </r>
      </text>
    </comment>
    <comment ref="C7" authorId="0" shapeId="0" xr:uid="{30C71F26-CA99-400E-BF03-F20451F3C2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(quarter ended 3/31/2018 comparative), https://www.sec.gov/Archives/edgar/data/1744489/000174448919000100/fy2019q210qdoc.htm</t>
        </r>
      </text>
    </comment>
    <comment ref="D7" authorId="0" shapeId="0" xr:uid="{3DE02509-A41A-4020-AE2E-E6420D04E0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(quarter ended 6/30/2018 comparative), https://www.sec.gov/Archives/edgar/data/1744489/000174448919000167/fy2019q310qdoc.htm</t>
        </r>
      </text>
    </comment>
    <comment ref="E7" authorId="0" shapeId="0" xr:uid="{7037E893-9FED-4613-87C4-585760CA51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FY18 derived: FY2018 (D38) less 9M FY18 (C38).</t>
        </r>
      </text>
    </comment>
    <comment ref="F7" authorId="0" shapeId="0" xr:uid="{C74A0A01-0FAA-4EEE-A08D-D152FF6BE6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FQ1 FY19 derived: H1 FY19 (E38) less FQ2 FY19 (G7).</t>
        </r>
      </text>
    </comment>
    <comment ref="G7" authorId="0" shapeId="0" xr:uid="{93B6D3F8-312D-41B6-BA14-85FAA75123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(quarter ended 3/30/2019), https://www.sec.gov/Archives/edgar/data/1744489/000174448919000100/fy2019q210qdoc.htm</t>
        </r>
      </text>
    </comment>
    <comment ref="H7" authorId="0" shapeId="0" xr:uid="{5FEE2D30-59B7-45E4-B18D-52A9197DF6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(quarter ended 6/29/2019), https://www.sec.gov/Archives/edgar/data/1744489/000174448919000167/fy2019q310qdoc.htm</t>
        </r>
      </text>
    </comment>
    <comment ref="I7" authorId="0" shapeId="0" xr:uid="{3FE7C592-8507-427C-9902-A511BC65ED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FY19 derived: FY2019 (G38) less 9M FY19 (F38).</t>
        </r>
      </text>
    </comment>
    <comment ref="J7" authorId="0" shapeId="0" xr:uid="{F8942F77-0FAE-4A9C-9862-3E6F82F563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Q1 10-Q (quarter ended 12/28/2019 comparative), https://www.sec.gov/Archives/edgar/data/1744489/000174448921000047/dis-20210102.htm</t>
        </r>
      </text>
    </comment>
    <comment ref="K7" authorId="0" shapeId="0" xr:uid="{EACF3812-AC2B-4FCD-A8D9-5382A93DC2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Q2 10-Q (quarter ended 3/28/2020 comparative), https://www.sec.gov/Archives/edgar/data/1744489/000174448921000108/dis-20210403.htm</t>
        </r>
      </text>
    </comment>
    <comment ref="L7" authorId="0" shapeId="0" xr:uid="{A0B84A46-5C75-421A-AB74-FB6F96F232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(quarter ended 6/27/2020 comparative), https://www.sec.gov/Archives/edgar/data/1744489/000174448921000181/dis-20210703.htm</t>
        </r>
      </text>
    </comment>
    <comment ref="M7" authorId="0" shapeId="0" xr:uid="{782A9AD5-4335-4801-BD68-35A4D47DFC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FY20 derived: FY2020 (I38) less 9M FY20 (H38).</t>
        </r>
      </text>
    </comment>
    <comment ref="N7" authorId="0" shapeId="0" xr:uid="{36BD4F8A-A59E-429A-AC27-72C3FE447E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Q1 10-Q (quarter ended 1/2/2021), https://www.sec.gov/Archives/edgar/data/1744489/000174448921000047/dis-20210102.htm</t>
        </r>
      </text>
    </comment>
    <comment ref="O7" authorId="0" shapeId="0" xr:uid="{BFF712C4-53C8-4323-9244-6A43BCAA34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Q2 10-Q (quarter ended 4/3/2021), https://www.sec.gov/Archives/edgar/data/1744489/000174448921000108/dis-20210403.htm</t>
        </r>
      </text>
    </comment>
    <comment ref="P7" authorId="0" shapeId="0" xr:uid="{DB886B70-A576-4A7D-A9A3-C4362205D9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(quarter ended 7/3/2021), https://www.sec.gov/Archives/edgar/data/1744489/000174448921000181/dis-20210703.htm</t>
        </r>
      </text>
    </comment>
    <comment ref="Q7" authorId="0" shapeId="0" xr:uid="{B77DA58F-883A-4F33-9014-5EF97623B9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FY21 derived: FY2021 (K38) less 9M FY21 (J38).</t>
        </r>
      </text>
    </comment>
    <comment ref="B9" authorId="0" shapeId="0" xr:uid="{BF56B826-0D68-4722-80ED-F1E38DAD57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FQ1 FY18 derived: H1 FY18 (B39) less FQ2 FY18 (C9). Pre-ASC 606 basis.</t>
        </r>
      </text>
    </comment>
    <comment ref="C9" authorId="0" shapeId="0" xr:uid="{A0E2A8C4-56C5-4D83-9975-7F7C39B519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(quarter ended 3/31/2018 comparative), https://www.sec.gov/Archives/edgar/data/1744489/000174448919000100/fy2019q210qdoc.htm</t>
        </r>
      </text>
    </comment>
    <comment ref="D9" authorId="0" shapeId="0" xr:uid="{06D13C39-D799-42D7-B5CF-39DB192BB3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(quarter ended 6/30/2018 comparative), https://www.sec.gov/Archives/edgar/data/1744489/000174448919000167/fy2019q310qdoc.htm</t>
        </r>
      </text>
    </comment>
    <comment ref="E9" authorId="0" shapeId="0" xr:uid="{DC8136C3-8734-46B2-B84D-1482CE62B8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FY18 derived: FY2018 (D39) less 9M FY18 (C39).</t>
        </r>
      </text>
    </comment>
    <comment ref="F9" authorId="0" shapeId="0" xr:uid="{DB5869D5-FFC6-4970-87C2-AAA172A136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FQ1 FY19 derived: H1 FY19 (E39) less FQ2 FY19 (G9).</t>
        </r>
      </text>
    </comment>
    <comment ref="G9" authorId="0" shapeId="0" xr:uid="{FDC63A4A-D477-48BE-A8D0-B3D86779AC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(quarter ended 3/30/2019), https://www.sec.gov/Archives/edgar/data/1744489/000174448919000100/fy2019q210qdoc.htm</t>
        </r>
      </text>
    </comment>
    <comment ref="H9" authorId="0" shapeId="0" xr:uid="{3343273D-6903-4253-9911-AF4EC00625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(quarter ended 6/29/2019), https://www.sec.gov/Archives/edgar/data/1744489/000174448919000167/fy2019q310qdoc.htm</t>
        </r>
      </text>
    </comment>
    <comment ref="I9" authorId="0" shapeId="0" xr:uid="{34566BD3-427E-42B2-BA6F-9774435BA6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FY19 derived: FY2019 (G39) less 9M FY19 (F39).</t>
        </r>
      </text>
    </comment>
    <comment ref="J9" authorId="0" shapeId="0" xr:uid="{EB8731D3-3FA8-41EC-A600-694596DD42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Q1 10-Q (quarter ended 12/28/2019 comparative), https://www.sec.gov/Archives/edgar/data/1744489/000174448921000047/dis-20210102.htm</t>
        </r>
      </text>
    </comment>
    <comment ref="K9" authorId="0" shapeId="0" xr:uid="{13C1B79D-722E-4E9F-9AFE-FEFA885683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Q2 10-Q (quarter ended 3/28/2020 comparative), https://www.sec.gov/Archives/edgar/data/1744489/000174448921000108/dis-20210403.htm</t>
        </r>
      </text>
    </comment>
    <comment ref="L9" authorId="0" shapeId="0" xr:uid="{AB852F60-B2DF-4414-99B0-BC11FCF0E7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(quarter ended 6/27/2020 comparative), https://www.sec.gov/Archives/edgar/data/1744489/000174448921000181/dis-20210703.htm</t>
        </r>
      </text>
    </comment>
    <comment ref="M9" authorId="0" shapeId="0" xr:uid="{1D15B63B-0AC3-4684-A2E6-2C199E9510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FY20 derived: FY2020 (I39) less 9M FY20 (H39).</t>
        </r>
      </text>
    </comment>
    <comment ref="N9" authorId="0" shapeId="0" xr:uid="{6E52BAF5-CEA9-4F14-983B-AFF71CFBA0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Q1 10-Q (quarter ended 1/2/2021), https://www.sec.gov/Archives/edgar/data/1744489/000174448921000047/dis-20210102.htm</t>
        </r>
      </text>
    </comment>
    <comment ref="O9" authorId="0" shapeId="0" xr:uid="{1EF828C2-358F-49B5-8CCE-0197FB210B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Q2 10-Q (quarter ended 4/3/2021), https://www.sec.gov/Archives/edgar/data/1744489/000174448921000108/dis-20210403.htm</t>
        </r>
      </text>
    </comment>
    <comment ref="P9" authorId="0" shapeId="0" xr:uid="{9FD42BC8-5B0D-48F7-815E-F19A82B362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(quarter ended 7/3/2021), https://www.sec.gov/Archives/edgar/data/1744489/000174448921000181/dis-20210703.htm</t>
        </r>
      </text>
    </comment>
    <comment ref="Q9" authorId="0" shapeId="0" xr:uid="{9374C358-085F-4331-9A3F-4C844A7081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FY21 derived: FY2021 (K39) less 9M FY21 (J39).</t>
        </r>
      </text>
    </comment>
    <comment ref="B10" authorId="0" shapeId="0" xr:uid="{B14C00BF-BDF5-4E83-A05E-90B9C8D26E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FQ1 FY18 derived: H1 FY18 (B40) less FQ2 FY18 (C10). Pre-ASC 606 basis.</t>
        </r>
      </text>
    </comment>
    <comment ref="C10" authorId="0" shapeId="0" xr:uid="{B153FD8C-6822-43CC-9049-07986B2AE9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(quarter ended 3/31/2018 comparative), https://www.sec.gov/Archives/edgar/data/1744489/000174448919000100/fy2019q210qdoc.htm</t>
        </r>
      </text>
    </comment>
    <comment ref="D10" authorId="0" shapeId="0" xr:uid="{96E181B3-39BF-4056-A28E-5D924C9C0E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(quarter ended 6/30/2018 comparative), https://www.sec.gov/Archives/edgar/data/1744489/000174448919000167/fy2019q310qdoc.htm</t>
        </r>
      </text>
    </comment>
    <comment ref="E10" authorId="0" shapeId="0" xr:uid="{4AE04187-7ECC-4502-BC96-235F4E6191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FY18 derived: FY2018 (D40) less 9M FY18 (C40).</t>
        </r>
      </text>
    </comment>
    <comment ref="F10" authorId="0" shapeId="0" xr:uid="{E239C2A5-95A4-4877-A4D7-B32841D2A5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FQ1 FY19 derived: H1 FY19 (E40) less FQ2 FY19 (G10).</t>
        </r>
      </text>
    </comment>
    <comment ref="G10" authorId="0" shapeId="0" xr:uid="{071F7F7C-DCAA-4C81-9635-6695ABC7FB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(quarter ended 3/30/2019), https://www.sec.gov/Archives/edgar/data/1744489/000174448919000100/fy2019q210qdoc.htm</t>
        </r>
      </text>
    </comment>
    <comment ref="H10" authorId="0" shapeId="0" xr:uid="{FE82ACB3-62B4-4EEE-954B-CC02058B96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(quarter ended 6/29/2019), https://www.sec.gov/Archives/edgar/data/1744489/000174448919000167/fy2019q310qdoc.htm</t>
        </r>
      </text>
    </comment>
    <comment ref="I10" authorId="0" shapeId="0" xr:uid="{FA4C80CB-830D-4A82-A9AE-8B2B3724A8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FY19 derived: FY2019 (G40) less 9M FY19 (F40).</t>
        </r>
      </text>
    </comment>
    <comment ref="J10" authorId="0" shapeId="0" xr:uid="{FBEF2BE6-E24D-4062-B6EB-4BDD3A8725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Q1 10-Q (quarter ended 12/28/2019 comparative), https://www.sec.gov/Archives/edgar/data/1744489/000174448921000047/dis-20210102.htm</t>
        </r>
      </text>
    </comment>
    <comment ref="K10" authorId="0" shapeId="0" xr:uid="{63EBF446-516F-4106-8DB5-BE707BC791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Q2 10-Q (quarter ended 3/28/2020 comparative), https://www.sec.gov/Archives/edgar/data/1744489/000174448921000108/dis-20210403.htm</t>
        </r>
      </text>
    </comment>
    <comment ref="L10" authorId="0" shapeId="0" xr:uid="{DE463FBD-A2D0-4BD7-8077-7884A5E6D5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(quarter ended 6/27/2020 comparative), https://www.sec.gov/Archives/edgar/data/1744489/000174448921000181/dis-20210703.htm</t>
        </r>
      </text>
    </comment>
    <comment ref="M10" authorId="0" shapeId="0" xr:uid="{F61D9B9F-4B74-4B2F-96B2-F5942D5B18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FY20 derived: FY2020 (I40) less 9M FY20 (H40).</t>
        </r>
      </text>
    </comment>
    <comment ref="N10" authorId="0" shapeId="0" xr:uid="{08CFA1BE-C4AD-47CB-B3DE-5176E8784A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Q1 10-Q (quarter ended 1/2/2021), https://www.sec.gov/Archives/edgar/data/1744489/000174448921000047/dis-20210102.htm</t>
        </r>
      </text>
    </comment>
    <comment ref="O10" authorId="0" shapeId="0" xr:uid="{C3051FE7-C803-413F-B35A-B298E4BDEC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Q2 10-Q (quarter ended 4/3/2021), https://www.sec.gov/Archives/edgar/data/1744489/000174448921000108/dis-20210403.htm</t>
        </r>
      </text>
    </comment>
    <comment ref="P10" authorId="0" shapeId="0" xr:uid="{49C9A339-002E-4348-B264-3EB640011B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(quarter ended 7/3/2021), https://www.sec.gov/Archives/edgar/data/1744489/000174448921000181/dis-20210703.htm</t>
        </r>
      </text>
    </comment>
    <comment ref="Q10" authorId="0" shapeId="0" xr:uid="{87A28CB7-4956-4B26-B751-68E72BE5D5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FQ4 FY21 derived: FY2021 (K40) less 9M FY21 (J40).</t>
        </r>
      </text>
    </comment>
    <comment ref="B37" authorId="0" shapeId="0" xr:uid="{E8D79457-3F32-4A0A-8250-D022FAB503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(six months ended 3/31/2018, prior to ASC 606 adoption), https://www.sec.gov/Archives/edgar/data/1744489/000174448919000100/fy2019q210qdoc.htm</t>
        </r>
      </text>
    </comment>
    <comment ref="C37" authorId="0" shapeId="0" xr:uid="{80ED2C45-D95E-45A4-A086-DCDB33AB88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(nine months ended 6/30/2018), https://www.sec.gov/Archives/edgar/data/1744489/000174448919000167/fy2019q310qdoc.htm</t>
        </r>
      </text>
    </comment>
    <comment ref="D37" authorId="0" shapeId="0" xr:uid="{2DEA22E2-9CE3-4365-B5CE-C25657B3FA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10-K (fiscal 2018 comparative), https://www.sec.gov/Archives/edgar/data/0001744489/000174448919000225/fy2019q410k.htm</t>
        </r>
      </text>
    </comment>
    <comment ref="E37" authorId="0" shapeId="0" xr:uid="{33F87409-F351-4E91-A70C-116FCBD689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(six months ended 3/30/2019), https://www.sec.gov/Archives/edgar/data/1744489/000174448919000100/fy2019q210qdoc.htm</t>
        </r>
      </text>
    </comment>
    <comment ref="F37" authorId="0" shapeId="0" xr:uid="{D257D983-0E49-465B-B121-B36EF80EA9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(nine months ended 6/29/2019), https://www.sec.gov/Archives/edgar/data/1744489/000174448919000167/fy2019q310qdoc.htm</t>
        </r>
      </text>
    </comment>
    <comment ref="G37" authorId="0" shapeId="0" xr:uid="{2DAFA538-DD41-499E-96C5-374BD89DDC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10-K, https://www.sec.gov/Archives/edgar/data/0001744489/000174448919000225/fy2019q410k.htm</t>
        </r>
      </text>
    </comment>
    <comment ref="H37" authorId="0" shapeId="0" xr:uid="{C038CD1B-E515-47DC-ADDA-176E7E7D07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(nine months ended 6/27/2020 comparative), https://www.sec.gov/Archives/edgar/data/1744489/000174448921000181/dis-20210703.htm</t>
        </r>
      </text>
    </comment>
    <comment ref="I37" authorId="0" shapeId="0" xr:uid="{60A25040-B95F-4504-80C6-502C755CA0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10-K (fiscal 2020 comparative), https://www.sec.gov/Archives/edgar/data/1744489/000174448921000220/dis-20211002.htm</t>
        </r>
      </text>
    </comment>
    <comment ref="J37" authorId="0" shapeId="0" xr:uid="{E37BC2A0-1414-43CE-999A-900F1C9A53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(nine months ended 7/3/2021), https://www.sec.gov/Archives/edgar/data/1744489/000174448921000181/dis-20210703.htm</t>
        </r>
      </text>
    </comment>
    <comment ref="K37" authorId="0" shapeId="0" xr:uid="{B9E23BBD-4860-466B-8286-8426DA19E9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10-K, https://www.sec.gov/Archives/edgar/data/1744489/000174448921000220/dis-20211002.htm</t>
        </r>
      </text>
    </comment>
    <comment ref="B38" authorId="0" shapeId="0" xr:uid="{1E94BB10-1CBF-4987-9235-752D17A7E6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(six months ended 3/31/2018), https://www.sec.gov/Archives/edgar/data/1744489/000174448919000100/fy2019q210qdoc.htm</t>
        </r>
      </text>
    </comment>
    <comment ref="C38" authorId="0" shapeId="0" xr:uid="{DFA1902C-D9F0-4F28-8A9B-503550A63F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(nine months ended 6/30/2018), https://www.sec.gov/Archives/edgar/data/1744489/000174448919000167/fy2019q310qdoc.htm</t>
        </r>
      </text>
    </comment>
    <comment ref="D38" authorId="0" shapeId="0" xr:uid="{044D5988-717A-427C-914F-A40818AC9E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10-K (fiscal 2018 comparative), https://www.sec.gov/Archives/edgar/data/0001744489/000174448919000225/fy2019q410k.htm</t>
        </r>
      </text>
    </comment>
    <comment ref="E38" authorId="0" shapeId="0" xr:uid="{524D2B80-6A1D-449A-BB8F-2056529DF4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(six months ended 3/30/2019), https://www.sec.gov/Archives/edgar/data/1744489/000174448919000100/fy2019q210qdoc.htm</t>
        </r>
      </text>
    </comment>
    <comment ref="F38" authorId="0" shapeId="0" xr:uid="{AC2322C0-154C-4048-B384-12BEE81CB2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(nine months ended 6/29/2019), https://www.sec.gov/Archives/edgar/data/1744489/000174448919000167/fy2019q310qdoc.htm</t>
        </r>
      </text>
    </comment>
    <comment ref="G38" authorId="0" shapeId="0" xr:uid="{D73A321E-48F2-4B36-9C90-17E0DFAF76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10-K, https://www.sec.gov/Archives/edgar/data/0001744489/000174448919000225/fy2019q410k.htm</t>
        </r>
      </text>
    </comment>
    <comment ref="H38" authorId="0" shapeId="0" xr:uid="{7D08D7BF-86CD-4DAA-8AD5-AA0972CD6D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(nine months ended 6/27/2020 comparative), https://www.sec.gov/Archives/edgar/data/1744489/000174448921000181/dis-20210703.htm</t>
        </r>
      </text>
    </comment>
    <comment ref="I38" authorId="0" shapeId="0" xr:uid="{75651D3E-76B7-4AFC-AA4E-48C2A2CF7C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10-K (fiscal 2020 comparative), https://www.sec.gov/Archives/edgar/data/1744489/000174448921000220/dis-20211002.htm</t>
        </r>
      </text>
    </comment>
    <comment ref="J38" authorId="0" shapeId="0" xr:uid="{58160E5B-6422-474F-B0C2-C6318245A2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(nine months ended 7/3/2021), https://www.sec.gov/Archives/edgar/data/1744489/000174448921000181/dis-20210703.htm</t>
        </r>
      </text>
    </comment>
    <comment ref="K38" authorId="0" shapeId="0" xr:uid="{187F7096-14EB-4369-89EE-537A6C591A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10-K, https://www.sec.gov/Archives/edgar/data/1744489/000174448921000220/dis-20211002.htm</t>
        </r>
      </text>
    </comment>
    <comment ref="B39" authorId="0" shapeId="0" xr:uid="{0EE9E639-844A-4837-A075-1009F878E0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(six months ended 3/31/2018), https://www.sec.gov/Archives/edgar/data/1744489/000174448919000100/fy2019q210qdoc.htm</t>
        </r>
      </text>
    </comment>
    <comment ref="C39" authorId="0" shapeId="0" xr:uid="{7B19D7E7-3986-474A-8FC4-3EE68CFF8F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(nine months ended 6/30/2018), https://www.sec.gov/Archives/edgar/data/1744489/000174448919000167/fy2019q310qdoc.htm</t>
        </r>
      </text>
    </comment>
    <comment ref="D39" authorId="0" shapeId="0" xr:uid="{63320E67-5746-431E-84C6-705F7B1759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10-K (fiscal 2018 comparative), https://www.sec.gov/Archives/edgar/data/0001744489/000174448919000225/fy2019q410k.htm</t>
        </r>
      </text>
    </comment>
    <comment ref="E39" authorId="0" shapeId="0" xr:uid="{BBAF921B-53DC-4795-83B1-E641369090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(six months ended 3/30/2019), https://www.sec.gov/Archives/edgar/data/1744489/000174448919000100/fy2019q210qdoc.htm</t>
        </r>
      </text>
    </comment>
    <comment ref="F39" authorId="0" shapeId="0" xr:uid="{19D0348D-974A-46D8-94DB-084EDC5C7E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(nine months ended 6/29/2019), https://www.sec.gov/Archives/edgar/data/1744489/000174448919000167/fy2019q310qdoc.htm</t>
        </r>
      </text>
    </comment>
    <comment ref="G39" authorId="0" shapeId="0" xr:uid="{73B38216-E463-4520-BC1D-CF11927DDC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10-K, https://www.sec.gov/Archives/edgar/data/0001744489/000174448919000225/fy2019q410k.htm</t>
        </r>
      </text>
    </comment>
    <comment ref="H39" authorId="0" shapeId="0" xr:uid="{B470E186-3654-4870-AB83-E377416EDA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(nine months ended 6/27/2020 comparative), https://www.sec.gov/Archives/edgar/data/1744489/000174448921000181/dis-20210703.htm</t>
        </r>
      </text>
    </comment>
    <comment ref="I39" authorId="0" shapeId="0" xr:uid="{8E60474A-048D-45DC-857C-7DEB234268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10-K (fiscal 2020 comparative), https://www.sec.gov/Archives/edgar/data/1744489/000174448921000220/dis-20211002.htm</t>
        </r>
      </text>
    </comment>
    <comment ref="J39" authorId="0" shapeId="0" xr:uid="{BDCF8B43-5F47-4FF4-B888-B777DC81E0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(nine months ended 7/3/2021), https://www.sec.gov/Archives/edgar/data/1744489/000174448921000181/dis-20210703.htm</t>
        </r>
      </text>
    </comment>
    <comment ref="K39" authorId="0" shapeId="0" xr:uid="{FE8A7741-F5F5-4D18-AAD3-1EB420D2FD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10-K, https://www.sec.gov/Archives/edgar/data/1744489/000174448921000220/dis-20211002.htm</t>
        </r>
      </text>
    </comment>
    <comment ref="B40" authorId="0" shapeId="0" xr:uid="{15E71FD5-E2AA-45DD-A33A-59489CF1FD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(six months ended 3/31/2018), https://www.sec.gov/Archives/edgar/data/1744489/000174448919000100/fy2019q210qdoc.htm</t>
        </r>
      </text>
    </comment>
    <comment ref="C40" authorId="0" shapeId="0" xr:uid="{EAC55805-2279-4FE4-9454-9EF7121B79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(nine months ended 6/30/2018), https://www.sec.gov/Archives/edgar/data/1744489/000174448919000167/fy2019q310qdoc.htm</t>
        </r>
      </text>
    </comment>
    <comment ref="D40" authorId="0" shapeId="0" xr:uid="{598E7C43-B485-4743-BEFE-18F347522F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10-K (fiscal 2018 comparative), https://www.sec.gov/Archives/edgar/data/0001744489/000174448919000225/fy2019q410k.htm</t>
        </r>
      </text>
    </comment>
    <comment ref="E40" authorId="0" shapeId="0" xr:uid="{FF706353-4132-4892-BBFE-B7ED0428FD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Q2 10-Q (six months ended 3/30/2019), https://www.sec.gov/Archives/edgar/data/1744489/000174448919000100/fy2019q210qdoc.htm</t>
        </r>
      </text>
    </comment>
    <comment ref="F40" authorId="0" shapeId="0" xr:uid="{BF0FF09D-2B36-4C6B-B37A-6C6ED2063F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Q3 10-Q (nine months ended 6/29/2019), https://www.sec.gov/Archives/edgar/data/1744489/000174448919000167/fy2019q310qdoc.htm</t>
        </r>
      </text>
    </comment>
    <comment ref="G40" authorId="0" shapeId="0" xr:uid="{01AD8B3A-1457-4E75-9E15-C283E28280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FY2019 10-K, https://www.sec.gov/Archives/edgar/data/0001744489/000174448919000225/fy2019q410k.htm</t>
        </r>
      </text>
    </comment>
    <comment ref="H40" authorId="0" shapeId="0" xr:uid="{0DDB0E56-D42E-42C2-9246-BB6D1774FB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(nine months ended 6/27/2020 comparative), https://www.sec.gov/Archives/edgar/data/1744489/000174448921000181/dis-20210703.htm</t>
        </r>
      </text>
    </comment>
    <comment ref="I40" authorId="0" shapeId="0" xr:uid="{21E48606-BA83-4D3B-A949-E7EB8266AB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10-K (fiscal 2020 comparative), https://www.sec.gov/Archives/edgar/data/1744489/000174448921000220/dis-20211002.htm</t>
        </r>
      </text>
    </comment>
    <comment ref="J40" authorId="0" shapeId="0" xr:uid="{4609B1EC-6A05-4CEF-9AA5-FA7455EDF2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Q3 10-Q (nine months ended 7/3/2021), https://www.sec.gov/Archives/edgar/data/1744489/000174448921000181/dis-20210703.htm</t>
        </r>
      </text>
    </comment>
    <comment ref="K40" authorId="0" shapeId="0" xr:uid="{D590D311-E568-4AB5-A71E-E8C0E314AE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Disney FY2021 10-K, https://www.sec.gov/Archives/edgar/data/1744489/000174448921000220/dis-20211002.htm</t>
        </r>
      </text>
    </comment>
    <comment ref="L41" authorId="0" shapeId="0" xr:uid="{8403E489-BE74-4AEF-AFEB-B7AD4A0902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SEC EDGAR, Comcast 2020 10-K (Theme Parks segment revenue, FY2020), https://www.sec.gov/Archives/edgar/data/1166691/000116669121000008/cmcsa-20201231.htm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<sst xmlns="http://schemas.openxmlformats.org/spreadsheetml/2006/main" count="557" uniqueCount="261">
  <si>
    <t>Q</t>
  </si>
  <si>
    <t>in million $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</si>
  <si>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</si>
  <si>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</si>
  <si>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</si>
  <si>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</si>
  <si>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</si>
  <si>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</si>
  <si>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</si>
  <si>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</si>
  <si>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</si>
  <si>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</si>
  <si>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Consolidated revenue</t>
  </si>
  <si>
    <t>Previous Reporting (Changed in 2Q26, Sky Germany Sale)</t>
  </si>
  <si>
    <t>x</t>
  </si>
  <si>
    <t>C&amp;P Revenue</t>
  </si>
  <si>
    <t>Residential Connectivity</t>
  </si>
  <si>
    <t>Domestic BB</t>
  </si>
  <si>
    <t>Domestic Wireless</t>
  </si>
  <si>
    <t>Domestic Convergence Revenue</t>
  </si>
  <si>
    <t>Domestic Wireless Equipment4</t>
  </si>
  <si>
    <t>International Connectivity</t>
  </si>
  <si>
    <t xml:space="preserve">Video </t>
  </si>
  <si>
    <t>Advertising</t>
  </si>
  <si>
    <t>Other</t>
  </si>
  <si>
    <t>Residential C&amp;P</t>
  </si>
  <si>
    <t>Business service connectivity</t>
  </si>
  <si>
    <t>Total C&amp;P</t>
  </si>
  <si>
    <t>Previous Reporting (Changed after 1Q26, Pre VSNT Spin)</t>
  </si>
  <si>
    <t>Previous Reporting (Changed in 1Q25)</t>
  </si>
  <si>
    <t>C&amp;P Cost excluding D&amp;A</t>
  </si>
  <si>
    <t>Business C&amp;P</t>
  </si>
  <si>
    <t>Supplemental C&amp;P Cost</t>
  </si>
  <si>
    <t>Programming</t>
  </si>
  <si>
    <t>Marketing &amp; Promotion</t>
  </si>
  <si>
    <t>Direct product costs</t>
  </si>
  <si>
    <t>Tech &amp; Support</t>
  </si>
  <si>
    <t>Customer service</t>
  </si>
  <si>
    <t>Adjusted EBITDA</t>
  </si>
  <si>
    <t>C&amp;E Revenue</t>
  </si>
  <si>
    <t>Total Media</t>
  </si>
  <si>
    <t xml:space="preserve">Domestic adverstising </t>
  </si>
  <si>
    <t xml:space="preserve">Domestic distribution </t>
  </si>
  <si>
    <t xml:space="preserve">International networks </t>
  </si>
  <si>
    <t>Total Studios</t>
  </si>
  <si>
    <t xml:space="preserve">Content Licensing </t>
  </si>
  <si>
    <t>Theatrical</t>
  </si>
  <si>
    <t>Theme parks</t>
  </si>
  <si>
    <t>Headquarters &amp; Other</t>
  </si>
  <si>
    <t xml:space="preserve">Eliminations </t>
  </si>
  <si>
    <t>Supplemental C&amp;E Revenue</t>
  </si>
  <si>
    <t>Peacock Revenue</t>
  </si>
  <si>
    <t xml:space="preserve">Advertising </t>
  </si>
  <si>
    <t xml:space="preserve">Distribution </t>
  </si>
  <si>
    <t xml:space="preserve">Other </t>
  </si>
  <si>
    <t>Peacock Paid Sub</t>
  </si>
  <si>
    <t>C&amp;E Cost</t>
  </si>
  <si>
    <t xml:space="preserve">Programming &amp; Production </t>
  </si>
  <si>
    <t xml:space="preserve">Marketing &amp; Promotion </t>
  </si>
  <si>
    <t>Theme Parks</t>
  </si>
  <si>
    <t>Eliminations</t>
  </si>
  <si>
    <t>Media</t>
  </si>
  <si>
    <t>Studios</t>
  </si>
  <si>
    <t>Peacock costs &amp; expenses</t>
  </si>
  <si>
    <t>Programming &amp; Production</t>
  </si>
  <si>
    <t>Marketing, Promotion &amp; Other</t>
  </si>
  <si>
    <t>Peacock total costs ex. D&amp;A</t>
  </si>
  <si>
    <t>Peacock EBITDA</t>
  </si>
  <si>
    <t>Corporate &amp; Other revenue</t>
  </si>
  <si>
    <t>Corporate &amp; Other cost</t>
  </si>
  <si>
    <t>Corporate &amp; Other EBITDA</t>
  </si>
  <si>
    <t>Eliminations revenue</t>
  </si>
  <si>
    <t>Elimination costs</t>
  </si>
  <si>
    <t>Elimination EBITDA</t>
  </si>
  <si>
    <t>Consolidated costs</t>
  </si>
  <si>
    <t>Consolidated EBITDA</t>
  </si>
  <si>
    <t>D&amp;A</t>
  </si>
  <si>
    <t>Total consolidated D&amp;A</t>
  </si>
  <si>
    <t>Amort on acquisition-related intangible assets</t>
  </si>
  <si>
    <t>Total consolidated D&amp;A exclude amort of acquisition-related assets</t>
  </si>
  <si>
    <t>C&amp;P Customer Metrics (in thousands, except per customer data)</t>
  </si>
  <si>
    <t>Domestic Residential Passings</t>
  </si>
  <si>
    <t>Customer relationships</t>
  </si>
  <si>
    <t>Domestic Residential C&amp;P</t>
  </si>
  <si>
    <t>Domestic Residential C&amp;P Net Additions</t>
  </si>
  <si>
    <t>International Residential C&amp;P</t>
  </si>
  <si>
    <t>International Residential C&amp;P Net Additions</t>
  </si>
  <si>
    <t>Business Services Connectivity</t>
  </si>
  <si>
    <t>Business Services Connectivity Net Additions</t>
  </si>
  <si>
    <t>Total customer relationships</t>
  </si>
  <si>
    <t>Total customer relationships net additions</t>
  </si>
  <si>
    <t>Avg Monthly Revenue Per Customer Relationship</t>
  </si>
  <si>
    <t>Avg Monthly Adj. EBITDA Per Customer Relationship</t>
  </si>
  <si>
    <t>Domestic Broadband</t>
  </si>
  <si>
    <t>Residential Customers</t>
  </si>
  <si>
    <t>Business Services Customers</t>
  </si>
  <si>
    <t>Total Domestic Broadband Customers</t>
  </si>
  <si>
    <t>Total Domestic BB Penetration of Residential Passings</t>
  </si>
  <si>
    <t>Residential Net Additions</t>
  </si>
  <si>
    <t>Business Services Net Additions</t>
  </si>
  <si>
    <t>Total Domestic BB Net Additions</t>
  </si>
  <si>
    <t>Total Domestic Wireless Lines</t>
  </si>
  <si>
    <t>Total Domestic Wirelese Line Net Additions</t>
  </si>
  <si>
    <t>Domestic Video</t>
  </si>
  <si>
    <t>Total Customers</t>
  </si>
  <si>
    <t>Total Net Additions</t>
  </si>
  <si>
    <t>Domestic Voice</t>
  </si>
  <si>
    <t>Domestic Homes &amp; Businesses Passed</t>
  </si>
  <si>
    <t>Total Domestic BB Penetration of Homes &amp; Businesses Passed</t>
  </si>
  <si>
    <t>Capital Expenditures and Cash Paid for Capitalized Software &amp; Other Intangible Assets</t>
  </si>
  <si>
    <t>Capital Expenditures</t>
  </si>
  <si>
    <t>C&amp;P Capital Expenditures</t>
  </si>
  <si>
    <t>Customer Premise Equipment (CPE)</t>
  </si>
  <si>
    <t>Scalable Infrastructure</t>
  </si>
  <si>
    <t>Line Extensions</t>
  </si>
  <si>
    <t>Support Capital</t>
  </si>
  <si>
    <t>Total C&amp;P Capital Expenditures</t>
  </si>
  <si>
    <t>as % of C&amp;P Revenue</t>
  </si>
  <si>
    <t>Total C&amp;E Capital Expenditures</t>
  </si>
  <si>
    <t>Corporate and Other Capital Expenditures</t>
  </si>
  <si>
    <t>Total Consolidated Capital Expenditures</t>
  </si>
  <si>
    <t>Cash Paid for Capitalized Software &amp; Other Intangible Assets</t>
  </si>
  <si>
    <t>Total C&amp;E</t>
  </si>
  <si>
    <t xml:space="preserve">Corporate and Other </t>
  </si>
  <si>
    <t>Total Cash Paid for capitalized software &amp; intangible</t>
  </si>
  <si>
    <t>C&amp;P Net Cash Flow</t>
  </si>
  <si>
    <t>Cash Paid for Capitalized Software &amp; Intangible</t>
  </si>
  <si>
    <t>Total C&amp;P Net Cash Flow</t>
  </si>
  <si>
    <t>FCF, Return of Capital and Adjusted EPS</t>
  </si>
  <si>
    <t>Free Cash Flow</t>
  </si>
  <si>
    <t>Cash Interest Expense</t>
  </si>
  <si>
    <t>Cash Taxes</t>
  </si>
  <si>
    <t>Changes in Operating Assets &amp; Liabilities</t>
  </si>
  <si>
    <t>Noncash Share-Based Compensation</t>
  </si>
  <si>
    <t>Total Consolidated FCF</t>
  </si>
  <si>
    <t>Return of Capital to Shareholders</t>
  </si>
  <si>
    <t>Dividends</t>
  </si>
  <si>
    <t>Share Repurchases</t>
  </si>
  <si>
    <t>Total Return of Capital to Shareholders</t>
  </si>
  <si>
    <t>Adjusted EPS</t>
  </si>
  <si>
    <t>Diluted Weighted-Avg Common Shares</t>
  </si>
  <si>
    <t>Amortization for Film+TV content</t>
  </si>
  <si>
    <t>Experiences</t>
  </si>
  <si>
    <t>1Q22</t>
  </si>
  <si>
    <t>2Q22</t>
  </si>
  <si>
    <t>3Q22</t>
  </si>
  <si>
    <t>4Q22</t>
  </si>
  <si>
    <t>1Q23</t>
  </si>
  <si>
    <t>2Q23</t>
  </si>
  <si>
    <t>3Q23</t>
  </si>
  <si>
    <t>4Q23</t>
  </si>
  <si>
    <t>3Q26E</t>
  </si>
  <si>
    <t>4Q26E</t>
  </si>
  <si>
    <t>1Q27E</t>
  </si>
  <si>
    <t>2Q27E</t>
  </si>
  <si>
    <t>3Q27E</t>
  </si>
  <si>
    <t>4Q27E</t>
  </si>
  <si>
    <t>2026E</t>
  </si>
  <si>
    <t>2027E</t>
  </si>
  <si>
    <t>Theme park admissions</t>
  </si>
  <si>
    <t>Resorts and vacations</t>
  </si>
  <si>
    <t>Parks &amp; Experiences merchandise, food and beverage</t>
  </si>
  <si>
    <t>Merchandise licensing and retail</t>
  </si>
  <si>
    <t>Parks licensing and other</t>
  </si>
  <si>
    <t>Total revenue ($M)</t>
  </si>
  <si>
    <t>Operating expenses</t>
  </si>
  <si>
    <t>SG&amp;A</t>
  </si>
  <si>
    <t>Equity in income(loss) of investees</t>
  </si>
  <si>
    <t>OI ($M)</t>
  </si>
  <si>
    <t>OI Margin (%)</t>
  </si>
  <si>
    <t>YoY</t>
  </si>
  <si>
    <t xml:space="preserve">EBITDA </t>
  </si>
  <si>
    <t>EBITDA margin</t>
  </si>
  <si>
    <t>Total revenue</t>
  </si>
  <si>
    <t>% of theme park admissions</t>
  </si>
  <si>
    <t>Cost drivers</t>
  </si>
  <si>
    <t>% of Revenue</t>
  </si>
  <si>
    <t>Supplemental</t>
  </si>
  <si>
    <t>Revenue</t>
  </si>
  <si>
    <t>Parks &amp; Experiences</t>
  </si>
  <si>
    <t>Domestic</t>
  </si>
  <si>
    <t>International</t>
  </si>
  <si>
    <t>Consumer products</t>
  </si>
  <si>
    <t>OI</t>
  </si>
  <si>
    <t>Base resorts and vacations revenue</t>
  </si>
  <si>
    <t>YoY growth %</t>
  </si>
  <si>
    <t>Treasure (Dec 2024)</t>
  </si>
  <si>
    <t>from our side analysis</t>
  </si>
  <si>
    <t>Destiny (Nov 2025)</t>
  </si>
  <si>
    <t>Adventure (March 2026)</t>
  </si>
  <si>
    <t>Incremental cruise revenue</t>
  </si>
  <si>
    <t>Total Resorts and Vacations Revenue</t>
  </si>
  <si>
    <t>Operating margin for cruise</t>
  </si>
  <si>
    <t>Operating Income from incremental cruise lines</t>
  </si>
  <si>
    <t>Base line Operating Income</t>
  </si>
  <si>
    <t>Operating labor</t>
  </si>
  <si>
    <t>Infrastructure costs</t>
  </si>
  <si>
    <t>COGS and distributon costs</t>
  </si>
  <si>
    <t>Other operating expenses</t>
  </si>
  <si>
    <t>Total</t>
  </si>
  <si>
    <t>CMCSA Theme Parks vs. DIS Experiences — quarterly, aligned by calendar quarter</t>
  </si>
  <si>
    <t>Calendar quarter</t>
  </si>
  <si>
    <t>DIS fiscal quarter</t>
  </si>
  <si>
    <t>CMCSA Theme Parks revenue ($mm)</t>
  </si>
  <si>
    <t>DIS Theme park admissions ($mm)</t>
  </si>
  <si>
    <t>DIS Parks &amp; Exp merchandise, food and beverage ($mm)</t>
  </si>
  <si>
    <t>DIS Experiences revenue ex. merch licensing &amp; retail ($mm)</t>
  </si>
  <si>
    <t>memo: DIS Merchandise licensing and retail ($mm)</t>
  </si>
  <si>
    <t>memo: DIS Experiences total revenue ($mm)</t>
  </si>
  <si>
    <t>Ratio: CMCSA / DIS admissions</t>
  </si>
  <si>
    <t>Ratio: CMCSA / DIS merch, food &amp; bev</t>
  </si>
  <si>
    <t>Ratio: CMCSA / DIS ex. merch licensing &amp; retail</t>
  </si>
  <si>
    <t>CMCSA Theme Parks YoY %</t>
  </si>
  <si>
    <t>DIS admissions YoY %</t>
  </si>
  <si>
    <t>DIS merch, food &amp; bev YoY %</t>
  </si>
  <si>
    <t>DIS ex. merch licensing &amp; retail YoY %</t>
  </si>
  <si>
    <t>COVID flag — levels (1 = 1Q20–4Q21)</t>
  </si>
  <si>
    <t>COVID flag — YoY (1 = 1Q20–4Q22)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</si>
  <si>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</si>
  <si>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</si>
  <si>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</si>
  <si>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</si>
  <si>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</si>
  <si>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</si>
  <si>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</si>
  <si>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</si>
  <si>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</si>
  <si>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</si>
  <si>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</si>
  <si>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</si>
  <si>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</si>
  <si>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</si>
  <si>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</si>
  <si>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</si>
  <si>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</si>
  <si>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Helper — DIS DPEP filing-period totals ($mm, as reported; used to derive fiscal Q1 = H1 − Q2 and Q4 = FY − 9M)</t>
  </si>
  <si>
    <t>H1 FY18</t>
  </si>
  <si>
    <t>9M FY18</t>
  </si>
  <si>
    <t>FY2018</t>
  </si>
  <si>
    <t>H1 FY19</t>
  </si>
  <si>
    <t>9M FY19</t>
  </si>
  <si>
    <t>FY2019</t>
  </si>
  <si>
    <t>9M FY20</t>
  </si>
  <si>
    <t>FY2020</t>
  </si>
  <si>
    <t>9M FY21</t>
  </si>
  <si>
    <t>FY2021</t>
  </si>
  <si>
    <t>CMCSA FY2020</t>
  </si>
  <si>
    <t>Parks &amp; Exp merchandise, food and beverage</t>
  </si>
  <si>
    <t>DPEP total segment revenue</t>
  </si>
  <si>
    <t>CMCSA Theme Parks revenue</t>
  </si>
  <si>
    <t>Summary — CMCSA Theme Parks vs. DIS line</t>
  </si>
  <si>
    <t>vs. Admissions</t>
  </si>
  <si>
    <t>vs. Merch/Food/Bev</t>
  </si>
  <si>
    <t>vs. Ex-licensing</t>
  </si>
  <si>
    <t>Average ratio (all quarters)</t>
  </si>
  <si>
    <t>Average ratio (ex-COVID)</t>
  </si>
  <si>
    <t>Correlation — levels, all quarters</t>
  </si>
  <si>
    <t>Correlation — levels, ex-COVID (excl. 1Q20–4Q21)</t>
  </si>
  <si>
    <t>Correlation — YoY %, all quarters</t>
  </si>
  <si>
    <t>Correlation — YoY %, ex-COVID (excl. 1Q20–4Q22)</t>
  </si>
  <si>
    <t>Notes: Columns are calendar quarters; DIS fiscal quarters (FY ends late Sep) are mapped to the calendar quarter they cover (e.g., DIS 1Q FY22 = Oct–Dec 2021 = 4Q21). DIS FY18–FY21 = as-reported Parks, Experiences &amp; Products (DPEP) segment; FY22 onward = recast Experiences segment per 'DIS Experience' tab (recast moved games licensing out of merchandise licensing &amp; retail, so the memo rows have a small definitional seam at 4Q21/1Q22; admissions and merch/food/bev are unaffected). FY18 comparatives are pre-ASC 606. CMCSA 4Q17–4Q20 = as-reported Theme Parks segment; 1Q21 onward linked from 'CMCSA Segments' row 96. DIS fiscal Q1/Q4 are derived from H1/9M/FY filing totals (helper block, rows 36–41).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</si>
</sst>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_);_(* \(#,##0.00\);_(* &quot;-&quot;_);_(@_)"/>
    <numFmt numFmtId="167" formatCode="&quot;$&quot;#,##0;\(&quot;$&quot;#,##0\);&quot;-&quot;"/>
    <numFmt numFmtId="168" formatCode="0.00\x"/>
  </numFmts>
  <fonts count="37" x14ac:knownFonts="1"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08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070C0"/>
      <name val="Calibri"/>
      <family val="2"/>
    </font>
    <font>
      <sz val="11"/>
      <color rgb="FF0000FF"/>
      <name val="Calibri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color rgb="FF808080"/>
      <name val="Times New Roman"/>
      <family val="1"/>
    </font>
    <font>
      <b/>
      <i/>
      <sz val="10"/>
      <color rgb="FF80808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FF"/>
      <name val="Times New Roman"/>
      <family val="1"/>
    </font>
    <font>
      <sz val="10"/>
      <color rgb="FF008000"/>
      <name val="Times New Roman"/>
      <family val="1"/>
    </font>
    <font>
      <i/>
      <sz val="9"/>
      <color rgb="FF80808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5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164" fontId="6" fillId="3" borderId="0" xfId="0" applyNumberFormat="1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164" fontId="5" fillId="3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164" fontId="5" fillId="0" borderId="0" xfId="1" applyNumberFormat="1" applyFont="1" applyFill="1" applyBorder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 indent="2"/>
    </xf>
    <xf numFmtId="164" fontId="9" fillId="0" borderId="0" xfId="1" applyNumberFormat="1" applyFont="1" applyFill="1" applyBorder="1" applyAlignment="1">
      <alignment horizontal="left" vertical="top"/>
    </xf>
    <xf numFmtId="41" fontId="10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 indent="1"/>
    </xf>
    <xf numFmtId="41" fontId="11" fillId="0" borderId="0" xfId="0" applyNumberFormat="1" applyFont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164" fontId="5" fillId="3" borderId="0" xfId="0" applyNumberFormat="1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164" fontId="13" fillId="0" borderId="0" xfId="1" applyNumberFormat="1" applyFont="1" applyFill="1" applyBorder="1" applyAlignment="1">
      <alignment horizontal="left" vertical="top"/>
    </xf>
    <xf numFmtId="164" fontId="6" fillId="3" borderId="0" xfId="1" applyNumberFormat="1" applyFont="1" applyFill="1" applyBorder="1" applyAlignment="1">
      <alignment horizontal="left" vertical="top"/>
    </xf>
    <xf numFmtId="164" fontId="6" fillId="0" borderId="0" xfId="1" applyNumberFormat="1" applyFont="1" applyFill="1" applyBorder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4" fontId="9" fillId="3" borderId="0" xfId="1" applyNumberFormat="1" applyFont="1" applyFill="1" applyBorder="1" applyAlignment="1">
      <alignment horizontal="left" vertical="top"/>
    </xf>
    <xf numFmtId="0" fontId="12" fillId="4" borderId="0" xfId="0" applyFont="1" applyFill="1" applyAlignment="1">
      <alignment horizontal="left" vertical="top"/>
    </xf>
    <xf numFmtId="164" fontId="9" fillId="4" borderId="0" xfId="1" applyNumberFormat="1" applyFont="1" applyFill="1" applyBorder="1" applyAlignment="1">
      <alignment horizontal="left" vertical="top"/>
    </xf>
    <xf numFmtId="164" fontId="12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164" fontId="9" fillId="2" borderId="0" xfId="1" applyNumberFormat="1" applyFont="1" applyFill="1" applyBorder="1" applyAlignment="1">
      <alignment horizontal="left" vertical="top"/>
    </xf>
    <xf numFmtId="43" fontId="6" fillId="0" borderId="0" xfId="1" applyFont="1" applyFill="1" applyBorder="1" applyAlignment="1">
      <alignment horizontal="left" vertical="top"/>
    </xf>
    <xf numFmtId="9" fontId="9" fillId="0" borderId="0" xfId="2" applyFont="1" applyFill="1" applyBorder="1" applyAlignment="1">
      <alignment horizontal="left" vertical="top"/>
    </xf>
    <xf numFmtId="165" fontId="9" fillId="0" borderId="0" xfId="2" applyNumberFormat="1" applyFont="1" applyFill="1" applyBorder="1" applyAlignment="1">
      <alignment horizontal="right" vertical="top"/>
    </xf>
    <xf numFmtId="9" fontId="10" fillId="0" borderId="0" xfId="0" applyNumberFormat="1" applyFont="1" applyAlignment="1">
      <alignment horizontal="right" vertical="top"/>
    </xf>
    <xf numFmtId="165" fontId="5" fillId="0" borderId="0" xfId="2" applyNumberFormat="1" applyFont="1" applyFill="1" applyBorder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14" fillId="0" borderId="0" xfId="0" applyFont="1" applyAlignment="1">
      <alignment horizontal="left" vertical="top"/>
    </xf>
    <xf numFmtId="41" fontId="5" fillId="0" borderId="0" xfId="0" applyNumberFormat="1" applyFont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9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164" fontId="12" fillId="0" borderId="0" xfId="1" applyNumberFormat="1" applyFont="1" applyFill="1" applyBorder="1" applyAlignment="1">
      <alignment horizontal="left" vertical="top"/>
    </xf>
    <xf numFmtId="0" fontId="15" fillId="0" borderId="0" xfId="0" applyFont="1" applyAlignment="1">
      <alignment horizontal="left" vertical="top" indent="1"/>
    </xf>
    <xf numFmtId="165" fontId="15" fillId="0" borderId="0" xfId="2" applyNumberFormat="1" applyFont="1" applyFill="1" applyBorder="1" applyAlignment="1">
      <alignment horizontal="right" vertical="top"/>
    </xf>
    <xf numFmtId="164" fontId="15" fillId="0" borderId="0" xfId="1" applyNumberFormat="1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164" fontId="16" fillId="0" borderId="0" xfId="1" applyNumberFormat="1" applyFont="1" applyFill="1" applyBorder="1" applyAlignment="1">
      <alignment horizontal="left" vertical="top"/>
    </xf>
    <xf numFmtId="164" fontId="5" fillId="4" borderId="0" xfId="1" applyNumberFormat="1" applyFont="1" applyFill="1" applyBorder="1" applyAlignment="1">
      <alignment horizontal="left" vertical="top"/>
    </xf>
    <xf numFmtId="43" fontId="9" fillId="0" borderId="0" xfId="1" applyFont="1" applyFill="1" applyBorder="1" applyAlignment="1">
      <alignment horizontal="left" vertical="top"/>
    </xf>
    <xf numFmtId="166" fontId="10" fillId="0" borderId="0" xfId="0" applyNumberFormat="1" applyFont="1" applyAlignment="1">
      <alignment horizontal="left" vertical="top"/>
    </xf>
    <xf numFmtId="43" fontId="5" fillId="0" borderId="0" xfId="1" applyFont="1" applyFill="1" applyBorder="1" applyAlignment="1">
      <alignment horizontal="left" vertical="top"/>
    </xf>
    <xf numFmtId="43" fontId="5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 vertical="top"/>
    </xf>
    <xf numFmtId="164" fontId="9" fillId="5" borderId="0" xfId="0" applyNumberFormat="1" applyFont="1" applyFill="1" applyAlignment="1">
      <alignment horizontal="left" vertical="top"/>
    </xf>
    <xf numFmtId="0" fontId="19" fillId="0" borderId="0" xfId="3" applyFont="1"/>
    <xf numFmtId="0" fontId="20" fillId="2" borderId="0" xfId="3" applyFont="1" applyFill="1"/>
    <xf numFmtId="0" fontId="20" fillId="2" borderId="0" xfId="3" applyFont="1" applyFill="1" applyAlignment="1">
      <alignment horizontal="right"/>
    </xf>
    <xf numFmtId="0" fontId="20" fillId="6" borderId="0" xfId="3" applyFont="1" applyFill="1" applyAlignment="1">
      <alignment horizontal="right"/>
    </xf>
    <xf numFmtId="0" fontId="20" fillId="0" borderId="0" xfId="3" applyFont="1"/>
    <xf numFmtId="164" fontId="21" fillId="0" borderId="0" xfId="4" applyNumberFormat="1" applyFont="1" applyAlignment="1">
      <alignment horizontal="left"/>
    </xf>
    <xf numFmtId="164" fontId="22" fillId="0" borderId="0" xfId="4" applyNumberFormat="1" applyFont="1" applyAlignment="1">
      <alignment horizontal="left"/>
    </xf>
    <xf numFmtId="164" fontId="19" fillId="0" borderId="0" xfId="4" applyNumberFormat="1" applyFont="1"/>
    <xf numFmtId="0" fontId="23" fillId="0" borderId="0" xfId="3" applyFont="1"/>
    <xf numFmtId="164" fontId="23" fillId="0" borderId="0" xfId="4" applyNumberFormat="1" applyFont="1"/>
    <xf numFmtId="164" fontId="24" fillId="0" borderId="0" xfId="4" applyNumberFormat="1" applyFont="1"/>
    <xf numFmtId="0" fontId="19" fillId="0" borderId="0" xfId="3" applyFont="1" applyAlignment="1">
      <alignment horizontal="left" indent="1"/>
    </xf>
    <xf numFmtId="9" fontId="19" fillId="0" borderId="0" xfId="4" applyNumberFormat="1" applyFont="1"/>
    <xf numFmtId="165" fontId="19" fillId="0" borderId="0" xfId="4" applyNumberFormat="1" applyFont="1"/>
    <xf numFmtId="0" fontId="25" fillId="0" borderId="0" xfId="3" applyFont="1" applyAlignment="1">
      <alignment horizontal="left" indent="1"/>
    </xf>
    <xf numFmtId="9" fontId="25" fillId="0" borderId="0" xfId="4" applyNumberFormat="1" applyFont="1"/>
    <xf numFmtId="165" fontId="25" fillId="0" borderId="0" xfId="4" applyNumberFormat="1" applyFont="1"/>
    <xf numFmtId="0" fontId="25" fillId="0" borderId="0" xfId="3" applyFont="1"/>
    <xf numFmtId="165" fontId="19" fillId="0" borderId="0" xfId="5" applyNumberFormat="1" applyFont="1" applyFill="1" applyAlignment="1">
      <alignment horizontal="right"/>
    </xf>
    <xf numFmtId="9" fontId="19" fillId="0" borderId="0" xfId="5" applyFont="1"/>
    <xf numFmtId="0" fontId="26" fillId="0" borderId="0" xfId="3" applyFont="1"/>
    <xf numFmtId="10" fontId="19" fillId="0" borderId="0" xfId="5" applyNumberFormat="1" applyFont="1"/>
    <xf numFmtId="164" fontId="19" fillId="0" borderId="0" xfId="3" applyNumberFormat="1" applyFont="1"/>
    <xf numFmtId="164" fontId="23" fillId="7" borderId="0" xfId="4" applyNumberFormat="1" applyFont="1" applyFill="1"/>
    <xf numFmtId="9" fontId="23" fillId="0" borderId="0" xfId="4" applyNumberFormat="1" applyFont="1"/>
    <xf numFmtId="165" fontId="23" fillId="0" borderId="0" xfId="4" applyNumberFormat="1" applyFont="1"/>
    <xf numFmtId="164" fontId="23" fillId="3" borderId="0" xfId="4" applyNumberFormat="1" applyFont="1" applyFill="1"/>
    <xf numFmtId="9" fontId="23" fillId="0" borderId="0" xfId="3" applyNumberFormat="1" applyFont="1"/>
    <xf numFmtId="165" fontId="23" fillId="0" borderId="0" xfId="3" applyNumberFormat="1" applyFont="1"/>
    <xf numFmtId="164" fontId="19" fillId="7" borderId="0" xfId="4" applyNumberFormat="1" applyFont="1" applyFill="1"/>
    <xf numFmtId="9" fontId="27" fillId="8" borderId="0" xfId="4" applyNumberFormat="1" applyFont="1" applyFill="1"/>
    <xf numFmtId="164" fontId="19" fillId="3" borderId="0" xfId="4" applyNumberFormat="1" applyFont="1" applyFill="1"/>
    <xf numFmtId="9" fontId="19" fillId="0" borderId="0" xfId="3" applyNumberFormat="1" applyFont="1"/>
    <xf numFmtId="0" fontId="19" fillId="0" borderId="1" xfId="3" applyFont="1" applyBorder="1"/>
    <xf numFmtId="164" fontId="19" fillId="7" borderId="1" xfId="4" applyNumberFormat="1" applyFont="1" applyFill="1" applyBorder="1"/>
    <xf numFmtId="9" fontId="19" fillId="0" borderId="1" xfId="4" applyNumberFormat="1" applyFont="1" applyBorder="1"/>
    <xf numFmtId="9" fontId="19" fillId="0" borderId="1" xfId="3" applyNumberFormat="1" applyFont="1" applyBorder="1"/>
    <xf numFmtId="9" fontId="19" fillId="9" borderId="0" xfId="4" applyNumberFormat="1" applyFont="1" applyFill="1"/>
    <xf numFmtId="9" fontId="19" fillId="0" borderId="0" xfId="4" applyNumberFormat="1" applyFont="1" applyFill="1"/>
    <xf numFmtId="9" fontId="27" fillId="0" borderId="0" xfId="4" applyNumberFormat="1" applyFont="1" applyFill="1"/>
    <xf numFmtId="164" fontId="19" fillId="0" borderId="0" xfId="4" applyNumberFormat="1" applyFont="1" applyFill="1"/>
    <xf numFmtId="0" fontId="19" fillId="0" borderId="0" xfId="3" quotePrefix="1" applyFont="1"/>
    <xf numFmtId="10" fontId="27" fillId="0" borderId="0" xfId="4" applyNumberFormat="1" applyFont="1" applyFill="1"/>
    <xf numFmtId="9" fontId="21" fillId="0" borderId="0" xfId="5" applyFont="1" applyAlignment="1">
      <alignment horizontal="left"/>
    </xf>
    <xf numFmtId="43" fontId="19" fillId="0" borderId="0" xfId="3" applyNumberFormat="1" applyFont="1"/>
    <xf numFmtId="0" fontId="25" fillId="0" borderId="0" xfId="3" applyFont="1" applyAlignment="1">
      <alignment horizontal="left"/>
    </xf>
    <xf numFmtId="9" fontId="25" fillId="0" borderId="0" xfId="5" applyFont="1"/>
    <xf numFmtId="164" fontId="28" fillId="0" borderId="0" xfId="4" applyNumberFormat="1" applyFont="1"/>
    <xf numFmtId="164" fontId="21" fillId="0" borderId="0" xfId="4" applyNumberFormat="1" applyFont="1" applyFill="1" applyAlignment="1">
      <alignment horizontal="left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167" fontId="34" fillId="0" borderId="0" xfId="0" applyNumberFormat="1" applyFont="1"/>
    <xf numFmtId="167" fontId="0" fillId="0" borderId="0" xfId="0" applyNumberFormat="1"/>
    <xf numFmtId="167" fontId="35" fillId="0" borderId="0" xfId="0" applyNumberFormat="1" applyFont="1"/>
    <xf numFmtId="168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0" fontId="30" fillId="10" borderId="0" xfId="0" applyFont="1" applyFill="1"/>
    <xf numFmtId="0" fontId="30" fillId="10" borderId="0" xfId="0" applyFont="1" applyFill="1" applyAlignment="1">
      <alignment horizontal="right"/>
    </xf>
    <xf numFmtId="0" fontId="31" fillId="0" borderId="0" xfId="0" applyFont="1" applyAlignment="1">
      <alignment horizontal="right"/>
    </xf>
    <xf numFmtId="0" fontId="30" fillId="10" borderId="0" xfId="0" applyFont="1" applyFill="1" applyAlignment="1">
      <alignment horizontal="left"/>
    </xf>
    <xf numFmtId="0" fontId="31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11" borderId="0" xfId="0" applyFont="1" applyFill="1"/>
    <xf numFmtId="0" fontId="36" fillId="0" borderId="0" xfId="0" applyFont="1"/>
  </cellXfs>
  <cellStyles count="6">
    <cellStyle name="Comma" xfId="1" builtinId="3"/>
    <cellStyle name="Comma 2" xfId="4" xr:uid="{BEED6455-7FDB-4065-8335-9EEA991FFA51}"/>
    <cellStyle name="Normal" xfId="0" builtinId="0"/>
    <cellStyle name="Normal 2" xfId="3" xr:uid="{0687D7F2-0FE4-4EA1-96CB-39D3C537BE66}"/>
    <cellStyle name="Percent" xfId="2" builtinId="5"/>
    <cellStyle name="Percent 2" xfId="5" xr:uid="{0D14F68B-D4D0-4E2A-8FB0-98BDA4A06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'CMCSA vs DIS Parks'!$A$12</c:f>
              <c:strCache>
                <c:ptCount val="1"/>
                <c:pt idx="0">
                  <c:v>Ratio: CMCSA / DIS admissions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'CMCSA vs DIS Parks'!$B$2:$AI$2</c:f>
              <c:strCache>
                <c:ptCount val="34"/>
                <c:pt idx="0">
                  <c:v>4Q17</c:v>
                </c:pt>
                <c:pt idx="1">
                  <c:v>1Q18</c:v>
                </c:pt>
                <c:pt idx="2">
                  <c:v>2Q18</c:v>
                </c:pt>
                <c:pt idx="3">
                  <c:v>3Q18</c:v>
                </c:pt>
                <c:pt idx="4">
                  <c:v>4Q18</c:v>
                </c:pt>
                <c:pt idx="5">
                  <c:v>1Q19</c:v>
                </c:pt>
                <c:pt idx="6">
                  <c:v>2Q19</c:v>
                </c:pt>
                <c:pt idx="7">
                  <c:v>3Q19</c:v>
                </c:pt>
                <c:pt idx="8">
                  <c:v>4Q19</c:v>
                </c:pt>
                <c:pt idx="9">
                  <c:v>1Q20</c:v>
                </c:pt>
                <c:pt idx="10">
                  <c:v>2Q20</c:v>
                </c:pt>
                <c:pt idx="11">
                  <c:v>3Q20</c:v>
                </c:pt>
                <c:pt idx="12">
                  <c:v>4Q20</c:v>
                </c:pt>
                <c:pt idx="13">
                  <c:v>1Q21</c:v>
                </c:pt>
                <c:pt idx="14">
                  <c:v>2Q21</c:v>
                </c:pt>
                <c:pt idx="15">
                  <c:v>3Q21</c:v>
                </c:pt>
                <c:pt idx="16">
                  <c:v>4Q21</c:v>
                </c:pt>
                <c:pt idx="17">
                  <c:v>1Q22</c:v>
                </c:pt>
                <c:pt idx="18">
                  <c:v>2Q22</c:v>
                </c:pt>
                <c:pt idx="19">
                  <c:v>3Q22</c:v>
                </c:pt>
                <c:pt idx="20">
                  <c:v>4Q22</c:v>
                </c:pt>
                <c:pt idx="21">
                  <c:v>1Q23</c:v>
                </c:pt>
                <c:pt idx="22">
                  <c:v>2Q23</c:v>
                </c:pt>
                <c:pt idx="23">
                  <c:v>3Q23</c:v>
                </c:pt>
                <c:pt idx="24">
                  <c:v>4Q23</c:v>
                </c:pt>
                <c:pt idx="25">
                  <c:v>1Q24</c:v>
                </c:pt>
                <c:pt idx="26">
                  <c:v>2Q24</c:v>
                </c:pt>
                <c:pt idx="27">
                  <c:v>3Q24</c:v>
                </c:pt>
                <c:pt idx="28">
                  <c:v>4Q24</c:v>
                </c:pt>
                <c:pt idx="29">
                  <c:v>1Q25</c:v>
                </c:pt>
                <c:pt idx="30">
                  <c:v>2Q25</c:v>
                </c:pt>
                <c:pt idx="31">
                  <c:v>3Q25</c:v>
                </c:pt>
                <c:pt idx="32">
                  <c:v>4Q25</c:v>
                </c:pt>
                <c:pt idx="33">
                  <c:v>1Q26</c:v>
                </c:pt>
              </c:strCache>
            </c:strRef>
          </c:cat>
          <c:val>
            <c:numRef>
              <c:f>'CMCSA vs DIS Parks'!$B$12:$AI$12</c:f>
              <c:numCache>
                <c:formatCode>0.00\x</c:formatCode>
                <c:ptCount val="34"/>
                <c:pt idx="0">
                  <c:v>0.79748908296943233</c:v>
                </c:pt>
                <c:pt idx="1">
                  <c:v>0.75798816568047334</c:v>
                </c:pt>
                <c:pt idx="2">
                  <c:v>0.74209378407851689</c:v>
                </c:pt>
                <c:pt idx="3">
                  <c:v>0.83634373289545705</c:v>
                </c:pt>
                <c:pt idx="4">
                  <c:v>0.78272115882048632</c:v>
                </c:pt>
                <c:pt idx="5">
                  <c:v>0.72171945701357465</c:v>
                </c:pt>
                <c:pt idx="6">
                  <c:v>0.74846625766871167</c:v>
                </c:pt>
                <c:pt idx="7">
                  <c:v>0.86617100371747213</c:v>
                </c:pt>
                <c:pt idx="8">
                  <c:v>0.75568456700532172</c:v>
                </c:pt>
                <c:pt idx="9">
                  <c:v>0.55920205920205923</c:v>
                </c:pt>
                <c:pt idx="10">
                  <c:v>2.5588235294117645</c:v>
                </c:pt>
                <c:pt idx="11">
                  <c:v>0.81201044386422971</c:v>
                </c:pt>
                <c:pt idx="12">
                  <c:v>1.0546448087431695</c:v>
                </c:pt>
                <c:pt idx="13">
                  <c:v>1.0368509212730319</c:v>
                </c:pt>
                <c:pt idx="14">
                  <c:v>0.95052083333333337</c:v>
                </c:pt>
                <c:pt idx="15">
                  <c:v>0.93483870967741933</c:v>
                </c:pt>
                <c:pt idx="16">
                  <c:v>0.8768587360594795</c:v>
                </c:pt>
                <c:pt idx="17">
                  <c:v>0.79067410035478969</c:v>
                </c:pt>
                <c:pt idx="18">
                  <c:v>0.7802768166089965</c:v>
                </c:pt>
                <c:pt idx="19">
                  <c:v>0.9533487297921478</c:v>
                </c:pt>
                <c:pt idx="20">
                  <c:v>0.8004543733434305</c:v>
                </c:pt>
                <c:pt idx="21">
                  <c:v>0.80271828665568368</c:v>
                </c:pt>
                <c:pt idx="22">
                  <c:v>0.80886122299523988</c:v>
                </c:pt>
                <c:pt idx="23">
                  <c:v>0.9218452154022112</c:v>
                </c:pt>
                <c:pt idx="24">
                  <c:v>0.79510395707578807</c:v>
                </c:pt>
                <c:pt idx="25">
                  <c:v>0.70527441197434071</c:v>
                </c:pt>
                <c:pt idx="26">
                  <c:v>0.71043165467625902</c:v>
                </c:pt>
                <c:pt idx="27">
                  <c:v>0.87936995774106796</c:v>
                </c:pt>
                <c:pt idx="28">
                  <c:v>0.76903142209264663</c:v>
                </c:pt>
                <c:pt idx="29">
                  <c:v>0.64268585131894485</c:v>
                </c:pt>
                <c:pt idx="30">
                  <c:v>0.78404539385847793</c:v>
                </c:pt>
                <c:pt idx="31">
                  <c:v>1.0044362292051756</c:v>
                </c:pt>
                <c:pt idx="32">
                  <c:v>0.8764010905786126</c:v>
                </c:pt>
                <c:pt idx="33">
                  <c:v>0.75388098318240626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9-4D67-B33B-1B9F30A74191}"/>
            </c:ext>
          </c:extLst>
        </c:ser>
        <c:ser>
          <c:idx val="1"/>
          <c:order val="1"/>
          <c:tx>
            <c:strRef>
              <c:f>'CMCSA vs DIS Parks'!$A$13</c:f>
              <c:strCache>
                <c:ptCount val="1"/>
                <c:pt idx="0">
                  <c:v>Ratio: CMCSA / DIS merch, food &amp; bev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'CMCSA vs DIS Parks'!$B$2:$AI$2</c:f>
              <c:strCache>
                <c:ptCount val="34"/>
                <c:pt idx="0">
                  <c:v>4Q17</c:v>
                </c:pt>
                <c:pt idx="1">
                  <c:v>1Q18</c:v>
                </c:pt>
                <c:pt idx="2">
                  <c:v>2Q18</c:v>
                </c:pt>
                <c:pt idx="3">
                  <c:v>3Q18</c:v>
                </c:pt>
                <c:pt idx="4">
                  <c:v>4Q18</c:v>
                </c:pt>
                <c:pt idx="5">
                  <c:v>1Q19</c:v>
                </c:pt>
                <c:pt idx="6">
                  <c:v>2Q19</c:v>
                </c:pt>
                <c:pt idx="7">
                  <c:v>3Q19</c:v>
                </c:pt>
                <c:pt idx="8">
                  <c:v>4Q19</c:v>
                </c:pt>
                <c:pt idx="9">
                  <c:v>1Q20</c:v>
                </c:pt>
                <c:pt idx="10">
                  <c:v>2Q20</c:v>
                </c:pt>
                <c:pt idx="11">
                  <c:v>3Q20</c:v>
                </c:pt>
                <c:pt idx="12">
                  <c:v>4Q20</c:v>
                </c:pt>
                <c:pt idx="13">
                  <c:v>1Q21</c:v>
                </c:pt>
                <c:pt idx="14">
                  <c:v>2Q21</c:v>
                </c:pt>
                <c:pt idx="15">
                  <c:v>3Q21</c:v>
                </c:pt>
                <c:pt idx="16">
                  <c:v>4Q21</c:v>
                </c:pt>
                <c:pt idx="17">
                  <c:v>1Q22</c:v>
                </c:pt>
                <c:pt idx="18">
                  <c:v>2Q22</c:v>
                </c:pt>
                <c:pt idx="19">
                  <c:v>3Q22</c:v>
                </c:pt>
                <c:pt idx="20">
                  <c:v>4Q22</c:v>
                </c:pt>
                <c:pt idx="21">
                  <c:v>1Q23</c:v>
                </c:pt>
                <c:pt idx="22">
                  <c:v>2Q23</c:v>
                </c:pt>
                <c:pt idx="23">
                  <c:v>3Q23</c:v>
                </c:pt>
                <c:pt idx="24">
                  <c:v>4Q23</c:v>
                </c:pt>
                <c:pt idx="25">
                  <c:v>1Q24</c:v>
                </c:pt>
                <c:pt idx="26">
                  <c:v>2Q24</c:v>
                </c:pt>
                <c:pt idx="27">
                  <c:v>3Q24</c:v>
                </c:pt>
                <c:pt idx="28">
                  <c:v>4Q24</c:v>
                </c:pt>
                <c:pt idx="29">
                  <c:v>1Q25</c:v>
                </c:pt>
                <c:pt idx="30">
                  <c:v>2Q25</c:v>
                </c:pt>
                <c:pt idx="31">
                  <c:v>3Q25</c:v>
                </c:pt>
                <c:pt idx="32">
                  <c:v>4Q25</c:v>
                </c:pt>
                <c:pt idx="33">
                  <c:v>1Q26</c:v>
                </c:pt>
              </c:strCache>
            </c:strRef>
          </c:cat>
          <c:val>
            <c:numRef>
              <c:f>'CMCSA vs DIS Parks'!$B$13:$AI$13</c:f>
              <c:numCache>
                <c:formatCode>0.00\x</c:formatCode>
                <c:ptCount val="34"/>
                <c:pt idx="0">
                  <c:v>0.43913435527502254</c:v>
                </c:pt>
                <c:pt idx="1">
                  <c:v>0.42110453648915186</c:v>
                </c:pt>
                <c:pt idx="2">
                  <c:v>0.41544566544566547</c:v>
                </c:pt>
                <c:pt idx="3">
                  <c:v>0.47571606475716066</c:v>
                </c:pt>
                <c:pt idx="4">
                  <c:v>0.43253287592910233</c:v>
                </c:pt>
                <c:pt idx="5">
                  <c:v>0.40138408304498269</c:v>
                </c:pt>
                <c:pt idx="6">
                  <c:v>0.42178046672428693</c:v>
                </c:pt>
                <c:pt idx="7">
                  <c:v>0.48614008941877795</c:v>
                </c:pt>
                <c:pt idx="8">
                  <c:v>0.41564662054284196</c:v>
                </c:pt>
                <c:pt idx="9">
                  <c:v>0.30706713780918726</c:v>
                </c:pt>
                <c:pt idx="10">
                  <c:v>0.89690721649484539</c:v>
                </c:pt>
                <c:pt idx="11">
                  <c:v>0.39168765743073047</c:v>
                </c:pt>
                <c:pt idx="12">
                  <c:v>0.52540834845735029</c:v>
                </c:pt>
                <c:pt idx="13">
                  <c:v>0.53593073593073592</c:v>
                </c:pt>
                <c:pt idx="14">
                  <c:v>0.5300096805421104</c:v>
                </c:pt>
                <c:pt idx="15">
                  <c:v>0.51310198300283283</c:v>
                </c:pt>
                <c:pt idx="16">
                  <c:v>0.49947061937533088</c:v>
                </c:pt>
                <c:pt idx="17">
                  <c:v>0.44724770642201833</c:v>
                </c:pt>
                <c:pt idx="18">
                  <c:v>0.45100000000000001</c:v>
                </c:pt>
                <c:pt idx="19">
                  <c:v>0.52720306513409965</c:v>
                </c:pt>
                <c:pt idx="20">
                  <c:v>0.45747673663709154</c:v>
                </c:pt>
                <c:pt idx="21">
                  <c:v>0.44528215672835275</c:v>
                </c:pt>
                <c:pt idx="22">
                  <c:v>0.46790934124126243</c:v>
                </c:pt>
                <c:pt idx="23">
                  <c:v>0.54755434782608692</c:v>
                </c:pt>
                <c:pt idx="24">
                  <c:v>0.46627335299901673</c:v>
                </c:pt>
                <c:pt idx="25">
                  <c:v>0.40930713547052738</c:v>
                </c:pt>
                <c:pt idx="26">
                  <c:v>0.41369920402178467</c:v>
                </c:pt>
                <c:pt idx="27">
                  <c:v>0.50686448184233834</c:v>
                </c:pt>
                <c:pt idx="28">
                  <c:v>0.45064540622627181</c:v>
                </c:pt>
                <c:pt idx="29">
                  <c:v>0.3737051792828685</c:v>
                </c:pt>
                <c:pt idx="30">
                  <c:v>0.45709281961471104</c:v>
                </c:pt>
                <c:pt idx="31">
                  <c:v>0.56948228882833785</c:v>
                </c:pt>
                <c:pt idx="32">
                  <c:v>0.51212604000708095</c:v>
                </c:pt>
                <c:pt idx="33">
                  <c:v>0.44055944055944057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9-4D67-B33B-1B9F30A74191}"/>
            </c:ext>
          </c:extLst>
        </c:ser>
        <c:ser>
          <c:idx val="2"/>
          <c:order val="2"/>
          <c:tx>
            <c:strRef>
              <c:f>'CMCSA vs DIS Parks'!$A$14</c:f>
              <c:strCache>
                <c:ptCount val="1"/>
                <c:pt idx="0">
                  <c:v>Ratio: CMCSA / DIS ex. merch licensing &amp; retail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'CMCSA vs DIS Parks'!$B$2:$AI$2</c:f>
              <c:strCache>
                <c:ptCount val="34"/>
                <c:pt idx="0">
                  <c:v>4Q17</c:v>
                </c:pt>
                <c:pt idx="1">
                  <c:v>1Q18</c:v>
                </c:pt>
                <c:pt idx="2">
                  <c:v>2Q18</c:v>
                </c:pt>
                <c:pt idx="3">
                  <c:v>3Q18</c:v>
                </c:pt>
                <c:pt idx="4">
                  <c:v>4Q18</c:v>
                </c:pt>
                <c:pt idx="5">
                  <c:v>1Q19</c:v>
                </c:pt>
                <c:pt idx="6">
                  <c:v>2Q19</c:v>
                </c:pt>
                <c:pt idx="7">
                  <c:v>3Q19</c:v>
                </c:pt>
                <c:pt idx="8">
                  <c:v>4Q19</c:v>
                </c:pt>
                <c:pt idx="9">
                  <c:v>1Q20</c:v>
                </c:pt>
                <c:pt idx="10">
                  <c:v>2Q20</c:v>
                </c:pt>
                <c:pt idx="11">
                  <c:v>3Q20</c:v>
                </c:pt>
                <c:pt idx="12">
                  <c:v>4Q20</c:v>
                </c:pt>
                <c:pt idx="13">
                  <c:v>1Q21</c:v>
                </c:pt>
                <c:pt idx="14">
                  <c:v>2Q21</c:v>
                </c:pt>
                <c:pt idx="15">
                  <c:v>3Q21</c:v>
                </c:pt>
                <c:pt idx="16">
                  <c:v>4Q21</c:v>
                </c:pt>
                <c:pt idx="17">
                  <c:v>1Q22</c:v>
                </c:pt>
                <c:pt idx="18">
                  <c:v>2Q22</c:v>
                </c:pt>
                <c:pt idx="19">
                  <c:v>3Q22</c:v>
                </c:pt>
                <c:pt idx="20">
                  <c:v>4Q22</c:v>
                </c:pt>
                <c:pt idx="21">
                  <c:v>1Q23</c:v>
                </c:pt>
                <c:pt idx="22">
                  <c:v>2Q23</c:v>
                </c:pt>
                <c:pt idx="23">
                  <c:v>3Q23</c:v>
                </c:pt>
                <c:pt idx="24">
                  <c:v>4Q23</c:v>
                </c:pt>
                <c:pt idx="25">
                  <c:v>1Q24</c:v>
                </c:pt>
                <c:pt idx="26">
                  <c:v>2Q24</c:v>
                </c:pt>
                <c:pt idx="27">
                  <c:v>3Q24</c:v>
                </c:pt>
                <c:pt idx="28">
                  <c:v>4Q24</c:v>
                </c:pt>
                <c:pt idx="29">
                  <c:v>1Q25</c:v>
                </c:pt>
                <c:pt idx="30">
                  <c:v>2Q25</c:v>
                </c:pt>
                <c:pt idx="31">
                  <c:v>3Q25</c:v>
                </c:pt>
                <c:pt idx="32">
                  <c:v>4Q25</c:v>
                </c:pt>
                <c:pt idx="33">
                  <c:v>1Q26</c:v>
                </c:pt>
              </c:strCache>
            </c:strRef>
          </c:cat>
          <c:val>
            <c:numRef>
              <c:f>'CMCSA vs DIS Parks'!$B$14:$AI$14</c:f>
              <c:numCache>
                <c:formatCode>0.00\x</c:formatCode>
                <c:ptCount val="34"/>
                <c:pt idx="0">
                  <c:v>0.28177434908389587</c:v>
                </c:pt>
                <c:pt idx="1">
                  <c:v>0.26020719073735527</c:v>
                </c:pt>
                <c:pt idx="2">
                  <c:v>0.26082790341126866</c:v>
                </c:pt>
                <c:pt idx="3">
                  <c:v>0.2980881779165041</c:v>
                </c:pt>
                <c:pt idx="4">
                  <c:v>0.27389572773352644</c:v>
                </c:pt>
                <c:pt idx="5">
                  <c:v>0.24647479235078232</c:v>
                </c:pt>
                <c:pt idx="6">
                  <c:v>0.26227158724471517</c:v>
                </c:pt>
                <c:pt idx="7">
                  <c:v>0.30086699870872535</c:v>
                </c:pt>
                <c:pt idx="8">
                  <c:v>0.26425308746405007</c:v>
                </c:pt>
                <c:pt idx="9">
                  <c:v>0.18716347189317251</c:v>
                </c:pt>
                <c:pt idx="10">
                  <c:v>0.25290697674418605</c:v>
                </c:pt>
                <c:pt idx="11">
                  <c:v>0.21916842847075405</c:v>
                </c:pt>
                <c:pt idx="12">
                  <c:v>0.30634920634920637</c:v>
                </c:pt>
                <c:pt idx="13">
                  <c:v>0.30522682445759369</c:v>
                </c:pt>
                <c:pt idx="14">
                  <c:v>0.34176029962546817</c:v>
                </c:pt>
                <c:pt idx="15">
                  <c:v>0.34590594413941272</c:v>
                </c:pt>
                <c:pt idx="16">
                  <c:v>0.33274554752248281</c:v>
                </c:pt>
                <c:pt idx="17">
                  <c:v>0.28425655976676384</c:v>
                </c:pt>
                <c:pt idx="18">
                  <c:v>0.2900787908023798</c:v>
                </c:pt>
                <c:pt idx="19">
                  <c:v>0.33847163004263692</c:v>
                </c:pt>
                <c:pt idx="20">
                  <c:v>0.29401947148817803</c:v>
                </c:pt>
                <c:pt idx="21">
                  <c:v>0.28810051736881004</c:v>
                </c:pt>
                <c:pt idx="22">
                  <c:v>0.30731775180856985</c:v>
                </c:pt>
                <c:pt idx="23">
                  <c:v>0.34307604994324631</c:v>
                </c:pt>
                <c:pt idx="24">
                  <c:v>0.3043255037864202</c:v>
                </c:pt>
                <c:pt idx="25">
                  <c:v>0.26372601279317698</c:v>
                </c:pt>
                <c:pt idx="26">
                  <c:v>0.2657427341227126</c:v>
                </c:pt>
                <c:pt idx="27">
                  <c:v>0.32162427989321341</c:v>
                </c:pt>
                <c:pt idx="28">
                  <c:v>0.29319501049771518</c:v>
                </c:pt>
                <c:pt idx="29">
                  <c:v>0.23591549295774647</c:v>
                </c:pt>
                <c:pt idx="30">
                  <c:v>0.28974959911187864</c:v>
                </c:pt>
                <c:pt idx="31">
                  <c:v>0.35688953106528309</c:v>
                </c:pt>
                <c:pt idx="32">
                  <c:v>0.33371784519552428</c:v>
                </c:pt>
                <c:pt idx="33">
                  <c:v>0.27343108504398828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B9-4D67-B33B-1B9F30A74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583455"/>
        <c:axId val="359556095"/>
      </c:lineChart>
      <c:catAx>
        <c:axId val="35958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56095"/>
        <c:crosses val="autoZero"/>
        <c:auto val="1"/>
        <c:lblAlgn val="ctr"/>
        <c:lblOffset val="100"/>
        <c:noMultiLvlLbl val="0"/>
      </c:catAx>
      <c:valAx>
        <c:axId val="35955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8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191567</xdr:colOff>
      <xdr:row>22</xdr:row>
      <xdr:rowOff>41108</xdr:rowOff>
    </xdr:from>
    <xdr:to>
      <xdr:col>21</xdr:col>
      <xdr:colOff>646843</xdr:colOff>
      <xdr:row>42</xdr:row>
      <xdr:rowOff>52610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427E4-1FB1-2EF8-71DD-3A893F4E8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BERN_CMCSA.xlsx" TargetMode="External"/><Relationship Id="rId1" Type="http://schemas.openxmlformats.org/officeDocument/2006/relationships/externalLinkPath" Target="BERN_CMCS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BERN_DIS.xlsx" TargetMode="External"/><Relationship Id="rId1" Type="http://schemas.openxmlformats.org/officeDocument/2006/relationships/externalLinkPath" Target="BERN_D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RNSTEIN Cover"/>
      <sheetName val="SCB Ticker Sheet"/>
      <sheetName val="Financial Summary"/>
      <sheetName val="CONS"/>
      <sheetName val="Valuation"/>
      <sheetName val="Valuation Comp"/>
      <sheetName val="FC - 3xFS"/>
      <sheetName val="IS drivers"/>
      <sheetName val="FC - C&amp;P"/>
      <sheetName val="FC - C&amp;E"/>
      <sheetName val="BS drivers"/>
      <sheetName val="FCF"/>
      <sheetName val="content costs"/>
      <sheetName val="As reported"/>
      <sheetName val="3xFS"/>
      <sheetName val="Segments"/>
      <sheetName val="pro-forma"/>
      <sheetName val="CMCSA ex-VSNT 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8">
          <cell r="B8">
            <v>6573</v>
          </cell>
          <cell r="C8">
            <v>6549</v>
          </cell>
          <cell r="D8">
            <v>6518</v>
          </cell>
          <cell r="E8">
            <v>6509</v>
          </cell>
          <cell r="F8">
            <v>6679</v>
          </cell>
          <cell r="G8">
            <v>6649</v>
          </cell>
          <cell r="H8">
            <v>6550</v>
          </cell>
          <cell r="I8">
            <v>6410</v>
          </cell>
          <cell r="J8">
            <v>6338</v>
          </cell>
        </row>
        <row r="14">
          <cell r="B14">
            <v>6977</v>
          </cell>
          <cell r="C14">
            <v>6894</v>
          </cell>
          <cell r="D14">
            <v>6821</v>
          </cell>
          <cell r="E14">
            <v>6615</v>
          </cell>
          <cell r="F14">
            <v>6600</v>
          </cell>
          <cell r="G14">
            <v>6605</v>
          </cell>
          <cell r="H14">
            <v>6475</v>
          </cell>
          <cell r="I14">
            <v>6266</v>
          </cell>
        </row>
      </sheetData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RNSTEIN Cover"/>
      <sheetName val="SCB Ticker Sheet"/>
      <sheetName val="Valuation"/>
      <sheetName val="Financial Summary"/>
      <sheetName val="FC - 3xFS"/>
      <sheetName val="Income Drivers"/>
      <sheetName val="BS Drivers"/>
      <sheetName val="FC - Entertainment"/>
      <sheetName val="FC - Sports"/>
      <sheetName val="FC - Experience"/>
      <sheetName val="Guidance"/>
      <sheetName val="As Reported"/>
      <sheetName val="3FS"/>
      <sheetName val="Segment"/>
      <sheetName val="Content"/>
      <sheetName val="Earnings Template"/>
      <sheetName val="FC - Entertainment old"/>
      <sheetName val="Old Legacy"/>
      <sheetName val="Old DTC"/>
      <sheetName val="Parks"/>
      <sheetName val="Sheet3"/>
      <sheetName val="ESPN - side model"/>
      <sheetName val="DTC password crackdown"/>
      <sheetName val="exhibits"/>
      <sheetName val="0821 Note Exhibit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80">
          <cell r="F280">
            <v>2152</v>
          </cell>
          <cell r="G280">
            <v>1973</v>
          </cell>
          <cell r="H280">
            <v>2312</v>
          </cell>
          <cell r="I280">
            <v>2165</v>
          </cell>
          <cell r="J280">
            <v>2641</v>
          </cell>
          <cell r="K280">
            <v>2428</v>
          </cell>
          <cell r="L280">
            <v>2731</v>
          </cell>
          <cell r="M280">
            <v>2623</v>
          </cell>
          <cell r="N280">
            <v>2982</v>
          </cell>
          <cell r="O280">
            <v>2806</v>
          </cell>
          <cell r="P280">
            <v>2780</v>
          </cell>
          <cell r="Q280">
            <v>2603</v>
          </cell>
          <cell r="R280">
            <v>3087</v>
          </cell>
          <cell r="S280">
            <v>2919</v>
          </cell>
          <cell r="T280">
            <v>2996</v>
          </cell>
          <cell r="U280">
            <v>2705</v>
          </cell>
          <cell r="V280">
            <v>3301</v>
          </cell>
          <cell r="W280">
            <v>3092</v>
          </cell>
          <cell r="Z280">
            <v>8602</v>
          </cell>
          <cell r="AA280">
            <v>10423</v>
          </cell>
          <cell r="AB280">
            <v>11171</v>
          </cell>
          <cell r="AC280">
            <v>11707</v>
          </cell>
        </row>
        <row r="281">
          <cell r="F281">
            <v>1445</v>
          </cell>
          <cell r="G281">
            <v>1451</v>
          </cell>
          <cell r="H281">
            <v>1805</v>
          </cell>
          <cell r="I281">
            <v>1709</v>
          </cell>
          <cell r="J281">
            <v>1980</v>
          </cell>
          <cell r="K281">
            <v>1903</v>
          </cell>
          <cell r="L281">
            <v>1963</v>
          </cell>
          <cell r="M281">
            <v>2103</v>
          </cell>
          <cell r="N281">
            <v>2118</v>
          </cell>
          <cell r="O281">
            <v>2101</v>
          </cell>
          <cell r="P281">
            <v>2115</v>
          </cell>
          <cell r="Q281">
            <v>2041</v>
          </cell>
          <cell r="R281">
            <v>2221</v>
          </cell>
          <cell r="S281">
            <v>2359</v>
          </cell>
          <cell r="T281">
            <v>2373</v>
          </cell>
          <cell r="U281">
            <v>2257</v>
          </cell>
          <cell r="V281">
            <v>2410</v>
          </cell>
          <cell r="W281">
            <v>2564</v>
          </cell>
          <cell r="Z281">
            <v>6410</v>
          </cell>
          <cell r="AA281">
            <v>7949</v>
          </cell>
          <cell r="AB281">
            <v>8375</v>
          </cell>
          <cell r="AC281">
            <v>9210</v>
          </cell>
        </row>
        <row r="282">
          <cell r="F282">
            <v>1626</v>
          </cell>
          <cell r="G282">
            <v>1515</v>
          </cell>
          <cell r="H282">
            <v>1688</v>
          </cell>
          <cell r="I282">
            <v>1750</v>
          </cell>
          <cell r="J282">
            <v>1980</v>
          </cell>
          <cell r="K282">
            <v>1949</v>
          </cell>
          <cell r="L282">
            <v>1990</v>
          </cell>
          <cell r="M282">
            <v>1793</v>
          </cell>
          <cell r="N282">
            <v>2103</v>
          </cell>
          <cell r="O282">
            <v>2029</v>
          </cell>
          <cell r="P282">
            <v>1994</v>
          </cell>
          <cell r="Q282">
            <v>1913</v>
          </cell>
          <cell r="R282">
            <v>2181</v>
          </cell>
          <cell r="S282">
            <v>2101</v>
          </cell>
          <cell r="T282">
            <v>2143</v>
          </cell>
          <cell r="U282">
            <v>2066</v>
          </cell>
          <cell r="V282">
            <v>2348</v>
          </cell>
          <cell r="W282">
            <v>2199</v>
          </cell>
          <cell r="Z282">
            <v>6579</v>
          </cell>
          <cell r="AA282">
            <v>7712</v>
          </cell>
          <cell r="AB282">
            <v>8039</v>
          </cell>
          <cell r="AC282">
            <v>8491</v>
          </cell>
        </row>
        <row r="283">
          <cell r="F283">
            <v>1411</v>
          </cell>
          <cell r="G283">
            <v>1017</v>
          </cell>
          <cell r="H283">
            <v>1026</v>
          </cell>
          <cell r="I283">
            <v>1155</v>
          </cell>
          <cell r="J283">
            <v>1355</v>
          </cell>
          <cell r="K283">
            <v>881</v>
          </cell>
          <cell r="L283">
            <v>1010</v>
          </cell>
          <cell r="M283">
            <v>1112</v>
          </cell>
          <cell r="N283">
            <v>1341</v>
          </cell>
          <cell r="O283">
            <v>889</v>
          </cell>
          <cell r="P283">
            <v>954</v>
          </cell>
          <cell r="Q283">
            <v>1123</v>
          </cell>
          <cell r="R283">
            <v>1318</v>
          </cell>
          <cell r="S283">
            <v>937</v>
          </cell>
          <cell r="T283">
            <v>979</v>
          </cell>
          <cell r="U283">
            <v>1153</v>
          </cell>
          <cell r="V283">
            <v>1337</v>
          </cell>
          <cell r="W283">
            <v>962</v>
          </cell>
          <cell r="Z283">
            <v>4609</v>
          </cell>
          <cell r="AA283">
            <v>4358</v>
          </cell>
          <cell r="AB283">
            <v>4307</v>
          </cell>
          <cell r="AC283">
            <v>4387</v>
          </cell>
        </row>
        <row r="284">
          <cell r="F284">
            <v>448</v>
          </cell>
          <cell r="G284">
            <v>549</v>
          </cell>
          <cell r="H284">
            <v>414</v>
          </cell>
          <cell r="I284">
            <v>474</v>
          </cell>
          <cell r="J284">
            <v>589</v>
          </cell>
          <cell r="K284">
            <v>485</v>
          </cell>
          <cell r="L284">
            <v>504</v>
          </cell>
          <cell r="M284">
            <v>529</v>
          </cell>
          <cell r="N284">
            <v>588</v>
          </cell>
          <cell r="O284">
            <v>568</v>
          </cell>
          <cell r="P284">
            <v>543</v>
          </cell>
          <cell r="Q284">
            <v>560</v>
          </cell>
          <cell r="R284">
            <v>608</v>
          </cell>
          <cell r="S284">
            <v>573</v>
          </cell>
          <cell r="T284">
            <v>595</v>
          </cell>
          <cell r="U284">
            <v>585</v>
          </cell>
          <cell r="V284">
            <v>610</v>
          </cell>
          <cell r="W284">
            <v>670</v>
          </cell>
          <cell r="Z284">
            <v>1885</v>
          </cell>
          <cell r="AA284">
            <v>2107</v>
          </cell>
          <cell r="AB284">
            <v>2259</v>
          </cell>
          <cell r="AC284">
            <v>2361</v>
          </cell>
        </row>
        <row r="285">
          <cell r="F285">
            <v>7082</v>
          </cell>
          <cell r="G285">
            <v>6505</v>
          </cell>
          <cell r="H285">
            <v>7245</v>
          </cell>
          <cell r="I285">
            <v>7253</v>
          </cell>
          <cell r="J285">
            <v>8545</v>
          </cell>
          <cell r="K285">
            <v>7646</v>
          </cell>
          <cell r="L285">
            <v>8198</v>
          </cell>
          <cell r="M285">
            <v>8160</v>
          </cell>
        </row>
        <row r="286">
          <cell r="F286">
            <v>-3451</v>
          </cell>
          <cell r="G286">
            <v>-3485</v>
          </cell>
          <cell r="H286">
            <v>-3729</v>
          </cell>
          <cell r="I286">
            <v>-4271</v>
          </cell>
          <cell r="J286">
            <v>-4139</v>
          </cell>
          <cell r="K286">
            <v>-4106</v>
          </cell>
          <cell r="L286">
            <v>-4279</v>
          </cell>
          <cell r="M286">
            <v>-4605</v>
          </cell>
          <cell r="N286">
            <v>-4480</v>
          </cell>
          <cell r="O286">
            <v>-4509</v>
          </cell>
          <cell r="P286">
            <v>-4573</v>
          </cell>
          <cell r="Q286">
            <v>-4794</v>
          </cell>
          <cell r="R286">
            <v>-4678</v>
          </cell>
          <cell r="S286">
            <v>-4669</v>
          </cell>
          <cell r="T286">
            <v>-4808</v>
          </cell>
          <cell r="U286">
            <v>-5069</v>
          </cell>
          <cell r="V286">
            <v>-4976</v>
          </cell>
          <cell r="W286">
            <v>-4969</v>
          </cell>
          <cell r="Z286">
            <v>-14936</v>
          </cell>
          <cell r="AA286">
            <v>-17129</v>
          </cell>
          <cell r="AB286">
            <v>-18356</v>
          </cell>
          <cell r="AC286">
            <v>-19224</v>
          </cell>
        </row>
        <row r="287">
          <cell r="F287">
            <v>-737</v>
          </cell>
          <cell r="G287">
            <v>-809</v>
          </cell>
          <cell r="H287">
            <v>-855</v>
          </cell>
          <cell r="I287">
            <v>-1002</v>
          </cell>
          <cell r="J287">
            <v>-899</v>
          </cell>
          <cell r="K287">
            <v>-853</v>
          </cell>
          <cell r="L287">
            <v>-900</v>
          </cell>
          <cell r="M287">
            <v>-1023</v>
          </cell>
          <cell r="N287">
            <v>-925</v>
          </cell>
          <cell r="O287">
            <v>-963</v>
          </cell>
          <cell r="P287">
            <v>-942</v>
          </cell>
          <cell r="Q287">
            <v>-1114</v>
          </cell>
          <cell r="R287">
            <v>-948</v>
          </cell>
          <cell r="S287">
            <v>-1024</v>
          </cell>
          <cell r="T287">
            <v>-1051</v>
          </cell>
          <cell r="U287">
            <v>-1091</v>
          </cell>
          <cell r="V287">
            <v>-962</v>
          </cell>
          <cell r="W287">
            <v>-1115</v>
          </cell>
          <cell r="Z287">
            <v>-3403</v>
          </cell>
          <cell r="AA287">
            <v>-3675</v>
          </cell>
          <cell r="AB287">
            <v>-3944</v>
          </cell>
          <cell r="AC287">
            <v>-4114</v>
          </cell>
        </row>
        <row r="288">
          <cell r="F288">
            <v>-593</v>
          </cell>
          <cell r="G288">
            <v>-598</v>
          </cell>
          <cell r="H288">
            <v>-622</v>
          </cell>
          <cell r="I288">
            <v>-638</v>
          </cell>
          <cell r="J288">
            <v>-643</v>
          </cell>
          <cell r="K288">
            <v>-651</v>
          </cell>
          <cell r="L288">
            <v>-722</v>
          </cell>
          <cell r="M288">
            <v>-773</v>
          </cell>
          <cell r="N288">
            <v>-622</v>
          </cell>
          <cell r="O288">
            <v>-635</v>
          </cell>
          <cell r="P288">
            <v>-649</v>
          </cell>
          <cell r="Q288">
            <v>-673</v>
          </cell>
          <cell r="R288">
            <v>-679</v>
          </cell>
          <cell r="S288">
            <v>-705</v>
          </cell>
          <cell r="T288">
            <v>-711</v>
          </cell>
          <cell r="U288">
            <v>-728</v>
          </cell>
          <cell r="V288">
            <v>-759</v>
          </cell>
          <cell r="W288">
            <v>-788</v>
          </cell>
          <cell r="Z288">
            <v>-2451</v>
          </cell>
          <cell r="AA288">
            <v>-2789</v>
          </cell>
          <cell r="AB288">
            <v>-2579</v>
          </cell>
          <cell r="AC288">
            <v>-2823</v>
          </cell>
        </row>
        <row r="289">
          <cell r="F289">
            <v>-3</v>
          </cell>
          <cell r="G289">
            <v>-5</v>
          </cell>
          <cell r="H289">
            <v>-2</v>
          </cell>
          <cell r="I289">
            <v>0</v>
          </cell>
          <cell r="J289">
            <v>-2</v>
          </cell>
          <cell r="K289">
            <v>0</v>
          </cell>
          <cell r="L289">
            <v>0</v>
          </cell>
          <cell r="M289">
            <v>0</v>
          </cell>
          <cell r="Q289">
            <v>0</v>
          </cell>
          <cell r="Z289">
            <v>-10</v>
          </cell>
          <cell r="AA289">
            <v>-2</v>
          </cell>
          <cell r="AB289">
            <v>0</v>
          </cell>
        </row>
        <row r="290">
          <cell r="F290">
            <v>2298</v>
          </cell>
          <cell r="G290">
            <v>1608</v>
          </cell>
          <cell r="H290">
            <v>2037</v>
          </cell>
          <cell r="I290">
            <v>1342</v>
          </cell>
          <cell r="J290">
            <v>2862</v>
          </cell>
          <cell r="K290">
            <v>2036</v>
          </cell>
          <cell r="L290">
            <v>2297</v>
          </cell>
          <cell r="M290">
            <v>1759</v>
          </cell>
        </row>
        <row r="294">
          <cell r="F294">
            <v>7082</v>
          </cell>
          <cell r="G294">
            <v>6505</v>
          </cell>
          <cell r="H294">
            <v>7245</v>
          </cell>
          <cell r="I294">
            <v>7253</v>
          </cell>
          <cell r="J294">
            <v>8545</v>
          </cell>
          <cell r="K294">
            <v>7776</v>
          </cell>
          <cell r="L294">
            <v>8326</v>
          </cell>
          <cell r="M294">
            <v>8160</v>
          </cell>
          <cell r="N294">
            <v>9132</v>
          </cell>
          <cell r="O294">
            <v>8393</v>
          </cell>
          <cell r="P294">
            <v>8386</v>
          </cell>
          <cell r="Q294">
            <v>8240</v>
          </cell>
          <cell r="R294">
            <v>9415</v>
          </cell>
          <cell r="S294">
            <v>8889</v>
          </cell>
          <cell r="T294">
            <v>9086</v>
          </cell>
          <cell r="U294">
            <v>8766</v>
          </cell>
          <cell r="V294">
            <v>10006</v>
          </cell>
          <cell r="W294">
            <v>9487</v>
          </cell>
        </row>
        <row r="295">
          <cell r="F295">
            <v>4800</v>
          </cell>
          <cell r="G295">
            <v>4898</v>
          </cell>
          <cell r="H295">
            <v>5423</v>
          </cell>
          <cell r="I295">
            <v>5010</v>
          </cell>
          <cell r="J295">
            <v>6072</v>
          </cell>
          <cell r="K295">
            <v>5572</v>
          </cell>
          <cell r="L295">
            <v>5649</v>
          </cell>
          <cell r="M295">
            <v>5384</v>
          </cell>
          <cell r="N295">
            <v>6297</v>
          </cell>
          <cell r="O295">
            <v>5958</v>
          </cell>
          <cell r="P295">
            <v>5820</v>
          </cell>
          <cell r="Q295">
            <v>5521</v>
          </cell>
          <cell r="R295">
            <v>6432</v>
          </cell>
          <cell r="S295">
            <v>6499</v>
          </cell>
          <cell r="T295">
            <v>6403</v>
          </cell>
          <cell r="U295">
            <v>5857</v>
          </cell>
          <cell r="V295">
            <v>6910</v>
          </cell>
          <cell r="W295">
            <v>6917</v>
          </cell>
          <cell r="Z295">
            <v>20131</v>
          </cell>
          <cell r="AA295">
            <v>22677</v>
          </cell>
          <cell r="AB295">
            <v>23596</v>
          </cell>
          <cell r="AC295">
            <v>25191</v>
          </cell>
        </row>
        <row r="296">
          <cell r="F296">
            <v>861</v>
          </cell>
          <cell r="G296">
            <v>574</v>
          </cell>
          <cell r="H296">
            <v>788</v>
          </cell>
          <cell r="I296">
            <v>1074</v>
          </cell>
          <cell r="J296">
            <v>1094</v>
          </cell>
          <cell r="K296">
            <v>1184</v>
          </cell>
          <cell r="L296">
            <v>1532</v>
          </cell>
          <cell r="M296">
            <v>1665</v>
          </cell>
          <cell r="N296">
            <v>1476</v>
          </cell>
          <cell r="O296">
            <v>1522</v>
          </cell>
          <cell r="P296">
            <v>1602</v>
          </cell>
          <cell r="Q296">
            <v>1583</v>
          </cell>
          <cell r="R296">
            <v>1646</v>
          </cell>
          <cell r="S296">
            <v>1441</v>
          </cell>
          <cell r="T296">
            <v>1691</v>
          </cell>
          <cell r="U296">
            <v>1742</v>
          </cell>
          <cell r="V296">
            <v>1753</v>
          </cell>
          <cell r="W296">
            <v>1596</v>
          </cell>
          <cell r="Z296">
            <v>3297</v>
          </cell>
          <cell r="AA296">
            <v>5475</v>
          </cell>
          <cell r="AB296">
            <v>6183</v>
          </cell>
          <cell r="AC296">
            <v>6520</v>
          </cell>
        </row>
        <row r="297">
          <cell r="F297">
            <v>1421</v>
          </cell>
          <cell r="G297">
            <v>1033</v>
          </cell>
          <cell r="H297">
            <v>1034</v>
          </cell>
          <cell r="I297">
            <v>1169</v>
          </cell>
          <cell r="J297">
            <v>1379</v>
          </cell>
          <cell r="K297">
            <v>1020</v>
          </cell>
          <cell r="L297">
            <v>1145</v>
          </cell>
          <cell r="M297">
            <v>1111</v>
          </cell>
          <cell r="N297">
            <v>1359</v>
          </cell>
          <cell r="O297">
            <v>913</v>
          </cell>
          <cell r="P297">
            <v>964</v>
          </cell>
          <cell r="Q297">
            <v>1136</v>
          </cell>
          <cell r="R297">
            <v>1337</v>
          </cell>
          <cell r="S297">
            <v>949</v>
          </cell>
          <cell r="T297">
            <v>992</v>
          </cell>
          <cell r="U297">
            <v>1167</v>
          </cell>
          <cell r="V297">
            <v>1343</v>
          </cell>
          <cell r="W297">
            <v>974</v>
          </cell>
          <cell r="Z297">
            <v>4657</v>
          </cell>
          <cell r="AA297">
            <v>4397</v>
          </cell>
          <cell r="AB297">
            <v>4372</v>
          </cell>
          <cell r="AC297">
            <v>4445</v>
          </cell>
        </row>
        <row r="301">
          <cell r="F301">
            <v>1555</v>
          </cell>
          <cell r="G301">
            <v>1385</v>
          </cell>
          <cell r="H301">
            <v>1651</v>
          </cell>
          <cell r="I301">
            <v>741</v>
          </cell>
          <cell r="J301">
            <v>79</v>
          </cell>
          <cell r="K301">
            <v>1519</v>
          </cell>
          <cell r="L301">
            <v>1436</v>
          </cell>
          <cell r="M301">
            <v>808</v>
          </cell>
          <cell r="N301">
            <v>2077</v>
          </cell>
          <cell r="O301">
            <v>1607</v>
          </cell>
          <cell r="P301">
            <v>1347</v>
          </cell>
          <cell r="Q301">
            <v>847</v>
          </cell>
          <cell r="R301">
            <v>1982</v>
          </cell>
          <cell r="S301">
            <v>1823</v>
          </cell>
          <cell r="T301">
            <v>1650</v>
          </cell>
          <cell r="U301">
            <v>920</v>
          </cell>
          <cell r="V301">
            <v>2149</v>
          </cell>
          <cell r="W301">
            <v>1909</v>
          </cell>
          <cell r="Z301">
            <v>5332</v>
          </cell>
          <cell r="AA301">
            <v>5876</v>
          </cell>
          <cell r="AB301">
            <v>5878</v>
          </cell>
          <cell r="AC301">
            <v>6375</v>
          </cell>
        </row>
        <row r="302">
          <cell r="F302">
            <v>21</v>
          </cell>
          <cell r="G302">
            <v>-268</v>
          </cell>
          <cell r="H302">
            <v>-64</v>
          </cell>
          <cell r="I302">
            <v>74</v>
          </cell>
          <cell r="J302">
            <v>670</v>
          </cell>
          <cell r="K302">
            <v>156</v>
          </cell>
          <cell r="L302">
            <v>428</v>
          </cell>
          <cell r="M302">
            <v>441</v>
          </cell>
          <cell r="N302">
            <v>328</v>
          </cell>
          <cell r="O302">
            <v>292</v>
          </cell>
          <cell r="P302">
            <v>435</v>
          </cell>
          <cell r="Q302">
            <v>299</v>
          </cell>
          <cell r="R302">
            <v>420</v>
          </cell>
          <cell r="S302">
            <v>225</v>
          </cell>
          <cell r="T302">
            <v>422</v>
          </cell>
          <cell r="U302">
            <v>375</v>
          </cell>
          <cell r="V302">
            <v>428</v>
          </cell>
          <cell r="W302">
            <v>227</v>
          </cell>
          <cell r="Z302">
            <v>-237</v>
          </cell>
          <cell r="AA302">
            <v>1104</v>
          </cell>
          <cell r="AB302">
            <v>1354</v>
          </cell>
          <cell r="AC302">
            <v>1442</v>
          </cell>
        </row>
        <row r="303">
          <cell r="F303">
            <v>722</v>
          </cell>
          <cell r="G303">
            <v>491</v>
          </cell>
          <cell r="H303">
            <v>450</v>
          </cell>
          <cell r="I303">
            <v>527</v>
          </cell>
          <cell r="J303">
            <v>749</v>
          </cell>
          <cell r="K303">
            <v>361</v>
          </cell>
          <cell r="L303">
            <v>433</v>
          </cell>
          <cell r="M303">
            <v>510</v>
          </cell>
          <cell r="N303">
            <v>700</v>
          </cell>
          <cell r="O303">
            <v>387</v>
          </cell>
          <cell r="P303">
            <v>440</v>
          </cell>
          <cell r="Q303">
            <v>513</v>
          </cell>
          <cell r="R303">
            <v>708</v>
          </cell>
          <cell r="S303">
            <v>443</v>
          </cell>
          <cell r="T303">
            <v>444</v>
          </cell>
          <cell r="U303">
            <v>583</v>
          </cell>
          <cell r="V303">
            <v>732</v>
          </cell>
          <cell r="W303">
            <v>479</v>
          </cell>
          <cell r="Z303">
            <v>2190</v>
          </cell>
          <cell r="AA303">
            <v>1974</v>
          </cell>
          <cell r="AB303">
            <v>2040</v>
          </cell>
          <cell r="AC303">
            <v>2178</v>
          </cell>
        </row>
        <row r="306">
          <cell r="J306">
            <v>-1789</v>
          </cell>
          <cell r="K306">
            <v>-1826</v>
          </cell>
          <cell r="L306">
            <v>-1938</v>
          </cell>
          <cell r="M306">
            <v>-2839</v>
          </cell>
          <cell r="N306">
            <v>-2000</v>
          </cell>
          <cell r="O306">
            <v>-2068</v>
          </cell>
          <cell r="P306">
            <v>-2154</v>
          </cell>
          <cell r="Q306">
            <v>-2170</v>
          </cell>
          <cell r="R306">
            <v>-2164</v>
          </cell>
          <cell r="S306">
            <v>-2213</v>
          </cell>
          <cell r="T306">
            <v>-2284</v>
          </cell>
          <cell r="U306">
            <v>-2287</v>
          </cell>
          <cell r="V306">
            <v>-2285</v>
          </cell>
          <cell r="W306">
            <v>-2355</v>
          </cell>
        </row>
        <row r="307">
          <cell r="J307">
            <v>-722</v>
          </cell>
          <cell r="K307">
            <v>-750</v>
          </cell>
          <cell r="L307">
            <v>-754</v>
          </cell>
          <cell r="M307">
            <v>-1137</v>
          </cell>
          <cell r="N307">
            <v>-797</v>
          </cell>
          <cell r="O307">
            <v>-812</v>
          </cell>
          <cell r="P307">
            <v>-823</v>
          </cell>
          <cell r="Q307">
            <v>-931</v>
          </cell>
          <cell r="R307">
            <v>-801</v>
          </cell>
          <cell r="S307">
            <v>-856</v>
          </cell>
          <cell r="T307">
            <v>-870</v>
          </cell>
          <cell r="U307">
            <v>-984</v>
          </cell>
          <cell r="V307">
            <v>-846</v>
          </cell>
          <cell r="W307">
            <v>-856</v>
          </cell>
        </row>
        <row r="308">
          <cell r="J308">
            <v>-912</v>
          </cell>
          <cell r="K308">
            <v>-767</v>
          </cell>
          <cell r="L308">
            <v>-811</v>
          </cell>
          <cell r="M308">
            <v>-829</v>
          </cell>
          <cell r="N308">
            <v>-904</v>
          </cell>
          <cell r="O308">
            <v>-798</v>
          </cell>
          <cell r="P308">
            <v>-780</v>
          </cell>
          <cell r="Q308">
            <v>-837</v>
          </cell>
          <cell r="R308">
            <v>-929</v>
          </cell>
          <cell r="S308">
            <v>-723</v>
          </cell>
          <cell r="T308">
            <v>-779</v>
          </cell>
          <cell r="U308">
            <v>-822</v>
          </cell>
          <cell r="V308">
            <v>-943</v>
          </cell>
          <cell r="W308">
            <v>-773</v>
          </cell>
        </row>
        <row r="309">
          <cell r="J309">
            <v>-716</v>
          </cell>
          <cell r="K309">
            <v>-763</v>
          </cell>
          <cell r="L309">
            <v>-776</v>
          </cell>
          <cell r="M309">
            <v>-1027</v>
          </cell>
          <cell r="N309">
            <v>-779</v>
          </cell>
          <cell r="O309">
            <v>-831</v>
          </cell>
          <cell r="P309">
            <v>-816</v>
          </cell>
          <cell r="Q309">
            <v>-856</v>
          </cell>
          <cell r="R309">
            <v>-784</v>
          </cell>
          <cell r="S309">
            <v>-877</v>
          </cell>
          <cell r="T309">
            <v>-875</v>
          </cell>
          <cell r="U309">
            <v>-976</v>
          </cell>
          <cell r="V309">
            <v>-902</v>
          </cell>
          <cell r="W309">
            <v>-985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ANG Luwei MarkBsgResAso" id="{BC6A1D8C-BB5C-42EE-955C-3AAF5425F2A8}" userId="S::luwei.yang@bernsteinsg.com::602fc302-1fa2-42e5-aac7-c69662dc31b5" providerId="AD"/>
  <person displayName="CHUNG Andrew MarkBsgResAso" id="{66D37584-C5FA-4F77-89C3-1DDD887D948A}" userId="S::andrew.chung@bernsteinsg.com::58d5f265-1dfe-4273-acad-d42866f77991" providerId="AD"/>
  <person displayName="BORUCHOWICZ Martin MarkBsgResAso" id="{DDB5D8A4-E9F1-4AAB-9EAC-5181201CCE29}" userId="S::martin.boruchowicz@bernsteinsg.com::a9d81f81-667e-44bd-b9cb-0ccd5accc0d2" providerId="AD"/>
</personList>
</file>

<file path=xl/theme/theme1.xml><?xml version="1.0" encoding="utf-8"?>
<a:theme xmlns:a="http://schemas.openxmlformats.org/drawingml/2006/main" name="Office Theme">
  <a:themeElements>
    <a:clrScheme name="SCBATMTheme">
      <a:dk1>
        <a:srgbClr val="000000"/>
      </a:dk1>
      <a:lt1>
        <a:srgbClr val="FFFFFF"/>
      </a:lt1>
      <a:dk2>
        <a:srgbClr val="C0C0C0"/>
      </a:dk2>
      <a:lt2>
        <a:srgbClr val="F0F0F0"/>
      </a:lt2>
      <a:accent1>
        <a:srgbClr val="1E9BD7"/>
      </a:accent1>
      <a:accent2>
        <a:srgbClr val="1F497D"/>
      </a:accent2>
      <a:accent3>
        <a:srgbClr val="1CD8C0"/>
      </a:accent3>
      <a:accent4>
        <a:srgbClr val="0E6C60"/>
      </a:accent4>
      <a:accent5>
        <a:srgbClr val="8C8C8C"/>
      </a:accent5>
      <a:accent6>
        <a:srgbClr val="43377D"/>
      </a:accent6>
      <a:hlink>
        <a:srgbClr val="1E9BD7"/>
      </a:hlink>
      <a:folHlink>
        <a:srgbClr val="353535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9" dT="2024-11-14T17:52:17.51" personId="{BC6A1D8C-BB5C-42EE-955C-3AAF5425F2A8}" id="{E0E79798-4775-4E74-B817-B53B8650C259}">
    <text>$130M impact from Hurricanes, $90M from pre-launch costs at cruise lines</text>
  </threadedComment>
  <threadedComment ref="O9" dT="2025-02-05T15:35:16.78" personId="{BC6A1D8C-BB5C-42EE-955C-3AAF5425F2A8}" id="{0041E4C8-7A58-4452-A4A7-75171A2D2C21}">
    <text>$40M cruise pre opening expenses</text>
  </threadedComment>
  <threadedComment ref="P9" dT="2025-05-07T15:52:02.02" personId="{BC6A1D8C-BB5C-42EE-955C-3AAF5425F2A8}" id="{C9B03CB3-F088-4846-8E96-EEDD9C2C68FC}">
    <text>$40M pre opening costs for cruise</text>
  </threadedComment>
  <threadedComment ref="Q9" dT="2025-05-07T15:52:02.02" personId="{BC6A1D8C-BB5C-42EE-955C-3AAF5425F2A8}" id="{AC87ED78-D134-45C6-AB49-84A36E3099FB}">
    <text>$50M pre opening costs for cruise</text>
  </threadedComment>
  <threadedComment ref="R13" dT="2025-11-13T21:59:40.04" personId="{66D37584-C5FA-4F77-89C3-1DDD887D948A}" id="{03DB13AA-8326-44B8-8117-7A2C8E0FFB37}">
    <text xml:space="preserve">Pre-opening expenses and dry dock expenses of approximately $90M compared to 1Q25
</text>
  </threadedComment>
  <threadedComment ref="AE15" dT="2025-02-05T15:38:58.63" personId="{BC6A1D8C-BB5C-42EE-955C-3AAF5425F2A8}" id="{14426AA7-0B37-4F1E-9261-84B76EEABAA6}">
    <text>Guided to 6-8%</text>
  </threadedComment>
  <threadedComment ref="AE15" dT="2025-05-07T15:32:21.92" personId="{BC6A1D8C-BB5C-42EE-955C-3AAF5425F2A8}" id="{10E11312-7DA7-49C4-A78A-39A16A152E7E}" parentId="{14426AA7-0B37-4F1E-9261-84B76EEABAA6}">
    <text>Updated to higher range of that in FY25Q2</text>
  </threadedComment>
  <threadedComment ref="AE15" dT="2025-08-06T15:13:38.73" personId="{DDB5D8A4-E9F1-4AAB-9EAC-5181201CCE29}" id="{3AD4DEBA-10B0-4129-B386-DDFBA5B181E1}" parentId="{14426AA7-0B37-4F1E-9261-84B76EEABAA6}">
    <text>Updated to 8%</text>
  </threadedComment>
  <threadedComment ref="AF15" dT="2025-02-05T17:17:31.93" personId="{BC6A1D8C-BB5C-42EE-955C-3AAF5425F2A8}" id="{F131D577-3232-4D79-98B5-809C92D54BBD}">
    <text>Guided to be HSD</text>
  </threadedComment>
  <threadedComment ref="O21" dT="2025-05-07T13:31:18.33" personId="{BC6A1D8C-BB5C-42EE-955C-3AAF5425F2A8}" id="{7EC47173-73F0-4730-817C-921CB7C69F1E}">
    <text>4% higher avg. per capita ticket revenue and 1% higher attendance</text>
  </threadedComment>
  <threadedComment ref="O22" dT="2025-05-07T13:32:33.32" personId="{BC6A1D8C-BB5C-42EE-955C-3AAF5425F2A8}" id="{2B91C050-1CE2-41BA-BC44-B797B7423C97}">
    <text>6% from additional passenger cruise days (from Treasure launch), 2% higher unit sales at Disney Vacation Club, 2% increase in occupied hotel room nights, 1% higher avg daily hotel room rates</text>
  </threadedComment>
  <threadedComment ref="O23" dT="2025-05-07T13:32:59.82" personId="{BC6A1D8C-BB5C-42EE-955C-3AAF5425F2A8}" id="{B60561BA-7C72-4E5E-A1A7-AF9C53060525}">
    <text>2% from higher avg guest spending and 1% from volumes</text>
  </threadedComment>
  <threadedComment ref="O24" dT="2025-05-07T13:33:36.03" personId="{BC6A1D8C-BB5C-42EE-955C-3AAF5425F2A8}" id="{E03E077E-32BF-4420-8878-B459DCF28A75}">
    <text>7% increase in merchandise licensing (including benefit from release of licensed game Marvel Rivals), offset by 2% FX headwind</text>
  </threadedComment>
  <threadedComment ref="O31" dT="2026-03-04T02:32:21.50" personId="{66D37584-C5FA-4F77-89C3-1DDD887D948A}" id="{1F167B07-5729-4933-AE2F-16A3C3343019}">
    <text>Took out cruise revenue</text>
  </threadedComment>
  <threadedComment ref="O39" dT="2025-05-07T13:43:22.92" personId="{BC6A1D8C-BB5C-42EE-955C-3AAF5425F2A8}" id="{4EBED54B-9931-4431-8D3A-70BDBC54D10F}">
    <text>Higher marketing costs</text>
  </threadedComment>
  <threadedComment ref="O59" dT="2025-05-07T15:41:32.46" personId="{BC6A1D8C-BB5C-42EE-955C-3AAF5425F2A8}" id="{ADA08DA7-4A04-4394-B332-3DAFDFAC7911}">
    <text>6% from additional passenger cruise days (from Treasure launch)</text>
  </threadedComment>
  <threadedComment ref="O59" dT="2025-05-07T15:47:18.48" personId="{BC6A1D8C-BB5C-42EE-955C-3AAF5425F2A8}" id="{1DD2868B-39DF-44FD-BB2A-5D48AE368246}" parentId="{ADA08DA7-4A04-4394-B332-3DAFDFAC7911}">
    <text>Implies about 55% occupancy rate based on our side model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50" dT="2024-10-31T11:41:37.29" personId="{BC6A1D8C-BB5C-42EE-955C-3AAF5425F2A8}" id="{E2177FC6-7D05-4BE3-8DE0-19F7F97C6427}">
    <text>Ex. ACP would be +67K</text>
  </threadedComment>
  <threadedComment ref="Q287" dT="2024-10-31T11:41:37.29" personId="{BC6A1D8C-BB5C-42EE-955C-3AAF5425F2A8}" id="{78BA721F-1DD1-483F-AF2C-A8A20ED04C5F}">
    <text>Ex. ACP would be +67K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D49ADB-5DE4-4558-839B-B3204565814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0497e043-de53-4007-8c82-c20456eec9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976F-3197-4CA4-A7B7-B111AC264998}">
  <dimension ref="A1:AG136"/>
  <sheetViews>
    <sheetView showGridLines="0" zoomScale="102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3" sqref="D13"/>
    </sheetView>
  </sheetViews>
  <sheetFormatPr defaultColWidth="10" defaultRowHeight="14.4" outlineLevelRow="1" outlineLevelCol="1" x14ac:dyDescent="0.3"/>
  <cols>
    <col min="1" max="1" width="57.77734375" style="58" customWidth="1"/>
    <col min="2" max="3" width="16.21875" style="58" customWidth="1" outlineLevel="1"/>
    <col min="4" max="4" width="16.6640625" style="58" customWidth="1" outlineLevel="1"/>
    <col min="5" max="5" width="15" style="58" customWidth="1" outlineLevel="1"/>
    <col min="6" max="6" width="11.44140625" style="58" bestFit="1" customWidth="1"/>
    <col min="7" max="8" width="11.6640625" style="58" bestFit="1" customWidth="1"/>
    <col min="9" max="17" width="11.6640625" style="58" customWidth="1"/>
    <col min="18" max="18" width="10.6640625" style="58" bestFit="1" customWidth="1"/>
    <col min="19" max="19" width="10" style="58"/>
    <col min="20" max="21" width="11.21875" style="58" bestFit="1" customWidth="1"/>
    <col min="22" max="27" width="11.21875" style="58" customWidth="1"/>
    <col min="28" max="33" width="11.88671875" style="58" bestFit="1" customWidth="1"/>
    <col min="34" max="16384" width="10" style="58"/>
  </cols>
  <sheetData>
    <row r="1" spans="1:33" x14ac:dyDescent="0.3">
      <c r="B1" s="58">
        <v>2022</v>
      </c>
      <c r="C1" s="58">
        <v>2022</v>
      </c>
      <c r="D1" s="58">
        <v>2022</v>
      </c>
      <c r="E1" s="58">
        <v>2022</v>
      </c>
      <c r="F1" s="58">
        <v>2023</v>
      </c>
      <c r="G1" s="58">
        <v>2023</v>
      </c>
      <c r="H1" s="58">
        <v>2023</v>
      </c>
      <c r="I1" s="58">
        <v>2023</v>
      </c>
      <c r="J1" s="58">
        <f t="shared" ref="J1:P1" si="0">+F1+1</f>
        <v>2024</v>
      </c>
      <c r="K1" s="58">
        <f t="shared" si="0"/>
        <v>2024</v>
      </c>
      <c r="L1" s="58">
        <f t="shared" si="0"/>
        <v>2024</v>
      </c>
      <c r="M1" s="58">
        <f t="shared" si="0"/>
        <v>2024</v>
      </c>
      <c r="N1" s="58">
        <f t="shared" si="0"/>
        <v>2025</v>
      </c>
      <c r="O1" s="58">
        <f t="shared" si="0"/>
        <v>2025</v>
      </c>
      <c r="P1" s="58">
        <f t="shared" si="0"/>
        <v>2025</v>
      </c>
      <c r="Q1" s="58">
        <v>2025</v>
      </c>
      <c r="R1" s="58">
        <v>2026</v>
      </c>
      <c r="S1" s="58">
        <v>2026</v>
      </c>
      <c r="T1" s="58">
        <v>2026</v>
      </c>
      <c r="U1" s="58">
        <v>2026</v>
      </c>
      <c r="V1" s="58">
        <f>+R1+1</f>
        <v>2027</v>
      </c>
      <c r="W1" s="58">
        <f>+S1+1</f>
        <v>2027</v>
      </c>
      <c r="X1" s="58">
        <f>+T1+1</f>
        <v>2027</v>
      </c>
      <c r="Y1" s="58">
        <f>+U1+1</f>
        <v>2027</v>
      </c>
      <c r="AB1" s="58">
        <v>2022</v>
      </c>
      <c r="AC1" s="58">
        <v>2023</v>
      </c>
      <c r="AD1" s="58">
        <v>2024</v>
      </c>
      <c r="AE1" s="58">
        <v>2025</v>
      </c>
      <c r="AF1" s="58">
        <v>2026</v>
      </c>
      <c r="AG1" s="58">
        <v>2027</v>
      </c>
    </row>
    <row r="2" spans="1:33" x14ac:dyDescent="0.3">
      <c r="A2" s="59" t="s">
        <v>142</v>
      </c>
      <c r="B2" s="60" t="s">
        <v>143</v>
      </c>
      <c r="C2" s="60" t="s">
        <v>144</v>
      </c>
      <c r="D2" s="60" t="s">
        <v>145</v>
      </c>
      <c r="E2" s="60" t="s">
        <v>146</v>
      </c>
      <c r="F2" s="60" t="s">
        <v>147</v>
      </c>
      <c r="G2" s="60" t="s">
        <v>148</v>
      </c>
      <c r="H2" s="60" t="s">
        <v>149</v>
      </c>
      <c r="I2" s="60" t="s">
        <v>150</v>
      </c>
      <c r="J2" s="60" t="s">
        <v>2</v>
      </c>
      <c r="K2" s="60" t="s">
        <v>3</v>
      </c>
      <c r="L2" s="60" t="s">
        <v>4</v>
      </c>
      <c r="M2" s="60" t="s">
        <v>5</v>
      </c>
      <c r="N2" s="60" t="s">
        <v>6</v>
      </c>
      <c r="O2" s="60" t="s">
        <v>7</v>
      </c>
      <c r="P2" s="60" t="s">
        <v>8</v>
      </c>
      <c r="Q2" s="60" t="s">
        <v>9</v>
      </c>
      <c r="R2" s="60" t="s">
        <v>10</v>
      </c>
      <c r="S2" s="60" t="s">
        <v>11</v>
      </c>
      <c r="T2" s="61" t="s">
        <v>151</v>
      </c>
      <c r="U2" s="61" t="s">
        <v>152</v>
      </c>
      <c r="V2" s="61" t="s">
        <v>153</v>
      </c>
      <c r="W2" s="61" t="s">
        <v>154</v>
      </c>
      <c r="X2" s="61" t="s">
        <v>155</v>
      </c>
      <c r="Y2" s="61" t="s">
        <v>156</v>
      </c>
      <c r="Z2" s="62"/>
      <c r="AA2" s="62"/>
      <c r="AB2" s="59">
        <v>2022</v>
      </c>
      <c r="AC2" s="59">
        <v>2023</v>
      </c>
      <c r="AD2" s="59">
        <v>2024</v>
      </c>
      <c r="AE2" s="59">
        <v>2025</v>
      </c>
      <c r="AF2" s="61" t="s">
        <v>157</v>
      </c>
      <c r="AG2" s="61" t="s">
        <v>158</v>
      </c>
    </row>
    <row r="3" spans="1:33" x14ac:dyDescent="0.3">
      <c r="A3" s="58" t="s">
        <v>159</v>
      </c>
      <c r="B3" s="63">
        <f>[2]Segment!F280</f>
        <v>2152</v>
      </c>
      <c r="C3" s="63">
        <f>[2]Segment!G280</f>
        <v>1973</v>
      </c>
      <c r="D3" s="63">
        <f>[2]Segment!H280</f>
        <v>2312</v>
      </c>
      <c r="E3" s="63">
        <f>[2]Segment!I280</f>
        <v>2165</v>
      </c>
      <c r="F3" s="63">
        <f>[2]Segment!J280</f>
        <v>2641</v>
      </c>
      <c r="G3" s="63">
        <f>[2]Segment!K280</f>
        <v>2428</v>
      </c>
      <c r="H3" s="63">
        <f>[2]Segment!L280</f>
        <v>2731</v>
      </c>
      <c r="I3" s="63">
        <f>[2]Segment!M280</f>
        <v>2623</v>
      </c>
      <c r="J3" s="63">
        <f>[2]Segment!N280</f>
        <v>2982</v>
      </c>
      <c r="K3" s="63">
        <f>[2]Segment!O280</f>
        <v>2806</v>
      </c>
      <c r="L3" s="63">
        <f>[2]Segment!P280</f>
        <v>2780</v>
      </c>
      <c r="M3" s="63">
        <f>[2]Segment!Q280</f>
        <v>2603</v>
      </c>
      <c r="N3" s="63">
        <f>[2]Segment!R280</f>
        <v>3087</v>
      </c>
      <c r="O3" s="63">
        <f>[2]Segment!S280</f>
        <v>2919</v>
      </c>
      <c r="P3" s="63">
        <f>[2]Segment!T280</f>
        <v>2996</v>
      </c>
      <c r="Q3" s="63">
        <f>[2]Segment!U280</f>
        <v>2705</v>
      </c>
      <c r="R3" s="63">
        <f>[2]Segment!V280</f>
        <v>3301</v>
      </c>
      <c r="S3" s="63">
        <f>[2]Segment!W280</f>
        <v>3092</v>
      </c>
      <c r="T3" s="64">
        <f t="shared" ref="T3:Y3" si="1">P3*(1+T21)</f>
        <v>3145.8</v>
      </c>
      <c r="U3" s="64">
        <f t="shared" si="1"/>
        <v>3056.6499999999996</v>
      </c>
      <c r="V3" s="64">
        <f t="shared" si="1"/>
        <v>3466.05</v>
      </c>
      <c r="W3" s="64">
        <f t="shared" si="1"/>
        <v>3246.6000000000004</v>
      </c>
      <c r="X3" s="64">
        <f t="shared" si="1"/>
        <v>3303.09</v>
      </c>
      <c r="Y3" s="64">
        <f t="shared" si="1"/>
        <v>2980.2337499999994</v>
      </c>
      <c r="AB3" s="63">
        <f>+[2]Segment!Z280</f>
        <v>8602</v>
      </c>
      <c r="AC3" s="63">
        <f>+[2]Segment!AA280</f>
        <v>10423</v>
      </c>
      <c r="AD3" s="63">
        <f>+[2]Segment!AB280</f>
        <v>11171</v>
      </c>
      <c r="AE3" s="63">
        <f>+[2]Segment!AC280</f>
        <v>11707</v>
      </c>
      <c r="AF3" s="65">
        <f>SUMIF($B$1:$Y$1,AF$1,$B3:$Y3)</f>
        <v>12595.449999999999</v>
      </c>
      <c r="AG3" s="65">
        <f>SUMIF($B$1:$Y$1,AG$1,$B3:$Y3)</f>
        <v>12995.973750000001</v>
      </c>
    </row>
    <row r="4" spans="1:33" x14ac:dyDescent="0.3">
      <c r="A4" s="58" t="s">
        <v>160</v>
      </c>
      <c r="B4" s="63">
        <f>[2]Segment!F281</f>
        <v>1445</v>
      </c>
      <c r="C4" s="63">
        <f>[2]Segment!G281</f>
        <v>1451</v>
      </c>
      <c r="D4" s="63">
        <f>[2]Segment!H281</f>
        <v>1805</v>
      </c>
      <c r="E4" s="63">
        <f>[2]Segment!I281</f>
        <v>1709</v>
      </c>
      <c r="F4" s="63">
        <f>[2]Segment!J281</f>
        <v>1980</v>
      </c>
      <c r="G4" s="63">
        <f>[2]Segment!K281</f>
        <v>1903</v>
      </c>
      <c r="H4" s="63">
        <f>[2]Segment!L281</f>
        <v>1963</v>
      </c>
      <c r="I4" s="63">
        <f>[2]Segment!M281</f>
        <v>2103</v>
      </c>
      <c r="J4" s="63">
        <f>[2]Segment!N281</f>
        <v>2118</v>
      </c>
      <c r="K4" s="63">
        <f>[2]Segment!O281</f>
        <v>2101</v>
      </c>
      <c r="L4" s="63">
        <f>[2]Segment!P281</f>
        <v>2115</v>
      </c>
      <c r="M4" s="63">
        <f>[2]Segment!Q281</f>
        <v>2041</v>
      </c>
      <c r="N4" s="63">
        <f>[2]Segment!R281</f>
        <v>2221</v>
      </c>
      <c r="O4" s="63">
        <f>[2]Segment!S281</f>
        <v>2359</v>
      </c>
      <c r="P4" s="63">
        <f>[2]Segment!T281</f>
        <v>2373</v>
      </c>
      <c r="Q4" s="63">
        <f>[2]Segment!U281</f>
        <v>2257</v>
      </c>
      <c r="R4" s="63">
        <f>[2]Segment!V281</f>
        <v>2410</v>
      </c>
      <c r="S4" s="63">
        <f>[2]Segment!W281</f>
        <v>2564</v>
      </c>
      <c r="T4" s="64">
        <f t="shared" ref="T4:Y4" si="2">T63</f>
        <v>2779.1152500000003</v>
      </c>
      <c r="U4" s="64">
        <f t="shared" si="2"/>
        <v>2849.9047499999997</v>
      </c>
      <c r="V4" s="64">
        <f t="shared" si="2"/>
        <v>2856.0863374999999</v>
      </c>
      <c r="W4" s="64">
        <f t="shared" si="2"/>
        <v>2901.4605999999999</v>
      </c>
      <c r="X4" s="64">
        <f t="shared" si="2"/>
        <v>2973.7503525000002</v>
      </c>
      <c r="Y4" s="64">
        <f t="shared" si="2"/>
        <v>2759.5313025</v>
      </c>
      <c r="AB4" s="63">
        <f>+[2]Segment!Z281</f>
        <v>6410</v>
      </c>
      <c r="AC4" s="63">
        <f>+[2]Segment!AA281</f>
        <v>7949</v>
      </c>
      <c r="AD4" s="63">
        <f>+[2]Segment!AB281</f>
        <v>8375</v>
      </c>
      <c r="AE4" s="63">
        <f>+[2]Segment!AC281</f>
        <v>9210</v>
      </c>
      <c r="AF4" s="65">
        <f t="shared" ref="AF4:AF12" si="3">SUMIF($B$1:$U$1,AF$1,B4:U4)</f>
        <v>10603.02</v>
      </c>
      <c r="AG4" s="65">
        <f t="shared" ref="AG4:AG12" si="4">SUMIF($B$1:$Y$1,AG$1,$B4:$Y4)</f>
        <v>11490.828592499998</v>
      </c>
    </row>
    <row r="5" spans="1:33" x14ac:dyDescent="0.3">
      <c r="A5" s="58" t="s">
        <v>161</v>
      </c>
      <c r="B5" s="63">
        <f>[2]Segment!F282</f>
        <v>1626</v>
      </c>
      <c r="C5" s="63">
        <f>[2]Segment!G282</f>
        <v>1515</v>
      </c>
      <c r="D5" s="63">
        <f>[2]Segment!H282</f>
        <v>1688</v>
      </c>
      <c r="E5" s="63">
        <f>[2]Segment!I282</f>
        <v>1750</v>
      </c>
      <c r="F5" s="63">
        <f>[2]Segment!J282</f>
        <v>1980</v>
      </c>
      <c r="G5" s="63">
        <f>[2]Segment!K282</f>
        <v>1949</v>
      </c>
      <c r="H5" s="63">
        <f>[2]Segment!L282</f>
        <v>1990</v>
      </c>
      <c r="I5" s="63">
        <f>[2]Segment!M282</f>
        <v>1793</v>
      </c>
      <c r="J5" s="63">
        <f>[2]Segment!N282</f>
        <v>2103</v>
      </c>
      <c r="K5" s="63">
        <f>[2]Segment!O282</f>
        <v>2029</v>
      </c>
      <c r="L5" s="63">
        <f>[2]Segment!P282</f>
        <v>1994</v>
      </c>
      <c r="M5" s="63">
        <f>[2]Segment!Q282</f>
        <v>1913</v>
      </c>
      <c r="N5" s="63">
        <f>[2]Segment!R282</f>
        <v>2181</v>
      </c>
      <c r="O5" s="63">
        <f>[2]Segment!S282</f>
        <v>2101</v>
      </c>
      <c r="P5" s="63">
        <f>[2]Segment!T282</f>
        <v>2143</v>
      </c>
      <c r="Q5" s="63">
        <f>[2]Segment!U282</f>
        <v>2066</v>
      </c>
      <c r="R5" s="63">
        <f>[2]Segment!V282</f>
        <v>2348</v>
      </c>
      <c r="S5" s="63">
        <f>[2]Segment!W282</f>
        <v>2199</v>
      </c>
      <c r="T5" s="64">
        <f t="shared" ref="T5:Y5" si="5">T32*T3</f>
        <v>2250.15</v>
      </c>
      <c r="U5" s="64">
        <f t="shared" si="5"/>
        <v>2334.5799999999995</v>
      </c>
      <c r="V5" s="64">
        <f t="shared" si="5"/>
        <v>2465.4</v>
      </c>
      <c r="W5" s="64">
        <f t="shared" si="5"/>
        <v>2308.9500000000003</v>
      </c>
      <c r="X5" s="64">
        <f t="shared" si="5"/>
        <v>2362.6575000000003</v>
      </c>
      <c r="Y5" s="64">
        <f t="shared" si="5"/>
        <v>2276.2154999999993</v>
      </c>
      <c r="AB5" s="63">
        <f>+[2]Segment!Z282</f>
        <v>6579</v>
      </c>
      <c r="AC5" s="63">
        <f>+[2]Segment!AA282</f>
        <v>7712</v>
      </c>
      <c r="AD5" s="63">
        <f>+[2]Segment!AB282</f>
        <v>8039</v>
      </c>
      <c r="AE5" s="63">
        <f>+[2]Segment!AC282</f>
        <v>8491</v>
      </c>
      <c r="AF5" s="65">
        <f t="shared" si="3"/>
        <v>9131.73</v>
      </c>
      <c r="AG5" s="65">
        <f t="shared" si="4"/>
        <v>9413.223</v>
      </c>
    </row>
    <row r="6" spans="1:33" x14ac:dyDescent="0.3">
      <c r="A6" s="58" t="s">
        <v>162</v>
      </c>
      <c r="B6" s="63">
        <f>[2]Segment!F283</f>
        <v>1411</v>
      </c>
      <c r="C6" s="63">
        <f>[2]Segment!G283</f>
        <v>1017</v>
      </c>
      <c r="D6" s="63">
        <f>[2]Segment!H283</f>
        <v>1026</v>
      </c>
      <c r="E6" s="63">
        <f>[2]Segment!I283</f>
        <v>1155</v>
      </c>
      <c r="F6" s="63">
        <f>[2]Segment!J283</f>
        <v>1355</v>
      </c>
      <c r="G6" s="63">
        <f>[2]Segment!K283</f>
        <v>881</v>
      </c>
      <c r="H6" s="63">
        <f>[2]Segment!L283</f>
        <v>1010</v>
      </c>
      <c r="I6" s="63">
        <f>[2]Segment!M283</f>
        <v>1112</v>
      </c>
      <c r="J6" s="63">
        <f>[2]Segment!N283</f>
        <v>1341</v>
      </c>
      <c r="K6" s="63">
        <f>[2]Segment!O283</f>
        <v>889</v>
      </c>
      <c r="L6" s="63">
        <f>[2]Segment!P283</f>
        <v>954</v>
      </c>
      <c r="M6" s="63">
        <f>[2]Segment!Q283</f>
        <v>1123</v>
      </c>
      <c r="N6" s="63">
        <f>[2]Segment!R283</f>
        <v>1318</v>
      </c>
      <c r="O6" s="63">
        <f>[2]Segment!S283</f>
        <v>937</v>
      </c>
      <c r="P6" s="63">
        <f>[2]Segment!T283</f>
        <v>979</v>
      </c>
      <c r="Q6" s="63">
        <f>[2]Segment!U283</f>
        <v>1153</v>
      </c>
      <c r="R6" s="63">
        <f>[2]Segment!V283</f>
        <v>1337</v>
      </c>
      <c r="S6" s="63">
        <f>[2]Segment!W283</f>
        <v>962</v>
      </c>
      <c r="T6" s="64">
        <f t="shared" ref="T6:Y6" si="6">T33*T3</f>
        <v>1027.95</v>
      </c>
      <c r="U6" s="64">
        <f t="shared" si="6"/>
        <v>1302.8899999999999</v>
      </c>
      <c r="V6" s="64">
        <f t="shared" si="6"/>
        <v>1403.8500000000001</v>
      </c>
      <c r="W6" s="64">
        <f t="shared" si="6"/>
        <v>1010.1</v>
      </c>
      <c r="X6" s="64">
        <f t="shared" si="6"/>
        <v>1079.3475000000001</v>
      </c>
      <c r="Y6" s="64">
        <f t="shared" si="6"/>
        <v>1270.3177499999997</v>
      </c>
      <c r="AB6" s="63">
        <f>+[2]Segment!Z283</f>
        <v>4609</v>
      </c>
      <c r="AC6" s="63">
        <f>+[2]Segment!AA283</f>
        <v>4358</v>
      </c>
      <c r="AD6" s="63">
        <f>+[2]Segment!AB283</f>
        <v>4307</v>
      </c>
      <c r="AE6" s="63">
        <f>+[2]Segment!AC283</f>
        <v>4387</v>
      </c>
      <c r="AF6" s="65">
        <f t="shared" si="3"/>
        <v>4629.84</v>
      </c>
      <c r="AG6" s="65">
        <f t="shared" si="4"/>
        <v>4763.6152500000007</v>
      </c>
    </row>
    <row r="7" spans="1:33" x14ac:dyDescent="0.3">
      <c r="A7" s="58" t="s">
        <v>163</v>
      </c>
      <c r="B7" s="63">
        <f>[2]Segment!F284</f>
        <v>448</v>
      </c>
      <c r="C7" s="63">
        <f>[2]Segment!G284</f>
        <v>549</v>
      </c>
      <c r="D7" s="63">
        <f>[2]Segment!H284</f>
        <v>414</v>
      </c>
      <c r="E7" s="63">
        <f>[2]Segment!I284</f>
        <v>474</v>
      </c>
      <c r="F7" s="63">
        <f>[2]Segment!J284</f>
        <v>589</v>
      </c>
      <c r="G7" s="63">
        <f>[2]Segment!K284</f>
        <v>485</v>
      </c>
      <c r="H7" s="63">
        <f>[2]Segment!L284</f>
        <v>504</v>
      </c>
      <c r="I7" s="63">
        <f>[2]Segment!M284</f>
        <v>529</v>
      </c>
      <c r="J7" s="63">
        <f>[2]Segment!N284</f>
        <v>588</v>
      </c>
      <c r="K7" s="63">
        <f>[2]Segment!O284</f>
        <v>568</v>
      </c>
      <c r="L7" s="63">
        <f>[2]Segment!P284</f>
        <v>543</v>
      </c>
      <c r="M7" s="63">
        <f>[2]Segment!Q284</f>
        <v>560</v>
      </c>
      <c r="N7" s="63">
        <f>[2]Segment!R284</f>
        <v>608</v>
      </c>
      <c r="O7" s="63">
        <f>[2]Segment!S284</f>
        <v>573</v>
      </c>
      <c r="P7" s="63">
        <f>[2]Segment!T284</f>
        <v>595</v>
      </c>
      <c r="Q7" s="63">
        <f>[2]Segment!U284</f>
        <v>585</v>
      </c>
      <c r="R7" s="63">
        <f>[2]Segment!V284</f>
        <v>610</v>
      </c>
      <c r="S7" s="63">
        <f>[2]Segment!W284</f>
        <v>670</v>
      </c>
      <c r="T7" s="64">
        <f t="shared" ref="T7:Y7" si="7">T34*T3</f>
        <v>681.65782664941787</v>
      </c>
      <c r="U7" s="64">
        <f t="shared" si="7"/>
        <v>662.3400711513583</v>
      </c>
      <c r="V7" s="64">
        <f t="shared" si="7"/>
        <v>751.05223156532998</v>
      </c>
      <c r="W7" s="64">
        <f t="shared" si="7"/>
        <v>703.50000000000011</v>
      </c>
      <c r="X7" s="64">
        <f t="shared" si="7"/>
        <v>715.74071798188879</v>
      </c>
      <c r="Y7" s="64">
        <f t="shared" si="7"/>
        <v>645.78156937257427</v>
      </c>
      <c r="AB7" s="63">
        <f>+[2]Segment!Z284</f>
        <v>1885</v>
      </c>
      <c r="AC7" s="63">
        <f>+[2]Segment!AA284</f>
        <v>2107</v>
      </c>
      <c r="AD7" s="63">
        <f>+[2]Segment!AB284</f>
        <v>2259</v>
      </c>
      <c r="AE7" s="63">
        <f>+[2]Segment!AC284</f>
        <v>2361</v>
      </c>
      <c r="AF7" s="65">
        <f t="shared" si="3"/>
        <v>2623.9978978007762</v>
      </c>
      <c r="AG7" s="65">
        <f t="shared" si="4"/>
        <v>2816.0745189197933</v>
      </c>
    </row>
    <row r="8" spans="1:33" s="66" customFormat="1" x14ac:dyDescent="0.3">
      <c r="A8" s="66" t="s">
        <v>164</v>
      </c>
      <c r="B8" s="67">
        <f>[2]Segment!F285</f>
        <v>7082</v>
      </c>
      <c r="C8" s="67">
        <f>[2]Segment!G285</f>
        <v>6505</v>
      </c>
      <c r="D8" s="67">
        <f>[2]Segment!H285</f>
        <v>7245</v>
      </c>
      <c r="E8" s="67">
        <f>[2]Segment!I285</f>
        <v>7253</v>
      </c>
      <c r="F8" s="67">
        <f>[2]Segment!J285</f>
        <v>8545</v>
      </c>
      <c r="G8" s="67">
        <f>[2]Segment!K285</f>
        <v>7646</v>
      </c>
      <c r="H8" s="67">
        <f>[2]Segment!L285</f>
        <v>8198</v>
      </c>
      <c r="I8" s="67">
        <f>[2]Segment!M285</f>
        <v>8160</v>
      </c>
      <c r="J8" s="68">
        <f t="shared" ref="J8:Y8" si="8">SUM(J3:J7)</f>
        <v>9132</v>
      </c>
      <c r="K8" s="68">
        <f t="shared" si="8"/>
        <v>8393</v>
      </c>
      <c r="L8" s="68">
        <f t="shared" si="8"/>
        <v>8386</v>
      </c>
      <c r="M8" s="68">
        <f t="shared" si="8"/>
        <v>8240</v>
      </c>
      <c r="N8" s="68">
        <f t="shared" si="8"/>
        <v>9415</v>
      </c>
      <c r="O8" s="68">
        <f t="shared" si="8"/>
        <v>8889</v>
      </c>
      <c r="P8" s="68">
        <f t="shared" si="8"/>
        <v>9086</v>
      </c>
      <c r="Q8" s="68">
        <f t="shared" si="8"/>
        <v>8766</v>
      </c>
      <c r="R8" s="68">
        <f t="shared" si="8"/>
        <v>10006</v>
      </c>
      <c r="S8" s="68">
        <f t="shared" si="8"/>
        <v>9487</v>
      </c>
      <c r="T8" s="68">
        <f t="shared" si="8"/>
        <v>9884.6730766494184</v>
      </c>
      <c r="U8" s="68">
        <f t="shared" si="8"/>
        <v>10206.364821151357</v>
      </c>
      <c r="V8" s="68">
        <f t="shared" si="8"/>
        <v>10942.438569065331</v>
      </c>
      <c r="W8" s="68">
        <f t="shared" si="8"/>
        <v>10170.610600000002</v>
      </c>
      <c r="X8" s="68">
        <f t="shared" si="8"/>
        <v>10434.58607048189</v>
      </c>
      <c r="Y8" s="68">
        <f t="shared" si="8"/>
        <v>9932.0798718725709</v>
      </c>
      <c r="AB8" s="68">
        <f t="shared" ref="AB8:AG8" si="9">SUM(AB3:AB7)</f>
        <v>28085</v>
      </c>
      <c r="AC8" s="68">
        <f t="shared" si="9"/>
        <v>32549</v>
      </c>
      <c r="AD8" s="68">
        <f t="shared" si="9"/>
        <v>34151</v>
      </c>
      <c r="AE8" s="68">
        <f>SUM(AE3:AE7)</f>
        <v>36156</v>
      </c>
      <c r="AF8" s="68">
        <f t="shared" si="9"/>
        <v>39584.037897800779</v>
      </c>
      <c r="AG8" s="68">
        <f t="shared" si="9"/>
        <v>41479.715111419791</v>
      </c>
    </row>
    <row r="9" spans="1:33" x14ac:dyDescent="0.3">
      <c r="A9" s="58" t="s">
        <v>165</v>
      </c>
      <c r="B9" s="63">
        <f>[2]Segment!F286</f>
        <v>-3451</v>
      </c>
      <c r="C9" s="63">
        <f>[2]Segment!G286</f>
        <v>-3485</v>
      </c>
      <c r="D9" s="63">
        <f>[2]Segment!H286</f>
        <v>-3729</v>
      </c>
      <c r="E9" s="63">
        <f>[2]Segment!I286</f>
        <v>-4271</v>
      </c>
      <c r="F9" s="63">
        <f>[2]Segment!J286</f>
        <v>-4139</v>
      </c>
      <c r="G9" s="63">
        <f>[2]Segment!K286</f>
        <v>-4106</v>
      </c>
      <c r="H9" s="63">
        <f>[2]Segment!L286</f>
        <v>-4279</v>
      </c>
      <c r="I9" s="63">
        <f>[2]Segment!M286</f>
        <v>-4605</v>
      </c>
      <c r="J9" s="63">
        <f>[2]Segment!N286</f>
        <v>-4480</v>
      </c>
      <c r="K9" s="63">
        <f>[2]Segment!O286</f>
        <v>-4509</v>
      </c>
      <c r="L9" s="63">
        <f>[2]Segment!P286</f>
        <v>-4573</v>
      </c>
      <c r="M9" s="63">
        <f>[2]Segment!Q286</f>
        <v>-4794</v>
      </c>
      <c r="N9" s="63">
        <f>[2]Segment!R286</f>
        <v>-4678</v>
      </c>
      <c r="O9" s="63">
        <f>[2]Segment!S286</f>
        <v>-4669</v>
      </c>
      <c r="P9" s="63">
        <f>[2]Segment!T286</f>
        <v>-4808</v>
      </c>
      <c r="Q9" s="63">
        <f>[2]Segment!U286</f>
        <v>-5069</v>
      </c>
      <c r="R9" s="63">
        <f>[2]Segment!V286</f>
        <v>-4976</v>
      </c>
      <c r="S9" s="63">
        <f>[2]Segment!W286</f>
        <v>-4969</v>
      </c>
      <c r="T9" s="64">
        <f t="shared" ref="T9:Y9" si="10">T$8*T38</f>
        <v>-5230.6304372144405</v>
      </c>
      <c r="U9" s="64">
        <f t="shared" si="10"/>
        <v>-5901.9008987470033</v>
      </c>
      <c r="V9" s="64">
        <f t="shared" si="10"/>
        <v>-5332.2680308263443</v>
      </c>
      <c r="W9" s="64">
        <f t="shared" si="10"/>
        <v>-5225.3481863368825</v>
      </c>
      <c r="X9" s="64">
        <f t="shared" si="10"/>
        <v>-5417.2796980533731</v>
      </c>
      <c r="Y9" s="64">
        <f t="shared" si="10"/>
        <v>-5643.9729350848402</v>
      </c>
      <c r="AB9" s="63">
        <f>+[2]Segment!Z286</f>
        <v>-14936</v>
      </c>
      <c r="AC9" s="63">
        <f>+[2]Segment!AA286</f>
        <v>-17129</v>
      </c>
      <c r="AD9" s="63">
        <f>+[2]Segment!AB286</f>
        <v>-18356</v>
      </c>
      <c r="AE9" s="63">
        <f>+[2]Segment!AC286</f>
        <v>-19224</v>
      </c>
      <c r="AF9" s="65">
        <f t="shared" si="3"/>
        <v>-21077.531335961445</v>
      </c>
      <c r="AG9" s="65">
        <f t="shared" si="4"/>
        <v>-21618.868850301442</v>
      </c>
    </row>
    <row r="10" spans="1:33" x14ac:dyDescent="0.3">
      <c r="A10" s="58" t="s">
        <v>166</v>
      </c>
      <c r="B10" s="63">
        <f>[2]Segment!F287</f>
        <v>-737</v>
      </c>
      <c r="C10" s="63">
        <f>[2]Segment!G287</f>
        <v>-809</v>
      </c>
      <c r="D10" s="63">
        <f>[2]Segment!H287</f>
        <v>-855</v>
      </c>
      <c r="E10" s="63">
        <f>[2]Segment!I287</f>
        <v>-1002</v>
      </c>
      <c r="F10" s="63">
        <f>[2]Segment!J287</f>
        <v>-899</v>
      </c>
      <c r="G10" s="63">
        <f>[2]Segment!K287</f>
        <v>-853</v>
      </c>
      <c r="H10" s="63">
        <f>[2]Segment!L287</f>
        <v>-900</v>
      </c>
      <c r="I10" s="63">
        <f>[2]Segment!M287</f>
        <v>-1023</v>
      </c>
      <c r="J10" s="63">
        <f>[2]Segment!N287</f>
        <v>-925</v>
      </c>
      <c r="K10" s="63">
        <f>[2]Segment!O287</f>
        <v>-963</v>
      </c>
      <c r="L10" s="63">
        <f>[2]Segment!P287</f>
        <v>-942</v>
      </c>
      <c r="M10" s="63">
        <f>[2]Segment!Q287</f>
        <v>-1114</v>
      </c>
      <c r="N10" s="63">
        <f>[2]Segment!R287</f>
        <v>-948</v>
      </c>
      <c r="O10" s="63">
        <f>[2]Segment!S287</f>
        <v>-1024</v>
      </c>
      <c r="P10" s="63">
        <f>[2]Segment!T287</f>
        <v>-1051</v>
      </c>
      <c r="Q10" s="63">
        <f>[2]Segment!U287</f>
        <v>-1091</v>
      </c>
      <c r="R10" s="63">
        <f>[2]Segment!V287</f>
        <v>-962</v>
      </c>
      <c r="S10" s="63">
        <f>[2]Segment!W287</f>
        <v>-1115</v>
      </c>
      <c r="T10" s="64">
        <f t="shared" ref="T10:Y10" si="11">T8*T39</f>
        <v>-1093.9611166284785</v>
      </c>
      <c r="U10" s="64">
        <f t="shared" si="11"/>
        <v>-1066.1378210622718</v>
      </c>
      <c r="V10" s="64">
        <f t="shared" si="11"/>
        <v>-1106.743564366499</v>
      </c>
      <c r="W10" s="64">
        <f t="shared" si="11"/>
        <v>-1246.1972944883528</v>
      </c>
      <c r="X10" s="64">
        <f t="shared" si="11"/>
        <v>-1206.9942725155697</v>
      </c>
      <c r="Y10" s="64">
        <f t="shared" si="11"/>
        <v>-1087.1469265184178</v>
      </c>
      <c r="AB10" s="63">
        <f>+[2]Segment!Z287</f>
        <v>-3403</v>
      </c>
      <c r="AC10" s="63">
        <f>+[2]Segment!AA287</f>
        <v>-3675</v>
      </c>
      <c r="AD10" s="63">
        <f>+[2]Segment!AB287</f>
        <v>-3944</v>
      </c>
      <c r="AE10" s="63">
        <f>+[2]Segment!AC287</f>
        <v>-4114</v>
      </c>
      <c r="AF10" s="65">
        <f t="shared" si="3"/>
        <v>-4237.0989376907501</v>
      </c>
      <c r="AG10" s="65">
        <f t="shared" si="4"/>
        <v>-4647.0820578888397</v>
      </c>
    </row>
    <row r="11" spans="1:33" x14ac:dyDescent="0.3">
      <c r="A11" s="58" t="s">
        <v>76</v>
      </c>
      <c r="B11" s="63">
        <f>[2]Segment!F288</f>
        <v>-593</v>
      </c>
      <c r="C11" s="63">
        <f>[2]Segment!G288</f>
        <v>-598</v>
      </c>
      <c r="D11" s="63">
        <f>[2]Segment!H288</f>
        <v>-622</v>
      </c>
      <c r="E11" s="63">
        <f>[2]Segment!I288</f>
        <v>-638</v>
      </c>
      <c r="F11" s="63">
        <f>[2]Segment!J288</f>
        <v>-643</v>
      </c>
      <c r="G11" s="63">
        <f>[2]Segment!K288</f>
        <v>-651</v>
      </c>
      <c r="H11" s="63">
        <f>[2]Segment!L288</f>
        <v>-722</v>
      </c>
      <c r="I11" s="63">
        <f>[2]Segment!M288</f>
        <v>-773</v>
      </c>
      <c r="J11" s="63">
        <f>[2]Segment!N288</f>
        <v>-622</v>
      </c>
      <c r="K11" s="63">
        <f>[2]Segment!O288</f>
        <v>-635</v>
      </c>
      <c r="L11" s="63">
        <f>[2]Segment!P288</f>
        <v>-649</v>
      </c>
      <c r="M11" s="63">
        <f>[2]Segment!Q288</f>
        <v>-673</v>
      </c>
      <c r="N11" s="63">
        <f>[2]Segment!R288</f>
        <v>-679</v>
      </c>
      <c r="O11" s="63">
        <f>[2]Segment!S288</f>
        <v>-705</v>
      </c>
      <c r="P11" s="63">
        <f>[2]Segment!T288</f>
        <v>-711</v>
      </c>
      <c r="Q11" s="63">
        <f>[2]Segment!U288</f>
        <v>-728</v>
      </c>
      <c r="R11" s="63">
        <f>[2]Segment!V288</f>
        <v>-759</v>
      </c>
      <c r="S11" s="63">
        <f>[2]Segment!W288</f>
        <v>-788</v>
      </c>
      <c r="T11" s="64">
        <f t="shared" ref="T11:Y11" si="12">T8*T40</f>
        <v>-770.59026963608346</v>
      </c>
      <c r="U11" s="64">
        <f t="shared" si="12"/>
        <v>-795.66874478778561</v>
      </c>
      <c r="V11" s="64">
        <f t="shared" si="12"/>
        <v>-880.40774740053791</v>
      </c>
      <c r="W11" s="64">
        <f t="shared" si="12"/>
        <v>-843.73446686606428</v>
      </c>
      <c r="X11" s="64">
        <f t="shared" si="12"/>
        <v>-891.71983384987084</v>
      </c>
      <c r="Y11" s="64">
        <f t="shared" si="12"/>
        <v>-873.60681173755097</v>
      </c>
      <c r="AB11" s="63">
        <f>+[2]Segment!Z288</f>
        <v>-2451</v>
      </c>
      <c r="AC11" s="63">
        <f>+[2]Segment!AA288</f>
        <v>-2789</v>
      </c>
      <c r="AD11" s="63">
        <f>+[2]Segment!AB288</f>
        <v>-2579</v>
      </c>
      <c r="AE11" s="63">
        <f>+[2]Segment!AC288</f>
        <v>-2823</v>
      </c>
      <c r="AF11" s="65">
        <f t="shared" si="3"/>
        <v>-3113.2590144238693</v>
      </c>
      <c r="AG11" s="65">
        <f t="shared" si="4"/>
        <v>-3489.4688598540242</v>
      </c>
    </row>
    <row r="12" spans="1:33" x14ac:dyDescent="0.3">
      <c r="A12" s="58" t="s">
        <v>167</v>
      </c>
      <c r="B12" s="63">
        <f>[2]Segment!F289</f>
        <v>-3</v>
      </c>
      <c r="C12" s="63">
        <f>[2]Segment!G289</f>
        <v>-5</v>
      </c>
      <c r="D12" s="63">
        <f>[2]Segment!H289</f>
        <v>-2</v>
      </c>
      <c r="E12" s="63">
        <f>[2]Segment!I289</f>
        <v>0</v>
      </c>
      <c r="F12" s="63">
        <f>[2]Segment!J289</f>
        <v>-2</v>
      </c>
      <c r="G12" s="63">
        <f>[2]Segment!K289</f>
        <v>0</v>
      </c>
      <c r="H12" s="63">
        <f>[2]Segment!L289</f>
        <v>0</v>
      </c>
      <c r="I12" s="63">
        <f>[2]Segment!M289</f>
        <v>0</v>
      </c>
      <c r="J12" s="63">
        <f>[2]Segment!N289</f>
        <v>0</v>
      </c>
      <c r="K12" s="63">
        <f>[2]Segment!O289</f>
        <v>0</v>
      </c>
      <c r="L12" s="63">
        <f>[2]Segment!P289</f>
        <v>0</v>
      </c>
      <c r="M12" s="63">
        <f>[2]Segment!Q289</f>
        <v>0</v>
      </c>
      <c r="N12" s="63">
        <f>[2]Segment!R289</f>
        <v>0</v>
      </c>
      <c r="O12" s="63">
        <f>[2]Segment!S289</f>
        <v>0</v>
      </c>
      <c r="P12" s="63">
        <f>[2]Segment!T289</f>
        <v>0</v>
      </c>
      <c r="Q12" s="64"/>
      <c r="R12" s="64"/>
      <c r="S12" s="64"/>
      <c r="T12" s="64"/>
      <c r="U12" s="64"/>
      <c r="V12" s="64"/>
      <c r="W12" s="64"/>
      <c r="X12" s="64"/>
      <c r="Y12" s="64"/>
      <c r="AB12" s="63">
        <f>+[2]Segment!Z289</f>
        <v>-10</v>
      </c>
      <c r="AC12" s="63">
        <f>+[2]Segment!AA289</f>
        <v>-2</v>
      </c>
      <c r="AD12" s="63">
        <f>+[2]Segment!AB289</f>
        <v>0</v>
      </c>
      <c r="AE12" s="63">
        <f>+[2]Segment!AC289</f>
        <v>0</v>
      </c>
      <c r="AF12" s="65">
        <f t="shared" si="3"/>
        <v>0</v>
      </c>
      <c r="AG12" s="65">
        <f t="shared" si="4"/>
        <v>0</v>
      </c>
    </row>
    <row r="13" spans="1:33" s="66" customFormat="1" x14ac:dyDescent="0.3">
      <c r="A13" s="66" t="s">
        <v>168</v>
      </c>
      <c r="B13" s="67">
        <f>[2]Segment!F290</f>
        <v>2298</v>
      </c>
      <c r="C13" s="67">
        <f>[2]Segment!G290</f>
        <v>1608</v>
      </c>
      <c r="D13" s="67">
        <f>[2]Segment!H290</f>
        <v>2037</v>
      </c>
      <c r="E13" s="67">
        <f>[2]Segment!I290</f>
        <v>1342</v>
      </c>
      <c r="F13" s="67">
        <f>[2]Segment!J290</f>
        <v>2862</v>
      </c>
      <c r="G13" s="67">
        <f>[2]Segment!K290</f>
        <v>2036</v>
      </c>
      <c r="H13" s="67">
        <f>[2]Segment!L290</f>
        <v>2297</v>
      </c>
      <c r="I13" s="67">
        <f>[2]Segment!M290</f>
        <v>1759</v>
      </c>
      <c r="J13" s="67">
        <f t="shared" ref="J13:Y13" si="13">SUM(J8:J12)</f>
        <v>3105</v>
      </c>
      <c r="K13" s="67">
        <f t="shared" si="13"/>
        <v>2286</v>
      </c>
      <c r="L13" s="67">
        <f t="shared" si="13"/>
        <v>2222</v>
      </c>
      <c r="M13" s="67">
        <f t="shared" si="13"/>
        <v>1659</v>
      </c>
      <c r="N13" s="67">
        <f t="shared" si="13"/>
        <v>3110</v>
      </c>
      <c r="O13" s="67">
        <f t="shared" si="13"/>
        <v>2491</v>
      </c>
      <c r="P13" s="67">
        <f t="shared" si="13"/>
        <v>2516</v>
      </c>
      <c r="Q13" s="67">
        <f t="shared" si="13"/>
        <v>1878</v>
      </c>
      <c r="R13" s="67">
        <f t="shared" si="13"/>
        <v>3309</v>
      </c>
      <c r="S13" s="67">
        <f t="shared" si="13"/>
        <v>2615</v>
      </c>
      <c r="T13" s="67">
        <f t="shared" si="13"/>
        <v>2789.4912531704158</v>
      </c>
      <c r="U13" s="67">
        <f t="shared" si="13"/>
        <v>2442.6573565542967</v>
      </c>
      <c r="V13" s="67">
        <f t="shared" si="13"/>
        <v>3623.019226471949</v>
      </c>
      <c r="W13" s="67">
        <f t="shared" si="13"/>
        <v>2855.3306523087022</v>
      </c>
      <c r="X13" s="67">
        <f t="shared" si="13"/>
        <v>2918.5922660630758</v>
      </c>
      <c r="Y13" s="67">
        <f t="shared" si="13"/>
        <v>2327.3531985317622</v>
      </c>
      <c r="AB13" s="67">
        <f t="shared" ref="AB13:AG13" si="14">SUM(AB8:AB12)</f>
        <v>7285</v>
      </c>
      <c r="AC13" s="67">
        <f t="shared" si="14"/>
        <v>8954</v>
      </c>
      <c r="AD13" s="67">
        <f t="shared" si="14"/>
        <v>9272</v>
      </c>
      <c r="AE13" s="67">
        <f>SUM(AE8:AE12)</f>
        <v>9995</v>
      </c>
      <c r="AF13" s="67">
        <f t="shared" si="14"/>
        <v>11156.148609724716</v>
      </c>
      <c r="AG13" s="67">
        <f t="shared" si="14"/>
        <v>11724.295343375485</v>
      </c>
    </row>
    <row r="14" spans="1:33" x14ac:dyDescent="0.3">
      <c r="A14" s="69" t="s">
        <v>169</v>
      </c>
      <c r="B14" s="70">
        <f t="shared" ref="B14:U14" si="15">B13/B8</f>
        <v>0.32448460886755154</v>
      </c>
      <c r="C14" s="70">
        <f t="shared" si="15"/>
        <v>0.24719446579554188</v>
      </c>
      <c r="D14" s="70">
        <f t="shared" si="15"/>
        <v>0.28115942028985508</v>
      </c>
      <c r="E14" s="70">
        <f t="shared" si="15"/>
        <v>0.18502688542671997</v>
      </c>
      <c r="F14" s="70">
        <f t="shared" si="15"/>
        <v>0.33493270918665885</v>
      </c>
      <c r="G14" s="70">
        <f t="shared" si="15"/>
        <v>0.26628302380329583</v>
      </c>
      <c r="H14" s="70">
        <f t="shared" si="15"/>
        <v>0.28019029031471093</v>
      </c>
      <c r="I14" s="70">
        <f t="shared" si="15"/>
        <v>0.21556372549019609</v>
      </c>
      <c r="J14" s="70">
        <f t="shared" si="15"/>
        <v>0.3400131406044678</v>
      </c>
      <c r="K14" s="70">
        <f t="shared" si="15"/>
        <v>0.27236983200285952</v>
      </c>
      <c r="L14" s="70">
        <f t="shared" si="15"/>
        <v>0.2649654185547341</v>
      </c>
      <c r="M14" s="70">
        <f t="shared" si="15"/>
        <v>0.20133495145631067</v>
      </c>
      <c r="N14" s="70">
        <f t="shared" si="15"/>
        <v>0.33032395114179502</v>
      </c>
      <c r="O14" s="70">
        <f t="shared" si="15"/>
        <v>0.28023399707503654</v>
      </c>
      <c r="P14" s="70">
        <f t="shared" si="15"/>
        <v>0.27690953114681927</v>
      </c>
      <c r="Q14" s="70">
        <f t="shared" si="15"/>
        <v>0.21423682409308692</v>
      </c>
      <c r="R14" s="70">
        <f t="shared" si="15"/>
        <v>0.33070157905256847</v>
      </c>
      <c r="S14" s="70">
        <f t="shared" si="15"/>
        <v>0.27564034995256664</v>
      </c>
      <c r="T14" s="70">
        <f t="shared" si="15"/>
        <v>0.28220369369221082</v>
      </c>
      <c r="U14" s="70">
        <f t="shared" si="15"/>
        <v>0.23932687096312769</v>
      </c>
      <c r="V14" s="70">
        <f>V13/V8</f>
        <v>0.33109797268721758</v>
      </c>
      <c r="W14" s="70">
        <f>W13/W8</f>
        <v>0.28074328716396846</v>
      </c>
      <c r="X14" s="70">
        <f>X13/X8</f>
        <v>0.27970369369221076</v>
      </c>
      <c r="Y14" s="70">
        <f>Y13/Y8</f>
        <v>0.23432687096312774</v>
      </c>
      <c r="AB14" s="71">
        <f t="shared" ref="AB14:AG14" si="16">AB13/AB8</f>
        <v>0.259391134057326</v>
      </c>
      <c r="AC14" s="71">
        <f t="shared" si="16"/>
        <v>0.27509293680297398</v>
      </c>
      <c r="AD14" s="71">
        <f>AD13/AD8</f>
        <v>0.27150010248601797</v>
      </c>
      <c r="AE14" s="71">
        <f>AE13/AE8</f>
        <v>0.27644097798429029</v>
      </c>
      <c r="AF14" s="71">
        <f t="shared" si="16"/>
        <v>0.28183452730436409</v>
      </c>
      <c r="AG14" s="71">
        <f t="shared" si="16"/>
        <v>0.28265129863796162</v>
      </c>
    </row>
    <row r="15" spans="1:33" s="75" customFormat="1" x14ac:dyDescent="0.3">
      <c r="A15" s="72" t="s">
        <v>170</v>
      </c>
      <c r="B15" s="73"/>
      <c r="C15" s="73"/>
      <c r="D15" s="73"/>
      <c r="E15" s="73"/>
      <c r="F15" s="73">
        <f>F13/B13-1</f>
        <v>0.2454308093994777</v>
      </c>
      <c r="G15" s="73">
        <f t="shared" ref="G15:U15" si="17">G13/C13-1</f>
        <v>0.26616915422885579</v>
      </c>
      <c r="H15" s="73">
        <f t="shared" si="17"/>
        <v>0.12763868433971526</v>
      </c>
      <c r="I15" s="73">
        <f t="shared" si="17"/>
        <v>0.31073025335320414</v>
      </c>
      <c r="J15" s="73">
        <f t="shared" si="17"/>
        <v>8.4905660377358583E-2</v>
      </c>
      <c r="K15" s="73">
        <f t="shared" si="17"/>
        <v>0.1227897838899803</v>
      </c>
      <c r="L15" s="73">
        <f t="shared" si="17"/>
        <v>-3.2651284283848447E-2</v>
      </c>
      <c r="M15" s="73">
        <f t="shared" si="17"/>
        <v>-5.6850483229107462E-2</v>
      </c>
      <c r="N15" s="73">
        <f t="shared" si="17"/>
        <v>1.6103059581320522E-3</v>
      </c>
      <c r="O15" s="73">
        <f t="shared" si="17"/>
        <v>8.9676290463692077E-2</v>
      </c>
      <c r="P15" s="73">
        <f t="shared" si="17"/>
        <v>0.13231323132313233</v>
      </c>
      <c r="Q15" s="73">
        <f t="shared" si="17"/>
        <v>0.13200723327305597</v>
      </c>
      <c r="R15" s="74">
        <f t="shared" si="17"/>
        <v>6.3987138263665644E-2</v>
      </c>
      <c r="S15" s="74">
        <f t="shared" si="17"/>
        <v>4.977920513849865E-2</v>
      </c>
      <c r="T15" s="74">
        <f t="shared" si="17"/>
        <v>0.10870081604547521</v>
      </c>
      <c r="U15" s="74">
        <f t="shared" si="17"/>
        <v>0.30066951893200033</v>
      </c>
      <c r="V15" s="74">
        <f>V13/R13-1</f>
        <v>9.4898527190072191E-2</v>
      </c>
      <c r="W15" s="74">
        <f>W13/S13-1</f>
        <v>9.1904647154379404E-2</v>
      </c>
      <c r="X15" s="74">
        <f>X13/T13-1</f>
        <v>4.628120369473443E-2</v>
      </c>
      <c r="Y15" s="74">
        <f>Y13/U13-1</f>
        <v>-4.7204393081634155E-2</v>
      </c>
      <c r="AB15" s="73"/>
      <c r="AC15" s="73">
        <f t="shared" ref="AC15:AG15" si="18">AC13/AB13-1</f>
        <v>0.22910089224433761</v>
      </c>
      <c r="AD15" s="74">
        <f t="shared" si="18"/>
        <v>3.5514853696671844E-2</v>
      </c>
      <c r="AE15" s="74">
        <f t="shared" si="18"/>
        <v>7.7976704055219948E-2</v>
      </c>
      <c r="AF15" s="74">
        <f t="shared" si="18"/>
        <v>0.11617294744619477</v>
      </c>
      <c r="AG15" s="74">
        <f t="shared" si="18"/>
        <v>5.0926780695223162E-2</v>
      </c>
    </row>
    <row r="16" spans="1:33" s="66" customFormat="1" x14ac:dyDescent="0.3">
      <c r="A16" s="66" t="s">
        <v>171</v>
      </c>
      <c r="B16" s="67">
        <f>B13-B11</f>
        <v>2891</v>
      </c>
      <c r="C16" s="67">
        <f t="shared" ref="C16:U16" si="19">C13-C11</f>
        <v>2206</v>
      </c>
      <c r="D16" s="67">
        <f t="shared" si="19"/>
        <v>2659</v>
      </c>
      <c r="E16" s="67">
        <f t="shared" si="19"/>
        <v>1980</v>
      </c>
      <c r="F16" s="67">
        <f t="shared" si="19"/>
        <v>3505</v>
      </c>
      <c r="G16" s="67">
        <f t="shared" si="19"/>
        <v>2687</v>
      </c>
      <c r="H16" s="67">
        <f t="shared" si="19"/>
        <v>3019</v>
      </c>
      <c r="I16" s="67">
        <f>I13-I11</f>
        <v>2532</v>
      </c>
      <c r="J16" s="67">
        <f t="shared" si="19"/>
        <v>3727</v>
      </c>
      <c r="K16" s="67">
        <f t="shared" si="19"/>
        <v>2921</v>
      </c>
      <c r="L16" s="67">
        <f t="shared" si="19"/>
        <v>2871</v>
      </c>
      <c r="M16" s="67">
        <f t="shared" si="19"/>
        <v>2332</v>
      </c>
      <c r="N16" s="67">
        <f t="shared" si="19"/>
        <v>3789</v>
      </c>
      <c r="O16" s="67">
        <f t="shared" si="19"/>
        <v>3196</v>
      </c>
      <c r="P16" s="67">
        <f t="shared" si="19"/>
        <v>3227</v>
      </c>
      <c r="Q16" s="67">
        <f t="shared" si="19"/>
        <v>2606</v>
      </c>
      <c r="R16" s="67">
        <f t="shared" si="19"/>
        <v>4068</v>
      </c>
      <c r="S16" s="67">
        <f t="shared" si="19"/>
        <v>3403</v>
      </c>
      <c r="T16" s="67">
        <f t="shared" si="19"/>
        <v>3560.0815228064994</v>
      </c>
      <c r="U16" s="67">
        <f t="shared" si="19"/>
        <v>3238.3261013420824</v>
      </c>
      <c r="V16" s="67">
        <f>V13-V11</f>
        <v>4503.426973872487</v>
      </c>
      <c r="W16" s="67">
        <f>W13-W11</f>
        <v>3699.0651191747666</v>
      </c>
      <c r="X16" s="67">
        <f>X13-X11</f>
        <v>3810.3120999129469</v>
      </c>
      <c r="Y16" s="67">
        <f>Y13-Y11</f>
        <v>3200.960010269313</v>
      </c>
      <c r="AB16" s="67">
        <f t="shared" ref="AB16:AG16" si="20">AB13-AB11</f>
        <v>9736</v>
      </c>
      <c r="AC16" s="67">
        <f t="shared" si="20"/>
        <v>11743</v>
      </c>
      <c r="AD16" s="67">
        <f t="shared" si="20"/>
        <v>11851</v>
      </c>
      <c r="AE16" s="67">
        <f>AE13-AE11</f>
        <v>12818</v>
      </c>
      <c r="AF16" s="67">
        <f t="shared" si="20"/>
        <v>14269.407624148585</v>
      </c>
      <c r="AG16" s="67">
        <f t="shared" si="20"/>
        <v>15213.764203229508</v>
      </c>
    </row>
    <row r="17" spans="1:33" x14ac:dyDescent="0.3">
      <c r="A17" s="58" t="s">
        <v>172</v>
      </c>
      <c r="B17" s="70">
        <f t="shared" ref="B17:U17" si="21">B16/B8</f>
        <v>0.40821801750917819</v>
      </c>
      <c r="C17" s="70">
        <f t="shared" si="21"/>
        <v>0.33912375096079939</v>
      </c>
      <c r="D17" s="70">
        <f t="shared" si="21"/>
        <v>0.36701173222912353</v>
      </c>
      <c r="E17" s="70">
        <f t="shared" si="21"/>
        <v>0.27299048669516063</v>
      </c>
      <c r="F17" s="70">
        <f t="shared" si="21"/>
        <v>0.41018139262726738</v>
      </c>
      <c r="G17" s="70">
        <f t="shared" si="21"/>
        <v>0.35142558200366203</v>
      </c>
      <c r="H17" s="70">
        <f t="shared" si="21"/>
        <v>0.36826055135398877</v>
      </c>
      <c r="I17" s="70">
        <f t="shared" si="21"/>
        <v>0.31029411764705883</v>
      </c>
      <c r="J17" s="70">
        <f t="shared" si="21"/>
        <v>0.40812527376259305</v>
      </c>
      <c r="K17" s="70">
        <f t="shared" si="21"/>
        <v>0.34802811867032052</v>
      </c>
      <c r="L17" s="70">
        <f t="shared" si="21"/>
        <v>0.34235630813260198</v>
      </c>
      <c r="M17" s="70">
        <f t="shared" si="21"/>
        <v>0.28300970873786407</v>
      </c>
      <c r="N17" s="70">
        <f t="shared" si="21"/>
        <v>0.40244291024960172</v>
      </c>
      <c r="O17" s="70">
        <f t="shared" si="21"/>
        <v>0.35954550568117899</v>
      </c>
      <c r="P17" s="70">
        <f t="shared" si="21"/>
        <v>0.35516178736517717</v>
      </c>
      <c r="Q17" s="70">
        <f t="shared" si="21"/>
        <v>0.297284964636094</v>
      </c>
      <c r="R17" s="70">
        <f t="shared" si="21"/>
        <v>0.40655606636018388</v>
      </c>
      <c r="S17" s="70">
        <f t="shared" si="21"/>
        <v>0.35870138083693476</v>
      </c>
      <c r="T17" s="70">
        <f t="shared" si="21"/>
        <v>0.36016178736517718</v>
      </c>
      <c r="U17" s="70">
        <f t="shared" si="21"/>
        <v>0.31728496463609401</v>
      </c>
      <c r="V17" s="70">
        <f>V16/V8</f>
        <v>0.41155606636018388</v>
      </c>
      <c r="W17" s="70">
        <f>W16/W8</f>
        <v>0.36370138083693482</v>
      </c>
      <c r="X17" s="70">
        <f>X16/X8</f>
        <v>0.36516178736517713</v>
      </c>
      <c r="Y17" s="70">
        <f>Y16/Y8</f>
        <v>0.32228496463609402</v>
      </c>
      <c r="AB17" s="70">
        <f t="shared" ref="AB17:AG17" si="22">AB16/AB8</f>
        <v>0.34666191917393624</v>
      </c>
      <c r="AC17" s="70">
        <f t="shared" si="22"/>
        <v>0.36077913299947773</v>
      </c>
      <c r="AD17" s="70">
        <f>AD16/AD8</f>
        <v>0.3470176568768118</v>
      </c>
      <c r="AE17" s="70">
        <f>AE16/AE8</f>
        <v>0.35451930523287972</v>
      </c>
      <c r="AF17" s="70">
        <f t="shared" si="22"/>
        <v>0.36048388143194882</v>
      </c>
      <c r="AG17" s="70">
        <f t="shared" si="22"/>
        <v>0.36677600514765835</v>
      </c>
    </row>
    <row r="18" spans="1:33" x14ac:dyDescent="0.3">
      <c r="B18" s="70"/>
      <c r="C18" s="70"/>
      <c r="D18" s="70"/>
      <c r="E18" s="70"/>
      <c r="F18" s="70"/>
      <c r="G18" s="70"/>
      <c r="H18" s="70"/>
      <c r="I18" s="70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64"/>
      <c r="V18" s="76"/>
      <c r="W18" s="76"/>
      <c r="X18" s="76"/>
      <c r="Y18" s="76"/>
      <c r="AB18" s="70"/>
      <c r="AC18" s="70"/>
      <c r="AD18" s="70"/>
      <c r="AE18" s="77"/>
      <c r="AF18" s="77"/>
      <c r="AG18" s="77"/>
    </row>
    <row r="19" spans="1:33" x14ac:dyDescent="0.3">
      <c r="A19" s="78" t="s">
        <v>170</v>
      </c>
      <c r="B19" s="70"/>
      <c r="C19" s="70"/>
      <c r="D19" s="70"/>
      <c r="E19" s="70"/>
      <c r="F19" s="70"/>
      <c r="G19" s="70"/>
      <c r="H19" s="70"/>
      <c r="I19" s="70"/>
      <c r="J19" s="65"/>
      <c r="K19" s="65"/>
      <c r="L19" s="65"/>
      <c r="M19" s="65"/>
      <c r="N19" s="79"/>
      <c r="O19" s="79"/>
      <c r="P19" s="79"/>
      <c r="Q19" s="65"/>
      <c r="R19" s="65"/>
      <c r="S19" s="65"/>
      <c r="T19" s="65"/>
      <c r="U19" s="65"/>
      <c r="V19" s="65"/>
      <c r="W19" s="65"/>
      <c r="X19" s="65"/>
      <c r="Y19" s="65"/>
      <c r="AB19" s="65"/>
      <c r="AE19" s="80"/>
      <c r="AF19" s="80"/>
      <c r="AG19" s="80"/>
    </row>
    <row r="20" spans="1:33" s="66" customFormat="1" x14ac:dyDescent="0.3">
      <c r="A20" s="66" t="s">
        <v>173</v>
      </c>
      <c r="B20" s="81"/>
      <c r="C20" s="81"/>
      <c r="D20" s="81"/>
      <c r="E20" s="81"/>
      <c r="F20" s="82">
        <f>F8/B8-1</f>
        <v>0.2065800621293421</v>
      </c>
      <c r="G20" s="82">
        <f t="shared" ref="G20:U20" si="23">G8/C8-1</f>
        <v>0.17540353574173717</v>
      </c>
      <c r="H20" s="82">
        <f t="shared" si="23"/>
        <v>0.13153899240855771</v>
      </c>
      <c r="I20" s="82">
        <f t="shared" si="23"/>
        <v>0.12505170274369237</v>
      </c>
      <c r="J20" s="82">
        <f t="shared" si="23"/>
        <v>6.8695143358689315E-2</v>
      </c>
      <c r="K20" s="82">
        <f t="shared" si="23"/>
        <v>9.7698142819774958E-2</v>
      </c>
      <c r="L20" s="83">
        <f t="shared" si="23"/>
        <v>2.2932422542083497E-2</v>
      </c>
      <c r="M20" s="83">
        <f t="shared" si="23"/>
        <v>9.8039215686274161E-3</v>
      </c>
      <c r="N20" s="83">
        <f t="shared" si="23"/>
        <v>3.0989925536574647E-2</v>
      </c>
      <c r="O20" s="83">
        <f t="shared" si="23"/>
        <v>5.9096866436316065E-2</v>
      </c>
      <c r="P20" s="83">
        <f t="shared" si="23"/>
        <v>8.3472454090150361E-2</v>
      </c>
      <c r="Q20" s="83">
        <f t="shared" si="23"/>
        <v>6.3834951456310574E-2</v>
      </c>
      <c r="R20" s="83">
        <f t="shared" si="23"/>
        <v>6.2772172065852283E-2</v>
      </c>
      <c r="S20" s="83">
        <f t="shared" si="23"/>
        <v>6.7274159073011486E-2</v>
      </c>
      <c r="T20" s="83">
        <f t="shared" si="23"/>
        <v>8.7901505244267986E-2</v>
      </c>
      <c r="U20" s="83">
        <f t="shared" si="23"/>
        <v>0.16431266497277641</v>
      </c>
      <c r="V20" s="83">
        <f>V8/R8-1</f>
        <v>9.3587704283962792E-2</v>
      </c>
      <c r="W20" s="83">
        <f>W8/S8-1</f>
        <v>7.2057615684621323E-2</v>
      </c>
      <c r="X20" s="83">
        <f>X8/T8-1</f>
        <v>5.5632896461849768E-2</v>
      </c>
      <c r="Y20" s="83">
        <f>Y8/U8-1</f>
        <v>-2.6873911925073157E-2</v>
      </c>
      <c r="AB20" s="84"/>
      <c r="AC20" s="85">
        <f t="shared" ref="AC20:AG20" si="24">AC8/AB8-1</f>
        <v>0.15894605661385075</v>
      </c>
      <c r="AD20" s="86">
        <f t="shared" si="24"/>
        <v>4.9218101938615533E-2</v>
      </c>
      <c r="AE20" s="86">
        <f t="shared" si="24"/>
        <v>5.8709847442241836E-2</v>
      </c>
      <c r="AF20" s="86">
        <f t="shared" si="24"/>
        <v>9.4812421114082834E-2</v>
      </c>
      <c r="AG20" s="86">
        <f t="shared" si="24"/>
        <v>4.7889940346998561E-2</v>
      </c>
    </row>
    <row r="21" spans="1:33" x14ac:dyDescent="0.3">
      <c r="A21" s="58" t="s">
        <v>159</v>
      </c>
      <c r="B21" s="87"/>
      <c r="C21" s="87"/>
      <c r="D21" s="87"/>
      <c r="E21" s="87"/>
      <c r="F21" s="70">
        <f>F3/B3-1</f>
        <v>0.22723048327137541</v>
      </c>
      <c r="G21" s="70">
        <f t="shared" ref="G21:V25" si="25">G3/C3-1</f>
        <v>0.23061327927014696</v>
      </c>
      <c r="H21" s="70">
        <f t="shared" si="25"/>
        <v>0.18122837370242206</v>
      </c>
      <c r="I21" s="70">
        <f t="shared" si="25"/>
        <v>0.21154734411085441</v>
      </c>
      <c r="J21" s="70">
        <f t="shared" si="25"/>
        <v>0.12911775842483908</v>
      </c>
      <c r="K21" s="70">
        <f t="shared" si="25"/>
        <v>0.15568369028006579</v>
      </c>
      <c r="L21" s="70">
        <f t="shared" si="25"/>
        <v>1.7942145734163306E-2</v>
      </c>
      <c r="M21" s="70">
        <f t="shared" si="25"/>
        <v>-7.6248570339305655E-3</v>
      </c>
      <c r="N21" s="70">
        <f t="shared" si="25"/>
        <v>3.5211267605633756E-2</v>
      </c>
      <c r="O21" s="71">
        <f t="shared" si="25"/>
        <v>4.0270848182466068E-2</v>
      </c>
      <c r="P21" s="71">
        <f t="shared" si="25"/>
        <v>7.7697841726618755E-2</v>
      </c>
      <c r="Q21" s="71">
        <f t="shared" si="25"/>
        <v>3.9185555128697702E-2</v>
      </c>
      <c r="R21" s="71">
        <f t="shared" si="25"/>
        <v>6.9322967282150927E-2</v>
      </c>
      <c r="S21" s="71">
        <f t="shared" si="25"/>
        <v>5.9266872216512612E-2</v>
      </c>
      <c r="T21" s="88">
        <v>0.05</v>
      </c>
      <c r="U21" s="88">
        <v>0.13</v>
      </c>
      <c r="V21" s="88">
        <f>T21</f>
        <v>0.05</v>
      </c>
      <c r="W21" s="88">
        <f t="shared" ref="W21:X21" si="26">V21</f>
        <v>0.05</v>
      </c>
      <c r="X21" s="88">
        <f t="shared" si="26"/>
        <v>0.05</v>
      </c>
      <c r="Y21" s="88">
        <v>-2.5000000000000001E-2</v>
      </c>
      <c r="AB21" s="89"/>
      <c r="AC21" s="90">
        <f t="shared" ref="AC21:AG25" si="27">AC3/AB3-1</f>
        <v>0.21169495466170662</v>
      </c>
      <c r="AD21" s="90">
        <f t="shared" si="27"/>
        <v>7.1764367264703033E-2</v>
      </c>
      <c r="AE21" s="90">
        <f t="shared" si="27"/>
        <v>4.7981380359860326E-2</v>
      </c>
      <c r="AF21" s="90">
        <f t="shared" si="27"/>
        <v>7.5890492867515036E-2</v>
      </c>
      <c r="AG21" s="90">
        <f t="shared" si="27"/>
        <v>3.1799082208257889E-2</v>
      </c>
    </row>
    <row r="22" spans="1:33" x14ac:dyDescent="0.3">
      <c r="A22" s="58" t="s">
        <v>160</v>
      </c>
      <c r="B22" s="87"/>
      <c r="C22" s="87"/>
      <c r="D22" s="87"/>
      <c r="E22" s="87"/>
      <c r="F22" s="70">
        <f>F4/B4-1</f>
        <v>0.37024221453287187</v>
      </c>
      <c r="G22" s="70">
        <f t="shared" si="25"/>
        <v>0.31150930392832521</v>
      </c>
      <c r="H22" s="70">
        <f t="shared" si="25"/>
        <v>8.753462603878126E-2</v>
      </c>
      <c r="I22" s="70">
        <f t="shared" si="25"/>
        <v>0.23054417788180226</v>
      </c>
      <c r="J22" s="70">
        <f t="shared" si="25"/>
        <v>6.9696969696969591E-2</v>
      </c>
      <c r="K22" s="70">
        <f t="shared" si="25"/>
        <v>0.10404624277456653</v>
      </c>
      <c r="L22" s="70">
        <f t="shared" si="25"/>
        <v>7.7432501273560828E-2</v>
      </c>
      <c r="M22" s="70">
        <f t="shared" si="25"/>
        <v>-2.9481692819781302E-2</v>
      </c>
      <c r="N22" s="70">
        <f t="shared" si="25"/>
        <v>4.8630783758262464E-2</v>
      </c>
      <c r="O22" s="70">
        <f t="shared" si="25"/>
        <v>0.12279866730128508</v>
      </c>
      <c r="P22" s="70">
        <f t="shared" si="25"/>
        <v>0.12198581560283683</v>
      </c>
      <c r="Q22" s="70">
        <f t="shared" si="25"/>
        <v>0.10583047525722677</v>
      </c>
      <c r="R22" s="70">
        <f t="shared" si="25"/>
        <v>8.5096803241782926E-2</v>
      </c>
      <c r="S22" s="70">
        <f t="shared" si="25"/>
        <v>8.6901229334463759E-2</v>
      </c>
      <c r="T22" s="70">
        <f t="shared" si="25"/>
        <v>0.17114001264222511</v>
      </c>
      <c r="U22" s="70">
        <f t="shared" si="25"/>
        <v>0.26269594594594592</v>
      </c>
      <c r="V22" s="70">
        <f t="shared" si="25"/>
        <v>0.18509806535269702</v>
      </c>
      <c r="W22" s="70">
        <f t="shared" ref="T22:Y25" si="28">W4/S4-1</f>
        <v>0.13161489859594377</v>
      </c>
      <c r="X22" s="70">
        <f t="shared" si="28"/>
        <v>7.0034915788397045E-2</v>
      </c>
      <c r="Y22" s="70">
        <f t="shared" si="28"/>
        <v>-3.1711041395330763E-2</v>
      </c>
      <c r="AB22" s="89"/>
      <c r="AC22" s="90">
        <f t="shared" si="27"/>
        <v>0.24009360374414968</v>
      </c>
      <c r="AD22" s="90">
        <f t="shared" si="27"/>
        <v>5.359164674801864E-2</v>
      </c>
      <c r="AE22" s="90">
        <f t="shared" si="27"/>
        <v>9.9701492537313419E-2</v>
      </c>
      <c r="AF22" s="90">
        <f t="shared" si="27"/>
        <v>0.15125081433224752</v>
      </c>
      <c r="AG22" s="90">
        <f t="shared" si="27"/>
        <v>8.373167196704312E-2</v>
      </c>
    </row>
    <row r="23" spans="1:33" x14ac:dyDescent="0.3">
      <c r="A23" s="58" t="s">
        <v>161</v>
      </c>
      <c r="B23" s="87"/>
      <c r="C23" s="87"/>
      <c r="D23" s="87"/>
      <c r="E23" s="87"/>
      <c r="F23" s="70">
        <f>F5/B5-1</f>
        <v>0.21771217712177116</v>
      </c>
      <c r="G23" s="70">
        <f t="shared" si="25"/>
        <v>0.28646864686468643</v>
      </c>
      <c r="H23" s="70">
        <f t="shared" si="25"/>
        <v>0.17890995260663511</v>
      </c>
      <c r="I23" s="70">
        <f t="shared" si="25"/>
        <v>2.4571428571428466E-2</v>
      </c>
      <c r="J23" s="70">
        <f t="shared" si="25"/>
        <v>6.2121212121212022E-2</v>
      </c>
      <c r="K23" s="70">
        <f t="shared" si="25"/>
        <v>4.1046690610569536E-2</v>
      </c>
      <c r="L23" s="70">
        <f t="shared" si="25"/>
        <v>2.0100502512563345E-3</v>
      </c>
      <c r="M23" s="70">
        <f t="shared" si="25"/>
        <v>6.6926938092582322E-2</v>
      </c>
      <c r="N23" s="70">
        <f t="shared" si="25"/>
        <v>3.7089871611982961E-2</v>
      </c>
      <c r="O23" s="70">
        <f t="shared" si="25"/>
        <v>3.5485460818136971E-2</v>
      </c>
      <c r="P23" s="70">
        <f t="shared" si="25"/>
        <v>7.4724172517552701E-2</v>
      </c>
      <c r="Q23" s="70">
        <f t="shared" si="25"/>
        <v>7.9979090433873523E-2</v>
      </c>
      <c r="R23" s="70">
        <f t="shared" si="25"/>
        <v>7.6570380559376483E-2</v>
      </c>
      <c r="S23" s="70">
        <f t="shared" si="25"/>
        <v>4.6644455021418452E-2</v>
      </c>
      <c r="T23" s="70">
        <f t="shared" si="28"/>
        <v>5.0000000000000044E-2</v>
      </c>
      <c r="U23" s="70">
        <f t="shared" si="28"/>
        <v>0.12999999999999967</v>
      </c>
      <c r="V23" s="70">
        <f t="shared" si="28"/>
        <v>5.0000000000000044E-2</v>
      </c>
      <c r="W23" s="70">
        <f t="shared" si="28"/>
        <v>5.0000000000000044E-2</v>
      </c>
      <c r="X23" s="70">
        <f t="shared" si="28"/>
        <v>5.0000000000000044E-2</v>
      </c>
      <c r="Y23" s="70">
        <f t="shared" si="28"/>
        <v>-2.5000000000000022E-2</v>
      </c>
      <c r="AB23" s="89"/>
      <c r="AC23" s="90">
        <f t="shared" si="27"/>
        <v>0.17221462228302165</v>
      </c>
      <c r="AD23" s="90">
        <f t="shared" si="27"/>
        <v>4.2401452282157637E-2</v>
      </c>
      <c r="AE23" s="90">
        <f t="shared" si="27"/>
        <v>5.6225898743624825E-2</v>
      </c>
      <c r="AF23" s="90">
        <f t="shared" si="27"/>
        <v>7.5459898716287777E-2</v>
      </c>
      <c r="AG23" s="90">
        <f t="shared" si="27"/>
        <v>3.0825812852548262E-2</v>
      </c>
    </row>
    <row r="24" spans="1:33" x14ac:dyDescent="0.3">
      <c r="A24" s="58" t="s">
        <v>162</v>
      </c>
      <c r="B24" s="87"/>
      <c r="C24" s="87"/>
      <c r="D24" s="87"/>
      <c r="E24" s="87"/>
      <c r="F24" s="70">
        <f>F6/B6-1</f>
        <v>-3.9688164422395422E-2</v>
      </c>
      <c r="G24" s="70">
        <f t="shared" si="25"/>
        <v>-0.13372664700098325</v>
      </c>
      <c r="H24" s="70">
        <f t="shared" si="25"/>
        <v>-1.5594541910331383E-2</v>
      </c>
      <c r="I24" s="70">
        <f t="shared" si="25"/>
        <v>-3.7229437229437279E-2</v>
      </c>
      <c r="J24" s="70">
        <f t="shared" si="25"/>
        <v>-1.0332103321033181E-2</v>
      </c>
      <c r="K24" s="70">
        <f t="shared" si="25"/>
        <v>9.0805902383654935E-3</v>
      </c>
      <c r="L24" s="70">
        <f t="shared" si="25"/>
        <v>-5.5445544554455495E-2</v>
      </c>
      <c r="M24" s="70">
        <f t="shared" si="25"/>
        <v>9.8920863309353013E-3</v>
      </c>
      <c r="N24" s="70">
        <f t="shared" si="25"/>
        <v>-1.7151379567486913E-2</v>
      </c>
      <c r="O24" s="70">
        <f t="shared" si="25"/>
        <v>5.399325084364448E-2</v>
      </c>
      <c r="P24" s="70">
        <f t="shared" si="25"/>
        <v>2.6205450733752578E-2</v>
      </c>
      <c r="Q24" s="70">
        <f t="shared" si="25"/>
        <v>2.6714158504007157E-2</v>
      </c>
      <c r="R24" s="70">
        <f t="shared" si="25"/>
        <v>1.4415781487101764E-2</v>
      </c>
      <c r="S24" s="70">
        <f t="shared" si="25"/>
        <v>2.6680896478121774E-2</v>
      </c>
      <c r="T24" s="70">
        <f t="shared" si="28"/>
        <v>5.0000000000000044E-2</v>
      </c>
      <c r="U24" s="70">
        <f t="shared" si="28"/>
        <v>0.12999999999999989</v>
      </c>
      <c r="V24" s="70">
        <f t="shared" si="28"/>
        <v>5.0000000000000044E-2</v>
      </c>
      <c r="W24" s="70">
        <f t="shared" si="28"/>
        <v>5.0000000000000044E-2</v>
      </c>
      <c r="X24" s="70">
        <f t="shared" si="28"/>
        <v>5.0000000000000044E-2</v>
      </c>
      <c r="Y24" s="70">
        <f t="shared" si="28"/>
        <v>-2.5000000000000133E-2</v>
      </c>
      <c r="AB24" s="89"/>
      <c r="AC24" s="90">
        <f t="shared" si="27"/>
        <v>-5.4458667823822915E-2</v>
      </c>
      <c r="AD24" s="90">
        <f t="shared" si="27"/>
        <v>-1.170261587884347E-2</v>
      </c>
      <c r="AE24" s="90">
        <f t="shared" si="27"/>
        <v>1.8574413745066076E-2</v>
      </c>
      <c r="AF24" s="90">
        <f t="shared" si="27"/>
        <v>5.5354456348301939E-2</v>
      </c>
      <c r="AG24" s="90">
        <f t="shared" si="27"/>
        <v>2.8894141050230804E-2</v>
      </c>
    </row>
    <row r="25" spans="1:33" x14ac:dyDescent="0.3">
      <c r="A25" s="58" t="s">
        <v>163</v>
      </c>
      <c r="B25" s="87"/>
      <c r="C25" s="87"/>
      <c r="D25" s="87"/>
      <c r="E25" s="87"/>
      <c r="F25" s="70">
        <f>F7/B7-1</f>
        <v>0.31473214285714279</v>
      </c>
      <c r="G25" s="70">
        <f t="shared" si="25"/>
        <v>-0.11657559198542811</v>
      </c>
      <c r="H25" s="70">
        <f t="shared" si="25"/>
        <v>0.21739130434782616</v>
      </c>
      <c r="I25" s="70">
        <f t="shared" si="25"/>
        <v>0.11603375527426163</v>
      </c>
      <c r="J25" s="70">
        <f t="shared" si="25"/>
        <v>-1.6977928692699651E-3</v>
      </c>
      <c r="K25" s="70">
        <f t="shared" si="25"/>
        <v>0.17113402061855676</v>
      </c>
      <c r="L25" s="70">
        <f t="shared" si="25"/>
        <v>7.7380952380952328E-2</v>
      </c>
      <c r="M25" s="70">
        <f t="shared" si="25"/>
        <v>5.8601134215500839E-2</v>
      </c>
      <c r="N25" s="70">
        <f t="shared" si="25"/>
        <v>3.4013605442176909E-2</v>
      </c>
      <c r="O25" s="70">
        <f t="shared" si="25"/>
        <v>8.8028169014084945E-3</v>
      </c>
      <c r="P25" s="70">
        <f t="shared" si="25"/>
        <v>9.5764272559852648E-2</v>
      </c>
      <c r="Q25" s="70">
        <f t="shared" si="25"/>
        <v>4.4642857142857206E-2</v>
      </c>
      <c r="R25" s="70">
        <f t="shared" si="25"/>
        <v>3.2894736842106198E-3</v>
      </c>
      <c r="S25" s="70">
        <f t="shared" si="25"/>
        <v>0.16928446771378702</v>
      </c>
      <c r="T25" s="70">
        <f t="shared" si="28"/>
        <v>0.14564340613347548</v>
      </c>
      <c r="U25" s="70">
        <f t="shared" si="28"/>
        <v>0.13220524983138171</v>
      </c>
      <c r="V25" s="70">
        <f t="shared" si="28"/>
        <v>0.23123316650054093</v>
      </c>
      <c r="W25" s="70">
        <f t="shared" si="28"/>
        <v>5.0000000000000266E-2</v>
      </c>
      <c r="X25" s="70">
        <f t="shared" si="28"/>
        <v>5.0000000000000044E-2</v>
      </c>
      <c r="Y25" s="70">
        <f t="shared" si="28"/>
        <v>-2.5000000000000133E-2</v>
      </c>
      <c r="AB25" s="89"/>
      <c r="AC25" s="90">
        <f t="shared" si="27"/>
        <v>0.11777188328912458</v>
      </c>
      <c r="AD25" s="90">
        <f t="shared" si="27"/>
        <v>7.2140484100617019E-2</v>
      </c>
      <c r="AE25" s="90">
        <f t="shared" si="27"/>
        <v>4.5152722443559057E-2</v>
      </c>
      <c r="AF25" s="90">
        <f t="shared" si="27"/>
        <v>0.11139258695500898</v>
      </c>
      <c r="AG25" s="90">
        <f t="shared" si="27"/>
        <v>7.3199990472553544E-2</v>
      </c>
    </row>
    <row r="26" spans="1:33" x14ac:dyDescent="0.3">
      <c r="A26" s="91" t="s">
        <v>165</v>
      </c>
      <c r="B26" s="92"/>
      <c r="C26" s="92"/>
      <c r="D26" s="92"/>
      <c r="E26" s="92"/>
      <c r="F26" s="93">
        <f>(-F9)/(-B9)-1</f>
        <v>0.19936250362213848</v>
      </c>
      <c r="G26" s="93">
        <f t="shared" ref="G26:Y28" si="29">(-G9)/(-C9)-1</f>
        <v>0.17819225251076043</v>
      </c>
      <c r="H26" s="93">
        <f t="shared" si="29"/>
        <v>0.14749262536873164</v>
      </c>
      <c r="I26" s="93">
        <f t="shared" si="29"/>
        <v>7.820182627019423E-2</v>
      </c>
      <c r="J26" s="93">
        <f t="shared" si="29"/>
        <v>8.2387050012080243E-2</v>
      </c>
      <c r="K26" s="93">
        <f t="shared" si="29"/>
        <v>9.8149050170482255E-2</v>
      </c>
      <c r="L26" s="93">
        <f t="shared" si="29"/>
        <v>6.8707641972423517E-2</v>
      </c>
      <c r="M26" s="93">
        <f t="shared" si="29"/>
        <v>4.1042345276872894E-2</v>
      </c>
      <c r="N26" s="93">
        <f t="shared" si="29"/>
        <v>4.419642857142847E-2</v>
      </c>
      <c r="O26" s="93">
        <f t="shared" si="29"/>
        <v>3.5484586382789951E-2</v>
      </c>
      <c r="P26" s="93">
        <f t="shared" si="29"/>
        <v>5.1388585173846479E-2</v>
      </c>
      <c r="Q26" s="93">
        <f t="shared" si="29"/>
        <v>5.7363370880266995E-2</v>
      </c>
      <c r="R26" s="93">
        <f t="shared" si="29"/>
        <v>6.3702436938862794E-2</v>
      </c>
      <c r="S26" s="93">
        <f t="shared" si="29"/>
        <v>6.42535874919683E-2</v>
      </c>
      <c r="T26" s="93">
        <f t="shared" si="29"/>
        <v>8.7901505244267986E-2</v>
      </c>
      <c r="U26" s="93">
        <f t="shared" si="29"/>
        <v>0.16431266497277641</v>
      </c>
      <c r="V26" s="93">
        <f t="shared" si="29"/>
        <v>7.1597273076033918E-2</v>
      </c>
      <c r="W26" s="93">
        <f t="shared" si="29"/>
        <v>5.158949211851116E-2</v>
      </c>
      <c r="X26" s="93">
        <f t="shared" si="29"/>
        <v>3.5683893763737595E-2</v>
      </c>
      <c r="Y26" s="93">
        <f t="shared" si="29"/>
        <v>-4.3702523659270964E-2</v>
      </c>
      <c r="AB26" s="89"/>
      <c r="AC26" s="93">
        <f t="shared" ref="AC26:AG28" si="30">(-AC9)/(-AB9)-1</f>
        <v>0.14682645956079265</v>
      </c>
      <c r="AD26" s="94">
        <f t="shared" si="30"/>
        <v>7.163290326347127E-2</v>
      </c>
      <c r="AE26" s="94">
        <f t="shared" si="30"/>
        <v>4.7286990629766823E-2</v>
      </c>
      <c r="AF26" s="94">
        <f t="shared" si="30"/>
        <v>9.6417568454090885E-2</v>
      </c>
      <c r="AG26" s="94">
        <f t="shared" si="30"/>
        <v>2.5683155475441977E-2</v>
      </c>
    </row>
    <row r="27" spans="1:33" x14ac:dyDescent="0.3">
      <c r="A27" s="58" t="s">
        <v>166</v>
      </c>
      <c r="B27" s="87"/>
      <c r="C27" s="87"/>
      <c r="D27" s="87"/>
      <c r="E27" s="87"/>
      <c r="F27" s="70">
        <f t="shared" ref="F27:U28" si="31">(-F10)/(-B10)-1</f>
        <v>0.2198100407055632</v>
      </c>
      <c r="G27" s="70">
        <f t="shared" si="31"/>
        <v>5.4388133498145752E-2</v>
      </c>
      <c r="H27" s="70">
        <f t="shared" si="31"/>
        <v>5.2631578947368363E-2</v>
      </c>
      <c r="I27" s="70">
        <f t="shared" si="31"/>
        <v>2.0958083832335328E-2</v>
      </c>
      <c r="J27" s="70">
        <f t="shared" si="31"/>
        <v>2.8921023359288034E-2</v>
      </c>
      <c r="K27" s="70">
        <f t="shared" si="31"/>
        <v>0.12895662368112548</v>
      </c>
      <c r="L27" s="70">
        <f t="shared" si="31"/>
        <v>4.6666666666666634E-2</v>
      </c>
      <c r="M27" s="70">
        <f t="shared" si="31"/>
        <v>8.8954056695992101E-2</v>
      </c>
      <c r="N27" s="70">
        <f t="shared" si="31"/>
        <v>2.4864864864864833E-2</v>
      </c>
      <c r="O27" s="70">
        <f t="shared" si="31"/>
        <v>6.3343717549324996E-2</v>
      </c>
      <c r="P27" s="70">
        <f t="shared" si="31"/>
        <v>0.1157112526539279</v>
      </c>
      <c r="Q27" s="70">
        <f t="shared" si="31"/>
        <v>-2.0646319569120331E-2</v>
      </c>
      <c r="R27" s="70">
        <f t="shared" si="31"/>
        <v>1.4767932489451407E-2</v>
      </c>
      <c r="S27" s="70">
        <f t="shared" si="31"/>
        <v>8.88671875E-2</v>
      </c>
      <c r="T27" s="70">
        <f t="shared" si="31"/>
        <v>4.0876419246887341E-2</v>
      </c>
      <c r="U27" s="70">
        <f t="shared" si="31"/>
        <v>-2.2788431656946107E-2</v>
      </c>
      <c r="V27" s="70">
        <f t="shared" si="29"/>
        <v>0.15046108562006122</v>
      </c>
      <c r="W27" s="70">
        <f t="shared" si="29"/>
        <v>0.11766573496713262</v>
      </c>
      <c r="X27" s="70">
        <f t="shared" si="29"/>
        <v>0.10332465584832895</v>
      </c>
      <c r="Y27" s="70">
        <f t="shared" si="29"/>
        <v>1.9705806361144829E-2</v>
      </c>
      <c r="AB27" s="89"/>
      <c r="AC27" s="90">
        <f t="shared" si="30"/>
        <v>7.9929473993535005E-2</v>
      </c>
      <c r="AD27" s="90">
        <f t="shared" si="30"/>
        <v>7.3197278911564689E-2</v>
      </c>
      <c r="AE27" s="90">
        <f t="shared" si="30"/>
        <v>4.31034482758621E-2</v>
      </c>
      <c r="AF27" s="90">
        <f t="shared" si="30"/>
        <v>2.9921958602515897E-2</v>
      </c>
      <c r="AG27" s="90">
        <f t="shared" si="30"/>
        <v>9.6760336784000867E-2</v>
      </c>
    </row>
    <row r="28" spans="1:33" x14ac:dyDescent="0.3">
      <c r="A28" s="58" t="s">
        <v>76</v>
      </c>
      <c r="B28" s="87"/>
      <c r="C28" s="87"/>
      <c r="D28" s="87"/>
      <c r="E28" s="87"/>
      <c r="F28" s="70">
        <f t="shared" si="31"/>
        <v>8.4317032040472251E-2</v>
      </c>
      <c r="G28" s="70">
        <f t="shared" si="31"/>
        <v>8.8628762541806072E-2</v>
      </c>
      <c r="H28" s="70">
        <f t="shared" si="31"/>
        <v>0.16077170418006426</v>
      </c>
      <c r="I28" s="70">
        <f t="shared" si="31"/>
        <v>0.21159874608150475</v>
      </c>
      <c r="J28" s="70">
        <f t="shared" si="31"/>
        <v>-3.2659409020217689E-2</v>
      </c>
      <c r="K28" s="70">
        <f t="shared" si="31"/>
        <v>-2.457757296466978E-2</v>
      </c>
      <c r="L28" s="70">
        <f t="shared" si="31"/>
        <v>-0.10110803324099726</v>
      </c>
      <c r="M28" s="70">
        <f t="shared" si="31"/>
        <v>-0.12936610608020693</v>
      </c>
      <c r="N28" s="70">
        <f t="shared" si="31"/>
        <v>9.1639871382636739E-2</v>
      </c>
      <c r="O28" s="70">
        <f t="shared" si="31"/>
        <v>0.11023622047244097</v>
      </c>
      <c r="P28" s="70">
        <f t="shared" si="31"/>
        <v>9.5531587057010814E-2</v>
      </c>
      <c r="Q28" s="70">
        <f t="shared" si="31"/>
        <v>8.172362555720647E-2</v>
      </c>
      <c r="R28" s="70">
        <f t="shared" si="31"/>
        <v>0.11782032400589104</v>
      </c>
      <c r="S28" s="70">
        <f t="shared" si="31"/>
        <v>0.11773049645390077</v>
      </c>
      <c r="T28" s="70">
        <f t="shared" si="31"/>
        <v>8.3811912287037327E-2</v>
      </c>
      <c r="U28" s="70">
        <f t="shared" si="31"/>
        <v>9.2951572510694414E-2</v>
      </c>
      <c r="V28" s="70">
        <f t="shared" si="29"/>
        <v>0.1599575064565717</v>
      </c>
      <c r="W28" s="70">
        <f t="shared" si="29"/>
        <v>7.072901886556382E-2</v>
      </c>
      <c r="X28" s="70">
        <f t="shared" si="29"/>
        <v>0.15719062254833771</v>
      </c>
      <c r="Y28" s="70">
        <f t="shared" si="29"/>
        <v>9.7952907488596086E-2</v>
      </c>
      <c r="AB28" s="89"/>
      <c r="AC28" s="90">
        <f t="shared" si="30"/>
        <v>0.13790289677682588</v>
      </c>
      <c r="AD28" s="90">
        <f t="shared" si="30"/>
        <v>-7.5295804948010026E-2</v>
      </c>
      <c r="AE28" s="90">
        <f t="shared" si="30"/>
        <v>9.4610314075223023E-2</v>
      </c>
      <c r="AF28" s="90">
        <f t="shared" si="30"/>
        <v>0.10281934623587285</v>
      </c>
      <c r="AG28" s="90">
        <f t="shared" si="30"/>
        <v>0.12084116473674622</v>
      </c>
    </row>
    <row r="29" spans="1:33" x14ac:dyDescent="0.3">
      <c r="B29" s="87"/>
      <c r="C29" s="87"/>
      <c r="D29" s="87"/>
      <c r="E29" s="87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AB29" s="65"/>
    </row>
    <row r="30" spans="1:33" x14ac:dyDescent="0.3">
      <c r="A30" s="78" t="s">
        <v>174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AB30" s="65"/>
    </row>
    <row r="31" spans="1:33" x14ac:dyDescent="0.3">
      <c r="A31" s="69" t="s">
        <v>160</v>
      </c>
      <c r="B31" s="70">
        <f t="shared" ref="B31:K31" si="32">B4/B3</f>
        <v>0.67146840148698883</v>
      </c>
      <c r="C31" s="70">
        <f t="shared" si="32"/>
        <v>0.73542828180435882</v>
      </c>
      <c r="D31" s="70">
        <f t="shared" si="32"/>
        <v>0.78070934256055369</v>
      </c>
      <c r="E31" s="70">
        <f t="shared" si="32"/>
        <v>0.78937644341801383</v>
      </c>
      <c r="F31" s="70">
        <f t="shared" si="32"/>
        <v>0.74971601666035592</v>
      </c>
      <c r="G31" s="70">
        <f t="shared" si="32"/>
        <v>0.78377265238879734</v>
      </c>
      <c r="H31" s="70">
        <f t="shared" si="32"/>
        <v>0.71878432808495052</v>
      </c>
      <c r="I31" s="70">
        <f t="shared" si="32"/>
        <v>0.80175371711780408</v>
      </c>
      <c r="J31" s="70">
        <f t="shared" si="32"/>
        <v>0.71026156941649898</v>
      </c>
      <c r="K31" s="70">
        <f t="shared" si="32"/>
        <v>0.7487526728439059</v>
      </c>
      <c r="L31" s="70">
        <f>L4/L3</f>
        <v>0.76079136690647486</v>
      </c>
      <c r="M31" s="70">
        <f>M4/M3</f>
        <v>0.78409527468305806</v>
      </c>
      <c r="N31" s="70">
        <f>N4/N3</f>
        <v>0.71946873987690318</v>
      </c>
      <c r="O31" s="95">
        <f>(O4-SUM(O59:O61))/O3</f>
        <v>0.76651250428228834</v>
      </c>
      <c r="P31" s="95">
        <f>(P4-SUM(P59:P61))/P3</f>
        <v>0.74779706275033386</v>
      </c>
      <c r="Q31" s="95">
        <f>(Q4-SUM(Q59:Q61))/Q3</f>
        <v>0.78127541589648797</v>
      </c>
      <c r="R31" s="95">
        <f>(R4-SUM(R59:R61))/R3</f>
        <v>0.66846864586488941</v>
      </c>
      <c r="S31" s="95">
        <f>(S4-SUM(S59:S61))/S3</f>
        <v>0.71842981888745139</v>
      </c>
      <c r="AB31" s="70">
        <f t="shared" ref="AB31:AG31" si="33">AB4/AB3</f>
        <v>0.74517554057196</v>
      </c>
      <c r="AC31" s="70">
        <f t="shared" si="33"/>
        <v>0.76264031468866933</v>
      </c>
      <c r="AD31" s="70">
        <f t="shared" si="33"/>
        <v>0.74970906812281801</v>
      </c>
      <c r="AE31" s="70">
        <f t="shared" si="33"/>
        <v>0.78670880669684806</v>
      </c>
      <c r="AF31" s="70">
        <f t="shared" si="33"/>
        <v>0.84181351202219856</v>
      </c>
      <c r="AG31" s="70">
        <f t="shared" si="33"/>
        <v>0.88418373363519587</v>
      </c>
    </row>
    <row r="32" spans="1:33" x14ac:dyDescent="0.3">
      <c r="A32" s="69" t="s">
        <v>161</v>
      </c>
      <c r="B32" s="70">
        <f t="shared" ref="B32:S32" si="34">B5/B3</f>
        <v>0.75557620817843862</v>
      </c>
      <c r="C32" s="70">
        <f t="shared" si="34"/>
        <v>0.76786619361378616</v>
      </c>
      <c r="D32" s="70">
        <f t="shared" si="34"/>
        <v>0.73010380622837368</v>
      </c>
      <c r="E32" s="70">
        <f t="shared" si="34"/>
        <v>0.80831408775981528</v>
      </c>
      <c r="F32" s="70">
        <f t="shared" si="34"/>
        <v>0.74971601666035592</v>
      </c>
      <c r="G32" s="70">
        <f t="shared" si="34"/>
        <v>0.80271828665568368</v>
      </c>
      <c r="H32" s="70">
        <f t="shared" si="34"/>
        <v>0.72867081655071397</v>
      </c>
      <c r="I32" s="70">
        <f t="shared" si="34"/>
        <v>0.68356843309187953</v>
      </c>
      <c r="J32" s="70">
        <f t="shared" si="34"/>
        <v>0.70523138832997989</v>
      </c>
      <c r="K32" s="70">
        <f t="shared" si="34"/>
        <v>0.72309337134711338</v>
      </c>
      <c r="L32" s="70">
        <f t="shared" si="34"/>
        <v>0.71726618705035972</v>
      </c>
      <c r="M32" s="70">
        <f t="shared" si="34"/>
        <v>0.73492124471763354</v>
      </c>
      <c r="N32" s="70">
        <f t="shared" si="34"/>
        <v>0.70651117589893098</v>
      </c>
      <c r="O32" s="70">
        <f t="shared" si="34"/>
        <v>0.71976704350805065</v>
      </c>
      <c r="P32" s="70">
        <f t="shared" si="34"/>
        <v>0.71528704939919896</v>
      </c>
      <c r="Q32" s="70">
        <f t="shared" si="34"/>
        <v>0.76377079482439925</v>
      </c>
      <c r="R32" s="70">
        <f t="shared" si="34"/>
        <v>0.71129960617994548</v>
      </c>
      <c r="S32" s="70">
        <f t="shared" si="34"/>
        <v>0.71119016817593794</v>
      </c>
      <c r="T32" s="88">
        <f t="shared" ref="T32:Y33" si="35">+P32</f>
        <v>0.71528704939919896</v>
      </c>
      <c r="U32" s="88">
        <f t="shared" si="35"/>
        <v>0.76377079482439925</v>
      </c>
      <c r="V32" s="88">
        <f t="shared" si="35"/>
        <v>0.71129960617994548</v>
      </c>
      <c r="W32" s="88">
        <f t="shared" si="35"/>
        <v>0.71119016817593794</v>
      </c>
      <c r="X32" s="88">
        <f t="shared" si="35"/>
        <v>0.71528704939919896</v>
      </c>
      <c r="Y32" s="88">
        <f t="shared" si="35"/>
        <v>0.76377079482439925</v>
      </c>
      <c r="AB32" s="70">
        <f t="shared" ref="AB32:AG32" si="36">AB5/AB3</f>
        <v>0.7648221343873518</v>
      </c>
      <c r="AC32" s="70">
        <f t="shared" si="36"/>
        <v>0.73990213949918449</v>
      </c>
      <c r="AD32" s="70">
        <f t="shared" si="36"/>
        <v>0.7196311878972339</v>
      </c>
      <c r="AE32" s="70">
        <f t="shared" si="36"/>
        <v>0.72529256000683351</v>
      </c>
      <c r="AF32" s="70">
        <f t="shared" si="36"/>
        <v>0.72500228257029331</v>
      </c>
      <c r="AG32" s="70">
        <f t="shared" si="36"/>
        <v>0.72431840669114922</v>
      </c>
    </row>
    <row r="33" spans="1:33" x14ac:dyDescent="0.3">
      <c r="A33" s="69" t="s">
        <v>162</v>
      </c>
      <c r="B33" s="70">
        <f t="shared" ref="B33:S33" si="37">B6/B3</f>
        <v>0.6556691449814126</v>
      </c>
      <c r="C33" s="70">
        <f t="shared" si="37"/>
        <v>0.51545869234668018</v>
      </c>
      <c r="D33" s="70">
        <f t="shared" si="37"/>
        <v>0.44377162629757788</v>
      </c>
      <c r="E33" s="70">
        <f t="shared" si="37"/>
        <v>0.53348729792147809</v>
      </c>
      <c r="F33" s="70">
        <f t="shared" si="37"/>
        <v>0.51306323362362738</v>
      </c>
      <c r="G33" s="70">
        <f t="shared" si="37"/>
        <v>0.36285008237232291</v>
      </c>
      <c r="H33" s="70">
        <f t="shared" si="37"/>
        <v>0.36982790186744779</v>
      </c>
      <c r="I33" s="70">
        <f t="shared" si="37"/>
        <v>0.42394205108654215</v>
      </c>
      <c r="J33" s="70">
        <f t="shared" si="37"/>
        <v>0.44969818913480886</v>
      </c>
      <c r="K33" s="70">
        <f t="shared" si="37"/>
        <v>0.31682109764789734</v>
      </c>
      <c r="L33" s="70">
        <f t="shared" si="37"/>
        <v>0.34316546762589928</v>
      </c>
      <c r="M33" s="70">
        <f t="shared" si="37"/>
        <v>0.43142527852477908</v>
      </c>
      <c r="N33" s="70">
        <f t="shared" si="37"/>
        <v>0.42695173307418205</v>
      </c>
      <c r="O33" s="70">
        <f t="shared" si="37"/>
        <v>0.32100034258307641</v>
      </c>
      <c r="P33" s="70">
        <f t="shared" si="37"/>
        <v>0.32676902536715619</v>
      </c>
      <c r="Q33" s="70">
        <f t="shared" si="37"/>
        <v>0.42624768946395564</v>
      </c>
      <c r="R33" s="70">
        <f t="shared" si="37"/>
        <v>0.40502877915783098</v>
      </c>
      <c r="S33" s="70">
        <f t="shared" si="37"/>
        <v>0.31112548512289778</v>
      </c>
      <c r="T33" s="88">
        <f t="shared" si="35"/>
        <v>0.32676902536715619</v>
      </c>
      <c r="U33" s="88">
        <f t="shared" si="35"/>
        <v>0.42624768946395564</v>
      </c>
      <c r="V33" s="88">
        <f t="shared" si="35"/>
        <v>0.40502877915783098</v>
      </c>
      <c r="W33" s="88">
        <f t="shared" si="35"/>
        <v>0.31112548512289778</v>
      </c>
      <c r="X33" s="88">
        <f t="shared" si="35"/>
        <v>0.32676902536715619</v>
      </c>
      <c r="Y33" s="88">
        <f t="shared" si="35"/>
        <v>0.42624768946395564</v>
      </c>
      <c r="AB33" s="70">
        <f t="shared" ref="AB33:AG33" si="38">AB6/AB3</f>
        <v>0.53580562659846542</v>
      </c>
      <c r="AC33" s="70">
        <f t="shared" si="38"/>
        <v>0.41811378681761491</v>
      </c>
      <c r="AD33" s="70">
        <f t="shared" si="38"/>
        <v>0.38555187539163904</v>
      </c>
      <c r="AE33" s="70">
        <f t="shared" si="38"/>
        <v>0.37473306568719572</v>
      </c>
      <c r="AF33" s="70">
        <f t="shared" si="38"/>
        <v>0.36758035639854081</v>
      </c>
      <c r="AG33" s="70">
        <f t="shared" si="38"/>
        <v>0.3665454656677804</v>
      </c>
    </row>
    <row r="34" spans="1:33" x14ac:dyDescent="0.3">
      <c r="A34" s="69" t="s">
        <v>163</v>
      </c>
      <c r="B34" s="70">
        <f t="shared" ref="B34:S34" si="39">B7/B3</f>
        <v>0.20817843866171004</v>
      </c>
      <c r="C34" s="70">
        <f t="shared" si="39"/>
        <v>0.27825646224024331</v>
      </c>
      <c r="D34" s="70">
        <f t="shared" si="39"/>
        <v>0.17906574394463667</v>
      </c>
      <c r="E34" s="70">
        <f t="shared" si="39"/>
        <v>0.21893764434180138</v>
      </c>
      <c r="F34" s="70">
        <f t="shared" si="39"/>
        <v>0.22302158273381295</v>
      </c>
      <c r="G34" s="70">
        <f t="shared" si="39"/>
        <v>0.19975288303130148</v>
      </c>
      <c r="H34" s="70">
        <f t="shared" si="39"/>
        <v>0.18454778469425118</v>
      </c>
      <c r="I34" s="70">
        <f t="shared" si="39"/>
        <v>0.20167746854746474</v>
      </c>
      <c r="J34" s="70">
        <f t="shared" si="39"/>
        <v>0.19718309859154928</v>
      </c>
      <c r="K34" s="70">
        <f t="shared" si="39"/>
        <v>0.20242337847469707</v>
      </c>
      <c r="L34" s="70">
        <f t="shared" si="39"/>
        <v>0.19532374100719424</v>
      </c>
      <c r="M34" s="70">
        <f t="shared" si="39"/>
        <v>0.21513638109873223</v>
      </c>
      <c r="N34" s="70">
        <f t="shared" si="39"/>
        <v>0.19695497246517654</v>
      </c>
      <c r="O34" s="70">
        <f t="shared" si="39"/>
        <v>0.19630010277492291</v>
      </c>
      <c r="P34" s="70">
        <f t="shared" si="39"/>
        <v>0.19859813084112149</v>
      </c>
      <c r="Q34" s="70">
        <f t="shared" si="39"/>
        <v>0.21626617375231053</v>
      </c>
      <c r="R34" s="70">
        <f t="shared" si="39"/>
        <v>0.18479248712511359</v>
      </c>
      <c r="S34" s="70">
        <f t="shared" si="39"/>
        <v>0.2166882276843467</v>
      </c>
      <c r="T34" s="88">
        <f>S34</f>
        <v>0.2166882276843467</v>
      </c>
      <c r="U34" s="88">
        <f t="shared" ref="U34:Y34" si="40">T34</f>
        <v>0.2166882276843467</v>
      </c>
      <c r="V34" s="88">
        <f t="shared" si="40"/>
        <v>0.2166882276843467</v>
      </c>
      <c r="W34" s="88">
        <f t="shared" si="40"/>
        <v>0.2166882276843467</v>
      </c>
      <c r="X34" s="88">
        <f t="shared" si="40"/>
        <v>0.2166882276843467</v>
      </c>
      <c r="Y34" s="88">
        <f t="shared" si="40"/>
        <v>0.2166882276843467</v>
      </c>
      <c r="AB34" s="70">
        <f t="shared" ref="AB34:AG34" si="41">AB7/AB3</f>
        <v>0.21913508486398511</v>
      </c>
      <c r="AC34" s="70">
        <f t="shared" si="41"/>
        <v>0.20214909335124245</v>
      </c>
      <c r="AD34" s="70">
        <f t="shared" si="41"/>
        <v>0.20222003401665026</v>
      </c>
      <c r="AE34" s="70">
        <f t="shared" si="41"/>
        <v>0.20167421200990859</v>
      </c>
      <c r="AF34" s="70">
        <f t="shared" si="41"/>
        <v>0.20832903134074418</v>
      </c>
      <c r="AG34" s="70">
        <f t="shared" si="41"/>
        <v>0.2166882276843467</v>
      </c>
    </row>
    <row r="35" spans="1:33" x14ac:dyDescent="0.3"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97"/>
      <c r="S35" s="97"/>
      <c r="T35" s="97"/>
      <c r="U35" s="97"/>
      <c r="V35" s="97"/>
      <c r="W35" s="97"/>
      <c r="X35" s="97"/>
      <c r="Y35" s="97"/>
      <c r="AB35" s="98"/>
      <c r="AG35" s="97"/>
    </row>
    <row r="36" spans="1:33" x14ac:dyDescent="0.3">
      <c r="A36" s="66" t="s">
        <v>175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97"/>
      <c r="S36" s="97"/>
      <c r="T36" s="97"/>
      <c r="U36" s="97"/>
      <c r="V36" s="97"/>
      <c r="W36" s="97"/>
      <c r="X36" s="97"/>
      <c r="Y36" s="97"/>
      <c r="AB36" s="98"/>
      <c r="AG36" s="97"/>
    </row>
    <row r="37" spans="1:33" x14ac:dyDescent="0.3">
      <c r="A37" s="78" t="s">
        <v>176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97"/>
      <c r="S37" s="97"/>
      <c r="T37" s="97"/>
      <c r="U37" s="97"/>
      <c r="V37" s="97"/>
      <c r="W37" s="97"/>
      <c r="X37" s="97"/>
      <c r="Y37" s="97"/>
      <c r="AB37" s="98"/>
      <c r="AG37" s="97"/>
    </row>
    <row r="38" spans="1:33" x14ac:dyDescent="0.3">
      <c r="A38" s="58" t="s">
        <v>165</v>
      </c>
      <c r="B38" s="96">
        <f t="shared" ref="B38:S38" si="42">B9/B8</f>
        <v>-0.48729172550127081</v>
      </c>
      <c r="C38" s="96">
        <f t="shared" si="42"/>
        <v>-0.53574173712528828</v>
      </c>
      <c r="D38" s="96">
        <f t="shared" si="42"/>
        <v>-0.51469979296066248</v>
      </c>
      <c r="E38" s="96">
        <f t="shared" si="42"/>
        <v>-0.58885978215910662</v>
      </c>
      <c r="F38" s="96">
        <f t="shared" si="42"/>
        <v>-0.48437682855471037</v>
      </c>
      <c r="G38" s="96">
        <f t="shared" si="42"/>
        <v>-0.53701281715929894</v>
      </c>
      <c r="H38" s="96">
        <f t="shared" si="42"/>
        <v>-0.52195657477433521</v>
      </c>
      <c r="I38" s="96">
        <f t="shared" si="42"/>
        <v>-0.56433823529411764</v>
      </c>
      <c r="J38" s="96">
        <f t="shared" si="42"/>
        <v>-0.49058256679807272</v>
      </c>
      <c r="K38" s="96">
        <f t="shared" si="42"/>
        <v>-0.53723340879304182</v>
      </c>
      <c r="L38" s="96">
        <f t="shared" si="42"/>
        <v>-0.54531361793465294</v>
      </c>
      <c r="M38" s="96">
        <f t="shared" si="42"/>
        <v>-0.58179611650485441</v>
      </c>
      <c r="N38" s="96">
        <f t="shared" si="42"/>
        <v>-0.49686670207116301</v>
      </c>
      <c r="O38" s="96">
        <f t="shared" si="42"/>
        <v>-0.52525593430082129</v>
      </c>
      <c r="P38" s="96">
        <f t="shared" si="42"/>
        <v>-0.52916574950473261</v>
      </c>
      <c r="Q38" s="96">
        <f t="shared" si="42"/>
        <v>-0.5782569016655259</v>
      </c>
      <c r="R38" s="96">
        <f t="shared" si="42"/>
        <v>-0.49730161902858283</v>
      </c>
      <c r="S38" s="96">
        <f t="shared" si="42"/>
        <v>-0.52376936860967638</v>
      </c>
      <c r="T38" s="88">
        <f>P38</f>
        <v>-0.52916574950473261</v>
      </c>
      <c r="U38" s="88">
        <f>Q38</f>
        <v>-0.5782569016655259</v>
      </c>
      <c r="V38" s="88">
        <f>R38+1%</f>
        <v>-0.48730161902858282</v>
      </c>
      <c r="W38" s="88">
        <f>S38+1%</f>
        <v>-0.51376936860967637</v>
      </c>
      <c r="X38" s="88">
        <f>T38+1%</f>
        <v>-0.5191657495047326</v>
      </c>
      <c r="Y38" s="88">
        <f>U38+1%</f>
        <v>-0.56825690166552589</v>
      </c>
      <c r="Z38" s="99"/>
      <c r="AA38" s="99"/>
      <c r="AB38" s="96">
        <f t="shared" ref="AB38:AG38" si="43">AB9/AB8</f>
        <v>-0.53181413565960478</v>
      </c>
      <c r="AC38" s="96">
        <f t="shared" si="43"/>
        <v>-0.52625272665826905</v>
      </c>
      <c r="AD38" s="96">
        <f t="shared" si="43"/>
        <v>-0.53749524172059382</v>
      </c>
      <c r="AE38" s="96">
        <f t="shared" si="43"/>
        <v>-0.53169598406903418</v>
      </c>
      <c r="AF38" s="96">
        <f t="shared" si="43"/>
        <v>-0.53247552436110812</v>
      </c>
      <c r="AG38" s="96">
        <f t="shared" si="43"/>
        <v>-0.52119135322483312</v>
      </c>
    </row>
    <row r="39" spans="1:33" x14ac:dyDescent="0.3">
      <c r="A39" s="58" t="s">
        <v>166</v>
      </c>
      <c r="B39" s="96">
        <f t="shared" ref="B39:S39" si="44">B10/B8</f>
        <v>-0.10406664783959334</v>
      </c>
      <c r="C39" s="96">
        <f t="shared" si="44"/>
        <v>-0.12436587240584165</v>
      </c>
      <c r="D39" s="96">
        <f t="shared" si="44"/>
        <v>-0.11801242236024845</v>
      </c>
      <c r="E39" s="96">
        <f t="shared" si="44"/>
        <v>-0.13814973114573281</v>
      </c>
      <c r="F39" s="96">
        <f t="shared" si="44"/>
        <v>-0.10520772381509655</v>
      </c>
      <c r="G39" s="96">
        <f t="shared" si="44"/>
        <v>-0.11156160083703898</v>
      </c>
      <c r="H39" s="96">
        <f t="shared" si="44"/>
        <v>-0.10978287387167601</v>
      </c>
      <c r="I39" s="96">
        <f t="shared" si="44"/>
        <v>-0.12536764705882353</v>
      </c>
      <c r="J39" s="96">
        <f t="shared" si="44"/>
        <v>-0.10129215943933421</v>
      </c>
      <c r="K39" s="96">
        <f t="shared" si="44"/>
        <v>-0.11473847253663767</v>
      </c>
      <c r="L39" s="96">
        <f t="shared" si="44"/>
        <v>-0.11233007393274505</v>
      </c>
      <c r="M39" s="96">
        <f t="shared" si="44"/>
        <v>-0.13519417475728154</v>
      </c>
      <c r="N39" s="96">
        <f t="shared" si="44"/>
        <v>-0.10069038767923526</v>
      </c>
      <c r="O39" s="96">
        <f t="shared" si="44"/>
        <v>-0.11519856001799977</v>
      </c>
      <c r="P39" s="96">
        <f t="shared" si="44"/>
        <v>-0.11567246313009025</v>
      </c>
      <c r="Q39" s="96">
        <f t="shared" si="44"/>
        <v>-0.1244581336983801</v>
      </c>
      <c r="R39" s="96">
        <f t="shared" si="44"/>
        <v>-9.6142314611233265E-2</v>
      </c>
      <c r="S39" s="96">
        <f t="shared" si="44"/>
        <v>-0.11752925055338885</v>
      </c>
      <c r="T39" s="88">
        <f>+P39+0.5%</f>
        <v>-0.11067246313009024</v>
      </c>
      <c r="U39" s="88">
        <f>+Q39+2%</f>
        <v>-0.1044581336983801</v>
      </c>
      <c r="V39" s="88">
        <f>+R39-0.5%</f>
        <v>-0.10114231461123327</v>
      </c>
      <c r="W39" s="88">
        <f>+S39-0.5%</f>
        <v>-0.12252925055338885</v>
      </c>
      <c r="X39" s="88">
        <f>+T39-0.5%</f>
        <v>-0.11567246313009025</v>
      </c>
      <c r="Y39" s="88">
        <f>+U39-0.5%</f>
        <v>-0.1094581336983801</v>
      </c>
      <c r="AB39" s="96">
        <f t="shared" ref="AB39:AG39" si="45">AB10/AB8</f>
        <v>-0.12116788321167883</v>
      </c>
      <c r="AC39" s="96">
        <f t="shared" si="45"/>
        <v>-0.11290669452210514</v>
      </c>
      <c r="AD39" s="96">
        <f t="shared" si="45"/>
        <v>-0.11548710140259436</v>
      </c>
      <c r="AE39" s="96">
        <f t="shared" si="45"/>
        <v>-0.11378471069808607</v>
      </c>
      <c r="AF39" s="96">
        <f t="shared" si="45"/>
        <v>-0.10704059420694309</v>
      </c>
      <c r="AG39" s="96">
        <f t="shared" si="45"/>
        <v>-0.11203264162750844</v>
      </c>
    </row>
    <row r="40" spans="1:33" x14ac:dyDescent="0.3">
      <c r="A40" s="58" t="s">
        <v>76</v>
      </c>
      <c r="B40" s="96">
        <f t="shared" ref="B40:S40" si="46">B11/B8</f>
        <v>-8.3733408641626664E-2</v>
      </c>
      <c r="C40" s="96">
        <f t="shared" si="46"/>
        <v>-9.1929285165257488E-2</v>
      </c>
      <c r="D40" s="96">
        <f t="shared" si="46"/>
        <v>-8.5852311939268455E-2</v>
      </c>
      <c r="E40" s="96">
        <f t="shared" si="46"/>
        <v>-8.7963601268440647E-2</v>
      </c>
      <c r="F40" s="96">
        <f t="shared" si="46"/>
        <v>-7.5248683440608546E-2</v>
      </c>
      <c r="G40" s="96">
        <f t="shared" si="46"/>
        <v>-8.5142558200366203E-2</v>
      </c>
      <c r="H40" s="96">
        <f t="shared" si="46"/>
        <v>-8.807026103927787E-2</v>
      </c>
      <c r="I40" s="96">
        <f t="shared" si="46"/>
        <v>-9.4730392156862742E-2</v>
      </c>
      <c r="J40" s="96">
        <f t="shared" si="46"/>
        <v>-6.8112133158125268E-2</v>
      </c>
      <c r="K40" s="96">
        <f t="shared" si="46"/>
        <v>-7.5658286667460981E-2</v>
      </c>
      <c r="L40" s="96">
        <f t="shared" si="46"/>
        <v>-7.7390889577867869E-2</v>
      </c>
      <c r="M40" s="96">
        <f t="shared" si="46"/>
        <v>-8.1674757281553392E-2</v>
      </c>
      <c r="N40" s="96">
        <f t="shared" si="46"/>
        <v>-7.2118959107806691E-2</v>
      </c>
      <c r="O40" s="96">
        <f t="shared" si="46"/>
        <v>-7.9311508606142417E-2</v>
      </c>
      <c r="P40" s="96">
        <f t="shared" si="46"/>
        <v>-7.8252256218357907E-2</v>
      </c>
      <c r="Q40" s="96">
        <f t="shared" si="46"/>
        <v>-8.3048140543007076E-2</v>
      </c>
      <c r="R40" s="96">
        <f t="shared" si="46"/>
        <v>-7.5854487307615431E-2</v>
      </c>
      <c r="S40" s="96">
        <f t="shared" si="46"/>
        <v>-8.3061030884368087E-2</v>
      </c>
      <c r="T40" s="88">
        <v>-7.7958093672966314E-2</v>
      </c>
      <c r="U40" s="88">
        <v>-7.7958093672966314E-2</v>
      </c>
      <c r="V40" s="88">
        <v>-8.0458093672966316E-2</v>
      </c>
      <c r="W40" s="88">
        <v>-8.2958093672966318E-2</v>
      </c>
      <c r="X40" s="88">
        <v>-8.545809367296632E-2</v>
      </c>
      <c r="Y40" s="88">
        <v>-8.7958093672966323E-2</v>
      </c>
      <c r="AB40" s="96">
        <f t="shared" ref="AB40:AG40" si="47">AB11/AB8</f>
        <v>-8.7270785116610294E-2</v>
      </c>
      <c r="AC40" s="96">
        <f t="shared" si="47"/>
        <v>-8.5686196196503736E-2</v>
      </c>
      <c r="AD40" s="96">
        <f t="shared" si="47"/>
        <v>-7.5517554390793828E-2</v>
      </c>
      <c r="AE40" s="96">
        <f t="shared" si="47"/>
        <v>-7.8078327248589444E-2</v>
      </c>
      <c r="AF40" s="96">
        <f t="shared" si="47"/>
        <v>-7.8649354127584767E-2</v>
      </c>
      <c r="AG40" s="96">
        <f t="shared" si="47"/>
        <v>-8.4124706509696778E-2</v>
      </c>
    </row>
    <row r="41" spans="1:33" x14ac:dyDescent="0.3"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7"/>
      <c r="T41" s="97"/>
      <c r="U41" s="97"/>
      <c r="V41" s="97"/>
      <c r="W41" s="97"/>
      <c r="X41" s="97"/>
      <c r="Y41" s="97"/>
      <c r="AB41" s="70"/>
      <c r="AC41" s="70"/>
      <c r="AD41" s="70"/>
      <c r="AE41" s="70"/>
      <c r="AF41" s="70"/>
    </row>
    <row r="42" spans="1:33" x14ac:dyDescent="0.3">
      <c r="B42" s="96"/>
      <c r="C42" s="96"/>
      <c r="D42" s="96"/>
      <c r="E42" s="96"/>
      <c r="F42" s="96"/>
      <c r="G42" s="96"/>
      <c r="H42" s="96"/>
      <c r="I42" s="96"/>
      <c r="J42" s="97"/>
      <c r="K42" s="97"/>
      <c r="L42" s="97"/>
      <c r="M42" s="97"/>
      <c r="N42" s="97"/>
      <c r="O42" s="97"/>
      <c r="P42" s="97"/>
      <c r="Q42" s="100"/>
      <c r="R42" s="100"/>
      <c r="S42" s="100"/>
      <c r="T42" s="100"/>
      <c r="U42" s="100"/>
      <c r="V42" s="100"/>
      <c r="W42" s="100"/>
      <c r="X42" s="100"/>
      <c r="Y42" s="100"/>
      <c r="AB42" s="98"/>
    </row>
    <row r="43" spans="1:33" x14ac:dyDescent="0.3">
      <c r="B43" s="96"/>
      <c r="C43" s="96"/>
      <c r="D43" s="96"/>
      <c r="E43" s="96"/>
      <c r="F43" s="96"/>
      <c r="G43" s="96"/>
      <c r="H43" s="96"/>
      <c r="I43" s="96"/>
      <c r="J43" s="97"/>
      <c r="K43" s="97"/>
      <c r="L43" s="97"/>
      <c r="M43" s="97"/>
      <c r="N43" s="97"/>
      <c r="O43" s="97"/>
      <c r="P43" s="97"/>
      <c r="Q43" s="100"/>
      <c r="R43" s="100"/>
      <c r="S43" s="100"/>
      <c r="T43" s="100"/>
      <c r="U43" s="100"/>
      <c r="V43" s="100"/>
      <c r="W43" s="100"/>
      <c r="X43" s="100"/>
      <c r="Y43" s="100"/>
      <c r="AB43" s="98"/>
    </row>
    <row r="44" spans="1:33" x14ac:dyDescent="0.3">
      <c r="A44" s="66" t="s">
        <v>177</v>
      </c>
      <c r="B44" s="65"/>
      <c r="C44" s="65"/>
      <c r="D44" s="65"/>
      <c r="E44" s="65"/>
      <c r="F44" s="65"/>
      <c r="G44" s="65"/>
      <c r="H44" s="65"/>
      <c r="I44" s="65"/>
      <c r="J44" s="65"/>
      <c r="K44" s="97"/>
      <c r="L44" s="97"/>
      <c r="M44" s="97"/>
      <c r="N44" s="97"/>
      <c r="O44" s="97"/>
      <c r="P44" s="97"/>
      <c r="Q44" s="65"/>
      <c r="AB44" s="65"/>
    </row>
    <row r="45" spans="1:33" x14ac:dyDescent="0.3">
      <c r="A45" s="78" t="s">
        <v>178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AB45" s="65"/>
    </row>
    <row r="46" spans="1:33" x14ac:dyDescent="0.3">
      <c r="A46" s="58" t="s">
        <v>179</v>
      </c>
      <c r="B46" s="63">
        <f>[2]Segment!F294</f>
        <v>7082</v>
      </c>
      <c r="C46" s="63">
        <f>[2]Segment!G294</f>
        <v>6505</v>
      </c>
      <c r="D46" s="63">
        <f>[2]Segment!H294</f>
        <v>7245</v>
      </c>
      <c r="E46" s="63">
        <f>[2]Segment!I294</f>
        <v>7253</v>
      </c>
      <c r="F46" s="63">
        <f>[2]Segment!J294</f>
        <v>8545</v>
      </c>
      <c r="G46" s="63">
        <f>[2]Segment!K294</f>
        <v>7776</v>
      </c>
      <c r="H46" s="63">
        <f>[2]Segment!L294</f>
        <v>8326</v>
      </c>
      <c r="I46" s="63">
        <f>[2]Segment!M294</f>
        <v>8160</v>
      </c>
      <c r="J46" s="63">
        <f>[2]Segment!N294</f>
        <v>9132</v>
      </c>
      <c r="K46" s="63">
        <f>[2]Segment!O294</f>
        <v>8393</v>
      </c>
      <c r="L46" s="63">
        <f>[2]Segment!P294</f>
        <v>8386</v>
      </c>
      <c r="M46" s="63">
        <f>[2]Segment!Q294</f>
        <v>8240</v>
      </c>
      <c r="N46" s="63">
        <f>[2]Segment!R294</f>
        <v>9415</v>
      </c>
      <c r="O46" s="63">
        <f>[2]Segment!S294</f>
        <v>8889</v>
      </c>
      <c r="P46" s="63">
        <f>[2]Segment!T294</f>
        <v>9086</v>
      </c>
      <c r="Q46" s="63">
        <f>[2]Segment!U294</f>
        <v>8766</v>
      </c>
      <c r="R46" s="63">
        <f>[2]Segment!V294</f>
        <v>10006</v>
      </c>
      <c r="S46" s="63">
        <f>[2]Segment!W294</f>
        <v>9487</v>
      </c>
      <c r="AB46" s="64">
        <f>SUM(AB47:AB49)</f>
        <v>28085</v>
      </c>
      <c r="AC46" s="64">
        <f>SUM(AC47:AC49)</f>
        <v>32549</v>
      </c>
      <c r="AD46" s="64">
        <f>SUM(AD47:AD49)</f>
        <v>34151</v>
      </c>
      <c r="AE46" s="64">
        <f>SUM(AE47:AE49)</f>
        <v>36156</v>
      </c>
    </row>
    <row r="47" spans="1:33" x14ac:dyDescent="0.3">
      <c r="A47" s="58" t="s">
        <v>180</v>
      </c>
      <c r="B47" s="63">
        <f>[2]Segment!F295</f>
        <v>4800</v>
      </c>
      <c r="C47" s="63">
        <f>[2]Segment!G295</f>
        <v>4898</v>
      </c>
      <c r="D47" s="63">
        <f>[2]Segment!H295</f>
        <v>5423</v>
      </c>
      <c r="E47" s="63">
        <f>[2]Segment!I295</f>
        <v>5010</v>
      </c>
      <c r="F47" s="63">
        <f>[2]Segment!J295</f>
        <v>6072</v>
      </c>
      <c r="G47" s="63">
        <f>[2]Segment!K295</f>
        <v>5572</v>
      </c>
      <c r="H47" s="63">
        <f>[2]Segment!L295</f>
        <v>5649</v>
      </c>
      <c r="I47" s="63">
        <f>[2]Segment!M295</f>
        <v>5384</v>
      </c>
      <c r="J47" s="63">
        <f>[2]Segment!N295</f>
        <v>6297</v>
      </c>
      <c r="K47" s="63">
        <f>[2]Segment!O295</f>
        <v>5958</v>
      </c>
      <c r="L47" s="63">
        <f>[2]Segment!P295</f>
        <v>5820</v>
      </c>
      <c r="M47" s="63">
        <f>[2]Segment!Q295</f>
        <v>5521</v>
      </c>
      <c r="N47" s="63">
        <f>[2]Segment!R295</f>
        <v>6432</v>
      </c>
      <c r="O47" s="63">
        <f>[2]Segment!S295</f>
        <v>6499</v>
      </c>
      <c r="P47" s="63">
        <f>[2]Segment!T295</f>
        <v>6403</v>
      </c>
      <c r="Q47" s="63">
        <f>[2]Segment!U295</f>
        <v>5857</v>
      </c>
      <c r="R47" s="63">
        <f>[2]Segment!V295</f>
        <v>6910</v>
      </c>
      <c r="S47" s="63">
        <f>[2]Segment!W295</f>
        <v>6917</v>
      </c>
      <c r="AB47" s="63">
        <f>[2]Segment!Z295</f>
        <v>20131</v>
      </c>
      <c r="AC47" s="63">
        <f>[2]Segment!AA295</f>
        <v>22677</v>
      </c>
      <c r="AD47" s="63">
        <f>[2]Segment!AB295</f>
        <v>23596</v>
      </c>
      <c r="AE47" s="63">
        <f>[2]Segment!AC295</f>
        <v>25191</v>
      </c>
    </row>
    <row r="48" spans="1:33" x14ac:dyDescent="0.3">
      <c r="A48" s="58" t="s">
        <v>181</v>
      </c>
      <c r="B48" s="63">
        <f>[2]Segment!F296</f>
        <v>861</v>
      </c>
      <c r="C48" s="63">
        <f>[2]Segment!G296</f>
        <v>574</v>
      </c>
      <c r="D48" s="63">
        <f>[2]Segment!H296</f>
        <v>788</v>
      </c>
      <c r="E48" s="63">
        <f>[2]Segment!I296</f>
        <v>1074</v>
      </c>
      <c r="F48" s="63">
        <f>[2]Segment!J296</f>
        <v>1094</v>
      </c>
      <c r="G48" s="63">
        <f>[2]Segment!K296</f>
        <v>1184</v>
      </c>
      <c r="H48" s="63">
        <f>[2]Segment!L296</f>
        <v>1532</v>
      </c>
      <c r="I48" s="63">
        <f>[2]Segment!M296</f>
        <v>1665</v>
      </c>
      <c r="J48" s="63">
        <f>[2]Segment!N296</f>
        <v>1476</v>
      </c>
      <c r="K48" s="63">
        <f>[2]Segment!O296</f>
        <v>1522</v>
      </c>
      <c r="L48" s="63">
        <f>[2]Segment!P296</f>
        <v>1602</v>
      </c>
      <c r="M48" s="63">
        <f>[2]Segment!Q296</f>
        <v>1583</v>
      </c>
      <c r="N48" s="63">
        <f>[2]Segment!R296</f>
        <v>1646</v>
      </c>
      <c r="O48" s="63">
        <f>[2]Segment!S296</f>
        <v>1441</v>
      </c>
      <c r="P48" s="63">
        <f>[2]Segment!T296</f>
        <v>1691</v>
      </c>
      <c r="Q48" s="63">
        <f>[2]Segment!U296</f>
        <v>1742</v>
      </c>
      <c r="R48" s="63">
        <f>[2]Segment!V296</f>
        <v>1753</v>
      </c>
      <c r="S48" s="63">
        <f>[2]Segment!W296</f>
        <v>1596</v>
      </c>
      <c r="AB48" s="63">
        <f>[2]Segment!Z296</f>
        <v>3297</v>
      </c>
      <c r="AC48" s="63">
        <f>[2]Segment!AA296</f>
        <v>5475</v>
      </c>
      <c r="AD48" s="63">
        <f>[2]Segment!AB296</f>
        <v>6183</v>
      </c>
      <c r="AE48" s="63">
        <f>[2]Segment!AC296</f>
        <v>6520</v>
      </c>
    </row>
    <row r="49" spans="1:33" x14ac:dyDescent="0.3">
      <c r="A49" s="58" t="s">
        <v>182</v>
      </c>
      <c r="B49" s="63">
        <f>[2]Segment!F297</f>
        <v>1421</v>
      </c>
      <c r="C49" s="63">
        <f>[2]Segment!G297</f>
        <v>1033</v>
      </c>
      <c r="D49" s="63">
        <f>[2]Segment!H297</f>
        <v>1034</v>
      </c>
      <c r="E49" s="63">
        <f>[2]Segment!I297</f>
        <v>1169</v>
      </c>
      <c r="F49" s="63">
        <f>[2]Segment!J297</f>
        <v>1379</v>
      </c>
      <c r="G49" s="63">
        <f>[2]Segment!K297</f>
        <v>1020</v>
      </c>
      <c r="H49" s="63">
        <f>[2]Segment!L297</f>
        <v>1145</v>
      </c>
      <c r="I49" s="63">
        <f>[2]Segment!M297</f>
        <v>1111</v>
      </c>
      <c r="J49" s="63">
        <f>[2]Segment!N297</f>
        <v>1359</v>
      </c>
      <c r="K49" s="63">
        <f>[2]Segment!O297</f>
        <v>913</v>
      </c>
      <c r="L49" s="63">
        <f>[2]Segment!P297</f>
        <v>964</v>
      </c>
      <c r="M49" s="63">
        <f>[2]Segment!Q297</f>
        <v>1136</v>
      </c>
      <c r="N49" s="63">
        <f>[2]Segment!R297</f>
        <v>1337</v>
      </c>
      <c r="O49" s="63">
        <f>[2]Segment!S297</f>
        <v>949</v>
      </c>
      <c r="P49" s="63">
        <f>[2]Segment!T297</f>
        <v>992</v>
      </c>
      <c r="Q49" s="63">
        <f>[2]Segment!U297</f>
        <v>1167</v>
      </c>
      <c r="R49" s="63">
        <f>[2]Segment!V297</f>
        <v>1343</v>
      </c>
      <c r="S49" s="63">
        <f>[2]Segment!W297</f>
        <v>974</v>
      </c>
      <c r="AB49" s="63">
        <f>[2]Segment!Z297</f>
        <v>4657</v>
      </c>
      <c r="AC49" s="63">
        <f>[2]Segment!AA297</f>
        <v>4397</v>
      </c>
      <c r="AD49" s="63">
        <f>[2]Segment!AB297</f>
        <v>4372</v>
      </c>
      <c r="AE49" s="63">
        <f>[2]Segment!AC297</f>
        <v>4445</v>
      </c>
    </row>
    <row r="50" spans="1:33" x14ac:dyDescent="0.3">
      <c r="B50" s="63"/>
      <c r="C50" s="63"/>
      <c r="D50" s="63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AB50" s="65"/>
    </row>
    <row r="51" spans="1:33" x14ac:dyDescent="0.3">
      <c r="A51" s="78" t="s">
        <v>183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AB51" s="65"/>
    </row>
    <row r="52" spans="1:33" x14ac:dyDescent="0.3">
      <c r="A52" s="58" t="s">
        <v>179</v>
      </c>
      <c r="B52" s="64">
        <f>SUM(B53:B55)</f>
        <v>2298</v>
      </c>
      <c r="C52" s="64">
        <f t="shared" ref="C52:S52" si="48">SUM(C53:C55)</f>
        <v>1608</v>
      </c>
      <c r="D52" s="64">
        <f t="shared" si="48"/>
        <v>2037</v>
      </c>
      <c r="E52" s="64">
        <f t="shared" si="48"/>
        <v>1342</v>
      </c>
      <c r="F52" s="64">
        <f t="shared" si="48"/>
        <v>1498</v>
      </c>
      <c r="G52" s="64">
        <f t="shared" si="48"/>
        <v>2036</v>
      </c>
      <c r="H52" s="64">
        <f t="shared" si="48"/>
        <v>2297</v>
      </c>
      <c r="I52" s="64">
        <f t="shared" si="48"/>
        <v>1759</v>
      </c>
      <c r="J52" s="64">
        <f t="shared" si="48"/>
        <v>3105</v>
      </c>
      <c r="K52" s="64">
        <f t="shared" si="48"/>
        <v>2286</v>
      </c>
      <c r="L52" s="64">
        <f t="shared" si="48"/>
        <v>2222</v>
      </c>
      <c r="M52" s="64">
        <f t="shared" si="48"/>
        <v>1659</v>
      </c>
      <c r="N52" s="64">
        <f t="shared" si="48"/>
        <v>3110</v>
      </c>
      <c r="O52" s="64">
        <f t="shared" si="48"/>
        <v>2491</v>
      </c>
      <c r="P52" s="64">
        <f t="shared" si="48"/>
        <v>2516</v>
      </c>
      <c r="Q52" s="64">
        <f t="shared" si="48"/>
        <v>1878</v>
      </c>
      <c r="R52" s="64">
        <f t="shared" si="48"/>
        <v>3309</v>
      </c>
      <c r="S52" s="64">
        <f t="shared" si="48"/>
        <v>2615</v>
      </c>
      <c r="AB52" s="64">
        <f>SUM(AB53:AB55)</f>
        <v>7285</v>
      </c>
      <c r="AC52" s="64">
        <f>SUM(AC53:AC55)</f>
        <v>8954</v>
      </c>
      <c r="AD52" s="64">
        <f>SUM(AD53:AD55)</f>
        <v>9272</v>
      </c>
      <c r="AE52" s="64">
        <f>SUM(AE53:AE55)</f>
        <v>9995</v>
      </c>
      <c r="AF52" s="65"/>
      <c r="AG52" s="65"/>
    </row>
    <row r="53" spans="1:33" x14ac:dyDescent="0.3">
      <c r="A53" s="58" t="s">
        <v>180</v>
      </c>
      <c r="B53" s="63">
        <f>[2]Segment!F301</f>
        <v>1555</v>
      </c>
      <c r="C53" s="63">
        <f>[2]Segment!G301</f>
        <v>1385</v>
      </c>
      <c r="D53" s="63">
        <f>[2]Segment!H301</f>
        <v>1651</v>
      </c>
      <c r="E53" s="63">
        <f>[2]Segment!I301</f>
        <v>741</v>
      </c>
      <c r="F53" s="63">
        <f>[2]Segment!J301</f>
        <v>79</v>
      </c>
      <c r="G53" s="63">
        <f>[2]Segment!K301</f>
        <v>1519</v>
      </c>
      <c r="H53" s="63">
        <f>[2]Segment!L301</f>
        <v>1436</v>
      </c>
      <c r="I53" s="63">
        <f>[2]Segment!M301</f>
        <v>808</v>
      </c>
      <c r="J53" s="63">
        <f>[2]Segment!N301</f>
        <v>2077</v>
      </c>
      <c r="K53" s="63">
        <f>[2]Segment!O301</f>
        <v>1607</v>
      </c>
      <c r="L53" s="63">
        <f>[2]Segment!P301</f>
        <v>1347</v>
      </c>
      <c r="M53" s="63">
        <f>[2]Segment!Q301</f>
        <v>847</v>
      </c>
      <c r="N53" s="63">
        <f>[2]Segment!R301</f>
        <v>1982</v>
      </c>
      <c r="O53" s="63">
        <f>[2]Segment!S301</f>
        <v>1823</v>
      </c>
      <c r="P53" s="63">
        <f>[2]Segment!T301</f>
        <v>1650</v>
      </c>
      <c r="Q53" s="63">
        <f>[2]Segment!U301</f>
        <v>920</v>
      </c>
      <c r="R53" s="63">
        <f>[2]Segment!V301</f>
        <v>2149</v>
      </c>
      <c r="S53" s="63">
        <f>[2]Segment!W301</f>
        <v>1909</v>
      </c>
      <c r="AB53" s="63">
        <f>[2]Segment!Z301</f>
        <v>5332</v>
      </c>
      <c r="AC53" s="63">
        <f>[2]Segment!AA301</f>
        <v>5876</v>
      </c>
      <c r="AD53" s="63">
        <f>[2]Segment!AB301</f>
        <v>5878</v>
      </c>
      <c r="AE53" s="63">
        <f>[2]Segment!AC301</f>
        <v>6375</v>
      </c>
    </row>
    <row r="54" spans="1:33" x14ac:dyDescent="0.3">
      <c r="A54" s="58" t="s">
        <v>181</v>
      </c>
      <c r="B54" s="63">
        <f>[2]Segment!F302</f>
        <v>21</v>
      </c>
      <c r="C54" s="63">
        <f>[2]Segment!G302</f>
        <v>-268</v>
      </c>
      <c r="D54" s="63">
        <f>[2]Segment!H302</f>
        <v>-64</v>
      </c>
      <c r="E54" s="63">
        <f>[2]Segment!I302</f>
        <v>74</v>
      </c>
      <c r="F54" s="63">
        <f>[2]Segment!J302</f>
        <v>670</v>
      </c>
      <c r="G54" s="63">
        <f>[2]Segment!K302</f>
        <v>156</v>
      </c>
      <c r="H54" s="63">
        <f>[2]Segment!L302</f>
        <v>428</v>
      </c>
      <c r="I54" s="63">
        <f>[2]Segment!M302</f>
        <v>441</v>
      </c>
      <c r="J54" s="63">
        <f>[2]Segment!N302</f>
        <v>328</v>
      </c>
      <c r="K54" s="63">
        <f>[2]Segment!O302</f>
        <v>292</v>
      </c>
      <c r="L54" s="63">
        <f>[2]Segment!P302</f>
        <v>435</v>
      </c>
      <c r="M54" s="63">
        <f>[2]Segment!Q302</f>
        <v>299</v>
      </c>
      <c r="N54" s="63">
        <f>[2]Segment!R302</f>
        <v>420</v>
      </c>
      <c r="O54" s="63">
        <f>[2]Segment!S302</f>
        <v>225</v>
      </c>
      <c r="P54" s="63">
        <f>[2]Segment!T302</f>
        <v>422</v>
      </c>
      <c r="Q54" s="63">
        <f>[2]Segment!U302</f>
        <v>375</v>
      </c>
      <c r="R54" s="63">
        <f>[2]Segment!V302</f>
        <v>428</v>
      </c>
      <c r="S54" s="63">
        <f>[2]Segment!W302</f>
        <v>227</v>
      </c>
      <c r="AB54" s="63">
        <f>[2]Segment!Z302</f>
        <v>-237</v>
      </c>
      <c r="AC54" s="63">
        <f>[2]Segment!AA302</f>
        <v>1104</v>
      </c>
      <c r="AD54" s="63">
        <f>[2]Segment!AB302</f>
        <v>1354</v>
      </c>
      <c r="AE54" s="63">
        <f>[2]Segment!AC302</f>
        <v>1442</v>
      </c>
    </row>
    <row r="55" spans="1:33" x14ac:dyDescent="0.3">
      <c r="A55" s="58" t="s">
        <v>182</v>
      </c>
      <c r="B55" s="63">
        <f>[2]Segment!F303</f>
        <v>722</v>
      </c>
      <c r="C55" s="63">
        <f>[2]Segment!G303</f>
        <v>491</v>
      </c>
      <c r="D55" s="63">
        <f>[2]Segment!H303</f>
        <v>450</v>
      </c>
      <c r="E55" s="63">
        <f>[2]Segment!I303</f>
        <v>527</v>
      </c>
      <c r="F55" s="63">
        <f>[2]Segment!J303</f>
        <v>749</v>
      </c>
      <c r="G55" s="63">
        <f>[2]Segment!K303</f>
        <v>361</v>
      </c>
      <c r="H55" s="63">
        <f>[2]Segment!L303</f>
        <v>433</v>
      </c>
      <c r="I55" s="63">
        <f>[2]Segment!M303</f>
        <v>510</v>
      </c>
      <c r="J55" s="63">
        <f>[2]Segment!N303</f>
        <v>700</v>
      </c>
      <c r="K55" s="63">
        <f>[2]Segment!O303</f>
        <v>387</v>
      </c>
      <c r="L55" s="63">
        <f>[2]Segment!P303</f>
        <v>440</v>
      </c>
      <c r="M55" s="63">
        <f>[2]Segment!Q303</f>
        <v>513</v>
      </c>
      <c r="N55" s="63">
        <f>[2]Segment!R303</f>
        <v>708</v>
      </c>
      <c r="O55" s="63">
        <f>[2]Segment!S303</f>
        <v>443</v>
      </c>
      <c r="P55" s="63">
        <f>[2]Segment!T303</f>
        <v>444</v>
      </c>
      <c r="Q55" s="63">
        <f>[2]Segment!U303</f>
        <v>583</v>
      </c>
      <c r="R55" s="63">
        <f>[2]Segment!V303</f>
        <v>732</v>
      </c>
      <c r="S55" s="63">
        <f>[2]Segment!W303</f>
        <v>479</v>
      </c>
      <c r="U55" s="80"/>
      <c r="V55" s="80"/>
      <c r="W55" s="80"/>
      <c r="X55" s="80"/>
      <c r="Y55" s="80"/>
      <c r="AB55" s="63">
        <f>[2]Segment!Z303</f>
        <v>2190</v>
      </c>
      <c r="AC55" s="63">
        <f>[2]Segment!AA303</f>
        <v>1974</v>
      </c>
      <c r="AD55" s="63">
        <f>[2]Segment!AB303</f>
        <v>2040</v>
      </c>
      <c r="AE55" s="63">
        <f>[2]Segment!AC303</f>
        <v>2178</v>
      </c>
    </row>
    <row r="56" spans="1:33" x14ac:dyDescent="0.3">
      <c r="U56" s="102"/>
    </row>
    <row r="57" spans="1:33" x14ac:dyDescent="0.3">
      <c r="A57" s="58" t="s">
        <v>184</v>
      </c>
      <c r="B57" s="80">
        <f t="shared" ref="B57:N57" si="49">+B4</f>
        <v>1445</v>
      </c>
      <c r="C57" s="80">
        <f t="shared" si="49"/>
        <v>1451</v>
      </c>
      <c r="D57" s="80">
        <f t="shared" si="49"/>
        <v>1805</v>
      </c>
      <c r="E57" s="80">
        <f t="shared" si="49"/>
        <v>1709</v>
      </c>
      <c r="F57" s="80">
        <f t="shared" si="49"/>
        <v>1980</v>
      </c>
      <c r="G57" s="80">
        <f t="shared" si="49"/>
        <v>1903</v>
      </c>
      <c r="H57" s="80">
        <f t="shared" si="49"/>
        <v>1963</v>
      </c>
      <c r="I57" s="80">
        <f t="shared" si="49"/>
        <v>2103</v>
      </c>
      <c r="J57" s="80">
        <f t="shared" si="49"/>
        <v>2118</v>
      </c>
      <c r="K57" s="80">
        <f t="shared" si="49"/>
        <v>2101</v>
      </c>
      <c r="L57" s="80">
        <f t="shared" si="49"/>
        <v>2115</v>
      </c>
      <c r="M57" s="80">
        <f t="shared" si="49"/>
        <v>2041</v>
      </c>
      <c r="N57" s="80">
        <f t="shared" si="49"/>
        <v>2221</v>
      </c>
      <c r="O57" s="80">
        <f>O4-O62</f>
        <v>2237.4499999999998</v>
      </c>
      <c r="P57" s="80">
        <f>P4-P62</f>
        <v>2240.4</v>
      </c>
      <c r="Q57" s="80">
        <f>Q4-Q62</f>
        <v>2113.35</v>
      </c>
      <c r="R57" s="80">
        <f>R4-R62</f>
        <v>2206.6149999999998</v>
      </c>
      <c r="S57" s="80">
        <f>S4-S62</f>
        <v>2221.3849999999998</v>
      </c>
      <c r="T57" s="80">
        <f t="shared" ref="T57:Y57" si="50">P57*(1+T58)</f>
        <v>2262.8040000000001</v>
      </c>
      <c r="U57" s="80">
        <f t="shared" si="50"/>
        <v>2292.9847499999996</v>
      </c>
      <c r="V57" s="80">
        <f t="shared" si="50"/>
        <v>2228.6811499999999</v>
      </c>
      <c r="W57" s="80">
        <f t="shared" si="50"/>
        <v>2243.5988499999999</v>
      </c>
      <c r="X57" s="80">
        <f t="shared" si="50"/>
        <v>2285.4320400000001</v>
      </c>
      <c r="Y57" s="80">
        <f t="shared" si="50"/>
        <v>2040.7564274999997</v>
      </c>
      <c r="AB57" s="65">
        <f>SUMIF($B$1:$U$1,AB$1,$B57:$U57)</f>
        <v>6410</v>
      </c>
      <c r="AC57" s="65">
        <f t="shared" ref="AC57:AF63" si="51">SUMIF($B$1:$U$1,AC$1,$B57:$U57)</f>
        <v>7949</v>
      </c>
      <c r="AD57" s="65">
        <f t="shared" si="51"/>
        <v>8375</v>
      </c>
      <c r="AE57" s="65">
        <f t="shared" si="51"/>
        <v>8812.2000000000007</v>
      </c>
      <c r="AF57" s="65">
        <f>SUMIF($B$1:$Y$1,AF$1,$B57:$Y57)</f>
        <v>8983.7887499999997</v>
      </c>
      <c r="AG57" s="65">
        <f>SUMIF($B$1:$Y$1,AG$1,$B57:$Y57)</f>
        <v>8798.4684675000008</v>
      </c>
    </row>
    <row r="58" spans="1:33" s="75" customFormat="1" x14ac:dyDescent="0.3">
      <c r="A58" s="103" t="s">
        <v>185</v>
      </c>
      <c r="F58" s="104">
        <f>+F57/B57-1</f>
        <v>0.37024221453287187</v>
      </c>
      <c r="G58" s="104">
        <f t="shared" ref="G58:S58" si="52">+G57/C57-1</f>
        <v>0.31150930392832521</v>
      </c>
      <c r="H58" s="104">
        <f t="shared" si="52"/>
        <v>8.753462603878126E-2</v>
      </c>
      <c r="I58" s="104">
        <f t="shared" si="52"/>
        <v>0.23054417788180226</v>
      </c>
      <c r="J58" s="104">
        <f t="shared" si="52"/>
        <v>6.9696969696969591E-2</v>
      </c>
      <c r="K58" s="104">
        <f t="shared" si="52"/>
        <v>0.10404624277456653</v>
      </c>
      <c r="L58" s="104">
        <f t="shared" si="52"/>
        <v>7.7432501273560828E-2</v>
      </c>
      <c r="M58" s="104">
        <f t="shared" si="52"/>
        <v>-2.9481692819781302E-2</v>
      </c>
      <c r="N58" s="104">
        <f t="shared" si="52"/>
        <v>4.8630783758262464E-2</v>
      </c>
      <c r="O58" s="104">
        <f t="shared" si="52"/>
        <v>6.4945264159923743E-2</v>
      </c>
      <c r="P58" s="104">
        <f t="shared" si="52"/>
        <v>5.9290780141844079E-2</v>
      </c>
      <c r="Q58" s="104">
        <f t="shared" si="52"/>
        <v>3.5448309652131194E-2</v>
      </c>
      <c r="R58" s="104">
        <f t="shared" si="52"/>
        <v>-6.4768122467357969E-3</v>
      </c>
      <c r="S58" s="104">
        <f t="shared" si="52"/>
        <v>-7.1800487161725046E-3</v>
      </c>
      <c r="T58" s="88">
        <v>0.01</v>
      </c>
      <c r="U58" s="88">
        <v>8.5000000000000006E-2</v>
      </c>
      <c r="V58" s="88">
        <f>T58</f>
        <v>0.01</v>
      </c>
      <c r="W58" s="88">
        <f t="shared" ref="W58:X58" si="53">V58</f>
        <v>0.01</v>
      </c>
      <c r="X58" s="88">
        <f t="shared" si="53"/>
        <v>0.01</v>
      </c>
      <c r="Y58" s="88">
        <v>-0.11</v>
      </c>
      <c r="AC58" s="104">
        <f>+AC57/AB57-1</f>
        <v>0.24009360374414968</v>
      </c>
      <c r="AD58" s="104">
        <f>+AD57/AC57-1</f>
        <v>5.359164674801864E-2</v>
      </c>
      <c r="AE58" s="104">
        <f>+AE57/AD57-1</f>
        <v>5.2202985074627062E-2</v>
      </c>
      <c r="AF58" s="104">
        <f>+AF57/AE57-1</f>
        <v>1.9471726697078973E-2</v>
      </c>
      <c r="AG58" s="104">
        <f>+AG57/AF57-1</f>
        <v>-2.062829922397702E-2</v>
      </c>
    </row>
    <row r="59" spans="1:33" x14ac:dyDescent="0.3">
      <c r="A59" s="69" t="s">
        <v>186</v>
      </c>
      <c r="M59" s="58" t="s">
        <v>187</v>
      </c>
      <c r="O59" s="105">
        <v>121.55000000000001</v>
      </c>
      <c r="P59" s="105">
        <v>132.60000000000002</v>
      </c>
      <c r="Q59" s="105">
        <v>143.65000000000003</v>
      </c>
      <c r="R59" s="105">
        <v>162.43500000000003</v>
      </c>
      <c r="S59" s="105">
        <v>174.03750000000005</v>
      </c>
      <c r="T59" s="105">
        <v>185.6400000000001</v>
      </c>
      <c r="U59" s="105">
        <v>197.24250000000006</v>
      </c>
      <c r="V59" s="105">
        <v>219.28725</v>
      </c>
      <c r="W59" s="105">
        <v>219.28725</v>
      </c>
      <c r="X59" s="105">
        <v>219.28725</v>
      </c>
      <c r="Y59" s="105">
        <v>219.28725</v>
      </c>
      <c r="AB59" s="65"/>
      <c r="AC59" s="65"/>
      <c r="AD59" s="65"/>
      <c r="AE59" s="65">
        <f t="shared" si="51"/>
        <v>397.80000000000007</v>
      </c>
      <c r="AF59" s="65">
        <f t="shared" si="51"/>
        <v>719.35500000000025</v>
      </c>
      <c r="AG59" s="65">
        <f>SUMIF($B$1:$Y$1,AG$1,$B59:$Y59)</f>
        <v>877.149</v>
      </c>
    </row>
    <row r="60" spans="1:33" x14ac:dyDescent="0.3">
      <c r="A60" s="69" t="s">
        <v>188</v>
      </c>
      <c r="Q60" s="105"/>
      <c r="R60" s="105">
        <v>40.949999999999996</v>
      </c>
      <c r="S60" s="105">
        <v>127.62750000000001</v>
      </c>
      <c r="T60" s="105">
        <v>139.23000000000002</v>
      </c>
      <c r="U60" s="105">
        <v>150.83250000000004</v>
      </c>
      <c r="V60" s="105">
        <v>170.55675000000002</v>
      </c>
      <c r="W60" s="105">
        <v>182.73937500000005</v>
      </c>
      <c r="X60" s="105">
        <v>194.92200000000008</v>
      </c>
      <c r="Y60" s="105">
        <v>207.10462500000006</v>
      </c>
      <c r="AB60" s="65"/>
      <c r="AC60" s="65"/>
      <c r="AD60" s="65"/>
      <c r="AE60" s="65">
        <f t="shared" si="51"/>
        <v>0</v>
      </c>
      <c r="AF60" s="65">
        <f t="shared" si="51"/>
        <v>458.64000000000004</v>
      </c>
      <c r="AG60" s="65">
        <f>SUMIF($B$1:$Y$1,AG$1,$B60:$Y60)</f>
        <v>755.32275000000016</v>
      </c>
    </row>
    <row r="61" spans="1:33" x14ac:dyDescent="0.3">
      <c r="A61" s="69" t="s">
        <v>189</v>
      </c>
      <c r="S61" s="105">
        <v>40.949999999999996</v>
      </c>
      <c r="T61" s="105">
        <v>191.44125000000005</v>
      </c>
      <c r="U61" s="105">
        <v>208.84500000000003</v>
      </c>
      <c r="V61" s="105">
        <v>237.56118750000005</v>
      </c>
      <c r="W61" s="105">
        <v>255.83512500000003</v>
      </c>
      <c r="X61" s="105">
        <v>274.10906250000011</v>
      </c>
      <c r="Y61" s="105">
        <v>292.38300000000015</v>
      </c>
      <c r="AB61" s="65"/>
      <c r="AC61" s="65"/>
      <c r="AD61" s="65"/>
      <c r="AE61" s="65">
        <f t="shared" si="51"/>
        <v>0</v>
      </c>
      <c r="AF61" s="65">
        <f t="shared" si="51"/>
        <v>441.23625000000004</v>
      </c>
      <c r="AG61" s="65">
        <f>SUMIF($B$1:$Y$1,AG$1,$B61:$Y61)</f>
        <v>1059.8883750000005</v>
      </c>
    </row>
    <row r="62" spans="1:33" x14ac:dyDescent="0.3">
      <c r="A62" s="58" t="s">
        <v>190</v>
      </c>
      <c r="O62" s="80">
        <f t="shared" ref="O62:Y62" si="54">+SUM(O59:O61)</f>
        <v>121.55000000000001</v>
      </c>
      <c r="P62" s="80">
        <f t="shared" si="54"/>
        <v>132.60000000000002</v>
      </c>
      <c r="Q62" s="80">
        <f t="shared" si="54"/>
        <v>143.65000000000003</v>
      </c>
      <c r="R62" s="80">
        <f t="shared" si="54"/>
        <v>203.38500000000002</v>
      </c>
      <c r="S62" s="80">
        <f t="shared" si="54"/>
        <v>342.61500000000007</v>
      </c>
      <c r="T62" s="80">
        <f t="shared" si="54"/>
        <v>516.3112500000002</v>
      </c>
      <c r="U62" s="80">
        <f t="shared" si="54"/>
        <v>556.92000000000007</v>
      </c>
      <c r="V62" s="80">
        <f t="shared" si="54"/>
        <v>627.40518750000012</v>
      </c>
      <c r="W62" s="80">
        <f t="shared" si="54"/>
        <v>657.86175000000014</v>
      </c>
      <c r="X62" s="80">
        <f t="shared" si="54"/>
        <v>688.31831250000027</v>
      </c>
      <c r="Y62" s="80">
        <f t="shared" si="54"/>
        <v>718.77487500000018</v>
      </c>
      <c r="AB62" s="65"/>
      <c r="AC62" s="65"/>
      <c r="AD62" s="65"/>
      <c r="AE62" s="65">
        <f t="shared" si="51"/>
        <v>397.80000000000007</v>
      </c>
      <c r="AF62" s="65">
        <f t="shared" si="51"/>
        <v>1619.2312500000003</v>
      </c>
      <c r="AG62" s="65">
        <f>SUMIF($B$1:$Y$1,AG$1,$B62:$Y62)</f>
        <v>2692.3601250000006</v>
      </c>
    </row>
    <row r="63" spans="1:33" x14ac:dyDescent="0.3">
      <c r="A63" s="58" t="s">
        <v>191</v>
      </c>
      <c r="B63" s="80">
        <f>+B62+B57</f>
        <v>1445</v>
      </c>
      <c r="C63" s="80">
        <f t="shared" ref="C63:U63" si="55">+C62+C57</f>
        <v>1451</v>
      </c>
      <c r="D63" s="80">
        <f t="shared" si="55"/>
        <v>1805</v>
      </c>
      <c r="E63" s="80">
        <f t="shared" si="55"/>
        <v>1709</v>
      </c>
      <c r="F63" s="80">
        <f t="shared" si="55"/>
        <v>1980</v>
      </c>
      <c r="G63" s="80">
        <f t="shared" si="55"/>
        <v>1903</v>
      </c>
      <c r="H63" s="80">
        <f t="shared" si="55"/>
        <v>1963</v>
      </c>
      <c r="I63" s="80">
        <f t="shared" si="55"/>
        <v>2103</v>
      </c>
      <c r="J63" s="80">
        <f t="shared" si="55"/>
        <v>2118</v>
      </c>
      <c r="K63" s="80">
        <f t="shared" si="55"/>
        <v>2101</v>
      </c>
      <c r="L63" s="80">
        <f t="shared" si="55"/>
        <v>2115</v>
      </c>
      <c r="M63" s="80">
        <f t="shared" si="55"/>
        <v>2041</v>
      </c>
      <c r="N63" s="80">
        <f t="shared" si="55"/>
        <v>2221</v>
      </c>
      <c r="O63" s="80">
        <f t="shared" si="55"/>
        <v>2359</v>
      </c>
      <c r="P63" s="80">
        <f>+P62+P57</f>
        <v>2373</v>
      </c>
      <c r="Q63" s="80">
        <f t="shared" si="55"/>
        <v>2257</v>
      </c>
      <c r="R63" s="80">
        <f>+R62+R57</f>
        <v>2410</v>
      </c>
      <c r="S63" s="80">
        <f t="shared" si="55"/>
        <v>2564</v>
      </c>
      <c r="T63" s="80">
        <f t="shared" si="55"/>
        <v>2779.1152500000003</v>
      </c>
      <c r="U63" s="80">
        <f t="shared" si="55"/>
        <v>2849.9047499999997</v>
      </c>
      <c r="V63" s="80">
        <f>+V62+V57</f>
        <v>2856.0863374999999</v>
      </c>
      <c r="W63" s="80">
        <f>+W62+W57</f>
        <v>2901.4605999999999</v>
      </c>
      <c r="X63" s="80">
        <f>+X62+X57</f>
        <v>2973.7503525000002</v>
      </c>
      <c r="Y63" s="80">
        <f>+Y62+Y57</f>
        <v>2759.5313025</v>
      </c>
      <c r="AB63" s="65">
        <f>SUMIF($B$1:$U$1,AB$1,$B63:$U63)</f>
        <v>6410</v>
      </c>
      <c r="AC63" s="65">
        <f t="shared" si="51"/>
        <v>7949</v>
      </c>
      <c r="AD63" s="65">
        <f t="shared" si="51"/>
        <v>8375</v>
      </c>
      <c r="AE63" s="65">
        <f t="shared" si="51"/>
        <v>9210</v>
      </c>
      <c r="AF63" s="65">
        <f t="shared" si="51"/>
        <v>10603.02</v>
      </c>
      <c r="AG63" s="65">
        <f>SUMIF($B$1:$Y$1,AG$1,$B63:$Y63)</f>
        <v>11490.828592499998</v>
      </c>
    </row>
    <row r="64" spans="1:33" s="75" customFormat="1" x14ac:dyDescent="0.3">
      <c r="A64" s="103" t="s">
        <v>185</v>
      </c>
      <c r="F64" s="104">
        <f t="shared" ref="F64:Y64" si="56">+F63/B63-1</f>
        <v>0.37024221453287187</v>
      </c>
      <c r="G64" s="104">
        <f t="shared" si="56"/>
        <v>0.31150930392832521</v>
      </c>
      <c r="H64" s="104">
        <f t="shared" si="56"/>
        <v>8.753462603878126E-2</v>
      </c>
      <c r="I64" s="104">
        <f t="shared" si="56"/>
        <v>0.23054417788180226</v>
      </c>
      <c r="J64" s="104">
        <f t="shared" si="56"/>
        <v>6.9696969696969591E-2</v>
      </c>
      <c r="K64" s="104">
        <f t="shared" si="56"/>
        <v>0.10404624277456653</v>
      </c>
      <c r="L64" s="104">
        <f t="shared" si="56"/>
        <v>7.7432501273560828E-2</v>
      </c>
      <c r="M64" s="104">
        <f t="shared" si="56"/>
        <v>-2.9481692819781302E-2</v>
      </c>
      <c r="N64" s="104">
        <f t="shared" si="56"/>
        <v>4.8630783758262464E-2</v>
      </c>
      <c r="O64" s="104">
        <f t="shared" si="56"/>
        <v>0.12279866730128508</v>
      </c>
      <c r="P64" s="104">
        <f t="shared" si="56"/>
        <v>0.12198581560283683</v>
      </c>
      <c r="Q64" s="104">
        <f t="shared" si="56"/>
        <v>0.10583047525722677</v>
      </c>
      <c r="R64" s="104">
        <f t="shared" si="56"/>
        <v>8.5096803241782926E-2</v>
      </c>
      <c r="S64" s="104">
        <f t="shared" si="56"/>
        <v>8.6901229334463759E-2</v>
      </c>
      <c r="T64" s="104">
        <f t="shared" si="56"/>
        <v>0.17114001264222511</v>
      </c>
      <c r="U64" s="104">
        <f t="shared" si="56"/>
        <v>0.26269594594594592</v>
      </c>
      <c r="V64" s="104">
        <f t="shared" si="56"/>
        <v>0.18509806535269702</v>
      </c>
      <c r="W64" s="104">
        <f t="shared" si="56"/>
        <v>0.13161489859594377</v>
      </c>
      <c r="X64" s="104">
        <f t="shared" si="56"/>
        <v>7.0034915788397045E-2</v>
      </c>
      <c r="Y64" s="104">
        <f t="shared" si="56"/>
        <v>-3.1711041395330763E-2</v>
      </c>
      <c r="AC64" s="104">
        <f>+AC63/AB63-1</f>
        <v>0.24009360374414968</v>
      </c>
      <c r="AD64" s="104">
        <f>+AD63/AC63-1</f>
        <v>5.359164674801864E-2</v>
      </c>
      <c r="AE64" s="104">
        <f>+AE63/AD63-1</f>
        <v>9.9701492537313419E-2</v>
      </c>
      <c r="AF64" s="104">
        <f>+AF63/AE63-1</f>
        <v>0.15125081433224752</v>
      </c>
      <c r="AG64" s="104">
        <f>+AG63/AF63-1</f>
        <v>8.373167196704312E-2</v>
      </c>
    </row>
    <row r="66" spans="1:33" x14ac:dyDescent="0.3">
      <c r="A66" s="58" t="s">
        <v>192</v>
      </c>
      <c r="O66" s="88">
        <v>0.25</v>
      </c>
      <c r="P66" s="88">
        <v>0.25</v>
      </c>
      <c r="Q66" s="88">
        <v>0.25</v>
      </c>
      <c r="R66" s="88">
        <f t="shared" ref="R66:U66" si="57">Q66-2%</f>
        <v>0.23</v>
      </c>
      <c r="S66" s="88">
        <f t="shared" si="57"/>
        <v>0.21000000000000002</v>
      </c>
      <c r="T66" s="88">
        <f t="shared" si="57"/>
        <v>0.19000000000000003</v>
      </c>
      <c r="U66" s="88">
        <f t="shared" si="57"/>
        <v>0.17000000000000004</v>
      </c>
      <c r="V66" s="88">
        <f>U66-0.5%</f>
        <v>0.16500000000000004</v>
      </c>
      <c r="W66" s="88">
        <f t="shared" ref="W66:Y66" si="58">V66-0.5%</f>
        <v>0.16000000000000003</v>
      </c>
      <c r="X66" s="88">
        <f t="shared" si="58"/>
        <v>0.15500000000000003</v>
      </c>
      <c r="Y66" s="88">
        <f t="shared" si="58"/>
        <v>0.15000000000000002</v>
      </c>
    </row>
    <row r="67" spans="1:33" x14ac:dyDescent="0.3">
      <c r="A67" s="58" t="s">
        <v>193</v>
      </c>
      <c r="O67" s="65">
        <f t="shared" ref="O67:Y67" si="59">+O66*O62</f>
        <v>30.387500000000003</v>
      </c>
      <c r="P67" s="65">
        <f t="shared" si="59"/>
        <v>33.150000000000006</v>
      </c>
      <c r="Q67" s="65">
        <f t="shared" si="59"/>
        <v>35.912500000000009</v>
      </c>
      <c r="R67" s="65">
        <f t="shared" si="59"/>
        <v>46.77855000000001</v>
      </c>
      <c r="S67" s="65">
        <f t="shared" si="59"/>
        <v>71.949150000000017</v>
      </c>
      <c r="T67" s="65">
        <f t="shared" si="59"/>
        <v>98.099137500000055</v>
      </c>
      <c r="U67" s="65">
        <f t="shared" si="59"/>
        <v>94.676400000000029</v>
      </c>
      <c r="V67" s="65">
        <f t="shared" si="59"/>
        <v>103.52185593750005</v>
      </c>
      <c r="W67" s="65">
        <f t="shared" si="59"/>
        <v>105.25788000000004</v>
      </c>
      <c r="X67" s="65">
        <f t="shared" si="59"/>
        <v>106.68933843750006</v>
      </c>
      <c r="Y67" s="65">
        <f t="shared" si="59"/>
        <v>107.81623125000004</v>
      </c>
      <c r="AB67" s="65"/>
      <c r="AC67" s="65"/>
      <c r="AD67" s="65"/>
      <c r="AE67" s="65">
        <f>SUMIF($B$1:$U$1,AE$1,$B67:$U67)</f>
        <v>99.450000000000017</v>
      </c>
      <c r="AF67" s="65">
        <f>SUMIF($B$1:$U$1,AF$1,$B67:$U67)</f>
        <v>311.50323750000007</v>
      </c>
      <c r="AG67" s="65">
        <f>SUMIF($B$1:$Y$1,AG$1,$B67:$Y67)</f>
        <v>423.28530562500021</v>
      </c>
    </row>
    <row r="68" spans="1:33" x14ac:dyDescent="0.3">
      <c r="A68" s="58" t="s">
        <v>194</v>
      </c>
      <c r="B68" s="80">
        <f t="shared" ref="B68:Y68" si="60">+B13-B67</f>
        <v>2298</v>
      </c>
      <c r="C68" s="80">
        <f t="shared" si="60"/>
        <v>1608</v>
      </c>
      <c r="D68" s="80">
        <f t="shared" si="60"/>
        <v>2037</v>
      </c>
      <c r="E68" s="80">
        <f t="shared" si="60"/>
        <v>1342</v>
      </c>
      <c r="F68" s="80">
        <f t="shared" si="60"/>
        <v>2862</v>
      </c>
      <c r="G68" s="80">
        <f t="shared" si="60"/>
        <v>2036</v>
      </c>
      <c r="H68" s="80">
        <f t="shared" si="60"/>
        <v>2297</v>
      </c>
      <c r="I68" s="80">
        <f t="shared" si="60"/>
        <v>1759</v>
      </c>
      <c r="J68" s="80">
        <f t="shared" si="60"/>
        <v>3105</v>
      </c>
      <c r="K68" s="80">
        <f t="shared" si="60"/>
        <v>2286</v>
      </c>
      <c r="L68" s="80">
        <f t="shared" si="60"/>
        <v>2222</v>
      </c>
      <c r="M68" s="80">
        <f t="shared" si="60"/>
        <v>1659</v>
      </c>
      <c r="N68" s="80">
        <f t="shared" si="60"/>
        <v>3110</v>
      </c>
      <c r="O68" s="80">
        <f t="shared" si="60"/>
        <v>2460.6125000000002</v>
      </c>
      <c r="P68" s="80">
        <f t="shared" si="60"/>
        <v>2482.85</v>
      </c>
      <c r="Q68" s="80">
        <f t="shared" si="60"/>
        <v>1842.0875000000001</v>
      </c>
      <c r="R68" s="80">
        <f t="shared" si="60"/>
        <v>3262.22145</v>
      </c>
      <c r="S68" s="80">
        <f t="shared" si="60"/>
        <v>2543.0508500000001</v>
      </c>
      <c r="T68" s="80">
        <f t="shared" si="60"/>
        <v>2691.3921156704159</v>
      </c>
      <c r="U68" s="80">
        <f t="shared" si="60"/>
        <v>2347.9809565542969</v>
      </c>
      <c r="V68" s="80">
        <f t="shared" si="60"/>
        <v>3519.4973705344491</v>
      </c>
      <c r="W68" s="80">
        <f t="shared" si="60"/>
        <v>2750.072772308702</v>
      </c>
      <c r="X68" s="80">
        <f t="shared" si="60"/>
        <v>2811.902927625576</v>
      </c>
      <c r="Y68" s="80">
        <f t="shared" si="60"/>
        <v>2219.5369672817624</v>
      </c>
      <c r="AB68" s="80">
        <f t="shared" ref="AB68:AG68" si="61">+AB13-AB67</f>
        <v>7285</v>
      </c>
      <c r="AC68" s="80">
        <f t="shared" si="61"/>
        <v>8954</v>
      </c>
      <c r="AD68" s="80">
        <f t="shared" si="61"/>
        <v>9272</v>
      </c>
      <c r="AE68" s="80">
        <f t="shared" si="61"/>
        <v>9895.5499999999993</v>
      </c>
      <c r="AF68" s="80">
        <f t="shared" si="61"/>
        <v>10844.645372224717</v>
      </c>
      <c r="AG68" s="80">
        <f t="shared" si="61"/>
        <v>11301.010037750484</v>
      </c>
    </row>
    <row r="69" spans="1:33" x14ac:dyDescent="0.3">
      <c r="A69" s="103" t="s">
        <v>185</v>
      </c>
      <c r="F69" s="104">
        <f t="shared" ref="F69:Y69" si="62">+F68/B68-1</f>
        <v>0.2454308093994777</v>
      </c>
      <c r="G69" s="104">
        <f t="shared" si="62"/>
        <v>0.26616915422885579</v>
      </c>
      <c r="H69" s="104">
        <f t="shared" si="62"/>
        <v>0.12763868433971526</v>
      </c>
      <c r="I69" s="104">
        <f t="shared" si="62"/>
        <v>0.31073025335320414</v>
      </c>
      <c r="J69" s="104">
        <f t="shared" si="62"/>
        <v>8.4905660377358583E-2</v>
      </c>
      <c r="K69" s="104">
        <f t="shared" si="62"/>
        <v>0.1227897838899803</v>
      </c>
      <c r="L69" s="104">
        <f t="shared" si="62"/>
        <v>-3.2651284283848447E-2</v>
      </c>
      <c r="M69" s="104">
        <f t="shared" si="62"/>
        <v>-5.6850483229107462E-2</v>
      </c>
      <c r="N69" s="104">
        <f t="shared" si="62"/>
        <v>1.6103059581320522E-3</v>
      </c>
      <c r="O69" s="104">
        <f t="shared" si="62"/>
        <v>7.6383420822397241E-2</v>
      </c>
      <c r="P69" s="104">
        <f t="shared" si="62"/>
        <v>0.11739423942394245</v>
      </c>
      <c r="Q69" s="104">
        <f t="shared" si="62"/>
        <v>0.11036015672091626</v>
      </c>
      <c r="R69" s="104">
        <f t="shared" si="62"/>
        <v>4.8945803858520875E-2</v>
      </c>
      <c r="S69" s="104">
        <f t="shared" si="62"/>
        <v>3.3503182642533158E-2</v>
      </c>
      <c r="T69" s="104">
        <f t="shared" si="62"/>
        <v>8.3993038512361284E-2</v>
      </c>
      <c r="U69" s="104">
        <f t="shared" si="62"/>
        <v>0.27463052463810578</v>
      </c>
      <c r="V69" s="104">
        <f t="shared" si="62"/>
        <v>7.8865253164971172E-2</v>
      </c>
      <c r="W69" s="104">
        <f t="shared" si="62"/>
        <v>8.1406914182900358E-2</v>
      </c>
      <c r="X69" s="104">
        <f t="shared" si="62"/>
        <v>4.4776385890965331E-2</v>
      </c>
      <c r="Y69" s="104">
        <f t="shared" si="62"/>
        <v>-5.470401662074309E-2</v>
      </c>
      <c r="AC69" s="104">
        <f t="shared" ref="AC69:AG69" si="63">+AC68/AB68-1</f>
        <v>0.22910089224433761</v>
      </c>
      <c r="AD69" s="104">
        <f t="shared" si="63"/>
        <v>3.5514853696671844E-2</v>
      </c>
      <c r="AE69" s="104">
        <f t="shared" si="63"/>
        <v>6.7250862812769485E-2</v>
      </c>
      <c r="AF69" s="104">
        <f t="shared" si="63"/>
        <v>9.5911331075555939E-2</v>
      </c>
      <c r="AG69" s="104">
        <f t="shared" si="63"/>
        <v>4.208202756861068E-2</v>
      </c>
    </row>
    <row r="71" spans="1:33" x14ac:dyDescent="0.3">
      <c r="A71" s="66" t="s">
        <v>165</v>
      </c>
    </row>
    <row r="72" spans="1:33" x14ac:dyDescent="0.3">
      <c r="A72" s="58" t="s">
        <v>195</v>
      </c>
      <c r="B72" s="63">
        <f>-[2]Segment!F306</f>
        <v>0</v>
      </c>
      <c r="C72" s="63">
        <f>-[2]Segment!G306</f>
        <v>0</v>
      </c>
      <c r="D72" s="63">
        <f>-[2]Segment!H306</f>
        <v>0</v>
      </c>
      <c r="E72" s="63">
        <f>-[2]Segment!I306</f>
        <v>0</v>
      </c>
      <c r="F72" s="63">
        <f>-[2]Segment!J306</f>
        <v>1789</v>
      </c>
      <c r="G72" s="106">
        <f>-[2]Segment!K306</f>
        <v>1826</v>
      </c>
      <c r="H72" s="106">
        <f>-[2]Segment!L306</f>
        <v>1938</v>
      </c>
      <c r="I72" s="106">
        <f>-[2]Segment!M306</f>
        <v>2839</v>
      </c>
      <c r="J72" s="63">
        <f>-[2]Segment!N306</f>
        <v>2000</v>
      </c>
      <c r="K72" s="63">
        <f>-[2]Segment!O306</f>
        <v>2068</v>
      </c>
      <c r="L72" s="63">
        <f>-[2]Segment!P306</f>
        <v>2154</v>
      </c>
      <c r="M72" s="63">
        <f>-[2]Segment!Q306</f>
        <v>2170</v>
      </c>
      <c r="N72" s="63">
        <f>-[2]Segment!R306</f>
        <v>2164</v>
      </c>
      <c r="O72" s="63">
        <f>-[2]Segment!S306</f>
        <v>2213</v>
      </c>
      <c r="P72" s="63">
        <f>-[2]Segment!T306</f>
        <v>2284</v>
      </c>
      <c r="Q72" s="63">
        <f>-[2]Segment!U306</f>
        <v>2287</v>
      </c>
      <c r="R72" s="63">
        <f>-[2]Segment!V306</f>
        <v>2285</v>
      </c>
      <c r="S72" s="63">
        <f>-[2]Segment!W306</f>
        <v>2355</v>
      </c>
    </row>
    <row r="73" spans="1:33" x14ac:dyDescent="0.3">
      <c r="A73" s="58" t="s">
        <v>196</v>
      </c>
      <c r="B73" s="63">
        <f>-[2]Segment!F307</f>
        <v>0</v>
      </c>
      <c r="C73" s="63">
        <f>-[2]Segment!G307</f>
        <v>0</v>
      </c>
      <c r="D73" s="63">
        <f>-[2]Segment!H307</f>
        <v>0</v>
      </c>
      <c r="E73" s="63">
        <f>-[2]Segment!I307</f>
        <v>0</v>
      </c>
      <c r="F73" s="63">
        <f>-[2]Segment!J307</f>
        <v>722</v>
      </c>
      <c r="G73" s="106">
        <f>-[2]Segment!K307</f>
        <v>750</v>
      </c>
      <c r="H73" s="106">
        <f>-[2]Segment!L307</f>
        <v>754</v>
      </c>
      <c r="I73" s="106">
        <f>-[2]Segment!M307</f>
        <v>1137</v>
      </c>
      <c r="J73" s="63">
        <f>-[2]Segment!N307</f>
        <v>797</v>
      </c>
      <c r="K73" s="63">
        <f>-[2]Segment!O307</f>
        <v>812</v>
      </c>
      <c r="L73" s="63">
        <f>-[2]Segment!P307</f>
        <v>823</v>
      </c>
      <c r="M73" s="63">
        <f>-[2]Segment!Q307</f>
        <v>931</v>
      </c>
      <c r="N73" s="63">
        <f>-[2]Segment!R307</f>
        <v>801</v>
      </c>
      <c r="O73" s="63">
        <f>-[2]Segment!S307</f>
        <v>856</v>
      </c>
      <c r="P73" s="63">
        <f>-[2]Segment!T307</f>
        <v>870</v>
      </c>
      <c r="Q73" s="63">
        <f>-[2]Segment!U307</f>
        <v>984</v>
      </c>
      <c r="R73" s="63">
        <f>-[2]Segment!V307</f>
        <v>846</v>
      </c>
      <c r="S73" s="63">
        <f>-[2]Segment!W307</f>
        <v>856</v>
      </c>
    </row>
    <row r="74" spans="1:33" x14ac:dyDescent="0.3">
      <c r="A74" s="58" t="s">
        <v>197</v>
      </c>
      <c r="B74" s="63">
        <f>-[2]Segment!F308</f>
        <v>0</v>
      </c>
      <c r="C74" s="63">
        <f>-[2]Segment!G308</f>
        <v>0</v>
      </c>
      <c r="D74" s="63">
        <f>-[2]Segment!H308</f>
        <v>0</v>
      </c>
      <c r="E74" s="63">
        <f>-[2]Segment!I308</f>
        <v>0</v>
      </c>
      <c r="F74" s="63">
        <f>-[2]Segment!J308</f>
        <v>912</v>
      </c>
      <c r="G74" s="106">
        <f>-[2]Segment!K308</f>
        <v>767</v>
      </c>
      <c r="H74" s="106">
        <f>-[2]Segment!L308</f>
        <v>811</v>
      </c>
      <c r="I74" s="106">
        <f>-[2]Segment!M308</f>
        <v>829</v>
      </c>
      <c r="J74" s="63">
        <f>-[2]Segment!N308</f>
        <v>904</v>
      </c>
      <c r="K74" s="63">
        <f>-[2]Segment!O308</f>
        <v>798</v>
      </c>
      <c r="L74" s="63">
        <f>-[2]Segment!P308</f>
        <v>780</v>
      </c>
      <c r="M74" s="63">
        <f>-[2]Segment!Q308</f>
        <v>837</v>
      </c>
      <c r="N74" s="63">
        <f>-[2]Segment!R308</f>
        <v>929</v>
      </c>
      <c r="O74" s="63">
        <f>-[2]Segment!S308</f>
        <v>723</v>
      </c>
      <c r="P74" s="63">
        <f>-[2]Segment!T308</f>
        <v>779</v>
      </c>
      <c r="Q74" s="63">
        <f>-[2]Segment!U308</f>
        <v>822</v>
      </c>
      <c r="R74" s="63">
        <f>-[2]Segment!V308</f>
        <v>943</v>
      </c>
      <c r="S74" s="63">
        <f>-[2]Segment!W308</f>
        <v>773</v>
      </c>
    </row>
    <row r="75" spans="1:33" x14ac:dyDescent="0.3">
      <c r="A75" s="58" t="s">
        <v>198</v>
      </c>
      <c r="B75" s="63">
        <f>-[2]Segment!F309</f>
        <v>0</v>
      </c>
      <c r="C75" s="63">
        <f>-[2]Segment!G309</f>
        <v>0</v>
      </c>
      <c r="D75" s="63">
        <f>-[2]Segment!H309</f>
        <v>0</v>
      </c>
      <c r="E75" s="63">
        <f>-[2]Segment!I309</f>
        <v>0</v>
      </c>
      <c r="F75" s="63">
        <f>-[2]Segment!J309</f>
        <v>716</v>
      </c>
      <c r="G75" s="106">
        <f>-[2]Segment!K309</f>
        <v>763</v>
      </c>
      <c r="H75" s="106">
        <f>-[2]Segment!L309</f>
        <v>776</v>
      </c>
      <c r="I75" s="106">
        <f>-[2]Segment!M309</f>
        <v>1027</v>
      </c>
      <c r="J75" s="63">
        <f>-[2]Segment!N309</f>
        <v>779</v>
      </c>
      <c r="K75" s="63">
        <f>-[2]Segment!O309</f>
        <v>831</v>
      </c>
      <c r="L75" s="63">
        <f>-[2]Segment!P309</f>
        <v>816</v>
      </c>
      <c r="M75" s="63">
        <f>-[2]Segment!Q309</f>
        <v>856</v>
      </c>
      <c r="N75" s="63">
        <f>-[2]Segment!R309</f>
        <v>784</v>
      </c>
      <c r="O75" s="63">
        <f>-[2]Segment!S309</f>
        <v>877</v>
      </c>
      <c r="P75" s="63">
        <f>-[2]Segment!T309</f>
        <v>875</v>
      </c>
      <c r="Q75" s="63">
        <f>-[2]Segment!U309</f>
        <v>976</v>
      </c>
      <c r="R75" s="63">
        <f>-[2]Segment!V309</f>
        <v>902</v>
      </c>
      <c r="S75" s="63">
        <f>-[2]Segment!W309</f>
        <v>985</v>
      </c>
    </row>
    <row r="76" spans="1:33" x14ac:dyDescent="0.3">
      <c r="A76" s="66" t="s">
        <v>199</v>
      </c>
      <c r="F76" s="80">
        <f t="shared" ref="F76:S76" si="64">+SUM(F72:F75)</f>
        <v>4139</v>
      </c>
      <c r="G76" s="80">
        <f t="shared" si="64"/>
        <v>4106</v>
      </c>
      <c r="H76" s="80">
        <f t="shared" si="64"/>
        <v>4279</v>
      </c>
      <c r="I76" s="80">
        <f t="shared" si="64"/>
        <v>5832</v>
      </c>
      <c r="J76" s="80">
        <f t="shared" si="64"/>
        <v>4480</v>
      </c>
      <c r="K76" s="80">
        <f t="shared" si="64"/>
        <v>4509</v>
      </c>
      <c r="L76" s="80">
        <f t="shared" si="64"/>
        <v>4573</v>
      </c>
      <c r="M76" s="80">
        <f t="shared" si="64"/>
        <v>4794</v>
      </c>
      <c r="N76" s="80">
        <f t="shared" si="64"/>
        <v>4678</v>
      </c>
      <c r="O76" s="80">
        <f t="shared" si="64"/>
        <v>4669</v>
      </c>
      <c r="P76" s="80">
        <f t="shared" si="64"/>
        <v>4808</v>
      </c>
      <c r="Q76" s="80">
        <f t="shared" si="64"/>
        <v>5069</v>
      </c>
      <c r="R76" s="80">
        <f t="shared" si="64"/>
        <v>4976</v>
      </c>
      <c r="S76" s="80">
        <f t="shared" si="64"/>
        <v>4969</v>
      </c>
    </row>
    <row r="78" spans="1:33" x14ac:dyDescent="0.3">
      <c r="A78" s="103" t="s">
        <v>185</v>
      </c>
    </row>
    <row r="79" spans="1:33" x14ac:dyDescent="0.3">
      <c r="A79" s="58" t="s">
        <v>195</v>
      </c>
      <c r="J79" s="77">
        <f t="shared" ref="J79:S82" si="65">+J72/F72-1</f>
        <v>0.11794298490776978</v>
      </c>
      <c r="K79" s="77">
        <f t="shared" si="65"/>
        <v>0.1325301204819278</v>
      </c>
      <c r="L79" s="77">
        <f t="shared" si="65"/>
        <v>0.11145510835913308</v>
      </c>
      <c r="M79" s="77">
        <f t="shared" si="65"/>
        <v>-0.23564635435012327</v>
      </c>
      <c r="N79" s="77">
        <f t="shared" si="65"/>
        <v>8.2000000000000073E-2</v>
      </c>
      <c r="O79" s="77">
        <f t="shared" si="65"/>
        <v>7.0116054158607444E-2</v>
      </c>
      <c r="P79" s="77">
        <f t="shared" si="65"/>
        <v>6.0352831940575724E-2</v>
      </c>
      <c r="Q79" s="77">
        <f t="shared" si="65"/>
        <v>5.3917050691244306E-2</v>
      </c>
      <c r="R79" s="77">
        <f t="shared" si="65"/>
        <v>5.5914972273567454E-2</v>
      </c>
      <c r="S79" s="77">
        <f t="shared" si="65"/>
        <v>6.4166290103931267E-2</v>
      </c>
    </row>
    <row r="80" spans="1:33" x14ac:dyDescent="0.3">
      <c r="A80" s="58" t="s">
        <v>196</v>
      </c>
      <c r="J80" s="77">
        <f t="shared" si="65"/>
        <v>0.10387811634349031</v>
      </c>
      <c r="K80" s="77">
        <f t="shared" si="65"/>
        <v>8.2666666666666666E-2</v>
      </c>
      <c r="L80" s="77">
        <f t="shared" si="65"/>
        <v>9.1511936339522482E-2</v>
      </c>
      <c r="M80" s="77">
        <f t="shared" si="65"/>
        <v>-0.18117854001759015</v>
      </c>
      <c r="N80" s="77">
        <f t="shared" si="65"/>
        <v>5.0188205771644068E-3</v>
      </c>
      <c r="O80" s="77">
        <f t="shared" si="65"/>
        <v>5.4187192118226646E-2</v>
      </c>
      <c r="P80" s="77">
        <f t="shared" si="65"/>
        <v>5.7108140947752073E-2</v>
      </c>
      <c r="Q80" s="77">
        <f t="shared" si="65"/>
        <v>5.6928034371643399E-2</v>
      </c>
      <c r="R80" s="77">
        <f t="shared" si="65"/>
        <v>5.6179775280898792E-2</v>
      </c>
      <c r="S80" s="77">
        <f t="shared" si="65"/>
        <v>0</v>
      </c>
    </row>
    <row r="81" spans="1:19" x14ac:dyDescent="0.3">
      <c r="A81" s="58" t="s">
        <v>197</v>
      </c>
      <c r="J81" s="77">
        <f t="shared" si="65"/>
        <v>-8.7719298245614308E-3</v>
      </c>
      <c r="K81" s="77">
        <f t="shared" si="65"/>
        <v>4.041720990873543E-2</v>
      </c>
      <c r="L81" s="77">
        <f t="shared" si="65"/>
        <v>-3.8224414303329235E-2</v>
      </c>
      <c r="M81" s="77">
        <f t="shared" si="65"/>
        <v>9.6501809408926498E-3</v>
      </c>
      <c r="N81" s="77">
        <f t="shared" si="65"/>
        <v>2.7654867256637239E-2</v>
      </c>
      <c r="O81" s="77">
        <f t="shared" si="65"/>
        <v>-9.398496240601506E-2</v>
      </c>
      <c r="P81" s="77">
        <f t="shared" si="65"/>
        <v>-1.2820512820512775E-3</v>
      </c>
      <c r="Q81" s="77">
        <f t="shared" si="65"/>
        <v>-1.7921146953404965E-2</v>
      </c>
      <c r="R81" s="77">
        <f t="shared" si="65"/>
        <v>1.506996770721214E-2</v>
      </c>
      <c r="S81" s="77">
        <f t="shared" si="65"/>
        <v>6.9156293222683241E-2</v>
      </c>
    </row>
    <row r="82" spans="1:19" x14ac:dyDescent="0.3">
      <c r="A82" s="58" t="s">
        <v>198</v>
      </c>
      <c r="J82" s="77">
        <f t="shared" si="65"/>
        <v>8.7988826815642351E-2</v>
      </c>
      <c r="K82" s="77">
        <f t="shared" si="65"/>
        <v>8.912188728702497E-2</v>
      </c>
      <c r="L82" s="77">
        <f t="shared" si="65"/>
        <v>5.1546391752577359E-2</v>
      </c>
      <c r="M82" s="77">
        <f t="shared" si="65"/>
        <v>-0.16650438169425508</v>
      </c>
      <c r="N82" s="77">
        <f t="shared" si="65"/>
        <v>6.4184852374840062E-3</v>
      </c>
      <c r="O82" s="77">
        <f t="shared" si="65"/>
        <v>5.53549939831528E-2</v>
      </c>
      <c r="P82" s="77">
        <f t="shared" si="65"/>
        <v>7.2303921568627416E-2</v>
      </c>
      <c r="Q82" s="77">
        <f t="shared" si="65"/>
        <v>0.14018691588785037</v>
      </c>
      <c r="R82" s="77">
        <f t="shared" si="65"/>
        <v>0.15051020408163263</v>
      </c>
      <c r="S82" s="77">
        <f t="shared" si="65"/>
        <v>0.12314709236031929</v>
      </c>
    </row>
    <row r="113" outlineLevel="1" x14ac:dyDescent="0.3"/>
    <row r="114" outlineLevel="1" x14ac:dyDescent="0.3"/>
    <row r="115" outlineLevel="1" x14ac:dyDescent="0.3"/>
    <row r="116" outlineLevel="1" x14ac:dyDescent="0.3"/>
    <row r="117" s="66" customFormat="1" outlineLevel="1" x14ac:dyDescent="0.3"/>
    <row r="118" outlineLevel="1" x14ac:dyDescent="0.3"/>
    <row r="119" outlineLevel="1" x14ac:dyDescent="0.3"/>
    <row r="120" outlineLevel="1" x14ac:dyDescent="0.3"/>
    <row r="121" outlineLevel="1" x14ac:dyDescent="0.3"/>
    <row r="122" s="66" customFormat="1" outlineLevel="1" x14ac:dyDescent="0.3"/>
    <row r="123" outlineLevel="1" x14ac:dyDescent="0.3"/>
    <row r="124" outlineLevel="1" x14ac:dyDescent="0.3"/>
    <row r="125" outlineLevel="1" collapsed="1" x14ac:dyDescent="0.3"/>
    <row r="126" outlineLevel="1" x14ac:dyDescent="0.3"/>
    <row r="127" outlineLevel="1" x14ac:dyDescent="0.3"/>
    <row r="128" outlineLevel="1" x14ac:dyDescent="0.3"/>
    <row r="129" outlineLevel="1" x14ac:dyDescent="0.3"/>
    <row r="130" outlineLevel="1" x14ac:dyDescent="0.3"/>
    <row r="131" outlineLevel="1" x14ac:dyDescent="0.3"/>
    <row r="132" outlineLevel="1" x14ac:dyDescent="0.3"/>
    <row r="133" outlineLevel="1" x14ac:dyDescent="0.3"/>
    <row r="134" outlineLevel="1" x14ac:dyDescent="0.3"/>
    <row r="135" outlineLevel="1" x14ac:dyDescent="0.3"/>
    <row r="136" outlineLevel="1" x14ac:dyDescent="0.3"/>
  </sheetData>
  <pageMargins left="0.7" right="0.7" top="0.75" bottom="0.75" header="0.3" footer="0.3"/>
  <pageSetup scale="59" orientation="portrait" r:id="rId1"/>
  <colBreaks count="1" manualBreakCount="1">
    <brk id="19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01F8-F355-4ABB-8D70-DEE5148E3AF7}">
  <dimension ref="A1:AO386"/>
  <sheetViews>
    <sheetView showGridLines="0" zoomScale="62" zoomScaleNormal="85" workbookViewId="0">
      <pane xSplit="2" ySplit="5" topLeftCell="C13" activePane="bottomRight" state="frozen"/>
      <selection pane="topRight" activeCell="C1" sqref="C1"/>
      <selection pane="bottomLeft" activeCell="A5" sqref="A5"/>
      <selection pane="bottomRight" activeCell="W19" sqref="W19"/>
    </sheetView>
  </sheetViews>
  <sheetFormatPr defaultColWidth="9.33203125" defaultRowHeight="14.4" x14ac:dyDescent="0.25"/>
  <cols>
    <col min="1" max="1" width="9.33203125" style="1"/>
    <col min="2" max="2" width="41.77734375" style="1" customWidth="1"/>
    <col min="3" max="3" width="13" style="1" bestFit="1" customWidth="1"/>
    <col min="4" max="12" width="12" style="1" bestFit="1" customWidth="1"/>
    <col min="13" max="14" width="11.109375" style="1" bestFit="1" customWidth="1"/>
    <col min="15" max="22" width="11.109375" style="1" customWidth="1"/>
    <col min="23" max="26" width="9.33203125" style="1"/>
    <col min="27" max="28" width="13.6640625" style="1" bestFit="1" customWidth="1"/>
    <col min="29" max="29" width="12.33203125" style="1" bestFit="1" customWidth="1"/>
    <col min="30" max="31" width="10.33203125" style="1" bestFit="1" customWidth="1"/>
    <col min="32" max="16384" width="9.33203125" style="1"/>
  </cols>
  <sheetData>
    <row r="1" spans="1:31" x14ac:dyDescent="0.25">
      <c r="C1" s="1">
        <v>2021</v>
      </c>
      <c r="D1" s="1">
        <f>C1</f>
        <v>2021</v>
      </c>
      <c r="E1" s="1">
        <f t="shared" ref="E1:F1" si="0">D1</f>
        <v>2021</v>
      </c>
      <c r="F1" s="1">
        <f t="shared" si="0"/>
        <v>2021</v>
      </c>
      <c r="G1" s="1">
        <f>C1+1</f>
        <v>2022</v>
      </c>
      <c r="H1" s="1">
        <f t="shared" ref="H1:N1" si="1">D1+1</f>
        <v>2022</v>
      </c>
      <c r="I1" s="1">
        <f t="shared" si="1"/>
        <v>2022</v>
      </c>
      <c r="J1" s="1">
        <f t="shared" si="1"/>
        <v>2022</v>
      </c>
      <c r="K1" s="1">
        <f t="shared" si="1"/>
        <v>2023</v>
      </c>
      <c r="L1" s="1">
        <f t="shared" si="1"/>
        <v>2023</v>
      </c>
      <c r="M1" s="1">
        <f t="shared" si="1"/>
        <v>2023</v>
      </c>
      <c r="N1" s="1">
        <f t="shared" si="1"/>
        <v>2023</v>
      </c>
      <c r="O1" s="1">
        <v>2024</v>
      </c>
      <c r="P1" s="1">
        <v>2024</v>
      </c>
      <c r="Q1" s="1">
        <v>2024</v>
      </c>
      <c r="R1" s="1">
        <v>2024</v>
      </c>
      <c r="S1" s="1">
        <v>2025</v>
      </c>
      <c r="T1" s="1">
        <v>2025</v>
      </c>
      <c r="U1" s="1">
        <v>2025</v>
      </c>
      <c r="V1" s="1">
        <v>2025</v>
      </c>
      <c r="W1" s="1">
        <v>2026</v>
      </c>
      <c r="X1" s="1">
        <v>2026</v>
      </c>
      <c r="AA1" s="1">
        <v>2021</v>
      </c>
      <c r="AB1" s="1">
        <v>2022</v>
      </c>
      <c r="AC1" s="1">
        <v>2023</v>
      </c>
      <c r="AD1" s="1">
        <v>2024</v>
      </c>
      <c r="AE1" s="1">
        <v>2025</v>
      </c>
    </row>
    <row r="2" spans="1:31" x14ac:dyDescent="0.25">
      <c r="C2" s="1">
        <v>1</v>
      </c>
      <c r="D2" s="1">
        <f>C2+1</f>
        <v>2</v>
      </c>
      <c r="E2" s="1">
        <f t="shared" ref="E2:F2" si="2">D2+1</f>
        <v>3</v>
      </c>
      <c r="F2" s="1">
        <f t="shared" si="2"/>
        <v>4</v>
      </c>
      <c r="G2" s="1">
        <f>C2</f>
        <v>1</v>
      </c>
      <c r="H2" s="1">
        <f t="shared" ref="H2:N2" si="3">D2</f>
        <v>2</v>
      </c>
      <c r="I2" s="1">
        <f t="shared" si="3"/>
        <v>3</v>
      </c>
      <c r="J2" s="1">
        <f t="shared" si="3"/>
        <v>4</v>
      </c>
      <c r="K2" s="1">
        <f t="shared" si="3"/>
        <v>1</v>
      </c>
      <c r="L2" s="1">
        <f t="shared" si="3"/>
        <v>2</v>
      </c>
      <c r="M2" s="1">
        <f t="shared" si="3"/>
        <v>3</v>
      </c>
      <c r="N2" s="1">
        <f t="shared" si="3"/>
        <v>4</v>
      </c>
      <c r="O2" s="1">
        <v>1</v>
      </c>
      <c r="P2" s="1">
        <v>2</v>
      </c>
      <c r="Q2" s="1">
        <v>3</v>
      </c>
      <c r="R2" s="1">
        <v>4</v>
      </c>
      <c r="S2" s="1">
        <v>1</v>
      </c>
      <c r="T2" s="1">
        <v>2</v>
      </c>
      <c r="U2" s="1">
        <v>3</v>
      </c>
      <c r="V2" s="1">
        <v>4</v>
      </c>
      <c r="W2" s="1">
        <v>1</v>
      </c>
      <c r="X2" s="1">
        <v>2</v>
      </c>
    </row>
    <row r="3" spans="1:31" hidden="1" x14ac:dyDescent="0.25"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</row>
    <row r="4" spans="1:31" hidden="1" x14ac:dyDescent="0.25">
      <c r="C4" s="1">
        <v>1</v>
      </c>
      <c r="D4" s="1">
        <f>C4+1</f>
        <v>2</v>
      </c>
      <c r="E4" s="1">
        <f t="shared" ref="E4:F4" si="4">D4+1</f>
        <v>3</v>
      </c>
      <c r="F4" s="1">
        <f t="shared" si="4"/>
        <v>4</v>
      </c>
      <c r="G4" s="1">
        <v>1</v>
      </c>
      <c r="H4" s="1">
        <f t="shared" ref="H4:N4" si="5">G4+1</f>
        <v>2</v>
      </c>
      <c r="I4" s="1">
        <f t="shared" si="5"/>
        <v>3</v>
      </c>
      <c r="J4" s="1">
        <f t="shared" si="5"/>
        <v>4</v>
      </c>
      <c r="K4" s="1">
        <v>1</v>
      </c>
      <c r="L4" s="1">
        <f t="shared" si="5"/>
        <v>2</v>
      </c>
      <c r="M4" s="1">
        <f t="shared" si="5"/>
        <v>3</v>
      </c>
      <c r="N4" s="1">
        <f t="shared" si="5"/>
        <v>4</v>
      </c>
    </row>
    <row r="5" spans="1:31" x14ac:dyDescent="0.25">
      <c r="B5" s="2" t="s">
        <v>1</v>
      </c>
      <c r="C5" s="2" t="str">
        <f>_xlfn.CONCAT(C4,C3,21)</f>
        <v>1Q21</v>
      </c>
      <c r="D5" s="2" t="str">
        <f t="shared" ref="D5:F5" si="6">_xlfn.CONCAT(D4,D3,21)</f>
        <v>2Q21</v>
      </c>
      <c r="E5" s="2" t="str">
        <f t="shared" si="6"/>
        <v>3Q21</v>
      </c>
      <c r="F5" s="2" t="str">
        <f t="shared" si="6"/>
        <v>4Q21</v>
      </c>
      <c r="G5" s="2" t="str">
        <f>_xlfn.CONCAT(G4,G3,22)</f>
        <v>1Q22</v>
      </c>
      <c r="H5" s="2" t="str">
        <f t="shared" ref="H5:J5" si="7">_xlfn.CONCAT(H4,H3,22)</f>
        <v>2Q22</v>
      </c>
      <c r="I5" s="2" t="str">
        <f t="shared" si="7"/>
        <v>3Q22</v>
      </c>
      <c r="J5" s="2" t="str">
        <f t="shared" si="7"/>
        <v>4Q22</v>
      </c>
      <c r="K5" s="2" t="str">
        <f>_xlfn.CONCAT(K4,K3,23)</f>
        <v>1Q23</v>
      </c>
      <c r="L5" s="2" t="str">
        <f t="shared" ref="L5:N5" si="8">_xlfn.CONCAT(L4,L3,23)</f>
        <v>2Q23</v>
      </c>
      <c r="M5" s="2" t="str">
        <f t="shared" si="8"/>
        <v>3Q23</v>
      </c>
      <c r="N5" s="2" t="str">
        <f t="shared" si="8"/>
        <v>4Q23</v>
      </c>
      <c r="O5" s="2" t="s">
        <v>2</v>
      </c>
      <c r="P5" s="2" t="s">
        <v>3</v>
      </c>
      <c r="Q5" s="2" t="s">
        <v>4</v>
      </c>
      <c r="R5" s="2" t="s">
        <v>5</v>
      </c>
      <c r="S5" s="2" t="s">
        <v>6</v>
      </c>
      <c r="T5" s="2" t="s">
        <v>7</v>
      </c>
      <c r="U5" s="2" t="s">
        <v>8</v>
      </c>
      <c r="V5" s="2" t="s">
        <v>9</v>
      </c>
      <c r="W5" s="2" t="s">
        <v>10</v>
      </c>
      <c r="X5" s="2" t="s">
        <v>11</v>
      </c>
      <c r="Y5" s="2"/>
      <c r="Z5" s="2"/>
      <c r="AA5" s="2">
        <v>2021</v>
      </c>
      <c r="AB5" s="2">
        <v>2022</v>
      </c>
      <c r="AC5" s="2">
        <v>2023</v>
      </c>
      <c r="AD5" s="2">
        <v>2024</v>
      </c>
      <c r="AE5" s="2">
        <v>2025</v>
      </c>
    </row>
    <row r="6" spans="1:31" s="6" customFormat="1" x14ac:dyDescent="0.25">
      <c r="A6" s="3"/>
      <c r="B6" s="4" t="s">
        <v>12</v>
      </c>
      <c r="C6" s="5">
        <f t="shared" ref="C6:N6" si="9">C23+C86+C187+C191</f>
        <v>27203</v>
      </c>
      <c r="D6" s="5">
        <f t="shared" si="9"/>
        <v>28547</v>
      </c>
      <c r="E6" s="5">
        <f t="shared" si="9"/>
        <v>30297</v>
      </c>
      <c r="F6" s="5">
        <f t="shared" si="9"/>
        <v>30335</v>
      </c>
      <c r="G6" s="5">
        <f t="shared" si="9"/>
        <v>31011</v>
      </c>
      <c r="H6" s="5">
        <f t="shared" si="9"/>
        <v>30016</v>
      </c>
      <c r="I6" s="5">
        <f t="shared" si="9"/>
        <v>29850</v>
      </c>
      <c r="J6" s="5">
        <f t="shared" si="9"/>
        <v>30552</v>
      </c>
      <c r="K6" s="5">
        <f t="shared" si="9"/>
        <v>29692</v>
      </c>
      <c r="L6" s="5">
        <f t="shared" si="9"/>
        <v>30516</v>
      </c>
      <c r="M6" s="5">
        <f t="shared" si="9"/>
        <v>30115</v>
      </c>
      <c r="N6" s="5">
        <f t="shared" si="9"/>
        <v>31252</v>
      </c>
      <c r="O6" s="5">
        <f>O23+O86+O187+O191-1</f>
        <v>28013</v>
      </c>
      <c r="P6" s="5">
        <f>P23+P86+P187+P191</f>
        <v>27582</v>
      </c>
      <c r="Q6" s="5">
        <f>Q23+Q86+Q187+Q191</f>
        <v>30014</v>
      </c>
      <c r="R6" s="5">
        <f>R23+R86+R187+R191</f>
        <v>29851</v>
      </c>
      <c r="S6" s="5">
        <f>S23+S86+S187+S191-1</f>
        <v>27865</v>
      </c>
      <c r="T6" s="5">
        <f>T23+T86+T187+T191+1</f>
        <v>28249</v>
      </c>
      <c r="U6" s="5">
        <f>U23+U86+U187+U191-1</f>
        <v>29151</v>
      </c>
      <c r="V6" s="5">
        <f>V23+V86+V187+V191</f>
        <v>30287</v>
      </c>
      <c r="W6" s="5">
        <f>W23+W86+W187+W191-1</f>
        <v>30892</v>
      </c>
      <c r="X6" s="5">
        <f>X23+X86+X187+X191+1</f>
        <v>29568</v>
      </c>
      <c r="AA6" s="7">
        <f>SUMIF($C$1:$M$1,AA$1,$C6:$M6)</f>
        <v>116382</v>
      </c>
      <c r="AB6" s="7">
        <f t="shared" ref="AB6" si="10">SUMIF($C$1:$M$1,AB$1,$C6:$M6)</f>
        <v>121429</v>
      </c>
      <c r="AC6" s="7">
        <f>SUMIF($C$1:$N$1,AC$1,$C6:$N6)</f>
        <v>121575</v>
      </c>
      <c r="AD6" s="7">
        <f>SUMIF($C$1:$R$1,AD$1,$C6:$R6)-1</f>
        <v>115459</v>
      </c>
      <c r="AE6" s="7">
        <f>SUMIF($C$1:$V$1,AE$1,$C6:$V6)</f>
        <v>115552</v>
      </c>
    </row>
    <row r="7" spans="1:31" s="8" customFormat="1" x14ac:dyDescent="0.25">
      <c r="B7" s="9"/>
    </row>
    <row r="8" spans="1:31" s="8" customFormat="1" x14ac:dyDescent="0.25">
      <c r="B8" s="10" t="s">
        <v>13</v>
      </c>
    </row>
    <row r="9" spans="1:31" s="8" customFormat="1" x14ac:dyDescent="0.25">
      <c r="B9" s="4" t="s">
        <v>12</v>
      </c>
      <c r="C9" s="5">
        <v>27203</v>
      </c>
      <c r="D9" s="5">
        <v>28547</v>
      </c>
      <c r="E9" s="5">
        <v>30297</v>
      </c>
      <c r="F9" s="5">
        <v>30335</v>
      </c>
      <c r="G9" s="5">
        <v>31011</v>
      </c>
      <c r="H9" s="5">
        <v>30016</v>
      </c>
      <c r="I9" s="5">
        <v>29850</v>
      </c>
      <c r="J9" s="5">
        <v>30552</v>
      </c>
      <c r="K9" s="5">
        <v>29692</v>
      </c>
      <c r="L9" s="5">
        <v>30516</v>
      </c>
      <c r="M9" s="5">
        <v>30115</v>
      </c>
      <c r="N9" s="5">
        <v>31252</v>
      </c>
      <c r="O9" s="5">
        <v>28461</v>
      </c>
      <c r="P9" s="5">
        <v>28098</v>
      </c>
      <c r="Q9" s="5">
        <v>30532</v>
      </c>
      <c r="R9" s="5">
        <v>30372</v>
      </c>
      <c r="S9" s="5">
        <v>28369</v>
      </c>
      <c r="T9" s="5">
        <v>28790</v>
      </c>
      <c r="U9" s="5">
        <v>29704</v>
      </c>
      <c r="V9" s="5">
        <v>30877</v>
      </c>
      <c r="W9" s="6"/>
      <c r="X9" s="6"/>
      <c r="Y9" s="6"/>
      <c r="Z9" s="6"/>
      <c r="AA9" s="7">
        <v>116382</v>
      </c>
      <c r="AB9" s="7">
        <v>121429</v>
      </c>
      <c r="AC9" s="7">
        <v>121575</v>
      </c>
      <c r="AD9" s="7">
        <v>117463</v>
      </c>
      <c r="AE9" s="7">
        <v>117740</v>
      </c>
    </row>
    <row r="10" spans="1:31" s="8" customFormat="1" x14ac:dyDescent="0.25">
      <c r="B10" s="9"/>
    </row>
    <row r="11" spans="1:31" s="11" customFormat="1" x14ac:dyDescent="0.25">
      <c r="A11" s="3" t="s">
        <v>14</v>
      </c>
      <c r="B11" s="4" t="s">
        <v>15</v>
      </c>
    </row>
    <row r="12" spans="1:31" x14ac:dyDescent="0.25">
      <c r="B12" s="1" t="s">
        <v>16</v>
      </c>
      <c r="C12" s="12">
        <f>SUM(C13:C17)</f>
        <v>6875</v>
      </c>
      <c r="D12" s="12">
        <f t="shared" ref="D12:L12" si="11">SUM(D13:D17)</f>
        <v>7067</v>
      </c>
      <c r="E12" s="12">
        <f>SUM(E13:E17)</f>
        <v>7244</v>
      </c>
      <c r="F12" s="12">
        <f t="shared" si="11"/>
        <v>7466</v>
      </c>
      <c r="G12" s="12">
        <f t="shared" si="11"/>
        <v>7567</v>
      </c>
      <c r="H12" s="12">
        <f t="shared" si="11"/>
        <v>7620</v>
      </c>
      <c r="I12" s="12">
        <f t="shared" si="11"/>
        <v>7766</v>
      </c>
      <c r="J12" s="12">
        <f t="shared" si="11"/>
        <v>8013</v>
      </c>
      <c r="K12" s="12">
        <f t="shared" si="11"/>
        <v>7945</v>
      </c>
      <c r="L12" s="12">
        <f t="shared" si="11"/>
        <v>8065</v>
      </c>
      <c r="M12" s="12">
        <f>SUM(M13:M17)+1</f>
        <v>8179</v>
      </c>
      <c r="N12" s="12">
        <f t="shared" ref="N12" si="12">SUM(N13:N17)</f>
        <v>8392</v>
      </c>
      <c r="O12" s="12">
        <f>SUM(O15:O17)</f>
        <v>8578</v>
      </c>
      <c r="P12" s="12">
        <f>SUM(P15:P17)+1</f>
        <v>8625</v>
      </c>
      <c r="Q12" s="12">
        <f>SUM(Q15:Q17)+1</f>
        <v>8762</v>
      </c>
      <c r="R12" s="12">
        <f t="shared" ref="R12:S12" si="13">SUM(R15:R17)</f>
        <v>8961</v>
      </c>
      <c r="S12" s="12">
        <f t="shared" si="13"/>
        <v>8934</v>
      </c>
      <c r="T12" s="12">
        <f>SUM(T15:T17)</f>
        <v>9063</v>
      </c>
      <c r="U12" s="12">
        <f>SUM(U15:U17)</f>
        <v>9071</v>
      </c>
      <c r="V12" s="12">
        <f>SUM(V15:V17)</f>
        <v>9150</v>
      </c>
      <c r="W12" s="12">
        <f>SUM(W15:W17)</f>
        <v>8973</v>
      </c>
      <c r="X12" s="12">
        <f>SUM(X15:X17)</f>
        <v>8937</v>
      </c>
      <c r="Y12" s="12"/>
      <c r="Z12" s="12"/>
      <c r="AA12" s="13">
        <f>SUMIF($C$1:$M$1,AA$1,$C12:$M12)</f>
        <v>28652</v>
      </c>
      <c r="AB12" s="13">
        <f t="shared" ref="AA12:AC89" si="14">SUMIF($C$1:$M$1,AB$1,$C12:$M12)</f>
        <v>30966</v>
      </c>
      <c r="AC12" s="13">
        <f t="shared" ref="AC12:AC23" si="15">SUMIF($C$1:$N$1,AC$1,$C12:$N12)</f>
        <v>32581</v>
      </c>
      <c r="AD12" s="13">
        <f>SUMIF($C$1:$R$1,AD$1,$C12:$R12)-1</f>
        <v>34925</v>
      </c>
      <c r="AE12" s="13">
        <f>SUMIF($C$1:$V$1,AE$1,$C12:$V12)</f>
        <v>36218</v>
      </c>
    </row>
    <row r="13" spans="1:31" x14ac:dyDescent="0.25">
      <c r="B13" s="14" t="s">
        <v>17</v>
      </c>
      <c r="C13" s="15">
        <v>5600</v>
      </c>
      <c r="D13" s="15">
        <v>5717</v>
      </c>
      <c r="E13" s="15">
        <v>5801</v>
      </c>
      <c r="F13" s="15">
        <v>5861</v>
      </c>
      <c r="G13" s="15">
        <v>6050</v>
      </c>
      <c r="H13" s="15">
        <v>6107</v>
      </c>
      <c r="I13" s="15">
        <v>6135</v>
      </c>
      <c r="J13" s="15">
        <v>6177</v>
      </c>
      <c r="K13" s="15">
        <v>6246</v>
      </c>
      <c r="L13" s="15">
        <v>6270</v>
      </c>
      <c r="M13" s="15">
        <v>6229</v>
      </c>
      <c r="N13" s="15">
        <v>6254</v>
      </c>
      <c r="O13" s="15">
        <f>'[1]pro-forma'!B8</f>
        <v>6573</v>
      </c>
      <c r="P13" s="15">
        <f>'[1]pro-forma'!C8</f>
        <v>6549</v>
      </c>
      <c r="Q13" s="15">
        <f>'[1]pro-forma'!D8</f>
        <v>6518</v>
      </c>
      <c r="R13" s="15">
        <f>'[1]pro-forma'!E8</f>
        <v>6509</v>
      </c>
      <c r="S13" s="15">
        <f>'[1]pro-forma'!F8</f>
        <v>6679</v>
      </c>
      <c r="T13" s="15">
        <f>'[1]pro-forma'!G8</f>
        <v>6649</v>
      </c>
      <c r="U13" s="15">
        <f>'[1]pro-forma'!H8</f>
        <v>6550</v>
      </c>
      <c r="V13" s="15">
        <f>'[1]pro-forma'!I8</f>
        <v>6410</v>
      </c>
      <c r="W13" s="15">
        <f>'[1]pro-forma'!J8</f>
        <v>6338</v>
      </c>
      <c r="X13" s="15">
        <v>6280</v>
      </c>
      <c r="Y13" s="15"/>
      <c r="Z13" s="15"/>
      <c r="AA13" s="13">
        <f t="shared" si="14"/>
        <v>22979</v>
      </c>
      <c r="AB13" s="13">
        <f t="shared" si="14"/>
        <v>24469</v>
      </c>
      <c r="AC13" s="13">
        <f t="shared" si="15"/>
        <v>24999</v>
      </c>
      <c r="AD13" s="13">
        <f t="shared" ref="AD13:AD53" si="16">SUMIF($C$1:$R$1,AD$1,$C13:$R13)</f>
        <v>26149</v>
      </c>
      <c r="AE13" s="13">
        <f t="shared" ref="AE13:AE23" si="17">SUMIF($C$1:$V$1,AE$1,$C13:$V13)</f>
        <v>26288</v>
      </c>
    </row>
    <row r="14" spans="1:31" x14ac:dyDescent="0.25">
      <c r="B14" s="14" t="s">
        <v>18</v>
      </c>
      <c r="C14" s="15">
        <v>513</v>
      </c>
      <c r="D14" s="15">
        <v>556</v>
      </c>
      <c r="E14" s="15">
        <v>603</v>
      </c>
      <c r="F14" s="15">
        <v>709</v>
      </c>
      <c r="G14" s="15">
        <v>677</v>
      </c>
      <c r="H14" s="15">
        <v>722</v>
      </c>
      <c r="I14" s="15">
        <v>789</v>
      </c>
      <c r="J14" s="15">
        <v>883</v>
      </c>
      <c r="K14" s="15">
        <v>858</v>
      </c>
      <c r="L14" s="15">
        <v>869</v>
      </c>
      <c r="M14" s="15">
        <v>917</v>
      </c>
      <c r="N14" s="15">
        <v>1020</v>
      </c>
      <c r="O14" s="15">
        <v>733</v>
      </c>
      <c r="P14" s="15">
        <v>774</v>
      </c>
      <c r="Q14" s="15">
        <v>823</v>
      </c>
      <c r="R14" s="15">
        <v>836</v>
      </c>
      <c r="S14" s="15">
        <v>850</v>
      </c>
      <c r="T14" s="15">
        <v>882</v>
      </c>
      <c r="U14" s="15">
        <v>915</v>
      </c>
      <c r="V14" s="15">
        <v>965</v>
      </c>
      <c r="W14" s="16">
        <v>977</v>
      </c>
      <c r="X14" s="16">
        <v>1007</v>
      </c>
      <c r="Y14" s="16"/>
      <c r="Z14" s="16"/>
      <c r="AA14" s="13">
        <f>SUMIF($C$1:$M$1,AA$1,$C14:$M14)</f>
        <v>2381</v>
      </c>
      <c r="AB14" s="13">
        <f t="shared" si="14"/>
        <v>3071</v>
      </c>
      <c r="AC14" s="13">
        <f t="shared" si="15"/>
        <v>3664</v>
      </c>
      <c r="AD14" s="13">
        <f t="shared" si="16"/>
        <v>3166</v>
      </c>
      <c r="AE14" s="13">
        <f t="shared" si="17"/>
        <v>3612</v>
      </c>
    </row>
    <row r="15" spans="1:31" x14ac:dyDescent="0.25">
      <c r="B15" s="17" t="s">
        <v>19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8">
        <f>SUM(O13:O14)</f>
        <v>7306</v>
      </c>
      <c r="P15" s="18">
        <f t="shared" ref="P15:V15" si="18">SUM(P13:P14)</f>
        <v>7323</v>
      </c>
      <c r="Q15" s="18">
        <f t="shared" si="18"/>
        <v>7341</v>
      </c>
      <c r="R15" s="18">
        <f t="shared" si="18"/>
        <v>7345</v>
      </c>
      <c r="S15" s="18">
        <f t="shared" si="18"/>
        <v>7529</v>
      </c>
      <c r="T15" s="18">
        <f t="shared" si="18"/>
        <v>7531</v>
      </c>
      <c r="U15" s="18">
        <f t="shared" si="18"/>
        <v>7465</v>
      </c>
      <c r="V15" s="18">
        <f t="shared" si="18"/>
        <v>7375</v>
      </c>
      <c r="W15" s="18">
        <f>SUM(W13:W14)</f>
        <v>7315</v>
      </c>
      <c r="X15" s="18">
        <f>SUM(X13:X14)</f>
        <v>7287</v>
      </c>
      <c r="Y15" s="18"/>
      <c r="Z15" s="18"/>
      <c r="AA15" s="13"/>
      <c r="AB15" s="13"/>
      <c r="AC15" s="13"/>
      <c r="AD15" s="13">
        <f t="shared" si="16"/>
        <v>29315</v>
      </c>
      <c r="AE15" s="13">
        <f t="shared" si="17"/>
        <v>29900</v>
      </c>
    </row>
    <row r="16" spans="1:31" x14ac:dyDescent="0.25">
      <c r="B16" s="17" t="s">
        <v>20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>
        <v>239</v>
      </c>
      <c r="P16" s="15">
        <v>245</v>
      </c>
      <c r="Q16" s="15">
        <v>270</v>
      </c>
      <c r="R16" s="15">
        <v>353</v>
      </c>
      <c r="S16" s="15">
        <v>273</v>
      </c>
      <c r="T16" s="15">
        <v>313</v>
      </c>
      <c r="U16" s="15">
        <v>331</v>
      </c>
      <c r="V16" s="15">
        <v>438</v>
      </c>
      <c r="W16" s="16">
        <v>418</v>
      </c>
      <c r="X16" s="16">
        <v>404</v>
      </c>
      <c r="Y16" s="16"/>
      <c r="Z16" s="16"/>
      <c r="AA16" s="13"/>
      <c r="AB16" s="13"/>
      <c r="AC16" s="13"/>
      <c r="AD16" s="13">
        <f t="shared" si="16"/>
        <v>1107</v>
      </c>
      <c r="AE16" s="13">
        <f t="shared" si="17"/>
        <v>1355</v>
      </c>
    </row>
    <row r="17" spans="2:31" x14ac:dyDescent="0.25">
      <c r="B17" s="17" t="s">
        <v>21</v>
      </c>
      <c r="C17" s="15">
        <v>762</v>
      </c>
      <c r="D17" s="15">
        <v>794</v>
      </c>
      <c r="E17" s="15">
        <v>840</v>
      </c>
      <c r="F17" s="15">
        <v>896</v>
      </c>
      <c r="G17" s="15">
        <v>840</v>
      </c>
      <c r="H17" s="15">
        <v>791</v>
      </c>
      <c r="I17" s="15">
        <v>842</v>
      </c>
      <c r="J17" s="15">
        <v>953</v>
      </c>
      <c r="K17" s="15">
        <v>841</v>
      </c>
      <c r="L17" s="15">
        <v>926</v>
      </c>
      <c r="M17" s="15">
        <v>1032</v>
      </c>
      <c r="N17" s="15">
        <v>1118</v>
      </c>
      <c r="O17" s="15">
        <v>1033</v>
      </c>
      <c r="P17" s="15">
        <v>1056</v>
      </c>
      <c r="Q17" s="15">
        <v>1150</v>
      </c>
      <c r="R17" s="15">
        <v>1263</v>
      </c>
      <c r="S17" s="15">
        <v>1132</v>
      </c>
      <c r="T17" s="15">
        <v>1219</v>
      </c>
      <c r="U17" s="15">
        <v>1275</v>
      </c>
      <c r="V17" s="15">
        <v>1337</v>
      </c>
      <c r="W17" s="16">
        <v>1240</v>
      </c>
      <c r="X17" s="16">
        <v>1246</v>
      </c>
      <c r="Y17" s="16"/>
      <c r="Z17" s="16"/>
      <c r="AA17" s="13">
        <f t="shared" si="14"/>
        <v>3292</v>
      </c>
      <c r="AB17" s="13">
        <f t="shared" si="14"/>
        <v>3426</v>
      </c>
      <c r="AC17" s="13">
        <f t="shared" si="15"/>
        <v>3917</v>
      </c>
      <c r="AD17" s="13">
        <f t="shared" si="16"/>
        <v>4502</v>
      </c>
      <c r="AE17" s="13">
        <f t="shared" si="17"/>
        <v>4963</v>
      </c>
    </row>
    <row r="18" spans="2:31" x14ac:dyDescent="0.25">
      <c r="B18" s="1" t="s">
        <v>22</v>
      </c>
      <c r="C18" s="15">
        <v>8191</v>
      </c>
      <c r="D18" s="15">
        <v>8232</v>
      </c>
      <c r="E18" s="15">
        <v>8080</v>
      </c>
      <c r="F18" s="15">
        <v>7936</v>
      </c>
      <c r="G18" s="15">
        <v>8002</v>
      </c>
      <c r="H18" s="15">
        <v>7793</v>
      </c>
      <c r="I18" s="15">
        <v>7428</v>
      </c>
      <c r="J18" s="15">
        <v>7273</v>
      </c>
      <c r="K18" s="15">
        <v>7537</v>
      </c>
      <c r="L18" s="15">
        <v>7542</v>
      </c>
      <c r="M18" s="15">
        <v>7368</v>
      </c>
      <c r="N18" s="15">
        <v>7131</v>
      </c>
      <c r="O18" s="15">
        <f>'[1]pro-forma'!B14</f>
        <v>6977</v>
      </c>
      <c r="P18" s="15">
        <f>'[1]pro-forma'!C14</f>
        <v>6894</v>
      </c>
      <c r="Q18" s="15">
        <f>'[1]pro-forma'!D14</f>
        <v>6821</v>
      </c>
      <c r="R18" s="15">
        <f>'[1]pro-forma'!E14</f>
        <v>6615</v>
      </c>
      <c r="S18" s="15">
        <f>'[1]pro-forma'!F14</f>
        <v>6600</v>
      </c>
      <c r="T18" s="15">
        <f>'[1]pro-forma'!G14</f>
        <v>6605</v>
      </c>
      <c r="U18" s="15">
        <f>'[1]pro-forma'!H14</f>
        <v>6475</v>
      </c>
      <c r="V18" s="15">
        <f>'[1]pro-forma'!I14</f>
        <v>6266</v>
      </c>
      <c r="W18" s="16">
        <v>6256</v>
      </c>
      <c r="X18" s="16">
        <v>6092</v>
      </c>
      <c r="Y18" s="16"/>
      <c r="Z18" s="16"/>
      <c r="AA18" s="13">
        <f>SUMIF($C$1:$M$1,AA$1,$C18:$M18)</f>
        <v>32439</v>
      </c>
      <c r="AB18" s="13">
        <f t="shared" si="14"/>
        <v>30496</v>
      </c>
      <c r="AC18" s="13">
        <f t="shared" si="15"/>
        <v>29578</v>
      </c>
      <c r="AD18" s="13">
        <f>SUMIF($C$1:$R$1,AD$1,$C18:$R18)+1</f>
        <v>27308</v>
      </c>
      <c r="AE18" s="13">
        <f t="shared" si="17"/>
        <v>25946</v>
      </c>
    </row>
    <row r="19" spans="2:31" x14ac:dyDescent="0.25">
      <c r="B19" s="1" t="s">
        <v>23</v>
      </c>
      <c r="C19" s="15">
        <v>1001</v>
      </c>
      <c r="D19" s="15">
        <v>1128</v>
      </c>
      <c r="E19" s="15">
        <v>1097</v>
      </c>
      <c r="F19" s="15">
        <v>1282</v>
      </c>
      <c r="G19" s="15">
        <v>1073</v>
      </c>
      <c r="H19" s="15">
        <v>1112</v>
      </c>
      <c r="I19" s="15">
        <v>1078</v>
      </c>
      <c r="J19" s="15">
        <v>1283</v>
      </c>
      <c r="K19" s="15">
        <v>907</v>
      </c>
      <c r="L19" s="15">
        <v>993</v>
      </c>
      <c r="M19" s="15">
        <v>960</v>
      </c>
      <c r="N19" s="15">
        <v>1109</v>
      </c>
      <c r="O19" s="15">
        <v>973</v>
      </c>
      <c r="P19" s="15">
        <v>1012</v>
      </c>
      <c r="Q19" s="15">
        <v>1012</v>
      </c>
      <c r="R19" s="15">
        <v>1188</v>
      </c>
      <c r="S19" s="15">
        <v>899</v>
      </c>
      <c r="T19" s="15">
        <v>951</v>
      </c>
      <c r="U19" s="15">
        <v>893</v>
      </c>
      <c r="V19" s="15">
        <v>1067</v>
      </c>
      <c r="W19" s="16">
        <v>951</v>
      </c>
      <c r="X19" s="16">
        <v>962</v>
      </c>
      <c r="Y19" s="16"/>
      <c r="Z19" s="16"/>
      <c r="AA19" s="13">
        <f>SUMIF($C$1:$M$1,AA$1,$C19:$M19)</f>
        <v>4508</v>
      </c>
      <c r="AB19" s="13">
        <f t="shared" si="14"/>
        <v>4546</v>
      </c>
      <c r="AC19" s="13">
        <f t="shared" si="15"/>
        <v>3969</v>
      </c>
      <c r="AD19" s="13">
        <f t="shared" si="16"/>
        <v>4185</v>
      </c>
      <c r="AE19" s="13">
        <f t="shared" si="17"/>
        <v>3810</v>
      </c>
    </row>
    <row r="20" spans="2:31" x14ac:dyDescent="0.25">
      <c r="B20" s="1" t="s">
        <v>24</v>
      </c>
      <c r="C20" s="15">
        <v>1785</v>
      </c>
      <c r="D20" s="15">
        <v>1805</v>
      </c>
      <c r="E20" s="15">
        <v>1759</v>
      </c>
      <c r="F20" s="15">
        <v>1747</v>
      </c>
      <c r="G20" s="15">
        <v>1698</v>
      </c>
      <c r="H20" s="15">
        <v>1607</v>
      </c>
      <c r="I20" s="15">
        <v>1561</v>
      </c>
      <c r="J20" s="15">
        <v>1512</v>
      </c>
      <c r="K20" s="15">
        <v>1482</v>
      </c>
      <c r="L20" s="15">
        <v>1469</v>
      </c>
      <c r="M20" s="15">
        <v>1444</v>
      </c>
      <c r="N20" s="15">
        <v>1426</v>
      </c>
      <c r="O20" s="15">
        <v>1367</v>
      </c>
      <c r="P20" s="15">
        <v>1319</v>
      </c>
      <c r="Q20" s="15">
        <v>1301</v>
      </c>
      <c r="R20" s="15">
        <v>1290</v>
      </c>
      <c r="S20" s="15">
        <v>1233</v>
      </c>
      <c r="T20" s="15">
        <v>1219</v>
      </c>
      <c r="U20" s="15">
        <v>1197</v>
      </c>
      <c r="V20" s="15">
        <v>1209</v>
      </c>
      <c r="W20" s="16">
        <v>1143</v>
      </c>
      <c r="X20" s="16">
        <v>1133</v>
      </c>
      <c r="Y20" s="16"/>
      <c r="Z20" s="16"/>
      <c r="AA20" s="13">
        <f>SUMIF($C$1:$M$1,AA$1,$C20:$M20)</f>
        <v>7096</v>
      </c>
      <c r="AB20" s="13">
        <f t="shared" si="14"/>
        <v>6378</v>
      </c>
      <c r="AC20" s="13">
        <f t="shared" si="15"/>
        <v>5821</v>
      </c>
      <c r="AD20" s="13">
        <f t="shared" si="16"/>
        <v>5277</v>
      </c>
      <c r="AE20" s="13">
        <f t="shared" si="17"/>
        <v>4858</v>
      </c>
    </row>
    <row r="21" spans="2:31" x14ac:dyDescent="0.25">
      <c r="B21" s="1" t="s">
        <v>25</v>
      </c>
      <c r="C21" s="12">
        <f>C12+SUM(C18:C20)-1</f>
        <v>17851</v>
      </c>
      <c r="D21" s="12">
        <f>D12+SUM(D18:D20)</f>
        <v>18232</v>
      </c>
      <c r="E21" s="12">
        <f>E12+SUM(E18:E20)</f>
        <v>18180</v>
      </c>
      <c r="F21" s="12">
        <f t="shared" ref="F21:R21" si="19">F12+SUM(F18:F20)</f>
        <v>18431</v>
      </c>
      <c r="G21" s="12">
        <f t="shared" si="19"/>
        <v>18340</v>
      </c>
      <c r="H21" s="12">
        <f t="shared" si="19"/>
        <v>18132</v>
      </c>
      <c r="I21" s="12">
        <f t="shared" si="19"/>
        <v>17833</v>
      </c>
      <c r="J21" s="12">
        <f t="shared" si="19"/>
        <v>18081</v>
      </c>
      <c r="K21" s="12">
        <f t="shared" si="19"/>
        <v>17871</v>
      </c>
      <c r="L21" s="12">
        <f t="shared" si="19"/>
        <v>18069</v>
      </c>
      <c r="M21" s="12">
        <f t="shared" si="19"/>
        <v>17951</v>
      </c>
      <c r="N21" s="12">
        <f t="shared" si="19"/>
        <v>18058</v>
      </c>
      <c r="O21" s="12">
        <f t="shared" si="19"/>
        <v>17895</v>
      </c>
      <c r="P21" s="12">
        <f t="shared" si="19"/>
        <v>17850</v>
      </c>
      <c r="Q21" s="12">
        <f t="shared" si="19"/>
        <v>17896</v>
      </c>
      <c r="R21" s="12">
        <f t="shared" si="19"/>
        <v>18054</v>
      </c>
      <c r="S21" s="12">
        <f>S12+SUM(S18:S20)-1</f>
        <v>17665</v>
      </c>
      <c r="T21" s="12">
        <f t="shared" ref="T21" si="20">T12+SUM(T18:T20)</f>
        <v>17838</v>
      </c>
      <c r="U21" s="12">
        <f>U12+SUM(U18:U20)</f>
        <v>17636</v>
      </c>
      <c r="V21" s="12">
        <f>V12+SUM(V18:V20)</f>
        <v>17692</v>
      </c>
      <c r="W21" s="12">
        <f>W12+SUM(W18:W20)</f>
        <v>17323</v>
      </c>
      <c r="X21" s="12">
        <f>X12+SUM(X18:X20)</f>
        <v>17124</v>
      </c>
      <c r="Y21" s="12"/>
      <c r="Z21" s="12"/>
      <c r="AA21" s="13">
        <f t="shared" si="14"/>
        <v>72694</v>
      </c>
      <c r="AB21" s="13">
        <f t="shared" si="14"/>
        <v>72386</v>
      </c>
      <c r="AC21" s="13">
        <f t="shared" si="15"/>
        <v>71949</v>
      </c>
      <c r="AD21" s="13">
        <f t="shared" si="16"/>
        <v>71695</v>
      </c>
      <c r="AE21" s="13">
        <f t="shared" si="17"/>
        <v>70831</v>
      </c>
    </row>
    <row r="22" spans="2:31" x14ac:dyDescent="0.25">
      <c r="B22" s="1" t="s">
        <v>26</v>
      </c>
      <c r="C22" s="15">
        <f>1946</f>
        <v>1946</v>
      </c>
      <c r="D22" s="15">
        <v>1983</v>
      </c>
      <c r="E22" s="15">
        <v>2008</v>
      </c>
      <c r="F22" s="15">
        <v>2119</v>
      </c>
      <c r="G22" s="15">
        <v>2172</v>
      </c>
      <c r="H22" s="15">
        <v>2203</v>
      </c>
      <c r="I22" s="15">
        <v>2215</v>
      </c>
      <c r="J22" s="15">
        <v>2230</v>
      </c>
      <c r="K22" s="15">
        <v>2283</v>
      </c>
      <c r="L22" s="15">
        <v>2292</v>
      </c>
      <c r="M22" s="15">
        <v>2320</v>
      </c>
      <c r="N22" s="15">
        <v>2361</v>
      </c>
      <c r="O22" s="15">
        <v>2407</v>
      </c>
      <c r="P22" s="15">
        <v>2421</v>
      </c>
      <c r="Q22" s="15">
        <v>2425</v>
      </c>
      <c r="R22" s="15">
        <v>2448</v>
      </c>
      <c r="S22" s="15">
        <v>2496</v>
      </c>
      <c r="T22" s="15">
        <v>2575</v>
      </c>
      <c r="U22" s="15">
        <v>2576</v>
      </c>
      <c r="V22" s="15">
        <v>2590</v>
      </c>
      <c r="W22" s="16">
        <v>2640</v>
      </c>
      <c r="X22" s="16">
        <v>2671</v>
      </c>
      <c r="Y22" s="16"/>
      <c r="Z22" s="16"/>
      <c r="AA22" s="13">
        <f t="shared" si="14"/>
        <v>8056</v>
      </c>
      <c r="AB22" s="13">
        <f>SUMIF($C$1:$M$1,AB$1,$C22:$M22)</f>
        <v>8820</v>
      </c>
      <c r="AC22" s="13">
        <f t="shared" si="15"/>
        <v>9256</v>
      </c>
      <c r="AD22" s="13">
        <f t="shared" si="16"/>
        <v>9701</v>
      </c>
      <c r="AE22" s="13">
        <f t="shared" si="17"/>
        <v>10237</v>
      </c>
    </row>
    <row r="23" spans="2:31" x14ac:dyDescent="0.25">
      <c r="B23" s="1" t="s">
        <v>27</v>
      </c>
      <c r="C23" s="13">
        <f>C21+C22</f>
        <v>19797</v>
      </c>
      <c r="D23" s="13">
        <f>D21+D22</f>
        <v>20215</v>
      </c>
      <c r="E23" s="13">
        <f>E21+E22</f>
        <v>20188</v>
      </c>
      <c r="F23" s="13">
        <f t="shared" ref="F23:N23" si="21">F21+F22</f>
        <v>20550</v>
      </c>
      <c r="G23" s="13">
        <f t="shared" si="21"/>
        <v>20512</v>
      </c>
      <c r="H23" s="13">
        <f t="shared" si="21"/>
        <v>20335</v>
      </c>
      <c r="I23" s="13">
        <f t="shared" si="21"/>
        <v>20048</v>
      </c>
      <c r="J23" s="13">
        <f t="shared" si="21"/>
        <v>20311</v>
      </c>
      <c r="K23" s="13">
        <f t="shared" si="21"/>
        <v>20154</v>
      </c>
      <c r="L23" s="13">
        <f t="shared" si="21"/>
        <v>20361</v>
      </c>
      <c r="M23" s="13">
        <f t="shared" si="21"/>
        <v>20271</v>
      </c>
      <c r="N23" s="13">
        <f t="shared" si="21"/>
        <v>20419</v>
      </c>
      <c r="O23" s="13">
        <f>O21+O22+1</f>
        <v>20303</v>
      </c>
      <c r="P23" s="13">
        <f>P21+P22+1</f>
        <v>20272</v>
      </c>
      <c r="Q23" s="13">
        <f>Q21+Q22-1</f>
        <v>20320</v>
      </c>
      <c r="R23" s="13">
        <f t="shared" ref="R23:X23" si="22">R21+R22</f>
        <v>20502</v>
      </c>
      <c r="S23" s="13">
        <f t="shared" si="22"/>
        <v>20161</v>
      </c>
      <c r="T23" s="13">
        <f t="shared" si="22"/>
        <v>20413</v>
      </c>
      <c r="U23" s="13">
        <f t="shared" si="22"/>
        <v>20212</v>
      </c>
      <c r="V23" s="13">
        <f t="shared" si="22"/>
        <v>20282</v>
      </c>
      <c r="W23" s="13">
        <f t="shared" si="22"/>
        <v>19963</v>
      </c>
      <c r="X23" s="13">
        <f t="shared" si="22"/>
        <v>19795</v>
      </c>
      <c r="Y23" s="13"/>
      <c r="Z23" s="13"/>
      <c r="AA23" s="13">
        <f t="shared" si="14"/>
        <v>80750</v>
      </c>
      <c r="AB23" s="13">
        <f>SUMIF($C$1:$M$1,AB$1,$C23:$M23)</f>
        <v>81206</v>
      </c>
      <c r="AC23" s="13">
        <f t="shared" si="15"/>
        <v>81205</v>
      </c>
      <c r="AD23" s="13">
        <f>SUMIF($C$1:$R$1,AD$1,$C23:$R23)-1</f>
        <v>81396</v>
      </c>
      <c r="AE23" s="13">
        <f t="shared" si="17"/>
        <v>81068</v>
      </c>
    </row>
    <row r="24" spans="2:31" x14ac:dyDescent="0.25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AA24" s="13"/>
      <c r="AB24" s="13"/>
      <c r="AC24" s="13"/>
      <c r="AD24" s="13"/>
      <c r="AE24" s="13"/>
    </row>
    <row r="25" spans="2:31" x14ac:dyDescent="0.25">
      <c r="B25" s="10" t="s">
        <v>28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AA25" s="13"/>
      <c r="AB25" s="13"/>
      <c r="AC25" s="13"/>
      <c r="AD25" s="13"/>
      <c r="AE25" s="13"/>
    </row>
    <row r="26" spans="2:31" x14ac:dyDescent="0.25">
      <c r="B26" s="4" t="s">
        <v>15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2:31" x14ac:dyDescent="0.25">
      <c r="B27" s="1" t="s">
        <v>16</v>
      </c>
      <c r="C27" s="12">
        <f>SUM(C28:C30)</f>
        <v>6875</v>
      </c>
      <c r="D27" s="12">
        <f t="shared" ref="D27" si="23">SUM(D28:D30)</f>
        <v>7067</v>
      </c>
      <c r="E27" s="12">
        <f>SUM(E28:E30)</f>
        <v>7244</v>
      </c>
      <c r="F27" s="12">
        <f t="shared" ref="F27:L27" si="24">SUM(F28:F30)</f>
        <v>7466</v>
      </c>
      <c r="G27" s="12">
        <f t="shared" si="24"/>
        <v>7567</v>
      </c>
      <c r="H27" s="12">
        <f t="shared" si="24"/>
        <v>7620</v>
      </c>
      <c r="I27" s="12">
        <f t="shared" si="24"/>
        <v>7766</v>
      </c>
      <c r="J27" s="12">
        <f t="shared" si="24"/>
        <v>8013</v>
      </c>
      <c r="K27" s="12">
        <f t="shared" si="24"/>
        <v>7945</v>
      </c>
      <c r="L27" s="12">
        <f t="shared" si="24"/>
        <v>8065</v>
      </c>
      <c r="M27" s="12">
        <f>SUM(M28:M30)+1</f>
        <v>8179</v>
      </c>
      <c r="N27" s="12">
        <f t="shared" ref="N27:V27" si="25">SUM(N28:N30)</f>
        <v>8392</v>
      </c>
      <c r="O27" s="12">
        <f t="shared" si="25"/>
        <v>8451</v>
      </c>
      <c r="P27" s="12">
        <f t="shared" si="25"/>
        <v>8504</v>
      </c>
      <c r="Q27" s="12">
        <f t="shared" si="25"/>
        <v>8643</v>
      </c>
      <c r="R27" s="12">
        <f t="shared" si="25"/>
        <v>8836</v>
      </c>
      <c r="S27" s="12">
        <f t="shared" si="25"/>
        <v>8813</v>
      </c>
      <c r="T27" s="12">
        <f t="shared" si="25"/>
        <v>8944</v>
      </c>
      <c r="U27" s="12">
        <f t="shared" si="25"/>
        <v>8954</v>
      </c>
      <c r="V27" s="12">
        <f t="shared" si="25"/>
        <v>9056</v>
      </c>
      <c r="AA27" s="13">
        <f>SUMIF($C$1:$M$1,AA$1,$C27:$M27)</f>
        <v>28652</v>
      </c>
      <c r="AB27" s="13">
        <f t="shared" si="14"/>
        <v>30966</v>
      </c>
      <c r="AC27" s="13">
        <f t="shared" ref="AC27:AC36" si="26">SUMIF($C$1:$N$1,AC$1,$C27:$N27)</f>
        <v>32581</v>
      </c>
      <c r="AD27" s="13">
        <f t="shared" si="16"/>
        <v>34434</v>
      </c>
      <c r="AE27" s="13">
        <f>SUMIF($C$1:$V$1,AE$1,$C27:$V27)</f>
        <v>35767</v>
      </c>
    </row>
    <row r="28" spans="2:31" x14ac:dyDescent="0.25">
      <c r="B28" s="17" t="s">
        <v>17</v>
      </c>
      <c r="C28" s="15">
        <v>5600</v>
      </c>
      <c r="D28" s="15">
        <v>5717</v>
      </c>
      <c r="E28" s="15">
        <v>5801</v>
      </c>
      <c r="F28" s="15">
        <v>5861</v>
      </c>
      <c r="G28" s="15">
        <v>6050</v>
      </c>
      <c r="H28" s="15">
        <v>6107</v>
      </c>
      <c r="I28" s="15">
        <v>6135</v>
      </c>
      <c r="J28" s="15">
        <v>6177</v>
      </c>
      <c r="K28" s="15">
        <v>6246</v>
      </c>
      <c r="L28" s="15">
        <v>6270</v>
      </c>
      <c r="M28" s="15">
        <v>6229</v>
      </c>
      <c r="N28" s="15">
        <v>6254</v>
      </c>
      <c r="O28" s="15">
        <v>6446</v>
      </c>
      <c r="P28" s="15">
        <v>6429</v>
      </c>
      <c r="Q28" s="15">
        <v>6400</v>
      </c>
      <c r="R28" s="15">
        <v>6384</v>
      </c>
      <c r="S28" s="15">
        <v>6558</v>
      </c>
      <c r="T28" s="15">
        <v>6530</v>
      </c>
      <c r="U28" s="15">
        <v>6433</v>
      </c>
      <c r="V28" s="15">
        <v>6316</v>
      </c>
      <c r="AA28" s="13">
        <f t="shared" si="14"/>
        <v>22979</v>
      </c>
      <c r="AB28" s="13">
        <f t="shared" si="14"/>
        <v>24469</v>
      </c>
      <c r="AC28" s="13">
        <f t="shared" si="26"/>
        <v>24999</v>
      </c>
      <c r="AD28" s="13">
        <f t="shared" si="16"/>
        <v>25659</v>
      </c>
      <c r="AE28" s="13">
        <f t="shared" ref="AE28:AE36" si="27">SUMIF($C$1:$V$1,AE$1,$C28:$V28)</f>
        <v>25837</v>
      </c>
    </row>
    <row r="29" spans="2:31" x14ac:dyDescent="0.25">
      <c r="B29" s="17" t="s">
        <v>18</v>
      </c>
      <c r="C29" s="15">
        <v>513</v>
      </c>
      <c r="D29" s="15">
        <v>556</v>
      </c>
      <c r="E29" s="15">
        <v>603</v>
      </c>
      <c r="F29" s="15">
        <v>709</v>
      </c>
      <c r="G29" s="15">
        <v>677</v>
      </c>
      <c r="H29" s="15">
        <v>722</v>
      </c>
      <c r="I29" s="15">
        <v>789</v>
      </c>
      <c r="J29" s="15">
        <v>883</v>
      </c>
      <c r="K29" s="15">
        <v>858</v>
      </c>
      <c r="L29" s="15">
        <v>869</v>
      </c>
      <c r="M29" s="15">
        <v>917</v>
      </c>
      <c r="N29" s="15">
        <v>1020</v>
      </c>
      <c r="O29" s="15">
        <v>972</v>
      </c>
      <c r="P29" s="15">
        <v>1019</v>
      </c>
      <c r="Q29" s="15">
        <v>1093</v>
      </c>
      <c r="R29" s="15">
        <v>1189</v>
      </c>
      <c r="S29" s="15">
        <v>1123</v>
      </c>
      <c r="T29" s="15">
        <v>1195</v>
      </c>
      <c r="U29" s="15">
        <v>1246</v>
      </c>
      <c r="V29" s="15">
        <v>1403</v>
      </c>
      <c r="AA29" s="13">
        <f>SUMIF($C$1:$M$1,AA$1,$C29:$M29)</f>
        <v>2381</v>
      </c>
      <c r="AB29" s="13">
        <f t="shared" si="14"/>
        <v>3071</v>
      </c>
      <c r="AC29" s="13">
        <f t="shared" si="26"/>
        <v>3664</v>
      </c>
      <c r="AD29" s="13">
        <f t="shared" si="16"/>
        <v>4273</v>
      </c>
      <c r="AE29" s="13">
        <f t="shared" si="27"/>
        <v>4967</v>
      </c>
    </row>
    <row r="30" spans="2:31" x14ac:dyDescent="0.25">
      <c r="B30" s="17" t="s">
        <v>21</v>
      </c>
      <c r="C30" s="15">
        <v>762</v>
      </c>
      <c r="D30" s="15">
        <v>794</v>
      </c>
      <c r="E30" s="15">
        <v>840</v>
      </c>
      <c r="F30" s="15">
        <v>896</v>
      </c>
      <c r="G30" s="15">
        <v>840</v>
      </c>
      <c r="H30" s="15">
        <v>791</v>
      </c>
      <c r="I30" s="15">
        <v>842</v>
      </c>
      <c r="J30" s="15">
        <v>953</v>
      </c>
      <c r="K30" s="15">
        <v>841</v>
      </c>
      <c r="L30" s="15">
        <v>926</v>
      </c>
      <c r="M30" s="15">
        <v>1032</v>
      </c>
      <c r="N30" s="15">
        <v>1118</v>
      </c>
      <c r="O30" s="15">
        <v>1033</v>
      </c>
      <c r="P30" s="15">
        <v>1056</v>
      </c>
      <c r="Q30" s="15">
        <v>1150</v>
      </c>
      <c r="R30" s="15">
        <v>1263</v>
      </c>
      <c r="S30" s="15">
        <v>1132</v>
      </c>
      <c r="T30" s="15">
        <v>1219</v>
      </c>
      <c r="U30" s="15">
        <v>1275</v>
      </c>
      <c r="V30" s="15">
        <v>1337</v>
      </c>
      <c r="AA30" s="13">
        <f t="shared" si="14"/>
        <v>3292</v>
      </c>
      <c r="AB30" s="13">
        <f t="shared" si="14"/>
        <v>3426</v>
      </c>
      <c r="AC30" s="13">
        <f t="shared" si="26"/>
        <v>3917</v>
      </c>
      <c r="AD30" s="13">
        <f t="shared" si="16"/>
        <v>4502</v>
      </c>
      <c r="AE30" s="13">
        <f t="shared" si="27"/>
        <v>4963</v>
      </c>
    </row>
    <row r="31" spans="2:31" x14ac:dyDescent="0.25">
      <c r="B31" s="1" t="s">
        <v>22</v>
      </c>
      <c r="C31" s="15">
        <v>8191</v>
      </c>
      <c r="D31" s="15">
        <v>8232</v>
      </c>
      <c r="E31" s="15">
        <v>8080</v>
      </c>
      <c r="F31" s="15">
        <v>7936</v>
      </c>
      <c r="G31" s="15">
        <v>8002</v>
      </c>
      <c r="H31" s="15">
        <v>7793</v>
      </c>
      <c r="I31" s="15">
        <v>7428</v>
      </c>
      <c r="J31" s="15">
        <v>7273</v>
      </c>
      <c r="K31" s="15">
        <v>7537</v>
      </c>
      <c r="L31" s="15">
        <v>7542</v>
      </c>
      <c r="M31" s="15">
        <v>7368</v>
      </c>
      <c r="N31" s="15">
        <v>7131</v>
      </c>
      <c r="O31" s="15">
        <v>7104</v>
      </c>
      <c r="P31" s="15">
        <v>7013</v>
      </c>
      <c r="Q31" s="15">
        <v>6938</v>
      </c>
      <c r="R31" s="15">
        <v>6736</v>
      </c>
      <c r="S31" s="15">
        <v>6718</v>
      </c>
      <c r="T31" s="15">
        <v>6722</v>
      </c>
      <c r="U31" s="15">
        <v>6591</v>
      </c>
      <c r="V31" s="15">
        <v>6356</v>
      </c>
      <c r="AA31" s="13">
        <f>SUMIF($C$1:$M$1,AA$1,$C31:$M31)</f>
        <v>32439</v>
      </c>
      <c r="AB31" s="13">
        <f t="shared" si="14"/>
        <v>30496</v>
      </c>
      <c r="AC31" s="13">
        <f t="shared" si="26"/>
        <v>29578</v>
      </c>
      <c r="AD31" s="13">
        <f t="shared" si="16"/>
        <v>27791</v>
      </c>
      <c r="AE31" s="13">
        <f t="shared" si="27"/>
        <v>26387</v>
      </c>
    </row>
    <row r="32" spans="2:31" x14ac:dyDescent="0.25">
      <c r="B32" s="1" t="s">
        <v>23</v>
      </c>
      <c r="C32" s="15">
        <v>1001</v>
      </c>
      <c r="D32" s="15">
        <v>1128</v>
      </c>
      <c r="E32" s="15">
        <v>1097</v>
      </c>
      <c r="F32" s="15">
        <v>1282</v>
      </c>
      <c r="G32" s="15">
        <v>1073</v>
      </c>
      <c r="H32" s="15">
        <v>1112</v>
      </c>
      <c r="I32" s="15">
        <v>1078</v>
      </c>
      <c r="J32" s="15">
        <v>1283</v>
      </c>
      <c r="K32" s="15">
        <v>907</v>
      </c>
      <c r="L32" s="15">
        <v>993</v>
      </c>
      <c r="M32" s="15">
        <v>960</v>
      </c>
      <c r="N32" s="15">
        <v>1109</v>
      </c>
      <c r="O32" s="15">
        <v>951</v>
      </c>
      <c r="P32" s="15">
        <v>993</v>
      </c>
      <c r="Q32" s="15">
        <v>987</v>
      </c>
      <c r="R32" s="15">
        <v>1158</v>
      </c>
      <c r="S32" s="15">
        <v>881</v>
      </c>
      <c r="T32" s="15">
        <v>935</v>
      </c>
      <c r="U32" s="15">
        <v>864</v>
      </c>
      <c r="V32" s="15">
        <v>1033</v>
      </c>
      <c r="AA32" s="13">
        <f>SUMIF($C$1:$M$1,AA$1,$C32:$M32)</f>
        <v>4508</v>
      </c>
      <c r="AB32" s="13">
        <f t="shared" si="14"/>
        <v>4546</v>
      </c>
      <c r="AC32" s="13">
        <f t="shared" si="26"/>
        <v>3969</v>
      </c>
      <c r="AD32" s="13">
        <f t="shared" si="16"/>
        <v>4089</v>
      </c>
      <c r="AE32" s="13">
        <f t="shared" si="27"/>
        <v>3713</v>
      </c>
    </row>
    <row r="33" spans="2:31" x14ac:dyDescent="0.25">
      <c r="B33" s="1" t="s">
        <v>24</v>
      </c>
      <c r="C33" s="15">
        <v>1785</v>
      </c>
      <c r="D33" s="15">
        <v>1805</v>
      </c>
      <c r="E33" s="15">
        <v>1759</v>
      </c>
      <c r="F33" s="15">
        <v>1747</v>
      </c>
      <c r="G33" s="15">
        <v>1698</v>
      </c>
      <c r="H33" s="15">
        <v>1607</v>
      </c>
      <c r="I33" s="15">
        <v>1561</v>
      </c>
      <c r="J33" s="15">
        <v>1512</v>
      </c>
      <c r="K33" s="15">
        <v>1482</v>
      </c>
      <c r="L33" s="15">
        <v>1469</v>
      </c>
      <c r="M33" s="15">
        <v>1444</v>
      </c>
      <c r="N33" s="15">
        <v>1426</v>
      </c>
      <c r="O33" s="15">
        <v>1362</v>
      </c>
      <c r="P33" s="15">
        <v>1313</v>
      </c>
      <c r="Q33" s="15">
        <v>1298</v>
      </c>
      <c r="R33" s="15">
        <v>1286</v>
      </c>
      <c r="S33" s="15">
        <v>1230</v>
      </c>
      <c r="T33" s="15">
        <v>1213</v>
      </c>
      <c r="U33" s="15">
        <v>1192</v>
      </c>
      <c r="V33" s="15">
        <v>1203</v>
      </c>
      <c r="AA33" s="13">
        <f>SUMIF($C$1:$M$1,AA$1,$C33:$M33)</f>
        <v>7096</v>
      </c>
      <c r="AB33" s="13">
        <f t="shared" si="14"/>
        <v>6378</v>
      </c>
      <c r="AC33" s="13">
        <f t="shared" si="26"/>
        <v>5821</v>
      </c>
      <c r="AD33" s="13">
        <f t="shared" si="16"/>
        <v>5259</v>
      </c>
      <c r="AE33" s="13">
        <f t="shared" si="27"/>
        <v>4838</v>
      </c>
    </row>
    <row r="34" spans="2:31" x14ac:dyDescent="0.25">
      <c r="B34" s="1" t="s">
        <v>25</v>
      </c>
      <c r="C34" s="12">
        <f>C27+SUM(C31:C33)-1</f>
        <v>17851</v>
      </c>
      <c r="D34" s="12">
        <f>D27+SUM(D31:D33)</f>
        <v>18232</v>
      </c>
      <c r="E34" s="12">
        <f>E27+SUM(E31:E33)</f>
        <v>18180</v>
      </c>
      <c r="F34" s="12">
        <f t="shared" ref="F34:Q34" si="28">F27+SUM(F31:F33)</f>
        <v>18431</v>
      </c>
      <c r="G34" s="12">
        <f t="shared" si="28"/>
        <v>18340</v>
      </c>
      <c r="H34" s="12">
        <f t="shared" si="28"/>
        <v>18132</v>
      </c>
      <c r="I34" s="12">
        <f t="shared" si="28"/>
        <v>17833</v>
      </c>
      <c r="J34" s="12">
        <f t="shared" si="28"/>
        <v>18081</v>
      </c>
      <c r="K34" s="12">
        <f t="shared" si="28"/>
        <v>17871</v>
      </c>
      <c r="L34" s="12">
        <f t="shared" si="28"/>
        <v>18069</v>
      </c>
      <c r="M34" s="12">
        <f t="shared" si="28"/>
        <v>17951</v>
      </c>
      <c r="N34" s="12">
        <f t="shared" si="28"/>
        <v>18058</v>
      </c>
      <c r="O34" s="12">
        <f t="shared" si="28"/>
        <v>17868</v>
      </c>
      <c r="P34" s="12">
        <f t="shared" si="28"/>
        <v>17823</v>
      </c>
      <c r="Q34" s="12">
        <f t="shared" si="28"/>
        <v>17866</v>
      </c>
      <c r="R34" s="12">
        <v>18016</v>
      </c>
      <c r="S34" s="12">
        <f t="shared" ref="S34:V34" si="29">S27+SUM(S31:S33)</f>
        <v>17642</v>
      </c>
      <c r="T34" s="12">
        <f t="shared" si="29"/>
        <v>17814</v>
      </c>
      <c r="U34" s="12">
        <f t="shared" si="29"/>
        <v>17601</v>
      </c>
      <c r="V34" s="12">
        <f t="shared" si="29"/>
        <v>17648</v>
      </c>
      <c r="AA34" s="13">
        <f t="shared" si="14"/>
        <v>72694</v>
      </c>
      <c r="AB34" s="13">
        <f t="shared" si="14"/>
        <v>72386</v>
      </c>
      <c r="AC34" s="13">
        <f t="shared" si="26"/>
        <v>71949</v>
      </c>
      <c r="AD34" s="13">
        <f t="shared" si="16"/>
        <v>71573</v>
      </c>
      <c r="AE34" s="13">
        <f t="shared" si="27"/>
        <v>70705</v>
      </c>
    </row>
    <row r="35" spans="2:31" x14ac:dyDescent="0.25">
      <c r="B35" s="1" t="s">
        <v>26</v>
      </c>
      <c r="C35" s="15">
        <f>1946</f>
        <v>1946</v>
      </c>
      <c r="D35" s="15">
        <v>1983</v>
      </c>
      <c r="E35" s="15">
        <v>2008</v>
      </c>
      <c r="F35" s="15">
        <v>2119</v>
      </c>
      <c r="G35" s="15">
        <v>2172</v>
      </c>
      <c r="H35" s="15">
        <v>2203</v>
      </c>
      <c r="I35" s="15">
        <v>2215</v>
      </c>
      <c r="J35" s="15">
        <v>2230</v>
      </c>
      <c r="K35" s="15">
        <v>2283</v>
      </c>
      <c r="L35" s="15">
        <v>2292</v>
      </c>
      <c r="M35" s="15">
        <v>2320</v>
      </c>
      <c r="N35" s="15">
        <v>2361</v>
      </c>
      <c r="O35" s="15">
        <v>2407</v>
      </c>
      <c r="P35" s="15">
        <v>2421</v>
      </c>
      <c r="Q35" s="15">
        <v>2425</v>
      </c>
      <c r="R35" s="15">
        <v>2448</v>
      </c>
      <c r="S35" s="15">
        <v>2496</v>
      </c>
      <c r="T35" s="15">
        <v>2575</v>
      </c>
      <c r="U35" s="15">
        <v>2576</v>
      </c>
      <c r="V35" s="15">
        <v>2590</v>
      </c>
      <c r="AA35" s="13">
        <f t="shared" si="14"/>
        <v>8056</v>
      </c>
      <c r="AB35" s="13">
        <f>SUMIF($C$1:$M$1,AB$1,$C35:$M35)</f>
        <v>8820</v>
      </c>
      <c r="AC35" s="13">
        <f t="shared" si="26"/>
        <v>9256</v>
      </c>
      <c r="AD35" s="13">
        <f t="shared" si="16"/>
        <v>9701</v>
      </c>
      <c r="AE35" s="13">
        <f t="shared" si="27"/>
        <v>10237</v>
      </c>
    </row>
    <row r="36" spans="2:31" x14ac:dyDescent="0.25">
      <c r="B36" s="1" t="s">
        <v>27</v>
      </c>
      <c r="C36" s="13">
        <f>C34+C35</f>
        <v>19797</v>
      </c>
      <c r="D36" s="13">
        <f>D34+D35</f>
        <v>20215</v>
      </c>
      <c r="E36" s="13">
        <f>E34+E35</f>
        <v>20188</v>
      </c>
      <c r="F36" s="13">
        <f t="shared" ref="F36:V36" si="30">F34+F35</f>
        <v>20550</v>
      </c>
      <c r="G36" s="13">
        <f t="shared" si="30"/>
        <v>20512</v>
      </c>
      <c r="H36" s="13">
        <f t="shared" si="30"/>
        <v>20335</v>
      </c>
      <c r="I36" s="13">
        <f t="shared" si="30"/>
        <v>20048</v>
      </c>
      <c r="J36" s="13">
        <f t="shared" si="30"/>
        <v>20311</v>
      </c>
      <c r="K36" s="13">
        <f t="shared" si="30"/>
        <v>20154</v>
      </c>
      <c r="L36" s="13">
        <f t="shared" si="30"/>
        <v>20361</v>
      </c>
      <c r="M36" s="13">
        <f t="shared" si="30"/>
        <v>20271</v>
      </c>
      <c r="N36" s="13">
        <f t="shared" si="30"/>
        <v>20419</v>
      </c>
      <c r="O36" s="13">
        <f t="shared" si="30"/>
        <v>20275</v>
      </c>
      <c r="P36" s="13">
        <f t="shared" si="30"/>
        <v>20244</v>
      </c>
      <c r="Q36" s="13">
        <f t="shared" si="30"/>
        <v>20291</v>
      </c>
      <c r="R36" s="13">
        <f t="shared" si="30"/>
        <v>20464</v>
      </c>
      <c r="S36" s="13">
        <f t="shared" si="30"/>
        <v>20138</v>
      </c>
      <c r="T36" s="13">
        <f t="shared" si="30"/>
        <v>20389</v>
      </c>
      <c r="U36" s="13">
        <f t="shared" si="30"/>
        <v>20177</v>
      </c>
      <c r="V36" s="13">
        <f t="shared" si="30"/>
        <v>20238</v>
      </c>
      <c r="AA36" s="13">
        <f t="shared" si="14"/>
        <v>80750</v>
      </c>
      <c r="AB36" s="13">
        <f>SUMIF($C$1:$M$1,AB$1,$C36:$M36)</f>
        <v>81206</v>
      </c>
      <c r="AC36" s="13">
        <f t="shared" si="26"/>
        <v>81205</v>
      </c>
      <c r="AD36" s="13">
        <f t="shared" si="16"/>
        <v>81274</v>
      </c>
      <c r="AE36" s="13">
        <f t="shared" si="27"/>
        <v>80942</v>
      </c>
    </row>
    <row r="37" spans="2:31" x14ac:dyDescent="0.25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AA37" s="13"/>
      <c r="AB37" s="13"/>
      <c r="AC37" s="13"/>
      <c r="AD37" s="13"/>
      <c r="AE37" s="13"/>
    </row>
    <row r="38" spans="2:31" x14ac:dyDescent="0.25">
      <c r="B38" s="10" t="s">
        <v>29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AA38" s="13"/>
      <c r="AB38" s="13"/>
      <c r="AC38" s="13"/>
      <c r="AD38" s="13"/>
      <c r="AE38" s="13"/>
    </row>
    <row r="39" spans="2:31" x14ac:dyDescent="0.25">
      <c r="B39" s="4" t="s">
        <v>15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2:31" x14ac:dyDescent="0.25">
      <c r="B40" s="1" t="s">
        <v>16</v>
      </c>
      <c r="C40" s="12">
        <f>SUM(C41:C43)</f>
        <v>6875</v>
      </c>
      <c r="D40" s="12">
        <f t="shared" ref="D40" si="31">SUM(D41:D43)</f>
        <v>7067</v>
      </c>
      <c r="E40" s="12">
        <f>SUM(E41:E43)</f>
        <v>7244</v>
      </c>
      <c r="F40" s="12">
        <f t="shared" ref="F40:L40" si="32">SUM(F41:F43)</f>
        <v>7466</v>
      </c>
      <c r="G40" s="12">
        <f t="shared" si="32"/>
        <v>7567</v>
      </c>
      <c r="H40" s="12">
        <f t="shared" si="32"/>
        <v>7620</v>
      </c>
      <c r="I40" s="12">
        <f t="shared" si="32"/>
        <v>7766</v>
      </c>
      <c r="J40" s="12">
        <f t="shared" si="32"/>
        <v>8013</v>
      </c>
      <c r="K40" s="12">
        <f t="shared" si="32"/>
        <v>8098</v>
      </c>
      <c r="L40" s="12">
        <f t="shared" si="32"/>
        <v>8248</v>
      </c>
      <c r="M40" s="12">
        <f>SUM(M41:M43)+1</f>
        <v>8393</v>
      </c>
      <c r="N40" s="12">
        <f t="shared" ref="N40:S40" si="33">SUM(N41:N43)</f>
        <v>8620</v>
      </c>
      <c r="O40" s="12">
        <f t="shared" si="33"/>
        <v>8679</v>
      </c>
      <c r="P40" s="12">
        <f t="shared" si="33"/>
        <v>8736</v>
      </c>
      <c r="Q40" s="12">
        <f t="shared" si="33"/>
        <v>8868</v>
      </c>
      <c r="R40" s="12">
        <f t="shared" si="33"/>
        <v>9071</v>
      </c>
      <c r="S40" s="12">
        <f t="shared" si="33"/>
        <v>8813</v>
      </c>
      <c r="T40" s="12"/>
      <c r="U40" s="12"/>
      <c r="V40" s="12"/>
      <c r="AA40" s="13">
        <f>SUMIF($C$1:$M$1,AA$1,$C40:$M40)</f>
        <v>28652</v>
      </c>
      <c r="AB40" s="13">
        <f t="shared" si="14"/>
        <v>30966</v>
      </c>
      <c r="AC40" s="13">
        <f t="shared" ref="AC40:AC49" si="34">SUMIF($C$1:$N$1,AC$1,$C40:$N40)</f>
        <v>33359</v>
      </c>
      <c r="AD40" s="13">
        <f t="shared" si="16"/>
        <v>35354</v>
      </c>
      <c r="AE40" s="13"/>
    </row>
    <row r="41" spans="2:31" x14ac:dyDescent="0.25">
      <c r="B41" s="17" t="s">
        <v>17</v>
      </c>
      <c r="C41" s="15">
        <v>5600</v>
      </c>
      <c r="D41" s="15">
        <v>5717</v>
      </c>
      <c r="E41" s="15">
        <v>5801</v>
      </c>
      <c r="F41" s="15">
        <v>5861</v>
      </c>
      <c r="G41" s="15">
        <v>6050</v>
      </c>
      <c r="H41" s="15">
        <v>6107</v>
      </c>
      <c r="I41" s="15">
        <v>6135</v>
      </c>
      <c r="J41" s="15">
        <v>6177</v>
      </c>
      <c r="K41" s="15">
        <v>6343</v>
      </c>
      <c r="L41" s="15">
        <v>6377</v>
      </c>
      <c r="M41" s="15">
        <v>6366</v>
      </c>
      <c r="N41" s="15">
        <v>6403</v>
      </c>
      <c r="O41" s="15">
        <v>6591</v>
      </c>
      <c r="P41" s="15">
        <v>6569</v>
      </c>
      <c r="Q41" s="15">
        <v>6539</v>
      </c>
      <c r="R41" s="15">
        <v>6528</v>
      </c>
      <c r="S41" s="15">
        <v>6558</v>
      </c>
      <c r="T41" s="15"/>
      <c r="U41" s="15"/>
      <c r="V41" s="15"/>
      <c r="AA41" s="13">
        <f t="shared" si="14"/>
        <v>22979</v>
      </c>
      <c r="AB41" s="13">
        <f t="shared" si="14"/>
        <v>24469</v>
      </c>
      <c r="AC41" s="13">
        <f t="shared" si="34"/>
        <v>25489</v>
      </c>
      <c r="AD41" s="13">
        <f t="shared" si="16"/>
        <v>26227</v>
      </c>
      <c r="AE41" s="13"/>
    </row>
    <row r="42" spans="2:31" x14ac:dyDescent="0.25">
      <c r="B42" s="17" t="s">
        <v>18</v>
      </c>
      <c r="C42" s="15">
        <v>513</v>
      </c>
      <c r="D42" s="15">
        <v>556</v>
      </c>
      <c r="E42" s="15">
        <v>603</v>
      </c>
      <c r="F42" s="15">
        <v>709</v>
      </c>
      <c r="G42" s="15">
        <v>677</v>
      </c>
      <c r="H42" s="15">
        <v>722</v>
      </c>
      <c r="I42" s="15">
        <v>789</v>
      </c>
      <c r="J42" s="15">
        <v>883</v>
      </c>
      <c r="K42" s="15">
        <v>858</v>
      </c>
      <c r="L42" s="15">
        <v>869</v>
      </c>
      <c r="M42" s="15">
        <v>917</v>
      </c>
      <c r="N42" s="15">
        <v>1020</v>
      </c>
      <c r="O42" s="15">
        <v>972</v>
      </c>
      <c r="P42" s="15">
        <v>1019</v>
      </c>
      <c r="Q42" s="15">
        <v>1093</v>
      </c>
      <c r="R42" s="15">
        <v>1189</v>
      </c>
      <c r="S42" s="15">
        <v>1123</v>
      </c>
      <c r="T42" s="15"/>
      <c r="U42" s="15"/>
      <c r="V42" s="15"/>
      <c r="AA42" s="13">
        <f>SUMIF($C$1:$M$1,AA$1,$C42:$M42)</f>
        <v>2381</v>
      </c>
      <c r="AB42" s="13">
        <f t="shared" si="14"/>
        <v>3071</v>
      </c>
      <c r="AC42" s="13">
        <f t="shared" si="34"/>
        <v>3664</v>
      </c>
      <c r="AD42" s="13">
        <f t="shared" si="16"/>
        <v>4273</v>
      </c>
      <c r="AE42" s="13"/>
    </row>
    <row r="43" spans="2:31" x14ac:dyDescent="0.25">
      <c r="B43" s="17" t="s">
        <v>21</v>
      </c>
      <c r="C43" s="15">
        <v>762</v>
      </c>
      <c r="D43" s="15">
        <v>794</v>
      </c>
      <c r="E43" s="15">
        <v>840</v>
      </c>
      <c r="F43" s="15">
        <v>896</v>
      </c>
      <c r="G43" s="15">
        <v>840</v>
      </c>
      <c r="H43" s="15">
        <v>791</v>
      </c>
      <c r="I43" s="15">
        <v>842</v>
      </c>
      <c r="J43" s="15">
        <v>953</v>
      </c>
      <c r="K43" s="15">
        <v>897</v>
      </c>
      <c r="L43" s="15">
        <v>1002</v>
      </c>
      <c r="M43" s="15">
        <v>1109</v>
      </c>
      <c r="N43" s="15">
        <v>1197</v>
      </c>
      <c r="O43" s="15">
        <v>1116</v>
      </c>
      <c r="P43" s="15">
        <v>1148</v>
      </c>
      <c r="Q43" s="15">
        <v>1236</v>
      </c>
      <c r="R43" s="15">
        <v>1354</v>
      </c>
      <c r="S43" s="15">
        <v>1132</v>
      </c>
      <c r="T43" s="15"/>
      <c r="U43" s="15"/>
      <c r="V43" s="15"/>
      <c r="AA43" s="13">
        <f t="shared" si="14"/>
        <v>3292</v>
      </c>
      <c r="AB43" s="13">
        <f t="shared" si="14"/>
        <v>3426</v>
      </c>
      <c r="AC43" s="13">
        <f t="shared" si="34"/>
        <v>4205</v>
      </c>
      <c r="AD43" s="13">
        <f t="shared" si="16"/>
        <v>4854</v>
      </c>
      <c r="AE43" s="13"/>
    </row>
    <row r="44" spans="2:31" x14ac:dyDescent="0.25">
      <c r="B44" s="1" t="s">
        <v>22</v>
      </c>
      <c r="C44" s="15">
        <v>8191</v>
      </c>
      <c r="D44" s="15">
        <v>8232</v>
      </c>
      <c r="E44" s="15">
        <v>8080</v>
      </c>
      <c r="F44" s="15">
        <v>7936</v>
      </c>
      <c r="G44" s="15">
        <v>8002</v>
      </c>
      <c r="H44" s="15">
        <v>7793</v>
      </c>
      <c r="I44" s="15">
        <v>7428</v>
      </c>
      <c r="J44" s="15">
        <v>7273</v>
      </c>
      <c r="K44" s="15">
        <v>7382</v>
      </c>
      <c r="L44" s="15">
        <v>7358</v>
      </c>
      <c r="M44" s="15">
        <v>7154</v>
      </c>
      <c r="N44" s="15">
        <v>6903</v>
      </c>
      <c r="O44" s="15">
        <v>6876</v>
      </c>
      <c r="P44" s="15">
        <v>6781</v>
      </c>
      <c r="Q44" s="15">
        <v>6713</v>
      </c>
      <c r="R44" s="15">
        <v>6502</v>
      </c>
      <c r="S44" s="15">
        <v>6718</v>
      </c>
      <c r="T44" s="15"/>
      <c r="U44" s="15"/>
      <c r="V44" s="15"/>
      <c r="AA44" s="13">
        <f>SUMIF($C$1:$M$1,AA$1,$C44:$M44)</f>
        <v>32439</v>
      </c>
      <c r="AB44" s="13">
        <f t="shared" si="14"/>
        <v>30496</v>
      </c>
      <c r="AC44" s="13">
        <f t="shared" si="34"/>
        <v>28797</v>
      </c>
      <c r="AD44" s="13">
        <f t="shared" si="16"/>
        <v>26872</v>
      </c>
      <c r="AE44" s="13"/>
    </row>
    <row r="45" spans="2:31" x14ac:dyDescent="0.25">
      <c r="B45" s="1" t="s">
        <v>23</v>
      </c>
      <c r="C45" s="15">
        <v>1001</v>
      </c>
      <c r="D45" s="15">
        <v>1128</v>
      </c>
      <c r="E45" s="15">
        <v>1097</v>
      </c>
      <c r="F45" s="15">
        <v>1282</v>
      </c>
      <c r="G45" s="15">
        <v>1073</v>
      </c>
      <c r="H45" s="15">
        <v>1112</v>
      </c>
      <c r="I45" s="15">
        <v>1078</v>
      </c>
      <c r="J45" s="15">
        <v>1283</v>
      </c>
      <c r="K45" s="15">
        <v>907</v>
      </c>
      <c r="L45" s="15">
        <v>993</v>
      </c>
      <c r="M45" s="15">
        <v>960</v>
      </c>
      <c r="N45" s="15">
        <v>1109</v>
      </c>
      <c r="O45" s="15">
        <v>951</v>
      </c>
      <c r="P45" s="15">
        <v>993</v>
      </c>
      <c r="Q45" s="15">
        <v>987</v>
      </c>
      <c r="R45" s="15">
        <v>1158</v>
      </c>
      <c r="S45" s="15">
        <v>881</v>
      </c>
      <c r="T45" s="15"/>
      <c r="U45" s="15"/>
      <c r="V45" s="15"/>
      <c r="AA45" s="13">
        <f>SUMIF($C$1:$M$1,AA$1,$C45:$M45)</f>
        <v>4508</v>
      </c>
      <c r="AB45" s="13">
        <f t="shared" si="14"/>
        <v>4546</v>
      </c>
      <c r="AC45" s="13">
        <f t="shared" si="34"/>
        <v>3969</v>
      </c>
      <c r="AD45" s="13">
        <f t="shared" si="16"/>
        <v>4089</v>
      </c>
      <c r="AE45" s="13"/>
    </row>
    <row r="46" spans="2:31" x14ac:dyDescent="0.25">
      <c r="B46" s="1" t="s">
        <v>24</v>
      </c>
      <c r="C46" s="15">
        <v>1785</v>
      </c>
      <c r="D46" s="15">
        <v>1805</v>
      </c>
      <c r="E46" s="15">
        <v>1759</v>
      </c>
      <c r="F46" s="15">
        <v>1747</v>
      </c>
      <c r="G46" s="15">
        <v>1698</v>
      </c>
      <c r="H46" s="15">
        <v>1607</v>
      </c>
      <c r="I46" s="15">
        <v>1561</v>
      </c>
      <c r="J46" s="15">
        <v>1512</v>
      </c>
      <c r="K46" s="15">
        <v>1482</v>
      </c>
      <c r="L46" s="15">
        <v>1469</v>
      </c>
      <c r="M46" s="15">
        <v>1444</v>
      </c>
      <c r="N46" s="15">
        <v>1426</v>
      </c>
      <c r="O46" s="15">
        <v>1362</v>
      </c>
      <c r="P46" s="15">
        <v>1313</v>
      </c>
      <c r="Q46" s="15">
        <v>1298</v>
      </c>
      <c r="R46" s="15">
        <v>1286</v>
      </c>
      <c r="S46" s="15">
        <v>1230</v>
      </c>
      <c r="T46" s="15"/>
      <c r="U46" s="15"/>
      <c r="V46" s="15"/>
      <c r="AA46" s="13">
        <f>SUMIF($C$1:$M$1,AA$1,$C46:$M46)</f>
        <v>7096</v>
      </c>
      <c r="AB46" s="13">
        <f t="shared" si="14"/>
        <v>6378</v>
      </c>
      <c r="AC46" s="13">
        <f t="shared" si="34"/>
        <v>5821</v>
      </c>
      <c r="AD46" s="13">
        <f t="shared" si="16"/>
        <v>5259</v>
      </c>
      <c r="AE46" s="13"/>
    </row>
    <row r="47" spans="2:31" x14ac:dyDescent="0.25">
      <c r="B47" s="1" t="s">
        <v>25</v>
      </c>
      <c r="C47" s="12">
        <f>C40+SUM(C44:C46)-1</f>
        <v>17851</v>
      </c>
      <c r="D47" s="12">
        <f>D40+SUM(D44:D46)</f>
        <v>18232</v>
      </c>
      <c r="E47" s="12">
        <f>E40+SUM(E44:E46)</f>
        <v>18180</v>
      </c>
      <c r="F47" s="12">
        <f t="shared" ref="F47:Q47" si="35">F40+SUM(F44:F46)</f>
        <v>18431</v>
      </c>
      <c r="G47" s="12">
        <f t="shared" si="35"/>
        <v>18340</v>
      </c>
      <c r="H47" s="12">
        <f t="shared" si="35"/>
        <v>18132</v>
      </c>
      <c r="I47" s="12">
        <f t="shared" si="35"/>
        <v>17833</v>
      </c>
      <c r="J47" s="12">
        <f t="shared" si="35"/>
        <v>18081</v>
      </c>
      <c r="K47" s="12">
        <f t="shared" si="35"/>
        <v>17869</v>
      </c>
      <c r="L47" s="12">
        <f t="shared" si="35"/>
        <v>18068</v>
      </c>
      <c r="M47" s="12">
        <f t="shared" si="35"/>
        <v>17951</v>
      </c>
      <c r="N47" s="12">
        <f t="shared" si="35"/>
        <v>18058</v>
      </c>
      <c r="O47" s="12">
        <f t="shared" si="35"/>
        <v>17868</v>
      </c>
      <c r="P47" s="12">
        <f t="shared" si="35"/>
        <v>17823</v>
      </c>
      <c r="Q47" s="12">
        <f t="shared" si="35"/>
        <v>17866</v>
      </c>
      <c r="R47" s="12">
        <v>18016</v>
      </c>
      <c r="S47" s="12">
        <f t="shared" ref="S47" si="36">S40+SUM(S44:S46)</f>
        <v>17642</v>
      </c>
      <c r="T47" s="12"/>
      <c r="U47" s="12"/>
      <c r="V47" s="12"/>
      <c r="AA47" s="13">
        <f t="shared" si="14"/>
        <v>72694</v>
      </c>
      <c r="AB47" s="13">
        <f t="shared" si="14"/>
        <v>72386</v>
      </c>
      <c r="AC47" s="13">
        <f t="shared" si="34"/>
        <v>71946</v>
      </c>
      <c r="AD47" s="13">
        <f t="shared" si="16"/>
        <v>71573</v>
      </c>
      <c r="AE47" s="13"/>
    </row>
    <row r="48" spans="2:31" x14ac:dyDescent="0.25">
      <c r="B48" s="1" t="s">
        <v>26</v>
      </c>
      <c r="C48" s="15">
        <f>1946</f>
        <v>1946</v>
      </c>
      <c r="D48" s="15">
        <v>1983</v>
      </c>
      <c r="E48" s="15">
        <v>2008</v>
      </c>
      <c r="F48" s="15">
        <v>2119</v>
      </c>
      <c r="G48" s="15">
        <v>2172</v>
      </c>
      <c r="H48" s="15">
        <v>2203</v>
      </c>
      <c r="I48" s="15">
        <v>2215</v>
      </c>
      <c r="J48" s="15">
        <v>2230</v>
      </c>
      <c r="K48" s="15">
        <v>2283</v>
      </c>
      <c r="L48" s="15">
        <v>2292</v>
      </c>
      <c r="M48" s="15">
        <v>2320</v>
      </c>
      <c r="N48" s="15">
        <v>2361</v>
      </c>
      <c r="O48" s="15">
        <v>2407</v>
      </c>
      <c r="P48" s="15">
        <v>2421</v>
      </c>
      <c r="Q48" s="15">
        <v>2425</v>
      </c>
      <c r="R48" s="15">
        <v>2448</v>
      </c>
      <c r="S48" s="15">
        <v>2496</v>
      </c>
      <c r="T48" s="15"/>
      <c r="U48" s="15"/>
      <c r="V48" s="15"/>
      <c r="AA48" s="13">
        <f t="shared" si="14"/>
        <v>8056</v>
      </c>
      <c r="AB48" s="13">
        <f>SUMIF($C$1:$M$1,AB$1,$C48:$M48)</f>
        <v>8820</v>
      </c>
      <c r="AC48" s="13">
        <f t="shared" si="34"/>
        <v>9256</v>
      </c>
      <c r="AD48" s="13">
        <f t="shared" si="16"/>
        <v>9701</v>
      </c>
      <c r="AE48" s="13"/>
    </row>
    <row r="49" spans="1:31" x14ac:dyDescent="0.25">
      <c r="B49" s="1" t="s">
        <v>27</v>
      </c>
      <c r="C49" s="13">
        <f>C47+C48</f>
        <v>19797</v>
      </c>
      <c r="D49" s="13">
        <f>D47+D48</f>
        <v>20215</v>
      </c>
      <c r="E49" s="13">
        <f>E47+E48</f>
        <v>20188</v>
      </c>
      <c r="F49" s="13">
        <f t="shared" ref="F49:S49" si="37">F47+F48</f>
        <v>20550</v>
      </c>
      <c r="G49" s="13">
        <f t="shared" si="37"/>
        <v>20512</v>
      </c>
      <c r="H49" s="13">
        <f t="shared" si="37"/>
        <v>20335</v>
      </c>
      <c r="I49" s="13">
        <f t="shared" si="37"/>
        <v>20048</v>
      </c>
      <c r="J49" s="13">
        <f t="shared" si="37"/>
        <v>20311</v>
      </c>
      <c r="K49" s="13">
        <f t="shared" si="37"/>
        <v>20152</v>
      </c>
      <c r="L49" s="13">
        <f t="shared" si="37"/>
        <v>20360</v>
      </c>
      <c r="M49" s="13">
        <f t="shared" si="37"/>
        <v>20271</v>
      </c>
      <c r="N49" s="13">
        <f t="shared" si="37"/>
        <v>20419</v>
      </c>
      <c r="O49" s="13">
        <f t="shared" si="37"/>
        <v>20275</v>
      </c>
      <c r="P49" s="13">
        <f t="shared" si="37"/>
        <v>20244</v>
      </c>
      <c r="Q49" s="13">
        <f t="shared" si="37"/>
        <v>20291</v>
      </c>
      <c r="R49" s="13">
        <f t="shared" si="37"/>
        <v>20464</v>
      </c>
      <c r="S49" s="13">
        <f t="shared" si="37"/>
        <v>20138</v>
      </c>
      <c r="T49" s="13"/>
      <c r="U49" s="13"/>
      <c r="V49" s="13"/>
      <c r="AA49" s="13">
        <f t="shared" si="14"/>
        <v>80750</v>
      </c>
      <c r="AB49" s="13">
        <f>SUMIF($C$1:$M$1,AB$1,$C49:$M49)</f>
        <v>81206</v>
      </c>
      <c r="AC49" s="13">
        <f t="shared" si="34"/>
        <v>81202</v>
      </c>
      <c r="AD49" s="13">
        <f t="shared" si="16"/>
        <v>81274</v>
      </c>
      <c r="AE49" s="13"/>
    </row>
    <row r="50" spans="1:31" x14ac:dyDescent="0.25">
      <c r="AA50" s="13"/>
      <c r="AB50" s="13"/>
      <c r="AC50" s="13"/>
    </row>
    <row r="51" spans="1:31" s="21" customFormat="1" x14ac:dyDescent="0.25">
      <c r="A51" s="1" t="s">
        <v>14</v>
      </c>
      <c r="B51" s="19" t="s">
        <v>30</v>
      </c>
      <c r="C51" s="20">
        <f>C52+C53</f>
        <v>12466</v>
      </c>
      <c r="D51" s="20">
        <f t="shared" ref="D51:X51" si="38">D52+D53</f>
        <v>12537</v>
      </c>
      <c r="E51" s="20">
        <f t="shared" si="38"/>
        <v>12632</v>
      </c>
      <c r="F51" s="20">
        <f t="shared" si="38"/>
        <v>13245</v>
      </c>
      <c r="G51" s="20">
        <f t="shared" si="38"/>
        <v>12667</v>
      </c>
      <c r="H51" s="20">
        <f t="shared" si="38"/>
        <v>12340</v>
      </c>
      <c r="I51" s="20">
        <f t="shared" si="38"/>
        <v>12065</v>
      </c>
      <c r="J51" s="20">
        <f t="shared" si="38"/>
        <v>12962</v>
      </c>
      <c r="K51" s="20">
        <f t="shared" si="38"/>
        <v>12060</v>
      </c>
      <c r="L51" s="20">
        <f t="shared" si="38"/>
        <v>12014</v>
      </c>
      <c r="M51" s="20">
        <f t="shared" si="38"/>
        <v>12050</v>
      </c>
      <c r="N51" s="20">
        <f t="shared" si="38"/>
        <v>12839</v>
      </c>
      <c r="O51" s="20">
        <f t="shared" si="38"/>
        <v>12145</v>
      </c>
      <c r="P51" s="20">
        <f t="shared" si="38"/>
        <v>11861</v>
      </c>
      <c r="Q51" s="20">
        <f t="shared" si="38"/>
        <v>12092</v>
      </c>
      <c r="R51" s="20">
        <f t="shared" si="38"/>
        <v>12736</v>
      </c>
      <c r="S51" s="20">
        <f t="shared" si="38"/>
        <v>11897</v>
      </c>
      <c r="T51" s="20">
        <f t="shared" si="38"/>
        <v>11965</v>
      </c>
      <c r="U51" s="20">
        <f t="shared" si="38"/>
        <v>12274</v>
      </c>
      <c r="V51" s="20">
        <f t="shared" si="38"/>
        <v>12846</v>
      </c>
      <c r="W51" s="20">
        <f t="shared" si="38"/>
        <v>12052</v>
      </c>
      <c r="X51" s="20">
        <f t="shared" si="38"/>
        <v>11831</v>
      </c>
      <c r="Y51" s="20"/>
      <c r="Z51" s="20"/>
      <c r="AA51" s="20">
        <f t="shared" si="14"/>
        <v>50880</v>
      </c>
      <c r="AB51" s="20">
        <f t="shared" si="14"/>
        <v>50034</v>
      </c>
      <c r="AC51" s="20">
        <f t="shared" ref="AC51:AC98" si="39">SUMIF($C$1:$N$1,AC$1,$C51:$N51)</f>
        <v>48963</v>
      </c>
      <c r="AD51" s="20">
        <f t="shared" si="16"/>
        <v>48834</v>
      </c>
      <c r="AE51" s="20">
        <f t="shared" ref="AE51" si="40">SUMIF($C$1:$V$1,AE$1,$C51:$V51)</f>
        <v>48982</v>
      </c>
    </row>
    <row r="52" spans="1:31" x14ac:dyDescent="0.25">
      <c r="B52" s="1" t="s">
        <v>25</v>
      </c>
      <c r="C52" s="15">
        <v>11674</v>
      </c>
      <c r="D52" s="15">
        <v>11707</v>
      </c>
      <c r="E52" s="15">
        <v>11805</v>
      </c>
      <c r="F52" s="15">
        <v>12320</v>
      </c>
      <c r="G52" s="15">
        <v>11729</v>
      </c>
      <c r="H52" s="15">
        <v>11399</v>
      </c>
      <c r="I52" s="15">
        <v>11138</v>
      </c>
      <c r="J52" s="15">
        <v>12009</v>
      </c>
      <c r="K52" s="15">
        <v>11108</v>
      </c>
      <c r="L52" s="15">
        <v>11044</v>
      </c>
      <c r="M52" s="15">
        <v>11065</v>
      </c>
      <c r="N52" s="15">
        <v>11782</v>
      </c>
      <c r="O52" s="15">
        <v>11104</v>
      </c>
      <c r="P52" s="15">
        <v>10820</v>
      </c>
      <c r="Q52" s="15">
        <v>11058</v>
      </c>
      <c r="R52" s="15">
        <v>11651</v>
      </c>
      <c r="S52" s="15">
        <v>10823</v>
      </c>
      <c r="T52" s="15">
        <v>10834</v>
      </c>
      <c r="U52" s="15">
        <v>11152</v>
      </c>
      <c r="V52" s="15">
        <v>11660</v>
      </c>
      <c r="W52" s="16">
        <v>10889</v>
      </c>
      <c r="X52" s="16">
        <v>10676</v>
      </c>
      <c r="AA52" s="13">
        <f t="shared" si="14"/>
        <v>47506</v>
      </c>
      <c r="AB52" s="13">
        <f t="shared" si="14"/>
        <v>46275</v>
      </c>
      <c r="AC52" s="13">
        <f t="shared" si="39"/>
        <v>44999</v>
      </c>
      <c r="AD52" s="13">
        <f t="shared" si="16"/>
        <v>44633</v>
      </c>
      <c r="AE52" s="13">
        <f>SUMIF($C$1:$V$1,AE$1,$C52:$V52)-1</f>
        <v>44468</v>
      </c>
    </row>
    <row r="53" spans="1:31" x14ac:dyDescent="0.25">
      <c r="B53" s="1" t="s">
        <v>31</v>
      </c>
      <c r="C53" s="15">
        <v>792</v>
      </c>
      <c r="D53" s="15">
        <v>830</v>
      </c>
      <c r="E53" s="15">
        <v>827</v>
      </c>
      <c r="F53" s="15">
        <v>925</v>
      </c>
      <c r="G53" s="15">
        <v>938</v>
      </c>
      <c r="H53" s="15">
        <v>941</v>
      </c>
      <c r="I53" s="15">
        <v>927</v>
      </c>
      <c r="J53" s="15">
        <v>953</v>
      </c>
      <c r="K53" s="15">
        <v>952</v>
      </c>
      <c r="L53" s="15">
        <v>970</v>
      </c>
      <c r="M53" s="15">
        <v>985</v>
      </c>
      <c r="N53" s="15">
        <v>1057</v>
      </c>
      <c r="O53" s="15">
        <v>1041</v>
      </c>
      <c r="P53" s="15">
        <v>1041</v>
      </c>
      <c r="Q53" s="15">
        <v>1034</v>
      </c>
      <c r="R53" s="15">
        <v>1085</v>
      </c>
      <c r="S53" s="15">
        <v>1074</v>
      </c>
      <c r="T53" s="15">
        <v>1131</v>
      </c>
      <c r="U53" s="15">
        <v>1122</v>
      </c>
      <c r="V53" s="15">
        <v>1186</v>
      </c>
      <c r="W53" s="16">
        <v>1163</v>
      </c>
      <c r="X53" s="16">
        <v>1155</v>
      </c>
      <c r="AA53" s="13">
        <f t="shared" si="14"/>
        <v>3374</v>
      </c>
      <c r="AB53" s="13">
        <f t="shared" si="14"/>
        <v>3759</v>
      </c>
      <c r="AC53" s="13">
        <f t="shared" si="39"/>
        <v>3964</v>
      </c>
      <c r="AD53" s="13">
        <f t="shared" si="16"/>
        <v>4201</v>
      </c>
      <c r="AE53" s="13">
        <f>SUMIF($C$1:$V$1,AE$1,$C53:$V53)-1</f>
        <v>4512</v>
      </c>
    </row>
    <row r="54" spans="1:31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5"/>
      <c r="N54" s="15"/>
      <c r="O54" s="15"/>
      <c r="P54" s="15"/>
      <c r="Q54" s="15"/>
      <c r="R54" s="15"/>
      <c r="S54" s="15"/>
      <c r="T54" s="15"/>
      <c r="U54" s="15"/>
      <c r="V54" s="15"/>
      <c r="AA54" s="13"/>
      <c r="AB54" s="13"/>
      <c r="AC54" s="13"/>
    </row>
    <row r="55" spans="1:31" x14ac:dyDescent="0.25">
      <c r="B55" s="10" t="s">
        <v>32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15"/>
      <c r="N55" s="15"/>
      <c r="O55" s="15"/>
      <c r="P55" s="15"/>
      <c r="Q55" s="15"/>
      <c r="R55" s="15"/>
      <c r="S55" s="15"/>
      <c r="T55" s="15"/>
      <c r="U55" s="15"/>
      <c r="V55" s="15"/>
      <c r="AA55" s="13"/>
      <c r="AB55" s="13"/>
      <c r="AC55" s="13"/>
    </row>
    <row r="56" spans="1:31" x14ac:dyDescent="0.25">
      <c r="B56" s="1" t="s">
        <v>33</v>
      </c>
      <c r="C56" s="15">
        <v>5199</v>
      </c>
      <c r="D56" s="15">
        <v>5176</v>
      </c>
      <c r="E56" s="15">
        <v>5069</v>
      </c>
      <c r="F56" s="15">
        <v>5098</v>
      </c>
      <c r="G56" s="15">
        <v>4884</v>
      </c>
      <c r="H56" s="15">
        <v>4679</v>
      </c>
      <c r="I56" s="15">
        <v>4464</v>
      </c>
      <c r="J56" s="15">
        <v>4473</v>
      </c>
      <c r="K56" s="15">
        <v>4600</v>
      </c>
      <c r="L56" s="15">
        <v>4579</v>
      </c>
      <c r="M56" s="15">
        <v>4460</v>
      </c>
      <c r="N56" s="15">
        <v>4429</v>
      </c>
      <c r="O56" s="15">
        <v>4405</v>
      </c>
      <c r="P56" s="15">
        <v>4248</v>
      </c>
      <c r="Q56" s="15">
        <v>4102</v>
      </c>
      <c r="R56" s="15">
        <v>4125</v>
      </c>
      <c r="S56" s="15">
        <v>4107</v>
      </c>
      <c r="T56" s="15">
        <v>3998</v>
      </c>
      <c r="U56" s="15">
        <v>3952</v>
      </c>
      <c r="V56" s="15">
        <v>3950</v>
      </c>
      <c r="W56" s="16">
        <v>3787</v>
      </c>
      <c r="X56" s="16">
        <v>3698</v>
      </c>
      <c r="AA56" s="13">
        <f t="shared" si="14"/>
        <v>20542</v>
      </c>
      <c r="AB56" s="13">
        <f t="shared" si="14"/>
        <v>18500</v>
      </c>
      <c r="AC56" s="13">
        <f t="shared" si="39"/>
        <v>18068</v>
      </c>
      <c r="AD56" s="13">
        <f>SUMIF($C$1:$R$1,AD$1,$C56:$R56)+1</f>
        <v>16881</v>
      </c>
      <c r="AE56" s="13">
        <f t="shared" ref="AE56:AE97" si="41">SUMIF($C$1:$V$1,AE$1,$C56:$V56)</f>
        <v>16007</v>
      </c>
    </row>
    <row r="57" spans="1:31" x14ac:dyDescent="0.25">
      <c r="B57" s="1" t="s">
        <v>34</v>
      </c>
      <c r="C57" s="15">
        <v>1213</v>
      </c>
      <c r="D57" s="15">
        <v>1274</v>
      </c>
      <c r="E57" s="15">
        <v>1309</v>
      </c>
      <c r="F57" s="15">
        <v>1384</v>
      </c>
      <c r="G57" s="15">
        <v>1332</v>
      </c>
      <c r="H57" s="15">
        <v>1296</v>
      </c>
      <c r="I57" s="15">
        <v>1246</v>
      </c>
      <c r="J57" s="15">
        <v>1227</v>
      </c>
      <c r="K57" s="15">
        <v>1202</v>
      </c>
      <c r="L57" s="15">
        <v>1213</v>
      </c>
      <c r="M57" s="15">
        <v>1169</v>
      </c>
      <c r="N57" s="15">
        <v>1135</v>
      </c>
      <c r="O57" s="15">
        <v>1180</v>
      </c>
      <c r="P57" s="15">
        <v>1150</v>
      </c>
      <c r="Q57" s="15">
        <v>1244</v>
      </c>
      <c r="R57" s="15">
        <v>1250</v>
      </c>
      <c r="S57" s="15">
        <v>1242</v>
      </c>
      <c r="T57" s="15">
        <v>1249</v>
      </c>
      <c r="U57" s="15">
        <v>1332</v>
      </c>
      <c r="V57" s="15">
        <v>1323</v>
      </c>
      <c r="W57" s="16">
        <v>1337</v>
      </c>
      <c r="X57" s="16">
        <v>1311</v>
      </c>
      <c r="AA57" s="13">
        <f t="shared" si="14"/>
        <v>5180</v>
      </c>
      <c r="AB57" s="13">
        <f t="shared" si="14"/>
        <v>5101</v>
      </c>
      <c r="AC57" s="13">
        <f t="shared" si="39"/>
        <v>4719</v>
      </c>
      <c r="AD57" s="13">
        <f>SUMIF($C$1:$R$1,AD$1,$C57:$R57)-1</f>
        <v>4823</v>
      </c>
      <c r="AE57" s="13">
        <f>SUMIF($C$1:$V$1,AE$1,$C57:$V57)-1</f>
        <v>5145</v>
      </c>
    </row>
    <row r="58" spans="1:31" x14ac:dyDescent="0.25">
      <c r="B58" s="1" t="s">
        <v>35</v>
      </c>
      <c r="C58" s="15">
        <v>1122</v>
      </c>
      <c r="D58" s="15">
        <v>1152</v>
      </c>
      <c r="E58" s="15">
        <v>1200</v>
      </c>
      <c r="F58" s="15">
        <v>1427</v>
      </c>
      <c r="G58" s="15">
        <v>1339</v>
      </c>
      <c r="H58" s="15">
        <v>1329</v>
      </c>
      <c r="I58" s="15">
        <v>1377</v>
      </c>
      <c r="J58" s="15">
        <v>1553</v>
      </c>
      <c r="K58" s="15">
        <v>1401</v>
      </c>
      <c r="L58" s="15">
        <v>1408</v>
      </c>
      <c r="M58" s="15">
        <v>1554</v>
      </c>
      <c r="N58" s="15">
        <v>1784</v>
      </c>
      <c r="O58" s="15">
        <v>1514</v>
      </c>
      <c r="P58" s="15">
        <v>1515</v>
      </c>
      <c r="Q58" s="15">
        <v>1676</v>
      </c>
      <c r="R58" s="15">
        <v>1902</v>
      </c>
      <c r="S58" s="15">
        <v>1625</v>
      </c>
      <c r="T58" s="15">
        <v>1829</v>
      </c>
      <c r="U58" s="15">
        <v>1911</v>
      </c>
      <c r="V58" s="15">
        <v>2210</v>
      </c>
      <c r="W58" s="16">
        <v>1962</v>
      </c>
      <c r="X58" s="16">
        <v>1992</v>
      </c>
      <c r="AA58" s="13">
        <f t="shared" si="14"/>
        <v>4901</v>
      </c>
      <c r="AB58" s="13">
        <f t="shared" si="14"/>
        <v>5598</v>
      </c>
      <c r="AC58" s="13">
        <f t="shared" si="39"/>
        <v>6147</v>
      </c>
      <c r="AD58" s="13">
        <f t="shared" ref="AD58:AD62" si="42">SUMIF($C$1:$R$1,AD$1,$C58:$R58)</f>
        <v>6607</v>
      </c>
      <c r="AE58" s="13">
        <f>SUMIF($C$1:$V$1,AE$1,$C58:$V58)+1</f>
        <v>7576</v>
      </c>
    </row>
    <row r="59" spans="1:31" x14ac:dyDescent="0.25">
      <c r="B59" s="1" t="s">
        <v>36</v>
      </c>
      <c r="C59" s="15">
        <v>1855</v>
      </c>
      <c r="D59" s="15">
        <v>1873</v>
      </c>
      <c r="E59" s="15">
        <v>1951</v>
      </c>
      <c r="F59" s="15">
        <v>2003</v>
      </c>
      <c r="G59" s="15">
        <v>1949</v>
      </c>
      <c r="H59" s="15">
        <v>1916</v>
      </c>
      <c r="I59" s="15">
        <v>1911</v>
      </c>
      <c r="J59" s="15">
        <v>1945</v>
      </c>
      <c r="K59" s="15">
        <v>1830</v>
      </c>
      <c r="L59" s="15">
        <v>1828</v>
      </c>
      <c r="M59" s="15">
        <v>1867</v>
      </c>
      <c r="N59" s="15">
        <v>1891</v>
      </c>
      <c r="O59" s="15">
        <v>2012</v>
      </c>
      <c r="P59" s="15">
        <v>1907</v>
      </c>
      <c r="Q59" s="15">
        <v>1963</v>
      </c>
      <c r="R59" s="15">
        <v>1963</v>
      </c>
      <c r="S59" s="15">
        <v>1935</v>
      </c>
      <c r="T59" s="15">
        <v>1918</v>
      </c>
      <c r="U59" s="15">
        <v>2019</v>
      </c>
      <c r="V59" s="15">
        <v>1981</v>
      </c>
      <c r="W59" s="16">
        <v>1968</v>
      </c>
      <c r="X59" s="16">
        <v>1913</v>
      </c>
      <c r="AA59" s="13">
        <f t="shared" si="14"/>
        <v>7682</v>
      </c>
      <c r="AB59" s="13">
        <f t="shared" si="14"/>
        <v>7721</v>
      </c>
      <c r="AC59" s="13">
        <f t="shared" si="39"/>
        <v>7416</v>
      </c>
      <c r="AD59" s="13">
        <f t="shared" si="42"/>
        <v>7845</v>
      </c>
      <c r="AE59" s="13">
        <f>SUMIF($C$1:$V$1,AE$1,$C59:$V59)+1</f>
        <v>7854</v>
      </c>
    </row>
    <row r="60" spans="1:31" x14ac:dyDescent="0.25">
      <c r="B60" s="1" t="s">
        <v>37</v>
      </c>
      <c r="C60" s="15">
        <v>776</v>
      </c>
      <c r="D60" s="15">
        <v>759</v>
      </c>
      <c r="E60" s="15">
        <v>748</v>
      </c>
      <c r="F60" s="15">
        <v>735</v>
      </c>
      <c r="G60" s="15">
        <v>736</v>
      </c>
      <c r="H60" s="15">
        <v>720</v>
      </c>
      <c r="I60" s="15">
        <v>712</v>
      </c>
      <c r="J60" s="15">
        <v>702</v>
      </c>
      <c r="K60" s="15">
        <v>709</v>
      </c>
      <c r="L60" s="15">
        <v>696</v>
      </c>
      <c r="M60" s="15">
        <v>692</v>
      </c>
      <c r="N60" s="15">
        <v>686</v>
      </c>
      <c r="O60" s="15">
        <v>712</v>
      </c>
      <c r="P60" s="15">
        <v>685</v>
      </c>
      <c r="Q60" s="15">
        <v>683</v>
      </c>
      <c r="R60" s="15">
        <v>662</v>
      </c>
      <c r="S60" s="15">
        <v>682</v>
      </c>
      <c r="T60" s="15">
        <v>677</v>
      </c>
      <c r="U60" s="15">
        <v>707</v>
      </c>
      <c r="V60" s="15">
        <v>699</v>
      </c>
      <c r="W60" s="16">
        <v>676</v>
      </c>
      <c r="X60" s="16">
        <v>671</v>
      </c>
      <c r="AA60" s="13">
        <f t="shared" si="14"/>
        <v>3018</v>
      </c>
      <c r="AB60" s="13">
        <f t="shared" si="14"/>
        <v>2870</v>
      </c>
      <c r="AC60" s="13">
        <f t="shared" si="39"/>
        <v>2783</v>
      </c>
      <c r="AD60" s="13">
        <f t="shared" si="42"/>
        <v>2742</v>
      </c>
      <c r="AE60" s="13">
        <f t="shared" si="41"/>
        <v>2765</v>
      </c>
    </row>
    <row r="61" spans="1:31" x14ac:dyDescent="0.25">
      <c r="B61" s="1" t="s">
        <v>24</v>
      </c>
      <c r="C61" s="15">
        <v>2301</v>
      </c>
      <c r="D61" s="15">
        <v>2303</v>
      </c>
      <c r="E61" s="15">
        <v>2354</v>
      </c>
      <c r="F61" s="15">
        <v>2598</v>
      </c>
      <c r="G61" s="15">
        <v>2429</v>
      </c>
      <c r="H61" s="15">
        <v>2399</v>
      </c>
      <c r="I61" s="15">
        <v>2354</v>
      </c>
      <c r="J61" s="15">
        <v>3062</v>
      </c>
      <c r="K61" s="15">
        <v>2317</v>
      </c>
      <c r="L61" s="15">
        <v>2290</v>
      </c>
      <c r="M61" s="15">
        <v>2308</v>
      </c>
      <c r="N61" s="15">
        <v>2914</v>
      </c>
      <c r="O61" s="15">
        <v>2322</v>
      </c>
      <c r="P61" s="15">
        <v>2356</v>
      </c>
      <c r="Q61" s="15">
        <v>2424</v>
      </c>
      <c r="R61" s="15">
        <v>2833</v>
      </c>
      <c r="S61" s="15">
        <v>2305</v>
      </c>
      <c r="T61" s="15">
        <v>2293</v>
      </c>
      <c r="U61" s="15">
        <v>2353</v>
      </c>
      <c r="V61" s="15">
        <v>2683</v>
      </c>
      <c r="W61" s="16">
        <v>2323</v>
      </c>
      <c r="X61" s="16">
        <v>2245</v>
      </c>
      <c r="AA61" s="13">
        <f t="shared" si="14"/>
        <v>9556</v>
      </c>
      <c r="AB61" s="13">
        <f t="shared" si="14"/>
        <v>10244</v>
      </c>
      <c r="AC61" s="13">
        <f t="shared" si="39"/>
        <v>9829</v>
      </c>
      <c r="AD61" s="13">
        <f t="shared" si="42"/>
        <v>9935</v>
      </c>
      <c r="AE61" s="13">
        <f t="shared" si="41"/>
        <v>9634</v>
      </c>
    </row>
    <row r="62" spans="1:31" x14ac:dyDescent="0.25">
      <c r="B62" s="1" t="s">
        <v>27</v>
      </c>
      <c r="C62" s="13">
        <f>SUM(C56:C61)</f>
        <v>12466</v>
      </c>
      <c r="D62" s="13">
        <f t="shared" ref="D62:O62" si="43">SUM(D56:D61)</f>
        <v>12537</v>
      </c>
      <c r="E62" s="13">
        <f t="shared" si="43"/>
        <v>12631</v>
      </c>
      <c r="F62" s="13">
        <f t="shared" si="43"/>
        <v>13245</v>
      </c>
      <c r="G62" s="13">
        <f t="shared" si="43"/>
        <v>12669</v>
      </c>
      <c r="H62" s="13">
        <f t="shared" si="43"/>
        <v>12339</v>
      </c>
      <c r="I62" s="13">
        <f t="shared" si="43"/>
        <v>12064</v>
      </c>
      <c r="J62" s="13">
        <f t="shared" si="43"/>
        <v>12962</v>
      </c>
      <c r="K62" s="13">
        <f t="shared" si="43"/>
        <v>12059</v>
      </c>
      <c r="L62" s="13">
        <f t="shared" si="43"/>
        <v>12014</v>
      </c>
      <c r="M62" s="13">
        <f t="shared" si="43"/>
        <v>12050</v>
      </c>
      <c r="N62" s="13">
        <f t="shared" si="43"/>
        <v>12839</v>
      </c>
      <c r="O62" s="13">
        <f t="shared" si="43"/>
        <v>12145</v>
      </c>
      <c r="P62" s="13">
        <f>SUM(P56:P61)+1</f>
        <v>11862</v>
      </c>
      <c r="Q62" s="13">
        <f t="shared" ref="Q62:U62" si="44">SUM(Q56:Q61)</f>
        <v>12092</v>
      </c>
      <c r="R62" s="13">
        <f>SUM(R56:R61)+1</f>
        <v>12736</v>
      </c>
      <c r="S62" s="13">
        <f>SUM(S56:S61)+1</f>
        <v>11897</v>
      </c>
      <c r="T62" s="13">
        <f>SUM(T56:T61)+1</f>
        <v>11965</v>
      </c>
      <c r="U62" s="13">
        <f t="shared" si="44"/>
        <v>12274</v>
      </c>
      <c r="V62" s="13">
        <f>SUM(V56:V61)-1</f>
        <v>12845</v>
      </c>
      <c r="W62" s="13">
        <f>SUM(W56:W61)-1</f>
        <v>12052</v>
      </c>
      <c r="X62" s="13">
        <f>SUM(X56:X61)+1</f>
        <v>11831</v>
      </c>
      <c r="AA62" s="13">
        <f t="shared" si="14"/>
        <v>50879</v>
      </c>
      <c r="AB62" s="13">
        <f t="shared" si="14"/>
        <v>50034</v>
      </c>
      <c r="AC62" s="13">
        <f t="shared" si="39"/>
        <v>48962</v>
      </c>
      <c r="AD62" s="13">
        <f t="shared" si="42"/>
        <v>48835</v>
      </c>
      <c r="AE62" s="13">
        <f>SUMIF($C$1:$V$1,AE$1,$C62:$V62)-1</f>
        <v>48980</v>
      </c>
    </row>
    <row r="63" spans="1:31" x14ac:dyDescent="0.25">
      <c r="M63" s="15"/>
      <c r="N63" s="15"/>
      <c r="O63" s="15"/>
      <c r="P63" s="15"/>
      <c r="Q63" s="15"/>
      <c r="R63" s="15"/>
      <c r="S63" s="15"/>
      <c r="T63" s="15"/>
      <c r="U63" s="15"/>
      <c r="V63" s="15"/>
      <c r="AA63" s="13"/>
      <c r="AB63" s="13"/>
      <c r="AC63" s="13"/>
    </row>
    <row r="64" spans="1:31" x14ac:dyDescent="0.25">
      <c r="B64" s="1" t="s">
        <v>38</v>
      </c>
      <c r="C64" s="13">
        <f>C65+C66</f>
        <v>7331</v>
      </c>
      <c r="D64" s="13">
        <f t="shared" ref="D64:X64" si="45">D65+D66</f>
        <v>7678</v>
      </c>
      <c r="E64" s="13">
        <f t="shared" si="45"/>
        <v>7556</v>
      </c>
      <c r="F64" s="13">
        <f t="shared" si="45"/>
        <v>7306</v>
      </c>
      <c r="G64" s="13">
        <f t="shared" si="45"/>
        <v>7844</v>
      </c>
      <c r="H64" s="13">
        <f t="shared" si="45"/>
        <v>7996</v>
      </c>
      <c r="I64" s="13">
        <f t="shared" si="45"/>
        <v>7983</v>
      </c>
      <c r="J64" s="13">
        <f t="shared" si="45"/>
        <v>7349</v>
      </c>
      <c r="K64" s="13">
        <f t="shared" si="45"/>
        <v>8094</v>
      </c>
      <c r="L64" s="13">
        <f t="shared" si="45"/>
        <v>8346</v>
      </c>
      <c r="M64" s="13">
        <f t="shared" si="45"/>
        <v>8221</v>
      </c>
      <c r="N64" s="13">
        <f t="shared" si="45"/>
        <v>7579</v>
      </c>
      <c r="O64" s="13">
        <f>O65+O66+1</f>
        <v>8158</v>
      </c>
      <c r="P64" s="13">
        <f t="shared" si="45"/>
        <v>8410</v>
      </c>
      <c r="Q64" s="13">
        <f t="shared" si="45"/>
        <v>8228</v>
      </c>
      <c r="R64" s="13">
        <f t="shared" si="45"/>
        <v>7765</v>
      </c>
      <c r="S64" s="13">
        <f t="shared" si="45"/>
        <v>8264</v>
      </c>
      <c r="T64" s="13">
        <f t="shared" si="45"/>
        <v>8450</v>
      </c>
      <c r="U64" s="13">
        <f t="shared" si="45"/>
        <v>7938</v>
      </c>
      <c r="V64" s="13">
        <f t="shared" si="45"/>
        <v>7437</v>
      </c>
      <c r="W64" s="13">
        <f t="shared" si="45"/>
        <v>7910</v>
      </c>
      <c r="X64" s="13">
        <f t="shared" si="45"/>
        <v>7964</v>
      </c>
      <c r="AA64" s="13">
        <f t="shared" si="14"/>
        <v>29871</v>
      </c>
      <c r="AB64" s="13">
        <f t="shared" si="14"/>
        <v>31172</v>
      </c>
      <c r="AC64" s="13">
        <f t="shared" si="39"/>
        <v>32240</v>
      </c>
      <c r="AD64" s="13">
        <f t="shared" ref="AD64:AD98" si="46">SUMIF($C$1:$R$1,AD$1,$C64:$R64)</f>
        <v>32561</v>
      </c>
      <c r="AE64" s="13">
        <f t="shared" si="41"/>
        <v>32089</v>
      </c>
    </row>
    <row r="65" spans="2:31" x14ac:dyDescent="0.25">
      <c r="B65" s="1" t="s">
        <v>25</v>
      </c>
      <c r="C65" s="15">
        <v>6177</v>
      </c>
      <c r="D65" s="15">
        <v>6525</v>
      </c>
      <c r="E65" s="15">
        <v>6375</v>
      </c>
      <c r="F65" s="15">
        <v>6111</v>
      </c>
      <c r="G65" s="15">
        <v>6611</v>
      </c>
      <c r="H65" s="15">
        <v>6733</v>
      </c>
      <c r="I65" s="15">
        <v>6695</v>
      </c>
      <c r="J65" s="15">
        <v>6073</v>
      </c>
      <c r="K65" s="15">
        <v>6762</v>
      </c>
      <c r="L65" s="15">
        <v>7024</v>
      </c>
      <c r="M65" s="15">
        <v>6886</v>
      </c>
      <c r="N65" s="15">
        <v>6276</v>
      </c>
      <c r="O65" s="15">
        <v>6791</v>
      </c>
      <c r="P65" s="15">
        <v>7030</v>
      </c>
      <c r="Q65" s="15">
        <v>6837</v>
      </c>
      <c r="R65" s="15">
        <v>6402</v>
      </c>
      <c r="S65" s="15">
        <v>6842</v>
      </c>
      <c r="T65" s="15">
        <v>7006</v>
      </c>
      <c r="U65" s="15">
        <v>6484</v>
      </c>
      <c r="V65" s="15">
        <v>6032</v>
      </c>
      <c r="W65" s="16">
        <v>6434</v>
      </c>
      <c r="X65" s="16">
        <v>6448</v>
      </c>
      <c r="AA65" s="13">
        <f t="shared" si="14"/>
        <v>25188</v>
      </c>
      <c r="AB65" s="13">
        <f t="shared" si="14"/>
        <v>26112</v>
      </c>
      <c r="AC65" s="13">
        <f t="shared" si="39"/>
        <v>26948</v>
      </c>
      <c r="AD65" s="13">
        <f t="shared" si="46"/>
        <v>27060</v>
      </c>
      <c r="AE65" s="13">
        <f t="shared" si="41"/>
        <v>26364</v>
      </c>
    </row>
    <row r="66" spans="2:31" x14ac:dyDescent="0.25">
      <c r="B66" s="1" t="s">
        <v>26</v>
      </c>
      <c r="C66" s="15">
        <v>1154</v>
      </c>
      <c r="D66" s="15">
        <v>1153</v>
      </c>
      <c r="E66" s="15">
        <v>1181</v>
      </c>
      <c r="F66" s="15">
        <v>1195</v>
      </c>
      <c r="G66" s="15">
        <v>1233</v>
      </c>
      <c r="H66" s="15">
        <v>1263</v>
      </c>
      <c r="I66" s="15">
        <v>1288</v>
      </c>
      <c r="J66" s="15">
        <v>1276</v>
      </c>
      <c r="K66" s="15">
        <v>1332</v>
      </c>
      <c r="L66" s="15">
        <v>1322</v>
      </c>
      <c r="M66" s="15">
        <v>1335</v>
      </c>
      <c r="N66" s="15">
        <v>1303</v>
      </c>
      <c r="O66" s="15">
        <v>1366</v>
      </c>
      <c r="P66" s="15">
        <v>1380</v>
      </c>
      <c r="Q66" s="15">
        <v>1391</v>
      </c>
      <c r="R66" s="15">
        <v>1363</v>
      </c>
      <c r="S66" s="15">
        <v>1422</v>
      </c>
      <c r="T66" s="15">
        <v>1444</v>
      </c>
      <c r="U66" s="15">
        <v>1454</v>
      </c>
      <c r="V66" s="15">
        <v>1405</v>
      </c>
      <c r="W66" s="16">
        <v>1476</v>
      </c>
      <c r="X66" s="16">
        <v>1516</v>
      </c>
      <c r="AA66" s="13">
        <f t="shared" si="14"/>
        <v>4683</v>
      </c>
      <c r="AB66" s="13">
        <f t="shared" si="14"/>
        <v>5060</v>
      </c>
      <c r="AC66" s="13">
        <f t="shared" si="39"/>
        <v>5292</v>
      </c>
      <c r="AD66" s="13">
        <f t="shared" si="46"/>
        <v>5500</v>
      </c>
      <c r="AE66" s="13">
        <f t="shared" si="41"/>
        <v>5725</v>
      </c>
    </row>
    <row r="67" spans="2:31" x14ac:dyDescent="0.25">
      <c r="M67" s="15"/>
      <c r="N67" s="15"/>
      <c r="O67" s="15"/>
      <c r="P67" s="15"/>
      <c r="Q67" s="15"/>
      <c r="R67" s="15"/>
      <c r="S67" s="15"/>
      <c r="T67" s="15"/>
      <c r="U67" s="15"/>
      <c r="V67" s="15"/>
      <c r="AA67" s="13"/>
      <c r="AB67" s="13"/>
      <c r="AC67" s="13"/>
    </row>
    <row r="68" spans="2:31" x14ac:dyDescent="0.25">
      <c r="B68" s="10" t="s">
        <v>28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AA68" s="13"/>
      <c r="AB68" s="13"/>
      <c r="AC68" s="13"/>
    </row>
    <row r="69" spans="2:31" x14ac:dyDescent="0.25">
      <c r="B69" s="19" t="s">
        <v>30</v>
      </c>
      <c r="C69" s="20">
        <f>C70+C71</f>
        <v>12466</v>
      </c>
      <c r="D69" s="20">
        <f t="shared" ref="D69:V69" si="47">D70+D71</f>
        <v>12537</v>
      </c>
      <c r="E69" s="20">
        <f t="shared" si="47"/>
        <v>12632</v>
      </c>
      <c r="F69" s="20">
        <f t="shared" si="47"/>
        <v>13245</v>
      </c>
      <c r="G69" s="20">
        <f t="shared" si="47"/>
        <v>12667</v>
      </c>
      <c r="H69" s="20">
        <f t="shared" si="47"/>
        <v>12340</v>
      </c>
      <c r="I69" s="20">
        <f t="shared" si="47"/>
        <v>12065</v>
      </c>
      <c r="J69" s="20">
        <f t="shared" si="47"/>
        <v>12962</v>
      </c>
      <c r="K69" s="20">
        <f t="shared" si="47"/>
        <v>12060</v>
      </c>
      <c r="L69" s="20">
        <f t="shared" si="47"/>
        <v>12014</v>
      </c>
      <c r="M69" s="20">
        <f t="shared" si="47"/>
        <v>12050</v>
      </c>
      <c r="N69" s="20">
        <f t="shared" si="47"/>
        <v>12839</v>
      </c>
      <c r="O69" s="20">
        <f t="shared" si="47"/>
        <v>12057</v>
      </c>
      <c r="P69" s="20">
        <f t="shared" si="47"/>
        <v>11762</v>
      </c>
      <c r="Q69" s="20">
        <f t="shared" si="47"/>
        <v>11996</v>
      </c>
      <c r="R69" s="20">
        <f t="shared" si="47"/>
        <v>12622</v>
      </c>
      <c r="S69" s="20">
        <f t="shared" si="47"/>
        <v>11798</v>
      </c>
      <c r="T69" s="20">
        <f t="shared" si="47"/>
        <v>11864</v>
      </c>
      <c r="U69" s="20">
        <f t="shared" si="47"/>
        <v>12169</v>
      </c>
      <c r="V69" s="20">
        <f t="shared" si="47"/>
        <v>12734</v>
      </c>
      <c r="W69" s="21"/>
      <c r="X69" s="21"/>
      <c r="Y69" s="21"/>
      <c r="Z69" s="21"/>
      <c r="AA69" s="20">
        <f t="shared" si="14"/>
        <v>50880</v>
      </c>
      <c r="AB69" s="20">
        <f t="shared" si="14"/>
        <v>50034</v>
      </c>
      <c r="AC69" s="20">
        <f t="shared" si="39"/>
        <v>48963</v>
      </c>
      <c r="AD69" s="20">
        <f t="shared" ref="AD69:AD71" si="48">SUMIF($C$1:$R$1,AD$1,$C69:$R69)</f>
        <v>48437</v>
      </c>
      <c r="AE69" s="20">
        <f t="shared" ref="AE69:AE71" si="49">SUMIF($C$1:$V$1,AE$1,$C69:$V69)</f>
        <v>48565</v>
      </c>
    </row>
    <row r="70" spans="2:31" x14ac:dyDescent="0.25">
      <c r="B70" s="1" t="s">
        <v>25</v>
      </c>
      <c r="C70" s="15">
        <v>11674</v>
      </c>
      <c r="D70" s="15">
        <v>11707</v>
      </c>
      <c r="E70" s="15">
        <v>11805</v>
      </c>
      <c r="F70" s="15">
        <v>12320</v>
      </c>
      <c r="G70" s="15">
        <v>11729</v>
      </c>
      <c r="H70" s="15">
        <v>11399</v>
      </c>
      <c r="I70" s="15">
        <v>11138</v>
      </c>
      <c r="J70" s="15">
        <v>12009</v>
      </c>
      <c r="K70" s="15">
        <v>11108</v>
      </c>
      <c r="L70" s="15">
        <v>11044</v>
      </c>
      <c r="M70" s="15">
        <v>11065</v>
      </c>
      <c r="N70" s="15">
        <v>11782</v>
      </c>
      <c r="O70" s="15">
        <v>11016</v>
      </c>
      <c r="P70" s="15">
        <v>10721</v>
      </c>
      <c r="Q70" s="15">
        <v>10962</v>
      </c>
      <c r="R70" s="15">
        <v>11537</v>
      </c>
      <c r="S70" s="15">
        <v>10724</v>
      </c>
      <c r="T70" s="15">
        <v>10733</v>
      </c>
      <c r="U70" s="15">
        <v>11047</v>
      </c>
      <c r="V70" s="15">
        <v>11548</v>
      </c>
      <c r="AA70" s="13">
        <f t="shared" si="14"/>
        <v>47506</v>
      </c>
      <c r="AB70" s="13">
        <f t="shared" si="14"/>
        <v>46275</v>
      </c>
      <c r="AC70" s="13">
        <f t="shared" si="39"/>
        <v>44999</v>
      </c>
      <c r="AD70" s="13">
        <f t="shared" si="48"/>
        <v>44236</v>
      </c>
      <c r="AE70" s="13">
        <f t="shared" si="49"/>
        <v>44052</v>
      </c>
    </row>
    <row r="71" spans="2:31" x14ac:dyDescent="0.25">
      <c r="B71" s="1" t="s">
        <v>31</v>
      </c>
      <c r="C71" s="15">
        <v>792</v>
      </c>
      <c r="D71" s="15">
        <v>830</v>
      </c>
      <c r="E71" s="15">
        <v>827</v>
      </c>
      <c r="F71" s="15">
        <v>925</v>
      </c>
      <c r="G71" s="15">
        <v>938</v>
      </c>
      <c r="H71" s="15">
        <v>941</v>
      </c>
      <c r="I71" s="15">
        <v>927</v>
      </c>
      <c r="J71" s="15">
        <v>953</v>
      </c>
      <c r="K71" s="15">
        <v>952</v>
      </c>
      <c r="L71" s="15">
        <v>970</v>
      </c>
      <c r="M71" s="15">
        <v>985</v>
      </c>
      <c r="N71" s="15">
        <v>1057</v>
      </c>
      <c r="O71" s="15">
        <v>1041</v>
      </c>
      <c r="P71" s="15">
        <v>1041</v>
      </c>
      <c r="Q71" s="15">
        <v>1034</v>
      </c>
      <c r="R71" s="15">
        <v>1085</v>
      </c>
      <c r="S71" s="15">
        <v>1074</v>
      </c>
      <c r="T71" s="15">
        <v>1131</v>
      </c>
      <c r="U71" s="15">
        <v>1122</v>
      </c>
      <c r="V71" s="15">
        <v>1186</v>
      </c>
      <c r="AA71" s="13">
        <f t="shared" si="14"/>
        <v>3374</v>
      </c>
      <c r="AB71" s="13">
        <f t="shared" si="14"/>
        <v>3759</v>
      </c>
      <c r="AC71" s="13">
        <f t="shared" si="39"/>
        <v>3964</v>
      </c>
      <c r="AD71" s="13">
        <f t="shared" si="48"/>
        <v>4201</v>
      </c>
      <c r="AE71" s="13">
        <f t="shared" si="49"/>
        <v>4513</v>
      </c>
    </row>
    <row r="72" spans="2:31" x14ac:dyDescent="0.25"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15"/>
      <c r="N72" s="15"/>
      <c r="O72" s="15"/>
      <c r="P72" s="15"/>
      <c r="Q72" s="15"/>
      <c r="R72" s="15"/>
      <c r="S72" s="15"/>
      <c r="T72" s="15"/>
      <c r="U72" s="15"/>
      <c r="V72" s="15"/>
      <c r="AA72" s="13"/>
      <c r="AB72" s="13"/>
      <c r="AC72" s="13"/>
    </row>
    <row r="73" spans="2:31" x14ac:dyDescent="0.25">
      <c r="B73" s="10" t="s">
        <v>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15"/>
      <c r="N73" s="15"/>
      <c r="O73" s="15"/>
      <c r="P73" s="15"/>
      <c r="Q73" s="15"/>
      <c r="R73" s="15"/>
      <c r="S73" s="15"/>
      <c r="T73" s="15"/>
      <c r="U73" s="15"/>
      <c r="V73" s="15"/>
      <c r="AA73" s="13"/>
      <c r="AB73" s="13"/>
      <c r="AC73" s="13"/>
    </row>
    <row r="74" spans="2:31" x14ac:dyDescent="0.25">
      <c r="B74" s="1" t="s">
        <v>33</v>
      </c>
      <c r="C74" s="15">
        <v>5199</v>
      </c>
      <c r="D74" s="15">
        <v>5176</v>
      </c>
      <c r="E74" s="15">
        <v>5069</v>
      </c>
      <c r="F74" s="15">
        <v>5098</v>
      </c>
      <c r="G74" s="15">
        <v>4884</v>
      </c>
      <c r="H74" s="15">
        <v>4679</v>
      </c>
      <c r="I74" s="15">
        <v>4464</v>
      </c>
      <c r="J74" s="15">
        <v>4473</v>
      </c>
      <c r="K74" s="15">
        <v>4600</v>
      </c>
      <c r="L74" s="15">
        <v>4579</v>
      </c>
      <c r="M74" s="15">
        <v>4460</v>
      </c>
      <c r="N74" s="15">
        <v>4429</v>
      </c>
      <c r="O74" s="15">
        <v>4405</v>
      </c>
      <c r="P74" s="15">
        <v>4248</v>
      </c>
      <c r="Q74" s="15">
        <v>4102</v>
      </c>
      <c r="R74" s="15">
        <v>4125</v>
      </c>
      <c r="S74" s="15">
        <v>4107</v>
      </c>
      <c r="T74" s="15">
        <v>3998</v>
      </c>
      <c r="U74" s="15">
        <v>3952</v>
      </c>
      <c r="V74" s="15">
        <v>3950</v>
      </c>
      <c r="AA74" s="13">
        <f t="shared" si="14"/>
        <v>20542</v>
      </c>
      <c r="AB74" s="13">
        <f t="shared" si="14"/>
        <v>18500</v>
      </c>
      <c r="AC74" s="13">
        <f t="shared" si="39"/>
        <v>18068</v>
      </c>
      <c r="AD74" s="13">
        <f t="shared" ref="AD74:AD80" si="50">SUMIF($C$1:$R$1,AD$1,$C74:$R74)</f>
        <v>16880</v>
      </c>
      <c r="AE74" s="13">
        <f t="shared" si="41"/>
        <v>16007</v>
      </c>
    </row>
    <row r="75" spans="2:31" x14ac:dyDescent="0.25">
      <c r="B75" s="1" t="s">
        <v>34</v>
      </c>
      <c r="C75" s="15">
        <v>1213</v>
      </c>
      <c r="D75" s="15">
        <v>1274</v>
      </c>
      <c r="E75" s="15">
        <v>1309</v>
      </c>
      <c r="F75" s="15">
        <v>1384</v>
      </c>
      <c r="G75" s="15">
        <v>1332</v>
      </c>
      <c r="H75" s="15">
        <v>1296</v>
      </c>
      <c r="I75" s="15">
        <v>1246</v>
      </c>
      <c r="J75" s="15">
        <v>1227</v>
      </c>
      <c r="K75" s="15">
        <v>1202</v>
      </c>
      <c r="L75" s="15">
        <v>1213</v>
      </c>
      <c r="M75" s="15">
        <v>1169</v>
      </c>
      <c r="N75" s="15">
        <v>1135</v>
      </c>
      <c r="O75" s="15">
        <v>1173</v>
      </c>
      <c r="P75" s="15">
        <v>1140</v>
      </c>
      <c r="Q75" s="15">
        <v>1234</v>
      </c>
      <c r="R75" s="15">
        <v>1225</v>
      </c>
      <c r="S75" s="15">
        <v>1227</v>
      </c>
      <c r="T75" s="15">
        <v>1234</v>
      </c>
      <c r="U75" s="15">
        <v>1318</v>
      </c>
      <c r="V75" s="15">
        <v>1306</v>
      </c>
      <c r="AA75" s="13">
        <f t="shared" si="14"/>
        <v>5180</v>
      </c>
      <c r="AB75" s="13">
        <f t="shared" si="14"/>
        <v>5101</v>
      </c>
      <c r="AC75" s="13">
        <f t="shared" si="39"/>
        <v>4719</v>
      </c>
      <c r="AD75" s="13">
        <f t="shared" si="50"/>
        <v>4772</v>
      </c>
      <c r="AE75" s="13">
        <f t="shared" si="41"/>
        <v>5085</v>
      </c>
    </row>
    <row r="76" spans="2:31" x14ac:dyDescent="0.25">
      <c r="B76" s="1" t="s">
        <v>35</v>
      </c>
      <c r="C76" s="15">
        <v>1122</v>
      </c>
      <c r="D76" s="15">
        <v>1152</v>
      </c>
      <c r="E76" s="15">
        <v>1200</v>
      </c>
      <c r="F76" s="15">
        <v>1427</v>
      </c>
      <c r="G76" s="15">
        <v>1339</v>
      </c>
      <c r="H76" s="15">
        <v>1329</v>
      </c>
      <c r="I76" s="15">
        <v>1377</v>
      </c>
      <c r="J76" s="15">
        <v>1553</v>
      </c>
      <c r="K76" s="15">
        <v>1401</v>
      </c>
      <c r="L76" s="15">
        <v>1408</v>
      </c>
      <c r="M76" s="15">
        <v>1554</v>
      </c>
      <c r="N76" s="15">
        <v>1784</v>
      </c>
      <c r="O76" s="15">
        <v>1514</v>
      </c>
      <c r="P76" s="15">
        <v>1515</v>
      </c>
      <c r="Q76" s="15">
        <v>1675</v>
      </c>
      <c r="R76" s="15">
        <v>1902</v>
      </c>
      <c r="S76" s="15">
        <v>1625</v>
      </c>
      <c r="T76" s="15">
        <v>1829</v>
      </c>
      <c r="U76" s="15">
        <v>1911</v>
      </c>
      <c r="V76" s="15">
        <v>2210</v>
      </c>
      <c r="AA76" s="13">
        <f t="shared" si="14"/>
        <v>4901</v>
      </c>
      <c r="AB76" s="13">
        <f t="shared" si="14"/>
        <v>5598</v>
      </c>
      <c r="AC76" s="13">
        <f t="shared" si="39"/>
        <v>6147</v>
      </c>
      <c r="AD76" s="13">
        <f t="shared" si="50"/>
        <v>6606</v>
      </c>
      <c r="AE76" s="13">
        <f t="shared" si="41"/>
        <v>7575</v>
      </c>
    </row>
    <row r="77" spans="2:31" x14ac:dyDescent="0.25">
      <c r="B77" s="1" t="s">
        <v>36</v>
      </c>
      <c r="C77" s="15">
        <v>1855</v>
      </c>
      <c r="D77" s="15">
        <v>1873</v>
      </c>
      <c r="E77" s="15">
        <v>1951</v>
      </c>
      <c r="F77" s="15">
        <v>2003</v>
      </c>
      <c r="G77" s="15">
        <v>1949</v>
      </c>
      <c r="H77" s="15">
        <v>1916</v>
      </c>
      <c r="I77" s="15">
        <v>1911</v>
      </c>
      <c r="J77" s="15">
        <v>1945</v>
      </c>
      <c r="K77" s="15">
        <v>1830</v>
      </c>
      <c r="L77" s="15">
        <v>1828</v>
      </c>
      <c r="M77" s="15">
        <v>1867</v>
      </c>
      <c r="N77" s="15">
        <v>1891</v>
      </c>
      <c r="O77" s="15">
        <v>1959</v>
      </c>
      <c r="P77" s="15">
        <v>1845</v>
      </c>
      <c r="Q77" s="15">
        <v>1908</v>
      </c>
      <c r="R77" s="15">
        <v>1905</v>
      </c>
      <c r="S77" s="15">
        <v>1874</v>
      </c>
      <c r="T77" s="15">
        <v>1855</v>
      </c>
      <c r="U77" s="15">
        <v>1959</v>
      </c>
      <c r="V77" s="15">
        <v>1921</v>
      </c>
      <c r="AA77" s="13">
        <f t="shared" si="14"/>
        <v>7682</v>
      </c>
      <c r="AB77" s="13">
        <f t="shared" si="14"/>
        <v>7721</v>
      </c>
      <c r="AC77" s="13">
        <f t="shared" si="39"/>
        <v>7416</v>
      </c>
      <c r="AD77" s="13">
        <f t="shared" si="50"/>
        <v>7617</v>
      </c>
      <c r="AE77" s="13">
        <f t="shared" si="41"/>
        <v>7609</v>
      </c>
    </row>
    <row r="78" spans="2:31" x14ac:dyDescent="0.25">
      <c r="B78" s="1" t="s">
        <v>37</v>
      </c>
      <c r="C78" s="15">
        <v>776</v>
      </c>
      <c r="D78" s="15">
        <v>759</v>
      </c>
      <c r="E78" s="15">
        <v>748</v>
      </c>
      <c r="F78" s="15">
        <v>735</v>
      </c>
      <c r="G78" s="15">
        <v>736</v>
      </c>
      <c r="H78" s="15">
        <v>720</v>
      </c>
      <c r="I78" s="15">
        <v>712</v>
      </c>
      <c r="J78" s="15">
        <v>702</v>
      </c>
      <c r="K78" s="15">
        <v>709</v>
      </c>
      <c r="L78" s="15">
        <v>696</v>
      </c>
      <c r="M78" s="15">
        <v>692</v>
      </c>
      <c r="N78" s="15">
        <v>686</v>
      </c>
      <c r="O78" s="15">
        <v>709</v>
      </c>
      <c r="P78" s="15">
        <v>682</v>
      </c>
      <c r="Q78" s="15">
        <v>680</v>
      </c>
      <c r="R78" s="15">
        <v>660</v>
      </c>
      <c r="S78" s="15">
        <v>680</v>
      </c>
      <c r="T78" s="15">
        <v>675</v>
      </c>
      <c r="U78" s="15">
        <v>704</v>
      </c>
      <c r="V78" s="15">
        <v>696</v>
      </c>
      <c r="AA78" s="13">
        <f t="shared" si="14"/>
        <v>3018</v>
      </c>
      <c r="AB78" s="13">
        <f t="shared" si="14"/>
        <v>2870</v>
      </c>
      <c r="AC78" s="13">
        <f t="shared" si="39"/>
        <v>2783</v>
      </c>
      <c r="AD78" s="13">
        <f t="shared" si="50"/>
        <v>2731</v>
      </c>
      <c r="AE78" s="13">
        <f t="shared" si="41"/>
        <v>2755</v>
      </c>
    </row>
    <row r="79" spans="2:31" x14ac:dyDescent="0.25">
      <c r="B79" s="1" t="s">
        <v>24</v>
      </c>
      <c r="C79" s="15">
        <v>2301</v>
      </c>
      <c r="D79" s="15">
        <v>2303</v>
      </c>
      <c r="E79" s="15">
        <v>2354</v>
      </c>
      <c r="F79" s="15">
        <v>2598</v>
      </c>
      <c r="G79" s="15">
        <v>2429</v>
      </c>
      <c r="H79" s="15">
        <v>2399</v>
      </c>
      <c r="I79" s="15">
        <v>2354</v>
      </c>
      <c r="J79" s="15">
        <v>3062</v>
      </c>
      <c r="K79" s="15">
        <v>2317</v>
      </c>
      <c r="L79" s="15">
        <v>2290</v>
      </c>
      <c r="M79" s="15">
        <v>2308</v>
      </c>
      <c r="N79" s="15">
        <v>2914</v>
      </c>
      <c r="O79" s="15">
        <v>2297</v>
      </c>
      <c r="P79" s="15">
        <v>2331</v>
      </c>
      <c r="Q79" s="15">
        <v>2395</v>
      </c>
      <c r="R79" s="15">
        <v>2805</v>
      </c>
      <c r="S79" s="15">
        <v>2285</v>
      </c>
      <c r="T79" s="15">
        <v>2272</v>
      </c>
      <c r="U79" s="15">
        <v>2324</v>
      </c>
      <c r="V79" s="15">
        <v>2650</v>
      </c>
      <c r="AA79" s="13">
        <f t="shared" si="14"/>
        <v>9556</v>
      </c>
      <c r="AB79" s="13">
        <f t="shared" si="14"/>
        <v>10244</v>
      </c>
      <c r="AC79" s="13">
        <f t="shared" si="39"/>
        <v>9829</v>
      </c>
      <c r="AD79" s="13">
        <f t="shared" si="50"/>
        <v>9828</v>
      </c>
      <c r="AE79" s="13">
        <f t="shared" si="41"/>
        <v>9531</v>
      </c>
    </row>
    <row r="80" spans="2:31" x14ac:dyDescent="0.25">
      <c r="B80" s="1" t="s">
        <v>27</v>
      </c>
      <c r="C80" s="13">
        <f>SUM(C74:C79)</f>
        <v>12466</v>
      </c>
      <c r="D80" s="13">
        <f t="shared" ref="D80:V80" si="51">SUM(D74:D79)</f>
        <v>12537</v>
      </c>
      <c r="E80" s="13">
        <f t="shared" si="51"/>
        <v>12631</v>
      </c>
      <c r="F80" s="13">
        <f t="shared" si="51"/>
        <v>13245</v>
      </c>
      <c r="G80" s="13">
        <f t="shared" si="51"/>
        <v>12669</v>
      </c>
      <c r="H80" s="13">
        <f t="shared" si="51"/>
        <v>12339</v>
      </c>
      <c r="I80" s="13">
        <f t="shared" si="51"/>
        <v>12064</v>
      </c>
      <c r="J80" s="13">
        <f t="shared" si="51"/>
        <v>12962</v>
      </c>
      <c r="K80" s="13">
        <f t="shared" si="51"/>
        <v>12059</v>
      </c>
      <c r="L80" s="13">
        <f t="shared" si="51"/>
        <v>12014</v>
      </c>
      <c r="M80" s="13">
        <f t="shared" si="51"/>
        <v>12050</v>
      </c>
      <c r="N80" s="13">
        <f t="shared" si="51"/>
        <v>12839</v>
      </c>
      <c r="O80" s="13">
        <f t="shared" si="51"/>
        <v>12057</v>
      </c>
      <c r="P80" s="13">
        <f t="shared" si="51"/>
        <v>11761</v>
      </c>
      <c r="Q80" s="13">
        <f t="shared" si="51"/>
        <v>11994</v>
      </c>
      <c r="R80" s="13">
        <f t="shared" si="51"/>
        <v>12622</v>
      </c>
      <c r="S80" s="13">
        <f t="shared" si="51"/>
        <v>11798</v>
      </c>
      <c r="T80" s="13">
        <f t="shared" si="51"/>
        <v>11863</v>
      </c>
      <c r="U80" s="13">
        <f t="shared" si="51"/>
        <v>12168</v>
      </c>
      <c r="V80" s="13">
        <f t="shared" si="51"/>
        <v>12733</v>
      </c>
      <c r="AA80" s="13">
        <f t="shared" si="14"/>
        <v>50879</v>
      </c>
      <c r="AB80" s="13">
        <f t="shared" si="14"/>
        <v>50034</v>
      </c>
      <c r="AC80" s="13">
        <f t="shared" si="39"/>
        <v>48962</v>
      </c>
      <c r="AD80" s="13">
        <f t="shared" si="50"/>
        <v>48434</v>
      </c>
      <c r="AE80" s="13">
        <f t="shared" si="41"/>
        <v>48562</v>
      </c>
    </row>
    <row r="81" spans="1:31" x14ac:dyDescent="0.25">
      <c r="M81" s="15"/>
      <c r="N81" s="15"/>
      <c r="O81" s="15"/>
      <c r="P81" s="15"/>
      <c r="Q81" s="15"/>
      <c r="R81" s="15"/>
      <c r="S81" s="15"/>
      <c r="T81" s="15"/>
      <c r="U81" s="15"/>
      <c r="V81" s="15"/>
      <c r="AA81" s="13"/>
      <c r="AB81" s="13"/>
      <c r="AC81" s="13"/>
    </row>
    <row r="82" spans="1:31" x14ac:dyDescent="0.25">
      <c r="B82" s="1" t="s">
        <v>38</v>
      </c>
      <c r="C82" s="13">
        <f>C83+C84</f>
        <v>7331</v>
      </c>
      <c r="D82" s="13">
        <f t="shared" ref="D82:V82" si="52">D83+D84</f>
        <v>7678</v>
      </c>
      <c r="E82" s="13">
        <f t="shared" si="52"/>
        <v>7556</v>
      </c>
      <c r="F82" s="13">
        <f t="shared" si="52"/>
        <v>7306</v>
      </c>
      <c r="G82" s="13">
        <f t="shared" si="52"/>
        <v>7844</v>
      </c>
      <c r="H82" s="13">
        <f t="shared" si="52"/>
        <v>7996</v>
      </c>
      <c r="I82" s="13">
        <f t="shared" si="52"/>
        <v>7983</v>
      </c>
      <c r="J82" s="13">
        <f t="shared" si="52"/>
        <v>7349</v>
      </c>
      <c r="K82" s="13">
        <f t="shared" si="52"/>
        <v>8094</v>
      </c>
      <c r="L82" s="13">
        <f t="shared" si="52"/>
        <v>8346</v>
      </c>
      <c r="M82" s="13">
        <f t="shared" si="52"/>
        <v>8221</v>
      </c>
      <c r="N82" s="13">
        <f t="shared" si="52"/>
        <v>7579</v>
      </c>
      <c r="O82" s="13">
        <f t="shared" si="52"/>
        <v>8218</v>
      </c>
      <c r="P82" s="13">
        <f t="shared" si="52"/>
        <v>8483</v>
      </c>
      <c r="Q82" s="13">
        <f t="shared" si="52"/>
        <v>8295</v>
      </c>
      <c r="R82" s="13">
        <f t="shared" si="52"/>
        <v>7842</v>
      </c>
      <c r="S82" s="13">
        <f t="shared" si="52"/>
        <v>8340</v>
      </c>
      <c r="T82" s="13">
        <f t="shared" si="52"/>
        <v>8526</v>
      </c>
      <c r="U82" s="13">
        <f t="shared" si="52"/>
        <v>8008</v>
      </c>
      <c r="V82" s="13">
        <f t="shared" si="52"/>
        <v>7504</v>
      </c>
      <c r="AA82" s="13">
        <f t="shared" si="14"/>
        <v>29871</v>
      </c>
      <c r="AB82" s="13">
        <f t="shared" si="14"/>
        <v>31172</v>
      </c>
      <c r="AC82" s="13">
        <f t="shared" si="39"/>
        <v>32240</v>
      </c>
      <c r="AD82" s="13">
        <f t="shared" si="46"/>
        <v>32838</v>
      </c>
      <c r="AE82" s="13">
        <f t="shared" si="41"/>
        <v>32378</v>
      </c>
    </row>
    <row r="83" spans="1:31" x14ac:dyDescent="0.25">
      <c r="B83" s="1" t="s">
        <v>25</v>
      </c>
      <c r="C83" s="15">
        <v>6177</v>
      </c>
      <c r="D83" s="15">
        <v>6525</v>
      </c>
      <c r="E83" s="15">
        <v>6375</v>
      </c>
      <c r="F83" s="15">
        <v>6111</v>
      </c>
      <c r="G83" s="15">
        <v>6611</v>
      </c>
      <c r="H83" s="15">
        <v>6733</v>
      </c>
      <c r="I83" s="15">
        <v>6695</v>
      </c>
      <c r="J83" s="15">
        <v>6073</v>
      </c>
      <c r="K83" s="15">
        <v>6762</v>
      </c>
      <c r="L83" s="15">
        <v>7024</v>
      </c>
      <c r="M83" s="15">
        <v>6886</v>
      </c>
      <c r="N83" s="15">
        <v>6276</v>
      </c>
      <c r="O83" s="15">
        <v>6852</v>
      </c>
      <c r="P83" s="15">
        <v>7103</v>
      </c>
      <c r="Q83" s="15">
        <v>6904</v>
      </c>
      <c r="R83" s="15">
        <v>6479</v>
      </c>
      <c r="S83" s="15">
        <v>6918</v>
      </c>
      <c r="T83" s="15">
        <v>7082</v>
      </c>
      <c r="U83" s="15">
        <v>6554</v>
      </c>
      <c r="V83" s="15">
        <v>6099</v>
      </c>
      <c r="AA83" s="13">
        <f t="shared" si="14"/>
        <v>25188</v>
      </c>
      <c r="AB83" s="13">
        <f t="shared" si="14"/>
        <v>26112</v>
      </c>
      <c r="AC83" s="13">
        <f t="shared" si="39"/>
        <v>26948</v>
      </c>
      <c r="AD83" s="13">
        <f t="shared" si="46"/>
        <v>27338</v>
      </c>
      <c r="AE83" s="13">
        <f t="shared" si="41"/>
        <v>26653</v>
      </c>
    </row>
    <row r="84" spans="1:31" x14ac:dyDescent="0.25">
      <c r="B84" s="1" t="s">
        <v>26</v>
      </c>
      <c r="C84" s="15">
        <v>1154</v>
      </c>
      <c r="D84" s="15">
        <v>1153</v>
      </c>
      <c r="E84" s="15">
        <v>1181</v>
      </c>
      <c r="F84" s="15">
        <v>1195</v>
      </c>
      <c r="G84" s="15">
        <v>1233</v>
      </c>
      <c r="H84" s="15">
        <v>1263</v>
      </c>
      <c r="I84" s="15">
        <v>1288</v>
      </c>
      <c r="J84" s="15">
        <v>1276</v>
      </c>
      <c r="K84" s="15">
        <v>1332</v>
      </c>
      <c r="L84" s="15">
        <v>1322</v>
      </c>
      <c r="M84" s="15">
        <v>1335</v>
      </c>
      <c r="N84" s="15">
        <v>1303</v>
      </c>
      <c r="O84" s="15">
        <v>1366</v>
      </c>
      <c r="P84" s="15">
        <v>1380</v>
      </c>
      <c r="Q84" s="15">
        <v>1391</v>
      </c>
      <c r="R84" s="15">
        <v>1363</v>
      </c>
      <c r="S84" s="15">
        <v>1422</v>
      </c>
      <c r="T84" s="15">
        <v>1444</v>
      </c>
      <c r="U84" s="15">
        <v>1454</v>
      </c>
      <c r="V84" s="15">
        <v>1405</v>
      </c>
      <c r="AA84" s="13">
        <f t="shared" si="14"/>
        <v>4683</v>
      </c>
      <c r="AB84" s="13">
        <f t="shared" si="14"/>
        <v>5060</v>
      </c>
      <c r="AC84" s="13">
        <f t="shared" si="39"/>
        <v>5292</v>
      </c>
      <c r="AD84" s="13">
        <f t="shared" si="46"/>
        <v>5500</v>
      </c>
      <c r="AE84" s="13">
        <f t="shared" si="41"/>
        <v>5725</v>
      </c>
    </row>
    <row r="85" spans="1:31" x14ac:dyDescent="0.25">
      <c r="M85" s="15"/>
      <c r="N85" s="15"/>
      <c r="O85" s="15"/>
      <c r="P85" s="15"/>
      <c r="Q85" s="15"/>
      <c r="R85" s="15"/>
      <c r="S85" s="15"/>
      <c r="T85" s="15"/>
      <c r="U85" s="15"/>
      <c r="V85" s="15"/>
      <c r="AA85" s="13"/>
      <c r="AB85" s="13"/>
      <c r="AC85" s="13"/>
    </row>
    <row r="86" spans="1:31" s="21" customFormat="1" x14ac:dyDescent="0.25">
      <c r="A86" s="1" t="s">
        <v>14</v>
      </c>
      <c r="B86" s="19" t="s">
        <v>39</v>
      </c>
      <c r="C86" s="20">
        <f>C87+C92+C96+C97+C98</f>
        <v>8318</v>
      </c>
      <c r="D86" s="20">
        <f>D87+D92+D96+D97+D98</f>
        <v>9317</v>
      </c>
      <c r="E86" s="20">
        <f t="shared" ref="E86:N86" si="53">E87+E92+E96+E97+E98</f>
        <v>11252</v>
      </c>
      <c r="F86" s="20">
        <f t="shared" si="53"/>
        <v>10686</v>
      </c>
      <c r="G86" s="20">
        <f t="shared" si="53"/>
        <v>11340</v>
      </c>
      <c r="H86" s="20">
        <f t="shared" si="53"/>
        <v>10453</v>
      </c>
      <c r="I86" s="20">
        <f t="shared" si="53"/>
        <v>10478</v>
      </c>
      <c r="J86" s="20">
        <f t="shared" si="53"/>
        <v>10880</v>
      </c>
      <c r="K86" s="20">
        <f t="shared" si="53"/>
        <v>10258</v>
      </c>
      <c r="L86" s="20">
        <f t="shared" si="53"/>
        <v>10874</v>
      </c>
      <c r="M86" s="20">
        <f t="shared" si="53"/>
        <v>10559</v>
      </c>
      <c r="N86" s="20">
        <f t="shared" si="53"/>
        <v>11499</v>
      </c>
      <c r="O86" s="20">
        <f>O87+O92+O96+O97+O98-1</f>
        <v>8265</v>
      </c>
      <c r="P86" s="20">
        <f>P87+P92+P96+P97+P98-1</f>
        <v>7994</v>
      </c>
      <c r="Q86" s="20">
        <f>Q87+Q92+Q96+Q97+Q98+1</f>
        <v>10611</v>
      </c>
      <c r="R86" s="20">
        <f>R87+R92+R96+R97+R98+1</f>
        <v>10120</v>
      </c>
      <c r="S86" s="20">
        <f>S87+S92+S96+S97+S98</f>
        <v>8546</v>
      </c>
      <c r="T86" s="20">
        <f>T87+T92+T96+T97+T98+2</f>
        <v>8730</v>
      </c>
      <c r="U86" s="20">
        <f>U87+U92+U96+U97+U98+1</f>
        <v>9898</v>
      </c>
      <c r="V86" s="20">
        <f>V87+V92+V96+V97+V98+1</f>
        <v>10941</v>
      </c>
      <c r="W86" s="20">
        <f>W87+W92+W96+W97+W98</f>
        <v>11941</v>
      </c>
      <c r="X86" s="20">
        <f>X87+X92+X96+X97+X98+1</f>
        <v>10728</v>
      </c>
      <c r="AA86" s="20">
        <f>SUMIF($C$1:$M$1,AA$1,$C86:$M86)</f>
        <v>39573</v>
      </c>
      <c r="AB86" s="20">
        <f t="shared" si="14"/>
        <v>43151</v>
      </c>
      <c r="AC86" s="20">
        <f t="shared" si="39"/>
        <v>43190</v>
      </c>
      <c r="AD86" s="20">
        <f t="shared" si="46"/>
        <v>36990</v>
      </c>
      <c r="AE86" s="20">
        <f>SUMIF($C$1:$V$1,AE$1,$C86:$V86)-1</f>
        <v>38114</v>
      </c>
    </row>
    <row r="87" spans="1:31" x14ac:dyDescent="0.25">
      <c r="B87" s="1" t="s">
        <v>40</v>
      </c>
      <c r="C87" s="12">
        <f>SUM(C88:C91)</f>
        <v>6201</v>
      </c>
      <c r="D87" s="12">
        <f t="shared" ref="D87:W87" si="54">SUM(D88:D91)</f>
        <v>6328</v>
      </c>
      <c r="E87" s="12">
        <f t="shared" si="54"/>
        <v>7889</v>
      </c>
      <c r="F87" s="12">
        <f t="shared" si="54"/>
        <v>6988</v>
      </c>
      <c r="G87" s="12">
        <f t="shared" si="54"/>
        <v>7758</v>
      </c>
      <c r="H87" s="12">
        <f t="shared" si="54"/>
        <v>6188</v>
      </c>
      <c r="I87" s="12">
        <f t="shared" si="54"/>
        <v>6005</v>
      </c>
      <c r="J87" s="12">
        <f t="shared" si="54"/>
        <v>6768</v>
      </c>
      <c r="K87" s="12">
        <f t="shared" si="54"/>
        <v>6152</v>
      </c>
      <c r="L87" s="12">
        <f t="shared" si="54"/>
        <v>6195</v>
      </c>
      <c r="M87" s="12">
        <f t="shared" si="54"/>
        <v>6029</v>
      </c>
      <c r="N87" s="12">
        <f t="shared" si="54"/>
        <v>6979</v>
      </c>
      <c r="O87" s="12">
        <f t="shared" si="54"/>
        <v>4261</v>
      </c>
      <c r="P87" s="12">
        <f t="shared" si="54"/>
        <v>4260</v>
      </c>
      <c r="Q87" s="12">
        <f t="shared" si="54"/>
        <v>6241</v>
      </c>
      <c r="R87" s="12">
        <f t="shared" si="54"/>
        <v>5262</v>
      </c>
      <c r="S87" s="12">
        <f t="shared" si="54"/>
        <v>4527</v>
      </c>
      <c r="T87" s="12">
        <f t="shared" si="54"/>
        <v>4542</v>
      </c>
      <c r="U87" s="12">
        <f t="shared" si="54"/>
        <v>4744</v>
      </c>
      <c r="V87" s="12">
        <f t="shared" si="54"/>
        <v>5824</v>
      </c>
      <c r="W87" s="12">
        <f t="shared" si="54"/>
        <v>7280</v>
      </c>
      <c r="X87" s="12">
        <f>SUM(X88:X91)+1</f>
        <v>5691</v>
      </c>
      <c r="AA87" s="13">
        <f t="shared" si="14"/>
        <v>27406</v>
      </c>
      <c r="AB87" s="13">
        <f t="shared" si="14"/>
        <v>26719</v>
      </c>
      <c r="AC87" s="13">
        <f t="shared" si="39"/>
        <v>25355</v>
      </c>
      <c r="AD87" s="13">
        <f t="shared" si="46"/>
        <v>20024</v>
      </c>
      <c r="AE87" s="13">
        <f t="shared" si="41"/>
        <v>19637</v>
      </c>
    </row>
    <row r="88" spans="1:31" x14ac:dyDescent="0.25">
      <c r="B88" s="17" t="s">
        <v>41</v>
      </c>
      <c r="C88" s="15">
        <v>2072</v>
      </c>
      <c r="D88" s="15">
        <v>2161</v>
      </c>
      <c r="E88" s="15">
        <v>3230</v>
      </c>
      <c r="F88" s="15">
        <v>2714</v>
      </c>
      <c r="G88" s="15">
        <v>3310</v>
      </c>
      <c r="H88" s="15">
        <v>2131</v>
      </c>
      <c r="I88" s="15">
        <v>2089</v>
      </c>
      <c r="J88" s="15">
        <v>2829</v>
      </c>
      <c r="K88" s="15">
        <v>2025</v>
      </c>
      <c r="L88" s="15">
        <v>2027</v>
      </c>
      <c r="M88" s="15">
        <v>1913</v>
      </c>
      <c r="N88" s="15">
        <v>2635</v>
      </c>
      <c r="O88" s="15">
        <v>1530</v>
      </c>
      <c r="P88" s="15">
        <v>1468</v>
      </c>
      <c r="Q88" s="15">
        <v>2917</v>
      </c>
      <c r="R88" s="15">
        <v>2208</v>
      </c>
      <c r="S88" s="15">
        <v>1468</v>
      </c>
      <c r="T88" s="15">
        <v>1395</v>
      </c>
      <c r="U88" s="15">
        <v>1556</v>
      </c>
      <c r="V88" s="15">
        <v>2294</v>
      </c>
      <c r="W88" s="16">
        <v>3453</v>
      </c>
      <c r="X88" s="16">
        <v>2163</v>
      </c>
      <c r="AA88" s="13">
        <f t="shared" si="14"/>
        <v>10177</v>
      </c>
      <c r="AB88" s="13">
        <f t="shared" si="14"/>
        <v>10359</v>
      </c>
      <c r="AC88" s="13">
        <f t="shared" si="39"/>
        <v>8600</v>
      </c>
      <c r="AD88" s="13">
        <f>SUMIF($C$1:$R$1,AD$1,$C88:$R88)-1</f>
        <v>8122</v>
      </c>
      <c r="AE88" s="13">
        <f>SUMIF($C$1:$V$1,AE$1,$C88:$V88)-1</f>
        <v>6712</v>
      </c>
    </row>
    <row r="89" spans="1:31" x14ac:dyDescent="0.25">
      <c r="B89" s="17" t="s">
        <v>42</v>
      </c>
      <c r="C89" s="15">
        <v>2403</v>
      </c>
      <c r="D89" s="15">
        <v>2358</v>
      </c>
      <c r="E89" s="15">
        <v>2896</v>
      </c>
      <c r="F89" s="15">
        <v>2423</v>
      </c>
      <c r="G89" s="15">
        <v>2938</v>
      </c>
      <c r="H89" s="15">
        <v>2558</v>
      </c>
      <c r="I89" s="15">
        <v>2497</v>
      </c>
      <c r="J89" s="15">
        <v>2532</v>
      </c>
      <c r="K89" s="15">
        <v>2709</v>
      </c>
      <c r="L89" s="15">
        <v>2615</v>
      </c>
      <c r="M89" s="15">
        <v>2591</v>
      </c>
      <c r="N89" s="15">
        <v>2747</v>
      </c>
      <c r="O89" s="15">
        <v>1499</v>
      </c>
      <c r="P89" s="15">
        <v>1463</v>
      </c>
      <c r="Q89" s="15">
        <v>1999</v>
      </c>
      <c r="R89" s="15">
        <v>1634</v>
      </c>
      <c r="S89" s="15">
        <v>1667</v>
      </c>
      <c r="T89" s="15">
        <v>1632</v>
      </c>
      <c r="U89" s="15">
        <v>1690</v>
      </c>
      <c r="V89" s="15">
        <v>1876</v>
      </c>
      <c r="W89" s="16">
        <v>2283</v>
      </c>
      <c r="X89" s="16">
        <v>1993</v>
      </c>
      <c r="AA89" s="13">
        <f t="shared" si="14"/>
        <v>10080</v>
      </c>
      <c r="AB89" s="13">
        <f t="shared" si="14"/>
        <v>10525</v>
      </c>
      <c r="AC89" s="13">
        <f t="shared" si="39"/>
        <v>10662</v>
      </c>
      <c r="AD89" s="13">
        <f t="shared" si="46"/>
        <v>6595</v>
      </c>
      <c r="AE89" s="13">
        <f>SUMIF($C$1:$V$1,AE$1,$C89:$V89)+1</f>
        <v>6866</v>
      </c>
    </row>
    <row r="90" spans="1:31" x14ac:dyDescent="0.25">
      <c r="B90" s="17" t="s">
        <v>43</v>
      </c>
      <c r="C90" s="15">
        <v>1268</v>
      </c>
      <c r="D90" s="15">
        <v>1288</v>
      </c>
      <c r="E90" s="15">
        <v>1221</v>
      </c>
      <c r="F90" s="15">
        <v>1282</v>
      </c>
      <c r="G90" s="15">
        <v>995</v>
      </c>
      <c r="H90" s="15">
        <v>970</v>
      </c>
      <c r="I90" s="15">
        <v>872</v>
      </c>
      <c r="J90" s="15">
        <v>893</v>
      </c>
      <c r="K90" s="15">
        <v>1008</v>
      </c>
      <c r="L90" s="15">
        <v>1035</v>
      </c>
      <c r="M90" s="15">
        <v>1019</v>
      </c>
      <c r="N90" s="15">
        <v>1047</v>
      </c>
      <c r="O90" s="15">
        <v>1009</v>
      </c>
      <c r="P90" s="15">
        <v>1090</v>
      </c>
      <c r="Q90" s="15">
        <v>1059</v>
      </c>
      <c r="R90" s="15">
        <v>1072</v>
      </c>
      <c r="S90" s="15">
        <v>1148</v>
      </c>
      <c r="T90" s="15">
        <v>1254</v>
      </c>
      <c r="U90" s="15">
        <v>1239</v>
      </c>
      <c r="V90" s="15">
        <v>1283</v>
      </c>
      <c r="W90" s="16">
        <v>1291</v>
      </c>
      <c r="X90" s="16">
        <v>1330</v>
      </c>
      <c r="AA90" s="13">
        <f t="shared" ref="AA90:AB142" si="55">SUMIF($C$1:$M$1,AA$1,$C90:$M90)</f>
        <v>5059</v>
      </c>
      <c r="AB90" s="13">
        <f t="shared" si="55"/>
        <v>3730</v>
      </c>
      <c r="AC90" s="13">
        <f t="shared" si="39"/>
        <v>4109</v>
      </c>
      <c r="AD90" s="13">
        <f>SUMIF($C$1:$R$1,AD$1,$C90:$R90)+1</f>
        <v>4231</v>
      </c>
      <c r="AE90" s="13">
        <f t="shared" si="41"/>
        <v>4924</v>
      </c>
    </row>
    <row r="91" spans="1:31" x14ac:dyDescent="0.25">
      <c r="B91" s="17" t="s">
        <v>24</v>
      </c>
      <c r="C91" s="15">
        <v>458</v>
      </c>
      <c r="D91" s="15">
        <v>521</v>
      </c>
      <c r="E91" s="15">
        <v>542</v>
      </c>
      <c r="F91" s="15">
        <v>569</v>
      </c>
      <c r="G91" s="15">
        <v>515</v>
      </c>
      <c r="H91" s="15">
        <v>529</v>
      </c>
      <c r="I91" s="15">
        <v>547</v>
      </c>
      <c r="J91" s="15">
        <v>514</v>
      </c>
      <c r="K91" s="15">
        <v>410</v>
      </c>
      <c r="L91" s="15">
        <v>518</v>
      </c>
      <c r="M91" s="15">
        <v>506</v>
      </c>
      <c r="N91" s="15">
        <v>550</v>
      </c>
      <c r="O91" s="15">
        <v>223</v>
      </c>
      <c r="P91" s="15">
        <v>239</v>
      </c>
      <c r="Q91" s="15">
        <v>266</v>
      </c>
      <c r="R91" s="15">
        <v>348</v>
      </c>
      <c r="S91" s="15">
        <v>244</v>
      </c>
      <c r="T91" s="15">
        <v>261</v>
      </c>
      <c r="U91" s="15">
        <v>259</v>
      </c>
      <c r="V91" s="15">
        <v>371</v>
      </c>
      <c r="W91" s="16">
        <v>253</v>
      </c>
      <c r="X91" s="16">
        <v>204</v>
      </c>
      <c r="AA91" s="13">
        <f t="shared" si="55"/>
        <v>2090</v>
      </c>
      <c r="AB91" s="13">
        <f t="shared" si="55"/>
        <v>2105</v>
      </c>
      <c r="AC91" s="13">
        <f t="shared" si="39"/>
        <v>1984</v>
      </c>
      <c r="AD91" s="13">
        <f t="shared" si="46"/>
        <v>1076</v>
      </c>
      <c r="AE91" s="13">
        <f>SUMIF($C$1:$V$1,AE$1,$C91:$V91)+1</f>
        <v>1136</v>
      </c>
    </row>
    <row r="92" spans="1:31" x14ac:dyDescent="0.25">
      <c r="B92" s="1" t="s">
        <v>44</v>
      </c>
      <c r="C92" s="13">
        <f>SUM(C93:C95)</f>
        <v>2525</v>
      </c>
      <c r="D92" s="13">
        <f t="shared" ref="D92:L92" si="56">SUM(D93:D95)</f>
        <v>2406</v>
      </c>
      <c r="E92" s="13">
        <f t="shared" si="56"/>
        <v>2540</v>
      </c>
      <c r="F92" s="13">
        <f t="shared" si="56"/>
        <v>2606</v>
      </c>
      <c r="G92" s="13">
        <f t="shared" si="56"/>
        <v>2907</v>
      </c>
      <c r="H92" s="13">
        <f t="shared" si="56"/>
        <v>3117</v>
      </c>
      <c r="I92" s="13">
        <f t="shared" si="56"/>
        <v>3296</v>
      </c>
      <c r="J92" s="13">
        <f t="shared" si="56"/>
        <v>2937</v>
      </c>
      <c r="K92" s="13">
        <f t="shared" si="56"/>
        <v>2955</v>
      </c>
      <c r="L92" s="13">
        <f t="shared" si="56"/>
        <v>3088</v>
      </c>
      <c r="M92" s="13">
        <f>SUM(M93:M95)-1</f>
        <v>2518</v>
      </c>
      <c r="N92" s="13">
        <f t="shared" ref="N92:X92" si="57">SUM(N93:N95)</f>
        <v>3063</v>
      </c>
      <c r="O92" s="13">
        <f t="shared" si="57"/>
        <v>2743</v>
      </c>
      <c r="P92" s="13">
        <f t="shared" si="57"/>
        <v>2253</v>
      </c>
      <c r="Q92" s="13">
        <f t="shared" si="57"/>
        <v>2826</v>
      </c>
      <c r="R92" s="13">
        <f t="shared" si="57"/>
        <v>3269</v>
      </c>
      <c r="S92" s="13">
        <f t="shared" si="57"/>
        <v>2826</v>
      </c>
      <c r="T92" s="13">
        <f t="shared" si="57"/>
        <v>2432</v>
      </c>
      <c r="U92" s="13">
        <f t="shared" si="57"/>
        <v>3000</v>
      </c>
      <c r="V92" s="13">
        <f t="shared" si="57"/>
        <v>3027</v>
      </c>
      <c r="W92" s="13">
        <f t="shared" si="57"/>
        <v>3426</v>
      </c>
      <c r="X92" s="13">
        <f t="shared" si="57"/>
        <v>3040</v>
      </c>
      <c r="AA92" s="13">
        <f t="shared" si="55"/>
        <v>10077</v>
      </c>
      <c r="AB92" s="13">
        <f t="shared" si="55"/>
        <v>12257</v>
      </c>
      <c r="AC92" s="13">
        <f t="shared" si="39"/>
        <v>11624</v>
      </c>
      <c r="AD92" s="13">
        <f>SUMIF($C$1:$R$1,AD$1,$C92:$R92)+1</f>
        <v>11092</v>
      </c>
      <c r="AE92" s="13">
        <f>SUMIF($C$1:$V$1,AE$1,$C92:$V92)+1</f>
        <v>11286</v>
      </c>
    </row>
    <row r="93" spans="1:31" x14ac:dyDescent="0.25">
      <c r="B93" s="17" t="s">
        <v>45</v>
      </c>
      <c r="C93" s="15">
        <v>2204</v>
      </c>
      <c r="D93" s="15">
        <v>1962</v>
      </c>
      <c r="E93" s="15">
        <v>1960</v>
      </c>
      <c r="F93" s="15">
        <v>2067</v>
      </c>
      <c r="G93" s="15">
        <v>2429</v>
      </c>
      <c r="H93" s="15">
        <v>2269</v>
      </c>
      <c r="I93" s="15">
        <v>2267</v>
      </c>
      <c r="J93" s="15">
        <v>2382</v>
      </c>
      <c r="K93" s="15">
        <v>2344</v>
      </c>
      <c r="L93" s="15">
        <v>1821</v>
      </c>
      <c r="M93" s="15">
        <v>1691</v>
      </c>
      <c r="N93" s="15">
        <v>2375</v>
      </c>
      <c r="O93" s="15">
        <v>2101</v>
      </c>
      <c r="P93" s="15">
        <v>1714</v>
      </c>
      <c r="Q93" s="15">
        <v>1865</v>
      </c>
      <c r="R93" s="15">
        <v>2383</v>
      </c>
      <c r="S93" s="15">
        <v>2174</v>
      </c>
      <c r="T93" s="15">
        <v>1805</v>
      </c>
      <c r="U93" s="15">
        <v>2035</v>
      </c>
      <c r="V93" s="15">
        <v>2186</v>
      </c>
      <c r="W93" s="16">
        <v>2973</v>
      </c>
      <c r="X93" s="16">
        <v>1799</v>
      </c>
      <c r="AA93" s="13">
        <f t="shared" si="55"/>
        <v>8193</v>
      </c>
      <c r="AB93" s="13">
        <f t="shared" si="55"/>
        <v>9347</v>
      </c>
      <c r="AC93" s="13">
        <f t="shared" si="39"/>
        <v>8231</v>
      </c>
      <c r="AD93" s="13">
        <f t="shared" si="46"/>
        <v>8063</v>
      </c>
      <c r="AE93" s="13">
        <f>SUMIF($C$1:$V$1,AE$1,$C93:$V93)-1</f>
        <v>8199</v>
      </c>
    </row>
    <row r="94" spans="1:31" x14ac:dyDescent="0.25">
      <c r="B94" s="17" t="s">
        <v>46</v>
      </c>
      <c r="C94" s="15">
        <v>39</v>
      </c>
      <c r="D94" s="15">
        <v>198</v>
      </c>
      <c r="E94" s="15">
        <v>307</v>
      </c>
      <c r="F94" s="15">
        <v>147</v>
      </c>
      <c r="G94" s="15">
        <v>168</v>
      </c>
      <c r="H94" s="15">
        <v>550</v>
      </c>
      <c r="I94" s="15">
        <v>673</v>
      </c>
      <c r="J94" s="15">
        <v>216</v>
      </c>
      <c r="K94" s="15">
        <v>319</v>
      </c>
      <c r="L94" s="15">
        <v>913</v>
      </c>
      <c r="M94" s="15">
        <v>504</v>
      </c>
      <c r="N94" s="15">
        <v>343</v>
      </c>
      <c r="O94" s="15">
        <v>330</v>
      </c>
      <c r="P94" s="15">
        <v>237</v>
      </c>
      <c r="Q94" s="15">
        <v>611</v>
      </c>
      <c r="R94" s="15">
        <v>515</v>
      </c>
      <c r="S94" s="15">
        <v>286</v>
      </c>
      <c r="T94" s="15">
        <v>284</v>
      </c>
      <c r="U94" s="15">
        <v>639</v>
      </c>
      <c r="V94" s="15">
        <v>411</v>
      </c>
      <c r="W94" s="16">
        <v>117</v>
      </c>
      <c r="X94" s="16">
        <v>972</v>
      </c>
      <c r="AA94" s="13">
        <f t="shared" si="55"/>
        <v>691</v>
      </c>
      <c r="AB94" s="13">
        <f t="shared" si="55"/>
        <v>1607</v>
      </c>
      <c r="AC94" s="13">
        <f t="shared" si="39"/>
        <v>2079</v>
      </c>
      <c r="AD94" s="13">
        <f t="shared" si="46"/>
        <v>1693</v>
      </c>
      <c r="AE94" s="13">
        <f>SUMIF($C$1:$V$1,AE$1,$C94:$V94)+1</f>
        <v>1621</v>
      </c>
    </row>
    <row r="95" spans="1:31" x14ac:dyDescent="0.25">
      <c r="B95" s="17" t="s">
        <v>24</v>
      </c>
      <c r="C95" s="15">
        <v>282</v>
      </c>
      <c r="D95" s="15">
        <v>246</v>
      </c>
      <c r="E95" s="15">
        <v>273</v>
      </c>
      <c r="F95" s="15">
        <v>392</v>
      </c>
      <c r="G95" s="15">
        <v>310</v>
      </c>
      <c r="H95" s="15">
        <v>298</v>
      </c>
      <c r="I95" s="15">
        <v>356</v>
      </c>
      <c r="J95" s="15">
        <v>339</v>
      </c>
      <c r="K95" s="15">
        <v>292</v>
      </c>
      <c r="L95" s="15">
        <v>354</v>
      </c>
      <c r="M95" s="15">
        <v>324</v>
      </c>
      <c r="N95" s="15">
        <v>345</v>
      </c>
      <c r="O95" s="15">
        <v>312</v>
      </c>
      <c r="P95" s="15">
        <v>302</v>
      </c>
      <c r="Q95" s="15">
        <v>350</v>
      </c>
      <c r="R95" s="15">
        <v>371</v>
      </c>
      <c r="S95" s="15">
        <v>366</v>
      </c>
      <c r="T95" s="15">
        <v>343</v>
      </c>
      <c r="U95" s="15">
        <v>326</v>
      </c>
      <c r="V95" s="15">
        <v>430</v>
      </c>
      <c r="W95" s="16">
        <v>336</v>
      </c>
      <c r="X95" s="16">
        <v>269</v>
      </c>
      <c r="AA95" s="13">
        <f t="shared" si="55"/>
        <v>1193</v>
      </c>
      <c r="AB95" s="13">
        <f t="shared" si="55"/>
        <v>1303</v>
      </c>
      <c r="AC95" s="13">
        <f t="shared" si="39"/>
        <v>1315</v>
      </c>
      <c r="AD95" s="13">
        <f t="shared" si="46"/>
        <v>1335</v>
      </c>
      <c r="AE95" s="13">
        <f t="shared" si="41"/>
        <v>1465</v>
      </c>
    </row>
    <row r="96" spans="1:31" x14ac:dyDescent="0.25">
      <c r="B96" s="1" t="s">
        <v>47</v>
      </c>
      <c r="C96" s="15">
        <v>619</v>
      </c>
      <c r="D96" s="15">
        <v>1095</v>
      </c>
      <c r="E96" s="15">
        <v>1449</v>
      </c>
      <c r="F96" s="15">
        <v>1887</v>
      </c>
      <c r="G96" s="15">
        <v>1560</v>
      </c>
      <c r="H96" s="15">
        <v>1804</v>
      </c>
      <c r="I96" s="15">
        <v>2064</v>
      </c>
      <c r="J96" s="15">
        <v>2114</v>
      </c>
      <c r="K96" s="15">
        <v>1949</v>
      </c>
      <c r="L96" s="15">
        <v>2209</v>
      </c>
      <c r="M96" s="15">
        <v>2418</v>
      </c>
      <c r="N96" s="15">
        <v>2371</v>
      </c>
      <c r="O96" s="15">
        <v>1979</v>
      </c>
      <c r="P96" s="15">
        <v>1975</v>
      </c>
      <c r="Q96" s="15">
        <v>2289</v>
      </c>
      <c r="R96" s="15">
        <v>2374</v>
      </c>
      <c r="S96" s="15">
        <v>1876</v>
      </c>
      <c r="T96" s="15">
        <v>2349</v>
      </c>
      <c r="U96" s="15">
        <v>2717</v>
      </c>
      <c r="V96" s="15">
        <v>2893</v>
      </c>
      <c r="W96" s="16">
        <v>2331</v>
      </c>
      <c r="X96" s="16">
        <v>2413</v>
      </c>
      <c r="AA96" s="13">
        <f t="shared" si="55"/>
        <v>5050</v>
      </c>
      <c r="AB96" s="13">
        <f t="shared" si="55"/>
        <v>7542</v>
      </c>
      <c r="AC96" s="13">
        <f t="shared" si="39"/>
        <v>8947</v>
      </c>
      <c r="AD96" s="13">
        <f t="shared" si="46"/>
        <v>8617</v>
      </c>
      <c r="AE96" s="13">
        <f>SUMIF($C$1:$V$1,AE$1,$C96:$V96)+1</f>
        <v>9836</v>
      </c>
    </row>
    <row r="97" spans="2:31" x14ac:dyDescent="0.25">
      <c r="B97" s="1" t="s">
        <v>48</v>
      </c>
      <c r="C97" s="15">
        <v>16</v>
      </c>
      <c r="D97" s="15">
        <v>22</v>
      </c>
      <c r="E97" s="15">
        <v>28</v>
      </c>
      <c r="F97" s="15">
        <v>22</v>
      </c>
      <c r="G97" s="15">
        <v>16</v>
      </c>
      <c r="H97" s="15">
        <v>8</v>
      </c>
      <c r="I97" s="15">
        <v>22</v>
      </c>
      <c r="J97" s="15">
        <v>29</v>
      </c>
      <c r="K97" s="15">
        <v>19</v>
      </c>
      <c r="L97" s="15">
        <v>13</v>
      </c>
      <c r="M97" s="15">
        <v>13</v>
      </c>
      <c r="N97" s="15">
        <v>19</v>
      </c>
      <c r="O97" s="15">
        <v>12</v>
      </c>
      <c r="P97" s="15">
        <v>10</v>
      </c>
      <c r="Q97" s="15">
        <v>11</v>
      </c>
      <c r="R97" s="15">
        <v>17</v>
      </c>
      <c r="S97" s="15">
        <v>11</v>
      </c>
      <c r="T97" s="15">
        <v>9</v>
      </c>
      <c r="U97" s="15">
        <v>15</v>
      </c>
      <c r="V97" s="15">
        <v>11</v>
      </c>
      <c r="W97" s="16">
        <v>15</v>
      </c>
      <c r="X97" s="16">
        <v>18</v>
      </c>
      <c r="AA97" s="13">
        <f t="shared" si="55"/>
        <v>88</v>
      </c>
      <c r="AB97" s="13">
        <f t="shared" si="55"/>
        <v>75</v>
      </c>
      <c r="AC97" s="13">
        <f t="shared" si="39"/>
        <v>64</v>
      </c>
      <c r="AD97" s="13">
        <f t="shared" si="46"/>
        <v>50</v>
      </c>
      <c r="AE97" s="13">
        <f t="shared" si="41"/>
        <v>46</v>
      </c>
    </row>
    <row r="98" spans="2:31" x14ac:dyDescent="0.25">
      <c r="B98" s="1" t="s">
        <v>49</v>
      </c>
      <c r="C98" s="15">
        <v>-1043</v>
      </c>
      <c r="D98" s="15">
        <v>-534</v>
      </c>
      <c r="E98" s="15">
        <v>-654</v>
      </c>
      <c r="F98" s="15">
        <v>-817</v>
      </c>
      <c r="G98" s="15">
        <v>-901</v>
      </c>
      <c r="H98" s="15">
        <v>-664</v>
      </c>
      <c r="I98" s="15">
        <v>-909</v>
      </c>
      <c r="J98" s="15">
        <v>-968</v>
      </c>
      <c r="K98" s="15">
        <v>-817</v>
      </c>
      <c r="L98" s="15">
        <v>-631</v>
      </c>
      <c r="M98" s="15">
        <v>-419</v>
      </c>
      <c r="N98" s="15">
        <v>-933</v>
      </c>
      <c r="O98" s="15">
        <v>-729</v>
      </c>
      <c r="P98" s="15">
        <v>-503</v>
      </c>
      <c r="Q98" s="15">
        <v>-757</v>
      </c>
      <c r="R98" s="15">
        <v>-803</v>
      </c>
      <c r="S98" s="15">
        <v>-694</v>
      </c>
      <c r="T98" s="15">
        <v>-604</v>
      </c>
      <c r="U98" s="15">
        <v>-579</v>
      </c>
      <c r="V98" s="15">
        <v>-815</v>
      </c>
      <c r="W98" s="16">
        <v>-1111</v>
      </c>
      <c r="X98" s="16">
        <v>-435</v>
      </c>
      <c r="AA98" s="13">
        <f t="shared" si="55"/>
        <v>-3048</v>
      </c>
      <c r="AB98" s="13">
        <f t="shared" si="55"/>
        <v>-3442</v>
      </c>
      <c r="AC98" s="13">
        <f t="shared" si="39"/>
        <v>-2800</v>
      </c>
      <c r="AD98" s="13">
        <f t="shared" si="46"/>
        <v>-2792</v>
      </c>
      <c r="AE98" s="13">
        <f>SUMIF($C$1:$V$1,AE$1,$C98:$V98)</f>
        <v>-2692</v>
      </c>
    </row>
    <row r="99" spans="2:31" x14ac:dyDescent="0.25">
      <c r="M99" s="15"/>
      <c r="N99" s="15"/>
      <c r="O99" s="15"/>
      <c r="P99" s="15"/>
      <c r="Q99" s="15"/>
      <c r="R99" s="15"/>
      <c r="S99" s="15"/>
      <c r="T99" s="15"/>
      <c r="U99" s="15"/>
      <c r="V99" s="15"/>
      <c r="AA99" s="13"/>
      <c r="AB99" s="13"/>
      <c r="AC99" s="13"/>
    </row>
    <row r="100" spans="2:31" x14ac:dyDescent="0.25">
      <c r="B100" s="23" t="s">
        <v>50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AA100" s="13"/>
      <c r="AB100" s="13"/>
      <c r="AC100" s="13"/>
    </row>
    <row r="101" spans="2:31" x14ac:dyDescent="0.25">
      <c r="B101" s="1" t="s">
        <v>51</v>
      </c>
      <c r="C101" s="12">
        <f>SUM(C102:C104)</f>
        <v>91</v>
      </c>
      <c r="D101" s="12">
        <f t="shared" ref="D101:X101" si="58">SUM(D102:D104)</f>
        <v>122</v>
      </c>
      <c r="E101" s="12">
        <f t="shared" si="58"/>
        <v>230</v>
      </c>
      <c r="F101" s="12">
        <f t="shared" si="58"/>
        <v>335</v>
      </c>
      <c r="G101" s="12">
        <f t="shared" si="58"/>
        <v>472</v>
      </c>
      <c r="H101" s="12">
        <f t="shared" si="58"/>
        <v>444</v>
      </c>
      <c r="I101" s="12">
        <f t="shared" si="58"/>
        <v>506</v>
      </c>
      <c r="J101" s="12">
        <f t="shared" si="58"/>
        <v>660</v>
      </c>
      <c r="K101" s="12">
        <f t="shared" si="58"/>
        <v>685</v>
      </c>
      <c r="L101" s="12">
        <f t="shared" si="58"/>
        <v>820</v>
      </c>
      <c r="M101" s="12">
        <f t="shared" si="58"/>
        <v>830</v>
      </c>
      <c r="N101" s="12">
        <f t="shared" si="58"/>
        <v>1033</v>
      </c>
      <c r="O101" s="12">
        <f>SUM(O102:O104)+1</f>
        <v>1054</v>
      </c>
      <c r="P101" s="12">
        <f t="shared" si="58"/>
        <v>1046</v>
      </c>
      <c r="Q101" s="12">
        <f t="shared" si="58"/>
        <v>1513</v>
      </c>
      <c r="R101" s="12">
        <f t="shared" si="58"/>
        <v>1321</v>
      </c>
      <c r="S101" s="12">
        <f t="shared" si="58"/>
        <v>1226</v>
      </c>
      <c r="T101" s="12">
        <f t="shared" si="58"/>
        <v>1232</v>
      </c>
      <c r="U101" s="12">
        <f t="shared" si="58"/>
        <v>1363</v>
      </c>
      <c r="V101" s="12">
        <f t="shared" si="58"/>
        <v>1628</v>
      </c>
      <c r="W101" s="12">
        <f t="shared" si="58"/>
        <v>2099</v>
      </c>
      <c r="X101" s="12">
        <f t="shared" si="58"/>
        <v>1895</v>
      </c>
      <c r="AA101" s="13">
        <f t="shared" si="55"/>
        <v>778</v>
      </c>
      <c r="AB101" s="13">
        <f t="shared" si="55"/>
        <v>2082</v>
      </c>
      <c r="AC101" s="13">
        <f t="shared" ref="AC101:AC104" si="59">SUMIF($C$1:$N$1,AC$1,$C101:$N101)</f>
        <v>3368</v>
      </c>
      <c r="AD101" s="13">
        <f>SUMIF($C$1:$R$1,AD$1,$C101:$R101)-1</f>
        <v>4933</v>
      </c>
      <c r="AE101" s="13">
        <f>SUMIF($C$1:$V$1,AE$1,$C101:$V101)-1</f>
        <v>5448</v>
      </c>
    </row>
    <row r="102" spans="2:31" x14ac:dyDescent="0.25">
      <c r="B102" s="17" t="s">
        <v>52</v>
      </c>
      <c r="C102" s="15">
        <v>55</v>
      </c>
      <c r="D102" s="15">
        <v>56</v>
      </c>
      <c r="E102" s="15">
        <v>109</v>
      </c>
      <c r="F102" s="15">
        <v>166</v>
      </c>
      <c r="G102" s="15">
        <v>242</v>
      </c>
      <c r="H102" s="15">
        <v>207</v>
      </c>
      <c r="I102" s="15">
        <v>255</v>
      </c>
      <c r="J102" s="15">
        <v>329</v>
      </c>
      <c r="K102" s="15">
        <v>304</v>
      </c>
      <c r="L102" s="15">
        <v>367</v>
      </c>
      <c r="M102" s="15">
        <v>355</v>
      </c>
      <c r="N102" s="15">
        <v>422</v>
      </c>
      <c r="O102" s="15">
        <v>404</v>
      </c>
      <c r="P102" s="15">
        <v>402</v>
      </c>
      <c r="Q102" s="15">
        <v>761</v>
      </c>
      <c r="R102" s="15">
        <v>476</v>
      </c>
      <c r="S102" s="15">
        <v>414</v>
      </c>
      <c r="T102" s="15">
        <v>427</v>
      </c>
      <c r="U102" s="15">
        <v>477</v>
      </c>
      <c r="V102" s="15">
        <v>564</v>
      </c>
      <c r="W102" s="16">
        <v>901</v>
      </c>
      <c r="X102" s="16">
        <v>717</v>
      </c>
      <c r="AA102" s="13">
        <f t="shared" si="55"/>
        <v>386</v>
      </c>
      <c r="AB102" s="13">
        <f t="shared" si="55"/>
        <v>1033</v>
      </c>
      <c r="AC102" s="13">
        <f t="shared" si="59"/>
        <v>1448</v>
      </c>
      <c r="AD102" s="13">
        <f>SUMIF($C$1:$R$1,AD$1,$C102:$R102)-1</f>
        <v>2042</v>
      </c>
      <c r="AE102" s="13">
        <f>SUMIF($C$1:$V$1,AE$1,$C102:$V102)+1</f>
        <v>1883</v>
      </c>
    </row>
    <row r="103" spans="2:31" x14ac:dyDescent="0.25">
      <c r="B103" s="17" t="s">
        <v>53</v>
      </c>
      <c r="C103" s="15">
        <v>35</v>
      </c>
      <c r="D103" s="15">
        <v>61</v>
      </c>
      <c r="E103" s="15">
        <v>94</v>
      </c>
      <c r="F103" s="15">
        <v>139</v>
      </c>
      <c r="G103" s="15">
        <v>192</v>
      </c>
      <c r="H103" s="15">
        <v>214</v>
      </c>
      <c r="I103" s="15">
        <v>222</v>
      </c>
      <c r="J103" s="15">
        <v>278</v>
      </c>
      <c r="K103" s="15">
        <v>352</v>
      </c>
      <c r="L103" s="15">
        <v>361</v>
      </c>
      <c r="M103" s="15">
        <v>420</v>
      </c>
      <c r="N103" s="15">
        <v>522</v>
      </c>
      <c r="O103" s="15">
        <v>593</v>
      </c>
      <c r="P103" s="15">
        <v>581</v>
      </c>
      <c r="Q103" s="15">
        <v>677</v>
      </c>
      <c r="R103" s="15">
        <v>773</v>
      </c>
      <c r="S103" s="15">
        <v>763</v>
      </c>
      <c r="T103" s="15">
        <v>759</v>
      </c>
      <c r="U103" s="15">
        <v>843</v>
      </c>
      <c r="V103" s="15">
        <v>1013</v>
      </c>
      <c r="W103" s="16">
        <v>1151</v>
      </c>
      <c r="X103" s="16">
        <v>1155</v>
      </c>
      <c r="AA103" s="13">
        <f t="shared" si="55"/>
        <v>329</v>
      </c>
      <c r="AB103" s="13">
        <f t="shared" si="55"/>
        <v>906</v>
      </c>
      <c r="AC103" s="13">
        <f t="shared" si="59"/>
        <v>1655</v>
      </c>
      <c r="AD103" s="13">
        <f t="shared" ref="AD103:AD148" si="60">SUMIF($C$1:$R$1,AD$1,$C103:$R103)</f>
        <v>2624</v>
      </c>
      <c r="AE103" s="13">
        <f>SUMIF($C$1:$V$1,AE$1,$C103:$V103)-1</f>
        <v>3377</v>
      </c>
    </row>
    <row r="104" spans="2:31" x14ac:dyDescent="0.25">
      <c r="B104" s="17" t="s">
        <v>54</v>
      </c>
      <c r="C104" s="15">
        <v>1</v>
      </c>
      <c r="D104" s="15">
        <v>5</v>
      </c>
      <c r="E104" s="15">
        <v>27</v>
      </c>
      <c r="F104" s="15">
        <v>30</v>
      </c>
      <c r="G104" s="15">
        <v>38</v>
      </c>
      <c r="H104" s="15">
        <v>23</v>
      </c>
      <c r="I104" s="15">
        <v>29</v>
      </c>
      <c r="J104" s="15">
        <v>53</v>
      </c>
      <c r="K104" s="15">
        <v>29</v>
      </c>
      <c r="L104" s="15">
        <v>92</v>
      </c>
      <c r="M104" s="15">
        <v>55</v>
      </c>
      <c r="N104" s="15">
        <v>89</v>
      </c>
      <c r="O104" s="15">
        <v>56</v>
      </c>
      <c r="P104" s="15">
        <v>63</v>
      </c>
      <c r="Q104" s="15">
        <v>75</v>
      </c>
      <c r="R104" s="15">
        <v>72</v>
      </c>
      <c r="S104" s="15">
        <v>49</v>
      </c>
      <c r="T104" s="15">
        <v>46</v>
      </c>
      <c r="U104" s="15">
        <v>43</v>
      </c>
      <c r="V104" s="15">
        <v>51</v>
      </c>
      <c r="W104" s="16">
        <v>47</v>
      </c>
      <c r="X104" s="16">
        <v>23</v>
      </c>
      <c r="AA104" s="13">
        <f t="shared" si="55"/>
        <v>63</v>
      </c>
      <c r="AB104" s="13">
        <f t="shared" si="55"/>
        <v>143</v>
      </c>
      <c r="AC104" s="13">
        <f t="shared" si="59"/>
        <v>265</v>
      </c>
      <c r="AD104" s="13">
        <f t="shared" si="60"/>
        <v>266</v>
      </c>
      <c r="AE104" s="13">
        <f t="shared" ref="AE104" si="61">SUMIF($C$1:$V$1,AE$1,$C104:$V104)</f>
        <v>189</v>
      </c>
    </row>
    <row r="105" spans="2:31" x14ac:dyDescent="0.25">
      <c r="B105" s="1" t="s">
        <v>55</v>
      </c>
      <c r="C105" s="15">
        <v>3</v>
      </c>
      <c r="D105" s="15">
        <v>4</v>
      </c>
      <c r="E105" s="15">
        <v>6</v>
      </c>
      <c r="F105" s="15">
        <v>9</v>
      </c>
      <c r="G105" s="15">
        <v>13</v>
      </c>
      <c r="H105" s="15">
        <v>13</v>
      </c>
      <c r="I105" s="15">
        <v>16</v>
      </c>
      <c r="J105" s="15">
        <v>21</v>
      </c>
      <c r="K105" s="15">
        <v>22</v>
      </c>
      <c r="L105" s="15">
        <v>24</v>
      </c>
      <c r="M105" s="15">
        <v>28</v>
      </c>
      <c r="N105" s="15">
        <v>31</v>
      </c>
      <c r="O105" s="15">
        <v>34</v>
      </c>
      <c r="P105" s="15">
        <v>33</v>
      </c>
      <c r="Q105" s="15">
        <v>36</v>
      </c>
      <c r="R105" s="15">
        <v>36</v>
      </c>
      <c r="S105" s="15">
        <v>41</v>
      </c>
      <c r="T105" s="15">
        <v>41</v>
      </c>
      <c r="U105" s="15">
        <v>41</v>
      </c>
      <c r="V105" s="15">
        <v>44</v>
      </c>
      <c r="W105" s="15">
        <v>46</v>
      </c>
      <c r="X105" s="15">
        <v>48</v>
      </c>
      <c r="AA105" s="13">
        <f>SUMIFS($C105:$M105,$C$1:$M$1,AA$1,$C$2:$M$2,4)</f>
        <v>9</v>
      </c>
      <c r="AB105" s="13">
        <f t="shared" ref="AB105" si="62">SUMIFS($C105:$M105,$C$1:$M$1,AB$1,$C$2:$M$2,4)</f>
        <v>21</v>
      </c>
      <c r="AC105" s="13">
        <f>SUMIFS($C105:$N105,$C$1:$N$1,AC$1,$C$2:$N$2,4)</f>
        <v>31</v>
      </c>
      <c r="AD105" s="13">
        <v>36</v>
      </c>
      <c r="AE105" s="13">
        <f>V105</f>
        <v>44</v>
      </c>
    </row>
    <row r="106" spans="2:31" x14ac:dyDescent="0.25"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AA106" s="13"/>
      <c r="AB106" s="13"/>
      <c r="AC106" s="13"/>
    </row>
    <row r="107" spans="2:31" x14ac:dyDescent="0.25">
      <c r="B107" s="10" t="s">
        <v>28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AA107" s="13"/>
      <c r="AB107" s="13"/>
      <c r="AC107" s="13"/>
    </row>
    <row r="108" spans="2:31" x14ac:dyDescent="0.25">
      <c r="B108" s="19" t="s">
        <v>39</v>
      </c>
      <c r="C108" s="20">
        <f>C109+C114+C118+C119+C120</f>
        <v>8318</v>
      </c>
      <c r="D108" s="20">
        <f>D109+D114+D118+D119+D120</f>
        <v>9317</v>
      </c>
      <c r="E108" s="20">
        <f t="shared" ref="E108:R108" si="63">E109+E114+E118+E119+E120</f>
        <v>11252</v>
      </c>
      <c r="F108" s="20">
        <f t="shared" si="63"/>
        <v>10686</v>
      </c>
      <c r="G108" s="20">
        <f t="shared" si="63"/>
        <v>11340</v>
      </c>
      <c r="H108" s="20">
        <f t="shared" si="63"/>
        <v>10453</v>
      </c>
      <c r="I108" s="20">
        <f t="shared" si="63"/>
        <v>10478</v>
      </c>
      <c r="J108" s="20">
        <f t="shared" si="63"/>
        <v>10880</v>
      </c>
      <c r="K108" s="20">
        <f t="shared" si="63"/>
        <v>10258</v>
      </c>
      <c r="L108" s="20">
        <f t="shared" si="63"/>
        <v>10874</v>
      </c>
      <c r="M108" s="20">
        <f t="shared" si="63"/>
        <v>10559</v>
      </c>
      <c r="N108" s="20">
        <f t="shared" si="63"/>
        <v>11499</v>
      </c>
      <c r="O108" s="20">
        <f t="shared" si="63"/>
        <v>10375</v>
      </c>
      <c r="P108" s="20">
        <f t="shared" si="63"/>
        <v>10057</v>
      </c>
      <c r="Q108" s="20">
        <f t="shared" si="63"/>
        <v>12599</v>
      </c>
      <c r="R108" s="20">
        <f t="shared" si="63"/>
        <v>12078</v>
      </c>
      <c r="S108" s="20">
        <v>10457</v>
      </c>
      <c r="T108" s="20">
        <f t="shared" ref="T108:V108" si="64">T109+T114+T118+T119+T120</f>
        <v>10624</v>
      </c>
      <c r="U108" s="20">
        <f t="shared" si="64"/>
        <v>11741</v>
      </c>
      <c r="V108" s="20">
        <f t="shared" si="64"/>
        <v>12735</v>
      </c>
      <c r="W108" s="21"/>
      <c r="X108" s="21"/>
      <c r="Y108" s="21"/>
      <c r="Z108" s="21"/>
      <c r="AA108" s="20">
        <f>SUMIF($C$1:$M$1,AA$1,$C108:$M108)</f>
        <v>39573</v>
      </c>
      <c r="AB108" s="20">
        <f t="shared" ref="AA108:AC111" si="65">SUMIF($C$1:$M$1,AB$1,$C108:$M108)</f>
        <v>43151</v>
      </c>
      <c r="AC108" s="20">
        <f t="shared" ref="AC108:AC120" si="66">SUMIF($C$1:$N$1,AC$1,$C108:$N108)</f>
        <v>43190</v>
      </c>
      <c r="AD108" s="20">
        <f t="shared" ref="AD108:AD120" si="67">SUMIF($C$1:$R$1,AD$1,$C108:$R108)</f>
        <v>45109</v>
      </c>
      <c r="AE108" s="20">
        <f t="shared" ref="AE108:AE119" si="68">SUMIF($C$1:$V$1,AE$1,$C108:$V108)</f>
        <v>45557</v>
      </c>
    </row>
    <row r="109" spans="2:31" x14ac:dyDescent="0.25">
      <c r="B109" s="1" t="s">
        <v>40</v>
      </c>
      <c r="C109" s="12">
        <f>SUM(C110:C113)</f>
        <v>6201</v>
      </c>
      <c r="D109" s="12">
        <f t="shared" ref="D109:Q109" si="69">SUM(D110:D113)</f>
        <v>6328</v>
      </c>
      <c r="E109" s="12">
        <f t="shared" si="69"/>
        <v>7889</v>
      </c>
      <c r="F109" s="12">
        <f t="shared" si="69"/>
        <v>6988</v>
      </c>
      <c r="G109" s="12">
        <f t="shared" si="69"/>
        <v>7758</v>
      </c>
      <c r="H109" s="12">
        <f t="shared" si="69"/>
        <v>6188</v>
      </c>
      <c r="I109" s="12">
        <f t="shared" si="69"/>
        <v>6005</v>
      </c>
      <c r="J109" s="12">
        <f t="shared" si="69"/>
        <v>6768</v>
      </c>
      <c r="K109" s="12">
        <f t="shared" si="69"/>
        <v>6152</v>
      </c>
      <c r="L109" s="12">
        <f t="shared" si="69"/>
        <v>6195</v>
      </c>
      <c r="M109" s="12">
        <f t="shared" si="69"/>
        <v>6029</v>
      </c>
      <c r="N109" s="12">
        <f t="shared" si="69"/>
        <v>6979</v>
      </c>
      <c r="O109" s="12">
        <f t="shared" si="69"/>
        <v>6372</v>
      </c>
      <c r="P109" s="12">
        <f t="shared" si="69"/>
        <v>6324</v>
      </c>
      <c r="Q109" s="12">
        <f t="shared" si="69"/>
        <v>8231</v>
      </c>
      <c r="R109" s="12">
        <v>7222</v>
      </c>
      <c r="S109" s="12">
        <f t="shared" ref="S109:V109" si="70">SUM(S110:S113)</f>
        <v>6440</v>
      </c>
      <c r="T109" s="12">
        <f t="shared" si="70"/>
        <v>6440</v>
      </c>
      <c r="U109" s="12">
        <f t="shared" si="70"/>
        <v>6589</v>
      </c>
      <c r="V109" s="12">
        <f t="shared" si="70"/>
        <v>7621</v>
      </c>
      <c r="AA109" s="13">
        <f t="shared" si="65"/>
        <v>27406</v>
      </c>
      <c r="AB109" s="13">
        <f t="shared" si="65"/>
        <v>26719</v>
      </c>
      <c r="AC109" s="13">
        <f t="shared" si="66"/>
        <v>25355</v>
      </c>
      <c r="AD109" s="13">
        <f t="shared" si="67"/>
        <v>28149</v>
      </c>
      <c r="AE109" s="13">
        <f t="shared" si="68"/>
        <v>27090</v>
      </c>
    </row>
    <row r="110" spans="2:31" x14ac:dyDescent="0.25">
      <c r="B110" s="17" t="s">
        <v>41</v>
      </c>
      <c r="C110" s="15">
        <v>2072</v>
      </c>
      <c r="D110" s="15">
        <v>2161</v>
      </c>
      <c r="E110" s="15">
        <v>3230</v>
      </c>
      <c r="F110" s="15">
        <v>2714</v>
      </c>
      <c r="G110" s="15">
        <v>3310</v>
      </c>
      <c r="H110" s="15">
        <v>2131</v>
      </c>
      <c r="I110" s="15">
        <v>2089</v>
      </c>
      <c r="J110" s="15">
        <v>2829</v>
      </c>
      <c r="K110" s="15">
        <v>2025</v>
      </c>
      <c r="L110" s="15">
        <v>2027</v>
      </c>
      <c r="M110" s="15">
        <v>1913</v>
      </c>
      <c r="N110" s="15">
        <v>2635</v>
      </c>
      <c r="O110" s="15">
        <v>2025</v>
      </c>
      <c r="P110" s="15">
        <v>1991</v>
      </c>
      <c r="Q110" s="15">
        <v>3347</v>
      </c>
      <c r="R110" s="15">
        <v>2645</v>
      </c>
      <c r="S110" s="15">
        <v>1886</v>
      </c>
      <c r="T110" s="15">
        <v>1848</v>
      </c>
      <c r="U110" s="15">
        <v>1964</v>
      </c>
      <c r="V110" s="15">
        <v>2684</v>
      </c>
      <c r="AA110" s="13">
        <f t="shared" si="65"/>
        <v>10177</v>
      </c>
      <c r="AB110" s="13">
        <f t="shared" si="65"/>
        <v>10359</v>
      </c>
      <c r="AC110" s="13">
        <f t="shared" si="66"/>
        <v>8600</v>
      </c>
      <c r="AD110" s="13">
        <f t="shared" si="67"/>
        <v>10008</v>
      </c>
      <c r="AE110" s="13">
        <f t="shared" si="68"/>
        <v>8382</v>
      </c>
    </row>
    <row r="111" spans="2:31" x14ac:dyDescent="0.25">
      <c r="B111" s="17" t="s">
        <v>42</v>
      </c>
      <c r="C111" s="15">
        <v>2403</v>
      </c>
      <c r="D111" s="15">
        <v>2358</v>
      </c>
      <c r="E111" s="15">
        <v>2896</v>
      </c>
      <c r="F111" s="15">
        <v>2423</v>
      </c>
      <c r="G111" s="15">
        <v>2938</v>
      </c>
      <c r="H111" s="15">
        <v>2558</v>
      </c>
      <c r="I111" s="15">
        <v>2497</v>
      </c>
      <c r="J111" s="15">
        <v>2532</v>
      </c>
      <c r="K111" s="15">
        <v>2709</v>
      </c>
      <c r="L111" s="15">
        <v>2615</v>
      </c>
      <c r="M111" s="15">
        <v>2591</v>
      </c>
      <c r="N111" s="15">
        <v>2747</v>
      </c>
      <c r="O111" s="15">
        <v>2906</v>
      </c>
      <c r="P111" s="15">
        <v>2764</v>
      </c>
      <c r="Q111" s="15">
        <v>3272</v>
      </c>
      <c r="R111" s="15">
        <v>2885</v>
      </c>
      <c r="S111" s="15">
        <v>2922</v>
      </c>
      <c r="T111" s="15">
        <v>2812</v>
      </c>
      <c r="U111" s="15">
        <v>2841</v>
      </c>
      <c r="V111" s="15">
        <v>3038</v>
      </c>
      <c r="AA111" s="13">
        <f t="shared" si="65"/>
        <v>10080</v>
      </c>
      <c r="AB111" s="13">
        <f t="shared" si="65"/>
        <v>10525</v>
      </c>
      <c r="AC111" s="13">
        <f t="shared" si="66"/>
        <v>10662</v>
      </c>
      <c r="AD111" s="13">
        <f t="shared" si="67"/>
        <v>11827</v>
      </c>
      <c r="AE111" s="13">
        <f t="shared" si="68"/>
        <v>11613</v>
      </c>
    </row>
    <row r="112" spans="2:31" x14ac:dyDescent="0.25">
      <c r="B112" s="17" t="s">
        <v>43</v>
      </c>
      <c r="C112" s="15">
        <v>1268</v>
      </c>
      <c r="D112" s="15">
        <v>1288</v>
      </c>
      <c r="E112" s="15">
        <v>1221</v>
      </c>
      <c r="F112" s="15">
        <v>1282</v>
      </c>
      <c r="G112" s="15">
        <v>995</v>
      </c>
      <c r="H112" s="15">
        <v>970</v>
      </c>
      <c r="I112" s="15">
        <v>872</v>
      </c>
      <c r="J112" s="15">
        <v>893</v>
      </c>
      <c r="K112" s="15">
        <v>1008</v>
      </c>
      <c r="L112" s="15">
        <v>1035</v>
      </c>
      <c r="M112" s="15">
        <v>1019</v>
      </c>
      <c r="N112" s="15">
        <v>1047</v>
      </c>
      <c r="O112" s="15">
        <v>1021</v>
      </c>
      <c r="P112" s="15">
        <v>1102</v>
      </c>
      <c r="Q112" s="15">
        <v>1070</v>
      </c>
      <c r="R112" s="15">
        <v>1090</v>
      </c>
      <c r="S112" s="15">
        <v>1162</v>
      </c>
      <c r="T112" s="15">
        <v>1266</v>
      </c>
      <c r="U112" s="15">
        <v>1252</v>
      </c>
      <c r="V112" s="15">
        <v>1297</v>
      </c>
      <c r="AA112" s="13">
        <f t="shared" si="55"/>
        <v>5059</v>
      </c>
      <c r="AB112" s="13">
        <f t="shared" si="55"/>
        <v>3730</v>
      </c>
      <c r="AC112" s="13">
        <f t="shared" si="66"/>
        <v>4109</v>
      </c>
      <c r="AD112" s="13">
        <f t="shared" si="67"/>
        <v>4283</v>
      </c>
      <c r="AE112" s="13">
        <f t="shared" si="68"/>
        <v>4977</v>
      </c>
    </row>
    <row r="113" spans="2:31" x14ac:dyDescent="0.25">
      <c r="B113" s="17" t="s">
        <v>24</v>
      </c>
      <c r="C113" s="15">
        <v>458</v>
      </c>
      <c r="D113" s="15">
        <v>521</v>
      </c>
      <c r="E113" s="15">
        <v>542</v>
      </c>
      <c r="F113" s="15">
        <v>569</v>
      </c>
      <c r="G113" s="15">
        <v>515</v>
      </c>
      <c r="H113" s="15">
        <v>529</v>
      </c>
      <c r="I113" s="15">
        <v>547</v>
      </c>
      <c r="J113" s="15">
        <v>514</v>
      </c>
      <c r="K113" s="15">
        <v>410</v>
      </c>
      <c r="L113" s="15">
        <v>518</v>
      </c>
      <c r="M113" s="15">
        <v>506</v>
      </c>
      <c r="N113" s="15">
        <v>550</v>
      </c>
      <c r="O113" s="15">
        <v>420</v>
      </c>
      <c r="P113" s="15">
        <v>467</v>
      </c>
      <c r="Q113" s="15">
        <v>542</v>
      </c>
      <c r="R113" s="15">
        <v>603</v>
      </c>
      <c r="S113" s="15">
        <v>470</v>
      </c>
      <c r="T113" s="15">
        <v>514</v>
      </c>
      <c r="U113" s="15">
        <v>532</v>
      </c>
      <c r="V113" s="15">
        <v>602</v>
      </c>
      <c r="AA113" s="13">
        <f t="shared" si="55"/>
        <v>2090</v>
      </c>
      <c r="AB113" s="13">
        <f t="shared" si="55"/>
        <v>2105</v>
      </c>
      <c r="AC113" s="13">
        <f t="shared" si="66"/>
        <v>1984</v>
      </c>
      <c r="AD113" s="13">
        <f t="shared" si="67"/>
        <v>2032</v>
      </c>
      <c r="AE113" s="13">
        <f t="shared" si="68"/>
        <v>2118</v>
      </c>
    </row>
    <row r="114" spans="2:31" x14ac:dyDescent="0.25">
      <c r="B114" s="1" t="s">
        <v>44</v>
      </c>
      <c r="C114" s="13">
        <f>SUM(C115:C117)</f>
        <v>2525</v>
      </c>
      <c r="D114" s="13">
        <f t="shared" ref="D114:L114" si="71">SUM(D115:D117)</f>
        <v>2406</v>
      </c>
      <c r="E114" s="13">
        <f t="shared" si="71"/>
        <v>2540</v>
      </c>
      <c r="F114" s="13">
        <f t="shared" si="71"/>
        <v>2606</v>
      </c>
      <c r="G114" s="13">
        <f t="shared" si="71"/>
        <v>2907</v>
      </c>
      <c r="H114" s="13">
        <f t="shared" si="71"/>
        <v>3117</v>
      </c>
      <c r="I114" s="13">
        <f t="shared" si="71"/>
        <v>3296</v>
      </c>
      <c r="J114" s="13">
        <f t="shared" si="71"/>
        <v>2937</v>
      </c>
      <c r="K114" s="13">
        <f t="shared" si="71"/>
        <v>2955</v>
      </c>
      <c r="L114" s="13">
        <f t="shared" si="71"/>
        <v>3088</v>
      </c>
      <c r="M114" s="13">
        <f>SUM(M115:M117)-1</f>
        <v>2518</v>
      </c>
      <c r="N114" s="13">
        <f t="shared" ref="N114:V114" si="72">SUM(N115:N117)</f>
        <v>3063</v>
      </c>
      <c r="O114" s="13">
        <f t="shared" si="72"/>
        <v>2743</v>
      </c>
      <c r="P114" s="13">
        <f t="shared" si="72"/>
        <v>2253</v>
      </c>
      <c r="Q114" s="13">
        <f t="shared" si="72"/>
        <v>2826</v>
      </c>
      <c r="R114" s="13">
        <f t="shared" si="72"/>
        <v>3269</v>
      </c>
      <c r="S114" s="13">
        <f t="shared" si="72"/>
        <v>2826</v>
      </c>
      <c r="T114" s="13">
        <f t="shared" si="72"/>
        <v>2432</v>
      </c>
      <c r="U114" s="13">
        <f t="shared" si="72"/>
        <v>3000</v>
      </c>
      <c r="V114" s="13">
        <f t="shared" si="72"/>
        <v>3027</v>
      </c>
      <c r="AA114" s="13">
        <f t="shared" si="55"/>
        <v>10077</v>
      </c>
      <c r="AB114" s="13">
        <f t="shared" si="55"/>
        <v>12257</v>
      </c>
      <c r="AC114" s="13">
        <f t="shared" si="66"/>
        <v>11624</v>
      </c>
      <c r="AD114" s="13">
        <f t="shared" si="67"/>
        <v>11091</v>
      </c>
      <c r="AE114" s="13">
        <f t="shared" si="68"/>
        <v>11285</v>
      </c>
    </row>
    <row r="115" spans="2:31" x14ac:dyDescent="0.25">
      <c r="B115" s="17" t="s">
        <v>45</v>
      </c>
      <c r="C115" s="15">
        <v>2204</v>
      </c>
      <c r="D115" s="15">
        <v>1962</v>
      </c>
      <c r="E115" s="15">
        <v>1960</v>
      </c>
      <c r="F115" s="15">
        <v>2067</v>
      </c>
      <c r="G115" s="15">
        <v>2429</v>
      </c>
      <c r="H115" s="15">
        <v>2269</v>
      </c>
      <c r="I115" s="15">
        <v>2267</v>
      </c>
      <c r="J115" s="15">
        <v>2382</v>
      </c>
      <c r="K115" s="15">
        <v>2344</v>
      </c>
      <c r="L115" s="15">
        <v>1821</v>
      </c>
      <c r="M115" s="15">
        <v>1691</v>
      </c>
      <c r="N115" s="15">
        <v>2375</v>
      </c>
      <c r="O115" s="15">
        <v>2101</v>
      </c>
      <c r="P115" s="15">
        <v>1714</v>
      </c>
      <c r="Q115" s="15">
        <v>1865</v>
      </c>
      <c r="R115" s="15">
        <v>2383</v>
      </c>
      <c r="S115" s="15">
        <v>2174</v>
      </c>
      <c r="T115" s="15">
        <v>1805</v>
      </c>
      <c r="U115" s="15">
        <v>2035</v>
      </c>
      <c r="V115" s="15">
        <v>2186</v>
      </c>
      <c r="AA115" s="13">
        <f t="shared" si="55"/>
        <v>8193</v>
      </c>
      <c r="AB115" s="13">
        <f t="shared" si="55"/>
        <v>9347</v>
      </c>
      <c r="AC115" s="13">
        <f t="shared" si="66"/>
        <v>8231</v>
      </c>
      <c r="AD115" s="13">
        <f t="shared" si="67"/>
        <v>8063</v>
      </c>
      <c r="AE115" s="13">
        <f t="shared" si="68"/>
        <v>8200</v>
      </c>
    </row>
    <row r="116" spans="2:31" x14ac:dyDescent="0.25">
      <c r="B116" s="17" t="s">
        <v>46</v>
      </c>
      <c r="C116" s="15">
        <v>39</v>
      </c>
      <c r="D116" s="15">
        <v>198</v>
      </c>
      <c r="E116" s="15">
        <v>307</v>
      </c>
      <c r="F116" s="15">
        <v>147</v>
      </c>
      <c r="G116" s="15">
        <v>168</v>
      </c>
      <c r="H116" s="15">
        <v>550</v>
      </c>
      <c r="I116" s="15">
        <v>673</v>
      </c>
      <c r="J116" s="15">
        <v>216</v>
      </c>
      <c r="K116" s="15">
        <v>319</v>
      </c>
      <c r="L116" s="15">
        <v>913</v>
      </c>
      <c r="M116" s="15">
        <v>504</v>
      </c>
      <c r="N116" s="15">
        <v>343</v>
      </c>
      <c r="O116" s="15">
        <v>330</v>
      </c>
      <c r="P116" s="15">
        <v>237</v>
      </c>
      <c r="Q116" s="15">
        <v>611</v>
      </c>
      <c r="R116" s="15">
        <v>515</v>
      </c>
      <c r="S116" s="15">
        <v>286</v>
      </c>
      <c r="T116" s="15">
        <v>284</v>
      </c>
      <c r="U116" s="15">
        <v>639</v>
      </c>
      <c r="V116" s="15">
        <v>411</v>
      </c>
      <c r="AA116" s="13">
        <f t="shared" si="55"/>
        <v>691</v>
      </c>
      <c r="AB116" s="13">
        <f t="shared" si="55"/>
        <v>1607</v>
      </c>
      <c r="AC116" s="13">
        <f t="shared" si="66"/>
        <v>2079</v>
      </c>
      <c r="AD116" s="13">
        <f t="shared" si="67"/>
        <v>1693</v>
      </c>
      <c r="AE116" s="13">
        <f t="shared" si="68"/>
        <v>1620</v>
      </c>
    </row>
    <row r="117" spans="2:31" x14ac:dyDescent="0.25">
      <c r="B117" s="17" t="s">
        <v>24</v>
      </c>
      <c r="C117" s="15">
        <v>282</v>
      </c>
      <c r="D117" s="15">
        <v>246</v>
      </c>
      <c r="E117" s="15">
        <v>273</v>
      </c>
      <c r="F117" s="15">
        <v>392</v>
      </c>
      <c r="G117" s="15">
        <v>310</v>
      </c>
      <c r="H117" s="15">
        <v>298</v>
      </c>
      <c r="I117" s="15">
        <v>356</v>
      </c>
      <c r="J117" s="15">
        <v>339</v>
      </c>
      <c r="K117" s="15">
        <v>292</v>
      </c>
      <c r="L117" s="15">
        <v>354</v>
      </c>
      <c r="M117" s="15">
        <v>324</v>
      </c>
      <c r="N117" s="15">
        <v>345</v>
      </c>
      <c r="O117" s="15">
        <v>312</v>
      </c>
      <c r="P117" s="15">
        <v>302</v>
      </c>
      <c r="Q117" s="15">
        <v>350</v>
      </c>
      <c r="R117" s="15">
        <v>371</v>
      </c>
      <c r="S117" s="15">
        <v>366</v>
      </c>
      <c r="T117" s="15">
        <v>343</v>
      </c>
      <c r="U117" s="15">
        <v>326</v>
      </c>
      <c r="V117" s="15">
        <v>430</v>
      </c>
      <c r="AA117" s="13">
        <f t="shared" si="55"/>
        <v>1193</v>
      </c>
      <c r="AB117" s="13">
        <f t="shared" si="55"/>
        <v>1303</v>
      </c>
      <c r="AC117" s="13">
        <f t="shared" si="66"/>
        <v>1315</v>
      </c>
      <c r="AD117" s="13">
        <f t="shared" si="67"/>
        <v>1335</v>
      </c>
      <c r="AE117" s="13">
        <f t="shared" si="68"/>
        <v>1465</v>
      </c>
    </row>
    <row r="118" spans="2:31" x14ac:dyDescent="0.25">
      <c r="B118" s="1" t="s">
        <v>47</v>
      </c>
      <c r="C118" s="15">
        <v>619</v>
      </c>
      <c r="D118" s="15">
        <v>1095</v>
      </c>
      <c r="E118" s="15">
        <v>1449</v>
      </c>
      <c r="F118" s="15">
        <v>1887</v>
      </c>
      <c r="G118" s="15">
        <v>1560</v>
      </c>
      <c r="H118" s="15">
        <v>1804</v>
      </c>
      <c r="I118" s="15">
        <v>2064</v>
      </c>
      <c r="J118" s="15">
        <v>2114</v>
      </c>
      <c r="K118" s="15">
        <v>1949</v>
      </c>
      <c r="L118" s="15">
        <v>2209</v>
      </c>
      <c r="M118" s="15">
        <v>2418</v>
      </c>
      <c r="N118" s="15">
        <v>2371</v>
      </c>
      <c r="O118" s="15">
        <v>1979</v>
      </c>
      <c r="P118" s="15">
        <v>1975</v>
      </c>
      <c r="Q118" s="15">
        <v>2289</v>
      </c>
      <c r="R118" s="15">
        <v>2374</v>
      </c>
      <c r="S118" s="15">
        <v>1876</v>
      </c>
      <c r="T118" s="15">
        <v>2349</v>
      </c>
      <c r="U118" s="15">
        <v>2717</v>
      </c>
      <c r="V118" s="15">
        <v>2893</v>
      </c>
      <c r="AA118" s="13">
        <f t="shared" si="55"/>
        <v>5050</v>
      </c>
      <c r="AB118" s="13">
        <f t="shared" si="55"/>
        <v>7542</v>
      </c>
      <c r="AC118" s="13">
        <f t="shared" si="66"/>
        <v>8947</v>
      </c>
      <c r="AD118" s="13">
        <f t="shared" si="67"/>
        <v>8617</v>
      </c>
      <c r="AE118" s="13">
        <f t="shared" si="68"/>
        <v>9835</v>
      </c>
    </row>
    <row r="119" spans="2:31" x14ac:dyDescent="0.25">
      <c r="B119" s="1" t="s">
        <v>48</v>
      </c>
      <c r="C119" s="15">
        <v>16</v>
      </c>
      <c r="D119" s="15">
        <v>22</v>
      </c>
      <c r="E119" s="15">
        <v>28</v>
      </c>
      <c r="F119" s="15">
        <v>22</v>
      </c>
      <c r="G119" s="15">
        <v>16</v>
      </c>
      <c r="H119" s="15">
        <v>8</v>
      </c>
      <c r="I119" s="15">
        <v>22</v>
      </c>
      <c r="J119" s="15">
        <v>29</v>
      </c>
      <c r="K119" s="15">
        <v>19</v>
      </c>
      <c r="L119" s="15">
        <v>13</v>
      </c>
      <c r="M119" s="15">
        <v>13</v>
      </c>
      <c r="N119" s="15">
        <v>19</v>
      </c>
      <c r="O119" s="15">
        <v>12</v>
      </c>
      <c r="P119" s="15">
        <v>10</v>
      </c>
      <c r="Q119" s="15">
        <v>11</v>
      </c>
      <c r="R119" s="15">
        <v>17</v>
      </c>
      <c r="S119" s="15">
        <v>11</v>
      </c>
      <c r="T119" s="15">
        <v>9</v>
      </c>
      <c r="U119" s="15">
        <v>15</v>
      </c>
      <c r="V119" s="15">
        <v>11</v>
      </c>
      <c r="AA119" s="13">
        <f t="shared" si="55"/>
        <v>88</v>
      </c>
      <c r="AB119" s="13">
        <f t="shared" si="55"/>
        <v>75</v>
      </c>
      <c r="AC119" s="13">
        <f t="shared" si="66"/>
        <v>64</v>
      </c>
      <c r="AD119" s="13">
        <f t="shared" si="67"/>
        <v>50</v>
      </c>
      <c r="AE119" s="13">
        <f t="shared" si="68"/>
        <v>46</v>
      </c>
    </row>
    <row r="120" spans="2:31" x14ac:dyDescent="0.25">
      <c r="B120" s="1" t="s">
        <v>49</v>
      </c>
      <c r="C120" s="15">
        <v>-1043</v>
      </c>
      <c r="D120" s="15">
        <v>-534</v>
      </c>
      <c r="E120" s="15">
        <v>-654</v>
      </c>
      <c r="F120" s="15">
        <v>-817</v>
      </c>
      <c r="G120" s="15">
        <v>-901</v>
      </c>
      <c r="H120" s="15">
        <v>-664</v>
      </c>
      <c r="I120" s="15">
        <v>-909</v>
      </c>
      <c r="J120" s="15">
        <v>-968</v>
      </c>
      <c r="K120" s="15">
        <v>-817</v>
      </c>
      <c r="L120" s="15">
        <v>-631</v>
      </c>
      <c r="M120" s="15">
        <v>-419</v>
      </c>
      <c r="N120" s="15">
        <v>-933</v>
      </c>
      <c r="O120" s="15">
        <v>-731</v>
      </c>
      <c r="P120" s="15">
        <v>-505</v>
      </c>
      <c r="Q120" s="15">
        <v>-758</v>
      </c>
      <c r="R120" s="15">
        <v>-804</v>
      </c>
      <c r="S120" s="15">
        <v>-697</v>
      </c>
      <c r="T120" s="15">
        <v>-606</v>
      </c>
      <c r="U120" s="15">
        <v>-580</v>
      </c>
      <c r="V120" s="15">
        <v>-817</v>
      </c>
      <c r="AA120" s="13">
        <f t="shared" si="55"/>
        <v>-3048</v>
      </c>
      <c r="AB120" s="13">
        <f t="shared" si="55"/>
        <v>-3442</v>
      </c>
      <c r="AC120" s="13">
        <f t="shared" si="66"/>
        <v>-2800</v>
      </c>
      <c r="AD120" s="13">
        <f t="shared" si="67"/>
        <v>-2798</v>
      </c>
      <c r="AE120" s="13">
        <f>SUMIF($C$1:$V$1,AE$1,$C120:$V120)</f>
        <v>-2700</v>
      </c>
    </row>
    <row r="121" spans="2:31" x14ac:dyDescent="0.25"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AA121" s="13"/>
      <c r="AB121" s="13"/>
      <c r="AC121" s="13"/>
    </row>
    <row r="122" spans="2:31" x14ac:dyDescent="0.25">
      <c r="B122" s="23" t="s">
        <v>50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AA122" s="13"/>
      <c r="AB122" s="13"/>
      <c r="AC122" s="13"/>
    </row>
    <row r="123" spans="2:31" x14ac:dyDescent="0.25">
      <c r="B123" s="1" t="s">
        <v>51</v>
      </c>
      <c r="C123" s="12">
        <f>SUM(C124:C126)</f>
        <v>91</v>
      </c>
      <c r="D123" s="12">
        <f t="shared" ref="D123:V123" si="73">SUM(D124:D126)</f>
        <v>122</v>
      </c>
      <c r="E123" s="12">
        <f t="shared" si="73"/>
        <v>230</v>
      </c>
      <c r="F123" s="12">
        <f t="shared" si="73"/>
        <v>335</v>
      </c>
      <c r="G123" s="12">
        <f t="shared" si="73"/>
        <v>472</v>
      </c>
      <c r="H123" s="12">
        <f t="shared" si="73"/>
        <v>444</v>
      </c>
      <c r="I123" s="12">
        <f t="shared" si="73"/>
        <v>506</v>
      </c>
      <c r="J123" s="12">
        <f t="shared" si="73"/>
        <v>660</v>
      </c>
      <c r="K123" s="12">
        <f t="shared" si="73"/>
        <v>685</v>
      </c>
      <c r="L123" s="12">
        <f t="shared" si="73"/>
        <v>820</v>
      </c>
      <c r="M123" s="12">
        <f t="shared" si="73"/>
        <v>830</v>
      </c>
      <c r="N123" s="12">
        <f t="shared" si="73"/>
        <v>1033</v>
      </c>
      <c r="O123" s="12">
        <f t="shared" si="73"/>
        <v>1053</v>
      </c>
      <c r="P123" s="12">
        <f t="shared" si="73"/>
        <v>1046</v>
      </c>
      <c r="Q123" s="12">
        <f t="shared" si="73"/>
        <v>1513</v>
      </c>
      <c r="R123" s="12">
        <f t="shared" si="73"/>
        <v>1321</v>
      </c>
      <c r="S123" s="12">
        <f t="shared" si="73"/>
        <v>1226</v>
      </c>
      <c r="T123" s="12">
        <f t="shared" si="73"/>
        <v>1232</v>
      </c>
      <c r="U123" s="12">
        <f t="shared" si="73"/>
        <v>1363</v>
      </c>
      <c r="V123" s="12">
        <f t="shared" si="73"/>
        <v>1628</v>
      </c>
      <c r="AA123" s="13">
        <f t="shared" si="55"/>
        <v>778</v>
      </c>
      <c r="AB123" s="13">
        <f t="shared" si="55"/>
        <v>2082</v>
      </c>
      <c r="AC123" s="13">
        <f t="shared" ref="AC123:AC126" si="74">SUMIF($C$1:$N$1,AC$1,$C123:$N123)</f>
        <v>3368</v>
      </c>
      <c r="AD123" s="13">
        <f t="shared" si="60"/>
        <v>4933</v>
      </c>
      <c r="AE123" s="13">
        <f>SUMIF($C$1:$V$1,AE$1,$C123:$V123)</f>
        <v>5449</v>
      </c>
    </row>
    <row r="124" spans="2:31" x14ac:dyDescent="0.25">
      <c r="B124" s="17" t="s">
        <v>52</v>
      </c>
      <c r="C124" s="15">
        <v>55</v>
      </c>
      <c r="D124" s="15">
        <v>56</v>
      </c>
      <c r="E124" s="15">
        <v>109</v>
      </c>
      <c r="F124" s="15">
        <v>166</v>
      </c>
      <c r="G124" s="15">
        <v>242</v>
      </c>
      <c r="H124" s="15">
        <v>207</v>
      </c>
      <c r="I124" s="15">
        <v>255</v>
      </c>
      <c r="J124" s="15">
        <v>329</v>
      </c>
      <c r="K124" s="15">
        <v>304</v>
      </c>
      <c r="L124" s="15">
        <v>367</v>
      </c>
      <c r="M124" s="15">
        <v>355</v>
      </c>
      <c r="N124" s="15">
        <v>422</v>
      </c>
      <c r="O124" s="15">
        <v>404</v>
      </c>
      <c r="P124" s="15">
        <v>402</v>
      </c>
      <c r="Q124" s="15">
        <v>761</v>
      </c>
      <c r="R124" s="15">
        <v>476</v>
      </c>
      <c r="S124" s="15">
        <v>414</v>
      </c>
      <c r="T124" s="15">
        <v>427</v>
      </c>
      <c r="U124" s="15">
        <v>477</v>
      </c>
      <c r="V124" s="15">
        <v>564</v>
      </c>
      <c r="AA124" s="13">
        <f t="shared" si="55"/>
        <v>386</v>
      </c>
      <c r="AB124" s="13">
        <f t="shared" si="55"/>
        <v>1033</v>
      </c>
      <c r="AC124" s="13">
        <f t="shared" si="74"/>
        <v>1448</v>
      </c>
      <c r="AD124" s="13">
        <f t="shared" si="60"/>
        <v>2043</v>
      </c>
      <c r="AE124" s="13">
        <f t="shared" ref="AE124:AE126" si="75">SUMIF($C$1:$V$1,AE$1,$C124:$V124)</f>
        <v>1882</v>
      </c>
    </row>
    <row r="125" spans="2:31" x14ac:dyDescent="0.25">
      <c r="B125" s="17" t="s">
        <v>53</v>
      </c>
      <c r="C125" s="15">
        <v>35</v>
      </c>
      <c r="D125" s="15">
        <v>61</v>
      </c>
      <c r="E125" s="15">
        <v>94</v>
      </c>
      <c r="F125" s="15">
        <v>139</v>
      </c>
      <c r="G125" s="15">
        <v>192</v>
      </c>
      <c r="H125" s="15">
        <v>214</v>
      </c>
      <c r="I125" s="15">
        <v>222</v>
      </c>
      <c r="J125" s="15">
        <v>278</v>
      </c>
      <c r="K125" s="15">
        <v>352</v>
      </c>
      <c r="L125" s="15">
        <v>361</v>
      </c>
      <c r="M125" s="15">
        <v>420</v>
      </c>
      <c r="N125" s="15">
        <v>522</v>
      </c>
      <c r="O125" s="15">
        <v>593</v>
      </c>
      <c r="P125" s="15">
        <v>581</v>
      </c>
      <c r="Q125" s="15">
        <v>677</v>
      </c>
      <c r="R125" s="15">
        <v>773</v>
      </c>
      <c r="S125" s="15">
        <v>763</v>
      </c>
      <c r="T125" s="15">
        <v>759</v>
      </c>
      <c r="U125" s="15">
        <v>843</v>
      </c>
      <c r="V125" s="15">
        <v>1013</v>
      </c>
      <c r="AA125" s="13">
        <f t="shared" si="55"/>
        <v>329</v>
      </c>
      <c r="AB125" s="13">
        <f t="shared" si="55"/>
        <v>906</v>
      </c>
      <c r="AC125" s="13">
        <f t="shared" si="74"/>
        <v>1655</v>
      </c>
      <c r="AD125" s="13">
        <f t="shared" si="60"/>
        <v>2624</v>
      </c>
      <c r="AE125" s="13">
        <f t="shared" si="75"/>
        <v>3378</v>
      </c>
    </row>
    <row r="126" spans="2:31" x14ac:dyDescent="0.25">
      <c r="B126" s="17" t="s">
        <v>54</v>
      </c>
      <c r="C126" s="15">
        <v>1</v>
      </c>
      <c r="D126" s="15">
        <v>5</v>
      </c>
      <c r="E126" s="15">
        <v>27</v>
      </c>
      <c r="F126" s="15">
        <v>30</v>
      </c>
      <c r="G126" s="15">
        <v>38</v>
      </c>
      <c r="H126" s="15">
        <v>23</v>
      </c>
      <c r="I126" s="15">
        <v>29</v>
      </c>
      <c r="J126" s="15">
        <v>53</v>
      </c>
      <c r="K126" s="15">
        <v>29</v>
      </c>
      <c r="L126" s="15">
        <v>92</v>
      </c>
      <c r="M126" s="15">
        <v>55</v>
      </c>
      <c r="N126" s="15">
        <v>89</v>
      </c>
      <c r="O126" s="15">
        <v>56</v>
      </c>
      <c r="P126" s="15">
        <v>63</v>
      </c>
      <c r="Q126" s="15">
        <v>75</v>
      </c>
      <c r="R126" s="15">
        <v>72</v>
      </c>
      <c r="S126" s="15">
        <v>49</v>
      </c>
      <c r="T126" s="15">
        <v>46</v>
      </c>
      <c r="U126" s="15">
        <v>43</v>
      </c>
      <c r="V126" s="15">
        <v>51</v>
      </c>
      <c r="AA126" s="13">
        <f t="shared" si="55"/>
        <v>63</v>
      </c>
      <c r="AB126" s="13">
        <f t="shared" si="55"/>
        <v>143</v>
      </c>
      <c r="AC126" s="13">
        <f t="shared" si="74"/>
        <v>265</v>
      </c>
      <c r="AD126" s="13">
        <f t="shared" si="60"/>
        <v>266</v>
      </c>
      <c r="AE126" s="13">
        <f t="shared" si="75"/>
        <v>189</v>
      </c>
    </row>
    <row r="127" spans="2:31" x14ac:dyDescent="0.25">
      <c r="B127" s="1" t="s">
        <v>55</v>
      </c>
      <c r="C127" s="15">
        <v>3</v>
      </c>
      <c r="D127" s="15">
        <v>4</v>
      </c>
      <c r="E127" s="15">
        <v>6</v>
      </c>
      <c r="F127" s="15">
        <v>9</v>
      </c>
      <c r="G127" s="15">
        <v>13</v>
      </c>
      <c r="H127" s="15">
        <v>13</v>
      </c>
      <c r="I127" s="15">
        <v>16</v>
      </c>
      <c r="J127" s="15">
        <v>21</v>
      </c>
      <c r="K127" s="15">
        <v>22</v>
      </c>
      <c r="L127" s="15">
        <v>24</v>
      </c>
      <c r="M127" s="15">
        <v>28</v>
      </c>
      <c r="N127" s="15">
        <v>31</v>
      </c>
      <c r="O127" s="15">
        <v>34</v>
      </c>
      <c r="P127" s="15">
        <v>33</v>
      </c>
      <c r="Q127" s="15">
        <v>36</v>
      </c>
      <c r="R127" s="15">
        <v>36</v>
      </c>
      <c r="S127" s="15">
        <v>41</v>
      </c>
      <c r="T127" s="15">
        <v>41</v>
      </c>
      <c r="U127" s="15">
        <v>41</v>
      </c>
      <c r="V127" s="15">
        <v>44</v>
      </c>
      <c r="AA127" s="13">
        <f>SUMIFS($C127:$M127,$C$1:$M$1,AA$1,$C$2:$M$2,4)</f>
        <v>9</v>
      </c>
      <c r="AB127" s="13">
        <f t="shared" ref="AB127" si="76">SUMIFS($C127:$M127,$C$1:$M$1,AB$1,$C$2:$M$2,4)</f>
        <v>21</v>
      </c>
      <c r="AC127" s="13">
        <f>SUMIFS($C127:$N127,$C$1:$N$1,AC$1,$C$2:$N$2,4)</f>
        <v>31</v>
      </c>
      <c r="AD127" s="13">
        <v>36</v>
      </c>
      <c r="AE127" s="13">
        <f>V127</f>
        <v>44</v>
      </c>
    </row>
    <row r="128" spans="2:31" x14ac:dyDescent="0.25"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AA128" s="13"/>
      <c r="AB128" s="13"/>
      <c r="AC128" s="13"/>
    </row>
    <row r="129" spans="1:31" s="6" customFormat="1" x14ac:dyDescent="0.25">
      <c r="A129" s="3" t="s">
        <v>14</v>
      </c>
      <c r="B129" s="4" t="s">
        <v>56</v>
      </c>
      <c r="C129" s="25">
        <f t="shared" ref="C129:U129" si="77">C133+C138+C142+C140+C141</f>
        <v>6887</v>
      </c>
      <c r="D129" s="25">
        <f t="shared" si="77"/>
        <v>7744</v>
      </c>
      <c r="E129" s="25">
        <f t="shared" si="77"/>
        <v>9523</v>
      </c>
      <c r="F129" s="25">
        <f t="shared" si="77"/>
        <v>9187</v>
      </c>
      <c r="G129" s="25">
        <f t="shared" si="77"/>
        <v>9716</v>
      </c>
      <c r="H129" s="25">
        <f t="shared" si="77"/>
        <v>8417</v>
      </c>
      <c r="I129" s="25">
        <f t="shared" si="77"/>
        <v>8686</v>
      </c>
      <c r="J129" s="25">
        <f t="shared" si="77"/>
        <v>9971</v>
      </c>
      <c r="K129" s="25">
        <f t="shared" si="77"/>
        <v>8651</v>
      </c>
      <c r="L129" s="25">
        <f t="shared" si="77"/>
        <v>8685</v>
      </c>
      <c r="M129" s="25">
        <f t="shared" si="77"/>
        <v>8585</v>
      </c>
      <c r="N129" s="25">
        <f t="shared" si="77"/>
        <v>10568</v>
      </c>
      <c r="O129" s="25">
        <f>O133+O138+O142+O140+O141+1</f>
        <v>7750</v>
      </c>
      <c r="P129" s="25">
        <f t="shared" si="77"/>
        <v>6858</v>
      </c>
      <c r="Q129" s="25">
        <f t="shared" si="77"/>
        <v>9342</v>
      </c>
      <c r="R129" s="25">
        <f>R133+R138+R142+R140+R141+1</f>
        <v>9497</v>
      </c>
      <c r="S129" s="25">
        <f>S133+S138+S142+S140+S141-1</f>
        <v>7932</v>
      </c>
      <c r="T129" s="25">
        <f>T133+T138+T142+T140+T141-1</f>
        <v>7489</v>
      </c>
      <c r="U129" s="25">
        <f t="shared" si="77"/>
        <v>8506</v>
      </c>
      <c r="V129" s="25">
        <f>V133+V138+V142+V140+V141+1</f>
        <v>10666</v>
      </c>
      <c r="W129" s="25">
        <f>W133+W138+W142+W140+W141-1</f>
        <v>11609</v>
      </c>
      <c r="X129" s="25">
        <f>X133+X138+X142+X140+X141-2</f>
        <v>9398</v>
      </c>
      <c r="AA129" s="5">
        <f t="shared" si="55"/>
        <v>33341</v>
      </c>
      <c r="AB129" s="5">
        <f t="shared" si="55"/>
        <v>36790</v>
      </c>
      <c r="AC129" s="5">
        <f t="shared" ref="AC129:AC193" si="78">SUMIF($C$1:$N$1,AC$1,$C129:$N129)</f>
        <v>36489</v>
      </c>
      <c r="AD129" s="5">
        <f>SUMIF($C$1:$R$1,AD$1,$C129:$R129)+1</f>
        <v>33448</v>
      </c>
      <c r="AE129" s="13">
        <f>SUMIF($C$1:$V$1,AE$1,$C129:$V129)</f>
        <v>34593</v>
      </c>
    </row>
    <row r="130" spans="1:31" x14ac:dyDescent="0.25">
      <c r="B130" s="17" t="s">
        <v>57</v>
      </c>
      <c r="C130" s="15">
        <v>3742</v>
      </c>
      <c r="D130" s="15">
        <v>3838</v>
      </c>
      <c r="E130" s="15">
        <v>5220</v>
      </c>
      <c r="F130" s="15">
        <v>4599</v>
      </c>
      <c r="G130" s="15">
        <v>5221</v>
      </c>
      <c r="H130" s="15">
        <v>3405</v>
      </c>
      <c r="I130" s="15">
        <v>3919</v>
      </c>
      <c r="J130" s="15">
        <v>5104</v>
      </c>
      <c r="K130" s="15">
        <v>3989</v>
      </c>
      <c r="L130" s="15">
        <v>3634</v>
      </c>
      <c r="M130" s="15">
        <v>3944</v>
      </c>
      <c r="N130" s="15">
        <v>5353</v>
      </c>
      <c r="O130" s="15">
        <v>3315</v>
      </c>
      <c r="P130" s="15">
        <v>2674</v>
      </c>
      <c r="Q130" s="15">
        <v>4810</v>
      </c>
      <c r="R130" s="15">
        <v>4580</v>
      </c>
      <c r="S130" s="15">
        <v>3283</v>
      </c>
      <c r="T130" s="15">
        <v>2759</v>
      </c>
      <c r="U130" s="15">
        <v>3359</v>
      </c>
      <c r="V130" s="15">
        <v>5280</v>
      </c>
      <c r="W130" s="16">
        <v>6304</v>
      </c>
      <c r="X130" s="16">
        <v>3699</v>
      </c>
      <c r="AA130" s="13">
        <f t="shared" si="55"/>
        <v>17399</v>
      </c>
      <c r="AB130" s="13">
        <f t="shared" si="55"/>
        <v>17649</v>
      </c>
      <c r="AC130" s="13">
        <f t="shared" si="78"/>
        <v>16920</v>
      </c>
      <c r="AD130" s="13">
        <f>SUMIF($C$1:$R$1,AD$1,$C130:$R130)-1</f>
        <v>15378</v>
      </c>
      <c r="AE130" s="13">
        <f>SUMIF($C$1:$V$1,AE$1,$C130:$V130)+1</f>
        <v>14682</v>
      </c>
    </row>
    <row r="131" spans="1:31" x14ac:dyDescent="0.25">
      <c r="B131" s="17" t="s">
        <v>58</v>
      </c>
      <c r="C131" s="15">
        <v>222</v>
      </c>
      <c r="D131" s="15">
        <v>238</v>
      </c>
      <c r="E131" s="15">
        <v>382</v>
      </c>
      <c r="F131" s="15">
        <v>422</v>
      </c>
      <c r="G131" s="15">
        <v>426</v>
      </c>
      <c r="H131" s="15">
        <v>291</v>
      </c>
      <c r="I131" s="15">
        <v>365</v>
      </c>
      <c r="J131" s="15">
        <v>439</v>
      </c>
      <c r="K131" s="15">
        <v>305</v>
      </c>
      <c r="L131" s="15">
        <v>341</v>
      </c>
      <c r="M131" s="15">
        <v>329</v>
      </c>
      <c r="N131" s="15">
        <v>414</v>
      </c>
      <c r="O131" s="15">
        <v>297</v>
      </c>
      <c r="P131" s="15">
        <v>263</v>
      </c>
      <c r="Q131" s="15">
        <v>441</v>
      </c>
      <c r="R131" s="15">
        <v>376</v>
      </c>
      <c r="S131" s="15">
        <v>306</v>
      </c>
      <c r="T131" s="15">
        <v>285</v>
      </c>
      <c r="U131" s="15">
        <v>287</v>
      </c>
      <c r="V131" s="15">
        <v>484</v>
      </c>
      <c r="W131" s="16">
        <v>404</v>
      </c>
      <c r="X131" s="16">
        <v>289</v>
      </c>
      <c r="AA131" s="13">
        <f t="shared" si="55"/>
        <v>1264</v>
      </c>
      <c r="AB131" s="13">
        <f t="shared" si="55"/>
        <v>1521</v>
      </c>
      <c r="AC131" s="13">
        <f t="shared" si="78"/>
        <v>1389</v>
      </c>
      <c r="AD131" s="13">
        <f t="shared" si="60"/>
        <v>1377</v>
      </c>
      <c r="AE131" s="13">
        <f>SUMIF($C$1:$V$1,AE$1,$C131:$V131)</f>
        <v>1362</v>
      </c>
    </row>
    <row r="132" spans="1:31" x14ac:dyDescent="0.25">
      <c r="B132" s="17" t="s">
        <v>24</v>
      </c>
      <c r="C132" s="15">
        <v>819</v>
      </c>
      <c r="D132" s="15">
        <v>854</v>
      </c>
      <c r="E132" s="15">
        <v>917</v>
      </c>
      <c r="F132" s="15">
        <v>1022</v>
      </c>
      <c r="G132" s="15">
        <v>929</v>
      </c>
      <c r="H132" s="15">
        <v>972</v>
      </c>
      <c r="I132" s="15">
        <v>1042</v>
      </c>
      <c r="J132" s="15">
        <v>1008</v>
      </c>
      <c r="K132" s="15">
        <v>978</v>
      </c>
      <c r="L132" s="15">
        <v>976</v>
      </c>
      <c r="M132" s="15">
        <v>1034</v>
      </c>
      <c r="N132" s="15">
        <v>1103</v>
      </c>
      <c r="O132" s="15">
        <v>814</v>
      </c>
      <c r="P132" s="15">
        <v>794</v>
      </c>
      <c r="Q132" s="15">
        <v>890</v>
      </c>
      <c r="R132" s="15">
        <v>894</v>
      </c>
      <c r="S132" s="15">
        <v>830</v>
      </c>
      <c r="T132" s="15">
        <v>816</v>
      </c>
      <c r="U132" s="15">
        <v>851</v>
      </c>
      <c r="V132" s="15">
        <v>932</v>
      </c>
      <c r="W132" s="16">
        <v>997</v>
      </c>
      <c r="X132" s="16">
        <v>994</v>
      </c>
      <c r="AA132" s="13">
        <f t="shared" si="55"/>
        <v>3612</v>
      </c>
      <c r="AB132" s="13">
        <f t="shared" si="55"/>
        <v>3951</v>
      </c>
      <c r="AC132" s="13">
        <f t="shared" si="78"/>
        <v>4091</v>
      </c>
      <c r="AD132" s="13">
        <f t="shared" si="60"/>
        <v>3392</v>
      </c>
      <c r="AE132" s="13">
        <f>SUMIF($C$1:$V$1,AE$1,$C132:$V132)</f>
        <v>3429</v>
      </c>
    </row>
    <row r="133" spans="1:31" s="3" customFormat="1" x14ac:dyDescent="0.25">
      <c r="B133" s="3" t="s">
        <v>40</v>
      </c>
      <c r="C133" s="26">
        <f>SUM(C130:C132)</f>
        <v>4783</v>
      </c>
      <c r="D133" s="26">
        <f t="shared" ref="D133:L133" si="79">SUM(D130:D132)</f>
        <v>4930</v>
      </c>
      <c r="E133" s="26">
        <f>SUM(E130:E132)</f>
        <v>6519</v>
      </c>
      <c r="F133" s="26">
        <f>SUM(F130:F132)</f>
        <v>6043</v>
      </c>
      <c r="G133" s="26">
        <f>SUM(G130:G132)</f>
        <v>6576</v>
      </c>
      <c r="H133" s="26">
        <f>SUM(H130:H132)</f>
        <v>4668</v>
      </c>
      <c r="I133" s="26">
        <f t="shared" si="79"/>
        <v>5326</v>
      </c>
      <c r="J133" s="26">
        <f>SUM(J130:J132)</f>
        <v>6551</v>
      </c>
      <c r="K133" s="26">
        <f t="shared" si="79"/>
        <v>5272</v>
      </c>
      <c r="L133" s="26">
        <f t="shared" si="79"/>
        <v>4951</v>
      </c>
      <c r="M133" s="26">
        <f>SUM(M130:M132)-1</f>
        <v>5306</v>
      </c>
      <c r="N133" s="26">
        <f>SUM(N130:N132)-1</f>
        <v>6869</v>
      </c>
      <c r="O133" s="26">
        <f t="shared" ref="O133:V133" si="80">SUM(O130:O132)</f>
        <v>4426</v>
      </c>
      <c r="P133" s="26">
        <f t="shared" si="80"/>
        <v>3731</v>
      </c>
      <c r="Q133" s="26">
        <f t="shared" si="80"/>
        <v>6141</v>
      </c>
      <c r="R133" s="26">
        <f>SUM(R130:R132)-1</f>
        <v>5849</v>
      </c>
      <c r="S133" s="26">
        <f>SUM(S130:S132)+1</f>
        <v>4420</v>
      </c>
      <c r="T133" s="26">
        <f t="shared" si="80"/>
        <v>3860</v>
      </c>
      <c r="U133" s="26">
        <f t="shared" si="80"/>
        <v>4497</v>
      </c>
      <c r="V133" s="26">
        <f t="shared" si="80"/>
        <v>6696</v>
      </c>
      <c r="W133" s="26">
        <f>SUM(W130:W132)+1</f>
        <v>7706</v>
      </c>
      <c r="X133" s="26">
        <f>SUM(X130:X132)+1</f>
        <v>4983</v>
      </c>
      <c r="AA133" s="27">
        <f t="shared" si="55"/>
        <v>22275</v>
      </c>
      <c r="AB133" s="27">
        <f t="shared" si="55"/>
        <v>23121</v>
      </c>
      <c r="AC133" s="27">
        <f t="shared" si="78"/>
        <v>22398</v>
      </c>
      <c r="AD133" s="27">
        <f t="shared" si="60"/>
        <v>20147</v>
      </c>
      <c r="AE133" s="13">
        <f>SUMIF($C$1:$V$1,AE$1,$C133:$V133)</f>
        <v>19473</v>
      </c>
    </row>
    <row r="134" spans="1:31" x14ac:dyDescent="0.25"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AA134" s="13"/>
      <c r="AB134" s="13"/>
      <c r="AC134" s="13"/>
    </row>
    <row r="135" spans="1:31" x14ac:dyDescent="0.25">
      <c r="B135" s="17" t="s">
        <v>57</v>
      </c>
      <c r="C135" s="15">
        <v>1746</v>
      </c>
      <c r="D135" s="15">
        <v>1782</v>
      </c>
      <c r="E135" s="15">
        <v>1868</v>
      </c>
      <c r="F135" s="15">
        <v>2047</v>
      </c>
      <c r="G135" s="15">
        <v>2122</v>
      </c>
      <c r="H135" s="15">
        <v>2392</v>
      </c>
      <c r="I135" s="15">
        <v>2149</v>
      </c>
      <c r="J135" s="15">
        <v>2115</v>
      </c>
      <c r="K135" s="15">
        <v>2101</v>
      </c>
      <c r="L135" s="15">
        <v>2196</v>
      </c>
      <c r="M135" s="15">
        <v>1569</v>
      </c>
      <c r="N135" s="15">
        <v>2092</v>
      </c>
      <c r="O135" s="15">
        <v>1861</v>
      </c>
      <c r="P135" s="15">
        <v>1502</v>
      </c>
      <c r="Q135" s="15">
        <v>1820</v>
      </c>
      <c r="R135" s="15">
        <v>2084</v>
      </c>
      <c r="S135" s="15">
        <v>1901</v>
      </c>
      <c r="T135" s="15">
        <v>1664</v>
      </c>
      <c r="U135" s="15">
        <v>1962</v>
      </c>
      <c r="V135" s="15">
        <v>1924</v>
      </c>
      <c r="W135" s="16">
        <v>2236</v>
      </c>
      <c r="X135" s="16">
        <v>2047</v>
      </c>
      <c r="AA135" s="13">
        <f t="shared" si="55"/>
        <v>7443</v>
      </c>
      <c r="AB135" s="13">
        <f t="shared" si="55"/>
        <v>8778</v>
      </c>
      <c r="AC135" s="13">
        <f t="shared" si="78"/>
        <v>7958</v>
      </c>
      <c r="AD135" s="13">
        <f t="shared" si="60"/>
        <v>7267</v>
      </c>
      <c r="AE135" s="13">
        <f>SUMIF($C$1:$V$1,AE$1,$C135:$V135)-1</f>
        <v>7450</v>
      </c>
    </row>
    <row r="136" spans="1:31" x14ac:dyDescent="0.25">
      <c r="B136" s="17" t="s">
        <v>58</v>
      </c>
      <c r="C136" s="15">
        <v>124</v>
      </c>
      <c r="D136" s="15">
        <v>296</v>
      </c>
      <c r="E136" s="15">
        <v>339</v>
      </c>
      <c r="F136" s="15">
        <v>320</v>
      </c>
      <c r="G136" s="15">
        <v>327</v>
      </c>
      <c r="H136" s="15">
        <v>531</v>
      </c>
      <c r="I136" s="15">
        <v>388</v>
      </c>
      <c r="J136" s="15">
        <v>452</v>
      </c>
      <c r="K136" s="15">
        <v>397</v>
      </c>
      <c r="L136" s="15">
        <v>443</v>
      </c>
      <c r="M136" s="15">
        <v>314</v>
      </c>
      <c r="N136" s="15">
        <v>425</v>
      </c>
      <c r="O136" s="15">
        <v>431</v>
      </c>
      <c r="P136" s="15">
        <v>394</v>
      </c>
      <c r="Q136" s="15">
        <v>301</v>
      </c>
      <c r="R136" s="15">
        <v>357</v>
      </c>
      <c r="S136" s="15">
        <v>392</v>
      </c>
      <c r="T136" s="15">
        <v>452</v>
      </c>
      <c r="U136" s="15">
        <v>436</v>
      </c>
      <c r="V136" s="15">
        <v>493</v>
      </c>
      <c r="W136" s="16">
        <v>373</v>
      </c>
      <c r="X136" s="16">
        <v>545</v>
      </c>
      <c r="AA136" s="13">
        <f t="shared" si="55"/>
        <v>1079</v>
      </c>
      <c r="AB136" s="13">
        <f t="shared" si="55"/>
        <v>1698</v>
      </c>
      <c r="AC136" s="13">
        <f t="shared" si="78"/>
        <v>1579</v>
      </c>
      <c r="AD136" s="13">
        <f t="shared" si="60"/>
        <v>1483</v>
      </c>
      <c r="AE136" s="13">
        <f t="shared" ref="AE136:AE138" si="81">SUMIF($C$1:$V$1,AE$1,$C136:$V136)</f>
        <v>1773</v>
      </c>
    </row>
    <row r="137" spans="1:31" x14ac:dyDescent="0.25">
      <c r="B137" s="17" t="s">
        <v>24</v>
      </c>
      <c r="C137" s="15">
        <v>162</v>
      </c>
      <c r="D137" s="15">
        <v>172</v>
      </c>
      <c r="E137" s="15">
        <v>148</v>
      </c>
      <c r="F137" s="15">
        <v>195</v>
      </c>
      <c r="G137" s="15">
        <v>213</v>
      </c>
      <c r="H137" s="15">
        <v>196</v>
      </c>
      <c r="I137" s="15">
        <v>207</v>
      </c>
      <c r="J137" s="15">
        <v>203</v>
      </c>
      <c r="K137" s="15">
        <v>180</v>
      </c>
      <c r="L137" s="15">
        <v>194</v>
      </c>
      <c r="M137" s="15">
        <v>205</v>
      </c>
      <c r="N137" s="15">
        <v>239</v>
      </c>
      <c r="O137" s="15">
        <v>230</v>
      </c>
      <c r="P137" s="15">
        <v>256</v>
      </c>
      <c r="Q137" s="15">
        <v>263</v>
      </c>
      <c r="R137" s="15">
        <v>285</v>
      </c>
      <c r="S137" s="15">
        <v>259</v>
      </c>
      <c r="T137" s="15">
        <v>256</v>
      </c>
      <c r="U137" s="15">
        <v>264</v>
      </c>
      <c r="V137" s="15">
        <v>283</v>
      </c>
      <c r="W137" s="16">
        <v>262</v>
      </c>
      <c r="X137" s="16">
        <v>247</v>
      </c>
      <c r="AA137" s="13">
        <f t="shared" si="55"/>
        <v>677</v>
      </c>
      <c r="AB137" s="13">
        <f t="shared" si="55"/>
        <v>819</v>
      </c>
      <c r="AC137" s="13">
        <f t="shared" si="78"/>
        <v>818</v>
      </c>
      <c r="AD137" s="13">
        <f t="shared" si="60"/>
        <v>1034</v>
      </c>
      <c r="AE137" s="13">
        <f t="shared" si="81"/>
        <v>1062</v>
      </c>
    </row>
    <row r="138" spans="1:31" s="3" customFormat="1" x14ac:dyDescent="0.25">
      <c r="B138" s="3" t="s">
        <v>44</v>
      </c>
      <c r="C138" s="26">
        <f>SUM(C135:C137)</f>
        <v>2032</v>
      </c>
      <c r="D138" s="26">
        <f t="shared" ref="D138:L138" si="82">SUM(D135:D137)</f>
        <v>2250</v>
      </c>
      <c r="E138" s="26">
        <f t="shared" si="82"/>
        <v>2355</v>
      </c>
      <c r="F138" s="26">
        <f t="shared" si="82"/>
        <v>2562</v>
      </c>
      <c r="G138" s="26">
        <f t="shared" si="82"/>
        <v>2662</v>
      </c>
      <c r="H138" s="26">
        <f>SUM(H135:H137)</f>
        <v>3119</v>
      </c>
      <c r="I138" s="26">
        <f t="shared" si="82"/>
        <v>2744</v>
      </c>
      <c r="J138" s="26">
        <f t="shared" si="82"/>
        <v>2770</v>
      </c>
      <c r="K138" s="26">
        <f t="shared" si="82"/>
        <v>2678</v>
      </c>
      <c r="L138" s="26">
        <f t="shared" si="82"/>
        <v>2833</v>
      </c>
      <c r="M138" s="26">
        <f>SUM(M135:M137)+1</f>
        <v>2089</v>
      </c>
      <c r="N138" s="26">
        <f>SUM(N135:N137)</f>
        <v>2756</v>
      </c>
      <c r="O138" s="26">
        <f>SUM(O135:O137)</f>
        <v>2522</v>
      </c>
      <c r="P138" s="26">
        <f>SUM(P135:P137)-1</f>
        <v>2151</v>
      </c>
      <c r="Q138" s="26">
        <f>SUM(Q135:Q137)</f>
        <v>2384</v>
      </c>
      <c r="R138" s="26">
        <f>SUM(R135:R137)</f>
        <v>2726</v>
      </c>
      <c r="S138" s="26">
        <f>SUM(S135:S137)</f>
        <v>2552</v>
      </c>
      <c r="T138" s="26">
        <f>SUM(T135:T137)</f>
        <v>2372</v>
      </c>
      <c r="U138" s="26">
        <f>SUM(U135:U137)-1</f>
        <v>2661</v>
      </c>
      <c r="V138" s="26">
        <f>SUM(V135:V137)</f>
        <v>2700</v>
      </c>
      <c r="W138" s="26">
        <f>SUM(W135:W137)</f>
        <v>2871</v>
      </c>
      <c r="X138" s="26">
        <f>SUM(X135:X137)</f>
        <v>2839</v>
      </c>
      <c r="AA138" s="27">
        <f t="shared" si="55"/>
        <v>9199</v>
      </c>
      <c r="AB138" s="27">
        <f t="shared" si="55"/>
        <v>11295</v>
      </c>
      <c r="AC138" s="27">
        <f t="shared" si="78"/>
        <v>10356</v>
      </c>
      <c r="AD138" s="13">
        <f>SUMIF($C$1:$R$1,AD$1,$C138:$R138)+1</f>
        <v>9784</v>
      </c>
      <c r="AE138" s="13">
        <f t="shared" si="81"/>
        <v>10285</v>
      </c>
    </row>
    <row r="139" spans="1:31" x14ac:dyDescent="0.25"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AA139" s="13"/>
      <c r="AB139" s="13"/>
      <c r="AC139" s="13"/>
    </row>
    <row r="140" spans="1:31" x14ac:dyDescent="0.25">
      <c r="B140" s="1" t="s">
        <v>59</v>
      </c>
      <c r="C140" s="15">
        <v>680</v>
      </c>
      <c r="D140" s="15">
        <v>874</v>
      </c>
      <c r="E140" s="15">
        <v>1015</v>
      </c>
      <c r="F140" s="15">
        <v>1213</v>
      </c>
      <c r="G140" s="15">
        <v>1109</v>
      </c>
      <c r="H140" s="15">
        <v>1173</v>
      </c>
      <c r="I140" s="15">
        <v>1244</v>
      </c>
      <c r="J140" s="15">
        <v>1332</v>
      </c>
      <c r="K140" s="15">
        <v>1291</v>
      </c>
      <c r="L140" s="15">
        <v>1376</v>
      </c>
      <c r="M140" s="15">
        <v>1435</v>
      </c>
      <c r="N140" s="15">
        <v>1499</v>
      </c>
      <c r="O140" s="15">
        <v>1360</v>
      </c>
      <c r="P140" s="15">
        <v>1356</v>
      </c>
      <c r="Q140" s="15">
        <v>1457</v>
      </c>
      <c r="R140" s="15">
        <v>1550</v>
      </c>
      <c r="S140" s="15">
        <v>1463</v>
      </c>
      <c r="T140" s="15">
        <v>1708</v>
      </c>
      <c r="U140" s="15">
        <v>1777</v>
      </c>
      <c r="V140" s="15">
        <v>1874</v>
      </c>
      <c r="W140" s="15">
        <v>1780</v>
      </c>
      <c r="X140" s="15">
        <v>1805</v>
      </c>
      <c r="AA140" s="13">
        <f t="shared" si="55"/>
        <v>3782</v>
      </c>
      <c r="AB140" s="13">
        <f t="shared" si="55"/>
        <v>4858</v>
      </c>
      <c r="AC140" s="13">
        <f t="shared" si="78"/>
        <v>5601</v>
      </c>
      <c r="AD140" s="13">
        <f>SUMIF($C$1:$R$1,AD$1,$C140:$R140)-1</f>
        <v>5722</v>
      </c>
      <c r="AE140" s="13">
        <f>SUMIF($C$1:$V$1,AE$1,$C140:$V140)-1</f>
        <v>6821</v>
      </c>
    </row>
    <row r="141" spans="1:31" x14ac:dyDescent="0.25">
      <c r="B141" s="1" t="s">
        <v>48</v>
      </c>
      <c r="C141" s="15">
        <v>225</v>
      </c>
      <c r="D141" s="15">
        <v>208</v>
      </c>
      <c r="E141" s="15">
        <v>276</v>
      </c>
      <c r="F141" s="15">
        <v>219</v>
      </c>
      <c r="G141" s="15">
        <v>208</v>
      </c>
      <c r="H141" s="15">
        <v>145</v>
      </c>
      <c r="I141" s="15">
        <v>221</v>
      </c>
      <c r="J141" s="15">
        <v>382</v>
      </c>
      <c r="K141" s="15">
        <v>251</v>
      </c>
      <c r="L141" s="15">
        <v>212</v>
      </c>
      <c r="M141" s="15">
        <v>191</v>
      </c>
      <c r="N141" s="15">
        <v>356</v>
      </c>
      <c r="O141" s="15">
        <v>204</v>
      </c>
      <c r="P141" s="15">
        <v>160</v>
      </c>
      <c r="Q141" s="15">
        <v>155</v>
      </c>
      <c r="R141" s="15">
        <v>148</v>
      </c>
      <c r="S141" s="15">
        <v>206</v>
      </c>
      <c r="T141" s="15">
        <v>210</v>
      </c>
      <c r="U141" s="15">
        <v>219</v>
      </c>
      <c r="V141" s="15">
        <v>257</v>
      </c>
      <c r="W141" s="16">
        <v>223</v>
      </c>
      <c r="X141" s="16">
        <v>233</v>
      </c>
      <c r="AA141" s="13">
        <f t="shared" si="55"/>
        <v>928</v>
      </c>
      <c r="AB141" s="13">
        <f t="shared" si="55"/>
        <v>956</v>
      </c>
      <c r="AC141" s="13">
        <f t="shared" si="78"/>
        <v>1010</v>
      </c>
      <c r="AD141" s="13">
        <f>SUMIF($C$1:$R$1,AD$1,$C141:$R141)+1</f>
        <v>668</v>
      </c>
      <c r="AE141" s="13">
        <f>SUMIF($C$1:$V$1,AE$1,$C141:$V141)-1</f>
        <v>891</v>
      </c>
    </row>
    <row r="142" spans="1:31" x14ac:dyDescent="0.25">
      <c r="B142" s="1" t="s">
        <v>60</v>
      </c>
      <c r="C142" s="15">
        <v>-833</v>
      </c>
      <c r="D142" s="15">
        <v>-518</v>
      </c>
      <c r="E142" s="15">
        <v>-642</v>
      </c>
      <c r="F142" s="15">
        <v>-850</v>
      </c>
      <c r="G142" s="15">
        <v>-839</v>
      </c>
      <c r="H142" s="15">
        <v>-688</v>
      </c>
      <c r="I142" s="15">
        <v>-849</v>
      </c>
      <c r="J142" s="15">
        <v>-1064</v>
      </c>
      <c r="K142" s="15">
        <v>-841</v>
      </c>
      <c r="L142" s="15">
        <v>-687</v>
      </c>
      <c r="M142" s="15">
        <v>-436</v>
      </c>
      <c r="N142" s="15">
        <v>-912</v>
      </c>
      <c r="O142" s="15">
        <v>-763</v>
      </c>
      <c r="P142" s="15">
        <v>-540</v>
      </c>
      <c r="Q142" s="15">
        <v>-795</v>
      </c>
      <c r="R142" s="15">
        <v>-777</v>
      </c>
      <c r="S142" s="15">
        <v>-708</v>
      </c>
      <c r="T142" s="15">
        <v>-660</v>
      </c>
      <c r="U142" s="15">
        <v>-648</v>
      </c>
      <c r="V142" s="15">
        <v>-862</v>
      </c>
      <c r="W142" s="16">
        <v>-970</v>
      </c>
      <c r="X142" s="16">
        <v>-460</v>
      </c>
      <c r="AA142" s="13">
        <f t="shared" si="55"/>
        <v>-2843</v>
      </c>
      <c r="AB142" s="13">
        <f t="shared" si="55"/>
        <v>-3440</v>
      </c>
      <c r="AC142" s="13">
        <f t="shared" si="78"/>
        <v>-2876</v>
      </c>
      <c r="AD142" s="13">
        <f>SUMIF($C$1:$R$1,AD$1,$C142:$R142)+1</f>
        <v>-2874</v>
      </c>
      <c r="AE142" s="13">
        <f t="shared" ref="AE142" si="83">SUMIF($C$1:$V$1,AE$1,$C142:$V142)</f>
        <v>-2878</v>
      </c>
    </row>
    <row r="143" spans="1:31" x14ac:dyDescent="0.25"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AA143" s="13"/>
      <c r="AB143" s="13"/>
      <c r="AC143" s="13"/>
    </row>
    <row r="144" spans="1:31" x14ac:dyDescent="0.25">
      <c r="B144" s="1" t="s">
        <v>38</v>
      </c>
      <c r="C144" s="12">
        <f>SUM(C145:C149)</f>
        <v>1430</v>
      </c>
      <c r="D144" s="12">
        <f t="shared" ref="D144:L144" si="84">SUM(D145:D149)</f>
        <v>1574</v>
      </c>
      <c r="E144" s="12">
        <f t="shared" si="84"/>
        <v>1731</v>
      </c>
      <c r="F144" s="12">
        <f t="shared" si="84"/>
        <v>1501</v>
      </c>
      <c r="G144" s="12">
        <f t="shared" si="84"/>
        <v>1624</v>
      </c>
      <c r="H144" s="12">
        <f t="shared" si="84"/>
        <v>2035</v>
      </c>
      <c r="I144" s="12">
        <f t="shared" si="84"/>
        <v>1791</v>
      </c>
      <c r="J144" s="12">
        <f t="shared" si="84"/>
        <v>912</v>
      </c>
      <c r="K144" s="12">
        <f t="shared" si="84"/>
        <v>1607</v>
      </c>
      <c r="L144" s="12">
        <f t="shared" si="84"/>
        <v>2188</v>
      </c>
      <c r="M144" s="12">
        <f>SUM(M145:M149)-1</f>
        <v>1973</v>
      </c>
      <c r="N144" s="12">
        <f>SUM(N145:N149)</f>
        <v>931</v>
      </c>
      <c r="O144" s="12">
        <f>SUM(O145:O149)</f>
        <v>515</v>
      </c>
      <c r="P144" s="12">
        <f>SUM(P145:P149)+1</f>
        <v>1136</v>
      </c>
      <c r="Q144" s="12">
        <f>SUM(Q145:Q149)+1</f>
        <v>1269</v>
      </c>
      <c r="R144" s="12">
        <f>SUM(R145:R149)</f>
        <v>622</v>
      </c>
      <c r="S144" s="12">
        <f>SUM(S145:S149)+1</f>
        <v>614</v>
      </c>
      <c r="T144" s="12">
        <f>SUM(T145:T149)+1</f>
        <v>1241</v>
      </c>
      <c r="U144" s="12">
        <f>SUM(U145:U149)+1</f>
        <v>1392</v>
      </c>
      <c r="V144" s="12">
        <f>SUM(V145:V149)-1</f>
        <v>275</v>
      </c>
      <c r="W144" s="12">
        <f>SUM(W145:W149)-1</f>
        <v>331</v>
      </c>
      <c r="X144" s="12">
        <f>SUM(X145:X149)-1</f>
        <v>1329</v>
      </c>
      <c r="AA144" s="13">
        <f t="shared" ref="AA144:AB201" si="85">SUMIF($C$1:$M$1,AA$1,$C144:$M144)</f>
        <v>6236</v>
      </c>
      <c r="AB144" s="13">
        <f t="shared" si="85"/>
        <v>6362</v>
      </c>
      <c r="AC144" s="13">
        <f t="shared" si="78"/>
        <v>6699</v>
      </c>
      <c r="AD144" s="13">
        <f t="shared" si="60"/>
        <v>3542</v>
      </c>
      <c r="AE144" s="13">
        <f>SUMIF($C$1:$V$1,AE$1,$C144:$V144)-1</f>
        <v>3521</v>
      </c>
    </row>
    <row r="145" spans="2:31" x14ac:dyDescent="0.25">
      <c r="B145" s="1" t="s">
        <v>61</v>
      </c>
      <c r="C145" s="15">
        <v>1418</v>
      </c>
      <c r="D145" s="15">
        <v>1398</v>
      </c>
      <c r="E145" s="15">
        <v>1371</v>
      </c>
      <c r="F145" s="15">
        <v>946</v>
      </c>
      <c r="G145" s="15">
        <v>1181</v>
      </c>
      <c r="H145" s="15">
        <v>1520</v>
      </c>
      <c r="I145" s="15">
        <v>679</v>
      </c>
      <c r="J145" s="15">
        <v>218</v>
      </c>
      <c r="K145" s="15">
        <v>880</v>
      </c>
      <c r="L145" s="15">
        <v>1244</v>
      </c>
      <c r="M145" s="15">
        <v>723</v>
      </c>
      <c r="N145" s="15">
        <v>108</v>
      </c>
      <c r="O145" s="15">
        <v>-165</v>
      </c>
      <c r="P145" s="15">
        <v>529</v>
      </c>
      <c r="Q145" s="15">
        <v>100</v>
      </c>
      <c r="R145" s="15">
        <v>-587</v>
      </c>
      <c r="S145" s="15">
        <v>107</v>
      </c>
      <c r="T145" s="15">
        <v>683</v>
      </c>
      <c r="U145" s="15">
        <v>247</v>
      </c>
      <c r="V145" s="15">
        <v>-872</v>
      </c>
      <c r="W145" s="16">
        <v>-426</v>
      </c>
      <c r="X145" s="16">
        <v>708</v>
      </c>
      <c r="AA145" s="13">
        <f t="shared" si="85"/>
        <v>5133</v>
      </c>
      <c r="AB145" s="13">
        <f t="shared" si="85"/>
        <v>3598</v>
      </c>
      <c r="AC145" s="13">
        <f t="shared" si="78"/>
        <v>2955</v>
      </c>
      <c r="AD145" s="13">
        <f t="shared" si="60"/>
        <v>-123</v>
      </c>
      <c r="AE145" s="13">
        <f t="shared" ref="AE145:AE149" si="86">SUMIF($C$1:$V$1,AE$1,$C145:$V145)</f>
        <v>165</v>
      </c>
    </row>
    <row r="146" spans="2:31" x14ac:dyDescent="0.25">
      <c r="B146" s="1" t="s">
        <v>62</v>
      </c>
      <c r="C146" s="15">
        <v>492</v>
      </c>
      <c r="D146" s="15">
        <v>156</v>
      </c>
      <c r="E146" s="15">
        <v>186</v>
      </c>
      <c r="F146" s="15">
        <v>45</v>
      </c>
      <c r="G146" s="15">
        <v>245</v>
      </c>
      <c r="H146" s="15">
        <v>-3</v>
      </c>
      <c r="I146" s="15">
        <v>551</v>
      </c>
      <c r="J146" s="15">
        <v>168</v>
      </c>
      <c r="K146" s="15">
        <v>277</v>
      </c>
      <c r="L146" s="15">
        <v>255</v>
      </c>
      <c r="M146" s="15">
        <v>429</v>
      </c>
      <c r="N146" s="15">
        <v>308</v>
      </c>
      <c r="O146" s="15">
        <v>220</v>
      </c>
      <c r="P146" s="15">
        <v>102</v>
      </c>
      <c r="Q146" s="15">
        <v>442</v>
      </c>
      <c r="R146" s="15">
        <v>543</v>
      </c>
      <c r="S146" s="15">
        <v>274</v>
      </c>
      <c r="T146" s="15">
        <v>61</v>
      </c>
      <c r="U146" s="15">
        <v>339</v>
      </c>
      <c r="V146" s="15">
        <v>327</v>
      </c>
      <c r="W146" s="16">
        <v>555</v>
      </c>
      <c r="X146" s="16">
        <v>202</v>
      </c>
      <c r="AA146" s="13">
        <f t="shared" si="85"/>
        <v>879</v>
      </c>
      <c r="AB146" s="13">
        <f t="shared" si="85"/>
        <v>961</v>
      </c>
      <c r="AC146" s="13">
        <f t="shared" si="78"/>
        <v>1269</v>
      </c>
      <c r="AD146" s="13">
        <f>SUMIF($C$1:$R$1,AD$1,$C146:$R146)+1</f>
        <v>1308</v>
      </c>
      <c r="AE146" s="13">
        <f t="shared" si="86"/>
        <v>1001</v>
      </c>
    </row>
    <row r="147" spans="2:31" x14ac:dyDescent="0.25">
      <c r="B147" s="1" t="s">
        <v>59</v>
      </c>
      <c r="C147" s="15">
        <v>-61</v>
      </c>
      <c r="D147" s="15">
        <v>221</v>
      </c>
      <c r="E147" s="15">
        <v>434</v>
      </c>
      <c r="F147" s="15">
        <v>674</v>
      </c>
      <c r="G147" s="15">
        <v>451</v>
      </c>
      <c r="H147" s="15">
        <v>632</v>
      </c>
      <c r="I147" s="15">
        <v>819</v>
      </c>
      <c r="J147" s="15">
        <v>782</v>
      </c>
      <c r="K147" s="15">
        <v>658</v>
      </c>
      <c r="L147" s="15">
        <v>833</v>
      </c>
      <c r="M147" s="15">
        <v>983</v>
      </c>
      <c r="N147" s="15">
        <v>872</v>
      </c>
      <c r="O147" s="15">
        <v>619</v>
      </c>
      <c r="P147" s="15">
        <v>619</v>
      </c>
      <c r="Q147" s="15">
        <v>832</v>
      </c>
      <c r="R147" s="15">
        <v>823</v>
      </c>
      <c r="S147" s="15">
        <v>413</v>
      </c>
      <c r="T147" s="15">
        <v>641</v>
      </c>
      <c r="U147" s="15">
        <v>940</v>
      </c>
      <c r="V147" s="15">
        <v>1019</v>
      </c>
      <c r="W147" s="16">
        <v>551</v>
      </c>
      <c r="X147" s="16">
        <v>609</v>
      </c>
      <c r="AA147" s="13">
        <f t="shared" si="85"/>
        <v>1268</v>
      </c>
      <c r="AB147" s="13">
        <f t="shared" si="85"/>
        <v>2684</v>
      </c>
      <c r="AC147" s="13">
        <f t="shared" si="78"/>
        <v>3346</v>
      </c>
      <c r="AD147" s="13">
        <f>SUMIF($C$1:$R$1,AD$1,$C147:$R147)+1</f>
        <v>2894</v>
      </c>
      <c r="AE147" s="13">
        <f t="shared" si="86"/>
        <v>3013</v>
      </c>
    </row>
    <row r="148" spans="2:31" x14ac:dyDescent="0.25">
      <c r="B148" s="1" t="s">
        <v>48</v>
      </c>
      <c r="C148" s="15">
        <v>-209</v>
      </c>
      <c r="D148" s="15">
        <v>-186</v>
      </c>
      <c r="E148" s="15">
        <v>-248</v>
      </c>
      <c r="F148" s="15">
        <v>-197</v>
      </c>
      <c r="G148" s="15">
        <v>-191</v>
      </c>
      <c r="H148" s="15">
        <v>-137</v>
      </c>
      <c r="I148" s="15">
        <v>-199</v>
      </c>
      <c r="J148" s="15">
        <v>-353</v>
      </c>
      <c r="K148" s="15">
        <v>-232</v>
      </c>
      <c r="L148" s="15">
        <v>-200</v>
      </c>
      <c r="M148" s="15">
        <v>-178</v>
      </c>
      <c r="N148" s="15">
        <v>-337</v>
      </c>
      <c r="O148" s="15">
        <v>-192</v>
      </c>
      <c r="P148" s="15">
        <v>-151</v>
      </c>
      <c r="Q148" s="15">
        <v>-144</v>
      </c>
      <c r="R148" s="15">
        <v>-131</v>
      </c>
      <c r="S148" s="15">
        <v>-195</v>
      </c>
      <c r="T148" s="15">
        <v>-201</v>
      </c>
      <c r="U148" s="15">
        <v>-204</v>
      </c>
      <c r="V148" s="15">
        <v>-245</v>
      </c>
      <c r="W148" s="16">
        <v>-208</v>
      </c>
      <c r="X148" s="16">
        <v>-214</v>
      </c>
      <c r="AA148" s="13">
        <f t="shared" si="85"/>
        <v>-840</v>
      </c>
      <c r="AB148" s="13">
        <f t="shared" si="85"/>
        <v>-880</v>
      </c>
      <c r="AC148" s="13">
        <f t="shared" si="78"/>
        <v>-947</v>
      </c>
      <c r="AD148" s="13">
        <f t="shared" si="60"/>
        <v>-618</v>
      </c>
      <c r="AE148" s="13">
        <f t="shared" si="86"/>
        <v>-845</v>
      </c>
    </row>
    <row r="149" spans="2:31" x14ac:dyDescent="0.25">
      <c r="B149" s="1" t="s">
        <v>60</v>
      </c>
      <c r="C149" s="15">
        <v>-210</v>
      </c>
      <c r="D149" s="15">
        <v>-15</v>
      </c>
      <c r="E149" s="15">
        <v>-12</v>
      </c>
      <c r="F149" s="15">
        <v>33</v>
      </c>
      <c r="G149" s="15">
        <v>-62</v>
      </c>
      <c r="H149" s="15">
        <v>23</v>
      </c>
      <c r="I149" s="15">
        <v>-59</v>
      </c>
      <c r="J149" s="15">
        <v>97</v>
      </c>
      <c r="K149" s="15">
        <v>24</v>
      </c>
      <c r="L149" s="15">
        <v>56</v>
      </c>
      <c r="M149" s="15">
        <v>17</v>
      </c>
      <c r="N149" s="15">
        <v>-20</v>
      </c>
      <c r="O149" s="15">
        <v>33</v>
      </c>
      <c r="P149" s="15">
        <v>36</v>
      </c>
      <c r="Q149" s="15">
        <v>38</v>
      </c>
      <c r="R149" s="15">
        <v>-26</v>
      </c>
      <c r="S149" s="15">
        <v>14</v>
      </c>
      <c r="T149" s="15">
        <v>56</v>
      </c>
      <c r="U149" s="15">
        <v>69</v>
      </c>
      <c r="V149" s="15">
        <v>47</v>
      </c>
      <c r="W149" s="16">
        <v>-140</v>
      </c>
      <c r="X149" s="16">
        <v>25</v>
      </c>
      <c r="AA149" s="13">
        <f t="shared" si="85"/>
        <v>-204</v>
      </c>
      <c r="AB149" s="13">
        <f t="shared" si="85"/>
        <v>-1</v>
      </c>
      <c r="AC149" s="13">
        <f t="shared" si="78"/>
        <v>77</v>
      </c>
      <c r="AD149" s="13">
        <f>SUMIF($C$1:$R$1,AD$1,$C149:$R149)+1</f>
        <v>82</v>
      </c>
      <c r="AE149" s="13">
        <f t="shared" si="86"/>
        <v>186</v>
      </c>
    </row>
    <row r="150" spans="2:31" x14ac:dyDescent="0.25"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AA150" s="13"/>
      <c r="AB150" s="13"/>
      <c r="AC150" s="13"/>
    </row>
    <row r="151" spans="2:31" x14ac:dyDescent="0.25">
      <c r="B151" s="1" t="s">
        <v>63</v>
      </c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AA151" s="13"/>
      <c r="AB151" s="13"/>
      <c r="AC151" s="13"/>
    </row>
    <row r="152" spans="2:31" x14ac:dyDescent="0.25">
      <c r="B152" s="17" t="s">
        <v>64</v>
      </c>
      <c r="C152" s="15">
        <v>230</v>
      </c>
      <c r="D152" s="15">
        <v>295</v>
      </c>
      <c r="E152" s="15">
        <v>475</v>
      </c>
      <c r="F152" s="15">
        <v>596</v>
      </c>
      <c r="G152" s="15">
        <v>588</v>
      </c>
      <c r="H152" s="15">
        <v>606</v>
      </c>
      <c r="I152" s="15">
        <v>767</v>
      </c>
      <c r="J152" s="15">
        <v>1212</v>
      </c>
      <c r="K152" s="15">
        <v>1035</v>
      </c>
      <c r="L152" s="15">
        <v>1052</v>
      </c>
      <c r="M152" s="15">
        <v>969</v>
      </c>
      <c r="N152" s="15">
        <v>1376</v>
      </c>
      <c r="O152" s="15">
        <v>1205</v>
      </c>
      <c r="P152" s="15">
        <v>980</v>
      </c>
      <c r="Q152" s="15">
        <v>1383</v>
      </c>
      <c r="R152" s="15">
        <v>1180</v>
      </c>
      <c r="S152" s="15">
        <v>976</v>
      </c>
      <c r="T152" s="15">
        <v>883</v>
      </c>
      <c r="U152" s="15">
        <v>1115</v>
      </c>
      <c r="V152" s="15">
        <v>1552</v>
      </c>
      <c r="W152" s="16">
        <v>1945</v>
      </c>
      <c r="X152" s="16">
        <v>1184</v>
      </c>
      <c r="AA152" s="13">
        <f t="shared" si="85"/>
        <v>1596</v>
      </c>
      <c r="AB152" s="13">
        <f t="shared" si="85"/>
        <v>3173</v>
      </c>
      <c r="AC152" s="13">
        <f t="shared" si="78"/>
        <v>4432</v>
      </c>
      <c r="AD152" s="13">
        <f t="shared" ref="AD152:AD154" si="87">SUMIF($C$1:$R$1,AD$1,$C152:$R152)</f>
        <v>4748</v>
      </c>
      <c r="AE152" s="13">
        <f>SUMIF($C$1:$V$1,AE$1,$C152:$V152)+1</f>
        <v>4527</v>
      </c>
    </row>
    <row r="153" spans="2:31" x14ac:dyDescent="0.25">
      <c r="B153" s="17" t="s">
        <v>65</v>
      </c>
      <c r="C153" s="15">
        <v>138</v>
      </c>
      <c r="D153" s="15">
        <v>190</v>
      </c>
      <c r="E153" s="15">
        <v>274</v>
      </c>
      <c r="F153" s="15">
        <v>298</v>
      </c>
      <c r="G153" s="15">
        <v>340</v>
      </c>
      <c r="H153" s="15">
        <v>305</v>
      </c>
      <c r="I153" s="15">
        <v>353</v>
      </c>
      <c r="J153" s="15">
        <v>426</v>
      </c>
      <c r="K153" s="15">
        <v>354</v>
      </c>
      <c r="L153" s="15">
        <v>419</v>
      </c>
      <c r="M153" s="15">
        <v>427</v>
      </c>
      <c r="N153" s="15">
        <v>483</v>
      </c>
      <c r="O153" s="15">
        <v>488</v>
      </c>
      <c r="P153" s="15">
        <v>413</v>
      </c>
      <c r="Q153" s="15">
        <v>566</v>
      </c>
      <c r="R153" s="15">
        <v>513</v>
      </c>
      <c r="S153" s="15">
        <v>464</v>
      </c>
      <c r="T153" s="15">
        <v>449</v>
      </c>
      <c r="U153" s="15">
        <v>465</v>
      </c>
      <c r="V153" s="15">
        <v>629</v>
      </c>
      <c r="W153" s="16">
        <v>586</v>
      </c>
      <c r="X153" s="16">
        <v>521</v>
      </c>
      <c r="AA153" s="13">
        <f t="shared" si="85"/>
        <v>900</v>
      </c>
      <c r="AB153" s="13">
        <f t="shared" si="85"/>
        <v>1424</v>
      </c>
      <c r="AC153" s="13">
        <f t="shared" si="78"/>
        <v>1683</v>
      </c>
      <c r="AD153" s="13">
        <f>SUMIF($C$1:$R$1,AD$1,$C153:$R153)+1</f>
        <v>1981</v>
      </c>
      <c r="AE153" s="13">
        <f t="shared" ref="AE153:AE155" si="88">SUMIF($C$1:$V$1,AE$1,$C153:$V153)</f>
        <v>2007</v>
      </c>
    </row>
    <row r="154" spans="2:31" x14ac:dyDescent="0.25">
      <c r="B154" s="1" t="s">
        <v>66</v>
      </c>
      <c r="C154" s="26">
        <f t="shared" ref="C154:L154" si="89">C153+C152</f>
        <v>368</v>
      </c>
      <c r="D154" s="26">
        <f t="shared" si="89"/>
        <v>485</v>
      </c>
      <c r="E154" s="26">
        <f t="shared" si="89"/>
        <v>749</v>
      </c>
      <c r="F154" s="26">
        <f t="shared" si="89"/>
        <v>894</v>
      </c>
      <c r="G154" s="26">
        <f t="shared" si="89"/>
        <v>928</v>
      </c>
      <c r="H154" s="26">
        <f t="shared" si="89"/>
        <v>911</v>
      </c>
      <c r="I154" s="26">
        <f t="shared" si="89"/>
        <v>1120</v>
      </c>
      <c r="J154" s="26">
        <f t="shared" si="89"/>
        <v>1638</v>
      </c>
      <c r="K154" s="26">
        <f t="shared" si="89"/>
        <v>1389</v>
      </c>
      <c r="L154" s="26">
        <f t="shared" si="89"/>
        <v>1471</v>
      </c>
      <c r="M154" s="26">
        <f>M153+M152-1</f>
        <v>1395</v>
      </c>
      <c r="N154" s="26">
        <f t="shared" ref="N154:U154" si="90">N153+N152</f>
        <v>1859</v>
      </c>
      <c r="O154" s="26">
        <f t="shared" si="90"/>
        <v>1693</v>
      </c>
      <c r="P154" s="26">
        <f>P153+P152+1</f>
        <v>1394</v>
      </c>
      <c r="Q154" s="26">
        <f t="shared" si="90"/>
        <v>1949</v>
      </c>
      <c r="R154" s="26">
        <f t="shared" si="90"/>
        <v>1693</v>
      </c>
      <c r="S154" s="26">
        <f t="shared" si="90"/>
        <v>1440</v>
      </c>
      <c r="T154" s="26">
        <f>T153+T152+1</f>
        <v>1333</v>
      </c>
      <c r="U154" s="26">
        <f t="shared" si="90"/>
        <v>1580</v>
      </c>
      <c r="V154" s="26">
        <f>V153+V152-1</f>
        <v>2180</v>
      </c>
      <c r="W154" s="26">
        <f>W153+W152</f>
        <v>2531</v>
      </c>
      <c r="X154" s="26">
        <f>X153+X152+1</f>
        <v>1706</v>
      </c>
      <c r="AA154" s="13">
        <f t="shared" si="85"/>
        <v>2496</v>
      </c>
      <c r="AB154" s="13">
        <f t="shared" si="85"/>
        <v>4597</v>
      </c>
      <c r="AC154" s="13">
        <f t="shared" si="78"/>
        <v>6114</v>
      </c>
      <c r="AD154" s="13">
        <f t="shared" si="87"/>
        <v>6729</v>
      </c>
      <c r="AE154" s="13">
        <f>SUMIF($C$1:$V$1,AE$1,$C154:$V154)+1</f>
        <v>6534</v>
      </c>
    </row>
    <row r="155" spans="2:31" x14ac:dyDescent="0.25">
      <c r="B155" s="1" t="s">
        <v>67</v>
      </c>
      <c r="C155" s="15">
        <v>-277</v>
      </c>
      <c r="D155" s="15">
        <v>-363</v>
      </c>
      <c r="E155" s="15">
        <v>-520</v>
      </c>
      <c r="F155" s="15">
        <v>-559</v>
      </c>
      <c r="G155" s="15">
        <v>-456</v>
      </c>
      <c r="H155" s="15">
        <v>-467</v>
      </c>
      <c r="I155" s="15">
        <v>-614</v>
      </c>
      <c r="J155" s="15">
        <v>-978</v>
      </c>
      <c r="K155" s="15">
        <v>-704</v>
      </c>
      <c r="L155" s="15">
        <v>-651</v>
      </c>
      <c r="M155" s="15">
        <v>-565</v>
      </c>
      <c r="N155" s="15">
        <v>-825</v>
      </c>
      <c r="O155" s="15">
        <v>-639</v>
      </c>
      <c r="P155" s="15">
        <v>-348</v>
      </c>
      <c r="Q155" s="15">
        <v>-436</v>
      </c>
      <c r="R155" s="15">
        <v>-372</v>
      </c>
      <c r="S155" s="15">
        <v>-215</v>
      </c>
      <c r="T155" s="15">
        <v>-101</v>
      </c>
      <c r="U155" s="15">
        <v>-217</v>
      </c>
      <c r="V155" s="15">
        <v>-552</v>
      </c>
      <c r="W155" s="16">
        <v>-432</v>
      </c>
      <c r="X155" s="16">
        <v>189</v>
      </c>
      <c r="AA155" s="13">
        <f t="shared" si="85"/>
        <v>-1719</v>
      </c>
      <c r="AB155" s="13">
        <f t="shared" si="85"/>
        <v>-2515</v>
      </c>
      <c r="AC155" s="13">
        <f t="shared" si="78"/>
        <v>-2745</v>
      </c>
      <c r="AD155" s="13">
        <f>SUMIF($C$1:$R$1,AD$1,$C155:$R155)-1</f>
        <v>-1796</v>
      </c>
      <c r="AE155" s="13">
        <f t="shared" si="88"/>
        <v>-1085</v>
      </c>
    </row>
    <row r="156" spans="2:31" x14ac:dyDescent="0.25"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AA156" s="13"/>
      <c r="AB156" s="13"/>
      <c r="AC156" s="13"/>
    </row>
    <row r="157" spans="2:31" x14ac:dyDescent="0.25">
      <c r="B157" s="10" t="s">
        <v>28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AA157" s="13"/>
      <c r="AB157" s="13"/>
      <c r="AC157" s="13"/>
    </row>
    <row r="158" spans="2:31" x14ac:dyDescent="0.25">
      <c r="B158" s="4" t="s">
        <v>56</v>
      </c>
      <c r="C158" s="25">
        <f t="shared" ref="C158:V158" si="91">C162+C167+C171+C169+C170</f>
        <v>6887</v>
      </c>
      <c r="D158" s="25">
        <f t="shared" si="91"/>
        <v>7744</v>
      </c>
      <c r="E158" s="25">
        <f t="shared" si="91"/>
        <v>9523</v>
      </c>
      <c r="F158" s="25">
        <f t="shared" si="91"/>
        <v>9187</v>
      </c>
      <c r="G158" s="25">
        <f t="shared" si="91"/>
        <v>9716</v>
      </c>
      <c r="H158" s="25">
        <f t="shared" si="91"/>
        <v>8417</v>
      </c>
      <c r="I158" s="25">
        <f t="shared" si="91"/>
        <v>8686</v>
      </c>
      <c r="J158" s="25">
        <f t="shared" si="91"/>
        <v>9971</v>
      </c>
      <c r="K158" s="25">
        <f t="shared" si="91"/>
        <v>8651</v>
      </c>
      <c r="L158" s="25">
        <f t="shared" si="91"/>
        <v>8685</v>
      </c>
      <c r="M158" s="25">
        <f t="shared" si="91"/>
        <v>8585</v>
      </c>
      <c r="N158" s="25">
        <f t="shared" si="91"/>
        <v>10568</v>
      </c>
      <c r="O158" s="25">
        <f t="shared" si="91"/>
        <v>8880</v>
      </c>
      <c r="P158" s="25">
        <f t="shared" si="91"/>
        <v>8108</v>
      </c>
      <c r="Q158" s="25">
        <f t="shared" si="91"/>
        <v>10797</v>
      </c>
      <c r="R158" s="25">
        <f t="shared" si="91"/>
        <v>10586</v>
      </c>
      <c r="S158" s="25">
        <f t="shared" si="91"/>
        <v>8966</v>
      </c>
      <c r="T158" s="25">
        <f t="shared" si="91"/>
        <v>8604</v>
      </c>
      <c r="U158" s="25">
        <f t="shared" si="91"/>
        <v>9790</v>
      </c>
      <c r="V158" s="25">
        <f t="shared" si="91"/>
        <v>11732</v>
      </c>
      <c r="W158" s="6"/>
      <c r="X158" s="6"/>
      <c r="Y158" s="6"/>
      <c r="Z158" s="6"/>
      <c r="AA158" s="5">
        <f t="shared" ref="AA158:AB171" si="92">SUMIF($C$1:$M$1,AA$1,$C158:$M158)</f>
        <v>33341</v>
      </c>
      <c r="AB158" s="5">
        <f t="shared" si="92"/>
        <v>36790</v>
      </c>
      <c r="AC158" s="5">
        <f t="shared" si="78"/>
        <v>36489</v>
      </c>
      <c r="AD158" s="5">
        <f t="shared" ref="AD158:AD178" si="93">SUMIF($C$1:$R$1,AD$1,$C158:$R158)</f>
        <v>38371</v>
      </c>
      <c r="AE158" s="13">
        <f>SUMIF($C$1:$V$1,AE$1,$C158:$V158)</f>
        <v>39092</v>
      </c>
    </row>
    <row r="159" spans="2:31" x14ac:dyDescent="0.25">
      <c r="B159" s="17" t="s">
        <v>57</v>
      </c>
      <c r="C159" s="15">
        <v>3742</v>
      </c>
      <c r="D159" s="15">
        <v>3838</v>
      </c>
      <c r="E159" s="15">
        <v>5220</v>
      </c>
      <c r="F159" s="15">
        <v>4599</v>
      </c>
      <c r="G159" s="15">
        <v>5221</v>
      </c>
      <c r="H159" s="15">
        <v>3405</v>
      </c>
      <c r="I159" s="15">
        <v>3919</v>
      </c>
      <c r="J159" s="15">
        <v>5104</v>
      </c>
      <c r="K159" s="15">
        <v>3989</v>
      </c>
      <c r="L159" s="15">
        <v>3634</v>
      </c>
      <c r="M159" s="15">
        <v>3944</v>
      </c>
      <c r="N159" s="15">
        <v>5353</v>
      </c>
      <c r="O159" s="15">
        <v>4140</v>
      </c>
      <c r="P159" s="15">
        <v>3595</v>
      </c>
      <c r="Q159" s="15">
        <v>5917</v>
      </c>
      <c r="R159" s="15">
        <v>5316</v>
      </c>
      <c r="S159" s="15">
        <v>4011</v>
      </c>
      <c r="T159" s="15">
        <v>3551</v>
      </c>
      <c r="U159" s="15">
        <v>4297</v>
      </c>
      <c r="V159" s="15">
        <v>6006</v>
      </c>
      <c r="AA159" s="13">
        <f t="shared" si="92"/>
        <v>17399</v>
      </c>
      <c r="AB159" s="13">
        <f t="shared" si="92"/>
        <v>17649</v>
      </c>
      <c r="AC159" s="13">
        <f t="shared" si="78"/>
        <v>16920</v>
      </c>
      <c r="AD159" s="13">
        <f t="shared" si="93"/>
        <v>18968</v>
      </c>
      <c r="AE159" s="13">
        <f>SUMIF($C$1:$V$1,AE$1,$C159:$V159)</f>
        <v>17865</v>
      </c>
    </row>
    <row r="160" spans="2:31" x14ac:dyDescent="0.25">
      <c r="B160" s="17" t="s">
        <v>58</v>
      </c>
      <c r="C160" s="15">
        <v>222</v>
      </c>
      <c r="D160" s="15">
        <v>238</v>
      </c>
      <c r="E160" s="15">
        <v>382</v>
      </c>
      <c r="F160" s="15">
        <v>422</v>
      </c>
      <c r="G160" s="15">
        <v>426</v>
      </c>
      <c r="H160" s="15">
        <v>291</v>
      </c>
      <c r="I160" s="15">
        <v>365</v>
      </c>
      <c r="J160" s="15">
        <v>439</v>
      </c>
      <c r="K160" s="15">
        <v>305</v>
      </c>
      <c r="L160" s="15">
        <v>341</v>
      </c>
      <c r="M160" s="15">
        <v>329</v>
      </c>
      <c r="N160" s="15">
        <v>414</v>
      </c>
      <c r="O160" s="15">
        <v>314</v>
      </c>
      <c r="P160" s="15">
        <v>287</v>
      </c>
      <c r="Q160" s="15">
        <v>470</v>
      </c>
      <c r="R160" s="15">
        <v>401</v>
      </c>
      <c r="S160" s="15">
        <v>323</v>
      </c>
      <c r="T160" s="15">
        <v>304</v>
      </c>
      <c r="U160" s="15">
        <v>321</v>
      </c>
      <c r="V160" s="15">
        <v>516</v>
      </c>
      <c r="AA160" s="13">
        <f t="shared" si="92"/>
        <v>1264</v>
      </c>
      <c r="AB160" s="13">
        <f t="shared" si="92"/>
        <v>1521</v>
      </c>
      <c r="AC160" s="13">
        <f t="shared" si="78"/>
        <v>1389</v>
      </c>
      <c r="AD160" s="13">
        <f t="shared" si="93"/>
        <v>1472</v>
      </c>
      <c r="AE160" s="13">
        <f>SUMIF($C$1:$V$1,AE$1,$C160:$V160)</f>
        <v>1464</v>
      </c>
    </row>
    <row r="161" spans="2:31" x14ac:dyDescent="0.25">
      <c r="B161" s="17" t="s">
        <v>24</v>
      </c>
      <c r="C161" s="15">
        <v>819</v>
      </c>
      <c r="D161" s="15">
        <v>854</v>
      </c>
      <c r="E161" s="15">
        <v>917</v>
      </c>
      <c r="F161" s="15">
        <v>1022</v>
      </c>
      <c r="G161" s="15">
        <v>929</v>
      </c>
      <c r="H161" s="15">
        <v>972</v>
      </c>
      <c r="I161" s="15">
        <v>1042</v>
      </c>
      <c r="J161" s="15">
        <v>1008</v>
      </c>
      <c r="K161" s="15">
        <v>978</v>
      </c>
      <c r="L161" s="15">
        <v>976</v>
      </c>
      <c r="M161" s="15">
        <v>1034</v>
      </c>
      <c r="N161" s="15">
        <v>1103</v>
      </c>
      <c r="O161" s="15">
        <v>1090</v>
      </c>
      <c r="P161" s="15">
        <v>1087</v>
      </c>
      <c r="Q161" s="15">
        <v>1194</v>
      </c>
      <c r="R161" s="15">
        <v>1206</v>
      </c>
      <c r="S161" s="15">
        <v>1102</v>
      </c>
      <c r="T161" s="15">
        <v>1102</v>
      </c>
      <c r="U161" s="15">
        <v>1140</v>
      </c>
      <c r="V161" s="15">
        <v>1221</v>
      </c>
      <c r="AA161" s="13">
        <f t="shared" si="92"/>
        <v>3612</v>
      </c>
      <c r="AB161" s="13">
        <f t="shared" si="92"/>
        <v>3951</v>
      </c>
      <c r="AC161" s="13">
        <f t="shared" si="78"/>
        <v>4091</v>
      </c>
      <c r="AD161" s="13">
        <f t="shared" si="93"/>
        <v>4577</v>
      </c>
      <c r="AE161" s="13">
        <f>SUMIF($C$1:$V$1,AE$1,$C161:$V161)</f>
        <v>4565</v>
      </c>
    </row>
    <row r="162" spans="2:31" x14ac:dyDescent="0.25">
      <c r="B162" s="3" t="s">
        <v>40</v>
      </c>
      <c r="C162" s="26">
        <f>SUM(C159:C161)</f>
        <v>4783</v>
      </c>
      <c r="D162" s="26">
        <f t="shared" ref="D162" si="94">SUM(D159:D161)</f>
        <v>4930</v>
      </c>
      <c r="E162" s="26">
        <f>SUM(E159:E161)</f>
        <v>6519</v>
      </c>
      <c r="F162" s="26">
        <f>SUM(F159:F161)</f>
        <v>6043</v>
      </c>
      <c r="G162" s="26">
        <f>SUM(G159:G161)</f>
        <v>6576</v>
      </c>
      <c r="H162" s="26">
        <f>SUM(H159:H161)</f>
        <v>4668</v>
      </c>
      <c r="I162" s="26">
        <f t="shared" ref="I162" si="95">SUM(I159:I161)</f>
        <v>5326</v>
      </c>
      <c r="J162" s="26">
        <f>SUM(J159:J161)</f>
        <v>6551</v>
      </c>
      <c r="K162" s="26">
        <f t="shared" ref="K162:L162" si="96">SUM(K159:K161)</f>
        <v>5272</v>
      </c>
      <c r="L162" s="26">
        <f t="shared" si="96"/>
        <v>4951</v>
      </c>
      <c r="M162" s="26">
        <f>SUM(M159:M161)-1</f>
        <v>5306</v>
      </c>
      <c r="N162" s="26">
        <f>SUM(N159:N161)-1</f>
        <v>6869</v>
      </c>
      <c r="O162" s="26">
        <f t="shared" ref="O162:V162" si="97">SUM(O159:O161)</f>
        <v>5544</v>
      </c>
      <c r="P162" s="26">
        <f t="shared" si="97"/>
        <v>4969</v>
      </c>
      <c r="Q162" s="26">
        <f t="shared" si="97"/>
        <v>7581</v>
      </c>
      <c r="R162" s="26">
        <f t="shared" si="97"/>
        <v>6923</v>
      </c>
      <c r="S162" s="26">
        <f t="shared" si="97"/>
        <v>5436</v>
      </c>
      <c r="T162" s="26">
        <f t="shared" si="97"/>
        <v>4957</v>
      </c>
      <c r="U162" s="26">
        <f t="shared" si="97"/>
        <v>5758</v>
      </c>
      <c r="V162" s="26">
        <f t="shared" si="97"/>
        <v>7743</v>
      </c>
      <c r="W162" s="3"/>
      <c r="X162" s="3"/>
      <c r="Y162" s="3"/>
      <c r="Z162" s="3"/>
      <c r="AA162" s="27">
        <f t="shared" si="92"/>
        <v>22275</v>
      </c>
      <c r="AB162" s="27">
        <f t="shared" si="92"/>
        <v>23121</v>
      </c>
      <c r="AC162" s="27">
        <f t="shared" si="78"/>
        <v>22398</v>
      </c>
      <c r="AD162" s="27">
        <f t="shared" si="93"/>
        <v>25017</v>
      </c>
      <c r="AE162" s="13">
        <f>SUMIF($C$1:$V$1,AE$1,$C162:$V162)</f>
        <v>23894</v>
      </c>
    </row>
    <row r="163" spans="2:31" x14ac:dyDescent="0.25"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AA163" s="13"/>
      <c r="AB163" s="13"/>
      <c r="AC163" s="13"/>
    </row>
    <row r="164" spans="2:31" x14ac:dyDescent="0.25">
      <c r="B164" s="17" t="s">
        <v>57</v>
      </c>
      <c r="C164" s="15">
        <v>1746</v>
      </c>
      <c r="D164" s="15">
        <v>1782</v>
      </c>
      <c r="E164" s="15">
        <v>1868</v>
      </c>
      <c r="F164" s="15">
        <v>2047</v>
      </c>
      <c r="G164" s="15">
        <v>2122</v>
      </c>
      <c r="H164" s="15">
        <v>2392</v>
      </c>
      <c r="I164" s="15">
        <v>2149</v>
      </c>
      <c r="J164" s="15">
        <v>2115</v>
      </c>
      <c r="K164" s="15">
        <v>2101</v>
      </c>
      <c r="L164" s="15">
        <v>2196</v>
      </c>
      <c r="M164" s="15">
        <v>1569</v>
      </c>
      <c r="N164" s="15">
        <v>2092</v>
      </c>
      <c r="O164" s="15">
        <v>1859</v>
      </c>
      <c r="P164" s="15">
        <v>1499</v>
      </c>
      <c r="Q164" s="15">
        <v>1818</v>
      </c>
      <c r="R164" s="15">
        <v>2081</v>
      </c>
      <c r="S164" s="15">
        <v>1898</v>
      </c>
      <c r="T164" s="15">
        <v>1661</v>
      </c>
      <c r="U164" s="15">
        <v>1959</v>
      </c>
      <c r="V164" s="15">
        <v>1922</v>
      </c>
      <c r="AA164" s="13">
        <f t="shared" si="92"/>
        <v>7443</v>
      </c>
      <c r="AB164" s="13">
        <f t="shared" si="92"/>
        <v>8778</v>
      </c>
      <c r="AC164" s="13">
        <f t="shared" si="78"/>
        <v>7958</v>
      </c>
      <c r="AD164" s="13">
        <f t="shared" si="93"/>
        <v>7257</v>
      </c>
      <c r="AE164" s="13">
        <f t="shared" ref="AE164:AE167" si="98">SUMIF($C$1:$V$1,AE$1,$C164:$V164)</f>
        <v>7440</v>
      </c>
    </row>
    <row r="165" spans="2:31" x14ac:dyDescent="0.25">
      <c r="B165" s="17" t="s">
        <v>58</v>
      </c>
      <c r="C165" s="15">
        <v>124</v>
      </c>
      <c r="D165" s="15">
        <v>296</v>
      </c>
      <c r="E165" s="15">
        <v>339</v>
      </c>
      <c r="F165" s="15">
        <v>320</v>
      </c>
      <c r="G165" s="15">
        <v>327</v>
      </c>
      <c r="H165" s="15">
        <v>531</v>
      </c>
      <c r="I165" s="15">
        <v>388</v>
      </c>
      <c r="J165" s="15">
        <v>452</v>
      </c>
      <c r="K165" s="15">
        <v>397</v>
      </c>
      <c r="L165" s="15">
        <v>443</v>
      </c>
      <c r="M165" s="15">
        <v>314</v>
      </c>
      <c r="N165" s="15">
        <v>425</v>
      </c>
      <c r="O165" s="15">
        <v>431</v>
      </c>
      <c r="P165" s="15">
        <v>394</v>
      </c>
      <c r="Q165" s="15">
        <v>301</v>
      </c>
      <c r="R165" s="15">
        <v>357</v>
      </c>
      <c r="S165" s="15">
        <v>392</v>
      </c>
      <c r="T165" s="15">
        <v>452</v>
      </c>
      <c r="U165" s="15">
        <v>436</v>
      </c>
      <c r="V165" s="15">
        <v>493</v>
      </c>
      <c r="AA165" s="13">
        <f t="shared" si="92"/>
        <v>1079</v>
      </c>
      <c r="AB165" s="13">
        <f t="shared" si="92"/>
        <v>1698</v>
      </c>
      <c r="AC165" s="13">
        <f t="shared" si="78"/>
        <v>1579</v>
      </c>
      <c r="AD165" s="13">
        <f t="shared" si="93"/>
        <v>1483</v>
      </c>
      <c r="AE165" s="13">
        <f t="shared" si="98"/>
        <v>1773</v>
      </c>
    </row>
    <row r="166" spans="2:31" x14ac:dyDescent="0.25">
      <c r="B166" s="17" t="s">
        <v>24</v>
      </c>
      <c r="C166" s="15">
        <v>162</v>
      </c>
      <c r="D166" s="15">
        <v>172</v>
      </c>
      <c r="E166" s="15">
        <v>148</v>
      </c>
      <c r="F166" s="15">
        <v>195</v>
      </c>
      <c r="G166" s="15">
        <v>213</v>
      </c>
      <c r="H166" s="15">
        <v>196</v>
      </c>
      <c r="I166" s="15">
        <v>207</v>
      </c>
      <c r="J166" s="15">
        <v>203</v>
      </c>
      <c r="K166" s="15">
        <v>180</v>
      </c>
      <c r="L166" s="15">
        <v>194</v>
      </c>
      <c r="M166" s="15">
        <v>205</v>
      </c>
      <c r="N166" s="15">
        <v>239</v>
      </c>
      <c r="O166" s="15">
        <v>209</v>
      </c>
      <c r="P166" s="15">
        <v>236</v>
      </c>
      <c r="Q166" s="15">
        <v>240</v>
      </c>
      <c r="R166" s="15">
        <v>262</v>
      </c>
      <c r="S166" s="15">
        <v>237</v>
      </c>
      <c r="T166" s="15">
        <v>234</v>
      </c>
      <c r="U166" s="15">
        <v>240</v>
      </c>
      <c r="V166" s="15">
        <v>261</v>
      </c>
      <c r="AA166" s="13">
        <f t="shared" si="92"/>
        <v>677</v>
      </c>
      <c r="AB166" s="13">
        <f t="shared" si="92"/>
        <v>819</v>
      </c>
      <c r="AC166" s="13">
        <f t="shared" si="78"/>
        <v>818</v>
      </c>
      <c r="AD166" s="13">
        <f t="shared" si="93"/>
        <v>947</v>
      </c>
      <c r="AE166" s="13">
        <f t="shared" si="98"/>
        <v>972</v>
      </c>
    </row>
    <row r="167" spans="2:31" x14ac:dyDescent="0.25">
      <c r="B167" s="3" t="s">
        <v>44</v>
      </c>
      <c r="C167" s="26">
        <f>SUM(C164:C166)</f>
        <v>2032</v>
      </c>
      <c r="D167" s="26">
        <f t="shared" ref="D167:G167" si="99">SUM(D164:D166)</f>
        <v>2250</v>
      </c>
      <c r="E167" s="26">
        <f t="shared" si="99"/>
        <v>2355</v>
      </c>
      <c r="F167" s="26">
        <f t="shared" si="99"/>
        <v>2562</v>
      </c>
      <c r="G167" s="26">
        <f t="shared" si="99"/>
        <v>2662</v>
      </c>
      <c r="H167" s="26">
        <f>SUM(H164:H166)</f>
        <v>3119</v>
      </c>
      <c r="I167" s="26">
        <f t="shared" ref="I167:L167" si="100">SUM(I164:I166)</f>
        <v>2744</v>
      </c>
      <c r="J167" s="26">
        <f t="shared" si="100"/>
        <v>2770</v>
      </c>
      <c r="K167" s="26">
        <f t="shared" si="100"/>
        <v>2678</v>
      </c>
      <c r="L167" s="26">
        <f t="shared" si="100"/>
        <v>2833</v>
      </c>
      <c r="M167" s="26">
        <f>SUM(M164:M166)+1</f>
        <v>2089</v>
      </c>
      <c r="N167" s="26">
        <f>SUM(N164:N166)</f>
        <v>2756</v>
      </c>
      <c r="O167" s="26">
        <f>SUM(O164:O166)</f>
        <v>2499</v>
      </c>
      <c r="P167" s="26">
        <f>SUM(P164:P166)</f>
        <v>2129</v>
      </c>
      <c r="Q167" s="26">
        <f>SUM(Q164:Q166)</f>
        <v>2359</v>
      </c>
      <c r="R167" s="26">
        <f>SUM(R164:R166)</f>
        <v>2700</v>
      </c>
      <c r="S167" s="26">
        <v>2528</v>
      </c>
      <c r="T167" s="26">
        <f>SUM(T164:T166)</f>
        <v>2347</v>
      </c>
      <c r="U167" s="26">
        <f>SUM(U164:U166)</f>
        <v>2635</v>
      </c>
      <c r="V167" s="26">
        <f>SUM(V164:V166)</f>
        <v>2676</v>
      </c>
      <c r="W167" s="3"/>
      <c r="X167" s="3"/>
      <c r="Y167" s="3"/>
      <c r="Z167" s="3"/>
      <c r="AA167" s="27">
        <f t="shared" si="92"/>
        <v>9199</v>
      </c>
      <c r="AB167" s="27">
        <f t="shared" si="92"/>
        <v>11295</v>
      </c>
      <c r="AC167" s="27">
        <f t="shared" si="78"/>
        <v>10356</v>
      </c>
      <c r="AD167" s="13">
        <f t="shared" si="93"/>
        <v>9687</v>
      </c>
      <c r="AE167" s="13">
        <f t="shared" si="98"/>
        <v>10186</v>
      </c>
    </row>
    <row r="168" spans="2:31" x14ac:dyDescent="0.25"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AA168" s="13"/>
      <c r="AB168" s="13"/>
      <c r="AC168" s="13"/>
    </row>
    <row r="169" spans="2:31" x14ac:dyDescent="0.25">
      <c r="B169" s="1" t="s">
        <v>59</v>
      </c>
      <c r="C169" s="15">
        <v>680</v>
      </c>
      <c r="D169" s="15">
        <v>874</v>
      </c>
      <c r="E169" s="15">
        <v>1015</v>
      </c>
      <c r="F169" s="15">
        <v>1213</v>
      </c>
      <c r="G169" s="15">
        <v>1109</v>
      </c>
      <c r="H169" s="15">
        <v>1173</v>
      </c>
      <c r="I169" s="15">
        <v>1244</v>
      </c>
      <c r="J169" s="15">
        <v>1332</v>
      </c>
      <c r="K169" s="15">
        <v>1291</v>
      </c>
      <c r="L169" s="15">
        <v>1376</v>
      </c>
      <c r="M169" s="15">
        <v>1435</v>
      </c>
      <c r="N169" s="15">
        <v>1499</v>
      </c>
      <c r="O169" s="15">
        <v>1347</v>
      </c>
      <c r="P169" s="15">
        <v>1343</v>
      </c>
      <c r="Q169" s="15">
        <v>1442</v>
      </c>
      <c r="R169" s="15">
        <v>1535</v>
      </c>
      <c r="S169" s="15">
        <v>1447</v>
      </c>
      <c r="T169" s="15">
        <v>1691</v>
      </c>
      <c r="U169" s="15">
        <v>1759</v>
      </c>
      <c r="V169" s="15">
        <v>1858</v>
      </c>
      <c r="AA169" s="13">
        <f t="shared" si="92"/>
        <v>3782</v>
      </c>
      <c r="AB169" s="13">
        <f t="shared" si="92"/>
        <v>4858</v>
      </c>
      <c r="AC169" s="13">
        <f t="shared" si="78"/>
        <v>5601</v>
      </c>
      <c r="AD169" s="13">
        <f t="shared" si="93"/>
        <v>5667</v>
      </c>
      <c r="AE169" s="13">
        <f t="shared" ref="AE169:AE171" si="101">SUMIF($C$1:$V$1,AE$1,$C169:$V169)</f>
        <v>6755</v>
      </c>
    </row>
    <row r="170" spans="2:31" x14ac:dyDescent="0.25">
      <c r="B170" s="1" t="s">
        <v>48</v>
      </c>
      <c r="C170" s="15">
        <v>225</v>
      </c>
      <c r="D170" s="15">
        <v>208</v>
      </c>
      <c r="E170" s="15">
        <v>276</v>
      </c>
      <c r="F170" s="15">
        <v>219</v>
      </c>
      <c r="G170" s="15">
        <v>208</v>
      </c>
      <c r="H170" s="15">
        <v>145</v>
      </c>
      <c r="I170" s="15">
        <v>221</v>
      </c>
      <c r="J170" s="15">
        <v>382</v>
      </c>
      <c r="K170" s="15">
        <v>251</v>
      </c>
      <c r="L170" s="15">
        <v>212</v>
      </c>
      <c r="M170" s="15">
        <v>191</v>
      </c>
      <c r="N170" s="15">
        <v>356</v>
      </c>
      <c r="O170" s="15">
        <v>255</v>
      </c>
      <c r="P170" s="15">
        <v>208</v>
      </c>
      <c r="Q170" s="15">
        <v>211</v>
      </c>
      <c r="R170" s="15">
        <v>206</v>
      </c>
      <c r="S170" s="15">
        <v>266</v>
      </c>
      <c r="T170" s="15">
        <v>271</v>
      </c>
      <c r="U170" s="15">
        <v>287</v>
      </c>
      <c r="V170" s="15">
        <v>318</v>
      </c>
      <c r="AA170" s="13">
        <f t="shared" si="92"/>
        <v>928</v>
      </c>
      <c r="AB170" s="13">
        <f t="shared" si="92"/>
        <v>956</v>
      </c>
      <c r="AC170" s="13">
        <f t="shared" si="78"/>
        <v>1010</v>
      </c>
      <c r="AD170" s="13">
        <f t="shared" si="93"/>
        <v>880</v>
      </c>
      <c r="AE170" s="13">
        <f t="shared" si="101"/>
        <v>1142</v>
      </c>
    </row>
    <row r="171" spans="2:31" x14ac:dyDescent="0.25">
      <c r="B171" s="1" t="s">
        <v>60</v>
      </c>
      <c r="C171" s="15">
        <v>-833</v>
      </c>
      <c r="D171" s="15">
        <v>-518</v>
      </c>
      <c r="E171" s="15">
        <v>-642</v>
      </c>
      <c r="F171" s="15">
        <v>-850</v>
      </c>
      <c r="G171" s="15">
        <v>-839</v>
      </c>
      <c r="H171" s="15">
        <v>-688</v>
      </c>
      <c r="I171" s="15">
        <v>-849</v>
      </c>
      <c r="J171" s="15">
        <v>-1064</v>
      </c>
      <c r="K171" s="15">
        <v>-841</v>
      </c>
      <c r="L171" s="15">
        <v>-687</v>
      </c>
      <c r="M171" s="15">
        <v>-436</v>
      </c>
      <c r="N171" s="15">
        <v>-912</v>
      </c>
      <c r="O171" s="15">
        <v>-765</v>
      </c>
      <c r="P171" s="15">
        <v>-541</v>
      </c>
      <c r="Q171" s="15">
        <v>-796</v>
      </c>
      <c r="R171" s="15">
        <v>-778</v>
      </c>
      <c r="S171" s="15">
        <v>-711</v>
      </c>
      <c r="T171" s="15">
        <v>-662</v>
      </c>
      <c r="U171" s="15">
        <v>-649</v>
      </c>
      <c r="V171" s="15">
        <v>-863</v>
      </c>
      <c r="AA171" s="13">
        <f t="shared" si="92"/>
        <v>-2843</v>
      </c>
      <c r="AB171" s="13">
        <f t="shared" si="92"/>
        <v>-3440</v>
      </c>
      <c r="AC171" s="13">
        <f t="shared" si="78"/>
        <v>-2876</v>
      </c>
      <c r="AD171" s="13">
        <f t="shared" si="93"/>
        <v>-2880</v>
      </c>
      <c r="AE171" s="13">
        <f t="shared" si="101"/>
        <v>-2885</v>
      </c>
    </row>
    <row r="172" spans="2:31" x14ac:dyDescent="0.25"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AA172" s="13"/>
      <c r="AB172" s="13"/>
      <c r="AC172" s="13"/>
    </row>
    <row r="173" spans="2:31" x14ac:dyDescent="0.25">
      <c r="B173" s="1" t="s">
        <v>38</v>
      </c>
      <c r="C173" s="12">
        <f>SUM(C174:C178)</f>
        <v>1430</v>
      </c>
      <c r="D173" s="12">
        <f t="shared" ref="D173:L173" si="102">SUM(D174:D178)</f>
        <v>1574</v>
      </c>
      <c r="E173" s="12">
        <f t="shared" si="102"/>
        <v>1731</v>
      </c>
      <c r="F173" s="12">
        <f t="shared" si="102"/>
        <v>1501</v>
      </c>
      <c r="G173" s="12">
        <f t="shared" si="102"/>
        <v>1624</v>
      </c>
      <c r="H173" s="12">
        <f t="shared" si="102"/>
        <v>2035</v>
      </c>
      <c r="I173" s="12">
        <f t="shared" si="102"/>
        <v>1791</v>
      </c>
      <c r="J173" s="12">
        <f t="shared" si="102"/>
        <v>912</v>
      </c>
      <c r="K173" s="12">
        <f t="shared" si="102"/>
        <v>1607</v>
      </c>
      <c r="L173" s="12">
        <f t="shared" si="102"/>
        <v>2188</v>
      </c>
      <c r="M173" s="12">
        <f>SUM(M174:M178)-1</f>
        <v>1973</v>
      </c>
      <c r="N173" s="12">
        <f>SUM(N174:N178)</f>
        <v>931</v>
      </c>
      <c r="O173" s="12">
        <f>SUM(O174:O178)</f>
        <v>1493</v>
      </c>
      <c r="P173" s="12">
        <f>SUM(P174:P178)</f>
        <v>1950</v>
      </c>
      <c r="Q173" s="12">
        <f>SUM(Q174:Q178)</f>
        <v>1803</v>
      </c>
      <c r="R173" s="12">
        <v>1491</v>
      </c>
      <c r="S173" s="12">
        <f>SUM(S174:S178)</f>
        <v>1490</v>
      </c>
      <c r="T173" s="12">
        <f>SUM(T174:T178)</f>
        <v>2018</v>
      </c>
      <c r="U173" s="12">
        <f>SUM(U174:U178)</f>
        <v>1953</v>
      </c>
      <c r="V173" s="12">
        <f>SUM(V174:V178)</f>
        <v>1005</v>
      </c>
      <c r="AA173" s="13">
        <f t="shared" si="85"/>
        <v>6236</v>
      </c>
      <c r="AB173" s="13">
        <f t="shared" si="85"/>
        <v>6362</v>
      </c>
      <c r="AC173" s="13">
        <f t="shared" si="78"/>
        <v>6699</v>
      </c>
      <c r="AD173" s="13">
        <f t="shared" si="93"/>
        <v>6737</v>
      </c>
      <c r="AE173" s="13">
        <f t="shared" ref="AE173:AE178" si="103">SUMIF($C$1:$V$1,AE$1,$C173:$V173)</f>
        <v>6466</v>
      </c>
    </row>
    <row r="174" spans="2:31" x14ac:dyDescent="0.25">
      <c r="B174" s="1" t="s">
        <v>61</v>
      </c>
      <c r="C174" s="15">
        <v>1418</v>
      </c>
      <c r="D174" s="15">
        <v>1398</v>
      </c>
      <c r="E174" s="15">
        <v>1371</v>
      </c>
      <c r="F174" s="15">
        <v>946</v>
      </c>
      <c r="G174" s="15">
        <v>1181</v>
      </c>
      <c r="H174" s="15">
        <v>1520</v>
      </c>
      <c r="I174" s="15">
        <v>679</v>
      </c>
      <c r="J174" s="15">
        <v>218</v>
      </c>
      <c r="K174" s="15">
        <v>880</v>
      </c>
      <c r="L174" s="15">
        <v>1244</v>
      </c>
      <c r="M174" s="15">
        <v>723</v>
      </c>
      <c r="N174" s="15">
        <v>108</v>
      </c>
      <c r="O174" s="15">
        <v>827</v>
      </c>
      <c r="P174" s="15">
        <v>1356</v>
      </c>
      <c r="Q174" s="15">
        <v>650</v>
      </c>
      <c r="R174" s="15">
        <v>298</v>
      </c>
      <c r="S174" s="15">
        <v>1004</v>
      </c>
      <c r="T174" s="15">
        <v>1482</v>
      </c>
      <c r="U174" s="15">
        <v>832</v>
      </c>
      <c r="V174" s="15">
        <v>-122</v>
      </c>
      <c r="AA174" s="13">
        <f t="shared" si="85"/>
        <v>5133</v>
      </c>
      <c r="AB174" s="13">
        <f t="shared" si="85"/>
        <v>3598</v>
      </c>
      <c r="AC174" s="13">
        <f t="shared" si="78"/>
        <v>2955</v>
      </c>
      <c r="AD174" s="13">
        <f t="shared" si="93"/>
        <v>3131</v>
      </c>
      <c r="AE174" s="13">
        <f t="shared" si="103"/>
        <v>3196</v>
      </c>
    </row>
    <row r="175" spans="2:31" x14ac:dyDescent="0.25">
      <c r="B175" s="1" t="s">
        <v>62</v>
      </c>
      <c r="C175" s="15">
        <v>492</v>
      </c>
      <c r="D175" s="15">
        <v>156</v>
      </c>
      <c r="E175" s="15">
        <v>186</v>
      </c>
      <c r="F175" s="15">
        <v>45</v>
      </c>
      <c r="G175" s="15">
        <v>245</v>
      </c>
      <c r="H175" s="15">
        <v>-3</v>
      </c>
      <c r="I175" s="15">
        <v>551</v>
      </c>
      <c r="J175" s="15">
        <v>168</v>
      </c>
      <c r="K175" s="15">
        <v>277</v>
      </c>
      <c r="L175" s="15">
        <v>255</v>
      </c>
      <c r="M175" s="15">
        <v>429</v>
      </c>
      <c r="N175" s="15">
        <v>308</v>
      </c>
      <c r="O175" s="15">
        <v>244</v>
      </c>
      <c r="P175" s="15">
        <v>124</v>
      </c>
      <c r="Q175" s="15">
        <v>468</v>
      </c>
      <c r="R175" s="15">
        <v>569</v>
      </c>
      <c r="S175" s="15">
        <v>298</v>
      </c>
      <c r="T175" s="15">
        <v>85</v>
      </c>
      <c r="U175" s="15">
        <v>365</v>
      </c>
      <c r="V175" s="15">
        <v>351</v>
      </c>
      <c r="AA175" s="13">
        <f t="shared" si="85"/>
        <v>879</v>
      </c>
      <c r="AB175" s="13">
        <f t="shared" si="85"/>
        <v>961</v>
      </c>
      <c r="AC175" s="13">
        <f t="shared" si="78"/>
        <v>1269</v>
      </c>
      <c r="AD175" s="13">
        <f t="shared" si="93"/>
        <v>1405</v>
      </c>
      <c r="AE175" s="13">
        <f t="shared" si="103"/>
        <v>1099</v>
      </c>
    </row>
    <row r="176" spans="2:31" x14ac:dyDescent="0.25">
      <c r="B176" s="1" t="s">
        <v>59</v>
      </c>
      <c r="C176" s="15">
        <v>-61</v>
      </c>
      <c r="D176" s="15">
        <v>221</v>
      </c>
      <c r="E176" s="15">
        <v>434</v>
      </c>
      <c r="F176" s="15">
        <v>674</v>
      </c>
      <c r="G176" s="15">
        <v>451</v>
      </c>
      <c r="H176" s="15">
        <v>632</v>
      </c>
      <c r="I176" s="15">
        <v>819</v>
      </c>
      <c r="J176" s="15">
        <v>782</v>
      </c>
      <c r="K176" s="15">
        <v>658</v>
      </c>
      <c r="L176" s="15">
        <v>833</v>
      </c>
      <c r="M176" s="15">
        <v>983</v>
      </c>
      <c r="N176" s="15">
        <v>872</v>
      </c>
      <c r="O176" s="15">
        <v>632</v>
      </c>
      <c r="P176" s="15">
        <v>632</v>
      </c>
      <c r="Q176" s="15">
        <v>847</v>
      </c>
      <c r="R176" s="15">
        <v>838</v>
      </c>
      <c r="S176" s="15">
        <v>429</v>
      </c>
      <c r="T176" s="15">
        <v>658</v>
      </c>
      <c r="U176" s="15">
        <v>958</v>
      </c>
      <c r="V176" s="15">
        <v>1035</v>
      </c>
      <c r="AA176" s="13">
        <f t="shared" si="85"/>
        <v>1268</v>
      </c>
      <c r="AB176" s="13">
        <f t="shared" si="85"/>
        <v>2684</v>
      </c>
      <c r="AC176" s="13">
        <f t="shared" si="78"/>
        <v>3346</v>
      </c>
      <c r="AD176" s="13">
        <f t="shared" si="93"/>
        <v>2949</v>
      </c>
      <c r="AE176" s="13">
        <f t="shared" si="103"/>
        <v>3080</v>
      </c>
    </row>
    <row r="177" spans="1:41" x14ac:dyDescent="0.25">
      <c r="B177" s="1" t="s">
        <v>48</v>
      </c>
      <c r="C177" s="15">
        <v>-209</v>
      </c>
      <c r="D177" s="15">
        <v>-186</v>
      </c>
      <c r="E177" s="15">
        <v>-248</v>
      </c>
      <c r="F177" s="15">
        <v>-197</v>
      </c>
      <c r="G177" s="15">
        <v>-191</v>
      </c>
      <c r="H177" s="15">
        <v>-137</v>
      </c>
      <c r="I177" s="15">
        <v>-199</v>
      </c>
      <c r="J177" s="15">
        <v>-353</v>
      </c>
      <c r="K177" s="15">
        <v>-232</v>
      </c>
      <c r="L177" s="15">
        <v>-200</v>
      </c>
      <c r="M177" s="15">
        <v>-178</v>
      </c>
      <c r="N177" s="15">
        <v>-337</v>
      </c>
      <c r="O177" s="15">
        <v>-243</v>
      </c>
      <c r="P177" s="15">
        <v>-198</v>
      </c>
      <c r="Q177" s="15">
        <v>-200</v>
      </c>
      <c r="R177" s="15">
        <v>-189</v>
      </c>
      <c r="S177" s="15">
        <v>-255</v>
      </c>
      <c r="T177" s="15">
        <v>-263</v>
      </c>
      <c r="U177" s="15">
        <v>-271</v>
      </c>
      <c r="V177" s="15">
        <v>-306</v>
      </c>
      <c r="AA177" s="13">
        <f t="shared" si="85"/>
        <v>-840</v>
      </c>
      <c r="AB177" s="13">
        <f t="shared" si="85"/>
        <v>-880</v>
      </c>
      <c r="AC177" s="13">
        <f t="shared" si="78"/>
        <v>-947</v>
      </c>
      <c r="AD177" s="13">
        <f t="shared" si="93"/>
        <v>-830</v>
      </c>
      <c r="AE177" s="13">
        <f t="shared" si="103"/>
        <v>-1095</v>
      </c>
    </row>
    <row r="178" spans="1:41" x14ac:dyDescent="0.25">
      <c r="B178" s="1" t="s">
        <v>60</v>
      </c>
      <c r="C178" s="15">
        <v>-210</v>
      </c>
      <c r="D178" s="15">
        <v>-15</v>
      </c>
      <c r="E178" s="15">
        <v>-12</v>
      </c>
      <c r="F178" s="15">
        <v>33</v>
      </c>
      <c r="G178" s="15">
        <v>-62</v>
      </c>
      <c r="H178" s="15">
        <v>23</v>
      </c>
      <c r="I178" s="15">
        <v>-59</v>
      </c>
      <c r="J178" s="15">
        <v>97</v>
      </c>
      <c r="K178" s="15">
        <v>24</v>
      </c>
      <c r="L178" s="15">
        <v>56</v>
      </c>
      <c r="M178" s="15">
        <v>17</v>
      </c>
      <c r="N178" s="15">
        <v>-20</v>
      </c>
      <c r="O178" s="15">
        <v>33</v>
      </c>
      <c r="P178" s="15">
        <v>36</v>
      </c>
      <c r="Q178" s="15">
        <v>38</v>
      </c>
      <c r="R178" s="15">
        <v>-26</v>
      </c>
      <c r="S178" s="15">
        <v>14</v>
      </c>
      <c r="T178" s="15">
        <v>56</v>
      </c>
      <c r="U178" s="15">
        <v>69</v>
      </c>
      <c r="V178" s="15">
        <v>47</v>
      </c>
      <c r="AA178" s="13">
        <f t="shared" si="85"/>
        <v>-204</v>
      </c>
      <c r="AB178" s="13">
        <f t="shared" si="85"/>
        <v>-1</v>
      </c>
      <c r="AC178" s="13">
        <f t="shared" si="78"/>
        <v>77</v>
      </c>
      <c r="AD178" s="13">
        <f t="shared" si="93"/>
        <v>81</v>
      </c>
      <c r="AE178" s="13">
        <f t="shared" si="103"/>
        <v>186</v>
      </c>
    </row>
    <row r="179" spans="1:41" x14ac:dyDescent="0.25"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AA179" s="13"/>
      <c r="AB179" s="13"/>
      <c r="AC179" s="13"/>
    </row>
    <row r="180" spans="1:41" x14ac:dyDescent="0.25">
      <c r="B180" s="1" t="s">
        <v>63</v>
      </c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AA180" s="13"/>
      <c r="AB180" s="13"/>
      <c r="AC180" s="13"/>
    </row>
    <row r="181" spans="1:41" x14ac:dyDescent="0.25">
      <c r="B181" s="17" t="s">
        <v>64</v>
      </c>
      <c r="C181" s="15">
        <v>230</v>
      </c>
      <c r="D181" s="15">
        <v>295</v>
      </c>
      <c r="E181" s="15">
        <v>475</v>
      </c>
      <c r="F181" s="15">
        <v>596</v>
      </c>
      <c r="G181" s="15">
        <v>588</v>
      </c>
      <c r="H181" s="15">
        <v>606</v>
      </c>
      <c r="I181" s="15">
        <v>767</v>
      </c>
      <c r="J181" s="15">
        <v>1212</v>
      </c>
      <c r="K181" s="15">
        <v>1035</v>
      </c>
      <c r="L181" s="15">
        <v>1052</v>
      </c>
      <c r="M181" s="15">
        <v>969</v>
      </c>
      <c r="N181" s="15">
        <v>1376</v>
      </c>
      <c r="O181" s="15">
        <v>1205</v>
      </c>
      <c r="P181" s="15">
        <v>980</v>
      </c>
      <c r="Q181" s="15">
        <v>1383</v>
      </c>
      <c r="R181" s="15">
        <v>1180</v>
      </c>
      <c r="S181" s="15">
        <v>976</v>
      </c>
      <c r="T181" s="15">
        <v>883</v>
      </c>
      <c r="U181" s="15">
        <v>1115</v>
      </c>
      <c r="V181" s="15">
        <v>1552</v>
      </c>
      <c r="AA181" s="13">
        <f t="shared" si="85"/>
        <v>1596</v>
      </c>
      <c r="AB181" s="13">
        <f t="shared" si="85"/>
        <v>3173</v>
      </c>
      <c r="AC181" s="13">
        <f t="shared" si="78"/>
        <v>4432</v>
      </c>
      <c r="AD181" s="13">
        <f t="shared" ref="AD181:AD184" si="104">SUMIF($C$1:$R$1,AD$1,$C181:$R181)</f>
        <v>4748</v>
      </c>
      <c r="AE181" s="13">
        <f t="shared" ref="AE181:AE184" si="105">SUMIF($C$1:$V$1,AE$1,$C181:$V181)</f>
        <v>4526</v>
      </c>
    </row>
    <row r="182" spans="1:41" x14ac:dyDescent="0.25">
      <c r="B182" s="17" t="s">
        <v>65</v>
      </c>
      <c r="C182" s="15">
        <v>138</v>
      </c>
      <c r="D182" s="15">
        <v>190</v>
      </c>
      <c r="E182" s="15">
        <v>274</v>
      </c>
      <c r="F182" s="15">
        <v>298</v>
      </c>
      <c r="G182" s="15">
        <v>340</v>
      </c>
      <c r="H182" s="15">
        <v>305</v>
      </c>
      <c r="I182" s="15">
        <v>353</v>
      </c>
      <c r="J182" s="15">
        <v>426</v>
      </c>
      <c r="K182" s="15">
        <v>354</v>
      </c>
      <c r="L182" s="15">
        <v>419</v>
      </c>
      <c r="M182" s="15">
        <v>427</v>
      </c>
      <c r="N182" s="15">
        <v>483</v>
      </c>
      <c r="O182" s="15">
        <v>488</v>
      </c>
      <c r="P182" s="15">
        <v>413</v>
      </c>
      <c r="Q182" s="15">
        <v>566</v>
      </c>
      <c r="R182" s="15">
        <v>513</v>
      </c>
      <c r="S182" s="15">
        <v>464</v>
      </c>
      <c r="T182" s="15">
        <v>449</v>
      </c>
      <c r="U182" s="15">
        <v>465</v>
      </c>
      <c r="V182" s="15">
        <v>629</v>
      </c>
      <c r="AA182" s="13">
        <f t="shared" si="85"/>
        <v>900</v>
      </c>
      <c r="AB182" s="13">
        <f t="shared" si="85"/>
        <v>1424</v>
      </c>
      <c r="AC182" s="13">
        <f t="shared" si="78"/>
        <v>1683</v>
      </c>
      <c r="AD182" s="13">
        <f t="shared" si="104"/>
        <v>1980</v>
      </c>
      <c r="AE182" s="13">
        <f t="shared" si="105"/>
        <v>2007</v>
      </c>
    </row>
    <row r="183" spans="1:41" x14ac:dyDescent="0.25">
      <c r="B183" s="1" t="s">
        <v>66</v>
      </c>
      <c r="C183" s="26">
        <f t="shared" ref="C183:L183" si="106">C182+C181</f>
        <v>368</v>
      </c>
      <c r="D183" s="26">
        <f t="shared" si="106"/>
        <v>485</v>
      </c>
      <c r="E183" s="26">
        <f t="shared" si="106"/>
        <v>749</v>
      </c>
      <c r="F183" s="26">
        <f t="shared" si="106"/>
        <v>894</v>
      </c>
      <c r="G183" s="26">
        <f t="shared" si="106"/>
        <v>928</v>
      </c>
      <c r="H183" s="26">
        <f t="shared" si="106"/>
        <v>911</v>
      </c>
      <c r="I183" s="26">
        <f t="shared" si="106"/>
        <v>1120</v>
      </c>
      <c r="J183" s="26">
        <f t="shared" si="106"/>
        <v>1638</v>
      </c>
      <c r="K183" s="26">
        <f t="shared" si="106"/>
        <v>1389</v>
      </c>
      <c r="L183" s="26">
        <f t="shared" si="106"/>
        <v>1471</v>
      </c>
      <c r="M183" s="26">
        <f>M182+M181-1</f>
        <v>1395</v>
      </c>
      <c r="N183" s="26">
        <f t="shared" ref="N183:V183" si="107">N182+N181</f>
        <v>1859</v>
      </c>
      <c r="O183" s="26">
        <f t="shared" si="107"/>
        <v>1693</v>
      </c>
      <c r="P183" s="26">
        <f t="shared" si="107"/>
        <v>1393</v>
      </c>
      <c r="Q183" s="26">
        <f t="shared" si="107"/>
        <v>1949</v>
      </c>
      <c r="R183" s="26">
        <f t="shared" si="107"/>
        <v>1693</v>
      </c>
      <c r="S183" s="26">
        <f t="shared" si="107"/>
        <v>1440</v>
      </c>
      <c r="T183" s="26">
        <f t="shared" si="107"/>
        <v>1332</v>
      </c>
      <c r="U183" s="26">
        <f t="shared" si="107"/>
        <v>1580</v>
      </c>
      <c r="V183" s="26">
        <f t="shared" si="107"/>
        <v>2181</v>
      </c>
      <c r="AA183" s="13">
        <f t="shared" si="85"/>
        <v>2496</v>
      </c>
      <c r="AB183" s="13">
        <f t="shared" si="85"/>
        <v>4597</v>
      </c>
      <c r="AC183" s="13">
        <f t="shared" si="78"/>
        <v>6114</v>
      </c>
      <c r="AD183" s="13">
        <f t="shared" si="104"/>
        <v>6728</v>
      </c>
      <c r="AE183" s="13">
        <f t="shared" si="105"/>
        <v>6533</v>
      </c>
    </row>
    <row r="184" spans="1:41" x14ac:dyDescent="0.25">
      <c r="B184" s="1" t="s">
        <v>67</v>
      </c>
      <c r="C184" s="15">
        <v>-277</v>
      </c>
      <c r="D184" s="15">
        <v>-363</v>
      </c>
      <c r="E184" s="15">
        <v>-520</v>
      </c>
      <c r="F184" s="15">
        <v>-559</v>
      </c>
      <c r="G184" s="15">
        <v>-456</v>
      </c>
      <c r="H184" s="15">
        <v>-467</v>
      </c>
      <c r="I184" s="15">
        <v>-614</v>
      </c>
      <c r="J184" s="15">
        <v>-978</v>
      </c>
      <c r="K184" s="15">
        <v>-704</v>
      </c>
      <c r="L184" s="15">
        <v>-651</v>
      </c>
      <c r="M184" s="15">
        <v>-565</v>
      </c>
      <c r="N184" s="15">
        <v>-825</v>
      </c>
      <c r="O184" s="15">
        <v>-639</v>
      </c>
      <c r="P184" s="15">
        <v>-348</v>
      </c>
      <c r="Q184" s="15">
        <v>-436</v>
      </c>
      <c r="R184" s="15">
        <v>-372</v>
      </c>
      <c r="S184" s="15">
        <v>-215</v>
      </c>
      <c r="T184" s="15">
        <v>-101</v>
      </c>
      <c r="U184" s="15">
        <v>-217</v>
      </c>
      <c r="V184" s="15">
        <v>-552</v>
      </c>
      <c r="AA184" s="13">
        <f t="shared" si="85"/>
        <v>-1719</v>
      </c>
      <c r="AB184" s="13">
        <f t="shared" si="85"/>
        <v>-2515</v>
      </c>
      <c r="AC184" s="13">
        <f t="shared" si="78"/>
        <v>-2745</v>
      </c>
      <c r="AD184" s="13">
        <f t="shared" si="104"/>
        <v>-1795</v>
      </c>
      <c r="AE184" s="13">
        <f t="shared" si="105"/>
        <v>-1085</v>
      </c>
    </row>
    <row r="185" spans="1:41" x14ac:dyDescent="0.25"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AA185" s="13"/>
      <c r="AB185" s="13"/>
      <c r="AC185" s="13"/>
    </row>
    <row r="186" spans="1:41" x14ac:dyDescent="0.25"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AA186" s="13"/>
      <c r="AB186" s="13"/>
      <c r="AC186" s="13"/>
    </row>
    <row r="187" spans="1:41" s="21" customFormat="1" x14ac:dyDescent="0.25">
      <c r="A187" s="1" t="s">
        <v>14</v>
      </c>
      <c r="B187" s="19" t="s">
        <v>68</v>
      </c>
      <c r="C187" s="28">
        <v>723</v>
      </c>
      <c r="D187" s="28">
        <v>731</v>
      </c>
      <c r="E187" s="28">
        <v>650</v>
      </c>
      <c r="F187" s="28">
        <v>740</v>
      </c>
      <c r="G187" s="28">
        <v>713</v>
      </c>
      <c r="H187" s="28">
        <v>617</v>
      </c>
      <c r="I187" s="28">
        <v>601</v>
      </c>
      <c r="J187" s="28">
        <v>731</v>
      </c>
      <c r="K187" s="28">
        <v>707</v>
      </c>
      <c r="L187" s="28">
        <v>654</v>
      </c>
      <c r="M187" s="28">
        <v>643</v>
      </c>
      <c r="N187" s="28">
        <v>760</v>
      </c>
      <c r="O187" s="28">
        <v>509</v>
      </c>
      <c r="P187" s="28">
        <v>427</v>
      </c>
      <c r="Q187" s="28">
        <v>376</v>
      </c>
      <c r="R187" s="28">
        <v>417</v>
      </c>
      <c r="S187" s="28">
        <v>390</v>
      </c>
      <c r="T187" s="28">
        <v>322</v>
      </c>
      <c r="U187" s="28">
        <v>315</v>
      </c>
      <c r="V187" s="28">
        <v>379</v>
      </c>
      <c r="W187" s="28">
        <v>424</v>
      </c>
      <c r="X187" s="28">
        <v>368</v>
      </c>
      <c r="AA187" s="20">
        <f t="shared" si="85"/>
        <v>2844</v>
      </c>
      <c r="AB187" s="20">
        <f t="shared" si="85"/>
        <v>2662</v>
      </c>
      <c r="AC187" s="20">
        <f t="shared" si="78"/>
        <v>2764</v>
      </c>
      <c r="AD187" s="20">
        <f>SUMIF($C$1:$R$1,AD$1,$C187:$R187)</f>
        <v>1729</v>
      </c>
      <c r="AE187" s="13">
        <f>SUMIF($C$1:$V$1,AE$1,$C187:$V187)-1</f>
        <v>1405</v>
      </c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s="21" customFormat="1" x14ac:dyDescent="0.25">
      <c r="A188" s="1"/>
      <c r="B188" s="19" t="s">
        <v>69</v>
      </c>
      <c r="C188" s="28">
        <v>1082</v>
      </c>
      <c r="D188" s="28">
        <v>1057</v>
      </c>
      <c r="E188" s="28">
        <v>881</v>
      </c>
      <c r="F188" s="28">
        <v>1156</v>
      </c>
      <c r="G188" s="28">
        <v>948</v>
      </c>
      <c r="H188" s="28">
        <v>784</v>
      </c>
      <c r="I188" s="28">
        <v>919</v>
      </c>
      <c r="J188" s="28">
        <v>1019</v>
      </c>
      <c r="K188" s="28">
        <v>995</v>
      </c>
      <c r="L188" s="28">
        <v>957</v>
      </c>
      <c r="M188" s="28">
        <v>893</v>
      </c>
      <c r="N188" s="28">
        <v>1254</v>
      </c>
      <c r="O188" s="28">
        <v>650</v>
      </c>
      <c r="P188" s="28">
        <v>670</v>
      </c>
      <c r="Q188" s="28">
        <v>630</v>
      </c>
      <c r="R188" s="28">
        <v>636</v>
      </c>
      <c r="S188" s="28">
        <v>585</v>
      </c>
      <c r="T188" s="28">
        <v>609</v>
      </c>
      <c r="U188" s="28">
        <v>587</v>
      </c>
      <c r="V188" s="28">
        <v>793</v>
      </c>
      <c r="W188" s="28">
        <v>669</v>
      </c>
      <c r="X188" s="28">
        <v>742</v>
      </c>
      <c r="AA188" s="20">
        <f t="shared" si="85"/>
        <v>4176</v>
      </c>
      <c r="AB188" s="20">
        <f t="shared" si="85"/>
        <v>3670</v>
      </c>
      <c r="AC188" s="20">
        <f t="shared" si="78"/>
        <v>4099</v>
      </c>
      <c r="AD188" s="20">
        <f>SUMIF($C$1:$R$1,AD$1,$C188:$R188)</f>
        <v>2586</v>
      </c>
      <c r="AE188" s="13">
        <f>SUMIF($C$1:$V$1,AE$1,$C188:$V188)+1</f>
        <v>2575</v>
      </c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s="21" customFormat="1" x14ac:dyDescent="0.25">
      <c r="A189" s="1"/>
      <c r="B189" s="19" t="s">
        <v>70</v>
      </c>
      <c r="C189" s="28">
        <v>-358</v>
      </c>
      <c r="D189" s="28">
        <v>-326</v>
      </c>
      <c r="E189" s="28">
        <v>-231</v>
      </c>
      <c r="F189" s="28">
        <v>-416</v>
      </c>
      <c r="G189" s="28">
        <v>-235</v>
      </c>
      <c r="H189" s="28">
        <v>-167</v>
      </c>
      <c r="I189" s="28">
        <v>-318</v>
      </c>
      <c r="J189" s="28">
        <v>-288</v>
      </c>
      <c r="K189" s="28">
        <v>-288</v>
      </c>
      <c r="L189" s="28">
        <v>-303</v>
      </c>
      <c r="M189" s="28">
        <v>-249</v>
      </c>
      <c r="N189" s="28">
        <v>-494</v>
      </c>
      <c r="O189" s="28">
        <v>-141</v>
      </c>
      <c r="P189" s="28">
        <v>-243</v>
      </c>
      <c r="Q189" s="28">
        <v>-254</v>
      </c>
      <c r="R189" s="28">
        <v>-219</v>
      </c>
      <c r="S189" s="28">
        <v>-195</v>
      </c>
      <c r="T189" s="28">
        <v>-287</v>
      </c>
      <c r="U189" s="28">
        <v>-272</v>
      </c>
      <c r="V189" s="28">
        <v>-414</v>
      </c>
      <c r="W189" s="28">
        <v>-244</v>
      </c>
      <c r="X189" s="28">
        <v>-374</v>
      </c>
      <c r="AA189" s="20">
        <f t="shared" si="85"/>
        <v>-1331</v>
      </c>
      <c r="AB189" s="20">
        <f t="shared" si="85"/>
        <v>-1008</v>
      </c>
      <c r="AC189" s="20">
        <f t="shared" si="78"/>
        <v>-1334</v>
      </c>
      <c r="AD189" s="20">
        <f t="shared" ref="AD189" si="108">SUMIF($C$1:$R$1,AD$1,$C189:$R189)</f>
        <v>-857</v>
      </c>
      <c r="AE189" s="13">
        <f>SUMIF($C$1:$V$1,AE$1,$C189:$V189)-1</f>
        <v>-1169</v>
      </c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B190" s="23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AA190" s="13"/>
      <c r="AB190" s="13"/>
      <c r="AC190" s="13"/>
    </row>
    <row r="191" spans="1:41" s="21" customFormat="1" x14ac:dyDescent="0.25">
      <c r="A191" s="1"/>
      <c r="B191" s="19" t="s">
        <v>71</v>
      </c>
      <c r="C191" s="28">
        <v>-1635</v>
      </c>
      <c r="D191" s="28">
        <v>-1716</v>
      </c>
      <c r="E191" s="28">
        <v>-1793</v>
      </c>
      <c r="F191" s="28">
        <v>-1641</v>
      </c>
      <c r="G191" s="28">
        <v>-1554</v>
      </c>
      <c r="H191" s="28">
        <v>-1389</v>
      </c>
      <c r="I191" s="28">
        <v>-1277</v>
      </c>
      <c r="J191" s="28">
        <v>-1370</v>
      </c>
      <c r="K191" s="28">
        <v>-1427</v>
      </c>
      <c r="L191" s="28">
        <v>-1373</v>
      </c>
      <c r="M191" s="28">
        <v>-1358</v>
      </c>
      <c r="N191" s="28">
        <v>-1426</v>
      </c>
      <c r="O191" s="28">
        <v>-1063</v>
      </c>
      <c r="P191" s="28">
        <v>-1111</v>
      </c>
      <c r="Q191" s="28">
        <v>-1293</v>
      </c>
      <c r="R191" s="28">
        <v>-1188</v>
      </c>
      <c r="S191" s="28">
        <v>-1231</v>
      </c>
      <c r="T191" s="28">
        <v>-1217</v>
      </c>
      <c r="U191" s="28">
        <v>-1273</v>
      </c>
      <c r="V191" s="28">
        <v>-1315</v>
      </c>
      <c r="W191" s="28">
        <v>-1435</v>
      </c>
      <c r="X191" s="28">
        <v>-1324</v>
      </c>
      <c r="AA191" s="20">
        <f t="shared" si="85"/>
        <v>-6785</v>
      </c>
      <c r="AB191" s="20">
        <f t="shared" si="85"/>
        <v>-5590</v>
      </c>
      <c r="AC191" s="20">
        <f t="shared" si="78"/>
        <v>-5584</v>
      </c>
      <c r="AD191" s="20">
        <f>SUMIF($C$1:$R$1,AD$1,$C191:$R191)</f>
        <v>-4655</v>
      </c>
      <c r="AE191" s="13">
        <f>SUMIF($C$1:$V$1,AE$1,$C191:$V191)-1</f>
        <v>-5037</v>
      </c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s="21" customFormat="1" x14ac:dyDescent="0.25">
      <c r="A192" s="1"/>
      <c r="B192" s="29" t="s">
        <v>72</v>
      </c>
      <c r="C192" s="30">
        <v>-1644</v>
      </c>
      <c r="D192" s="30">
        <v>-1717</v>
      </c>
      <c r="E192" s="30">
        <v>-1695</v>
      </c>
      <c r="F192" s="30">
        <v>-1662</v>
      </c>
      <c r="G192" s="30">
        <v>-1472</v>
      </c>
      <c r="H192" s="30">
        <v>-1353</v>
      </c>
      <c r="I192" s="30">
        <v>-1303</v>
      </c>
      <c r="J192" s="30">
        <v>-1398</v>
      </c>
      <c r="K192" s="30">
        <v>-1430</v>
      </c>
      <c r="L192" s="30">
        <f>-1386</f>
        <v>-1386</v>
      </c>
      <c r="M192" s="28">
        <v>-1375</v>
      </c>
      <c r="N192" s="28">
        <v>-1420</v>
      </c>
      <c r="O192" s="28">
        <v>-1037</v>
      </c>
      <c r="P192" s="28">
        <v>-1111</v>
      </c>
      <c r="Q192" s="28">
        <v>-1234</v>
      </c>
      <c r="R192" s="28">
        <v>-1146</v>
      </c>
      <c r="S192" s="28">
        <v>-1244</v>
      </c>
      <c r="T192" s="28">
        <v>-1237</v>
      </c>
      <c r="U192" s="28">
        <v>-1254</v>
      </c>
      <c r="V192" s="28">
        <v>-1315</v>
      </c>
      <c r="W192" s="28">
        <v>-1404</v>
      </c>
      <c r="X192" s="28">
        <v>-1327</v>
      </c>
      <c r="AA192" s="20">
        <f t="shared" si="85"/>
        <v>-6718</v>
      </c>
      <c r="AB192" s="20">
        <f t="shared" si="85"/>
        <v>-5526</v>
      </c>
      <c r="AC192" s="20">
        <f t="shared" si="78"/>
        <v>-5611</v>
      </c>
      <c r="AD192" s="20">
        <f>SUMIF($C$1:$R$1,AD$1,$C192:$R192)+1</f>
        <v>-4527</v>
      </c>
      <c r="AE192" s="13">
        <f>SUMIF($C$1:$V$1,AE$1,$C192:$V192)</f>
        <v>-5050</v>
      </c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s="21" customFormat="1" x14ac:dyDescent="0.25">
      <c r="A193" s="1"/>
      <c r="B193" s="19" t="s">
        <v>73</v>
      </c>
      <c r="C193" s="28">
        <v>10</v>
      </c>
      <c r="D193" s="28">
        <v>2</v>
      </c>
      <c r="E193" s="28">
        <v>-98</v>
      </c>
      <c r="F193" s="28">
        <v>21</v>
      </c>
      <c r="G193" s="28">
        <v>-82</v>
      </c>
      <c r="H193" s="28">
        <v>-36</v>
      </c>
      <c r="I193" s="28">
        <v>26</v>
      </c>
      <c r="J193" s="28">
        <v>28</v>
      </c>
      <c r="K193" s="28">
        <v>3</v>
      </c>
      <c r="L193" s="28">
        <v>14</v>
      </c>
      <c r="M193" s="28">
        <v>16</v>
      </c>
      <c r="N193" s="28">
        <v>-5</v>
      </c>
      <c r="O193" s="28">
        <v>-26</v>
      </c>
      <c r="P193" s="28">
        <v>-1</v>
      </c>
      <c r="Q193" s="28">
        <v>-59</v>
      </c>
      <c r="R193" s="28">
        <v>-42</v>
      </c>
      <c r="S193" s="28">
        <v>12</v>
      </c>
      <c r="T193" s="28">
        <v>20</v>
      </c>
      <c r="U193" s="28">
        <v>-19</v>
      </c>
      <c r="V193" s="28">
        <v>0</v>
      </c>
      <c r="W193" s="28">
        <v>-31</v>
      </c>
      <c r="X193" s="28">
        <v>3</v>
      </c>
      <c r="AA193" s="20">
        <f t="shared" si="85"/>
        <v>-65</v>
      </c>
      <c r="AB193" s="20">
        <f t="shared" si="85"/>
        <v>-64</v>
      </c>
      <c r="AC193" s="20">
        <f t="shared" si="78"/>
        <v>28</v>
      </c>
      <c r="AD193" s="20">
        <f t="shared" ref="AD193:AD195" si="109">SUMIF($C$1:$R$1,AD$1,$C193:$R193)</f>
        <v>-128</v>
      </c>
      <c r="AE193" s="13">
        <f>SUMIF($C$1:$V$1,AE$1,$C193:$V193)</f>
        <v>13</v>
      </c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spans="1:41" x14ac:dyDescent="0.25">
      <c r="B195" s="1" t="s">
        <v>74</v>
      </c>
      <c r="C195" s="13">
        <f t="shared" ref="C195:N195" si="110">C51+C129+C188+C192</f>
        <v>18791</v>
      </c>
      <c r="D195" s="13">
        <f t="shared" si="110"/>
        <v>19621</v>
      </c>
      <c r="E195" s="13">
        <f t="shared" si="110"/>
        <v>21341</v>
      </c>
      <c r="F195" s="13">
        <f t="shared" si="110"/>
        <v>21926</v>
      </c>
      <c r="G195" s="13">
        <f t="shared" si="110"/>
        <v>21859</v>
      </c>
      <c r="H195" s="13">
        <f t="shared" si="110"/>
        <v>20188</v>
      </c>
      <c r="I195" s="13">
        <f t="shared" si="110"/>
        <v>20367</v>
      </c>
      <c r="J195" s="13">
        <f t="shared" si="110"/>
        <v>22554</v>
      </c>
      <c r="K195" s="13">
        <f t="shared" si="110"/>
        <v>20276</v>
      </c>
      <c r="L195" s="13">
        <f t="shared" si="110"/>
        <v>20270</v>
      </c>
      <c r="M195" s="13">
        <f t="shared" si="110"/>
        <v>20153</v>
      </c>
      <c r="N195" s="13">
        <f t="shared" si="110"/>
        <v>23241</v>
      </c>
      <c r="O195" s="13">
        <f>O51+O129+O188+O192-1</f>
        <v>19507</v>
      </c>
      <c r="P195" s="13">
        <f>P51+P129+P188+P192+1</f>
        <v>18279</v>
      </c>
      <c r="Q195" s="13">
        <f>Q51+Q129+Q188+Q192+1</f>
        <v>20831</v>
      </c>
      <c r="R195" s="13">
        <f>R51+R129+R188+R192-1</f>
        <v>21722</v>
      </c>
      <c r="S195" s="13">
        <f>S51+S129+S188+S192</f>
        <v>19170</v>
      </c>
      <c r="T195" s="13">
        <f>T51+T129+T188+T192</f>
        <v>18826</v>
      </c>
      <c r="U195" s="13">
        <f>U51+U129+U188+U192</f>
        <v>20113</v>
      </c>
      <c r="V195" s="13">
        <f>V51+V129+V188+V192-2</f>
        <v>22988</v>
      </c>
      <c r="W195" s="13">
        <f>W51+W129+W188+W192-2</f>
        <v>22924</v>
      </c>
      <c r="X195" s="13">
        <f>X51+X129+X188+X192-2</f>
        <v>20642</v>
      </c>
      <c r="AA195" s="13">
        <f t="shared" si="85"/>
        <v>81679</v>
      </c>
      <c r="AB195" s="13">
        <f t="shared" si="85"/>
        <v>84968</v>
      </c>
      <c r="AC195" s="13">
        <f t="shared" ref="AC195:AC201" si="111">SUMIF($C$1:$N$1,AC$1,$C195:$N195)</f>
        <v>83940</v>
      </c>
      <c r="AD195" s="13">
        <f t="shared" si="109"/>
        <v>80339</v>
      </c>
      <c r="AE195" s="13">
        <f>SUMIF($C$1:$V$1,AE$1,$C195:$V195)</f>
        <v>81097</v>
      </c>
    </row>
    <row r="196" spans="1:41" s="23" customFormat="1" x14ac:dyDescent="0.25">
      <c r="B196" s="23" t="s">
        <v>75</v>
      </c>
      <c r="C196" s="31">
        <f t="shared" ref="C196:L196" si="112">C64+C144+C189+C193</f>
        <v>8413</v>
      </c>
      <c r="D196" s="31">
        <f t="shared" si="112"/>
        <v>8928</v>
      </c>
      <c r="E196" s="31">
        <f t="shared" si="112"/>
        <v>8958</v>
      </c>
      <c r="F196" s="31">
        <f t="shared" si="112"/>
        <v>8412</v>
      </c>
      <c r="G196" s="31">
        <f t="shared" si="112"/>
        <v>9151</v>
      </c>
      <c r="H196" s="31">
        <f t="shared" si="112"/>
        <v>9828</v>
      </c>
      <c r="I196" s="31">
        <f t="shared" si="112"/>
        <v>9482</v>
      </c>
      <c r="J196" s="31">
        <f t="shared" si="112"/>
        <v>8001</v>
      </c>
      <c r="K196" s="31">
        <f t="shared" si="112"/>
        <v>9416</v>
      </c>
      <c r="L196" s="31">
        <f t="shared" si="112"/>
        <v>10245</v>
      </c>
      <c r="M196" s="31">
        <f>M64+M144+M189+M193+1</f>
        <v>9962</v>
      </c>
      <c r="N196" s="31">
        <f>N64+N144+N189+N193</f>
        <v>8011</v>
      </c>
      <c r="O196" s="31">
        <f>O64+O144+O189+O193</f>
        <v>8506</v>
      </c>
      <c r="P196" s="31">
        <f>P64+P144+P189+P193+1</f>
        <v>9303</v>
      </c>
      <c r="Q196" s="31">
        <f t="shared" ref="Q196:W196" si="113">Q64+Q144+Q189+Q193</f>
        <v>9184</v>
      </c>
      <c r="R196" s="31">
        <f t="shared" si="113"/>
        <v>8126</v>
      </c>
      <c r="S196" s="31">
        <f t="shared" si="113"/>
        <v>8695</v>
      </c>
      <c r="T196" s="31">
        <f t="shared" si="113"/>
        <v>9424</v>
      </c>
      <c r="U196" s="31">
        <f t="shared" si="113"/>
        <v>9039</v>
      </c>
      <c r="V196" s="31">
        <f t="shared" si="113"/>
        <v>7298</v>
      </c>
      <c r="W196" s="31">
        <f t="shared" si="113"/>
        <v>7966</v>
      </c>
      <c r="X196" s="31">
        <f>X64+X144+X189+X193+1</f>
        <v>8923</v>
      </c>
      <c r="AA196" s="31">
        <f t="shared" si="85"/>
        <v>34711</v>
      </c>
      <c r="AB196" s="31">
        <f t="shared" si="85"/>
        <v>36462</v>
      </c>
      <c r="AC196" s="31">
        <f t="shared" si="111"/>
        <v>37634</v>
      </c>
      <c r="AD196" s="31">
        <f>SUMIF($C$1:$R$1,AD$1,$C196:$R196)-1</f>
        <v>35118</v>
      </c>
      <c r="AE196" s="13">
        <f>SUMIF($C$1:$V$1,AE$1,$C196:$V196)-1</f>
        <v>34455</v>
      </c>
    </row>
    <row r="197" spans="1:41" x14ac:dyDescent="0.25">
      <c r="C197" s="13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spans="1:41" x14ac:dyDescent="0.25">
      <c r="B198" s="23" t="s">
        <v>76</v>
      </c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spans="1:41" x14ac:dyDescent="0.25">
      <c r="B199" s="1" t="s">
        <v>77</v>
      </c>
      <c r="C199" s="15">
        <v>3362</v>
      </c>
      <c r="D199" s="15">
        <v>3383</v>
      </c>
      <c r="E199" s="15">
        <v>3477</v>
      </c>
      <c r="F199" s="15">
        <v>3581</v>
      </c>
      <c r="G199" s="15">
        <v>3548</v>
      </c>
      <c r="H199" s="15">
        <v>3469</v>
      </c>
      <c r="I199" s="15">
        <v>3333</v>
      </c>
      <c r="J199" s="15">
        <v>3472</v>
      </c>
      <c r="K199" s="15">
        <v>3777</v>
      </c>
      <c r="L199" s="15">
        <v>3538</v>
      </c>
      <c r="M199" s="15">
        <v>3493</v>
      </c>
      <c r="N199" s="15">
        <v>3528</v>
      </c>
      <c r="O199" s="15">
        <v>3551</v>
      </c>
      <c r="P199" s="15">
        <v>3539</v>
      </c>
      <c r="Q199" s="15">
        <v>3878</v>
      </c>
      <c r="R199" s="15">
        <v>3833</v>
      </c>
      <c r="S199" s="15">
        <v>3849</v>
      </c>
      <c r="T199" s="15">
        <v>4154</v>
      </c>
      <c r="U199" s="15">
        <v>4020</v>
      </c>
      <c r="V199" s="15">
        <v>4187</v>
      </c>
      <c r="W199" s="16">
        <v>3865</v>
      </c>
      <c r="X199" s="16">
        <v>3688</v>
      </c>
      <c r="AA199" s="13">
        <f t="shared" si="85"/>
        <v>13803</v>
      </c>
      <c r="AB199" s="13">
        <f t="shared" si="85"/>
        <v>13822</v>
      </c>
      <c r="AC199" s="13">
        <f t="shared" si="111"/>
        <v>14336</v>
      </c>
      <c r="AD199" s="13">
        <f>SUMIF($C$1:$R$1,AD$1,$C199:$R199)+1</f>
        <v>14802</v>
      </c>
      <c r="AE199" s="13">
        <f>SUMIF($C$1:$V$1,AE$1,$C199:$V199)</f>
        <v>16210</v>
      </c>
    </row>
    <row r="200" spans="1:41" x14ac:dyDescent="0.25">
      <c r="B200" s="1" t="s">
        <v>78</v>
      </c>
      <c r="C200" s="15">
        <v>592</v>
      </c>
      <c r="D200" s="15">
        <v>586</v>
      </c>
      <c r="E200" s="15">
        <v>603</v>
      </c>
      <c r="F200" s="15">
        <v>595</v>
      </c>
      <c r="G200" s="15">
        <v>592</v>
      </c>
      <c r="H200" s="15">
        <v>568</v>
      </c>
      <c r="I200" s="15">
        <v>517</v>
      </c>
      <c r="J200" s="15">
        <v>520</v>
      </c>
      <c r="K200" s="15">
        <v>556</v>
      </c>
      <c r="L200" s="15">
        <v>572</v>
      </c>
      <c r="M200" s="15">
        <v>571</v>
      </c>
      <c r="N200" s="15">
        <v>562</v>
      </c>
      <c r="O200" s="15">
        <v>569</v>
      </c>
      <c r="P200" s="15">
        <v>563</v>
      </c>
      <c r="Q200" s="15">
        <v>817</v>
      </c>
      <c r="R200" s="15">
        <v>798</v>
      </c>
      <c r="S200" s="15">
        <v>789</v>
      </c>
      <c r="T200" s="15">
        <v>810</v>
      </c>
      <c r="U200" s="15">
        <v>824</v>
      </c>
      <c r="V200" s="15">
        <v>838</v>
      </c>
      <c r="W200" s="16">
        <v>528</v>
      </c>
      <c r="X200" s="16">
        <v>525</v>
      </c>
      <c r="Y200" s="12"/>
      <c r="Z200" s="12"/>
      <c r="AA200" s="12">
        <f t="shared" si="85"/>
        <v>2376</v>
      </c>
      <c r="AB200" s="12">
        <f t="shared" si="85"/>
        <v>2197</v>
      </c>
      <c r="AC200" s="12">
        <f t="shared" si="111"/>
        <v>2261</v>
      </c>
      <c r="AD200" s="13">
        <f t="shared" ref="AD200:AD201" si="114">SUMIF($C$1:$R$1,AD$1,$C200:$R200)</f>
        <v>2747</v>
      </c>
      <c r="AE200" s="13">
        <f>SUMIF($C$1:$V$1,AE$1,$C200:$V200)+2</f>
        <v>3263</v>
      </c>
    </row>
    <row r="201" spans="1:41" x14ac:dyDescent="0.25">
      <c r="B201" s="1" t="s">
        <v>79</v>
      </c>
      <c r="C201" s="15">
        <f>C199-C200</f>
        <v>2770</v>
      </c>
      <c r="D201" s="15">
        <f>D199-D200+1</f>
        <v>2798</v>
      </c>
      <c r="E201" s="15">
        <f>E199-E200+1</f>
        <v>2875</v>
      </c>
      <c r="F201" s="15">
        <f t="shared" ref="F201:L201" si="115">F199-F200</f>
        <v>2986</v>
      </c>
      <c r="G201" s="15">
        <f t="shared" si="115"/>
        <v>2956</v>
      </c>
      <c r="H201" s="15">
        <f t="shared" si="115"/>
        <v>2901</v>
      </c>
      <c r="I201" s="15">
        <f t="shared" si="115"/>
        <v>2816</v>
      </c>
      <c r="J201" s="15">
        <f t="shared" si="115"/>
        <v>2952</v>
      </c>
      <c r="K201" s="15">
        <f t="shared" si="115"/>
        <v>3221</v>
      </c>
      <c r="L201" s="15">
        <f t="shared" si="115"/>
        <v>2966</v>
      </c>
      <c r="M201" s="15">
        <v>2922</v>
      </c>
      <c r="N201" s="15">
        <v>2966</v>
      </c>
      <c r="O201" s="15">
        <v>2982</v>
      </c>
      <c r="P201" s="15">
        <v>2976</v>
      </c>
      <c r="Q201" s="15">
        <v>3061</v>
      </c>
      <c r="R201" s="15">
        <v>3035</v>
      </c>
      <c r="S201" s="15">
        <v>3060</v>
      </c>
      <c r="T201" s="15">
        <v>3344</v>
      </c>
      <c r="U201" s="15">
        <v>3195</v>
      </c>
      <c r="V201" s="15">
        <v>3349</v>
      </c>
      <c r="W201" s="15">
        <f>W199-W200+1</f>
        <v>3338</v>
      </c>
      <c r="X201" s="15">
        <f>X199-X200</f>
        <v>3163</v>
      </c>
      <c r="Y201" s="12"/>
      <c r="Z201" s="12"/>
      <c r="AA201" s="12">
        <f t="shared" si="85"/>
        <v>11429</v>
      </c>
      <c r="AB201" s="12">
        <f t="shared" si="85"/>
        <v>11625</v>
      </c>
      <c r="AC201" s="12">
        <f t="shared" si="111"/>
        <v>12075</v>
      </c>
      <c r="AD201" s="13">
        <f t="shared" si="114"/>
        <v>12054</v>
      </c>
      <c r="AE201" s="13">
        <f>SUMIF($C$1:$V$1,AE$1,$C201:$V201)</f>
        <v>12948</v>
      </c>
    </row>
    <row r="202" spans="1:41" x14ac:dyDescent="0.25"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spans="1:41" x14ac:dyDescent="0.25"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spans="1:41" x14ac:dyDescent="0.25">
      <c r="B204" s="10" t="s">
        <v>13</v>
      </c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spans="1:41" x14ac:dyDescent="0.25">
      <c r="B205" s="19" t="s">
        <v>68</v>
      </c>
      <c r="C205" s="28">
        <v>723</v>
      </c>
      <c r="D205" s="28">
        <v>731</v>
      </c>
      <c r="E205" s="28">
        <v>650</v>
      </c>
      <c r="F205" s="28">
        <v>740</v>
      </c>
      <c r="G205" s="28">
        <v>713</v>
      </c>
      <c r="H205" s="28">
        <v>617</v>
      </c>
      <c r="I205" s="28">
        <v>601</v>
      </c>
      <c r="J205" s="28">
        <v>731</v>
      </c>
      <c r="K205" s="28">
        <v>707</v>
      </c>
      <c r="L205" s="28">
        <v>654</v>
      </c>
      <c r="M205" s="28">
        <v>643</v>
      </c>
      <c r="N205" s="28">
        <v>760</v>
      </c>
      <c r="O205" s="28">
        <v>1029</v>
      </c>
      <c r="P205" s="28">
        <v>955</v>
      </c>
      <c r="Q205" s="28">
        <v>907</v>
      </c>
      <c r="R205" s="28">
        <v>957</v>
      </c>
      <c r="S205" s="28">
        <v>906</v>
      </c>
      <c r="T205" s="28">
        <v>876</v>
      </c>
      <c r="U205" s="28">
        <v>883</v>
      </c>
      <c r="V205" s="28">
        <v>982</v>
      </c>
      <c r="W205" s="28">
        <v>1006</v>
      </c>
      <c r="X205" s="28"/>
      <c r="Y205" s="21"/>
      <c r="Z205" s="21"/>
      <c r="AA205" s="20">
        <v>2844</v>
      </c>
      <c r="AB205" s="20">
        <v>2662</v>
      </c>
      <c r="AC205" s="20">
        <v>2764</v>
      </c>
      <c r="AD205" s="20">
        <v>3847</v>
      </c>
      <c r="AE205" s="13">
        <v>3647</v>
      </c>
    </row>
    <row r="206" spans="1:41" x14ac:dyDescent="0.25">
      <c r="B206" s="19" t="s">
        <v>69</v>
      </c>
      <c r="C206" s="28">
        <v>1082</v>
      </c>
      <c r="D206" s="28">
        <v>1057</v>
      </c>
      <c r="E206" s="28">
        <v>881</v>
      </c>
      <c r="F206" s="28">
        <v>1156</v>
      </c>
      <c r="G206" s="28">
        <v>948</v>
      </c>
      <c r="H206" s="28">
        <v>784</v>
      </c>
      <c r="I206" s="28">
        <v>919</v>
      </c>
      <c r="J206" s="28">
        <v>1019</v>
      </c>
      <c r="K206" s="28">
        <v>995</v>
      </c>
      <c r="L206" s="28">
        <v>957</v>
      </c>
      <c r="M206" s="28">
        <v>893</v>
      </c>
      <c r="N206" s="28">
        <v>1254</v>
      </c>
      <c r="O206" s="28">
        <v>1218</v>
      </c>
      <c r="P206" s="28">
        <v>1141</v>
      </c>
      <c r="Q206" s="28">
        <v>1118</v>
      </c>
      <c r="R206" s="28">
        <v>1282</v>
      </c>
      <c r="S206" s="28">
        <v>1105</v>
      </c>
      <c r="T206" s="28">
        <v>1099</v>
      </c>
      <c r="U206" s="28">
        <v>1086</v>
      </c>
      <c r="V206" s="28">
        <v>1475</v>
      </c>
      <c r="W206" s="28">
        <v>1288</v>
      </c>
      <c r="X206" s="28"/>
      <c r="Y206" s="21"/>
      <c r="Z206" s="21"/>
      <c r="AA206" s="20">
        <v>4176</v>
      </c>
      <c r="AB206" s="20">
        <v>3670</v>
      </c>
      <c r="AC206" s="20">
        <v>4099</v>
      </c>
      <c r="AD206" s="20">
        <v>4758</v>
      </c>
      <c r="AE206" s="13">
        <v>4765</v>
      </c>
    </row>
    <row r="207" spans="1:41" x14ac:dyDescent="0.25">
      <c r="B207" s="19" t="s">
        <v>70</v>
      </c>
      <c r="C207" s="28">
        <v>-358</v>
      </c>
      <c r="D207" s="28">
        <v>-326</v>
      </c>
      <c r="E207" s="28">
        <v>-231</v>
      </c>
      <c r="F207" s="28">
        <v>-416</v>
      </c>
      <c r="G207" s="28">
        <v>-235</v>
      </c>
      <c r="H207" s="28">
        <v>-167</v>
      </c>
      <c r="I207" s="28">
        <v>-318</v>
      </c>
      <c r="J207" s="28">
        <v>-288</v>
      </c>
      <c r="K207" s="28">
        <v>-288</v>
      </c>
      <c r="L207" s="28">
        <v>-303</v>
      </c>
      <c r="M207" s="28">
        <v>-249</v>
      </c>
      <c r="N207" s="28">
        <v>-494</v>
      </c>
      <c r="O207" s="28">
        <v>-189</v>
      </c>
      <c r="P207" s="28">
        <v>-186</v>
      </c>
      <c r="Q207" s="28">
        <v>-211</v>
      </c>
      <c r="R207" s="28">
        <v>-325</v>
      </c>
      <c r="S207" s="28">
        <v>-198</v>
      </c>
      <c r="T207" s="28">
        <v>-223</v>
      </c>
      <c r="U207" s="28">
        <v>-204</v>
      </c>
      <c r="V207" s="28">
        <v>-492</v>
      </c>
      <c r="W207" s="28">
        <v>-283</v>
      </c>
      <c r="X207" s="28"/>
      <c r="Y207" s="21"/>
      <c r="Z207" s="21"/>
      <c r="AA207" s="20">
        <v>-1331</v>
      </c>
      <c r="AB207" s="20">
        <v>-1008</v>
      </c>
      <c r="AC207" s="20">
        <v>-1334</v>
      </c>
      <c r="AD207" s="20">
        <v>-911</v>
      </c>
      <c r="AE207" s="13">
        <v>-1117</v>
      </c>
    </row>
    <row r="208" spans="1:41" x14ac:dyDescent="0.25">
      <c r="B208" s="23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AA208" s="13"/>
      <c r="AB208" s="13"/>
      <c r="AC208" s="13"/>
    </row>
    <row r="209" spans="2:31" x14ac:dyDescent="0.25">
      <c r="B209" s="19" t="s">
        <v>71</v>
      </c>
      <c r="C209" s="28">
        <v>-1635</v>
      </c>
      <c r="D209" s="28">
        <v>-1716</v>
      </c>
      <c r="E209" s="28">
        <v>-1793</v>
      </c>
      <c r="F209" s="28">
        <v>-1641</v>
      </c>
      <c r="G209" s="28">
        <v>-1554</v>
      </c>
      <c r="H209" s="28">
        <v>-1389</v>
      </c>
      <c r="I209" s="28">
        <v>-1277</v>
      </c>
      <c r="J209" s="28">
        <v>-1370</v>
      </c>
      <c r="K209" s="28">
        <v>-1427</v>
      </c>
      <c r="L209" s="28">
        <v>-1373</v>
      </c>
      <c r="M209" s="28">
        <v>-1358</v>
      </c>
      <c r="N209" s="28">
        <v>-1426</v>
      </c>
      <c r="O209" s="28">
        <v>-1135</v>
      </c>
      <c r="P209" s="28">
        <v>-1123</v>
      </c>
      <c r="Q209" s="28">
        <v>-1306</v>
      </c>
      <c r="R209" s="28">
        <v>-1207</v>
      </c>
      <c r="S209" s="28">
        <v>-1244</v>
      </c>
      <c r="T209" s="28">
        <v>-1230</v>
      </c>
      <c r="U209" s="28">
        <v>-1286</v>
      </c>
      <c r="V209" s="28">
        <v>-1328</v>
      </c>
      <c r="W209" s="28">
        <v>-1452</v>
      </c>
      <c r="X209" s="28"/>
      <c r="Y209" s="21"/>
      <c r="Z209" s="21"/>
      <c r="AA209" s="20">
        <v>-6785</v>
      </c>
      <c r="AB209" s="20">
        <v>-5590</v>
      </c>
      <c r="AC209" s="20">
        <v>-5584</v>
      </c>
      <c r="AD209" s="20">
        <v>-4772</v>
      </c>
      <c r="AE209" s="13">
        <v>-5088</v>
      </c>
    </row>
    <row r="210" spans="2:31" x14ac:dyDescent="0.25">
      <c r="B210" s="29" t="s">
        <v>72</v>
      </c>
      <c r="C210" s="30">
        <v>-1644</v>
      </c>
      <c r="D210" s="30">
        <v>-1717</v>
      </c>
      <c r="E210" s="30">
        <v>-1695</v>
      </c>
      <c r="F210" s="30">
        <v>-1662</v>
      </c>
      <c r="G210" s="30">
        <v>-1472</v>
      </c>
      <c r="H210" s="30">
        <v>-1353</v>
      </c>
      <c r="I210" s="30">
        <v>-1303</v>
      </c>
      <c r="J210" s="30">
        <v>-1398</v>
      </c>
      <c r="K210" s="30">
        <v>-1430</v>
      </c>
      <c r="L210" s="30">
        <v>-1386</v>
      </c>
      <c r="M210" s="28">
        <v>-1375</v>
      </c>
      <c r="N210" s="28">
        <v>-1420</v>
      </c>
      <c r="O210" s="28">
        <v>-1109</v>
      </c>
      <c r="P210" s="28">
        <v>-1122</v>
      </c>
      <c r="Q210" s="28">
        <v>-1247</v>
      </c>
      <c r="R210" s="28">
        <v>-1164</v>
      </c>
      <c r="S210" s="28">
        <v>-1256</v>
      </c>
      <c r="T210" s="28">
        <v>-1251</v>
      </c>
      <c r="U210" s="28">
        <v>-1267</v>
      </c>
      <c r="V210" s="28">
        <v>-1328</v>
      </c>
      <c r="W210" s="28">
        <v>-1421</v>
      </c>
      <c r="X210" s="28"/>
      <c r="Y210" s="21"/>
      <c r="Z210" s="21"/>
      <c r="AA210" s="20">
        <v>-6718</v>
      </c>
      <c r="AB210" s="20">
        <v>-5526</v>
      </c>
      <c r="AC210" s="20">
        <v>-5611</v>
      </c>
      <c r="AD210" s="20">
        <v>-4642</v>
      </c>
      <c r="AE210" s="13">
        <v>-5102</v>
      </c>
    </row>
    <row r="211" spans="2:31" x14ac:dyDescent="0.25">
      <c r="B211" s="19" t="s">
        <v>73</v>
      </c>
      <c r="C211" s="28">
        <v>10</v>
      </c>
      <c r="D211" s="28">
        <v>2</v>
      </c>
      <c r="E211" s="28">
        <v>-98</v>
      </c>
      <c r="F211" s="28">
        <v>21</v>
      </c>
      <c r="G211" s="28">
        <v>-82</v>
      </c>
      <c r="H211" s="28">
        <v>-36</v>
      </c>
      <c r="I211" s="28">
        <v>26</v>
      </c>
      <c r="J211" s="28">
        <v>28</v>
      </c>
      <c r="K211" s="28">
        <v>3</v>
      </c>
      <c r="L211" s="28">
        <v>14</v>
      </c>
      <c r="M211" s="28">
        <v>16</v>
      </c>
      <c r="N211" s="28">
        <v>-5</v>
      </c>
      <c r="O211" s="28">
        <v>-26</v>
      </c>
      <c r="P211" s="28">
        <v>-1</v>
      </c>
      <c r="Q211" s="28">
        <v>-59</v>
      </c>
      <c r="R211" s="28">
        <v>-42</v>
      </c>
      <c r="S211" s="28">
        <v>12</v>
      </c>
      <c r="T211" s="28">
        <v>20</v>
      </c>
      <c r="U211" s="28">
        <v>-19</v>
      </c>
      <c r="V211" s="28">
        <v>0</v>
      </c>
      <c r="W211" s="28">
        <v>-31</v>
      </c>
      <c r="X211" s="28"/>
      <c r="Y211" s="21"/>
      <c r="Z211" s="21"/>
      <c r="AA211" s="20">
        <v>-65</v>
      </c>
      <c r="AB211" s="20">
        <v>-64</v>
      </c>
      <c r="AC211" s="20">
        <v>28</v>
      </c>
      <c r="AD211" s="20">
        <v>-128</v>
      </c>
      <c r="AE211" s="13">
        <v>13</v>
      </c>
    </row>
    <row r="212" spans="2:31" x14ac:dyDescent="0.25"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spans="2:31" x14ac:dyDescent="0.25">
      <c r="B213" s="1" t="s">
        <v>74</v>
      </c>
      <c r="C213" s="13">
        <v>18791</v>
      </c>
      <c r="D213" s="13">
        <v>19621</v>
      </c>
      <c r="E213" s="13">
        <v>21341</v>
      </c>
      <c r="F213" s="13">
        <v>21926</v>
      </c>
      <c r="G213" s="13">
        <v>21859</v>
      </c>
      <c r="H213" s="13">
        <v>20188</v>
      </c>
      <c r="I213" s="13">
        <v>20367</v>
      </c>
      <c r="J213" s="13">
        <v>22554</v>
      </c>
      <c r="K213" s="13">
        <v>20276</v>
      </c>
      <c r="L213" s="13">
        <v>20270</v>
      </c>
      <c r="M213" s="13">
        <v>20153</v>
      </c>
      <c r="N213" s="13">
        <v>23241</v>
      </c>
      <c r="O213" s="13">
        <v>20003</v>
      </c>
      <c r="P213" s="13">
        <v>18739</v>
      </c>
      <c r="Q213" s="13">
        <v>21306</v>
      </c>
      <c r="R213" s="13">
        <v>22350</v>
      </c>
      <c r="S213" s="13">
        <v>19678</v>
      </c>
      <c r="T213" s="13">
        <v>19302</v>
      </c>
      <c r="U213" s="13">
        <v>20599</v>
      </c>
      <c r="V213" s="13">
        <v>23657</v>
      </c>
      <c r="W213" s="13">
        <v>23526</v>
      </c>
      <c r="X213" s="13"/>
      <c r="AA213" s="13">
        <v>81679</v>
      </c>
      <c r="AB213" s="13">
        <v>84968</v>
      </c>
      <c r="AC213" s="13">
        <v>83940</v>
      </c>
      <c r="AD213" s="13">
        <v>82398</v>
      </c>
      <c r="AE213" s="13">
        <v>83236</v>
      </c>
    </row>
    <row r="214" spans="2:31" x14ac:dyDescent="0.25">
      <c r="B214" s="23" t="s">
        <v>75</v>
      </c>
      <c r="C214" s="31">
        <v>8413</v>
      </c>
      <c r="D214" s="31">
        <v>8928</v>
      </c>
      <c r="E214" s="31">
        <v>8958</v>
      </c>
      <c r="F214" s="31">
        <v>8412</v>
      </c>
      <c r="G214" s="31">
        <v>9151</v>
      </c>
      <c r="H214" s="31">
        <v>9828</v>
      </c>
      <c r="I214" s="31">
        <v>9482</v>
      </c>
      <c r="J214" s="31">
        <v>8001</v>
      </c>
      <c r="K214" s="31">
        <v>9416</v>
      </c>
      <c r="L214" s="31">
        <v>10245</v>
      </c>
      <c r="M214" s="31">
        <v>9962</v>
      </c>
      <c r="N214" s="31">
        <v>8011</v>
      </c>
      <c r="O214" s="31">
        <v>8458</v>
      </c>
      <c r="P214" s="31">
        <v>9360</v>
      </c>
      <c r="Q214" s="31">
        <v>9227</v>
      </c>
      <c r="R214" s="31">
        <v>8020</v>
      </c>
      <c r="S214" s="31">
        <v>8692</v>
      </c>
      <c r="T214" s="31">
        <v>9488</v>
      </c>
      <c r="U214" s="31">
        <v>9107</v>
      </c>
      <c r="V214" s="31">
        <v>7220</v>
      </c>
      <c r="W214" s="31">
        <v>7927</v>
      </c>
      <c r="X214" s="31"/>
      <c r="Y214" s="23"/>
      <c r="Z214" s="23"/>
      <c r="AA214" s="31">
        <v>34711</v>
      </c>
      <c r="AB214" s="31">
        <v>36462</v>
      </c>
      <c r="AC214" s="31">
        <v>37634</v>
      </c>
      <c r="AD214" s="31">
        <v>35064</v>
      </c>
      <c r="AE214" s="13">
        <v>34506</v>
      </c>
    </row>
    <row r="215" spans="2:31" x14ac:dyDescent="0.25">
      <c r="C215" s="13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2:31" x14ac:dyDescent="0.25">
      <c r="B216" s="23" t="s">
        <v>76</v>
      </c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2:31" x14ac:dyDescent="0.25">
      <c r="B217" s="1" t="s">
        <v>77</v>
      </c>
      <c r="C217" s="15">
        <v>3362</v>
      </c>
      <c r="D217" s="15">
        <v>3383</v>
      </c>
      <c r="E217" s="15">
        <v>3477</v>
      </c>
      <c r="F217" s="15">
        <v>3581</v>
      </c>
      <c r="G217" s="15">
        <v>3548</v>
      </c>
      <c r="H217" s="15">
        <v>3469</v>
      </c>
      <c r="I217" s="15">
        <v>3333</v>
      </c>
      <c r="J217" s="15">
        <v>3472</v>
      </c>
      <c r="K217" s="15">
        <v>3777</v>
      </c>
      <c r="L217" s="15">
        <v>3538</v>
      </c>
      <c r="M217" s="15">
        <v>3493</v>
      </c>
      <c r="N217" s="15">
        <v>3528</v>
      </c>
      <c r="O217" s="15">
        <v>3551</v>
      </c>
      <c r="P217" s="15">
        <v>3539</v>
      </c>
      <c r="Q217" s="15">
        <v>3878</v>
      </c>
      <c r="R217" s="15">
        <v>3833</v>
      </c>
      <c r="S217" s="15">
        <v>3849</v>
      </c>
      <c r="T217" s="15">
        <v>4154</v>
      </c>
      <c r="U217" s="15">
        <v>4020</v>
      </c>
      <c r="V217" s="15">
        <v>4187</v>
      </c>
      <c r="W217" s="16">
        <v>3865</v>
      </c>
      <c r="X217" s="16"/>
      <c r="AA217" s="13">
        <v>13803</v>
      </c>
      <c r="AB217" s="13">
        <v>13822</v>
      </c>
      <c r="AC217" s="13">
        <v>14336</v>
      </c>
      <c r="AD217" s="13">
        <v>14802</v>
      </c>
      <c r="AE217" s="13">
        <v>16210</v>
      </c>
    </row>
    <row r="218" spans="2:31" x14ac:dyDescent="0.25">
      <c r="B218" s="1" t="s">
        <v>78</v>
      </c>
      <c r="C218" s="15">
        <v>592</v>
      </c>
      <c r="D218" s="15">
        <v>586</v>
      </c>
      <c r="E218" s="15">
        <v>603</v>
      </c>
      <c r="F218" s="15">
        <v>595</v>
      </c>
      <c r="G218" s="15">
        <v>592</v>
      </c>
      <c r="H218" s="15">
        <v>568</v>
      </c>
      <c r="I218" s="15">
        <v>517</v>
      </c>
      <c r="J218" s="15">
        <v>520</v>
      </c>
      <c r="K218" s="15">
        <v>556</v>
      </c>
      <c r="L218" s="15">
        <v>572</v>
      </c>
      <c r="M218" s="15">
        <v>571</v>
      </c>
      <c r="N218" s="15">
        <v>562</v>
      </c>
      <c r="O218" s="15">
        <v>569</v>
      </c>
      <c r="P218" s="15">
        <v>563</v>
      </c>
      <c r="Q218" s="15">
        <v>817</v>
      </c>
      <c r="R218" s="15">
        <v>798</v>
      </c>
      <c r="S218" s="15">
        <v>789</v>
      </c>
      <c r="T218" s="15">
        <v>810</v>
      </c>
      <c r="U218" s="15">
        <v>824</v>
      </c>
      <c r="V218" s="15">
        <v>838</v>
      </c>
      <c r="W218" s="16">
        <v>528</v>
      </c>
      <c r="X218" s="16"/>
      <c r="Y218" s="12"/>
      <c r="Z218" s="12"/>
      <c r="AA218" s="12">
        <v>2376</v>
      </c>
      <c r="AB218" s="12">
        <v>2197</v>
      </c>
      <c r="AC218" s="12">
        <v>2261</v>
      </c>
      <c r="AD218" s="13">
        <v>2747</v>
      </c>
      <c r="AE218" s="13">
        <v>3263</v>
      </c>
    </row>
    <row r="219" spans="2:31" x14ac:dyDescent="0.25">
      <c r="B219" s="1" t="s">
        <v>79</v>
      </c>
      <c r="C219" s="15">
        <v>2770</v>
      </c>
      <c r="D219" s="15">
        <v>2798</v>
      </c>
      <c r="E219" s="15">
        <v>2875</v>
      </c>
      <c r="F219" s="15">
        <v>2986</v>
      </c>
      <c r="G219" s="15">
        <v>2956</v>
      </c>
      <c r="H219" s="15">
        <v>2901</v>
      </c>
      <c r="I219" s="15">
        <v>2816</v>
      </c>
      <c r="J219" s="15">
        <v>2952</v>
      </c>
      <c r="K219" s="15">
        <v>3221</v>
      </c>
      <c r="L219" s="15">
        <v>2966</v>
      </c>
      <c r="M219" s="15">
        <v>2922</v>
      </c>
      <c r="N219" s="15">
        <v>2966</v>
      </c>
      <c r="O219" s="15">
        <v>2982</v>
      </c>
      <c r="P219" s="15">
        <v>2976</v>
      </c>
      <c r="Q219" s="15">
        <v>3061</v>
      </c>
      <c r="R219" s="15">
        <v>3035</v>
      </c>
      <c r="S219" s="15">
        <v>3060</v>
      </c>
      <c r="T219" s="15">
        <v>3344</v>
      </c>
      <c r="U219" s="15">
        <v>3195</v>
      </c>
      <c r="V219" s="15">
        <v>3349</v>
      </c>
      <c r="W219" s="15">
        <v>3337</v>
      </c>
      <c r="X219" s="15"/>
      <c r="Y219" s="12"/>
      <c r="Z219" s="12"/>
      <c r="AA219" s="12">
        <v>11429</v>
      </c>
      <c r="AB219" s="12">
        <v>11625</v>
      </c>
      <c r="AC219" s="12">
        <v>12075</v>
      </c>
      <c r="AD219" s="13">
        <v>12054</v>
      </c>
      <c r="AE219" s="13">
        <v>12948</v>
      </c>
    </row>
    <row r="220" spans="2:31" x14ac:dyDescent="0.25"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spans="2:31" x14ac:dyDescent="0.25"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spans="2:31" x14ac:dyDescent="0.25">
      <c r="B222" s="10" t="s">
        <v>28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spans="2:31" x14ac:dyDescent="0.25">
      <c r="B223" s="19" t="s">
        <v>68</v>
      </c>
      <c r="C223" s="28">
        <v>723</v>
      </c>
      <c r="D223" s="28">
        <v>731</v>
      </c>
      <c r="E223" s="28">
        <v>650</v>
      </c>
      <c r="F223" s="28">
        <v>740</v>
      </c>
      <c r="G223" s="28">
        <v>713</v>
      </c>
      <c r="H223" s="28">
        <v>617</v>
      </c>
      <c r="I223" s="28">
        <v>601</v>
      </c>
      <c r="J223" s="28">
        <v>731</v>
      </c>
      <c r="K223" s="28">
        <v>707</v>
      </c>
      <c r="L223" s="28">
        <v>654</v>
      </c>
      <c r="M223" s="28">
        <v>643</v>
      </c>
      <c r="N223" s="28">
        <v>760</v>
      </c>
      <c r="O223" s="28">
        <v>767</v>
      </c>
      <c r="P223" s="28">
        <v>706</v>
      </c>
      <c r="Q223" s="28">
        <v>675</v>
      </c>
      <c r="R223" s="28">
        <v>784</v>
      </c>
      <c r="S223" s="28">
        <v>741</v>
      </c>
      <c r="T223" s="28">
        <v>708</v>
      </c>
      <c r="U223" s="28">
        <v>736</v>
      </c>
      <c r="V223" s="28">
        <v>858</v>
      </c>
      <c r="W223" s="21"/>
      <c r="X223" s="21"/>
      <c r="Y223" s="21"/>
      <c r="Z223" s="21"/>
      <c r="AA223" s="20">
        <v>2844</v>
      </c>
      <c r="AB223" s="20">
        <v>2662</v>
      </c>
      <c r="AC223" s="20">
        <v>2764</v>
      </c>
      <c r="AD223" s="20">
        <v>2932</v>
      </c>
      <c r="AE223" s="13">
        <v>3043</v>
      </c>
    </row>
    <row r="224" spans="2:31" x14ac:dyDescent="0.25">
      <c r="B224" s="19" t="s">
        <v>69</v>
      </c>
      <c r="C224" s="28">
        <v>1082</v>
      </c>
      <c r="D224" s="28">
        <v>1057</v>
      </c>
      <c r="E224" s="28">
        <v>881</v>
      </c>
      <c r="F224" s="28">
        <v>1156</v>
      </c>
      <c r="G224" s="28">
        <v>948</v>
      </c>
      <c r="H224" s="28">
        <v>784</v>
      </c>
      <c r="I224" s="28">
        <v>919</v>
      </c>
      <c r="J224" s="28">
        <v>1019</v>
      </c>
      <c r="K224" s="28">
        <v>995</v>
      </c>
      <c r="L224" s="28">
        <v>957</v>
      </c>
      <c r="M224" s="28">
        <v>893</v>
      </c>
      <c r="N224" s="28">
        <v>1254</v>
      </c>
      <c r="O224" s="28">
        <v>1096</v>
      </c>
      <c r="P224" s="28">
        <v>966</v>
      </c>
      <c r="Q224" s="28">
        <v>978</v>
      </c>
      <c r="R224" s="28">
        <v>1268</v>
      </c>
      <c r="S224" s="28">
        <v>1052</v>
      </c>
      <c r="T224" s="28">
        <v>990</v>
      </c>
      <c r="U224" s="28">
        <v>1009</v>
      </c>
      <c r="V224" s="28">
        <v>1467</v>
      </c>
      <c r="W224" s="21"/>
      <c r="X224" s="21"/>
      <c r="Y224" s="21"/>
      <c r="Z224" s="21"/>
      <c r="AA224" s="20">
        <v>4176</v>
      </c>
      <c r="AB224" s="20">
        <v>3670</v>
      </c>
      <c r="AC224" s="20">
        <v>4099</v>
      </c>
      <c r="AD224" s="20">
        <v>4308</v>
      </c>
      <c r="AE224" s="13">
        <v>4518</v>
      </c>
    </row>
    <row r="225" spans="1:31" x14ac:dyDescent="0.25">
      <c r="B225" s="19" t="s">
        <v>70</v>
      </c>
      <c r="C225" s="28">
        <v>-358</v>
      </c>
      <c r="D225" s="28">
        <v>-326</v>
      </c>
      <c r="E225" s="28">
        <v>-231</v>
      </c>
      <c r="F225" s="28">
        <v>-416</v>
      </c>
      <c r="G225" s="28">
        <v>-235</v>
      </c>
      <c r="H225" s="28">
        <v>-167</v>
      </c>
      <c r="I225" s="28">
        <v>-318</v>
      </c>
      <c r="J225" s="28">
        <v>-288</v>
      </c>
      <c r="K225" s="28">
        <v>-288</v>
      </c>
      <c r="L225" s="28">
        <v>-303</v>
      </c>
      <c r="M225" s="28">
        <v>-249</v>
      </c>
      <c r="N225" s="28">
        <v>-494</v>
      </c>
      <c r="O225" s="28">
        <v>-329</v>
      </c>
      <c r="P225" s="28">
        <v>-260</v>
      </c>
      <c r="Q225" s="28">
        <v>-302</v>
      </c>
      <c r="R225" s="28">
        <v>-484</v>
      </c>
      <c r="S225" s="28">
        <v>-311</v>
      </c>
      <c r="T225" s="28">
        <v>-282</v>
      </c>
      <c r="U225" s="28">
        <v>-273</v>
      </c>
      <c r="V225" s="28">
        <v>-608</v>
      </c>
      <c r="W225" s="21"/>
      <c r="X225" s="21"/>
      <c r="Y225" s="21"/>
      <c r="Z225" s="21"/>
      <c r="AA225" s="20">
        <v>-1331</v>
      </c>
      <c r="AB225" s="20">
        <v>-1008</v>
      </c>
      <c r="AC225" s="20">
        <v>-1334</v>
      </c>
      <c r="AD225" s="20">
        <v>-1375</v>
      </c>
      <c r="AE225" s="13">
        <v>-1474</v>
      </c>
    </row>
    <row r="226" spans="1:31" x14ac:dyDescent="0.25">
      <c r="B226" s="23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AA226" s="13"/>
      <c r="AB226" s="13"/>
      <c r="AC226" s="13"/>
    </row>
    <row r="227" spans="1:31" x14ac:dyDescent="0.25">
      <c r="B227" s="19" t="s">
        <v>71</v>
      </c>
      <c r="C227" s="28">
        <v>-1635</v>
      </c>
      <c r="D227" s="28">
        <v>-1716</v>
      </c>
      <c r="E227" s="28">
        <v>-1793</v>
      </c>
      <c r="F227" s="28">
        <v>-1641</v>
      </c>
      <c r="G227" s="28">
        <v>-1554</v>
      </c>
      <c r="H227" s="28">
        <v>-1389</v>
      </c>
      <c r="I227" s="28">
        <v>-1277</v>
      </c>
      <c r="J227" s="28">
        <v>-1370</v>
      </c>
      <c r="K227" s="28">
        <v>-1427</v>
      </c>
      <c r="L227" s="28">
        <v>-1373</v>
      </c>
      <c r="M227" s="28">
        <v>-1358</v>
      </c>
      <c r="N227" s="28">
        <v>-1426</v>
      </c>
      <c r="O227" s="28">
        <v>-1358</v>
      </c>
      <c r="P227" s="28">
        <v>-1320</v>
      </c>
      <c r="Q227" s="28">
        <v>-1495</v>
      </c>
      <c r="R227" s="28">
        <v>-1411</v>
      </c>
      <c r="S227" s="28">
        <v>-1449</v>
      </c>
      <c r="T227" s="28">
        <v>-1410</v>
      </c>
      <c r="U227" s="28">
        <v>-1456</v>
      </c>
      <c r="V227" s="28">
        <v>-1521</v>
      </c>
      <c r="W227" s="21"/>
      <c r="X227" s="21"/>
      <c r="Y227" s="21"/>
      <c r="Z227" s="21"/>
      <c r="AA227" s="20">
        <v>-6785</v>
      </c>
      <c r="AB227" s="20">
        <v>-5590</v>
      </c>
      <c r="AC227" s="20">
        <v>-5584</v>
      </c>
      <c r="AD227" s="20">
        <v>-5584</v>
      </c>
      <c r="AE227" s="13">
        <v>-5836</v>
      </c>
    </row>
    <row r="228" spans="1:31" x14ac:dyDescent="0.25">
      <c r="B228" s="29" t="s">
        <v>72</v>
      </c>
      <c r="C228" s="30">
        <v>-1644</v>
      </c>
      <c r="D228" s="30">
        <v>-1717</v>
      </c>
      <c r="E228" s="30">
        <v>-1695</v>
      </c>
      <c r="F228" s="30">
        <v>-1662</v>
      </c>
      <c r="G228" s="30">
        <v>-1472</v>
      </c>
      <c r="H228" s="30">
        <v>-1353</v>
      </c>
      <c r="I228" s="30">
        <v>-1303</v>
      </c>
      <c r="J228" s="30">
        <v>-1398</v>
      </c>
      <c r="K228" s="30">
        <v>-1430</v>
      </c>
      <c r="L228" s="30">
        <v>-1386</v>
      </c>
      <c r="M228" s="28">
        <v>-1375</v>
      </c>
      <c r="N228" s="28">
        <v>-1420</v>
      </c>
      <c r="O228" s="28">
        <v>-1332</v>
      </c>
      <c r="P228" s="28">
        <v>-1320</v>
      </c>
      <c r="Q228" s="28">
        <v>-1436</v>
      </c>
      <c r="R228" s="28">
        <v>-1369</v>
      </c>
      <c r="S228" s="28">
        <v>-1461</v>
      </c>
      <c r="T228" s="28">
        <v>-1430</v>
      </c>
      <c r="U228" s="28">
        <v>-1437</v>
      </c>
      <c r="V228" s="28">
        <v>-1521</v>
      </c>
      <c r="W228" s="21"/>
      <c r="X228" s="21"/>
      <c r="Y228" s="21"/>
      <c r="Z228" s="21"/>
      <c r="AA228" s="20">
        <v>-6718</v>
      </c>
      <c r="AB228" s="20">
        <v>-5526</v>
      </c>
      <c r="AC228" s="20">
        <v>-5611</v>
      </c>
      <c r="AD228" s="20">
        <v>-5457</v>
      </c>
      <c r="AE228" s="13">
        <v>-5849</v>
      </c>
    </row>
    <row r="229" spans="1:31" x14ac:dyDescent="0.25">
      <c r="B229" s="19" t="s">
        <v>73</v>
      </c>
      <c r="C229" s="28">
        <v>10</v>
      </c>
      <c r="D229" s="28">
        <v>2</v>
      </c>
      <c r="E229" s="28">
        <v>-98</v>
      </c>
      <c r="F229" s="28">
        <v>21</v>
      </c>
      <c r="G229" s="28">
        <v>-82</v>
      </c>
      <c r="H229" s="28">
        <v>-36</v>
      </c>
      <c r="I229" s="28">
        <v>26</v>
      </c>
      <c r="J229" s="28">
        <v>28</v>
      </c>
      <c r="K229" s="28">
        <v>3</v>
      </c>
      <c r="L229" s="28">
        <v>14</v>
      </c>
      <c r="M229" s="28">
        <v>16</v>
      </c>
      <c r="N229" s="28">
        <v>-5</v>
      </c>
      <c r="O229" s="28">
        <v>-26</v>
      </c>
      <c r="P229" s="28">
        <v>-1</v>
      </c>
      <c r="Q229" s="28">
        <v>-59</v>
      </c>
      <c r="R229" s="28">
        <v>-42</v>
      </c>
      <c r="S229" s="28">
        <v>12</v>
      </c>
      <c r="T229" s="28">
        <v>20</v>
      </c>
      <c r="U229" s="28">
        <v>-19</v>
      </c>
      <c r="V229" s="28">
        <v>0</v>
      </c>
      <c r="W229" s="21"/>
      <c r="X229" s="21"/>
      <c r="Y229" s="21"/>
      <c r="Z229" s="21"/>
      <c r="AA229" s="20">
        <v>-65</v>
      </c>
      <c r="AB229" s="20">
        <v>-64</v>
      </c>
      <c r="AC229" s="20">
        <v>28</v>
      </c>
      <c r="AD229" s="20">
        <v>-128</v>
      </c>
      <c r="AE229" s="13">
        <v>13</v>
      </c>
    </row>
    <row r="230" spans="1:31" x14ac:dyDescent="0.25"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31" x14ac:dyDescent="0.25">
      <c r="B231" s="1" t="s">
        <v>74</v>
      </c>
      <c r="C231" s="13">
        <v>18791</v>
      </c>
      <c r="D231" s="13">
        <v>19621</v>
      </c>
      <c r="E231" s="13">
        <v>21341</v>
      </c>
      <c r="F231" s="13">
        <v>21926</v>
      </c>
      <c r="G231" s="13">
        <v>21859</v>
      </c>
      <c r="H231" s="13">
        <v>20188</v>
      </c>
      <c r="I231" s="13">
        <v>20367</v>
      </c>
      <c r="J231" s="13">
        <v>22554</v>
      </c>
      <c r="K231" s="13">
        <v>20276</v>
      </c>
      <c r="L231" s="13">
        <v>20270</v>
      </c>
      <c r="M231" s="13">
        <v>20153</v>
      </c>
      <c r="N231" s="13">
        <v>23241</v>
      </c>
      <c r="O231" s="13">
        <v>20701</v>
      </c>
      <c r="P231" s="13">
        <v>19516</v>
      </c>
      <c r="Q231" s="13">
        <v>22335</v>
      </c>
      <c r="R231" s="13">
        <v>23108</v>
      </c>
      <c r="S231" s="13">
        <v>20355</v>
      </c>
      <c r="T231" s="13">
        <v>20028</v>
      </c>
      <c r="U231" s="13">
        <v>21531</v>
      </c>
      <c r="V231" s="13">
        <v>24412</v>
      </c>
      <c r="AA231" s="13">
        <v>81679</v>
      </c>
      <c r="AB231" s="13">
        <v>84968</v>
      </c>
      <c r="AC231" s="13">
        <v>83940</v>
      </c>
      <c r="AD231" s="13">
        <v>85660</v>
      </c>
      <c r="AE231" s="13">
        <v>86326</v>
      </c>
    </row>
    <row r="232" spans="1:31" x14ac:dyDescent="0.25">
      <c r="B232" s="23" t="s">
        <v>75</v>
      </c>
      <c r="C232" s="31">
        <v>8413</v>
      </c>
      <c r="D232" s="31">
        <v>8928</v>
      </c>
      <c r="E232" s="31">
        <v>8958</v>
      </c>
      <c r="F232" s="31">
        <v>8412</v>
      </c>
      <c r="G232" s="31">
        <v>9151</v>
      </c>
      <c r="H232" s="31">
        <v>9828</v>
      </c>
      <c r="I232" s="31">
        <v>9482</v>
      </c>
      <c r="J232" s="31">
        <v>8001</v>
      </c>
      <c r="K232" s="31">
        <v>9416</v>
      </c>
      <c r="L232" s="31">
        <v>10245</v>
      </c>
      <c r="M232" s="31">
        <v>9962</v>
      </c>
      <c r="N232" s="31">
        <v>8011</v>
      </c>
      <c r="O232" s="31">
        <v>9356</v>
      </c>
      <c r="P232" s="31">
        <v>10172</v>
      </c>
      <c r="Q232" s="31">
        <v>9737</v>
      </c>
      <c r="R232" s="31">
        <v>8807</v>
      </c>
      <c r="S232" s="31">
        <v>9531</v>
      </c>
      <c r="T232" s="31">
        <v>10282</v>
      </c>
      <c r="U232" s="31">
        <v>9669</v>
      </c>
      <c r="V232" s="31">
        <v>7901</v>
      </c>
      <c r="W232" s="23"/>
      <c r="X232" s="23"/>
      <c r="Y232" s="23"/>
      <c r="Z232" s="23"/>
      <c r="AA232" s="31">
        <v>34711</v>
      </c>
      <c r="AB232" s="31">
        <v>36462</v>
      </c>
      <c r="AC232" s="31">
        <v>37634</v>
      </c>
      <c r="AD232" s="31">
        <v>38072</v>
      </c>
      <c r="AE232" s="13">
        <v>37383</v>
      </c>
    </row>
    <row r="233" spans="1:31" x14ac:dyDescent="0.25">
      <c r="C233" s="13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spans="1:31" x14ac:dyDescent="0.25">
      <c r="B234" s="23" t="s">
        <v>76</v>
      </c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spans="1:31" x14ac:dyDescent="0.25">
      <c r="B235" s="1" t="s">
        <v>77</v>
      </c>
      <c r="C235" s="15">
        <v>3362</v>
      </c>
      <c r="D235" s="15">
        <v>3383</v>
      </c>
      <c r="E235" s="15">
        <v>3477</v>
      </c>
      <c r="F235" s="15">
        <v>3581</v>
      </c>
      <c r="G235" s="15">
        <v>3548</v>
      </c>
      <c r="H235" s="15">
        <v>3469</v>
      </c>
      <c r="I235" s="15">
        <v>3333</v>
      </c>
      <c r="J235" s="15">
        <v>3472</v>
      </c>
      <c r="K235" s="15">
        <v>3777</v>
      </c>
      <c r="L235" s="15">
        <v>3538</v>
      </c>
      <c r="M235" s="15">
        <v>3493</v>
      </c>
      <c r="N235" s="15">
        <v>3528</v>
      </c>
      <c r="O235" s="15">
        <v>3551</v>
      </c>
      <c r="P235" s="15">
        <v>3539</v>
      </c>
      <c r="Q235" s="15">
        <v>3878</v>
      </c>
      <c r="R235" s="15">
        <v>3833</v>
      </c>
      <c r="S235" s="15">
        <v>3849</v>
      </c>
      <c r="T235" s="15">
        <v>4154</v>
      </c>
      <c r="U235" s="15">
        <v>4020</v>
      </c>
      <c r="V235" s="15">
        <v>4187</v>
      </c>
      <c r="AA235" s="13">
        <v>13803</v>
      </c>
      <c r="AB235" s="13">
        <v>13822</v>
      </c>
      <c r="AC235" s="13">
        <v>14336</v>
      </c>
      <c r="AD235" s="13">
        <v>14801</v>
      </c>
      <c r="AE235" s="13">
        <v>16210</v>
      </c>
    </row>
    <row r="236" spans="1:31" x14ac:dyDescent="0.25">
      <c r="B236" s="1" t="s">
        <v>78</v>
      </c>
      <c r="C236" s="15">
        <v>592</v>
      </c>
      <c r="D236" s="15">
        <v>586</v>
      </c>
      <c r="E236" s="15">
        <v>603</v>
      </c>
      <c r="F236" s="15">
        <v>595</v>
      </c>
      <c r="G236" s="15">
        <v>592</v>
      </c>
      <c r="H236" s="15">
        <v>568</v>
      </c>
      <c r="I236" s="15">
        <v>517</v>
      </c>
      <c r="J236" s="15">
        <v>520</v>
      </c>
      <c r="K236" s="15">
        <v>556</v>
      </c>
      <c r="L236" s="15">
        <v>572</v>
      </c>
      <c r="M236" s="15">
        <v>571</v>
      </c>
      <c r="N236" s="15">
        <v>562</v>
      </c>
      <c r="O236" s="15">
        <v>569</v>
      </c>
      <c r="P236" s="15">
        <v>563</v>
      </c>
      <c r="Q236" s="15">
        <v>817</v>
      </c>
      <c r="R236" s="15">
        <v>798</v>
      </c>
      <c r="S236" s="15">
        <v>789</v>
      </c>
      <c r="T236" s="15">
        <v>810</v>
      </c>
      <c r="U236" s="15">
        <v>824</v>
      </c>
      <c r="V236" s="15">
        <v>838</v>
      </c>
      <c r="W236" s="12"/>
      <c r="X236" s="12"/>
      <c r="Y236" s="12"/>
      <c r="Z236" s="12"/>
      <c r="AA236" s="12">
        <v>2376</v>
      </c>
      <c r="AB236" s="12">
        <v>2197</v>
      </c>
      <c r="AC236" s="12">
        <v>2261</v>
      </c>
      <c r="AD236" s="13">
        <v>2747</v>
      </c>
      <c r="AE236" s="13">
        <v>3261</v>
      </c>
    </row>
    <row r="237" spans="1:31" x14ac:dyDescent="0.25">
      <c r="B237" s="1" t="s">
        <v>79</v>
      </c>
      <c r="C237" s="15">
        <v>2770</v>
      </c>
      <c r="D237" s="15">
        <v>2798</v>
      </c>
      <c r="E237" s="15">
        <v>2875</v>
      </c>
      <c r="F237" s="15">
        <v>2986</v>
      </c>
      <c r="G237" s="15">
        <v>2956</v>
      </c>
      <c r="H237" s="15">
        <v>2901</v>
      </c>
      <c r="I237" s="15">
        <v>2816</v>
      </c>
      <c r="J237" s="15">
        <v>2952</v>
      </c>
      <c r="K237" s="15">
        <v>3221</v>
      </c>
      <c r="L237" s="15">
        <v>2966</v>
      </c>
      <c r="M237" s="15">
        <v>2922</v>
      </c>
      <c r="N237" s="15">
        <v>2966</v>
      </c>
      <c r="O237" s="15">
        <v>2982</v>
      </c>
      <c r="P237" s="15">
        <v>2976</v>
      </c>
      <c r="Q237" s="15">
        <v>3061</v>
      </c>
      <c r="R237" s="15">
        <v>3035</v>
      </c>
      <c r="S237" s="15">
        <v>3060</v>
      </c>
      <c r="T237" s="15">
        <v>3344</v>
      </c>
      <c r="U237" s="15">
        <v>3195</v>
      </c>
      <c r="V237" s="15">
        <v>3349</v>
      </c>
      <c r="W237" s="12"/>
      <c r="X237" s="12"/>
      <c r="Y237" s="12"/>
      <c r="Z237" s="12"/>
      <c r="AA237" s="12">
        <v>11429</v>
      </c>
      <c r="AB237" s="12">
        <v>11625</v>
      </c>
      <c r="AC237" s="12">
        <v>12075</v>
      </c>
      <c r="AD237" s="13">
        <v>12054</v>
      </c>
      <c r="AE237" s="13">
        <v>12948</v>
      </c>
    </row>
    <row r="238" spans="1:31" x14ac:dyDescent="0.25"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spans="1:31" x14ac:dyDescent="0.25">
      <c r="A239" s="1" t="s">
        <v>14</v>
      </c>
      <c r="B239" s="32" t="s">
        <v>80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5">
      <c r="B240" s="1" t="s">
        <v>81</v>
      </c>
      <c r="C240" s="15">
        <v>59936</v>
      </c>
      <c r="D240" s="15">
        <v>60096</v>
      </c>
      <c r="E240" s="15">
        <v>60332</v>
      </c>
      <c r="F240" s="15">
        <v>60527</v>
      </c>
      <c r="G240" s="15">
        <v>60701</v>
      </c>
      <c r="H240" s="15">
        <v>60927</v>
      </c>
      <c r="I240" s="15">
        <v>61144</v>
      </c>
      <c r="J240" s="15">
        <v>61367</v>
      </c>
      <c r="K240" s="15">
        <v>61624</v>
      </c>
      <c r="L240" s="15">
        <v>61838</v>
      </c>
      <c r="M240" s="15">
        <v>62086</v>
      </c>
      <c r="N240" s="15">
        <v>62457</v>
      </c>
      <c r="O240" s="15">
        <v>57000</v>
      </c>
      <c r="P240" s="15">
        <v>57255</v>
      </c>
      <c r="Q240" s="15">
        <v>57536</v>
      </c>
      <c r="R240" s="15">
        <v>57827</v>
      </c>
      <c r="S240" s="15">
        <v>58063</v>
      </c>
      <c r="T240" s="15">
        <v>58356</v>
      </c>
      <c r="U240" s="15">
        <v>58641</v>
      </c>
      <c r="V240" s="15">
        <v>58935</v>
      </c>
      <c r="W240" s="16">
        <v>59164</v>
      </c>
      <c r="X240" s="16">
        <v>59443</v>
      </c>
      <c r="Y240" s="12"/>
      <c r="Z240" s="12"/>
      <c r="AA240" s="13">
        <f>SUMIFS($C240:$M240,$C$1:$M$1,AA$1,$C$2:$M$2,4)</f>
        <v>60527</v>
      </c>
      <c r="AB240" s="13">
        <f t="shared" ref="AB240" si="116">SUMIFS($C240:$M240,$C$1:$M$1,AB$1,$C$2:$M$2,4)</f>
        <v>61367</v>
      </c>
      <c r="AC240" s="13">
        <f>SUMIFS($C240:$N240,$C$1:$N$1,AC$1,$C$2:$N$2,4)</f>
        <v>62457</v>
      </c>
      <c r="AD240" s="13">
        <f>SUMIFS(C240:V240,$C$1:$V$1,AD$1,$C$2:$V$2,4)</f>
        <v>57827</v>
      </c>
      <c r="AE240" s="13">
        <f>SUMIFS(C240:V240,$C$1:$V$1,AE$1,$C$2:$V$2,4)</f>
        <v>58935</v>
      </c>
    </row>
    <row r="241" spans="2:31" x14ac:dyDescent="0.25"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spans="2:31" x14ac:dyDescent="0.25">
      <c r="B242" s="23" t="s">
        <v>82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Y242" s="12"/>
      <c r="Z242" s="12"/>
      <c r="AA242" s="12"/>
      <c r="AB242" s="12"/>
      <c r="AC242" s="12"/>
      <c r="AD242" s="12"/>
      <c r="AE242" s="12"/>
    </row>
    <row r="243" spans="2:31" x14ac:dyDescent="0.25">
      <c r="B243" s="1" t="s">
        <v>83</v>
      </c>
      <c r="C243" s="15">
        <v>31149</v>
      </c>
      <c r="D243" s="15">
        <v>31423</v>
      </c>
      <c r="E243" s="15">
        <v>31658</v>
      </c>
      <c r="F243" s="15">
        <v>31809</v>
      </c>
      <c r="G243" s="15">
        <v>31993</v>
      </c>
      <c r="H243" s="15">
        <v>31955</v>
      </c>
      <c r="I243" s="15">
        <v>31928</v>
      </c>
      <c r="J243" s="15">
        <v>31860</v>
      </c>
      <c r="K243" s="15">
        <v>31826</v>
      </c>
      <c r="L243" s="15">
        <v>31761</v>
      </c>
      <c r="M243" s="15">
        <v>31722</v>
      </c>
      <c r="N243" s="15">
        <v>31648</v>
      </c>
      <c r="O243" s="15">
        <v>31555</v>
      </c>
      <c r="P243" s="15">
        <v>31426</v>
      </c>
      <c r="Q243" s="15">
        <v>31324</v>
      </c>
      <c r="R243" s="15">
        <v>31172</v>
      </c>
      <c r="S243" s="15">
        <v>30969</v>
      </c>
      <c r="T243" s="15">
        <v>30746</v>
      </c>
      <c r="U243" s="15">
        <v>30642</v>
      </c>
      <c r="V243" s="15">
        <v>30439</v>
      </c>
      <c r="W243" s="16">
        <v>30345</v>
      </c>
      <c r="X243" s="16">
        <v>30179</v>
      </c>
      <c r="Y243" s="12"/>
      <c r="Z243" s="12"/>
      <c r="AA243" s="13">
        <f>SUMIFS($C243:$M243,$C$1:$M$1,AA$1,$C$2:$M$2,4)</f>
        <v>31809</v>
      </c>
      <c r="AB243" s="13">
        <f t="shared" ref="AB243" si="117">SUMIFS($C243:$M243,$C$1:$M$1,AB$1,$C$2:$M$2,4)</f>
        <v>31860</v>
      </c>
      <c r="AC243" s="13">
        <f>SUMIFS($C243:$N243,$C$1:$N$1,AC$1,$C$2:$N$2,4)</f>
        <v>31648</v>
      </c>
      <c r="AD243" s="13">
        <f>SUMIFS(C243:V243,$C$1:$V$1,AD$1,$C$2:$V$2,4)</f>
        <v>31172</v>
      </c>
      <c r="AE243" s="13">
        <f>SUMIFS(C243:V243,$C$1:$V$1,AE$1,$C$2:$V$2,4)</f>
        <v>30439</v>
      </c>
    </row>
    <row r="244" spans="2:31" x14ac:dyDescent="0.25">
      <c r="B244" s="17" t="s">
        <v>84</v>
      </c>
      <c r="C244" s="15">
        <v>368</v>
      </c>
      <c r="D244" s="15">
        <v>274</v>
      </c>
      <c r="E244" s="15">
        <v>235</v>
      </c>
      <c r="F244" s="15">
        <v>150</v>
      </c>
      <c r="G244" s="15">
        <v>184</v>
      </c>
      <c r="H244" s="15">
        <v>-38</v>
      </c>
      <c r="I244" s="15">
        <v>-26</v>
      </c>
      <c r="J244" s="15">
        <v>-68</v>
      </c>
      <c r="K244" s="15">
        <v>-34</v>
      </c>
      <c r="L244" s="15">
        <v>-65</v>
      </c>
      <c r="M244" s="15">
        <v>-39</v>
      </c>
      <c r="N244" s="15">
        <v>-74</v>
      </c>
      <c r="O244" s="15">
        <v>-94</v>
      </c>
      <c r="P244" s="15">
        <v>-128</v>
      </c>
      <c r="Q244" s="15">
        <v>-103</v>
      </c>
      <c r="R244" s="15">
        <v>-151</v>
      </c>
      <c r="S244" s="15">
        <v>-204</v>
      </c>
      <c r="T244" s="15">
        <v>-223</v>
      </c>
      <c r="U244" s="15">
        <v>-103</v>
      </c>
      <c r="V244" s="15">
        <v>-203</v>
      </c>
      <c r="W244" s="16">
        <v>-94</v>
      </c>
      <c r="X244" s="16">
        <v>-166</v>
      </c>
      <c r="Y244" s="12"/>
      <c r="Z244" s="12"/>
      <c r="AA244" s="13">
        <f t="shared" ref="AA244:AB244" si="118">SUMIF($C$1:$M$1,AA$1,$C244:$M244)</f>
        <v>1027</v>
      </c>
      <c r="AB244" s="13">
        <f t="shared" si="118"/>
        <v>52</v>
      </c>
      <c r="AC244" s="13">
        <f>AC243-AB243</f>
        <v>-212</v>
      </c>
      <c r="AD244" s="13">
        <f>AD243-AC243</f>
        <v>-476</v>
      </c>
      <c r="AE244" s="13">
        <f>AE243-AD243</f>
        <v>-733</v>
      </c>
    </row>
    <row r="245" spans="2:31" x14ac:dyDescent="0.25">
      <c r="B245" s="1" t="s">
        <v>85</v>
      </c>
      <c r="C245" s="15">
        <v>18420</v>
      </c>
      <c r="D245" s="15">
        <v>18305</v>
      </c>
      <c r="E245" s="15">
        <v>18067</v>
      </c>
      <c r="F245" s="15">
        <v>18030</v>
      </c>
      <c r="G245" s="15">
        <v>17908</v>
      </c>
      <c r="H245" s="15">
        <v>17788</v>
      </c>
      <c r="I245" s="15">
        <v>17884</v>
      </c>
      <c r="J245" s="15">
        <v>17939</v>
      </c>
      <c r="K245" s="15">
        <v>18051</v>
      </c>
      <c r="L245" s="15">
        <v>17884</v>
      </c>
      <c r="M245" s="15">
        <v>17958</v>
      </c>
      <c r="N245" s="15">
        <v>17847</v>
      </c>
      <c r="O245" s="15">
        <v>17657</v>
      </c>
      <c r="P245" s="15">
        <v>17513</v>
      </c>
      <c r="Q245" s="15">
        <v>17591</v>
      </c>
      <c r="R245" s="15">
        <v>17686</v>
      </c>
      <c r="S245" s="15">
        <v>17674</v>
      </c>
      <c r="T245" s="15">
        <v>17573</v>
      </c>
      <c r="U245" s="15">
        <v>17477</v>
      </c>
      <c r="V245" s="15">
        <v>17499</v>
      </c>
      <c r="W245" s="16">
        <v>17603</v>
      </c>
      <c r="X245" s="16">
        <v>17539</v>
      </c>
      <c r="Y245" s="12"/>
      <c r="Z245" s="12"/>
      <c r="AA245" s="13">
        <f>SUMIFS($C245:$M245,$C$1:$M$1,AA$1,$C$2:$M$2,4)</f>
        <v>18030</v>
      </c>
      <c r="AB245" s="13">
        <f t="shared" ref="AB245" si="119">SUMIFS($C245:$M245,$C$1:$M$1,AB$1,$C$2:$M$2,4)</f>
        <v>17939</v>
      </c>
      <c r="AC245" s="13">
        <f>SUMIFS($C245:$N245,$C$1:$N$1,AC$1,$C$2:$N$2,4)</f>
        <v>17847</v>
      </c>
      <c r="AD245" s="13">
        <f>SUMIFS(C245:R245,$C$1:$R$1,AD$1,$C$2:$R$2,4)</f>
        <v>17686</v>
      </c>
      <c r="AE245" s="13">
        <f>SUMIFS(C245:V245,$C$1:$V$1,AE$1,$C$2:$V$2,4)</f>
        <v>17499</v>
      </c>
    </row>
    <row r="246" spans="2:31" x14ac:dyDescent="0.25">
      <c r="B246" s="17" t="s">
        <v>86</v>
      </c>
      <c r="C246" s="15">
        <v>86</v>
      </c>
      <c r="D246" s="15">
        <v>-116</v>
      </c>
      <c r="E246" s="15">
        <v>-238</v>
      </c>
      <c r="F246" s="15">
        <v>-36</v>
      </c>
      <c r="G246" s="15">
        <v>-122</v>
      </c>
      <c r="H246" s="15">
        <v>-120</v>
      </c>
      <c r="I246" s="15">
        <v>96</v>
      </c>
      <c r="J246" s="15">
        <v>55</v>
      </c>
      <c r="K246" s="15">
        <v>111</v>
      </c>
      <c r="L246" s="15">
        <v>-167</v>
      </c>
      <c r="M246" s="15">
        <v>74</v>
      </c>
      <c r="N246" s="15">
        <v>-11</v>
      </c>
      <c r="O246" s="15">
        <v>-65</v>
      </c>
      <c r="P246" s="15">
        <v>-144</v>
      </c>
      <c r="Q246" s="15">
        <v>78</v>
      </c>
      <c r="R246" s="15">
        <v>95</v>
      </c>
      <c r="S246" s="15">
        <v>-11</v>
      </c>
      <c r="T246" s="15">
        <v>-102</v>
      </c>
      <c r="U246" s="15">
        <v>-95</v>
      </c>
      <c r="V246" s="15">
        <v>22</v>
      </c>
      <c r="W246" s="16">
        <v>104</v>
      </c>
      <c r="X246" s="16">
        <v>-64</v>
      </c>
      <c r="Y246" s="12"/>
      <c r="Z246" s="12"/>
      <c r="AA246" s="13">
        <f t="shared" ref="AA246:AB250" si="120">SUMIF($C$1:$M$1,AA$1,$C246:$M246)</f>
        <v>-304</v>
      </c>
      <c r="AB246" s="13">
        <f t="shared" si="120"/>
        <v>-91</v>
      </c>
      <c r="AC246" s="13">
        <f>AC245-AB245</f>
        <v>-92</v>
      </c>
      <c r="AD246" s="13">
        <f>SUM(O246:R246)</f>
        <v>-36</v>
      </c>
      <c r="AE246" s="13">
        <f>AE245-AD245+1</f>
        <v>-186</v>
      </c>
    </row>
    <row r="247" spans="2:31" x14ac:dyDescent="0.25">
      <c r="B247" s="1" t="s">
        <v>87</v>
      </c>
      <c r="C247" s="15">
        <v>2485</v>
      </c>
      <c r="D247" s="15">
        <v>2508</v>
      </c>
      <c r="E247" s="15">
        <v>2534</v>
      </c>
      <c r="F247" s="15">
        <v>2573</v>
      </c>
      <c r="G247" s="15">
        <v>2592</v>
      </c>
      <c r="H247" s="15">
        <v>2608</v>
      </c>
      <c r="I247" s="15">
        <v>2621</v>
      </c>
      <c r="J247" s="15">
        <v>2625</v>
      </c>
      <c r="K247" s="15">
        <v>2630</v>
      </c>
      <c r="L247" s="15">
        <v>2635</v>
      </c>
      <c r="M247" s="15">
        <v>2640</v>
      </c>
      <c r="N247" s="15">
        <v>2641</v>
      </c>
      <c r="O247" s="15"/>
      <c r="P247" s="15"/>
      <c r="Q247" s="15"/>
      <c r="R247" s="15"/>
      <c r="S247" s="15"/>
      <c r="T247" s="15"/>
      <c r="U247" s="15"/>
      <c r="V247" s="15"/>
      <c r="W247" s="12"/>
      <c r="X247" s="12"/>
      <c r="Y247" s="12"/>
      <c r="Z247" s="12"/>
      <c r="AA247" s="13">
        <f>SUMIFS($C247:$M247,$C$1:$M$1,AA$1,$C$2:$M$2,4)</f>
        <v>2573</v>
      </c>
      <c r="AB247" s="13">
        <f t="shared" ref="AB247" si="121">SUMIFS($C247:$M247,$C$1:$M$1,AB$1,$C$2:$M$2,4)</f>
        <v>2625</v>
      </c>
      <c r="AC247" s="13">
        <f>SUMIFS($C247:$N247,$C$1:$N$1,AC$1,$C$2:$N$2,4)</f>
        <v>2641</v>
      </c>
      <c r="AD247" s="13"/>
      <c r="AE247" s="13"/>
    </row>
    <row r="248" spans="2:31" x14ac:dyDescent="0.25">
      <c r="B248" s="17" t="s">
        <v>88</v>
      </c>
      <c r="C248" s="15">
        <v>15</v>
      </c>
      <c r="D248" s="15">
        <v>23</v>
      </c>
      <c r="E248" s="15">
        <v>26</v>
      </c>
      <c r="F248" s="15">
        <v>39</v>
      </c>
      <c r="G248" s="15">
        <v>19</v>
      </c>
      <c r="H248" s="15">
        <v>16</v>
      </c>
      <c r="I248" s="15">
        <v>13</v>
      </c>
      <c r="J248" s="15">
        <v>4</v>
      </c>
      <c r="K248" s="15">
        <v>5</v>
      </c>
      <c r="L248" s="15">
        <v>5</v>
      </c>
      <c r="M248" s="15">
        <v>5</v>
      </c>
      <c r="N248" s="15">
        <v>1</v>
      </c>
      <c r="O248" s="15"/>
      <c r="P248" s="15"/>
      <c r="Q248" s="15"/>
      <c r="R248" s="15"/>
      <c r="S248" s="15"/>
      <c r="T248" s="15"/>
      <c r="U248" s="15"/>
      <c r="V248" s="15"/>
      <c r="W248" s="12"/>
      <c r="X248" s="12"/>
      <c r="Y248" s="12"/>
      <c r="Z248" s="12"/>
      <c r="AA248" s="13">
        <f t="shared" si="120"/>
        <v>103</v>
      </c>
      <c r="AB248" s="13">
        <f t="shared" si="120"/>
        <v>52</v>
      </c>
      <c r="AC248" s="13">
        <f>AC247-AB247</f>
        <v>16</v>
      </c>
      <c r="AD248" s="13"/>
      <c r="AE248" s="13"/>
    </row>
    <row r="249" spans="2:31" x14ac:dyDescent="0.25">
      <c r="B249" s="1" t="s">
        <v>89</v>
      </c>
      <c r="C249" s="12">
        <f>C243+C245+C247</f>
        <v>52054</v>
      </c>
      <c r="D249" s="12">
        <f t="shared" ref="D249:N249" si="122">D243+D245+D247</f>
        <v>52236</v>
      </c>
      <c r="E249" s="12">
        <f t="shared" si="122"/>
        <v>52259</v>
      </c>
      <c r="F249" s="12">
        <f t="shared" si="122"/>
        <v>52412</v>
      </c>
      <c r="G249" s="12">
        <f t="shared" si="122"/>
        <v>52493</v>
      </c>
      <c r="H249" s="12">
        <f t="shared" si="122"/>
        <v>52351</v>
      </c>
      <c r="I249" s="12">
        <f t="shared" si="122"/>
        <v>52433</v>
      </c>
      <c r="J249" s="12">
        <f t="shared" si="122"/>
        <v>52424</v>
      </c>
      <c r="K249" s="12">
        <f t="shared" si="122"/>
        <v>52507</v>
      </c>
      <c r="L249" s="12">
        <f t="shared" si="122"/>
        <v>52280</v>
      </c>
      <c r="M249" s="12">
        <f t="shared" si="122"/>
        <v>52320</v>
      </c>
      <c r="N249" s="12">
        <f t="shared" si="122"/>
        <v>52136</v>
      </c>
      <c r="O249" s="12">
        <v>49211</v>
      </c>
      <c r="P249" s="12">
        <v>48939</v>
      </c>
      <c r="Q249" s="12">
        <v>48914</v>
      </c>
      <c r="R249" s="12">
        <v>48858</v>
      </c>
      <c r="S249" s="12">
        <v>48643</v>
      </c>
      <c r="T249" s="12">
        <v>48318</v>
      </c>
      <c r="U249" s="12">
        <v>48120</v>
      </c>
      <c r="V249" s="12">
        <v>47939</v>
      </c>
      <c r="W249" s="12">
        <v>47948</v>
      </c>
      <c r="X249" s="12">
        <v>47718</v>
      </c>
      <c r="Y249" s="12"/>
      <c r="Z249" s="12"/>
      <c r="AA249" s="13">
        <f>SUMIFS($C249:$M249,$C$1:$M$1,AA$1,$C$2:$M$2,4)</f>
        <v>52412</v>
      </c>
      <c r="AB249" s="13">
        <f t="shared" ref="AB249" si="123">SUMIFS($C249:$M249,$C$1:$M$1,AB$1,$C$2:$M$2,4)</f>
        <v>52424</v>
      </c>
      <c r="AC249" s="13">
        <f>SUMIFS($C249:$N249,$C$1:$N$1,AC$1,$C$2:$N$2,4)</f>
        <v>52136</v>
      </c>
      <c r="AD249" s="13">
        <f>SUMIFS(C249:R249,$C$1:$R$1,AD$1,$C$2:$R$2,4)</f>
        <v>48858</v>
      </c>
      <c r="AE249" s="13">
        <f>SUMIFS(C249:V249,$C$1:$V$1,AE$1,$C$2:$V$2,4)</f>
        <v>47939</v>
      </c>
    </row>
    <row r="250" spans="2:31" x14ac:dyDescent="0.25">
      <c r="B250" s="17" t="s">
        <v>90</v>
      </c>
      <c r="C250" s="15">
        <v>470</v>
      </c>
      <c r="D250" s="15">
        <v>182</v>
      </c>
      <c r="E250" s="15">
        <v>23</v>
      </c>
      <c r="F250" s="15">
        <v>154</v>
      </c>
      <c r="G250" s="15">
        <v>81</v>
      </c>
      <c r="H250" s="15">
        <v>-143</v>
      </c>
      <c r="I250" s="15">
        <v>83</v>
      </c>
      <c r="J250" s="15">
        <v>-9</v>
      </c>
      <c r="K250" s="15">
        <v>82</v>
      </c>
      <c r="L250" s="15">
        <v>-228</v>
      </c>
      <c r="M250" s="15">
        <v>40</v>
      </c>
      <c r="N250" s="15">
        <v>-183</v>
      </c>
      <c r="O250" s="15">
        <v>-159</v>
      </c>
      <c r="P250" s="15">
        <v>-272</v>
      </c>
      <c r="Q250" s="15">
        <v>-25</v>
      </c>
      <c r="R250" s="15">
        <v>-56</v>
      </c>
      <c r="S250" s="15">
        <v>-215</v>
      </c>
      <c r="T250" s="15">
        <v>-325</v>
      </c>
      <c r="U250" s="15">
        <v>-199</v>
      </c>
      <c r="V250" s="15">
        <v>-181</v>
      </c>
      <c r="W250" s="15">
        <v>10</v>
      </c>
      <c r="X250" s="15">
        <v>-230</v>
      </c>
      <c r="Y250" s="12"/>
      <c r="Z250" s="12"/>
      <c r="AA250" s="13">
        <f t="shared" si="120"/>
        <v>829</v>
      </c>
      <c r="AB250" s="13">
        <f t="shared" si="120"/>
        <v>12</v>
      </c>
      <c r="AC250" s="13">
        <f>AC249-AB249</f>
        <v>-288</v>
      </c>
      <c r="AD250" s="13">
        <f>SUM(O250:R250)</f>
        <v>-512</v>
      </c>
      <c r="AE250" s="13">
        <f>AE249-AD249</f>
        <v>-919</v>
      </c>
    </row>
    <row r="251" spans="2:31" x14ac:dyDescent="0.25">
      <c r="B251" s="17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2"/>
      <c r="X251" s="12"/>
      <c r="Y251" s="12"/>
      <c r="Z251" s="12"/>
      <c r="AA251" s="13"/>
      <c r="AB251" s="13"/>
      <c r="AC251" s="13"/>
      <c r="AD251" s="12"/>
      <c r="AE251" s="12"/>
    </row>
    <row r="252" spans="2:31" x14ac:dyDescent="0.25">
      <c r="B252" s="1" t="s">
        <v>91</v>
      </c>
      <c r="C252" s="34">
        <f>C23*1000/AVERAGE(C249,C249-C250)/3</f>
        <v>127.34711206314286</v>
      </c>
      <c r="D252" s="34">
        <f t="shared" ref="D252:N252" si="124">D23*1000/AVERAGE(C249:D249)/3</f>
        <v>129.22299996803784</v>
      </c>
      <c r="E252" s="34">
        <f t="shared" si="124"/>
        <v>128.79723112748616</v>
      </c>
      <c r="F252" s="34">
        <f t="shared" si="124"/>
        <v>130.88630088563212</v>
      </c>
      <c r="G252" s="34">
        <f t="shared" si="124"/>
        <v>130.3528589358626</v>
      </c>
      <c r="H252" s="34">
        <f t="shared" si="124"/>
        <v>129.30321875039741</v>
      </c>
      <c r="I252" s="34">
        <f t="shared" si="124"/>
        <v>127.55128009365298</v>
      </c>
      <c r="J252" s="34">
        <f t="shared" si="124"/>
        <v>129.13459918428592</v>
      </c>
      <c r="K252" s="34">
        <f t="shared" si="124"/>
        <v>128.04604930859327</v>
      </c>
      <c r="L252" s="34">
        <f t="shared" si="124"/>
        <v>129.5389695286629</v>
      </c>
      <c r="M252" s="34">
        <f t="shared" si="124"/>
        <v>129.19694072657742</v>
      </c>
      <c r="N252" s="34">
        <f t="shared" si="124"/>
        <v>130.31962421178932</v>
      </c>
      <c r="O252" s="34"/>
      <c r="P252" s="34"/>
      <c r="Q252" s="34"/>
      <c r="R252" s="34"/>
      <c r="S252" s="34"/>
      <c r="T252" s="34"/>
      <c r="U252" s="34"/>
      <c r="V252" s="34"/>
      <c r="W252" s="12"/>
      <c r="X252" s="12"/>
      <c r="Y252" s="12"/>
      <c r="Z252" s="12"/>
      <c r="AA252" s="34">
        <f>AA23*1000/AVERAGE(AA249,AA249-AA250)/12</f>
        <v>129.41327307402599</v>
      </c>
      <c r="AB252" s="34">
        <f>AB23*1000/AVERAGE(AA249:AB249)/12</f>
        <v>129.10005468859296</v>
      </c>
      <c r="AC252" s="34">
        <f>AC23*1000/AVERAGE(AB249:AC249)/12</f>
        <v>129.43923743942872</v>
      </c>
      <c r="AD252" s="34"/>
      <c r="AE252" s="34"/>
    </row>
    <row r="253" spans="2:31" x14ac:dyDescent="0.25">
      <c r="B253" s="1" t="s">
        <v>92</v>
      </c>
      <c r="C253" s="34">
        <f>C64*1000/AVERAGE(C249,C249-C250)/3</f>
        <v>47.157734936348959</v>
      </c>
      <c r="D253" s="34">
        <f t="shared" ref="D253:N253" si="125">D64*1000/AVERAGE(C249:D249)/3</f>
        <v>49.081087991817689</v>
      </c>
      <c r="E253" s="34">
        <f t="shared" si="125"/>
        <v>48.206453259326601</v>
      </c>
      <c r="F253" s="34">
        <f t="shared" si="125"/>
        <v>46.533105317295785</v>
      </c>
      <c r="G253" s="34">
        <f t="shared" si="125"/>
        <v>49.848275423796132</v>
      </c>
      <c r="H253" s="34">
        <f t="shared" si="125"/>
        <v>50.84379331832691</v>
      </c>
      <c r="I253" s="34">
        <f t="shared" si="125"/>
        <v>50.790196976637652</v>
      </c>
      <c r="J253" s="34">
        <f t="shared" si="125"/>
        <v>46.723951031722571</v>
      </c>
      <c r="K253" s="34">
        <f t="shared" si="125"/>
        <v>51.424269281718466</v>
      </c>
      <c r="L253" s="34">
        <f t="shared" si="125"/>
        <v>53.098189660931219</v>
      </c>
      <c r="M253" s="34">
        <f t="shared" si="125"/>
        <v>52.396430847673678</v>
      </c>
      <c r="N253" s="34">
        <f t="shared" si="125"/>
        <v>48.371244032575113</v>
      </c>
      <c r="O253" s="34"/>
      <c r="P253" s="34"/>
      <c r="Q253" s="34"/>
      <c r="R253" s="34"/>
      <c r="S253" s="34"/>
      <c r="T253" s="34"/>
      <c r="U253" s="34"/>
      <c r="V253" s="34"/>
      <c r="W253" s="12"/>
      <c r="X253" s="12"/>
      <c r="Y253" s="12"/>
      <c r="Z253" s="12"/>
      <c r="AA253" s="34">
        <f>AA64*1000/AVERAGE(AA249,AA249-AA250)/12</f>
        <v>47.872493869897589</v>
      </c>
      <c r="AB253" s="34">
        <f>AB64*1000/AVERAGE(AA249:AB249)/12</f>
        <v>49.556768031337839</v>
      </c>
      <c r="AC253" s="34">
        <f>AC64*1000/AVERAGE(AB249:AC249)/12</f>
        <v>51.389951542973733</v>
      </c>
      <c r="AD253" s="34"/>
      <c r="AE253" s="34"/>
    </row>
    <row r="254" spans="2:31" x14ac:dyDescent="0.25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5"/>
      <c r="N254" s="35"/>
      <c r="O254" s="35"/>
      <c r="P254" s="35"/>
      <c r="Q254" s="35"/>
      <c r="R254" s="35"/>
      <c r="S254" s="35"/>
      <c r="T254" s="35"/>
      <c r="U254" s="35"/>
      <c r="V254" s="35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2:31" x14ac:dyDescent="0.25">
      <c r="B255" s="23" t="s">
        <v>93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2:31" x14ac:dyDescent="0.25">
      <c r="B256" s="17" t="s">
        <v>94</v>
      </c>
      <c r="C256" s="15">
        <v>28774</v>
      </c>
      <c r="D256" s="15">
        <v>29108</v>
      </c>
      <c r="E256" s="15">
        <v>29389</v>
      </c>
      <c r="F256" s="15">
        <v>29583</v>
      </c>
      <c r="G256" s="15">
        <v>29836</v>
      </c>
      <c r="H256" s="15">
        <v>29826</v>
      </c>
      <c r="I256" s="15">
        <v>29835</v>
      </c>
      <c r="J256" s="15">
        <v>29812</v>
      </c>
      <c r="K256" s="15">
        <v>29815</v>
      </c>
      <c r="L256" s="15">
        <v>29796</v>
      </c>
      <c r="M256" s="15">
        <v>29779</v>
      </c>
      <c r="N256" s="15">
        <v>29748</v>
      </c>
      <c r="O256" s="15">
        <v>29693</v>
      </c>
      <c r="P256" s="15">
        <v>29583</v>
      </c>
      <c r="Q256" s="15">
        <v>29504</v>
      </c>
      <c r="R256" s="15">
        <v>29373</v>
      </c>
      <c r="S256" s="15">
        <v>29190</v>
      </c>
      <c r="T256" s="15">
        <v>28989</v>
      </c>
      <c r="U256" s="15">
        <v>28897</v>
      </c>
      <c r="V256" s="15">
        <v>28719</v>
      </c>
      <c r="W256" s="16">
        <v>28654</v>
      </c>
      <c r="X256" s="16">
        <v>28486</v>
      </c>
      <c r="Y256" s="12"/>
      <c r="Z256" s="12"/>
      <c r="AA256" s="13">
        <f>SUMIFS($C256:$M256,$C$1:$M$1,AA$1,$C$2:$M$2,4)</f>
        <v>29583</v>
      </c>
      <c r="AB256" s="13">
        <f t="shared" ref="AB256:AB259" si="126">SUMIFS($C256:$M256,$C$1:$M$1,AB$1,$C$2:$M$2,4)</f>
        <v>29812</v>
      </c>
      <c r="AC256" s="13">
        <f t="shared" ref="AC256:AC258" si="127">SUMIFS($C256:$N256,$C$1:$N$1,AC$1,$C$2:$N$2,4)</f>
        <v>29748</v>
      </c>
      <c r="AD256" s="13">
        <f>SUMIFS(C256:V256,$C$1:$V$1,AD$1,$C$2:$V$2,4)</f>
        <v>29373</v>
      </c>
      <c r="AE256" s="13">
        <f>SUMIFS(C256:V256,$C$1:$V$1,AE$1,$C$2:$V$2,4)</f>
        <v>28719</v>
      </c>
    </row>
    <row r="257" spans="2:31" x14ac:dyDescent="0.25">
      <c r="B257" s="17" t="s">
        <v>95</v>
      </c>
      <c r="C257" s="15">
        <v>2396</v>
      </c>
      <c r="D257" s="15">
        <v>2418</v>
      </c>
      <c r="E257" s="15">
        <v>2441</v>
      </c>
      <c r="F257" s="15">
        <v>2473</v>
      </c>
      <c r="G257" s="15">
        <v>2485</v>
      </c>
      <c r="H257" s="15">
        <v>2497</v>
      </c>
      <c r="I257" s="15">
        <v>2507</v>
      </c>
      <c r="J257" s="15">
        <v>2507</v>
      </c>
      <c r="K257" s="15">
        <v>2508</v>
      </c>
      <c r="L257" s="15">
        <v>2509</v>
      </c>
      <c r="M257" s="15">
        <v>2508</v>
      </c>
      <c r="N257" s="15">
        <v>2505</v>
      </c>
      <c r="O257" s="15"/>
      <c r="P257" s="15"/>
      <c r="Q257" s="15"/>
      <c r="R257" s="15"/>
      <c r="S257" s="15"/>
      <c r="T257" s="15"/>
      <c r="U257" s="15"/>
      <c r="V257" s="15"/>
      <c r="Y257" s="12"/>
      <c r="Z257" s="12"/>
      <c r="AA257" s="13">
        <f>SUMIFS($C257:$M257,$C$1:$M$1,AA$1,$C$2:$M$2,4)</f>
        <v>2473</v>
      </c>
      <c r="AB257" s="13">
        <f t="shared" si="126"/>
        <v>2507</v>
      </c>
      <c r="AC257" s="13">
        <f t="shared" si="127"/>
        <v>2505</v>
      </c>
      <c r="AD257" s="13"/>
      <c r="AE257" s="13"/>
    </row>
    <row r="258" spans="2:31" x14ac:dyDescent="0.25">
      <c r="B258" s="1" t="s">
        <v>96</v>
      </c>
      <c r="C258" s="26">
        <f>C257+C256</f>
        <v>31170</v>
      </c>
      <c r="D258" s="26">
        <f t="shared" ref="D258:W258" si="128">D257+D256</f>
        <v>31526</v>
      </c>
      <c r="E258" s="26">
        <f t="shared" si="128"/>
        <v>31830</v>
      </c>
      <c r="F258" s="26">
        <f t="shared" si="128"/>
        <v>32056</v>
      </c>
      <c r="G258" s="26">
        <f t="shared" si="128"/>
        <v>32321</v>
      </c>
      <c r="H258" s="26">
        <f t="shared" si="128"/>
        <v>32323</v>
      </c>
      <c r="I258" s="26">
        <f t="shared" si="128"/>
        <v>32342</v>
      </c>
      <c r="J258" s="26">
        <f t="shared" si="128"/>
        <v>32319</v>
      </c>
      <c r="K258" s="26">
        <f t="shared" si="128"/>
        <v>32323</v>
      </c>
      <c r="L258" s="26">
        <f t="shared" si="128"/>
        <v>32305</v>
      </c>
      <c r="M258" s="26">
        <f t="shared" si="128"/>
        <v>32287</v>
      </c>
      <c r="N258" s="26">
        <f t="shared" si="128"/>
        <v>32253</v>
      </c>
      <c r="O258" s="26">
        <f t="shared" si="128"/>
        <v>29693</v>
      </c>
      <c r="P258" s="26">
        <f t="shared" si="128"/>
        <v>29583</v>
      </c>
      <c r="Q258" s="26">
        <f t="shared" si="128"/>
        <v>29504</v>
      </c>
      <c r="R258" s="26">
        <f t="shared" si="128"/>
        <v>29373</v>
      </c>
      <c r="S258" s="26">
        <f t="shared" si="128"/>
        <v>29190</v>
      </c>
      <c r="T258" s="26">
        <f t="shared" si="128"/>
        <v>28989</v>
      </c>
      <c r="U258" s="26">
        <f t="shared" si="128"/>
        <v>28897</v>
      </c>
      <c r="V258" s="26">
        <f t="shared" si="128"/>
        <v>28719</v>
      </c>
      <c r="W258" s="26">
        <f t="shared" si="128"/>
        <v>28654</v>
      </c>
      <c r="X258" s="26">
        <v>28486</v>
      </c>
      <c r="Y258" s="12"/>
      <c r="Z258" s="12"/>
      <c r="AA258" s="13">
        <f>SUMIFS($C258:$M258,$C$1:$M$1,AA$1,$C$2:$M$2,4)</f>
        <v>32056</v>
      </c>
      <c r="AB258" s="13">
        <f t="shared" si="126"/>
        <v>32319</v>
      </c>
      <c r="AC258" s="13">
        <f t="shared" si="127"/>
        <v>32253</v>
      </c>
      <c r="AD258" s="13">
        <f>SUMIFS(C258:R258,$C$1:$R$1,AD$1,$C$2:$R$2,4)</f>
        <v>29373</v>
      </c>
      <c r="AE258" s="13">
        <f>SUMIFS(C258:V258,$C$1:$V$1,AE$1,$C$2:$V$2,4)</f>
        <v>28719</v>
      </c>
    </row>
    <row r="259" spans="2:31" x14ac:dyDescent="0.25">
      <c r="B259" s="1" t="s">
        <v>97</v>
      </c>
      <c r="C259" s="36">
        <v>0.51900000000000002</v>
      </c>
      <c r="D259" s="36">
        <v>0.52300000000000002</v>
      </c>
      <c r="E259" s="36">
        <v>0.52600000000000002</v>
      </c>
      <c r="F259" s="36">
        <v>0.52800000000000002</v>
      </c>
      <c r="G259" s="36">
        <v>0.53100000000000003</v>
      </c>
      <c r="H259" s="36">
        <v>0.52900000000000003</v>
      </c>
      <c r="I259" s="36">
        <v>0.52700000000000002</v>
      </c>
      <c r="J259" s="36">
        <v>0.52500000000000002</v>
      </c>
      <c r="K259" s="36">
        <v>0.52300000000000002</v>
      </c>
      <c r="L259" s="36">
        <v>0.52100000000000002</v>
      </c>
      <c r="M259" s="36">
        <v>0.51800000000000002</v>
      </c>
      <c r="N259" s="36">
        <v>0.51500000000000001</v>
      </c>
      <c r="O259" s="36">
        <v>0.52100000000000002</v>
      </c>
      <c r="P259" s="36">
        <v>0.51700000000000002</v>
      </c>
      <c r="Q259" s="36">
        <v>0.51300000000000001</v>
      </c>
      <c r="R259" s="36">
        <v>0.50800000000000001</v>
      </c>
      <c r="S259" s="36">
        <v>0.503</v>
      </c>
      <c r="T259" s="36">
        <v>0.497</v>
      </c>
      <c r="U259" s="36">
        <v>0.49299999999999999</v>
      </c>
      <c r="V259" s="36">
        <v>0.48699999999999999</v>
      </c>
      <c r="W259" s="37">
        <v>0.48399999999999999</v>
      </c>
      <c r="X259" s="37">
        <v>0.47899999999999998</v>
      </c>
      <c r="Y259" s="12"/>
      <c r="Z259" s="12"/>
      <c r="AA259" s="38">
        <f>SUMIFS($C259:$M259,$C$1:$M$1,AA$1,$C$2:$M$2,4)</f>
        <v>0.52800000000000002</v>
      </c>
      <c r="AB259" s="38">
        <f t="shared" si="126"/>
        <v>0.52500000000000002</v>
      </c>
      <c r="AC259" s="38">
        <f>SUMIFS($C259:$N259,$C$1:$N$1,AC$1,$C$2:$N$2,4)</f>
        <v>0.51500000000000001</v>
      </c>
      <c r="AD259" s="39">
        <f>SUMIFS(C259:R259,$C$1:$R$1,AD$1,$C$2:$R$2,4)</f>
        <v>0.50800000000000001</v>
      </c>
      <c r="AE259" s="39">
        <f>SUMIFS(C259:V259,$C$1:$V$1,AE$1,$C$2:$V$2,4)</f>
        <v>0.48699999999999999</v>
      </c>
    </row>
    <row r="260" spans="2:31" x14ac:dyDescent="0.25">
      <c r="B260" s="17" t="s">
        <v>98</v>
      </c>
      <c r="C260" s="15">
        <v>448</v>
      </c>
      <c r="D260" s="15">
        <v>334</v>
      </c>
      <c r="E260" s="15">
        <v>281</v>
      </c>
      <c r="F260" s="15">
        <v>194</v>
      </c>
      <c r="G260" s="15">
        <v>253</v>
      </c>
      <c r="H260" s="15">
        <v>-10</v>
      </c>
      <c r="I260" s="15">
        <v>10</v>
      </c>
      <c r="J260" s="15">
        <v>-23</v>
      </c>
      <c r="K260" s="15">
        <v>3</v>
      </c>
      <c r="L260" s="15">
        <v>-20</v>
      </c>
      <c r="M260" s="15">
        <v>-17</v>
      </c>
      <c r="N260" s="15">
        <v>-31</v>
      </c>
      <c r="O260" s="15">
        <v>-55</v>
      </c>
      <c r="P260" s="15">
        <v>-110</v>
      </c>
      <c r="Q260" s="15">
        <v>-79</v>
      </c>
      <c r="R260" s="15">
        <v>-131</v>
      </c>
      <c r="S260" s="15">
        <v>-183</v>
      </c>
      <c r="T260" s="15">
        <v>-201</v>
      </c>
      <c r="U260" s="15">
        <v>-91</v>
      </c>
      <c r="V260" s="15">
        <v>-178</v>
      </c>
      <c r="W260" s="16">
        <v>-65</v>
      </c>
      <c r="X260" s="16">
        <v>-167</v>
      </c>
      <c r="Z260" s="12"/>
      <c r="AA260" s="13">
        <f t="shared" ref="AA260:AB262" si="129">SUMIF($C$1:$M$1,AA$1,$C260:$M260)</f>
        <v>1257</v>
      </c>
      <c r="AB260" s="13">
        <f t="shared" si="129"/>
        <v>230</v>
      </c>
      <c r="AC260" s="13">
        <f t="shared" ref="AC260:AE261" si="130">AC256-AB256</f>
        <v>-64</v>
      </c>
      <c r="AD260" s="13">
        <f t="shared" si="130"/>
        <v>-375</v>
      </c>
      <c r="AE260" s="13">
        <f t="shared" si="130"/>
        <v>-654</v>
      </c>
    </row>
    <row r="261" spans="2:31" x14ac:dyDescent="0.25">
      <c r="B261" s="17" t="s">
        <v>99</v>
      </c>
      <c r="C261" s="15">
        <v>15</v>
      </c>
      <c r="D261" s="15">
        <v>22</v>
      </c>
      <c r="E261" s="15">
        <v>24</v>
      </c>
      <c r="F261" s="15">
        <v>32</v>
      </c>
      <c r="G261" s="15">
        <v>12</v>
      </c>
      <c r="H261" s="15">
        <v>13</v>
      </c>
      <c r="I261" s="15">
        <v>10</v>
      </c>
      <c r="J261" s="15">
        <v>0</v>
      </c>
      <c r="K261" s="15">
        <v>2</v>
      </c>
      <c r="L261" s="15">
        <v>1</v>
      </c>
      <c r="M261" s="15">
        <v>-2</v>
      </c>
      <c r="N261" s="15">
        <v>-3</v>
      </c>
      <c r="O261" s="15"/>
      <c r="P261" s="15"/>
      <c r="Q261" s="15"/>
      <c r="R261" s="15"/>
      <c r="S261" s="15"/>
      <c r="T261" s="15"/>
      <c r="U261" s="15"/>
      <c r="V261" s="15"/>
      <c r="Y261" s="12"/>
      <c r="Z261" s="12"/>
      <c r="AA261" s="13">
        <f t="shared" si="129"/>
        <v>93</v>
      </c>
      <c r="AB261" s="13">
        <f t="shared" si="129"/>
        <v>35</v>
      </c>
      <c r="AC261" s="13">
        <f t="shared" si="130"/>
        <v>-2</v>
      </c>
      <c r="AD261" s="13"/>
      <c r="AE261" s="13"/>
    </row>
    <row r="262" spans="2:31" x14ac:dyDescent="0.25">
      <c r="B262" s="1" t="s">
        <v>100</v>
      </c>
      <c r="C262" s="15">
        <v>463</v>
      </c>
      <c r="D262" s="15">
        <v>356</v>
      </c>
      <c r="E262" s="15">
        <v>304</v>
      </c>
      <c r="F262" s="15">
        <v>226</v>
      </c>
      <c r="G262" s="15">
        <v>264</v>
      </c>
      <c r="H262" s="15">
        <v>3</v>
      </c>
      <c r="I262" s="15">
        <v>19</v>
      </c>
      <c r="J262" s="15">
        <v>-23</v>
      </c>
      <c r="K262" s="15">
        <v>5</v>
      </c>
      <c r="L262" s="15">
        <v>-19</v>
      </c>
      <c r="M262" s="15">
        <v>-18</v>
      </c>
      <c r="N262" s="15">
        <v>-34</v>
      </c>
      <c r="O262" s="15"/>
      <c r="P262" s="15"/>
      <c r="Q262" s="15"/>
      <c r="R262" s="15"/>
      <c r="S262" s="15"/>
      <c r="T262" s="15"/>
      <c r="U262" s="15"/>
      <c r="V262" s="15"/>
      <c r="W262" s="40"/>
      <c r="X262" s="40"/>
      <c r="Y262" s="12"/>
      <c r="Z262" s="12"/>
      <c r="AA262" s="13">
        <f t="shared" si="129"/>
        <v>1349</v>
      </c>
      <c r="AB262" s="13">
        <f t="shared" si="129"/>
        <v>263</v>
      </c>
      <c r="AC262" s="13">
        <f>SUM(AC260:AC261)</f>
        <v>-66</v>
      </c>
      <c r="AD262" s="13"/>
      <c r="AE262" s="13"/>
    </row>
    <row r="263" spans="2:31" x14ac:dyDescent="0.25"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Y263" s="12"/>
      <c r="Z263" s="12"/>
      <c r="AA263" s="12"/>
      <c r="AB263" s="12"/>
      <c r="AC263" s="12"/>
      <c r="AD263" s="12"/>
      <c r="AE263" s="12"/>
    </row>
    <row r="264" spans="2:31" x14ac:dyDescent="0.25">
      <c r="B264" s="23" t="s">
        <v>18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Y264" s="12"/>
      <c r="Z264" s="12"/>
      <c r="AA264" s="12"/>
      <c r="AB264" s="12"/>
      <c r="AC264" s="12"/>
      <c r="AD264" s="12"/>
      <c r="AE264" s="12"/>
    </row>
    <row r="265" spans="2:31" x14ac:dyDescent="0.25">
      <c r="B265" s="1" t="s">
        <v>101</v>
      </c>
      <c r="C265" s="15">
        <v>3103</v>
      </c>
      <c r="D265" s="15">
        <v>3383</v>
      </c>
      <c r="E265" s="15">
        <v>3668</v>
      </c>
      <c r="F265" s="15">
        <v>3980</v>
      </c>
      <c r="G265" s="15">
        <v>4298</v>
      </c>
      <c r="H265" s="15">
        <v>4615</v>
      </c>
      <c r="I265" s="15">
        <v>4948</v>
      </c>
      <c r="J265" s="15">
        <v>5313</v>
      </c>
      <c r="K265" s="15">
        <v>5668</v>
      </c>
      <c r="L265" s="15">
        <v>5984</v>
      </c>
      <c r="M265" s="15">
        <v>6278</v>
      </c>
      <c r="N265" s="15">
        <v>6588</v>
      </c>
      <c r="O265" s="15">
        <v>6877</v>
      </c>
      <c r="P265" s="15">
        <v>7199</v>
      </c>
      <c r="Q265" s="15">
        <v>7519</v>
      </c>
      <c r="R265" s="15">
        <v>7826</v>
      </c>
      <c r="S265" s="15">
        <v>8148</v>
      </c>
      <c r="T265" s="15">
        <v>8527</v>
      </c>
      <c r="U265" s="15">
        <v>8941</v>
      </c>
      <c r="V265" s="15">
        <v>9305</v>
      </c>
      <c r="W265" s="16">
        <v>9739</v>
      </c>
      <c r="X265" s="16">
        <v>10187</v>
      </c>
      <c r="Y265" s="12"/>
      <c r="Z265" s="12"/>
      <c r="AA265" s="13">
        <f>SUMIFS($C265:$M265,$C$1:$M$1,AA$1,$C$2:$M$2,4)</f>
        <v>3980</v>
      </c>
      <c r="AB265" s="13">
        <f t="shared" ref="AB265" si="131">SUMIFS($C265:$M265,$C$1:$M$1,AB$1,$C$2:$M$2,4)</f>
        <v>5313</v>
      </c>
      <c r="AC265" s="13">
        <f>SUMIFS($C265:$N265,$C$1:$N$1,AC$1,$C$2:$N$2,4)</f>
        <v>6588</v>
      </c>
      <c r="AD265" s="13">
        <f>SUMIFS(C265:R265,$C$1:$R$1,AD$1,$C$2:$R$2,4)</f>
        <v>7826</v>
      </c>
      <c r="AE265" s="13">
        <f>SUMIFS(C265:V265,$C$1:$V$1,AE$1,$C$2:$V$2,4)</f>
        <v>9305</v>
      </c>
    </row>
    <row r="266" spans="2:31" x14ac:dyDescent="0.25">
      <c r="B266" s="17" t="s">
        <v>102</v>
      </c>
      <c r="C266" s="15">
        <v>278</v>
      </c>
      <c r="D266" s="15">
        <v>280</v>
      </c>
      <c r="E266" s="15">
        <v>285</v>
      </c>
      <c r="F266" s="15">
        <v>312</v>
      </c>
      <c r="G266" s="15">
        <v>318</v>
      </c>
      <c r="H266" s="15">
        <v>317</v>
      </c>
      <c r="I266" s="15">
        <v>333</v>
      </c>
      <c r="J266" s="15">
        <v>365</v>
      </c>
      <c r="K266" s="15">
        <v>355</v>
      </c>
      <c r="L266" s="15">
        <v>316</v>
      </c>
      <c r="M266" s="15">
        <v>294</v>
      </c>
      <c r="N266" s="15">
        <v>310</v>
      </c>
      <c r="O266" s="15">
        <v>289</v>
      </c>
      <c r="P266" s="15">
        <v>322</v>
      </c>
      <c r="Q266" s="15">
        <v>319</v>
      </c>
      <c r="R266" s="15">
        <v>307</v>
      </c>
      <c r="S266" s="15">
        <v>323</v>
      </c>
      <c r="T266" s="15">
        <v>378</v>
      </c>
      <c r="U266" s="15">
        <v>414</v>
      </c>
      <c r="V266" s="15">
        <v>364</v>
      </c>
      <c r="W266" s="16">
        <v>435</v>
      </c>
      <c r="X266" s="16">
        <v>448</v>
      </c>
      <c r="Y266" s="12"/>
      <c r="Z266" s="12"/>
      <c r="AA266" s="13">
        <f t="shared" ref="AA266:AB266" si="132">SUMIF($C$1:$M$1,AA$1,$C266:$M266)</f>
        <v>1155</v>
      </c>
      <c r="AB266" s="13">
        <f t="shared" si="132"/>
        <v>1333</v>
      </c>
      <c r="AC266" s="13">
        <f>AC265-AB265</f>
        <v>1275</v>
      </c>
      <c r="AD266" s="13">
        <f>AD265-AC265-1</f>
        <v>1237</v>
      </c>
      <c r="AE266" s="13">
        <f>AE265-AD265</f>
        <v>1479</v>
      </c>
    </row>
    <row r="267" spans="2:31" x14ac:dyDescent="0.25"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2:31" x14ac:dyDescent="0.25">
      <c r="B268" s="23" t="s">
        <v>103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AA268" s="13"/>
      <c r="AB268" s="13"/>
      <c r="AC268" s="13"/>
    </row>
    <row r="269" spans="2:31" x14ac:dyDescent="0.25">
      <c r="B269" s="1" t="s">
        <v>104</v>
      </c>
      <c r="C269" s="15">
        <v>19355</v>
      </c>
      <c r="D269" s="15">
        <v>18956</v>
      </c>
      <c r="E269" s="15">
        <v>18549</v>
      </c>
      <c r="F269" s="15">
        <v>18176</v>
      </c>
      <c r="G269" s="15">
        <v>17664</v>
      </c>
      <c r="H269" s="15">
        <v>17144</v>
      </c>
      <c r="I269" s="15">
        <v>16582</v>
      </c>
      <c r="J269" s="15">
        <v>16142</v>
      </c>
      <c r="K269" s="15">
        <v>15528</v>
      </c>
      <c r="L269" s="15">
        <v>14985</v>
      </c>
      <c r="M269" s="15">
        <v>14495</v>
      </c>
      <c r="N269" s="15">
        <v>14106</v>
      </c>
      <c r="O269" s="15">
        <v>13618</v>
      </c>
      <c r="P269" s="15">
        <v>13199</v>
      </c>
      <c r="Q269" s="15">
        <v>12834</v>
      </c>
      <c r="R269" s="15">
        <v>12523</v>
      </c>
      <c r="S269" s="15">
        <v>12096</v>
      </c>
      <c r="T269" s="15">
        <v>11771</v>
      </c>
      <c r="U269" s="15">
        <v>11515</v>
      </c>
      <c r="V269" s="15">
        <v>11270</v>
      </c>
      <c r="W269" s="16">
        <v>10948</v>
      </c>
      <c r="X269" s="16">
        <v>10668</v>
      </c>
      <c r="AA269" s="13">
        <f>SUMIFS($C269:$M269,$C$1:$M$1,AA$1,$C$2:$M$2,4)</f>
        <v>18176</v>
      </c>
      <c r="AB269" s="13">
        <f t="shared" ref="AB269" si="133">SUMIFS($C269:$M269,$C$1:$M$1,AB$1,$C$2:$M$2,4)</f>
        <v>16142</v>
      </c>
      <c r="AC269" s="13">
        <f>SUMIFS($C269:$N269,$C$1:$N$1,AC$1,$C$2:$N$2,4)</f>
        <v>14106</v>
      </c>
      <c r="AD269" s="13">
        <f>SUMIFS(C269:R269,$C$1:$R$1,AD$1,$C$2:$R$2,4)</f>
        <v>12523</v>
      </c>
      <c r="AE269" s="13">
        <f>SUMIFS(C269:V269,$C$1:$V$1,AE$1,$C$2:$V$2,4)</f>
        <v>11270</v>
      </c>
    </row>
    <row r="270" spans="2:31" x14ac:dyDescent="0.25">
      <c r="B270" s="17" t="s">
        <v>105</v>
      </c>
      <c r="C270" s="15">
        <v>-491</v>
      </c>
      <c r="D270" s="15">
        <v>-399</v>
      </c>
      <c r="E270" s="15">
        <v>-408</v>
      </c>
      <c r="F270" s="15">
        <v>-373</v>
      </c>
      <c r="G270" s="15">
        <v>-512</v>
      </c>
      <c r="H270" s="15">
        <v>-521</v>
      </c>
      <c r="I270" s="15">
        <v>-561</v>
      </c>
      <c r="J270" s="15">
        <v>-440</v>
      </c>
      <c r="K270" s="15">
        <v>-614</v>
      </c>
      <c r="L270" s="15">
        <v>-543</v>
      </c>
      <c r="M270" s="15">
        <v>-490</v>
      </c>
      <c r="N270" s="15">
        <v>-389</v>
      </c>
      <c r="O270" s="15">
        <v>-487</v>
      </c>
      <c r="P270" s="15">
        <v>-419</v>
      </c>
      <c r="Q270" s="15">
        <v>-365</v>
      </c>
      <c r="R270" s="15">
        <v>-311</v>
      </c>
      <c r="S270" s="15">
        <v>-427</v>
      </c>
      <c r="T270" s="15">
        <v>-325</v>
      </c>
      <c r="U270" s="15">
        <v>-257</v>
      </c>
      <c r="V270" s="15">
        <v>-245</v>
      </c>
      <c r="W270" s="16">
        <v>-322</v>
      </c>
      <c r="X270" s="16">
        <v>-280</v>
      </c>
      <c r="AA270" s="13">
        <f t="shared" ref="AA270:AB270" si="134">SUMIF($C$1:$M$1,AA$1,$C270:$M270)</f>
        <v>-1671</v>
      </c>
      <c r="AB270" s="13">
        <f t="shared" si="134"/>
        <v>-2034</v>
      </c>
      <c r="AC270" s="13">
        <f>AC269-AB269</f>
        <v>-2036</v>
      </c>
      <c r="AD270" s="13">
        <f>AD269-AC269</f>
        <v>-1583</v>
      </c>
      <c r="AE270" s="13">
        <f>AE269-AD269</f>
        <v>-1253</v>
      </c>
    </row>
    <row r="271" spans="2:31" x14ac:dyDescent="0.25"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41"/>
      <c r="X271" s="41"/>
    </row>
    <row r="272" spans="2:31" x14ac:dyDescent="0.25">
      <c r="B272" s="23" t="s">
        <v>106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spans="2:31" x14ac:dyDescent="0.25">
      <c r="B273" s="1" t="s">
        <v>104</v>
      </c>
      <c r="C273" s="15">
        <v>10919</v>
      </c>
      <c r="D273" s="15">
        <v>10812</v>
      </c>
      <c r="E273" s="15">
        <v>10655</v>
      </c>
      <c r="F273" s="15">
        <v>10485</v>
      </c>
      <c r="G273" s="15">
        <v>10203</v>
      </c>
      <c r="H273" s="15">
        <v>9918</v>
      </c>
      <c r="I273" s="15">
        <v>9603</v>
      </c>
      <c r="J273" s="15">
        <v>9316</v>
      </c>
      <c r="K273" s="15">
        <v>8938</v>
      </c>
      <c r="L273" s="15">
        <v>8609</v>
      </c>
      <c r="M273" s="15">
        <v>8280</v>
      </c>
      <c r="N273" s="15">
        <v>7984</v>
      </c>
      <c r="O273" s="15"/>
      <c r="P273" s="15"/>
      <c r="Q273" s="15"/>
      <c r="R273" s="15"/>
      <c r="S273" s="15"/>
      <c r="T273" s="15"/>
      <c r="U273" s="15"/>
      <c r="V273" s="15"/>
      <c r="AA273" s="13">
        <f>SUMIFS($C273:$M273,$C$1:$M$1,AA$1,$C$2:$M$2,4)</f>
        <v>10485</v>
      </c>
      <c r="AB273" s="13">
        <f t="shared" ref="AB273" si="135">SUMIFS($C273:$M273,$C$1:$M$1,AB$1,$C$2:$M$2,4)</f>
        <v>9316</v>
      </c>
      <c r="AC273" s="13">
        <f>SUMIFS($C273:$N273,$C$1:$N$1,AC$1,$C$2:$N$2,4)</f>
        <v>7984</v>
      </c>
      <c r="AD273" s="13"/>
      <c r="AE273" s="13"/>
    </row>
    <row r="274" spans="2:31" x14ac:dyDescent="0.25">
      <c r="B274" s="17" t="s">
        <v>105</v>
      </c>
      <c r="C274" s="15">
        <v>-105</v>
      </c>
      <c r="D274" s="15">
        <v>-107</v>
      </c>
      <c r="E274" s="15">
        <v>-157</v>
      </c>
      <c r="F274" s="15">
        <v>-170</v>
      </c>
      <c r="G274" s="15">
        <v>-282</v>
      </c>
      <c r="H274" s="15">
        <v>-285</v>
      </c>
      <c r="I274" s="15">
        <v>-315</v>
      </c>
      <c r="J274" s="15">
        <v>-287</v>
      </c>
      <c r="K274" s="15">
        <v>-378</v>
      </c>
      <c r="L274" s="15">
        <v>-329</v>
      </c>
      <c r="M274" s="15">
        <v>-329</v>
      </c>
      <c r="N274" s="15">
        <v>-295</v>
      </c>
      <c r="O274" s="15"/>
      <c r="P274" s="15"/>
      <c r="Q274" s="15"/>
      <c r="R274" s="15"/>
      <c r="S274" s="15"/>
      <c r="T274" s="15"/>
      <c r="U274" s="15"/>
      <c r="V274" s="15"/>
      <c r="AA274" s="13">
        <f t="shared" ref="AA274:AB274" si="136">SUMIF($C$1:$M$1,AA$1,$C274:$M274)</f>
        <v>-539</v>
      </c>
      <c r="AB274" s="13">
        <f t="shared" si="136"/>
        <v>-1169</v>
      </c>
      <c r="AC274" s="13">
        <f>AC273-AB273</f>
        <v>-1332</v>
      </c>
      <c r="AD274" s="13"/>
      <c r="AE274" s="13"/>
    </row>
    <row r="275" spans="2:31" x14ac:dyDescent="0.25"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spans="2:31" x14ac:dyDescent="0.25">
      <c r="B276" s="10" t="s">
        <v>28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spans="2:31" x14ac:dyDescent="0.25">
      <c r="B277" s="1" t="s">
        <v>107</v>
      </c>
      <c r="C277" s="15">
        <v>59936</v>
      </c>
      <c r="D277" s="15">
        <v>60096</v>
      </c>
      <c r="E277" s="15">
        <v>60332</v>
      </c>
      <c r="F277" s="15">
        <v>60527</v>
      </c>
      <c r="G277" s="15">
        <v>60701</v>
      </c>
      <c r="H277" s="15">
        <v>60927</v>
      </c>
      <c r="I277" s="15">
        <v>61144</v>
      </c>
      <c r="J277" s="15">
        <v>61367</v>
      </c>
      <c r="K277" s="15">
        <v>61624</v>
      </c>
      <c r="L277" s="15">
        <v>61838</v>
      </c>
      <c r="M277" s="15">
        <v>62086</v>
      </c>
      <c r="N277" s="15">
        <v>62457</v>
      </c>
      <c r="O277" s="15">
        <v>62729</v>
      </c>
      <c r="P277" s="15">
        <v>63031</v>
      </c>
      <c r="Q277" s="15">
        <v>63355</v>
      </c>
      <c r="R277" s="15">
        <v>63692</v>
      </c>
      <c r="S277" s="15">
        <v>63967</v>
      </c>
      <c r="T277" s="15">
        <v>64309</v>
      </c>
      <c r="U277" s="15">
        <v>64639</v>
      </c>
      <c r="V277" s="15">
        <v>64983</v>
      </c>
      <c r="W277" s="12"/>
      <c r="X277" s="12"/>
      <c r="Y277" s="12"/>
      <c r="Z277" s="12"/>
      <c r="AA277" s="13">
        <f>SUMIFS($C277:$M277,$C$1:$M$1,AA$1,$C$2:$M$2,4)</f>
        <v>60527</v>
      </c>
      <c r="AB277" s="13">
        <f t="shared" ref="AB277" si="137">SUMIFS($C277:$M277,$C$1:$M$1,AB$1,$C$2:$M$2,4)</f>
        <v>61367</v>
      </c>
      <c r="AC277" s="13">
        <f>SUMIFS($C277:$N277,$C$1:$N$1,AC$1,$C$2:$N$2,4)</f>
        <v>62457</v>
      </c>
      <c r="AD277" s="13">
        <f>SUMIFS(C277:V277,$C$1:$V$1,AD$1,$C$2:$V$2,4)</f>
        <v>63692</v>
      </c>
      <c r="AE277" s="13">
        <f>SUMIFS(C277:V277,$C$1:$V$1,AE$1,$C$2:$V$2,4)</f>
        <v>64983</v>
      </c>
    </row>
    <row r="278" spans="2:31" x14ac:dyDescent="0.25"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spans="2:31" x14ac:dyDescent="0.25">
      <c r="B279" s="23" t="s">
        <v>82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2:31" x14ac:dyDescent="0.25">
      <c r="B280" s="1" t="s">
        <v>83</v>
      </c>
      <c r="C280" s="15">
        <v>31149</v>
      </c>
      <c r="D280" s="15">
        <v>31423</v>
      </c>
      <c r="E280" s="15">
        <v>31658</v>
      </c>
      <c r="F280" s="15">
        <v>31809</v>
      </c>
      <c r="G280" s="15">
        <v>31993</v>
      </c>
      <c r="H280" s="15">
        <v>31955</v>
      </c>
      <c r="I280" s="15">
        <v>31928</v>
      </c>
      <c r="J280" s="15">
        <v>31860</v>
      </c>
      <c r="K280" s="15">
        <v>31826</v>
      </c>
      <c r="L280" s="15">
        <v>31761</v>
      </c>
      <c r="M280" s="15">
        <v>31722</v>
      </c>
      <c r="N280" s="15">
        <v>31648</v>
      </c>
      <c r="O280" s="15">
        <v>31555</v>
      </c>
      <c r="P280" s="15">
        <v>31426</v>
      </c>
      <c r="Q280" s="15">
        <v>31324</v>
      </c>
      <c r="R280" s="15">
        <v>31172</v>
      </c>
      <c r="S280" s="15">
        <v>30969</v>
      </c>
      <c r="T280" s="15">
        <v>30746</v>
      </c>
      <c r="U280" s="15">
        <v>30642</v>
      </c>
      <c r="V280" s="15">
        <v>30439</v>
      </c>
      <c r="W280" s="12"/>
      <c r="X280" s="12"/>
      <c r="Y280" s="12"/>
      <c r="Z280" s="12"/>
      <c r="AA280" s="13">
        <f>SUMIFS($C280:$M280,$C$1:$M$1,AA$1,$C$2:$M$2,4)</f>
        <v>31809</v>
      </c>
      <c r="AB280" s="13">
        <f t="shared" ref="AB280" si="138">SUMIFS($C280:$M280,$C$1:$M$1,AB$1,$C$2:$M$2,4)</f>
        <v>31860</v>
      </c>
      <c r="AC280" s="13">
        <f>SUMIFS($C280:$N280,$C$1:$N$1,AC$1,$C$2:$N$2,4)</f>
        <v>31648</v>
      </c>
      <c r="AD280" s="13">
        <f>SUMIFS(C280:V280,$C$1:$V$1,AD$1,$C$2:$V$2,4)</f>
        <v>31172</v>
      </c>
      <c r="AE280" s="13">
        <f>SUMIFS(C280:V280,$C$1:$V$1,AE$1,$C$2:$V$2,4)</f>
        <v>30439</v>
      </c>
    </row>
    <row r="281" spans="2:31" x14ac:dyDescent="0.25">
      <c r="B281" s="17" t="s">
        <v>84</v>
      </c>
      <c r="C281" s="15">
        <v>368</v>
      </c>
      <c r="D281" s="15">
        <v>274</v>
      </c>
      <c r="E281" s="15">
        <v>235</v>
      </c>
      <c r="F281" s="15">
        <v>150</v>
      </c>
      <c r="G281" s="15">
        <v>184</v>
      </c>
      <c r="H281" s="15">
        <v>-38</v>
      </c>
      <c r="I281" s="15">
        <v>-26</v>
      </c>
      <c r="J281" s="15">
        <v>-68</v>
      </c>
      <c r="K281" s="15">
        <v>-34</v>
      </c>
      <c r="L281" s="15">
        <v>-65</v>
      </c>
      <c r="M281" s="15">
        <v>-39</v>
      </c>
      <c r="N281" s="15">
        <v>-74</v>
      </c>
      <c r="O281" s="15">
        <v>-94</v>
      </c>
      <c r="P281" s="15">
        <v>-128</v>
      </c>
      <c r="Q281" s="15">
        <v>-103</v>
      </c>
      <c r="R281" s="15">
        <v>-151</v>
      </c>
      <c r="S281" s="15">
        <v>-204</v>
      </c>
      <c r="T281" s="15">
        <v>-223</v>
      </c>
      <c r="U281" s="15">
        <v>-103</v>
      </c>
      <c r="V281" s="15">
        <v>-203</v>
      </c>
      <c r="W281" s="12"/>
      <c r="X281" s="12"/>
      <c r="Y281" s="12"/>
      <c r="Z281" s="12"/>
      <c r="AA281" s="13">
        <f t="shared" ref="AA281:AB281" si="139">SUMIF($C$1:$M$1,AA$1,$C281:$M281)</f>
        <v>1027</v>
      </c>
      <c r="AB281" s="13">
        <f t="shared" si="139"/>
        <v>52</v>
      </c>
      <c r="AC281" s="13">
        <f>AC280-AB280</f>
        <v>-212</v>
      </c>
      <c r="AD281" s="13">
        <f>AD280-AC280</f>
        <v>-476</v>
      </c>
      <c r="AE281" s="13">
        <f>AE280-AD280</f>
        <v>-733</v>
      </c>
    </row>
    <row r="282" spans="2:31" x14ac:dyDescent="0.25">
      <c r="B282" s="1" t="s">
        <v>85</v>
      </c>
      <c r="C282" s="15">
        <v>18420</v>
      </c>
      <c r="D282" s="15">
        <v>18305</v>
      </c>
      <c r="E282" s="15">
        <v>18067</v>
      </c>
      <c r="F282" s="15">
        <v>18030</v>
      </c>
      <c r="G282" s="15">
        <v>17908</v>
      </c>
      <c r="H282" s="15">
        <v>17788</v>
      </c>
      <c r="I282" s="15">
        <v>17884</v>
      </c>
      <c r="J282" s="15">
        <v>17939</v>
      </c>
      <c r="K282" s="15">
        <v>18051</v>
      </c>
      <c r="L282" s="15">
        <v>17884</v>
      </c>
      <c r="M282" s="15">
        <v>17958</v>
      </c>
      <c r="N282" s="15">
        <v>17847</v>
      </c>
      <c r="O282" s="15">
        <v>17782</v>
      </c>
      <c r="P282" s="15">
        <v>17638</v>
      </c>
      <c r="Q282" s="15">
        <v>17716</v>
      </c>
      <c r="R282" s="15">
        <v>17811</v>
      </c>
      <c r="S282" s="15">
        <v>17800</v>
      </c>
      <c r="T282" s="15">
        <v>17698</v>
      </c>
      <c r="U282" s="15">
        <v>17603</v>
      </c>
      <c r="V282" s="15">
        <v>17624</v>
      </c>
      <c r="W282" s="12"/>
      <c r="X282" s="12"/>
      <c r="Y282" s="12"/>
      <c r="Z282" s="12"/>
      <c r="AA282" s="13">
        <f>SUMIFS($C282:$M282,$C$1:$M$1,AA$1,$C$2:$M$2,4)</f>
        <v>18030</v>
      </c>
      <c r="AB282" s="13">
        <f t="shared" ref="AB282" si="140">SUMIFS($C282:$M282,$C$1:$M$1,AB$1,$C$2:$M$2,4)</f>
        <v>17939</v>
      </c>
      <c r="AC282" s="13">
        <f>SUMIFS($C282:$N282,$C$1:$N$1,AC$1,$C$2:$N$2,4)</f>
        <v>17847</v>
      </c>
      <c r="AD282" s="13">
        <f>SUMIFS(C282:R282,$C$1:$R$1,AD$1,$C$2:$R$2,4)</f>
        <v>17811</v>
      </c>
      <c r="AE282" s="13">
        <f>SUMIFS(C282:V282,$C$1:$V$1,AE$1,$C$2:$V$2,4)</f>
        <v>17624</v>
      </c>
    </row>
    <row r="283" spans="2:31" x14ac:dyDescent="0.25">
      <c r="B283" s="17" t="s">
        <v>86</v>
      </c>
      <c r="C283" s="15">
        <v>86</v>
      </c>
      <c r="D283" s="15">
        <v>-116</v>
      </c>
      <c r="E283" s="15">
        <v>-238</v>
      </c>
      <c r="F283" s="15">
        <v>-36</v>
      </c>
      <c r="G283" s="15">
        <v>-122</v>
      </c>
      <c r="H283" s="15">
        <v>-120</v>
      </c>
      <c r="I283" s="15">
        <v>96</v>
      </c>
      <c r="J283" s="15">
        <v>55</v>
      </c>
      <c r="K283" s="15">
        <v>111</v>
      </c>
      <c r="L283" s="15">
        <v>-167</v>
      </c>
      <c r="M283" s="15">
        <v>74</v>
      </c>
      <c r="N283" s="15">
        <v>-11</v>
      </c>
      <c r="O283" s="15">
        <v>-65</v>
      </c>
      <c r="P283" s="15">
        <v>-144</v>
      </c>
      <c r="Q283" s="15">
        <v>78</v>
      </c>
      <c r="R283" s="15">
        <v>95</v>
      </c>
      <c r="S283" s="15">
        <v>-11</v>
      </c>
      <c r="T283" s="15">
        <v>-102</v>
      </c>
      <c r="U283" s="15">
        <v>-95</v>
      </c>
      <c r="V283" s="15">
        <v>22</v>
      </c>
      <c r="W283" s="12"/>
      <c r="X283" s="12"/>
      <c r="Y283" s="12"/>
      <c r="Z283" s="12"/>
      <c r="AA283" s="13">
        <f t="shared" ref="AA283:AB287" si="141">SUMIF($C$1:$M$1,AA$1,$C283:$M283)</f>
        <v>-304</v>
      </c>
      <c r="AB283" s="13">
        <f t="shared" si="141"/>
        <v>-91</v>
      </c>
      <c r="AC283" s="13">
        <f>AC282-AB282</f>
        <v>-92</v>
      </c>
      <c r="AD283" s="13">
        <f>AD282-AC282</f>
        <v>-36</v>
      </c>
      <c r="AE283" s="13">
        <f>AE282-AD282</f>
        <v>-187</v>
      </c>
    </row>
    <row r="284" spans="2:31" x14ac:dyDescent="0.25">
      <c r="B284" s="1" t="s">
        <v>87</v>
      </c>
      <c r="C284" s="15">
        <v>2485</v>
      </c>
      <c r="D284" s="15">
        <v>2508</v>
      </c>
      <c r="E284" s="15">
        <v>2534</v>
      </c>
      <c r="F284" s="15">
        <v>2573</v>
      </c>
      <c r="G284" s="15">
        <v>2592</v>
      </c>
      <c r="H284" s="15">
        <v>2608</v>
      </c>
      <c r="I284" s="15">
        <v>2621</v>
      </c>
      <c r="J284" s="15">
        <v>2625</v>
      </c>
      <c r="K284" s="15">
        <v>2630</v>
      </c>
      <c r="L284" s="15">
        <v>2635</v>
      </c>
      <c r="M284" s="15">
        <v>2640</v>
      </c>
      <c r="N284" s="15">
        <v>2641</v>
      </c>
      <c r="O284" s="15">
        <v>2634</v>
      </c>
      <c r="P284" s="15">
        <v>2632</v>
      </c>
      <c r="Q284" s="15">
        <v>2627</v>
      </c>
      <c r="R284" s="15">
        <v>2626</v>
      </c>
      <c r="S284" s="15">
        <v>2613</v>
      </c>
      <c r="T284" s="15">
        <v>2713</v>
      </c>
      <c r="U284" s="15">
        <v>2702</v>
      </c>
      <c r="V284" s="15">
        <v>2702</v>
      </c>
      <c r="W284" s="12"/>
      <c r="X284" s="12"/>
      <c r="Y284" s="12"/>
      <c r="Z284" s="12"/>
      <c r="AA284" s="13">
        <f>SUMIFS($C284:$M284,$C$1:$M$1,AA$1,$C$2:$M$2,4)</f>
        <v>2573</v>
      </c>
      <c r="AB284" s="13">
        <f t="shared" ref="AB284" si="142">SUMIFS($C284:$M284,$C$1:$M$1,AB$1,$C$2:$M$2,4)</f>
        <v>2625</v>
      </c>
      <c r="AC284" s="13">
        <f>SUMIFS($C284:$N284,$C$1:$N$1,AC$1,$C$2:$N$2,4)</f>
        <v>2641</v>
      </c>
      <c r="AD284" s="13">
        <f>SUMIFS(C284:R284,$C$1:$R$1,AD$1,$C$2:$R$2,4)</f>
        <v>2626</v>
      </c>
      <c r="AE284" s="13">
        <f>SUMIFS(C284:V284,$C$1:$V$1,AE$1,$C$2:$V$2,4)</f>
        <v>2702</v>
      </c>
    </row>
    <row r="285" spans="2:31" x14ac:dyDescent="0.25">
      <c r="B285" s="17" t="s">
        <v>88</v>
      </c>
      <c r="C285" s="15">
        <v>15</v>
      </c>
      <c r="D285" s="15">
        <v>23</v>
      </c>
      <c r="E285" s="15">
        <v>26</v>
      </c>
      <c r="F285" s="15">
        <v>39</v>
      </c>
      <c r="G285" s="15">
        <v>19</v>
      </c>
      <c r="H285" s="15">
        <v>16</v>
      </c>
      <c r="I285" s="15">
        <v>13</v>
      </c>
      <c r="J285" s="15">
        <v>4</v>
      </c>
      <c r="K285" s="15">
        <v>5</v>
      </c>
      <c r="L285" s="15">
        <v>5</v>
      </c>
      <c r="M285" s="15">
        <v>5</v>
      </c>
      <c r="N285" s="15">
        <v>1</v>
      </c>
      <c r="O285" s="15">
        <v>-7</v>
      </c>
      <c r="P285" s="15">
        <v>-3</v>
      </c>
      <c r="Q285" s="15">
        <v>-4</v>
      </c>
      <c r="R285" s="15">
        <v>-2</v>
      </c>
      <c r="S285" s="15">
        <v>-13</v>
      </c>
      <c r="T285" s="15">
        <v>-24</v>
      </c>
      <c r="U285" s="15">
        <v>-11</v>
      </c>
      <c r="V285" s="15">
        <v>0</v>
      </c>
      <c r="W285" s="12"/>
      <c r="X285" s="12"/>
      <c r="Y285" s="12"/>
      <c r="Z285" s="12"/>
      <c r="AA285" s="13">
        <f t="shared" si="141"/>
        <v>103</v>
      </c>
      <c r="AB285" s="13">
        <f t="shared" si="141"/>
        <v>52</v>
      </c>
      <c r="AC285" s="13">
        <f>AC284-AB284</f>
        <v>16</v>
      </c>
      <c r="AD285" s="13">
        <f>AD284-AC284</f>
        <v>-15</v>
      </c>
      <c r="AE285" s="13">
        <f>AE284-AD284</f>
        <v>76</v>
      </c>
    </row>
    <row r="286" spans="2:31" x14ac:dyDescent="0.25">
      <c r="B286" s="1" t="s">
        <v>89</v>
      </c>
      <c r="C286" s="12">
        <f>C280+C282+C284</f>
        <v>52054</v>
      </c>
      <c r="D286" s="12">
        <f t="shared" ref="D286:R286" si="143">D280+D282+D284</f>
        <v>52236</v>
      </c>
      <c r="E286" s="12">
        <f t="shared" si="143"/>
        <v>52259</v>
      </c>
      <c r="F286" s="12">
        <f t="shared" si="143"/>
        <v>52412</v>
      </c>
      <c r="G286" s="12">
        <f t="shared" si="143"/>
        <v>52493</v>
      </c>
      <c r="H286" s="12">
        <f t="shared" si="143"/>
        <v>52351</v>
      </c>
      <c r="I286" s="12">
        <f t="shared" si="143"/>
        <v>52433</v>
      </c>
      <c r="J286" s="12">
        <f t="shared" si="143"/>
        <v>52424</v>
      </c>
      <c r="K286" s="12">
        <f t="shared" si="143"/>
        <v>52507</v>
      </c>
      <c r="L286" s="12">
        <f t="shared" si="143"/>
        <v>52280</v>
      </c>
      <c r="M286" s="12">
        <f t="shared" si="143"/>
        <v>52320</v>
      </c>
      <c r="N286" s="12">
        <f t="shared" si="143"/>
        <v>52136</v>
      </c>
      <c r="O286" s="12">
        <f t="shared" si="143"/>
        <v>51971</v>
      </c>
      <c r="P286" s="12">
        <f t="shared" si="143"/>
        <v>51696</v>
      </c>
      <c r="Q286" s="12">
        <f t="shared" si="143"/>
        <v>51667</v>
      </c>
      <c r="R286" s="12">
        <f t="shared" si="143"/>
        <v>51609</v>
      </c>
      <c r="S286" s="12">
        <v>51381</v>
      </c>
      <c r="T286" s="12">
        <v>51156</v>
      </c>
      <c r="U286" s="12">
        <v>50947</v>
      </c>
      <c r="V286" s="12">
        <v>50766</v>
      </c>
      <c r="W286" s="12"/>
      <c r="X286" s="12"/>
      <c r="Y286" s="12"/>
      <c r="Z286" s="12"/>
      <c r="AA286" s="13">
        <f>SUMIFS($C286:$M286,$C$1:$M$1,AA$1,$C$2:$M$2,4)</f>
        <v>52412</v>
      </c>
      <c r="AB286" s="13">
        <f t="shared" ref="AB286" si="144">SUMIFS($C286:$M286,$C$1:$M$1,AB$1,$C$2:$M$2,4)</f>
        <v>52424</v>
      </c>
      <c r="AC286" s="13">
        <f>SUMIFS($C286:$N286,$C$1:$N$1,AC$1,$C$2:$N$2,4)</f>
        <v>52136</v>
      </c>
      <c r="AD286" s="13">
        <f>SUMIFS(C286:R286,$C$1:$R$1,AD$1,$C$2:$R$2,4)</f>
        <v>51609</v>
      </c>
      <c r="AE286" s="13">
        <f>SUMIFS(C286:V286,$C$1:$V$1,AE$1,$C$2:$V$2,4)</f>
        <v>50766</v>
      </c>
    </row>
    <row r="287" spans="2:31" x14ac:dyDescent="0.25">
      <c r="B287" s="17" t="s">
        <v>90</v>
      </c>
      <c r="C287" s="15">
        <v>470</v>
      </c>
      <c r="D287" s="15">
        <v>182</v>
      </c>
      <c r="E287" s="15">
        <v>23</v>
      </c>
      <c r="F287" s="15">
        <v>154</v>
      </c>
      <c r="G287" s="15">
        <v>81</v>
      </c>
      <c r="H287" s="15">
        <v>-143</v>
      </c>
      <c r="I287" s="15">
        <v>83</v>
      </c>
      <c r="J287" s="15">
        <v>-9</v>
      </c>
      <c r="K287" s="15">
        <v>82</v>
      </c>
      <c r="L287" s="15">
        <v>-228</v>
      </c>
      <c r="M287" s="15">
        <v>40</v>
      </c>
      <c r="N287" s="15">
        <v>-183</v>
      </c>
      <c r="O287" s="15">
        <v>-166</v>
      </c>
      <c r="P287" s="15">
        <v>-275</v>
      </c>
      <c r="Q287" s="15">
        <v>-29</v>
      </c>
      <c r="R287" s="15">
        <v>-58</v>
      </c>
      <c r="S287" s="15">
        <v>-228</v>
      </c>
      <c r="T287" s="15">
        <v>-349</v>
      </c>
      <c r="U287" s="15">
        <v>-210</v>
      </c>
      <c r="V287" s="15">
        <v>-181</v>
      </c>
      <c r="W287" s="12"/>
      <c r="X287" s="12"/>
      <c r="Y287" s="12"/>
      <c r="Z287" s="12"/>
      <c r="AA287" s="13">
        <f t="shared" si="141"/>
        <v>829</v>
      </c>
      <c r="AB287" s="13">
        <f t="shared" si="141"/>
        <v>12</v>
      </c>
      <c r="AC287" s="13">
        <f>AC286-AB286</f>
        <v>-288</v>
      </c>
      <c r="AD287" s="13">
        <f>AD286-AC286</f>
        <v>-527</v>
      </c>
      <c r="AE287" s="13">
        <f>AE286-AD286</f>
        <v>-843</v>
      </c>
    </row>
    <row r="288" spans="2:31" x14ac:dyDescent="0.25">
      <c r="B288" s="17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2"/>
      <c r="X288" s="12"/>
      <c r="Y288" s="12"/>
      <c r="Z288" s="12"/>
      <c r="AA288" s="13"/>
      <c r="AB288" s="13"/>
      <c r="AC288" s="13"/>
      <c r="AD288" s="12"/>
      <c r="AE288" s="12"/>
    </row>
    <row r="289" spans="2:31" x14ac:dyDescent="0.25">
      <c r="B289" s="1" t="s">
        <v>91</v>
      </c>
      <c r="C289" s="34">
        <f>C60*1000/AVERAGE(C286,C286-C287)/3</f>
        <v>4.9917340486436759</v>
      </c>
      <c r="D289" s="34">
        <f t="shared" ref="D289:Q289" si="145">D60*1000/AVERAGE(C286:D286)/3</f>
        <v>4.8518554032026087</v>
      </c>
      <c r="E289" s="34">
        <f t="shared" si="145"/>
        <v>4.7721581574875991</v>
      </c>
      <c r="F289" s="34">
        <f t="shared" si="145"/>
        <v>4.6813348491941413</v>
      </c>
      <c r="G289" s="34">
        <f t="shared" si="145"/>
        <v>4.6772476685254913</v>
      </c>
      <c r="H289" s="34">
        <f t="shared" si="145"/>
        <v>4.5782305139063757</v>
      </c>
      <c r="I289" s="34">
        <f t="shared" si="145"/>
        <v>4.5299536824960551</v>
      </c>
      <c r="J289" s="34">
        <f t="shared" si="145"/>
        <v>4.4632213395386096</v>
      </c>
      <c r="K289" s="34">
        <f t="shared" si="145"/>
        <v>4.5045474327573993</v>
      </c>
      <c r="L289" s="34">
        <f t="shared" si="145"/>
        <v>4.4280301945852063</v>
      </c>
      <c r="M289" s="34">
        <f t="shared" si="145"/>
        <v>4.4104525175270872</v>
      </c>
      <c r="N289" s="34">
        <f t="shared" si="145"/>
        <v>4.3782390033443113</v>
      </c>
      <c r="O289" s="34">
        <f t="shared" si="145"/>
        <v>4.5594116309822263</v>
      </c>
      <c r="P289" s="34">
        <f t="shared" si="145"/>
        <v>4.4051305301269128</v>
      </c>
      <c r="Q289" s="34">
        <f t="shared" si="145"/>
        <v>4.4051868979551037</v>
      </c>
      <c r="R289" s="34">
        <v>132.1</v>
      </c>
      <c r="S289" s="34">
        <v>130.36000000000001</v>
      </c>
      <c r="T289" s="34">
        <v>132.57</v>
      </c>
      <c r="U289" s="34">
        <v>131.74</v>
      </c>
      <c r="V289" s="34">
        <v>132.63999999999999</v>
      </c>
      <c r="W289" s="12"/>
      <c r="X289" s="12"/>
      <c r="Y289" s="12"/>
      <c r="Z289" s="12"/>
      <c r="AA289" s="34">
        <f>AA60*1000/AVERAGE(AA286,AA286-AA287)/12</f>
        <v>4.8367709986057017</v>
      </c>
      <c r="AB289" s="34">
        <f>AB60*1000/AVERAGE(AA286:AB286)/12</f>
        <v>4.56268203034581</v>
      </c>
      <c r="AC289" s="34">
        <f>AC60*1000/AVERAGE(AB286:AC286)/12</f>
        <v>4.4360494771741905</v>
      </c>
      <c r="AD289" s="34">
        <f>AD60*1000/AVERAGE(AC286:AD286)/12</f>
        <v>4.4050315677863994</v>
      </c>
      <c r="AE289" s="34">
        <f>AE60*1000/AVERAGE(AD286:AE286)/12</f>
        <v>4.5014245014245011</v>
      </c>
    </row>
    <row r="290" spans="2:31" x14ac:dyDescent="0.25">
      <c r="B290" s="1" t="s">
        <v>92</v>
      </c>
      <c r="C290" s="34">
        <f>C101*1000/AVERAGE(C286,C286-C287)/3</f>
        <v>0.58537087426104961</v>
      </c>
      <c r="D290" s="34">
        <f t="shared" ref="D290:Q290" si="146">D101*1000/AVERAGE(C286:D286)/3</f>
        <v>0.77987662607472752</v>
      </c>
      <c r="E290" s="34">
        <f t="shared" si="146"/>
        <v>1.467374834521588</v>
      </c>
      <c r="F290" s="34">
        <f t="shared" si="146"/>
        <v>2.1336696251429079</v>
      </c>
      <c r="G290" s="34">
        <f t="shared" si="146"/>
        <v>2.9995392656848261</v>
      </c>
      <c r="H290" s="34">
        <f t="shared" si="146"/>
        <v>2.8232421502422649</v>
      </c>
      <c r="I290" s="34">
        <f t="shared" si="146"/>
        <v>3.2193210159311856</v>
      </c>
      <c r="J290" s="34">
        <f t="shared" si="146"/>
        <v>4.1961910029850182</v>
      </c>
      <c r="K290" s="34">
        <f t="shared" si="146"/>
        <v>4.3520662784750614</v>
      </c>
      <c r="L290" s="34">
        <f t="shared" si="146"/>
        <v>5.2169321258044095</v>
      </c>
      <c r="M290" s="34">
        <f t="shared" si="146"/>
        <v>5.2899936265137031</v>
      </c>
      <c r="N290" s="34">
        <f t="shared" si="146"/>
        <v>6.5928875954149753</v>
      </c>
      <c r="O290" s="34">
        <f t="shared" si="146"/>
        <v>6.7494660941787457</v>
      </c>
      <c r="P290" s="34">
        <f t="shared" si="146"/>
        <v>6.7266664737412425</v>
      </c>
      <c r="Q290" s="34">
        <f t="shared" si="146"/>
        <v>9.7584886919561793</v>
      </c>
      <c r="R290" s="34">
        <v>50.62</v>
      </c>
      <c r="S290" s="34">
        <v>53.99</v>
      </c>
      <c r="T290" s="34">
        <v>55.43</v>
      </c>
      <c r="U290" s="34">
        <v>52.29</v>
      </c>
      <c r="V290" s="34">
        <v>49.18</v>
      </c>
      <c r="W290" s="12"/>
      <c r="X290" s="12"/>
      <c r="Y290" s="12"/>
      <c r="Z290" s="12"/>
      <c r="AA290" s="34">
        <f>AA101*1000/AVERAGE(AA286,AA286-AA287)/12</f>
        <v>1.2468548167379843</v>
      </c>
      <c r="AB290" s="34">
        <f>AB101*1000/AVERAGE(AA286:AB286)/12</f>
        <v>3.3099317028501662</v>
      </c>
      <c r="AC290" s="34">
        <f>AC101*1000/AVERAGE(AB286:AC286)/12</f>
        <v>5.3685284366233104</v>
      </c>
      <c r="AD290" s="34">
        <f>AD101*1000/AVERAGE(AC286:AD286)/12</f>
        <v>7.9248799138914316</v>
      </c>
      <c r="AE290" s="34">
        <f>AE101*1000/AVERAGE(AD286:AE286)/12</f>
        <v>8.8693528693528698</v>
      </c>
    </row>
    <row r="291" spans="2:31" x14ac:dyDescent="0.25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5"/>
      <c r="N291" s="35"/>
      <c r="O291" s="35"/>
      <c r="P291" s="35"/>
      <c r="Q291" s="35"/>
      <c r="R291" s="35"/>
      <c r="S291" s="35"/>
      <c r="T291" s="35"/>
      <c r="U291" s="35"/>
      <c r="V291" s="35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2:31" x14ac:dyDescent="0.25">
      <c r="B292" s="23" t="s">
        <v>93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2:31" x14ac:dyDescent="0.25">
      <c r="B293" s="17" t="s">
        <v>94</v>
      </c>
      <c r="C293" s="15">
        <v>28774</v>
      </c>
      <c r="D293" s="15">
        <v>29108</v>
      </c>
      <c r="E293" s="15">
        <v>29389</v>
      </c>
      <c r="F293" s="15">
        <v>29583</v>
      </c>
      <c r="G293" s="15">
        <v>29836</v>
      </c>
      <c r="H293" s="15">
        <v>29826</v>
      </c>
      <c r="I293" s="15">
        <v>29835</v>
      </c>
      <c r="J293" s="15">
        <v>29812</v>
      </c>
      <c r="K293" s="15">
        <v>29815</v>
      </c>
      <c r="L293" s="15">
        <v>29796</v>
      </c>
      <c r="M293" s="15">
        <v>29779</v>
      </c>
      <c r="N293" s="15">
        <v>29748</v>
      </c>
      <c r="O293" s="15">
        <v>29693</v>
      </c>
      <c r="P293" s="15">
        <v>29583</v>
      </c>
      <c r="Q293" s="15">
        <v>29504</v>
      </c>
      <c r="R293" s="15">
        <v>29373</v>
      </c>
      <c r="S293" s="15">
        <v>29190</v>
      </c>
      <c r="T293" s="15">
        <v>28989</v>
      </c>
      <c r="U293" s="15">
        <v>28897</v>
      </c>
      <c r="V293" s="15">
        <v>28719</v>
      </c>
      <c r="W293" s="12"/>
      <c r="X293" s="12"/>
      <c r="Y293" s="12"/>
      <c r="Z293" s="12"/>
      <c r="AA293" s="13">
        <f>SUMIFS($C293:$M293,$C$1:$M$1,AA$1,$C$2:$M$2,4)</f>
        <v>29583</v>
      </c>
      <c r="AB293" s="13">
        <f t="shared" ref="AB293:AB296" si="147">SUMIFS($C293:$M293,$C$1:$M$1,AB$1,$C$2:$M$2,4)</f>
        <v>29812</v>
      </c>
      <c r="AC293" s="13">
        <f t="shared" ref="AC293:AC295" si="148">SUMIFS($C293:$N293,$C$1:$N$1,AC$1,$C$2:$N$2,4)</f>
        <v>29748</v>
      </c>
      <c r="AD293" s="13">
        <f>SUMIFS(C293:V293,$C$1:$V$1,AD$1,$C$2:$V$2,4)</f>
        <v>29373</v>
      </c>
      <c r="AE293" s="13">
        <f>SUMIFS(C293:V293,$C$1:$V$1,AE$1,$C$2:$V$2,4)</f>
        <v>28719</v>
      </c>
    </row>
    <row r="294" spans="2:31" x14ac:dyDescent="0.25">
      <c r="B294" s="17" t="s">
        <v>95</v>
      </c>
      <c r="C294" s="15">
        <v>2396</v>
      </c>
      <c r="D294" s="15">
        <v>2418</v>
      </c>
      <c r="E294" s="15">
        <v>2441</v>
      </c>
      <c r="F294" s="15">
        <v>2473</v>
      </c>
      <c r="G294" s="15">
        <v>2485</v>
      </c>
      <c r="H294" s="15">
        <v>2497</v>
      </c>
      <c r="I294" s="15">
        <v>2507</v>
      </c>
      <c r="J294" s="15">
        <v>2507</v>
      </c>
      <c r="K294" s="15">
        <v>2508</v>
      </c>
      <c r="L294" s="15">
        <v>2509</v>
      </c>
      <c r="M294" s="15">
        <v>2508</v>
      </c>
      <c r="N294" s="15">
        <v>2505</v>
      </c>
      <c r="O294" s="15">
        <v>2495</v>
      </c>
      <c r="P294" s="15">
        <v>2485</v>
      </c>
      <c r="Q294" s="15">
        <v>2477</v>
      </c>
      <c r="R294" s="15">
        <v>2469</v>
      </c>
      <c r="S294" s="15">
        <v>2453</v>
      </c>
      <c r="T294" s="15">
        <v>2551</v>
      </c>
      <c r="U294" s="15">
        <v>2538</v>
      </c>
      <c r="V294" s="15">
        <v>2536</v>
      </c>
      <c r="W294" s="12"/>
      <c r="X294" s="12"/>
      <c r="Y294" s="12"/>
      <c r="Z294" s="12"/>
      <c r="AA294" s="13">
        <f>SUMIFS($C294:$M294,$C$1:$M$1,AA$1,$C$2:$M$2,4)</f>
        <v>2473</v>
      </c>
      <c r="AB294" s="13">
        <f t="shared" si="147"/>
        <v>2507</v>
      </c>
      <c r="AC294" s="13">
        <f t="shared" si="148"/>
        <v>2505</v>
      </c>
      <c r="AD294" s="13">
        <f>SUMIFS(C294:R294,$C$1:$R$1,AD$1,$C$2:$R$2,4)</f>
        <v>2469</v>
      </c>
      <c r="AE294" s="13">
        <f>SUMIFS(C294:V294,$C$1:$V$1,AE$1,$C$2:$V$2,4)</f>
        <v>2536</v>
      </c>
    </row>
    <row r="295" spans="2:31" x14ac:dyDescent="0.25">
      <c r="B295" s="1" t="s">
        <v>96</v>
      </c>
      <c r="C295" s="26">
        <f>C294+C293</f>
        <v>31170</v>
      </c>
      <c r="D295" s="26">
        <f t="shared" ref="D295:V295" si="149">D294+D293</f>
        <v>31526</v>
      </c>
      <c r="E295" s="26">
        <f t="shared" si="149"/>
        <v>31830</v>
      </c>
      <c r="F295" s="26">
        <f t="shared" si="149"/>
        <v>32056</v>
      </c>
      <c r="G295" s="26">
        <f t="shared" si="149"/>
        <v>32321</v>
      </c>
      <c r="H295" s="26">
        <f t="shared" si="149"/>
        <v>32323</v>
      </c>
      <c r="I295" s="26">
        <f t="shared" si="149"/>
        <v>32342</v>
      </c>
      <c r="J295" s="26">
        <f t="shared" si="149"/>
        <v>32319</v>
      </c>
      <c r="K295" s="26">
        <f t="shared" si="149"/>
        <v>32323</v>
      </c>
      <c r="L295" s="26">
        <f t="shared" si="149"/>
        <v>32305</v>
      </c>
      <c r="M295" s="26">
        <f t="shared" si="149"/>
        <v>32287</v>
      </c>
      <c r="N295" s="26">
        <f t="shared" si="149"/>
        <v>32253</v>
      </c>
      <c r="O295" s="26">
        <f t="shared" si="149"/>
        <v>32188</v>
      </c>
      <c r="P295" s="26">
        <f t="shared" si="149"/>
        <v>32068</v>
      </c>
      <c r="Q295" s="26">
        <f t="shared" si="149"/>
        <v>31981</v>
      </c>
      <c r="R295" s="26">
        <f t="shared" si="149"/>
        <v>31842</v>
      </c>
      <c r="S295" s="26">
        <f t="shared" si="149"/>
        <v>31643</v>
      </c>
      <c r="T295" s="26">
        <f t="shared" si="149"/>
        <v>31540</v>
      </c>
      <c r="U295" s="26">
        <f t="shared" si="149"/>
        <v>31435</v>
      </c>
      <c r="V295" s="26">
        <f t="shared" si="149"/>
        <v>31255</v>
      </c>
      <c r="W295" s="12"/>
      <c r="X295" s="12"/>
      <c r="Y295" s="12"/>
      <c r="Z295" s="12"/>
      <c r="AA295" s="13">
        <f>SUMIFS($C295:$M295,$C$1:$M$1,AA$1,$C$2:$M$2,4)</f>
        <v>32056</v>
      </c>
      <c r="AB295" s="13">
        <f t="shared" si="147"/>
        <v>32319</v>
      </c>
      <c r="AC295" s="13">
        <f t="shared" si="148"/>
        <v>32253</v>
      </c>
      <c r="AD295" s="13">
        <f>SUMIFS(C295:R295,$C$1:$R$1,AD$1,$C$2:$R$2,4)</f>
        <v>31842</v>
      </c>
      <c r="AE295" s="13">
        <f>SUMIFS(C295:V295,$C$1:$V$1,AE$1,$C$2:$V$2,4)</f>
        <v>31255</v>
      </c>
    </row>
    <row r="296" spans="2:31" x14ac:dyDescent="0.25">
      <c r="B296" s="1" t="s">
        <v>108</v>
      </c>
      <c r="C296" s="36">
        <v>0.51900000000000002</v>
      </c>
      <c r="D296" s="36">
        <v>0.52300000000000002</v>
      </c>
      <c r="E296" s="36">
        <v>0.52600000000000002</v>
      </c>
      <c r="F296" s="36">
        <v>0.52800000000000002</v>
      </c>
      <c r="G296" s="36">
        <v>0.53100000000000003</v>
      </c>
      <c r="H296" s="36">
        <v>0.52900000000000003</v>
      </c>
      <c r="I296" s="36">
        <v>0.52700000000000002</v>
      </c>
      <c r="J296" s="36">
        <v>0.52500000000000002</v>
      </c>
      <c r="K296" s="36">
        <v>0.52300000000000002</v>
      </c>
      <c r="L296" s="36">
        <v>0.52100000000000002</v>
      </c>
      <c r="M296" s="36">
        <v>0.51800000000000002</v>
      </c>
      <c r="N296" s="36">
        <v>0.51500000000000001</v>
      </c>
      <c r="O296" s="36">
        <v>0.51100000000000001</v>
      </c>
      <c r="P296" s="36">
        <v>0.50700000000000001</v>
      </c>
      <c r="Q296" s="36">
        <v>0.503</v>
      </c>
      <c r="R296" s="36">
        <v>0.498</v>
      </c>
      <c r="S296" s="36">
        <v>0.49299999999999999</v>
      </c>
      <c r="T296" s="36">
        <v>0.48599999999999999</v>
      </c>
      <c r="U296" s="36">
        <v>0.48199999999999998</v>
      </c>
      <c r="V296" s="36">
        <v>0.47599999999999998</v>
      </c>
      <c r="W296" s="12"/>
      <c r="X296" s="12"/>
      <c r="Y296" s="12"/>
      <c r="Z296" s="12"/>
      <c r="AA296" s="38">
        <f>SUMIFS($C296:$M296,$C$1:$M$1,AA$1,$C$2:$M$2,4)</f>
        <v>0.52800000000000002</v>
      </c>
      <c r="AB296" s="38">
        <f t="shared" si="147"/>
        <v>0.52500000000000002</v>
      </c>
      <c r="AC296" s="38">
        <f>SUMIFS($C296:$N296,$C$1:$N$1,AC$1,$C$2:$N$2,4)</f>
        <v>0.51500000000000001</v>
      </c>
      <c r="AD296" s="39">
        <f>SUMIFS(C296:R296,$C$1:$R$1,AD$1,$C$2:$R$2,4)</f>
        <v>0.498</v>
      </c>
      <c r="AE296" s="39">
        <f>SUMIFS(C296:V296,$C$1:$V$1,AE$1,$C$2:$V$2,4)</f>
        <v>0.47599999999999998</v>
      </c>
    </row>
    <row r="297" spans="2:31" x14ac:dyDescent="0.25">
      <c r="B297" s="17" t="s">
        <v>98</v>
      </c>
      <c r="C297" s="15">
        <v>448</v>
      </c>
      <c r="D297" s="15">
        <v>334</v>
      </c>
      <c r="E297" s="15">
        <v>281</v>
      </c>
      <c r="F297" s="15">
        <v>194</v>
      </c>
      <c r="G297" s="15">
        <v>253</v>
      </c>
      <c r="H297" s="15">
        <v>-10</v>
      </c>
      <c r="I297" s="15">
        <v>10</v>
      </c>
      <c r="J297" s="15">
        <v>-23</v>
      </c>
      <c r="K297" s="15">
        <v>3</v>
      </c>
      <c r="L297" s="15">
        <v>-20</v>
      </c>
      <c r="M297" s="15">
        <v>-17</v>
      </c>
      <c r="N297" s="15">
        <v>-31</v>
      </c>
      <c r="O297" s="15">
        <v>-55</v>
      </c>
      <c r="P297" s="15">
        <v>-110</v>
      </c>
      <c r="Q297" s="15">
        <v>-79</v>
      </c>
      <c r="R297" s="15">
        <v>-131</v>
      </c>
      <c r="S297" s="15">
        <v>-183</v>
      </c>
      <c r="T297" s="15">
        <v>-201</v>
      </c>
      <c r="U297" s="15">
        <v>-91</v>
      </c>
      <c r="V297" s="15">
        <v>-178</v>
      </c>
      <c r="W297" s="12"/>
      <c r="X297" s="12"/>
      <c r="Y297" s="12"/>
      <c r="Z297" s="12"/>
      <c r="AA297" s="13">
        <f t="shared" ref="AA297:AB299" si="150">SUMIF($C$1:$M$1,AA$1,$C297:$M297)</f>
        <v>1257</v>
      </c>
      <c r="AB297" s="13">
        <f t="shared" si="150"/>
        <v>230</v>
      </c>
      <c r="AC297" s="13">
        <f t="shared" ref="AC297:AE298" si="151">AC293-AB293</f>
        <v>-64</v>
      </c>
      <c r="AD297" s="13">
        <f t="shared" si="151"/>
        <v>-375</v>
      </c>
      <c r="AE297" s="13">
        <f t="shared" si="151"/>
        <v>-654</v>
      </c>
    </row>
    <row r="298" spans="2:31" x14ac:dyDescent="0.25">
      <c r="B298" s="17" t="s">
        <v>99</v>
      </c>
      <c r="C298" s="15">
        <v>15</v>
      </c>
      <c r="D298" s="15">
        <v>22</v>
      </c>
      <c r="E298" s="15">
        <v>24</v>
      </c>
      <c r="F298" s="15">
        <v>32</v>
      </c>
      <c r="G298" s="15">
        <v>12</v>
      </c>
      <c r="H298" s="15">
        <v>13</v>
      </c>
      <c r="I298" s="15">
        <v>10</v>
      </c>
      <c r="J298" s="15">
        <v>0</v>
      </c>
      <c r="K298" s="15">
        <v>2</v>
      </c>
      <c r="L298" s="15">
        <v>1</v>
      </c>
      <c r="M298" s="15">
        <v>-2</v>
      </c>
      <c r="N298" s="15">
        <v>-3</v>
      </c>
      <c r="O298" s="15">
        <v>-10</v>
      </c>
      <c r="P298" s="15">
        <v>-10</v>
      </c>
      <c r="Q298" s="15">
        <v>-8</v>
      </c>
      <c r="R298" s="15">
        <v>-8</v>
      </c>
      <c r="S298" s="15">
        <v>-17</v>
      </c>
      <c r="T298" s="15">
        <v>-25</v>
      </c>
      <c r="U298" s="15">
        <v>-13</v>
      </c>
      <c r="V298" s="15">
        <v>-3</v>
      </c>
      <c r="W298" s="12"/>
      <c r="X298" s="12"/>
      <c r="Y298" s="12"/>
      <c r="Z298" s="12"/>
      <c r="AA298" s="13">
        <f t="shared" si="150"/>
        <v>93</v>
      </c>
      <c r="AB298" s="13">
        <f t="shared" si="150"/>
        <v>35</v>
      </c>
      <c r="AC298" s="13">
        <f t="shared" si="151"/>
        <v>-2</v>
      </c>
      <c r="AD298" s="13">
        <f t="shared" si="151"/>
        <v>-36</v>
      </c>
      <c r="AE298" s="13">
        <f t="shared" si="151"/>
        <v>67</v>
      </c>
    </row>
    <row r="299" spans="2:31" x14ac:dyDescent="0.25">
      <c r="B299" s="1" t="s">
        <v>100</v>
      </c>
      <c r="C299" s="15">
        <v>463</v>
      </c>
      <c r="D299" s="15">
        <v>356</v>
      </c>
      <c r="E299" s="15">
        <v>304</v>
      </c>
      <c r="F299" s="15">
        <v>226</v>
      </c>
      <c r="G299" s="15">
        <v>264</v>
      </c>
      <c r="H299" s="15">
        <v>3</v>
      </c>
      <c r="I299" s="15">
        <v>19</v>
      </c>
      <c r="J299" s="15">
        <v>-23</v>
      </c>
      <c r="K299" s="15">
        <v>5</v>
      </c>
      <c r="L299" s="15">
        <v>-19</v>
      </c>
      <c r="M299" s="15">
        <v>-18</v>
      </c>
      <c r="N299" s="15">
        <v>-34</v>
      </c>
      <c r="O299" s="15">
        <v>-65</v>
      </c>
      <c r="P299" s="15">
        <v>-120</v>
      </c>
      <c r="Q299" s="15">
        <v>-87</v>
      </c>
      <c r="R299" s="15">
        <v>-139</v>
      </c>
      <c r="S299" s="15">
        <v>-199</v>
      </c>
      <c r="T299" s="15">
        <v>-226</v>
      </c>
      <c r="U299" s="15">
        <v>-104</v>
      </c>
      <c r="V299" s="15">
        <v>-181</v>
      </c>
      <c r="W299" s="12"/>
      <c r="X299" s="12"/>
      <c r="Y299" s="12"/>
      <c r="Z299" s="12"/>
      <c r="AA299" s="13">
        <f t="shared" si="150"/>
        <v>1349</v>
      </c>
      <c r="AB299" s="13">
        <f t="shared" si="150"/>
        <v>263</v>
      </c>
      <c r="AC299" s="13">
        <f>SUM(AC297:AC298)</f>
        <v>-66</v>
      </c>
      <c r="AD299" s="13">
        <f>SUM(AD297:AD298)</f>
        <v>-411</v>
      </c>
      <c r="AE299" s="13">
        <f>SUM(AE297:AE298)</f>
        <v>-587</v>
      </c>
    </row>
    <row r="300" spans="2:31" x14ac:dyDescent="0.25"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2:31" x14ac:dyDescent="0.25">
      <c r="B301" s="23" t="s">
        <v>18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2:31" x14ac:dyDescent="0.25">
      <c r="B302" s="1" t="s">
        <v>101</v>
      </c>
      <c r="C302" s="15">
        <v>3103</v>
      </c>
      <c r="D302" s="15">
        <v>3383</v>
      </c>
      <c r="E302" s="15">
        <v>3668</v>
      </c>
      <c r="F302" s="15">
        <v>3980</v>
      </c>
      <c r="G302" s="15">
        <v>4298</v>
      </c>
      <c r="H302" s="15">
        <v>4615</v>
      </c>
      <c r="I302" s="15">
        <v>4948</v>
      </c>
      <c r="J302" s="15">
        <v>5313</v>
      </c>
      <c r="K302" s="15">
        <v>5668</v>
      </c>
      <c r="L302" s="15">
        <v>5984</v>
      </c>
      <c r="M302" s="15">
        <v>6278</v>
      </c>
      <c r="N302" s="15">
        <v>6588</v>
      </c>
      <c r="O302" s="15">
        <v>6877</v>
      </c>
      <c r="P302" s="15">
        <v>7199</v>
      </c>
      <c r="Q302" s="15">
        <v>7519</v>
      </c>
      <c r="R302" s="15">
        <v>7826</v>
      </c>
      <c r="S302" s="15">
        <v>8148</v>
      </c>
      <c r="T302" s="15">
        <v>8527</v>
      </c>
      <c r="U302" s="15">
        <v>8941</v>
      </c>
      <c r="V302" s="15">
        <v>9305</v>
      </c>
      <c r="W302" s="12"/>
      <c r="X302" s="12"/>
      <c r="Y302" s="12"/>
      <c r="Z302" s="12"/>
      <c r="AA302" s="13">
        <f>SUMIFS($C302:$M302,$C$1:$M$1,AA$1,$C$2:$M$2,4)</f>
        <v>3980</v>
      </c>
      <c r="AB302" s="13">
        <f t="shared" ref="AB302" si="152">SUMIFS($C302:$M302,$C$1:$M$1,AB$1,$C$2:$M$2,4)</f>
        <v>5313</v>
      </c>
      <c r="AC302" s="13">
        <f>SUMIFS($C302:$N302,$C$1:$N$1,AC$1,$C$2:$N$2,4)</f>
        <v>6588</v>
      </c>
      <c r="AD302" s="13">
        <f>SUMIFS(C302:R302,$C$1:$R$1,AD$1,$C$2:$R$2,4)</f>
        <v>7826</v>
      </c>
      <c r="AE302" s="13">
        <f>SUMIFS(C302:V302,$C$1:$V$1,AE$1,$C$2:$V$2,4)</f>
        <v>9305</v>
      </c>
    </row>
    <row r="303" spans="2:31" x14ac:dyDescent="0.25">
      <c r="B303" s="17" t="s">
        <v>102</v>
      </c>
      <c r="C303" s="15">
        <v>278</v>
      </c>
      <c r="D303" s="15">
        <v>280</v>
      </c>
      <c r="E303" s="15">
        <v>285</v>
      </c>
      <c r="F303" s="15">
        <v>312</v>
      </c>
      <c r="G303" s="15">
        <v>318</v>
      </c>
      <c r="H303" s="15">
        <v>317</v>
      </c>
      <c r="I303" s="15">
        <v>333</v>
      </c>
      <c r="J303" s="15">
        <v>365</v>
      </c>
      <c r="K303" s="15">
        <v>355</v>
      </c>
      <c r="L303" s="15">
        <v>316</v>
      </c>
      <c r="M303" s="15">
        <v>294</v>
      </c>
      <c r="N303" s="15">
        <v>310</v>
      </c>
      <c r="O303" s="15">
        <v>289</v>
      </c>
      <c r="P303" s="15">
        <v>322</v>
      </c>
      <c r="Q303" s="15">
        <v>319</v>
      </c>
      <c r="R303" s="15">
        <v>307</v>
      </c>
      <c r="S303" s="15">
        <v>323</v>
      </c>
      <c r="T303" s="15">
        <v>378</v>
      </c>
      <c r="U303" s="15">
        <v>414</v>
      </c>
      <c r="V303" s="15">
        <v>364</v>
      </c>
      <c r="W303" s="12"/>
      <c r="X303" s="12"/>
      <c r="Y303" s="12"/>
      <c r="Z303" s="12"/>
      <c r="AA303" s="13">
        <f t="shared" ref="AA303:AB303" si="153">SUMIF($C$1:$M$1,AA$1,$C303:$M303)</f>
        <v>1155</v>
      </c>
      <c r="AB303" s="13">
        <f t="shared" si="153"/>
        <v>1333</v>
      </c>
      <c r="AC303" s="13">
        <f>AC302-AB302</f>
        <v>1275</v>
      </c>
      <c r="AD303" s="13">
        <f>AD302-AC302</f>
        <v>1238</v>
      </c>
      <c r="AE303" s="13">
        <f>AE302-AD302</f>
        <v>1479</v>
      </c>
    </row>
    <row r="304" spans="2:31" x14ac:dyDescent="0.25"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x14ac:dyDescent="0.25">
      <c r="B305" s="23" t="s">
        <v>103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AA305" s="13"/>
      <c r="AB305" s="13"/>
      <c r="AC305" s="13"/>
    </row>
    <row r="306" spans="1:31" x14ac:dyDescent="0.25">
      <c r="B306" s="1" t="s">
        <v>104</v>
      </c>
      <c r="C306" s="15">
        <v>19355</v>
      </c>
      <c r="D306" s="15">
        <v>18956</v>
      </c>
      <c r="E306" s="15">
        <v>18549</v>
      </c>
      <c r="F306" s="15">
        <v>18176</v>
      </c>
      <c r="G306" s="15">
        <v>17664</v>
      </c>
      <c r="H306" s="15">
        <v>17144</v>
      </c>
      <c r="I306" s="15">
        <v>16582</v>
      </c>
      <c r="J306" s="15">
        <v>16142</v>
      </c>
      <c r="K306" s="15">
        <v>15528</v>
      </c>
      <c r="L306" s="15">
        <v>14985</v>
      </c>
      <c r="M306" s="15">
        <v>14495</v>
      </c>
      <c r="N306" s="15">
        <v>14106</v>
      </c>
      <c r="O306" s="15">
        <v>13618</v>
      </c>
      <c r="P306" s="15">
        <v>13199</v>
      </c>
      <c r="Q306" s="15">
        <v>12834</v>
      </c>
      <c r="R306" s="15">
        <v>12523</v>
      </c>
      <c r="S306" s="15">
        <v>12096</v>
      </c>
      <c r="T306" s="15">
        <v>11771</v>
      </c>
      <c r="U306" s="15">
        <v>11515</v>
      </c>
      <c r="V306" s="15">
        <v>11270</v>
      </c>
      <c r="AA306" s="13">
        <f>SUMIFS($C306:$M306,$C$1:$M$1,AA$1,$C$2:$M$2,4)</f>
        <v>18176</v>
      </c>
      <c r="AB306" s="13">
        <f t="shared" ref="AB306" si="154">SUMIFS($C306:$M306,$C$1:$M$1,AB$1,$C$2:$M$2,4)</f>
        <v>16142</v>
      </c>
      <c r="AC306" s="13">
        <f>SUMIFS($C306:$N306,$C$1:$N$1,AC$1,$C$2:$N$2,4)</f>
        <v>14106</v>
      </c>
      <c r="AD306" s="13">
        <f>SUMIFS(C306:R306,$C$1:$R$1,AD$1,$C$2:$R$2,4)</f>
        <v>12523</v>
      </c>
      <c r="AE306" s="13">
        <f>SUMIFS(C306:V306,$C$1:$V$1,AE$1,$C$2:$V$2,4)</f>
        <v>11270</v>
      </c>
    </row>
    <row r="307" spans="1:31" x14ac:dyDescent="0.25">
      <c r="B307" s="17" t="s">
        <v>105</v>
      </c>
      <c r="C307" s="15">
        <v>-491</v>
      </c>
      <c r="D307" s="15">
        <v>-399</v>
      </c>
      <c r="E307" s="15">
        <v>-408</v>
      </c>
      <c r="F307" s="15">
        <v>-373</v>
      </c>
      <c r="G307" s="15">
        <v>-512</v>
      </c>
      <c r="H307" s="15">
        <v>-521</v>
      </c>
      <c r="I307" s="15">
        <v>-561</v>
      </c>
      <c r="J307" s="15">
        <v>-440</v>
      </c>
      <c r="K307" s="15">
        <v>-614</v>
      </c>
      <c r="L307" s="15">
        <v>-543</v>
      </c>
      <c r="M307" s="15">
        <v>-490</v>
      </c>
      <c r="N307" s="15">
        <v>-389</v>
      </c>
      <c r="O307" s="15">
        <v>-487</v>
      </c>
      <c r="P307" s="15">
        <v>-419</v>
      </c>
      <c r="Q307" s="15">
        <v>-365</v>
      </c>
      <c r="R307" s="15">
        <v>-311</v>
      </c>
      <c r="S307" s="15">
        <v>-427</v>
      </c>
      <c r="T307" s="15">
        <v>-325</v>
      </c>
      <c r="U307" s="15">
        <v>-257</v>
      </c>
      <c r="V307" s="15">
        <v>-245</v>
      </c>
      <c r="AA307" s="13">
        <f t="shared" ref="AA307:AB307" si="155">SUMIF($C$1:$M$1,AA$1,$C307:$M307)</f>
        <v>-1671</v>
      </c>
      <c r="AB307" s="13">
        <f t="shared" si="155"/>
        <v>-2034</v>
      </c>
      <c r="AC307" s="13">
        <f>AC306-AB306</f>
        <v>-2036</v>
      </c>
      <c r="AD307" s="13">
        <f>AD306-AC306</f>
        <v>-1583</v>
      </c>
      <c r="AE307" s="13">
        <f>AE306-AD306</f>
        <v>-1253</v>
      </c>
    </row>
    <row r="308" spans="1:31" x14ac:dyDescent="0.25"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spans="1:31" x14ac:dyDescent="0.25">
      <c r="B309" s="23" t="s">
        <v>106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spans="1:31" x14ac:dyDescent="0.25">
      <c r="B310" s="1" t="s">
        <v>104</v>
      </c>
      <c r="C310" s="15">
        <v>10919</v>
      </c>
      <c r="D310" s="15">
        <v>10812</v>
      </c>
      <c r="E310" s="15">
        <v>10655</v>
      </c>
      <c r="F310" s="15">
        <v>10485</v>
      </c>
      <c r="G310" s="15">
        <v>10203</v>
      </c>
      <c r="H310" s="15">
        <v>9918</v>
      </c>
      <c r="I310" s="15">
        <v>9603</v>
      </c>
      <c r="J310" s="15">
        <v>9316</v>
      </c>
      <c r="K310" s="15">
        <v>8938</v>
      </c>
      <c r="L310" s="15">
        <v>8609</v>
      </c>
      <c r="M310" s="15">
        <v>8280</v>
      </c>
      <c r="N310" s="15">
        <v>7984</v>
      </c>
      <c r="O310" s="15">
        <v>7639</v>
      </c>
      <c r="P310" s="15">
        <v>7305</v>
      </c>
      <c r="Q310" s="15">
        <v>6991</v>
      </c>
      <c r="R310" s="15">
        <v>6726</v>
      </c>
      <c r="S310" s="15">
        <v>6401</v>
      </c>
      <c r="T310" s="15">
        <v>6111</v>
      </c>
      <c r="U310" s="15">
        <v>5867</v>
      </c>
      <c r="V310" s="15">
        <v>5650</v>
      </c>
      <c r="AA310" s="13">
        <f>SUMIFS($C310:$M310,$C$1:$M$1,AA$1,$C$2:$M$2,4)</f>
        <v>10485</v>
      </c>
      <c r="AB310" s="13">
        <f t="shared" ref="AB310" si="156">SUMIFS($C310:$M310,$C$1:$M$1,AB$1,$C$2:$M$2,4)</f>
        <v>9316</v>
      </c>
      <c r="AC310" s="13">
        <f>SUMIFS($C310:$N310,$C$1:$N$1,AC$1,$C$2:$N$2,4)</f>
        <v>7984</v>
      </c>
      <c r="AD310" s="13">
        <f>SUMIFS(C310:R310,$C$1:$R$1,AD$1,$C$2:$R$2,4)</f>
        <v>6726</v>
      </c>
      <c r="AE310" s="13">
        <f>SUMIFS(C310:V310,$C$1:$V$1,AE$1,$C$2:$V$2,4)</f>
        <v>5650</v>
      </c>
    </row>
    <row r="311" spans="1:31" x14ac:dyDescent="0.25">
      <c r="B311" s="17" t="s">
        <v>105</v>
      </c>
      <c r="C311" s="15">
        <v>-105</v>
      </c>
      <c r="D311" s="15">
        <v>-107</v>
      </c>
      <c r="E311" s="15">
        <v>-157</v>
      </c>
      <c r="F311" s="15">
        <v>-170</v>
      </c>
      <c r="G311" s="15">
        <v>-282</v>
      </c>
      <c r="H311" s="15">
        <v>-285</v>
      </c>
      <c r="I311" s="15">
        <v>-315</v>
      </c>
      <c r="J311" s="15">
        <v>-287</v>
      </c>
      <c r="K311" s="15">
        <v>-378</v>
      </c>
      <c r="L311" s="15">
        <v>-329</v>
      </c>
      <c r="M311" s="15">
        <v>-329</v>
      </c>
      <c r="N311" s="15">
        <v>-295</v>
      </c>
      <c r="O311" s="15">
        <v>-345</v>
      </c>
      <c r="P311" s="15">
        <v>-335</v>
      </c>
      <c r="Q311" s="15">
        <v>-314</v>
      </c>
      <c r="R311" s="15">
        <v>-265</v>
      </c>
      <c r="S311" s="15">
        <v>-325</v>
      </c>
      <c r="T311" s="15">
        <v>-291</v>
      </c>
      <c r="U311" s="15">
        <v>-244</v>
      </c>
      <c r="V311" s="15">
        <v>-217</v>
      </c>
      <c r="AA311" s="13">
        <f t="shared" ref="AA311:AB311" si="157">SUMIF($C$1:$M$1,AA$1,$C311:$M311)</f>
        <v>-539</v>
      </c>
      <c r="AB311" s="13">
        <f t="shared" si="157"/>
        <v>-1169</v>
      </c>
      <c r="AC311" s="13">
        <f>AC310-AB310</f>
        <v>-1332</v>
      </c>
      <c r="AD311" s="13">
        <f>AD310-AC310</f>
        <v>-1258</v>
      </c>
      <c r="AE311" s="13">
        <f>AE310-AD310</f>
        <v>-1076</v>
      </c>
    </row>
    <row r="312" spans="1:31" x14ac:dyDescent="0.25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spans="1:31" x14ac:dyDescent="0.25">
      <c r="A313" s="1" t="s">
        <v>14</v>
      </c>
      <c r="B313" s="32" t="s">
        <v>109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5">
      <c r="B314" s="29" t="s">
        <v>110</v>
      </c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44"/>
      <c r="X314" s="44"/>
      <c r="Y314" s="44"/>
      <c r="Z314" s="44"/>
      <c r="AA314" s="44"/>
      <c r="AB314" s="44"/>
      <c r="AC314" s="44"/>
      <c r="AD314" s="44"/>
      <c r="AE314" s="44"/>
    </row>
    <row r="315" spans="1:31" x14ac:dyDescent="0.25">
      <c r="B315" s="1" t="s">
        <v>111</v>
      </c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2"/>
      <c r="X315" s="12"/>
      <c r="Y315" s="12"/>
      <c r="Z315" s="12"/>
      <c r="AA315" s="12"/>
      <c r="AB315" s="12"/>
      <c r="AC315" s="12"/>
      <c r="AD315" s="12"/>
      <c r="AE315" s="12"/>
    </row>
    <row r="316" spans="1:31" x14ac:dyDescent="0.25">
      <c r="B316" s="17" t="s">
        <v>112</v>
      </c>
      <c r="C316" s="15">
        <v>635</v>
      </c>
      <c r="D316" s="15">
        <v>699</v>
      </c>
      <c r="E316" s="15">
        <v>635</v>
      </c>
      <c r="F316" s="15">
        <v>776</v>
      </c>
      <c r="G316" s="15">
        <v>540</v>
      </c>
      <c r="H316" s="15">
        <v>627</v>
      </c>
      <c r="I316" s="15">
        <v>685</v>
      </c>
      <c r="J316" s="15">
        <v>727</v>
      </c>
      <c r="K316" s="15">
        <v>609</v>
      </c>
      <c r="L316" s="15">
        <v>655</v>
      </c>
      <c r="M316" s="15">
        <v>531</v>
      </c>
      <c r="N316" s="15">
        <v>439</v>
      </c>
      <c r="O316" s="15">
        <v>537</v>
      </c>
      <c r="P316" s="15">
        <v>452</v>
      </c>
      <c r="Q316" s="15">
        <v>460</v>
      </c>
      <c r="R316" s="15">
        <v>564</v>
      </c>
      <c r="S316" s="15">
        <v>407</v>
      </c>
      <c r="T316" s="15">
        <v>507</v>
      </c>
      <c r="U316" s="15">
        <v>613</v>
      </c>
      <c r="V316" s="15">
        <v>666</v>
      </c>
      <c r="W316" s="16">
        <v>515</v>
      </c>
      <c r="X316" s="16">
        <v>677</v>
      </c>
      <c r="Y316" s="12"/>
      <c r="Z316" s="12"/>
      <c r="AA316" s="13">
        <f t="shared" ref="AA316:AC319" si="158">SUMIF($C$1:$M$1,AA$1,$C316:$M316)</f>
        <v>2745</v>
      </c>
      <c r="AB316" s="13">
        <f t="shared" si="158"/>
        <v>2579</v>
      </c>
      <c r="AC316" s="13">
        <f t="shared" si="158"/>
        <v>1795</v>
      </c>
      <c r="AD316" s="13">
        <f>SUMIF($C$1:$V$1,AD$1,$C316:$V316)</f>
        <v>2013</v>
      </c>
      <c r="AE316" s="13">
        <f>SUMIF($C$1:$V$1,AE$1,$C316:$V316)-1</f>
        <v>2192</v>
      </c>
    </row>
    <row r="317" spans="1:31" x14ac:dyDescent="0.25">
      <c r="B317" s="17" t="s">
        <v>113</v>
      </c>
      <c r="C317" s="15">
        <v>510</v>
      </c>
      <c r="D317" s="15">
        <v>640</v>
      </c>
      <c r="E317" s="15">
        <v>684</v>
      </c>
      <c r="F317" s="15">
        <v>891</v>
      </c>
      <c r="G317" s="15">
        <v>511</v>
      </c>
      <c r="H317" s="15">
        <v>678</v>
      </c>
      <c r="I317" s="15">
        <v>757</v>
      </c>
      <c r="J317" s="15">
        <v>972</v>
      </c>
      <c r="K317" s="15">
        <v>767</v>
      </c>
      <c r="L317" s="15">
        <v>765</v>
      </c>
      <c r="M317" s="15">
        <v>843</v>
      </c>
      <c r="N317" s="15">
        <v>786</v>
      </c>
      <c r="O317" s="15">
        <v>706</v>
      </c>
      <c r="P317" s="15">
        <v>639</v>
      </c>
      <c r="Q317" s="15">
        <v>694</v>
      </c>
      <c r="R317" s="15">
        <v>987</v>
      </c>
      <c r="S317" s="15">
        <v>595</v>
      </c>
      <c r="T317" s="15">
        <v>642</v>
      </c>
      <c r="U317" s="15">
        <v>868</v>
      </c>
      <c r="V317" s="15">
        <v>1051</v>
      </c>
      <c r="W317" s="16">
        <v>683</v>
      </c>
      <c r="X317" s="16">
        <v>897</v>
      </c>
      <c r="Y317" s="12"/>
      <c r="Z317" s="12"/>
      <c r="AA317" s="13">
        <f t="shared" si="158"/>
        <v>2725</v>
      </c>
      <c r="AB317" s="13">
        <f t="shared" si="158"/>
        <v>2918</v>
      </c>
      <c r="AC317" s="13">
        <f t="shared" si="158"/>
        <v>2375</v>
      </c>
      <c r="AD317" s="13">
        <f>SUMIF($C$1:$V$1,AD$1,$C317:$V317)-2</f>
        <v>3024</v>
      </c>
      <c r="AE317" s="13">
        <f t="shared" ref="AD317:AF320" si="159">SUMIF($C$1:$V$1,AE$1,$C317:$V317)</f>
        <v>3156</v>
      </c>
    </row>
    <row r="318" spans="1:31" x14ac:dyDescent="0.25">
      <c r="B318" s="17" t="s">
        <v>114</v>
      </c>
      <c r="C318" s="15">
        <v>348</v>
      </c>
      <c r="D318" s="15">
        <v>385</v>
      </c>
      <c r="E318" s="15">
        <v>379</v>
      </c>
      <c r="F318" s="15">
        <v>454</v>
      </c>
      <c r="G318" s="15">
        <v>331</v>
      </c>
      <c r="H318" s="15">
        <v>449</v>
      </c>
      <c r="I318" s="15">
        <v>487</v>
      </c>
      <c r="J318" s="15">
        <v>557</v>
      </c>
      <c r="K318" s="15">
        <v>472</v>
      </c>
      <c r="L318" s="15">
        <v>592</v>
      </c>
      <c r="M318" s="15">
        <v>611</v>
      </c>
      <c r="N318" s="15">
        <v>657</v>
      </c>
      <c r="O318" s="15">
        <v>573</v>
      </c>
      <c r="P318" s="15">
        <v>634</v>
      </c>
      <c r="Q318" s="15">
        <v>674</v>
      </c>
      <c r="R318" s="15">
        <v>810</v>
      </c>
      <c r="S318" s="15">
        <v>560</v>
      </c>
      <c r="T318" s="15">
        <v>670</v>
      </c>
      <c r="U318" s="15">
        <v>704</v>
      </c>
      <c r="V318" s="15">
        <v>756</v>
      </c>
      <c r="W318" s="16">
        <v>547</v>
      </c>
      <c r="X318" s="16">
        <v>607</v>
      </c>
      <c r="Y318" s="12"/>
      <c r="Z318" s="12"/>
      <c r="AA318" s="13">
        <f t="shared" si="158"/>
        <v>1566</v>
      </c>
      <c r="AB318" s="13">
        <f t="shared" si="158"/>
        <v>1824</v>
      </c>
      <c r="AC318" s="13">
        <f t="shared" si="158"/>
        <v>1675</v>
      </c>
      <c r="AD318" s="13">
        <f t="shared" si="159"/>
        <v>2691</v>
      </c>
      <c r="AE318" s="13">
        <f>SUMIF($C$1:$V$1,AE$1,$C318:$V318)-1</f>
        <v>2689</v>
      </c>
    </row>
    <row r="319" spans="1:31" x14ac:dyDescent="0.25">
      <c r="B319" s="17" t="s">
        <v>115</v>
      </c>
      <c r="C319" s="15">
        <v>137</v>
      </c>
      <c r="D319" s="15">
        <v>169</v>
      </c>
      <c r="E319" s="15">
        <v>170</v>
      </c>
      <c r="F319" s="15">
        <v>351</v>
      </c>
      <c r="G319" s="15">
        <v>133</v>
      </c>
      <c r="H319" s="15">
        <v>153</v>
      </c>
      <c r="I319" s="15">
        <v>197</v>
      </c>
      <c r="J319" s="15">
        <v>312</v>
      </c>
      <c r="K319" s="15">
        <v>116</v>
      </c>
      <c r="L319" s="15">
        <v>113</v>
      </c>
      <c r="M319" s="15">
        <v>97</v>
      </c>
      <c r="N319" s="15">
        <v>187</v>
      </c>
      <c r="O319" s="15">
        <v>74</v>
      </c>
      <c r="P319" s="15">
        <v>127</v>
      </c>
      <c r="Q319" s="15">
        <v>119</v>
      </c>
      <c r="R319" s="15">
        <v>238</v>
      </c>
      <c r="S319" s="15">
        <v>68</v>
      </c>
      <c r="T319" s="15">
        <v>95</v>
      </c>
      <c r="U319" s="15">
        <v>141</v>
      </c>
      <c r="V319" s="15">
        <v>382</v>
      </c>
      <c r="W319" s="16">
        <v>103</v>
      </c>
      <c r="X319" s="16">
        <v>113</v>
      </c>
      <c r="Y319" s="12"/>
      <c r="Z319" s="12"/>
      <c r="AA319" s="13">
        <f t="shared" si="158"/>
        <v>827</v>
      </c>
      <c r="AB319" s="13">
        <f t="shared" si="158"/>
        <v>795</v>
      </c>
      <c r="AC319" s="13">
        <f t="shared" si="158"/>
        <v>326</v>
      </c>
      <c r="AD319" s="13">
        <f>SUMIF($C$1:$V$1,AD$1,$C319:$V319)-1</f>
        <v>557</v>
      </c>
      <c r="AE319" s="13">
        <f t="shared" si="159"/>
        <v>686</v>
      </c>
    </row>
    <row r="320" spans="1:31" s="23" customFormat="1" x14ac:dyDescent="0.25">
      <c r="B320" s="23" t="s">
        <v>116</v>
      </c>
      <c r="C320" s="45">
        <f>SUM(C316:C319)</f>
        <v>1630</v>
      </c>
      <c r="D320" s="45">
        <f t="shared" ref="D320:N320" si="160">SUM(D316:D319)</f>
        <v>1893</v>
      </c>
      <c r="E320" s="45">
        <f t="shared" si="160"/>
        <v>1868</v>
      </c>
      <c r="F320" s="45">
        <f t="shared" si="160"/>
        <v>2472</v>
      </c>
      <c r="G320" s="45">
        <f t="shared" si="160"/>
        <v>1515</v>
      </c>
      <c r="H320" s="45">
        <f t="shared" si="160"/>
        <v>1907</v>
      </c>
      <c r="I320" s="45">
        <f t="shared" si="160"/>
        <v>2126</v>
      </c>
      <c r="J320" s="45">
        <f t="shared" si="160"/>
        <v>2568</v>
      </c>
      <c r="K320" s="45">
        <f t="shared" si="160"/>
        <v>1964</v>
      </c>
      <c r="L320" s="45">
        <f t="shared" si="160"/>
        <v>2125</v>
      </c>
      <c r="M320" s="45">
        <f t="shared" si="160"/>
        <v>2082</v>
      </c>
      <c r="N320" s="45">
        <f t="shared" si="160"/>
        <v>2069</v>
      </c>
      <c r="O320" s="45">
        <f>SUM(O316:O319)-1</f>
        <v>1889</v>
      </c>
      <c r="P320" s="45">
        <f>SUM(P316:P319)-1</f>
        <v>1851</v>
      </c>
      <c r="Q320" s="45">
        <f t="shared" ref="Q320" si="161">SUM(Q316:Q319)</f>
        <v>1947</v>
      </c>
      <c r="R320" s="45">
        <v>2598</v>
      </c>
      <c r="S320" s="45">
        <f>SUM(S316:S319)-1</f>
        <v>1629</v>
      </c>
      <c r="T320" s="45">
        <f t="shared" ref="T320:U320" si="162">SUM(T316:T319)</f>
        <v>1914</v>
      </c>
      <c r="U320" s="45">
        <f t="shared" si="162"/>
        <v>2326</v>
      </c>
      <c r="V320" s="45">
        <f>SUM(V316:V319)-1</f>
        <v>2854</v>
      </c>
      <c r="W320" s="45">
        <f>SUM(W316:W319)</f>
        <v>1848</v>
      </c>
      <c r="X320" s="45">
        <f>SUM(X316:X319)+1</f>
        <v>2295</v>
      </c>
      <c r="Y320" s="45"/>
      <c r="Z320" s="45"/>
      <c r="AA320" s="45">
        <f t="shared" ref="AA320:AC320" si="163">SUM(AA316:AA319)</f>
        <v>7863</v>
      </c>
      <c r="AB320" s="45">
        <f t="shared" si="163"/>
        <v>8116</v>
      </c>
      <c r="AC320" s="45">
        <f t="shared" si="163"/>
        <v>6171</v>
      </c>
      <c r="AD320" s="45">
        <f>SUMIF($C$1:$R$1,AD$1,$C320:$R320)+1</f>
        <v>8286</v>
      </c>
      <c r="AE320" s="13">
        <f t="shared" si="159"/>
        <v>8723</v>
      </c>
    </row>
    <row r="321" spans="2:31" s="49" customFormat="1" x14ac:dyDescent="0.25">
      <c r="B321" s="46" t="s">
        <v>117</v>
      </c>
      <c r="C321" s="47">
        <f t="shared" ref="C321:X321" si="164">C320/C23</f>
        <v>8.233570743041875E-2</v>
      </c>
      <c r="D321" s="47">
        <f t="shared" si="164"/>
        <v>9.3643334157803612E-2</v>
      </c>
      <c r="E321" s="47">
        <f t="shared" si="164"/>
        <v>9.2530215969883103E-2</v>
      </c>
      <c r="F321" s="47">
        <f t="shared" si="164"/>
        <v>0.12029197080291971</v>
      </c>
      <c r="G321" s="47">
        <f t="shared" si="164"/>
        <v>7.3859204368174725E-2</v>
      </c>
      <c r="H321" s="47">
        <f t="shared" si="164"/>
        <v>9.3779198426358498E-2</v>
      </c>
      <c r="I321" s="47">
        <f t="shared" si="164"/>
        <v>0.10604549082202713</v>
      </c>
      <c r="J321" s="47">
        <f t="shared" si="164"/>
        <v>0.12643395204568952</v>
      </c>
      <c r="K321" s="47">
        <f t="shared" si="164"/>
        <v>9.7449637789024518E-2</v>
      </c>
      <c r="L321" s="47">
        <f t="shared" si="164"/>
        <v>0.10436619026570404</v>
      </c>
      <c r="M321" s="47">
        <f t="shared" si="164"/>
        <v>0.10270830250110996</v>
      </c>
      <c r="N321" s="47">
        <f t="shared" si="164"/>
        <v>0.1013271952593173</v>
      </c>
      <c r="O321" s="47">
        <f t="shared" si="164"/>
        <v>9.304043737378713E-2</v>
      </c>
      <c r="P321" s="47">
        <f t="shared" si="164"/>
        <v>9.1308208366219418E-2</v>
      </c>
      <c r="Q321" s="47">
        <f t="shared" si="164"/>
        <v>9.5816929133858267E-2</v>
      </c>
      <c r="R321" s="47">
        <f t="shared" si="164"/>
        <v>0.12671934445419958</v>
      </c>
      <c r="S321" s="47">
        <f t="shared" si="164"/>
        <v>8.0799563513714603E-2</v>
      </c>
      <c r="T321" s="47">
        <f t="shared" si="164"/>
        <v>9.3763777984617644E-2</v>
      </c>
      <c r="U321" s="47">
        <f t="shared" si="164"/>
        <v>0.11508015040569959</v>
      </c>
      <c r="V321" s="47">
        <f t="shared" si="164"/>
        <v>0.14071590572921802</v>
      </c>
      <c r="W321" s="47">
        <f t="shared" si="164"/>
        <v>9.2571256825126486E-2</v>
      </c>
      <c r="X321" s="47">
        <f t="shared" si="164"/>
        <v>0.11593836827481688</v>
      </c>
      <c r="Y321" s="48"/>
      <c r="Z321" s="48"/>
      <c r="AA321" s="47">
        <f>AA320/AA23</f>
        <v>9.7374613003095981E-2</v>
      </c>
      <c r="AB321" s="47">
        <f>AB320/AB23</f>
        <v>9.9943353939364085E-2</v>
      </c>
      <c r="AC321" s="47">
        <f>AC320/AC23</f>
        <v>7.5992857582661166E-2</v>
      </c>
      <c r="AD321" s="47">
        <f>AD320/AD23</f>
        <v>0.10179861418251511</v>
      </c>
      <c r="AE321" s="47">
        <f>AE320/AE23</f>
        <v>0.10760102629890955</v>
      </c>
    </row>
    <row r="322" spans="2:31" x14ac:dyDescent="0.25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spans="2:31" s="23" customFormat="1" x14ac:dyDescent="0.25">
      <c r="B323" s="23" t="s">
        <v>118</v>
      </c>
      <c r="C323" s="50">
        <v>172</v>
      </c>
      <c r="D323" s="50">
        <v>184</v>
      </c>
      <c r="E323" s="50">
        <v>230</v>
      </c>
      <c r="F323" s="50">
        <v>508</v>
      </c>
      <c r="G323" s="50">
        <v>307</v>
      </c>
      <c r="H323" s="50">
        <v>465</v>
      </c>
      <c r="I323" s="50">
        <v>614</v>
      </c>
      <c r="J323" s="50">
        <v>936</v>
      </c>
      <c r="K323" s="50">
        <v>651</v>
      </c>
      <c r="L323" s="50">
        <v>809</v>
      </c>
      <c r="M323" s="50">
        <v>884</v>
      </c>
      <c r="N323" s="50">
        <v>1203</v>
      </c>
      <c r="O323" s="50">
        <v>674</v>
      </c>
      <c r="P323" s="50">
        <v>843</v>
      </c>
      <c r="Q323" s="50">
        <v>890</v>
      </c>
      <c r="R323" s="50">
        <v>1276</v>
      </c>
      <c r="S323" s="50">
        <v>602</v>
      </c>
      <c r="T323" s="50">
        <v>734</v>
      </c>
      <c r="U323" s="50">
        <v>714</v>
      </c>
      <c r="V323" s="50">
        <v>844</v>
      </c>
      <c r="W323" s="50">
        <v>481</v>
      </c>
      <c r="X323" s="50">
        <v>584</v>
      </c>
      <c r="Y323" s="45"/>
      <c r="Z323" s="45"/>
      <c r="AA323" s="13">
        <f t="shared" ref="AA323:AC324" si="165">SUMIF($C$1:$M$1,AA$1,$C323:$M323)</f>
        <v>1094</v>
      </c>
      <c r="AB323" s="13">
        <f t="shared" si="165"/>
        <v>2322</v>
      </c>
      <c r="AC323" s="13">
        <f t="shared" si="165"/>
        <v>2344</v>
      </c>
      <c r="AD323" s="13">
        <f>SUMIF($C$1:$R$1,AD$1,$C323:$R323)+1</f>
        <v>3684</v>
      </c>
      <c r="AE323" s="13">
        <f t="shared" ref="AE323" si="166">SUMIF($C$1:$V$1,AE$1,$C323:$V323)</f>
        <v>2894</v>
      </c>
    </row>
    <row r="324" spans="2:31" x14ac:dyDescent="0.25">
      <c r="B324" s="1" t="s">
        <v>119</v>
      </c>
      <c r="C324" s="15">
        <v>57</v>
      </c>
      <c r="D324" s="15">
        <v>67</v>
      </c>
      <c r="E324" s="15">
        <v>44</v>
      </c>
      <c r="F324" s="15">
        <v>48</v>
      </c>
      <c r="G324" s="15">
        <v>35</v>
      </c>
      <c r="H324" s="15">
        <v>42</v>
      </c>
      <c r="I324" s="15">
        <v>51</v>
      </c>
      <c r="J324" s="15">
        <v>59</v>
      </c>
      <c r="K324" s="15">
        <v>49</v>
      </c>
      <c r="L324" s="15">
        <v>29</v>
      </c>
      <c r="M324" s="15">
        <v>328</v>
      </c>
      <c r="N324" s="15">
        <v>47</v>
      </c>
      <c r="O324" s="15">
        <v>67</v>
      </c>
      <c r="P324" s="15">
        <v>29</v>
      </c>
      <c r="Q324" s="15">
        <v>77</v>
      </c>
      <c r="R324" s="15">
        <v>39</v>
      </c>
      <c r="S324" s="15">
        <v>20</v>
      </c>
      <c r="T324" s="15">
        <v>31</v>
      </c>
      <c r="U324" s="15">
        <v>31</v>
      </c>
      <c r="V324" s="15">
        <v>51</v>
      </c>
      <c r="W324" s="15">
        <v>22</v>
      </c>
      <c r="X324" s="15">
        <v>22</v>
      </c>
      <c r="Y324" s="12"/>
      <c r="Z324" s="12"/>
      <c r="AA324" s="13">
        <f t="shared" si="165"/>
        <v>216</v>
      </c>
      <c r="AB324" s="13">
        <f t="shared" si="165"/>
        <v>187</v>
      </c>
      <c r="AC324" s="13">
        <f t="shared" si="165"/>
        <v>406</v>
      </c>
      <c r="AD324" s="13">
        <f t="shared" ref="AD324:AD325" si="167">SUMIF($C$1:$R$1,AD$1,$C324:$R324)</f>
        <v>212</v>
      </c>
      <c r="AE324" s="13">
        <f>SUMIF($C$1:$V$1,AE$1,$C324:$V324)-1</f>
        <v>132</v>
      </c>
    </row>
    <row r="325" spans="2:31" s="23" customFormat="1" x14ac:dyDescent="0.25">
      <c r="B325" s="23" t="s">
        <v>120</v>
      </c>
      <c r="C325" s="45">
        <f>C320+C323+C324</f>
        <v>1859</v>
      </c>
      <c r="D325" s="45">
        <f t="shared" ref="D325:O325" si="168">D320+D323+D324</f>
        <v>2144</v>
      </c>
      <c r="E325" s="45">
        <f t="shared" si="168"/>
        <v>2142</v>
      </c>
      <c r="F325" s="45">
        <f t="shared" si="168"/>
        <v>3028</v>
      </c>
      <c r="G325" s="45">
        <f t="shared" si="168"/>
        <v>1857</v>
      </c>
      <c r="H325" s="45">
        <f t="shared" si="168"/>
        <v>2414</v>
      </c>
      <c r="I325" s="45">
        <f t="shared" si="168"/>
        <v>2791</v>
      </c>
      <c r="J325" s="45">
        <f t="shared" si="168"/>
        <v>3563</v>
      </c>
      <c r="K325" s="45">
        <f t="shared" si="168"/>
        <v>2664</v>
      </c>
      <c r="L325" s="45">
        <f t="shared" si="168"/>
        <v>2963</v>
      </c>
      <c r="M325" s="45">
        <f t="shared" si="168"/>
        <v>3294</v>
      </c>
      <c r="N325" s="45">
        <f t="shared" si="168"/>
        <v>3319</v>
      </c>
      <c r="O325" s="45">
        <f t="shared" si="168"/>
        <v>2630</v>
      </c>
      <c r="P325" s="45">
        <f>P320+P323+P324+1</f>
        <v>2724</v>
      </c>
      <c r="Q325" s="45">
        <f>Q320+Q323+Q324-1</f>
        <v>2913</v>
      </c>
      <c r="R325" s="45">
        <v>3914</v>
      </c>
      <c r="S325" s="45">
        <f>S320+S323+S324+1</f>
        <v>2252</v>
      </c>
      <c r="T325" s="45">
        <v>2679</v>
      </c>
      <c r="U325" s="45">
        <v>3071</v>
      </c>
      <c r="V325" s="45">
        <v>3749</v>
      </c>
      <c r="W325" s="45">
        <v>2351</v>
      </c>
      <c r="X325" s="45">
        <v>2902</v>
      </c>
      <c r="Y325" s="45"/>
      <c r="Z325" s="45"/>
      <c r="AA325" s="45">
        <f t="shared" ref="AA325:AC325" si="169">AA320+AA323+AA324</f>
        <v>9173</v>
      </c>
      <c r="AB325" s="45">
        <f t="shared" si="169"/>
        <v>10625</v>
      </c>
      <c r="AC325" s="45">
        <f t="shared" si="169"/>
        <v>8921</v>
      </c>
      <c r="AD325" s="45">
        <f t="shared" si="167"/>
        <v>12181</v>
      </c>
      <c r="AE325" s="13">
        <f>SUMIF($C$1:$V$1,AE$1,$C325:$V325)-1</f>
        <v>11750</v>
      </c>
    </row>
    <row r="326" spans="2:31" x14ac:dyDescent="0.25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spans="2:31" x14ac:dyDescent="0.25">
      <c r="B327" s="29" t="s">
        <v>121</v>
      </c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51"/>
      <c r="X327" s="51"/>
      <c r="Y327" s="51"/>
      <c r="Z327" s="51"/>
      <c r="AA327" s="51"/>
      <c r="AB327" s="51"/>
      <c r="AC327" s="51"/>
      <c r="AD327" s="51"/>
      <c r="AE327" s="51"/>
    </row>
    <row r="328" spans="2:31" x14ac:dyDescent="0.25">
      <c r="B328" s="1" t="s">
        <v>27</v>
      </c>
      <c r="C328" s="15">
        <v>518</v>
      </c>
      <c r="D328" s="15">
        <v>556</v>
      </c>
      <c r="E328" s="15">
        <v>586</v>
      </c>
      <c r="F328" s="15">
        <v>689</v>
      </c>
      <c r="G328" s="15">
        <v>515</v>
      </c>
      <c r="H328" s="15">
        <v>601</v>
      </c>
      <c r="I328" s="15">
        <v>580</v>
      </c>
      <c r="J328" s="15">
        <v>723</v>
      </c>
      <c r="K328" s="15">
        <v>577</v>
      </c>
      <c r="L328" s="15">
        <v>579</v>
      </c>
      <c r="M328" s="15">
        <v>590</v>
      </c>
      <c r="N328" s="15">
        <v>612</v>
      </c>
      <c r="O328" s="15">
        <v>518</v>
      </c>
      <c r="P328" s="15">
        <v>508</v>
      </c>
      <c r="Q328" s="15">
        <v>526</v>
      </c>
      <c r="R328" s="15">
        <v>683</v>
      </c>
      <c r="S328" s="15">
        <v>474</v>
      </c>
      <c r="T328" s="15">
        <v>459</v>
      </c>
      <c r="U328" s="15">
        <v>487</v>
      </c>
      <c r="V328" s="15">
        <v>467</v>
      </c>
      <c r="W328" s="16">
        <v>493</v>
      </c>
      <c r="X328" s="16">
        <v>431</v>
      </c>
      <c r="Y328" s="12"/>
      <c r="Z328" s="12"/>
      <c r="AA328" s="13">
        <f t="shared" ref="AA328:AC330" si="170">SUMIF($C$1:$M$1,AA$1,$C328:$M328)</f>
        <v>2349</v>
      </c>
      <c r="AB328" s="13">
        <f t="shared" si="170"/>
        <v>2419</v>
      </c>
      <c r="AC328" s="13">
        <f t="shared" si="170"/>
        <v>1746</v>
      </c>
      <c r="AD328" s="13">
        <f t="shared" ref="AD328:AD331" si="171">SUMIF($C$1:$R$1,AD$1,$C328:$R328)</f>
        <v>2235</v>
      </c>
      <c r="AE328" s="13">
        <f t="shared" ref="AE328:AE331" si="172">SUMIF($C$1:$V$1,AE$1,$C328:$V328)</f>
        <v>1887</v>
      </c>
    </row>
    <row r="329" spans="2:31" x14ac:dyDescent="0.25">
      <c r="B329" s="1" t="s">
        <v>122</v>
      </c>
      <c r="C329" s="15">
        <v>68</v>
      </c>
      <c r="D329" s="15">
        <v>86</v>
      </c>
      <c r="E329" s="15">
        <v>85</v>
      </c>
      <c r="F329" s="15">
        <v>121</v>
      </c>
      <c r="G329" s="15">
        <v>85</v>
      </c>
      <c r="H329" s="15">
        <v>100</v>
      </c>
      <c r="I329" s="15">
        <v>129</v>
      </c>
      <c r="J329" s="15">
        <v>199</v>
      </c>
      <c r="K329" s="15">
        <v>127</v>
      </c>
      <c r="L329" s="15">
        <v>169</v>
      </c>
      <c r="M329" s="15">
        <v>179</v>
      </c>
      <c r="N329" s="15">
        <v>227</v>
      </c>
      <c r="O329" s="15">
        <v>151</v>
      </c>
      <c r="P329" s="15">
        <v>144</v>
      </c>
      <c r="Q329" s="15">
        <v>165</v>
      </c>
      <c r="R329" s="15">
        <v>209</v>
      </c>
      <c r="S329" s="15">
        <v>140</v>
      </c>
      <c r="T329" s="15">
        <v>171</v>
      </c>
      <c r="U329" s="15">
        <v>181</v>
      </c>
      <c r="V329" s="15">
        <v>236</v>
      </c>
      <c r="W329" s="16">
        <v>136</v>
      </c>
      <c r="X329" s="16">
        <v>146</v>
      </c>
      <c r="Y329" s="12"/>
      <c r="Z329" s="12"/>
      <c r="AA329" s="13">
        <f t="shared" si="170"/>
        <v>360</v>
      </c>
      <c r="AB329" s="13">
        <f t="shared" si="170"/>
        <v>513</v>
      </c>
      <c r="AC329" s="13">
        <f t="shared" si="170"/>
        <v>475</v>
      </c>
      <c r="AD329" s="13">
        <f>SUMIF($C$1:$R$1,AD$1,$C329:$R329)+1</f>
        <v>670</v>
      </c>
      <c r="AE329" s="13">
        <f t="shared" si="172"/>
        <v>728</v>
      </c>
    </row>
    <row r="330" spans="2:31" x14ac:dyDescent="0.25">
      <c r="B330" s="1" t="s">
        <v>123</v>
      </c>
      <c r="C330" s="15">
        <v>27</v>
      </c>
      <c r="D330" s="15">
        <v>29</v>
      </c>
      <c r="E330" s="15">
        <v>52</v>
      </c>
      <c r="F330" s="15">
        <v>66</v>
      </c>
      <c r="G330" s="15">
        <v>41</v>
      </c>
      <c r="H330" s="15">
        <v>41</v>
      </c>
      <c r="I330" s="15">
        <v>59</v>
      </c>
      <c r="J330" s="15">
        <v>67</v>
      </c>
      <c r="K330" s="15">
        <v>61</v>
      </c>
      <c r="L330" s="15">
        <v>65</v>
      </c>
      <c r="M330" s="15">
        <v>59</v>
      </c>
      <c r="N330" s="15">
        <v>54</v>
      </c>
      <c r="O330" s="15">
        <v>10</v>
      </c>
      <c r="P330" s="15">
        <v>10</v>
      </c>
      <c r="Q330" s="15">
        <v>11</v>
      </c>
      <c r="R330" s="15">
        <v>14</v>
      </c>
      <c r="S330" s="15">
        <v>8</v>
      </c>
      <c r="T330" s="15">
        <v>6</v>
      </c>
      <c r="U330" s="15">
        <v>9</v>
      </c>
      <c r="V330" s="15">
        <v>20</v>
      </c>
      <c r="W330" s="16">
        <v>10</v>
      </c>
      <c r="X330" s="16">
        <v>10</v>
      </c>
      <c r="Y330" s="12"/>
      <c r="Z330" s="12"/>
      <c r="AA330" s="13">
        <f t="shared" si="170"/>
        <v>174</v>
      </c>
      <c r="AB330" s="13">
        <f t="shared" si="170"/>
        <v>208</v>
      </c>
      <c r="AC330" s="13">
        <f t="shared" si="170"/>
        <v>185</v>
      </c>
      <c r="AD330" s="13">
        <f>SUMIF($C$1:$R$1,AD$1,$C330:$R330)-1</f>
        <v>44</v>
      </c>
      <c r="AE330" s="13">
        <f>SUMIF($C$1:$V$1,AE$1,$C330:$V330)-1</f>
        <v>42</v>
      </c>
    </row>
    <row r="331" spans="2:31" s="23" customFormat="1" x14ac:dyDescent="0.25">
      <c r="B331" s="23" t="s">
        <v>124</v>
      </c>
      <c r="C331" s="45">
        <f>SUM(C328:C330)</f>
        <v>613</v>
      </c>
      <c r="D331" s="45">
        <f t="shared" ref="D331:L331" si="173">SUM(D328:D330)</f>
        <v>671</v>
      </c>
      <c r="E331" s="45">
        <f t="shared" si="173"/>
        <v>723</v>
      </c>
      <c r="F331" s="45">
        <f t="shared" si="173"/>
        <v>876</v>
      </c>
      <c r="G331" s="45">
        <f t="shared" si="173"/>
        <v>641</v>
      </c>
      <c r="H331" s="45">
        <f t="shared" si="173"/>
        <v>742</v>
      </c>
      <c r="I331" s="45">
        <f t="shared" si="173"/>
        <v>768</v>
      </c>
      <c r="J331" s="45">
        <f t="shared" si="173"/>
        <v>989</v>
      </c>
      <c r="K331" s="45">
        <f t="shared" si="173"/>
        <v>765</v>
      </c>
      <c r="L331" s="45">
        <f t="shared" si="173"/>
        <v>813</v>
      </c>
      <c r="M331" s="45">
        <f>SUM(M328:M330)-1</f>
        <v>827</v>
      </c>
      <c r="N331" s="45">
        <f>SUM(N328:N330)-1</f>
        <v>892</v>
      </c>
      <c r="O331" s="45">
        <f>SUM(O328:O330)</f>
        <v>679</v>
      </c>
      <c r="P331" s="45">
        <f>SUM(P328:P330)</f>
        <v>662</v>
      </c>
      <c r="Q331" s="45">
        <f>SUM(Q328:Q330)</f>
        <v>702</v>
      </c>
      <c r="R331" s="45">
        <v>906</v>
      </c>
      <c r="S331" s="45">
        <v>622</v>
      </c>
      <c r="T331" s="45">
        <f>SUM(T328:T330)</f>
        <v>636</v>
      </c>
      <c r="U331" s="45">
        <f>SUM(U328:U330)</f>
        <v>677</v>
      </c>
      <c r="V331" s="45">
        <f>SUM(V328:V330)</f>
        <v>723</v>
      </c>
      <c r="W331" s="45">
        <f>SUM(W328:W330)</f>
        <v>639</v>
      </c>
      <c r="X331" s="45">
        <f>SUM(X328:X330)</f>
        <v>587</v>
      </c>
      <c r="Y331" s="45"/>
      <c r="Z331" s="45"/>
      <c r="AA331" s="45">
        <f t="shared" ref="AA331:AC331" si="174">SUM(AA328:AA330)</f>
        <v>2883</v>
      </c>
      <c r="AB331" s="45">
        <f t="shared" si="174"/>
        <v>3140</v>
      </c>
      <c r="AC331" s="45">
        <f t="shared" si="174"/>
        <v>2406</v>
      </c>
      <c r="AD331" s="45">
        <f t="shared" si="171"/>
        <v>2949</v>
      </c>
      <c r="AE331" s="13">
        <f t="shared" si="172"/>
        <v>2658</v>
      </c>
    </row>
    <row r="332" spans="2:31" x14ac:dyDescent="0.25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2"/>
      <c r="X332" s="12"/>
      <c r="Y332" s="12"/>
      <c r="Z332" s="12"/>
      <c r="AA332" s="12"/>
      <c r="AB332" s="12"/>
      <c r="AC332" s="12"/>
      <c r="AD332" s="12"/>
      <c r="AE332" s="12"/>
    </row>
    <row r="333" spans="2:31" x14ac:dyDescent="0.25">
      <c r="B333" s="29" t="s">
        <v>125</v>
      </c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51"/>
      <c r="X333" s="51"/>
      <c r="Y333" s="51"/>
      <c r="Z333" s="51"/>
      <c r="AA333" s="51"/>
      <c r="AB333" s="51"/>
      <c r="AC333" s="51"/>
      <c r="AD333" s="51"/>
      <c r="AE333" s="51"/>
    </row>
    <row r="334" spans="2:31" x14ac:dyDescent="0.25">
      <c r="B334" s="1" t="s">
        <v>38</v>
      </c>
      <c r="C334" s="12">
        <f t="shared" ref="C334:N334" si="175">C64</f>
        <v>7331</v>
      </c>
      <c r="D334" s="12">
        <f t="shared" si="175"/>
        <v>7678</v>
      </c>
      <c r="E334" s="12">
        <f t="shared" si="175"/>
        <v>7556</v>
      </c>
      <c r="F334" s="12">
        <f t="shared" si="175"/>
        <v>7306</v>
      </c>
      <c r="G334" s="12">
        <f t="shared" si="175"/>
        <v>7844</v>
      </c>
      <c r="H334" s="12">
        <f t="shared" si="175"/>
        <v>7996</v>
      </c>
      <c r="I334" s="12">
        <f t="shared" si="175"/>
        <v>7983</v>
      </c>
      <c r="J334" s="12">
        <f t="shared" si="175"/>
        <v>7349</v>
      </c>
      <c r="K334" s="12">
        <f t="shared" si="175"/>
        <v>8094</v>
      </c>
      <c r="L334" s="12">
        <f t="shared" si="175"/>
        <v>8346</v>
      </c>
      <c r="M334" s="12">
        <f t="shared" si="175"/>
        <v>8221</v>
      </c>
      <c r="N334" s="12">
        <f t="shared" si="175"/>
        <v>7579</v>
      </c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>
        <f t="shared" ref="AA334:AC336" si="176">SUMIF($C$1:$M$1,AA$1,$C334:$M334)</f>
        <v>29871</v>
      </c>
      <c r="AB334" s="13">
        <f t="shared" si="176"/>
        <v>31172</v>
      </c>
      <c r="AC334" s="13">
        <f t="shared" si="176"/>
        <v>24661</v>
      </c>
      <c r="AD334" s="13"/>
      <c r="AE334" s="13"/>
    </row>
    <row r="335" spans="2:31" x14ac:dyDescent="0.25">
      <c r="B335" s="17" t="s">
        <v>110</v>
      </c>
      <c r="C335" s="12">
        <f>-C320</f>
        <v>-1630</v>
      </c>
      <c r="D335" s="12">
        <f t="shared" ref="D335:N335" si="177">-D320</f>
        <v>-1893</v>
      </c>
      <c r="E335" s="12">
        <f t="shared" si="177"/>
        <v>-1868</v>
      </c>
      <c r="F335" s="12">
        <f t="shared" si="177"/>
        <v>-2472</v>
      </c>
      <c r="G335" s="12">
        <f t="shared" si="177"/>
        <v>-1515</v>
      </c>
      <c r="H335" s="12">
        <f t="shared" si="177"/>
        <v>-1907</v>
      </c>
      <c r="I335" s="12">
        <f t="shared" si="177"/>
        <v>-2126</v>
      </c>
      <c r="J335" s="12">
        <f t="shared" si="177"/>
        <v>-2568</v>
      </c>
      <c r="K335" s="12">
        <f t="shared" si="177"/>
        <v>-1964</v>
      </c>
      <c r="L335" s="12">
        <f t="shared" si="177"/>
        <v>-2125</v>
      </c>
      <c r="M335" s="12">
        <f t="shared" si="177"/>
        <v>-2082</v>
      </c>
      <c r="N335" s="12">
        <f t="shared" si="177"/>
        <v>-2069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>
        <f t="shared" si="176"/>
        <v>-7863</v>
      </c>
      <c r="AB335" s="13">
        <f t="shared" si="176"/>
        <v>-8116</v>
      </c>
      <c r="AC335" s="13">
        <f t="shared" si="176"/>
        <v>-6171</v>
      </c>
      <c r="AD335" s="13"/>
      <c r="AE335" s="13"/>
    </row>
    <row r="336" spans="2:31" x14ac:dyDescent="0.25">
      <c r="B336" s="17" t="s">
        <v>126</v>
      </c>
      <c r="C336" s="12">
        <f>-C328</f>
        <v>-518</v>
      </c>
      <c r="D336" s="12">
        <f t="shared" ref="D336:N336" si="178">-D328</f>
        <v>-556</v>
      </c>
      <c r="E336" s="12">
        <f t="shared" si="178"/>
        <v>-586</v>
      </c>
      <c r="F336" s="12">
        <f t="shared" si="178"/>
        <v>-689</v>
      </c>
      <c r="G336" s="12">
        <f t="shared" si="178"/>
        <v>-515</v>
      </c>
      <c r="H336" s="12">
        <f t="shared" si="178"/>
        <v>-601</v>
      </c>
      <c r="I336" s="12">
        <f t="shared" si="178"/>
        <v>-580</v>
      </c>
      <c r="J336" s="12">
        <f t="shared" si="178"/>
        <v>-723</v>
      </c>
      <c r="K336" s="12">
        <f t="shared" si="178"/>
        <v>-577</v>
      </c>
      <c r="L336" s="12">
        <f t="shared" si="178"/>
        <v>-579</v>
      </c>
      <c r="M336" s="12">
        <f t="shared" si="178"/>
        <v>-590</v>
      </c>
      <c r="N336" s="12">
        <f t="shared" si="178"/>
        <v>-612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>
        <f t="shared" si="176"/>
        <v>-2349</v>
      </c>
      <c r="AB336" s="13">
        <f t="shared" si="176"/>
        <v>-2419</v>
      </c>
      <c r="AC336" s="13">
        <f t="shared" si="176"/>
        <v>-1746</v>
      </c>
      <c r="AD336" s="13"/>
      <c r="AE336" s="13"/>
    </row>
    <row r="337" spans="2:31" x14ac:dyDescent="0.25">
      <c r="B337" s="1" t="s">
        <v>127</v>
      </c>
      <c r="C337" s="12">
        <f>C334+C335+C336</f>
        <v>5183</v>
      </c>
      <c r="D337" s="12">
        <f t="shared" ref="D337:L337" si="179">D334+D335+D336</f>
        <v>5229</v>
      </c>
      <c r="E337" s="12">
        <f t="shared" si="179"/>
        <v>5102</v>
      </c>
      <c r="F337" s="12">
        <f t="shared" si="179"/>
        <v>4145</v>
      </c>
      <c r="G337" s="12">
        <f t="shared" si="179"/>
        <v>5814</v>
      </c>
      <c r="H337" s="12">
        <f t="shared" si="179"/>
        <v>5488</v>
      </c>
      <c r="I337" s="12">
        <f t="shared" si="179"/>
        <v>5277</v>
      </c>
      <c r="J337" s="12">
        <f t="shared" si="179"/>
        <v>4058</v>
      </c>
      <c r="K337" s="12">
        <f t="shared" si="179"/>
        <v>5553</v>
      </c>
      <c r="L337" s="12">
        <f t="shared" si="179"/>
        <v>5642</v>
      </c>
      <c r="M337" s="12">
        <f>M334+M335+M336+1</f>
        <v>5550</v>
      </c>
      <c r="N337" s="12">
        <f>N334+N335+N336+1</f>
        <v>4899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>
        <f t="shared" ref="AA337:AC337" si="180">AA334+AA335+AA336</f>
        <v>19659</v>
      </c>
      <c r="AB337" s="12">
        <f t="shared" si="180"/>
        <v>20637</v>
      </c>
      <c r="AC337" s="12">
        <f t="shared" si="180"/>
        <v>16744</v>
      </c>
      <c r="AD337" s="13"/>
      <c r="AE337" s="13"/>
    </row>
    <row r="338" spans="2:31" x14ac:dyDescent="0.25"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spans="2:31" x14ac:dyDescent="0.25">
      <c r="B339" s="10" t="s">
        <v>28</v>
      </c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spans="2:31" x14ac:dyDescent="0.25">
      <c r="B340" s="29" t="s">
        <v>110</v>
      </c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44"/>
      <c r="X340" s="44"/>
      <c r="Y340" s="44"/>
      <c r="Z340" s="44"/>
      <c r="AA340" s="44"/>
      <c r="AB340" s="44"/>
      <c r="AC340" s="44"/>
      <c r="AD340" s="44"/>
      <c r="AE340" s="44"/>
    </row>
    <row r="341" spans="2:31" x14ac:dyDescent="0.25">
      <c r="B341" s="1" t="s">
        <v>111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2"/>
      <c r="X341" s="12"/>
      <c r="Y341" s="12"/>
      <c r="Z341" s="12"/>
      <c r="AA341" s="12"/>
      <c r="AB341" s="12"/>
      <c r="AC341" s="12"/>
      <c r="AD341" s="12"/>
      <c r="AE341" s="12"/>
    </row>
    <row r="342" spans="2:31" x14ac:dyDescent="0.25">
      <c r="B342" s="17" t="s">
        <v>112</v>
      </c>
      <c r="C342" s="15">
        <v>635</v>
      </c>
      <c r="D342" s="15">
        <v>699</v>
      </c>
      <c r="E342" s="15">
        <v>635</v>
      </c>
      <c r="F342" s="15">
        <v>776</v>
      </c>
      <c r="G342" s="15">
        <v>540</v>
      </c>
      <c r="H342" s="15">
        <v>627</v>
      </c>
      <c r="I342" s="15">
        <v>685</v>
      </c>
      <c r="J342" s="15">
        <v>727</v>
      </c>
      <c r="K342" s="15">
        <v>609</v>
      </c>
      <c r="L342" s="15">
        <v>655</v>
      </c>
      <c r="M342" s="15">
        <v>531</v>
      </c>
      <c r="N342" s="15">
        <v>439</v>
      </c>
      <c r="O342" s="15">
        <v>537</v>
      </c>
      <c r="P342" s="15">
        <v>452</v>
      </c>
      <c r="Q342" s="15">
        <v>460</v>
      </c>
      <c r="R342" s="15">
        <v>564</v>
      </c>
      <c r="S342" s="15">
        <v>407</v>
      </c>
      <c r="T342" s="15">
        <v>507</v>
      </c>
      <c r="U342" s="15">
        <v>613</v>
      </c>
      <c r="V342" s="15">
        <v>666</v>
      </c>
      <c r="W342" s="12"/>
      <c r="X342" s="12"/>
      <c r="Y342" s="12"/>
      <c r="Z342" s="12"/>
      <c r="AA342" s="13">
        <v>2745</v>
      </c>
      <c r="AB342" s="13">
        <v>2579</v>
      </c>
      <c r="AC342" s="13">
        <v>1795</v>
      </c>
      <c r="AD342" s="13">
        <v>2013</v>
      </c>
      <c r="AE342" s="13">
        <v>2193</v>
      </c>
    </row>
    <row r="343" spans="2:31" x14ac:dyDescent="0.25">
      <c r="B343" s="17" t="s">
        <v>113</v>
      </c>
      <c r="C343" s="15">
        <v>510</v>
      </c>
      <c r="D343" s="15">
        <v>640</v>
      </c>
      <c r="E343" s="15">
        <v>684</v>
      </c>
      <c r="F343" s="15">
        <v>891</v>
      </c>
      <c r="G343" s="15">
        <v>511</v>
      </c>
      <c r="H343" s="15">
        <v>678</v>
      </c>
      <c r="I343" s="15">
        <v>757</v>
      </c>
      <c r="J343" s="15">
        <v>972</v>
      </c>
      <c r="K343" s="15">
        <v>767</v>
      </c>
      <c r="L343" s="15">
        <v>765</v>
      </c>
      <c r="M343" s="15">
        <v>843</v>
      </c>
      <c r="N343" s="15">
        <v>786</v>
      </c>
      <c r="O343" s="15">
        <v>706</v>
      </c>
      <c r="P343" s="15">
        <v>639</v>
      </c>
      <c r="Q343" s="15">
        <v>694</v>
      </c>
      <c r="R343" s="15">
        <v>987</v>
      </c>
      <c r="S343" s="15">
        <v>595</v>
      </c>
      <c r="T343" s="15">
        <v>642</v>
      </c>
      <c r="U343" s="15">
        <v>868</v>
      </c>
      <c r="V343" s="15">
        <v>1051</v>
      </c>
      <c r="W343" s="12"/>
      <c r="X343" s="12"/>
      <c r="Y343" s="12"/>
      <c r="Z343" s="12"/>
      <c r="AA343" s="13">
        <v>2725</v>
      </c>
      <c r="AB343" s="13">
        <v>2918</v>
      </c>
      <c r="AC343" s="13">
        <v>2375</v>
      </c>
      <c r="AD343" s="13">
        <v>3026</v>
      </c>
      <c r="AE343" s="13">
        <v>3156</v>
      </c>
    </row>
    <row r="344" spans="2:31" x14ac:dyDescent="0.25">
      <c r="B344" s="17" t="s">
        <v>114</v>
      </c>
      <c r="C344" s="15">
        <v>348</v>
      </c>
      <c r="D344" s="15">
        <v>385</v>
      </c>
      <c r="E344" s="15">
        <v>379</v>
      </c>
      <c r="F344" s="15">
        <v>454</v>
      </c>
      <c r="G344" s="15">
        <v>331</v>
      </c>
      <c r="H344" s="15">
        <v>449</v>
      </c>
      <c r="I344" s="15">
        <v>487</v>
      </c>
      <c r="J344" s="15">
        <v>557</v>
      </c>
      <c r="K344" s="15">
        <v>472</v>
      </c>
      <c r="L344" s="15">
        <v>592</v>
      </c>
      <c r="M344" s="15">
        <v>611</v>
      </c>
      <c r="N344" s="15">
        <v>657</v>
      </c>
      <c r="O344" s="15">
        <v>573</v>
      </c>
      <c r="P344" s="15">
        <v>634</v>
      </c>
      <c r="Q344" s="15">
        <v>674</v>
      </c>
      <c r="R344" s="15">
        <v>810</v>
      </c>
      <c r="S344" s="15">
        <v>560</v>
      </c>
      <c r="T344" s="15">
        <v>670</v>
      </c>
      <c r="U344" s="15">
        <v>704</v>
      </c>
      <c r="V344" s="15">
        <v>756</v>
      </c>
      <c r="W344" s="12"/>
      <c r="X344" s="12"/>
      <c r="Y344" s="12"/>
      <c r="Z344" s="12"/>
      <c r="AA344" s="13">
        <v>1566</v>
      </c>
      <c r="AB344" s="13">
        <v>1824</v>
      </c>
      <c r="AC344" s="13">
        <v>1675</v>
      </c>
      <c r="AD344" s="13">
        <v>2691</v>
      </c>
      <c r="AE344" s="13">
        <v>2690</v>
      </c>
    </row>
    <row r="345" spans="2:31" x14ac:dyDescent="0.25">
      <c r="B345" s="17" t="s">
        <v>115</v>
      </c>
      <c r="C345" s="15">
        <v>137</v>
      </c>
      <c r="D345" s="15">
        <v>169</v>
      </c>
      <c r="E345" s="15">
        <v>170</v>
      </c>
      <c r="F345" s="15">
        <v>351</v>
      </c>
      <c r="G345" s="15">
        <v>133</v>
      </c>
      <c r="H345" s="15">
        <v>153</v>
      </c>
      <c r="I345" s="15">
        <v>197</v>
      </c>
      <c r="J345" s="15">
        <v>312</v>
      </c>
      <c r="K345" s="15">
        <v>116</v>
      </c>
      <c r="L345" s="15">
        <v>113</v>
      </c>
      <c r="M345" s="15">
        <v>97</v>
      </c>
      <c r="N345" s="15">
        <v>187</v>
      </c>
      <c r="O345" s="15">
        <v>74</v>
      </c>
      <c r="P345" s="15">
        <v>127</v>
      </c>
      <c r="Q345" s="15">
        <v>119</v>
      </c>
      <c r="R345" s="15">
        <v>238</v>
      </c>
      <c r="S345" s="15">
        <v>68</v>
      </c>
      <c r="T345" s="15">
        <v>95</v>
      </c>
      <c r="U345" s="15">
        <v>141</v>
      </c>
      <c r="V345" s="15">
        <v>382</v>
      </c>
      <c r="W345" s="12"/>
      <c r="X345" s="12"/>
      <c r="Y345" s="12"/>
      <c r="Z345" s="12"/>
      <c r="AA345" s="13">
        <v>827</v>
      </c>
      <c r="AB345" s="13">
        <v>795</v>
      </c>
      <c r="AC345" s="13">
        <v>326</v>
      </c>
      <c r="AD345" s="13">
        <v>558</v>
      </c>
      <c r="AE345" s="13">
        <v>686</v>
      </c>
    </row>
    <row r="346" spans="2:31" x14ac:dyDescent="0.25">
      <c r="B346" s="23" t="s">
        <v>116</v>
      </c>
      <c r="C346" s="45">
        <v>1630</v>
      </c>
      <c r="D346" s="45">
        <v>1893</v>
      </c>
      <c r="E346" s="45">
        <v>1868</v>
      </c>
      <c r="F346" s="45">
        <v>2472</v>
      </c>
      <c r="G346" s="45">
        <v>1515</v>
      </c>
      <c r="H346" s="45">
        <v>1907</v>
      </c>
      <c r="I346" s="45">
        <v>2126</v>
      </c>
      <c r="J346" s="45">
        <v>2568</v>
      </c>
      <c r="K346" s="45">
        <v>1964</v>
      </c>
      <c r="L346" s="45">
        <v>2125</v>
      </c>
      <c r="M346" s="45">
        <v>2082</v>
      </c>
      <c r="N346" s="45">
        <v>2069</v>
      </c>
      <c r="O346" s="45">
        <v>1890</v>
      </c>
      <c r="P346" s="45">
        <v>1852</v>
      </c>
      <c r="Q346" s="45">
        <v>1947</v>
      </c>
      <c r="R346" s="45">
        <v>2598</v>
      </c>
      <c r="S346" s="45">
        <v>1630</v>
      </c>
      <c r="T346" s="45">
        <v>1914</v>
      </c>
      <c r="U346" s="45">
        <v>2326</v>
      </c>
      <c r="V346" s="45">
        <v>2855</v>
      </c>
      <c r="W346" s="45"/>
      <c r="X346" s="45"/>
      <c r="Y346" s="45"/>
      <c r="Z346" s="45"/>
      <c r="AA346" s="45">
        <v>7863</v>
      </c>
      <c r="AB346" s="45">
        <v>8116</v>
      </c>
      <c r="AC346" s="45">
        <v>6171</v>
      </c>
      <c r="AD346" s="45">
        <v>8287</v>
      </c>
      <c r="AE346" s="13">
        <v>8725</v>
      </c>
    </row>
    <row r="347" spans="2:31" x14ac:dyDescent="0.25">
      <c r="B347" s="46" t="s">
        <v>117</v>
      </c>
      <c r="C347" s="47">
        <v>8.233570743041875E-2</v>
      </c>
      <c r="D347" s="47">
        <v>9.3643334157803612E-2</v>
      </c>
      <c r="E347" s="47">
        <v>9.2530215969883103E-2</v>
      </c>
      <c r="F347" s="47">
        <v>0.12029197080291971</v>
      </c>
      <c r="G347" s="47">
        <v>7.3859204368174725E-2</v>
      </c>
      <c r="H347" s="47">
        <v>9.3779198426358498E-2</v>
      </c>
      <c r="I347" s="47">
        <v>0.10604549082202713</v>
      </c>
      <c r="J347" s="47">
        <v>0.12643395204568952</v>
      </c>
      <c r="K347" s="47">
        <v>9.7449637789024518E-2</v>
      </c>
      <c r="L347" s="47">
        <v>0.10436619026570404</v>
      </c>
      <c r="M347" s="47">
        <v>0.10270830250110996</v>
      </c>
      <c r="N347" s="47">
        <v>0.1013271952593173</v>
      </c>
      <c r="O347" s="47">
        <v>9.3089691178643547E-2</v>
      </c>
      <c r="P347" s="47">
        <v>9.1357537490134172E-2</v>
      </c>
      <c r="Q347" s="47">
        <v>9.5816929133858267E-2</v>
      </c>
      <c r="R347" s="47">
        <v>0.12672552558411784</v>
      </c>
      <c r="S347" s="47">
        <v>8.0849164227964884E-2</v>
      </c>
      <c r="T347" s="47">
        <v>9.3759184873126289E-2</v>
      </c>
      <c r="U347" s="47">
        <v>0.11508015040569959</v>
      </c>
      <c r="V347" s="47">
        <v>0.14076521053150576</v>
      </c>
      <c r="W347" s="48"/>
      <c r="X347" s="48"/>
      <c r="Y347" s="48"/>
      <c r="Z347" s="48"/>
      <c r="AA347" s="47">
        <v>9.7374613003095981E-2</v>
      </c>
      <c r="AB347" s="47">
        <v>9.9943353939364085E-2</v>
      </c>
      <c r="AC347" s="47">
        <v>7.5992857582661166E-2</v>
      </c>
      <c r="AD347" s="47">
        <v>0.10181215062350267</v>
      </c>
      <c r="AE347" s="47">
        <v>0.10762436936436863</v>
      </c>
    </row>
    <row r="348" spans="2:31" x14ac:dyDescent="0.25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2"/>
      <c r="X348" s="12"/>
      <c r="Y348" s="12"/>
      <c r="Z348" s="12"/>
      <c r="AA348" s="12"/>
      <c r="AB348" s="12"/>
      <c r="AC348" s="12"/>
      <c r="AD348" s="12"/>
      <c r="AE348" s="12"/>
    </row>
    <row r="349" spans="2:31" x14ac:dyDescent="0.25">
      <c r="B349" s="23" t="s">
        <v>118</v>
      </c>
      <c r="C349" s="50">
        <v>172</v>
      </c>
      <c r="D349" s="50">
        <v>184</v>
      </c>
      <c r="E349" s="50">
        <v>230</v>
      </c>
      <c r="F349" s="50">
        <v>508</v>
      </c>
      <c r="G349" s="50">
        <v>307</v>
      </c>
      <c r="H349" s="50">
        <v>465</v>
      </c>
      <c r="I349" s="50">
        <v>614</v>
      </c>
      <c r="J349" s="50">
        <v>936</v>
      </c>
      <c r="K349" s="50">
        <v>651</v>
      </c>
      <c r="L349" s="50">
        <v>809</v>
      </c>
      <c r="M349" s="50">
        <v>884</v>
      </c>
      <c r="N349" s="50">
        <v>1203</v>
      </c>
      <c r="O349" s="50">
        <v>676</v>
      </c>
      <c r="P349" s="50">
        <v>845</v>
      </c>
      <c r="Q349" s="50">
        <v>892</v>
      </c>
      <c r="R349" s="50">
        <v>1278</v>
      </c>
      <c r="S349" s="50">
        <v>602</v>
      </c>
      <c r="T349" s="50">
        <v>734</v>
      </c>
      <c r="U349" s="50">
        <v>714</v>
      </c>
      <c r="V349" s="50">
        <v>844</v>
      </c>
      <c r="W349" s="45"/>
      <c r="X349" s="45"/>
      <c r="Y349" s="45"/>
      <c r="Z349" s="45"/>
      <c r="AA349" s="13">
        <v>1094</v>
      </c>
      <c r="AB349" s="13">
        <v>2322</v>
      </c>
      <c r="AC349" s="13">
        <v>2344</v>
      </c>
      <c r="AD349" s="13">
        <v>3691</v>
      </c>
      <c r="AE349" s="13">
        <v>2894</v>
      </c>
    </row>
    <row r="350" spans="2:31" x14ac:dyDescent="0.25">
      <c r="B350" s="1" t="s">
        <v>119</v>
      </c>
      <c r="C350" s="15">
        <v>57</v>
      </c>
      <c r="D350" s="15">
        <v>67</v>
      </c>
      <c r="E350" s="15">
        <v>44</v>
      </c>
      <c r="F350" s="15">
        <v>48</v>
      </c>
      <c r="G350" s="15">
        <v>35</v>
      </c>
      <c r="H350" s="15">
        <v>42</v>
      </c>
      <c r="I350" s="15">
        <v>51</v>
      </c>
      <c r="J350" s="15">
        <v>59</v>
      </c>
      <c r="K350" s="15">
        <v>49</v>
      </c>
      <c r="L350" s="15">
        <v>29</v>
      </c>
      <c r="M350" s="15">
        <v>328</v>
      </c>
      <c r="N350" s="15">
        <v>47</v>
      </c>
      <c r="O350" s="15">
        <v>65</v>
      </c>
      <c r="P350" s="15">
        <v>28</v>
      </c>
      <c r="Q350" s="15">
        <v>75</v>
      </c>
      <c r="R350" s="15">
        <v>37</v>
      </c>
      <c r="S350" s="15">
        <v>20</v>
      </c>
      <c r="T350" s="15">
        <v>30</v>
      </c>
      <c r="U350" s="15">
        <v>31</v>
      </c>
      <c r="V350" s="15">
        <v>51</v>
      </c>
      <c r="W350" s="12"/>
      <c r="X350" s="12"/>
      <c r="Y350" s="12"/>
      <c r="Z350" s="12"/>
      <c r="AA350" s="13">
        <v>216</v>
      </c>
      <c r="AB350" s="13">
        <v>187</v>
      </c>
      <c r="AC350" s="13">
        <v>406</v>
      </c>
      <c r="AD350" s="13">
        <v>205</v>
      </c>
      <c r="AE350" s="13">
        <v>132</v>
      </c>
    </row>
    <row r="351" spans="2:31" x14ac:dyDescent="0.25">
      <c r="B351" s="23" t="s">
        <v>120</v>
      </c>
      <c r="C351" s="45">
        <v>1859</v>
      </c>
      <c r="D351" s="45">
        <v>2144</v>
      </c>
      <c r="E351" s="45">
        <v>2142</v>
      </c>
      <c r="F351" s="45">
        <v>3028</v>
      </c>
      <c r="G351" s="45">
        <v>1857</v>
      </c>
      <c r="H351" s="45">
        <v>2414</v>
      </c>
      <c r="I351" s="45">
        <v>2791</v>
      </c>
      <c r="J351" s="45">
        <v>3563</v>
      </c>
      <c r="K351" s="45">
        <v>2664</v>
      </c>
      <c r="L351" s="45">
        <v>2963</v>
      </c>
      <c r="M351" s="45">
        <v>3294</v>
      </c>
      <c r="N351" s="45">
        <v>3319</v>
      </c>
      <c r="O351" s="45">
        <v>2631</v>
      </c>
      <c r="P351" s="45">
        <v>2725</v>
      </c>
      <c r="Q351" s="45">
        <v>2914</v>
      </c>
      <c r="R351" s="45">
        <v>3914</v>
      </c>
      <c r="S351" s="45">
        <v>2252</v>
      </c>
      <c r="T351" s="45">
        <v>2679</v>
      </c>
      <c r="U351" s="45">
        <v>3071</v>
      </c>
      <c r="V351" s="45">
        <v>3749</v>
      </c>
      <c r="W351" s="45"/>
      <c r="X351" s="45"/>
      <c r="Y351" s="45"/>
      <c r="Z351" s="45"/>
      <c r="AA351" s="45">
        <v>9173</v>
      </c>
      <c r="AB351" s="45">
        <v>10625</v>
      </c>
      <c r="AC351" s="45">
        <v>8921</v>
      </c>
      <c r="AD351" s="45">
        <v>12184</v>
      </c>
      <c r="AE351" s="13">
        <v>11751</v>
      </c>
    </row>
    <row r="352" spans="2:31" x14ac:dyDescent="0.2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2"/>
      <c r="X352" s="12"/>
      <c r="Y352" s="12"/>
      <c r="Z352" s="12"/>
      <c r="AA352" s="12"/>
      <c r="AB352" s="12"/>
      <c r="AC352" s="12"/>
      <c r="AD352" s="12"/>
      <c r="AE352" s="12"/>
    </row>
    <row r="353" spans="1:31" x14ac:dyDescent="0.25">
      <c r="B353" s="29" t="s">
        <v>121</v>
      </c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51"/>
      <c r="X353" s="51"/>
      <c r="Y353" s="51"/>
      <c r="Z353" s="51"/>
      <c r="AA353" s="51"/>
      <c r="AB353" s="51"/>
      <c r="AC353" s="51"/>
      <c r="AD353" s="51"/>
      <c r="AE353" s="51"/>
    </row>
    <row r="354" spans="1:31" x14ac:dyDescent="0.25">
      <c r="B354" s="1" t="s">
        <v>27</v>
      </c>
      <c r="C354" s="15">
        <v>518</v>
      </c>
      <c r="D354" s="15">
        <v>556</v>
      </c>
      <c r="E354" s="15">
        <v>586</v>
      </c>
      <c r="F354" s="15">
        <v>689</v>
      </c>
      <c r="G354" s="15">
        <v>515</v>
      </c>
      <c r="H354" s="15">
        <v>601</v>
      </c>
      <c r="I354" s="15">
        <v>580</v>
      </c>
      <c r="J354" s="15">
        <v>723</v>
      </c>
      <c r="K354" s="15">
        <v>577</v>
      </c>
      <c r="L354" s="15">
        <v>579</v>
      </c>
      <c r="M354" s="15">
        <v>590</v>
      </c>
      <c r="N354" s="15">
        <v>612</v>
      </c>
      <c r="O354" s="15">
        <v>483</v>
      </c>
      <c r="P354" s="15">
        <v>482</v>
      </c>
      <c r="Q354" s="15">
        <v>485</v>
      </c>
      <c r="R354" s="15">
        <v>650</v>
      </c>
      <c r="S354" s="15">
        <v>440</v>
      </c>
      <c r="T354" s="15">
        <v>430</v>
      </c>
      <c r="U354" s="15">
        <v>459</v>
      </c>
      <c r="V354" s="15">
        <v>437</v>
      </c>
      <c r="W354" s="12"/>
      <c r="X354" s="12"/>
      <c r="Y354" s="12"/>
      <c r="Z354" s="12"/>
      <c r="AA354" s="13">
        <v>2349</v>
      </c>
      <c r="AB354" s="13">
        <v>2419</v>
      </c>
      <c r="AC354" s="13">
        <v>1746</v>
      </c>
      <c r="AD354" s="13">
        <v>2100</v>
      </c>
      <c r="AE354" s="13">
        <v>1766</v>
      </c>
    </row>
    <row r="355" spans="1:31" x14ac:dyDescent="0.25">
      <c r="B355" s="1" t="s">
        <v>122</v>
      </c>
      <c r="C355" s="15">
        <v>68</v>
      </c>
      <c r="D355" s="15">
        <v>86</v>
      </c>
      <c r="E355" s="15">
        <v>85</v>
      </c>
      <c r="F355" s="15">
        <v>121</v>
      </c>
      <c r="G355" s="15">
        <v>85</v>
      </c>
      <c r="H355" s="15">
        <v>100</v>
      </c>
      <c r="I355" s="15">
        <v>129</v>
      </c>
      <c r="J355" s="15">
        <v>199</v>
      </c>
      <c r="K355" s="15">
        <v>127</v>
      </c>
      <c r="L355" s="15">
        <v>169</v>
      </c>
      <c r="M355" s="15">
        <v>179</v>
      </c>
      <c r="N355" s="15">
        <v>227</v>
      </c>
      <c r="O355" s="15">
        <v>151</v>
      </c>
      <c r="P355" s="15">
        <v>144</v>
      </c>
      <c r="Q355" s="15">
        <v>165</v>
      </c>
      <c r="R355" s="15">
        <v>209</v>
      </c>
      <c r="S355" s="15">
        <v>140</v>
      </c>
      <c r="T355" s="15">
        <v>171</v>
      </c>
      <c r="U355" s="15">
        <v>181</v>
      </c>
      <c r="V355" s="15">
        <v>236</v>
      </c>
      <c r="W355" s="12"/>
      <c r="X355" s="12"/>
      <c r="Y355" s="12"/>
      <c r="Z355" s="12"/>
      <c r="AA355" s="13">
        <v>360</v>
      </c>
      <c r="AB355" s="13">
        <v>513</v>
      </c>
      <c r="AC355" s="13">
        <v>475</v>
      </c>
      <c r="AD355" s="13">
        <v>669</v>
      </c>
      <c r="AE355" s="13">
        <v>728</v>
      </c>
    </row>
    <row r="356" spans="1:31" x14ac:dyDescent="0.25">
      <c r="B356" s="1" t="s">
        <v>123</v>
      </c>
      <c r="C356" s="15">
        <v>27</v>
      </c>
      <c r="D356" s="15">
        <v>29</v>
      </c>
      <c r="E356" s="15">
        <v>52</v>
      </c>
      <c r="F356" s="15">
        <v>66</v>
      </c>
      <c r="G356" s="15">
        <v>41</v>
      </c>
      <c r="H356" s="15">
        <v>41</v>
      </c>
      <c r="I356" s="15">
        <v>59</v>
      </c>
      <c r="J356" s="15">
        <v>67</v>
      </c>
      <c r="K356" s="15">
        <v>61</v>
      </c>
      <c r="L356" s="15">
        <v>65</v>
      </c>
      <c r="M356" s="15">
        <v>59</v>
      </c>
      <c r="N356" s="15">
        <v>54</v>
      </c>
      <c r="O356" s="15">
        <v>46</v>
      </c>
      <c r="P356" s="15">
        <v>36</v>
      </c>
      <c r="Q356" s="15">
        <v>52</v>
      </c>
      <c r="R356" s="15">
        <v>46</v>
      </c>
      <c r="S356" s="15">
        <v>41</v>
      </c>
      <c r="T356" s="15">
        <v>35</v>
      </c>
      <c r="U356" s="15">
        <v>38</v>
      </c>
      <c r="V356" s="15">
        <v>50</v>
      </c>
      <c r="W356" s="12"/>
      <c r="X356" s="12"/>
      <c r="Y356" s="12"/>
      <c r="Z356" s="12"/>
      <c r="AA356" s="13">
        <v>174</v>
      </c>
      <c r="AB356" s="13">
        <v>208</v>
      </c>
      <c r="AC356" s="13">
        <v>185</v>
      </c>
      <c r="AD356" s="13">
        <v>180</v>
      </c>
      <c r="AE356" s="13">
        <v>164</v>
      </c>
    </row>
    <row r="357" spans="1:31" x14ac:dyDescent="0.25">
      <c r="B357" s="23" t="s">
        <v>124</v>
      </c>
      <c r="C357" s="45">
        <v>613</v>
      </c>
      <c r="D357" s="45">
        <v>671</v>
      </c>
      <c r="E357" s="45">
        <v>723</v>
      </c>
      <c r="F357" s="45">
        <v>876</v>
      </c>
      <c r="G357" s="45">
        <v>641</v>
      </c>
      <c r="H357" s="45">
        <v>742</v>
      </c>
      <c r="I357" s="45">
        <v>768</v>
      </c>
      <c r="J357" s="45">
        <v>989</v>
      </c>
      <c r="K357" s="45">
        <v>765</v>
      </c>
      <c r="L357" s="45">
        <v>813</v>
      </c>
      <c r="M357" s="45">
        <v>827</v>
      </c>
      <c r="N357" s="45">
        <v>892</v>
      </c>
      <c r="O357" s="45">
        <v>679</v>
      </c>
      <c r="P357" s="45">
        <v>661</v>
      </c>
      <c r="Q357" s="45">
        <v>702</v>
      </c>
      <c r="R357" s="45">
        <v>906</v>
      </c>
      <c r="S357" s="45">
        <v>622</v>
      </c>
      <c r="T357" s="45">
        <v>636</v>
      </c>
      <c r="U357" s="45">
        <v>678</v>
      </c>
      <c r="V357" s="45">
        <v>723</v>
      </c>
      <c r="W357" s="45"/>
      <c r="X357" s="45"/>
      <c r="Y357" s="45"/>
      <c r="Z357" s="45"/>
      <c r="AA357" s="45">
        <v>2883</v>
      </c>
      <c r="AB357" s="45">
        <v>3140</v>
      </c>
      <c r="AC357" s="45">
        <v>2406</v>
      </c>
      <c r="AD357" s="45">
        <v>2948</v>
      </c>
      <c r="AE357" s="13">
        <v>2659</v>
      </c>
    </row>
    <row r="358" spans="1:31" x14ac:dyDescent="0.25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2"/>
      <c r="X358" s="12"/>
      <c r="Y358" s="12"/>
      <c r="Z358" s="12"/>
      <c r="AA358" s="12"/>
      <c r="AB358" s="12"/>
      <c r="AC358" s="12"/>
      <c r="AD358" s="12"/>
      <c r="AE358" s="12"/>
    </row>
    <row r="359" spans="1:31" x14ac:dyDescent="0.25">
      <c r="B359" s="29" t="s">
        <v>125</v>
      </c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51"/>
      <c r="X359" s="51"/>
      <c r="Y359" s="51"/>
      <c r="Z359" s="51"/>
      <c r="AA359" s="51"/>
      <c r="AB359" s="51"/>
      <c r="AC359" s="51"/>
      <c r="AD359" s="51"/>
      <c r="AE359" s="51"/>
    </row>
    <row r="360" spans="1:31" x14ac:dyDescent="0.25">
      <c r="B360" s="1" t="s">
        <v>38</v>
      </c>
      <c r="C360" s="12">
        <v>7331</v>
      </c>
      <c r="D360" s="12">
        <v>7678</v>
      </c>
      <c r="E360" s="12">
        <v>7556</v>
      </c>
      <c r="F360" s="12">
        <v>7306</v>
      </c>
      <c r="G360" s="12">
        <v>7844</v>
      </c>
      <c r="H360" s="12">
        <v>7996</v>
      </c>
      <c r="I360" s="12">
        <v>7983</v>
      </c>
      <c r="J360" s="12">
        <v>7349</v>
      </c>
      <c r="K360" s="12">
        <v>8094</v>
      </c>
      <c r="L360" s="12">
        <v>8346</v>
      </c>
      <c r="M360" s="12">
        <v>8221</v>
      </c>
      <c r="N360" s="12">
        <v>7579</v>
      </c>
      <c r="O360" s="12">
        <v>8158</v>
      </c>
      <c r="P360" s="12">
        <v>8410</v>
      </c>
      <c r="Q360" s="12">
        <v>8228</v>
      </c>
      <c r="R360" s="12">
        <v>7765</v>
      </c>
      <c r="S360" s="12">
        <v>8264</v>
      </c>
      <c r="T360" s="12">
        <v>8450</v>
      </c>
      <c r="U360" s="12">
        <v>8008</v>
      </c>
      <c r="V360" s="12">
        <v>7503</v>
      </c>
      <c r="W360" s="12"/>
      <c r="X360" s="12"/>
      <c r="Y360" s="12"/>
      <c r="Z360" s="12"/>
      <c r="AA360" s="13">
        <v>29871</v>
      </c>
      <c r="AB360" s="13">
        <v>31172</v>
      </c>
      <c r="AC360" s="13">
        <v>24661</v>
      </c>
      <c r="AD360" s="13">
        <v>32561</v>
      </c>
      <c r="AE360" s="13">
        <v>32225</v>
      </c>
    </row>
    <row r="361" spans="1:31" x14ac:dyDescent="0.25">
      <c r="B361" s="17" t="s">
        <v>110</v>
      </c>
      <c r="C361" s="12">
        <v>-1630</v>
      </c>
      <c r="D361" s="12">
        <v>-1893</v>
      </c>
      <c r="E361" s="12">
        <v>-1868</v>
      </c>
      <c r="F361" s="12">
        <v>-2472</v>
      </c>
      <c r="G361" s="12">
        <v>-1515</v>
      </c>
      <c r="H361" s="12">
        <v>-1907</v>
      </c>
      <c r="I361" s="12">
        <v>-2126</v>
      </c>
      <c r="J361" s="12">
        <v>-2568</v>
      </c>
      <c r="K361" s="12">
        <v>-1964</v>
      </c>
      <c r="L361" s="12">
        <v>-2125</v>
      </c>
      <c r="M361" s="12">
        <v>-2082</v>
      </c>
      <c r="N361" s="12">
        <v>-2069</v>
      </c>
      <c r="O361" s="12">
        <v>-1890</v>
      </c>
      <c r="P361" s="12">
        <v>-1852</v>
      </c>
      <c r="Q361" s="12">
        <v>-1947</v>
      </c>
      <c r="R361" s="12">
        <v>-2598</v>
      </c>
      <c r="S361" s="12">
        <v>-1630</v>
      </c>
      <c r="T361" s="12">
        <v>-1914</v>
      </c>
      <c r="U361" s="12">
        <v>-2326</v>
      </c>
      <c r="V361" s="12">
        <v>-2854</v>
      </c>
      <c r="W361" s="12"/>
      <c r="X361" s="12"/>
      <c r="Y361" s="12"/>
      <c r="Z361" s="12"/>
      <c r="AA361" s="13">
        <v>-7863</v>
      </c>
      <c r="AB361" s="13">
        <v>-8116</v>
      </c>
      <c r="AC361" s="13">
        <v>-6171</v>
      </c>
      <c r="AD361" s="13">
        <v>-8287</v>
      </c>
      <c r="AE361" s="13">
        <v>-8724</v>
      </c>
    </row>
    <row r="362" spans="1:31" x14ac:dyDescent="0.25">
      <c r="B362" s="17" t="s">
        <v>126</v>
      </c>
      <c r="C362" s="12">
        <v>-518</v>
      </c>
      <c r="D362" s="12">
        <v>-556</v>
      </c>
      <c r="E362" s="12">
        <v>-586</v>
      </c>
      <c r="F362" s="12">
        <v>-689</v>
      </c>
      <c r="G362" s="12">
        <v>-515</v>
      </c>
      <c r="H362" s="12">
        <v>-601</v>
      </c>
      <c r="I362" s="12">
        <v>-580</v>
      </c>
      <c r="J362" s="12">
        <v>-723</v>
      </c>
      <c r="K362" s="12">
        <v>-577</v>
      </c>
      <c r="L362" s="12">
        <v>-579</v>
      </c>
      <c r="M362" s="12">
        <v>-590</v>
      </c>
      <c r="N362" s="12">
        <v>-612</v>
      </c>
      <c r="O362" s="12">
        <v>-483</v>
      </c>
      <c r="P362" s="12">
        <v>-482</v>
      </c>
      <c r="Q362" s="12">
        <v>-485</v>
      </c>
      <c r="R362" s="12">
        <v>-650</v>
      </c>
      <c r="S362" s="12">
        <v>-440</v>
      </c>
      <c r="T362" s="12">
        <v>-430</v>
      </c>
      <c r="U362" s="12">
        <v>-459</v>
      </c>
      <c r="V362" s="12">
        <v>-437</v>
      </c>
      <c r="W362" s="12"/>
      <c r="X362" s="12"/>
      <c r="Y362" s="12"/>
      <c r="Z362" s="12"/>
      <c r="AA362" s="13">
        <v>-2349</v>
      </c>
      <c r="AB362" s="13">
        <v>-2419</v>
      </c>
      <c r="AC362" s="13">
        <v>-1746</v>
      </c>
      <c r="AD362" s="13">
        <v>-2100</v>
      </c>
      <c r="AE362" s="13">
        <v>-1766</v>
      </c>
    </row>
    <row r="363" spans="1:31" x14ac:dyDescent="0.25">
      <c r="B363" s="1" t="s">
        <v>127</v>
      </c>
      <c r="C363" s="12">
        <v>5183</v>
      </c>
      <c r="D363" s="12">
        <v>5229</v>
      </c>
      <c r="E363" s="12">
        <v>5102</v>
      </c>
      <c r="F363" s="12">
        <v>4145</v>
      </c>
      <c r="G363" s="12">
        <v>5814</v>
      </c>
      <c r="H363" s="12">
        <v>5488</v>
      </c>
      <c r="I363" s="12">
        <v>5277</v>
      </c>
      <c r="J363" s="12">
        <v>4058</v>
      </c>
      <c r="K363" s="12">
        <v>5553</v>
      </c>
      <c r="L363" s="12">
        <v>5642</v>
      </c>
      <c r="M363" s="12">
        <v>5550</v>
      </c>
      <c r="N363" s="12">
        <v>4899</v>
      </c>
      <c r="O363" s="12">
        <v>5786</v>
      </c>
      <c r="P363" s="12">
        <v>6077</v>
      </c>
      <c r="Q363" s="12">
        <v>5796</v>
      </c>
      <c r="R363" s="12">
        <v>4517</v>
      </c>
      <c r="S363" s="12">
        <v>6195</v>
      </c>
      <c r="T363" s="12">
        <v>6106</v>
      </c>
      <c r="U363" s="12">
        <v>5223</v>
      </c>
      <c r="V363" s="12">
        <v>4212</v>
      </c>
      <c r="W363" s="12"/>
      <c r="X363" s="12"/>
      <c r="Y363" s="12"/>
      <c r="Z363" s="12"/>
      <c r="AA363" s="12">
        <v>19659</v>
      </c>
      <c r="AB363" s="12">
        <v>20637</v>
      </c>
      <c r="AC363" s="12">
        <v>16744</v>
      </c>
      <c r="AD363" s="13">
        <v>22176</v>
      </c>
      <c r="AE363" s="13">
        <v>21736</v>
      </c>
    </row>
    <row r="364" spans="1:31" x14ac:dyDescent="0.25"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spans="1:31" x14ac:dyDescent="0.25"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spans="1:31" x14ac:dyDescent="0.25">
      <c r="A366" s="1" t="s">
        <v>14</v>
      </c>
      <c r="B366" s="32" t="s">
        <v>128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x14ac:dyDescent="0.25">
      <c r="B367" s="23" t="s">
        <v>129</v>
      </c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spans="1:31" x14ac:dyDescent="0.25">
      <c r="B368" s="1" t="s">
        <v>38</v>
      </c>
      <c r="C368" s="13">
        <f t="shared" ref="C368:N368" si="181">C196</f>
        <v>8413</v>
      </c>
      <c r="D368" s="13">
        <f t="shared" si="181"/>
        <v>8928</v>
      </c>
      <c r="E368" s="13">
        <f t="shared" si="181"/>
        <v>8958</v>
      </c>
      <c r="F368" s="13">
        <f t="shared" si="181"/>
        <v>8412</v>
      </c>
      <c r="G368" s="13">
        <f t="shared" si="181"/>
        <v>9151</v>
      </c>
      <c r="H368" s="13">
        <f t="shared" si="181"/>
        <v>9828</v>
      </c>
      <c r="I368" s="13">
        <f t="shared" si="181"/>
        <v>9482</v>
      </c>
      <c r="J368" s="13">
        <f t="shared" si="181"/>
        <v>8001</v>
      </c>
      <c r="K368" s="13">
        <f t="shared" si="181"/>
        <v>9416</v>
      </c>
      <c r="L368" s="13">
        <f t="shared" si="181"/>
        <v>10245</v>
      </c>
      <c r="M368" s="13">
        <f t="shared" si="181"/>
        <v>9962</v>
      </c>
      <c r="N368" s="13">
        <f t="shared" si="181"/>
        <v>8011</v>
      </c>
      <c r="O368" s="13">
        <f>O232</f>
        <v>9356</v>
      </c>
      <c r="P368" s="13">
        <f t="shared" ref="P368:V368" si="182">P232</f>
        <v>10172</v>
      </c>
      <c r="Q368" s="13">
        <f t="shared" si="182"/>
        <v>9737</v>
      </c>
      <c r="R368" s="13">
        <f t="shared" si="182"/>
        <v>8807</v>
      </c>
      <c r="S368" s="13">
        <f t="shared" si="182"/>
        <v>9531</v>
      </c>
      <c r="T368" s="13">
        <f t="shared" si="182"/>
        <v>10282</v>
      </c>
      <c r="U368" s="13">
        <f t="shared" si="182"/>
        <v>9669</v>
      </c>
      <c r="V368" s="13">
        <f t="shared" si="182"/>
        <v>7901</v>
      </c>
      <c r="W368" s="13">
        <f>W196</f>
        <v>7966</v>
      </c>
      <c r="X368" s="13">
        <f>X196</f>
        <v>8923</v>
      </c>
      <c r="AA368" s="13">
        <f t="shared" ref="AA368:AB375" si="183">SUMIF($C$1:$M$1,AA$1,$C368:$M368)</f>
        <v>34711</v>
      </c>
      <c r="AB368" s="13">
        <f t="shared" si="183"/>
        <v>36462</v>
      </c>
      <c r="AC368" s="13">
        <f t="shared" ref="AC368:AC375" si="184">SUMIF($C$1:$N$1,AC$1,$C368:$N368)</f>
        <v>37634</v>
      </c>
      <c r="AD368" s="13">
        <f t="shared" ref="AD368:AD376" si="185">SUMIF($C$1:$R$1,AD$1,$C368:$R368)</f>
        <v>38072</v>
      </c>
      <c r="AE368" s="13">
        <f t="shared" ref="AE368:AE376" si="186">SUMIF($C$1:$V$1,AE$1,$C368:$V368)</f>
        <v>37383</v>
      </c>
    </row>
    <row r="369" spans="2:31" x14ac:dyDescent="0.25">
      <c r="B369" s="17" t="s">
        <v>110</v>
      </c>
      <c r="C369" s="13">
        <f>-C325</f>
        <v>-1859</v>
      </c>
      <c r="D369" s="13">
        <f t="shared" ref="D369:X369" si="187">-D325</f>
        <v>-2144</v>
      </c>
      <c r="E369" s="13">
        <f t="shared" si="187"/>
        <v>-2142</v>
      </c>
      <c r="F369" s="13">
        <f t="shared" si="187"/>
        <v>-3028</v>
      </c>
      <c r="G369" s="13">
        <f t="shared" si="187"/>
        <v>-1857</v>
      </c>
      <c r="H369" s="13">
        <f t="shared" si="187"/>
        <v>-2414</v>
      </c>
      <c r="I369" s="13">
        <f t="shared" si="187"/>
        <v>-2791</v>
      </c>
      <c r="J369" s="13">
        <f t="shared" si="187"/>
        <v>-3563</v>
      </c>
      <c r="K369" s="13">
        <f t="shared" si="187"/>
        <v>-2664</v>
      </c>
      <c r="L369" s="13">
        <f t="shared" si="187"/>
        <v>-2963</v>
      </c>
      <c r="M369" s="13">
        <f t="shared" si="187"/>
        <v>-3294</v>
      </c>
      <c r="N369" s="13">
        <f t="shared" si="187"/>
        <v>-3319</v>
      </c>
      <c r="O369" s="13">
        <f t="shared" si="187"/>
        <v>-2630</v>
      </c>
      <c r="P369" s="13">
        <f t="shared" si="187"/>
        <v>-2724</v>
      </c>
      <c r="Q369" s="13">
        <f t="shared" si="187"/>
        <v>-2913</v>
      </c>
      <c r="R369" s="13">
        <f t="shared" si="187"/>
        <v>-3914</v>
      </c>
      <c r="S369" s="13">
        <f t="shared" si="187"/>
        <v>-2252</v>
      </c>
      <c r="T369" s="13">
        <f t="shared" si="187"/>
        <v>-2679</v>
      </c>
      <c r="U369" s="13">
        <f t="shared" si="187"/>
        <v>-3071</v>
      </c>
      <c r="V369" s="13">
        <f t="shared" si="187"/>
        <v>-3749</v>
      </c>
      <c r="W369" s="13">
        <f t="shared" si="187"/>
        <v>-2351</v>
      </c>
      <c r="X369" s="13">
        <f t="shared" si="187"/>
        <v>-2902</v>
      </c>
      <c r="AA369" s="13">
        <f t="shared" si="183"/>
        <v>-9173</v>
      </c>
      <c r="AB369" s="13">
        <f t="shared" si="183"/>
        <v>-10625</v>
      </c>
      <c r="AC369" s="13">
        <f t="shared" si="184"/>
        <v>-12240</v>
      </c>
      <c r="AD369" s="13">
        <f t="shared" si="185"/>
        <v>-12181</v>
      </c>
      <c r="AE369" s="13">
        <f t="shared" si="186"/>
        <v>-11751</v>
      </c>
    </row>
    <row r="370" spans="2:31" x14ac:dyDescent="0.25">
      <c r="B370" s="17" t="s">
        <v>121</v>
      </c>
      <c r="C370" s="13">
        <f>-C331</f>
        <v>-613</v>
      </c>
      <c r="D370" s="13">
        <f t="shared" ref="D370:X370" si="188">-D331</f>
        <v>-671</v>
      </c>
      <c r="E370" s="13">
        <f t="shared" si="188"/>
        <v>-723</v>
      </c>
      <c r="F370" s="13">
        <f t="shared" si="188"/>
        <v>-876</v>
      </c>
      <c r="G370" s="13">
        <f t="shared" si="188"/>
        <v>-641</v>
      </c>
      <c r="H370" s="13">
        <f t="shared" si="188"/>
        <v>-742</v>
      </c>
      <c r="I370" s="13">
        <f t="shared" si="188"/>
        <v>-768</v>
      </c>
      <c r="J370" s="13">
        <f t="shared" si="188"/>
        <v>-989</v>
      </c>
      <c r="K370" s="13">
        <f t="shared" si="188"/>
        <v>-765</v>
      </c>
      <c r="L370" s="13">
        <f t="shared" si="188"/>
        <v>-813</v>
      </c>
      <c r="M370" s="13">
        <f t="shared" si="188"/>
        <v>-827</v>
      </c>
      <c r="N370" s="13">
        <f t="shared" si="188"/>
        <v>-892</v>
      </c>
      <c r="O370" s="13">
        <f t="shared" si="188"/>
        <v>-679</v>
      </c>
      <c r="P370" s="13">
        <f t="shared" si="188"/>
        <v>-662</v>
      </c>
      <c r="Q370" s="13">
        <f t="shared" si="188"/>
        <v>-702</v>
      </c>
      <c r="R370" s="13">
        <f t="shared" si="188"/>
        <v>-906</v>
      </c>
      <c r="S370" s="13">
        <f t="shared" si="188"/>
        <v>-622</v>
      </c>
      <c r="T370" s="13">
        <f t="shared" si="188"/>
        <v>-636</v>
      </c>
      <c r="U370" s="13">
        <f t="shared" si="188"/>
        <v>-677</v>
      </c>
      <c r="V370" s="13">
        <f t="shared" si="188"/>
        <v>-723</v>
      </c>
      <c r="W370" s="13">
        <f t="shared" si="188"/>
        <v>-639</v>
      </c>
      <c r="X370" s="13">
        <f t="shared" si="188"/>
        <v>-587</v>
      </c>
      <c r="AA370" s="13">
        <f t="shared" si="183"/>
        <v>-2883</v>
      </c>
      <c r="AB370" s="13">
        <f t="shared" si="183"/>
        <v>-3140</v>
      </c>
      <c r="AC370" s="13">
        <f t="shared" si="184"/>
        <v>-3297</v>
      </c>
      <c r="AD370" s="13">
        <f t="shared" si="185"/>
        <v>-2949</v>
      </c>
      <c r="AE370" s="13">
        <f t="shared" si="186"/>
        <v>-2658</v>
      </c>
    </row>
    <row r="371" spans="2:31" x14ac:dyDescent="0.25">
      <c r="B371" s="17" t="s">
        <v>130</v>
      </c>
      <c r="C371" s="15">
        <v>-911</v>
      </c>
      <c r="D371" s="15">
        <v>-998</v>
      </c>
      <c r="E371" s="15">
        <v>-1034</v>
      </c>
      <c r="F371" s="15">
        <v>-965</v>
      </c>
      <c r="G371" s="15">
        <v>-747</v>
      </c>
      <c r="H371" s="15">
        <v>-897</v>
      </c>
      <c r="I371" s="15">
        <v>-698</v>
      </c>
      <c r="J371" s="15">
        <v>-1072</v>
      </c>
      <c r="K371" s="15">
        <v>-766</v>
      </c>
      <c r="L371" s="15">
        <v>-1057</v>
      </c>
      <c r="M371" s="15">
        <v>-744</v>
      </c>
      <c r="N371" s="15">
        <v>-1145</v>
      </c>
      <c r="O371" s="15">
        <v>-731</v>
      </c>
      <c r="P371" s="15">
        <v>-1082</v>
      </c>
      <c r="Q371" s="15">
        <v>-690</v>
      </c>
      <c r="R371" s="15">
        <v>-1154</v>
      </c>
      <c r="S371" s="15">
        <v>-674</v>
      </c>
      <c r="T371" s="15">
        <v>-1129</v>
      </c>
      <c r="U371" s="15">
        <v>-879</v>
      </c>
      <c r="V371" s="15">
        <v>-1189</v>
      </c>
      <c r="AA371" s="13">
        <f t="shared" si="183"/>
        <v>-3908</v>
      </c>
      <c r="AB371" s="13">
        <f t="shared" si="183"/>
        <v>-3414</v>
      </c>
      <c r="AC371" s="13">
        <f t="shared" si="184"/>
        <v>-3712</v>
      </c>
      <c r="AD371" s="13">
        <f t="shared" si="185"/>
        <v>-3657</v>
      </c>
      <c r="AE371" s="13">
        <f t="shared" si="186"/>
        <v>-3871</v>
      </c>
    </row>
    <row r="372" spans="2:31" x14ac:dyDescent="0.25">
      <c r="B372" s="17" t="s">
        <v>131</v>
      </c>
      <c r="C372" s="15">
        <v>-87</v>
      </c>
      <c r="D372" s="15">
        <v>-1745</v>
      </c>
      <c r="E372" s="15">
        <v>-368</v>
      </c>
      <c r="F372" s="15">
        <v>-428</v>
      </c>
      <c r="G372" s="15">
        <v>-90</v>
      </c>
      <c r="H372" s="15">
        <v>-2751</v>
      </c>
      <c r="I372" s="15">
        <v>-1181</v>
      </c>
      <c r="J372" s="15">
        <v>-1243</v>
      </c>
      <c r="K372" s="15">
        <v>-148</v>
      </c>
      <c r="L372" s="15">
        <v>-2236</v>
      </c>
      <c r="M372" s="15">
        <v>-1439</v>
      </c>
      <c r="N372" s="15">
        <v>-1283</v>
      </c>
      <c r="O372" s="15">
        <v>-349</v>
      </c>
      <c r="P372" s="15">
        <v>-4219</v>
      </c>
      <c r="Q372" s="15">
        <v>-1420</v>
      </c>
      <c r="R372" s="15">
        <v>-1108</v>
      </c>
      <c r="S372" s="15">
        <v>-400</v>
      </c>
      <c r="T372" s="15">
        <v>-1685</v>
      </c>
      <c r="U372" s="15">
        <v>-293</v>
      </c>
      <c r="V372" s="15">
        <v>1623</v>
      </c>
      <c r="AA372" s="13">
        <f t="shared" si="183"/>
        <v>-2628</v>
      </c>
      <c r="AB372" s="13">
        <f t="shared" si="183"/>
        <v>-5265</v>
      </c>
      <c r="AC372" s="13">
        <f t="shared" si="184"/>
        <v>-5106</v>
      </c>
      <c r="AD372" s="13">
        <f t="shared" si="185"/>
        <v>-7096</v>
      </c>
      <c r="AE372" s="13">
        <f t="shared" si="186"/>
        <v>-755</v>
      </c>
    </row>
    <row r="373" spans="2:31" x14ac:dyDescent="0.25">
      <c r="B373" s="17" t="s">
        <v>132</v>
      </c>
      <c r="C373" s="15">
        <v>-176</v>
      </c>
      <c r="D373" s="15">
        <v>1068</v>
      </c>
      <c r="E373" s="15">
        <v>-1949</v>
      </c>
      <c r="F373" s="15">
        <v>-442</v>
      </c>
      <c r="G373" s="15">
        <v>-1475</v>
      </c>
      <c r="H373" s="15">
        <v>-240</v>
      </c>
      <c r="I373" s="15">
        <v>-1021</v>
      </c>
      <c r="J373" s="15">
        <v>-270</v>
      </c>
      <c r="K373" s="15">
        <v>-1731</v>
      </c>
      <c r="L373" s="15">
        <v>-244</v>
      </c>
      <c r="M373" s="15">
        <v>-55</v>
      </c>
      <c r="N373" s="15">
        <v>-26</v>
      </c>
      <c r="O373" s="15">
        <v>-940</v>
      </c>
      <c r="P373" s="15">
        <v>-585</v>
      </c>
      <c r="Q373" s="15">
        <v>-1126</v>
      </c>
      <c r="R373" s="15">
        <v>1093</v>
      </c>
      <c r="S373" s="15">
        <v>-636</v>
      </c>
      <c r="T373" s="15">
        <v>22</v>
      </c>
      <c r="U373" s="15">
        <v>-169</v>
      </c>
      <c r="V373" s="15">
        <v>232</v>
      </c>
      <c r="AA373" s="13">
        <f t="shared" si="183"/>
        <v>-1499</v>
      </c>
      <c r="AB373" s="13">
        <f t="shared" si="183"/>
        <v>-3006</v>
      </c>
      <c r="AC373" s="13">
        <f t="shared" si="184"/>
        <v>-2056</v>
      </c>
      <c r="AD373" s="13">
        <f t="shared" si="185"/>
        <v>-1558</v>
      </c>
      <c r="AE373" s="13">
        <f t="shared" si="186"/>
        <v>-551</v>
      </c>
    </row>
    <row r="374" spans="2:31" x14ac:dyDescent="0.25">
      <c r="B374" s="17" t="s">
        <v>133</v>
      </c>
      <c r="C374" s="15">
        <v>373</v>
      </c>
      <c r="D374" s="15">
        <v>338</v>
      </c>
      <c r="E374" s="15">
        <v>308</v>
      </c>
      <c r="F374" s="15">
        <v>296</v>
      </c>
      <c r="G374" s="15">
        <v>376</v>
      </c>
      <c r="H374" s="15">
        <v>299</v>
      </c>
      <c r="I374" s="15">
        <v>314</v>
      </c>
      <c r="J374" s="15">
        <v>346</v>
      </c>
      <c r="K374" s="15">
        <v>359</v>
      </c>
      <c r="L374" s="15">
        <v>309</v>
      </c>
      <c r="M374" s="15">
        <v>287</v>
      </c>
      <c r="N374" s="15">
        <v>286</v>
      </c>
      <c r="O374" s="15">
        <v>373</v>
      </c>
      <c r="P374" s="15">
        <v>316</v>
      </c>
      <c r="Q374" s="15">
        <v>294</v>
      </c>
      <c r="R374" s="15">
        <v>305</v>
      </c>
      <c r="S374" s="15">
        <v>382</v>
      </c>
      <c r="T374" s="15">
        <v>321</v>
      </c>
      <c r="U374" s="15">
        <v>311</v>
      </c>
      <c r="V374" s="15">
        <v>274</v>
      </c>
      <c r="AA374" s="13">
        <f t="shared" si="183"/>
        <v>1315</v>
      </c>
      <c r="AB374" s="13">
        <f t="shared" si="183"/>
        <v>1335</v>
      </c>
      <c r="AC374" s="13">
        <f t="shared" si="184"/>
        <v>1241</v>
      </c>
      <c r="AD374" s="13">
        <f t="shared" si="185"/>
        <v>1288</v>
      </c>
      <c r="AE374" s="13">
        <f t="shared" si="186"/>
        <v>1288</v>
      </c>
    </row>
    <row r="375" spans="2:31" x14ac:dyDescent="0.25">
      <c r="B375" s="17" t="s">
        <v>24</v>
      </c>
      <c r="C375" s="15">
        <v>139</v>
      </c>
      <c r="D375" s="15">
        <v>17</v>
      </c>
      <c r="E375" s="15">
        <v>186</v>
      </c>
      <c r="F375" s="15">
        <v>817</v>
      </c>
      <c r="G375" s="15">
        <v>42</v>
      </c>
      <c r="H375" s="15">
        <v>89</v>
      </c>
      <c r="I375" s="15">
        <v>51</v>
      </c>
      <c r="J375" s="15">
        <v>121</v>
      </c>
      <c r="K375" s="15">
        <v>99</v>
      </c>
      <c r="L375" s="15">
        <v>181</v>
      </c>
      <c r="M375" s="15">
        <v>143</v>
      </c>
      <c r="N375" s="15">
        <v>77</v>
      </c>
      <c r="O375" s="15">
        <v>140</v>
      </c>
      <c r="P375" s="15">
        <v>123</v>
      </c>
      <c r="Q375" s="15">
        <v>228</v>
      </c>
      <c r="R375" s="15">
        <v>136</v>
      </c>
      <c r="S375" s="15">
        <v>90</v>
      </c>
      <c r="T375" s="15">
        <v>3</v>
      </c>
      <c r="U375" s="15">
        <v>54</v>
      </c>
      <c r="V375" s="15">
        <v>2</v>
      </c>
      <c r="AA375" s="13">
        <f t="shared" si="183"/>
        <v>1159</v>
      </c>
      <c r="AB375" s="13">
        <f t="shared" si="183"/>
        <v>303</v>
      </c>
      <c r="AC375" s="13">
        <f t="shared" si="184"/>
        <v>500</v>
      </c>
      <c r="AD375" s="13">
        <f t="shared" si="185"/>
        <v>627</v>
      </c>
      <c r="AE375" s="13">
        <f t="shared" si="186"/>
        <v>149</v>
      </c>
    </row>
    <row r="376" spans="2:31" s="23" customFormat="1" x14ac:dyDescent="0.25">
      <c r="B376" s="23" t="s">
        <v>134</v>
      </c>
      <c r="C376" s="31">
        <f>SUM(C368:C375)</f>
        <v>5279</v>
      </c>
      <c r="D376" s="31">
        <f t="shared" ref="D376:L376" si="189">SUM(D368:D375)</f>
        <v>4793</v>
      </c>
      <c r="E376" s="31">
        <f t="shared" si="189"/>
        <v>3236</v>
      </c>
      <c r="F376" s="31">
        <f t="shared" si="189"/>
        <v>3786</v>
      </c>
      <c r="G376" s="31">
        <f t="shared" si="189"/>
        <v>4759</v>
      </c>
      <c r="H376" s="31">
        <f t="shared" si="189"/>
        <v>3172</v>
      </c>
      <c r="I376" s="31">
        <f t="shared" si="189"/>
        <v>3388</v>
      </c>
      <c r="J376" s="31">
        <f t="shared" si="189"/>
        <v>1331</v>
      </c>
      <c r="K376" s="31">
        <f t="shared" si="189"/>
        <v>3800</v>
      </c>
      <c r="L376" s="31">
        <f t="shared" si="189"/>
        <v>3422</v>
      </c>
      <c r="M376" s="31">
        <f>SUM(M368:M375)-1</f>
        <v>4032</v>
      </c>
      <c r="N376" s="31">
        <f>SUM(N368:N375)-1</f>
        <v>1708</v>
      </c>
      <c r="O376" s="31">
        <f>SUM(O368:O375)-1</f>
        <v>4539</v>
      </c>
      <c r="P376" s="31">
        <f>SUM(P368:P375)-1</f>
        <v>1338</v>
      </c>
      <c r="Q376" s="31">
        <f>SUM(Q368:Q375)</f>
        <v>3408</v>
      </c>
      <c r="R376" s="31">
        <v>3260</v>
      </c>
      <c r="S376" s="31">
        <v>5421</v>
      </c>
      <c r="T376" s="31">
        <v>4501</v>
      </c>
      <c r="U376" s="31">
        <v>4945</v>
      </c>
      <c r="V376" s="31">
        <v>4369</v>
      </c>
      <c r="W376" s="31">
        <v>3901</v>
      </c>
      <c r="X376" s="31">
        <v>4604</v>
      </c>
      <c r="AA376" s="31">
        <f t="shared" ref="AA376:AC376" si="190">SUM(AA368:AA375)</f>
        <v>17094</v>
      </c>
      <c r="AB376" s="31">
        <f t="shared" si="190"/>
        <v>12650</v>
      </c>
      <c r="AC376" s="31">
        <f t="shared" si="190"/>
        <v>12964</v>
      </c>
      <c r="AD376" s="31">
        <f t="shared" si="185"/>
        <v>12545</v>
      </c>
      <c r="AE376" s="13">
        <f t="shared" si="186"/>
        <v>19236</v>
      </c>
    </row>
    <row r="377" spans="2:31" x14ac:dyDescent="0.25"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spans="2:31" x14ac:dyDescent="0.25">
      <c r="B378" s="23" t="s">
        <v>135</v>
      </c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spans="2:31" x14ac:dyDescent="0.25">
      <c r="B379" s="17" t="s">
        <v>136</v>
      </c>
      <c r="C379" s="15">
        <v>1080</v>
      </c>
      <c r="D379" s="15">
        <v>1151</v>
      </c>
      <c r="E379" s="15">
        <v>1156</v>
      </c>
      <c r="F379" s="15">
        <v>1145</v>
      </c>
      <c r="G379" s="15">
        <v>1166</v>
      </c>
      <c r="H379" s="15">
        <v>1211</v>
      </c>
      <c r="I379" s="15">
        <v>1194</v>
      </c>
      <c r="J379" s="15">
        <v>1170</v>
      </c>
      <c r="K379" s="15">
        <v>1174</v>
      </c>
      <c r="L379" s="15">
        <v>1213</v>
      </c>
      <c r="M379" s="15">
        <v>1199</v>
      </c>
      <c r="N379" s="15">
        <v>1179</v>
      </c>
      <c r="O379" s="15">
        <v>1193</v>
      </c>
      <c r="P379" s="15">
        <v>1225</v>
      </c>
      <c r="Q379" s="15">
        <v>1206</v>
      </c>
      <c r="R379" s="15">
        <v>1190</v>
      </c>
      <c r="S379" s="15">
        <v>1224</v>
      </c>
      <c r="T379" s="15">
        <v>1238</v>
      </c>
      <c r="U379" s="15">
        <v>1223</v>
      </c>
      <c r="V379" s="15">
        <v>1209</v>
      </c>
      <c r="W379" s="16">
        <v>1248</v>
      </c>
      <c r="X379" s="16">
        <v>1183</v>
      </c>
      <c r="Y379" s="15"/>
      <c r="Z379" s="15"/>
      <c r="AA379" s="13">
        <f t="shared" ref="AA379:AB380" si="191">SUMIF($C$1:$M$1,AA$1,$C379:$M379)</f>
        <v>4532</v>
      </c>
      <c r="AB379" s="13">
        <f t="shared" si="191"/>
        <v>4741</v>
      </c>
      <c r="AC379" s="13">
        <f t="shared" ref="AC379:AC381" si="192">SUMIF($C$1:$N$1,AC$1,$C379:$N379)</f>
        <v>4765</v>
      </c>
      <c r="AD379" s="13">
        <f t="shared" ref="AD379:AD383" si="193">SUMIF($C$1:$R$1,AD$1,$C379:$R379)</f>
        <v>4814</v>
      </c>
      <c r="AE379" s="13">
        <f t="shared" ref="AE379:AE381" si="194">SUMIF($C$1:$V$1,AE$1,$C379:$V379)</f>
        <v>4894</v>
      </c>
    </row>
    <row r="380" spans="2:31" x14ac:dyDescent="0.25">
      <c r="B380" s="17" t="s">
        <v>137</v>
      </c>
      <c r="C380" s="15">
        <v>0</v>
      </c>
      <c r="D380" s="15">
        <v>500</v>
      </c>
      <c r="E380" s="15">
        <v>1500</v>
      </c>
      <c r="F380" s="15">
        <v>2000</v>
      </c>
      <c r="G380" s="15">
        <v>3000</v>
      </c>
      <c r="H380" s="15">
        <v>3000</v>
      </c>
      <c r="I380" s="15">
        <v>3500</v>
      </c>
      <c r="J380" s="15">
        <v>3500</v>
      </c>
      <c r="K380" s="15">
        <v>2000</v>
      </c>
      <c r="L380" s="15">
        <v>2000</v>
      </c>
      <c r="M380" s="15">
        <v>3500</v>
      </c>
      <c r="N380" s="15">
        <v>3500</v>
      </c>
      <c r="O380" s="15">
        <v>2408</v>
      </c>
      <c r="P380" s="15">
        <v>2215</v>
      </c>
      <c r="Q380" s="15">
        <v>1969</v>
      </c>
      <c r="R380" s="15">
        <v>2048</v>
      </c>
      <c r="S380" s="15">
        <v>2020</v>
      </c>
      <c r="T380" s="15">
        <v>1700</v>
      </c>
      <c r="U380" s="15">
        <v>1541</v>
      </c>
      <c r="V380" s="15">
        <v>1523</v>
      </c>
      <c r="W380" s="16">
        <v>1260</v>
      </c>
      <c r="X380" s="16">
        <v>900</v>
      </c>
      <c r="Y380" s="15"/>
      <c r="Z380" s="15"/>
      <c r="AA380" s="13">
        <f t="shared" si="191"/>
        <v>4000</v>
      </c>
      <c r="AB380" s="13">
        <f t="shared" si="191"/>
        <v>13000</v>
      </c>
      <c r="AC380" s="13">
        <f t="shared" si="192"/>
        <v>11000</v>
      </c>
      <c r="AD380" s="13">
        <f t="shared" si="193"/>
        <v>8640</v>
      </c>
      <c r="AE380" s="13">
        <f t="shared" si="194"/>
        <v>6784</v>
      </c>
    </row>
    <row r="381" spans="2:31" x14ac:dyDescent="0.25">
      <c r="B381" s="1" t="s">
        <v>138</v>
      </c>
      <c r="C381" s="13">
        <f>C380+C379</f>
        <v>1080</v>
      </c>
      <c r="D381" s="13">
        <f t="shared" ref="D381:X381" si="195">D380+D379</f>
        <v>1651</v>
      </c>
      <c r="E381" s="13">
        <f t="shared" si="195"/>
        <v>2656</v>
      </c>
      <c r="F381" s="13">
        <f t="shared" si="195"/>
        <v>3145</v>
      </c>
      <c r="G381" s="13">
        <f t="shared" si="195"/>
        <v>4166</v>
      </c>
      <c r="H381" s="13">
        <f t="shared" si="195"/>
        <v>4211</v>
      </c>
      <c r="I381" s="13">
        <f t="shared" si="195"/>
        <v>4694</v>
      </c>
      <c r="J381" s="13">
        <f t="shared" si="195"/>
        <v>4670</v>
      </c>
      <c r="K381" s="13">
        <f t="shared" si="195"/>
        <v>3174</v>
      </c>
      <c r="L381" s="13">
        <f t="shared" si="195"/>
        <v>3213</v>
      </c>
      <c r="M381" s="13">
        <f t="shared" si="195"/>
        <v>4699</v>
      </c>
      <c r="N381" s="13">
        <f t="shared" si="195"/>
        <v>4679</v>
      </c>
      <c r="O381" s="13">
        <f t="shared" si="195"/>
        <v>3601</v>
      </c>
      <c r="P381" s="13">
        <f t="shared" si="195"/>
        <v>3440</v>
      </c>
      <c r="Q381" s="13">
        <f t="shared" si="195"/>
        <v>3175</v>
      </c>
      <c r="R381" s="13">
        <f t="shared" si="195"/>
        <v>3238</v>
      </c>
      <c r="S381" s="13">
        <f t="shared" si="195"/>
        <v>3244</v>
      </c>
      <c r="T381" s="13">
        <f t="shared" si="195"/>
        <v>2938</v>
      </c>
      <c r="U381" s="13">
        <f t="shared" si="195"/>
        <v>2764</v>
      </c>
      <c r="V381" s="13">
        <f t="shared" si="195"/>
        <v>2732</v>
      </c>
      <c r="W381" s="13">
        <f t="shared" si="195"/>
        <v>2508</v>
      </c>
      <c r="X381" s="13">
        <f t="shared" si="195"/>
        <v>2083</v>
      </c>
      <c r="Y381" s="13"/>
      <c r="Z381" s="13"/>
      <c r="AA381" s="13">
        <f t="shared" ref="AA381:AB381" si="196">AA380+AA379</f>
        <v>8532</v>
      </c>
      <c r="AB381" s="13">
        <f t="shared" si="196"/>
        <v>17741</v>
      </c>
      <c r="AC381" s="13">
        <f t="shared" si="192"/>
        <v>15765</v>
      </c>
      <c r="AD381" s="13">
        <f t="shared" si="193"/>
        <v>13454</v>
      </c>
      <c r="AE381" s="13">
        <f t="shared" si="194"/>
        <v>11678</v>
      </c>
    </row>
    <row r="382" spans="2:31" x14ac:dyDescent="0.25"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spans="2:31" x14ac:dyDescent="0.25">
      <c r="B383" s="1" t="s">
        <v>139</v>
      </c>
      <c r="C383" s="52">
        <v>0.76</v>
      </c>
      <c r="D383" s="52">
        <v>0.84</v>
      </c>
      <c r="E383" s="52">
        <v>0.87</v>
      </c>
      <c r="F383" s="52">
        <v>0.77</v>
      </c>
      <c r="G383" s="52">
        <v>0.86</v>
      </c>
      <c r="H383" s="52">
        <v>1.01</v>
      </c>
      <c r="I383" s="52">
        <v>0.96</v>
      </c>
      <c r="J383" s="52">
        <v>0.82</v>
      </c>
      <c r="K383" s="52">
        <v>0.92</v>
      </c>
      <c r="L383" s="52">
        <v>1.1299999999999999</v>
      </c>
      <c r="M383" s="52">
        <v>1.08</v>
      </c>
      <c r="N383" s="52">
        <v>0.84</v>
      </c>
      <c r="O383" s="52">
        <v>1.04</v>
      </c>
      <c r="P383" s="52">
        <v>1.21</v>
      </c>
      <c r="Q383" s="52">
        <v>1.1200000000000001</v>
      </c>
      <c r="R383" s="52">
        <v>0.96</v>
      </c>
      <c r="S383" s="52">
        <v>1.0900000000000001</v>
      </c>
      <c r="T383" s="52">
        <v>1.25</v>
      </c>
      <c r="U383" s="52">
        <v>1.1200000000000001</v>
      </c>
      <c r="V383" s="52">
        <v>0.84</v>
      </c>
      <c r="W383" s="53">
        <v>0.79</v>
      </c>
      <c r="X383" s="53">
        <v>1.04</v>
      </c>
      <c r="Y383" s="24"/>
      <c r="Z383" s="24"/>
      <c r="AA383" s="54">
        <f t="shared" ref="AA383:AB383" si="197">SUMIF($C$1:$M$1,AA$1,$C383:$M383)</f>
        <v>3.24</v>
      </c>
      <c r="AB383" s="54">
        <f t="shared" si="197"/>
        <v>3.65</v>
      </c>
      <c r="AC383" s="54">
        <f t="shared" ref="AC383" si="198">SUMIF($C$1:$N$1,AC$1,$C383:$N383)</f>
        <v>3.9699999999999998</v>
      </c>
      <c r="AD383" s="54">
        <f t="shared" si="193"/>
        <v>4.33</v>
      </c>
      <c r="AE383" s="55">
        <f>SUMIF($C$1:$V$1,AE$1,$C383:$V383)+0.01</f>
        <v>4.3099999999999996</v>
      </c>
    </row>
    <row r="384" spans="2:31" x14ac:dyDescent="0.25">
      <c r="B384" s="1" t="s">
        <v>140</v>
      </c>
      <c r="C384" s="15">
        <v>4665</v>
      </c>
      <c r="D384" s="15">
        <v>4673</v>
      </c>
      <c r="E384" s="15">
        <v>4665</v>
      </c>
      <c r="F384" s="15">
        <v>4613</v>
      </c>
      <c r="G384" s="15">
        <v>4558</v>
      </c>
      <c r="H384" s="15">
        <v>4482</v>
      </c>
      <c r="I384" s="15">
        <v>4392</v>
      </c>
      <c r="J384" s="15">
        <v>4290</v>
      </c>
      <c r="K384" s="15">
        <v>4227</v>
      </c>
      <c r="L384" s="15">
        <v>4183</v>
      </c>
      <c r="M384" s="15">
        <v>4141</v>
      </c>
      <c r="N384" s="15">
        <v>4039</v>
      </c>
      <c r="O384" s="15">
        <v>3992</v>
      </c>
      <c r="P384" s="15">
        <v>3920</v>
      </c>
      <c r="Q384" s="15">
        <v>3880</v>
      </c>
      <c r="R384" s="15">
        <v>3842</v>
      </c>
      <c r="S384" s="15">
        <v>3784</v>
      </c>
      <c r="T384" s="15">
        <v>3727</v>
      </c>
      <c r="U384" s="15">
        <v>3689</v>
      </c>
      <c r="V384" s="15">
        <v>3636</v>
      </c>
      <c r="W384" s="16">
        <v>3617</v>
      </c>
      <c r="X384" s="16">
        <v>3570</v>
      </c>
      <c r="Y384" s="24"/>
      <c r="Z384" s="24"/>
      <c r="AA384" s="15">
        <v>4654</v>
      </c>
      <c r="AB384" s="15">
        <v>4430</v>
      </c>
      <c r="AC384" s="15">
        <v>4148</v>
      </c>
      <c r="AD384" s="15">
        <v>3908</v>
      </c>
      <c r="AE384" s="15">
        <v>3709</v>
      </c>
    </row>
    <row r="385" spans="2:31" x14ac:dyDescent="0.25"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spans="2:31" x14ac:dyDescent="0.25">
      <c r="B386" s="1" t="s">
        <v>141</v>
      </c>
      <c r="C386" s="15">
        <v>-5404</v>
      </c>
      <c r="D386" s="15">
        <v>-5842</v>
      </c>
      <c r="E386" s="15">
        <v>-7058</v>
      </c>
      <c r="F386" s="15">
        <v>-6596</v>
      </c>
      <c r="G386" s="15">
        <v>-7144</v>
      </c>
      <c r="H386" s="15">
        <v>-5600</v>
      </c>
      <c r="I386" s="15">
        <v>-5708</v>
      </c>
      <c r="J386" s="15">
        <v>-6747</v>
      </c>
      <c r="K386" s="15">
        <v>-5813</v>
      </c>
      <c r="L386" s="15">
        <v>-5658</v>
      </c>
      <c r="M386" s="15">
        <f>-2083-3048-438</f>
        <v>-5569</v>
      </c>
      <c r="N386" s="13">
        <f>AC386-SUM(K386:M386)</f>
        <v>-7272</v>
      </c>
      <c r="O386" s="56">
        <f>-2562-2924-317</f>
        <v>-5803</v>
      </c>
      <c r="P386" s="56">
        <f>-(2215+2570+298)</f>
        <v>-5083</v>
      </c>
      <c r="Q386" s="56">
        <f>-2111-4994-330</f>
        <v>-7435</v>
      </c>
      <c r="R386" s="13">
        <f>AD386-SUM(O386:Q386)</f>
        <v>-7278</v>
      </c>
      <c r="S386" s="57"/>
      <c r="T386" s="57"/>
      <c r="U386" s="57"/>
      <c r="V386" s="57"/>
      <c r="AA386" s="15">
        <f>-8957-14733-1210</f>
        <v>-24900</v>
      </c>
      <c r="AB386" s="15">
        <f>-10765-13151-1283</f>
        <v>-25199</v>
      </c>
      <c r="AC386" s="15">
        <f>-10224-12629-1459</f>
        <v>-24312</v>
      </c>
      <c r="AD386" s="15">
        <f>-9617-14668-1314</f>
        <v>-25599</v>
      </c>
      <c r="AE386" s="15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4F3E-1D16-413F-9BCB-CCC0C2553BBA}">
  <dimension ref="A1:AI41"/>
  <sheetViews>
    <sheetView tabSelected="1" zoomScale="61" workbookViewId="0">
      <pane xSplit="1" ySplit="3" topLeftCell="I7" activePane="bottomRight" state="frozen"/>
      <selection pane="topRight" activeCell="B1" sqref="B1"/>
      <selection pane="bottomLeft" activeCell="A4" sqref="A4"/>
      <selection pane="bottomRight" activeCell="X29" sqref="X29"/>
    </sheetView>
  </sheetViews>
  <sheetFormatPr defaultRowHeight="13.2" x14ac:dyDescent="0.25"/>
  <cols>
    <col min="1" max="1" width="55.5546875" customWidth="1"/>
    <col min="2" max="35" width="11.44140625" customWidth="1"/>
  </cols>
  <sheetData>
    <row r="1" spans="1:35" ht="15.6" x14ac:dyDescent="0.3">
      <c r="A1" s="123" t="s">
        <v>200</v>
      </c>
    </row>
    <row r="2" spans="1:35" x14ac:dyDescent="0.25">
      <c r="A2" s="121" t="s">
        <v>201</v>
      </c>
      <c r="B2" s="119" t="s">
        <v>218</v>
      </c>
      <c r="C2" s="119" t="s">
        <v>219</v>
      </c>
      <c r="D2" s="119" t="s">
        <v>220</v>
      </c>
      <c r="E2" s="119" t="s">
        <v>221</v>
      </c>
      <c r="F2" s="119" t="s">
        <v>222</v>
      </c>
      <c r="G2" s="119" t="s">
        <v>223</v>
      </c>
      <c r="H2" s="119" t="s">
        <v>224</v>
      </c>
      <c r="I2" s="119" t="s">
        <v>225</v>
      </c>
      <c r="J2" s="119" t="s">
        <v>226</v>
      </c>
      <c r="K2" s="119" t="s">
        <v>227</v>
      </c>
      <c r="L2" s="119" t="s">
        <v>228</v>
      </c>
      <c r="M2" s="119" t="s">
        <v>229</v>
      </c>
      <c r="N2" s="119" t="s">
        <v>230</v>
      </c>
      <c r="O2" s="119" t="s">
        <v>231</v>
      </c>
      <c r="P2" s="119" t="s">
        <v>232</v>
      </c>
      <c r="Q2" s="119" t="s">
        <v>233</v>
      </c>
      <c r="R2" s="119" t="s">
        <v>234</v>
      </c>
      <c r="S2" s="119" t="s">
        <v>143</v>
      </c>
      <c r="T2" s="119" t="s">
        <v>144</v>
      </c>
      <c r="U2" s="119" t="s">
        <v>145</v>
      </c>
      <c r="V2" s="119" t="s">
        <v>146</v>
      </c>
      <c r="W2" s="119" t="s">
        <v>147</v>
      </c>
      <c r="X2" s="119" t="s">
        <v>148</v>
      </c>
      <c r="Y2" s="119" t="s">
        <v>149</v>
      </c>
      <c r="Z2" s="119" t="s">
        <v>150</v>
      </c>
      <c r="AA2" s="119" t="s">
        <v>2</v>
      </c>
      <c r="AB2" s="119" t="s">
        <v>3</v>
      </c>
      <c r="AC2" s="119" t="s">
        <v>4</v>
      </c>
      <c r="AD2" s="119" t="s">
        <v>5</v>
      </c>
      <c r="AE2" s="119" t="s">
        <v>6</v>
      </c>
      <c r="AF2" s="119" t="s">
        <v>7</v>
      </c>
      <c r="AG2" s="119" t="s">
        <v>8</v>
      </c>
      <c r="AH2" s="119" t="s">
        <v>9</v>
      </c>
      <c r="AI2" s="119" t="s">
        <v>10</v>
      </c>
    </row>
    <row r="3" spans="1:35" x14ac:dyDescent="0.25">
      <c r="A3" s="122" t="s">
        <v>202</v>
      </c>
      <c r="B3" s="120" t="s">
        <v>219</v>
      </c>
      <c r="C3" s="120" t="s">
        <v>220</v>
      </c>
      <c r="D3" s="120" t="s">
        <v>221</v>
      </c>
      <c r="E3" s="120" t="s">
        <v>222</v>
      </c>
      <c r="F3" s="120" t="s">
        <v>223</v>
      </c>
      <c r="G3" s="120" t="s">
        <v>224</v>
      </c>
      <c r="H3" s="120" t="s">
        <v>225</v>
      </c>
      <c r="I3" s="120" t="s">
        <v>226</v>
      </c>
      <c r="J3" s="120" t="s">
        <v>227</v>
      </c>
      <c r="K3" s="120" t="s">
        <v>228</v>
      </c>
      <c r="L3" s="120" t="s">
        <v>229</v>
      </c>
      <c r="M3" s="120" t="s">
        <v>230</v>
      </c>
      <c r="N3" s="120" t="s">
        <v>231</v>
      </c>
      <c r="O3" s="120" t="s">
        <v>232</v>
      </c>
      <c r="P3" s="120" t="s">
        <v>233</v>
      </c>
      <c r="Q3" s="120" t="s">
        <v>234</v>
      </c>
      <c r="R3" s="120" t="s">
        <v>143</v>
      </c>
      <c r="S3" s="120" t="s">
        <v>144</v>
      </c>
      <c r="T3" s="120" t="s">
        <v>145</v>
      </c>
      <c r="U3" s="120" t="s">
        <v>146</v>
      </c>
      <c r="V3" s="120" t="s">
        <v>147</v>
      </c>
      <c r="W3" s="120" t="s">
        <v>148</v>
      </c>
      <c r="X3" s="120" t="s">
        <v>149</v>
      </c>
      <c r="Y3" s="120" t="s">
        <v>150</v>
      </c>
      <c r="Z3" s="120" t="s">
        <v>2</v>
      </c>
      <c r="AA3" s="120" t="s">
        <v>3</v>
      </c>
      <c r="AB3" s="120" t="s">
        <v>4</v>
      </c>
      <c r="AC3" s="120" t="s">
        <v>5</v>
      </c>
      <c r="AD3" s="120" t="s">
        <v>6</v>
      </c>
      <c r="AE3" s="120" t="s">
        <v>7</v>
      </c>
      <c r="AF3" s="120" t="s">
        <v>8</v>
      </c>
      <c r="AG3" s="120" t="s">
        <v>9</v>
      </c>
      <c r="AH3" s="120" t="s">
        <v>10</v>
      </c>
      <c r="AI3" s="120" t="s">
        <v>11</v>
      </c>
    </row>
    <row r="5" spans="1:35" x14ac:dyDescent="0.25">
      <c r="A5" s="107" t="s">
        <v>203</v>
      </c>
      <c r="B5" s="111">
        <v>1461</v>
      </c>
      <c r="C5" s="111">
        <v>1281</v>
      </c>
      <c r="D5" s="111">
        <v>1361</v>
      </c>
      <c r="E5" s="111">
        <v>1528</v>
      </c>
      <c r="F5" s="111">
        <v>1513</v>
      </c>
      <c r="G5" s="111">
        <v>1276</v>
      </c>
      <c r="H5" s="111">
        <v>1464</v>
      </c>
      <c r="I5" s="111">
        <v>1631</v>
      </c>
      <c r="J5" s="111">
        <v>1562</v>
      </c>
      <c r="K5" s="111">
        <v>869</v>
      </c>
      <c r="L5" s="111">
        <v>87</v>
      </c>
      <c r="M5" s="111">
        <v>311</v>
      </c>
      <c r="N5" s="112">
        <f>L41-SUM(K5:M5)</f>
        <v>579</v>
      </c>
      <c r="O5" s="113">
        <f>'CMCSA Segments'!C96</f>
        <v>619</v>
      </c>
      <c r="P5" s="113">
        <f>'CMCSA Segments'!D96</f>
        <v>1095</v>
      </c>
      <c r="Q5" s="113">
        <f>'CMCSA Segments'!E96</f>
        <v>1449</v>
      </c>
      <c r="R5" s="113">
        <f>'CMCSA Segments'!F96</f>
        <v>1887</v>
      </c>
      <c r="S5" s="113">
        <f>'CMCSA Segments'!G96</f>
        <v>1560</v>
      </c>
      <c r="T5" s="113">
        <f>'CMCSA Segments'!H96</f>
        <v>1804</v>
      </c>
      <c r="U5" s="113">
        <f>'CMCSA Segments'!I96</f>
        <v>2064</v>
      </c>
      <c r="V5" s="113">
        <f>'CMCSA Segments'!J96</f>
        <v>2114</v>
      </c>
      <c r="W5" s="113">
        <f>'CMCSA Segments'!K96</f>
        <v>1949</v>
      </c>
      <c r="X5" s="113">
        <f>'CMCSA Segments'!L96</f>
        <v>2209</v>
      </c>
      <c r="Y5" s="113">
        <f>'CMCSA Segments'!M96</f>
        <v>2418</v>
      </c>
      <c r="Z5" s="113">
        <f>'CMCSA Segments'!N96</f>
        <v>2371</v>
      </c>
      <c r="AA5" s="113">
        <f>'CMCSA Segments'!O96</f>
        <v>1979</v>
      </c>
      <c r="AB5" s="113">
        <f>'CMCSA Segments'!P96</f>
        <v>1975</v>
      </c>
      <c r="AC5" s="113">
        <f>'CMCSA Segments'!Q96</f>
        <v>2289</v>
      </c>
      <c r="AD5" s="113">
        <f>'CMCSA Segments'!R96</f>
        <v>2374</v>
      </c>
      <c r="AE5" s="113">
        <f>'CMCSA Segments'!S96</f>
        <v>1876</v>
      </c>
      <c r="AF5" s="113">
        <f>'CMCSA Segments'!T96</f>
        <v>2349</v>
      </c>
      <c r="AG5" s="113">
        <f>'CMCSA Segments'!U96</f>
        <v>2717</v>
      </c>
      <c r="AH5" s="113">
        <f>'CMCSA Segments'!V96</f>
        <v>2893</v>
      </c>
      <c r="AI5" s="113">
        <f>'CMCSA Segments'!W96</f>
        <v>2331</v>
      </c>
    </row>
    <row r="6" spans="1:35" x14ac:dyDescent="0.25">
      <c r="A6" t="s">
        <v>204</v>
      </c>
      <c r="B6" s="112">
        <f>B37-C6</f>
        <v>1832</v>
      </c>
      <c r="C6" s="111">
        <v>1690</v>
      </c>
      <c r="D6" s="111">
        <v>1834</v>
      </c>
      <c r="E6" s="112">
        <f>D37-C37</f>
        <v>1827</v>
      </c>
      <c r="F6" s="112">
        <f>E37-G6</f>
        <v>1933</v>
      </c>
      <c r="G6" s="111">
        <v>1768</v>
      </c>
      <c r="H6" s="111">
        <v>1956</v>
      </c>
      <c r="I6" s="112">
        <f>G37-F37</f>
        <v>1883</v>
      </c>
      <c r="J6" s="111">
        <v>2067</v>
      </c>
      <c r="K6" s="111">
        <v>1554</v>
      </c>
      <c r="L6" s="111">
        <v>34</v>
      </c>
      <c r="M6" s="112">
        <f>I37-H37</f>
        <v>383</v>
      </c>
      <c r="N6" s="111">
        <v>549</v>
      </c>
      <c r="O6" s="111">
        <v>597</v>
      </c>
      <c r="P6" s="111">
        <v>1152</v>
      </c>
      <c r="Q6" s="112">
        <f>K37-J37</f>
        <v>1550</v>
      </c>
      <c r="R6" s="113">
        <f>'DIS Experience'!B3</f>
        <v>2152</v>
      </c>
      <c r="S6" s="113">
        <f>'DIS Experience'!C3</f>
        <v>1973</v>
      </c>
      <c r="T6" s="113">
        <f>'DIS Experience'!D3</f>
        <v>2312</v>
      </c>
      <c r="U6" s="113">
        <f>'DIS Experience'!E3</f>
        <v>2165</v>
      </c>
      <c r="V6" s="113">
        <f>'DIS Experience'!F3</f>
        <v>2641</v>
      </c>
      <c r="W6" s="113">
        <f>'DIS Experience'!G3</f>
        <v>2428</v>
      </c>
      <c r="X6" s="113">
        <f>'DIS Experience'!H3</f>
        <v>2731</v>
      </c>
      <c r="Y6" s="113">
        <f>'DIS Experience'!I3</f>
        <v>2623</v>
      </c>
      <c r="Z6" s="113">
        <f>'DIS Experience'!J3</f>
        <v>2982</v>
      </c>
      <c r="AA6" s="113">
        <f>'DIS Experience'!K3</f>
        <v>2806</v>
      </c>
      <c r="AB6" s="113">
        <f>'DIS Experience'!L3</f>
        <v>2780</v>
      </c>
      <c r="AC6" s="113">
        <f>'DIS Experience'!M3</f>
        <v>2603</v>
      </c>
      <c r="AD6" s="113">
        <f>'DIS Experience'!N3</f>
        <v>3087</v>
      </c>
      <c r="AE6" s="113">
        <f>'DIS Experience'!O3</f>
        <v>2919</v>
      </c>
      <c r="AF6" s="113">
        <f>'DIS Experience'!P3</f>
        <v>2996</v>
      </c>
      <c r="AG6" s="113">
        <f>'DIS Experience'!Q3</f>
        <v>2705</v>
      </c>
      <c r="AH6" s="113">
        <f>'DIS Experience'!R3</f>
        <v>3301</v>
      </c>
      <c r="AI6" s="113">
        <f>'DIS Experience'!S3</f>
        <v>3092</v>
      </c>
    </row>
    <row r="7" spans="1:35" x14ac:dyDescent="0.25">
      <c r="A7" t="s">
        <v>205</v>
      </c>
      <c r="B7" s="112">
        <f>B38-C7</f>
        <v>1495</v>
      </c>
      <c r="C7" s="111">
        <v>1352</v>
      </c>
      <c r="D7" s="111">
        <v>1442</v>
      </c>
      <c r="E7" s="112">
        <f>D38-C38</f>
        <v>1385</v>
      </c>
      <c r="F7" s="112">
        <f>E38-G7</f>
        <v>1565</v>
      </c>
      <c r="G7" s="111">
        <v>1411</v>
      </c>
      <c r="H7" s="111">
        <v>1515</v>
      </c>
      <c r="I7" s="112">
        <f>G38-F38</f>
        <v>1472</v>
      </c>
      <c r="J7" s="111">
        <v>1691</v>
      </c>
      <c r="K7" s="111">
        <v>1276</v>
      </c>
      <c r="L7" s="111">
        <v>63</v>
      </c>
      <c r="M7" s="112">
        <f>I38-H38</f>
        <v>411</v>
      </c>
      <c r="N7" s="111">
        <v>553</v>
      </c>
      <c r="O7" s="111">
        <v>558</v>
      </c>
      <c r="P7" s="111">
        <v>914</v>
      </c>
      <c r="Q7" s="112">
        <f>K38-J38</f>
        <v>1274</v>
      </c>
      <c r="R7" s="113">
        <f>'DIS Experience'!B5</f>
        <v>1626</v>
      </c>
      <c r="S7" s="113">
        <f>'DIS Experience'!C5</f>
        <v>1515</v>
      </c>
      <c r="T7" s="113">
        <f>'DIS Experience'!D5</f>
        <v>1688</v>
      </c>
      <c r="U7" s="113">
        <f>'DIS Experience'!E5</f>
        <v>1750</v>
      </c>
      <c r="V7" s="113">
        <f>'DIS Experience'!F5</f>
        <v>1980</v>
      </c>
      <c r="W7" s="113">
        <f>'DIS Experience'!G5</f>
        <v>1949</v>
      </c>
      <c r="X7" s="113">
        <f>'DIS Experience'!H5</f>
        <v>1990</v>
      </c>
      <c r="Y7" s="113">
        <f>'DIS Experience'!I5</f>
        <v>1793</v>
      </c>
      <c r="Z7" s="113">
        <f>'DIS Experience'!J5</f>
        <v>2103</v>
      </c>
      <c r="AA7" s="113">
        <f>'DIS Experience'!K5</f>
        <v>2029</v>
      </c>
      <c r="AB7" s="113">
        <f>'DIS Experience'!L5</f>
        <v>1994</v>
      </c>
      <c r="AC7" s="113">
        <f>'DIS Experience'!M5</f>
        <v>1913</v>
      </c>
      <c r="AD7" s="113">
        <f>'DIS Experience'!N5</f>
        <v>2181</v>
      </c>
      <c r="AE7" s="113">
        <f>'DIS Experience'!O5</f>
        <v>2101</v>
      </c>
      <c r="AF7" s="113">
        <f>'DIS Experience'!P5</f>
        <v>2143</v>
      </c>
      <c r="AG7" s="113">
        <f>'DIS Experience'!Q5</f>
        <v>2066</v>
      </c>
      <c r="AH7" s="113">
        <f>'DIS Experience'!R5</f>
        <v>2348</v>
      </c>
      <c r="AI7" s="113">
        <f>'DIS Experience'!S5</f>
        <v>2199</v>
      </c>
    </row>
    <row r="8" spans="1:35" x14ac:dyDescent="0.25">
      <c r="A8" s="107" t="s">
        <v>206</v>
      </c>
      <c r="B8" s="112">
        <f>B10-B9</f>
        <v>5185</v>
      </c>
      <c r="C8" s="112">
        <f t="shared" ref="C8:AI8" si="0">C10-C9</f>
        <v>4923</v>
      </c>
      <c r="D8" s="112">
        <f t="shared" si="0"/>
        <v>5218</v>
      </c>
      <c r="E8" s="112">
        <f t="shared" si="0"/>
        <v>5126</v>
      </c>
      <c r="F8" s="112">
        <f t="shared" si="0"/>
        <v>5524</v>
      </c>
      <c r="G8" s="112">
        <f t="shared" si="0"/>
        <v>5177</v>
      </c>
      <c r="H8" s="112">
        <f t="shared" si="0"/>
        <v>5582</v>
      </c>
      <c r="I8" s="112">
        <f t="shared" si="0"/>
        <v>5421</v>
      </c>
      <c r="J8" s="112">
        <f t="shared" si="0"/>
        <v>5911</v>
      </c>
      <c r="K8" s="112">
        <f t="shared" si="0"/>
        <v>4643</v>
      </c>
      <c r="L8" s="112">
        <f t="shared" si="0"/>
        <v>344</v>
      </c>
      <c r="M8" s="112">
        <f t="shared" si="0"/>
        <v>1419</v>
      </c>
      <c r="N8" s="112">
        <f t="shared" si="0"/>
        <v>1890</v>
      </c>
      <c r="O8" s="112">
        <f t="shared" si="0"/>
        <v>2028</v>
      </c>
      <c r="P8" s="112">
        <f t="shared" si="0"/>
        <v>3204</v>
      </c>
      <c r="Q8" s="112">
        <f t="shared" si="0"/>
        <v>4189</v>
      </c>
      <c r="R8" s="112">
        <f t="shared" si="0"/>
        <v>5671</v>
      </c>
      <c r="S8" s="112">
        <f t="shared" si="0"/>
        <v>5488</v>
      </c>
      <c r="T8" s="112">
        <f t="shared" si="0"/>
        <v>6219</v>
      </c>
      <c r="U8" s="112">
        <f t="shared" si="0"/>
        <v>6098</v>
      </c>
      <c r="V8" s="112">
        <f t="shared" si="0"/>
        <v>7190</v>
      </c>
      <c r="W8" s="112">
        <f t="shared" si="0"/>
        <v>6765</v>
      </c>
      <c r="X8" s="112">
        <f t="shared" si="0"/>
        <v>7188</v>
      </c>
      <c r="Y8" s="112">
        <f t="shared" si="0"/>
        <v>7048</v>
      </c>
      <c r="Z8" s="112">
        <f t="shared" si="0"/>
        <v>7791</v>
      </c>
      <c r="AA8" s="112">
        <f t="shared" si="0"/>
        <v>7504</v>
      </c>
      <c r="AB8" s="112">
        <f t="shared" si="0"/>
        <v>7432</v>
      </c>
      <c r="AC8" s="112">
        <f t="shared" si="0"/>
        <v>7117</v>
      </c>
      <c r="AD8" s="112">
        <f t="shared" si="0"/>
        <v>8097</v>
      </c>
      <c r="AE8" s="112">
        <f t="shared" si="0"/>
        <v>7952</v>
      </c>
      <c r="AF8" s="112">
        <f t="shared" si="0"/>
        <v>8107</v>
      </c>
      <c r="AG8" s="112">
        <f t="shared" si="0"/>
        <v>7613</v>
      </c>
      <c r="AH8" s="112">
        <f t="shared" si="0"/>
        <v>8669</v>
      </c>
      <c r="AI8" s="112">
        <f t="shared" si="0"/>
        <v>8525</v>
      </c>
    </row>
    <row r="9" spans="1:35" x14ac:dyDescent="0.25">
      <c r="A9" s="108" t="s">
        <v>207</v>
      </c>
      <c r="B9" s="112">
        <f>B39-C9</f>
        <v>1342</v>
      </c>
      <c r="C9" s="111">
        <v>980</v>
      </c>
      <c r="D9" s="111">
        <v>918</v>
      </c>
      <c r="E9" s="112">
        <f>D39-C39</f>
        <v>1009</v>
      </c>
      <c r="F9" s="112">
        <f>E39-G9</f>
        <v>1300</v>
      </c>
      <c r="G9" s="111">
        <v>992</v>
      </c>
      <c r="H9" s="111">
        <v>993</v>
      </c>
      <c r="I9" s="112">
        <f>G39-F39</f>
        <v>1234</v>
      </c>
      <c r="J9" s="111">
        <v>1669</v>
      </c>
      <c r="K9" s="111">
        <v>1017</v>
      </c>
      <c r="L9" s="111">
        <v>721</v>
      </c>
      <c r="M9" s="112">
        <f>I39-H39</f>
        <v>1314</v>
      </c>
      <c r="N9" s="111">
        <v>1698</v>
      </c>
      <c r="O9" s="111">
        <v>1145</v>
      </c>
      <c r="P9" s="111">
        <v>1137</v>
      </c>
      <c r="Q9" s="112">
        <f>K39-J39</f>
        <v>1261</v>
      </c>
      <c r="R9" s="113">
        <f>'DIS Experience'!B6</f>
        <v>1411</v>
      </c>
      <c r="S9" s="113">
        <f>'DIS Experience'!C6</f>
        <v>1017</v>
      </c>
      <c r="T9" s="113">
        <f>'DIS Experience'!D6</f>
        <v>1026</v>
      </c>
      <c r="U9" s="113">
        <f>'DIS Experience'!E6</f>
        <v>1155</v>
      </c>
      <c r="V9" s="113">
        <f>'DIS Experience'!F6</f>
        <v>1355</v>
      </c>
      <c r="W9" s="113">
        <f>'DIS Experience'!G6</f>
        <v>881</v>
      </c>
      <c r="X9" s="113">
        <f>'DIS Experience'!H6</f>
        <v>1010</v>
      </c>
      <c r="Y9" s="113">
        <f>'DIS Experience'!I6</f>
        <v>1112</v>
      </c>
      <c r="Z9" s="113">
        <f>'DIS Experience'!J6</f>
        <v>1341</v>
      </c>
      <c r="AA9" s="113">
        <f>'DIS Experience'!K6</f>
        <v>889</v>
      </c>
      <c r="AB9" s="113">
        <f>'DIS Experience'!L6</f>
        <v>954</v>
      </c>
      <c r="AC9" s="113">
        <f>'DIS Experience'!M6</f>
        <v>1123</v>
      </c>
      <c r="AD9" s="113">
        <f>'DIS Experience'!N6</f>
        <v>1318</v>
      </c>
      <c r="AE9" s="113">
        <f>'DIS Experience'!O6</f>
        <v>937</v>
      </c>
      <c r="AF9" s="113">
        <f>'DIS Experience'!P6</f>
        <v>979</v>
      </c>
      <c r="AG9" s="113">
        <f>'DIS Experience'!Q6</f>
        <v>1153</v>
      </c>
      <c r="AH9" s="113">
        <f>'DIS Experience'!R6</f>
        <v>1337</v>
      </c>
      <c r="AI9" s="113">
        <f>'DIS Experience'!S6</f>
        <v>962</v>
      </c>
    </row>
    <row r="10" spans="1:35" x14ac:dyDescent="0.25">
      <c r="A10" s="108" t="s">
        <v>208</v>
      </c>
      <c r="B10" s="112">
        <f>B40-C10</f>
        <v>6527</v>
      </c>
      <c r="C10" s="111">
        <v>5903</v>
      </c>
      <c r="D10" s="111">
        <v>6136</v>
      </c>
      <c r="E10" s="112">
        <f>D40-C40</f>
        <v>6135</v>
      </c>
      <c r="F10" s="112">
        <f>E40-G10</f>
        <v>6824</v>
      </c>
      <c r="G10" s="111">
        <v>6169</v>
      </c>
      <c r="H10" s="111">
        <v>6575</v>
      </c>
      <c r="I10" s="112">
        <f>G40-F40</f>
        <v>6655</v>
      </c>
      <c r="J10" s="111">
        <v>7580</v>
      </c>
      <c r="K10" s="111">
        <v>5660</v>
      </c>
      <c r="L10" s="111">
        <v>1065</v>
      </c>
      <c r="M10" s="112">
        <f>I40-H40</f>
        <v>2733</v>
      </c>
      <c r="N10" s="111">
        <v>3588</v>
      </c>
      <c r="O10" s="111">
        <v>3173</v>
      </c>
      <c r="P10" s="111">
        <v>4341</v>
      </c>
      <c r="Q10" s="112">
        <f>K40-J40</f>
        <v>5450</v>
      </c>
      <c r="R10" s="113">
        <f>'DIS Experience'!B8</f>
        <v>7082</v>
      </c>
      <c r="S10" s="113">
        <f>'DIS Experience'!C8</f>
        <v>6505</v>
      </c>
      <c r="T10" s="113">
        <f>'DIS Experience'!D8</f>
        <v>7245</v>
      </c>
      <c r="U10" s="113">
        <f>'DIS Experience'!E8</f>
        <v>7253</v>
      </c>
      <c r="V10" s="113">
        <f>'DIS Experience'!F8</f>
        <v>8545</v>
      </c>
      <c r="W10" s="113">
        <f>'DIS Experience'!G8</f>
        <v>7646</v>
      </c>
      <c r="X10" s="113">
        <f>'DIS Experience'!H8</f>
        <v>8198</v>
      </c>
      <c r="Y10" s="113">
        <f>'DIS Experience'!I8</f>
        <v>8160</v>
      </c>
      <c r="Z10" s="113">
        <f>'DIS Experience'!J8</f>
        <v>9132</v>
      </c>
      <c r="AA10" s="113">
        <f>'DIS Experience'!K8</f>
        <v>8393</v>
      </c>
      <c r="AB10" s="113">
        <f>'DIS Experience'!L8</f>
        <v>8386</v>
      </c>
      <c r="AC10" s="113">
        <f>'DIS Experience'!M8</f>
        <v>8240</v>
      </c>
      <c r="AD10" s="113">
        <f>'DIS Experience'!N8</f>
        <v>9415</v>
      </c>
      <c r="AE10" s="113">
        <f>'DIS Experience'!O8</f>
        <v>8889</v>
      </c>
      <c r="AF10" s="113">
        <f>'DIS Experience'!P8</f>
        <v>9086</v>
      </c>
      <c r="AG10" s="113">
        <f>'DIS Experience'!Q8</f>
        <v>8766</v>
      </c>
      <c r="AH10" s="113">
        <f>'DIS Experience'!R8</f>
        <v>10006</v>
      </c>
      <c r="AI10" s="113">
        <f>'DIS Experience'!S8</f>
        <v>9487</v>
      </c>
    </row>
    <row r="12" spans="1:35" x14ac:dyDescent="0.25">
      <c r="A12" s="107" t="s">
        <v>209</v>
      </c>
      <c r="B12" s="114">
        <f>B5/B6</f>
        <v>0.79748908296943233</v>
      </c>
      <c r="C12" s="114">
        <f t="shared" ref="C12:AI12" si="1">C5/C6</f>
        <v>0.75798816568047334</v>
      </c>
      <c r="D12" s="114">
        <f t="shared" si="1"/>
        <v>0.74209378407851689</v>
      </c>
      <c r="E12" s="114">
        <f t="shared" si="1"/>
        <v>0.83634373289545705</v>
      </c>
      <c r="F12" s="114">
        <f t="shared" si="1"/>
        <v>0.78272115882048632</v>
      </c>
      <c r="G12" s="114">
        <f t="shared" si="1"/>
        <v>0.72171945701357465</v>
      </c>
      <c r="H12" s="114">
        <f t="shared" si="1"/>
        <v>0.74846625766871167</v>
      </c>
      <c r="I12" s="114">
        <f t="shared" si="1"/>
        <v>0.86617100371747213</v>
      </c>
      <c r="J12" s="114">
        <f t="shared" si="1"/>
        <v>0.75568456700532172</v>
      </c>
      <c r="K12" s="114">
        <f t="shared" si="1"/>
        <v>0.55920205920205923</v>
      </c>
      <c r="L12" s="114">
        <f t="shared" si="1"/>
        <v>2.5588235294117645</v>
      </c>
      <c r="M12" s="114">
        <f t="shared" si="1"/>
        <v>0.81201044386422971</v>
      </c>
      <c r="N12" s="114">
        <f t="shared" si="1"/>
        <v>1.0546448087431695</v>
      </c>
      <c r="O12" s="114">
        <f t="shared" si="1"/>
        <v>1.0368509212730319</v>
      </c>
      <c r="P12" s="114">
        <f t="shared" si="1"/>
        <v>0.95052083333333337</v>
      </c>
      <c r="Q12" s="114">
        <f t="shared" si="1"/>
        <v>0.93483870967741933</v>
      </c>
      <c r="R12" s="114">
        <f t="shared" si="1"/>
        <v>0.8768587360594795</v>
      </c>
      <c r="S12" s="114">
        <f t="shared" si="1"/>
        <v>0.79067410035478969</v>
      </c>
      <c r="T12" s="114">
        <f t="shared" si="1"/>
        <v>0.7802768166089965</v>
      </c>
      <c r="U12" s="114">
        <f t="shared" si="1"/>
        <v>0.9533487297921478</v>
      </c>
      <c r="V12" s="114">
        <f t="shared" si="1"/>
        <v>0.8004543733434305</v>
      </c>
      <c r="W12" s="114">
        <f t="shared" si="1"/>
        <v>0.80271828665568368</v>
      </c>
      <c r="X12" s="114">
        <f t="shared" si="1"/>
        <v>0.80886122299523988</v>
      </c>
      <c r="Y12" s="114">
        <f t="shared" si="1"/>
        <v>0.9218452154022112</v>
      </c>
      <c r="Z12" s="114">
        <f t="shared" si="1"/>
        <v>0.79510395707578807</v>
      </c>
      <c r="AA12" s="114">
        <f t="shared" si="1"/>
        <v>0.70527441197434071</v>
      </c>
      <c r="AB12" s="114">
        <f t="shared" si="1"/>
        <v>0.71043165467625902</v>
      </c>
      <c r="AC12" s="114">
        <f t="shared" si="1"/>
        <v>0.87936995774106796</v>
      </c>
      <c r="AD12" s="114">
        <f t="shared" si="1"/>
        <v>0.76903142209264663</v>
      </c>
      <c r="AE12" s="114">
        <f t="shared" si="1"/>
        <v>0.64268585131894485</v>
      </c>
      <c r="AF12" s="114">
        <f t="shared" si="1"/>
        <v>0.78404539385847793</v>
      </c>
      <c r="AG12" s="114">
        <f t="shared" si="1"/>
        <v>1.0044362292051756</v>
      </c>
      <c r="AH12" s="114">
        <f t="shared" si="1"/>
        <v>0.8764010905786126</v>
      </c>
      <c r="AI12" s="114">
        <f t="shared" si="1"/>
        <v>0.75388098318240626</v>
      </c>
    </row>
    <row r="13" spans="1:35" x14ac:dyDescent="0.25">
      <c r="A13" s="107" t="s">
        <v>210</v>
      </c>
      <c r="B13" s="114">
        <f>B5/(B7+B6)</f>
        <v>0.43913435527502254</v>
      </c>
      <c r="C13" s="114">
        <f t="shared" ref="C13:AI13" si="2">C5/(C7+C6)</f>
        <v>0.42110453648915186</v>
      </c>
      <c r="D13" s="114">
        <f t="shared" si="2"/>
        <v>0.41544566544566547</v>
      </c>
      <c r="E13" s="114">
        <f t="shared" si="2"/>
        <v>0.47571606475716066</v>
      </c>
      <c r="F13" s="114">
        <f t="shared" si="2"/>
        <v>0.43253287592910233</v>
      </c>
      <c r="G13" s="114">
        <f t="shared" si="2"/>
        <v>0.40138408304498269</v>
      </c>
      <c r="H13" s="114">
        <f t="shared" si="2"/>
        <v>0.42178046672428693</v>
      </c>
      <c r="I13" s="114">
        <f t="shared" si="2"/>
        <v>0.48614008941877795</v>
      </c>
      <c r="J13" s="114">
        <f t="shared" si="2"/>
        <v>0.41564662054284196</v>
      </c>
      <c r="K13" s="114">
        <f t="shared" si="2"/>
        <v>0.30706713780918726</v>
      </c>
      <c r="L13" s="114">
        <f t="shared" si="2"/>
        <v>0.89690721649484539</v>
      </c>
      <c r="M13" s="114">
        <f t="shared" si="2"/>
        <v>0.39168765743073047</v>
      </c>
      <c r="N13" s="114">
        <f t="shared" si="2"/>
        <v>0.52540834845735029</v>
      </c>
      <c r="O13" s="114">
        <f t="shared" si="2"/>
        <v>0.53593073593073592</v>
      </c>
      <c r="P13" s="114">
        <f t="shared" si="2"/>
        <v>0.5300096805421104</v>
      </c>
      <c r="Q13" s="114">
        <f t="shared" si="2"/>
        <v>0.51310198300283283</v>
      </c>
      <c r="R13" s="114">
        <f t="shared" si="2"/>
        <v>0.49947061937533088</v>
      </c>
      <c r="S13" s="114">
        <f t="shared" si="2"/>
        <v>0.44724770642201833</v>
      </c>
      <c r="T13" s="114">
        <f t="shared" si="2"/>
        <v>0.45100000000000001</v>
      </c>
      <c r="U13" s="114">
        <f t="shared" si="2"/>
        <v>0.52720306513409965</v>
      </c>
      <c r="V13" s="114">
        <f t="shared" si="2"/>
        <v>0.45747673663709154</v>
      </c>
      <c r="W13" s="114">
        <f t="shared" si="2"/>
        <v>0.44528215672835275</v>
      </c>
      <c r="X13" s="114">
        <f t="shared" si="2"/>
        <v>0.46790934124126243</v>
      </c>
      <c r="Y13" s="114">
        <f t="shared" si="2"/>
        <v>0.54755434782608692</v>
      </c>
      <c r="Z13" s="114">
        <f t="shared" si="2"/>
        <v>0.46627335299901673</v>
      </c>
      <c r="AA13" s="114">
        <f t="shared" si="2"/>
        <v>0.40930713547052738</v>
      </c>
      <c r="AB13" s="114">
        <f t="shared" si="2"/>
        <v>0.41369920402178467</v>
      </c>
      <c r="AC13" s="114">
        <f t="shared" si="2"/>
        <v>0.50686448184233834</v>
      </c>
      <c r="AD13" s="114">
        <f t="shared" si="2"/>
        <v>0.45064540622627181</v>
      </c>
      <c r="AE13" s="114">
        <f t="shared" si="2"/>
        <v>0.3737051792828685</v>
      </c>
      <c r="AF13" s="114">
        <f t="shared" si="2"/>
        <v>0.45709281961471104</v>
      </c>
      <c r="AG13" s="114">
        <f t="shared" si="2"/>
        <v>0.56948228882833785</v>
      </c>
      <c r="AH13" s="114">
        <f t="shared" si="2"/>
        <v>0.51212604000708095</v>
      </c>
      <c r="AI13" s="114">
        <f t="shared" si="2"/>
        <v>0.44055944055944057</v>
      </c>
    </row>
    <row r="14" spans="1:35" x14ac:dyDescent="0.25">
      <c r="A14" s="107" t="s">
        <v>211</v>
      </c>
      <c r="B14" s="114">
        <f>B5/B8</f>
        <v>0.28177434908389587</v>
      </c>
      <c r="C14" s="114">
        <f t="shared" ref="C14:AI14" si="3">C5/C8</f>
        <v>0.26020719073735527</v>
      </c>
      <c r="D14" s="114">
        <f t="shared" si="3"/>
        <v>0.26082790341126866</v>
      </c>
      <c r="E14" s="114">
        <f t="shared" si="3"/>
        <v>0.2980881779165041</v>
      </c>
      <c r="F14" s="114">
        <f t="shared" si="3"/>
        <v>0.27389572773352644</v>
      </c>
      <c r="G14" s="114">
        <f t="shared" si="3"/>
        <v>0.24647479235078232</v>
      </c>
      <c r="H14" s="114">
        <f t="shared" si="3"/>
        <v>0.26227158724471517</v>
      </c>
      <c r="I14" s="114">
        <f t="shared" si="3"/>
        <v>0.30086699870872535</v>
      </c>
      <c r="J14" s="114">
        <f t="shared" si="3"/>
        <v>0.26425308746405007</v>
      </c>
      <c r="K14" s="114">
        <f t="shared" si="3"/>
        <v>0.18716347189317251</v>
      </c>
      <c r="L14" s="114">
        <f t="shared" si="3"/>
        <v>0.25290697674418605</v>
      </c>
      <c r="M14" s="114">
        <f t="shared" si="3"/>
        <v>0.21916842847075405</v>
      </c>
      <c r="N14" s="114">
        <f t="shared" si="3"/>
        <v>0.30634920634920637</v>
      </c>
      <c r="O14" s="114">
        <f t="shared" si="3"/>
        <v>0.30522682445759369</v>
      </c>
      <c r="P14" s="114">
        <f t="shared" si="3"/>
        <v>0.34176029962546817</v>
      </c>
      <c r="Q14" s="114">
        <f t="shared" si="3"/>
        <v>0.34590594413941272</v>
      </c>
      <c r="R14" s="114">
        <f t="shared" si="3"/>
        <v>0.33274554752248281</v>
      </c>
      <c r="S14" s="114">
        <f t="shared" si="3"/>
        <v>0.28425655976676384</v>
      </c>
      <c r="T14" s="114">
        <f t="shared" si="3"/>
        <v>0.2900787908023798</v>
      </c>
      <c r="U14" s="114">
        <f t="shared" si="3"/>
        <v>0.33847163004263692</v>
      </c>
      <c r="V14" s="114">
        <f t="shared" si="3"/>
        <v>0.29401947148817803</v>
      </c>
      <c r="W14" s="114">
        <f t="shared" si="3"/>
        <v>0.28810051736881004</v>
      </c>
      <c r="X14" s="114">
        <f t="shared" si="3"/>
        <v>0.30731775180856985</v>
      </c>
      <c r="Y14" s="114">
        <f t="shared" si="3"/>
        <v>0.34307604994324631</v>
      </c>
      <c r="Z14" s="114">
        <f t="shared" si="3"/>
        <v>0.3043255037864202</v>
      </c>
      <c r="AA14" s="114">
        <f t="shared" si="3"/>
        <v>0.26372601279317698</v>
      </c>
      <c r="AB14" s="114">
        <f t="shared" si="3"/>
        <v>0.2657427341227126</v>
      </c>
      <c r="AC14" s="114">
        <f t="shared" si="3"/>
        <v>0.32162427989321341</v>
      </c>
      <c r="AD14" s="114">
        <f t="shared" si="3"/>
        <v>0.29319501049771518</v>
      </c>
      <c r="AE14" s="114">
        <f t="shared" si="3"/>
        <v>0.23591549295774647</v>
      </c>
      <c r="AF14" s="114">
        <f t="shared" si="3"/>
        <v>0.28974959911187864</v>
      </c>
      <c r="AG14" s="114">
        <f t="shared" si="3"/>
        <v>0.35688953106528309</v>
      </c>
      <c r="AH14" s="114">
        <f t="shared" si="3"/>
        <v>0.33371784519552428</v>
      </c>
      <c r="AI14" s="114">
        <f t="shared" si="3"/>
        <v>0.27343108504398828</v>
      </c>
    </row>
    <row r="16" spans="1:35" x14ac:dyDescent="0.25">
      <c r="A16" s="107" t="s">
        <v>212</v>
      </c>
      <c r="F16" s="115">
        <f>F5/B5-1</f>
        <v>3.5592060232717326E-2</v>
      </c>
      <c r="G16" s="115">
        <f t="shared" ref="G16:AI16" si="4">G5/C5-1</f>
        <v>-3.9032006245121043E-3</v>
      </c>
      <c r="H16" s="115">
        <f t="shared" si="4"/>
        <v>7.5679647318148469E-2</v>
      </c>
      <c r="I16" s="115">
        <f t="shared" si="4"/>
        <v>6.7408376963350891E-2</v>
      </c>
      <c r="J16" s="115">
        <f t="shared" si="4"/>
        <v>3.2385988103106333E-2</v>
      </c>
      <c r="K16" s="115">
        <f t="shared" si="4"/>
        <v>-0.31896551724137934</v>
      </c>
      <c r="L16" s="115">
        <f t="shared" si="4"/>
        <v>-0.94057377049180324</v>
      </c>
      <c r="M16" s="115">
        <f t="shared" si="4"/>
        <v>-0.80931943592887801</v>
      </c>
      <c r="N16" s="115">
        <f t="shared" si="4"/>
        <v>-0.6293213828425096</v>
      </c>
      <c r="O16" s="115">
        <f t="shared" si="4"/>
        <v>-0.28768699654775609</v>
      </c>
      <c r="P16" s="115">
        <f t="shared" si="4"/>
        <v>11.586206896551724</v>
      </c>
      <c r="Q16" s="115">
        <f t="shared" si="4"/>
        <v>3.659163987138264</v>
      </c>
      <c r="R16" s="115">
        <f t="shared" si="4"/>
        <v>2.2590673575129534</v>
      </c>
      <c r="S16" s="115">
        <f t="shared" si="4"/>
        <v>1.520193861066236</v>
      </c>
      <c r="T16" s="115">
        <f t="shared" si="4"/>
        <v>0.64748858447488589</v>
      </c>
      <c r="U16" s="115">
        <f t="shared" si="4"/>
        <v>0.42443064182194612</v>
      </c>
      <c r="V16" s="115">
        <f t="shared" si="4"/>
        <v>0.12029676735559081</v>
      </c>
      <c r="W16" s="115">
        <f t="shared" si="4"/>
        <v>0.24935897435897436</v>
      </c>
      <c r="X16" s="115">
        <f t="shared" si="4"/>
        <v>0.22450110864745021</v>
      </c>
      <c r="Y16" s="115">
        <f t="shared" si="4"/>
        <v>0.17151162790697683</v>
      </c>
      <c r="Z16" s="115">
        <f t="shared" si="4"/>
        <v>0.12157048249763491</v>
      </c>
      <c r="AA16" s="115">
        <f t="shared" si="4"/>
        <v>1.5392508978963493E-2</v>
      </c>
      <c r="AB16" s="115">
        <f t="shared" si="4"/>
        <v>-0.10593028519692171</v>
      </c>
      <c r="AC16" s="115">
        <f t="shared" si="4"/>
        <v>-5.3349875930521096E-2</v>
      </c>
      <c r="AD16" s="115">
        <f t="shared" si="4"/>
        <v>1.265288907633888E-3</v>
      </c>
      <c r="AE16" s="115">
        <f t="shared" si="4"/>
        <v>-5.2046488125315871E-2</v>
      </c>
      <c r="AF16" s="115">
        <f t="shared" si="4"/>
        <v>0.18936708860759488</v>
      </c>
      <c r="AG16" s="115">
        <f t="shared" si="4"/>
        <v>0.18698121450415028</v>
      </c>
      <c r="AH16" s="115">
        <f t="shared" si="4"/>
        <v>0.21861836562763259</v>
      </c>
      <c r="AI16" s="115">
        <f t="shared" si="4"/>
        <v>0.24253731343283591</v>
      </c>
    </row>
    <row r="17" spans="1:35" x14ac:dyDescent="0.25">
      <c r="A17" s="107" t="s">
        <v>213</v>
      </c>
      <c r="F17" s="115">
        <f>F6/B6-1</f>
        <v>5.5131004366812286E-2</v>
      </c>
      <c r="G17" s="115">
        <f t="shared" ref="G17:AI17" si="5">G6/C6-1</f>
        <v>4.6153846153846212E-2</v>
      </c>
      <c r="H17" s="115">
        <f t="shared" si="5"/>
        <v>6.6521264994547469E-2</v>
      </c>
      <c r="I17" s="115">
        <f t="shared" si="5"/>
        <v>3.0651340996168619E-2</v>
      </c>
      <c r="J17" s="115">
        <f t="shared" si="5"/>
        <v>6.9322296947749606E-2</v>
      </c>
      <c r="K17" s="115">
        <f t="shared" si="5"/>
        <v>-0.12104072398190047</v>
      </c>
      <c r="L17" s="115">
        <f t="shared" si="5"/>
        <v>-0.98261758691206547</v>
      </c>
      <c r="M17" s="115">
        <f t="shared" si="5"/>
        <v>-0.79660116834838024</v>
      </c>
      <c r="N17" s="115">
        <f t="shared" si="5"/>
        <v>-0.73439767779390419</v>
      </c>
      <c r="O17" s="115">
        <f t="shared" si="5"/>
        <v>-0.61583011583011582</v>
      </c>
      <c r="P17" s="115">
        <f t="shared" si="5"/>
        <v>32.882352941176471</v>
      </c>
      <c r="Q17" s="115">
        <f t="shared" si="5"/>
        <v>3.0469973890339421</v>
      </c>
      <c r="R17" s="115">
        <f t="shared" si="5"/>
        <v>2.9198542805100183</v>
      </c>
      <c r="S17" s="115">
        <f t="shared" si="5"/>
        <v>2.3048576214405361</v>
      </c>
      <c r="T17" s="115">
        <f t="shared" si="5"/>
        <v>1.0069444444444446</v>
      </c>
      <c r="U17" s="115">
        <f t="shared" si="5"/>
        <v>0.39677419354838706</v>
      </c>
      <c r="V17" s="115">
        <f t="shared" si="5"/>
        <v>0.22723048327137541</v>
      </c>
      <c r="W17" s="115">
        <f t="shared" si="5"/>
        <v>0.23061327927014696</v>
      </c>
      <c r="X17" s="115">
        <f t="shared" si="5"/>
        <v>0.18122837370242206</v>
      </c>
      <c r="Y17" s="115">
        <f t="shared" si="5"/>
        <v>0.21154734411085441</v>
      </c>
      <c r="Z17" s="115">
        <f t="shared" si="5"/>
        <v>0.12911775842483908</v>
      </c>
      <c r="AA17" s="115">
        <f t="shared" si="5"/>
        <v>0.15568369028006579</v>
      </c>
      <c r="AB17" s="115">
        <f t="shared" si="5"/>
        <v>1.7942145734163306E-2</v>
      </c>
      <c r="AC17" s="115">
        <f t="shared" si="5"/>
        <v>-7.6248570339305655E-3</v>
      </c>
      <c r="AD17" s="115">
        <f t="shared" si="5"/>
        <v>3.5211267605633756E-2</v>
      </c>
      <c r="AE17" s="115">
        <f t="shared" si="5"/>
        <v>4.0270848182466068E-2</v>
      </c>
      <c r="AF17" s="115">
        <f t="shared" si="5"/>
        <v>7.7697841726618755E-2</v>
      </c>
      <c r="AG17" s="115">
        <f t="shared" si="5"/>
        <v>3.9185555128697702E-2</v>
      </c>
      <c r="AH17" s="115">
        <f t="shared" si="5"/>
        <v>6.9322967282150927E-2</v>
      </c>
      <c r="AI17" s="115">
        <f t="shared" si="5"/>
        <v>5.9266872216512612E-2</v>
      </c>
    </row>
    <row r="18" spans="1:35" x14ac:dyDescent="0.25">
      <c r="A18" s="107" t="s">
        <v>214</v>
      </c>
      <c r="F18" s="115">
        <f>F7/B7-1</f>
        <v>4.6822742474916357E-2</v>
      </c>
      <c r="G18" s="115">
        <f t="shared" ref="G18:AI18" si="6">G7/C7-1</f>
        <v>4.3639053254437954E-2</v>
      </c>
      <c r="H18" s="115">
        <f t="shared" si="6"/>
        <v>5.0624133148404971E-2</v>
      </c>
      <c r="I18" s="115">
        <f t="shared" si="6"/>
        <v>6.2815884476534301E-2</v>
      </c>
      <c r="J18" s="115">
        <f t="shared" si="6"/>
        <v>8.0511182108626178E-2</v>
      </c>
      <c r="K18" s="115">
        <f t="shared" si="6"/>
        <v>-9.5676824946846262E-2</v>
      </c>
      <c r="L18" s="115">
        <f t="shared" si="6"/>
        <v>-0.95841584158415838</v>
      </c>
      <c r="M18" s="115">
        <f t="shared" si="6"/>
        <v>-0.72078804347826086</v>
      </c>
      <c r="N18" s="115">
        <f t="shared" si="6"/>
        <v>-0.67297457125960969</v>
      </c>
      <c r="O18" s="115">
        <f t="shared" si="6"/>
        <v>-0.56269592476489028</v>
      </c>
      <c r="P18" s="115">
        <f t="shared" si="6"/>
        <v>13.507936507936508</v>
      </c>
      <c r="Q18" s="115">
        <f t="shared" si="6"/>
        <v>2.0997566909975669</v>
      </c>
      <c r="R18" s="115">
        <f t="shared" si="6"/>
        <v>1.9403254972875228</v>
      </c>
      <c r="S18" s="115">
        <f t="shared" si="6"/>
        <v>1.71505376344086</v>
      </c>
      <c r="T18" s="115">
        <f t="shared" si="6"/>
        <v>0.84682713347921235</v>
      </c>
      <c r="U18" s="115">
        <f t="shared" si="6"/>
        <v>0.37362637362637363</v>
      </c>
      <c r="V18" s="115">
        <f t="shared" si="6"/>
        <v>0.21771217712177116</v>
      </c>
      <c r="W18" s="115">
        <f t="shared" si="6"/>
        <v>0.28646864686468643</v>
      </c>
      <c r="X18" s="115">
        <f t="shared" si="6"/>
        <v>0.17890995260663511</v>
      </c>
      <c r="Y18" s="115">
        <f t="shared" si="6"/>
        <v>2.4571428571428466E-2</v>
      </c>
      <c r="Z18" s="115">
        <f t="shared" si="6"/>
        <v>6.2121212121212022E-2</v>
      </c>
      <c r="AA18" s="115">
        <f t="shared" si="6"/>
        <v>4.1046690610569536E-2</v>
      </c>
      <c r="AB18" s="115">
        <f t="shared" si="6"/>
        <v>2.0100502512563345E-3</v>
      </c>
      <c r="AC18" s="115">
        <f t="shared" si="6"/>
        <v>6.6926938092582322E-2</v>
      </c>
      <c r="AD18" s="115">
        <f t="shared" si="6"/>
        <v>3.7089871611982961E-2</v>
      </c>
      <c r="AE18" s="115">
        <f t="shared" si="6"/>
        <v>3.5485460818136971E-2</v>
      </c>
      <c r="AF18" s="115">
        <f t="shared" si="6"/>
        <v>7.4724172517552701E-2</v>
      </c>
      <c r="AG18" s="115">
        <f t="shared" si="6"/>
        <v>7.9979090433873523E-2</v>
      </c>
      <c r="AH18" s="115">
        <f t="shared" si="6"/>
        <v>7.6570380559376483E-2</v>
      </c>
      <c r="AI18" s="115">
        <f t="shared" si="6"/>
        <v>4.6644455021418452E-2</v>
      </c>
    </row>
    <row r="19" spans="1:35" x14ac:dyDescent="0.25">
      <c r="A19" s="107" t="s">
        <v>215</v>
      </c>
      <c r="F19" s="115">
        <f>F8/B8-1</f>
        <v>6.5380906460944965E-2</v>
      </c>
      <c r="G19" s="115">
        <f t="shared" ref="G19:AI19" si="7">G8/C8-1</f>
        <v>5.159455616494002E-2</v>
      </c>
      <c r="H19" s="115">
        <f t="shared" si="7"/>
        <v>6.9758528171713241E-2</v>
      </c>
      <c r="I19" s="115">
        <f t="shared" si="7"/>
        <v>5.7549746390948009E-2</v>
      </c>
      <c r="J19" s="115">
        <f t="shared" si="7"/>
        <v>7.0057929036929867E-2</v>
      </c>
      <c r="K19" s="115">
        <f t="shared" si="7"/>
        <v>-0.10314854162642462</v>
      </c>
      <c r="L19" s="115">
        <f t="shared" si="7"/>
        <v>-0.93837334288785379</v>
      </c>
      <c r="M19" s="115">
        <f t="shared" si="7"/>
        <v>-0.73824017708909795</v>
      </c>
      <c r="N19" s="115">
        <f t="shared" si="7"/>
        <v>-0.68025714769074608</v>
      </c>
      <c r="O19" s="115">
        <f t="shared" si="7"/>
        <v>-0.5632134395864743</v>
      </c>
      <c r="P19" s="115">
        <f t="shared" si="7"/>
        <v>8.3139534883720927</v>
      </c>
      <c r="Q19" s="115">
        <f t="shared" si="7"/>
        <v>1.9520789288231151</v>
      </c>
      <c r="R19" s="115">
        <f t="shared" si="7"/>
        <v>2.0005291005291004</v>
      </c>
      <c r="S19" s="115">
        <f t="shared" si="7"/>
        <v>1.7061143984220908</v>
      </c>
      <c r="T19" s="115">
        <f t="shared" si="7"/>
        <v>0.9410112359550562</v>
      </c>
      <c r="U19" s="115">
        <f t="shared" si="7"/>
        <v>0.45571735497732146</v>
      </c>
      <c r="V19" s="115">
        <f t="shared" si="7"/>
        <v>0.26785399400458476</v>
      </c>
      <c r="W19" s="115">
        <f t="shared" si="7"/>
        <v>0.23268950437317781</v>
      </c>
      <c r="X19" s="115">
        <f t="shared" si="7"/>
        <v>0.15581283164495896</v>
      </c>
      <c r="Y19" s="115">
        <f t="shared" si="7"/>
        <v>0.15578878320760903</v>
      </c>
      <c r="Z19" s="115">
        <f t="shared" si="7"/>
        <v>8.3588317107093246E-2</v>
      </c>
      <c r="AA19" s="115">
        <f t="shared" si="7"/>
        <v>0.10923872875092377</v>
      </c>
      <c r="AB19" s="115">
        <f t="shared" si="7"/>
        <v>3.3945464663327707E-2</v>
      </c>
      <c r="AC19" s="115">
        <f t="shared" si="7"/>
        <v>9.7900113507378705E-3</v>
      </c>
      <c r="AD19" s="115">
        <f t="shared" si="7"/>
        <v>3.9276087793608028E-2</v>
      </c>
      <c r="AE19" s="115">
        <f t="shared" si="7"/>
        <v>5.9701492537313383E-2</v>
      </c>
      <c r="AF19" s="115">
        <f t="shared" si="7"/>
        <v>9.0823466092572636E-2</v>
      </c>
      <c r="AG19" s="115">
        <f t="shared" si="7"/>
        <v>6.9692286075593746E-2</v>
      </c>
      <c r="AH19" s="115">
        <f t="shared" si="7"/>
        <v>7.0643448190687907E-2</v>
      </c>
      <c r="AI19" s="115">
        <f t="shared" si="7"/>
        <v>7.2057344064386353E-2</v>
      </c>
    </row>
    <row r="21" spans="1:35" ht="13.8" x14ac:dyDescent="0.3">
      <c r="A21" s="109" t="s">
        <v>216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1</v>
      </c>
      <c r="L21" s="117">
        <v>1</v>
      </c>
      <c r="M21" s="117">
        <v>1</v>
      </c>
      <c r="N21" s="117">
        <v>1</v>
      </c>
      <c r="O21" s="117">
        <v>1</v>
      </c>
      <c r="P21" s="117">
        <v>1</v>
      </c>
      <c r="Q21" s="117">
        <v>1</v>
      </c>
      <c r="R21" s="117">
        <v>1</v>
      </c>
      <c r="S21" s="117">
        <v>0</v>
      </c>
      <c r="T21" s="117">
        <v>0</v>
      </c>
      <c r="U21" s="117">
        <v>0</v>
      </c>
      <c r="V21" s="117">
        <v>0</v>
      </c>
      <c r="W21" s="117">
        <v>0</v>
      </c>
      <c r="X21" s="117">
        <v>0</v>
      </c>
      <c r="Y21" s="117">
        <v>0</v>
      </c>
      <c r="Z21" s="117">
        <v>0</v>
      </c>
      <c r="AA21" s="117">
        <v>0</v>
      </c>
      <c r="AB21" s="117">
        <v>0</v>
      </c>
      <c r="AC21" s="117">
        <v>0</v>
      </c>
      <c r="AD21" s="117">
        <v>0</v>
      </c>
      <c r="AE21" s="117">
        <v>0</v>
      </c>
      <c r="AF21" s="117">
        <v>0</v>
      </c>
      <c r="AG21" s="117">
        <v>0</v>
      </c>
      <c r="AH21" s="117">
        <v>0</v>
      </c>
      <c r="AI21" s="117">
        <v>0</v>
      </c>
    </row>
    <row r="22" spans="1:35" ht="13.8" x14ac:dyDescent="0.3">
      <c r="A22" s="109" t="s">
        <v>217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1</v>
      </c>
      <c r="L22" s="117">
        <v>1</v>
      </c>
      <c r="M22" s="117">
        <v>1</v>
      </c>
      <c r="N22" s="117">
        <v>1</v>
      </c>
      <c r="O22" s="117">
        <v>1</v>
      </c>
      <c r="P22" s="117">
        <v>1</v>
      </c>
      <c r="Q22" s="117">
        <v>1</v>
      </c>
      <c r="R22" s="117">
        <v>1</v>
      </c>
      <c r="S22" s="117">
        <v>1</v>
      </c>
      <c r="T22" s="117">
        <v>1</v>
      </c>
      <c r="U22" s="117">
        <v>1</v>
      </c>
      <c r="V22" s="117">
        <v>1</v>
      </c>
      <c r="W22" s="117">
        <v>0</v>
      </c>
      <c r="X22" s="117">
        <v>0</v>
      </c>
      <c r="Y22" s="117">
        <v>0</v>
      </c>
      <c r="Z22" s="117">
        <v>0</v>
      </c>
      <c r="AA22" s="117">
        <v>0</v>
      </c>
      <c r="AB22" s="117">
        <v>0</v>
      </c>
      <c r="AC22" s="117">
        <v>0</v>
      </c>
      <c r="AD22" s="117">
        <v>0</v>
      </c>
      <c r="AE22" s="117">
        <v>0</v>
      </c>
      <c r="AF22" s="117">
        <v>0</v>
      </c>
      <c r="AG22" s="117">
        <v>0</v>
      </c>
      <c r="AH22" s="117">
        <v>0</v>
      </c>
      <c r="AI22" s="117">
        <v>0</v>
      </c>
    </row>
    <row r="24" spans="1:35" x14ac:dyDescent="0.25">
      <c r="A24" s="118" t="s">
        <v>250</v>
      </c>
      <c r="B24" s="118" t="s">
        <v>251</v>
      </c>
      <c r="C24" s="118" t="s">
        <v>252</v>
      </c>
      <c r="D24" s="118" t="s">
        <v>253</v>
      </c>
    </row>
    <row r="25" spans="1:35" x14ac:dyDescent="0.25">
      <c r="A25" t="s">
        <v>254</v>
      </c>
      <c r="B25" s="114">
        <f>AVERAGE(B12:AI12)</f>
        <v>0.86974314553735732</v>
      </c>
      <c r="C25" s="114">
        <f>AVERAGE(B13:AI13)</f>
        <v>0.47211461292680612</v>
      </c>
      <c r="D25" s="114">
        <f>AVERAGE(B14:AI14)</f>
        <v>0.28892718763356884</v>
      </c>
    </row>
    <row r="26" spans="1:35" x14ac:dyDescent="0.25">
      <c r="A26" t="s">
        <v>255</v>
      </c>
      <c r="B26" s="114" cm="1">
        <f t="array" ref="B26">AVERAGE(_xlfn._xlws.FILTER(B12:AI12,B21:AI21=0))</f>
        <v>0.79951988102714089</v>
      </c>
      <c r="C26" s="114" cm="1">
        <f t="array" ref="C26">AVERAGE(_xlfn._xlws.FILTER(B13:AI13,B21:AI21=0))</f>
        <v>0.45585821001801086</v>
      </c>
      <c r="D26" s="114" cm="1">
        <f t="array" ref="D26">AVERAGE(_xlfn._xlws.FILTER(B14:AI14,B21:AI21=0))</f>
        <v>0.28970375693611794</v>
      </c>
    </row>
    <row r="27" spans="1:35" x14ac:dyDescent="0.25">
      <c r="A27" t="s">
        <v>256</v>
      </c>
      <c r="B27" s="116">
        <f>CORREL($B$5:$AI$5,$B$6:$AI$6)</f>
        <v>0.95329523891293511</v>
      </c>
      <c r="C27" s="116">
        <f>CORREL($B$5:$AI$5,$B$7:$AI$7)</f>
        <v>0.94762354815051786</v>
      </c>
      <c r="D27" s="116">
        <f>CORREL($B$5:$AI$5,$B$8:$AI$8)</f>
        <v>0.9473990737941308</v>
      </c>
    </row>
    <row r="28" spans="1:35" x14ac:dyDescent="0.25">
      <c r="A28" t="s">
        <v>257</v>
      </c>
      <c r="B28" s="116" cm="1">
        <f t="array" ref="B28">CORREL(_xlfn._xlws.FILTER($B$5:$AI$5,$B$21:$AI$21=0),_xlfn._xlws.FILTER($B$6:$AI$6,$B$21:$AI$21=0))</f>
        <v>0.88805701900533973</v>
      </c>
      <c r="C28" s="116" cm="1">
        <f t="array" ref="C28">CORREL(_xlfn._xlws.FILTER($B$5:$AI$5,$B$21:$AI$21=0),_xlfn._xlws.FILTER($B$7:$AI$7,$B$21:$AI$21=0))</f>
        <v>0.88640854855823414</v>
      </c>
      <c r="D28" s="116" cm="1">
        <f t="array" ref="D28">CORREL(_xlfn._xlws.FILTER($B$5:$AI$5,$B$21:$AI$21=0),_xlfn._xlws.FILTER($B$8:$AI$8,$B$21:$AI$21=0))</f>
        <v>0.888679191325214</v>
      </c>
    </row>
    <row r="29" spans="1:35" x14ac:dyDescent="0.25">
      <c r="A29" t="s">
        <v>258</v>
      </c>
      <c r="B29" s="116">
        <f>CORREL($F$16:$AI$16,$F$17:$AI$17)</f>
        <v>0.96790199037152058</v>
      </c>
      <c r="C29" s="116">
        <f>CORREL($F$16:$AI$16,$F$18:$AI$18)</f>
        <v>0.98676566880616501</v>
      </c>
      <c r="D29" s="116">
        <f>CORREL($F$16:$AI$16,$F$19:$AI$19)</f>
        <v>0.989476042273013</v>
      </c>
    </row>
    <row r="30" spans="1:35" x14ac:dyDescent="0.25">
      <c r="A30" t="s">
        <v>259</v>
      </c>
      <c r="B30" s="116" cm="1">
        <f t="array" ref="B30">CORREL(_xlfn._xlws.FILTER($F$16:$AI$16,$F$22:$AI$22=0),_xlfn._xlws.FILTER($F$17:$AI$17,$F$22:$AI$22=0))</f>
        <v>0.5773603245756922</v>
      </c>
      <c r="C30" s="116" cm="1">
        <f t="array" ref="C30">CORREL(_xlfn._xlws.FILTER($F$16:$AI$16,$F$22:$AI$22=0),_xlfn._xlws.FILTER($F$18:$AI$18,$F$22:$AI$22=0))</f>
        <v>0.57183136169338278</v>
      </c>
      <c r="D30" s="116" cm="1">
        <f t="array" ref="D30">CORREL(_xlfn._xlws.FILTER($F$16:$AI$16,$F$22:$AI$22=0),_xlfn._xlws.FILTER($F$19:$AI$19,$F$22:$AI$22=0))</f>
        <v>0.65892868340531463</v>
      </c>
    </row>
    <row r="32" spans="1:35" x14ac:dyDescent="0.25">
      <c r="A32" s="125" t="s">
        <v>260</v>
      </c>
    </row>
    <row r="35" spans="1:12" ht="13.8" x14ac:dyDescent="0.3">
      <c r="A35" s="110" t="s">
        <v>235</v>
      </c>
    </row>
    <row r="36" spans="1:12" x14ac:dyDescent="0.25">
      <c r="B36" s="124" t="s">
        <v>236</v>
      </c>
      <c r="C36" s="124" t="s">
        <v>237</v>
      </c>
      <c r="D36" s="124" t="s">
        <v>238</v>
      </c>
      <c r="E36" s="124" t="s">
        <v>239</v>
      </c>
      <c r="F36" s="124" t="s">
        <v>240</v>
      </c>
      <c r="G36" s="124" t="s">
        <v>241</v>
      </c>
      <c r="H36" s="124" t="s">
        <v>242</v>
      </c>
      <c r="I36" s="124" t="s">
        <v>243</v>
      </c>
      <c r="J36" s="124" t="s">
        <v>244</v>
      </c>
      <c r="K36" s="124" t="s">
        <v>245</v>
      </c>
      <c r="L36" s="124" t="s">
        <v>246</v>
      </c>
    </row>
    <row r="37" spans="1:12" x14ac:dyDescent="0.25">
      <c r="A37" t="s">
        <v>159</v>
      </c>
      <c r="B37" s="111">
        <v>3522</v>
      </c>
      <c r="C37" s="111">
        <v>5356</v>
      </c>
      <c r="D37" s="111">
        <v>7183</v>
      </c>
      <c r="E37" s="111">
        <v>3701</v>
      </c>
      <c r="F37" s="111">
        <v>5657</v>
      </c>
      <c r="G37" s="111">
        <v>7540</v>
      </c>
      <c r="H37" s="111">
        <v>3655</v>
      </c>
      <c r="I37" s="111">
        <v>4038</v>
      </c>
      <c r="J37" s="111">
        <v>2298</v>
      </c>
      <c r="K37" s="111">
        <v>3848</v>
      </c>
      <c r="L37" s="112"/>
    </row>
    <row r="38" spans="1:12" x14ac:dyDescent="0.25">
      <c r="A38" t="s">
        <v>247</v>
      </c>
      <c r="B38" s="111">
        <v>2847</v>
      </c>
      <c r="C38" s="111">
        <v>4289</v>
      </c>
      <c r="D38" s="111">
        <v>5674</v>
      </c>
      <c r="E38" s="111">
        <v>2976</v>
      </c>
      <c r="F38" s="111">
        <v>4491</v>
      </c>
      <c r="G38" s="111">
        <v>5963</v>
      </c>
      <c r="H38" s="111">
        <v>3030</v>
      </c>
      <c r="I38" s="111">
        <v>3441</v>
      </c>
      <c r="J38" s="111">
        <v>2025</v>
      </c>
      <c r="K38" s="111">
        <v>3299</v>
      </c>
      <c r="L38" s="112"/>
    </row>
    <row r="39" spans="1:12" x14ac:dyDescent="0.25">
      <c r="A39" t="s">
        <v>162</v>
      </c>
      <c r="B39" s="111">
        <v>2322</v>
      </c>
      <c r="C39" s="111">
        <v>3240</v>
      </c>
      <c r="D39" s="111">
        <v>4249</v>
      </c>
      <c r="E39" s="111">
        <v>2292</v>
      </c>
      <c r="F39" s="111">
        <v>3285</v>
      </c>
      <c r="G39" s="111">
        <v>4519</v>
      </c>
      <c r="H39" s="111">
        <v>3407</v>
      </c>
      <c r="I39" s="111">
        <v>4721</v>
      </c>
      <c r="J39" s="111">
        <v>3980</v>
      </c>
      <c r="K39" s="111">
        <v>5241</v>
      </c>
      <c r="L39" s="112"/>
    </row>
    <row r="40" spans="1:12" x14ac:dyDescent="0.25">
      <c r="A40" t="s">
        <v>248</v>
      </c>
      <c r="B40" s="111">
        <v>12430</v>
      </c>
      <c r="C40" s="111">
        <v>18566</v>
      </c>
      <c r="D40" s="111">
        <v>24701</v>
      </c>
      <c r="E40" s="111">
        <v>12993</v>
      </c>
      <c r="F40" s="111">
        <v>19570</v>
      </c>
      <c r="G40" s="111">
        <v>26225</v>
      </c>
      <c r="H40" s="111">
        <v>14305</v>
      </c>
      <c r="I40" s="111">
        <v>17038</v>
      </c>
      <c r="J40" s="111">
        <v>11102</v>
      </c>
      <c r="K40" s="111">
        <v>16552</v>
      </c>
      <c r="L40" s="112"/>
    </row>
    <row r="41" spans="1:12" x14ac:dyDescent="0.25">
      <c r="A41" t="s">
        <v>249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1">
        <v>1846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 Experience</vt:lpstr>
      <vt:lpstr>CMCSA Segments</vt:lpstr>
      <vt:lpstr>CMCSA vs DIS Parks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Chung</dc:creator>
  <cp:lastModifiedBy>Andrew Chung</cp:lastModifiedBy>
  <dcterms:created xsi:type="dcterms:W3CDTF">2026-07-27T16:09:52Z</dcterms:created>
  <dcterms:modified xsi:type="dcterms:W3CDTF">2026-07-27T17:11:09Z</dcterms:modified>
</cp:coreProperties>
</file>
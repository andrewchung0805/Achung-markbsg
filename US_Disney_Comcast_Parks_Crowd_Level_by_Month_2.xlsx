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4587EC-35DA-47AB-ABA5-A5EE2E48053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rowd Level by Month" sheetId="1" r:id="rId1"/>
    <sheet name="Sources &amp; Notes" sheetId="2" r:id="rId2"/>
    <sheet name="Q2 YoY Analysis" sheetId="3" r:id="rId3"/>
    <sheet name="Q2 YoY Analysis (SUM)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4" l="1"/>
  <c r="D10" i="4"/>
  <c r="C10" i="4"/>
  <c r="B10" i="4"/>
  <c r="D9" i="4"/>
  <c r="C9" i="4"/>
  <c r="C14" i="4" s="1"/>
  <c r="B9" i="4"/>
  <c r="B14" i="4" s="1"/>
  <c r="D8" i="4"/>
  <c r="C8" i="4"/>
  <c r="B8" i="4"/>
  <c r="D7" i="4"/>
  <c r="C7" i="4"/>
  <c r="B7" i="4"/>
  <c r="D6" i="4"/>
  <c r="C6" i="4"/>
  <c r="B6" i="4"/>
  <c r="D5" i="4"/>
  <c r="C5" i="4"/>
  <c r="B5" i="4"/>
  <c r="B14" i="3"/>
  <c r="D10" i="3"/>
  <c r="C10" i="3"/>
  <c r="B10" i="3"/>
  <c r="D9" i="3"/>
  <c r="C9" i="3"/>
  <c r="C14" i="3" s="1"/>
  <c r="B9" i="3"/>
  <c r="D8" i="3"/>
  <c r="C8" i="3"/>
  <c r="B8" i="3"/>
  <c r="D7" i="3"/>
  <c r="C7" i="3"/>
  <c r="B7" i="3"/>
  <c r="D6" i="3"/>
  <c r="C6" i="3"/>
  <c r="B6" i="3"/>
  <c r="E5" i="3"/>
  <c r="G5" i="3" s="1"/>
  <c r="D5" i="3"/>
  <c r="C5" i="3"/>
  <c r="B5" i="3"/>
  <c r="E10" i="4" l="1"/>
  <c r="G10" i="4" s="1"/>
  <c r="F10" i="4"/>
  <c r="H10" i="4" s="1"/>
  <c r="D14" i="4"/>
  <c r="F9" i="4"/>
  <c r="H9" i="4" s="1"/>
  <c r="E9" i="4"/>
  <c r="G9" i="4" s="1"/>
  <c r="F8" i="4"/>
  <c r="H8" i="4" s="1"/>
  <c r="E8" i="4"/>
  <c r="G8" i="4" s="1"/>
  <c r="E7" i="4"/>
  <c r="G7" i="4" s="1"/>
  <c r="F7" i="4"/>
  <c r="H7" i="4" s="1"/>
  <c r="F6" i="4"/>
  <c r="H6" i="4" s="1"/>
  <c r="E6" i="4"/>
  <c r="G6" i="4" s="1"/>
  <c r="F5" i="4"/>
  <c r="H5" i="4" s="1"/>
  <c r="E5" i="4"/>
  <c r="G5" i="4" s="1"/>
  <c r="D11" i="4"/>
  <c r="D13" i="4"/>
  <c r="C11" i="4"/>
  <c r="B13" i="4"/>
  <c r="B11" i="4"/>
  <c r="F10" i="3"/>
  <c r="H10" i="3" s="1"/>
  <c r="E10" i="3"/>
  <c r="G10" i="3" s="1"/>
  <c r="D14" i="3"/>
  <c r="F9" i="3"/>
  <c r="H9" i="3" s="1"/>
  <c r="E9" i="3"/>
  <c r="G9" i="3" s="1"/>
  <c r="F8" i="3"/>
  <c r="H8" i="3" s="1"/>
  <c r="E8" i="3"/>
  <c r="G8" i="3" s="1"/>
  <c r="E7" i="3"/>
  <c r="G7" i="3" s="1"/>
  <c r="F7" i="3"/>
  <c r="H7" i="3" s="1"/>
  <c r="F6" i="3"/>
  <c r="H6" i="3" s="1"/>
  <c r="E6" i="3"/>
  <c r="G6" i="3" s="1"/>
  <c r="D11" i="3"/>
  <c r="F5" i="3"/>
  <c r="H5" i="3" s="1"/>
  <c r="D13" i="3"/>
  <c r="C11" i="3"/>
  <c r="C13" i="3"/>
  <c r="B11" i="3"/>
  <c r="B13" i="3"/>
  <c r="F14" i="4" l="1"/>
  <c r="E14" i="4"/>
  <c r="E11" i="4"/>
  <c r="G11" i="4" s="1"/>
  <c r="F11" i="4"/>
  <c r="H11" i="4" s="1"/>
  <c r="F13" i="4"/>
  <c r="E13" i="4"/>
  <c r="E14" i="3"/>
  <c r="F14" i="3"/>
  <c r="E11" i="3"/>
  <c r="G11" i="3" s="1"/>
  <c r="F11" i="3"/>
  <c r="H11" i="3" s="1"/>
  <c r="E13" i="3"/>
  <c r="F13" i="3"/>
</calcChain>
</file>

<file path=xl/sharedStrings.xml><?xml version="1.0" encoding="utf-8"?>
<sst xmlns="http://schemas.openxmlformats.org/spreadsheetml/2006/main" count="168" uniqueCount="95">
  <si>
    <t>Average Crowd Level by Month — US Disney &amp; Comcast (Universal) Parks</t>
  </si>
  <si>
    <t>Source: queue-times.com park statistics pages. Values are % average crowd level. "—" = month not yet occurred / no data reported.</t>
  </si>
  <si>
    <t>Owner</t>
  </si>
  <si>
    <t>Park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</si>
  <si>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</si>
  <si>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</si>
  <si>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</si>
  <si>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</si>
  <si>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</si>
  <si>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</si>
  <si>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</si>
  <si>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</si>
  <si>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</si>
  <si>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</si>
  <si>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</si>
  <si>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</si>
  <si>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</si>
  <si>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</t>
  </si>
  <si>
    <t>Disney</t>
  </si>
  <si>
    <t>Magic Kingdom (Walt Disney World, FL)</t>
  </si>
  <si>
    <t>2026 data available through June only (site captured in July 2026).</t>
  </si>
  <si>
    <t>Epcot (Walt Disney World, FL)</t>
  </si>
  <si>
    <t>2026 data available through June only.</t>
  </si>
  <si>
    <t>Hollywood Studios (Walt Disney World, FL)</t>
  </si>
  <si>
    <t>Animal Kingdom (Walt Disney World, FL)</t>
  </si>
  <si>
    <t>Disneyland (Anaheim, CA)</t>
  </si>
  <si>
    <t>2026 data available through July.</t>
  </si>
  <si>
    <t>Disney California Adventure (Anaheim, CA)</t>
  </si>
  <si>
    <t>Comcast (Universal)</t>
  </si>
  <si>
    <t>Universal Studios Florida (Orlando)</t>
  </si>
  <si>
    <t>Islands of Adventure (Orlando)</t>
  </si>
  <si>
    <t>Epic Universe (Orlando)</t>
  </si>
  <si>
    <t>Park did not exist / opened in 2025 — no 2024 data on queue-times.com.</t>
  </si>
  <si>
    <t>Park opened May 2025; no data prior to opening.</t>
  </si>
  <si>
    <t>Universal Studios Hollywood (Los Angeles, CA)</t>
  </si>
  <si>
    <t>2026 data available through May only.</t>
  </si>
  <si>
    <t>Volcano Bay (Orlando, water park)</t>
  </si>
  <si>
    <t>queue-times.com has no tracked data for this park in 2024.</t>
  </si>
  <si>
    <t>queue-times.com has no tracked data for this park in 2025 (tracking appears to have started in 2026).</t>
  </si>
  <si>
    <t>Only May-Jul 2026 reported; site also lists a planned closure Oct 2026-Spring 2027 (per third-party sources, not reflected in this data).</t>
  </si>
  <si>
    <t>Sources</t>
  </si>
  <si>
    <t>All figures scraped from queue-times.com park statistics pages ("Average crowd level by month" table), accessed July 27, 2026:</t>
  </si>
  <si>
    <t>Disney Magic Kingdom — queue-times.com/en-US/parks/6/stats/{year}</t>
  </si>
  <si>
    <t>Epcot — queue-times.com/en-US/parks/5/stats/{year}</t>
  </si>
  <si>
    <t>Disney Hollywood Studios — queue-times.com/en-US/parks/7/stats/{year}</t>
  </si>
  <si>
    <t>Animal Kingdom — queue-times.com/en-US/parks/8/stats/{year}</t>
  </si>
  <si>
    <t>Disneyland — queue-times.com/parks/16/stats/{year}</t>
  </si>
  <si>
    <t>Disney California Adventure — queue-times.com/parks/17/stats/{year}</t>
  </si>
  <si>
    <t>Universal Studios Florida (Universal Orlando) — queue-times.com/en-US/parks/65/stats/{year}</t>
  </si>
  <si>
    <t>Islands of Adventure (Universal Orlando) — queue-times.com/en-US/parks/64/stats/{year}</t>
  </si>
  <si>
    <t>Epic Universe (Universal Orlando) — queue-times.com/en-US/parks/334/stats/{year}</t>
  </si>
  <si>
    <t>Universal Studios Hollywood — queue-times.com/en-US/parks/66/stats/{year}</t>
  </si>
  <si>
    <t>Universal Volcano Bay (Universal Orlando) — queue-times.com/parks/67/stats/{year}</t>
  </si>
  <si>
    <t>Scope &amp; Known Gaps</t>
  </si>
  <si>
    <t>• Scope: All US Disney theme parks (Magic Kingdom, Epcot, Hollywood Studios, Animal Kingdom, Disneyland, Disney California Adventure) and all US Comcast/Universal theme parks (Universal Studios Florida, Islands of Adventure, Epic Universe, Universal Studios Hollywood, Volcano Bay). Universal CityWalk is a shopping/dining district, not a gated theme park, so it is not included.</t>
  </si>
  <si>
    <t>• 2026 is a partial year: the source was scraped in late July 2026, so most parks show data only through June (a couple, like the two Anaheim parks and Universal Studios Hollywood, differ slightly by a month depending on how that park's data was last refreshed on the site). Remaining 2026 months are blank rather than estimated.</t>
  </si>
  <si>
    <t>• Epic Universe opened in May 2025, so there is no 2024 data and 2025 only starts in May.</t>
  </si>
  <si>
    <t>• Volcano Bay has no crowd-level data on queue-times.com for 2024 or 2025 at all — the site's tracking for this specific park appears to only begin in 2026, and even 2026 is sparse (only May–July populated as of this scrape).</t>
  </si>
  <si>
    <t>• All values are queue-times.com's own modeled/observed "crowd level" percentage (not official park attendance figures) — treat as a relative busyness indicator, not verified attendance data.</t>
  </si>
  <si>
    <t>Disney Parks — Q2 (Apr-Jun) Crowd Level: 2026 vs. Prior Two Years</t>
  </si>
  <si>
    <t>Q2 average = AVERAGE of that park/year's Apr, May, Jun crowd-level % from the 'Crowd Level by Month' tab. Formulas link back to that tab, so editing raw monthly figures updates this analysis automatically.</t>
  </si>
  <si>
    <t>Q2 2024 avg</t>
  </si>
  <si>
    <t>Q2 2025 avg</t>
  </si>
  <si>
    <t>Q2 2026 avg</t>
  </si>
  <si>
    <t>2026 vs 2025 (pts)</t>
  </si>
  <si>
    <t>2026 vs 2024 (pts)</t>
  </si>
  <si>
    <t>Direction vs 2025</t>
  </si>
  <si>
    <t>Direction vs 2024</t>
  </si>
  <si>
    <t>Magic Kingdom</t>
  </si>
  <si>
    <t>Epcot</t>
  </si>
  <si>
    <t>Hollywood Studios</t>
  </si>
  <si>
    <t>Animal Kingdom</t>
  </si>
  <si>
    <t>Disneyland</t>
  </si>
  <si>
    <t>Disney California Adventure</t>
  </si>
  <si>
    <t>All 6 parks (average)</t>
  </si>
  <si>
    <t>Walt Disney World (FL) avg — Magic Kingdom, Epcot, Hollywood Studios, Animal Kingdom</t>
  </si>
  <si>
    <t>Anaheim (CA) avg — Disneyland, Disney California Adventure</t>
  </si>
  <si>
    <t>Reading this table:</t>
  </si>
  <si>
    <t>- "2026 vs 2025 (pts)" and "2026 vs 2024 (pts)" are simple percentage-point differences in average Q2 crowd level, not percent change.</t>
  </si>
  <si>
    <t>- Positive = busier in 2026 than the comparison year; negative = quieter.</t>
  </si>
  <si>
    <t>- Walt Disney World parks (Orlando) are, on net, quieter in Q2 2026 than in Q2 2024, and roughly flat-to-down vs. 2025.</t>
  </si>
  <si>
    <t>- The two Anaheim parks are trending the opposite direction, especially Disney California Adventure, which has grown busier three years running.</t>
  </si>
  <si>
    <t>- "Crowd level %" is queue-times.com's own modeled busyness index (derived from ride wait times), not official park attendance.</t>
  </si>
  <si>
    <t>Disney Parks — Q2 (Apr-Jun) Crowd Level SUM: 2026 vs. Prior Two Years</t>
  </si>
  <si>
    <t>Q2 total = SUM of that park/year's Apr, May, Jun crowd-level % from the 'Crowd Level by Month' tab (i.e. the three monthly percentages added together, not averaged). Formulas link back to that tab.</t>
  </si>
  <si>
    <t>Q2 2024 sum</t>
  </si>
  <si>
    <t>Q2 2025 sum</t>
  </si>
  <si>
    <t>Q2 2026 sum</t>
  </si>
  <si>
    <t>All 6 parks (total)</t>
  </si>
  <si>
    <t>Walt Disney World (FL) sum — Magic Kingdom, Epcot, Hollywood Studios, Animal Kingdom</t>
  </si>
  <si>
    <t>Anaheim (CA) sum — Disneyland, Disney California Adventure</t>
  </si>
  <si>
    <t>- This tab mirrors 'Q2 YoY Analysis' but sums the three Q2 months (Apr+May+Jun) instead of averaging them.</t>
  </si>
  <si>
    <t>- Because it's a sum of three percentages, the numbers here are roughly 3x the average-based figures on the other tab — same underlying data, different arithmetic.</t>
  </si>
  <si>
    <t>- Point deltas (vs 2025 / vs 2024) are also on this summed scale, so a delta here is ~3x the equivalent point delta on the AVERAGE tab.</t>
  </si>
  <si>
    <t>- Directional conclusions (up/down) are identical to the AVERAGE tab, since SUM and AVERAGE of the same three numbers always move in the same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</si>
</sst>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%;\-0\%;\—"/>
    <numFmt numFmtId="165" formatCode="0.0\%"/>
    <numFmt numFmtId="166" formatCode="\+0.0;\-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44444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B5FA5"/>
        <bgColor rgb="FF008080"/>
      </patternFill>
    </fill>
    <fill>
      <patternFill patternType="solid">
        <fgColor rgb="FFDCE6F1"/>
        <bgColor rgb="FFEAD9EF"/>
      </patternFill>
    </fill>
    <fill>
      <patternFill patternType="solid">
        <fgColor rgb="FFEAD9EF"/>
        <bgColor rgb="FFD9D9D9"/>
      </patternFill>
    </fill>
    <fill>
      <patternFill patternType="solid">
        <fgColor rgb="FF6E1E78"/>
        <bgColor rgb="FF80008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vertical="top" wrapText="1"/>
    </xf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vertical="top" wrapText="1"/>
    </xf>
    <xf numFmtId="0" fontId="7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DCE6F1"/>
      <rgbColor rgb="FF6E1E78"/>
      <rgbColor rgb="FFFF8080"/>
      <rgbColor rgb="FF0B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9EF"/>
      <rgbColor rgb="FF4F81BD"/>
      <rgbColor rgb="FF33CCCC"/>
      <rgbColor rgb="FF9BBB59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Q2 (Apr-Jun) average crowd level by park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YoY Analysis'!$B$4</c:f>
              <c:strCache>
                <c:ptCount val="1"/>
                <c:pt idx="0">
                  <c:v>Q2 2024 avg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Analysis'!$B$5:$B$10</c:f>
              <c:numCache>
                <c:formatCode>0.0\%</c:formatCode>
                <c:ptCount val="6"/>
                <c:pt idx="0">
                  <c:v>45.666666666666664</c:v>
                </c:pt>
                <c:pt idx="1">
                  <c:v>56.666666666666664</c:v>
                </c:pt>
                <c:pt idx="2">
                  <c:v>47</c:v>
                </c:pt>
                <c:pt idx="3">
                  <c:v>54.333333333333336</c:v>
                </c:pt>
                <c:pt idx="4">
                  <c:v>55.333333333333336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9-4724-8D3F-FE6FCA570081}"/>
            </c:ext>
          </c:extLst>
        </c:ser>
        <c:ser>
          <c:idx val="1"/>
          <c:order val="1"/>
          <c:tx>
            <c:strRef>
              <c:f>'Q2 YoY Analysis'!$C$4</c:f>
              <c:strCache>
                <c:ptCount val="1"/>
                <c:pt idx="0">
                  <c:v>Q2 2025 avg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Analysis'!$C$5:$C$10</c:f>
              <c:numCache>
                <c:formatCode>0.0\%</c:formatCode>
                <c:ptCount val="6"/>
                <c:pt idx="0">
                  <c:v>32.333333333333336</c:v>
                </c:pt>
                <c:pt idx="1">
                  <c:v>41.333333333333336</c:v>
                </c:pt>
                <c:pt idx="2">
                  <c:v>29</c:v>
                </c:pt>
                <c:pt idx="3">
                  <c:v>46.333333333333336</c:v>
                </c:pt>
                <c:pt idx="4">
                  <c:v>39.666666666666664</c:v>
                </c:pt>
                <c:pt idx="5">
                  <c:v>63.666666666666664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9-4724-8D3F-FE6FCA570081}"/>
            </c:ext>
          </c:extLst>
        </c:ser>
        <c:ser>
          <c:idx val="2"/>
          <c:order val="2"/>
          <c:tx>
            <c:strRef>
              <c:f>'Q2 YoY Analysis'!$D$4</c:f>
              <c:strCache>
                <c:ptCount val="1"/>
                <c:pt idx="0">
                  <c:v>Q2 2026 avg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Analysis'!$D$5:$D$10</c:f>
              <c:numCache>
                <c:formatCode>0.0\%</c:formatCode>
                <c:ptCount val="6"/>
                <c:pt idx="0">
                  <c:v>31.333333333333332</c:v>
                </c:pt>
                <c:pt idx="1">
                  <c:v>53.666666666666664</c:v>
                </c:pt>
                <c:pt idx="2">
                  <c:v>28.333333333333332</c:v>
                </c:pt>
                <c:pt idx="3">
                  <c:v>40</c:v>
                </c:pt>
                <c:pt idx="4">
                  <c:v>44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9-4724-8D3F-FE6FCA570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06857"/>
        <c:axId val="61108591"/>
      </c:barChart>
      <c:catAx>
        <c:axId val="410068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08591"/>
        <c:crosses val="autoZero"/>
        <c:auto val="1"/>
        <c:lblAlgn val="ctr"/>
        <c:lblOffset val="100"/>
        <c:noMultiLvlLbl val="0"/>
      </c:catAx>
      <c:valAx>
        <c:axId val="61108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crowd level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06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Q2 (Apr-Jun) summed crowd level by park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YoY Analysis (SUM)'!$B$4</c:f>
              <c:strCache>
                <c:ptCount val="1"/>
                <c:pt idx="0">
                  <c:v>Q2 2024 sum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 (SUM)'!$A$5:$A$10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 (SUM)'!$B$5:$B$10</c:f>
              <c:numCache>
                <c:formatCode>0.0\%</c:formatCode>
                <c:ptCount val="6"/>
                <c:pt idx="0">
                  <c:v>137</c:v>
                </c:pt>
                <c:pt idx="1">
                  <c:v>170</c:v>
                </c:pt>
                <c:pt idx="2">
                  <c:v>141</c:v>
                </c:pt>
                <c:pt idx="3">
                  <c:v>163</c:v>
                </c:pt>
                <c:pt idx="4">
                  <c:v>166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D-4745-9807-EAB23A235A92}"/>
            </c:ext>
          </c:extLst>
        </c:ser>
        <c:ser>
          <c:idx val="1"/>
          <c:order val="1"/>
          <c:tx>
            <c:strRef>
              <c:f>'Q2 YoY Analysis (SUM)'!$C$4</c:f>
              <c:strCache>
                <c:ptCount val="1"/>
                <c:pt idx="0">
                  <c:v>Q2 2025 sum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 (SUM)'!$A$5:$A$10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 (SUM)'!$C$5:$C$10</c:f>
              <c:numCache>
                <c:formatCode>0.0\%</c:formatCode>
                <c:ptCount val="6"/>
                <c:pt idx="0">
                  <c:v>97</c:v>
                </c:pt>
                <c:pt idx="1">
                  <c:v>124</c:v>
                </c:pt>
                <c:pt idx="2">
                  <c:v>87</c:v>
                </c:pt>
                <c:pt idx="3">
                  <c:v>139</c:v>
                </c:pt>
                <c:pt idx="4">
                  <c:v>119</c:v>
                </c:pt>
                <c:pt idx="5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D-4745-9807-EAB23A235A92}"/>
            </c:ext>
          </c:extLst>
        </c:ser>
        <c:ser>
          <c:idx val="2"/>
          <c:order val="2"/>
          <c:tx>
            <c:strRef>
              <c:f>'Q2 YoY Analysis (SUM)'!$D$4</c:f>
              <c:strCache>
                <c:ptCount val="1"/>
                <c:pt idx="0">
                  <c:v>Q2 2026 sum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YoY Analysis (SUM)'!$A$5:$A$10</c:f>
              <c:strCache>
                <c:ptCount val="6"/>
                <c:pt idx="0">
                  <c:v>Magic Kingdom</c:v>
                </c:pt>
                <c:pt idx="1">
                  <c:v>Epcot</c:v>
                </c:pt>
                <c:pt idx="2">
                  <c:v>Hollywood Studios</c:v>
                </c:pt>
                <c:pt idx="3">
                  <c:v>Animal Kingdom</c:v>
                </c:pt>
                <c:pt idx="4">
                  <c:v>Disneyland</c:v>
                </c:pt>
                <c:pt idx="5">
                  <c:v>Disney California Adventure</c:v>
                </c:pt>
              </c:strCache>
            </c:strRef>
          </c:cat>
          <c:val>
            <c:numRef>
              <c:f>'Q2 YoY Analysis (SUM)'!$D$5:$D$10</c:f>
              <c:numCache>
                <c:formatCode>0.0\%</c:formatCode>
                <c:ptCount val="6"/>
                <c:pt idx="0">
                  <c:v>94</c:v>
                </c:pt>
                <c:pt idx="1">
                  <c:v>161</c:v>
                </c:pt>
                <c:pt idx="2">
                  <c:v>85</c:v>
                </c:pt>
                <c:pt idx="3">
                  <c:v>120</c:v>
                </c:pt>
                <c:pt idx="4">
                  <c:v>132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3D-4745-9807-EAB23A235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82076"/>
        <c:axId val="99021761"/>
      </c:barChart>
      <c:catAx>
        <c:axId val="19082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21761"/>
        <c:crosses val="autoZero"/>
        <c:auto val="1"/>
        <c:lblAlgn val="ctr"/>
        <c:lblOffset val="100"/>
        <c:noMultiLvlLbl val="0"/>
      </c:catAx>
      <c:valAx>
        <c:axId val="990217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Sum of Apr+May+Jun crowd level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82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48240</xdr:rowOff>
    </xdr:from>
    <xdr:to>
      <xdr:col>6</xdr:col>
      <xdr:colOff>588960</xdr:colOff>
      <xdr:row>34</xdr:row>
      <xdr:rowOff>28080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48240</xdr:rowOff>
    </xdr:from>
    <xdr:to>
      <xdr:col>6</xdr:col>
      <xdr:colOff>589320</xdr:colOff>
      <xdr:row>34</xdr:row>
      <xdr:rowOff>28440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Normal="100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G7" sqref="G7:I7"/>
    </sheetView>
  </sheetViews>
  <sheetFormatPr defaultColWidth="8.6640625" defaultRowHeight="14.4" x14ac:dyDescent="0.3"/>
  <cols>
    <col min="1" max="1" width="20" customWidth="1"/>
    <col min="2" max="2" width="40" customWidth="1"/>
    <col min="3" max="3" width="7" customWidth="1"/>
    <col min="4" max="15" width="6" customWidth="1"/>
    <col min="16" max="16" width="55" customWidth="1"/>
  </cols>
  <sheetData>
    <row r="1" spans="1:16" ht="17.2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1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ht="27.75" customHeight="1" x14ac:dyDescent="0.3">
      <c r="A5" s="6" t="s">
        <v>18</v>
      </c>
      <c r="B5" s="7" t="s">
        <v>19</v>
      </c>
      <c r="C5" s="8">
        <v>2024</v>
      </c>
      <c r="D5" s="9">
        <v>64</v>
      </c>
      <c r="E5" s="9">
        <v>64</v>
      </c>
      <c r="F5" s="9">
        <v>64</v>
      </c>
      <c r="G5" s="9">
        <v>49</v>
      </c>
      <c r="H5" s="9">
        <v>43</v>
      </c>
      <c r="I5" s="9">
        <v>45</v>
      </c>
      <c r="J5" s="9">
        <v>38</v>
      </c>
      <c r="K5" s="9">
        <v>36</v>
      </c>
      <c r="L5" s="9">
        <v>29</v>
      </c>
      <c r="M5" s="9">
        <v>29</v>
      </c>
      <c r="N5" s="9">
        <v>36</v>
      </c>
      <c r="O5" s="9">
        <v>45</v>
      </c>
      <c r="P5" s="10"/>
    </row>
    <row r="6" spans="1:16" ht="27.75" customHeight="1" x14ac:dyDescent="0.3">
      <c r="A6" s="6" t="s">
        <v>18</v>
      </c>
      <c r="B6" s="7" t="s">
        <v>19</v>
      </c>
      <c r="C6" s="8">
        <v>2025</v>
      </c>
      <c r="D6" s="9">
        <v>49</v>
      </c>
      <c r="E6" s="9">
        <v>50</v>
      </c>
      <c r="F6" s="9">
        <v>47</v>
      </c>
      <c r="G6" s="9">
        <v>42</v>
      </c>
      <c r="H6" s="9">
        <v>27</v>
      </c>
      <c r="I6" s="9">
        <v>28</v>
      </c>
      <c r="J6" s="9">
        <v>24</v>
      </c>
      <c r="K6" s="9">
        <v>22</v>
      </c>
      <c r="L6" s="9">
        <v>20</v>
      </c>
      <c r="M6" s="9">
        <v>31</v>
      </c>
      <c r="N6" s="9">
        <v>32</v>
      </c>
      <c r="O6" s="9">
        <v>43</v>
      </c>
      <c r="P6" s="10"/>
    </row>
    <row r="7" spans="1:16" ht="27.75" customHeight="1" x14ac:dyDescent="0.3">
      <c r="A7" s="6" t="s">
        <v>18</v>
      </c>
      <c r="B7" s="7" t="s">
        <v>19</v>
      </c>
      <c r="C7" s="8">
        <v>2026</v>
      </c>
      <c r="D7" s="9">
        <v>37</v>
      </c>
      <c r="E7" s="9">
        <v>46</v>
      </c>
      <c r="F7" s="9">
        <v>42</v>
      </c>
      <c r="G7" s="9">
        <v>40</v>
      </c>
      <c r="H7" s="9">
        <v>28</v>
      </c>
      <c r="I7" s="9">
        <v>26</v>
      </c>
      <c r="J7" s="9"/>
      <c r="K7" s="9"/>
      <c r="L7" s="9"/>
      <c r="M7" s="9"/>
      <c r="N7" s="9"/>
      <c r="O7" s="9"/>
      <c r="P7" s="10" t="s">
        <v>20</v>
      </c>
    </row>
    <row r="8" spans="1:16" ht="27.75" customHeight="1" x14ac:dyDescent="0.3">
      <c r="A8" s="6" t="s">
        <v>18</v>
      </c>
      <c r="B8" s="7" t="s">
        <v>21</v>
      </c>
      <c r="C8" s="8">
        <v>2024</v>
      </c>
      <c r="D8" s="9">
        <v>60</v>
      </c>
      <c r="E8" s="9">
        <v>69</v>
      </c>
      <c r="F8" s="9">
        <v>61</v>
      </c>
      <c r="G8" s="9">
        <v>56</v>
      </c>
      <c r="H8" s="9">
        <v>61</v>
      </c>
      <c r="I8" s="9">
        <v>53</v>
      </c>
      <c r="J8" s="9">
        <v>29</v>
      </c>
      <c r="K8" s="9">
        <v>30</v>
      </c>
      <c r="L8" s="9">
        <v>42</v>
      </c>
      <c r="M8" s="9">
        <v>38</v>
      </c>
      <c r="N8" s="9">
        <v>56</v>
      </c>
      <c r="O8" s="9">
        <v>63</v>
      </c>
      <c r="P8" s="10"/>
    </row>
    <row r="9" spans="1:16" ht="27.75" customHeight="1" x14ac:dyDescent="0.3">
      <c r="A9" s="6" t="s">
        <v>18</v>
      </c>
      <c r="B9" s="7" t="s">
        <v>21</v>
      </c>
      <c r="C9" s="8">
        <v>2025</v>
      </c>
      <c r="D9" s="9">
        <v>65</v>
      </c>
      <c r="E9" s="9">
        <v>64</v>
      </c>
      <c r="F9" s="9">
        <v>66</v>
      </c>
      <c r="G9" s="9">
        <v>47</v>
      </c>
      <c r="H9" s="9">
        <v>47</v>
      </c>
      <c r="I9" s="9">
        <v>30</v>
      </c>
      <c r="J9" s="9">
        <v>27</v>
      </c>
      <c r="K9" s="9">
        <v>27</v>
      </c>
      <c r="L9" s="9">
        <v>40</v>
      </c>
      <c r="M9" s="9">
        <v>49</v>
      </c>
      <c r="N9" s="9">
        <v>52</v>
      </c>
      <c r="O9" s="9">
        <v>55</v>
      </c>
      <c r="P9" s="10"/>
    </row>
    <row r="10" spans="1:16" ht="27.75" customHeight="1" x14ac:dyDescent="0.3">
      <c r="A10" s="6" t="s">
        <v>18</v>
      </c>
      <c r="B10" s="7" t="s">
        <v>21</v>
      </c>
      <c r="C10" s="8">
        <v>2026</v>
      </c>
      <c r="D10" s="9">
        <v>46</v>
      </c>
      <c r="E10" s="9">
        <v>66</v>
      </c>
      <c r="F10" s="9">
        <v>74</v>
      </c>
      <c r="G10" s="9">
        <v>62</v>
      </c>
      <c r="H10" s="9">
        <v>55</v>
      </c>
      <c r="I10" s="9">
        <v>44</v>
      </c>
      <c r="J10" s="9"/>
      <c r="K10" s="9"/>
      <c r="L10" s="9"/>
      <c r="M10" s="9"/>
      <c r="N10" s="9"/>
      <c r="O10" s="9"/>
      <c r="P10" s="10" t="s">
        <v>22</v>
      </c>
    </row>
    <row r="11" spans="1:16" ht="27.75" customHeight="1" x14ac:dyDescent="0.3">
      <c r="A11" s="6" t="s">
        <v>18</v>
      </c>
      <c r="B11" s="7" t="s">
        <v>23</v>
      </c>
      <c r="C11" s="8">
        <v>2024</v>
      </c>
      <c r="D11" s="9">
        <v>65</v>
      </c>
      <c r="E11" s="9">
        <v>68</v>
      </c>
      <c r="F11" s="9">
        <v>60</v>
      </c>
      <c r="G11" s="9">
        <v>51</v>
      </c>
      <c r="H11" s="9">
        <v>47</v>
      </c>
      <c r="I11" s="9">
        <v>43</v>
      </c>
      <c r="J11" s="9">
        <v>34</v>
      </c>
      <c r="K11" s="9">
        <v>32</v>
      </c>
      <c r="L11" s="9">
        <v>24</v>
      </c>
      <c r="M11" s="9">
        <v>25</v>
      </c>
      <c r="N11" s="9">
        <v>37</v>
      </c>
      <c r="O11" s="9">
        <v>41</v>
      </c>
      <c r="P11" s="10"/>
    </row>
    <row r="12" spans="1:16" ht="27.75" customHeight="1" x14ac:dyDescent="0.3">
      <c r="A12" s="6" t="s">
        <v>18</v>
      </c>
      <c r="B12" s="7" t="s">
        <v>23</v>
      </c>
      <c r="C12" s="8">
        <v>2025</v>
      </c>
      <c r="D12" s="9">
        <v>44</v>
      </c>
      <c r="E12" s="9">
        <v>38</v>
      </c>
      <c r="F12" s="9">
        <v>42</v>
      </c>
      <c r="G12" s="9">
        <v>31</v>
      </c>
      <c r="H12" s="9">
        <v>27</v>
      </c>
      <c r="I12" s="9">
        <v>29</v>
      </c>
      <c r="J12" s="9">
        <v>27</v>
      </c>
      <c r="K12" s="9">
        <v>26</v>
      </c>
      <c r="L12" s="9">
        <v>15</v>
      </c>
      <c r="M12" s="9">
        <v>26</v>
      </c>
      <c r="N12" s="9">
        <v>27</v>
      </c>
      <c r="O12" s="9">
        <v>34</v>
      </c>
      <c r="P12" s="10"/>
    </row>
    <row r="13" spans="1:16" ht="27.75" customHeight="1" x14ac:dyDescent="0.3">
      <c r="A13" s="6" t="s">
        <v>18</v>
      </c>
      <c r="B13" s="7" t="s">
        <v>23</v>
      </c>
      <c r="C13" s="8">
        <v>2026</v>
      </c>
      <c r="D13" s="9">
        <v>37</v>
      </c>
      <c r="E13" s="9">
        <v>51</v>
      </c>
      <c r="F13" s="9">
        <v>44</v>
      </c>
      <c r="G13" s="9">
        <v>40</v>
      </c>
      <c r="H13" s="9">
        <v>23</v>
      </c>
      <c r="I13" s="9">
        <v>22</v>
      </c>
      <c r="J13" s="9"/>
      <c r="K13" s="9"/>
      <c r="L13" s="9"/>
      <c r="M13" s="9"/>
      <c r="N13" s="9"/>
      <c r="O13" s="9"/>
      <c r="P13" s="10" t="s">
        <v>22</v>
      </c>
    </row>
    <row r="14" spans="1:16" ht="27.75" customHeight="1" x14ac:dyDescent="0.3">
      <c r="A14" s="6" t="s">
        <v>18</v>
      </c>
      <c r="B14" s="7" t="s">
        <v>24</v>
      </c>
      <c r="C14" s="8">
        <v>2024</v>
      </c>
      <c r="D14" s="9">
        <v>65</v>
      </c>
      <c r="E14" s="9">
        <v>71</v>
      </c>
      <c r="F14" s="9">
        <v>61</v>
      </c>
      <c r="G14" s="9">
        <v>52</v>
      </c>
      <c r="H14" s="9">
        <v>58</v>
      </c>
      <c r="I14" s="9">
        <v>53</v>
      </c>
      <c r="J14" s="9">
        <v>50</v>
      </c>
      <c r="K14" s="9">
        <v>47</v>
      </c>
      <c r="L14" s="9">
        <v>38</v>
      </c>
      <c r="M14" s="9">
        <v>27</v>
      </c>
      <c r="N14" s="9">
        <v>38</v>
      </c>
      <c r="O14" s="9">
        <v>43</v>
      </c>
      <c r="P14" s="10"/>
    </row>
    <row r="15" spans="1:16" ht="27.75" customHeight="1" x14ac:dyDescent="0.3">
      <c r="A15" s="6" t="s">
        <v>18</v>
      </c>
      <c r="B15" s="7" t="s">
        <v>24</v>
      </c>
      <c r="C15" s="8">
        <v>2025</v>
      </c>
      <c r="D15" s="9">
        <v>57</v>
      </c>
      <c r="E15" s="9">
        <v>55</v>
      </c>
      <c r="F15" s="9">
        <v>54</v>
      </c>
      <c r="G15" s="9">
        <v>53</v>
      </c>
      <c r="H15" s="9">
        <v>43</v>
      </c>
      <c r="I15" s="9">
        <v>43</v>
      </c>
      <c r="J15" s="9">
        <v>40</v>
      </c>
      <c r="K15" s="9">
        <v>35</v>
      </c>
      <c r="L15" s="9">
        <v>23</v>
      </c>
      <c r="M15" s="9">
        <v>29</v>
      </c>
      <c r="N15" s="9">
        <v>41</v>
      </c>
      <c r="O15" s="9">
        <v>46</v>
      </c>
      <c r="P15" s="10"/>
    </row>
    <row r="16" spans="1:16" ht="27.75" customHeight="1" x14ac:dyDescent="0.3">
      <c r="A16" s="6" t="s">
        <v>18</v>
      </c>
      <c r="B16" s="7" t="s">
        <v>24</v>
      </c>
      <c r="C16" s="8">
        <v>2026</v>
      </c>
      <c r="D16" s="9">
        <v>40</v>
      </c>
      <c r="E16" s="9">
        <v>50</v>
      </c>
      <c r="F16" s="9">
        <v>51</v>
      </c>
      <c r="G16" s="9">
        <v>50</v>
      </c>
      <c r="H16" s="9">
        <v>39</v>
      </c>
      <c r="I16" s="9">
        <v>31</v>
      </c>
      <c r="J16" s="9"/>
      <c r="K16" s="9"/>
      <c r="L16" s="9"/>
      <c r="M16" s="9"/>
      <c r="N16" s="9"/>
      <c r="O16" s="9"/>
      <c r="P16" s="10" t="s">
        <v>22</v>
      </c>
    </row>
    <row r="17" spans="1:16" ht="27.75" customHeight="1" x14ac:dyDescent="0.3">
      <c r="A17" s="6" t="s">
        <v>18</v>
      </c>
      <c r="B17" s="7" t="s">
        <v>25</v>
      </c>
      <c r="C17" s="8">
        <v>2024</v>
      </c>
      <c r="D17" s="9">
        <v>56</v>
      </c>
      <c r="E17" s="9">
        <v>55</v>
      </c>
      <c r="F17" s="9">
        <v>62</v>
      </c>
      <c r="G17" s="9">
        <v>54</v>
      </c>
      <c r="H17" s="9">
        <v>57</v>
      </c>
      <c r="I17" s="9">
        <v>55</v>
      </c>
      <c r="J17" s="9">
        <v>56</v>
      </c>
      <c r="K17" s="9">
        <v>58</v>
      </c>
      <c r="L17" s="9">
        <v>60</v>
      </c>
      <c r="M17" s="9">
        <v>57</v>
      </c>
      <c r="N17" s="9">
        <v>47</v>
      </c>
      <c r="O17" s="9">
        <v>45</v>
      </c>
      <c r="P17" s="10"/>
    </row>
    <row r="18" spans="1:16" ht="27.75" customHeight="1" x14ac:dyDescent="0.3">
      <c r="A18" s="6" t="s">
        <v>18</v>
      </c>
      <c r="B18" s="7" t="s">
        <v>25</v>
      </c>
      <c r="C18" s="8">
        <v>2025</v>
      </c>
      <c r="D18" s="9">
        <v>42</v>
      </c>
      <c r="E18" s="9">
        <v>55</v>
      </c>
      <c r="F18" s="9">
        <v>63</v>
      </c>
      <c r="G18" s="9">
        <v>58</v>
      </c>
      <c r="H18" s="9">
        <v>34</v>
      </c>
      <c r="I18" s="9">
        <v>27</v>
      </c>
      <c r="J18" s="9">
        <v>25</v>
      </c>
      <c r="K18" s="9">
        <v>27</v>
      </c>
      <c r="L18" s="9">
        <v>24</v>
      </c>
      <c r="M18" s="9">
        <v>47</v>
      </c>
      <c r="N18" s="9">
        <v>42</v>
      </c>
      <c r="O18" s="9">
        <v>40</v>
      </c>
      <c r="P18" s="10"/>
    </row>
    <row r="19" spans="1:16" ht="27.75" customHeight="1" x14ac:dyDescent="0.3">
      <c r="A19" s="6" t="s">
        <v>18</v>
      </c>
      <c r="B19" s="7" t="s">
        <v>25</v>
      </c>
      <c r="C19" s="8">
        <v>2026</v>
      </c>
      <c r="D19" s="9">
        <v>37</v>
      </c>
      <c r="E19" s="9">
        <v>32</v>
      </c>
      <c r="F19" s="9">
        <v>48</v>
      </c>
      <c r="G19" s="9">
        <v>53</v>
      </c>
      <c r="H19" s="9">
        <v>48</v>
      </c>
      <c r="I19" s="9">
        <v>31</v>
      </c>
      <c r="J19" s="9">
        <v>17</v>
      </c>
      <c r="K19" s="9"/>
      <c r="L19" s="9"/>
      <c r="M19" s="9"/>
      <c r="N19" s="9"/>
      <c r="O19" s="9"/>
      <c r="P19" s="10" t="s">
        <v>26</v>
      </c>
    </row>
    <row r="20" spans="1:16" ht="27.75" customHeight="1" x14ac:dyDescent="0.3">
      <c r="A20" s="6" t="s">
        <v>18</v>
      </c>
      <c r="B20" s="7" t="s">
        <v>27</v>
      </c>
      <c r="C20" s="8">
        <v>2024</v>
      </c>
      <c r="D20" s="9">
        <v>57</v>
      </c>
      <c r="E20" s="9">
        <v>63</v>
      </c>
      <c r="F20" s="9">
        <v>72</v>
      </c>
      <c r="G20" s="9">
        <v>65</v>
      </c>
      <c r="H20" s="9">
        <v>55</v>
      </c>
      <c r="I20" s="9">
        <v>60</v>
      </c>
      <c r="J20" s="9">
        <v>66</v>
      </c>
      <c r="K20" s="9">
        <v>57</v>
      </c>
      <c r="L20" s="9">
        <v>44</v>
      </c>
      <c r="M20" s="9">
        <v>48</v>
      </c>
      <c r="N20" s="9">
        <v>41</v>
      </c>
      <c r="O20" s="9">
        <v>48</v>
      </c>
      <c r="P20" s="10"/>
    </row>
    <row r="21" spans="1:16" ht="27.75" customHeight="1" x14ac:dyDescent="0.3">
      <c r="A21" s="6" t="s">
        <v>18</v>
      </c>
      <c r="B21" s="7" t="s">
        <v>27</v>
      </c>
      <c r="C21" s="8">
        <v>2025</v>
      </c>
      <c r="D21" s="9">
        <v>56</v>
      </c>
      <c r="E21" s="9">
        <v>70</v>
      </c>
      <c r="F21" s="9">
        <v>79</v>
      </c>
      <c r="G21" s="9">
        <v>72</v>
      </c>
      <c r="H21" s="9">
        <v>60</v>
      </c>
      <c r="I21" s="9">
        <v>59</v>
      </c>
      <c r="J21" s="9">
        <v>49</v>
      </c>
      <c r="K21" s="9">
        <v>48</v>
      </c>
      <c r="L21" s="9">
        <v>37</v>
      </c>
      <c r="M21" s="9">
        <v>59</v>
      </c>
      <c r="N21" s="9">
        <v>57</v>
      </c>
      <c r="O21" s="9">
        <v>59</v>
      </c>
      <c r="P21" s="10"/>
    </row>
    <row r="22" spans="1:16" ht="27.75" customHeight="1" x14ac:dyDescent="0.3">
      <c r="A22" s="6" t="s">
        <v>18</v>
      </c>
      <c r="B22" s="7" t="s">
        <v>27</v>
      </c>
      <c r="C22" s="8">
        <v>2026</v>
      </c>
      <c r="D22" s="9">
        <v>64</v>
      </c>
      <c r="E22" s="9">
        <v>69</v>
      </c>
      <c r="F22" s="9">
        <v>81</v>
      </c>
      <c r="G22" s="9">
        <v>84</v>
      </c>
      <c r="H22" s="9">
        <v>76</v>
      </c>
      <c r="I22" s="9">
        <v>50</v>
      </c>
      <c r="J22" s="9">
        <v>39</v>
      </c>
      <c r="K22" s="9"/>
      <c r="L22" s="9"/>
      <c r="M22" s="9"/>
      <c r="N22" s="9"/>
      <c r="O22" s="9"/>
      <c r="P22" s="10" t="s">
        <v>26</v>
      </c>
    </row>
    <row r="23" spans="1:16" ht="27.75" customHeight="1" x14ac:dyDescent="0.3">
      <c r="A23" s="11" t="s">
        <v>28</v>
      </c>
      <c r="B23" s="12" t="s">
        <v>29</v>
      </c>
      <c r="C23" s="13">
        <v>2024</v>
      </c>
      <c r="D23" s="14">
        <v>58</v>
      </c>
      <c r="E23" s="14">
        <v>64</v>
      </c>
      <c r="F23" s="14">
        <v>66</v>
      </c>
      <c r="G23" s="14">
        <v>56</v>
      </c>
      <c r="H23" s="14">
        <v>49</v>
      </c>
      <c r="I23" s="14">
        <v>64</v>
      </c>
      <c r="J23" s="14">
        <v>71</v>
      </c>
      <c r="K23" s="14">
        <v>58</v>
      </c>
      <c r="L23" s="14">
        <v>36</v>
      </c>
      <c r="M23" s="14">
        <v>58</v>
      </c>
      <c r="N23" s="14">
        <v>57</v>
      </c>
      <c r="O23" s="14">
        <v>56</v>
      </c>
      <c r="P23" s="15"/>
    </row>
    <row r="24" spans="1:16" ht="27.75" customHeight="1" x14ac:dyDescent="0.3">
      <c r="A24" s="11" t="s">
        <v>28</v>
      </c>
      <c r="B24" s="12" t="s">
        <v>29</v>
      </c>
      <c r="C24" s="13">
        <v>2025</v>
      </c>
      <c r="D24" s="14">
        <v>57</v>
      </c>
      <c r="E24" s="14">
        <v>52</v>
      </c>
      <c r="F24" s="14">
        <v>61</v>
      </c>
      <c r="G24" s="14">
        <v>57</v>
      </c>
      <c r="H24" s="14">
        <v>33</v>
      </c>
      <c r="I24" s="14">
        <v>46</v>
      </c>
      <c r="J24" s="14">
        <v>53</v>
      </c>
      <c r="K24" s="14">
        <v>38</v>
      </c>
      <c r="L24" s="14">
        <v>22</v>
      </c>
      <c r="M24" s="14">
        <v>45</v>
      </c>
      <c r="N24" s="14">
        <v>42</v>
      </c>
      <c r="O24" s="14">
        <v>43</v>
      </c>
      <c r="P24" s="15"/>
    </row>
    <row r="25" spans="1:16" ht="27.75" customHeight="1" x14ac:dyDescent="0.3">
      <c r="A25" s="11" t="s">
        <v>28</v>
      </c>
      <c r="B25" s="12" t="s">
        <v>29</v>
      </c>
      <c r="C25" s="13">
        <v>2026</v>
      </c>
      <c r="D25" s="14">
        <v>46</v>
      </c>
      <c r="E25" s="14">
        <v>50</v>
      </c>
      <c r="F25" s="14">
        <v>40</v>
      </c>
      <c r="G25" s="14">
        <v>40</v>
      </c>
      <c r="H25" s="14">
        <v>24</v>
      </c>
      <c r="I25" s="14">
        <v>37</v>
      </c>
      <c r="J25" s="14"/>
      <c r="K25" s="14"/>
      <c r="L25" s="14"/>
      <c r="M25" s="14"/>
      <c r="N25" s="14"/>
      <c r="O25" s="14"/>
      <c r="P25" s="15" t="s">
        <v>22</v>
      </c>
    </row>
    <row r="26" spans="1:16" ht="27.75" customHeight="1" x14ac:dyDescent="0.3">
      <c r="A26" s="11" t="s">
        <v>28</v>
      </c>
      <c r="B26" s="12" t="s">
        <v>30</v>
      </c>
      <c r="C26" s="13">
        <v>2024</v>
      </c>
      <c r="D26" s="14">
        <v>53</v>
      </c>
      <c r="E26" s="14">
        <v>66</v>
      </c>
      <c r="F26" s="14">
        <v>68</v>
      </c>
      <c r="G26" s="14">
        <v>56</v>
      </c>
      <c r="H26" s="14">
        <v>49</v>
      </c>
      <c r="I26" s="14">
        <v>47</v>
      </c>
      <c r="J26" s="14">
        <v>55</v>
      </c>
      <c r="K26" s="14">
        <v>36</v>
      </c>
      <c r="L26" s="14">
        <v>21</v>
      </c>
      <c r="M26" s="14">
        <v>39</v>
      </c>
      <c r="N26" s="14">
        <v>50</v>
      </c>
      <c r="O26" s="14">
        <v>53</v>
      </c>
      <c r="P26" s="15"/>
    </row>
    <row r="27" spans="1:16" ht="27.75" customHeight="1" x14ac:dyDescent="0.3">
      <c r="A27" s="11" t="s">
        <v>28</v>
      </c>
      <c r="B27" s="12" t="s">
        <v>30</v>
      </c>
      <c r="C27" s="13">
        <v>2025</v>
      </c>
      <c r="D27" s="14">
        <v>51</v>
      </c>
      <c r="E27" s="14">
        <v>54</v>
      </c>
      <c r="F27" s="14">
        <v>61</v>
      </c>
      <c r="G27" s="14">
        <v>56</v>
      </c>
      <c r="H27" s="14">
        <v>35</v>
      </c>
      <c r="I27" s="14">
        <v>44</v>
      </c>
      <c r="J27" s="14">
        <v>41</v>
      </c>
      <c r="K27" s="14">
        <v>38</v>
      </c>
      <c r="L27" s="14">
        <v>16</v>
      </c>
      <c r="M27" s="14">
        <v>42</v>
      </c>
      <c r="N27" s="14">
        <v>44</v>
      </c>
      <c r="O27" s="14">
        <v>48</v>
      </c>
      <c r="P27" s="15"/>
    </row>
    <row r="28" spans="1:16" ht="27.75" customHeight="1" x14ac:dyDescent="0.3">
      <c r="A28" s="11" t="s">
        <v>28</v>
      </c>
      <c r="B28" s="12" t="s">
        <v>30</v>
      </c>
      <c r="C28" s="13">
        <v>2026</v>
      </c>
      <c r="D28" s="14">
        <v>63</v>
      </c>
      <c r="E28" s="14">
        <v>66</v>
      </c>
      <c r="F28" s="14">
        <v>56</v>
      </c>
      <c r="G28" s="14">
        <v>50</v>
      </c>
      <c r="H28" s="14">
        <v>39</v>
      </c>
      <c r="I28" s="14">
        <v>33</v>
      </c>
      <c r="J28" s="14"/>
      <c r="K28" s="14"/>
      <c r="L28" s="14"/>
      <c r="M28" s="14"/>
      <c r="N28" s="14"/>
      <c r="O28" s="14"/>
      <c r="P28" s="15" t="s">
        <v>22</v>
      </c>
    </row>
    <row r="29" spans="1:16" ht="27.75" customHeight="1" x14ac:dyDescent="0.3">
      <c r="A29" s="11" t="s">
        <v>28</v>
      </c>
      <c r="B29" s="12" t="s">
        <v>31</v>
      </c>
      <c r="C29" s="13">
        <v>2024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 t="s">
        <v>32</v>
      </c>
    </row>
    <row r="30" spans="1:16" ht="27.75" customHeight="1" x14ac:dyDescent="0.3">
      <c r="A30" s="11" t="s">
        <v>28</v>
      </c>
      <c r="B30" s="12" t="s">
        <v>31</v>
      </c>
      <c r="C30" s="13">
        <v>2025</v>
      </c>
      <c r="D30" s="14"/>
      <c r="E30" s="14"/>
      <c r="F30" s="14"/>
      <c r="G30" s="14"/>
      <c r="H30" s="14">
        <v>36</v>
      </c>
      <c r="I30" s="14">
        <v>76</v>
      </c>
      <c r="J30" s="14">
        <v>76</v>
      </c>
      <c r="K30" s="14">
        <v>53</v>
      </c>
      <c r="L30" s="14">
        <v>49</v>
      </c>
      <c r="M30" s="14">
        <v>60</v>
      </c>
      <c r="N30" s="14">
        <v>48</v>
      </c>
      <c r="O30" s="14">
        <v>48</v>
      </c>
      <c r="P30" s="15" t="s">
        <v>33</v>
      </c>
    </row>
    <row r="31" spans="1:16" ht="27.75" customHeight="1" x14ac:dyDescent="0.3">
      <c r="A31" s="11" t="s">
        <v>28</v>
      </c>
      <c r="B31" s="12" t="s">
        <v>31</v>
      </c>
      <c r="C31" s="13">
        <v>2026</v>
      </c>
      <c r="D31" s="14">
        <v>58</v>
      </c>
      <c r="E31" s="14">
        <v>65</v>
      </c>
      <c r="F31" s="14">
        <v>34</v>
      </c>
      <c r="G31" s="14">
        <v>37</v>
      </c>
      <c r="H31" s="14">
        <v>21</v>
      </c>
      <c r="I31" s="14">
        <v>30</v>
      </c>
      <c r="J31" s="14"/>
      <c r="K31" s="14"/>
      <c r="L31" s="14"/>
      <c r="M31" s="14"/>
      <c r="N31" s="14"/>
      <c r="O31" s="14"/>
      <c r="P31" s="15" t="s">
        <v>22</v>
      </c>
    </row>
    <row r="32" spans="1:16" ht="27.75" customHeight="1" x14ac:dyDescent="0.3">
      <c r="A32" s="11" t="s">
        <v>28</v>
      </c>
      <c r="B32" s="12" t="s">
        <v>34</v>
      </c>
      <c r="C32" s="13">
        <v>2024</v>
      </c>
      <c r="D32" s="14">
        <v>31</v>
      </c>
      <c r="E32" s="14">
        <v>31</v>
      </c>
      <c r="F32" s="14">
        <v>51</v>
      </c>
      <c r="G32" s="14">
        <v>39</v>
      </c>
      <c r="H32" s="14">
        <v>33</v>
      </c>
      <c r="I32" s="14">
        <v>50</v>
      </c>
      <c r="J32" s="14">
        <v>68</v>
      </c>
      <c r="K32" s="14">
        <v>61</v>
      </c>
      <c r="L32" s="14">
        <v>25</v>
      </c>
      <c r="M32" s="14">
        <v>33</v>
      </c>
      <c r="N32" s="14">
        <v>38</v>
      </c>
      <c r="O32" s="14">
        <v>38</v>
      </c>
      <c r="P32" s="15"/>
    </row>
    <row r="33" spans="1:16" ht="27.75" customHeight="1" x14ac:dyDescent="0.3">
      <c r="A33" s="11" t="s">
        <v>28</v>
      </c>
      <c r="B33" s="12" t="s">
        <v>34</v>
      </c>
      <c r="C33" s="13">
        <v>2025</v>
      </c>
      <c r="D33" s="14">
        <v>19</v>
      </c>
      <c r="E33" s="14">
        <v>17</v>
      </c>
      <c r="F33" s="14">
        <v>38</v>
      </c>
      <c r="G33" s="14">
        <v>41</v>
      </c>
      <c r="H33" s="14">
        <v>35</v>
      </c>
      <c r="I33" s="14">
        <v>39</v>
      </c>
      <c r="J33" s="14">
        <v>54</v>
      </c>
      <c r="K33" s="14">
        <v>55</v>
      </c>
      <c r="L33" s="14">
        <v>16</v>
      </c>
      <c r="M33" s="14">
        <v>26</v>
      </c>
      <c r="N33" s="14">
        <v>33</v>
      </c>
      <c r="O33" s="14">
        <v>38</v>
      </c>
      <c r="P33" s="15"/>
    </row>
    <row r="34" spans="1:16" ht="27.75" customHeight="1" x14ac:dyDescent="0.3">
      <c r="A34" s="11" t="s">
        <v>28</v>
      </c>
      <c r="B34" s="12" t="s">
        <v>34</v>
      </c>
      <c r="C34" s="13">
        <v>2026</v>
      </c>
      <c r="D34" s="14">
        <v>22</v>
      </c>
      <c r="E34" s="14">
        <v>22</v>
      </c>
      <c r="F34" s="14">
        <v>37</v>
      </c>
      <c r="G34" s="14">
        <v>43</v>
      </c>
      <c r="H34" s="14">
        <v>24</v>
      </c>
      <c r="I34" s="14"/>
      <c r="J34" s="14"/>
      <c r="K34" s="14"/>
      <c r="L34" s="14"/>
      <c r="M34" s="14"/>
      <c r="N34" s="14"/>
      <c r="O34" s="14"/>
      <c r="P34" s="15" t="s">
        <v>35</v>
      </c>
    </row>
    <row r="35" spans="1:16" ht="27.75" customHeight="1" x14ac:dyDescent="0.3">
      <c r="A35" s="11" t="s">
        <v>28</v>
      </c>
      <c r="B35" s="12" t="s">
        <v>36</v>
      </c>
      <c r="C35" s="13">
        <v>2024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 t="s">
        <v>37</v>
      </c>
    </row>
    <row r="36" spans="1:16" ht="27.75" customHeight="1" x14ac:dyDescent="0.3">
      <c r="A36" s="11" t="s">
        <v>28</v>
      </c>
      <c r="B36" s="12" t="s">
        <v>36</v>
      </c>
      <c r="C36" s="13">
        <v>2025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 t="s">
        <v>38</v>
      </c>
    </row>
    <row r="37" spans="1:16" ht="27.75" customHeight="1" x14ac:dyDescent="0.3">
      <c r="A37" s="11" t="s">
        <v>28</v>
      </c>
      <c r="B37" s="12" t="s">
        <v>36</v>
      </c>
      <c r="C37" s="13">
        <v>2026</v>
      </c>
      <c r="D37" s="14"/>
      <c r="E37" s="14"/>
      <c r="F37" s="14"/>
      <c r="G37" s="14"/>
      <c r="H37" s="14">
        <v>19</v>
      </c>
      <c r="I37" s="14">
        <v>25</v>
      </c>
      <c r="J37" s="14">
        <v>46</v>
      </c>
      <c r="K37" s="14"/>
      <c r="L37" s="14"/>
      <c r="M37" s="14"/>
      <c r="N37" s="14"/>
      <c r="O37" s="14"/>
      <c r="P37" s="15" t="s">
        <v>39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5" customHeight="1" x14ac:dyDescent="0.3">
      <c r="A1" s="16" t="s">
        <v>40</v>
      </c>
    </row>
    <row r="3" spans="1:1" ht="15" customHeight="1" x14ac:dyDescent="0.3">
      <c r="A3" s="17" t="s">
        <v>41</v>
      </c>
    </row>
    <row r="4" spans="1:1" ht="15" customHeight="1" x14ac:dyDescent="0.3">
      <c r="A4" s="17" t="s">
        <v>42</v>
      </c>
    </row>
    <row r="5" spans="1:1" ht="15" customHeight="1" x14ac:dyDescent="0.3">
      <c r="A5" s="17" t="s">
        <v>43</v>
      </c>
    </row>
    <row r="6" spans="1:1" ht="15" customHeight="1" x14ac:dyDescent="0.3">
      <c r="A6" s="17" t="s">
        <v>44</v>
      </c>
    </row>
    <row r="7" spans="1:1" ht="15" customHeight="1" x14ac:dyDescent="0.3">
      <c r="A7" s="17" t="s">
        <v>45</v>
      </c>
    </row>
    <row r="8" spans="1:1" ht="15" customHeight="1" x14ac:dyDescent="0.3">
      <c r="A8" s="17" t="s">
        <v>46</v>
      </c>
    </row>
    <row r="9" spans="1:1" ht="15" customHeight="1" x14ac:dyDescent="0.3">
      <c r="A9" s="17" t="s">
        <v>47</v>
      </c>
    </row>
    <row r="10" spans="1:1" ht="15" customHeight="1" x14ac:dyDescent="0.3">
      <c r="A10" s="17" t="s">
        <v>48</v>
      </c>
    </row>
    <row r="11" spans="1:1" ht="15" customHeight="1" x14ac:dyDescent="0.3">
      <c r="A11" s="17" t="s">
        <v>49</v>
      </c>
    </row>
    <row r="12" spans="1:1" ht="15" customHeight="1" x14ac:dyDescent="0.3">
      <c r="A12" s="17" t="s">
        <v>50</v>
      </c>
    </row>
    <row r="13" spans="1:1" ht="15" customHeight="1" x14ac:dyDescent="0.3">
      <c r="A13" s="17" t="s">
        <v>51</v>
      </c>
    </row>
    <row r="14" spans="1:1" ht="15" customHeight="1" x14ac:dyDescent="0.3">
      <c r="A14" s="17" t="s">
        <v>52</v>
      </c>
    </row>
    <row r="17" spans="1:1" ht="15" customHeight="1" x14ac:dyDescent="0.3">
      <c r="A17" s="16" t="s">
        <v>53</v>
      </c>
    </row>
    <row r="18" spans="1:1" ht="45" customHeight="1" x14ac:dyDescent="0.3">
      <c r="A18" s="17" t="s">
        <v>54</v>
      </c>
    </row>
    <row r="19" spans="1:1" ht="45" customHeight="1" x14ac:dyDescent="0.3">
      <c r="A19" s="17" t="s">
        <v>55</v>
      </c>
    </row>
    <row r="20" spans="1:1" ht="45" customHeight="1" x14ac:dyDescent="0.3">
      <c r="A20" s="17" t="s">
        <v>56</v>
      </c>
    </row>
    <row r="21" spans="1:1" ht="45" customHeight="1" x14ac:dyDescent="0.3">
      <c r="A21" s="17" t="s">
        <v>57</v>
      </c>
    </row>
    <row r="22" spans="1:1" ht="45" customHeight="1" x14ac:dyDescent="0.3">
      <c r="A22" s="17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00" workbookViewId="0"/>
  </sheetViews>
  <sheetFormatPr defaultColWidth="8.6640625" defaultRowHeight="14.4" x14ac:dyDescent="0.3"/>
  <cols>
    <col min="1" max="1" width="34" customWidth="1"/>
    <col min="2" max="8" width="14" customWidth="1"/>
  </cols>
  <sheetData>
    <row r="1" spans="1:8" ht="17.25" customHeight="1" x14ac:dyDescent="0.3">
      <c r="A1" s="4" t="s">
        <v>59</v>
      </c>
      <c r="B1" s="4"/>
      <c r="C1" s="4"/>
      <c r="D1" s="4"/>
      <c r="E1" s="4"/>
      <c r="F1" s="4"/>
      <c r="G1" s="4"/>
      <c r="H1" s="4"/>
    </row>
    <row r="2" spans="1:8" ht="15" customHeight="1" x14ac:dyDescent="0.3">
      <c r="A2" s="3" t="s">
        <v>60</v>
      </c>
      <c r="B2" s="3"/>
      <c r="C2" s="3"/>
      <c r="D2" s="3"/>
      <c r="E2" s="3"/>
      <c r="F2" s="3"/>
      <c r="G2" s="3"/>
      <c r="H2" s="3"/>
    </row>
    <row r="4" spans="1:8" ht="23.25" customHeight="1" x14ac:dyDescent="0.3">
      <c r="A4" s="5" t="s">
        <v>3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</row>
    <row r="5" spans="1:8" ht="15" customHeight="1" x14ac:dyDescent="0.3">
      <c r="A5" s="18" t="s">
        <v>68</v>
      </c>
      <c r="B5" s="19">
        <f>AVERAGE('Crowd Level by Month'!G5:I5)</f>
        <v>45.666666666666664</v>
      </c>
      <c r="C5" s="19">
        <f>AVERAGE('Crowd Level by Month'!G6:I6)</f>
        <v>32.333333333333336</v>
      </c>
      <c r="D5" s="19">
        <f>AVERAGE('Crowd Level by Month'!G7:I7)</f>
        <v>31.333333333333332</v>
      </c>
      <c r="E5" s="20">
        <f t="shared" ref="E5:E11" si="0">D5-C5</f>
        <v>-1.0000000000000036</v>
      </c>
      <c r="F5" s="20">
        <f t="shared" ref="F5:F11" si="1">D5-B5</f>
        <v>-14.333333333333332</v>
      </c>
      <c r="G5" s="21" t="str">
        <f t="shared" ref="G5:H11" si="2">IF(E5&gt;0,"Up",IF(E5&lt;0,"Down","Flat"))</f>
        <v>Down</v>
      </c>
      <c r="H5" s="21" t="str">
        <f t="shared" si="2"/>
        <v>Down</v>
      </c>
    </row>
    <row r="6" spans="1:8" ht="15" customHeight="1" x14ac:dyDescent="0.3">
      <c r="A6" s="18" t="s">
        <v>69</v>
      </c>
      <c r="B6" s="19">
        <f>AVERAGE('Crowd Level by Month'!G8:I8)</f>
        <v>56.666666666666664</v>
      </c>
      <c r="C6" s="19">
        <f>AVERAGE('Crowd Level by Month'!G9:I9)</f>
        <v>41.333333333333336</v>
      </c>
      <c r="D6" s="19">
        <f>AVERAGE('Crowd Level by Month'!G10:I10)</f>
        <v>53.666666666666664</v>
      </c>
      <c r="E6" s="20">
        <f t="shared" si="0"/>
        <v>12.333333333333329</v>
      </c>
      <c r="F6" s="20">
        <f t="shared" si="1"/>
        <v>-3</v>
      </c>
      <c r="G6" s="21" t="str">
        <f t="shared" si="2"/>
        <v>Up</v>
      </c>
      <c r="H6" s="21" t="str">
        <f t="shared" si="2"/>
        <v>Down</v>
      </c>
    </row>
    <row r="7" spans="1:8" ht="15" customHeight="1" x14ac:dyDescent="0.3">
      <c r="A7" s="18" t="s">
        <v>70</v>
      </c>
      <c r="B7" s="19">
        <f>AVERAGE('Crowd Level by Month'!G11:I11)</f>
        <v>47</v>
      </c>
      <c r="C7" s="19">
        <f>AVERAGE('Crowd Level by Month'!G12:I12)</f>
        <v>29</v>
      </c>
      <c r="D7" s="19">
        <f>AVERAGE('Crowd Level by Month'!G13:I13)</f>
        <v>28.333333333333332</v>
      </c>
      <c r="E7" s="20">
        <f t="shared" si="0"/>
        <v>-0.66666666666666785</v>
      </c>
      <c r="F7" s="20">
        <f t="shared" si="1"/>
        <v>-18.666666666666668</v>
      </c>
      <c r="G7" s="21" t="str">
        <f t="shared" si="2"/>
        <v>Down</v>
      </c>
      <c r="H7" s="21" t="str">
        <f t="shared" si="2"/>
        <v>Down</v>
      </c>
    </row>
    <row r="8" spans="1:8" ht="15" customHeight="1" x14ac:dyDescent="0.3">
      <c r="A8" s="18" t="s">
        <v>71</v>
      </c>
      <c r="B8" s="19">
        <f>AVERAGE('Crowd Level by Month'!G14:I14)</f>
        <v>54.333333333333336</v>
      </c>
      <c r="C8" s="19">
        <f>AVERAGE('Crowd Level by Month'!G15:I15)</f>
        <v>46.333333333333336</v>
      </c>
      <c r="D8" s="19">
        <f>AVERAGE('Crowd Level by Month'!G16:I16)</f>
        <v>40</v>
      </c>
      <c r="E8" s="20">
        <f t="shared" si="0"/>
        <v>-6.3333333333333357</v>
      </c>
      <c r="F8" s="20">
        <f t="shared" si="1"/>
        <v>-14.333333333333336</v>
      </c>
      <c r="G8" s="21" t="str">
        <f t="shared" si="2"/>
        <v>Down</v>
      </c>
      <c r="H8" s="21" t="str">
        <f t="shared" si="2"/>
        <v>Down</v>
      </c>
    </row>
    <row r="9" spans="1:8" ht="15" customHeight="1" x14ac:dyDescent="0.3">
      <c r="A9" s="18" t="s">
        <v>72</v>
      </c>
      <c r="B9" s="19">
        <f>AVERAGE('Crowd Level by Month'!G17:I17)</f>
        <v>55.333333333333336</v>
      </c>
      <c r="C9" s="19">
        <f>AVERAGE('Crowd Level by Month'!G18:I18)</f>
        <v>39.666666666666664</v>
      </c>
      <c r="D9" s="19">
        <f>AVERAGE('Crowd Level by Month'!G19:I19)</f>
        <v>44</v>
      </c>
      <c r="E9" s="20">
        <f t="shared" si="0"/>
        <v>4.3333333333333357</v>
      </c>
      <c r="F9" s="20">
        <f t="shared" si="1"/>
        <v>-11.333333333333336</v>
      </c>
      <c r="G9" s="21" t="str">
        <f t="shared" si="2"/>
        <v>Up</v>
      </c>
      <c r="H9" s="21" t="str">
        <f t="shared" si="2"/>
        <v>Down</v>
      </c>
    </row>
    <row r="10" spans="1:8" ht="15" customHeight="1" x14ac:dyDescent="0.3">
      <c r="A10" s="18" t="s">
        <v>73</v>
      </c>
      <c r="B10" s="19">
        <f>AVERAGE('Crowd Level by Month'!G20:I20)</f>
        <v>60</v>
      </c>
      <c r="C10" s="19">
        <f>AVERAGE('Crowd Level by Month'!G21:I21)</f>
        <v>63.666666666666664</v>
      </c>
      <c r="D10" s="19">
        <f>AVERAGE('Crowd Level by Month'!G22:I22)</f>
        <v>70</v>
      </c>
      <c r="E10" s="20">
        <f t="shared" si="0"/>
        <v>6.3333333333333357</v>
      </c>
      <c r="F10" s="20">
        <f t="shared" si="1"/>
        <v>10</v>
      </c>
      <c r="G10" s="21" t="str">
        <f t="shared" si="2"/>
        <v>Up</v>
      </c>
      <c r="H10" s="21" t="str">
        <f t="shared" si="2"/>
        <v>Up</v>
      </c>
    </row>
    <row r="11" spans="1:8" ht="15" customHeight="1" x14ac:dyDescent="0.3">
      <c r="A11" s="22" t="s">
        <v>74</v>
      </c>
      <c r="B11" s="23">
        <f>AVERAGE(B5:B10)</f>
        <v>53.166666666666664</v>
      </c>
      <c r="C11" s="23">
        <f>AVERAGE(C5:C10)</f>
        <v>42.05555555555555</v>
      </c>
      <c r="D11" s="23">
        <f>AVERAGE(D5:D10)</f>
        <v>44.55555555555555</v>
      </c>
      <c r="E11" s="24">
        <f t="shared" si="0"/>
        <v>2.5</v>
      </c>
      <c r="F11" s="24">
        <f t="shared" si="1"/>
        <v>-8.6111111111111143</v>
      </c>
      <c r="G11" s="25" t="str">
        <f t="shared" si="2"/>
        <v>Up</v>
      </c>
      <c r="H11" s="25" t="str">
        <f t="shared" si="2"/>
        <v>Down</v>
      </c>
    </row>
    <row r="13" spans="1:8" ht="15" customHeight="1" x14ac:dyDescent="0.3">
      <c r="A13" s="26" t="s">
        <v>75</v>
      </c>
      <c r="B13" s="23">
        <f>AVERAGE(B5:B8)</f>
        <v>50.916666666666664</v>
      </c>
      <c r="C13" s="23">
        <f>AVERAGE(C5:C8)</f>
        <v>37.25</v>
      </c>
      <c r="D13" s="23">
        <f>AVERAGE(D5:D8)</f>
        <v>38.333333333333329</v>
      </c>
      <c r="E13" s="24">
        <f>D13-C13</f>
        <v>1.0833333333333286</v>
      </c>
      <c r="F13" s="24">
        <f>D13-B13</f>
        <v>-12.583333333333336</v>
      </c>
    </row>
    <row r="14" spans="1:8" ht="15" customHeight="1" x14ac:dyDescent="0.3">
      <c r="A14" s="26" t="s">
        <v>76</v>
      </c>
      <c r="B14" s="23">
        <f>AVERAGE(B9:B10)</f>
        <v>57.666666666666671</v>
      </c>
      <c r="C14" s="23">
        <f>AVERAGE(C9:C10)</f>
        <v>51.666666666666664</v>
      </c>
      <c r="D14" s="23">
        <f>AVERAGE(D9:D10)</f>
        <v>57</v>
      </c>
      <c r="E14" s="24">
        <f>D14-C14</f>
        <v>5.3333333333333357</v>
      </c>
      <c r="F14" s="24">
        <f>D14-B14</f>
        <v>-0.6666666666666714</v>
      </c>
    </row>
    <row r="36" spans="1:8" ht="15" customHeight="1" x14ac:dyDescent="0.3">
      <c r="A36" s="2" t="s">
        <v>77</v>
      </c>
      <c r="B36" s="2"/>
      <c r="C36" s="2"/>
      <c r="D36" s="2"/>
      <c r="E36" s="2"/>
      <c r="F36" s="2"/>
      <c r="G36" s="2"/>
      <c r="H36" s="2"/>
    </row>
    <row r="37" spans="1:8" ht="15" customHeight="1" x14ac:dyDescent="0.3">
      <c r="A37" s="1" t="s">
        <v>78</v>
      </c>
      <c r="B37" s="1"/>
      <c r="C37" s="1"/>
      <c r="D37" s="1"/>
      <c r="E37" s="1"/>
      <c r="F37" s="1"/>
      <c r="G37" s="1"/>
      <c r="H37" s="1"/>
    </row>
    <row r="38" spans="1:8" ht="15" customHeight="1" x14ac:dyDescent="0.3">
      <c r="A38" s="1" t="s">
        <v>79</v>
      </c>
      <c r="B38" s="1"/>
      <c r="C38" s="1"/>
      <c r="D38" s="1"/>
      <c r="E38" s="1"/>
      <c r="F38" s="1"/>
      <c r="G38" s="1"/>
      <c r="H38" s="1"/>
    </row>
    <row r="39" spans="1:8" ht="15" customHeight="1" x14ac:dyDescent="0.3">
      <c r="A39" s="1" t="s">
        <v>80</v>
      </c>
      <c r="B39" s="1"/>
      <c r="C39" s="1"/>
      <c r="D39" s="1"/>
      <c r="E39" s="1"/>
      <c r="F39" s="1"/>
      <c r="G39" s="1"/>
      <c r="H39" s="1"/>
    </row>
    <row r="40" spans="1:8" ht="15" customHeight="1" x14ac:dyDescent="0.3">
      <c r="A40" s="1" t="s">
        <v>81</v>
      </c>
      <c r="B40" s="1"/>
      <c r="C40" s="1"/>
      <c r="D40" s="1"/>
      <c r="E40" s="1"/>
      <c r="F40" s="1"/>
      <c r="G40" s="1"/>
      <c r="H40" s="1"/>
    </row>
    <row r="41" spans="1:8" ht="15" customHeight="1" x14ac:dyDescent="0.3">
      <c r="A41" s="1" t="s">
        <v>82</v>
      </c>
      <c r="B41" s="1"/>
      <c r="C41" s="1"/>
      <c r="D41" s="1"/>
      <c r="E41" s="1"/>
      <c r="F41" s="1"/>
      <c r="G41" s="1"/>
      <c r="H41" s="1"/>
    </row>
  </sheetData>
  <mergeCells count="8">
    <mergeCell ref="A39:H39"/>
    <mergeCell ref="A40:H40"/>
    <mergeCell ref="A41:H41"/>
    <mergeCell ref="A1:H1"/>
    <mergeCell ref="A2:H2"/>
    <mergeCell ref="A36:H36"/>
    <mergeCell ref="A37:H37"/>
    <mergeCell ref="A38:H38"/>
  </mergeCells>
  <conditionalFormatting sqref="E5:F14">
    <cfRule type="colorScale" priority="2">
      <colorScale>
        <cfvo type="min"/>
        <cfvo type="num" val="0"/>
        <cfvo type="max"/>
        <color rgb="FFF09595"/>
        <color rgb="FFFFFFFF"/>
        <color rgb="FF97C45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zoomScaleNormal="100" workbookViewId="0">
      <selection activeCell="D5" sqref="D5"/>
    </sheetView>
  </sheetViews>
  <sheetFormatPr defaultColWidth="8.6640625" defaultRowHeight="14.4" x14ac:dyDescent="0.3"/>
  <cols>
    <col min="1" max="1" width="34" customWidth="1"/>
    <col min="2" max="8" width="14" customWidth="1"/>
  </cols>
  <sheetData>
    <row r="1" spans="1:8" ht="17.399999999999999" x14ac:dyDescent="0.3">
      <c r="A1" s="4" t="s">
        <v>83</v>
      </c>
      <c r="B1" s="4"/>
      <c r="C1" s="4"/>
      <c r="D1" s="4"/>
      <c r="E1" s="4"/>
      <c r="F1" s="4"/>
      <c r="G1" s="4"/>
      <c r="H1" s="4"/>
    </row>
    <row r="2" spans="1:8" x14ac:dyDescent="0.3">
      <c r="A2" s="3" t="s">
        <v>84</v>
      </c>
      <c r="B2" s="3"/>
      <c r="C2" s="3"/>
      <c r="D2" s="3"/>
      <c r="E2" s="3"/>
      <c r="F2" s="3"/>
      <c r="G2" s="3"/>
      <c r="H2" s="3"/>
    </row>
    <row r="4" spans="1:8" ht="26.4" x14ac:dyDescent="0.3">
      <c r="A4" s="27" t="s">
        <v>3</v>
      </c>
      <c r="B4" s="27" t="s">
        <v>85</v>
      </c>
      <c r="C4" s="27" t="s">
        <v>86</v>
      </c>
      <c r="D4" s="27" t="s">
        <v>87</v>
      </c>
      <c r="E4" s="27" t="s">
        <v>64</v>
      </c>
      <c r="F4" s="27" t="s">
        <v>65</v>
      </c>
      <c r="G4" s="27" t="s">
        <v>66</v>
      </c>
      <c r="H4" s="27" t="s">
        <v>67</v>
      </c>
    </row>
    <row r="5" spans="1:8" x14ac:dyDescent="0.3">
      <c r="A5" s="18" t="s">
        <v>68</v>
      </c>
      <c r="B5" s="19">
        <f>SUM('Crowd Level by Month'!G5:I5)</f>
        <v>137</v>
      </c>
      <c r="C5" s="19">
        <f>SUM('Crowd Level by Month'!G6:I6)</f>
        <v>97</v>
      </c>
      <c r="D5" s="19">
        <f>SUM('Crowd Level by Month'!G7:I7)</f>
        <v>94</v>
      </c>
      <c r="E5" s="20">
        <f t="shared" ref="E5:E11" si="0">D5-C5</f>
        <v>-3</v>
      </c>
      <c r="F5" s="20">
        <f t="shared" ref="F5:F11" si="1">D5-B5</f>
        <v>-43</v>
      </c>
      <c r="G5" s="21" t="str">
        <f t="shared" ref="G5:H11" si="2">IF(E5&gt;0,"Up",IF(E5&lt;0,"Down","Flat"))</f>
        <v>Down</v>
      </c>
      <c r="H5" s="21" t="str">
        <f t="shared" si="2"/>
        <v>Down</v>
      </c>
    </row>
    <row r="6" spans="1:8" x14ac:dyDescent="0.3">
      <c r="A6" s="18" t="s">
        <v>69</v>
      </c>
      <c r="B6" s="19">
        <f>SUM('Crowd Level by Month'!G8:I8)</f>
        <v>170</v>
      </c>
      <c r="C6" s="19">
        <f>SUM('Crowd Level by Month'!G9:I9)</f>
        <v>124</v>
      </c>
      <c r="D6" s="19">
        <f>SUM('Crowd Level by Month'!G10:I10)</f>
        <v>161</v>
      </c>
      <c r="E6" s="20">
        <f t="shared" si="0"/>
        <v>37</v>
      </c>
      <c r="F6" s="20">
        <f t="shared" si="1"/>
        <v>-9</v>
      </c>
      <c r="G6" s="21" t="str">
        <f t="shared" si="2"/>
        <v>Up</v>
      </c>
      <c r="H6" s="21" t="str">
        <f t="shared" si="2"/>
        <v>Down</v>
      </c>
    </row>
    <row r="7" spans="1:8" x14ac:dyDescent="0.3">
      <c r="A7" s="18" t="s">
        <v>70</v>
      </c>
      <c r="B7" s="19">
        <f>SUM('Crowd Level by Month'!G11:I11)</f>
        <v>141</v>
      </c>
      <c r="C7" s="19">
        <f>SUM('Crowd Level by Month'!G12:I12)</f>
        <v>87</v>
      </c>
      <c r="D7" s="19">
        <f>SUM('Crowd Level by Month'!G13:I13)</f>
        <v>85</v>
      </c>
      <c r="E7" s="20">
        <f t="shared" si="0"/>
        <v>-2</v>
      </c>
      <c r="F7" s="20">
        <f t="shared" si="1"/>
        <v>-56</v>
      </c>
      <c r="G7" s="21" t="str">
        <f t="shared" si="2"/>
        <v>Down</v>
      </c>
      <c r="H7" s="21" t="str">
        <f t="shared" si="2"/>
        <v>Down</v>
      </c>
    </row>
    <row r="8" spans="1:8" x14ac:dyDescent="0.3">
      <c r="A8" s="18" t="s">
        <v>71</v>
      </c>
      <c r="B8" s="19">
        <f>SUM('Crowd Level by Month'!G14:I14)</f>
        <v>163</v>
      </c>
      <c r="C8" s="19">
        <f>SUM('Crowd Level by Month'!G15:I15)</f>
        <v>139</v>
      </c>
      <c r="D8" s="19">
        <f>SUM('Crowd Level by Month'!G16:I16)</f>
        <v>120</v>
      </c>
      <c r="E8" s="20">
        <f t="shared" si="0"/>
        <v>-19</v>
      </c>
      <c r="F8" s="20">
        <f t="shared" si="1"/>
        <v>-43</v>
      </c>
      <c r="G8" s="21" t="str">
        <f t="shared" si="2"/>
        <v>Down</v>
      </c>
      <c r="H8" s="21" t="str">
        <f t="shared" si="2"/>
        <v>Down</v>
      </c>
    </row>
    <row r="9" spans="1:8" x14ac:dyDescent="0.3">
      <c r="A9" s="18" t="s">
        <v>72</v>
      </c>
      <c r="B9" s="19">
        <f>SUM('Crowd Level by Month'!G17:I17)</f>
        <v>166</v>
      </c>
      <c r="C9" s="19">
        <f>SUM('Crowd Level by Month'!G18:I18)</f>
        <v>119</v>
      </c>
      <c r="D9" s="19">
        <f>SUM('Crowd Level by Month'!G19:I19)</f>
        <v>132</v>
      </c>
      <c r="E9" s="20">
        <f t="shared" si="0"/>
        <v>13</v>
      </c>
      <c r="F9" s="20">
        <f t="shared" si="1"/>
        <v>-34</v>
      </c>
      <c r="G9" s="21" t="str">
        <f t="shared" si="2"/>
        <v>Up</v>
      </c>
      <c r="H9" s="21" t="str">
        <f t="shared" si="2"/>
        <v>Down</v>
      </c>
    </row>
    <row r="10" spans="1:8" x14ac:dyDescent="0.3">
      <c r="A10" s="18" t="s">
        <v>73</v>
      </c>
      <c r="B10" s="19">
        <f>SUM('Crowd Level by Month'!G20:I20)</f>
        <v>180</v>
      </c>
      <c r="C10" s="19">
        <f>SUM('Crowd Level by Month'!G21:I21)</f>
        <v>191</v>
      </c>
      <c r="D10" s="19">
        <f>SUM('Crowd Level by Month'!G22:I22)</f>
        <v>210</v>
      </c>
      <c r="E10" s="20">
        <f t="shared" si="0"/>
        <v>19</v>
      </c>
      <c r="F10" s="20">
        <f t="shared" si="1"/>
        <v>30</v>
      </c>
      <c r="G10" s="21" t="str">
        <f t="shared" si="2"/>
        <v>Up</v>
      </c>
      <c r="H10" s="21" t="str">
        <f t="shared" si="2"/>
        <v>Up</v>
      </c>
    </row>
    <row r="11" spans="1:8" x14ac:dyDescent="0.3">
      <c r="A11" s="22" t="s">
        <v>88</v>
      </c>
      <c r="B11" s="23">
        <f>SUM(B5:B10)</f>
        <v>957</v>
      </c>
      <c r="C11" s="23">
        <f>SUM(C5:C10)</f>
        <v>757</v>
      </c>
      <c r="D11" s="23">
        <f>SUM(D5:D10)</f>
        <v>802</v>
      </c>
      <c r="E11" s="24">
        <f t="shared" si="0"/>
        <v>45</v>
      </c>
      <c r="F11" s="24">
        <f t="shared" si="1"/>
        <v>-155</v>
      </c>
      <c r="G11" s="25" t="str">
        <f t="shared" si="2"/>
        <v>Up</v>
      </c>
      <c r="H11" s="25" t="str">
        <f t="shared" si="2"/>
        <v>Down</v>
      </c>
    </row>
    <row r="13" spans="1:8" x14ac:dyDescent="0.3">
      <c r="A13" s="26" t="s">
        <v>89</v>
      </c>
      <c r="B13" s="23">
        <f>SUM(B5:B8)</f>
        <v>611</v>
      </c>
      <c r="C13" s="23">
        <f>SUM(C5:C8)</f>
        <v>447</v>
      </c>
      <c r="D13" s="23">
        <f>SUM(D5:D8)</f>
        <v>460</v>
      </c>
      <c r="E13" s="24">
        <f>D13-C13</f>
        <v>13</v>
      </c>
      <c r="F13" s="24">
        <f>D13-B13</f>
        <v>-151</v>
      </c>
    </row>
    <row r="14" spans="1:8" x14ac:dyDescent="0.3">
      <c r="A14" s="26" t="s">
        <v>90</v>
      </c>
      <c r="B14" s="23">
        <f>SUM(B9:B10)</f>
        <v>346</v>
      </c>
      <c r="C14" s="23">
        <f>SUM(C9:C10)</f>
        <v>310</v>
      </c>
      <c r="D14" s="23">
        <f>SUM(D9:D10)</f>
        <v>342</v>
      </c>
      <c r="E14" s="24">
        <f>D14-C14</f>
        <v>32</v>
      </c>
      <c r="F14" s="24">
        <f>D14-B14</f>
        <v>-4</v>
      </c>
    </row>
    <row r="36" spans="1:8" x14ac:dyDescent="0.3">
      <c r="A36" s="2" t="s">
        <v>77</v>
      </c>
      <c r="B36" s="2"/>
      <c r="C36" s="2"/>
      <c r="D36" s="2"/>
      <c r="E36" s="2"/>
      <c r="F36" s="2"/>
      <c r="G36" s="2"/>
      <c r="H36" s="2"/>
    </row>
    <row r="37" spans="1:8" x14ac:dyDescent="0.3">
      <c r="A37" s="1" t="s">
        <v>91</v>
      </c>
      <c r="B37" s="1"/>
      <c r="C37" s="1"/>
      <c r="D37" s="1"/>
      <c r="E37" s="1"/>
      <c r="F37" s="1"/>
      <c r="G37" s="1"/>
      <c r="H37" s="1"/>
    </row>
    <row r="38" spans="1:8" x14ac:dyDescent="0.3">
      <c r="A38" s="1" t="s">
        <v>92</v>
      </c>
      <c r="B38" s="1"/>
      <c r="C38" s="1"/>
      <c r="D38" s="1"/>
      <c r="E38" s="1"/>
      <c r="F38" s="1"/>
      <c r="G38" s="1"/>
      <c r="H38" s="1"/>
    </row>
    <row r="39" spans="1:8" x14ac:dyDescent="0.3">
      <c r="A39" s="1" t="s">
        <v>93</v>
      </c>
      <c r="B39" s="1"/>
      <c r="C39" s="1"/>
      <c r="D39" s="1"/>
      <c r="E39" s="1"/>
      <c r="F39" s="1"/>
      <c r="G39" s="1"/>
      <c r="H39" s="1"/>
    </row>
    <row r="40" spans="1:8" x14ac:dyDescent="0.3">
      <c r="A40" s="1" t="s">
        <v>94</v>
      </c>
      <c r="B40" s="1"/>
      <c r="C40" s="1"/>
      <c r="D40" s="1"/>
      <c r="E40" s="1"/>
      <c r="F40" s="1"/>
      <c r="G40" s="1"/>
      <c r="H40" s="1"/>
    </row>
    <row r="41" spans="1:8" x14ac:dyDescent="0.3">
      <c r="A41" s="1" t="s">
        <v>82</v>
      </c>
      <c r="B41" s="1"/>
      <c r="C41" s="1"/>
      <c r="D41" s="1"/>
      <c r="E41" s="1"/>
      <c r="F41" s="1"/>
      <c r="G41" s="1"/>
      <c r="H41" s="1"/>
    </row>
  </sheetData>
  <mergeCells count="8">
    <mergeCell ref="A39:H39"/>
    <mergeCell ref="A40:H40"/>
    <mergeCell ref="A41:H41"/>
    <mergeCell ref="A1:H1"/>
    <mergeCell ref="A2:H2"/>
    <mergeCell ref="A36:H36"/>
    <mergeCell ref="A37:H37"/>
    <mergeCell ref="A38:H38"/>
  </mergeCells>
  <conditionalFormatting sqref="E5:F14">
    <cfRule type="colorScale" priority="2">
      <colorScale>
        <cfvo type="min"/>
        <cfvo type="num" val="0"/>
        <cfvo type="max"/>
        <color rgb="FFF09595"/>
        <color rgb="FFFFFFFF"/>
        <color rgb="FF97C45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Crowd Level by Month</vt:lpstr>
      <vt:lpstr>Sources &amp; Notes</vt:lpstr>
      <vt:lpstr>Q2 YoY Analysis</vt:lpstr>
      <vt:lpstr>Q2 YoY Analysis (SUM)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Chung</cp:lastModifiedBy>
  <cp:revision>2</cp:revision>
  <dcterms:created xsi:type="dcterms:W3CDTF">2026-07-27T18:44:58Z</dcterms:created>
  <dcterms:modified xsi:type="dcterms:W3CDTF">2026-07-27T19:16:02Z</dcterms:modified>
  <dc:language>en-US</dc:language>
</cp:coreProperties>
</file>
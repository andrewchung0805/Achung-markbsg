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Andrew Chung\Desktop\Work\Netflix\"/>
    </mc:Choice>
  </mc:AlternateContent>
  <xr:revisionPtr revIDLastSave="0" documentId="13_ncr:1_{1BE4DEEA-19E3-4C84-A79E-42B84A818148}" xr6:coauthVersionLast="47" xr6:coauthVersionMax="47" xr10:uidLastSave="{00000000-0000-0000-0000-000000000000}"/>
  <bookViews>
    <workbookView xWindow="28680" yWindow="-120" windowWidth="29040" windowHeight="15720" firstSheet="1" activeTab="1" xr2:uid="{00000000-000D-0000-FFFF-FFFF00000000}"/>
  </bookViews>
  <sheets>
    <sheet name="__snloffice" sheetId="8" state="veryHidden" r:id="rId1"/>
    <sheet name="2Q26 Quick Look" sheetId="5" r:id="rId2"/>
    <sheet name="2Q26 Consensus (CapIQ)" sheetId="7" r:id="rId3"/>
    <sheet name="1Q26 Quick Look" sheetId="6" r:id="rId4"/>
    <sheet name="Cash flow" sheetId="1" r:id="rId5"/>
    <sheet name="Segment" sheetId="2" r:id="rId6"/>
    <sheet name="Income statement" sheetId="3" r:id="rId7"/>
    <sheet name="Revenue" sheetId="4" r:id="rId8"/>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5" l="1"/>
  <c r="D20" i="5"/>
  <c r="D19" i="5"/>
  <c r="D18" i="5"/>
  <c r="B13" i="7" a="1"/>
  <c r="B13" i="7" l="1"/>
  <c r="B11" i="7" a="1"/>
  <c r="B11" i="7" l="1"/>
  <c r="B6" i="7" a="1"/>
  <c r="B6" i="7" l="1"/>
  <c r="B12" i="7"/>
  <c r="F14" i="6" l="1"/>
  <c r="C21" i="6"/>
  <c r="C19" i="6"/>
  <c r="C10" i="6"/>
  <c r="B14" i="6"/>
  <c r="E14" i="6" s="1"/>
  <c r="B12" i="6"/>
  <c r="B9" i="6"/>
  <c r="B7" i="6"/>
  <c r="B6" i="6"/>
  <c r="B5" i="6"/>
  <c r="B4" i="6"/>
  <c r="B3" i="6"/>
  <c r="B21" i="6"/>
  <c r="D21" i="6" s="1"/>
  <c r="B20" i="6"/>
  <c r="D20" i="6" s="1"/>
  <c r="B19" i="6"/>
  <c r="D19" i="6" s="1"/>
  <c r="B18" i="6"/>
  <c r="D18" i="6" s="1"/>
  <c r="F12" i="6"/>
  <c r="E12" i="6"/>
  <c r="D10" i="6"/>
  <c r="F10" i="6" s="1"/>
  <c r="F9" i="6"/>
  <c r="E9" i="6"/>
  <c r="F7" i="6"/>
  <c r="E7" i="6"/>
  <c r="F6" i="6"/>
  <c r="E6" i="6"/>
  <c r="F5" i="6"/>
  <c r="E5" i="6"/>
  <c r="F4" i="6"/>
  <c r="E4" i="6"/>
  <c r="F3" i="6"/>
  <c r="E3" i="6"/>
  <c r="B10" i="6"/>
  <c r="B6" i="5"/>
  <c r="F14" i="5"/>
  <c r="E14" i="5"/>
  <c r="C14" i="5"/>
  <c r="B14" i="5"/>
  <c r="B21" i="5"/>
  <c r="C20" i="5"/>
  <c r="B20" i="5"/>
  <c r="B19" i="5"/>
  <c r="C18" i="5"/>
  <c r="C19" i="5" s="1"/>
  <c r="B18" i="5"/>
  <c r="F12" i="5"/>
  <c r="E12" i="5"/>
  <c r="C12" i="5"/>
  <c r="B12" i="5"/>
  <c r="D10" i="5"/>
  <c r="F10" i="5" s="1"/>
  <c r="F9" i="5"/>
  <c r="E9" i="5"/>
  <c r="C9" i="5"/>
  <c r="B9" i="5"/>
  <c r="F7" i="5"/>
  <c r="E7" i="5"/>
  <c r="C7" i="5"/>
  <c r="B7" i="5"/>
  <c r="F6" i="5"/>
  <c r="E6" i="5"/>
  <c r="C6" i="5"/>
  <c r="F5" i="5"/>
  <c r="E5" i="5"/>
  <c r="C5" i="5"/>
  <c r="B5" i="5"/>
  <c r="F4" i="5"/>
  <c r="E4" i="5"/>
  <c r="C4" i="5"/>
  <c r="B4" i="5"/>
  <c r="F3" i="5"/>
  <c r="E3" i="5"/>
  <c r="C3" i="5"/>
  <c r="B3" i="5"/>
  <c r="C21" i="5" l="1"/>
  <c r="E10" i="6"/>
  <c r="E10" i="5"/>
  <c r="C10" i="5"/>
  <c r="B1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Chung</author>
    <author>Andrew Chunng2</author>
  </authors>
  <commentList>
    <comment ref="D3" authorId="0" shapeId="0" xr:uid="{5A7C0D95-394F-46F5-B311-A2C63758A631}">
      <text>
        <r>
          <rPr>
            <b/>
            <sz val="9"/>
            <color indexed="81"/>
            <rFont val="Tahoma"/>
            <charset val="1"/>
          </rPr>
          <t>Andrew Chung:</t>
        </r>
        <r>
          <rPr>
            <sz val="9"/>
            <color indexed="81"/>
            <rFont val="Tahoma"/>
            <charset val="1"/>
          </rPr>
          <t xml:space="preserve">
Source: Netflix Q2'26 Financial Statements, Consolidated Statements of Operations, Revenues (Three Months Ended June 30, 2026), filed with Q2'26 earnings release 7/16/2026.</t>
        </r>
      </text>
    </comment>
    <comment ref="D4" authorId="0" shapeId="0" xr:uid="{73354DB9-D012-46CB-A290-FD05E26435B3}">
      <text>
        <r>
          <rPr>
            <b/>
            <sz val="9"/>
            <color indexed="81"/>
            <rFont val="Tahoma"/>
            <charset val="1"/>
          </rPr>
          <t>Andrew Chung:</t>
        </r>
        <r>
          <rPr>
            <sz val="9"/>
            <color indexed="81"/>
            <rFont val="Tahoma"/>
            <charset val="1"/>
          </rPr>
          <t xml:space="preserve">
Source: Netflix Q2'26 Financial Statements, Revenue Information by Region, UCAN As Reported (Q2'26 vs Q2'25), 7/16/2026.</t>
        </r>
      </text>
    </comment>
    <comment ref="D5" authorId="0" shapeId="0" xr:uid="{0EBA6F3F-28EE-413C-ADA6-DD1CD6BC712A}">
      <text>
        <r>
          <rPr>
            <b/>
            <sz val="9"/>
            <color indexed="81"/>
            <rFont val="Tahoma"/>
            <charset val="1"/>
          </rPr>
          <t>Andrew Chung:</t>
        </r>
        <r>
          <rPr>
            <sz val="9"/>
            <color indexed="81"/>
            <rFont val="Tahoma"/>
            <charset val="1"/>
          </rPr>
          <t xml:space="preserve">
Source: Netflix Q2'26 Financial Statements, Revenue Information by Region, EMEA As Reported (Q2'26 vs Q2'25), 7/16/2026.</t>
        </r>
      </text>
    </comment>
    <comment ref="D6" authorId="0" shapeId="0" xr:uid="{82C9D9EC-260E-429C-83C4-C42144550F44}">
      <text>
        <r>
          <rPr>
            <b/>
            <sz val="9"/>
            <color indexed="81"/>
            <rFont val="Tahoma"/>
            <charset val="1"/>
          </rPr>
          <t>Andrew Chung:</t>
        </r>
        <r>
          <rPr>
            <sz val="9"/>
            <color indexed="81"/>
            <rFont val="Tahoma"/>
            <charset val="1"/>
          </rPr>
          <t xml:space="preserve">
Source: Netflix Q2'26 Financial Statements, Revenue Information by Region, LATAM As Reported (Q2'26 vs Q2'25), 7/16/2026.</t>
        </r>
      </text>
    </comment>
    <comment ref="D7" authorId="0" shapeId="0" xr:uid="{AC9E278A-FF29-489B-AAAF-665DEB7272CC}">
      <text>
        <r>
          <rPr>
            <b/>
            <sz val="9"/>
            <color indexed="81"/>
            <rFont val="Tahoma"/>
            <charset val="1"/>
          </rPr>
          <t>Andrew Chung:</t>
        </r>
        <r>
          <rPr>
            <sz val="9"/>
            <color indexed="81"/>
            <rFont val="Tahoma"/>
            <charset val="1"/>
          </rPr>
          <t xml:space="preserve">
Source: Netflix Q2'26 Financial Statements, Revenue Information by Region, APAC As Reported (Q2'26 vs Q2'25), 7/16/2026.</t>
        </r>
      </text>
    </comment>
    <comment ref="D9" authorId="0" shapeId="0" xr:uid="{C8E93A72-D531-45B4-844B-73649650B7FE}">
      <text>
        <r>
          <rPr>
            <b/>
            <sz val="9"/>
            <color indexed="81"/>
            <rFont val="Tahoma"/>
            <charset val="1"/>
          </rPr>
          <t>Andrew Chung:</t>
        </r>
        <r>
          <rPr>
            <sz val="9"/>
            <color indexed="81"/>
            <rFont val="Tahoma"/>
            <charset val="1"/>
          </rPr>
          <t xml:space="preserve">
Source: Netflix Q2'26 Financial Statements, Consolidated Statements of Operations, Operating income (Three Months Ended June 30, 2026), 7/16/2026.</t>
        </r>
      </text>
    </comment>
    <comment ref="E10" authorId="1" shapeId="0" xr:uid="{B1BB6B15-9BEA-0043-9189-4DDAB27004AB}">
      <text>
        <r>
          <rPr>
            <b/>
            <sz val="10"/>
            <color rgb="FF000000"/>
            <rFont val="Tahoma"/>
            <family val="2"/>
          </rPr>
          <t>Andrew Chunng2:</t>
        </r>
        <r>
          <rPr>
            <sz val="10"/>
            <color rgb="FF000000"/>
            <rFont val="Tahoma"/>
            <family val="2"/>
          </rPr>
          <t xml:space="preserve">
</t>
        </r>
        <r>
          <rPr>
            <sz val="10"/>
            <color rgb="FF000000"/>
            <rFont val="Tahoma"/>
            <family val="2"/>
          </rPr>
          <t>Shown as change in percentage points (2Q26A vs 2Q25A), not relative %growth</t>
        </r>
      </text>
    </comment>
    <comment ref="D12" authorId="0" shapeId="0" xr:uid="{1762C001-297D-4E9B-A5FD-B673C7ABB81E}">
      <text>
        <r>
          <rPr>
            <b/>
            <sz val="9"/>
            <color indexed="81"/>
            <rFont val="Tahoma"/>
            <charset val="1"/>
          </rPr>
          <t>Andrew Chung:</t>
        </r>
        <r>
          <rPr>
            <sz val="9"/>
            <color indexed="81"/>
            <rFont val="Tahoma"/>
            <charset val="1"/>
          </rPr>
          <t xml:space="preserve">
Source: Netflix Q2'26 Financial Statements, Consolidated Statements of Operations, Diluted EPS (Three Months Ended June 30, 2026), 7/16/2026.</t>
        </r>
      </text>
    </comment>
    <comment ref="D14" authorId="0" shapeId="0" xr:uid="{1A04BA5F-0E38-4E21-9CE9-7C39B7DF3C85}">
      <text>
        <r>
          <rPr>
            <b/>
            <sz val="9"/>
            <color indexed="81"/>
            <rFont val="Tahoma"/>
            <charset val="1"/>
          </rPr>
          <t>Andrew Chung:</t>
        </r>
        <r>
          <rPr>
            <sz val="9"/>
            <color indexed="81"/>
            <rFont val="Tahoma"/>
            <charset val="1"/>
          </rPr>
          <t xml:space="preserve">
Source: Netflix Q2'26 Financial Statements, Consolidated Statements of Cash Flows, Amortization of content assets (Three Months Ended June 30, 2026), 7/16/2026.</t>
        </r>
      </text>
    </comment>
    <comment ref="B25" authorId="1" shapeId="0" xr:uid="{D943B569-CF03-D443-9AD3-BB2BFF23EF63}">
      <text>
        <r>
          <rPr>
            <b/>
            <sz val="10"/>
            <color rgb="FF000000"/>
            <rFont val="Tahoma"/>
            <family val="2"/>
          </rPr>
          <t>Andrew Chunng2:</t>
        </r>
        <r>
          <rPr>
            <sz val="10"/>
            <color rgb="FF000000"/>
            <rFont val="Tahoma"/>
            <family val="2"/>
          </rPr>
          <t xml:space="preserve">
Source: Netflix Q1'26 Shareholder Letter, 4/16/2026 — FY2026 revenue guidance of $50.7B-$51.7B. SEC EDGAR: https://www.sec.gov/Archives/edgar/data/1065280/000106528026000137/ex991_q126.htm</t>
        </r>
      </text>
    </comment>
    <comment ref="B26" authorId="1" shapeId="0" xr:uid="{F568638C-CFDF-8342-BF84-BE2E5566DCDA}">
      <text>
        <r>
          <rPr>
            <b/>
            <sz val="10"/>
            <color rgb="FF000000"/>
            <rFont val="Tahoma"/>
            <family val="2"/>
          </rPr>
          <t>Andrew Chunng2:</t>
        </r>
        <r>
          <rPr>
            <sz val="10"/>
            <color rgb="FF000000"/>
            <rFont val="Tahoma"/>
            <family val="2"/>
          </rPr>
          <t xml:space="preserve">
Source: Netflix Q1'26 Shareholder Letter, 4/16/2026 — FY2026 revenue growth guidance of 12%-14% YoY. SEC EDGAR: https://www.sec.gov/Archives/edgar/data/1065280/000106528026000137/ex991_q126.htm</t>
        </r>
      </text>
    </comment>
    <comment ref="B27" authorId="1" shapeId="0" xr:uid="{5815DEEF-6D32-F34C-94D4-0FDD903BDBCA}">
      <text>
        <r>
          <rPr>
            <b/>
            <sz val="10"/>
            <color rgb="FF000000"/>
            <rFont val="Tahoma"/>
            <family val="2"/>
          </rPr>
          <t>Andrew Chunng2:</t>
        </r>
        <r>
          <rPr>
            <sz val="10"/>
            <color rgb="FF000000"/>
            <rFont val="Tahoma"/>
            <family val="2"/>
          </rPr>
          <t xml:space="preserve">
Source: Netflix Q1'26 Shareholder Letter, 4/16/2026 — FY2026 operating margin guidance of 31.5%. SEC EDGAR: https://www.sec.gov/Archives/edgar/data/1065280/000106528026000137/ex991_q126.htm</t>
        </r>
      </text>
    </comment>
    <comment ref="B30" authorId="0" shapeId="0" xr:uid="{62DE8C6F-CAC6-42CB-AF8F-4A3B864E34C5}">
      <text>
        <r>
          <rPr>
            <b/>
            <sz val="9"/>
            <color indexed="81"/>
            <rFont val="Tahoma"/>
            <charset val="1"/>
          </rPr>
          <t>Andrew Chung:</t>
        </r>
        <r>
          <rPr>
            <sz val="9"/>
            <color indexed="81"/>
            <rFont val="Tahoma"/>
            <charset val="1"/>
          </rPr>
          <t xml:space="preserve">
Source: Netflix Q2'26 Shareholder Letter, 7/16/2026 — narrowed FY2026 revenue guidance of $51.0B-$51.4B.</t>
        </r>
      </text>
    </comment>
    <comment ref="D30" authorId="0" shapeId="0" xr:uid="{486627E2-3DCF-4CD8-A2EC-BA328924AA5E}">
      <text>
        <r>
          <rPr>
            <b/>
            <sz val="9"/>
            <color indexed="81"/>
            <rFont val="Tahoma"/>
            <charset val="1"/>
          </rPr>
          <t>Andrew Chung:</t>
        </r>
        <r>
          <rPr>
            <sz val="9"/>
            <color indexed="81"/>
            <rFont val="Tahoma"/>
            <charset val="1"/>
          </rPr>
          <t xml:space="preserve">
Source: Netflix Q2'26 Shareholder Letter, 7/16/2026 — narrowed FY2026 revenue guidance of $51.0B-$51.4B.</t>
        </r>
      </text>
    </comment>
    <comment ref="B31" authorId="0" shapeId="0" xr:uid="{5B3EA27D-DAD3-4199-86EC-1B587BCCF5D9}">
      <text>
        <r>
          <rPr>
            <b/>
            <sz val="9"/>
            <color indexed="81"/>
            <rFont val="Tahoma"/>
            <charset val="1"/>
          </rPr>
          <t>Andrew Chung:</t>
        </r>
        <r>
          <rPr>
            <sz val="9"/>
            <color indexed="81"/>
            <rFont val="Tahoma"/>
            <charset val="1"/>
          </rPr>
          <t xml:space="preserve">
Source: Netflix Q2'26 Shareholder Letter, 7/16/2026 — FY2026 revenue growth guidance narrowed to 13%-14% YoY.</t>
        </r>
      </text>
    </comment>
    <comment ref="D31" authorId="0" shapeId="0" xr:uid="{844528C2-7837-4007-8B03-D027F520A951}">
      <text>
        <r>
          <rPr>
            <b/>
            <sz val="9"/>
            <color indexed="81"/>
            <rFont val="Tahoma"/>
            <charset val="1"/>
          </rPr>
          <t>Andrew Chung:</t>
        </r>
        <r>
          <rPr>
            <sz val="9"/>
            <color indexed="81"/>
            <rFont val="Tahoma"/>
            <charset val="1"/>
          </rPr>
          <t xml:space="preserve">
Source: Netflix Q2'26 Shareholder Letter, 7/16/2026 — FY2026 revenue growth guidance narrowed to 13%-14% YoY.</t>
        </r>
      </text>
    </comment>
    <comment ref="B32" authorId="0" shapeId="0" xr:uid="{A6B5F533-59A2-4485-8F96-5B341AF56501}">
      <text>
        <r>
          <rPr>
            <b/>
            <sz val="9"/>
            <color indexed="81"/>
            <rFont val="Tahoma"/>
            <charset val="1"/>
          </rPr>
          <t>Andrew Chung:</t>
        </r>
        <r>
          <rPr>
            <sz val="9"/>
            <color indexed="81"/>
            <rFont val="Tahoma"/>
            <charset val="1"/>
          </rPr>
          <t xml:space="preserve">
Source: Netflix Q2'26 Shareholder Letter, 7/16/2026 — FY2026 operating margin guidance reiterated at 31.5%.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Chunng2</author>
  </authors>
  <commentList>
    <comment ref="C3" authorId="0" shapeId="0" xr:uid="{B5A3CA30-ECA4-9746-9270-5F95AB61204B}">
      <text>
        <r>
          <rPr>
            <b/>
            <sz val="10"/>
            <color rgb="FF000000"/>
            <rFont val="Tahoma"/>
            <family val="2"/>
          </rPr>
          <t>Andrew Chunng2:</t>
        </r>
        <r>
          <rPr>
            <sz val="10"/>
            <color rgb="FF000000"/>
            <rFont val="Tahoma"/>
            <family val="2"/>
          </rPr>
          <t xml:space="preserve">
Source: Visible Alpha consensus (screenshot provided by user), 7/15/2026</t>
        </r>
      </text>
    </comment>
    <comment ref="D3" authorId="0" shapeId="0" xr:uid="{49D2F9A7-3C8F-A141-85D3-68579CB152AF}">
      <text>
        <r>
          <rPr>
            <b/>
            <sz val="10"/>
            <color rgb="FF000000"/>
            <rFont val="Tahoma"/>
            <family val="2"/>
          </rPr>
          <t>Andrew Chunng2:</t>
        </r>
        <r>
          <rPr>
            <sz val="10"/>
            <color rgb="FF000000"/>
            <rFont val="Tahoma"/>
            <family val="2"/>
          </rPr>
          <t xml:space="preserve">
Source: Netflix Q1'26 Website Financials (Income Statement, uploaded), quarter ended 3/31/2026</t>
        </r>
      </text>
    </comment>
    <comment ref="C4" authorId="0" shapeId="0" xr:uid="{5268C0B5-9A16-324B-AB7A-A335A4F27E64}">
      <text>
        <r>
          <rPr>
            <b/>
            <sz val="10"/>
            <color rgb="FF000000"/>
            <rFont val="Tahoma"/>
            <family val="2"/>
          </rPr>
          <t>Andrew Chunng2:</t>
        </r>
        <r>
          <rPr>
            <sz val="10"/>
            <color rgb="FF000000"/>
            <rFont val="Tahoma"/>
            <family val="2"/>
          </rPr>
          <t xml:space="preserve">
Source: Visible Alpha consensus (screenshot provided by user), 7/15/2026</t>
        </r>
      </text>
    </comment>
    <comment ref="D4" authorId="0" shapeId="0" xr:uid="{DB7FEB3F-5404-3448-A66F-A9B6836F05F9}">
      <text>
        <r>
          <rPr>
            <b/>
            <sz val="10"/>
            <color rgb="FF000000"/>
            <rFont val="Tahoma"/>
            <family val="2"/>
          </rPr>
          <t>Andrew Chunng2:</t>
        </r>
        <r>
          <rPr>
            <sz val="10"/>
            <color rgb="FF000000"/>
            <rFont val="Tahoma"/>
            <family val="2"/>
          </rPr>
          <t xml:space="preserve">
Source: Netflix Q1'26 Website Financials (Regional Information, uploaded), quarter ended 3/31/2026</t>
        </r>
      </text>
    </comment>
    <comment ref="C5" authorId="0" shapeId="0" xr:uid="{E950B52B-A6A4-F641-88C6-EA0D3F827FB5}">
      <text>
        <r>
          <rPr>
            <b/>
            <sz val="10"/>
            <color rgb="FF000000"/>
            <rFont val="Tahoma"/>
            <family val="2"/>
          </rPr>
          <t>Andrew Chunng2:</t>
        </r>
        <r>
          <rPr>
            <sz val="10"/>
            <color rgb="FF000000"/>
            <rFont val="Tahoma"/>
            <family val="2"/>
          </rPr>
          <t xml:space="preserve">
Source: Visible Alpha consensus (screenshot provided by user), 7/15/2026</t>
        </r>
      </text>
    </comment>
    <comment ref="D5" authorId="0" shapeId="0" xr:uid="{8FCD9925-2BF7-2741-A75B-5AC2E74264B5}">
      <text>
        <r>
          <rPr>
            <b/>
            <sz val="10"/>
            <color rgb="FF000000"/>
            <rFont val="Tahoma"/>
            <family val="2"/>
          </rPr>
          <t>Andrew Chunng2:</t>
        </r>
        <r>
          <rPr>
            <sz val="10"/>
            <color rgb="FF000000"/>
            <rFont val="Tahoma"/>
            <family val="2"/>
          </rPr>
          <t xml:space="preserve">
Source: Netflix Q1'26 Website Financials (Regional Information, uploaded), quarter ended 3/31/2026</t>
        </r>
      </text>
    </comment>
    <comment ref="C6" authorId="0" shapeId="0" xr:uid="{68B51C95-F326-0E4E-99F0-528329743288}">
      <text>
        <r>
          <rPr>
            <b/>
            <sz val="10"/>
            <color rgb="FF000000"/>
            <rFont val="Tahoma"/>
            <family val="2"/>
          </rPr>
          <t>Andrew Chunng2:</t>
        </r>
        <r>
          <rPr>
            <sz val="10"/>
            <color rgb="FF000000"/>
            <rFont val="Tahoma"/>
            <family val="2"/>
          </rPr>
          <t xml:space="preserve">
Source: Visible Alpha consensus (screenshot provided by user), 7/15/2026</t>
        </r>
      </text>
    </comment>
    <comment ref="D6" authorId="0" shapeId="0" xr:uid="{C16A930B-D2BA-3C41-8823-68C6087795A2}">
      <text>
        <r>
          <rPr>
            <b/>
            <sz val="10"/>
            <color rgb="FF000000"/>
            <rFont val="Tahoma"/>
            <family val="2"/>
          </rPr>
          <t>Andrew Chunng2:</t>
        </r>
        <r>
          <rPr>
            <sz val="10"/>
            <color rgb="FF000000"/>
            <rFont val="Tahoma"/>
            <family val="2"/>
          </rPr>
          <t xml:space="preserve">
Source: Netflix Q1'26 Website Financials (Regional Information, uploaded), quarter ended 3/31/2026</t>
        </r>
      </text>
    </comment>
    <comment ref="C7" authorId="0" shapeId="0" xr:uid="{02CD113D-E770-5344-8E78-EF5BB67044CE}">
      <text>
        <r>
          <rPr>
            <b/>
            <sz val="10"/>
            <color rgb="FF000000"/>
            <rFont val="Tahoma"/>
            <family val="2"/>
          </rPr>
          <t>Andrew Chunng2:</t>
        </r>
        <r>
          <rPr>
            <sz val="10"/>
            <color rgb="FF000000"/>
            <rFont val="Tahoma"/>
            <family val="2"/>
          </rPr>
          <t xml:space="preserve">
Source: Visible Alpha consensus (screenshot provided by user), 7/15/2026</t>
        </r>
      </text>
    </comment>
    <comment ref="D7" authorId="0" shapeId="0" xr:uid="{B46C540B-27B5-F74D-97E6-130BBE2970B7}">
      <text>
        <r>
          <rPr>
            <b/>
            <sz val="10"/>
            <color rgb="FF000000"/>
            <rFont val="Tahoma"/>
            <family val="2"/>
          </rPr>
          <t>Andrew Chunng2:</t>
        </r>
        <r>
          <rPr>
            <sz val="10"/>
            <color rgb="FF000000"/>
            <rFont val="Tahoma"/>
            <family val="2"/>
          </rPr>
          <t xml:space="preserve">
Source: Netflix Q1'26 Website Financials (Regional Information, uploaded), quarter ended 3/31/2026</t>
        </r>
      </text>
    </comment>
    <comment ref="C9" authorId="0" shapeId="0" xr:uid="{1DB95A47-F72E-5C40-A69A-457CE3B3E6BB}">
      <text>
        <r>
          <rPr>
            <b/>
            <sz val="10"/>
            <color rgb="FF000000"/>
            <rFont val="Tahoma"/>
            <family val="2"/>
          </rPr>
          <t>Andrew Chunng2:</t>
        </r>
        <r>
          <rPr>
            <sz val="10"/>
            <color rgb="FF000000"/>
            <rFont val="Tahoma"/>
            <family val="2"/>
          </rPr>
          <t xml:space="preserve">
Source: Visible Alpha consensus (screenshot provided by user), 7/15/2026</t>
        </r>
      </text>
    </comment>
    <comment ref="D9" authorId="0" shapeId="0" xr:uid="{77DB54D7-B223-3642-ABF6-C7DE7FB63099}">
      <text>
        <r>
          <rPr>
            <b/>
            <sz val="10"/>
            <color rgb="FF000000"/>
            <rFont val="Tahoma"/>
            <family val="2"/>
          </rPr>
          <t>Andrew Chunng2:</t>
        </r>
        <r>
          <rPr>
            <sz val="10"/>
            <color rgb="FF000000"/>
            <rFont val="Tahoma"/>
            <family val="2"/>
          </rPr>
          <t xml:space="preserve">
Source: Netflix Q1'26 Website Financials (Income Statement, uploaded), quarter ended 3/31/2026</t>
        </r>
      </text>
    </comment>
    <comment ref="E10" authorId="0" shapeId="0" xr:uid="{247B28B9-6110-A84E-BA8B-34E17853949A}">
      <text>
        <r>
          <rPr>
            <b/>
            <sz val="10"/>
            <color rgb="FF000000"/>
            <rFont val="Tahoma"/>
            <family val="2"/>
          </rPr>
          <t>Andrew Chunng2:</t>
        </r>
        <r>
          <rPr>
            <sz val="10"/>
            <color rgb="FF000000"/>
            <rFont val="Tahoma"/>
            <family val="2"/>
          </rPr>
          <t xml:space="preserve">
</t>
        </r>
        <r>
          <rPr>
            <sz val="10"/>
            <color rgb="FF000000"/>
            <rFont val="Tahoma"/>
            <family val="2"/>
          </rPr>
          <t>Shown as change in percentage points (2Q26A vs 2Q25A), not relative %growth</t>
        </r>
      </text>
    </comment>
    <comment ref="C12" authorId="0" shapeId="0" xr:uid="{9DDA9ECE-1BF5-AF45-8941-3837963372FD}">
      <text>
        <r>
          <rPr>
            <b/>
            <sz val="10"/>
            <color rgb="FF000000"/>
            <rFont val="Tahoma"/>
            <family val="2"/>
          </rPr>
          <t>Andrew Chunng2:</t>
        </r>
        <r>
          <rPr>
            <sz val="10"/>
            <color rgb="FF000000"/>
            <rFont val="Tahoma"/>
            <family val="2"/>
          </rPr>
          <t xml:space="preserve">
Source: Visible Alpha consensus (screenshot provided by user), 7/15/2026</t>
        </r>
      </text>
    </comment>
    <comment ref="D12" authorId="0" shapeId="0" xr:uid="{C1DC0F37-3927-564D-9D63-6E2288CE1695}">
      <text>
        <r>
          <rPr>
            <b/>
            <sz val="10"/>
            <color rgb="FF000000"/>
            <rFont val="Tahoma"/>
            <family val="2"/>
          </rPr>
          <t>Andrew Chunng2:</t>
        </r>
        <r>
          <rPr>
            <sz val="10"/>
            <color rgb="FF000000"/>
            <rFont val="Tahoma"/>
            <family val="2"/>
          </rPr>
          <t xml:space="preserve">
Source: Netflix Q1'26 Website Financials (Income Statement, uploaded) — GAAP diluted EPS, includes one-time WBD termination fee gain</t>
        </r>
      </text>
    </comment>
    <comment ref="D14" authorId="0" shapeId="0" xr:uid="{EBAF352B-7EA3-5443-BE3D-DA88B4F7E628}">
      <text>
        <r>
          <rPr>
            <b/>
            <sz val="10"/>
            <color rgb="FF000000"/>
            <rFont val="Tahoma"/>
            <family val="2"/>
          </rPr>
          <t>Andrew Chunng2:</t>
        </r>
        <r>
          <rPr>
            <sz val="10"/>
            <color rgb="FF000000"/>
            <rFont val="Tahoma"/>
            <family val="2"/>
          </rPr>
          <t xml:space="preserve">
Source: Netflix Q1'26 Website Financials (Cashflow, uploaded), quarter ended 3/31/2026</t>
        </r>
      </text>
    </comment>
    <comment ref="C18" authorId="0" shapeId="0" xr:uid="{0809BD7E-41A0-2E42-BB4E-920EBE587130}">
      <text>
        <r>
          <rPr>
            <b/>
            <sz val="10"/>
            <color rgb="FF000000"/>
            <rFont val="Tahoma"/>
            <family val="2"/>
          </rPr>
          <t>Andrew Chunng2:</t>
        </r>
        <r>
          <rPr>
            <sz val="10"/>
            <color rgb="FF000000"/>
            <rFont val="Tahoma"/>
            <family val="2"/>
          </rPr>
          <t xml:space="preserve">
Source: Visible Alpha consensus (screenshot provided by user), 7/15/2026</t>
        </r>
      </text>
    </comment>
    <comment ref="D18" authorId="0" shapeId="0" xr:uid="{37608D85-DD1C-054A-8A14-AF54D3950B48}">
      <text>
        <r>
          <rPr>
            <b/>
            <sz val="10"/>
            <color rgb="FF000000"/>
            <rFont val="Tahoma"/>
            <family val="2"/>
          </rPr>
          <t>Andrew Chunng2:</t>
        </r>
        <r>
          <rPr>
            <sz val="10"/>
            <color rgb="FF000000"/>
            <rFont val="Tahoma"/>
            <family val="2"/>
          </rPr>
          <t xml:space="preserve">
</t>
        </r>
        <r>
          <rPr>
            <sz val="10"/>
            <color rgb="FF000000"/>
            <rFont val="Tahoma"/>
            <family val="2"/>
          </rPr>
          <t>Source: Netflix Q1'26 Shareholder Letter (uploaded) — "We continue to project 2026 revenue of $50.7-$51.7B and an operating margin of 31.5%." Guidance reiterated, unchanged from 4Q25 letter.</t>
        </r>
      </text>
    </comment>
    <comment ref="C20" authorId="0" shapeId="0" xr:uid="{CECEA1DB-E690-924D-8CDA-42FA2AD69CAC}">
      <text>
        <r>
          <rPr>
            <b/>
            <sz val="10"/>
            <color rgb="FF000000"/>
            <rFont val="Tahoma"/>
            <family val="2"/>
          </rPr>
          <t>Andrew Chunng2:</t>
        </r>
        <r>
          <rPr>
            <sz val="10"/>
            <color rgb="FF000000"/>
            <rFont val="Tahoma"/>
            <family val="2"/>
          </rPr>
          <t xml:space="preserve">
Source: Visible Alpha consensus (screenshot provided by user), 7/15/2026</t>
        </r>
      </text>
    </comment>
    <comment ref="B25" authorId="0" shapeId="0" xr:uid="{0EBD7237-CAB2-054D-AF2D-B6FCA6C3F497}">
      <text>
        <r>
          <rPr>
            <b/>
            <sz val="10"/>
            <color rgb="FF000000"/>
            <rFont val="Tahoma"/>
            <family val="2"/>
          </rPr>
          <t>Source: Netflix Q4'25 Shareholder Letter, 1/20/2026 — initial FY2026 revenue guidance of $50.7B-$51.7B (guidance in effect entering 1Q26). SEC EDGAR: https://www.sec.gov/Archives/edgar/data/1065280/000106528026000033/ex991_q425.htm</t>
        </r>
      </text>
    </comment>
    <comment ref="B26" authorId="0" shapeId="0" xr:uid="{2ECCEE2C-C159-164C-8393-CC751FBA471A}">
      <text>
        <r>
          <rPr>
            <b/>
            <sz val="10"/>
            <color rgb="FF000000"/>
            <rFont val="Tahoma"/>
            <family val="2"/>
          </rPr>
          <t>Source: Netflix Q4'25 Shareholder Letter, 1/20/2026 — initial FY2026 revenue growth guidance of 12%-14% YoY (guidance in effect entering 1Q26). SEC EDGAR: https://www.sec.gov/Archives/edgar/data/1065280/000106528026000033/ex991_q425.htm</t>
        </r>
      </text>
    </comment>
    <comment ref="B27" authorId="0" shapeId="0" xr:uid="{A7A73A45-D69C-4A4D-88C8-2F0ECAF39B34}">
      <text>
        <r>
          <rPr>
            <b/>
            <sz val="10"/>
            <color rgb="FF000000"/>
            <rFont val="Tahoma"/>
            <family val="2"/>
          </rPr>
          <t>Source: Netflix Q4'25 Shareholder Letter, 1/20/2026 — initial FY2026 operating margin guidance of 31.5% (guidance in effect entering 1Q26). SEC EDGAR: https://www.sec.gov/Archives/edgar/data/1065280/000106528026000033/ex991_q425.htm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<sst xmlns="http://schemas.openxmlformats.org/spreadsheetml/2006/main" count="938" uniqueCount="250">
  <si>
    <t>NASDAQGS:NFLX (MI KEY: 4104060; SPCIQ KEY: 32012)</t>
  </si>
  <si>
    <t>Visible Alpha</t>
  </si>
  <si>
    <t>Period Type : Fiscal Quarter, Fiscal Halves, Fiscal Year</t>
  </si>
  <si>
    <t>Period Start : 2025</t>
  </si>
  <si>
    <t>Period End : 2030</t>
  </si>
  <si>
    <t>Currency  : Reported</t>
  </si>
  <si>
    <t>Consensus View : Mean</t>
  </si>
  <si>
    <t xml:space="preserve">All numbers in $M unless otherwise indicated </t>
  </si>
  <si>
    <t xml:space="preserve">FQ1 2025A </t>
  </si>
  <si>
    <t xml:space="preserve">FQ2 2025A </t>
  </si>
  <si>
    <t xml:space="preserve">FQ3 2025A </t>
  </si>
  <si>
    <t xml:space="preserve">FQ4 2025A </t>
  </si>
  <si>
    <t xml:space="preserve">FY2025A </t>
  </si>
  <si>
    <t xml:space="preserve">FQ1 2026A </t>
  </si>
  <si>
    <t xml:space="preserve">FQ2 2026E </t>
  </si>
  <si>
    <t xml:space="preserve">FQ3 2026E </t>
  </si>
  <si>
    <t xml:space="preserve">FQ4 2026E </t>
  </si>
  <si>
    <t xml:space="preserve">FY2026E </t>
  </si>
  <si>
    <t xml:space="preserve">FQ1 2027E </t>
  </si>
  <si>
    <t xml:space="preserve">FQ2 2027E </t>
  </si>
  <si>
    <t xml:space="preserve">FQ3 2027E </t>
  </si>
  <si>
    <t xml:space="preserve">FQ4 2027E </t>
  </si>
  <si>
    <t xml:space="preserve">FY2027E </t>
  </si>
  <si>
    <t xml:space="preserve">FQ1 2028E </t>
  </si>
  <si>
    <t xml:space="preserve">FQ2 2028E </t>
  </si>
  <si>
    <t xml:space="preserve">FQ3 2028E </t>
  </si>
  <si>
    <t xml:space="preserve">FQ4 2028E </t>
  </si>
  <si>
    <t xml:space="preserve">FY2028E </t>
  </si>
  <si>
    <t xml:space="preserve">FQ1 2029E </t>
  </si>
  <si>
    <t xml:space="preserve">FQ2 2029E </t>
  </si>
  <si>
    <t xml:space="preserve">FQ3 2029E </t>
  </si>
  <si>
    <t xml:space="preserve">FQ4 2029E </t>
  </si>
  <si>
    <t xml:space="preserve">FY2029E </t>
  </si>
  <si>
    <t xml:space="preserve">FQ1 2030E </t>
  </si>
  <si>
    <t xml:space="preserve">FQ2 2030E </t>
  </si>
  <si>
    <t xml:space="preserve">FQ3 2030E </t>
  </si>
  <si>
    <t xml:space="preserve">FQ4 2030E </t>
  </si>
  <si>
    <t xml:space="preserve">FY2030E </t>
  </si>
  <si>
    <t>Number of Contributors Available</t>
  </si>
  <si>
    <t>36 of 38</t>
  </si>
  <si>
    <t>35 of 38</t>
  </si>
  <si>
    <t>38 of 38</t>
  </si>
  <si>
    <t>22 of 38</t>
  </si>
  <si>
    <t>37 of 38</t>
  </si>
  <si>
    <t>13 of 38</t>
  </si>
  <si>
    <t>32 of 38</t>
  </si>
  <si>
    <t>9 of 38</t>
  </si>
  <si>
    <t>24 of 38</t>
  </si>
  <si>
    <t>8 of 38</t>
  </si>
  <si>
    <t>23 of 38</t>
  </si>
  <si>
    <t xml:space="preserve">            Net income</t>
  </si>
  <si>
    <t xml:space="preserve">                Additions to streaming content library</t>
  </si>
  <si>
    <t xml:space="preserve">                Change in streaming content liabilities</t>
  </si>
  <si>
    <t xml:space="preserve">            Cash outlay on new streaming content</t>
  </si>
  <si>
    <t xml:space="preserve">            Amortization of streaming and DVD content</t>
  </si>
  <si>
    <t xml:space="preserve">            Depreciation and amortization of property, equipment and intangibles</t>
  </si>
  <si>
    <t xml:space="preserve">            Stock-based compensation expense</t>
  </si>
  <si>
    <t xml:space="preserve">            Total other non-cash expenses</t>
  </si>
  <si>
    <t xml:space="preserve">                Change in total other current assets</t>
  </si>
  <si>
    <t xml:space="preserve">                Change in accounts payable</t>
  </si>
  <si>
    <t xml:space="preserve">                Change in deferred revenue</t>
  </si>
  <si>
    <t xml:space="preserve">                Change in other non-current assets and liabilities</t>
  </si>
  <si>
    <t xml:space="preserve">            Changes in working capital</t>
  </si>
  <si>
    <t xml:space="preserve">        Net cash provided by/(used in) operating activities</t>
  </si>
  <si>
    <t xml:space="preserve">            Purchases of property and equipment</t>
  </si>
  <si>
    <t xml:space="preserve">            Proceeds/(payments) of investments</t>
  </si>
  <si>
    <t>-</t>
  </si>
  <si>
    <t xml:space="preserve">            Total other investing activities</t>
  </si>
  <si>
    <t xml:space="preserve">        Net cash provided by/(used in) investing activities</t>
  </si>
  <si>
    <t xml:space="preserve">                Repurchases of common stock</t>
  </si>
  <si>
    <t xml:space="preserve">                Proceeds from Issuance of Equity</t>
  </si>
  <si>
    <t xml:space="preserve">            Issue/(repurchase) of shares</t>
  </si>
  <si>
    <t xml:space="preserve">            Net change in debt</t>
  </si>
  <si>
    <t xml:space="preserve">            Total other financing activities</t>
  </si>
  <si>
    <t xml:space="preserve">        Net cash provided by/(used in) financing activities</t>
  </si>
  <si>
    <t xml:space="preserve">        Effect of exchange rate changes on cash and cash equivalents</t>
  </si>
  <si>
    <t xml:space="preserve">    Net increase/(decrease) in cash and cash equivalents</t>
  </si>
  <si>
    <t xml:space="preserve">    Cash and cash equivalents, beginning of period</t>
  </si>
  <si>
    <t xml:space="preserve">    Cash and cash equivalents, end of period</t>
  </si>
  <si>
    <t xml:space="preserve">    Free cash flow</t>
  </si>
  <si>
    <t>Netflix, Inc. | Cash flow</t>
  </si>
  <si>
    <t>Netflix, Inc. | Segment</t>
  </si>
  <si>
    <t>Total revenue</t>
  </si>
  <si>
    <t xml:space="preserve">            Revenues - UCAN Streaming</t>
  </si>
  <si>
    <t xml:space="preserve">            Revenues - EMEA Streaming</t>
  </si>
  <si>
    <t xml:space="preserve">            Revenues - LATAM Streaming</t>
  </si>
  <si>
    <t xml:space="preserve">            Revenues - APAC Streaming</t>
  </si>
  <si>
    <t xml:space="preserve">        Revenue - Global Streaming</t>
  </si>
  <si>
    <t xml:space="preserve">        Revenues - Domestic DVD</t>
  </si>
  <si>
    <t xml:space="preserve">    Total revenues</t>
  </si>
  <si>
    <t xml:space="preserve"> </t>
  </si>
  <si>
    <t>Cost of revenue</t>
  </si>
  <si>
    <t xml:space="preserve">    Cost of revenues - Total streaming</t>
  </si>
  <si>
    <t xml:space="preserve">    Cost of revenues - Domestic DVD</t>
  </si>
  <si>
    <t xml:space="preserve">    Cost of revenues</t>
  </si>
  <si>
    <t>Gross profit/(loss)</t>
  </si>
  <si>
    <t xml:space="preserve">    Gross profit/(loss) - Total streaming</t>
  </si>
  <si>
    <t xml:space="preserve">    Gross profit/(loss) - Domestic DVD</t>
  </si>
  <si>
    <t xml:space="preserve">    Gross profit/(loss)</t>
  </si>
  <si>
    <t>Contribution profit/(loss)</t>
  </si>
  <si>
    <t xml:space="preserve">    Contribution profit/(loss) - Total streaming</t>
  </si>
  <si>
    <t xml:space="preserve">    Contribution profit/(loss) - Domestic DVD</t>
  </si>
  <si>
    <t xml:space="preserve">    Contribution profit/(loss)</t>
  </si>
  <si>
    <t>Margin</t>
  </si>
  <si>
    <t xml:space="preserve">        Gross margin - Total streaming(%)</t>
  </si>
  <si>
    <t xml:space="preserve">        Gross margin - Domestic DVD(%)</t>
  </si>
  <si>
    <t xml:space="preserve">    Gross margin(%)</t>
  </si>
  <si>
    <t xml:space="preserve">    Operating margin(%)</t>
  </si>
  <si>
    <t>Netflix, Inc. | Income statement</t>
  </si>
  <si>
    <t xml:space="preserve">        Marketing</t>
  </si>
  <si>
    <t xml:space="preserve">        Technology and development</t>
  </si>
  <si>
    <t xml:space="preserve">        General and administrative</t>
  </si>
  <si>
    <t xml:space="preserve">    Total operating expenses</t>
  </si>
  <si>
    <t xml:space="preserve">    Operating income/(loss)</t>
  </si>
  <si>
    <t xml:space="preserve">    Depreciation and amortization of property, equipment and intangibles</t>
  </si>
  <si>
    <t xml:space="preserve">    EBITDA</t>
  </si>
  <si>
    <t xml:space="preserve">        SBC</t>
  </si>
  <si>
    <t xml:space="preserve">    EBITDA (ex-SBC)</t>
  </si>
  <si>
    <t xml:space="preserve">        Interest expenses</t>
  </si>
  <si>
    <t xml:space="preserve">        Interest and other income/(expense)</t>
  </si>
  <si>
    <t xml:space="preserve">    Total non-operating income/(expense)</t>
  </si>
  <si>
    <t xml:space="preserve">    Income/(loss) before income taxes</t>
  </si>
  <si>
    <t xml:space="preserve">    Provision/(benefit) for income taxes</t>
  </si>
  <si>
    <t xml:space="preserve">    Net income/(loss)</t>
  </si>
  <si>
    <t xml:space="preserve">    EPS - Basic($)</t>
  </si>
  <si>
    <t xml:space="preserve">    EPS - Diluted($)</t>
  </si>
  <si>
    <t xml:space="preserve">    Shares - Basic(M#)</t>
  </si>
  <si>
    <t xml:space="preserve">    Shares - Diluted(M#)</t>
  </si>
  <si>
    <t xml:space="preserve">            SBC adj. in Net income</t>
  </si>
  <si>
    <t xml:space="preserve">            Tax Effect of Non-GAAP Entries in Net income</t>
  </si>
  <si>
    <t xml:space="preserve">        SBC and other adjustment, net of tax</t>
  </si>
  <si>
    <t xml:space="preserve">    Net income/(loss) - Operating</t>
  </si>
  <si>
    <t xml:space="preserve">    EPS - Diluted - Operating($)</t>
  </si>
  <si>
    <t>Netflix, Inc. | Revenue</t>
  </si>
  <si>
    <t>United States and Canada(UCAN)</t>
  </si>
  <si>
    <t xml:space="preserve">                Net adds - UCAN Streaming subs(M#)</t>
  </si>
  <si>
    <t xml:space="preserve">            Ending subs - UCAN Streaming(M#)</t>
  </si>
  <si>
    <t xml:space="preserve">        Average subs - UCAN Streaming(M#)</t>
  </si>
  <si>
    <t xml:space="preserve">        ARPU - UCAN Streaming($)</t>
  </si>
  <si>
    <t xml:space="preserve">    Revenues - UCAN Streaming</t>
  </si>
  <si>
    <t>Europe, Middle East and Africa (EMEA)</t>
  </si>
  <si>
    <t xml:space="preserve">                Net adds - EMEA Streaming subs(M#)</t>
  </si>
  <si>
    <t xml:space="preserve">            Ending subs - EMEA Streaming(M#)</t>
  </si>
  <si>
    <t xml:space="preserve">        Average subs - EMEA Streaming(M#)</t>
  </si>
  <si>
    <t xml:space="preserve">        ARPU - EMEA Streaming($)</t>
  </si>
  <si>
    <t xml:space="preserve">    Revenues - EMEA Streaming</t>
  </si>
  <si>
    <t>Latin America (LATAM)</t>
  </si>
  <si>
    <t xml:space="preserve">                Net adds - LATAM Streaming subs(M#)</t>
  </si>
  <si>
    <t xml:space="preserve">            Ending subs - LATAM Streaming(M#)</t>
  </si>
  <si>
    <t xml:space="preserve">        Average subs - LATAM Streaming(M#)</t>
  </si>
  <si>
    <t xml:space="preserve">        ARPU - LATAM Streaming($)</t>
  </si>
  <si>
    <t xml:space="preserve">    Revenues - LATAM Streaming</t>
  </si>
  <si>
    <t>Asia-Pacific (APAC)</t>
  </si>
  <si>
    <t xml:space="preserve">                Net adds - APAC Streaming subs(M#)</t>
  </si>
  <si>
    <t xml:space="preserve">            Ending subs - APAC Streaming(M#)</t>
  </si>
  <si>
    <t xml:space="preserve">        Average subs - APAC Streaming(M#)</t>
  </si>
  <si>
    <t xml:space="preserve">        ARPU - APAC Streaming($)</t>
  </si>
  <si>
    <t xml:space="preserve">    Revenues - APAC Streaming</t>
  </si>
  <si>
    <t>Total streaming</t>
  </si>
  <si>
    <t xml:space="preserve">            Net adds - Global Streaming subs(M#)</t>
  </si>
  <si>
    <t xml:space="preserve">        Ending subs - Global Streaming(M#)</t>
  </si>
  <si>
    <t xml:space="preserve">        Average subs - Global Streaming(M#)</t>
  </si>
  <si>
    <t xml:space="preserve">        ARPU - Global Streaming($)</t>
  </si>
  <si>
    <t xml:space="preserve">    Revenue - Global Streaming</t>
  </si>
  <si>
    <t xml:space="preserve">    Global Streaming - Constant currency growth(%)</t>
  </si>
  <si>
    <t>Domestic DVD</t>
  </si>
  <si>
    <t xml:space="preserve">            Net adds - Domestic DVD(M#)</t>
  </si>
  <si>
    <t xml:space="preserve">        Ending subs - Domestic DVD(M#)</t>
  </si>
  <si>
    <t xml:space="preserve">        Average subs - Domestic DVD(M#)</t>
  </si>
  <si>
    <t xml:space="preserve">        ARPU - Domestic DVD($)</t>
  </si>
  <si>
    <t xml:space="preserve">    Revenues - Domestic DVD</t>
  </si>
  <si>
    <t>Revenue</t>
  </si>
  <si>
    <t xml:space="preserve">    Total revenues - Constant currency growth(%)</t>
  </si>
  <si>
    <t xml:space="preserve">    Total revenue - Advertising</t>
  </si>
  <si>
    <t xml:space="preserve">    Total revenue - Subscription</t>
  </si>
  <si>
    <t>Constant currency impact on Revenue</t>
  </si>
  <si>
    <t xml:space="preserve">        UCAN Streaming - Constant currency growth(%)</t>
  </si>
  <si>
    <t xml:space="preserve">        EMEA Streaming - Constant currency growth(%)</t>
  </si>
  <si>
    <t xml:space="preserve">        LATAM Streaming - Constant currency growth(%)</t>
  </si>
  <si>
    <t xml:space="preserve">        APAC Streaming - Constant currency growth(%)</t>
  </si>
  <si>
    <t>Constant currency impact on ARPU</t>
  </si>
  <si>
    <t xml:space="preserve">        UCAN Streaming - ARPU - Constant currency growth(%)</t>
  </si>
  <si>
    <t xml:space="preserve">        EMEA Streaming - ARPU - Constant currency growth(%)</t>
  </si>
  <si>
    <t xml:space="preserve">        LATAM Streaming - ARPU - Constant currency growth(%)</t>
  </si>
  <si>
    <t xml:space="preserve">        APAC Streaming - ARPU - Constant currency growth(%)</t>
  </si>
  <si>
    <t xml:space="preserve">    Global Streaming - ARPU - Constant currency growth(%)</t>
  </si>
  <si>
    <t>United States</t>
  </si>
  <si>
    <t xml:space="preserve">            United States- Streaming - Paid subs. - Net adds(M#)</t>
  </si>
  <si>
    <t xml:space="preserve">        United States - Streaming - Paid subs. - Ending(M#)</t>
  </si>
  <si>
    <t xml:space="preserve">        United States- Streaming - Avg paid subs.(M#)</t>
  </si>
  <si>
    <t xml:space="preserve">        United States- Streaming - Avg. rev. per paid subs. per month($)</t>
  </si>
  <si>
    <t xml:space="preserve">    Revenues - United States</t>
  </si>
  <si>
    <t>Canada</t>
  </si>
  <si>
    <t xml:space="preserve">            Canada- Streaming - Paid subs. - Net adds(M#)</t>
  </si>
  <si>
    <t xml:space="preserve">        Canada- Streaming - Paid subs. - Ending(M#)</t>
  </si>
  <si>
    <t xml:space="preserve">        Canada- Streaming - Avg paid subs.(M#)</t>
  </si>
  <si>
    <t xml:space="preserve">        Canada- Streaming - Avg. rev. per paid subs. per month($)</t>
  </si>
  <si>
    <t xml:space="preserve">    Revenues- Canada</t>
  </si>
  <si>
    <t>KPI</t>
  </si>
  <si>
    <t>2Q25A</t>
  </si>
  <si>
    <t>2Q26 Consensus</t>
  </si>
  <si>
    <t>2Q26A</t>
  </si>
  <si>
    <t>YoY Growth (2Q26 vs 2Q25)</t>
  </si>
  <si>
    <t>Beat/(Miss) %</t>
  </si>
  <si>
    <t>Total Revenue ($M)</t>
  </si>
  <si>
    <t>UCAN Revenue ($M)</t>
  </si>
  <si>
    <t>EMEA Revenue ($M)</t>
  </si>
  <si>
    <t>LATAM Revenue ($M)</t>
  </si>
  <si>
    <t>APAC Revenue ($M)</t>
  </si>
  <si>
    <t>Operating Income ($M)</t>
  </si>
  <si>
    <t>Operating Margin (%)</t>
  </si>
  <si>
    <t>Diluted EPS ($)</t>
  </si>
  <si>
    <t>FY26 Consensus</t>
  </si>
  <si>
    <t>Revenue ($M)</t>
  </si>
  <si>
    <t>Revenue Growth YoY (%)</t>
  </si>
  <si>
    <t>Operating Income ($M, implied)</t>
  </si>
  <si>
    <t>Current Guidance</t>
  </si>
  <si>
    <t>New Guidance</t>
  </si>
  <si>
    <t>Direction (select after earnings)</t>
  </si>
  <si>
    <t>Guidance calc inputs (used in formulas above)</t>
  </si>
  <si>
    <t>Revenue Guidance - Low ($M)</t>
  </si>
  <si>
    <t>Revenue Guidance - High ($M)</t>
  </si>
  <si>
    <t>Revenue Growth Guidance - Low (%)</t>
  </si>
  <si>
    <t>Revenue Growth Guidance - High (%)</t>
  </si>
  <si>
    <t>Operating Margin Guidance (%)</t>
  </si>
  <si>
    <t>Content Amortization ($M)</t>
  </si>
  <si>
    <t>Netflix 2Q26 Earnings First Look</t>
  </si>
  <si>
    <t>Guidance Tracker</t>
  </si>
  <si>
    <t>Netflix 1Q26 Earnings First Look</t>
  </si>
  <si>
    <t>1Q25A</t>
  </si>
  <si>
    <t>1Q26 Consensus</t>
  </si>
  <si>
    <t>1Q26A</t>
  </si>
  <si>
    <t>YoY Growth (1Q26 vs 1Q25)</t>
  </si>
  <si>
    <t>Direction</t>
  </si>
  <si>
    <t>Reiterated</t>
  </si>
  <si>
    <t>Netflix 2Q26 Consensus — Capital IQ Pro</t>
  </si>
  <si>
    <t>Ticker:</t>
  </si>
  <si>
    <t>NasdaqGS:NFLX</t>
  </si>
  <si>
    <t>Estimate period:</t>
  </si>
  <si>
    <t>CQ2 2026</t>
  </si>
  <si>
    <t>CapIQ field / note</t>
  </si>
  <si>
    <t>IQ_REVENUE_EST (consensus mean)</t>
  </si>
  <si>
    <t>No segment-level consensus in CapIQ — fill manually</t>
  </si>
  <si>
    <t>IQ_EBIT_EST (consensus mean)</t>
  </si>
  <si>
    <t>= Operating Income / Revenue</t>
  </si>
  <si>
    <t>IQ_EPS_EST (consensus mean, normalized)</t>
  </si>
  <si>
    <t>No consensus estimate for content amortization — fill manually</t>
  </si>
  <si>
    <t>New guidance calc inputs (used in formulas above)</t>
  </si>
  <si>
    <t>Raised Low end</t>
  </si>
  <si>
    <t>允䅁䅁䅧䅁捁䅁䅁杔桂䡁䅍䅚桂䡁䅅睒呂䑁䅯杔䝂䕁䅷䅗䅁䅁䅁䅁歂睁䅁䅐兂䝁䅅杣桂䝁䄰䅉灂䝁䅑児楁䑁䅕杉⭁䑁䅍䅐癁䙁䅁兙祂䝁䅅兢⭁䑁䅷䅕桂䡁䅉兙瑂䍁䅁兡歂䑁䄰杉硁䍁䅉材祁䑁䅙睍穁䑁䅉䅎硁䑁䅷睌兂䝁䅅杣桂䝁䄰材㡁䙁䅁兙祂䝁䅅兢杁䝁䅫䅚㥁䍁䅉杍楁䑁䄴免睁䑁䅁免㉁䑁䅕䅏穁䑁䅙䅎㡁䍁䄸䅕桂䡁䅉兙瑂䑁䄴䅐兂䝁䅅杣桂䝁䄰䅉灂䝁䅑児楁䑁䅍杉⭁䑁䅅䅍睁䑁䅅睎穁䑁䅷睌兂䝁䅅杣桂䝁䄰材㡁䙁䅁兙祂䝁䅅兢杁䝁䅫䅚㥁䍁䅉䅎楁䑁䄴杍㡁䍁䄸䅕桂䡁䅉兙瑂䑁䄴䅐兂䝁䅅杣桂䝁䄰䅉灂䝁䅑児楁䑁䅙杉⭁䑁䅁䅐癁䙁䅁兙祂䝁䅅兢⭁䑁䅷䅕桂䡁䅉兙瑂䍁䅁兡歂䑁䄰杉㍁䍁䅉材硁䑁䅙䅍㡁䍁䄸䅕桂䡁䅉兙瑂䑁䄴䅐兂䝁䅅杣桂䝁䄰䅉灂䝁䅑児楁䑁䅧杉⭁䑁䅁䅐癁䙁䅁兙祂䝁䅅兢⭁䑁䅷䅕桂䡁䅉兙瑂䍁䅁兡歂䑁䄰杉㕁䍁䅉材硁䑁䅷睌兂䝁䅅杣桂䝁䄰材㡁䙁䅁兙祂䝁䅅兢杁䝁䅫䅚㥁䍁䅉免睁䍁䅉材睁䑁䅷睌兂䝁䅅杣桂䝁䄰材㡁䙁䅁兙祂䝁䅅兢杁䝁䅫䅚㥁䍁䅉免硁䍁䅉材硁䑁䅑䅏㉁䑁䅣睎硁䑁䅑李㕁䑁䅁䅐癁䙁䅁兙祂䝁䅅兢⭁䑁䅷䅕桂䡁䅉兙瑂䍁䅁兡歂䑁䄰杉硁䑁䅉杉⭁䑁䅉䅐癁䙁䅁兙祂䝁䅅兢⭁䑁䅷䅕桂䡁䅉兙瑂䍁䅁兡歂䑁䄰杉硁䑁䅍杉⭁䑁䅣睌硁䑁䅣睌祁䑁䅁杍㉁䑁䅷睌兂䝁䅅杣桂䝁䄰材㡁䙁䅁兙祂䝁䅅兢杁䝁䅫䅚㥁䍁䅉免㉁䍁䅉材㉁䍁䄸睍睁䍁䄸杍睁䑁䅉李㡁䍁䄸䅕桂䡁䅉兙瑂䑁䄴䅐兂䝁䅅杣桂䝁䄰䅉灂䝁䅑児楁䑁䅅睎楁䑁䄴睍祁䑁䅁免祁䑁䅷睌兂䝁䅅杣桂䝁䄰材㡁䙁䅁兙祂䝁䅅兢杁䝁䅫䅚㥁䍁䅉免㑁䍁䅉材睁䍁䄴睎㑁䑁䅫兏ㅁ䑁䅷睌兂䝁䅅杣桂䝁䄰材䅁䅁䅣䅁敁䅁䅁兓剂䙁䄸杕䙂䙁䅙兒佂䙁䅕兒時䕁䅕睕啂䅁䅁允䅁䉁䅧䅁䩂䙁䅅睘䙂䕁䅉兓啂䙁䄸兒呂䙁䅑䅁䕁䅁䅁杅䅁䕁䅍兕祁䍁䅁杍睁䑁䅉李䅁䅁䅉䅁敂睁䅁䅐兂䝁䅅杣桂䝁䄰䅉灂䝁䅑児楁䑁䅕杉⭁䑁䅍䅐癁䙁䅁兙祂䝁䅅兢⭁䑁䅷䅕桂䡁䅉兙瑂䍁䅁兡歂䑁䄰杉硁䍁䅉材睁䑁䅷睌兂䝁䅅杣桂䝁䄰材㡁䙁䅁兙祂䝁䅅兢杁䝁䅫䅚㥁䍁䅉杍楁䑁䄴免睁䑁䅁免㉁䑁䅕䅏穁䑁䅙䅎㡁䍁䄸䅕桂䡁䅉兙瑂䑁䄴䅐兂䝁䅅杣桂䝁䄰䅉灂䝁䅑児楁䑁䅍杉⭁䑁䅅䅍睁䑁䅉免ㅁ䑁䅷睌兂䝁䅅杣桂䝁䄰材㡁䙁䅁兙祂䝁䅅兢杁䝁䅫䅚㥁䍁䅉䅎楁䑁䄴杍㡁䍁䄸䅕桂䡁䅉兙瑂䑁䄴䅐兂䝁䅅杣桂䝁䄰䅉灂䝁䅑児楁䑁䅙杉⭁䑁䅁䅐癁䙁䅁兙祂䝁䅅兢⭁䑁䅷䅕桂䡁䅉兙瑂䍁䅁兡歂䑁䄰杉㍁䍁䅉材硁䑁䅙䅍㡁䍁䄸䅕桂䡁䅉兙瑂䑁䄴䅐兂䝁䅅杣桂䝁䄰䅉灂䝁䅑児楁䑁䅧杉⭁䑁䅁䅐癁䙁䅁兙祂䝁䅅兢⭁䑁䅷䅕桂䡁䅉兙瑂䍁䅁兡歂䑁䄰杉㕁䍁䅉材硁䑁䅷睌兂䝁䅅杣桂䝁䄰材㡁䙁䅁兙祂䝁䅅兢杁䝁䅫䅚㥁䍁䅉免睁䍁䅉材睁䑁䅷睌兂䝁䅅杣桂䝁䄰材㡁䙁䅁兙祂䝁䅅兢杁䝁䅫䅚㥁䍁䅉免硁䍁䅉材硁䑁䅑䅏㉁䑁䅙䅎㕁䑁䅁兏㑁䑁䅙䅐癁䙁䅁兙祂䝁䅅兢⭁䑁䅷䅕桂䡁䅉兙瑂䍁䅁兡歂䑁䄰杉硁䑁䅉杉⭁䑁䅉䅐癁䙁䅁兙祂䝁䅅兢⭁䑁䅷䅕桂䡁䅉兙瑂䍁䅁兡歂䑁䄰杉硁䑁䅍杉⭁䑁䅣睌硁䑁䅣睌祁䑁䅁杍㉁䑁䅷睌兂䝁䅅杣桂䝁䄰材㡁䙁䅁兙祂䝁䅅兢杁䝁䅫䅚㥁䍁䅉免㉁䍁䅉材㉁䍁䄸睍睁䍁䄸杍睁䑁䅉李㡁䍁䄸䅕桂䡁䅉兙瑂䑁䄴䅐兂䝁䅅杣桂䝁䄰䅉灂䝁䅑児楁䑁䅅睎楁䑁䄴睍祁䑁䅁免祁䑁䅷睌兂䝁䅅杣桂䝁䄰材㡁䙁䅁兙祂䝁䅅兢杁䝁䅫䅚㥁䍁䅉免㑁䍁䅉材ぁ䑁䅅杍㉁䍁䄴䅎ㅁ䑁䅁兏㕁䑁䅷睌兂䝁䅅杣桂䝁䄰材䅁䅁䅕䅁杂睁䅁䅐兂䝁䅅杣桂䝁䄰䅉灂䝁䅑児楁䑁䅕杉⭁䑁䅍䅐癁䙁䅁兙祂䝁䅅兢⭁䑁䅷䅕桂䡁䅉兙瑂䍁䅁兡歂䑁䄰杉硁䍁䅉材睁䑁䅷睌兂䝁䅅杣桂䝁䄰材㡁䙁䅁兙祂䝁䅅兢杁䝁䅫䅚㥁䍁䅉杍楁䑁䄴免睁䑁䅁免㉁䑁䅕䅏穁䑁䅙䅎㡁䍁䄸䅕桂䡁䅉兙瑂䑁䄴䅐兂䝁䅅杣桂䝁䄰䅉灂䝁䅑児楁䑁䅍杉⭁䑁䅅䅍睁䑁䅅䅏睁䑁䅷睌兂䝁䅅杣桂䝁䄰材㡁䙁䅁兙祂䝁䅅兢杁䝁䅫䅚㥁䍁䅉䅎楁䑁䄴杍㡁䍁䄸䅕桂䡁䅉兙瑂䑁䄴䅐兂䝁䅅杣桂䝁䄰䅉灂䝁䅑児楁䑁䅙杉⭁䑁䅁䅐癁䙁䅁兙祂䝁䅅兢⭁䑁䅷䅕桂䡁䅉兙瑂䍁䅁兡歂䑁䄰杉㍁䍁䅉材硁䑁䅙䅍㡁䍁䄸䅕桂䡁䅉兙瑂䑁䄴䅐兂䝁䅅杣桂䝁䄰䅉灂䝁䅑児楁䑁䅧杉⭁䑁䅁䅐癁䙁䅁兙祂䝁䅅兢⭁䑁䅷䅕桂䡁䅉兙瑂䍁䅁兡歂䑁䄰杉㕁䍁䅉材硁䑁䅷睌兂䝁䅅杣桂䝁䄰材㡁䙁䅁兙祂䝁䅅兢杁䝁䅫䅚㥁䍁䅉免睁䍁䅉材睁䑁䅷睌兂䝁䅅杣桂䝁䄰材㡁䙁䅁兙祂䝁䅅兢杁䝁䅫䅚㥁䍁䅉免硁䍁䅉材硁䑁䅑䅏㉁䑁䅣睎硁䑁䅑睎㑁䑁䅁䅐癁䙁䅁兙祂䝁䅅兢⭁䑁䅷䅕桂䡁䅉兙瑂䍁䅁兡歂䑁䄰杉硁䑁䅉杉⭁䑁䅉䅐癁䙁䅁兙祂䝁䅅兢⭁䑁䅷䅕桂䡁䅉兙瑂䍁䅁兡歂䑁䄰杉硁䑁䅍杉⭁䑁䅣睌硁䑁䅣睌祁䑁䅁杍㉁䑁䅷睌兂䝁䅅杣桂䝁䄰材㡁䙁䅁兙祂䝁䅅兢杁䝁䅫䅚㥁䍁䅉免㉁䍁䅉材㉁䍁䄸睍睁䍁䄸杍睁䑁䅉李㡁䍁䄸䅕桂䡁䅉兙瑂䑁䄴䅐兂䝁䅅杣桂䝁䄰䅉灂䝁䅑児楁䑁䅅睎楁䑁䄴睍祁䑁䅁免祁䑁䅷睌兂䝁䅅杣桂䝁䄰材㡁䙁䅁兙祂䝁䅅兢杁䝁䅫䅚㥁䍁䅉免㑁䍁䅉材硁䑁䅉兎㑁䑁䅉杌ㅁ䑁䅍䅍硁䑁䅧䅐癁䙁䅁兙祂䝁䅅兢⭁䅁䅁睁䅁䉁䅙䅁䩂䙁䅅睘䙂䙁䅁睕時䕁䅕睕啂䅁䅁杂䅁䅁䅁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</si>
</sst>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00\)"/>
    <numFmt numFmtId="166" formatCode="&quot;$&quot;#,##0;\(&quot;$&quot;#,##0\);&quot;-&quot;"/>
    <numFmt numFmtId="167" formatCode="0.0%;\(0.0%\);&quot;-&quot;"/>
    <numFmt numFmtId="168" formatCode="&quot;$&quot;0.00;\(&quot;$&quot;0.00\);&quot;-&quot;"/>
    <numFmt numFmtId="169" formatCode="&quot;$&quot;#,##0"/>
    <numFmt numFmtId="170" formatCode="0.0%"/>
  </numFmts>
  <fonts count="18" x14ac:knownFonts="1">
    <font>
      <sz val="11"/>
      <color theme="1"/>
      <name val="Calibri"/>
      <family val="2"/>
      <scheme val="minor"/>
    </font>
    <font>
      <b/>
      <sz val="14"/>
      <name val="Calibri"/>
      <family val="2"/>
    </font>
    <font>
      <b/>
      <sz val="11"/>
      <color theme="1"/>
      <name val="Calibri"/>
      <family val="2"/>
      <scheme val="minor"/>
    </font>
    <font>
      <b/>
      <sz val="11"/>
      <name val="Calibri"/>
      <family val="2"/>
    </font>
    <font>
      <sz val="11"/>
      <color rgb="FFFF0000"/>
      <name val="Calibri"/>
      <family val="2"/>
      <scheme val="minor"/>
    </font>
    <font>
      <b/>
      <sz val="14"/>
      <color theme="1"/>
      <name val="Calibri"/>
      <family val="2"/>
      <scheme val="minor"/>
    </font>
    <font>
      <i/>
      <sz val="9"/>
      <color rgb="FF666666"/>
      <name val="Calibri"/>
      <family val="2"/>
      <scheme val="minor"/>
    </font>
    <font>
      <b/>
      <sz val="11"/>
      <color rgb="FFFFFFFF"/>
      <name val="Calibri"/>
      <family val="2"/>
      <scheme val="minor"/>
    </font>
    <font>
      <sz val="11"/>
      <color rgb="FF008000"/>
      <name val="Calibri"/>
      <family val="2"/>
      <scheme val="minor"/>
    </font>
    <font>
      <sz val="11"/>
      <color rgb="FF0000FF"/>
      <name val="Calibri"/>
      <family val="2"/>
      <scheme val="minor"/>
    </font>
    <font>
      <sz val="10"/>
      <color rgb="FF000000"/>
      <name val="Tahoma"/>
      <family val="2"/>
    </font>
    <font>
      <b/>
      <sz val="10"/>
      <color rgb="FF000000"/>
      <name val="Tahoma"/>
      <family val="2"/>
    </font>
    <font>
      <i/>
      <sz val="11"/>
      <color theme="1"/>
      <name val="Calibri"/>
      <family val="2"/>
      <scheme val="minor"/>
    </font>
    <font>
      <sz val="11"/>
      <color rgb="FF000000"/>
      <name val="Calibri"/>
      <family val="2"/>
      <scheme val="minor"/>
    </font>
    <font>
      <i/>
      <sz val="11"/>
      <color rgb="FF000000"/>
      <name val="Calibri"/>
      <family val="2"/>
      <scheme val="minor"/>
    </font>
    <font>
      <b/>
      <i/>
      <sz val="11"/>
      <color theme="1"/>
      <name val="Calibri"/>
      <family val="2"/>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rgb="FFD3D3D3"/>
        <bgColor indexed="64"/>
      </patternFill>
    </fill>
    <fill>
      <patternFill patternType="solid">
        <fgColor rgb="FF1F4E78"/>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51">
    <xf numFmtId="0" fontId="0" fillId="0" borderId="0" xfId="0"/>
    <xf numFmtId="0" fontId="0" fillId="0" borderId="0" xfId="0" applyAlignment="1">
      <alignment horizontal="center"/>
    </xf>
    <xf numFmtId="0" fontId="1" fillId="0" borderId="0" xfId="0" applyFont="1" applyAlignment="1">
      <alignment horizontal="left"/>
    </xf>
    <xf numFmtId="0" fontId="1" fillId="0" borderId="0" xfId="0" applyFont="1"/>
    <xf numFmtId="0" fontId="0" fillId="0" borderId="0" xfId="0" applyAlignment="1">
      <alignment horizontal="left" vertical="top"/>
    </xf>
    <xf numFmtId="0" fontId="2" fillId="0" borderId="0" xfId="0" applyFont="1" applyAlignment="1">
      <alignment horizontal="left" vertical="top"/>
    </xf>
    <xf numFmtId="0" fontId="3" fillId="2" borderId="0" xfId="0" applyFont="1" applyFill="1" applyAlignment="1">
      <alignment horizontal="left" vertical="top"/>
    </xf>
    <xf numFmtId="0" fontId="3" fillId="2" borderId="0" xfId="0" applyFont="1" applyFill="1" applyAlignment="1">
      <alignment horizontal="right" vertical="top"/>
    </xf>
    <xf numFmtId="164" fontId="0" fillId="0" borderId="0" xfId="0" applyNumberFormat="1" applyAlignment="1">
      <alignment horizontal="right" vertical="top"/>
    </xf>
    <xf numFmtId="0" fontId="0" fillId="0" borderId="0" xfId="0" applyAlignment="1">
      <alignment horizontal="right" vertical="top"/>
    </xf>
    <xf numFmtId="165" fontId="0" fillId="0" borderId="0" xfId="0" applyNumberFormat="1" applyAlignment="1">
      <alignment horizontal="right" vertical="top"/>
    </xf>
    <xf numFmtId="165" fontId="4" fillId="0" borderId="0" xfId="0" applyNumberFormat="1" applyFont="1" applyAlignment="1">
      <alignment horizontal="right" vertical="top"/>
    </xf>
    <xf numFmtId="164" fontId="0" fillId="0" borderId="0" xfId="0" applyNumberFormat="1"/>
    <xf numFmtId="165" fontId="0" fillId="0" borderId="0" xfId="0" applyNumberFormat="1"/>
    <xf numFmtId="0" fontId="2" fillId="0" borderId="0" xfId="0" applyFont="1"/>
    <xf numFmtId="0" fontId="6" fillId="0" borderId="0" xfId="0" applyFont="1"/>
    <xf numFmtId="0" fontId="7" fillId="3" borderId="0" xfId="0" applyFont="1" applyFill="1"/>
    <xf numFmtId="0" fontId="7" fillId="3" borderId="0" xfId="0" applyFont="1" applyFill="1" applyAlignment="1">
      <alignment horizontal="center"/>
    </xf>
    <xf numFmtId="166" fontId="8" fillId="0" borderId="0" xfId="0" applyNumberFormat="1" applyFont="1"/>
    <xf numFmtId="0" fontId="5" fillId="0" borderId="0" xfId="0" applyFont="1"/>
    <xf numFmtId="167" fontId="0" fillId="0" borderId="0" xfId="0" applyNumberFormat="1"/>
    <xf numFmtId="168" fontId="8" fillId="0" borderId="0" xfId="0" applyNumberFormat="1" applyFont="1"/>
    <xf numFmtId="0" fontId="0" fillId="0" borderId="0" xfId="0" applyAlignment="1">
      <alignment indent="1"/>
    </xf>
    <xf numFmtId="0" fontId="12" fillId="0" borderId="0" xfId="0" applyFont="1"/>
    <xf numFmtId="167" fontId="12" fillId="0" borderId="0" xfId="0" applyNumberFormat="1" applyFont="1"/>
    <xf numFmtId="169" fontId="9" fillId="0" borderId="0" xfId="0" applyNumberFormat="1" applyFont="1"/>
    <xf numFmtId="170" fontId="9" fillId="0" borderId="0" xfId="0" applyNumberFormat="1" applyFont="1"/>
    <xf numFmtId="0" fontId="13" fillId="0" borderId="0" xfId="0" applyFont="1"/>
    <xf numFmtId="167" fontId="13" fillId="0" borderId="0" xfId="0" applyNumberFormat="1" applyFont="1"/>
    <xf numFmtId="166" fontId="9" fillId="4" borderId="0" xfId="0" applyNumberFormat="1" applyFont="1" applyFill="1"/>
    <xf numFmtId="167" fontId="14" fillId="4" borderId="0" xfId="0" applyNumberFormat="1" applyFont="1" applyFill="1"/>
    <xf numFmtId="168" fontId="9" fillId="4" borderId="0" xfId="0" applyNumberFormat="1" applyFont="1" applyFill="1"/>
    <xf numFmtId="167" fontId="13" fillId="4" borderId="0" xfId="0" applyNumberFormat="1" applyFont="1" applyFill="1"/>
    <xf numFmtId="0" fontId="9" fillId="4" borderId="0" xfId="0" applyFont="1" applyFill="1"/>
    <xf numFmtId="0" fontId="9" fillId="0" borderId="0" xfId="0" applyFont="1"/>
    <xf numFmtId="0" fontId="15" fillId="0" borderId="0" xfId="0" applyFont="1"/>
    <xf numFmtId="166" fontId="9" fillId="0" borderId="0" xfId="0" applyNumberFormat="1" applyFont="1"/>
    <xf numFmtId="0" fontId="0" fillId="0" borderId="0" xfId="0" quotePrefix="1"/>
    <xf numFmtId="168" fontId="9" fillId="0" borderId="0" xfId="0" applyNumberFormat="1" applyFont="1"/>
    <xf numFmtId="0" fontId="5" fillId="0" borderId="0" xfId="0" applyFont="1"/>
    <xf numFmtId="0" fontId="0" fillId="0" borderId="0" xfId="0" applyAlignment="1">
      <alignment horizontal="center"/>
    </xf>
    <xf numFmtId="166" fontId="8" fillId="0" borderId="0" xfId="0" applyNumberFormat="1" applyFont="1" applyAlignment="1">
      <alignment horizontal="center"/>
    </xf>
    <xf numFmtId="166" fontId="9" fillId="0" borderId="0" xfId="0" applyNumberFormat="1" applyFont="1" applyFill="1" applyAlignment="1">
      <alignment horizontal="center"/>
    </xf>
    <xf numFmtId="167" fontId="0" fillId="0" borderId="0" xfId="0" applyNumberFormat="1" applyAlignment="1">
      <alignment horizontal="center"/>
    </xf>
    <xf numFmtId="167" fontId="12" fillId="0" borderId="0" xfId="0" applyNumberFormat="1" applyFont="1" applyAlignment="1">
      <alignment horizontal="center"/>
    </xf>
    <xf numFmtId="168" fontId="8" fillId="0" borderId="0" xfId="0" applyNumberFormat="1" applyFont="1" applyAlignment="1">
      <alignment horizontal="center"/>
    </xf>
    <xf numFmtId="168" fontId="9" fillId="0" borderId="0" xfId="0" applyNumberFormat="1" applyFont="1" applyFill="1" applyAlignment="1">
      <alignment horizontal="center"/>
    </xf>
    <xf numFmtId="167" fontId="13" fillId="0" borderId="0" xfId="0" applyNumberFormat="1" applyFont="1" applyAlignment="1">
      <alignment horizontal="center"/>
    </xf>
    <xf numFmtId="0" fontId="13" fillId="0" borderId="0" xfId="0" applyFont="1" applyAlignment="1">
      <alignment horizontal="center"/>
    </xf>
    <xf numFmtId="169" fontId="9" fillId="0" borderId="0" xfId="0" applyNumberFormat="1" applyFont="1" applyAlignment="1">
      <alignment horizontal="center"/>
    </xf>
    <xf numFmtId="170" fontId="9" fillId="0" borderId="0" xfId="0" applyNumberFormat="1" applyFont="1" applyAlignment="1">
      <alignment horizontal="center"/>
    </xf>
  </cellXfs>
  <cellStyles count="1">
    <cellStyle name="Normal" xfId="0" builtinId="0"/>
  </cellStyles>
  <dxfs count="7">
    <dxf>
      <font>
        <color rgb="FFFF0000"/>
      </font>
    </dxf>
    <dxf>
      <font>
        <b/>
        <i val="0"/>
        <color rgb="FF000000"/>
      </font>
    </dxf>
    <dxf>
      <font>
        <b/>
        <i val="0"/>
        <color rgb="FFFF0000"/>
      </font>
    </dxf>
    <dxf>
      <font>
        <b/>
        <i val="0"/>
        <color rgb="FF008000"/>
      </font>
    </dxf>
    <dxf>
      <font>
        <b/>
        <i val="0"/>
        <color rgb="FF000000"/>
      </font>
    </dxf>
    <dxf>
      <font>
        <b/>
        <i val="0"/>
        <color rgb="FFFF0000"/>
      </font>
    </dxf>
    <dxf>
      <font>
        <b/>
        <i val="0"/>
        <color rgb="FF008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D9D3C67B-8ECD-B042-9D32-A162A412620B}">
  <we:reference id="wa200010725" version="1.0.0.1" store="en-US" storeType="OMEX"/>
  <we:alternateReferences>
    <we:reference id="WA200010725" version="1.0.0.1" store="" storeType="OMEX"/>
  </we:alternateReferences>
  <we:properties>
    <we:property name="claude.fileId" value="&quot;19c88829-02eb-46fd-be1d-8c61848ccc9f&quot;"/>
  </we:properties>
  <we:bindings/>
  <we:snapshot xmlns:r="http://schemas.openxmlformats.org/officeDocument/2006/relationships"/>
</we:webextension>
</file>

<file path=xl/webextensions/webextension2.xml><?xml version="1.0" encoding="utf-8"?>
<we:webextension xmlns:we="http://schemas.microsoft.com/office/webextensions/webextension/2010/11" id="{2C1EF95E-2BB6-4A3B-A265-C0BEA1FE8072}">
  <we:reference id="wa200009404" version="1.0.0.8" store="en-US" storeType="OMEX"/>
  <we:alternateReferences>
    <we:reference id="wa200009404" version="1.0.0.8" store="en-US" storeType="OMEX"/>
  </we:alternateReferences>
  <we:properties>
    <we:property name="claude.fileId" value="&quot;d7b0016b-db14-473c-8590-ad6784ea24a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717E1-E7C5-44DA-828D-4238B4C3EFE2}">
  <dimension ref="A1"/>
  <sheetViews>
    <sheetView workbookViewId="0"/>
  </sheetViews>
  <sheetFormatPr defaultRowHeight="15" x14ac:dyDescent="0.25"/>
  <sheetData>
    <row r="1" spans="1:1" x14ac:dyDescent="0.25">
      <c r="A1" t="s">
        <v>249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A9D4A-85E9-1E47-81FD-5069464F1C15}">
  <dimension ref="A1:F32"/>
  <sheetViews>
    <sheetView showGridLines="0" tabSelected="1" zoomScale="125" workbookViewId="0">
      <pane ySplit="2" topLeftCell="A3" activePane="bottomLeft" state="frozen"/>
      <selection pane="bottomLeft" activeCell="G16" sqref="G16"/>
    </sheetView>
  </sheetViews>
  <sheetFormatPr defaultColWidth="11.42578125" defaultRowHeight="15" x14ac:dyDescent="0.25"/>
  <cols>
    <col min="1" max="1" width="31.140625" bestFit="1" customWidth="1"/>
    <col min="2" max="2" width="15.28515625" style="1" bestFit="1" customWidth="1"/>
    <col min="3" max="3" width="29.140625" style="1" bestFit="1" customWidth="1"/>
    <col min="4" max="4" width="17.42578125" style="1" customWidth="1"/>
    <col min="5" max="5" width="29.42578125" style="1" customWidth="1"/>
    <col min="6" max="6" width="17.28515625" style="1" bestFit="1" customWidth="1"/>
    <col min="7" max="7" width="15.28515625" bestFit="1" customWidth="1"/>
  </cols>
  <sheetData>
    <row r="1" spans="1:6" ht="18.75" x14ac:dyDescent="0.3">
      <c r="A1" s="39" t="s">
        <v>226</v>
      </c>
      <c r="B1" s="39"/>
      <c r="C1" s="39"/>
      <c r="D1" s="39"/>
      <c r="E1" s="39"/>
      <c r="F1" s="39"/>
    </row>
    <row r="2" spans="1:6" x14ac:dyDescent="0.25">
      <c r="A2" s="16" t="s">
        <v>198</v>
      </c>
      <c r="B2" s="17" t="s">
        <v>199</v>
      </c>
      <c r="C2" s="17" t="s">
        <v>200</v>
      </c>
      <c r="D2" s="17" t="s">
        <v>201</v>
      </c>
      <c r="E2" s="17" t="s">
        <v>202</v>
      </c>
      <c r="F2" s="17" t="s">
        <v>203</v>
      </c>
    </row>
    <row r="3" spans="1:6" x14ac:dyDescent="0.25">
      <c r="A3" s="14" t="s">
        <v>204</v>
      </c>
      <c r="B3" s="41">
        <f>'Income statement'!C14</f>
        <v>11079.17</v>
      </c>
      <c r="C3" s="41">
        <f>'Income statement'!H14</f>
        <v>12574.71</v>
      </c>
      <c r="D3" s="42">
        <v>12559.938</v>
      </c>
      <c r="E3" s="43">
        <f>IF(D3="","",(D3-B3)/B3)</f>
        <v>0.13365333323705658</v>
      </c>
      <c r="F3" s="43">
        <f>IF(D3="","",(D3-C3)/C3)</f>
        <v>-1.1747388210144828E-3</v>
      </c>
    </row>
    <row r="4" spans="1:6" x14ac:dyDescent="0.25">
      <c r="A4" s="22" t="s">
        <v>205</v>
      </c>
      <c r="B4" s="41">
        <f>Revenue!C19</f>
        <v>4929</v>
      </c>
      <c r="C4" s="41">
        <f>Revenue!H19</f>
        <v>5522.9</v>
      </c>
      <c r="D4" s="42">
        <v>5431.6670000000004</v>
      </c>
      <c r="E4" s="43">
        <f>IF(D4="","",(D4-B4)/B4)</f>
        <v>0.10198153783728958</v>
      </c>
      <c r="F4" s="43">
        <f>IF(D4="","",(D4-C4)/C4)</f>
        <v>-1.6519038910717064E-2</v>
      </c>
    </row>
    <row r="5" spans="1:6" x14ac:dyDescent="0.25">
      <c r="A5" s="22" t="s">
        <v>206</v>
      </c>
      <c r="B5" s="41">
        <f>Revenue!C26</f>
        <v>3538.18</v>
      </c>
      <c r="C5" s="41">
        <f>Revenue!H26</f>
        <v>4014.96</v>
      </c>
      <c r="D5" s="42">
        <v>4033.5149999999999</v>
      </c>
      <c r="E5" s="43">
        <f>IF(D5="","",(D5-B5)/B5)</f>
        <v>0.13999711716193072</v>
      </c>
      <c r="F5" s="43">
        <f>IF(D5="","",(D5-C5)/C5)</f>
        <v>4.621465718213839E-3</v>
      </c>
    </row>
    <row r="6" spans="1:6" x14ac:dyDescent="0.25">
      <c r="A6" s="22" t="s">
        <v>207</v>
      </c>
      <c r="B6" s="41">
        <f>Revenue!C33</f>
        <v>1306.73</v>
      </c>
      <c r="C6" s="41">
        <f>Revenue!H33</f>
        <v>1504.65</v>
      </c>
      <c r="D6" s="42">
        <v>1584.29</v>
      </c>
      <c r="E6" s="43">
        <f>IF(D6="","",(D6-B6)/B6)</f>
        <v>0.21240807205773185</v>
      </c>
      <c r="F6" s="43">
        <f>IF(D6="","",(D6-C6)/C6)</f>
        <v>5.2929252650117879E-2</v>
      </c>
    </row>
    <row r="7" spans="1:6" x14ac:dyDescent="0.25">
      <c r="A7" s="22" t="s">
        <v>208</v>
      </c>
      <c r="B7" s="41">
        <f>Revenue!C40</f>
        <v>1305.25</v>
      </c>
      <c r="C7" s="41">
        <f>Revenue!H40</f>
        <v>1522.16</v>
      </c>
      <c r="D7" s="42">
        <v>1510.4659999999999</v>
      </c>
      <c r="E7" s="43">
        <f>IF(D7="","",(D7-B7)/B7)</f>
        <v>0.15722352039839102</v>
      </c>
      <c r="F7" s="43">
        <f>IF(D7="","",(D7-C7)/C7)</f>
        <v>-7.6825038103748534E-3</v>
      </c>
    </row>
    <row r="9" spans="1:6" x14ac:dyDescent="0.25">
      <c r="A9" s="14" t="s">
        <v>209</v>
      </c>
      <c r="B9" s="41">
        <f>'Income statement'!C21</f>
        <v>3774.69</v>
      </c>
      <c r="C9" s="41">
        <f>'Income statement'!H21</f>
        <v>4124.2</v>
      </c>
      <c r="D9" s="42">
        <v>4192.6099999999997</v>
      </c>
      <c r="E9" s="43">
        <f>IF(D9="","",(D9-B9)/B9)</f>
        <v>0.11071637670908065</v>
      </c>
      <c r="F9" s="43">
        <f>IF(D9="","",(D9-C9)/C9)</f>
        <v>1.6587459386062715E-2</v>
      </c>
    </row>
    <row r="10" spans="1:6" x14ac:dyDescent="0.25">
      <c r="A10" s="23" t="s">
        <v>210</v>
      </c>
      <c r="B10" s="44">
        <f>B9/B3</f>
        <v>0.34070151464414755</v>
      </c>
      <c r="C10" s="44">
        <f>C9/C3</f>
        <v>0.32797575451044197</v>
      </c>
      <c r="D10" s="44">
        <f>IF(OR(D9="",D3=""),"",D9/D3)</f>
        <v>0.3338081764416353</v>
      </c>
      <c r="E10" s="44">
        <f>IF(D10="","",D10-B10)</f>
        <v>-6.8933382025122558E-3</v>
      </c>
      <c r="F10" s="44">
        <f>IF(D10="","",(D10-C10)/C10)</f>
        <v>1.7783088691721054E-2</v>
      </c>
    </row>
    <row r="12" spans="1:6" x14ac:dyDescent="0.25">
      <c r="A12" s="14" t="s">
        <v>211</v>
      </c>
      <c r="B12" s="45">
        <f>'Income statement'!C33</f>
        <v>0.72</v>
      </c>
      <c r="C12" s="45">
        <f>'Income statement'!H33</f>
        <v>0.79</v>
      </c>
      <c r="D12" s="46">
        <v>0.8</v>
      </c>
      <c r="E12" s="43">
        <f>IF(D12="","",(D12-B12)/B12)</f>
        <v>0.11111111111111122</v>
      </c>
      <c r="F12" s="43">
        <f>IF(D12="","",(D12-C12)/C12)</f>
        <v>1.2658227848101276E-2</v>
      </c>
    </row>
    <row r="14" spans="1:6" x14ac:dyDescent="0.25">
      <c r="A14" s="14" t="s">
        <v>225</v>
      </c>
      <c r="B14" s="41">
        <f>'Cash flow'!C19</f>
        <v>3832.07</v>
      </c>
      <c r="C14" s="41">
        <f>'Cash flow'!H19</f>
        <v>4440.9799999999996</v>
      </c>
      <c r="D14" s="42">
        <v>4311.3090000000002</v>
      </c>
      <c r="E14" s="47">
        <f>IF(D14="","",(D14-B14)/B14)</f>
        <v>0.12506008501932375</v>
      </c>
      <c r="F14" s="47">
        <f>IF(D14="","",(D14-C14)/C14)</f>
        <v>-2.9198735414255272E-2</v>
      </c>
    </row>
    <row r="16" spans="1:6" ht="18.75" x14ac:dyDescent="0.3">
      <c r="A16" s="39" t="s">
        <v>227</v>
      </c>
      <c r="B16" s="39"/>
      <c r="C16" s="39"/>
      <c r="D16" s="39"/>
      <c r="E16" s="39"/>
    </row>
    <row r="17" spans="1:5" x14ac:dyDescent="0.25">
      <c r="A17" s="16" t="s">
        <v>198</v>
      </c>
      <c r="B17" s="17" t="s">
        <v>216</v>
      </c>
      <c r="C17" s="17" t="s">
        <v>212</v>
      </c>
      <c r="D17" s="17" t="s">
        <v>217</v>
      </c>
      <c r="E17" s="17" t="s">
        <v>218</v>
      </c>
    </row>
    <row r="18" spans="1:5" x14ac:dyDescent="0.25">
      <c r="A18" s="14" t="s">
        <v>213</v>
      </c>
      <c r="B18" s="48" t="str">
        <f>"$"&amp;TEXT(B25,"#,##0")&amp;" - $"&amp;TEXT(D25,"#,##0")</f>
        <v>$50,700 - $51,700</v>
      </c>
      <c r="C18" s="41">
        <f>'Income statement'!K14</f>
        <v>51327.91</v>
      </c>
      <c r="D18" s="48" t="str">
        <f>"$"&amp;TEXT(B30,"#,##0")&amp;" - $"&amp;TEXT(D30,"#,##0")</f>
        <v>$51,000 - $51,400</v>
      </c>
    </row>
    <row r="19" spans="1:5" x14ac:dyDescent="0.25">
      <c r="A19" t="s">
        <v>214</v>
      </c>
      <c r="B19" s="48" t="str">
        <f>TEXT(B26,"0%")&amp;" - "&amp;TEXT(D26,"0%")</f>
        <v>12% - 14%</v>
      </c>
      <c r="C19" s="47">
        <f>(C18/'Income statement'!F14)-1</f>
        <v>0.13599948122127237</v>
      </c>
      <c r="D19" s="48" t="str">
        <f>TEXT(B31,"0%")&amp;" - "&amp;TEXT(D31,"0%")</f>
        <v>13% - 14%</v>
      </c>
      <c r="E19" s="1" t="s">
        <v>248</v>
      </c>
    </row>
    <row r="20" spans="1:5" x14ac:dyDescent="0.25">
      <c r="A20" s="14" t="s">
        <v>215</v>
      </c>
      <c r="B20" s="48" t="str">
        <f>"$"&amp;TEXT(B25*B27,"#,##0")&amp;" - $"&amp;TEXT(D25*B27,"#,##0")</f>
        <v>$15,971 - $16,286</v>
      </c>
      <c r="C20" s="41">
        <f>'Income statement'!K21</f>
        <v>16261.81</v>
      </c>
      <c r="D20" s="48" t="str">
        <f>"$"&amp;TEXT(B30*B32,"#,##0")&amp;" - $"&amp;TEXT(D30*B32,"#,##0")</f>
        <v>$16,065 - $16,191</v>
      </c>
    </row>
    <row r="21" spans="1:5" x14ac:dyDescent="0.25">
      <c r="A21" t="s">
        <v>210</v>
      </c>
      <c r="B21" s="48" t="str">
        <f>TEXT(B27,"0.0%")</f>
        <v>31.5%</v>
      </c>
      <c r="C21" s="47">
        <f>C20/C18</f>
        <v>0.31682197852980959</v>
      </c>
      <c r="D21" s="48" t="str">
        <f>TEXT(B32,"0.0%")</f>
        <v>31.5%</v>
      </c>
      <c r="E21" s="1" t="s">
        <v>234</v>
      </c>
    </row>
    <row r="24" spans="1:5" x14ac:dyDescent="0.25">
      <c r="A24" s="15" t="s">
        <v>219</v>
      </c>
    </row>
    <row r="25" spans="1:5" x14ac:dyDescent="0.25">
      <c r="A25" t="s">
        <v>220</v>
      </c>
      <c r="B25" s="49">
        <v>50700</v>
      </c>
      <c r="C25" s="1" t="s">
        <v>221</v>
      </c>
      <c r="D25" s="49">
        <v>51700</v>
      </c>
    </row>
    <row r="26" spans="1:5" x14ac:dyDescent="0.25">
      <c r="A26" t="s">
        <v>222</v>
      </c>
      <c r="B26" s="50">
        <v>0.12</v>
      </c>
      <c r="C26" s="1" t="s">
        <v>223</v>
      </c>
      <c r="D26" s="50">
        <v>0.14000000000000001</v>
      </c>
    </row>
    <row r="27" spans="1:5" x14ac:dyDescent="0.25">
      <c r="A27" t="s">
        <v>224</v>
      </c>
      <c r="B27" s="50">
        <v>0.315</v>
      </c>
    </row>
    <row r="29" spans="1:5" x14ac:dyDescent="0.25">
      <c r="A29" s="15" t="s">
        <v>247</v>
      </c>
    </row>
    <row r="30" spans="1:5" x14ac:dyDescent="0.25">
      <c r="A30" t="s">
        <v>220</v>
      </c>
      <c r="B30" s="49">
        <v>51000</v>
      </c>
      <c r="C30" s="1" t="s">
        <v>221</v>
      </c>
      <c r="D30" s="49">
        <v>51400</v>
      </c>
    </row>
    <row r="31" spans="1:5" x14ac:dyDescent="0.25">
      <c r="A31" t="s">
        <v>222</v>
      </c>
      <c r="B31" s="50">
        <v>0.13</v>
      </c>
      <c r="C31" s="1" t="s">
        <v>223</v>
      </c>
      <c r="D31" s="50">
        <v>0.14000000000000001</v>
      </c>
    </row>
    <row r="32" spans="1:5" x14ac:dyDescent="0.25">
      <c r="A32" t="s">
        <v>224</v>
      </c>
      <c r="B32" s="50">
        <v>0.315</v>
      </c>
    </row>
  </sheetData>
  <mergeCells count="2">
    <mergeCell ref="A1:F1"/>
    <mergeCell ref="A16:E16"/>
  </mergeCells>
  <dataValidations count="1">
    <dataValidation type="list" allowBlank="1" showInputMessage="1" showErrorMessage="1" sqref="E18 E20:E21" xr:uid="{4766FCE0-7CF4-2D47-8E0A-FFC5235B476E}">
      <formula1>"Raised,Cut,Reiterated"</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99324-146F-4578-80A7-89FA790A86AA}">
  <dimension ref="A1:C14"/>
  <sheetViews>
    <sheetView workbookViewId="0">
      <selection activeCell="B6" sqref="B6"/>
    </sheetView>
  </sheetViews>
  <sheetFormatPr defaultRowHeight="15" x14ac:dyDescent="0.25"/>
  <cols>
    <col min="1" max="1" width="48.7109375" bestFit="1" customWidth="1"/>
    <col min="2" max="2" width="21" customWidth="1"/>
    <col min="3" max="3" width="59" bestFit="1" customWidth="1"/>
  </cols>
  <sheetData>
    <row r="1" spans="1:3" ht="18.75" x14ac:dyDescent="0.3">
      <c r="A1" s="19" t="s">
        <v>235</v>
      </c>
    </row>
    <row r="2" spans="1:3" x14ac:dyDescent="0.25">
      <c r="A2" s="14" t="s">
        <v>236</v>
      </c>
      <c r="B2" s="34" t="s">
        <v>237</v>
      </c>
    </row>
    <row r="3" spans="1:3" x14ac:dyDescent="0.25">
      <c r="A3" s="14" t="s">
        <v>238</v>
      </c>
      <c r="B3" s="34" t="s">
        <v>239</v>
      </c>
    </row>
    <row r="5" spans="1:3" x14ac:dyDescent="0.25">
      <c r="A5" s="16" t="s">
        <v>198</v>
      </c>
      <c r="B5" s="17" t="s">
        <v>200</v>
      </c>
      <c r="C5" s="16" t="s">
        <v>240</v>
      </c>
    </row>
    <row r="6" spans="1:3" x14ac:dyDescent="0.25">
      <c r="A6" s="14" t="s">
        <v>204</v>
      </c>
      <c r="B6" s="36" cm="1">
        <f t="array" ref="B6">_xll.ciqfunctions.udf.CIQ($B$2,"IQ_REVENUE_EST",$B$3)</f>
        <v>12582.53018</v>
      </c>
      <c r="C6" t="s">
        <v>241</v>
      </c>
    </row>
    <row r="7" spans="1:3" x14ac:dyDescent="0.25">
      <c r="A7" s="14" t="s">
        <v>205</v>
      </c>
      <c r="C7" t="s">
        <v>242</v>
      </c>
    </row>
    <row r="8" spans="1:3" x14ac:dyDescent="0.25">
      <c r="A8" s="14" t="s">
        <v>206</v>
      </c>
      <c r="C8" t="s">
        <v>242</v>
      </c>
    </row>
    <row r="9" spans="1:3" x14ac:dyDescent="0.25">
      <c r="A9" s="14" t="s">
        <v>207</v>
      </c>
      <c r="C9" t="s">
        <v>242</v>
      </c>
    </row>
    <row r="10" spans="1:3" x14ac:dyDescent="0.25">
      <c r="A10" s="14" t="s">
        <v>208</v>
      </c>
      <c r="C10" t="s">
        <v>242</v>
      </c>
    </row>
    <row r="11" spans="1:3" x14ac:dyDescent="0.25">
      <c r="A11" s="14" t="s">
        <v>209</v>
      </c>
      <c r="B11" s="36" cm="1">
        <f t="array" ref="B11">_xll.ciqfunctions.udf.CIQ($B$2,"IQ_EBIT_EST",$B$3)</f>
        <v>4126.4509900000003</v>
      </c>
      <c r="C11" t="s">
        <v>243</v>
      </c>
    </row>
    <row r="12" spans="1:3" x14ac:dyDescent="0.25">
      <c r="A12" s="35" t="s">
        <v>210</v>
      </c>
      <c r="B12" s="24">
        <f>IF(OR(B11="",B6=""),"",B11/B6)</f>
        <v>0.32795081203612103</v>
      </c>
      <c r="C12" s="37" t="s">
        <v>244</v>
      </c>
    </row>
    <row r="13" spans="1:3" x14ac:dyDescent="0.25">
      <c r="A13" s="14" t="s">
        <v>211</v>
      </c>
      <c r="B13" s="38" cm="1">
        <f t="array" ref="B13">_xll.ciqfunctions.udf.CIQ($B$2,"IQ_EPS_EST",$B$3)</f>
        <v>0.78995000000000004</v>
      </c>
      <c r="C13" t="s">
        <v>245</v>
      </c>
    </row>
    <row r="14" spans="1:3" x14ac:dyDescent="0.25">
      <c r="A14" s="14" t="s">
        <v>225</v>
      </c>
      <c r="C14" t="s">
        <v>246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4A6FA-FC33-744D-B37F-E90B5700F006}">
  <dimension ref="A1:F27"/>
  <sheetViews>
    <sheetView showGridLines="0" zoomScale="125" workbookViewId="0">
      <pane ySplit="2" topLeftCell="A3" activePane="bottomLeft" state="frozen"/>
      <selection pane="bottomLeft" activeCell="E30" sqref="E30"/>
    </sheetView>
  </sheetViews>
  <sheetFormatPr defaultColWidth="11.42578125" defaultRowHeight="15" x14ac:dyDescent="0.25"/>
  <cols>
    <col min="1" max="1" width="31.140625" bestFit="1" customWidth="1"/>
    <col min="2" max="2" width="15.28515625" bestFit="1" customWidth="1"/>
    <col min="3" max="3" width="29.140625" bestFit="1" customWidth="1"/>
    <col min="4" max="4" width="18" customWidth="1"/>
    <col min="5" max="5" width="25.85546875" bestFit="1" customWidth="1"/>
    <col min="6" max="6" width="17.28515625" bestFit="1" customWidth="1"/>
    <col min="7" max="7" width="15.28515625" bestFit="1" customWidth="1"/>
  </cols>
  <sheetData>
    <row r="1" spans="1:6" ht="18.75" x14ac:dyDescent="0.3">
      <c r="A1" s="39" t="s">
        <v>228</v>
      </c>
      <c r="B1" s="39"/>
      <c r="C1" s="39"/>
      <c r="D1" s="39"/>
      <c r="E1" s="39"/>
      <c r="F1" s="39"/>
    </row>
    <row r="2" spans="1:6" x14ac:dyDescent="0.25">
      <c r="A2" s="16" t="s">
        <v>198</v>
      </c>
      <c r="B2" s="17" t="s">
        <v>229</v>
      </c>
      <c r="C2" s="17" t="s">
        <v>230</v>
      </c>
      <c r="D2" s="17" t="s">
        <v>231</v>
      </c>
      <c r="E2" s="17" t="s">
        <v>232</v>
      </c>
      <c r="F2" s="17" t="s">
        <v>203</v>
      </c>
    </row>
    <row r="3" spans="1:6" x14ac:dyDescent="0.25">
      <c r="A3" s="14" t="s">
        <v>204</v>
      </c>
      <c r="B3" s="18">
        <f>'Income statement'!B14</f>
        <v>10542.8</v>
      </c>
      <c r="C3" s="29">
        <v>12174</v>
      </c>
      <c r="D3" s="29">
        <v>12249.76</v>
      </c>
      <c r="E3" s="20">
        <f>IF(D3="","",(D3-B3)/B3)</f>
        <v>0.16190765261600343</v>
      </c>
      <c r="F3" s="20">
        <f>IF(D3="","",(D3-C3)/C3)</f>
        <v>6.2230984064399718E-3</v>
      </c>
    </row>
    <row r="4" spans="1:6" x14ac:dyDescent="0.25">
      <c r="A4" s="22" t="s">
        <v>205</v>
      </c>
      <c r="B4" s="18">
        <f>Revenue!B19</f>
        <v>4617.1000000000004</v>
      </c>
      <c r="C4" s="29">
        <v>5279</v>
      </c>
      <c r="D4" s="29">
        <v>5245.3</v>
      </c>
      <c r="E4" s="20">
        <f>IF(D4="","",(D4-B4)/B4)</f>
        <v>0.13605943124472067</v>
      </c>
      <c r="F4" s="20">
        <f>IF(D4="","",(D4-C4)/C4)</f>
        <v>-6.3837848077287016E-3</v>
      </c>
    </row>
    <row r="5" spans="1:6" x14ac:dyDescent="0.25">
      <c r="A5" s="22" t="s">
        <v>206</v>
      </c>
      <c r="B5" s="18">
        <f>Revenue!B26</f>
        <v>3404.68</v>
      </c>
      <c r="C5" s="29">
        <v>3949</v>
      </c>
      <c r="D5" s="29">
        <v>3998.42</v>
      </c>
      <c r="E5" s="20">
        <f>IF(D5="","",(D5-B5)/B5)</f>
        <v>0.17438936992610179</v>
      </c>
      <c r="F5" s="20">
        <f>IF(D5="","",(D5-C5)/C5)</f>
        <v>1.2514560648265402E-2</v>
      </c>
    </row>
    <row r="6" spans="1:6" x14ac:dyDescent="0.25">
      <c r="A6" s="22" t="s">
        <v>207</v>
      </c>
      <c r="B6" s="18">
        <f>Revenue!B33</f>
        <v>1261.93</v>
      </c>
      <c r="C6" s="29">
        <v>1453</v>
      </c>
      <c r="D6" s="29">
        <v>1497.06</v>
      </c>
      <c r="E6" s="20">
        <f>IF(D6="","",(D6-B6)/B6)</f>
        <v>0.18632570744811508</v>
      </c>
      <c r="F6" s="20">
        <f>IF(D6="","",(D6-C6)/C6)</f>
        <v>3.0323468685478285E-2</v>
      </c>
    </row>
    <row r="7" spans="1:6" x14ac:dyDescent="0.25">
      <c r="A7" s="22" t="s">
        <v>208</v>
      </c>
      <c r="B7" s="18">
        <f>Revenue!B40</f>
        <v>1259.0899999999999</v>
      </c>
      <c r="C7" s="29">
        <v>1479</v>
      </c>
      <c r="D7" s="29">
        <v>1508.98</v>
      </c>
      <c r="E7" s="20">
        <f>IF(D7="","",(D7-B7)/B7)</f>
        <v>0.19846873535648771</v>
      </c>
      <c r="F7" s="20">
        <f>IF(D7="","",(D7-C7)/C7)</f>
        <v>2.0270453008789734E-2</v>
      </c>
    </row>
    <row r="9" spans="1:6" x14ac:dyDescent="0.25">
      <c r="A9" s="14" t="s">
        <v>209</v>
      </c>
      <c r="B9" s="18">
        <f>'Income statement'!B21</f>
        <v>3347</v>
      </c>
      <c r="C9" s="29">
        <v>3936</v>
      </c>
      <c r="D9" s="29">
        <v>3957</v>
      </c>
      <c r="E9" s="20">
        <f>IF(D9="","",(D9-B9)/B9)</f>
        <v>0.18225276366895726</v>
      </c>
      <c r="F9" s="20">
        <f>IF(D9="","",(D9-C9)/C9)</f>
        <v>5.335365853658537E-3</v>
      </c>
    </row>
    <row r="10" spans="1:6" x14ac:dyDescent="0.25">
      <c r="A10" s="23" t="s">
        <v>210</v>
      </c>
      <c r="B10" s="24">
        <f>B9/B3</f>
        <v>0.31746784535417538</v>
      </c>
      <c r="C10" s="30">
        <f>C9/C3</f>
        <v>0.32331197634302611</v>
      </c>
      <c r="D10" s="24">
        <f>IF(OR(D9="",D3=""),"",D9/D3)</f>
        <v>0.3230267368503546</v>
      </c>
      <c r="E10" s="24">
        <f>IF(D10="","",D10-B10)</f>
        <v>5.5588914961792191E-3</v>
      </c>
      <c r="F10" s="24">
        <f>IF(D10="","",(D10-C10)/C10)</f>
        <v>-8.8224227230257392E-4</v>
      </c>
    </row>
    <row r="12" spans="1:6" x14ac:dyDescent="0.25">
      <c r="A12" s="14" t="s">
        <v>211</v>
      </c>
      <c r="B12" s="21">
        <f>'Income statement'!B33</f>
        <v>0.66</v>
      </c>
      <c r="C12" s="31">
        <v>0.76</v>
      </c>
      <c r="D12" s="31">
        <v>1.23</v>
      </c>
      <c r="E12" s="20">
        <f>IF(D12="","",(D12-B12)/B12)</f>
        <v>0.86363636363636354</v>
      </c>
      <c r="F12" s="20">
        <f>IF(D12="","",(D12-C12)/C12)</f>
        <v>0.61842105263157887</v>
      </c>
    </row>
    <row r="14" spans="1:6" x14ac:dyDescent="0.25">
      <c r="A14" s="14" t="s">
        <v>225</v>
      </c>
      <c r="B14" s="18">
        <f>'Cash flow'!B19</f>
        <v>3823.11</v>
      </c>
      <c r="C14" s="29"/>
      <c r="D14" s="29">
        <v>4217.8999999999996</v>
      </c>
      <c r="E14" s="28">
        <f>IF(D14="","",(D14-B14)/B14)</f>
        <v>0.1032640965078168</v>
      </c>
      <c r="F14" s="28" t="str">
        <f>IF(OR(D14="",C14=""),"",(D14-C14)/C14)</f>
        <v/>
      </c>
    </row>
    <row r="16" spans="1:6" ht="18.75" x14ac:dyDescent="0.3">
      <c r="A16" s="39" t="s">
        <v>227</v>
      </c>
      <c r="B16" s="39"/>
      <c r="C16" s="39"/>
      <c r="D16" s="39"/>
      <c r="E16" s="39"/>
    </row>
    <row r="17" spans="1:5" x14ac:dyDescent="0.25">
      <c r="A17" s="16" t="s">
        <v>198</v>
      </c>
      <c r="B17" s="17" t="s">
        <v>216</v>
      </c>
      <c r="C17" s="17" t="s">
        <v>212</v>
      </c>
      <c r="D17" s="17" t="s">
        <v>217</v>
      </c>
      <c r="E17" s="17" t="s">
        <v>233</v>
      </c>
    </row>
    <row r="18" spans="1:5" x14ac:dyDescent="0.25">
      <c r="A18" s="14" t="s">
        <v>213</v>
      </c>
      <c r="B18" s="27" t="str">
        <f>"$"&amp;TEXT(B25,"#,##0")&amp;" - $"&amp;TEXT(D25,"#,##0")</f>
        <v>$50,700 - $51,700</v>
      </c>
      <c r="C18" s="29">
        <v>51373</v>
      </c>
      <c r="D18" s="33" t="str">
        <f>B18</f>
        <v>$50,700 - $51,700</v>
      </c>
      <c r="E18" s="1" t="s">
        <v>234</v>
      </c>
    </row>
    <row r="19" spans="1:5" x14ac:dyDescent="0.25">
      <c r="A19" t="s">
        <v>214</v>
      </c>
      <c r="B19" s="27" t="str">
        <f>TEXT(B26,"0%")&amp;" - "&amp;TEXT(D26,"0%")</f>
        <v>12% - 14%</v>
      </c>
      <c r="C19" s="32">
        <f>(C18/'Income statement'!F14)-1</f>
        <v>0.13699742204154486</v>
      </c>
      <c r="D19" s="33" t="str">
        <f>B19</f>
        <v>12% - 14%</v>
      </c>
      <c r="E19" s="1" t="s">
        <v>234</v>
      </c>
    </row>
    <row r="20" spans="1:5" x14ac:dyDescent="0.25">
      <c r="A20" s="14" t="s">
        <v>215</v>
      </c>
      <c r="B20" s="27" t="str">
        <f>"$"&amp;TEXT(B25*B27,"#,##0")&amp;" - $"&amp;TEXT(D25*B27,"#,##0")</f>
        <v>$15,971 - $16,286</v>
      </c>
      <c r="C20" s="29">
        <v>16384</v>
      </c>
      <c r="D20" s="33" t="str">
        <f>B20</f>
        <v>$15,971 - $16,286</v>
      </c>
      <c r="E20" s="1" t="s">
        <v>234</v>
      </c>
    </row>
    <row r="21" spans="1:5" x14ac:dyDescent="0.25">
      <c r="A21" t="s">
        <v>210</v>
      </c>
      <c r="B21" s="27" t="str">
        <f>TEXT(B27,"0.0%")</f>
        <v>31.5%</v>
      </c>
      <c r="C21" s="32">
        <f>C20/C18</f>
        <v>0.31892239113931442</v>
      </c>
      <c r="D21" s="33" t="str">
        <f>B21</f>
        <v>31.5%</v>
      </c>
      <c r="E21" s="1" t="s">
        <v>234</v>
      </c>
    </row>
    <row r="24" spans="1:5" x14ac:dyDescent="0.25">
      <c r="A24" s="15" t="s">
        <v>219</v>
      </c>
    </row>
    <row r="25" spans="1:5" x14ac:dyDescent="0.25">
      <c r="A25" t="s">
        <v>220</v>
      </c>
      <c r="B25" s="25">
        <v>50700</v>
      </c>
      <c r="C25" t="s">
        <v>221</v>
      </c>
      <c r="D25" s="25">
        <v>51700</v>
      </c>
    </row>
    <row r="26" spans="1:5" x14ac:dyDescent="0.25">
      <c r="A26" t="s">
        <v>222</v>
      </c>
      <c r="B26" s="26">
        <v>0.12</v>
      </c>
      <c r="C26" t="s">
        <v>223</v>
      </c>
      <c r="D26" s="26">
        <v>0.14000000000000001</v>
      </c>
    </row>
    <row r="27" spans="1:5" x14ac:dyDescent="0.25">
      <c r="A27" t="s">
        <v>224</v>
      </c>
      <c r="B27" s="26">
        <v>0.315</v>
      </c>
    </row>
  </sheetData>
  <mergeCells count="2">
    <mergeCell ref="A1:F1"/>
    <mergeCell ref="A16:E16"/>
  </mergeCells>
  <conditionalFormatting sqref="D18:D21">
    <cfRule type="expression" dxfId="3" priority="1">
      <formula>$E18="Raised"</formula>
    </cfRule>
    <cfRule type="expression" dxfId="2" priority="2">
      <formula>$E18="Cut"</formula>
    </cfRule>
    <cfRule type="expression" dxfId="1" priority="3">
      <formula>$E18="Reiterated"</formula>
    </cfRule>
  </conditionalFormatting>
  <conditionalFormatting sqref="F3:F14">
    <cfRule type="cellIs" dxfId="0" priority="4" operator="lessThan">
      <formula>0</formula>
    </cfRule>
  </conditionalFormatting>
  <dataValidations count="1">
    <dataValidation type="list" allowBlank="1" showInputMessage="1" showErrorMessage="1" sqref="E18:E21" xr:uid="{5071C292-B6C6-5E44-9590-6C63624B3946}">
      <formula1>"Raised,Cut,Reiterated"</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3"/>
  <sheetViews>
    <sheetView workbookViewId="0">
      <selection sqref="A1:D1"/>
    </sheetView>
  </sheetViews>
  <sheetFormatPr defaultColWidth="8.85546875" defaultRowHeight="15" x14ac:dyDescent="0.25"/>
  <cols>
    <col min="1" max="1" width="48.42578125" customWidth="1"/>
    <col min="2" max="5" width="18.42578125" customWidth="1"/>
    <col min="6" max="6" width="16.85546875" customWidth="1"/>
    <col min="7" max="7" width="18.42578125" customWidth="1"/>
    <col min="8" max="10" width="18" customWidth="1"/>
    <col min="11" max="11" width="16.85546875" customWidth="1"/>
    <col min="12" max="15" width="18" customWidth="1"/>
    <col min="16" max="16" width="16.85546875" customWidth="1"/>
    <col min="17" max="20" width="18" customWidth="1"/>
    <col min="21" max="21" width="16.85546875" customWidth="1"/>
    <col min="22" max="25" width="18" customWidth="1"/>
    <col min="26" max="26" width="16.85546875" customWidth="1"/>
    <col min="27" max="30" width="18" customWidth="1"/>
    <col min="31" max="31" width="16.85546875" customWidth="1"/>
  </cols>
  <sheetData>
    <row r="1" spans="1:31" ht="39.950000000000003" customHeight="1" x14ac:dyDescent="0.25">
      <c r="A1" s="40"/>
      <c r="B1" s="40"/>
      <c r="C1" s="40"/>
      <c r="D1" s="40"/>
    </row>
    <row r="2" spans="1:31" ht="30" customHeight="1" x14ac:dyDescent="0.3">
      <c r="A2" s="2" t="s">
        <v>80</v>
      </c>
      <c r="B2" s="3"/>
      <c r="C2" s="3"/>
      <c r="D2" s="3"/>
      <c r="E2" s="3"/>
      <c r="F2" s="3"/>
      <c r="G2" s="3"/>
      <c r="H2" s="3"/>
      <c r="I2" s="3"/>
      <c r="J2" s="3"/>
      <c r="K2" s="3"/>
      <c r="L2" s="3"/>
      <c r="M2" s="3"/>
      <c r="N2" s="3"/>
      <c r="O2" s="3"/>
      <c r="P2" s="3"/>
      <c r="Q2" s="3"/>
      <c r="R2" s="3"/>
      <c r="S2" s="3"/>
      <c r="T2" s="3"/>
      <c r="U2" s="3"/>
      <c r="V2" s="3"/>
      <c r="W2" s="3"/>
      <c r="X2" s="3"/>
      <c r="Y2" s="3"/>
      <c r="Z2" s="3"/>
      <c r="AA2" s="3"/>
      <c r="AB2" s="3"/>
      <c r="AC2" s="3"/>
      <c r="AD2" s="3"/>
      <c r="AE2" s="3"/>
    </row>
    <row r="3" spans="1:31" x14ac:dyDescent="0.25">
      <c r="A3" s="4" t="s">
        <v>0</v>
      </c>
    </row>
    <row r="4" spans="1:31" x14ac:dyDescent="0.25">
      <c r="A4" s="4"/>
    </row>
    <row r="5" spans="1:31" x14ac:dyDescent="0.25">
      <c r="A5" s="5" t="s">
        <v>1</v>
      </c>
    </row>
    <row r="6" spans="1:31" x14ac:dyDescent="0.25">
      <c r="A6" s="4"/>
    </row>
    <row r="7" spans="1:31" x14ac:dyDescent="0.25">
      <c r="A7" s="4" t="s">
        <v>2</v>
      </c>
    </row>
    <row r="8" spans="1:31" x14ac:dyDescent="0.25">
      <c r="A8" s="4" t="s">
        <v>3</v>
      </c>
    </row>
    <row r="9" spans="1:31" x14ac:dyDescent="0.25">
      <c r="A9" s="4" t="s">
        <v>4</v>
      </c>
    </row>
    <row r="10" spans="1:31" x14ac:dyDescent="0.25">
      <c r="A10" s="4" t="s">
        <v>5</v>
      </c>
    </row>
    <row r="11" spans="1:31" x14ac:dyDescent="0.25">
      <c r="A11" s="4" t="s">
        <v>6</v>
      </c>
    </row>
    <row r="12" spans="1:31" x14ac:dyDescent="0.25">
      <c r="A12" s="4"/>
    </row>
    <row r="13" spans="1:31" x14ac:dyDescent="0.25">
      <c r="A13" s="6" t="s">
        <v>7</v>
      </c>
      <c r="B13" s="7" t="s">
        <v>8</v>
      </c>
      <c r="C13" s="7" t="s">
        <v>9</v>
      </c>
      <c r="D13" s="7" t="s">
        <v>10</v>
      </c>
      <c r="E13" s="7" t="s">
        <v>11</v>
      </c>
      <c r="F13" s="7" t="s">
        <v>12</v>
      </c>
      <c r="G13" s="7" t="s">
        <v>13</v>
      </c>
      <c r="H13" s="7" t="s">
        <v>14</v>
      </c>
      <c r="I13" s="7" t="s">
        <v>15</v>
      </c>
      <c r="J13" s="7" t="s">
        <v>16</v>
      </c>
      <c r="K13" s="7" t="s">
        <v>17</v>
      </c>
      <c r="L13" s="7" t="s">
        <v>18</v>
      </c>
      <c r="M13" s="7" t="s">
        <v>19</v>
      </c>
      <c r="N13" s="7" t="s">
        <v>20</v>
      </c>
      <c r="O13" s="7" t="s">
        <v>21</v>
      </c>
      <c r="P13" s="7" t="s">
        <v>22</v>
      </c>
      <c r="Q13" s="7" t="s">
        <v>23</v>
      </c>
      <c r="R13" s="7" t="s">
        <v>24</v>
      </c>
      <c r="S13" s="7" t="s">
        <v>25</v>
      </c>
      <c r="T13" s="7" t="s">
        <v>26</v>
      </c>
      <c r="U13" s="7" t="s">
        <v>27</v>
      </c>
      <c r="V13" s="7" t="s">
        <v>28</v>
      </c>
      <c r="W13" s="7" t="s">
        <v>29</v>
      </c>
      <c r="X13" s="7" t="s">
        <v>30</v>
      </c>
      <c r="Y13" s="7" t="s">
        <v>31</v>
      </c>
      <c r="Z13" s="7" t="s">
        <v>32</v>
      </c>
      <c r="AA13" s="7" t="s">
        <v>33</v>
      </c>
      <c r="AB13" s="7" t="s">
        <v>34</v>
      </c>
      <c r="AC13" s="7" t="s">
        <v>35</v>
      </c>
      <c r="AD13" s="7" t="s">
        <v>36</v>
      </c>
      <c r="AE13" s="7" t="s">
        <v>37</v>
      </c>
    </row>
    <row r="14" spans="1:31" x14ac:dyDescent="0.25">
      <c r="A14" s="5" t="s">
        <v>38</v>
      </c>
      <c r="B14" s="8">
        <v>38</v>
      </c>
      <c r="C14" s="8">
        <v>38</v>
      </c>
      <c r="D14" s="8">
        <v>37</v>
      </c>
      <c r="E14" s="8">
        <v>37</v>
      </c>
      <c r="F14" s="8">
        <v>39</v>
      </c>
      <c r="G14" s="8">
        <v>36</v>
      </c>
      <c r="H14" s="9" t="s">
        <v>39</v>
      </c>
      <c r="I14" s="9" t="s">
        <v>40</v>
      </c>
      <c r="J14" s="9" t="s">
        <v>40</v>
      </c>
      <c r="K14" s="9" t="s">
        <v>41</v>
      </c>
      <c r="L14" s="9" t="s">
        <v>42</v>
      </c>
      <c r="M14" s="9" t="s">
        <v>42</v>
      </c>
      <c r="N14" s="9" t="s">
        <v>42</v>
      </c>
      <c r="O14" s="9" t="s">
        <v>42</v>
      </c>
      <c r="P14" s="9" t="s">
        <v>43</v>
      </c>
      <c r="Q14" s="9" t="s">
        <v>44</v>
      </c>
      <c r="R14" s="9" t="s">
        <v>44</v>
      </c>
      <c r="S14" s="9" t="s">
        <v>44</v>
      </c>
      <c r="T14" s="9" t="s">
        <v>44</v>
      </c>
      <c r="U14" s="9" t="s">
        <v>45</v>
      </c>
      <c r="V14" s="9" t="s">
        <v>46</v>
      </c>
      <c r="W14" s="9" t="s">
        <v>46</v>
      </c>
      <c r="X14" s="9" t="s">
        <v>46</v>
      </c>
      <c r="Y14" s="9" t="s">
        <v>46</v>
      </c>
      <c r="Z14" s="9" t="s">
        <v>47</v>
      </c>
      <c r="AA14" s="9" t="s">
        <v>48</v>
      </c>
      <c r="AB14" s="9" t="s">
        <v>48</v>
      </c>
      <c r="AC14" s="9" t="s">
        <v>48</v>
      </c>
      <c r="AD14" s="9" t="s">
        <v>48</v>
      </c>
      <c r="AE14" s="9" t="s">
        <v>49</v>
      </c>
    </row>
    <row r="15" spans="1:31" x14ac:dyDescent="0.25">
      <c r="A15" s="4" t="s">
        <v>50</v>
      </c>
      <c r="B15" s="10">
        <v>2890.35</v>
      </c>
      <c r="C15" s="10">
        <v>3125.41</v>
      </c>
      <c r="D15" s="10">
        <v>2546.92</v>
      </c>
      <c r="E15" s="10">
        <v>2418.52</v>
      </c>
      <c r="F15" s="10">
        <v>10981.2</v>
      </c>
      <c r="G15" s="10">
        <v>5282.79</v>
      </c>
      <c r="H15" s="10">
        <v>3370.44</v>
      </c>
      <c r="I15" s="10">
        <v>3588.96</v>
      </c>
      <c r="J15" s="10">
        <v>3132.38</v>
      </c>
      <c r="K15" s="10">
        <v>15404.9</v>
      </c>
      <c r="L15" s="10">
        <v>3968.31</v>
      </c>
      <c r="M15" s="10">
        <v>4121.53</v>
      </c>
      <c r="N15" s="10">
        <v>4332.8999999999996</v>
      </c>
      <c r="O15" s="10">
        <v>3882.04</v>
      </c>
      <c r="P15" s="10">
        <v>16156.97</v>
      </c>
      <c r="Q15" s="10">
        <v>4714.09</v>
      </c>
      <c r="R15" s="10">
        <v>4947.0600000000004</v>
      </c>
      <c r="S15" s="10">
        <v>5159.42</v>
      </c>
      <c r="T15" s="10">
        <v>4718.5200000000004</v>
      </c>
      <c r="U15" s="10">
        <v>19106.82</v>
      </c>
      <c r="V15" s="10">
        <v>5519.22</v>
      </c>
      <c r="W15" s="10">
        <v>5806.7</v>
      </c>
      <c r="X15" s="10">
        <v>6107.83</v>
      </c>
      <c r="Y15" s="10">
        <v>5642.91</v>
      </c>
      <c r="Z15" s="10">
        <v>22153.62</v>
      </c>
      <c r="AA15" s="10">
        <v>6436.67</v>
      </c>
      <c r="AB15" s="10">
        <v>6808.08</v>
      </c>
      <c r="AC15" s="10">
        <v>7095.12</v>
      </c>
      <c r="AD15" s="10">
        <v>6660.41</v>
      </c>
      <c r="AE15" s="10">
        <v>25349.72</v>
      </c>
    </row>
    <row r="16" spans="1:31" x14ac:dyDescent="0.25">
      <c r="A16" s="4" t="s">
        <v>51</v>
      </c>
      <c r="B16" s="11">
        <v>-3549.66</v>
      </c>
      <c r="C16" s="11">
        <v>-3835.81</v>
      </c>
      <c r="D16" s="11">
        <v>-4653.9399999999996</v>
      </c>
      <c r="E16" s="11">
        <v>-5057.21</v>
      </c>
      <c r="F16" s="11">
        <v>-17096.62</v>
      </c>
      <c r="G16" s="11">
        <v>-4846.92</v>
      </c>
      <c r="H16" s="11">
        <v>-4755.87</v>
      </c>
      <c r="I16" s="11">
        <v>-4829.5200000000004</v>
      </c>
      <c r="J16" s="11">
        <v>-5361.93</v>
      </c>
      <c r="K16" s="11">
        <v>-19789.099999999999</v>
      </c>
      <c r="L16" s="11">
        <v>-5161.71</v>
      </c>
      <c r="M16" s="11">
        <v>-5047.37</v>
      </c>
      <c r="N16" s="11">
        <v>-5251.34</v>
      </c>
      <c r="O16" s="11">
        <v>-5842.47</v>
      </c>
      <c r="P16" s="11">
        <v>-21231.71</v>
      </c>
      <c r="Q16" s="11">
        <v>-5370.58</v>
      </c>
      <c r="R16" s="11">
        <v>-5314.37</v>
      </c>
      <c r="S16" s="11">
        <v>-5596.81</v>
      </c>
      <c r="T16" s="11">
        <v>-6208.8</v>
      </c>
      <c r="U16" s="11">
        <v>-22509.93</v>
      </c>
      <c r="V16" s="11">
        <v>-5734.41</v>
      </c>
      <c r="W16" s="11">
        <v>-5575.18</v>
      </c>
      <c r="X16" s="11">
        <v>-6004.72</v>
      </c>
      <c r="Y16" s="11">
        <v>-6602.48</v>
      </c>
      <c r="Z16" s="11">
        <v>-23934.31</v>
      </c>
      <c r="AA16" s="11">
        <v>-5953.27</v>
      </c>
      <c r="AB16" s="11">
        <v>-5722.94</v>
      </c>
      <c r="AC16" s="11">
        <v>-6236.02</v>
      </c>
      <c r="AD16" s="11">
        <v>-6806.41</v>
      </c>
      <c r="AE16" s="11">
        <v>-25007.37</v>
      </c>
    </row>
    <row r="17" spans="1:31" x14ac:dyDescent="0.25">
      <c r="A17" s="4" t="s">
        <v>52</v>
      </c>
      <c r="B17" s="11">
        <v>-411.25</v>
      </c>
      <c r="C17" s="11">
        <v>-214.05</v>
      </c>
      <c r="D17" s="10">
        <v>24.26</v>
      </c>
      <c r="E17" s="11">
        <v>-9.7899999999999991</v>
      </c>
      <c r="F17" s="11">
        <v>-610.84</v>
      </c>
      <c r="G17" s="10">
        <v>45.22</v>
      </c>
      <c r="H17" s="11">
        <v>-84.44</v>
      </c>
      <c r="I17" s="11">
        <v>-44.9</v>
      </c>
      <c r="J17" s="11">
        <v>-1.74</v>
      </c>
      <c r="K17" s="11">
        <v>-66.150000000000006</v>
      </c>
      <c r="L17" s="10">
        <v>112.16</v>
      </c>
      <c r="M17" s="10">
        <v>51.42</v>
      </c>
      <c r="N17" s="11">
        <v>-20.98</v>
      </c>
      <c r="O17" s="10">
        <v>95.12</v>
      </c>
      <c r="P17" s="10">
        <v>86.08</v>
      </c>
      <c r="Q17" s="11">
        <v>-66.83</v>
      </c>
      <c r="R17" s="10">
        <v>80.75</v>
      </c>
      <c r="S17" s="11">
        <v>-31.36</v>
      </c>
      <c r="T17" s="10">
        <v>83.3</v>
      </c>
      <c r="U17" s="11">
        <v>-67.27</v>
      </c>
      <c r="V17" s="10">
        <v>3.57</v>
      </c>
      <c r="W17" s="10">
        <v>135.1</v>
      </c>
      <c r="X17" s="11">
        <v>-50.41</v>
      </c>
      <c r="Y17" s="10">
        <v>202.36</v>
      </c>
      <c r="Z17" s="11">
        <v>-15.88</v>
      </c>
      <c r="AA17" s="11">
        <v>-67.05</v>
      </c>
      <c r="AB17" s="10">
        <v>146.76</v>
      </c>
      <c r="AC17" s="11">
        <v>-77.92</v>
      </c>
      <c r="AD17" s="10">
        <v>230.03</v>
      </c>
      <c r="AE17" s="11">
        <v>-58.73</v>
      </c>
    </row>
    <row r="18" spans="1:31" x14ac:dyDescent="0.25">
      <c r="A18" s="5" t="s">
        <v>53</v>
      </c>
      <c r="B18" s="11">
        <v>-3960.91</v>
      </c>
      <c r="C18" s="11">
        <v>-4049.86</v>
      </c>
      <c r="D18" s="11">
        <v>-4629.67</v>
      </c>
      <c r="E18" s="11">
        <v>-5067.01</v>
      </c>
      <c r="F18" s="11">
        <v>-17707.46</v>
      </c>
      <c r="G18" s="11">
        <v>-4801.7</v>
      </c>
      <c r="H18" s="11">
        <v>-4831.01</v>
      </c>
      <c r="I18" s="11">
        <v>-4867.8</v>
      </c>
      <c r="J18" s="11">
        <v>-5415.72</v>
      </c>
      <c r="K18" s="11">
        <v>-19877.560000000001</v>
      </c>
      <c r="L18" s="11">
        <v>-5074.4799999999996</v>
      </c>
      <c r="M18" s="11">
        <v>-5007.37</v>
      </c>
      <c r="N18" s="11">
        <v>-5267.66</v>
      </c>
      <c r="O18" s="11">
        <v>-5768.49</v>
      </c>
      <c r="P18" s="11">
        <v>-21148.69</v>
      </c>
      <c r="Q18" s="11">
        <v>-5425.26</v>
      </c>
      <c r="R18" s="11">
        <v>-5248.3</v>
      </c>
      <c r="S18" s="11">
        <v>-5622.47</v>
      </c>
      <c r="T18" s="11">
        <v>-6140.64</v>
      </c>
      <c r="U18" s="11">
        <v>-22530.03</v>
      </c>
      <c r="V18" s="11">
        <v>-5731.63</v>
      </c>
      <c r="W18" s="11">
        <v>-5470.1</v>
      </c>
      <c r="X18" s="11">
        <v>-6043.93</v>
      </c>
      <c r="Y18" s="11">
        <v>-6445.09</v>
      </c>
      <c r="Z18" s="11">
        <v>-23937.38</v>
      </c>
      <c r="AA18" s="11">
        <v>-6003.56</v>
      </c>
      <c r="AB18" s="11">
        <v>-5612.88</v>
      </c>
      <c r="AC18" s="11">
        <v>-6294.47</v>
      </c>
      <c r="AD18" s="11">
        <v>-6633.89</v>
      </c>
      <c r="AE18" s="11">
        <v>-25049.74</v>
      </c>
    </row>
    <row r="19" spans="1:31" x14ac:dyDescent="0.25">
      <c r="A19" s="4" t="s">
        <v>54</v>
      </c>
      <c r="B19" s="10">
        <v>3823.11</v>
      </c>
      <c r="C19" s="10">
        <v>3832.07</v>
      </c>
      <c r="D19" s="10">
        <v>4002.74</v>
      </c>
      <c r="E19" s="10">
        <v>4764.24</v>
      </c>
      <c r="F19" s="10">
        <v>16422.169999999998</v>
      </c>
      <c r="G19" s="10">
        <v>4217.8999999999996</v>
      </c>
      <c r="H19" s="10">
        <v>4440.9799999999996</v>
      </c>
      <c r="I19" s="10">
        <v>4353.43</v>
      </c>
      <c r="J19" s="10">
        <v>4966.8900000000003</v>
      </c>
      <c r="K19" s="10">
        <v>17923.919999999998</v>
      </c>
      <c r="L19" s="10">
        <v>4557.17</v>
      </c>
      <c r="M19" s="10">
        <v>4720.2700000000004</v>
      </c>
      <c r="N19" s="10">
        <v>4693.17</v>
      </c>
      <c r="O19" s="10">
        <v>5352.06</v>
      </c>
      <c r="P19" s="10">
        <v>19285.009999999998</v>
      </c>
      <c r="Q19" s="10">
        <v>4867.58</v>
      </c>
      <c r="R19" s="10">
        <v>5070.97</v>
      </c>
      <c r="S19" s="10">
        <v>4974.53</v>
      </c>
      <c r="T19" s="10">
        <v>5719.28</v>
      </c>
      <c r="U19" s="10">
        <v>20696.71</v>
      </c>
      <c r="V19" s="10">
        <v>5200.2700000000004</v>
      </c>
      <c r="W19" s="10">
        <v>5391.86</v>
      </c>
      <c r="X19" s="10">
        <v>5304.52</v>
      </c>
      <c r="Y19" s="10">
        <v>6100.5</v>
      </c>
      <c r="Z19" s="10">
        <v>22201.74</v>
      </c>
      <c r="AA19" s="10">
        <v>5484.39</v>
      </c>
      <c r="AB19" s="10">
        <v>5682.19</v>
      </c>
      <c r="AC19" s="10">
        <v>5588.99</v>
      </c>
      <c r="AD19" s="10">
        <v>6418.25</v>
      </c>
      <c r="AE19" s="10">
        <v>23492.81</v>
      </c>
    </row>
    <row r="20" spans="1:31" x14ac:dyDescent="0.25">
      <c r="A20" s="4" t="s">
        <v>55</v>
      </c>
      <c r="B20" s="10">
        <v>80.069999999999993</v>
      </c>
      <c r="C20" s="10">
        <v>80.010000000000005</v>
      </c>
      <c r="D20" s="10">
        <v>87.33</v>
      </c>
      <c r="E20" s="10">
        <v>85.98</v>
      </c>
      <c r="F20" s="10">
        <v>333.39</v>
      </c>
      <c r="G20" s="10">
        <v>98.58</v>
      </c>
      <c r="H20" s="10">
        <v>98.93</v>
      </c>
      <c r="I20" s="10">
        <v>101.6</v>
      </c>
      <c r="J20" s="10">
        <v>102.77</v>
      </c>
      <c r="K20" s="10">
        <v>404.96</v>
      </c>
      <c r="L20" s="10">
        <v>107.66</v>
      </c>
      <c r="M20" s="10">
        <v>107.14</v>
      </c>
      <c r="N20" s="10">
        <v>110.3</v>
      </c>
      <c r="O20" s="10">
        <v>111.16</v>
      </c>
      <c r="P20" s="10">
        <v>438.86</v>
      </c>
      <c r="Q20" s="10">
        <v>121.38</v>
      </c>
      <c r="R20" s="10">
        <v>119.85</v>
      </c>
      <c r="S20" s="10">
        <v>124.77</v>
      </c>
      <c r="T20" s="10">
        <v>125.4</v>
      </c>
      <c r="U20" s="10">
        <v>472.7</v>
      </c>
      <c r="V20" s="10">
        <v>138.34</v>
      </c>
      <c r="W20" s="10">
        <v>136.13</v>
      </c>
      <c r="X20" s="10">
        <v>142.59</v>
      </c>
      <c r="Y20" s="10">
        <v>143.34</v>
      </c>
      <c r="Z20" s="10">
        <v>517.92999999999995</v>
      </c>
      <c r="AA20" s="10">
        <v>149.19</v>
      </c>
      <c r="AB20" s="10">
        <v>145.52000000000001</v>
      </c>
      <c r="AC20" s="10">
        <v>152.65</v>
      </c>
      <c r="AD20" s="10">
        <v>152.75</v>
      </c>
      <c r="AE20" s="10">
        <v>548.41</v>
      </c>
    </row>
    <row r="21" spans="1:31" x14ac:dyDescent="0.25">
      <c r="A21" s="4" t="s">
        <v>56</v>
      </c>
      <c r="B21" s="10">
        <v>71.98</v>
      </c>
      <c r="C21" s="10">
        <v>80.86</v>
      </c>
      <c r="D21" s="10">
        <v>80.989999999999995</v>
      </c>
      <c r="E21" s="10">
        <v>134.62</v>
      </c>
      <c r="F21" s="10">
        <v>368.45</v>
      </c>
      <c r="G21" s="10">
        <v>140.41</v>
      </c>
      <c r="H21" s="10">
        <v>112.06</v>
      </c>
      <c r="I21" s="10">
        <v>113.85</v>
      </c>
      <c r="J21" s="10">
        <v>125.61</v>
      </c>
      <c r="K21" s="10">
        <v>486.53</v>
      </c>
      <c r="L21" s="10">
        <v>131.49</v>
      </c>
      <c r="M21" s="10">
        <v>113.59</v>
      </c>
      <c r="N21" s="10">
        <v>114.36</v>
      </c>
      <c r="O21" s="10">
        <v>130.22</v>
      </c>
      <c r="P21" s="10">
        <v>494.6</v>
      </c>
      <c r="Q21" s="10">
        <v>145.33000000000001</v>
      </c>
      <c r="R21" s="10">
        <v>119.99</v>
      </c>
      <c r="S21" s="10">
        <v>120.47</v>
      </c>
      <c r="T21" s="10">
        <v>141.49</v>
      </c>
      <c r="U21" s="10">
        <v>528.41999999999996</v>
      </c>
      <c r="V21" s="10">
        <v>159.75</v>
      </c>
      <c r="W21" s="10">
        <v>134.29</v>
      </c>
      <c r="X21" s="10">
        <v>134.93</v>
      </c>
      <c r="Y21" s="10">
        <v>154.75</v>
      </c>
      <c r="Z21" s="10">
        <v>559.04</v>
      </c>
      <c r="AA21" s="10">
        <v>166.1</v>
      </c>
      <c r="AB21" s="10">
        <v>135.82</v>
      </c>
      <c r="AC21" s="10">
        <v>137.36000000000001</v>
      </c>
      <c r="AD21" s="10">
        <v>160.13</v>
      </c>
      <c r="AE21" s="10">
        <v>581.44000000000005</v>
      </c>
    </row>
    <row r="22" spans="1:31" x14ac:dyDescent="0.25">
      <c r="A22" s="4" t="s">
        <v>57</v>
      </c>
      <c r="B22" s="11">
        <v>-20.65</v>
      </c>
      <c r="C22" s="10">
        <v>39.619999999999997</v>
      </c>
      <c r="D22" s="10">
        <v>161.12</v>
      </c>
      <c r="E22" s="10">
        <v>27.65</v>
      </c>
      <c r="F22" s="10">
        <v>207.74</v>
      </c>
      <c r="G22" s="10">
        <v>246.94</v>
      </c>
      <c r="H22" s="11">
        <v>-11.26</v>
      </c>
      <c r="I22" s="11">
        <v>-9.66</v>
      </c>
      <c r="J22" s="10">
        <v>9.93</v>
      </c>
      <c r="K22" s="10">
        <v>232.64</v>
      </c>
      <c r="L22" s="10">
        <v>55.81</v>
      </c>
      <c r="M22" s="10">
        <v>42.23</v>
      </c>
      <c r="N22" s="10">
        <v>44.14</v>
      </c>
      <c r="O22" s="10">
        <v>61.39</v>
      </c>
      <c r="P22" s="10">
        <v>118.33</v>
      </c>
      <c r="Q22" s="10">
        <v>87.1</v>
      </c>
      <c r="R22" s="10">
        <v>71.459999999999994</v>
      </c>
      <c r="S22" s="10">
        <v>76.069999999999993</v>
      </c>
      <c r="T22" s="10">
        <v>92.78</v>
      </c>
      <c r="U22" s="10">
        <v>125.57</v>
      </c>
      <c r="V22" s="10">
        <v>145.93</v>
      </c>
      <c r="W22" s="10">
        <v>118.86</v>
      </c>
      <c r="X22" s="10">
        <v>126.25</v>
      </c>
      <c r="Y22" s="10">
        <v>155.41</v>
      </c>
      <c r="Z22" s="10">
        <v>74.040000000000006</v>
      </c>
      <c r="AA22" s="10">
        <v>145.54</v>
      </c>
      <c r="AB22" s="10">
        <v>117.44</v>
      </c>
      <c r="AC22" s="10">
        <v>125</v>
      </c>
      <c r="AD22" s="10">
        <v>154.97</v>
      </c>
      <c r="AE22" s="10">
        <v>16.79</v>
      </c>
    </row>
    <row r="23" spans="1:31" x14ac:dyDescent="0.25">
      <c r="A23" s="4" t="s">
        <v>58</v>
      </c>
      <c r="B23" s="10">
        <v>175.05</v>
      </c>
      <c r="C23" s="11">
        <v>-443.92</v>
      </c>
      <c r="D23" s="10">
        <v>537.54999999999995</v>
      </c>
      <c r="E23" s="11">
        <v>-178.12</v>
      </c>
      <c r="F23" s="10">
        <v>90.56</v>
      </c>
      <c r="G23" s="10">
        <v>591.26</v>
      </c>
      <c r="H23" s="11">
        <v>-582.83000000000004</v>
      </c>
      <c r="I23" s="11">
        <v>-38.99</v>
      </c>
      <c r="J23" s="11">
        <v>-330.83</v>
      </c>
      <c r="K23" s="11">
        <v>-403.33</v>
      </c>
      <c r="L23" s="10">
        <v>579.91</v>
      </c>
      <c r="M23" s="11">
        <v>-372.28</v>
      </c>
      <c r="N23" s="10">
        <v>1.81</v>
      </c>
      <c r="O23" s="11">
        <v>-219.31</v>
      </c>
      <c r="P23" s="10">
        <v>260.48</v>
      </c>
      <c r="Q23" s="10">
        <v>669.18</v>
      </c>
      <c r="R23" s="11">
        <v>-498.45</v>
      </c>
      <c r="S23" s="10">
        <v>131.47999999999999</v>
      </c>
      <c r="T23" s="11">
        <v>-192.82</v>
      </c>
      <c r="U23" s="10">
        <v>13.69</v>
      </c>
      <c r="V23" s="10">
        <v>643.48</v>
      </c>
      <c r="W23" s="11">
        <v>-504.45</v>
      </c>
      <c r="X23" s="10">
        <v>140.56</v>
      </c>
      <c r="Y23" s="10">
        <v>21.52</v>
      </c>
      <c r="Z23" s="10">
        <v>127.04</v>
      </c>
      <c r="AA23" s="10">
        <v>558.92999999999995</v>
      </c>
      <c r="AB23" s="11">
        <v>-740.59</v>
      </c>
      <c r="AC23" s="10">
        <v>37.67</v>
      </c>
      <c r="AD23" s="11">
        <v>-42.78</v>
      </c>
      <c r="AE23" s="11">
        <v>-35.72</v>
      </c>
    </row>
    <row r="24" spans="1:31" x14ac:dyDescent="0.25">
      <c r="A24" s="4" t="s">
        <v>59</v>
      </c>
      <c r="B24" s="11">
        <v>-276.43</v>
      </c>
      <c r="C24" s="10">
        <v>11.05</v>
      </c>
      <c r="D24" s="10">
        <v>139.44999999999999</v>
      </c>
      <c r="E24" s="10">
        <v>117.89</v>
      </c>
      <c r="F24" s="11">
        <v>-8.0399999999999991</v>
      </c>
      <c r="G24" s="10">
        <v>0.15</v>
      </c>
      <c r="H24" s="11">
        <v>-117.02</v>
      </c>
      <c r="I24" s="10">
        <v>54.87</v>
      </c>
      <c r="J24" s="10">
        <v>49.38</v>
      </c>
      <c r="K24" s="10">
        <v>3.16</v>
      </c>
      <c r="L24" s="10">
        <v>48.64</v>
      </c>
      <c r="M24" s="11">
        <v>-78.28</v>
      </c>
      <c r="N24" s="10">
        <v>95.9</v>
      </c>
      <c r="O24" s="10">
        <v>84.77</v>
      </c>
      <c r="P24" s="10">
        <v>123.19</v>
      </c>
      <c r="Q24" s="10">
        <v>47.87</v>
      </c>
      <c r="R24" s="11">
        <v>-143.18</v>
      </c>
      <c r="S24" s="10">
        <v>96.81</v>
      </c>
      <c r="T24" s="10">
        <v>65.5</v>
      </c>
      <c r="U24" s="10">
        <v>76.41</v>
      </c>
      <c r="V24" s="10">
        <v>71.900000000000006</v>
      </c>
      <c r="W24" s="11">
        <v>-150.16999999999999</v>
      </c>
      <c r="X24" s="10">
        <v>99.87</v>
      </c>
      <c r="Y24" s="10">
        <v>57.09</v>
      </c>
      <c r="Z24" s="10">
        <v>9.85</v>
      </c>
      <c r="AA24" s="10">
        <v>46.55</v>
      </c>
      <c r="AB24" s="11">
        <v>-180.6</v>
      </c>
      <c r="AC24" s="10">
        <v>107.51</v>
      </c>
      <c r="AD24" s="10">
        <v>90.05</v>
      </c>
      <c r="AE24" s="10">
        <v>0.72</v>
      </c>
    </row>
    <row r="25" spans="1:31" x14ac:dyDescent="0.25">
      <c r="A25" s="4" t="s">
        <v>60</v>
      </c>
      <c r="B25" s="10">
        <v>88.91</v>
      </c>
      <c r="C25" s="10">
        <v>118.64</v>
      </c>
      <c r="D25" s="11">
        <v>-3.69</v>
      </c>
      <c r="E25" s="10">
        <v>51.05</v>
      </c>
      <c r="F25" s="10">
        <v>254.92</v>
      </c>
      <c r="G25" s="11">
        <v>-32.28</v>
      </c>
      <c r="H25" s="10">
        <v>88.53</v>
      </c>
      <c r="I25" s="10">
        <v>32.78</v>
      </c>
      <c r="J25" s="10">
        <v>41.98</v>
      </c>
      <c r="K25" s="10">
        <v>89.99</v>
      </c>
      <c r="L25" s="11">
        <v>-4.8499999999999996</v>
      </c>
      <c r="M25" s="10">
        <v>109.3</v>
      </c>
      <c r="N25" s="10">
        <v>32.18</v>
      </c>
      <c r="O25" s="10">
        <v>63.94</v>
      </c>
      <c r="P25" s="10">
        <v>179.19</v>
      </c>
      <c r="Q25" s="11">
        <v>-21.69</v>
      </c>
      <c r="R25" s="10">
        <v>142.47</v>
      </c>
      <c r="S25" s="10">
        <v>45.94</v>
      </c>
      <c r="T25" s="10">
        <v>76.849999999999994</v>
      </c>
      <c r="U25" s="10">
        <v>255.54</v>
      </c>
      <c r="V25" s="10">
        <v>4.66</v>
      </c>
      <c r="W25" s="10">
        <v>187.42</v>
      </c>
      <c r="X25" s="10">
        <v>49.14</v>
      </c>
      <c r="Y25" s="10">
        <v>119.07</v>
      </c>
      <c r="Z25" s="10">
        <v>307.06</v>
      </c>
      <c r="AA25" s="11">
        <v>-121.03</v>
      </c>
      <c r="AB25" s="10">
        <v>238.35</v>
      </c>
      <c r="AC25" s="10">
        <v>40.28</v>
      </c>
      <c r="AD25" s="10">
        <v>125.94</v>
      </c>
      <c r="AE25" s="10">
        <v>262.83</v>
      </c>
    </row>
    <row r="26" spans="1:31" x14ac:dyDescent="0.25">
      <c r="A26" s="4" t="s">
        <v>61</v>
      </c>
      <c r="B26" s="11">
        <v>-82.28</v>
      </c>
      <c r="C26" s="11">
        <v>-370.62</v>
      </c>
      <c r="D26" s="11">
        <v>-97.57</v>
      </c>
      <c r="E26" s="11">
        <v>-243.18</v>
      </c>
      <c r="F26" s="11">
        <v>-793.65</v>
      </c>
      <c r="G26" s="11">
        <v>-453.84</v>
      </c>
      <c r="H26" s="11">
        <v>-27.81</v>
      </c>
      <c r="I26" s="11">
        <v>-142.44999999999999</v>
      </c>
      <c r="J26" s="11">
        <v>-148.33000000000001</v>
      </c>
      <c r="K26" s="11">
        <v>-591.72</v>
      </c>
      <c r="L26" s="11">
        <v>-152.26</v>
      </c>
      <c r="M26" s="10">
        <v>29.58</v>
      </c>
      <c r="N26" s="11">
        <v>-171.01</v>
      </c>
      <c r="O26" s="11">
        <v>-137.03</v>
      </c>
      <c r="P26" s="11">
        <v>-326.23</v>
      </c>
      <c r="Q26" s="11">
        <v>-119.56</v>
      </c>
      <c r="R26" s="10">
        <v>181.92</v>
      </c>
      <c r="S26" s="11">
        <v>-183.91</v>
      </c>
      <c r="T26" s="11">
        <v>-295.69</v>
      </c>
      <c r="U26" s="11">
        <v>-371.51</v>
      </c>
      <c r="V26" s="11">
        <v>-170.77</v>
      </c>
      <c r="W26" s="10">
        <v>265.55</v>
      </c>
      <c r="X26" s="11">
        <v>-228.24</v>
      </c>
      <c r="Y26" s="11">
        <v>-378.48</v>
      </c>
      <c r="Z26" s="11">
        <v>-465.03</v>
      </c>
      <c r="AA26" s="11">
        <v>-42.19</v>
      </c>
      <c r="AB26" s="10">
        <v>253.07</v>
      </c>
      <c r="AC26" s="11">
        <v>-187.14</v>
      </c>
      <c r="AD26" s="11">
        <v>-362.67</v>
      </c>
      <c r="AE26" s="11">
        <v>-371.28</v>
      </c>
    </row>
    <row r="27" spans="1:31" x14ac:dyDescent="0.25">
      <c r="A27" s="5" t="s">
        <v>62</v>
      </c>
      <c r="B27" s="11">
        <v>-94.75</v>
      </c>
      <c r="C27" s="11">
        <v>-684.86</v>
      </c>
      <c r="D27" s="10">
        <v>575.75</v>
      </c>
      <c r="E27" s="11">
        <v>-252.36</v>
      </c>
      <c r="F27" s="11">
        <v>-456.22</v>
      </c>
      <c r="G27" s="10">
        <v>105.3</v>
      </c>
      <c r="H27" s="11">
        <v>-646.02</v>
      </c>
      <c r="I27" s="11">
        <v>-46.84</v>
      </c>
      <c r="J27" s="11">
        <v>-354.91</v>
      </c>
      <c r="K27" s="11">
        <v>-863.38</v>
      </c>
      <c r="L27" s="10">
        <v>488.78</v>
      </c>
      <c r="M27" s="11">
        <v>-314.91000000000003</v>
      </c>
      <c r="N27" s="10">
        <v>9.7100000000000009</v>
      </c>
      <c r="O27" s="11">
        <v>-158.87</v>
      </c>
      <c r="P27" s="10">
        <v>273.2</v>
      </c>
      <c r="Q27" s="10">
        <v>625.79</v>
      </c>
      <c r="R27" s="11">
        <v>-404.26</v>
      </c>
      <c r="S27" s="10">
        <v>159.28</v>
      </c>
      <c r="T27" s="11">
        <v>-235.57</v>
      </c>
      <c r="U27" s="10">
        <v>17.38</v>
      </c>
      <c r="V27" s="10">
        <v>612.73</v>
      </c>
      <c r="W27" s="11">
        <v>-324.64999999999998</v>
      </c>
      <c r="X27" s="10">
        <v>140.78</v>
      </c>
      <c r="Y27" s="11">
        <v>-53.76</v>
      </c>
      <c r="Z27" s="10">
        <v>98.5</v>
      </c>
      <c r="AA27" s="10">
        <v>477.64</v>
      </c>
      <c r="AB27" s="11">
        <v>-572.27</v>
      </c>
      <c r="AC27" s="10">
        <v>72.77</v>
      </c>
      <c r="AD27" s="11">
        <v>-52.02</v>
      </c>
      <c r="AE27" s="11">
        <v>-42.51</v>
      </c>
    </row>
    <row r="28" spans="1:31" x14ac:dyDescent="0.25">
      <c r="A28" s="5" t="s">
        <v>63</v>
      </c>
      <c r="B28" s="10">
        <v>2789.2</v>
      </c>
      <c r="C28" s="10">
        <v>2423.2600000000002</v>
      </c>
      <c r="D28" s="10">
        <v>2825.17</v>
      </c>
      <c r="E28" s="10">
        <v>2111.64</v>
      </c>
      <c r="F28" s="10">
        <v>10149.27</v>
      </c>
      <c r="G28" s="10">
        <v>5290.2</v>
      </c>
      <c r="H28" s="10">
        <v>2629.25</v>
      </c>
      <c r="I28" s="10">
        <v>3234.24</v>
      </c>
      <c r="J28" s="10">
        <v>2593.35</v>
      </c>
      <c r="K28" s="10">
        <v>13506.71</v>
      </c>
      <c r="L28" s="10">
        <v>4173.4799999999996</v>
      </c>
      <c r="M28" s="10">
        <v>3774.17</v>
      </c>
      <c r="N28" s="10">
        <v>4009.41</v>
      </c>
      <c r="O28" s="10">
        <v>3580.81</v>
      </c>
      <c r="P28" s="10">
        <v>15324.21</v>
      </c>
      <c r="Q28" s="10">
        <v>5031.6099999999997</v>
      </c>
      <c r="R28" s="10">
        <v>4674.54</v>
      </c>
      <c r="S28" s="10">
        <v>4936.08</v>
      </c>
      <c r="T28" s="10">
        <v>4392.07</v>
      </c>
      <c r="U28" s="10">
        <v>18113.45</v>
      </c>
      <c r="V28" s="10">
        <v>5879.23</v>
      </c>
      <c r="W28" s="10">
        <v>5749.92</v>
      </c>
      <c r="X28" s="10">
        <v>5813.16</v>
      </c>
      <c r="Y28" s="10">
        <v>5600.43</v>
      </c>
      <c r="Z28" s="10">
        <v>21577.88</v>
      </c>
      <c r="AA28" s="10">
        <v>6705.31</v>
      </c>
      <c r="AB28" s="10">
        <v>6702.03</v>
      </c>
      <c r="AC28" s="10">
        <v>6790.2</v>
      </c>
      <c r="AD28" s="10">
        <v>6770.24</v>
      </c>
      <c r="AE28" s="10">
        <v>24851.43</v>
      </c>
    </row>
    <row r="29" spans="1:31" x14ac:dyDescent="0.25">
      <c r="A29" s="4" t="s">
        <v>64</v>
      </c>
      <c r="B29" s="10">
        <v>128.28</v>
      </c>
      <c r="C29" s="10">
        <v>155.88999999999999</v>
      </c>
      <c r="D29" s="10">
        <v>164.72</v>
      </c>
      <c r="E29" s="10">
        <v>239.34</v>
      </c>
      <c r="F29" s="10">
        <v>688.22</v>
      </c>
      <c r="G29" s="10">
        <v>196.13</v>
      </c>
      <c r="H29" s="10">
        <v>172.7</v>
      </c>
      <c r="I29" s="10">
        <v>182.72</v>
      </c>
      <c r="J29" s="10">
        <v>199.01</v>
      </c>
      <c r="K29" s="10">
        <v>730.42</v>
      </c>
      <c r="L29" s="10">
        <v>186.76</v>
      </c>
      <c r="M29" s="10">
        <v>175.03</v>
      </c>
      <c r="N29" s="10">
        <v>196.4</v>
      </c>
      <c r="O29" s="10">
        <v>210.92</v>
      </c>
      <c r="P29" s="10">
        <v>747.26</v>
      </c>
      <c r="Q29" s="10">
        <v>201.18</v>
      </c>
      <c r="R29" s="10">
        <v>200.03</v>
      </c>
      <c r="S29" s="10">
        <v>207.32</v>
      </c>
      <c r="T29" s="10">
        <v>237.16</v>
      </c>
      <c r="U29" s="10">
        <v>788.77</v>
      </c>
      <c r="V29" s="10">
        <v>231.38</v>
      </c>
      <c r="W29" s="10">
        <v>229.93</v>
      </c>
      <c r="X29" s="10">
        <v>238.83</v>
      </c>
      <c r="Y29" s="10">
        <v>276.68</v>
      </c>
      <c r="Z29" s="10">
        <v>889.36</v>
      </c>
      <c r="AA29" s="10">
        <v>239.57</v>
      </c>
      <c r="AB29" s="10">
        <v>238.17</v>
      </c>
      <c r="AC29" s="10">
        <v>247.24</v>
      </c>
      <c r="AD29" s="10">
        <v>290.66000000000003</v>
      </c>
      <c r="AE29" s="10">
        <v>933.47</v>
      </c>
    </row>
    <row r="30" spans="1:31" x14ac:dyDescent="0.25">
      <c r="A30" s="4" t="s">
        <v>65</v>
      </c>
      <c r="B30" s="10">
        <v>613.94000000000005</v>
      </c>
      <c r="C30" s="10">
        <v>960.76</v>
      </c>
      <c r="D30" s="10">
        <v>172.4</v>
      </c>
      <c r="E30" s="11">
        <v>-17.190000000000001</v>
      </c>
      <c r="F30" s="10">
        <v>1729.91</v>
      </c>
      <c r="G30" s="11">
        <v>-585.74</v>
      </c>
      <c r="H30" s="10">
        <v>28.68</v>
      </c>
      <c r="I30" s="9" t="s">
        <v>66</v>
      </c>
      <c r="J30" s="9" t="s">
        <v>66</v>
      </c>
      <c r="K30" s="11">
        <v>-415.77</v>
      </c>
      <c r="L30" s="9" t="s">
        <v>66</v>
      </c>
      <c r="M30" s="9" t="s">
        <v>66</v>
      </c>
      <c r="N30" s="9" t="s">
        <v>66</v>
      </c>
      <c r="O30" s="9" t="s">
        <v>66</v>
      </c>
      <c r="P30" s="10">
        <v>723.51</v>
      </c>
      <c r="Q30" s="9" t="s">
        <v>66</v>
      </c>
      <c r="R30" s="9" t="s">
        <v>66</v>
      </c>
      <c r="S30" s="9" t="s">
        <v>66</v>
      </c>
      <c r="T30" s="9" t="s">
        <v>66</v>
      </c>
      <c r="U30" s="10">
        <v>842.05</v>
      </c>
      <c r="V30" s="9" t="s">
        <v>66</v>
      </c>
      <c r="W30" s="9" t="s">
        <v>66</v>
      </c>
      <c r="X30" s="9" t="s">
        <v>66</v>
      </c>
      <c r="Y30" s="9" t="s">
        <v>66</v>
      </c>
      <c r="Z30" s="9" t="s">
        <v>66</v>
      </c>
      <c r="AA30" s="9" t="s">
        <v>66</v>
      </c>
      <c r="AB30" s="9" t="s">
        <v>66</v>
      </c>
      <c r="AC30" s="9" t="s">
        <v>66</v>
      </c>
      <c r="AD30" s="9" t="s">
        <v>66</v>
      </c>
      <c r="AE30" s="9" t="s">
        <v>66</v>
      </c>
    </row>
    <row r="31" spans="1:31" x14ac:dyDescent="0.25">
      <c r="A31" s="4" t="s">
        <v>67</v>
      </c>
      <c r="B31" s="10">
        <v>769.95</v>
      </c>
      <c r="C31" s="11">
        <v>-36.19</v>
      </c>
      <c r="D31" s="10">
        <v>36.19</v>
      </c>
      <c r="E31" s="11">
        <v>-17.190000000000001</v>
      </c>
      <c r="F31" s="11">
        <v>-17.190000000000001</v>
      </c>
      <c r="G31" s="11">
        <v>-585.74</v>
      </c>
      <c r="H31" s="9" t="s">
        <v>66</v>
      </c>
      <c r="I31" s="9" t="s">
        <v>66</v>
      </c>
      <c r="J31" s="9" t="s">
        <v>66</v>
      </c>
      <c r="K31" s="11">
        <v>-585.74</v>
      </c>
      <c r="L31" s="9" t="s">
        <v>66</v>
      </c>
      <c r="M31" s="9" t="s">
        <v>66</v>
      </c>
      <c r="N31" s="9" t="s">
        <v>66</v>
      </c>
      <c r="O31" s="9" t="s">
        <v>66</v>
      </c>
      <c r="P31" s="11">
        <v>-300</v>
      </c>
      <c r="Q31" s="9" t="s">
        <v>66</v>
      </c>
      <c r="R31" s="9" t="s">
        <v>66</v>
      </c>
      <c r="S31" s="9" t="s">
        <v>66</v>
      </c>
      <c r="T31" s="9" t="s">
        <v>66</v>
      </c>
      <c r="U31" s="9" t="s">
        <v>66</v>
      </c>
      <c r="V31" s="9" t="s">
        <v>66</v>
      </c>
      <c r="W31" s="9" t="s">
        <v>66</v>
      </c>
      <c r="X31" s="9" t="s">
        <v>66</v>
      </c>
      <c r="Y31" s="9" t="s">
        <v>66</v>
      </c>
      <c r="Z31" s="9" t="s">
        <v>66</v>
      </c>
      <c r="AA31" s="9" t="s">
        <v>66</v>
      </c>
      <c r="AB31" s="9" t="s">
        <v>66</v>
      </c>
      <c r="AC31" s="9" t="s">
        <v>66</v>
      </c>
      <c r="AD31" s="9" t="s">
        <v>66</v>
      </c>
      <c r="AE31" s="9" t="s">
        <v>66</v>
      </c>
    </row>
    <row r="32" spans="1:31" x14ac:dyDescent="0.25">
      <c r="A32" s="5" t="s">
        <v>68</v>
      </c>
      <c r="B32" s="10">
        <v>485.66</v>
      </c>
      <c r="C32" s="10">
        <v>768.68</v>
      </c>
      <c r="D32" s="10">
        <v>43.87</v>
      </c>
      <c r="E32" s="11">
        <v>-256.52999999999997</v>
      </c>
      <c r="F32" s="10">
        <v>1041.69</v>
      </c>
      <c r="G32" s="11">
        <v>-781.87</v>
      </c>
      <c r="H32" s="11">
        <v>-171.6</v>
      </c>
      <c r="I32" s="11">
        <v>-177.27</v>
      </c>
      <c r="J32" s="11">
        <v>-199.01</v>
      </c>
      <c r="K32" s="11">
        <v>-1191.04</v>
      </c>
      <c r="L32" s="11">
        <v>-186.76</v>
      </c>
      <c r="M32" s="11">
        <v>-175.03</v>
      </c>
      <c r="N32" s="11">
        <v>-187.93</v>
      </c>
      <c r="O32" s="11">
        <v>-210.92</v>
      </c>
      <c r="P32" s="11">
        <v>-688.8</v>
      </c>
      <c r="Q32" s="11">
        <v>-201.18</v>
      </c>
      <c r="R32" s="11">
        <v>-200.03</v>
      </c>
      <c r="S32" s="11">
        <v>-207.32</v>
      </c>
      <c r="T32" s="11">
        <v>-237.16</v>
      </c>
      <c r="U32" s="11">
        <v>-728.62</v>
      </c>
      <c r="V32" s="11">
        <v>-231.38</v>
      </c>
      <c r="W32" s="11">
        <v>-229.93</v>
      </c>
      <c r="X32" s="11">
        <v>-238.83</v>
      </c>
      <c r="Y32" s="11">
        <v>-276.68</v>
      </c>
      <c r="Z32" s="11">
        <v>-889.36</v>
      </c>
      <c r="AA32" s="11">
        <v>-239.57</v>
      </c>
      <c r="AB32" s="11">
        <v>-238.17</v>
      </c>
      <c r="AC32" s="11">
        <v>-247.24</v>
      </c>
      <c r="AD32" s="11">
        <v>-290.66000000000003</v>
      </c>
      <c r="AE32" s="11">
        <v>-933.47</v>
      </c>
    </row>
    <row r="33" spans="1:31" x14ac:dyDescent="0.25">
      <c r="A33" s="4" t="s">
        <v>69</v>
      </c>
      <c r="B33" s="10">
        <v>3536.4</v>
      </c>
      <c r="C33" s="10">
        <v>1654.33</v>
      </c>
      <c r="D33" s="10">
        <v>1856.88</v>
      </c>
      <c r="E33" s="10">
        <v>2079.56</v>
      </c>
      <c r="F33" s="10">
        <v>9127.17</v>
      </c>
      <c r="G33" s="10">
        <v>1270.5899999999999</v>
      </c>
      <c r="H33" s="10">
        <v>2241.3000000000002</v>
      </c>
      <c r="I33" s="10">
        <v>2178.83</v>
      </c>
      <c r="J33" s="10">
        <v>2199.9899999999998</v>
      </c>
      <c r="K33" s="10">
        <v>7282.86</v>
      </c>
      <c r="L33" s="10">
        <v>2431.0500000000002</v>
      </c>
      <c r="M33" s="10">
        <v>2278.42</v>
      </c>
      <c r="N33" s="10">
        <v>2503.94</v>
      </c>
      <c r="O33" s="10">
        <v>2478.0500000000002</v>
      </c>
      <c r="P33" s="10">
        <v>9679.35</v>
      </c>
      <c r="Q33" s="10">
        <v>2788.13</v>
      </c>
      <c r="R33" s="10">
        <v>2540.04</v>
      </c>
      <c r="S33" s="10">
        <v>2866.97</v>
      </c>
      <c r="T33" s="10">
        <v>2657.34</v>
      </c>
      <c r="U33" s="10">
        <v>11454.33</v>
      </c>
      <c r="V33" s="10">
        <v>3050.96</v>
      </c>
      <c r="W33" s="10">
        <v>3054.14</v>
      </c>
      <c r="X33" s="10">
        <v>3177.36</v>
      </c>
      <c r="Y33" s="10">
        <v>3180.6</v>
      </c>
      <c r="Z33" s="10">
        <v>15042.74</v>
      </c>
      <c r="AA33" s="10">
        <v>3403.53</v>
      </c>
      <c r="AB33" s="10">
        <v>3407.67</v>
      </c>
      <c r="AC33" s="10">
        <v>3591.85</v>
      </c>
      <c r="AD33" s="10">
        <v>3596.07</v>
      </c>
      <c r="AE33" s="10">
        <v>17514.05</v>
      </c>
    </row>
    <row r="34" spans="1:31" x14ac:dyDescent="0.25">
      <c r="A34" s="4" t="s">
        <v>70</v>
      </c>
      <c r="B34" s="10">
        <v>351.6</v>
      </c>
      <c r="C34" s="10">
        <v>169.07</v>
      </c>
      <c r="D34" s="10">
        <v>70.22</v>
      </c>
      <c r="E34" s="10">
        <v>76.08</v>
      </c>
      <c r="F34" s="10">
        <v>666.97</v>
      </c>
      <c r="G34" s="10">
        <v>49.31</v>
      </c>
      <c r="H34" s="10">
        <v>39.18</v>
      </c>
      <c r="I34" s="10">
        <v>35.24</v>
      </c>
      <c r="J34" s="10">
        <v>36.85</v>
      </c>
      <c r="K34" s="10">
        <v>132.06</v>
      </c>
      <c r="L34" s="10">
        <v>47.13</v>
      </c>
      <c r="M34" s="10">
        <v>46.41</v>
      </c>
      <c r="N34" s="10">
        <v>46.94</v>
      </c>
      <c r="O34" s="10">
        <v>48.66</v>
      </c>
      <c r="P34" s="10">
        <v>131.16999999999999</v>
      </c>
      <c r="Q34" s="10">
        <v>59.73</v>
      </c>
      <c r="R34" s="10">
        <v>57.95</v>
      </c>
      <c r="S34" s="10">
        <v>58.56</v>
      </c>
      <c r="T34" s="10">
        <v>61.4</v>
      </c>
      <c r="U34" s="10">
        <v>172.91</v>
      </c>
      <c r="V34" s="10">
        <v>88.14</v>
      </c>
      <c r="W34" s="10">
        <v>85.61</v>
      </c>
      <c r="X34" s="10">
        <v>86.55</v>
      </c>
      <c r="Y34" s="10">
        <v>90.71</v>
      </c>
      <c r="Z34" s="10">
        <v>187.41</v>
      </c>
      <c r="AA34" s="10">
        <v>117.08</v>
      </c>
      <c r="AB34" s="10">
        <v>113.91</v>
      </c>
      <c r="AC34" s="10">
        <v>115.22</v>
      </c>
      <c r="AD34" s="10">
        <v>120.64</v>
      </c>
      <c r="AE34" s="10">
        <v>211.07</v>
      </c>
    </row>
    <row r="35" spans="1:31" x14ac:dyDescent="0.25">
      <c r="A35" s="5" t="s">
        <v>71</v>
      </c>
      <c r="B35" s="11">
        <v>-3184.79</v>
      </c>
      <c r="C35" s="11">
        <v>-1485.26</v>
      </c>
      <c r="D35" s="11">
        <v>-1786.67</v>
      </c>
      <c r="E35" s="11">
        <v>-2003.48</v>
      </c>
      <c r="F35" s="11">
        <v>-8460.2000000000007</v>
      </c>
      <c r="G35" s="11">
        <v>-1221.28</v>
      </c>
      <c r="H35" s="11">
        <v>-2035.47</v>
      </c>
      <c r="I35" s="11">
        <v>-1877.2</v>
      </c>
      <c r="J35" s="11">
        <v>-1922.48</v>
      </c>
      <c r="K35" s="11">
        <v>-7044.5</v>
      </c>
      <c r="L35" s="11">
        <v>-2405.38</v>
      </c>
      <c r="M35" s="11">
        <v>-2272.65</v>
      </c>
      <c r="N35" s="11">
        <v>-2281.98</v>
      </c>
      <c r="O35" s="11">
        <v>-2259.66</v>
      </c>
      <c r="P35" s="11">
        <v>-8387.0400000000009</v>
      </c>
      <c r="Q35" s="11">
        <v>-2986.18</v>
      </c>
      <c r="R35" s="11">
        <v>-2789.13</v>
      </c>
      <c r="S35" s="11">
        <v>-3050.19</v>
      </c>
      <c r="T35" s="11">
        <v>-2614.48</v>
      </c>
      <c r="U35" s="11">
        <v>-9340.25</v>
      </c>
      <c r="V35" s="11">
        <v>-2962.62</v>
      </c>
      <c r="W35" s="11">
        <v>-2966.5</v>
      </c>
      <c r="X35" s="11">
        <v>-3042.81</v>
      </c>
      <c r="Y35" s="11">
        <v>-3041.72</v>
      </c>
      <c r="Z35" s="11">
        <v>-11184.94</v>
      </c>
      <c r="AA35" s="11">
        <v>-3324.51</v>
      </c>
      <c r="AB35" s="11">
        <v>-3329.14</v>
      </c>
      <c r="AC35" s="11">
        <v>-3433.45</v>
      </c>
      <c r="AD35" s="11">
        <v>-3431.99</v>
      </c>
      <c r="AE35" s="11">
        <v>-12555.38</v>
      </c>
    </row>
    <row r="36" spans="1:31" x14ac:dyDescent="0.25">
      <c r="A36" s="4" t="s">
        <v>72</v>
      </c>
      <c r="B36" s="11">
        <v>-800</v>
      </c>
      <c r="C36" s="11">
        <v>-1033.45</v>
      </c>
      <c r="D36" s="10">
        <v>70.22</v>
      </c>
      <c r="E36" s="10">
        <v>70.099999999999994</v>
      </c>
      <c r="F36" s="11">
        <v>-1833.45</v>
      </c>
      <c r="G36" s="9" t="s">
        <v>66</v>
      </c>
      <c r="H36" s="10">
        <v>99.46</v>
      </c>
      <c r="I36" s="9" t="s">
        <v>66</v>
      </c>
      <c r="J36" s="11">
        <v>-1000</v>
      </c>
      <c r="K36" s="11">
        <v>-737.78</v>
      </c>
      <c r="L36" s="11">
        <v>-900</v>
      </c>
      <c r="M36" s="11">
        <v>-762</v>
      </c>
      <c r="N36" s="11">
        <v>-917.25</v>
      </c>
      <c r="O36" s="11">
        <v>-1000</v>
      </c>
      <c r="P36" s="11">
        <v>-1179.33</v>
      </c>
      <c r="Q36" s="11">
        <v>-550</v>
      </c>
      <c r="R36" s="11">
        <v>-1597.33</v>
      </c>
      <c r="S36" s="11">
        <v>-600</v>
      </c>
      <c r="T36" s="10">
        <v>0</v>
      </c>
      <c r="U36" s="11">
        <v>-1448.67</v>
      </c>
      <c r="V36" s="11">
        <v>-1300</v>
      </c>
      <c r="W36" s="10">
        <v>912</v>
      </c>
      <c r="X36" s="11">
        <v>-3198</v>
      </c>
      <c r="Y36" s="11">
        <v>-63.33</v>
      </c>
      <c r="Z36" s="11">
        <v>-1373</v>
      </c>
      <c r="AA36" s="11">
        <v>-700</v>
      </c>
      <c r="AB36" s="11">
        <v>-1542.67</v>
      </c>
      <c r="AC36" s="10">
        <v>2164</v>
      </c>
      <c r="AD36" s="9" t="s">
        <v>66</v>
      </c>
      <c r="AE36" s="11">
        <v>-571.83000000000004</v>
      </c>
    </row>
    <row r="37" spans="1:31" x14ac:dyDescent="0.25">
      <c r="A37" s="4" t="s">
        <v>73</v>
      </c>
      <c r="B37" s="11">
        <v>-43.52</v>
      </c>
      <c r="C37" s="10">
        <v>15.84</v>
      </c>
      <c r="D37" s="10">
        <v>49.64</v>
      </c>
      <c r="E37" s="11">
        <v>-73.930000000000007</v>
      </c>
      <c r="F37" s="11">
        <v>-51.97</v>
      </c>
      <c r="G37" s="11">
        <v>-9.5399999999999991</v>
      </c>
      <c r="H37" s="11">
        <v>-13.13</v>
      </c>
      <c r="I37" s="11">
        <v>-6.51</v>
      </c>
      <c r="J37" s="11">
        <v>-257.58</v>
      </c>
      <c r="K37" s="11">
        <v>-111.76</v>
      </c>
      <c r="L37" s="11">
        <v>-10.8</v>
      </c>
      <c r="M37" s="11">
        <v>-6.74</v>
      </c>
      <c r="N37" s="11">
        <v>-6.75</v>
      </c>
      <c r="O37" s="11">
        <v>-10.77</v>
      </c>
      <c r="P37" s="11">
        <v>-282.64</v>
      </c>
      <c r="Q37" s="11">
        <v>-11.21</v>
      </c>
      <c r="R37" s="11">
        <v>-6.98</v>
      </c>
      <c r="S37" s="11">
        <v>-6.99</v>
      </c>
      <c r="T37" s="11">
        <v>-11.18</v>
      </c>
      <c r="U37" s="11">
        <v>-257.45</v>
      </c>
      <c r="V37" s="11">
        <v>-18.940000000000001</v>
      </c>
      <c r="W37" s="11">
        <v>-12.35</v>
      </c>
      <c r="X37" s="11">
        <v>-12.36</v>
      </c>
      <c r="Y37" s="11">
        <v>-18.89</v>
      </c>
      <c r="Z37" s="10">
        <v>821.22</v>
      </c>
      <c r="AA37" s="11">
        <v>-19.600000000000001</v>
      </c>
      <c r="AB37" s="11">
        <v>-12.74</v>
      </c>
      <c r="AC37" s="11">
        <v>-12.76</v>
      </c>
      <c r="AD37" s="11">
        <v>-19.55</v>
      </c>
      <c r="AE37" s="10">
        <v>1505.66</v>
      </c>
    </row>
    <row r="38" spans="1:31" x14ac:dyDescent="0.25">
      <c r="A38" s="5" t="s">
        <v>74</v>
      </c>
      <c r="B38" s="11">
        <v>-4028.32</v>
      </c>
      <c r="C38" s="11">
        <v>-2502.87</v>
      </c>
      <c r="D38" s="11">
        <v>-1737.03</v>
      </c>
      <c r="E38" s="11">
        <v>-2077.41</v>
      </c>
      <c r="F38" s="11">
        <v>-10345.620000000001</v>
      </c>
      <c r="G38" s="11">
        <v>-1230.81</v>
      </c>
      <c r="H38" s="11">
        <v>-2173.7600000000002</v>
      </c>
      <c r="I38" s="11">
        <v>-2095.92</v>
      </c>
      <c r="J38" s="11">
        <v>-2268.2199999999998</v>
      </c>
      <c r="K38" s="11">
        <v>-7689.39</v>
      </c>
      <c r="L38" s="11">
        <v>-2780.66</v>
      </c>
      <c r="M38" s="11">
        <v>-2612.4699999999998</v>
      </c>
      <c r="N38" s="11">
        <v>-2691.66</v>
      </c>
      <c r="O38" s="11">
        <v>-2503.0700000000002</v>
      </c>
      <c r="P38" s="11">
        <v>-9201.89</v>
      </c>
      <c r="Q38" s="11">
        <v>-3099.54</v>
      </c>
      <c r="R38" s="11">
        <v>-2973.11</v>
      </c>
      <c r="S38" s="11">
        <v>-3172.29</v>
      </c>
      <c r="T38" s="11">
        <v>-2617.83</v>
      </c>
      <c r="U38" s="11">
        <v>-10718.75</v>
      </c>
      <c r="V38" s="11">
        <v>-3292.35</v>
      </c>
      <c r="W38" s="11">
        <v>-2741.59</v>
      </c>
      <c r="X38" s="11">
        <v>-3845.4</v>
      </c>
      <c r="Y38" s="11">
        <v>-2729.06</v>
      </c>
      <c r="Z38" s="11">
        <v>-12409.16</v>
      </c>
      <c r="AA38" s="11">
        <v>-4001.8</v>
      </c>
      <c r="AB38" s="11">
        <v>-3993.92</v>
      </c>
      <c r="AC38" s="11">
        <v>-3127.95</v>
      </c>
      <c r="AD38" s="11">
        <v>-4010.51</v>
      </c>
      <c r="AE38" s="11">
        <v>-13736.08</v>
      </c>
    </row>
    <row r="39" spans="1:31" x14ac:dyDescent="0.25">
      <c r="A39" s="4" t="s">
        <v>75</v>
      </c>
      <c r="B39" s="10">
        <v>150.15</v>
      </c>
      <c r="C39" s="10">
        <v>287.47000000000003</v>
      </c>
      <c r="D39" s="11">
        <v>-21.72</v>
      </c>
      <c r="E39" s="11">
        <v>-29.38</v>
      </c>
      <c r="F39" s="10">
        <v>386.52</v>
      </c>
      <c r="G39" s="11">
        <v>-49.84</v>
      </c>
      <c r="H39" s="9" t="s">
        <v>66</v>
      </c>
      <c r="I39" s="9" t="s">
        <v>66</v>
      </c>
      <c r="J39" s="9" t="s">
        <v>66</v>
      </c>
      <c r="K39" s="11">
        <v>-70.680000000000007</v>
      </c>
      <c r="L39" s="9" t="s">
        <v>66</v>
      </c>
      <c r="M39" s="9" t="s">
        <v>66</v>
      </c>
      <c r="N39" s="9" t="s">
        <v>66</v>
      </c>
      <c r="O39" s="9" t="s">
        <v>66</v>
      </c>
      <c r="P39" s="9" t="s">
        <v>66</v>
      </c>
      <c r="Q39" s="9" t="s">
        <v>66</v>
      </c>
      <c r="R39" s="9" t="s">
        <v>66</v>
      </c>
      <c r="S39" s="9" t="s">
        <v>66</v>
      </c>
      <c r="T39" s="9" t="s">
        <v>66</v>
      </c>
      <c r="U39" s="9" t="s">
        <v>66</v>
      </c>
      <c r="V39" s="9" t="s">
        <v>66</v>
      </c>
      <c r="W39" s="9" t="s">
        <v>66</v>
      </c>
      <c r="X39" s="9" t="s">
        <v>66</v>
      </c>
      <c r="Y39" s="9" t="s">
        <v>66</v>
      </c>
      <c r="Z39" s="9" t="s">
        <v>66</v>
      </c>
      <c r="AA39" s="9" t="s">
        <v>66</v>
      </c>
      <c r="AB39" s="9" t="s">
        <v>66</v>
      </c>
      <c r="AC39" s="9" t="s">
        <v>66</v>
      </c>
      <c r="AD39" s="9" t="s">
        <v>66</v>
      </c>
      <c r="AE39" s="9" t="s">
        <v>66</v>
      </c>
    </row>
    <row r="40" spans="1:31" x14ac:dyDescent="0.25">
      <c r="A40" s="5" t="s">
        <v>76</v>
      </c>
      <c r="B40" s="11">
        <v>-603.30999999999995</v>
      </c>
      <c r="C40" s="10">
        <v>976.54</v>
      </c>
      <c r="D40" s="10">
        <v>1110.3</v>
      </c>
      <c r="E40" s="11">
        <v>-251.67</v>
      </c>
      <c r="F40" s="10">
        <v>1231.8599999999999</v>
      </c>
      <c r="G40" s="10">
        <v>3227.68</v>
      </c>
      <c r="H40" s="10">
        <v>354.6</v>
      </c>
      <c r="I40" s="10">
        <v>1117.6500000000001</v>
      </c>
      <c r="J40" s="10">
        <v>202.62</v>
      </c>
      <c r="K40" s="10">
        <v>4613.8</v>
      </c>
      <c r="L40" s="10">
        <v>1515.03</v>
      </c>
      <c r="M40" s="10">
        <v>1276.93</v>
      </c>
      <c r="N40" s="10">
        <v>1428.9</v>
      </c>
      <c r="O40" s="10">
        <v>1144.94</v>
      </c>
      <c r="P40" s="10">
        <v>5433.52</v>
      </c>
      <c r="Q40" s="10">
        <v>2012.66</v>
      </c>
      <c r="R40" s="10">
        <v>1501.39</v>
      </c>
      <c r="S40" s="10">
        <v>1844.86</v>
      </c>
      <c r="T40" s="10">
        <v>1775.06</v>
      </c>
      <c r="U40" s="10">
        <v>7048.89</v>
      </c>
      <c r="V40" s="10">
        <v>2721.31</v>
      </c>
      <c r="W40" s="10">
        <v>3083.03</v>
      </c>
      <c r="X40" s="10">
        <v>2156.1999999999998</v>
      </c>
      <c r="Y40" s="10">
        <v>2594.69</v>
      </c>
      <c r="Z40" s="10">
        <v>8870.2800000000007</v>
      </c>
      <c r="AA40" s="10">
        <v>3464.39</v>
      </c>
      <c r="AB40" s="10">
        <v>2969.18</v>
      </c>
      <c r="AC40" s="10">
        <v>3806.01</v>
      </c>
      <c r="AD40" s="10">
        <v>3471.69</v>
      </c>
      <c r="AE40" s="10">
        <v>11440.72</v>
      </c>
    </row>
    <row r="41" spans="1:31" x14ac:dyDescent="0.25">
      <c r="A41" s="5" t="s">
        <v>77</v>
      </c>
      <c r="B41" s="10">
        <v>7807.34</v>
      </c>
      <c r="C41" s="10">
        <v>7204.03</v>
      </c>
      <c r="D41" s="10">
        <v>8180.57</v>
      </c>
      <c r="E41" s="10">
        <v>9290.8700000000008</v>
      </c>
      <c r="F41" s="10">
        <v>7807.34</v>
      </c>
      <c r="G41" s="10">
        <v>9039.19</v>
      </c>
      <c r="H41" s="10">
        <v>12643.85</v>
      </c>
      <c r="I41" s="10">
        <v>13012.95</v>
      </c>
      <c r="J41" s="10">
        <v>14130.6</v>
      </c>
      <c r="K41" s="10">
        <v>9561.18</v>
      </c>
      <c r="L41" s="10">
        <v>14110.73</v>
      </c>
      <c r="M41" s="10">
        <v>15625.75</v>
      </c>
      <c r="N41" s="10">
        <v>16902.689999999999</v>
      </c>
      <c r="O41" s="10">
        <v>18331.59</v>
      </c>
      <c r="P41" s="10">
        <v>14418.7</v>
      </c>
      <c r="Q41" s="10">
        <v>16820.03</v>
      </c>
      <c r="R41" s="10">
        <v>18832.7</v>
      </c>
      <c r="S41" s="10">
        <v>20334.09</v>
      </c>
      <c r="T41" s="10">
        <v>22178.95</v>
      </c>
      <c r="U41" s="10">
        <v>19038.060000000001</v>
      </c>
      <c r="V41" s="10">
        <v>23821.01</v>
      </c>
      <c r="W41" s="10">
        <v>26542.33</v>
      </c>
      <c r="X41" s="10">
        <v>29625.360000000001</v>
      </c>
      <c r="Y41" s="10">
        <v>31781.56</v>
      </c>
      <c r="Z41" s="10">
        <v>25403.03</v>
      </c>
      <c r="AA41" s="10">
        <v>34868.14</v>
      </c>
      <c r="AB41" s="10">
        <v>38332.53</v>
      </c>
      <c r="AC41" s="10">
        <v>41301.71</v>
      </c>
      <c r="AD41" s="10">
        <v>45107.72</v>
      </c>
      <c r="AE41" s="10">
        <v>34464.92</v>
      </c>
    </row>
    <row r="42" spans="1:31" x14ac:dyDescent="0.25">
      <c r="A42" s="5" t="s">
        <v>78</v>
      </c>
      <c r="B42" s="10">
        <v>7204.03</v>
      </c>
      <c r="C42" s="10">
        <v>8180.57</v>
      </c>
      <c r="D42" s="10">
        <v>9290.8700000000008</v>
      </c>
      <c r="E42" s="10">
        <v>9039.19</v>
      </c>
      <c r="F42" s="10">
        <v>9039.19</v>
      </c>
      <c r="G42" s="10">
        <v>12266.87</v>
      </c>
      <c r="H42" s="10">
        <v>13012.95</v>
      </c>
      <c r="I42" s="10">
        <v>14130.6</v>
      </c>
      <c r="J42" s="10">
        <v>14333.22</v>
      </c>
      <c r="K42" s="10">
        <v>14165.66</v>
      </c>
      <c r="L42" s="10">
        <v>15625.75</v>
      </c>
      <c r="M42" s="10">
        <v>16902.689999999999</v>
      </c>
      <c r="N42" s="10">
        <v>18331.59</v>
      </c>
      <c r="O42" s="10">
        <v>19476.53</v>
      </c>
      <c r="P42" s="10">
        <v>19598.91</v>
      </c>
      <c r="Q42" s="10">
        <v>18832.7</v>
      </c>
      <c r="R42" s="10">
        <v>20334.09</v>
      </c>
      <c r="S42" s="10">
        <v>22178.95</v>
      </c>
      <c r="T42" s="10">
        <v>23954.01</v>
      </c>
      <c r="U42" s="10">
        <v>26086.959999999999</v>
      </c>
      <c r="V42" s="10">
        <v>26542.33</v>
      </c>
      <c r="W42" s="10">
        <v>29625.360000000001</v>
      </c>
      <c r="X42" s="10">
        <v>31781.56</v>
      </c>
      <c r="Y42" s="10">
        <v>34376.25</v>
      </c>
      <c r="Z42" s="10">
        <v>34273.31</v>
      </c>
      <c r="AA42" s="10">
        <v>38332.53</v>
      </c>
      <c r="AB42" s="10">
        <v>41301.71</v>
      </c>
      <c r="AC42" s="10">
        <v>45107.72</v>
      </c>
      <c r="AD42" s="10">
        <v>48579.42</v>
      </c>
      <c r="AE42" s="10">
        <v>45333.599999999999</v>
      </c>
    </row>
    <row r="43" spans="1:31" x14ac:dyDescent="0.25">
      <c r="A43" s="5" t="s">
        <v>79</v>
      </c>
      <c r="B43" s="10">
        <v>2660.92</v>
      </c>
      <c r="C43" s="10">
        <v>2267.37</v>
      </c>
      <c r="D43" s="10">
        <v>2660.45</v>
      </c>
      <c r="E43" s="10">
        <v>1872.31</v>
      </c>
      <c r="F43" s="10">
        <v>9461.0499999999993</v>
      </c>
      <c r="G43" s="10">
        <v>5094.07</v>
      </c>
      <c r="H43" s="10">
        <v>2450.9899999999998</v>
      </c>
      <c r="I43" s="10">
        <v>3081.67</v>
      </c>
      <c r="J43" s="10">
        <v>2407.5</v>
      </c>
      <c r="K43" s="10">
        <v>12989.67</v>
      </c>
      <c r="L43" s="10">
        <v>3962.16</v>
      </c>
      <c r="M43" s="10">
        <v>3561.08</v>
      </c>
      <c r="N43" s="10">
        <v>3862.97</v>
      </c>
      <c r="O43" s="10">
        <v>3387.09</v>
      </c>
      <c r="P43" s="10">
        <v>14795.81</v>
      </c>
      <c r="Q43" s="10">
        <v>4780.8</v>
      </c>
      <c r="R43" s="10">
        <v>4452.7700000000004</v>
      </c>
      <c r="S43" s="10">
        <v>4702.68</v>
      </c>
      <c r="T43" s="10">
        <v>4161.72</v>
      </c>
      <c r="U43" s="10">
        <v>17420.22</v>
      </c>
      <c r="V43" s="10">
        <v>5647.85</v>
      </c>
      <c r="W43" s="10">
        <v>5520</v>
      </c>
      <c r="X43" s="10">
        <v>5574.33</v>
      </c>
      <c r="Y43" s="10">
        <v>5323.75</v>
      </c>
      <c r="Z43" s="10">
        <v>20596.32</v>
      </c>
      <c r="AA43" s="10">
        <v>6465.74</v>
      </c>
      <c r="AB43" s="10">
        <v>6463.86</v>
      </c>
      <c r="AC43" s="10">
        <v>6542.97</v>
      </c>
      <c r="AD43" s="10">
        <v>6479.58</v>
      </c>
      <c r="AE43" s="10">
        <v>23826.74</v>
      </c>
    </row>
  </sheetData>
  <mergeCells count="1">
    <mergeCell ref="A1:D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B66FF-2462-A24D-A47E-AE467C73371B}">
  <dimension ref="A1:AE42"/>
  <sheetViews>
    <sheetView topLeftCell="A2" workbookViewId="0">
      <selection activeCell="A15" sqref="A15"/>
    </sheetView>
  </sheetViews>
  <sheetFormatPr defaultColWidth="11.42578125" defaultRowHeight="15" x14ac:dyDescent="0.25"/>
  <sheetData>
    <row r="1" spans="1:31" x14ac:dyDescent="0.25">
      <c r="A1" s="14" t="s">
        <v>81</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x14ac:dyDescent="0.25">
      <c r="A2" t="s">
        <v>0</v>
      </c>
    </row>
    <row r="4" spans="1:31" x14ac:dyDescent="0.25">
      <c r="A4" s="14" t="s">
        <v>1</v>
      </c>
    </row>
    <row r="6" spans="1:31" x14ac:dyDescent="0.25">
      <c r="A6" t="s">
        <v>2</v>
      </c>
    </row>
    <row r="7" spans="1:31" x14ac:dyDescent="0.25">
      <c r="A7" t="s">
        <v>3</v>
      </c>
    </row>
    <row r="8" spans="1:31" x14ac:dyDescent="0.25">
      <c r="A8" t="s">
        <v>4</v>
      </c>
    </row>
    <row r="9" spans="1:31" x14ac:dyDescent="0.25">
      <c r="A9" t="s">
        <v>5</v>
      </c>
    </row>
    <row r="10" spans="1:31" x14ac:dyDescent="0.25">
      <c r="A10" t="s">
        <v>6</v>
      </c>
    </row>
    <row r="12" spans="1:31" x14ac:dyDescent="0.25">
      <c r="A12" s="14" t="s">
        <v>7</v>
      </c>
      <c r="B12" s="14" t="s">
        <v>8</v>
      </c>
      <c r="C12" s="14" t="s">
        <v>9</v>
      </c>
      <c r="D12" s="14" t="s">
        <v>10</v>
      </c>
      <c r="E12" s="14" t="s">
        <v>11</v>
      </c>
      <c r="F12" s="14" t="s">
        <v>12</v>
      </c>
      <c r="G12" s="14" t="s">
        <v>13</v>
      </c>
      <c r="H12" s="14" t="s">
        <v>14</v>
      </c>
      <c r="I12" s="14" t="s">
        <v>15</v>
      </c>
      <c r="J12" s="14" t="s">
        <v>16</v>
      </c>
      <c r="K12" s="14" t="s">
        <v>17</v>
      </c>
      <c r="L12" s="14" t="s">
        <v>18</v>
      </c>
      <c r="M12" s="14" t="s">
        <v>19</v>
      </c>
      <c r="N12" s="14" t="s">
        <v>20</v>
      </c>
      <c r="O12" s="14" t="s">
        <v>21</v>
      </c>
      <c r="P12" s="14" t="s">
        <v>22</v>
      </c>
      <c r="Q12" s="14" t="s">
        <v>23</v>
      </c>
      <c r="R12" s="14" t="s">
        <v>24</v>
      </c>
      <c r="S12" s="14" t="s">
        <v>25</v>
      </c>
      <c r="T12" s="14" t="s">
        <v>26</v>
      </c>
      <c r="U12" s="14" t="s">
        <v>27</v>
      </c>
      <c r="V12" s="14" t="s">
        <v>28</v>
      </c>
      <c r="W12" s="14" t="s">
        <v>29</v>
      </c>
      <c r="X12" s="14" t="s">
        <v>30</v>
      </c>
      <c r="Y12" s="14" t="s">
        <v>31</v>
      </c>
      <c r="Z12" s="14" t="s">
        <v>32</v>
      </c>
      <c r="AA12" s="14" t="s">
        <v>33</v>
      </c>
      <c r="AB12" s="14" t="s">
        <v>34</v>
      </c>
      <c r="AC12" s="14" t="s">
        <v>35</v>
      </c>
      <c r="AD12" s="14" t="s">
        <v>36</v>
      </c>
      <c r="AE12" s="14" t="s">
        <v>37</v>
      </c>
    </row>
    <row r="13" spans="1:31" x14ac:dyDescent="0.25">
      <c r="A13" s="14" t="s">
        <v>38</v>
      </c>
      <c r="B13" s="12">
        <v>38</v>
      </c>
      <c r="C13" s="12">
        <v>38</v>
      </c>
      <c r="D13" s="12">
        <v>37</v>
      </c>
      <c r="E13" s="12">
        <v>37</v>
      </c>
      <c r="F13" s="12">
        <v>39</v>
      </c>
      <c r="G13" s="12">
        <v>36</v>
      </c>
      <c r="H13" t="s">
        <v>39</v>
      </c>
      <c r="I13" t="s">
        <v>40</v>
      </c>
      <c r="J13" t="s">
        <v>40</v>
      </c>
      <c r="K13" t="s">
        <v>41</v>
      </c>
      <c r="L13" t="s">
        <v>42</v>
      </c>
      <c r="M13" t="s">
        <v>42</v>
      </c>
      <c r="N13" t="s">
        <v>42</v>
      </c>
      <c r="O13" t="s">
        <v>42</v>
      </c>
      <c r="P13" t="s">
        <v>43</v>
      </c>
      <c r="Q13" t="s">
        <v>44</v>
      </c>
      <c r="R13" t="s">
        <v>44</v>
      </c>
      <c r="S13" t="s">
        <v>44</v>
      </c>
      <c r="T13" t="s">
        <v>44</v>
      </c>
      <c r="U13" t="s">
        <v>45</v>
      </c>
      <c r="V13" t="s">
        <v>46</v>
      </c>
      <c r="W13" t="s">
        <v>46</v>
      </c>
      <c r="X13" t="s">
        <v>46</v>
      </c>
      <c r="Y13" t="s">
        <v>46</v>
      </c>
      <c r="Z13" t="s">
        <v>47</v>
      </c>
      <c r="AA13" t="s">
        <v>48</v>
      </c>
      <c r="AB13" t="s">
        <v>48</v>
      </c>
      <c r="AC13" t="s">
        <v>48</v>
      </c>
      <c r="AD13" t="s">
        <v>48</v>
      </c>
      <c r="AE13" t="s">
        <v>49</v>
      </c>
    </row>
    <row r="14" spans="1:31" x14ac:dyDescent="0.25">
      <c r="A14" s="14" t="s">
        <v>82</v>
      </c>
    </row>
    <row r="15" spans="1:31" x14ac:dyDescent="0.25">
      <c r="A15" t="s">
        <v>83</v>
      </c>
      <c r="B15" s="13">
        <v>4617.1000000000004</v>
      </c>
      <c r="C15" s="13">
        <v>4929</v>
      </c>
      <c r="D15" s="13">
        <v>5071.78</v>
      </c>
      <c r="E15" s="13">
        <v>5339.27</v>
      </c>
      <c r="F15" s="13">
        <v>19957.150000000001</v>
      </c>
      <c r="G15" s="13">
        <v>5245.3</v>
      </c>
      <c r="H15" s="13">
        <v>5522.9</v>
      </c>
      <c r="I15" s="13">
        <v>5694.52</v>
      </c>
      <c r="J15" s="13">
        <v>5964.08</v>
      </c>
      <c r="K15" s="13">
        <v>22388.21</v>
      </c>
      <c r="L15" s="13">
        <v>5862.28</v>
      </c>
      <c r="M15" s="13">
        <v>6115.19</v>
      </c>
      <c r="N15" s="13">
        <v>6316.58</v>
      </c>
      <c r="O15" s="13">
        <v>6599.95</v>
      </c>
      <c r="P15" s="13">
        <v>24627</v>
      </c>
      <c r="Q15" s="13">
        <v>6475.19</v>
      </c>
      <c r="R15" s="13">
        <v>6759.07</v>
      </c>
      <c r="S15" s="13">
        <v>6981.91</v>
      </c>
      <c r="T15" s="13">
        <v>7301.69</v>
      </c>
      <c r="U15" s="13">
        <v>26925.5</v>
      </c>
      <c r="V15" s="13">
        <v>7095.19</v>
      </c>
      <c r="W15" s="13">
        <v>7419.64</v>
      </c>
      <c r="X15" s="13">
        <v>7681.98</v>
      </c>
      <c r="Y15" s="13">
        <v>8061.26</v>
      </c>
      <c r="Z15" s="13">
        <v>29282.83</v>
      </c>
      <c r="AA15" s="13">
        <v>7787.47</v>
      </c>
      <c r="AB15" s="13">
        <v>8144.42</v>
      </c>
      <c r="AC15" s="13">
        <v>8462.14</v>
      </c>
      <c r="AD15" s="13">
        <v>8815.92</v>
      </c>
      <c r="AE15" s="13">
        <v>31654.53</v>
      </c>
    </row>
    <row r="16" spans="1:31" x14ac:dyDescent="0.25">
      <c r="A16" t="s">
        <v>84</v>
      </c>
      <c r="B16" s="13">
        <v>3404.68</v>
      </c>
      <c r="C16" s="13">
        <v>3538.18</v>
      </c>
      <c r="D16" s="13">
        <v>3699.05</v>
      </c>
      <c r="E16" s="13">
        <v>3872.74</v>
      </c>
      <c r="F16" s="13">
        <v>14514.65</v>
      </c>
      <c r="G16" s="13">
        <v>3998.42</v>
      </c>
      <c r="H16" s="13">
        <v>4014.96</v>
      </c>
      <c r="I16" s="13">
        <v>4152.32</v>
      </c>
      <c r="J16" s="13">
        <v>4321.92</v>
      </c>
      <c r="K16" s="13">
        <v>16451.97</v>
      </c>
      <c r="L16" s="13">
        <v>4477.92</v>
      </c>
      <c r="M16" s="13">
        <v>4486.21</v>
      </c>
      <c r="N16" s="13">
        <v>4630.99</v>
      </c>
      <c r="O16" s="13">
        <v>4830.21</v>
      </c>
      <c r="P16" s="13">
        <v>18341.25</v>
      </c>
      <c r="Q16" s="13">
        <v>4969.41</v>
      </c>
      <c r="R16" s="13">
        <v>4974.41</v>
      </c>
      <c r="S16" s="13">
        <v>5102.8999999999996</v>
      </c>
      <c r="T16" s="13">
        <v>5326.33</v>
      </c>
      <c r="U16" s="13">
        <v>20192.07</v>
      </c>
      <c r="V16" s="13">
        <v>5561.05</v>
      </c>
      <c r="W16" s="13">
        <v>5539.03</v>
      </c>
      <c r="X16" s="13">
        <v>5687.46</v>
      </c>
      <c r="Y16" s="13">
        <v>5937.46</v>
      </c>
      <c r="Z16" s="13">
        <v>22141.57</v>
      </c>
      <c r="AA16" s="13">
        <v>5988.03</v>
      </c>
      <c r="AB16" s="13">
        <v>5984.12</v>
      </c>
      <c r="AC16" s="13">
        <v>6123.34</v>
      </c>
      <c r="AD16" s="13">
        <v>6395.2</v>
      </c>
      <c r="AE16" s="13">
        <v>23864.23</v>
      </c>
    </row>
    <row r="17" spans="1:31" x14ac:dyDescent="0.25">
      <c r="A17" t="s">
        <v>85</v>
      </c>
      <c r="B17" s="13">
        <v>1261.93</v>
      </c>
      <c r="C17" s="13">
        <v>1306.73</v>
      </c>
      <c r="D17" s="13">
        <v>1370.91</v>
      </c>
      <c r="E17" s="13">
        <v>1417.94</v>
      </c>
      <c r="F17" s="13">
        <v>5357.52</v>
      </c>
      <c r="G17" s="13">
        <v>1497.06</v>
      </c>
      <c r="H17" s="13">
        <v>1504.65</v>
      </c>
      <c r="I17" s="13">
        <v>1568.41</v>
      </c>
      <c r="J17" s="13">
        <v>1612.19</v>
      </c>
      <c r="K17" s="13">
        <v>6175.17</v>
      </c>
      <c r="L17" s="13">
        <v>1673.99</v>
      </c>
      <c r="M17" s="13">
        <v>1677.62</v>
      </c>
      <c r="N17" s="13">
        <v>1746.9</v>
      </c>
      <c r="O17" s="13">
        <v>1800.15</v>
      </c>
      <c r="P17" s="13">
        <v>6892.44</v>
      </c>
      <c r="Q17" s="13">
        <v>1866.17</v>
      </c>
      <c r="R17" s="13">
        <v>1876.09</v>
      </c>
      <c r="S17" s="13">
        <v>1957.03</v>
      </c>
      <c r="T17" s="13">
        <v>2010.98</v>
      </c>
      <c r="U17" s="13">
        <v>7662.52</v>
      </c>
      <c r="V17" s="13">
        <v>2064.77</v>
      </c>
      <c r="W17" s="13">
        <v>2068.5</v>
      </c>
      <c r="X17" s="13">
        <v>2169.9299999999998</v>
      </c>
      <c r="Y17" s="13">
        <v>2230.1</v>
      </c>
      <c r="Z17" s="13">
        <v>8442.5</v>
      </c>
      <c r="AA17" s="13">
        <v>2290.0300000000002</v>
      </c>
      <c r="AB17" s="13">
        <v>2307.11</v>
      </c>
      <c r="AC17" s="13">
        <v>2400.4299999999998</v>
      </c>
      <c r="AD17" s="13">
        <v>2462.9899999999998</v>
      </c>
      <c r="AE17" s="13">
        <v>9277.16</v>
      </c>
    </row>
    <row r="18" spans="1:31" x14ac:dyDescent="0.25">
      <c r="A18" t="s">
        <v>86</v>
      </c>
      <c r="B18" s="13">
        <v>1259.0899999999999</v>
      </c>
      <c r="C18" s="13">
        <v>1305.25</v>
      </c>
      <c r="D18" s="13">
        <v>1368.56</v>
      </c>
      <c r="E18" s="13">
        <v>1420.81</v>
      </c>
      <c r="F18" s="13">
        <v>5353.72</v>
      </c>
      <c r="G18" s="13">
        <v>1508.98</v>
      </c>
      <c r="H18" s="13">
        <v>1522.16</v>
      </c>
      <c r="I18" s="13">
        <v>1579.58</v>
      </c>
      <c r="J18" s="13">
        <v>1646.62</v>
      </c>
      <c r="K18" s="13">
        <v>6261.1</v>
      </c>
      <c r="L18" s="13">
        <v>1741.14</v>
      </c>
      <c r="M18" s="13">
        <v>1756.89</v>
      </c>
      <c r="N18" s="13">
        <v>1827.11</v>
      </c>
      <c r="O18" s="13">
        <v>1903.25</v>
      </c>
      <c r="P18" s="13">
        <v>7196.04</v>
      </c>
      <c r="Q18" s="13">
        <v>1974.9</v>
      </c>
      <c r="R18" s="13">
        <v>1982.4</v>
      </c>
      <c r="S18" s="13">
        <v>2059.27</v>
      </c>
      <c r="T18" s="13">
        <v>2142.67</v>
      </c>
      <c r="U18" s="13">
        <v>8145.13</v>
      </c>
      <c r="V18" s="13">
        <v>2226.7199999999998</v>
      </c>
      <c r="W18" s="13">
        <v>2226.79</v>
      </c>
      <c r="X18" s="13">
        <v>2318.83</v>
      </c>
      <c r="Y18" s="13">
        <v>2406.5700000000002</v>
      </c>
      <c r="Z18" s="13">
        <v>9055.3700000000008</v>
      </c>
      <c r="AA18" s="13">
        <v>2476.65</v>
      </c>
      <c r="AB18" s="13">
        <v>2468.66</v>
      </c>
      <c r="AC18" s="13">
        <v>2567.4699999999998</v>
      </c>
      <c r="AD18" s="13">
        <v>2657.65</v>
      </c>
      <c r="AE18" s="13">
        <v>9971.83</v>
      </c>
    </row>
    <row r="19" spans="1:31" x14ac:dyDescent="0.25">
      <c r="A19" s="14" t="s">
        <v>87</v>
      </c>
      <c r="B19" s="13">
        <v>10542.8</v>
      </c>
      <c r="C19" s="13">
        <v>11079.17</v>
      </c>
      <c r="D19" s="13">
        <v>11510.31</v>
      </c>
      <c r="E19" s="13">
        <v>12050.76</v>
      </c>
      <c r="F19" s="13">
        <v>45183.040000000001</v>
      </c>
      <c r="G19" s="13">
        <v>12249.76</v>
      </c>
      <c r="H19" s="13">
        <v>12563.07</v>
      </c>
      <c r="I19" s="13">
        <v>12984.49</v>
      </c>
      <c r="J19" s="13">
        <v>13537.05</v>
      </c>
      <c r="K19" s="13">
        <v>51251.1</v>
      </c>
      <c r="L19" s="13">
        <v>13745.89</v>
      </c>
      <c r="M19" s="13">
        <v>14023.53</v>
      </c>
      <c r="N19" s="13">
        <v>14498.18</v>
      </c>
      <c r="O19" s="13">
        <v>15109.21</v>
      </c>
      <c r="P19" s="13">
        <v>57018.92</v>
      </c>
      <c r="Q19" s="13">
        <v>15243.47</v>
      </c>
      <c r="R19" s="13">
        <v>15543.73</v>
      </c>
      <c r="S19" s="13">
        <v>16032.24</v>
      </c>
      <c r="T19" s="13">
        <v>16706.84</v>
      </c>
      <c r="U19" s="13">
        <v>62774.15</v>
      </c>
      <c r="V19" s="13">
        <v>17097.240000000002</v>
      </c>
      <c r="W19" s="13">
        <v>17358.66</v>
      </c>
      <c r="X19" s="13">
        <v>17926.62</v>
      </c>
      <c r="Y19" s="13">
        <v>18659.89</v>
      </c>
      <c r="Z19" s="13">
        <v>68898.8</v>
      </c>
      <c r="AA19" s="13">
        <v>18734.82</v>
      </c>
      <c r="AB19" s="13">
        <v>19034.41</v>
      </c>
      <c r="AC19" s="13">
        <v>19612.740000000002</v>
      </c>
      <c r="AD19" s="13">
        <v>20276.93</v>
      </c>
      <c r="AE19" s="13">
        <v>74593.210000000006</v>
      </c>
    </row>
    <row r="20" spans="1:31" x14ac:dyDescent="0.25">
      <c r="A20" t="s">
        <v>88</v>
      </c>
      <c r="B20" t="s">
        <v>66</v>
      </c>
      <c r="C20" t="s">
        <v>66</v>
      </c>
      <c r="D20" t="s">
        <v>66</v>
      </c>
      <c r="E20" t="s">
        <v>66</v>
      </c>
      <c r="F20" t="s">
        <v>66</v>
      </c>
      <c r="G20" t="s">
        <v>66</v>
      </c>
      <c r="H20" t="s">
        <v>66</v>
      </c>
      <c r="I20" t="s">
        <v>66</v>
      </c>
      <c r="J20" t="s">
        <v>66</v>
      </c>
      <c r="K20" t="s">
        <v>66</v>
      </c>
      <c r="L20" t="s">
        <v>66</v>
      </c>
      <c r="M20" t="s">
        <v>66</v>
      </c>
      <c r="N20" t="s">
        <v>66</v>
      </c>
      <c r="O20" t="s">
        <v>66</v>
      </c>
      <c r="P20" t="s">
        <v>66</v>
      </c>
      <c r="Q20" t="s">
        <v>66</v>
      </c>
      <c r="R20" t="s">
        <v>66</v>
      </c>
      <c r="S20" t="s">
        <v>66</v>
      </c>
      <c r="T20" t="s">
        <v>66</v>
      </c>
      <c r="U20" t="s">
        <v>66</v>
      </c>
      <c r="V20" t="s">
        <v>66</v>
      </c>
      <c r="W20" t="s">
        <v>66</v>
      </c>
      <c r="X20" t="s">
        <v>66</v>
      </c>
      <c r="Y20" t="s">
        <v>66</v>
      </c>
      <c r="Z20" t="s">
        <v>66</v>
      </c>
      <c r="AA20" t="s">
        <v>66</v>
      </c>
      <c r="AB20" t="s">
        <v>66</v>
      </c>
      <c r="AC20" t="s">
        <v>66</v>
      </c>
      <c r="AD20" t="s">
        <v>66</v>
      </c>
      <c r="AE20" t="s">
        <v>66</v>
      </c>
    </row>
    <row r="21" spans="1:31" x14ac:dyDescent="0.25">
      <c r="A21" s="14" t="s">
        <v>89</v>
      </c>
      <c r="B21" s="13">
        <v>10542.8</v>
      </c>
      <c r="C21" s="13">
        <v>11079.17</v>
      </c>
      <c r="D21" s="13">
        <v>11510.31</v>
      </c>
      <c r="E21" s="13">
        <v>12050.76</v>
      </c>
      <c r="F21" s="13">
        <v>45183.040000000001</v>
      </c>
      <c r="G21" s="13">
        <v>12249.76</v>
      </c>
      <c r="H21" s="13">
        <v>12574.71</v>
      </c>
      <c r="I21" s="13">
        <v>13012.99</v>
      </c>
      <c r="J21" s="13">
        <v>13566.97</v>
      </c>
      <c r="K21" s="13">
        <v>51327.91</v>
      </c>
      <c r="L21" s="13">
        <v>13802.84</v>
      </c>
      <c r="M21" s="13">
        <v>14094.47</v>
      </c>
      <c r="N21" s="13">
        <v>14588.28</v>
      </c>
      <c r="O21" s="13">
        <v>15180.57</v>
      </c>
      <c r="P21" s="13">
        <v>57249.29</v>
      </c>
      <c r="Q21" s="13">
        <v>15339.32</v>
      </c>
      <c r="R21" s="13">
        <v>15632.33</v>
      </c>
      <c r="S21" s="13">
        <v>16151.29</v>
      </c>
      <c r="T21" s="13">
        <v>16839.62</v>
      </c>
      <c r="U21" s="13">
        <v>63122.51</v>
      </c>
      <c r="V21" s="13">
        <v>16947.740000000002</v>
      </c>
      <c r="W21" s="13">
        <v>17253.96</v>
      </c>
      <c r="X21" s="13">
        <v>17858.2</v>
      </c>
      <c r="Y21" s="13">
        <v>18635.39</v>
      </c>
      <c r="Z21" s="13">
        <v>69141.19</v>
      </c>
      <c r="AA21" s="13">
        <v>18542.169999999998</v>
      </c>
      <c r="AB21" s="13">
        <v>18904.310000000001</v>
      </c>
      <c r="AC21" s="13">
        <v>19553.38</v>
      </c>
      <c r="AD21" s="13">
        <v>20331.759999999998</v>
      </c>
      <c r="AE21" s="13">
        <v>75079.31</v>
      </c>
    </row>
    <row r="22" spans="1:31" x14ac:dyDescent="0.25">
      <c r="A22" s="14" t="s">
        <v>90</v>
      </c>
    </row>
    <row r="23" spans="1:31" x14ac:dyDescent="0.25">
      <c r="A23" s="14" t="s">
        <v>91</v>
      </c>
    </row>
    <row r="24" spans="1:31" x14ac:dyDescent="0.25">
      <c r="A24" s="14" t="s">
        <v>92</v>
      </c>
      <c r="B24" s="13">
        <v>5263.15</v>
      </c>
      <c r="C24" s="13">
        <v>5325.31</v>
      </c>
      <c r="D24" s="13">
        <v>6164.25</v>
      </c>
      <c r="E24" s="13">
        <v>6522.62</v>
      </c>
      <c r="F24" s="13">
        <v>23275.33</v>
      </c>
      <c r="G24" s="13">
        <v>5888.24</v>
      </c>
      <c r="H24" s="13">
        <v>6135.42</v>
      </c>
      <c r="I24" s="13">
        <v>6176.98</v>
      </c>
      <c r="J24" s="13">
        <v>6882.21</v>
      </c>
      <c r="K24" s="13">
        <v>25082.85</v>
      </c>
      <c r="L24" s="13">
        <v>6401.62</v>
      </c>
      <c r="M24" s="13">
        <v>6585.71</v>
      </c>
      <c r="N24" s="13">
        <v>6643.94</v>
      </c>
      <c r="O24" s="13">
        <v>7554.67</v>
      </c>
      <c r="P24" s="13">
        <v>26936.68</v>
      </c>
      <c r="Q24" t="s">
        <v>66</v>
      </c>
      <c r="R24" t="s">
        <v>66</v>
      </c>
      <c r="S24" t="s">
        <v>66</v>
      </c>
      <c r="T24" t="s">
        <v>66</v>
      </c>
      <c r="U24" s="13">
        <v>28661.99</v>
      </c>
      <c r="V24" t="s">
        <v>66</v>
      </c>
      <c r="W24" t="s">
        <v>66</v>
      </c>
      <c r="X24" t="s">
        <v>66</v>
      </c>
      <c r="Y24" t="s">
        <v>66</v>
      </c>
      <c r="Z24" s="13">
        <v>29986.41</v>
      </c>
      <c r="AA24" t="s">
        <v>66</v>
      </c>
      <c r="AB24" t="s">
        <v>66</v>
      </c>
      <c r="AC24" t="s">
        <v>66</v>
      </c>
      <c r="AD24" t="s">
        <v>66</v>
      </c>
      <c r="AE24" s="13">
        <v>31502.9</v>
      </c>
    </row>
    <row r="25" spans="1:31" x14ac:dyDescent="0.25">
      <c r="A25" s="14" t="s">
        <v>93</v>
      </c>
      <c r="B25" t="s">
        <v>66</v>
      </c>
      <c r="C25" t="s">
        <v>66</v>
      </c>
      <c r="D25" t="s">
        <v>66</v>
      </c>
      <c r="E25" t="s">
        <v>66</v>
      </c>
      <c r="F25" t="s">
        <v>66</v>
      </c>
      <c r="G25" t="s">
        <v>66</v>
      </c>
      <c r="H25" t="s">
        <v>66</v>
      </c>
      <c r="I25" t="s">
        <v>66</v>
      </c>
      <c r="J25" t="s">
        <v>66</v>
      </c>
      <c r="K25" t="s">
        <v>66</v>
      </c>
      <c r="L25" t="s">
        <v>66</v>
      </c>
      <c r="M25" t="s">
        <v>66</v>
      </c>
      <c r="N25" t="s">
        <v>66</v>
      </c>
      <c r="O25" t="s">
        <v>66</v>
      </c>
      <c r="P25" t="s">
        <v>66</v>
      </c>
      <c r="Q25" t="s">
        <v>66</v>
      </c>
      <c r="R25" t="s">
        <v>66</v>
      </c>
      <c r="S25" t="s">
        <v>66</v>
      </c>
      <c r="T25" t="s">
        <v>66</v>
      </c>
      <c r="U25" t="s">
        <v>66</v>
      </c>
      <c r="V25" t="s">
        <v>66</v>
      </c>
      <c r="W25" t="s">
        <v>66</v>
      </c>
      <c r="X25" t="s">
        <v>66</v>
      </c>
      <c r="Y25" t="s">
        <v>66</v>
      </c>
      <c r="Z25" t="s">
        <v>66</v>
      </c>
      <c r="AA25" t="s">
        <v>66</v>
      </c>
      <c r="AB25" t="s">
        <v>66</v>
      </c>
      <c r="AC25" t="s">
        <v>66</v>
      </c>
      <c r="AD25" t="s">
        <v>66</v>
      </c>
      <c r="AE25" t="s">
        <v>66</v>
      </c>
    </row>
    <row r="26" spans="1:31" x14ac:dyDescent="0.25">
      <c r="A26" s="14" t="s">
        <v>94</v>
      </c>
      <c r="B26" s="13">
        <v>5263.15</v>
      </c>
      <c r="C26" s="13">
        <v>5325.31</v>
      </c>
      <c r="D26" s="13">
        <v>6164.25</v>
      </c>
      <c r="E26" s="13">
        <v>6522.62</v>
      </c>
      <c r="F26" s="13">
        <v>23275.33</v>
      </c>
      <c r="G26" s="13">
        <v>5888.24</v>
      </c>
      <c r="H26" s="13">
        <v>6129.48</v>
      </c>
      <c r="I26" s="13">
        <v>6270.17</v>
      </c>
      <c r="J26" s="13">
        <v>6994.44</v>
      </c>
      <c r="K26" s="13">
        <v>25230.07</v>
      </c>
      <c r="L26" s="13">
        <v>6449.16</v>
      </c>
      <c r="M26" s="13">
        <v>6637.36</v>
      </c>
      <c r="N26" s="13">
        <v>6839.76</v>
      </c>
      <c r="O26" s="13">
        <v>7605.23</v>
      </c>
      <c r="P26" s="13">
        <v>27305.55</v>
      </c>
      <c r="Q26" s="13">
        <v>6870.74</v>
      </c>
      <c r="R26" s="13">
        <v>7072.47</v>
      </c>
      <c r="S26" s="13">
        <v>7313.86</v>
      </c>
      <c r="T26" s="13">
        <v>8137.96</v>
      </c>
      <c r="U26" s="13">
        <v>29172.41</v>
      </c>
      <c r="V26" s="13">
        <v>7332.67</v>
      </c>
      <c r="W26" s="13">
        <v>7560.07</v>
      </c>
      <c r="X26" s="13">
        <v>7765.83</v>
      </c>
      <c r="Y26" s="13">
        <v>8685.24</v>
      </c>
      <c r="Z26" s="13">
        <v>30937.439999999999</v>
      </c>
      <c r="AA26" s="13">
        <v>7695.41</v>
      </c>
      <c r="AB26" s="13">
        <v>7939.29</v>
      </c>
      <c r="AC26" s="13">
        <v>8185.8</v>
      </c>
      <c r="AD26" s="13">
        <v>9112.98</v>
      </c>
      <c r="AE26" s="13">
        <v>32577.83</v>
      </c>
    </row>
    <row r="27" spans="1:31" x14ac:dyDescent="0.25">
      <c r="A27" s="14" t="s">
        <v>90</v>
      </c>
    </row>
    <row r="28" spans="1:31" x14ac:dyDescent="0.25">
      <c r="A28" s="14" t="s">
        <v>95</v>
      </c>
    </row>
    <row r="29" spans="1:31" x14ac:dyDescent="0.25">
      <c r="A29" s="14" t="s">
        <v>96</v>
      </c>
      <c r="B29" s="13">
        <v>5279.65</v>
      </c>
      <c r="C29" s="13">
        <v>5753.85</v>
      </c>
      <c r="D29" s="13">
        <v>5346.06</v>
      </c>
      <c r="E29" s="13">
        <v>5528.14</v>
      </c>
      <c r="F29" s="13">
        <v>21907.71</v>
      </c>
      <c r="G29" s="13">
        <v>6361.52</v>
      </c>
      <c r="H29" s="13">
        <v>6443.4</v>
      </c>
      <c r="I29" s="13">
        <v>6863.92</v>
      </c>
      <c r="J29" s="13">
        <v>6617.17</v>
      </c>
      <c r="K29" s="13">
        <v>26286.01</v>
      </c>
      <c r="L29" s="13">
        <v>7151.67</v>
      </c>
      <c r="M29" s="13">
        <v>7384.67</v>
      </c>
      <c r="N29" s="13">
        <v>7884.34</v>
      </c>
      <c r="O29" s="13">
        <v>7512.39</v>
      </c>
      <c r="P29" s="13">
        <v>29841.8</v>
      </c>
      <c r="Q29" t="s">
        <v>66</v>
      </c>
      <c r="R29" t="s">
        <v>66</v>
      </c>
      <c r="S29" t="s">
        <v>66</v>
      </c>
      <c r="T29" t="s">
        <v>66</v>
      </c>
      <c r="U29" s="13">
        <v>33730.15</v>
      </c>
      <c r="V29" t="s">
        <v>66</v>
      </c>
      <c r="W29" t="s">
        <v>66</v>
      </c>
      <c r="X29" t="s">
        <v>66</v>
      </c>
      <c r="Y29" t="s">
        <v>66</v>
      </c>
      <c r="Z29" s="13">
        <v>37536.65</v>
      </c>
      <c r="AA29" t="s">
        <v>66</v>
      </c>
      <c r="AB29" t="s">
        <v>66</v>
      </c>
      <c r="AC29" t="s">
        <v>66</v>
      </c>
      <c r="AD29" t="s">
        <v>66</v>
      </c>
      <c r="AE29" s="13">
        <v>41583.78</v>
      </c>
    </row>
    <row r="30" spans="1:31" x14ac:dyDescent="0.25">
      <c r="A30" s="14" t="s">
        <v>97</v>
      </c>
      <c r="B30" t="s">
        <v>66</v>
      </c>
      <c r="C30" t="s">
        <v>66</v>
      </c>
      <c r="D30" t="s">
        <v>66</v>
      </c>
      <c r="E30" t="s">
        <v>66</v>
      </c>
      <c r="F30" t="s">
        <v>66</v>
      </c>
      <c r="G30" t="s">
        <v>66</v>
      </c>
      <c r="H30" t="s">
        <v>66</v>
      </c>
      <c r="I30" t="s">
        <v>66</v>
      </c>
      <c r="J30" t="s">
        <v>66</v>
      </c>
      <c r="K30" t="s">
        <v>66</v>
      </c>
      <c r="L30" t="s">
        <v>66</v>
      </c>
      <c r="M30" t="s">
        <v>66</v>
      </c>
      <c r="N30" t="s">
        <v>66</v>
      </c>
      <c r="O30" t="s">
        <v>66</v>
      </c>
      <c r="P30" t="s">
        <v>66</v>
      </c>
      <c r="Q30" t="s">
        <v>66</v>
      </c>
      <c r="R30" t="s">
        <v>66</v>
      </c>
      <c r="S30" t="s">
        <v>66</v>
      </c>
      <c r="T30" t="s">
        <v>66</v>
      </c>
      <c r="U30" t="s">
        <v>66</v>
      </c>
      <c r="V30" t="s">
        <v>66</v>
      </c>
      <c r="W30" t="s">
        <v>66</v>
      </c>
      <c r="X30" t="s">
        <v>66</v>
      </c>
      <c r="Y30" t="s">
        <v>66</v>
      </c>
      <c r="Z30" t="s">
        <v>66</v>
      </c>
      <c r="AA30" t="s">
        <v>66</v>
      </c>
      <c r="AB30" t="s">
        <v>66</v>
      </c>
      <c r="AC30" t="s">
        <v>66</v>
      </c>
      <c r="AD30" t="s">
        <v>66</v>
      </c>
      <c r="AE30" t="s">
        <v>66</v>
      </c>
    </row>
    <row r="31" spans="1:31" x14ac:dyDescent="0.25">
      <c r="A31" s="14" t="s">
        <v>98</v>
      </c>
      <c r="B31" s="13">
        <v>5279.65</v>
      </c>
      <c r="C31" s="13">
        <v>5753.85</v>
      </c>
      <c r="D31" s="13">
        <v>5346.06</v>
      </c>
      <c r="E31" s="13">
        <v>5528.14</v>
      </c>
      <c r="F31" s="13">
        <v>21907.71</v>
      </c>
      <c r="G31" s="13">
        <v>6361.52</v>
      </c>
      <c r="H31" s="13">
        <v>6445.95</v>
      </c>
      <c r="I31" s="13">
        <v>6753.36</v>
      </c>
      <c r="J31" s="13">
        <v>6568.87</v>
      </c>
      <c r="K31" s="13">
        <v>26102.02</v>
      </c>
      <c r="L31" s="13">
        <v>7353.68</v>
      </c>
      <c r="M31" s="13">
        <v>7457.11</v>
      </c>
      <c r="N31" s="13">
        <v>7748.52</v>
      </c>
      <c r="O31" s="13">
        <v>7575.34</v>
      </c>
      <c r="P31" s="13">
        <v>29973.47</v>
      </c>
      <c r="Q31" s="13">
        <v>8468.58</v>
      </c>
      <c r="R31" s="13">
        <v>8559.8700000000008</v>
      </c>
      <c r="S31" s="13">
        <v>8837.43</v>
      </c>
      <c r="T31" s="13">
        <v>8701.66</v>
      </c>
      <c r="U31" s="13">
        <v>34043.96</v>
      </c>
      <c r="V31" s="13">
        <v>9615.06</v>
      </c>
      <c r="W31" s="13">
        <v>9693.89</v>
      </c>
      <c r="X31" s="13">
        <v>10092.36</v>
      </c>
      <c r="Y31" s="13">
        <v>9950.14</v>
      </c>
      <c r="Z31" s="13">
        <v>38398.82</v>
      </c>
      <c r="AA31" s="13">
        <v>10846.76</v>
      </c>
      <c r="AB31" s="13">
        <v>10965.02</v>
      </c>
      <c r="AC31" s="13">
        <v>11367.58</v>
      </c>
      <c r="AD31" s="13">
        <v>11218.78</v>
      </c>
      <c r="AE31" s="13">
        <v>42797.42</v>
      </c>
    </row>
    <row r="32" spans="1:31" x14ac:dyDescent="0.25">
      <c r="A32" s="14" t="s">
        <v>90</v>
      </c>
    </row>
    <row r="33" spans="1:31" x14ac:dyDescent="0.25">
      <c r="A33" s="14" t="s">
        <v>99</v>
      </c>
    </row>
    <row r="34" spans="1:31" x14ac:dyDescent="0.25">
      <c r="A34" s="14" t="s">
        <v>100</v>
      </c>
      <c r="B34" s="13">
        <v>4591.3500000000004</v>
      </c>
      <c r="C34" s="13">
        <v>5040.53</v>
      </c>
      <c r="D34" s="13">
        <v>4559.99</v>
      </c>
      <c r="E34" s="13">
        <v>4414.84</v>
      </c>
      <c r="F34" s="13">
        <v>18737.39</v>
      </c>
      <c r="G34" s="13">
        <v>5519.05</v>
      </c>
      <c r="H34" s="13">
        <v>5598.85</v>
      </c>
      <c r="I34" s="13">
        <v>5859.89</v>
      </c>
      <c r="J34" s="13">
        <v>5503.35</v>
      </c>
      <c r="K34" s="13">
        <v>22639.52</v>
      </c>
      <c r="L34" t="s">
        <v>66</v>
      </c>
      <c r="M34" t="s">
        <v>66</v>
      </c>
      <c r="N34" t="s">
        <v>66</v>
      </c>
      <c r="O34" t="s">
        <v>66</v>
      </c>
      <c r="P34" s="13">
        <v>25946.91</v>
      </c>
      <c r="Q34" t="s">
        <v>66</v>
      </c>
      <c r="R34" t="s">
        <v>66</v>
      </c>
      <c r="S34" t="s">
        <v>66</v>
      </c>
      <c r="T34" t="s">
        <v>66</v>
      </c>
      <c r="U34" s="13">
        <v>29358.39</v>
      </c>
      <c r="V34" t="s">
        <v>66</v>
      </c>
      <c r="W34" t="s">
        <v>66</v>
      </c>
      <c r="X34" t="s">
        <v>66</v>
      </c>
      <c r="Y34" t="s">
        <v>66</v>
      </c>
      <c r="Z34" s="13">
        <v>32845.980000000003</v>
      </c>
      <c r="AA34" t="s">
        <v>66</v>
      </c>
      <c r="AB34" t="s">
        <v>66</v>
      </c>
      <c r="AC34" t="s">
        <v>66</v>
      </c>
      <c r="AD34" t="s">
        <v>66</v>
      </c>
      <c r="AE34" s="13">
        <v>36313</v>
      </c>
    </row>
    <row r="35" spans="1:31" x14ac:dyDescent="0.25">
      <c r="A35" s="14" t="s">
        <v>101</v>
      </c>
      <c r="B35" t="s">
        <v>66</v>
      </c>
      <c r="C35" t="s">
        <v>66</v>
      </c>
      <c r="D35" t="s">
        <v>66</v>
      </c>
      <c r="E35" t="s">
        <v>66</v>
      </c>
      <c r="F35" t="s">
        <v>66</v>
      </c>
      <c r="G35" t="s">
        <v>66</v>
      </c>
      <c r="H35" t="s">
        <v>66</v>
      </c>
      <c r="I35" t="s">
        <v>66</v>
      </c>
      <c r="J35" t="s">
        <v>66</v>
      </c>
      <c r="K35" t="s">
        <v>66</v>
      </c>
      <c r="L35" t="s">
        <v>66</v>
      </c>
      <c r="M35" t="s">
        <v>66</v>
      </c>
      <c r="N35" t="s">
        <v>66</v>
      </c>
      <c r="O35" t="s">
        <v>66</v>
      </c>
      <c r="P35" t="s">
        <v>66</v>
      </c>
      <c r="Q35" t="s">
        <v>66</v>
      </c>
      <c r="R35" t="s">
        <v>66</v>
      </c>
      <c r="S35" t="s">
        <v>66</v>
      </c>
      <c r="T35" t="s">
        <v>66</v>
      </c>
      <c r="U35" t="s">
        <v>66</v>
      </c>
      <c r="V35" t="s">
        <v>66</v>
      </c>
      <c r="W35" t="s">
        <v>66</v>
      </c>
      <c r="X35" t="s">
        <v>66</v>
      </c>
      <c r="Y35" t="s">
        <v>66</v>
      </c>
      <c r="Z35" t="s">
        <v>66</v>
      </c>
      <c r="AA35" t="s">
        <v>66</v>
      </c>
      <c r="AB35" t="s">
        <v>66</v>
      </c>
      <c r="AC35" t="s">
        <v>66</v>
      </c>
      <c r="AD35" t="s">
        <v>66</v>
      </c>
      <c r="AE35" t="s">
        <v>66</v>
      </c>
    </row>
    <row r="36" spans="1:31" x14ac:dyDescent="0.25">
      <c r="A36" s="14" t="s">
        <v>102</v>
      </c>
      <c r="B36" s="13">
        <v>4591.28</v>
      </c>
      <c r="C36" s="13">
        <v>5040.59</v>
      </c>
      <c r="D36" s="13">
        <v>4559.76</v>
      </c>
      <c r="E36" s="13">
        <v>4414.7700000000004</v>
      </c>
      <c r="F36" s="13">
        <v>18606.400000000001</v>
      </c>
      <c r="G36" s="13">
        <v>5519.3</v>
      </c>
      <c r="H36" s="13">
        <v>5607.71</v>
      </c>
      <c r="I36" s="13">
        <v>5868.54</v>
      </c>
      <c r="J36" s="13">
        <v>5379.78</v>
      </c>
      <c r="K36" s="13">
        <v>22368.17</v>
      </c>
      <c r="L36" s="13">
        <v>6453.54</v>
      </c>
      <c r="M36" s="13">
        <v>6566.53</v>
      </c>
      <c r="N36" s="13">
        <v>6823.54</v>
      </c>
      <c r="O36" s="13">
        <v>6337.18</v>
      </c>
      <c r="P36" s="13">
        <v>26023.64</v>
      </c>
      <c r="Q36" s="13">
        <v>7511.14</v>
      </c>
      <c r="R36" s="13">
        <v>7623.14</v>
      </c>
      <c r="S36" s="13">
        <v>7868.18</v>
      </c>
      <c r="T36" s="13">
        <v>7394.32</v>
      </c>
      <c r="U36" s="13">
        <v>29841.52</v>
      </c>
      <c r="V36" s="13">
        <v>8619.02</v>
      </c>
      <c r="W36" s="13">
        <v>8732.1200000000008</v>
      </c>
      <c r="X36" s="13">
        <v>9091.48</v>
      </c>
      <c r="Y36" s="13">
        <v>8541.5300000000007</v>
      </c>
      <c r="Z36" s="13">
        <v>33923.67</v>
      </c>
      <c r="AA36" s="13">
        <v>9793.31</v>
      </c>
      <c r="AB36" s="13">
        <v>9952.0499999999993</v>
      </c>
      <c r="AC36" s="13">
        <v>10315.23</v>
      </c>
      <c r="AD36" s="13">
        <v>9748.32</v>
      </c>
      <c r="AE36" s="13">
        <v>38049.71</v>
      </c>
    </row>
    <row r="37" spans="1:31" x14ac:dyDescent="0.25">
      <c r="A37" s="14" t="s">
        <v>90</v>
      </c>
    </row>
    <row r="38" spans="1:31" x14ac:dyDescent="0.25">
      <c r="A38" s="14" t="s">
        <v>103</v>
      </c>
    </row>
    <row r="39" spans="1:31" x14ac:dyDescent="0.25">
      <c r="A39" t="s">
        <v>104</v>
      </c>
      <c r="B39">
        <v>0.50080000000000002</v>
      </c>
      <c r="C39">
        <v>0.51929999999999998</v>
      </c>
      <c r="D39">
        <v>0.46450000000000002</v>
      </c>
      <c r="E39">
        <v>0.4587</v>
      </c>
      <c r="F39">
        <v>0.4849</v>
      </c>
      <c r="G39">
        <v>0.51929999999999998</v>
      </c>
      <c r="H39">
        <v>0.51219999999999999</v>
      </c>
      <c r="I39">
        <v>0.52629999999999999</v>
      </c>
      <c r="J39">
        <v>0.49020000000000002</v>
      </c>
      <c r="K39">
        <v>0.51170000000000004</v>
      </c>
      <c r="L39">
        <v>0.52769999999999995</v>
      </c>
      <c r="M39">
        <v>0.52859999999999996</v>
      </c>
      <c r="N39">
        <v>0.54269999999999996</v>
      </c>
      <c r="O39">
        <v>0.49859999999999999</v>
      </c>
      <c r="P39">
        <v>0.52559999999999996</v>
      </c>
      <c r="Q39" t="s">
        <v>66</v>
      </c>
      <c r="R39" t="s">
        <v>66</v>
      </c>
      <c r="S39" t="s">
        <v>66</v>
      </c>
      <c r="T39" t="s">
        <v>66</v>
      </c>
      <c r="U39">
        <v>0.54059999999999997</v>
      </c>
      <c r="V39" t="s">
        <v>66</v>
      </c>
      <c r="W39" t="s">
        <v>66</v>
      </c>
      <c r="X39" t="s">
        <v>66</v>
      </c>
      <c r="Y39" t="s">
        <v>66</v>
      </c>
      <c r="Z39">
        <v>0.55589999999999995</v>
      </c>
      <c r="AA39" t="s">
        <v>66</v>
      </c>
      <c r="AB39" t="s">
        <v>66</v>
      </c>
      <c r="AC39" t="s">
        <v>66</v>
      </c>
      <c r="AD39" t="s">
        <v>66</v>
      </c>
      <c r="AE39">
        <v>0.56899999999999995</v>
      </c>
    </row>
    <row r="40" spans="1:31" x14ac:dyDescent="0.25">
      <c r="A40" t="s">
        <v>105</v>
      </c>
      <c r="B40" t="s">
        <v>66</v>
      </c>
      <c r="C40" t="s">
        <v>66</v>
      </c>
      <c r="D40" t="s">
        <v>66</v>
      </c>
      <c r="E40" t="s">
        <v>66</v>
      </c>
      <c r="F40" t="s">
        <v>66</v>
      </c>
      <c r="G40" t="s">
        <v>66</v>
      </c>
      <c r="H40" t="s">
        <v>66</v>
      </c>
      <c r="I40" t="s">
        <v>66</v>
      </c>
      <c r="J40" t="s">
        <v>66</v>
      </c>
      <c r="K40" t="s">
        <v>66</v>
      </c>
      <c r="L40" t="s">
        <v>66</v>
      </c>
      <c r="M40" t="s">
        <v>66</v>
      </c>
      <c r="N40" t="s">
        <v>66</v>
      </c>
      <c r="O40" t="s">
        <v>66</v>
      </c>
      <c r="P40" t="s">
        <v>66</v>
      </c>
      <c r="Q40" t="s">
        <v>66</v>
      </c>
      <c r="R40" t="s">
        <v>66</v>
      </c>
      <c r="S40" t="s">
        <v>66</v>
      </c>
      <c r="T40" t="s">
        <v>66</v>
      </c>
      <c r="U40" t="s">
        <v>66</v>
      </c>
      <c r="V40" t="s">
        <v>66</v>
      </c>
      <c r="W40" t="s">
        <v>66</v>
      </c>
      <c r="X40" t="s">
        <v>66</v>
      </c>
      <c r="Y40" t="s">
        <v>66</v>
      </c>
      <c r="Z40" t="s">
        <v>66</v>
      </c>
      <c r="AA40" t="s">
        <v>66</v>
      </c>
      <c r="AB40" t="s">
        <v>66</v>
      </c>
      <c r="AC40" t="s">
        <v>66</v>
      </c>
      <c r="AD40" t="s">
        <v>66</v>
      </c>
      <c r="AE40" t="s">
        <v>66</v>
      </c>
    </row>
    <row r="41" spans="1:31" x14ac:dyDescent="0.25">
      <c r="A41" s="14" t="s">
        <v>106</v>
      </c>
      <c r="B41">
        <v>0.50080000000000002</v>
      </c>
      <c r="C41">
        <v>0.51929999999999998</v>
      </c>
      <c r="D41">
        <v>0.46450000000000002</v>
      </c>
      <c r="E41">
        <v>0.4587</v>
      </c>
      <c r="F41">
        <v>0.4849</v>
      </c>
      <c r="G41">
        <v>0.51929999999999998</v>
      </c>
      <c r="H41">
        <v>0.51259999999999994</v>
      </c>
      <c r="I41">
        <v>0.51880000000000004</v>
      </c>
      <c r="J41">
        <v>0.48420000000000002</v>
      </c>
      <c r="K41">
        <v>0.50860000000000005</v>
      </c>
      <c r="L41">
        <v>0.53280000000000005</v>
      </c>
      <c r="M41">
        <v>0.52910000000000001</v>
      </c>
      <c r="N41">
        <v>0.53110000000000002</v>
      </c>
      <c r="O41">
        <v>0.499</v>
      </c>
      <c r="P41">
        <v>0.52329999999999999</v>
      </c>
      <c r="Q41">
        <v>0.55210000000000004</v>
      </c>
      <c r="R41">
        <v>0.54749999999999999</v>
      </c>
      <c r="S41">
        <v>0.54690000000000005</v>
      </c>
      <c r="T41">
        <v>0.51670000000000005</v>
      </c>
      <c r="U41">
        <v>0.53839999999999999</v>
      </c>
      <c r="V41">
        <v>0.56720000000000004</v>
      </c>
      <c r="W41">
        <v>0.5615</v>
      </c>
      <c r="X41">
        <v>0.56440000000000001</v>
      </c>
      <c r="Y41">
        <v>0.53380000000000005</v>
      </c>
      <c r="Z41">
        <v>0.5534</v>
      </c>
      <c r="AA41">
        <v>0.58440000000000003</v>
      </c>
      <c r="AB41">
        <v>0.57930000000000004</v>
      </c>
      <c r="AC41">
        <v>0.57989999999999997</v>
      </c>
      <c r="AD41">
        <v>0.55110000000000003</v>
      </c>
      <c r="AE41">
        <v>0.56710000000000005</v>
      </c>
    </row>
    <row r="42" spans="1:31" x14ac:dyDescent="0.25">
      <c r="A42" s="14" t="s">
        <v>107</v>
      </c>
      <c r="B42">
        <v>0.3175</v>
      </c>
      <c r="C42">
        <v>0.3407</v>
      </c>
      <c r="D42">
        <v>0.28220000000000001</v>
      </c>
      <c r="E42">
        <v>0.24540000000000001</v>
      </c>
      <c r="F42">
        <v>0.2949</v>
      </c>
      <c r="G42">
        <v>0.32300000000000001</v>
      </c>
      <c r="H42">
        <v>0.3281</v>
      </c>
      <c r="I42">
        <v>0.3377</v>
      </c>
      <c r="J42">
        <v>0.27939999999999998</v>
      </c>
      <c r="K42">
        <v>0.31709999999999999</v>
      </c>
      <c r="L42">
        <v>0.3483</v>
      </c>
      <c r="M42">
        <v>0.35339999999999999</v>
      </c>
      <c r="N42">
        <v>0.35949999999999999</v>
      </c>
      <c r="O42">
        <v>0.30520000000000003</v>
      </c>
      <c r="P42">
        <v>0.34060000000000001</v>
      </c>
      <c r="Q42">
        <v>0.37630000000000002</v>
      </c>
      <c r="R42">
        <v>0.38219999999999998</v>
      </c>
      <c r="S42">
        <v>0.38869999999999999</v>
      </c>
      <c r="T42">
        <v>0.3306</v>
      </c>
      <c r="U42">
        <v>0.3634</v>
      </c>
      <c r="V42">
        <v>0.39689999999999998</v>
      </c>
      <c r="W42">
        <v>0.40360000000000001</v>
      </c>
      <c r="X42">
        <v>0.41610000000000003</v>
      </c>
      <c r="Y42">
        <v>0.35270000000000001</v>
      </c>
      <c r="Z42">
        <v>0.38190000000000002</v>
      </c>
      <c r="AA42">
        <v>0.42330000000000001</v>
      </c>
      <c r="AB42">
        <v>0.43140000000000001</v>
      </c>
      <c r="AC42">
        <v>0.44190000000000002</v>
      </c>
      <c r="AD42">
        <v>0.38059999999999999</v>
      </c>
      <c r="AE42">
        <v>0.40079999999999999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C5E-B429-2B4D-91BE-3546F139535E}">
  <dimension ref="A1:AE42"/>
  <sheetViews>
    <sheetView workbookViewId="0"/>
  </sheetViews>
  <sheetFormatPr defaultColWidth="11.42578125" defaultRowHeight="15" x14ac:dyDescent="0.25"/>
  <sheetData>
    <row r="1" spans="1:31" x14ac:dyDescent="0.25">
      <c r="A1" s="14" t="s">
        <v>108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x14ac:dyDescent="0.25">
      <c r="A2" t="s">
        <v>0</v>
      </c>
    </row>
    <row r="4" spans="1:31" x14ac:dyDescent="0.25">
      <c r="A4" s="14" t="s">
        <v>1</v>
      </c>
    </row>
    <row r="6" spans="1:31" x14ac:dyDescent="0.25">
      <c r="A6" t="s">
        <v>2</v>
      </c>
    </row>
    <row r="7" spans="1:31" x14ac:dyDescent="0.25">
      <c r="A7" t="s">
        <v>3</v>
      </c>
    </row>
    <row r="8" spans="1:31" x14ac:dyDescent="0.25">
      <c r="A8" t="s">
        <v>4</v>
      </c>
    </row>
    <row r="9" spans="1:31" x14ac:dyDescent="0.25">
      <c r="A9" t="s">
        <v>5</v>
      </c>
    </row>
    <row r="10" spans="1:31" x14ac:dyDescent="0.25">
      <c r="A10" t="s">
        <v>6</v>
      </c>
    </row>
    <row r="12" spans="1:31" x14ac:dyDescent="0.25">
      <c r="A12" s="14" t="s">
        <v>7</v>
      </c>
      <c r="B12" s="14" t="s">
        <v>8</v>
      </c>
      <c r="C12" s="14" t="s">
        <v>9</v>
      </c>
      <c r="D12" s="14" t="s">
        <v>10</v>
      </c>
      <c r="E12" s="14" t="s">
        <v>11</v>
      </c>
      <c r="F12" s="14" t="s">
        <v>12</v>
      </c>
      <c r="G12" s="14" t="s">
        <v>13</v>
      </c>
      <c r="H12" s="14" t="s">
        <v>14</v>
      </c>
      <c r="I12" s="14" t="s">
        <v>15</v>
      </c>
      <c r="J12" s="14" t="s">
        <v>16</v>
      </c>
      <c r="K12" s="14" t="s">
        <v>17</v>
      </c>
      <c r="L12" s="14" t="s">
        <v>18</v>
      </c>
      <c r="M12" s="14" t="s">
        <v>19</v>
      </c>
      <c r="N12" s="14" t="s">
        <v>20</v>
      </c>
      <c r="O12" s="14" t="s">
        <v>21</v>
      </c>
      <c r="P12" s="14" t="s">
        <v>22</v>
      </c>
      <c r="Q12" s="14" t="s">
        <v>23</v>
      </c>
      <c r="R12" s="14" t="s">
        <v>24</v>
      </c>
      <c r="S12" s="14" t="s">
        <v>25</v>
      </c>
      <c r="T12" s="14" t="s">
        <v>26</v>
      </c>
      <c r="U12" s="14" t="s">
        <v>27</v>
      </c>
      <c r="V12" s="14" t="s">
        <v>28</v>
      </c>
      <c r="W12" s="14" t="s">
        <v>29</v>
      </c>
      <c r="X12" s="14" t="s">
        <v>30</v>
      </c>
      <c r="Y12" s="14" t="s">
        <v>31</v>
      </c>
      <c r="Z12" s="14" t="s">
        <v>32</v>
      </c>
      <c r="AA12" s="14" t="s">
        <v>33</v>
      </c>
      <c r="AB12" s="14" t="s">
        <v>34</v>
      </c>
      <c r="AC12" s="14" t="s">
        <v>35</v>
      </c>
      <c r="AD12" s="14" t="s">
        <v>36</v>
      </c>
      <c r="AE12" s="14" t="s">
        <v>37</v>
      </c>
    </row>
    <row r="13" spans="1:31" x14ac:dyDescent="0.25">
      <c r="A13" s="14" t="s">
        <v>38</v>
      </c>
      <c r="B13" s="12">
        <v>38</v>
      </c>
      <c r="C13" s="12">
        <v>38</v>
      </c>
      <c r="D13" s="12">
        <v>37</v>
      </c>
      <c r="E13" s="12">
        <v>37</v>
      </c>
      <c r="F13" s="12">
        <v>39</v>
      </c>
      <c r="G13" s="12">
        <v>36</v>
      </c>
      <c r="H13" t="s">
        <v>39</v>
      </c>
      <c r="I13" t="s">
        <v>40</v>
      </c>
      <c r="J13" t="s">
        <v>40</v>
      </c>
      <c r="K13" t="s">
        <v>41</v>
      </c>
      <c r="L13" t="s">
        <v>42</v>
      </c>
      <c r="M13" t="s">
        <v>42</v>
      </c>
      <c r="N13" t="s">
        <v>42</v>
      </c>
      <c r="O13" t="s">
        <v>42</v>
      </c>
      <c r="P13" t="s">
        <v>43</v>
      </c>
      <c r="Q13" t="s">
        <v>44</v>
      </c>
      <c r="R13" t="s">
        <v>44</v>
      </c>
      <c r="S13" t="s">
        <v>44</v>
      </c>
      <c r="T13" t="s">
        <v>44</v>
      </c>
      <c r="U13" t="s">
        <v>45</v>
      </c>
      <c r="V13" t="s">
        <v>46</v>
      </c>
      <c r="W13" t="s">
        <v>46</v>
      </c>
      <c r="X13" t="s">
        <v>46</v>
      </c>
      <c r="Y13" t="s">
        <v>46</v>
      </c>
      <c r="Z13" t="s">
        <v>47</v>
      </c>
      <c r="AA13" t="s">
        <v>48</v>
      </c>
      <c r="AB13" t="s">
        <v>48</v>
      </c>
      <c r="AC13" t="s">
        <v>48</v>
      </c>
      <c r="AD13" t="s">
        <v>48</v>
      </c>
      <c r="AE13" t="s">
        <v>49</v>
      </c>
    </row>
    <row r="14" spans="1:31" x14ac:dyDescent="0.25">
      <c r="A14" s="14" t="s">
        <v>89</v>
      </c>
      <c r="B14" s="13">
        <v>10542.8</v>
      </c>
      <c r="C14" s="13">
        <v>11079.17</v>
      </c>
      <c r="D14" s="13">
        <v>11510.31</v>
      </c>
      <c r="E14" s="13">
        <v>12050.76</v>
      </c>
      <c r="F14" s="13">
        <v>45183.040000000001</v>
      </c>
      <c r="G14" s="13">
        <v>12249.76</v>
      </c>
      <c r="H14" s="13">
        <v>12574.71</v>
      </c>
      <c r="I14" s="13">
        <v>13012.99</v>
      </c>
      <c r="J14" s="13">
        <v>13566.97</v>
      </c>
      <c r="K14" s="13">
        <v>51327.91</v>
      </c>
      <c r="L14" s="13">
        <v>13802.84</v>
      </c>
      <c r="M14" s="13">
        <v>14094.47</v>
      </c>
      <c r="N14" s="13">
        <v>14588.28</v>
      </c>
      <c r="O14" s="13">
        <v>15180.57</v>
      </c>
      <c r="P14" s="13">
        <v>57249.29</v>
      </c>
      <c r="Q14" s="13">
        <v>15339.32</v>
      </c>
      <c r="R14" s="13">
        <v>15632.33</v>
      </c>
      <c r="S14" s="13">
        <v>16151.29</v>
      </c>
      <c r="T14" s="13">
        <v>16839.62</v>
      </c>
      <c r="U14" s="13">
        <v>63122.51</v>
      </c>
      <c r="V14" s="13">
        <v>16947.740000000002</v>
      </c>
      <c r="W14" s="13">
        <v>17253.96</v>
      </c>
      <c r="X14" s="13">
        <v>17858.2</v>
      </c>
      <c r="Y14" s="13">
        <v>18635.39</v>
      </c>
      <c r="Z14" s="13">
        <v>69141.19</v>
      </c>
      <c r="AA14" s="13">
        <v>18542.169999999998</v>
      </c>
      <c r="AB14" s="13">
        <v>18904.310000000001</v>
      </c>
      <c r="AC14" s="13">
        <v>19553.38</v>
      </c>
      <c r="AD14" s="13">
        <v>20331.759999999998</v>
      </c>
      <c r="AE14" s="13">
        <v>75079.31</v>
      </c>
    </row>
    <row r="15" spans="1:31" x14ac:dyDescent="0.25">
      <c r="A15" s="14" t="s">
        <v>94</v>
      </c>
      <c r="B15" s="13">
        <v>5263.15</v>
      </c>
      <c r="C15" s="13">
        <v>5325.31</v>
      </c>
      <c r="D15" s="13">
        <v>6164.25</v>
      </c>
      <c r="E15" s="13">
        <v>6522.62</v>
      </c>
      <c r="F15" s="13">
        <v>23275.33</v>
      </c>
      <c r="G15" s="13">
        <v>5888.24</v>
      </c>
      <c r="H15" s="13">
        <v>6129.48</v>
      </c>
      <c r="I15" s="13">
        <v>6270.17</v>
      </c>
      <c r="J15" s="13">
        <v>6994.44</v>
      </c>
      <c r="K15" s="13">
        <v>25230.07</v>
      </c>
      <c r="L15" s="13">
        <v>6449.16</v>
      </c>
      <c r="M15" s="13">
        <v>6637.36</v>
      </c>
      <c r="N15" s="13">
        <v>6839.76</v>
      </c>
      <c r="O15" s="13">
        <v>7605.23</v>
      </c>
      <c r="P15" s="13">
        <v>27305.55</v>
      </c>
      <c r="Q15" s="13">
        <v>6870.74</v>
      </c>
      <c r="R15" s="13">
        <v>7072.47</v>
      </c>
      <c r="S15" s="13">
        <v>7313.86</v>
      </c>
      <c r="T15" s="13">
        <v>8137.96</v>
      </c>
      <c r="U15" s="13">
        <v>29172.41</v>
      </c>
      <c r="V15" s="13">
        <v>7332.67</v>
      </c>
      <c r="W15" s="13">
        <v>7560.07</v>
      </c>
      <c r="X15" s="13">
        <v>7765.83</v>
      </c>
      <c r="Y15" s="13">
        <v>8685.24</v>
      </c>
      <c r="Z15" s="13">
        <v>30937.439999999999</v>
      </c>
      <c r="AA15" s="13">
        <v>7695.41</v>
      </c>
      <c r="AB15" s="13">
        <v>7939.29</v>
      </c>
      <c r="AC15" s="13">
        <v>8185.8</v>
      </c>
      <c r="AD15" s="13">
        <v>9112.98</v>
      </c>
      <c r="AE15" s="13">
        <v>32577.83</v>
      </c>
    </row>
    <row r="16" spans="1:31" x14ac:dyDescent="0.25">
      <c r="A16" s="14" t="s">
        <v>98</v>
      </c>
      <c r="B16" s="13">
        <v>5279.65</v>
      </c>
      <c r="C16" s="13">
        <v>5753.85</v>
      </c>
      <c r="D16" s="13">
        <v>5346.06</v>
      </c>
      <c r="E16" s="13">
        <v>5528.14</v>
      </c>
      <c r="F16" s="13">
        <v>21907.71</v>
      </c>
      <c r="G16" s="13">
        <v>6361.52</v>
      </c>
      <c r="H16" s="13">
        <v>6445.95</v>
      </c>
      <c r="I16" s="13">
        <v>6753.36</v>
      </c>
      <c r="J16" s="13">
        <v>6568.87</v>
      </c>
      <c r="K16" s="13">
        <v>26102.02</v>
      </c>
      <c r="L16" s="13">
        <v>7353.68</v>
      </c>
      <c r="M16" s="13">
        <v>7457.11</v>
      </c>
      <c r="N16" s="13">
        <v>7748.52</v>
      </c>
      <c r="O16" s="13">
        <v>7575.34</v>
      </c>
      <c r="P16" s="13">
        <v>29973.47</v>
      </c>
      <c r="Q16" s="13">
        <v>8468.58</v>
      </c>
      <c r="R16" s="13">
        <v>8559.8700000000008</v>
      </c>
      <c r="S16" s="13">
        <v>8837.43</v>
      </c>
      <c r="T16" s="13">
        <v>8701.66</v>
      </c>
      <c r="U16" s="13">
        <v>34043.96</v>
      </c>
      <c r="V16" s="13">
        <v>9615.06</v>
      </c>
      <c r="W16" s="13">
        <v>9693.89</v>
      </c>
      <c r="X16" s="13">
        <v>10092.36</v>
      </c>
      <c r="Y16" s="13">
        <v>9950.14</v>
      </c>
      <c r="Z16" s="13">
        <v>38398.82</v>
      </c>
      <c r="AA16" s="13">
        <v>10846.76</v>
      </c>
      <c r="AB16" s="13">
        <v>10965.02</v>
      </c>
      <c r="AC16" s="13">
        <v>11367.58</v>
      </c>
      <c r="AD16" s="13">
        <v>11218.78</v>
      </c>
      <c r="AE16" s="13">
        <v>42797.42</v>
      </c>
    </row>
    <row r="17" spans="1:31" x14ac:dyDescent="0.25">
      <c r="A17" t="s">
        <v>109</v>
      </c>
      <c r="B17" s="13">
        <v>688.37</v>
      </c>
      <c r="C17" s="13">
        <v>713.26</v>
      </c>
      <c r="D17" s="13">
        <v>786.29</v>
      </c>
      <c r="E17" s="13">
        <v>1113.3800000000001</v>
      </c>
      <c r="F17" s="13">
        <v>3301.31</v>
      </c>
      <c r="G17" s="13">
        <v>842.22</v>
      </c>
      <c r="H17" s="13">
        <v>836.99</v>
      </c>
      <c r="I17" s="13">
        <v>877.26</v>
      </c>
      <c r="J17" s="13">
        <v>1194.94</v>
      </c>
      <c r="K17" s="13">
        <v>3721.74</v>
      </c>
      <c r="L17" s="13">
        <v>900.14</v>
      </c>
      <c r="M17" s="13">
        <v>890.58</v>
      </c>
      <c r="N17" s="13">
        <v>924.97</v>
      </c>
      <c r="O17" s="13">
        <v>1238.1500000000001</v>
      </c>
      <c r="P17" s="13">
        <v>3930.46</v>
      </c>
      <c r="Q17" s="13">
        <v>957.44</v>
      </c>
      <c r="R17" s="13">
        <v>936.72</v>
      </c>
      <c r="S17" s="13">
        <v>969.24</v>
      </c>
      <c r="T17" s="13">
        <v>1307.33</v>
      </c>
      <c r="U17" s="13">
        <v>4146.1899999999996</v>
      </c>
      <c r="V17" s="13">
        <v>996.04</v>
      </c>
      <c r="W17" s="13">
        <v>961.77</v>
      </c>
      <c r="X17" s="13">
        <v>1000.88</v>
      </c>
      <c r="Y17" s="13">
        <v>1408.62</v>
      </c>
      <c r="Z17" s="13">
        <v>4373.8999999999996</v>
      </c>
      <c r="AA17" s="13">
        <v>1053.45</v>
      </c>
      <c r="AB17" s="13">
        <v>1012.98</v>
      </c>
      <c r="AC17" s="13">
        <v>1052.3499999999999</v>
      </c>
      <c r="AD17" s="13">
        <v>1470.46</v>
      </c>
      <c r="AE17" s="13">
        <v>4600.75</v>
      </c>
    </row>
    <row r="18" spans="1:31" x14ac:dyDescent="0.25">
      <c r="A18" t="s">
        <v>110</v>
      </c>
      <c r="B18" s="13">
        <v>822.82</v>
      </c>
      <c r="C18" s="13">
        <v>824.68</v>
      </c>
      <c r="D18" s="13">
        <v>853.58</v>
      </c>
      <c r="E18" s="13">
        <v>890.3</v>
      </c>
      <c r="F18" s="13">
        <v>3391.39</v>
      </c>
      <c r="G18" s="13">
        <v>959.7</v>
      </c>
      <c r="H18" s="13">
        <v>945.74</v>
      </c>
      <c r="I18" s="13">
        <v>956.7</v>
      </c>
      <c r="J18" s="13">
        <v>987.85</v>
      </c>
      <c r="K18" s="13">
        <v>3846.34</v>
      </c>
      <c r="L18" s="13">
        <v>1034.18</v>
      </c>
      <c r="M18" s="13">
        <v>1031.0999999999999</v>
      </c>
      <c r="N18" s="13">
        <v>1035.0899999999999</v>
      </c>
      <c r="O18" s="13">
        <v>1063.1199999999999</v>
      </c>
      <c r="P18" s="13">
        <v>4182.04</v>
      </c>
      <c r="Q18" s="13">
        <v>1100.8900000000001</v>
      </c>
      <c r="R18" s="13">
        <v>1092.9000000000001</v>
      </c>
      <c r="S18" s="13">
        <v>1093.5999999999999</v>
      </c>
      <c r="T18" s="13">
        <v>1127.3900000000001</v>
      </c>
      <c r="U18" s="13">
        <v>4472.12</v>
      </c>
      <c r="V18" s="13">
        <v>1194.47</v>
      </c>
      <c r="W18" s="13">
        <v>1179.31</v>
      </c>
      <c r="X18" s="13">
        <v>1176.8900000000001</v>
      </c>
      <c r="Y18" s="13">
        <v>1206.53</v>
      </c>
      <c r="Z18" s="13">
        <v>4786.2</v>
      </c>
      <c r="AA18" s="13">
        <v>1254.6099999999999</v>
      </c>
      <c r="AB18" s="13">
        <v>1243.45</v>
      </c>
      <c r="AC18" s="13">
        <v>1233.25</v>
      </c>
      <c r="AD18" s="13">
        <v>1261.55</v>
      </c>
      <c r="AE18" s="13">
        <v>5054.51</v>
      </c>
    </row>
    <row r="19" spans="1:31" x14ac:dyDescent="0.25">
      <c r="A19" t="s">
        <v>111</v>
      </c>
      <c r="B19" s="13">
        <v>421.46</v>
      </c>
      <c r="C19" s="13">
        <v>441.21</v>
      </c>
      <c r="D19" s="13">
        <v>457.93</v>
      </c>
      <c r="E19" s="13">
        <v>567.79999999999995</v>
      </c>
      <c r="F19" s="13">
        <v>1888.41</v>
      </c>
      <c r="G19" s="13">
        <v>602.61</v>
      </c>
      <c r="H19" s="13">
        <v>537.58000000000004</v>
      </c>
      <c r="I19" s="13">
        <v>535.24</v>
      </c>
      <c r="J19" s="13">
        <v>588.5</v>
      </c>
      <c r="K19" s="13">
        <v>2250.3200000000002</v>
      </c>
      <c r="L19" s="13">
        <v>610.95000000000005</v>
      </c>
      <c r="M19" s="13">
        <v>565.54</v>
      </c>
      <c r="N19" s="13">
        <v>567.97</v>
      </c>
      <c r="O19" s="13">
        <v>623.58000000000004</v>
      </c>
      <c r="P19" s="13">
        <v>2330.25</v>
      </c>
      <c r="Q19" s="13">
        <v>651.80999999999995</v>
      </c>
      <c r="R19" s="13">
        <v>591.23</v>
      </c>
      <c r="S19" s="13">
        <v>570.73</v>
      </c>
      <c r="T19" s="13">
        <v>661.74</v>
      </c>
      <c r="U19" s="13">
        <v>2405.91</v>
      </c>
      <c r="V19" s="13">
        <v>724.62</v>
      </c>
      <c r="W19" s="13">
        <v>626.15</v>
      </c>
      <c r="X19" s="13">
        <v>597.04</v>
      </c>
      <c r="Y19" s="13">
        <v>721.27</v>
      </c>
      <c r="Z19" s="13">
        <v>2549.64</v>
      </c>
      <c r="AA19" s="13">
        <v>756.99</v>
      </c>
      <c r="AB19" s="13">
        <v>635.76</v>
      </c>
      <c r="AC19" s="13">
        <v>608.70000000000005</v>
      </c>
      <c r="AD19" s="13">
        <v>733.81</v>
      </c>
      <c r="AE19" s="13">
        <v>2631.49</v>
      </c>
    </row>
    <row r="20" spans="1:31" x14ac:dyDescent="0.25">
      <c r="A20" s="14" t="s">
        <v>112</v>
      </c>
      <c r="B20" s="13">
        <v>1932.65</v>
      </c>
      <c r="C20" s="13">
        <v>1979.16</v>
      </c>
      <c r="D20" s="13">
        <v>2097.81</v>
      </c>
      <c r="E20" s="13">
        <v>2571.48</v>
      </c>
      <c r="F20" s="13">
        <v>8581.1</v>
      </c>
      <c r="G20" s="13">
        <v>2404.52</v>
      </c>
      <c r="H20" s="13">
        <v>2321.84</v>
      </c>
      <c r="I20" s="13">
        <v>2369.7399999999998</v>
      </c>
      <c r="J20" s="13">
        <v>2773.4</v>
      </c>
      <c r="K20" s="13">
        <v>9812.7199999999993</v>
      </c>
      <c r="L20" s="13">
        <v>2543.48</v>
      </c>
      <c r="M20" s="13">
        <v>2488.21</v>
      </c>
      <c r="N20" s="13">
        <v>2526.5700000000002</v>
      </c>
      <c r="O20" s="13">
        <v>2921.11</v>
      </c>
      <c r="P20" s="13">
        <v>10440.64</v>
      </c>
      <c r="Q20" s="13">
        <v>2704.31</v>
      </c>
      <c r="R20" s="13">
        <v>2619.44</v>
      </c>
      <c r="S20" s="13">
        <v>2627.63</v>
      </c>
      <c r="T20" s="13">
        <v>3086.04</v>
      </c>
      <c r="U20" s="13">
        <v>11016.13</v>
      </c>
      <c r="V20" s="13">
        <v>2906.11</v>
      </c>
      <c r="W20" s="13">
        <v>2762.93</v>
      </c>
      <c r="X20" s="13">
        <v>2763.48</v>
      </c>
      <c r="Y20" s="13">
        <v>3321.16</v>
      </c>
      <c r="Z20" s="13">
        <v>11697.23</v>
      </c>
      <c r="AA20" s="13">
        <v>3050.54</v>
      </c>
      <c r="AB20" s="13">
        <v>2883.82</v>
      </c>
      <c r="AC20" s="13">
        <v>2875.31</v>
      </c>
      <c r="AD20" s="13">
        <v>3442.76</v>
      </c>
      <c r="AE20" s="13">
        <v>12266.17</v>
      </c>
    </row>
    <row r="21" spans="1:31" x14ac:dyDescent="0.25">
      <c r="A21" s="14" t="s">
        <v>113</v>
      </c>
      <c r="B21" s="13">
        <v>3347</v>
      </c>
      <c r="C21" s="13">
        <v>3774.69</v>
      </c>
      <c r="D21" s="13">
        <v>3248.25</v>
      </c>
      <c r="E21" s="13">
        <v>2956.66</v>
      </c>
      <c r="F21" s="13">
        <v>13326.6</v>
      </c>
      <c r="G21" s="13">
        <v>3957</v>
      </c>
      <c r="H21" s="13">
        <v>4124.2</v>
      </c>
      <c r="I21" s="13">
        <v>4379.75</v>
      </c>
      <c r="J21" s="13">
        <v>3796.52</v>
      </c>
      <c r="K21" s="13">
        <v>16261.81</v>
      </c>
      <c r="L21" s="13">
        <v>4805.2299999999996</v>
      </c>
      <c r="M21" s="13">
        <v>4968.13</v>
      </c>
      <c r="N21" s="13">
        <v>5217.57</v>
      </c>
      <c r="O21" s="13">
        <v>4644.54</v>
      </c>
      <c r="P21" s="13">
        <v>19479.91</v>
      </c>
      <c r="Q21" s="13">
        <v>5752.54</v>
      </c>
      <c r="R21" s="13">
        <v>5934.79</v>
      </c>
      <c r="S21" s="13">
        <v>6195.79</v>
      </c>
      <c r="T21" s="13">
        <v>5594.07</v>
      </c>
      <c r="U21" s="13">
        <v>22892.21</v>
      </c>
      <c r="V21" s="13">
        <v>6694.34</v>
      </c>
      <c r="W21" s="13">
        <v>6919.8</v>
      </c>
      <c r="X21" s="13">
        <v>7304.01</v>
      </c>
      <c r="Y21" s="13">
        <v>6598.63</v>
      </c>
      <c r="Z21" s="13">
        <v>26442.48</v>
      </c>
      <c r="AA21" s="13">
        <v>7773.28</v>
      </c>
      <c r="AB21" s="13">
        <v>8060.74</v>
      </c>
      <c r="AC21" s="13">
        <v>8453.65</v>
      </c>
      <c r="AD21" s="13">
        <v>7730.6</v>
      </c>
      <c r="AE21" s="13">
        <v>30153.18</v>
      </c>
    </row>
    <row r="22" spans="1:31" x14ac:dyDescent="0.25">
      <c r="A22" s="14" t="s">
        <v>114</v>
      </c>
      <c r="B22" s="13">
        <v>80.069999999999993</v>
      </c>
      <c r="C22" s="13">
        <v>80.010000000000005</v>
      </c>
      <c r="D22" s="13">
        <v>87.33</v>
      </c>
      <c r="E22" s="13">
        <v>85.98</v>
      </c>
      <c r="F22" s="13">
        <v>333.39</v>
      </c>
      <c r="G22" s="13">
        <v>98.58</v>
      </c>
      <c r="H22" s="13">
        <v>98.93</v>
      </c>
      <c r="I22" s="13">
        <v>101.6</v>
      </c>
      <c r="J22" s="13">
        <v>102.77</v>
      </c>
      <c r="K22" s="13">
        <v>404.96</v>
      </c>
      <c r="L22" s="13">
        <v>107.66</v>
      </c>
      <c r="M22" s="13">
        <v>107.14</v>
      </c>
      <c r="N22" s="13">
        <v>110.3</v>
      </c>
      <c r="O22" s="13">
        <v>111.16</v>
      </c>
      <c r="P22" s="13">
        <v>438.86</v>
      </c>
      <c r="Q22" s="13">
        <v>121.38</v>
      </c>
      <c r="R22" s="13">
        <v>119.85</v>
      </c>
      <c r="S22" s="13">
        <v>124.77</v>
      </c>
      <c r="T22" s="13">
        <v>125.4</v>
      </c>
      <c r="U22" s="13">
        <v>472.7</v>
      </c>
      <c r="V22" s="13">
        <v>138.34</v>
      </c>
      <c r="W22" s="13">
        <v>136.13</v>
      </c>
      <c r="X22" s="13">
        <v>142.59</v>
      </c>
      <c r="Y22" s="13">
        <v>143.34</v>
      </c>
      <c r="Z22" s="13">
        <v>517.92999999999995</v>
      </c>
      <c r="AA22" s="13">
        <v>149.19</v>
      </c>
      <c r="AB22" s="13">
        <v>145.52000000000001</v>
      </c>
      <c r="AC22" s="13">
        <v>152.65</v>
      </c>
      <c r="AD22" s="13">
        <v>152.75</v>
      </c>
      <c r="AE22" s="13">
        <v>548.41</v>
      </c>
    </row>
    <row r="23" spans="1:31" x14ac:dyDescent="0.25">
      <c r="A23" s="14" t="s">
        <v>115</v>
      </c>
      <c r="B23" s="13">
        <v>3427.07</v>
      </c>
      <c r="C23" s="13">
        <v>3854.71</v>
      </c>
      <c r="D23" s="13">
        <v>3335.57</v>
      </c>
      <c r="E23" s="13">
        <v>3042.65</v>
      </c>
      <c r="F23" s="13">
        <v>13659.99</v>
      </c>
      <c r="G23" s="13">
        <v>4055.57</v>
      </c>
      <c r="H23" s="13">
        <v>4208.04</v>
      </c>
      <c r="I23" s="13">
        <v>4466.68</v>
      </c>
      <c r="J23" s="13">
        <v>3889.55</v>
      </c>
      <c r="K23" s="13">
        <v>16640.310000000001</v>
      </c>
      <c r="L23" s="13">
        <v>4915.8500000000004</v>
      </c>
      <c r="M23" s="13">
        <v>5064.9799999999996</v>
      </c>
      <c r="N23" s="13">
        <v>5326.61</v>
      </c>
      <c r="O23" s="13">
        <v>4748.97</v>
      </c>
      <c r="P23" s="13">
        <v>19894.490000000002</v>
      </c>
      <c r="Q23" s="13">
        <v>5846.36</v>
      </c>
      <c r="R23" s="13">
        <v>6021.52</v>
      </c>
      <c r="S23" s="13">
        <v>6302.36</v>
      </c>
      <c r="T23" s="13">
        <v>5700.14</v>
      </c>
      <c r="U23" s="13">
        <v>23366.240000000002</v>
      </c>
      <c r="V23" s="13">
        <v>6832.68</v>
      </c>
      <c r="W23" s="13">
        <v>7055.93</v>
      </c>
      <c r="X23" s="13">
        <v>7446.6</v>
      </c>
      <c r="Y23" s="13">
        <v>6741.97</v>
      </c>
      <c r="Z23" s="13">
        <v>27023.200000000001</v>
      </c>
      <c r="AA23" s="13">
        <v>7922.47</v>
      </c>
      <c r="AB23" s="13">
        <v>8206.26</v>
      </c>
      <c r="AC23" s="13">
        <v>8606.2900000000009</v>
      </c>
      <c r="AD23" s="13">
        <v>7883.35</v>
      </c>
      <c r="AE23" s="13">
        <v>30774.81</v>
      </c>
    </row>
    <row r="24" spans="1:31" x14ac:dyDescent="0.25">
      <c r="A24" t="s">
        <v>116</v>
      </c>
      <c r="B24" s="13">
        <v>71.98</v>
      </c>
      <c r="C24" s="13">
        <v>80.86</v>
      </c>
      <c r="D24" s="13">
        <v>80.989999999999995</v>
      </c>
      <c r="E24" s="13">
        <v>134.62</v>
      </c>
      <c r="F24" s="13">
        <v>368.45</v>
      </c>
      <c r="G24" s="13">
        <v>140.41</v>
      </c>
      <c r="H24" s="13">
        <v>111.07</v>
      </c>
      <c r="I24" s="13">
        <v>112.66</v>
      </c>
      <c r="J24" s="13">
        <v>126.83</v>
      </c>
      <c r="K24" s="13">
        <v>482.28</v>
      </c>
      <c r="L24" s="13">
        <v>133.22</v>
      </c>
      <c r="M24" s="13">
        <v>114.27</v>
      </c>
      <c r="N24" s="13">
        <v>114.97</v>
      </c>
      <c r="O24" s="13">
        <v>132.61000000000001</v>
      </c>
      <c r="P24" s="13">
        <v>495.17</v>
      </c>
      <c r="Q24" s="13">
        <v>146.94999999999999</v>
      </c>
      <c r="R24" s="13">
        <v>118.63</v>
      </c>
      <c r="S24" s="13">
        <v>119.08</v>
      </c>
      <c r="T24" s="13">
        <v>144.35</v>
      </c>
      <c r="U24" s="13">
        <v>530.79999999999995</v>
      </c>
      <c r="V24" s="13">
        <v>159.75</v>
      </c>
      <c r="W24" s="13">
        <v>134.29</v>
      </c>
      <c r="X24" s="13">
        <v>134.93</v>
      </c>
      <c r="Y24" s="13">
        <v>154.75</v>
      </c>
      <c r="Z24" s="13">
        <v>566.14</v>
      </c>
      <c r="AA24" s="13">
        <v>166.1</v>
      </c>
      <c r="AB24" s="13">
        <v>135.82</v>
      </c>
      <c r="AC24" s="13">
        <v>137.36000000000001</v>
      </c>
      <c r="AD24" s="13">
        <v>160.13</v>
      </c>
      <c r="AE24" s="13">
        <v>592.36</v>
      </c>
    </row>
    <row r="25" spans="1:31" x14ac:dyDescent="0.25">
      <c r="A25" s="14" t="s">
        <v>117</v>
      </c>
      <c r="B25" s="13">
        <v>3499.04</v>
      </c>
      <c r="C25" s="13">
        <v>3935.57</v>
      </c>
      <c r="D25" s="13">
        <v>3416.56</v>
      </c>
      <c r="E25" s="13">
        <v>3177.27</v>
      </c>
      <c r="F25" s="13">
        <v>14028.44</v>
      </c>
      <c r="G25" s="13">
        <v>4195.9799999999996</v>
      </c>
      <c r="H25" s="13">
        <v>4322.6499999999996</v>
      </c>
      <c r="I25" s="13">
        <v>4574.3900000000003</v>
      </c>
      <c r="J25" s="13">
        <v>4009.57</v>
      </c>
      <c r="K25" s="13">
        <v>17129</v>
      </c>
      <c r="L25" s="13">
        <v>5055.29</v>
      </c>
      <c r="M25" s="13">
        <v>5187.4399999999996</v>
      </c>
      <c r="N25" s="13">
        <v>5443.55</v>
      </c>
      <c r="O25" s="13">
        <v>4882.01</v>
      </c>
      <c r="P25" s="13">
        <v>20421.28</v>
      </c>
      <c r="Q25" s="13">
        <v>5993.31</v>
      </c>
      <c r="R25" s="13">
        <v>6140.14</v>
      </c>
      <c r="S25" s="13">
        <v>6421.44</v>
      </c>
      <c r="T25" s="13">
        <v>5844.49</v>
      </c>
      <c r="U25" s="13">
        <v>23906.03</v>
      </c>
      <c r="V25" s="13">
        <v>6992.43</v>
      </c>
      <c r="W25" s="13">
        <v>7190.22</v>
      </c>
      <c r="X25" s="13">
        <v>7581.54</v>
      </c>
      <c r="Y25" s="13">
        <v>6896.71</v>
      </c>
      <c r="Z25" s="13">
        <v>27589.93</v>
      </c>
      <c r="AA25" s="13">
        <v>8088.57</v>
      </c>
      <c r="AB25" s="13">
        <v>8342.08</v>
      </c>
      <c r="AC25" s="13">
        <v>8743.66</v>
      </c>
      <c r="AD25" s="13">
        <v>8043.48</v>
      </c>
      <c r="AE25" s="13">
        <v>31367.26</v>
      </c>
    </row>
    <row r="26" spans="1:31" x14ac:dyDescent="0.25">
      <c r="A26" t="s">
        <v>118</v>
      </c>
      <c r="B26" s="13">
        <v>184.17</v>
      </c>
      <c r="C26" s="13">
        <v>182.65</v>
      </c>
      <c r="D26" s="13">
        <v>175.29</v>
      </c>
      <c r="E26" s="13">
        <v>234.4</v>
      </c>
      <c r="F26" s="13">
        <v>776.51</v>
      </c>
      <c r="G26" s="13">
        <v>262.08</v>
      </c>
      <c r="H26" s="13">
        <v>224.27</v>
      </c>
      <c r="I26" s="13">
        <v>221.5</v>
      </c>
      <c r="J26" s="13">
        <v>219.69</v>
      </c>
      <c r="K26" s="13">
        <v>919.78</v>
      </c>
      <c r="L26" s="13">
        <v>217.99</v>
      </c>
      <c r="M26" s="13">
        <v>216.38</v>
      </c>
      <c r="N26" s="13">
        <v>214.47</v>
      </c>
      <c r="O26" s="13">
        <v>214.55</v>
      </c>
      <c r="P26" s="13">
        <v>814.95</v>
      </c>
      <c r="Q26" s="13">
        <v>204.8</v>
      </c>
      <c r="R26" s="13">
        <v>200.02</v>
      </c>
      <c r="S26" s="13">
        <v>198.01</v>
      </c>
      <c r="T26" s="13">
        <v>196.7</v>
      </c>
      <c r="U26" s="13">
        <v>767.59</v>
      </c>
      <c r="V26" s="13">
        <v>196.45</v>
      </c>
      <c r="W26" s="13">
        <v>195.29</v>
      </c>
      <c r="X26" s="13">
        <v>189.55</v>
      </c>
      <c r="Y26" s="13">
        <v>182.82</v>
      </c>
      <c r="Z26" s="13">
        <v>704.01</v>
      </c>
      <c r="AA26" s="13">
        <v>181.82</v>
      </c>
      <c r="AB26" s="13">
        <v>174.79</v>
      </c>
      <c r="AC26" s="13">
        <v>172.24</v>
      </c>
      <c r="AD26" s="13">
        <v>172.24</v>
      </c>
      <c r="AE26" s="13">
        <v>671.49</v>
      </c>
    </row>
    <row r="27" spans="1:31" x14ac:dyDescent="0.25">
      <c r="A27" t="s">
        <v>119</v>
      </c>
      <c r="B27" s="13">
        <v>50.9</v>
      </c>
      <c r="C27" s="13">
        <v>39.630000000000003</v>
      </c>
      <c r="D27" s="13">
        <v>36.46</v>
      </c>
      <c r="E27" s="13">
        <v>45.47</v>
      </c>
      <c r="F27" s="13">
        <v>172.46</v>
      </c>
      <c r="G27" s="13">
        <v>2852.17</v>
      </c>
      <c r="H27" s="13">
        <v>53.11</v>
      </c>
      <c r="I27" s="13">
        <v>58.68</v>
      </c>
      <c r="J27" s="13">
        <v>61.26</v>
      </c>
      <c r="K27" s="13">
        <v>2939.35</v>
      </c>
      <c r="L27" s="13">
        <v>62.54</v>
      </c>
      <c r="M27" s="13">
        <v>71.59</v>
      </c>
      <c r="N27" s="13">
        <v>73.58</v>
      </c>
      <c r="O27" s="13">
        <v>77.42</v>
      </c>
      <c r="P27" s="13">
        <v>271.73</v>
      </c>
      <c r="Q27" s="13">
        <v>90.03</v>
      </c>
      <c r="R27" s="13">
        <v>108.47</v>
      </c>
      <c r="S27" s="13">
        <v>113.96</v>
      </c>
      <c r="T27" s="13">
        <v>121.26</v>
      </c>
      <c r="U27" s="13">
        <v>356.49</v>
      </c>
      <c r="V27" s="13">
        <v>154.85</v>
      </c>
      <c r="W27" s="13">
        <v>183.87</v>
      </c>
      <c r="X27" s="13">
        <v>208.93</v>
      </c>
      <c r="Y27" s="13">
        <v>210.6</v>
      </c>
      <c r="Z27" s="13">
        <v>537.79</v>
      </c>
      <c r="AA27" s="13">
        <v>240.19</v>
      </c>
      <c r="AB27" s="13">
        <v>276.5</v>
      </c>
      <c r="AC27" s="13">
        <v>299.97000000000003</v>
      </c>
      <c r="AD27" s="13">
        <v>320.64</v>
      </c>
      <c r="AE27" s="13">
        <v>736.38</v>
      </c>
    </row>
    <row r="28" spans="1:31" x14ac:dyDescent="0.25">
      <c r="A28" s="14" t="s">
        <v>120</v>
      </c>
      <c r="B28" s="13">
        <v>-133.27000000000001</v>
      </c>
      <c r="C28" s="13">
        <v>-143.02000000000001</v>
      </c>
      <c r="D28" s="13">
        <v>-138.84</v>
      </c>
      <c r="E28" s="13">
        <v>-188.92</v>
      </c>
      <c r="F28" s="13">
        <v>-604.04999999999995</v>
      </c>
      <c r="G28" s="13">
        <v>2590.09</v>
      </c>
      <c r="H28" s="13">
        <v>-174.42</v>
      </c>
      <c r="I28" s="13">
        <v>-165.82</v>
      </c>
      <c r="J28" s="13">
        <v>-163.26</v>
      </c>
      <c r="K28" s="13">
        <v>2036.34</v>
      </c>
      <c r="L28" s="13">
        <v>-161.41999999999999</v>
      </c>
      <c r="M28" s="13">
        <v>-154.88999999999999</v>
      </c>
      <c r="N28" s="13">
        <v>-149.06</v>
      </c>
      <c r="O28" s="13">
        <v>-148.57</v>
      </c>
      <c r="P28" s="13">
        <v>-566.30999999999995</v>
      </c>
      <c r="Q28" s="13">
        <v>-122.86</v>
      </c>
      <c r="R28" s="13">
        <v>-101.44</v>
      </c>
      <c r="S28" s="13">
        <v>-94.51</v>
      </c>
      <c r="T28" s="13">
        <v>-86.56</v>
      </c>
      <c r="U28" s="13">
        <v>-435.75</v>
      </c>
      <c r="V28" s="13">
        <v>-41.6</v>
      </c>
      <c r="W28" s="13">
        <v>-11.43</v>
      </c>
      <c r="X28" s="13">
        <v>19.38</v>
      </c>
      <c r="Y28" s="13">
        <v>27.77</v>
      </c>
      <c r="Z28" s="13">
        <v>-211.57</v>
      </c>
      <c r="AA28" s="13">
        <v>58.38</v>
      </c>
      <c r="AB28" s="13">
        <v>101.71</v>
      </c>
      <c r="AC28" s="13">
        <v>127.73</v>
      </c>
      <c r="AD28" s="13">
        <v>148.41</v>
      </c>
      <c r="AE28" s="13">
        <v>2.66</v>
      </c>
    </row>
    <row r="29" spans="1:31" x14ac:dyDescent="0.25">
      <c r="A29" s="14" t="s">
        <v>121</v>
      </c>
      <c r="B29" s="13">
        <v>3213.73</v>
      </c>
      <c r="C29" s="13">
        <v>3631.68</v>
      </c>
      <c r="D29" s="13">
        <v>3109.41</v>
      </c>
      <c r="E29" s="13">
        <v>2767.74</v>
      </c>
      <c r="F29" s="13">
        <v>12722.55</v>
      </c>
      <c r="G29" s="13">
        <v>6547.09</v>
      </c>
      <c r="H29" s="13">
        <v>3950.53</v>
      </c>
      <c r="I29" s="13">
        <v>4213.91</v>
      </c>
      <c r="J29" s="13">
        <v>3633.17</v>
      </c>
      <c r="K29" s="13">
        <v>18294.490000000002</v>
      </c>
      <c r="L29" s="13">
        <v>4643.8100000000004</v>
      </c>
      <c r="M29" s="13">
        <v>4813.24</v>
      </c>
      <c r="N29" s="13">
        <v>5068.51</v>
      </c>
      <c r="O29" s="13">
        <v>4495.97</v>
      </c>
      <c r="P29" s="13">
        <v>18932.39</v>
      </c>
      <c r="Q29" s="13">
        <v>5629.68</v>
      </c>
      <c r="R29" s="13">
        <v>5833.35</v>
      </c>
      <c r="S29" s="13">
        <v>6101.28</v>
      </c>
      <c r="T29" s="13">
        <v>5507.51</v>
      </c>
      <c r="U29" s="13">
        <v>22421.7</v>
      </c>
      <c r="V29" s="13">
        <v>6652.73</v>
      </c>
      <c r="W29" s="13">
        <v>6908.38</v>
      </c>
      <c r="X29" s="13">
        <v>7323.39</v>
      </c>
      <c r="Y29" s="13">
        <v>6626.4</v>
      </c>
      <c r="Z29" s="13">
        <v>26250.54</v>
      </c>
      <c r="AA29" s="13">
        <v>7831.65</v>
      </c>
      <c r="AB29" s="13">
        <v>8162.46</v>
      </c>
      <c r="AC29" s="13">
        <v>8581.3799999999992</v>
      </c>
      <c r="AD29" s="13">
        <v>7879.01</v>
      </c>
      <c r="AE29" s="13">
        <v>30172.22</v>
      </c>
    </row>
    <row r="30" spans="1:31" x14ac:dyDescent="0.25">
      <c r="A30" s="14" t="s">
        <v>122</v>
      </c>
      <c r="B30" s="13">
        <v>323.38</v>
      </c>
      <c r="C30" s="13">
        <v>506.26</v>
      </c>
      <c r="D30" s="13">
        <v>562.49</v>
      </c>
      <c r="E30" s="13">
        <v>349.22</v>
      </c>
      <c r="F30" s="13">
        <v>1741.35</v>
      </c>
      <c r="G30" s="13">
        <v>1264.3</v>
      </c>
      <c r="H30" s="13">
        <v>569.53</v>
      </c>
      <c r="I30" s="13">
        <v>610.35</v>
      </c>
      <c r="J30" s="13">
        <v>506.49</v>
      </c>
      <c r="K30" s="13">
        <v>2919.59</v>
      </c>
      <c r="L30" s="13">
        <v>675.56</v>
      </c>
      <c r="M30" s="13">
        <v>697.1</v>
      </c>
      <c r="N30" s="13">
        <v>744.8</v>
      </c>
      <c r="O30" s="13">
        <v>625.15</v>
      </c>
      <c r="P30" s="13">
        <v>2745.61</v>
      </c>
      <c r="Q30" s="13">
        <v>890.51</v>
      </c>
      <c r="R30" s="13">
        <v>878.25</v>
      </c>
      <c r="S30" s="13">
        <v>948.46</v>
      </c>
      <c r="T30" s="13">
        <v>788.01</v>
      </c>
      <c r="U30" s="13">
        <v>3394.01</v>
      </c>
      <c r="V30" s="13">
        <v>1133.51</v>
      </c>
      <c r="W30" s="13">
        <v>1101.68</v>
      </c>
      <c r="X30" s="13">
        <v>1215.56</v>
      </c>
      <c r="Y30" s="13">
        <v>983.49</v>
      </c>
      <c r="Z30" s="13">
        <v>4156.3</v>
      </c>
      <c r="AA30" s="13">
        <v>1394.98</v>
      </c>
      <c r="AB30" s="13">
        <v>1354.38</v>
      </c>
      <c r="AC30" s="13">
        <v>1486.26</v>
      </c>
      <c r="AD30" s="13">
        <v>1218.5999999999999</v>
      </c>
      <c r="AE30" s="13">
        <v>4891.29</v>
      </c>
    </row>
    <row r="31" spans="1:31" x14ac:dyDescent="0.25">
      <c r="A31" s="14" t="s">
        <v>123</v>
      </c>
      <c r="B31" s="13">
        <v>2890.35</v>
      </c>
      <c r="C31" s="13">
        <v>3125.41</v>
      </c>
      <c r="D31" s="13">
        <v>2546.92</v>
      </c>
      <c r="E31" s="13">
        <v>2418.52</v>
      </c>
      <c r="F31" s="13">
        <v>10981.2</v>
      </c>
      <c r="G31" s="13">
        <v>5282.79</v>
      </c>
      <c r="H31" s="13">
        <v>3380.99</v>
      </c>
      <c r="I31" s="13">
        <v>3603.56</v>
      </c>
      <c r="J31" s="13">
        <v>3126.68</v>
      </c>
      <c r="K31" s="13">
        <v>15374.91</v>
      </c>
      <c r="L31" s="13">
        <v>3968.25</v>
      </c>
      <c r="M31" s="13">
        <v>4116.1400000000003</v>
      </c>
      <c r="N31" s="13">
        <v>4323.71</v>
      </c>
      <c r="O31" s="13">
        <v>3870.82</v>
      </c>
      <c r="P31" s="13">
        <v>16175.62</v>
      </c>
      <c r="Q31" s="13">
        <v>4739.17</v>
      </c>
      <c r="R31" s="13">
        <v>4955.1000000000004</v>
      </c>
      <c r="S31" s="13">
        <v>5152.82</v>
      </c>
      <c r="T31" s="13">
        <v>4719.5</v>
      </c>
      <c r="U31" s="13">
        <v>19066.650000000001</v>
      </c>
      <c r="V31" s="13">
        <v>5519.22</v>
      </c>
      <c r="W31" s="13">
        <v>5806.7</v>
      </c>
      <c r="X31" s="13">
        <v>6107.83</v>
      </c>
      <c r="Y31" s="13">
        <v>5642.91</v>
      </c>
      <c r="Z31" s="13">
        <v>22094.240000000002</v>
      </c>
      <c r="AA31" s="13">
        <v>6436.67</v>
      </c>
      <c r="AB31" s="13">
        <v>6808.08</v>
      </c>
      <c r="AC31" s="13">
        <v>7095.12</v>
      </c>
      <c r="AD31" s="13">
        <v>6660.41</v>
      </c>
      <c r="AE31" s="13">
        <v>25280.94</v>
      </c>
    </row>
    <row r="32" spans="1:31" x14ac:dyDescent="0.25">
      <c r="A32" s="14" t="s">
        <v>124</v>
      </c>
      <c r="B32" s="13">
        <v>0.68</v>
      </c>
      <c r="C32" s="13">
        <v>0.74</v>
      </c>
      <c r="D32" s="13">
        <v>0.6</v>
      </c>
      <c r="E32" s="13">
        <v>0.56999999999999995</v>
      </c>
      <c r="F32" s="13">
        <v>2.58</v>
      </c>
      <c r="G32" s="13">
        <v>1.25</v>
      </c>
      <c r="H32" s="13">
        <v>0.81</v>
      </c>
      <c r="I32" s="13">
        <v>0.86</v>
      </c>
      <c r="J32" s="13">
        <v>0.76</v>
      </c>
      <c r="K32" s="13">
        <v>3.68</v>
      </c>
      <c r="L32" s="13">
        <v>0.95</v>
      </c>
      <c r="M32" s="13">
        <v>1</v>
      </c>
      <c r="N32" s="13">
        <v>1.05</v>
      </c>
      <c r="O32" s="13">
        <v>0.96</v>
      </c>
      <c r="P32" s="13">
        <v>3.9</v>
      </c>
      <c r="Q32" s="13">
        <v>1.1599999999999999</v>
      </c>
      <c r="R32" s="13">
        <v>1.23</v>
      </c>
      <c r="S32" s="13">
        <v>1.27</v>
      </c>
      <c r="T32" s="13">
        <v>1.19</v>
      </c>
      <c r="U32" s="13">
        <v>4.68</v>
      </c>
      <c r="V32" s="13">
        <v>1.38</v>
      </c>
      <c r="W32" s="13">
        <v>1.47</v>
      </c>
      <c r="X32" s="13">
        <v>1.53</v>
      </c>
      <c r="Y32" s="13">
        <v>1.47</v>
      </c>
      <c r="Z32" s="13">
        <v>5.51</v>
      </c>
      <c r="AA32" s="13">
        <v>1.64</v>
      </c>
      <c r="AB32" s="13">
        <v>1.76</v>
      </c>
      <c r="AC32" s="13">
        <v>1.82</v>
      </c>
      <c r="AD32" s="13">
        <v>1.77</v>
      </c>
      <c r="AE32" s="13">
        <v>6.43</v>
      </c>
    </row>
    <row r="33" spans="1:31" x14ac:dyDescent="0.25">
      <c r="A33" s="14" t="s">
        <v>125</v>
      </c>
      <c r="B33" s="13">
        <v>0.66</v>
      </c>
      <c r="C33" s="13">
        <v>0.72</v>
      </c>
      <c r="D33" s="13">
        <v>0.59</v>
      </c>
      <c r="E33" s="13">
        <v>0.56000000000000005</v>
      </c>
      <c r="F33" s="13">
        <v>2.5299999999999998</v>
      </c>
      <c r="G33" s="13">
        <v>1.23</v>
      </c>
      <c r="H33" s="13">
        <v>0.79</v>
      </c>
      <c r="I33" s="13">
        <v>0.85</v>
      </c>
      <c r="J33" s="13">
        <v>0.74</v>
      </c>
      <c r="K33" s="13">
        <v>3.6</v>
      </c>
      <c r="L33" s="13">
        <v>0.94</v>
      </c>
      <c r="M33" s="13">
        <v>0.98</v>
      </c>
      <c r="N33" s="13">
        <v>1.03</v>
      </c>
      <c r="O33" s="13">
        <v>0.93</v>
      </c>
      <c r="P33" s="13">
        <v>3.84</v>
      </c>
      <c r="Q33" s="13">
        <v>1.1399999999999999</v>
      </c>
      <c r="R33" s="13">
        <v>1.2</v>
      </c>
      <c r="S33" s="13">
        <v>1.26</v>
      </c>
      <c r="T33" s="13">
        <v>1.1599999999999999</v>
      </c>
      <c r="U33" s="13">
        <v>4.62</v>
      </c>
      <c r="V33" s="13">
        <v>1.37</v>
      </c>
      <c r="W33" s="13">
        <v>1.45</v>
      </c>
      <c r="X33" s="13">
        <v>1.53</v>
      </c>
      <c r="Y33" s="13">
        <v>1.42</v>
      </c>
      <c r="Z33" s="13">
        <v>5.48</v>
      </c>
      <c r="AA33" s="13">
        <v>1.64</v>
      </c>
      <c r="AB33" s="13">
        <v>1.74</v>
      </c>
      <c r="AC33" s="13">
        <v>1.83</v>
      </c>
      <c r="AD33" s="13">
        <v>1.72</v>
      </c>
      <c r="AE33" s="13">
        <v>6.41</v>
      </c>
    </row>
    <row r="34" spans="1:31" x14ac:dyDescent="0.25">
      <c r="A34" s="14" t="s">
        <v>126</v>
      </c>
      <c r="B34" s="13">
        <v>4272.6899999999996</v>
      </c>
      <c r="C34" s="13">
        <v>4252.1099999999997</v>
      </c>
      <c r="D34" s="13">
        <v>4244.55</v>
      </c>
      <c r="E34" s="13">
        <v>4229.22</v>
      </c>
      <c r="F34" s="13">
        <v>4249.51</v>
      </c>
      <c r="G34" s="13">
        <v>4222.79</v>
      </c>
      <c r="H34" s="13">
        <v>4202.83</v>
      </c>
      <c r="I34" s="13">
        <v>4185.09</v>
      </c>
      <c r="J34" s="13">
        <v>4166.91</v>
      </c>
      <c r="K34" s="13">
        <v>4191.83</v>
      </c>
      <c r="L34" s="13">
        <v>4141.21</v>
      </c>
      <c r="M34" s="13">
        <v>4123.93</v>
      </c>
      <c r="N34" s="13">
        <v>4101.3</v>
      </c>
      <c r="O34" s="13">
        <v>4079.24</v>
      </c>
      <c r="P34" s="13">
        <v>4123.38</v>
      </c>
      <c r="Q34" s="13">
        <v>4050.85</v>
      </c>
      <c r="R34" s="13">
        <v>4027.23</v>
      </c>
      <c r="S34" s="13">
        <v>4004.58</v>
      </c>
      <c r="T34" s="13">
        <v>3982.48</v>
      </c>
      <c r="U34" s="13">
        <v>4041.88</v>
      </c>
      <c r="V34" s="13">
        <v>3943.71</v>
      </c>
      <c r="W34" s="13">
        <v>3923.8</v>
      </c>
      <c r="X34" s="13">
        <v>3904.07</v>
      </c>
      <c r="Y34" s="13">
        <v>3884.53</v>
      </c>
      <c r="Z34" s="13">
        <v>3941.79</v>
      </c>
      <c r="AA34" s="13">
        <v>3852.81</v>
      </c>
      <c r="AB34" s="13">
        <v>3830.24</v>
      </c>
      <c r="AC34" s="13">
        <v>3807.78</v>
      </c>
      <c r="AD34" s="13">
        <v>3785.48</v>
      </c>
      <c r="AE34" s="13">
        <v>3852.23</v>
      </c>
    </row>
    <row r="35" spans="1:31" x14ac:dyDescent="0.25">
      <c r="A35" s="14" t="s">
        <v>127</v>
      </c>
      <c r="B35" s="13">
        <v>4369.62</v>
      </c>
      <c r="C35" s="13">
        <v>4348.83</v>
      </c>
      <c r="D35" s="13">
        <v>4340.3900000000003</v>
      </c>
      <c r="E35" s="13">
        <v>4317.1400000000003</v>
      </c>
      <c r="F35" s="13">
        <v>4344</v>
      </c>
      <c r="G35" s="13">
        <v>4298.4399999999996</v>
      </c>
      <c r="H35" s="13">
        <v>4279.8999999999996</v>
      </c>
      <c r="I35" s="13">
        <v>4264.05</v>
      </c>
      <c r="J35" s="13">
        <v>4248.49</v>
      </c>
      <c r="K35" s="13">
        <v>4271.05</v>
      </c>
      <c r="L35" s="13">
        <v>4225.76</v>
      </c>
      <c r="M35" s="13">
        <v>4212.25</v>
      </c>
      <c r="N35" s="13">
        <v>4194.75</v>
      </c>
      <c r="O35" s="13">
        <v>4177.38</v>
      </c>
      <c r="P35" s="13">
        <v>4210.91</v>
      </c>
      <c r="Q35" s="13">
        <v>4139</v>
      </c>
      <c r="R35" s="13">
        <v>4119.83</v>
      </c>
      <c r="S35" s="13">
        <v>4099.71</v>
      </c>
      <c r="T35" s="13">
        <v>4079.42</v>
      </c>
      <c r="U35" s="13">
        <v>4131.8500000000004</v>
      </c>
      <c r="V35" s="13">
        <v>4022.9</v>
      </c>
      <c r="W35" s="13">
        <v>4003.63</v>
      </c>
      <c r="X35" s="13">
        <v>3984.35</v>
      </c>
      <c r="Y35" s="13">
        <v>3965.12</v>
      </c>
      <c r="Z35" s="13">
        <v>4039.49</v>
      </c>
      <c r="AA35" s="13">
        <v>3935.55</v>
      </c>
      <c r="AB35" s="13">
        <v>3914.87</v>
      </c>
      <c r="AC35" s="13">
        <v>3894.08</v>
      </c>
      <c r="AD35" s="13">
        <v>3873.28</v>
      </c>
      <c r="AE35" s="13">
        <v>3959.11</v>
      </c>
    </row>
    <row r="36" spans="1:31" x14ac:dyDescent="0.25">
      <c r="A36" s="14" t="s">
        <v>90</v>
      </c>
    </row>
    <row r="37" spans="1:31" x14ac:dyDescent="0.25">
      <c r="A37" s="14" t="s">
        <v>123</v>
      </c>
      <c r="B37" s="13">
        <v>2890.35</v>
      </c>
      <c r="C37" s="13">
        <v>3125.41</v>
      </c>
      <c r="D37" s="13">
        <v>2546.92</v>
      </c>
      <c r="E37" s="13">
        <v>2418.52</v>
      </c>
      <c r="F37" s="13">
        <v>10981.2</v>
      </c>
      <c r="G37" s="13">
        <v>5282.79</v>
      </c>
      <c r="H37" s="13">
        <v>3380.99</v>
      </c>
      <c r="I37" s="13">
        <v>3603.56</v>
      </c>
      <c r="J37" s="13">
        <v>3126.68</v>
      </c>
      <c r="K37" s="13">
        <v>15374.91</v>
      </c>
      <c r="L37" s="13">
        <v>3968.25</v>
      </c>
      <c r="M37" s="13">
        <v>4116.1400000000003</v>
      </c>
      <c r="N37" s="13">
        <v>4323.71</v>
      </c>
      <c r="O37" s="13">
        <v>3870.82</v>
      </c>
      <c r="P37" s="13">
        <v>16175.62</v>
      </c>
      <c r="Q37" s="13">
        <v>4739.17</v>
      </c>
      <c r="R37" s="13">
        <v>4955.1000000000004</v>
      </c>
      <c r="S37" s="13">
        <v>5152.82</v>
      </c>
      <c r="T37" s="13">
        <v>4719.5</v>
      </c>
      <c r="U37" s="13">
        <v>19066.650000000001</v>
      </c>
      <c r="V37" s="13">
        <v>5519.22</v>
      </c>
      <c r="W37" s="13">
        <v>5806.7</v>
      </c>
      <c r="X37" s="13">
        <v>6107.83</v>
      </c>
      <c r="Y37" s="13">
        <v>5642.91</v>
      </c>
      <c r="Z37" s="13">
        <v>22094.240000000002</v>
      </c>
      <c r="AA37" s="13">
        <v>6436.67</v>
      </c>
      <c r="AB37" s="13">
        <v>6808.08</v>
      </c>
      <c r="AC37" s="13">
        <v>7095.12</v>
      </c>
      <c r="AD37" s="13">
        <v>6660.41</v>
      </c>
      <c r="AE37" s="13">
        <v>25280.94</v>
      </c>
    </row>
    <row r="38" spans="1:31" x14ac:dyDescent="0.25">
      <c r="A38" t="s">
        <v>128</v>
      </c>
      <c r="B38" s="13">
        <v>71.98</v>
      </c>
      <c r="C38" s="13">
        <v>80.86</v>
      </c>
      <c r="D38" s="13">
        <v>80.989999999999995</v>
      </c>
      <c r="E38" s="13">
        <v>134.62</v>
      </c>
      <c r="F38" s="13">
        <v>368.45</v>
      </c>
      <c r="G38" s="13">
        <v>140.41</v>
      </c>
      <c r="H38" s="13">
        <v>105.26</v>
      </c>
      <c r="I38" s="13">
        <v>108.81</v>
      </c>
      <c r="J38" s="13">
        <v>130.13999999999999</v>
      </c>
      <c r="K38" s="13">
        <v>470.57</v>
      </c>
      <c r="L38" s="13">
        <v>157.63999999999999</v>
      </c>
      <c r="M38" s="13">
        <v>101.8</v>
      </c>
      <c r="N38" s="13">
        <v>101.37</v>
      </c>
      <c r="O38" s="13">
        <v>169.17</v>
      </c>
      <c r="P38" s="13">
        <v>470.51</v>
      </c>
      <c r="Q38" s="13">
        <v>121.77</v>
      </c>
      <c r="R38" s="13">
        <v>108.64</v>
      </c>
      <c r="S38" s="13">
        <v>120.47</v>
      </c>
      <c r="T38" s="13">
        <v>118.65</v>
      </c>
      <c r="U38" s="13">
        <v>484.77</v>
      </c>
      <c r="V38" t="s">
        <v>66</v>
      </c>
      <c r="W38" t="s">
        <v>66</v>
      </c>
      <c r="X38" t="s">
        <v>66</v>
      </c>
      <c r="Y38" t="s">
        <v>66</v>
      </c>
      <c r="Z38" s="13">
        <v>520.61</v>
      </c>
      <c r="AA38" t="s">
        <v>66</v>
      </c>
      <c r="AB38" t="s">
        <v>66</v>
      </c>
      <c r="AC38" t="s">
        <v>66</v>
      </c>
      <c r="AD38" t="s">
        <v>66</v>
      </c>
      <c r="AE38" s="13">
        <v>551.77</v>
      </c>
    </row>
    <row r="39" spans="1:31" x14ac:dyDescent="0.25">
      <c r="A39" t="s">
        <v>129</v>
      </c>
      <c r="B39" s="13">
        <v>-174.31</v>
      </c>
      <c r="C39" s="13">
        <v>-268.87</v>
      </c>
      <c r="D39" s="13">
        <v>-298.7</v>
      </c>
      <c r="E39" s="13">
        <v>-199.93</v>
      </c>
      <c r="F39" s="13">
        <v>-941.81</v>
      </c>
      <c r="G39" s="13">
        <v>-663.25</v>
      </c>
      <c r="H39" s="13">
        <v>-293.67</v>
      </c>
      <c r="I39" s="13">
        <v>-327.79</v>
      </c>
      <c r="J39" s="13">
        <v>-255.98</v>
      </c>
      <c r="K39" s="13">
        <v>-1540.7</v>
      </c>
      <c r="L39" t="s">
        <v>66</v>
      </c>
      <c r="M39" t="s">
        <v>66</v>
      </c>
      <c r="N39" t="s">
        <v>66</v>
      </c>
      <c r="O39" t="s">
        <v>66</v>
      </c>
      <c r="P39" s="13">
        <v>-1472.81</v>
      </c>
      <c r="Q39" t="s">
        <v>66</v>
      </c>
      <c r="R39" t="s">
        <v>66</v>
      </c>
      <c r="S39" t="s">
        <v>66</v>
      </c>
      <c r="T39" t="s">
        <v>66</v>
      </c>
      <c r="U39" s="13">
        <v>-1703.6</v>
      </c>
      <c r="V39" t="s">
        <v>66</v>
      </c>
      <c r="W39" t="s">
        <v>66</v>
      </c>
      <c r="X39" t="s">
        <v>66</v>
      </c>
      <c r="Y39" t="s">
        <v>66</v>
      </c>
      <c r="Z39" s="13">
        <v>-1897.83</v>
      </c>
      <c r="AA39" t="s">
        <v>66</v>
      </c>
      <c r="AB39" t="s">
        <v>66</v>
      </c>
      <c r="AC39" t="s">
        <v>66</v>
      </c>
      <c r="AD39" t="s">
        <v>66</v>
      </c>
      <c r="AE39" s="13">
        <v>-2097.64</v>
      </c>
    </row>
    <row r="40" spans="1:31" x14ac:dyDescent="0.25">
      <c r="A40" s="14" t="s">
        <v>130</v>
      </c>
      <c r="B40" s="13">
        <v>71.98</v>
      </c>
      <c r="C40" s="13">
        <v>80.86</v>
      </c>
      <c r="D40" s="13">
        <v>-0.7</v>
      </c>
      <c r="E40" s="13">
        <v>64.930000000000007</v>
      </c>
      <c r="F40" s="13">
        <v>368.45</v>
      </c>
      <c r="G40" s="13">
        <v>-56.23</v>
      </c>
      <c r="H40" s="13">
        <v>22.57</v>
      </c>
      <c r="I40" s="13">
        <v>15.35</v>
      </c>
      <c r="J40" s="13">
        <v>51.11</v>
      </c>
      <c r="K40" s="13">
        <v>103.31</v>
      </c>
      <c r="L40" s="13">
        <v>125.55</v>
      </c>
      <c r="M40" s="13">
        <v>106.94</v>
      </c>
      <c r="N40" s="13">
        <v>106.79</v>
      </c>
      <c r="O40" s="13">
        <v>129.38999999999999</v>
      </c>
      <c r="P40" s="13">
        <v>132.53</v>
      </c>
      <c r="Q40" s="13">
        <v>121.77</v>
      </c>
      <c r="R40" s="13">
        <v>108.64</v>
      </c>
      <c r="S40" s="13">
        <v>120.47</v>
      </c>
      <c r="T40" s="13">
        <v>118.65</v>
      </c>
      <c r="U40" s="13">
        <v>30.08</v>
      </c>
      <c r="V40" t="s">
        <v>66</v>
      </c>
      <c r="W40" t="s">
        <v>66</v>
      </c>
      <c r="X40" t="s">
        <v>66</v>
      </c>
      <c r="Y40" t="s">
        <v>66</v>
      </c>
      <c r="Z40" s="13">
        <v>-212.4</v>
      </c>
      <c r="AA40" t="s">
        <v>66</v>
      </c>
      <c r="AB40" t="s">
        <v>66</v>
      </c>
      <c r="AC40" t="s">
        <v>66</v>
      </c>
      <c r="AD40" t="s">
        <v>66</v>
      </c>
      <c r="AE40" s="13">
        <v>-255.41</v>
      </c>
    </row>
    <row r="41" spans="1:31" x14ac:dyDescent="0.25">
      <c r="A41" s="14" t="s">
        <v>131</v>
      </c>
      <c r="B41" s="13">
        <v>2962.33</v>
      </c>
      <c r="C41" s="13">
        <v>3206.28</v>
      </c>
      <c r="D41" s="13">
        <v>2546.2800000000002</v>
      </c>
      <c r="E41" s="13">
        <v>2476.98</v>
      </c>
      <c r="F41" s="13">
        <v>11349.65</v>
      </c>
      <c r="G41" s="13">
        <v>5232.8100000000004</v>
      </c>
      <c r="H41" s="13">
        <v>3413.24</v>
      </c>
      <c r="I41" s="13">
        <v>3625.2</v>
      </c>
      <c r="J41" s="13">
        <v>3124.02</v>
      </c>
      <c r="K41" s="13">
        <v>15447.63</v>
      </c>
      <c r="L41" s="13">
        <v>4067.99</v>
      </c>
      <c r="M41" s="13">
        <v>4146.7</v>
      </c>
      <c r="N41" s="13">
        <v>4312.6099999999997</v>
      </c>
      <c r="O41" s="13">
        <v>3911.16</v>
      </c>
      <c r="P41" s="13">
        <v>16194.5</v>
      </c>
      <c r="Q41" s="13">
        <v>4893.25</v>
      </c>
      <c r="R41" s="13">
        <v>4971.28</v>
      </c>
      <c r="S41" s="13">
        <v>5259.83</v>
      </c>
      <c r="T41" s="13">
        <v>4701.63</v>
      </c>
      <c r="U41" s="13">
        <v>18873.12</v>
      </c>
      <c r="V41" s="13">
        <v>5675.4</v>
      </c>
      <c r="W41" s="13">
        <v>5686.14</v>
      </c>
      <c r="X41" s="13">
        <v>6382.11</v>
      </c>
      <c r="Y41" s="13">
        <v>5435.19</v>
      </c>
      <c r="Z41" s="13">
        <v>20978.15</v>
      </c>
      <c r="AA41" t="s">
        <v>66</v>
      </c>
      <c r="AB41" t="s">
        <v>66</v>
      </c>
      <c r="AC41" t="s">
        <v>66</v>
      </c>
      <c r="AD41" t="s">
        <v>66</v>
      </c>
      <c r="AE41" s="13">
        <v>23123.19</v>
      </c>
    </row>
    <row r="42" spans="1:31" x14ac:dyDescent="0.25">
      <c r="A42" s="14" t="s">
        <v>132</v>
      </c>
      <c r="B42" s="13">
        <v>0.68</v>
      </c>
      <c r="C42" s="13">
        <v>0.74</v>
      </c>
      <c r="D42" s="13">
        <v>0.59</v>
      </c>
      <c r="E42" s="13">
        <v>0.59</v>
      </c>
      <c r="F42" s="13">
        <v>2.56</v>
      </c>
      <c r="G42" s="13">
        <v>1.1399999999999999</v>
      </c>
      <c r="H42" s="13">
        <v>0.8</v>
      </c>
      <c r="I42" s="13">
        <v>0.85</v>
      </c>
      <c r="J42" s="13">
        <v>0.73</v>
      </c>
      <c r="K42" s="13">
        <v>3.55</v>
      </c>
      <c r="L42" s="13">
        <v>0.96</v>
      </c>
      <c r="M42" s="13">
        <v>0.97</v>
      </c>
      <c r="N42" s="13">
        <v>1.01</v>
      </c>
      <c r="O42" s="13">
        <v>0.92</v>
      </c>
      <c r="P42" s="13">
        <v>3.77</v>
      </c>
      <c r="Q42" s="13">
        <v>1.1599999999999999</v>
      </c>
      <c r="R42" s="13">
        <v>1.18</v>
      </c>
      <c r="S42" s="13">
        <v>1.25</v>
      </c>
      <c r="T42" s="13">
        <v>1.1200000000000001</v>
      </c>
      <c r="U42" s="13">
        <v>4.4400000000000004</v>
      </c>
      <c r="V42" s="13">
        <v>1.39</v>
      </c>
      <c r="W42" s="13">
        <v>1.4</v>
      </c>
      <c r="X42" s="13">
        <v>1.58</v>
      </c>
      <c r="Y42" s="13">
        <v>1.35</v>
      </c>
      <c r="Z42" s="13">
        <v>4.95</v>
      </c>
      <c r="AA42" t="s">
        <v>66</v>
      </c>
      <c r="AB42" t="s">
        <v>66</v>
      </c>
      <c r="AC42" t="s">
        <v>66</v>
      </c>
      <c r="AD42" t="s">
        <v>66</v>
      </c>
      <c r="AE42" s="13">
        <v>5.38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8B426-E834-9946-B653-2E49C620D1BA}">
  <dimension ref="A1:AE90"/>
  <sheetViews>
    <sheetView workbookViewId="0"/>
  </sheetViews>
  <sheetFormatPr defaultColWidth="11.42578125" defaultRowHeight="15" x14ac:dyDescent="0.25"/>
  <sheetData>
    <row r="1" spans="1:31" x14ac:dyDescent="0.25">
      <c r="A1" s="14" t="s">
        <v>133</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spans="1:31" x14ac:dyDescent="0.25">
      <c r="A2" t="s">
        <v>0</v>
      </c>
    </row>
    <row r="4" spans="1:31" x14ac:dyDescent="0.25">
      <c r="A4" s="14" t="s">
        <v>1</v>
      </c>
    </row>
    <row r="6" spans="1:31" x14ac:dyDescent="0.25">
      <c r="A6" t="s">
        <v>2</v>
      </c>
    </row>
    <row r="7" spans="1:31" x14ac:dyDescent="0.25">
      <c r="A7" t="s">
        <v>3</v>
      </c>
    </row>
    <row r="8" spans="1:31" x14ac:dyDescent="0.25">
      <c r="A8" t="s">
        <v>4</v>
      </c>
    </row>
    <row r="9" spans="1:31" x14ac:dyDescent="0.25">
      <c r="A9" t="s">
        <v>5</v>
      </c>
    </row>
    <row r="10" spans="1:31" x14ac:dyDescent="0.25">
      <c r="A10" t="s">
        <v>6</v>
      </c>
    </row>
    <row r="12" spans="1:31" x14ac:dyDescent="0.25">
      <c r="A12" s="14" t="s">
        <v>7</v>
      </c>
      <c r="B12" s="14" t="s">
        <v>8</v>
      </c>
      <c r="C12" s="14" t="s">
        <v>9</v>
      </c>
      <c r="D12" s="14" t="s">
        <v>10</v>
      </c>
      <c r="E12" s="14" t="s">
        <v>11</v>
      </c>
      <c r="F12" s="14" t="s">
        <v>12</v>
      </c>
      <c r="G12" s="14" t="s">
        <v>13</v>
      </c>
      <c r="H12" s="14" t="s">
        <v>14</v>
      </c>
      <c r="I12" s="14" t="s">
        <v>15</v>
      </c>
      <c r="J12" s="14" t="s">
        <v>16</v>
      </c>
      <c r="K12" s="14" t="s">
        <v>17</v>
      </c>
      <c r="L12" s="14" t="s">
        <v>18</v>
      </c>
      <c r="M12" s="14" t="s">
        <v>19</v>
      </c>
      <c r="N12" s="14" t="s">
        <v>20</v>
      </c>
      <c r="O12" s="14" t="s">
        <v>21</v>
      </c>
      <c r="P12" s="14" t="s">
        <v>22</v>
      </c>
      <c r="Q12" s="14" t="s">
        <v>23</v>
      </c>
      <c r="R12" s="14" t="s">
        <v>24</v>
      </c>
      <c r="S12" s="14" t="s">
        <v>25</v>
      </c>
      <c r="T12" s="14" t="s">
        <v>26</v>
      </c>
      <c r="U12" s="14" t="s">
        <v>27</v>
      </c>
      <c r="V12" s="14" t="s">
        <v>28</v>
      </c>
      <c r="W12" s="14" t="s">
        <v>29</v>
      </c>
      <c r="X12" s="14" t="s">
        <v>30</v>
      </c>
      <c r="Y12" s="14" t="s">
        <v>31</v>
      </c>
      <c r="Z12" s="14" t="s">
        <v>32</v>
      </c>
      <c r="AA12" s="14" t="s">
        <v>33</v>
      </c>
      <c r="AB12" s="14" t="s">
        <v>34</v>
      </c>
      <c r="AC12" s="14" t="s">
        <v>35</v>
      </c>
      <c r="AD12" s="14" t="s">
        <v>36</v>
      </c>
      <c r="AE12" s="14" t="s">
        <v>37</v>
      </c>
    </row>
    <row r="13" spans="1:31" x14ac:dyDescent="0.25">
      <c r="A13" s="14" t="s">
        <v>38</v>
      </c>
      <c r="B13" s="12">
        <v>38</v>
      </c>
      <c r="C13" s="12">
        <v>38</v>
      </c>
      <c r="D13" s="12">
        <v>37</v>
      </c>
      <c r="E13" s="12">
        <v>37</v>
      </c>
      <c r="F13" s="12">
        <v>39</v>
      </c>
      <c r="G13" s="12">
        <v>36</v>
      </c>
      <c r="H13" t="s">
        <v>39</v>
      </c>
      <c r="I13" t="s">
        <v>40</v>
      </c>
      <c r="J13" t="s">
        <v>40</v>
      </c>
      <c r="K13" t="s">
        <v>41</v>
      </c>
      <c r="L13" t="s">
        <v>42</v>
      </c>
      <c r="M13" t="s">
        <v>42</v>
      </c>
      <c r="N13" t="s">
        <v>42</v>
      </c>
      <c r="O13" t="s">
        <v>42</v>
      </c>
      <c r="P13" t="s">
        <v>43</v>
      </c>
      <c r="Q13" t="s">
        <v>44</v>
      </c>
      <c r="R13" t="s">
        <v>44</v>
      </c>
      <c r="S13" t="s">
        <v>44</v>
      </c>
      <c r="T13" t="s">
        <v>44</v>
      </c>
      <c r="U13" t="s">
        <v>45</v>
      </c>
      <c r="V13" t="s">
        <v>46</v>
      </c>
      <c r="W13" t="s">
        <v>46</v>
      </c>
      <c r="X13" t="s">
        <v>46</v>
      </c>
      <c r="Y13" t="s">
        <v>46</v>
      </c>
      <c r="Z13" t="s">
        <v>47</v>
      </c>
      <c r="AA13" t="s">
        <v>48</v>
      </c>
      <c r="AB13" t="s">
        <v>48</v>
      </c>
      <c r="AC13" t="s">
        <v>48</v>
      </c>
      <c r="AD13" t="s">
        <v>48</v>
      </c>
      <c r="AE13" t="s">
        <v>49</v>
      </c>
    </row>
    <row r="14" spans="1:31" x14ac:dyDescent="0.25">
      <c r="A14" s="14" t="s">
        <v>134</v>
      </c>
    </row>
    <row r="15" spans="1:31" x14ac:dyDescent="0.25">
      <c r="A15" t="s">
        <v>135</v>
      </c>
      <c r="B15" s="13">
        <v>1</v>
      </c>
      <c r="C15" s="13">
        <v>1</v>
      </c>
      <c r="D15" s="13">
        <v>1</v>
      </c>
      <c r="E15" s="13">
        <v>2.35</v>
      </c>
      <c r="F15" s="13">
        <v>4.71</v>
      </c>
      <c r="G15" s="13">
        <v>0.61</v>
      </c>
      <c r="H15" s="13">
        <v>0.6</v>
      </c>
      <c r="I15" s="13">
        <v>0.64</v>
      </c>
      <c r="J15" s="13">
        <v>1.36</v>
      </c>
      <c r="K15" s="13">
        <v>3.08</v>
      </c>
      <c r="L15" s="13">
        <v>0.62</v>
      </c>
      <c r="M15" s="13">
        <v>0.55000000000000004</v>
      </c>
      <c r="N15" s="13">
        <v>0.61</v>
      </c>
      <c r="O15" s="13">
        <v>1.22</v>
      </c>
      <c r="P15" s="13">
        <v>3.19</v>
      </c>
      <c r="Q15" s="13">
        <v>0.51</v>
      </c>
      <c r="R15" s="13">
        <v>0.38</v>
      </c>
      <c r="S15" s="13">
        <v>0.44</v>
      </c>
      <c r="T15" s="13">
        <v>0.75</v>
      </c>
      <c r="U15" s="13">
        <v>2.06</v>
      </c>
      <c r="V15" s="13">
        <v>0.51</v>
      </c>
      <c r="W15" s="13">
        <v>0.35</v>
      </c>
      <c r="X15" s="13">
        <v>0.4</v>
      </c>
      <c r="Y15" s="13">
        <v>0.69</v>
      </c>
      <c r="Z15" s="13">
        <v>1.99</v>
      </c>
      <c r="AA15" s="13">
        <v>0.51</v>
      </c>
      <c r="AB15" s="13">
        <v>0.33</v>
      </c>
      <c r="AC15" s="13">
        <v>0.38</v>
      </c>
      <c r="AD15" s="13">
        <v>0.7</v>
      </c>
      <c r="AE15" s="13">
        <v>1.85</v>
      </c>
    </row>
    <row r="16" spans="1:31" x14ac:dyDescent="0.25">
      <c r="A16" s="14" t="s">
        <v>136</v>
      </c>
      <c r="B16" s="13">
        <v>90.62</v>
      </c>
      <c r="C16" s="13">
        <v>91.07</v>
      </c>
      <c r="D16" s="13">
        <v>92.21</v>
      </c>
      <c r="E16" s="13">
        <v>94.61</v>
      </c>
      <c r="F16" s="13">
        <v>94.49</v>
      </c>
      <c r="G16" s="13">
        <v>95.24</v>
      </c>
      <c r="H16" s="13">
        <v>95.84</v>
      </c>
      <c r="I16" s="13">
        <v>96.47</v>
      </c>
      <c r="J16" s="13">
        <v>97.86</v>
      </c>
      <c r="K16" s="13">
        <v>97.58</v>
      </c>
      <c r="L16" s="13">
        <v>98.7</v>
      </c>
      <c r="M16" s="13">
        <v>99.21</v>
      </c>
      <c r="N16" s="13">
        <v>99.78</v>
      </c>
      <c r="O16" s="13">
        <v>100.93</v>
      </c>
      <c r="P16" s="13">
        <v>100.63</v>
      </c>
      <c r="Q16" s="13">
        <v>100.92</v>
      </c>
      <c r="R16" s="13">
        <v>101.3</v>
      </c>
      <c r="S16" s="13">
        <v>101.74</v>
      </c>
      <c r="T16" s="13">
        <v>102.49</v>
      </c>
      <c r="U16" s="13">
        <v>102.21</v>
      </c>
      <c r="V16" s="13">
        <v>102.55</v>
      </c>
      <c r="W16" s="13">
        <v>102.9</v>
      </c>
      <c r="X16" s="13">
        <v>103.3</v>
      </c>
      <c r="Y16" s="13">
        <v>103.99</v>
      </c>
      <c r="Z16" s="13">
        <v>103.81</v>
      </c>
      <c r="AA16" s="13">
        <v>105.4</v>
      </c>
      <c r="AB16" s="13">
        <v>105.73</v>
      </c>
      <c r="AC16" s="13">
        <v>106.11</v>
      </c>
      <c r="AD16" s="13">
        <v>106.81</v>
      </c>
      <c r="AE16" s="13">
        <v>105.96</v>
      </c>
    </row>
    <row r="17" spans="1:31" x14ac:dyDescent="0.25">
      <c r="A17" s="14" t="s">
        <v>137</v>
      </c>
      <c r="B17" s="13">
        <v>90.12</v>
      </c>
      <c r="C17" s="13">
        <v>90.59</v>
      </c>
      <c r="D17" s="13">
        <v>91.71</v>
      </c>
      <c r="E17" s="13">
        <v>93.53</v>
      </c>
      <c r="F17" s="13">
        <v>91.56</v>
      </c>
      <c r="G17" s="13">
        <v>95</v>
      </c>
      <c r="H17" s="13">
        <v>95.58</v>
      </c>
      <c r="I17" s="13">
        <v>96.21</v>
      </c>
      <c r="J17" s="13">
        <v>97.31</v>
      </c>
      <c r="K17" s="13">
        <v>95.98</v>
      </c>
      <c r="L17" s="13">
        <v>98.65</v>
      </c>
      <c r="M17" s="13">
        <v>99.19</v>
      </c>
      <c r="N17" s="13">
        <v>99.77</v>
      </c>
      <c r="O17" s="13">
        <v>100.78</v>
      </c>
      <c r="P17" s="13">
        <v>99.23</v>
      </c>
      <c r="Q17" s="13">
        <v>101.49</v>
      </c>
      <c r="R17" s="13">
        <v>101.95</v>
      </c>
      <c r="S17" s="13">
        <v>102.45</v>
      </c>
      <c r="T17" s="13">
        <v>103.32</v>
      </c>
      <c r="U17" s="13">
        <v>101.57</v>
      </c>
      <c r="V17" s="13">
        <v>102.3</v>
      </c>
      <c r="W17" s="13">
        <v>102.73</v>
      </c>
      <c r="X17" s="13">
        <v>103.1</v>
      </c>
      <c r="Y17" s="13">
        <v>103.64</v>
      </c>
      <c r="Z17" s="13">
        <v>102.81</v>
      </c>
      <c r="AA17" s="13">
        <v>105.15</v>
      </c>
      <c r="AB17" s="13">
        <v>105.57</v>
      </c>
      <c r="AC17" s="13">
        <v>105.92</v>
      </c>
      <c r="AD17" s="13">
        <v>106.46</v>
      </c>
      <c r="AE17" s="13">
        <v>105.04</v>
      </c>
    </row>
    <row r="18" spans="1:31" x14ac:dyDescent="0.25">
      <c r="A18" t="s">
        <v>138</v>
      </c>
      <c r="B18" s="13">
        <v>17.079999999999998</v>
      </c>
      <c r="C18" s="13">
        <v>18.079999999999998</v>
      </c>
      <c r="D18" s="13">
        <v>18.36</v>
      </c>
      <c r="E18" s="13">
        <v>18.93</v>
      </c>
      <c r="F18" s="13">
        <v>18.13</v>
      </c>
      <c r="G18" s="13">
        <v>18.440000000000001</v>
      </c>
      <c r="H18" s="13">
        <v>19.25</v>
      </c>
      <c r="I18" s="13">
        <v>19.71</v>
      </c>
      <c r="J18" s="13">
        <v>20.37</v>
      </c>
      <c r="K18" s="13">
        <v>19.43</v>
      </c>
      <c r="L18" s="13">
        <v>19.73</v>
      </c>
      <c r="M18" s="13">
        <v>20.440000000000001</v>
      </c>
      <c r="N18" s="13">
        <v>20.99</v>
      </c>
      <c r="O18" s="13">
        <v>21.66</v>
      </c>
      <c r="P18" s="13">
        <v>20.64</v>
      </c>
      <c r="Q18" s="13">
        <v>21.29</v>
      </c>
      <c r="R18" s="13">
        <v>22.09</v>
      </c>
      <c r="S18" s="13">
        <v>22.7</v>
      </c>
      <c r="T18" s="13">
        <v>23.55</v>
      </c>
      <c r="U18" s="13">
        <v>21.93</v>
      </c>
      <c r="V18" s="13">
        <v>23.45</v>
      </c>
      <c r="W18" s="13">
        <v>24.44</v>
      </c>
      <c r="X18" s="13">
        <v>25.28</v>
      </c>
      <c r="Y18" s="13">
        <v>26.36</v>
      </c>
      <c r="Z18" s="13">
        <v>23.79</v>
      </c>
      <c r="AA18" s="13">
        <v>25.35</v>
      </c>
      <c r="AB18" s="13">
        <v>26.39</v>
      </c>
      <c r="AC18" s="13">
        <v>27.45</v>
      </c>
      <c r="AD18" s="13">
        <v>28.38</v>
      </c>
      <c r="AE18" s="13">
        <v>25.16</v>
      </c>
    </row>
    <row r="19" spans="1:31" x14ac:dyDescent="0.25">
      <c r="A19" s="14" t="s">
        <v>139</v>
      </c>
      <c r="B19" s="13">
        <v>4617.1000000000004</v>
      </c>
      <c r="C19" s="13">
        <v>4929</v>
      </c>
      <c r="D19" s="13">
        <v>5071.78</v>
      </c>
      <c r="E19" s="13">
        <v>5339.27</v>
      </c>
      <c r="F19" s="13">
        <v>19957.150000000001</v>
      </c>
      <c r="G19" s="13">
        <v>5245.3</v>
      </c>
      <c r="H19" s="13">
        <v>5522.9</v>
      </c>
      <c r="I19" s="13">
        <v>5694.52</v>
      </c>
      <c r="J19" s="13">
        <v>5964.08</v>
      </c>
      <c r="K19" s="13">
        <v>22388.21</v>
      </c>
      <c r="L19" s="13">
        <v>5862.28</v>
      </c>
      <c r="M19" s="13">
        <v>6115.19</v>
      </c>
      <c r="N19" s="13">
        <v>6316.58</v>
      </c>
      <c r="O19" s="13">
        <v>6599.95</v>
      </c>
      <c r="P19" s="13">
        <v>24627</v>
      </c>
      <c r="Q19" s="13">
        <v>6475.19</v>
      </c>
      <c r="R19" s="13">
        <v>6759.07</v>
      </c>
      <c r="S19" s="13">
        <v>6981.91</v>
      </c>
      <c r="T19" s="13">
        <v>7301.69</v>
      </c>
      <c r="U19" s="13">
        <v>26925.5</v>
      </c>
      <c r="V19" s="13">
        <v>7095.19</v>
      </c>
      <c r="W19" s="13">
        <v>7419.64</v>
      </c>
      <c r="X19" s="13">
        <v>7681.98</v>
      </c>
      <c r="Y19" s="13">
        <v>8061.26</v>
      </c>
      <c r="Z19" s="13">
        <v>29282.83</v>
      </c>
      <c r="AA19" s="13">
        <v>7787.47</v>
      </c>
      <c r="AB19" s="13">
        <v>8144.42</v>
      </c>
      <c r="AC19" s="13">
        <v>8462.14</v>
      </c>
      <c r="AD19" s="13">
        <v>8815.92</v>
      </c>
      <c r="AE19" s="13">
        <v>31654.53</v>
      </c>
    </row>
    <row r="20" spans="1:31" x14ac:dyDescent="0.25">
      <c r="A20" s="14" t="s">
        <v>90</v>
      </c>
    </row>
    <row r="21" spans="1:31" x14ac:dyDescent="0.25">
      <c r="A21" s="14" t="s">
        <v>140</v>
      </c>
    </row>
    <row r="22" spans="1:31" x14ac:dyDescent="0.25">
      <c r="A22" t="s">
        <v>141</v>
      </c>
      <c r="B22" s="13">
        <v>1.5</v>
      </c>
      <c r="C22" s="13">
        <v>2</v>
      </c>
      <c r="D22" s="13">
        <v>2</v>
      </c>
      <c r="E22" s="13">
        <v>2.5</v>
      </c>
      <c r="F22" s="13">
        <v>7.85</v>
      </c>
      <c r="G22" s="13">
        <v>1.22</v>
      </c>
      <c r="H22" s="13">
        <v>1.1200000000000001</v>
      </c>
      <c r="I22" s="13">
        <v>1.25</v>
      </c>
      <c r="J22" s="13">
        <v>2.0099999999999998</v>
      </c>
      <c r="K22" s="13">
        <v>5.93</v>
      </c>
      <c r="L22" s="13">
        <v>1.01</v>
      </c>
      <c r="M22" s="13">
        <v>1.01</v>
      </c>
      <c r="N22" s="13">
        <v>1.1599999999999999</v>
      </c>
      <c r="O22" s="13">
        <v>1.93</v>
      </c>
      <c r="P22" s="13">
        <v>5.42</v>
      </c>
      <c r="Q22" s="13">
        <v>0.91</v>
      </c>
      <c r="R22" s="13">
        <v>0.82</v>
      </c>
      <c r="S22" s="13">
        <v>1.1000000000000001</v>
      </c>
      <c r="T22" s="13">
        <v>1.5</v>
      </c>
      <c r="U22" s="13">
        <v>4.6399999999999997</v>
      </c>
      <c r="V22" s="13">
        <v>0.88</v>
      </c>
      <c r="W22" s="13">
        <v>0.67</v>
      </c>
      <c r="X22" s="13">
        <v>0.96</v>
      </c>
      <c r="Y22" s="13">
        <v>1.32</v>
      </c>
      <c r="Z22" s="13">
        <v>4.1500000000000004</v>
      </c>
      <c r="AA22" s="13">
        <v>0.73</v>
      </c>
      <c r="AB22" s="13">
        <v>0.54</v>
      </c>
      <c r="AC22" s="13">
        <v>0.85</v>
      </c>
      <c r="AD22" s="13">
        <v>1.05</v>
      </c>
      <c r="AE22" s="13">
        <v>3.72</v>
      </c>
    </row>
    <row r="23" spans="1:31" x14ac:dyDescent="0.25">
      <c r="A23" s="14" t="s">
        <v>142</v>
      </c>
      <c r="B23" s="13">
        <v>102.63</v>
      </c>
      <c r="C23" s="13">
        <v>104.63</v>
      </c>
      <c r="D23" s="13">
        <v>106.63</v>
      </c>
      <c r="E23" s="13">
        <v>109.09</v>
      </c>
      <c r="F23" s="13">
        <v>109.06</v>
      </c>
      <c r="G23" s="13">
        <v>110.34</v>
      </c>
      <c r="H23" s="13">
        <v>111.43</v>
      </c>
      <c r="I23" s="13">
        <v>112.68</v>
      </c>
      <c r="J23" s="13">
        <v>114.71</v>
      </c>
      <c r="K23" s="13">
        <v>114.97</v>
      </c>
      <c r="L23" s="13">
        <v>115.85</v>
      </c>
      <c r="M23" s="13">
        <v>116.8</v>
      </c>
      <c r="N23" s="13">
        <v>117.89</v>
      </c>
      <c r="O23" s="13">
        <v>119.7</v>
      </c>
      <c r="P23" s="13">
        <v>120.14</v>
      </c>
      <c r="Q23" s="13">
        <v>120.67</v>
      </c>
      <c r="R23" s="13">
        <v>121.49</v>
      </c>
      <c r="S23" s="13">
        <v>122.59</v>
      </c>
      <c r="T23" s="13">
        <v>124.09</v>
      </c>
      <c r="U23" s="13">
        <v>124.51</v>
      </c>
      <c r="V23" s="13">
        <v>125.38</v>
      </c>
      <c r="W23" s="13">
        <v>126.05</v>
      </c>
      <c r="X23" s="13">
        <v>127.01</v>
      </c>
      <c r="Y23" s="13">
        <v>128.33000000000001</v>
      </c>
      <c r="Z23" s="13">
        <v>128.83000000000001</v>
      </c>
      <c r="AA23" s="13">
        <v>127.51</v>
      </c>
      <c r="AB23" s="13">
        <v>128.05000000000001</v>
      </c>
      <c r="AC23" s="13">
        <v>128.91</v>
      </c>
      <c r="AD23" s="13">
        <v>129.96</v>
      </c>
      <c r="AE23" s="13">
        <v>131.94</v>
      </c>
    </row>
    <row r="24" spans="1:31" x14ac:dyDescent="0.25">
      <c r="A24" s="14" t="s">
        <v>143</v>
      </c>
      <c r="B24" s="13">
        <v>101.88</v>
      </c>
      <c r="C24" s="13">
        <v>103.63</v>
      </c>
      <c r="D24" s="13">
        <v>105.63</v>
      </c>
      <c r="E24" s="13">
        <v>107.88</v>
      </c>
      <c r="F24" s="13">
        <v>104.84</v>
      </c>
      <c r="G24" s="13">
        <v>109.79</v>
      </c>
      <c r="H24" s="13">
        <v>111.03</v>
      </c>
      <c r="I24" s="13">
        <v>112.26</v>
      </c>
      <c r="J24" s="13">
        <v>114.01</v>
      </c>
      <c r="K24" s="13">
        <v>112.15</v>
      </c>
      <c r="L24" s="13">
        <v>115.76</v>
      </c>
      <c r="M24" s="13">
        <v>116.85</v>
      </c>
      <c r="N24" s="13">
        <v>117.98</v>
      </c>
      <c r="O24" s="13">
        <v>119.63</v>
      </c>
      <c r="P24" s="13">
        <v>118.07</v>
      </c>
      <c r="Q24" s="13">
        <v>121.52</v>
      </c>
      <c r="R24" s="13">
        <v>122.66</v>
      </c>
      <c r="S24" s="13">
        <v>123.82</v>
      </c>
      <c r="T24" s="13">
        <v>125.49</v>
      </c>
      <c r="U24" s="13">
        <v>123.32</v>
      </c>
      <c r="V24" s="13">
        <v>124.94</v>
      </c>
      <c r="W24" s="13">
        <v>125.71</v>
      </c>
      <c r="X24" s="13">
        <v>126.53</v>
      </c>
      <c r="Y24" s="13">
        <v>127.67</v>
      </c>
      <c r="Z24" s="13">
        <v>126.72</v>
      </c>
      <c r="AA24" s="13">
        <v>127.15</v>
      </c>
      <c r="AB24" s="13">
        <v>127.78</v>
      </c>
      <c r="AC24" s="13">
        <v>128.47999999999999</v>
      </c>
      <c r="AD24" s="13">
        <v>129.43</v>
      </c>
      <c r="AE24" s="13">
        <v>130.06</v>
      </c>
    </row>
    <row r="25" spans="1:31" x14ac:dyDescent="0.25">
      <c r="A25" t="s">
        <v>144</v>
      </c>
      <c r="B25" s="13">
        <v>11.14</v>
      </c>
      <c r="C25" s="13">
        <v>11.38</v>
      </c>
      <c r="D25" s="13">
        <v>11.67</v>
      </c>
      <c r="E25" s="13">
        <v>11.97</v>
      </c>
      <c r="F25" s="13">
        <v>11.51</v>
      </c>
      <c r="G25" s="13">
        <v>12.09</v>
      </c>
      <c r="H25" s="13">
        <v>11.99</v>
      </c>
      <c r="I25" s="13">
        <v>12.27</v>
      </c>
      <c r="J25" s="13">
        <v>12.57</v>
      </c>
      <c r="K25" s="13">
        <v>12.2</v>
      </c>
      <c r="L25" s="13">
        <v>12.77</v>
      </c>
      <c r="M25" s="13">
        <v>12.68</v>
      </c>
      <c r="N25" s="13">
        <v>12.97</v>
      </c>
      <c r="O25" s="13">
        <v>13.32</v>
      </c>
      <c r="P25" s="13">
        <v>12.93</v>
      </c>
      <c r="Q25" s="13">
        <v>13.57</v>
      </c>
      <c r="R25" s="13">
        <v>13.52</v>
      </c>
      <c r="S25" s="13">
        <v>13.75</v>
      </c>
      <c r="T25" s="13">
        <v>14.18</v>
      </c>
      <c r="U25" s="13">
        <v>13.53</v>
      </c>
      <c r="V25" s="13">
        <v>15.05</v>
      </c>
      <c r="W25" s="13">
        <v>14.97</v>
      </c>
      <c r="X25" s="13">
        <v>15.24</v>
      </c>
      <c r="Y25" s="13">
        <v>15.82</v>
      </c>
      <c r="Z25" s="13">
        <v>14.62</v>
      </c>
      <c r="AA25" s="13">
        <v>16.03</v>
      </c>
      <c r="AB25" s="13">
        <v>16.05</v>
      </c>
      <c r="AC25" s="13">
        <v>16.3</v>
      </c>
      <c r="AD25" s="13">
        <v>16.98</v>
      </c>
      <c r="AE25" s="13">
        <v>15.37</v>
      </c>
    </row>
    <row r="26" spans="1:31" x14ac:dyDescent="0.25">
      <c r="A26" s="14" t="s">
        <v>145</v>
      </c>
      <c r="B26" s="13">
        <v>3404.68</v>
      </c>
      <c r="C26" s="13">
        <v>3538.18</v>
      </c>
      <c r="D26" s="13">
        <v>3699.05</v>
      </c>
      <c r="E26" s="13">
        <v>3872.74</v>
      </c>
      <c r="F26" s="13">
        <v>14514.65</v>
      </c>
      <c r="G26" s="13">
        <v>3998.42</v>
      </c>
      <c r="H26" s="13">
        <v>4014.96</v>
      </c>
      <c r="I26" s="13">
        <v>4152.32</v>
      </c>
      <c r="J26" s="13">
        <v>4321.92</v>
      </c>
      <c r="K26" s="13">
        <v>16451.97</v>
      </c>
      <c r="L26" s="13">
        <v>4477.92</v>
      </c>
      <c r="M26" s="13">
        <v>4486.21</v>
      </c>
      <c r="N26" s="13">
        <v>4630.99</v>
      </c>
      <c r="O26" s="13">
        <v>4830.21</v>
      </c>
      <c r="P26" s="13">
        <v>18341.25</v>
      </c>
      <c r="Q26" s="13">
        <v>4969.41</v>
      </c>
      <c r="R26" s="13">
        <v>4974.41</v>
      </c>
      <c r="S26" s="13">
        <v>5102.8999999999996</v>
      </c>
      <c r="T26" s="13">
        <v>5326.33</v>
      </c>
      <c r="U26" s="13">
        <v>20192.07</v>
      </c>
      <c r="V26" s="13">
        <v>5561.05</v>
      </c>
      <c r="W26" s="13">
        <v>5539.03</v>
      </c>
      <c r="X26" s="13">
        <v>5687.46</v>
      </c>
      <c r="Y26" s="13">
        <v>5937.46</v>
      </c>
      <c r="Z26" s="13">
        <v>22141.57</v>
      </c>
      <c r="AA26" s="13">
        <v>5988.03</v>
      </c>
      <c r="AB26" s="13">
        <v>5984.12</v>
      </c>
      <c r="AC26" s="13">
        <v>6123.34</v>
      </c>
      <c r="AD26" s="13">
        <v>6395.2</v>
      </c>
      <c r="AE26" s="13">
        <v>23864.23</v>
      </c>
    </row>
    <row r="27" spans="1:31" x14ac:dyDescent="0.25">
      <c r="A27" s="14" t="s">
        <v>90</v>
      </c>
    </row>
    <row r="28" spans="1:31" x14ac:dyDescent="0.25">
      <c r="A28" s="14" t="s">
        <v>146</v>
      </c>
    </row>
    <row r="29" spans="1:31" x14ac:dyDescent="0.25">
      <c r="A29" t="s">
        <v>147</v>
      </c>
      <c r="B29" s="13">
        <v>0.8</v>
      </c>
      <c r="C29" s="13">
        <v>1</v>
      </c>
      <c r="D29" s="13">
        <v>1.5</v>
      </c>
      <c r="E29" s="13">
        <v>2</v>
      </c>
      <c r="F29" s="13">
        <v>5.08</v>
      </c>
      <c r="G29" s="13">
        <v>1</v>
      </c>
      <c r="H29" s="13">
        <v>0.95</v>
      </c>
      <c r="I29" s="13">
        <v>0.93</v>
      </c>
      <c r="J29" s="13">
        <v>1.48</v>
      </c>
      <c r="K29" s="13">
        <v>4.49</v>
      </c>
      <c r="L29" s="13">
        <v>0.82</v>
      </c>
      <c r="M29" s="13">
        <v>0.79</v>
      </c>
      <c r="N29" s="13">
        <v>0.81</v>
      </c>
      <c r="O29" s="13">
        <v>1.31</v>
      </c>
      <c r="P29" s="13">
        <v>3.79</v>
      </c>
      <c r="Q29" s="13">
        <v>0.69</v>
      </c>
      <c r="R29" s="13">
        <v>0.71</v>
      </c>
      <c r="S29" s="13">
        <v>0.77</v>
      </c>
      <c r="T29" s="13">
        <v>1.2</v>
      </c>
      <c r="U29" s="13">
        <v>3.67</v>
      </c>
      <c r="V29" s="13">
        <v>0.64</v>
      </c>
      <c r="W29" s="13">
        <v>0.63</v>
      </c>
      <c r="X29" s="13">
        <v>0.66</v>
      </c>
      <c r="Y29" s="13">
        <v>1.05</v>
      </c>
      <c r="Z29" s="13">
        <v>3.26</v>
      </c>
      <c r="AA29" s="13">
        <v>0.59</v>
      </c>
      <c r="AB29" s="13">
        <v>0.52</v>
      </c>
      <c r="AC29" s="13">
        <v>0.64</v>
      </c>
      <c r="AD29" s="13">
        <v>0.96</v>
      </c>
      <c r="AE29" s="13">
        <v>3.06</v>
      </c>
    </row>
    <row r="30" spans="1:31" x14ac:dyDescent="0.25">
      <c r="A30" s="14" t="s">
        <v>148</v>
      </c>
      <c r="B30" s="13">
        <v>54.13</v>
      </c>
      <c r="C30" s="13">
        <v>55.29</v>
      </c>
      <c r="D30" s="13">
        <v>56.45</v>
      </c>
      <c r="E30" s="13">
        <v>58.29</v>
      </c>
      <c r="F30" s="13">
        <v>58.36</v>
      </c>
      <c r="G30" s="13">
        <v>59.35</v>
      </c>
      <c r="H30" s="13">
        <v>60.31</v>
      </c>
      <c r="I30" s="13">
        <v>61.23</v>
      </c>
      <c r="J30" s="13">
        <v>62.72</v>
      </c>
      <c r="K30" s="13">
        <v>62.86</v>
      </c>
      <c r="L30" s="13">
        <v>63.6</v>
      </c>
      <c r="M30" s="13">
        <v>64.349999999999994</v>
      </c>
      <c r="N30" s="13">
        <v>65.11</v>
      </c>
      <c r="O30" s="13">
        <v>66.34</v>
      </c>
      <c r="P30" s="13">
        <v>66.5</v>
      </c>
      <c r="Q30" s="13">
        <v>66.25</v>
      </c>
      <c r="R30" s="13">
        <v>66.959999999999994</v>
      </c>
      <c r="S30" s="13">
        <v>67.73</v>
      </c>
      <c r="T30" s="13">
        <v>68.930000000000007</v>
      </c>
      <c r="U30" s="13">
        <v>69.88</v>
      </c>
      <c r="V30" s="13">
        <v>68.94</v>
      </c>
      <c r="W30" s="13">
        <v>69.569999999999993</v>
      </c>
      <c r="X30" s="13">
        <v>70.23</v>
      </c>
      <c r="Y30" s="13">
        <v>71.28</v>
      </c>
      <c r="Z30" s="13">
        <v>72.83</v>
      </c>
      <c r="AA30" s="13">
        <v>71.75</v>
      </c>
      <c r="AB30" s="13">
        <v>72.27</v>
      </c>
      <c r="AC30" s="13">
        <v>72.900000000000006</v>
      </c>
      <c r="AD30" s="13">
        <v>73.86</v>
      </c>
      <c r="AE30" s="13">
        <v>75.900000000000006</v>
      </c>
    </row>
    <row r="31" spans="1:31" x14ac:dyDescent="0.25">
      <c r="A31" s="14" t="s">
        <v>149</v>
      </c>
      <c r="B31" s="13">
        <v>53.73</v>
      </c>
      <c r="C31" s="13">
        <v>54.62</v>
      </c>
      <c r="D31" s="13">
        <v>55.73</v>
      </c>
      <c r="E31" s="13">
        <v>57.3</v>
      </c>
      <c r="F31" s="13">
        <v>55.54</v>
      </c>
      <c r="G31" s="13">
        <v>58.64</v>
      </c>
      <c r="H31" s="13">
        <v>59.66</v>
      </c>
      <c r="I31" s="13">
        <v>60.6</v>
      </c>
      <c r="J31" s="13">
        <v>61.84</v>
      </c>
      <c r="K31" s="13">
        <v>60.47</v>
      </c>
      <c r="L31" s="13">
        <v>62.86</v>
      </c>
      <c r="M31" s="13">
        <v>63.69</v>
      </c>
      <c r="N31" s="13">
        <v>64.45</v>
      </c>
      <c r="O31" s="13">
        <v>65.53</v>
      </c>
      <c r="P31" s="13">
        <v>64.599999999999994</v>
      </c>
      <c r="Q31" s="13">
        <v>65.39</v>
      </c>
      <c r="R31" s="13">
        <v>66.22</v>
      </c>
      <c r="S31" s="13">
        <v>66.98</v>
      </c>
      <c r="T31" s="13">
        <v>68.11</v>
      </c>
      <c r="U31" s="13">
        <v>68.06</v>
      </c>
      <c r="V31" s="13">
        <v>68.62</v>
      </c>
      <c r="W31" s="13">
        <v>69.25</v>
      </c>
      <c r="X31" s="13">
        <v>69.900000000000006</v>
      </c>
      <c r="Y31" s="13">
        <v>70.760000000000005</v>
      </c>
      <c r="Z31" s="13">
        <v>71.16</v>
      </c>
      <c r="AA31" s="13">
        <v>71.45</v>
      </c>
      <c r="AB31" s="13">
        <v>72.010000000000005</v>
      </c>
      <c r="AC31" s="13">
        <v>72.58</v>
      </c>
      <c r="AD31" s="13">
        <v>73.38</v>
      </c>
      <c r="AE31" s="13">
        <v>74.34</v>
      </c>
    </row>
    <row r="32" spans="1:31" x14ac:dyDescent="0.25">
      <c r="A32" t="s">
        <v>150</v>
      </c>
      <c r="B32" s="13">
        <v>7.78</v>
      </c>
      <c r="C32" s="13">
        <v>7.97</v>
      </c>
      <c r="D32" s="13">
        <v>8.23</v>
      </c>
      <c r="E32" s="13">
        <v>8.2799999999999994</v>
      </c>
      <c r="F32" s="13">
        <v>8.0299999999999994</v>
      </c>
      <c r="G32" s="13">
        <v>8.4600000000000009</v>
      </c>
      <c r="H32" s="13">
        <v>8.4600000000000009</v>
      </c>
      <c r="I32" s="13">
        <v>8.7100000000000009</v>
      </c>
      <c r="J32" s="13">
        <v>8.77</v>
      </c>
      <c r="K32" s="13">
        <v>8.51</v>
      </c>
      <c r="L32" s="13">
        <v>8.8699999999999992</v>
      </c>
      <c r="M32" s="13">
        <v>8.83</v>
      </c>
      <c r="N32" s="13">
        <v>9.09</v>
      </c>
      <c r="O32" s="13">
        <v>9.19</v>
      </c>
      <c r="P32" s="13">
        <v>8.89</v>
      </c>
      <c r="Q32" s="13">
        <v>9.41</v>
      </c>
      <c r="R32" s="13">
        <v>9.43</v>
      </c>
      <c r="S32" s="13">
        <v>9.76</v>
      </c>
      <c r="T32" s="13">
        <v>9.8699999999999992</v>
      </c>
      <c r="U32" s="13">
        <v>9.31</v>
      </c>
      <c r="V32" s="13">
        <v>10.11</v>
      </c>
      <c r="W32" s="13">
        <v>10.08</v>
      </c>
      <c r="X32" s="13">
        <v>10.53</v>
      </c>
      <c r="Y32" s="13">
        <v>10.77</v>
      </c>
      <c r="Z32" s="13">
        <v>9.8699999999999992</v>
      </c>
      <c r="AA32" s="13">
        <v>10.85</v>
      </c>
      <c r="AB32" s="13">
        <v>10.92</v>
      </c>
      <c r="AC32" s="13">
        <v>11.34</v>
      </c>
      <c r="AD32" s="13">
        <v>11.63</v>
      </c>
      <c r="AE32" s="13">
        <v>10.37</v>
      </c>
    </row>
    <row r="33" spans="1:31" x14ac:dyDescent="0.25">
      <c r="A33" s="14" t="s">
        <v>151</v>
      </c>
      <c r="B33" s="13">
        <v>1261.93</v>
      </c>
      <c r="C33" s="13">
        <v>1306.73</v>
      </c>
      <c r="D33" s="13">
        <v>1370.91</v>
      </c>
      <c r="E33" s="13">
        <v>1417.94</v>
      </c>
      <c r="F33" s="13">
        <v>5357.52</v>
      </c>
      <c r="G33" s="13">
        <v>1497.06</v>
      </c>
      <c r="H33" s="13">
        <v>1504.65</v>
      </c>
      <c r="I33" s="13">
        <v>1568.41</v>
      </c>
      <c r="J33" s="13">
        <v>1612.19</v>
      </c>
      <c r="K33" s="13">
        <v>6175.17</v>
      </c>
      <c r="L33" s="13">
        <v>1673.99</v>
      </c>
      <c r="M33" s="13">
        <v>1677.62</v>
      </c>
      <c r="N33" s="13">
        <v>1746.9</v>
      </c>
      <c r="O33" s="13">
        <v>1800.15</v>
      </c>
      <c r="P33" s="13">
        <v>6892.44</v>
      </c>
      <c r="Q33" s="13">
        <v>1866.17</v>
      </c>
      <c r="R33" s="13">
        <v>1876.09</v>
      </c>
      <c r="S33" s="13">
        <v>1957.03</v>
      </c>
      <c r="T33" s="13">
        <v>2010.98</v>
      </c>
      <c r="U33" s="13">
        <v>7662.52</v>
      </c>
      <c r="V33" s="13">
        <v>2064.77</v>
      </c>
      <c r="W33" s="13">
        <v>2068.5</v>
      </c>
      <c r="X33" s="13">
        <v>2169.9299999999998</v>
      </c>
      <c r="Y33" s="13">
        <v>2230.1</v>
      </c>
      <c r="Z33" s="13">
        <v>8442.5</v>
      </c>
      <c r="AA33" s="13">
        <v>2290.0300000000002</v>
      </c>
      <c r="AB33" s="13">
        <v>2307.11</v>
      </c>
      <c r="AC33" s="13">
        <v>2400.4299999999998</v>
      </c>
      <c r="AD33" s="13">
        <v>2462.9899999999998</v>
      </c>
      <c r="AE33" s="13">
        <v>9277.16</v>
      </c>
    </row>
    <row r="34" spans="1:31" x14ac:dyDescent="0.25">
      <c r="A34" s="14" t="s">
        <v>90</v>
      </c>
    </row>
    <row r="35" spans="1:31" x14ac:dyDescent="0.25">
      <c r="A35" s="14" t="s">
        <v>152</v>
      </c>
    </row>
    <row r="36" spans="1:31" x14ac:dyDescent="0.25">
      <c r="A36" t="s">
        <v>153</v>
      </c>
      <c r="B36" s="13">
        <v>1.48</v>
      </c>
      <c r="C36" s="13">
        <v>2</v>
      </c>
      <c r="D36" s="13">
        <v>2</v>
      </c>
      <c r="E36" s="13">
        <v>3</v>
      </c>
      <c r="F36" s="13">
        <v>8.11</v>
      </c>
      <c r="G36" s="13">
        <v>1.99</v>
      </c>
      <c r="H36" s="13">
        <v>1.33</v>
      </c>
      <c r="I36" s="13">
        <v>1.62</v>
      </c>
      <c r="J36" s="13">
        <v>2.38</v>
      </c>
      <c r="K36" s="13">
        <v>7.63</v>
      </c>
      <c r="L36" s="13">
        <v>1.7</v>
      </c>
      <c r="M36" s="13">
        <v>1.19</v>
      </c>
      <c r="N36" s="13">
        <v>1.53</v>
      </c>
      <c r="O36" s="13">
        <v>2.27</v>
      </c>
      <c r="P36" s="13">
        <v>7.09</v>
      </c>
      <c r="Q36" s="13">
        <v>1.43</v>
      </c>
      <c r="R36" s="13">
        <v>1.02</v>
      </c>
      <c r="S36" s="13">
        <v>1.42</v>
      </c>
      <c r="T36" s="13">
        <v>2.13</v>
      </c>
      <c r="U36" s="13">
        <v>7</v>
      </c>
      <c r="V36" s="13">
        <v>1.39</v>
      </c>
      <c r="W36" s="13">
        <v>0.86</v>
      </c>
      <c r="X36" s="13">
        <v>1.31</v>
      </c>
      <c r="Y36" s="13">
        <v>2.04</v>
      </c>
      <c r="Z36" s="13">
        <v>6.3</v>
      </c>
      <c r="AA36" s="13">
        <v>1.35</v>
      </c>
      <c r="AB36" s="13">
        <v>0.66</v>
      </c>
      <c r="AC36" s="13">
        <v>1.24</v>
      </c>
      <c r="AD36" s="13">
        <v>1.83</v>
      </c>
      <c r="AE36" s="13">
        <v>6.01</v>
      </c>
    </row>
    <row r="37" spans="1:31" x14ac:dyDescent="0.25">
      <c r="A37" s="14" t="s">
        <v>154</v>
      </c>
      <c r="B37" s="13">
        <v>58.79</v>
      </c>
      <c r="C37" s="13">
        <v>60.56</v>
      </c>
      <c r="D37" s="13">
        <v>62.38</v>
      </c>
      <c r="E37" s="13">
        <v>65.22</v>
      </c>
      <c r="F37" s="13">
        <v>65.63</v>
      </c>
      <c r="G37" s="13">
        <v>67.069999999999993</v>
      </c>
      <c r="H37" s="13">
        <v>68.42</v>
      </c>
      <c r="I37" s="13">
        <v>70</v>
      </c>
      <c r="J37" s="13">
        <v>72.47</v>
      </c>
      <c r="K37" s="13">
        <v>73.28</v>
      </c>
      <c r="L37" s="13">
        <v>74.2</v>
      </c>
      <c r="M37" s="13">
        <v>75.319999999999993</v>
      </c>
      <c r="N37" s="13">
        <v>76.760000000000005</v>
      </c>
      <c r="O37" s="13">
        <v>78.900000000000006</v>
      </c>
      <c r="P37" s="13">
        <v>80.08</v>
      </c>
      <c r="Q37" s="13">
        <v>79.239999999999995</v>
      </c>
      <c r="R37" s="13">
        <v>80.260000000000005</v>
      </c>
      <c r="S37" s="13">
        <v>81.680000000000007</v>
      </c>
      <c r="T37" s="13">
        <v>83.81</v>
      </c>
      <c r="U37" s="13">
        <v>86.99</v>
      </c>
      <c r="V37" s="13">
        <v>85.73</v>
      </c>
      <c r="W37" s="13">
        <v>86.59</v>
      </c>
      <c r="X37" s="13">
        <v>87.9</v>
      </c>
      <c r="Y37" s="13">
        <v>89.94</v>
      </c>
      <c r="Z37" s="13">
        <v>93.59</v>
      </c>
      <c r="AA37" s="13">
        <v>90.39</v>
      </c>
      <c r="AB37" s="13">
        <v>91.05</v>
      </c>
      <c r="AC37" s="13">
        <v>92.29</v>
      </c>
      <c r="AD37" s="13">
        <v>94.12</v>
      </c>
      <c r="AE37" s="13">
        <v>99.4</v>
      </c>
    </row>
    <row r="38" spans="1:31" x14ac:dyDescent="0.25">
      <c r="A38" s="14" t="s">
        <v>155</v>
      </c>
      <c r="B38" s="13">
        <v>57.96</v>
      </c>
      <c r="C38" s="13">
        <v>59.58</v>
      </c>
      <c r="D38" s="13">
        <v>61.41</v>
      </c>
      <c r="E38" s="13">
        <v>63.78</v>
      </c>
      <c r="F38" s="13">
        <v>61.14</v>
      </c>
      <c r="G38" s="13">
        <v>65.86</v>
      </c>
      <c r="H38" s="13">
        <v>67.48</v>
      </c>
      <c r="I38" s="13">
        <v>69.03</v>
      </c>
      <c r="J38" s="13">
        <v>71.150000000000006</v>
      </c>
      <c r="K38" s="13">
        <v>69.14</v>
      </c>
      <c r="L38" s="13">
        <v>72.91</v>
      </c>
      <c r="M38" s="13">
        <v>74.39</v>
      </c>
      <c r="N38" s="13">
        <v>75.8</v>
      </c>
      <c r="O38" s="13">
        <v>77.760000000000005</v>
      </c>
      <c r="P38" s="13">
        <v>76.52</v>
      </c>
      <c r="Q38" s="13">
        <v>77.900000000000006</v>
      </c>
      <c r="R38" s="13">
        <v>79.37</v>
      </c>
      <c r="S38" s="13">
        <v>80.84</v>
      </c>
      <c r="T38" s="13">
        <v>82.96</v>
      </c>
      <c r="U38" s="13">
        <v>83.5</v>
      </c>
      <c r="V38" s="13">
        <v>85.04</v>
      </c>
      <c r="W38" s="13">
        <v>86.16</v>
      </c>
      <c r="X38" s="13">
        <v>87.25</v>
      </c>
      <c r="Y38" s="13">
        <v>88.92</v>
      </c>
      <c r="Z38" s="13">
        <v>90.39</v>
      </c>
      <c r="AA38" s="13">
        <v>89.72</v>
      </c>
      <c r="AB38" s="13">
        <v>90.72</v>
      </c>
      <c r="AC38" s="13">
        <v>91.67</v>
      </c>
      <c r="AD38" s="13">
        <v>93.2</v>
      </c>
      <c r="AE38" s="13">
        <v>96.35</v>
      </c>
    </row>
    <row r="39" spans="1:31" x14ac:dyDescent="0.25">
      <c r="A39" t="s">
        <v>156</v>
      </c>
      <c r="B39" s="13">
        <v>7.2</v>
      </c>
      <c r="C39" s="13">
        <v>7.25</v>
      </c>
      <c r="D39" s="13">
        <v>7.45</v>
      </c>
      <c r="E39" s="13">
        <v>7.47</v>
      </c>
      <c r="F39" s="13">
        <v>7.28</v>
      </c>
      <c r="G39" s="13">
        <v>7.59</v>
      </c>
      <c r="H39" s="13">
        <v>7.54</v>
      </c>
      <c r="I39" s="13">
        <v>7.65</v>
      </c>
      <c r="J39" s="13">
        <v>7.77</v>
      </c>
      <c r="K39" s="13">
        <v>7.53</v>
      </c>
      <c r="L39" s="13">
        <v>7.95</v>
      </c>
      <c r="M39" s="13">
        <v>7.9</v>
      </c>
      <c r="N39" s="13">
        <v>8.06</v>
      </c>
      <c r="O39" s="13">
        <v>8.1999999999999993</v>
      </c>
      <c r="P39" s="13">
        <v>7.82</v>
      </c>
      <c r="Q39" s="13">
        <v>8.4</v>
      </c>
      <c r="R39" s="13">
        <v>8.33</v>
      </c>
      <c r="S39" s="13">
        <v>8.52</v>
      </c>
      <c r="T39" s="13">
        <v>8.7100000000000009</v>
      </c>
      <c r="U39" s="13">
        <v>8.0500000000000007</v>
      </c>
      <c r="V39" s="13">
        <v>8.9700000000000006</v>
      </c>
      <c r="W39" s="13">
        <v>8.8800000000000008</v>
      </c>
      <c r="X39" s="13">
        <v>9.14</v>
      </c>
      <c r="Y39" s="13">
        <v>9.39</v>
      </c>
      <c r="Z39" s="13">
        <v>8.36</v>
      </c>
      <c r="AA39" s="13">
        <v>9.51</v>
      </c>
      <c r="AB39" s="13">
        <v>9.42</v>
      </c>
      <c r="AC39" s="13">
        <v>9.6999999999999993</v>
      </c>
      <c r="AD39" s="13">
        <v>9.99</v>
      </c>
      <c r="AE39" s="13">
        <v>8.64</v>
      </c>
    </row>
    <row r="40" spans="1:31" x14ac:dyDescent="0.25">
      <c r="A40" s="14" t="s">
        <v>157</v>
      </c>
      <c r="B40" s="13">
        <v>1259.0899999999999</v>
      </c>
      <c r="C40" s="13">
        <v>1305.25</v>
      </c>
      <c r="D40" s="13">
        <v>1368.56</v>
      </c>
      <c r="E40" s="13">
        <v>1420.81</v>
      </c>
      <c r="F40" s="13">
        <v>5353.72</v>
      </c>
      <c r="G40" s="13">
        <v>1508.98</v>
      </c>
      <c r="H40" s="13">
        <v>1522.16</v>
      </c>
      <c r="I40" s="13">
        <v>1579.58</v>
      </c>
      <c r="J40" s="13">
        <v>1646.62</v>
      </c>
      <c r="K40" s="13">
        <v>6261.1</v>
      </c>
      <c r="L40" s="13">
        <v>1741.14</v>
      </c>
      <c r="M40" s="13">
        <v>1756.89</v>
      </c>
      <c r="N40" s="13">
        <v>1827.11</v>
      </c>
      <c r="O40" s="13">
        <v>1903.25</v>
      </c>
      <c r="P40" s="13">
        <v>7196.04</v>
      </c>
      <c r="Q40" s="13">
        <v>1974.9</v>
      </c>
      <c r="R40" s="13">
        <v>1982.4</v>
      </c>
      <c r="S40" s="13">
        <v>2059.27</v>
      </c>
      <c r="T40" s="13">
        <v>2142.67</v>
      </c>
      <c r="U40" s="13">
        <v>8145.13</v>
      </c>
      <c r="V40" s="13">
        <v>2226.7199999999998</v>
      </c>
      <c r="W40" s="13">
        <v>2226.79</v>
      </c>
      <c r="X40" s="13">
        <v>2318.83</v>
      </c>
      <c r="Y40" s="13">
        <v>2406.5700000000002</v>
      </c>
      <c r="Z40" s="13">
        <v>9055.3700000000008</v>
      </c>
      <c r="AA40" s="13">
        <v>2476.65</v>
      </c>
      <c r="AB40" s="13">
        <v>2468.66</v>
      </c>
      <c r="AC40" s="13">
        <v>2567.4699999999998</v>
      </c>
      <c r="AD40" s="13">
        <v>2657.65</v>
      </c>
      <c r="AE40" s="13">
        <v>9971.83</v>
      </c>
    </row>
    <row r="41" spans="1:31" x14ac:dyDescent="0.25">
      <c r="A41" s="14" t="s">
        <v>90</v>
      </c>
    </row>
    <row r="42" spans="1:31" x14ac:dyDescent="0.25">
      <c r="A42" s="14" t="s">
        <v>158</v>
      </c>
    </row>
    <row r="43" spans="1:31" x14ac:dyDescent="0.25">
      <c r="A43" t="s">
        <v>159</v>
      </c>
      <c r="B43" s="13">
        <v>4.17</v>
      </c>
      <c r="C43" s="13">
        <v>5.98</v>
      </c>
      <c r="D43" s="13">
        <v>6.19</v>
      </c>
      <c r="E43" s="13">
        <v>9.65</v>
      </c>
      <c r="F43" s="13">
        <v>25.78</v>
      </c>
      <c r="G43" s="13">
        <v>4.68</v>
      </c>
      <c r="H43" s="13">
        <v>3.9</v>
      </c>
      <c r="I43" s="13">
        <v>4.41</v>
      </c>
      <c r="J43" s="13">
        <v>7.21</v>
      </c>
      <c r="K43" s="13">
        <v>21.13</v>
      </c>
      <c r="L43" s="13">
        <v>4.12</v>
      </c>
      <c r="M43" s="13">
        <v>3.54</v>
      </c>
      <c r="N43" s="13">
        <v>4.1100000000000003</v>
      </c>
      <c r="O43" s="13">
        <v>6.73</v>
      </c>
      <c r="P43" s="13">
        <v>19.489999999999998</v>
      </c>
      <c r="Q43" s="13">
        <v>3.54</v>
      </c>
      <c r="R43" s="13">
        <v>2.93</v>
      </c>
      <c r="S43" s="13">
        <v>3.72</v>
      </c>
      <c r="T43" s="13">
        <v>5.58</v>
      </c>
      <c r="U43" s="13">
        <v>17.36</v>
      </c>
      <c r="V43" s="13">
        <v>3.42</v>
      </c>
      <c r="W43" s="13">
        <v>2.5</v>
      </c>
      <c r="X43" s="13">
        <v>3.34</v>
      </c>
      <c r="Y43" s="13">
        <v>5.0999999999999996</v>
      </c>
      <c r="Z43" s="13">
        <v>15.7</v>
      </c>
      <c r="AA43" s="13">
        <v>3.18</v>
      </c>
      <c r="AB43" s="13">
        <v>2.04</v>
      </c>
      <c r="AC43" s="13">
        <v>3.11</v>
      </c>
      <c r="AD43" s="13">
        <v>4.54</v>
      </c>
      <c r="AE43" s="13">
        <v>14.64</v>
      </c>
    </row>
    <row r="44" spans="1:31" x14ac:dyDescent="0.25">
      <c r="A44" s="14" t="s">
        <v>160</v>
      </c>
      <c r="B44" s="13">
        <v>305.67</v>
      </c>
      <c r="C44" s="13">
        <v>311.7</v>
      </c>
      <c r="D44" s="13">
        <v>317.39</v>
      </c>
      <c r="E44" s="13">
        <v>327.36</v>
      </c>
      <c r="F44" s="13">
        <v>328.29</v>
      </c>
      <c r="G44" s="13">
        <v>332.14</v>
      </c>
      <c r="H44" s="13">
        <v>336.1</v>
      </c>
      <c r="I44" s="13">
        <v>340.45</v>
      </c>
      <c r="J44" s="13">
        <v>347.79</v>
      </c>
      <c r="K44" s="13">
        <v>350.14</v>
      </c>
      <c r="L44" s="13">
        <v>352.34</v>
      </c>
      <c r="M44" s="13">
        <v>355.68</v>
      </c>
      <c r="N44" s="13">
        <v>359.55</v>
      </c>
      <c r="O44" s="13">
        <v>365.88</v>
      </c>
      <c r="P44" s="13">
        <v>369.71</v>
      </c>
      <c r="Q44" s="13">
        <v>367.08</v>
      </c>
      <c r="R44" s="13">
        <v>370.01</v>
      </c>
      <c r="S44" s="13">
        <v>373.73</v>
      </c>
      <c r="T44" s="13">
        <v>379.31</v>
      </c>
      <c r="U44" s="13">
        <v>387.16</v>
      </c>
      <c r="V44" s="13">
        <v>382.6</v>
      </c>
      <c r="W44" s="13">
        <v>385.11</v>
      </c>
      <c r="X44" s="13">
        <v>388.44</v>
      </c>
      <c r="Y44" s="13">
        <v>393.54</v>
      </c>
      <c r="Z44" s="13">
        <v>399.07</v>
      </c>
      <c r="AA44" s="13">
        <v>395.06</v>
      </c>
      <c r="AB44" s="13">
        <v>397.1</v>
      </c>
      <c r="AC44" s="13">
        <v>400.21</v>
      </c>
      <c r="AD44" s="13">
        <v>404.75</v>
      </c>
      <c r="AE44" s="13">
        <v>413.2</v>
      </c>
    </row>
    <row r="45" spans="1:31" x14ac:dyDescent="0.25">
      <c r="A45" t="s">
        <v>161</v>
      </c>
      <c r="B45" s="13">
        <v>304.13</v>
      </c>
      <c r="C45" s="13">
        <v>308.35000000000002</v>
      </c>
      <c r="D45" s="13">
        <v>314.02</v>
      </c>
      <c r="E45" s="13">
        <v>322.26</v>
      </c>
      <c r="F45" s="13">
        <v>313.10000000000002</v>
      </c>
      <c r="G45" s="13">
        <v>329.42</v>
      </c>
      <c r="H45" s="13">
        <v>333.75</v>
      </c>
      <c r="I45" s="13">
        <v>338.12</v>
      </c>
      <c r="J45" s="13">
        <v>344.28</v>
      </c>
      <c r="K45" s="13">
        <v>337.8</v>
      </c>
      <c r="L45" s="13">
        <v>350.18</v>
      </c>
      <c r="M45" s="13">
        <v>353.98</v>
      </c>
      <c r="N45" s="13">
        <v>357.93</v>
      </c>
      <c r="O45" s="13">
        <v>363.59</v>
      </c>
      <c r="P45" s="13">
        <v>358.46</v>
      </c>
      <c r="Q45" s="13">
        <v>366.31</v>
      </c>
      <c r="R45" s="13">
        <v>370.2</v>
      </c>
      <c r="S45" s="13">
        <v>374.09</v>
      </c>
      <c r="T45" s="13">
        <v>379.88</v>
      </c>
      <c r="U45" s="13">
        <v>376.46</v>
      </c>
      <c r="V45" s="13">
        <v>380.89</v>
      </c>
      <c r="W45" s="13">
        <v>383.85</v>
      </c>
      <c r="X45" s="13">
        <v>386.78</v>
      </c>
      <c r="Y45" s="13">
        <v>390.99</v>
      </c>
      <c r="Z45" s="13">
        <v>391.08</v>
      </c>
      <c r="AA45" s="13">
        <v>393.47</v>
      </c>
      <c r="AB45" s="13">
        <v>396.08</v>
      </c>
      <c r="AC45" s="13">
        <v>398.65</v>
      </c>
      <c r="AD45" s="13">
        <v>402.48</v>
      </c>
      <c r="AE45" s="13">
        <v>405.78</v>
      </c>
    </row>
    <row r="46" spans="1:31" x14ac:dyDescent="0.25">
      <c r="A46" t="s">
        <v>162</v>
      </c>
      <c r="B46" s="13">
        <v>11.56</v>
      </c>
      <c r="C46" s="13">
        <v>11.99</v>
      </c>
      <c r="D46" s="13">
        <v>12.24</v>
      </c>
      <c r="E46" s="13">
        <v>12.47</v>
      </c>
      <c r="F46" s="13">
        <v>12.02</v>
      </c>
      <c r="G46" s="13">
        <v>12.4</v>
      </c>
      <c r="H46" s="13">
        <v>12.55</v>
      </c>
      <c r="I46" s="13">
        <v>12.81</v>
      </c>
      <c r="J46" s="13">
        <v>13.09</v>
      </c>
      <c r="K46" s="13">
        <v>12.65</v>
      </c>
      <c r="L46" s="13">
        <v>13.05</v>
      </c>
      <c r="M46" s="13">
        <v>13.16</v>
      </c>
      <c r="N46" s="13">
        <v>13.46</v>
      </c>
      <c r="O46" s="13">
        <v>13.8</v>
      </c>
      <c r="P46" s="13">
        <v>13.23</v>
      </c>
      <c r="Q46" s="13">
        <v>13.71</v>
      </c>
      <c r="R46" s="13">
        <v>13.83</v>
      </c>
      <c r="S46" s="13">
        <v>14.1</v>
      </c>
      <c r="T46" s="13">
        <v>14.42</v>
      </c>
      <c r="U46" s="13">
        <v>13.89</v>
      </c>
      <c r="V46" s="13">
        <v>14.66</v>
      </c>
      <c r="W46" s="13">
        <v>14.76</v>
      </c>
      <c r="X46" s="13">
        <v>15.1</v>
      </c>
      <c r="Y46" s="13">
        <v>15.49</v>
      </c>
      <c r="Z46" s="13">
        <v>14.58</v>
      </c>
      <c r="AA46" s="13">
        <v>15.4</v>
      </c>
      <c r="AB46" s="13">
        <v>15.55</v>
      </c>
      <c r="AC46" s="13">
        <v>15.88</v>
      </c>
      <c r="AD46" s="13">
        <v>16.170000000000002</v>
      </c>
      <c r="AE46" s="13">
        <v>15.19</v>
      </c>
    </row>
    <row r="47" spans="1:31" x14ac:dyDescent="0.25">
      <c r="A47" s="14" t="s">
        <v>163</v>
      </c>
      <c r="B47" s="13">
        <v>10542.8</v>
      </c>
      <c r="C47" s="13">
        <v>11079.17</v>
      </c>
      <c r="D47" s="13">
        <v>11510.31</v>
      </c>
      <c r="E47" s="13">
        <v>12050.76</v>
      </c>
      <c r="F47" s="13">
        <v>45183.040000000001</v>
      </c>
      <c r="G47" s="13">
        <v>12249.76</v>
      </c>
      <c r="H47" s="13">
        <v>12563.07</v>
      </c>
      <c r="I47" s="13">
        <v>12984.49</v>
      </c>
      <c r="J47" s="13">
        <v>13537.05</v>
      </c>
      <c r="K47" s="13">
        <v>51251.1</v>
      </c>
      <c r="L47" s="13">
        <v>13745.89</v>
      </c>
      <c r="M47" s="13">
        <v>14023.53</v>
      </c>
      <c r="N47" s="13">
        <v>14498.18</v>
      </c>
      <c r="O47" s="13">
        <v>15109.21</v>
      </c>
      <c r="P47" s="13">
        <v>57018.92</v>
      </c>
      <c r="Q47" s="13">
        <v>15243.47</v>
      </c>
      <c r="R47" s="13">
        <v>15543.73</v>
      </c>
      <c r="S47" s="13">
        <v>16032.24</v>
      </c>
      <c r="T47" s="13">
        <v>16706.84</v>
      </c>
      <c r="U47" s="13">
        <v>62774.15</v>
      </c>
      <c r="V47" s="13">
        <v>17097.240000000002</v>
      </c>
      <c r="W47" s="13">
        <v>17358.66</v>
      </c>
      <c r="X47" s="13">
        <v>17926.62</v>
      </c>
      <c r="Y47" s="13">
        <v>18659.89</v>
      </c>
      <c r="Z47" s="13">
        <v>68898.8</v>
      </c>
      <c r="AA47" s="13">
        <v>18734.82</v>
      </c>
      <c r="AB47" s="13">
        <v>19034.41</v>
      </c>
      <c r="AC47" s="13">
        <v>19612.740000000002</v>
      </c>
      <c r="AD47" s="13">
        <v>20276.93</v>
      </c>
      <c r="AE47" s="13">
        <v>74593.210000000006</v>
      </c>
    </row>
    <row r="48" spans="1:31" x14ac:dyDescent="0.25">
      <c r="A48" s="14" t="s">
        <v>164</v>
      </c>
      <c r="B48">
        <v>0.15110000000000001</v>
      </c>
      <c r="C48">
        <v>0.16059999999999999</v>
      </c>
      <c r="D48">
        <v>0.1636</v>
      </c>
      <c r="E48">
        <v>0.16839999999999999</v>
      </c>
      <c r="F48">
        <v>0.1656</v>
      </c>
      <c r="G48">
        <v>0.12839999999999999</v>
      </c>
      <c r="H48">
        <v>0.1295</v>
      </c>
      <c r="I48">
        <v>0.128</v>
      </c>
      <c r="J48">
        <v>0.1246</v>
      </c>
      <c r="K48">
        <v>0.1244</v>
      </c>
      <c r="L48">
        <v>0.1278</v>
      </c>
      <c r="M48">
        <v>0.1148</v>
      </c>
      <c r="N48">
        <v>0.11459999999999999</v>
      </c>
      <c r="O48">
        <v>0.11169999999999999</v>
      </c>
      <c r="P48">
        <v>0.11890000000000001</v>
      </c>
      <c r="Q48">
        <v>0.1041</v>
      </c>
      <c r="R48">
        <v>0.1019</v>
      </c>
      <c r="S48">
        <v>9.9099999999999994E-2</v>
      </c>
      <c r="T48">
        <v>9.5000000000000001E-2</v>
      </c>
      <c r="U48">
        <v>0.1081</v>
      </c>
      <c r="V48" t="s">
        <v>66</v>
      </c>
      <c r="W48" t="s">
        <v>66</v>
      </c>
      <c r="X48" t="s">
        <v>66</v>
      </c>
      <c r="Y48" t="s">
        <v>66</v>
      </c>
      <c r="Z48">
        <v>9.6699999999999994E-2</v>
      </c>
      <c r="AA48" t="s">
        <v>66</v>
      </c>
      <c r="AB48" t="s">
        <v>66</v>
      </c>
      <c r="AC48" t="s">
        <v>66</v>
      </c>
      <c r="AD48" t="s">
        <v>66</v>
      </c>
      <c r="AE48">
        <v>8.1199999999999994E-2</v>
      </c>
    </row>
    <row r="49" spans="1:31" x14ac:dyDescent="0.25">
      <c r="A49" s="14" t="s">
        <v>90</v>
      </c>
    </row>
    <row r="50" spans="1:31" x14ac:dyDescent="0.25">
      <c r="A50" s="14" t="s">
        <v>165</v>
      </c>
    </row>
    <row r="51" spans="1:31" x14ac:dyDescent="0.25">
      <c r="A51" t="s">
        <v>166</v>
      </c>
      <c r="B51" s="13">
        <v>-0.04</v>
      </c>
      <c r="C51" s="13">
        <v>-0.04</v>
      </c>
      <c r="D51" s="13">
        <v>-0.03</v>
      </c>
      <c r="E51" s="13">
        <v>-0.03</v>
      </c>
      <c r="F51" s="13">
        <v>-0.14000000000000001</v>
      </c>
      <c r="G51" s="13">
        <v>-0.03</v>
      </c>
      <c r="H51" s="13">
        <v>-0.03</v>
      </c>
      <c r="I51" s="13">
        <v>-0.03</v>
      </c>
      <c r="J51" s="13">
        <v>-0.03</v>
      </c>
      <c r="K51" s="13">
        <v>-0.11</v>
      </c>
      <c r="L51" s="13">
        <v>-0.02</v>
      </c>
      <c r="M51" s="13">
        <v>-0.02</v>
      </c>
      <c r="N51" s="13">
        <v>-0.02</v>
      </c>
      <c r="O51" s="13">
        <v>-0.02</v>
      </c>
      <c r="P51" s="13">
        <v>-0.09</v>
      </c>
      <c r="Q51" s="13">
        <v>-0.02</v>
      </c>
      <c r="R51" s="13">
        <v>-0.02</v>
      </c>
      <c r="S51" s="13">
        <v>-0.02</v>
      </c>
      <c r="T51" s="13">
        <v>-0.02</v>
      </c>
      <c r="U51" s="13">
        <v>-7.0000000000000007E-2</v>
      </c>
      <c r="V51" s="13">
        <v>-0.02</v>
      </c>
      <c r="W51" s="13">
        <v>-0.02</v>
      </c>
      <c r="X51" s="13">
        <v>-0.01</v>
      </c>
      <c r="Y51" s="13">
        <v>-0.01</v>
      </c>
      <c r="Z51" s="13">
        <v>-0.06</v>
      </c>
      <c r="AA51" s="13">
        <v>-0.01</v>
      </c>
      <c r="AB51" s="13">
        <v>-0.01</v>
      </c>
      <c r="AC51" s="13">
        <v>-0.01</v>
      </c>
      <c r="AD51" s="13">
        <v>-0.01</v>
      </c>
      <c r="AE51" s="13">
        <v>-0.05</v>
      </c>
    </row>
    <row r="52" spans="1:31" x14ac:dyDescent="0.25">
      <c r="A52" s="14" t="s">
        <v>167</v>
      </c>
      <c r="B52" s="13">
        <v>0.7</v>
      </c>
      <c r="C52" s="13">
        <v>0.67</v>
      </c>
      <c r="D52" s="13">
        <v>0.63</v>
      </c>
      <c r="E52" s="13">
        <v>0.6</v>
      </c>
      <c r="F52" s="13">
        <v>0.6</v>
      </c>
      <c r="G52" s="13">
        <v>0.56999999999999995</v>
      </c>
      <c r="H52" s="13">
        <v>0.54</v>
      </c>
      <c r="I52" s="13">
        <v>0.52</v>
      </c>
      <c r="J52" s="13">
        <v>0.49</v>
      </c>
      <c r="K52" s="13">
        <v>0.49</v>
      </c>
      <c r="L52" s="13">
        <v>0.47</v>
      </c>
      <c r="M52" s="13">
        <v>0.44</v>
      </c>
      <c r="N52" s="13">
        <v>0.42</v>
      </c>
      <c r="O52" s="13">
        <v>0.4</v>
      </c>
      <c r="P52" s="13">
        <v>0.4</v>
      </c>
      <c r="Q52" s="13">
        <v>0.38</v>
      </c>
      <c r="R52" s="13">
        <v>0.36</v>
      </c>
      <c r="S52" s="13">
        <v>0.34</v>
      </c>
      <c r="T52" s="13">
        <v>0.33</v>
      </c>
      <c r="U52" s="13">
        <v>0.33</v>
      </c>
      <c r="V52" s="13">
        <v>0.31</v>
      </c>
      <c r="W52" s="13">
        <v>0.28999999999999998</v>
      </c>
      <c r="X52" s="13">
        <v>0.28000000000000003</v>
      </c>
      <c r="Y52" s="13">
        <v>0.26</v>
      </c>
      <c r="Z52" s="13">
        <v>0.26</v>
      </c>
      <c r="AA52" s="13">
        <v>0.25</v>
      </c>
      <c r="AB52" s="13">
        <v>0.24</v>
      </c>
      <c r="AC52" s="13">
        <v>0.23</v>
      </c>
      <c r="AD52" s="13">
        <v>0.22</v>
      </c>
      <c r="AE52" s="13">
        <v>0.22</v>
      </c>
    </row>
    <row r="53" spans="1:31" x14ac:dyDescent="0.25">
      <c r="A53" t="s">
        <v>168</v>
      </c>
      <c r="B53" s="13">
        <v>0.72</v>
      </c>
      <c r="C53" s="13">
        <v>0.68</v>
      </c>
      <c r="D53" s="13">
        <v>0.65</v>
      </c>
      <c r="E53" s="13">
        <v>0.62</v>
      </c>
      <c r="F53" s="13">
        <v>0.65</v>
      </c>
      <c r="G53" s="13">
        <v>0.59</v>
      </c>
      <c r="H53" s="13">
        <v>0.56000000000000005</v>
      </c>
      <c r="I53" s="13">
        <v>0.53</v>
      </c>
      <c r="J53" s="13">
        <v>0.5</v>
      </c>
      <c r="K53" s="13">
        <v>0.53</v>
      </c>
      <c r="L53" s="13">
        <v>0.48</v>
      </c>
      <c r="M53" s="13">
        <v>0.45</v>
      </c>
      <c r="N53" s="13">
        <v>0.43</v>
      </c>
      <c r="O53" s="13">
        <v>0.41</v>
      </c>
      <c r="P53" s="13">
        <v>0.43</v>
      </c>
      <c r="Q53" s="13">
        <v>0.39</v>
      </c>
      <c r="R53" s="13">
        <v>0.37</v>
      </c>
      <c r="S53" s="13">
        <v>0.35</v>
      </c>
      <c r="T53" s="13">
        <v>0.33</v>
      </c>
      <c r="U53" s="13">
        <v>0.35</v>
      </c>
      <c r="V53" s="13">
        <v>0.32</v>
      </c>
      <c r="W53" s="13">
        <v>0.3</v>
      </c>
      <c r="X53" s="13">
        <v>0.28999999999999998</v>
      </c>
      <c r="Y53" s="13">
        <v>0.27</v>
      </c>
      <c r="Z53" s="13">
        <v>0.28999999999999998</v>
      </c>
      <c r="AA53" s="13">
        <v>0.26</v>
      </c>
      <c r="AB53" s="13">
        <v>0.25</v>
      </c>
      <c r="AC53" s="13">
        <v>0.23</v>
      </c>
      <c r="AD53" s="13">
        <v>0.22</v>
      </c>
      <c r="AE53" s="13">
        <v>0.23</v>
      </c>
    </row>
    <row r="54" spans="1:31" x14ac:dyDescent="0.25">
      <c r="A54" t="s">
        <v>169</v>
      </c>
      <c r="B54" t="s">
        <v>66</v>
      </c>
      <c r="C54" t="s">
        <v>66</v>
      </c>
      <c r="D54" t="s">
        <v>66</v>
      </c>
      <c r="E54" t="s">
        <v>66</v>
      </c>
      <c r="F54" s="13">
        <v>13</v>
      </c>
      <c r="G54" t="s">
        <v>66</v>
      </c>
      <c r="H54" s="13">
        <v>156.22999999999999</v>
      </c>
      <c r="I54" s="13">
        <v>156.22999999999999</v>
      </c>
      <c r="J54" s="13">
        <v>156.22999999999999</v>
      </c>
      <c r="K54" s="13">
        <v>13</v>
      </c>
      <c r="L54" t="s">
        <v>66</v>
      </c>
      <c r="M54" t="s">
        <v>66</v>
      </c>
      <c r="N54" t="s">
        <v>66</v>
      </c>
      <c r="O54" t="s">
        <v>66</v>
      </c>
      <c r="P54" s="13">
        <v>13</v>
      </c>
      <c r="Q54" t="s">
        <v>66</v>
      </c>
      <c r="R54" t="s">
        <v>66</v>
      </c>
      <c r="S54" t="s">
        <v>66</v>
      </c>
      <c r="T54" t="s">
        <v>66</v>
      </c>
      <c r="U54" s="13">
        <v>14</v>
      </c>
      <c r="V54" t="s">
        <v>66</v>
      </c>
      <c r="W54" t="s">
        <v>66</v>
      </c>
      <c r="X54" t="s">
        <v>66</v>
      </c>
      <c r="Y54" t="s">
        <v>66</v>
      </c>
      <c r="Z54" t="s">
        <v>66</v>
      </c>
      <c r="AA54" t="s">
        <v>66</v>
      </c>
      <c r="AB54" t="s">
        <v>66</v>
      </c>
      <c r="AC54" t="s">
        <v>66</v>
      </c>
      <c r="AD54" t="s">
        <v>66</v>
      </c>
      <c r="AE54" t="s">
        <v>66</v>
      </c>
    </row>
    <row r="55" spans="1:31" x14ac:dyDescent="0.25">
      <c r="A55" s="14" t="s">
        <v>170</v>
      </c>
      <c r="B55" t="s">
        <v>66</v>
      </c>
      <c r="C55" t="s">
        <v>66</v>
      </c>
      <c r="D55" t="s">
        <v>66</v>
      </c>
      <c r="E55" t="s">
        <v>66</v>
      </c>
      <c r="F55" t="s">
        <v>66</v>
      </c>
      <c r="G55" t="s">
        <v>66</v>
      </c>
      <c r="H55" t="s">
        <v>66</v>
      </c>
      <c r="I55" t="s">
        <v>66</v>
      </c>
      <c r="J55" t="s">
        <v>66</v>
      </c>
      <c r="K55" t="s">
        <v>66</v>
      </c>
      <c r="L55" t="s">
        <v>66</v>
      </c>
      <c r="M55" t="s">
        <v>66</v>
      </c>
      <c r="N55" t="s">
        <v>66</v>
      </c>
      <c r="O55" t="s">
        <v>66</v>
      </c>
      <c r="P55" t="s">
        <v>66</v>
      </c>
      <c r="Q55" t="s">
        <v>66</v>
      </c>
      <c r="R55" t="s">
        <v>66</v>
      </c>
      <c r="S55" t="s">
        <v>66</v>
      </c>
      <c r="T55" t="s">
        <v>66</v>
      </c>
      <c r="U55" t="s">
        <v>66</v>
      </c>
      <c r="V55" t="s">
        <v>66</v>
      </c>
      <c r="W55" t="s">
        <v>66</v>
      </c>
      <c r="X55" t="s">
        <v>66</v>
      </c>
      <c r="Y55" t="s">
        <v>66</v>
      </c>
      <c r="Z55" t="s">
        <v>66</v>
      </c>
      <c r="AA55" t="s">
        <v>66</v>
      </c>
      <c r="AB55" t="s">
        <v>66</v>
      </c>
      <c r="AC55" t="s">
        <v>66</v>
      </c>
      <c r="AD55" t="s">
        <v>66</v>
      </c>
      <c r="AE55" t="s">
        <v>66</v>
      </c>
    </row>
    <row r="56" spans="1:31" x14ac:dyDescent="0.25">
      <c r="A56" s="14" t="s">
        <v>90</v>
      </c>
    </row>
    <row r="57" spans="1:31" x14ac:dyDescent="0.25">
      <c r="A57" s="14" t="s">
        <v>171</v>
      </c>
    </row>
    <row r="58" spans="1:31" x14ac:dyDescent="0.25">
      <c r="A58" s="14" t="s">
        <v>89</v>
      </c>
      <c r="B58" s="13">
        <v>10542.8</v>
      </c>
      <c r="C58" s="13">
        <v>11079.17</v>
      </c>
      <c r="D58" s="13">
        <v>11510.31</v>
      </c>
      <c r="E58" s="13">
        <v>12050.76</v>
      </c>
      <c r="F58" s="13">
        <v>45183.040000000001</v>
      </c>
      <c r="G58" s="13">
        <v>12249.76</v>
      </c>
      <c r="H58" s="13">
        <v>12574.71</v>
      </c>
      <c r="I58" s="13">
        <v>13012.99</v>
      </c>
      <c r="J58" s="13">
        <v>13566.97</v>
      </c>
      <c r="K58" s="13">
        <v>51327.91</v>
      </c>
      <c r="L58" s="13">
        <v>13802.84</v>
      </c>
      <c r="M58" s="13">
        <v>14094.47</v>
      </c>
      <c r="N58" s="13">
        <v>14588.28</v>
      </c>
      <c r="O58" s="13">
        <v>15180.57</v>
      </c>
      <c r="P58" s="13">
        <v>57249.29</v>
      </c>
      <c r="Q58" s="13">
        <v>15339.32</v>
      </c>
      <c r="R58" s="13">
        <v>15632.33</v>
      </c>
      <c r="S58" s="13">
        <v>16151.29</v>
      </c>
      <c r="T58" s="13">
        <v>16839.62</v>
      </c>
      <c r="U58" s="13">
        <v>63122.51</v>
      </c>
      <c r="V58" s="13">
        <v>16947.740000000002</v>
      </c>
      <c r="W58" s="13">
        <v>17253.96</v>
      </c>
      <c r="X58" s="13">
        <v>17858.2</v>
      </c>
      <c r="Y58" s="13">
        <v>18635.39</v>
      </c>
      <c r="Z58" s="13">
        <v>69141.19</v>
      </c>
      <c r="AA58" s="13">
        <v>18542.169999999998</v>
      </c>
      <c r="AB58" s="13">
        <v>18904.310000000001</v>
      </c>
      <c r="AC58" s="13">
        <v>19553.38</v>
      </c>
      <c r="AD58" s="13">
        <v>20331.759999999998</v>
      </c>
      <c r="AE58" s="13">
        <v>75079.31</v>
      </c>
    </row>
    <row r="59" spans="1:31" x14ac:dyDescent="0.25">
      <c r="A59" s="14" t="s">
        <v>172</v>
      </c>
      <c r="B59">
        <v>0.15690000000000001</v>
      </c>
      <c r="C59">
        <v>0.1666</v>
      </c>
      <c r="D59">
        <v>0.1716</v>
      </c>
      <c r="E59">
        <v>0.17299999999999999</v>
      </c>
      <c r="F59">
        <v>0.16120000000000001</v>
      </c>
      <c r="G59">
        <v>0.14099999999999999</v>
      </c>
      <c r="H59">
        <v>0.1226</v>
      </c>
      <c r="I59">
        <v>0.1203</v>
      </c>
      <c r="J59">
        <v>0.1167</v>
      </c>
      <c r="K59">
        <v>0.1241</v>
      </c>
      <c r="L59">
        <v>0.1104</v>
      </c>
      <c r="M59">
        <v>0.11559999999999999</v>
      </c>
      <c r="N59">
        <v>0.1152</v>
      </c>
      <c r="O59">
        <v>0.1132</v>
      </c>
      <c r="P59">
        <v>0.1109</v>
      </c>
      <c r="Q59">
        <v>0.1031</v>
      </c>
      <c r="R59">
        <v>0.1024</v>
      </c>
      <c r="S59">
        <v>0.1022</v>
      </c>
      <c r="T59">
        <v>0.10150000000000001</v>
      </c>
      <c r="U59">
        <v>0.1007</v>
      </c>
      <c r="V59">
        <v>0.10290000000000001</v>
      </c>
      <c r="W59">
        <v>0.1009</v>
      </c>
      <c r="X59">
        <v>9.9099999999999994E-2</v>
      </c>
      <c r="Y59">
        <v>9.6600000000000005E-2</v>
      </c>
      <c r="Z59">
        <v>9.3399999999999997E-2</v>
      </c>
      <c r="AA59">
        <v>9.3200000000000005E-2</v>
      </c>
      <c r="AB59">
        <v>9.1999999999999998E-2</v>
      </c>
      <c r="AC59">
        <v>9.0800000000000006E-2</v>
      </c>
      <c r="AD59">
        <v>8.9099999999999999E-2</v>
      </c>
      <c r="AE59">
        <v>8.6499999999999994E-2</v>
      </c>
    </row>
    <row r="60" spans="1:31" x14ac:dyDescent="0.25">
      <c r="A60" s="14" t="s">
        <v>90</v>
      </c>
    </row>
    <row r="61" spans="1:31" x14ac:dyDescent="0.25">
      <c r="A61" s="14" t="s">
        <v>173</v>
      </c>
      <c r="B61" s="13">
        <v>302.44</v>
      </c>
      <c r="C61" s="13">
        <v>343.65</v>
      </c>
      <c r="D61" s="13">
        <v>393.52</v>
      </c>
      <c r="E61" s="13">
        <v>503.77</v>
      </c>
      <c r="F61" s="13">
        <v>1755.59</v>
      </c>
      <c r="G61" s="13">
        <v>552</v>
      </c>
      <c r="H61" s="13">
        <v>666</v>
      </c>
      <c r="I61" s="13">
        <v>902</v>
      </c>
      <c r="J61" s="13">
        <v>1000</v>
      </c>
      <c r="K61" s="13">
        <v>3277.13</v>
      </c>
      <c r="L61" s="13">
        <v>828</v>
      </c>
      <c r="M61" s="13">
        <v>999</v>
      </c>
      <c r="N61" s="13">
        <v>1353</v>
      </c>
      <c r="O61" s="13">
        <v>1500</v>
      </c>
      <c r="P61" s="13">
        <v>5337.46</v>
      </c>
      <c r="Q61" t="s">
        <v>66</v>
      </c>
      <c r="R61" t="s">
        <v>66</v>
      </c>
      <c r="S61" t="s">
        <v>66</v>
      </c>
      <c r="T61" t="s">
        <v>66</v>
      </c>
      <c r="U61" s="13">
        <v>7390.59</v>
      </c>
      <c r="V61" t="s">
        <v>66</v>
      </c>
      <c r="W61" t="s">
        <v>66</v>
      </c>
      <c r="X61" t="s">
        <v>66</v>
      </c>
      <c r="Y61" t="s">
        <v>66</v>
      </c>
      <c r="Z61" s="13">
        <v>9219.9599999999991</v>
      </c>
      <c r="AA61" t="s">
        <v>66</v>
      </c>
      <c r="AB61" t="s">
        <v>66</v>
      </c>
      <c r="AC61" t="s">
        <v>66</v>
      </c>
      <c r="AD61" t="s">
        <v>66</v>
      </c>
      <c r="AE61" s="13">
        <v>11089.82</v>
      </c>
    </row>
    <row r="62" spans="1:31" x14ac:dyDescent="0.25">
      <c r="A62" s="14" t="s">
        <v>174</v>
      </c>
      <c r="B62" s="13">
        <v>10266.799999999999</v>
      </c>
      <c r="C62" s="13">
        <v>10746.17</v>
      </c>
      <c r="D62" s="13">
        <v>11059.31</v>
      </c>
      <c r="E62" s="13">
        <v>11550.76</v>
      </c>
      <c r="F62" s="13">
        <v>43623.040000000001</v>
      </c>
      <c r="G62" s="13">
        <v>11697.76</v>
      </c>
      <c r="H62" s="13">
        <v>11981.98</v>
      </c>
      <c r="I62" s="13">
        <v>12275.83</v>
      </c>
      <c r="J62" s="13">
        <v>12705.84</v>
      </c>
      <c r="K62" s="13">
        <v>48661.4</v>
      </c>
      <c r="L62" s="13">
        <v>12867.53</v>
      </c>
      <c r="M62" s="13">
        <v>13180.17</v>
      </c>
      <c r="N62" s="13">
        <v>13503.41</v>
      </c>
      <c r="O62" s="13">
        <v>13976.42</v>
      </c>
      <c r="P62" s="13">
        <v>53527.54</v>
      </c>
      <c r="Q62" t="s">
        <v>66</v>
      </c>
      <c r="R62" t="s">
        <v>66</v>
      </c>
      <c r="S62" t="s">
        <v>66</v>
      </c>
      <c r="T62" t="s">
        <v>66</v>
      </c>
      <c r="U62" s="13">
        <v>58612.66</v>
      </c>
      <c r="V62" t="s">
        <v>66</v>
      </c>
      <c r="W62" t="s">
        <v>66</v>
      </c>
      <c r="X62" t="s">
        <v>66</v>
      </c>
      <c r="Y62" t="s">
        <v>66</v>
      </c>
      <c r="Z62" s="13">
        <v>63887.8</v>
      </c>
      <c r="AA62" t="s">
        <v>66</v>
      </c>
      <c r="AB62" t="s">
        <v>66</v>
      </c>
      <c r="AC62" t="s">
        <v>66</v>
      </c>
      <c r="AD62" t="s">
        <v>66</v>
      </c>
      <c r="AE62" s="13">
        <v>69318.259999999995</v>
      </c>
    </row>
    <row r="63" spans="1:31" x14ac:dyDescent="0.25">
      <c r="A63" s="14" t="s">
        <v>90</v>
      </c>
    </row>
    <row r="64" spans="1:31" x14ac:dyDescent="0.25">
      <c r="A64" s="14" t="s">
        <v>175</v>
      </c>
    </row>
    <row r="65" spans="1:31" x14ac:dyDescent="0.25">
      <c r="A65" t="s">
        <v>176</v>
      </c>
      <c r="B65">
        <v>9.4799999999999995E-2</v>
      </c>
      <c r="C65">
        <v>0.1487</v>
      </c>
      <c r="D65">
        <v>0.1741</v>
      </c>
      <c r="E65">
        <v>0.18290000000000001</v>
      </c>
      <c r="F65">
        <v>0.14810000000000001</v>
      </c>
      <c r="G65">
        <v>0.14000000000000001</v>
      </c>
      <c r="H65">
        <v>0.12180000000000001</v>
      </c>
      <c r="I65">
        <v>0.1225</v>
      </c>
      <c r="J65">
        <v>0.1166</v>
      </c>
      <c r="K65">
        <v>0.1173</v>
      </c>
      <c r="L65">
        <v>0.1051</v>
      </c>
      <c r="M65">
        <v>0.10050000000000001</v>
      </c>
      <c r="N65">
        <v>9.98E-2</v>
      </c>
      <c r="O65">
        <v>9.6799999999999997E-2</v>
      </c>
      <c r="P65">
        <v>9.4700000000000006E-2</v>
      </c>
      <c r="Q65">
        <v>8.48E-2</v>
      </c>
      <c r="R65">
        <v>8.6099999999999996E-2</v>
      </c>
      <c r="S65">
        <v>8.5699999999999998E-2</v>
      </c>
      <c r="T65">
        <v>8.5300000000000001E-2</v>
      </c>
      <c r="U65">
        <v>8.48E-2</v>
      </c>
      <c r="V65">
        <v>8.9700000000000002E-2</v>
      </c>
      <c r="W65">
        <v>8.8999999999999996E-2</v>
      </c>
      <c r="X65">
        <v>8.8300000000000003E-2</v>
      </c>
      <c r="Y65">
        <v>8.7400000000000005E-2</v>
      </c>
      <c r="Z65">
        <v>8.1799999999999998E-2</v>
      </c>
      <c r="AA65">
        <v>8.48E-2</v>
      </c>
      <c r="AB65">
        <v>8.3900000000000002E-2</v>
      </c>
      <c r="AC65">
        <v>8.3099999999999993E-2</v>
      </c>
      <c r="AD65">
        <v>8.1900000000000001E-2</v>
      </c>
      <c r="AE65">
        <v>7.2700000000000001E-2</v>
      </c>
    </row>
    <row r="66" spans="1:31" x14ac:dyDescent="0.25">
      <c r="A66" t="s">
        <v>177</v>
      </c>
      <c r="B66">
        <v>0.16320000000000001</v>
      </c>
      <c r="C66">
        <v>0.15540000000000001</v>
      </c>
      <c r="D66">
        <v>0.1537</v>
      </c>
      <c r="E66">
        <v>0.15</v>
      </c>
      <c r="F66">
        <v>0.155</v>
      </c>
      <c r="G66">
        <v>0.12</v>
      </c>
      <c r="H66">
        <v>0.11269999999999999</v>
      </c>
      <c r="I66">
        <v>0.1053</v>
      </c>
      <c r="J66">
        <v>0.1027</v>
      </c>
      <c r="K66">
        <v>0.1085</v>
      </c>
      <c r="L66">
        <v>0.1113</v>
      </c>
      <c r="M66">
        <v>0.11840000000000001</v>
      </c>
      <c r="N66">
        <v>0.1201</v>
      </c>
      <c r="O66">
        <v>0.1206</v>
      </c>
      <c r="P66">
        <v>0.11749999999999999</v>
      </c>
      <c r="Q66">
        <v>0.1061</v>
      </c>
      <c r="R66">
        <v>0.1032</v>
      </c>
      <c r="S66">
        <v>0.1033</v>
      </c>
      <c r="T66">
        <v>0.1016</v>
      </c>
      <c r="U66">
        <v>0.10580000000000001</v>
      </c>
      <c r="V66">
        <v>0.1085</v>
      </c>
      <c r="W66">
        <v>0.1074</v>
      </c>
      <c r="X66">
        <v>0.1061</v>
      </c>
      <c r="Y66">
        <v>0.1045</v>
      </c>
      <c r="Z66">
        <v>9.7600000000000006E-2</v>
      </c>
      <c r="AA66">
        <v>8.2699999999999996E-2</v>
      </c>
      <c r="AB66">
        <v>8.2000000000000003E-2</v>
      </c>
      <c r="AC66">
        <v>8.1100000000000005E-2</v>
      </c>
      <c r="AD66">
        <v>7.9799999999999996E-2</v>
      </c>
      <c r="AE66">
        <v>8.3299999999999999E-2</v>
      </c>
    </row>
    <row r="67" spans="1:31" x14ac:dyDescent="0.25">
      <c r="A67" t="s">
        <v>178</v>
      </c>
      <c r="B67">
        <v>0.27300000000000002</v>
      </c>
      <c r="C67">
        <v>0.2326</v>
      </c>
      <c r="D67">
        <v>0.20280000000000001</v>
      </c>
      <c r="E67">
        <v>0.2</v>
      </c>
      <c r="F67">
        <v>0.22739999999999999</v>
      </c>
      <c r="G67">
        <v>0.18</v>
      </c>
      <c r="H67">
        <v>0.1273</v>
      </c>
      <c r="I67">
        <v>0.1173</v>
      </c>
      <c r="J67">
        <v>0.108</v>
      </c>
      <c r="K67">
        <v>0.1313</v>
      </c>
      <c r="L67">
        <v>0.1207</v>
      </c>
      <c r="M67">
        <v>0.1201</v>
      </c>
      <c r="N67">
        <v>0.1187</v>
      </c>
      <c r="O67">
        <v>0.122</v>
      </c>
      <c r="P67">
        <v>0.1173</v>
      </c>
      <c r="Q67">
        <v>0.12280000000000001</v>
      </c>
      <c r="R67">
        <v>0.1215</v>
      </c>
      <c r="S67">
        <v>0.1231</v>
      </c>
      <c r="T67">
        <v>0.1208</v>
      </c>
      <c r="U67">
        <v>0.1177</v>
      </c>
      <c r="V67">
        <v>0.12429999999999999</v>
      </c>
      <c r="W67">
        <v>0.123</v>
      </c>
      <c r="X67">
        <v>0.12139999999999999</v>
      </c>
      <c r="Y67">
        <v>0.1192</v>
      </c>
      <c r="Z67">
        <v>0.10780000000000001</v>
      </c>
      <c r="AA67">
        <v>0.1221</v>
      </c>
      <c r="AB67">
        <v>0.1197</v>
      </c>
      <c r="AC67">
        <v>0.1173</v>
      </c>
      <c r="AD67">
        <v>0.11409999999999999</v>
      </c>
      <c r="AE67">
        <v>0.1014</v>
      </c>
    </row>
    <row r="68" spans="1:31" x14ac:dyDescent="0.25">
      <c r="A68" t="s">
        <v>179</v>
      </c>
      <c r="B68">
        <v>0.26200000000000001</v>
      </c>
      <c r="C68">
        <v>0.2291</v>
      </c>
      <c r="D68">
        <v>0.2019</v>
      </c>
      <c r="E68">
        <v>0.19</v>
      </c>
      <c r="F68">
        <v>0.21820000000000001</v>
      </c>
      <c r="G68">
        <v>0.19</v>
      </c>
      <c r="H68">
        <v>0.16159999999999999</v>
      </c>
      <c r="I68">
        <v>0.15670000000000001</v>
      </c>
      <c r="J68">
        <v>0.15529999999999999</v>
      </c>
      <c r="K68">
        <v>0.1633</v>
      </c>
      <c r="L68">
        <v>0.1474</v>
      </c>
      <c r="M68">
        <v>0.14949999999999999</v>
      </c>
      <c r="N68">
        <v>0.14610000000000001</v>
      </c>
      <c r="O68">
        <v>0.14460000000000001</v>
      </c>
      <c r="P68">
        <v>0.15340000000000001</v>
      </c>
      <c r="Q68">
        <v>0.13780000000000001</v>
      </c>
      <c r="R68">
        <v>0.13389999999999999</v>
      </c>
      <c r="S68">
        <v>0.1318</v>
      </c>
      <c r="T68">
        <v>0.12909999999999999</v>
      </c>
      <c r="U68">
        <v>0.1348</v>
      </c>
      <c r="V68">
        <v>0.13719999999999999</v>
      </c>
      <c r="W68">
        <v>0.13450000000000001</v>
      </c>
      <c r="X68">
        <v>0.1318</v>
      </c>
      <c r="Y68">
        <v>0.1288</v>
      </c>
      <c r="Z68">
        <v>0.1216</v>
      </c>
      <c r="AA68">
        <v>0.1138</v>
      </c>
      <c r="AB68">
        <v>0.1119</v>
      </c>
      <c r="AC68">
        <v>0.1101</v>
      </c>
      <c r="AD68">
        <v>0.108</v>
      </c>
      <c r="AE68">
        <v>0.1028</v>
      </c>
    </row>
    <row r="69" spans="1:31" x14ac:dyDescent="0.25">
      <c r="A69" s="14" t="s">
        <v>164</v>
      </c>
      <c r="B69">
        <v>0.15110000000000001</v>
      </c>
      <c r="C69">
        <v>0.16059999999999999</v>
      </c>
      <c r="D69">
        <v>0.1636</v>
      </c>
      <c r="E69">
        <v>0.16839999999999999</v>
      </c>
      <c r="F69">
        <v>0.1656</v>
      </c>
      <c r="G69">
        <v>0.12839999999999999</v>
      </c>
      <c r="H69">
        <v>0.1295</v>
      </c>
      <c r="I69">
        <v>0.128</v>
      </c>
      <c r="J69">
        <v>0.1246</v>
      </c>
      <c r="K69">
        <v>0.1244</v>
      </c>
      <c r="L69">
        <v>0.1278</v>
      </c>
      <c r="M69">
        <v>0.1148</v>
      </c>
      <c r="N69">
        <v>0.11459999999999999</v>
      </c>
      <c r="O69">
        <v>0.11169999999999999</v>
      </c>
      <c r="P69">
        <v>0.11890000000000001</v>
      </c>
      <c r="Q69">
        <v>0.1041</v>
      </c>
      <c r="R69">
        <v>0.1019</v>
      </c>
      <c r="S69">
        <v>9.9099999999999994E-2</v>
      </c>
      <c r="T69">
        <v>9.5000000000000001E-2</v>
      </c>
      <c r="U69">
        <v>0.1081</v>
      </c>
      <c r="V69" t="s">
        <v>66</v>
      </c>
      <c r="W69" t="s">
        <v>66</v>
      </c>
      <c r="X69" t="s">
        <v>66</v>
      </c>
      <c r="Y69" t="s">
        <v>66</v>
      </c>
      <c r="Z69">
        <v>9.6699999999999994E-2</v>
      </c>
      <c r="AA69" t="s">
        <v>66</v>
      </c>
      <c r="AB69" t="s">
        <v>66</v>
      </c>
      <c r="AC69" t="s">
        <v>66</v>
      </c>
      <c r="AD69" t="s">
        <v>66</v>
      </c>
      <c r="AE69">
        <v>8.1199999999999994E-2</v>
      </c>
    </row>
    <row r="70" spans="1:31" x14ac:dyDescent="0.25">
      <c r="A70" s="14" t="s">
        <v>90</v>
      </c>
    </row>
    <row r="71" spans="1:31" x14ac:dyDescent="0.25">
      <c r="A71" s="14" t="s">
        <v>180</v>
      </c>
    </row>
    <row r="72" spans="1:31" x14ac:dyDescent="0.25">
      <c r="A72" t="s">
        <v>181</v>
      </c>
      <c r="B72">
        <v>-8.9999999999999993E-3</v>
      </c>
      <c r="C72">
        <v>5.67E-2</v>
      </c>
      <c r="D72">
        <v>8.1100000000000005E-2</v>
      </c>
      <c r="E72">
        <v>0.1021</v>
      </c>
      <c r="F72">
        <v>6.3299999999999995E-2</v>
      </c>
      <c r="G72">
        <v>7.7200000000000005E-2</v>
      </c>
      <c r="H72">
        <v>7.6499999999999999E-2</v>
      </c>
      <c r="I72">
        <v>8.6199999999999999E-2</v>
      </c>
      <c r="J72">
        <v>8.9399999999999993E-2</v>
      </c>
      <c r="K72">
        <v>8.1600000000000006E-2</v>
      </c>
      <c r="L72">
        <v>6.7000000000000004E-2</v>
      </c>
      <c r="M72">
        <v>6.7000000000000004E-2</v>
      </c>
      <c r="N72">
        <v>6.93E-2</v>
      </c>
      <c r="O72">
        <v>6.6100000000000006E-2</v>
      </c>
      <c r="P72">
        <v>6.54E-2</v>
      </c>
      <c r="Q72">
        <v>6.2100000000000002E-2</v>
      </c>
      <c r="R72">
        <v>6.25E-2</v>
      </c>
      <c r="S72">
        <v>6.4299999999999996E-2</v>
      </c>
      <c r="T72">
        <v>6.5000000000000002E-2</v>
      </c>
      <c r="U72">
        <v>6.0999999999999999E-2</v>
      </c>
      <c r="V72">
        <v>7.6100000000000001E-2</v>
      </c>
      <c r="W72">
        <v>7.4999999999999997E-2</v>
      </c>
      <c r="X72">
        <v>7.6899999999999996E-2</v>
      </c>
      <c r="Y72">
        <v>7.7399999999999997E-2</v>
      </c>
      <c r="Z72">
        <v>6.6199999999999995E-2</v>
      </c>
      <c r="AA72">
        <v>8.2199999999999995E-2</v>
      </c>
      <c r="AB72">
        <v>7.9500000000000001E-2</v>
      </c>
      <c r="AC72">
        <v>8.2199999999999995E-2</v>
      </c>
      <c r="AD72">
        <v>8.2900000000000001E-2</v>
      </c>
      <c r="AE72">
        <v>6.08E-2</v>
      </c>
    </row>
    <row r="73" spans="1:31" x14ac:dyDescent="0.25">
      <c r="A73" t="s">
        <v>182</v>
      </c>
      <c r="B73">
        <v>2.92E-2</v>
      </c>
      <c r="C73">
        <v>2.58E-2</v>
      </c>
      <c r="D73">
        <v>2.9499999999999998E-2</v>
      </c>
      <c r="E73">
        <v>3.6400000000000002E-2</v>
      </c>
      <c r="F73">
        <v>2.98E-2</v>
      </c>
      <c r="G73">
        <v>1.8700000000000001E-2</v>
      </c>
      <c r="H73">
        <v>3.5999999999999997E-2</v>
      </c>
      <c r="I73">
        <v>4.0599999999999997E-2</v>
      </c>
      <c r="J73">
        <v>4.1399999999999999E-2</v>
      </c>
      <c r="K73">
        <v>2.8000000000000001E-2</v>
      </c>
      <c r="L73">
        <v>5.7799999999999997E-2</v>
      </c>
      <c r="M73">
        <v>6.3299999999999995E-2</v>
      </c>
      <c r="N73">
        <v>6.3200000000000006E-2</v>
      </c>
      <c r="O73">
        <v>6.4500000000000002E-2</v>
      </c>
      <c r="P73">
        <v>5.3600000000000002E-2</v>
      </c>
      <c r="Q73">
        <v>5.8400000000000001E-2</v>
      </c>
      <c r="R73">
        <v>6.1100000000000002E-2</v>
      </c>
      <c r="S73">
        <v>6.1400000000000003E-2</v>
      </c>
      <c r="T73">
        <v>6.3E-2</v>
      </c>
      <c r="U73">
        <v>5.57E-2</v>
      </c>
      <c r="V73">
        <v>6.9400000000000003E-2</v>
      </c>
      <c r="W73">
        <v>7.2400000000000006E-2</v>
      </c>
      <c r="X73">
        <v>7.2700000000000001E-2</v>
      </c>
      <c r="Y73">
        <v>7.4800000000000005E-2</v>
      </c>
      <c r="Z73">
        <v>5.96E-2</v>
      </c>
      <c r="AA73">
        <v>6.7900000000000002E-2</v>
      </c>
      <c r="AB73">
        <v>7.1599999999999997E-2</v>
      </c>
      <c r="AC73">
        <v>7.1599999999999997E-2</v>
      </c>
      <c r="AD73">
        <v>7.3700000000000002E-2</v>
      </c>
      <c r="AE73">
        <v>5.3400000000000003E-2</v>
      </c>
    </row>
    <row r="74" spans="1:31" x14ac:dyDescent="0.25">
      <c r="A74" t="s">
        <v>183</v>
      </c>
      <c r="B74">
        <v>0.1139</v>
      </c>
      <c r="C74">
        <v>9.3799999999999994E-2</v>
      </c>
      <c r="D74">
        <v>4.9799999999999997E-2</v>
      </c>
      <c r="E74">
        <v>6.2399999999999997E-2</v>
      </c>
      <c r="F74">
        <v>7.6300000000000007E-2</v>
      </c>
      <c r="G74">
        <v>7.6899999999999996E-2</v>
      </c>
      <c r="H74">
        <v>3.7499999999999999E-2</v>
      </c>
      <c r="I74">
        <v>4.24E-2</v>
      </c>
      <c r="J74">
        <v>4.3099999999999999E-2</v>
      </c>
      <c r="K74">
        <v>4.2299999999999997E-2</v>
      </c>
      <c r="L74">
        <v>5.7000000000000002E-2</v>
      </c>
      <c r="M74">
        <v>6.3200000000000006E-2</v>
      </c>
      <c r="N74">
        <v>6.5600000000000006E-2</v>
      </c>
      <c r="O74">
        <v>6.7699999999999996E-2</v>
      </c>
      <c r="P74">
        <v>4.8899999999999999E-2</v>
      </c>
      <c r="Q74">
        <v>6.5199999999999994E-2</v>
      </c>
      <c r="R74">
        <v>6.7299999999999999E-2</v>
      </c>
      <c r="S74">
        <v>6.9099999999999995E-2</v>
      </c>
      <c r="T74">
        <v>7.1900000000000006E-2</v>
      </c>
      <c r="U74">
        <v>6.1100000000000002E-2</v>
      </c>
      <c r="V74">
        <v>6.5199999999999994E-2</v>
      </c>
      <c r="W74">
        <v>6.7799999999999999E-2</v>
      </c>
      <c r="X74">
        <v>6.9900000000000004E-2</v>
      </c>
      <c r="Y74">
        <v>7.3400000000000007E-2</v>
      </c>
      <c r="Z74">
        <v>5.6099999999999997E-2</v>
      </c>
      <c r="AA74">
        <v>7.0599999999999996E-2</v>
      </c>
      <c r="AB74">
        <v>7.3499999999999996E-2</v>
      </c>
      <c r="AC74">
        <v>7.5800000000000006E-2</v>
      </c>
      <c r="AD74">
        <v>7.9799999999999996E-2</v>
      </c>
      <c r="AE74">
        <v>5.5800000000000002E-2</v>
      </c>
    </row>
    <row r="75" spans="1:31" x14ac:dyDescent="0.25">
      <c r="A75" t="s">
        <v>184</v>
      </c>
      <c r="B75">
        <v>1.2E-2</v>
      </c>
      <c r="C75">
        <v>4.4999999999999997E-3</v>
      </c>
      <c r="D75">
        <v>1.6899999999999998E-2</v>
      </c>
      <c r="E75">
        <v>3.32E-2</v>
      </c>
      <c r="F75">
        <v>1.1599999999999999E-2</v>
      </c>
      <c r="G75">
        <v>4.2099999999999999E-2</v>
      </c>
      <c r="H75">
        <v>3.2599999999999997E-2</v>
      </c>
      <c r="I75">
        <v>2.63E-2</v>
      </c>
      <c r="J75">
        <v>2.1999999999999999E-2</v>
      </c>
      <c r="K75">
        <v>2.5999999999999999E-2</v>
      </c>
      <c r="L75">
        <v>2.9499999999999998E-2</v>
      </c>
      <c r="M75">
        <v>3.6799999999999999E-2</v>
      </c>
      <c r="N75">
        <v>3.8800000000000001E-2</v>
      </c>
      <c r="O75">
        <v>4.0500000000000001E-2</v>
      </c>
      <c r="P75">
        <v>2.9899999999999999E-2</v>
      </c>
      <c r="Q75">
        <v>3.4099999999999998E-2</v>
      </c>
      <c r="R75">
        <v>3.5200000000000002E-2</v>
      </c>
      <c r="S75">
        <v>3.85E-2</v>
      </c>
      <c r="T75">
        <v>4.0800000000000003E-2</v>
      </c>
      <c r="U75">
        <v>3.1300000000000001E-2</v>
      </c>
      <c r="V75">
        <v>4.5999999999999999E-2</v>
      </c>
      <c r="W75">
        <v>4.7399999999999998E-2</v>
      </c>
      <c r="X75">
        <v>5.0799999999999998E-2</v>
      </c>
      <c r="Y75">
        <v>5.3699999999999998E-2</v>
      </c>
      <c r="Z75">
        <v>3.5700000000000003E-2</v>
      </c>
      <c r="AA75">
        <v>4.6100000000000002E-2</v>
      </c>
      <c r="AB75">
        <v>4.7500000000000001E-2</v>
      </c>
      <c r="AC75">
        <v>5.0500000000000003E-2</v>
      </c>
      <c r="AD75">
        <v>5.3499999999999999E-2</v>
      </c>
      <c r="AE75">
        <v>0.03</v>
      </c>
    </row>
    <row r="76" spans="1:31" x14ac:dyDescent="0.25">
      <c r="A76" s="14" t="s">
        <v>185</v>
      </c>
      <c r="B76">
        <v>-3.8999999999999998E-3</v>
      </c>
      <c r="C76">
        <v>1.2699999999999999E-2</v>
      </c>
      <c r="D76">
        <v>3.9899999999999998E-2</v>
      </c>
      <c r="E76">
        <v>5.5300000000000002E-2</v>
      </c>
      <c r="F76">
        <v>3.5900000000000001E-2</v>
      </c>
      <c r="G76">
        <v>2.9700000000000001E-2</v>
      </c>
      <c r="H76">
        <v>3.2599999999999997E-2</v>
      </c>
      <c r="I76">
        <v>4.58E-2</v>
      </c>
      <c r="J76">
        <v>4.7399999999999998E-2</v>
      </c>
      <c r="K76">
        <v>3.6799999999999999E-2</v>
      </c>
      <c r="L76">
        <v>4.6899999999999997E-2</v>
      </c>
      <c r="M76">
        <v>4.6100000000000002E-2</v>
      </c>
      <c r="N76">
        <v>4.1200000000000001E-2</v>
      </c>
      <c r="O76">
        <v>4.0800000000000003E-2</v>
      </c>
      <c r="P76">
        <v>4.3299999999999998E-2</v>
      </c>
      <c r="Q76" t="s">
        <v>66</v>
      </c>
      <c r="R76" t="s">
        <v>66</v>
      </c>
      <c r="S76" t="s">
        <v>66</v>
      </c>
      <c r="T76" t="s">
        <v>66</v>
      </c>
      <c r="U76">
        <v>5.7000000000000002E-2</v>
      </c>
      <c r="V76" t="s">
        <v>66</v>
      </c>
      <c r="W76" t="s">
        <v>66</v>
      </c>
      <c r="X76" t="s">
        <v>66</v>
      </c>
      <c r="Y76" t="s">
        <v>66</v>
      </c>
      <c r="Z76">
        <v>4.87E-2</v>
      </c>
      <c r="AA76" t="s">
        <v>66</v>
      </c>
      <c r="AB76" t="s">
        <v>66</v>
      </c>
      <c r="AC76" t="s">
        <v>66</v>
      </c>
      <c r="AD76" t="s">
        <v>66</v>
      </c>
      <c r="AE76">
        <v>4.3299999999999998E-2</v>
      </c>
    </row>
    <row r="77" spans="1:31" x14ac:dyDescent="0.25">
      <c r="A77" s="14" t="s">
        <v>90</v>
      </c>
    </row>
    <row r="78" spans="1:31" x14ac:dyDescent="0.25">
      <c r="A78" s="14" t="s">
        <v>186</v>
      </c>
    </row>
    <row r="79" spans="1:31" x14ac:dyDescent="0.25">
      <c r="A79" t="s">
        <v>187</v>
      </c>
      <c r="B79" s="13">
        <v>0.9</v>
      </c>
      <c r="C79" s="13">
        <v>0.66</v>
      </c>
      <c r="D79" s="13">
        <v>0.91</v>
      </c>
      <c r="E79" s="13">
        <v>1.86</v>
      </c>
      <c r="F79" s="13">
        <v>4.49</v>
      </c>
      <c r="G79" s="13">
        <v>0.83</v>
      </c>
      <c r="H79" s="13">
        <v>0.22</v>
      </c>
      <c r="I79" s="13">
        <v>0.59</v>
      </c>
      <c r="J79" s="13">
        <v>1.33</v>
      </c>
      <c r="K79" s="13">
        <v>2.97</v>
      </c>
      <c r="L79" s="13">
        <v>0.62</v>
      </c>
      <c r="M79" s="13">
        <v>0.39</v>
      </c>
      <c r="N79" s="13">
        <v>0.43</v>
      </c>
      <c r="O79" s="13">
        <v>1.1000000000000001</v>
      </c>
      <c r="P79" s="13">
        <v>2.5299999999999998</v>
      </c>
      <c r="Q79" s="13">
        <v>0.67</v>
      </c>
      <c r="R79" s="13">
        <v>0.38</v>
      </c>
      <c r="S79" s="13">
        <v>0.46</v>
      </c>
      <c r="T79" s="13">
        <v>1.27</v>
      </c>
      <c r="U79" s="13">
        <v>1.91</v>
      </c>
      <c r="V79" s="13">
        <v>0.6</v>
      </c>
      <c r="W79" s="13">
        <v>0.34</v>
      </c>
      <c r="X79" s="13">
        <v>0.41</v>
      </c>
      <c r="Y79" s="13">
        <v>1.1399999999999999</v>
      </c>
      <c r="Z79" s="13">
        <v>1.51</v>
      </c>
      <c r="AA79" s="13">
        <v>0.54</v>
      </c>
      <c r="AB79" s="13">
        <v>0.31</v>
      </c>
      <c r="AC79" s="13">
        <v>0.37</v>
      </c>
      <c r="AD79" s="13">
        <v>1.03</v>
      </c>
      <c r="AE79" s="13">
        <v>1.1499999999999999</v>
      </c>
    </row>
    <row r="80" spans="1:31" x14ac:dyDescent="0.25">
      <c r="A80" s="14" t="s">
        <v>188</v>
      </c>
      <c r="B80" s="13">
        <v>81.56</v>
      </c>
      <c r="C80" s="13">
        <v>82.36</v>
      </c>
      <c r="D80" s="13">
        <v>83.27</v>
      </c>
      <c r="E80" s="13">
        <v>85.13</v>
      </c>
      <c r="F80" s="13">
        <v>85.13</v>
      </c>
      <c r="G80" s="13">
        <v>85.68</v>
      </c>
      <c r="H80" s="13">
        <v>85.91</v>
      </c>
      <c r="I80" s="13">
        <v>86.49</v>
      </c>
      <c r="J80" s="13">
        <v>87.83</v>
      </c>
      <c r="K80" s="13">
        <v>87.83</v>
      </c>
      <c r="L80" s="13">
        <v>88.14</v>
      </c>
      <c r="M80" s="13">
        <v>88.53</v>
      </c>
      <c r="N80" s="13">
        <v>88.96</v>
      </c>
      <c r="O80" s="13">
        <v>90.06</v>
      </c>
      <c r="P80" s="13">
        <v>90.35</v>
      </c>
      <c r="Q80" s="13">
        <v>91.83</v>
      </c>
      <c r="R80" s="13">
        <v>92.21</v>
      </c>
      <c r="S80" s="13">
        <v>92.67</v>
      </c>
      <c r="T80" s="13">
        <v>93.94</v>
      </c>
      <c r="U80" s="13">
        <v>92.26</v>
      </c>
      <c r="V80" s="13">
        <v>94.53</v>
      </c>
      <c r="W80" s="13">
        <v>94.88</v>
      </c>
      <c r="X80" s="13">
        <v>95.29</v>
      </c>
      <c r="Y80" s="13">
        <v>96.43</v>
      </c>
      <c r="Z80" s="13">
        <v>93.77</v>
      </c>
      <c r="AA80" s="13">
        <v>96.97</v>
      </c>
      <c r="AB80" s="13">
        <v>97.28</v>
      </c>
      <c r="AC80" s="13">
        <v>97.65</v>
      </c>
      <c r="AD80" s="13">
        <v>98.68</v>
      </c>
      <c r="AE80" s="13">
        <v>94.92</v>
      </c>
    </row>
    <row r="81" spans="1:31" x14ac:dyDescent="0.25">
      <c r="A81" t="s">
        <v>189</v>
      </c>
      <c r="B81" s="13">
        <v>81.11</v>
      </c>
      <c r="C81" s="13">
        <v>82.02</v>
      </c>
      <c r="D81" s="13">
        <v>82.81</v>
      </c>
      <c r="E81" s="13">
        <v>84.2</v>
      </c>
      <c r="F81" s="13">
        <v>82.62</v>
      </c>
      <c r="G81" s="13">
        <v>85.27</v>
      </c>
      <c r="H81" s="13">
        <v>85.79</v>
      </c>
      <c r="I81" s="13">
        <v>86.2</v>
      </c>
      <c r="J81" s="13">
        <v>87.16</v>
      </c>
      <c r="K81" s="13">
        <v>86.24</v>
      </c>
      <c r="L81" s="13">
        <v>87.83</v>
      </c>
      <c r="M81" s="13">
        <v>88.34</v>
      </c>
      <c r="N81" s="13">
        <v>88.75</v>
      </c>
      <c r="O81" s="13">
        <v>89.51</v>
      </c>
      <c r="P81" s="13">
        <v>89</v>
      </c>
      <c r="Q81" s="13">
        <v>91.5</v>
      </c>
      <c r="R81" s="13">
        <v>92.02</v>
      </c>
      <c r="S81" s="13">
        <v>92.44</v>
      </c>
      <c r="T81" s="13">
        <v>93.3</v>
      </c>
      <c r="U81" s="13">
        <v>91.23</v>
      </c>
      <c r="V81" s="13">
        <v>94.23</v>
      </c>
      <c r="W81" s="13">
        <v>94.71</v>
      </c>
      <c r="X81" s="13">
        <v>95.08</v>
      </c>
      <c r="Y81" s="13">
        <v>95.86</v>
      </c>
      <c r="Z81" s="13">
        <v>92.94</v>
      </c>
      <c r="AA81" s="13">
        <v>96.7</v>
      </c>
      <c r="AB81" s="13">
        <v>97.12</v>
      </c>
      <c r="AC81" s="13">
        <v>97.46</v>
      </c>
      <c r="AD81" s="13">
        <v>98.16</v>
      </c>
      <c r="AE81" s="13">
        <v>94.28</v>
      </c>
    </row>
    <row r="82" spans="1:31" x14ac:dyDescent="0.25">
      <c r="A82" t="s">
        <v>190</v>
      </c>
      <c r="B82" s="13">
        <v>17.579999999999998</v>
      </c>
      <c r="C82" s="13">
        <v>18.579999999999998</v>
      </c>
      <c r="D82" s="13">
        <v>18.899999999999999</v>
      </c>
      <c r="E82" s="13">
        <v>19.48</v>
      </c>
      <c r="F82" s="13">
        <v>18.64</v>
      </c>
      <c r="G82" s="13">
        <v>18.989999999999998</v>
      </c>
      <c r="H82" s="13">
        <v>20.149999999999999</v>
      </c>
      <c r="I82" s="13">
        <v>20.65</v>
      </c>
      <c r="J82" s="13">
        <v>21.16</v>
      </c>
      <c r="K82" s="13">
        <v>20.239999999999998</v>
      </c>
      <c r="L82" s="13">
        <v>21.3</v>
      </c>
      <c r="M82" s="13">
        <v>22.23</v>
      </c>
      <c r="N82" s="13">
        <v>22.91</v>
      </c>
      <c r="O82" s="13">
        <v>23.78</v>
      </c>
      <c r="P82" s="13">
        <v>21.68</v>
      </c>
      <c r="Q82" s="13">
        <v>23</v>
      </c>
      <c r="R82" s="13">
        <v>24</v>
      </c>
      <c r="S82" s="13">
        <v>24.74</v>
      </c>
      <c r="T82" s="13">
        <v>25.68</v>
      </c>
      <c r="U82" s="13">
        <v>23.15</v>
      </c>
      <c r="V82" s="13">
        <v>24.84</v>
      </c>
      <c r="W82" s="13">
        <v>25.92</v>
      </c>
      <c r="X82" s="13">
        <v>26.72</v>
      </c>
      <c r="Y82" s="13">
        <v>27.73</v>
      </c>
      <c r="Z82" s="13">
        <v>24.73</v>
      </c>
      <c r="AA82" s="13">
        <v>26.83</v>
      </c>
      <c r="AB82" s="13">
        <v>28</v>
      </c>
      <c r="AC82" s="13">
        <v>28.86</v>
      </c>
      <c r="AD82" s="13">
        <v>29.95</v>
      </c>
      <c r="AE82" s="13">
        <v>26.36</v>
      </c>
    </row>
    <row r="83" spans="1:31" x14ac:dyDescent="0.25">
      <c r="A83" s="14" t="s">
        <v>191</v>
      </c>
      <c r="B83" s="13">
        <v>4281.55</v>
      </c>
      <c r="C83" s="13">
        <v>4575.09</v>
      </c>
      <c r="D83" s="13">
        <v>4700.13</v>
      </c>
      <c r="E83" s="13">
        <v>4932.53</v>
      </c>
      <c r="F83" s="13">
        <v>18489.3</v>
      </c>
      <c r="G83" s="13">
        <v>4872.1000000000004</v>
      </c>
      <c r="H83" s="13">
        <v>5194.08</v>
      </c>
      <c r="I83" s="13">
        <v>5352.62</v>
      </c>
      <c r="J83" s="13">
        <v>5557.18</v>
      </c>
      <c r="K83" s="13">
        <v>20975.98</v>
      </c>
      <c r="L83" s="13">
        <v>5651.99</v>
      </c>
      <c r="M83" s="13">
        <v>5936.71</v>
      </c>
      <c r="N83" s="13">
        <v>6151.3</v>
      </c>
      <c r="O83" s="13">
        <v>6452.61</v>
      </c>
      <c r="P83" s="13">
        <v>23133.15</v>
      </c>
      <c r="Q83" s="13">
        <v>6314.17</v>
      </c>
      <c r="R83" s="13">
        <v>6626.61</v>
      </c>
      <c r="S83" s="13">
        <v>6861.53</v>
      </c>
      <c r="T83" s="13">
        <v>7187.82</v>
      </c>
      <c r="U83" s="13">
        <v>25241.24</v>
      </c>
      <c r="V83" s="13">
        <v>7023.44</v>
      </c>
      <c r="W83" s="13">
        <v>7365.69</v>
      </c>
      <c r="X83" s="13">
        <v>7622.47</v>
      </c>
      <c r="Y83" s="13">
        <v>7975.72</v>
      </c>
      <c r="Z83" s="13">
        <v>27420.84</v>
      </c>
      <c r="AA83" s="13">
        <v>7783.74</v>
      </c>
      <c r="AB83" s="13">
        <v>8158.05</v>
      </c>
      <c r="AC83" s="13">
        <v>8438.35</v>
      </c>
      <c r="AD83" s="13">
        <v>8820.68</v>
      </c>
      <c r="AE83" s="13">
        <v>29662.58</v>
      </c>
    </row>
    <row r="84" spans="1:31" x14ac:dyDescent="0.25">
      <c r="A84" s="14" t="s">
        <v>90</v>
      </c>
    </row>
    <row r="85" spans="1:31" x14ac:dyDescent="0.25">
      <c r="A85" s="14" t="s">
        <v>192</v>
      </c>
    </row>
    <row r="86" spans="1:31" x14ac:dyDescent="0.25">
      <c r="A86" t="s">
        <v>193</v>
      </c>
      <c r="B86" s="13">
        <v>0.1</v>
      </c>
      <c r="C86" s="13">
        <v>0.04</v>
      </c>
      <c r="D86" s="13">
        <v>7.0000000000000007E-2</v>
      </c>
      <c r="E86" s="13">
        <v>0.15</v>
      </c>
      <c r="F86" s="13">
        <v>0.34</v>
      </c>
      <c r="G86" s="13">
        <v>0.05</v>
      </c>
      <c r="H86" s="13">
        <v>0.01</v>
      </c>
      <c r="I86" s="13">
        <v>0.04</v>
      </c>
      <c r="J86" s="13">
        <v>0.08</v>
      </c>
      <c r="K86" s="13">
        <v>0.18</v>
      </c>
      <c r="L86" s="13">
        <v>0.04</v>
      </c>
      <c r="M86" s="13">
        <v>0.02</v>
      </c>
      <c r="N86" s="13">
        <v>0.03</v>
      </c>
      <c r="O86" s="13">
        <v>0.08</v>
      </c>
      <c r="P86" s="13">
        <v>0.14000000000000001</v>
      </c>
      <c r="Q86" s="13">
        <v>0.04</v>
      </c>
      <c r="R86" s="13">
        <v>0.02</v>
      </c>
      <c r="S86" s="13">
        <v>0.03</v>
      </c>
      <c r="T86" s="13">
        <v>7.0000000000000007E-2</v>
      </c>
      <c r="U86" s="13">
        <v>0.12</v>
      </c>
      <c r="V86" s="13">
        <v>0.03</v>
      </c>
      <c r="W86" s="13">
        <v>0.02</v>
      </c>
      <c r="X86" s="13">
        <v>0.02</v>
      </c>
      <c r="Y86" s="13">
        <v>0.06</v>
      </c>
      <c r="Z86" s="13">
        <v>0.1</v>
      </c>
      <c r="AA86" s="13">
        <v>0.06</v>
      </c>
      <c r="AB86" s="13">
        <v>0.03</v>
      </c>
      <c r="AC86" s="13">
        <v>0.04</v>
      </c>
      <c r="AD86" s="13">
        <v>0.11</v>
      </c>
      <c r="AE86" s="13">
        <v>0.13</v>
      </c>
    </row>
    <row r="87" spans="1:31" x14ac:dyDescent="0.25">
      <c r="A87" s="14" t="s">
        <v>194</v>
      </c>
      <c r="B87" s="13">
        <v>8.27</v>
      </c>
      <c r="C87" s="13">
        <v>8.31</v>
      </c>
      <c r="D87" s="13">
        <v>8.39</v>
      </c>
      <c r="E87" s="13">
        <v>8.5299999999999994</v>
      </c>
      <c r="F87" s="13">
        <v>8.5299999999999994</v>
      </c>
      <c r="G87" s="13">
        <v>8.25</v>
      </c>
      <c r="H87" s="13">
        <v>8.26</v>
      </c>
      <c r="I87" s="13">
        <v>8.2899999999999991</v>
      </c>
      <c r="J87" s="13">
        <v>8.3699999999999992</v>
      </c>
      <c r="K87" s="13">
        <v>8.3699999999999992</v>
      </c>
      <c r="L87" s="13">
        <v>8.39</v>
      </c>
      <c r="M87" s="13">
        <v>8.42</v>
      </c>
      <c r="N87" s="13">
        <v>8.4499999999999993</v>
      </c>
      <c r="O87" s="13">
        <v>8.5299999999999994</v>
      </c>
      <c r="P87" s="13">
        <v>8.51</v>
      </c>
      <c r="Q87" s="13">
        <v>8.56</v>
      </c>
      <c r="R87" s="13">
        <v>8.58</v>
      </c>
      <c r="S87" s="13">
        <v>8.61</v>
      </c>
      <c r="T87" s="13">
        <v>8.68</v>
      </c>
      <c r="U87" s="13">
        <v>8.64</v>
      </c>
      <c r="V87" s="13">
        <v>8.7100000000000009</v>
      </c>
      <c r="W87" s="13">
        <v>8.73</v>
      </c>
      <c r="X87" s="13">
        <v>8.76</v>
      </c>
      <c r="Y87" s="13">
        <v>8.82</v>
      </c>
      <c r="Z87" s="13">
        <v>8.73</v>
      </c>
      <c r="AA87" s="13">
        <v>10.51</v>
      </c>
      <c r="AB87" s="13">
        <v>10.55</v>
      </c>
      <c r="AC87" s="13">
        <v>10.59</v>
      </c>
      <c r="AD87" s="13">
        <v>10.7</v>
      </c>
      <c r="AE87" s="13">
        <v>9.64</v>
      </c>
    </row>
    <row r="88" spans="1:31" x14ac:dyDescent="0.25">
      <c r="A88" t="s">
        <v>195</v>
      </c>
      <c r="B88" s="13">
        <v>8.23</v>
      </c>
      <c r="C88" s="13">
        <v>8.2899999999999991</v>
      </c>
      <c r="D88" s="13">
        <v>8.35</v>
      </c>
      <c r="E88" s="13">
        <v>8.4600000000000009</v>
      </c>
      <c r="F88" s="13">
        <v>8.36</v>
      </c>
      <c r="G88" s="13">
        <v>8.2200000000000006</v>
      </c>
      <c r="H88" s="13">
        <v>8.25</v>
      </c>
      <c r="I88" s="13">
        <v>8.2799999999999994</v>
      </c>
      <c r="J88" s="13">
        <v>8.33</v>
      </c>
      <c r="K88" s="13">
        <v>8.27</v>
      </c>
      <c r="L88" s="13">
        <v>8.3699999999999992</v>
      </c>
      <c r="M88" s="13">
        <v>8.41</v>
      </c>
      <c r="N88" s="13">
        <v>8.43</v>
      </c>
      <c r="O88" s="13">
        <v>8.49</v>
      </c>
      <c r="P88" s="13">
        <v>8.43</v>
      </c>
      <c r="Q88" s="13">
        <v>8.5399999999999991</v>
      </c>
      <c r="R88" s="13">
        <v>8.57</v>
      </c>
      <c r="S88" s="13">
        <v>8.6</v>
      </c>
      <c r="T88" s="13">
        <v>8.65</v>
      </c>
      <c r="U88" s="13">
        <v>8.57</v>
      </c>
      <c r="V88" s="13">
        <v>8.6999999999999993</v>
      </c>
      <c r="W88" s="13">
        <v>8.7200000000000006</v>
      </c>
      <c r="X88" s="13">
        <v>8.74</v>
      </c>
      <c r="Y88" s="13">
        <v>8.7899999999999991</v>
      </c>
      <c r="Z88" s="13">
        <v>8.68</v>
      </c>
      <c r="AA88" s="13">
        <v>10.49</v>
      </c>
      <c r="AB88" s="13">
        <v>10.53</v>
      </c>
      <c r="AC88" s="13">
        <v>10.57</v>
      </c>
      <c r="AD88" s="13">
        <v>10.64</v>
      </c>
      <c r="AE88" s="13">
        <v>9.56</v>
      </c>
    </row>
    <row r="89" spans="1:31" x14ac:dyDescent="0.25">
      <c r="A89" t="s">
        <v>196</v>
      </c>
      <c r="B89" s="13">
        <v>20.52</v>
      </c>
      <c r="C89" s="13">
        <v>17.329999999999998</v>
      </c>
      <c r="D89" s="13">
        <v>15.41</v>
      </c>
      <c r="E89" s="13">
        <v>15.71</v>
      </c>
      <c r="F89" s="13">
        <v>13.98</v>
      </c>
      <c r="G89" s="13">
        <v>26.22</v>
      </c>
      <c r="H89" s="13">
        <v>20.88</v>
      </c>
      <c r="I89" s="13">
        <v>17.11</v>
      </c>
      <c r="J89" s="13">
        <v>16.57</v>
      </c>
      <c r="K89" s="13">
        <v>14.82</v>
      </c>
      <c r="L89" s="13">
        <v>37.81</v>
      </c>
      <c r="M89" s="13">
        <v>28.03</v>
      </c>
      <c r="N89" s="13">
        <v>20.079999999999998</v>
      </c>
      <c r="O89" s="13">
        <v>18.920000000000002</v>
      </c>
      <c r="P89" s="13">
        <v>15.78</v>
      </c>
      <c r="Q89" s="13">
        <v>43.83</v>
      </c>
      <c r="R89" s="13">
        <v>32.25</v>
      </c>
      <c r="S89" s="13">
        <v>21.92</v>
      </c>
      <c r="T89" s="13">
        <v>20.43</v>
      </c>
      <c r="U89" s="13">
        <v>16.75</v>
      </c>
      <c r="V89" s="13">
        <v>50.86</v>
      </c>
      <c r="W89" s="13">
        <v>37.17</v>
      </c>
      <c r="X89" s="13">
        <v>23.93</v>
      </c>
      <c r="Y89" s="13">
        <v>22.07</v>
      </c>
      <c r="Z89" s="13">
        <v>75.12</v>
      </c>
      <c r="AA89" s="13">
        <v>19.95</v>
      </c>
      <c r="AB89" s="13">
        <v>20.82</v>
      </c>
      <c r="AC89" s="13">
        <v>21.46</v>
      </c>
      <c r="AD89" s="13">
        <v>22.27</v>
      </c>
      <c r="AE89" s="13">
        <v>18.88</v>
      </c>
    </row>
    <row r="90" spans="1:31" x14ac:dyDescent="0.25">
      <c r="A90" s="14" t="s">
        <v>197</v>
      </c>
      <c r="B90" s="13">
        <v>480.54</v>
      </c>
      <c r="C90" s="13">
        <v>416.92</v>
      </c>
      <c r="D90" s="13">
        <v>380.81</v>
      </c>
      <c r="E90" s="13">
        <v>396.66</v>
      </c>
      <c r="F90" s="13">
        <v>1674.92</v>
      </c>
      <c r="G90" s="13">
        <v>550.97</v>
      </c>
      <c r="H90" s="13">
        <v>474.4</v>
      </c>
      <c r="I90" s="13">
        <v>419.34</v>
      </c>
      <c r="J90" s="13">
        <v>418.21</v>
      </c>
      <c r="K90" s="13">
        <v>1862.92</v>
      </c>
      <c r="L90" s="13">
        <v>869.47</v>
      </c>
      <c r="M90" s="13">
        <v>663.79</v>
      </c>
      <c r="N90" s="13">
        <v>496.3</v>
      </c>
      <c r="O90" s="13">
        <v>476.72</v>
      </c>
      <c r="P90" s="13">
        <v>2077.75</v>
      </c>
      <c r="Q90" s="13">
        <v>1013.09</v>
      </c>
      <c r="R90" s="13">
        <v>768.89</v>
      </c>
      <c r="S90" s="13">
        <v>550.23</v>
      </c>
      <c r="T90" s="13">
        <v>524.04</v>
      </c>
      <c r="U90" s="13">
        <v>2305.4699999999998</v>
      </c>
      <c r="V90" s="13">
        <v>1179.4000000000001</v>
      </c>
      <c r="W90" s="13">
        <v>889.74</v>
      </c>
      <c r="X90" s="13">
        <v>608.63</v>
      </c>
      <c r="Y90" s="13">
        <v>574.80999999999995</v>
      </c>
      <c r="Z90" s="13">
        <v>2557.79</v>
      </c>
      <c r="AA90" s="13">
        <v>627.52</v>
      </c>
      <c r="AB90" s="13">
        <v>657.69</v>
      </c>
      <c r="AC90" s="13">
        <v>680.29</v>
      </c>
      <c r="AD90" s="13">
        <v>711.11</v>
      </c>
      <c r="AE90" s="13">
        <v>2209.67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7</vt:i4>
      </vt:variant>
    </vt:vector>
  </HeadingPairs>
  <TitlesOfParts>
    <vt:vector size="7" baseType="lpstr">
      <vt:lpstr>2Q26 Quick Look</vt:lpstr>
      <vt:lpstr>2Q26 Consensus (CapIQ)</vt:lpstr>
      <vt:lpstr>1Q26 Quick Look</vt:lpstr>
      <vt:lpstr>Cash flow</vt:lpstr>
      <vt:lpstr>Segment</vt:lpstr>
      <vt:lpstr>Income statement</vt:lpstr>
      <vt:lpstr>Revenue</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Chung</dc:creator>
  <cp:keywords/>
  <dc:description/>
  <cp:lastModifiedBy>Andrew Chung</cp:lastModifiedBy>
  <dcterms:created xsi:type="dcterms:W3CDTF">2026-07-15T15:32:47Z</dcterms:created>
  <dcterms:modified xsi:type="dcterms:W3CDTF">2026-07-16T20:08:53Z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
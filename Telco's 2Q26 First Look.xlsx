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drew Chung\Downloads\"/>
    </mc:Choice>
  </mc:AlternateContent>
  <xr:revisionPtr revIDLastSave="0" documentId="13_ncr:1_{D5314E3E-D47C-4224-AF53-33DC9B4BD5FA}" xr6:coauthVersionLast="47" xr6:coauthVersionMax="47" xr10:uidLastSave="{00000000-0000-0000-0000-000000000000}"/>
  <bookViews>
    <workbookView xWindow="37755" yWindow="0" windowWidth="19950" windowHeight="15585" firstSheet="1" activeTab="1" xr2:uid="{8FB7CA70-EE2C-4EE8-B7AE-1576A1FA2E77}"/>
  </bookViews>
  <sheets>
    <sheet name="__snloffice" sheetId="2" state="veryHidden" r:id="rId1"/>
    <sheet name="TMUS" sheetId="1" r:id="rId2"/>
    <sheet name="T" sheetId="3" r:id="rId3"/>
    <sheet name="CHTR" sheetId="4" r:id="rId4"/>
    <sheet name="VZ" sheetId="5" r:id="rId5"/>
    <sheet name="CMCSA" sheetId="6" r:id="rId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7" i="1" l="1" a="1"/>
  <c r="D16" i="1" a="1"/>
  <c r="D16" i="1" l="1"/>
  <c r="D17" i="1"/>
  <c r="B27" i="1"/>
  <c r="F3" i="1"/>
  <c r="F4" i="1"/>
  <c r="F5" i="1"/>
  <c r="F6" i="1"/>
  <c r="F7" i="1"/>
  <c r="F8" i="1"/>
  <c r="F9" i="1"/>
  <c r="F10" i="1"/>
  <c r="F11" i="1"/>
  <c r="B12" i="1"/>
  <c r="C12" i="1"/>
  <c r="E12" i="1"/>
  <c r="F12" i="1" s="1"/>
  <c r="F13" i="1"/>
  <c r="B14" i="1"/>
  <c r="C14" i="1"/>
  <c r="E14" i="1"/>
  <c r="F14" i="1"/>
  <c r="F15" i="1"/>
  <c r="F16" i="1"/>
  <c r="G16" i="1"/>
  <c r="F17" i="1"/>
  <c r="G17" i="1"/>
  <c r="F20" i="1"/>
  <c r="F21" i="1"/>
  <c r="F22" i="1"/>
  <c r="C31" i="6"/>
  <c r="C24" i="6"/>
  <c r="C19" i="6"/>
  <c r="B31" i="6"/>
  <c r="B39" i="6"/>
  <c r="G34" i="6"/>
  <c r="F34" i="6"/>
  <c r="G33" i="6"/>
  <c r="F33" i="6"/>
  <c r="G32" i="6"/>
  <c r="F32" i="6"/>
  <c r="G31" i="6"/>
  <c r="F31" i="6"/>
  <c r="G30" i="6"/>
  <c r="F30" i="6"/>
  <c r="G27" i="6"/>
  <c r="F27" i="6"/>
  <c r="G26" i="6"/>
  <c r="F26" i="6"/>
  <c r="G24" i="6"/>
  <c r="F24" i="6"/>
  <c r="B24" i="6"/>
  <c r="G23" i="6"/>
  <c r="F23" i="6"/>
  <c r="G22" i="6"/>
  <c r="F22" i="6"/>
  <c r="G21" i="6"/>
  <c r="F21" i="6"/>
  <c r="G20" i="6"/>
  <c r="F20" i="6"/>
  <c r="G19" i="6"/>
  <c r="F19" i="6"/>
  <c r="B19" i="6"/>
  <c r="G18" i="6"/>
  <c r="F18" i="6"/>
  <c r="G17" i="6"/>
  <c r="F17" i="6"/>
  <c r="G16" i="6"/>
  <c r="F16" i="6"/>
  <c r="G15" i="6"/>
  <c r="F15" i="6"/>
  <c r="G13" i="6"/>
  <c r="F13" i="6"/>
  <c r="G12" i="6"/>
  <c r="F12" i="6"/>
  <c r="G11" i="6"/>
  <c r="F11" i="6"/>
  <c r="G10" i="6"/>
  <c r="F10" i="6"/>
  <c r="G9" i="6"/>
  <c r="F9" i="6"/>
  <c r="G8" i="6"/>
  <c r="F8" i="6"/>
  <c r="G7" i="6"/>
  <c r="F7" i="6"/>
  <c r="G6" i="6"/>
  <c r="F6" i="6"/>
  <c r="G5" i="6"/>
  <c r="F5" i="6"/>
  <c r="G4" i="6"/>
  <c r="F4" i="6"/>
  <c r="G3" i="6"/>
  <c r="F3" i="6"/>
  <c r="B26" i="5"/>
  <c r="G22" i="5"/>
  <c r="F22" i="5"/>
  <c r="G21" i="5"/>
  <c r="F21" i="5"/>
  <c r="G20" i="5"/>
  <c r="F20" i="5"/>
  <c r="G19" i="5"/>
  <c r="F19" i="5"/>
  <c r="G16" i="5"/>
  <c r="F16" i="5"/>
  <c r="G15" i="5"/>
  <c r="F15" i="5"/>
  <c r="C15" i="5"/>
  <c r="B15" i="5"/>
  <c r="G14" i="5"/>
  <c r="F14" i="5"/>
  <c r="C14" i="5"/>
  <c r="B14" i="5"/>
  <c r="G13" i="5"/>
  <c r="F13" i="5"/>
  <c r="C13" i="5"/>
  <c r="B13" i="5"/>
  <c r="G12" i="5"/>
  <c r="F12" i="5"/>
  <c r="G11" i="5"/>
  <c r="F11" i="5"/>
  <c r="G10" i="5"/>
  <c r="F10" i="5"/>
  <c r="G8" i="5"/>
  <c r="F8" i="5"/>
  <c r="G7" i="5"/>
  <c r="F7" i="5"/>
  <c r="G6" i="5"/>
  <c r="F6" i="5"/>
  <c r="G5" i="5"/>
  <c r="F5" i="5"/>
  <c r="G4" i="5"/>
  <c r="F4" i="5"/>
  <c r="G3" i="5"/>
  <c r="F3" i="5"/>
  <c r="B30" i="4"/>
  <c r="G25" i="4"/>
  <c r="F25" i="4"/>
  <c r="G24" i="4"/>
  <c r="F24" i="4"/>
  <c r="G23" i="4"/>
  <c r="F23" i="4"/>
  <c r="G20" i="4"/>
  <c r="F20" i="4"/>
  <c r="G19" i="4"/>
  <c r="F19" i="4"/>
  <c r="G18" i="4"/>
  <c r="F18" i="4"/>
  <c r="G17" i="4"/>
  <c r="F17" i="4"/>
  <c r="G16" i="4"/>
  <c r="F16" i="4"/>
  <c r="G15" i="4"/>
  <c r="F15" i="4"/>
  <c r="G14" i="4"/>
  <c r="F14" i="4"/>
  <c r="G13" i="4"/>
  <c r="F13" i="4"/>
  <c r="G12" i="4"/>
  <c r="F12" i="4"/>
  <c r="G11" i="4"/>
  <c r="F11" i="4"/>
  <c r="G10" i="4"/>
  <c r="F10" i="4"/>
  <c r="G9" i="4"/>
  <c r="F9" i="4"/>
  <c r="C9" i="4"/>
  <c r="C19" i="4" s="1"/>
  <c r="B9" i="4"/>
  <c r="B19" i="4" s="1"/>
  <c r="G6" i="4"/>
  <c r="F6" i="4"/>
  <c r="G5" i="4"/>
  <c r="F5" i="4"/>
  <c r="G4" i="4"/>
  <c r="F4" i="4"/>
  <c r="B23" i="3"/>
  <c r="B22" i="3"/>
  <c r="B21" i="3"/>
  <c r="B20" i="3"/>
  <c r="B19" i="3"/>
  <c r="B11" i="3"/>
  <c r="B4" i="3"/>
  <c r="B3" i="3" s="1"/>
  <c r="B42" i="3"/>
  <c r="G37" i="3"/>
  <c r="F37" i="3"/>
  <c r="G36" i="3"/>
  <c r="F36" i="3"/>
  <c r="G35" i="3"/>
  <c r="F35" i="3"/>
  <c r="G34" i="3"/>
  <c r="F34" i="3"/>
  <c r="G33" i="3"/>
  <c r="F33" i="3"/>
  <c r="F32" i="3"/>
  <c r="G31" i="3"/>
  <c r="F31" i="3"/>
  <c r="G30" i="3"/>
  <c r="F30" i="3"/>
  <c r="G27" i="3"/>
  <c r="F27" i="3"/>
  <c r="G26" i="3"/>
  <c r="F26" i="3"/>
  <c r="G25" i="3"/>
  <c r="F25" i="3"/>
  <c r="G24" i="3"/>
  <c r="F24" i="3"/>
  <c r="G23" i="3"/>
  <c r="F23" i="3"/>
  <c r="G22" i="3"/>
  <c r="F22" i="3"/>
  <c r="G21" i="3"/>
  <c r="F21" i="3"/>
  <c r="G20" i="3"/>
  <c r="F20" i="3"/>
  <c r="G19" i="3"/>
  <c r="F19" i="3"/>
  <c r="G18" i="3"/>
  <c r="F18" i="3"/>
  <c r="G17" i="3"/>
  <c r="F17" i="3"/>
  <c r="C23" i="3"/>
  <c r="C22" i="3"/>
  <c r="C21" i="3"/>
  <c r="C20" i="3"/>
  <c r="C19" i="3"/>
  <c r="G16" i="3"/>
  <c r="F16" i="3"/>
  <c r="G15" i="3"/>
  <c r="F15" i="3"/>
  <c r="G14" i="3"/>
  <c r="F14" i="3"/>
  <c r="G13" i="3"/>
  <c r="F13" i="3"/>
  <c r="G12" i="3"/>
  <c r="F12" i="3"/>
  <c r="G11" i="3"/>
  <c r="F11" i="3"/>
  <c r="C11" i="3"/>
  <c r="C10" i="3" s="1"/>
  <c r="G10" i="3"/>
  <c r="F10" i="3"/>
  <c r="G9" i="3"/>
  <c r="F9" i="3"/>
  <c r="G8" i="3"/>
  <c r="F8" i="3"/>
  <c r="G7" i="3"/>
  <c r="F7" i="3"/>
  <c r="G6" i="3"/>
  <c r="F6" i="3"/>
  <c r="G5" i="3"/>
  <c r="F5" i="3"/>
  <c r="G4" i="3"/>
  <c r="F4" i="3"/>
  <c r="C4" i="3"/>
  <c r="C3" i="3" s="1"/>
  <c r="G3" i="3"/>
  <c r="F3" i="3"/>
  <c r="D3" i="1" a="1"/>
  <c r="D4" i="1" a="1"/>
  <c r="D5" i="1" a="1"/>
  <c r="D6" i="1" a="1"/>
  <c r="D7" i="1" a="1"/>
  <c r="D8" i="1" a="1"/>
  <c r="D9" i="1" a="1"/>
  <c r="D10" i="1" a="1"/>
  <c r="D11" i="1" a="1"/>
  <c r="D13" i="1" a="1"/>
  <c r="D15" i="1" a="1"/>
  <c r="D20" i="1" a="1"/>
  <c r="D21" i="1" a="1"/>
  <c r="D22" i="1" a="1"/>
  <c r="D34" i="6" a="1"/>
  <c r="D12" i="6" a="1"/>
  <c r="D4" i="5" a="1"/>
  <c r="D25" i="4" a="1"/>
  <c r="D25" i="3" a="1"/>
  <c r="D33" i="6" a="1"/>
  <c r="D11" i="6" a="1"/>
  <c r="D3" i="5" a="1"/>
  <c r="D24" i="4" a="1"/>
  <c r="D24" i="3" a="1"/>
  <c r="D15" i="3" a="1"/>
  <c r="D37" i="3" a="1"/>
  <c r="D32" i="6" a="1"/>
  <c r="D10" i="6" a="1"/>
  <c r="D22" i="5" a="1"/>
  <c r="D23" i="4" a="1"/>
  <c r="D16" i="3" a="1"/>
  <c r="D14" i="3" a="1"/>
  <c r="D31" i="6" a="1"/>
  <c r="D9" i="6" a="1"/>
  <c r="D21" i="5" a="1"/>
  <c r="D20" i="4" a="1"/>
  <c r="D11" i="3" a="1"/>
  <c r="D14" i="4" a="1"/>
  <c r="D30" i="6" a="1"/>
  <c r="D8" i="6" a="1"/>
  <c r="D20" i="5" a="1"/>
  <c r="D18" i="4" a="1"/>
  <c r="D19" i="5" a="1"/>
  <c r="D27" i="6" a="1"/>
  <c r="D7" i="6" a="1"/>
  <c r="D17" i="4" a="1"/>
  <c r="D9" i="3" a="1"/>
  <c r="D26" i="6" a="1"/>
  <c r="D6" i="6" a="1"/>
  <c r="D16" i="5" a="1"/>
  <c r="D16" i="4" a="1"/>
  <c r="D10" i="3" a="1"/>
  <c r="D36" i="3" a="1"/>
  <c r="D23" i="6" a="1"/>
  <c r="D5" i="6" a="1"/>
  <c r="D15" i="4" a="1"/>
  <c r="D22" i="6" a="1"/>
  <c r="D4" i="6" a="1"/>
  <c r="D8" i="3" a="1"/>
  <c r="D21" i="6" a="1"/>
  <c r="D3" i="6" a="1"/>
  <c r="D12" i="5" a="1"/>
  <c r="D13" i="4" a="1"/>
  <c r="D35" i="3" a="1"/>
  <c r="D7" i="3" a="1"/>
  <c r="D20" i="6" a="1"/>
  <c r="D11" i="5" a="1"/>
  <c r="D12" i="4" a="1"/>
  <c r="D34" i="3" a="1"/>
  <c r="D6" i="3" a="1"/>
  <c r="D18" i="6" a="1"/>
  <c r="D10" i="5" a="1"/>
  <c r="D11" i="4" a="1"/>
  <c r="D33" i="3" a="1"/>
  <c r="D5" i="3" a="1"/>
  <c r="D4" i="3" a="1"/>
  <c r="D27" i="3" a="1"/>
  <c r="D17" i="6" a="1"/>
  <c r="D8" i="5" a="1"/>
  <c r="D10" i="4" a="1"/>
  <c r="D32" i="3" a="1"/>
  <c r="D16" i="6" a="1"/>
  <c r="D7" i="5" a="1"/>
  <c r="D6" i="4" a="1"/>
  <c r="D31" i="3" a="1"/>
  <c r="D3" i="3" a="1"/>
  <c r="D6" i="5" a="1"/>
  <c r="D5" i="4" a="1"/>
  <c r="D30" i="3" a="1"/>
  <c r="D15" i="6" a="1"/>
  <c r="D13" i="6" a="1"/>
  <c r="D5" i="5" a="1"/>
  <c r="D4" i="4" a="1"/>
  <c r="D22" i="1" l="1"/>
  <c r="G22" i="1" s="1"/>
  <c r="D21" i="1"/>
  <c r="G21" i="1" s="1"/>
  <c r="D20" i="1"/>
  <c r="G20" i="1" s="1"/>
  <c r="D15" i="1"/>
  <c r="G15" i="1" s="1"/>
  <c r="D13" i="1"/>
  <c r="G13" i="1" s="1"/>
  <c r="D11" i="1"/>
  <c r="G11" i="1" s="1"/>
  <c r="D10" i="1"/>
  <c r="G10" i="1" s="1"/>
  <c r="D9" i="1"/>
  <c r="G9" i="1" s="1"/>
  <c r="D8" i="1"/>
  <c r="G8" i="1" s="1"/>
  <c r="D7" i="1"/>
  <c r="G7" i="1" s="1"/>
  <c r="D6" i="1"/>
  <c r="G6" i="1" s="1"/>
  <c r="D5" i="1"/>
  <c r="G5" i="1" s="1"/>
  <c r="D4" i="1"/>
  <c r="G4" i="1" s="1"/>
  <c r="D3" i="1"/>
  <c r="G3" i="1" s="1"/>
  <c r="C18" i="3"/>
  <c r="C17" i="3"/>
  <c r="B18" i="3"/>
  <c r="B10" i="3"/>
  <c r="B17" i="3" s="1"/>
  <c r="D34" i="6"/>
  <c r="D33" i="6"/>
  <c r="D32" i="6"/>
  <c r="D31" i="6"/>
  <c r="D30" i="6"/>
  <c r="D27" i="6"/>
  <c r="D26" i="6"/>
  <c r="D23" i="6"/>
  <c r="D22" i="6"/>
  <c r="D21" i="6"/>
  <c r="D20" i="6"/>
  <c r="D24" i="6" s="1"/>
  <c r="D18" i="6"/>
  <c r="D17" i="6"/>
  <c r="D16" i="6"/>
  <c r="D15" i="6"/>
  <c r="D13" i="6"/>
  <c r="D12" i="6"/>
  <c r="D11" i="6"/>
  <c r="D10" i="6"/>
  <c r="D9" i="6"/>
  <c r="D8" i="6"/>
  <c r="D7" i="6"/>
  <c r="D6" i="6"/>
  <c r="D5" i="6"/>
  <c r="D4" i="6"/>
  <c r="D3" i="6"/>
  <c r="D22" i="5"/>
  <c r="D21" i="5"/>
  <c r="D20" i="5"/>
  <c r="D19" i="5"/>
  <c r="D16" i="5"/>
  <c r="D12" i="5"/>
  <c r="D11" i="5"/>
  <c r="D10" i="5"/>
  <c r="D8" i="5"/>
  <c r="D7" i="5"/>
  <c r="D6" i="5"/>
  <c r="D5" i="5"/>
  <c r="D4" i="5"/>
  <c r="D3" i="5"/>
  <c r="D25" i="4"/>
  <c r="D24" i="4"/>
  <c r="D23" i="4"/>
  <c r="D20" i="4"/>
  <c r="D18" i="4"/>
  <c r="D17" i="4"/>
  <c r="D16" i="4"/>
  <c r="D15" i="4"/>
  <c r="D14" i="4"/>
  <c r="D13" i="4"/>
  <c r="D12" i="4"/>
  <c r="D11" i="4"/>
  <c r="D10" i="4"/>
  <c r="D6" i="4"/>
  <c r="D5" i="4"/>
  <c r="D4" i="4"/>
  <c r="D37" i="3"/>
  <c r="D36" i="3"/>
  <c r="D35" i="3"/>
  <c r="D34" i="3"/>
  <c r="D33" i="3"/>
  <c r="D32" i="3"/>
  <c r="G32" i="3" s="1"/>
  <c r="D31" i="3"/>
  <c r="D30" i="3"/>
  <c r="D27" i="3"/>
  <c r="D25" i="3"/>
  <c r="D24" i="3"/>
  <c r="D26" i="3" s="1"/>
  <c r="D16" i="3"/>
  <c r="D15" i="3"/>
  <c r="D14" i="3"/>
  <c r="D11" i="3"/>
  <c r="D10" i="3"/>
  <c r="D17" i="3" s="1"/>
  <c r="D9" i="3"/>
  <c r="D8" i="3"/>
  <c r="D7" i="3"/>
  <c r="D6" i="3"/>
  <c r="D5" i="3"/>
  <c r="D4" i="3"/>
  <c r="D3" i="3"/>
  <c r="D9" i="4" l="1"/>
  <c r="D21" i="3"/>
  <c r="D18" i="3"/>
  <c r="D12" i="1"/>
  <c r="G12" i="1" s="1"/>
  <c r="D14" i="1"/>
  <c r="G14" i="1" s="1"/>
  <c r="D15" i="5"/>
  <c r="D22" i="3"/>
  <c r="D23" i="3"/>
  <c r="D13" i="5"/>
  <c r="D14" i="5"/>
  <c r="D19" i="6"/>
  <c r="D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Andrew Chung</author>
  </authors>
  <commentList>
    <comment ref="B2" authorId="0" shapeId="0" xr:uid="{7F928518-3AB3-4669-8020-7500D1A769AA}">
      <text>
        <r>
          <rPr>
            <b/>
            <sz val="9"/>
            <color indexed="81"/>
            <rFont val="Tahoma"/>
            <charset val="1"/>
          </rPr>
          <t>User:</t>
        </r>
        <r>
          <rPr>
            <sz val="9"/>
            <color indexed="81"/>
            <rFont val="Tahoma"/>
            <charset val="1"/>
          </rPr>
          <t xml:space="preserve">
Source: TMUS Q1'26 Investor Factbook (TMUS-03_31_2026-ER-Tables_vFINAL.xlsx), sheets 'ER Income Statement', 'ER Non GAAP', 'ER Metrics' — Q2 2025 column</t>
        </r>
      </text>
    </comment>
    <comment ref="C2" authorId="0" shapeId="0" xr:uid="{34839C4F-E71D-41DD-8E09-67627CA9ABBD}">
      <text>
        <r>
          <rPr>
            <b/>
            <sz val="9"/>
            <color indexed="81"/>
            <rFont val="Tahoma"/>
            <charset val="1"/>
          </rPr>
          <t>User:</t>
        </r>
        <r>
          <rPr>
            <sz val="9"/>
            <color indexed="81"/>
            <rFont val="Tahoma"/>
            <charset val="1"/>
          </rPr>
          <t xml:space="preserve">
Source: TMUS Q1'26 Investor Factbook (TMUS-03_31_2026-ER-Tables_vFINAL.xlsx), sheets 'ER Income Statement', 'ER Non GAAP', 'ER Metrics' — Q1 2026 column</t>
        </r>
      </text>
    </comment>
    <comment ref="E3" authorId="1" shapeId="0" xr:uid="{D26B75A0-2D1D-45E1-9EA2-2F3DB0067444}">
      <text>
        <r>
          <rPr>
            <b/>
            <sz val="9"/>
            <color indexed="81"/>
            <rFont val="Tahoma"/>
            <charset val="1"/>
          </rPr>
          <t>Andrew Chung:</t>
        </r>
        <r>
          <rPr>
            <sz val="9"/>
            <color indexed="81"/>
            <rFont val="Tahoma"/>
            <charset val="1"/>
          </rPr>
          <t xml:space="preserve">
Source: TMUS Q2'26 ER Tables (Q2-2026-ER-Tables-vFINAL.xlsx), 'ER Income Statement' — Total revenues, Q2 2026</t>
        </r>
      </text>
    </comment>
    <comment ref="E4" authorId="1" shapeId="0" xr:uid="{7FA0BDD6-F81E-47B9-B04F-6776EDBA46AB}">
      <text>
        <r>
          <rPr>
            <b/>
            <sz val="9"/>
            <color indexed="81"/>
            <rFont val="Tahoma"/>
            <charset val="1"/>
          </rPr>
          <t>Andrew Chung:</t>
        </r>
        <r>
          <rPr>
            <sz val="9"/>
            <color indexed="81"/>
            <rFont val="Tahoma"/>
            <charset val="1"/>
          </rPr>
          <t xml:space="preserve">
Source: TMUS Q2'26 ER Tables, 'ER Income Statement' — Total service revenues, Q2 2026</t>
        </r>
      </text>
    </comment>
    <comment ref="E5" authorId="1" shapeId="0" xr:uid="{C65FB6DF-79DF-4F04-A7E9-3DF34622DED9}">
      <text>
        <r>
          <rPr>
            <b/>
            <sz val="9"/>
            <color indexed="81"/>
            <rFont val="Tahoma"/>
            <charset val="1"/>
          </rPr>
          <t>Andrew Chung:</t>
        </r>
        <r>
          <rPr>
            <sz val="9"/>
            <color indexed="81"/>
            <rFont val="Tahoma"/>
            <charset val="1"/>
          </rPr>
          <t xml:space="preserve">
Source: TMUS Q2'26 ER Tables, 'ER Income Statement' — Postpaid revenues, Q2 2026</t>
        </r>
      </text>
    </comment>
    <comment ref="E6" authorId="1" shapeId="0" xr:uid="{284A8530-4C17-4304-89F7-D8C23E8E6DE9}">
      <text>
        <r>
          <rPr>
            <b/>
            <sz val="9"/>
            <color indexed="81"/>
            <rFont val="Tahoma"/>
            <charset val="1"/>
          </rPr>
          <t>Andrew Chung:</t>
        </r>
        <r>
          <rPr>
            <sz val="9"/>
            <color indexed="81"/>
            <rFont val="Tahoma"/>
            <charset val="1"/>
          </rPr>
          <t xml:space="preserve">
Source: TMUS Q2'26 ER Tables, 'ER Income Statement' — Prepaid revenues, Q2 2026</t>
        </r>
      </text>
    </comment>
    <comment ref="E7" authorId="1" shapeId="0" xr:uid="{993286A1-953A-4976-8050-AC30CA1F6580}">
      <text>
        <r>
          <rPr>
            <b/>
            <sz val="9"/>
            <color indexed="81"/>
            <rFont val="Tahoma"/>
            <charset val="1"/>
          </rPr>
          <t>Andrew Chung:</t>
        </r>
        <r>
          <rPr>
            <sz val="9"/>
            <color indexed="81"/>
            <rFont val="Tahoma"/>
            <charset val="1"/>
          </rPr>
          <t xml:space="preserve">
Source: TMUS Q2'26 ER Tables, 'ER Income Statement' — Wholesale and other service revenues, Q2 2026</t>
        </r>
      </text>
    </comment>
    <comment ref="E8" authorId="1" shapeId="0" xr:uid="{8D277E69-A519-4FE0-A9C8-D01F610AD975}">
      <text>
        <r>
          <rPr>
            <b/>
            <sz val="9"/>
            <color indexed="81"/>
            <rFont val="Tahoma"/>
            <charset val="1"/>
          </rPr>
          <t>Andrew Chung:</t>
        </r>
        <r>
          <rPr>
            <sz val="9"/>
            <color indexed="81"/>
            <rFont val="Tahoma"/>
            <charset val="1"/>
          </rPr>
          <t xml:space="preserve">
Source: TMUS Q2'26 ER Tables, 'ER Income Statement' — Equipment revenues, Q2 2026</t>
        </r>
      </text>
    </comment>
    <comment ref="E9" authorId="1" shapeId="0" xr:uid="{6E3699FC-CDD3-4661-A35E-5E3BF509E625}">
      <text>
        <r>
          <rPr>
            <b/>
            <sz val="9"/>
            <color indexed="81"/>
            <rFont val="Tahoma"/>
            <charset val="1"/>
          </rPr>
          <t>Andrew Chung:</t>
        </r>
        <r>
          <rPr>
            <sz val="9"/>
            <color indexed="81"/>
            <rFont val="Tahoma"/>
            <charset val="1"/>
          </rPr>
          <t xml:space="preserve">
Source: TMUS Q2'26 ER Tables, 'ER Income Statement' — Cost of services (excl. D&amp;A), Q2 2026</t>
        </r>
      </text>
    </comment>
    <comment ref="E10" authorId="1" shapeId="0" xr:uid="{58632F31-B020-48FF-B3D3-819DBD0F0A81}">
      <text>
        <r>
          <rPr>
            <b/>
            <sz val="9"/>
            <color indexed="81"/>
            <rFont val="Tahoma"/>
            <charset val="1"/>
          </rPr>
          <t>Andrew Chung:</t>
        </r>
        <r>
          <rPr>
            <sz val="9"/>
            <color indexed="81"/>
            <rFont val="Tahoma"/>
            <charset val="1"/>
          </rPr>
          <t xml:space="preserve">
Source: TMUS Q2'26 ER Tables, 'ER Income Statement' — Cost of equipment sales (excl. D&amp;A), Q2 2026</t>
        </r>
      </text>
    </comment>
    <comment ref="E11" authorId="1" shapeId="0" xr:uid="{14C13B18-48E3-4947-9E63-041FC8C9A6DC}">
      <text>
        <r>
          <rPr>
            <b/>
            <sz val="9"/>
            <color indexed="81"/>
            <rFont val="Tahoma"/>
            <charset val="1"/>
          </rPr>
          <t>Andrew Chung:</t>
        </r>
        <r>
          <rPr>
            <sz val="9"/>
            <color indexed="81"/>
            <rFont val="Tahoma"/>
            <charset val="1"/>
          </rPr>
          <t xml:space="preserve">
Source: TMUS Q2'26 ER Tables, 'ER Non GAAP' — Adjusted EBITDA, Q2 2026</t>
        </r>
      </text>
    </comment>
    <comment ref="E13" authorId="1" shapeId="0" xr:uid="{BD66DE8D-8C8B-42E5-9172-F7AF742BBBD7}">
      <text>
        <r>
          <rPr>
            <b/>
            <sz val="9"/>
            <color indexed="81"/>
            <rFont val="Tahoma"/>
            <charset val="1"/>
          </rPr>
          <t>Andrew Chung:</t>
        </r>
        <r>
          <rPr>
            <sz val="9"/>
            <color indexed="81"/>
            <rFont val="Tahoma"/>
            <charset val="1"/>
          </rPr>
          <t xml:space="preserve">
Source: TMUS Q2'26 ER Tables, 'ER Non GAAP' — Core Adjusted EBITDA, Q2 2026 (lease revenues $0 this quarter)</t>
        </r>
      </text>
    </comment>
    <comment ref="E15" authorId="1" shapeId="0" xr:uid="{309FA668-BC06-43E0-A5E7-A60A457B1DE4}">
      <text>
        <r>
          <rPr>
            <b/>
            <sz val="9"/>
            <color indexed="81"/>
            <rFont val="Tahoma"/>
            <charset val="1"/>
          </rPr>
          <t>Andrew Chung:</t>
        </r>
        <r>
          <rPr>
            <sz val="9"/>
            <color indexed="81"/>
            <rFont val="Tahoma"/>
            <charset val="1"/>
          </rPr>
          <t xml:space="preserve">
Source: TMUS Q2'26 ER Tables, 'ER Non GAAP' — Cash purchases of property and equipment, incl. capitalized interest, Q2 2026 (shown as $(2,703) in reconciliation)</t>
        </r>
      </text>
    </comment>
    <comment ref="E16" authorId="1" shapeId="0" xr:uid="{E1183BA6-54CC-428D-B6AC-E4459864D027}">
      <text>
        <r>
          <rPr>
            <b/>
            <sz val="9"/>
            <color indexed="81"/>
            <rFont val="Tahoma"/>
            <charset val="1"/>
          </rPr>
          <t>Andrew Chung:</t>
        </r>
        <r>
          <rPr>
            <sz val="9"/>
            <color indexed="81"/>
            <rFont val="Tahoma"/>
            <charset val="1"/>
          </rPr>
          <t xml:space="preserve">
Source: TMUS Q2'26 ER Tables, 'ER Non GAAP' — Adjusted Free Cash Flow, Q2 2026</t>
        </r>
      </text>
    </comment>
    <comment ref="E17" authorId="1" shapeId="0" xr:uid="{FEEFF7B3-BEB3-43A4-8CDC-CA2097AB289E}">
      <text>
        <r>
          <rPr>
            <b/>
            <sz val="9"/>
            <color indexed="81"/>
            <rFont val="Tahoma"/>
            <charset val="1"/>
          </rPr>
          <t>Andrew Chung:</t>
        </r>
        <r>
          <rPr>
            <sz val="9"/>
            <color indexed="81"/>
            <rFont val="Tahoma"/>
            <charset val="1"/>
          </rPr>
          <t xml:space="preserve">
Source: TMUS Q2'26 ER Tables, 'ER Income Statement' — Diluted EPS, Q2 2026</t>
        </r>
      </text>
    </comment>
    <comment ref="E20" authorId="1" shapeId="0" xr:uid="{C0556E2C-8E7D-4181-9DF0-A181A8935487}">
      <text>
        <r>
          <rPr>
            <b/>
            <sz val="9"/>
            <color indexed="81"/>
            <rFont val="Tahoma"/>
            <charset val="1"/>
          </rPr>
          <t>Andrew Chung:</t>
        </r>
        <r>
          <rPr>
            <sz val="9"/>
            <color indexed="81"/>
            <rFont val="Tahoma"/>
            <charset val="1"/>
          </rPr>
          <t xml:space="preserve">
Source: TMUS Q2'26 ER Tables, 'ER Metrics' — Postpaid net account additions (000s), Q2 2026</t>
        </r>
      </text>
    </comment>
    <comment ref="E21" authorId="1" shapeId="0" xr:uid="{738F5D1E-D9D9-4EB0-9474-320202DFC927}">
      <text>
        <r>
          <rPr>
            <b/>
            <sz val="9"/>
            <color indexed="81"/>
            <rFont val="Tahoma"/>
            <charset val="1"/>
          </rPr>
          <t>Andrew Chung:</t>
        </r>
        <r>
          <rPr>
            <sz val="9"/>
            <color indexed="81"/>
            <rFont val="Tahoma"/>
            <charset val="1"/>
          </rPr>
          <t xml:space="preserve">
Source: TMUS Q2'26 ER Tables, 'ER Metrics' — Postpaid ARPA, Q2 2026</t>
        </r>
      </text>
    </comment>
    <comment ref="E22" authorId="1" shapeId="0" xr:uid="{69571E58-6A5A-49E3-BA53-5DD834DDB260}">
      <text>
        <r>
          <rPr>
            <b/>
            <sz val="9"/>
            <color indexed="81"/>
            <rFont val="Tahoma"/>
            <charset val="1"/>
          </rPr>
          <t>Andrew Chung:</t>
        </r>
        <r>
          <rPr>
            <sz val="9"/>
            <color indexed="81"/>
            <rFont val="Tahoma"/>
            <charset val="1"/>
          </rPr>
          <t xml:space="preserve">
Source: TMUS Q2'26 ER Tables, 'ER Metrics' — Postpaid account churn, Q2 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 authorId="0" shapeId="0" xr:uid="{2A6E9094-7DEA-4268-A665-3652B627E757}">
      <text>
        <r>
          <rPr>
            <b/>
            <sz val="9"/>
            <color indexed="81"/>
            <rFont val="Tahoma"/>
            <charset val="1"/>
          </rPr>
          <t>User:</t>
        </r>
        <r>
          <rPr>
            <sz val="9"/>
            <color indexed="81"/>
            <rFont val="Tahoma"/>
            <charset val="1"/>
          </rPr>
          <t xml:space="preserve">
Source: AT&amp;T Inc. Q1 2026 Financial and Operational Trending Schedule (T_1Q26_Trending_Schedule.pdf), pages 5 (Operating Revenues/Adjusted EBITDA), 3-4 (Cash Flow/Free Cash Flow), 2 (Adjusted EPS), 7/8/10 (Operating metrics) — 6/30/25 column</t>
        </r>
      </text>
    </comment>
    <comment ref="C2" authorId="0" shapeId="0" xr:uid="{1FD93DC4-840C-4A07-95BE-8672DA4F95D4}">
      <text>
        <r>
          <rPr>
            <b/>
            <sz val="9"/>
            <color indexed="81"/>
            <rFont val="Tahoma"/>
            <charset val="1"/>
          </rPr>
          <t>User:</t>
        </r>
        <r>
          <rPr>
            <sz val="9"/>
            <color indexed="81"/>
            <rFont val="Tahoma"/>
            <charset val="1"/>
          </rPr>
          <t xml:space="preserve">
Cross-checked against AT&amp;T Inc. Q1 2026 Financial and Operational Trending Schedule (T_1Q26_Trending_Schedule.pdf) and 1Q26 Financial and Operational Schedules PDF — 3/31/26 column. All values confirmed to tie except rows 32, 33, 36 (see flags on those rows).</t>
        </r>
      </text>
    </comment>
    <comment ref="I3" authorId="0" shapeId="0" xr:uid="{5674C16C-8C21-499C-99C1-B6F9CF293DC1}">
      <text>
        <r>
          <rPr>
            <b/>
            <sz val="9"/>
            <color indexed="81"/>
            <rFont val="Tahoma"/>
            <charset val="1"/>
          </rPr>
          <t>Source: AT&amp;T consensus.xlsx, sheet 'Segment_SG' row 26 / 'Incomestatement_IS' row 14: "Operating revenues"</t>
        </r>
      </text>
    </comment>
    <comment ref="I4" authorId="0" shapeId="0" xr:uid="{3F838357-5F65-42FF-B68A-D7D998970D39}">
      <text>
        <r>
          <rPr>
            <b/>
            <sz val="9"/>
            <color indexed="81"/>
            <rFont val="Tahoma"/>
            <charset val="1"/>
          </rPr>
          <t>User:</t>
        </r>
        <r>
          <rPr>
            <sz val="9"/>
            <color indexed="81"/>
            <rFont val="Tahoma"/>
            <charset val="1"/>
          </rPr>
          <t xml:space="preserve">
Source: AT&amp;T consensus.xlsx, sheet 'Segment_SG' row 21: "Advanced connectivity revenue"</t>
        </r>
      </text>
    </comment>
    <comment ref="I5" authorId="0" shapeId="0" xr:uid="{CC394B9E-854E-4DEE-838E-6D19C20B1195}">
      <text>
        <r>
          <rPr>
            <b/>
            <sz val="9"/>
            <color indexed="81"/>
            <rFont val="Tahoma"/>
            <charset val="1"/>
          </rPr>
          <t>User:</t>
        </r>
        <r>
          <rPr>
            <sz val="9"/>
            <color indexed="81"/>
            <rFont val="Tahoma"/>
            <charset val="1"/>
          </rPr>
          <t xml:space="preserve">
Source: AT&amp;T consensus.xlsx, sheet 'AdvancedConnectivityFinanc' row 18: "Advanced connectivity revenue - Consumer"</t>
        </r>
      </text>
    </comment>
    <comment ref="I6" authorId="0" shapeId="0" xr:uid="{5869654D-4BE3-4FDC-A846-075119B4F551}">
      <text>
        <r>
          <rPr>
            <b/>
            <sz val="9"/>
            <color indexed="81"/>
            <rFont val="Tahoma"/>
            <charset val="1"/>
          </rPr>
          <t>User:</t>
        </r>
        <r>
          <rPr>
            <sz val="9"/>
            <color indexed="81"/>
            <rFont val="Tahoma"/>
            <charset val="1"/>
          </rPr>
          <t xml:space="preserve">
Source: AT&amp;T consensus.xlsx, sheet 'AdvancedConnectivityFinanc' row 25: "Advanced connectivity revenue - Business"</t>
        </r>
      </text>
    </comment>
    <comment ref="I7" authorId="0" shapeId="0" xr:uid="{0E1058F2-09FE-49D1-95D8-54E63074605E}">
      <text>
        <r>
          <rPr>
            <b/>
            <sz val="9"/>
            <color indexed="81"/>
            <rFont val="Tahoma"/>
            <charset val="1"/>
          </rPr>
          <t>User:</t>
        </r>
        <r>
          <rPr>
            <sz val="9"/>
            <color indexed="81"/>
            <rFont val="Tahoma"/>
            <charset val="1"/>
          </rPr>
          <t xml:space="preserve">
Source: AT&amp;T consensus.xlsx, sheet 'Segment_SG' row 22: "Revenue - Legacy"</t>
        </r>
      </text>
    </comment>
    <comment ref="I8" authorId="0" shapeId="0" xr:uid="{2929924D-C342-4DAC-AA82-CAF5E47B8A66}">
      <text>
        <r>
          <rPr>
            <b/>
            <sz val="9"/>
            <color indexed="81"/>
            <rFont val="Tahoma"/>
            <charset val="1"/>
          </rPr>
          <t>Source: AT&amp;T consensus.xlsx, sheet 'Segment_SG' row 24: "Latin America revenue"</t>
        </r>
      </text>
    </comment>
    <comment ref="I9" authorId="0" shapeId="0" xr:uid="{D172260D-71E7-4291-865D-5EC95A1B0350}">
      <text>
        <r>
          <rPr>
            <b/>
            <sz val="9"/>
            <color indexed="81"/>
            <rFont val="Tahoma"/>
            <charset val="1"/>
          </rPr>
          <t>Source: AT&amp;T consensus.xlsx, sheet 'Segment_SG' row 25: "Revenue - Corporate, Video and other"</t>
        </r>
      </text>
    </comment>
    <comment ref="I10" authorId="0" shapeId="0" xr:uid="{1AD2541B-0E05-41CF-8C83-5412D5946149}">
      <text>
        <r>
          <rPr>
            <b/>
            <sz val="9"/>
            <color indexed="81"/>
            <rFont val="Tahoma"/>
            <charset val="1"/>
          </rPr>
          <t>Source: AT&amp;T consensus.xlsx, sheet 'Segment_SG' row 42 / 'Incomestatement_IS' row 29: "EBITDA"</t>
        </r>
      </text>
    </comment>
    <comment ref="I11" authorId="0" shapeId="0" xr:uid="{BF0587B7-D1FA-429C-A6A4-9229E7595F2A}">
      <text>
        <r>
          <rPr>
            <b/>
            <sz val="9"/>
            <color indexed="81"/>
            <rFont val="Tahoma"/>
            <charset val="1"/>
          </rPr>
          <t>User:</t>
        </r>
        <r>
          <rPr>
            <sz val="9"/>
            <color indexed="81"/>
            <rFont val="Tahoma"/>
            <charset val="1"/>
          </rPr>
          <t xml:space="preserve">
Source: AT&amp;T consensus.xlsx, sheet 'Segment_SG' row 37: "EBITDA - Advanced connectivity"</t>
        </r>
      </text>
    </comment>
    <comment ref="I14" authorId="0" shapeId="0" xr:uid="{54B9F906-7563-4205-910E-1CD0EB6D0510}">
      <text>
        <r>
          <rPr>
            <b/>
            <sz val="9"/>
            <color indexed="81"/>
            <rFont val="Tahoma"/>
            <charset val="1"/>
          </rPr>
          <t>User:</t>
        </r>
        <r>
          <rPr>
            <sz val="9"/>
            <color indexed="81"/>
            <rFont val="Tahoma"/>
            <charset val="1"/>
          </rPr>
          <t xml:space="preserve">
Source: AT&amp;T consensus.xlsx, sheet 'Segment_SG' row 38: "EBITDA - Legacy"</t>
        </r>
      </text>
    </comment>
    <comment ref="I15" authorId="0" shapeId="0" xr:uid="{E297E898-34EA-495F-B9B4-E4A3346F1DF5}">
      <text>
        <r>
          <rPr>
            <b/>
            <sz val="9"/>
            <color indexed="81"/>
            <rFont val="Tahoma"/>
            <charset val="1"/>
          </rPr>
          <t>Source: AT&amp;T consensus.xlsx, sheet 'Segment_SG' row 40 / 'LatinAmerica_International' row 23: "EBITDA - Latin America"</t>
        </r>
      </text>
    </comment>
    <comment ref="I16" authorId="0" shapeId="0" xr:uid="{A4B6E903-5ED0-4294-8341-5CECB6FBDA46}">
      <text>
        <r>
          <rPr>
            <b/>
            <sz val="9"/>
            <color indexed="81"/>
            <rFont val="Tahoma"/>
            <charset val="1"/>
          </rPr>
          <t>Source: AT&amp;T consensus.xlsx, sheet 'Segment_SG' row 41: "EBITDA - Corporate &amp; Other"</t>
        </r>
      </text>
    </comment>
    <comment ref="I24" authorId="0" shapeId="0" xr:uid="{D0AB6C0C-0483-459E-BE07-FBA08241E6E3}">
      <text>
        <r>
          <rPr>
            <b/>
            <sz val="9"/>
            <color indexed="81"/>
            <rFont val="Tahoma"/>
            <charset val="1"/>
          </rPr>
          <t>Source: AT&amp;T consensus.xlsx, sheet 'Cashflow_CF' row 25: "Net Cash Flows Provided By/(Used In) Operating Activities-Continuing operations"</t>
        </r>
      </text>
    </comment>
    <comment ref="I25" authorId="0" shapeId="0" xr:uid="{19D607B5-2F49-4CFD-B2AD-4870CEF43D5B}">
      <text>
        <r>
          <rPr>
            <b/>
            <sz val="9"/>
            <color indexed="81"/>
            <rFont val="Tahoma"/>
            <charset val="1"/>
          </rPr>
          <t>Source: AT&amp;T consensus.xlsx, sheet 'Cashflow_CF' row 61: "Cash paid for capital investment". Cross-checked by definition (file has no cached values to check numerically): row 59 "Total capital expenditures" + row 60 "Cash paid for vendor financing" = row 61, matching our historical Capital Investment formula (CapEx + vendor financing) exactly. Row 63 "Gross capital investment" (N_14440791) comes after a separate "FirstNet reimbursement" line and is a broader, non-matching measure.</t>
        </r>
      </text>
    </comment>
    <comment ref="B26" authorId="0" shapeId="0" xr:uid="{0333D13D-6B59-43E3-A010-47FCF472AF69}">
      <text>
        <r>
          <rPr>
            <b/>
            <sz val="9"/>
            <color indexed="81"/>
            <rFont val="Tahoma"/>
            <charset val="1"/>
          </rPr>
          <t>User:</t>
        </r>
        <r>
          <rPr>
            <sz val="9"/>
            <color indexed="81"/>
            <rFont val="Tahoma"/>
            <charset val="1"/>
          </rPr>
          <t xml:space="preserve">
Reported Free Cash Flow (not simply CFO − Capital Investment — AT&amp;T also nets out DIRECTV-related distributions/cash taxes in periods where applicable). Source: T_1Q26_Trending_Schedule.pdf, p.4, 6/30/25 column.</t>
        </r>
      </text>
    </comment>
    <comment ref="C26" authorId="0" shapeId="0" xr:uid="{F5F3D107-475E-429E-B054-4F9E524951EA}">
      <text>
        <r>
          <rPr>
            <b/>
            <sz val="9"/>
            <color indexed="81"/>
            <rFont val="Tahoma"/>
            <charset val="1"/>
          </rPr>
          <t>User:</t>
        </r>
        <r>
          <rPr>
            <sz val="9"/>
            <color indexed="81"/>
            <rFont val="Tahoma"/>
            <charset val="1"/>
          </rPr>
          <t xml:space="preserve">
Reported Free Cash Flow. Source: T_1Q26_Trending_Schedule.pdf, p.4, 3/31/26 column. (Ties to CFO−Capital Investment this quarter since DIRECTV adjustments were zero, but that relationship doesn't hold in all periods — kept as a hardcoded actual, not a formula.)</t>
        </r>
      </text>
    </comment>
    <comment ref="I27" authorId="0" shapeId="0" xr:uid="{698876A0-5BB9-40B9-8147-12E00FC6DC95}">
      <text>
        <r>
          <rPr>
            <b/>
            <sz val="9"/>
            <color indexed="81"/>
            <rFont val="Tahoma"/>
            <charset val="1"/>
          </rPr>
          <t>Source: AT&amp;T consensus.xlsx, sheet 'Incomestatement_IS' row 58: "Diluted EPS - Operating" (CapIQ's non-GAAP/Adjusted EPS convention).</t>
        </r>
      </text>
    </comment>
    <comment ref="I30" authorId="0" shapeId="0" xr:uid="{5D5ACDD7-93CE-45E6-8427-673839939868}">
      <text>
        <r>
          <rPr>
            <b/>
            <sz val="9"/>
            <color indexed="81"/>
            <rFont val="Tahoma"/>
            <charset val="1"/>
          </rPr>
          <t>Source: AT&amp;T consensus.xlsx, sheet 'AdvancedConnectivityWirele' row 36: "Total net adds - Postpaid Phones"</t>
        </r>
      </text>
    </comment>
    <comment ref="I31" authorId="0" shapeId="0" xr:uid="{2B709CC3-4CFE-4928-96F9-50E0AFCE02A5}">
      <text>
        <r>
          <rPr>
            <b/>
            <sz val="9"/>
            <color indexed="81"/>
            <rFont val="Tahoma"/>
            <charset val="1"/>
          </rPr>
          <t>Source: AT&amp;T consensus.xlsx, sheet 'AdvancedConnectivityWirele' row 58: "Net adds - Prepaid Phones"</t>
        </r>
      </text>
    </comment>
    <comment ref="I32" authorId="0" shapeId="0" xr:uid="{FA12271F-29F3-4940-8AB8-6576520AB17E}">
      <text>
        <r>
          <rPr>
            <b/>
            <sz val="9"/>
            <color indexed="81"/>
            <rFont val="Tahoma"/>
            <charset val="1"/>
          </rPr>
          <t>Source: AT&amp;T consensus.xlsx, sheet 'AdvancedConnectivityWirele' row 32: "Churn - Postpaid Phones". Divided by 100 in formula — CapIQ churn fields return already in percentage-point units (confirmed on TMUS sheet's analogous churn line).</t>
        </r>
      </text>
    </comment>
    <comment ref="I33" authorId="0" shapeId="0" xr:uid="{4DBAD927-F9A0-498C-A72D-A422CE3DA3CC}">
      <text>
        <r>
          <rPr>
            <b/>
            <sz val="9"/>
            <color indexed="81"/>
            <rFont val="Tahoma"/>
            <charset val="1"/>
          </rPr>
          <t>Source: AT&amp;T consensus.xlsx, sheet 'AdvancedConnectivityWirele' row 39: "ARPU - Postpaid Phones"</t>
        </r>
      </text>
    </comment>
    <comment ref="I34" authorId="0" shapeId="0" xr:uid="{EB5894FA-792E-4F71-BC63-ACE651510CE8}">
      <text>
        <r>
          <rPr>
            <b/>
            <sz val="9"/>
            <color indexed="81"/>
            <rFont val="Tahoma"/>
            <charset val="1"/>
          </rPr>
          <t>Source: AT&amp;T consensus.xlsx, sheet 'AdvancedConnectivityIntern' row 13: "AT&amp;T Fiber - Net adds"</t>
        </r>
      </text>
    </comment>
    <comment ref="I35" authorId="0" shapeId="0" xr:uid="{078B4AF4-44DF-495F-8FF3-3D9363E924F6}">
      <text>
        <r>
          <rPr>
            <b/>
            <sz val="9"/>
            <color indexed="81"/>
            <rFont val="Tahoma"/>
            <charset val="1"/>
          </rPr>
          <t>Source: AT&amp;T consensus.xlsx, sheet 'AdvancedConnectivityIntern' row 16: "Fiber ARPU"</t>
        </r>
      </text>
    </comment>
    <comment ref="I36" authorId="0" shapeId="0" xr:uid="{A6B146C9-4A6E-4611-B07A-DA99EA36BDE5}">
      <text>
        <r>
          <rPr>
            <b/>
            <sz val="9"/>
            <color indexed="81"/>
            <rFont val="Tahoma"/>
            <charset val="1"/>
          </rPr>
          <t>Source: AT&amp;T consensus.xlsx, sheet 'AdvancedConnectivityIntern' row 69: "IP-Fiber broadband home passed" (unit K# / thousands). Divided by 1,000 in formula to match this sheet's millions convention — verify scaling once CapIQ resolves live.</t>
        </r>
      </text>
    </comment>
    <comment ref="I37" authorId="0" shapeId="0" xr:uid="{8C17B93B-6CF0-4AEA-8F07-9DF8081016E3}">
      <text>
        <r>
          <rPr>
            <b/>
            <sz val="9"/>
            <color indexed="81"/>
            <rFont val="Tahoma"/>
            <charset val="1"/>
          </rPr>
          <t>Source: AT&amp;T consensus.xlsx, sheet 'AdvancedConnectivityIntern' row 19: "AT&amp;T Internet Air - Net adds"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 authorId="0" shapeId="0" xr:uid="{CF873A0D-576D-47C0-9D93-E5F7E1FA7D3F}">
      <text>
        <r>
          <rPr>
            <b/>
            <sz val="9"/>
            <color indexed="81"/>
            <rFont val="Tahoma"/>
            <charset val="1"/>
          </rPr>
          <t>User:</t>
        </r>
        <r>
          <rPr>
            <sz val="9"/>
            <color indexed="81"/>
            <rFont val="Tahoma"/>
            <charset val="1"/>
          </rPr>
          <t xml:space="preserve">
Source: Charter Communications, Inc. 1Q26 Trending Schedule (1Q26_Trending Schedule_Final.pdf), pages 1 (Customer Metrics), 2 (Revenue/EBITDA), 3 (CapEx), 5 (FCF Reconciliation) — 2Q 2025 column</t>
        </r>
      </text>
    </comment>
    <comment ref="C2" authorId="0" shapeId="0" xr:uid="{24CB7A5F-052E-4BA7-ABF9-20998F9BD7E2}">
      <text>
        <r>
          <rPr>
            <b/>
            <sz val="9"/>
            <color indexed="81"/>
            <rFont val="Tahoma"/>
            <charset val="1"/>
          </rPr>
          <t>User:</t>
        </r>
        <r>
          <rPr>
            <sz val="9"/>
            <color indexed="81"/>
            <rFont val="Tahoma"/>
            <charset val="1"/>
          </rPr>
          <t xml:space="preserve">
Source: same trending schedule — 1Q 2026 column</t>
        </r>
      </text>
    </comment>
    <comment ref="I4" authorId="0" shapeId="0" xr:uid="{2F72F9E5-1610-4833-B259-13112E8C7E2C}">
      <text>
        <r>
          <rPr>
            <b/>
            <sz val="9"/>
            <color indexed="81"/>
            <rFont val="Tahoma"/>
            <charset val="1"/>
          </rPr>
          <t>Source: charter Consensus.xlsx, sheet 'Residential_ResN' row 17: "Residential net adds - Internet". FQ22026 consensus = -136.56 (000')</t>
        </r>
      </text>
    </comment>
    <comment ref="I5" authorId="0" shapeId="0" xr:uid="{A95FD5B2-1D12-4DA5-8C06-CE8C8774CB6A}">
      <text>
        <r>
          <rPr>
            <b/>
            <sz val="9"/>
            <color indexed="81"/>
            <rFont val="Tahoma"/>
            <charset val="1"/>
          </rPr>
          <t>Source: charter Consensus.xlsx, sheet 'Segments_Seg' row 49: "Mobile lines - net adds". FQ22026 consensus = 382.71 (000')</t>
        </r>
      </text>
    </comment>
    <comment ref="I6" authorId="0" shapeId="0" xr:uid="{4FAB5E3B-855A-489D-8D02-5929B46EA74D}">
      <text>
        <r>
          <rPr>
            <b/>
            <sz val="9"/>
            <color indexed="81"/>
            <rFont val="Tahoma"/>
            <charset val="1"/>
          </rPr>
          <t>Source: charter Consensus.xlsx, sheet 'Segments_Seg' row 39: "Video - net adds" (total, ties to historicals — not the residential-only sub-line). FQ22026 consensus = -63.20 (000')</t>
        </r>
      </text>
    </comment>
    <comment ref="I9" authorId="0" shapeId="0" xr:uid="{8D6ECFCF-334C-4390-8A50-20E7BD438B60}">
      <text>
        <r>
          <rPr>
            <b/>
            <sz val="9"/>
            <color indexed="81"/>
            <rFont val="Tahoma"/>
            <charset val="1"/>
          </rPr>
          <t>Source: charter Consensus.xlsx, sheet 'Segments_Seg' row 22 / 'Incomestatement_IS' row 12: "Total revenue". FQ22026 consensus = 13,506 (direct estimate; ties closely to sum of components).</t>
        </r>
      </text>
    </comment>
    <comment ref="I10" authorId="0" shapeId="0" xr:uid="{BDF69A7D-D953-4741-8E20-3E7B6ACCE8F4}">
      <text>
        <r>
          <rPr>
            <b/>
            <sz val="9"/>
            <color indexed="81"/>
            <rFont val="Tahoma"/>
            <charset val="1"/>
          </rPr>
          <t>Source: charter Consensus.xlsx, sheet 'Segments_Seg' row 12: "Residential - Internet revenue"</t>
        </r>
      </text>
    </comment>
    <comment ref="I11" authorId="0" shapeId="0" xr:uid="{A3563761-E89F-4AE1-BE8C-E01B27DB1DB1}">
      <text>
        <r>
          <rPr>
            <b/>
            <sz val="9"/>
            <color indexed="81"/>
            <rFont val="Tahoma"/>
            <charset val="1"/>
          </rPr>
          <t>Source: charter Consensus.xlsx, sheet 'Segments_Seg' row 13: "Residential - Video revenue"</t>
        </r>
      </text>
    </comment>
    <comment ref="I12" authorId="0" shapeId="0" xr:uid="{307729DD-0B7C-4747-A81F-FEED324C557F}">
      <text>
        <r>
          <rPr>
            <b/>
            <sz val="9"/>
            <color indexed="81"/>
            <rFont val="Tahoma"/>
            <charset val="1"/>
          </rPr>
          <t>Source: charter Consensus.xlsx, sheet 'Segments_Seg' row 14: "Residential - Voice revenue"</t>
        </r>
      </text>
    </comment>
    <comment ref="I13" authorId="0" shapeId="0" xr:uid="{0A3ED5ED-CB07-4F75-B84B-0F780E441F5C}">
      <text>
        <r>
          <rPr>
            <b/>
            <sz val="9"/>
            <color indexed="81"/>
            <rFont val="Tahoma"/>
            <charset val="1"/>
          </rPr>
          <t>Source: charter Consensus.xlsx, sheet 'Segments_Seg' row 15: "Residential - Mobile service revenue"</t>
        </r>
      </text>
    </comment>
    <comment ref="I14" authorId="0" shapeId="0" xr:uid="{A83B91C5-3DFE-4480-BB5D-ABC711DED94C}">
      <text>
        <r>
          <rPr>
            <b/>
            <sz val="9"/>
            <color indexed="81"/>
            <rFont val="Tahoma"/>
            <charset val="1"/>
          </rPr>
          <t>Source: charter Consensus.xlsx, sheet 'Segments_Seg' row 17: "Small and medium business - Commercial revenue"</t>
        </r>
      </text>
    </comment>
    <comment ref="I15" authorId="0" shapeId="0" xr:uid="{A71AA81C-F443-4316-87AA-7690BC236AD6}">
      <text>
        <r>
          <rPr>
            <b/>
            <sz val="9"/>
            <color indexed="81"/>
            <rFont val="Tahoma"/>
            <charset val="1"/>
          </rPr>
          <t>Source: charter Consensus.xlsx, sheet 'Segments_Seg' row 18: "Enterprise - Commercial revenue"</t>
        </r>
      </text>
    </comment>
    <comment ref="I16" authorId="0" shapeId="0" xr:uid="{87B0B6E0-1AF5-40DB-B625-13AEA16EB9B2}">
      <text>
        <r>
          <rPr>
            <b/>
            <sz val="9"/>
            <color indexed="81"/>
            <rFont val="Tahoma"/>
            <charset val="1"/>
          </rPr>
          <t>Source: charter Consensus.xlsx, sheet 'Segments_Seg' row 20: "Advertising revenue"</t>
        </r>
      </text>
    </comment>
    <comment ref="I17" authorId="0" shapeId="0" xr:uid="{46A5D0D6-58E6-4A28-8514-2FB4960A6972}">
      <text>
        <r>
          <rPr>
            <b/>
            <sz val="9"/>
            <color indexed="81"/>
            <rFont val="Tahoma"/>
            <charset val="1"/>
          </rPr>
          <t>Source: charter Consensus.xlsx, sheet 'Segments_Seg' row 21: "Other revenue"</t>
        </r>
      </text>
    </comment>
    <comment ref="I18" authorId="0" shapeId="0" xr:uid="{D7905698-6D30-4894-9C89-D1FAD7D4F2B5}">
      <text>
        <r>
          <rPr>
            <b/>
            <sz val="9"/>
            <color indexed="81"/>
            <rFont val="Tahoma"/>
            <charset val="1"/>
          </rPr>
          <t>Source: charter Consensus.xlsx, sheet 'Incomestatement_IS' row 22: "EBITDA - operating". Confirmed exact match to historicals (2Q25=5,693 / 1Q26=5,637).</t>
        </r>
      </text>
    </comment>
    <comment ref="B20" authorId="0" shapeId="0" xr:uid="{72204DA9-1D32-4353-A874-3D16CCA7B9A1}">
      <text>
        <r>
          <rPr>
            <b/>
            <sz val="9"/>
            <color indexed="81"/>
            <rFont val="Tahoma"/>
            <charset val="1"/>
          </rPr>
          <t>User:</t>
        </r>
        <r>
          <rPr>
            <sz val="9"/>
            <color indexed="81"/>
            <rFont val="Tahoma"/>
            <charset val="1"/>
          </rPr>
          <t xml:space="preserve">
Source: SEC EDGAR, Charter Communications 8-K Ex-99.1, "Second Quarter 2025 Results" (filed 7/25/2025), Consolidated Statements of Operations, Diluted EPS, Three Months Ended June 30, 2025. https://www.sec.gov/Archives/edgar/data/1091667/000109166725000126/chtrex991earningsrelease63.htm</t>
        </r>
      </text>
    </comment>
    <comment ref="C20" authorId="0" shapeId="0" xr:uid="{0744E512-E912-48F4-9D6C-4A534F88A939}">
      <text>
        <r>
          <rPr>
            <b/>
            <sz val="9"/>
            <color indexed="81"/>
            <rFont val="Tahoma"/>
            <charset val="1"/>
          </rPr>
          <t>User:</t>
        </r>
        <r>
          <rPr>
            <sz val="9"/>
            <color indexed="81"/>
            <rFont val="Tahoma"/>
            <charset val="1"/>
          </rPr>
          <t xml:space="preserve">
Source: 1Q26_Results Release_Final.pdf, p.2, "EARNINGS PER COMMON SHARE ATTRIBUTABLE TO CHARTER SHAREHOLDERS: Diluted", March 31, 2026 column.</t>
        </r>
      </text>
    </comment>
    <comment ref="I20" authorId="0" shapeId="0" xr:uid="{2C8DB883-C158-49E1-9E1E-4FB04DDAFE1D}">
      <text>
        <r>
          <rPr>
            <b/>
            <sz val="9"/>
            <color indexed="81"/>
            <rFont val="Tahoma"/>
            <charset val="1"/>
          </rPr>
          <t>Source: charter Consensus.xlsx, sheet 'Incomestatement_IS' row 39: "EPS-Diluted". Confirmed exact match to historicals (2Q25=$9.18 / 1Q26=$9.17).</t>
        </r>
      </text>
    </comment>
    <comment ref="I23" authorId="0" shapeId="0" xr:uid="{F7FE2DD9-A676-4BEB-A5DB-2175295948D7}">
      <text>
        <r>
          <rPr>
            <b/>
            <sz val="9"/>
            <color indexed="81"/>
            <rFont val="Tahoma"/>
            <charset val="1"/>
          </rPr>
          <t>Source: charter Consensus.xlsx, sheet 'FCFandCapex_FCF' row 13: "Net cash provided by/(used in) operating activities". Confirmed exact match to historicals.</t>
        </r>
      </text>
    </comment>
    <comment ref="I24" authorId="0" shapeId="0" xr:uid="{7DB96966-0758-4362-8225-C54FBBB44BE9}">
      <text>
        <r>
          <rPr>
            <b/>
            <sz val="9"/>
            <color indexed="81"/>
            <rFont val="Tahoma"/>
            <charset val="1"/>
          </rPr>
          <t>Source: charter Consensus.xlsx, sheet 'FCFandCapex_FCF' row 14: "Purchases of property, plant and equipment". Confirmed exact match to historicals. Sign flipped to negative to match this sheet's convention.</t>
        </r>
      </text>
    </comment>
    <comment ref="B25" authorId="0" shapeId="0" xr:uid="{04AC3B5F-E3BA-4392-8F47-B6A4666592B6}">
      <text>
        <r>
          <rPr>
            <b/>
            <sz val="9"/>
            <color indexed="81"/>
            <rFont val="Tahoma"/>
            <charset val="1"/>
          </rPr>
          <t>User:</t>
        </r>
        <r>
          <rPr>
            <sz val="9"/>
            <color indexed="81"/>
            <rFont val="Tahoma"/>
            <charset val="1"/>
          </rPr>
          <t xml:space="preserve">
Reported Free Cash Flow. Source: 1Q26_Trending Schedule_Final.pdf, p.5, 2Q 2025 column. FCF = CFO − CapEx ± change in accrued capex-related expenses (not a simple two-line formula) — kept as a hardcoded actual.</t>
        </r>
      </text>
    </comment>
    <comment ref="C25" authorId="0" shapeId="0" xr:uid="{8D5B7E14-3FC3-4A5D-A353-4C6584D72F3A}">
      <text>
        <r>
          <rPr>
            <b/>
            <sz val="9"/>
            <color indexed="81"/>
            <rFont val="Tahoma"/>
            <charset val="1"/>
          </rPr>
          <t>User:</t>
        </r>
        <r>
          <rPr>
            <sz val="9"/>
            <color indexed="81"/>
            <rFont val="Tahoma"/>
            <charset val="1"/>
          </rPr>
          <t xml:space="preserve">
Reported Free Cash Flow. Source: 1Q26_Trending Schedule_Final.pdf, p.5, 1Q 2026 column.</t>
        </r>
      </text>
    </comment>
    <comment ref="I25" authorId="0" shapeId="0" xr:uid="{B0D4EEA0-F4BF-419A-8549-A39C786FF65F}">
      <text>
        <r>
          <rPr>
            <b/>
            <sz val="9"/>
            <color indexed="81"/>
            <rFont val="Tahoma"/>
            <charset val="1"/>
          </rPr>
          <t>Source: charter Consensus.xlsx, sheet 'FCFandCapex_FCF' row 16: "Free cash flow - Company defined". Confirmed exact match to historicals (2Q25=1,046 / 1Q26=1,372).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2" authorId="0" shapeId="0" xr:uid="{75E80DFD-6D1D-4E52-A7EA-146523A364DD}">
      <text>
        <r>
          <rPr>
            <b/>
            <sz val="9"/>
            <color indexed="81"/>
            <rFont val="Tahoma"/>
            <family val="2"/>
          </rPr>
          <t>User:</t>
        </r>
        <r>
          <rPr>
            <sz val="9"/>
            <color indexed="81"/>
            <rFont val="Tahoma"/>
            <family val="2"/>
          </rPr>
          <t xml:space="preserve">
Source: Verizon Communications Inc. 1Q26 Financial and Operating Information (vz_1q26_foi_042726rm.pdf), pages 3 (Income Statement), 7-8 (Consumer/Business Segment Results), 9 (Operating Statistics), 12 (Consolidated Adjusted EBITDA) — 6/30/25 (2Q25) column</t>
        </r>
      </text>
    </comment>
    <comment ref="C2" authorId="0" shapeId="0" xr:uid="{3483BE98-B336-4DB0-A4BA-C68140180670}">
      <text>
        <r>
          <rPr>
            <b/>
            <sz val="9"/>
            <color indexed="81"/>
            <rFont val="Tahoma"/>
            <family val="2"/>
          </rPr>
          <t>User:</t>
        </r>
        <r>
          <rPr>
            <sz val="9"/>
            <color indexed="81"/>
            <rFont val="Tahoma"/>
            <family val="2"/>
          </rPr>
          <t xml:space="preserve">
Source: same VZ 1Q26 filing — 3/31/26 (1Q26) column. Cross-checked against reference image; all values tie.</t>
        </r>
      </text>
    </comment>
    <comment ref="D3" authorId="0" shapeId="0" xr:uid="{E3B938A0-2988-4782-A634-12939E3F170D}">
      <text>
        <r>
          <rPr>
            <b/>
            <sz val="9"/>
            <color indexed="81"/>
            <rFont val="Tahoma"/>
            <family val="2"/>
          </rPr>
          <t>User:</t>
        </r>
        <r>
          <rPr>
            <sz val="9"/>
            <color indexed="81"/>
            <rFont val="Tahoma"/>
            <family val="2"/>
          </rPr>
          <t xml:space="preserve">
Consensus item codes return $M; divided by 1000 to match historical $B scale in this sheet.</t>
        </r>
      </text>
    </comment>
    <comment ref="I3" authorId="0" shapeId="0" xr:uid="{A57298EF-648D-49A3-8553-7CB007335B74}">
      <text>
        <r>
          <rPr>
            <b/>
            <sz val="9"/>
            <color indexed="81"/>
            <rFont val="Tahoma"/>
            <family val="2"/>
          </rPr>
          <t>Source: SPGlobal Verizon consensus workbook — Incomestatement_IS / Segment_SG, "Operating revenues" (Total Revenue, consolidated)</t>
        </r>
      </text>
    </comment>
    <comment ref="D4" authorId="0" shapeId="0" xr:uid="{7EC82FB2-302B-483A-906E-D9C40C4194CC}">
      <text>
        <r>
          <rPr>
            <b/>
            <sz val="9"/>
            <color indexed="81"/>
            <rFont val="Tahoma"/>
            <family val="2"/>
          </rPr>
          <t>User:</t>
        </r>
        <r>
          <rPr>
            <sz val="9"/>
            <color indexed="81"/>
            <rFont val="Tahoma"/>
            <family val="2"/>
          </rPr>
          <t xml:space="preserve">
Consensus item codes return $M; divided by 1000 to match historical $B scale in this sheet.</t>
        </r>
      </text>
    </comment>
    <comment ref="I4" authorId="0" shapeId="0" xr:uid="{8DCFA398-E41C-4FDB-90D2-4B3219750D7E}">
      <text>
        <r>
          <rPr>
            <b/>
            <sz val="9"/>
            <color indexed="81"/>
            <rFont val="Tahoma"/>
            <family val="2"/>
          </rPr>
          <t>Source: SPGlobal Verizon consensus workbook — Segment_SG / Consumer_Consumer / OperatingSummary_OS, "Consumer revenue"</t>
        </r>
      </text>
    </comment>
    <comment ref="D5" authorId="0" shapeId="0" xr:uid="{DEE90765-B704-491C-8333-C9CAA5E098DB}">
      <text>
        <r>
          <rPr>
            <b/>
            <sz val="9"/>
            <color indexed="81"/>
            <rFont val="Tahoma"/>
            <family val="2"/>
          </rPr>
          <t>User:</t>
        </r>
        <r>
          <rPr>
            <sz val="9"/>
            <color indexed="81"/>
            <rFont val="Tahoma"/>
            <family val="2"/>
          </rPr>
          <t xml:space="preserve">
Consensus item codes return $M; divided by 1000 to match historical $B scale in this sheet.</t>
        </r>
      </text>
    </comment>
    <comment ref="I5" authorId="0" shapeId="0" xr:uid="{09369917-F4DB-4F1E-B4A8-90D40B9A7B9D}">
      <text>
        <r>
          <rPr>
            <b/>
            <sz val="9"/>
            <color indexed="81"/>
            <rFont val="Tahoma"/>
            <family val="2"/>
          </rPr>
          <t>Source: SPGlobal Verizon consensus workbook — Segment_SG / Business_Business, "Business revenue"</t>
        </r>
      </text>
    </comment>
    <comment ref="D6" authorId="0" shapeId="0" xr:uid="{2005D424-E10F-41D8-B06C-BAFCE4E286B1}">
      <text>
        <r>
          <rPr>
            <b/>
            <sz val="9"/>
            <color indexed="81"/>
            <rFont val="Tahoma"/>
            <family val="2"/>
          </rPr>
          <t>User:</t>
        </r>
        <r>
          <rPr>
            <sz val="9"/>
            <color indexed="81"/>
            <rFont val="Tahoma"/>
            <family val="2"/>
          </rPr>
          <t xml:space="preserve">
Consensus item codes return $M; divided by 1000 to match historical $B scale in this sheet.</t>
        </r>
      </text>
    </comment>
    <comment ref="I6" authorId="0" shapeId="0" xr:uid="{1B8D6463-5906-412E-BF6E-B40F41F2E0DF}">
      <text>
        <r>
          <rPr>
            <b/>
            <sz val="9"/>
            <color indexed="81"/>
            <rFont val="Tahoma"/>
            <family val="2"/>
          </rPr>
          <t>Source: SPGlobal Verizon consensus workbook — Segment_SG, "Wireless equipment revenue" (consolidated, Consumer+Business)</t>
        </r>
      </text>
    </comment>
    <comment ref="D7" authorId="0" shapeId="0" xr:uid="{CA5BF09D-E8EE-4E25-8CCA-8D0B8A4CFCD8}">
      <text>
        <r>
          <rPr>
            <b/>
            <sz val="9"/>
            <color indexed="81"/>
            <rFont val="Tahoma"/>
            <family val="2"/>
          </rPr>
          <t>User:</t>
        </r>
        <r>
          <rPr>
            <sz val="9"/>
            <color indexed="81"/>
            <rFont val="Tahoma"/>
            <family val="2"/>
          </rPr>
          <t xml:space="preserve">
Consensus item codes return $M; divided by 1000 to match historical $B scale in this sheet.</t>
        </r>
      </text>
    </comment>
    <comment ref="I7" authorId="0" shapeId="0" xr:uid="{4A464922-68BA-4444-8FB1-BD0C7EA907D0}">
      <text>
        <r>
          <rPr>
            <b/>
            <sz val="9"/>
            <color indexed="81"/>
            <rFont val="Tahoma"/>
            <family val="2"/>
          </rPr>
          <t>Source: SPGlobal Verizon consensus workbook — Segment_SG, "Mobility and broadband service - Consumer revenue"</t>
        </r>
      </text>
    </comment>
    <comment ref="D8" authorId="0" shapeId="0" xr:uid="{ECD2975E-1FD5-4814-9822-44280D430362}">
      <text>
        <r>
          <rPr>
            <b/>
            <sz val="9"/>
            <color indexed="81"/>
            <rFont val="Tahoma"/>
            <family val="2"/>
          </rPr>
          <t>User:</t>
        </r>
        <r>
          <rPr>
            <sz val="9"/>
            <color indexed="81"/>
            <rFont val="Tahoma"/>
            <family val="2"/>
          </rPr>
          <t xml:space="preserve">
Consensus item codes return $M; divided by 1000 to match historical $B scale in this sheet.</t>
        </r>
      </text>
    </comment>
    <comment ref="I8" authorId="0" shapeId="0" xr:uid="{46012572-67AC-46AE-AF08-E3E774940853}">
      <text>
        <r>
          <rPr>
            <b/>
            <sz val="9"/>
            <color indexed="81"/>
            <rFont val="Tahoma"/>
            <family val="2"/>
          </rPr>
          <t>Source: SPGlobal Verizon consensus workbook — Segment_SG, "Mobility and broadband service - Business revenue"</t>
        </r>
      </text>
    </comment>
    <comment ref="D10" authorId="0" shapeId="0" xr:uid="{724B5A24-570D-47B5-8210-73D31152FFEE}">
      <text>
        <r>
          <rPr>
            <b/>
            <sz val="9"/>
            <color indexed="81"/>
            <rFont val="Tahoma"/>
            <family val="2"/>
          </rPr>
          <t>User:</t>
        </r>
        <r>
          <rPr>
            <sz val="9"/>
            <color indexed="81"/>
            <rFont val="Tahoma"/>
            <family val="2"/>
          </rPr>
          <t xml:space="preserve">
Consensus item codes return $M; divided by 1000 to match historical $B scale in this sheet.</t>
        </r>
      </text>
    </comment>
    <comment ref="I10" authorId="0" shapeId="0" xr:uid="{F5E8F4CC-F5F9-4D4F-A2B7-3C12AB867B55}">
      <text>
        <r>
          <rPr>
            <b/>
            <sz val="9"/>
            <color indexed="81"/>
            <rFont val="Tahoma"/>
            <family val="2"/>
          </rPr>
          <t>Source: SPGlobal Verizon consensus workbook — EBITDAReconciliation_REC / Incomestatement_IS / OperatingSummary_OS, "Adjusted EBITDA" (consolidated)</t>
        </r>
      </text>
    </comment>
    <comment ref="D11" authorId="0" shapeId="0" xr:uid="{69A72386-2FD9-4933-AEDA-C0B1636FF51D}">
      <text>
        <r>
          <rPr>
            <b/>
            <sz val="9"/>
            <color indexed="81"/>
            <rFont val="Tahoma"/>
            <family val="2"/>
          </rPr>
          <t>User:</t>
        </r>
        <r>
          <rPr>
            <sz val="9"/>
            <color indexed="81"/>
            <rFont val="Tahoma"/>
            <family val="2"/>
          </rPr>
          <t xml:space="preserve">
Consensus item codes return $M; divided by 1000 to match historical $B scale in this sheet.</t>
        </r>
      </text>
    </comment>
    <comment ref="I11" authorId="0" shapeId="0" xr:uid="{FA9C76C8-C160-445F-AF62-4E8805387C23}">
      <text>
        <r>
          <rPr>
            <b/>
            <sz val="9"/>
            <color indexed="81"/>
            <rFont val="Tahoma"/>
            <family val="2"/>
          </rPr>
          <t>Source: SPGlobal Verizon consensus workbook — Segment_SG / Consumer_Consumer / OperatingSummary_OS, "Adjusted EBITDA - Consumer"</t>
        </r>
      </text>
    </comment>
    <comment ref="D12" authorId="0" shapeId="0" xr:uid="{A1D799B1-3D4F-4A13-BF9B-8FB0E6502CD7}">
      <text>
        <r>
          <rPr>
            <b/>
            <sz val="9"/>
            <color indexed="81"/>
            <rFont val="Tahoma"/>
            <family val="2"/>
          </rPr>
          <t>User:</t>
        </r>
        <r>
          <rPr>
            <sz val="9"/>
            <color indexed="81"/>
            <rFont val="Tahoma"/>
            <family val="2"/>
          </rPr>
          <t xml:space="preserve">
Consensus item codes return $M; divided by 1000 to match historical $B scale in this sheet.</t>
        </r>
      </text>
    </comment>
    <comment ref="I12" authorId="0" shapeId="0" xr:uid="{011EC56C-C352-41A1-AA84-67DA8D73AD9C}">
      <text>
        <r>
          <rPr>
            <b/>
            <sz val="9"/>
            <color indexed="81"/>
            <rFont val="Tahoma"/>
            <family val="2"/>
          </rPr>
          <t>Source: SPGlobal Verizon consensus workbook — Segment_SG / Business_Business, "Adjusted EBITDA - Business"</t>
        </r>
      </text>
    </comment>
    <comment ref="B16" authorId="0" shapeId="0" xr:uid="{89021035-5660-43A7-BD1B-BD0F795EDC46}">
      <text>
        <r>
          <rPr>
            <b/>
            <sz val="9"/>
            <color indexed="81"/>
            <rFont val="Tahoma"/>
            <family val="2"/>
          </rPr>
          <t>User:</t>
        </r>
        <r>
          <rPr>
            <sz val="9"/>
            <color indexed="81"/>
            <rFont val="Tahoma"/>
            <family val="2"/>
          </rPr>
          <t xml:space="preserve">
Source: Verizon Communications, Inc. official Q2 2025 earnings press release (verizon.com/about/news), "adjusted EPS, excluding special items, of $1.22 compared to $1.15 in second-quarter 2024." Not available in the 1Q26 filings (which only reconcile Q1-over-Q1).</t>
        </r>
      </text>
    </comment>
    <comment ref="I16" authorId="0" shapeId="0" xr:uid="{1272F049-2E1F-4EFC-A7D6-D8AEE7676D3A}">
      <text>
        <r>
          <rPr>
            <b/>
            <sz val="9"/>
            <color indexed="81"/>
            <rFont val="Tahoma"/>
            <family val="2"/>
          </rPr>
          <t>Source: SPGlobal Verizon consensus workbook — Incomestatement_IS / OperatingSummary_OS, "Diluted EPS -Operating" (the "-Operating" suffix denotes S&amp;P Global's adjusted/non-GAAP view, matching VZ's reported adjusted EPS)</t>
        </r>
      </text>
    </comment>
    <comment ref="I19" authorId="0" shapeId="0" xr:uid="{BA6F333A-BBF3-4323-859F-8569FB5566F3}">
      <text>
        <r>
          <rPr>
            <b/>
            <sz val="9"/>
            <color indexed="81"/>
            <rFont val="Tahoma"/>
            <family val="2"/>
          </rPr>
          <t>Source: SPGlobal Verizon consensus workbook — Wireless_Wireless, "Net adds - Wireless retail postpaid" (total company, all devices)</t>
        </r>
      </text>
    </comment>
    <comment ref="I20" authorId="0" shapeId="0" xr:uid="{1E0924B6-E4E7-4D06-BAE4-94D14FAF2E67}">
      <text>
        <r>
          <rPr>
            <b/>
            <sz val="9"/>
            <color indexed="81"/>
            <rFont val="Tahoma"/>
            <family val="2"/>
          </rPr>
          <t>No single consolidated item code exists for Total Postpaid Phone Net Adds. D24 sums Consumer phone net adds (N_13452421, Consumer_Consumer tab) + Business phone net adds (N_13686575, Business_Business tab).</t>
        </r>
      </text>
    </comment>
    <comment ref="I21" authorId="0" shapeId="0" xr:uid="{E01A353C-96E3-4737-B974-D1B9E3F0A617}">
      <text>
        <r>
          <rPr>
            <b/>
            <sz val="9"/>
            <color indexed="81"/>
            <rFont val="Tahoma"/>
            <family val="2"/>
          </rPr>
          <t>Source: SPGlobal Verizon consensus workbook — Wireless_Wireless, "Net adds - Fixed wireless access (FWA) broadband" (total company)</t>
        </r>
      </text>
    </comment>
    <comment ref="I22" authorId="0" shapeId="0" xr:uid="{CBA66E31-88BD-4B47-A21D-9277CD632095}">
      <text>
        <r>
          <rPr>
            <b/>
            <sz val="9"/>
            <color indexed="81"/>
            <rFont val="Tahoma"/>
            <family val="2"/>
          </rPr>
          <t>No single consolidated item code exists for Fios Internet Net Adds. D26 sums Consumer Fios Internet net adds (N_13428173, Consumer_Consumer tab) + SMB/Business Fios Internet net adds (N_13428184, Business_Business tab).</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3" authorId="0" shapeId="0" xr:uid="{0F497017-453E-48DC-B2ED-7C7E9F82D3CB}">
      <text>
        <r>
          <rPr>
            <b/>
            <sz val="9"/>
            <color indexed="81"/>
            <rFont val="Tahoma"/>
            <family val="2"/>
          </rPr>
          <t>User:</t>
        </r>
        <r>
          <rPr>
            <sz val="9"/>
            <color indexed="81"/>
            <rFont val="Tahoma"/>
            <family val="2"/>
          </rPr>
          <t xml:space="preserve">
Source: Comcast Corporation 1Q26 Trending Schedules (1q26_trending_schedules_-_final.pdf), p.1, "Total Pro Forma Consolidated Revenue", 2Q25 column</t>
        </r>
      </text>
    </comment>
    <comment ref="C3" authorId="0" shapeId="0" xr:uid="{B532119F-0AD7-421D-979F-3041F705013E}">
      <text>
        <r>
          <rPr>
            <b/>
            <sz val="9"/>
            <color indexed="81"/>
            <rFont val="Tahoma"/>
            <family val="2"/>
          </rPr>
          <t>User:</t>
        </r>
        <r>
          <rPr>
            <sz val="9"/>
            <color indexed="81"/>
            <rFont val="Tahoma"/>
            <family val="2"/>
          </rPr>
          <t xml:space="preserve">
Source: Comcast Corporation 1Q26 Trending Schedules (1q26_trending_schedules_-_final.pdf), p.1, "Total Pro Forma Consolidated Revenue", 1Q26 column</t>
        </r>
      </text>
    </comment>
    <comment ref="I3" authorId="0" shapeId="0" xr:uid="{5D094D27-4011-47A7-B3C6-B1DF0CC9A785}">
      <text>
        <r>
          <rPr>
            <b/>
            <sz val="9"/>
            <color indexed="81"/>
            <rFont val="Tahoma"/>
            <family val="2"/>
          </rPr>
          <t>User:</t>
        </r>
        <r>
          <rPr>
            <sz val="9"/>
            <color indexed="81"/>
            <rFont val="Tahoma"/>
            <family val="2"/>
          </rPr>
          <t xml:space="preserve">
Source: CMCSA Consensus workbook — Incomestatement_IS, "Revenue". Verified: 2Q25=$28,787M (vs actual $28,790M), 1Q26=$31,457M (exact match to actual).</t>
        </r>
      </text>
    </comment>
    <comment ref="B4" authorId="0" shapeId="0" xr:uid="{8BA1BD2B-F573-4537-B141-4244A90785A0}">
      <text>
        <r>
          <rPr>
            <b/>
            <sz val="9"/>
            <color indexed="81"/>
            <rFont val="Tahoma"/>
            <family val="2"/>
          </rPr>
          <t>User:</t>
        </r>
        <r>
          <rPr>
            <sz val="9"/>
            <color indexed="81"/>
            <rFont val="Tahoma"/>
            <family val="2"/>
          </rPr>
          <t xml:space="preserve">
Source: Comcast 1Q26 Trending Schedules, p.1, "Total Connectivity &amp; Platforms" revenue, 2Q25 column</t>
        </r>
      </text>
    </comment>
    <comment ref="C4" authorId="0" shapeId="0" xr:uid="{ED9413A9-D7C3-4A9C-AD6A-3D31D129C132}">
      <text>
        <r>
          <rPr>
            <b/>
            <sz val="9"/>
            <color indexed="81"/>
            <rFont val="Tahoma"/>
            <family val="2"/>
          </rPr>
          <t>User:</t>
        </r>
        <r>
          <rPr>
            <sz val="9"/>
            <color indexed="81"/>
            <rFont val="Tahoma"/>
            <family val="2"/>
          </rPr>
          <t xml:space="preserve">
Source: Comcast 1Q26 Trending Schedules, p.1, "Total Connectivity &amp; Platforms" revenue, 1Q26 column</t>
        </r>
      </text>
    </comment>
    <comment ref="I4" authorId="0" shapeId="0" xr:uid="{FCDDAA37-D45A-46D6-BF62-10217572D1A3}">
      <text>
        <r>
          <rPr>
            <b/>
            <sz val="9"/>
            <color indexed="81"/>
            <rFont val="Tahoma"/>
            <family val="2"/>
          </rPr>
          <t>User:</t>
        </r>
        <r>
          <rPr>
            <sz val="9"/>
            <color indexed="81"/>
            <rFont val="Tahoma"/>
            <family val="2"/>
          </rPr>
          <t xml:space="preserve">
Source: CMCSA Consensus workbook — ConnectivityandPlatforms_CP, "Total connectivity and platforms revenue". Verified: 2Q25=$20,413M (vs actual $20,414M), 1Q26=$19,963M (vs actual $19,962M).</t>
        </r>
      </text>
    </comment>
    <comment ref="B5" authorId="0" shapeId="0" xr:uid="{D76E266D-3BC7-4674-B637-EFA7FF3D5578}">
      <text>
        <r>
          <rPr>
            <b/>
            <sz val="9"/>
            <color indexed="81"/>
            <rFont val="Tahoma"/>
            <family val="2"/>
          </rPr>
          <t>User:</t>
        </r>
        <r>
          <rPr>
            <sz val="9"/>
            <color indexed="81"/>
            <rFont val="Tahoma"/>
            <family val="2"/>
          </rPr>
          <t xml:space="preserve">
Source: Comcast 1Q26 Trending Schedules, p.1, "Residential Connectivity &amp; Platforms" revenue, 2Q25 column</t>
        </r>
      </text>
    </comment>
    <comment ref="C5" authorId="0" shapeId="0" xr:uid="{91566549-784D-4E44-979C-FFF7AE0D5A03}">
      <text>
        <r>
          <rPr>
            <b/>
            <sz val="9"/>
            <color indexed="81"/>
            <rFont val="Tahoma"/>
            <family val="2"/>
          </rPr>
          <t>User:</t>
        </r>
        <r>
          <rPr>
            <sz val="9"/>
            <color indexed="81"/>
            <rFont val="Tahoma"/>
            <family val="2"/>
          </rPr>
          <t xml:space="preserve">
Source: Comcast 1Q26 Trending Schedules, p.1, "Residential Connectivity &amp; Platforms" revenue, 1Q26 column</t>
        </r>
      </text>
    </comment>
    <comment ref="I5" authorId="0" shapeId="0" xr:uid="{66045C46-4F1A-4E6B-8264-90C764CB8BC9}">
      <text>
        <r>
          <rPr>
            <b/>
            <sz val="9"/>
            <color indexed="81"/>
            <rFont val="Tahoma"/>
            <family val="2"/>
          </rPr>
          <t>User:</t>
        </r>
        <r>
          <rPr>
            <sz val="9"/>
            <color indexed="81"/>
            <rFont val="Tahoma"/>
            <family val="2"/>
          </rPr>
          <t xml:space="preserve">
Source: CMCSA Consensus workbook — ConnectivityandPlatforms_CP, "Residential connectivity and platforms revenue". Verified: 2Q25=$17,838M (vs actual $17,839M), 1Q26=$17,323M (exact match).</t>
        </r>
      </text>
    </comment>
    <comment ref="B6" authorId="0" shapeId="0" xr:uid="{961D0B42-2CEF-4E51-A8D4-217907ACDFBA}">
      <text>
        <r>
          <rPr>
            <b/>
            <sz val="9"/>
            <color indexed="81"/>
            <rFont val="Tahoma"/>
            <family val="2"/>
          </rPr>
          <t>User:</t>
        </r>
        <r>
          <rPr>
            <sz val="9"/>
            <color indexed="81"/>
            <rFont val="Tahoma"/>
            <family val="2"/>
          </rPr>
          <t xml:space="preserve">
Source: Comcast 1Q26 Trending Schedules, p.1, "Domestic Convergence Revenue", 2Q25 column</t>
        </r>
      </text>
    </comment>
    <comment ref="C6" authorId="0" shapeId="0" xr:uid="{0ACCF833-4103-40BC-9B41-505D31254444}">
      <text>
        <r>
          <rPr>
            <b/>
            <sz val="9"/>
            <color indexed="81"/>
            <rFont val="Tahoma"/>
            <family val="2"/>
          </rPr>
          <t>User:</t>
        </r>
        <r>
          <rPr>
            <sz val="9"/>
            <color indexed="81"/>
            <rFont val="Tahoma"/>
            <family val="2"/>
          </rPr>
          <t xml:space="preserve">
Source: Comcast 1Q26 Trending Schedules, p.1, "Domestic Convergence Revenue", 1Q26 column</t>
        </r>
      </text>
    </comment>
    <comment ref="I6" authorId="0" shapeId="0" xr:uid="{69E49AC8-F3F4-4910-9E84-A669B8FEB8C1}">
      <text>
        <r>
          <rPr>
            <b/>
            <sz val="9"/>
            <color indexed="81"/>
            <rFont val="Tahoma"/>
            <family val="2"/>
          </rPr>
          <t>User:</t>
        </r>
        <r>
          <rPr>
            <sz val="9"/>
            <color indexed="81"/>
            <rFont val="Tahoma"/>
            <family val="2"/>
          </rPr>
          <t xml:space="preserve">
No single consolidated code exists for Convergence Revenue. D6 sums Domestic Broadband revenue (N_14590377) + Domestic wireless service revenue (N_14719347), matching how the historical B6/C6 values were derived from the same two PDF line items.</t>
        </r>
      </text>
    </comment>
    <comment ref="B7" authorId="0" shapeId="0" xr:uid="{0EF081A6-84D7-4DBB-8305-169D6C8AD3DF}">
      <text>
        <r>
          <rPr>
            <b/>
            <sz val="9"/>
            <color indexed="81"/>
            <rFont val="Tahoma"/>
            <family val="2"/>
          </rPr>
          <t>User:</t>
        </r>
        <r>
          <rPr>
            <sz val="9"/>
            <color indexed="81"/>
            <rFont val="Tahoma"/>
            <family val="2"/>
          </rPr>
          <t xml:space="preserve">
Source: Comcast 1Q26 Trending Schedules, p.1, "Domestic Broadband", 2Q25 column</t>
        </r>
      </text>
    </comment>
    <comment ref="C7" authorId="0" shapeId="0" xr:uid="{9B88E84C-7A96-4501-8F58-4E4F62993D72}">
      <text>
        <r>
          <rPr>
            <b/>
            <sz val="9"/>
            <color indexed="81"/>
            <rFont val="Tahoma"/>
            <family val="2"/>
          </rPr>
          <t>User:</t>
        </r>
        <r>
          <rPr>
            <sz val="9"/>
            <color indexed="81"/>
            <rFont val="Tahoma"/>
            <family val="2"/>
          </rPr>
          <t xml:space="preserve">
Source: Comcast 1Q26 Trending Schedules, p.1, "Domestic Broadband", 1Q26 column</t>
        </r>
      </text>
    </comment>
    <comment ref="I7" authorId="0" shapeId="0" xr:uid="{E946B582-4C2C-4205-A3CC-0ECC8CA0804D}">
      <text>
        <r>
          <rPr>
            <b/>
            <sz val="9"/>
            <color indexed="81"/>
            <rFont val="Tahoma"/>
            <family val="2"/>
          </rPr>
          <t>User:</t>
        </r>
        <r>
          <rPr>
            <sz val="9"/>
            <color indexed="81"/>
            <rFont val="Tahoma"/>
            <family val="2"/>
          </rPr>
          <t xml:space="preserve">
Source: CMCSA Consensus workbook — ConnectivityandPlatforms_CP, "Domestic broadband revenue". Verified: 2Q25=$6,649M (exact), 1Q26=$6,338M (exact match to actual).</t>
        </r>
      </text>
    </comment>
    <comment ref="B8" authorId="0" shapeId="0" xr:uid="{704FB137-DBC5-43B6-BEA1-804D6844B413}">
      <text>
        <r>
          <rPr>
            <b/>
            <sz val="9"/>
            <color indexed="81"/>
            <rFont val="Tahoma"/>
            <family val="2"/>
          </rPr>
          <t>User:</t>
        </r>
        <r>
          <rPr>
            <sz val="9"/>
            <color indexed="81"/>
            <rFont val="Tahoma"/>
            <family val="2"/>
          </rPr>
          <t xml:space="preserve">
Source: Comcast 1Q26 Trending Schedules, p.1, "Domestic Wireless Service", 2Q25 column</t>
        </r>
      </text>
    </comment>
    <comment ref="C8" authorId="0" shapeId="0" xr:uid="{CDFB0F0A-EEDA-478B-8C14-E39B6F4AE1AE}">
      <text>
        <r>
          <rPr>
            <b/>
            <sz val="9"/>
            <color indexed="81"/>
            <rFont val="Tahoma"/>
            <family val="2"/>
          </rPr>
          <t>User:</t>
        </r>
        <r>
          <rPr>
            <sz val="9"/>
            <color indexed="81"/>
            <rFont val="Tahoma"/>
            <family val="2"/>
          </rPr>
          <t xml:space="preserve">
Source: Comcast 1Q26 Trending Schedules, p.1, "Domestic Wireless Service", 1Q26 column</t>
        </r>
      </text>
    </comment>
    <comment ref="I8" authorId="0" shapeId="0" xr:uid="{AC22FE38-21B7-4A19-9871-3EEFF96CC94D}">
      <text>
        <r>
          <rPr>
            <b/>
            <sz val="9"/>
            <color indexed="81"/>
            <rFont val="Tahoma"/>
            <family val="2"/>
          </rPr>
          <t>User:</t>
        </r>
        <r>
          <rPr>
            <sz val="9"/>
            <color indexed="81"/>
            <rFont val="Tahoma"/>
            <family val="2"/>
          </rPr>
          <t xml:space="preserve">
Source: CMCSA Consensus workbook — Wireless_Wireless, "Domestic wireless service revenue". Verified: 2Q25=$882M (exact), 1Q26=$977M (exact match to actual).</t>
        </r>
      </text>
    </comment>
    <comment ref="B9" authorId="0" shapeId="0" xr:uid="{23AC6645-A53F-4BDD-A237-A14B405F9BFF}">
      <text>
        <r>
          <rPr>
            <b/>
            <sz val="9"/>
            <color indexed="81"/>
            <rFont val="Tahoma"/>
            <family val="2"/>
          </rPr>
          <t>User:</t>
        </r>
        <r>
          <rPr>
            <sz val="9"/>
            <color indexed="81"/>
            <rFont val="Tahoma"/>
            <family val="2"/>
          </rPr>
          <t xml:space="preserve">
Source: Comcast 1Q26 Trending Schedules, p.1, "Business Services Connectivity" revenue, 2Q25 column</t>
        </r>
      </text>
    </comment>
    <comment ref="C9" authorId="0" shapeId="0" xr:uid="{320AA459-DD8D-4CC7-BBE1-155D0E24DDEE}">
      <text>
        <r>
          <rPr>
            <b/>
            <sz val="9"/>
            <color indexed="81"/>
            <rFont val="Tahoma"/>
            <family val="2"/>
          </rPr>
          <t>User:</t>
        </r>
        <r>
          <rPr>
            <sz val="9"/>
            <color indexed="81"/>
            <rFont val="Tahoma"/>
            <family val="2"/>
          </rPr>
          <t xml:space="preserve">
Source: Comcast 1Q26 Trending Schedules, p.1, "Business Services Connectivity" revenue, 1Q26 column</t>
        </r>
      </text>
    </comment>
    <comment ref="I9" authorId="0" shapeId="0" xr:uid="{F1C588CC-D3DB-4D49-BB70-9414C87727CC}">
      <text>
        <r>
          <rPr>
            <b/>
            <sz val="9"/>
            <color indexed="81"/>
            <rFont val="Tahoma"/>
            <family val="2"/>
          </rPr>
          <t>User:</t>
        </r>
        <r>
          <rPr>
            <sz val="9"/>
            <color indexed="81"/>
            <rFont val="Tahoma"/>
            <family val="2"/>
          </rPr>
          <t xml:space="preserve">
Source: CMCSA Consensus workbook — ConnectivityandPlatforms_CP, "Business services connectivity revenue". Verified: 2Q25=$2,575M (exact), 1Q26=$2,640M (exact match to actual).</t>
        </r>
      </text>
    </comment>
    <comment ref="B10" authorId="0" shapeId="0" xr:uid="{17345196-8B39-400E-9519-4656B6DD2579}">
      <text>
        <r>
          <rPr>
            <b/>
            <sz val="9"/>
            <color indexed="81"/>
            <rFont val="Tahoma"/>
            <family val="2"/>
          </rPr>
          <t>User:</t>
        </r>
        <r>
          <rPr>
            <sz val="9"/>
            <color indexed="81"/>
            <rFont val="Tahoma"/>
            <family val="2"/>
          </rPr>
          <t xml:space="preserve">
Source: Comcast 1Q26 Trending Schedules, p.1, "Total Content &amp; Experiences" revenue, 2Q25 column</t>
        </r>
      </text>
    </comment>
    <comment ref="C10" authorId="0" shapeId="0" xr:uid="{2FE4B6F0-68C5-4173-BA99-D8667F6EA686}">
      <text>
        <r>
          <rPr>
            <b/>
            <sz val="9"/>
            <color indexed="81"/>
            <rFont val="Tahoma"/>
            <family val="2"/>
          </rPr>
          <t>User:</t>
        </r>
        <r>
          <rPr>
            <sz val="9"/>
            <color indexed="81"/>
            <rFont val="Tahoma"/>
            <family val="2"/>
          </rPr>
          <t xml:space="preserve">
Source: Comcast 1Q26 Trending Schedules, p.1, "Total Content &amp; Experiences" revenue, 1Q26 column</t>
        </r>
      </text>
    </comment>
    <comment ref="I10" authorId="0" shapeId="0" xr:uid="{D8176D15-7C93-4196-BD06-40F67708B713}">
      <text>
        <r>
          <rPr>
            <b/>
            <sz val="9"/>
            <color indexed="81"/>
            <rFont val="Tahoma"/>
            <family val="2"/>
          </rPr>
          <t>User:</t>
        </r>
        <r>
          <rPr>
            <sz val="9"/>
            <color indexed="81"/>
            <rFont val="Tahoma"/>
            <family val="2"/>
          </rPr>
          <t xml:space="preserve">
Source: CMCSA Consensus workbook — Content&amp;Experiences_CE, "Total content and experiences revenue". Verified: 2Q25=$8,728M (vs actual $8,730M), 1Q26=$11,941M (vs actual $11,940M).</t>
        </r>
      </text>
    </comment>
    <comment ref="B11" authorId="0" shapeId="0" xr:uid="{90697F79-27E3-4857-9762-5638D021C49C}">
      <text>
        <r>
          <rPr>
            <b/>
            <sz val="9"/>
            <color indexed="81"/>
            <rFont val="Tahoma"/>
            <family val="2"/>
          </rPr>
          <t>User:</t>
        </r>
        <r>
          <rPr>
            <sz val="9"/>
            <color indexed="81"/>
            <rFont val="Tahoma"/>
            <family val="2"/>
          </rPr>
          <t xml:space="preserve">
Source: Comcast 1Q26 Trending Schedules, p.1, "Total Media" revenue, 2Q25 column</t>
        </r>
      </text>
    </comment>
    <comment ref="C11" authorId="0" shapeId="0" xr:uid="{6EB5FA9E-B231-45C4-AD7B-614772286139}">
      <text>
        <r>
          <rPr>
            <b/>
            <sz val="9"/>
            <color indexed="81"/>
            <rFont val="Tahoma"/>
            <family val="2"/>
          </rPr>
          <t>User:</t>
        </r>
        <r>
          <rPr>
            <sz val="9"/>
            <color indexed="81"/>
            <rFont val="Tahoma"/>
            <family val="2"/>
          </rPr>
          <t xml:space="preserve">
Source: Comcast 1Q26 Trending Schedules, p.1, "Total Media" revenue, 1Q26 column</t>
        </r>
      </text>
    </comment>
    <comment ref="I11" authorId="0" shapeId="0" xr:uid="{06A8E9CC-486D-46A7-903A-7B0989B36764}">
      <text>
        <r>
          <rPr>
            <b/>
            <sz val="9"/>
            <color indexed="81"/>
            <rFont val="Tahoma"/>
            <family val="2"/>
          </rPr>
          <t>User:</t>
        </r>
        <r>
          <rPr>
            <sz val="9"/>
            <color indexed="81"/>
            <rFont val="Tahoma"/>
            <family val="2"/>
          </rPr>
          <t xml:space="preserve">
Source: CMCSA Consensus workbook — Content&amp;Experiences_CE, "Media revenue - C&amp;E". Verified: 2Q25=$4,542M (vs actual $4,543M), 1Q26=$7,280M (exact match).</t>
        </r>
      </text>
    </comment>
    <comment ref="B12" authorId="0" shapeId="0" xr:uid="{685BFD90-455D-45A8-A700-7C8282925277}">
      <text>
        <r>
          <rPr>
            <b/>
            <sz val="9"/>
            <color indexed="81"/>
            <rFont val="Tahoma"/>
            <family val="2"/>
          </rPr>
          <t>User:</t>
        </r>
        <r>
          <rPr>
            <sz val="9"/>
            <color indexed="81"/>
            <rFont val="Tahoma"/>
            <family val="2"/>
          </rPr>
          <t xml:space="preserve">
Source: Comcast 1Q26 Trending Schedules, p.1, "Total Studios" revenue, 2Q25 column</t>
        </r>
      </text>
    </comment>
    <comment ref="C12" authorId="0" shapeId="0" xr:uid="{13D45218-64B8-4050-8BFE-AB1EB08DEF77}">
      <text>
        <r>
          <rPr>
            <b/>
            <sz val="9"/>
            <color indexed="81"/>
            <rFont val="Tahoma"/>
            <family val="2"/>
          </rPr>
          <t>User:</t>
        </r>
        <r>
          <rPr>
            <sz val="9"/>
            <color indexed="81"/>
            <rFont val="Tahoma"/>
            <family val="2"/>
          </rPr>
          <t xml:space="preserve">
Source: Comcast 1Q26 Trending Schedules, p.1, "Total Studios" revenue, 1Q26 column</t>
        </r>
      </text>
    </comment>
    <comment ref="I12" authorId="0" shapeId="0" xr:uid="{2579F5E1-7C51-460B-ACF6-FBA3602D3A6F}">
      <text>
        <r>
          <rPr>
            <b/>
            <sz val="9"/>
            <color indexed="81"/>
            <rFont val="Tahoma"/>
            <family val="2"/>
          </rPr>
          <t>User:</t>
        </r>
        <r>
          <rPr>
            <sz val="9"/>
            <color indexed="81"/>
            <rFont val="Tahoma"/>
            <family val="2"/>
          </rPr>
          <t xml:space="preserve">
Source: CMCSA Consensus workbook — Content&amp;Experiences_CE, "Studios revenue - C&amp;E". Verified: 2Q25=$2,432M (exact), 1Q26=$3,426M (exact match to actual).</t>
        </r>
      </text>
    </comment>
    <comment ref="B13" authorId="0" shapeId="0" xr:uid="{B199A1E1-64A4-462B-AA61-75DCEE0967A8}">
      <text>
        <r>
          <rPr>
            <b/>
            <sz val="9"/>
            <color indexed="81"/>
            <rFont val="Tahoma"/>
            <family val="2"/>
          </rPr>
          <t>User:</t>
        </r>
        <r>
          <rPr>
            <sz val="9"/>
            <color indexed="81"/>
            <rFont val="Tahoma"/>
            <family val="2"/>
          </rPr>
          <t xml:space="preserve">
Source: Comcast 1Q26 Trending Schedules, p.1, "Theme Parks" revenue, 2Q25 column</t>
        </r>
      </text>
    </comment>
    <comment ref="C13" authorId="0" shapeId="0" xr:uid="{A89EBBFA-ED14-42A5-9E0F-A90FDBF3A451}">
      <text>
        <r>
          <rPr>
            <b/>
            <sz val="9"/>
            <color indexed="81"/>
            <rFont val="Tahoma"/>
            <family val="2"/>
          </rPr>
          <t>User:</t>
        </r>
        <r>
          <rPr>
            <sz val="9"/>
            <color indexed="81"/>
            <rFont val="Tahoma"/>
            <family val="2"/>
          </rPr>
          <t xml:space="preserve">
Source: Comcast 1Q26 Trending Schedules, p.1, "Theme Parks" revenue, 1Q26 column</t>
        </r>
      </text>
    </comment>
    <comment ref="I13" authorId="0" shapeId="0" xr:uid="{CD22035F-F69B-4460-A942-B170CA310B1B}">
      <text>
        <r>
          <rPr>
            <b/>
            <sz val="9"/>
            <color indexed="81"/>
            <rFont val="Tahoma"/>
            <family val="2"/>
          </rPr>
          <t>User:</t>
        </r>
        <r>
          <rPr>
            <sz val="9"/>
            <color indexed="81"/>
            <rFont val="Tahoma"/>
            <family val="2"/>
          </rPr>
          <t xml:space="preserve">
Source: CMCSA Consensus workbook — Content&amp;Experiences_CE, "Theme parks revenue - C&amp;E". Verified: 2Q25=$2,349M (exact), 1Q26=$2,331M (exact match to actual).</t>
        </r>
      </text>
    </comment>
    <comment ref="B15" authorId="0" shapeId="0" xr:uid="{DFCE8169-0539-45FD-BF16-106BE91A4EEB}">
      <text>
        <r>
          <rPr>
            <b/>
            <sz val="9"/>
            <color indexed="81"/>
            <rFont val="Tahoma"/>
            <family val="2"/>
          </rPr>
          <t>User:</t>
        </r>
        <r>
          <rPr>
            <sz val="9"/>
            <color indexed="81"/>
            <rFont val="Tahoma"/>
            <family val="2"/>
          </rPr>
          <t xml:space="preserve">
Source: Comcast 1Q26 Trending Schedules, p.3, "Total Pro Forma Consolidated Adjusted EBITDA", 2Q25 column</t>
        </r>
      </text>
    </comment>
    <comment ref="C15" authorId="0" shapeId="0" xr:uid="{75C4D32F-D3DC-4296-BEA3-01E7B2A16493}">
      <text>
        <r>
          <rPr>
            <b/>
            <sz val="9"/>
            <color indexed="81"/>
            <rFont val="Tahoma"/>
            <family val="2"/>
          </rPr>
          <t>User:</t>
        </r>
        <r>
          <rPr>
            <sz val="9"/>
            <color indexed="81"/>
            <rFont val="Tahoma"/>
            <family val="2"/>
          </rPr>
          <t xml:space="preserve">
Source: Comcast 1Q26 Trending Schedules, p.3, "Total Pro Forma Consolidated Adjusted EBITDA", 1Q26 column</t>
        </r>
      </text>
    </comment>
    <comment ref="I15" authorId="0" shapeId="0" xr:uid="{BECDB84B-0E19-4142-9E3D-B14ECAC6B9E8}">
      <text>
        <r>
          <rPr>
            <b/>
            <sz val="9"/>
            <color indexed="81"/>
            <rFont val="Tahoma"/>
            <family val="2"/>
          </rPr>
          <t>User:</t>
        </r>
        <r>
          <rPr>
            <sz val="9"/>
            <color indexed="81"/>
            <rFont val="Tahoma"/>
            <family val="2"/>
          </rPr>
          <t xml:space="preserve">
Source: CMCSA Consensus workbook — Incomestatement_IS, "Adjusted EBITDA". Verified: 2Q25=$9,485M (vs actual $9,488M), 1Q26=$7,929M (exact match to actual).</t>
        </r>
      </text>
    </comment>
    <comment ref="B16" authorId="0" shapeId="0" xr:uid="{988B2572-DC2F-4CD5-8C76-4A8CD961CDA9}">
      <text>
        <r>
          <rPr>
            <b/>
            <sz val="9"/>
            <color indexed="81"/>
            <rFont val="Tahoma"/>
            <family val="2"/>
          </rPr>
          <t>User:</t>
        </r>
        <r>
          <rPr>
            <sz val="9"/>
            <color indexed="81"/>
            <rFont val="Tahoma"/>
            <family val="2"/>
          </rPr>
          <t xml:space="preserve">
Source: Comcast 1Q26 Trending Schedules, p.3, "Total Connectivity &amp; Platforms" Adjusted EBITDA, 2Q25 column</t>
        </r>
      </text>
    </comment>
    <comment ref="C16" authorId="0" shapeId="0" xr:uid="{5BEADD70-DC1F-4CD6-98BC-BB1AFD92F9C8}">
      <text>
        <r>
          <rPr>
            <b/>
            <sz val="9"/>
            <color indexed="81"/>
            <rFont val="Tahoma"/>
            <family val="2"/>
          </rPr>
          <t>User:</t>
        </r>
        <r>
          <rPr>
            <sz val="9"/>
            <color indexed="81"/>
            <rFont val="Tahoma"/>
            <family val="2"/>
          </rPr>
          <t xml:space="preserve">
Source: Comcast 1Q26 Trending Schedules, p.3, "Total Connectivity &amp; Platforms" Adjusted EBITDA, 1Q26 column</t>
        </r>
      </text>
    </comment>
    <comment ref="I16" authorId="0" shapeId="0" xr:uid="{6ECCA892-912E-43CC-9609-84E6A401E718}">
      <text>
        <r>
          <rPr>
            <b/>
            <sz val="9"/>
            <color indexed="81"/>
            <rFont val="Tahoma"/>
            <family val="2"/>
          </rPr>
          <t>User:</t>
        </r>
        <r>
          <rPr>
            <sz val="9"/>
            <color indexed="81"/>
            <rFont val="Tahoma"/>
            <family val="2"/>
          </rPr>
          <t xml:space="preserve">
Source: CMCSA Consensus workbook — ConnectivityandPlatforms_CP, "Total connectivity and platforms - Adjusted EBITDA". Verified: 2Q25=$8,449M (vs actual $8,450M), 1Q26=$7,910M (exact match).</t>
        </r>
      </text>
    </comment>
    <comment ref="B17" authorId="0" shapeId="0" xr:uid="{2523CDB3-E947-410F-BECB-C397109E37D9}">
      <text>
        <r>
          <rPr>
            <b/>
            <sz val="9"/>
            <color indexed="81"/>
            <rFont val="Tahoma"/>
            <family val="2"/>
          </rPr>
          <t>User:</t>
        </r>
        <r>
          <rPr>
            <sz val="9"/>
            <color indexed="81"/>
            <rFont val="Tahoma"/>
            <family val="2"/>
          </rPr>
          <t xml:space="preserve">
Source: Comcast 1Q26 Trending Schedules, p.3, "Residential Connectivity &amp; Platforms" Adjusted EBITDA, 2Q25 column</t>
        </r>
      </text>
    </comment>
    <comment ref="C17" authorId="0" shapeId="0" xr:uid="{9CA0DE31-DBAA-4E5A-A959-723D6E4D359A}">
      <text>
        <r>
          <rPr>
            <b/>
            <sz val="9"/>
            <color indexed="81"/>
            <rFont val="Tahoma"/>
            <family val="2"/>
          </rPr>
          <t>User:</t>
        </r>
        <r>
          <rPr>
            <sz val="9"/>
            <color indexed="81"/>
            <rFont val="Tahoma"/>
            <family val="2"/>
          </rPr>
          <t xml:space="preserve">
Source: Comcast 1Q26 Trending Schedules, p.3, "Residential Connectivity &amp; Platforms" Adjusted EBITDA, 1Q26 column</t>
        </r>
      </text>
    </comment>
    <comment ref="I17" authorId="0" shapeId="0" xr:uid="{C0497129-E3BE-4D8B-9646-D8D227B0AF73}">
      <text>
        <r>
          <rPr>
            <b/>
            <sz val="9"/>
            <color indexed="81"/>
            <rFont val="Tahoma"/>
            <family val="2"/>
          </rPr>
          <t>User:</t>
        </r>
        <r>
          <rPr>
            <sz val="9"/>
            <color indexed="81"/>
            <rFont val="Tahoma"/>
            <family val="2"/>
          </rPr>
          <t xml:space="preserve">
Source: CMCSA Consensus workbook — ConnectivityandPlatforms_CP, "Residential connectivity platforms - Adjusted EBITDA". Verified: 2Q25=$7,005M (vs actual $7,006M), 1Q26=$6,434M (exact match).</t>
        </r>
      </text>
    </comment>
    <comment ref="B18" authorId="0" shapeId="0" xr:uid="{7ACC447A-C918-4881-B009-836111CCE217}">
      <text>
        <r>
          <rPr>
            <b/>
            <sz val="9"/>
            <color indexed="81"/>
            <rFont val="Tahoma"/>
            <family val="2"/>
          </rPr>
          <t>User:</t>
        </r>
        <r>
          <rPr>
            <sz val="9"/>
            <color indexed="81"/>
            <rFont val="Tahoma"/>
            <family val="2"/>
          </rPr>
          <t xml:space="preserve">
Source: Comcast 1Q26 Trending Schedules, p.3, "Business Services Connectivity" Adjusted EBITDA, 2Q25 column</t>
        </r>
      </text>
    </comment>
    <comment ref="C18" authorId="0" shapeId="0" xr:uid="{2E17FA26-2799-46A6-823C-F6C5A2B98275}">
      <text>
        <r>
          <rPr>
            <b/>
            <sz val="9"/>
            <color indexed="81"/>
            <rFont val="Tahoma"/>
            <family val="2"/>
          </rPr>
          <t>User:</t>
        </r>
        <r>
          <rPr>
            <sz val="9"/>
            <color indexed="81"/>
            <rFont val="Tahoma"/>
            <family val="2"/>
          </rPr>
          <t xml:space="preserve">
Source: Comcast 1Q26 Trending Schedules, p.3, "Business Services Connectivity" Adjusted EBITDA, 1Q26 column</t>
        </r>
      </text>
    </comment>
    <comment ref="I18" authorId="0" shapeId="0" xr:uid="{6E43AF46-E404-4DD6-8331-663F39DDC71A}">
      <text>
        <r>
          <rPr>
            <b/>
            <sz val="9"/>
            <color indexed="81"/>
            <rFont val="Tahoma"/>
            <family val="2"/>
          </rPr>
          <t>User:</t>
        </r>
        <r>
          <rPr>
            <sz val="9"/>
            <color indexed="81"/>
            <rFont val="Tahoma"/>
            <family val="2"/>
          </rPr>
          <t xml:space="preserve">
Source: CMCSA Consensus workbook — ConnectivityandPlatforms_CP, "Business services connectivity - Adjusted EBITDA". Verified: 2Q25=$1,444M (exact), 1Q26=$1,477M (vs actual $1,476M).</t>
        </r>
      </text>
    </comment>
    <comment ref="B20" authorId="0" shapeId="0" xr:uid="{D4DB5CA0-D8B6-4496-AA6D-B8D7AFD46247}">
      <text>
        <r>
          <rPr>
            <b/>
            <sz val="9"/>
            <color indexed="81"/>
            <rFont val="Tahoma"/>
            <family val="2"/>
          </rPr>
          <t>User:</t>
        </r>
        <r>
          <rPr>
            <sz val="9"/>
            <color indexed="81"/>
            <rFont val="Tahoma"/>
            <family val="2"/>
          </rPr>
          <t xml:space="preserve">
Source: Comcast 1Q26 Trending Schedules, p.3, "Total Content &amp; Experiences" Adjusted EBITDA, 2Q25 column</t>
        </r>
      </text>
    </comment>
    <comment ref="C20" authorId="0" shapeId="0" xr:uid="{19A9A2E1-1DC7-4F85-B765-0222A32E0716}">
      <text>
        <r>
          <rPr>
            <b/>
            <sz val="9"/>
            <color indexed="81"/>
            <rFont val="Tahoma"/>
            <family val="2"/>
          </rPr>
          <t>User:</t>
        </r>
        <r>
          <rPr>
            <sz val="9"/>
            <color indexed="81"/>
            <rFont val="Tahoma"/>
            <family val="2"/>
          </rPr>
          <t xml:space="preserve">
Source: Comcast 1Q26 Trending Schedules, p.3, "Total Content &amp; Experiences" Adjusted EBITDA, 1Q26 column</t>
        </r>
      </text>
    </comment>
    <comment ref="I20" authorId="0" shapeId="0" xr:uid="{A17D51BC-7F90-4C52-88E7-1615E922AA3B}">
      <text>
        <r>
          <rPr>
            <b/>
            <sz val="9"/>
            <color indexed="81"/>
            <rFont val="Tahoma"/>
            <family val="2"/>
          </rPr>
          <t>User:</t>
        </r>
        <r>
          <rPr>
            <sz val="9"/>
            <color indexed="81"/>
            <rFont val="Tahoma"/>
            <family val="2"/>
          </rPr>
          <t xml:space="preserve">
Source: CMCSA Consensus workbook — Content&amp;Experiences_CE, "Total Content and experiences - Adjusted EBITDA". Verified: 2Q25=$1,238M (vs actual $1,241M), 1Q26=$332M (vs actual $331M).</t>
        </r>
      </text>
    </comment>
    <comment ref="B21" authorId="0" shapeId="0" xr:uid="{CDBABAA0-463F-4E71-A44D-3F7E824DE73C}">
      <text>
        <r>
          <rPr>
            <b/>
            <sz val="9"/>
            <color indexed="81"/>
            <rFont val="Tahoma"/>
            <family val="2"/>
          </rPr>
          <t>User:</t>
        </r>
        <r>
          <rPr>
            <sz val="9"/>
            <color indexed="81"/>
            <rFont val="Tahoma"/>
            <family val="2"/>
          </rPr>
          <t xml:space="preserve">
Source: Comcast 1Q26 Trending Schedules, p.3, "Media" Adjusted EBITDA, 2Q25 column</t>
        </r>
      </text>
    </comment>
    <comment ref="C21" authorId="0" shapeId="0" xr:uid="{C4329C74-438E-422E-8872-B74B583B41F1}">
      <text>
        <r>
          <rPr>
            <b/>
            <sz val="9"/>
            <color indexed="81"/>
            <rFont val="Tahoma"/>
            <family val="2"/>
          </rPr>
          <t>User:</t>
        </r>
        <r>
          <rPr>
            <sz val="9"/>
            <color indexed="81"/>
            <rFont val="Tahoma"/>
            <family val="2"/>
          </rPr>
          <t xml:space="preserve">
Source: Comcast 1Q26 Trending Schedules, p.3, "Media" Adjusted EBITDA, 1Q26 column</t>
        </r>
      </text>
    </comment>
    <comment ref="I21" authorId="0" shapeId="0" xr:uid="{F7EC2C61-3951-4617-8738-F29F8703B9B8}">
      <text>
        <r>
          <rPr>
            <b/>
            <sz val="9"/>
            <color indexed="81"/>
            <rFont val="Tahoma"/>
            <family val="2"/>
          </rPr>
          <t>User:</t>
        </r>
        <r>
          <rPr>
            <sz val="9"/>
            <color indexed="81"/>
            <rFont val="Tahoma"/>
            <family val="2"/>
          </rPr>
          <t xml:space="preserve">
Source: CMCSA Consensus workbook — Content&amp;Experiences_CE, "Media - C&amp;E - Adjusted EBITDA". Verified: 2Q25=$682M (vs actual $683M), 1Q26=($425M) (vs actual $(426M)).</t>
        </r>
      </text>
    </comment>
    <comment ref="B22" authorId="0" shapeId="0" xr:uid="{387A036B-4547-49C4-8B19-F87058FB8F1C}">
      <text>
        <r>
          <rPr>
            <b/>
            <sz val="9"/>
            <color indexed="81"/>
            <rFont val="Tahoma"/>
            <family val="2"/>
          </rPr>
          <t>User:</t>
        </r>
        <r>
          <rPr>
            <sz val="9"/>
            <color indexed="81"/>
            <rFont val="Tahoma"/>
            <family val="2"/>
          </rPr>
          <t xml:space="preserve">
Source: Comcast 1Q26 Trending Schedules, p.3, "Studios" Adjusted EBITDA, 2Q25 column</t>
        </r>
      </text>
    </comment>
    <comment ref="C22" authorId="0" shapeId="0" xr:uid="{0357B40E-FCAB-4C36-8E6F-4085EA25E3A7}">
      <text>
        <r>
          <rPr>
            <b/>
            <sz val="9"/>
            <color indexed="81"/>
            <rFont val="Tahoma"/>
            <family val="2"/>
          </rPr>
          <t>User:</t>
        </r>
        <r>
          <rPr>
            <sz val="9"/>
            <color indexed="81"/>
            <rFont val="Tahoma"/>
            <family val="2"/>
          </rPr>
          <t xml:space="preserve">
Source: Comcast 1Q26 Trending Schedules, p.3, "Studios" Adjusted EBITDA, 1Q26 column</t>
        </r>
      </text>
    </comment>
    <comment ref="I22" authorId="0" shapeId="0" xr:uid="{B1248495-1BCA-4041-965B-39BBFC8AAF9F}">
      <text>
        <r>
          <rPr>
            <b/>
            <sz val="9"/>
            <color indexed="81"/>
            <rFont val="Tahoma"/>
            <family val="2"/>
          </rPr>
          <t>User:</t>
        </r>
        <r>
          <rPr>
            <sz val="9"/>
            <color indexed="81"/>
            <rFont val="Tahoma"/>
            <family val="2"/>
          </rPr>
          <t xml:space="preserve">
Source: CMCSA Consensus workbook — Content&amp;Experiences_CE, "Studios - C&amp;E - Adjusted EBITDA". Verified: 2Q25=$60M (vs actual $61M), 1Q26=$555M (exact match).</t>
        </r>
      </text>
    </comment>
    <comment ref="B23" authorId="0" shapeId="0" xr:uid="{AD97EF61-5A3E-451E-94D3-81DBF09F7928}">
      <text>
        <r>
          <rPr>
            <b/>
            <sz val="9"/>
            <color indexed="81"/>
            <rFont val="Tahoma"/>
            <family val="2"/>
          </rPr>
          <t>User:</t>
        </r>
        <r>
          <rPr>
            <sz val="9"/>
            <color indexed="81"/>
            <rFont val="Tahoma"/>
            <family val="2"/>
          </rPr>
          <t xml:space="preserve">
Source: Comcast 1Q26 Trending Schedules, p.3, "Theme Parks" Adjusted EBITDA, 2Q25 column</t>
        </r>
      </text>
    </comment>
    <comment ref="C23" authorId="0" shapeId="0" xr:uid="{15694050-1860-4BC8-995C-35F80F396D58}">
      <text>
        <r>
          <rPr>
            <b/>
            <sz val="9"/>
            <color indexed="81"/>
            <rFont val="Tahoma"/>
            <family val="2"/>
          </rPr>
          <t>User:</t>
        </r>
        <r>
          <rPr>
            <sz val="9"/>
            <color indexed="81"/>
            <rFont val="Tahoma"/>
            <family val="2"/>
          </rPr>
          <t xml:space="preserve">
Source: Comcast 1Q26 Trending Schedules, p.3, "Theme Parks" Adjusted EBITDA, 1Q26 column</t>
        </r>
      </text>
    </comment>
    <comment ref="I23" authorId="0" shapeId="0" xr:uid="{51278D04-0380-473D-8392-6F5AF4090B3F}">
      <text>
        <r>
          <rPr>
            <b/>
            <sz val="9"/>
            <color indexed="81"/>
            <rFont val="Tahoma"/>
            <family val="2"/>
          </rPr>
          <t>User:</t>
        </r>
        <r>
          <rPr>
            <sz val="9"/>
            <color indexed="81"/>
            <rFont val="Tahoma"/>
            <family val="2"/>
          </rPr>
          <t xml:space="preserve">
Source: CMCSA Consensus workbook — Content&amp;Experiences_CE, "Theme parks - C&amp;E - Adjusted EBITDA". Verified: 2Q25=$641M (exact), 1Q26=$551M (exact match to actual).</t>
        </r>
      </text>
    </comment>
    <comment ref="B26" authorId="0" shapeId="0" xr:uid="{EC978E68-79C1-4E84-92C0-31C5B40DE86E}">
      <text>
        <r>
          <rPr>
            <b/>
            <sz val="9"/>
            <color indexed="81"/>
            <rFont val="Tahoma"/>
            <family val="2"/>
          </rPr>
          <t>User:</t>
        </r>
        <r>
          <rPr>
            <sz val="9"/>
            <color indexed="81"/>
            <rFont val="Tahoma"/>
            <family val="2"/>
          </rPr>
          <t xml:space="preserve">
Source: Comcast 1Q26 Trending Schedules, p.6, "Adjusted EPS", 2Q25 column</t>
        </r>
      </text>
    </comment>
    <comment ref="C26" authorId="0" shapeId="0" xr:uid="{98E88E59-1602-4DED-81E3-FC20105135E6}">
      <text>
        <r>
          <rPr>
            <b/>
            <sz val="9"/>
            <color indexed="81"/>
            <rFont val="Tahoma"/>
            <family val="2"/>
          </rPr>
          <t>User:</t>
        </r>
        <r>
          <rPr>
            <sz val="9"/>
            <color indexed="81"/>
            <rFont val="Tahoma"/>
            <family val="2"/>
          </rPr>
          <t xml:space="preserve">
Source: Comcast 1Q26 Trending Schedules, p.6, "Adjusted EPS", 1Q26 column</t>
        </r>
      </text>
    </comment>
    <comment ref="I26" authorId="0" shapeId="0" xr:uid="{30820604-2D98-4477-89EC-683C6E29EF54}">
      <text>
        <r>
          <rPr>
            <b/>
            <sz val="9"/>
            <color indexed="81"/>
            <rFont val="Tahoma"/>
            <family val="2"/>
          </rPr>
          <t>User:</t>
        </r>
        <r>
          <rPr>
            <sz val="9"/>
            <color indexed="81"/>
            <rFont val="Tahoma"/>
            <family val="2"/>
          </rPr>
          <t xml:space="preserve">
Source: CMCSA Consensus workbook — Incomestatement_IS, "EPS - diluted - operating". CAUTION: the 2Q25/3Q25 cached columns in this snapshot show stale pre-actual consensus (1.03/0.97) that don't match reported actuals (1.25/1.12) — but 4Q25 ($0.84), FY25 ($4.31) and 1Q26 ($0.79) all tie out exactly to the actual figures, confirming this is the correct definition. The stale columns should self-correct once the live add-in recalculates.</t>
        </r>
      </text>
    </comment>
    <comment ref="B27" authorId="0" shapeId="0" xr:uid="{90AA4B4E-B4C8-43C6-B56B-F07855AF7178}">
      <text>
        <r>
          <rPr>
            <b/>
            <sz val="9"/>
            <color indexed="81"/>
            <rFont val="Tahoma"/>
            <family val="2"/>
          </rPr>
          <t>User:</t>
        </r>
        <r>
          <rPr>
            <sz val="9"/>
            <color indexed="81"/>
            <rFont val="Tahoma"/>
            <family val="2"/>
          </rPr>
          <t xml:space="preserve">
Source: Comcast 1Q26 Trending Schedules, p.6, "Free Cash Flow", 2Q25 column</t>
        </r>
      </text>
    </comment>
    <comment ref="C27" authorId="0" shapeId="0" xr:uid="{9A916935-84DA-4DF5-9674-AC56CD056733}">
      <text>
        <r>
          <rPr>
            <b/>
            <sz val="9"/>
            <color indexed="81"/>
            <rFont val="Tahoma"/>
            <family val="2"/>
          </rPr>
          <t>User:</t>
        </r>
        <r>
          <rPr>
            <sz val="9"/>
            <color indexed="81"/>
            <rFont val="Tahoma"/>
            <family val="2"/>
          </rPr>
          <t xml:space="preserve">
Source: Comcast 1Q26 Trending Schedules, p.6, "Free Cash Flow", 1Q26 column</t>
        </r>
      </text>
    </comment>
    <comment ref="I27" authorId="0" shapeId="0" xr:uid="{B9DE9C4B-4B62-4AC6-9903-D9AD08A8F165}">
      <text>
        <r>
          <rPr>
            <b/>
            <sz val="9"/>
            <color indexed="81"/>
            <rFont val="Tahoma"/>
            <family val="2"/>
          </rPr>
          <t>User:</t>
        </r>
        <r>
          <rPr>
            <sz val="9"/>
            <color indexed="81"/>
            <rFont val="Tahoma"/>
            <family val="2"/>
          </rPr>
          <t xml:space="preserve">
Source: CMCSA Consensus workbook — FreeCashFlow_FCF, "Free cash flow incl. economic stimulus". Verified: 2Q25=$4,500M (vs actual $4,501M), 1Q26=$3,901M (exact match to actual).</t>
        </r>
      </text>
    </comment>
    <comment ref="B30" authorId="0" shapeId="0" xr:uid="{C5EF998F-1515-40F0-BA78-80D4B6AB9E70}">
      <text>
        <r>
          <rPr>
            <b/>
            <sz val="9"/>
            <color indexed="81"/>
            <rFont val="Tahoma"/>
            <family val="2"/>
          </rPr>
          <t>User:</t>
        </r>
        <r>
          <rPr>
            <sz val="9"/>
            <color indexed="81"/>
            <rFont val="Tahoma"/>
            <family val="2"/>
          </rPr>
          <t xml:space="preserve">
Source: Comcast 1Q26 Trending Schedules, p.5, "Domestic Broadband Residential Net Additions (Losses)", 2Q25 column</t>
        </r>
      </text>
    </comment>
    <comment ref="C30" authorId="0" shapeId="0" xr:uid="{A0FF92E4-2769-44C7-9DC0-2E0B68C21E34}">
      <text>
        <r>
          <rPr>
            <b/>
            <sz val="9"/>
            <color indexed="81"/>
            <rFont val="Tahoma"/>
            <family val="2"/>
          </rPr>
          <t>User:</t>
        </r>
        <r>
          <rPr>
            <sz val="9"/>
            <color indexed="81"/>
            <rFont val="Tahoma"/>
            <family val="2"/>
          </rPr>
          <t xml:space="preserve">
Source: Comcast 1Q26 Trending Schedules, p.5, "Domestic Broadband Residential Net Additions (Losses)", 1Q26 column</t>
        </r>
      </text>
    </comment>
    <comment ref="I30" authorId="0" shapeId="0" xr:uid="{4C865E34-AF47-46EA-8382-554B0935B890}">
      <text>
        <r>
          <rPr>
            <b/>
            <sz val="9"/>
            <color indexed="81"/>
            <rFont val="Tahoma"/>
            <family val="2"/>
          </rPr>
          <t>User:</t>
        </r>
        <r>
          <rPr>
            <sz val="9"/>
            <color indexed="81"/>
            <rFont val="Tahoma"/>
            <family val="2"/>
          </rPr>
          <t xml:space="preserve">
Source: CMCSA Consensus workbook — ConnectivityandPlatformsCu, "Domestic broadband residential net additions (losses)". Verified: 2Q25=(201) (exact), 1Q26=(65) (exact match to actual).</t>
        </r>
      </text>
    </comment>
    <comment ref="B31" authorId="0" shapeId="0" xr:uid="{EC96E9FE-D32B-49DB-91C4-89B61613C4AA}">
      <text>
        <r>
          <rPr>
            <b/>
            <sz val="9"/>
            <color indexed="81"/>
            <rFont val="Tahoma"/>
            <family val="2"/>
          </rPr>
          <t>User:</t>
        </r>
        <r>
          <rPr>
            <sz val="9"/>
            <color indexed="81"/>
            <rFont val="Tahoma"/>
            <family val="2"/>
          </rPr>
          <t xml:space="preserve">
Implied ARPU = Broadband revenue (B9, $M) / 3 months / average subscribers (J33:K33, 000s)</t>
        </r>
      </text>
    </comment>
    <comment ref="C31" authorId="0" shapeId="0" xr:uid="{09C9D3EB-41C6-4BC6-B11D-E241316971A9}">
      <text>
        <r>
          <rPr>
            <b/>
            <sz val="9"/>
            <color indexed="81"/>
            <rFont val="Tahoma"/>
            <family val="2"/>
          </rPr>
          <t>User:</t>
        </r>
        <r>
          <rPr>
            <sz val="9"/>
            <color indexed="81"/>
            <rFont val="Tahoma"/>
            <family val="2"/>
          </rPr>
          <t xml:space="preserve">
Implied ARPU = Broadband revenue (C7, $M) / 3 months / average subscribers (M31:N31, 000s)</t>
        </r>
      </text>
    </comment>
    <comment ref="I31" authorId="0" shapeId="0" xr:uid="{5C9D1498-921A-468F-8850-B9AD21FC0962}">
      <text>
        <r>
          <rPr>
            <b/>
            <sz val="9"/>
            <color indexed="81"/>
            <rFont val="Tahoma"/>
            <family val="2"/>
          </rPr>
          <t>User:</t>
        </r>
        <r>
          <rPr>
            <sz val="9"/>
            <color indexed="81"/>
            <rFont val="Tahoma"/>
            <family val="2"/>
          </rPr>
          <t xml:space="preserve">
Source: CMCSA Consensus workbook — ConnectivityandPlatforms_CP, "Average monthly domestic broadband residential revenue per subscriber". Verified: 2Q25=$76.19 (exact match to our computed B31), 1Q26=$73.65 (exact match to C31) — confirms our implied-ARPU formula methodology matches S&amp;P Global's own calc exactly.</t>
        </r>
      </text>
    </comment>
    <comment ref="K31" authorId="0" shapeId="0" xr:uid="{903FCB65-14E3-46D9-832C-38BC74EEDAC9}">
      <text>
        <r>
          <rPr>
            <b/>
            <sz val="9"/>
            <color indexed="81"/>
            <rFont val="Tahoma"/>
            <family val="2"/>
          </rPr>
          <t>User:</t>
        </r>
        <r>
          <rPr>
            <sz val="9"/>
            <color indexed="81"/>
            <rFont val="Tahoma"/>
            <family val="2"/>
          </rPr>
          <t xml:space="preserve">
Beginning (1Q25-end) Domestic Broadband Residential Customers, 000s. Source: Comcast 1Q26 Trending Schedules, p.5</t>
        </r>
      </text>
    </comment>
    <comment ref="L31" authorId="0" shapeId="0" xr:uid="{0825DECF-71E3-45A0-B861-265F513C88DE}">
      <text>
        <r>
          <rPr>
            <b/>
            <sz val="9"/>
            <color indexed="81"/>
            <rFont val="Tahoma"/>
            <family val="2"/>
          </rPr>
          <t>User:</t>
        </r>
        <r>
          <rPr>
            <sz val="9"/>
            <color indexed="81"/>
            <rFont val="Tahoma"/>
            <family val="2"/>
          </rPr>
          <t xml:space="preserve">
Ending (2Q25) Domestic Broadband Residential Customers, 000s. Source: Comcast 1Q26 Trending Schedules, p.5</t>
        </r>
      </text>
    </comment>
    <comment ref="M31" authorId="0" shapeId="0" xr:uid="{BB4511BF-D327-4289-B84D-9B4B74A38147}">
      <text>
        <r>
          <rPr>
            <b/>
            <sz val="9"/>
            <color indexed="81"/>
            <rFont val="Tahoma"/>
            <family val="2"/>
          </rPr>
          <t>User:</t>
        </r>
        <r>
          <rPr>
            <sz val="9"/>
            <color indexed="81"/>
            <rFont val="Tahoma"/>
            <family val="2"/>
          </rPr>
          <t xml:space="preserve">
Beginning (4Q25-end) Domestic Broadband Residential Customers, 000s. Source: Comcast 1Q26 Trending Schedules, p.5</t>
        </r>
      </text>
    </comment>
    <comment ref="N31" authorId="0" shapeId="0" xr:uid="{E0FCE9C9-3DD0-4E35-B7A3-74C1F1BBA9A3}">
      <text>
        <r>
          <rPr>
            <b/>
            <sz val="9"/>
            <color indexed="81"/>
            <rFont val="Tahoma"/>
            <family val="2"/>
          </rPr>
          <t>User:</t>
        </r>
        <r>
          <rPr>
            <sz val="9"/>
            <color indexed="81"/>
            <rFont val="Tahoma"/>
            <family val="2"/>
          </rPr>
          <t xml:space="preserve">
Ending (1Q26) Domestic Broadband Residential Customers, 000s. Source: Comcast 1Q26 Trending Schedules, p.5</t>
        </r>
      </text>
    </comment>
    <comment ref="B32" authorId="0" shapeId="0" xr:uid="{26DF4105-FFFE-451E-9AC6-821544370B42}">
      <text>
        <r>
          <rPr>
            <b/>
            <sz val="9"/>
            <color indexed="81"/>
            <rFont val="Tahoma"/>
            <family val="2"/>
          </rPr>
          <t>User:</t>
        </r>
        <r>
          <rPr>
            <sz val="9"/>
            <color indexed="81"/>
            <rFont val="Tahoma"/>
            <family val="2"/>
          </rPr>
          <t xml:space="preserve">
Source: Comcast 1Q26 Trending Schedules, p.5, "Domestic Video Net Additions (Losses)", 2Q25 column</t>
        </r>
      </text>
    </comment>
    <comment ref="C32" authorId="0" shapeId="0" xr:uid="{54F7C110-7848-4656-BA66-4AC9DC64BA18}">
      <text>
        <r>
          <rPr>
            <b/>
            <sz val="9"/>
            <color indexed="81"/>
            <rFont val="Tahoma"/>
            <family val="2"/>
          </rPr>
          <t>User:</t>
        </r>
        <r>
          <rPr>
            <sz val="9"/>
            <color indexed="81"/>
            <rFont val="Tahoma"/>
            <family val="2"/>
          </rPr>
          <t xml:space="preserve">
Source: Comcast 1Q26 Trending Schedules, p.5, "Domestic Video Net Additions (Losses)", 1Q26 column</t>
        </r>
      </text>
    </comment>
    <comment ref="I32" authorId="0" shapeId="0" xr:uid="{381A2C61-0BD2-4812-9CE7-5F94108AB347}">
      <text>
        <r>
          <rPr>
            <b/>
            <sz val="9"/>
            <color indexed="81"/>
            <rFont val="Tahoma"/>
            <family val="2"/>
          </rPr>
          <t>User:</t>
        </r>
        <r>
          <rPr>
            <sz val="9"/>
            <color indexed="81"/>
            <rFont val="Tahoma"/>
            <family val="2"/>
          </rPr>
          <t xml:space="preserve">
Source: CMCSA Consensus workbook — ConnectivityandPlatformsCu, "Total domestic video net additions (losses)". Verified: 2Q25=(325) (exact), 1Q26=(322) (exact match to actual).</t>
        </r>
      </text>
    </comment>
    <comment ref="B33" authorId="0" shapeId="0" xr:uid="{5B0197B1-2957-4841-96DE-9E859BFF3B64}">
      <text>
        <r>
          <rPr>
            <b/>
            <sz val="9"/>
            <color indexed="81"/>
            <rFont val="Tahoma"/>
            <family val="2"/>
          </rPr>
          <t>User:</t>
        </r>
        <r>
          <rPr>
            <sz val="9"/>
            <color indexed="81"/>
            <rFont val="Tahoma"/>
            <family val="2"/>
          </rPr>
          <t xml:space="preserve">
Source: Comcast 1Q26 Trending Schedules, p.5, "Domestic Wireless Line Net Additions (Losses)", 2Q25 column</t>
        </r>
      </text>
    </comment>
    <comment ref="C33" authorId="0" shapeId="0" xr:uid="{09442A29-960C-4B5F-836B-370BF901D47E}">
      <text>
        <r>
          <rPr>
            <b/>
            <sz val="9"/>
            <color indexed="81"/>
            <rFont val="Tahoma"/>
            <family val="2"/>
          </rPr>
          <t>User:</t>
        </r>
        <r>
          <rPr>
            <sz val="9"/>
            <color indexed="81"/>
            <rFont val="Tahoma"/>
            <family val="2"/>
          </rPr>
          <t xml:space="preserve">
Source: Comcast 1Q26 Trending Schedules, p.5, "Domestic Wireless Line Net Additions (Losses)", 1Q26 column</t>
        </r>
      </text>
    </comment>
    <comment ref="I33" authorId="0" shapeId="0" xr:uid="{B3AB415A-86C3-4712-83FD-3BA7CB86F82E}">
      <text>
        <r>
          <rPr>
            <b/>
            <sz val="9"/>
            <color indexed="81"/>
            <rFont val="Tahoma"/>
            <family val="2"/>
          </rPr>
          <t>User:</t>
        </r>
        <r>
          <rPr>
            <sz val="9"/>
            <color indexed="81"/>
            <rFont val="Tahoma"/>
            <family val="2"/>
          </rPr>
          <t xml:space="preserve">
Source: CMCSA Consensus workbook — ConnectivityandPlatformsCu, "Total domestic wireless line net additions (losses)". Verified: 2Q25=379 (vs actual 378), 1Q26=434 (vs actual 435) — $1k rounding, confirmed correct definition.</t>
        </r>
      </text>
    </comment>
    <comment ref="B34" authorId="0" shapeId="0" xr:uid="{A0B5E347-5F00-408B-BF98-903D1F7575D8}">
      <text>
        <r>
          <rPr>
            <b/>
            <sz val="9"/>
            <color indexed="81"/>
            <rFont val="Tahoma"/>
            <family val="2"/>
          </rPr>
          <t>User:</t>
        </r>
        <r>
          <rPr>
            <sz val="9"/>
            <color indexed="81"/>
            <rFont val="Tahoma"/>
            <family val="2"/>
          </rPr>
          <t xml:space="preserve">
Source: Comcast 1Q26 Trending Schedules, p.1, "Peacock Paid Subscribers", 2Q25 column</t>
        </r>
      </text>
    </comment>
    <comment ref="C34" authorId="0" shapeId="0" xr:uid="{29423BBB-C3B5-44D8-BE12-49B489024A71}">
      <text>
        <r>
          <rPr>
            <b/>
            <sz val="9"/>
            <color indexed="81"/>
            <rFont val="Tahoma"/>
            <family val="2"/>
          </rPr>
          <t>User:</t>
        </r>
        <r>
          <rPr>
            <sz val="9"/>
            <color indexed="81"/>
            <rFont val="Tahoma"/>
            <family val="2"/>
          </rPr>
          <t xml:space="preserve">
Source: Comcast 1Q26 Trending Schedules, p.1, "Peacock Paid Subscribers", 1Q26 column</t>
        </r>
      </text>
    </comment>
    <comment ref="I34" authorId="0" shapeId="0" xr:uid="{FA09D327-E503-465F-811C-1B4EEA3C56FA}">
      <text>
        <r>
          <rPr>
            <b/>
            <sz val="9"/>
            <color indexed="81"/>
            <rFont val="Tahoma"/>
            <family val="2"/>
          </rPr>
          <t>User:</t>
        </r>
        <r>
          <rPr>
            <sz val="9"/>
            <color indexed="81"/>
            <rFont val="Tahoma"/>
            <family val="2"/>
          </rPr>
          <t xml:space="preserve">
Source: CMCSA Consensus workbook — Peacock_Peacock, "Ending paid subs - Peacock" (reported in 000s; D34 divides by 1000 to match this sheet's millions convention). Verified: 2Q25=41,000K=41.0M (exact), 1Q26=46,000K=46.0M (exact match to actual).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<sst xmlns="http://schemas.openxmlformats.org/spreadsheetml/2006/main" count="303" uniqueCount="219">
  <si>
    <t>$M (except for as noted)</t>
  </si>
  <si>
    <t>Q2'25</t>
  </si>
  <si>
    <t>Q1'26</t>
  </si>
  <si>
    <t>Actual 2Q'26</t>
  </si>
  <si>
    <t>YoY Growth</t>
  </si>
  <si>
    <t>Total Revenue</t>
  </si>
  <si>
    <t>Service Revenue</t>
  </si>
  <si>
    <t xml:space="preserve">   Postpaid revenue</t>
  </si>
  <si>
    <t xml:space="preserve">   Prepaid revenue</t>
  </si>
  <si>
    <t xml:space="preserve">   Wholesale and other service revenues</t>
  </si>
  <si>
    <t>Equipment Revenues</t>
  </si>
  <si>
    <t>Cost of services</t>
  </si>
  <si>
    <t>Cost of equipment sales</t>
  </si>
  <si>
    <t>Adj. EBITDA</t>
  </si>
  <si>
    <t>Adj. EBITDA Margin</t>
  </si>
  <si>
    <t>Core Adj. EBITDA</t>
  </si>
  <si>
    <t>Core Adj. EBITDA Margin</t>
  </si>
  <si>
    <t>CapEx</t>
  </si>
  <si>
    <t>Adj. Free Cash Flow</t>
  </si>
  <si>
    <t>Diluted EPS</t>
  </si>
  <si>
    <t>Operational metrics</t>
  </si>
  <si>
    <t>Postpaid Account Net Adds (in 000')</t>
  </si>
  <si>
    <t>Postpaid ARPA (in $)</t>
  </si>
  <si>
    <t>Postpaid Account Churn</t>
  </si>
  <si>
    <t>Consensus</t>
  </si>
  <si>
    <t>Beat/Miss</t>
  </si>
  <si>
    <t>CapIQ Consensus Parameters</t>
  </si>
  <si>
    <t>Ticker</t>
  </si>
  <si>
    <t>NASDAQGS:TMUS</t>
  </si>
  <si>
    <t>Fiscal Period</t>
  </si>
  <si>
    <t>FQ22026</t>
  </si>
  <si>
    <t>As Of Date</t>
  </si>
  <si>
    <t>Source</t>
  </si>
  <si>
    <t>CapIQ Item Code</t>
  </si>
  <si>
    <t>N_12115546</t>
  </si>
  <si>
    <t>N_12115543</t>
  </si>
  <si>
    <t>N_12115539</t>
  </si>
  <si>
    <t>N_12115540</t>
  </si>
  <si>
    <t>N_12115775</t>
  </si>
  <si>
    <t>N_12115544</t>
  </si>
  <si>
    <t>N_12115548</t>
  </si>
  <si>
    <t>N_12115573</t>
  </si>
  <si>
    <t>N_12115770</t>
  </si>
  <si>
    <t>N_13276383</t>
  </si>
  <si>
    <t>N_14442731</t>
  </si>
  <si>
    <t>N_13976056</t>
  </si>
  <si>
    <t>N_15651255</t>
  </si>
  <si>
    <t>N_12115547</t>
  </si>
  <si>
    <t>N_13710646</t>
  </si>
  <si>
    <t>N_12115566</t>
  </si>
  <si>
    <t>T-Mobile US — Q2 2026 Earnings First Look</t>
  </si>
  <si>
    <t>AT&amp;T Inc. (T) — Q2 2026 Earnings First Look</t>
  </si>
  <si>
    <t xml:space="preserve">   Advanced Connectivity</t>
  </si>
  <si>
    <t xml:space="preserve">      Consumer</t>
  </si>
  <si>
    <t xml:space="preserve">      Business</t>
  </si>
  <si>
    <t xml:space="preserve">   Legacy</t>
  </si>
  <si>
    <t xml:space="preserve">   Latin America Segment - Mexico</t>
  </si>
  <si>
    <t xml:space="preserve">   Corporate</t>
  </si>
  <si>
    <t>Total EBITDA</t>
  </si>
  <si>
    <t>Total EBITDA Margin</t>
  </si>
  <si>
    <t xml:space="preserve">   Advanced Connectivity Margin</t>
  </si>
  <si>
    <t xml:space="preserve">      Consumer Margin</t>
  </si>
  <si>
    <t xml:space="preserve">      Business Margin</t>
  </si>
  <si>
    <t xml:space="preserve">   Legacy Margin</t>
  </si>
  <si>
    <t xml:space="preserve">   Latin America Segment - Mexico Margin</t>
  </si>
  <si>
    <t xml:space="preserve">   Corporate Margin</t>
  </si>
  <si>
    <t>Cash From Operating Activities</t>
  </si>
  <si>
    <t>Capital Investment &amp; Distributions</t>
  </si>
  <si>
    <t>Free Cashflow</t>
  </si>
  <si>
    <t>Adjusted EPS</t>
  </si>
  <si>
    <t>Postpaid Phone Net Adds (in 000')</t>
  </si>
  <si>
    <t>Prepaid Phone Net Adds (in 000')</t>
  </si>
  <si>
    <t>Postpaid Phone-Only Churn (in %)</t>
  </si>
  <si>
    <t>Postpaid Phone ARPU (in $)</t>
  </si>
  <si>
    <t>Cons. Fiber Net Adds (in 000')</t>
  </si>
  <si>
    <t>Fiber ARPU (in $)</t>
  </si>
  <si>
    <t>Consumer Locations Passed w/ Fiber (in millions)</t>
  </si>
  <si>
    <t>FWA Net Adds (in 000')</t>
  </si>
  <si>
    <t>NYSE:T</t>
  </si>
  <si>
    <t>N_12380078</t>
  </si>
  <si>
    <t>N_15570410</t>
  </si>
  <si>
    <t>N_15576768</t>
  </si>
  <si>
    <t>N_15576773</t>
  </si>
  <si>
    <t>N_15570411</t>
  </si>
  <si>
    <t>N_12380224</t>
  </si>
  <si>
    <t>N_14112010</t>
  </si>
  <si>
    <t>N_12380100</t>
  </si>
  <si>
    <t>N_15570414</t>
  </si>
  <si>
    <t>N_15570415</t>
  </si>
  <si>
    <t>N_12380274</t>
  </si>
  <si>
    <t>N_12380276</t>
  </si>
  <si>
    <t>N_14464507</t>
  </si>
  <si>
    <t>N_14440789</t>
  </si>
  <si>
    <t>N_15229047</t>
  </si>
  <si>
    <t>N_12380456</t>
  </si>
  <si>
    <t>N_12380305</t>
  </si>
  <si>
    <t>N_12380447</t>
  </si>
  <si>
    <t>N_12380454</t>
  </si>
  <si>
    <t>N_15574537</t>
  </si>
  <si>
    <t>N_14399345</t>
  </si>
  <si>
    <t>N_14373624</t>
  </si>
  <si>
    <t>N_14844730</t>
  </si>
  <si>
    <t>Charter Communications, Inc. (CHTR) — Q2 2026 Earnings First Look</t>
  </si>
  <si>
    <t>Key Operation Metrics ('000)</t>
  </si>
  <si>
    <t>Residential BB Net Adds</t>
  </si>
  <si>
    <t>Mobile Net Adds</t>
  </si>
  <si>
    <t>Resi. Video Net Adds</t>
  </si>
  <si>
    <t>Key I/S items</t>
  </si>
  <si>
    <t>Total Revenue ($M)</t>
  </si>
  <si>
    <t xml:space="preserve">   Resi. Internet</t>
  </si>
  <si>
    <t xml:space="preserve">   Resi. Video</t>
  </si>
  <si>
    <t xml:space="preserve">   Resi. Voice</t>
  </si>
  <si>
    <t xml:space="preserve">   Resi. Mobile</t>
  </si>
  <si>
    <t xml:space="preserve">   Small &amp; medium business</t>
  </si>
  <si>
    <t xml:space="preserve">   Enterprise</t>
  </si>
  <si>
    <t xml:space="preserve">   Advertising sales</t>
  </si>
  <si>
    <t xml:space="preserve">   Other</t>
  </si>
  <si>
    <t xml:space="preserve">   % of revenue</t>
  </si>
  <si>
    <t>Diluted EPS ($/share)</t>
  </si>
  <si>
    <t>Key B/S and CFS items ($M)</t>
  </si>
  <si>
    <t>CFO</t>
  </si>
  <si>
    <t>Capex</t>
  </si>
  <si>
    <t>FCF</t>
  </si>
  <si>
    <t>NASDAQGS:CHTR</t>
  </si>
  <si>
    <t>N_9783725</t>
  </si>
  <si>
    <t>N_14603111</t>
  </si>
  <si>
    <t>N_9783758</t>
  </si>
  <si>
    <t>N_9783669</t>
  </si>
  <si>
    <t>N_9783685</t>
  </si>
  <si>
    <t>N_9783684</t>
  </si>
  <si>
    <t>N_9783686</t>
  </si>
  <si>
    <t>N_14603109</t>
  </si>
  <si>
    <t>N_9783827</t>
  </si>
  <si>
    <t>N_9783828</t>
  </si>
  <si>
    <t>N_9783688</t>
  </si>
  <si>
    <t>N_9783689</t>
  </si>
  <si>
    <t>N_9783699</t>
  </si>
  <si>
    <t>N_9783682</t>
  </si>
  <si>
    <t>N_9783647</t>
  </si>
  <si>
    <t>N_9783648</t>
  </si>
  <si>
    <t>N_9802903</t>
  </si>
  <si>
    <t>Verizon Communications Inc. (VZ) — Q2 2026 Earnings First Look</t>
  </si>
  <si>
    <t>$B (except for as noted)</t>
  </si>
  <si>
    <t xml:space="preserve">   Consumer Segment</t>
  </si>
  <si>
    <t xml:space="preserve">   Business Segment</t>
  </si>
  <si>
    <t>Wireless Equipment</t>
  </si>
  <si>
    <t>Cons. Mobility and broadband service</t>
  </si>
  <si>
    <t>Bus. Mobility and broadband service</t>
  </si>
  <si>
    <t xml:space="preserve">   Consumer EBITDA Margin</t>
  </si>
  <si>
    <t xml:space="preserve">   Business EBITDA Margin</t>
  </si>
  <si>
    <t>Total Postpaid Net Adds (in 000')</t>
  </si>
  <si>
    <t>Total Postpaid Phone Net Adds (in 000')</t>
  </si>
  <si>
    <t>Total FWA Net Adds (in 000')</t>
  </si>
  <si>
    <t>Fios Internet Net Adds (in 000')</t>
  </si>
  <si>
    <t>NYSE:VZ</t>
  </si>
  <si>
    <t>N_12680698</t>
  </si>
  <si>
    <t>N_13402431</t>
  </si>
  <si>
    <t>N_13402449</t>
  </si>
  <si>
    <t>N_15633190</t>
  </si>
  <si>
    <t>N_15622564</t>
  </si>
  <si>
    <t>N_15622567</t>
  </si>
  <si>
    <t>N_12680739</t>
  </si>
  <si>
    <t>N_13402434</t>
  </si>
  <si>
    <t>N_13402453</t>
  </si>
  <si>
    <t>N_12680747</t>
  </si>
  <si>
    <t>N_12680786</t>
  </si>
  <si>
    <t>N_13025709</t>
  </si>
  <si>
    <t>N_13452421 + N_13686575</t>
  </si>
  <si>
    <t>N_13428173 + N_13428184</t>
  </si>
  <si>
    <t>Total Adj. EBITDA</t>
  </si>
  <si>
    <t>Actual</t>
  </si>
  <si>
    <t>Delta (vs Con.)</t>
  </si>
  <si>
    <t xml:space="preserve">   C&amp;P</t>
  </si>
  <si>
    <t xml:space="preserve">      Residential</t>
  </si>
  <si>
    <t xml:space="preserve">         Convergence Revenue</t>
  </si>
  <si>
    <t xml:space="preserve">         Broadband Revenue</t>
  </si>
  <si>
    <t xml:space="preserve">         Mobile Revenue</t>
  </si>
  <si>
    <t xml:space="preserve">      Business Services</t>
  </si>
  <si>
    <t xml:space="preserve">   C&amp;E</t>
  </si>
  <si>
    <t xml:space="preserve">      Media</t>
  </si>
  <si>
    <t xml:space="preserve">      Studios</t>
  </si>
  <si>
    <t xml:space="preserve">      Park</t>
  </si>
  <si>
    <t xml:space="preserve">      EBITDA Margin</t>
  </si>
  <si>
    <t>Resi BB Net adds (in 000')</t>
  </si>
  <si>
    <t>Resi BB ARPU (implied)</t>
  </si>
  <si>
    <t>Video net adds (in 000')</t>
  </si>
  <si>
    <t>Wireless net adds (in 000')</t>
  </si>
  <si>
    <t>Peacock (EOP sub)</t>
  </si>
  <si>
    <t>NASDAQ:CMCSA</t>
  </si>
  <si>
    <t>Avg Domestic Broadband Resi. subs (000', memo)</t>
  </si>
  <si>
    <t>Comcast Corporation (CMCSA) — Q2 2026 Earnings First Look</t>
  </si>
  <si>
    <t>Q2'26 (CON)</t>
  </si>
  <si>
    <t>N_11413315</t>
  </si>
  <si>
    <t>N_14590386</t>
  </si>
  <si>
    <t>N_14590384</t>
  </si>
  <si>
    <t>N_14590377</t>
  </si>
  <si>
    <t>N_14719347</t>
  </si>
  <si>
    <t>N_14590385</t>
  </si>
  <si>
    <t>N_14590399</t>
  </si>
  <si>
    <t>N_14590391</t>
  </si>
  <si>
    <t>N_14590395</t>
  </si>
  <si>
    <t>N_14590396</t>
  </si>
  <si>
    <t>N_14590377 + N_14719347</t>
  </si>
  <si>
    <t>N_11413367</t>
  </si>
  <si>
    <t>N_14590431</t>
  </si>
  <si>
    <t>N_14590427</t>
  </si>
  <si>
    <t>N_14590428</t>
  </si>
  <si>
    <t>N_14590437</t>
  </si>
  <si>
    <t>N_14590432</t>
  </si>
  <si>
    <t>N_14590433</t>
  </si>
  <si>
    <t>N_14590434</t>
  </si>
  <si>
    <t>N_11413581</t>
  </si>
  <si>
    <t>N_11413515</t>
  </si>
  <si>
    <t>N_14590461</t>
  </si>
  <si>
    <t>N_14631423</t>
  </si>
  <si>
    <t>N_14590465</t>
  </si>
  <si>
    <t>N_14590464</t>
  </si>
  <si>
    <t>N_13595611</t>
  </si>
  <si>
    <t>允䅁䝁䅧䅁捁䅁䅁杔䉂䙁䅍䅒䉂䙁䅅睒呂䑁䅯䅖乂䙁䅕睕䅁䅁䅁䅁啁䅁䅁杔時䑁䅫睎㑁䑁䅍李㑁䑁䅑䅁瑁䅁䅁杆䅁䕁䄴睘硁䑁䅉免硁䑁䅕兎ぁ䑁䅁䅁䉁䅁䅁杆䅁䕁䄴睘硁䑁䅉免硁䑁䅕兎㍁䑁䅍䅁䩁䅁䅁杆䅁䕁䄴睘硁䑁䅉免硁䑁䅕兎ぁ䑁䅧䅁䡁䅁䅁䅅䅁䕁䅙兕祁䑁䅉䅍祁䑁䅙䅁䍁䅁䅁杓䅁䕁䄸䅣あ䝁䅫睢畂䡁䅍杏呂䝁䄸兤祂䝁䅍党㥁䕁䅍睢畂䡁䅍党畂䡁䅍兤穂䍁䅷䅒桂䡁䅑兙啂䡁䅫䅣求䑁䄰睑䕂䅁䅁睁䅁䉁䅙䅁佂䙁䄸免祁䑁䅅免ㅁ䑁䅕䅎穁䅁䅁䅂䅁䉁䅙䅁佂䙁䄸免ぁ䑁䅍兏㕁䑁䅍䅎ㅁ䅁䅁克䅁䉁䅙䅁佂䙁䄸免祁䑁䅍䅏睁䑁䅉杍ぁ䅁䅁光䅁䉁䅙䅁佂䙁䄸免ぁ䑁䅑䅎睁䑁䅣䅏㕁䅁䅁睉䅁䉁䅙䅁佂䙁䄸免祁䑁䅅免ㅁ䑁䅕䅎ぁ䅁䅁兂䅁䉁䅑䅁佂䙁䄸兏㍁䑁䅧睍㉁䑁䅧杍䅁䑁䅯䅁坁䅁䅁杔時䑁䅅杍硁䑁䅅兎ㅁ䑁䅑李䅁䅁䅙䅁坁䅁䅁杔時䑁䅅免ぁ䑁䅅睍穁䑁䅅兎䅁䕁䄸䅁坁䅁䅁杔時䑁䅅杍硁䑁䅅兎ㅁ䑁䅍兏䅁䅁䅧䅁坁䅁䅁杔時䑁䅅䅎ぁ䑁䅙䅎ㅁ䑁䅁睎䅁䍁䅉䅁啁䅁䅁杔時䑁䅫䅏睁䑁䅉兏睁䑁䅍䅁㡁䅁䅁杆䅁䕁䄴睘硁䑁䅍䅎祁䑁䅧免㑁䑁䅑䅁乂䅁䅁杆䅁䕁䄴睘硁䑁䅑李睁䑁䅍免硁䑁䅅䅁硁䅁䅁杆䅁䕁䄴睘硁䑁䅍䅎祁䑁䅧免㍁䑁䅍䅁䵂䅁䅁杆䅁䕁䄴睘硁䑁䅉睍㑁䑁䅁免睁䑁䅁䅁摁䅁䅁䅇䅁䕁䅑兡獂䡁䅕䅤求䝁䅑䅉䙂䙁䅁睕䅁䉁䅍䅁坁䅁䅁杔時䑁䅅杍硁䑁䅅兎㍁䑁䅣䅍䅁䅁䅯䅁坁䅁䅁杔時䑁䅅杍硁䑁䅅兎㍁䑁䅣兎䅁䅁䅳䅁坁䅁䅁杔時䑁䅅睍祁䑁䅣李穁䑁䅧睍䅁䅁䅷䅁坁䅁䅁杔時䑁䅅睍ぁ䑁䅁杍ぁ䑁䅍免䅁䑁䄸䅁坁䅁䅁杔時䑁䅅䅎ㅁ䑁䅫䅍穁䑁䅫兏䅁䙁䅫䅁坁䅁䅁杔時䑁䅅䅎ぁ䑁䅑杍㍁䑁䅍免䅁䅁䄰䅁啁䅁䅁杔時䑁䅫睎㑁䑁䅍李㑁䑁䅫䅁ㅁ䅁䅁杆䅁䕁䄴睘硁䑁䅑兎㕁䑁䅁睍㍁䑁䅣䅁啂䅁䅁䅈䅁䕁䄴兑呂䕁䅑兑剂䕁䅣睕㙁䕁䅍䅓啂䙁䅉䅁獁䅁䅁杆䅁䕁䄴睘硁䑁䅍兏㍁䑁䅙䅍ㅁ䑁䅙䅁佁䅁䅁杆䅁䕁䄴睘硁䑁䅕李ㅁ䑁䅅杍ㅁ䑁䅕䅁偁䅁䅁䅍䅁䕁䅅䅚煂䡁䅕督あ䝁䅕䅚杁䕁䅙杣求䝁䅕䅉䑂䝁䅅督潂䍁䅁杒獂䝁䄸睤䅁䉁䅁䅁坁䅁䅁杔時䑁䅅兎ㅁ䑁䅣䅍ぁ䑁䅅免䅁䉁䅯䅁䝂䅁䅁睔睂䡁䅑兡療䝁䄴督㙁䕁䅑兙あ䝁䅅䅖㕂䡁䅁党㥁䕁䅍䅒獁䍁䅁睕祂䝁䅍児䑂䝁䄸杢穂䝁䅕杢穂䡁䅕督䅁䉁䅅䅁坁䅁䅁杔時䑁䅅杍硁䑁䅅兎ㅁ䑁䅑睎䅁䉁䅉䅁坁䅁䅁杔時䑁䅅䅎㉁䑁䅁睍硁䑁䅁兏䅁䑁䅍䅁佁䅁䅁杔婂䙁䅍兒㙁䙁䅑䅁啁䅁䅁杆䅁䕁䄴睘硁䑁䅕兎㍁䑁䅙睎㉁䑁䅧䅁噁䅁䅁杆䅁䕁䄴睘硁䑁䅉睍㑁䑁䅁䅍㍁䑁䅧䅁坁䅁䅁杆䅁䕁䄴睘硁䑁䅑兎㕁䑁䅁䅎穁䑁䅣䅁時䅁䅁杆䅁䕁䄴睘硁䑁䅉睍㑁䑁䅁杍㍁䑁䅑䅁塁䅁䅁䅆䅁䕁䄴睘㕁䑁䅣䅏穁䑁䅙䅏㑁䅁䅁李䅁䉁䅙䅁佂䙁䄸免祁䑁䅍䅏睁䑁䅉睎㉁䅁䅁䅇䅁䉁䅙䅁佂䙁䄸免ㅁ䑁䅕睎睁䑁䅑免睁䅁䅁兇䅁䉁䅙䅁佂䙁䄸免ㅁ䑁䅕睎㉁䑁䅣睎穁䅁䅁䅉䅁䉁䅙䅁佂䙁䄸免祁䑁䅍䅏睁䑁䅑䅎㍁䅁䅁睊䅁䉁䅙䅁佂䙁䄸免ㅁ䑁䅕睎睁䑁䅑免ぁ䅁䅁睇䅁䉁䅙䅁佂䙁䄸免ㅁ䑁䅉杍㕁䑁䅁䅎㍁䅁䅁䅊䅁䉁䅙䅁佂䙁䄸免ぁ䑁䅅免祁䑁䅁免睁䅁䅁睈䅁䉁䅙䅁佂䙁䄸免ㅁ䑁䅕睎睁䑁䅑免ㅁ䅁䅁䅈䅁䉁䅙䅁佂䙁䄸免祁䑁䅍䅏睁䑁䅍䅍ㅁ䅁䅁杈䅁䉁䅙䅁佂䙁䄸免祁䑁䅍䅏睁䑁䅑兎ぁ䅁䅁兊䅁䉁䅑䅁佂䙁䄸兏㍁䑁䅧睍㍁䑁䅕䅏䅁䑁䅉䅁坁䅁䅁杔時䑁䅅杍穁䑁䅧䅍ぁ䑁䅕李䅁䍁䅙䅁坁䅁䅁杔時䑁䅅兎ㅁ䑁䅣䅎ㅁ䑁䅍睎䅁䍁䅧䅁坁䅁䅁杔時䑁䅅杍㉁䑁䅧䅍㉁䑁䅫䅏䅁䑁䄴䅁坁䅁䅁杔時䑁䅅䅎穁䑁䅣睍㉁䑁䅉䅎䅁䍁䅯䅁坁䅁䅁杔時䑁䅅䅎㑁䑁䅑䅎㍁䑁䅍䅍䅁䍁䅳䅁啁䅁䅁杔時䑁䅫睎㑁䑁䅍李ぁ䑁䅣䅁畁䅁䅁杆䅁䕁䄴睘硁䑁䅑兎㕁䑁䅁睍㕁䑁䅙䅁奂䅁䅁䅆䅁䕁䄴睘㕁䑁䅣䅏穁䑁䅙䅏㉁䅁䅁睌䅁䉁䅑䅁佂䙁䄸兏㍁䑁䅧睍㍁䑁䅉兎䅁䑁䅁䅁啁䅁䅁杔時䑁䅫睎㑁䑁䅍李㑁䑁䅕䅁ぁ䅁䅁杆䅁䕁䄴睘硁䑁䅑兎㕁䑁䅁睍㕁䑁䅕䅁塂䅁䅁䅅䅁䕁䄴兗呂䕁䅕杏坂䙁䅯䅁㥁䅁䅁䅆䅁䕁䄴睘㕁䑁䅣䅏穁䑁䅧杍㑁䅁䅁睎䅁䉁䅑䅁佂䙁䄸兏㍁䑁䅧睍㑁䑁䅉睎䅁䑁䅧䅁啁䅁䅁杔時䑁䅫睎㑁䑁䅍李㕁䑁䅫䅁㕁䅁䅁䅆䅁䕁䄴睘㕁䑁䅣䅏穁䑁䅙䅎㑁䅁䅁睏䅁䉁䅙䅁佂䙁䄸免穁䑁䅑䅍祁䑁䅑睍ぁ䅁䅁䅑䅁䉁䅙䅁佂䙁䄸免穁䑁䅑䅍祁䑁䅑䅎㕁䅁䅁兑䅁䉁䅙䅁佂䙁䄸免穁䑁䅑兎祁䑁䅑杍硁䅁䅁村䅁䉁䅙䅁佂䙁䄸免ㅁ䑁䅙睍穁䑁䅅兏睁䅁䅁睑䅁䉁䅙䅁佂䙁䄸免穁䑁䅙䅏㉁䑁䅕睎ㅁ䅁䅁杓䅁䉁䅙䅁佂䙁䄸免ㅁ䑁䅙杍祁䑁䅕李ぁ䅁䅁䅒䅁䉁䅙䅁佂䙁䄸免ㅁ䑁䅙杍祁䑁䅕李㍁䅁䅁兒䅁䉁䅙䅁佂䙁䄸免祁䑁䅙䅏睁䑁䅣睍㕁䅁䅁杒䅁䉁䅙䅁佂䙁䄸免穁䑁䅑䅍祁䑁䅑兎穁䅁䅁睒䅁䉁䅙䅁佂䙁䄸免祁䑁䅙䅏睁䑁䅣䅎㍁䅁䅁䅓䅁䉁䅙䅁佂䙁䄸免祁䑁䅙䅏睁䑁䅣䅏㉁䅁䅁兓䅁䉁䅙䅁佂䙁䄸免穁䑁䅁杍ㅁ䑁䅣䅍㕁䅁䅁睓䅁䉁䅯䅁佂䕁䅅睕䕂䕁䅅兕㙁䕁䅍兔䑂䙁䅍兑䅁䕁䄴䅁坁䅁䅁杔時䑁䅅免ぁ䑁䅅睍ㅁ䑁䅅兎䅁䙁䅁䅁坁䅁䅁杔時䑁䅅䅎ㅁ䑁䅫䅍穁䑁䅧䅎䅁䙁䅅䅁坁䅁䅁杔時䑁䅅䅎ㅁ䑁䅫䅍穁䑁䅧兎䅁䙁䅉䅁坁䅁䅁杔時䑁䅅䅎ㅁ䑁䅫䅍穁䑁䅧李䅁䙁䅍䅁坁䅁䅁杔時䑁䅅䅎㍁䑁䅅兏穁䑁䅑睎䅁䙁䅕䅁坁䅁䅁杔時䑁䅅䅎ㅁ䑁䅫䅍穁䑁䅫免䅁䙁䅙䅁坁䅁䅁杔時䑁䅅免ぁ䑁䅅睍穁䑁䅙睎䅁䙁䅯䅁坁䅁䅁杔時䑁䅅䅎ㅁ䑁䅫䅍ぁ䑁䅍免䅁䙁䅳䅁坁䅁䅁杔時䑁䅅䅎ㅁ䑁䅫䅍ぁ䑁䅍杍䅁䙁䅷䅁坁䅁䅁杔時䑁䅅䅎ㅁ䑁䅫䅍ぁ䑁䅍睍䅁䙁䄰䅁坁䅁䅁杔時䑁䅅䅎ㅁ䑁䅫䅍ぁ䑁䅍䅎䅁䙁䄴䅁坁䅁䅁杔時䑁䅅䅎ㅁ䑁䅫䅍ぁ䑁䅉睎䅁䝁䅁䅁坁䅁䅁杔時䑁䅅䅎ㅁ䑁䅫䅍ぁ䑁䅉䅏䅁䝁䅅䅁坁䅁䅁杔時䑁䅅免ぁ䑁䅅睍ㅁ䑁䅧免䅁䝁䅉䅁坁䅁䅁杔時䑁䅅䅎ㅁ䑁䅫䅍ぁ䑁䅙免䅁䝁䅍䅁坁䅁䅁杔時䑁䅅䅎ㅁ䑁䅫䅍ぁ䑁䅙䅎䅁䝁䅑䅁坁䅁䅁杔時䑁䅅䅎ㅁ䑁䅫䅍ぁ䑁䅙兎䅁䝁䅕䅁坁䅁䅁杔時䑁䅅䅎㉁䑁䅍免ぁ䑁䅉睍䅁䝁䅙䅁坁䅁䅁杔時䑁䅅睍ㅁ䑁䅫兎㉁䑁䅅免䅁䝁䅣䅁允䅁䅁䍄䉁䅁䅁兂䅁䅁䅍䅄䅁䅁䅯䅁䅁䅁䅯睅䅁䅁䅯杁䅁䅁䅯充䅁䅁䅅䅁䉁䅁䅁兂剃樱⭧愫䕍䅑杷允䅁䅁䅙䅁䑁䅁䅷䅁䭁䅁䅁䅁䭁䅁䄸䅁䭁䅁䅉䅁䙁䅁䅁䅁䅂畫䅚权䑁䅁䅁允䅁䅁䅅䅁䙁佁㙆䭆䠵攴⼸䍄䉁䅁䅁杂䅁䅁䅍䅄䅁䅁䅯䅁䅁䅁䅯睃䅁䅁䅯杁䅁䅁䅕䅁䅁䕁千欵䭁䅁䅍䅁䉁䅁䅁允䅁䅁䅕栳塑⭮䐵䕨䵁䅉䅅䅁䝁䅁䅁睁䵁䅁䅁权䅁䅁䅁权䭁䅁䅁权䍁䅁䅁兂䅁䅁䅁䩑浌䅑䅯睁䅁䅁䅅䅁䉁䅁䅁兂楁歘䥍ㄴ䍺䅑杷允䅁䅁䅙䅁䑁䅁䅷䅁䭁䅁䅁䅁䭁䅁䅅䅁䭁䅁䅉䅁䙁䅁䅁䅁䅂畫䅚权䑁䅁䅁允䅁䅁䅅䅁䙁佁楹畊摨㙨䅎䍄䉁䅁䅁杂䅁䅁䅍䅄䅁䅁䅯䅁䅁䅁䅯䅂䅁䅁䅯杁䅁䅁䅕䅁䅁䕁千欵䭁䅁䅍䅁䉁䅁䅁允䅁䅁䅕祡眲晲剓欰䵁䅉䅅䅁䝁䅁䅁睁䵁䅁䅁权䅁䅁䅁权䙁䅁䅁权䍁䅁䅁兂䅁䅁䅁䩑浌䅑䅯睁䅁䅁䅅䅁䉁䅁䅁兂湂眰䭏卦獃䅑杷允䅁䅁䅙䅁䑁䅁䅷䅁䭁䅁䅁䅁䭁䅁䅙䅁䭁䅁䅉䅁䙁䅁䅁䅁䅂畫䅚权䑁䅁䅁允䅁䅁䅅䅁䙁䅁䝨ㅆ煨㥗䅚䍄䉁䅁䅁杂䅁䅁䅍䅄䅁䅁䅯䅁䅁䅁䅯杅䅁䅁䅯杁䅁䅁䅕䅁䅁䕁千欵䭁䅁䅍䅁䉁䅁䅁允䅁䅁䅕啰敭婦啰啱䵁䅉䅅䅁䝁䅁䅁睁䵁䅁䅁权䅁䅁䅁权䡁䅁䅁权䍁䅁䅁兂䅁䅁䅁䩑浌䅑䅯睁䅁䅁䅅䅁䉁䅁䅁兂ぁ㥘䡓卐穭䅑杷允䅁䅁䅙䅁䑁䅁䅷䅁䭁䅁䅁䅁䭁䅁䅧䅁䭁䅁䅉䅁䙁䅁䅁䅁䅂畫䅚权䑁䅁䅁允䅁䅁䅅䅁䙁䵁䅰晚卦振䄵䍄䉁䅁䅁杂䅁䅁䅍䅄䅁䅁䅯䅁䅁䅁䅯元䅁䅁䅯杁䅁䅁䅕䅁䅁䕁千欵䭁䅁䅍䅁䉁䅁䅁允䅁䅁䅕摤䐲穪摸歷䵁䅉䅅䅁䝁䅁䅁睁䵁䅁䅁权䅁䅁䅁权䵁䅁䅁权䍁䅁䅁兂䅁䅁䅁䩑浌䅑䅯睁䅁䅁䅅䅁䉁䅁䅁兂䱃〹䅬吶橵䅑杷允䅁䅁䅕䅁䑁䅁䅷䅁䭁䅁䅁䅁䭁䉁䅁䅁䭁䅁䅉䅁䭁䉁䅅䅁䉁䅁䅁允䅁䅁䅕䍭㑁㐷癵啳䵁䅉䅅䅁䝁䅁䅁睁䵁䅁䅁权䅁䅁䅁权乁䅁䅁权䍁䅁䅁兂䅁䅁䅁䩑浌䅑䅯睁䅁䅁䅅䅁䉁䅁䅁兂啄䅯䵥呸睂䅑杷允䅁䅁䅙䅁䑁䅁䅷䅁䭁䅁䅁䅁䭁䅁䄴䅁䭁䅁䅉䅁䙁䅁䅁䅁䅂畫䅚权䑁䅁䅁允䅁䅁䅅䅁䙁䅁䵋倸敨䝉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</si>
</sst>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0\);\-"/>
    <numFmt numFmtId="167" formatCode="&quot;$&quot;0.00;\(&quot;$&quot;0.00\);\-"/>
    <numFmt numFmtId="168" formatCode="0.00%;\(0.00%\);\-"/>
    <numFmt numFmtId="169" formatCode="mm/dd/yyyy"/>
    <numFmt numFmtId="170" formatCode="#,##0.0;\(#,##0.0\);\-"/>
  </numFmts>
  <fonts count="27" x14ac:knownFonts="1">
    <font>
      <sz val="11"/>
      <color theme="1"/>
      <name val="Aptos Narrow"/>
      <family val="2"/>
      <scheme val="minor"/>
    </font>
    <font>
      <b/>
      <sz val="11"/>
      <color theme="1"/>
      <name val="Aptos Narrow"/>
      <family val="2"/>
      <scheme val="minor"/>
    </font>
    <font>
      <b/>
      <sz val="14"/>
      <color theme="1"/>
      <name val="Aptos Narrow"/>
      <family val="2"/>
      <scheme val="minor"/>
    </font>
    <font>
      <b/>
      <sz val="11"/>
      <color rgb="FFFFFFFF"/>
      <name val="Aptos Narrow"/>
      <family val="2"/>
      <scheme val="minor"/>
    </font>
    <font>
      <sz val="11"/>
      <color rgb="FF0000FF"/>
      <name val="Aptos Narrow"/>
      <family val="2"/>
      <scheme val="minor"/>
    </font>
    <font>
      <b/>
      <sz val="11"/>
      <color rgb="FF0000FF"/>
      <name val="Aptos Narrow"/>
      <family val="2"/>
      <scheme val="minor"/>
    </font>
    <font>
      <sz val="9"/>
      <color indexed="81"/>
      <name val="Tahoma"/>
      <charset val="1"/>
    </font>
    <font>
      <b/>
      <sz val="9"/>
      <color indexed="81"/>
      <name val="Tahoma"/>
      <charset val="1"/>
    </font>
    <font>
      <sz val="11"/>
      <name val="Aptos Narrow"/>
      <family val="2"/>
      <scheme val="minor"/>
    </font>
    <font>
      <b/>
      <i/>
      <sz val="9"/>
      <color rgb="FF808080"/>
      <name val="Aptos Narrow"/>
      <family val="2"/>
      <scheme val="minor"/>
    </font>
    <font>
      <sz val="9"/>
      <color rgb="FF808080"/>
      <name val="Aptos Narrow"/>
      <family val="2"/>
      <scheme val="minor"/>
    </font>
    <font>
      <sz val="9"/>
      <color rgb="FF808080"/>
      <name val="Aptos Narrow"/>
      <scheme val="minor"/>
    </font>
    <font>
      <b/>
      <sz val="14"/>
      <color theme="1"/>
      <name val="Aptos Narrow"/>
      <scheme val="minor"/>
    </font>
    <font>
      <b/>
      <sz val="11"/>
      <color rgb="FFFFFFFF"/>
      <name val="Aptos Narrow"/>
      <scheme val="minor"/>
    </font>
    <font>
      <b/>
      <i/>
      <sz val="9"/>
      <color rgb="FF808080"/>
      <name val="Aptos Narrow"/>
      <scheme val="minor"/>
    </font>
    <font>
      <sz val="11"/>
      <color theme="1"/>
      <name val="Aptos Narrow"/>
      <scheme val="minor"/>
    </font>
    <font>
      <b/>
      <sz val="11"/>
      <color theme="1"/>
      <name val="Aptos Narrow"/>
      <scheme val="minor"/>
    </font>
    <font>
      <sz val="11"/>
      <color rgb="FF0000FF"/>
      <name val="Aptos Narrow"/>
      <scheme val="minor"/>
    </font>
    <font>
      <sz val="11"/>
      <color rgb="FF000000"/>
      <name val="Aptos Narrow"/>
      <scheme val="minor"/>
    </font>
    <font>
      <b/>
      <sz val="11"/>
      <color rgb="FF000000"/>
      <name val="Aptos Narrow"/>
      <family val="2"/>
      <scheme val="minor"/>
    </font>
    <font>
      <sz val="9"/>
      <color indexed="81"/>
      <name val="Tahoma"/>
      <family val="2"/>
    </font>
    <font>
      <b/>
      <sz val="9"/>
      <color indexed="81"/>
      <name val="Tahoma"/>
      <family val="2"/>
    </font>
    <font>
      <b/>
      <sz val="14"/>
      <color rgb="FF000000"/>
      <name val="Aptos Narrow"/>
      <family val="2"/>
      <scheme val="minor"/>
    </font>
    <font>
      <i/>
      <sz val="9"/>
      <color rgb="FF808080"/>
      <name val="Aptos Narrow"/>
      <family val="2"/>
      <scheme val="minor"/>
    </font>
    <font>
      <sz val="10"/>
      <color theme="1"/>
      <name val="Aptos Narrow"/>
      <family val="2"/>
      <scheme val="minor"/>
    </font>
    <font>
      <sz val="10"/>
      <color rgb="FF0000FF"/>
      <name val="Aptos Narrow"/>
      <family val="2"/>
      <scheme val="minor"/>
    </font>
    <font>
      <sz val="9"/>
      <color rgb="FF0000FF"/>
      <name val="Aptos Narrow"/>
      <family val="2"/>
      <scheme val="minor"/>
    </font>
  </fonts>
  <fills count="6">
    <fill>
      <patternFill patternType="none"/>
    </fill>
    <fill>
      <patternFill patternType="gray125"/>
    </fill>
    <fill>
      <patternFill patternType="solid">
        <fgColor rgb="FF1F4E78"/>
        <bgColor indexed="64"/>
      </patternFill>
    </fill>
    <fill>
      <patternFill patternType="solid">
        <fgColor rgb="FFD9D9D9"/>
        <bgColor indexed="64"/>
      </patternFill>
    </fill>
    <fill>
      <patternFill patternType="solid">
        <fgColor rgb="FFBFBFBF"/>
        <bgColor indexed="64"/>
      </patternFill>
    </fill>
    <fill>
      <patternFill patternType="solid">
        <fgColor theme="0" tint="-0.14999847407452621"/>
        <bgColor indexed="64"/>
      </patternFill>
    </fill>
  </fills>
  <borders count="22">
    <border>
      <left/>
      <right/>
      <top/>
      <bottom/>
      <diagonal/>
    </border>
    <border>
      <left style="thin">
        <color rgb="FFD9D9D9"/>
      </left>
      <right style="thin">
        <color rgb="FFD9D9D9"/>
      </right>
      <top/>
      <bottom/>
      <diagonal/>
    </border>
    <border>
      <left style="thin">
        <color rgb="FFD9D9D9"/>
      </left>
      <right style="thin">
        <color rgb="FFD9D9D9"/>
      </right>
      <top/>
      <bottom style="thin">
        <color rgb="FF000000"/>
      </bottom>
      <diagonal/>
    </border>
    <border>
      <left style="thin">
        <color rgb="FF000000"/>
      </left>
      <right style="thin">
        <color rgb="FFD9D9D9"/>
      </right>
      <top/>
      <bottom/>
      <diagonal/>
    </border>
    <border>
      <left style="thin">
        <color rgb="FF000000"/>
      </left>
      <right style="thin">
        <color rgb="FFD9D9D9"/>
      </right>
      <top/>
      <bottom style="thin">
        <color rgb="FF000000"/>
      </bottom>
      <diagonal/>
    </border>
    <border>
      <left style="thin">
        <color rgb="FFD9D9D9"/>
      </left>
      <right style="thin">
        <color rgb="FF000000"/>
      </right>
      <top/>
      <bottom/>
      <diagonal/>
    </border>
    <border>
      <left style="thin">
        <color rgb="FFD9D9D9"/>
      </left>
      <right style="thin">
        <color rgb="FF000000"/>
      </right>
      <top/>
      <bottom style="thin">
        <color rgb="FF000000"/>
      </bottom>
      <diagonal/>
    </border>
    <border>
      <left style="thin">
        <color rgb="FF000000"/>
      </left>
      <right style="thin">
        <color rgb="FFD9D9D9"/>
      </right>
      <top style="thin">
        <color rgb="FF000000"/>
      </top>
      <bottom style="medium">
        <color rgb="FF000000"/>
      </bottom>
      <diagonal/>
    </border>
    <border>
      <left style="thin">
        <color rgb="FFD9D9D9"/>
      </left>
      <right style="thin">
        <color rgb="FFD9D9D9"/>
      </right>
      <top style="thin">
        <color rgb="FF000000"/>
      </top>
      <bottom style="medium">
        <color rgb="FF000000"/>
      </bottom>
      <diagonal/>
    </border>
    <border>
      <left style="thin">
        <color rgb="FFD9D9D9"/>
      </left>
      <right style="thin">
        <color rgb="FF000000"/>
      </right>
      <top style="thin">
        <color rgb="FF000000"/>
      </top>
      <bottom style="medium">
        <color rgb="FF000000"/>
      </bottom>
      <diagonal/>
    </border>
    <border>
      <left style="thin">
        <color rgb="FFD9D9D9"/>
      </left>
      <right style="thin">
        <color rgb="FFD9D9D9"/>
      </right>
      <top/>
      <bottom style="thin">
        <color indexed="64"/>
      </bottom>
      <diagonal/>
    </border>
    <border>
      <left/>
      <right/>
      <top style="thin">
        <color auto="1"/>
      </top>
      <bottom/>
      <diagonal/>
    </border>
    <border>
      <left/>
      <right/>
      <top style="thin">
        <color auto="1"/>
      </top>
      <bottom style="medium">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indexed="64"/>
      </right>
      <top style="thin">
        <color indexed="64"/>
      </top>
      <bottom/>
      <diagonal/>
    </border>
  </borders>
  <cellStyleXfs count="1">
    <xf numFmtId="0" fontId="0" fillId="0" borderId="0"/>
  </cellStyleXfs>
  <cellXfs count="117">
    <xf numFmtId="0" fontId="0" fillId="0" borderId="0" xfId="0"/>
    <xf numFmtId="0" fontId="2" fillId="0" borderId="0" xfId="0" applyFont="1"/>
    <xf numFmtId="164" fontId="4" fillId="3" borderId="1" xfId="0" applyNumberFormat="1" applyFont="1" applyFill="1" applyBorder="1"/>
    <xf numFmtId="164" fontId="5" fillId="3" borderId="1" xfId="0" applyNumberFormat="1" applyFont="1" applyFill="1" applyBorder="1"/>
    <xf numFmtId="165" fontId="0" fillId="3" borderId="1" xfId="0" applyNumberFormat="1" applyFill="1" applyBorder="1"/>
    <xf numFmtId="164" fontId="4" fillId="0" borderId="1" xfId="0" applyNumberFormat="1" applyFont="1" applyBorder="1"/>
    <xf numFmtId="0" fontId="0" fillId="0" borderId="1" xfId="0" applyBorder="1"/>
    <xf numFmtId="165" fontId="0" fillId="0" borderId="1" xfId="0" applyNumberFormat="1" applyBorder="1"/>
    <xf numFmtId="166" fontId="4" fillId="3" borderId="1" xfId="0" applyNumberFormat="1" applyFont="1" applyFill="1" applyBorder="1"/>
    <xf numFmtId="166" fontId="5" fillId="3" borderId="1" xfId="0" applyNumberFormat="1" applyFont="1" applyFill="1" applyBorder="1"/>
    <xf numFmtId="0" fontId="0" fillId="4" borderId="1" xfId="0" applyFill="1" applyBorder="1"/>
    <xf numFmtId="167" fontId="4" fillId="0" borderId="1" xfId="0" applyNumberFormat="1" applyFont="1" applyBorder="1"/>
    <xf numFmtId="168" fontId="4" fillId="0" borderId="2" xfId="0" applyNumberFormat="1" applyFont="1" applyBorder="1"/>
    <xf numFmtId="168" fontId="0" fillId="0" borderId="2" xfId="0" applyNumberFormat="1" applyBorder="1"/>
    <xf numFmtId="0" fontId="1" fillId="3" borderId="3" xfId="0" applyFont="1" applyFill="1" applyBorder="1"/>
    <xf numFmtId="0" fontId="1" fillId="0" borderId="3" xfId="0" applyFont="1" applyBorder="1"/>
    <xf numFmtId="0" fontId="0" fillId="0" borderId="3" xfId="0" applyBorder="1"/>
    <xf numFmtId="0" fontId="1" fillId="4" borderId="3" xfId="0" applyFont="1" applyFill="1" applyBorder="1"/>
    <xf numFmtId="0" fontId="0" fillId="0" borderId="4" xfId="0" applyBorder="1"/>
    <xf numFmtId="165" fontId="1" fillId="3" borderId="5" xfId="0" applyNumberFormat="1" applyFont="1" applyFill="1" applyBorder="1"/>
    <xf numFmtId="165" fontId="0" fillId="0" borderId="5" xfId="0" applyNumberFormat="1" applyBorder="1"/>
    <xf numFmtId="0" fontId="0" fillId="0" borderId="5" xfId="0" applyBorder="1"/>
    <xf numFmtId="0" fontId="0" fillId="4" borderId="5" xfId="0" applyFill="1" applyBorder="1"/>
    <xf numFmtId="168" fontId="0" fillId="0" borderId="6" xfId="0" applyNumberFormat="1" applyBorder="1"/>
    <xf numFmtId="0" fontId="3" fillId="2" borderId="7" xfId="0" applyFont="1" applyFill="1" applyBorder="1"/>
    <xf numFmtId="0" fontId="3" fillId="2" borderId="8" xfId="0" applyFont="1" applyFill="1" applyBorder="1" applyAlignment="1">
      <alignment horizontal="center"/>
    </xf>
    <xf numFmtId="0" fontId="3" fillId="2" borderId="9" xfId="0" applyFont="1" applyFill="1" applyBorder="1" applyAlignment="1">
      <alignment horizontal="center"/>
    </xf>
    <xf numFmtId="0" fontId="8" fillId="0" borderId="1" xfId="0" applyFont="1" applyBorder="1"/>
    <xf numFmtId="165" fontId="8" fillId="0" borderId="1" xfId="0" applyNumberFormat="1" applyFont="1" applyBorder="1"/>
    <xf numFmtId="0" fontId="8" fillId="4" borderId="1" xfId="0" applyFont="1" applyFill="1" applyBorder="1"/>
    <xf numFmtId="0" fontId="1" fillId="4" borderId="0" xfId="0" applyFont="1" applyFill="1"/>
    <xf numFmtId="0" fontId="0" fillId="4" borderId="0" xfId="0" applyFill="1"/>
    <xf numFmtId="0" fontId="4" fillId="0" borderId="0" xfId="0" applyFont="1"/>
    <xf numFmtId="169" fontId="0" fillId="0" borderId="0" xfId="0" applyNumberFormat="1"/>
    <xf numFmtId="0" fontId="9" fillId="2" borderId="0" xfId="0" applyFont="1" applyFill="1" applyAlignment="1">
      <alignment horizontal="center"/>
    </xf>
    <xf numFmtId="0" fontId="10" fillId="0" borderId="0" xfId="0" applyFont="1"/>
    <xf numFmtId="0" fontId="11" fillId="0" borderId="0" xfId="0" applyFont="1"/>
    <xf numFmtId="0" fontId="12" fillId="0" borderId="0" xfId="0" applyFont="1"/>
    <xf numFmtId="0" fontId="14" fillId="2" borderId="0" xfId="0" applyFont="1" applyFill="1" applyAlignment="1">
      <alignment horizontal="center"/>
    </xf>
    <xf numFmtId="0" fontId="15" fillId="0" borderId="0" xfId="0" applyFont="1"/>
    <xf numFmtId="0" fontId="17" fillId="0" borderId="0" xfId="0" applyFont="1"/>
    <xf numFmtId="0" fontId="16" fillId="4" borderId="0" xfId="0" applyFont="1" applyFill="1"/>
    <xf numFmtId="169" fontId="15" fillId="0" borderId="0" xfId="0" applyNumberFormat="1" applyFont="1"/>
    <xf numFmtId="0" fontId="13" fillId="2" borderId="12" xfId="0" applyFont="1" applyFill="1" applyBorder="1" applyAlignment="1">
      <alignment horizontal="center"/>
    </xf>
    <xf numFmtId="0" fontId="13" fillId="2" borderId="14" xfId="0" applyFont="1" applyFill="1" applyBorder="1"/>
    <xf numFmtId="0" fontId="16" fillId="3" borderId="15" xfId="0" applyFont="1" applyFill="1" applyBorder="1"/>
    <xf numFmtId="164" fontId="15" fillId="3" borderId="0" xfId="0" applyNumberFormat="1" applyFont="1" applyFill="1"/>
    <xf numFmtId="164" fontId="17" fillId="3" borderId="0" xfId="0" applyNumberFormat="1" applyFont="1" applyFill="1"/>
    <xf numFmtId="165" fontId="15" fillId="3" borderId="0" xfId="0" applyNumberFormat="1" applyFont="1" applyFill="1"/>
    <xf numFmtId="0" fontId="16" fillId="0" borderId="15" xfId="0" applyFont="1" applyBorder="1"/>
    <xf numFmtId="164" fontId="15" fillId="0" borderId="0" xfId="0" applyNumberFormat="1" applyFont="1"/>
    <xf numFmtId="165" fontId="15" fillId="0" borderId="0" xfId="0" applyNumberFormat="1" applyFont="1"/>
    <xf numFmtId="0" fontId="15" fillId="0" borderId="15" xfId="0" applyFont="1" applyBorder="1"/>
    <xf numFmtId="164" fontId="17" fillId="0" borderId="0" xfId="0" applyNumberFormat="1" applyFont="1"/>
    <xf numFmtId="167" fontId="17" fillId="3" borderId="0" xfId="0" applyNumberFormat="1" applyFont="1" applyFill="1"/>
    <xf numFmtId="0" fontId="0" fillId="0" borderId="15" xfId="0" applyBorder="1"/>
    <xf numFmtId="0" fontId="16" fillId="4" borderId="15" xfId="0" applyFont="1" applyFill="1" applyBorder="1"/>
    <xf numFmtId="168" fontId="17" fillId="0" borderId="0" xfId="0" applyNumberFormat="1" applyFont="1"/>
    <xf numFmtId="168" fontId="15" fillId="0" borderId="0" xfId="0" applyNumberFormat="1" applyFont="1"/>
    <xf numFmtId="167" fontId="17" fillId="0" borderId="0" xfId="0" applyNumberFormat="1" applyFont="1"/>
    <xf numFmtId="166" fontId="17" fillId="0" borderId="0" xfId="0" applyNumberFormat="1" applyFont="1"/>
    <xf numFmtId="0" fontId="13" fillId="2" borderId="16" xfId="0" applyFont="1" applyFill="1" applyBorder="1" applyAlignment="1">
      <alignment horizontal="center"/>
    </xf>
    <xf numFmtId="165" fontId="16" fillId="3" borderId="17" xfId="0" applyNumberFormat="1" applyFont="1" applyFill="1" applyBorder="1"/>
    <xf numFmtId="165" fontId="15" fillId="0" borderId="17" xfId="0" applyNumberFormat="1" applyFont="1" applyBorder="1"/>
    <xf numFmtId="0" fontId="0" fillId="0" borderId="17" xfId="0" applyBorder="1"/>
    <xf numFmtId="168" fontId="15" fillId="0" borderId="17" xfId="0" applyNumberFormat="1" applyFont="1" applyBorder="1"/>
    <xf numFmtId="0" fontId="0" fillId="0" borderId="19" xfId="0" applyBorder="1"/>
    <xf numFmtId="164" fontId="17" fillId="0" borderId="19" xfId="0" applyNumberFormat="1" applyFont="1" applyBorder="1"/>
    <xf numFmtId="165" fontId="15" fillId="0" borderId="19" xfId="0" applyNumberFormat="1" applyFont="1" applyBorder="1"/>
    <xf numFmtId="165" fontId="15" fillId="0" borderId="20" xfId="0" applyNumberFormat="1" applyFont="1" applyBorder="1"/>
    <xf numFmtId="168" fontId="17" fillId="0" borderId="10" xfId="0" applyNumberFormat="1" applyFont="1" applyBorder="1"/>
    <xf numFmtId="0" fontId="15" fillId="0" borderId="18" xfId="0" applyFont="1" applyBorder="1"/>
    <xf numFmtId="0" fontId="5" fillId="3" borderId="0" xfId="0" applyFont="1" applyFill="1"/>
    <xf numFmtId="165" fontId="16" fillId="0" borderId="17" xfId="0" applyNumberFormat="1" applyFont="1" applyBorder="1"/>
    <xf numFmtId="0" fontId="0" fillId="4" borderId="17" xfId="0" applyFill="1" applyBorder="1"/>
    <xf numFmtId="165" fontId="18" fillId="0" borderId="0" xfId="0" applyNumberFormat="1" applyFont="1"/>
    <xf numFmtId="164" fontId="1" fillId="3" borderId="0" xfId="0" applyNumberFormat="1" applyFont="1" applyFill="1"/>
    <xf numFmtId="164" fontId="19" fillId="3" borderId="0" xfId="0" applyNumberFormat="1" applyFont="1" applyFill="1"/>
    <xf numFmtId="167" fontId="17" fillId="5" borderId="0" xfId="0" applyNumberFormat="1" applyFont="1" applyFill="1"/>
    <xf numFmtId="0" fontId="4" fillId="4" borderId="0" xfId="0" applyFont="1" applyFill="1"/>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2" borderId="14" xfId="0" applyFont="1" applyFill="1" applyBorder="1"/>
    <xf numFmtId="0" fontId="1" fillId="3" borderId="15" xfId="0" applyFont="1" applyFill="1" applyBorder="1"/>
    <xf numFmtId="170" fontId="4" fillId="3" borderId="0" xfId="0" applyNumberFormat="1" applyFont="1" applyFill="1"/>
    <xf numFmtId="165" fontId="0" fillId="3" borderId="0" xfId="0" applyNumberFormat="1" applyFill="1"/>
    <xf numFmtId="170" fontId="4" fillId="0" borderId="0" xfId="0" applyNumberFormat="1" applyFont="1"/>
    <xf numFmtId="165" fontId="0" fillId="0" borderId="0" xfId="0" applyNumberFormat="1"/>
    <xf numFmtId="165" fontId="4" fillId="0" borderId="0" xfId="0" applyNumberFormat="1" applyFont="1"/>
    <xf numFmtId="167" fontId="4" fillId="3" borderId="0" xfId="0" applyNumberFormat="1" applyFont="1" applyFill="1"/>
    <xf numFmtId="0" fontId="1" fillId="4" borderId="15" xfId="0" applyFont="1" applyFill="1" applyBorder="1"/>
    <xf numFmtId="164" fontId="4" fillId="0" borderId="0" xfId="0" applyNumberFormat="1" applyFont="1"/>
    <xf numFmtId="0" fontId="3" fillId="2" borderId="16" xfId="0" applyFont="1" applyFill="1" applyBorder="1" applyAlignment="1">
      <alignment horizontal="center"/>
    </xf>
    <xf numFmtId="165" fontId="1" fillId="3" borderId="17" xfId="0" applyNumberFormat="1" applyFont="1" applyFill="1" applyBorder="1"/>
    <xf numFmtId="165" fontId="0" fillId="0" borderId="17" xfId="0" applyNumberFormat="1" applyBorder="1"/>
    <xf numFmtId="0" fontId="0" fillId="0" borderId="18" xfId="0" applyBorder="1"/>
    <xf numFmtId="164" fontId="4" fillId="0" borderId="19" xfId="0" applyNumberFormat="1" applyFont="1" applyBorder="1"/>
    <xf numFmtId="165" fontId="0" fillId="0" borderId="19" xfId="0" applyNumberFormat="1" applyBorder="1"/>
    <xf numFmtId="165" fontId="0" fillId="0" borderId="20" xfId="0" applyNumberFormat="1" applyBorder="1"/>
    <xf numFmtId="0" fontId="23" fillId="0" borderId="0" xfId="0" applyFont="1"/>
    <xf numFmtId="164" fontId="4" fillId="3" borderId="0" xfId="0" applyNumberFormat="1" applyFont="1" applyFill="1"/>
    <xf numFmtId="164" fontId="5" fillId="3" borderId="0" xfId="0" applyNumberFormat="1" applyFont="1" applyFill="1"/>
    <xf numFmtId="164" fontId="5" fillId="0" borderId="0" xfId="0" applyNumberFormat="1" applyFont="1"/>
    <xf numFmtId="165" fontId="1" fillId="0" borderId="0" xfId="0" applyNumberFormat="1" applyFont="1"/>
    <xf numFmtId="164" fontId="25" fillId="0" borderId="0" xfId="0" applyNumberFormat="1" applyFont="1"/>
    <xf numFmtId="165" fontId="24" fillId="0" borderId="0" xfId="0" applyNumberFormat="1" applyFont="1"/>
    <xf numFmtId="167" fontId="5" fillId="3" borderId="0" xfId="0" applyNumberFormat="1" applyFont="1" applyFill="1"/>
    <xf numFmtId="167" fontId="4" fillId="0" borderId="0" xfId="0" applyNumberFormat="1" applyFont="1"/>
    <xf numFmtId="0" fontId="1" fillId="0" borderId="15" xfId="0" applyFont="1" applyBorder="1"/>
    <xf numFmtId="0" fontId="24" fillId="0" borderId="15" xfId="0" applyFont="1" applyBorder="1"/>
    <xf numFmtId="165" fontId="1" fillId="0" borderId="17" xfId="0" applyNumberFormat="1" applyFont="1" applyBorder="1"/>
    <xf numFmtId="165" fontId="24" fillId="0" borderId="17" xfId="0" applyNumberFormat="1" applyFont="1" applyBorder="1"/>
    <xf numFmtId="0" fontId="22" fillId="0" borderId="0" xfId="0" applyFont="1"/>
    <xf numFmtId="0" fontId="3" fillId="2" borderId="13" xfId="0" applyFont="1" applyFill="1" applyBorder="1"/>
    <xf numFmtId="0" fontId="3" fillId="2" borderId="21" xfId="0" applyFont="1" applyFill="1" applyBorder="1" applyAlignment="1">
      <alignment horizontal="center"/>
    </xf>
    <xf numFmtId="170" fontId="4" fillId="0" borderId="19" xfId="0" applyNumberFormat="1" applyFont="1" applyBorder="1"/>
    <xf numFmtId="0" fontId="2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13F9F0E-7819-4AFC-A598-E62B209006E1}">
  <we:reference id="wa200010725" version="1.0.0.1" store="en-US" storeType="OMEX"/>
  <we:alternateReferences>
    <we:reference id="WA200010725" version="1.0.0.1" store="" storeType="OMEX"/>
  </we:alternateReferences>
  <we:properties>
    <we:property name="claude.fileId" value="&quot;1a193b5a-b6b8-4407-b8a8-4b5ccbba6630&quot;"/>
  </we:properties>
  <we:bindings/>
  <we:snapshot xmlns:r="http://schemas.openxmlformats.org/officeDocument/2006/relationships"/>
</we:webextension>
</file>

<file path=xl/webextensions/webextension2.xml><?xml version="1.0" encoding="utf-8"?>
<we:webextension xmlns:we="http://schemas.microsoft.com/office/webextensions/webextension/2010/11" id="{BE1AC634-21B5-4E49-8441-FEE3AED59FEF}">
  <we:reference id="wa200009404" version="1.0.0.8" store="en-US" storeType="OMEX"/>
  <we:alternateReferences>
    <we:reference id="wa200009404" version="1.0.0.8" store="en-US" storeType="OMEX"/>
  </we:alternateReferences>
  <we:properties>
    <we:property name="claude.fileId" value="&quot;7c25de4f-d038-45ba-8a4a-727a508ed00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02F0-F1F3-443F-AC61-3807F1CEE6AA}">
  <dimension ref="A1"/>
  <sheetViews>
    <sheetView workbookViewId="0"/>
  </sheetViews>
  <sheetFormatPr defaultRowHeight="15" x14ac:dyDescent="0.25"/>
  <sheetData>
    <row r="1" spans="1:1" x14ac:dyDescent="0.25">
      <c r="A1" t="s">
        <v>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8577B-FE8D-41C3-A43D-D95025C2964D}">
  <dimension ref="A1:I28"/>
  <sheetViews>
    <sheetView showGridLines="0" tabSelected="1" zoomScale="97" workbookViewId="0">
      <pane ySplit="2" topLeftCell="A3" activePane="bottomLeft" state="frozen"/>
      <selection pane="bottomLeft" activeCell="E31" sqref="E31"/>
    </sheetView>
  </sheetViews>
  <sheetFormatPr defaultRowHeight="15" x14ac:dyDescent="0.25"/>
  <cols>
    <col min="1" max="1" width="48.140625" customWidth="1"/>
    <col min="2" max="7" width="12.28515625" customWidth="1"/>
  </cols>
  <sheetData>
    <row r="1" spans="1:9" ht="18.75" x14ac:dyDescent="0.3">
      <c r="A1" s="1" t="s">
        <v>50</v>
      </c>
    </row>
    <row r="2" spans="1:9" ht="15.75" thickBot="1" x14ac:dyDescent="0.3">
      <c r="A2" s="24" t="s">
        <v>0</v>
      </c>
      <c r="B2" s="25" t="s">
        <v>1</v>
      </c>
      <c r="C2" s="25" t="s">
        <v>2</v>
      </c>
      <c r="D2" s="25" t="s">
        <v>24</v>
      </c>
      <c r="E2" s="25" t="s">
        <v>3</v>
      </c>
      <c r="F2" s="25" t="s">
        <v>4</v>
      </c>
      <c r="G2" s="26" t="s">
        <v>25</v>
      </c>
      <c r="I2" s="34" t="s">
        <v>33</v>
      </c>
    </row>
    <row r="3" spans="1:9" x14ac:dyDescent="0.25">
      <c r="A3" s="14" t="s">
        <v>5</v>
      </c>
      <c r="B3" s="2">
        <v>21132</v>
      </c>
      <c r="C3" s="2">
        <v>23107</v>
      </c>
      <c r="D3" s="2" cm="1">
        <f t="array" aca="1" ref="D3" ca="1">_xll.SNL.Clients.Office.Excel.Functions.SPG($B$25,$I3,$B$26,$B$27,"Options:Source="&amp;$B$28&amp;",DataType=CD")</f>
        <v>22893.661626642599</v>
      </c>
      <c r="E3" s="3">
        <v>22791</v>
      </c>
      <c r="F3" s="4">
        <f t="shared" ref="F3:F11" si="0">IF(E3="","",IFERROR(E3/B3-1,""))</f>
        <v>7.8506530380465733E-2</v>
      </c>
      <c r="G3" s="19">
        <f t="shared" ref="G3:G11" ca="1" si="1">IF(E3="","",IFERROR(E3/D3-1,""))</f>
        <v>-4.4842816460223256E-3</v>
      </c>
      <c r="I3" s="35" t="s">
        <v>34</v>
      </c>
    </row>
    <row r="4" spans="1:9" x14ac:dyDescent="0.25">
      <c r="A4" s="15" t="s">
        <v>6</v>
      </c>
      <c r="B4" s="5">
        <v>17438</v>
      </c>
      <c r="C4" s="5">
        <v>18831</v>
      </c>
      <c r="D4" s="5" cm="1">
        <f t="array" aca="1" ref="D4" ca="1">_xll.SNL.Clients.Office.Excel.Functions.SPG($B$25,$I4,$B$26,$B$27,"Options:Source="&amp;$B$28&amp;",DataType=CD")</f>
        <v>19015.823101086</v>
      </c>
      <c r="E4" s="5">
        <v>18983</v>
      </c>
      <c r="F4" s="7">
        <f t="shared" si="0"/>
        <v>8.8599610047023658E-2</v>
      </c>
      <c r="G4" s="20">
        <f t="shared" ca="1" si="1"/>
        <v>-1.7260941538799202E-3</v>
      </c>
      <c r="I4" s="35" t="s">
        <v>35</v>
      </c>
    </row>
    <row r="5" spans="1:9" x14ac:dyDescent="0.25">
      <c r="A5" s="16" t="s">
        <v>7</v>
      </c>
      <c r="B5" s="5">
        <v>14078</v>
      </c>
      <c r="C5" s="5">
        <v>15629</v>
      </c>
      <c r="D5" s="5" cm="1">
        <f t="array" aca="1" ref="D5" ca="1">_xll.SNL.Clients.Office.Excel.Functions.SPG($B$25,$I5,$B$26,$B$27,"Options:Source="&amp;$B$28&amp;",DataType=CD")</f>
        <v>15867.648174912105</v>
      </c>
      <c r="E5" s="5">
        <v>15853</v>
      </c>
      <c r="F5" s="7">
        <f t="shared" si="0"/>
        <v>0.12608325046171331</v>
      </c>
      <c r="G5" s="20">
        <f t="shared" ca="1" si="1"/>
        <v>-9.2314719551600533E-4</v>
      </c>
      <c r="I5" s="35" t="s">
        <v>36</v>
      </c>
    </row>
    <row r="6" spans="1:9" x14ac:dyDescent="0.25">
      <c r="A6" s="16" t="s">
        <v>8</v>
      </c>
      <c r="B6" s="5">
        <v>2643</v>
      </c>
      <c r="C6" s="5">
        <v>2517</v>
      </c>
      <c r="D6" s="5" cm="1">
        <f t="array" aca="1" ref="D6" ca="1">_xll.SNL.Clients.Office.Excel.Functions.SPG($B$25,$I6,$B$26,$B$27,"Options:Source="&amp;$B$28&amp;",DataType=CD")</f>
        <v>2499.6834117959861</v>
      </c>
      <c r="E6" s="5">
        <v>2473</v>
      </c>
      <c r="F6" s="7">
        <f t="shared" si="0"/>
        <v>-6.4320847521755597E-2</v>
      </c>
      <c r="G6" s="20">
        <f t="shared" ca="1" si="1"/>
        <v>-1.0674716514126215E-2</v>
      </c>
      <c r="I6" s="35" t="s">
        <v>37</v>
      </c>
    </row>
    <row r="7" spans="1:9" x14ac:dyDescent="0.25">
      <c r="A7" s="16" t="s">
        <v>9</v>
      </c>
      <c r="B7" s="5">
        <v>717</v>
      </c>
      <c r="C7" s="5">
        <v>685</v>
      </c>
      <c r="D7" s="5" cm="1">
        <f t="array" aca="1" ref="D7" ca="1">_xll.SNL.Clients.Office.Excel.Functions.SPG($B$25,$I7,$B$26,$B$27,"Options:Source="&amp;$B$28&amp;",DataType=CD")</f>
        <v>648.49151437790329</v>
      </c>
      <c r="E7" s="5">
        <v>657</v>
      </c>
      <c r="F7" s="7">
        <f t="shared" si="0"/>
        <v>-8.3682008368200833E-2</v>
      </c>
      <c r="G7" s="20">
        <f t="shared" ca="1" si="1"/>
        <v>1.3120427073373353E-2</v>
      </c>
      <c r="I7" s="35" t="s">
        <v>38</v>
      </c>
    </row>
    <row r="8" spans="1:9" x14ac:dyDescent="0.25">
      <c r="A8" s="16" t="s">
        <v>10</v>
      </c>
      <c r="B8" s="5">
        <v>3439</v>
      </c>
      <c r="C8" s="5">
        <v>3996</v>
      </c>
      <c r="D8" s="5" cm="1">
        <f t="array" aca="1" ref="D8" ca="1">_xll.SNL.Clients.Office.Excel.Functions.SPG($B$25,$I8,$B$26,$B$27,"Options:Source="&amp;$B$28&amp;",DataType=CD")</f>
        <v>3600.2451935954628</v>
      </c>
      <c r="E8" s="5">
        <v>3524</v>
      </c>
      <c r="F8" s="7">
        <f t="shared" si="0"/>
        <v>2.4716487350974203E-2</v>
      </c>
      <c r="G8" s="20">
        <f t="shared" ca="1" si="1"/>
        <v>-2.1177778038867112E-2</v>
      </c>
      <c r="I8" s="35" t="s">
        <v>39</v>
      </c>
    </row>
    <row r="9" spans="1:9" x14ac:dyDescent="0.25">
      <c r="A9" s="16" t="s">
        <v>11</v>
      </c>
      <c r="B9" s="5">
        <v>2717</v>
      </c>
      <c r="C9" s="5">
        <v>3339</v>
      </c>
      <c r="D9" s="5" cm="1">
        <f t="array" aca="1" ref="D9" ca="1">_xll.SNL.Clients.Office.Excel.Functions.SPG($B$25,$I9,$B$26,$B$27,"Options:Source="&amp;$B$28&amp;",DataType=CD")</f>
        <v>3242.3017396416567</v>
      </c>
      <c r="E9" s="5">
        <v>2978</v>
      </c>
      <c r="F9" s="7">
        <f t="shared" si="0"/>
        <v>9.6061832903938216E-2</v>
      </c>
      <c r="G9" s="20">
        <f t="shared" ca="1" si="1"/>
        <v>-8.1516700438518663E-2</v>
      </c>
      <c r="I9" s="36" t="s">
        <v>47</v>
      </c>
    </row>
    <row r="10" spans="1:9" x14ac:dyDescent="0.25">
      <c r="A10" s="16" t="s">
        <v>12</v>
      </c>
      <c r="B10" s="5">
        <v>4659</v>
      </c>
      <c r="C10" s="5">
        <v>5488</v>
      </c>
      <c r="D10" s="5" cm="1">
        <f t="array" aca="1" ref="D10" ca="1">_xll.SNL.Clients.Office.Excel.Functions.SPG($B$25,$I10,$B$26,$B$27,"Options:Source="&amp;$B$28&amp;",DataType=CD")</f>
        <v>4905.2403538448743</v>
      </c>
      <c r="E10" s="5">
        <v>5055</v>
      </c>
      <c r="F10" s="7">
        <f t="shared" si="0"/>
        <v>8.499678042498382E-2</v>
      </c>
      <c r="G10" s="20">
        <f t="shared" ca="1" si="1"/>
        <v>3.0530541900508412E-2</v>
      </c>
      <c r="I10" s="35" t="s">
        <v>40</v>
      </c>
    </row>
    <row r="11" spans="1:9" x14ac:dyDescent="0.25">
      <c r="A11" s="14" t="s">
        <v>13</v>
      </c>
      <c r="B11" s="2">
        <v>8547</v>
      </c>
      <c r="C11" s="2">
        <v>9241</v>
      </c>
      <c r="D11" s="2" cm="1">
        <f t="array" aca="1" ref="D11" ca="1">_xll.SNL.Clients.Office.Excel.Functions.SPG($B$25,$I11,$B$26,$B$27,"Options:Source="&amp;$B$28&amp;",DataType=CD")</f>
        <v>9402.4731297332128</v>
      </c>
      <c r="E11" s="3">
        <v>9537</v>
      </c>
      <c r="F11" s="4">
        <f t="shared" si="0"/>
        <v>0.11583011583011582</v>
      </c>
      <c r="G11" s="19">
        <f t="shared" ca="1" si="1"/>
        <v>1.4307604862105583E-2</v>
      </c>
      <c r="I11" s="35" t="s">
        <v>41</v>
      </c>
    </row>
    <row r="12" spans="1:9" x14ac:dyDescent="0.25">
      <c r="A12" s="16" t="s">
        <v>14</v>
      </c>
      <c r="B12" s="28">
        <f>IFERROR(B11/B4,"")</f>
        <v>0.49013648354169054</v>
      </c>
      <c r="C12" s="28">
        <f>IFERROR(C11/C4,"")</f>
        <v>0.49073336519568794</v>
      </c>
      <c r="D12" s="7">
        <f ca="1">IFERROR(D11/D4,"")</f>
        <v>0.49445522708907796</v>
      </c>
      <c r="E12" s="7">
        <f>IFERROR(E11/E4,"")</f>
        <v>0.5023968814202181</v>
      </c>
      <c r="F12" s="7">
        <f>IFERROR(E12-B12,"")</f>
        <v>1.2260397878527562E-2</v>
      </c>
      <c r="G12" s="20">
        <f ca="1">IFERROR(E12-D12,"")</f>
        <v>7.9416543311401355E-3</v>
      </c>
    </row>
    <row r="13" spans="1:9" x14ac:dyDescent="0.25">
      <c r="A13" s="15" t="s">
        <v>15</v>
      </c>
      <c r="B13" s="5">
        <v>8541</v>
      </c>
      <c r="C13" s="5">
        <v>9240</v>
      </c>
      <c r="D13" s="5" cm="1">
        <f t="array" aca="1" ref="D13" ca="1">_xll.SNL.Clients.Office.Excel.Functions.SPG($B$25,$I13,$B$26,$B$27,"Options:Source="&amp;$B$28&amp;",DataType=CD")</f>
        <v>9401.7736896714814</v>
      </c>
      <c r="E13" s="5">
        <v>9537</v>
      </c>
      <c r="F13" s="7">
        <f>IF(E13="","",IFERROR(E13/B13-1,""))</f>
        <v>0.11661397962767817</v>
      </c>
      <c r="G13" s="20">
        <f ca="1">IF(E13="","",IFERROR(E13/D13-1,""))</f>
        <v>1.438306374860665E-2</v>
      </c>
      <c r="I13" s="35" t="s">
        <v>42</v>
      </c>
    </row>
    <row r="14" spans="1:9" x14ac:dyDescent="0.25">
      <c r="A14" s="16" t="s">
        <v>16</v>
      </c>
      <c r="B14" s="28">
        <f>IFERROR(B13/B4,"")</f>
        <v>0.48979240738616814</v>
      </c>
      <c r="C14" s="28">
        <f>IFERROR(C13/C4,"")</f>
        <v>0.49068026127130793</v>
      </c>
      <c r="D14" s="7">
        <f ca="1">IFERROR(D13/D4,"")</f>
        <v>0.4944184450861106</v>
      </c>
      <c r="E14" s="7">
        <f>IFERROR(E13/E4,"")</f>
        <v>0.5023968814202181</v>
      </c>
      <c r="F14" s="7">
        <f>IFERROR(E14-B14,"")</f>
        <v>1.2604474034049962E-2</v>
      </c>
      <c r="G14" s="20">
        <f ca="1">IFERROR(E14-D14,"")</f>
        <v>7.9784363341074971E-3</v>
      </c>
    </row>
    <row r="15" spans="1:9" x14ac:dyDescent="0.25">
      <c r="A15" s="16" t="s">
        <v>17</v>
      </c>
      <c r="B15" s="5">
        <v>2396</v>
      </c>
      <c r="C15" s="5">
        <v>2623</v>
      </c>
      <c r="D15" s="5" cm="1">
        <f t="array" aca="1" ref="D15" ca="1">_xll.SNL.Clients.Office.Excel.Functions.SPG($B$25,$I15,$B$26,$B$27,"Options:Source="&amp;$B$28&amp;",DataType=CD")</f>
        <v>2461.9555686106373</v>
      </c>
      <c r="E15" s="5">
        <v>2703</v>
      </c>
      <c r="F15" s="7">
        <f>IF(E15="","",IFERROR(E15/B15-1,""))</f>
        <v>0.12813021702838068</v>
      </c>
      <c r="G15" s="20">
        <f ca="1">IF(E15="","",IFERROR(E15/D15-1,""))</f>
        <v>9.7907709815166166E-2</v>
      </c>
      <c r="I15" s="35" t="s">
        <v>43</v>
      </c>
    </row>
    <row r="16" spans="1:9" x14ac:dyDescent="0.25">
      <c r="A16" s="16" t="s">
        <v>18</v>
      </c>
      <c r="B16" s="5">
        <v>4596</v>
      </c>
      <c r="C16" s="5">
        <v>4599</v>
      </c>
      <c r="D16" s="5" cm="1">
        <f t="array" ref="D16">_xll.SNL.Clients.Office.Excel.Functions.SPG("NASDAQGS:TMUS","Adjusted Free Cash Flow","FQ22026", "Options:DataType=CD, Src=Consensus")</f>
        <v>4527.5466189460349</v>
      </c>
      <c r="E16" s="5">
        <v>4797</v>
      </c>
      <c r="F16" s="7">
        <f>IF(E16="","",IFERROR(E16/B16-1,""))</f>
        <v>4.3733681462140961E-2</v>
      </c>
      <c r="G16" s="20">
        <f>IF(E16="","",IFERROR(E16/D16-1,""))</f>
        <v>5.9514214591718684E-2</v>
      </c>
      <c r="I16" s="36" t="s">
        <v>48</v>
      </c>
    </row>
    <row r="17" spans="1:9" x14ac:dyDescent="0.25">
      <c r="A17" s="14" t="s">
        <v>19</v>
      </c>
      <c r="B17" s="8">
        <v>2.84</v>
      </c>
      <c r="C17" s="8">
        <v>2.27</v>
      </c>
      <c r="D17" s="8" cm="1">
        <f t="array" ref="D17">_xll.SNL.Clients.Office.Excel.Functions.SPG("NASDAQGS:TMUS","Diluted EPS","FQ22026", "Options:DataType=CD, Src=Consensus")</f>
        <v>2.5800652371497752</v>
      </c>
      <c r="E17" s="9">
        <v>2.99</v>
      </c>
      <c r="F17" s="4">
        <f>IF(E17="","",IFERROR(E17/B17-1,""))</f>
        <v>5.2816901408450745E-2</v>
      </c>
      <c r="G17" s="19">
        <f>IF(E17="","",IFERROR(E17/D17-1,""))</f>
        <v>0.15888542543330586</v>
      </c>
      <c r="I17" s="36" t="s">
        <v>49</v>
      </c>
    </row>
    <row r="18" spans="1:9" x14ac:dyDescent="0.25">
      <c r="A18" s="16"/>
      <c r="B18" s="27"/>
      <c r="C18" s="27"/>
      <c r="D18" s="6"/>
      <c r="E18" s="6"/>
      <c r="F18" s="6"/>
      <c r="G18" s="21"/>
    </row>
    <row r="19" spans="1:9" x14ac:dyDescent="0.25">
      <c r="A19" s="17" t="s">
        <v>20</v>
      </c>
      <c r="B19" s="29"/>
      <c r="C19" s="29"/>
      <c r="D19" s="10"/>
      <c r="E19" s="10"/>
      <c r="F19" s="10"/>
      <c r="G19" s="22"/>
    </row>
    <row r="20" spans="1:9" x14ac:dyDescent="0.25">
      <c r="A20" s="16" t="s">
        <v>21</v>
      </c>
      <c r="B20" s="5">
        <v>318</v>
      </c>
      <c r="C20" s="5">
        <v>217</v>
      </c>
      <c r="D20" s="5" cm="1">
        <f t="array" aca="1" ref="D20" ca="1">_xll.SNL.Clients.Office.Excel.Functions.SPG($B$25,$I20,$B$26,$B$27,"Options:Source="&amp;$B$28&amp;",DataType=CD")</f>
        <v>259.04822924594669</v>
      </c>
      <c r="E20" s="5">
        <v>277</v>
      </c>
      <c r="F20" s="7">
        <f>IF(E20="","",IFERROR(E20/B20-1,""))</f>
        <v>-0.12893081761006286</v>
      </c>
      <c r="G20" s="20">
        <f ca="1">IF(E20="","",IFERROR(E20/D20-1,""))</f>
        <v>6.9298951806419984E-2</v>
      </c>
      <c r="I20" s="35" t="s">
        <v>44</v>
      </c>
    </row>
    <row r="21" spans="1:9" x14ac:dyDescent="0.25">
      <c r="A21" s="16" t="s">
        <v>22</v>
      </c>
      <c r="B21" s="11">
        <v>149.87</v>
      </c>
      <c r="C21" s="11">
        <v>151.93</v>
      </c>
      <c r="D21" s="11" cm="1">
        <f t="array" aca="1" ref="D21" ca="1">_xll.SNL.Clients.Office.Excel.Functions.SPG($B$25,$I21,$B$26,$B$27,"Options:Source="&amp;$B$28&amp;",DataType=CD")</f>
        <v>153.01159331304376</v>
      </c>
      <c r="E21" s="11">
        <v>152.91</v>
      </c>
      <c r="F21" s="7">
        <f>IF(E21="","",IFERROR(E21/B21-1,""))</f>
        <v>2.028424634683379E-2</v>
      </c>
      <c r="G21" s="20">
        <f ca="1">IF(E21="","",IFERROR(E21/D21-1,""))</f>
        <v>-6.6395827168408417E-4</v>
      </c>
      <c r="I21" s="35" t="s">
        <v>45</v>
      </c>
    </row>
    <row r="22" spans="1:9" x14ac:dyDescent="0.25">
      <c r="A22" s="18" t="s">
        <v>23</v>
      </c>
      <c r="B22" s="12">
        <v>9.1999999999999998E-3</v>
      </c>
      <c r="C22" s="12">
        <v>1.04E-2</v>
      </c>
      <c r="D22" s="70" cm="1">
        <f t="array" aca="1" ref="D22" ca="1">_xll.SNL.Clients.Office.Excel.Functions.SPG($B$25,$I22,$B$26,$B$27,"Options:Source="&amp;$B$28&amp;",DataType=CD")/100</f>
        <v>9.9624999999999991E-3</v>
      </c>
      <c r="E22" s="12">
        <v>9.9000000000000008E-3</v>
      </c>
      <c r="F22" s="13">
        <f>IF(OR(E22="",B22=""),"",E22-B22)</f>
        <v>7.0000000000000097E-4</v>
      </c>
      <c r="G22" s="23">
        <f ca="1">IF(OR(E22="",D22=""),"",E22-D22)</f>
        <v>-6.2499999999998321E-5</v>
      </c>
      <c r="I22" s="35" t="s">
        <v>46</v>
      </c>
    </row>
    <row r="24" spans="1:9" x14ac:dyDescent="0.25">
      <c r="A24" s="30" t="s">
        <v>26</v>
      </c>
      <c r="B24" s="31"/>
      <c r="C24" s="31"/>
      <c r="D24" s="31"/>
      <c r="E24" s="31"/>
      <c r="F24" s="31"/>
      <c r="G24" s="31"/>
    </row>
    <row r="25" spans="1:9" x14ac:dyDescent="0.25">
      <c r="A25" t="s">
        <v>27</v>
      </c>
      <c r="B25" s="32" t="s">
        <v>28</v>
      </c>
    </row>
    <row r="26" spans="1:9" x14ac:dyDescent="0.25">
      <c r="A26" t="s">
        <v>29</v>
      </c>
      <c r="B26" s="32" t="s">
        <v>30</v>
      </c>
    </row>
    <row r="27" spans="1:9" x14ac:dyDescent="0.25">
      <c r="A27" t="s">
        <v>31</v>
      </c>
      <c r="B27" s="33">
        <f ca="1">TODAY()</f>
        <v>46226</v>
      </c>
    </row>
    <row r="28" spans="1:9" x14ac:dyDescent="0.25">
      <c r="A28" t="s">
        <v>32</v>
      </c>
      <c r="B28" s="32" t="s">
        <v>24</v>
      </c>
    </row>
  </sheetData>
  <pageMargins left="0.7" right="0.7" top="0.75" bottom="0.75" header="0.3" footer="0.3"/>
  <customProperties>
    <customPr name="UniqueName" r:id="rId1"/>
  </customPropertie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C6C6-4D9D-49D0-80C0-B6E15DC2CF80}">
  <dimension ref="A1:I43"/>
  <sheetViews>
    <sheetView showGridLines="0" zoomScale="69" workbookViewId="0">
      <selection activeCell="B3" sqref="B3"/>
    </sheetView>
  </sheetViews>
  <sheetFormatPr defaultRowHeight="15" x14ac:dyDescent="0.25"/>
  <cols>
    <col min="1" max="1" width="42.5703125" customWidth="1"/>
    <col min="2" max="7" width="13.85546875" customWidth="1"/>
    <col min="9" max="9" width="16.7109375" customWidth="1"/>
  </cols>
  <sheetData>
    <row r="1" spans="1:9" ht="18.75" x14ac:dyDescent="0.3">
      <c r="A1" s="37" t="s">
        <v>51</v>
      </c>
    </row>
    <row r="2" spans="1:9" ht="15.75" thickBot="1" x14ac:dyDescent="0.3">
      <c r="A2" s="44" t="s">
        <v>0</v>
      </c>
      <c r="B2" s="43" t="s">
        <v>1</v>
      </c>
      <c r="C2" s="43" t="s">
        <v>2</v>
      </c>
      <c r="D2" s="43" t="s">
        <v>24</v>
      </c>
      <c r="E2" s="43" t="s">
        <v>3</v>
      </c>
      <c r="F2" s="43" t="s">
        <v>4</v>
      </c>
      <c r="G2" s="61" t="s">
        <v>25</v>
      </c>
      <c r="I2" s="38" t="s">
        <v>33</v>
      </c>
    </row>
    <row r="3" spans="1:9" x14ac:dyDescent="0.25">
      <c r="A3" s="45" t="s">
        <v>5</v>
      </c>
      <c r="B3" s="46">
        <f>B4+B7+B8+B9</f>
        <v>30847</v>
      </c>
      <c r="C3" s="46">
        <f>C4+C7+C8+C9</f>
        <v>31506</v>
      </c>
      <c r="D3" s="47" t="str" cm="1">
        <f t="array" aca="1" ref="D3" ca="1">_xll.SNL.Clients.Office.Excel.Functions.SPG($B$40,$I3,$B$41,$B$42,"Options:Source="&amp;$B$43&amp;",DataType=CD")</f>
        <v>#PEND</v>
      </c>
      <c r="E3" s="72"/>
      <c r="F3" s="48" t="str">
        <f t="shared" ref="F3:F16" si="0">IF(E3="","",IFERROR(E3/B3-1,""))</f>
        <v/>
      </c>
      <c r="G3" s="62" t="str">
        <f t="shared" ref="G3:G16" si="1">IF(E3="","",IFERROR(E3/D3-1,""))</f>
        <v/>
      </c>
      <c r="I3" s="36" t="s">
        <v>79</v>
      </c>
    </row>
    <row r="4" spans="1:9" x14ac:dyDescent="0.25">
      <c r="A4" s="49" t="s">
        <v>52</v>
      </c>
      <c r="B4" s="50">
        <f>B5+B6</f>
        <v>27497</v>
      </c>
      <c r="C4" s="50">
        <f>C5+C6</f>
        <v>28471</v>
      </c>
      <c r="D4" s="53" t="str" cm="1">
        <f t="array" aca="1" ref="D4" ca="1">_xll.SNL.Clients.Office.Excel.Functions.SPG($B$40,$I4,$B$41,$B$42,"Options:Source="&amp;$B$43&amp;",DataType=CD")</f>
        <v>#PEND</v>
      </c>
      <c r="F4" s="51" t="str">
        <f t="shared" si="0"/>
        <v/>
      </c>
      <c r="G4" s="63" t="str">
        <f t="shared" si="1"/>
        <v/>
      </c>
      <c r="I4" t="s">
        <v>80</v>
      </c>
    </row>
    <row r="5" spans="1:9" x14ac:dyDescent="0.25">
      <c r="A5" s="52" t="s">
        <v>53</v>
      </c>
      <c r="B5" s="53">
        <v>21295</v>
      </c>
      <c r="C5" s="53">
        <v>22152</v>
      </c>
      <c r="D5" s="53" t="str" cm="1">
        <f t="array" aca="1" ref="D5" ca="1">_xll.SNL.Clients.Office.Excel.Functions.SPG($B$40,$I5,$B$41,$B$42,"Options:Source="&amp;$B$43&amp;",DataType=CD")</f>
        <v>#PEND</v>
      </c>
      <c r="F5" s="51" t="str">
        <f t="shared" si="0"/>
        <v/>
      </c>
      <c r="G5" s="63" t="str">
        <f t="shared" si="1"/>
        <v/>
      </c>
      <c r="I5" t="s">
        <v>81</v>
      </c>
    </row>
    <row r="6" spans="1:9" x14ac:dyDescent="0.25">
      <c r="A6" s="52" t="s">
        <v>54</v>
      </c>
      <c r="B6" s="53">
        <v>6202</v>
      </c>
      <c r="C6" s="53">
        <v>6319</v>
      </c>
      <c r="D6" s="53" t="str" cm="1">
        <f t="array" aca="1" ref="D6" ca="1">_xll.SNL.Clients.Office.Excel.Functions.SPG($B$40,$I6,$B$41,$B$42,"Options:Source="&amp;$B$43&amp;",DataType=CD")</f>
        <v>#PEND</v>
      </c>
      <c r="F6" s="51" t="str">
        <f t="shared" si="0"/>
        <v/>
      </c>
      <c r="G6" s="63" t="str">
        <f t="shared" si="1"/>
        <v/>
      </c>
      <c r="I6" t="s">
        <v>82</v>
      </c>
    </row>
    <row r="7" spans="1:9" x14ac:dyDescent="0.25">
      <c r="A7" s="52" t="s">
        <v>55</v>
      </c>
      <c r="B7" s="53">
        <v>2202</v>
      </c>
      <c r="C7" s="53">
        <v>1768</v>
      </c>
      <c r="D7" s="53" t="str" cm="1">
        <f t="array" aca="1" ref="D7" ca="1">_xll.SNL.Clients.Office.Excel.Functions.SPG($B$40,$I7,$B$41,$B$42,"Options:Source="&amp;$B$43&amp;",DataType=CD")</f>
        <v>#PEND</v>
      </c>
      <c r="F7" s="51" t="str">
        <f t="shared" si="0"/>
        <v/>
      </c>
      <c r="G7" s="63" t="str">
        <f t="shared" si="1"/>
        <v/>
      </c>
      <c r="I7" t="s">
        <v>83</v>
      </c>
    </row>
    <row r="8" spans="1:9" x14ac:dyDescent="0.25">
      <c r="A8" s="52" t="s">
        <v>56</v>
      </c>
      <c r="B8" s="53">
        <v>1054</v>
      </c>
      <c r="C8" s="53">
        <v>1173</v>
      </c>
      <c r="D8" s="53" t="str" cm="1">
        <f t="array" aca="1" ref="D8" ca="1">_xll.SNL.Clients.Office.Excel.Functions.SPG($B$40,$I8,$B$41,$B$42,"Options:Source="&amp;$B$43&amp;",DataType=CD")</f>
        <v>#PEND</v>
      </c>
      <c r="F8" s="51" t="str">
        <f t="shared" si="0"/>
        <v/>
      </c>
      <c r="G8" s="63" t="str">
        <f t="shared" si="1"/>
        <v/>
      </c>
      <c r="I8" s="36" t="s">
        <v>84</v>
      </c>
    </row>
    <row r="9" spans="1:9" x14ac:dyDescent="0.25">
      <c r="A9" s="52" t="s">
        <v>57</v>
      </c>
      <c r="B9" s="53">
        <v>94</v>
      </c>
      <c r="C9" s="53">
        <v>94</v>
      </c>
      <c r="D9" s="53" t="str" cm="1">
        <f t="array" aca="1" ref="D9" ca="1">_xll.SNL.Clients.Office.Excel.Functions.SPG($B$40,$I9,$B$41,$B$42,"Options:Source="&amp;$B$43&amp;",DataType=CD")</f>
        <v>#PEND</v>
      </c>
      <c r="F9" s="51" t="str">
        <f t="shared" si="0"/>
        <v/>
      </c>
      <c r="G9" s="63" t="str">
        <f t="shared" si="1"/>
        <v/>
      </c>
      <c r="I9" s="36" t="s">
        <v>85</v>
      </c>
    </row>
    <row r="10" spans="1:9" x14ac:dyDescent="0.25">
      <c r="A10" s="45" t="s">
        <v>58</v>
      </c>
      <c r="B10" s="46">
        <f>B11+B14+B15+B16</f>
        <v>11731</v>
      </c>
      <c r="C10" s="46">
        <f>C11+C14+C15+C16</f>
        <v>11795</v>
      </c>
      <c r="D10" s="47" t="str" cm="1">
        <f t="array" aca="1" ref="D10" ca="1">_xll.SNL.Clients.Office.Excel.Functions.SPG($B$40,$I10,$B$41,$B$42,"Options:Source="&amp;$B$43&amp;",DataType=CD")</f>
        <v>#PEND</v>
      </c>
      <c r="E10" s="72"/>
      <c r="F10" s="48" t="str">
        <f t="shared" si="0"/>
        <v/>
      </c>
      <c r="G10" s="62" t="str">
        <f t="shared" si="1"/>
        <v/>
      </c>
      <c r="I10" s="36" t="s">
        <v>86</v>
      </c>
    </row>
    <row r="11" spans="1:9" x14ac:dyDescent="0.25">
      <c r="A11" s="49" t="s">
        <v>52</v>
      </c>
      <c r="B11" s="50">
        <f>B12+B13</f>
        <v>11141</v>
      </c>
      <c r="C11" s="50">
        <f>C12+C13</f>
        <v>11558</v>
      </c>
      <c r="D11" s="53" t="str" cm="1">
        <f t="array" aca="1" ref="D11" ca="1">_xll.SNL.Clients.Office.Excel.Functions.SPG($B$40,$I11,$B$41,$B$42,"Options:Source="&amp;$B$43&amp;",DataType=CD")</f>
        <v>#PEND</v>
      </c>
      <c r="F11" s="51" t="str">
        <f t="shared" si="0"/>
        <v/>
      </c>
      <c r="G11" s="63" t="str">
        <f t="shared" si="1"/>
        <v/>
      </c>
      <c r="I11" s="36" t="s">
        <v>87</v>
      </c>
    </row>
    <row r="12" spans="1:9" hidden="1" x14ac:dyDescent="0.25">
      <c r="A12" s="52" t="s">
        <v>53</v>
      </c>
      <c r="B12" s="53">
        <v>9429</v>
      </c>
      <c r="C12" s="53">
        <v>9563</v>
      </c>
      <c r="F12" s="51" t="str">
        <f t="shared" si="0"/>
        <v/>
      </c>
      <c r="G12" s="63" t="str">
        <f t="shared" si="1"/>
        <v/>
      </c>
    </row>
    <row r="13" spans="1:9" hidden="1" x14ac:dyDescent="0.25">
      <c r="A13" s="52" t="s">
        <v>54</v>
      </c>
      <c r="B13" s="53">
        <v>1712</v>
      </c>
      <c r="C13" s="53">
        <v>1995</v>
      </c>
      <c r="F13" s="51" t="str">
        <f t="shared" si="0"/>
        <v/>
      </c>
      <c r="G13" s="63" t="str">
        <f t="shared" si="1"/>
        <v/>
      </c>
    </row>
    <row r="14" spans="1:9" x14ac:dyDescent="0.25">
      <c r="A14" s="52" t="s">
        <v>55</v>
      </c>
      <c r="B14" s="53">
        <v>959</v>
      </c>
      <c r="C14" s="53">
        <v>612</v>
      </c>
      <c r="D14" s="53" t="str" cm="1">
        <f t="array" aca="1" ref="D14" ca="1">_xll.SNL.Clients.Office.Excel.Functions.SPG($B$40,$I14,$B$41,$B$42,"Options:Source="&amp;$B$43&amp;",DataType=CD")</f>
        <v>#PEND</v>
      </c>
      <c r="F14" s="51" t="str">
        <f t="shared" si="0"/>
        <v/>
      </c>
      <c r="G14" s="63" t="str">
        <f t="shared" si="1"/>
        <v/>
      </c>
      <c r="I14" s="36" t="s">
        <v>88</v>
      </c>
    </row>
    <row r="15" spans="1:9" x14ac:dyDescent="0.25">
      <c r="A15" s="52" t="s">
        <v>56</v>
      </c>
      <c r="B15" s="53">
        <v>201</v>
      </c>
      <c r="C15" s="53">
        <v>220</v>
      </c>
      <c r="D15" s="53" t="str" cm="1">
        <f t="array" aca="1" ref="D15" ca="1">_xll.SNL.Clients.Office.Excel.Functions.SPG($B$40,$I15,$B$41,$B$42,"Options:Source="&amp;$B$43&amp;",DataType=CD")</f>
        <v>#PEND</v>
      </c>
      <c r="F15" s="51" t="str">
        <f t="shared" si="0"/>
        <v/>
      </c>
      <c r="G15" s="63" t="str">
        <f t="shared" si="1"/>
        <v/>
      </c>
      <c r="I15" s="36" t="s">
        <v>89</v>
      </c>
    </row>
    <row r="16" spans="1:9" x14ac:dyDescent="0.25">
      <c r="A16" s="52" t="s">
        <v>57</v>
      </c>
      <c r="B16" s="53">
        <v>-570</v>
      </c>
      <c r="C16" s="53">
        <v>-595</v>
      </c>
      <c r="D16" s="53" t="str" cm="1">
        <f t="array" aca="1" ref="D16" ca="1">_xll.SNL.Clients.Office.Excel.Functions.SPG($B$40,$I16,$B$41,$B$42,"Options:Source="&amp;$B$43&amp;",DataType=CD")</f>
        <v>#PEND</v>
      </c>
      <c r="F16" s="51" t="str">
        <f t="shared" si="0"/>
        <v/>
      </c>
      <c r="G16" s="63" t="str">
        <f t="shared" si="1"/>
        <v/>
      </c>
      <c r="I16" s="36" t="s">
        <v>90</v>
      </c>
    </row>
    <row r="17" spans="1:9" x14ac:dyDescent="0.25">
      <c r="A17" s="52" t="s">
        <v>59</v>
      </c>
      <c r="B17" s="51">
        <f t="shared" ref="B17:D18" si="2">IFERROR(B10/B3,"")</f>
        <v>0.38029630109897233</v>
      </c>
      <c r="C17" s="51">
        <f t="shared" si="2"/>
        <v>0.3743731352758205</v>
      </c>
      <c r="D17" s="51" t="str">
        <f t="shared" ca="1" si="2"/>
        <v/>
      </c>
      <c r="F17" s="51" t="str">
        <f t="shared" ref="F17:F23" si="3">IF(E17="","",IFERROR(E17-B17,""))</f>
        <v/>
      </c>
      <c r="G17" s="73" t="str">
        <f t="shared" ref="G17:G23" si="4">IF(E17="","",IFERROR(E17-D17,""))</f>
        <v/>
      </c>
    </row>
    <row r="18" spans="1:9" x14ac:dyDescent="0.25">
      <c r="A18" s="49" t="s">
        <v>60</v>
      </c>
      <c r="B18" s="51">
        <f t="shared" si="2"/>
        <v>0.40517147325162745</v>
      </c>
      <c r="C18" s="51">
        <f t="shared" si="2"/>
        <v>0.4059569386393172</v>
      </c>
      <c r="D18" s="51" t="str">
        <f t="shared" ca="1" si="2"/>
        <v/>
      </c>
      <c r="F18" s="51" t="str">
        <f t="shared" si="3"/>
        <v/>
      </c>
      <c r="G18" s="63" t="str">
        <f t="shared" si="4"/>
        <v/>
      </c>
    </row>
    <row r="19" spans="1:9" hidden="1" x14ac:dyDescent="0.25">
      <c r="A19" s="52" t="s">
        <v>61</v>
      </c>
      <c r="B19" s="51">
        <f t="shared" ref="B19:C23" si="5">IFERROR(B12/B5,"")</f>
        <v>0.44277999530406198</v>
      </c>
      <c r="C19" s="51">
        <f t="shared" si="5"/>
        <v>0.43169916937522573</v>
      </c>
      <c r="F19" s="51" t="str">
        <f t="shared" si="3"/>
        <v/>
      </c>
      <c r="G19" s="63" t="str">
        <f t="shared" si="4"/>
        <v/>
      </c>
    </row>
    <row r="20" spans="1:9" hidden="1" x14ac:dyDescent="0.25">
      <c r="A20" s="52" t="s">
        <v>62</v>
      </c>
      <c r="B20" s="51">
        <f t="shared" si="5"/>
        <v>0.27603998710093519</v>
      </c>
      <c r="C20" s="51">
        <f t="shared" si="5"/>
        <v>0.31571451178984017</v>
      </c>
      <c r="F20" s="51" t="str">
        <f t="shared" si="3"/>
        <v/>
      </c>
      <c r="G20" s="63" t="str">
        <f t="shared" si="4"/>
        <v/>
      </c>
    </row>
    <row r="21" spans="1:9" x14ac:dyDescent="0.25">
      <c r="A21" s="52" t="s">
        <v>63</v>
      </c>
      <c r="B21" s="51">
        <f t="shared" si="5"/>
        <v>0.43551316984559491</v>
      </c>
      <c r="C21" s="51">
        <f t="shared" si="5"/>
        <v>0.34615384615384615</v>
      </c>
      <c r="D21" s="51" t="str">
        <f ca="1">IFERROR(D14/D7,"")</f>
        <v/>
      </c>
      <c r="F21" s="51" t="str">
        <f t="shared" si="3"/>
        <v/>
      </c>
      <c r="G21" s="63" t="str">
        <f t="shared" si="4"/>
        <v/>
      </c>
    </row>
    <row r="22" spans="1:9" x14ac:dyDescent="0.25">
      <c r="A22" s="52" t="s">
        <v>64</v>
      </c>
      <c r="B22" s="51">
        <f t="shared" si="5"/>
        <v>0.19070208728652752</v>
      </c>
      <c r="C22" s="51">
        <f t="shared" si="5"/>
        <v>0.18755328218243819</v>
      </c>
      <c r="D22" s="51" t="str">
        <f ca="1">IFERROR(D15/D8,"")</f>
        <v/>
      </c>
      <c r="F22" s="51" t="str">
        <f t="shared" si="3"/>
        <v/>
      </c>
      <c r="G22" s="63" t="str">
        <f t="shared" si="4"/>
        <v/>
      </c>
    </row>
    <row r="23" spans="1:9" x14ac:dyDescent="0.25">
      <c r="A23" s="52" t="s">
        <v>65</v>
      </c>
      <c r="B23" s="51">
        <f t="shared" si="5"/>
        <v>-6.0638297872340425</v>
      </c>
      <c r="C23" s="51">
        <f t="shared" si="5"/>
        <v>-6.3297872340425529</v>
      </c>
      <c r="D23" s="51" t="str">
        <f ca="1">IFERROR(D16/D9,"")</f>
        <v/>
      </c>
      <c r="F23" s="51" t="str">
        <f t="shared" si="3"/>
        <v/>
      </c>
      <c r="G23" s="63" t="str">
        <f t="shared" si="4"/>
        <v/>
      </c>
    </row>
    <row r="24" spans="1:9" x14ac:dyDescent="0.25">
      <c r="A24" s="52" t="s">
        <v>66</v>
      </c>
      <c r="B24" s="53">
        <v>9763</v>
      </c>
      <c r="C24" s="53">
        <v>7595</v>
      </c>
      <c r="D24" s="53" t="str" cm="1">
        <f t="array" aca="1" ref="D24" ca="1">_xll.SNL.Clients.Office.Excel.Functions.SPG($B$40,$I24,$B$41,$B$42,"Options:Source="&amp;$B$43&amp;",DataType=CD")</f>
        <v>#PEND</v>
      </c>
      <c r="F24" s="51" t="str">
        <f>IF(E24="","",IFERROR(E24/B24-1,""))</f>
        <v/>
      </c>
      <c r="G24" s="73" t="str">
        <f>IF(E24="","",IFERROR(E24/D24-1,""))</f>
        <v/>
      </c>
      <c r="I24" s="36" t="s">
        <v>91</v>
      </c>
    </row>
    <row r="25" spans="1:9" x14ac:dyDescent="0.25">
      <c r="A25" s="52" t="s">
        <v>67</v>
      </c>
      <c r="B25" s="53">
        <v>5117</v>
      </c>
      <c r="C25" s="53">
        <v>5089</v>
      </c>
      <c r="D25" s="53" t="str" cm="1">
        <f t="array" aca="1" ref="D25" ca="1">_xll.SNL.Clients.Office.Excel.Functions.SPG($B$40,$I25,$B$41,$B$42,"Options:Source="&amp;$B$43&amp;",DataType=CD")</f>
        <v>#PEND</v>
      </c>
      <c r="F25" s="51" t="str">
        <f>IF(E25="","",IFERROR(E25/B25-1,""))</f>
        <v/>
      </c>
      <c r="G25" s="73" t="str">
        <f>IF(E25="","",IFERROR(E25/D25-1,""))</f>
        <v/>
      </c>
      <c r="I25" s="36" t="s">
        <v>92</v>
      </c>
    </row>
    <row r="26" spans="1:9" x14ac:dyDescent="0.25">
      <c r="A26" s="52" t="s">
        <v>68</v>
      </c>
      <c r="B26" s="53">
        <v>4394</v>
      </c>
      <c r="C26" s="53">
        <v>2506</v>
      </c>
      <c r="D26" s="50" t="str">
        <f ca="1">IFERROR(D24-D25,"")</f>
        <v/>
      </c>
      <c r="F26" s="51" t="str">
        <f>IF(E26="","",IFERROR(E26/B26-1,""))</f>
        <v/>
      </c>
      <c r="G26" s="73" t="str">
        <f>IF(E26="","",IFERROR(E26/D26-1,""))</f>
        <v/>
      </c>
    </row>
    <row r="27" spans="1:9" x14ac:dyDescent="0.25">
      <c r="A27" s="45" t="s">
        <v>69</v>
      </c>
      <c r="B27" s="54">
        <v>0.54</v>
      </c>
      <c r="C27" s="54">
        <v>0.56999999999999995</v>
      </c>
      <c r="D27" s="54" t="str" cm="1">
        <f t="array" aca="1" ref="D27" ca="1">_xll.SNL.Clients.Office.Excel.Functions.SPG($B$40,$I27,$B$41,$B$42,"Options:Source="&amp;$B$43&amp;",DataType=CD")</f>
        <v>#PEND</v>
      </c>
      <c r="E27" s="72"/>
      <c r="F27" s="48" t="str">
        <f>IF(E27="","",IFERROR(E27/B27-1,""))</f>
        <v/>
      </c>
      <c r="G27" s="62" t="str">
        <f>IF(E27="","",IFERROR(E27/D27-1,""))</f>
        <v/>
      </c>
      <c r="I27" s="36" t="s">
        <v>93</v>
      </c>
    </row>
    <row r="28" spans="1:9" x14ac:dyDescent="0.25">
      <c r="A28" s="55"/>
      <c r="G28" s="64"/>
    </row>
    <row r="29" spans="1:9" x14ac:dyDescent="0.25">
      <c r="A29" s="56" t="s">
        <v>20</v>
      </c>
      <c r="B29" s="31"/>
      <c r="C29" s="31"/>
      <c r="D29" s="31"/>
      <c r="E29" s="31"/>
      <c r="F29" s="31"/>
      <c r="G29" s="74"/>
    </row>
    <row r="30" spans="1:9" x14ac:dyDescent="0.25">
      <c r="A30" s="52" t="s">
        <v>70</v>
      </c>
      <c r="B30" s="53">
        <v>401</v>
      </c>
      <c r="C30" s="53">
        <v>294</v>
      </c>
      <c r="D30" s="53" t="str" cm="1">
        <f t="array" aca="1" ref="D30" ca="1">_xll.SNL.Clients.Office.Excel.Functions.SPG($B$40,$I30,$B$41,$B$42,"Options:Source="&amp;$B$43&amp;",DataType=CD")</f>
        <v>#PEND</v>
      </c>
      <c r="F30" s="51" t="str">
        <f>IF(E30="","",IFERROR(E30/B30-1,""))</f>
        <v/>
      </c>
      <c r="G30" s="63" t="str">
        <f>IF(E30="","",IFERROR(E30/D30-1,""))</f>
        <v/>
      </c>
      <c r="I30" s="36" t="s">
        <v>94</v>
      </c>
    </row>
    <row r="31" spans="1:9" x14ac:dyDescent="0.25">
      <c r="A31" s="52" t="s">
        <v>71</v>
      </c>
      <c r="B31" s="53">
        <v>-34</v>
      </c>
      <c r="C31" s="53">
        <v>-72</v>
      </c>
      <c r="D31" s="53" t="str" cm="1">
        <f t="array" aca="1" ref="D31" ca="1">_xll.SNL.Clients.Office.Excel.Functions.SPG($B$40,$I31,$B$41,$B$42,"Options:Source="&amp;$B$43&amp;",DataType=CD")</f>
        <v>#PEND</v>
      </c>
      <c r="F31" s="51" t="str">
        <f>IF(E31="","",IFERROR(E31/B31-1,""))</f>
        <v/>
      </c>
      <c r="G31" s="63" t="str">
        <f>IF(E31="","",IFERROR(E31/D31-1,""))</f>
        <v/>
      </c>
      <c r="I31" s="36" t="s">
        <v>95</v>
      </c>
    </row>
    <row r="32" spans="1:9" x14ac:dyDescent="0.25">
      <c r="A32" s="52" t="s">
        <v>72</v>
      </c>
      <c r="B32" s="57">
        <v>8.6999999999999994E-3</v>
      </c>
      <c r="C32" s="57">
        <v>8.8999999999999999E-3</v>
      </c>
      <c r="D32" s="57" t="str" cm="1">
        <f t="array" aca="1" ref="D32" ca="1">IFERROR(_xll.SNL.Clients.Office.Excel.Functions.SPG($B$40,$I32,$B$41,$B$42,"Options:Source="&amp;$B$43&amp;",DataType=CD")/100,"#PEND")</f>
        <v>#PEND</v>
      </c>
      <c r="F32" s="58" t="str">
        <f>IF(OR(E32="",B32=""),"",E32-B32)</f>
        <v/>
      </c>
      <c r="G32" s="65" t="str">
        <f ca="1">IF(OR(E32="",D32=""),"",E32-D32)</f>
        <v/>
      </c>
      <c r="I32" s="36" t="s">
        <v>96</v>
      </c>
    </row>
    <row r="33" spans="1:9" x14ac:dyDescent="0.25">
      <c r="A33" s="52" t="s">
        <v>73</v>
      </c>
      <c r="B33" s="59">
        <v>57.04</v>
      </c>
      <c r="C33" s="59">
        <v>56.51</v>
      </c>
      <c r="D33" s="59" t="str" cm="1">
        <f t="array" aca="1" ref="D33" ca="1">_xll.SNL.Clients.Office.Excel.Functions.SPG($B$40,$I33,$B$41,$B$42,"Options:Source="&amp;$B$43&amp;",DataType=CD")</f>
        <v>#PEND</v>
      </c>
      <c r="F33" s="51" t="str">
        <f>IF(E33="","",IFERROR(E33/B33-1,""))</f>
        <v/>
      </c>
      <c r="G33" s="63" t="str">
        <f>IF(E33="","",IFERROR(E33/D33-1,""))</f>
        <v/>
      </c>
      <c r="I33" s="36" t="s">
        <v>97</v>
      </c>
    </row>
    <row r="34" spans="1:9" x14ac:dyDescent="0.25">
      <c r="A34" s="52" t="s">
        <v>74</v>
      </c>
      <c r="B34" s="53">
        <v>243</v>
      </c>
      <c r="C34" s="53">
        <v>273</v>
      </c>
      <c r="D34" s="53" t="str" cm="1">
        <f t="array" aca="1" ref="D34" ca="1">_xll.SNL.Clients.Office.Excel.Functions.SPG($B$40,$I34,$B$41,$B$42,"Options:Source="&amp;$B$43&amp;",DataType=CD")</f>
        <v>#PEND</v>
      </c>
      <c r="F34" s="51" t="str">
        <f>IF(E34="","",IFERROR(E34/B34-1,""))</f>
        <v/>
      </c>
      <c r="G34" s="63" t="str">
        <f>IF(E34="","",IFERROR(E34/D34-1,""))</f>
        <v/>
      </c>
      <c r="I34" s="36" t="s">
        <v>98</v>
      </c>
    </row>
    <row r="35" spans="1:9" x14ac:dyDescent="0.25">
      <c r="A35" s="52" t="s">
        <v>75</v>
      </c>
      <c r="B35" s="59">
        <v>73.260000000000005</v>
      </c>
      <c r="C35" s="59">
        <v>74.09</v>
      </c>
      <c r="D35" s="59" t="str" cm="1">
        <f t="array" aca="1" ref="D35" ca="1">_xll.SNL.Clients.Office.Excel.Functions.SPG($B$40,$I35,$B$41,$B$42,"Options:Source="&amp;$B$43&amp;",DataType=CD")</f>
        <v>#PEND</v>
      </c>
      <c r="F35" s="51" t="str">
        <f>IF(E35="","",IFERROR(E35/B35-1,""))</f>
        <v/>
      </c>
      <c r="G35" s="63" t="str">
        <f>IF(E35="","",IFERROR(E35/D35-1,""))</f>
        <v/>
      </c>
      <c r="I35" s="36" t="s">
        <v>99</v>
      </c>
    </row>
    <row r="36" spans="1:9" x14ac:dyDescent="0.25">
      <c r="A36" s="52" t="s">
        <v>76</v>
      </c>
      <c r="B36" s="60">
        <v>24.6</v>
      </c>
      <c r="C36" s="60">
        <v>31.3</v>
      </c>
      <c r="D36" s="60" t="str" cm="1">
        <f t="array" aca="1" ref="D36" ca="1">IFERROR(_xll.SNL.Clients.Office.Excel.Functions.SPG($B$40,$I36,$B$41,$B$42,"Options:Source="&amp;$B$43&amp;",DataType=CD")/1000,"#PEND")</f>
        <v>#PEND</v>
      </c>
      <c r="F36" s="51" t="str">
        <f>IF(E36="","",IFERROR(E36/B36-1,""))</f>
        <v/>
      </c>
      <c r="G36" s="63" t="str">
        <f>IF(E36="","",IFERROR(E36/D36-1,""))</f>
        <v/>
      </c>
      <c r="I36" s="36" t="s">
        <v>100</v>
      </c>
    </row>
    <row r="37" spans="1:9" x14ac:dyDescent="0.25">
      <c r="A37" s="71" t="s">
        <v>77</v>
      </c>
      <c r="B37" s="67">
        <v>203</v>
      </c>
      <c r="C37" s="67">
        <v>239</v>
      </c>
      <c r="D37" s="67" t="str" cm="1">
        <f t="array" aca="1" ref="D37" ca="1">_xll.SNL.Clients.Office.Excel.Functions.SPG($B$40,$I37,$B$41,$B$42,"Options:Source="&amp;$B$43&amp;",DataType=CD")</f>
        <v>#PEND</v>
      </c>
      <c r="E37" s="66"/>
      <c r="F37" s="68" t="str">
        <f>IF(E37="","",IFERROR(E37/B37-1,""))</f>
        <v/>
      </c>
      <c r="G37" s="69" t="str">
        <f>IF(E37="","",IFERROR(E37/D37-1,""))</f>
        <v/>
      </c>
      <c r="I37" s="36" t="s">
        <v>101</v>
      </c>
    </row>
    <row r="39" spans="1:9" x14ac:dyDescent="0.25">
      <c r="A39" s="41" t="s">
        <v>26</v>
      </c>
      <c r="B39" s="31"/>
      <c r="C39" s="31"/>
      <c r="D39" s="31"/>
      <c r="E39" s="31"/>
      <c r="F39" s="31"/>
      <c r="G39" s="31"/>
    </row>
    <row r="40" spans="1:9" x14ac:dyDescent="0.25">
      <c r="A40" s="39" t="s">
        <v>27</v>
      </c>
      <c r="B40" s="40" t="s">
        <v>78</v>
      </c>
    </row>
    <row r="41" spans="1:9" x14ac:dyDescent="0.25">
      <c r="A41" s="39" t="s">
        <v>29</v>
      </c>
      <c r="B41" s="40" t="s">
        <v>30</v>
      </c>
    </row>
    <row r="42" spans="1:9" x14ac:dyDescent="0.25">
      <c r="A42" s="39" t="s">
        <v>31</v>
      </c>
      <c r="B42" s="42">
        <f ca="1">TODAY()</f>
        <v>46226</v>
      </c>
    </row>
    <row r="43" spans="1:9" x14ac:dyDescent="0.25">
      <c r="A43" s="39" t="s">
        <v>32</v>
      </c>
      <c r="B43" s="40" t="s">
        <v>24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0F5FB-AD5E-4ACD-B6F9-B27F80F7A3F0}">
  <dimension ref="A1:I31"/>
  <sheetViews>
    <sheetView showGridLines="0" zoomScale="73" workbookViewId="0">
      <selection activeCell="D3" sqref="D3"/>
    </sheetView>
  </sheetViews>
  <sheetFormatPr defaultRowHeight="15" x14ac:dyDescent="0.25"/>
  <cols>
    <col min="1" max="1" width="37" customWidth="1"/>
    <col min="2" max="7" width="13.85546875" customWidth="1"/>
    <col min="9" max="9" width="16.7109375" customWidth="1"/>
  </cols>
  <sheetData>
    <row r="1" spans="1:9" ht="18.75" x14ac:dyDescent="0.3">
      <c r="A1" s="37" t="s">
        <v>102</v>
      </c>
    </row>
    <row r="2" spans="1:9" ht="15.75" thickBot="1" x14ac:dyDescent="0.3">
      <c r="A2" s="44" t="s">
        <v>0</v>
      </c>
      <c r="B2" s="43" t="s">
        <v>1</v>
      </c>
      <c r="C2" s="43" t="s">
        <v>2</v>
      </c>
      <c r="D2" s="43" t="s">
        <v>24</v>
      </c>
      <c r="E2" s="43" t="s">
        <v>3</v>
      </c>
      <c r="F2" s="43" t="s">
        <v>4</v>
      </c>
      <c r="G2" s="61" t="s">
        <v>25</v>
      </c>
      <c r="I2" s="38" t="s">
        <v>33</v>
      </c>
    </row>
    <row r="3" spans="1:9" x14ac:dyDescent="0.25">
      <c r="A3" s="56" t="s">
        <v>103</v>
      </c>
      <c r="B3" s="31"/>
      <c r="C3" s="31"/>
      <c r="D3" s="31"/>
      <c r="E3" s="31"/>
      <c r="F3" s="31"/>
      <c r="G3" s="74"/>
    </row>
    <row r="4" spans="1:9" x14ac:dyDescent="0.25">
      <c r="A4" s="52" t="s">
        <v>104</v>
      </c>
      <c r="B4" s="53">
        <v>-111</v>
      </c>
      <c r="C4" s="53">
        <v>-117</v>
      </c>
      <c r="D4" s="53" t="str" cm="1">
        <f t="array" aca="1" ref="D4" ca="1">_xll.SNL.Clients.Office.Excel.Functions.SPG($B$28,$I4,$B$29,$B$30,"Options:Source="&amp;$B$31&amp;",DataType=CD")</f>
        <v>#PEND</v>
      </c>
      <c r="F4" s="51" t="str">
        <f>IF(E4="","",IFERROR(E4/B4-1,""))</f>
        <v/>
      </c>
      <c r="G4" s="63" t="str">
        <f>IF(E4="","",IFERROR(E4/D4-1,""))</f>
        <v/>
      </c>
      <c r="I4" s="36" t="s">
        <v>124</v>
      </c>
    </row>
    <row r="5" spans="1:9" x14ac:dyDescent="0.25">
      <c r="A5" s="52" t="s">
        <v>105</v>
      </c>
      <c r="B5" s="53">
        <v>491</v>
      </c>
      <c r="C5" s="53">
        <v>368</v>
      </c>
      <c r="D5" s="53" t="str" cm="1">
        <f t="array" aca="1" ref="D5" ca="1">_xll.SNL.Clients.Office.Excel.Functions.SPG($B$28,$I5,$B$29,$B$30,"Options:Source="&amp;$B$31&amp;",DataType=CD")</f>
        <v>#PEND</v>
      </c>
      <c r="F5" s="51" t="str">
        <f>IF(E5="","",IFERROR(E5/B5-1,""))</f>
        <v/>
      </c>
      <c r="G5" s="63" t="str">
        <f>IF(E5="","",IFERROR(E5/D5-1,""))</f>
        <v/>
      </c>
      <c r="I5" s="36" t="s">
        <v>125</v>
      </c>
    </row>
    <row r="6" spans="1:9" x14ac:dyDescent="0.25">
      <c r="A6" s="52" t="s">
        <v>106</v>
      </c>
      <c r="B6" s="53">
        <v>-80</v>
      </c>
      <c r="C6" s="53">
        <v>-60</v>
      </c>
      <c r="D6" s="53" t="str" cm="1">
        <f t="array" aca="1" ref="D6" ca="1">_xll.SNL.Clients.Office.Excel.Functions.SPG($B$28,$I6,$B$29,$B$30,"Options:Source="&amp;$B$31&amp;",DataType=CD")</f>
        <v>#PEND</v>
      </c>
      <c r="F6" s="51" t="str">
        <f>IF(E6="","",IFERROR(E6/B6-1,""))</f>
        <v/>
      </c>
      <c r="G6" s="63" t="str">
        <f>IF(E6="","",IFERROR(E6/D6-1,""))</f>
        <v/>
      </c>
      <c r="I6" s="36" t="s">
        <v>126</v>
      </c>
    </row>
    <row r="7" spans="1:9" x14ac:dyDescent="0.25">
      <c r="A7" s="55"/>
      <c r="G7" s="64"/>
    </row>
    <row r="8" spans="1:9" x14ac:dyDescent="0.25">
      <c r="A8" s="56" t="s">
        <v>107</v>
      </c>
      <c r="B8" s="31"/>
      <c r="C8" s="31"/>
      <c r="D8" s="31"/>
      <c r="E8" s="31"/>
      <c r="F8" s="31"/>
      <c r="G8" s="74"/>
    </row>
    <row r="9" spans="1:9" x14ac:dyDescent="0.25">
      <c r="A9" s="45" t="s">
        <v>108</v>
      </c>
      <c r="B9" s="76">
        <f>SUM(B10:B17)</f>
        <v>13766</v>
      </c>
      <c r="C9" s="76">
        <f>SUM(C10:C17)</f>
        <v>13597</v>
      </c>
      <c r="D9" s="77">
        <f ca="1">SUM(D10:D17)</f>
        <v>0</v>
      </c>
      <c r="E9" s="72"/>
      <c r="F9" s="48" t="str">
        <f t="shared" ref="F9:F18" si="0">IF(E9="","",IFERROR(E9/B9-1,""))</f>
        <v/>
      </c>
      <c r="G9" s="62" t="str">
        <f t="shared" ref="G9:G18" si="1">IF(E9="","",IFERROR(E9/D9-1,""))</f>
        <v/>
      </c>
      <c r="I9" s="36" t="s">
        <v>127</v>
      </c>
    </row>
    <row r="10" spans="1:9" x14ac:dyDescent="0.25">
      <c r="A10" s="52" t="s">
        <v>109</v>
      </c>
      <c r="B10" s="53">
        <v>5969</v>
      </c>
      <c r="C10" s="53">
        <v>5852</v>
      </c>
      <c r="D10" s="53" t="str" cm="1">
        <f t="array" aca="1" ref="D10" ca="1">_xll.SNL.Clients.Office.Excel.Functions.SPG($B$28,$I10,$B$29,$B$30,"Options:Source="&amp;$B$31&amp;",DataType=CD")</f>
        <v>#PEND</v>
      </c>
      <c r="F10" s="51" t="str">
        <f t="shared" si="0"/>
        <v/>
      </c>
      <c r="G10" s="63" t="str">
        <f t="shared" si="1"/>
        <v/>
      </c>
      <c r="I10" s="36" t="s">
        <v>128</v>
      </c>
    </row>
    <row r="11" spans="1:9" x14ac:dyDescent="0.25">
      <c r="A11" s="52" t="s">
        <v>110</v>
      </c>
      <c r="B11" s="53">
        <v>3488</v>
      </c>
      <c r="C11" s="53">
        <v>3252</v>
      </c>
      <c r="D11" s="53" t="str" cm="1">
        <f t="array" aca="1" ref="D11" ca="1">_xll.SNL.Clients.Office.Excel.Functions.SPG($B$28,$I11,$B$29,$B$30,"Options:Source="&amp;$B$31&amp;",DataType=CD")</f>
        <v>#PEND</v>
      </c>
      <c r="F11" s="51" t="str">
        <f t="shared" si="0"/>
        <v/>
      </c>
      <c r="G11" s="63" t="str">
        <f t="shared" si="1"/>
        <v/>
      </c>
      <c r="I11" s="36" t="s">
        <v>129</v>
      </c>
    </row>
    <row r="12" spans="1:9" x14ac:dyDescent="0.25">
      <c r="A12" s="52" t="s">
        <v>111</v>
      </c>
      <c r="B12" s="53">
        <v>346</v>
      </c>
      <c r="C12" s="53">
        <v>338</v>
      </c>
      <c r="D12" s="53" t="str" cm="1">
        <f t="array" aca="1" ref="D12" ca="1">_xll.SNL.Clients.Office.Excel.Functions.SPG($B$28,$I12,$B$29,$B$30,"Options:Source="&amp;$B$31&amp;",DataType=CD")</f>
        <v>#PEND</v>
      </c>
      <c r="F12" s="51" t="str">
        <f t="shared" si="0"/>
        <v/>
      </c>
      <c r="G12" s="63" t="str">
        <f t="shared" si="1"/>
        <v/>
      </c>
      <c r="I12" s="36" t="s">
        <v>130</v>
      </c>
    </row>
    <row r="13" spans="1:9" x14ac:dyDescent="0.25">
      <c r="A13" s="52" t="s">
        <v>112</v>
      </c>
      <c r="B13" s="53">
        <v>921</v>
      </c>
      <c r="C13" s="53">
        <v>1052</v>
      </c>
      <c r="D13" s="53" t="str" cm="1">
        <f t="array" aca="1" ref="D13" ca="1">_xll.SNL.Clients.Office.Excel.Functions.SPG($B$28,$I13,$B$29,$B$30,"Options:Source="&amp;$B$31&amp;",DataType=CD")</f>
        <v>#PEND</v>
      </c>
      <c r="F13" s="51" t="str">
        <f t="shared" si="0"/>
        <v/>
      </c>
      <c r="G13" s="63" t="str">
        <f t="shared" si="1"/>
        <v/>
      </c>
      <c r="I13" s="36" t="s">
        <v>131</v>
      </c>
    </row>
    <row r="14" spans="1:9" x14ac:dyDescent="0.25">
      <c r="A14" s="52" t="s">
        <v>113</v>
      </c>
      <c r="B14" s="53">
        <v>1096</v>
      </c>
      <c r="C14" s="53">
        <v>1090</v>
      </c>
      <c r="D14" s="53" t="str" cm="1">
        <f t="array" aca="1" ref="D14" ca="1">_xll.SNL.Clients.Office.Excel.Functions.SPG($B$28,$I14,$B$29,$B$30,"Options:Source="&amp;$B$31&amp;",DataType=CD")</f>
        <v>#PEND</v>
      </c>
      <c r="F14" s="51" t="str">
        <f t="shared" si="0"/>
        <v/>
      </c>
      <c r="G14" s="63" t="str">
        <f t="shared" si="1"/>
        <v/>
      </c>
      <c r="I14" s="36" t="s">
        <v>132</v>
      </c>
    </row>
    <row r="15" spans="1:9" x14ac:dyDescent="0.25">
      <c r="A15" s="52" t="s">
        <v>114</v>
      </c>
      <c r="B15" s="53">
        <v>740</v>
      </c>
      <c r="C15" s="53">
        <v>749</v>
      </c>
      <c r="D15" s="53" t="str" cm="1">
        <f t="array" aca="1" ref="D15" ca="1">_xll.SNL.Clients.Office.Excel.Functions.SPG($B$28,$I15,$B$29,$B$30,"Options:Source="&amp;$B$31&amp;",DataType=CD")</f>
        <v>#PEND</v>
      </c>
      <c r="F15" s="51" t="str">
        <f t="shared" si="0"/>
        <v/>
      </c>
      <c r="G15" s="63" t="str">
        <f t="shared" si="1"/>
        <v/>
      </c>
      <c r="I15" s="36" t="s">
        <v>133</v>
      </c>
    </row>
    <row r="16" spans="1:9" x14ac:dyDescent="0.25">
      <c r="A16" s="52" t="s">
        <v>115</v>
      </c>
      <c r="B16" s="53">
        <v>371</v>
      </c>
      <c r="C16" s="53">
        <v>358</v>
      </c>
      <c r="D16" s="53" t="str" cm="1">
        <f t="array" aca="1" ref="D16" ca="1">_xll.SNL.Clients.Office.Excel.Functions.SPG($B$28,$I16,$B$29,$B$30,"Options:Source="&amp;$B$31&amp;",DataType=CD")</f>
        <v>#PEND</v>
      </c>
      <c r="F16" s="51" t="str">
        <f t="shared" si="0"/>
        <v/>
      </c>
      <c r="G16" s="63" t="str">
        <f t="shared" si="1"/>
        <v/>
      </c>
      <c r="I16" s="36" t="s">
        <v>134</v>
      </c>
    </row>
    <row r="17" spans="1:9" x14ac:dyDescent="0.25">
      <c r="A17" s="52" t="s">
        <v>116</v>
      </c>
      <c r="B17" s="53">
        <v>835</v>
      </c>
      <c r="C17" s="53">
        <v>906</v>
      </c>
      <c r="D17" s="53" t="str" cm="1">
        <f t="array" aca="1" ref="D17" ca="1">_xll.SNL.Clients.Office.Excel.Functions.SPG($B$28,$I17,$B$29,$B$30,"Options:Source="&amp;$B$31&amp;",DataType=CD")</f>
        <v>#PEND</v>
      </c>
      <c r="F17" s="51" t="str">
        <f t="shared" si="0"/>
        <v/>
      </c>
      <c r="G17" s="63" t="str">
        <f t="shared" si="1"/>
        <v/>
      </c>
      <c r="I17" s="36" t="s">
        <v>135</v>
      </c>
    </row>
    <row r="18" spans="1:9" x14ac:dyDescent="0.25">
      <c r="A18" s="45" t="s">
        <v>13</v>
      </c>
      <c r="B18" s="47">
        <v>5693</v>
      </c>
      <c r="C18" s="47">
        <v>5637</v>
      </c>
      <c r="D18" s="47" t="str" cm="1">
        <f t="array" aca="1" ref="D18" ca="1">_xll.SNL.Clients.Office.Excel.Functions.SPG($B$28,$I18,$B$29,$B$30,"Options:Source="&amp;$B$31&amp;",DataType=CD")</f>
        <v>#PEND</v>
      </c>
      <c r="E18" s="72"/>
      <c r="F18" s="48" t="str">
        <f t="shared" si="0"/>
        <v/>
      </c>
      <c r="G18" s="62" t="str">
        <f t="shared" si="1"/>
        <v/>
      </c>
      <c r="I18" s="36" t="s">
        <v>136</v>
      </c>
    </row>
    <row r="19" spans="1:9" x14ac:dyDescent="0.25">
      <c r="A19" s="52" t="s">
        <v>117</v>
      </c>
      <c r="B19" s="51">
        <f>IFERROR(B18/B9,"")</f>
        <v>0.41355513584192938</v>
      </c>
      <c r="C19" s="51">
        <f>IFERROR(C18/C9,"")</f>
        <v>0.41457674487019197</v>
      </c>
      <c r="D19" s="75" t="str">
        <f ca="1">IFERROR(D18/D9,"")</f>
        <v/>
      </c>
      <c r="F19" s="51" t="str">
        <f>IF(E19="","",IFERROR(E19-B19,""))</f>
        <v/>
      </c>
      <c r="G19" s="63" t="str">
        <f>IF(E19="","",IFERROR(E19-D19,""))</f>
        <v/>
      </c>
    </row>
    <row r="20" spans="1:9" x14ac:dyDescent="0.25">
      <c r="A20" s="45" t="s">
        <v>118</v>
      </c>
      <c r="B20" s="78">
        <v>9.18</v>
      </c>
      <c r="C20" s="78">
        <v>9.17</v>
      </c>
      <c r="D20" s="54" t="str" cm="1">
        <f t="array" aca="1" ref="D20" ca="1">_xll.SNL.Clients.Office.Excel.Functions.SPG($B$28,$I20,$B$29,$B$30,"Options:Source="&amp;$B$31&amp;",DataType=CD")</f>
        <v>#PEND</v>
      </c>
      <c r="E20" s="72"/>
      <c r="F20" s="48" t="str">
        <f>IF(E20="","",IFERROR(E20/B20-1,""))</f>
        <v/>
      </c>
      <c r="G20" s="62" t="str">
        <f>IF(E20="","",IFERROR(E20/D20-1,""))</f>
        <v/>
      </c>
      <c r="I20" s="36" t="s">
        <v>137</v>
      </c>
    </row>
    <row r="21" spans="1:9" x14ac:dyDescent="0.25">
      <c r="A21" s="55"/>
      <c r="G21" s="64"/>
    </row>
    <row r="22" spans="1:9" x14ac:dyDescent="0.25">
      <c r="A22" s="56" t="s">
        <v>119</v>
      </c>
      <c r="B22" s="31"/>
      <c r="C22" s="31"/>
      <c r="D22" s="31"/>
      <c r="E22" s="31"/>
      <c r="F22" s="31"/>
      <c r="G22" s="74"/>
    </row>
    <row r="23" spans="1:9" x14ac:dyDescent="0.25">
      <c r="A23" s="52" t="s">
        <v>120</v>
      </c>
      <c r="B23" s="53">
        <v>3600</v>
      </c>
      <c r="C23" s="53">
        <v>4304</v>
      </c>
      <c r="D23" s="53" t="str" cm="1">
        <f t="array" aca="1" ref="D23" ca="1">_xll.SNL.Clients.Office.Excel.Functions.SPG($B$28,$I23,$B$29,$B$30,"Options:Source="&amp;$B$31&amp;",DataType=CD")</f>
        <v>#PEND</v>
      </c>
      <c r="F23" s="51" t="str">
        <f>IF(E23="","",IFERROR(E23/B23-1,""))</f>
        <v/>
      </c>
      <c r="G23" s="63" t="str">
        <f>IF(E23="","",IFERROR(E23/D23-1,""))</f>
        <v/>
      </c>
      <c r="I23" s="36" t="s">
        <v>138</v>
      </c>
    </row>
    <row r="24" spans="1:9" x14ac:dyDescent="0.25">
      <c r="A24" s="52" t="s">
        <v>121</v>
      </c>
      <c r="B24" s="53">
        <v>-2874</v>
      </c>
      <c r="C24" s="53">
        <v>-2855</v>
      </c>
      <c r="D24" s="53" t="str" cm="1">
        <f t="array" aca="1" ref="D24" ca="1">IFERROR(-_xll.SNL.Clients.Office.Excel.Functions.SPG($B$28,$I24,$B$29,$B$30,"Options:Source="&amp;$B$31&amp;",DataType=CD"),"#PEND")</f>
        <v>#PEND</v>
      </c>
      <c r="F24" s="51" t="str">
        <f>IF(E24="","",IFERROR(E24/B24-1,""))</f>
        <v/>
      </c>
      <c r="G24" s="63" t="str">
        <f>IF(E24="","",IFERROR(E24/D24-1,""))</f>
        <v/>
      </c>
      <c r="I24" s="36" t="s">
        <v>139</v>
      </c>
    </row>
    <row r="25" spans="1:9" x14ac:dyDescent="0.25">
      <c r="A25" s="71" t="s">
        <v>122</v>
      </c>
      <c r="B25" s="67">
        <v>1046</v>
      </c>
      <c r="C25" s="67">
        <v>1372</v>
      </c>
      <c r="D25" s="67" t="str" cm="1">
        <f t="array" aca="1" ref="D25" ca="1">_xll.SNL.Clients.Office.Excel.Functions.SPG($B$28,$I25,$B$29,$B$30,"Options:Source="&amp;$B$31&amp;",DataType=CD")</f>
        <v>#PEND</v>
      </c>
      <c r="E25" s="66"/>
      <c r="F25" s="68" t="str">
        <f>IF(E25="","",IFERROR(E25/B25-1,""))</f>
        <v/>
      </c>
      <c r="G25" s="69" t="str">
        <f>IF(E25="","",IFERROR(E25/D25-1,""))</f>
        <v/>
      </c>
      <c r="I25" s="36" t="s">
        <v>140</v>
      </c>
    </row>
    <row r="27" spans="1:9" x14ac:dyDescent="0.25">
      <c r="A27" s="41" t="s">
        <v>26</v>
      </c>
      <c r="B27" s="31"/>
      <c r="C27" s="31"/>
      <c r="D27" s="31"/>
      <c r="E27" s="31"/>
      <c r="F27" s="31"/>
      <c r="G27" s="31"/>
    </row>
    <row r="28" spans="1:9" x14ac:dyDescent="0.25">
      <c r="A28" s="39" t="s">
        <v>27</v>
      </c>
      <c r="B28" s="40" t="s">
        <v>123</v>
      </c>
    </row>
    <row r="29" spans="1:9" x14ac:dyDescent="0.25">
      <c r="A29" s="39" t="s">
        <v>29</v>
      </c>
      <c r="B29" s="40" t="s">
        <v>30</v>
      </c>
    </row>
    <row r="30" spans="1:9" x14ac:dyDescent="0.25">
      <c r="A30" s="39" t="s">
        <v>31</v>
      </c>
      <c r="B30" s="42">
        <f ca="1">TODAY()</f>
        <v>46226</v>
      </c>
    </row>
    <row r="31" spans="1:9" x14ac:dyDescent="0.25">
      <c r="A31" s="39" t="s">
        <v>32</v>
      </c>
      <c r="B31" s="40" t="s">
        <v>24</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DBD9-3606-4E55-8FC8-DE3CBF9549B3}">
  <dimension ref="A1:I27"/>
  <sheetViews>
    <sheetView showGridLines="0" zoomScale="76" workbookViewId="0">
      <selection activeCell="A2" sqref="A2"/>
    </sheetView>
  </sheetViews>
  <sheetFormatPr defaultRowHeight="15" x14ac:dyDescent="0.25"/>
  <cols>
    <col min="1" max="1" width="38.85546875" customWidth="1"/>
    <col min="2" max="7" width="13.85546875" customWidth="1"/>
    <col min="9" max="9" width="16.7109375" customWidth="1"/>
  </cols>
  <sheetData>
    <row r="1" spans="1:9" ht="18.75" x14ac:dyDescent="0.3">
      <c r="A1" s="1" t="s">
        <v>141</v>
      </c>
    </row>
    <row r="2" spans="1:9" ht="15.75" thickBot="1" x14ac:dyDescent="0.3">
      <c r="A2" s="82" t="s">
        <v>142</v>
      </c>
      <c r="B2" s="81" t="s">
        <v>1</v>
      </c>
      <c r="C2" s="81" t="s">
        <v>2</v>
      </c>
      <c r="D2" s="81" t="s">
        <v>24</v>
      </c>
      <c r="E2" s="81" t="s">
        <v>3</v>
      </c>
      <c r="F2" s="81" t="s">
        <v>4</v>
      </c>
      <c r="G2" s="92" t="s">
        <v>25</v>
      </c>
      <c r="I2" s="34" t="s">
        <v>33</v>
      </c>
    </row>
    <row r="3" spans="1:9" x14ac:dyDescent="0.25">
      <c r="A3" s="83" t="s">
        <v>5</v>
      </c>
      <c r="B3" s="84">
        <v>34.503999999999998</v>
      </c>
      <c r="C3" s="84">
        <v>34.44</v>
      </c>
      <c r="D3" s="84" t="e" cm="1">
        <f t="array" aca="1" ref="D3" ca="1">_xll.SNL.Clients.Office.Excel.Functions.SPG($B$24,$I3,$B$25,$B$26,"Options:Source="&amp;$B$27&amp;",DataType=CD")/1000</f>
        <v>#VALUE!</v>
      </c>
      <c r="E3" s="72"/>
      <c r="F3" s="85" t="str">
        <f t="shared" ref="F3:F8" si="0">IF(E3="","",IFERROR(E3/B3-1,""))</f>
        <v/>
      </c>
      <c r="G3" s="93" t="str">
        <f t="shared" ref="G3:G8" si="1">IF(E3="","",IFERROR(E3/D3-1,""))</f>
        <v/>
      </c>
      <c r="I3" s="35" t="s">
        <v>155</v>
      </c>
    </row>
    <row r="4" spans="1:9" x14ac:dyDescent="0.25">
      <c r="A4" s="55" t="s">
        <v>143</v>
      </c>
      <c r="B4" s="86">
        <v>26.648</v>
      </c>
      <c r="C4" s="86">
        <v>26.452999999999999</v>
      </c>
      <c r="D4" s="86" t="e" cm="1">
        <f t="array" aca="1" ref="D4" ca="1">_xll.SNL.Clients.Office.Excel.Functions.SPG($B$24,$I4,$B$25,$B$26,"Options:Source="&amp;$B$27&amp;",DataType=CD")/1000</f>
        <v>#VALUE!</v>
      </c>
      <c r="F4" s="87" t="str">
        <f t="shared" si="0"/>
        <v/>
      </c>
      <c r="G4" s="94" t="str">
        <f t="shared" si="1"/>
        <v/>
      </c>
      <c r="I4" s="35" t="s">
        <v>156</v>
      </c>
    </row>
    <row r="5" spans="1:9" x14ac:dyDescent="0.25">
      <c r="A5" s="55" t="s">
        <v>144</v>
      </c>
      <c r="B5" s="86">
        <v>7.2750000000000004</v>
      </c>
      <c r="C5" s="86">
        <v>7.4189999999999996</v>
      </c>
      <c r="D5" s="86" t="e" cm="1">
        <f t="array" aca="1" ref="D5" ca="1">_xll.SNL.Clients.Office.Excel.Functions.SPG($B$24,$I5,$B$25,$B$26,"Options:Source="&amp;$B$27&amp;",DataType=CD")/1000</f>
        <v>#VALUE!</v>
      </c>
      <c r="F5" s="87" t="str">
        <f t="shared" si="0"/>
        <v/>
      </c>
      <c r="G5" s="94" t="str">
        <f t="shared" si="1"/>
        <v/>
      </c>
      <c r="I5" s="35" t="s">
        <v>157</v>
      </c>
    </row>
    <row r="6" spans="1:9" x14ac:dyDescent="0.25">
      <c r="A6" s="55" t="s">
        <v>145</v>
      </c>
      <c r="B6" s="86">
        <v>6.2549999999999999</v>
      </c>
      <c r="C6" s="86">
        <v>5.681</v>
      </c>
      <c r="D6" s="86" t="e" cm="1">
        <f t="array" aca="1" ref="D6" ca="1">_xll.SNL.Clients.Office.Excel.Functions.SPG($B$24,$I6,$B$25,$B$26,"Options:Source="&amp;$B$27&amp;",DataType=CD")/1000</f>
        <v>#VALUE!</v>
      </c>
      <c r="F6" s="87" t="str">
        <f t="shared" si="0"/>
        <v/>
      </c>
      <c r="G6" s="94" t="str">
        <f t="shared" si="1"/>
        <v/>
      </c>
      <c r="I6" s="35" t="s">
        <v>158</v>
      </c>
    </row>
    <row r="7" spans="1:9" x14ac:dyDescent="0.25">
      <c r="A7" s="55" t="s">
        <v>146</v>
      </c>
      <c r="B7" s="86">
        <v>19.001999999999999</v>
      </c>
      <c r="C7" s="86">
        <v>19.18</v>
      </c>
      <c r="D7" s="86" t="e" cm="1">
        <f t="array" aca="1" ref="D7" ca="1">_xll.SNL.Clients.Office.Excel.Functions.SPG($B$24,$I7,$B$25,$B$26,"Options:Source="&amp;$B$27&amp;",DataType=CD")/1000</f>
        <v>#VALUE!</v>
      </c>
      <c r="F7" s="87" t="str">
        <f t="shared" si="0"/>
        <v/>
      </c>
      <c r="G7" s="94" t="str">
        <f t="shared" si="1"/>
        <v/>
      </c>
      <c r="I7" s="35" t="s">
        <v>159</v>
      </c>
    </row>
    <row r="8" spans="1:9" x14ac:dyDescent="0.25">
      <c r="A8" s="55" t="s">
        <v>147</v>
      </c>
      <c r="B8" s="86">
        <v>3.7330000000000001</v>
      </c>
      <c r="C8" s="86">
        <v>3.6880000000000002</v>
      </c>
      <c r="D8" s="86" t="e" cm="1">
        <f t="array" aca="1" ref="D8" ca="1">_xll.SNL.Clients.Office.Excel.Functions.SPG($B$24,$I8,$B$25,$B$26,"Options:Source="&amp;$B$27&amp;",DataType=CD")/1000</f>
        <v>#VALUE!</v>
      </c>
      <c r="F8" s="87" t="str">
        <f t="shared" si="0"/>
        <v/>
      </c>
      <c r="G8" s="94" t="str">
        <f t="shared" si="1"/>
        <v/>
      </c>
      <c r="I8" s="35" t="s">
        <v>160</v>
      </c>
    </row>
    <row r="9" spans="1:9" x14ac:dyDescent="0.25">
      <c r="A9" s="55"/>
      <c r="G9" s="64"/>
    </row>
    <row r="10" spans="1:9" x14ac:dyDescent="0.25">
      <c r="A10" s="83" t="s">
        <v>169</v>
      </c>
      <c r="B10" s="84">
        <v>12.807</v>
      </c>
      <c r="C10" s="84">
        <v>13.395</v>
      </c>
      <c r="D10" s="84" t="e" cm="1">
        <f t="array" aca="1" ref="D10" ca="1">_xll.SNL.Clients.Office.Excel.Functions.SPG($B$24,$I10,$B$25,$B$26,"Options:Source="&amp;$B$27&amp;",DataType=CD")/1000</f>
        <v>#VALUE!</v>
      </c>
      <c r="E10" s="72"/>
      <c r="F10" s="85" t="str">
        <f>IF(E10="","",IFERROR(E10/B10-1,""))</f>
        <v/>
      </c>
      <c r="G10" s="93" t="str">
        <f>IF(E10="","",IFERROR(E10/D10-1,""))</f>
        <v/>
      </c>
      <c r="I10" s="35" t="s">
        <v>161</v>
      </c>
    </row>
    <row r="11" spans="1:9" x14ac:dyDescent="0.25">
      <c r="A11" s="55" t="s">
        <v>143</v>
      </c>
      <c r="B11" s="86">
        <v>11.225</v>
      </c>
      <c r="C11" s="86">
        <v>11.444000000000001</v>
      </c>
      <c r="D11" s="86" t="e" cm="1">
        <f t="array" aca="1" ref="D11" ca="1">_xll.SNL.Clients.Office.Excel.Functions.SPG($B$24,$I11,$B$25,$B$26,"Options:Source="&amp;$B$27&amp;",DataType=CD")/1000</f>
        <v>#VALUE!</v>
      </c>
      <c r="F11" s="87" t="str">
        <f>IF(E11="","",IFERROR(E11/B11-1,""))</f>
        <v/>
      </c>
      <c r="G11" s="94" t="str">
        <f>IF(E11="","",IFERROR(E11/D11-1,""))</f>
        <v/>
      </c>
      <c r="I11" s="35" t="s">
        <v>162</v>
      </c>
    </row>
    <row r="12" spans="1:9" x14ac:dyDescent="0.25">
      <c r="A12" s="55" t="s">
        <v>144</v>
      </c>
      <c r="B12" s="86">
        <v>1.669</v>
      </c>
      <c r="C12" s="86">
        <v>1.9650000000000001</v>
      </c>
      <c r="D12" s="86" t="e" cm="1">
        <f t="array" aca="1" ref="D12" ca="1">_xll.SNL.Clients.Office.Excel.Functions.SPG($B$24,$I12,$B$25,$B$26,"Options:Source="&amp;$B$27&amp;",DataType=CD")/1000</f>
        <v>#VALUE!</v>
      </c>
      <c r="F12" s="87" t="str">
        <f>IF(E12="","",IFERROR(E12/B12-1,""))</f>
        <v/>
      </c>
      <c r="G12" s="94" t="str">
        <f>IF(E12="","",IFERROR(E12/D12-1,""))</f>
        <v/>
      </c>
      <c r="I12" s="35" t="s">
        <v>163</v>
      </c>
    </row>
    <row r="13" spans="1:9" x14ac:dyDescent="0.25">
      <c r="A13" s="55" t="s">
        <v>59</v>
      </c>
      <c r="B13" s="87">
        <f t="shared" ref="B13:D15" si="2">IFERROR(B10/B3,"")</f>
        <v>0.37117435659633669</v>
      </c>
      <c r="C13" s="87">
        <f t="shared" si="2"/>
        <v>0.38893728222996515</v>
      </c>
      <c r="D13" s="88" t="str">
        <f t="shared" ca="1" si="2"/>
        <v/>
      </c>
      <c r="F13" s="87" t="str">
        <f>IF(E13="","",IFERROR(E13-B13,""))</f>
        <v/>
      </c>
      <c r="G13" s="94" t="str">
        <f>IF(E13="","",IFERROR(E13-D13,""))</f>
        <v/>
      </c>
    </row>
    <row r="14" spans="1:9" x14ac:dyDescent="0.25">
      <c r="A14" s="55" t="s">
        <v>148</v>
      </c>
      <c r="B14" s="87">
        <f t="shared" si="2"/>
        <v>0.42123236265385772</v>
      </c>
      <c r="C14" s="87">
        <f t="shared" si="2"/>
        <v>0.43261633841152236</v>
      </c>
      <c r="D14" s="87" t="str">
        <f t="shared" ca="1" si="2"/>
        <v/>
      </c>
      <c r="F14" s="87" t="str">
        <f>IF(E14="","",IFERROR(E14-B14,""))</f>
        <v/>
      </c>
      <c r="G14" s="94" t="str">
        <f>IF(E14="","",IFERROR(E14-D14,""))</f>
        <v/>
      </c>
    </row>
    <row r="15" spans="1:9" x14ac:dyDescent="0.25">
      <c r="A15" s="55" t="s">
        <v>149</v>
      </c>
      <c r="B15" s="87">
        <f t="shared" si="2"/>
        <v>0.22941580756013746</v>
      </c>
      <c r="C15" s="87">
        <f t="shared" si="2"/>
        <v>0.26486049332794181</v>
      </c>
      <c r="D15" s="87" t="str">
        <f t="shared" ca="1" si="2"/>
        <v/>
      </c>
      <c r="F15" s="87" t="str">
        <f>IF(E15="","",IFERROR(E15-B15,""))</f>
        <v/>
      </c>
      <c r="G15" s="94" t="str">
        <f>IF(E15="","",IFERROR(E15-D15,""))</f>
        <v/>
      </c>
    </row>
    <row r="16" spans="1:9" x14ac:dyDescent="0.25">
      <c r="A16" s="83" t="s">
        <v>69</v>
      </c>
      <c r="B16" s="89">
        <v>1.22</v>
      </c>
      <c r="C16" s="89">
        <v>1.28</v>
      </c>
      <c r="D16" s="89" t="str" cm="1">
        <f t="array" aca="1" ref="D16" ca="1">_xll.SNL.Clients.Office.Excel.Functions.SPG($B$24,$I16,$B$25,$B$26,"Options:Source="&amp;$B$27&amp;",DataType=CD")</f>
        <v>#PEND</v>
      </c>
      <c r="E16" s="72"/>
      <c r="F16" s="85" t="str">
        <f>IF(E16="","",IFERROR(E16/B16-1,""))</f>
        <v/>
      </c>
      <c r="G16" s="93" t="str">
        <f>IF(E16="","",IFERROR(E16/D16-1,""))</f>
        <v/>
      </c>
      <c r="I16" s="35" t="s">
        <v>164</v>
      </c>
    </row>
    <row r="17" spans="1:9" x14ac:dyDescent="0.25">
      <c r="A17" s="55"/>
      <c r="G17" s="64"/>
    </row>
    <row r="18" spans="1:9" x14ac:dyDescent="0.25">
      <c r="A18" s="90" t="s">
        <v>20</v>
      </c>
      <c r="B18" s="31"/>
      <c r="C18" s="31"/>
      <c r="D18" s="31"/>
      <c r="E18" s="31"/>
      <c r="F18" s="31"/>
      <c r="G18" s="74"/>
    </row>
    <row r="19" spans="1:9" x14ac:dyDescent="0.25">
      <c r="A19" s="55" t="s">
        <v>150</v>
      </c>
      <c r="B19" s="91">
        <v>155</v>
      </c>
      <c r="C19" s="91">
        <v>-196</v>
      </c>
      <c r="D19" s="91" t="str" cm="1">
        <f t="array" aca="1" ref="D19" ca="1">_xll.SNL.Clients.Office.Excel.Functions.SPG($B$24,$I19,$B$25,$B$26,"Options:Source="&amp;$B$27&amp;",DataType=CD")</f>
        <v>#PEND</v>
      </c>
      <c r="F19" s="87" t="str">
        <f>IF(E19="","",IFERROR(E19/B19-1,""))</f>
        <v/>
      </c>
      <c r="G19" s="94" t="str">
        <f>IF(E19="","",IFERROR(E19/D19-1,""))</f>
        <v/>
      </c>
      <c r="I19" s="35" t="s">
        <v>165</v>
      </c>
    </row>
    <row r="20" spans="1:9" x14ac:dyDescent="0.25">
      <c r="A20" s="55" t="s">
        <v>151</v>
      </c>
      <c r="B20" s="91">
        <v>-9</v>
      </c>
      <c r="C20" s="91">
        <v>55</v>
      </c>
      <c r="D20" s="91" t="e" cm="1">
        <f t="array" aca="1" ref="D20" ca="1">_xll.SNL.Clients.Office.Excel.Functions.SPG($B$24,"N_13452421",$B$25,$B$26,"Options:Source="&amp;$B$27&amp;",DataType=CD")+_xll.SNL.Clients.Office.Excel.Functions.SPG($B$24,"N_13686575",$B$25,$B$26,"Options:Source="&amp;$B$27&amp;",DataType=CD")</f>
        <v>#VALUE!</v>
      </c>
      <c r="F20" s="87" t="str">
        <f>IF(E20="","",IFERROR(E20/B20-1,""))</f>
        <v/>
      </c>
      <c r="G20" s="94" t="str">
        <f>IF(E20="","",IFERROR(E20/D20-1,""))</f>
        <v/>
      </c>
      <c r="I20" s="35" t="s">
        <v>167</v>
      </c>
    </row>
    <row r="21" spans="1:9" x14ac:dyDescent="0.25">
      <c r="A21" s="55" t="s">
        <v>152</v>
      </c>
      <c r="B21" s="91">
        <v>278</v>
      </c>
      <c r="C21" s="91">
        <v>214</v>
      </c>
      <c r="D21" s="91" t="str" cm="1">
        <f t="array" aca="1" ref="D21" ca="1">_xll.SNL.Clients.Office.Excel.Functions.SPG($B$24,$I21,$B$25,$B$26,"Options:Source="&amp;$B$27&amp;",DataType=CD")</f>
        <v>#PEND</v>
      </c>
      <c r="F21" s="87" t="str">
        <f>IF(E21="","",IFERROR(E21/B21-1,""))</f>
        <v/>
      </c>
      <c r="G21" s="94" t="str">
        <f>IF(E21="","",IFERROR(E21/D21-1,""))</f>
        <v/>
      </c>
      <c r="I21" s="35" t="s">
        <v>166</v>
      </c>
    </row>
    <row r="22" spans="1:9" x14ac:dyDescent="0.25">
      <c r="A22" s="95" t="s">
        <v>153</v>
      </c>
      <c r="B22" s="96">
        <v>32</v>
      </c>
      <c r="C22" s="96">
        <v>127</v>
      </c>
      <c r="D22" s="96" t="e" cm="1">
        <f t="array" aca="1" ref="D22" ca="1">_xll.SNL.Clients.Office.Excel.Functions.SPG($B$24,"N_13428173",$B$25,$B$26,"Options:Source="&amp;$B$27&amp;",DataType=CD")+_xll.SNL.Clients.Office.Excel.Functions.SPG($B$24,"N_13428184",$B$25,$B$26,"Options:Source="&amp;$B$27&amp;",DataType=CD")</f>
        <v>#VALUE!</v>
      </c>
      <c r="E22" s="66"/>
      <c r="F22" s="97" t="str">
        <f>IF(E22="","",IFERROR(E22/B22-1,""))</f>
        <v/>
      </c>
      <c r="G22" s="98" t="str">
        <f>IF(E22="","",IFERROR(E22/D22-1,""))</f>
        <v/>
      </c>
      <c r="I22" s="35" t="s">
        <v>168</v>
      </c>
    </row>
    <row r="24" spans="1:9" x14ac:dyDescent="0.25">
      <c r="A24" s="30" t="s">
        <v>26</v>
      </c>
      <c r="B24" s="79" t="s">
        <v>154</v>
      </c>
      <c r="C24" s="31"/>
      <c r="D24" s="31"/>
      <c r="E24" s="31"/>
      <c r="F24" s="31"/>
      <c r="G24" s="31"/>
    </row>
    <row r="25" spans="1:9" x14ac:dyDescent="0.25">
      <c r="A25" t="s">
        <v>29</v>
      </c>
      <c r="B25" s="32" t="s">
        <v>30</v>
      </c>
    </row>
    <row r="26" spans="1:9" x14ac:dyDescent="0.25">
      <c r="A26" t="s">
        <v>31</v>
      </c>
      <c r="B26" s="33">
        <f ca="1">TODAY()</f>
        <v>46226</v>
      </c>
    </row>
    <row r="27" spans="1:9" x14ac:dyDescent="0.25">
      <c r="A27" t="s">
        <v>32</v>
      </c>
      <c r="B27" s="32" t="s">
        <v>24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87E79-F384-4825-B40C-CC4059CA065F}">
  <dimension ref="A1:N40"/>
  <sheetViews>
    <sheetView showGridLines="0" zoomScale="82" workbookViewId="0">
      <pane ySplit="2" topLeftCell="A3" activePane="bottomLeft" state="frozen"/>
      <selection pane="bottomLeft" activeCell="D30" sqref="D30"/>
    </sheetView>
  </sheetViews>
  <sheetFormatPr defaultRowHeight="15" x14ac:dyDescent="0.25"/>
  <cols>
    <col min="1" max="1" width="40.7109375" customWidth="1"/>
    <col min="2" max="7" width="13.85546875" customWidth="1"/>
    <col min="8" max="8" width="1.85546875" customWidth="1"/>
    <col min="9" max="9" width="48.140625" customWidth="1"/>
    <col min="10" max="10" width="11.140625" customWidth="1"/>
  </cols>
  <sheetData>
    <row r="1" spans="1:9" ht="18.75" x14ac:dyDescent="0.3">
      <c r="A1" s="112" t="s">
        <v>190</v>
      </c>
    </row>
    <row r="2" spans="1:9" x14ac:dyDescent="0.25">
      <c r="A2" s="113" t="s">
        <v>0</v>
      </c>
      <c r="B2" s="80" t="s">
        <v>1</v>
      </c>
      <c r="C2" s="80" t="s">
        <v>2</v>
      </c>
      <c r="D2" s="80" t="s">
        <v>191</v>
      </c>
      <c r="E2" s="80" t="s">
        <v>170</v>
      </c>
      <c r="F2" s="80" t="s">
        <v>4</v>
      </c>
      <c r="G2" s="114" t="s">
        <v>171</v>
      </c>
      <c r="I2" s="34" t="s">
        <v>33</v>
      </c>
    </row>
    <row r="3" spans="1:9" x14ac:dyDescent="0.25">
      <c r="A3" s="83" t="s">
        <v>5</v>
      </c>
      <c r="B3" s="100">
        <v>28790</v>
      </c>
      <c r="C3" s="100">
        <v>31457</v>
      </c>
      <c r="D3" s="100" t="str" cm="1">
        <f t="array" aca="1" ref="D3" ca="1">_xll.SNL.Clients.Office.Excel.Functions.SPG($B$37,$I3,$B$38,$B$39,"Options:Source="&amp;$B$40&amp;",DataType=CD")</f>
        <v>#PEND</v>
      </c>
      <c r="E3" s="101"/>
      <c r="F3" s="85" t="str">
        <f t="shared" ref="F3:F13" si="0">IF(E3="","",IFERROR(E3/B3-1,""))</f>
        <v/>
      </c>
      <c r="G3" s="93" t="str">
        <f t="shared" ref="G3:G13" si="1">IF(E3="","",IFERROR(E3/D3-1,""))</f>
        <v/>
      </c>
      <c r="I3" s="99" t="s">
        <v>192</v>
      </c>
    </row>
    <row r="4" spans="1:9" x14ac:dyDescent="0.25">
      <c r="A4" s="108" t="s">
        <v>172</v>
      </c>
      <c r="B4" s="102">
        <v>20414</v>
      </c>
      <c r="C4" s="102">
        <v>19962</v>
      </c>
      <c r="D4" s="102" t="str" cm="1">
        <f t="array" aca="1" ref="D4" ca="1">_xll.SNL.Clients.Office.Excel.Functions.SPG($B$37,$I4,$B$38,$B$39,"Options:Source="&amp;$B$40&amp;",DataType=CD")</f>
        <v>#PEND</v>
      </c>
      <c r="E4" s="102"/>
      <c r="F4" s="103" t="str">
        <f t="shared" si="0"/>
        <v/>
      </c>
      <c r="G4" s="110" t="str">
        <f t="shared" si="1"/>
        <v/>
      </c>
      <c r="I4" s="99" t="s">
        <v>193</v>
      </c>
    </row>
    <row r="5" spans="1:9" x14ac:dyDescent="0.25">
      <c r="A5" s="55" t="s">
        <v>173</v>
      </c>
      <c r="B5" s="91">
        <v>17839</v>
      </c>
      <c r="C5" s="91">
        <v>17323</v>
      </c>
      <c r="D5" s="91" t="str" cm="1">
        <f t="array" aca="1" ref="D5" ca="1">_xll.SNL.Clients.Office.Excel.Functions.SPG($B$37,$I5,$B$38,$B$39,"Options:Source="&amp;$B$40&amp;",DataType=CD")</f>
        <v>#PEND</v>
      </c>
      <c r="E5" s="91"/>
      <c r="F5" s="87" t="str">
        <f t="shared" si="0"/>
        <v/>
      </c>
      <c r="G5" s="94" t="str">
        <f t="shared" si="1"/>
        <v/>
      </c>
      <c r="I5" s="99" t="s">
        <v>194</v>
      </c>
    </row>
    <row r="6" spans="1:9" x14ac:dyDescent="0.25">
      <c r="A6" s="109" t="s">
        <v>174</v>
      </c>
      <c r="B6" s="104">
        <v>7530</v>
      </c>
      <c r="C6" s="104">
        <v>7315</v>
      </c>
      <c r="D6" s="104" t="e" cm="1">
        <f t="array" aca="1" ref="D6" ca="1">_xll.SNL.Clients.Office.Excel.Functions.SPG($B$37,"N_14590377",$B$38,$B$39,"Options:Source="&amp;$B$40&amp;",DataType=CD")+_xll.SNL.Clients.Office.Excel.Functions.SPG($B$37,"N_14719347",$B$38,$B$39,"Options:Source="&amp;$B$40&amp;",DataType=CD")</f>
        <v>#VALUE!</v>
      </c>
      <c r="E6" s="104"/>
      <c r="F6" s="105" t="str">
        <f t="shared" si="0"/>
        <v/>
      </c>
      <c r="G6" s="111" t="str">
        <f t="shared" si="1"/>
        <v/>
      </c>
      <c r="I6" s="99" t="s">
        <v>202</v>
      </c>
    </row>
    <row r="7" spans="1:9" x14ac:dyDescent="0.25">
      <c r="A7" s="109" t="s">
        <v>175</v>
      </c>
      <c r="B7" s="104">
        <v>6649</v>
      </c>
      <c r="C7" s="104">
        <v>6338</v>
      </c>
      <c r="D7" s="104" t="str" cm="1">
        <f t="array" aca="1" ref="D7" ca="1">_xll.SNL.Clients.Office.Excel.Functions.SPG($B$37,$I7,$B$38,$B$39,"Options:Source="&amp;$B$40&amp;",DataType=CD")</f>
        <v>#PEND</v>
      </c>
      <c r="E7" s="104"/>
      <c r="F7" s="105" t="str">
        <f t="shared" si="0"/>
        <v/>
      </c>
      <c r="G7" s="111" t="str">
        <f t="shared" si="1"/>
        <v/>
      </c>
      <c r="I7" s="99" t="s">
        <v>195</v>
      </c>
    </row>
    <row r="8" spans="1:9" x14ac:dyDescent="0.25">
      <c r="A8" s="109" t="s">
        <v>176</v>
      </c>
      <c r="B8" s="104">
        <v>882</v>
      </c>
      <c r="C8" s="104">
        <v>977</v>
      </c>
      <c r="D8" s="104" t="str" cm="1">
        <f t="array" aca="1" ref="D8" ca="1">_xll.SNL.Clients.Office.Excel.Functions.SPG($B$37,$I8,$B$38,$B$39,"Options:Source="&amp;$B$40&amp;",DataType=CD")</f>
        <v>#PEND</v>
      </c>
      <c r="E8" s="104"/>
      <c r="F8" s="105" t="str">
        <f t="shared" si="0"/>
        <v/>
      </c>
      <c r="G8" s="111" t="str">
        <f t="shared" si="1"/>
        <v/>
      </c>
      <c r="I8" s="99" t="s">
        <v>196</v>
      </c>
    </row>
    <row r="9" spans="1:9" x14ac:dyDescent="0.25">
      <c r="A9" s="55" t="s">
        <v>177</v>
      </c>
      <c r="B9" s="91">
        <v>2575</v>
      </c>
      <c r="C9" s="91">
        <v>2640</v>
      </c>
      <c r="D9" s="91" t="str" cm="1">
        <f t="array" aca="1" ref="D9" ca="1">_xll.SNL.Clients.Office.Excel.Functions.SPG($B$37,$I9,$B$38,$B$39,"Options:Source="&amp;$B$40&amp;",DataType=CD")</f>
        <v>#PEND</v>
      </c>
      <c r="E9" s="91"/>
      <c r="F9" s="87" t="str">
        <f t="shared" si="0"/>
        <v/>
      </c>
      <c r="G9" s="94" t="str">
        <f t="shared" si="1"/>
        <v/>
      </c>
      <c r="I9" s="99" t="s">
        <v>197</v>
      </c>
    </row>
    <row r="10" spans="1:9" x14ac:dyDescent="0.25">
      <c r="A10" s="108" t="s">
        <v>178</v>
      </c>
      <c r="B10" s="102">
        <v>8730</v>
      </c>
      <c r="C10" s="102">
        <v>11940</v>
      </c>
      <c r="D10" s="102" t="str" cm="1">
        <f t="array" aca="1" ref="D10" ca="1">_xll.SNL.Clients.Office.Excel.Functions.SPG($B$37,$I10,$B$38,$B$39,"Options:Source="&amp;$B$40&amp;",DataType=CD")</f>
        <v>#PEND</v>
      </c>
      <c r="E10" s="102"/>
      <c r="F10" s="103" t="str">
        <f t="shared" si="0"/>
        <v/>
      </c>
      <c r="G10" s="110" t="str">
        <f t="shared" si="1"/>
        <v/>
      </c>
      <c r="I10" s="99" t="s">
        <v>198</v>
      </c>
    </row>
    <row r="11" spans="1:9" x14ac:dyDescent="0.25">
      <c r="A11" s="55" t="s">
        <v>179</v>
      </c>
      <c r="B11" s="91">
        <v>4543</v>
      </c>
      <c r="C11" s="91">
        <v>7280</v>
      </c>
      <c r="D11" s="91" t="str" cm="1">
        <f t="array" aca="1" ref="D11" ca="1">_xll.SNL.Clients.Office.Excel.Functions.SPG($B$37,$I11,$B$38,$B$39,"Options:Source="&amp;$B$40&amp;",DataType=CD")</f>
        <v>#PEND</v>
      </c>
      <c r="E11" s="91"/>
      <c r="F11" s="87" t="str">
        <f t="shared" si="0"/>
        <v/>
      </c>
      <c r="G11" s="94" t="str">
        <f t="shared" si="1"/>
        <v/>
      </c>
      <c r="I11" s="99" t="s">
        <v>199</v>
      </c>
    </row>
    <row r="12" spans="1:9" x14ac:dyDescent="0.25">
      <c r="A12" s="55" t="s">
        <v>180</v>
      </c>
      <c r="B12" s="91">
        <v>2432</v>
      </c>
      <c r="C12" s="91">
        <v>3426</v>
      </c>
      <c r="D12" s="91" t="str" cm="1">
        <f t="array" aca="1" ref="D12" ca="1">_xll.SNL.Clients.Office.Excel.Functions.SPG($B$37,$I12,$B$38,$B$39,"Options:Source="&amp;$B$40&amp;",DataType=CD")</f>
        <v>#PEND</v>
      </c>
      <c r="E12" s="91"/>
      <c r="F12" s="87" t="str">
        <f t="shared" si="0"/>
        <v/>
      </c>
      <c r="G12" s="94" t="str">
        <f t="shared" si="1"/>
        <v/>
      </c>
      <c r="I12" s="99" t="s">
        <v>200</v>
      </c>
    </row>
    <row r="13" spans="1:9" x14ac:dyDescent="0.25">
      <c r="A13" s="55" t="s">
        <v>181</v>
      </c>
      <c r="B13" s="91">
        <v>2349</v>
      </c>
      <c r="C13" s="91">
        <v>2331</v>
      </c>
      <c r="D13" s="91" t="str" cm="1">
        <f t="array" aca="1" ref="D13" ca="1">_xll.SNL.Clients.Office.Excel.Functions.SPG($B$37,$I13,$B$38,$B$39,"Options:Source="&amp;$B$40&amp;",DataType=CD")</f>
        <v>#PEND</v>
      </c>
      <c r="E13" s="91"/>
      <c r="F13" s="87" t="str">
        <f t="shared" si="0"/>
        <v/>
      </c>
      <c r="G13" s="94" t="str">
        <f t="shared" si="1"/>
        <v/>
      </c>
      <c r="I13" s="99" t="s">
        <v>201</v>
      </c>
    </row>
    <row r="14" spans="1:9" x14ac:dyDescent="0.25">
      <c r="A14" s="55"/>
      <c r="G14" s="64"/>
    </row>
    <row r="15" spans="1:9" x14ac:dyDescent="0.25">
      <c r="A15" s="83" t="s">
        <v>58</v>
      </c>
      <c r="B15" s="100">
        <v>9488</v>
      </c>
      <c r="C15" s="100">
        <v>7929</v>
      </c>
      <c r="D15" s="100" t="str" cm="1">
        <f t="array" aca="1" ref="D15" ca="1">_xll.SNL.Clients.Office.Excel.Functions.SPG($B$37,$I15,$B$38,$B$39,"Options:Source="&amp;$B$40&amp;",DataType=CD")</f>
        <v>#PEND</v>
      </c>
      <c r="E15" s="101"/>
      <c r="F15" s="85" t="str">
        <f>IF(E15="","",IFERROR(E15/B15-1,""))</f>
        <v/>
      </c>
      <c r="G15" s="93" t="str">
        <f>IF(E15="","",IFERROR(E15/D15-1,""))</f>
        <v/>
      </c>
      <c r="I15" s="99" t="s">
        <v>203</v>
      </c>
    </row>
    <row r="16" spans="1:9" x14ac:dyDescent="0.25">
      <c r="A16" s="108" t="s">
        <v>172</v>
      </c>
      <c r="B16" s="102">
        <v>8450</v>
      </c>
      <c r="C16" s="102">
        <v>7910</v>
      </c>
      <c r="D16" s="102" t="str" cm="1">
        <f t="array" aca="1" ref="D16" ca="1">_xll.SNL.Clients.Office.Excel.Functions.SPG($B$37,$I16,$B$38,$B$39,"Options:Source="&amp;$B$40&amp;",DataType=CD")</f>
        <v>#PEND</v>
      </c>
      <c r="E16" s="102"/>
      <c r="F16" s="103" t="str">
        <f>IF(E16="","",IFERROR(E16/B16-1,""))</f>
        <v/>
      </c>
      <c r="G16" s="110" t="str">
        <f>IF(E16="","",IFERROR(E16/D16-1,""))</f>
        <v/>
      </c>
      <c r="I16" s="99" t="s">
        <v>204</v>
      </c>
    </row>
    <row r="17" spans="1:14" x14ac:dyDescent="0.25">
      <c r="A17" s="55" t="s">
        <v>173</v>
      </c>
      <c r="B17" s="91">
        <v>7006</v>
      </c>
      <c r="C17" s="91">
        <v>6434</v>
      </c>
      <c r="D17" s="91" t="str" cm="1">
        <f t="array" aca="1" ref="D17" ca="1">_xll.SNL.Clients.Office.Excel.Functions.SPG($B$37,$I17,$B$38,$B$39,"Options:Source="&amp;$B$40&amp;",DataType=CD")</f>
        <v>#PEND</v>
      </c>
      <c r="E17" s="91"/>
      <c r="F17" s="87" t="str">
        <f>IF(E17="","",IFERROR(E17/B17-1,""))</f>
        <v/>
      </c>
      <c r="G17" s="94" t="str">
        <f>IF(E17="","",IFERROR(E17/D17-1,""))</f>
        <v/>
      </c>
      <c r="I17" s="99" t="s">
        <v>205</v>
      </c>
    </row>
    <row r="18" spans="1:14" x14ac:dyDescent="0.25">
      <c r="A18" s="55" t="s">
        <v>177</v>
      </c>
      <c r="B18" s="91">
        <v>1444</v>
      </c>
      <c r="C18" s="91">
        <v>1476</v>
      </c>
      <c r="D18" s="91" t="str" cm="1">
        <f t="array" aca="1" ref="D18" ca="1">_xll.SNL.Clients.Office.Excel.Functions.SPG($B$37,$I18,$B$38,$B$39,"Options:Source="&amp;$B$40&amp;",DataType=CD")</f>
        <v>#PEND</v>
      </c>
      <c r="E18" s="91"/>
      <c r="F18" s="87" t="str">
        <f>IF(E18="","",IFERROR(E18/B18-1,""))</f>
        <v/>
      </c>
      <c r="G18" s="94" t="str">
        <f>IF(E18="","",IFERROR(E18/D18-1,""))</f>
        <v/>
      </c>
      <c r="I18" s="99" t="s">
        <v>206</v>
      </c>
    </row>
    <row r="19" spans="1:14" x14ac:dyDescent="0.25">
      <c r="A19" s="55" t="s">
        <v>182</v>
      </c>
      <c r="B19" s="87">
        <f>IFERROR(B16/B4,"")</f>
        <v>0.41393161555795044</v>
      </c>
      <c r="C19" s="87">
        <f>IFERROR(C16/C4,"")</f>
        <v>0.39625288047289853</v>
      </c>
      <c r="D19" s="88" t="str">
        <f ca="1">IFERROR(D16/D4,"")</f>
        <v/>
      </c>
      <c r="F19" s="87" t="str">
        <f>IF(E19="","",IFERROR(E19-B19,""))</f>
        <v/>
      </c>
      <c r="G19" s="94" t="str">
        <f>IF(E19="","",IFERROR(E19-D19,""))</f>
        <v/>
      </c>
    </row>
    <row r="20" spans="1:14" x14ac:dyDescent="0.25">
      <c r="A20" s="108" t="s">
        <v>178</v>
      </c>
      <c r="B20" s="102">
        <v>1241</v>
      </c>
      <c r="C20" s="102">
        <v>331</v>
      </c>
      <c r="D20" s="102" t="str" cm="1">
        <f t="array" aca="1" ref="D20" ca="1">_xll.SNL.Clients.Office.Excel.Functions.SPG($B$37,$I20,$B$38,$B$39,"Options:Source="&amp;$B$40&amp;",DataType=CD")</f>
        <v>#PEND</v>
      </c>
      <c r="E20" s="102"/>
      <c r="F20" s="103" t="str">
        <f>IF(E20="","",IFERROR(E20/B20-1,""))</f>
        <v/>
      </c>
      <c r="G20" s="110" t="str">
        <f>IF(E20="","",IFERROR(E20/D20-1,""))</f>
        <v/>
      </c>
      <c r="I20" s="99" t="s">
        <v>207</v>
      </c>
    </row>
    <row r="21" spans="1:14" x14ac:dyDescent="0.25">
      <c r="A21" s="55" t="s">
        <v>179</v>
      </c>
      <c r="B21" s="91">
        <v>683</v>
      </c>
      <c r="C21" s="91">
        <v>-426</v>
      </c>
      <c r="D21" s="91" t="str" cm="1">
        <f t="array" aca="1" ref="D21" ca="1">_xll.SNL.Clients.Office.Excel.Functions.SPG($B$37,$I21,$B$38,$B$39,"Options:Source="&amp;$B$40&amp;",DataType=CD")</f>
        <v>#PEND</v>
      </c>
      <c r="E21" s="91"/>
      <c r="F21" s="87" t="str">
        <f>IF(E21="","",IFERROR(E21/B21-1,""))</f>
        <v/>
      </c>
      <c r="G21" s="94" t="str">
        <f>IF(E21="","",IFERROR(E21/D21-1,""))</f>
        <v/>
      </c>
      <c r="I21" s="99" t="s">
        <v>208</v>
      </c>
    </row>
    <row r="22" spans="1:14" x14ac:dyDescent="0.25">
      <c r="A22" s="55" t="s">
        <v>180</v>
      </c>
      <c r="B22" s="91">
        <v>61</v>
      </c>
      <c r="C22" s="91">
        <v>555</v>
      </c>
      <c r="D22" s="91" t="str" cm="1">
        <f t="array" aca="1" ref="D22" ca="1">_xll.SNL.Clients.Office.Excel.Functions.SPG($B$37,$I22,$B$38,$B$39,"Options:Source="&amp;$B$40&amp;",DataType=CD")</f>
        <v>#PEND</v>
      </c>
      <c r="E22" s="91"/>
      <c r="F22" s="87" t="str">
        <f>IF(E22="","",IFERROR(E22/B22-1,""))</f>
        <v/>
      </c>
      <c r="G22" s="94" t="str">
        <f>IF(E22="","",IFERROR(E22/D22-1,""))</f>
        <v/>
      </c>
      <c r="I22" s="99" t="s">
        <v>209</v>
      </c>
    </row>
    <row r="23" spans="1:14" x14ac:dyDescent="0.25">
      <c r="A23" s="55" t="s">
        <v>181</v>
      </c>
      <c r="B23" s="91">
        <v>641</v>
      </c>
      <c r="C23" s="91">
        <v>551</v>
      </c>
      <c r="D23" s="91" t="str" cm="1">
        <f t="array" aca="1" ref="D23" ca="1">_xll.SNL.Clients.Office.Excel.Functions.SPG($B$37,$I23,$B$38,$B$39,"Options:Source="&amp;$B$40&amp;",DataType=CD")</f>
        <v>#PEND</v>
      </c>
      <c r="E23" s="91"/>
      <c r="F23" s="87" t="str">
        <f>IF(E23="","",IFERROR(E23/B23-1,""))</f>
        <v/>
      </c>
      <c r="G23" s="94" t="str">
        <f>IF(E23="","",IFERROR(E23/D23-1,""))</f>
        <v/>
      </c>
      <c r="I23" s="99" t="s">
        <v>210</v>
      </c>
    </row>
    <row r="24" spans="1:14" x14ac:dyDescent="0.25">
      <c r="A24" s="55" t="s">
        <v>182</v>
      </c>
      <c r="B24" s="87">
        <f>IFERROR(B20/B10,"")</f>
        <v>0.14215349369988545</v>
      </c>
      <c r="C24" s="87">
        <f>IFERROR(C20/C10,"")</f>
        <v>2.7721943048576215E-2</v>
      </c>
      <c r="D24" s="88" t="str">
        <f ca="1">IFERROR(D20/D10,"")</f>
        <v/>
      </c>
      <c r="F24" s="87" t="str">
        <f>IF(E24="","",IFERROR(E24-B24,""))</f>
        <v/>
      </c>
      <c r="G24" s="94" t="str">
        <f>IF(E24="","",IFERROR(E24-D24,""))</f>
        <v/>
      </c>
    </row>
    <row r="25" spans="1:14" x14ac:dyDescent="0.25">
      <c r="A25" s="55"/>
      <c r="G25" s="64"/>
    </row>
    <row r="26" spans="1:14" x14ac:dyDescent="0.25">
      <c r="A26" s="83" t="s">
        <v>69</v>
      </c>
      <c r="B26" s="89">
        <v>1.25</v>
      </c>
      <c r="C26" s="89">
        <v>0.79</v>
      </c>
      <c r="D26" s="89" t="str" cm="1">
        <f t="array" aca="1" ref="D26" ca="1">_xll.SNL.Clients.Office.Excel.Functions.SPG($B$37,$I26,$B$38,$B$39,"Options:Source="&amp;$B$40&amp;",DataType=CD")</f>
        <v>#PEND</v>
      </c>
      <c r="E26" s="106"/>
      <c r="F26" s="85" t="str">
        <f>IF(E26="","",IFERROR(E26/B26-1,""))</f>
        <v/>
      </c>
      <c r="G26" s="93" t="str">
        <f>IF(E26="","",IFERROR(E26/D26-1,""))</f>
        <v/>
      </c>
      <c r="I26" s="99" t="s">
        <v>211</v>
      </c>
    </row>
    <row r="27" spans="1:14" x14ac:dyDescent="0.25">
      <c r="A27" s="83" t="s">
        <v>122</v>
      </c>
      <c r="B27" s="100">
        <v>4501</v>
      </c>
      <c r="C27" s="100">
        <v>3901</v>
      </c>
      <c r="D27" s="100" t="str" cm="1">
        <f t="array" aca="1" ref="D27" ca="1">_xll.SNL.Clients.Office.Excel.Functions.SPG($B$37,$I27,$B$38,$B$39,"Options:Source="&amp;$B$40&amp;",DataType=CD")</f>
        <v>#PEND</v>
      </c>
      <c r="E27" s="101"/>
      <c r="F27" s="85" t="str">
        <f>IF(E27="","",IFERROR(E27/B27-1,""))</f>
        <v/>
      </c>
      <c r="G27" s="93" t="str">
        <f>IF(E27="","",IFERROR(E27/D27-1,""))</f>
        <v/>
      </c>
      <c r="I27" s="99" t="s">
        <v>212</v>
      </c>
    </row>
    <row r="28" spans="1:14" x14ac:dyDescent="0.25">
      <c r="A28" s="55"/>
      <c r="G28" s="64"/>
    </row>
    <row r="29" spans="1:14" x14ac:dyDescent="0.25">
      <c r="A29" s="90" t="s">
        <v>20</v>
      </c>
      <c r="B29" s="31"/>
      <c r="C29" s="31"/>
      <c r="D29" s="31"/>
      <c r="E29" s="31"/>
      <c r="F29" s="31"/>
      <c r="G29" s="74"/>
    </row>
    <row r="30" spans="1:14" x14ac:dyDescent="0.25">
      <c r="A30" s="55" t="s">
        <v>183</v>
      </c>
      <c r="B30" s="91">
        <v>-201</v>
      </c>
      <c r="C30" s="91">
        <v>-65</v>
      </c>
      <c r="D30" s="91" t="str" cm="1">
        <f t="array" aca="1" ref="D30" ca="1">_xll.SNL.Clients.Office.Excel.Functions.SPG($B$37,$I30,$B$38,$B$39,"Options:Source="&amp;$B$40&amp;",DataType=CD")</f>
        <v>#PEND</v>
      </c>
      <c r="E30" s="91"/>
      <c r="F30" s="87" t="str">
        <f>IF(E30="","",IFERROR(E30/B30-1,""))</f>
        <v/>
      </c>
      <c r="G30" s="94" t="str">
        <f>IF(E30="","",IFERROR(E30/D30-1,""))</f>
        <v/>
      </c>
      <c r="I30" s="99" t="s">
        <v>213</v>
      </c>
    </row>
    <row r="31" spans="1:14" x14ac:dyDescent="0.25">
      <c r="A31" s="55" t="s">
        <v>184</v>
      </c>
      <c r="B31" s="107">
        <f>B7*1000/(3*AVERAGE(K31,L31))</f>
        <v>76.190148793665529</v>
      </c>
      <c r="C31" s="107">
        <f>C7*1000/(3*AVERAGE(M31,N31))</f>
        <v>73.646721163845939</v>
      </c>
      <c r="D31" s="107" t="str" cm="1">
        <f t="array" aca="1" ref="D31" ca="1">_xll.SNL.Clients.Office.Excel.Functions.SPG($B$37,$I31,$B$38,$B$39,"Options:Source="&amp;$B$40&amp;",DataType=CD")</f>
        <v>#PEND</v>
      </c>
      <c r="E31" s="107"/>
      <c r="F31" s="87" t="str">
        <f>IF(E31="","",IFERROR(E31/B31-1,""))</f>
        <v/>
      </c>
      <c r="G31" s="94" t="str">
        <f>IF(E31="","",IFERROR(E31/D31-1,""))</f>
        <v/>
      </c>
      <c r="I31" s="99" t="s">
        <v>214</v>
      </c>
      <c r="J31" s="99" t="s">
        <v>189</v>
      </c>
      <c r="K31" s="116">
        <v>29190</v>
      </c>
      <c r="L31" s="116">
        <v>28989</v>
      </c>
      <c r="M31" s="116">
        <v>28719</v>
      </c>
      <c r="N31" s="116">
        <v>28654</v>
      </c>
    </row>
    <row r="32" spans="1:14" x14ac:dyDescent="0.25">
      <c r="A32" s="55" t="s">
        <v>185</v>
      </c>
      <c r="B32" s="91">
        <v>-325</v>
      </c>
      <c r="C32" s="91">
        <v>-322</v>
      </c>
      <c r="D32" s="91" t="str" cm="1">
        <f t="array" aca="1" ref="D32" ca="1">_xll.SNL.Clients.Office.Excel.Functions.SPG($B$37,$I32,$B$38,$B$39,"Options:Source="&amp;$B$40&amp;",DataType=CD")</f>
        <v>#PEND</v>
      </c>
      <c r="E32" s="91"/>
      <c r="F32" s="87" t="str">
        <f>IF(E32="","",IFERROR(E32/B32-1,""))</f>
        <v/>
      </c>
      <c r="G32" s="94" t="str">
        <f>IF(E32="","",IFERROR(E32/D32-1,""))</f>
        <v/>
      </c>
      <c r="I32" s="99" t="s">
        <v>215</v>
      </c>
    </row>
    <row r="33" spans="1:9" x14ac:dyDescent="0.25">
      <c r="A33" s="55" t="s">
        <v>186</v>
      </c>
      <c r="B33" s="91">
        <v>378</v>
      </c>
      <c r="C33" s="91">
        <v>435</v>
      </c>
      <c r="D33" s="91" t="str" cm="1">
        <f t="array" aca="1" ref="D33" ca="1">_xll.SNL.Clients.Office.Excel.Functions.SPG($B$37,$I33,$B$38,$B$39,"Options:Source="&amp;$B$40&amp;",DataType=CD")</f>
        <v>#PEND</v>
      </c>
      <c r="E33" s="91"/>
      <c r="F33" s="87" t="str">
        <f>IF(E33="","",IFERROR(E33/B33-1,""))</f>
        <v/>
      </c>
      <c r="G33" s="94" t="str">
        <f>IF(E33="","",IFERROR(E33/D33-1,""))</f>
        <v/>
      </c>
      <c r="I33" s="99" t="s">
        <v>216</v>
      </c>
    </row>
    <row r="34" spans="1:9" x14ac:dyDescent="0.25">
      <c r="A34" s="95" t="s">
        <v>187</v>
      </c>
      <c r="B34" s="115">
        <v>41</v>
      </c>
      <c r="C34" s="115">
        <v>46</v>
      </c>
      <c r="D34" s="115" t="e" cm="1">
        <f t="array" aca="1" ref="D34" ca="1">_xll.SNL.Clients.Office.Excel.Functions.SPG($B$37,$I34,$B$38,$B$39,"Options:Source="&amp;$B$40&amp;",DataType=CD")/1000</f>
        <v>#VALUE!</v>
      </c>
      <c r="E34" s="115"/>
      <c r="F34" s="97" t="str">
        <f>IF(E34="","",IFERROR(E34/B34-1,""))</f>
        <v/>
      </c>
      <c r="G34" s="98" t="str">
        <f>IF(E34="","",IFERROR(E34/D34-1,""))</f>
        <v/>
      </c>
      <c r="I34" s="99" t="s">
        <v>217</v>
      </c>
    </row>
    <row r="36" spans="1:9" x14ac:dyDescent="0.25">
      <c r="A36" s="30" t="s">
        <v>26</v>
      </c>
      <c r="B36" s="31"/>
      <c r="C36" s="31"/>
    </row>
    <row r="37" spans="1:9" x14ac:dyDescent="0.25">
      <c r="A37" t="s">
        <v>27</v>
      </c>
      <c r="B37" s="32" t="s">
        <v>188</v>
      </c>
      <c r="C37" s="32"/>
    </row>
    <row r="38" spans="1:9" x14ac:dyDescent="0.25">
      <c r="A38" t="s">
        <v>29</v>
      </c>
      <c r="B38" s="32" t="s">
        <v>30</v>
      </c>
      <c r="C38" s="32"/>
    </row>
    <row r="39" spans="1:9" x14ac:dyDescent="0.25">
      <c r="A39" t="s">
        <v>31</v>
      </c>
      <c r="B39" s="33">
        <f ca="1">TODAY()</f>
        <v>46226</v>
      </c>
      <c r="C39" s="33"/>
    </row>
    <row r="40" spans="1:9" x14ac:dyDescent="0.25">
      <c r="A40" t="s">
        <v>32</v>
      </c>
      <c r="B40" s="32" t="s">
        <v>24</v>
      </c>
      <c r="C40" s="3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TMUS</vt:lpstr>
      <vt:lpstr>T</vt:lpstr>
      <vt:lpstr>CHTR</vt:lpstr>
      <vt:lpstr>VZ</vt:lpstr>
      <vt:lpstr>CMCSA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Chung</dc:creator>
  <cp:lastModifiedBy>Andrew Chung</cp:lastModifiedBy>
  <dcterms:created xsi:type="dcterms:W3CDTF">2026-07-21T14:12:30Z</dcterms:created>
  <dcterms:modified xsi:type="dcterms:W3CDTF">2026-07-23T10:34:57Z</dcterms:modified>
</cp:coreProperties>
</file>
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4E0B990A-11C5-47D1-8319-15850BCE3E83}" xr6:coauthVersionLast="47" xr6:coauthVersionMax="47" xr10:uidLastSave="{00000000-0000-0000-0000-000000000000}"/>
  <bookViews>
    <workbookView xWindow="28680" yWindow="-120" windowWidth="29040" windowHeight="15720" tabRatio="870" activeTab="7" xr2:uid="{00000000-000D-0000-FFFF-FFFF00000000}"/>
  </bookViews>
  <sheets>
    <sheet name="Starlink Subs &amp; ARPU" sheetId="51" r:id="rId1"/>
    <sheet name="Introduction" sheetId="20" r:id="rId2"/>
    <sheet name="Satellite subscribers" sheetId="49" r:id="rId3"/>
    <sheet name="Starlink launches" sheetId="50" r:id="rId4"/>
    <sheet name="Starlink economics" sheetId="48" r:id="rId5"/>
    <sheet name="EchoStar (Hughes)" sheetId="53" r:id="rId6"/>
    <sheet name="Viasat" sheetId="54" r:id="rId7"/>
    <sheet name="Summary" sheetId="52" r:id="rId8"/>
  </sheets>
  <externalReferences>
    <externalReference r:id="rId9"/>
    <externalReference r:id="rId10"/>
    <externalReference r:id="rId11"/>
    <externalReference r:id="rId12"/>
    <externalReference r:id="rId13"/>
    <externalReference r:id="rId14"/>
    <externalReference r:id="rId15"/>
  </externalReferences>
  <definedNames>
    <definedName name="_1__123Graph_ACHART_1" hidden="1">[1]ptnbband!$D$71:$J$71</definedName>
    <definedName name="_1_0_TV_TBL_DEALS">#REF!</definedName>
    <definedName name="_10__123Graph_XCHART_1" hidden="1">[2]ptnbband!$D$4:$J$4</definedName>
    <definedName name="_2__123Graph_ACHART_1" hidden="1">[2]ptnbband!$D$71:$J$71</definedName>
    <definedName name="_2__123Graph_BCHART_1" hidden="1">[1]ptnbband!$D$72:$J$72</definedName>
    <definedName name="_3__123Graph_CCHART_1" hidden="1">[1]ptnbband!$D$73:$J$73</definedName>
    <definedName name="_4__123Graph_BCHART_1" hidden="1">[2]ptnbband!$D$72:$J$72</definedName>
    <definedName name="_4__123Graph_LBL_CCHART_1" hidden="1">[1]ptnbband!$D$74:$J$74</definedName>
    <definedName name="_5__123Graph_XCHART_1" hidden="1">[1]ptnbband!$D$4:$J$4</definedName>
    <definedName name="_6__123Graph_CCHART_1" hidden="1">[2]ptnbband!$D$73:$J$73</definedName>
    <definedName name="_8__123Graph_LBL_CCHART_1" hidden="1">[2]ptnbband!$D$74:$J$74</definedName>
    <definedName name="_Key1" hidden="1">#REF!</definedName>
    <definedName name="_Key1b" hidden="1">#REF!</definedName>
    <definedName name="_Order1" hidden="1">0</definedName>
    <definedName name="_Sort" hidden="1">[3]Sheet1!$A$84:$I$85</definedName>
    <definedName name="_Sortb" hidden="1">[4]Sheet1!$A$84:$I$85</definedName>
    <definedName name="a">#REF!</definedName>
    <definedName name="CIQWBGuid" hidden="1">"d5478d2e-4960-4aa9-b51f-b57792b0e820"</definedName>
    <definedName name="CIQWBInfo" hidden="1">"{ ""CIQVersion"":""9.45.614.5792"" }"</definedName>
    <definedName name="clean_spreads">#REF!</definedName>
    <definedName name="CommercialExAIGMetrics">[5]Appendix!#REF!</definedName>
    <definedName name="_xlnm.Database">#REF!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 hidden="1">44326.7592592593</definedName>
    <definedName name="IQ_NAMES_REVISION_DATE_" hidden="1">44326.6561805556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arket_Lookup">OFFSET([6]ParentCompanies!$BI$9,1,0,COUNTA(OFFSET([6]ParentCompanies!$BJ$9,1,0,65000,1)),2)</definedName>
    <definedName name="NIELSEN_2009_2010_AVG_TV_RATINGS_TOP_25_DMA_Query">#REF!</definedName>
    <definedName name="Nielsen_TV_Ranks_2009_2010_Query">#REF!</definedName>
    <definedName name="Options">'[7]Broadcast Stocks MTD'!$W$3:$W$4</definedName>
    <definedName name="RadioTVowners">#REF!</definedName>
    <definedName name="TV_Station_Revenues_Top_25_DMAs">#REF!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6" i="52" l="1"/>
  <c r="I8" i="52" s="1"/>
  <c r="H6" i="52"/>
  <c r="H8" i="52" s="1"/>
  <c r="I7" i="52"/>
  <c r="I5" i="52"/>
  <c r="H5" i="52"/>
  <c r="D19" i="54"/>
  <c r="D20" i="54"/>
  <c r="D21" i="54"/>
  <c r="G8" i="53"/>
  <c r="G9" i="53"/>
  <c r="G10" i="53"/>
  <c r="G11" i="53"/>
  <c r="G12" i="53"/>
  <c r="G13" i="53"/>
  <c r="G14" i="53"/>
  <c r="G15" i="53"/>
  <c r="G16" i="53"/>
  <c r="G17" i="53"/>
  <c r="G18" i="53"/>
  <c r="G19" i="53"/>
  <c r="G20" i="53"/>
  <c r="G21" i="53"/>
  <c r="G22" i="53"/>
  <c r="G23" i="53"/>
  <c r="G24" i="53"/>
  <c r="G25" i="53"/>
  <c r="G26" i="53"/>
  <c r="G27" i="53"/>
  <c r="G28" i="53"/>
  <c r="G29" i="53"/>
  <c r="G30" i="53"/>
  <c r="G31" i="53"/>
  <c r="G32" i="53"/>
  <c r="F34" i="53"/>
  <c r="F35" i="53"/>
  <c r="G8" i="52"/>
  <c r="F8" i="52"/>
  <c r="E8" i="52"/>
  <c r="D8" i="52"/>
  <c r="C8" i="52"/>
  <c r="H7" i="52"/>
  <c r="G7" i="52"/>
  <c r="F7" i="52"/>
  <c r="E7" i="52"/>
  <c r="D7" i="52"/>
  <c r="C7" i="52"/>
  <c r="G6" i="52"/>
  <c r="F6" i="52"/>
  <c r="E6" i="52"/>
  <c r="D6" i="52"/>
  <c r="C6" i="52"/>
  <c r="G5" i="52"/>
  <c r="F5" i="52"/>
  <c r="E5" i="52"/>
  <c r="D5" i="52"/>
  <c r="C5" i="52"/>
  <c r="D12" i="51"/>
  <c r="D13" i="51"/>
  <c r="D21" i="51"/>
  <c r="D22" i="51"/>
  <c r="D23" i="51"/>
</calcChain>
</file>

<file path=xl/sharedStrings.xml><?xml version="1.0" encoding="utf-8"?>
<sst xmlns="http://schemas.openxmlformats.org/spreadsheetml/2006/main" count="509" uniqueCount="371">
  <si>
    <t>www.marketintelligence.spglobal.com</t>
  </si>
  <si>
    <t>About S&amp;P Global Market Intelligence</t>
  </si>
  <si>
    <t>Disclosures</t>
  </si>
  <si>
    <t>S&amp;P Global keeps certain activities of its divisions separate from each other in order to preserve the independence and objectivity of their respective activities. As a result, certain divisions of S&amp;P Global may have information that is not available to other S&amp;P Global divisions.</t>
  </si>
  <si>
    <t>S&amp;P Global provides a wide range of services to, or relating to, many organizations. It may receive fees or other economic benefits from organizations whose securities or services it may recommend, analyze, rate, include in model portfolios, evaluate, price or otherwise address.</t>
  </si>
  <si>
    <t xml:space="preserve">
S&amp;P Global Market Intelligence’s opinions, quotes and credit-related and other analyses are statements of opinion as of the date they are expressed and not statements of fact or recommendation to purchase, hold, or sell any securities or to make any investment decisions, and do not address the suitability of any security.</t>
  </si>
  <si>
    <r>
      <rPr>
        <u/>
        <sz val="8"/>
        <color theme="1"/>
        <rFont val="Arial"/>
        <family val="2"/>
      </rPr>
      <t>Click here</t>
    </r>
    <r>
      <rPr>
        <sz val="8"/>
        <color theme="1"/>
        <rFont val="Arial"/>
        <family val="2"/>
      </rPr>
      <t xml:space="preserve"> to contact product support via email</t>
    </r>
  </si>
  <si>
    <t>About Kagan</t>
  </si>
  <si>
    <t>S&amp;P Global Market Intelligence Kagan is the ultimate resource for complete financial intelligence and analytics on the broad and dynamic media &amp; communications industry, including the broadcasting, cable, TV network, motion picture, wireline, wireless, satellite, and internet media sectors. The Kagan suite of products integrates comprehensive data, forecasts, expert analysis and breaking news into an electronic database and analytical tools that are available online and updated around the clock. Kagan combines the more than 40-year heritage of Kagan Research with parent company S&amp;P Global's years of experience in providing essential guidance to companies, governments and individuals worldwide.</t>
  </si>
  <si>
    <t>Click here for MI analysis of the data</t>
  </si>
  <si>
    <r>
      <t xml:space="preserve">At S&amp;P Global Market Intelligence, we understand the importance of accurate, deep and insightful information. Our team of experts delivers unrivaled insights and leading data and technology solutions, partnering with customers to expand their perspective, operate with confidence, and make decisions with conviction.
S&amp;P Global Market Intelligence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t>
    </r>
    <r>
      <rPr>
        <u/>
        <sz val="8"/>
        <color rgb="FF002060"/>
        <rFont val="Arial"/>
        <family val="2"/>
      </rPr>
      <t>www.spglobal.com/marketintelligence</t>
    </r>
    <r>
      <rPr>
        <u/>
        <sz val="8"/>
        <color theme="1"/>
        <rFont val="Arial"/>
        <family val="2"/>
      </rPr>
      <t>.</t>
    </r>
  </si>
  <si>
    <t>Sources: Industry data; S&amp;P Global Market Intelligence Kagan estimates.</t>
  </si>
  <si>
    <t>Revenue only</t>
  </si>
  <si>
    <t>Revenue less overhead</t>
  </si>
  <si>
    <t>Starlink global subscribers, YE 2025e</t>
  </si>
  <si>
    <t>Est. Starlink subscribers YE 2026e</t>
  </si>
  <si>
    <t>Annual growth rate</t>
  </si>
  <si>
    <t>Average subs 2026</t>
  </si>
  <si>
    <t>Estimated ARPU per month</t>
  </si>
  <si>
    <t xml:space="preserve">  TTM recurring revenue</t>
  </si>
  <si>
    <t>Cost per rocket launch</t>
  </si>
  <si>
    <t>Rocket launches per month</t>
  </si>
  <si>
    <t>Annualized Starship launches full year 2026</t>
  </si>
  <si>
    <t xml:space="preserve">  Starship cost next 12 months</t>
  </si>
  <si>
    <t>Satellites in each Starship</t>
  </si>
  <si>
    <t>Total satellites in next 12 months</t>
  </si>
  <si>
    <t>Cost per satellite</t>
  </si>
  <si>
    <t xml:space="preserve">  Satellite costs</t>
  </si>
  <si>
    <t>New satellite launch cost</t>
  </si>
  <si>
    <t>Other overhead</t>
  </si>
  <si>
    <t>Net revenue</t>
  </si>
  <si>
    <t>Check (negative numbers imply too many satellites)</t>
  </si>
  <si>
    <t>Current Starlink satellites in orbit, Feb. 2026</t>
  </si>
  <si>
    <t>Other overhead as percentage revenue</t>
  </si>
  <si>
    <t>Subscribers per satellite, YE 2025</t>
  </si>
  <si>
    <t>US subscribers</t>
  </si>
  <si>
    <t>US subscribers as percentage total</t>
  </si>
  <si>
    <t>Starlink economics</t>
  </si>
  <si>
    <t>EchoStar</t>
  </si>
  <si>
    <t>ViaSat</t>
  </si>
  <si>
    <t>ViaSat, Inc.</t>
  </si>
  <si>
    <t>Annual percent change</t>
  </si>
  <si>
    <t>Sequential percent change</t>
  </si>
  <si>
    <t>Starlink Global subscribers</t>
  </si>
  <si>
    <t xml:space="preserve">  Total satellite broadband subscribers (global)</t>
  </si>
  <si>
    <t>Q4</t>
  </si>
  <si>
    <t>Q1</t>
  </si>
  <si>
    <t>Q2</t>
  </si>
  <si>
    <t>Q3</t>
  </si>
  <si>
    <t>© 2026 S&amp;P Global.</t>
  </si>
  <si>
    <t>Copyright © 2026 by S&amp;P Global Market Intelligence, a division of S&amp;P Global Inc. These materials have been prepared solely for information purposes based upon information generally available to the public and from sources believed to be reliable. S&amp;P Global Market Intelligence, its affiliates, and third party providers (together, “S&amp;P Global”) do not guarantee the accuracy, completeness or timeliness of any content provided, including model, software or application, and are not responsible for errors or omissions, or for results obtained in connection with use of content. S&amp;P Global disclaims all express or implied warranties, including (but not limited to) any warranties of merchantability or fitness for a particular purpose or use.</t>
  </si>
  <si>
    <t>Q4'20</t>
  </si>
  <si>
    <t>Q1'21</t>
  </si>
  <si>
    <t>Q2'21</t>
  </si>
  <si>
    <t>Q3'21</t>
  </si>
  <si>
    <t>Q4'21</t>
  </si>
  <si>
    <t>Q1'22</t>
  </si>
  <si>
    <t>Q2'22</t>
  </si>
  <si>
    <t>Q3'22</t>
  </si>
  <si>
    <t>Q4'22</t>
  </si>
  <si>
    <t>Q1'23</t>
  </si>
  <si>
    <t>Q2'23</t>
  </si>
  <si>
    <t>Q3'23</t>
  </si>
  <si>
    <t>Q4'23</t>
  </si>
  <si>
    <t>Q1'24</t>
  </si>
  <si>
    <t>Q2'24</t>
  </si>
  <si>
    <t>Q3'24</t>
  </si>
  <si>
    <t>Q4'24</t>
  </si>
  <si>
    <t>Q1'25</t>
  </si>
  <si>
    <t>Q2'25</t>
  </si>
  <si>
    <t>Q3'25</t>
  </si>
  <si>
    <t>Starlink debut by country</t>
  </si>
  <si>
    <t>USA</t>
  </si>
  <si>
    <t>AU</t>
  </si>
  <si>
    <t>Ireland</t>
  </si>
  <si>
    <t>Sweden</t>
  </si>
  <si>
    <t>Spain</t>
  </si>
  <si>
    <t>Romania</t>
  </si>
  <si>
    <t>Luxembourg</t>
  </si>
  <si>
    <t>Japan</t>
  </si>
  <si>
    <t xml:space="preserve">Peru </t>
  </si>
  <si>
    <t>El Salvador</t>
  </si>
  <si>
    <t>Cyprus</t>
  </si>
  <si>
    <t>Zambia</t>
  </si>
  <si>
    <t>Mongolia</t>
  </si>
  <si>
    <t>Albania</t>
  </si>
  <si>
    <t>Tonga</t>
  </si>
  <si>
    <t>Samoa</t>
  </si>
  <si>
    <t>Liberia</t>
  </si>
  <si>
    <t>Guyana</t>
  </si>
  <si>
    <t>Sri Lanka</t>
  </si>
  <si>
    <t>Canada</t>
  </si>
  <si>
    <t>NZ</t>
  </si>
  <si>
    <t>Denmark</t>
  </si>
  <si>
    <t>Mexico</t>
  </si>
  <si>
    <t>Slovakia</t>
  </si>
  <si>
    <t>Greece</t>
  </si>
  <si>
    <t>Dom. Republic</t>
  </si>
  <si>
    <t>Jamaica</t>
  </si>
  <si>
    <t>Nigeria</t>
  </si>
  <si>
    <t>Panama</t>
  </si>
  <si>
    <t>Guatemala</t>
  </si>
  <si>
    <t>Georgia</t>
  </si>
  <si>
    <t>Argentina</t>
  </si>
  <si>
    <t>Micronesia</t>
  </si>
  <si>
    <t>South Sudan</t>
  </si>
  <si>
    <t>Vanuatu</t>
  </si>
  <si>
    <t>Tuvalu</t>
  </si>
  <si>
    <t>Jordan</t>
  </si>
  <si>
    <t>Chad</t>
  </si>
  <si>
    <t>UK</t>
  </si>
  <si>
    <t>France</t>
  </si>
  <si>
    <t>Portugal</t>
  </si>
  <si>
    <t>Croatia</t>
  </si>
  <si>
    <t>Slovenia</t>
  </si>
  <si>
    <t>Latvia</t>
  </si>
  <si>
    <t>Moldova</t>
  </si>
  <si>
    <t>Finland</t>
  </si>
  <si>
    <t>Colombia</t>
  </si>
  <si>
    <t>Mozambique</t>
  </si>
  <si>
    <t>Kenya</t>
  </si>
  <si>
    <t>Benin</t>
  </si>
  <si>
    <t>Uruguay</t>
  </si>
  <si>
    <t>Qatar</t>
  </si>
  <si>
    <t>Bhutan</t>
  </si>
  <si>
    <t>St. Vincent and the Grenadines</t>
  </si>
  <si>
    <t>Somalia</t>
  </si>
  <si>
    <t>Germany</t>
  </si>
  <si>
    <t>Austria</t>
  </si>
  <si>
    <t>Switzerland</t>
  </si>
  <si>
    <t>Lithuania</t>
  </si>
  <si>
    <t>Hungary</t>
  </si>
  <si>
    <t>Estonia</t>
  </si>
  <si>
    <t>Iceland</t>
  </si>
  <si>
    <t>Trinidad and Tobago</t>
  </si>
  <si>
    <t>Malaysia</t>
  </si>
  <si>
    <t>Maldives</t>
  </si>
  <si>
    <t>Indonesia</t>
  </si>
  <si>
    <t>Ghana</t>
  </si>
  <si>
    <t>Cape Verde</t>
  </si>
  <si>
    <t>Niger</t>
  </si>
  <si>
    <t>Bahrain</t>
  </si>
  <si>
    <t>Israel</t>
  </si>
  <si>
    <t>Netherlands</t>
  </si>
  <si>
    <t>Chile</t>
  </si>
  <si>
    <t>Brazil</t>
  </si>
  <si>
    <t>North Macedonia</t>
  </si>
  <si>
    <t>Rwanda</t>
  </si>
  <si>
    <t>Malawi</t>
  </si>
  <si>
    <t>Costa Rica</t>
  </si>
  <si>
    <t>Fiji</t>
  </si>
  <si>
    <t>Solomon Islands</t>
  </si>
  <si>
    <t>Timor Leste</t>
  </si>
  <si>
    <t>Kiribati</t>
  </si>
  <si>
    <t>Bangladesh</t>
  </si>
  <si>
    <t>Antigua and Barbuda</t>
  </si>
  <si>
    <t>Belgium</t>
  </si>
  <si>
    <t>Poland</t>
  </si>
  <si>
    <t>Bulgaria</t>
  </si>
  <si>
    <t>Norway</t>
  </si>
  <si>
    <t>Philippines</t>
  </si>
  <si>
    <t>Bahamas</t>
  </si>
  <si>
    <t>Honduras</t>
  </si>
  <si>
    <t>Sierra Leone</t>
  </si>
  <si>
    <t>Zimbabwe</t>
  </si>
  <si>
    <t>Nauru</t>
  </si>
  <si>
    <t>Armenia</t>
  </si>
  <si>
    <t>Democratic Republic of Congo</t>
  </si>
  <si>
    <t>Kazakhstan</t>
  </si>
  <si>
    <t>Italy</t>
  </si>
  <si>
    <t>Ukraine</t>
  </si>
  <si>
    <t>Malta</t>
  </si>
  <si>
    <t>Haiti</t>
  </si>
  <si>
    <t>Eswatini</t>
  </si>
  <si>
    <t>Madagascar</t>
  </si>
  <si>
    <t>Yemen</t>
  </si>
  <si>
    <t>Kosovo</t>
  </si>
  <si>
    <t>Oman</t>
  </si>
  <si>
    <t>Dominica</t>
  </si>
  <si>
    <t>Liechtenstein</t>
  </si>
  <si>
    <t>Czech Republic</t>
  </si>
  <si>
    <t>Iran</t>
  </si>
  <si>
    <t>Ecuador</t>
  </si>
  <si>
    <t>Paraguay</t>
  </si>
  <si>
    <t>Azerbaijan</t>
  </si>
  <si>
    <t>Marshall Islands</t>
  </si>
  <si>
    <t>Guinea-Bissau</t>
  </si>
  <si>
    <t>Lesotho</t>
  </si>
  <si>
    <t>Sources: Industry data.</t>
  </si>
  <si>
    <t>Botswana</t>
  </si>
  <si>
    <t>Starlink satellite broadband market launches, 2020–2025</t>
  </si>
  <si>
    <t>Satellite broadband subscribers, global, 2014–2025</t>
  </si>
  <si>
    <t>Starlink, Viasat and EchoStar global subscribers from 2014-2025, Starlink launch timeline by country and economic launch model for Starlink, including DIY model.</t>
  </si>
  <si>
    <t>6. Going forward, quarterly subscriber/ARPU disclosure should continue each quarter now that SPCX is a public reporting company.</t>
  </si>
  <si>
    <t>5. FY2025 full-year average ARPU was not separately broken out in the S-1; only point-in-time ARPU (Q1 2026: $66/mo) and prior year-end figures were given.</t>
  </si>
  <si>
    <t>4. Q1 2026 and FY2025 subscriber/ARPU figures are consistent between the S-1 and the Q2 2026 earnings release.</t>
  </si>
  <si>
    <t>3. Table 2 (quarterly) reflects the Connectivity Segment Operating and Financial Data table from SpaceX's actual Q2 2026 earnings release (furnished 8/4/2026), which is the first quarter with true sequential + YoY quarterly comps as a reporting company.</t>
  </si>
  <si>
    <t>2. Table 1 (annual) reflects year-end figures as disclosed in the S-1 prospectus filed 5/20/2026, ahead of SpaceX's 6/12/2026 Nasdaq listing (SPCX).</t>
  </si>
  <si>
    <t>1. Subscriber figures represent paid Starlink subscriptions across Residential, Roam, and Business/Enterprise plans (per S-1), not unique individual customers.</t>
  </si>
  <si>
    <t>Notes:</t>
  </si>
  <si>
    <t>Q2'26 vs Q2'25 ARPU change (YoY)</t>
  </si>
  <si>
    <t>Q2'26 vs Q2'25 subscriber growth (YoY)</t>
  </si>
  <si>
    <t>Q2'26 vs Q1'26 subscriber growth (QoQ)</t>
  </si>
  <si>
    <t>SpaceX Q2 2026 Earnings Release, Connectivity Segment Operating Data (8/4/26), current quarter</t>
  </si>
  <si>
    <t>6/30/2026</t>
  </si>
  <si>
    <t>Q2 2026</t>
  </si>
  <si>
    <t>SpaceX Q2 2026 Earnings Release, Connectivity Segment Operating Data (8/4/26), sequential comp</t>
  </si>
  <si>
    <t>3/31/2026</t>
  </si>
  <si>
    <t>Q1 2026</t>
  </si>
  <si>
    <t>SpaceX Q2 2026 Earnings Release, Connectivity Segment Operating Data (8/4/26), prior-year comp</t>
  </si>
  <si>
    <t>6/30/2025</t>
  </si>
  <si>
    <t>Q2 2025</t>
  </si>
  <si>
    <t>Source</t>
  </si>
  <si>
    <t>Starlink ARPU ($/month)</t>
  </si>
  <si>
    <t>Starlink Subscribers (millions)</t>
  </si>
  <si>
    <t>Period End Date</t>
  </si>
  <si>
    <t>Quarter</t>
  </si>
  <si>
    <t>Table 2: Quarterly Subscriber &amp; ARPU Data (per Q2 2026 Earnings Release)</t>
  </si>
  <si>
    <t>FY25 vs FY24 subscriber growth</t>
  </si>
  <si>
    <t>FY24 vs FY23 subscriber growth</t>
  </si>
  <si>
    <t>SpaceX Form S-1, most recent quarter as of filing (5/20/26)</t>
  </si>
  <si>
    <t>SpaceX Form S-1 (subscribers); full-year FY2025 average ARPU not separately disclosed in S-1</t>
  </si>
  <si>
    <t>n/d</t>
  </si>
  <si>
    <t>12/31/2025</t>
  </si>
  <si>
    <t>FY2025</t>
  </si>
  <si>
    <t>SpaceX Form S-1, Connectivity segment historical data, p. (subscriber/ARPU disclosure)</t>
  </si>
  <si>
    <t>12/31/2024</t>
  </si>
  <si>
    <t>FY2024</t>
  </si>
  <si>
    <t>12/31/2023</t>
  </si>
  <si>
    <t>FY2023</t>
  </si>
  <si>
    <t>Period</t>
  </si>
  <si>
    <t>Table 1: Annual Subscriber &amp; ARPU History (per S-1 Prospectus)</t>
  </si>
  <si>
    <t>Compiled from SpaceX Form S-1 (filed 5/20/26) and SpaceX Q2 2026 Earnings Release (8/4/26)</t>
  </si>
  <si>
    <t>SpaceX / Starlink — Connectivity Segment: Subscribers &amp; ARPU</t>
  </si>
  <si>
    <t>Global Satellite Broadband Subscribers by Carrier</t>
  </si>
  <si>
    <t>Year-End (Q4) Snapshot, in millions of subscribers</t>
  </si>
  <si>
    <t>Carrier</t>
  </si>
  <si>
    <t>Starlink</t>
  </si>
  <si>
    <t>Total</t>
  </si>
  <si>
    <t>5. Subscriber base has fallen from ~1.58 million (Q3 2020 peak) to 622,000 (Q2 2026), a decline of roughly 61%, coinciding with Starlink's consumer market expansion.</t>
  </si>
  <si>
    <t>4. EchoStar does not disclose a blended broadband ARPU figure in the same explicit $/month terms as SpaceX/Starlink; commentary references ARPU direction qualitatively in some quarters but doesn't provide a hard number.</t>
  </si>
  <si>
    <t>3. Rows shaded yellow are back-calculated from adjacent quarters' disclosed net-subscriber-change commentary (e.g., "declined 29,000 from Q3"), not directly reported point-in-time figures — shown for time-series continuity, cited to the disclosing release.</t>
  </si>
  <si>
    <t>2. EchoStar reports total broadband subscribers every quarter without exception; the US/LatAm split was disclosed through 2023 but has not been broken out separately in releases since (total-only from 2024 onward).</t>
  </si>
  <si>
    <t>1. "Broadband subscribers" (branded HughesNet) include U.S. and Latin America consumer, retail, wholesale, and SME channels.</t>
  </si>
  <si>
    <t>% decline, Q1 2020 to Q2 2026</t>
  </si>
  <si>
    <t>Total decline, Q1 2020 to Q2 2026 (subs, 000s)</t>
  </si>
  <si>
    <t>EchoStar Q2 2026 earnings release</t>
  </si>
  <si>
    <t>EchoStar Q1 2026 earnings release</t>
  </si>
  <si>
    <t>EchoStar Q4 2025 / FY2025 earnings release</t>
  </si>
  <si>
    <t>Q4 2025</t>
  </si>
  <si>
    <t>Backed out from Q4 2025 release (Q4'25 declined 44k from Q3'25)</t>
  </si>
  <si>
    <t>9/30/2025</t>
  </si>
  <si>
    <t>Q3 2025</t>
  </si>
  <si>
    <t>EchoStar Q2 2025 earnings release</t>
  </si>
  <si>
    <t>EchoStar Q1 2025 earnings release</t>
  </si>
  <si>
    <t>3/31/2025</t>
  </si>
  <si>
    <t>Q1 2025</t>
  </si>
  <si>
    <t>EchoStar Q4 2024 / FY2024 earnings release &amp; 10-K</t>
  </si>
  <si>
    <t>Q4 2024</t>
  </si>
  <si>
    <t>Backed out from Q4 2024 release (Q4'24 declined 29k from Q3'24)</t>
  </si>
  <si>
    <t>9/30/2024</t>
  </si>
  <si>
    <t>Q3 2024</t>
  </si>
  <si>
    <t>EchoStar Q2 2024 earnings call transcript</t>
  </si>
  <si>
    <t>6/30/2024</t>
  </si>
  <si>
    <t>Q2 2024</t>
  </si>
  <si>
    <t>EchoStar Q1 2024 earnings release</t>
  </si>
  <si>
    <t>3/31/2024</t>
  </si>
  <si>
    <t>Q1 2024</t>
  </si>
  <si>
    <t>Backed out from Q4 2024 release (Q4'23 declined 59k from Q3'23's 1,063k)</t>
  </si>
  <si>
    <t>Q4 2023</t>
  </si>
  <si>
    <t>EchoStar Q3 2023 earnings release / 10-Q</t>
  </si>
  <si>
    <t>9/30/2023</t>
  </si>
  <si>
    <t>Q3 2023</t>
  </si>
  <si>
    <t>EchoStar Q2 2023 earnings release / 10-Q</t>
  </si>
  <si>
    <t>6/30/2023</t>
  </si>
  <si>
    <t>Q2 2023</t>
  </si>
  <si>
    <t>EchoStar Q1 2023 earnings release</t>
  </si>
  <si>
    <t>3/31/2023</t>
  </si>
  <si>
    <t>Q1 2023</t>
  </si>
  <si>
    <t>EchoStar Q4 2022 earnings release</t>
  </si>
  <si>
    <t>12/31/2022</t>
  </si>
  <si>
    <t>Q4 2022</t>
  </si>
  <si>
    <t>EchoStar Q3 2022 earnings release</t>
  </si>
  <si>
    <t>9/30/2022</t>
  </si>
  <si>
    <t>Q3 2022</t>
  </si>
  <si>
    <t>EchoStar Q2 2022 earnings release</t>
  </si>
  <si>
    <t>6/30/2022</t>
  </si>
  <si>
    <t>Q2 2022</t>
  </si>
  <si>
    <t>EchoStar Q1 2022 earnings release</t>
  </si>
  <si>
    <t>3/31/2022</t>
  </si>
  <si>
    <t>Q1 2022</t>
  </si>
  <si>
    <t>EchoStar Q4 2021 earnings release</t>
  </si>
  <si>
    <t>12/31/2021</t>
  </si>
  <si>
    <t>Q4 2021</t>
  </si>
  <si>
    <t>EchoStar Q3 2021 earnings release / 10-Q</t>
  </si>
  <si>
    <t>9/30/2021</t>
  </si>
  <si>
    <t>Q3 2021</t>
  </si>
  <si>
    <t>Backed out from Q3 2021 release (total -32k QoQ)</t>
  </si>
  <si>
    <t>6/30/2021</t>
  </si>
  <si>
    <t>Q2 2021</t>
  </si>
  <si>
    <t>EchoStar Q1 2021 earnings release</t>
  </si>
  <si>
    <t>3/31/2021</t>
  </si>
  <si>
    <t>Q1 2021</t>
  </si>
  <si>
    <t>Backed out from Q1 2021 release (US -25k, LatAm +14k QoQ)</t>
  </si>
  <si>
    <t>12/31/2020</t>
  </si>
  <si>
    <t>Q4 2020</t>
  </si>
  <si>
    <t>EchoStar Q3 2020 earnings release / 10-Q</t>
  </si>
  <si>
    <t>9/30/2020</t>
  </si>
  <si>
    <t>Q3 2020</t>
  </si>
  <si>
    <t>EchoStar Q2 2020 earnings release / 10-Q</t>
  </si>
  <si>
    <t>6/30/2020</t>
  </si>
  <si>
    <t>Q2 2020</t>
  </si>
  <si>
    <t>EchoStar Q1 2020 earnings release</t>
  </si>
  <si>
    <t>3/31/2020</t>
  </si>
  <si>
    <t>Q1 2020</t>
  </si>
  <si>
    <t>Source / Note</t>
  </si>
  <si>
    <t>Net Adds (000s)</t>
  </si>
  <si>
    <t>Total Subs (000s)</t>
  </si>
  <si>
    <t>LatAm Subs (000s)</t>
  </si>
  <si>
    <t>US Subs (000s)</t>
  </si>
  <si>
    <t>Period End</t>
  </si>
  <si>
    <t>Quarterly Broadband Subscribers (thousands) — U.S. / Latin America / Total</t>
  </si>
  <si>
    <t>Compiled from EchoStar quarterly earnings releases and Form 10-Qs/10-Ks, Q1 2020 - Q2 2026</t>
  </si>
  <si>
    <t>EchoStar Corporation — Hughes / HughesNet Broadband Subscribers</t>
  </si>
  <si>
    <t>6. Viasat's fixed broadband ARPU has risen even as subscriber count has fallen sharply (mix-shift toward higher-value plans), from $93/month in FY2020 to $113-115/month in FY2025-26.</t>
  </si>
  <si>
    <t>5. The Sept-2020 (603,000) figure is a third-party estimate reported by CyberNews/TipRanks, not sourced to a Viasat filing — included only to illustrate the scale of decline commonly cited in the press, and should be treated with lower confidence than the 10-K-sourced figures.</t>
  </si>
  <si>
    <t>4. Disclosure of a specific subscriber count resumed in the FY2025 10-K (189,000) and continued in FY2026 (130,000).</t>
  </si>
  <si>
    <t>3. Viasat's shareholder letters during the gap years referenced subscriber trends qualitatively (e.g., "US fixed broadband subscribers continued to decrease," "approximately flat subscriber growth") without a specific headline number.</t>
  </si>
  <si>
    <t>2. Unlike EchoStar and SpaceX/Starlink, Viasat does NOT disclose a hard subscriber count every quarter or even every year. Between FY2021 and FY2024 (four consecutive fiscal years), no specific subscriber figure could be located in Viasat's 10-K Item 1 Business disclosures — shaded rows above.</t>
  </si>
  <si>
    <t>1. Viasat's fiscal year ends March 31 (FY2026 = year ended 3/31/2026), unlike SpaceX and EchoStar which report on a calendar-year basis.</t>
  </si>
  <si>
    <t>FY2025 to FY2026 % decline</t>
  </si>
  <si>
    <t>FY2020 to FY2025 % decline</t>
  </si>
  <si>
    <t>FY2020 to FY2025 decline (subs)</t>
  </si>
  <si>
    <t>"U.S. fixed broadband business had approximately 130,000 subscribers"</t>
  </si>
  <si>
    <t>Viasat Form 10-K, FY2026</t>
  </si>
  <si>
    <t>FY2026</t>
  </si>
  <si>
    <t>Disclosure resumed; "U.S. fixed broadband business had approximately 189,000 subscribers"</t>
  </si>
  <si>
    <t>Viasat Form 10-K, FY2025</t>
  </si>
  <si>
    <t>No subscriber count found in FY2024 10-K Item 1 Business section</t>
  </si>
  <si>
    <t>Not disclosed</t>
  </si>
  <si>
    <t>Per Light Reading (Nov 2023): "Viasat has not released residential subscriber figures for several quarters"</t>
  </si>
  <si>
    <t>No subscriber count found in FY2022 10-K Item 1 Business section</t>
  </si>
  <si>
    <t>FY2022</t>
  </si>
  <si>
    <t>Viasat's 10-K Item 1 Business section stopped stating a hard U.S. subscriber count after FY2020</t>
  </si>
  <si>
    <t>FY2021</t>
  </si>
  <si>
    <t>Excludes subscribers retained under FCC Keep Americans Connected Pledge</t>
  </si>
  <si>
    <t>Viasat Form 10-K, FY2020</t>
  </si>
  <si>
    <t>FY2020</t>
  </si>
  <si>
    <t>Flagged: not sourced directly from a Viasat filing; included for approximate time-series continuity only</t>
  </si>
  <si>
    <t>Third-party estimate (CyberNews / TipRanks), not a primary Viasat disclosure</t>
  </si>
  <si>
    <t>Q2 FY2021 (Cal. Sept 2020)</t>
  </si>
  <si>
    <t>Viasat Form 10-K, FY2019</t>
  </si>
  <si>
    <t>3/31/2019</t>
  </si>
  <si>
    <t>FY2019</t>
  </si>
  <si>
    <t>Retail + wholesale broadband subscribers (Exede/WildBlue brands)</t>
  </si>
  <si>
    <t>Viasat Form 10-K, FY2012</t>
  </si>
  <si>
    <t>3/30/2012</t>
  </si>
  <si>
    <t>FY2012</t>
  </si>
  <si>
    <t>Note</t>
  </si>
  <si>
    <t>ARPU ($/month)</t>
  </si>
  <si>
    <t>US Subscribers</t>
  </si>
  <si>
    <t>Disclosed Subscriber &amp; ARPU Data Points</t>
  </si>
  <si>
    <t>Compiled from Viasat Form 10-K filings and earnings releases (fiscal year ends March 31)</t>
  </si>
  <si>
    <t>Viasat, Inc. — U.S. Fixed Broadband Subscribers &amp; ARPU</t>
  </si>
  <si>
    <t>Q3 FY2026 (Cal. Dec 2025)</t>
  </si>
  <si>
    <t>Viasat quarterly disclosure, calendar Q4 2025 (per company reporting)</t>
  </si>
  <si>
    <t>Calendar Q4 2025 U.S. fixed broadband subscriber count</t>
  </si>
  <si>
    <t>2025</t>
  </si>
  <si>
    <t>Q2'26*</t>
  </si>
  <si>
    <t>* Q2'26: EchoStar and Starlink are actual reported figures; ViaSat is estimated by applying the Q4'25→Q1'26 (FY2026) QoQ decline rate forward one quarter, since ViaSat has not yet reported a calendar Q2 2026 figure.</t>
  </si>
  <si>
    <t>Sources: EchoStar — actual (EchoStar (Hughes) tab) 2023 onward, S&amp;P Kagan estimate 2020-2022 ('Satellite subscribers' tab). ViaSat — actual company-disclosed figures (Viasat tab) for Q1 2020, Q3 2020 (third-party est.), and Q4 2025 onward; S&amp;P Kagan estimate for all other quarters. Starlink — S&amp;P Kagan estimate 2020-2022; actual SpaceX data (Starlink Subs &amp; ARPU tab) 2023 onward.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</si>
</sst>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164" formatCode="_-&quot;₱&quot;* #,##0.00_-;\-&quot;₱&quot;* #,##0.00_-;_-&quot;₱&quot;* &quot;-&quot;??_-;_-@_-"/>
    <numFmt numFmtId="165" formatCode="_-* #,##0.00_-;\-* #,##0.00_-;_-* &quot;-&quot;??_-;_-@_-"/>
    <numFmt numFmtId="166" formatCode="_(* #,##0_);_(* \(#,##0\);_(* &quot;-&quot;??_);_(@_)"/>
    <numFmt numFmtId="167" formatCode="_(&quot;$&quot;* #,##0_);_(&quot;$&quot;* \(#,##0\);_(&quot;$&quot;* &quot;-&quot;??_);_(@_)"/>
    <numFmt numFmtId="168" formatCode="_(* #,##0.0_);_(* \(#,##0.0\);_(* &quot;-&quot;??_);_(@_)"/>
    <numFmt numFmtId="169" formatCode="0.0%"/>
    <numFmt numFmtId="170" formatCode="\$#,##0"/>
    <numFmt numFmtId="171" formatCode="0.0"/>
    <numFmt numFmtId="172" formatCode="#,##0;\(#,##0\)"/>
    <numFmt numFmtId="173" formatCode="\$#,##0.00"/>
  </numFmts>
  <fonts count="51" x14ac:knownFonts="1">
    <font>
      <sz val="11"/>
      <color theme="1"/>
      <name val="Arial"/>
      <family val="2"/>
      <scheme val="minor"/>
    </font>
    <font>
      <b/>
      <i/>
      <sz val="8"/>
      <color theme="1"/>
      <name val="Arial"/>
      <family val="2"/>
    </font>
    <font>
      <sz val="8"/>
      <color theme="1"/>
      <name val="Arial"/>
      <family val="2"/>
    </font>
    <font>
      <b/>
      <sz val="18"/>
      <name val="Arial"/>
      <family val="2"/>
    </font>
    <font>
      <u/>
      <sz val="11"/>
      <color theme="10"/>
      <name val="Arial"/>
      <family val="2"/>
      <scheme val="minor"/>
    </font>
    <font>
      <b/>
      <sz val="8"/>
      <name val="Arial"/>
      <family val="2"/>
    </font>
    <font>
      <b/>
      <sz val="8"/>
      <color theme="1"/>
      <name val="Arial"/>
      <family val="2"/>
    </font>
    <font>
      <i/>
      <sz val="8"/>
      <color theme="1"/>
      <name val="Arial"/>
      <family val="2"/>
    </font>
    <font>
      <b/>
      <u/>
      <sz val="8"/>
      <name val="Arial"/>
      <family val="2"/>
    </font>
    <font>
      <b/>
      <sz val="15"/>
      <color theme="0" tint="-0.499984740745262"/>
      <name val="Arial"/>
      <family val="2"/>
    </font>
    <font>
      <sz val="8"/>
      <color theme="0" tint="-0.499984740745262"/>
      <name val="Arial"/>
      <family val="2"/>
    </font>
    <font>
      <i/>
      <sz val="9"/>
      <color theme="1"/>
      <name val="Arial"/>
      <family val="2"/>
    </font>
    <font>
      <sz val="9"/>
      <color rgb="FFFF0000"/>
      <name val="Arial"/>
      <family val="2"/>
    </font>
    <font>
      <u/>
      <sz val="10"/>
      <color theme="10"/>
      <name val="Arial"/>
      <family val="2"/>
    </font>
    <font>
      <sz val="8"/>
      <name val="Arial"/>
      <family val="2"/>
    </font>
    <font>
      <sz val="10"/>
      <name val="Arial"/>
      <family val="2"/>
    </font>
    <font>
      <b/>
      <sz val="18"/>
      <color theme="0"/>
      <name val="Arial"/>
      <family val="2"/>
    </font>
    <font>
      <sz val="9"/>
      <color theme="1"/>
      <name val="Arial"/>
      <family val="2"/>
    </font>
    <font>
      <sz val="9"/>
      <color theme="1"/>
      <name val="Arial"/>
      <family val="2"/>
      <scheme val="minor"/>
    </font>
    <font>
      <sz val="8"/>
      <color rgb="FF0000FF"/>
      <name val="Arial"/>
      <family val="2"/>
    </font>
    <font>
      <b/>
      <sz val="10"/>
      <name val="Arial"/>
      <family val="2"/>
    </font>
    <font>
      <b/>
      <sz val="15"/>
      <name val="Arial"/>
      <family val="2"/>
    </font>
    <font>
      <b/>
      <sz val="9"/>
      <name val="Arial"/>
      <family val="2"/>
    </font>
    <font>
      <sz val="9"/>
      <name val="Arial"/>
      <family val="2"/>
    </font>
    <font>
      <b/>
      <sz val="12"/>
      <color theme="1"/>
      <name val="Arial"/>
      <family val="2"/>
    </font>
    <font>
      <b/>
      <sz val="15"/>
      <color theme="1"/>
      <name val="Arial"/>
      <family val="2"/>
    </font>
    <font>
      <sz val="11"/>
      <color theme="0" tint="-0.499984740745262"/>
      <name val="Arial"/>
      <family val="2"/>
      <scheme val="minor"/>
    </font>
    <font>
      <sz val="11"/>
      <color theme="1"/>
      <name val="Arial"/>
      <family val="2"/>
    </font>
    <font>
      <u/>
      <sz val="8"/>
      <color theme="1"/>
      <name val="Arial"/>
      <family val="2"/>
    </font>
    <font>
      <u/>
      <sz val="8"/>
      <color rgb="FF002060"/>
      <name val="Arial"/>
      <family val="2"/>
    </font>
    <font>
      <sz val="11"/>
      <color theme="1"/>
      <name val="Arial"/>
      <family val="2"/>
      <scheme val="minor"/>
    </font>
    <font>
      <sz val="8"/>
      <color theme="1"/>
      <name val="Arial"/>
      <family val="2"/>
      <scheme val="minor"/>
    </font>
    <font>
      <b/>
      <sz val="8"/>
      <color theme="1"/>
      <name val="Arial"/>
      <family val="2"/>
      <scheme val="minor"/>
    </font>
    <font>
      <u/>
      <sz val="11"/>
      <name val="Arial"/>
      <family val="2"/>
      <scheme val="minor"/>
    </font>
    <font>
      <b/>
      <sz val="11"/>
      <color theme="1"/>
      <name val="Arial"/>
      <family val="2"/>
      <scheme val="minor"/>
    </font>
    <font>
      <sz val="11"/>
      <color theme="1"/>
      <name val="Calibri"/>
      <family val="2"/>
      <charset val="1"/>
    </font>
    <font>
      <i/>
      <sz val="9"/>
      <color rgb="FF595959"/>
      <name val="Arial"/>
      <charset val="1"/>
    </font>
    <font>
      <b/>
      <sz val="10"/>
      <name val="Arial"/>
      <charset val="1"/>
    </font>
    <font>
      <sz val="11"/>
      <color rgb="FF000000"/>
      <name val="Arial"/>
      <charset val="1"/>
    </font>
    <font>
      <i/>
      <sz val="9"/>
      <name val="Arial"/>
      <charset val="1"/>
    </font>
    <font>
      <sz val="11"/>
      <color rgb="FF0000FF"/>
      <name val="Arial"/>
      <charset val="1"/>
    </font>
    <font>
      <b/>
      <sz val="11"/>
      <color rgb="FF000000"/>
      <name val="Arial"/>
      <charset val="1"/>
    </font>
    <font>
      <b/>
      <sz val="11"/>
      <color rgb="FFFFFFFF"/>
      <name val="Arial"/>
      <charset val="1"/>
    </font>
    <font>
      <b/>
      <sz val="11"/>
      <color rgb="FF1F3864"/>
      <name val="Arial"/>
      <charset val="1"/>
    </font>
    <font>
      <b/>
      <sz val="13"/>
      <name val="Arial"/>
      <charset val="1"/>
    </font>
    <font>
      <b/>
      <sz val="14"/>
      <color theme="1"/>
      <name val="Arial"/>
      <family val="2"/>
      <scheme val="minor"/>
    </font>
    <font>
      <i/>
      <sz val="10"/>
      <color rgb="FF595959"/>
      <name val="Arial"/>
      <family val="2"/>
      <scheme val="minor"/>
    </font>
    <font>
      <b/>
      <sz val="11"/>
      <color rgb="FFFFFFFF"/>
      <name val="Arial"/>
      <family val="2"/>
      <scheme val="minor"/>
    </font>
    <font>
      <sz val="11"/>
      <color rgb="FF008000"/>
      <name val="Arial"/>
      <family val="2"/>
      <scheme val="minor"/>
    </font>
    <font>
      <i/>
      <sz val="9"/>
      <color rgb="FF595959"/>
      <name val="Arial"/>
      <family val="2"/>
      <scheme val="minor"/>
    </font>
    <font>
      <b/>
      <sz val="11"/>
      <color rgb="FF0000FF"/>
      <name val="Arial"/>
      <charset val="1"/>
    </font>
  </fonts>
  <fills count="9">
    <fill>
      <patternFill patternType="none"/>
    </fill>
    <fill>
      <patternFill patternType="gray125"/>
    </fill>
    <fill>
      <patternFill patternType="solid">
        <fgColor theme="0"/>
        <bgColor indexed="64"/>
      </patternFill>
    </fill>
    <fill>
      <patternFill patternType="solid">
        <fgColor rgb="FFD2002A"/>
        <bgColor indexed="64"/>
      </patternFill>
    </fill>
    <fill>
      <patternFill patternType="solid">
        <fgColor theme="0" tint="-4.9989318521683403E-2"/>
        <bgColor indexed="64"/>
      </patternFill>
    </fill>
    <fill>
      <patternFill patternType="solid">
        <fgColor rgb="FF1F3864"/>
        <bgColor rgb="FF333333"/>
      </patternFill>
    </fill>
    <fill>
      <patternFill patternType="solid">
        <fgColor rgb="FF1F3864"/>
        <bgColor indexed="64"/>
      </patternFill>
    </fill>
    <fill>
      <patternFill patternType="solid">
        <fgColor rgb="FFFFF2CC"/>
        <bgColor rgb="FFFCE4D6"/>
      </patternFill>
    </fill>
    <fill>
      <patternFill patternType="solid">
        <fgColor rgb="FFFCE4D6"/>
        <bgColor rgb="FFFFF2CC"/>
      </patternFill>
    </fill>
  </fills>
  <borders count="4">
    <border>
      <left/>
      <right/>
      <top/>
      <bottom/>
      <diagonal/>
    </border>
    <border>
      <left/>
      <right/>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s>
  <cellStyleXfs count="12">
    <xf numFmtId="0" fontId="0" fillId="0" borderId="0"/>
    <xf numFmtId="0" fontId="1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5" fillId="0" borderId="0"/>
    <xf numFmtId="0" fontId="15" fillId="1" borderId="0"/>
    <xf numFmtId="0" fontId="15" fillId="1" borderId="0"/>
    <xf numFmtId="0" fontId="15" fillId="0" borderId="0"/>
    <xf numFmtId="165" fontId="30" fillId="0" borderId="0" applyFont="0" applyFill="0" applyBorder="0" applyAlignment="0" applyProtection="0"/>
    <xf numFmtId="164" fontId="30" fillId="0" borderId="0" applyFont="0" applyFill="0" applyBorder="0" applyAlignment="0" applyProtection="0"/>
    <xf numFmtId="9" fontId="30" fillId="0" borderId="0" applyFont="0" applyFill="0" applyBorder="0" applyAlignment="0" applyProtection="0"/>
    <xf numFmtId="0" fontId="35" fillId="0" borderId="0"/>
  </cellStyleXfs>
  <cellXfs count="122">
    <xf numFmtId="0" fontId="0" fillId="0" borderId="0" xfId="0"/>
    <xf numFmtId="0" fontId="2" fillId="0" borderId="0" xfId="0" applyFont="1"/>
    <xf numFmtId="0" fontId="1" fillId="0" borderId="0" xfId="0" applyFont="1" applyAlignment="1">
      <alignment horizontal="left" vertical="center"/>
    </xf>
    <xf numFmtId="0" fontId="8" fillId="0" borderId="0" xfId="2" applyFont="1" applyBorder="1" applyAlignment="1">
      <alignment horizontal="left" vertical="center" indent="1"/>
    </xf>
    <xf numFmtId="0" fontId="2" fillId="2" borderId="0" xfId="0" applyFont="1" applyFill="1" applyAlignment="1">
      <alignment horizontal="left" vertical="center"/>
    </xf>
    <xf numFmtId="0" fontId="2" fillId="0" borderId="0" xfId="4" applyFont="1"/>
    <xf numFmtId="0" fontId="2" fillId="0" borderId="0" xfId="4" applyFont="1" applyAlignment="1">
      <alignment horizontal="right"/>
    </xf>
    <xf numFmtId="0" fontId="2" fillId="0" borderId="0" xfId="4" applyFont="1" applyAlignment="1">
      <alignment horizontal="left" vertical="center"/>
    </xf>
    <xf numFmtId="0" fontId="2" fillId="0" borderId="0" xfId="4" applyFont="1" applyAlignment="1">
      <alignment vertical="center"/>
    </xf>
    <xf numFmtId="0" fontId="18" fillId="0" borderId="0" xfId="0" applyFont="1"/>
    <xf numFmtId="0" fontId="17" fillId="0" borderId="0" xfId="4" applyFont="1"/>
    <xf numFmtId="0" fontId="11" fillId="0" borderId="0" xfId="4" applyFont="1" applyAlignment="1">
      <alignment horizontal="left" vertical="top" wrapText="1" indent="1"/>
    </xf>
    <xf numFmtId="0" fontId="5" fillId="0" borderId="0" xfId="4" quotePrefix="1" applyFont="1" applyAlignment="1">
      <alignment horizontal="left" vertical="center" indent="1"/>
    </xf>
    <xf numFmtId="0" fontId="12" fillId="0" borderId="0" xfId="4" applyFont="1" applyAlignment="1">
      <alignment horizontal="left" vertical="center"/>
    </xf>
    <xf numFmtId="0" fontId="20" fillId="0" borderId="0" xfId="4" applyFont="1"/>
    <xf numFmtId="0" fontId="21" fillId="0" borderId="0" xfId="0" quotePrefix="1" applyFont="1" applyAlignment="1">
      <alignment horizontal="left" vertical="center" indent="1"/>
    </xf>
    <xf numFmtId="0" fontId="22" fillId="0" borderId="0" xfId="4" applyFont="1" applyAlignment="1">
      <alignment horizontal="left"/>
    </xf>
    <xf numFmtId="0" fontId="5" fillId="0" borderId="0" xfId="4" applyFont="1"/>
    <xf numFmtId="0" fontId="14" fillId="0" borderId="0" xfId="4" applyFont="1"/>
    <xf numFmtId="0" fontId="14" fillId="0" borderId="0" xfId="4" applyFont="1" applyAlignment="1">
      <alignment horizontal="right"/>
    </xf>
    <xf numFmtId="0" fontId="5" fillId="0" borderId="0" xfId="4" applyFont="1" applyAlignment="1">
      <alignment horizontal="left" indent="1"/>
    </xf>
    <xf numFmtId="0" fontId="5" fillId="0" borderId="0" xfId="4" quotePrefix="1" applyFont="1" applyAlignment="1">
      <alignment horizontal="left" indent="1"/>
    </xf>
    <xf numFmtId="0" fontId="23" fillId="0" borderId="0" xfId="4" applyFont="1" applyAlignment="1">
      <alignment horizontal="left"/>
    </xf>
    <xf numFmtId="0" fontId="10" fillId="0" borderId="0" xfId="4" applyFont="1" applyAlignment="1">
      <alignment vertical="center" wrapText="1"/>
    </xf>
    <xf numFmtId="0" fontId="6" fillId="0" borderId="0" xfId="4" quotePrefix="1" applyFont="1" applyAlignment="1">
      <alignment vertical="center"/>
    </xf>
    <xf numFmtId="0" fontId="9" fillId="0" borderId="0" xfId="4" quotePrefix="1" applyFont="1" applyAlignment="1">
      <alignment horizontal="left" vertical="center" indent="1"/>
    </xf>
    <xf numFmtId="0" fontId="26" fillId="0" borderId="0" xfId="0" applyFont="1"/>
    <xf numFmtId="0" fontId="10" fillId="0" borderId="0" xfId="4" applyFont="1"/>
    <xf numFmtId="0" fontId="10" fillId="0" borderId="0" xfId="4" applyFont="1" applyAlignment="1">
      <alignment horizontal="right"/>
    </xf>
    <xf numFmtId="0" fontId="2" fillId="0" borderId="0" xfId="4" applyFont="1" applyAlignment="1">
      <alignment vertical="center" wrapText="1"/>
    </xf>
    <xf numFmtId="0" fontId="10" fillId="0" borderId="0" xfId="4" applyFont="1" applyAlignment="1">
      <alignment horizontal="left" vertical="center" wrapText="1" indent="1"/>
    </xf>
    <xf numFmtId="0" fontId="7" fillId="0" borderId="0" xfId="4" applyFont="1" applyAlignment="1">
      <alignment wrapText="1"/>
    </xf>
    <xf numFmtId="1" fontId="19" fillId="0" borderId="0" xfId="0" applyNumberFormat="1" applyFont="1" applyAlignment="1">
      <alignment horizontal="center" vertical="center"/>
    </xf>
    <xf numFmtId="0" fontId="5" fillId="0" borderId="0" xfId="4" applyFont="1" applyAlignment="1">
      <alignment horizontal="left" vertical="top"/>
    </xf>
    <xf numFmtId="0" fontId="27" fillId="0" borderId="0" xfId="0" applyFont="1"/>
    <xf numFmtId="1" fontId="2" fillId="0" borderId="0" xfId="0" applyNumberFormat="1" applyFont="1" applyAlignment="1">
      <alignment horizontal="left" vertical="center"/>
    </xf>
    <xf numFmtId="0" fontId="24" fillId="0" borderId="0" xfId="4" applyFont="1" applyAlignment="1">
      <alignment horizontal="left" vertical="center"/>
    </xf>
    <xf numFmtId="0" fontId="9" fillId="0" borderId="0" xfId="4" quotePrefix="1" applyFont="1" applyAlignment="1">
      <alignment horizontal="left" vertical="center"/>
    </xf>
    <xf numFmtId="0" fontId="25" fillId="0" borderId="0" xfId="4" applyFont="1" applyAlignment="1">
      <alignment horizontal="left" vertical="center"/>
    </xf>
    <xf numFmtId="0" fontId="25" fillId="0" borderId="0" xfId="4" quotePrefix="1" applyFont="1" applyAlignment="1">
      <alignment horizontal="left" vertical="center"/>
    </xf>
    <xf numFmtId="0" fontId="6" fillId="0" borderId="0" xfId="4" applyFont="1" applyAlignment="1">
      <alignment horizontal="left" vertical="center"/>
    </xf>
    <xf numFmtId="0" fontId="10" fillId="0" borderId="0" xfId="4" applyFont="1" applyAlignment="1">
      <alignment horizontal="left" vertical="center" wrapText="1"/>
    </xf>
    <xf numFmtId="0" fontId="8" fillId="0" borderId="0" xfId="2" applyFont="1" applyBorder="1" applyAlignment="1">
      <alignment horizontal="left" vertical="center"/>
    </xf>
    <xf numFmtId="0" fontId="3" fillId="2" borderId="0" xfId="0" applyFont="1" applyFill="1" applyAlignment="1">
      <alignment vertical="center"/>
    </xf>
    <xf numFmtId="0" fontId="5" fillId="2" borderId="0" xfId="0" applyFont="1" applyFill="1" applyAlignment="1">
      <alignment horizontal="left" vertical="center" wrapText="1"/>
    </xf>
    <xf numFmtId="0" fontId="2" fillId="4" borderId="0" xfId="0" applyFont="1" applyFill="1"/>
    <xf numFmtId="0" fontId="6" fillId="4" borderId="0" xfId="0" applyFont="1" applyFill="1" applyAlignment="1">
      <alignment horizontal="left"/>
    </xf>
    <xf numFmtId="0" fontId="6" fillId="4" borderId="0" xfId="0" applyFont="1" applyFill="1" applyAlignment="1">
      <alignment horizontal="right" wrapText="1"/>
    </xf>
    <xf numFmtId="0" fontId="6" fillId="4" borderId="0" xfId="0" applyFont="1" applyFill="1" applyAlignment="1">
      <alignment horizontal="right"/>
    </xf>
    <xf numFmtId="0" fontId="6" fillId="0" borderId="0" xfId="0" applyFont="1" applyAlignment="1">
      <alignment horizontal="left"/>
    </xf>
    <xf numFmtId="3" fontId="2" fillId="0" borderId="0" xfId="0" applyNumberFormat="1" applyFont="1" applyAlignment="1">
      <alignment horizontal="right"/>
    </xf>
    <xf numFmtId="0" fontId="6" fillId="0" borderId="0" xfId="0" applyFont="1"/>
    <xf numFmtId="0" fontId="2" fillId="0" borderId="0" xfId="0" applyFont="1" applyAlignment="1">
      <alignment horizontal="left"/>
    </xf>
    <xf numFmtId="9" fontId="2" fillId="0" borderId="0" xfId="10" applyFont="1"/>
    <xf numFmtId="166" fontId="31" fillId="0" borderId="0" xfId="8" applyNumberFormat="1" applyFont="1" applyFill="1"/>
    <xf numFmtId="9" fontId="31" fillId="0" borderId="0" xfId="10" applyFont="1" applyFill="1"/>
    <xf numFmtId="167" fontId="32" fillId="0" borderId="0" xfId="9" applyNumberFormat="1" applyFont="1" applyFill="1"/>
    <xf numFmtId="0" fontId="31" fillId="0" borderId="0" xfId="0" applyFont="1"/>
    <xf numFmtId="167" fontId="31" fillId="0" borderId="0" xfId="9" applyNumberFormat="1" applyFont="1" applyFill="1"/>
    <xf numFmtId="168" fontId="31" fillId="0" borderId="0" xfId="8" applyNumberFormat="1" applyFont="1" applyFill="1"/>
    <xf numFmtId="166" fontId="31" fillId="0" borderId="1" xfId="8" applyNumberFormat="1" applyFont="1" applyFill="1" applyBorder="1"/>
    <xf numFmtId="167" fontId="31" fillId="0" borderId="1" xfId="9" applyNumberFormat="1" applyFont="1" applyFill="1" applyBorder="1"/>
    <xf numFmtId="167" fontId="32" fillId="0" borderId="0" xfId="0" applyNumberFormat="1" applyFont="1"/>
    <xf numFmtId="9" fontId="32" fillId="0" borderId="0" xfId="10" applyFont="1" applyFill="1" applyBorder="1"/>
    <xf numFmtId="167" fontId="31" fillId="0" borderId="0" xfId="0" applyNumberFormat="1" applyFont="1"/>
    <xf numFmtId="166" fontId="31" fillId="0" borderId="0" xfId="8" applyNumberFormat="1" applyFont="1"/>
    <xf numFmtId="9" fontId="31" fillId="0" borderId="0" xfId="10" applyFont="1"/>
    <xf numFmtId="44" fontId="31" fillId="0" borderId="0" xfId="9" applyNumberFormat="1" applyFont="1" applyFill="1"/>
    <xf numFmtId="169" fontId="2" fillId="0" borderId="0" xfId="10" applyNumberFormat="1" applyFont="1"/>
    <xf numFmtId="3" fontId="2" fillId="0" borderId="0" xfId="0" applyNumberFormat="1" applyFont="1"/>
    <xf numFmtId="3" fontId="2" fillId="0" borderId="0" xfId="10" applyNumberFormat="1" applyFont="1"/>
    <xf numFmtId="0" fontId="6" fillId="4" borderId="0" xfId="0" applyFont="1" applyFill="1" applyAlignment="1">
      <alignment horizontal="left" wrapText="1"/>
    </xf>
    <xf numFmtId="3" fontId="2" fillId="0" borderId="0" xfId="10" applyNumberFormat="1" applyFont="1" applyAlignment="1">
      <alignment horizontal="left"/>
    </xf>
    <xf numFmtId="3" fontId="2" fillId="0" borderId="0" xfId="0" applyNumberFormat="1" applyFont="1" applyAlignment="1">
      <alignment horizontal="left"/>
    </xf>
    <xf numFmtId="2" fontId="2" fillId="0" borderId="0" xfId="10" applyNumberFormat="1" applyFont="1" applyAlignment="1">
      <alignment horizontal="left"/>
    </xf>
    <xf numFmtId="9" fontId="2" fillId="0" borderId="0" xfId="10" applyFont="1" applyAlignment="1">
      <alignment horizontal="left"/>
    </xf>
    <xf numFmtId="1" fontId="33" fillId="0" borderId="0" xfId="3" applyNumberFormat="1" applyFont="1" applyFill="1" applyBorder="1" applyAlignment="1">
      <alignment horizontal="left" vertical="center"/>
    </xf>
    <xf numFmtId="0" fontId="17" fillId="0" borderId="0" xfId="4" applyFont="1" applyAlignment="1">
      <alignment horizontal="left" vertical="top" wrapText="1"/>
    </xf>
    <xf numFmtId="0" fontId="16" fillId="3" borderId="0" xfId="0" applyFont="1" applyFill="1" applyAlignment="1">
      <alignment horizontal="left" vertical="center" wrapText="1"/>
    </xf>
    <xf numFmtId="0" fontId="2" fillId="0" borderId="0" xfId="4" applyFont="1" applyAlignment="1">
      <alignment horizontal="left" vertical="center" wrapText="1"/>
    </xf>
    <xf numFmtId="0" fontId="10" fillId="0" borderId="0" xfId="4" applyFont="1" applyAlignment="1">
      <alignment horizontal="left" wrapText="1" indent="1"/>
    </xf>
    <xf numFmtId="0" fontId="2" fillId="0" borderId="0" xfId="4" applyFont="1" applyAlignment="1">
      <alignment horizontal="left" vertical="top" wrapText="1"/>
    </xf>
    <xf numFmtId="0" fontId="35" fillId="0" borderId="0" xfId="11"/>
    <xf numFmtId="0" fontId="36" fillId="0" borderId="0" xfId="11" applyFont="1"/>
    <xf numFmtId="0" fontId="37" fillId="0" borderId="0" xfId="11" applyFont="1"/>
    <xf numFmtId="169" fontId="38" fillId="0" borderId="0" xfId="11" applyNumberFormat="1" applyFont="1" applyAlignment="1">
      <alignment horizontal="center"/>
    </xf>
    <xf numFmtId="0" fontId="39" fillId="0" borderId="0" xfId="11" applyFont="1"/>
    <xf numFmtId="0" fontId="38" fillId="0" borderId="2" xfId="11" applyFont="1" applyBorder="1" applyAlignment="1">
      <alignment horizontal="left" vertical="center"/>
    </xf>
    <xf numFmtId="170" fontId="40" fillId="0" borderId="2" xfId="11" applyNumberFormat="1" applyFont="1" applyBorder="1" applyAlignment="1">
      <alignment horizontal="center" vertical="center"/>
    </xf>
    <xf numFmtId="171" fontId="40" fillId="0" borderId="2" xfId="11" applyNumberFormat="1" applyFont="1" applyBorder="1" applyAlignment="1">
      <alignment horizontal="center" vertical="center"/>
    </xf>
    <xf numFmtId="0" fontId="38" fillId="0" borderId="2" xfId="11" applyFont="1" applyBorder="1" applyAlignment="1">
      <alignment horizontal="center" vertical="center"/>
    </xf>
    <xf numFmtId="0" fontId="41" fillId="0" borderId="2" xfId="11" applyFont="1" applyBorder="1" applyAlignment="1">
      <alignment horizontal="left" vertical="center"/>
    </xf>
    <xf numFmtId="0" fontId="42" fillId="5" borderId="2" xfId="11" applyFont="1" applyFill="1" applyBorder="1" applyAlignment="1">
      <alignment horizontal="center" vertical="center"/>
    </xf>
    <xf numFmtId="0" fontId="43" fillId="0" borderId="0" xfId="11" applyFont="1"/>
    <xf numFmtId="0" fontId="36" fillId="0" borderId="0" xfId="11" applyFont="1"/>
    <xf numFmtId="0" fontId="44" fillId="0" borderId="0" xfId="11" applyFont="1"/>
    <xf numFmtId="0" fontId="45" fillId="0" borderId="0" xfId="0" applyFont="1"/>
    <xf numFmtId="0" fontId="46" fillId="0" borderId="0" xfId="0" applyFont="1"/>
    <xf numFmtId="0" fontId="47" fillId="6" borderId="0" xfId="0" applyFont="1" applyFill="1" applyAlignment="1">
      <alignment horizontal="left"/>
    </xf>
    <xf numFmtId="49" fontId="47" fillId="6" borderId="0" xfId="0" applyNumberFormat="1" applyFont="1" applyFill="1" applyAlignment="1">
      <alignment horizontal="center"/>
    </xf>
    <xf numFmtId="0" fontId="0" fillId="0" borderId="0" xfId="0" applyFont="1"/>
    <xf numFmtId="2" fontId="48" fillId="0" borderId="0" xfId="0" applyNumberFormat="1" applyFont="1"/>
    <xf numFmtId="0" fontId="34" fillId="0" borderId="3" xfId="0" applyFont="1" applyBorder="1"/>
    <xf numFmtId="2" fontId="34" fillId="0" borderId="3" xfId="0" applyNumberFormat="1" applyFont="1" applyBorder="1"/>
    <xf numFmtId="0" fontId="49" fillId="0" borderId="0" xfId="0" applyFont="1"/>
    <xf numFmtId="169" fontId="35" fillId="0" borderId="0" xfId="11" applyNumberFormat="1" applyAlignment="1">
      <alignment horizontal="center"/>
    </xf>
    <xf numFmtId="172" fontId="35" fillId="0" borderId="0" xfId="11" applyNumberFormat="1" applyAlignment="1">
      <alignment horizontal="center"/>
    </xf>
    <xf numFmtId="172" fontId="38" fillId="0" borderId="2" xfId="11" applyNumberFormat="1" applyFont="1" applyBorder="1" applyAlignment="1">
      <alignment horizontal="center" vertical="center"/>
    </xf>
    <xf numFmtId="3" fontId="50" fillId="0" borderId="2" xfId="11" applyNumberFormat="1" applyFont="1" applyBorder="1" applyAlignment="1">
      <alignment horizontal="center" vertical="center"/>
    </xf>
    <xf numFmtId="0" fontId="38" fillId="7" borderId="2" xfId="11" applyFont="1" applyFill="1" applyBorder="1" applyAlignment="1">
      <alignment horizontal="left" vertical="center"/>
    </xf>
    <xf numFmtId="172" fontId="38" fillId="7" borderId="2" xfId="11" applyNumberFormat="1" applyFont="1" applyFill="1" applyBorder="1" applyAlignment="1">
      <alignment horizontal="center" vertical="center"/>
    </xf>
    <xf numFmtId="3" fontId="50" fillId="7" borderId="2" xfId="11" applyNumberFormat="1" applyFont="1" applyFill="1" applyBorder="1" applyAlignment="1">
      <alignment horizontal="center" vertical="center"/>
    </xf>
    <xf numFmtId="0" fontId="38" fillId="7" borderId="2" xfId="11" applyFont="1" applyFill="1" applyBorder="1" applyAlignment="1">
      <alignment horizontal="center" vertical="center"/>
    </xf>
    <xf numFmtId="0" fontId="41" fillId="7" borderId="2" xfId="11" applyFont="1" applyFill="1" applyBorder="1" applyAlignment="1">
      <alignment horizontal="left" vertical="center"/>
    </xf>
    <xf numFmtId="0" fontId="40" fillId="0" borderId="2" xfId="11" applyFont="1" applyBorder="1" applyAlignment="1">
      <alignment horizontal="center" vertical="center"/>
    </xf>
    <xf numFmtId="0" fontId="40" fillId="7" borderId="2" xfId="11" applyFont="1" applyFill="1" applyBorder="1" applyAlignment="1">
      <alignment horizontal="center" vertical="center"/>
    </xf>
    <xf numFmtId="173" fontId="40" fillId="0" borderId="2" xfId="11" applyNumberFormat="1" applyFont="1" applyBorder="1" applyAlignment="1">
      <alignment horizontal="center" vertical="center"/>
    </xf>
    <xf numFmtId="3" fontId="40" fillId="0" borderId="2" xfId="11" applyNumberFormat="1" applyFont="1" applyBorder="1" applyAlignment="1">
      <alignment horizontal="center" vertical="center"/>
    </xf>
    <xf numFmtId="0" fontId="38" fillId="8" borderId="2" xfId="11" applyFont="1" applyFill="1" applyBorder="1" applyAlignment="1">
      <alignment horizontal="left" vertical="center"/>
    </xf>
    <xf numFmtId="0" fontId="38" fillId="8" borderId="2" xfId="11" applyFont="1" applyFill="1" applyBorder="1" applyAlignment="1">
      <alignment horizontal="center" vertical="center"/>
    </xf>
    <xf numFmtId="0" fontId="41" fillId="8" borderId="2" xfId="11" applyFont="1" applyFill="1" applyBorder="1" applyAlignment="1">
      <alignment horizontal="left" vertical="center"/>
    </xf>
    <xf numFmtId="14" fontId="38" fillId="0" borderId="2" xfId="11" applyNumberFormat="1" applyFont="1" applyBorder="1" applyAlignment="1">
      <alignment horizontal="center" vertical="center"/>
    </xf>
  </cellXfs>
  <cellStyles count="12">
    <cellStyle name="Comma" xfId="8" builtinId="3"/>
    <cellStyle name="Currency" xfId="9" builtinId="4"/>
    <cellStyle name="Hyperlink" xfId="3" builtinId="8"/>
    <cellStyle name="Hyperlink 2" xfId="1" xr:uid="{E897F5F9-14AE-475D-BB10-DABD60583534}"/>
    <cellStyle name="Hyperlink 2 2" xfId="2" xr:uid="{B05CA52D-928E-43F0-A762-653E6627127E}"/>
    <cellStyle name="Normal" xfId="0" builtinId="0"/>
    <cellStyle name="Normal 2" xfId="11" xr:uid="{912257E3-6167-4CAE-AE80-7A86724C0C97}"/>
    <cellStyle name="Normal 3 2" xfId="4" xr:uid="{5263C79C-E58C-45E2-9DBF-6763CF01DDF7}"/>
    <cellStyle name="Normal 348 2" xfId="6" xr:uid="{C2A5C865-4307-4128-AF64-F34D603BF413}"/>
    <cellStyle name="Normal 6" xfId="5" xr:uid="{068FF497-CD0E-4B95-9DE1-B140D41513E5}"/>
    <cellStyle name="Normal 7 2" xfId="7" xr:uid="{170F2D85-6B82-446F-81B4-0FF946CB36DD}"/>
    <cellStyle name="Percent" xfId="10" builtinId="5"/>
  </cellStyles>
  <dxfs count="0"/>
  <tableStyles count="0" defaultTableStyle="TableStyleMedium2" defaultPivotStyle="PivotStyleMedium9"/>
  <colors>
    <mruColors>
      <color rgb="FFDC7900"/>
      <color rgb="FFD200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Satellite Broadband Subscribers by Carrier (Q4 Snapshot,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Summary!$B$5</c:f>
              <c:strCache>
                <c:ptCount val="1"/>
                <c:pt idx="0">
                  <c:v>EchoStar</c:v>
                </c:pt>
              </c:strCache>
            </c:strRef>
          </c:tx>
          <c:spPr>
            <a:solidFill>
              <a:schemeClr val="accent1"/>
            </a:solidFill>
            <a:ln>
              <a:noFill/>
            </a:ln>
            <a:effectLst/>
          </c:spPr>
          <c:invertIfNegative val="0"/>
          <c:cat>
            <c:strRef>
              <c:f>Summary!$C$4:$I$4</c:f>
              <c:strCache>
                <c:ptCount val="7"/>
                <c:pt idx="0">
                  <c:v>2020</c:v>
                </c:pt>
                <c:pt idx="1">
                  <c:v>2021</c:v>
                </c:pt>
                <c:pt idx="2">
                  <c:v>2022</c:v>
                </c:pt>
                <c:pt idx="3">
                  <c:v>2023</c:v>
                </c:pt>
                <c:pt idx="4">
                  <c:v>2024</c:v>
                </c:pt>
                <c:pt idx="5">
                  <c:v>2025</c:v>
                </c:pt>
                <c:pt idx="6">
                  <c:v>Q2'26*</c:v>
                </c:pt>
              </c:strCache>
            </c:strRef>
          </c:cat>
          <c:val>
            <c:numRef>
              <c:f>Summary!$C$5:$I$5</c:f>
              <c:numCache>
                <c:formatCode>0.00</c:formatCode>
                <c:ptCount val="7"/>
                <c:pt idx="0">
                  <c:v>1.5640000000000001</c:v>
                </c:pt>
                <c:pt idx="1">
                  <c:v>1.462</c:v>
                </c:pt>
                <c:pt idx="2">
                  <c:v>1.228</c:v>
                </c:pt>
                <c:pt idx="3">
                  <c:v>1.004</c:v>
                </c:pt>
                <c:pt idx="4">
                  <c:v>0.88300000000000001</c:v>
                </c:pt>
                <c:pt idx="5">
                  <c:v>0.73899999999999999</c:v>
                </c:pt>
                <c:pt idx="6">
                  <c:v>0.622</c:v>
                </c:pt>
              </c:numCache>
            </c:numRef>
          </c:val>
          <c:extLst>
            <c:ext xmlns:c16="http://schemas.microsoft.com/office/drawing/2014/chart" uri="{C3380CC4-5D6E-409C-BE32-E72D297353CC}">
              <c16:uniqueId val="{00000000-EC47-43F3-8962-1EC13EDFBA74}"/>
            </c:ext>
          </c:extLst>
        </c:ser>
        <c:ser>
          <c:idx val="1"/>
          <c:order val="1"/>
          <c:tx>
            <c:strRef>
              <c:f>Summary!$B$6</c:f>
              <c:strCache>
                <c:ptCount val="1"/>
                <c:pt idx="0">
                  <c:v>ViaSat</c:v>
                </c:pt>
              </c:strCache>
            </c:strRef>
          </c:tx>
          <c:spPr>
            <a:solidFill>
              <a:schemeClr val="accent2"/>
            </a:solidFill>
            <a:ln>
              <a:noFill/>
            </a:ln>
            <a:effectLst/>
          </c:spPr>
          <c:invertIfNegative val="0"/>
          <c:cat>
            <c:strRef>
              <c:f>Summary!$C$4:$I$4</c:f>
              <c:strCache>
                <c:ptCount val="7"/>
                <c:pt idx="0">
                  <c:v>2020</c:v>
                </c:pt>
                <c:pt idx="1">
                  <c:v>2021</c:v>
                </c:pt>
                <c:pt idx="2">
                  <c:v>2022</c:v>
                </c:pt>
                <c:pt idx="3">
                  <c:v>2023</c:v>
                </c:pt>
                <c:pt idx="4">
                  <c:v>2024</c:v>
                </c:pt>
                <c:pt idx="5">
                  <c:v>2025</c:v>
                </c:pt>
                <c:pt idx="6">
                  <c:v>Q2'26*</c:v>
                </c:pt>
              </c:strCache>
            </c:strRef>
          </c:cat>
          <c:val>
            <c:numRef>
              <c:f>Summary!$C$6:$I$6</c:f>
              <c:numCache>
                <c:formatCode>0.00</c:formatCode>
                <c:ptCount val="7"/>
                <c:pt idx="0">
                  <c:v>0.59599999999999997</c:v>
                </c:pt>
                <c:pt idx="1">
                  <c:v>0.55542820347714095</c:v>
                </c:pt>
                <c:pt idx="2">
                  <c:v>0.49486034650811894</c:v>
                </c:pt>
                <c:pt idx="3">
                  <c:v>0.33426252879020979</c:v>
                </c:pt>
                <c:pt idx="4">
                  <c:v>0.20499999999999999</c:v>
                </c:pt>
                <c:pt idx="5">
                  <c:v>0.14299999999999999</c:v>
                </c:pt>
                <c:pt idx="6">
                  <c:v>0.11818181818181818</c:v>
                </c:pt>
              </c:numCache>
            </c:numRef>
          </c:val>
          <c:extLst>
            <c:ext xmlns:c16="http://schemas.microsoft.com/office/drawing/2014/chart" uri="{C3380CC4-5D6E-409C-BE32-E72D297353CC}">
              <c16:uniqueId val="{00000001-EC47-43F3-8962-1EC13EDFBA74}"/>
            </c:ext>
          </c:extLst>
        </c:ser>
        <c:ser>
          <c:idx val="2"/>
          <c:order val="2"/>
          <c:tx>
            <c:strRef>
              <c:f>Summary!$B$7</c:f>
              <c:strCache>
                <c:ptCount val="1"/>
                <c:pt idx="0">
                  <c:v>Starlink</c:v>
                </c:pt>
              </c:strCache>
            </c:strRef>
          </c:tx>
          <c:spPr>
            <a:solidFill>
              <a:schemeClr val="accent3"/>
            </a:solidFill>
            <a:ln>
              <a:noFill/>
            </a:ln>
            <a:effectLst/>
          </c:spPr>
          <c:invertIfNegative val="0"/>
          <c:cat>
            <c:strRef>
              <c:f>Summary!$C$4:$I$4</c:f>
              <c:strCache>
                <c:ptCount val="7"/>
                <c:pt idx="0">
                  <c:v>2020</c:v>
                </c:pt>
                <c:pt idx="1">
                  <c:v>2021</c:v>
                </c:pt>
                <c:pt idx="2">
                  <c:v>2022</c:v>
                </c:pt>
                <c:pt idx="3">
                  <c:v>2023</c:v>
                </c:pt>
                <c:pt idx="4">
                  <c:v>2024</c:v>
                </c:pt>
                <c:pt idx="5">
                  <c:v>2025</c:v>
                </c:pt>
                <c:pt idx="6">
                  <c:v>Q2'26*</c:v>
                </c:pt>
              </c:strCache>
            </c:strRef>
          </c:cat>
          <c:val>
            <c:numRef>
              <c:f>Summary!$C$7:$I$7</c:f>
              <c:numCache>
                <c:formatCode>0.00</c:formatCode>
                <c:ptCount val="7"/>
                <c:pt idx="0">
                  <c:v>0</c:v>
                </c:pt>
                <c:pt idx="1">
                  <c:v>0.14499999999999999</c:v>
                </c:pt>
                <c:pt idx="2">
                  <c:v>1</c:v>
                </c:pt>
                <c:pt idx="3">
                  <c:v>2.2999999999999998</c:v>
                </c:pt>
                <c:pt idx="4">
                  <c:v>4.4000000000000004</c:v>
                </c:pt>
                <c:pt idx="5">
                  <c:v>8.9</c:v>
                </c:pt>
                <c:pt idx="6">
                  <c:v>12</c:v>
                </c:pt>
              </c:numCache>
            </c:numRef>
          </c:val>
          <c:extLst>
            <c:ext xmlns:c16="http://schemas.microsoft.com/office/drawing/2014/chart" uri="{C3380CC4-5D6E-409C-BE32-E72D297353CC}">
              <c16:uniqueId val="{00000002-EC47-43F3-8962-1EC13EDFBA74}"/>
            </c:ext>
          </c:extLst>
        </c:ser>
        <c:dLbls>
          <c:showLegendKey val="0"/>
          <c:showVal val="0"/>
          <c:showCatName val="0"/>
          <c:showSerName val="0"/>
          <c:showPercent val="0"/>
          <c:showBubbleSize val="0"/>
        </c:dLbls>
        <c:gapWidth val="150"/>
        <c:overlap val="100"/>
        <c:axId val="68737615"/>
        <c:axId val="870425488"/>
      </c:barChart>
      <c:catAx>
        <c:axId val="687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425488"/>
        <c:crosses val="autoZero"/>
        <c:auto val="1"/>
        <c:lblAlgn val="ctr"/>
        <c:lblOffset val="100"/>
        <c:noMultiLvlLbl val="0"/>
      </c:catAx>
      <c:valAx>
        <c:axId val="870425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Subscribers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7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34925</xdr:rowOff>
    </xdr:from>
    <xdr:to>
      <xdr:col>1</xdr:col>
      <xdr:colOff>1654175</xdr:colOff>
      <xdr:row>1</xdr:row>
      <xdr:rowOff>720725</xdr:rowOff>
    </xdr:to>
    <xdr:pic>
      <xdr:nvPicPr>
        <xdr:cNvPr id="2" name="Picture 3" descr="spg_mrkt_hz_rgb_pos.png">
          <a:extLst>
            <a:ext uri="{FF2B5EF4-FFF2-40B4-BE49-F238E27FC236}">
              <a16:creationId xmlns:a16="http://schemas.microsoft.com/office/drawing/2014/main" id="{C01F408B-A8F6-438F-8384-77634D1224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87325"/>
          <a:ext cx="179705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1</xdr:row>
      <xdr:rowOff>30480</xdr:rowOff>
    </xdr:from>
    <xdr:to>
      <xdr:col>1</xdr:col>
      <xdr:colOff>1641474</xdr:colOff>
      <xdr:row>1</xdr:row>
      <xdr:rowOff>446677</xdr:rowOff>
    </xdr:to>
    <xdr:pic>
      <xdr:nvPicPr>
        <xdr:cNvPr id="2" name="Picture 1" descr="C:\Users\jameswm\Documents\Templates\spg_mrkt_hz_4cp_PNG_White_BG.png">
          <a:extLst>
            <a:ext uri="{FF2B5EF4-FFF2-40B4-BE49-F238E27FC236}">
              <a16:creationId xmlns:a16="http://schemas.microsoft.com/office/drawing/2014/main" id="{11677155-05D3-44C3-9D5D-DC23C95635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79705"/>
          <a:ext cx="1565274" cy="422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76200</xdr:colOff>
      <xdr:row>1</xdr:row>
      <xdr:rowOff>30480</xdr:rowOff>
    </xdr:from>
    <xdr:to>
      <xdr:col>2</xdr:col>
      <xdr:colOff>123824</xdr:colOff>
      <xdr:row>1</xdr:row>
      <xdr:rowOff>446677</xdr:rowOff>
    </xdr:to>
    <xdr:pic>
      <xdr:nvPicPr>
        <xdr:cNvPr id="2" name="Picture 1" descr="C:\Users\jameswm\Documents\Templates\spg_mrkt_hz_4cp_PNG_White_BG.png">
          <a:extLst>
            <a:ext uri="{FF2B5EF4-FFF2-40B4-BE49-F238E27FC236}">
              <a16:creationId xmlns:a16="http://schemas.microsoft.com/office/drawing/2014/main" id="{B2E8B7E5-3DDD-4834-83D8-62427A7383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79705"/>
          <a:ext cx="1565274" cy="422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1</xdr:row>
      <xdr:rowOff>30480</xdr:rowOff>
    </xdr:from>
    <xdr:to>
      <xdr:col>1</xdr:col>
      <xdr:colOff>1641474</xdr:colOff>
      <xdr:row>1</xdr:row>
      <xdr:rowOff>449852</xdr:rowOff>
    </xdr:to>
    <xdr:pic>
      <xdr:nvPicPr>
        <xdr:cNvPr id="2" name="Picture 1" descr="C:\Users\jameswm\Documents\Templates\spg_mrkt_hz_4cp_PNG_White_BG.png">
          <a:extLst>
            <a:ext uri="{FF2B5EF4-FFF2-40B4-BE49-F238E27FC236}">
              <a16:creationId xmlns:a16="http://schemas.microsoft.com/office/drawing/2014/main" id="{2FA351B5-876F-4C42-86BB-E85459C51D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79705"/>
          <a:ext cx="1565274" cy="422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13</xdr:row>
      <xdr:rowOff>114300</xdr:rowOff>
    </xdr:from>
    <xdr:to>
      <xdr:col>4</xdr:col>
      <xdr:colOff>381000</xdr:colOff>
      <xdr:row>34</xdr:row>
      <xdr:rowOff>0</xdr:rowOff>
    </xdr:to>
    <xdr:graphicFrame macro="">
      <xdr:nvGraphicFramePr>
        <xdr:cNvPr id="2" name="Chart 1">
          <a:extLst>
            <a:ext uri="{FF2B5EF4-FFF2-40B4-BE49-F238E27FC236}">
              <a16:creationId xmlns:a16="http://schemas.microsoft.com/office/drawing/2014/main" id="{2B1B54A3-2205-614C-A306-0DE4EA86E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WINDOWS\Temporary%20Internet%20Files\Content.IE5\CPMJ89MF\Excel%20Files\PTN\ptnbban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rsrvfiles.snl.int\master\WINDOWS\Temporary%20Internet%20Files\Content.IE5\CPMJ89MF\Excel%20Files\PTN\ptnbban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windows\TEMP\Other\EBCNDataSourc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windows\TEMP\Other\EBCNDataSourc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personal\steve_piper_spglobal_com\Documents\Attachments%202\ExcelTemplateExampleInsurance_KDnote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justinn/Desktop/SNLKagan_BroadcastStationDatabase_v2.xls" TargetMode="External"/><Relationship Id="rId1" Type="http://schemas.openxmlformats.org/officeDocument/2006/relationships/externalLinkPath" Target="/Users/justinn/Desktop/SNLKagan_BroadcastStationDatabase_v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Justin\Newsletters\BI\2013\May\Broadcast%20PMV%20table%205-24-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row r="4">
          <cell r="D4" t="str">
            <v>12/95</v>
          </cell>
          <cell r="E4" t="str">
            <v>3/96</v>
          </cell>
          <cell r="F4" t="str">
            <v>6/96</v>
          </cell>
          <cell r="G4" t="str">
            <v>9/96</v>
          </cell>
          <cell r="H4" t="str">
            <v>12/96</v>
          </cell>
          <cell r="I4" t="str">
            <v>3/97</v>
          </cell>
          <cell r="J4" t="str">
            <v>6/97</v>
          </cell>
        </row>
        <row r="71">
          <cell r="D71">
            <v>44.472999999999999</v>
          </cell>
          <cell r="E71">
            <v>44.984999999999999</v>
          </cell>
          <cell r="F71">
            <v>45.164999999999999</v>
          </cell>
          <cell r="G71">
            <v>45.61</v>
          </cell>
          <cell r="H71">
            <v>46.057000000000002</v>
          </cell>
          <cell r="I71">
            <v>46</v>
          </cell>
          <cell r="J71">
            <v>46.150000000000006</v>
          </cell>
        </row>
        <row r="72">
          <cell r="D72">
            <v>3.1749999999999874</v>
          </cell>
          <cell r="E72">
            <v>3.0749999999999957</v>
          </cell>
          <cell r="F72">
            <v>3.0500000000000025</v>
          </cell>
          <cell r="G72">
            <v>3.0199999999999996</v>
          </cell>
          <cell r="H72">
            <v>2.9900000000000038</v>
          </cell>
          <cell r="I72">
            <v>2.9000000000000021</v>
          </cell>
          <cell r="J72">
            <v>2.8700000000000081</v>
          </cell>
        </row>
        <row r="73">
          <cell r="D73">
            <v>5.6749999999999998</v>
          </cell>
          <cell r="E73">
            <v>7.25</v>
          </cell>
          <cell r="F73">
            <v>7.9</v>
          </cell>
          <cell r="G73">
            <v>8.9649999999999999</v>
          </cell>
          <cell r="H73">
            <v>10.374999999999998</v>
          </cell>
          <cell r="I73">
            <v>11.605</v>
          </cell>
          <cell r="J73">
            <v>13.23</v>
          </cell>
        </row>
        <row r="74">
          <cell r="D74">
            <v>53.322999999999986</v>
          </cell>
          <cell r="E74">
            <v>55.309999999999995</v>
          </cell>
          <cell r="F74">
            <v>56.115000000000002</v>
          </cell>
          <cell r="G74">
            <v>57.594999999999999</v>
          </cell>
          <cell r="H74">
            <v>59.422000000000004</v>
          </cell>
          <cell r="I74">
            <v>60.505000000000003</v>
          </cell>
          <cell r="J74">
            <v>62.250000000000014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row r="4">
          <cell r="D4" t="str">
            <v>12/95</v>
          </cell>
          <cell r="E4" t="str">
            <v>3/96</v>
          </cell>
          <cell r="F4" t="str">
            <v>6/96</v>
          </cell>
          <cell r="G4" t="str">
            <v>9/96</v>
          </cell>
          <cell r="H4" t="str">
            <v>12/96</v>
          </cell>
          <cell r="I4" t="str">
            <v>3/97</v>
          </cell>
          <cell r="J4" t="str">
            <v>6/97</v>
          </cell>
        </row>
        <row r="71">
          <cell r="D71">
            <v>44.472999999999999</v>
          </cell>
          <cell r="E71">
            <v>44.984999999999999</v>
          </cell>
          <cell r="F71">
            <v>45.164999999999999</v>
          </cell>
          <cell r="G71">
            <v>45.61</v>
          </cell>
          <cell r="H71">
            <v>46.057000000000002</v>
          </cell>
          <cell r="I71">
            <v>46</v>
          </cell>
          <cell r="J71">
            <v>46.150000000000006</v>
          </cell>
        </row>
        <row r="72">
          <cell r="D72">
            <v>3.1749999999999874</v>
          </cell>
          <cell r="E72">
            <v>3.0749999999999957</v>
          </cell>
          <cell r="F72">
            <v>3.0500000000000025</v>
          </cell>
          <cell r="G72">
            <v>3.0199999999999996</v>
          </cell>
          <cell r="H72">
            <v>2.9900000000000038</v>
          </cell>
          <cell r="I72">
            <v>2.9000000000000021</v>
          </cell>
          <cell r="J72">
            <v>2.8700000000000081</v>
          </cell>
        </row>
        <row r="73">
          <cell r="D73">
            <v>5.6749999999999998</v>
          </cell>
          <cell r="E73">
            <v>7.25</v>
          </cell>
          <cell r="F73">
            <v>7.9</v>
          </cell>
          <cell r="G73">
            <v>8.9649999999999999</v>
          </cell>
          <cell r="H73">
            <v>10.374999999999998</v>
          </cell>
          <cell r="I73">
            <v>11.605</v>
          </cell>
          <cell r="J73">
            <v>13.23</v>
          </cell>
        </row>
        <row r="74">
          <cell r="D74">
            <v>53.322999999999986</v>
          </cell>
          <cell r="E74">
            <v>55.309999999999995</v>
          </cell>
          <cell r="F74">
            <v>56.115000000000002</v>
          </cell>
          <cell r="G74">
            <v>57.594999999999999</v>
          </cell>
          <cell r="H74">
            <v>59.422000000000004</v>
          </cell>
          <cell r="I74">
            <v>60.505000000000003</v>
          </cell>
          <cell r="J74">
            <v>62.250000000000014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snloffice"/>
      <sheetName val="Outlook"/>
      <sheetName val="Assets"/>
      <sheetName val="TotalDPW"/>
      <sheetName val="Adjustments"/>
      <sheetName val="Introduction"/>
      <sheetName val="PersonalDPW"/>
      <sheetName val="CommDPW"/>
      <sheetName val="DPWbySegment"/>
      <sheetName val="OverallOutlook"/>
      <sheetName val="PersonalOutlook"/>
      <sheetName val="CommOutlook"/>
      <sheetName val="ExAutoOutlook"/>
      <sheetName val="ROEbyLine"/>
      <sheetName val="PersonalHistorical"/>
      <sheetName val="Home"/>
      <sheetName val="PrivateAuto"/>
      <sheetName val="Farm"/>
      <sheetName val="CommercialHistorical"/>
      <sheetName val="Comp"/>
      <sheetName val="OthProdLiab"/>
      <sheetName val="CommAuto"/>
      <sheetName val="CommMultiperil"/>
      <sheetName val="FinGuaranty"/>
      <sheetName val="MortGuaranty"/>
      <sheetName val="Marine"/>
      <sheetName val="MedMal"/>
      <sheetName val="Aircraft"/>
      <sheetName val="Reins"/>
      <sheetName val="Fidelity_Surety"/>
      <sheetName val="OtherComm"/>
      <sheetName val="FireAllied"/>
      <sheetName val="D&amp;O"/>
      <sheetName val="Cyber"/>
      <sheetName val="A&amp;H"/>
      <sheetName val="Appendix"/>
      <sheetName val="KeyItems"/>
      <sheetName val="MacroEstimate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snloffice"/>
      <sheetName val="TVStations"/>
      <sheetName val="RadioStations"/>
      <sheetName val="___snlqueryparms2"/>
      <sheetName val="ParentCompanies"/>
      <sheetName val="___snlqueryparms"/>
    </sheetNames>
    <sheetDataSet>
      <sheetData sheetId="0"/>
      <sheetData sheetId="1"/>
      <sheetData sheetId="2"/>
      <sheetData sheetId="3"/>
      <sheetData sheetId="4">
        <row r="9">
          <cell r="BI9" t="str">
            <v>SNL_Query3</v>
          </cell>
        </row>
      </sheetData>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V Table"/>
      <sheetName val="Radio Pureplays Stock Table"/>
      <sheetName val="Data for Radio Graph"/>
      <sheetName val="TV Pureplays Stock Table"/>
      <sheetName val="Data for TV Graph"/>
      <sheetName val="Stock Prices for SNLi &gt;&gt;&gt;"/>
      <sheetName val="Broadcast Stocks MTD"/>
      <sheetName val="High"/>
      <sheetName val="Low"/>
      <sheetName val="YE"/>
      <sheetName val="Index - High Low"/>
      <sheetName val="Index - YE"/>
    </sheetNames>
    <sheetDataSet>
      <sheetData sheetId="0"/>
      <sheetData sheetId="1"/>
      <sheetData sheetId="2"/>
      <sheetData sheetId="3"/>
      <sheetData sheetId="4"/>
      <sheetData sheetId="5"/>
      <sheetData sheetId="6">
        <row r="3">
          <cell r="W3" t="str">
            <v>Yes</v>
          </cell>
        </row>
        <row r="4">
          <cell r="W4" t="str">
            <v>No</v>
          </cell>
        </row>
      </sheetData>
      <sheetData sheetId="7"/>
      <sheetData sheetId="8"/>
      <sheetData sheetId="9"/>
      <sheetData sheetId="10"/>
      <sheetData sheetId="11"/>
    </sheetDataSet>
  </externalBook>
</externalLink>
</file>

<file path=xl/theme/theme1.xml><?xml version="1.0" encoding="utf-8"?>
<a:theme xmlns:a="http://schemas.openxmlformats.org/drawingml/2006/main" name="DefaultOrder_DataViz">
  <a:themeElements>
    <a:clrScheme name="All Fuels">
      <a:dk1>
        <a:sysClr val="windowText" lastClr="000000"/>
      </a:dk1>
      <a:lt1>
        <a:sysClr val="window" lastClr="FFFFFF"/>
      </a:lt1>
      <a:dk2>
        <a:srgbClr val="404040"/>
      </a:dk2>
      <a:lt2>
        <a:srgbClr val="DCDCDC"/>
      </a:lt2>
      <a:accent1>
        <a:srgbClr val="006D89"/>
      </a:accent1>
      <a:accent2>
        <a:srgbClr val="DC7900"/>
      </a:accent2>
      <a:accent3>
        <a:srgbClr val="B92051"/>
      </a:accent3>
      <a:accent4>
        <a:srgbClr val="501555"/>
      </a:accent4>
      <a:accent5>
        <a:srgbClr val="0F9E7A"/>
      </a:accent5>
      <a:accent6>
        <a:srgbClr val="00495B"/>
      </a:accent6>
      <a:hlink>
        <a:srgbClr val="0000FF"/>
      </a:hlink>
      <a:folHlink>
        <a:srgbClr val="551A8B"/>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Ocean7">
      <a:srgbClr val="006D89"/>
    </a:custClr>
    <a:custClr name="Gold7B">
      <a:srgbClr val="DC7900"/>
    </a:custClr>
    <a:custClr name="Magenta7">
      <a:srgbClr val="B92051"/>
    </a:custClr>
    <a:custClr name="Purple9">
      <a:srgbClr val="501555"/>
    </a:custClr>
    <a:custClr name="Teal7">
      <a:srgbClr val="0F9E7A"/>
    </a:custClr>
    <a:custClr name="Ocean9">
      <a:srgbClr val="00495B"/>
    </a:custClr>
    <a:custClr name="Orange7">
      <a:srgbClr val="C94100"/>
    </a:custClr>
    <a:custClr name="Blue8">
      <a:srgbClr val="1D3BAA"/>
    </a:custClr>
    <a:custClr name="Magenta5">
      <a:srgbClr val="CD6083"/>
    </a:custClr>
    <a:custClr name="Green9">
      <a:srgbClr val="125E1F"/>
    </a:custClr>
    <a:custClr name="Gray7B">
      <a:srgbClr val="929497"/>
    </a:custClr>
    <a:custClr name="Purple7">
      <a:srgbClr val="782080"/>
    </a:custClr>
    <a:custClr name="Blue5">
      <a:srgbClr val="7284CA"/>
    </a:custClr>
    <a:custClr name="Gold9">
      <a:srgbClr val="9D5700"/>
    </a:custClr>
    <a:custClr name="Purple4">
      <a:srgbClr val="B280B6"/>
    </a:custClr>
    <a:custClr name="Blue6">
      <a:srgbClr val="566CBF"/>
    </a:custClr>
    <a:custClr name="Ocean4">
      <a:srgbClr val="6DACBC"/>
    </a:custClr>
    <a:custClr name="Ochre7">
      <a:srgbClr val="C18B28"/>
    </a:custClr>
    <a:custClr name="Green6">
      <a:srgbClr val="3C9D4D"/>
    </a:custClr>
    <a:custClr name="Maroon9">
      <a:srgbClr val="6B0F01"/>
    </a:custClr>
    <a:custClr name="Positive">
      <a:srgbClr val="167527"/>
    </a:custClr>
    <a:custClr name="Negative">
      <a:srgbClr val="B20023"/>
    </a:custClr>
    <a:custClr name="NoChangeOrNeutral">
      <a:srgbClr val="BBBDBF"/>
    </a:custClr>
    <a:custClr name="Neutral">
      <a:srgbClr val="006D89"/>
    </a:custClr>
    <a:custClr name="Gray2B">
      <a:srgbClr val="F1F1F2"/>
    </a:custClr>
    <a:custClr name="Gray4B">
      <a:srgbClr val="D0D2D3"/>
    </a:custClr>
    <a:custClr name="Gray6B">
      <a:srgbClr val="A6A8AB"/>
    </a:custClr>
    <a:custClr name="Gray8B">
      <a:srgbClr val="808184"/>
    </a:custClr>
    <a:custClr name="Gray10B">
      <a:srgbClr val="333333"/>
    </a:custClr>
    <a:custClr name="Gray12B">
      <a:srgbClr val="0A0A0A"/>
    </a:custClr>
    <a:custClr name="Ochre7">
      <a:srgbClr val="C18B28"/>
    </a:custClr>
    <a:custClr name="Ochre6">
      <a:srgbClr val="CA9C47"/>
    </a:custClr>
    <a:custClr name="Ochre5">
      <a:srgbClr val="D3AC65"/>
    </a:custClr>
    <a:custClr name="Ochre4">
      <a:srgbClr val="DCBD84"/>
    </a:custClr>
    <a:custClr name="Ochre3">
      <a:srgbClr val="E4CDA3"/>
    </a:custClr>
    <a:custClr name="Purple2">
      <a:srgbClr val="D8BFDB"/>
    </a:custClr>
    <a:custClr name="Purple3">
      <a:srgbClr val="C59FC9"/>
    </a:custClr>
    <a:custClr name="Purple4">
      <a:srgbClr val="B280B6"/>
    </a:custClr>
    <a:custClr name="Purple5">
      <a:srgbClr val="9F60A4"/>
    </a:custClr>
    <a:custClr name="Purple6">
      <a:srgbClr val="8B4092"/>
    </a:custClr>
    <a:custClr name="Orange6">
      <a:srgbClr val="D15C24"/>
    </a:custClr>
    <a:custClr name="Orange5">
      <a:srgbClr val="D87749"/>
    </a:custClr>
    <a:custClr name="Orange4">
      <a:srgbClr val="E0926D"/>
    </a:custClr>
    <a:custClr name="Orange3">
      <a:srgbClr val="E8AE92"/>
    </a:custClr>
    <a:custClr name="Orange2">
      <a:srgbClr val="F0C9B6"/>
    </a:custClr>
    <a:custClr name="Ocean2">
      <a:srgbClr val="B6D5DD"/>
    </a:custClr>
    <a:custClr name="Ocean3">
      <a:srgbClr val="92C0CC"/>
    </a:custClr>
    <a:custClr name="Ocean4">
      <a:srgbClr val="6DACBC"/>
    </a:custClr>
    <a:custClr name="Ocean5">
      <a:srgbClr val="4997AB"/>
    </a:custClr>
    <a:custClr name="Ocean6">
      <a:srgbClr val="24829A"/>
    </a:custClr>
  </a:custClr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EB6D44-0318-4C07-941D-7A30D82C660A}">
  <we:reference id="wa200010725" version="1.0.0.1" store="en-US" storeType="OMEX"/>
  <we:alternateReferences>
    <we:reference id="WA200010725" version="1.0.0.1" store="" storeType="OMEX"/>
  </we:alternateReferences>
  <we:properties>
    <we:property name="claude.fileId" value="&quot;8571113a-0b94-459d-96ee-6ea000512c16&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hyperlink" Target="https://platform.marketintelligence.spglobal.com/web/client?auth=inherit&amp;overridecdc=1&amp;" TargetMode="External"/><Relationship Id="rId2" Type="http://schemas.openxmlformats.org/officeDocument/2006/relationships/hyperlink" Target="http://www.marketintelligence.spglobal.com/" TargetMode="External"/><Relationship Id="rId1" Type="http://schemas.openxmlformats.org/officeDocument/2006/relationships/hyperlink" Target="mailto:support.MI@spgloba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BBA8-13C7-4ECB-90CA-6628822A485D}">
  <dimension ref="B2:F32"/>
  <sheetViews>
    <sheetView showGridLines="0" zoomScaleNormal="100" workbookViewId="0"/>
  </sheetViews>
  <sheetFormatPr defaultColWidth="7.625" defaultRowHeight="15" x14ac:dyDescent="0.25"/>
  <cols>
    <col min="1" max="1" width="1.75" style="82" customWidth="1"/>
    <col min="2" max="2" width="22.75" style="82" customWidth="1"/>
    <col min="3" max="3" width="14" style="82" customWidth="1"/>
    <col min="4" max="4" width="21" style="82" customWidth="1"/>
    <col min="5" max="5" width="17.5" style="82" customWidth="1"/>
    <col min="6" max="6" width="54.25" style="82" customWidth="1"/>
    <col min="7" max="16384" width="7.625" style="82"/>
  </cols>
  <sheetData>
    <row r="2" spans="2:6" ht="16.5" x14ac:dyDescent="0.25">
      <c r="B2" s="95" t="s">
        <v>233</v>
      </c>
    </row>
    <row r="3" spans="2:6" x14ac:dyDescent="0.25">
      <c r="B3" s="94" t="s">
        <v>232</v>
      </c>
    </row>
    <row r="5" spans="2:6" x14ac:dyDescent="0.25">
      <c r="B5" s="93" t="s">
        <v>231</v>
      </c>
    </row>
    <row r="6" spans="2:6" x14ac:dyDescent="0.25">
      <c r="B6" s="92" t="s">
        <v>230</v>
      </c>
      <c r="C6" s="92" t="s">
        <v>215</v>
      </c>
      <c r="D6" s="92" t="s">
        <v>214</v>
      </c>
      <c r="E6" s="92" t="s">
        <v>213</v>
      </c>
      <c r="F6" s="92" t="s">
        <v>212</v>
      </c>
    </row>
    <row r="7" spans="2:6" x14ac:dyDescent="0.25">
      <c r="B7" s="91" t="s">
        <v>229</v>
      </c>
      <c r="C7" s="90" t="s">
        <v>228</v>
      </c>
      <c r="D7" s="89">
        <v>2.2999999999999998</v>
      </c>
      <c r="E7" s="88">
        <v>99</v>
      </c>
      <c r="F7" s="87" t="s">
        <v>225</v>
      </c>
    </row>
    <row r="8" spans="2:6" x14ac:dyDescent="0.25">
      <c r="B8" s="91" t="s">
        <v>227</v>
      </c>
      <c r="C8" s="90" t="s">
        <v>226</v>
      </c>
      <c r="D8" s="89">
        <v>4.4000000000000004</v>
      </c>
      <c r="E8" s="88">
        <v>81</v>
      </c>
      <c r="F8" s="87" t="s">
        <v>225</v>
      </c>
    </row>
    <row r="9" spans="2:6" x14ac:dyDescent="0.25">
      <c r="B9" s="91" t="s">
        <v>224</v>
      </c>
      <c r="C9" s="90" t="s">
        <v>223</v>
      </c>
      <c r="D9" s="89">
        <v>8.9</v>
      </c>
      <c r="E9" s="90" t="s">
        <v>222</v>
      </c>
      <c r="F9" s="87" t="s">
        <v>221</v>
      </c>
    </row>
    <row r="10" spans="2:6" x14ac:dyDescent="0.25">
      <c r="B10" s="91" t="s">
        <v>208</v>
      </c>
      <c r="C10" s="90" t="s">
        <v>207</v>
      </c>
      <c r="D10" s="89">
        <v>10.3</v>
      </c>
      <c r="E10" s="88">
        <v>66</v>
      </c>
      <c r="F10" s="87" t="s">
        <v>220</v>
      </c>
    </row>
    <row r="12" spans="2:6" x14ac:dyDescent="0.25">
      <c r="B12" s="86" t="s">
        <v>219</v>
      </c>
      <c r="D12" s="85">
        <f>(D8/D7)-1</f>
        <v>0.91304347826086985</v>
      </c>
    </row>
    <row r="13" spans="2:6" x14ac:dyDescent="0.25">
      <c r="B13" s="86" t="s">
        <v>218</v>
      </c>
      <c r="D13" s="85">
        <f>(D9/D8)-1</f>
        <v>1.0227272727272725</v>
      </c>
    </row>
    <row r="15" spans="2:6" x14ac:dyDescent="0.25">
      <c r="B15" s="93" t="s">
        <v>217</v>
      </c>
    </row>
    <row r="16" spans="2:6" x14ac:dyDescent="0.25">
      <c r="B16" s="92" t="s">
        <v>216</v>
      </c>
      <c r="C16" s="92" t="s">
        <v>215</v>
      </c>
      <c r="D16" s="92" t="s">
        <v>214</v>
      </c>
      <c r="E16" s="92" t="s">
        <v>213</v>
      </c>
      <c r="F16" s="92" t="s">
        <v>212</v>
      </c>
    </row>
    <row r="17" spans="2:6" x14ac:dyDescent="0.25">
      <c r="B17" s="91" t="s">
        <v>211</v>
      </c>
      <c r="C17" s="90" t="s">
        <v>210</v>
      </c>
      <c r="D17" s="89">
        <v>6</v>
      </c>
      <c r="E17" s="88">
        <v>85</v>
      </c>
      <c r="F17" s="87" t="s">
        <v>209</v>
      </c>
    </row>
    <row r="18" spans="2:6" x14ac:dyDescent="0.25">
      <c r="B18" s="91" t="s">
        <v>208</v>
      </c>
      <c r="C18" s="90" t="s">
        <v>207</v>
      </c>
      <c r="D18" s="89">
        <v>10.3</v>
      </c>
      <c r="E18" s="88">
        <v>66</v>
      </c>
      <c r="F18" s="87" t="s">
        <v>206</v>
      </c>
    </row>
    <row r="19" spans="2:6" x14ac:dyDescent="0.25">
      <c r="B19" s="91" t="s">
        <v>205</v>
      </c>
      <c r="C19" s="90" t="s">
        <v>204</v>
      </c>
      <c r="D19" s="89">
        <v>12</v>
      </c>
      <c r="E19" s="88">
        <v>66</v>
      </c>
      <c r="F19" s="87" t="s">
        <v>203</v>
      </c>
    </row>
    <row r="21" spans="2:6" x14ac:dyDescent="0.25">
      <c r="B21" s="86" t="s">
        <v>202</v>
      </c>
      <c r="D21" s="85">
        <f>(D19/D18)-1</f>
        <v>0.16504854368932032</v>
      </c>
    </row>
    <row r="22" spans="2:6" x14ac:dyDescent="0.25">
      <c r="B22" s="86" t="s">
        <v>201</v>
      </c>
      <c r="D22" s="85">
        <f>(D19/D17)-1</f>
        <v>1</v>
      </c>
    </row>
    <row r="23" spans="2:6" x14ac:dyDescent="0.25">
      <c r="B23" s="86" t="s">
        <v>200</v>
      </c>
      <c r="D23" s="85">
        <f>(E19/E17)-1</f>
        <v>-0.22352941176470587</v>
      </c>
    </row>
    <row r="26" spans="2:6" x14ac:dyDescent="0.25">
      <c r="B26" s="84" t="s">
        <v>199</v>
      </c>
    </row>
    <row r="27" spans="2:6" x14ac:dyDescent="0.25">
      <c r="B27" s="83" t="s">
        <v>198</v>
      </c>
      <c r="C27" s="83"/>
      <c r="D27" s="83"/>
      <c r="E27" s="83"/>
      <c r="F27" s="83"/>
    </row>
    <row r="28" spans="2:6" x14ac:dyDescent="0.25">
      <c r="B28" s="83" t="s">
        <v>197</v>
      </c>
      <c r="C28" s="83"/>
      <c r="D28" s="83"/>
      <c r="E28" s="83"/>
      <c r="F28" s="83"/>
    </row>
    <row r="29" spans="2:6" x14ac:dyDescent="0.25">
      <c r="B29" s="83" t="s">
        <v>196</v>
      </c>
      <c r="C29" s="83"/>
      <c r="D29" s="83"/>
      <c r="E29" s="83"/>
      <c r="F29" s="83"/>
    </row>
    <row r="30" spans="2:6" x14ac:dyDescent="0.25">
      <c r="B30" s="83" t="s">
        <v>195</v>
      </c>
      <c r="C30" s="83"/>
      <c r="D30" s="83"/>
      <c r="E30" s="83"/>
      <c r="F30" s="83"/>
    </row>
    <row r="31" spans="2:6" x14ac:dyDescent="0.25">
      <c r="B31" s="83" t="s">
        <v>194</v>
      </c>
      <c r="C31" s="83"/>
      <c r="D31" s="83"/>
      <c r="E31" s="83"/>
      <c r="F31" s="83"/>
    </row>
    <row r="32" spans="2:6" x14ac:dyDescent="0.25">
      <c r="B32" s="83" t="s">
        <v>193</v>
      </c>
      <c r="C32" s="83"/>
      <c r="D32" s="83"/>
      <c r="E32" s="83"/>
      <c r="F32" s="83"/>
    </row>
  </sheetData>
  <mergeCells count="6">
    <mergeCell ref="B32:F32"/>
    <mergeCell ref="B27:F27"/>
    <mergeCell ref="B28:F28"/>
    <mergeCell ref="B29:F29"/>
    <mergeCell ref="B30:F30"/>
    <mergeCell ref="B31:F3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67EA-C47D-4AF7-A10C-10218A52E03C}">
  <dimension ref="B2:AF33"/>
  <sheetViews>
    <sheetView showGridLines="0" zoomScaleNormal="100" workbookViewId="0"/>
  </sheetViews>
  <sheetFormatPr defaultColWidth="7.875" defaultRowHeight="12" customHeight="1" x14ac:dyDescent="0.2"/>
  <cols>
    <col min="1" max="1" width="4.375" style="5" customWidth="1"/>
    <col min="2" max="2" width="48.625" style="5" customWidth="1"/>
    <col min="3" max="6" width="12.625" style="6" customWidth="1"/>
    <col min="7" max="10" width="12.625" customWidth="1"/>
    <col min="11" max="26" width="12.625" style="5" customWidth="1"/>
    <col min="27" max="16384" width="7.875" style="5"/>
  </cols>
  <sheetData>
    <row r="2" spans="2:32" ht="60" customHeight="1" x14ac:dyDescent="0.2"/>
    <row r="3" spans="2:32" s="8" customFormat="1" ht="48" customHeight="1" x14ac:dyDescent="0.2">
      <c r="B3" s="78" t="s">
        <v>37</v>
      </c>
      <c r="C3" s="78"/>
      <c r="D3" s="78"/>
      <c r="E3" s="78"/>
      <c r="F3" s="78"/>
      <c r="G3" s="78"/>
      <c r="H3"/>
      <c r="I3"/>
      <c r="J3"/>
      <c r="K3" s="7"/>
      <c r="L3" s="7"/>
    </row>
    <row r="4" spans="2:32" s="10" customFormat="1" ht="30" customHeight="1" x14ac:dyDescent="0.2">
      <c r="B4" s="77" t="s">
        <v>192</v>
      </c>
      <c r="C4" s="77"/>
      <c r="D4" s="77"/>
      <c r="E4" s="77"/>
      <c r="F4" s="77"/>
      <c r="G4" s="77"/>
      <c r="H4" s="9"/>
      <c r="I4" s="9"/>
      <c r="J4" s="9"/>
    </row>
    <row r="5" spans="2:32" ht="12" customHeight="1" x14ac:dyDescent="0.2">
      <c r="B5" s="11"/>
      <c r="C5" s="11"/>
      <c r="D5" s="11"/>
      <c r="E5" s="12"/>
      <c r="F5" s="13"/>
    </row>
    <row r="6" spans="2:32" s="17" customFormat="1" ht="15" customHeight="1" x14ac:dyDescent="0.2">
      <c r="B6" s="76" t="s">
        <v>9</v>
      </c>
      <c r="C6" s="32"/>
      <c r="D6" s="14"/>
      <c r="E6" s="15"/>
      <c r="F6" s="16"/>
      <c r="G6"/>
      <c r="H6"/>
      <c r="I6"/>
      <c r="J6"/>
    </row>
    <row r="7" spans="2:32" s="18" customFormat="1" ht="12" customHeight="1" x14ac:dyDescent="0.2">
      <c r="C7" s="19"/>
      <c r="D7" s="19"/>
      <c r="E7" s="19"/>
      <c r="F7" s="19"/>
      <c r="G7"/>
      <c r="H7"/>
      <c r="I7"/>
      <c r="J7"/>
    </row>
    <row r="8" spans="2:32" s="18" customFormat="1" ht="12" customHeight="1" x14ac:dyDescent="0.2">
      <c r="B8" s="35" t="s">
        <v>6</v>
      </c>
      <c r="C8" s="33"/>
      <c r="D8" s="20"/>
      <c r="E8" s="21"/>
      <c r="F8" s="22"/>
      <c r="G8"/>
      <c r="H8"/>
      <c r="I8"/>
      <c r="J8"/>
    </row>
    <row r="9" spans="2:32" customFormat="1" ht="12" customHeight="1" x14ac:dyDescent="0.2">
      <c r="B9" s="34"/>
    </row>
    <row r="10" spans="2:32" s="6" customFormat="1" ht="12" customHeight="1" x14ac:dyDescent="0.2">
      <c r="B10" s="80"/>
      <c r="C10" s="80"/>
      <c r="D10" s="23"/>
      <c r="E10" s="24"/>
      <c r="F10" s="23"/>
      <c r="G10"/>
      <c r="H10"/>
      <c r="I10"/>
      <c r="J10"/>
      <c r="K10" s="5"/>
      <c r="L10" s="5"/>
      <c r="M10" s="5"/>
      <c r="N10" s="5"/>
      <c r="O10" s="5"/>
      <c r="P10" s="5"/>
      <c r="Q10" s="5"/>
      <c r="R10" s="5"/>
      <c r="S10" s="5"/>
      <c r="T10" s="5"/>
      <c r="U10" s="5"/>
      <c r="V10" s="5"/>
      <c r="W10" s="5"/>
      <c r="X10" s="5"/>
      <c r="Y10" s="5"/>
      <c r="Z10" s="5"/>
      <c r="AA10" s="5"/>
      <c r="AB10" s="5"/>
      <c r="AC10" s="5"/>
      <c r="AD10" s="5"/>
      <c r="AE10" s="5"/>
      <c r="AF10" s="5"/>
    </row>
    <row r="11" spans="2:32" s="6" customFormat="1" ht="12" customHeight="1" x14ac:dyDescent="0.2">
      <c r="C11" s="23"/>
      <c r="D11" s="23"/>
      <c r="E11" s="25"/>
      <c r="F11" s="23"/>
      <c r="G11"/>
      <c r="H11"/>
      <c r="I11"/>
      <c r="J11"/>
      <c r="K11" s="5"/>
      <c r="L11" s="5"/>
      <c r="M11" s="5"/>
      <c r="N11" s="5"/>
      <c r="O11" s="5"/>
      <c r="P11" s="5"/>
      <c r="Q11" s="5"/>
      <c r="R11" s="5"/>
      <c r="S11" s="5"/>
      <c r="T11" s="5"/>
      <c r="U11" s="5"/>
      <c r="V11" s="5"/>
      <c r="W11" s="5"/>
      <c r="X11" s="5"/>
      <c r="Y11" s="5"/>
      <c r="Z11" s="5"/>
      <c r="AA11" s="5"/>
      <c r="AB11" s="5"/>
      <c r="AC11" s="5"/>
      <c r="AD11" s="5"/>
      <c r="AE11" s="5"/>
      <c r="AF11" s="5"/>
    </row>
    <row r="12" spans="2:32" s="6" customFormat="1" ht="15" customHeight="1" x14ac:dyDescent="0.2">
      <c r="B12" s="36" t="s">
        <v>7</v>
      </c>
      <c r="C12" s="23"/>
      <c r="D12" s="23"/>
      <c r="E12" s="37"/>
      <c r="F12" s="23"/>
      <c r="G12"/>
      <c r="H12"/>
      <c r="I12"/>
      <c r="J12"/>
      <c r="K12" s="5"/>
      <c r="L12" s="5"/>
      <c r="M12" s="5"/>
      <c r="N12" s="5"/>
      <c r="O12" s="5"/>
      <c r="P12" s="5"/>
      <c r="Q12" s="5"/>
      <c r="R12" s="5"/>
      <c r="S12" s="5"/>
      <c r="T12" s="5"/>
      <c r="U12" s="5"/>
      <c r="V12" s="5"/>
      <c r="W12" s="5"/>
      <c r="X12" s="5"/>
      <c r="Y12" s="5"/>
      <c r="Z12" s="5"/>
      <c r="AA12" s="5"/>
      <c r="AB12" s="5"/>
      <c r="AC12" s="5"/>
      <c r="AD12" s="5"/>
      <c r="AE12" s="5"/>
      <c r="AF12" s="5"/>
    </row>
    <row r="13" spans="2:32" s="6" customFormat="1" ht="98.1" customHeight="1" x14ac:dyDescent="0.2">
      <c r="B13" s="79" t="s">
        <v>8</v>
      </c>
      <c r="C13" s="79"/>
      <c r="D13" s="79"/>
      <c r="E13" s="79"/>
      <c r="F13" s="23"/>
      <c r="G13"/>
      <c r="H13"/>
      <c r="I13"/>
      <c r="J13"/>
      <c r="K13" s="5"/>
      <c r="L13" s="5"/>
      <c r="M13" s="5"/>
      <c r="N13" s="5"/>
      <c r="O13" s="5"/>
      <c r="P13" s="5"/>
      <c r="Q13" s="5"/>
      <c r="R13" s="5"/>
      <c r="S13" s="5"/>
      <c r="T13" s="5"/>
      <c r="U13" s="5"/>
      <c r="V13" s="5"/>
      <c r="W13" s="5"/>
      <c r="X13" s="5"/>
      <c r="Y13" s="5"/>
      <c r="Z13" s="5"/>
      <c r="AA13" s="5"/>
      <c r="AB13" s="5"/>
      <c r="AC13" s="5"/>
      <c r="AD13" s="5"/>
      <c r="AE13" s="5"/>
      <c r="AF13" s="5"/>
    </row>
    <row r="14" spans="2:32" s="6" customFormat="1" ht="12" customHeight="1" x14ac:dyDescent="0.2">
      <c r="C14" s="23"/>
      <c r="D14" s="23"/>
      <c r="E14" s="37"/>
      <c r="F14" s="23"/>
      <c r="G14"/>
      <c r="H14"/>
      <c r="I14"/>
      <c r="J14"/>
      <c r="K14" s="5"/>
      <c r="L14" s="5"/>
      <c r="M14" s="5"/>
      <c r="N14" s="5"/>
      <c r="O14" s="5"/>
      <c r="P14" s="5"/>
      <c r="Q14" s="5"/>
      <c r="R14" s="5"/>
      <c r="S14" s="5"/>
      <c r="T14" s="5"/>
      <c r="U14" s="5"/>
      <c r="V14" s="5"/>
      <c r="W14" s="5"/>
      <c r="X14" s="5"/>
      <c r="Y14" s="5"/>
      <c r="Z14" s="5"/>
      <c r="AA14" s="5"/>
      <c r="AB14" s="5"/>
      <c r="AC14" s="5"/>
      <c r="AD14" s="5"/>
      <c r="AE14" s="5"/>
      <c r="AF14" s="5"/>
    </row>
    <row r="15" spans="2:32" s="28" customFormat="1" ht="15" customHeight="1" x14ac:dyDescent="0.2">
      <c r="B15" s="36" t="s">
        <v>1</v>
      </c>
      <c r="C15" s="38"/>
      <c r="D15" s="38"/>
      <c r="E15" s="6"/>
      <c r="F15" s="23"/>
      <c r="G15" s="26"/>
      <c r="H15" s="26"/>
      <c r="I15" s="26"/>
      <c r="J15" s="26"/>
      <c r="K15" s="27"/>
      <c r="L15" s="27"/>
      <c r="M15" s="27"/>
      <c r="N15" s="27"/>
      <c r="O15" s="27"/>
      <c r="P15" s="27"/>
      <c r="Q15" s="27"/>
      <c r="R15" s="27"/>
      <c r="S15" s="27"/>
      <c r="T15" s="27"/>
      <c r="U15" s="27"/>
      <c r="V15" s="27"/>
      <c r="W15" s="27"/>
      <c r="X15" s="27"/>
      <c r="Y15" s="27"/>
      <c r="Z15" s="27"/>
      <c r="AA15" s="27"/>
      <c r="AB15" s="27"/>
      <c r="AC15" s="27"/>
      <c r="AD15" s="27"/>
      <c r="AE15" s="27"/>
      <c r="AF15" s="27"/>
    </row>
    <row r="16" spans="2:32" s="28" customFormat="1" ht="108" customHeight="1" x14ac:dyDescent="0.2">
      <c r="B16" s="79" t="s">
        <v>10</v>
      </c>
      <c r="C16" s="79"/>
      <c r="D16" s="79"/>
      <c r="E16" s="79"/>
      <c r="F16" s="23"/>
      <c r="G16" s="26"/>
      <c r="H16" s="26"/>
      <c r="I16" s="26"/>
      <c r="J16" s="26"/>
      <c r="K16" s="27"/>
      <c r="L16" s="27"/>
      <c r="M16" s="27"/>
      <c r="N16" s="27"/>
      <c r="O16" s="27"/>
      <c r="P16" s="27"/>
      <c r="Q16" s="27"/>
      <c r="R16" s="27"/>
      <c r="S16" s="27"/>
      <c r="T16" s="27"/>
      <c r="U16" s="27"/>
      <c r="V16" s="27"/>
      <c r="W16" s="27"/>
      <c r="X16" s="27"/>
      <c r="Y16" s="27"/>
      <c r="Z16" s="27"/>
      <c r="AA16" s="27"/>
      <c r="AB16" s="27"/>
      <c r="AC16" s="27"/>
      <c r="AD16" s="27"/>
      <c r="AE16" s="27"/>
      <c r="AF16" s="27"/>
    </row>
    <row r="17" spans="2:32" s="28" customFormat="1" ht="12" customHeight="1" x14ac:dyDescent="0.2">
      <c r="B17" s="6"/>
      <c r="C17" s="29"/>
      <c r="D17" s="29"/>
      <c r="E17" s="39"/>
      <c r="F17" s="23"/>
      <c r="G17" s="26"/>
      <c r="H17" s="26"/>
      <c r="I17" s="26"/>
      <c r="J17" s="26"/>
      <c r="K17" s="27"/>
      <c r="L17" s="27"/>
      <c r="M17" s="27"/>
      <c r="N17" s="27"/>
      <c r="O17" s="27"/>
      <c r="P17" s="27"/>
      <c r="Q17" s="27"/>
      <c r="R17" s="27"/>
      <c r="S17" s="27"/>
      <c r="T17" s="27"/>
      <c r="U17" s="27"/>
      <c r="V17" s="27"/>
      <c r="W17" s="27"/>
      <c r="X17" s="27"/>
      <c r="Y17" s="27"/>
      <c r="Z17" s="27"/>
      <c r="AA17" s="27"/>
      <c r="AB17" s="27"/>
      <c r="AC17" s="27"/>
      <c r="AD17" s="27"/>
      <c r="AE17" s="27"/>
      <c r="AF17" s="27"/>
    </row>
    <row r="18" spans="2:32" s="28" customFormat="1" ht="15" customHeight="1" x14ac:dyDescent="0.2">
      <c r="B18" s="36" t="s">
        <v>2</v>
      </c>
      <c r="C18" s="6"/>
      <c r="D18" s="6"/>
      <c r="E18" s="6"/>
      <c r="F18" s="23"/>
      <c r="G18" s="26"/>
      <c r="H18" s="26"/>
      <c r="I18" s="26"/>
      <c r="J18" s="26"/>
      <c r="K18" s="27"/>
      <c r="L18" s="27"/>
      <c r="M18" s="27"/>
      <c r="N18" s="27"/>
      <c r="O18" s="27"/>
      <c r="P18" s="27"/>
      <c r="Q18" s="27"/>
      <c r="R18" s="27"/>
      <c r="S18" s="27"/>
      <c r="T18" s="27"/>
      <c r="U18" s="27"/>
      <c r="V18" s="27"/>
      <c r="W18" s="27"/>
      <c r="X18" s="27"/>
      <c r="Y18" s="27"/>
      <c r="Z18" s="27"/>
      <c r="AA18" s="27"/>
      <c r="AB18" s="27"/>
      <c r="AC18" s="27"/>
      <c r="AD18" s="27"/>
      <c r="AE18" s="27"/>
      <c r="AF18" s="27"/>
    </row>
    <row r="19" spans="2:32" s="28" customFormat="1" ht="84" customHeight="1" x14ac:dyDescent="0.2">
      <c r="B19" s="79" t="s">
        <v>50</v>
      </c>
      <c r="C19" s="79"/>
      <c r="D19" s="79"/>
      <c r="E19" s="79"/>
      <c r="F19" s="23"/>
      <c r="G19" s="26"/>
      <c r="H19" s="26"/>
      <c r="I19" s="26"/>
      <c r="J19" s="26"/>
      <c r="K19" s="27"/>
      <c r="L19" s="27"/>
      <c r="M19" s="27"/>
      <c r="N19" s="27"/>
      <c r="O19" s="27"/>
      <c r="P19" s="27"/>
      <c r="Q19" s="27"/>
      <c r="R19" s="27"/>
      <c r="S19" s="27"/>
      <c r="T19" s="27"/>
      <c r="U19" s="27"/>
      <c r="V19" s="27"/>
      <c r="W19" s="27"/>
      <c r="X19" s="27"/>
      <c r="Y19" s="27"/>
      <c r="Z19" s="27"/>
      <c r="AA19" s="27"/>
      <c r="AB19" s="27"/>
      <c r="AC19" s="27"/>
      <c r="AD19" s="27"/>
      <c r="AE19" s="27"/>
      <c r="AF19" s="27"/>
    </row>
    <row r="20" spans="2:32" s="28" customFormat="1" ht="12" customHeight="1" x14ac:dyDescent="0.2">
      <c r="B20" s="81" t="s">
        <v>5</v>
      </c>
      <c r="C20" s="81"/>
      <c r="D20" s="29"/>
      <c r="E20" s="29"/>
      <c r="F20" s="23"/>
      <c r="G20" s="26"/>
      <c r="H20" s="26"/>
      <c r="I20" s="26"/>
      <c r="J20" s="26"/>
      <c r="K20" s="27"/>
      <c r="L20" s="27"/>
      <c r="M20" s="27"/>
      <c r="N20" s="27"/>
      <c r="O20" s="27"/>
      <c r="P20" s="27"/>
      <c r="Q20" s="27"/>
      <c r="R20" s="27"/>
      <c r="S20" s="27"/>
      <c r="T20" s="27"/>
      <c r="U20" s="27"/>
      <c r="V20" s="27"/>
      <c r="W20" s="27"/>
      <c r="X20" s="27"/>
      <c r="Y20" s="27"/>
      <c r="Z20" s="27"/>
      <c r="AA20" s="27"/>
      <c r="AB20" s="27"/>
      <c r="AC20" s="27"/>
      <c r="AD20" s="27"/>
      <c r="AE20" s="27"/>
      <c r="AF20" s="27"/>
    </row>
    <row r="21" spans="2:32" s="28" customFormat="1" ht="36" customHeight="1" x14ac:dyDescent="0.2">
      <c r="B21" s="79" t="s">
        <v>3</v>
      </c>
      <c r="C21" s="79"/>
      <c r="D21" s="79"/>
      <c r="E21" s="79"/>
      <c r="F21" s="23"/>
      <c r="G21" s="26"/>
      <c r="H21" s="26"/>
      <c r="I21" s="26"/>
      <c r="J21" s="26"/>
      <c r="K21" s="27"/>
      <c r="L21" s="27"/>
      <c r="M21" s="27"/>
      <c r="N21" s="27"/>
      <c r="O21" s="27"/>
      <c r="P21" s="27"/>
      <c r="Q21" s="27"/>
      <c r="R21" s="27"/>
      <c r="S21" s="27"/>
      <c r="T21" s="27"/>
      <c r="U21" s="27"/>
      <c r="V21" s="27"/>
      <c r="W21" s="27"/>
      <c r="X21" s="27"/>
      <c r="Y21" s="27"/>
      <c r="Z21" s="27"/>
      <c r="AA21" s="27"/>
      <c r="AB21" s="27"/>
      <c r="AC21" s="27"/>
      <c r="AD21" s="27"/>
      <c r="AE21" s="27"/>
      <c r="AF21" s="27"/>
    </row>
    <row r="22" spans="2:32" s="27" customFormat="1" ht="12" customHeight="1" x14ac:dyDescent="0.2">
      <c r="B22" s="5"/>
      <c r="C22" s="6"/>
      <c r="D22" s="29"/>
      <c r="E22" s="29"/>
      <c r="F22" s="30"/>
      <c r="G22" s="26"/>
      <c r="H22" s="26"/>
      <c r="I22" s="26"/>
      <c r="J22" s="26"/>
    </row>
    <row r="23" spans="2:32" s="27" customFormat="1" ht="36" customHeight="1" x14ac:dyDescent="0.2">
      <c r="B23" s="79" t="s">
        <v>4</v>
      </c>
      <c r="C23" s="79"/>
      <c r="D23" s="79"/>
      <c r="E23" s="79"/>
      <c r="F23" s="30"/>
      <c r="G23" s="26"/>
      <c r="H23" s="26"/>
      <c r="I23" s="26"/>
      <c r="J23" s="26"/>
    </row>
    <row r="24" spans="2:32" ht="12" customHeight="1" x14ac:dyDescent="0.2">
      <c r="D24" s="23"/>
      <c r="E24" s="23"/>
      <c r="F24" s="30"/>
    </row>
    <row r="25" spans="2:32" ht="12" customHeight="1" x14ac:dyDescent="0.2">
      <c r="B25" s="40" t="s">
        <v>49</v>
      </c>
      <c r="C25" s="41"/>
      <c r="D25" s="41"/>
      <c r="E25" s="41"/>
      <c r="F25" s="30"/>
    </row>
    <row r="26" spans="2:32" ht="12" customHeight="1" x14ac:dyDescent="0.2">
      <c r="B26" s="42" t="s">
        <v>0</v>
      </c>
      <c r="C26" s="41"/>
      <c r="D26" s="41"/>
      <c r="E26" s="41"/>
      <c r="F26" s="30"/>
    </row>
    <row r="27" spans="2:32" ht="12" customHeight="1" x14ac:dyDescent="0.2">
      <c r="C27" s="30"/>
      <c r="D27" s="30"/>
      <c r="E27" s="30"/>
      <c r="F27" s="31"/>
    </row>
    <row r="28" spans="2:32" ht="12" customHeight="1" x14ac:dyDescent="0.2">
      <c r="C28" s="30"/>
      <c r="D28" s="30"/>
      <c r="E28" s="30"/>
    </row>
    <row r="29" spans="2:32" ht="12" customHeight="1" x14ac:dyDescent="0.2">
      <c r="C29" s="30"/>
      <c r="D29" s="30"/>
      <c r="E29" s="30"/>
    </row>
    <row r="30" spans="2:32" ht="12" customHeight="1" x14ac:dyDescent="0.2">
      <c r="C30" s="31"/>
      <c r="D30" s="31"/>
      <c r="E30" s="31"/>
      <c r="F30" s="3"/>
    </row>
    <row r="33" spans="3:5" ht="12" customHeight="1" x14ac:dyDescent="0.2">
      <c r="C33" s="3"/>
      <c r="D33" s="3"/>
      <c r="E33" s="3"/>
    </row>
  </sheetData>
  <mergeCells count="9">
    <mergeCell ref="B4:G4"/>
    <mergeCell ref="B3:G3"/>
    <mergeCell ref="B21:E21"/>
    <mergeCell ref="B23:E23"/>
    <mergeCell ref="B13:E13"/>
    <mergeCell ref="B10:C10"/>
    <mergeCell ref="B16:E16"/>
    <mergeCell ref="B19:E19"/>
    <mergeCell ref="B20:C20"/>
  </mergeCells>
  <hyperlinks>
    <hyperlink ref="B8" r:id="rId1" xr:uid="{E8395ACD-210F-4FA6-BF94-51EF4CDB033A}"/>
    <hyperlink ref="B26" r:id="rId2" xr:uid="{703E4A20-6D8C-4BB5-977D-F51D94CE8B5F}"/>
    <hyperlink ref="B6" r:id="rId3" location="news/article?id=99110976" xr:uid="{CABCAF8E-3E22-4D80-BFF3-1D66DBD17BE7}"/>
  </hyperlinks>
  <pageMargins left="0.7" right="0.7" top="0.75" bottom="0.75" header="0.3" footer="0.3"/>
  <pageSetup scale="87" orientation="portrait" horizontalDpi="90" verticalDpi="9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07EC-301F-42E1-B35B-B5CC02D1E3D4}">
  <dimension ref="A2:AT24"/>
  <sheetViews>
    <sheetView showGridLines="0" defaultGridColor="0" topLeftCell="O1" colorId="22" zoomScaleNormal="100" workbookViewId="0">
      <pane ySplit="5" topLeftCell="A6" activePane="bottomLeft" state="frozen"/>
      <selection pane="bottomLeft" activeCell="AJ8" sqref="AJ8"/>
    </sheetView>
  </sheetViews>
  <sheetFormatPr defaultColWidth="8" defaultRowHeight="12" customHeight="1" x14ac:dyDescent="0.2"/>
  <cols>
    <col min="1" max="1" width="4.375" style="1" customWidth="1"/>
    <col min="2" max="2" width="29" style="1" customWidth="1"/>
    <col min="3" max="6" width="8" style="1" customWidth="1"/>
    <col min="7" max="7" width="9.875" style="1" customWidth="1"/>
    <col min="8" max="16384" width="8" style="1"/>
  </cols>
  <sheetData>
    <row r="2" spans="1:46" s="4" customFormat="1" ht="36" customHeight="1" x14ac:dyDescent="0.2">
      <c r="A2" s="1"/>
      <c r="B2" s="2"/>
    </row>
    <row r="3" spans="1:46" s="4" customFormat="1" ht="30" customHeight="1" x14ac:dyDescent="0.2">
      <c r="A3" s="1"/>
      <c r="B3" s="43" t="s">
        <v>191</v>
      </c>
    </row>
    <row r="4" spans="1:46" s="45" customFormat="1" ht="11.25" x14ac:dyDescent="0.2">
      <c r="B4" s="46"/>
      <c r="C4" s="48">
        <v>2014</v>
      </c>
      <c r="D4" s="48">
        <v>2015</v>
      </c>
      <c r="E4" s="48"/>
      <c r="F4" s="48"/>
      <c r="G4" s="47"/>
      <c r="H4" s="48">
        <v>2016</v>
      </c>
      <c r="I4" s="48"/>
      <c r="J4" s="48"/>
      <c r="K4" s="48"/>
      <c r="L4" s="48">
        <v>2017</v>
      </c>
      <c r="M4" s="48"/>
      <c r="N4" s="48"/>
      <c r="O4" s="48"/>
      <c r="P4" s="48">
        <v>2018</v>
      </c>
      <c r="Q4" s="48"/>
      <c r="R4" s="48"/>
      <c r="S4" s="48"/>
      <c r="T4" s="48">
        <v>2019</v>
      </c>
      <c r="U4" s="48"/>
      <c r="V4" s="48"/>
      <c r="W4" s="48"/>
      <c r="X4" s="48">
        <v>2020</v>
      </c>
      <c r="Y4" s="48"/>
      <c r="Z4" s="48"/>
      <c r="AA4" s="48"/>
      <c r="AB4" s="48">
        <v>2021</v>
      </c>
      <c r="AC4" s="48"/>
      <c r="AD4" s="48"/>
      <c r="AE4" s="48"/>
      <c r="AF4" s="48">
        <v>2022</v>
      </c>
      <c r="AG4" s="48"/>
      <c r="AH4" s="48"/>
      <c r="AI4" s="48"/>
      <c r="AJ4" s="48">
        <v>2023</v>
      </c>
      <c r="AK4" s="48"/>
      <c r="AL4" s="48"/>
      <c r="AM4" s="48"/>
      <c r="AN4" s="48">
        <v>2024</v>
      </c>
      <c r="AO4" s="48"/>
      <c r="AP4" s="48"/>
      <c r="AQ4" s="48"/>
      <c r="AR4" s="48">
        <v>2025</v>
      </c>
      <c r="AS4" s="48"/>
      <c r="AT4" s="48"/>
    </row>
    <row r="5" spans="1:46" s="45" customFormat="1" ht="11.25" x14ac:dyDescent="0.2">
      <c r="B5" s="46"/>
      <c r="C5" s="48" t="s">
        <v>45</v>
      </c>
      <c r="D5" s="48" t="s">
        <v>46</v>
      </c>
      <c r="E5" s="48" t="s">
        <v>47</v>
      </c>
      <c r="F5" s="48" t="s">
        <v>48</v>
      </c>
      <c r="G5" s="47" t="s">
        <v>45</v>
      </c>
      <c r="H5" s="48" t="s">
        <v>46</v>
      </c>
      <c r="I5" s="48" t="s">
        <v>47</v>
      </c>
      <c r="J5" s="48" t="s">
        <v>48</v>
      </c>
      <c r="K5" s="48" t="s">
        <v>45</v>
      </c>
      <c r="L5" s="48" t="s">
        <v>46</v>
      </c>
      <c r="M5" s="48" t="s">
        <v>47</v>
      </c>
      <c r="N5" s="48" t="s">
        <v>48</v>
      </c>
      <c r="O5" s="48" t="s">
        <v>45</v>
      </c>
      <c r="P5" s="48" t="s">
        <v>46</v>
      </c>
      <c r="Q5" s="48" t="s">
        <v>47</v>
      </c>
      <c r="R5" s="48" t="s">
        <v>48</v>
      </c>
      <c r="S5" s="48" t="s">
        <v>45</v>
      </c>
      <c r="T5" s="48" t="s">
        <v>46</v>
      </c>
      <c r="U5" s="48" t="s">
        <v>47</v>
      </c>
      <c r="V5" s="48" t="s">
        <v>48</v>
      </c>
      <c r="W5" s="48" t="s">
        <v>45</v>
      </c>
      <c r="X5" s="48" t="s">
        <v>46</v>
      </c>
      <c r="Y5" s="48" t="s">
        <v>47</v>
      </c>
      <c r="Z5" s="48" t="s">
        <v>48</v>
      </c>
      <c r="AA5" s="48" t="s">
        <v>45</v>
      </c>
      <c r="AB5" s="48" t="s">
        <v>46</v>
      </c>
      <c r="AC5" s="48" t="s">
        <v>47</v>
      </c>
      <c r="AD5" s="48" t="s">
        <v>48</v>
      </c>
      <c r="AE5" s="48" t="s">
        <v>45</v>
      </c>
      <c r="AF5" s="48" t="s">
        <v>46</v>
      </c>
      <c r="AG5" s="48" t="s">
        <v>47</v>
      </c>
      <c r="AH5" s="48" t="s">
        <v>48</v>
      </c>
      <c r="AI5" s="48" t="s">
        <v>45</v>
      </c>
      <c r="AJ5" s="48" t="s">
        <v>46</v>
      </c>
      <c r="AK5" s="48" t="s">
        <v>47</v>
      </c>
      <c r="AL5" s="48" t="s">
        <v>48</v>
      </c>
      <c r="AM5" s="48" t="s">
        <v>45</v>
      </c>
      <c r="AN5" s="48" t="s">
        <v>46</v>
      </c>
      <c r="AO5" s="48" t="s">
        <v>47</v>
      </c>
      <c r="AP5" s="48" t="s">
        <v>48</v>
      </c>
      <c r="AQ5" s="48" t="s">
        <v>45</v>
      </c>
      <c r="AR5" s="48" t="s">
        <v>46</v>
      </c>
      <c r="AS5" s="48" t="s">
        <v>47</v>
      </c>
      <c r="AT5" s="48" t="s">
        <v>48</v>
      </c>
    </row>
    <row r="6" spans="1:46" ht="12" customHeight="1" x14ac:dyDescent="0.2">
      <c r="B6" s="1" t="s">
        <v>38</v>
      </c>
      <c r="C6" s="69">
        <v>977000</v>
      </c>
      <c r="D6" s="69">
        <v>998000</v>
      </c>
      <c r="E6" s="69">
        <v>1011500</v>
      </c>
      <c r="F6" s="69">
        <v>1025000</v>
      </c>
      <c r="G6" s="70">
        <v>1035000</v>
      </c>
      <c r="H6" s="69">
        <v>1038000</v>
      </c>
      <c r="I6" s="69">
        <v>1030000</v>
      </c>
      <c r="J6" s="69">
        <v>1018000</v>
      </c>
      <c r="K6" s="69">
        <v>1036000</v>
      </c>
      <c r="L6" s="69">
        <v>1043000</v>
      </c>
      <c r="M6" s="69">
        <v>1085000</v>
      </c>
      <c r="N6" s="69">
        <v>1140000</v>
      </c>
      <c r="O6" s="69">
        <v>1208000</v>
      </c>
      <c r="P6" s="69">
        <v>1267000</v>
      </c>
      <c r="Q6" s="69">
        <v>1298000</v>
      </c>
      <c r="R6" s="69">
        <v>1332000</v>
      </c>
      <c r="S6" s="69">
        <v>1361000</v>
      </c>
      <c r="T6" s="69">
        <v>1388000</v>
      </c>
      <c r="U6" s="69">
        <v>1415000</v>
      </c>
      <c r="V6" s="69">
        <v>1437000</v>
      </c>
      <c r="W6" s="69">
        <v>1477000</v>
      </c>
      <c r="X6" s="69">
        <v>1516000</v>
      </c>
      <c r="Y6" s="69">
        <v>1542000</v>
      </c>
      <c r="Z6" s="69">
        <v>1580000</v>
      </c>
      <c r="AA6" s="69">
        <v>1564000</v>
      </c>
      <c r="AB6" s="69">
        <v>1553000</v>
      </c>
      <c r="AC6" s="69">
        <v>1542000</v>
      </c>
      <c r="AD6" s="69">
        <v>1510000</v>
      </c>
      <c r="AE6" s="69">
        <v>1462000</v>
      </c>
      <c r="AF6" s="69">
        <v>1406000</v>
      </c>
      <c r="AG6" s="69">
        <v>1346000</v>
      </c>
      <c r="AH6" s="69">
        <v>1285000</v>
      </c>
      <c r="AI6" s="69">
        <v>1228000</v>
      </c>
      <c r="AJ6" s="69">
        <v>1177000</v>
      </c>
      <c r="AK6" s="69">
        <v>1122000</v>
      </c>
      <c r="AL6" s="69">
        <v>1063000</v>
      </c>
      <c r="AM6" s="69">
        <v>1004000</v>
      </c>
      <c r="AN6" s="69">
        <v>978000</v>
      </c>
      <c r="AO6" s="69">
        <v>955000</v>
      </c>
      <c r="AP6" s="69">
        <v>912000</v>
      </c>
      <c r="AQ6" s="69">
        <v>883000</v>
      </c>
      <c r="AR6" s="69">
        <v>853000</v>
      </c>
      <c r="AS6" s="69">
        <v>819000</v>
      </c>
      <c r="AT6" s="69">
        <v>782999.99999999988</v>
      </c>
    </row>
    <row r="7" spans="1:46" ht="12" customHeight="1" x14ac:dyDescent="0.2">
      <c r="B7" s="1" t="s">
        <v>39</v>
      </c>
      <c r="C7" s="69">
        <v>675000</v>
      </c>
      <c r="D7" s="69">
        <v>686000</v>
      </c>
      <c r="E7" s="69">
        <v>685000</v>
      </c>
      <c r="F7" s="69">
        <v>687000</v>
      </c>
      <c r="G7" s="70">
        <v>687000</v>
      </c>
      <c r="H7" s="69">
        <v>697000</v>
      </c>
      <c r="I7" s="69">
        <v>696000</v>
      </c>
      <c r="J7" s="69">
        <v>686000</v>
      </c>
      <c r="K7" s="69">
        <v>675000</v>
      </c>
      <c r="L7" s="69">
        <v>659000</v>
      </c>
      <c r="M7" s="69">
        <v>625000</v>
      </c>
      <c r="N7" s="69">
        <v>589000</v>
      </c>
      <c r="O7" s="69">
        <v>577000</v>
      </c>
      <c r="P7" s="69">
        <v>576000</v>
      </c>
      <c r="Q7" s="69">
        <v>577000</v>
      </c>
      <c r="R7" s="69">
        <v>585000</v>
      </c>
      <c r="S7" s="69">
        <v>584000</v>
      </c>
      <c r="T7" s="69">
        <v>586000</v>
      </c>
      <c r="U7" s="69">
        <v>587000</v>
      </c>
      <c r="V7" s="69">
        <v>587000</v>
      </c>
      <c r="W7" s="69">
        <v>586000</v>
      </c>
      <c r="X7" s="69">
        <v>590000</v>
      </c>
      <c r="Y7" s="69">
        <v>599000</v>
      </c>
      <c r="Z7" s="69">
        <v>603000</v>
      </c>
      <c r="AA7" s="69">
        <v>596000</v>
      </c>
      <c r="AB7" s="69">
        <v>590000</v>
      </c>
      <c r="AC7" s="69">
        <v>585820.99162910494</v>
      </c>
      <c r="AD7" s="69">
        <v>573663.87636831938</v>
      </c>
      <c r="AE7" s="69">
        <v>555428.20347714098</v>
      </c>
      <c r="AF7" s="69">
        <v>534153.25177076622</v>
      </c>
      <c r="AG7" s="69">
        <v>530369.80954959535</v>
      </c>
      <c r="AH7" s="69">
        <v>506333.73348531208</v>
      </c>
      <c r="AI7" s="69">
        <v>494860.34650811896</v>
      </c>
      <c r="AJ7" s="69">
        <v>472253.12709516659</v>
      </c>
      <c r="AK7" s="69">
        <v>436944.48207870557</v>
      </c>
      <c r="AL7" s="69">
        <v>393250.03387083503</v>
      </c>
      <c r="AM7" s="69">
        <v>334262.52879020979</v>
      </c>
      <c r="AN7" s="69">
        <v>294151.02533538459</v>
      </c>
      <c r="AO7" s="69">
        <v>257000</v>
      </c>
      <c r="AP7" s="69">
        <v>228000</v>
      </c>
      <c r="AQ7" s="69">
        <v>205000</v>
      </c>
      <c r="AR7" s="69">
        <v>189000</v>
      </c>
      <c r="AS7" s="69">
        <v>172000</v>
      </c>
      <c r="AT7" s="69">
        <v>157000</v>
      </c>
    </row>
    <row r="8" spans="1:46" ht="12" customHeight="1" x14ac:dyDescent="0.2">
      <c r="B8" s="1" t="s">
        <v>43</v>
      </c>
      <c r="C8" s="69"/>
      <c r="D8" s="69"/>
      <c r="E8" s="69"/>
      <c r="F8" s="69"/>
      <c r="G8" s="70"/>
      <c r="H8" s="69"/>
      <c r="I8" s="69"/>
      <c r="J8" s="69"/>
      <c r="K8" s="69"/>
      <c r="L8" s="69"/>
      <c r="M8" s="69"/>
      <c r="N8" s="69"/>
      <c r="O8" s="69"/>
      <c r="P8" s="69"/>
      <c r="Q8" s="69"/>
      <c r="R8" s="69"/>
      <c r="S8" s="69"/>
      <c r="T8" s="69"/>
      <c r="U8" s="69"/>
      <c r="V8" s="69"/>
      <c r="W8" s="69"/>
      <c r="X8" s="69"/>
      <c r="Y8" s="69"/>
      <c r="Z8" s="69"/>
      <c r="AA8" s="69"/>
      <c r="AB8" s="69">
        <v>21779</v>
      </c>
      <c r="AC8" s="69">
        <v>70000</v>
      </c>
      <c r="AD8" s="69">
        <v>119674</v>
      </c>
      <c r="AE8" s="69">
        <v>145000</v>
      </c>
      <c r="AF8" s="69">
        <v>250000</v>
      </c>
      <c r="AG8" s="69">
        <v>500000</v>
      </c>
      <c r="AH8" s="69">
        <v>700000</v>
      </c>
      <c r="AI8" s="69">
        <v>1000000</v>
      </c>
      <c r="AJ8" s="69">
        <v>1400000</v>
      </c>
      <c r="AK8" s="69">
        <v>1626707.6567965478</v>
      </c>
      <c r="AL8" s="69">
        <v>2000000</v>
      </c>
      <c r="AM8" s="69">
        <v>2300000</v>
      </c>
      <c r="AN8" s="69">
        <v>2700000</v>
      </c>
      <c r="AO8" s="69">
        <v>3100000</v>
      </c>
      <c r="AP8" s="69">
        <v>4000000</v>
      </c>
      <c r="AQ8" s="69">
        <v>4600000</v>
      </c>
      <c r="AR8" s="69">
        <v>5100000</v>
      </c>
      <c r="AS8" s="69">
        <v>6000000</v>
      </c>
      <c r="AT8" s="69">
        <v>7500000</v>
      </c>
    </row>
    <row r="9" spans="1:46" ht="12" customHeight="1" x14ac:dyDescent="0.2">
      <c r="B9" s="1" t="s">
        <v>44</v>
      </c>
      <c r="C9" s="69">
        <v>1652000</v>
      </c>
      <c r="D9" s="69">
        <v>1684000</v>
      </c>
      <c r="E9" s="69">
        <v>1620000</v>
      </c>
      <c r="F9" s="69">
        <v>1712000</v>
      </c>
      <c r="G9" s="70">
        <v>1722000</v>
      </c>
      <c r="H9" s="69">
        <v>1735000</v>
      </c>
      <c r="I9" s="69">
        <v>1726000</v>
      </c>
      <c r="J9" s="69">
        <v>1704000</v>
      </c>
      <c r="K9" s="69">
        <v>1711000</v>
      </c>
      <c r="L9" s="69">
        <v>1702000</v>
      </c>
      <c r="M9" s="69">
        <v>1710000</v>
      </c>
      <c r="N9" s="69">
        <v>1729000</v>
      </c>
      <c r="O9" s="69">
        <v>1785000</v>
      </c>
      <c r="P9" s="69">
        <v>1843000</v>
      </c>
      <c r="Q9" s="69">
        <v>1875000</v>
      </c>
      <c r="R9" s="69">
        <v>1917000</v>
      </c>
      <c r="S9" s="69">
        <v>1945000</v>
      </c>
      <c r="T9" s="69">
        <v>1974000</v>
      </c>
      <c r="U9" s="69">
        <v>2002000</v>
      </c>
      <c r="V9" s="69">
        <v>2024000</v>
      </c>
      <c r="W9" s="69">
        <v>2063000</v>
      </c>
      <c r="X9" s="69">
        <v>2106000</v>
      </c>
      <c r="Y9" s="69">
        <v>2141000</v>
      </c>
      <c r="Z9" s="69">
        <v>2183000</v>
      </c>
      <c r="AA9" s="69">
        <v>2160000</v>
      </c>
      <c r="AB9" s="69">
        <v>2164779</v>
      </c>
      <c r="AC9" s="69">
        <v>2197820.9916291051</v>
      </c>
      <c r="AD9" s="69">
        <v>2203337.8763683196</v>
      </c>
      <c r="AE9" s="69">
        <v>2162428.203477141</v>
      </c>
      <c r="AF9" s="69">
        <v>2190153.2517707665</v>
      </c>
      <c r="AG9" s="69">
        <v>2376369.8095495952</v>
      </c>
      <c r="AH9" s="69">
        <v>2491333.7334853122</v>
      </c>
      <c r="AI9" s="69">
        <v>2722860.3465081193</v>
      </c>
      <c r="AJ9" s="69">
        <v>3049253.1270951666</v>
      </c>
      <c r="AK9" s="69">
        <v>3185652.1388752535</v>
      </c>
      <c r="AL9" s="69">
        <v>3456250.0338708349</v>
      </c>
      <c r="AM9" s="69">
        <v>3638262.5287902099</v>
      </c>
      <c r="AN9" s="69">
        <v>3972151.0253353845</v>
      </c>
      <c r="AO9" s="69">
        <v>4312000</v>
      </c>
      <c r="AP9" s="69">
        <v>5140000</v>
      </c>
      <c r="AQ9" s="69">
        <v>5688000</v>
      </c>
      <c r="AR9" s="69">
        <v>6142000</v>
      </c>
      <c r="AS9" s="69">
        <v>6991000</v>
      </c>
      <c r="AT9" s="69">
        <v>8440000</v>
      </c>
    </row>
    <row r="10" spans="1:46" ht="12" customHeight="1" x14ac:dyDescent="0.2">
      <c r="B10" s="52"/>
      <c r="C10" s="69"/>
      <c r="D10" s="69"/>
      <c r="E10" s="69"/>
      <c r="F10" s="69"/>
      <c r="G10" s="70"/>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row>
    <row r="11" spans="1:46" ht="12" customHeight="1" x14ac:dyDescent="0.2">
      <c r="B11" s="1" t="s">
        <v>42</v>
      </c>
      <c r="C11" s="69"/>
      <c r="D11" s="69"/>
      <c r="E11" s="69"/>
      <c r="F11" s="69"/>
      <c r="G11" s="70"/>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row>
    <row r="12" spans="1:46" ht="12" customHeight="1" x14ac:dyDescent="0.2">
      <c r="B12" s="1" t="s">
        <v>38</v>
      </c>
      <c r="C12" s="69"/>
      <c r="D12" s="68">
        <v>2.149437052200609E-2</v>
      </c>
      <c r="E12" s="68">
        <v>1.3527054108216419E-2</v>
      </c>
      <c r="F12" s="68">
        <v>1.3346515076618992E-2</v>
      </c>
      <c r="G12" s="68">
        <v>9.7560975609756184E-3</v>
      </c>
      <c r="H12" s="68">
        <v>2.8985507246377384E-3</v>
      </c>
      <c r="I12" s="68">
        <v>-7.7071290944122905E-3</v>
      </c>
      <c r="J12" s="68">
        <v>-1.1650485436893177E-2</v>
      </c>
      <c r="K12" s="68">
        <v>1.7681728880157177E-2</v>
      </c>
      <c r="L12" s="68">
        <v>6.7567567567567988E-3</v>
      </c>
      <c r="M12" s="68">
        <v>4.0268456375838868E-2</v>
      </c>
      <c r="N12" s="68">
        <v>5.0691244239631228E-2</v>
      </c>
      <c r="O12" s="68">
        <v>5.9649122807017507E-2</v>
      </c>
      <c r="P12" s="68">
        <v>4.8841059602648951E-2</v>
      </c>
      <c r="Q12" s="68">
        <v>2.4467245461720522E-2</v>
      </c>
      <c r="R12" s="68">
        <v>2.6194144838212585E-2</v>
      </c>
      <c r="S12" s="68">
        <v>2.1771771771771808E-2</v>
      </c>
      <c r="T12" s="68">
        <v>1.9838354151359372E-2</v>
      </c>
      <c r="U12" s="68">
        <v>1.9452449567723296E-2</v>
      </c>
      <c r="V12" s="68">
        <v>1.5547703180212036E-2</v>
      </c>
      <c r="W12" s="68">
        <v>2.783576896311768E-2</v>
      </c>
      <c r="X12" s="68">
        <v>2.6404874746106977E-2</v>
      </c>
      <c r="Y12" s="68">
        <v>1.715039577836408E-2</v>
      </c>
      <c r="Z12" s="68">
        <v>2.4643320363164634E-2</v>
      </c>
      <c r="AA12" s="68">
        <v>-1.0126582278481067E-2</v>
      </c>
      <c r="AB12" s="68">
        <v>-7.03324808184147E-3</v>
      </c>
      <c r="AC12" s="68">
        <v>-7.0830650354153368E-3</v>
      </c>
      <c r="AD12" s="68">
        <v>-2.0752269779507171E-2</v>
      </c>
      <c r="AE12" s="68">
        <v>-3.1788079470198682E-2</v>
      </c>
      <c r="AF12" s="68">
        <v>-3.8303693570451491E-2</v>
      </c>
      <c r="AG12" s="68">
        <v>-4.2674253200568946E-2</v>
      </c>
      <c r="AH12" s="68">
        <v>-4.5319465081723576E-2</v>
      </c>
      <c r="AI12" s="68">
        <v>-4.4357976653696451E-2</v>
      </c>
      <c r="AJ12" s="68">
        <v>-4.1530944625407185E-2</v>
      </c>
      <c r="AK12" s="68">
        <v>-4.6728971962616828E-2</v>
      </c>
      <c r="AL12" s="68">
        <v>-5.258467023172908E-2</v>
      </c>
      <c r="AM12" s="68">
        <v>-5.5503292568203189E-2</v>
      </c>
      <c r="AN12" s="68">
        <v>-2.5896414342629459E-2</v>
      </c>
      <c r="AO12" s="68">
        <v>-2.3517382413087984E-2</v>
      </c>
      <c r="AP12" s="68">
        <v>-4.5026178010471152E-2</v>
      </c>
      <c r="AQ12" s="68">
        <v>-3.1798245614035103E-2</v>
      </c>
      <c r="AR12" s="68">
        <v>-3.3975084937712396E-2</v>
      </c>
      <c r="AS12" s="68">
        <v>-3.9859320046893298E-2</v>
      </c>
      <c r="AT12" s="68">
        <v>-4.3956043956044133E-2</v>
      </c>
    </row>
    <row r="13" spans="1:46" ht="12" customHeight="1" x14ac:dyDescent="0.2">
      <c r="B13" s="1" t="s">
        <v>40</v>
      </c>
      <c r="C13" s="69"/>
      <c r="D13" s="68">
        <v>1.6296296296296253E-2</v>
      </c>
      <c r="E13" s="68">
        <v>-1.4577259475219151E-3</v>
      </c>
      <c r="F13" s="68">
        <v>2.9197080291971655E-3</v>
      </c>
      <c r="G13" s="68">
        <v>0</v>
      </c>
      <c r="H13" s="68">
        <v>1.4556040756914079E-2</v>
      </c>
      <c r="I13" s="68">
        <v>-1.4347202295552641E-3</v>
      </c>
      <c r="J13" s="68">
        <v>-1.4367816091954033E-2</v>
      </c>
      <c r="K13" s="68">
        <v>-1.6034985422740511E-2</v>
      </c>
      <c r="L13" s="68">
        <v>-2.3703703703703671E-2</v>
      </c>
      <c r="M13" s="68">
        <v>-5.1593323216995501E-2</v>
      </c>
      <c r="N13" s="68">
        <v>-5.7599999999999985E-2</v>
      </c>
      <c r="O13" s="68">
        <v>-2.0373514431239359E-2</v>
      </c>
      <c r="P13" s="68">
        <v>-1.7331022530329143E-3</v>
      </c>
      <c r="Q13" s="68">
        <v>1.7361111111111605E-3</v>
      </c>
      <c r="R13" s="68">
        <v>1.3864818024263537E-2</v>
      </c>
      <c r="S13" s="68">
        <v>-1.7094017094017033E-3</v>
      </c>
      <c r="T13" s="68">
        <v>3.424657534246478E-3</v>
      </c>
      <c r="U13" s="68">
        <v>1.7064846416381396E-3</v>
      </c>
      <c r="V13" s="68">
        <v>0</v>
      </c>
      <c r="W13" s="68">
        <v>-1.7035775127768327E-3</v>
      </c>
      <c r="X13" s="68">
        <v>6.8259385665530026E-3</v>
      </c>
      <c r="Y13" s="68">
        <v>1.5254237288135686E-2</v>
      </c>
      <c r="Z13" s="68">
        <v>6.6777963272119933E-3</v>
      </c>
      <c r="AA13" s="68">
        <v>-1.1608623548922004E-2</v>
      </c>
      <c r="AB13" s="68">
        <v>-1.0067114093959773E-2</v>
      </c>
      <c r="AC13" s="68">
        <v>-7.0830650354153368E-3</v>
      </c>
      <c r="AD13" s="68">
        <v>-2.075226977950706E-2</v>
      </c>
      <c r="AE13" s="68">
        <v>-3.1788079470198793E-2</v>
      </c>
      <c r="AF13" s="68">
        <v>-3.8303693570451491E-2</v>
      </c>
      <c r="AG13" s="68">
        <v>-7.0830650354152258E-3</v>
      </c>
      <c r="AH13" s="68">
        <v>-4.5319465081723576E-2</v>
      </c>
      <c r="AI13" s="68">
        <v>-2.2659732540861732E-2</v>
      </c>
      <c r="AJ13" s="68">
        <v>-4.5684039087947936E-2</v>
      </c>
      <c r="AK13" s="68">
        <v>-7.4766355140186813E-2</v>
      </c>
      <c r="AL13" s="68">
        <v>-9.9999999999999978E-2</v>
      </c>
      <c r="AM13" s="68">
        <v>-0.14999999999999991</v>
      </c>
      <c r="AN13" s="68">
        <v>-0.12000000000000011</v>
      </c>
      <c r="AO13" s="68">
        <v>-0.12629915293691663</v>
      </c>
      <c r="AP13" s="68">
        <v>-0.11284046692607008</v>
      </c>
      <c r="AQ13" s="68">
        <v>-0.10087719298245612</v>
      </c>
      <c r="AR13" s="68">
        <v>-7.8048780487804836E-2</v>
      </c>
      <c r="AS13" s="68">
        <v>-8.9947089947089998E-2</v>
      </c>
      <c r="AT13" s="68">
        <v>-8.7209302325581439E-2</v>
      </c>
    </row>
    <row r="14" spans="1:46" ht="12" customHeight="1" x14ac:dyDescent="0.2">
      <c r="B14" s="1" t="s">
        <v>43</v>
      </c>
      <c r="C14" s="69"/>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v>2.2141053308232701</v>
      </c>
      <c r="AD14" s="68">
        <v>0.7096285714285715</v>
      </c>
      <c r="AE14" s="68">
        <v>0.21162491435065256</v>
      </c>
      <c r="AF14" s="68">
        <v>0.72413793103448265</v>
      </c>
      <c r="AG14" s="68">
        <v>1</v>
      </c>
      <c r="AH14" s="68">
        <v>0.39999999999999991</v>
      </c>
      <c r="AI14" s="68">
        <v>0.4285714285714286</v>
      </c>
      <c r="AJ14" s="68">
        <v>0.39999999999999991</v>
      </c>
      <c r="AK14" s="68">
        <v>0.16193404056896266</v>
      </c>
      <c r="AL14" s="68">
        <v>0.22947721530897036</v>
      </c>
      <c r="AM14" s="68">
        <v>0.14999999999999991</v>
      </c>
      <c r="AN14" s="68">
        <v>0.17391304347826098</v>
      </c>
      <c r="AO14" s="68">
        <v>0.14814814814814814</v>
      </c>
      <c r="AP14" s="68">
        <v>0.29032258064516125</v>
      </c>
      <c r="AQ14" s="68">
        <v>0.14999999999999991</v>
      </c>
      <c r="AR14" s="68">
        <v>0.10869565217391308</v>
      </c>
      <c r="AS14" s="68">
        <v>0.17647058823529416</v>
      </c>
      <c r="AT14" s="68">
        <v>0.25</v>
      </c>
    </row>
    <row r="15" spans="1:46" ht="12" customHeight="1" x14ac:dyDescent="0.2">
      <c r="B15" s="1" t="s">
        <v>44</v>
      </c>
      <c r="C15" s="69"/>
      <c r="D15" s="68">
        <v>1.937046004842613E-2</v>
      </c>
      <c r="E15" s="68">
        <v>-3.8004750593824244E-2</v>
      </c>
      <c r="F15" s="68">
        <v>5.679012345679002E-2</v>
      </c>
      <c r="G15" s="68">
        <v>5.8411214953271173E-3</v>
      </c>
      <c r="H15" s="68">
        <v>7.5493612078978423E-3</v>
      </c>
      <c r="I15" s="68">
        <v>-5.1873198847262048E-3</v>
      </c>
      <c r="J15" s="68">
        <v>-1.2746234067207429E-2</v>
      </c>
      <c r="K15" s="68">
        <v>4.107981220657253E-3</v>
      </c>
      <c r="L15" s="68">
        <v>-5.260081823495022E-3</v>
      </c>
      <c r="M15" s="68">
        <v>4.7003525264395218E-3</v>
      </c>
      <c r="N15" s="68">
        <v>1.1111111111111072E-2</v>
      </c>
      <c r="O15" s="68">
        <v>3.238866396761142E-2</v>
      </c>
      <c r="P15" s="68">
        <v>3.2492997198879658E-2</v>
      </c>
      <c r="Q15" s="68">
        <v>1.736299511665762E-2</v>
      </c>
      <c r="R15" s="68">
        <v>2.2399999999999975E-2</v>
      </c>
      <c r="S15" s="68">
        <v>1.4606155451225789E-2</v>
      </c>
      <c r="T15" s="68">
        <v>1.4910025706940777E-2</v>
      </c>
      <c r="U15" s="68">
        <v>1.4184397163120588E-2</v>
      </c>
      <c r="V15" s="68">
        <v>1.098901098901095E-2</v>
      </c>
      <c r="W15" s="68">
        <v>1.9268774703557368E-2</v>
      </c>
      <c r="X15" s="68">
        <v>2.0843431895298137E-2</v>
      </c>
      <c r="Y15" s="68">
        <v>1.6619183285849992E-2</v>
      </c>
      <c r="Z15" s="68">
        <v>1.9617001401214473E-2</v>
      </c>
      <c r="AA15" s="68">
        <v>-1.0535959688502072E-2</v>
      </c>
      <c r="AB15" s="68">
        <v>2.2124999999999506E-3</v>
      </c>
      <c r="AC15" s="68">
        <v>1.5263447968178356E-2</v>
      </c>
      <c r="AD15" s="68">
        <v>2.5101610914750605E-3</v>
      </c>
      <c r="AE15" s="68">
        <v>-1.8567135494719778E-2</v>
      </c>
      <c r="AF15" s="68">
        <v>1.2821257255636986E-2</v>
      </c>
      <c r="AG15" s="68">
        <v>8.5024441841350828E-2</v>
      </c>
      <c r="AH15" s="68">
        <v>4.8377960144808663E-2</v>
      </c>
      <c r="AI15" s="68">
        <v>9.2932797365091302E-2</v>
      </c>
      <c r="AJ15" s="68">
        <v>0.1198712893981595</v>
      </c>
      <c r="AK15" s="68">
        <v>4.4731941263933539E-2</v>
      </c>
      <c r="AL15" s="68">
        <v>8.4942700332347076E-2</v>
      </c>
      <c r="AM15" s="68">
        <v>5.2661842498567646E-2</v>
      </c>
      <c r="AN15" s="68">
        <v>9.1771413938124713E-2</v>
      </c>
      <c r="AO15" s="68">
        <v>8.5557918744018746E-2</v>
      </c>
      <c r="AP15" s="68">
        <v>0.19202226345083484</v>
      </c>
      <c r="AQ15" s="68">
        <v>0.10661478599221796</v>
      </c>
      <c r="AR15" s="68">
        <v>7.9817158931082988E-2</v>
      </c>
      <c r="AS15" s="68">
        <v>0.13822859003581889</v>
      </c>
      <c r="AT15" s="68">
        <v>0.20726648548133308</v>
      </c>
    </row>
    <row r="16" spans="1:46" ht="12" customHeight="1" x14ac:dyDescent="0.2">
      <c r="C16" s="69"/>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row>
    <row r="17" spans="2:46" ht="12" customHeight="1" x14ac:dyDescent="0.2">
      <c r="B17" s="1" t="s">
        <v>41</v>
      </c>
      <c r="C17" s="69"/>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row>
    <row r="18" spans="2:46" ht="12" customHeight="1" x14ac:dyDescent="0.2">
      <c r="B18" s="1" t="s">
        <v>38</v>
      </c>
      <c r="C18" s="69"/>
      <c r="D18" s="68"/>
      <c r="E18" s="68"/>
      <c r="F18" s="68"/>
      <c r="G18" s="68">
        <v>5.9365404298874047E-2</v>
      </c>
      <c r="H18" s="68">
        <v>4.0080160320641323E-2</v>
      </c>
      <c r="I18" s="68">
        <v>1.8289668808699977E-2</v>
      </c>
      <c r="J18" s="68">
        <v>-6.8292682926829329E-3</v>
      </c>
      <c r="K18" s="68">
        <v>9.6618357487932016E-4</v>
      </c>
      <c r="L18" s="68">
        <v>4.81695568400764E-3</v>
      </c>
      <c r="M18" s="68">
        <v>5.3398058252427161E-2</v>
      </c>
      <c r="N18" s="68">
        <v>0.11984282907662092</v>
      </c>
      <c r="O18" s="68">
        <v>0.16602316602316591</v>
      </c>
      <c r="P18" s="68">
        <v>0.21476510067114085</v>
      </c>
      <c r="Q18" s="68">
        <v>0.19631336405529964</v>
      </c>
      <c r="R18" s="68">
        <v>0.16842105263157903</v>
      </c>
      <c r="S18" s="68">
        <v>0.1266556291390728</v>
      </c>
      <c r="T18" s="68">
        <v>9.5501183898973885E-2</v>
      </c>
      <c r="U18" s="68">
        <v>9.0138674884437497E-2</v>
      </c>
      <c r="V18" s="68">
        <v>7.8828828828828801E-2</v>
      </c>
      <c r="W18" s="68">
        <v>8.5231447465099253E-2</v>
      </c>
      <c r="X18" s="68">
        <v>9.2219020172910726E-2</v>
      </c>
      <c r="Y18" s="68">
        <v>8.975265017667855E-2</v>
      </c>
      <c r="Z18" s="68">
        <v>9.9512874043145461E-2</v>
      </c>
      <c r="AA18" s="68">
        <v>5.8903182125930931E-2</v>
      </c>
      <c r="AB18" s="68">
        <v>2.4406332453825952E-2</v>
      </c>
      <c r="AC18" s="68">
        <v>0</v>
      </c>
      <c r="AD18" s="68">
        <v>-4.4303797468354444E-2</v>
      </c>
      <c r="AE18" s="68">
        <v>-6.5217391304347783E-2</v>
      </c>
      <c r="AF18" s="68">
        <v>-9.4655505473277501E-2</v>
      </c>
      <c r="AG18" s="68">
        <v>-0.12710765239948119</v>
      </c>
      <c r="AH18" s="68">
        <v>-0.14900662251655628</v>
      </c>
      <c r="AI18" s="68">
        <v>-0.16005471956224349</v>
      </c>
      <c r="AJ18" s="68">
        <v>-0.16287339971550496</v>
      </c>
      <c r="AK18" s="68">
        <v>-0.16641901931649328</v>
      </c>
      <c r="AL18" s="68">
        <v>-0.17276264591439694</v>
      </c>
      <c r="AM18" s="68">
        <v>-0.1824104234527687</v>
      </c>
      <c r="AN18" s="68">
        <v>-0.16907391673746819</v>
      </c>
      <c r="AO18" s="68">
        <v>-0.14884135472370763</v>
      </c>
      <c r="AP18" s="68">
        <v>-0.14205079962370648</v>
      </c>
      <c r="AQ18" s="68">
        <v>-0.12051792828685259</v>
      </c>
      <c r="AR18" s="68">
        <v>-0.1278118609406953</v>
      </c>
      <c r="AS18" s="68">
        <v>-0.14240837696335074</v>
      </c>
      <c r="AT18" s="68">
        <v>-0.14144736842105277</v>
      </c>
    </row>
    <row r="19" spans="2:46" ht="12" customHeight="1" x14ac:dyDescent="0.2">
      <c r="B19" s="1" t="s">
        <v>40</v>
      </c>
      <c r="C19" s="69"/>
      <c r="D19" s="68"/>
      <c r="E19" s="68"/>
      <c r="F19" s="68"/>
      <c r="G19" s="68">
        <v>1.777777777777767E-2</v>
      </c>
      <c r="H19" s="68">
        <v>1.6034985422740622E-2</v>
      </c>
      <c r="I19" s="68">
        <v>1.6058394160583855E-2</v>
      </c>
      <c r="J19" s="68">
        <v>-1.4556040756914523E-3</v>
      </c>
      <c r="K19" s="68">
        <v>-1.7467248908296984E-2</v>
      </c>
      <c r="L19" s="68">
        <v>-5.4519368723099038E-2</v>
      </c>
      <c r="M19" s="68">
        <v>-0.10201149425287359</v>
      </c>
      <c r="N19" s="68">
        <v>-0.14139941690962099</v>
      </c>
      <c r="O19" s="68">
        <v>-0.14518518518518519</v>
      </c>
      <c r="P19" s="68">
        <v>-0.12594840667678298</v>
      </c>
      <c r="Q19" s="68">
        <v>-7.6799999999999979E-2</v>
      </c>
      <c r="R19" s="68">
        <v>-6.7911714770797493E-3</v>
      </c>
      <c r="S19" s="68">
        <v>1.21317157712304E-2</v>
      </c>
      <c r="T19" s="68">
        <v>1.736111111111116E-2</v>
      </c>
      <c r="U19" s="68">
        <v>1.7331022530329365E-2</v>
      </c>
      <c r="V19" s="68">
        <v>3.4188034188034067E-3</v>
      </c>
      <c r="W19" s="68">
        <v>3.424657534246478E-3</v>
      </c>
      <c r="X19" s="68">
        <v>6.8259385665530026E-3</v>
      </c>
      <c r="Y19" s="68">
        <v>2.0442930153321992E-2</v>
      </c>
      <c r="Z19" s="68">
        <v>2.7257240204429323E-2</v>
      </c>
      <c r="AA19" s="68">
        <v>1.7064846416382284E-2</v>
      </c>
      <c r="AB19" s="68">
        <v>0</v>
      </c>
      <c r="AC19" s="68">
        <v>-2.2001683423864882E-2</v>
      </c>
      <c r="AD19" s="68">
        <v>-4.865028794640236E-2</v>
      </c>
      <c r="AE19" s="68">
        <v>-6.8073484098756687E-2</v>
      </c>
      <c r="AF19" s="68">
        <v>-9.4655505473277612E-2</v>
      </c>
      <c r="AG19" s="68">
        <v>-9.4655505473277501E-2</v>
      </c>
      <c r="AH19" s="68">
        <v>-0.11736862936054593</v>
      </c>
      <c r="AI19" s="68">
        <v>-0.10904713982806369</v>
      </c>
      <c r="AJ19" s="68">
        <v>-0.11588457894882254</v>
      </c>
      <c r="AK19" s="68">
        <v>-0.17615129252969575</v>
      </c>
      <c r="AL19" s="68">
        <v>-0.22333826908208043</v>
      </c>
      <c r="AM19" s="68">
        <v>-0.32453159533014697</v>
      </c>
      <c r="AN19" s="68">
        <v>-0.37713271028037376</v>
      </c>
      <c r="AO19" s="68">
        <v>-0.41182458975713232</v>
      </c>
      <c r="AP19" s="68">
        <v>-0.42021619742596705</v>
      </c>
      <c r="AQ19" s="68">
        <v>-0.38670959996038823</v>
      </c>
      <c r="AR19" s="68">
        <v>-0.35747291791858848</v>
      </c>
      <c r="AS19" s="68">
        <v>-0.33073929961089499</v>
      </c>
      <c r="AT19" s="68">
        <v>-0.31140350877192979</v>
      </c>
    </row>
    <row r="20" spans="2:46" ht="12" customHeight="1" x14ac:dyDescent="0.2">
      <c r="B20" s="1" t="s">
        <v>43</v>
      </c>
      <c r="C20" s="69"/>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v>10.478947610083107</v>
      </c>
      <c r="AG20" s="68">
        <v>6.1428571428571432</v>
      </c>
      <c r="AH20" s="68">
        <v>4.8492237244514262</v>
      </c>
      <c r="AI20" s="68">
        <v>5.8965517241379306</v>
      </c>
      <c r="AJ20" s="68">
        <v>4.5999999999999996</v>
      </c>
      <c r="AK20" s="68">
        <v>2.2534153135930954</v>
      </c>
      <c r="AL20" s="68">
        <v>1.8571428571428572</v>
      </c>
      <c r="AM20" s="68">
        <v>1.2999999999999998</v>
      </c>
      <c r="AN20" s="68">
        <v>0.9285714285714286</v>
      </c>
      <c r="AO20" s="68">
        <v>0.90568968372890413</v>
      </c>
      <c r="AP20" s="68">
        <v>1</v>
      </c>
      <c r="AQ20" s="68">
        <v>1</v>
      </c>
      <c r="AR20" s="68">
        <v>0.88888888888888884</v>
      </c>
      <c r="AS20" s="68">
        <v>0.93548387096774199</v>
      </c>
      <c r="AT20" s="68">
        <v>0.875</v>
      </c>
    </row>
    <row r="21" spans="2:46" ht="12" customHeight="1" x14ac:dyDescent="0.2">
      <c r="B21" s="1" t="s">
        <v>44</v>
      </c>
      <c r="C21" s="69"/>
      <c r="D21" s="68"/>
      <c r="E21" s="68"/>
      <c r="F21" s="68"/>
      <c r="G21" s="68">
        <v>4.2372881355932313E-2</v>
      </c>
      <c r="H21" s="68">
        <v>3.0285035629453727E-2</v>
      </c>
      <c r="I21" s="68">
        <v>6.543209876543199E-2</v>
      </c>
      <c r="J21" s="68">
        <v>-4.6728971962616273E-3</v>
      </c>
      <c r="K21" s="68">
        <v>-6.387921022067311E-3</v>
      </c>
      <c r="L21" s="68">
        <v>-1.9020172910662825E-2</v>
      </c>
      <c r="M21" s="68">
        <v>-9.2699884125144738E-3</v>
      </c>
      <c r="N21" s="68">
        <v>1.4671361502347491E-2</v>
      </c>
      <c r="O21" s="68">
        <v>4.3249561659848057E-2</v>
      </c>
      <c r="P21" s="68">
        <v>8.2843713278495823E-2</v>
      </c>
      <c r="Q21" s="68">
        <v>9.6491228070175517E-2</v>
      </c>
      <c r="R21" s="68">
        <v>0.10873337189126664</v>
      </c>
      <c r="S21" s="68">
        <v>8.9635854341736598E-2</v>
      </c>
      <c r="T21" s="68">
        <v>7.1079761258817209E-2</v>
      </c>
      <c r="U21" s="68">
        <v>6.7733333333333423E-2</v>
      </c>
      <c r="V21" s="68">
        <v>5.5816379760041723E-2</v>
      </c>
      <c r="W21" s="68">
        <v>6.0668380462725047E-2</v>
      </c>
      <c r="X21" s="68">
        <v>6.6869300911854168E-2</v>
      </c>
      <c r="Y21" s="68">
        <v>6.9430569430569467E-2</v>
      </c>
      <c r="Z21" s="68">
        <v>7.8557312252964362E-2</v>
      </c>
      <c r="AA21" s="68">
        <v>4.7018904507998061E-2</v>
      </c>
      <c r="AB21" s="68">
        <v>2.7910256410256462E-2</v>
      </c>
      <c r="AC21" s="68">
        <v>2.6539463628727278E-2</v>
      </c>
      <c r="AD21" s="68">
        <v>9.3164802420153681E-3</v>
      </c>
      <c r="AE21" s="68">
        <v>1.1241682764542293E-3</v>
      </c>
      <c r="AF21" s="68">
        <v>1.1721405173815258E-2</v>
      </c>
      <c r="AG21" s="68">
        <v>8.1239017463448304E-2</v>
      </c>
      <c r="AH21" s="68">
        <v>0.13070889408558872</v>
      </c>
      <c r="AI21" s="68">
        <v>0.2591679770592219</v>
      </c>
      <c r="AJ21" s="68">
        <v>0.39225559883985617</v>
      </c>
      <c r="AK21" s="68">
        <v>0.34055403585481736</v>
      </c>
      <c r="AL21" s="68">
        <v>0.38730912981121546</v>
      </c>
      <c r="AM21" s="68">
        <v>0.33619138177836816</v>
      </c>
      <c r="AN21" s="68">
        <v>0.30266358999175824</v>
      </c>
      <c r="AO21" s="68">
        <v>0.35356900628906152</v>
      </c>
      <c r="AP21" s="68">
        <v>0.48716092575149883</v>
      </c>
      <c r="AQ21" s="68">
        <v>0.56338360824428091</v>
      </c>
      <c r="AR21" s="68">
        <v>0.54626547702359995</v>
      </c>
      <c r="AS21" s="68">
        <v>0.62128942486085337</v>
      </c>
      <c r="AT21" s="68">
        <v>0.64202334630350189</v>
      </c>
    </row>
    <row r="23" spans="2:46" ht="12" customHeight="1" x14ac:dyDescent="0.2">
      <c r="B23" s="1" t="s">
        <v>11</v>
      </c>
    </row>
    <row r="24" spans="2:46" ht="12" customHeight="1" x14ac:dyDescent="0.2">
      <c r="B24" s="1" t="s">
        <v>49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5C52-945E-42D1-8236-7C03E9244FFA}">
  <dimension ref="A2:V42"/>
  <sheetViews>
    <sheetView showGridLines="0" defaultGridColor="0" colorId="22" zoomScaleNormal="100" workbookViewId="0">
      <pane ySplit="4" topLeftCell="A5" activePane="bottomLeft" state="frozen"/>
      <selection pane="bottomLeft"/>
    </sheetView>
  </sheetViews>
  <sheetFormatPr defaultColWidth="8" defaultRowHeight="12" customHeight="1" x14ac:dyDescent="0.2"/>
  <cols>
    <col min="1" max="1" width="4.375" style="1" customWidth="1"/>
    <col min="2" max="2" width="19.875" style="1" customWidth="1"/>
    <col min="3" max="22" width="10.625" style="1" customWidth="1"/>
    <col min="23" max="16384" width="8" style="1"/>
  </cols>
  <sheetData>
    <row r="2" spans="1:22" s="4" customFormat="1" ht="36" customHeight="1" x14ac:dyDescent="0.2">
      <c r="A2" s="1"/>
      <c r="B2" s="2"/>
    </row>
    <row r="3" spans="1:22" s="4" customFormat="1" ht="30" customHeight="1" x14ac:dyDescent="0.2">
      <c r="A3" s="1"/>
      <c r="B3" s="43" t="s">
        <v>190</v>
      </c>
      <c r="C3" s="44"/>
    </row>
    <row r="4" spans="1:22" s="45" customFormat="1" ht="11.25" x14ac:dyDescent="0.2">
      <c r="B4" s="46"/>
      <c r="C4" s="71" t="s">
        <v>51</v>
      </c>
      <c r="D4" s="46" t="s">
        <v>52</v>
      </c>
      <c r="E4" s="46" t="s">
        <v>53</v>
      </c>
      <c r="F4" s="46" t="s">
        <v>54</v>
      </c>
      <c r="G4" s="46" t="s">
        <v>55</v>
      </c>
      <c r="H4" s="46" t="s">
        <v>56</v>
      </c>
      <c r="I4" s="46" t="s">
        <v>57</v>
      </c>
      <c r="J4" s="46" t="s">
        <v>58</v>
      </c>
      <c r="K4" s="46" t="s">
        <v>59</v>
      </c>
      <c r="L4" s="46" t="s">
        <v>60</v>
      </c>
      <c r="M4" s="46" t="s">
        <v>61</v>
      </c>
      <c r="N4" s="46" t="s">
        <v>62</v>
      </c>
      <c r="O4" s="46" t="s">
        <v>63</v>
      </c>
      <c r="P4" s="46" t="s">
        <v>64</v>
      </c>
      <c r="Q4" s="46" t="s">
        <v>65</v>
      </c>
      <c r="R4" s="46" t="s">
        <v>66</v>
      </c>
      <c r="S4" s="46" t="s">
        <v>67</v>
      </c>
      <c r="T4" s="46" t="s">
        <v>68</v>
      </c>
      <c r="U4" s="46" t="s">
        <v>69</v>
      </c>
      <c r="V4" s="46" t="s">
        <v>70</v>
      </c>
    </row>
    <row r="5" spans="1:22" ht="12" customHeight="1" x14ac:dyDescent="0.2">
      <c r="B5" s="49" t="s">
        <v>71</v>
      </c>
      <c r="C5" s="72" t="s">
        <v>72</v>
      </c>
      <c r="D5" s="73" t="s">
        <v>72</v>
      </c>
      <c r="E5" s="73" t="s">
        <v>73</v>
      </c>
      <c r="F5" s="73" t="s">
        <v>74</v>
      </c>
      <c r="G5" s="73" t="s">
        <v>75</v>
      </c>
      <c r="H5" s="73" t="s">
        <v>76</v>
      </c>
      <c r="I5" s="52" t="s">
        <v>77</v>
      </c>
      <c r="J5" s="52" t="s">
        <v>78</v>
      </c>
      <c r="K5" s="52" t="s">
        <v>79</v>
      </c>
      <c r="L5" s="52" t="s">
        <v>80</v>
      </c>
      <c r="M5" s="52" t="s">
        <v>81</v>
      </c>
      <c r="N5" s="52" t="s">
        <v>82</v>
      </c>
      <c r="O5" s="52" t="s">
        <v>83</v>
      </c>
      <c r="P5" s="52" t="s">
        <v>84</v>
      </c>
      <c r="Q5" s="52" t="s">
        <v>85</v>
      </c>
      <c r="R5" s="52" t="s">
        <v>86</v>
      </c>
      <c r="S5" s="52" t="s">
        <v>87</v>
      </c>
      <c r="T5" s="52" t="s">
        <v>88</v>
      </c>
      <c r="U5" s="52" t="s">
        <v>89</v>
      </c>
      <c r="V5" s="52" t="s">
        <v>90</v>
      </c>
    </row>
    <row r="6" spans="1:22" ht="12" customHeight="1" x14ac:dyDescent="0.2">
      <c r="C6" s="74"/>
      <c r="D6" s="52" t="s">
        <v>91</v>
      </c>
      <c r="E6" s="52" t="s">
        <v>92</v>
      </c>
      <c r="F6" s="52" t="s">
        <v>93</v>
      </c>
      <c r="G6" s="52" t="s">
        <v>94</v>
      </c>
      <c r="H6" s="52" t="s">
        <v>95</v>
      </c>
      <c r="I6" s="52" t="s">
        <v>96</v>
      </c>
      <c r="J6" s="52" t="s">
        <v>97</v>
      </c>
      <c r="K6" s="52" t="s">
        <v>98</v>
      </c>
      <c r="L6" s="52" t="s">
        <v>99</v>
      </c>
      <c r="M6" s="52" t="s">
        <v>100</v>
      </c>
      <c r="N6" s="52" t="s">
        <v>101</v>
      </c>
      <c r="O6" s="52" t="s">
        <v>102</v>
      </c>
      <c r="P6" s="52" t="s">
        <v>103</v>
      </c>
      <c r="Q6" s="52" t="s">
        <v>104</v>
      </c>
      <c r="R6" s="52" t="s">
        <v>105</v>
      </c>
      <c r="S6" s="52" t="s">
        <v>106</v>
      </c>
      <c r="T6" s="52" t="s">
        <v>107</v>
      </c>
      <c r="U6" s="52" t="s">
        <v>108</v>
      </c>
      <c r="V6" s="52" t="s">
        <v>109</v>
      </c>
    </row>
    <row r="7" spans="1:22" ht="12" customHeight="1" x14ac:dyDescent="0.2">
      <c r="C7" s="74"/>
      <c r="D7" s="52" t="s">
        <v>110</v>
      </c>
      <c r="E7" s="52" t="s">
        <v>111</v>
      </c>
      <c r="F7" s="52" t="s">
        <v>112</v>
      </c>
      <c r="G7" s="52" t="s">
        <v>113</v>
      </c>
      <c r="H7" s="52" t="s">
        <v>114</v>
      </c>
      <c r="I7" s="52" t="s">
        <v>115</v>
      </c>
      <c r="J7" s="52" t="s">
        <v>116</v>
      </c>
      <c r="K7" s="52" t="s">
        <v>117</v>
      </c>
      <c r="L7" s="52" t="s">
        <v>118</v>
      </c>
      <c r="M7" s="52" t="s">
        <v>119</v>
      </c>
      <c r="N7" s="52" t="s">
        <v>120</v>
      </c>
      <c r="O7" s="52" t="s">
        <v>121</v>
      </c>
      <c r="P7" s="52"/>
      <c r="Q7" s="52" t="s">
        <v>122</v>
      </c>
      <c r="R7" s="52" t="s">
        <v>189</v>
      </c>
      <c r="S7" s="52" t="s">
        <v>123</v>
      </c>
      <c r="T7" s="52" t="s">
        <v>124</v>
      </c>
      <c r="U7" s="52" t="s">
        <v>125</v>
      </c>
      <c r="V7" s="52" t="s">
        <v>126</v>
      </c>
    </row>
    <row r="8" spans="1:22" ht="12" customHeight="1" x14ac:dyDescent="0.2">
      <c r="C8" s="74"/>
      <c r="D8" s="52" t="s">
        <v>127</v>
      </c>
      <c r="E8" s="52" t="s">
        <v>128</v>
      </c>
      <c r="F8" s="52" t="s">
        <v>129</v>
      </c>
      <c r="G8" s="52" t="s">
        <v>130</v>
      </c>
      <c r="H8" s="52" t="s">
        <v>86</v>
      </c>
      <c r="I8" s="52" t="s">
        <v>131</v>
      </c>
      <c r="J8" s="52" t="s">
        <v>132</v>
      </c>
      <c r="K8" s="52"/>
      <c r="L8" s="52" t="s">
        <v>133</v>
      </c>
      <c r="M8" s="52" t="s">
        <v>134</v>
      </c>
      <c r="N8" s="52" t="s">
        <v>135</v>
      </c>
      <c r="O8" s="52" t="s">
        <v>136</v>
      </c>
      <c r="P8" s="52"/>
      <c r="Q8" s="52" t="s">
        <v>137</v>
      </c>
      <c r="R8" s="52" t="s">
        <v>138</v>
      </c>
      <c r="S8" s="52" t="s">
        <v>139</v>
      </c>
      <c r="T8" s="52" t="s">
        <v>140</v>
      </c>
      <c r="U8" s="52" t="s">
        <v>141</v>
      </c>
      <c r="V8" s="52" t="s">
        <v>142</v>
      </c>
    </row>
    <row r="9" spans="1:22" ht="12" customHeight="1" x14ac:dyDescent="0.2">
      <c r="B9" s="51"/>
      <c r="C9" s="74"/>
      <c r="D9" s="52"/>
      <c r="E9" s="52" t="s">
        <v>143</v>
      </c>
      <c r="F9" s="52" t="s">
        <v>144</v>
      </c>
      <c r="G9" s="52"/>
      <c r="H9" s="52" t="s">
        <v>145</v>
      </c>
      <c r="I9" s="52" t="s">
        <v>146</v>
      </c>
      <c r="J9" s="52" t="s">
        <v>118</v>
      </c>
      <c r="K9" s="52"/>
      <c r="L9" s="52" t="s">
        <v>147</v>
      </c>
      <c r="M9" s="52"/>
      <c r="N9" s="52" t="s">
        <v>148</v>
      </c>
      <c r="O9" s="52" t="s">
        <v>149</v>
      </c>
      <c r="P9" s="52"/>
      <c r="Q9" s="52" t="s">
        <v>150</v>
      </c>
      <c r="R9" s="52" t="s">
        <v>151</v>
      </c>
      <c r="S9" s="52" t="s">
        <v>152</v>
      </c>
      <c r="T9" s="52" t="s">
        <v>153</v>
      </c>
      <c r="U9" s="52" t="s">
        <v>154</v>
      </c>
      <c r="V9" s="52" t="s">
        <v>155</v>
      </c>
    </row>
    <row r="10" spans="1:22" ht="12" customHeight="1" x14ac:dyDescent="0.2">
      <c r="B10" s="52"/>
      <c r="C10" s="74"/>
      <c r="D10" s="52"/>
      <c r="E10" s="52" t="s">
        <v>156</v>
      </c>
      <c r="F10" s="52" t="s">
        <v>157</v>
      </c>
      <c r="G10" s="52"/>
      <c r="H10" s="52" t="s">
        <v>158</v>
      </c>
      <c r="I10" s="52"/>
      <c r="J10" s="52" t="s">
        <v>159</v>
      </c>
      <c r="K10" s="52"/>
      <c r="L10" s="52" t="s">
        <v>160</v>
      </c>
      <c r="M10" s="52"/>
      <c r="N10" s="52" t="s">
        <v>161</v>
      </c>
      <c r="O10" s="52" t="s">
        <v>162</v>
      </c>
      <c r="P10" s="52"/>
      <c r="Q10" s="52" t="s">
        <v>163</v>
      </c>
      <c r="R10" s="52" t="s">
        <v>164</v>
      </c>
      <c r="S10" s="52" t="s">
        <v>165</v>
      </c>
      <c r="T10" s="52" t="s">
        <v>166</v>
      </c>
      <c r="U10" s="52" t="s">
        <v>167</v>
      </c>
      <c r="V10" s="52" t="s">
        <v>168</v>
      </c>
    </row>
    <row r="11" spans="1:22" ht="12" customHeight="1" x14ac:dyDescent="0.2">
      <c r="C11" s="74"/>
      <c r="D11" s="52"/>
      <c r="E11" s="52"/>
      <c r="F11" s="52" t="s">
        <v>169</v>
      </c>
      <c r="G11" s="52"/>
      <c r="H11" s="52" t="s">
        <v>170</v>
      </c>
      <c r="I11" s="52"/>
      <c r="J11" s="52" t="s">
        <v>171</v>
      </c>
      <c r="K11" s="52"/>
      <c r="L11" s="52" t="s">
        <v>172</v>
      </c>
      <c r="M11" s="52"/>
      <c r="N11" s="52"/>
      <c r="O11" s="52" t="s">
        <v>173</v>
      </c>
      <c r="P11" s="52"/>
      <c r="Q11" s="52" t="s">
        <v>174</v>
      </c>
      <c r="R11" s="52" t="s">
        <v>175</v>
      </c>
      <c r="S11" s="52" t="s">
        <v>176</v>
      </c>
      <c r="T11" s="52" t="s">
        <v>177</v>
      </c>
      <c r="U11" s="52" t="s">
        <v>178</v>
      </c>
      <c r="V11" s="52" t="s">
        <v>179</v>
      </c>
    </row>
    <row r="12" spans="1:22" ht="12" customHeight="1" x14ac:dyDescent="0.2">
      <c r="C12" s="75"/>
      <c r="D12" s="52"/>
      <c r="E12" s="52"/>
      <c r="F12" s="52" t="s">
        <v>180</v>
      </c>
      <c r="G12" s="52"/>
      <c r="H12" s="52"/>
      <c r="I12" s="52"/>
      <c r="J12" s="52" t="s">
        <v>181</v>
      </c>
      <c r="K12" s="52"/>
      <c r="L12" s="52" t="s">
        <v>182</v>
      </c>
      <c r="M12" s="52"/>
      <c r="N12" s="52"/>
      <c r="O12" s="52" t="s">
        <v>183</v>
      </c>
      <c r="P12" s="52"/>
      <c r="Q12" s="52"/>
      <c r="R12" s="52"/>
      <c r="S12" s="52"/>
      <c r="T12" s="52" t="s">
        <v>184</v>
      </c>
      <c r="U12" s="52" t="s">
        <v>185</v>
      </c>
      <c r="V12" s="52"/>
    </row>
    <row r="13" spans="1:22" ht="12" customHeight="1" x14ac:dyDescent="0.2">
      <c r="C13" s="75"/>
      <c r="D13" s="52"/>
      <c r="E13" s="52"/>
      <c r="F13" s="52"/>
      <c r="G13" s="52"/>
      <c r="H13" s="52"/>
      <c r="I13" s="52"/>
      <c r="J13" s="52"/>
      <c r="K13" s="52"/>
      <c r="L13" s="52"/>
      <c r="M13" s="52"/>
      <c r="N13" s="52"/>
      <c r="O13" s="52"/>
      <c r="P13" s="52"/>
      <c r="Q13" s="52"/>
      <c r="R13" s="52"/>
      <c r="S13" s="52"/>
      <c r="T13" s="52"/>
      <c r="U13" s="52" t="s">
        <v>186</v>
      </c>
      <c r="V13" s="52"/>
    </row>
    <row r="14" spans="1:22" ht="12" customHeight="1" x14ac:dyDescent="0.2">
      <c r="C14" s="75"/>
      <c r="D14" s="52"/>
      <c r="E14" s="52"/>
      <c r="F14" s="52"/>
      <c r="G14" s="52"/>
      <c r="H14" s="52"/>
      <c r="I14" s="52"/>
      <c r="J14" s="52"/>
      <c r="K14" s="52"/>
      <c r="L14" s="52"/>
      <c r="M14" s="52"/>
      <c r="N14" s="52"/>
      <c r="O14" s="52"/>
      <c r="P14" s="52"/>
      <c r="Q14" s="52"/>
      <c r="R14" s="52"/>
      <c r="S14" s="52"/>
      <c r="T14" s="52"/>
      <c r="U14" s="52" t="s">
        <v>187</v>
      </c>
      <c r="V14" s="52"/>
    </row>
    <row r="15" spans="1:22" ht="12" customHeight="1" x14ac:dyDescent="0.2">
      <c r="C15" s="53"/>
    </row>
    <row r="16" spans="1:22" ht="12" customHeight="1" x14ac:dyDescent="0.2">
      <c r="C16" s="53"/>
    </row>
    <row r="17" spans="2:3" ht="12" customHeight="1" x14ac:dyDescent="0.2">
      <c r="C17" s="53"/>
    </row>
    <row r="18" spans="2:3" ht="12" customHeight="1" x14ac:dyDescent="0.2">
      <c r="C18" s="53"/>
    </row>
    <row r="19" spans="2:3" ht="12" customHeight="1" x14ac:dyDescent="0.2">
      <c r="B19" s="1" t="s">
        <v>188</v>
      </c>
      <c r="C19" s="53"/>
    </row>
    <row r="20" spans="2:3" ht="12" customHeight="1" x14ac:dyDescent="0.2">
      <c r="B20" s="1" t="s">
        <v>49</v>
      </c>
      <c r="C20" s="53"/>
    </row>
    <row r="21" spans="2:3" ht="12" customHeight="1" x14ac:dyDescent="0.2">
      <c r="C21" s="53"/>
    </row>
    <row r="22" spans="2:3" ht="12" customHeight="1" x14ac:dyDescent="0.2">
      <c r="C22" s="53"/>
    </row>
    <row r="23" spans="2:3" ht="12" customHeight="1" x14ac:dyDescent="0.2">
      <c r="C23" s="53"/>
    </row>
    <row r="24" spans="2:3" ht="12" customHeight="1" x14ac:dyDescent="0.2">
      <c r="C24" s="53"/>
    </row>
    <row r="25" spans="2:3" ht="12" customHeight="1" x14ac:dyDescent="0.2">
      <c r="C25" s="53"/>
    </row>
    <row r="26" spans="2:3" ht="12" customHeight="1" x14ac:dyDescent="0.2">
      <c r="C26" s="53"/>
    </row>
    <row r="27" spans="2:3" ht="12" customHeight="1" x14ac:dyDescent="0.2">
      <c r="C27" s="53"/>
    </row>
    <row r="28" spans="2:3" ht="12" customHeight="1" x14ac:dyDescent="0.2">
      <c r="C28" s="53"/>
    </row>
    <row r="29" spans="2:3" ht="12" customHeight="1" x14ac:dyDescent="0.2">
      <c r="C29" s="53"/>
    </row>
    <row r="30" spans="2:3" ht="12" customHeight="1" x14ac:dyDescent="0.2">
      <c r="C30" s="53"/>
    </row>
    <row r="31" spans="2:3" ht="12" customHeight="1" x14ac:dyDescent="0.2">
      <c r="C31" s="53"/>
    </row>
    <row r="32" spans="2:3" ht="12" customHeight="1" x14ac:dyDescent="0.2">
      <c r="C32" s="53"/>
    </row>
    <row r="33" spans="3:3" ht="12" customHeight="1" x14ac:dyDescent="0.2">
      <c r="C33" s="53"/>
    </row>
    <row r="34" spans="3:3" ht="12" customHeight="1" x14ac:dyDescent="0.2">
      <c r="C34" s="53"/>
    </row>
    <row r="35" spans="3:3" ht="12" customHeight="1" x14ac:dyDescent="0.2">
      <c r="C35" s="53"/>
    </row>
    <row r="36" spans="3:3" ht="12" customHeight="1" x14ac:dyDescent="0.2">
      <c r="C36" s="53"/>
    </row>
    <row r="37" spans="3:3" ht="12" customHeight="1" x14ac:dyDescent="0.2">
      <c r="C37" s="53"/>
    </row>
    <row r="38" spans="3:3" ht="12" customHeight="1" x14ac:dyDescent="0.2">
      <c r="C38" s="53"/>
    </row>
    <row r="39" spans="3:3" ht="12" customHeight="1" x14ac:dyDescent="0.2">
      <c r="C39" s="53"/>
    </row>
    <row r="40" spans="3:3" ht="12" customHeight="1" x14ac:dyDescent="0.2">
      <c r="C40" s="53"/>
    </row>
    <row r="41" spans="3:3" ht="12" customHeight="1" x14ac:dyDescent="0.2">
      <c r="C41" s="53"/>
    </row>
    <row r="42" spans="3:3" ht="12" customHeight="1" x14ac:dyDescent="0.2">
      <c r="C42" s="53"/>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BC71-6CD8-4A2D-B84C-5A67FE93F7CB}">
  <dimension ref="A2:E42"/>
  <sheetViews>
    <sheetView showGridLines="0" defaultGridColor="0" colorId="22" zoomScaleNormal="100" workbookViewId="0">
      <pane ySplit="4" topLeftCell="A5" activePane="bottomLeft" state="frozen"/>
      <selection pane="bottomLeft"/>
    </sheetView>
  </sheetViews>
  <sheetFormatPr defaultColWidth="8" defaultRowHeight="12" customHeight="1" x14ac:dyDescent="0.2"/>
  <cols>
    <col min="1" max="1" width="4.375" style="1" customWidth="1"/>
    <col min="2" max="2" width="34.125" style="1" customWidth="1"/>
    <col min="3" max="4" width="12.625" style="1" customWidth="1"/>
    <col min="5" max="5" width="8" style="1" customWidth="1"/>
    <col min="6" max="16384" width="8" style="1"/>
  </cols>
  <sheetData>
    <row r="2" spans="1:5" s="4" customFormat="1" ht="36" customHeight="1" x14ac:dyDescent="0.2">
      <c r="A2" s="1"/>
      <c r="B2" s="2"/>
    </row>
    <row r="3" spans="1:5" s="4" customFormat="1" ht="30" customHeight="1" x14ac:dyDescent="0.2">
      <c r="A3" s="1"/>
      <c r="B3" s="43" t="s">
        <v>37</v>
      </c>
      <c r="C3" s="44"/>
    </row>
    <row r="4" spans="1:5" s="45" customFormat="1" ht="22.5" x14ac:dyDescent="0.2">
      <c r="B4" s="46"/>
      <c r="C4" s="47" t="s">
        <v>12</v>
      </c>
      <c r="D4" s="47" t="s">
        <v>13</v>
      </c>
      <c r="E4" s="48"/>
    </row>
    <row r="5" spans="1:5" ht="12" customHeight="1" x14ac:dyDescent="0.2">
      <c r="B5" s="52" t="s">
        <v>14</v>
      </c>
      <c r="C5" s="54">
        <v>9200000</v>
      </c>
      <c r="D5" s="54">
        <v>9200000</v>
      </c>
      <c r="E5" s="50"/>
    </row>
    <row r="6" spans="1:5" ht="12" customHeight="1" x14ac:dyDescent="0.2">
      <c r="B6" s="1" t="s">
        <v>15</v>
      </c>
      <c r="C6" s="54">
        <v>12880000</v>
      </c>
      <c r="D6" s="54">
        <v>12880000</v>
      </c>
    </row>
    <row r="7" spans="1:5" ht="12" customHeight="1" x14ac:dyDescent="0.2">
      <c r="B7" s="1" t="s">
        <v>16</v>
      </c>
      <c r="C7" s="55">
        <v>0.4</v>
      </c>
      <c r="D7" s="55">
        <v>0.4</v>
      </c>
    </row>
    <row r="8" spans="1:5" ht="12" customHeight="1" x14ac:dyDescent="0.2">
      <c r="B8" s="1" t="s">
        <v>17</v>
      </c>
      <c r="C8" s="54">
        <v>11040000</v>
      </c>
      <c r="D8" s="54">
        <v>11040000</v>
      </c>
    </row>
    <row r="9" spans="1:5" ht="12" customHeight="1" x14ac:dyDescent="0.2">
      <c r="B9" s="1" t="s">
        <v>18</v>
      </c>
      <c r="C9" s="67">
        <v>80</v>
      </c>
      <c r="D9" s="67">
        <v>80</v>
      </c>
    </row>
    <row r="10" spans="1:5" ht="12" customHeight="1" x14ac:dyDescent="0.2">
      <c r="B10" s="52" t="s">
        <v>19</v>
      </c>
      <c r="C10" s="56">
        <v>10598400000</v>
      </c>
      <c r="D10" s="56">
        <v>10598400000</v>
      </c>
    </row>
    <row r="11" spans="1:5" ht="12" customHeight="1" x14ac:dyDescent="0.2">
      <c r="C11" s="57"/>
      <c r="D11" s="57"/>
    </row>
    <row r="12" spans="1:5" ht="12" customHeight="1" x14ac:dyDescent="0.2">
      <c r="B12" s="1" t="s">
        <v>20</v>
      </c>
      <c r="C12" s="58">
        <v>10000000</v>
      </c>
      <c r="D12" s="58">
        <v>10000000</v>
      </c>
    </row>
    <row r="13" spans="1:5" ht="12" customHeight="1" x14ac:dyDescent="0.2">
      <c r="B13" s="1" t="s">
        <v>21</v>
      </c>
      <c r="C13" s="59">
        <v>11</v>
      </c>
      <c r="D13" s="59">
        <v>7.5</v>
      </c>
    </row>
    <row r="14" spans="1:5" ht="12" customHeight="1" x14ac:dyDescent="0.2">
      <c r="B14" s="1" t="s">
        <v>22</v>
      </c>
      <c r="C14" s="60">
        <v>132</v>
      </c>
      <c r="D14" s="60">
        <v>90</v>
      </c>
    </row>
    <row r="15" spans="1:5" ht="12" customHeight="1" x14ac:dyDescent="0.2">
      <c r="B15" s="1" t="s">
        <v>23</v>
      </c>
      <c r="C15" s="58">
        <v>1320000000</v>
      </c>
      <c r="D15" s="58">
        <v>900000000</v>
      </c>
    </row>
    <row r="16" spans="1:5" ht="12" customHeight="1" x14ac:dyDescent="0.2">
      <c r="C16" s="54"/>
      <c r="D16" s="54"/>
    </row>
    <row r="17" spans="2:4" ht="12" customHeight="1" x14ac:dyDescent="0.2">
      <c r="B17" s="1" t="s">
        <v>24</v>
      </c>
      <c r="C17" s="54">
        <v>50</v>
      </c>
      <c r="D17" s="54">
        <v>50</v>
      </c>
    </row>
    <row r="18" spans="2:4" ht="12" customHeight="1" x14ac:dyDescent="0.2">
      <c r="B18" s="1" t="s">
        <v>25</v>
      </c>
      <c r="C18" s="54">
        <v>7700</v>
      </c>
      <c r="D18" s="54">
        <v>5400</v>
      </c>
    </row>
    <row r="19" spans="2:4" ht="12" customHeight="1" x14ac:dyDescent="0.2">
      <c r="B19" s="1" t="s">
        <v>26</v>
      </c>
      <c r="C19" s="61">
        <v>1200000</v>
      </c>
      <c r="D19" s="61">
        <v>1200000</v>
      </c>
    </row>
    <row r="20" spans="2:4" ht="12" customHeight="1" x14ac:dyDescent="0.2">
      <c r="B20" s="1" t="s">
        <v>27</v>
      </c>
      <c r="C20" s="58">
        <v>9240000000</v>
      </c>
      <c r="D20" s="58">
        <v>6480000000</v>
      </c>
    </row>
    <row r="21" spans="2:4" ht="12" customHeight="1" x14ac:dyDescent="0.2">
      <c r="C21" s="57"/>
      <c r="D21" s="57"/>
    </row>
    <row r="22" spans="2:4" ht="12" customHeight="1" x14ac:dyDescent="0.2">
      <c r="B22" s="1" t="s">
        <v>28</v>
      </c>
      <c r="C22" s="62">
        <v>10560000000</v>
      </c>
      <c r="D22" s="62">
        <v>7380000000</v>
      </c>
    </row>
    <row r="23" spans="2:4" ht="12" customHeight="1" x14ac:dyDescent="0.2">
      <c r="B23" s="1" t="s">
        <v>33</v>
      </c>
      <c r="C23" s="62"/>
      <c r="D23" s="63">
        <v>0.3</v>
      </c>
    </row>
    <row r="24" spans="2:4" ht="12" customHeight="1" x14ac:dyDescent="0.2">
      <c r="B24" s="1" t="s">
        <v>29</v>
      </c>
      <c r="C24" s="58"/>
      <c r="D24" s="58">
        <v>3179520000</v>
      </c>
    </row>
    <row r="25" spans="2:4" ht="12" customHeight="1" x14ac:dyDescent="0.2">
      <c r="B25" s="1" t="s">
        <v>30</v>
      </c>
      <c r="C25" s="58"/>
      <c r="D25" s="56">
        <v>7418880000</v>
      </c>
    </row>
    <row r="26" spans="2:4" ht="12" customHeight="1" x14ac:dyDescent="0.2">
      <c r="C26" s="57"/>
      <c r="D26" s="57"/>
    </row>
    <row r="27" spans="2:4" ht="12" customHeight="1" x14ac:dyDescent="0.2">
      <c r="B27" s="1" t="s">
        <v>31</v>
      </c>
      <c r="C27" s="64">
        <v>38400000</v>
      </c>
      <c r="D27" s="64">
        <v>38880000</v>
      </c>
    </row>
    <row r="28" spans="2:4" ht="12" customHeight="1" x14ac:dyDescent="0.2">
      <c r="C28" s="57"/>
      <c r="D28" s="57"/>
    </row>
    <row r="29" spans="2:4" ht="12" customHeight="1" x14ac:dyDescent="0.2">
      <c r="B29" s="1" t="s">
        <v>32</v>
      </c>
      <c r="C29" s="54">
        <v>9347</v>
      </c>
      <c r="D29" s="57"/>
    </row>
    <row r="30" spans="2:4" ht="12" customHeight="1" x14ac:dyDescent="0.2">
      <c r="B30" s="1" t="s">
        <v>34</v>
      </c>
      <c r="C30" s="54">
        <v>984.27302877928742</v>
      </c>
      <c r="D30" s="57"/>
    </row>
    <row r="31" spans="2:4" ht="12" customHeight="1" x14ac:dyDescent="0.2">
      <c r="C31" s="57"/>
      <c r="D31" s="57"/>
    </row>
    <row r="32" spans="2:4" ht="12" customHeight="1" x14ac:dyDescent="0.2">
      <c r="B32" s="1" t="s">
        <v>35</v>
      </c>
      <c r="C32" s="65">
        <v>2250000</v>
      </c>
      <c r="D32" s="57"/>
    </row>
    <row r="33" spans="2:4" ht="12" customHeight="1" x14ac:dyDescent="0.2">
      <c r="B33" s="1" t="s">
        <v>36</v>
      </c>
      <c r="C33" s="66">
        <v>0.24456521739130435</v>
      </c>
      <c r="D33" s="57"/>
    </row>
    <row r="34" spans="2:4" ht="12" customHeight="1" x14ac:dyDescent="0.2">
      <c r="C34" s="53"/>
    </row>
    <row r="35" spans="2:4" ht="12" customHeight="1" x14ac:dyDescent="0.2">
      <c r="C35" s="53"/>
    </row>
    <row r="36" spans="2:4" ht="12" customHeight="1" x14ac:dyDescent="0.2">
      <c r="B36" s="1" t="s">
        <v>11</v>
      </c>
      <c r="C36" s="53"/>
    </row>
    <row r="37" spans="2:4" ht="12" customHeight="1" x14ac:dyDescent="0.2">
      <c r="B37" s="1" t="s">
        <v>49</v>
      </c>
      <c r="C37" s="53"/>
    </row>
    <row r="38" spans="2:4" ht="12" customHeight="1" x14ac:dyDescent="0.2">
      <c r="C38" s="53"/>
    </row>
    <row r="39" spans="2:4" ht="12" customHeight="1" x14ac:dyDescent="0.2">
      <c r="C39" s="53"/>
    </row>
    <row r="40" spans="2:4" ht="12" customHeight="1" x14ac:dyDescent="0.2">
      <c r="C40" s="53"/>
    </row>
    <row r="41" spans="2:4" ht="12" customHeight="1" x14ac:dyDescent="0.2">
      <c r="C41" s="53"/>
    </row>
    <row r="42" spans="2:4" ht="12" customHeight="1" x14ac:dyDescent="0.2">
      <c r="C42" s="53"/>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F45B-EEE4-4AD4-8125-151E6B448338}">
  <dimension ref="B2:H43"/>
  <sheetViews>
    <sheetView showGridLines="0" zoomScaleNormal="100" workbookViewId="0">
      <selection activeCell="F30" sqref="F30"/>
    </sheetView>
  </sheetViews>
  <sheetFormatPr defaultColWidth="7.625" defaultRowHeight="15" x14ac:dyDescent="0.25"/>
  <cols>
    <col min="1" max="1" width="1.75" style="82" customWidth="1"/>
    <col min="2" max="3" width="10.5" style="82" customWidth="1"/>
    <col min="4" max="4" width="12.25" style="82" customWidth="1"/>
    <col min="5" max="5" width="14" style="82" customWidth="1"/>
    <col min="6" max="7" width="12.25" style="82" customWidth="1"/>
    <col min="8" max="8" width="61.25" style="82" customWidth="1"/>
    <col min="9" max="16384" width="7.625" style="82"/>
  </cols>
  <sheetData>
    <row r="2" spans="2:8" ht="15.75" customHeight="1" x14ac:dyDescent="0.25">
      <c r="B2" s="95" t="s">
        <v>323</v>
      </c>
    </row>
    <row r="3" spans="2:8" ht="15" customHeight="1" x14ac:dyDescent="0.25">
      <c r="B3" s="94" t="s">
        <v>322</v>
      </c>
    </row>
    <row r="5" spans="2:8" ht="15" customHeight="1" x14ac:dyDescent="0.25">
      <c r="B5" s="93" t="s">
        <v>321</v>
      </c>
    </row>
    <row r="6" spans="2:8" ht="15" customHeight="1" x14ac:dyDescent="0.25">
      <c r="B6" s="92" t="s">
        <v>216</v>
      </c>
      <c r="C6" s="92" t="s">
        <v>320</v>
      </c>
      <c r="D6" s="92" t="s">
        <v>319</v>
      </c>
      <c r="E6" s="92" t="s">
        <v>318</v>
      </c>
      <c r="F6" s="92" t="s">
        <v>317</v>
      </c>
      <c r="G6" s="92" t="s">
        <v>316</v>
      </c>
      <c r="H6" s="92" t="s">
        <v>315</v>
      </c>
    </row>
    <row r="7" spans="2:8" ht="15" customHeight="1" x14ac:dyDescent="0.25">
      <c r="B7" s="91" t="s">
        <v>314</v>
      </c>
      <c r="C7" s="90" t="s">
        <v>313</v>
      </c>
      <c r="D7" s="90" t="s">
        <v>222</v>
      </c>
      <c r="E7" s="114">
        <v>267</v>
      </c>
      <c r="F7" s="108">
        <v>1516</v>
      </c>
      <c r="G7" s="90"/>
      <c r="H7" s="87" t="s">
        <v>312</v>
      </c>
    </row>
    <row r="8" spans="2:8" ht="15" customHeight="1" x14ac:dyDescent="0.25">
      <c r="B8" s="91" t="s">
        <v>311</v>
      </c>
      <c r="C8" s="90" t="s">
        <v>310</v>
      </c>
      <c r="D8" s="114">
        <v>1221</v>
      </c>
      <c r="E8" s="114">
        <v>321</v>
      </c>
      <c r="F8" s="108">
        <v>1542</v>
      </c>
      <c r="G8" s="107">
        <f>F8-F7</f>
        <v>26</v>
      </c>
      <c r="H8" s="87" t="s">
        <v>309</v>
      </c>
    </row>
    <row r="9" spans="2:8" ht="15" customHeight="1" x14ac:dyDescent="0.25">
      <c r="B9" s="91" t="s">
        <v>308</v>
      </c>
      <c r="C9" s="90" t="s">
        <v>307</v>
      </c>
      <c r="D9" s="114">
        <v>1216</v>
      </c>
      <c r="E9" s="114">
        <v>364</v>
      </c>
      <c r="F9" s="108">
        <v>1580</v>
      </c>
      <c r="G9" s="107">
        <f>F9-F8</f>
        <v>38</v>
      </c>
      <c r="H9" s="87" t="s">
        <v>306</v>
      </c>
    </row>
    <row r="10" spans="2:8" ht="15" customHeight="1" x14ac:dyDescent="0.25">
      <c r="B10" s="113" t="s">
        <v>305</v>
      </c>
      <c r="C10" s="112" t="s">
        <v>304</v>
      </c>
      <c r="D10" s="115">
        <v>1189</v>
      </c>
      <c r="E10" s="115">
        <v>375</v>
      </c>
      <c r="F10" s="111">
        <v>1564</v>
      </c>
      <c r="G10" s="110">
        <f>F10-F9</f>
        <v>-16</v>
      </c>
      <c r="H10" s="109" t="s">
        <v>303</v>
      </c>
    </row>
    <row r="11" spans="2:8" ht="15" customHeight="1" x14ac:dyDescent="0.25">
      <c r="B11" s="91" t="s">
        <v>302</v>
      </c>
      <c r="C11" s="90" t="s">
        <v>301</v>
      </c>
      <c r="D11" s="114">
        <v>1164</v>
      </c>
      <c r="E11" s="114">
        <v>389</v>
      </c>
      <c r="F11" s="108">
        <v>1553</v>
      </c>
      <c r="G11" s="107">
        <f>F11-F10</f>
        <v>-11</v>
      </c>
      <c r="H11" s="87" t="s">
        <v>300</v>
      </c>
    </row>
    <row r="12" spans="2:8" ht="15" customHeight="1" x14ac:dyDescent="0.25">
      <c r="B12" s="113" t="s">
        <v>299</v>
      </c>
      <c r="C12" s="112" t="s">
        <v>298</v>
      </c>
      <c r="D12" s="112" t="s">
        <v>222</v>
      </c>
      <c r="E12" s="112" t="s">
        <v>222</v>
      </c>
      <c r="F12" s="111">
        <v>1542</v>
      </c>
      <c r="G12" s="110">
        <f>F12-F11</f>
        <v>-11</v>
      </c>
      <c r="H12" s="109" t="s">
        <v>297</v>
      </c>
    </row>
    <row r="13" spans="2:8" ht="15" customHeight="1" x14ac:dyDescent="0.25">
      <c r="B13" s="91" t="s">
        <v>296</v>
      </c>
      <c r="C13" s="90" t="s">
        <v>295</v>
      </c>
      <c r="D13" s="114">
        <v>1120</v>
      </c>
      <c r="E13" s="114">
        <v>390</v>
      </c>
      <c r="F13" s="108">
        <v>1510</v>
      </c>
      <c r="G13" s="107">
        <f>F13-F12</f>
        <v>-32</v>
      </c>
      <c r="H13" s="87" t="s">
        <v>294</v>
      </c>
    </row>
    <row r="14" spans="2:8" ht="15" customHeight="1" x14ac:dyDescent="0.25">
      <c r="B14" s="91" t="s">
        <v>293</v>
      </c>
      <c r="C14" s="90" t="s">
        <v>292</v>
      </c>
      <c r="D14" s="114">
        <v>1090</v>
      </c>
      <c r="E14" s="114">
        <v>372</v>
      </c>
      <c r="F14" s="108">
        <v>1462</v>
      </c>
      <c r="G14" s="107">
        <f>F14-F13</f>
        <v>-48</v>
      </c>
      <c r="H14" s="87" t="s">
        <v>291</v>
      </c>
    </row>
    <row r="15" spans="2:8" ht="15" customHeight="1" x14ac:dyDescent="0.25">
      <c r="B15" s="91" t="s">
        <v>290</v>
      </c>
      <c r="C15" s="90" t="s">
        <v>289</v>
      </c>
      <c r="D15" s="114">
        <v>1055</v>
      </c>
      <c r="E15" s="114">
        <v>351</v>
      </c>
      <c r="F15" s="108">
        <v>1406</v>
      </c>
      <c r="G15" s="107">
        <f>F15-F14</f>
        <v>-56</v>
      </c>
      <c r="H15" s="87" t="s">
        <v>288</v>
      </c>
    </row>
    <row r="16" spans="2:8" ht="15" customHeight="1" x14ac:dyDescent="0.25">
      <c r="B16" s="91" t="s">
        <v>287</v>
      </c>
      <c r="C16" s="90" t="s">
        <v>286</v>
      </c>
      <c r="D16" s="90" t="s">
        <v>222</v>
      </c>
      <c r="E16" s="90" t="s">
        <v>222</v>
      </c>
      <c r="F16" s="108">
        <v>1346</v>
      </c>
      <c r="G16" s="107">
        <f>F16-F15</f>
        <v>-60</v>
      </c>
      <c r="H16" s="87" t="s">
        <v>285</v>
      </c>
    </row>
    <row r="17" spans="2:8" ht="15" customHeight="1" x14ac:dyDescent="0.25">
      <c r="B17" s="91" t="s">
        <v>284</v>
      </c>
      <c r="C17" s="90" t="s">
        <v>283</v>
      </c>
      <c r="D17" s="90" t="s">
        <v>222</v>
      </c>
      <c r="E17" s="90" t="s">
        <v>222</v>
      </c>
      <c r="F17" s="108">
        <v>1285</v>
      </c>
      <c r="G17" s="107">
        <f>F17-F16</f>
        <v>-61</v>
      </c>
      <c r="H17" s="87" t="s">
        <v>282</v>
      </c>
    </row>
    <row r="18" spans="2:8" ht="15" customHeight="1" x14ac:dyDescent="0.25">
      <c r="B18" s="91" t="s">
        <v>281</v>
      </c>
      <c r="C18" s="90" t="s">
        <v>280</v>
      </c>
      <c r="D18" s="90" t="s">
        <v>222</v>
      </c>
      <c r="E18" s="90" t="s">
        <v>222</v>
      </c>
      <c r="F18" s="108">
        <v>1228</v>
      </c>
      <c r="G18" s="107">
        <f>F18-F17</f>
        <v>-57</v>
      </c>
      <c r="H18" s="87" t="s">
        <v>279</v>
      </c>
    </row>
    <row r="19" spans="2:8" ht="15" customHeight="1" x14ac:dyDescent="0.25">
      <c r="B19" s="91" t="s">
        <v>278</v>
      </c>
      <c r="C19" s="90" t="s">
        <v>277</v>
      </c>
      <c r="D19" s="90" t="s">
        <v>222</v>
      </c>
      <c r="E19" s="90" t="s">
        <v>222</v>
      </c>
      <c r="F19" s="108">
        <v>1177</v>
      </c>
      <c r="G19" s="107">
        <f>F19-F18</f>
        <v>-51</v>
      </c>
      <c r="H19" s="87" t="s">
        <v>276</v>
      </c>
    </row>
    <row r="20" spans="2:8" ht="15" customHeight="1" x14ac:dyDescent="0.25">
      <c r="B20" s="91" t="s">
        <v>275</v>
      </c>
      <c r="C20" s="90" t="s">
        <v>274</v>
      </c>
      <c r="D20" s="114">
        <v>846</v>
      </c>
      <c r="E20" s="114">
        <v>276</v>
      </c>
      <c r="F20" s="108">
        <v>1122</v>
      </c>
      <c r="G20" s="107">
        <f>F20-F19</f>
        <v>-55</v>
      </c>
      <c r="H20" s="87" t="s">
        <v>273</v>
      </c>
    </row>
    <row r="21" spans="2:8" ht="15" customHeight="1" x14ac:dyDescent="0.25">
      <c r="B21" s="91" t="s">
        <v>272</v>
      </c>
      <c r="C21" s="90" t="s">
        <v>271</v>
      </c>
      <c r="D21" s="114">
        <v>801</v>
      </c>
      <c r="E21" s="114">
        <v>262</v>
      </c>
      <c r="F21" s="108">
        <v>1063</v>
      </c>
      <c r="G21" s="107">
        <f>F21-F20</f>
        <v>-59</v>
      </c>
      <c r="H21" s="87" t="s">
        <v>270</v>
      </c>
    </row>
    <row r="22" spans="2:8" ht="15" customHeight="1" x14ac:dyDescent="0.25">
      <c r="B22" s="113" t="s">
        <v>269</v>
      </c>
      <c r="C22" s="112" t="s">
        <v>228</v>
      </c>
      <c r="D22" s="112" t="s">
        <v>222</v>
      </c>
      <c r="E22" s="112" t="s">
        <v>222</v>
      </c>
      <c r="F22" s="111">
        <v>1004</v>
      </c>
      <c r="G22" s="110">
        <f>F22-F21</f>
        <v>-59</v>
      </c>
      <c r="H22" s="109" t="s">
        <v>268</v>
      </c>
    </row>
    <row r="23" spans="2:8" ht="15" customHeight="1" x14ac:dyDescent="0.25">
      <c r="B23" s="91" t="s">
        <v>267</v>
      </c>
      <c r="C23" s="90" t="s">
        <v>266</v>
      </c>
      <c r="D23" s="90" t="s">
        <v>222</v>
      </c>
      <c r="E23" s="90" t="s">
        <v>222</v>
      </c>
      <c r="F23" s="108">
        <v>978</v>
      </c>
      <c r="G23" s="107">
        <f>F23-F22</f>
        <v>-26</v>
      </c>
      <c r="H23" s="87" t="s">
        <v>265</v>
      </c>
    </row>
    <row r="24" spans="2:8" ht="15" customHeight="1" x14ac:dyDescent="0.25">
      <c r="B24" s="91" t="s">
        <v>264</v>
      </c>
      <c r="C24" s="90" t="s">
        <v>263</v>
      </c>
      <c r="D24" s="90" t="s">
        <v>222</v>
      </c>
      <c r="E24" s="90" t="s">
        <v>222</v>
      </c>
      <c r="F24" s="108">
        <v>955</v>
      </c>
      <c r="G24" s="107">
        <f>F24-F23</f>
        <v>-23</v>
      </c>
      <c r="H24" s="87" t="s">
        <v>262</v>
      </c>
    </row>
    <row r="25" spans="2:8" ht="15" customHeight="1" x14ac:dyDescent="0.25">
      <c r="B25" s="113" t="s">
        <v>261</v>
      </c>
      <c r="C25" s="112" t="s">
        <v>260</v>
      </c>
      <c r="D25" s="112" t="s">
        <v>222</v>
      </c>
      <c r="E25" s="112" t="s">
        <v>222</v>
      </c>
      <c r="F25" s="111">
        <v>912</v>
      </c>
      <c r="G25" s="110">
        <f>F25-F24</f>
        <v>-43</v>
      </c>
      <c r="H25" s="109" t="s">
        <v>259</v>
      </c>
    </row>
    <row r="26" spans="2:8" ht="15" customHeight="1" x14ac:dyDescent="0.25">
      <c r="B26" s="91" t="s">
        <v>258</v>
      </c>
      <c r="C26" s="90" t="s">
        <v>226</v>
      </c>
      <c r="D26" s="90" t="s">
        <v>222</v>
      </c>
      <c r="E26" s="90" t="s">
        <v>222</v>
      </c>
      <c r="F26" s="108">
        <v>883</v>
      </c>
      <c r="G26" s="107">
        <f>F26-F25</f>
        <v>-29</v>
      </c>
      <c r="H26" s="87" t="s">
        <v>257</v>
      </c>
    </row>
    <row r="27" spans="2:8" ht="15" customHeight="1" x14ac:dyDescent="0.25">
      <c r="B27" s="91" t="s">
        <v>256</v>
      </c>
      <c r="C27" s="90" t="s">
        <v>255</v>
      </c>
      <c r="D27" s="90" t="s">
        <v>222</v>
      </c>
      <c r="E27" s="90" t="s">
        <v>222</v>
      </c>
      <c r="F27" s="108">
        <v>853</v>
      </c>
      <c r="G27" s="107">
        <f>F27-F26</f>
        <v>-30</v>
      </c>
      <c r="H27" s="87" t="s">
        <v>254</v>
      </c>
    </row>
    <row r="28" spans="2:8" ht="15" customHeight="1" x14ac:dyDescent="0.25">
      <c r="B28" s="91" t="s">
        <v>211</v>
      </c>
      <c r="C28" s="90" t="s">
        <v>210</v>
      </c>
      <c r="D28" s="90" t="s">
        <v>222</v>
      </c>
      <c r="E28" s="90" t="s">
        <v>222</v>
      </c>
      <c r="F28" s="108">
        <v>819</v>
      </c>
      <c r="G28" s="107">
        <f>F28-F27</f>
        <v>-34</v>
      </c>
      <c r="H28" s="87" t="s">
        <v>253</v>
      </c>
    </row>
    <row r="29" spans="2:8" ht="15" customHeight="1" x14ac:dyDescent="0.25">
      <c r="B29" s="113" t="s">
        <v>252</v>
      </c>
      <c r="C29" s="112" t="s">
        <v>251</v>
      </c>
      <c r="D29" s="112" t="s">
        <v>222</v>
      </c>
      <c r="E29" s="112" t="s">
        <v>222</v>
      </c>
      <c r="F29" s="111">
        <v>783</v>
      </c>
      <c r="G29" s="110">
        <f>F29-F28</f>
        <v>-36</v>
      </c>
      <c r="H29" s="109" t="s">
        <v>250</v>
      </c>
    </row>
    <row r="30" spans="2:8" ht="15" customHeight="1" x14ac:dyDescent="0.25">
      <c r="B30" s="91" t="s">
        <v>249</v>
      </c>
      <c r="C30" s="90" t="s">
        <v>223</v>
      </c>
      <c r="D30" s="90" t="s">
        <v>222</v>
      </c>
      <c r="E30" s="90" t="s">
        <v>222</v>
      </c>
      <c r="F30" s="108">
        <v>739</v>
      </c>
      <c r="G30" s="107">
        <f>F30-F29</f>
        <v>-44</v>
      </c>
      <c r="H30" s="87" t="s">
        <v>248</v>
      </c>
    </row>
    <row r="31" spans="2:8" ht="15" customHeight="1" x14ac:dyDescent="0.25">
      <c r="B31" s="91" t="s">
        <v>208</v>
      </c>
      <c r="C31" s="90" t="s">
        <v>207</v>
      </c>
      <c r="D31" s="90" t="s">
        <v>222</v>
      </c>
      <c r="E31" s="90" t="s">
        <v>222</v>
      </c>
      <c r="F31" s="108">
        <v>681</v>
      </c>
      <c r="G31" s="107">
        <f>F31-F30</f>
        <v>-58</v>
      </c>
      <c r="H31" s="87" t="s">
        <v>247</v>
      </c>
    </row>
    <row r="32" spans="2:8" ht="15" customHeight="1" x14ac:dyDescent="0.25">
      <c r="B32" s="91" t="s">
        <v>205</v>
      </c>
      <c r="C32" s="90" t="s">
        <v>204</v>
      </c>
      <c r="D32" s="90" t="s">
        <v>222</v>
      </c>
      <c r="E32" s="90" t="s">
        <v>222</v>
      </c>
      <c r="F32" s="108">
        <v>622</v>
      </c>
      <c r="G32" s="107">
        <f>F32-F31</f>
        <v>-59</v>
      </c>
      <c r="H32" s="87" t="s">
        <v>246</v>
      </c>
    </row>
    <row r="34" spans="2:8" ht="15" customHeight="1" x14ac:dyDescent="0.25">
      <c r="B34" s="86" t="s">
        <v>245</v>
      </c>
      <c r="F34" s="106">
        <f>F32-F7</f>
        <v>-894</v>
      </c>
    </row>
    <row r="35" spans="2:8" ht="15" customHeight="1" x14ac:dyDescent="0.25">
      <c r="B35" s="86" t="s">
        <v>244</v>
      </c>
      <c r="F35" s="105">
        <f>(F32/F7)-1</f>
        <v>-0.58970976253298146</v>
      </c>
    </row>
    <row r="38" spans="2:8" ht="15" customHeight="1" x14ac:dyDescent="0.25">
      <c r="B38" s="84" t="s">
        <v>199</v>
      </c>
    </row>
    <row r="39" spans="2:8" ht="15" customHeight="1" x14ac:dyDescent="0.25">
      <c r="B39" s="83" t="s">
        <v>243</v>
      </c>
      <c r="C39" s="83"/>
      <c r="D39" s="83"/>
      <c r="E39" s="83"/>
      <c r="F39" s="83"/>
      <c r="G39" s="83"/>
      <c r="H39" s="83"/>
    </row>
    <row r="40" spans="2:8" ht="15" customHeight="1" x14ac:dyDescent="0.25">
      <c r="B40" s="83" t="s">
        <v>242</v>
      </c>
      <c r="C40" s="83"/>
      <c r="D40" s="83"/>
      <c r="E40" s="83"/>
      <c r="F40" s="83"/>
      <c r="G40" s="83"/>
      <c r="H40" s="83"/>
    </row>
    <row r="41" spans="2:8" ht="15" customHeight="1" x14ac:dyDescent="0.25">
      <c r="B41" s="83" t="s">
        <v>241</v>
      </c>
      <c r="C41" s="83"/>
      <c r="D41" s="83"/>
      <c r="E41" s="83"/>
      <c r="F41" s="83"/>
      <c r="G41" s="83"/>
      <c r="H41" s="83"/>
    </row>
    <row r="42" spans="2:8" ht="15" customHeight="1" x14ac:dyDescent="0.25">
      <c r="B42" s="83" t="s">
        <v>240</v>
      </c>
      <c r="C42" s="83"/>
      <c r="D42" s="83"/>
      <c r="E42" s="83"/>
      <c r="F42" s="83"/>
      <c r="G42" s="83"/>
      <c r="H42" s="83"/>
    </row>
    <row r="43" spans="2:8" ht="15" customHeight="1" x14ac:dyDescent="0.25">
      <c r="B43" s="83" t="s">
        <v>239</v>
      </c>
      <c r="C43" s="83"/>
      <c r="D43" s="83"/>
      <c r="E43" s="83"/>
      <c r="F43" s="83"/>
      <c r="G43" s="83"/>
      <c r="H43" s="83"/>
    </row>
  </sheetData>
  <mergeCells count="5">
    <mergeCell ref="B39:H39"/>
    <mergeCell ref="B40:H40"/>
    <mergeCell ref="B41:H41"/>
    <mergeCell ref="B42:H42"/>
    <mergeCell ref="B43:H4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E5DB-7B16-46BC-B195-686C3C0444CC}">
  <dimension ref="B2:G30"/>
  <sheetViews>
    <sheetView showGridLines="0" zoomScaleNormal="100" workbookViewId="0"/>
  </sheetViews>
  <sheetFormatPr defaultColWidth="7.625" defaultRowHeight="15" x14ac:dyDescent="0.25"/>
  <cols>
    <col min="1" max="1" width="1.75" style="82" customWidth="1"/>
    <col min="2" max="2" width="21" style="82" customWidth="1"/>
    <col min="3" max="5" width="12.25" style="82" customWidth="1"/>
    <col min="6" max="6" width="33.25" style="82" customWidth="1"/>
    <col min="7" max="7" width="54.25" style="82" customWidth="1"/>
    <col min="8" max="16384" width="7.625" style="82"/>
  </cols>
  <sheetData>
    <row r="2" spans="2:7" ht="15.75" customHeight="1" x14ac:dyDescent="0.25">
      <c r="B2" s="95" t="s">
        <v>363</v>
      </c>
    </row>
    <row r="3" spans="2:7" ht="15" customHeight="1" x14ac:dyDescent="0.25">
      <c r="B3" s="94" t="s">
        <v>362</v>
      </c>
    </row>
    <row r="5" spans="2:7" ht="15" customHeight="1" x14ac:dyDescent="0.25">
      <c r="B5" s="93" t="s">
        <v>361</v>
      </c>
    </row>
    <row r="6" spans="2:7" ht="15" customHeight="1" x14ac:dyDescent="0.25">
      <c r="B6" s="92" t="s">
        <v>230</v>
      </c>
      <c r="C6" s="92" t="s">
        <v>215</v>
      </c>
      <c r="D6" s="92" t="s">
        <v>360</v>
      </c>
      <c r="E6" s="92" t="s">
        <v>359</v>
      </c>
      <c r="F6" s="92" t="s">
        <v>212</v>
      </c>
      <c r="G6" s="92" t="s">
        <v>358</v>
      </c>
    </row>
    <row r="7" spans="2:7" ht="15" customHeight="1" x14ac:dyDescent="0.25">
      <c r="B7" s="91" t="s">
        <v>357</v>
      </c>
      <c r="C7" s="90" t="s">
        <v>356</v>
      </c>
      <c r="D7" s="117">
        <v>385000</v>
      </c>
      <c r="E7" s="90" t="s">
        <v>222</v>
      </c>
      <c r="F7" s="87" t="s">
        <v>355</v>
      </c>
      <c r="G7" s="87" t="s">
        <v>354</v>
      </c>
    </row>
    <row r="8" spans="2:7" ht="15" customHeight="1" x14ac:dyDescent="0.25">
      <c r="B8" s="91" t="s">
        <v>353</v>
      </c>
      <c r="C8" s="90" t="s">
        <v>352</v>
      </c>
      <c r="D8" s="117">
        <v>586000</v>
      </c>
      <c r="E8" s="90" t="s">
        <v>222</v>
      </c>
      <c r="F8" s="87" t="s">
        <v>351</v>
      </c>
      <c r="G8" s="87"/>
    </row>
    <row r="9" spans="2:7" ht="15" customHeight="1" x14ac:dyDescent="0.25">
      <c r="B9" s="91" t="s">
        <v>350</v>
      </c>
      <c r="C9" s="90" t="s">
        <v>307</v>
      </c>
      <c r="D9" s="117">
        <v>603000</v>
      </c>
      <c r="E9" s="90" t="s">
        <v>222</v>
      </c>
      <c r="F9" s="87" t="s">
        <v>349</v>
      </c>
      <c r="G9" s="87" t="s">
        <v>348</v>
      </c>
    </row>
    <row r="10" spans="2:7" ht="15" customHeight="1" x14ac:dyDescent="0.25">
      <c r="B10" s="91" t="s">
        <v>347</v>
      </c>
      <c r="C10" s="90" t="s">
        <v>313</v>
      </c>
      <c r="D10" s="117">
        <v>590000</v>
      </c>
      <c r="E10" s="116">
        <v>93.06</v>
      </c>
      <c r="F10" s="87" t="s">
        <v>346</v>
      </c>
      <c r="G10" s="87" t="s">
        <v>345</v>
      </c>
    </row>
    <row r="11" spans="2:7" ht="15" customHeight="1" x14ac:dyDescent="0.25">
      <c r="B11" s="120" t="s">
        <v>344</v>
      </c>
      <c r="C11" s="119" t="s">
        <v>301</v>
      </c>
      <c r="D11" s="119" t="s">
        <v>222</v>
      </c>
      <c r="E11" s="119" t="s">
        <v>222</v>
      </c>
      <c r="F11" s="118" t="s">
        <v>339</v>
      </c>
      <c r="G11" s="118" t="s">
        <v>343</v>
      </c>
    </row>
    <row r="12" spans="2:7" ht="15" customHeight="1" x14ac:dyDescent="0.25">
      <c r="B12" s="120" t="s">
        <v>342</v>
      </c>
      <c r="C12" s="119" t="s">
        <v>289</v>
      </c>
      <c r="D12" s="119" t="s">
        <v>222</v>
      </c>
      <c r="E12" s="119" t="s">
        <v>222</v>
      </c>
      <c r="F12" s="118" t="s">
        <v>339</v>
      </c>
      <c r="G12" s="118" t="s">
        <v>341</v>
      </c>
    </row>
    <row r="13" spans="2:7" ht="15" customHeight="1" x14ac:dyDescent="0.25">
      <c r="B13" s="120" t="s">
        <v>229</v>
      </c>
      <c r="C13" s="119" t="s">
        <v>277</v>
      </c>
      <c r="D13" s="119" t="s">
        <v>222</v>
      </c>
      <c r="E13" s="119" t="s">
        <v>222</v>
      </c>
      <c r="F13" s="118" t="s">
        <v>339</v>
      </c>
      <c r="G13" s="118" t="s">
        <v>340</v>
      </c>
    </row>
    <row r="14" spans="2:7" ht="15" customHeight="1" x14ac:dyDescent="0.25">
      <c r="B14" s="120" t="s">
        <v>227</v>
      </c>
      <c r="C14" s="119" t="s">
        <v>266</v>
      </c>
      <c r="D14" s="119" t="s">
        <v>222</v>
      </c>
      <c r="E14" s="119" t="s">
        <v>222</v>
      </c>
      <c r="F14" s="118" t="s">
        <v>339</v>
      </c>
      <c r="G14" s="118" t="s">
        <v>338</v>
      </c>
    </row>
    <row r="15" spans="2:7" ht="15" customHeight="1" x14ac:dyDescent="0.25">
      <c r="B15" s="91" t="s">
        <v>224</v>
      </c>
      <c r="C15" s="90" t="s">
        <v>255</v>
      </c>
      <c r="D15" s="117">
        <v>189000</v>
      </c>
      <c r="E15" s="116">
        <v>115</v>
      </c>
      <c r="F15" s="87" t="s">
        <v>337</v>
      </c>
      <c r="G15" s="87" t="s">
        <v>336</v>
      </c>
    </row>
    <row r="16" spans="2:7" ht="15" customHeight="1" x14ac:dyDescent="0.25">
      <c r="B16" s="91" t="s">
        <v>364</v>
      </c>
      <c r="C16" s="121">
        <v>46022</v>
      </c>
      <c r="D16" s="117">
        <v>143000</v>
      </c>
      <c r="E16" s="116" t="s">
        <v>222</v>
      </c>
      <c r="F16" s="87" t="s">
        <v>365</v>
      </c>
      <c r="G16" s="87" t="s">
        <v>366</v>
      </c>
    </row>
    <row r="17" spans="2:7" ht="15" customHeight="1" x14ac:dyDescent="0.25">
      <c r="B17" s="91" t="s">
        <v>335</v>
      </c>
      <c r="C17" s="90" t="s">
        <v>207</v>
      </c>
      <c r="D17" s="117">
        <v>130000</v>
      </c>
      <c r="E17" s="116">
        <v>113</v>
      </c>
      <c r="F17" s="87" t="s">
        <v>334</v>
      </c>
      <c r="G17" s="87" t="s">
        <v>333</v>
      </c>
    </row>
    <row r="19" spans="2:7" ht="15" customHeight="1" x14ac:dyDescent="0.25">
      <c r="B19" s="86" t="s">
        <v>332</v>
      </c>
      <c r="D19" s="106">
        <f>D10-D15</f>
        <v>401000</v>
      </c>
    </row>
    <row r="20" spans="2:7" ht="15" customHeight="1" x14ac:dyDescent="0.25">
      <c r="B20" s="86" t="s">
        <v>331</v>
      </c>
      <c r="D20" s="105">
        <f>(D15/D10)-1</f>
        <v>-0.6796610169491526</v>
      </c>
    </row>
    <row r="21" spans="2:7" ht="15" customHeight="1" x14ac:dyDescent="0.25">
      <c r="B21" s="86" t="s">
        <v>330</v>
      </c>
      <c r="D21" s="105">
        <f>(D17/D15)-1</f>
        <v>-0.31216931216931221</v>
      </c>
    </row>
    <row r="24" spans="2:7" ht="15" customHeight="1" x14ac:dyDescent="0.25">
      <c r="B24" s="84" t="s">
        <v>199</v>
      </c>
    </row>
    <row r="25" spans="2:7" ht="15" customHeight="1" x14ac:dyDescent="0.25">
      <c r="B25" s="83" t="s">
        <v>329</v>
      </c>
      <c r="C25" s="83"/>
      <c r="D25" s="83"/>
      <c r="E25" s="83"/>
      <c r="F25" s="83"/>
      <c r="G25" s="83"/>
    </row>
    <row r="26" spans="2:7" ht="15" customHeight="1" x14ac:dyDescent="0.25">
      <c r="B26" s="83" t="s">
        <v>328</v>
      </c>
      <c r="C26" s="83"/>
      <c r="D26" s="83"/>
      <c r="E26" s="83"/>
      <c r="F26" s="83"/>
      <c r="G26" s="83"/>
    </row>
    <row r="27" spans="2:7" ht="15" customHeight="1" x14ac:dyDescent="0.25">
      <c r="B27" s="83" t="s">
        <v>327</v>
      </c>
      <c r="C27" s="83"/>
      <c r="D27" s="83"/>
      <c r="E27" s="83"/>
      <c r="F27" s="83"/>
      <c r="G27" s="83"/>
    </row>
    <row r="28" spans="2:7" ht="15" customHeight="1" x14ac:dyDescent="0.25">
      <c r="B28" s="83" t="s">
        <v>326</v>
      </c>
      <c r="C28" s="83"/>
      <c r="D28" s="83"/>
      <c r="E28" s="83"/>
      <c r="F28" s="83"/>
      <c r="G28" s="83"/>
    </row>
    <row r="29" spans="2:7" ht="15" customHeight="1" x14ac:dyDescent="0.25">
      <c r="B29" s="83" t="s">
        <v>325</v>
      </c>
      <c r="C29" s="83"/>
      <c r="D29" s="83"/>
      <c r="E29" s="83"/>
      <c r="F29" s="83"/>
      <c r="G29" s="83"/>
    </row>
    <row r="30" spans="2:7" ht="15" customHeight="1" x14ac:dyDescent="0.25">
      <c r="B30" s="83" t="s">
        <v>324</v>
      </c>
      <c r="C30" s="83"/>
      <c r="D30" s="83"/>
      <c r="E30" s="83"/>
      <c r="F30" s="83"/>
      <c r="G30" s="83"/>
    </row>
  </sheetData>
  <mergeCells count="6">
    <mergeCell ref="B30:G30"/>
    <mergeCell ref="B25:G25"/>
    <mergeCell ref="B26:G26"/>
    <mergeCell ref="B27:G27"/>
    <mergeCell ref="B28:G28"/>
    <mergeCell ref="B29:G2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8687-127E-4DC9-A837-1D1A558CE068}">
  <dimension ref="B1:I11"/>
  <sheetViews>
    <sheetView tabSelected="1" workbookViewId="0">
      <selection activeCell="I13" sqref="I13"/>
    </sheetView>
  </sheetViews>
  <sheetFormatPr defaultRowHeight="14.25" x14ac:dyDescent="0.2"/>
  <cols>
    <col min="2" max="2" width="62.125" customWidth="1"/>
    <col min="3" max="8" width="10.875" customWidth="1"/>
  </cols>
  <sheetData>
    <row r="1" spans="2:9" ht="18" x14ac:dyDescent="0.25">
      <c r="B1" s="96" t="s">
        <v>234</v>
      </c>
    </row>
    <row r="2" spans="2:9" x14ac:dyDescent="0.2">
      <c r="B2" s="97" t="s">
        <v>235</v>
      </c>
    </row>
    <row r="4" spans="2:9" ht="15" x14ac:dyDescent="0.25">
      <c r="B4" s="98" t="s">
        <v>236</v>
      </c>
      <c r="C4" s="99">
        <v>2020</v>
      </c>
      <c r="D4" s="99">
        <v>2021</v>
      </c>
      <c r="E4" s="99">
        <v>2022</v>
      </c>
      <c r="F4" s="99">
        <v>2023</v>
      </c>
      <c r="G4" s="99">
        <v>2024</v>
      </c>
      <c r="H4" s="99" t="s">
        <v>367</v>
      </c>
      <c r="I4" s="99" t="s">
        <v>368</v>
      </c>
    </row>
    <row r="5" spans="2:9" x14ac:dyDescent="0.2">
      <c r="B5" s="100" t="s">
        <v>38</v>
      </c>
      <c r="C5" s="101">
        <f>'Satellite subscribers'!AA6/1000000</f>
        <v>1.5640000000000001</v>
      </c>
      <c r="D5" s="101">
        <f>'Satellite subscribers'!AE6/1000000</f>
        <v>1.462</v>
      </c>
      <c r="E5" s="101">
        <f>'Satellite subscribers'!AI6/1000000</f>
        <v>1.228</v>
      </c>
      <c r="F5" s="101">
        <f>'Satellite subscribers'!AM6/1000000</f>
        <v>1.004</v>
      </c>
      <c r="G5" s="101">
        <f>'Satellite subscribers'!AQ6/1000000</f>
        <v>0.88300000000000001</v>
      </c>
      <c r="H5" s="101">
        <f>'EchoStar (Hughes)'!F30/1000</f>
        <v>0.73899999999999999</v>
      </c>
      <c r="I5" s="101">
        <f>'EchoStar (Hughes)'!F32/1000</f>
        <v>0.622</v>
      </c>
    </row>
    <row r="6" spans="2:9" x14ac:dyDescent="0.2">
      <c r="B6" t="s">
        <v>39</v>
      </c>
      <c r="C6" s="101">
        <f>'Satellite subscribers'!AA7/1000000</f>
        <v>0.59599999999999997</v>
      </c>
      <c r="D6" s="101">
        <f>'Satellite subscribers'!AE7/1000000</f>
        <v>0.55542820347714095</v>
      </c>
      <c r="E6" s="101">
        <f>'Satellite subscribers'!AI7/1000000</f>
        <v>0.49486034650811894</v>
      </c>
      <c r="F6" s="101">
        <f>'Satellite subscribers'!AM7/1000000</f>
        <v>0.33426252879020979</v>
      </c>
      <c r="G6" s="101">
        <f>'Satellite subscribers'!AQ7/1000000</f>
        <v>0.20499999999999999</v>
      </c>
      <c r="H6" s="101">
        <f>Viasat!D16/1000000</f>
        <v>0.14299999999999999</v>
      </c>
      <c r="I6" s="101">
        <f>Viasat!D17/1000000*(Viasat!D17/Viasat!D16)</f>
        <v>0.11818181818181818</v>
      </c>
    </row>
    <row r="7" spans="2:9" x14ac:dyDescent="0.2">
      <c r="B7" t="s">
        <v>237</v>
      </c>
      <c r="C7" s="101">
        <f>'Satellite subscribers'!AA8/1000000</f>
        <v>0</v>
      </c>
      <c r="D7" s="101">
        <f>'Satellite subscribers'!AE8/1000000</f>
        <v>0.14499999999999999</v>
      </c>
      <c r="E7" s="101">
        <f>'Satellite subscribers'!AI8/1000000</f>
        <v>1</v>
      </c>
      <c r="F7" s="101">
        <f>'Starlink Subs &amp; ARPU'!D7</f>
        <v>2.2999999999999998</v>
      </c>
      <c r="G7" s="101">
        <f>'Starlink Subs &amp; ARPU'!D8</f>
        <v>4.4000000000000004</v>
      </c>
      <c r="H7" s="101">
        <f>'Starlink Subs &amp; ARPU'!D9</f>
        <v>8.9</v>
      </c>
      <c r="I7" s="101">
        <f>'Starlink Subs &amp; ARPU'!D19</f>
        <v>12</v>
      </c>
    </row>
    <row r="8" spans="2:9" ht="15" x14ac:dyDescent="0.25">
      <c r="B8" s="102" t="s">
        <v>238</v>
      </c>
      <c r="C8" s="103">
        <f>SUM(C5:C7)</f>
        <v>2.16</v>
      </c>
      <c r="D8" s="103">
        <f>SUM(D5:D7)</f>
        <v>2.1624282034771407</v>
      </c>
      <c r="E8" s="103">
        <f>SUM(E5:E7)</f>
        <v>2.7228603465081189</v>
      </c>
      <c r="F8" s="103">
        <f>SUM(F5:F7)</f>
        <v>3.6382625287902095</v>
      </c>
      <c r="G8" s="103">
        <f>SUM(G5:G7)</f>
        <v>5.4880000000000004</v>
      </c>
      <c r="H8" s="103">
        <f>SUM(H5:H7)</f>
        <v>9.782</v>
      </c>
      <c r="I8" s="103">
        <f>SUM(I5:I7)</f>
        <v>12.740181818181819</v>
      </c>
    </row>
    <row r="10" spans="2:9" x14ac:dyDescent="0.2">
      <c r="B10" s="104" t="s">
        <v>369</v>
      </c>
    </row>
    <row r="11" spans="2:9" x14ac:dyDescent="0.2">
      <c r="B11" s="104" t="s">
        <v>370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Starlink Subs &amp; ARPU</vt:lpstr>
      <vt:lpstr>Introduction</vt:lpstr>
      <vt:lpstr>Satellite subscribers</vt:lpstr>
      <vt:lpstr>Starlink launches</vt:lpstr>
      <vt:lpstr>Starlink economics</vt:lpstr>
      <vt:lpstr>EchoStar (Hughes)</vt:lpstr>
      <vt:lpstr>Viasat</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2026-08-05T00:49:27Z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{17859063-2224-4132-B849-88528257B00F}</vt:lpwstr>
  </property>
  <property fmtid="{D5CDD505-2E9C-101B-9397-08002B2CF9AE}" pid="3" name="MSIP_Label_831f0267-8575-4fc2-99cc-f6b7f9934be9_Enabled">
    <vt:lpwstr>true</vt:lpwstr>
  </property>
  <property fmtid="{D5CDD505-2E9C-101B-9397-08002B2CF9AE}" pid="4" name="MSIP_Label_831f0267-8575-4fc2-99cc-f6b7f9934be9_SetDate">
    <vt:lpwstr>2022-10-19T19:08:57Z</vt:lpwstr>
  </property>
  <property fmtid="{D5CDD505-2E9C-101B-9397-08002B2CF9AE}" pid="5" name="MSIP_Label_831f0267-8575-4fc2-99cc-f6b7f9934be9_Method">
    <vt:lpwstr>Standard</vt:lpwstr>
  </property>
  <property fmtid="{D5CDD505-2E9C-101B-9397-08002B2CF9AE}" pid="6" name="MSIP_Label_831f0267-8575-4fc2-99cc-f6b7f9934be9_Name">
    <vt:lpwstr>831f0267-8575-4fc2-99cc-f6b7f9934be9</vt:lpwstr>
  </property>
  <property fmtid="{D5CDD505-2E9C-101B-9397-08002B2CF9AE}" pid="7" name="MSIP_Label_831f0267-8575-4fc2-99cc-f6b7f9934be9_SiteId">
    <vt:lpwstr>8f3e36ea-8039-4b40-81a7-7dc0599e8645</vt:lpwstr>
  </property>
  <property fmtid="{D5CDD505-2E9C-101B-9397-08002B2CF9AE}" pid="8" name="MSIP_Label_831f0267-8575-4fc2-99cc-f6b7f9934be9_ActionId">
    <vt:lpwstr>9264dc07-008b-48e1-9163-a4d456219fd8</vt:lpwstr>
  </property>
  <property fmtid="{D5CDD505-2E9C-101B-9397-08002B2CF9AE}" pid="9" name="MSIP_Label_831f0267-8575-4fc2-99cc-f6b7f9934be9_ContentBits">
    <vt:lpwstr>0</vt:lpwstr>
  </property>
</Properties>
</file>
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Samsung Deals" sheetId="2" state="visible" r:id="rId4"/>
    <sheet name="Cost Calc" sheetId="3" state="visible" r:id="rId5"/>
    <sheet name="Other Offers &amp; Eligibi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<sst xmlns="http://schemas.openxmlformats.org/spreadsheetml/2006/main" count="256" uniqueCount="185">
  <si>
    <t xml:space="preserve">iPhone Carrier Deal Comparison — ZIP 10016 (New York, NY) — single line, 36-month view</t>
  </si>
  <si>
    <t xml:space="preserve">Checked 2026-09-28 on each carrier's official site. 'Not stated' = not shown on the site. Cost in col 9 is a formula from the 'Cost Calc' tab (blue inputs there are editable). Taxes/fees excluded unless noted.</t>
  </si>
  <si>
    <t xml:space="preserve">Carrier</t>
  </si>
  <si>
    <t xml:space="preserve">iPhone model (storage) with best offer</t>
  </si>
  <si>
    <t xml:space="preserve">Retail price (MSRP)</t>
  </si>
  <si>
    <t xml:space="preserve">Discount amount ($) and type</t>
  </si>
  <si>
    <t xml:space="preserve">How discount is delivered</t>
  </si>
  <si>
    <t xml:space="preserve">Trade-in terms</t>
  </si>
  <si>
    <t xml:space="preserve">Extra bonuses</t>
  </si>
  <si>
    <t xml:space="preserve">Plan requirements</t>
  </si>
  <si>
    <t xml:space="preserve">Est. total cost over credit period (1 line, $)</t>
  </si>
  <si>
    <t xml:space="preserve">Available in ZIP 10016?</t>
  </si>
  <si>
    <t xml:space="preserve">Key catches / fine print</t>
  </si>
  <si>
    <t xml:space="preserve">Source URL(s)</t>
  </si>
  <si>
    <t xml:space="preserve">Date checked</t>
  </si>
  <si>
    <t xml:space="preserve">T-Mobile</t>
  </si>
  <si>
    <t xml:space="preserve">iPhone 18 Pro 256GB (tie: iPhone 18 Pro Max 256GB gets the same $1,200, leaving $99.99 to pay)</t>
  </si>
  <si>
    <t xml:space="preserve">$1,199.99 (18 Pro 256GB); $1,299.99 (18 Pro Max 256GB)</t>
  </si>
  <si>
    <t xml:space="preserve">Up to $1,200 — FULL on 18 Pro ("On Us"); Partial on 18 Pro Max ($99.99 left)</t>
  </si>
  <si>
    <t xml:space="preserve">Monthly bill credits over up to 36 months. Credits stop if you cancel the entire account (remaining finance balance due) and end if you pay off the device early.</t>
  </si>
  <si>
    <t xml:space="preserve">NOT required if you switch and port in your number (new line). Alternative path: trade in an eligible phone in ANY condition on Experience Beyond (examples: 'Save $1,200: iPhone 16; Save $930: iPhone 14; Save $500: iPhone 6'). Credit is fixed by trade-in model, not condition.</t>
  </si>
  <si>
    <t xml:space="preserve">Not stated for this offer. Plan perks on Experience Beyond 2.0: Netflix Standard with ads on us, Apple TV $3/mo, T-Satellite, 5-Year Price Guarantee, early upgrades at new-customer deal pricing.</t>
  </si>
  <si>
    <t xml:space="preserve">Experience Beyond 2.0 (new &amp; existing members); Experience Beyond / Go5G Next also qualify for existing members only. 1 line = $100/mo with AutoPay ($105 without). Min. 1 line. No-trade path needs new line + port-in from AT&amp;T, Verizon or other eligible carrier; trade-in path open to upgrades. No home internet required.</t>
  </si>
  <si>
    <t xml:space="preserve">Not ZIP-gated — site never asked for a ZIP; national offer</t>
  </si>
  <si>
    <t xml:space="preserve">'$100+/mo. plan w/AutoPay' required. $35 device connection charge; tax on pre-credit price due at sale. Credits start within 2 bill cycles. Max 4 discounted devices/account. May need to reactivate lines cancelled in past 90 days. Not combinable with some offers. Cheaper Experience More 2.0 ($85/mo) only gets iPhone 17 256GB on us (up to $930).</t>
  </si>
  <si>
    <t xml:space="preserve">https://www.t-mobile.com/offers/apple-iphone-deals
https://www.t-mobile.com/cell-phone-plans</t>
  </si>
  <si>
    <t xml:space="preserve">2026-09-28</t>
  </si>
  <si>
    <t xml:space="preserve">Verizon</t>
  </si>
  <si>
    <t xml:space="preserve">iPhone 18 Pro 256GB (tie: iPhone 18 Pro Max also 'up to $1,200', leaving ~$99.99)</t>
  </si>
  <si>
    <t xml:space="preserve">$1,199.99 (18 Pro); $1,299.99 (18 Pro Max)</t>
  </si>
  <si>
    <t xml:space="preserve">Up to $1,200 — FULL on 18 Pro if your trade-in qualifies for the max</t>
  </si>
  <si>
    <t xml:space="preserve">Trade-in/promo credit applied monthly over 36 months on the Verizon bill; 0% APR device payment. Promo credit ends if eligibility requirements are no longer met.</t>
  </si>
  <si>
    <t xml:space="preserve">REQUIRED. Old device must be traded in within 30 days of purchase; must be Apple, Google, Motorola or Samsung; no activation lock / lost-stolen. Credit depends on model: site's checker showed iPhone 15 = $1,200; iPhone 13 = $600. Site also advertises 'Any condition guaranteed'. For upgrades, phone must be active on the account 60 days before trade-in.</t>
  </si>
  <si>
    <t xml:space="preserve">Bundle offer: Apple Watch Series 12 and iPad also 'on us' (up to $600 promo credit per device over 36 mos) — each needs its own new line on a service plan (min. $20/mo w/AutoPay per watch/iPad).</t>
  </si>
  <si>
    <t xml:space="preserve">Unlimited Ultimate (myPlan) ONLY: $95/mo for 1 line with AutoPay &amp; paper-free billing ($105 without). NEW LINE required. Unlimited Plus ($80) and Unlimited Welcome ($65) do NOT get the 18 Pro offer; Simplicity Plan not listed as eligible. No home internet required.</t>
  </si>
  <si>
    <t xml:space="preserve">Must keep Unlimited Ultimate at min. $95/mo for 36 months. You give up your trade-in phone. 'Promo credit may change based on other Unlimited plans.' Not combinable with other phone offers. $40 activation fee per device. Existing-customer upgrade pricing requires sign-in (not checked).</t>
  </si>
  <si>
    <t xml:space="preserve">https://www.verizon.com/shop/online/myplan-phone-deals/
https://www.verizon.com/smartphones/apple-iphone-18-pro/
https://www.verizon.com/smartphones/apple-iphone-17e/
https://www.verizon.com/plans/unlimited/myplan/
https://www.verizon.com/plans/unlimited/</t>
  </si>
  <si>
    <t xml:space="preserve">AT&amp;T</t>
  </si>
  <si>
    <t xml:space="preserve">iPhone 18 Pro 256GB (tie: iPhone 18 Pro Max, same up to $1,200 off)</t>
  </si>
  <si>
    <t xml:space="preserve">$1,199.99 (18 Pro 256GB)</t>
  </si>
  <si>
    <t xml:space="preserve">Up to $1,200 — FULL on 18 Pro (on Premium 2.0 or higher)</t>
  </si>
  <si>
    <t xml:space="preserve">Bill credits applied over the 36-month installment term, starting within 3 bills. Canceling service stops credits and remaining device balance is due; early payoff or upgrade may stop credits.</t>
  </si>
  <si>
    <t xml:space="preserve">REQUIRED. For $1,200: trade in iPhone 14 or newer (excl. 16e) in ANY condition, or an eligible Samsung/Pixel/Moto with min. $180 trade-in value. Must be completed within 30 days; trade-in device can't be on an existing installment plan. Credit amount is fixed by plan tier, not condition (for eligible iPhones).</t>
  </si>
  <si>
    <t xml:space="preserve">Not stated.</t>
  </si>
  <si>
    <t xml:space="preserve">AT&amp;T Premium 2.0 or higher (Elite 2.0 also qualifies). Offer terms: min. $100/mo for a single line before discounts; AutoPay + paperless (bank) discount is $10/line → ~$90/mo (1-line after-discount price not displayed directly). New AND existing customers; new line OR upgrade. Tier pay-outs: Extra 2.0 = up to $930; Value 2.0 = max $500; any other eligible unlimited plan w/ older iPhone = max $350. AT&amp;T 55+, Value Plus plans not eligible. No home internet required.</t>
  </si>
  <si>
    <t xml:space="preserve">Dropping to a cheaper plan reduces or stops credits. If adding a new line, don't cancel any other line within 90 days. $35 activation/upgrade fee; tax on full retail price. AutoPay discount only $5 with debit card, $0 with most credit cards.</t>
  </si>
  <si>
    <t xml:space="preserve">https://www.att.com/deals/iphone-deals/
https://www.att.com/buy/phones/apple-iphone-18-pro.html
https://www.att.com/plans/unlimited-data-plans/</t>
  </si>
  <si>
    <t xml:space="preserve">Spectrum Mobile</t>
  </si>
  <si>
    <t xml:space="preserve">iPhone 18 Pro 256GB (18 Pro Max and 17 Pro also 'Save $600')</t>
  </si>
  <si>
    <t xml:space="preserve">$600 — PARTIAL ($16.67/mo vs $33.33/mo); $599.99 left to pay before any trade-in value</t>
  </si>
  <si>
    <t xml:space="preserve">Monthly credits over 36 months on a device payment plan. Disconnecting the line or upgrading early forfeits unapplied credits; the $10/mo plan credit ends if the line changes plans.</t>
  </si>
  <si>
    <t xml:space="preserve">Not required for the $600 price shown. Optional: '$240 trade-in bonus' (offer valid 9/12/2026–11/8/2026) plus the device's trade-in value (must be &gt; $0), over 36 months. Site is unclear whether the $240 is part of the $600 or extra — the $16.67 price displayed even with 'Skip trade-in' selected.</t>
  </si>
  <si>
    <t xml:space="preserve">Unlimited Plus Premium includes up to $360 device credit ($10/mo × 36), free smartwatch data plan. New customers: first line $20/mo for 1 year. Phone balance payoff up to $2,500/account for 2–5 port-in lines (limit one per account).</t>
  </si>
  <si>
    <t xml:space="preserve">Unlimited Plus Premium: $50/mo (new customers $20/mo first line for 1 year). Spectrum Internet AND Auto Pay required. Qualified residential customers only (no outstanding Spectrum balance). $600 price shown for new purchase; line type not stated.</t>
  </si>
  <si>
    <t xml:space="preserve">Not verified — availability check requires a full street address (not entered). Spectrum markets Internet service in New York, NY.</t>
  </si>
  <si>
    <t xml:space="preserve">Spectrum Internet required (cost NOT included in col 9). Only a partial discount. First-year $20 rate reverts to $50. Activation fee additional (amount not stated). Other Spectrum plans get only $240 off ($26.67/mo).</t>
  </si>
  <si>
    <t xml:space="preserve">https://www.spectrum.com/mobile/mobile-deals
spectrum.com iPhone 18 Pro product page (via 'Order now' on deals page)
https://www.spectrum.com/mobile/plans/unlimited-data
https://www.spectrum.com/internet-service/new-york/new-york</t>
  </si>
  <si>
    <t xml:space="preserve">Xfinity Mobile</t>
  </si>
  <si>
    <t xml:space="preserve">iPhone 18 Pro Max (base storage; $36.11/mo)</t>
  </si>
  <si>
    <t xml:space="preserve">$36.11/mo × 36 = $1,299.96 shown; full retail not displayed</t>
  </si>
  <si>
    <t xml:space="preserve">Trade-in credits 'value up to $1,300' — FULL ('on us') only if your trade-in qualifies for max; actual value varies</t>
  </si>
  <si>
    <t xml:space="preserve">Monthly trade-in credits over 36-month Device Payment Agreement. If Mobile Plus line isn't maintained or payments are accelerated, remaining credits are forfeited.</t>
  </si>
  <si>
    <t xml:space="preserve">REQUIRED — 'qualifying trade-in'; complete within 21 days of ship date. Credit value varies (up to $1,300) and can't exceed phone retail price. Qualifying models: Not stated.</t>
  </si>
  <si>
    <t xml:space="preserve">Mobile Plus includes lifetime device protection (Xfinity Mobile Care Plus), yearly upgrades with a guaranteed discount, unlimited hotspot (reduced after 50 GB), 4K video. Runner-up: $400 off a new iPhone with no trade-in (new Mobile Plus line).</t>
  </si>
  <si>
    <t xml:space="preserve">Mobile Plus: $45/mo with Xfinity Internet; new customers $15/mo for first year. New Mobile Plus line OR upgrade on existing Mobile Plus line (new &amp; existing members). Xfinity Internet (residential post-pay) REQUIRED. AutoPay requirement: Not stated.</t>
  </si>
  <si>
    <t xml:space="preserve">UNVERIFIED — FLAG: check requires street address; site only says 'Not available in all areas'. Xfinity is generally not the cable provider in Manhattan, so assume likely NOT available until confirmed.</t>
  </si>
  <si>
    <t xml:space="preserve">Offer ends 10/8/2026. Xfinity Internet required (cost NOT included). Out-of-stock phones not eligible; not combinable with other device offers. Equipment, taxes, regulatory recovery fees extra.</t>
  </si>
  <si>
    <t xml:space="preserve">https://www.xfinity.com/mobile/
https://www.xfinity.com/mobile/learn/plan
https://www.xfinity.com/mobile/shop?category=device&amp;brand=apple
https://www.xfinity.com/local/ny/new-york</t>
  </si>
  <si>
    <t xml:space="preserve">Summary — ranked by value to a single-line customer in NYC</t>
  </si>
  <si>
    <t xml:space="preserve">1. AT&amp;T (best overall for most NYC single-line buyers): iPhone 18 Pro fully covered ($1,200) on Premium 2.0, open to new AND existing customers, and at ~$90/mo it has the lowest 36-mo cost of the three national carriers (~$3,275). Biggest catch: you must trade in an iPhone 14 or newer (any condition) and stay on Premium 2.0+ — dropping to Extra cuts the credit to $930.</t>
  </si>
  <si>
    <t xml:space="preserve">2. T-Mobile (best if you have no phone worth trading): iPhone 18 Pro on us with NO trade-in for switchers who port in, ~$3,635 over 36 mos. Biggest catch: requires the $100/mo Experience Beyond 2.0 plan; Experience More only gets iPhone 17 free.</t>
  </si>
  <si>
    <t xml:space="preserve">3. Verizon: same $1,200 on iPhone 18 Pro (~$3,460 over 36 mos). Biggest catch: Unlimited Ultimate ($95/mo) and a NEW line are required, and the credit depends on your trade-in (iPhone 13 = only $600). Your read is mostly right — the Simplicity Plan isn't listed as eligible for any iPhone offer, all three myPlan tiers get some deals (e.g., iPhone 17e $700 off), but the flagship offer needs Ultimate specifically.</t>
  </si>
  <si>
    <t xml:space="preserve">4. Xfinity Mobile: lowest paper cost (~$1,260 over 36 mos for phone + plan) and up to $1,300 in trade-in credits on the 18 Pro Max. Biggest catch: requires Xfinity Internet, which could not be confirmed at 10016 and is likely not offered in Manhattan — probably not usable.</t>
  </si>
  <si>
    <t xml:space="preserve">5. Spectrum Mobile: cheap plan (~$2,040 incl. $599.99 left on the phone) but only $600 off. Biggest catch: requires Spectrum Internet (not included in the cost figure) — though Spectrum is the likely cable provider in Kips Bay/Murray Hill, so it's worth a look if you already have Spectrum Internet.</t>
  </si>
  <si>
    <t xml:space="preserve">Caveat: cable-carrier totals exclude the required home internet bill; national-carrier totals exclude taxes, fees and the value of the phone you trade in.</t>
  </si>
  <si>
    <t xml:space="preserve">Samsung Galaxy Carrier Deal Comparison — ZIP 10016 (New York, NY) — single line, 36-month view</t>
  </si>
  <si>
    <t xml:space="preserve">Checked 2026-09-28 on each carrier's official site. 'Not stated' = not shown on the site. Col 9 is a formula from the cost block at the bottom of this tab (blue inputs editable). Taxes/fees excluded unless noted.</t>
  </si>
  <si>
    <t xml:space="preserve">Samsung model (storage) with best offer</t>
  </si>
  <si>
    <t xml:space="preserve">Galaxy Z Fold8 256GB</t>
  </si>
  <si>
    <t xml:space="preserve">$1,899.99</t>
  </si>
  <si>
    <t xml:space="preserve">Up to $1,900 — FULL ('On Us') if your trade-in qualifies for the max</t>
  </si>
  <si>
    <t xml:space="preserve">Up to $1,900 via 24 or 36 monthly bill credits (depends on finance term). Credits end if you pay off early; contact T-Mobile before cancelling the whole account, or credits stop and the finance balance is due.</t>
  </si>
  <si>
    <t xml:space="preserve">REQUIRED. Credit depends on the model you trade in (site examples: Galaxy S26 = $1,900; Galaxy S22 = $1,100; Galaxy A71 = $550). Trade-in terms apply.</t>
  </si>
  <si>
    <t xml:space="preserve">Plan perks on Experience Beyond 2.0 (Netflix Standard w/ ads, Apple TV $3/mo, T-Satellite, 5-Year Price Guarantee). Page also advertises 'Switch and save $750' ($100 virtual prepaid Mastercard with eligible port-in + benefits value).</t>
  </si>
  <si>
    <t xml:space="preserve">Experience Beyond 2.0 (new &amp; existing members); Experience Beyond / Go5G Next (existing only). 1 line = $100/mo with AutoPay. New or existing customers. No home internet required.</t>
  </si>
  <si>
    <t xml:space="preserve">'$100+/mo. plan w/AutoPay' required. $35 device connection charge; tax on pre-credit price. Max 4 discounted devices/account. No-trade alternatives: $1,100 off Galaxy Z Fold8 Ultra or Z Flip8 (new line on Experience More/Beyond); Galaxy S26 FE on us (up to $800, new line).</t>
  </si>
  <si>
    <t xml:space="preserve">https://www.t-mobile.com/offers/samsung-phone-deals
https://www.t-mobile.com/cell-phone-plans</t>
  </si>
  <si>
    <t xml:space="preserve">Galaxy S26 Ultra 256GB</t>
  </si>
  <si>
    <t xml:space="preserve">$1,299.99</t>
  </si>
  <si>
    <t xml:space="preserve">$1,119.99 — PARTIAL ($5/mo, $180 total left to pay)</t>
  </si>
  <si>
    <t xml:space="preserve">Promo credit applied to account over 36 months ($31.11/mo); ends if eligibility requirements are no longer met or line is canceled/moved to an ineligible plan. 0% APR device payment.</t>
  </si>
  <si>
    <t xml:space="preserve">NOT required.</t>
  </si>
  <si>
    <t xml:space="preserve">Not stated for this offer. Product page says activation fees are waived for new customers ('$40 savings').</t>
  </si>
  <si>
    <t xml:space="preserve">Unlimited Ultimate ONLY: $95/mo for 1 line with AutoPay &amp; paper-free billing. NEW LINE required. No home internet required.</t>
  </si>
  <si>
    <t xml:space="preserve">Line must stay on Unlimited Ultimate for 36 months. 'Promo credit may change based on other Unlimited plans'; not combinable with other offers. Offer panel lists a $40 activation fee while the product page says it's waived for new customers — conflicting. Runner-ups: Galaxy S26+ save $1,100 (full); Z Fold8 / Fold8 Ultra up to $1,100 with trade-in; S26 FE on us, no trade-in (new line on myPlan).</t>
  </si>
  <si>
    <t xml:space="preserve">https://www.verizon.com/smartphones/samsung-galaxy-s26-ultra/
https://www.verizon.com/shop/online/myplan-phone-deals/
https://www.verizon.com/plans/unlimited/myplan/</t>
  </si>
  <si>
    <t xml:space="preserve">Galaxy S26 Ultra (base storage; tie: Galaxy Z Fold8 also up to $1,100 but $799.99 left)</t>
  </si>
  <si>
    <t xml:space="preserve">Up to $1,100 — PARTIAL ($5.56/mo, ~$199.99 left)</t>
  </si>
  <si>
    <t xml:space="preserve">Bill credits over the 36-month installment term, starting within 3 bills. Lowering plan reduces/stops credits; canceling stops credits and remaining balance is due; early payoff/upgrade may stop credits.</t>
  </si>
  <si>
    <t xml:space="preserve">REQUIRED. For $1,100: trade in Galaxy S22+, Z Flip4, Z Fold3 or higher in ANY condition, or an eligible smartphone worth $95+. Lesser tiers: up to $900 with Galaxy S10/Note10/Z Flip3 or higher (or phone worth $35–94). Complete within 30 days; trade-in can't be on an installment plan.</t>
  </si>
  <si>
    <t xml:space="preserve">AT&amp;T Extra 2.0 or higher (min. $80/mo single line before discounts; ~$70 with $10 AutoPay+paperless via bank). Value 2.0 = up to $500 on S26 series; Starter/Starter SL (existing) max $900. New &amp; existing customers; new line or upgrade. AT&amp;T 55+ and Value Plus plans not eligible. No home internet required.</t>
  </si>
  <si>
    <t xml:space="preserve">Offer applies to S26+ and S26 Ultra ('S26 device not eligible for this offer'). If adding a new line, don't cancel any other line within 90 days. $35 activation/upgrade fee; tax on full retail. Runner-up: Galaxy S26 $0/mo with new line, no trade-in (~$900).</t>
  </si>
  <si>
    <t xml:space="preserve">https://www.att.com/buy/phones/samsung-galaxy-s26-ultra.html
https://www.att.com/buy/phones/samsung-galaxy-z-fold8.html
https://www.att.com/buy/phones/browse/samsung_hasdeals/</t>
  </si>
  <si>
    <t xml:space="preserve">$1,459.80 ('over $1,400 off') — PARTIAL ($12.22/mo vs $52.77/mo; ~$440 left)</t>
  </si>
  <si>
    <t xml:space="preserve">Monthly credits over 36 months on a device payment plan; disconnecting or upgrading early forfeits unapplied credits; $10/mo plan credit ends if line changes plans.</t>
  </si>
  <si>
    <t xml:space="preserve">Shown price did not require selecting a trade-in, but the page also lists a '$900 trade-in bonus — eligible trade-in required' (valid 8/7/2026–9/30/2026). Unclear whether the $900 is inside the $1,459.80 or extra. Trade-in value itself: Not stated.</t>
  </si>
  <si>
    <t xml:space="preserve">Unlimited Plus Premium includes up to $360 device credit ($10/mo × 36), free smartwatch data plan; new customers first line $20/mo for 1 year. Phone balance payoff up to $2,500/account for 2–5 port-in lines.</t>
  </si>
  <si>
    <t xml:space="preserve">Unlimited Plus Premium: $50/mo (new customers $20/mo first line for 1 year). Spectrum Internet AND Auto Pay required. Qualified residential customers only. Other Spectrum plans: $22.22/mo (~$1,100 off).</t>
  </si>
  <si>
    <t xml:space="preserve">Spectrum Internet required (cost NOT included). $900 trade-in bonus expires 9/30/2026. Activation fee additional (amount not stated). Runner-ups: Galaxy S26 and Z Flip8 'at no cost' on Unlimited Plus Premium.</t>
  </si>
  <si>
    <t xml:space="preserve">https://www.spectrum.com/mobile/mobile-deals
spectrum.com Galaxy Z Fold8 product page (via 'Order now')
https://www.spectrum.com/mobile/plans/unlimited-data</t>
  </si>
  <si>
    <t xml:space="preserve">Galaxy Z Fold8 (base storage; tie: Z Fold8 Ultra also up to $1,200, more left to pay)</t>
  </si>
  <si>
    <t xml:space="preserve">$52.77/mo × 36 = $1,899.72 shown; full retail not displayed</t>
  </si>
  <si>
    <t xml:space="preserve">Trade-in credits 'value up to $1,200' — PARTIAL (from $19.44/mo; ~$700 left)</t>
  </si>
  <si>
    <t xml:space="preserve">Monthly trade-in credits over 36-month Device Payment Agreement; forfeited if Mobile Plus line isn't maintained or payments are accelerated.</t>
  </si>
  <si>
    <t xml:space="preserve">REQUIRED — 'qualifying trade-in'; complete within 21 days of ship date; value varies and can't exceed phone retail price. Qualifying models: Not stated.</t>
  </si>
  <si>
    <t xml:space="preserve">Mobile Plus includes lifetime device protection, yearly upgrades with guaranteed discount, unlimited hotspot (reduced after 50 GB), 4K video.</t>
  </si>
  <si>
    <t xml:space="preserve">Mobile Plus: $45/mo with Xfinity Internet; new customers $15/mo first year. NEW Mobile Plus line required. Xfinity Internet (residential post-pay) REQUIRED. AutoPay requirement: Not stated.</t>
  </si>
  <si>
    <t xml:space="preserve">UNVERIFIED — FLAG: check requires street address; Xfinity is generally not the cable provider in Manhattan — assume likely NOT available until confirmed.</t>
  </si>
  <si>
    <t xml:space="preserve">Offer ends 10/8/2026. Xfinity Internet required (cost NOT included). Not combinable with other device offers; out-of-stock phones not eligible. Galaxy Z Flip8, S26+, S26, S26 FE listed from $0.00/mo.</t>
  </si>
  <si>
    <t xml:space="preserve">https://www.xfinity.com/mobile/shop?category=device&amp;brand=samsung
https://www.xfinity.com/mobile/learn/plan</t>
  </si>
  <si>
    <t xml:space="preserve">1. AT&amp;T (best overall value): up to $1,100 off Galaxy S26 Ultra on the cheaper Extra 2.0 plan (~$70/mo), new or existing customers — lowest 36-mo cost of the national carriers (~$2,755). Biggest catch: needs a Galaxy S22+/Z Flip4/Z Fold3-or-newer trade-in (any condition) for the full $1,100.</t>
  </si>
  <si>
    <t xml:space="preserve">2. Verizon (best with no trade-in): $1,119.99 off Galaxy S26 Ultra, no trade-in, ~$3,640 over 36 mos. Biggest catch: new line on Unlimited Ultimate ($95/mo) required for all 36 months.</t>
  </si>
  <si>
    <t xml:space="preserve">3. T-Mobile (largest dollar discount): Galaxy Z Fold8 fully on us — up to $1,900 — ~$3,635 over 36 mos. Biggest catch: the $1,900 needs a recent trade-in (Galaxy S26 = $1,900; S22 only $1,100) plus the $100/mo Experience Beyond 2.0 plan.</t>
  </si>
  <si>
    <t xml:space="preserve">4. Spectrum Mobile: ~$1,460 off Galaxy Z Fold8 on Unlimited Plus Premium, ~$1,880 total over 36 mos. Biggest catch: Spectrum Internet required (not in the total), and the $900 trade-in bonus it may depend on expires 9/30/2026.</t>
  </si>
  <si>
    <t xml:space="preserve">5. Xfinity Mobile: up to $1,200 trade-in credit on Galaxy Z Fold8, ~$1,960 over 36 mos. Biggest catch: requires Xfinity Internet, unverified and likely unavailable at 10016; new Mobile Plus line required.</t>
  </si>
  <si>
    <t xml:space="preserve">Caveat: cable-carrier totals exclude the required home internet bill; national-carrier totals exclude taxes, fees and the value of any phone traded in.</t>
  </si>
  <si>
    <t xml:space="preserve">Cost calculation (blue = inputs from carrier sites; black = formulas). Excludes taxes and required home internet.</t>
  </si>
  <si>
    <t xml:space="preserve">Retail price</t>
  </si>
  <si>
    <t xml:space="preserve">Max promo credit</t>
  </si>
  <si>
    <t xml:space="preserve">Phone cost after credit</t>
  </si>
  <si>
    <t xml:space="preserve">Promo-period monthly rate</t>
  </si>
  <si>
    <t xml:space="preserve">Promo months</t>
  </si>
  <si>
    <t xml:space="preserve">Regular monthly rate (AutoPay)</t>
  </si>
  <si>
    <t xml:space="preserve">Credit period (months)</t>
  </si>
  <si>
    <t xml:space="preserve">One-time fees</t>
  </si>
  <si>
    <t xml:space="preserve">Total 36-mo cost</t>
  </si>
  <si>
    <t xml:space="preserve">Notes</t>
  </si>
  <si>
    <t xml:space="preserve">Experience Beyond 2.0 $100 w/AutoPay; $35 connection charge; assumes trade-in earns full $1,900.</t>
  </si>
  <si>
    <t xml:space="preserve">Unlimited Ultimate $95; $40 activation used (product page says waived for new customers).</t>
  </si>
  <si>
    <t xml:space="preserve">Extra 2.0 $80 before discounts less $10 AutoPay/paperless (bank) = $70 (derived); $35 fee; assumes full $1,100 tier.</t>
  </si>
  <si>
    <t xml:space="preserve">($52.77-$12.22) x 36 = $1,459.80. Premium $20 first year then $50. Activation fee not stated. Internet excluded.</t>
  </si>
  <si>
    <t xml:space="preserve">$52.77 x 36. Mobile Plus $15 first year then $45. Assumes max trade-in credit. Internet excluded.</t>
  </si>
  <si>
    <t xml:space="preserve">Estimated 36-month cost, 1 line (blue = inputs from carrier sites; black = formulas). Excludes taxes and required home internet.</t>
  </si>
  <si>
    <t xml:space="preserve">Runner-up iPhone offers and plan-eligibility detail (as seen 2026-09-28)</t>
  </si>
  <si>
    <t xml:space="preserve">Offer</t>
  </si>
  <si>
    <t xml:space="preserve">Value</t>
  </si>
  <si>
    <t xml:space="preserve">Conditions (as stated)</t>
  </si>
  <si>
    <t xml:space="preserve">iPhone 18 Pro Max 'under $100'</t>
  </si>
  <si>
    <t xml:space="preserve">Up to $1,200 (256GB $1,299.99)</t>
  </si>
  <si>
    <t xml:space="preserve">Experience Beyond 2.0; switch+port-in OR any-condition trade-in</t>
  </si>
  <si>
    <t xml:space="preserve">iPhone 17 Pro on us with trade</t>
  </si>
  <si>
    <t xml:space="preserve">Up to $1,100 (256GB $1,099.99)</t>
  </si>
  <si>
    <t xml:space="preserve">$100+/mo plan; eligible trade-in (e.g., iPhone 16 = $1,100); existing Go5G Next members qualify</t>
  </si>
  <si>
    <t xml:space="preserve">iPhone 17 on us, no trade-in</t>
  </si>
  <si>
    <t xml:space="preserve">Up to $930 (256GB $929.99)</t>
  </si>
  <si>
    <t xml:space="preserve">Experience More 2.0 ($85/mo 1 line) or Beyond 2.0; new line + port-in</t>
  </si>
  <si>
    <t xml:space="preserve">iPhone 16 on us / iPhone Air on us w/ trade / 2 iPhone 17e on us</t>
  </si>
  <si>
    <t xml:space="preserve">Varies</t>
  </si>
  <si>
    <t xml:space="preserve">16: switch on Experience More/Beyond; Air: any-condition trade on Beyond; 17e: 2 switched lines on Essentials $80/mo</t>
  </si>
  <si>
    <t xml:space="preserve">iPhone 17e 'Save $700'</t>
  </si>
  <si>
    <t xml:space="preserve">$700 (full; retail $699.99)</t>
  </si>
  <si>
    <t xml:space="preserve">New line; Unlimited Welcome ($65), Plus ($80) or Ultimate ($95) — Simplicity not listed</t>
  </si>
  <si>
    <t xml:space="preserve">iPhone 17 Pro Max / 17 Pro 'Save $1000'</t>
  </si>
  <si>
    <t xml:space="preserve">$1,000</t>
  </si>
  <si>
    <t xml:space="preserve">Shown on myPlan phone deals page; details not opened</t>
  </si>
  <si>
    <t xml:space="preserve">Plan eligibility check</t>
  </si>
  <si>
    <t xml:space="preserve">—</t>
  </si>
  <si>
    <t xml:space="preserve">Simplicity Plan: $45/line w/AutoPay, $30 with $15 Switch &amp; Save discount — not named in any iPhone offer terms seen. myPlan: Welcome/Plus/Ultimate named for 17e; Ultimate only for 18 Pro/Pro Max $1,200.</t>
  </si>
  <si>
    <t xml:space="preserve">iPhone 17 Pro Max new line, no trade-in</t>
  </si>
  <si>
    <t xml:space="preserve">$14.99/mo vs $33.34/mo (~$660 over 36 mos)</t>
  </si>
  <si>
    <t xml:space="preserve">New line + eligible plan; includes extra $5.56/mo credit</t>
  </si>
  <si>
    <t xml:space="preserve">iPhone 17 / 17e</t>
  </si>
  <si>
    <t xml:space="preserve">17: $0/mo with trade-in; 17e: $0.99/mo new line, no trade</t>
  </si>
  <si>
    <t xml:space="preserve">Eligible plan required</t>
  </si>
  <si>
    <t xml:space="preserve">Tiered credits (18 Pro/Pro Max trade-in offer)</t>
  </si>
  <si>
    <t xml:space="preserve">Elite/Premium 2.0: $1,200 · Extra 2.0: $930 · Value 2.0: $500 · other unlimited: $350</t>
  </si>
  <si>
    <t xml:space="preserve">New &amp; existing; new line or upgrade; iPhone 14+ any condition</t>
  </si>
  <si>
    <t xml:space="preserve">Spectrum</t>
  </si>
  <si>
    <t xml:space="preserve">iPhone 17 / iPhone Air</t>
  </si>
  <si>
    <t xml:space="preserve">'Over $500 off'</t>
  </si>
  <si>
    <t xml:space="preserve">Unlimited Plus Premium</t>
  </si>
  <si>
    <t xml:space="preserve">Xfinity</t>
  </si>
  <si>
    <t xml:space="preserve">$400 off a new iPhone</t>
  </si>
  <si>
    <t xml:space="preserve">$400, no trade-in</t>
  </si>
  <si>
    <t xml:space="preserve">New Mobile Plus line + device payment plan; ends 10/8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</si>
</sst>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32"/>
    <col collapsed="false" customWidth="true" hidden="false" outlineLevel="0" max="6" min="6" style="1" width="40"/>
    <col collapsed="false" customWidth="true" hidden="false" outlineLevel="0" max="7" min="7" style="1" width="34"/>
    <col collapsed="false" customWidth="true" hidden="false" outlineLevel="0" max="8" min="8" style="1" width="44"/>
    <col collapsed="false" customWidth="true" hidden="false" outlineLevel="0" max="9" min="9" style="1" width="16"/>
    <col collapsed="false" customWidth="true" hidden="false" outlineLevel="0" max="10" min="10" style="1" width="24"/>
    <col collapsed="false" customWidth="true" hidden="false" outlineLevel="0" max="11" min="11" style="1" width="40"/>
    <col collapsed="false" customWidth="true" hidden="false" outlineLevel="0" max="12" min="12" style="1" width="36"/>
    <col collapsed="false" customWidth="true" hidden="false" outlineLevel="0" max="13" min="13" style="1" width="1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229.5" hidden="false" customHeight="true" outlineLevel="0" collapsed="false">
      <c r="A5" s="5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7" t="n">
        <f aca="false">'Cost Calc'!J3</f>
        <v>3635</v>
      </c>
      <c r="J5" s="6" t="s">
        <v>23</v>
      </c>
      <c r="K5" s="6" t="s">
        <v>24</v>
      </c>
      <c r="L5" s="6" t="s">
        <v>25</v>
      </c>
      <c r="M5" s="6" t="s">
        <v>26</v>
      </c>
    </row>
    <row r="6" customFormat="false" ht="229.5" hidden="false" customHeight="true" outlineLevel="0" collapsed="false">
      <c r="A6" s="5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7" t="n">
        <f aca="false">'Cost Calc'!J4</f>
        <v>3460</v>
      </c>
      <c r="J6" s="6" t="s">
        <v>23</v>
      </c>
      <c r="K6" s="6" t="s">
        <v>35</v>
      </c>
      <c r="L6" s="6" t="s">
        <v>36</v>
      </c>
      <c r="M6" s="6" t="s">
        <v>26</v>
      </c>
    </row>
    <row r="7" customFormat="false" ht="229.5" hidden="false" customHeight="true" outlineLevel="0" collapsed="false">
      <c r="A7" s="5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7" t="n">
        <f aca="false">'Cost Calc'!J5</f>
        <v>3275</v>
      </c>
      <c r="J7" s="6" t="s">
        <v>23</v>
      </c>
      <c r="K7" s="6" t="s">
        <v>45</v>
      </c>
      <c r="L7" s="6" t="s">
        <v>46</v>
      </c>
      <c r="M7" s="6" t="s">
        <v>26</v>
      </c>
    </row>
    <row r="8" customFormat="false" ht="229.5" hidden="false" customHeight="true" outlineLevel="0" collapsed="false">
      <c r="A8" s="5" t="s">
        <v>47</v>
      </c>
      <c r="B8" s="6" t="s">
        <v>48</v>
      </c>
      <c r="C8" s="6" t="s">
        <v>39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53</v>
      </c>
      <c r="I8" s="7" t="n">
        <f aca="false">'Cost Calc'!J6</f>
        <v>2039.99</v>
      </c>
      <c r="J8" s="6" t="s">
        <v>54</v>
      </c>
      <c r="K8" s="6" t="s">
        <v>55</v>
      </c>
      <c r="L8" s="6" t="s">
        <v>56</v>
      </c>
      <c r="M8" s="6" t="s">
        <v>26</v>
      </c>
    </row>
    <row r="9" customFormat="false" ht="229.5" hidden="false" customHeight="true" outlineLevel="0" collapsed="false">
      <c r="A9" s="5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7" t="n">
        <f aca="false">'Cost Calc'!J7</f>
        <v>1260</v>
      </c>
      <c r="J9" s="6" t="s">
        <v>65</v>
      </c>
      <c r="K9" s="6" t="s">
        <v>66</v>
      </c>
      <c r="L9" s="6" t="s">
        <v>67</v>
      </c>
      <c r="M9" s="6" t="s">
        <v>26</v>
      </c>
    </row>
    <row r="11" customFormat="false" ht="15" hidden="false" customHeight="true" outlineLevel="0" collapsed="false">
      <c r="A11" s="8" t="s">
        <v>68</v>
      </c>
    </row>
    <row r="12" customFormat="false" ht="31.5" hidden="false" customHeight="true" outlineLevel="0" collapsed="false">
      <c r="A12" s="9" t="s">
        <v>69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31.5" hidden="false" customHeight="true" outlineLevel="0" collapsed="false">
      <c r="A13" s="9" t="s">
        <v>70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31.5" hidden="false" customHeight="true" outlineLevel="0" collapsed="false">
      <c r="A14" s="9" t="s">
        <v>71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31.5" hidden="false" customHeight="true" outlineLevel="0" collapsed="false">
      <c r="A15" s="9" t="s">
        <v>72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31.5" hidden="false" customHeight="true" outlineLevel="0" collapsed="false">
      <c r="A16" s="9" t="s">
        <v>73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31.5" hidden="false" customHeight="true" outlineLevel="0" collapsed="false">
      <c r="A17" s="9" t="s">
        <v>74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</sheetData>
  <mergeCells count="6">
    <mergeCell ref="A12:M12"/>
    <mergeCell ref="A13:M13"/>
    <mergeCell ref="A14:M14"/>
    <mergeCell ref="A15:M15"/>
    <mergeCell ref="A16:M16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40"/>
    <col collapsed="false" customWidth="true" hidden="false" outlineLevel="0" max="12" min="12" style="0" width="36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0" t="s">
        <v>75</v>
      </c>
    </row>
    <row r="2" customFormat="false" ht="15" hidden="false" customHeight="false" outlineLevel="0" collapsed="false">
      <c r="A2" s="11" t="s">
        <v>76</v>
      </c>
    </row>
    <row r="4" customFormat="false" ht="42" hidden="false" customHeight="true" outlineLevel="0" collapsed="false">
      <c r="A4" s="4" t="s">
        <v>2</v>
      </c>
      <c r="B4" s="4" t="s">
        <v>77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219.75" hidden="false" customHeight="true" outlineLevel="0" collapsed="false">
      <c r="A5" s="5" t="s">
        <v>15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82</v>
      </c>
      <c r="G5" s="6" t="s">
        <v>83</v>
      </c>
      <c r="H5" s="6" t="s">
        <v>84</v>
      </c>
      <c r="I5" s="12" t="n">
        <f aca="false">J22</f>
        <v>3635</v>
      </c>
      <c r="J5" s="6" t="s">
        <v>23</v>
      </c>
      <c r="K5" s="6" t="s">
        <v>85</v>
      </c>
      <c r="L5" s="6" t="s">
        <v>86</v>
      </c>
      <c r="M5" s="6" t="s">
        <v>26</v>
      </c>
    </row>
    <row r="6" customFormat="false" ht="219.75" hidden="false" customHeight="true" outlineLevel="0" collapsed="false">
      <c r="A6" s="5" t="s">
        <v>27</v>
      </c>
      <c r="B6" s="6" t="s">
        <v>87</v>
      </c>
      <c r="C6" s="6" t="s">
        <v>88</v>
      </c>
      <c r="D6" s="6" t="s">
        <v>89</v>
      </c>
      <c r="E6" s="6" t="s">
        <v>90</v>
      </c>
      <c r="F6" s="6" t="s">
        <v>91</v>
      </c>
      <c r="G6" s="6" t="s">
        <v>92</v>
      </c>
      <c r="H6" s="6" t="s">
        <v>93</v>
      </c>
      <c r="I6" s="12" t="n">
        <f aca="false">J23</f>
        <v>3640</v>
      </c>
      <c r="J6" s="6" t="s">
        <v>23</v>
      </c>
      <c r="K6" s="6" t="s">
        <v>94</v>
      </c>
      <c r="L6" s="6" t="s">
        <v>95</v>
      </c>
      <c r="M6" s="6" t="s">
        <v>26</v>
      </c>
    </row>
    <row r="7" customFormat="false" ht="219.75" hidden="false" customHeight="true" outlineLevel="0" collapsed="false">
      <c r="A7" s="5" t="s">
        <v>37</v>
      </c>
      <c r="B7" s="6" t="s">
        <v>96</v>
      </c>
      <c r="C7" s="6" t="s">
        <v>88</v>
      </c>
      <c r="D7" s="6" t="s">
        <v>97</v>
      </c>
      <c r="E7" s="6" t="s">
        <v>98</v>
      </c>
      <c r="F7" s="6" t="s">
        <v>99</v>
      </c>
      <c r="G7" s="6" t="s">
        <v>43</v>
      </c>
      <c r="H7" s="6" t="s">
        <v>100</v>
      </c>
      <c r="I7" s="12" t="n">
        <f aca="false">J24</f>
        <v>2754.99</v>
      </c>
      <c r="J7" s="6" t="s">
        <v>23</v>
      </c>
      <c r="K7" s="6" t="s">
        <v>101</v>
      </c>
      <c r="L7" s="6" t="s">
        <v>102</v>
      </c>
      <c r="M7" s="6" t="s">
        <v>26</v>
      </c>
    </row>
    <row r="8" customFormat="false" ht="219.75" hidden="false" customHeight="true" outlineLevel="0" collapsed="false">
      <c r="A8" s="5" t="s">
        <v>47</v>
      </c>
      <c r="B8" s="6" t="s">
        <v>78</v>
      </c>
      <c r="C8" s="6" t="s">
        <v>79</v>
      </c>
      <c r="D8" s="6" t="s">
        <v>103</v>
      </c>
      <c r="E8" s="6" t="s">
        <v>104</v>
      </c>
      <c r="F8" s="6" t="s">
        <v>105</v>
      </c>
      <c r="G8" s="6" t="s">
        <v>106</v>
      </c>
      <c r="H8" s="6" t="s">
        <v>107</v>
      </c>
      <c r="I8" s="12" t="n">
        <f aca="false">J25</f>
        <v>1880.19</v>
      </c>
      <c r="J8" s="6" t="s">
        <v>54</v>
      </c>
      <c r="K8" s="6" t="s">
        <v>108</v>
      </c>
      <c r="L8" s="6" t="s">
        <v>109</v>
      </c>
      <c r="M8" s="6" t="s">
        <v>26</v>
      </c>
    </row>
    <row r="9" customFormat="false" ht="219.75" hidden="false" customHeight="true" outlineLevel="0" collapsed="false">
      <c r="A9" s="5" t="s">
        <v>57</v>
      </c>
      <c r="B9" s="6" t="s">
        <v>110</v>
      </c>
      <c r="C9" s="6" t="s">
        <v>111</v>
      </c>
      <c r="D9" s="6" t="s">
        <v>112</v>
      </c>
      <c r="E9" s="6" t="s">
        <v>113</v>
      </c>
      <c r="F9" s="6" t="s">
        <v>114</v>
      </c>
      <c r="G9" s="6" t="s">
        <v>115</v>
      </c>
      <c r="H9" s="6" t="s">
        <v>116</v>
      </c>
      <c r="I9" s="12" t="n">
        <f aca="false">J26</f>
        <v>1959.72</v>
      </c>
      <c r="J9" s="6" t="s">
        <v>117</v>
      </c>
      <c r="K9" s="6" t="s">
        <v>118</v>
      </c>
      <c r="L9" s="6" t="s">
        <v>119</v>
      </c>
      <c r="M9" s="6" t="s">
        <v>26</v>
      </c>
    </row>
    <row r="11" customFormat="false" ht="15" hidden="false" customHeight="false" outlineLevel="0" collapsed="false">
      <c r="A11" s="13" t="s">
        <v>68</v>
      </c>
    </row>
    <row r="12" customFormat="false" ht="31.5" hidden="false" customHeight="true" outlineLevel="0" collapsed="false">
      <c r="A12" s="9" t="s">
        <v>120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31.5" hidden="false" customHeight="true" outlineLevel="0" collapsed="false">
      <c r="A13" s="9" t="s">
        <v>121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31.5" hidden="false" customHeight="true" outlineLevel="0" collapsed="false">
      <c r="A14" s="9" t="s">
        <v>122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31.5" hidden="false" customHeight="true" outlineLevel="0" collapsed="false">
      <c r="A15" s="9" t="s">
        <v>123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31.5" hidden="false" customHeight="true" outlineLevel="0" collapsed="false">
      <c r="A16" s="9" t="s">
        <v>124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31.5" hidden="false" customHeight="true" outlineLevel="0" collapsed="false">
      <c r="A17" s="9" t="s">
        <v>125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20" customFormat="false" ht="15" hidden="false" customHeight="false" outlineLevel="0" collapsed="false">
      <c r="A20" s="14" t="s">
        <v>126</v>
      </c>
    </row>
    <row r="21" customFormat="false" ht="15" hidden="false" customHeight="false" outlineLevel="0" collapsed="false">
      <c r="A21" s="15" t="s">
        <v>2</v>
      </c>
      <c r="B21" s="15" t="s">
        <v>127</v>
      </c>
      <c r="C21" s="15" t="s">
        <v>128</v>
      </c>
      <c r="D21" s="15" t="s">
        <v>129</v>
      </c>
      <c r="E21" s="15" t="s">
        <v>130</v>
      </c>
      <c r="F21" s="15" t="s">
        <v>131</v>
      </c>
      <c r="G21" s="15" t="s">
        <v>132</v>
      </c>
      <c r="H21" s="15" t="s">
        <v>133</v>
      </c>
      <c r="I21" s="15" t="s">
        <v>134</v>
      </c>
      <c r="J21" s="15" t="s">
        <v>135</v>
      </c>
      <c r="K21" s="15" t="s">
        <v>136</v>
      </c>
    </row>
    <row r="22" customFormat="false" ht="32.8" hidden="false" customHeight="false" outlineLevel="0" collapsed="false">
      <c r="A22" s="16" t="s">
        <v>15</v>
      </c>
      <c r="B22" s="17" t="n">
        <v>1899.99</v>
      </c>
      <c r="C22" s="17" t="n">
        <v>1900</v>
      </c>
      <c r="D22" s="18" t="n">
        <f aca="false">MAX(0,B22-C22)</f>
        <v>0</v>
      </c>
      <c r="E22" s="17" t="n">
        <v>100</v>
      </c>
      <c r="F22" s="19" t="n">
        <v>0</v>
      </c>
      <c r="G22" s="17" t="n">
        <v>100</v>
      </c>
      <c r="H22" s="19" t="n">
        <v>36</v>
      </c>
      <c r="I22" s="17" t="n">
        <v>35</v>
      </c>
      <c r="J22" s="20" t="n">
        <f aca="false">D22+E22*F22+G22*(H22-F22)+I22</f>
        <v>3635</v>
      </c>
      <c r="K22" s="21" t="s">
        <v>137</v>
      </c>
    </row>
    <row r="23" customFormat="false" ht="22.35" hidden="false" customHeight="false" outlineLevel="0" collapsed="false">
      <c r="A23" s="16" t="s">
        <v>27</v>
      </c>
      <c r="B23" s="17" t="n">
        <v>1299.99</v>
      </c>
      <c r="C23" s="17" t="n">
        <v>1119.99</v>
      </c>
      <c r="D23" s="18" t="n">
        <f aca="false">MAX(0,B23-C23)</f>
        <v>180</v>
      </c>
      <c r="E23" s="17" t="n">
        <v>95</v>
      </c>
      <c r="F23" s="19" t="n">
        <v>0</v>
      </c>
      <c r="G23" s="17" t="n">
        <v>95</v>
      </c>
      <c r="H23" s="19" t="n">
        <v>36</v>
      </c>
      <c r="I23" s="17" t="n">
        <v>40</v>
      </c>
      <c r="J23" s="20" t="n">
        <f aca="false">D23+E23*F23+G23*(H23-F23)+I23</f>
        <v>3640</v>
      </c>
      <c r="K23" s="21" t="s">
        <v>138</v>
      </c>
    </row>
    <row r="24" customFormat="false" ht="32.8" hidden="false" customHeight="false" outlineLevel="0" collapsed="false">
      <c r="A24" s="16" t="s">
        <v>37</v>
      </c>
      <c r="B24" s="17" t="n">
        <v>1299.99</v>
      </c>
      <c r="C24" s="17" t="n">
        <v>1100</v>
      </c>
      <c r="D24" s="18" t="n">
        <f aca="false">MAX(0,B24-C24)</f>
        <v>199.99</v>
      </c>
      <c r="E24" s="17" t="n">
        <v>70</v>
      </c>
      <c r="F24" s="19" t="n">
        <v>0</v>
      </c>
      <c r="G24" s="17" t="n">
        <v>70</v>
      </c>
      <c r="H24" s="19" t="n">
        <v>36</v>
      </c>
      <c r="I24" s="17" t="n">
        <v>35</v>
      </c>
      <c r="J24" s="20" t="n">
        <f aca="false">D24+E24*F24+G24*(H24-F24)+I24</f>
        <v>2754.99</v>
      </c>
      <c r="K24" s="21" t="s">
        <v>139</v>
      </c>
    </row>
    <row r="25" customFormat="false" ht="32.8" hidden="false" customHeight="false" outlineLevel="0" collapsed="false">
      <c r="A25" s="16" t="s">
        <v>47</v>
      </c>
      <c r="B25" s="17" t="n">
        <v>1899.99</v>
      </c>
      <c r="C25" s="17" t="n">
        <v>1459.8</v>
      </c>
      <c r="D25" s="18" t="n">
        <f aca="false">MAX(0,B25-C25)</f>
        <v>440.19</v>
      </c>
      <c r="E25" s="17" t="n">
        <v>20</v>
      </c>
      <c r="F25" s="19" t="n">
        <v>12</v>
      </c>
      <c r="G25" s="17" t="n">
        <v>50</v>
      </c>
      <c r="H25" s="19" t="n">
        <v>36</v>
      </c>
      <c r="I25" s="17" t="n">
        <v>0</v>
      </c>
      <c r="J25" s="20" t="n">
        <f aca="false">D25+E25*F25+G25*(H25-F25)+I25</f>
        <v>1880.19</v>
      </c>
      <c r="K25" s="21" t="s">
        <v>140</v>
      </c>
    </row>
    <row r="26" customFormat="false" ht="22.35" hidden="false" customHeight="false" outlineLevel="0" collapsed="false">
      <c r="A26" s="16" t="s">
        <v>57</v>
      </c>
      <c r="B26" s="17" t="n">
        <v>1899.72</v>
      </c>
      <c r="C26" s="17" t="n">
        <v>1200</v>
      </c>
      <c r="D26" s="18" t="n">
        <f aca="false">MAX(0,B26-C26)</f>
        <v>699.72</v>
      </c>
      <c r="E26" s="17" t="n">
        <v>15</v>
      </c>
      <c r="F26" s="19" t="n">
        <v>12</v>
      </c>
      <c r="G26" s="17" t="n">
        <v>45</v>
      </c>
      <c r="H26" s="19" t="n">
        <v>36</v>
      </c>
      <c r="I26" s="17" t="n">
        <v>0</v>
      </c>
      <c r="J26" s="20" t="n">
        <f aca="false">D26+E26*F26+G26*(H26-F26)+I26</f>
        <v>1959.72</v>
      </c>
      <c r="K26" s="21" t="s">
        <v>141</v>
      </c>
    </row>
  </sheetData>
  <mergeCells count="6">
    <mergeCell ref="A12:M12"/>
    <mergeCell ref="A13:M13"/>
    <mergeCell ref="A14:M14"/>
    <mergeCell ref="A15:M15"/>
    <mergeCell ref="A16:M16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70"/>
  </cols>
  <sheetData>
    <row r="1" customFormat="false" ht="15" hidden="false" customHeight="true" outlineLevel="0" collapsed="false">
      <c r="A1" s="22" t="s">
        <v>142</v>
      </c>
    </row>
    <row r="2" customFormat="false" ht="39" hidden="false" customHeight="true" outlineLevel="0" collapsed="false">
      <c r="A2" s="23" t="s">
        <v>2</v>
      </c>
      <c r="B2" s="23" t="s">
        <v>127</v>
      </c>
      <c r="C2" s="23" t="s">
        <v>128</v>
      </c>
      <c r="D2" s="23" t="s">
        <v>129</v>
      </c>
      <c r="E2" s="23" t="s">
        <v>130</v>
      </c>
      <c r="F2" s="23" t="s">
        <v>131</v>
      </c>
      <c r="G2" s="23" t="s">
        <v>132</v>
      </c>
      <c r="H2" s="23" t="s">
        <v>133</v>
      </c>
      <c r="I2" s="23" t="s">
        <v>134</v>
      </c>
      <c r="J2" s="23" t="s">
        <v>135</v>
      </c>
      <c r="K2" s="23" t="s">
        <v>136</v>
      </c>
    </row>
    <row r="3" customFormat="false" ht="15" hidden="false" customHeight="true" outlineLevel="0" collapsed="false">
      <c r="A3" s="24" t="s">
        <v>15</v>
      </c>
      <c r="B3" s="25" t="n">
        <v>1199.99</v>
      </c>
      <c r="C3" s="25" t="n">
        <v>1200</v>
      </c>
      <c r="D3" s="26" t="n">
        <f aca="false">MAX(0,B3-C3)</f>
        <v>0</v>
      </c>
      <c r="E3" s="25" t="n">
        <v>100</v>
      </c>
      <c r="F3" s="27" t="n">
        <v>0</v>
      </c>
      <c r="G3" s="25" t="n">
        <v>100</v>
      </c>
      <c r="H3" s="27" t="n">
        <v>36</v>
      </c>
      <c r="I3" s="25" t="n">
        <v>35</v>
      </c>
      <c r="J3" s="28" t="n">
        <f aca="false">D3+E3*F3+G3*(H3-F3)+I3</f>
        <v>3635</v>
      </c>
      <c r="K3" s="29"/>
    </row>
    <row r="4" customFormat="false" ht="15" hidden="false" customHeight="true" outlineLevel="0" collapsed="false">
      <c r="A4" s="24" t="s">
        <v>27</v>
      </c>
      <c r="B4" s="25" t="n">
        <v>1199.99</v>
      </c>
      <c r="C4" s="25" t="n">
        <v>1200</v>
      </c>
      <c r="D4" s="26" t="n">
        <f aca="false">MAX(0,B4-C4)</f>
        <v>0</v>
      </c>
      <c r="E4" s="25" t="n">
        <v>95</v>
      </c>
      <c r="F4" s="27" t="n">
        <v>0</v>
      </c>
      <c r="G4" s="25" t="n">
        <v>95</v>
      </c>
      <c r="H4" s="27" t="n">
        <v>36</v>
      </c>
      <c r="I4" s="25" t="n">
        <v>40</v>
      </c>
      <c r="J4" s="28" t="n">
        <f aca="false">D4+E4*F4+G4*(H4-F4)+I4</f>
        <v>3460</v>
      </c>
      <c r="K4" s="29"/>
    </row>
    <row r="5" customFormat="false" ht="15" hidden="false" customHeight="true" outlineLevel="0" collapsed="false">
      <c r="A5" s="24" t="s">
        <v>37</v>
      </c>
      <c r="B5" s="25" t="n">
        <v>1199.99</v>
      </c>
      <c r="C5" s="25" t="n">
        <v>1200</v>
      </c>
      <c r="D5" s="26" t="n">
        <f aca="false">MAX(0,B5-C5)</f>
        <v>0</v>
      </c>
      <c r="E5" s="25" t="n">
        <v>90</v>
      </c>
      <c r="F5" s="27" t="n">
        <v>0</v>
      </c>
      <c r="G5" s="25" t="n">
        <v>90</v>
      </c>
      <c r="H5" s="27" t="n">
        <v>36</v>
      </c>
      <c r="I5" s="25" t="n">
        <v>35</v>
      </c>
      <c r="J5" s="28" t="n">
        <f aca="false">D5+E5*F5+G5*(H5-F5)+I5</f>
        <v>3275</v>
      </c>
      <c r="K5" s="29"/>
    </row>
    <row r="6" customFormat="false" ht="15" hidden="false" customHeight="true" outlineLevel="0" collapsed="false">
      <c r="A6" s="24" t="s">
        <v>47</v>
      </c>
      <c r="B6" s="25" t="n">
        <v>1199.99</v>
      </c>
      <c r="C6" s="25" t="n">
        <v>600</v>
      </c>
      <c r="D6" s="26" t="n">
        <f aca="false">MAX(0,B6-C6)</f>
        <v>599.99</v>
      </c>
      <c r="E6" s="25" t="n">
        <v>20</v>
      </c>
      <c r="F6" s="27" t="n">
        <v>12</v>
      </c>
      <c r="G6" s="25" t="n">
        <v>50</v>
      </c>
      <c r="H6" s="27" t="n">
        <v>36</v>
      </c>
      <c r="I6" s="25" t="n">
        <v>0</v>
      </c>
      <c r="J6" s="28" t="n">
        <f aca="false">D6+E6*F6+G6*(H6-F6)+I6</f>
        <v>2039.99</v>
      </c>
      <c r="K6" s="29"/>
    </row>
    <row r="7" customFormat="false" ht="15" hidden="false" customHeight="true" outlineLevel="0" collapsed="false">
      <c r="A7" s="24" t="s">
        <v>57</v>
      </c>
      <c r="B7" s="25" t="n">
        <v>1299.96</v>
      </c>
      <c r="C7" s="25" t="n">
        <v>1300</v>
      </c>
      <c r="D7" s="26" t="n">
        <f aca="false">MAX(0,B7-C7)</f>
        <v>0</v>
      </c>
      <c r="E7" s="25" t="n">
        <v>15</v>
      </c>
      <c r="F7" s="27" t="n">
        <v>12</v>
      </c>
      <c r="G7" s="25" t="n">
        <v>45</v>
      </c>
      <c r="H7" s="27" t="n">
        <v>36</v>
      </c>
      <c r="I7" s="25" t="n">
        <v>0</v>
      </c>
      <c r="J7" s="28" t="n">
        <f aca="false">D7+E7*F7+G7*(H7-F7)+I7</f>
        <v>1260</v>
      </c>
      <c r="K7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36"/>
    <col collapsed="false" customWidth="true" hidden="false" outlineLevel="0" max="4" min="4" style="1" width="80"/>
  </cols>
  <sheetData>
    <row r="1" customFormat="false" ht="15" hidden="false" customHeight="true" outlineLevel="0" collapsed="false">
      <c r="A1" s="22" t="s">
        <v>143</v>
      </c>
    </row>
    <row r="2" customFormat="false" ht="15" hidden="false" customHeight="true" outlineLevel="0" collapsed="false">
      <c r="A2" s="30" t="s">
        <v>2</v>
      </c>
      <c r="B2" s="30" t="s">
        <v>144</v>
      </c>
      <c r="C2" s="30" t="s">
        <v>145</v>
      </c>
      <c r="D2" s="30" t="s">
        <v>146</v>
      </c>
    </row>
    <row r="3" customFormat="false" ht="15" hidden="false" customHeight="true" outlineLevel="0" collapsed="false">
      <c r="A3" s="31" t="s">
        <v>15</v>
      </c>
      <c r="B3" s="31" t="s">
        <v>147</v>
      </c>
      <c r="C3" s="31" t="s">
        <v>148</v>
      </c>
      <c r="D3" s="31" t="s">
        <v>149</v>
      </c>
    </row>
    <row r="4" customFormat="false" ht="15" hidden="false" customHeight="true" outlineLevel="0" collapsed="false">
      <c r="A4" s="31" t="s">
        <v>15</v>
      </c>
      <c r="B4" s="31" t="s">
        <v>150</v>
      </c>
      <c r="C4" s="31" t="s">
        <v>151</v>
      </c>
      <c r="D4" s="31" t="s">
        <v>152</v>
      </c>
    </row>
    <row r="5" customFormat="false" ht="15" hidden="false" customHeight="true" outlineLevel="0" collapsed="false">
      <c r="A5" s="31" t="s">
        <v>15</v>
      </c>
      <c r="B5" s="31" t="s">
        <v>153</v>
      </c>
      <c r="C5" s="31" t="s">
        <v>154</v>
      </c>
      <c r="D5" s="31" t="s">
        <v>155</v>
      </c>
    </row>
    <row r="6" customFormat="false" ht="21.75" hidden="false" customHeight="true" outlineLevel="0" collapsed="false">
      <c r="A6" s="31" t="s">
        <v>15</v>
      </c>
      <c r="B6" s="31" t="s">
        <v>156</v>
      </c>
      <c r="C6" s="31" t="s">
        <v>157</v>
      </c>
      <c r="D6" s="31" t="s">
        <v>158</v>
      </c>
    </row>
    <row r="7" customFormat="false" ht="15" hidden="false" customHeight="true" outlineLevel="0" collapsed="false">
      <c r="A7" s="31" t="s">
        <v>27</v>
      </c>
      <c r="B7" s="31" t="s">
        <v>159</v>
      </c>
      <c r="C7" s="31" t="s">
        <v>160</v>
      </c>
      <c r="D7" s="31" t="s">
        <v>161</v>
      </c>
    </row>
    <row r="8" customFormat="false" ht="15" hidden="false" customHeight="true" outlineLevel="0" collapsed="false">
      <c r="A8" s="31" t="s">
        <v>27</v>
      </c>
      <c r="B8" s="31" t="s">
        <v>162</v>
      </c>
      <c r="C8" s="31" t="s">
        <v>163</v>
      </c>
      <c r="D8" s="31" t="s">
        <v>164</v>
      </c>
    </row>
    <row r="9" customFormat="false" ht="21.75" hidden="false" customHeight="true" outlineLevel="0" collapsed="false">
      <c r="A9" s="31" t="s">
        <v>27</v>
      </c>
      <c r="B9" s="31" t="s">
        <v>165</v>
      </c>
      <c r="C9" s="31" t="s">
        <v>166</v>
      </c>
      <c r="D9" s="31" t="s">
        <v>167</v>
      </c>
    </row>
    <row r="10" customFormat="false" ht="15" hidden="false" customHeight="true" outlineLevel="0" collapsed="false">
      <c r="A10" s="31" t="s">
        <v>37</v>
      </c>
      <c r="B10" s="31" t="s">
        <v>168</v>
      </c>
      <c r="C10" s="31" t="s">
        <v>169</v>
      </c>
      <c r="D10" s="31" t="s">
        <v>170</v>
      </c>
    </row>
    <row r="11" customFormat="false" ht="21.75" hidden="false" customHeight="true" outlineLevel="0" collapsed="false">
      <c r="A11" s="31" t="s">
        <v>37</v>
      </c>
      <c r="B11" s="31" t="s">
        <v>171</v>
      </c>
      <c r="C11" s="31" t="s">
        <v>172</v>
      </c>
      <c r="D11" s="31" t="s">
        <v>173</v>
      </c>
    </row>
    <row r="12" customFormat="false" ht="21.75" hidden="false" customHeight="true" outlineLevel="0" collapsed="false">
      <c r="A12" s="31" t="s">
        <v>37</v>
      </c>
      <c r="B12" s="31" t="s">
        <v>174</v>
      </c>
      <c r="C12" s="31" t="s">
        <v>175</v>
      </c>
      <c r="D12" s="31" t="s">
        <v>176</v>
      </c>
    </row>
    <row r="13" customFormat="false" ht="15" hidden="false" customHeight="true" outlineLevel="0" collapsed="false">
      <c r="A13" s="31" t="s">
        <v>177</v>
      </c>
      <c r="B13" s="31" t="s">
        <v>178</v>
      </c>
      <c r="C13" s="31" t="s">
        <v>179</v>
      </c>
      <c r="D13" s="31" t="s">
        <v>180</v>
      </c>
    </row>
    <row r="14" customFormat="false" ht="15" hidden="false" customHeight="true" outlineLevel="0" collapsed="false">
      <c r="A14" s="31" t="s">
        <v>181</v>
      </c>
      <c r="B14" s="31" t="s">
        <v>182</v>
      </c>
      <c r="C14" s="31" t="s">
        <v>183</v>
      </c>
      <c r="D14" s="31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2026-09-28T19:48:37Z</dcterms:created>
  <dc:creator>openpyxl</dc:creator>
  <dc:description/>
  <dc:language>en-US</dc:language>
  <cp:lastModifiedBy/>
  <dcterms:modified xsi:type="dcterms:W3CDTF">2026-09-28T20:00:06Z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
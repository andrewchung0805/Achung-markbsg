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 Chung\Downloads\"/>
    </mc:Choice>
  </mc:AlternateContent>
  <xr:revisionPtr revIDLastSave="0" documentId="13_ncr:1_{AE122A9E-C5D0-4660-A4D0-94065D0AD1D7}" xr6:coauthVersionLast="47" xr6:coauthVersionMax="47" xr10:uidLastSave="{00000000-0000-0000-0000-000000000000}"/>
  <bookViews>
    <workbookView xWindow="-120" yWindow="-120" windowWidth="29040" windowHeight="15720" xr2:uid="{E5C5AA0F-E3CE-41D6-B167-E135B0C11101}"/>
  </bookViews>
  <sheets>
    <sheet name="World Wide Box office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1" i="2" l="1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<sst xmlns="http://schemas.openxmlformats.org/spreadsheetml/2006/main" count="231" uniqueCount="134">
  <si>
    <t>Rank</t>
  </si>
  <si>
    <t>Movie</t>
  </si>
  <si>
    <t>Distributor</t>
  </si>
  <si>
    <t>Spider-Man: Brand New Day</t>
  </si>
  <si>
    <t>Sony Pictures</t>
  </si>
  <si>
    <t>The Odyssey</t>
  </si>
  <si>
    <t>Universal</t>
  </si>
  <si>
    <t>Toy Story 5</t>
  </si>
  <si>
    <t>Walt Disney</t>
  </si>
  <si>
    <t>The Super Mario Galaxy Movie</t>
  </si>
  <si>
    <t>Michael</t>
  </si>
  <si>
    <t>Lionsgate</t>
  </si>
  <si>
    <t>Project Hail Mary</t>
  </si>
  <si>
    <t>Amazon MGM Studios</t>
  </si>
  <si>
    <t>Obsession</t>
  </si>
  <si>
    <t>Focus Features</t>
  </si>
  <si>
    <t>The Devil Wears Prada 2</t>
  </si>
  <si>
    <t>Backrooms</t>
  </si>
  <si>
    <t>A24</t>
  </si>
  <si>
    <t>Minions &amp; Monsters</t>
  </si>
  <si>
    <t>Star Wars: The Mandalorian an…</t>
  </si>
  <si>
    <t>Hoppers</t>
  </si>
  <si>
    <t>Moana</t>
  </si>
  <si>
    <t>Scream 7</t>
  </si>
  <si>
    <t>Paramount Pictures</t>
  </si>
  <si>
    <t>Disclosure Day</t>
  </si>
  <si>
    <t>Scary Movie</t>
  </si>
  <si>
    <t>GOAT</t>
  </si>
  <si>
    <t>“Wuthering Heights”</t>
  </si>
  <si>
    <t>Warner Bros.</t>
  </si>
  <si>
    <t>Mortal Kombat II</t>
  </si>
  <si>
    <t>Supergirl</t>
  </si>
  <si>
    <t>The Sheep Detectives</t>
  </si>
  <si>
    <t>Masters of the Universe</t>
  </si>
  <si>
    <t>Send Help</t>
  </si>
  <si>
    <t>Reminders of Him</t>
  </si>
  <si>
    <t>The Drama</t>
  </si>
  <si>
    <t>Young Washington</t>
  </si>
  <si>
    <t>Angel Studios</t>
  </si>
  <si>
    <t>Iron Lung</t>
  </si>
  <si>
    <t>Markiplier Studios</t>
  </si>
  <si>
    <t>Crime 101</t>
  </si>
  <si>
    <t>Evil Dead Burn</t>
  </si>
  <si>
    <t>Lee Cronin’s The Mummy</t>
  </si>
  <si>
    <t>Dhurandhar: The Revenge</t>
  </si>
  <si>
    <t>The End of Oak Street</t>
  </si>
  <si>
    <t>Solo Mio</t>
  </si>
  <si>
    <t>Primate</t>
  </si>
  <si>
    <t>28 Years Later: The Bone Temp…</t>
  </si>
  <si>
    <t>The Invite</t>
  </si>
  <si>
    <t>The Amazing Digital Circus: T…</t>
  </si>
  <si>
    <t>Mercy</t>
  </si>
  <si>
    <t>Hadestown: The Musical</t>
  </si>
  <si>
    <t>Bleecker Street</t>
  </si>
  <si>
    <t>The Breadwinner</t>
  </si>
  <si>
    <t>undertone</t>
  </si>
  <si>
    <t>You, Me &amp; Tuscany</t>
  </si>
  <si>
    <t>I Can Only Imagine 2</t>
  </si>
  <si>
    <t>Jackass: Best and Last</t>
  </si>
  <si>
    <t>Passenger</t>
  </si>
  <si>
    <t>Greenland 2: Migration</t>
  </si>
  <si>
    <t>Hokum</t>
  </si>
  <si>
    <t>Neon</t>
  </si>
  <si>
    <t>Melania</t>
  </si>
  <si>
    <t>Pressure</t>
  </si>
  <si>
    <t>EPiC: Elvis Presley in Concert</t>
  </si>
  <si>
    <t>Shelter</t>
  </si>
  <si>
    <t>The Bride!</t>
  </si>
  <si>
    <t>One Night Only</t>
  </si>
  <si>
    <t>They Will Kill You</t>
  </si>
  <si>
    <t>Billie Eilish: Hit Me Hard an…</t>
  </si>
  <si>
    <t>The Strangers: Chapter 3</t>
  </si>
  <si>
    <t>How to Make a Killing</t>
  </si>
  <si>
    <t>Stray Kids: The DominATE expe…</t>
  </si>
  <si>
    <t>The Furious (火遮眼)</t>
  </si>
  <si>
    <t>BTS World Tour Arirang: Live …</t>
  </si>
  <si>
    <t>In the Grey</t>
  </si>
  <si>
    <t>Return to Silent Hill</t>
  </si>
  <si>
    <t>Iconic Releasing</t>
  </si>
  <si>
    <t>Well Go USA</t>
  </si>
  <si>
    <t>Blades of the Guardians (镖人…</t>
  </si>
  <si>
    <t>Crossing (四渡)</t>
  </si>
  <si>
    <t>Pegasus 3 (飞驰人生3)</t>
  </si>
  <si>
    <t>Kung Fu Soccer (功夫女足)</t>
  </si>
  <si>
    <t>Dear You (给阿嬷的情书)</t>
  </si>
  <si>
    <t>Scare Out (惊蛰无声)</t>
  </si>
  <si>
    <t>All Wishes Come True! (八仙！)</t>
  </si>
  <si>
    <t>Boonie Bears: The Hidden Prot…</t>
  </si>
  <si>
    <t>The King’s Warden (왕과 사는 …</t>
  </si>
  <si>
    <t>Cheburashka 2 (Чебурашка 2)</t>
  </si>
  <si>
    <t>Vanishing Point (消失的人)</t>
  </si>
  <si>
    <t>Colony (군체)</t>
  </si>
  <si>
    <t>Night King (夜王)</t>
  </si>
  <si>
    <t>Border 2</t>
  </si>
  <si>
    <t>Han Zhan 1994 (寒戰1994)</t>
  </si>
  <si>
    <t>Panda Plan 2: The Magical Tri…</t>
  </si>
  <si>
    <t>Hope (호프)</t>
  </si>
  <si>
    <t>Torrente, Presidente</t>
  </si>
  <si>
    <t>Prostokvashino (Простоквашино)</t>
  </si>
  <si>
    <t>Buratino (Буратино)</t>
  </si>
  <si>
    <t>The Magic Faraway Tree</t>
  </si>
  <si>
    <t>Skazka o tsare Saltane (Сказк…</t>
  </si>
  <si>
    <t>It’s OK (我，许可)</t>
  </si>
  <si>
    <t>Salmokji: Whispering Water (…</t>
  </si>
  <si>
    <t>A Part of Me (想你了)</t>
  </si>
  <si>
    <t>Keep Real (特立独行)</t>
  </si>
  <si>
    <t>Busted Water Pipes (爆水管)</t>
  </si>
  <si>
    <t>Kholop 3 (Холоп 3)</t>
  </si>
  <si>
    <t>I Know Who You Are (抓特务)</t>
  </si>
  <si>
    <t>The Caged Butterfly (蝴蝶楼·…</t>
  </si>
  <si>
    <t>Die Drei???: Toteninsel</t>
  </si>
  <si>
    <t>HUMINT (휴민트)</t>
  </si>
  <si>
    <t>Tvoyo serdtse budet razbito (…</t>
  </si>
  <si>
    <t>Domovyonok Kuzya 2 (Домовенок…</t>
  </si>
  <si>
    <t>The Eyes (눈동자)</t>
  </si>
  <si>
    <t>Johnny Keep Walking! 2 (年会…</t>
  </si>
  <si>
    <t>Take Off (飞行家)</t>
  </si>
  <si>
    <t>Be Yourself (错过了，遗憾吗？)</t>
  </si>
  <si>
    <t>Studio</t>
  </si>
  <si>
    <t>20th Century Studios</t>
  </si>
  <si>
    <t>Moviegoers Entertainment</t>
  </si>
  <si>
    <t>Fathom Entertainment</t>
  </si>
  <si>
    <t>Black Bear Pictures</t>
  </si>
  <si>
    <t>Trafalgar Releasing</t>
  </si>
  <si>
    <t>Worldwide Box Office</t>
  </si>
  <si>
    <t>Domestic Box Office</t>
  </si>
  <si>
    <t>International Box Office</t>
  </si>
  <si>
    <t>Parent Company</t>
  </si>
  <si>
    <t>Disney</t>
  </si>
  <si>
    <t>Comcast</t>
  </si>
  <si>
    <t>Paramount Skydance</t>
  </si>
  <si>
    <t>Amazon</t>
  </si>
  <si>
    <t>Sony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</si>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</sst>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rgb="FFFFFFFF"/>
      <name val="Arial"/>
      <family val="2"/>
    </font>
    <font>
      <u/>
      <sz val="11"/>
      <color rgb="FF00000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rgb="FFD0D0D0"/>
      </left>
      <right style="medium">
        <color rgb="FF808080"/>
      </right>
      <top style="medium">
        <color rgb="FF808080"/>
      </top>
      <bottom style="thin">
        <color rgb="FFD0D0D0"/>
      </bottom>
      <diagonal/>
    </border>
    <border>
      <left style="medium">
        <color rgb="FF80808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808080"/>
      </right>
      <top style="thin">
        <color rgb="FFD0D0D0"/>
      </top>
      <bottom style="thin">
        <color rgb="FFD0D0D0"/>
      </bottom>
      <diagonal/>
    </border>
    <border>
      <left style="medium">
        <color rgb="FF808080"/>
      </left>
      <right style="thin">
        <color rgb="FFD0D0D0"/>
      </right>
      <top style="thin">
        <color rgb="FFD0D0D0"/>
      </top>
      <bottom style="medium">
        <color rgb="FF80808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808080"/>
      </bottom>
      <diagonal/>
    </border>
    <border>
      <left style="thin">
        <color rgb="FFD0D0D0"/>
      </left>
      <right style="medium">
        <color rgb="FF808080"/>
      </right>
      <top style="thin">
        <color rgb="FFD0D0D0"/>
      </top>
      <bottom style="medium">
        <color rgb="FF808080"/>
      </bottom>
      <diagonal/>
    </border>
    <border>
      <left style="medium">
        <color rgb="FF80808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medium">
        <color rgb="FF808080"/>
      </left>
      <right style="thin">
        <color rgb="FFD0D0D0"/>
      </right>
      <top style="medium">
        <color rgb="FF808080"/>
      </top>
      <bottom style="medium">
        <color rgb="FF1F4E78"/>
      </bottom>
      <diagonal/>
    </border>
    <border>
      <left style="thin">
        <color rgb="FFD0D0D0"/>
      </left>
      <right style="thin">
        <color rgb="FFD0D0D0"/>
      </right>
      <top style="medium">
        <color rgb="FF808080"/>
      </top>
      <bottom style="medium">
        <color rgb="FF1F4E78"/>
      </bottom>
      <diagonal/>
    </border>
    <border>
      <left style="thin">
        <color rgb="FFD0D0D0"/>
      </left>
      <right/>
      <top style="medium">
        <color rgb="FF808080"/>
      </top>
      <bottom style="medium">
        <color rgb="FF1F4E78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medium">
        <color rgb="FF80808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left" vertical="center" wrapText="1"/>
    </xf>
    <xf numFmtId="6" fontId="1" fillId="2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left" vertical="center" wrapText="1"/>
    </xf>
    <xf numFmtId="6" fontId="1" fillId="4" borderId="3" xfId="0" applyNumberFormat="1" applyFont="1" applyFill="1" applyBorder="1" applyAlignment="1">
      <alignment horizontal="right" vertical="center" wrapText="1"/>
    </xf>
    <xf numFmtId="0" fontId="1" fillId="4" borderId="4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left" vertical="center" wrapText="1"/>
    </xf>
    <xf numFmtId="6" fontId="1" fillId="4" borderId="6" xfId="0" applyNumberFormat="1" applyFont="1" applyFill="1" applyBorder="1" applyAlignment="1">
      <alignment horizontal="right" vertical="center" wrapText="1"/>
    </xf>
    <xf numFmtId="0" fontId="1" fillId="4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left" vertical="center" wrapText="1"/>
    </xf>
    <xf numFmtId="6" fontId="1" fillId="2" borderId="9" xfId="0" applyNumberFormat="1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5" fillId="0" borderId="0" xfId="0" applyFont="1"/>
    <xf numFmtId="0" fontId="3" fillId="3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82888E-4C86-4B6F-A648-62CC3A7727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4163005-074b-4f43-8531-3132418d035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he-numbers.com/movie/Boonie-Bears-The-Hidden-Protector-(2026-China)" TargetMode="External"/><Relationship Id="rId21" Type="http://schemas.openxmlformats.org/officeDocument/2006/relationships/hyperlink" Target="https://www.the-numbers.com/movie/Blades-of-the-Guardians-(2026-China)" TargetMode="External"/><Relationship Id="rId42" Type="http://schemas.openxmlformats.org/officeDocument/2006/relationships/hyperlink" Target="https://www.the-numbers.com/movie/Mercy-(2026)" TargetMode="External"/><Relationship Id="rId47" Type="http://schemas.openxmlformats.org/officeDocument/2006/relationships/hyperlink" Target="https://www.the-numbers.com/movie/Night-King-(2026-Hong-Kong)" TargetMode="External"/><Relationship Id="rId63" Type="http://schemas.openxmlformats.org/officeDocument/2006/relationships/hyperlink" Target="https://www.the-numbers.com/movie/Greenland-2-Migration-(2026)" TargetMode="External"/><Relationship Id="rId68" Type="http://schemas.openxmlformats.org/officeDocument/2006/relationships/hyperlink" Target="https://www.the-numbers.com/movie/Its-OK-(2026-China)" TargetMode="External"/><Relationship Id="rId84" Type="http://schemas.openxmlformats.org/officeDocument/2006/relationships/hyperlink" Target="https://www.the-numbers.com/movie/Busted-Water-Pipes-(2026-China)" TargetMode="External"/><Relationship Id="rId89" Type="http://schemas.openxmlformats.org/officeDocument/2006/relationships/hyperlink" Target="https://www.the-numbers.com/movie/Drei-Die-Toteninsel-(2026-Germany)" TargetMode="External"/><Relationship Id="rId16" Type="http://schemas.openxmlformats.org/officeDocument/2006/relationships/hyperlink" Target="https://www.the-numbers.com/movie/Dear-You-(2026-China)" TargetMode="External"/><Relationship Id="rId11" Type="http://schemas.openxmlformats.org/officeDocument/2006/relationships/hyperlink" Target="https://www.the-numbers.com/movie/Backrooms-(2026)" TargetMode="External"/><Relationship Id="rId32" Type="http://schemas.openxmlformats.org/officeDocument/2006/relationships/hyperlink" Target="https://www.the-numbers.com/movie/Drama-The-(2026)" TargetMode="External"/><Relationship Id="rId37" Type="http://schemas.openxmlformats.org/officeDocument/2006/relationships/hyperlink" Target="https://www.the-numbers.com/movie/Vanishing-Point-(2026-China)" TargetMode="External"/><Relationship Id="rId53" Type="http://schemas.openxmlformats.org/officeDocument/2006/relationships/hyperlink" Target="https://www.the-numbers.com/movie/Crossing-(2026-China)" TargetMode="External"/><Relationship Id="rId58" Type="http://schemas.openxmlformats.org/officeDocument/2006/relationships/hyperlink" Target="https://www.the-numbers.com/movie/Torrente-Presidente-(2026-Spain)" TargetMode="External"/><Relationship Id="rId74" Type="http://schemas.openxmlformats.org/officeDocument/2006/relationships/hyperlink" Target="https://www.the-numbers.com/movie/Salmokji-Whispering-Water-(2026-South-Korea)" TargetMode="External"/><Relationship Id="rId79" Type="http://schemas.openxmlformats.org/officeDocument/2006/relationships/hyperlink" Target="https://www.the-numbers.com/movie/Breadwinner-The-(2026)" TargetMode="External"/><Relationship Id="rId5" Type="http://schemas.openxmlformats.org/officeDocument/2006/relationships/hyperlink" Target="https://www.the-numbers.com/movie/Super-Mario-Galaxy-Movie-The-(2026)" TargetMode="External"/><Relationship Id="rId90" Type="http://schemas.openxmlformats.org/officeDocument/2006/relationships/hyperlink" Target="https://www.the-numbers.com/movie/One-Night-Only-(2026)" TargetMode="External"/><Relationship Id="rId95" Type="http://schemas.openxmlformats.org/officeDocument/2006/relationships/hyperlink" Target="https://www.the-numbers.com/movie/Eyes-The-(2026-South-Korea)" TargetMode="External"/><Relationship Id="rId22" Type="http://schemas.openxmlformats.org/officeDocument/2006/relationships/hyperlink" Target="https://www.the-numbers.com/movie/GOAT-(2026)" TargetMode="External"/><Relationship Id="rId27" Type="http://schemas.openxmlformats.org/officeDocument/2006/relationships/hyperlink" Target="https://www.the-numbers.com/movie/Sheep-Detectives-The-(2026)" TargetMode="External"/><Relationship Id="rId43" Type="http://schemas.openxmlformats.org/officeDocument/2006/relationships/hyperlink" Target="https://www.the-numbers.com/movie/Iron-Lung-(2026)" TargetMode="External"/><Relationship Id="rId48" Type="http://schemas.openxmlformats.org/officeDocument/2006/relationships/hyperlink" Target="https://www.the-numbers.com/movie/Furious-The-(2026-Hong-Kong)" TargetMode="External"/><Relationship Id="rId64" Type="http://schemas.openxmlformats.org/officeDocument/2006/relationships/hyperlink" Target="https://www.the-numbers.com/movie/Jackass-Best-and-Last-(2026)" TargetMode="External"/><Relationship Id="rId69" Type="http://schemas.openxmlformats.org/officeDocument/2006/relationships/hyperlink" Target="https://www.the-numbers.com/movie/Hokum-(2026)" TargetMode="External"/><Relationship Id="rId80" Type="http://schemas.openxmlformats.org/officeDocument/2006/relationships/hyperlink" Target="https://www.the-numbers.com/movie/Pressure-(2026-United-Kingdom)" TargetMode="External"/><Relationship Id="rId85" Type="http://schemas.openxmlformats.org/officeDocument/2006/relationships/hyperlink" Target="https://www.the-numbers.com/movie/Kholop-3-(2026-Russia)" TargetMode="External"/><Relationship Id="rId3" Type="http://schemas.openxmlformats.org/officeDocument/2006/relationships/hyperlink" Target="https://www.the-numbers.com/movie/Toy-Story-5-(2026)" TargetMode="External"/><Relationship Id="rId12" Type="http://schemas.openxmlformats.org/officeDocument/2006/relationships/hyperlink" Target="https://www.the-numbers.com/movie/Hoppers-(2026)" TargetMode="External"/><Relationship Id="rId17" Type="http://schemas.openxmlformats.org/officeDocument/2006/relationships/hyperlink" Target="https://www.the-numbers.com/movie/Wuthering-Heights-(2026)" TargetMode="External"/><Relationship Id="rId25" Type="http://schemas.openxmlformats.org/officeDocument/2006/relationships/hyperlink" Target="https://www.the-numbers.com/movie/Dhurandhar-The-Revenge-(2026-India)" TargetMode="External"/><Relationship Id="rId33" Type="http://schemas.openxmlformats.org/officeDocument/2006/relationships/hyperlink" Target="https://www.the-numbers.com/movie/Send-Help-(2026)" TargetMode="External"/><Relationship Id="rId38" Type="http://schemas.openxmlformats.org/officeDocument/2006/relationships/hyperlink" Target="https://www.the-numbers.com/movie/Crime-101-(2026)" TargetMode="External"/><Relationship Id="rId46" Type="http://schemas.openxmlformats.org/officeDocument/2006/relationships/hyperlink" Target="https://www.the-numbers.com/movie/Young-Washington-(2026)" TargetMode="External"/><Relationship Id="rId59" Type="http://schemas.openxmlformats.org/officeDocument/2006/relationships/hyperlink" Target="https://www.the-numbers.com/movie/Prostokvashino-(2026-Russia)" TargetMode="External"/><Relationship Id="rId67" Type="http://schemas.openxmlformats.org/officeDocument/2006/relationships/hyperlink" Target="https://www.the-numbers.com/movie/Billie-Eilish-Hit-Me-Hard-and-Soft-The-Tour-(2026)" TargetMode="External"/><Relationship Id="rId20" Type="http://schemas.openxmlformats.org/officeDocument/2006/relationships/hyperlink" Target="https://www.the-numbers.com/movie/Scream-7-(2026)" TargetMode="External"/><Relationship Id="rId41" Type="http://schemas.openxmlformats.org/officeDocument/2006/relationships/hyperlink" Target="https://www.the-numbers.com/movie/28-Years-Later-The-Bone-Temple-(2026)" TargetMode="External"/><Relationship Id="rId54" Type="http://schemas.openxmlformats.org/officeDocument/2006/relationships/hyperlink" Target="https://www.the-numbers.com/movie/Panda-Plan-2-The-Magical-Tribe-(2026-China)" TargetMode="External"/><Relationship Id="rId62" Type="http://schemas.openxmlformats.org/officeDocument/2006/relationships/hyperlink" Target="https://www.the-numbers.com/movie/Magic-Faraway-Tree-The-(2025-United-Kingdom)" TargetMode="External"/><Relationship Id="rId70" Type="http://schemas.openxmlformats.org/officeDocument/2006/relationships/hyperlink" Target="https://www.the-numbers.com/movie/Bride-The-(2026)" TargetMode="External"/><Relationship Id="rId75" Type="http://schemas.openxmlformats.org/officeDocument/2006/relationships/hyperlink" Target="https://www.the-numbers.com/movie/undertone-(2026-Canada)" TargetMode="External"/><Relationship Id="rId83" Type="http://schemas.openxmlformats.org/officeDocument/2006/relationships/hyperlink" Target="https://www.the-numbers.com/movie/Keep-Real-(2026-China)" TargetMode="External"/><Relationship Id="rId88" Type="http://schemas.openxmlformats.org/officeDocument/2006/relationships/hyperlink" Target="https://www.the-numbers.com/movie/Caged-Butterfly-The-(2026-China)" TargetMode="External"/><Relationship Id="rId91" Type="http://schemas.openxmlformats.org/officeDocument/2006/relationships/hyperlink" Target="https://www.the-numbers.com/movie/In-the-Grey-(2026)" TargetMode="External"/><Relationship Id="rId96" Type="http://schemas.openxmlformats.org/officeDocument/2006/relationships/hyperlink" Target="https://www.the-numbers.com/movie/Strangers-The-Chapter-3-(2026)" TargetMode="External"/><Relationship Id="rId1" Type="http://schemas.openxmlformats.org/officeDocument/2006/relationships/hyperlink" Target="https://www.the-numbers.com/movie/Spider-Man-Brand-New-Day-(2026)" TargetMode="External"/><Relationship Id="rId6" Type="http://schemas.openxmlformats.org/officeDocument/2006/relationships/hyperlink" Target="https://www.the-numbers.com/movie/Devil-Wears-Prada-2-The-(2026)" TargetMode="External"/><Relationship Id="rId15" Type="http://schemas.openxmlformats.org/officeDocument/2006/relationships/hyperlink" Target="https://www.the-numbers.com/movie/Kung-Fu-Soccer-(2026-China)" TargetMode="External"/><Relationship Id="rId23" Type="http://schemas.openxmlformats.org/officeDocument/2006/relationships/hyperlink" Target="https://www.the-numbers.com/movie/Scare-Out-(2026-China)" TargetMode="External"/><Relationship Id="rId28" Type="http://schemas.openxmlformats.org/officeDocument/2006/relationships/hyperlink" Target="https://www.the-numbers.com/movie/Mortal-Kombat-II-(2026)" TargetMode="External"/><Relationship Id="rId36" Type="http://schemas.openxmlformats.org/officeDocument/2006/relationships/hyperlink" Target="https://www.the-numbers.com/movie/Cheburashka-2-(2026-Russia)" TargetMode="External"/><Relationship Id="rId49" Type="http://schemas.openxmlformats.org/officeDocument/2006/relationships/hyperlink" Target="https://www.the-numbers.com/movie/Primate-(2026)" TargetMode="External"/><Relationship Id="rId57" Type="http://schemas.openxmlformats.org/officeDocument/2006/relationships/hyperlink" Target="https://www.the-numbers.com/movie/Return-to-Silent-Hill-(2026-France)" TargetMode="External"/><Relationship Id="rId10" Type="http://schemas.openxmlformats.org/officeDocument/2006/relationships/hyperlink" Target="https://www.the-numbers.com/movie/Obsession-(2026)" TargetMode="External"/><Relationship Id="rId31" Type="http://schemas.openxmlformats.org/officeDocument/2006/relationships/hyperlink" Target="https://www.the-numbers.com/movie/Masters-of-the-Universe-(2026)" TargetMode="External"/><Relationship Id="rId44" Type="http://schemas.openxmlformats.org/officeDocument/2006/relationships/hyperlink" Target="https://www.the-numbers.com/movie/Colony-(2026-South-Korea)" TargetMode="External"/><Relationship Id="rId52" Type="http://schemas.openxmlformats.org/officeDocument/2006/relationships/hyperlink" Target="https://www.the-numbers.com/movie/Invite-The-(2026)" TargetMode="External"/><Relationship Id="rId60" Type="http://schemas.openxmlformats.org/officeDocument/2006/relationships/hyperlink" Target="https://www.the-numbers.com/movie/Buratino-(2026-Russia)" TargetMode="External"/><Relationship Id="rId65" Type="http://schemas.openxmlformats.org/officeDocument/2006/relationships/hyperlink" Target="https://www.the-numbers.com/movie/Solo-Mio-(2026)" TargetMode="External"/><Relationship Id="rId73" Type="http://schemas.openxmlformats.org/officeDocument/2006/relationships/hyperlink" Target="https://www.the-numbers.com/movie/You-Me-and-Tuscany-(2026)" TargetMode="External"/><Relationship Id="rId78" Type="http://schemas.openxmlformats.org/officeDocument/2006/relationships/hyperlink" Target="https://www.the-numbers.com/movie/How-to-Make-a-Killing-(2026)" TargetMode="External"/><Relationship Id="rId81" Type="http://schemas.openxmlformats.org/officeDocument/2006/relationships/hyperlink" Target="https://www.the-numbers.com/movie/They-Will-Kill-You-(2026)" TargetMode="External"/><Relationship Id="rId86" Type="http://schemas.openxmlformats.org/officeDocument/2006/relationships/hyperlink" Target="https://www.the-numbers.com/movie/Melania-(2026)" TargetMode="External"/><Relationship Id="rId94" Type="http://schemas.openxmlformats.org/officeDocument/2006/relationships/hyperlink" Target="https://www.the-numbers.com/movie/Domovyonok-Kuzya-2-(2026-Russia)" TargetMode="External"/><Relationship Id="rId99" Type="http://schemas.openxmlformats.org/officeDocument/2006/relationships/hyperlink" Target="https://www.the-numbers.com/movie/Take-Off-(2026-China)" TargetMode="External"/><Relationship Id="rId4" Type="http://schemas.openxmlformats.org/officeDocument/2006/relationships/hyperlink" Target="https://www.the-numbers.com/movie/Michael-(2026)" TargetMode="External"/><Relationship Id="rId9" Type="http://schemas.openxmlformats.org/officeDocument/2006/relationships/hyperlink" Target="https://www.the-numbers.com/movie/Minions-and-Monsters-(2026)" TargetMode="External"/><Relationship Id="rId13" Type="http://schemas.openxmlformats.org/officeDocument/2006/relationships/hyperlink" Target="https://www.the-numbers.com/movie/Star-Wars-The-Mandalorian-and-Grogu-(2026)" TargetMode="External"/><Relationship Id="rId18" Type="http://schemas.openxmlformats.org/officeDocument/2006/relationships/hyperlink" Target="https://www.the-numbers.com/movie/Disclosure-Day-(2026)" TargetMode="External"/><Relationship Id="rId39" Type="http://schemas.openxmlformats.org/officeDocument/2006/relationships/hyperlink" Target="https://www.the-numbers.com/movie/Evil-Dead-Burn-(2026)" TargetMode="External"/><Relationship Id="rId34" Type="http://schemas.openxmlformats.org/officeDocument/2006/relationships/hyperlink" Target="https://www.the-numbers.com/movie/Lee-Cronins-The-Mummy-(2026)" TargetMode="External"/><Relationship Id="rId50" Type="http://schemas.openxmlformats.org/officeDocument/2006/relationships/hyperlink" Target="https://www.the-numbers.com/movie/Border-2-(2026-India)" TargetMode="External"/><Relationship Id="rId55" Type="http://schemas.openxmlformats.org/officeDocument/2006/relationships/hyperlink" Target="https://www.the-numbers.com/movie/Amazing-Digital-Circus-The-The-Last-Act-(2026)" TargetMode="External"/><Relationship Id="rId76" Type="http://schemas.openxmlformats.org/officeDocument/2006/relationships/hyperlink" Target="https://www.the-numbers.com/movie/Part-of-Me-A-(2026-China)" TargetMode="External"/><Relationship Id="rId97" Type="http://schemas.openxmlformats.org/officeDocument/2006/relationships/hyperlink" Target="https://www.the-numbers.com/movie/Johnny-Keep-Walking-2-(2026-China)" TargetMode="External"/><Relationship Id="rId7" Type="http://schemas.openxmlformats.org/officeDocument/2006/relationships/hyperlink" Target="https://www.the-numbers.com/movie/Project-Hail-Mary-(2026)" TargetMode="External"/><Relationship Id="rId71" Type="http://schemas.openxmlformats.org/officeDocument/2006/relationships/hyperlink" Target="https://www.the-numbers.com/movie/Stray-Kids-The-DominATE-experience-(2026-South-Korea)" TargetMode="External"/><Relationship Id="rId92" Type="http://schemas.openxmlformats.org/officeDocument/2006/relationships/hyperlink" Target="https://www.the-numbers.com/movie/HUMINT-(2026-South-Korea)" TargetMode="External"/><Relationship Id="rId2" Type="http://schemas.openxmlformats.org/officeDocument/2006/relationships/hyperlink" Target="https://www.the-numbers.com/movie/Odyssey-The-(2026)" TargetMode="External"/><Relationship Id="rId29" Type="http://schemas.openxmlformats.org/officeDocument/2006/relationships/hyperlink" Target="https://www.the-numbers.com/movie/Supergirl-(2026)" TargetMode="External"/><Relationship Id="rId24" Type="http://schemas.openxmlformats.org/officeDocument/2006/relationships/hyperlink" Target="https://www.the-numbers.com/movie/All-Wishes-Come-True-(2026-China)" TargetMode="External"/><Relationship Id="rId40" Type="http://schemas.openxmlformats.org/officeDocument/2006/relationships/hyperlink" Target="https://www.the-numbers.com/movie/End-of-Oak-Street-The-(2026)" TargetMode="External"/><Relationship Id="rId45" Type="http://schemas.openxmlformats.org/officeDocument/2006/relationships/hyperlink" Target="https://www.the-numbers.com/movie/Shelter-(2026)" TargetMode="External"/><Relationship Id="rId66" Type="http://schemas.openxmlformats.org/officeDocument/2006/relationships/hyperlink" Target="https://www.the-numbers.com/movie/Skazka-o-tsare-Saltane-(2026-Russia)" TargetMode="External"/><Relationship Id="rId87" Type="http://schemas.openxmlformats.org/officeDocument/2006/relationships/hyperlink" Target="https://www.the-numbers.com/movie/I-Know-Who-You-Are-(2026-China)" TargetMode="External"/><Relationship Id="rId61" Type="http://schemas.openxmlformats.org/officeDocument/2006/relationships/hyperlink" Target="https://www.the-numbers.com/movie/Passenger-(2026)" TargetMode="External"/><Relationship Id="rId82" Type="http://schemas.openxmlformats.org/officeDocument/2006/relationships/hyperlink" Target="https://www.the-numbers.com/movie/I-Can-Only-Imagine-2-(2026)" TargetMode="External"/><Relationship Id="rId19" Type="http://schemas.openxmlformats.org/officeDocument/2006/relationships/hyperlink" Target="https://www.the-numbers.com/movie/Scary-Movie-(2026)" TargetMode="External"/><Relationship Id="rId14" Type="http://schemas.openxmlformats.org/officeDocument/2006/relationships/hyperlink" Target="https://www.the-numbers.com/movie/Moana-(2026)" TargetMode="External"/><Relationship Id="rId30" Type="http://schemas.openxmlformats.org/officeDocument/2006/relationships/hyperlink" Target="https://www.the-numbers.com/movie/Kings-Warden-The-(2026-South-Korea)" TargetMode="External"/><Relationship Id="rId35" Type="http://schemas.openxmlformats.org/officeDocument/2006/relationships/hyperlink" Target="https://www.the-numbers.com/movie/Reminders-of-Him-(2026)" TargetMode="External"/><Relationship Id="rId56" Type="http://schemas.openxmlformats.org/officeDocument/2006/relationships/hyperlink" Target="https://www.the-numbers.com/movie/Hope-(2026-South-Korea)" TargetMode="External"/><Relationship Id="rId77" Type="http://schemas.openxmlformats.org/officeDocument/2006/relationships/hyperlink" Target="https://www.the-numbers.com/movie/Hadestown-The-Musical-(2026)" TargetMode="External"/><Relationship Id="rId100" Type="http://schemas.openxmlformats.org/officeDocument/2006/relationships/hyperlink" Target="https://www.the-numbers.com/movie/Be-Yourself-(2026-China)" TargetMode="External"/><Relationship Id="rId8" Type="http://schemas.openxmlformats.org/officeDocument/2006/relationships/hyperlink" Target="https://www.the-numbers.com/movie/Pegasus-3-(2026-China)" TargetMode="External"/><Relationship Id="rId51" Type="http://schemas.openxmlformats.org/officeDocument/2006/relationships/hyperlink" Target="https://www.the-numbers.com/movie/Han-Zhan-1994-(2026-Hong-Kong)" TargetMode="External"/><Relationship Id="rId72" Type="http://schemas.openxmlformats.org/officeDocument/2006/relationships/hyperlink" Target="https://www.the-numbers.com/movie/EpiC-Elvis-Presley-in-Concert-(2026)" TargetMode="External"/><Relationship Id="rId93" Type="http://schemas.openxmlformats.org/officeDocument/2006/relationships/hyperlink" Target="https://www.the-numbers.com/movie/Tvoyo-serdtse-budet-razbito-(2026-Russia)" TargetMode="External"/><Relationship Id="rId98" Type="http://schemas.openxmlformats.org/officeDocument/2006/relationships/hyperlink" Target="https://www.the-numbers.com/movie/BTS-World-Tour-Arirang-Live-Viewing-(2026-South-Korea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EE2D-6369-4452-BEB3-A0FF2B60939A}">
  <dimension ref="A1:J101"/>
  <sheetViews>
    <sheetView tabSelected="1" workbookViewId="0">
      <pane ySplit="1" topLeftCell="A2" activePane="bottomLeft" state="frozen"/>
      <selection pane="bottomLeft" activeCell="I21" sqref="I21"/>
    </sheetView>
  </sheetViews>
  <sheetFormatPr defaultRowHeight="15" x14ac:dyDescent="0.25"/>
  <cols>
    <col min="1" max="1" width="8.5703125" customWidth="1"/>
    <col min="2" max="2" width="43.85546875" customWidth="1"/>
    <col min="3" max="5" width="19" customWidth="1"/>
    <col min="6" max="6" width="30.42578125" customWidth="1"/>
    <col min="7" max="7" width="24.7109375" customWidth="1"/>
    <col min="9" max="9" width="20.28515625" bestFit="1" customWidth="1"/>
    <col min="10" max="10" width="19.85546875" bestFit="1" customWidth="1"/>
  </cols>
  <sheetData>
    <row r="1" spans="1:10" ht="24.75" customHeight="1" thickBot="1" x14ac:dyDescent="0.3">
      <c r="A1" s="16" t="s">
        <v>0</v>
      </c>
      <c r="B1" s="17" t="s">
        <v>1</v>
      </c>
      <c r="C1" s="17" t="s">
        <v>124</v>
      </c>
      <c r="D1" s="17" t="s">
        <v>125</v>
      </c>
      <c r="E1" s="17" t="s">
        <v>126</v>
      </c>
      <c r="F1" s="19" t="s">
        <v>118</v>
      </c>
      <c r="G1" s="24" t="s">
        <v>127</v>
      </c>
      <c r="I1" s="18" t="s">
        <v>2</v>
      </c>
      <c r="J1" s="18" t="s">
        <v>127</v>
      </c>
    </row>
    <row r="2" spans="1:10" ht="18" customHeight="1" x14ac:dyDescent="0.25">
      <c r="A2" s="13">
        <v>1</v>
      </c>
      <c r="B2" s="14" t="s">
        <v>3</v>
      </c>
      <c r="C2" s="15">
        <v>2046432089</v>
      </c>
      <c r="D2" s="15">
        <v>810432089</v>
      </c>
      <c r="E2" s="15">
        <v>1236000000</v>
      </c>
      <c r="F2" s="20" t="s">
        <v>4</v>
      </c>
      <c r="G2" s="4" t="str">
        <f>_xlfn.XLOOKUP(F2, $I$2:$I$12, $J$2:$J$12, "Independent")</f>
        <v>Sony</v>
      </c>
      <c r="I2" t="s">
        <v>8</v>
      </c>
      <c r="J2" t="s">
        <v>128</v>
      </c>
    </row>
    <row r="3" spans="1:10" ht="18" customHeight="1" x14ac:dyDescent="0.25">
      <c r="A3" s="5">
        <v>2</v>
      </c>
      <c r="B3" s="6" t="s">
        <v>5</v>
      </c>
      <c r="C3" s="7">
        <v>1352782297</v>
      </c>
      <c r="D3" s="7">
        <v>516284795</v>
      </c>
      <c r="E3" s="7">
        <v>836497502</v>
      </c>
      <c r="F3" s="21" t="s">
        <v>6</v>
      </c>
      <c r="G3" s="8" t="str">
        <f t="shared" ref="G3:G66" si="0">_xlfn.XLOOKUP(F3, $I$2:$I$12, $J$2:$J$12, "Independent")</f>
        <v>Comcast</v>
      </c>
      <c r="I3" t="s">
        <v>119</v>
      </c>
      <c r="J3" t="s">
        <v>128</v>
      </c>
    </row>
    <row r="4" spans="1:10" ht="18" customHeight="1" x14ac:dyDescent="0.25">
      <c r="A4" s="1">
        <v>3</v>
      </c>
      <c r="B4" s="2" t="s">
        <v>7</v>
      </c>
      <c r="C4" s="3">
        <v>1116377294</v>
      </c>
      <c r="D4" s="3">
        <v>476631834</v>
      </c>
      <c r="E4" s="3">
        <v>639745460</v>
      </c>
      <c r="F4" s="22" t="s">
        <v>8</v>
      </c>
      <c r="G4" s="4" t="str">
        <f t="shared" si="0"/>
        <v>Disney</v>
      </c>
      <c r="I4" t="s">
        <v>6</v>
      </c>
      <c r="J4" t="s">
        <v>129</v>
      </c>
    </row>
    <row r="5" spans="1:10" ht="18" customHeight="1" x14ac:dyDescent="0.25">
      <c r="A5" s="5">
        <v>4</v>
      </c>
      <c r="B5" s="6" t="s">
        <v>10</v>
      </c>
      <c r="C5" s="7">
        <v>1021426595</v>
      </c>
      <c r="D5" s="7">
        <v>372303388</v>
      </c>
      <c r="E5" s="7">
        <v>649123207</v>
      </c>
      <c r="F5" s="21" t="s">
        <v>11</v>
      </c>
      <c r="G5" s="8" t="str">
        <f t="shared" si="0"/>
        <v>Lionsgate</v>
      </c>
      <c r="I5" t="s">
        <v>15</v>
      </c>
      <c r="J5" t="s">
        <v>129</v>
      </c>
    </row>
    <row r="6" spans="1:10" ht="18" customHeight="1" x14ac:dyDescent="0.25">
      <c r="A6" s="1">
        <v>5</v>
      </c>
      <c r="B6" s="2" t="s">
        <v>9</v>
      </c>
      <c r="C6" s="3">
        <v>1012444492</v>
      </c>
      <c r="D6" s="3">
        <v>429814610</v>
      </c>
      <c r="E6" s="3">
        <v>582629882</v>
      </c>
      <c r="F6" s="22" t="s">
        <v>6</v>
      </c>
      <c r="G6" s="4" t="str">
        <f t="shared" si="0"/>
        <v>Comcast</v>
      </c>
      <c r="I6" t="s">
        <v>24</v>
      </c>
      <c r="J6" t="s">
        <v>130</v>
      </c>
    </row>
    <row r="7" spans="1:10" ht="18" customHeight="1" x14ac:dyDescent="0.25">
      <c r="A7" s="5">
        <v>6</v>
      </c>
      <c r="B7" s="6" t="s">
        <v>16</v>
      </c>
      <c r="C7" s="7">
        <v>692330569</v>
      </c>
      <c r="D7" s="7">
        <v>220556651</v>
      </c>
      <c r="E7" s="7">
        <v>471773918</v>
      </c>
      <c r="F7" s="21" t="s">
        <v>119</v>
      </c>
      <c r="G7" s="8" t="str">
        <f t="shared" si="0"/>
        <v>Disney</v>
      </c>
      <c r="I7" t="s">
        <v>29</v>
      </c>
      <c r="J7" t="s">
        <v>29</v>
      </c>
    </row>
    <row r="8" spans="1:10" ht="18" customHeight="1" x14ac:dyDescent="0.25">
      <c r="A8" s="1">
        <v>7</v>
      </c>
      <c r="B8" s="2" t="s">
        <v>12</v>
      </c>
      <c r="C8" s="3">
        <v>684041145</v>
      </c>
      <c r="D8" s="3">
        <v>344050007</v>
      </c>
      <c r="E8" s="3">
        <v>339991138</v>
      </c>
      <c r="F8" s="22" t="s">
        <v>13</v>
      </c>
      <c r="G8" s="4" t="str">
        <f t="shared" si="0"/>
        <v>Amazon</v>
      </c>
      <c r="I8" t="s">
        <v>13</v>
      </c>
      <c r="J8" t="s">
        <v>131</v>
      </c>
    </row>
    <row r="9" spans="1:10" ht="18" customHeight="1" x14ac:dyDescent="0.25">
      <c r="A9" s="5">
        <v>8</v>
      </c>
      <c r="B9" s="6" t="s">
        <v>82</v>
      </c>
      <c r="C9" s="7">
        <v>641059523</v>
      </c>
      <c r="D9" s="7">
        <v>1374946</v>
      </c>
      <c r="E9" s="7">
        <v>639684577</v>
      </c>
      <c r="F9" s="21" t="s">
        <v>133</v>
      </c>
      <c r="G9" s="8" t="str">
        <f t="shared" si="0"/>
        <v>N/A</v>
      </c>
      <c r="I9" t="s">
        <v>4</v>
      </c>
      <c r="J9" t="s">
        <v>132</v>
      </c>
    </row>
    <row r="10" spans="1:10" ht="18" customHeight="1" x14ac:dyDescent="0.25">
      <c r="A10" s="1">
        <v>9</v>
      </c>
      <c r="B10" s="2" t="s">
        <v>19</v>
      </c>
      <c r="C10" s="3">
        <v>498314559</v>
      </c>
      <c r="D10" s="3">
        <v>181102855</v>
      </c>
      <c r="E10" s="3">
        <v>317211704</v>
      </c>
      <c r="F10" s="22" t="s">
        <v>6</v>
      </c>
      <c r="G10" s="4" t="str">
        <f t="shared" si="0"/>
        <v>Comcast</v>
      </c>
      <c r="I10" t="s">
        <v>18</v>
      </c>
      <c r="J10" t="s">
        <v>18</v>
      </c>
    </row>
    <row r="11" spans="1:10" ht="18" customHeight="1" x14ac:dyDescent="0.25">
      <c r="A11" s="5">
        <v>10</v>
      </c>
      <c r="B11" s="6" t="s">
        <v>14</v>
      </c>
      <c r="C11" s="7">
        <v>495693715</v>
      </c>
      <c r="D11" s="7">
        <v>263451715</v>
      </c>
      <c r="E11" s="7">
        <v>232242000</v>
      </c>
      <c r="F11" s="21" t="s">
        <v>15</v>
      </c>
      <c r="G11" s="8" t="str">
        <f t="shared" si="0"/>
        <v>Comcast</v>
      </c>
      <c r="I11" t="s">
        <v>11</v>
      </c>
      <c r="J11" t="s">
        <v>11</v>
      </c>
    </row>
    <row r="12" spans="1:10" ht="18" customHeight="1" x14ac:dyDescent="0.25">
      <c r="A12" s="1">
        <v>11</v>
      </c>
      <c r="B12" s="2" t="s">
        <v>17</v>
      </c>
      <c r="C12" s="3">
        <v>393159818</v>
      </c>
      <c r="D12" s="3">
        <v>197516044</v>
      </c>
      <c r="E12" s="3">
        <v>195643774</v>
      </c>
      <c r="F12" s="22" t="s">
        <v>18</v>
      </c>
      <c r="G12" s="4" t="str">
        <f t="shared" si="0"/>
        <v>A24</v>
      </c>
      <c r="I12" t="s">
        <v>133</v>
      </c>
      <c r="J12" t="s">
        <v>133</v>
      </c>
    </row>
    <row r="13" spans="1:10" ht="18" customHeight="1" x14ac:dyDescent="0.25">
      <c r="A13" s="5">
        <v>12</v>
      </c>
      <c r="B13" s="6" t="s">
        <v>21</v>
      </c>
      <c r="C13" s="7">
        <v>389686110</v>
      </c>
      <c r="D13" s="7">
        <v>166010783</v>
      </c>
      <c r="E13" s="7">
        <v>223675327</v>
      </c>
      <c r="F13" s="21" t="s">
        <v>8</v>
      </c>
      <c r="G13" s="8" t="str">
        <f t="shared" si="0"/>
        <v>Disney</v>
      </c>
    </row>
    <row r="14" spans="1:10" ht="18" customHeight="1" x14ac:dyDescent="0.25">
      <c r="A14" s="1">
        <v>13</v>
      </c>
      <c r="B14" s="2" t="s">
        <v>20</v>
      </c>
      <c r="C14" s="3">
        <v>345723777</v>
      </c>
      <c r="D14" s="3">
        <v>177730060</v>
      </c>
      <c r="E14" s="3">
        <v>167993717</v>
      </c>
      <c r="F14" s="22" t="s">
        <v>8</v>
      </c>
      <c r="G14" s="4" t="str">
        <f t="shared" si="0"/>
        <v>Disney</v>
      </c>
    </row>
    <row r="15" spans="1:10" ht="18" customHeight="1" x14ac:dyDescent="0.25">
      <c r="A15" s="5">
        <v>14</v>
      </c>
      <c r="B15" s="6" t="s">
        <v>22</v>
      </c>
      <c r="C15" s="7">
        <v>294099660</v>
      </c>
      <c r="D15" s="7">
        <v>125115435</v>
      </c>
      <c r="E15" s="7">
        <v>168984225</v>
      </c>
      <c r="F15" s="21" t="s">
        <v>8</v>
      </c>
      <c r="G15" s="8" t="str">
        <f t="shared" si="0"/>
        <v>Disney</v>
      </c>
    </row>
    <row r="16" spans="1:10" ht="18" customHeight="1" x14ac:dyDescent="0.25">
      <c r="A16" s="1">
        <v>15</v>
      </c>
      <c r="B16" s="2" t="s">
        <v>83</v>
      </c>
      <c r="C16" s="3">
        <v>285877290</v>
      </c>
      <c r="D16" s="3">
        <v>0</v>
      </c>
      <c r="E16" s="3">
        <v>285877290</v>
      </c>
      <c r="F16" s="22" t="s">
        <v>133</v>
      </c>
      <c r="G16" s="4" t="str">
        <f t="shared" si="0"/>
        <v>N/A</v>
      </c>
    </row>
    <row r="17" spans="1:7" ht="18" customHeight="1" x14ac:dyDescent="0.25">
      <c r="A17" s="5">
        <v>16</v>
      </c>
      <c r="B17" s="6" t="s">
        <v>84</v>
      </c>
      <c r="C17" s="7">
        <v>276550000</v>
      </c>
      <c r="D17" s="7">
        <v>0</v>
      </c>
      <c r="E17" s="7">
        <v>276550000</v>
      </c>
      <c r="F17" s="21" t="s">
        <v>133</v>
      </c>
      <c r="G17" s="8" t="str">
        <f t="shared" si="0"/>
        <v>N/A</v>
      </c>
    </row>
    <row r="18" spans="1:7" ht="18" customHeight="1" x14ac:dyDescent="0.25">
      <c r="A18" s="1">
        <v>17</v>
      </c>
      <c r="B18" s="2" t="s">
        <v>28</v>
      </c>
      <c r="C18" s="3">
        <v>241701072</v>
      </c>
      <c r="D18" s="3">
        <v>84001072</v>
      </c>
      <c r="E18" s="3">
        <v>157700000</v>
      </c>
      <c r="F18" s="22" t="s">
        <v>29</v>
      </c>
      <c r="G18" s="4" t="str">
        <f t="shared" si="0"/>
        <v>Warner Bros.</v>
      </c>
    </row>
    <row r="19" spans="1:7" ht="18" customHeight="1" x14ac:dyDescent="0.25">
      <c r="A19" s="5">
        <v>18</v>
      </c>
      <c r="B19" s="6" t="s">
        <v>25</v>
      </c>
      <c r="C19" s="7">
        <v>241196488</v>
      </c>
      <c r="D19" s="7">
        <v>116636645</v>
      </c>
      <c r="E19" s="7">
        <v>124559843</v>
      </c>
      <c r="F19" s="21" t="s">
        <v>6</v>
      </c>
      <c r="G19" s="8" t="str">
        <f t="shared" si="0"/>
        <v>Comcast</v>
      </c>
    </row>
    <row r="20" spans="1:7" ht="18" customHeight="1" x14ac:dyDescent="0.25">
      <c r="A20" s="1">
        <v>19</v>
      </c>
      <c r="B20" s="2" t="s">
        <v>26</v>
      </c>
      <c r="C20" s="3">
        <v>231277762</v>
      </c>
      <c r="D20" s="3">
        <v>108277762</v>
      </c>
      <c r="E20" s="3">
        <v>123000000</v>
      </c>
      <c r="F20" s="22" t="s">
        <v>24</v>
      </c>
      <c r="G20" s="4" t="str">
        <f t="shared" si="0"/>
        <v>Paramount Skydance</v>
      </c>
    </row>
    <row r="21" spans="1:7" ht="18" customHeight="1" x14ac:dyDescent="0.25">
      <c r="A21" s="5">
        <v>20</v>
      </c>
      <c r="B21" s="6" t="s">
        <v>23</v>
      </c>
      <c r="C21" s="7">
        <v>213835967</v>
      </c>
      <c r="D21" s="7">
        <v>121935967</v>
      </c>
      <c r="E21" s="7">
        <v>91900000</v>
      </c>
      <c r="F21" s="21" t="s">
        <v>24</v>
      </c>
      <c r="G21" s="8" t="str">
        <f t="shared" si="0"/>
        <v>Paramount Skydance</v>
      </c>
    </row>
    <row r="22" spans="1:7" ht="18" customHeight="1" x14ac:dyDescent="0.25">
      <c r="A22" s="1">
        <v>21</v>
      </c>
      <c r="B22" s="2" t="s">
        <v>80</v>
      </c>
      <c r="C22" s="3">
        <v>195843145</v>
      </c>
      <c r="D22" s="3">
        <v>1606672</v>
      </c>
      <c r="E22" s="3">
        <v>194236473</v>
      </c>
      <c r="F22" s="22" t="s">
        <v>79</v>
      </c>
      <c r="G22" s="4" t="str">
        <f t="shared" si="0"/>
        <v>Independent</v>
      </c>
    </row>
    <row r="23" spans="1:7" ht="18" customHeight="1" x14ac:dyDescent="0.25">
      <c r="A23" s="5">
        <v>22</v>
      </c>
      <c r="B23" s="6" t="s">
        <v>27</v>
      </c>
      <c r="C23" s="7">
        <v>195101578</v>
      </c>
      <c r="D23" s="7">
        <v>103316898</v>
      </c>
      <c r="E23" s="7">
        <v>91784680</v>
      </c>
      <c r="F23" s="21" t="s">
        <v>4</v>
      </c>
      <c r="G23" s="8" t="str">
        <f t="shared" si="0"/>
        <v>Sony</v>
      </c>
    </row>
    <row r="24" spans="1:7" ht="18" customHeight="1" x14ac:dyDescent="0.25">
      <c r="A24" s="1">
        <v>23</v>
      </c>
      <c r="B24" s="2" t="s">
        <v>85</v>
      </c>
      <c r="C24" s="3">
        <v>183801197</v>
      </c>
      <c r="D24" s="3">
        <v>0</v>
      </c>
      <c r="E24" s="3">
        <v>183801197</v>
      </c>
      <c r="F24" s="22" t="s">
        <v>133</v>
      </c>
      <c r="G24" s="4" t="str">
        <f t="shared" si="0"/>
        <v>N/A</v>
      </c>
    </row>
    <row r="25" spans="1:7" ht="18" customHeight="1" x14ac:dyDescent="0.25">
      <c r="A25" s="5">
        <v>24</v>
      </c>
      <c r="B25" s="6" t="s">
        <v>86</v>
      </c>
      <c r="C25" s="7">
        <v>154643336</v>
      </c>
      <c r="D25" s="7">
        <v>0</v>
      </c>
      <c r="E25" s="7">
        <v>154643336</v>
      </c>
      <c r="F25" s="21" t="s">
        <v>133</v>
      </c>
      <c r="G25" s="8" t="str">
        <f t="shared" si="0"/>
        <v>N/A</v>
      </c>
    </row>
    <row r="26" spans="1:7" ht="18" customHeight="1" x14ac:dyDescent="0.25">
      <c r="A26" s="1">
        <v>25</v>
      </c>
      <c r="B26" s="2" t="s">
        <v>44</v>
      </c>
      <c r="C26" s="3">
        <v>152900759</v>
      </c>
      <c r="D26" s="3">
        <v>28100759</v>
      </c>
      <c r="E26" s="3">
        <v>124800000</v>
      </c>
      <c r="F26" s="22" t="s">
        <v>120</v>
      </c>
      <c r="G26" s="4" t="str">
        <f t="shared" si="0"/>
        <v>Independent</v>
      </c>
    </row>
    <row r="27" spans="1:7" ht="18" customHeight="1" x14ac:dyDescent="0.25">
      <c r="A27" s="5">
        <v>26</v>
      </c>
      <c r="B27" s="6" t="s">
        <v>87</v>
      </c>
      <c r="C27" s="7">
        <v>143117804</v>
      </c>
      <c r="D27" s="7">
        <v>0</v>
      </c>
      <c r="E27" s="7">
        <v>143117804</v>
      </c>
      <c r="F27" s="21" t="s">
        <v>133</v>
      </c>
      <c r="G27" s="8" t="str">
        <f t="shared" si="0"/>
        <v>N/A</v>
      </c>
    </row>
    <row r="28" spans="1:7" ht="18" customHeight="1" x14ac:dyDescent="0.25">
      <c r="A28" s="1">
        <v>27</v>
      </c>
      <c r="B28" s="2" t="s">
        <v>32</v>
      </c>
      <c r="C28" s="3">
        <v>132234419</v>
      </c>
      <c r="D28" s="3">
        <v>66078506</v>
      </c>
      <c r="E28" s="3">
        <v>66155913</v>
      </c>
      <c r="F28" s="22" t="s">
        <v>13</v>
      </c>
      <c r="G28" s="4" t="str">
        <f t="shared" si="0"/>
        <v>Amazon</v>
      </c>
    </row>
    <row r="29" spans="1:7" ht="18" customHeight="1" x14ac:dyDescent="0.25">
      <c r="A29" s="5">
        <v>28</v>
      </c>
      <c r="B29" s="6" t="s">
        <v>30</v>
      </c>
      <c r="C29" s="7">
        <v>129470110</v>
      </c>
      <c r="D29" s="7">
        <v>79770110</v>
      </c>
      <c r="E29" s="7">
        <v>49700000</v>
      </c>
      <c r="F29" s="21" t="s">
        <v>29</v>
      </c>
      <c r="G29" s="8" t="str">
        <f t="shared" si="0"/>
        <v>Warner Bros.</v>
      </c>
    </row>
    <row r="30" spans="1:7" ht="18" customHeight="1" x14ac:dyDescent="0.25">
      <c r="A30" s="1">
        <v>29</v>
      </c>
      <c r="B30" s="2" t="s">
        <v>31</v>
      </c>
      <c r="C30" s="3">
        <v>126360945</v>
      </c>
      <c r="D30" s="3">
        <v>72360945</v>
      </c>
      <c r="E30" s="3">
        <v>54000000</v>
      </c>
      <c r="F30" s="22" t="s">
        <v>29</v>
      </c>
      <c r="G30" s="4" t="str">
        <f t="shared" si="0"/>
        <v>Warner Bros.</v>
      </c>
    </row>
    <row r="31" spans="1:7" ht="18" customHeight="1" x14ac:dyDescent="0.25">
      <c r="A31" s="5">
        <v>30</v>
      </c>
      <c r="B31" s="6" t="s">
        <v>88</v>
      </c>
      <c r="C31" s="7">
        <v>118203931</v>
      </c>
      <c r="D31" s="7">
        <v>0</v>
      </c>
      <c r="E31" s="7">
        <v>118203931</v>
      </c>
      <c r="F31" s="21" t="s">
        <v>133</v>
      </c>
      <c r="G31" s="8" t="str">
        <f t="shared" si="0"/>
        <v>N/A</v>
      </c>
    </row>
    <row r="32" spans="1:7" ht="18" customHeight="1" x14ac:dyDescent="0.25">
      <c r="A32" s="1">
        <v>31</v>
      </c>
      <c r="B32" s="2" t="s">
        <v>33</v>
      </c>
      <c r="C32" s="3">
        <v>113782285</v>
      </c>
      <c r="D32" s="3">
        <v>64830245</v>
      </c>
      <c r="E32" s="3">
        <v>48952040</v>
      </c>
      <c r="F32" s="22" t="s">
        <v>13</v>
      </c>
      <c r="G32" s="4" t="str">
        <f t="shared" si="0"/>
        <v>Amazon</v>
      </c>
    </row>
    <row r="33" spans="1:7" ht="18" customHeight="1" x14ac:dyDescent="0.25">
      <c r="A33" s="5">
        <v>32</v>
      </c>
      <c r="B33" s="6" t="s">
        <v>36</v>
      </c>
      <c r="C33" s="7">
        <v>105071613</v>
      </c>
      <c r="D33" s="7">
        <v>48062006</v>
      </c>
      <c r="E33" s="7">
        <v>57009607</v>
      </c>
      <c r="F33" s="21" t="s">
        <v>18</v>
      </c>
      <c r="G33" s="8" t="str">
        <f t="shared" si="0"/>
        <v>A24</v>
      </c>
    </row>
    <row r="34" spans="1:7" ht="18" customHeight="1" x14ac:dyDescent="0.25">
      <c r="A34" s="1">
        <v>33</v>
      </c>
      <c r="B34" s="2" t="s">
        <v>34</v>
      </c>
      <c r="C34" s="3">
        <v>94041481</v>
      </c>
      <c r="D34" s="3">
        <v>64734795</v>
      </c>
      <c r="E34" s="3">
        <v>29306686</v>
      </c>
      <c r="F34" s="22" t="s">
        <v>119</v>
      </c>
      <c r="G34" s="4" t="str">
        <f t="shared" si="0"/>
        <v>Disney</v>
      </c>
    </row>
    <row r="35" spans="1:7" ht="18" customHeight="1" x14ac:dyDescent="0.25">
      <c r="A35" s="5">
        <v>34</v>
      </c>
      <c r="B35" s="6" t="s">
        <v>43</v>
      </c>
      <c r="C35" s="7">
        <v>90552113</v>
      </c>
      <c r="D35" s="7">
        <v>29152113</v>
      </c>
      <c r="E35" s="7">
        <v>61400000</v>
      </c>
      <c r="F35" s="21" t="s">
        <v>29</v>
      </c>
      <c r="G35" s="8" t="str">
        <f t="shared" si="0"/>
        <v>Warner Bros.</v>
      </c>
    </row>
    <row r="36" spans="1:7" ht="18" customHeight="1" x14ac:dyDescent="0.25">
      <c r="A36" s="1">
        <v>35</v>
      </c>
      <c r="B36" s="2" t="s">
        <v>35</v>
      </c>
      <c r="C36" s="3">
        <v>89126615</v>
      </c>
      <c r="D36" s="3">
        <v>48559430</v>
      </c>
      <c r="E36" s="3">
        <v>40567185</v>
      </c>
      <c r="F36" s="22" t="s">
        <v>6</v>
      </c>
      <c r="G36" s="4" t="str">
        <f t="shared" si="0"/>
        <v>Comcast</v>
      </c>
    </row>
    <row r="37" spans="1:7" ht="18" customHeight="1" x14ac:dyDescent="0.25">
      <c r="A37" s="5">
        <v>36</v>
      </c>
      <c r="B37" s="6" t="s">
        <v>89</v>
      </c>
      <c r="C37" s="7">
        <v>80747505</v>
      </c>
      <c r="D37" s="7">
        <v>0</v>
      </c>
      <c r="E37" s="7">
        <v>80747505</v>
      </c>
      <c r="F37" s="21" t="s">
        <v>133</v>
      </c>
      <c r="G37" s="8" t="str">
        <f t="shared" si="0"/>
        <v>N/A</v>
      </c>
    </row>
    <row r="38" spans="1:7" ht="18" customHeight="1" x14ac:dyDescent="0.25">
      <c r="A38" s="1">
        <v>37</v>
      </c>
      <c r="B38" s="2" t="s">
        <v>90</v>
      </c>
      <c r="C38" s="3">
        <v>74633498</v>
      </c>
      <c r="D38" s="3">
        <v>0</v>
      </c>
      <c r="E38" s="3">
        <v>74633498</v>
      </c>
      <c r="F38" s="22" t="s">
        <v>133</v>
      </c>
      <c r="G38" s="4" t="str">
        <f t="shared" si="0"/>
        <v>N/A</v>
      </c>
    </row>
    <row r="39" spans="1:7" ht="18" customHeight="1" x14ac:dyDescent="0.25">
      <c r="A39" s="5">
        <v>38</v>
      </c>
      <c r="B39" s="6" t="s">
        <v>41</v>
      </c>
      <c r="C39" s="7">
        <v>72900246</v>
      </c>
      <c r="D39" s="7">
        <v>36588336</v>
      </c>
      <c r="E39" s="7">
        <v>36311910</v>
      </c>
      <c r="F39" s="21" t="s">
        <v>13</v>
      </c>
      <c r="G39" s="8" t="str">
        <f t="shared" si="0"/>
        <v>Amazon</v>
      </c>
    </row>
    <row r="40" spans="1:7" ht="18" customHeight="1" x14ac:dyDescent="0.25">
      <c r="A40" s="1">
        <v>39</v>
      </c>
      <c r="B40" s="2" t="s">
        <v>42</v>
      </c>
      <c r="C40" s="3">
        <v>71458287</v>
      </c>
      <c r="D40" s="3">
        <v>32200166</v>
      </c>
      <c r="E40" s="3">
        <v>39258121</v>
      </c>
      <c r="F40" s="22" t="s">
        <v>29</v>
      </c>
      <c r="G40" s="4" t="str">
        <f t="shared" si="0"/>
        <v>Warner Bros.</v>
      </c>
    </row>
    <row r="41" spans="1:7" ht="18" customHeight="1" x14ac:dyDescent="0.25">
      <c r="A41" s="5">
        <v>40</v>
      </c>
      <c r="B41" s="6" t="s">
        <v>45</v>
      </c>
      <c r="C41" s="7">
        <v>63375831</v>
      </c>
      <c r="D41" s="7">
        <v>27675831</v>
      </c>
      <c r="E41" s="7">
        <v>35700000</v>
      </c>
      <c r="F41" s="21" t="s">
        <v>29</v>
      </c>
      <c r="G41" s="8" t="str">
        <f t="shared" si="0"/>
        <v>Warner Bros.</v>
      </c>
    </row>
    <row r="42" spans="1:7" ht="18" customHeight="1" x14ac:dyDescent="0.25">
      <c r="A42" s="1">
        <v>41</v>
      </c>
      <c r="B42" s="2" t="s">
        <v>48</v>
      </c>
      <c r="C42" s="3">
        <v>58527279</v>
      </c>
      <c r="D42" s="3">
        <v>25147583</v>
      </c>
      <c r="E42" s="3">
        <v>33379696</v>
      </c>
      <c r="F42" s="22" t="s">
        <v>4</v>
      </c>
      <c r="G42" s="4" t="str">
        <f t="shared" si="0"/>
        <v>Sony</v>
      </c>
    </row>
    <row r="43" spans="1:7" ht="18" customHeight="1" x14ac:dyDescent="0.25">
      <c r="A43" s="5">
        <v>42</v>
      </c>
      <c r="B43" s="6" t="s">
        <v>51</v>
      </c>
      <c r="C43" s="7">
        <v>53690303</v>
      </c>
      <c r="D43" s="7">
        <v>24390303</v>
      </c>
      <c r="E43" s="7">
        <v>29300000</v>
      </c>
      <c r="F43" s="21" t="s">
        <v>13</v>
      </c>
      <c r="G43" s="8" t="str">
        <f t="shared" si="0"/>
        <v>Amazon</v>
      </c>
    </row>
    <row r="44" spans="1:7" ht="18" customHeight="1" x14ac:dyDescent="0.25">
      <c r="A44" s="1">
        <v>43</v>
      </c>
      <c r="B44" s="2" t="s">
        <v>39</v>
      </c>
      <c r="C44" s="3">
        <v>51226173</v>
      </c>
      <c r="D44" s="3">
        <v>41111208</v>
      </c>
      <c r="E44" s="3">
        <v>10114965</v>
      </c>
      <c r="F44" s="22" t="s">
        <v>40</v>
      </c>
      <c r="G44" s="4" t="str">
        <f t="shared" si="0"/>
        <v>Independent</v>
      </c>
    </row>
    <row r="45" spans="1:7" ht="18" customHeight="1" x14ac:dyDescent="0.25">
      <c r="A45" s="5">
        <v>44</v>
      </c>
      <c r="B45" s="6" t="s">
        <v>91</v>
      </c>
      <c r="C45" s="7">
        <v>50033755</v>
      </c>
      <c r="D45" s="7">
        <v>0</v>
      </c>
      <c r="E45" s="7">
        <v>50033755</v>
      </c>
      <c r="F45" s="21" t="s">
        <v>133</v>
      </c>
      <c r="G45" s="8" t="str">
        <f t="shared" si="0"/>
        <v>N/A</v>
      </c>
    </row>
    <row r="46" spans="1:7" ht="18" customHeight="1" x14ac:dyDescent="0.25">
      <c r="A46" s="1">
        <v>45</v>
      </c>
      <c r="B46" s="2" t="s">
        <v>66</v>
      </c>
      <c r="C46" s="3">
        <v>49305541</v>
      </c>
      <c r="D46" s="3">
        <v>12805541</v>
      </c>
      <c r="E46" s="3">
        <v>36500000</v>
      </c>
      <c r="F46" s="22" t="s">
        <v>122</v>
      </c>
      <c r="G46" s="4" t="str">
        <f t="shared" si="0"/>
        <v>Independent</v>
      </c>
    </row>
    <row r="47" spans="1:7" ht="18" customHeight="1" x14ac:dyDescent="0.25">
      <c r="A47" s="5">
        <v>46</v>
      </c>
      <c r="B47" s="6" t="s">
        <v>37</v>
      </c>
      <c r="C47" s="7">
        <v>47043531</v>
      </c>
      <c r="D47" s="7">
        <v>47008387</v>
      </c>
      <c r="E47" s="7">
        <v>35144</v>
      </c>
      <c r="F47" s="21" t="s">
        <v>38</v>
      </c>
      <c r="G47" s="8" t="str">
        <f t="shared" si="0"/>
        <v>Independent</v>
      </c>
    </row>
    <row r="48" spans="1:7" ht="18" customHeight="1" x14ac:dyDescent="0.25">
      <c r="A48" s="1">
        <v>47</v>
      </c>
      <c r="B48" s="2" t="s">
        <v>92</v>
      </c>
      <c r="C48" s="3">
        <v>43795621</v>
      </c>
      <c r="D48" s="3">
        <v>0</v>
      </c>
      <c r="E48" s="3">
        <v>43795621</v>
      </c>
      <c r="F48" s="22" t="s">
        <v>133</v>
      </c>
      <c r="G48" s="4" t="str">
        <f t="shared" si="0"/>
        <v>N/A</v>
      </c>
    </row>
    <row r="49" spans="1:7" ht="18" customHeight="1" x14ac:dyDescent="0.25">
      <c r="A49" s="5">
        <v>48</v>
      </c>
      <c r="B49" s="6" t="s">
        <v>74</v>
      </c>
      <c r="C49" s="7">
        <v>41525559</v>
      </c>
      <c r="D49" s="7">
        <v>6502610</v>
      </c>
      <c r="E49" s="7">
        <v>35022949</v>
      </c>
      <c r="F49" s="21" t="s">
        <v>11</v>
      </c>
      <c r="G49" s="8" t="str">
        <f t="shared" si="0"/>
        <v>Lionsgate</v>
      </c>
    </row>
    <row r="50" spans="1:7" ht="18" customHeight="1" x14ac:dyDescent="0.25">
      <c r="A50" s="1">
        <v>49</v>
      </c>
      <c r="B50" s="2" t="s">
        <v>47</v>
      </c>
      <c r="C50" s="3">
        <v>41235665</v>
      </c>
      <c r="D50" s="3">
        <v>25635665</v>
      </c>
      <c r="E50" s="3">
        <v>15600000</v>
      </c>
      <c r="F50" s="22" t="s">
        <v>24</v>
      </c>
      <c r="G50" s="4" t="str">
        <f t="shared" si="0"/>
        <v>Paramount Skydance</v>
      </c>
    </row>
    <row r="51" spans="1:7" ht="18" customHeight="1" x14ac:dyDescent="0.25">
      <c r="A51" s="5">
        <v>50</v>
      </c>
      <c r="B51" s="6" t="s">
        <v>93</v>
      </c>
      <c r="C51" s="7">
        <v>39700000</v>
      </c>
      <c r="D51" s="7">
        <v>0</v>
      </c>
      <c r="E51" s="7">
        <v>39700000</v>
      </c>
      <c r="F51" s="21" t="s">
        <v>133</v>
      </c>
      <c r="G51" s="8" t="str">
        <f t="shared" si="0"/>
        <v>N/A</v>
      </c>
    </row>
    <row r="52" spans="1:7" ht="18" customHeight="1" x14ac:dyDescent="0.25">
      <c r="A52" s="1">
        <v>51</v>
      </c>
      <c r="B52" s="2" t="s">
        <v>94</v>
      </c>
      <c r="C52" s="3">
        <v>38737752</v>
      </c>
      <c r="D52" s="3">
        <v>0</v>
      </c>
      <c r="E52" s="3">
        <v>38737752</v>
      </c>
      <c r="F52" s="22" t="s">
        <v>133</v>
      </c>
      <c r="G52" s="4" t="str">
        <f t="shared" si="0"/>
        <v>N/A</v>
      </c>
    </row>
    <row r="53" spans="1:7" ht="18" customHeight="1" x14ac:dyDescent="0.25">
      <c r="A53" s="5">
        <v>52</v>
      </c>
      <c r="B53" s="6" t="s">
        <v>49</v>
      </c>
      <c r="C53" s="7">
        <v>38707180</v>
      </c>
      <c r="D53" s="7">
        <v>25052024</v>
      </c>
      <c r="E53" s="7">
        <v>13655156</v>
      </c>
      <c r="F53" s="21" t="s">
        <v>18</v>
      </c>
      <c r="G53" s="8" t="str">
        <f t="shared" si="0"/>
        <v>A24</v>
      </c>
    </row>
    <row r="54" spans="1:7" ht="18" customHeight="1" x14ac:dyDescent="0.25">
      <c r="A54" s="1">
        <v>53</v>
      </c>
      <c r="B54" s="2" t="s">
        <v>81</v>
      </c>
      <c r="C54" s="3">
        <v>37991083</v>
      </c>
      <c r="D54" s="3">
        <v>37181</v>
      </c>
      <c r="E54" s="3">
        <v>37953902</v>
      </c>
      <c r="F54" s="22" t="s">
        <v>79</v>
      </c>
      <c r="G54" s="4" t="str">
        <f t="shared" si="0"/>
        <v>Independent</v>
      </c>
    </row>
    <row r="55" spans="1:7" ht="18" customHeight="1" x14ac:dyDescent="0.25">
      <c r="A55" s="5">
        <v>54</v>
      </c>
      <c r="B55" s="6" t="s">
        <v>95</v>
      </c>
      <c r="C55" s="7">
        <v>37698339</v>
      </c>
      <c r="D55" s="7">
        <v>0</v>
      </c>
      <c r="E55" s="7">
        <v>37698339</v>
      </c>
      <c r="F55" s="21" t="s">
        <v>133</v>
      </c>
      <c r="G55" s="8" t="str">
        <f t="shared" si="0"/>
        <v>N/A</v>
      </c>
    </row>
    <row r="56" spans="1:7" ht="18" customHeight="1" x14ac:dyDescent="0.25">
      <c r="A56" s="1">
        <v>55</v>
      </c>
      <c r="B56" s="2" t="s">
        <v>50</v>
      </c>
      <c r="C56" s="3">
        <v>36263829</v>
      </c>
      <c r="D56" s="3">
        <v>24958833</v>
      </c>
      <c r="E56" s="3">
        <v>11304996</v>
      </c>
      <c r="F56" s="22" t="s">
        <v>121</v>
      </c>
      <c r="G56" s="4" t="str">
        <f t="shared" si="0"/>
        <v>Independent</v>
      </c>
    </row>
    <row r="57" spans="1:7" ht="18" customHeight="1" x14ac:dyDescent="0.25">
      <c r="A57" s="5">
        <v>56</v>
      </c>
      <c r="B57" s="6" t="s">
        <v>96</v>
      </c>
      <c r="C57" s="7">
        <v>34488412</v>
      </c>
      <c r="D57" s="7">
        <v>0</v>
      </c>
      <c r="E57" s="7">
        <v>34488412</v>
      </c>
      <c r="F57" s="21" t="s">
        <v>133</v>
      </c>
      <c r="G57" s="8" t="str">
        <f t="shared" si="0"/>
        <v>N/A</v>
      </c>
    </row>
    <row r="58" spans="1:7" ht="18" customHeight="1" x14ac:dyDescent="0.25">
      <c r="A58" s="1">
        <v>57</v>
      </c>
      <c r="B58" s="2" t="s">
        <v>77</v>
      </c>
      <c r="C58" s="3">
        <v>33478377</v>
      </c>
      <c r="D58" s="3">
        <v>5544971</v>
      </c>
      <c r="E58" s="3">
        <v>27933406</v>
      </c>
      <c r="F58" s="22" t="s">
        <v>78</v>
      </c>
      <c r="G58" s="4" t="str">
        <f t="shared" si="0"/>
        <v>Independent</v>
      </c>
    </row>
    <row r="59" spans="1:7" ht="18" customHeight="1" x14ac:dyDescent="0.25">
      <c r="A59" s="5">
        <v>58</v>
      </c>
      <c r="B59" s="6" t="s">
        <v>97</v>
      </c>
      <c r="C59" s="7">
        <v>32210997</v>
      </c>
      <c r="D59" s="7">
        <v>0</v>
      </c>
      <c r="E59" s="7">
        <v>32210997</v>
      </c>
      <c r="F59" s="21" t="s">
        <v>133</v>
      </c>
      <c r="G59" s="8" t="str">
        <f t="shared" si="0"/>
        <v>N/A</v>
      </c>
    </row>
    <row r="60" spans="1:7" ht="18" customHeight="1" x14ac:dyDescent="0.25">
      <c r="A60" s="1">
        <v>59</v>
      </c>
      <c r="B60" s="2" t="s">
        <v>98</v>
      </c>
      <c r="C60" s="3">
        <v>32000330</v>
      </c>
      <c r="D60" s="3">
        <v>0</v>
      </c>
      <c r="E60" s="3">
        <v>32000330</v>
      </c>
      <c r="F60" s="22" t="s">
        <v>133</v>
      </c>
      <c r="G60" s="4" t="str">
        <f t="shared" si="0"/>
        <v>N/A</v>
      </c>
    </row>
    <row r="61" spans="1:7" ht="18" customHeight="1" x14ac:dyDescent="0.25">
      <c r="A61" s="5">
        <v>60</v>
      </c>
      <c r="B61" s="6" t="s">
        <v>99</v>
      </c>
      <c r="C61" s="7">
        <v>31454812</v>
      </c>
      <c r="D61" s="7">
        <v>0</v>
      </c>
      <c r="E61" s="7">
        <v>31454812</v>
      </c>
      <c r="F61" s="21" t="s">
        <v>133</v>
      </c>
      <c r="G61" s="8" t="str">
        <f t="shared" si="0"/>
        <v>N/A</v>
      </c>
    </row>
    <row r="62" spans="1:7" ht="18" customHeight="1" x14ac:dyDescent="0.25">
      <c r="A62" s="1">
        <v>61</v>
      </c>
      <c r="B62" s="2" t="s">
        <v>59</v>
      </c>
      <c r="C62" s="3">
        <v>31041122</v>
      </c>
      <c r="D62" s="3">
        <v>18041122</v>
      </c>
      <c r="E62" s="3">
        <v>13000000</v>
      </c>
      <c r="F62" s="22" t="s">
        <v>24</v>
      </c>
      <c r="G62" s="4" t="str">
        <f t="shared" si="0"/>
        <v>Paramount Skydance</v>
      </c>
    </row>
    <row r="63" spans="1:7" ht="18" customHeight="1" x14ac:dyDescent="0.25">
      <c r="A63" s="5">
        <v>62</v>
      </c>
      <c r="B63" s="6" t="s">
        <v>100</v>
      </c>
      <c r="C63" s="7">
        <v>30485062</v>
      </c>
      <c r="D63" s="7">
        <v>0</v>
      </c>
      <c r="E63" s="7">
        <v>30485062</v>
      </c>
      <c r="F63" s="21" t="s">
        <v>133</v>
      </c>
      <c r="G63" s="8" t="str">
        <f t="shared" si="0"/>
        <v>N/A</v>
      </c>
    </row>
    <row r="64" spans="1:7" ht="18" customHeight="1" x14ac:dyDescent="0.25">
      <c r="A64" s="1">
        <v>63</v>
      </c>
      <c r="B64" s="2" t="s">
        <v>60</v>
      </c>
      <c r="C64" s="3">
        <v>29109973</v>
      </c>
      <c r="D64" s="3">
        <v>17770308</v>
      </c>
      <c r="E64" s="3">
        <v>11339665</v>
      </c>
      <c r="F64" s="22" t="s">
        <v>11</v>
      </c>
      <c r="G64" s="4" t="str">
        <f t="shared" si="0"/>
        <v>Lionsgate</v>
      </c>
    </row>
    <row r="65" spans="1:7" ht="18" customHeight="1" x14ac:dyDescent="0.25">
      <c r="A65" s="5">
        <v>64</v>
      </c>
      <c r="B65" s="6" t="s">
        <v>58</v>
      </c>
      <c r="C65" s="7">
        <v>27373185</v>
      </c>
      <c r="D65" s="7">
        <v>18273185</v>
      </c>
      <c r="E65" s="7">
        <v>9100000</v>
      </c>
      <c r="F65" s="21" t="s">
        <v>24</v>
      </c>
      <c r="G65" s="8" t="str">
        <f t="shared" si="0"/>
        <v>Paramount Skydance</v>
      </c>
    </row>
    <row r="66" spans="1:7" ht="18" customHeight="1" x14ac:dyDescent="0.25">
      <c r="A66" s="1">
        <v>65</v>
      </c>
      <c r="B66" s="2" t="s">
        <v>46</v>
      </c>
      <c r="C66" s="3">
        <v>26400616</v>
      </c>
      <c r="D66" s="3">
        <v>25736278</v>
      </c>
      <c r="E66" s="3">
        <v>664338</v>
      </c>
      <c r="F66" s="22" t="s">
        <v>38</v>
      </c>
      <c r="G66" s="4" t="str">
        <f t="shared" si="0"/>
        <v>Independent</v>
      </c>
    </row>
    <row r="67" spans="1:7" ht="18" customHeight="1" x14ac:dyDescent="0.25">
      <c r="A67" s="5">
        <v>66</v>
      </c>
      <c r="B67" s="6" t="s">
        <v>101</v>
      </c>
      <c r="C67" s="7">
        <v>26346841</v>
      </c>
      <c r="D67" s="7">
        <v>0</v>
      </c>
      <c r="E67" s="7">
        <v>26346841</v>
      </c>
      <c r="F67" s="21" t="s">
        <v>133</v>
      </c>
      <c r="G67" s="8" t="str">
        <f t="shared" ref="G67:G101" si="1">_xlfn.XLOOKUP(F67, $I$2:$I$12, $J$2:$J$12, "Independent")</f>
        <v>N/A</v>
      </c>
    </row>
    <row r="68" spans="1:7" ht="18" customHeight="1" x14ac:dyDescent="0.25">
      <c r="A68" s="1">
        <v>67</v>
      </c>
      <c r="B68" s="2" t="s">
        <v>70</v>
      </c>
      <c r="C68" s="3">
        <v>25801485</v>
      </c>
      <c r="D68" s="3">
        <v>9901485</v>
      </c>
      <c r="E68" s="3">
        <v>15900000</v>
      </c>
      <c r="F68" s="22" t="s">
        <v>24</v>
      </c>
      <c r="G68" s="4" t="str">
        <f t="shared" si="1"/>
        <v>Paramount Skydance</v>
      </c>
    </row>
    <row r="69" spans="1:7" ht="18" customHeight="1" x14ac:dyDescent="0.25">
      <c r="A69" s="5">
        <v>68</v>
      </c>
      <c r="B69" s="6" t="s">
        <v>102</v>
      </c>
      <c r="C69" s="7">
        <v>24946467</v>
      </c>
      <c r="D69" s="7">
        <v>0</v>
      </c>
      <c r="E69" s="7">
        <v>24946467</v>
      </c>
      <c r="F69" s="21" t="s">
        <v>133</v>
      </c>
      <c r="G69" s="8" t="str">
        <f t="shared" si="1"/>
        <v>N/A</v>
      </c>
    </row>
    <row r="70" spans="1:7" ht="18" customHeight="1" x14ac:dyDescent="0.25">
      <c r="A70" s="1">
        <v>69</v>
      </c>
      <c r="B70" s="2" t="s">
        <v>61</v>
      </c>
      <c r="C70" s="3">
        <v>24838215</v>
      </c>
      <c r="D70" s="3">
        <v>17000014</v>
      </c>
      <c r="E70" s="3">
        <v>7838201</v>
      </c>
      <c r="F70" s="22" t="s">
        <v>62</v>
      </c>
      <c r="G70" s="4" t="str">
        <f t="shared" si="1"/>
        <v>Independent</v>
      </c>
    </row>
    <row r="71" spans="1:7" ht="18" customHeight="1" x14ac:dyDescent="0.25">
      <c r="A71" s="5">
        <v>70</v>
      </c>
      <c r="B71" s="6" t="s">
        <v>67</v>
      </c>
      <c r="C71" s="7">
        <v>23944025</v>
      </c>
      <c r="D71" s="7">
        <v>12744025</v>
      </c>
      <c r="E71" s="7">
        <v>11200000</v>
      </c>
      <c r="F71" s="21" t="s">
        <v>29</v>
      </c>
      <c r="G71" s="8" t="str">
        <f t="shared" si="1"/>
        <v>Warner Bros.</v>
      </c>
    </row>
    <row r="72" spans="1:7" ht="18" customHeight="1" x14ac:dyDescent="0.25">
      <c r="A72" s="1">
        <v>71</v>
      </c>
      <c r="B72" s="2" t="s">
        <v>73</v>
      </c>
      <c r="C72" s="3">
        <v>23465819</v>
      </c>
      <c r="D72" s="3">
        <v>7232819</v>
      </c>
      <c r="E72" s="3">
        <v>16233000</v>
      </c>
      <c r="F72" s="22" t="s">
        <v>53</v>
      </c>
      <c r="G72" s="4" t="str">
        <f t="shared" si="1"/>
        <v>Independent</v>
      </c>
    </row>
    <row r="73" spans="1:7" ht="18" customHeight="1" x14ac:dyDescent="0.25">
      <c r="A73" s="5">
        <v>72</v>
      </c>
      <c r="B73" s="6" t="s">
        <v>65</v>
      </c>
      <c r="C73" s="7">
        <v>23463883</v>
      </c>
      <c r="D73" s="7">
        <v>13571883</v>
      </c>
      <c r="E73" s="7">
        <v>9892000</v>
      </c>
      <c r="F73" s="21" t="s">
        <v>62</v>
      </c>
      <c r="G73" s="8" t="str">
        <f t="shared" si="1"/>
        <v>Independent</v>
      </c>
    </row>
    <row r="74" spans="1:7" ht="18" customHeight="1" x14ac:dyDescent="0.25">
      <c r="A74" s="1">
        <v>73</v>
      </c>
      <c r="B74" s="2" t="s">
        <v>56</v>
      </c>
      <c r="C74" s="3">
        <v>22433038</v>
      </c>
      <c r="D74" s="3">
        <v>18723685</v>
      </c>
      <c r="E74" s="3">
        <v>3709353</v>
      </c>
      <c r="F74" s="22" t="s">
        <v>6</v>
      </c>
      <c r="G74" s="4" t="str">
        <f t="shared" si="1"/>
        <v>Comcast</v>
      </c>
    </row>
    <row r="75" spans="1:7" ht="18" customHeight="1" x14ac:dyDescent="0.25">
      <c r="A75" s="5">
        <v>74</v>
      </c>
      <c r="B75" s="6" t="s">
        <v>103</v>
      </c>
      <c r="C75" s="7">
        <v>22222611</v>
      </c>
      <c r="D75" s="7">
        <v>0</v>
      </c>
      <c r="E75" s="7">
        <v>22222611</v>
      </c>
      <c r="F75" s="21" t="s">
        <v>133</v>
      </c>
      <c r="G75" s="8" t="str">
        <f t="shared" si="1"/>
        <v>N/A</v>
      </c>
    </row>
    <row r="76" spans="1:7" ht="18" customHeight="1" x14ac:dyDescent="0.25">
      <c r="A76" s="1">
        <v>75</v>
      </c>
      <c r="B76" s="2" t="s">
        <v>55</v>
      </c>
      <c r="C76" s="3">
        <v>21507848</v>
      </c>
      <c r="D76" s="3">
        <v>19971832</v>
      </c>
      <c r="E76" s="3">
        <v>1536016</v>
      </c>
      <c r="F76" s="22" t="s">
        <v>18</v>
      </c>
      <c r="G76" s="4" t="str">
        <f t="shared" si="1"/>
        <v>A24</v>
      </c>
    </row>
    <row r="77" spans="1:7" ht="18" customHeight="1" x14ac:dyDescent="0.25">
      <c r="A77" s="5">
        <v>76</v>
      </c>
      <c r="B77" s="6" t="s">
        <v>104</v>
      </c>
      <c r="C77" s="7">
        <v>21343969</v>
      </c>
      <c r="D77" s="7">
        <v>0</v>
      </c>
      <c r="E77" s="7">
        <v>21343969</v>
      </c>
      <c r="F77" s="21" t="s">
        <v>133</v>
      </c>
      <c r="G77" s="8" t="str">
        <f t="shared" si="1"/>
        <v>N/A</v>
      </c>
    </row>
    <row r="78" spans="1:7" ht="18" customHeight="1" x14ac:dyDescent="0.25">
      <c r="A78" s="1">
        <v>77</v>
      </c>
      <c r="B78" s="2" t="s">
        <v>52</v>
      </c>
      <c r="C78" s="3">
        <v>20716580</v>
      </c>
      <c r="D78" s="3">
        <v>20716580</v>
      </c>
      <c r="E78" s="3">
        <v>0</v>
      </c>
      <c r="F78" s="22" t="s">
        <v>53</v>
      </c>
      <c r="G78" s="4" t="str">
        <f t="shared" si="1"/>
        <v>Independent</v>
      </c>
    </row>
    <row r="79" spans="1:7" ht="18" customHeight="1" x14ac:dyDescent="0.25">
      <c r="A79" s="5">
        <v>78</v>
      </c>
      <c r="B79" s="6" t="s">
        <v>72</v>
      </c>
      <c r="C79" s="7">
        <v>20467389</v>
      </c>
      <c r="D79" s="7">
        <v>7851599</v>
      </c>
      <c r="E79" s="7">
        <v>12615790</v>
      </c>
      <c r="F79" s="21" t="s">
        <v>18</v>
      </c>
      <c r="G79" s="8" t="str">
        <f t="shared" si="1"/>
        <v>A24</v>
      </c>
    </row>
    <row r="80" spans="1:7" ht="18" customHeight="1" x14ac:dyDescent="0.25">
      <c r="A80" s="1">
        <v>79</v>
      </c>
      <c r="B80" s="2" t="s">
        <v>54</v>
      </c>
      <c r="C80" s="3">
        <v>20247080</v>
      </c>
      <c r="D80" s="3">
        <v>20247080</v>
      </c>
      <c r="E80" s="3">
        <v>0</v>
      </c>
      <c r="F80" s="22" t="s">
        <v>4</v>
      </c>
      <c r="G80" s="4" t="str">
        <f t="shared" si="1"/>
        <v>Sony</v>
      </c>
    </row>
    <row r="81" spans="1:7" ht="18" customHeight="1" x14ac:dyDescent="0.25">
      <c r="A81" s="5">
        <v>80</v>
      </c>
      <c r="B81" s="6" t="s">
        <v>64</v>
      </c>
      <c r="C81" s="7">
        <v>20054476</v>
      </c>
      <c r="D81" s="7">
        <v>15569855</v>
      </c>
      <c r="E81" s="7">
        <v>4484621</v>
      </c>
      <c r="F81" s="21" t="s">
        <v>15</v>
      </c>
      <c r="G81" s="8" t="str">
        <f t="shared" si="1"/>
        <v>Comcast</v>
      </c>
    </row>
    <row r="82" spans="1:7" ht="18" customHeight="1" x14ac:dyDescent="0.25">
      <c r="A82" s="1">
        <v>81</v>
      </c>
      <c r="B82" s="2" t="s">
        <v>69</v>
      </c>
      <c r="C82" s="3">
        <v>19382152</v>
      </c>
      <c r="D82" s="3">
        <v>10882152</v>
      </c>
      <c r="E82" s="3">
        <v>8500000</v>
      </c>
      <c r="F82" s="22" t="s">
        <v>29</v>
      </c>
      <c r="G82" s="4" t="str">
        <f t="shared" si="1"/>
        <v>Warner Bros.</v>
      </c>
    </row>
    <row r="83" spans="1:7" ht="18" customHeight="1" x14ac:dyDescent="0.25">
      <c r="A83" s="5">
        <v>82</v>
      </c>
      <c r="B83" s="6" t="s">
        <v>57</v>
      </c>
      <c r="C83" s="7">
        <v>18744714</v>
      </c>
      <c r="D83" s="7">
        <v>18588615</v>
      </c>
      <c r="E83" s="7">
        <v>156099</v>
      </c>
      <c r="F83" s="21" t="s">
        <v>11</v>
      </c>
      <c r="G83" s="8" t="str">
        <f t="shared" si="1"/>
        <v>Lionsgate</v>
      </c>
    </row>
    <row r="84" spans="1:7" ht="18" customHeight="1" x14ac:dyDescent="0.25">
      <c r="A84" s="1">
        <v>83</v>
      </c>
      <c r="B84" s="2" t="s">
        <v>105</v>
      </c>
      <c r="C84" s="3">
        <v>18345998</v>
      </c>
      <c r="D84" s="3">
        <v>0</v>
      </c>
      <c r="E84" s="3">
        <v>18345998</v>
      </c>
      <c r="F84" s="22" t="s">
        <v>133</v>
      </c>
      <c r="G84" s="4" t="str">
        <f t="shared" si="1"/>
        <v>N/A</v>
      </c>
    </row>
    <row r="85" spans="1:7" ht="18" customHeight="1" x14ac:dyDescent="0.25">
      <c r="A85" s="5">
        <v>84</v>
      </c>
      <c r="B85" s="6" t="s">
        <v>106</v>
      </c>
      <c r="C85" s="7">
        <v>17020300</v>
      </c>
      <c r="D85" s="7">
        <v>0</v>
      </c>
      <c r="E85" s="7">
        <v>17020300</v>
      </c>
      <c r="F85" s="21" t="s">
        <v>133</v>
      </c>
      <c r="G85" s="8" t="str">
        <f t="shared" si="1"/>
        <v>N/A</v>
      </c>
    </row>
    <row r="86" spans="1:7" ht="18" customHeight="1" x14ac:dyDescent="0.25">
      <c r="A86" s="1">
        <v>85</v>
      </c>
      <c r="B86" s="2" t="s">
        <v>107</v>
      </c>
      <c r="C86" s="3">
        <v>16682093</v>
      </c>
      <c r="D86" s="3">
        <v>0</v>
      </c>
      <c r="E86" s="3">
        <v>16682093</v>
      </c>
      <c r="F86" s="22" t="s">
        <v>133</v>
      </c>
      <c r="G86" s="4" t="str">
        <f t="shared" si="1"/>
        <v>N/A</v>
      </c>
    </row>
    <row r="87" spans="1:7" ht="18" customHeight="1" x14ac:dyDescent="0.25">
      <c r="A87" s="5">
        <v>86</v>
      </c>
      <c r="B87" s="6" t="s">
        <v>63</v>
      </c>
      <c r="C87" s="7">
        <v>16556780</v>
      </c>
      <c r="D87" s="7">
        <v>16357453</v>
      </c>
      <c r="E87" s="7">
        <v>199327</v>
      </c>
      <c r="F87" s="21" t="s">
        <v>13</v>
      </c>
      <c r="G87" s="8" t="str">
        <f t="shared" si="1"/>
        <v>Amazon</v>
      </c>
    </row>
    <row r="88" spans="1:7" ht="18" customHeight="1" x14ac:dyDescent="0.25">
      <c r="A88" s="1">
        <v>87</v>
      </c>
      <c r="B88" s="2" t="s">
        <v>108</v>
      </c>
      <c r="C88" s="3">
        <v>15932702</v>
      </c>
      <c r="D88" s="3">
        <v>0</v>
      </c>
      <c r="E88" s="3">
        <v>15932702</v>
      </c>
      <c r="F88" s="22" t="s">
        <v>133</v>
      </c>
      <c r="G88" s="4" t="str">
        <f t="shared" si="1"/>
        <v>N/A</v>
      </c>
    </row>
    <row r="89" spans="1:7" ht="18" customHeight="1" x14ac:dyDescent="0.25">
      <c r="A89" s="5">
        <v>88</v>
      </c>
      <c r="B89" s="6" t="s">
        <v>109</v>
      </c>
      <c r="C89" s="7">
        <v>14927195</v>
      </c>
      <c r="D89" s="7">
        <v>0</v>
      </c>
      <c r="E89" s="7">
        <v>14927195</v>
      </c>
      <c r="F89" s="21" t="s">
        <v>133</v>
      </c>
      <c r="G89" s="8" t="str">
        <f t="shared" si="1"/>
        <v>N/A</v>
      </c>
    </row>
    <row r="90" spans="1:7" ht="18" customHeight="1" x14ac:dyDescent="0.25">
      <c r="A90" s="1">
        <v>89</v>
      </c>
      <c r="B90" s="2" t="s">
        <v>110</v>
      </c>
      <c r="C90" s="3">
        <v>14911324</v>
      </c>
      <c r="D90" s="3">
        <v>0</v>
      </c>
      <c r="E90" s="3">
        <v>14911324</v>
      </c>
      <c r="F90" s="22" t="s">
        <v>133</v>
      </c>
      <c r="G90" s="4" t="str">
        <f t="shared" si="1"/>
        <v>N/A</v>
      </c>
    </row>
    <row r="91" spans="1:7" ht="18" customHeight="1" x14ac:dyDescent="0.25">
      <c r="A91" s="5">
        <v>90</v>
      </c>
      <c r="B91" s="6" t="s">
        <v>68</v>
      </c>
      <c r="C91" s="7">
        <v>14067103</v>
      </c>
      <c r="D91" s="7">
        <v>10887935</v>
      </c>
      <c r="E91" s="7">
        <v>3179168</v>
      </c>
      <c r="F91" s="21" t="s">
        <v>6</v>
      </c>
      <c r="G91" s="8" t="str">
        <f t="shared" si="1"/>
        <v>Comcast</v>
      </c>
    </row>
    <row r="92" spans="1:7" ht="18" customHeight="1" x14ac:dyDescent="0.25">
      <c r="A92" s="1">
        <v>91</v>
      </c>
      <c r="B92" s="2" t="s">
        <v>76</v>
      </c>
      <c r="C92" s="3">
        <v>13513890</v>
      </c>
      <c r="D92" s="3">
        <v>5723890</v>
      </c>
      <c r="E92" s="3">
        <v>7790000</v>
      </c>
      <c r="F92" s="22" t="s">
        <v>122</v>
      </c>
      <c r="G92" s="4" t="str">
        <f t="shared" si="1"/>
        <v>Independent</v>
      </c>
    </row>
    <row r="93" spans="1:7" ht="18" customHeight="1" x14ac:dyDescent="0.25">
      <c r="A93" s="5">
        <v>92</v>
      </c>
      <c r="B93" s="6" t="s">
        <v>111</v>
      </c>
      <c r="C93" s="7">
        <v>13243476</v>
      </c>
      <c r="D93" s="7">
        <v>0</v>
      </c>
      <c r="E93" s="7">
        <v>13243476</v>
      </c>
      <c r="F93" s="21" t="s">
        <v>133</v>
      </c>
      <c r="G93" s="8" t="str">
        <f t="shared" si="1"/>
        <v>N/A</v>
      </c>
    </row>
    <row r="94" spans="1:7" ht="18" customHeight="1" x14ac:dyDescent="0.25">
      <c r="A94" s="1">
        <v>93</v>
      </c>
      <c r="B94" s="2" t="s">
        <v>112</v>
      </c>
      <c r="C94" s="3">
        <v>13041909</v>
      </c>
      <c r="D94" s="3">
        <v>0</v>
      </c>
      <c r="E94" s="3">
        <v>13041909</v>
      </c>
      <c r="F94" s="22" t="s">
        <v>133</v>
      </c>
      <c r="G94" s="4" t="str">
        <f t="shared" si="1"/>
        <v>N/A</v>
      </c>
    </row>
    <row r="95" spans="1:7" ht="18" customHeight="1" x14ac:dyDescent="0.25">
      <c r="A95" s="5">
        <v>94</v>
      </c>
      <c r="B95" s="6" t="s">
        <v>113</v>
      </c>
      <c r="C95" s="7">
        <v>12105961</v>
      </c>
      <c r="D95" s="7">
        <v>0</v>
      </c>
      <c r="E95" s="7">
        <v>12105961</v>
      </c>
      <c r="F95" s="21" t="s">
        <v>133</v>
      </c>
      <c r="G95" s="8" t="str">
        <f t="shared" si="1"/>
        <v>N/A</v>
      </c>
    </row>
    <row r="96" spans="1:7" ht="18" customHeight="1" x14ac:dyDescent="0.25">
      <c r="A96" s="1">
        <v>95</v>
      </c>
      <c r="B96" s="2" t="s">
        <v>114</v>
      </c>
      <c r="C96" s="3">
        <v>11209412</v>
      </c>
      <c r="D96" s="3">
        <v>0</v>
      </c>
      <c r="E96" s="3">
        <v>11209412</v>
      </c>
      <c r="F96" s="22" t="s">
        <v>133</v>
      </c>
      <c r="G96" s="4" t="str">
        <f t="shared" si="1"/>
        <v>N/A</v>
      </c>
    </row>
    <row r="97" spans="1:7" ht="18" customHeight="1" x14ac:dyDescent="0.25">
      <c r="A97" s="5">
        <v>96</v>
      </c>
      <c r="B97" s="6" t="s">
        <v>71</v>
      </c>
      <c r="C97" s="7">
        <v>11031947</v>
      </c>
      <c r="D97" s="7">
        <v>8560986</v>
      </c>
      <c r="E97" s="7">
        <v>2470961</v>
      </c>
      <c r="F97" s="21" t="s">
        <v>11</v>
      </c>
      <c r="G97" s="8" t="str">
        <f t="shared" si="1"/>
        <v>Lionsgate</v>
      </c>
    </row>
    <row r="98" spans="1:7" ht="18" customHeight="1" x14ac:dyDescent="0.25">
      <c r="A98" s="1">
        <v>97</v>
      </c>
      <c r="B98" s="2" t="s">
        <v>115</v>
      </c>
      <c r="C98" s="3">
        <v>11020349</v>
      </c>
      <c r="D98" s="3">
        <v>0</v>
      </c>
      <c r="E98" s="3">
        <v>11020349</v>
      </c>
      <c r="F98" s="22" t="s">
        <v>133</v>
      </c>
      <c r="G98" s="4" t="str">
        <f t="shared" si="1"/>
        <v>N/A</v>
      </c>
    </row>
    <row r="99" spans="1:7" ht="18" customHeight="1" x14ac:dyDescent="0.25">
      <c r="A99" s="5">
        <v>98</v>
      </c>
      <c r="B99" s="6" t="s">
        <v>75</v>
      </c>
      <c r="C99" s="7">
        <v>10912145</v>
      </c>
      <c r="D99" s="7">
        <v>6240000</v>
      </c>
      <c r="E99" s="7">
        <v>4672145</v>
      </c>
      <c r="F99" s="21" t="s">
        <v>123</v>
      </c>
      <c r="G99" s="8" t="str">
        <f t="shared" si="1"/>
        <v>Independent</v>
      </c>
    </row>
    <row r="100" spans="1:7" ht="18" customHeight="1" x14ac:dyDescent="0.25">
      <c r="A100" s="1">
        <v>99</v>
      </c>
      <c r="B100" s="2" t="s">
        <v>116</v>
      </c>
      <c r="C100" s="3">
        <v>10359441</v>
      </c>
      <c r="D100" s="3">
        <v>0</v>
      </c>
      <c r="E100" s="3">
        <v>10359441</v>
      </c>
      <c r="F100" s="22" t="s">
        <v>133</v>
      </c>
      <c r="G100" s="4" t="str">
        <f t="shared" si="1"/>
        <v>N/A</v>
      </c>
    </row>
    <row r="101" spans="1:7" ht="18" customHeight="1" thickBot="1" x14ac:dyDescent="0.3">
      <c r="A101" s="9">
        <v>100</v>
      </c>
      <c r="B101" s="10" t="s">
        <v>117</v>
      </c>
      <c r="C101" s="11">
        <v>10278793</v>
      </c>
      <c r="D101" s="11">
        <v>0</v>
      </c>
      <c r="E101" s="11">
        <v>10278793</v>
      </c>
      <c r="F101" s="23" t="s">
        <v>133</v>
      </c>
      <c r="G101" s="12" t="str">
        <f t="shared" si="1"/>
        <v>N/A</v>
      </c>
    </row>
  </sheetData>
  <hyperlinks>
    <hyperlink ref="B2" r:id="rId1" display="https://www.the-numbers.com/movie/Spider-Man-Brand-New-Day-(2026)" xr:uid="{255FF5CA-F438-4E14-B5BE-D7F76F0F9EA5}"/>
    <hyperlink ref="B3" r:id="rId2" display="https://www.the-numbers.com/movie/Odyssey-The-(2026)" xr:uid="{727DC0D0-A893-4163-A9C6-2BDE4B021C69}"/>
    <hyperlink ref="B4" r:id="rId3" display="https://www.the-numbers.com/movie/Toy-Story-5-(2026)" xr:uid="{082A9DB6-FFE7-4E3C-B268-19D6A39D1BAC}"/>
    <hyperlink ref="B5" r:id="rId4" display="https://www.the-numbers.com/movie/Michael-(2026)" xr:uid="{1F45ECF1-B6F5-4046-B524-AFB967A6F0BF}"/>
    <hyperlink ref="B6" r:id="rId5" display="https://www.the-numbers.com/movie/Super-Mario-Galaxy-Movie-The-(2026)" xr:uid="{5BEC8D1E-78A7-4688-979A-5C4166A8700A}"/>
    <hyperlink ref="B7" r:id="rId6" display="https://www.the-numbers.com/movie/Devil-Wears-Prada-2-The-(2026)" xr:uid="{DB07339E-0A86-414D-86FA-117654CC5C9D}"/>
    <hyperlink ref="B8" r:id="rId7" display="https://www.the-numbers.com/movie/Project-Hail-Mary-(2026)" xr:uid="{A44BFCB5-E286-407B-A9F7-27788DCE6767}"/>
    <hyperlink ref="B9" r:id="rId8" display="https://www.the-numbers.com/movie/Pegasus-3-(2026-China)" xr:uid="{A819EDC0-240D-48EF-926C-F2A9FEBBDD2B}"/>
    <hyperlink ref="B10" r:id="rId9" display="https://www.the-numbers.com/movie/Minions-and-Monsters-(2026)" xr:uid="{F792F8C4-D404-421B-B5DE-246364B7C2BB}"/>
    <hyperlink ref="B11" r:id="rId10" display="https://www.the-numbers.com/movie/Obsession-(2026)" xr:uid="{54C1AAEB-2B0D-409E-8649-C29D80736A35}"/>
    <hyperlink ref="B12" r:id="rId11" display="https://www.the-numbers.com/movie/Backrooms-(2026)" xr:uid="{E9B153F6-DEF8-4FD8-ACCE-AD52755963DE}"/>
    <hyperlink ref="B13" r:id="rId12" display="https://www.the-numbers.com/movie/Hoppers-(2026)" xr:uid="{6400CF84-D8BB-4FB7-8F43-8F3C50B58D04}"/>
    <hyperlink ref="B14" r:id="rId13" display="https://www.the-numbers.com/movie/Star-Wars-The-Mandalorian-and-Grogu-(2026)" xr:uid="{27908401-1E81-4332-A8FE-1436F51EA00B}"/>
    <hyperlink ref="B15" r:id="rId14" display="https://www.the-numbers.com/movie/Moana-(2026)" xr:uid="{ECEA37F6-55EC-4CC0-88B7-494720E3BD81}"/>
    <hyperlink ref="B16" r:id="rId15" display="https://www.the-numbers.com/movie/Kung-Fu-Soccer-(2026-China)" xr:uid="{661D7C84-AB6E-4FDC-9508-6D60F6D2AD6A}"/>
    <hyperlink ref="B17" r:id="rId16" display="https://www.the-numbers.com/movie/Dear-You-(2026-China)" xr:uid="{F3EDA558-34F3-498F-8FF4-A645E25AD9F0}"/>
    <hyperlink ref="B18" r:id="rId17" display="https://www.the-numbers.com/movie/Wuthering-Heights-(2026)" xr:uid="{F3D5BF49-42F5-4D6F-8749-4E0C8F98F8C2}"/>
    <hyperlink ref="B19" r:id="rId18" display="https://www.the-numbers.com/movie/Disclosure-Day-(2026)" xr:uid="{9ACE1A33-43EE-4A6E-87BC-4CEEC1344954}"/>
    <hyperlink ref="B20" r:id="rId19" display="https://www.the-numbers.com/movie/Scary-Movie-(2026)" xr:uid="{76D1EDE7-E087-4718-95CF-7BD3BB2CD8D8}"/>
    <hyperlink ref="B21" r:id="rId20" display="https://www.the-numbers.com/movie/Scream-7-(2026)" xr:uid="{234F81C1-E2F1-48FA-AD5A-5FF2DD6710A5}"/>
    <hyperlink ref="B22" r:id="rId21" display="https://www.the-numbers.com/movie/Blades-of-the-Guardians-(2026-China)" xr:uid="{5DBBAD0D-6FA5-403D-A642-69D86033DA14}"/>
    <hyperlink ref="B23" r:id="rId22" display="https://www.the-numbers.com/movie/GOAT-(2026)" xr:uid="{F922CC36-D0DC-4A92-8581-3CFF6FA17BA6}"/>
    <hyperlink ref="B24" r:id="rId23" display="https://www.the-numbers.com/movie/Scare-Out-(2026-China)" xr:uid="{0C70DB7F-6684-45FF-A248-B9C47299ADC6}"/>
    <hyperlink ref="B25" r:id="rId24" display="https://www.the-numbers.com/movie/All-Wishes-Come-True-(2026-China)" xr:uid="{2F299E38-4A74-4EFF-9433-F4E7EF91D81D}"/>
    <hyperlink ref="B26" r:id="rId25" display="https://www.the-numbers.com/movie/Dhurandhar-The-Revenge-(2026-India)" xr:uid="{DCF7FC77-3483-47F5-A6A0-709EAB1EBCF5}"/>
    <hyperlink ref="B27" r:id="rId26" display="https://www.the-numbers.com/movie/Boonie-Bears-The-Hidden-Protector-(2026-China)" xr:uid="{C63A1867-0F87-4C11-9C6E-0AB5732CE7A9}"/>
    <hyperlink ref="B28" r:id="rId27" display="https://www.the-numbers.com/movie/Sheep-Detectives-The-(2026)" xr:uid="{10134C30-A90E-4028-9EEB-20154702B3ED}"/>
    <hyperlink ref="B29" r:id="rId28" display="https://www.the-numbers.com/movie/Mortal-Kombat-II-(2026)" xr:uid="{FC09A29B-425F-477E-BF66-B08372FC9FBD}"/>
    <hyperlink ref="B30" r:id="rId29" display="https://www.the-numbers.com/movie/Supergirl-(2026)" xr:uid="{C01806D8-8118-4C8A-A0F6-9F79B061DE24}"/>
    <hyperlink ref="B31" r:id="rId30" display="https://www.the-numbers.com/movie/Kings-Warden-The-(2026-South-Korea)" xr:uid="{507B8FCF-107B-4C53-BBF3-F1899FF48E88}"/>
    <hyperlink ref="B32" r:id="rId31" display="https://www.the-numbers.com/movie/Masters-of-the-Universe-(2026)" xr:uid="{A5FDBAB3-A288-47FF-86FD-12F12170559F}"/>
    <hyperlink ref="B33" r:id="rId32" display="https://www.the-numbers.com/movie/Drama-The-(2026)" xr:uid="{52DDBB70-B1D0-47FC-8B80-0D10722516C7}"/>
    <hyperlink ref="B34" r:id="rId33" display="https://www.the-numbers.com/movie/Send-Help-(2026)" xr:uid="{B0598CC1-443F-4D31-8AAC-6AAD2A464EC1}"/>
    <hyperlink ref="B35" r:id="rId34" display="https://www.the-numbers.com/movie/Lee-Cronins-The-Mummy-(2026)" xr:uid="{02EC96F2-6C0C-4F16-B834-2AD9F97B47C5}"/>
    <hyperlink ref="B36" r:id="rId35" display="https://www.the-numbers.com/movie/Reminders-of-Him-(2026)" xr:uid="{47D82D21-AA23-4825-99F6-241067ACB3B9}"/>
    <hyperlink ref="B37" r:id="rId36" display="https://www.the-numbers.com/movie/Cheburashka-2-(2026-Russia)" xr:uid="{43CEA63A-CD12-4AFA-9D1C-84D82846F2F8}"/>
    <hyperlink ref="B38" r:id="rId37" display="https://www.the-numbers.com/movie/Vanishing-Point-(2026-China)" xr:uid="{6012529D-E97A-4502-BCCC-A645B7F0D008}"/>
    <hyperlink ref="B39" r:id="rId38" display="https://www.the-numbers.com/movie/Crime-101-(2026)" xr:uid="{1441E50D-F4F5-4C85-92D3-B3754829BDAE}"/>
    <hyperlink ref="B40" r:id="rId39" display="https://www.the-numbers.com/movie/Evil-Dead-Burn-(2026)" xr:uid="{43BC68AD-9E9F-48C1-987F-58AAE5EAFE9F}"/>
    <hyperlink ref="B41" r:id="rId40" display="https://www.the-numbers.com/movie/End-of-Oak-Street-The-(2026)" xr:uid="{7511E4A0-F573-4489-B766-1EC5D2C7BB76}"/>
    <hyperlink ref="B42" r:id="rId41" display="https://www.the-numbers.com/movie/28-Years-Later-The-Bone-Temple-(2026)" xr:uid="{7FC7379B-B053-4940-AFAF-90561C8D88B1}"/>
    <hyperlink ref="B43" r:id="rId42" display="https://www.the-numbers.com/movie/Mercy-(2026)" xr:uid="{07A87567-4DDC-44CE-A956-D56BB4BB7E01}"/>
    <hyperlink ref="B44" r:id="rId43" display="https://www.the-numbers.com/movie/Iron-Lung-(2026)" xr:uid="{4AEDF0FF-5B5A-4F17-AE46-42995B683623}"/>
    <hyperlink ref="B45" r:id="rId44" display="https://www.the-numbers.com/movie/Colony-(2026-South-Korea)" xr:uid="{9E8F8A02-5CCE-41C3-8D5C-9EDC378BA23B}"/>
    <hyperlink ref="B46" r:id="rId45" display="https://www.the-numbers.com/movie/Shelter-(2026)" xr:uid="{9973A97F-3054-4B0B-990C-E03B9F172D93}"/>
    <hyperlink ref="B47" r:id="rId46" display="https://www.the-numbers.com/movie/Young-Washington-(2026)" xr:uid="{E79A1247-C8B5-4364-BE32-48BC62C9D5AB}"/>
    <hyperlink ref="B48" r:id="rId47" display="https://www.the-numbers.com/movie/Night-King-(2026-Hong-Kong)" xr:uid="{754F0C47-6FCD-405D-B5D4-7FAEF9C14579}"/>
    <hyperlink ref="B49" r:id="rId48" display="https://www.the-numbers.com/movie/Furious-The-(2026-Hong-Kong)" xr:uid="{64262460-EDAF-4782-B00D-21DEC84DCB8D}"/>
    <hyperlink ref="B50" r:id="rId49" display="https://www.the-numbers.com/movie/Primate-(2026)" xr:uid="{C3B3338A-BC9D-4552-AC42-5E1539AAEFDE}"/>
    <hyperlink ref="B51" r:id="rId50" display="https://www.the-numbers.com/movie/Border-2-(2026-India)" xr:uid="{6760B999-104B-4FDA-9B0E-DAE2297E67C4}"/>
    <hyperlink ref="B52" r:id="rId51" display="https://www.the-numbers.com/movie/Han-Zhan-1994-(2026-Hong-Kong)" xr:uid="{7C4967BE-E2E3-45DF-B8FC-56C9BE8A4ECA}"/>
    <hyperlink ref="B53" r:id="rId52" display="https://www.the-numbers.com/movie/Invite-The-(2026)" xr:uid="{D61593A4-4348-486D-B834-92FA93C3FC2F}"/>
    <hyperlink ref="B54" r:id="rId53" display="https://www.the-numbers.com/movie/Crossing-(2026-China)" xr:uid="{9B9A0F1A-0C87-49A7-9E3B-1CC8FB9CB1F0}"/>
    <hyperlink ref="B55" r:id="rId54" display="https://www.the-numbers.com/movie/Panda-Plan-2-The-Magical-Tribe-(2026-China)" xr:uid="{A15C23A4-5AE4-48CA-9EE6-F447EF5A1E10}"/>
    <hyperlink ref="B56" r:id="rId55" display="https://www.the-numbers.com/movie/Amazing-Digital-Circus-The-The-Last-Act-(2026)" xr:uid="{3097E9BF-2ECD-49EA-91F0-B92E161CA3CD}"/>
    <hyperlink ref="B57" r:id="rId56" display="https://www.the-numbers.com/movie/Hope-(2026-South-Korea)" xr:uid="{4F935349-7DE5-4703-9176-17EC5DB2317D}"/>
    <hyperlink ref="B58" r:id="rId57" display="https://www.the-numbers.com/movie/Return-to-Silent-Hill-(2026-France)" xr:uid="{2BE598D8-21DB-4ED6-AA63-57C6E78A8D96}"/>
    <hyperlink ref="B59" r:id="rId58" display="https://www.the-numbers.com/movie/Torrente-Presidente-(2026-Spain)" xr:uid="{1F1093CA-866F-4262-BDF6-B88892480405}"/>
    <hyperlink ref="B60" r:id="rId59" display="https://www.the-numbers.com/movie/Prostokvashino-(2026-Russia)" xr:uid="{7C8BD0E7-FCC7-4083-89E4-4A5527288385}"/>
    <hyperlink ref="B61" r:id="rId60" display="https://www.the-numbers.com/movie/Buratino-(2026-Russia)" xr:uid="{4B8F77BC-9357-42AC-B959-180F6D15B632}"/>
    <hyperlink ref="B62" r:id="rId61" display="https://www.the-numbers.com/movie/Passenger-(2026)" xr:uid="{03BA1A64-4A8D-49E9-AB8E-7E1CB01218D3}"/>
    <hyperlink ref="B63" r:id="rId62" display="https://www.the-numbers.com/movie/Magic-Faraway-Tree-The-(2025-United-Kingdom)" xr:uid="{68F99508-64A7-489D-833D-59B05D68A0CA}"/>
    <hyperlink ref="B64" r:id="rId63" display="https://www.the-numbers.com/movie/Greenland-2-Migration-(2026)" xr:uid="{F10E9557-B945-48EE-A899-92724F9966A9}"/>
    <hyperlink ref="B65" r:id="rId64" display="https://www.the-numbers.com/movie/Jackass-Best-and-Last-(2026)" xr:uid="{E35EBBB2-DC51-488B-A87D-5420E84E7BB5}"/>
    <hyperlink ref="B66" r:id="rId65" display="https://www.the-numbers.com/movie/Solo-Mio-(2026)" xr:uid="{80D90143-3D09-46CF-AE8A-4C5AE3FFD3F5}"/>
    <hyperlink ref="B67" r:id="rId66" display="https://www.the-numbers.com/movie/Skazka-o-tsare-Saltane-(2026-Russia)" xr:uid="{F08EA1E6-88F2-49C7-9C27-D5BB98CA4677}"/>
    <hyperlink ref="B68" r:id="rId67" display="https://www.the-numbers.com/movie/Billie-Eilish-Hit-Me-Hard-and-Soft-The-Tour-(2026)" xr:uid="{948C4A14-D298-48E7-820D-58DEB33973D9}"/>
    <hyperlink ref="B69" r:id="rId68" display="https://www.the-numbers.com/movie/Its-OK-(2026-China)" xr:uid="{40572B8F-75A1-4D8C-B911-8D5E5D043C28}"/>
    <hyperlink ref="B70" r:id="rId69" display="https://www.the-numbers.com/movie/Hokum-(2026)" xr:uid="{A34978D6-B30A-41E6-A112-37CC4673F671}"/>
    <hyperlink ref="B71" r:id="rId70" display="https://www.the-numbers.com/movie/Bride-The-(2026)" xr:uid="{1C055147-AB1D-4B1C-A76D-E4A766329830}"/>
    <hyperlink ref="B72" r:id="rId71" display="https://www.the-numbers.com/movie/Stray-Kids-The-DominATE-experience-(2026-South-Korea)" xr:uid="{B1D039E8-2656-4A74-80E4-46301ECBFC0A}"/>
    <hyperlink ref="B73" r:id="rId72" display="https://www.the-numbers.com/movie/EpiC-Elvis-Presley-in-Concert-(2026)" xr:uid="{00ED5156-D7C3-443D-85B6-8DEE0C4EF31C}"/>
    <hyperlink ref="B74" r:id="rId73" display="https://www.the-numbers.com/movie/You-Me-and-Tuscany-(2026)" xr:uid="{617AABE3-77A6-4C69-881D-873019B6C38D}"/>
    <hyperlink ref="B75" r:id="rId74" display="https://www.the-numbers.com/movie/Salmokji-Whispering-Water-(2026-South-Korea)" xr:uid="{D1F2EB54-95D3-4D58-A192-322562E1111D}"/>
    <hyperlink ref="B76" r:id="rId75" display="https://www.the-numbers.com/movie/undertone-(2026-Canada)" xr:uid="{BE56E8B7-A9BF-4DE8-8AD2-159D48936738}"/>
    <hyperlink ref="B77" r:id="rId76" display="https://www.the-numbers.com/movie/Part-of-Me-A-(2026-China)" xr:uid="{35B72F8A-26B7-4213-845F-9BF1063E476D}"/>
    <hyperlink ref="B78" r:id="rId77" display="https://www.the-numbers.com/movie/Hadestown-The-Musical-(2026)" xr:uid="{4A6A4D4D-CF2F-46A7-82C3-7A1F8B97486E}"/>
    <hyperlink ref="B79" r:id="rId78" display="https://www.the-numbers.com/movie/How-to-Make-a-Killing-(2026)" xr:uid="{572302DA-9317-4C0E-8635-94E88297B68A}"/>
    <hyperlink ref="B80" r:id="rId79" display="https://www.the-numbers.com/movie/Breadwinner-The-(2026)" xr:uid="{F069921D-AC22-44D7-B233-0586590499BA}"/>
    <hyperlink ref="B81" r:id="rId80" display="https://www.the-numbers.com/movie/Pressure-(2026-United-Kingdom)" xr:uid="{8C0422EE-38DB-475C-8D5D-0365F29CA402}"/>
    <hyperlink ref="B82" r:id="rId81" display="https://www.the-numbers.com/movie/They-Will-Kill-You-(2026)" xr:uid="{181DA264-059B-407F-BFAA-A2CBADAF12F2}"/>
    <hyperlink ref="B83" r:id="rId82" display="https://www.the-numbers.com/movie/I-Can-Only-Imagine-2-(2026)" xr:uid="{07DF0AF5-09DD-4EDB-ADAF-76F6ED197602}"/>
    <hyperlink ref="B84" r:id="rId83" display="https://www.the-numbers.com/movie/Keep-Real-(2026-China)" xr:uid="{F472CE8A-FF8B-46DB-88B1-1E70BC4A8004}"/>
    <hyperlink ref="B85" r:id="rId84" display="https://www.the-numbers.com/movie/Busted-Water-Pipes-(2026-China)" xr:uid="{0589F2C8-6E90-4B49-ACB5-2847C5697E58}"/>
    <hyperlink ref="B86" r:id="rId85" display="https://www.the-numbers.com/movie/Kholop-3-(2026-Russia)" xr:uid="{E018F42B-6E44-4024-9929-81B2F39CEAD6}"/>
    <hyperlink ref="B87" r:id="rId86" display="https://www.the-numbers.com/movie/Melania-(2026)" xr:uid="{EDEE692B-EFD2-4015-BEEF-F3CAC70DE305}"/>
    <hyperlink ref="B88" r:id="rId87" display="https://www.the-numbers.com/movie/I-Know-Who-You-Are-(2026-China)" xr:uid="{0194C74A-578B-4320-8454-7175FCB74FB1}"/>
    <hyperlink ref="B89" r:id="rId88" display="https://www.the-numbers.com/movie/Caged-Butterfly-The-(2026-China)" xr:uid="{A0FF2A04-A904-4D1A-9A1D-D5D3E325FBB6}"/>
    <hyperlink ref="B90" r:id="rId89" display="https://www.the-numbers.com/movie/Drei-Die-Toteninsel-(2026-Germany)" xr:uid="{A86DCF6A-2A7E-4893-B158-11E655FF84E9}"/>
    <hyperlink ref="B91" r:id="rId90" display="https://www.the-numbers.com/movie/One-Night-Only-(2026)" xr:uid="{4B67F58B-84CE-4A22-9528-3B103B546CAE}"/>
    <hyperlink ref="B92" r:id="rId91" display="https://www.the-numbers.com/movie/In-the-Grey-(2026)" xr:uid="{779C4660-5715-4336-B31D-ADC4581CFE22}"/>
    <hyperlink ref="B93" r:id="rId92" display="https://www.the-numbers.com/movie/HUMINT-(2026-South-Korea)" xr:uid="{B39E0652-2AE6-48F2-BDB7-78B6B34540BD}"/>
    <hyperlink ref="B94" r:id="rId93" display="https://www.the-numbers.com/movie/Tvoyo-serdtse-budet-razbito-(2026-Russia)" xr:uid="{6303A72B-A490-4B53-B2A9-60EC0472582F}"/>
    <hyperlink ref="B95" r:id="rId94" display="https://www.the-numbers.com/movie/Domovyonok-Kuzya-2-(2026-Russia)" xr:uid="{FEBD1A2B-8572-475C-AA1E-5A47523B0312}"/>
    <hyperlink ref="B96" r:id="rId95" display="https://www.the-numbers.com/movie/Eyes-The-(2026-South-Korea)" xr:uid="{4F209EDD-ED7C-4CD2-9AF6-1E61F27FCCB2}"/>
    <hyperlink ref="B97" r:id="rId96" display="https://www.the-numbers.com/movie/Strangers-The-Chapter-3-(2026)" xr:uid="{ECC7A1AA-4E2D-4699-BFB7-424EE11F7564}"/>
    <hyperlink ref="B98" r:id="rId97" display="https://www.the-numbers.com/movie/Johnny-Keep-Walking-2-(2026-China)" xr:uid="{4907F6C4-303A-4C6C-AD6F-42629271FE39}"/>
    <hyperlink ref="B99" r:id="rId98" display="https://www.the-numbers.com/movie/BTS-World-Tour-Arirang-Live-Viewing-(2026-South-Korea)" xr:uid="{D3DAAF57-4B46-4930-B8B2-92C569B9454D}"/>
    <hyperlink ref="B100" r:id="rId99" display="https://www.the-numbers.com/movie/Take-Off-(2026-China)" xr:uid="{6AD8D7E8-2AC4-4033-BA24-96CA558FDBE8}"/>
    <hyperlink ref="B101" r:id="rId100" display="https://www.the-numbers.com/movie/Be-Yourself-(2026-China)" xr:uid="{21D57ECE-39B4-4AB2-AC70-662D87EE99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 Wide Box office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Chung</dc:creator>
  <cp:lastModifiedBy>Andrew Chung</cp:lastModifiedBy>
  <dcterms:created xsi:type="dcterms:W3CDTF">2026-08-21T14:44:33Z</dcterms:created>
  <dcterms:modified xsi:type="dcterms:W3CDTF">2026-08-21T15:01:28Z</dcterms:modified>
</cp:coreProperties>
</file>